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934E99AF-5EBB-9044-AA3E-13BEE8052DE8}" xr6:coauthVersionLast="47" xr6:coauthVersionMax="47" xr10:uidLastSave="{00000000-0000-0000-0000-000000000000}"/>
  <bookViews>
    <workbookView xWindow="33600" yWindow="-11600" windowWidth="38400" windowHeight="21100" xr2:uid="{00000000-000D-0000-FFFF-FFFF00000000}"/>
  </bookViews>
  <sheets>
    <sheet name="Info" sheetId="2" r:id="rId1"/>
    <sheet name="Qualifying Scores" sheetId="10" r:id="rId2"/>
    <sheet name="Coaching Points" sheetId="17" r:id="rId3"/>
    <sheet name="TRA-M" sheetId="3" r:id="rId4"/>
    <sheet name="TRA-W" sheetId="11" r:id="rId5"/>
    <sheet name="SYN-M" sheetId="12" r:id="rId6"/>
    <sheet name="SYN-W" sheetId="13" r:id="rId7"/>
    <sheet name="DMT-M" sheetId="6" r:id="rId8"/>
    <sheet name="DMT-W" sheetId="14" r:id="rId9"/>
    <sheet name="TUM-M" sheetId="15" r:id="rId10"/>
    <sheet name="TUM-W" sheetId="16" r:id="rId11"/>
  </sheets>
  <definedNames>
    <definedName name="_xlnm._FilterDatabase" localSheetId="7" hidden="1">'DMT-M'!$A$1:$AA$2</definedName>
    <definedName name="_xlnm._FilterDatabase" localSheetId="8" hidden="1">'DMT-W'!$A$1:$AA$2</definedName>
    <definedName name="_xlnm._FilterDatabase" localSheetId="5" hidden="1">'SYN-M'!$A$1:$AH$2</definedName>
    <definedName name="_xlnm._FilterDatabase" localSheetId="6" hidden="1">'SYN-W'!$A$1:$AH$2</definedName>
    <definedName name="_xlnm._FilterDatabase" localSheetId="3" hidden="1">'TRA-M'!$A$1:$AG$2</definedName>
    <definedName name="_xlnm._FilterDatabase" localSheetId="4" hidden="1">'TRA-W'!$A$1:$AG$2</definedName>
    <definedName name="_xlnm._FilterDatabase" localSheetId="9" hidden="1">'TUM-M'!$A$1:$AA$2</definedName>
    <definedName name="_xlnm._FilterDatabase" localSheetId="10" hidden="1">'TUM-W'!$A$1:$AA$2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2" i="3" l="1"/>
  <c r="D68" i="14"/>
  <c r="G68" i="14"/>
  <c r="L68" i="14" s="1"/>
  <c r="R68" i="14"/>
  <c r="S68" i="14" s="1"/>
  <c r="A70" i="14" a="1"/>
  <c r="A70" i="14" s="1"/>
  <c r="Q70" i="14" s="1"/>
  <c r="D70" i="14"/>
  <c r="G70" i="14"/>
  <c r="L70" i="14" s="1"/>
  <c r="R70" i="14"/>
  <c r="A76" i="14" a="1"/>
  <c r="A76" i="14" s="1"/>
  <c r="Q76" i="14" s="1"/>
  <c r="D76" i="14"/>
  <c r="G76" i="14"/>
  <c r="K76" i="14" s="1"/>
  <c r="R76" i="14"/>
  <c r="S76" i="14" s="1"/>
  <c r="A78" i="14" a="1"/>
  <c r="A78" i="14" s="1"/>
  <c r="Q78" i="14" s="1"/>
  <c r="D78" i="14"/>
  <c r="G78" i="14"/>
  <c r="M78" i="14" s="1"/>
  <c r="B78" i="14" s="1" a="1"/>
  <c r="B78" i="14" s="1"/>
  <c r="R78" i="14"/>
  <c r="S78" i="14" s="1"/>
  <c r="J78" i="14" s="1"/>
  <c r="A85" i="14" a="1"/>
  <c r="A85" i="14" s="1"/>
  <c r="Q85" i="14" s="1"/>
  <c r="D85" i="14"/>
  <c r="G85" i="14"/>
  <c r="M85" i="14" s="1"/>
  <c r="R85" i="14"/>
  <c r="S85" i="14" s="1"/>
  <c r="A87" i="14" a="1"/>
  <c r="A87" i="14" s="1"/>
  <c r="Q87" i="14" s="1"/>
  <c r="D87" i="14"/>
  <c r="G87" i="14"/>
  <c r="K87" i="14" s="1"/>
  <c r="R87" i="14"/>
  <c r="A88" i="14" a="1"/>
  <c r="A88" i="14" s="1"/>
  <c r="Q88" i="14" s="1"/>
  <c r="D88" i="14"/>
  <c r="G88" i="14"/>
  <c r="L88" i="14" s="1"/>
  <c r="R88" i="14"/>
  <c r="A89" i="14" a="1"/>
  <c r="A89" i="14" s="1"/>
  <c r="Q89" i="14" s="1"/>
  <c r="D89" i="14"/>
  <c r="G89" i="14"/>
  <c r="K89" i="14" s="1"/>
  <c r="R89" i="14"/>
  <c r="S89" i="14" s="1"/>
  <c r="A90" i="14" a="1"/>
  <c r="A90" i="14" s="1"/>
  <c r="Q90" i="14" s="1"/>
  <c r="D90" i="14"/>
  <c r="G90" i="14"/>
  <c r="L90" i="14" s="1"/>
  <c r="R90" i="14"/>
  <c r="S90" i="14" s="1"/>
  <c r="J90" i="14" s="1"/>
  <c r="D67" i="14"/>
  <c r="A67" i="14" a="1"/>
  <c r="A67" i="14" s="1"/>
  <c r="Q67" i="14" s="1"/>
  <c r="G67" i="14"/>
  <c r="L67" i="14" s="1"/>
  <c r="R67" i="14"/>
  <c r="K68" i="14" l="1"/>
  <c r="M89" i="14"/>
  <c r="L89" i="14"/>
  <c r="K88" i="14"/>
  <c r="K85" i="14"/>
  <c r="K90" i="14"/>
  <c r="L78" i="14"/>
  <c r="K78" i="14"/>
  <c r="L85" i="14"/>
  <c r="K70" i="14"/>
  <c r="J68" i="14"/>
  <c r="S70" i="14"/>
  <c r="J70" i="14" s="1"/>
  <c r="J89" i="14"/>
  <c r="S88" i="14"/>
  <c r="J88" i="14" s="1"/>
  <c r="S87" i="14"/>
  <c r="J87" i="14" s="1"/>
  <c r="J76" i="14"/>
  <c r="M88" i="14"/>
  <c r="M70" i="14"/>
  <c r="M76" i="14"/>
  <c r="B76" i="14" s="1" a="1"/>
  <c r="B76" i="14" s="1"/>
  <c r="M87" i="14"/>
  <c r="J85" i="14"/>
  <c r="L76" i="14"/>
  <c r="M90" i="14"/>
  <c r="L87" i="14"/>
  <c r="M68" i="14"/>
  <c r="A68" i="14" s="1" a="1"/>
  <c r="A68" i="14" s="1"/>
  <c r="Q68" i="14" s="1"/>
  <c r="S67" i="14"/>
  <c r="J67" i="14" s="1"/>
  <c r="K67" i="14"/>
  <c r="M67" i="14"/>
  <c r="B67" i="14" s="1" a="1"/>
  <c r="B67" i="14" s="1"/>
  <c r="C20" i="17" l="1"/>
  <c r="D20" i="17" s="1"/>
  <c r="D27" i="13"/>
  <c r="A27" i="13" a="1"/>
  <c r="A27" i="13" s="1"/>
  <c r="R27" i="13" s="1"/>
  <c r="H27" i="13"/>
  <c r="M27" i="13" s="1"/>
  <c r="S27" i="13"/>
  <c r="T27" i="13"/>
  <c r="Y27" i="13"/>
  <c r="AF27" i="13"/>
  <c r="AF3" i="12"/>
  <c r="AF4" i="12"/>
  <c r="AF7" i="12"/>
  <c r="AF6" i="12"/>
  <c r="AF10" i="12"/>
  <c r="AF8" i="12"/>
  <c r="AF11" i="12"/>
  <c r="AF19" i="12"/>
  <c r="AF12" i="12"/>
  <c r="AF13" i="12"/>
  <c r="AF16" i="12"/>
  <c r="AF14" i="12"/>
  <c r="AF15" i="12"/>
  <c r="AF17" i="12"/>
  <c r="AF18" i="12"/>
  <c r="AF20" i="12"/>
  <c r="AF9" i="12"/>
  <c r="AF21" i="12"/>
  <c r="AF22" i="12"/>
  <c r="AF5" i="12"/>
  <c r="AF23" i="12"/>
  <c r="AF25" i="12"/>
  <c r="AF24" i="12"/>
  <c r="AF26" i="12"/>
  <c r="AF27" i="12"/>
  <c r="AF28" i="12"/>
  <c r="AF29" i="12"/>
  <c r="AF30" i="12"/>
  <c r="K27" i="13" l="1"/>
  <c r="L27" i="13"/>
  <c r="N27" i="13"/>
  <c r="A11" i="15" a="1"/>
  <c r="A11" i="15" s="1"/>
  <c r="A12" i="15" a="1"/>
  <c r="A12" i="15" s="1"/>
  <c r="A27" i="15" a="1"/>
  <c r="A27" i="15" s="1"/>
  <c r="A14" i="15" a="1"/>
  <c r="A14" i="15" s="1"/>
  <c r="Q14" i="15" s="1"/>
  <c r="A16" i="15" a="1"/>
  <c r="A16" i="15" s="1"/>
  <c r="A17" i="15" a="1"/>
  <c r="A17" i="15" s="1"/>
  <c r="A18" i="15" a="1"/>
  <c r="A18" i="15" s="1"/>
  <c r="A19" i="15" a="1"/>
  <c r="A19" i="15" s="1"/>
  <c r="A21" i="15" a="1"/>
  <c r="A21" i="15" s="1"/>
  <c r="A23" i="15" a="1"/>
  <c r="A23" i="15" s="1"/>
  <c r="A25" i="15" a="1"/>
  <c r="A25" i="15" s="1"/>
  <c r="A26" i="15" a="1"/>
  <c r="A26" i="15" s="1"/>
  <c r="A28" i="15" a="1"/>
  <c r="A28" i="15" s="1"/>
  <c r="A29" i="15" a="1"/>
  <c r="A29" i="15" s="1"/>
  <c r="A30" i="15" a="1"/>
  <c r="A30" i="15" s="1"/>
  <c r="A31" i="15" a="1"/>
  <c r="A31" i="15" s="1"/>
  <c r="A38" i="15" a="1"/>
  <c r="A38" i="15" s="1"/>
  <c r="A39" i="15" a="1"/>
  <c r="A39" i="15" s="1"/>
  <c r="A40" i="15" a="1"/>
  <c r="A40" i="15" s="1"/>
  <c r="A42" i="15" a="1"/>
  <c r="A42" i="15" s="1"/>
  <c r="A43" i="15" a="1"/>
  <c r="A43" i="15" s="1"/>
  <c r="A44" i="15" a="1"/>
  <c r="A44" i="15" s="1"/>
  <c r="A45" i="15" a="1"/>
  <c r="A45" i="15" s="1"/>
  <c r="Q45" i="15" s="1"/>
  <c r="A47" i="15" a="1"/>
  <c r="A47" i="15" s="1"/>
  <c r="A48" i="15" a="1"/>
  <c r="A48" i="15" s="1"/>
  <c r="A49" i="15" a="1"/>
  <c r="A49" i="15" s="1"/>
  <c r="Q49" i="15" s="1"/>
  <c r="A10" i="15" a="1"/>
  <c r="A10" i="15" s="1"/>
  <c r="C38" i="17"/>
  <c r="D38" i="17" s="1"/>
  <c r="E38" i="17"/>
  <c r="F38" i="17" s="1"/>
  <c r="D4" i="16"/>
  <c r="D5" i="16"/>
  <c r="D6" i="16"/>
  <c r="D10" i="16"/>
  <c r="D8" i="16"/>
  <c r="D9" i="16"/>
  <c r="D11" i="16"/>
  <c r="D12" i="16"/>
  <c r="D13" i="16"/>
  <c r="D14" i="16"/>
  <c r="D16" i="16"/>
  <c r="D17" i="16"/>
  <c r="D18" i="16"/>
  <c r="D20" i="16"/>
  <c r="D21" i="16"/>
  <c r="D22" i="16"/>
  <c r="D23" i="16"/>
  <c r="D24" i="16"/>
  <c r="D26" i="16"/>
  <c r="D27" i="16"/>
  <c r="D28" i="16"/>
  <c r="D29" i="16"/>
  <c r="D30" i="16"/>
  <c r="D31" i="16"/>
  <c r="D33" i="16"/>
  <c r="D34" i="16"/>
  <c r="D35" i="16"/>
  <c r="D36" i="16"/>
  <c r="D38" i="16"/>
  <c r="D46" i="16"/>
  <c r="D48" i="16"/>
  <c r="D50" i="16"/>
  <c r="D51" i="16"/>
  <c r="D52" i="16"/>
  <c r="D53" i="16"/>
  <c r="D55" i="16"/>
  <c r="D56" i="16"/>
  <c r="D58" i="16"/>
  <c r="D63" i="16"/>
  <c r="D68" i="16"/>
  <c r="D15" i="16"/>
  <c r="D19" i="16"/>
  <c r="D25" i="16"/>
  <c r="D37" i="16"/>
  <c r="D39" i="16"/>
  <c r="D40" i="16"/>
  <c r="D41" i="16"/>
  <c r="D42" i="16"/>
  <c r="D43" i="16"/>
  <c r="D44" i="16"/>
  <c r="D45" i="16"/>
  <c r="D47" i="16"/>
  <c r="D49" i="16"/>
  <c r="D66" i="16"/>
  <c r="D69" i="16"/>
  <c r="D70" i="16"/>
  <c r="D71" i="16"/>
  <c r="D72" i="16"/>
  <c r="D73" i="16"/>
  <c r="D76" i="16"/>
  <c r="D74" i="16"/>
  <c r="D75" i="16"/>
  <c r="D54" i="16"/>
  <c r="D57" i="16"/>
  <c r="D59" i="16"/>
  <c r="D60" i="16"/>
  <c r="D62" i="16"/>
  <c r="D64" i="16"/>
  <c r="D65" i="16"/>
  <c r="D67" i="16"/>
  <c r="D7" i="16"/>
  <c r="D32" i="16"/>
  <c r="G76" i="16"/>
  <c r="M76" i="16" s="1"/>
  <c r="B76" i="16" s="1" a="1"/>
  <c r="B76" i="16" s="1"/>
  <c r="R76" i="16"/>
  <c r="S76" i="16" s="1"/>
  <c r="J76" i="16" s="1"/>
  <c r="G74" i="16"/>
  <c r="L74" i="16" s="1"/>
  <c r="R74" i="16"/>
  <c r="S74" i="16" s="1"/>
  <c r="G75" i="16"/>
  <c r="M75" i="16" s="1"/>
  <c r="B75" i="16" s="1" a="1"/>
  <c r="B75" i="16" s="1"/>
  <c r="R75" i="16"/>
  <c r="S75" i="16" s="1"/>
  <c r="J75" i="16" s="1"/>
  <c r="A54" i="16" a="1"/>
  <c r="A54" i="16" s="1"/>
  <c r="Q54" i="16" s="1"/>
  <c r="G54" i="16"/>
  <c r="L54" i="16" s="1"/>
  <c r="R54" i="16"/>
  <c r="S54" i="16" s="1"/>
  <c r="A57" i="16" a="1"/>
  <c r="A57" i="16" s="1"/>
  <c r="Q57" i="16" s="1"/>
  <c r="G57" i="16"/>
  <c r="M57" i="16" s="1"/>
  <c r="B57" i="16" s="1" a="1"/>
  <c r="B57" i="16" s="1"/>
  <c r="R57" i="16"/>
  <c r="S57" i="16" s="1"/>
  <c r="J57" i="16" s="1"/>
  <c r="A59" i="16" a="1"/>
  <c r="A59" i="16" s="1"/>
  <c r="Q59" i="16" s="1"/>
  <c r="G59" i="16"/>
  <c r="L59" i="16" s="1"/>
  <c r="R59" i="16"/>
  <c r="S59" i="16" s="1"/>
  <c r="G60" i="16"/>
  <c r="M60" i="16" s="1"/>
  <c r="B60" i="16" s="1" a="1"/>
  <c r="B60" i="16" s="1"/>
  <c r="R60" i="16"/>
  <c r="S60" i="16" s="1"/>
  <c r="J60" i="16" s="1"/>
  <c r="G62" i="16"/>
  <c r="L62" i="16" s="1"/>
  <c r="R62" i="16"/>
  <c r="S62" i="16" s="1"/>
  <c r="A64" i="16" a="1"/>
  <c r="A64" i="16" s="1"/>
  <c r="Q64" i="16" s="1"/>
  <c r="G64" i="16"/>
  <c r="M64" i="16" s="1"/>
  <c r="B64" i="16" s="1" a="1"/>
  <c r="B64" i="16" s="1"/>
  <c r="R64" i="16"/>
  <c r="S64" i="16" s="1"/>
  <c r="J64" i="16" s="1"/>
  <c r="A65" i="16" a="1"/>
  <c r="A65" i="16" s="1"/>
  <c r="Q65" i="16" s="1"/>
  <c r="G65" i="16"/>
  <c r="L65" i="16" s="1"/>
  <c r="R65" i="16"/>
  <c r="S65" i="16" s="1"/>
  <c r="A67" i="16" a="1"/>
  <c r="A67" i="16" s="1"/>
  <c r="Q67" i="16" s="1"/>
  <c r="G67" i="16"/>
  <c r="M67" i="16" s="1"/>
  <c r="B67" i="16" s="1" a="1"/>
  <c r="B67" i="16" s="1"/>
  <c r="R67" i="16"/>
  <c r="S67" i="16" s="1"/>
  <c r="J67" i="16" s="1"/>
  <c r="G7" i="16"/>
  <c r="L7" i="16" s="1"/>
  <c r="R7" i="16"/>
  <c r="S7" i="16" s="1"/>
  <c r="G32" i="16"/>
  <c r="M32" i="16" s="1"/>
  <c r="B32" i="16" s="1" a="1"/>
  <c r="B32" i="16" s="1"/>
  <c r="R32" i="16"/>
  <c r="S32" i="16" s="1"/>
  <c r="A19" i="16" a="1"/>
  <c r="A19" i="16" s="1"/>
  <c r="Q19" i="16" s="1"/>
  <c r="G19" i="16"/>
  <c r="M19" i="16" s="1"/>
  <c r="B19" i="16" s="1" a="1"/>
  <c r="B19" i="16" s="1"/>
  <c r="R19" i="16"/>
  <c r="S19" i="16" s="1"/>
  <c r="J19" i="16" s="1"/>
  <c r="A25" i="16" a="1"/>
  <c r="A25" i="16" s="1"/>
  <c r="Q25" i="16" s="1"/>
  <c r="G25" i="16"/>
  <c r="L25" i="16" s="1"/>
  <c r="R25" i="16"/>
  <c r="S25" i="16" s="1"/>
  <c r="A37" i="16" a="1"/>
  <c r="A37" i="16" s="1"/>
  <c r="Q37" i="16" s="1"/>
  <c r="G37" i="16"/>
  <c r="M37" i="16" s="1"/>
  <c r="B37" i="16" s="1" a="1"/>
  <c r="B37" i="16" s="1"/>
  <c r="R37" i="16"/>
  <c r="S37" i="16" s="1"/>
  <c r="J37" i="16" s="1"/>
  <c r="A39" i="16" a="1"/>
  <c r="A39" i="16" s="1"/>
  <c r="Q39" i="16" s="1"/>
  <c r="G39" i="16"/>
  <c r="K39" i="16" s="1"/>
  <c r="R39" i="16"/>
  <c r="S39" i="16" s="1"/>
  <c r="A40" i="16" a="1"/>
  <c r="A40" i="16" s="1"/>
  <c r="Q40" i="16" s="1"/>
  <c r="G40" i="16"/>
  <c r="M40" i="16" s="1"/>
  <c r="B40" i="16" s="1" a="1"/>
  <c r="B40" i="16" s="1"/>
  <c r="R40" i="16"/>
  <c r="S40" i="16" s="1"/>
  <c r="J40" i="16" s="1"/>
  <c r="A41" i="16" a="1"/>
  <c r="A41" i="16" s="1"/>
  <c r="Q41" i="16" s="1"/>
  <c r="G41" i="16"/>
  <c r="L41" i="16" s="1"/>
  <c r="R41" i="16"/>
  <c r="S41" i="16" s="1"/>
  <c r="G42" i="16"/>
  <c r="M42" i="16" s="1"/>
  <c r="B42" i="16" s="1" a="1"/>
  <c r="B42" i="16" s="1"/>
  <c r="R42" i="16"/>
  <c r="S42" i="16" s="1"/>
  <c r="J42" i="16" s="1"/>
  <c r="A43" i="16" a="1"/>
  <c r="A43" i="16" s="1"/>
  <c r="Q43" i="16" s="1"/>
  <c r="G43" i="16"/>
  <c r="M43" i="16" s="1"/>
  <c r="B43" i="16" s="1" a="1"/>
  <c r="B43" i="16" s="1"/>
  <c r="R43" i="16"/>
  <c r="S43" i="16" s="1"/>
  <c r="G44" i="16"/>
  <c r="M44" i="16" s="1"/>
  <c r="B44" i="16" s="1" a="1"/>
  <c r="B44" i="16" s="1"/>
  <c r="R44" i="16"/>
  <c r="S44" i="16" s="1"/>
  <c r="J44" i="16" s="1"/>
  <c r="A45" i="16" a="1"/>
  <c r="A45" i="16" s="1"/>
  <c r="Q45" i="16" s="1"/>
  <c r="G45" i="16"/>
  <c r="L45" i="16" s="1"/>
  <c r="R45" i="16"/>
  <c r="S45" i="16" s="1"/>
  <c r="A47" i="16" a="1"/>
  <c r="A47" i="16" s="1"/>
  <c r="Q47" i="16" s="1"/>
  <c r="G47" i="16"/>
  <c r="M47" i="16" s="1"/>
  <c r="B47" i="16" s="1" a="1"/>
  <c r="B47" i="16" s="1"/>
  <c r="R47" i="16"/>
  <c r="S47" i="16" s="1"/>
  <c r="J47" i="16" s="1"/>
  <c r="A49" i="16" a="1"/>
  <c r="A49" i="16" s="1"/>
  <c r="Q49" i="16" s="1"/>
  <c r="G49" i="16"/>
  <c r="K49" i="16" s="1"/>
  <c r="R49" i="16"/>
  <c r="S49" i="16" s="1"/>
  <c r="A66" i="16" a="1"/>
  <c r="A66" i="16" s="1"/>
  <c r="Q66" i="16" s="1"/>
  <c r="G66" i="16"/>
  <c r="M66" i="16" s="1"/>
  <c r="B66" i="16" s="1" a="1"/>
  <c r="B66" i="16" s="1"/>
  <c r="R66" i="16"/>
  <c r="S66" i="16" s="1"/>
  <c r="J66" i="16" s="1"/>
  <c r="A69" i="16" a="1"/>
  <c r="A69" i="16" s="1"/>
  <c r="Q69" i="16" s="1"/>
  <c r="G69" i="16"/>
  <c r="K69" i="16" s="1"/>
  <c r="R69" i="16"/>
  <c r="S69" i="16" s="1"/>
  <c r="A70" i="16" a="1"/>
  <c r="A70" i="16" s="1"/>
  <c r="Q70" i="16" s="1"/>
  <c r="G70" i="16"/>
  <c r="M70" i="16" s="1"/>
  <c r="B70" i="16" s="1" a="1"/>
  <c r="B70" i="16" s="1"/>
  <c r="R70" i="16"/>
  <c r="S70" i="16" s="1"/>
  <c r="J70" i="16" s="1"/>
  <c r="A71" i="16" a="1"/>
  <c r="A71" i="16" s="1"/>
  <c r="Q71" i="16" s="1"/>
  <c r="G71" i="16"/>
  <c r="K71" i="16" s="1"/>
  <c r="R71" i="16"/>
  <c r="G72" i="16"/>
  <c r="M72" i="16" s="1"/>
  <c r="B72" i="16" s="1" a="1"/>
  <c r="B72" i="16" s="1"/>
  <c r="R72" i="16"/>
  <c r="S72" i="16" s="1"/>
  <c r="J72" i="16" s="1"/>
  <c r="A73" i="16" a="1"/>
  <c r="A73" i="16" s="1"/>
  <c r="Q73" i="16" s="1"/>
  <c r="G73" i="16"/>
  <c r="K73" i="16" s="1"/>
  <c r="R73" i="16"/>
  <c r="S73" i="16" s="1"/>
  <c r="G15" i="16"/>
  <c r="M15" i="16" s="1"/>
  <c r="B15" i="16" s="1" a="1"/>
  <c r="B15" i="16" s="1"/>
  <c r="R15" i="16"/>
  <c r="S15" i="16" s="1"/>
  <c r="J15" i="16" s="1"/>
  <c r="D45" i="15"/>
  <c r="D46" i="15"/>
  <c r="D47" i="15"/>
  <c r="D48" i="15"/>
  <c r="D49" i="15"/>
  <c r="D12" i="15"/>
  <c r="D5" i="15"/>
  <c r="D6" i="15"/>
  <c r="D7" i="15"/>
  <c r="D8" i="15"/>
  <c r="D9" i="15"/>
  <c r="D27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6" i="15"/>
  <c r="D28" i="15"/>
  <c r="D29" i="15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D44" i="15"/>
  <c r="D4" i="15"/>
  <c r="D11" i="15"/>
  <c r="D3" i="15"/>
  <c r="G49" i="15"/>
  <c r="M49" i="15" s="1"/>
  <c r="B49" i="15" s="1" a="1"/>
  <c r="B49" i="15" s="1"/>
  <c r="R49" i="15"/>
  <c r="S49" i="15" s="1"/>
  <c r="J49" i="15" s="1"/>
  <c r="G45" i="15"/>
  <c r="L45" i="15" s="1"/>
  <c r="R45" i="15"/>
  <c r="S45" i="15" s="1"/>
  <c r="G46" i="15"/>
  <c r="M46" i="15" s="1"/>
  <c r="B46" i="15" s="1" a="1"/>
  <c r="B46" i="15" s="1"/>
  <c r="R46" i="15"/>
  <c r="S46" i="15" s="1"/>
  <c r="J46" i="15" s="1"/>
  <c r="G5" i="15"/>
  <c r="L5" i="15" s="1"/>
  <c r="R5" i="15"/>
  <c r="S5" i="15" s="1"/>
  <c r="G14" i="15"/>
  <c r="M14" i="15" s="1"/>
  <c r="B14" i="15" s="1" a="1"/>
  <c r="B14" i="15" s="1"/>
  <c r="R14" i="15"/>
  <c r="S14" i="15" s="1"/>
  <c r="J14" i="15" s="1"/>
  <c r="G15" i="15"/>
  <c r="L15" i="15" s="1"/>
  <c r="R15" i="15"/>
  <c r="S15" i="15" s="1"/>
  <c r="G4" i="15"/>
  <c r="M4" i="15" s="1"/>
  <c r="R4" i="15"/>
  <c r="S4" i="15" s="1"/>
  <c r="J4" i="15" s="1"/>
  <c r="A75" i="16" l="1" a="1"/>
  <c r="A75" i="16" s="1"/>
  <c r="Q75" i="16" s="1"/>
  <c r="A42" i="16" a="1"/>
  <c r="A42" i="16" s="1"/>
  <c r="Q42" i="16" s="1"/>
  <c r="A15" i="16" a="1"/>
  <c r="A15" i="16" s="1"/>
  <c r="Q15" i="16" s="1"/>
  <c r="A32" i="16" a="1"/>
  <c r="A32" i="16" s="1"/>
  <c r="Q32" i="16" s="1"/>
  <c r="A60" i="16" a="1"/>
  <c r="A60" i="16" s="1"/>
  <c r="Q60" i="16" s="1"/>
  <c r="A76" i="16" a="1"/>
  <c r="A76" i="16" s="1"/>
  <c r="Q76" i="16" s="1"/>
  <c r="A72" i="16" a="1"/>
  <c r="A72" i="16" s="1"/>
  <c r="Q72" i="16" s="1"/>
  <c r="A44" i="16" a="1"/>
  <c r="A44" i="16" s="1"/>
  <c r="Q44" i="16" s="1"/>
  <c r="A46" i="15" a="1"/>
  <c r="A46" i="15" s="1"/>
  <c r="Q46" i="15" s="1"/>
  <c r="K40" i="16"/>
  <c r="K66" i="16"/>
  <c r="K43" i="16"/>
  <c r="L19" i="16"/>
  <c r="K65" i="16"/>
  <c r="K75" i="16"/>
  <c r="L71" i="16"/>
  <c r="L42" i="16"/>
  <c r="L67" i="16"/>
  <c r="M73" i="16"/>
  <c r="B73" i="16" s="1" a="1"/>
  <c r="B73" i="16" s="1"/>
  <c r="K70" i="16"/>
  <c r="K45" i="16"/>
  <c r="L73" i="16"/>
  <c r="M71" i="16"/>
  <c r="B71" i="16" s="1" a="1"/>
  <c r="B71" i="16" s="1"/>
  <c r="L47" i="16"/>
  <c r="K37" i="16"/>
  <c r="M59" i="16"/>
  <c r="B59" i="16" s="1" a="1"/>
  <c r="B59" i="16" s="1"/>
  <c r="K54" i="16"/>
  <c r="K41" i="16"/>
  <c r="M45" i="16"/>
  <c r="B45" i="16" s="1" a="1"/>
  <c r="B45" i="16" s="1"/>
  <c r="L76" i="16"/>
  <c r="K42" i="16"/>
  <c r="K64" i="16"/>
  <c r="K76" i="16"/>
  <c r="K4" i="15"/>
  <c r="J73" i="16"/>
  <c r="J7" i="16"/>
  <c r="J65" i="16"/>
  <c r="J59" i="16"/>
  <c r="J54" i="16"/>
  <c r="J69" i="16"/>
  <c r="J41" i="16"/>
  <c r="J49" i="16"/>
  <c r="J62" i="16"/>
  <c r="J74" i="16"/>
  <c r="J25" i="16"/>
  <c r="J43" i="16"/>
  <c r="G38" i="17"/>
  <c r="H38" i="17" s="1"/>
  <c r="S71" i="16"/>
  <c r="J71" i="16" s="1"/>
  <c r="J45" i="16"/>
  <c r="J39" i="16"/>
  <c r="L72" i="16"/>
  <c r="M49" i="16"/>
  <c r="B49" i="16" s="1" a="1"/>
  <c r="B49" i="16" s="1"/>
  <c r="K47" i="16"/>
  <c r="K19" i="16"/>
  <c r="K67" i="16"/>
  <c r="K59" i="16"/>
  <c r="L49" i="16"/>
  <c r="M7" i="16"/>
  <c r="L66" i="16"/>
  <c r="L43" i="16"/>
  <c r="K25" i="16"/>
  <c r="K7" i="16"/>
  <c r="L64" i="16"/>
  <c r="M54" i="16"/>
  <c r="B54" i="16" s="1" a="1"/>
  <c r="B54" i="16" s="1"/>
  <c r="M69" i="16"/>
  <c r="B69" i="16" s="1" a="1"/>
  <c r="B69" i="16" s="1"/>
  <c r="L44" i="16"/>
  <c r="L57" i="16"/>
  <c r="L69" i="16"/>
  <c r="L70" i="16"/>
  <c r="K44" i="16"/>
  <c r="M65" i="16"/>
  <c r="B65" i="16" s="1" a="1"/>
  <c r="B65" i="16" s="1"/>
  <c r="K57" i="16"/>
  <c r="M39" i="16"/>
  <c r="B39" i="16" s="1" a="1"/>
  <c r="B39" i="16" s="1"/>
  <c r="L60" i="16"/>
  <c r="M74" i="16"/>
  <c r="L15" i="16"/>
  <c r="K72" i="16"/>
  <c r="M41" i="16"/>
  <c r="B41" i="16" s="1" a="1"/>
  <c r="B41" i="16" s="1"/>
  <c r="L39" i="16"/>
  <c r="M25" i="16"/>
  <c r="B25" i="16" s="1" a="1"/>
  <c r="B25" i="16" s="1"/>
  <c r="L32" i="16"/>
  <c r="M62" i="16"/>
  <c r="K60" i="16"/>
  <c r="K74" i="16"/>
  <c r="K15" i="16"/>
  <c r="L40" i="16"/>
  <c r="L37" i="16"/>
  <c r="K32" i="16"/>
  <c r="K62" i="16"/>
  <c r="L75" i="16"/>
  <c r="J32" i="16"/>
  <c r="M5" i="15"/>
  <c r="K5" i="15"/>
  <c r="L46" i="15"/>
  <c r="K46" i="15"/>
  <c r="L49" i="15"/>
  <c r="K49" i="15"/>
  <c r="M45" i="15"/>
  <c r="B45" i="15" s="1" a="1"/>
  <c r="B45" i="15" s="1"/>
  <c r="J5" i="15"/>
  <c r="J15" i="15"/>
  <c r="J45" i="15"/>
  <c r="K45" i="15"/>
  <c r="M15" i="15"/>
  <c r="L14" i="15"/>
  <c r="L4" i="15"/>
  <c r="K15" i="15"/>
  <c r="K14" i="15"/>
  <c r="B15" i="15" l="1" a="1"/>
  <c r="B15" i="15" s="1"/>
  <c r="A15" i="15" a="1"/>
  <c r="A15" i="15" s="1"/>
  <c r="Q15" i="15" s="1"/>
  <c r="G20" i="17" s="1"/>
  <c r="H20" i="17" s="1"/>
  <c r="B62" i="16" a="1"/>
  <c r="B62" i="16" s="1"/>
  <c r="A62" i="16" a="1"/>
  <c r="A62" i="16" s="1"/>
  <c r="Q62" i="16" s="1"/>
  <c r="B74" i="16" a="1"/>
  <c r="B74" i="16" s="1"/>
  <c r="A74" i="16" a="1"/>
  <c r="A74" i="16" s="1"/>
  <c r="Q74" i="16" s="1"/>
  <c r="A11" i="16" a="1"/>
  <c r="A11" i="16" s="1"/>
  <c r="A14" i="16" a="1"/>
  <c r="A14" i="16" s="1"/>
  <c r="A16" i="16" a="1"/>
  <c r="A16" i="16" s="1"/>
  <c r="A18" i="16" a="1"/>
  <c r="A18" i="16" s="1"/>
  <c r="A20" i="16" a="1"/>
  <c r="A20" i="16" s="1"/>
  <c r="A21" i="16" a="1"/>
  <c r="A21" i="16" s="1"/>
  <c r="A24" i="16" a="1"/>
  <c r="A24" i="16" s="1"/>
  <c r="A27" i="16" a="1"/>
  <c r="A27" i="16" s="1"/>
  <c r="A28" i="16" a="1"/>
  <c r="A28" i="16" s="1"/>
  <c r="A29" i="16" a="1"/>
  <c r="A29" i="16" s="1"/>
  <c r="A30" i="16" a="1"/>
  <c r="A30" i="16" s="1"/>
  <c r="A31" i="16" a="1"/>
  <c r="A31" i="16" s="1"/>
  <c r="A35" i="16" a="1"/>
  <c r="A35" i="16" s="1"/>
  <c r="A36" i="16" a="1"/>
  <c r="A36" i="16" s="1"/>
  <c r="A38" i="16" a="1"/>
  <c r="A38" i="16" s="1"/>
  <c r="A46" i="16" a="1"/>
  <c r="A46" i="16" s="1"/>
  <c r="A48" i="16" a="1"/>
  <c r="A48" i="16" s="1"/>
  <c r="A50" i="16" a="1"/>
  <c r="A50" i="16" s="1"/>
  <c r="A52" i="16" a="1"/>
  <c r="A52" i="16" s="1"/>
  <c r="A53" i="16" a="1"/>
  <c r="A53" i="16" s="1"/>
  <c r="A55" i="16" a="1"/>
  <c r="A55" i="16" s="1"/>
  <c r="A58" i="16" a="1"/>
  <c r="A58" i="16" s="1"/>
  <c r="A61" i="16" a="1"/>
  <c r="A61" i="16" s="1"/>
  <c r="A63" i="16" a="1"/>
  <c r="A63" i="16" s="1"/>
  <c r="Q26" i="15"/>
  <c r="G3" i="17" s="1"/>
  <c r="H3" i="17" s="1"/>
  <c r="Q28" i="15"/>
  <c r="Q29" i="15"/>
  <c r="Q30" i="15"/>
  <c r="Q31" i="15"/>
  <c r="Q38" i="15"/>
  <c r="Q39" i="15"/>
  <c r="Q40" i="15"/>
  <c r="Q42" i="15"/>
  <c r="Q43" i="15"/>
  <c r="Q47" i="15"/>
  <c r="Q48" i="15"/>
  <c r="A10" i="14" a="1"/>
  <c r="A10" i="14" s="1"/>
  <c r="A12" i="14" a="1"/>
  <c r="A12" i="14" s="1"/>
  <c r="A14" i="14" a="1"/>
  <c r="A14" i="14" s="1"/>
  <c r="A16" i="14" a="1"/>
  <c r="A16" i="14" s="1"/>
  <c r="A18" i="14" a="1"/>
  <c r="A18" i="14" s="1"/>
  <c r="A20" i="14" a="1"/>
  <c r="A20" i="14" s="1"/>
  <c r="A19" i="14" a="1"/>
  <c r="A19" i="14" s="1"/>
  <c r="A22" i="14" a="1"/>
  <c r="A22" i="14" s="1"/>
  <c r="A24" i="14" a="1"/>
  <c r="A24" i="14" s="1"/>
  <c r="Q24" i="14" s="1"/>
  <c r="A26" i="14" a="1"/>
  <c r="A26" i="14" s="1"/>
  <c r="A27" i="14" a="1"/>
  <c r="A27" i="14" s="1"/>
  <c r="A28" i="14" a="1"/>
  <c r="A28" i="14" s="1"/>
  <c r="Q28" i="14" s="1"/>
  <c r="A29" i="14" a="1"/>
  <c r="A29" i="14" s="1"/>
  <c r="Q29" i="14" s="1"/>
  <c r="A40" i="14" a="1"/>
  <c r="A40" i="14" s="1"/>
  <c r="Q40" i="14" s="1"/>
  <c r="A30" i="14" a="1"/>
  <c r="A30" i="14" s="1"/>
  <c r="A31" i="14" a="1"/>
  <c r="A31" i="14" s="1"/>
  <c r="A21" i="14" a="1"/>
  <c r="A21" i="14" s="1"/>
  <c r="A33" i="14" a="1"/>
  <c r="A33" i="14" s="1"/>
  <c r="Q33" i="14" s="1"/>
  <c r="A34" i="14" a="1"/>
  <c r="A34" i="14" s="1"/>
  <c r="A35" i="14" a="1"/>
  <c r="A35" i="14" s="1"/>
  <c r="A37" i="14" a="1"/>
  <c r="A37" i="14" s="1"/>
  <c r="A38" i="14" a="1"/>
  <c r="A38" i="14" s="1"/>
  <c r="A39" i="14" a="1"/>
  <c r="A39" i="14" s="1"/>
  <c r="A41" i="14" a="1"/>
  <c r="A41" i="14" s="1"/>
  <c r="A42" i="14" a="1"/>
  <c r="A42" i="14" s="1"/>
  <c r="A17" i="14" a="1"/>
  <c r="A17" i="14" s="1"/>
  <c r="Q17" i="14" s="1"/>
  <c r="A43" i="14" a="1"/>
  <c r="A43" i="14" s="1"/>
  <c r="A44" i="14" a="1"/>
  <c r="A44" i="14" s="1"/>
  <c r="Q44" i="14" s="1"/>
  <c r="A45" i="14" a="1"/>
  <c r="A45" i="14" s="1"/>
  <c r="Q45" i="14" s="1"/>
  <c r="A46" i="14" a="1"/>
  <c r="A46" i="14" s="1"/>
  <c r="Q46" i="14" s="1"/>
  <c r="A47" i="14" a="1"/>
  <c r="A47" i="14" s="1"/>
  <c r="Q47" i="14" s="1"/>
  <c r="A49" i="14" a="1"/>
  <c r="A49" i="14" s="1"/>
  <c r="Q49" i="14" s="1"/>
  <c r="A50" i="14" a="1"/>
  <c r="A50" i="14" s="1"/>
  <c r="Q50" i="14" s="1"/>
  <c r="E44" i="17" s="1"/>
  <c r="F44" i="17" s="1"/>
  <c r="A51" i="14" a="1"/>
  <c r="A51" i="14" s="1"/>
  <c r="A52" i="14" a="1"/>
  <c r="A52" i="14" s="1"/>
  <c r="Q52" i="14" s="1"/>
  <c r="A53" i="14" a="1"/>
  <c r="A53" i="14" s="1"/>
  <c r="A54" i="14" a="1"/>
  <c r="A54" i="14" s="1"/>
  <c r="Q54" i="14" s="1"/>
  <c r="A55" i="14" a="1"/>
  <c r="A55" i="14" s="1"/>
  <c r="Q55" i="14" s="1"/>
  <c r="A56" i="14" a="1"/>
  <c r="A56" i="14" s="1"/>
  <c r="Q56" i="14" s="1"/>
  <c r="A57" i="14" a="1"/>
  <c r="A57" i="14" s="1"/>
  <c r="Q57" i="14" s="1"/>
  <c r="A58" i="14" a="1"/>
  <c r="A58" i="14" s="1"/>
  <c r="A59" i="14" a="1"/>
  <c r="A59" i="14" s="1"/>
  <c r="A71" i="14" a="1"/>
  <c r="A71" i="14" s="1"/>
  <c r="A72" i="14" a="1"/>
  <c r="A72" i="14" s="1"/>
  <c r="A75" i="14" a="1"/>
  <c r="A75" i="14" s="1"/>
  <c r="A77" i="14" a="1"/>
  <c r="A77" i="14" s="1"/>
  <c r="A65" i="14" a="1"/>
  <c r="A65" i="14" s="1"/>
  <c r="A82" i="14" a="1"/>
  <c r="A82" i="14" s="1"/>
  <c r="A86" i="14" a="1"/>
  <c r="A86" i="14" s="1"/>
  <c r="Q86" i="14" s="1"/>
  <c r="A74" i="14" a="1"/>
  <c r="A74" i="14" s="1"/>
  <c r="A81" i="14" a="1"/>
  <c r="A81" i="14" s="1"/>
  <c r="A83" i="14" a="1"/>
  <c r="A83" i="14" s="1"/>
  <c r="A73" i="14" a="1"/>
  <c r="A73" i="14" s="1"/>
  <c r="A84" i="14" a="1"/>
  <c r="A84" i="14" s="1"/>
  <c r="A97" i="14" a="1"/>
  <c r="A97" i="14" s="1"/>
  <c r="Q97" i="14" s="1"/>
  <c r="A98" i="14" a="1"/>
  <c r="A98" i="14" s="1"/>
  <c r="Q98" i="14" s="1"/>
  <c r="A99" i="14" a="1"/>
  <c r="A99" i="14" s="1"/>
  <c r="Q99" i="14" s="1"/>
  <c r="A100" i="14" a="1"/>
  <c r="A100" i="14" s="1"/>
  <c r="A101" i="14" a="1"/>
  <c r="A101" i="14" s="1"/>
  <c r="Q101" i="14" s="1"/>
  <c r="A102" i="14" a="1"/>
  <c r="A102" i="14" s="1"/>
  <c r="A103" i="14" a="1"/>
  <c r="A103" i="14" s="1"/>
  <c r="Q103" i="14" s="1"/>
  <c r="A104" i="14" a="1"/>
  <c r="A104" i="14" s="1"/>
  <c r="Q104" i="14" s="1"/>
  <c r="A9" i="14" a="1"/>
  <c r="A9" i="14" s="1"/>
  <c r="A23" i="6" a="1"/>
  <c r="A23" i="6" s="1"/>
  <c r="A20" i="6" a="1"/>
  <c r="A20" i="6" s="1"/>
  <c r="A21" i="6" a="1"/>
  <c r="A21" i="6" s="1"/>
  <c r="A22" i="6" a="1"/>
  <c r="A22" i="6" s="1"/>
  <c r="A19" i="6" a="1"/>
  <c r="A19" i="6" s="1"/>
  <c r="Q19" i="6" s="1"/>
  <c r="A24" i="6" a="1"/>
  <c r="A24" i="6" s="1"/>
  <c r="A27" i="6" a="1"/>
  <c r="A27" i="6" s="1"/>
  <c r="A28" i="6" a="1"/>
  <c r="A28" i="6" s="1"/>
  <c r="Q28" i="6" s="1"/>
  <c r="A29" i="6" a="1"/>
  <c r="A29" i="6" s="1"/>
  <c r="A30" i="6" a="1"/>
  <c r="A30" i="6" s="1"/>
  <c r="Q30" i="6" s="1"/>
  <c r="A31" i="6" a="1"/>
  <c r="A31" i="6" s="1"/>
  <c r="A33" i="6" a="1"/>
  <c r="A33" i="6" s="1"/>
  <c r="Q33" i="6" s="1"/>
  <c r="A34" i="6" a="1"/>
  <c r="A34" i="6" s="1"/>
  <c r="A35" i="6" a="1"/>
  <c r="A35" i="6" s="1"/>
  <c r="Q35" i="6" s="1"/>
  <c r="E37" i="17" s="1"/>
  <c r="F37" i="17" s="1"/>
  <c r="A36" i="6" a="1"/>
  <c r="A36" i="6" s="1"/>
  <c r="Q36" i="6" s="1"/>
  <c r="A37" i="6" a="1"/>
  <c r="A37" i="6" s="1"/>
  <c r="A38" i="6" a="1"/>
  <c r="A38" i="6" s="1"/>
  <c r="A39" i="6" a="1"/>
  <c r="A39" i="6" s="1"/>
  <c r="A40" i="6" a="1"/>
  <c r="A40" i="6" s="1"/>
  <c r="A41" i="6" a="1"/>
  <c r="A41" i="6" s="1"/>
  <c r="A44" i="6" a="1"/>
  <c r="A44" i="6" s="1"/>
  <c r="A45" i="6" a="1"/>
  <c r="A45" i="6" s="1"/>
  <c r="A25" i="6" a="1"/>
  <c r="A25" i="6" s="1"/>
  <c r="A46" i="6" a="1"/>
  <c r="A46" i="6" s="1"/>
  <c r="Q46" i="6" s="1"/>
  <c r="A47" i="6" a="1"/>
  <c r="A47" i="6" s="1"/>
  <c r="Q47" i="6" s="1"/>
  <c r="A48" i="6" a="1"/>
  <c r="A48" i="6" s="1"/>
  <c r="Q48" i="6" s="1"/>
  <c r="E3" i="17" s="1"/>
  <c r="F3" i="17" s="1"/>
  <c r="A49" i="6" a="1"/>
  <c r="A49" i="6" s="1"/>
  <c r="Q49" i="6" s="1"/>
  <c r="A50" i="6" a="1"/>
  <c r="A50" i="6" s="1"/>
  <c r="Q50" i="6" s="1"/>
  <c r="A51" i="6" a="1"/>
  <c r="A51" i="6" s="1"/>
  <c r="Q51" i="6" s="1"/>
  <c r="A52" i="6" a="1"/>
  <c r="A52" i="6" s="1"/>
  <c r="A53" i="6" a="1"/>
  <c r="A53" i="6" s="1"/>
  <c r="Q53" i="6" s="1"/>
  <c r="A54" i="6" a="1"/>
  <c r="A54" i="6" s="1"/>
  <c r="Q54" i="6" s="1"/>
  <c r="A55" i="6" a="1"/>
  <c r="A55" i="6" s="1"/>
  <c r="Q55" i="6" s="1"/>
  <c r="A56" i="6" a="1"/>
  <c r="A56" i="6" s="1"/>
  <c r="A57" i="6" a="1"/>
  <c r="A57" i="6" s="1"/>
  <c r="Q57" i="6" s="1"/>
  <c r="A58" i="6" a="1"/>
  <c r="A58" i="6" s="1"/>
  <c r="A67" i="6" a="1"/>
  <c r="A67" i="6" s="1"/>
  <c r="A69" i="6" a="1"/>
  <c r="A69" i="6" s="1"/>
  <c r="A70" i="6" a="1"/>
  <c r="A70" i="6" s="1"/>
  <c r="A71" i="6" a="1"/>
  <c r="A71" i="6" s="1"/>
  <c r="Q71" i="6" s="1"/>
  <c r="A72" i="6" a="1"/>
  <c r="A72" i="6" s="1"/>
  <c r="A74" i="6" a="1"/>
  <c r="A74" i="6" s="1"/>
  <c r="Q74" i="6" s="1"/>
  <c r="A75" i="6" a="1"/>
  <c r="A75" i="6" s="1"/>
  <c r="A77" i="6" a="1"/>
  <c r="A77" i="6" s="1"/>
  <c r="A79" i="6" a="1"/>
  <c r="A79" i="6" s="1"/>
  <c r="Q79" i="6" s="1"/>
  <c r="A80" i="6" a="1"/>
  <c r="A80" i="6" s="1"/>
  <c r="Q80" i="6" s="1"/>
  <c r="A81" i="6" a="1"/>
  <c r="A81" i="6" s="1"/>
  <c r="Q81" i="6" s="1"/>
  <c r="A82" i="6" a="1"/>
  <c r="A82" i="6" s="1"/>
  <c r="Q82" i="6" s="1"/>
  <c r="A84" i="6" a="1"/>
  <c r="A84" i="6" s="1"/>
  <c r="Q84" i="6" s="1"/>
  <c r="A85" i="6" a="1"/>
  <c r="A85" i="6" s="1"/>
  <c r="Q85" i="6" s="1"/>
  <c r="A86" i="6" a="1"/>
  <c r="A86" i="6" s="1"/>
  <c r="Q86" i="6" s="1"/>
  <c r="A90" i="6" a="1"/>
  <c r="A90" i="6" s="1"/>
  <c r="Q90" i="6" s="1"/>
  <c r="A92" i="6" a="1"/>
  <c r="A92" i="6" s="1"/>
  <c r="A93" i="6" a="1"/>
  <c r="A93" i="6" s="1"/>
  <c r="A94" i="6" a="1"/>
  <c r="A94" i="6" s="1"/>
  <c r="A95" i="6" a="1"/>
  <c r="A95" i="6" s="1"/>
  <c r="Q95" i="6" s="1"/>
  <c r="A96" i="6" a="1"/>
  <c r="A96" i="6" s="1"/>
  <c r="Q96" i="6" s="1"/>
  <c r="A97" i="6" a="1"/>
  <c r="A97" i="6" s="1"/>
  <c r="A98" i="6" a="1"/>
  <c r="A98" i="6" s="1"/>
  <c r="Q98" i="6" s="1"/>
  <c r="A18" i="6" a="1"/>
  <c r="A18" i="6" s="1"/>
  <c r="A21" i="13" a="1"/>
  <c r="A21" i="13" s="1"/>
  <c r="R21" i="13" s="1"/>
  <c r="A6" i="13" a="1"/>
  <c r="A6" i="13" s="1"/>
  <c r="A7" i="13" a="1"/>
  <c r="A7" i="13" s="1"/>
  <c r="R7" i="13" s="1"/>
  <c r="A8" i="13" a="1"/>
  <c r="A8" i="13" s="1"/>
  <c r="R8" i="13" s="1"/>
  <c r="A9" i="13" a="1"/>
  <c r="A9" i="13" s="1"/>
  <c r="R9" i="13" s="1"/>
  <c r="A11" i="13" a="1"/>
  <c r="A11" i="13" s="1"/>
  <c r="A10" i="13" a="1"/>
  <c r="A10" i="13" s="1"/>
  <c r="A12" i="13" a="1"/>
  <c r="A12" i="13" s="1"/>
  <c r="R12" i="13" s="1"/>
  <c r="A13" i="13" a="1"/>
  <c r="A13" i="13" s="1"/>
  <c r="R13" i="13" s="1"/>
  <c r="A14" i="13" a="1"/>
  <c r="A14" i="13" s="1"/>
  <c r="R14" i="13" s="1"/>
  <c r="A19" i="13" a="1"/>
  <c r="A19" i="13" s="1"/>
  <c r="R19" i="13" s="1"/>
  <c r="A15" i="13" a="1"/>
  <c r="A15" i="13" s="1"/>
  <c r="A16" i="13" a="1"/>
  <c r="A16" i="13" s="1"/>
  <c r="A17" i="13" a="1"/>
  <c r="A17" i="13" s="1"/>
  <c r="A18" i="13" a="1"/>
  <c r="A18" i="13" s="1"/>
  <c r="A20" i="13" a="1"/>
  <c r="A20" i="13" s="1"/>
  <c r="R20" i="13" s="1"/>
  <c r="A5" i="13" a="1"/>
  <c r="A5" i="13" s="1"/>
  <c r="A22" i="13" a="1"/>
  <c r="A22" i="13" s="1"/>
  <c r="A24" i="13" a="1"/>
  <c r="A24" i="13" s="1"/>
  <c r="A25" i="13" a="1"/>
  <c r="A25" i="13" s="1"/>
  <c r="R25" i="13" s="1"/>
  <c r="A26" i="13" a="1"/>
  <c r="A26" i="13" s="1"/>
  <c r="R26" i="13" s="1"/>
  <c r="A28" i="13" a="1"/>
  <c r="A28" i="13" s="1"/>
  <c r="R28" i="13" s="1"/>
  <c r="A30" i="13" a="1"/>
  <c r="A30" i="13" s="1"/>
  <c r="R30" i="13" s="1"/>
  <c r="A29" i="13" a="1"/>
  <c r="A29" i="13" s="1"/>
  <c r="A32" i="13" a="1"/>
  <c r="A32" i="13" s="1"/>
  <c r="R32" i="13" s="1"/>
  <c r="A31" i="13" a="1"/>
  <c r="A31" i="13" s="1"/>
  <c r="R31" i="13" s="1"/>
  <c r="A33" i="13" a="1"/>
  <c r="A33" i="13" s="1"/>
  <c r="A34" i="13" a="1"/>
  <c r="A34" i="13" s="1"/>
  <c r="R34" i="13" s="1"/>
  <c r="A38" i="13" a="1"/>
  <c r="A38" i="13" s="1"/>
  <c r="R38" i="13" s="1"/>
  <c r="A40" i="13" a="1"/>
  <c r="A40" i="13" s="1"/>
  <c r="R40" i="13" s="1"/>
  <c r="A41" i="13" a="1"/>
  <c r="A41" i="13" s="1"/>
  <c r="R41" i="13" s="1"/>
  <c r="A43" i="13" a="1"/>
  <c r="A43" i="13" s="1"/>
  <c r="R43" i="13" s="1"/>
  <c r="A45" i="13" a="1"/>
  <c r="A45" i="13" s="1"/>
  <c r="A46" i="13" a="1"/>
  <c r="A46" i="13" s="1"/>
  <c r="R46" i="13" s="1"/>
  <c r="A7" i="12" a="1"/>
  <c r="A7" i="12" s="1"/>
  <c r="R7" i="12" s="1"/>
  <c r="A6" i="12" a="1"/>
  <c r="A6" i="12" s="1"/>
  <c r="A10" i="12" a="1"/>
  <c r="A10" i="12" s="1"/>
  <c r="A8" i="12" a="1"/>
  <c r="A8" i="12" s="1"/>
  <c r="A11" i="12" a="1"/>
  <c r="A11" i="12" s="1"/>
  <c r="R11" i="12" s="1"/>
  <c r="A19" i="12" a="1"/>
  <c r="A19" i="12" s="1"/>
  <c r="R19" i="12" s="1"/>
  <c r="A12" i="12" a="1"/>
  <c r="A12" i="12" s="1"/>
  <c r="R12" i="12" s="1"/>
  <c r="A13" i="12" a="1"/>
  <c r="A13" i="12" s="1"/>
  <c r="R13" i="12" s="1"/>
  <c r="A18" i="12" a="1"/>
  <c r="A18" i="12" s="1"/>
  <c r="A20" i="12" a="1"/>
  <c r="A20" i="12" s="1"/>
  <c r="R20" i="12" s="1"/>
  <c r="A9" i="12" a="1"/>
  <c r="A9" i="12" s="1"/>
  <c r="R9" i="12" s="1"/>
  <c r="A21" i="12" a="1"/>
  <c r="A21" i="12" s="1"/>
  <c r="A22" i="12" a="1"/>
  <c r="A22" i="12" s="1"/>
  <c r="R22" i="12" s="1"/>
  <c r="A5" i="12" a="1"/>
  <c r="A5" i="12" s="1"/>
  <c r="R5" i="12" s="1"/>
  <c r="A25" i="12" a="1"/>
  <c r="A25" i="12" s="1"/>
  <c r="R25" i="12" s="1"/>
  <c r="A24" i="12" a="1"/>
  <c r="A24" i="12" s="1"/>
  <c r="R24" i="12" s="1"/>
  <c r="A26" i="12" a="1"/>
  <c r="A26" i="12" s="1"/>
  <c r="R26" i="12" s="1"/>
  <c r="A28" i="12" a="1"/>
  <c r="A28" i="12" s="1"/>
  <c r="R28" i="12" s="1"/>
  <c r="A7" i="11" a="1"/>
  <c r="A7" i="11" s="1"/>
  <c r="Q7" i="11" s="1"/>
  <c r="A8" i="11" a="1"/>
  <c r="A8" i="11" s="1"/>
  <c r="Q8" i="11" s="1"/>
  <c r="A12" i="11" a="1"/>
  <c r="A12" i="11" s="1"/>
  <c r="A18" i="11" a="1"/>
  <c r="A18" i="11" s="1"/>
  <c r="A19" i="11" a="1"/>
  <c r="A19" i="11" s="1"/>
  <c r="A17" i="11" a="1"/>
  <c r="A17" i="11" s="1"/>
  <c r="A21" i="11" a="1"/>
  <c r="A21" i="11" s="1"/>
  <c r="A22" i="11" a="1"/>
  <c r="A22" i="11" s="1"/>
  <c r="A23" i="11" a="1"/>
  <c r="A23" i="11" s="1"/>
  <c r="Q23" i="11" s="1"/>
  <c r="A24" i="11" a="1"/>
  <c r="A24" i="11" s="1"/>
  <c r="A10" i="11" a="1"/>
  <c r="A10" i="11" s="1"/>
  <c r="A30" i="11" a="1"/>
  <c r="A30" i="11" s="1"/>
  <c r="Q30" i="11" s="1"/>
  <c r="C21" i="17" s="1"/>
  <c r="D21" i="17" s="1"/>
  <c r="A31" i="11" a="1"/>
  <c r="A31" i="11" s="1"/>
  <c r="A32" i="11" a="1"/>
  <c r="A32" i="11" s="1"/>
  <c r="A33" i="11" a="1"/>
  <c r="A33" i="11" s="1"/>
  <c r="Q33" i="11" s="1"/>
  <c r="A34" i="11" a="1"/>
  <c r="A34" i="11" s="1"/>
  <c r="A35" i="11" a="1"/>
  <c r="A35" i="11" s="1"/>
  <c r="A38" i="11" a="1"/>
  <c r="A38" i="11" s="1"/>
  <c r="A25" i="11" a="1"/>
  <c r="A25" i="11" s="1"/>
  <c r="A39" i="11" a="1"/>
  <c r="A39" i="11" s="1"/>
  <c r="A37" i="11" a="1"/>
  <c r="A37" i="11" s="1"/>
  <c r="A40" i="11" a="1"/>
  <c r="A40" i="11" s="1"/>
  <c r="A41" i="11" a="1"/>
  <c r="A41" i="11" s="1"/>
  <c r="A45" i="11" a="1"/>
  <c r="A45" i="11" s="1"/>
  <c r="A46" i="11" a="1"/>
  <c r="A46" i="11" s="1"/>
  <c r="A47" i="11" a="1"/>
  <c r="A47" i="11" s="1"/>
  <c r="Q47" i="11" s="1"/>
  <c r="A48" i="11" a="1"/>
  <c r="A48" i="11" s="1"/>
  <c r="Q48" i="11" s="1"/>
  <c r="A49" i="11" a="1"/>
  <c r="A49" i="11" s="1"/>
  <c r="A50" i="11" a="1"/>
  <c r="A50" i="11" s="1"/>
  <c r="A51" i="11" a="1"/>
  <c r="A51" i="11" s="1"/>
  <c r="Q51" i="11" s="1"/>
  <c r="C56" i="17" s="1"/>
  <c r="D56" i="17" s="1"/>
  <c r="A52" i="11" a="1"/>
  <c r="A52" i="11" s="1"/>
  <c r="Q52" i="11" s="1"/>
  <c r="A53" i="11" a="1"/>
  <c r="A53" i="11" s="1"/>
  <c r="Q53" i="11" s="1"/>
  <c r="A54" i="11" a="1"/>
  <c r="A54" i="11" s="1"/>
  <c r="A44" i="11" a="1"/>
  <c r="A44" i="11" s="1"/>
  <c r="A55" i="11" a="1"/>
  <c r="A55" i="11" s="1"/>
  <c r="Q55" i="11" s="1"/>
  <c r="A56" i="11" a="1"/>
  <c r="A56" i="11" s="1"/>
  <c r="A26" i="11" a="1"/>
  <c r="A26" i="11" s="1"/>
  <c r="A59" i="11" a="1"/>
  <c r="A59" i="11" s="1"/>
  <c r="Q59" i="11" s="1"/>
  <c r="A61" i="11" a="1"/>
  <c r="A61" i="11" s="1"/>
  <c r="Q61" i="11" s="1"/>
  <c r="A62" i="11" a="1"/>
  <c r="A62" i="11" s="1"/>
  <c r="A63" i="11" a="1"/>
  <c r="A63" i="11" s="1"/>
  <c r="A64" i="11" a="1"/>
  <c r="A64" i="11" s="1"/>
  <c r="A65" i="11" a="1"/>
  <c r="A65" i="11" s="1"/>
  <c r="Q65" i="11" s="1"/>
  <c r="A66" i="11" a="1"/>
  <c r="A66" i="11" s="1"/>
  <c r="Q66" i="11" s="1"/>
  <c r="C34" i="17" s="1"/>
  <c r="D34" i="17" s="1"/>
  <c r="A67" i="11" a="1"/>
  <c r="A67" i="11" s="1"/>
  <c r="A68" i="11" a="1"/>
  <c r="A68" i="11" s="1"/>
  <c r="A71" i="11" a="1"/>
  <c r="A71" i="11" s="1"/>
  <c r="A72" i="11" a="1"/>
  <c r="A72" i="11" s="1"/>
  <c r="Q72" i="11" s="1"/>
  <c r="A73" i="11" a="1"/>
  <c r="A73" i="11" s="1"/>
  <c r="A14" i="11" a="1"/>
  <c r="A14" i="11" s="1"/>
  <c r="A74" i="11" a="1"/>
  <c r="A74" i="11" s="1"/>
  <c r="Q74" i="11" s="1"/>
  <c r="A36" i="11" a="1"/>
  <c r="A36" i="11" s="1"/>
  <c r="A76" i="11" a="1"/>
  <c r="A76" i="11" s="1"/>
  <c r="A77" i="11" a="1"/>
  <c r="A77" i="11" s="1"/>
  <c r="Q77" i="11" s="1"/>
  <c r="C62" i="17" s="1"/>
  <c r="D62" i="17" s="1"/>
  <c r="A79" i="11" a="1"/>
  <c r="A79" i="11" s="1"/>
  <c r="Q79" i="11" s="1"/>
  <c r="A80" i="11" a="1"/>
  <c r="A80" i="11" s="1"/>
  <c r="Q80" i="11" s="1"/>
  <c r="A81" i="11" a="1"/>
  <c r="A81" i="11" s="1"/>
  <c r="A83" i="11" a="1"/>
  <c r="A83" i="11" s="1"/>
  <c r="Q83" i="11" s="1"/>
  <c r="A13" i="11" a="1"/>
  <c r="A13" i="11" s="1"/>
  <c r="A89" i="11" a="1"/>
  <c r="A89" i="11" s="1"/>
  <c r="A90" i="11" a="1"/>
  <c r="A90" i="11" s="1"/>
  <c r="A95" i="11" a="1"/>
  <c r="A95" i="11" s="1"/>
  <c r="Q95" i="11" s="1"/>
  <c r="A96" i="11" a="1"/>
  <c r="A96" i="11" s="1"/>
  <c r="Q96" i="11" s="1"/>
  <c r="A97" i="11" a="1"/>
  <c r="A97" i="11" s="1"/>
  <c r="Q97" i="11" s="1"/>
  <c r="A99" i="11" a="1"/>
  <c r="A99" i="11" s="1"/>
  <c r="A100" i="11" a="1"/>
  <c r="A100" i="11" s="1"/>
  <c r="A101" i="11" a="1"/>
  <c r="A101" i="11" s="1"/>
  <c r="A103" i="11" a="1"/>
  <c r="A103" i="11" s="1"/>
  <c r="A105" i="11" a="1"/>
  <c r="A105" i="11" s="1"/>
  <c r="A106" i="11" a="1"/>
  <c r="A106" i="11" s="1"/>
  <c r="Q106" i="11" s="1"/>
  <c r="A107" i="11" a="1"/>
  <c r="A107" i="11" s="1"/>
  <c r="Q107" i="11" s="1"/>
  <c r="A108" i="11" a="1"/>
  <c r="A108" i="11" s="1"/>
  <c r="Q108" i="11" s="1"/>
  <c r="A109" i="11" a="1"/>
  <c r="A109" i="11" s="1"/>
  <c r="Q109" i="11" s="1"/>
  <c r="A110" i="11" a="1"/>
  <c r="A110" i="11" s="1"/>
  <c r="Q110" i="11" s="1"/>
  <c r="A111" i="11" a="1"/>
  <c r="A111" i="11" s="1"/>
  <c r="Q111" i="11" s="1"/>
  <c r="A112" i="11" a="1"/>
  <c r="A112" i="11" s="1"/>
  <c r="Q112" i="11" s="1"/>
  <c r="A113" i="11" a="1"/>
  <c r="A113" i="11" s="1"/>
  <c r="Q113" i="11" s="1"/>
  <c r="A114" i="11" a="1"/>
  <c r="A114" i="11" s="1"/>
  <c r="A115" i="11" a="1"/>
  <c r="A115" i="11" s="1"/>
  <c r="Q115" i="11" s="1"/>
  <c r="A116" i="11" a="1"/>
  <c r="A116" i="11" s="1"/>
  <c r="Q116" i="11" s="1"/>
  <c r="A117" i="11" a="1"/>
  <c r="A117" i="11" s="1"/>
  <c r="Q117" i="11" s="1"/>
  <c r="A118" i="11" a="1"/>
  <c r="A118" i="11" s="1"/>
  <c r="Q118" i="11" s="1"/>
  <c r="A122" i="11" a="1"/>
  <c r="A122" i="11" s="1"/>
  <c r="Q122" i="11" s="1"/>
  <c r="A123" i="11" a="1"/>
  <c r="A123" i="11" s="1"/>
  <c r="Q123" i="11" s="1"/>
  <c r="A124" i="11" a="1"/>
  <c r="A124" i="11" s="1"/>
  <c r="Q124" i="11" s="1"/>
  <c r="A126" i="11" a="1"/>
  <c r="A126" i="11" s="1"/>
  <c r="Q126" i="11" s="1"/>
  <c r="A127" i="11" a="1"/>
  <c r="A127" i="11" s="1"/>
  <c r="Q127" i="11" s="1"/>
  <c r="A128" i="11" a="1"/>
  <c r="A128" i="11" s="1"/>
  <c r="A130" i="11" a="1"/>
  <c r="A130" i="11" s="1"/>
  <c r="A132" i="11" a="1"/>
  <c r="A132" i="11" s="1"/>
  <c r="Q132" i="11" s="1"/>
  <c r="A9" i="11" a="1"/>
  <c r="A9" i="11" s="1"/>
  <c r="Q9" i="11" s="1"/>
  <c r="A20" i="11" a="1"/>
  <c r="A20" i="11" s="1"/>
  <c r="Q20" i="11" s="1"/>
  <c r="A57" i="11" a="1"/>
  <c r="A57" i="11" s="1"/>
  <c r="Q57" i="11" s="1"/>
  <c r="A82" i="11" a="1"/>
  <c r="A82" i="11" s="1"/>
  <c r="Q82" i="11" s="1"/>
  <c r="A11" i="3" a="1"/>
  <c r="A11" i="3" s="1"/>
  <c r="Q11" i="3" s="1"/>
  <c r="A12" i="3" a="1"/>
  <c r="A12" i="3" s="1"/>
  <c r="A15" i="3" a="1"/>
  <c r="A15" i="3" s="1"/>
  <c r="A16" i="3" a="1"/>
  <c r="A16" i="3" s="1"/>
  <c r="A17" i="3" a="1"/>
  <c r="A17" i="3" s="1"/>
  <c r="A18" i="3" a="1"/>
  <c r="A18" i="3" s="1"/>
  <c r="A20" i="3" a="1"/>
  <c r="A20" i="3" s="1"/>
  <c r="A22" i="3" a="1"/>
  <c r="A22" i="3" s="1"/>
  <c r="Q22" i="3" s="1"/>
  <c r="A24" i="3" a="1"/>
  <c r="A24" i="3" s="1"/>
  <c r="A25" i="3" a="1"/>
  <c r="A25" i="3" s="1"/>
  <c r="A27" i="3" a="1"/>
  <c r="A27" i="3" s="1"/>
  <c r="A28" i="3" a="1"/>
  <c r="A28" i="3" s="1"/>
  <c r="A31" i="3" a="1"/>
  <c r="A31" i="3" s="1"/>
  <c r="Q31" i="3" s="1"/>
  <c r="A30" i="3" a="1"/>
  <c r="A30" i="3" s="1"/>
  <c r="A32" i="3" a="1"/>
  <c r="A32" i="3" s="1"/>
  <c r="A33" i="3" a="1"/>
  <c r="A33" i="3" s="1"/>
  <c r="A35" i="3" a="1"/>
  <c r="A35" i="3" s="1"/>
  <c r="Q35" i="3" s="1"/>
  <c r="A36" i="3" a="1"/>
  <c r="A36" i="3" s="1"/>
  <c r="Q36" i="3" s="1"/>
  <c r="A37" i="3" a="1"/>
  <c r="A37" i="3" s="1"/>
  <c r="A38" i="3" a="1"/>
  <c r="A38" i="3" s="1"/>
  <c r="A39" i="3" a="1"/>
  <c r="A39" i="3" s="1"/>
  <c r="A41" i="3" a="1"/>
  <c r="A41" i="3" s="1"/>
  <c r="A42" i="3" a="1"/>
  <c r="A42" i="3" s="1"/>
  <c r="A43" i="3" a="1"/>
  <c r="A43" i="3" s="1"/>
  <c r="A44" i="3" a="1"/>
  <c r="A44" i="3" s="1"/>
  <c r="A45" i="3" a="1"/>
  <c r="A45" i="3" s="1"/>
  <c r="Q45" i="3" s="1"/>
  <c r="C3" i="17" s="1"/>
  <c r="D3" i="17" s="1"/>
  <c r="A47" i="3" a="1"/>
  <c r="A47" i="3" s="1"/>
  <c r="Q47" i="3" s="1"/>
  <c r="A48" i="3" a="1"/>
  <c r="A48" i="3" s="1"/>
  <c r="Q48" i="3" s="1"/>
  <c r="A50" i="3" a="1"/>
  <c r="A50" i="3" s="1"/>
  <c r="A51" i="3" a="1"/>
  <c r="A51" i="3" s="1"/>
  <c r="A52" i="3" a="1"/>
  <c r="A52" i="3" s="1"/>
  <c r="A53" i="3" a="1"/>
  <c r="A53" i="3" s="1"/>
  <c r="Q53" i="3" s="1"/>
  <c r="A55" i="3" a="1"/>
  <c r="A55" i="3" s="1"/>
  <c r="Q55" i="3" s="1"/>
  <c r="A56" i="3" a="1"/>
  <c r="A56" i="3" s="1"/>
  <c r="Q56" i="3" s="1"/>
  <c r="A57" i="3" a="1"/>
  <c r="A57" i="3" s="1"/>
  <c r="Q57" i="3" s="1"/>
  <c r="A58" i="3" a="1"/>
  <c r="A58" i="3" s="1"/>
  <c r="A59" i="3" a="1"/>
  <c r="A59" i="3" s="1"/>
  <c r="Q59" i="3" s="1"/>
  <c r="A60" i="3" a="1"/>
  <c r="A60" i="3" s="1"/>
  <c r="Q60" i="3" s="1"/>
  <c r="A61" i="3" a="1"/>
  <c r="A61" i="3" s="1"/>
  <c r="Q61" i="3" s="1"/>
  <c r="A62" i="3" a="1"/>
  <c r="A62" i="3" s="1"/>
  <c r="Q62" i="3" s="1"/>
  <c r="A63" i="3" a="1"/>
  <c r="A63" i="3" s="1"/>
  <c r="Q63" i="3" s="1"/>
  <c r="A74" i="3" a="1"/>
  <c r="A74" i="3" s="1"/>
  <c r="A82" i="3" a="1"/>
  <c r="A82" i="3" s="1"/>
  <c r="A83" i="3" a="1"/>
  <c r="A83" i="3" s="1"/>
  <c r="A86" i="3" a="1"/>
  <c r="A86" i="3" s="1"/>
  <c r="A89" i="3" a="1"/>
  <c r="A89" i="3" s="1"/>
  <c r="A76" i="3" a="1"/>
  <c r="A76" i="3" s="1"/>
  <c r="A87" i="3" a="1"/>
  <c r="A87" i="3" s="1"/>
  <c r="A95" i="3" a="1"/>
  <c r="A95" i="3" s="1"/>
  <c r="A66" i="3" a="1"/>
  <c r="A66" i="3" s="1"/>
  <c r="A99" i="3" a="1"/>
  <c r="A99" i="3" s="1"/>
  <c r="A104" i="3" a="1"/>
  <c r="A104" i="3" s="1"/>
  <c r="A105" i="3" a="1"/>
  <c r="A105" i="3" s="1"/>
  <c r="Q105" i="3" s="1"/>
  <c r="A106" i="3" a="1"/>
  <c r="A106" i="3" s="1"/>
  <c r="Q106" i="3" s="1"/>
  <c r="A103" i="3" a="1"/>
  <c r="A103" i="3" s="1"/>
  <c r="Q103" i="3" s="1"/>
  <c r="A73" i="3" a="1"/>
  <c r="A73" i="3" s="1"/>
  <c r="Q73" i="3" s="1"/>
  <c r="A77" i="3" a="1"/>
  <c r="A77" i="3" s="1"/>
  <c r="Q77" i="3" s="1"/>
  <c r="A79" i="3" a="1"/>
  <c r="A79" i="3" s="1"/>
  <c r="Q79" i="3" s="1"/>
  <c r="A80" i="3" a="1"/>
  <c r="A80" i="3" s="1"/>
  <c r="Q80" i="3" s="1"/>
  <c r="A90" i="3" a="1"/>
  <c r="A90" i="3" s="1"/>
  <c r="Q90" i="3" s="1"/>
  <c r="A91" i="3" a="1"/>
  <c r="A91" i="3" s="1"/>
  <c r="Q91" i="3" s="1"/>
  <c r="A92" i="3" a="1"/>
  <c r="A92" i="3" s="1"/>
  <c r="Q92" i="3" s="1"/>
  <c r="A94" i="3" a="1"/>
  <c r="A94" i="3" s="1"/>
  <c r="Q94" i="3" s="1"/>
  <c r="A96" i="3" a="1"/>
  <c r="A96" i="3" s="1"/>
  <c r="Q96" i="3" s="1"/>
  <c r="A84" i="3" a="1"/>
  <c r="A84" i="3" s="1"/>
  <c r="Q84" i="3" s="1"/>
  <c r="A10" i="3" a="1"/>
  <c r="A10" i="3" s="1"/>
  <c r="D6" i="11"/>
  <c r="G6" i="11"/>
  <c r="L6" i="11" s="1"/>
  <c r="X6" i="11"/>
  <c r="AE6" i="11"/>
  <c r="D9" i="11"/>
  <c r="G9" i="11"/>
  <c r="M9" i="11" s="1"/>
  <c r="B9" i="11" s="1" a="1"/>
  <c r="B9" i="11" s="1"/>
  <c r="X9" i="11"/>
  <c r="AE9" i="11"/>
  <c r="D11" i="11"/>
  <c r="G11" i="11"/>
  <c r="X11" i="11"/>
  <c r="AE11" i="11"/>
  <c r="D20" i="11"/>
  <c r="G20" i="11"/>
  <c r="K20" i="11" s="1"/>
  <c r="X20" i="11"/>
  <c r="AE20" i="11"/>
  <c r="D75" i="11"/>
  <c r="G75" i="11"/>
  <c r="K75" i="11" s="1"/>
  <c r="X75" i="11"/>
  <c r="AE75" i="11"/>
  <c r="D57" i="11"/>
  <c r="G57" i="11"/>
  <c r="L57" i="11" s="1"/>
  <c r="X57" i="11"/>
  <c r="AE57" i="11"/>
  <c r="D82" i="11"/>
  <c r="G82" i="11"/>
  <c r="K82" i="11" s="1"/>
  <c r="X82" i="11"/>
  <c r="AE82" i="11"/>
  <c r="D105" i="3"/>
  <c r="G105" i="3"/>
  <c r="X105" i="3"/>
  <c r="AE105" i="3"/>
  <c r="D106" i="3"/>
  <c r="G106" i="3"/>
  <c r="X106" i="3"/>
  <c r="AE106" i="3"/>
  <c r="D101" i="3"/>
  <c r="G101" i="3"/>
  <c r="X101" i="3"/>
  <c r="AE101" i="3"/>
  <c r="D102" i="3"/>
  <c r="G102" i="3"/>
  <c r="X102" i="3"/>
  <c r="AE102" i="3"/>
  <c r="D103" i="3"/>
  <c r="G103" i="3"/>
  <c r="X103" i="3"/>
  <c r="AE103" i="3"/>
  <c r="D73" i="3"/>
  <c r="G73" i="3"/>
  <c r="X73" i="3"/>
  <c r="AE73" i="3"/>
  <c r="D77" i="3"/>
  <c r="G77" i="3"/>
  <c r="L77" i="3" s="1"/>
  <c r="X77" i="3"/>
  <c r="AE77" i="3"/>
  <c r="D79" i="3"/>
  <c r="G79" i="3"/>
  <c r="X79" i="3"/>
  <c r="AE79" i="3"/>
  <c r="D80" i="3"/>
  <c r="G80" i="3"/>
  <c r="X80" i="3"/>
  <c r="AE80" i="3"/>
  <c r="D90" i="3"/>
  <c r="G90" i="3"/>
  <c r="X90" i="3"/>
  <c r="AE90" i="3"/>
  <c r="D91" i="3"/>
  <c r="G91" i="3"/>
  <c r="X91" i="3"/>
  <c r="AE91" i="3"/>
  <c r="D92" i="3"/>
  <c r="G92" i="3"/>
  <c r="X92" i="3"/>
  <c r="AE92" i="3"/>
  <c r="D93" i="3"/>
  <c r="G93" i="3"/>
  <c r="X93" i="3"/>
  <c r="AE93" i="3"/>
  <c r="D94" i="3"/>
  <c r="G94" i="3"/>
  <c r="X94" i="3"/>
  <c r="AE94" i="3"/>
  <c r="D96" i="3"/>
  <c r="G96" i="3"/>
  <c r="L96" i="3" s="1"/>
  <c r="X96" i="3"/>
  <c r="AE96" i="3"/>
  <c r="D97" i="3"/>
  <c r="G97" i="3"/>
  <c r="X97" i="3"/>
  <c r="AE97" i="3"/>
  <c r="D84" i="3"/>
  <c r="G84" i="3"/>
  <c r="X84" i="3"/>
  <c r="AE84" i="3"/>
  <c r="D57" i="6"/>
  <c r="G57" i="6"/>
  <c r="L57" i="6" s="1"/>
  <c r="R57" i="6"/>
  <c r="S57" i="6" s="1"/>
  <c r="D28" i="14"/>
  <c r="G28" i="14"/>
  <c r="L28" i="14" s="1"/>
  <c r="R28" i="14"/>
  <c r="S28" i="14" s="1"/>
  <c r="D17" i="14"/>
  <c r="G17" i="14"/>
  <c r="K17" i="14" s="1"/>
  <c r="R17" i="14"/>
  <c r="S17" i="14" s="1"/>
  <c r="J17" i="14" s="1"/>
  <c r="D86" i="14"/>
  <c r="G86" i="14"/>
  <c r="L86" i="14" s="1"/>
  <c r="R86" i="14"/>
  <c r="S86" i="14" s="1"/>
  <c r="G38" i="15"/>
  <c r="L38" i="15" s="1"/>
  <c r="R38" i="15"/>
  <c r="G40" i="15"/>
  <c r="K40" i="15" s="1"/>
  <c r="R40" i="15"/>
  <c r="S40" i="15" s="1"/>
  <c r="J40" i="15" s="1"/>
  <c r="G42" i="15"/>
  <c r="K42" i="15" s="1"/>
  <c r="R42" i="15"/>
  <c r="S42" i="15" s="1"/>
  <c r="G43" i="15"/>
  <c r="M43" i="15" s="1"/>
  <c r="B43" i="15" s="1" a="1"/>
  <c r="B43" i="15" s="1"/>
  <c r="R43" i="15"/>
  <c r="S43" i="15" s="1"/>
  <c r="G24" i="15"/>
  <c r="K24" i="15" s="1"/>
  <c r="R24" i="15"/>
  <c r="S24" i="15" s="1"/>
  <c r="G26" i="15"/>
  <c r="K26" i="15" s="1"/>
  <c r="R26" i="15"/>
  <c r="G28" i="15"/>
  <c r="L28" i="15" s="1"/>
  <c r="R28" i="15"/>
  <c r="S28" i="15" s="1"/>
  <c r="J28" i="15" s="1"/>
  <c r="G29" i="15"/>
  <c r="K29" i="15" s="1"/>
  <c r="R29" i="15"/>
  <c r="G30" i="15"/>
  <c r="L30" i="15" s="1"/>
  <c r="R30" i="15"/>
  <c r="S30" i="15" s="1"/>
  <c r="J30" i="15" s="1"/>
  <c r="G31" i="15"/>
  <c r="L31" i="15" s="1"/>
  <c r="R31" i="15"/>
  <c r="S31" i="15" s="1"/>
  <c r="J31" i="15" s="1"/>
  <c r="G47" i="15"/>
  <c r="K47" i="15" s="1"/>
  <c r="R47" i="15"/>
  <c r="S47" i="15" s="1"/>
  <c r="G48" i="15"/>
  <c r="M48" i="15" s="1"/>
  <c r="B48" i="15" s="1" a="1"/>
  <c r="B48" i="15" s="1"/>
  <c r="R48" i="15"/>
  <c r="S48" i="15" s="1"/>
  <c r="G39" i="15"/>
  <c r="L39" i="15" s="1"/>
  <c r="R39" i="15"/>
  <c r="S39" i="15" s="1"/>
  <c r="G8" i="14"/>
  <c r="G9" i="14"/>
  <c r="G4" i="14"/>
  <c r="G6" i="14"/>
  <c r="G5" i="14"/>
  <c r="G11" i="14"/>
  <c r="G10" i="14"/>
  <c r="G12" i="14"/>
  <c r="G15" i="14"/>
  <c r="G13" i="14"/>
  <c r="G18" i="14"/>
  <c r="G27" i="14"/>
  <c r="G16" i="14"/>
  <c r="G32" i="14"/>
  <c r="G19" i="14"/>
  <c r="G23" i="14"/>
  <c r="G35" i="14"/>
  <c r="G20" i="14"/>
  <c r="G31" i="14"/>
  <c r="G37" i="14"/>
  <c r="G38" i="14"/>
  <c r="G39" i="14"/>
  <c r="G22" i="14"/>
  <c r="G14" i="14"/>
  <c r="G36" i="14"/>
  <c r="G51" i="14"/>
  <c r="G41" i="14"/>
  <c r="G30" i="14"/>
  <c r="G26" i="14"/>
  <c r="G53" i="14"/>
  <c r="G34" i="14"/>
  <c r="G21" i="14"/>
  <c r="G7" i="14"/>
  <c r="G58" i="14"/>
  <c r="G42" i="14"/>
  <c r="G59" i="14"/>
  <c r="G25" i="14"/>
  <c r="G43" i="14"/>
  <c r="G60" i="14"/>
  <c r="G61" i="14"/>
  <c r="G64" i="14"/>
  <c r="G69" i="14"/>
  <c r="G71" i="14"/>
  <c r="G72" i="14"/>
  <c r="G62" i="14"/>
  <c r="G63" i="14"/>
  <c r="G77" i="14"/>
  <c r="G65" i="14"/>
  <c r="G79" i="14"/>
  <c r="G75" i="14"/>
  <c r="G66" i="14"/>
  <c r="G80" i="14"/>
  <c r="G82" i="14"/>
  <c r="G74" i="14"/>
  <c r="G81" i="14"/>
  <c r="G83" i="14"/>
  <c r="G73" i="14"/>
  <c r="G84" i="14"/>
  <c r="G91" i="14"/>
  <c r="G92" i="14"/>
  <c r="G93" i="14"/>
  <c r="G94" i="14"/>
  <c r="G95" i="14"/>
  <c r="G96" i="14"/>
  <c r="G100" i="14"/>
  <c r="G102" i="14"/>
  <c r="G24" i="14"/>
  <c r="L24" i="14" s="1"/>
  <c r="G29" i="14"/>
  <c r="L29" i="14" s="1"/>
  <c r="G40" i="14"/>
  <c r="K40" i="14" s="1"/>
  <c r="G33" i="14"/>
  <c r="G44" i="14"/>
  <c r="M44" i="14" s="1"/>
  <c r="G45" i="14"/>
  <c r="K45" i="14" s="1"/>
  <c r="G46" i="14"/>
  <c r="G47" i="14"/>
  <c r="K47" i="14" s="1"/>
  <c r="G48" i="14"/>
  <c r="K48" i="14" s="1"/>
  <c r="G49" i="14"/>
  <c r="L49" i="14" s="1"/>
  <c r="G50" i="14"/>
  <c r="M50" i="14" s="1"/>
  <c r="G52" i="14"/>
  <c r="G54" i="14"/>
  <c r="M54" i="14" s="1"/>
  <c r="G55" i="14"/>
  <c r="K55" i="14" s="1"/>
  <c r="G56" i="14"/>
  <c r="G57" i="14"/>
  <c r="K57" i="14" s="1"/>
  <c r="G97" i="14"/>
  <c r="L97" i="14" s="1"/>
  <c r="G98" i="14"/>
  <c r="L98" i="14" s="1"/>
  <c r="G99" i="14"/>
  <c r="K99" i="14" s="1"/>
  <c r="G101" i="14"/>
  <c r="G103" i="14"/>
  <c r="M103" i="14" s="1"/>
  <c r="B103" i="14" s="1" a="1"/>
  <c r="B103" i="14" s="1"/>
  <c r="G104" i="14"/>
  <c r="L104" i="14" s="1"/>
  <c r="G3" i="14"/>
  <c r="D90" i="6"/>
  <c r="G90" i="6"/>
  <c r="L90" i="6" s="1"/>
  <c r="R90" i="6"/>
  <c r="D91" i="6"/>
  <c r="G91" i="6"/>
  <c r="K91" i="6" s="1"/>
  <c r="R91" i="6"/>
  <c r="S91" i="6" s="1"/>
  <c r="J91" i="6" s="1"/>
  <c r="D95" i="6"/>
  <c r="G95" i="6"/>
  <c r="K95" i="6" s="1"/>
  <c r="R95" i="6"/>
  <c r="D96" i="6"/>
  <c r="G96" i="6"/>
  <c r="M96" i="6" s="1"/>
  <c r="B96" i="6" s="1" a="1"/>
  <c r="B96" i="6" s="1"/>
  <c r="R96" i="6"/>
  <c r="S96" i="6" s="1"/>
  <c r="D98" i="6"/>
  <c r="G98" i="6"/>
  <c r="K98" i="6" s="1"/>
  <c r="R98" i="6"/>
  <c r="S98" i="6" s="1"/>
  <c r="D74" i="6"/>
  <c r="G74" i="6"/>
  <c r="K74" i="6" s="1"/>
  <c r="R74" i="6"/>
  <c r="D78" i="6"/>
  <c r="G78" i="6"/>
  <c r="K78" i="6" s="1"/>
  <c r="R78" i="6"/>
  <c r="S78" i="6" s="1"/>
  <c r="D79" i="6"/>
  <c r="G79" i="6"/>
  <c r="L79" i="6" s="1"/>
  <c r="R79" i="6"/>
  <c r="S79" i="6" s="1"/>
  <c r="D80" i="6"/>
  <c r="G80" i="6"/>
  <c r="K80" i="6" s="1"/>
  <c r="R80" i="6"/>
  <c r="S80" i="6" s="1"/>
  <c r="J80" i="6" s="1"/>
  <c r="D81" i="6"/>
  <c r="G81" i="6"/>
  <c r="K81" i="6" s="1"/>
  <c r="R81" i="6"/>
  <c r="D82" i="6"/>
  <c r="G82" i="6"/>
  <c r="M82" i="6" s="1"/>
  <c r="B82" i="6" s="1" a="1"/>
  <c r="B82" i="6" s="1"/>
  <c r="R82" i="6"/>
  <c r="S82" i="6" s="1"/>
  <c r="J82" i="6" s="1"/>
  <c r="D83" i="6"/>
  <c r="G83" i="6"/>
  <c r="L83" i="6" s="1"/>
  <c r="R83" i="6"/>
  <c r="S83" i="6" s="1"/>
  <c r="D84" i="6"/>
  <c r="G84" i="6"/>
  <c r="K84" i="6" s="1"/>
  <c r="R84" i="6"/>
  <c r="S84" i="6" s="1"/>
  <c r="D85" i="6"/>
  <c r="G85" i="6"/>
  <c r="K85" i="6" s="1"/>
  <c r="R85" i="6"/>
  <c r="S85" i="6" s="1"/>
  <c r="J85" i="6" s="1"/>
  <c r="D86" i="6"/>
  <c r="G86" i="6"/>
  <c r="K86" i="6" s="1"/>
  <c r="R86" i="6"/>
  <c r="S86" i="6" s="1"/>
  <c r="D7" i="6"/>
  <c r="G7" i="6"/>
  <c r="L7" i="6" s="1"/>
  <c r="R7" i="6"/>
  <c r="S7" i="6" s="1"/>
  <c r="D19" i="6"/>
  <c r="G19" i="6"/>
  <c r="K19" i="6" s="1"/>
  <c r="R19" i="6"/>
  <c r="S19" i="6" s="1"/>
  <c r="J19" i="6" s="1"/>
  <c r="D46" i="6"/>
  <c r="G46" i="6"/>
  <c r="M46" i="6" s="1"/>
  <c r="B46" i="6" s="1" a="1"/>
  <c r="B46" i="6" s="1"/>
  <c r="R46" i="6"/>
  <c r="S46" i="6" s="1"/>
  <c r="D65" i="6"/>
  <c r="G65" i="6"/>
  <c r="M65" i="6" s="1"/>
  <c r="R65" i="6"/>
  <c r="S65" i="6" s="1"/>
  <c r="D71" i="6"/>
  <c r="G71" i="6"/>
  <c r="K71" i="6" s="1"/>
  <c r="R71" i="6"/>
  <c r="D28" i="6"/>
  <c r="G28" i="6"/>
  <c r="K28" i="6" s="1"/>
  <c r="R28" i="6"/>
  <c r="S28" i="6" s="1"/>
  <c r="J28" i="6" s="1"/>
  <c r="D33" i="6"/>
  <c r="G33" i="6"/>
  <c r="L33" i="6" s="1"/>
  <c r="R33" i="6"/>
  <c r="S33" i="6" s="1"/>
  <c r="D35" i="6"/>
  <c r="G35" i="6"/>
  <c r="L35" i="6" s="1"/>
  <c r="R35" i="6"/>
  <c r="S35" i="6" s="1"/>
  <c r="D36" i="6"/>
  <c r="G36" i="6"/>
  <c r="K36" i="6" s="1"/>
  <c r="R36" i="6"/>
  <c r="S36" i="6" s="1"/>
  <c r="J36" i="6" s="1"/>
  <c r="D48" i="6"/>
  <c r="G48" i="6"/>
  <c r="K48" i="6" s="1"/>
  <c r="R48" i="6"/>
  <c r="D49" i="6"/>
  <c r="G49" i="6"/>
  <c r="M49" i="6" s="1"/>
  <c r="B49" i="6" s="1" a="1"/>
  <c r="B49" i="6" s="1"/>
  <c r="R49" i="6"/>
  <c r="S49" i="6" s="1"/>
  <c r="D50" i="6"/>
  <c r="G50" i="6"/>
  <c r="K50" i="6" s="1"/>
  <c r="R50" i="6"/>
  <c r="S50" i="6" s="1"/>
  <c r="D51" i="6"/>
  <c r="G51" i="6"/>
  <c r="K51" i="6" s="1"/>
  <c r="R51" i="6"/>
  <c r="S51" i="6" s="1"/>
  <c r="J51" i="6" s="1"/>
  <c r="D53" i="6"/>
  <c r="G53" i="6"/>
  <c r="L53" i="6" s="1"/>
  <c r="R53" i="6"/>
  <c r="S53" i="6" s="1"/>
  <c r="J53" i="6" s="1"/>
  <c r="D30" i="6"/>
  <c r="G30" i="6"/>
  <c r="L30" i="6" s="1"/>
  <c r="R30" i="6"/>
  <c r="S30" i="6" s="1"/>
  <c r="D47" i="6"/>
  <c r="G47" i="6"/>
  <c r="L47" i="6" s="1"/>
  <c r="R47" i="6"/>
  <c r="S47" i="6" s="1"/>
  <c r="D54" i="6"/>
  <c r="G54" i="6"/>
  <c r="K54" i="6" s="1"/>
  <c r="R54" i="6"/>
  <c r="S54" i="6" s="1"/>
  <c r="J54" i="6" s="1"/>
  <c r="D55" i="6"/>
  <c r="G55" i="6"/>
  <c r="M55" i="6" s="1"/>
  <c r="B55" i="6" s="1" a="1"/>
  <c r="B55" i="6" s="1"/>
  <c r="R55" i="6"/>
  <c r="S55" i="6" s="1"/>
  <c r="C8" i="17"/>
  <c r="D8" i="17" s="1"/>
  <c r="G8" i="17"/>
  <c r="H8" i="17" s="1"/>
  <c r="D24" i="14"/>
  <c r="D29" i="14"/>
  <c r="D40" i="14"/>
  <c r="D33" i="14"/>
  <c r="D44" i="14"/>
  <c r="D45" i="14"/>
  <c r="D46" i="14"/>
  <c r="D47" i="14"/>
  <c r="D48" i="14"/>
  <c r="D49" i="14"/>
  <c r="D50" i="14"/>
  <c r="D52" i="14"/>
  <c r="D54" i="14"/>
  <c r="D55" i="14"/>
  <c r="D56" i="14"/>
  <c r="D57" i="14"/>
  <c r="D97" i="14"/>
  <c r="D98" i="14"/>
  <c r="D99" i="14"/>
  <c r="D101" i="14"/>
  <c r="D103" i="14"/>
  <c r="D104" i="14"/>
  <c r="D8" i="14"/>
  <c r="R29" i="14"/>
  <c r="S29" i="14" s="1"/>
  <c r="R40" i="14"/>
  <c r="R33" i="14"/>
  <c r="S33" i="14" s="1"/>
  <c r="R44" i="14"/>
  <c r="S44" i="14" s="1"/>
  <c r="J44" i="14" s="1"/>
  <c r="R45" i="14"/>
  <c r="R46" i="14"/>
  <c r="S46" i="14" s="1"/>
  <c r="J46" i="14" s="1"/>
  <c r="R47" i="14"/>
  <c r="R48" i="14"/>
  <c r="R49" i="14"/>
  <c r="R50" i="14"/>
  <c r="S50" i="14" s="1"/>
  <c r="J50" i="14" s="1"/>
  <c r="R52" i="14"/>
  <c r="S52" i="14" s="1"/>
  <c r="R54" i="14"/>
  <c r="S54" i="14" s="1"/>
  <c r="J54" i="14" s="1"/>
  <c r="R55" i="14"/>
  <c r="R56" i="14"/>
  <c r="S56" i="14" s="1"/>
  <c r="J56" i="14" s="1"/>
  <c r="R57" i="14"/>
  <c r="S57" i="14" s="1"/>
  <c r="J57" i="14" s="1"/>
  <c r="R97" i="14"/>
  <c r="S97" i="14" s="1"/>
  <c r="R98" i="14"/>
  <c r="S98" i="14" s="1"/>
  <c r="J98" i="14" s="1"/>
  <c r="R99" i="14"/>
  <c r="S99" i="14" s="1"/>
  <c r="J99" i="14" s="1"/>
  <c r="R101" i="14"/>
  <c r="S101" i="14" s="1"/>
  <c r="R103" i="14"/>
  <c r="S103" i="14" s="1"/>
  <c r="J103" i="14" s="1"/>
  <c r="R104" i="14"/>
  <c r="R8" i="14"/>
  <c r="S8" i="14" s="1"/>
  <c r="J8" i="14" s="1"/>
  <c r="R24" i="14"/>
  <c r="S24" i="14" s="1"/>
  <c r="J24" i="14" s="1"/>
  <c r="E56" i="17"/>
  <c r="F56" i="17" s="1"/>
  <c r="G56" i="17"/>
  <c r="H56" i="17" s="1"/>
  <c r="E34" i="17"/>
  <c r="F34" i="17" s="1"/>
  <c r="G34" i="17"/>
  <c r="H34" i="17" s="1"/>
  <c r="E21" i="17"/>
  <c r="F21" i="17" s="1"/>
  <c r="G21" i="17"/>
  <c r="H21" i="17" s="1"/>
  <c r="D15" i="11"/>
  <c r="D8" i="11"/>
  <c r="D30" i="11"/>
  <c r="D23" i="11"/>
  <c r="D33" i="11"/>
  <c r="D47" i="11"/>
  <c r="D48" i="11"/>
  <c r="D51" i="11"/>
  <c r="D52" i="11"/>
  <c r="D53" i="11"/>
  <c r="D55" i="11"/>
  <c r="D58" i="11"/>
  <c r="D59" i="11"/>
  <c r="D61" i="11"/>
  <c r="D65" i="11"/>
  <c r="D66" i="11"/>
  <c r="D72" i="11"/>
  <c r="D74" i="11"/>
  <c r="D77" i="11"/>
  <c r="D78" i="11"/>
  <c r="D80" i="11"/>
  <c r="D83" i="11"/>
  <c r="D87" i="11"/>
  <c r="D95" i="11"/>
  <c r="D96" i="11"/>
  <c r="D97" i="11"/>
  <c r="D106" i="11"/>
  <c r="D107" i="11"/>
  <c r="D108" i="11"/>
  <c r="D109" i="11"/>
  <c r="D110" i="11"/>
  <c r="D111" i="11"/>
  <c r="D112" i="11"/>
  <c r="D113" i="11"/>
  <c r="D115" i="11"/>
  <c r="D116" i="11"/>
  <c r="D117" i="11"/>
  <c r="D118" i="11"/>
  <c r="D122" i="11"/>
  <c r="D123" i="11"/>
  <c r="D124" i="11"/>
  <c r="D126" i="11"/>
  <c r="D127" i="11"/>
  <c r="D129" i="11"/>
  <c r="D132" i="11"/>
  <c r="G8" i="11"/>
  <c r="L8" i="11" s="1"/>
  <c r="X8" i="11"/>
  <c r="AE8" i="11"/>
  <c r="G30" i="11"/>
  <c r="M30" i="11" s="1"/>
  <c r="B30" i="11" s="1" a="1"/>
  <c r="B30" i="11" s="1"/>
  <c r="X30" i="11"/>
  <c r="AE30" i="11"/>
  <c r="G23" i="11"/>
  <c r="R23" i="11" s="1"/>
  <c r="X23" i="11"/>
  <c r="AE23" i="11"/>
  <c r="G33" i="11"/>
  <c r="R33" i="11" s="1"/>
  <c r="X33" i="11"/>
  <c r="AE33" i="11"/>
  <c r="G47" i="11"/>
  <c r="S47" i="11" s="1"/>
  <c r="X47" i="11"/>
  <c r="AE47" i="11"/>
  <c r="G48" i="11"/>
  <c r="K48" i="11" s="1"/>
  <c r="X48" i="11"/>
  <c r="AE48" i="11"/>
  <c r="G51" i="11"/>
  <c r="X51" i="11"/>
  <c r="AE51" i="11"/>
  <c r="G52" i="11"/>
  <c r="K52" i="11" s="1"/>
  <c r="X52" i="11"/>
  <c r="AE52" i="11"/>
  <c r="G53" i="11"/>
  <c r="L53" i="11" s="1"/>
  <c r="X53" i="11"/>
  <c r="AE53" i="11"/>
  <c r="G55" i="11"/>
  <c r="M55" i="11" s="1"/>
  <c r="B55" i="11" s="1" a="1"/>
  <c r="B55" i="11" s="1"/>
  <c r="X55" i="11"/>
  <c r="AE55" i="11"/>
  <c r="G58" i="11"/>
  <c r="R58" i="11" s="1"/>
  <c r="X58" i="11"/>
  <c r="AE58" i="11"/>
  <c r="G59" i="11"/>
  <c r="R59" i="11" s="1"/>
  <c r="X59" i="11"/>
  <c r="AE59" i="11"/>
  <c r="G61" i="11"/>
  <c r="L61" i="11" s="1"/>
  <c r="X61" i="11"/>
  <c r="AE61" i="11"/>
  <c r="G65" i="11"/>
  <c r="K65" i="11" s="1"/>
  <c r="X65" i="11"/>
  <c r="AE65" i="11"/>
  <c r="G66" i="11"/>
  <c r="X66" i="11"/>
  <c r="AE66" i="11"/>
  <c r="G72" i="11"/>
  <c r="K72" i="11" s="1"/>
  <c r="X72" i="11"/>
  <c r="AE72" i="11"/>
  <c r="G74" i="11"/>
  <c r="L74" i="11" s="1"/>
  <c r="X74" i="11"/>
  <c r="AE74" i="11"/>
  <c r="G77" i="11"/>
  <c r="M77" i="11" s="1"/>
  <c r="B77" i="11" s="1" a="1"/>
  <c r="B77" i="11" s="1"/>
  <c r="X77" i="11"/>
  <c r="AE77" i="11"/>
  <c r="G78" i="11"/>
  <c r="R78" i="11" s="1"/>
  <c r="X78" i="11"/>
  <c r="AE78" i="11"/>
  <c r="G80" i="11"/>
  <c r="R80" i="11" s="1"/>
  <c r="X80" i="11"/>
  <c r="AE80" i="11"/>
  <c r="G83" i="11"/>
  <c r="R83" i="11" s="1"/>
  <c r="X83" i="11"/>
  <c r="AE83" i="11"/>
  <c r="G87" i="11"/>
  <c r="X87" i="11"/>
  <c r="AE87" i="11"/>
  <c r="G95" i="11"/>
  <c r="X95" i="11"/>
  <c r="AE95" i="11"/>
  <c r="G96" i="11"/>
  <c r="X96" i="11"/>
  <c r="AE96" i="11"/>
  <c r="G97" i="11"/>
  <c r="L97" i="11" s="1"/>
  <c r="X97" i="11"/>
  <c r="AE97" i="11"/>
  <c r="G106" i="11"/>
  <c r="L106" i="11" s="1"/>
  <c r="X106" i="11"/>
  <c r="AE106" i="11"/>
  <c r="G107" i="11"/>
  <c r="L107" i="11" s="1"/>
  <c r="X107" i="11"/>
  <c r="AE107" i="11"/>
  <c r="G108" i="11"/>
  <c r="X108" i="11"/>
  <c r="AE108" i="11"/>
  <c r="G109" i="11"/>
  <c r="L109" i="11" s="1"/>
  <c r="X109" i="11"/>
  <c r="AE109" i="11"/>
  <c r="G110" i="11"/>
  <c r="L110" i="11" s="1"/>
  <c r="X110" i="11"/>
  <c r="AE110" i="11"/>
  <c r="G111" i="11"/>
  <c r="X111" i="11"/>
  <c r="AE111" i="11"/>
  <c r="G112" i="11"/>
  <c r="X112" i="11"/>
  <c r="AE112" i="11"/>
  <c r="G113" i="11"/>
  <c r="L113" i="11" s="1"/>
  <c r="X113" i="11"/>
  <c r="AE113" i="11"/>
  <c r="G115" i="11"/>
  <c r="X115" i="11"/>
  <c r="AE115" i="11"/>
  <c r="G116" i="11"/>
  <c r="L116" i="11" s="1"/>
  <c r="X116" i="11"/>
  <c r="AE116" i="11"/>
  <c r="G117" i="11"/>
  <c r="L117" i="11" s="1"/>
  <c r="X117" i="11"/>
  <c r="AE117" i="11"/>
  <c r="G118" i="11"/>
  <c r="L118" i="11" s="1"/>
  <c r="X118" i="11"/>
  <c r="AE118" i="11"/>
  <c r="G122" i="11"/>
  <c r="L122" i="11" s="1"/>
  <c r="X122" i="11"/>
  <c r="AE122" i="11"/>
  <c r="G123" i="11"/>
  <c r="X123" i="11"/>
  <c r="AE123" i="11"/>
  <c r="G124" i="11"/>
  <c r="X124" i="11"/>
  <c r="AE124" i="11"/>
  <c r="G126" i="11"/>
  <c r="L126" i="11" s="1"/>
  <c r="X126" i="11"/>
  <c r="AE126" i="11"/>
  <c r="G127" i="11"/>
  <c r="L127" i="11" s="1"/>
  <c r="X127" i="11"/>
  <c r="AE127" i="11"/>
  <c r="G129" i="11"/>
  <c r="X129" i="11"/>
  <c r="AE129" i="11"/>
  <c r="G132" i="11"/>
  <c r="L132" i="11" s="1"/>
  <c r="X132" i="11"/>
  <c r="AE132" i="11"/>
  <c r="G15" i="11"/>
  <c r="L15" i="11" s="1"/>
  <c r="X15" i="11"/>
  <c r="AE15" i="11"/>
  <c r="G37" i="17"/>
  <c r="H37" i="17" s="1"/>
  <c r="D60" i="3"/>
  <c r="G60" i="3"/>
  <c r="L60" i="3" s="1"/>
  <c r="X60" i="3"/>
  <c r="AE60" i="3"/>
  <c r="D61" i="3"/>
  <c r="G61" i="3"/>
  <c r="M61" i="3" s="1"/>
  <c r="X61" i="3"/>
  <c r="AE61" i="3"/>
  <c r="D62" i="3"/>
  <c r="G62" i="3"/>
  <c r="R62" i="3" s="1"/>
  <c r="X62" i="3"/>
  <c r="AE62" i="3"/>
  <c r="D63" i="3"/>
  <c r="G63" i="3"/>
  <c r="R63" i="3" s="1"/>
  <c r="X63" i="3"/>
  <c r="AE63" i="3"/>
  <c r="D11" i="3"/>
  <c r="G11" i="3"/>
  <c r="K11" i="3" s="1"/>
  <c r="X11" i="3"/>
  <c r="AE11" i="3"/>
  <c r="G22" i="3"/>
  <c r="L22" i="3" s="1"/>
  <c r="X22" i="3"/>
  <c r="AE22" i="3"/>
  <c r="D59" i="3"/>
  <c r="G59" i="3"/>
  <c r="K59" i="3" s="1"/>
  <c r="X59" i="3"/>
  <c r="AE59" i="3"/>
  <c r="D88" i="3"/>
  <c r="G88" i="3"/>
  <c r="X88" i="3"/>
  <c r="AE88" i="3"/>
  <c r="G44" i="17"/>
  <c r="H44" i="17" s="1"/>
  <c r="D7" i="3"/>
  <c r="G7" i="3"/>
  <c r="L7" i="3" s="1"/>
  <c r="X7" i="3"/>
  <c r="AE7" i="3"/>
  <c r="D31" i="3"/>
  <c r="G31" i="3"/>
  <c r="M31" i="3" s="1"/>
  <c r="B31" i="3" s="1" a="1"/>
  <c r="B31" i="3" s="1"/>
  <c r="X31" i="3"/>
  <c r="AE31" i="3"/>
  <c r="D35" i="3"/>
  <c r="G35" i="3"/>
  <c r="K35" i="3" s="1"/>
  <c r="X35" i="3"/>
  <c r="AE35" i="3"/>
  <c r="D36" i="3"/>
  <c r="G36" i="3"/>
  <c r="K36" i="3" s="1"/>
  <c r="X36" i="3"/>
  <c r="AE36" i="3"/>
  <c r="D45" i="3"/>
  <c r="G45" i="3"/>
  <c r="K45" i="3" s="1"/>
  <c r="X45" i="3"/>
  <c r="AE45" i="3"/>
  <c r="D46" i="3"/>
  <c r="G46" i="3"/>
  <c r="K46" i="3" s="1"/>
  <c r="X46" i="3"/>
  <c r="AE46" i="3"/>
  <c r="D47" i="3"/>
  <c r="G47" i="3"/>
  <c r="K47" i="3" s="1"/>
  <c r="X47" i="3"/>
  <c r="AE47" i="3"/>
  <c r="D48" i="3"/>
  <c r="G48" i="3"/>
  <c r="K48" i="3" s="1"/>
  <c r="X48" i="3"/>
  <c r="AE48" i="3"/>
  <c r="D53" i="3"/>
  <c r="G53" i="3"/>
  <c r="L53" i="3" s="1"/>
  <c r="X53" i="3"/>
  <c r="AE53" i="3"/>
  <c r="D55" i="3"/>
  <c r="G55" i="3"/>
  <c r="M55" i="3" s="1"/>
  <c r="X55" i="3"/>
  <c r="AE55" i="3"/>
  <c r="D56" i="3"/>
  <c r="G56" i="3"/>
  <c r="R56" i="3" s="1"/>
  <c r="X56" i="3"/>
  <c r="AE56" i="3"/>
  <c r="D57" i="3"/>
  <c r="G57" i="3"/>
  <c r="L57" i="3" s="1"/>
  <c r="X57" i="3"/>
  <c r="AE57" i="3"/>
  <c r="G62" i="17"/>
  <c r="H62" i="17" s="1"/>
  <c r="E4" i="17"/>
  <c r="F4" i="17" s="1"/>
  <c r="G4" i="17"/>
  <c r="H4" i="17" s="1"/>
  <c r="C5" i="17"/>
  <c r="D5" i="17" s="1"/>
  <c r="G5" i="17"/>
  <c r="H5" i="17" s="1"/>
  <c r="E13" i="17"/>
  <c r="F13" i="17" s="1"/>
  <c r="G13" i="17"/>
  <c r="H13" i="17" s="1"/>
  <c r="D7" i="13"/>
  <c r="H7" i="13"/>
  <c r="M7" i="13" s="1"/>
  <c r="S7" i="13"/>
  <c r="T7" i="13"/>
  <c r="Y7" i="13"/>
  <c r="AF7" i="13"/>
  <c r="D8" i="13"/>
  <c r="H8" i="13"/>
  <c r="N8" i="13" s="1"/>
  <c r="S8" i="13"/>
  <c r="T8" i="13"/>
  <c r="Y8" i="13"/>
  <c r="AF8" i="13"/>
  <c r="D9" i="13"/>
  <c r="H9" i="13"/>
  <c r="L9" i="13" s="1"/>
  <c r="S9" i="13"/>
  <c r="T9" i="13"/>
  <c r="Y9" i="13"/>
  <c r="AF9" i="13"/>
  <c r="D38" i="13"/>
  <c r="H38" i="13"/>
  <c r="N38" i="13" s="1"/>
  <c r="S38" i="13"/>
  <c r="T38" i="13"/>
  <c r="Y38" i="13"/>
  <c r="AF38" i="13"/>
  <c r="D39" i="13"/>
  <c r="H39" i="13"/>
  <c r="L39" i="13" s="1"/>
  <c r="S39" i="13"/>
  <c r="T39" i="13"/>
  <c r="Y39" i="13"/>
  <c r="AF39" i="13"/>
  <c r="D20" i="13"/>
  <c r="H20" i="13"/>
  <c r="L20" i="13" s="1"/>
  <c r="S20" i="13"/>
  <c r="T20" i="13"/>
  <c r="Y20" i="13"/>
  <c r="AF20" i="13"/>
  <c r="D40" i="13"/>
  <c r="H40" i="13"/>
  <c r="L40" i="13" s="1"/>
  <c r="S40" i="13"/>
  <c r="T40" i="13"/>
  <c r="Y40" i="13"/>
  <c r="AF40" i="13"/>
  <c r="D23" i="13"/>
  <c r="H23" i="13"/>
  <c r="L23" i="13" s="1"/>
  <c r="S23" i="13"/>
  <c r="T23" i="13"/>
  <c r="Y23" i="13"/>
  <c r="AF23" i="13"/>
  <c r="D46" i="13"/>
  <c r="H46" i="13"/>
  <c r="M46" i="13" s="1"/>
  <c r="S46" i="13"/>
  <c r="T46" i="13"/>
  <c r="Y46" i="13"/>
  <c r="AF46" i="13"/>
  <c r="D41" i="13"/>
  <c r="H41" i="13"/>
  <c r="N41" i="13" s="1"/>
  <c r="S41" i="13"/>
  <c r="T41" i="13"/>
  <c r="Y41" i="13"/>
  <c r="AF41" i="13"/>
  <c r="D25" i="13"/>
  <c r="H25" i="13"/>
  <c r="M25" i="13" s="1"/>
  <c r="S25" i="13"/>
  <c r="T25" i="13"/>
  <c r="Y25" i="13"/>
  <c r="AF25" i="13"/>
  <c r="D26" i="13"/>
  <c r="H26" i="13"/>
  <c r="N26" i="13" s="1"/>
  <c r="S26" i="13"/>
  <c r="T26" i="13"/>
  <c r="Y26" i="13"/>
  <c r="AF26" i="13"/>
  <c r="D28" i="13"/>
  <c r="H28" i="13"/>
  <c r="L28" i="13" s="1"/>
  <c r="S28" i="13"/>
  <c r="T28" i="13"/>
  <c r="Y28" i="13"/>
  <c r="AF28" i="13"/>
  <c r="D30" i="13"/>
  <c r="H30" i="13"/>
  <c r="M30" i="13" s="1"/>
  <c r="S30" i="13"/>
  <c r="T30" i="13"/>
  <c r="Y30" i="13"/>
  <c r="AF30" i="13"/>
  <c r="D31" i="13"/>
  <c r="H31" i="13"/>
  <c r="L31" i="13" s="1"/>
  <c r="S31" i="13"/>
  <c r="T31" i="13"/>
  <c r="Y31" i="13"/>
  <c r="AF31" i="13"/>
  <c r="D34" i="13"/>
  <c r="H34" i="13"/>
  <c r="L34" i="13" s="1"/>
  <c r="S34" i="13"/>
  <c r="T34" i="13"/>
  <c r="Y34" i="13"/>
  <c r="AF34" i="13"/>
  <c r="D43" i="13"/>
  <c r="H43" i="13"/>
  <c r="M43" i="13" s="1"/>
  <c r="S43" i="13"/>
  <c r="T43" i="13"/>
  <c r="Y43" i="13"/>
  <c r="AF43" i="13"/>
  <c r="D44" i="13"/>
  <c r="H44" i="13"/>
  <c r="N44" i="13" s="1"/>
  <c r="A44" i="13" s="1" a="1"/>
  <c r="A44" i="13" s="1"/>
  <c r="R44" i="13" s="1"/>
  <c r="S44" i="13"/>
  <c r="T44" i="13"/>
  <c r="Y44" i="13"/>
  <c r="AF44" i="13"/>
  <c r="D12" i="13"/>
  <c r="H12" i="13"/>
  <c r="M12" i="13" s="1"/>
  <c r="S12" i="13"/>
  <c r="T12" i="13"/>
  <c r="Y12" i="13"/>
  <c r="AF12" i="13"/>
  <c r="D13" i="13"/>
  <c r="H13" i="13"/>
  <c r="N13" i="13" s="1"/>
  <c r="S13" i="13"/>
  <c r="T13" i="13"/>
  <c r="Y13" i="13"/>
  <c r="AF13" i="13"/>
  <c r="D14" i="13"/>
  <c r="H14" i="13"/>
  <c r="L14" i="13" s="1"/>
  <c r="S14" i="13"/>
  <c r="T14" i="13"/>
  <c r="Y14" i="13"/>
  <c r="AF14" i="13"/>
  <c r="D19" i="13"/>
  <c r="H19" i="13"/>
  <c r="N19" i="13" s="1"/>
  <c r="S19" i="13"/>
  <c r="T19" i="13"/>
  <c r="Y19" i="13"/>
  <c r="AF19" i="13"/>
  <c r="D21" i="13"/>
  <c r="H21" i="13"/>
  <c r="L21" i="13" s="1"/>
  <c r="S21" i="13"/>
  <c r="T21" i="13"/>
  <c r="Y21" i="13"/>
  <c r="AF21" i="13"/>
  <c r="D42" i="13"/>
  <c r="H42" i="13"/>
  <c r="L42" i="13" s="1"/>
  <c r="S42" i="13"/>
  <c r="T42" i="13"/>
  <c r="Y42" i="13"/>
  <c r="AF42" i="13"/>
  <c r="D32" i="13"/>
  <c r="H32" i="13"/>
  <c r="M32" i="13" s="1"/>
  <c r="S32" i="13"/>
  <c r="T32" i="13"/>
  <c r="Y32" i="13"/>
  <c r="AF32" i="13"/>
  <c r="D4" i="13"/>
  <c r="H4" i="13"/>
  <c r="M4" i="13" s="1"/>
  <c r="S4" i="13"/>
  <c r="T4" i="13"/>
  <c r="Y4" i="13"/>
  <c r="AF4" i="13"/>
  <c r="D15" i="12"/>
  <c r="H15" i="12"/>
  <c r="M15" i="12" s="1"/>
  <c r="S15" i="12"/>
  <c r="T15" i="12"/>
  <c r="Y15" i="12"/>
  <c r="D4" i="12"/>
  <c r="H4" i="12"/>
  <c r="M4" i="12" s="1"/>
  <c r="S4" i="12"/>
  <c r="T4" i="12"/>
  <c r="Y4" i="12"/>
  <c r="D9" i="12"/>
  <c r="D25" i="12"/>
  <c r="D11" i="12"/>
  <c r="D12" i="12"/>
  <c r="D26" i="12"/>
  <c r="D13" i="12"/>
  <c r="D16" i="12"/>
  <c r="D28" i="12"/>
  <c r="D30" i="12"/>
  <c r="D5" i="12"/>
  <c r="D7" i="12"/>
  <c r="D23" i="12"/>
  <c r="D24" i="12"/>
  <c r="D19" i="12"/>
  <c r="D20" i="12"/>
  <c r="D29" i="12"/>
  <c r="D22" i="12"/>
  <c r="Y22" i="12"/>
  <c r="H22" i="12"/>
  <c r="L22" i="12" s="1"/>
  <c r="S22" i="12"/>
  <c r="T22" i="12"/>
  <c r="D3" i="12"/>
  <c r="D6" i="12"/>
  <c r="D8" i="12"/>
  <c r="D14" i="12"/>
  <c r="H9" i="12"/>
  <c r="M9" i="12" s="1"/>
  <c r="S9" i="12"/>
  <c r="T9" i="12"/>
  <c r="Y9" i="12"/>
  <c r="H25" i="12"/>
  <c r="N25" i="12" s="1"/>
  <c r="S25" i="12"/>
  <c r="T25" i="12"/>
  <c r="Y25" i="12"/>
  <c r="H11" i="12"/>
  <c r="M11" i="12" s="1"/>
  <c r="S11" i="12"/>
  <c r="T11" i="12"/>
  <c r="Y11" i="12"/>
  <c r="H12" i="12"/>
  <c r="M12" i="12" s="1"/>
  <c r="S12" i="12"/>
  <c r="T12" i="12"/>
  <c r="Y12" i="12"/>
  <c r="H26" i="12"/>
  <c r="L26" i="12" s="1"/>
  <c r="S26" i="12"/>
  <c r="T26" i="12"/>
  <c r="Y26" i="12"/>
  <c r="H13" i="12"/>
  <c r="L13" i="12" s="1"/>
  <c r="S13" i="12"/>
  <c r="T13" i="12"/>
  <c r="Y13" i="12"/>
  <c r="H16" i="12"/>
  <c r="L16" i="12" s="1"/>
  <c r="S16" i="12"/>
  <c r="T16" i="12"/>
  <c r="Y16" i="12"/>
  <c r="H28" i="12"/>
  <c r="N28" i="12" s="1"/>
  <c r="S28" i="12"/>
  <c r="T28" i="12"/>
  <c r="Y28" i="12"/>
  <c r="H30" i="12"/>
  <c r="L30" i="12" s="1"/>
  <c r="S30" i="12"/>
  <c r="T30" i="12"/>
  <c r="Y30" i="12"/>
  <c r="H5" i="12"/>
  <c r="L5" i="12" s="1"/>
  <c r="S5" i="12"/>
  <c r="T5" i="12"/>
  <c r="Y5" i="12"/>
  <c r="H7" i="12"/>
  <c r="L7" i="12" s="1"/>
  <c r="S7" i="12"/>
  <c r="T7" i="12"/>
  <c r="Y7" i="12"/>
  <c r="H23" i="12"/>
  <c r="M23" i="12" s="1"/>
  <c r="S23" i="12"/>
  <c r="T23" i="12"/>
  <c r="Y23" i="12"/>
  <c r="H24" i="12"/>
  <c r="N24" i="12" s="1"/>
  <c r="S24" i="12"/>
  <c r="T24" i="12"/>
  <c r="Y24" i="12"/>
  <c r="H19" i="12"/>
  <c r="L19" i="12" s="1"/>
  <c r="S19" i="12"/>
  <c r="T19" i="12"/>
  <c r="Y19" i="12"/>
  <c r="H20" i="12"/>
  <c r="N20" i="12" s="1"/>
  <c r="S20" i="12"/>
  <c r="T20" i="12"/>
  <c r="Y20" i="12"/>
  <c r="H29" i="12"/>
  <c r="L29" i="12" s="1"/>
  <c r="S29" i="12"/>
  <c r="T29" i="12"/>
  <c r="Y29" i="12"/>
  <c r="R17" i="16"/>
  <c r="S17" i="16" s="1"/>
  <c r="R18" i="16"/>
  <c r="S18" i="16" s="1"/>
  <c r="J18" i="16" s="1"/>
  <c r="R21" i="16"/>
  <c r="S21" i="16" s="1"/>
  <c r="J21" i="16" s="1"/>
  <c r="R20" i="16"/>
  <c r="S20" i="16" s="1"/>
  <c r="J20" i="16" s="1"/>
  <c r="R16" i="16"/>
  <c r="S16" i="16" s="1"/>
  <c r="J16" i="16" s="1"/>
  <c r="R13" i="16"/>
  <c r="R22" i="16"/>
  <c r="S22" i="16" s="1"/>
  <c r="J22" i="16" s="1"/>
  <c r="R23" i="16"/>
  <c r="S23" i="16" s="1"/>
  <c r="R35" i="16"/>
  <c r="S35" i="16" s="1"/>
  <c r="R26" i="16"/>
  <c r="S26" i="16" s="1"/>
  <c r="J26" i="16" s="1"/>
  <c r="R46" i="16"/>
  <c r="S46" i="16" s="1"/>
  <c r="J46" i="16" s="1"/>
  <c r="R36" i="16"/>
  <c r="S36" i="16" s="1"/>
  <c r="J36" i="16" s="1"/>
  <c r="R33" i="16"/>
  <c r="S33" i="16" s="1"/>
  <c r="J33" i="16" s="1"/>
  <c r="R48" i="16"/>
  <c r="R50" i="16"/>
  <c r="S50" i="16" s="1"/>
  <c r="J50" i="16" s="1"/>
  <c r="R31" i="16"/>
  <c r="S31" i="16" s="1"/>
  <c r="R24" i="16"/>
  <c r="S24" i="16" s="1"/>
  <c r="R34" i="16"/>
  <c r="S34" i="16" s="1"/>
  <c r="R30" i="16"/>
  <c r="S30" i="16" s="1"/>
  <c r="J30" i="16" s="1"/>
  <c r="R38" i="16"/>
  <c r="S38" i="16" s="1"/>
  <c r="R29" i="16"/>
  <c r="S29" i="16" s="1"/>
  <c r="J29" i="16" s="1"/>
  <c r="R68" i="16"/>
  <c r="R51" i="16"/>
  <c r="S51" i="16" s="1"/>
  <c r="J51" i="16" s="1"/>
  <c r="R53" i="16"/>
  <c r="S53" i="16" s="1"/>
  <c r="R55" i="16"/>
  <c r="S55" i="16" s="1"/>
  <c r="R58" i="16"/>
  <c r="S58" i="16" s="1"/>
  <c r="R61" i="16"/>
  <c r="S61" i="16" s="1"/>
  <c r="J61" i="16" s="1"/>
  <c r="R63" i="16"/>
  <c r="S63" i="16" s="1"/>
  <c r="J63" i="16" s="1"/>
  <c r="R56" i="16"/>
  <c r="S56" i="16" s="1"/>
  <c r="J56" i="16" s="1"/>
  <c r="R52" i="16"/>
  <c r="R10" i="16"/>
  <c r="S10" i="16" s="1"/>
  <c r="J10" i="16" s="1"/>
  <c r="R6" i="16"/>
  <c r="S6" i="16" s="1"/>
  <c r="R12" i="16"/>
  <c r="S12" i="16" s="1"/>
  <c r="R11" i="16"/>
  <c r="S11" i="16" s="1"/>
  <c r="R27" i="16"/>
  <c r="S27" i="16" s="1"/>
  <c r="J27" i="16" s="1"/>
  <c r="R28" i="16"/>
  <c r="S28" i="16" s="1"/>
  <c r="J28" i="16" s="1"/>
  <c r="R8" i="16"/>
  <c r="S8" i="16" s="1"/>
  <c r="J8" i="16" s="1"/>
  <c r="R5" i="16"/>
  <c r="R9" i="16"/>
  <c r="S9" i="16" s="1"/>
  <c r="J9" i="16" s="1"/>
  <c r="R3" i="16"/>
  <c r="S3" i="16" s="1"/>
  <c r="R4" i="16"/>
  <c r="S4" i="16" s="1"/>
  <c r="R14" i="16"/>
  <c r="S14" i="16" s="1"/>
  <c r="J14" i="16" s="1"/>
  <c r="R17" i="15"/>
  <c r="S17" i="15" s="1"/>
  <c r="J17" i="15" s="1"/>
  <c r="R22" i="15"/>
  <c r="S22" i="15" s="1"/>
  <c r="R16" i="15"/>
  <c r="S16" i="15" s="1"/>
  <c r="J16" i="15" s="1"/>
  <c r="R21" i="15"/>
  <c r="S21" i="15" s="1"/>
  <c r="J21" i="15" s="1"/>
  <c r="R20" i="15"/>
  <c r="S20" i="15" s="1"/>
  <c r="J20" i="15" s="1"/>
  <c r="R23" i="15"/>
  <c r="S23" i="15" s="1"/>
  <c r="R25" i="15"/>
  <c r="S25" i="15" s="1"/>
  <c r="R27" i="15"/>
  <c r="S27" i="15" s="1"/>
  <c r="R37" i="15"/>
  <c r="S37" i="15" s="1"/>
  <c r="J37" i="15" s="1"/>
  <c r="R44" i="15"/>
  <c r="S44" i="15" s="1"/>
  <c r="J44" i="15" s="1"/>
  <c r="R41" i="15"/>
  <c r="S41" i="15" s="1"/>
  <c r="J41" i="15" s="1"/>
  <c r="R34" i="15"/>
  <c r="S34" i="15" s="1"/>
  <c r="J34" i="15" s="1"/>
  <c r="R35" i="15"/>
  <c r="R36" i="15"/>
  <c r="S36" i="15" s="1"/>
  <c r="R9" i="15"/>
  <c r="S9" i="15" s="1"/>
  <c r="R7" i="15"/>
  <c r="S7" i="15" s="1"/>
  <c r="R8" i="15"/>
  <c r="R13" i="15"/>
  <c r="S13" i="15" s="1"/>
  <c r="R19" i="15"/>
  <c r="S19" i="15" s="1"/>
  <c r="J19" i="15" s="1"/>
  <c r="R32" i="15"/>
  <c r="S32" i="15" s="1"/>
  <c r="J32" i="15" s="1"/>
  <c r="R33" i="15"/>
  <c r="S33" i="15" s="1"/>
  <c r="J33" i="15" s="1"/>
  <c r="R10" i="15"/>
  <c r="S10" i="15" s="1"/>
  <c r="R11" i="15"/>
  <c r="S11" i="15" s="1"/>
  <c r="R12" i="15"/>
  <c r="S12" i="15" s="1"/>
  <c r="R3" i="15"/>
  <c r="S3" i="15" s="1"/>
  <c r="J3" i="15" s="1"/>
  <c r="R6" i="15"/>
  <c r="S6" i="15" s="1"/>
  <c r="J6" i="15" s="1"/>
  <c r="R18" i="15"/>
  <c r="S18" i="15" s="1"/>
  <c r="R27" i="14"/>
  <c r="S27" i="14" s="1"/>
  <c r="J27" i="14" s="1"/>
  <c r="R19" i="14"/>
  <c r="S19" i="14" s="1"/>
  <c r="J19" i="14" s="1"/>
  <c r="R23" i="14"/>
  <c r="S23" i="14" s="1"/>
  <c r="J23" i="14" s="1"/>
  <c r="R35" i="14"/>
  <c r="S35" i="14" s="1"/>
  <c r="J35" i="14" s="1"/>
  <c r="R31" i="14"/>
  <c r="S31" i="14" s="1"/>
  <c r="J31" i="14" s="1"/>
  <c r="R20" i="14"/>
  <c r="R37" i="14"/>
  <c r="S37" i="14" s="1"/>
  <c r="J37" i="14" s="1"/>
  <c r="R38" i="14"/>
  <c r="S38" i="14" s="1"/>
  <c r="J38" i="14" s="1"/>
  <c r="R22" i="14"/>
  <c r="S22" i="14" s="1"/>
  <c r="J22" i="14" s="1"/>
  <c r="R43" i="14"/>
  <c r="S43" i="14" s="1"/>
  <c r="R42" i="14"/>
  <c r="S42" i="14" s="1"/>
  <c r="J42" i="14" s="1"/>
  <c r="R59" i="14"/>
  <c r="S59" i="14" s="1"/>
  <c r="J59" i="14" s="1"/>
  <c r="R7" i="14"/>
  <c r="R58" i="14"/>
  <c r="S58" i="14" s="1"/>
  <c r="J58" i="14" s="1"/>
  <c r="R21" i="14"/>
  <c r="S21" i="14" s="1"/>
  <c r="J21" i="14" s="1"/>
  <c r="R53" i="14"/>
  <c r="S53" i="14" s="1"/>
  <c r="J53" i="14" s="1"/>
  <c r="R30" i="14"/>
  <c r="S30" i="14" s="1"/>
  <c r="J30" i="14" s="1"/>
  <c r="R26" i="14"/>
  <c r="S26" i="14" s="1"/>
  <c r="J26" i="14" s="1"/>
  <c r="R34" i="14"/>
  <c r="S34" i="14" s="1"/>
  <c r="J34" i="14" s="1"/>
  <c r="R69" i="14"/>
  <c r="R71" i="14"/>
  <c r="R72" i="14"/>
  <c r="S72" i="14" s="1"/>
  <c r="J72" i="14" s="1"/>
  <c r="R77" i="14"/>
  <c r="S77" i="14" s="1"/>
  <c r="R65" i="14"/>
  <c r="S65" i="14" s="1"/>
  <c r="R79" i="14"/>
  <c r="S79" i="14" s="1"/>
  <c r="J79" i="14" s="1"/>
  <c r="R75" i="14"/>
  <c r="S75" i="14" s="1"/>
  <c r="J75" i="14" s="1"/>
  <c r="R80" i="14"/>
  <c r="S80" i="14" s="1"/>
  <c r="J80" i="14" s="1"/>
  <c r="R66" i="14"/>
  <c r="S66" i="14" s="1"/>
  <c r="R82" i="14"/>
  <c r="R81" i="14"/>
  <c r="S81" i="14" s="1"/>
  <c r="J81" i="14" s="1"/>
  <c r="R74" i="14"/>
  <c r="S74" i="14" s="1"/>
  <c r="R84" i="14"/>
  <c r="S84" i="14" s="1"/>
  <c r="J84" i="14" s="1"/>
  <c r="R73" i="14"/>
  <c r="S73" i="14" s="1"/>
  <c r="J73" i="14" s="1"/>
  <c r="R83" i="14"/>
  <c r="S83" i="14" s="1"/>
  <c r="R100" i="14"/>
  <c r="S100" i="14" s="1"/>
  <c r="J100" i="14" s="1"/>
  <c r="R95" i="14"/>
  <c r="S95" i="14" s="1"/>
  <c r="R96" i="14"/>
  <c r="R94" i="14"/>
  <c r="R102" i="14"/>
  <c r="S102" i="14" s="1"/>
  <c r="R64" i="14"/>
  <c r="R62" i="14"/>
  <c r="S62" i="14" s="1"/>
  <c r="J62" i="14" s="1"/>
  <c r="R63" i="14"/>
  <c r="S63" i="14" s="1"/>
  <c r="R92" i="14"/>
  <c r="S92" i="14" s="1"/>
  <c r="J92" i="14" s="1"/>
  <c r="R93" i="14"/>
  <c r="S93" i="14" s="1"/>
  <c r="J93" i="14" s="1"/>
  <c r="R6" i="14"/>
  <c r="R13" i="14"/>
  <c r="S13" i="14" s="1"/>
  <c r="R10" i="14"/>
  <c r="R11" i="14"/>
  <c r="S11" i="14" s="1"/>
  <c r="R12" i="14"/>
  <c r="S12" i="14" s="1"/>
  <c r="J12" i="14" s="1"/>
  <c r="R15" i="14"/>
  <c r="S15" i="14" s="1"/>
  <c r="J15" i="14" s="1"/>
  <c r="R16" i="14"/>
  <c r="S16" i="14" s="1"/>
  <c r="J16" i="14" s="1"/>
  <c r="R32" i="14"/>
  <c r="S32" i="14" s="1"/>
  <c r="R39" i="14"/>
  <c r="R36" i="14"/>
  <c r="S36" i="14" s="1"/>
  <c r="R41" i="14"/>
  <c r="S41" i="14" s="1"/>
  <c r="R51" i="14"/>
  <c r="S51" i="14" s="1"/>
  <c r="R25" i="14"/>
  <c r="S25" i="14" s="1"/>
  <c r="J25" i="14" s="1"/>
  <c r="R60" i="14"/>
  <c r="S60" i="14" s="1"/>
  <c r="J60" i="14" s="1"/>
  <c r="R61" i="14"/>
  <c r="S61" i="14" s="1"/>
  <c r="J61" i="14" s="1"/>
  <c r="R91" i="14"/>
  <c r="S91" i="14" s="1"/>
  <c r="R9" i="14"/>
  <c r="R3" i="14"/>
  <c r="S3" i="14" s="1"/>
  <c r="R4" i="14"/>
  <c r="S4" i="14" s="1"/>
  <c r="R5" i="14"/>
  <c r="S5" i="14" s="1"/>
  <c r="R14" i="14"/>
  <c r="S14" i="14" s="1"/>
  <c r="J14" i="14" s="1"/>
  <c r="R18" i="14"/>
  <c r="S18" i="14" s="1"/>
  <c r="J18" i="14" s="1"/>
  <c r="R26" i="6"/>
  <c r="R16" i="6"/>
  <c r="S16" i="6" s="1"/>
  <c r="R32" i="6"/>
  <c r="R39" i="6"/>
  <c r="S39" i="6" s="1"/>
  <c r="R34" i="6"/>
  <c r="S34" i="6" s="1"/>
  <c r="R44" i="6"/>
  <c r="S44" i="6" s="1"/>
  <c r="R43" i="6"/>
  <c r="S43" i="6" s="1"/>
  <c r="R52" i="6"/>
  <c r="S52" i="6" s="1"/>
  <c r="R38" i="6"/>
  <c r="S38" i="6" s="1"/>
  <c r="R45" i="6"/>
  <c r="S45" i="6" s="1"/>
  <c r="R40" i="6"/>
  <c r="S40" i="6" s="1"/>
  <c r="R29" i="6"/>
  <c r="R31" i="6"/>
  <c r="S31" i="6" s="1"/>
  <c r="R37" i="6"/>
  <c r="S37" i="6" s="1"/>
  <c r="R88" i="6"/>
  <c r="R93" i="6"/>
  <c r="S93" i="6" s="1"/>
  <c r="R89" i="6"/>
  <c r="R92" i="6"/>
  <c r="S92" i="6" s="1"/>
  <c r="R97" i="6"/>
  <c r="S97" i="6" s="1"/>
  <c r="R94" i="6"/>
  <c r="S94" i="6" s="1"/>
  <c r="R73" i="6"/>
  <c r="S73" i="6" s="1"/>
  <c r="J73" i="6" s="1"/>
  <c r="R70" i="6"/>
  <c r="S70" i="6" s="1"/>
  <c r="R66" i="6"/>
  <c r="R76" i="6"/>
  <c r="R75" i="6"/>
  <c r="S75" i="6" s="1"/>
  <c r="R67" i="6"/>
  <c r="S67" i="6" s="1"/>
  <c r="R77" i="6"/>
  <c r="S77" i="6" s="1"/>
  <c r="R61" i="6"/>
  <c r="R63" i="6"/>
  <c r="S63" i="6" s="1"/>
  <c r="J63" i="6" s="1"/>
  <c r="R69" i="6"/>
  <c r="S69" i="6" s="1"/>
  <c r="R72" i="6"/>
  <c r="S72" i="6" s="1"/>
  <c r="R68" i="6"/>
  <c r="S68" i="6" s="1"/>
  <c r="R87" i="6"/>
  <c r="R10" i="6"/>
  <c r="S10" i="6" s="1"/>
  <c r="R9" i="6"/>
  <c r="R21" i="6"/>
  <c r="S21" i="6" s="1"/>
  <c r="R20" i="6"/>
  <c r="S20" i="6" s="1"/>
  <c r="R24" i="6"/>
  <c r="S24" i="6" s="1"/>
  <c r="R13" i="6"/>
  <c r="R12" i="6"/>
  <c r="S12" i="6" s="1"/>
  <c r="R27" i="6"/>
  <c r="S27" i="6" s="1"/>
  <c r="R22" i="6"/>
  <c r="S22" i="6" s="1"/>
  <c r="R41" i="6"/>
  <c r="S41" i="6" s="1"/>
  <c r="R56" i="6"/>
  <c r="R58" i="6"/>
  <c r="S58" i="6" s="1"/>
  <c r="R25" i="6"/>
  <c r="S25" i="6" s="1"/>
  <c r="R60" i="6"/>
  <c r="R62" i="6"/>
  <c r="S62" i="6" s="1"/>
  <c r="R64" i="6"/>
  <c r="S64" i="6" s="1"/>
  <c r="R59" i="6"/>
  <c r="S59" i="6" s="1"/>
  <c r="R18" i="6"/>
  <c r="S18" i="6" s="1"/>
  <c r="R5" i="6"/>
  <c r="S5" i="6" s="1"/>
  <c r="R3" i="6"/>
  <c r="S3" i="6" s="1"/>
  <c r="J3" i="6" s="1"/>
  <c r="R8" i="6"/>
  <c r="S8" i="6" s="1"/>
  <c r="R4" i="6"/>
  <c r="R15" i="6"/>
  <c r="S15" i="6" s="1"/>
  <c r="R23" i="6"/>
  <c r="S23" i="6" s="1"/>
  <c r="R11" i="6"/>
  <c r="S11" i="6" s="1"/>
  <c r="R42" i="6"/>
  <c r="S42" i="6" s="1"/>
  <c r="R17" i="6"/>
  <c r="S17" i="6" s="1"/>
  <c r="J17" i="6" s="1"/>
  <c r="R6" i="6"/>
  <c r="S6" i="6" s="1"/>
  <c r="R14" i="6"/>
  <c r="S6" i="13"/>
  <c r="T6" i="13"/>
  <c r="S37" i="13"/>
  <c r="T37" i="13"/>
  <c r="S16" i="13"/>
  <c r="T16" i="13"/>
  <c r="S17" i="13"/>
  <c r="T17" i="13"/>
  <c r="S15" i="13"/>
  <c r="T15" i="13"/>
  <c r="S45" i="13"/>
  <c r="T45" i="13"/>
  <c r="S18" i="13"/>
  <c r="T18" i="13"/>
  <c r="S24" i="13"/>
  <c r="T24" i="13"/>
  <c r="S29" i="13"/>
  <c r="T29" i="13"/>
  <c r="S33" i="13"/>
  <c r="T33" i="13"/>
  <c r="S10" i="13"/>
  <c r="T10" i="13"/>
  <c r="S11" i="13"/>
  <c r="T11" i="13"/>
  <c r="S5" i="13"/>
  <c r="T5" i="13"/>
  <c r="S22" i="13"/>
  <c r="T22" i="13"/>
  <c r="S35" i="13"/>
  <c r="T35" i="13"/>
  <c r="S3" i="13"/>
  <c r="T3" i="13"/>
  <c r="T36" i="13"/>
  <c r="S36" i="13"/>
  <c r="S14" i="12"/>
  <c r="T14" i="12"/>
  <c r="S17" i="12"/>
  <c r="T17" i="12"/>
  <c r="S10" i="12"/>
  <c r="T10" i="12"/>
  <c r="S8" i="12"/>
  <c r="T8" i="12"/>
  <c r="S27" i="12"/>
  <c r="T27" i="12"/>
  <c r="S18" i="12"/>
  <c r="T18" i="12"/>
  <c r="S21" i="12"/>
  <c r="T21" i="12"/>
  <c r="S3" i="12"/>
  <c r="T3" i="12"/>
  <c r="T6" i="12"/>
  <c r="S6" i="12"/>
  <c r="D85" i="11"/>
  <c r="G85" i="11"/>
  <c r="L85" i="11" s="1"/>
  <c r="X85" i="11"/>
  <c r="AE85" i="11"/>
  <c r="D121" i="11"/>
  <c r="G121" i="11"/>
  <c r="L121" i="11" s="1"/>
  <c r="X121" i="11"/>
  <c r="AE121" i="11"/>
  <c r="D3" i="11"/>
  <c r="G3" i="11"/>
  <c r="L3" i="11" s="1"/>
  <c r="X3" i="11"/>
  <c r="AE3" i="11"/>
  <c r="D4" i="11"/>
  <c r="G4" i="11"/>
  <c r="K4" i="11" s="1"/>
  <c r="X4" i="11"/>
  <c r="AE4" i="11"/>
  <c r="D5" i="11"/>
  <c r="G5" i="11"/>
  <c r="K5" i="11" s="1"/>
  <c r="X5" i="11"/>
  <c r="AE5" i="11"/>
  <c r="D7" i="11"/>
  <c r="G7" i="11"/>
  <c r="M7" i="11" s="1"/>
  <c r="X7" i="11"/>
  <c r="AE7" i="11"/>
  <c r="D79" i="11"/>
  <c r="G79" i="11"/>
  <c r="K79" i="11" s="1"/>
  <c r="X79" i="11"/>
  <c r="AE79" i="11"/>
  <c r="X42" i="3"/>
  <c r="K46" i="6" l="1"/>
  <c r="K7" i="13"/>
  <c r="N20" i="13"/>
  <c r="L30" i="13"/>
  <c r="M39" i="13"/>
  <c r="L75" i="11"/>
  <c r="K6" i="11"/>
  <c r="M20" i="11"/>
  <c r="B20" i="11" s="1" a="1"/>
  <c r="B20" i="11" s="1"/>
  <c r="M102" i="3"/>
  <c r="K94" i="3"/>
  <c r="M79" i="3"/>
  <c r="B79" i="3" s="1" a="1"/>
  <c r="B79" i="3" s="1"/>
  <c r="M105" i="3"/>
  <c r="B105" i="3" s="1" a="1"/>
  <c r="B105" i="3" s="1"/>
  <c r="M57" i="11"/>
  <c r="B57" i="11" s="1" a="1"/>
  <c r="B57" i="11" s="1"/>
  <c r="R57" i="11"/>
  <c r="S57" i="11" s="1"/>
  <c r="J57" i="11" s="1"/>
  <c r="R20" i="11"/>
  <c r="R11" i="11"/>
  <c r="S11" i="11" s="1"/>
  <c r="J11" i="11" s="1"/>
  <c r="K57" i="11"/>
  <c r="L20" i="11"/>
  <c r="R75" i="11"/>
  <c r="S75" i="11" s="1"/>
  <c r="J75" i="11" s="1"/>
  <c r="M11" i="11"/>
  <c r="L11" i="11"/>
  <c r="L9" i="11"/>
  <c r="M75" i="11"/>
  <c r="K11" i="11"/>
  <c r="K9" i="11"/>
  <c r="R82" i="11"/>
  <c r="M82" i="11"/>
  <c r="B82" i="11" s="1" a="1"/>
  <c r="B82" i="11" s="1"/>
  <c r="R6" i="11"/>
  <c r="S6" i="11" s="1"/>
  <c r="L82" i="11"/>
  <c r="R9" i="11"/>
  <c r="S9" i="11" s="1"/>
  <c r="S20" i="11"/>
  <c r="M6" i="11"/>
  <c r="K92" i="3"/>
  <c r="M90" i="3"/>
  <c r="B90" i="3" s="1" a="1"/>
  <c r="B90" i="3" s="1"/>
  <c r="K77" i="3"/>
  <c r="M97" i="3"/>
  <c r="K93" i="3"/>
  <c r="K102" i="3"/>
  <c r="K73" i="3"/>
  <c r="K103" i="3"/>
  <c r="R101" i="3"/>
  <c r="S101" i="3" s="1"/>
  <c r="J101" i="3" s="1"/>
  <c r="L105" i="3"/>
  <c r="R90" i="3"/>
  <c r="S90" i="3" s="1"/>
  <c r="J90" i="3" s="1"/>
  <c r="R84" i="3"/>
  <c r="S84" i="3" s="1"/>
  <c r="J84" i="3" s="1"/>
  <c r="R106" i="3"/>
  <c r="S106" i="3" s="1"/>
  <c r="J106" i="3" s="1"/>
  <c r="R80" i="3"/>
  <c r="S80" i="3" s="1"/>
  <c r="J80" i="3" s="1"/>
  <c r="R96" i="3"/>
  <c r="S96" i="3" s="1"/>
  <c r="J96" i="3" s="1"/>
  <c r="R102" i="3"/>
  <c r="R77" i="3"/>
  <c r="S77" i="3" s="1"/>
  <c r="J77" i="3" s="1"/>
  <c r="L102" i="3"/>
  <c r="M84" i="3"/>
  <c r="B84" i="3" s="1" a="1"/>
  <c r="B84" i="3" s="1"/>
  <c r="L97" i="3"/>
  <c r="M96" i="3"/>
  <c r="B96" i="3" s="1" a="1"/>
  <c r="B96" i="3" s="1"/>
  <c r="R92" i="3"/>
  <c r="M101" i="3"/>
  <c r="L84" i="3"/>
  <c r="K97" i="3"/>
  <c r="K96" i="3"/>
  <c r="M92" i="3"/>
  <c r="B92" i="3" s="1" a="1"/>
  <c r="B92" i="3" s="1"/>
  <c r="R91" i="3"/>
  <c r="S91" i="3" s="1"/>
  <c r="J91" i="3" s="1"/>
  <c r="K101" i="3"/>
  <c r="M106" i="3"/>
  <c r="B106" i="3" s="1" a="1"/>
  <c r="B106" i="3" s="1"/>
  <c r="L92" i="3"/>
  <c r="L91" i="3"/>
  <c r="M80" i="3"/>
  <c r="B80" i="3" s="1" a="1"/>
  <c r="B80" i="3" s="1"/>
  <c r="L79" i="3"/>
  <c r="L106" i="3"/>
  <c r="K105" i="3"/>
  <c r="K91" i="3"/>
  <c r="L80" i="3"/>
  <c r="K79" i="3"/>
  <c r="K84" i="3"/>
  <c r="R93" i="3"/>
  <c r="S93" i="3" s="1"/>
  <c r="M91" i="3"/>
  <c r="B91" i="3" s="1" a="1"/>
  <c r="B91" i="3" s="1"/>
  <c r="L90" i="3"/>
  <c r="K80" i="3"/>
  <c r="R103" i="3"/>
  <c r="L101" i="3"/>
  <c r="K106" i="3"/>
  <c r="R94" i="3"/>
  <c r="S94" i="3" s="1"/>
  <c r="K90" i="3"/>
  <c r="R73" i="3"/>
  <c r="M93" i="3"/>
  <c r="M103" i="3"/>
  <c r="B103" i="3" s="1" a="1"/>
  <c r="B103" i="3" s="1"/>
  <c r="R97" i="3"/>
  <c r="M94" i="3"/>
  <c r="B94" i="3" s="1" a="1"/>
  <c r="B94" i="3" s="1"/>
  <c r="L93" i="3"/>
  <c r="R79" i="3"/>
  <c r="M73" i="3"/>
  <c r="B73" i="3" s="1" a="1"/>
  <c r="B73" i="3" s="1"/>
  <c r="L103" i="3"/>
  <c r="R105" i="3"/>
  <c r="S105" i="3" s="1"/>
  <c r="L94" i="3"/>
  <c r="M77" i="3"/>
  <c r="B77" i="3" s="1" a="1"/>
  <c r="B77" i="3" s="1"/>
  <c r="L73" i="3"/>
  <c r="M80" i="6"/>
  <c r="B80" i="6" s="1" a="1"/>
  <c r="B80" i="6" s="1"/>
  <c r="M31" i="15"/>
  <c r="B31" i="15" s="1" a="1"/>
  <c r="B31" i="15" s="1"/>
  <c r="K28" i="15"/>
  <c r="S48" i="11"/>
  <c r="M51" i="6"/>
  <c r="B51" i="6" s="1" a="1"/>
  <c r="B51" i="6" s="1"/>
  <c r="M74" i="6"/>
  <c r="B74" i="6" s="1" a="1"/>
  <c r="B74" i="6" s="1"/>
  <c r="M17" i="14"/>
  <c r="B17" i="14" s="1" a="1"/>
  <c r="B17" i="14" s="1"/>
  <c r="L17" i="14"/>
  <c r="L54" i="14"/>
  <c r="K28" i="14"/>
  <c r="K86" i="14"/>
  <c r="K53" i="6"/>
  <c r="K82" i="6"/>
  <c r="L78" i="6"/>
  <c r="M33" i="6"/>
  <c r="B33" i="6" s="1" a="1"/>
  <c r="B33" i="6" s="1"/>
  <c r="K33" i="6"/>
  <c r="M85" i="6"/>
  <c r="B85" i="6" s="1" a="1"/>
  <c r="B85" i="6" s="1"/>
  <c r="M78" i="6"/>
  <c r="M30" i="6"/>
  <c r="B30" i="6" s="1" a="1"/>
  <c r="B30" i="6" s="1"/>
  <c r="K30" i="6"/>
  <c r="M50" i="6"/>
  <c r="B50" i="6" s="1" a="1"/>
  <c r="B50" i="6" s="1"/>
  <c r="K57" i="6"/>
  <c r="L80" i="6"/>
  <c r="L96" i="6"/>
  <c r="K47" i="6"/>
  <c r="K35" i="6"/>
  <c r="L46" i="6"/>
  <c r="K83" i="6"/>
  <c r="K96" i="6"/>
  <c r="K55" i="6"/>
  <c r="L49" i="6"/>
  <c r="L65" i="6"/>
  <c r="K31" i="15"/>
  <c r="K30" i="15"/>
  <c r="L43" i="15"/>
  <c r="M28" i="15"/>
  <c r="B28" i="15" s="1" a="1"/>
  <c r="B28" i="15" s="1"/>
  <c r="K43" i="15"/>
  <c r="M24" i="15"/>
  <c r="J43" i="15"/>
  <c r="K42" i="13"/>
  <c r="M19" i="13"/>
  <c r="L32" i="13"/>
  <c r="N42" i="13"/>
  <c r="A42" i="13" s="1" a="1"/>
  <c r="A42" i="13" s="1"/>
  <c r="R42" i="13" s="1"/>
  <c r="L19" i="13"/>
  <c r="L26" i="13"/>
  <c r="K8" i="13"/>
  <c r="K20" i="13"/>
  <c r="K19" i="13"/>
  <c r="N23" i="13"/>
  <c r="A23" i="13" s="1" a="1"/>
  <c r="A23" i="13" s="1"/>
  <c r="R23" i="13" s="1"/>
  <c r="M20" i="13"/>
  <c r="N39" i="13"/>
  <c r="A39" i="13" s="1" a="1"/>
  <c r="A39" i="13" s="1"/>
  <c r="R39" i="13" s="1"/>
  <c r="K38" i="13"/>
  <c r="N9" i="13"/>
  <c r="M8" i="13"/>
  <c r="L7" i="13"/>
  <c r="N14" i="13"/>
  <c r="K13" i="13"/>
  <c r="N12" i="13"/>
  <c r="K44" i="13"/>
  <c r="N28" i="13"/>
  <c r="M14" i="13"/>
  <c r="L12" i="13"/>
  <c r="M44" i="13"/>
  <c r="L43" i="13"/>
  <c r="N34" i="13"/>
  <c r="M28" i="13"/>
  <c r="M26" i="13"/>
  <c r="M41" i="13"/>
  <c r="L46" i="13"/>
  <c r="L12" i="12"/>
  <c r="L15" i="12"/>
  <c r="M80" i="11"/>
  <c r="B80" i="11" s="1" a="1"/>
  <c r="B80" i="11" s="1"/>
  <c r="M58" i="11"/>
  <c r="R47" i="11"/>
  <c r="J47" i="11" s="1"/>
  <c r="L77" i="11"/>
  <c r="L47" i="11"/>
  <c r="K47" i="11"/>
  <c r="M78" i="11"/>
  <c r="R48" i="11"/>
  <c r="M23" i="11"/>
  <c r="B23" i="11" s="1" a="1"/>
  <c r="B23" i="11" s="1"/>
  <c r="M110" i="11"/>
  <c r="B110" i="11" s="1" a="1"/>
  <c r="B110" i="11" s="1"/>
  <c r="L23" i="11"/>
  <c r="K110" i="11"/>
  <c r="L58" i="11"/>
  <c r="L48" i="11"/>
  <c r="L30" i="11"/>
  <c r="M59" i="11"/>
  <c r="B59" i="11" s="1" a="1"/>
  <c r="B59" i="11" s="1"/>
  <c r="L78" i="11"/>
  <c r="K59" i="11"/>
  <c r="M87" i="11"/>
  <c r="K80" i="11"/>
  <c r="K74" i="11"/>
  <c r="R52" i="11"/>
  <c r="M33" i="11"/>
  <c r="B33" i="11" s="1" a="1"/>
  <c r="B33" i="11" s="1"/>
  <c r="K97" i="11"/>
  <c r="L55" i="11"/>
  <c r="K33" i="11"/>
  <c r="K8" i="11"/>
  <c r="R112" i="11"/>
  <c r="M83" i="11"/>
  <c r="B83" i="11" s="1" a="1"/>
  <c r="B83" i="11" s="1"/>
  <c r="L80" i="11"/>
  <c r="L59" i="11"/>
  <c r="K58" i="11"/>
  <c r="M48" i="11"/>
  <c r="B48" i="11" s="1" a="1"/>
  <c r="B48" i="11" s="1"/>
  <c r="M47" i="11"/>
  <c r="B47" i="11" s="1" a="1"/>
  <c r="B47" i="11" s="1"/>
  <c r="L33" i="11"/>
  <c r="K23" i="11"/>
  <c r="R126" i="11"/>
  <c r="S126" i="11" s="1"/>
  <c r="R110" i="11"/>
  <c r="S110" i="11" s="1"/>
  <c r="J110" i="11" s="1"/>
  <c r="L83" i="11"/>
  <c r="M15" i="11"/>
  <c r="L87" i="11"/>
  <c r="K83" i="11"/>
  <c r="K61" i="11"/>
  <c r="K87" i="11"/>
  <c r="M56" i="3"/>
  <c r="L61" i="3"/>
  <c r="M57" i="3"/>
  <c r="M35" i="3"/>
  <c r="B35" i="3" s="1" a="1"/>
  <c r="B35" i="3" s="1"/>
  <c r="K61" i="3"/>
  <c r="M36" i="3"/>
  <c r="B36" i="3" s="1" a="1"/>
  <c r="B36" i="3" s="1"/>
  <c r="L55" i="3"/>
  <c r="L36" i="3"/>
  <c r="L35" i="3"/>
  <c r="K60" i="3"/>
  <c r="R11" i="3"/>
  <c r="M63" i="3"/>
  <c r="M62" i="3"/>
  <c r="R22" i="3"/>
  <c r="S22" i="3" s="1"/>
  <c r="M11" i="3"/>
  <c r="B11" i="3" s="1" a="1"/>
  <c r="B11" i="3" s="1"/>
  <c r="L63" i="3"/>
  <c r="K22" i="3"/>
  <c r="L11" i="3"/>
  <c r="K63" i="3"/>
  <c r="L56" i="3"/>
  <c r="K88" i="3"/>
  <c r="L62" i="3"/>
  <c r="J84" i="6"/>
  <c r="J57" i="6"/>
  <c r="M57" i="6"/>
  <c r="B57" i="6" s="1" a="1"/>
  <c r="B57" i="6" s="1"/>
  <c r="J29" i="14"/>
  <c r="J28" i="14"/>
  <c r="J86" i="14"/>
  <c r="M28" i="14"/>
  <c r="B28" i="14" s="1" a="1"/>
  <c r="B28" i="14" s="1"/>
  <c r="M86" i="14"/>
  <c r="J42" i="15"/>
  <c r="S38" i="15"/>
  <c r="J38" i="15" s="1"/>
  <c r="J48" i="15"/>
  <c r="S26" i="15"/>
  <c r="J26" i="15" s="1"/>
  <c r="J39" i="15"/>
  <c r="J47" i="15"/>
  <c r="S29" i="15"/>
  <c r="J29" i="15" s="1"/>
  <c r="L24" i="15"/>
  <c r="M40" i="15"/>
  <c r="B40" i="15" s="1" a="1"/>
  <c r="B40" i="15" s="1"/>
  <c r="L40" i="15"/>
  <c r="K38" i="15"/>
  <c r="M29" i="15"/>
  <c r="B29" i="15" s="1" a="1"/>
  <c r="B29" i="15" s="1"/>
  <c r="L29" i="15"/>
  <c r="L48" i="15"/>
  <c r="K48" i="15"/>
  <c r="M47" i="15"/>
  <c r="B47" i="15" s="1" a="1"/>
  <c r="B47" i="15" s="1"/>
  <c r="M42" i="15"/>
  <c r="B42" i="15" s="1" a="1"/>
  <c r="B42" i="15" s="1"/>
  <c r="L47" i="15"/>
  <c r="M26" i="15"/>
  <c r="B26" i="15" s="1" a="1"/>
  <c r="B26" i="15" s="1"/>
  <c r="J24" i="15"/>
  <c r="L42" i="15"/>
  <c r="M30" i="15"/>
  <c r="B30" i="15" s="1" a="1"/>
  <c r="B30" i="15" s="1"/>
  <c r="L26" i="15"/>
  <c r="M38" i="15"/>
  <c r="B38" i="15" s="1" a="1"/>
  <c r="B38" i="15" s="1"/>
  <c r="K39" i="15"/>
  <c r="M39" i="15"/>
  <c r="B39" i="15" s="1" a="1"/>
  <c r="B39" i="15" s="1"/>
  <c r="J98" i="6"/>
  <c r="J55" i="6"/>
  <c r="S74" i="6"/>
  <c r="J74" i="6" s="1"/>
  <c r="E5" i="17"/>
  <c r="F5" i="17" s="1"/>
  <c r="S90" i="6"/>
  <c r="J90" i="6" s="1"/>
  <c r="J33" i="6"/>
  <c r="J46" i="6"/>
  <c r="J78" i="6"/>
  <c r="J96" i="6"/>
  <c r="J30" i="6"/>
  <c r="S71" i="6"/>
  <c r="J71" i="6" s="1"/>
  <c r="J49" i="6"/>
  <c r="J86" i="6"/>
  <c r="L50" i="6"/>
  <c r="K65" i="6"/>
  <c r="M91" i="6"/>
  <c r="K49" i="6"/>
  <c r="M83" i="6"/>
  <c r="L91" i="6"/>
  <c r="K90" i="6"/>
  <c r="L54" i="6"/>
  <c r="L82" i="6"/>
  <c r="M86" i="6"/>
  <c r="B86" i="6" s="1" a="1"/>
  <c r="B86" i="6" s="1"/>
  <c r="L86" i="6"/>
  <c r="K79" i="6"/>
  <c r="L55" i="6"/>
  <c r="M53" i="6"/>
  <c r="B53" i="6" s="1" a="1"/>
  <c r="B53" i="6" s="1"/>
  <c r="M28" i="6"/>
  <c r="B28" i="6" s="1" a="1"/>
  <c r="B28" i="6" s="1"/>
  <c r="M71" i="6"/>
  <c r="B71" i="6" s="1" a="1"/>
  <c r="B71" i="6" s="1"/>
  <c r="K7" i="6"/>
  <c r="S49" i="14"/>
  <c r="J49" i="14" s="1"/>
  <c r="S47" i="14"/>
  <c r="J47" i="14" s="1"/>
  <c r="S40" i="14"/>
  <c r="J40" i="14" s="1"/>
  <c r="E8" i="17"/>
  <c r="F8" i="17" s="1"/>
  <c r="E62" i="17"/>
  <c r="F62" i="17" s="1"/>
  <c r="K54" i="14"/>
  <c r="L50" i="14"/>
  <c r="K103" i="14"/>
  <c r="K97" i="14"/>
  <c r="K104" i="14"/>
  <c r="M55" i="14"/>
  <c r="L55" i="14"/>
  <c r="M47" i="14"/>
  <c r="M48" i="14"/>
  <c r="A48" i="14" s="1" a="1"/>
  <c r="A48" i="14" s="1"/>
  <c r="Q48" i="14" s="1"/>
  <c r="L47" i="14"/>
  <c r="L48" i="14"/>
  <c r="K50" i="14"/>
  <c r="K49" i="14"/>
  <c r="M54" i="6"/>
  <c r="B54" i="6" s="1" a="1"/>
  <c r="B54" i="6" s="1"/>
  <c r="J47" i="6"/>
  <c r="S48" i="6"/>
  <c r="J48" i="6" s="1"/>
  <c r="M36" i="6"/>
  <c r="B36" i="6" s="1" a="1"/>
  <c r="B36" i="6" s="1"/>
  <c r="J35" i="6"/>
  <c r="L28" i="6"/>
  <c r="M19" i="6"/>
  <c r="J7" i="6"/>
  <c r="L85" i="6"/>
  <c r="S81" i="6"/>
  <c r="J81" i="6" s="1"/>
  <c r="J79" i="6"/>
  <c r="L74" i="6"/>
  <c r="S95" i="6"/>
  <c r="J95" i="6" s="1"/>
  <c r="L36" i="6"/>
  <c r="L19" i="6"/>
  <c r="M48" i="6"/>
  <c r="B48" i="6" s="1" a="1"/>
  <c r="B48" i="6" s="1"/>
  <c r="M81" i="6"/>
  <c r="B81" i="6" s="1" a="1"/>
  <c r="B81" i="6" s="1"/>
  <c r="M95" i="6"/>
  <c r="B95" i="6" s="1" a="1"/>
  <c r="B95" i="6" s="1"/>
  <c r="J50" i="6"/>
  <c r="L48" i="6"/>
  <c r="J65" i="6"/>
  <c r="M84" i="6"/>
  <c r="B84" i="6" s="1" a="1"/>
  <c r="B84" i="6" s="1"/>
  <c r="J83" i="6"/>
  <c r="L81" i="6"/>
  <c r="M98" i="6"/>
  <c r="B98" i="6" s="1" a="1"/>
  <c r="B98" i="6" s="1"/>
  <c r="L95" i="6"/>
  <c r="M47" i="6"/>
  <c r="B47" i="6" s="1" a="1"/>
  <c r="B47" i="6" s="1"/>
  <c r="L51" i="6"/>
  <c r="M35" i="6"/>
  <c r="B35" i="6" s="1" a="1"/>
  <c r="B35" i="6" s="1"/>
  <c r="L71" i="6"/>
  <c r="M7" i="6"/>
  <c r="L84" i="6"/>
  <c r="M79" i="6"/>
  <c r="B79" i="6" s="1" a="1"/>
  <c r="B79" i="6" s="1"/>
  <c r="L98" i="6"/>
  <c r="M90" i="6"/>
  <c r="B90" i="6" s="1" a="1"/>
  <c r="B90" i="6" s="1"/>
  <c r="M99" i="14"/>
  <c r="B99" i="14" s="1" a="1"/>
  <c r="B99" i="14" s="1"/>
  <c r="M40" i="14"/>
  <c r="B40" i="14" s="1" a="1"/>
  <c r="B40" i="14" s="1"/>
  <c r="L99" i="14"/>
  <c r="M45" i="14"/>
  <c r="L40" i="14"/>
  <c r="M104" i="14"/>
  <c r="B104" i="14" s="1" a="1"/>
  <c r="B104" i="14" s="1"/>
  <c r="M97" i="14"/>
  <c r="B97" i="14" s="1" a="1"/>
  <c r="B97" i="14" s="1"/>
  <c r="M57" i="14"/>
  <c r="L45" i="14"/>
  <c r="L44" i="14"/>
  <c r="L103" i="14"/>
  <c r="K98" i="14"/>
  <c r="L57" i="14"/>
  <c r="K44" i="14"/>
  <c r="K29" i="14"/>
  <c r="S48" i="14"/>
  <c r="J48" i="14" s="1"/>
  <c r="J97" i="14"/>
  <c r="S55" i="14"/>
  <c r="J55" i="14" s="1"/>
  <c r="S45" i="14"/>
  <c r="J45" i="14" s="1"/>
  <c r="S104" i="14"/>
  <c r="J104" i="14" s="1"/>
  <c r="J52" i="14"/>
  <c r="J101" i="14"/>
  <c r="J33" i="14"/>
  <c r="K56" i="14"/>
  <c r="L56" i="14"/>
  <c r="M56" i="14"/>
  <c r="K52" i="14"/>
  <c r="L52" i="14"/>
  <c r="M52" i="14"/>
  <c r="K46" i="14"/>
  <c r="L46" i="14"/>
  <c r="M46" i="14"/>
  <c r="K8" i="14"/>
  <c r="L8" i="14"/>
  <c r="M8" i="14"/>
  <c r="K101" i="14"/>
  <c r="L101" i="14"/>
  <c r="M101" i="14"/>
  <c r="B101" i="14" s="1" a="1"/>
  <c r="B101" i="14" s="1"/>
  <c r="K33" i="14"/>
  <c r="L33" i="14"/>
  <c r="M33" i="14"/>
  <c r="B33" i="14" s="1" a="1"/>
  <c r="B33" i="14" s="1"/>
  <c r="M98" i="14"/>
  <c r="B98" i="14" s="1" a="1"/>
  <c r="B98" i="14" s="1"/>
  <c r="M49" i="14"/>
  <c r="M29" i="14"/>
  <c r="B29" i="14" s="1" a="1"/>
  <c r="B29" i="14" s="1"/>
  <c r="K24" i="14"/>
  <c r="M24" i="14"/>
  <c r="B24" i="14" s="1" a="1"/>
  <c r="B24" i="14" s="1"/>
  <c r="R109" i="11"/>
  <c r="S109" i="11" s="1"/>
  <c r="J109" i="11" s="1"/>
  <c r="K132" i="11"/>
  <c r="K122" i="11"/>
  <c r="M116" i="11"/>
  <c r="B116" i="11" s="1" a="1"/>
  <c r="B116" i="11" s="1"/>
  <c r="K117" i="11"/>
  <c r="K118" i="11"/>
  <c r="R124" i="11"/>
  <c r="S124" i="11" s="1"/>
  <c r="J124" i="11" s="1"/>
  <c r="C4" i="17"/>
  <c r="D4" i="17" s="1"/>
  <c r="M132" i="11"/>
  <c r="B132" i="11" s="1" a="1"/>
  <c r="B132" i="11" s="1"/>
  <c r="M122" i="11"/>
  <c r="B122" i="11" s="1" a="1"/>
  <c r="B122" i="11" s="1"/>
  <c r="R118" i="11"/>
  <c r="S118" i="11" s="1"/>
  <c r="M117" i="11"/>
  <c r="B117" i="11" s="1" a="1"/>
  <c r="B117" i="11" s="1"/>
  <c r="M109" i="11"/>
  <c r="B109" i="11" s="1" a="1"/>
  <c r="B109" i="11" s="1"/>
  <c r="R129" i="11"/>
  <c r="S129" i="11" s="1"/>
  <c r="J129" i="11" s="1"/>
  <c r="M118" i="11"/>
  <c r="B118" i="11" s="1" a="1"/>
  <c r="B118" i="11" s="1"/>
  <c r="K109" i="11"/>
  <c r="R108" i="11"/>
  <c r="S108" i="11" s="1"/>
  <c r="J108" i="11" s="1"/>
  <c r="R122" i="11"/>
  <c r="S122" i="11" s="1"/>
  <c r="J122" i="11" s="1"/>
  <c r="R117" i="11"/>
  <c r="S117" i="11" s="1"/>
  <c r="J117" i="11" s="1"/>
  <c r="K96" i="11"/>
  <c r="M127" i="11"/>
  <c r="B127" i="11" s="1" a="1"/>
  <c r="B127" i="11" s="1"/>
  <c r="K115" i="11"/>
  <c r="S65" i="11"/>
  <c r="K127" i="11"/>
  <c r="K126" i="11"/>
  <c r="M108" i="11"/>
  <c r="B108" i="11" s="1" a="1"/>
  <c r="B108" i="11" s="1"/>
  <c r="K78" i="11"/>
  <c r="R72" i="11"/>
  <c r="M65" i="11"/>
  <c r="B65" i="11" s="1" a="1"/>
  <c r="B65" i="11" s="1"/>
  <c r="R61" i="11"/>
  <c r="C44" i="17"/>
  <c r="D44" i="17" s="1"/>
  <c r="L108" i="11"/>
  <c r="M107" i="11"/>
  <c r="B107" i="11" s="1" a="1"/>
  <c r="B107" i="11" s="1"/>
  <c r="R87" i="11"/>
  <c r="S87" i="11" s="1"/>
  <c r="J87" i="11" s="1"/>
  <c r="L65" i="11"/>
  <c r="M61" i="11"/>
  <c r="B61" i="11" s="1" a="1"/>
  <c r="B61" i="11" s="1"/>
  <c r="R65" i="11"/>
  <c r="K113" i="11"/>
  <c r="K108" i="11"/>
  <c r="R96" i="11"/>
  <c r="S96" i="11" s="1"/>
  <c r="J96" i="11" s="1"/>
  <c r="K53" i="11"/>
  <c r="K123" i="11"/>
  <c r="L123" i="11"/>
  <c r="M123" i="11"/>
  <c r="B123" i="11" s="1" a="1"/>
  <c r="B123" i="11" s="1"/>
  <c r="R123" i="11"/>
  <c r="K111" i="11"/>
  <c r="L111" i="11"/>
  <c r="M111" i="11"/>
  <c r="B111" i="11" s="1" a="1"/>
  <c r="B111" i="11" s="1"/>
  <c r="R111" i="11"/>
  <c r="S111" i="11" s="1"/>
  <c r="K51" i="11"/>
  <c r="L51" i="11"/>
  <c r="M51" i="11"/>
  <c r="B51" i="11" s="1" a="1"/>
  <c r="B51" i="11" s="1"/>
  <c r="R51" i="11"/>
  <c r="K66" i="11"/>
  <c r="L66" i="11"/>
  <c r="M66" i="11"/>
  <c r="B66" i="11" s="1" a="1"/>
  <c r="B66" i="11" s="1"/>
  <c r="R66" i="11"/>
  <c r="S66" i="11" s="1"/>
  <c r="K95" i="11"/>
  <c r="L95" i="11"/>
  <c r="M95" i="11"/>
  <c r="B95" i="11" s="1" a="1"/>
  <c r="B95" i="11" s="1"/>
  <c r="R95" i="11"/>
  <c r="S95" i="11" s="1"/>
  <c r="L115" i="11"/>
  <c r="M106" i="11"/>
  <c r="B106" i="11" s="1" a="1"/>
  <c r="B106" i="11" s="1"/>
  <c r="R106" i="11"/>
  <c r="S106" i="11" s="1"/>
  <c r="K106" i="11"/>
  <c r="R132" i="11"/>
  <c r="S132" i="11" s="1"/>
  <c r="M129" i="11"/>
  <c r="R107" i="11"/>
  <c r="S107" i="11" s="1"/>
  <c r="L129" i="11"/>
  <c r="R116" i="11"/>
  <c r="S116" i="11" s="1"/>
  <c r="M115" i="11"/>
  <c r="B115" i="11" s="1" a="1"/>
  <c r="B115" i="11" s="1"/>
  <c r="R115" i="11"/>
  <c r="S115" i="11" s="1"/>
  <c r="K129" i="11"/>
  <c r="S61" i="11"/>
  <c r="R127" i="11"/>
  <c r="S127" i="11" s="1"/>
  <c r="K124" i="11"/>
  <c r="L124" i="11"/>
  <c r="M124" i="11"/>
  <c r="B124" i="11" s="1" a="1"/>
  <c r="B124" i="11" s="1"/>
  <c r="K112" i="11"/>
  <c r="L112" i="11"/>
  <c r="M112" i="11"/>
  <c r="B112" i="11" s="1" a="1"/>
  <c r="B112" i="11" s="1"/>
  <c r="S112" i="11"/>
  <c r="J112" i="11" s="1"/>
  <c r="S83" i="11"/>
  <c r="J83" i="11" s="1"/>
  <c r="K77" i="11"/>
  <c r="K55" i="11"/>
  <c r="K30" i="11"/>
  <c r="K116" i="11"/>
  <c r="K107" i="11"/>
  <c r="S72" i="11"/>
  <c r="S52" i="11"/>
  <c r="R113" i="11"/>
  <c r="R97" i="11"/>
  <c r="R74" i="11"/>
  <c r="S55" i="11"/>
  <c r="R53" i="11"/>
  <c r="R8" i="11"/>
  <c r="M96" i="11"/>
  <c r="B96" i="11" s="1" a="1"/>
  <c r="B96" i="11" s="1"/>
  <c r="S78" i="11"/>
  <c r="J78" i="11" s="1"/>
  <c r="R77" i="11"/>
  <c r="S77" i="11" s="1"/>
  <c r="M72" i="11"/>
  <c r="B72" i="11" s="1" a="1"/>
  <c r="B72" i="11" s="1"/>
  <c r="S58" i="11"/>
  <c r="J58" i="11" s="1"/>
  <c r="R55" i="11"/>
  <c r="M52" i="11"/>
  <c r="B52" i="11" s="1" a="1"/>
  <c r="B52" i="11" s="1"/>
  <c r="S23" i="11"/>
  <c r="J23" i="11" s="1"/>
  <c r="R30" i="11"/>
  <c r="M126" i="11"/>
  <c r="B126" i="11" s="1" a="1"/>
  <c r="B126" i="11" s="1"/>
  <c r="M113" i="11"/>
  <c r="B113" i="11" s="1" a="1"/>
  <c r="B113" i="11" s="1"/>
  <c r="M97" i="11"/>
  <c r="B97" i="11" s="1" a="1"/>
  <c r="B97" i="11" s="1"/>
  <c r="L96" i="11"/>
  <c r="S80" i="11"/>
  <c r="J80" i="11" s="1"/>
  <c r="M74" i="11"/>
  <c r="B74" i="11" s="1" a="1"/>
  <c r="B74" i="11" s="1"/>
  <c r="L72" i="11"/>
  <c r="S59" i="11"/>
  <c r="J59" i="11" s="1"/>
  <c r="M53" i="11"/>
  <c r="B53" i="11" s="1" a="1"/>
  <c r="B53" i="11" s="1"/>
  <c r="L52" i="11"/>
  <c r="S33" i="11"/>
  <c r="J33" i="11" s="1"/>
  <c r="M8" i="11"/>
  <c r="B8" i="11" s="1" a="1"/>
  <c r="B8" i="11" s="1"/>
  <c r="K15" i="11"/>
  <c r="R15" i="11"/>
  <c r="M22" i="3"/>
  <c r="B22" i="3" s="1" a="1"/>
  <c r="B22" i="3" s="1"/>
  <c r="C37" i="17"/>
  <c r="D37" i="17" s="1"/>
  <c r="S11" i="3"/>
  <c r="C13" i="17"/>
  <c r="D13" i="17" s="1"/>
  <c r="K62" i="3"/>
  <c r="K53" i="3"/>
  <c r="R59" i="3"/>
  <c r="S59" i="3" s="1"/>
  <c r="R88" i="3"/>
  <c r="S88" i="3" s="1"/>
  <c r="M59" i="3"/>
  <c r="S61" i="3"/>
  <c r="R60" i="3"/>
  <c r="S60" i="3" s="1"/>
  <c r="M88" i="3"/>
  <c r="L59" i="3"/>
  <c r="S62" i="3"/>
  <c r="J62" i="3" s="1"/>
  <c r="R61" i="3"/>
  <c r="L88" i="3"/>
  <c r="S63" i="3"/>
  <c r="J63" i="3" s="1"/>
  <c r="M60" i="3"/>
  <c r="R45" i="3"/>
  <c r="M46" i="3"/>
  <c r="M45" i="3"/>
  <c r="L46" i="3"/>
  <c r="L45" i="3"/>
  <c r="L31" i="3"/>
  <c r="K31" i="3"/>
  <c r="K7" i="3"/>
  <c r="R57" i="3"/>
  <c r="R46" i="3"/>
  <c r="R36" i="3"/>
  <c r="R35" i="3"/>
  <c r="S35" i="3" s="1"/>
  <c r="J35" i="3" s="1"/>
  <c r="K56" i="3"/>
  <c r="K55" i="3"/>
  <c r="S45" i="3"/>
  <c r="S46" i="3"/>
  <c r="R47" i="3"/>
  <c r="S47" i="3" s="1"/>
  <c r="K57" i="3"/>
  <c r="R48" i="3"/>
  <c r="S48" i="3" s="1"/>
  <c r="R53" i="3"/>
  <c r="M47" i="3"/>
  <c r="R7" i="3"/>
  <c r="S7" i="3" s="1"/>
  <c r="S56" i="3"/>
  <c r="J56" i="3" s="1"/>
  <c r="R55" i="3"/>
  <c r="M48" i="3"/>
  <c r="L47" i="3"/>
  <c r="R31" i="3"/>
  <c r="S31" i="3" s="1"/>
  <c r="S57" i="3"/>
  <c r="M53" i="3"/>
  <c r="L48" i="3"/>
  <c r="M7" i="3"/>
  <c r="K30" i="13"/>
  <c r="K21" i="13"/>
  <c r="K14" i="13"/>
  <c r="K12" i="13"/>
  <c r="K32" i="13"/>
  <c r="K25" i="13"/>
  <c r="K41" i="13"/>
  <c r="K46" i="13"/>
  <c r="K34" i="13"/>
  <c r="K23" i="13"/>
  <c r="K26" i="13"/>
  <c r="K43" i="13"/>
  <c r="K39" i="13"/>
  <c r="K9" i="13"/>
  <c r="K40" i="13"/>
  <c r="K28" i="13"/>
  <c r="K31" i="13"/>
  <c r="N25" i="13"/>
  <c r="M13" i="13"/>
  <c r="N30" i="13"/>
  <c r="L25" i="13"/>
  <c r="M38" i="13"/>
  <c r="L13" i="13"/>
  <c r="L38" i="13"/>
  <c r="L44" i="13"/>
  <c r="L41" i="13"/>
  <c r="M9" i="13"/>
  <c r="L8" i="13"/>
  <c r="N21" i="13"/>
  <c r="N31" i="13"/>
  <c r="N40" i="13"/>
  <c r="M21" i="13"/>
  <c r="M31" i="13"/>
  <c r="M40" i="13"/>
  <c r="N32" i="13"/>
  <c r="M42" i="13"/>
  <c r="N43" i="13"/>
  <c r="M34" i="13"/>
  <c r="N46" i="13"/>
  <c r="M23" i="13"/>
  <c r="N7" i="13"/>
  <c r="K4" i="13"/>
  <c r="L4" i="13"/>
  <c r="N4" i="13"/>
  <c r="K15" i="12"/>
  <c r="N15" i="12"/>
  <c r="A15" i="12" s="1" a="1"/>
  <c r="A15" i="12" s="1"/>
  <c r="R15" i="12" s="1"/>
  <c r="K4" i="12"/>
  <c r="L4" i="12"/>
  <c r="N4" i="12"/>
  <c r="A4" i="12" s="1" a="1"/>
  <c r="A4" i="12" s="1"/>
  <c r="R4" i="12" s="1"/>
  <c r="N29" i="12"/>
  <c r="A29" i="12" s="1" a="1"/>
  <c r="A29" i="12" s="1"/>
  <c r="R29" i="12" s="1"/>
  <c r="L28" i="12"/>
  <c r="K19" i="12"/>
  <c r="L24" i="12"/>
  <c r="K22" i="12"/>
  <c r="N22" i="12"/>
  <c r="M22" i="12"/>
  <c r="K16" i="12"/>
  <c r="M25" i="12"/>
  <c r="K25" i="12"/>
  <c r="K11" i="12"/>
  <c r="K7" i="12"/>
  <c r="K28" i="12"/>
  <c r="K26" i="12"/>
  <c r="K24" i="12"/>
  <c r="K23" i="12"/>
  <c r="K30" i="12"/>
  <c r="K29" i="12"/>
  <c r="M24" i="12"/>
  <c r="K9" i="12"/>
  <c r="L25" i="12"/>
  <c r="N5" i="12"/>
  <c r="N30" i="12"/>
  <c r="A30" i="12" s="1" a="1"/>
  <c r="A30" i="12" s="1"/>
  <c r="R30" i="12" s="1"/>
  <c r="M5" i="12"/>
  <c r="M30" i="12"/>
  <c r="N26" i="12"/>
  <c r="M29" i="12"/>
  <c r="M20" i="12"/>
  <c r="M26" i="12"/>
  <c r="N12" i="12"/>
  <c r="L20" i="12"/>
  <c r="L23" i="12"/>
  <c r="L11" i="12"/>
  <c r="K12" i="12"/>
  <c r="K13" i="12"/>
  <c r="K20" i="12"/>
  <c r="K5" i="12"/>
  <c r="N19" i="12"/>
  <c r="M19" i="12"/>
  <c r="N11" i="12"/>
  <c r="L9" i="12"/>
  <c r="M28" i="12"/>
  <c r="N13" i="12"/>
  <c r="N7" i="12"/>
  <c r="N16" i="12"/>
  <c r="A16" i="12" s="1" a="1"/>
  <c r="A16" i="12" s="1"/>
  <c r="R16" i="12" s="1"/>
  <c r="M13" i="12"/>
  <c r="N23" i="12"/>
  <c r="A23" i="12" s="1" a="1"/>
  <c r="A23" i="12" s="1"/>
  <c r="R23" i="12" s="1"/>
  <c r="M7" i="12"/>
  <c r="M16" i="12"/>
  <c r="N9" i="12"/>
  <c r="K36" i="13"/>
  <c r="K5" i="13"/>
  <c r="K29" i="13"/>
  <c r="K15" i="13"/>
  <c r="K6" i="13"/>
  <c r="K37" i="13"/>
  <c r="K6" i="12"/>
  <c r="J32" i="14"/>
  <c r="J83" i="14"/>
  <c r="J66" i="14"/>
  <c r="J91" i="14"/>
  <c r="J95" i="14"/>
  <c r="S69" i="14"/>
  <c r="J69" i="14" s="1"/>
  <c r="J5" i="14"/>
  <c r="J43" i="14"/>
  <c r="J63" i="14"/>
  <c r="J41" i="14"/>
  <c r="J13" i="14"/>
  <c r="J77" i="14"/>
  <c r="S64" i="14"/>
  <c r="J64" i="14" s="1"/>
  <c r="J11" i="14"/>
  <c r="J4" i="14"/>
  <c r="J36" i="14"/>
  <c r="J74" i="14"/>
  <c r="J51" i="14"/>
  <c r="J65" i="14"/>
  <c r="J3" i="14"/>
  <c r="J102" i="14"/>
  <c r="S10" i="14"/>
  <c r="J10" i="14" s="1"/>
  <c r="S94" i="14"/>
  <c r="J94" i="14" s="1"/>
  <c r="J6" i="6"/>
  <c r="J20" i="6"/>
  <c r="J69" i="6"/>
  <c r="J41" i="6"/>
  <c r="J34" i="6"/>
  <c r="J40" i="6"/>
  <c r="J77" i="6"/>
  <c r="J93" i="6"/>
  <c r="J8" i="6"/>
  <c r="J70" i="6"/>
  <c r="J11" i="6"/>
  <c r="J62" i="6"/>
  <c r="J72" i="6"/>
  <c r="J94" i="6"/>
  <c r="J18" i="6"/>
  <c r="J37" i="6"/>
  <c r="J5" i="6"/>
  <c r="J39" i="6"/>
  <c r="J25" i="6"/>
  <c r="J44" i="6"/>
  <c r="J21" i="6"/>
  <c r="J75" i="6"/>
  <c r="J97" i="6"/>
  <c r="J52" i="6"/>
  <c r="J64" i="6"/>
  <c r="J15" i="6"/>
  <c r="J12" i="6"/>
  <c r="J31" i="6"/>
  <c r="J24" i="6"/>
  <c r="J42" i="6"/>
  <c r="J58" i="6"/>
  <c r="S13" i="6"/>
  <c r="J13" i="6" s="1"/>
  <c r="S61" i="6"/>
  <c r="J61" i="6" s="1"/>
  <c r="S89" i="6"/>
  <c r="J89" i="6" s="1"/>
  <c r="J43" i="6"/>
  <c r="S14" i="6"/>
  <c r="J14" i="6" s="1"/>
  <c r="S56" i="6"/>
  <c r="J56" i="6" s="1"/>
  <c r="S9" i="6"/>
  <c r="J9" i="6" s="1"/>
  <c r="S29" i="6"/>
  <c r="J29" i="6" s="1"/>
  <c r="S32" i="6"/>
  <c r="J32" i="6" s="1"/>
  <c r="J23" i="6"/>
  <c r="J59" i="6"/>
  <c r="J22" i="6"/>
  <c r="J10" i="6"/>
  <c r="J67" i="6"/>
  <c r="J92" i="6"/>
  <c r="J45" i="6"/>
  <c r="J16" i="6"/>
  <c r="S60" i="6"/>
  <c r="J60" i="6" s="1"/>
  <c r="S87" i="6"/>
  <c r="J87" i="6" s="1"/>
  <c r="S76" i="6"/>
  <c r="J76" i="6" s="1"/>
  <c r="S88" i="6"/>
  <c r="J88" i="6" s="1"/>
  <c r="S26" i="6"/>
  <c r="J26" i="6" s="1"/>
  <c r="J27" i="6"/>
  <c r="J38" i="6"/>
  <c r="J68" i="6"/>
  <c r="S4" i="6"/>
  <c r="J4" i="6" s="1"/>
  <c r="S66" i="6"/>
  <c r="J66" i="6" s="1"/>
  <c r="J53" i="16"/>
  <c r="J31" i="16"/>
  <c r="J38" i="16"/>
  <c r="J6" i="16"/>
  <c r="J3" i="16"/>
  <c r="J23" i="16"/>
  <c r="J22" i="15"/>
  <c r="J13" i="15"/>
  <c r="S8" i="15"/>
  <c r="J8" i="15" s="1"/>
  <c r="S35" i="15"/>
  <c r="J35" i="15" s="1"/>
  <c r="J36" i="15"/>
  <c r="J12" i="15"/>
  <c r="J7" i="15"/>
  <c r="J27" i="15"/>
  <c r="J10" i="15"/>
  <c r="J23" i="15"/>
  <c r="J11" i="15"/>
  <c r="J9" i="15"/>
  <c r="J25" i="15"/>
  <c r="K11" i="13"/>
  <c r="K17" i="13"/>
  <c r="K22" i="13"/>
  <c r="K45" i="13"/>
  <c r="K33" i="13"/>
  <c r="K10" i="13"/>
  <c r="K16" i="13"/>
  <c r="K3" i="13"/>
  <c r="K24" i="13"/>
  <c r="K35" i="13"/>
  <c r="K18" i="13"/>
  <c r="K18" i="12"/>
  <c r="K27" i="12"/>
  <c r="K14" i="12"/>
  <c r="K3" i="12"/>
  <c r="K8" i="12"/>
  <c r="K21" i="12"/>
  <c r="K10" i="12"/>
  <c r="K17" i="12"/>
  <c r="S7" i="11"/>
  <c r="L7" i="11"/>
  <c r="R7" i="11"/>
  <c r="R3" i="11"/>
  <c r="R121" i="11"/>
  <c r="R79" i="11"/>
  <c r="S5" i="11"/>
  <c r="R5" i="11"/>
  <c r="R85" i="11"/>
  <c r="K7" i="11"/>
  <c r="S4" i="11"/>
  <c r="R4" i="11"/>
  <c r="S79" i="11"/>
  <c r="S3" i="11"/>
  <c r="J11" i="16"/>
  <c r="J58" i="16"/>
  <c r="J34" i="16"/>
  <c r="J4" i="16"/>
  <c r="J12" i="16"/>
  <c r="J55" i="16"/>
  <c r="J24" i="16"/>
  <c r="J35" i="16"/>
  <c r="J17" i="16"/>
  <c r="S5" i="16"/>
  <c r="J5" i="16" s="1"/>
  <c r="S52" i="16"/>
  <c r="J52" i="16" s="1"/>
  <c r="S68" i="16"/>
  <c r="J68" i="16" s="1"/>
  <c r="S48" i="16"/>
  <c r="J48" i="16" s="1"/>
  <c r="S13" i="16"/>
  <c r="J13" i="16" s="1"/>
  <c r="J18" i="15"/>
  <c r="S9" i="14"/>
  <c r="J9" i="14" s="1"/>
  <c r="S39" i="14"/>
  <c r="J39" i="14" s="1"/>
  <c r="S6" i="14"/>
  <c r="J6" i="14" s="1"/>
  <c r="S96" i="14"/>
  <c r="J96" i="14" s="1"/>
  <c r="S82" i="14"/>
  <c r="J82" i="14" s="1"/>
  <c r="S71" i="14"/>
  <c r="J71" i="14" s="1"/>
  <c r="S7" i="14"/>
  <c r="J7" i="14" s="1"/>
  <c r="S20" i="14"/>
  <c r="J20" i="14" s="1"/>
  <c r="K3" i="11"/>
  <c r="M3" i="11"/>
  <c r="M121" i="11"/>
  <c r="K85" i="11"/>
  <c r="M79" i="11"/>
  <c r="B79" i="11" s="1" a="1"/>
  <c r="B79" i="11" s="1"/>
  <c r="L79" i="11"/>
  <c r="K121" i="11"/>
  <c r="M4" i="11"/>
  <c r="M5" i="11"/>
  <c r="L4" i="11"/>
  <c r="L5" i="11"/>
  <c r="M85" i="11"/>
  <c r="G33" i="15"/>
  <c r="A3" i="14" l="1" a="1"/>
  <c r="A3" i="14" s="1"/>
  <c r="A5" i="14" a="1"/>
  <c r="A5" i="14" s="1"/>
  <c r="A4" i="14" a="1"/>
  <c r="A4" i="14" s="1"/>
  <c r="A91" i="14" a="1"/>
  <c r="A91" i="14" s="1"/>
  <c r="A61" i="14" a="1"/>
  <c r="A61" i="14" s="1"/>
  <c r="A60" i="14" a="1"/>
  <c r="A60" i="14" s="1"/>
  <c r="B83" i="6" a="1"/>
  <c r="B83" i="6" s="1"/>
  <c r="A83" i="6" a="1"/>
  <c r="A83" i="6" s="1"/>
  <c r="Q83" i="6" s="1"/>
  <c r="B91" i="6" a="1"/>
  <c r="B91" i="6" s="1"/>
  <c r="A91" i="6" a="1"/>
  <c r="A91" i="6" s="1"/>
  <c r="Q91" i="6" s="1"/>
  <c r="B78" i="6" a="1"/>
  <c r="B78" i="6" s="1"/>
  <c r="A78" i="6" a="1"/>
  <c r="A78" i="6" s="1"/>
  <c r="Q78" i="6" s="1"/>
  <c r="B24" i="15" a="1"/>
  <c r="B24" i="15" s="1"/>
  <c r="A24" i="15" a="1"/>
  <c r="A24" i="15" s="1"/>
  <c r="Q24" i="15" s="1"/>
  <c r="B129" i="11" a="1"/>
  <c r="B129" i="11" s="1"/>
  <c r="A129" i="11" a="1"/>
  <c r="A129" i="11" s="1"/>
  <c r="Q129" i="11" s="1"/>
  <c r="B121" i="11" a="1"/>
  <c r="B121" i="11" s="1"/>
  <c r="A121" i="11" a="1"/>
  <c r="A121" i="11" s="1"/>
  <c r="Q121" i="11" s="1"/>
  <c r="B15" i="11" a="1"/>
  <c r="B15" i="11" s="1"/>
  <c r="A15" i="11" a="1"/>
  <c r="A15" i="11" s="1"/>
  <c r="Q15" i="11" s="1"/>
  <c r="B85" i="11" a="1"/>
  <c r="B85" i="11" s="1"/>
  <c r="A85" i="11" a="1"/>
  <c r="A85" i="11" s="1"/>
  <c r="Q85" i="11" s="1"/>
  <c r="B78" i="11" a="1"/>
  <c r="B78" i="11" s="1"/>
  <c r="A78" i="11" a="1"/>
  <c r="A78" i="11" s="1"/>
  <c r="Q78" i="11" s="1"/>
  <c r="B11" i="11" a="1"/>
  <c r="B11" i="11" s="1"/>
  <c r="A11" i="11" a="1"/>
  <c r="A11" i="11" s="1"/>
  <c r="Q11" i="11" s="1"/>
  <c r="B75" i="11" a="1"/>
  <c r="B75" i="11" s="1"/>
  <c r="A75" i="11" a="1"/>
  <c r="A75" i="11" s="1"/>
  <c r="Q75" i="11" s="1"/>
  <c r="B87" i="11" a="1"/>
  <c r="B87" i="11" s="1"/>
  <c r="A87" i="11" a="1"/>
  <c r="A87" i="11" s="1"/>
  <c r="Q87" i="11" s="1"/>
  <c r="B58" i="11" a="1"/>
  <c r="B58" i="11" s="1"/>
  <c r="A58" i="11" a="1"/>
  <c r="A58" i="11" s="1"/>
  <c r="Q58" i="11" s="1"/>
  <c r="J20" i="11"/>
  <c r="B88" i="3" a="1"/>
  <c r="B88" i="3" s="1"/>
  <c r="A88" i="3" a="1"/>
  <c r="A88" i="3" s="1"/>
  <c r="Q88" i="3" s="1"/>
  <c r="B102" i="3" a="1"/>
  <c r="B102" i="3" s="1"/>
  <c r="A102" i="3" a="1"/>
  <c r="A102" i="3" s="1"/>
  <c r="Q102" i="3" s="1"/>
  <c r="B101" i="3" a="1"/>
  <c r="B101" i="3" s="1"/>
  <c r="A101" i="3" a="1"/>
  <c r="A101" i="3" s="1"/>
  <c r="Q101" i="3" s="1"/>
  <c r="B97" i="3" a="1"/>
  <c r="B97" i="3" s="1"/>
  <c r="A97" i="3" a="1"/>
  <c r="A97" i="3" s="1"/>
  <c r="Q97" i="3" s="1"/>
  <c r="B93" i="3" a="1"/>
  <c r="B93" i="3" s="1"/>
  <c r="A93" i="3" a="1"/>
  <c r="A93" i="3" s="1"/>
  <c r="Q93" i="3" s="1"/>
  <c r="J126" i="11"/>
  <c r="B9" i="14" a="1"/>
  <c r="B9" i="14" s="1"/>
  <c r="B3" i="14" a="1"/>
  <c r="B3" i="14" s="1"/>
  <c r="B91" i="14" a="1"/>
  <c r="B91" i="14" s="1"/>
  <c r="B60" i="14" a="1"/>
  <c r="B60" i="14" s="1"/>
  <c r="B61" i="14" a="1"/>
  <c r="B61" i="14" s="1"/>
  <c r="B4" i="14" a="1"/>
  <c r="B4" i="14" s="1"/>
  <c r="J48" i="11"/>
  <c r="J52" i="11"/>
  <c r="J9" i="11"/>
  <c r="S82" i="11"/>
  <c r="J82" i="11" s="1"/>
  <c r="J6" i="11"/>
  <c r="S92" i="3"/>
  <c r="J92" i="3" s="1"/>
  <c r="S102" i="3"/>
  <c r="J102" i="3" s="1"/>
  <c r="S79" i="3"/>
  <c r="J79" i="3" s="1"/>
  <c r="S73" i="3"/>
  <c r="J73" i="3" s="1"/>
  <c r="S103" i="3"/>
  <c r="J103" i="3" s="1"/>
  <c r="J105" i="3"/>
  <c r="S97" i="3"/>
  <c r="J97" i="3" s="1"/>
  <c r="J94" i="3"/>
  <c r="J93" i="3"/>
  <c r="J11" i="3"/>
  <c r="J22" i="3"/>
  <c r="J118" i="11"/>
  <c r="J65" i="11"/>
  <c r="J61" i="11"/>
  <c r="J72" i="11"/>
  <c r="S53" i="11"/>
  <c r="J53" i="11" s="1"/>
  <c r="J132" i="11"/>
  <c r="J106" i="11"/>
  <c r="J77" i="11"/>
  <c r="S97" i="11"/>
  <c r="J97" i="11" s="1"/>
  <c r="J95" i="11"/>
  <c r="S74" i="11"/>
  <c r="J74" i="11" s="1"/>
  <c r="S113" i="11"/>
  <c r="J113" i="11" s="1"/>
  <c r="J115" i="11"/>
  <c r="J111" i="11"/>
  <c r="S8" i="11"/>
  <c r="J8" i="11" s="1"/>
  <c r="J66" i="11"/>
  <c r="J127" i="11"/>
  <c r="J55" i="11"/>
  <c r="J107" i="11"/>
  <c r="S30" i="11"/>
  <c r="J30" i="11" s="1"/>
  <c r="S123" i="11"/>
  <c r="J123" i="11" s="1"/>
  <c r="J116" i="11"/>
  <c r="S51" i="11"/>
  <c r="J51" i="11" s="1"/>
  <c r="S15" i="11"/>
  <c r="J15" i="11" s="1"/>
  <c r="J45" i="3"/>
  <c r="J46" i="3"/>
  <c r="J57" i="3"/>
  <c r="J61" i="3"/>
  <c r="J88" i="3"/>
  <c r="J60" i="3"/>
  <c r="J59" i="3"/>
  <c r="S36" i="3"/>
  <c r="J36" i="3" s="1"/>
  <c r="J31" i="3"/>
  <c r="J47" i="3"/>
  <c r="J7" i="3"/>
  <c r="J48" i="3"/>
  <c r="S55" i="3"/>
  <c r="J55" i="3" s="1"/>
  <c r="S53" i="3"/>
  <c r="J53" i="3" s="1"/>
  <c r="J3" i="11"/>
  <c r="J7" i="11"/>
  <c r="S121" i="11"/>
  <c r="J121" i="11" s="1"/>
  <c r="J5" i="11"/>
  <c r="S85" i="11"/>
  <c r="J85" i="11" s="1"/>
  <c r="J79" i="11"/>
  <c r="J4" i="11"/>
  <c r="L33" i="15"/>
  <c r="K33" i="15"/>
  <c r="M33" i="15"/>
  <c r="AE71" i="11" l="1"/>
  <c r="D10" i="15" l="1"/>
  <c r="D62" i="14"/>
  <c r="D63" i="14"/>
  <c r="D92" i="14"/>
  <c r="D93" i="14"/>
  <c r="D6" i="14"/>
  <c r="D13" i="14"/>
  <c r="D10" i="14"/>
  <c r="D11" i="14"/>
  <c r="D12" i="14"/>
  <c r="D15" i="14"/>
  <c r="D16" i="14"/>
  <c r="D32" i="14"/>
  <c r="D39" i="14"/>
  <c r="D36" i="14"/>
  <c r="D41" i="14"/>
  <c r="D51" i="14"/>
  <c r="D25" i="14"/>
  <c r="D60" i="14"/>
  <c r="D61" i="14"/>
  <c r="D91" i="14"/>
  <c r="D9" i="14"/>
  <c r="D4" i="14"/>
  <c r="D5" i="14"/>
  <c r="D30" i="14"/>
  <c r="D26" i="14"/>
  <c r="D34" i="14"/>
  <c r="D69" i="14"/>
  <c r="D71" i="14"/>
  <c r="D72" i="14"/>
  <c r="D77" i="14"/>
  <c r="D65" i="14"/>
  <c r="D79" i="14"/>
  <c r="D20" i="14"/>
  <c r="D37" i="14"/>
  <c r="D38" i="14"/>
  <c r="D22" i="14"/>
  <c r="D43" i="14"/>
  <c r="D42" i="14"/>
  <c r="D59" i="14"/>
  <c r="D7" i="14"/>
  <c r="D58" i="14"/>
  <c r="D21" i="14"/>
  <c r="D53" i="14"/>
  <c r="D18" i="14"/>
  <c r="D27" i="14"/>
  <c r="D19" i="14"/>
  <c r="D23" i="14"/>
  <c r="D35" i="14"/>
  <c r="D31" i="14"/>
  <c r="D96" i="14"/>
  <c r="D94" i="14"/>
  <c r="D102" i="14"/>
  <c r="D24" i="6"/>
  <c r="D13" i="6"/>
  <c r="D12" i="6"/>
  <c r="D27" i="6"/>
  <c r="D22" i="6"/>
  <c r="D41" i="6"/>
  <c r="D56" i="6"/>
  <c r="D58" i="6"/>
  <c r="D25" i="6"/>
  <c r="D60" i="6"/>
  <c r="D62" i="6"/>
  <c r="D64" i="6"/>
  <c r="D59" i="6"/>
  <c r="D18" i="6"/>
  <c r="D5" i="6"/>
  <c r="D3" i="6"/>
  <c r="D8" i="6"/>
  <c r="D4" i="6"/>
  <c r="D15" i="6"/>
  <c r="D23" i="6"/>
  <c r="D11" i="6"/>
  <c r="D42" i="6"/>
  <c r="D17" i="6"/>
  <c r="D6" i="6"/>
  <c r="D77" i="6"/>
  <c r="D61" i="6"/>
  <c r="D63" i="6"/>
  <c r="D72" i="6"/>
  <c r="D68" i="6"/>
  <c r="D87" i="6"/>
  <c r="D10" i="6"/>
  <c r="D9" i="6"/>
  <c r="D21" i="6"/>
  <c r="D20" i="6"/>
  <c r="D40" i="6"/>
  <c r="D29" i="6"/>
  <c r="D31" i="6"/>
  <c r="D37" i="6"/>
  <c r="D88" i="6"/>
  <c r="D93" i="6"/>
  <c r="D89" i="6"/>
  <c r="D92" i="6"/>
  <c r="D97" i="6"/>
  <c r="D94" i="6"/>
  <c r="D73" i="6"/>
  <c r="D70" i="6"/>
  <c r="D66" i="6"/>
  <c r="D76" i="6"/>
  <c r="D75" i="6"/>
  <c r="D67" i="6"/>
  <c r="D14" i="6"/>
  <c r="D26" i="6"/>
  <c r="D16" i="6"/>
  <c r="D32" i="6"/>
  <c r="D39" i="6"/>
  <c r="D34" i="6"/>
  <c r="D44" i="6"/>
  <c r="D43" i="6"/>
  <c r="D52" i="6"/>
  <c r="D38" i="6"/>
  <c r="D45" i="6"/>
  <c r="D33" i="13"/>
  <c r="D10" i="13"/>
  <c r="D11" i="13"/>
  <c r="D5" i="13"/>
  <c r="D22" i="13"/>
  <c r="D35" i="13"/>
  <c r="D3" i="13"/>
  <c r="D6" i="13"/>
  <c r="D37" i="13"/>
  <c r="D16" i="13"/>
  <c r="D17" i="13"/>
  <c r="D15" i="13"/>
  <c r="D45" i="13"/>
  <c r="D18" i="13"/>
  <c r="D24" i="13"/>
  <c r="D36" i="13"/>
  <c r="D29" i="13"/>
  <c r="D27" i="12"/>
  <c r="D18" i="12"/>
  <c r="D21" i="12"/>
  <c r="D17" i="12"/>
  <c r="D10" i="12"/>
  <c r="D45" i="11"/>
  <c r="D42" i="11"/>
  <c r="D49" i="11"/>
  <c r="D32" i="11"/>
  <c r="D26" i="11"/>
  <c r="D21" i="11"/>
  <c r="D38" i="11"/>
  <c r="D10" i="11"/>
  <c r="D54" i="11"/>
  <c r="D64" i="11"/>
  <c r="D88" i="11"/>
  <c r="D91" i="11"/>
  <c r="D99" i="11"/>
  <c r="D98" i="11"/>
  <c r="D92" i="11"/>
  <c r="D102" i="11"/>
  <c r="D94" i="11"/>
  <c r="D103" i="11"/>
  <c r="D100" i="11"/>
  <c r="D101" i="11"/>
  <c r="D105" i="11"/>
  <c r="D90" i="11"/>
  <c r="D114" i="11"/>
  <c r="D125" i="11"/>
  <c r="D131" i="11"/>
  <c r="D130" i="11"/>
  <c r="D128" i="11"/>
  <c r="D120" i="11"/>
  <c r="D119" i="11"/>
  <c r="D86" i="11"/>
  <c r="D89" i="11"/>
  <c r="D93" i="11"/>
  <c r="D104" i="11"/>
  <c r="D16" i="11"/>
  <c r="D28" i="11"/>
  <c r="D12" i="11"/>
  <c r="D24" i="11"/>
  <c r="D25" i="11"/>
  <c r="D37" i="11"/>
  <c r="D73" i="11"/>
  <c r="D27" i="11"/>
  <c r="D13" i="11"/>
  <c r="D36" i="11"/>
  <c r="D69" i="11"/>
  <c r="D14" i="11"/>
  <c r="D70" i="11"/>
  <c r="D84" i="11"/>
  <c r="D35" i="11"/>
  <c r="D40" i="11"/>
  <c r="D46" i="11"/>
  <c r="D56" i="11"/>
  <c r="D29" i="11"/>
  <c r="D34" i="11"/>
  <c r="D31" i="11"/>
  <c r="D41" i="11"/>
  <c r="D76" i="11"/>
  <c r="D71" i="11"/>
  <c r="D63" i="11"/>
  <c r="D62" i="11"/>
  <c r="D60" i="11"/>
  <c r="D50" i="11"/>
  <c r="D68" i="11"/>
  <c r="D39" i="11"/>
  <c r="D67" i="11"/>
  <c r="D43" i="11"/>
  <c r="D44" i="11"/>
  <c r="D17" i="11"/>
  <c r="D22" i="11"/>
  <c r="D81" i="11"/>
  <c r="D18" i="11"/>
  <c r="D19" i="11"/>
  <c r="D44" i="3"/>
  <c r="D41" i="3"/>
  <c r="D50" i="3"/>
  <c r="D58" i="3"/>
  <c r="D98" i="3"/>
  <c r="D99" i="3"/>
  <c r="D100" i="3"/>
  <c r="D104" i="3"/>
  <c r="D65" i="3"/>
  <c r="D72" i="3"/>
  <c r="D86" i="3"/>
  <c r="D89" i="3"/>
  <c r="D67" i="3"/>
  <c r="D81" i="3"/>
  <c r="D69" i="3"/>
  <c r="D66" i="3"/>
  <c r="D12" i="3"/>
  <c r="D14" i="3"/>
  <c r="D17" i="3"/>
  <c r="D15" i="3"/>
  <c r="D19" i="3"/>
  <c r="D13" i="3"/>
  <c r="D6" i="3"/>
  <c r="D18" i="3"/>
  <c r="D49" i="3"/>
  <c r="D54" i="3"/>
  <c r="D34" i="3"/>
  <c r="D16" i="3"/>
  <c r="D25" i="3"/>
  <c r="D21" i="3"/>
  <c r="D33" i="3"/>
  <c r="D64" i="3"/>
  <c r="D10" i="3"/>
  <c r="D8" i="3"/>
  <c r="D5" i="3"/>
  <c r="D9" i="3"/>
  <c r="D3" i="3"/>
  <c r="D4" i="3"/>
  <c r="D52" i="3"/>
  <c r="D39" i="3"/>
  <c r="D37" i="3"/>
  <c r="D30" i="3"/>
  <c r="D85" i="3"/>
  <c r="D82" i="3"/>
  <c r="D51" i="3"/>
  <c r="D76" i="3"/>
  <c r="D87" i="3"/>
  <c r="D95" i="3"/>
  <c r="D23" i="3"/>
  <c r="D26" i="3"/>
  <c r="D20" i="3"/>
  <c r="D28" i="3"/>
  <c r="D38" i="3"/>
  <c r="D32" i="3"/>
  <c r="D27" i="3"/>
  <c r="D40" i="3"/>
  <c r="D42" i="3"/>
  <c r="D24" i="3"/>
  <c r="D43" i="3"/>
  <c r="D29" i="3"/>
  <c r="D71" i="3"/>
  <c r="D70" i="3"/>
  <c r="D68" i="3"/>
  <c r="D78" i="3"/>
  <c r="D74" i="3"/>
  <c r="D83" i="3"/>
  <c r="D75" i="3"/>
  <c r="G63" i="17" l="1"/>
  <c r="H63" i="17" s="1"/>
  <c r="G64" i="17"/>
  <c r="H64" i="17" s="1"/>
  <c r="G7" i="17"/>
  <c r="H7" i="17" s="1"/>
  <c r="E11" i="17"/>
  <c r="F11" i="17" s="1"/>
  <c r="G11" i="17"/>
  <c r="H11" i="17" s="1"/>
  <c r="C22" i="17"/>
  <c r="D22" i="17" s="1"/>
  <c r="C40" i="17"/>
  <c r="D40" i="17" s="1"/>
  <c r="E40" i="17"/>
  <c r="F40" i="17" s="1"/>
  <c r="E46" i="17"/>
  <c r="F46" i="17" s="1"/>
  <c r="G46" i="17"/>
  <c r="H46" i="17" s="1"/>
  <c r="G52" i="17"/>
  <c r="H52" i="17" s="1"/>
  <c r="G16" i="15" l="1"/>
  <c r="G22" i="15"/>
  <c r="G18" i="15"/>
  <c r="G6" i="15"/>
  <c r="G3" i="15"/>
  <c r="Q12" i="15"/>
  <c r="G12" i="15"/>
  <c r="G13" i="15"/>
  <c r="Q23" i="15"/>
  <c r="G23" i="15"/>
  <c r="G32" i="15"/>
  <c r="G41" i="15"/>
  <c r="G19" i="15"/>
  <c r="G17" i="16"/>
  <c r="Q27" i="16"/>
  <c r="G25" i="17" s="1"/>
  <c r="H25" i="17" s="1"/>
  <c r="G27" i="16"/>
  <c r="G10" i="16"/>
  <c r="Q58" i="16"/>
  <c r="G58" i="16"/>
  <c r="Q28" i="16"/>
  <c r="G28" i="16"/>
  <c r="Q24" i="16"/>
  <c r="G24" i="16"/>
  <c r="G33" i="16"/>
  <c r="G26" i="16"/>
  <c r="G23" i="16"/>
  <c r="G68" i="16"/>
  <c r="Q11" i="16"/>
  <c r="G11" i="16"/>
  <c r="Q53" i="16"/>
  <c r="G53" i="16"/>
  <c r="Q38" i="16"/>
  <c r="G38" i="16"/>
  <c r="G56" i="16"/>
  <c r="G12" i="16"/>
  <c r="Q63" i="16"/>
  <c r="G63" i="16"/>
  <c r="G34" i="16"/>
  <c r="G6" i="16"/>
  <c r="Q102" i="14"/>
  <c r="Q81" i="14"/>
  <c r="E48" i="17"/>
  <c r="F48" i="17" s="1"/>
  <c r="Q82" i="14"/>
  <c r="Q71" i="14"/>
  <c r="Q34" i="14"/>
  <c r="Q59" i="14"/>
  <c r="E30" i="17"/>
  <c r="F30" i="17" s="1"/>
  <c r="Q75" i="14"/>
  <c r="Q74" i="14"/>
  <c r="Q10" i="14"/>
  <c r="Q39" i="14"/>
  <c r="Q12" i="14"/>
  <c r="Q22" i="6"/>
  <c r="G22" i="6"/>
  <c r="Q41" i="6"/>
  <c r="G41" i="6"/>
  <c r="Q25" i="6"/>
  <c r="G25" i="6"/>
  <c r="Q77" i="6"/>
  <c r="G77" i="6"/>
  <c r="Q40" i="6"/>
  <c r="G40" i="6"/>
  <c r="Q93" i="6"/>
  <c r="G93" i="6"/>
  <c r="G12" i="6"/>
  <c r="Q56" i="6"/>
  <c r="G56" i="6"/>
  <c r="G8" i="6"/>
  <c r="Q18" i="6"/>
  <c r="G18" i="6"/>
  <c r="G13" i="6"/>
  <c r="Q58" i="6"/>
  <c r="G58" i="6"/>
  <c r="G17" i="6"/>
  <c r="G15" i="6"/>
  <c r="G6" i="6"/>
  <c r="Q27" i="6"/>
  <c r="G27" i="6"/>
  <c r="Q23" i="6"/>
  <c r="G23" i="6"/>
  <c r="G62" i="6"/>
  <c r="G59" i="6"/>
  <c r="G3" i="6"/>
  <c r="G5" i="6"/>
  <c r="H36" i="13"/>
  <c r="Y36" i="13"/>
  <c r="AF36" i="13"/>
  <c r="R11" i="13"/>
  <c r="H11" i="13"/>
  <c r="Y11" i="13"/>
  <c r="AF11" i="13"/>
  <c r="H35" i="13"/>
  <c r="Y35" i="13"/>
  <c r="AF35" i="13"/>
  <c r="R33" i="13"/>
  <c r="H33" i="13"/>
  <c r="Y33" i="13"/>
  <c r="AF33" i="13"/>
  <c r="H3" i="13"/>
  <c r="Y3" i="13"/>
  <c r="AF3" i="13"/>
  <c r="R29" i="13"/>
  <c r="H29" i="13"/>
  <c r="Y29" i="13"/>
  <c r="AF29" i="13"/>
  <c r="R10" i="13"/>
  <c r="H10" i="13"/>
  <c r="Y10" i="13"/>
  <c r="AF10" i="13"/>
  <c r="H15" i="13"/>
  <c r="Y15" i="13"/>
  <c r="AF15" i="13"/>
  <c r="R5" i="13"/>
  <c r="H5" i="13"/>
  <c r="Y5" i="13"/>
  <c r="AF5" i="13"/>
  <c r="R22" i="13"/>
  <c r="H22" i="13"/>
  <c r="Y22" i="13"/>
  <c r="AF22" i="13"/>
  <c r="R18" i="13"/>
  <c r="H18" i="13"/>
  <c r="Y18" i="13"/>
  <c r="AF18" i="13"/>
  <c r="R45" i="13"/>
  <c r="H45" i="13"/>
  <c r="Y45" i="13"/>
  <c r="AF45" i="13"/>
  <c r="R17" i="13"/>
  <c r="H17" i="13"/>
  <c r="Y17" i="13"/>
  <c r="AF17" i="13"/>
  <c r="R24" i="13"/>
  <c r="H24" i="13"/>
  <c r="Y24" i="13"/>
  <c r="AF24" i="13"/>
  <c r="R16" i="13"/>
  <c r="H16" i="13"/>
  <c r="Y16" i="13"/>
  <c r="AF16" i="13"/>
  <c r="H37" i="13"/>
  <c r="Y37" i="13"/>
  <c r="AF37" i="13"/>
  <c r="R6" i="13"/>
  <c r="H6" i="13"/>
  <c r="Y6" i="13"/>
  <c r="AF6" i="13"/>
  <c r="H27" i="12"/>
  <c r="Y27" i="12"/>
  <c r="R18" i="12"/>
  <c r="H18" i="12"/>
  <c r="Y18" i="12"/>
  <c r="H3" i="12"/>
  <c r="Y3" i="12"/>
  <c r="R21" i="12"/>
  <c r="H21" i="12"/>
  <c r="Y21" i="12"/>
  <c r="R8" i="12"/>
  <c r="H8" i="12"/>
  <c r="L8" i="12" s="1"/>
  <c r="Y8" i="12"/>
  <c r="H14" i="12"/>
  <c r="Y14" i="12"/>
  <c r="R10" i="12"/>
  <c r="H10" i="12"/>
  <c r="Y10" i="12"/>
  <c r="H17" i="12"/>
  <c r="Y17" i="12"/>
  <c r="H6" i="12"/>
  <c r="Y6" i="12"/>
  <c r="Q81" i="11"/>
  <c r="G81" i="11"/>
  <c r="X81" i="11"/>
  <c r="AE81" i="11"/>
  <c r="G19" i="11"/>
  <c r="X19" i="11"/>
  <c r="AE19" i="11"/>
  <c r="G35" i="11"/>
  <c r="X35" i="11"/>
  <c r="AE35" i="11"/>
  <c r="G43" i="11"/>
  <c r="X43" i="11"/>
  <c r="AE43" i="11"/>
  <c r="Q44" i="11"/>
  <c r="G44" i="11"/>
  <c r="X44" i="11"/>
  <c r="AE44" i="11"/>
  <c r="Q100" i="11"/>
  <c r="G100" i="11"/>
  <c r="X100" i="11"/>
  <c r="AE100" i="11"/>
  <c r="G102" i="11"/>
  <c r="X102" i="11"/>
  <c r="AE102" i="11"/>
  <c r="Q114" i="11"/>
  <c r="G114" i="11"/>
  <c r="X114" i="11"/>
  <c r="AE114" i="11"/>
  <c r="G119" i="11"/>
  <c r="X119" i="11"/>
  <c r="AE119" i="11"/>
  <c r="Q14" i="11"/>
  <c r="G14" i="11"/>
  <c r="X14" i="11"/>
  <c r="AE14" i="11"/>
  <c r="G91" i="11"/>
  <c r="X91" i="11"/>
  <c r="AE91" i="11"/>
  <c r="Q45" i="11"/>
  <c r="G45" i="11"/>
  <c r="X45" i="11"/>
  <c r="AE45" i="11"/>
  <c r="Q25" i="11"/>
  <c r="G25" i="11"/>
  <c r="X25" i="11"/>
  <c r="AE25" i="11"/>
  <c r="Q36" i="11"/>
  <c r="G36" i="11"/>
  <c r="X36" i="11"/>
  <c r="AE36" i="11"/>
  <c r="Q49" i="11"/>
  <c r="G49" i="11"/>
  <c r="X49" i="11"/>
  <c r="AE49" i="11"/>
  <c r="Q89" i="11"/>
  <c r="G89" i="11"/>
  <c r="X89" i="11"/>
  <c r="AE89" i="11"/>
  <c r="G16" i="11"/>
  <c r="X16" i="11"/>
  <c r="AE16" i="11"/>
  <c r="Q12" i="11"/>
  <c r="G12" i="11"/>
  <c r="X12" i="11"/>
  <c r="AE12" i="11"/>
  <c r="G104" i="11"/>
  <c r="X104" i="11"/>
  <c r="AE104" i="11"/>
  <c r="G131" i="11"/>
  <c r="X131" i="11"/>
  <c r="AE131" i="11"/>
  <c r="Q64" i="11"/>
  <c r="G64" i="11"/>
  <c r="X64" i="11"/>
  <c r="AE64" i="11"/>
  <c r="G86" i="11"/>
  <c r="X86" i="11"/>
  <c r="AE86" i="11"/>
  <c r="Q10" i="11"/>
  <c r="G10" i="11"/>
  <c r="X10" i="11"/>
  <c r="AE10" i="11"/>
  <c r="G69" i="11"/>
  <c r="X69" i="11"/>
  <c r="AE69" i="11"/>
  <c r="G93" i="11"/>
  <c r="X93" i="11"/>
  <c r="AE93" i="11"/>
  <c r="G94" i="11"/>
  <c r="X94" i="11"/>
  <c r="AE94" i="11"/>
  <c r="G70" i="3"/>
  <c r="X70" i="3"/>
  <c r="AE70" i="3"/>
  <c r="G13" i="3"/>
  <c r="X13" i="3"/>
  <c r="AE13" i="3"/>
  <c r="Q25" i="3"/>
  <c r="G25" i="3"/>
  <c r="X25" i="3"/>
  <c r="AE25" i="3"/>
  <c r="Q17" i="3"/>
  <c r="G17" i="3"/>
  <c r="X17" i="3"/>
  <c r="AE17" i="3"/>
  <c r="Q89" i="3"/>
  <c r="G89" i="3"/>
  <c r="X89" i="3"/>
  <c r="AE89" i="3"/>
  <c r="Q87" i="3"/>
  <c r="G87" i="3"/>
  <c r="X87" i="3"/>
  <c r="AE87" i="3"/>
  <c r="Q20" i="3"/>
  <c r="G20" i="3"/>
  <c r="X20" i="3"/>
  <c r="AE20" i="3"/>
  <c r="G23" i="3"/>
  <c r="X23" i="3"/>
  <c r="AE23" i="3"/>
  <c r="G85" i="3"/>
  <c r="X85" i="3"/>
  <c r="AE85" i="3"/>
  <c r="G75" i="3"/>
  <c r="X75" i="3"/>
  <c r="AE75" i="3"/>
  <c r="G67" i="3"/>
  <c r="X67" i="3"/>
  <c r="AE67" i="3"/>
  <c r="G4" i="3"/>
  <c r="X4" i="3"/>
  <c r="AE4" i="3"/>
  <c r="G3" i="3"/>
  <c r="X3" i="3"/>
  <c r="AE3" i="3"/>
  <c r="G19" i="3"/>
  <c r="X19" i="3"/>
  <c r="AE19" i="3"/>
  <c r="G9" i="3"/>
  <c r="X9" i="3"/>
  <c r="AE9" i="3"/>
  <c r="C2" i="17"/>
  <c r="D2" i="17" s="1"/>
  <c r="G21" i="3"/>
  <c r="X21" i="3"/>
  <c r="AE21" i="3"/>
  <c r="G81" i="3"/>
  <c r="X81" i="3"/>
  <c r="AE81" i="3"/>
  <c r="Q18" i="3"/>
  <c r="G18" i="3"/>
  <c r="X18" i="3"/>
  <c r="AE18" i="3"/>
  <c r="G72" i="3"/>
  <c r="X72" i="3"/>
  <c r="AE72" i="3"/>
  <c r="G5" i="3"/>
  <c r="X5" i="3"/>
  <c r="AE5" i="3"/>
  <c r="Q12" i="3"/>
  <c r="G12" i="3"/>
  <c r="X12" i="3"/>
  <c r="AE12" i="3"/>
  <c r="G49" i="3"/>
  <c r="X49" i="3"/>
  <c r="AE49" i="3"/>
  <c r="G98" i="3"/>
  <c r="X98" i="3"/>
  <c r="AE98" i="3"/>
  <c r="Q86" i="3"/>
  <c r="G86" i="3"/>
  <c r="X86" i="3"/>
  <c r="AE86" i="3"/>
  <c r="Q99" i="3"/>
  <c r="G99" i="3"/>
  <c r="X99" i="3"/>
  <c r="AE99" i="3"/>
  <c r="Q41" i="3"/>
  <c r="G41" i="3"/>
  <c r="X41" i="3"/>
  <c r="AE41" i="3"/>
  <c r="R10" i="11" l="1"/>
  <c r="S10" i="11"/>
  <c r="S16" i="11"/>
  <c r="R16" i="11"/>
  <c r="R102" i="11"/>
  <c r="S102" i="11" s="1"/>
  <c r="R43" i="11"/>
  <c r="S43" i="11"/>
  <c r="R94" i="11"/>
  <c r="S94" i="11" s="1"/>
  <c r="R104" i="11"/>
  <c r="S104" i="11" s="1"/>
  <c r="S25" i="11"/>
  <c r="R25" i="11"/>
  <c r="R119" i="11"/>
  <c r="R44" i="11"/>
  <c r="S44" i="11"/>
  <c r="S19" i="11"/>
  <c r="R19" i="11"/>
  <c r="S64" i="11"/>
  <c r="R64" i="11"/>
  <c r="R91" i="11"/>
  <c r="S91" i="11" s="1"/>
  <c r="R81" i="11"/>
  <c r="S81" i="11"/>
  <c r="R69" i="11"/>
  <c r="S69" i="11"/>
  <c r="R49" i="11"/>
  <c r="S49" i="11"/>
  <c r="S35" i="11"/>
  <c r="R35" i="11"/>
  <c r="R93" i="11"/>
  <c r="S93" i="11" s="1"/>
  <c r="R86" i="11"/>
  <c r="S86" i="11" s="1"/>
  <c r="R131" i="11"/>
  <c r="S131" i="11" s="1"/>
  <c r="R12" i="11"/>
  <c r="S12" i="11"/>
  <c r="R89" i="11"/>
  <c r="S89" i="11" s="1"/>
  <c r="R36" i="11"/>
  <c r="S36" i="11"/>
  <c r="S45" i="11"/>
  <c r="R45" i="11"/>
  <c r="R14" i="11"/>
  <c r="S14" i="11"/>
  <c r="R114" i="11"/>
  <c r="S114" i="11" s="1"/>
  <c r="R100" i="11"/>
  <c r="S100" i="11" s="1"/>
  <c r="R98" i="3"/>
  <c r="S98" i="3" s="1"/>
  <c r="S3" i="3"/>
  <c r="R3" i="3"/>
  <c r="R70" i="3"/>
  <c r="S70" i="3" s="1"/>
  <c r="S17" i="3"/>
  <c r="R17" i="3"/>
  <c r="S41" i="3"/>
  <c r="R41" i="3"/>
  <c r="S13" i="3"/>
  <c r="R13" i="3"/>
  <c r="R9" i="3"/>
  <c r="S9" i="3"/>
  <c r="R99" i="3"/>
  <c r="S99" i="3" s="1"/>
  <c r="S12" i="3"/>
  <c r="R12" i="3"/>
  <c r="R67" i="3"/>
  <c r="S67" i="3" s="1"/>
  <c r="R18" i="3"/>
  <c r="S18" i="3"/>
  <c r="R87" i="3"/>
  <c r="S87" i="3" s="1"/>
  <c r="S49" i="3"/>
  <c r="R49" i="3"/>
  <c r="S4" i="3"/>
  <c r="R4" i="3"/>
  <c r="S21" i="3"/>
  <c r="R21" i="3"/>
  <c r="R23" i="3"/>
  <c r="S23" i="3"/>
  <c r="R86" i="3"/>
  <c r="S86" i="3" s="1"/>
  <c r="S5" i="3"/>
  <c r="R5" i="3"/>
  <c r="R19" i="3"/>
  <c r="S19" i="3"/>
  <c r="R75" i="3"/>
  <c r="R72" i="3"/>
  <c r="R81" i="3"/>
  <c r="S81" i="3" s="1"/>
  <c r="R85" i="3"/>
  <c r="R20" i="3"/>
  <c r="S20" i="3"/>
  <c r="R89" i="3"/>
  <c r="R25" i="3"/>
  <c r="S25" i="3"/>
  <c r="G53" i="17"/>
  <c r="H53" i="17" s="1"/>
  <c r="E22" i="17"/>
  <c r="F22" i="17" s="1"/>
  <c r="E16" i="17"/>
  <c r="F16" i="17" s="1"/>
  <c r="M12" i="14"/>
  <c r="B12" i="14" s="1" a="1"/>
  <c r="B12" i="14" s="1"/>
  <c r="M59" i="14"/>
  <c r="K66" i="14"/>
  <c r="K102" i="14"/>
  <c r="M92" i="14"/>
  <c r="K15" i="14"/>
  <c r="K61" i="14"/>
  <c r="M6" i="14"/>
  <c r="M10" i="14"/>
  <c r="M95" i="14"/>
  <c r="M73" i="14"/>
  <c r="B73" i="14" s="1" a="1"/>
  <c r="B73" i="14" s="1"/>
  <c r="K75" i="14"/>
  <c r="K34" i="14"/>
  <c r="K82" i="14"/>
  <c r="K81" i="14"/>
  <c r="M4" i="14"/>
  <c r="K93" i="14"/>
  <c r="K94" i="14"/>
  <c r="K96" i="14"/>
  <c r="M5" i="14"/>
  <c r="K71" i="14"/>
  <c r="K80" i="14"/>
  <c r="K91" i="14"/>
  <c r="M39" i="14"/>
  <c r="M74" i="14"/>
  <c r="B74" i="14" s="1" a="1"/>
  <c r="B74" i="14" s="1"/>
  <c r="M62" i="14"/>
  <c r="M83" i="14"/>
  <c r="K60" i="14"/>
  <c r="M18" i="6"/>
  <c r="M12" i="6"/>
  <c r="M62" i="6"/>
  <c r="K58" i="6"/>
  <c r="K40" i="6"/>
  <c r="K41" i="6"/>
  <c r="K23" i="6"/>
  <c r="M22" i="6"/>
  <c r="M3" i="6"/>
  <c r="K15" i="6"/>
  <c r="K8" i="6"/>
  <c r="K77" i="6"/>
  <c r="K5" i="6"/>
  <c r="M27" i="6"/>
  <c r="B27" i="6" s="1" a="1"/>
  <c r="B27" i="6" s="1"/>
  <c r="K13" i="6"/>
  <c r="K59" i="6"/>
  <c r="K6" i="6"/>
  <c r="M17" i="6"/>
  <c r="M56" i="6"/>
  <c r="B56" i="6" s="1" a="1"/>
  <c r="B56" i="6" s="1"/>
  <c r="M93" i="6"/>
  <c r="B93" i="6" s="1" a="1"/>
  <c r="B93" i="6" s="1"/>
  <c r="M25" i="6"/>
  <c r="B25" i="6" s="1" a="1"/>
  <c r="B25" i="6" s="1"/>
  <c r="M24" i="16"/>
  <c r="B24" i="16" s="1" a="1"/>
  <c r="B24" i="16" s="1"/>
  <c r="M58" i="16"/>
  <c r="B58" i="16" s="1" a="1"/>
  <c r="B58" i="16" s="1"/>
  <c r="M27" i="16"/>
  <c r="B27" i="16" s="1" a="1"/>
  <c r="B27" i="16" s="1"/>
  <c r="M63" i="16"/>
  <c r="B63" i="16" s="1" a="1"/>
  <c r="B63" i="16" s="1"/>
  <c r="K12" i="16"/>
  <c r="K38" i="16"/>
  <c r="M23" i="16"/>
  <c r="M17" i="16"/>
  <c r="M56" i="16"/>
  <c r="M53" i="16"/>
  <c r="B53" i="16" s="1" a="1"/>
  <c r="B53" i="16" s="1"/>
  <c r="M6" i="16"/>
  <c r="M11" i="16"/>
  <c r="B11" i="16" s="1" a="1"/>
  <c r="B11" i="16" s="1"/>
  <c r="M26" i="16"/>
  <c r="M28" i="16"/>
  <c r="B28" i="16" s="1" a="1"/>
  <c r="B28" i="16" s="1"/>
  <c r="L68" i="16"/>
  <c r="L33" i="16"/>
  <c r="K10" i="16"/>
  <c r="K13" i="15"/>
  <c r="K18" i="15"/>
  <c r="K32" i="15"/>
  <c r="L19" i="15"/>
  <c r="M12" i="15"/>
  <c r="K22" i="15"/>
  <c r="K41" i="15"/>
  <c r="K23" i="15"/>
  <c r="K3" i="15"/>
  <c r="K6" i="15"/>
  <c r="K16" i="15"/>
  <c r="L35" i="13"/>
  <c r="M36" i="13"/>
  <c r="L5" i="13"/>
  <c r="N45" i="13"/>
  <c r="L33" i="13"/>
  <c r="L37" i="13"/>
  <c r="L22" i="13"/>
  <c r="L10" i="13"/>
  <c r="N17" i="13"/>
  <c r="M18" i="13"/>
  <c r="M3" i="13"/>
  <c r="M16" i="13"/>
  <c r="M6" i="13"/>
  <c r="N24" i="13"/>
  <c r="M15" i="13"/>
  <c r="L29" i="13"/>
  <c r="N11" i="13"/>
  <c r="N21" i="12"/>
  <c r="N14" i="12"/>
  <c r="A14" i="12" s="1" a="1"/>
  <c r="A14" i="12" s="1"/>
  <c r="R14" i="12" s="1"/>
  <c r="L18" i="12"/>
  <c r="L27" i="12"/>
  <c r="L3" i="12"/>
  <c r="M10" i="12"/>
  <c r="N6" i="12"/>
  <c r="L17" i="12"/>
  <c r="G45" i="17"/>
  <c r="H45" i="17" s="1"/>
  <c r="K34" i="16"/>
  <c r="C48" i="17"/>
  <c r="D48" i="17" s="1"/>
  <c r="M89" i="11"/>
  <c r="B89" i="11" s="1" a="1"/>
  <c r="B89" i="11" s="1"/>
  <c r="M49" i="11"/>
  <c r="B49" i="11" s="1" a="1"/>
  <c r="B49" i="11" s="1"/>
  <c r="M36" i="11"/>
  <c r="B36" i="11" s="1" a="1"/>
  <c r="B36" i="11" s="1"/>
  <c r="M25" i="11"/>
  <c r="B25" i="11" s="1" a="1"/>
  <c r="B25" i="11" s="1"/>
  <c r="M91" i="11"/>
  <c r="M119" i="11"/>
  <c r="K81" i="11"/>
  <c r="K94" i="11"/>
  <c r="M69" i="11"/>
  <c r="L16" i="11"/>
  <c r="K45" i="11"/>
  <c r="M14" i="11"/>
  <c r="B14" i="11" s="1" a="1"/>
  <c r="B14" i="11" s="1"/>
  <c r="K114" i="11"/>
  <c r="K100" i="11"/>
  <c r="K43" i="11"/>
  <c r="L19" i="11"/>
  <c r="L99" i="3"/>
  <c r="K18" i="3"/>
  <c r="K21" i="3"/>
  <c r="L75" i="3"/>
  <c r="K85" i="3"/>
  <c r="M20" i="3"/>
  <c r="B20" i="3" s="1" a="1"/>
  <c r="B20" i="3" s="1"/>
  <c r="M70" i="3"/>
  <c r="L12" i="3"/>
  <c r="L72" i="3"/>
  <c r="M23" i="3"/>
  <c r="K87" i="3"/>
  <c r="M17" i="3"/>
  <c r="K25" i="3"/>
  <c r="M13" i="3"/>
  <c r="L95" i="14"/>
  <c r="K95" i="14"/>
  <c r="M15" i="14"/>
  <c r="A15" i="14" s="1" a="1"/>
  <c r="A15" i="14" s="1"/>
  <c r="Q15" i="14" s="1"/>
  <c r="G22" i="17"/>
  <c r="H22" i="17" s="1"/>
  <c r="L62" i="14"/>
  <c r="L59" i="14"/>
  <c r="K12" i="14"/>
  <c r="K59" i="14"/>
  <c r="L4" i="14"/>
  <c r="K62" i="6"/>
  <c r="L93" i="6"/>
  <c r="K18" i="6"/>
  <c r="L25" i="6"/>
  <c r="L3" i="6"/>
  <c r="L62" i="6"/>
  <c r="M18" i="15"/>
  <c r="B18" i="15" s="1" a="1"/>
  <c r="B18" i="15" s="1"/>
  <c r="L18" i="15"/>
  <c r="N16" i="13"/>
  <c r="M86" i="11"/>
  <c r="M131" i="11"/>
  <c r="L14" i="11"/>
  <c r="K10" i="11"/>
  <c r="L89" i="11"/>
  <c r="K19" i="11"/>
  <c r="L20" i="3"/>
  <c r="M21" i="3"/>
  <c r="M16" i="15"/>
  <c r="B16" i="15" s="1" a="1"/>
  <c r="B16" i="15" s="1"/>
  <c r="L16" i="15"/>
  <c r="L3" i="15"/>
  <c r="M23" i="15"/>
  <c r="B23" i="15" s="1" a="1"/>
  <c r="B23" i="15" s="1"/>
  <c r="L23" i="15"/>
  <c r="M13" i="15"/>
  <c r="L13" i="15"/>
  <c r="L12" i="15"/>
  <c r="K12" i="15"/>
  <c r="M3" i="15"/>
  <c r="M22" i="15"/>
  <c r="L22" i="15"/>
  <c r="M6" i="15"/>
  <c r="L6" i="15"/>
  <c r="M32" i="15"/>
  <c r="L32" i="15"/>
  <c r="M41" i="15"/>
  <c r="L41" i="15"/>
  <c r="K19" i="15"/>
  <c r="M19" i="15"/>
  <c r="B19" i="15" s="1" a="1"/>
  <c r="B19" i="15" s="1"/>
  <c r="K24" i="16"/>
  <c r="L28" i="16"/>
  <c r="K28" i="16"/>
  <c r="L17" i="16"/>
  <c r="K17" i="16"/>
  <c r="L23" i="16"/>
  <c r="K23" i="16"/>
  <c r="L26" i="16"/>
  <c r="K26" i="16"/>
  <c r="M33" i="16"/>
  <c r="M12" i="16"/>
  <c r="K33" i="16"/>
  <c r="L27" i="16"/>
  <c r="K27" i="16"/>
  <c r="K68" i="16"/>
  <c r="L24" i="16"/>
  <c r="L58" i="16"/>
  <c r="K58" i="16"/>
  <c r="M10" i="16"/>
  <c r="M34" i="16"/>
  <c r="L10" i="16"/>
  <c r="M38" i="16"/>
  <c r="B38" i="16" s="1" a="1"/>
  <c r="B38" i="16" s="1"/>
  <c r="M68" i="16"/>
  <c r="L13" i="3"/>
  <c r="M18" i="3"/>
  <c r="B18" i="3" s="1" a="1"/>
  <c r="B18" i="3" s="1"/>
  <c r="M75" i="3"/>
  <c r="K13" i="3"/>
  <c r="L16" i="13"/>
  <c r="N10" i="13"/>
  <c r="L17" i="13"/>
  <c r="N5" i="13"/>
  <c r="L15" i="13"/>
  <c r="M29" i="13"/>
  <c r="L24" i="13"/>
  <c r="M5" i="13"/>
  <c r="L6" i="16"/>
  <c r="L63" i="16"/>
  <c r="L56" i="16"/>
  <c r="L53" i="16"/>
  <c r="L11" i="16"/>
  <c r="K6" i="16"/>
  <c r="K63" i="16"/>
  <c r="K56" i="16"/>
  <c r="K53" i="16"/>
  <c r="K11" i="16"/>
  <c r="L34" i="16"/>
  <c r="L12" i="16"/>
  <c r="L38" i="16"/>
  <c r="L5" i="14"/>
  <c r="M71" i="14"/>
  <c r="K5" i="14"/>
  <c r="L71" i="14"/>
  <c r="M102" i="14"/>
  <c r="B102" i="14" s="1" a="1"/>
  <c r="B102" i="14" s="1"/>
  <c r="L92" i="14"/>
  <c r="L73" i="14"/>
  <c r="M80" i="14"/>
  <c r="A80" i="14" s="1" a="1"/>
  <c r="A80" i="14" s="1"/>
  <c r="Q80" i="14" s="1"/>
  <c r="L80" i="14"/>
  <c r="M66" i="14"/>
  <c r="L66" i="14"/>
  <c r="L102" i="14"/>
  <c r="L74" i="14"/>
  <c r="K74" i="14"/>
  <c r="M94" i="14"/>
  <c r="K62" i="14"/>
  <c r="K73" i="14"/>
  <c r="M96" i="14"/>
  <c r="L83" i="14"/>
  <c r="K83" i="14"/>
  <c r="M75" i="14"/>
  <c r="B75" i="14" s="1" a="1"/>
  <c r="B75" i="14" s="1"/>
  <c r="L12" i="14"/>
  <c r="M61" i="14"/>
  <c r="K4" i="14"/>
  <c r="M91" i="14"/>
  <c r="M34" i="14"/>
  <c r="M60" i="14"/>
  <c r="M82" i="14"/>
  <c r="M81" i="14"/>
  <c r="L34" i="14"/>
  <c r="L60" i="14"/>
  <c r="L82" i="14"/>
  <c r="L81" i="14"/>
  <c r="L94" i="14"/>
  <c r="L15" i="14"/>
  <c r="L96" i="14"/>
  <c r="L75" i="14"/>
  <c r="K92" i="14"/>
  <c r="L6" i="14"/>
  <c r="K6" i="14"/>
  <c r="M93" i="14"/>
  <c r="L39" i="14"/>
  <c r="K39" i="14"/>
  <c r="L10" i="14"/>
  <c r="K10" i="14"/>
  <c r="L61" i="14"/>
  <c r="L91" i="14"/>
  <c r="L93" i="14"/>
  <c r="M59" i="6"/>
  <c r="L27" i="6"/>
  <c r="L41" i="6"/>
  <c r="K17" i="6"/>
  <c r="M13" i="6"/>
  <c r="L13" i="6"/>
  <c r="L18" i="6"/>
  <c r="M40" i="6"/>
  <c r="B40" i="6" s="1" a="1"/>
  <c r="B40" i="6" s="1"/>
  <c r="L40" i="6"/>
  <c r="M77" i="6"/>
  <c r="B77" i="6" s="1" a="1"/>
  <c r="B77" i="6" s="1"/>
  <c r="L77" i="6"/>
  <c r="L12" i="6"/>
  <c r="K12" i="6"/>
  <c r="L56" i="6"/>
  <c r="K56" i="6"/>
  <c r="M8" i="6"/>
  <c r="L22" i="6"/>
  <c r="M41" i="6"/>
  <c r="B41" i="6" s="1" a="1"/>
  <c r="B41" i="6" s="1"/>
  <c r="M5" i="6"/>
  <c r="K3" i="6"/>
  <c r="M23" i="6"/>
  <c r="K27" i="6"/>
  <c r="M6" i="6"/>
  <c r="M15" i="6"/>
  <c r="L17" i="6"/>
  <c r="K93" i="6"/>
  <c r="K25" i="6"/>
  <c r="K22" i="6"/>
  <c r="L8" i="6"/>
  <c r="M58" i="6"/>
  <c r="B58" i="6" s="1" a="1"/>
  <c r="B58" i="6" s="1"/>
  <c r="L58" i="6"/>
  <c r="L5" i="6"/>
  <c r="L59" i="6"/>
  <c r="L23" i="6"/>
  <c r="L6" i="6"/>
  <c r="L15" i="6"/>
  <c r="N35" i="13"/>
  <c r="M24" i="13"/>
  <c r="M17" i="13"/>
  <c r="M45" i="13"/>
  <c r="N22" i="13"/>
  <c r="L3" i="13"/>
  <c r="M35" i="13"/>
  <c r="L36" i="13"/>
  <c r="N36" i="13"/>
  <c r="L6" i="13"/>
  <c r="L18" i="13"/>
  <c r="N15" i="13"/>
  <c r="N29" i="13"/>
  <c r="M11" i="13"/>
  <c r="L45" i="13"/>
  <c r="L11" i="13"/>
  <c r="M22" i="13"/>
  <c r="M10" i="13"/>
  <c r="N37" i="13"/>
  <c r="A37" i="13" s="1" a="1"/>
  <c r="A37" i="13" s="1"/>
  <c r="N33" i="13"/>
  <c r="B33" i="13" s="1" a="1"/>
  <c r="B33" i="13" s="1"/>
  <c r="N6" i="13"/>
  <c r="B6" i="13" s="1" a="1"/>
  <c r="B6" i="13" s="1"/>
  <c r="M37" i="13"/>
  <c r="N18" i="13"/>
  <c r="N3" i="13"/>
  <c r="M33" i="13"/>
  <c r="L10" i="12"/>
  <c r="L6" i="12"/>
  <c r="N17" i="12"/>
  <c r="A17" i="12" s="1" a="1"/>
  <c r="A17" i="12" s="1"/>
  <c r="R17" i="12" s="1"/>
  <c r="N10" i="12"/>
  <c r="L14" i="12"/>
  <c r="N8" i="12"/>
  <c r="M21" i="12"/>
  <c r="L21" i="12"/>
  <c r="N18" i="12"/>
  <c r="M18" i="12"/>
  <c r="N27" i="12"/>
  <c r="M27" i="12"/>
  <c r="M6" i="12"/>
  <c r="M14" i="12"/>
  <c r="M17" i="12"/>
  <c r="M8" i="12"/>
  <c r="N3" i="12"/>
  <c r="M3" i="12"/>
  <c r="K64" i="11"/>
  <c r="M35" i="11"/>
  <c r="B35" i="11" s="1" a="1"/>
  <c r="B35" i="11" s="1"/>
  <c r="L86" i="11"/>
  <c r="M12" i="11"/>
  <c r="B12" i="11" s="1" a="1"/>
  <c r="B12" i="11" s="1"/>
  <c r="M19" i="11"/>
  <c r="B19" i="11" s="1" a="1"/>
  <c r="B19" i="11" s="1"/>
  <c r="M81" i="11"/>
  <c r="B81" i="11" s="1" a="1"/>
  <c r="B81" i="11" s="1"/>
  <c r="L81" i="11"/>
  <c r="M43" i="11"/>
  <c r="L43" i="11"/>
  <c r="L35" i="11"/>
  <c r="K35" i="11"/>
  <c r="M44" i="11"/>
  <c r="B44" i="11" s="1" a="1"/>
  <c r="B44" i="11" s="1"/>
  <c r="L44" i="11"/>
  <c r="K44" i="11"/>
  <c r="K89" i="11"/>
  <c r="L36" i="11"/>
  <c r="K36" i="11"/>
  <c r="K14" i="11"/>
  <c r="L119" i="11"/>
  <c r="K119" i="11"/>
  <c r="M102" i="11"/>
  <c r="M100" i="11"/>
  <c r="B100" i="11" s="1" a="1"/>
  <c r="B100" i="11" s="1"/>
  <c r="L100" i="11"/>
  <c r="K93" i="11"/>
  <c r="L69" i="11"/>
  <c r="L49" i="11"/>
  <c r="L25" i="11"/>
  <c r="L91" i="11"/>
  <c r="L102" i="11"/>
  <c r="K49" i="11"/>
  <c r="K25" i="11"/>
  <c r="M45" i="11"/>
  <c r="B45" i="11" s="1" a="1"/>
  <c r="B45" i="11" s="1"/>
  <c r="K91" i="11"/>
  <c r="M114" i="11"/>
  <c r="B114" i="11" s="1" a="1"/>
  <c r="B114" i="11" s="1"/>
  <c r="K102" i="11"/>
  <c r="L45" i="11"/>
  <c r="L114" i="11"/>
  <c r="M64" i="11"/>
  <c r="B64" i="11" s="1" a="1"/>
  <c r="B64" i="11" s="1"/>
  <c r="L131" i="11"/>
  <c r="M16" i="11"/>
  <c r="K16" i="11"/>
  <c r="M94" i="11"/>
  <c r="L12" i="11"/>
  <c r="M93" i="11"/>
  <c r="K69" i="11"/>
  <c r="M10" i="11"/>
  <c r="B10" i="11" s="1" a="1"/>
  <c r="B10" i="11" s="1"/>
  <c r="K86" i="11"/>
  <c r="K131" i="11"/>
  <c r="M104" i="11"/>
  <c r="K12" i="11"/>
  <c r="L93" i="11"/>
  <c r="L10" i="11"/>
  <c r="L104" i="11"/>
  <c r="K104" i="11"/>
  <c r="L94" i="11"/>
  <c r="L64" i="11"/>
  <c r="M99" i="3"/>
  <c r="B99" i="3" s="1" a="1"/>
  <c r="B99" i="3" s="1"/>
  <c r="K12" i="3"/>
  <c r="K75" i="3"/>
  <c r="L18" i="3"/>
  <c r="L21" i="3"/>
  <c r="K20" i="3"/>
  <c r="K5" i="3"/>
  <c r="M12" i="3"/>
  <c r="M67" i="3"/>
  <c r="M86" i="3"/>
  <c r="B86" i="3" s="1" a="1"/>
  <c r="B86" i="3" s="1"/>
  <c r="L70" i="3"/>
  <c r="K70" i="3"/>
  <c r="L23" i="3"/>
  <c r="K23" i="3"/>
  <c r="M89" i="3"/>
  <c r="B89" i="3" s="1" a="1"/>
  <c r="B89" i="3" s="1"/>
  <c r="K89" i="3"/>
  <c r="L17" i="3"/>
  <c r="K17" i="3"/>
  <c r="L89" i="3"/>
  <c r="M85" i="3"/>
  <c r="M87" i="3"/>
  <c r="B87" i="3" s="1" a="1"/>
  <c r="B87" i="3" s="1"/>
  <c r="M25" i="3"/>
  <c r="L85" i="3"/>
  <c r="L87" i="3"/>
  <c r="L25" i="3"/>
  <c r="K19" i="3"/>
  <c r="L19" i="3"/>
  <c r="M19" i="3"/>
  <c r="K3" i="3"/>
  <c r="L67" i="3"/>
  <c r="M41" i="3"/>
  <c r="L86" i="3"/>
  <c r="K86" i="3"/>
  <c r="M98" i="3"/>
  <c r="K98" i="3"/>
  <c r="M49" i="3"/>
  <c r="L49" i="3"/>
  <c r="K49" i="3"/>
  <c r="K72" i="3"/>
  <c r="M72" i="3"/>
  <c r="M81" i="3"/>
  <c r="M9" i="3"/>
  <c r="M4" i="3"/>
  <c r="K67" i="3"/>
  <c r="L81" i="3"/>
  <c r="L9" i="3"/>
  <c r="L4" i="3"/>
  <c r="K81" i="3"/>
  <c r="K9" i="3"/>
  <c r="M3" i="3"/>
  <c r="K4" i="3"/>
  <c r="L3" i="3"/>
  <c r="K99" i="3"/>
  <c r="L41" i="3"/>
  <c r="L98" i="3"/>
  <c r="K41" i="3"/>
  <c r="M5" i="3"/>
  <c r="L5" i="3"/>
  <c r="G2" i="17"/>
  <c r="H2" i="17" s="1"/>
  <c r="D61" i="16"/>
  <c r="D3" i="16"/>
  <c r="D3" i="14"/>
  <c r="D84" i="14"/>
  <c r="D100" i="14"/>
  <c r="D64" i="14"/>
  <c r="D14" i="14"/>
  <c r="G3" i="16"/>
  <c r="G29" i="16"/>
  <c r="G5" i="16"/>
  <c r="G16" i="16"/>
  <c r="G21" i="16"/>
  <c r="G31" i="16"/>
  <c r="G46" i="16"/>
  <c r="G13" i="16"/>
  <c r="G48" i="16"/>
  <c r="G22" i="16"/>
  <c r="G14" i="16"/>
  <c r="G36" i="16"/>
  <c r="G35" i="16"/>
  <c r="G20" i="16"/>
  <c r="AE128" i="11"/>
  <c r="AE130" i="11"/>
  <c r="AE88" i="11"/>
  <c r="AE70" i="11"/>
  <c r="AE56" i="11"/>
  <c r="AE73" i="11"/>
  <c r="AE28" i="11"/>
  <c r="AE26" i="11"/>
  <c r="AE92" i="11"/>
  <c r="AE99" i="11"/>
  <c r="AE90" i="11"/>
  <c r="AE105" i="11"/>
  <c r="AE98" i="11"/>
  <c r="AE84" i="11"/>
  <c r="AE54" i="11"/>
  <c r="AE21" i="11"/>
  <c r="AE101" i="11"/>
  <c r="AE120" i="11"/>
  <c r="AE125" i="11"/>
  <c r="AE37" i="11"/>
  <c r="AE27" i="11"/>
  <c r="AE103" i="11"/>
  <c r="AE32" i="11"/>
  <c r="AE13" i="11"/>
  <c r="AE42" i="11"/>
  <c r="AE60" i="11"/>
  <c r="AE38" i="11"/>
  <c r="AE24" i="11"/>
  <c r="AE46" i="11"/>
  <c r="AE40" i="11"/>
  <c r="AE22" i="11"/>
  <c r="AE29" i="11"/>
  <c r="AE31" i="11"/>
  <c r="AE67" i="11"/>
  <c r="AE39" i="11"/>
  <c r="AE62" i="11"/>
  <c r="AE63" i="11"/>
  <c r="AE68" i="11"/>
  <c r="AE34" i="11"/>
  <c r="AE41" i="11"/>
  <c r="AE50" i="11"/>
  <c r="AE76" i="11"/>
  <c r="AE17" i="11"/>
  <c r="AE18" i="11"/>
  <c r="AE50" i="3"/>
  <c r="AE8" i="3"/>
  <c r="AE33" i="3"/>
  <c r="AE100" i="3"/>
  <c r="AE14" i="3"/>
  <c r="AE104" i="3"/>
  <c r="AE37" i="3"/>
  <c r="AE65" i="3"/>
  <c r="AE15" i="3"/>
  <c r="AE64" i="3"/>
  <c r="AE34" i="3"/>
  <c r="AE44" i="3"/>
  <c r="AE66" i="3"/>
  <c r="AE58" i="3"/>
  <c r="AE82" i="3"/>
  <c r="AE6" i="3"/>
  <c r="AE10" i="3"/>
  <c r="AE16" i="3"/>
  <c r="AE69" i="3"/>
  <c r="AE54" i="3"/>
  <c r="AE39" i="3"/>
  <c r="AE30" i="3"/>
  <c r="AE52" i="3"/>
  <c r="AE68" i="3"/>
  <c r="AE27" i="3"/>
  <c r="AE40" i="3"/>
  <c r="AE43" i="3"/>
  <c r="AE26" i="3"/>
  <c r="AE32" i="3"/>
  <c r="AE51" i="3"/>
  <c r="AE42" i="3"/>
  <c r="AE24" i="3"/>
  <c r="AE29" i="3"/>
  <c r="AE95" i="3"/>
  <c r="AE76" i="3"/>
  <c r="AE38" i="3"/>
  <c r="AE28" i="3"/>
  <c r="AE83" i="3"/>
  <c r="AE78" i="3"/>
  <c r="AE71" i="3"/>
  <c r="AE74" i="3"/>
  <c r="X50" i="3"/>
  <c r="X8" i="3"/>
  <c r="X33" i="3"/>
  <c r="X100" i="3"/>
  <c r="X14" i="3"/>
  <c r="X104" i="3"/>
  <c r="X37" i="3"/>
  <c r="X65" i="3"/>
  <c r="X15" i="3"/>
  <c r="X64" i="3"/>
  <c r="X34" i="3"/>
  <c r="X44" i="3"/>
  <c r="X66" i="3"/>
  <c r="X58" i="3"/>
  <c r="X82" i="3"/>
  <c r="X6" i="3"/>
  <c r="X10" i="3"/>
  <c r="X16" i="3"/>
  <c r="X69" i="3"/>
  <c r="X54" i="3"/>
  <c r="X39" i="3"/>
  <c r="X30" i="3"/>
  <c r="X52" i="3"/>
  <c r="X68" i="3"/>
  <c r="X27" i="3"/>
  <c r="X40" i="3"/>
  <c r="X43" i="3"/>
  <c r="X26" i="3"/>
  <c r="X32" i="3"/>
  <c r="X51" i="3"/>
  <c r="X24" i="3"/>
  <c r="X29" i="3"/>
  <c r="X95" i="3"/>
  <c r="X76" i="3"/>
  <c r="X38" i="3"/>
  <c r="X28" i="3"/>
  <c r="X83" i="3"/>
  <c r="X78" i="3"/>
  <c r="X71" i="3"/>
  <c r="X74" i="3"/>
  <c r="X128" i="11"/>
  <c r="X130" i="11"/>
  <c r="X88" i="11"/>
  <c r="X70" i="11"/>
  <c r="X56" i="11"/>
  <c r="X73" i="11"/>
  <c r="X28" i="11"/>
  <c r="X26" i="11"/>
  <c r="X92" i="11"/>
  <c r="X99" i="11"/>
  <c r="X90" i="11"/>
  <c r="X105" i="11"/>
  <c r="X98" i="11"/>
  <c r="X84" i="11"/>
  <c r="X54" i="11"/>
  <c r="X21" i="11"/>
  <c r="X101" i="11"/>
  <c r="X120" i="11"/>
  <c r="X125" i="11"/>
  <c r="X37" i="11"/>
  <c r="X27" i="11"/>
  <c r="X103" i="11"/>
  <c r="X32" i="11"/>
  <c r="X13" i="11"/>
  <c r="X42" i="11"/>
  <c r="X60" i="11"/>
  <c r="X38" i="11"/>
  <c r="X24" i="11"/>
  <c r="X46" i="11"/>
  <c r="X40" i="11"/>
  <c r="X22" i="11"/>
  <c r="X29" i="11"/>
  <c r="X31" i="11"/>
  <c r="X67" i="11"/>
  <c r="X39" i="11"/>
  <c r="X71" i="11"/>
  <c r="X62" i="11"/>
  <c r="X63" i="11"/>
  <c r="X68" i="11"/>
  <c r="X34" i="11"/>
  <c r="X41" i="11"/>
  <c r="X50" i="11"/>
  <c r="X76" i="11"/>
  <c r="X17" i="11"/>
  <c r="X18" i="11"/>
  <c r="G105" i="11"/>
  <c r="G98" i="11"/>
  <c r="G84" i="11"/>
  <c r="G54" i="11"/>
  <c r="G21" i="11"/>
  <c r="G101" i="11"/>
  <c r="G120" i="11"/>
  <c r="G125" i="11"/>
  <c r="G37" i="11"/>
  <c r="G27" i="11"/>
  <c r="G103" i="11"/>
  <c r="G32" i="11"/>
  <c r="G13" i="11"/>
  <c r="G42" i="11"/>
  <c r="G60" i="11"/>
  <c r="G38" i="11"/>
  <c r="G24" i="11"/>
  <c r="G46" i="11"/>
  <c r="G24" i="3"/>
  <c r="G29" i="3"/>
  <c r="G95" i="3"/>
  <c r="G76" i="3"/>
  <c r="G38" i="3"/>
  <c r="G28" i="3"/>
  <c r="G83" i="3"/>
  <c r="G78" i="3"/>
  <c r="G71" i="3"/>
  <c r="G74" i="3"/>
  <c r="G8" i="3"/>
  <c r="G33" i="3"/>
  <c r="G100" i="3"/>
  <c r="G14" i="3"/>
  <c r="G104" i="3"/>
  <c r="G37" i="3"/>
  <c r="G65" i="3"/>
  <c r="G15" i="3"/>
  <c r="G64" i="3"/>
  <c r="G34" i="3"/>
  <c r="G44" i="3"/>
  <c r="G66" i="3"/>
  <c r="G58" i="3"/>
  <c r="G82" i="3"/>
  <c r="G6" i="3"/>
  <c r="G10" i="3"/>
  <c r="G16" i="3"/>
  <c r="G69" i="3"/>
  <c r="G54" i="3"/>
  <c r="G39" i="3"/>
  <c r="G30" i="3"/>
  <c r="G52" i="3"/>
  <c r="G68" i="3"/>
  <c r="G27" i="3"/>
  <c r="G40" i="3"/>
  <c r="G43" i="3"/>
  <c r="G26" i="3"/>
  <c r="G32" i="3"/>
  <c r="G51" i="3"/>
  <c r="G42" i="3"/>
  <c r="G50" i="11"/>
  <c r="G76" i="11"/>
  <c r="G17" i="11"/>
  <c r="G18" i="11"/>
  <c r="G128" i="11"/>
  <c r="G130" i="11"/>
  <c r="G88" i="11"/>
  <c r="G70" i="11"/>
  <c r="G56" i="11"/>
  <c r="G73" i="11"/>
  <c r="G28" i="11"/>
  <c r="G26" i="11"/>
  <c r="G92" i="11"/>
  <c r="G99" i="11"/>
  <c r="G90" i="11"/>
  <c r="G40" i="11"/>
  <c r="G22" i="11"/>
  <c r="G29" i="11"/>
  <c r="G31" i="11"/>
  <c r="G67" i="11"/>
  <c r="G39" i="11"/>
  <c r="G71" i="11"/>
  <c r="G62" i="11"/>
  <c r="G63" i="11"/>
  <c r="G68" i="11"/>
  <c r="G34" i="11"/>
  <c r="G41" i="11"/>
  <c r="G9" i="16"/>
  <c r="G55" i="16"/>
  <c r="G61" i="16"/>
  <c r="G52" i="16"/>
  <c r="G51" i="16"/>
  <c r="G8" i="16"/>
  <c r="G4" i="16"/>
  <c r="G30" i="16"/>
  <c r="G50" i="16"/>
  <c r="G18" i="16"/>
  <c r="G7" i="15"/>
  <c r="G44" i="15"/>
  <c r="G35" i="15"/>
  <c r="G34" i="15"/>
  <c r="G9" i="15"/>
  <c r="G36" i="15"/>
  <c r="G11" i="15"/>
  <c r="G10" i="15"/>
  <c r="G37" i="15"/>
  <c r="G8" i="15"/>
  <c r="G17" i="15"/>
  <c r="G27" i="15"/>
  <c r="G25" i="15"/>
  <c r="G20" i="15"/>
  <c r="G21" i="15"/>
  <c r="G4" i="6"/>
  <c r="G42" i="6"/>
  <c r="G11" i="6"/>
  <c r="G64" i="6"/>
  <c r="G10" i="6"/>
  <c r="G20" i="6"/>
  <c r="G24" i="6"/>
  <c r="G9" i="6"/>
  <c r="G97" i="6"/>
  <c r="G31" i="6"/>
  <c r="G66" i="6"/>
  <c r="G60" i="6"/>
  <c r="G76" i="6"/>
  <c r="G61" i="6"/>
  <c r="G87" i="6"/>
  <c r="G68" i="6"/>
  <c r="G63" i="6"/>
  <c r="G21" i="6"/>
  <c r="G69" i="6"/>
  <c r="G34" i="6"/>
  <c r="G43" i="6"/>
  <c r="G70" i="6"/>
  <c r="G37" i="6"/>
  <c r="G89" i="6"/>
  <c r="G88" i="6"/>
  <c r="G94" i="6"/>
  <c r="G73" i="6"/>
  <c r="G29" i="6"/>
  <c r="G67" i="6"/>
  <c r="G75" i="6"/>
  <c r="G92" i="6"/>
  <c r="G44" i="6"/>
  <c r="G16" i="6"/>
  <c r="G32" i="6"/>
  <c r="G45" i="6"/>
  <c r="G14" i="6"/>
  <c r="G38" i="6"/>
  <c r="G52" i="6"/>
  <c r="G39" i="6"/>
  <c r="G26" i="6"/>
  <c r="G72" i="6"/>
  <c r="G50" i="3"/>
  <c r="A35" i="13" l="1" a="1"/>
  <c r="A35" i="13" s="1"/>
  <c r="A3" i="13" a="1"/>
  <c r="A3" i="13" s="1"/>
  <c r="A36" i="13" a="1"/>
  <c r="A36" i="13" s="1"/>
  <c r="B66" i="14" a="1"/>
  <c r="B66" i="14" s="1"/>
  <c r="A66" i="14" a="1"/>
  <c r="A66" i="14" s="1"/>
  <c r="Q66" i="14" s="1"/>
  <c r="B95" i="14" a="1"/>
  <c r="B95" i="14" s="1"/>
  <c r="A95" i="14" a="1"/>
  <c r="A95" i="14" s="1"/>
  <c r="Q95" i="14" s="1"/>
  <c r="B96" i="14" a="1"/>
  <c r="B96" i="14" s="1"/>
  <c r="A96" i="14" a="1"/>
  <c r="A96" i="14" s="1"/>
  <c r="Q96" i="14" s="1"/>
  <c r="A4" i="6" a="1"/>
  <c r="A4" i="6" s="1"/>
  <c r="A3" i="6" a="1"/>
  <c r="A3" i="6" s="1"/>
  <c r="A59" i="6" a="1"/>
  <c r="A59" i="6" s="1"/>
  <c r="A61" i="6" a="1"/>
  <c r="A61" i="6" s="1"/>
  <c r="A60" i="6" a="1"/>
  <c r="A60" i="6" s="1"/>
  <c r="A5" i="6" a="1"/>
  <c r="A5" i="6" s="1"/>
  <c r="A62" i="6" a="1"/>
  <c r="A62" i="6" s="1"/>
  <c r="A6" i="6" a="1"/>
  <c r="A6" i="6" s="1"/>
  <c r="A5" i="16" a="1"/>
  <c r="A5" i="16" s="1"/>
  <c r="B12" i="16" a="1"/>
  <c r="B12" i="16" s="1"/>
  <c r="A12" i="16" a="1"/>
  <c r="A12" i="16" s="1"/>
  <c r="Q12" i="16" s="1"/>
  <c r="B17" i="16" a="1"/>
  <c r="B17" i="16" s="1"/>
  <c r="A17" i="16" a="1"/>
  <c r="A17" i="16" s="1"/>
  <c r="Q17" i="16" s="1"/>
  <c r="A3" i="16" a="1"/>
  <c r="A3" i="16" s="1"/>
  <c r="B33" i="16" a="1"/>
  <c r="B33" i="16" s="1"/>
  <c r="A33" i="16" a="1"/>
  <c r="A33" i="16" s="1"/>
  <c r="Q33" i="16" s="1"/>
  <c r="B23" i="16" a="1"/>
  <c r="B23" i="16" s="1"/>
  <c r="A23" i="16" a="1"/>
  <c r="A23" i="16" s="1"/>
  <c r="Q23" i="16" s="1"/>
  <c r="B34" i="16" a="1"/>
  <c r="B34" i="16" s="1"/>
  <c r="A34" i="16" a="1"/>
  <c r="A34" i="16" s="1"/>
  <c r="Q34" i="16" s="1"/>
  <c r="B56" i="16" a="1"/>
  <c r="B56" i="16" s="1"/>
  <c r="A56" i="16" a="1"/>
  <c r="A56" i="16" s="1"/>
  <c r="Q56" i="16" s="1"/>
  <c r="A51" i="16" a="1"/>
  <c r="A51" i="16" s="1"/>
  <c r="B26" i="16" a="1"/>
  <c r="B26" i="16" s="1"/>
  <c r="A26" i="16" a="1"/>
  <c r="A26" i="16" s="1"/>
  <c r="B68" i="16" a="1"/>
  <c r="B68" i="16" s="1"/>
  <c r="A68" i="16" a="1"/>
  <c r="A68" i="16" s="1"/>
  <c r="Q68" i="16" s="1"/>
  <c r="A4" i="16" a="1"/>
  <c r="A4" i="16" s="1"/>
  <c r="A6" i="16" a="1"/>
  <c r="A6" i="16" s="1"/>
  <c r="B22" i="15" a="1"/>
  <c r="B22" i="15" s="1"/>
  <c r="A22" i="15" a="1"/>
  <c r="A22" i="15" s="1"/>
  <c r="Q22" i="15" s="1"/>
  <c r="A4" i="15" a="1"/>
  <c r="A4" i="15" s="1"/>
  <c r="A33" i="15" a="1"/>
  <c r="A33" i="15" s="1"/>
  <c r="A32" i="15" a="1"/>
  <c r="A32" i="15" s="1"/>
  <c r="B13" i="15" a="1"/>
  <c r="B13" i="15" s="1"/>
  <c r="A13" i="15" a="1"/>
  <c r="A13" i="15" s="1"/>
  <c r="Q13" i="15" s="1"/>
  <c r="B41" i="15" a="1"/>
  <c r="B41" i="15" s="1"/>
  <c r="A41" i="15" a="1"/>
  <c r="A41" i="15" s="1"/>
  <c r="Q41" i="15" s="1"/>
  <c r="A3" i="15" a="1"/>
  <c r="A3" i="15" s="1"/>
  <c r="A4" i="13" a="1"/>
  <c r="A4" i="13" s="1"/>
  <c r="R4" i="13" s="1"/>
  <c r="B27" i="12" a="1"/>
  <c r="B27" i="12" s="1"/>
  <c r="A27" i="12" a="1"/>
  <c r="A27" i="12" s="1"/>
  <c r="R27" i="12" s="1"/>
  <c r="B15" i="12" a="1"/>
  <c r="B15" i="12" s="1"/>
  <c r="A3" i="12" a="1"/>
  <c r="A3" i="12" s="1"/>
  <c r="R3" i="12" s="1"/>
  <c r="B69" i="11" a="1"/>
  <c r="B69" i="11" s="1"/>
  <c r="A69" i="11" a="1"/>
  <c r="A69" i="11" s="1"/>
  <c r="Q69" i="11" s="1"/>
  <c r="B102" i="11" a="1"/>
  <c r="B102" i="11" s="1"/>
  <c r="A102" i="11" a="1"/>
  <c r="A102" i="11" s="1"/>
  <c r="Q102" i="11" s="1"/>
  <c r="B104" i="11" a="1"/>
  <c r="B104" i="11" s="1"/>
  <c r="A104" i="11" a="1"/>
  <c r="A104" i="11" s="1"/>
  <c r="Q104" i="11" s="1"/>
  <c r="B91" i="11" a="1"/>
  <c r="B91" i="11" s="1"/>
  <c r="A91" i="11" a="1"/>
  <c r="A91" i="11" s="1"/>
  <c r="Q91" i="11" s="1"/>
  <c r="B86" i="11" a="1"/>
  <c r="B86" i="11" s="1"/>
  <c r="A86" i="11" a="1"/>
  <c r="A86" i="11" s="1"/>
  <c r="Q86" i="11" s="1"/>
  <c r="B93" i="11" a="1"/>
  <c r="B93" i="11" s="1"/>
  <c r="A93" i="11" a="1"/>
  <c r="A93" i="11" s="1"/>
  <c r="Q93" i="11" s="1"/>
  <c r="B94" i="11" a="1"/>
  <c r="B94" i="11" s="1"/>
  <c r="A94" i="11" a="1"/>
  <c r="A94" i="11" s="1"/>
  <c r="Q94" i="11" s="1"/>
  <c r="B16" i="11" a="1"/>
  <c r="B16" i="11" s="1"/>
  <c r="A16" i="11" a="1"/>
  <c r="A16" i="11" s="1"/>
  <c r="Q16" i="11" s="1"/>
  <c r="B43" i="11" a="1"/>
  <c r="B43" i="11" s="1"/>
  <c r="A43" i="11" a="1"/>
  <c r="A43" i="11" s="1"/>
  <c r="Q43" i="11" s="1"/>
  <c r="B131" i="11" a="1"/>
  <c r="B131" i="11" s="1"/>
  <c r="A131" i="11" a="1"/>
  <c r="A131" i="11" s="1"/>
  <c r="Q131" i="11" s="1"/>
  <c r="B85" i="3" a="1"/>
  <c r="B85" i="3" s="1"/>
  <c r="A85" i="3" a="1"/>
  <c r="A85" i="3" s="1"/>
  <c r="Q85" i="3" s="1"/>
  <c r="B75" i="3" a="1"/>
  <c r="B75" i="3" s="1"/>
  <c r="A75" i="3" a="1"/>
  <c r="A75" i="3" s="1"/>
  <c r="Q75" i="3" s="1"/>
  <c r="B72" i="3" a="1"/>
  <c r="B72" i="3" s="1"/>
  <c r="A72" i="3" a="1"/>
  <c r="A72" i="3" s="1"/>
  <c r="Q72" i="3" s="1"/>
  <c r="B21" i="3" a="1"/>
  <c r="B21" i="3" s="1"/>
  <c r="A21" i="3" a="1"/>
  <c r="A21" i="3" s="1"/>
  <c r="Q21" i="3" s="1"/>
  <c r="B70" i="3" a="1"/>
  <c r="B70" i="3" s="1"/>
  <c r="A70" i="3" a="1"/>
  <c r="A70" i="3" s="1"/>
  <c r="B81" i="3" a="1"/>
  <c r="B81" i="3" s="1"/>
  <c r="A81" i="3" a="1"/>
  <c r="A81" i="3" s="1"/>
  <c r="Q81" i="3" s="1"/>
  <c r="B67" i="3" a="1"/>
  <c r="B67" i="3" s="1"/>
  <c r="A67" i="3" a="1"/>
  <c r="A67" i="3" s="1"/>
  <c r="Q67" i="3" s="1"/>
  <c r="B13" i="3" a="1"/>
  <c r="B13" i="3" s="1"/>
  <c r="A13" i="3" a="1"/>
  <c r="A13" i="3" s="1"/>
  <c r="Q13" i="3" s="1"/>
  <c r="B27" i="13" a="1"/>
  <c r="B27" i="13" s="1"/>
  <c r="B29" i="13" a="1"/>
  <c r="B29" i="13" s="1"/>
  <c r="B10" i="12" a="1"/>
  <c r="B10" i="12" s="1"/>
  <c r="B8" i="12" a="1"/>
  <c r="B8" i="12" s="1"/>
  <c r="B6" i="12" a="1"/>
  <c r="B6" i="12" s="1"/>
  <c r="B17" i="12" a="1"/>
  <c r="B17" i="12" s="1"/>
  <c r="B18" i="12" a="1"/>
  <c r="B18" i="12" s="1"/>
  <c r="B20" i="12" a="1"/>
  <c r="B20" i="12" s="1"/>
  <c r="B25" i="12" a="1"/>
  <c r="B25" i="12" s="1"/>
  <c r="B29" i="12" a="1"/>
  <c r="B29" i="12" s="1"/>
  <c r="B30" i="12" a="1"/>
  <c r="B30" i="12" s="1"/>
  <c r="B24" i="12" a="1"/>
  <c r="B24" i="12" s="1"/>
  <c r="B5" i="12" a="1"/>
  <c r="B5" i="12" s="1"/>
  <c r="B28" i="12" a="1"/>
  <c r="B28" i="12" s="1"/>
  <c r="B26" i="12" a="1"/>
  <c r="B26" i="12" s="1"/>
  <c r="B19" i="12" a="1"/>
  <c r="B19" i="12" s="1"/>
  <c r="B4" i="12" a="1"/>
  <c r="B4" i="12" s="1"/>
  <c r="B9" i="12" a="1"/>
  <c r="B9" i="12" s="1"/>
  <c r="B7" i="12" a="1"/>
  <c r="B7" i="12" s="1"/>
  <c r="B13" i="12" a="1"/>
  <c r="B13" i="12" s="1"/>
  <c r="B22" i="12" a="1"/>
  <c r="B22" i="12" s="1"/>
  <c r="B11" i="12" a="1"/>
  <c r="B11" i="12" s="1"/>
  <c r="B16" i="12" a="1"/>
  <c r="B16" i="12" s="1"/>
  <c r="B12" i="12" a="1"/>
  <c r="B12" i="12" s="1"/>
  <c r="B14" i="12" a="1"/>
  <c r="B14" i="12" s="1"/>
  <c r="B21" i="12" a="1"/>
  <c r="B21" i="12" s="1"/>
  <c r="B16" i="13" a="1"/>
  <c r="B16" i="13" s="1"/>
  <c r="B45" i="13" a="1"/>
  <c r="B45" i="13" s="1"/>
  <c r="B37" i="13" a="1"/>
  <c r="B37" i="13" s="1"/>
  <c r="B35" i="13" a="1"/>
  <c r="B35" i="13" s="1"/>
  <c r="B38" i="13" a="1"/>
  <c r="B38" i="13" s="1"/>
  <c r="B19" i="13" a="1"/>
  <c r="B19" i="13" s="1"/>
  <c r="B23" i="13" a="1"/>
  <c r="B23" i="13" s="1"/>
  <c r="B46" i="13" a="1"/>
  <c r="B46" i="13" s="1"/>
  <c r="B31" i="13" a="1"/>
  <c r="B31" i="13" s="1"/>
  <c r="B9" i="13" a="1"/>
  <c r="B9" i="13" s="1"/>
  <c r="B14" i="13" a="1"/>
  <c r="B14" i="13" s="1"/>
  <c r="B8" i="13" a="1"/>
  <c r="B8" i="13" s="1"/>
  <c r="B25" i="13" a="1"/>
  <c r="B25" i="13" s="1"/>
  <c r="B39" i="13" a="1"/>
  <c r="B39" i="13" s="1"/>
  <c r="B42" i="13" a="1"/>
  <c r="B42" i="13" s="1"/>
  <c r="B43" i="13" a="1"/>
  <c r="B43" i="13" s="1"/>
  <c r="B28" i="13" a="1"/>
  <c r="B28" i="13" s="1"/>
  <c r="B26" i="13" a="1"/>
  <c r="B26" i="13" s="1"/>
  <c r="B34" i="13" a="1"/>
  <c r="B34" i="13" s="1"/>
  <c r="B20" i="13" a="1"/>
  <c r="B20" i="13" s="1"/>
  <c r="B13" i="13" a="1"/>
  <c r="B13" i="13" s="1"/>
  <c r="B12" i="13" a="1"/>
  <c r="B12" i="13" s="1"/>
  <c r="B41" i="13" a="1"/>
  <c r="B41" i="13" s="1"/>
  <c r="B7" i="13" a="1"/>
  <c r="B7" i="13" s="1"/>
  <c r="B30" i="13" a="1"/>
  <c r="B30" i="13" s="1"/>
  <c r="B44" i="13" a="1"/>
  <c r="B44" i="13" s="1"/>
  <c r="B32" i="13" a="1"/>
  <c r="B32" i="13" s="1"/>
  <c r="B40" i="13" a="1"/>
  <c r="B40" i="13" s="1"/>
  <c r="B5" i="13" a="1"/>
  <c r="B5" i="13" s="1"/>
  <c r="B15" i="13" a="1"/>
  <c r="B15" i="13" s="1"/>
  <c r="B24" i="13" a="1"/>
  <c r="B24" i="13" s="1"/>
  <c r="B18" i="13" a="1"/>
  <c r="B18" i="13" s="1"/>
  <c r="B22" i="13" a="1"/>
  <c r="B22" i="13" s="1"/>
  <c r="B10" i="13" a="1"/>
  <c r="B10" i="13" s="1"/>
  <c r="B11" i="13" a="1"/>
  <c r="B11" i="13" s="1"/>
  <c r="B17" i="13" a="1"/>
  <c r="B17" i="13" s="1"/>
  <c r="B6" i="16" a="1"/>
  <c r="B6" i="16" s="1"/>
  <c r="B4" i="16" a="1"/>
  <c r="B4" i="16" s="1"/>
  <c r="B51" i="16" a="1"/>
  <c r="B51" i="16" s="1"/>
  <c r="B5" i="16" a="1"/>
  <c r="B5" i="16" s="1"/>
  <c r="B3" i="16" a="1"/>
  <c r="B3" i="16" s="1"/>
  <c r="B10" i="15" a="1"/>
  <c r="B10" i="15" s="1"/>
  <c r="B4" i="15" a="1"/>
  <c r="B4" i="15" s="1"/>
  <c r="B33" i="15" a="1"/>
  <c r="B33" i="15" s="1"/>
  <c r="B12" i="15" a="1"/>
  <c r="B12" i="15" s="1"/>
  <c r="B11" i="15" a="1"/>
  <c r="B11" i="15" s="1"/>
  <c r="B32" i="15" a="1"/>
  <c r="B32" i="15" s="1"/>
  <c r="B3" i="15" a="1"/>
  <c r="B3" i="15" s="1"/>
  <c r="B3" i="13" a="1"/>
  <c r="B3" i="13" s="1"/>
  <c r="B3" i="6" a="1"/>
  <c r="B3" i="6" s="1"/>
  <c r="B60" i="6" a="1"/>
  <c r="B60" i="6" s="1"/>
  <c r="B4" i="6" a="1"/>
  <c r="B4" i="6" s="1"/>
  <c r="B18" i="6" a="1"/>
  <c r="B18" i="6" s="1"/>
  <c r="B62" i="6" a="1"/>
  <c r="B62" i="6" s="1"/>
  <c r="B5" i="6" a="1"/>
  <c r="B5" i="6" s="1"/>
  <c r="B59" i="6" a="1"/>
  <c r="B59" i="6" s="1"/>
  <c r="B4" i="13" a="1"/>
  <c r="B4" i="13" s="1"/>
  <c r="B36" i="13" a="1"/>
  <c r="B36" i="13" s="1"/>
  <c r="B21" i="13" a="1"/>
  <c r="B21" i="13" s="1"/>
  <c r="B3" i="12" a="1"/>
  <c r="B3" i="12" s="1"/>
  <c r="B23" i="12" a="1"/>
  <c r="B23" i="12" s="1"/>
  <c r="J35" i="11"/>
  <c r="J64" i="11"/>
  <c r="J19" i="11"/>
  <c r="J45" i="11"/>
  <c r="J25" i="11"/>
  <c r="R120" i="11"/>
  <c r="S120" i="11" s="1"/>
  <c r="J49" i="11"/>
  <c r="R101" i="11"/>
  <c r="S101" i="11" s="1"/>
  <c r="R73" i="11"/>
  <c r="S73" i="11"/>
  <c r="J114" i="11"/>
  <c r="J89" i="11"/>
  <c r="J69" i="11"/>
  <c r="J104" i="11"/>
  <c r="J102" i="11"/>
  <c r="R39" i="11"/>
  <c r="S39" i="11"/>
  <c r="R38" i="11"/>
  <c r="S38" i="11"/>
  <c r="J100" i="11"/>
  <c r="R32" i="11"/>
  <c r="S32" i="11"/>
  <c r="J16" i="11"/>
  <c r="R18" i="11"/>
  <c r="S18" i="11"/>
  <c r="S60" i="11"/>
  <c r="R60" i="11"/>
  <c r="S31" i="11"/>
  <c r="R31" i="11"/>
  <c r="R34" i="11"/>
  <c r="S34" i="11"/>
  <c r="S13" i="11"/>
  <c r="R13" i="11"/>
  <c r="R22" i="11"/>
  <c r="S22" i="11"/>
  <c r="R54" i="11"/>
  <c r="S54" i="11"/>
  <c r="R63" i="11"/>
  <c r="S63" i="11"/>
  <c r="R103" i="11"/>
  <c r="J14" i="11"/>
  <c r="J12" i="11"/>
  <c r="J93" i="11"/>
  <c r="J81" i="11"/>
  <c r="J44" i="11"/>
  <c r="J94" i="11"/>
  <c r="R128" i="11"/>
  <c r="S128" i="11" s="1"/>
  <c r="J86" i="11"/>
  <c r="R26" i="11"/>
  <c r="S26" i="11"/>
  <c r="J36" i="11"/>
  <c r="J43" i="11"/>
  <c r="R41" i="11"/>
  <c r="S41" i="11"/>
  <c r="S17" i="11"/>
  <c r="R17" i="11"/>
  <c r="R29" i="11"/>
  <c r="S29" i="11"/>
  <c r="S21" i="11"/>
  <c r="R21" i="11"/>
  <c r="R56" i="11"/>
  <c r="S56" i="11"/>
  <c r="S70" i="11"/>
  <c r="R70" i="11"/>
  <c r="R90" i="11"/>
  <c r="S90" i="11" s="1"/>
  <c r="R46" i="11"/>
  <c r="S46" i="11"/>
  <c r="R92" i="11"/>
  <c r="S92" i="11" s="1"/>
  <c r="R125" i="11"/>
  <c r="S125" i="11" s="1"/>
  <c r="S67" i="11"/>
  <c r="R67" i="11"/>
  <c r="R28" i="11"/>
  <c r="S28" i="11"/>
  <c r="R42" i="11"/>
  <c r="S42" i="11"/>
  <c r="S76" i="11"/>
  <c r="R76" i="11"/>
  <c r="R68" i="11"/>
  <c r="S68" i="11"/>
  <c r="R50" i="11"/>
  <c r="S50" i="11"/>
  <c r="S40" i="11"/>
  <c r="R40" i="11"/>
  <c r="R84" i="11"/>
  <c r="S84" i="11" s="1"/>
  <c r="R62" i="11"/>
  <c r="S62" i="11"/>
  <c r="R88" i="11"/>
  <c r="S88" i="11" s="1"/>
  <c r="R27" i="11"/>
  <c r="S27" i="11"/>
  <c r="R98" i="11"/>
  <c r="S71" i="11"/>
  <c r="R71" i="11"/>
  <c r="R99" i="11"/>
  <c r="S99" i="11" s="1"/>
  <c r="R130" i="11"/>
  <c r="S130" i="11" s="1"/>
  <c r="R24" i="11"/>
  <c r="S24" i="11"/>
  <c r="R37" i="11"/>
  <c r="S37" i="11"/>
  <c r="R105" i="11"/>
  <c r="S105" i="11" s="1"/>
  <c r="J131" i="11"/>
  <c r="J91" i="11"/>
  <c r="S119" i="11"/>
  <c r="J119" i="11" s="1"/>
  <c r="J10" i="11"/>
  <c r="J21" i="3"/>
  <c r="J17" i="3"/>
  <c r="J3" i="3"/>
  <c r="J5" i="3"/>
  <c r="J4" i="3"/>
  <c r="J13" i="3"/>
  <c r="R32" i="3"/>
  <c r="S32" i="3"/>
  <c r="R39" i="3"/>
  <c r="S39" i="3"/>
  <c r="R28" i="3"/>
  <c r="S28" i="3"/>
  <c r="J25" i="3"/>
  <c r="S75" i="3"/>
  <c r="J75" i="3" s="1"/>
  <c r="J23" i="3"/>
  <c r="J87" i="3"/>
  <c r="J99" i="3"/>
  <c r="R58" i="3"/>
  <c r="S58" i="3"/>
  <c r="R54" i="3"/>
  <c r="S54" i="3"/>
  <c r="S89" i="3"/>
  <c r="J89" i="3" s="1"/>
  <c r="R83" i="3"/>
  <c r="S14" i="3"/>
  <c r="R14" i="3"/>
  <c r="R38" i="3"/>
  <c r="S38" i="3"/>
  <c r="S40" i="3"/>
  <c r="R40" i="3"/>
  <c r="R33" i="3"/>
  <c r="S33" i="3"/>
  <c r="J19" i="3"/>
  <c r="J18" i="3"/>
  <c r="J9" i="3"/>
  <c r="J70" i="3"/>
  <c r="S50" i="3"/>
  <c r="R50" i="3"/>
  <c r="R44" i="3"/>
  <c r="S44" i="3"/>
  <c r="R69" i="3"/>
  <c r="S69" i="3" s="1"/>
  <c r="R27" i="3"/>
  <c r="S27" i="3"/>
  <c r="R16" i="3"/>
  <c r="S16" i="3"/>
  <c r="R64" i="3"/>
  <c r="S64" i="3" s="1"/>
  <c r="S8" i="3"/>
  <c r="R8" i="3"/>
  <c r="R95" i="3"/>
  <c r="S95" i="3" s="1"/>
  <c r="J20" i="3"/>
  <c r="S72" i="3"/>
  <c r="J72" i="3" s="1"/>
  <c r="R66" i="3"/>
  <c r="S66" i="3" s="1"/>
  <c r="R100" i="3"/>
  <c r="S34" i="3"/>
  <c r="R34" i="3"/>
  <c r="R68" i="3"/>
  <c r="R15" i="3"/>
  <c r="S15" i="3"/>
  <c r="R29" i="3"/>
  <c r="S29" i="3"/>
  <c r="S85" i="3"/>
  <c r="J85" i="3" s="1"/>
  <c r="J67" i="3"/>
  <c r="R104" i="3"/>
  <c r="S104" i="3" s="1"/>
  <c r="R43" i="3"/>
  <c r="S43" i="3"/>
  <c r="R76" i="3"/>
  <c r="S76" i="3" s="1"/>
  <c r="R10" i="3"/>
  <c r="S10" i="3"/>
  <c r="R74" i="3"/>
  <c r="S74" i="3" s="1"/>
  <c r="R42" i="3"/>
  <c r="S42" i="3"/>
  <c r="R52" i="3"/>
  <c r="S52" i="3"/>
  <c r="S6" i="3"/>
  <c r="R6" i="3"/>
  <c r="R65" i="3"/>
  <c r="S65" i="3" s="1"/>
  <c r="R71" i="3"/>
  <c r="S71" i="3" s="1"/>
  <c r="R24" i="3"/>
  <c r="S24" i="3"/>
  <c r="J81" i="3"/>
  <c r="J86" i="3"/>
  <c r="J49" i="3"/>
  <c r="J12" i="3"/>
  <c r="J41" i="3"/>
  <c r="R26" i="3"/>
  <c r="S26" i="3"/>
  <c r="R51" i="3"/>
  <c r="S51" i="3"/>
  <c r="R30" i="3"/>
  <c r="S30" i="3"/>
  <c r="R82" i="3"/>
  <c r="S37" i="3"/>
  <c r="R37" i="3"/>
  <c r="R78" i="3"/>
  <c r="S78" i="3" s="1"/>
  <c r="J98" i="3"/>
  <c r="M76" i="11"/>
  <c r="B76" i="11" s="1" a="1"/>
  <c r="B76" i="11" s="1"/>
  <c r="R37" i="13"/>
  <c r="Q16" i="15"/>
  <c r="Q35" i="11"/>
  <c r="Q73" i="14"/>
  <c r="Q83" i="14"/>
  <c r="K30" i="14"/>
  <c r="K38" i="14"/>
  <c r="K100" i="14"/>
  <c r="K77" i="14"/>
  <c r="M19" i="14"/>
  <c r="B19" i="14" s="1" a="1"/>
  <c r="B19" i="14" s="1"/>
  <c r="M37" i="14"/>
  <c r="M63" i="14"/>
  <c r="K58" i="14"/>
  <c r="M14" i="14"/>
  <c r="K26" i="14"/>
  <c r="K64" i="14"/>
  <c r="K84" i="14"/>
  <c r="K31" i="14"/>
  <c r="K65" i="14"/>
  <c r="K11" i="14"/>
  <c r="M23" i="14"/>
  <c r="K7" i="14"/>
  <c r="L27" i="14"/>
  <c r="M43" i="14"/>
  <c r="K79" i="14"/>
  <c r="K21" i="14"/>
  <c r="K42" i="14"/>
  <c r="K41" i="14"/>
  <c r="K13" i="14"/>
  <c r="K18" i="14"/>
  <c r="K22" i="14"/>
  <c r="K72" i="14"/>
  <c r="K20" i="14"/>
  <c r="M69" i="14"/>
  <c r="A69" i="14" s="1" a="1"/>
  <c r="A69" i="14" s="1"/>
  <c r="K51" i="14"/>
  <c r="K9" i="14"/>
  <c r="M16" i="14"/>
  <c r="B16" i="14" s="1" a="1"/>
  <c r="B16" i="14" s="1"/>
  <c r="M53" i="14"/>
  <c r="L32" i="14"/>
  <c r="L25" i="14"/>
  <c r="L36" i="14"/>
  <c r="K35" i="14"/>
  <c r="M92" i="6"/>
  <c r="B92" i="6" s="1" a="1"/>
  <c r="B92" i="6" s="1"/>
  <c r="L66" i="6"/>
  <c r="M52" i="6"/>
  <c r="B52" i="6" s="1" a="1"/>
  <c r="B52" i="6" s="1"/>
  <c r="L75" i="6"/>
  <c r="M37" i="6"/>
  <c r="B37" i="6" s="1" a="1"/>
  <c r="B37" i="6" s="1"/>
  <c r="M68" i="6"/>
  <c r="M31" i="6"/>
  <c r="B31" i="6" s="1" a="1"/>
  <c r="B31" i="6" s="1"/>
  <c r="M11" i="6"/>
  <c r="L70" i="6"/>
  <c r="L39" i="6"/>
  <c r="L87" i="6"/>
  <c r="L43" i="6"/>
  <c r="L64" i="6"/>
  <c r="M38" i="6"/>
  <c r="B38" i="6" s="1" a="1"/>
  <c r="B38" i="6" s="1"/>
  <c r="L4" i="6"/>
  <c r="M34" i="6"/>
  <c r="B34" i="6" s="1" a="1"/>
  <c r="B34" i="6" s="1"/>
  <c r="L97" i="6"/>
  <c r="L32" i="6"/>
  <c r="M94" i="6"/>
  <c r="B94" i="6" s="1" a="1"/>
  <c r="B94" i="6" s="1"/>
  <c r="K69" i="6"/>
  <c r="M76" i="6"/>
  <c r="M20" i="6"/>
  <c r="M67" i="6"/>
  <c r="L9" i="6"/>
  <c r="M45" i="6"/>
  <c r="B45" i="6" s="1" a="1"/>
  <c r="B45" i="6" s="1"/>
  <c r="L72" i="6"/>
  <c r="M16" i="6"/>
  <c r="M88" i="6"/>
  <c r="M21" i="6"/>
  <c r="M10" i="6"/>
  <c r="L42" i="6"/>
  <c r="L29" i="6"/>
  <c r="L61" i="6"/>
  <c r="M73" i="6"/>
  <c r="M26" i="6"/>
  <c r="M89" i="6"/>
  <c r="M63" i="6"/>
  <c r="M60" i="6"/>
  <c r="M22" i="16"/>
  <c r="M55" i="16"/>
  <c r="B55" i="16" s="1" a="1"/>
  <c r="B55" i="16" s="1"/>
  <c r="L13" i="16"/>
  <c r="L5" i="16"/>
  <c r="K14" i="16"/>
  <c r="M18" i="16"/>
  <c r="B18" i="16" s="1" a="1"/>
  <c r="B18" i="16" s="1"/>
  <c r="M50" i="16"/>
  <c r="B50" i="16" s="1" a="1"/>
  <c r="B50" i="16" s="1"/>
  <c r="K51" i="16"/>
  <c r="K46" i="16"/>
  <c r="K4" i="16"/>
  <c r="M8" i="16"/>
  <c r="K35" i="16"/>
  <c r="K31" i="16"/>
  <c r="K3" i="16"/>
  <c r="K9" i="16"/>
  <c r="K48" i="16"/>
  <c r="K52" i="16"/>
  <c r="K21" i="16"/>
  <c r="K16" i="16"/>
  <c r="K30" i="16"/>
  <c r="K61" i="16"/>
  <c r="K36" i="16"/>
  <c r="K29" i="16"/>
  <c r="K11" i="15"/>
  <c r="L10" i="15"/>
  <c r="K20" i="15"/>
  <c r="K25" i="15"/>
  <c r="K9" i="15"/>
  <c r="L34" i="15"/>
  <c r="L17" i="15"/>
  <c r="M35" i="15"/>
  <c r="K27" i="15"/>
  <c r="M8" i="15"/>
  <c r="M44" i="15"/>
  <c r="B44" i="15" s="1" a="1"/>
  <c r="B44" i="15" s="1"/>
  <c r="K36" i="15"/>
  <c r="K37" i="15"/>
  <c r="K7" i="15"/>
  <c r="K3" i="14"/>
  <c r="M24" i="6"/>
  <c r="B24" i="6" s="1" a="1"/>
  <c r="B24" i="6" s="1"/>
  <c r="L31" i="11"/>
  <c r="K60" i="11"/>
  <c r="L68" i="11"/>
  <c r="M18" i="11"/>
  <c r="B18" i="11" s="1" a="1"/>
  <c r="B18" i="11" s="1"/>
  <c r="K42" i="11"/>
  <c r="M37" i="11"/>
  <c r="B37" i="11" s="1" a="1"/>
  <c r="B37" i="11" s="1"/>
  <c r="M34" i="11"/>
  <c r="B34" i="11" s="1" a="1"/>
  <c r="B34" i="11" s="1"/>
  <c r="K27" i="11"/>
  <c r="M105" i="11"/>
  <c r="B105" i="11" s="1" a="1"/>
  <c r="B105" i="11" s="1"/>
  <c r="M22" i="11"/>
  <c r="B22" i="11" s="1" a="1"/>
  <c r="B22" i="11" s="1"/>
  <c r="K17" i="11"/>
  <c r="L32" i="11"/>
  <c r="L21" i="11"/>
  <c r="L125" i="11"/>
  <c r="M120" i="11"/>
  <c r="K71" i="11"/>
  <c r="L76" i="11"/>
  <c r="L39" i="11"/>
  <c r="L73" i="11"/>
  <c r="K50" i="11"/>
  <c r="K24" i="11"/>
  <c r="L54" i="11"/>
  <c r="M62" i="11"/>
  <c r="B62" i="11" s="1" a="1"/>
  <c r="B62" i="11" s="1"/>
  <c r="L41" i="11"/>
  <c r="K67" i="11"/>
  <c r="L38" i="11"/>
  <c r="K84" i="11"/>
  <c r="K32" i="3"/>
  <c r="L64" i="3"/>
  <c r="L6" i="3"/>
  <c r="L43" i="3"/>
  <c r="L82" i="3"/>
  <c r="L15" i="3"/>
  <c r="L28" i="3"/>
  <c r="L33" i="3"/>
  <c r="K38" i="3"/>
  <c r="K83" i="3"/>
  <c r="L76" i="3"/>
  <c r="K95" i="3"/>
  <c r="L39" i="3"/>
  <c r="L54" i="3"/>
  <c r="M74" i="3"/>
  <c r="B74" i="3" s="1" a="1"/>
  <c r="B74" i="3" s="1"/>
  <c r="K42" i="3"/>
  <c r="M29" i="3"/>
  <c r="K51" i="3"/>
  <c r="K78" i="3"/>
  <c r="M44" i="6"/>
  <c r="B44" i="6" s="1" a="1"/>
  <c r="B44" i="6" s="1"/>
  <c r="L20" i="16"/>
  <c r="K21" i="15"/>
  <c r="K40" i="11"/>
  <c r="Q16" i="14"/>
  <c r="Q92" i="6"/>
  <c r="Q31" i="6"/>
  <c r="Q21" i="6"/>
  <c r="Q20" i="6"/>
  <c r="Q24" i="6"/>
  <c r="Q50" i="16"/>
  <c r="Q18" i="16"/>
  <c r="Q55" i="16"/>
  <c r="Q44" i="15"/>
  <c r="Q37" i="11"/>
  <c r="Q62" i="11"/>
  <c r="Q105" i="11"/>
  <c r="Q74" i="3"/>
  <c r="K56" i="11"/>
  <c r="M46" i="11"/>
  <c r="B46" i="11" s="1" a="1"/>
  <c r="B46" i="11" s="1"/>
  <c r="M92" i="11"/>
  <c r="K88" i="11"/>
  <c r="K90" i="11"/>
  <c r="K26" i="11"/>
  <c r="M128" i="11"/>
  <c r="B128" i="11" s="1" a="1"/>
  <c r="B128" i="11" s="1"/>
  <c r="M28" i="11"/>
  <c r="K52" i="3"/>
  <c r="K69" i="3"/>
  <c r="M66" i="3"/>
  <c r="K50" i="3"/>
  <c r="K104" i="3"/>
  <c r="M40" i="3"/>
  <c r="M41" i="14"/>
  <c r="M66" i="6"/>
  <c r="K72" i="6"/>
  <c r="L26" i="6"/>
  <c r="L31" i="6"/>
  <c r="L68" i="6"/>
  <c r="L8" i="16"/>
  <c r="M37" i="15"/>
  <c r="K8" i="15"/>
  <c r="K21" i="11"/>
  <c r="K73" i="11"/>
  <c r="L42" i="11"/>
  <c r="K54" i="11"/>
  <c r="M68" i="3"/>
  <c r="M58" i="3"/>
  <c r="M37" i="3"/>
  <c r="B37" i="3" s="1" a="1"/>
  <c r="B37" i="3" s="1"/>
  <c r="M42" i="11"/>
  <c r="K68" i="11"/>
  <c r="K34" i="11"/>
  <c r="L37" i="11"/>
  <c r="K37" i="11"/>
  <c r="K76" i="3"/>
  <c r="M26" i="3"/>
  <c r="M5" i="16"/>
  <c r="M20" i="16"/>
  <c r="B20" i="16" s="1" a="1"/>
  <c r="B20" i="16" s="1"/>
  <c r="M16" i="16"/>
  <c r="B16" i="16" s="1" a="1"/>
  <c r="B16" i="16" s="1"/>
  <c r="M3" i="16"/>
  <c r="L16" i="16"/>
  <c r="K5" i="16"/>
  <c r="K55" i="16"/>
  <c r="M35" i="16"/>
  <c r="B35" i="16" s="1" a="1"/>
  <c r="B35" i="16" s="1"/>
  <c r="M48" i="16"/>
  <c r="B48" i="16" s="1" a="1"/>
  <c r="B48" i="16" s="1"/>
  <c r="L37" i="15"/>
  <c r="K34" i="15"/>
  <c r="L8" i="15"/>
  <c r="K10" i="15"/>
  <c r="M25" i="15"/>
  <c r="B25" i="15" s="1" a="1"/>
  <c r="B25" i="15" s="1"/>
  <c r="L25" i="15"/>
  <c r="L35" i="15"/>
  <c r="K35" i="15"/>
  <c r="L58" i="14"/>
  <c r="L16" i="14"/>
  <c r="M26" i="14"/>
  <c r="B26" i="14" s="1" a="1"/>
  <c r="B26" i="14" s="1"/>
  <c r="M84" i="14"/>
  <c r="L23" i="14"/>
  <c r="M42" i="14"/>
  <c r="M13" i="14"/>
  <c r="K27" i="14"/>
  <c r="L9" i="14"/>
  <c r="L63" i="14"/>
  <c r="L19" i="14"/>
  <c r="M64" i="14"/>
  <c r="M3" i="14"/>
  <c r="B82" i="14" s="1" a="1"/>
  <c r="B82" i="14" s="1"/>
  <c r="K32" i="14"/>
  <c r="K36" i="14"/>
  <c r="K23" i="14"/>
  <c r="K19" i="14"/>
  <c r="L7" i="14"/>
  <c r="K37" i="14"/>
  <c r="L53" i="14"/>
  <c r="M72" i="14"/>
  <c r="K69" i="14"/>
  <c r="L42" i="14"/>
  <c r="M9" i="14"/>
  <c r="A94" i="14" s="1" a="1"/>
  <c r="A94" i="14" s="1"/>
  <c r="L41" i="14"/>
  <c r="M58" i="14"/>
  <c r="K16" i="14"/>
  <c r="L13" i="14"/>
  <c r="K63" i="14"/>
  <c r="L37" i="14"/>
  <c r="L69" i="14"/>
  <c r="K25" i="14"/>
  <c r="M18" i="14"/>
  <c r="L72" i="14"/>
  <c r="L18" i="14"/>
  <c r="M35" i="14"/>
  <c r="M22" i="14"/>
  <c r="B22" i="14" s="1" a="1"/>
  <c r="B22" i="14" s="1"/>
  <c r="L43" i="14"/>
  <c r="L26" i="14"/>
  <c r="M51" i="14"/>
  <c r="L64" i="14"/>
  <c r="L84" i="14"/>
  <c r="L3" i="14"/>
  <c r="K53" i="14"/>
  <c r="K14" i="14"/>
  <c r="L35" i="14"/>
  <c r="L22" i="14"/>
  <c r="M20" i="14"/>
  <c r="K43" i="14"/>
  <c r="M30" i="14"/>
  <c r="L51" i="14"/>
  <c r="M38" i="14"/>
  <c r="M100" i="14"/>
  <c r="M77" i="14"/>
  <c r="M7" i="14"/>
  <c r="L14" i="14"/>
  <c r="M31" i="14"/>
  <c r="L20" i="14"/>
  <c r="M21" i="14"/>
  <c r="B21" i="14" s="1" a="1"/>
  <c r="B21" i="14" s="1"/>
  <c r="L30" i="14"/>
  <c r="M65" i="14"/>
  <c r="B65" i="14" s="1" a="1"/>
  <c r="B65" i="14" s="1"/>
  <c r="L38" i="14"/>
  <c r="M11" i="14"/>
  <c r="A11" i="14" s="1" a="1"/>
  <c r="A11" i="14" s="1"/>
  <c r="L100" i="14"/>
  <c r="M79" i="14"/>
  <c r="L77" i="14"/>
  <c r="M27" i="14"/>
  <c r="L31" i="14"/>
  <c r="L21" i="14"/>
  <c r="L65" i="14"/>
  <c r="M32" i="14"/>
  <c r="A32" i="14" s="1" a="1"/>
  <c r="A32" i="14" s="1"/>
  <c r="L11" i="14"/>
  <c r="M25" i="14"/>
  <c r="L79" i="14"/>
  <c r="M36" i="14"/>
  <c r="A36" i="14" s="1" a="1"/>
  <c r="A36" i="14" s="1"/>
  <c r="L52" i="6"/>
  <c r="L45" i="6"/>
  <c r="K75" i="6"/>
  <c r="L16" i="6"/>
  <c r="L24" i="6"/>
  <c r="M64" i="6"/>
  <c r="L67" i="6"/>
  <c r="L11" i="6"/>
  <c r="L73" i="6"/>
  <c r="M72" i="6"/>
  <c r="B72" i="6" s="1" a="1"/>
  <c r="B72" i="6" s="1"/>
  <c r="K66" i="6"/>
  <c r="L37" i="6"/>
  <c r="K64" i="6"/>
  <c r="L34" i="6"/>
  <c r="M75" i="6"/>
  <c r="B75" i="6" s="1" a="1"/>
  <c r="B75" i="6" s="1"/>
  <c r="K26" i="6"/>
  <c r="K45" i="6"/>
  <c r="K67" i="6"/>
  <c r="K37" i="6"/>
  <c r="K68" i="6"/>
  <c r="K31" i="6"/>
  <c r="K11" i="6"/>
  <c r="L44" i="6"/>
  <c r="L94" i="6"/>
  <c r="L69" i="6"/>
  <c r="L76" i="6"/>
  <c r="L20" i="6"/>
  <c r="K32" i="6"/>
  <c r="K29" i="6"/>
  <c r="K70" i="6"/>
  <c r="K87" i="6"/>
  <c r="K97" i="6"/>
  <c r="K42" i="6"/>
  <c r="L38" i="6"/>
  <c r="L92" i="6"/>
  <c r="L88" i="6"/>
  <c r="L21" i="6"/>
  <c r="L10" i="6"/>
  <c r="M32" i="6"/>
  <c r="M29" i="6"/>
  <c r="B29" i="6" s="1" a="1"/>
  <c r="B29" i="6" s="1"/>
  <c r="M70" i="6"/>
  <c r="B70" i="6" s="1" a="1"/>
  <c r="B70" i="6" s="1"/>
  <c r="M87" i="6"/>
  <c r="M97" i="6"/>
  <c r="B97" i="6" s="1" a="1"/>
  <c r="B97" i="6" s="1"/>
  <c r="M42" i="6"/>
  <c r="K39" i="6"/>
  <c r="K43" i="6"/>
  <c r="K61" i="6"/>
  <c r="K9" i="6"/>
  <c r="K4" i="6"/>
  <c r="L14" i="6"/>
  <c r="L89" i="6"/>
  <c r="L63" i="6"/>
  <c r="L60" i="6"/>
  <c r="M39" i="6"/>
  <c r="B39" i="6" s="1" a="1"/>
  <c r="B39" i="6" s="1"/>
  <c r="M43" i="6"/>
  <c r="M61" i="6"/>
  <c r="M9" i="6"/>
  <c r="M4" i="6"/>
  <c r="K52" i="6"/>
  <c r="K16" i="6"/>
  <c r="K73" i="6"/>
  <c r="K34" i="6"/>
  <c r="K24" i="6"/>
  <c r="M69" i="6"/>
  <c r="B69" i="6" s="1" a="1"/>
  <c r="B69" i="6" s="1"/>
  <c r="K94" i="6"/>
  <c r="K76" i="6"/>
  <c r="K38" i="6"/>
  <c r="K92" i="6"/>
  <c r="K88" i="6"/>
  <c r="K21" i="6"/>
  <c r="K10" i="6"/>
  <c r="K44" i="6"/>
  <c r="K20" i="6"/>
  <c r="K14" i="6"/>
  <c r="K89" i="6"/>
  <c r="K63" i="6"/>
  <c r="K60" i="6"/>
  <c r="M14" i="6"/>
  <c r="M68" i="11"/>
  <c r="B68" i="11" s="1" a="1"/>
  <c r="B68" i="11" s="1"/>
  <c r="M67" i="11"/>
  <c r="B67" i="11" s="1" a="1"/>
  <c r="B67" i="11" s="1"/>
  <c r="K105" i="11"/>
  <c r="K31" i="11"/>
  <c r="K28" i="11"/>
  <c r="M56" i="11"/>
  <c r="B56" i="11" s="1" a="1"/>
  <c r="B56" i="11" s="1"/>
  <c r="L56" i="11"/>
  <c r="K39" i="11"/>
  <c r="L32" i="3"/>
  <c r="M8" i="3"/>
  <c r="K10" i="3"/>
  <c r="M34" i="3"/>
  <c r="L74" i="3"/>
  <c r="L69" i="3"/>
  <c r="K30" i="3"/>
  <c r="M39" i="3"/>
  <c r="B39" i="3" s="1" a="1"/>
  <c r="B39" i="3" s="1"/>
  <c r="K16" i="3"/>
  <c r="K44" i="3"/>
  <c r="K14" i="3"/>
  <c r="K28" i="3"/>
  <c r="K39" i="3"/>
  <c r="M15" i="3"/>
  <c r="L40" i="3"/>
  <c r="K15" i="3"/>
  <c r="K40" i="3"/>
  <c r="M10" i="3"/>
  <c r="L10" i="3"/>
  <c r="M82" i="3"/>
  <c r="B82" i="3" s="1" a="1"/>
  <c r="B82" i="3" s="1"/>
  <c r="K82" i="3"/>
  <c r="M76" i="3"/>
  <c r="B76" i="3" s="1" a="1"/>
  <c r="B76" i="3" s="1"/>
  <c r="M20" i="15"/>
  <c r="L20" i="15"/>
  <c r="L44" i="15"/>
  <c r="K8" i="16"/>
  <c r="K20" i="16"/>
  <c r="L48" i="16"/>
  <c r="L22" i="16"/>
  <c r="M14" i="16"/>
  <c r="B14" i="16" s="1" a="1"/>
  <c r="B14" i="16" s="1"/>
  <c r="K22" i="16"/>
  <c r="L3" i="16"/>
  <c r="M51" i="16"/>
  <c r="L14" i="16"/>
  <c r="M13" i="16"/>
  <c r="M31" i="16"/>
  <c r="B31" i="16" s="1" a="1"/>
  <c r="B31" i="16" s="1"/>
  <c r="L51" i="16"/>
  <c r="K13" i="16"/>
  <c r="M46" i="16"/>
  <c r="B46" i="16" s="1" a="1"/>
  <c r="B46" i="16" s="1"/>
  <c r="L46" i="16"/>
  <c r="L35" i="16"/>
  <c r="L31" i="16"/>
  <c r="M21" i="16"/>
  <c r="B21" i="16" s="1" a="1"/>
  <c r="B21" i="16" s="1"/>
  <c r="M36" i="16"/>
  <c r="B36" i="16" s="1" a="1"/>
  <c r="B36" i="16" s="1"/>
  <c r="L21" i="16"/>
  <c r="M29" i="16"/>
  <c r="B29" i="16" s="1" a="1"/>
  <c r="B29" i="16" s="1"/>
  <c r="L36" i="16"/>
  <c r="L29" i="16"/>
  <c r="L18" i="16"/>
  <c r="M40" i="11"/>
  <c r="B40" i="11" s="1" a="1"/>
  <c r="B40" i="11" s="1"/>
  <c r="M24" i="11"/>
  <c r="B24" i="11" s="1" a="1"/>
  <c r="B24" i="11" s="1"/>
  <c r="L40" i="11"/>
  <c r="L24" i="11"/>
  <c r="M38" i="11"/>
  <c r="B38" i="11" s="1" a="1"/>
  <c r="B38" i="11" s="1"/>
  <c r="K32" i="11"/>
  <c r="M39" i="11"/>
  <c r="B39" i="11" s="1" a="1"/>
  <c r="B39" i="11" s="1"/>
  <c r="K38" i="11"/>
  <c r="K125" i="11"/>
  <c r="M21" i="11"/>
  <c r="B21" i="11" s="1" a="1"/>
  <c r="B21" i="11" s="1"/>
  <c r="L105" i="11"/>
  <c r="K41" i="11"/>
  <c r="L92" i="11"/>
  <c r="K13" i="11"/>
  <c r="M54" i="11"/>
  <c r="B54" i="11" s="1" a="1"/>
  <c r="B54" i="11" s="1"/>
  <c r="L46" i="11"/>
  <c r="L120" i="11"/>
  <c r="K46" i="11"/>
  <c r="M13" i="11"/>
  <c r="B13" i="11" s="1" a="1"/>
  <c r="B13" i="11" s="1"/>
  <c r="K120" i="11"/>
  <c r="M98" i="11"/>
  <c r="L13" i="11"/>
  <c r="M103" i="11"/>
  <c r="B103" i="11" s="1" a="1"/>
  <c r="B103" i="11" s="1"/>
  <c r="M101" i="11"/>
  <c r="B101" i="11" s="1" a="1"/>
  <c r="B101" i="11" s="1"/>
  <c r="L98" i="11"/>
  <c r="M60" i="11"/>
  <c r="L103" i="11"/>
  <c r="M27" i="11"/>
  <c r="L101" i="11"/>
  <c r="M84" i="11"/>
  <c r="K98" i="11"/>
  <c r="L60" i="11"/>
  <c r="M32" i="11"/>
  <c r="B32" i="11" s="1" a="1"/>
  <c r="B32" i="11" s="1"/>
  <c r="K103" i="11"/>
  <c r="L27" i="11"/>
  <c r="M125" i="11"/>
  <c r="K101" i="11"/>
  <c r="L84" i="11"/>
  <c r="L22" i="11"/>
  <c r="L90" i="11"/>
  <c r="L128" i="11"/>
  <c r="K22" i="11"/>
  <c r="M70" i="11"/>
  <c r="K128" i="11"/>
  <c r="K92" i="11"/>
  <c r="M17" i="11"/>
  <c r="B17" i="11" s="1" a="1"/>
  <c r="B17" i="11" s="1"/>
  <c r="M50" i="11"/>
  <c r="B50" i="11" s="1" a="1"/>
  <c r="B50" i="11" s="1"/>
  <c r="M41" i="11"/>
  <c r="B41" i="11" s="1" a="1"/>
  <c r="B41" i="11" s="1"/>
  <c r="L62" i="11"/>
  <c r="M88" i="11"/>
  <c r="L17" i="11"/>
  <c r="L50" i="11"/>
  <c r="K62" i="11"/>
  <c r="L88" i="11"/>
  <c r="L18" i="11"/>
  <c r="K76" i="11"/>
  <c r="M90" i="11"/>
  <c r="B90" i="11" s="1" a="1"/>
  <c r="B90" i="11" s="1"/>
  <c r="M6" i="3"/>
  <c r="M64" i="3"/>
  <c r="L24" i="3"/>
  <c r="M42" i="3"/>
  <c r="K24" i="3"/>
  <c r="L42" i="3"/>
  <c r="K34" i="3"/>
  <c r="M38" i="3"/>
  <c r="L38" i="3"/>
  <c r="K43" i="3"/>
  <c r="L29" i="3"/>
  <c r="K29" i="3"/>
  <c r="M24" i="3"/>
  <c r="M95" i="3"/>
  <c r="B95" i="3" s="1" a="1"/>
  <c r="B95" i="3" s="1"/>
  <c r="M28" i="3"/>
  <c r="B28" i="3" s="1" a="1"/>
  <c r="B28" i="3" s="1"/>
  <c r="L95" i="3"/>
  <c r="M32" i="3"/>
  <c r="B32" i="3" s="1" a="1"/>
  <c r="B32" i="3" s="1"/>
  <c r="L26" i="3"/>
  <c r="K68" i="3"/>
  <c r="K54" i="3"/>
  <c r="M69" i="3"/>
  <c r="L34" i="3"/>
  <c r="K37" i="3"/>
  <c r="L58" i="3"/>
  <c r="L66" i="3"/>
  <c r="K58" i="3"/>
  <c r="K66" i="3"/>
  <c r="M52" i="3"/>
  <c r="M54" i="3"/>
  <c r="M104" i="3"/>
  <c r="B104" i="3" s="1" a="1"/>
  <c r="B104" i="3" s="1"/>
  <c r="L8" i="3"/>
  <c r="M78" i="3"/>
  <c r="L68" i="3"/>
  <c r="L52" i="3"/>
  <c r="L37" i="3"/>
  <c r="L104" i="3"/>
  <c r="K33" i="3"/>
  <c r="K8" i="3"/>
  <c r="L78" i="3"/>
  <c r="K74" i="3"/>
  <c r="M71" i="3"/>
  <c r="L71" i="3"/>
  <c r="M83" i="3"/>
  <c r="B83" i="3" s="1" a="1"/>
  <c r="B83" i="3" s="1"/>
  <c r="K71" i="3"/>
  <c r="L83" i="3"/>
  <c r="M100" i="3"/>
  <c r="M27" i="3"/>
  <c r="B27" i="3" s="1" a="1"/>
  <c r="B27" i="3" s="1"/>
  <c r="M65" i="3"/>
  <c r="L100" i="3"/>
  <c r="M51" i="3"/>
  <c r="K26" i="3"/>
  <c r="L27" i="3"/>
  <c r="M30" i="3"/>
  <c r="M16" i="3"/>
  <c r="B16" i="3" s="1" a="1"/>
  <c r="B16" i="3" s="1"/>
  <c r="K6" i="3"/>
  <c r="M44" i="3"/>
  <c r="K64" i="3"/>
  <c r="L65" i="3"/>
  <c r="M14" i="3"/>
  <c r="K100" i="3"/>
  <c r="L51" i="3"/>
  <c r="M43" i="3"/>
  <c r="K27" i="3"/>
  <c r="L30" i="3"/>
  <c r="L16" i="3"/>
  <c r="L44" i="3"/>
  <c r="K65" i="3"/>
  <c r="L14" i="3"/>
  <c r="M33" i="3"/>
  <c r="M50" i="3"/>
  <c r="L50" i="3"/>
  <c r="K18" i="11"/>
  <c r="L34" i="11"/>
  <c r="M63" i="11"/>
  <c r="B63" i="11" s="1" a="1"/>
  <c r="B63" i="11" s="1"/>
  <c r="L67" i="11"/>
  <c r="M29" i="11"/>
  <c r="M99" i="11"/>
  <c r="B99" i="11" s="1" a="1"/>
  <c r="B99" i="11" s="1"/>
  <c r="L28" i="11"/>
  <c r="L70" i="11"/>
  <c r="M130" i="11"/>
  <c r="B130" i="11" s="1" a="1"/>
  <c r="B130" i="11" s="1"/>
  <c r="L63" i="11"/>
  <c r="M71" i="11"/>
  <c r="B71" i="11" s="1" a="1"/>
  <c r="B71" i="11" s="1"/>
  <c r="L29" i="11"/>
  <c r="L99" i="11"/>
  <c r="M26" i="11"/>
  <c r="B26" i="11" s="1" a="1"/>
  <c r="B26" i="11" s="1"/>
  <c r="K70" i="11"/>
  <c r="L130" i="11"/>
  <c r="K63" i="11"/>
  <c r="L71" i="11"/>
  <c r="M31" i="11"/>
  <c r="B31" i="11" s="1" a="1"/>
  <c r="B31" i="11" s="1"/>
  <c r="K29" i="11"/>
  <c r="K99" i="11"/>
  <c r="L26" i="11"/>
  <c r="M73" i="11"/>
  <c r="B73" i="11" s="1" a="1"/>
  <c r="B73" i="11" s="1"/>
  <c r="K130" i="11"/>
  <c r="K18" i="16"/>
  <c r="M9" i="16"/>
  <c r="L50" i="16"/>
  <c r="L9" i="16"/>
  <c r="K50" i="16"/>
  <c r="L55" i="16"/>
  <c r="M30" i="16"/>
  <c r="B30" i="16" s="1" a="1"/>
  <c r="B30" i="16" s="1"/>
  <c r="M52" i="16"/>
  <c r="B52" i="16" s="1" a="1"/>
  <c r="B52" i="16" s="1"/>
  <c r="L30" i="16"/>
  <c r="M4" i="16"/>
  <c r="L52" i="16"/>
  <c r="M61" i="16"/>
  <c r="B61" i="16" s="1" a="1"/>
  <c r="B61" i="16" s="1"/>
  <c r="L4" i="16"/>
  <c r="L61" i="16"/>
  <c r="K44" i="15"/>
  <c r="M21" i="15"/>
  <c r="B21" i="15" s="1" a="1"/>
  <c r="B21" i="15" s="1"/>
  <c r="L21" i="15"/>
  <c r="M11" i="15"/>
  <c r="M7" i="15"/>
  <c r="K17" i="15"/>
  <c r="M10" i="15"/>
  <c r="L11" i="15"/>
  <c r="L7" i="15"/>
  <c r="M27" i="15"/>
  <c r="M36" i="15"/>
  <c r="L27" i="15"/>
  <c r="L36" i="15"/>
  <c r="M9" i="15"/>
  <c r="M17" i="15"/>
  <c r="B17" i="15" s="1" a="1"/>
  <c r="B17" i="15" s="1"/>
  <c r="L9" i="15"/>
  <c r="M34" i="15"/>
  <c r="A62" i="14" l="1" a="1"/>
  <c r="A62" i="14" s="1"/>
  <c r="R35" i="13"/>
  <c r="B125" i="11" a="1"/>
  <c r="B125" i="11" s="1"/>
  <c r="A125" i="11" a="1"/>
  <c r="A125" i="11" s="1"/>
  <c r="A7" i="6" a="1"/>
  <c r="A7" i="6" s="1"/>
  <c r="Q7" i="6" s="1"/>
  <c r="E20" i="17" s="1"/>
  <c r="F20" i="17" s="1"/>
  <c r="A8" i="16" a="1"/>
  <c r="A8" i="16" s="1"/>
  <c r="Q8" i="16" s="1"/>
  <c r="A92" i="14" a="1"/>
  <c r="A92" i="14" s="1"/>
  <c r="A9" i="15" a="1"/>
  <c r="A9" i="15" s="1"/>
  <c r="Q9" i="15" s="1"/>
  <c r="A7" i="14" a="1"/>
  <c r="A7" i="14" s="1"/>
  <c r="Q7" i="14" s="1"/>
  <c r="B79" i="14" a="1"/>
  <c r="B79" i="14" s="1"/>
  <c r="A79" i="14" a="1"/>
  <c r="A79" i="14" s="1"/>
  <c r="Q79" i="14" s="1"/>
  <c r="A93" i="14" a="1"/>
  <c r="A93" i="14" s="1"/>
  <c r="B25" i="14" a="1"/>
  <c r="B25" i="14" s="1"/>
  <c r="A25" i="14" a="1"/>
  <c r="A25" i="14" s="1"/>
  <c r="Q25" i="14" s="1"/>
  <c r="A8" i="14" a="1"/>
  <c r="A8" i="14" s="1"/>
  <c r="Q8" i="14" s="1"/>
  <c r="A6" i="14" a="1"/>
  <c r="A6" i="14" s="1"/>
  <c r="B63" i="14" a="1"/>
  <c r="B63" i="14" s="1"/>
  <c r="A63" i="14" a="1"/>
  <c r="A63" i="14" s="1"/>
  <c r="Q63" i="14" s="1"/>
  <c r="B13" i="14" a="1"/>
  <c r="B13" i="14" s="1"/>
  <c r="A13" i="14" a="1"/>
  <c r="A13" i="14" s="1"/>
  <c r="Q13" i="14" s="1"/>
  <c r="B23" i="14" a="1"/>
  <c r="B23" i="14" s="1"/>
  <c r="A23" i="14" a="1"/>
  <c r="A23" i="14" s="1"/>
  <c r="Q23" i="14" s="1"/>
  <c r="B64" i="14" a="1"/>
  <c r="B64" i="14" s="1"/>
  <c r="A64" i="14" a="1"/>
  <c r="A64" i="14" s="1"/>
  <c r="A14" i="6" a="1"/>
  <c r="A14" i="6" s="1"/>
  <c r="Q14" i="6" s="1"/>
  <c r="A16" i="6" a="1"/>
  <c r="A16" i="6" s="1"/>
  <c r="A13" i="6" a="1"/>
  <c r="A13" i="6" s="1"/>
  <c r="Q13" i="6" s="1"/>
  <c r="A64" i="6" a="1"/>
  <c r="A64" i="6" s="1"/>
  <c r="Q64" i="6" s="1"/>
  <c r="B73" i="6" a="1"/>
  <c r="B73" i="6" s="1"/>
  <c r="A73" i="6" a="1"/>
  <c r="A73" i="6" s="1"/>
  <c r="A11" i="6" a="1"/>
  <c r="A11" i="6" s="1"/>
  <c r="Q11" i="6" s="1"/>
  <c r="B42" i="6" a="1"/>
  <c r="B42" i="6" s="1"/>
  <c r="A42" i="6" a="1"/>
  <c r="A42" i="6" s="1"/>
  <c r="Q42" i="6" s="1"/>
  <c r="A66" i="6" a="1"/>
  <c r="A66" i="6" s="1"/>
  <c r="Q66" i="6" s="1"/>
  <c r="B26" i="6" a="1"/>
  <c r="B26" i="6" s="1"/>
  <c r="A26" i="6" a="1"/>
  <c r="A26" i="6" s="1"/>
  <c r="Q26" i="6" s="1"/>
  <c r="A87" i="6" a="1"/>
  <c r="A87" i="6" s="1"/>
  <c r="A10" i="6" a="1"/>
  <c r="A10" i="6" s="1"/>
  <c r="Q10" i="6" s="1"/>
  <c r="B68" i="6" a="1"/>
  <c r="B68" i="6" s="1"/>
  <c r="A68" i="6" a="1"/>
  <c r="A68" i="6" s="1"/>
  <c r="A12" i="6" a="1"/>
  <c r="A12" i="6" s="1"/>
  <c r="Q12" i="6" s="1"/>
  <c r="A15" i="6" a="1"/>
  <c r="A15" i="6" s="1"/>
  <c r="Q15" i="6" s="1"/>
  <c r="B43" i="6" a="1"/>
  <c r="B43" i="6" s="1"/>
  <c r="A43" i="6" a="1"/>
  <c r="A43" i="6" s="1"/>
  <c r="B32" i="6" a="1"/>
  <c r="B32" i="6" s="1"/>
  <c r="A32" i="6" a="1"/>
  <c r="A32" i="6" s="1"/>
  <c r="A63" i="6" a="1"/>
  <c r="A63" i="6" s="1"/>
  <c r="B76" i="6" a="1"/>
  <c r="B76" i="6" s="1"/>
  <c r="A76" i="6" a="1"/>
  <c r="A76" i="6" s="1"/>
  <c r="Q76" i="6" s="1"/>
  <c r="A17" i="6" a="1"/>
  <c r="A17" i="6" s="1"/>
  <c r="Q17" i="6" s="1"/>
  <c r="A9" i="6" a="1"/>
  <c r="A9" i="6" s="1"/>
  <c r="Q9" i="6" s="1"/>
  <c r="B89" i="6" a="1"/>
  <c r="B89" i="6" s="1"/>
  <c r="A89" i="6" a="1"/>
  <c r="A89" i="6" s="1"/>
  <c r="Q89" i="6" s="1"/>
  <c r="B88" i="6" a="1"/>
  <c r="B88" i="6" s="1"/>
  <c r="A88" i="6" a="1"/>
  <c r="A88" i="6" s="1"/>
  <c r="Q88" i="6" s="1"/>
  <c r="A8" i="6" a="1"/>
  <c r="A8" i="6" s="1"/>
  <c r="Q8" i="6" s="1"/>
  <c r="A65" i="6" a="1"/>
  <c r="A65" i="6" s="1"/>
  <c r="Q65" i="6" s="1"/>
  <c r="A9" i="16" a="1"/>
  <c r="A9" i="16" s="1"/>
  <c r="Q9" i="16" s="1"/>
  <c r="A10" i="16" a="1"/>
  <c r="A10" i="16" s="1"/>
  <c r="Q10" i="16" s="1"/>
  <c r="A7" i="16" a="1"/>
  <c r="A7" i="16" s="1"/>
  <c r="Q7" i="16" s="1"/>
  <c r="B13" i="16" a="1"/>
  <c r="B13" i="16" s="1"/>
  <c r="A13" i="16" a="1"/>
  <c r="A13" i="16" s="1"/>
  <c r="Q13" i="16" s="1"/>
  <c r="B22" i="16" a="1"/>
  <c r="B22" i="16" s="1"/>
  <c r="A22" i="16" a="1"/>
  <c r="A22" i="16" s="1"/>
  <c r="Q22" i="16" s="1"/>
  <c r="A7" i="15" a="1"/>
  <c r="A7" i="15" s="1"/>
  <c r="Q7" i="15" s="1"/>
  <c r="A8" i="15" a="1"/>
  <c r="A8" i="15" s="1"/>
  <c r="Q8" i="15" s="1"/>
  <c r="A6" i="15" a="1"/>
  <c r="A6" i="15" s="1"/>
  <c r="B36" i="15" a="1"/>
  <c r="B36" i="15" s="1"/>
  <c r="A36" i="15" a="1"/>
  <c r="A36" i="15" s="1"/>
  <c r="Q36" i="15" s="1"/>
  <c r="B35" i="15" a="1"/>
  <c r="B35" i="15" s="1"/>
  <c r="A35" i="15" a="1"/>
  <c r="A35" i="15" s="1"/>
  <c r="Q35" i="15" s="1"/>
  <c r="A5" i="15" a="1"/>
  <c r="A5" i="15" s="1"/>
  <c r="A34" i="15" a="1"/>
  <c r="A34" i="15" s="1"/>
  <c r="B20" i="15" a="1"/>
  <c r="B20" i="15" s="1"/>
  <c r="A20" i="15" a="1"/>
  <c r="A20" i="15" s="1"/>
  <c r="Q20" i="15" s="1"/>
  <c r="B37" i="15" a="1"/>
  <c r="B37" i="15" s="1"/>
  <c r="A37" i="15" a="1"/>
  <c r="A37" i="15" s="1"/>
  <c r="Q37" i="15" s="1"/>
  <c r="G31" i="17" s="1"/>
  <c r="H31" i="17" s="1"/>
  <c r="R3" i="13"/>
  <c r="A119" i="11" a="1"/>
  <c r="A119" i="11" s="1"/>
  <c r="Q119" i="11" s="1"/>
  <c r="B29" i="11" a="1"/>
  <c r="B29" i="11" s="1"/>
  <c r="A29" i="11" a="1"/>
  <c r="A29" i="11" s="1"/>
  <c r="B98" i="11" a="1"/>
  <c r="B98" i="11" s="1"/>
  <c r="A98" i="11" a="1"/>
  <c r="A98" i="11" s="1"/>
  <c r="Q98" i="11" s="1"/>
  <c r="B70" i="11" a="1"/>
  <c r="B70" i="11" s="1"/>
  <c r="A70" i="11" a="1"/>
  <c r="A70" i="11" s="1"/>
  <c r="Q70" i="11" s="1"/>
  <c r="C45" i="17" s="1"/>
  <c r="D45" i="17" s="1"/>
  <c r="B92" i="11" a="1"/>
  <c r="B92" i="11" s="1"/>
  <c r="A92" i="11" a="1"/>
  <c r="A92" i="11" s="1"/>
  <c r="Q92" i="11" s="1"/>
  <c r="B60" i="11" a="1"/>
  <c r="B60" i="11" s="1"/>
  <c r="A60" i="11" a="1"/>
  <c r="A60" i="11" s="1"/>
  <c r="Q60" i="11" s="1"/>
  <c r="B88" i="11" a="1"/>
  <c r="B88" i="11" s="1"/>
  <c r="A88" i="11" a="1"/>
  <c r="A88" i="11" s="1"/>
  <c r="Q88" i="11" s="1"/>
  <c r="B27" i="11" a="1"/>
  <c r="B27" i="11" s="1"/>
  <c r="A27" i="11" a="1"/>
  <c r="A27" i="11" s="1"/>
  <c r="Q27" i="11" s="1"/>
  <c r="B28" i="11" a="1"/>
  <c r="B28" i="11" s="1"/>
  <c r="A28" i="11" a="1"/>
  <c r="A28" i="11" s="1"/>
  <c r="Q28" i="11" s="1"/>
  <c r="B42" i="11" a="1"/>
  <c r="B42" i="11" s="1"/>
  <c r="A42" i="11" a="1"/>
  <c r="A42" i="11" s="1"/>
  <c r="Q42" i="11" s="1"/>
  <c r="B120" i="11" a="1"/>
  <c r="B120" i="11" s="1"/>
  <c r="A120" i="11" a="1"/>
  <c r="A120" i="11" s="1"/>
  <c r="Q120" i="11" s="1"/>
  <c r="B29" i="3" a="1"/>
  <c r="B29" i="3" s="1"/>
  <c r="A29" i="3" a="1"/>
  <c r="A29" i="3" s="1"/>
  <c r="Q29" i="3" s="1"/>
  <c r="B65" i="3" a="1"/>
  <c r="B65" i="3" s="1"/>
  <c r="A65" i="3" a="1"/>
  <c r="A65" i="3" s="1"/>
  <c r="Q65" i="3" s="1"/>
  <c r="B78" i="3" a="1"/>
  <c r="B78" i="3" s="1"/>
  <c r="A78" i="3" a="1"/>
  <c r="A78" i="3" s="1"/>
  <c r="B68" i="3" a="1"/>
  <c r="B68" i="3" s="1"/>
  <c r="A68" i="3" a="1"/>
  <c r="A68" i="3" s="1"/>
  <c r="B100" i="3" a="1"/>
  <c r="B100" i="3" s="1"/>
  <c r="A100" i="3" a="1"/>
  <c r="A100" i="3" s="1"/>
  <c r="Q100" i="3" s="1"/>
  <c r="B69" i="3" a="1"/>
  <c r="B69" i="3" s="1"/>
  <c r="A69" i="3" a="1"/>
  <c r="A69" i="3" s="1"/>
  <c r="Q69" i="3" s="1"/>
  <c r="B71" i="3" a="1"/>
  <c r="B71" i="3" s="1"/>
  <c r="A71" i="3" a="1"/>
  <c r="A71" i="3" s="1"/>
  <c r="B66" i="3" a="1"/>
  <c r="B66" i="3" s="1"/>
  <c r="B41" i="14" a="1"/>
  <c r="B41" i="14" s="1"/>
  <c r="B85" i="14" a="1"/>
  <c r="B85" i="14" s="1"/>
  <c r="B90" i="14" a="1"/>
  <c r="B90" i="14" s="1"/>
  <c r="B89" i="14" a="1"/>
  <c r="B89" i="14" s="1"/>
  <c r="B87" i="14" a="1"/>
  <c r="B87" i="14" s="1"/>
  <c r="B70" i="14" a="1"/>
  <c r="B70" i="14" s="1"/>
  <c r="B88" i="14" a="1"/>
  <c r="B88" i="14" s="1"/>
  <c r="B68" i="14" a="1"/>
  <c r="B68" i="14" s="1"/>
  <c r="B86" i="14" a="1"/>
  <c r="B86" i="14" s="1"/>
  <c r="B31" i="14" a="1"/>
  <c r="B31" i="14" s="1"/>
  <c r="B81" i="14" a="1"/>
  <c r="B81" i="14" s="1"/>
  <c r="B18" i="14" a="1"/>
  <c r="B18" i="14" s="1"/>
  <c r="B77" i="14" a="1"/>
  <c r="B77" i="14" s="1"/>
  <c r="B15" i="14" a="1"/>
  <c r="B15" i="14" s="1"/>
  <c r="B80" i="14" a="1"/>
  <c r="B80" i="14" s="1"/>
  <c r="B72" i="14" a="1"/>
  <c r="B72" i="14" s="1"/>
  <c r="B83" i="14" a="1"/>
  <c r="B83" i="14" s="1"/>
  <c r="B100" i="14" a="1"/>
  <c r="B100" i="14" s="1"/>
  <c r="B84" i="14" a="1"/>
  <c r="B84" i="14" s="1"/>
  <c r="B71" i="14" a="1"/>
  <c r="B71" i="14" s="1"/>
  <c r="B43" i="14" a="1"/>
  <c r="B43" i="14" s="1"/>
  <c r="B20" i="14" a="1"/>
  <c r="B20" i="14" s="1"/>
  <c r="B51" i="14" a="1"/>
  <c r="B51" i="14" s="1"/>
  <c r="B44" i="14" a="1"/>
  <c r="B44" i="14" s="1"/>
  <c r="B54" i="14" a="1"/>
  <c r="B54" i="14" s="1"/>
  <c r="B50" i="14" a="1"/>
  <c r="B50" i="14" s="1"/>
  <c r="B57" i="14" a="1"/>
  <c r="B57" i="14" s="1"/>
  <c r="B55" i="14" a="1"/>
  <c r="B55" i="14" s="1"/>
  <c r="B46" i="14" a="1"/>
  <c r="B46" i="14" s="1"/>
  <c r="B47" i="14" a="1"/>
  <c r="B47" i="14" s="1"/>
  <c r="B52" i="14" a="1"/>
  <c r="B52" i="14" s="1"/>
  <c r="B45" i="14" a="1"/>
  <c r="B45" i="14" s="1"/>
  <c r="B48" i="14" a="1"/>
  <c r="B48" i="14" s="1"/>
  <c r="B49" i="14" a="1"/>
  <c r="B49" i="14" s="1"/>
  <c r="B56" i="14" a="1"/>
  <c r="B56" i="14" s="1"/>
  <c r="B32" i="14" a="1"/>
  <c r="B32" i="14" s="1"/>
  <c r="B14" i="14" a="1"/>
  <c r="B14" i="14" s="1"/>
  <c r="B39" i="14" a="1"/>
  <c r="B39" i="14" s="1"/>
  <c r="B11" i="14" a="1"/>
  <c r="B11" i="14" s="1"/>
  <c r="B42" i="14" a="1"/>
  <c r="B42" i="14" s="1"/>
  <c r="B10" i="14" a="1"/>
  <c r="B10" i="14" s="1"/>
  <c r="B53" i="14" a="1"/>
  <c r="B53" i="14" s="1"/>
  <c r="B59" i="14" a="1"/>
  <c r="B59" i="14" s="1"/>
  <c r="B35" i="14" a="1"/>
  <c r="B35" i="14" s="1"/>
  <c r="B37" i="14" a="1"/>
  <c r="B37" i="14" s="1"/>
  <c r="B36" i="14" a="1"/>
  <c r="B36" i="14" s="1"/>
  <c r="B69" i="14" a="1"/>
  <c r="B69" i="14" s="1"/>
  <c r="B38" i="14" a="1"/>
  <c r="B38" i="14" s="1"/>
  <c r="B27" i="14" a="1"/>
  <c r="B27" i="14" s="1"/>
  <c r="B30" i="14" a="1"/>
  <c r="B30" i="14" s="1"/>
  <c r="B58" i="14" a="1"/>
  <c r="B58" i="14" s="1"/>
  <c r="B34" i="14" a="1"/>
  <c r="B34" i="14" s="1"/>
  <c r="B6" i="15" a="1"/>
  <c r="B6" i="15" s="1"/>
  <c r="B9" i="15" a="1"/>
  <c r="B9" i="15" s="1"/>
  <c r="B10" i="16" a="1"/>
  <c r="B10" i="16" s="1"/>
  <c r="B9" i="16" a="1"/>
  <c r="B9" i="16" s="1"/>
  <c r="B27" i="15" a="1"/>
  <c r="B27" i="15" s="1"/>
  <c r="B7" i="15" a="1"/>
  <c r="B7" i="15" s="1"/>
  <c r="B8" i="15" a="1"/>
  <c r="B8" i="15" s="1"/>
  <c r="B8" i="16" a="1"/>
  <c r="B8" i="16" s="1"/>
  <c r="B7" i="16" a="1"/>
  <c r="B7" i="16" s="1"/>
  <c r="B5" i="15" a="1"/>
  <c r="B5" i="15" s="1"/>
  <c r="B34" i="15" a="1"/>
  <c r="B34" i="15" s="1"/>
  <c r="B64" i="6" a="1"/>
  <c r="B64" i="6" s="1"/>
  <c r="B7" i="14" a="1"/>
  <c r="B7" i="14" s="1"/>
  <c r="B23" i="6" a="1"/>
  <c r="B23" i="6" s="1"/>
  <c r="B94" i="14" a="1"/>
  <c r="B94" i="14" s="1"/>
  <c r="B8" i="14" a="1"/>
  <c r="B8" i="14" s="1"/>
  <c r="B93" i="14" a="1"/>
  <c r="B93" i="14" s="1"/>
  <c r="B5" i="14" a="1"/>
  <c r="B5" i="14" s="1"/>
  <c r="B6" i="14" a="1"/>
  <c r="B6" i="14" s="1"/>
  <c r="B92" i="14" a="1"/>
  <c r="B92" i="14" s="1"/>
  <c r="B62" i="14" a="1"/>
  <c r="B62" i="14" s="1"/>
  <c r="B16" i="6" a="1"/>
  <c r="B16" i="6" s="1"/>
  <c r="B87" i="6" a="1"/>
  <c r="B87" i="6" s="1"/>
  <c r="B6" i="6" a="1"/>
  <c r="B6" i="6" s="1"/>
  <c r="B65" i="6" a="1"/>
  <c r="B65" i="6" s="1"/>
  <c r="B17" i="6" a="1"/>
  <c r="B17" i="6" s="1"/>
  <c r="B61" i="6" a="1"/>
  <c r="B61" i="6" s="1"/>
  <c r="B9" i="6" a="1"/>
  <c r="B9" i="6" s="1"/>
  <c r="B66" i="6" a="1"/>
  <c r="B66" i="6" s="1"/>
  <c r="B11" i="6" a="1"/>
  <c r="B11" i="6" s="1"/>
  <c r="B15" i="6" a="1"/>
  <c r="B15" i="6" s="1"/>
  <c r="B14" i="6" a="1"/>
  <c r="B14" i="6" s="1"/>
  <c r="B67" i="6" a="1"/>
  <c r="B67" i="6" s="1"/>
  <c r="B22" i="6" a="1"/>
  <c r="B22" i="6" s="1"/>
  <c r="B7" i="6" a="1"/>
  <c r="B7" i="6" s="1"/>
  <c r="B10" i="6" a="1"/>
  <c r="B10" i="6" s="1"/>
  <c r="B20" i="6" a="1"/>
  <c r="B20" i="6" s="1"/>
  <c r="B13" i="6" a="1"/>
  <c r="B13" i="6" s="1"/>
  <c r="B63" i="6" a="1"/>
  <c r="B63" i="6" s="1"/>
  <c r="B21" i="6" a="1"/>
  <c r="B21" i="6" s="1"/>
  <c r="B12" i="6" a="1"/>
  <c r="B12" i="6" s="1"/>
  <c r="B8" i="6" a="1"/>
  <c r="B8" i="6" s="1"/>
  <c r="B19" i="6" a="1"/>
  <c r="B19" i="6" s="1"/>
  <c r="J13" i="11"/>
  <c r="J76" i="11"/>
  <c r="J34" i="3"/>
  <c r="J67" i="11"/>
  <c r="J70" i="11"/>
  <c r="J17" i="11"/>
  <c r="J40" i="11"/>
  <c r="J37" i="11"/>
  <c r="J60" i="11"/>
  <c r="J62" i="11"/>
  <c r="J29" i="11"/>
  <c r="J26" i="11"/>
  <c r="J27" i="11"/>
  <c r="J56" i="11"/>
  <c r="J41" i="11"/>
  <c r="J21" i="11"/>
  <c r="J31" i="11"/>
  <c r="J22" i="11"/>
  <c r="J99" i="11"/>
  <c r="J73" i="11"/>
  <c r="J71" i="11"/>
  <c r="J42" i="11"/>
  <c r="J92" i="11"/>
  <c r="J128" i="11"/>
  <c r="S103" i="11"/>
  <c r="J103" i="11" s="1"/>
  <c r="J18" i="11"/>
  <c r="J39" i="11"/>
  <c r="J101" i="11"/>
  <c r="J84" i="11"/>
  <c r="J125" i="11"/>
  <c r="J50" i="11"/>
  <c r="J28" i="11"/>
  <c r="J63" i="11"/>
  <c r="J34" i="11"/>
  <c r="J24" i="11"/>
  <c r="S98" i="11"/>
  <c r="J98" i="11" s="1"/>
  <c r="J46" i="11"/>
  <c r="J32" i="11"/>
  <c r="J105" i="11"/>
  <c r="J38" i="11"/>
  <c r="J88" i="11"/>
  <c r="J130" i="11"/>
  <c r="J68" i="11"/>
  <c r="J90" i="11"/>
  <c r="J54" i="11"/>
  <c r="J120" i="11"/>
  <c r="B6" i="11" s="1" a="1"/>
  <c r="B6" i="11" s="1"/>
  <c r="J50" i="3"/>
  <c r="J37" i="3"/>
  <c r="J14" i="3"/>
  <c r="B14" i="3" s="1" a="1"/>
  <c r="B14" i="3" s="1"/>
  <c r="J26" i="3"/>
  <c r="J8" i="3"/>
  <c r="J6" i="3"/>
  <c r="J24" i="3"/>
  <c r="J52" i="3"/>
  <c r="J29" i="3"/>
  <c r="J27" i="3"/>
  <c r="J71" i="3"/>
  <c r="S82" i="3"/>
  <c r="J82" i="3" s="1"/>
  <c r="J15" i="3"/>
  <c r="B15" i="3" s="1" a="1"/>
  <c r="B15" i="3" s="1"/>
  <c r="J66" i="3"/>
  <c r="J43" i="3"/>
  <c r="J69" i="3"/>
  <c r="J65" i="3"/>
  <c r="J74" i="3"/>
  <c r="J104" i="3"/>
  <c r="J64" i="3"/>
  <c r="J44" i="3"/>
  <c r="J58" i="3"/>
  <c r="J28" i="3"/>
  <c r="J42" i="3"/>
  <c r="J54" i="3"/>
  <c r="J30" i="3"/>
  <c r="S68" i="3"/>
  <c r="J68" i="3" s="1"/>
  <c r="J10" i="3"/>
  <c r="J16" i="3"/>
  <c r="J33" i="3"/>
  <c r="S83" i="3"/>
  <c r="J83" i="3" s="1"/>
  <c r="J39" i="3"/>
  <c r="J78" i="3"/>
  <c r="J51" i="3"/>
  <c r="J40" i="3"/>
  <c r="A40" i="3" s="1" a="1"/>
  <c r="A40" i="3" s="1"/>
  <c r="Q40" i="3" s="1"/>
  <c r="J38" i="3"/>
  <c r="J76" i="3"/>
  <c r="S100" i="3"/>
  <c r="J100" i="3" s="1"/>
  <c r="J95" i="3"/>
  <c r="J32" i="3"/>
  <c r="Q73" i="6"/>
  <c r="Q22" i="14"/>
  <c r="Q48" i="16"/>
  <c r="Q39" i="11"/>
  <c r="Q25" i="15"/>
  <c r="Q27" i="15"/>
  <c r="Q97" i="6"/>
  <c r="Q63" i="11"/>
  <c r="Q19" i="15"/>
  <c r="Q72" i="6"/>
  <c r="Q67" i="6"/>
  <c r="Q52" i="16"/>
  <c r="Q34" i="11"/>
  <c r="Q24" i="3"/>
  <c r="Q43" i="14"/>
  <c r="Q37" i="14"/>
  <c r="Q70" i="6"/>
  <c r="Q39" i="6"/>
  <c r="Q100" i="14"/>
  <c r="Q72" i="14"/>
  <c r="Q41" i="14"/>
  <c r="Q21" i="14"/>
  <c r="Q51" i="14"/>
  <c r="Q36" i="14"/>
  <c r="Q32" i="14"/>
  <c r="Q38" i="14"/>
  <c r="Q58" i="14"/>
  <c r="Q42" i="14"/>
  <c r="Q30" i="14"/>
  <c r="Q20" i="14"/>
  <c r="Q31" i="14"/>
  <c r="Q11" i="14"/>
  <c r="Q9" i="14"/>
  <c r="Q84" i="14"/>
  <c r="Q94" i="6"/>
  <c r="Q29" i="6"/>
  <c r="Q38" i="6"/>
  <c r="Q37" i="6"/>
  <c r="Q75" i="6"/>
  <c r="E47" i="17" s="1"/>
  <c r="F47" i="17" s="1"/>
  <c r="Q30" i="16"/>
  <c r="Q14" i="16"/>
  <c r="G16" i="17" s="1"/>
  <c r="H16" i="17" s="1"/>
  <c r="G19" i="17"/>
  <c r="H19" i="17" s="1"/>
  <c r="Q36" i="16"/>
  <c r="Q61" i="16"/>
  <c r="Q31" i="16"/>
  <c r="G33" i="17"/>
  <c r="H33" i="17" s="1"/>
  <c r="Q51" i="16"/>
  <c r="Q29" i="16"/>
  <c r="Q46" i="16"/>
  <c r="Q35" i="16"/>
  <c r="Q10" i="15"/>
  <c r="Q11" i="15"/>
  <c r="G29" i="17" s="1"/>
  <c r="H29" i="17" s="1"/>
  <c r="Q130" i="11"/>
  <c r="Q68" i="11"/>
  <c r="Q31" i="11"/>
  <c r="Q26" i="11"/>
  <c r="Q71" i="11"/>
  <c r="Q73" i="11"/>
  <c r="Q76" i="11"/>
  <c r="Q32" i="11"/>
  <c r="Q38" i="11"/>
  <c r="Q40" i="11"/>
  <c r="Q46" i="11"/>
  <c r="Q128" i="11"/>
  <c r="Q90" i="11"/>
  <c r="Q99" i="11"/>
  <c r="Q56" i="11"/>
  <c r="Q50" i="11"/>
  <c r="Q101" i="11"/>
  <c r="Q21" i="11"/>
  <c r="Q24" i="11"/>
  <c r="Q41" i="11"/>
  <c r="Q125" i="11"/>
  <c r="Q103" i="11"/>
  <c r="Q13" i="11"/>
  <c r="Q54" i="11"/>
  <c r="Q67" i="11"/>
  <c r="Q27" i="3"/>
  <c r="Q76" i="3"/>
  <c r="Q37" i="3"/>
  <c r="Q38" i="3"/>
  <c r="Q66" i="3"/>
  <c r="Q32" i="3"/>
  <c r="Q43" i="3"/>
  <c r="Q83" i="3"/>
  <c r="Q28" i="3"/>
  <c r="Q95" i="3"/>
  <c r="Q16" i="3"/>
  <c r="Q39" i="3"/>
  <c r="Q15" i="3"/>
  <c r="Q104" i="3"/>
  <c r="Q50" i="3"/>
  <c r="Q33" i="3"/>
  <c r="Q30" i="3"/>
  <c r="Q52" i="3"/>
  <c r="Q44" i="3"/>
  <c r="Q10" i="3"/>
  <c r="Q58" i="3"/>
  <c r="Q93" i="14" l="1"/>
  <c r="Q94" i="14"/>
  <c r="Q61" i="14"/>
  <c r="Q34" i="15"/>
  <c r="Q5" i="15"/>
  <c r="Q3" i="14"/>
  <c r="Q62" i="14"/>
  <c r="Q60" i="14"/>
  <c r="Q64" i="14"/>
  <c r="Q91" i="14"/>
  <c r="Q4" i="14"/>
  <c r="Q6" i="14"/>
  <c r="Q5" i="14"/>
  <c r="E64" i="17" s="1"/>
  <c r="Q92" i="14"/>
  <c r="Q62" i="6"/>
  <c r="Q3" i="6"/>
  <c r="Q59" i="6"/>
  <c r="E60" i="17" s="1"/>
  <c r="Q5" i="6"/>
  <c r="Q60" i="6"/>
  <c r="Q4" i="6"/>
  <c r="Q6" i="6"/>
  <c r="Q5" i="16"/>
  <c r="Q3" i="16"/>
  <c r="G60" i="17" s="1"/>
  <c r="Q4" i="16"/>
  <c r="Q6" i="16"/>
  <c r="Q33" i="15"/>
  <c r="Q3" i="15"/>
  <c r="Q32" i="15"/>
  <c r="G48" i="17" s="1"/>
  <c r="Q4" i="15"/>
  <c r="Q6" i="15"/>
  <c r="A4" i="11" a="1"/>
  <c r="A4" i="11" s="1"/>
  <c r="A5" i="11" a="1"/>
  <c r="A5" i="11" s="1"/>
  <c r="A84" i="11" a="1"/>
  <c r="A84" i="11" s="1"/>
  <c r="Q84" i="11" s="1"/>
  <c r="A3" i="11" a="1"/>
  <c r="A3" i="11" s="1"/>
  <c r="A6" i="11" a="1"/>
  <c r="A6" i="11" s="1"/>
  <c r="B51" i="3" a="1"/>
  <c r="B51" i="3" s="1"/>
  <c r="B54" i="3" a="1"/>
  <c r="B54" i="3" s="1"/>
  <c r="B52" i="3" a="1"/>
  <c r="B52" i="3" s="1"/>
  <c r="B7" i="3" a="1"/>
  <c r="B7" i="3" s="1"/>
  <c r="B42" i="3" a="1"/>
  <c r="B42" i="3" s="1"/>
  <c r="B58" i="3" a="1"/>
  <c r="B58" i="3" s="1"/>
  <c r="B33" i="3" a="1"/>
  <c r="B33" i="3" s="1"/>
  <c r="B43" i="3" a="1"/>
  <c r="B43" i="3" s="1"/>
  <c r="B24" i="3" a="1"/>
  <c r="B24" i="3" s="1"/>
  <c r="B26" i="3" a="1"/>
  <c r="B26" i="3" s="1"/>
  <c r="B40" i="3" a="1"/>
  <c r="B40" i="3" s="1"/>
  <c r="A26" i="3" a="1"/>
  <c r="A26" i="3" s="1"/>
  <c r="B34" i="3" a="1"/>
  <c r="B34" i="3" s="1"/>
  <c r="B44" i="3" a="1"/>
  <c r="B44" i="3" s="1"/>
  <c r="B38" i="3" a="1"/>
  <c r="B38" i="3" s="1"/>
  <c r="A6" i="3" a="1"/>
  <c r="A6" i="3" s="1"/>
  <c r="A19" i="3" a="1"/>
  <c r="A19" i="3" s="1"/>
  <c r="Q19" i="3" s="1"/>
  <c r="B30" i="3" a="1"/>
  <c r="B30" i="3" s="1"/>
  <c r="A9" i="3" a="1"/>
  <c r="A9" i="3" s="1"/>
  <c r="Q9" i="3" s="1"/>
  <c r="C36" i="17" s="1"/>
  <c r="A8" i="3" a="1"/>
  <c r="A8" i="3" s="1"/>
  <c r="B50" i="3" a="1"/>
  <c r="B50" i="3" s="1"/>
  <c r="B48" i="3" a="1"/>
  <c r="B48" i="3" s="1"/>
  <c r="B62" i="3" a="1"/>
  <c r="B62" i="3" s="1"/>
  <c r="A23" i="3" a="1"/>
  <c r="A23" i="3" s="1"/>
  <c r="Q23" i="3" s="1"/>
  <c r="C51" i="17" s="1"/>
  <c r="D51" i="17" s="1"/>
  <c r="B17" i="3" a="1"/>
  <c r="B17" i="3" s="1"/>
  <c r="B25" i="3" a="1"/>
  <c r="B25" i="3" s="1"/>
  <c r="B23" i="3" a="1"/>
  <c r="B23" i="3" s="1"/>
  <c r="B12" i="3" a="1"/>
  <c r="B12" i="3" s="1"/>
  <c r="B41" i="3" a="1"/>
  <c r="B41" i="3" s="1"/>
  <c r="A5" i="3" a="1"/>
  <c r="A5" i="3" s="1"/>
  <c r="B53" i="3" a="1"/>
  <c r="B53" i="3" s="1"/>
  <c r="A46" i="3" a="1"/>
  <c r="A46" i="3" s="1"/>
  <c r="Q46" i="3" s="1"/>
  <c r="A64" i="3" a="1"/>
  <c r="A64" i="3" s="1"/>
  <c r="Q64" i="3" s="1"/>
  <c r="A14" i="3" a="1"/>
  <c r="A14" i="3" s="1"/>
  <c r="Q14" i="3" s="1"/>
  <c r="B57" i="3" a="1"/>
  <c r="B57" i="3" s="1"/>
  <c r="A98" i="3" a="1"/>
  <c r="A98" i="3" s="1"/>
  <c r="Q98" i="3" s="1"/>
  <c r="C12" i="17" s="1"/>
  <c r="A49" i="3" a="1"/>
  <c r="A49" i="3" s="1"/>
  <c r="Q49" i="3" s="1"/>
  <c r="C10" i="17" s="1"/>
  <c r="D10" i="17" s="1"/>
  <c r="B61" i="3" a="1"/>
  <c r="B61" i="3" s="1"/>
  <c r="A7" i="3" a="1"/>
  <c r="A7" i="3" s="1"/>
  <c r="Q7" i="3" s="1"/>
  <c r="A54" i="3" a="1"/>
  <c r="A54" i="3" s="1"/>
  <c r="Q54" i="3" s="1"/>
  <c r="B55" i="3" a="1"/>
  <c r="B55" i="3" s="1"/>
  <c r="B45" i="3" a="1"/>
  <c r="B45" i="3" s="1"/>
  <c r="B47" i="3" a="1"/>
  <c r="B47" i="3" s="1"/>
  <c r="B63" i="3" a="1"/>
  <c r="B63" i="3" s="1"/>
  <c r="A34" i="3" a="1"/>
  <c r="A34" i="3" s="1"/>
  <c r="Q34" i="3" s="1"/>
  <c r="C7" i="17" s="1"/>
  <c r="D7" i="17" s="1"/>
  <c r="B46" i="3" a="1"/>
  <c r="B46" i="3" s="1"/>
  <c r="B60" i="3" a="1"/>
  <c r="B60" i="3" s="1"/>
  <c r="B19" i="3" a="1"/>
  <c r="B19" i="3" s="1"/>
  <c r="B59" i="3" a="1"/>
  <c r="B59" i="3" s="1"/>
  <c r="B56" i="3" a="1"/>
  <c r="B56" i="3" s="1"/>
  <c r="B49" i="3" a="1"/>
  <c r="B49" i="3" s="1"/>
  <c r="A4" i="3" a="1"/>
  <c r="A4" i="3" s="1"/>
  <c r="A3" i="3" a="1"/>
  <c r="A3" i="3" s="1"/>
  <c r="B6" i="3" a="1"/>
  <c r="B6" i="3" s="1"/>
  <c r="B84" i="11" a="1"/>
  <c r="B84" i="11" s="1"/>
  <c r="B5" i="3" a="1"/>
  <c r="B5" i="3" s="1"/>
  <c r="B5" i="11" a="1"/>
  <c r="B5" i="11" s="1"/>
  <c r="B3" i="11" a="1"/>
  <c r="B3" i="11" s="1"/>
  <c r="B7" i="11" a="1"/>
  <c r="B7" i="11" s="1"/>
  <c r="B4" i="11" a="1"/>
  <c r="B4" i="11" s="1"/>
  <c r="B119" i="11" a="1"/>
  <c r="B119" i="11" s="1"/>
  <c r="B64" i="3" a="1"/>
  <c r="B64" i="3" s="1"/>
  <c r="B10" i="3" a="1"/>
  <c r="B10" i="3" s="1"/>
  <c r="B4" i="3" a="1"/>
  <c r="B4" i="3" s="1"/>
  <c r="B8" i="3" a="1"/>
  <c r="B8" i="3" s="1"/>
  <c r="B98" i="3" a="1"/>
  <c r="B98" i="3" s="1"/>
  <c r="B9" i="3" a="1"/>
  <c r="B9" i="3" s="1"/>
  <c r="B3" i="3" a="1"/>
  <c r="B3" i="3" s="1"/>
  <c r="C29" i="17"/>
  <c r="D29" i="17" s="1"/>
  <c r="G14" i="17"/>
  <c r="H14" i="17" s="1"/>
  <c r="G61" i="17"/>
  <c r="H61" i="17" s="1"/>
  <c r="G49" i="17"/>
  <c r="H49" i="17" s="1"/>
  <c r="G9" i="17"/>
  <c r="G59" i="17"/>
  <c r="H59" i="17" s="1"/>
  <c r="G26" i="17"/>
  <c r="H26" i="17" s="1"/>
  <c r="G39" i="17"/>
  <c r="H39" i="17" s="1"/>
  <c r="G54" i="17"/>
  <c r="E23" i="17"/>
  <c r="F23" i="17" s="1"/>
  <c r="E54" i="17"/>
  <c r="F54" i="17" s="1"/>
  <c r="E53" i="17"/>
  <c r="F53" i="17" s="1"/>
  <c r="E39" i="17"/>
  <c r="F39" i="17" s="1"/>
  <c r="E45" i="17"/>
  <c r="F45" i="17" s="1"/>
  <c r="E2" i="17"/>
  <c r="F2" i="17" s="1"/>
  <c r="C47" i="17"/>
  <c r="D47" i="17" s="1"/>
  <c r="C58" i="17"/>
  <c r="D58" i="17" s="1"/>
  <c r="C23" i="17"/>
  <c r="D23" i="17" s="1"/>
  <c r="C27" i="17"/>
  <c r="C42" i="17"/>
  <c r="D42" i="17" s="1"/>
  <c r="C64" i="17"/>
  <c r="D64" i="17" s="1"/>
  <c r="Q53" i="14"/>
  <c r="Q34" i="6"/>
  <c r="E51" i="17" s="1"/>
  <c r="F51" i="17" s="1"/>
  <c r="E59" i="17"/>
  <c r="Q35" i="14"/>
  <c r="Q87" i="6"/>
  <c r="E24" i="17" s="1"/>
  <c r="Q45" i="6"/>
  <c r="E41" i="17"/>
  <c r="F41" i="17" s="1"/>
  <c r="Q69" i="6"/>
  <c r="R6" i="12"/>
  <c r="D77" i="2" a="1"/>
  <c r="D77" i="2" s="1"/>
  <c r="D80" i="2" a="1"/>
  <c r="D80" i="2" s="1"/>
  <c r="D69" i="2" a="1"/>
  <c r="D69" i="2" s="1"/>
  <c r="D74" i="2" a="1"/>
  <c r="D74" i="2" s="1"/>
  <c r="D75" i="2" a="1"/>
  <c r="D75" i="2" s="1"/>
  <c r="D71" i="2" a="1"/>
  <c r="D71" i="2" s="1"/>
  <c r="D68" i="2" a="1"/>
  <c r="D68" i="2" s="1"/>
  <c r="D81" i="2" a="1"/>
  <c r="D81" i="2" s="1"/>
  <c r="D66" i="2" a="1"/>
  <c r="D66" i="2" s="1"/>
  <c r="D78" i="2" a="1"/>
  <c r="D78" i="2" s="1"/>
  <c r="D73" i="2" a="1"/>
  <c r="D73" i="2" s="1"/>
  <c r="D79" i="2" a="1"/>
  <c r="D79" i="2" s="1"/>
  <c r="D76" i="2" a="1"/>
  <c r="D76" i="2" s="1"/>
  <c r="D72" i="2" a="1"/>
  <c r="D72" i="2" s="1"/>
  <c r="D70" i="2" a="1"/>
  <c r="D70" i="2" s="1"/>
  <c r="D67" i="2" a="1"/>
  <c r="D67" i="2" s="1"/>
  <c r="Q26" i="14"/>
  <c r="Q68" i="6"/>
  <c r="R36" i="13"/>
  <c r="Q70" i="3"/>
  <c r="Q29" i="11"/>
  <c r="Q18" i="11"/>
  <c r="D154" i="2" a="1"/>
  <c r="D154" i="2" s="1"/>
  <c r="D139" i="2" a="1"/>
  <c r="D139" i="2" s="1"/>
  <c r="D149" i="2" a="1"/>
  <c r="D149" i="2" s="1"/>
  <c r="D158" i="2" a="1"/>
  <c r="D158" i="2" s="1"/>
  <c r="D130" i="2" a="1"/>
  <c r="D130" i="2" s="1"/>
  <c r="D161" i="2" a="1"/>
  <c r="D161" i="2" s="1"/>
  <c r="D145" i="2" a="1"/>
  <c r="D145" i="2" s="1"/>
  <c r="D156" i="2" a="1"/>
  <c r="D156" i="2" s="1"/>
  <c r="D146" i="2" a="1"/>
  <c r="D146" i="2" s="1"/>
  <c r="D159" i="2" a="1"/>
  <c r="D159" i="2" s="1"/>
  <c r="D143" i="2" a="1"/>
  <c r="D143" i="2" s="1"/>
  <c r="D152" i="2" a="1"/>
  <c r="D152" i="2" s="1"/>
  <c r="D138" i="2" a="1"/>
  <c r="D138" i="2" s="1"/>
  <c r="D157" i="2" a="1"/>
  <c r="D157" i="2" s="1"/>
  <c r="D141" i="2" a="1"/>
  <c r="D141" i="2" s="1"/>
  <c r="D150" i="2" a="1"/>
  <c r="D150" i="2" s="1"/>
  <c r="D131" i="2" a="1"/>
  <c r="D131" i="2" s="1"/>
  <c r="D155" i="2" a="1"/>
  <c r="D155" i="2" s="1"/>
  <c r="D137" i="2" a="1"/>
  <c r="D137" i="2" s="1"/>
  <c r="D148" i="2" a="1"/>
  <c r="D148" i="2" s="1"/>
  <c r="D136" i="2" a="1"/>
  <c r="D136" i="2" s="1"/>
  <c r="D147" i="2" a="1"/>
  <c r="D147" i="2" s="1"/>
  <c r="D135" i="2" a="1"/>
  <c r="D135" i="2" s="1"/>
  <c r="D144" i="2" a="1"/>
  <c r="D144" i="2" s="1"/>
  <c r="D134" i="2" a="1"/>
  <c r="D134" i="2" s="1"/>
  <c r="D153" i="2" a="1"/>
  <c r="D153" i="2" s="1"/>
  <c r="D133" i="2" a="1"/>
  <c r="D133" i="2" s="1"/>
  <c r="D142" i="2" a="1"/>
  <c r="D142" i="2" s="1"/>
  <c r="D132" i="2" a="1"/>
  <c r="D132" i="2" s="1"/>
  <c r="D151" i="2" a="1"/>
  <c r="D151" i="2" s="1"/>
  <c r="D160" i="2" a="1"/>
  <c r="D160" i="2" s="1"/>
  <c r="D140" i="2" a="1"/>
  <c r="D140" i="2" s="1"/>
  <c r="D99" i="2" a="1"/>
  <c r="D99" i="2" s="1"/>
  <c r="D107" i="2" a="1"/>
  <c r="D107" i="2" s="1"/>
  <c r="D115" i="2" a="1"/>
  <c r="D115" i="2" s="1"/>
  <c r="D123" i="2" a="1"/>
  <c r="D123" i="2" s="1"/>
  <c r="D101" i="2" a="1"/>
  <c r="D101" i="2" s="1"/>
  <c r="D109" i="2" a="1"/>
  <c r="D109" i="2" s="1"/>
  <c r="D117" i="2" a="1"/>
  <c r="D117" i="2" s="1"/>
  <c r="D125" i="2" a="1"/>
  <c r="D125" i="2" s="1"/>
  <c r="D102" i="2" a="1"/>
  <c r="D102" i="2" s="1"/>
  <c r="D110" i="2" a="1"/>
  <c r="D110" i="2" s="1"/>
  <c r="D118" i="2" a="1"/>
  <c r="D118" i="2" s="1"/>
  <c r="D126" i="2" a="1"/>
  <c r="D126" i="2" s="1"/>
  <c r="D103" i="2" a="1"/>
  <c r="D103" i="2" s="1"/>
  <c r="D111" i="2" a="1"/>
  <c r="D111" i="2" s="1"/>
  <c r="D119" i="2" a="1"/>
  <c r="D119" i="2" s="1"/>
  <c r="D127" i="2" a="1"/>
  <c r="D127" i="2" s="1"/>
  <c r="D104" i="2" a="1"/>
  <c r="D104" i="2" s="1"/>
  <c r="D112" i="2" a="1"/>
  <c r="D112" i="2" s="1"/>
  <c r="D120" i="2" a="1"/>
  <c r="D120" i="2" s="1"/>
  <c r="D128" i="2" a="1"/>
  <c r="D128" i="2" s="1"/>
  <c r="D105" i="2" a="1"/>
  <c r="D105" i="2" s="1"/>
  <c r="D113" i="2" a="1"/>
  <c r="D113" i="2" s="1"/>
  <c r="D121" i="2" a="1"/>
  <c r="D121" i="2" s="1"/>
  <c r="D129" i="2" a="1"/>
  <c r="D129" i="2" s="1"/>
  <c r="D106" i="2" a="1"/>
  <c r="D106" i="2" s="1"/>
  <c r="D114" i="2" a="1"/>
  <c r="D114" i="2" s="1"/>
  <c r="D122" i="2" a="1"/>
  <c r="D122" i="2" s="1"/>
  <c r="D98" i="2" a="1"/>
  <c r="D98" i="2" s="1"/>
  <c r="D116" i="2" a="1"/>
  <c r="D116" i="2" s="1"/>
  <c r="D108" i="2" a="1"/>
  <c r="D108" i="2" s="1"/>
  <c r="D100" i="2" a="1"/>
  <c r="D100" i="2" s="1"/>
  <c r="D124" i="2" a="1"/>
  <c r="D124" i="2" s="1"/>
  <c r="D202" i="2" a="1"/>
  <c r="D202" i="2" s="1"/>
  <c r="D195" i="2" a="1"/>
  <c r="D195" i="2" s="1"/>
  <c r="D214" i="2" a="1"/>
  <c r="D214" i="2" s="1"/>
  <c r="D203" i="2" a="1"/>
  <c r="D203" i="2" s="1"/>
  <c r="D210" i="2" a="1"/>
  <c r="D210" i="2" s="1"/>
  <c r="D199" i="2" a="1"/>
  <c r="D199" i="2" s="1"/>
  <c r="D212" i="2" a="1"/>
  <c r="D212" i="2" s="1"/>
  <c r="D200" i="2" a="1"/>
  <c r="D200" i="2" s="1"/>
  <c r="D225" i="2" a="1"/>
  <c r="D225" i="2" s="1"/>
  <c r="D197" i="2" a="1"/>
  <c r="D197" i="2" s="1"/>
  <c r="D221" i="2" a="1"/>
  <c r="D221" i="2" s="1"/>
  <c r="D198" i="2" a="1"/>
  <c r="D198" i="2" s="1"/>
  <c r="D194" i="2" a="1"/>
  <c r="D194" i="2" s="1"/>
  <c r="D220" i="2" a="1"/>
  <c r="D220" i="2" s="1"/>
  <c r="D205" i="2" a="1"/>
  <c r="D205" i="2" s="1"/>
  <c r="D219" i="2" a="1"/>
  <c r="D219" i="2" s="1"/>
  <c r="D217" i="2" a="1"/>
  <c r="D217" i="2" s="1"/>
  <c r="D224" i="2" a="1"/>
  <c r="D224" i="2" s="1"/>
  <c r="D208" i="2" a="1"/>
  <c r="D208" i="2" s="1"/>
  <c r="D223" i="2" a="1"/>
  <c r="D223" i="2" s="1"/>
  <c r="D209" i="2" a="1"/>
  <c r="D209" i="2" s="1"/>
  <c r="D222" i="2" a="1"/>
  <c r="D222" i="2" s="1"/>
  <c r="D206" i="2" a="1"/>
  <c r="D206" i="2" s="1"/>
  <c r="D207" i="2" a="1"/>
  <c r="D207" i="2" s="1"/>
  <c r="D201" i="2" a="1"/>
  <c r="D201" i="2" s="1"/>
  <c r="D213" i="2" a="1"/>
  <c r="D213" i="2" s="1"/>
  <c r="D204" i="2" a="1"/>
  <c r="D204" i="2" s="1"/>
  <c r="D215" i="2" a="1"/>
  <c r="D215" i="2" s="1"/>
  <c r="D218" i="2" a="1"/>
  <c r="D218" i="2" s="1"/>
  <c r="D216" i="2" a="1"/>
  <c r="D216" i="2" s="1"/>
  <c r="D196" i="2" a="1"/>
  <c r="D196" i="2" s="1"/>
  <c r="D211" i="2" a="1"/>
  <c r="D211" i="2" s="1"/>
  <c r="D182" i="2" a="1"/>
  <c r="D182" i="2" s="1"/>
  <c r="D162" i="2" a="1"/>
  <c r="D162" i="2" s="1"/>
  <c r="D179" i="2" a="1"/>
  <c r="D179" i="2" s="1"/>
  <c r="D180" i="2" a="1"/>
  <c r="D180" i="2" s="1"/>
  <c r="D166" i="2" a="1"/>
  <c r="D166" i="2" s="1"/>
  <c r="D192" i="2" a="1"/>
  <c r="D192" i="2" s="1"/>
  <c r="D173" i="2" a="1"/>
  <c r="D173" i="2" s="1"/>
  <c r="D193" i="2" a="1"/>
  <c r="D193" i="2" s="1"/>
  <c r="D190" i="2" a="1"/>
  <c r="D190" i="2" s="1"/>
  <c r="D189" i="2" a="1"/>
  <c r="D189" i="2" s="1"/>
  <c r="D188" i="2" a="1"/>
  <c r="D188" i="2" s="1"/>
  <c r="D191" i="2" a="1"/>
  <c r="D191" i="2" s="1"/>
  <c r="D174" i="2" a="1"/>
  <c r="D174" i="2" s="1"/>
  <c r="D187" i="2" a="1"/>
  <c r="D187" i="2" s="1"/>
  <c r="D178" i="2" a="1"/>
  <c r="D178" i="2" s="1"/>
  <c r="D185" i="2" a="1"/>
  <c r="D185" i="2" s="1"/>
  <c r="D163" i="2" a="1"/>
  <c r="D163" i="2" s="1"/>
  <c r="D171" i="2" a="1"/>
  <c r="D171" i="2" s="1"/>
  <c r="D176" i="2" a="1"/>
  <c r="D176" i="2" s="1"/>
  <c r="D183" i="2" a="1"/>
  <c r="D183" i="2" s="1"/>
  <c r="D169" i="2" a="1"/>
  <c r="D169" i="2" s="1"/>
  <c r="D186" i="2" a="1"/>
  <c r="D186" i="2" s="1"/>
  <c r="D165" i="2" a="1"/>
  <c r="D165" i="2" s="1"/>
  <c r="D177" i="2" a="1"/>
  <c r="D177" i="2" s="1"/>
  <c r="D167" i="2" a="1"/>
  <c r="D167" i="2" s="1"/>
  <c r="D184" i="2" a="1"/>
  <c r="D184" i="2" s="1"/>
  <c r="D170" i="2" a="1"/>
  <c r="D170" i="2" s="1"/>
  <c r="D175" i="2" a="1"/>
  <c r="D175" i="2" s="1"/>
  <c r="D164" i="2" a="1"/>
  <c r="D164" i="2" s="1"/>
  <c r="D181" i="2" a="1"/>
  <c r="D181" i="2" s="1"/>
  <c r="D168" i="2" a="1"/>
  <c r="D168" i="2" s="1"/>
  <c r="D172" i="2" a="1"/>
  <c r="D172" i="2" s="1"/>
  <c r="D90" i="2" a="1"/>
  <c r="D90" i="2" s="1"/>
  <c r="D92" i="2" a="1"/>
  <c r="D92" i="2" s="1"/>
  <c r="D82" i="2" a="1"/>
  <c r="D82" i="2" s="1"/>
  <c r="D84" i="2" a="1"/>
  <c r="D84" i="2" s="1"/>
  <c r="D83" i="2" a="1"/>
  <c r="D83" i="2" s="1"/>
  <c r="D89" i="2" a="1"/>
  <c r="D89" i="2" s="1"/>
  <c r="D86" i="2" a="1"/>
  <c r="D86" i="2" s="1"/>
  <c r="D96" i="2" a="1"/>
  <c r="D96" i="2" s="1"/>
  <c r="D85" i="2" a="1"/>
  <c r="D85" i="2" s="1"/>
  <c r="D91" i="2" a="1"/>
  <c r="D91" i="2" s="1"/>
  <c r="D88" i="2" a="1"/>
  <c r="D88" i="2" s="1"/>
  <c r="D95" i="2" a="1"/>
  <c r="D95" i="2" s="1"/>
  <c r="D97" i="2" a="1"/>
  <c r="D97" i="2" s="1"/>
  <c r="D87" i="2" a="1"/>
  <c r="D87" i="2" s="1"/>
  <c r="D93" i="2" a="1"/>
  <c r="D93" i="2" s="1"/>
  <c r="D94" i="2" a="1"/>
  <c r="D94" i="2" s="1"/>
  <c r="E63" i="17"/>
  <c r="F63" i="17" s="1"/>
  <c r="R15" i="13"/>
  <c r="C57" i="17" s="1"/>
  <c r="Q52" i="6"/>
  <c r="E26" i="17" s="1"/>
  <c r="F26" i="17" s="1"/>
  <c r="Q63" i="6"/>
  <c r="E33" i="17" s="1"/>
  <c r="F33" i="17" s="1"/>
  <c r="Q21" i="16"/>
  <c r="G12" i="17" s="1"/>
  <c r="H12" i="17" s="1"/>
  <c r="Q26" i="16"/>
  <c r="Q18" i="15"/>
  <c r="G50" i="17" s="1"/>
  <c r="Q19" i="11"/>
  <c r="C59" i="17" s="1"/>
  <c r="G27" i="17"/>
  <c r="H27" i="17" s="1"/>
  <c r="G17" i="17"/>
  <c r="H17" i="17" s="1"/>
  <c r="Q27" i="14"/>
  <c r="E17" i="17"/>
  <c r="F17" i="17" s="1"/>
  <c r="C24" i="17"/>
  <c r="D24" i="17" s="1"/>
  <c r="G15" i="17"/>
  <c r="G55" i="17"/>
  <c r="H55" i="17" s="1"/>
  <c r="C60" i="17"/>
  <c r="D60" i="17" s="1"/>
  <c r="C41" i="17"/>
  <c r="D41" i="17" s="1"/>
  <c r="E58" i="17"/>
  <c r="C17" i="17"/>
  <c r="D17" i="17" s="1"/>
  <c r="C35" i="17"/>
  <c r="D35" i="17" s="1"/>
  <c r="C43" i="17"/>
  <c r="D43" i="17" s="1"/>
  <c r="Q77" i="14"/>
  <c r="Q18" i="14"/>
  <c r="E61" i="17" s="1"/>
  <c r="F61" i="17" s="1"/>
  <c r="Q14" i="14"/>
  <c r="Q19" i="14"/>
  <c r="E55" i="17" s="1"/>
  <c r="F55" i="17" s="1"/>
  <c r="E42" i="17"/>
  <c r="Q69" i="14"/>
  <c r="Q65" i="14"/>
  <c r="E52" i="17" s="1"/>
  <c r="Q44" i="6"/>
  <c r="E29" i="17" s="1"/>
  <c r="F29" i="17" s="1"/>
  <c r="Q32" i="6"/>
  <c r="Q61" i="6"/>
  <c r="Q16" i="6"/>
  <c r="Q43" i="6"/>
  <c r="Q16" i="16"/>
  <c r="G57" i="17"/>
  <c r="Q20" i="16"/>
  <c r="G23" i="17" s="1"/>
  <c r="H23" i="17" s="1"/>
  <c r="Q21" i="15"/>
  <c r="Q17" i="15"/>
  <c r="Q22" i="11"/>
  <c r="Q17" i="11"/>
  <c r="E50" i="17" l="1"/>
  <c r="Q6" i="11"/>
  <c r="E10" i="17"/>
  <c r="D58" i="2" a="1"/>
  <c r="D58" i="2" s="1"/>
  <c r="E19" i="17"/>
  <c r="D50" i="2" a="1"/>
  <c r="D50" i="2" s="1"/>
  <c r="D60" i="2" a="1"/>
  <c r="D60" i="2" s="1"/>
  <c r="D59" i="2" a="1"/>
  <c r="D59" i="2" s="1"/>
  <c r="D62" i="2" a="1"/>
  <c r="D62" i="2" s="1"/>
  <c r="D37" i="2" a="1"/>
  <c r="D37" i="2" s="1"/>
  <c r="D48" i="2" a="1"/>
  <c r="D48" i="2" s="1"/>
  <c r="D45" i="2" a="1"/>
  <c r="D45" i="2" s="1"/>
  <c r="D35" i="2" a="1"/>
  <c r="D35" i="2" s="1"/>
  <c r="D39" i="2" a="1"/>
  <c r="D39" i="2" s="1"/>
  <c r="D43" i="2" a="1"/>
  <c r="D43" i="2" s="1"/>
  <c r="D47" i="2" a="1"/>
  <c r="D47" i="2" s="1"/>
  <c r="Q3" i="11"/>
  <c r="D42" i="2" a="1"/>
  <c r="D42" i="2" s="1"/>
  <c r="D44" i="2" a="1"/>
  <c r="D44" i="2" s="1"/>
  <c r="D56" i="2" a="1"/>
  <c r="D56" i="2" s="1"/>
  <c r="D53" i="2" a="1"/>
  <c r="D53" i="2" s="1"/>
  <c r="D61" i="2" a="1"/>
  <c r="D61" i="2" s="1"/>
  <c r="D38" i="2" a="1"/>
  <c r="D38" i="2" s="1"/>
  <c r="D41" i="2" a="1"/>
  <c r="D41" i="2" s="1"/>
  <c r="D51" i="2" a="1"/>
  <c r="D51" i="2" s="1"/>
  <c r="D63" i="2" a="1"/>
  <c r="D63" i="2" s="1"/>
  <c r="D49" i="2" a="1"/>
  <c r="D49" i="2" s="1"/>
  <c r="Q5" i="11"/>
  <c r="C46" i="17" s="1"/>
  <c r="D64" i="2" a="1"/>
  <c r="D64" i="2" s="1"/>
  <c r="D65" i="2" a="1"/>
  <c r="D65" i="2" s="1"/>
  <c r="D54" i="2" a="1"/>
  <c r="D54" i="2" s="1"/>
  <c r="D55" i="2" a="1"/>
  <c r="D55" i="2" s="1"/>
  <c r="D36" i="2" a="1"/>
  <c r="D36" i="2" s="1"/>
  <c r="D40" i="2" a="1"/>
  <c r="D40" i="2" s="1"/>
  <c r="D57" i="2" a="1"/>
  <c r="D57" i="2" s="1"/>
  <c r="D46" i="2" a="1"/>
  <c r="D46" i="2" s="1"/>
  <c r="D52" i="2" a="1"/>
  <c r="D52" i="2" s="1"/>
  <c r="D34" i="2" a="1"/>
  <c r="D34" i="2" s="1"/>
  <c r="Q4" i="11"/>
  <c r="C39" i="17" s="1"/>
  <c r="C55" i="17"/>
  <c r="D55" i="17" s="1"/>
  <c r="D32" i="2" a="1"/>
  <c r="D32" i="2" s="1"/>
  <c r="D27" i="2" a="1"/>
  <c r="D27" i="2" s="1"/>
  <c r="D23" i="2" a="1"/>
  <c r="D23" i="2" s="1"/>
  <c r="D14" i="2" a="1"/>
  <c r="D14" i="2" s="1"/>
  <c r="D30" i="2" a="1"/>
  <c r="D30" i="2" s="1"/>
  <c r="D19" i="2" a="1"/>
  <c r="D19" i="2" s="1"/>
  <c r="D22" i="2" a="1"/>
  <c r="D22" i="2" s="1"/>
  <c r="D25" i="2" a="1"/>
  <c r="D25" i="2" s="1"/>
  <c r="D29" i="2" a="1"/>
  <c r="D29" i="2" s="1"/>
  <c r="D26" i="2" a="1"/>
  <c r="D26" i="2" s="1"/>
  <c r="D24" i="2" a="1"/>
  <c r="D24" i="2" s="1"/>
  <c r="D9" i="2" a="1"/>
  <c r="D9" i="2" s="1"/>
  <c r="D21" i="2" a="1"/>
  <c r="D21" i="2" s="1"/>
  <c r="D7" i="2" a="1"/>
  <c r="D7" i="2" s="1"/>
  <c r="D28" i="2" a="1"/>
  <c r="D28" i="2" s="1"/>
  <c r="D4" i="2" a="1"/>
  <c r="D4" i="2" s="1"/>
  <c r="D12" i="2" a="1"/>
  <c r="D12" i="2" s="1"/>
  <c r="D6" i="2" a="1"/>
  <c r="D6" i="2" s="1"/>
  <c r="D18" i="2" a="1"/>
  <c r="D18" i="2" s="1"/>
  <c r="D10" i="2" a="1"/>
  <c r="D10" i="2" s="1"/>
  <c r="D5" i="2" a="1"/>
  <c r="D5" i="2" s="1"/>
  <c r="D15" i="2" a="1"/>
  <c r="D15" i="2" s="1"/>
  <c r="D13" i="2" a="1"/>
  <c r="D13" i="2" s="1"/>
  <c r="D16" i="2" a="1"/>
  <c r="D16" i="2" s="1"/>
  <c r="D33" i="2" a="1"/>
  <c r="D33" i="2" s="1"/>
  <c r="D3" i="2" a="1"/>
  <c r="D3" i="2" s="1"/>
  <c r="Q5" i="3"/>
  <c r="C11" i="17" s="1"/>
  <c r="D17" i="2" a="1"/>
  <c r="D17" i="2" s="1"/>
  <c r="D31" i="2" a="1"/>
  <c r="D31" i="2" s="1"/>
  <c r="D8" i="2" a="1"/>
  <c r="D8" i="2" s="1"/>
  <c r="D11" i="2" a="1"/>
  <c r="D11" i="2" s="1"/>
  <c r="D20" i="2" a="1"/>
  <c r="D20" i="2" s="1"/>
  <c r="D2" i="2" a="1"/>
  <c r="D2" i="2" s="1"/>
  <c r="Q3" i="3"/>
  <c r="Q4" i="3"/>
  <c r="C61" i="17" s="1"/>
  <c r="Q6" i="3"/>
  <c r="Q8" i="3"/>
  <c r="G30" i="17"/>
  <c r="H30" i="17" s="1"/>
  <c r="G24" i="17"/>
  <c r="H24" i="17" s="1"/>
  <c r="E6" i="17"/>
  <c r="G32" i="17"/>
  <c r="H32" i="17" s="1"/>
  <c r="G42" i="17"/>
  <c r="G35" i="17"/>
  <c r="G36" i="17"/>
  <c r="G28" i="17"/>
  <c r="H28" i="17" s="1"/>
  <c r="G41" i="17"/>
  <c r="H41" i="17" s="1"/>
  <c r="G58" i="17"/>
  <c r="G51" i="17"/>
  <c r="H51" i="17" s="1"/>
  <c r="G10" i="17"/>
  <c r="G6" i="17"/>
  <c r="H6" i="17" s="1"/>
  <c r="E27" i="17"/>
  <c r="F27" i="17" s="1"/>
  <c r="E28" i="17"/>
  <c r="E35" i="17"/>
  <c r="E49" i="17"/>
  <c r="E31" i="17"/>
  <c r="F31" i="17" s="1"/>
  <c r="E12" i="17"/>
  <c r="E9" i="17"/>
  <c r="F9" i="17" s="1"/>
  <c r="E7" i="17"/>
  <c r="E36" i="17"/>
  <c r="C14" i="17"/>
  <c r="C31" i="17"/>
  <c r="D31" i="17" s="1"/>
  <c r="C50" i="17"/>
  <c r="D50" i="17" s="1"/>
  <c r="C49" i="17"/>
  <c r="D49" i="17" s="1"/>
  <c r="C63" i="17"/>
  <c r="C54" i="17"/>
  <c r="D54" i="17" s="1"/>
  <c r="C32" i="17"/>
  <c r="E57" i="17"/>
  <c r="C30" i="17"/>
  <c r="G18" i="17"/>
  <c r="E32" i="17"/>
  <c r="E25" i="17"/>
  <c r="E15" i="17"/>
  <c r="G43" i="17"/>
  <c r="G40" i="17"/>
  <c r="E14" i="17"/>
  <c r="G47" i="17"/>
  <c r="E43" i="17"/>
  <c r="E18" i="17"/>
  <c r="A86" i="2"/>
  <c r="A88" i="2"/>
  <c r="A82" i="2"/>
  <c r="A91" i="2"/>
  <c r="A93" i="2"/>
  <c r="A96" i="2"/>
  <c r="A89" i="2"/>
  <c r="A95" i="2"/>
  <c r="A87" i="2"/>
  <c r="A83" i="2"/>
  <c r="A94" i="2"/>
  <c r="A84" i="2"/>
  <c r="A85" i="2"/>
  <c r="A90" i="2"/>
  <c r="A92" i="2"/>
  <c r="A97" i="2"/>
  <c r="H48" i="17" l="1"/>
  <c r="H9" i="17"/>
  <c r="F19" i="17"/>
  <c r="F64" i="17"/>
  <c r="H15" i="17"/>
  <c r="H35" i="17"/>
  <c r="F12" i="17"/>
  <c r="F28" i="17"/>
  <c r="F7" i="17"/>
  <c r="H36" i="17"/>
  <c r="F36" i="17"/>
  <c r="F50" i="17"/>
  <c r="F60" i="17"/>
  <c r="H60" i="17"/>
  <c r="F52" i="17"/>
  <c r="F10" i="17"/>
  <c r="F58" i="17"/>
  <c r="F59" i="17"/>
  <c r="F24" i="17"/>
  <c r="F25" i="17"/>
  <c r="F49" i="17"/>
  <c r="H10" i="17"/>
  <c r="F35" i="17"/>
  <c r="F15" i="17"/>
  <c r="F18" i="17"/>
  <c r="F6" i="17"/>
  <c r="F43" i="17"/>
  <c r="F32" i="17"/>
  <c r="F14" i="17"/>
  <c r="F57" i="17"/>
  <c r="F42" i="17"/>
  <c r="H40" i="17"/>
  <c r="H47" i="17"/>
  <c r="H18" i="17"/>
  <c r="H54" i="17"/>
  <c r="H57" i="17"/>
  <c r="H42" i="17"/>
  <c r="H50" i="17"/>
  <c r="H43" i="17"/>
  <c r="H58" i="17"/>
  <c r="A190" i="2"/>
  <c r="A175" i="2"/>
  <c r="A170" i="2"/>
  <c r="A176" i="2"/>
  <c r="A166" i="2"/>
  <c r="A185" i="2"/>
  <c r="A162" i="2"/>
  <c r="A188" i="2"/>
  <c r="A167" i="2"/>
  <c r="A183" i="2"/>
  <c r="A177" i="2"/>
  <c r="A189" i="2"/>
  <c r="A181" i="2"/>
  <c r="A178" i="2"/>
  <c r="A171" i="2"/>
  <c r="A182" i="2"/>
  <c r="A172" i="2"/>
  <c r="A186" i="2"/>
  <c r="A165" i="2"/>
  <c r="A168" i="2"/>
  <c r="A169" i="2"/>
  <c r="A174" i="2"/>
  <c r="A173" i="2"/>
  <c r="A163" i="2"/>
  <c r="A179" i="2"/>
  <c r="A187" i="2"/>
  <c r="A164" i="2"/>
  <c r="A191" i="2"/>
  <c r="A184" i="2"/>
  <c r="A192" i="2"/>
  <c r="A180" i="2"/>
  <c r="A193" i="2"/>
  <c r="A210" i="2"/>
  <c r="A211" i="2"/>
  <c r="A195" i="2"/>
  <c r="A217" i="2"/>
  <c r="A198" i="2"/>
  <c r="A215" i="2"/>
  <c r="A204" i="2"/>
  <c r="A196" i="2"/>
  <c r="A201" i="2"/>
  <c r="A207" i="2"/>
  <c r="A202" i="2"/>
  <c r="A219" i="2"/>
  <c r="A212" i="2"/>
  <c r="A203" i="2"/>
  <c r="A205" i="2"/>
  <c r="A222" i="2"/>
  <c r="A221" i="2"/>
  <c r="A220" i="2"/>
  <c r="A194" i="2"/>
  <c r="A213" i="2"/>
  <c r="A208" i="2"/>
  <c r="A199" i="2"/>
  <c r="A209" i="2"/>
  <c r="A214" i="2"/>
  <c r="A206" i="2"/>
  <c r="A224" i="2"/>
  <c r="A197" i="2"/>
  <c r="A223" i="2"/>
  <c r="A225" i="2"/>
  <c r="A218" i="2"/>
  <c r="A200" i="2"/>
  <c r="A216" i="2"/>
  <c r="A116" i="2"/>
  <c r="A127" i="2"/>
  <c r="A126" i="2"/>
  <c r="A120" i="2"/>
  <c r="A104" i="2"/>
  <c r="A100" i="2"/>
  <c r="A107" i="2"/>
  <c r="A114" i="2"/>
  <c r="A113" i="2"/>
  <c r="A102" i="2"/>
  <c r="A110" i="2"/>
  <c r="A121" i="2"/>
  <c r="A99" i="2"/>
  <c r="A119" i="2"/>
  <c r="A118" i="2"/>
  <c r="A117" i="2"/>
  <c r="A124" i="2"/>
  <c r="A128" i="2"/>
  <c r="A112" i="2"/>
  <c r="A101" i="2"/>
  <c r="A122" i="2"/>
  <c r="A129" i="2"/>
  <c r="A106" i="2"/>
  <c r="A108" i="2"/>
  <c r="A105" i="2"/>
  <c r="A109" i="2"/>
  <c r="A125" i="2"/>
  <c r="A115" i="2"/>
  <c r="A103" i="2"/>
  <c r="A111" i="2"/>
  <c r="A98" i="2"/>
  <c r="A123" i="2"/>
  <c r="A80" i="2"/>
  <c r="A71" i="2"/>
  <c r="A75" i="2"/>
  <c r="A69" i="2"/>
  <c r="A79" i="2"/>
  <c r="A72" i="2"/>
  <c r="A76" i="2"/>
  <c r="A66" i="2"/>
  <c r="A73" i="2"/>
  <c r="A77" i="2"/>
  <c r="A68" i="2"/>
  <c r="A81" i="2"/>
  <c r="A70" i="2"/>
  <c r="A74" i="2"/>
  <c r="A78" i="2"/>
  <c r="A67" i="2"/>
  <c r="A131" i="2"/>
  <c r="A139" i="2"/>
  <c r="A147" i="2"/>
  <c r="A155" i="2"/>
  <c r="A132" i="2"/>
  <c r="A140" i="2"/>
  <c r="A148" i="2"/>
  <c r="A156" i="2"/>
  <c r="A133" i="2"/>
  <c r="A141" i="2"/>
  <c r="A149" i="2"/>
  <c r="A157" i="2"/>
  <c r="A134" i="2"/>
  <c r="A142" i="2"/>
  <c r="A150" i="2"/>
  <c r="A158" i="2"/>
  <c r="A135" i="2"/>
  <c r="A143" i="2"/>
  <c r="A151" i="2"/>
  <c r="A159" i="2"/>
  <c r="A136" i="2"/>
  <c r="A144" i="2"/>
  <c r="A152" i="2"/>
  <c r="A160" i="2"/>
  <c r="A137" i="2"/>
  <c r="A145" i="2"/>
  <c r="A153" i="2"/>
  <c r="A161" i="2"/>
  <c r="A138" i="2"/>
  <c r="A146" i="2"/>
  <c r="A154" i="2"/>
  <c r="A130" i="2"/>
  <c r="Q78" i="3" l="1"/>
  <c r="C33" i="17" s="1"/>
  <c r="D33" i="17" s="1"/>
  <c r="A34" i="2"/>
  <c r="A59" i="2"/>
  <c r="A46" i="2"/>
  <c r="A43" i="2"/>
  <c r="A42" i="2"/>
  <c r="A58" i="2"/>
  <c r="A57" i="2"/>
  <c r="A65" i="2"/>
  <c r="A37" i="2"/>
  <c r="A44" i="2"/>
  <c r="A56" i="2"/>
  <c r="A60" i="2"/>
  <c r="A54" i="2"/>
  <c r="A62" i="2"/>
  <c r="A41" i="2"/>
  <c r="A55" i="2"/>
  <c r="A50" i="2"/>
  <c r="A35" i="2"/>
  <c r="A40" i="2"/>
  <c r="A49" i="2"/>
  <c r="A36" i="2"/>
  <c r="A64" i="2"/>
  <c r="A51" i="2"/>
  <c r="A63" i="2"/>
  <c r="A52" i="2"/>
  <c r="A38" i="2"/>
  <c r="A53" i="2"/>
  <c r="A47" i="2"/>
  <c r="A45" i="2"/>
  <c r="A48" i="2"/>
  <c r="A61" i="2"/>
  <c r="A39" i="2"/>
  <c r="Q71" i="3" l="1"/>
  <c r="C53" i="17" s="1"/>
  <c r="Q68" i="3"/>
  <c r="Q51" i="3"/>
  <c r="C26" i="17" s="1"/>
  <c r="D26" i="17" s="1"/>
  <c r="Q42" i="3"/>
  <c r="A28" i="2"/>
  <c r="A8" i="2"/>
  <c r="A13" i="2"/>
  <c r="A5" i="2"/>
  <c r="A3" i="2"/>
  <c r="A22" i="2"/>
  <c r="A33" i="2"/>
  <c r="A31" i="2"/>
  <c r="A30" i="2"/>
  <c r="A15" i="2"/>
  <c r="A20" i="2"/>
  <c r="A25" i="2"/>
  <c r="A23" i="2"/>
  <c r="A18" i="2"/>
  <c r="A9" i="2"/>
  <c r="A14" i="2"/>
  <c r="A12" i="2"/>
  <c r="A17" i="2"/>
  <c r="A16" i="2"/>
  <c r="A7" i="2"/>
  <c r="A6" i="2"/>
  <c r="A4" i="2"/>
  <c r="A26" i="2"/>
  <c r="A2" i="2"/>
  <c r="A32" i="2"/>
  <c r="A24" i="2"/>
  <c r="A29" i="2"/>
  <c r="A27" i="2"/>
  <c r="A21" i="2"/>
  <c r="A19" i="2"/>
  <c r="A11" i="2"/>
  <c r="A10" i="2"/>
  <c r="C6" i="17"/>
  <c r="Q26" i="3"/>
  <c r="Q82" i="3"/>
  <c r="C15" i="17" l="1"/>
  <c r="C18" i="17"/>
  <c r="D18" i="17" s="1"/>
  <c r="C25" i="17"/>
  <c r="C16" i="17"/>
  <c r="C9" i="17"/>
  <c r="D9" i="17" s="1"/>
  <c r="D6" i="17"/>
  <c r="C19" i="17"/>
  <c r="C52" i="17"/>
  <c r="C28" i="17"/>
  <c r="D28" i="17" s="1"/>
  <c r="D63" i="17" l="1"/>
  <c r="D14" i="17"/>
  <c r="D11" i="17"/>
  <c r="D12" i="17"/>
  <c r="D36" i="17"/>
  <c r="D61" i="17"/>
  <c r="D15" i="17"/>
  <c r="D27" i="17"/>
  <c r="D39" i="17"/>
  <c r="D25" i="17"/>
  <c r="D32" i="17"/>
  <c r="D19" i="17"/>
  <c r="D30" i="17"/>
  <c r="D16" i="17"/>
  <c r="D57" i="17"/>
  <c r="D46" i="17"/>
  <c r="D59" i="17"/>
  <c r="D53" i="17"/>
  <c r="D52" i="1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<sst xmlns="http://schemas.openxmlformats.org/spreadsheetml/2006/main" count="2828" uniqueCount="569">
  <si>
    <t>Name</t>
  </si>
  <si>
    <t>Province</t>
  </si>
  <si>
    <t>Club</t>
  </si>
  <si>
    <t>Dynamix</t>
  </si>
  <si>
    <t>YOB</t>
  </si>
  <si>
    <t>Age Group</t>
  </si>
  <si>
    <t>Finals</t>
  </si>
  <si>
    <t>Year</t>
  </si>
  <si>
    <t>Finals DD</t>
  </si>
  <si>
    <t>Team Score</t>
  </si>
  <si>
    <t>Team DD</t>
  </si>
  <si>
    <t>Senior Team Ranking</t>
  </si>
  <si>
    <t>Junior Team Ranking</t>
  </si>
  <si>
    <t>Total</t>
  </si>
  <si>
    <t>BONHAM, Maja</t>
  </si>
  <si>
    <t>Rank</t>
  </si>
  <si>
    <t>Prelims</t>
  </si>
  <si>
    <t>13-14</t>
  </si>
  <si>
    <t>11-12</t>
  </si>
  <si>
    <t>15-16</t>
  </si>
  <si>
    <t>17-21</t>
  </si>
  <si>
    <t>TRA-W</t>
  </si>
  <si>
    <t>TRA-M</t>
  </si>
  <si>
    <t>DMT-M</t>
  </si>
  <si>
    <t>DMT-W</t>
  </si>
  <si>
    <t>TUM-M</t>
  </si>
  <si>
    <t>TUM-W</t>
  </si>
  <si>
    <t>SYN-M</t>
  </si>
  <si>
    <t>SYN-W</t>
  </si>
  <si>
    <t>CGC</t>
  </si>
  <si>
    <t>Team Members:</t>
  </si>
  <si>
    <t>Member</t>
  </si>
  <si>
    <t>Sort names into correct order</t>
  </si>
  <si>
    <t>DD and Score Together</t>
  </si>
  <si>
    <t>Select</t>
  </si>
  <si>
    <t>Add a new athlete to:</t>
  </si>
  <si>
    <t>Remove athlete:</t>
  </si>
  <si>
    <t>Shasta</t>
  </si>
  <si>
    <t>Skyriders</t>
  </si>
  <si>
    <t>Last Updated:</t>
  </si>
  <si>
    <t>Thunder Country</t>
  </si>
  <si>
    <t>Aviva</t>
  </si>
  <si>
    <t>Submitted Intent</t>
  </si>
  <si>
    <t>Nationals</t>
  </si>
  <si>
    <t>Elite Canada</t>
  </si>
  <si>
    <t>T&amp;T Adventure</t>
  </si>
  <si>
    <t>Flip City</t>
  </si>
  <si>
    <t>Burlington T&amp;T</t>
  </si>
  <si>
    <t>Kingswood</t>
  </si>
  <si>
    <t>Development Team Ranking</t>
  </si>
  <si>
    <t>1st Routine</t>
  </si>
  <si>
    <t>1st Routine DD</t>
  </si>
  <si>
    <t>2nd Routine</t>
  </si>
  <si>
    <t>2nd Routine DD</t>
  </si>
  <si>
    <t>Q1</t>
  </si>
  <si>
    <t>Q1 DD</t>
  </si>
  <si>
    <t>Level</t>
  </si>
  <si>
    <t>TAG</t>
  </si>
  <si>
    <t>Pegasus</t>
  </si>
  <si>
    <t>Trampoline intercité</t>
  </si>
  <si>
    <t>Can-Am</t>
  </si>
  <si>
    <t>KGTC</t>
  </si>
  <si>
    <t>Okanagan</t>
  </si>
  <si>
    <t>Altadore</t>
  </si>
  <si>
    <t>Phoenix</t>
  </si>
  <si>
    <t>Junior</t>
  </si>
  <si>
    <t>L5</t>
  </si>
  <si>
    <t>L6</t>
  </si>
  <si>
    <t>L7</t>
  </si>
  <si>
    <t>Tamarack</t>
  </si>
  <si>
    <t>Exelta</t>
  </si>
  <si>
    <t>AIM</t>
  </si>
  <si>
    <t>VIP</t>
  </si>
  <si>
    <t>OAA</t>
  </si>
  <si>
    <t>Senior</t>
  </si>
  <si>
    <t>HIGHSTEAD, Declan</t>
  </si>
  <si>
    <t>BEAULIEU, Alex</t>
  </si>
  <si>
    <t>Gymnitours</t>
  </si>
  <si>
    <t>REIMCHE, Wilson</t>
  </si>
  <si>
    <t>BISHOP, Brody</t>
  </si>
  <si>
    <t>JOHNSTON, Jack</t>
  </si>
  <si>
    <t>GRAHAM, Andrew</t>
  </si>
  <si>
    <t>BLOOM, Tristan</t>
  </si>
  <si>
    <t>PEREIRA, Samuel</t>
  </si>
  <si>
    <t>Virtuose</t>
  </si>
  <si>
    <t>BURELLE-DUBOIS, Josué</t>
  </si>
  <si>
    <t>HARBO, Owen</t>
  </si>
  <si>
    <t>BOISSEAU, Nolann</t>
  </si>
  <si>
    <t>LEUNG, Theo</t>
  </si>
  <si>
    <t>ANDERSEN, Travis</t>
  </si>
  <si>
    <t>GANDZA, Vince</t>
  </si>
  <si>
    <t>BENJAMIN, Jai</t>
  </si>
  <si>
    <t>KENNEDY, Benjamin</t>
  </si>
  <si>
    <t>WYGIERA, Liam</t>
  </si>
  <si>
    <t>ISAAC, Noah</t>
  </si>
  <si>
    <t>FOLTEA, Olivier</t>
  </si>
  <si>
    <t>Viagym</t>
  </si>
  <si>
    <t>PINSK, Benjamin</t>
  </si>
  <si>
    <t>KOCHYLEMA, Jacob</t>
  </si>
  <si>
    <t>SUSKO, Matthew</t>
  </si>
  <si>
    <t>Kingston</t>
  </si>
  <si>
    <t>ADJEMIAN, Alexan</t>
  </si>
  <si>
    <t>SCOTT, Ethan</t>
  </si>
  <si>
    <t>EVSTIGNEEV, Gleb</t>
  </si>
  <si>
    <t>Campia</t>
  </si>
  <si>
    <t>MEYER, Jeremy</t>
  </si>
  <si>
    <t>MIMEAULT, Thomas</t>
  </si>
  <si>
    <t>THOMPSON, Derek</t>
  </si>
  <si>
    <t>MALLAIS, Rylan</t>
  </si>
  <si>
    <t>SMITH, Haiden</t>
  </si>
  <si>
    <t>COLLINSON, Brody</t>
  </si>
  <si>
    <t>KRAUSHAR, Sam</t>
  </si>
  <si>
    <t>LEVASSEUR, Nathan</t>
  </si>
  <si>
    <t>Just Bounce</t>
  </si>
  <si>
    <t>CLOUTIER, Étienne</t>
  </si>
  <si>
    <t>JAMES, Roshni</t>
  </si>
  <si>
    <t>ROY, Anne-Jolie</t>
  </si>
  <si>
    <t>SCHMIDT, Makena</t>
  </si>
  <si>
    <t>GOOD, Hayden</t>
  </si>
  <si>
    <t>SCHMIDT, Jordyn</t>
  </si>
  <si>
    <t>BRASSART, Lola-Rose</t>
  </si>
  <si>
    <t>THÉORET, Élia</t>
  </si>
  <si>
    <t>QUINN, Olivia</t>
  </si>
  <si>
    <t>TOSH, Megan</t>
  </si>
  <si>
    <t>MURPHY, Kaeleigh</t>
  </si>
  <si>
    <t>JANEVSKI, Léa</t>
  </si>
  <si>
    <t>PIPKO, Halle</t>
  </si>
  <si>
    <t>SHAW, Avery</t>
  </si>
  <si>
    <t>BILTON, Tayte</t>
  </si>
  <si>
    <t>BURGESS, Sydni</t>
  </si>
  <si>
    <t>BROWN, Gabriella</t>
  </si>
  <si>
    <t>NOVAKOWSKI, Summer</t>
  </si>
  <si>
    <t>DUCHESNE, Livia</t>
  </si>
  <si>
    <t>BROWNELL, Abigael</t>
  </si>
  <si>
    <t>Titans</t>
  </si>
  <si>
    <t>BOISSEAU, Mathilde</t>
  </si>
  <si>
    <t>DIMMOCK-ARSENEAU, Arielle</t>
  </si>
  <si>
    <t>GROVES, Chelsea</t>
  </si>
  <si>
    <t>GARRETT, Amy</t>
  </si>
  <si>
    <t>MCALEESE, Taegan</t>
  </si>
  <si>
    <t>PERRON, Laurane</t>
  </si>
  <si>
    <t>VINETTE, Mathilde</t>
  </si>
  <si>
    <t>CROTEAU, Mathilde</t>
  </si>
  <si>
    <t>LOEHR, Hermione</t>
  </si>
  <si>
    <t>BECKETT, Aleisha</t>
  </si>
  <si>
    <t>MCBRIDE, Zoe</t>
  </si>
  <si>
    <t>ANGST, Caelyn</t>
  </si>
  <si>
    <t>PEPPER, Nix</t>
  </si>
  <si>
    <t>LEE-MCMEEKEN, Brooklyn</t>
  </si>
  <si>
    <t>ST-PIERRE-LEPITRE, Gaëlle</t>
  </si>
  <si>
    <t>CORRIVEAU, Mélina</t>
  </si>
  <si>
    <t>GADSBY, Blythe</t>
  </si>
  <si>
    <t>RESCHKE, Jami</t>
  </si>
  <si>
    <t>KUZNAK, Sienna</t>
  </si>
  <si>
    <t>BONNE, Rielle</t>
  </si>
  <si>
    <t>PROBE, Celia</t>
  </si>
  <si>
    <t>KOTKAS, Katarina</t>
  </si>
  <si>
    <t>BECKETT, Lindsey</t>
  </si>
  <si>
    <t>HOUGHTON, Kezia</t>
  </si>
  <si>
    <t>HOWELL, Kayla</t>
  </si>
  <si>
    <t>NAGANO, Mariko</t>
  </si>
  <si>
    <t>MATTHEWS, Jared</t>
  </si>
  <si>
    <t>Quinte Bay</t>
  </si>
  <si>
    <t>GIBBS, Gavin</t>
  </si>
  <si>
    <t>HAMEL, Zachary</t>
  </si>
  <si>
    <t>OUELLETTE, Rémi</t>
  </si>
  <si>
    <t>BARTA, Haydon</t>
  </si>
  <si>
    <t>Rideau</t>
  </si>
  <si>
    <t>LADEROUTE, Sam</t>
  </si>
  <si>
    <t>NEUFELD, Simon</t>
  </si>
  <si>
    <t>ZUREK, Nolan</t>
  </si>
  <si>
    <t>MOORE, Riley</t>
  </si>
  <si>
    <t>COUTURE, Joey</t>
  </si>
  <si>
    <t>THOMPSON, Justin</t>
  </si>
  <si>
    <t>JACKSON, Claire</t>
  </si>
  <si>
    <t>Oakville</t>
  </si>
  <si>
    <t>BURKHART, Sofia</t>
  </si>
  <si>
    <t>PELLETIER, Brooke</t>
  </si>
  <si>
    <t>KWAN, Sienna</t>
  </si>
  <si>
    <t>SCHERER, Kiersten</t>
  </si>
  <si>
    <t>WIEBE, Meghan</t>
  </si>
  <si>
    <t>PEPPER, Emily</t>
  </si>
  <si>
    <t>BERGERON, Ella</t>
  </si>
  <si>
    <t>LEBLANC, Lauren</t>
  </si>
  <si>
    <t>JURCIC, Ariana</t>
  </si>
  <si>
    <t>SEWELL, Emily</t>
  </si>
  <si>
    <t>PARHAR, Jasmine</t>
  </si>
  <si>
    <t>THOMPSON, Abby</t>
  </si>
  <si>
    <t>BASTIEN, Rose</t>
  </si>
  <si>
    <t>BERG, Katie</t>
  </si>
  <si>
    <t>BOWDITCH, Courtney</t>
  </si>
  <si>
    <t>MILINKOVIC, Julianna</t>
  </si>
  <si>
    <t>PILLINGER, Taylor</t>
  </si>
  <si>
    <t>ON</t>
  </si>
  <si>
    <t>SK</t>
  </si>
  <si>
    <t>AB</t>
  </si>
  <si>
    <t>QC</t>
  </si>
  <si>
    <t>BC</t>
  </si>
  <si>
    <t>NS</t>
  </si>
  <si>
    <t>NB</t>
  </si>
  <si>
    <t>MB</t>
  </si>
  <si>
    <t>NL</t>
  </si>
  <si>
    <t>Gymnaska-Voltigeurs</t>
  </si>
  <si>
    <t>TRA Points</t>
  </si>
  <si>
    <t>DMT Points</t>
  </si>
  <si>
    <t>TUM Points</t>
  </si>
  <si>
    <t>Coaching Points</t>
  </si>
  <si>
    <t>Rank (Everyone)</t>
  </si>
  <si>
    <t>Rank               (Intent Only)</t>
  </si>
  <si>
    <t>TRA Coach Rank</t>
  </si>
  <si>
    <t>DMT Coach Rank</t>
  </si>
  <si>
    <t>TUM Coach Rank</t>
  </si>
  <si>
    <t>Sort by level for data entry</t>
  </si>
  <si>
    <t>CYMAN, Cody</t>
  </si>
  <si>
    <t>MOORE, Hunter</t>
  </si>
  <si>
    <t>JOHNSTON, Logan</t>
  </si>
  <si>
    <t>BERKENBOSCH, Bence</t>
  </si>
  <si>
    <t>MCMANUS, Gavin</t>
  </si>
  <si>
    <t>CROTEAU, Mathias</t>
  </si>
  <si>
    <t>BAIR, Xavier</t>
  </si>
  <si>
    <t>DAVIS, Eric</t>
  </si>
  <si>
    <t>WONG, Symeon</t>
  </si>
  <si>
    <t>WEHAGE, Connor</t>
  </si>
  <si>
    <t>RITCHIE, Owen</t>
  </si>
  <si>
    <t>HEWITT, Hayden</t>
  </si>
  <si>
    <t>VIAU, Nathan</t>
  </si>
  <si>
    <t>MERCIER, Loïc</t>
  </si>
  <si>
    <t>ÉTHIER, William</t>
  </si>
  <si>
    <t>PROTEAU, Émile</t>
  </si>
  <si>
    <t>HALLEY, Hayden</t>
  </si>
  <si>
    <t>CZENCZEK, Nik</t>
  </si>
  <si>
    <t>FARNSWORTH, Brent</t>
  </si>
  <si>
    <t>BIANCHET, Anthony</t>
  </si>
  <si>
    <t>DODD, Gavin</t>
  </si>
  <si>
    <t>FLOYD, Anna</t>
  </si>
  <si>
    <t>PROULX, Sarah-Kim</t>
  </si>
  <si>
    <t>JEAN-LOUIS, Jayda</t>
  </si>
  <si>
    <t>JACKSON, Paige</t>
  </si>
  <si>
    <t>LEPORÉ, Amylia</t>
  </si>
  <si>
    <t>WRIGHT, Sofia</t>
  </si>
  <si>
    <t>GAWLEY, Kayley</t>
  </si>
  <si>
    <t>TURPIN, Cora</t>
  </si>
  <si>
    <t>WILLIAMS, Kendall</t>
  </si>
  <si>
    <t>BOURDAGES, Noémie</t>
  </si>
  <si>
    <t>HANNAH, Ashley</t>
  </si>
  <si>
    <t>CHEW, Keara</t>
  </si>
  <si>
    <t>ALDERSON, Kyla</t>
  </si>
  <si>
    <t>AUCOIN, Emilyn</t>
  </si>
  <si>
    <t>MOUNTAIN, Dani</t>
  </si>
  <si>
    <t>WAX, Sophie</t>
  </si>
  <si>
    <t>MCINTOSH, Cyena</t>
  </si>
  <si>
    <t>BEAULIEU &amp; BOISSEAU</t>
  </si>
  <si>
    <t>ISAAC &amp; LEUNG</t>
  </si>
  <si>
    <t>CLOUTIER &amp; LEVASSEUR</t>
  </si>
  <si>
    <t>GROVES &amp; MCALEESE</t>
  </si>
  <si>
    <t>BROWNELL &amp; GARRETT</t>
  </si>
  <si>
    <t>JEAN-LOUIS &amp; WRIGHT</t>
  </si>
  <si>
    <t>MCBRIDE &amp; MURPHY</t>
  </si>
  <si>
    <t>CROTEAU &amp; DION</t>
  </si>
  <si>
    <t>BECKETT &amp; PROBE</t>
  </si>
  <si>
    <t>BECKETT &amp; KOTKAS</t>
  </si>
  <si>
    <t>KOCAK, Jonas</t>
  </si>
  <si>
    <t>MORRISON, Xavier</t>
  </si>
  <si>
    <t>PETERS, Lane</t>
  </si>
  <si>
    <t>TOMLINSON, Kira</t>
  </si>
  <si>
    <t>BRIDEAUX, Ella</t>
  </si>
  <si>
    <t>FUNK, Heidi</t>
  </si>
  <si>
    <t>CHEW, Makena</t>
  </si>
  <si>
    <t>NEWMAN, Olivia</t>
  </si>
  <si>
    <t>MCCARTHY, Amy</t>
  </si>
  <si>
    <t>STOBBE, Brooklyn</t>
  </si>
  <si>
    <t>BRADLEY, Emlyn</t>
  </si>
  <si>
    <t>GOYETTE, Lianne</t>
  </si>
  <si>
    <t>IBACH, Sam</t>
  </si>
  <si>
    <t>LOISELLE, Hector</t>
  </si>
  <si>
    <t>FADL, Yassin</t>
  </si>
  <si>
    <t>ROBERTSON, Griffyn</t>
  </si>
  <si>
    <t>LAPLANTE, Julien</t>
  </si>
  <si>
    <t>PEDERSEN, Mitchel</t>
  </si>
  <si>
    <t>MALEK, Philo</t>
  </si>
  <si>
    <t>Club 1</t>
  </si>
  <si>
    <t>Club 2</t>
  </si>
  <si>
    <t>Revelstoke Acrobats</t>
  </si>
  <si>
    <t>Spring Action</t>
  </si>
  <si>
    <t>Unigym</t>
  </si>
  <si>
    <t>Québec Performance</t>
  </si>
  <si>
    <t>Vertical Zone</t>
  </si>
  <si>
    <t>Rainbow Riders</t>
  </si>
  <si>
    <t>Whistler</t>
  </si>
  <si>
    <t>Zenith</t>
  </si>
  <si>
    <t>Dynamo</t>
  </si>
  <si>
    <t>Sudbury</t>
  </si>
  <si>
    <t>MATHIEU, Jean</t>
  </si>
  <si>
    <t>DUSSAULT, Camille</t>
  </si>
  <si>
    <t>BLANCHARD, Mackenzie</t>
  </si>
  <si>
    <t>NEWMAN, Ava</t>
  </si>
  <si>
    <t>CHRISTENSEN, Destiny</t>
  </si>
  <si>
    <t>BOUCHARD, Koralie</t>
  </si>
  <si>
    <t>WILLIMOTT, Amy</t>
  </si>
  <si>
    <t>HILL, Charley</t>
  </si>
  <si>
    <t>NELSON, Mackenzie</t>
  </si>
  <si>
    <t>KWASNIAK, Alicja</t>
  </si>
  <si>
    <t>GOODMAN, Fleur</t>
  </si>
  <si>
    <t>GRIFFITHS, Ella</t>
  </si>
  <si>
    <t>LECLAIRE, Marienèle</t>
  </si>
  <si>
    <t>NOVOTNY, Ella</t>
  </si>
  <si>
    <t>MOBORG, Reese</t>
  </si>
  <si>
    <t>ALDOUS, Addison</t>
  </si>
  <si>
    <t/>
  </si>
  <si>
    <t>Airdrie Edge</t>
  </si>
  <si>
    <t>Helios</t>
  </si>
  <si>
    <t>Grand River</t>
  </si>
  <si>
    <t>Les Hirondelles</t>
  </si>
  <si>
    <t>Tumblers</t>
  </si>
  <si>
    <t>COOK, Mason</t>
  </si>
  <si>
    <t>GLOWACKI, Oskar</t>
  </si>
  <si>
    <t>BROADY, Maximilien</t>
  </si>
  <si>
    <t>FRITZ, Erik</t>
  </si>
  <si>
    <t>ROSEN, Evan</t>
  </si>
  <si>
    <t>RODRIGUEZ, Calixto</t>
  </si>
  <si>
    <t>MARRIE CAMPEAU, Enzo</t>
  </si>
  <si>
    <t>COULAS, Hudson</t>
  </si>
  <si>
    <t>JENKINSON, Bentley</t>
  </si>
  <si>
    <t>BANNER, Max</t>
  </si>
  <si>
    <t>AZARKIEWICZ, Gage</t>
  </si>
  <si>
    <t>GORGDENKO-SADEVICH, Dennis</t>
  </si>
  <si>
    <t>GAGNÉ, Julien</t>
  </si>
  <si>
    <t>SHTEFLYUK, Sasha</t>
  </si>
  <si>
    <t>HALLEY &amp; MOORE</t>
  </si>
  <si>
    <t>BAIR &amp; BISHOP</t>
  </si>
  <si>
    <t>BENJAMIN &amp; GANDZA</t>
  </si>
  <si>
    <t>MARRIE CAMPEAU &amp; SHTEFLYUK</t>
  </si>
  <si>
    <t>FARNSWORTH &amp; RITCHIE</t>
  </si>
  <si>
    <t>BURELLE-DUBOIS &amp; PEREIRA</t>
  </si>
  <si>
    <t>JANEVSKI &amp; WILLIMOTT</t>
  </si>
  <si>
    <t>NELSON &amp; NOVOTNY</t>
  </si>
  <si>
    <t>ANGST &amp; CHRISTENSEN</t>
  </si>
  <si>
    <t>PERRON &amp; THÉORET</t>
  </si>
  <si>
    <t>ALDOUS &amp; MOBORG</t>
  </si>
  <si>
    <t>BILTON &amp; BRASSART</t>
  </si>
  <si>
    <t>ADREWS &amp; QUINN</t>
  </si>
  <si>
    <t>CORRIVEAU &amp; DUCHESNE</t>
  </si>
  <si>
    <t>KUZNAK &amp; SCHMIDT</t>
  </si>
  <si>
    <t>BONNE &amp; GADSBY</t>
  </si>
  <si>
    <t>DUBUC, Samuel</t>
  </si>
  <si>
    <t>GUÉNETTE, Thomas</t>
  </si>
  <si>
    <t>SIDDAWAY, Cassius</t>
  </si>
  <si>
    <t>PERRIN, Nathan</t>
  </si>
  <si>
    <t>DYKMAN, Matvey</t>
  </si>
  <si>
    <t>SAWATZKY, Kait</t>
  </si>
  <si>
    <t>FROHNSDORF, Mia</t>
  </si>
  <si>
    <t>STEINFORT, Mara</t>
  </si>
  <si>
    <t>PRNO, Hannah</t>
  </si>
  <si>
    <t>KIRAT, Ma'ayan</t>
  </si>
  <si>
    <t>DEOBALD, Addis</t>
  </si>
  <si>
    <t>WEATHERHEAD, Freya</t>
  </si>
  <si>
    <t>OLSEN, Brooklyn</t>
  </si>
  <si>
    <t>RYGA, Ruby</t>
  </si>
  <si>
    <t>METHERAL, Hannah</t>
  </si>
  <si>
    <t>PHANEUF, Zoe</t>
  </si>
  <si>
    <t>DION, Amelia</t>
  </si>
  <si>
    <t>NATH, Zander</t>
  </si>
  <si>
    <t>TRIDER-SCHMIDT, Mackenzie</t>
  </si>
  <si>
    <t>DUNKLEY, Olivia</t>
  </si>
  <si>
    <t>SARTISON, Torrance</t>
  </si>
  <si>
    <t>SPURVEY, Brooke</t>
  </si>
  <si>
    <t>PECK, Rachel</t>
  </si>
  <si>
    <t>Best Other Optional</t>
  </si>
  <si>
    <t>Best Prelim
(17-21 Optional)</t>
  </si>
  <si>
    <t>Best Optional</t>
  </si>
  <si>
    <t>Bst Other Optional</t>
  </si>
  <si>
    <t>Best Q1</t>
  </si>
  <si>
    <t>Best Other Round</t>
  </si>
  <si>
    <t>JOHNSTON &amp; MCKEAG</t>
  </si>
  <si>
    <t>KOCAK &amp; MORRISON</t>
  </si>
  <si>
    <t>HEVESY &amp; RENOU</t>
  </si>
  <si>
    <t>OUGHTRED &amp; SUSKO</t>
  </si>
  <si>
    <t>GORMICK &amp; VANDEN HOVEN</t>
  </si>
  <si>
    <t>ABBOTT &amp; FUDGE</t>
  </si>
  <si>
    <t>GIBBS &amp; MOORE</t>
  </si>
  <si>
    <t>L'ABBE &amp; PETERS</t>
  </si>
  <si>
    <t>AZARKIEWICZ &amp; JENKINSON</t>
  </si>
  <si>
    <t>ANDERSEN &amp; BERKENBOSCH</t>
  </si>
  <si>
    <t>LEUNG &amp; SMITH</t>
  </si>
  <si>
    <t>HARBO &amp; SCOTT</t>
  </si>
  <si>
    <t>D'HONDT &amp; MICHALSKI</t>
  </si>
  <si>
    <t>GIESBRECHT &amp; MALLAIS</t>
  </si>
  <si>
    <t>DAVIS &amp; KENNEDY</t>
  </si>
  <si>
    <t>BLOOM &amp; ROBERTSON</t>
  </si>
  <si>
    <t>COUTURE &amp; FRITZ</t>
  </si>
  <si>
    <t>COLLINSON &amp; MEYER</t>
  </si>
  <si>
    <t>NEUFELD &amp; ZUREK</t>
  </si>
  <si>
    <t>LEPORÉ &amp; ROY</t>
  </si>
  <si>
    <t>ELLIS &amp; SANDERSON</t>
  </si>
  <si>
    <t>ANDREWS &amp; QUINN</t>
  </si>
  <si>
    <t>GARRETT &amp; HANNAH</t>
  </si>
  <si>
    <t>LAURIN &amp; WATERMAN HOLMES</t>
  </si>
  <si>
    <t>NELSON &amp; WEATHERHEAD</t>
  </si>
  <si>
    <t>ALBERT &amp; DESGAGNÉ</t>
  </si>
  <si>
    <t>PACE &amp; ROGERS</t>
  </si>
  <si>
    <t>BROOKER &amp; BURGESS</t>
  </si>
  <si>
    <t>NOVOTNY &amp; SMITH</t>
  </si>
  <si>
    <t>GROSZ &amp; NOBLE</t>
  </si>
  <si>
    <t>MILLER &amp; SMITH</t>
  </si>
  <si>
    <t>MCINTOSH &amp; SWAIN</t>
  </si>
  <si>
    <t>DUSSAULT &amp; LECLAIR</t>
  </si>
  <si>
    <t>ANGST &amp; VAN BALKOM</t>
  </si>
  <si>
    <t>ALDERSON &amp; FROHNSDORF</t>
  </si>
  <si>
    <t>GROVES &amp; NOVAKOWSKI</t>
  </si>
  <si>
    <t>CABAK &amp; SLUGA</t>
  </si>
  <si>
    <t>GOOD &amp; LEE-MCMEEKEN</t>
  </si>
  <si>
    <t>GRIFFITHS &amp; JACKSON</t>
  </si>
  <si>
    <t>GRAHAM &amp; TOSH</t>
  </si>
  <si>
    <t>GOODMAN &amp; NEWMAN</t>
  </si>
  <si>
    <t>ST-PIERRE-LEPITRE &amp; THÉORET</t>
  </si>
  <si>
    <t>CHENG &amp; ULMER</t>
  </si>
  <si>
    <t>JACKSON &amp; PROULX</t>
  </si>
  <si>
    <t>PIPKO &amp; RESCHKE</t>
  </si>
  <si>
    <t>Cygnus</t>
  </si>
  <si>
    <t>Airborne KW</t>
  </si>
  <si>
    <t>Airborne T&amp;T</t>
  </si>
  <si>
    <t>WestWind</t>
  </si>
  <si>
    <t>DON, Alexander</t>
  </si>
  <si>
    <t>PROULX, Kegan</t>
  </si>
  <si>
    <t>MCKEAG, Seamus</t>
  </si>
  <si>
    <t>HOUSER, Jonathan</t>
  </si>
  <si>
    <t>Rose City</t>
  </si>
  <si>
    <t>HATTON-FEARNLEY, Brayden</t>
  </si>
  <si>
    <t>ABBOTT, Damien</t>
  </si>
  <si>
    <t>LIVESEY, Ronan</t>
  </si>
  <si>
    <t>NOVOSOL, Draven</t>
  </si>
  <si>
    <t>HADD, Benjamin</t>
  </si>
  <si>
    <t>HEVESY, Jordon</t>
  </si>
  <si>
    <t>EMON, Caleb</t>
  </si>
  <si>
    <t>Prince George</t>
  </si>
  <si>
    <t>KARWACKI, Jordan</t>
  </si>
  <si>
    <t>KOOMAN, Spencer</t>
  </si>
  <si>
    <t>GIESBRECHT, Caleb</t>
  </si>
  <si>
    <t>D'HONDT, Luke</t>
  </si>
  <si>
    <t>Kelowna Gymnastix</t>
  </si>
  <si>
    <t>2023 Nationals</t>
  </si>
  <si>
    <t>NOSSACK, Sophie</t>
  </si>
  <si>
    <t>ANDREWS, Cadence</t>
  </si>
  <si>
    <t>TIEMERSMA, Abby</t>
  </si>
  <si>
    <t>SHALAMOV, Carina</t>
  </si>
  <si>
    <t>LEDUC, Alexianne</t>
  </si>
  <si>
    <t>DESGAGNÉ, Marie-Maxim</t>
  </si>
  <si>
    <t>SMITH, Nola</t>
  </si>
  <si>
    <t>TURAI, Meg</t>
  </si>
  <si>
    <t>VAN BALKOM, Marlee</t>
  </si>
  <si>
    <t>ELLIS, Julia</t>
  </si>
  <si>
    <t>RUNDELL, Sophie</t>
  </si>
  <si>
    <t>MALO, Chantel</t>
  </si>
  <si>
    <t>MILLER, Sophie</t>
  </si>
  <si>
    <t>MITCHELL, Halle</t>
  </si>
  <si>
    <t>HARRIGAN, Teagan</t>
  </si>
  <si>
    <t>SWAIN, Larkin</t>
  </si>
  <si>
    <t>CHENG, Mia</t>
  </si>
  <si>
    <t>SKJODT, Sophie</t>
  </si>
  <si>
    <t>BROOKER, Aubree</t>
  </si>
  <si>
    <t>MCALESSE, Taegan</t>
  </si>
  <si>
    <t>WAUGH, Audrey</t>
  </si>
  <si>
    <t>HEAD-MORENO, Bianca</t>
  </si>
  <si>
    <t>CABAK, Anezka</t>
  </si>
  <si>
    <t>WATERMAN HOLMES, Maryn</t>
  </si>
  <si>
    <t>PACE, Julia</t>
  </si>
  <si>
    <t>ALBERT, Audrey</t>
  </si>
  <si>
    <t>LECLAIR, Marinèle</t>
  </si>
  <si>
    <t>GROSZ, Mya</t>
  </si>
  <si>
    <t>GRANT, Sienna</t>
  </si>
  <si>
    <t>HAYWOOD-FARMER, Cheyenne</t>
  </si>
  <si>
    <t>CAMARA-BOOTH, Mariama</t>
  </si>
  <si>
    <t>RABINKOVA, Sophia</t>
  </si>
  <si>
    <t>NOBLE, Heather</t>
  </si>
  <si>
    <t>GRAHAM, Rebecca</t>
  </si>
  <si>
    <t>MCCALLUM, Megan</t>
  </si>
  <si>
    <t>NIKODYM, Emily</t>
  </si>
  <si>
    <t>SLUGA, Arianna</t>
  </si>
  <si>
    <t>LAURIN, Abby</t>
  </si>
  <si>
    <t>SMITH, Neleigha</t>
  </si>
  <si>
    <t>ROGERS, Mya</t>
  </si>
  <si>
    <t>SANDERSON, Aurora</t>
  </si>
  <si>
    <t>KURTZ, Lily</t>
  </si>
  <si>
    <t>Futures</t>
  </si>
  <si>
    <t>Twisters</t>
  </si>
  <si>
    <t>Ottawa</t>
  </si>
  <si>
    <t>VAN ESSEN, Oliver</t>
  </si>
  <si>
    <t>LABELLE, Olivier</t>
  </si>
  <si>
    <t>STANG, Nathan</t>
  </si>
  <si>
    <t>VANDEN HOVEN, Tristan</t>
  </si>
  <si>
    <t>MICHALSKI, Rylan</t>
  </si>
  <si>
    <t>BING- L'HEUREUX, Noah</t>
  </si>
  <si>
    <t>ROBINSON, Wyatt</t>
  </si>
  <si>
    <t>EARL, Scarlett</t>
  </si>
  <si>
    <t>WHITE, Morgan</t>
  </si>
  <si>
    <t>MACDOUGALL, Kira</t>
  </si>
  <si>
    <t>WEHAGE, Miley</t>
  </si>
  <si>
    <t>CANN, Jackson</t>
  </si>
  <si>
    <t>WHITE, Ashton</t>
  </si>
  <si>
    <t>SCHWAB, Connor</t>
  </si>
  <si>
    <t>WILSON, Carter</t>
  </si>
  <si>
    <t>NEVALAINEN, Cole</t>
  </si>
  <si>
    <t>Athletics GA</t>
  </si>
  <si>
    <t>HUDOLIN, Alissa</t>
  </si>
  <si>
    <t>RESCHKE, Lina</t>
  </si>
  <si>
    <t>WEAVER, Sienna</t>
  </si>
  <si>
    <t>MALONE, Katie</t>
  </si>
  <si>
    <t>SKJODT, Sage</t>
  </si>
  <si>
    <t>FRIESEN, Declyn</t>
  </si>
  <si>
    <t>ANNION, Bree</t>
  </si>
  <si>
    <t>FUSS, Adeline</t>
  </si>
  <si>
    <t>DUPRAY, Austin</t>
  </si>
  <si>
    <t>NELSON, Cooper</t>
  </si>
  <si>
    <t>OUGHTRED, Max</t>
  </si>
  <si>
    <t>BITTNER, Kennedy</t>
  </si>
  <si>
    <t>GORMICK, Liam</t>
  </si>
  <si>
    <t>L'ABBE, Cohen</t>
  </si>
  <si>
    <t>MCLEOD, Aaron</t>
  </si>
  <si>
    <t>COLLINS, Jefery</t>
  </si>
  <si>
    <t>KLASSEN, Isaiah</t>
  </si>
  <si>
    <t>LUPISH, Kieran</t>
  </si>
  <si>
    <t>WIGOOD, Mathew</t>
  </si>
  <si>
    <t>LEMELIN, Justin</t>
  </si>
  <si>
    <t>MILLAIRE, Hugo</t>
  </si>
  <si>
    <t>RENOU, Brayden</t>
  </si>
  <si>
    <t>YAMINE, Lorenzo</t>
  </si>
  <si>
    <t>FUDGE, Benjamin</t>
  </si>
  <si>
    <t>CHAMPAGNE, Xavier</t>
  </si>
  <si>
    <t>PINNOCK, Liana</t>
  </si>
  <si>
    <t>MAILLOUX, Ashley</t>
  </si>
  <si>
    <t>CECCACCI, Jacqueline</t>
  </si>
  <si>
    <t>ULMER, Lily-ann</t>
  </si>
  <si>
    <t>HOUGHTON, Hope</t>
  </si>
  <si>
    <t>MILNE, Katrien</t>
  </si>
  <si>
    <t>SHTEFLYUK, Oleksandr</t>
  </si>
  <si>
    <t>TURK, Milo</t>
  </si>
  <si>
    <t>CANUEL, Victor</t>
  </si>
  <si>
    <t>STANNARD, Adam</t>
  </si>
  <si>
    <t>SCIBERRAS, Annelle</t>
  </si>
  <si>
    <t>DEMERS, Clara</t>
  </si>
  <si>
    <t>ROSEVEAR, Teja</t>
  </si>
  <si>
    <t>MACASKILL, Haleigh</t>
  </si>
  <si>
    <t>DUNBAR, Delisca</t>
  </si>
  <si>
    <t>CHARLTON, Adrienne</t>
  </si>
  <si>
    <t>HUGHES, Arya</t>
  </si>
  <si>
    <t>CHEUNG, Lauren</t>
  </si>
  <si>
    <t>BOND, Avery</t>
  </si>
  <si>
    <t>BERMUDEZ, Kayla</t>
  </si>
  <si>
    <t>MOSIER, Bella</t>
  </si>
  <si>
    <t>SURJADHANA, Nadia</t>
  </si>
  <si>
    <t>STIMERS, Natalie</t>
  </si>
  <si>
    <t>CAMMAART, Gabby</t>
  </si>
  <si>
    <t>KAUFMANN, Vivian</t>
  </si>
  <si>
    <t>SCALES, Reese</t>
  </si>
  <si>
    <t>BESSADI, Kella</t>
  </si>
  <si>
    <t>LEWIS, Jordyn</t>
  </si>
  <si>
    <t>MOORE, Sara</t>
  </si>
  <si>
    <t>KURSOVA, Anastasia</t>
  </si>
  <si>
    <t>Pulsars</t>
  </si>
  <si>
    <t>HUGHES, Serena</t>
  </si>
  <si>
    <t>BOUCHARD &amp; LEDUC</t>
  </si>
  <si>
    <t>Flippers</t>
  </si>
  <si>
    <t>LEARY, Addison</t>
  </si>
  <si>
    <t>STEFURA, Kenadie</t>
  </si>
  <si>
    <t>OROSZLAN, Sofia</t>
  </si>
  <si>
    <t>PALUCH, Zoe</t>
  </si>
  <si>
    <t>Aerials</t>
  </si>
  <si>
    <t>P</t>
  </si>
  <si>
    <t>Intent Modified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</si>
</sst>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[$-F800]dddd\,\ mmmm\ dd\,\ yyyy"/>
  </numFmts>
  <fonts count="1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family val="1"/>
      <charset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0"/>
      <name val="Arial"/>
      <family val="2"/>
    </font>
    <font>
      <sz val="12"/>
      <color rgb="FFFF0000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  <scheme val="minor"/>
    </font>
    <font>
      <sz val="12"/>
      <color theme="1"/>
      <name val="Wingdings 2"/>
      <charset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5" fillId="0" borderId="0"/>
    <xf numFmtId="0" fontId="5" fillId="0" borderId="0"/>
  </cellStyleXfs>
  <cellXfs count="78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6" fillId="3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" fontId="9" fillId="3" borderId="0" xfId="0" quotePrefix="1" applyNumberFormat="1" applyFont="1" applyFill="1" applyAlignment="1">
      <alignment horizontal="center"/>
    </xf>
    <xf numFmtId="165" fontId="9" fillId="3" borderId="0" xfId="0" applyNumberFormat="1" applyFont="1" applyFill="1" applyAlignment="1">
      <alignment horizontal="center"/>
    </xf>
    <xf numFmtId="16" fontId="9" fillId="2" borderId="0" xfId="0" quotePrefix="1" applyNumberFormat="1" applyFont="1" applyFill="1" applyAlignment="1">
      <alignment horizontal="center"/>
    </xf>
    <xf numFmtId="164" fontId="9" fillId="2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165" fontId="7" fillId="3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164" fontId="7" fillId="2" borderId="0" xfId="0" applyNumberFormat="1" applyFont="1" applyFill="1" applyAlignment="1">
      <alignment horizontal="center"/>
    </xf>
    <xf numFmtId="0" fontId="8" fillId="3" borderId="0" xfId="0" applyFont="1" applyFill="1" applyAlignment="1">
      <alignment horizontal="center"/>
    </xf>
    <xf numFmtId="165" fontId="8" fillId="3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164" fontId="8" fillId="2" borderId="0" xfId="0" applyNumberFormat="1" applyFont="1" applyFill="1" applyAlignment="1">
      <alignment horizontal="center"/>
    </xf>
    <xf numFmtId="0" fontId="0" fillId="3" borderId="0" xfId="0" applyFill="1"/>
    <xf numFmtId="165" fontId="0" fillId="0" borderId="5" xfId="0" applyNumberFormat="1" applyBorder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0" fontId="0" fillId="0" borderId="0" xfId="0" applyProtection="1">
      <protection locked="0"/>
    </xf>
    <xf numFmtId="164" fontId="0" fillId="0" borderId="7" xfId="0" applyNumberFormat="1" applyBorder="1" applyAlignment="1" applyProtection="1">
      <alignment horizontal="center"/>
      <protection locked="0"/>
    </xf>
    <xf numFmtId="0" fontId="0" fillId="0" borderId="7" xfId="0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11" fillId="2" borderId="0" xfId="0" applyFont="1" applyFill="1"/>
    <xf numFmtId="0" fontId="11" fillId="3" borderId="0" xfId="0" applyFont="1" applyFill="1"/>
    <xf numFmtId="0" fontId="12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" fillId="0" borderId="2" xfId="0" applyFont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1" fillId="0" borderId="17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11" fillId="2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11" fillId="2" borderId="0" xfId="0" quotePrefix="1" applyFont="1" applyFill="1" applyAlignment="1">
      <alignment horizontal="center"/>
    </xf>
    <xf numFmtId="0" fontId="11" fillId="3" borderId="0" xfId="0" quotePrefix="1" applyFont="1" applyFill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166" fontId="3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</cellXfs>
  <cellStyles count="3">
    <cellStyle name="Normal" xfId="0" builtinId="0"/>
    <cellStyle name="Normal 2" xfId="2" xr:uid="{00000000-0005-0000-0000-000001000000}"/>
    <cellStyle name="Normal 3" xfId="1" xr:uid="{00000000-0005-0000-0000-000002000000}"/>
  </cellStyles>
  <dxfs count="66"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7030A0"/>
      </font>
    </dxf>
    <dxf>
      <font>
        <color theme="9"/>
      </font>
    </dxf>
    <dxf>
      <font>
        <color rgb="FF0070C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226</xdr:row>
          <xdr:rowOff>38100</xdr:rowOff>
        </xdr:from>
        <xdr:to>
          <xdr:col>0</xdr:col>
          <xdr:colOff>1079500</xdr:colOff>
          <xdr:row>226</xdr:row>
          <xdr:rowOff>177800</xdr:rowOff>
        </xdr:to>
        <xdr:sp macro="" textlink="">
          <xdr:nvSpPr>
            <xdr:cNvPr id="1025" name="Button 1" descr="Ranking S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Ranking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228</xdr:row>
          <xdr:rowOff>38100</xdr:rowOff>
        </xdr:from>
        <xdr:to>
          <xdr:col>0</xdr:col>
          <xdr:colOff>1079500</xdr:colOff>
          <xdr:row>228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229</xdr:row>
          <xdr:rowOff>38100</xdr:rowOff>
        </xdr:from>
        <xdr:to>
          <xdr:col>0</xdr:col>
          <xdr:colOff>1079500</xdr:colOff>
          <xdr:row>229</xdr:row>
          <xdr:rowOff>177800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227</xdr:row>
          <xdr:rowOff>38100</xdr:rowOff>
        </xdr:from>
        <xdr:to>
          <xdr:col>0</xdr:col>
          <xdr:colOff>1079500</xdr:colOff>
          <xdr:row>227</xdr:row>
          <xdr:rowOff>177800</xdr:rowOff>
        </xdr:to>
        <xdr:sp macro="" textlink="">
          <xdr:nvSpPr>
            <xdr:cNvPr id="1031" name="Button 7" descr="Level Sor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Level 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33"/>
  <sheetViews>
    <sheetView tabSelected="1" zoomScaleNormal="100" workbookViewId="0"/>
  </sheetViews>
  <sheetFormatPr baseColWidth="10" defaultColWidth="11" defaultRowHeight="16" x14ac:dyDescent="0.2"/>
  <cols>
    <col min="1" max="1" width="14.6640625" style="1" bestFit="1" customWidth="1"/>
    <col min="2" max="2" width="10" style="1" customWidth="1"/>
    <col min="3" max="3" width="7" style="1" bestFit="1" customWidth="1"/>
    <col min="4" max="4" width="22.83203125" bestFit="1" customWidth="1"/>
    <col min="5" max="5" width="11" style="1"/>
  </cols>
  <sheetData>
    <row r="1" spans="1:4" x14ac:dyDescent="0.2">
      <c r="A1" s="10" t="s">
        <v>30</v>
      </c>
      <c r="B1" s="10" t="s">
        <v>5</v>
      </c>
      <c r="C1" s="10" t="s">
        <v>15</v>
      </c>
      <c r="D1" s="32" t="s">
        <v>31</v>
      </c>
    </row>
    <row r="2" spans="1:4" hidden="1" x14ac:dyDescent="0.2">
      <c r="A2" s="56" t="str">
        <f>IF(D2="","","TRA-M")</f>
        <v/>
      </c>
      <c r="B2" s="59" t="s">
        <v>18</v>
      </c>
      <c r="C2" s="56">
        <v>1</v>
      </c>
      <c r="D2" s="41" t="str" cm="1">
        <f t="array" ref="D2">_xlfn.IFNA(INDEX('TRA-M'!C$3:C$69,MATCH(1,(C2='TRA-M'!A$3:A$69)*(B2='TRA-M'!G$3:G$69),0)),"")</f>
        <v/>
      </c>
    </row>
    <row r="3" spans="1:4" hidden="1" x14ac:dyDescent="0.2">
      <c r="A3" s="56" t="str">
        <f t="shared" ref="A3:A33" si="0">IF(D3="","","TRA-M")</f>
        <v/>
      </c>
      <c r="B3" s="59" t="s">
        <v>18</v>
      </c>
      <c r="C3" s="56">
        <v>2</v>
      </c>
      <c r="D3" s="41" t="str" cm="1">
        <f t="array" ref="D3">_xlfn.IFNA(INDEX('TRA-M'!C$3:C$69,MATCH(1,(C3='TRA-M'!A$3:A$69)*(B3='TRA-M'!G$3:G$69),0)),"")</f>
        <v/>
      </c>
    </row>
    <row r="4" spans="1:4" hidden="1" x14ac:dyDescent="0.2">
      <c r="A4" s="56" t="str">
        <f t="shared" si="0"/>
        <v/>
      </c>
      <c r="B4" s="59" t="s">
        <v>18</v>
      </c>
      <c r="C4" s="56">
        <v>3</v>
      </c>
      <c r="D4" s="41" t="str" cm="1">
        <f t="array" ref="D4">_xlfn.IFNA(INDEX('TRA-M'!C$3:C$69,MATCH(1,(C4='TRA-M'!A$3:A$69)*(B4='TRA-M'!G$3:G$69),0)),"")</f>
        <v/>
      </c>
    </row>
    <row r="5" spans="1:4" hidden="1" x14ac:dyDescent="0.2">
      <c r="A5" s="56" t="str">
        <f t="shared" si="0"/>
        <v/>
      </c>
      <c r="B5" s="59" t="s">
        <v>18</v>
      </c>
      <c r="C5" s="56">
        <v>4</v>
      </c>
      <c r="D5" s="41" t="str" cm="1">
        <f t="array" ref="D5">_xlfn.IFNA(INDEX('TRA-M'!C$3:C$69,MATCH(1,(C5='TRA-M'!A$3:A$69)*(B5='TRA-M'!G$3:G$69),0)),"")</f>
        <v/>
      </c>
    </row>
    <row r="6" spans="1:4" hidden="1" x14ac:dyDescent="0.2">
      <c r="A6" s="56" t="str">
        <f t="shared" si="0"/>
        <v/>
      </c>
      <c r="B6" s="59" t="s">
        <v>18</v>
      </c>
      <c r="C6" s="56">
        <v>5</v>
      </c>
      <c r="D6" s="41" t="str" cm="1">
        <f t="array" ref="D6">_xlfn.IFNA(INDEX('TRA-M'!C$3:C$69,MATCH(1,(C6='TRA-M'!A$3:A$69)*(B6='TRA-M'!G$3:G$69),0)),"")</f>
        <v/>
      </c>
    </row>
    <row r="7" spans="1:4" hidden="1" x14ac:dyDescent="0.2">
      <c r="A7" s="56" t="str">
        <f t="shared" si="0"/>
        <v/>
      </c>
      <c r="B7" s="59" t="s">
        <v>18</v>
      </c>
      <c r="C7" s="56">
        <v>6</v>
      </c>
      <c r="D7" s="41" t="str" cm="1">
        <f t="array" ref="D7">_xlfn.IFNA(INDEX('TRA-M'!C$3:C$69,MATCH(1,(C7='TRA-M'!A$3:A$69)*(B7='TRA-M'!G$3:G$69),0)),"")</f>
        <v/>
      </c>
    </row>
    <row r="8" spans="1:4" hidden="1" x14ac:dyDescent="0.2">
      <c r="A8" s="56" t="str">
        <f t="shared" si="0"/>
        <v/>
      </c>
      <c r="B8" s="59" t="s">
        <v>18</v>
      </c>
      <c r="C8" s="56">
        <v>7</v>
      </c>
      <c r="D8" s="41" t="str" cm="1">
        <f t="array" ref="D8">_xlfn.IFNA(INDEX('TRA-M'!C$3:C$69,MATCH(1,(C8='TRA-M'!A$3:A$69)*(B8='TRA-M'!G$3:G$69),0)),"")</f>
        <v/>
      </c>
    </row>
    <row r="9" spans="1:4" hidden="1" x14ac:dyDescent="0.2">
      <c r="A9" s="56" t="str">
        <f t="shared" si="0"/>
        <v/>
      </c>
      <c r="B9" s="59" t="s">
        <v>18</v>
      </c>
      <c r="C9" s="56">
        <v>8</v>
      </c>
      <c r="D9" s="41" t="str" cm="1">
        <f t="array" ref="D9">_xlfn.IFNA(INDEX('TRA-M'!C$3:C$69,MATCH(1,(C9='TRA-M'!A$3:A$69)*(B9='TRA-M'!G$3:G$69),0)),"")</f>
        <v/>
      </c>
    </row>
    <row r="10" spans="1:4" hidden="1" x14ac:dyDescent="0.2">
      <c r="A10" s="56" t="str">
        <f t="shared" si="0"/>
        <v/>
      </c>
      <c r="B10" s="56" t="s">
        <v>17</v>
      </c>
      <c r="C10" s="56">
        <v>1</v>
      </c>
      <c r="D10" s="41" t="str" cm="1">
        <f t="array" ref="D10">_xlfn.IFNA(INDEX('TRA-M'!C$3:C$69,MATCH(1,(C10='TRA-M'!A$3:A$69)*(B10='TRA-M'!G$3:G$69),0)),"")</f>
        <v/>
      </c>
    </row>
    <row r="11" spans="1:4" hidden="1" x14ac:dyDescent="0.2">
      <c r="A11" s="56" t="str">
        <f t="shared" si="0"/>
        <v/>
      </c>
      <c r="B11" s="56" t="s">
        <v>17</v>
      </c>
      <c r="C11" s="56">
        <v>2</v>
      </c>
      <c r="D11" s="41" t="str" cm="1">
        <f t="array" ref="D11">_xlfn.IFNA(INDEX('TRA-M'!C$3:C$69,MATCH(1,(C11='TRA-M'!A$3:A$69)*(B11='TRA-M'!G$3:G$69),0)),"")</f>
        <v/>
      </c>
    </row>
    <row r="12" spans="1:4" hidden="1" x14ac:dyDescent="0.2">
      <c r="A12" s="56" t="str">
        <f t="shared" si="0"/>
        <v/>
      </c>
      <c r="B12" s="56" t="s">
        <v>17</v>
      </c>
      <c r="C12" s="56">
        <v>3</v>
      </c>
      <c r="D12" s="41" t="str" cm="1">
        <f t="array" ref="D12">_xlfn.IFNA(INDEX('TRA-M'!C$3:C$69,MATCH(1,(C12='TRA-M'!A$3:A$69)*(B12='TRA-M'!G$3:G$69),0)),"")</f>
        <v/>
      </c>
    </row>
    <row r="13" spans="1:4" hidden="1" x14ac:dyDescent="0.2">
      <c r="A13" s="56" t="str">
        <f t="shared" si="0"/>
        <v/>
      </c>
      <c r="B13" s="56" t="s">
        <v>17</v>
      </c>
      <c r="C13" s="56">
        <v>4</v>
      </c>
      <c r="D13" s="41" t="str" cm="1">
        <f t="array" ref="D13">_xlfn.IFNA(INDEX('TRA-M'!C$3:C$69,MATCH(1,(C13='TRA-M'!A$3:A$69)*(B13='TRA-M'!G$3:G$69),0)),"")</f>
        <v/>
      </c>
    </row>
    <row r="14" spans="1:4" hidden="1" x14ac:dyDescent="0.2">
      <c r="A14" s="56" t="str">
        <f t="shared" si="0"/>
        <v/>
      </c>
      <c r="B14" s="56" t="s">
        <v>17</v>
      </c>
      <c r="C14" s="56">
        <v>5</v>
      </c>
      <c r="D14" s="41" t="str" cm="1">
        <f t="array" ref="D14">_xlfn.IFNA(INDEX('TRA-M'!C$3:C$69,MATCH(1,(C14='TRA-M'!A$3:A$69)*(B14='TRA-M'!G$3:G$69),0)),"")</f>
        <v/>
      </c>
    </row>
    <row r="15" spans="1:4" hidden="1" x14ac:dyDescent="0.2">
      <c r="A15" s="56" t="str">
        <f t="shared" si="0"/>
        <v/>
      </c>
      <c r="B15" s="56" t="s">
        <v>17</v>
      </c>
      <c r="C15" s="56">
        <v>6</v>
      </c>
      <c r="D15" s="41" t="str" cm="1">
        <f t="array" ref="D15">_xlfn.IFNA(INDEX('TRA-M'!C$3:C$69,MATCH(1,(C15='TRA-M'!A$3:A$69)*(B15='TRA-M'!G$3:G$69),0)),"")</f>
        <v/>
      </c>
    </row>
    <row r="16" spans="1:4" hidden="1" x14ac:dyDescent="0.2">
      <c r="A16" s="56" t="str">
        <f t="shared" si="0"/>
        <v/>
      </c>
      <c r="B16" s="56" t="s">
        <v>17</v>
      </c>
      <c r="C16" s="56">
        <v>7</v>
      </c>
      <c r="D16" s="41" t="str" cm="1">
        <f t="array" ref="D16">_xlfn.IFNA(INDEX('TRA-M'!C$3:C$69,MATCH(1,(C16='TRA-M'!A$3:A$69)*(B16='TRA-M'!G$3:G$69),0)),"")</f>
        <v/>
      </c>
    </row>
    <row r="17" spans="1:4" hidden="1" x14ac:dyDescent="0.2">
      <c r="A17" s="56" t="str">
        <f t="shared" si="0"/>
        <v/>
      </c>
      <c r="B17" s="56" t="s">
        <v>17</v>
      </c>
      <c r="C17" s="56">
        <v>8</v>
      </c>
      <c r="D17" s="41" t="str" cm="1">
        <f t="array" ref="D17">_xlfn.IFNA(INDEX('TRA-M'!C$3:C$69,MATCH(1,(C17='TRA-M'!A$3:A$69)*(B17='TRA-M'!G$3:G$69),0)),"")</f>
        <v/>
      </c>
    </row>
    <row r="18" spans="1:4" x14ac:dyDescent="0.2">
      <c r="A18" s="56" t="str">
        <f t="shared" si="0"/>
        <v>TRA-M</v>
      </c>
      <c r="B18" s="56" t="s">
        <v>19</v>
      </c>
      <c r="C18" s="56">
        <v>1</v>
      </c>
      <c r="D18" s="41" t="str" cm="1">
        <f t="array" ref="D18">_xlfn.IFNA(INDEX('TRA-M'!C$3:C$69,MATCH(1,(C18='TRA-M'!A$3:A$69)*(B18='TRA-M'!G$3:G$69),0)),"")</f>
        <v>CYMAN, Cody</v>
      </c>
    </row>
    <row r="19" spans="1:4" hidden="1" x14ac:dyDescent="0.2">
      <c r="A19" s="56" t="str">
        <f t="shared" si="0"/>
        <v/>
      </c>
      <c r="B19" s="56" t="s">
        <v>19</v>
      </c>
      <c r="C19" s="56">
        <v>2</v>
      </c>
      <c r="D19" s="41" t="str" cm="1">
        <f t="array" ref="D19">_xlfn.IFNA(INDEX('TRA-M'!C$3:C$69,MATCH(1,(C19='TRA-M'!A$3:A$69)*(B19='TRA-M'!G$3:G$69),0)),"")</f>
        <v/>
      </c>
    </row>
    <row r="20" spans="1:4" hidden="1" x14ac:dyDescent="0.2">
      <c r="A20" s="56" t="str">
        <f t="shared" si="0"/>
        <v/>
      </c>
      <c r="B20" s="56" t="s">
        <v>19</v>
      </c>
      <c r="C20" s="56">
        <v>3</v>
      </c>
      <c r="D20" s="41" t="str" cm="1">
        <f t="array" ref="D20">_xlfn.IFNA(INDEX('TRA-M'!C$3:C$69,MATCH(1,(C20='TRA-M'!A$3:A$69)*(B20='TRA-M'!G$3:G$69),0)),"")</f>
        <v/>
      </c>
    </row>
    <row r="21" spans="1:4" hidden="1" x14ac:dyDescent="0.2">
      <c r="A21" s="56" t="str">
        <f t="shared" si="0"/>
        <v/>
      </c>
      <c r="B21" s="56" t="s">
        <v>19</v>
      </c>
      <c r="C21" s="56">
        <v>4</v>
      </c>
      <c r="D21" s="41" t="str" cm="1">
        <f t="array" ref="D21">_xlfn.IFNA(INDEX('TRA-M'!C$3:C$69,MATCH(1,(C21='TRA-M'!A$3:A$69)*(B21='TRA-M'!G$3:G$69),0)),"")</f>
        <v/>
      </c>
    </row>
    <row r="22" spans="1:4" hidden="1" x14ac:dyDescent="0.2">
      <c r="A22" s="56" t="str">
        <f t="shared" si="0"/>
        <v/>
      </c>
      <c r="B22" s="56" t="s">
        <v>19</v>
      </c>
      <c r="C22" s="56">
        <v>5</v>
      </c>
      <c r="D22" s="41" t="str" cm="1">
        <f t="array" ref="D22">_xlfn.IFNA(INDEX('TRA-M'!C$3:C$69,MATCH(1,(C22='TRA-M'!A$3:A$69)*(B22='TRA-M'!G$3:G$69),0)),"")</f>
        <v/>
      </c>
    </row>
    <row r="23" spans="1:4" hidden="1" x14ac:dyDescent="0.2">
      <c r="A23" s="56" t="str">
        <f t="shared" si="0"/>
        <v/>
      </c>
      <c r="B23" s="56" t="s">
        <v>19</v>
      </c>
      <c r="C23" s="56">
        <v>6</v>
      </c>
      <c r="D23" s="41" t="str" cm="1">
        <f t="array" ref="D23">_xlfn.IFNA(INDEX('TRA-M'!C$3:C$69,MATCH(1,(C23='TRA-M'!A$3:A$69)*(B23='TRA-M'!G$3:G$69),0)),"")</f>
        <v/>
      </c>
    </row>
    <row r="24" spans="1:4" hidden="1" x14ac:dyDescent="0.2">
      <c r="A24" s="56" t="str">
        <f t="shared" si="0"/>
        <v/>
      </c>
      <c r="B24" s="56" t="s">
        <v>19</v>
      </c>
      <c r="C24" s="56">
        <v>7</v>
      </c>
      <c r="D24" s="41" t="str" cm="1">
        <f t="array" ref="D24">_xlfn.IFNA(INDEX('TRA-M'!C$3:C$69,MATCH(1,(C24='TRA-M'!A$3:A$69)*(B24='TRA-M'!G$3:G$69),0)),"")</f>
        <v/>
      </c>
    </row>
    <row r="25" spans="1:4" hidden="1" x14ac:dyDescent="0.2">
      <c r="A25" s="56" t="str">
        <f t="shared" si="0"/>
        <v/>
      </c>
      <c r="B25" s="56" t="s">
        <v>19</v>
      </c>
      <c r="C25" s="56">
        <v>8</v>
      </c>
      <c r="D25" s="41" t="str" cm="1">
        <f t="array" ref="D25">_xlfn.IFNA(INDEX('TRA-M'!C$3:C$69,MATCH(1,(C25='TRA-M'!A$3:A$69)*(B25='TRA-M'!G$3:G$69),0)),"")</f>
        <v/>
      </c>
    </row>
    <row r="26" spans="1:4" x14ac:dyDescent="0.2">
      <c r="A26" s="56" t="str">
        <f t="shared" si="0"/>
        <v>TRA-M</v>
      </c>
      <c r="B26" s="56" t="s">
        <v>20</v>
      </c>
      <c r="C26" s="56">
        <v>1</v>
      </c>
      <c r="D26" s="41" t="str" cm="1">
        <f t="array" ref="D26">_xlfn.IFNA(INDEX('TRA-M'!C$3:C$69,MATCH(1,(C26='TRA-M'!A$3:A$69)*(B26='TRA-M'!G$3:G$69),0)),"")</f>
        <v>CLOUTIER, Étienne</v>
      </c>
    </row>
    <row r="27" spans="1:4" x14ac:dyDescent="0.2">
      <c r="A27" s="56" t="str">
        <f t="shared" si="0"/>
        <v>TRA-M</v>
      </c>
      <c r="B27" s="56" t="s">
        <v>20</v>
      </c>
      <c r="C27" s="56">
        <v>2</v>
      </c>
      <c r="D27" s="41" t="str" cm="1">
        <f t="array" ref="D27">_xlfn.IFNA(INDEX('TRA-M'!C$3:C$69,MATCH(1,(C27='TRA-M'!A$3:A$69)*(B27='TRA-M'!G$3:G$69),0)),"")</f>
        <v>ADJEMIAN, Alexan</v>
      </c>
    </row>
    <row r="28" spans="1:4" x14ac:dyDescent="0.2">
      <c r="A28" s="56" t="str">
        <f t="shared" si="0"/>
        <v>TRA-M</v>
      </c>
      <c r="B28" s="56" t="s">
        <v>20</v>
      </c>
      <c r="C28" s="56">
        <v>3</v>
      </c>
      <c r="D28" s="41" t="str" cm="1">
        <f t="array" ref="D28">_xlfn.IFNA(INDEX('TRA-M'!C$3:C$69,MATCH(1,(C28='TRA-M'!A$3:A$69)*(B28='TRA-M'!G$3:G$69),0)),"")</f>
        <v>EVSTIGNEEV, Gleb</v>
      </c>
    </row>
    <row r="29" spans="1:4" x14ac:dyDescent="0.2">
      <c r="A29" s="56" t="str">
        <f t="shared" si="0"/>
        <v>TRA-M</v>
      </c>
      <c r="B29" s="56" t="s">
        <v>20</v>
      </c>
      <c r="C29" s="56">
        <v>4</v>
      </c>
      <c r="D29" s="41" t="str" cm="1">
        <f t="array" ref="D29">_xlfn.IFNA(INDEX('TRA-M'!C$3:C$69,MATCH(1,(C29='TRA-M'!A$3:A$69)*(B29='TRA-M'!G$3:G$69),0)),"")</f>
        <v>COLLINSON, Brody</v>
      </c>
    </row>
    <row r="30" spans="1:4" x14ac:dyDescent="0.2">
      <c r="A30" s="56" t="str">
        <f t="shared" si="0"/>
        <v>TRA-M</v>
      </c>
      <c r="B30" s="56" t="s">
        <v>20</v>
      </c>
      <c r="C30" s="56">
        <v>5</v>
      </c>
      <c r="D30" s="41" t="str" cm="1">
        <f t="array" ref="D30">_xlfn.IFNA(INDEX('TRA-M'!C$3:C$69,MATCH(1,(C30='TRA-M'!A$3:A$69)*(B30='TRA-M'!G$3:G$69),0)),"")</f>
        <v>DON, Alexander</v>
      </c>
    </row>
    <row r="31" spans="1:4" x14ac:dyDescent="0.2">
      <c r="A31" s="56" t="str">
        <f t="shared" si="0"/>
        <v>TRA-M</v>
      </c>
      <c r="B31" s="56" t="s">
        <v>20</v>
      </c>
      <c r="C31" s="56">
        <v>6</v>
      </c>
      <c r="D31" s="41" t="str" cm="1">
        <f t="array" ref="D31">_xlfn.IFNA(INDEX('TRA-M'!C$3:C$69,MATCH(1,(C31='TRA-M'!A$3:A$69)*(B31='TRA-M'!G$3:G$69),0)),"")</f>
        <v>LEVASSEUR, Nathan</v>
      </c>
    </row>
    <row r="32" spans="1:4" x14ac:dyDescent="0.2">
      <c r="A32" s="56" t="str">
        <f t="shared" si="0"/>
        <v>TRA-M</v>
      </c>
      <c r="B32" s="56" t="s">
        <v>20</v>
      </c>
      <c r="C32" s="56">
        <v>7</v>
      </c>
      <c r="D32" s="41" t="str" cm="1">
        <f t="array" ref="D32">_xlfn.IFNA(INDEX('TRA-M'!C$3:C$69,MATCH(1,(C32='TRA-M'!A$3:A$69)*(B32='TRA-M'!G$3:G$69),0)),"")</f>
        <v>ZUREK, Nolan</v>
      </c>
    </row>
    <row r="33" spans="1:4" hidden="1" x14ac:dyDescent="0.2">
      <c r="A33" s="56" t="str">
        <f t="shared" si="0"/>
        <v/>
      </c>
      <c r="B33" s="56" t="s">
        <v>20</v>
      </c>
      <c r="C33" s="56">
        <v>8</v>
      </c>
      <c r="D33" s="41" t="str" cm="1">
        <f t="array" ref="D33">_xlfn.IFNA(INDEX('TRA-M'!C$3:C$69,MATCH(1,(C33='TRA-M'!A$3:A$69)*(B33='TRA-M'!G$3:G$69),0)),"")</f>
        <v/>
      </c>
    </row>
    <row r="34" spans="1:4" hidden="1" x14ac:dyDescent="0.2">
      <c r="A34" s="57" t="str">
        <f>IF(D34="","","TRA-W")</f>
        <v/>
      </c>
      <c r="B34" s="60" t="s">
        <v>18</v>
      </c>
      <c r="C34" s="57">
        <v>1</v>
      </c>
      <c r="D34" s="42" t="str" cm="1">
        <f t="array" ref="D34">_xlfn.IFNA(INDEX('TRA-W'!C$3:C$73,MATCH(1,(C34='TRA-W'!A$3:A$73)*(B34='TRA-W'!G$3:G$73),0)),"")</f>
        <v/>
      </c>
    </row>
    <row r="35" spans="1:4" hidden="1" x14ac:dyDescent="0.2">
      <c r="A35" s="57" t="str">
        <f t="shared" ref="A35:A65" si="1">IF(D35="","","TRA-W")</f>
        <v/>
      </c>
      <c r="B35" s="60" t="s">
        <v>18</v>
      </c>
      <c r="C35" s="57">
        <v>2</v>
      </c>
      <c r="D35" s="42" t="str" cm="1">
        <f t="array" ref="D35">_xlfn.IFNA(INDEX('TRA-W'!C$3:C$73,MATCH(1,(C35='TRA-W'!A$3:A$73)*(B35='TRA-W'!G$3:G$73),0)),"")</f>
        <v/>
      </c>
    </row>
    <row r="36" spans="1:4" hidden="1" x14ac:dyDescent="0.2">
      <c r="A36" s="57" t="str">
        <f t="shared" si="1"/>
        <v/>
      </c>
      <c r="B36" s="60" t="s">
        <v>18</v>
      </c>
      <c r="C36" s="57">
        <v>3</v>
      </c>
      <c r="D36" s="42" t="str" cm="1">
        <f t="array" ref="D36">_xlfn.IFNA(INDEX('TRA-W'!C$3:C$73,MATCH(1,(C36='TRA-W'!A$3:A$73)*(B36='TRA-W'!G$3:G$73),0)),"")</f>
        <v/>
      </c>
    </row>
    <row r="37" spans="1:4" hidden="1" x14ac:dyDescent="0.2">
      <c r="A37" s="57" t="str">
        <f t="shared" si="1"/>
        <v/>
      </c>
      <c r="B37" s="60" t="s">
        <v>18</v>
      </c>
      <c r="C37" s="57">
        <v>4</v>
      </c>
      <c r="D37" s="42" t="str" cm="1">
        <f t="array" ref="D37">_xlfn.IFNA(INDEX('TRA-W'!C$3:C$73,MATCH(1,(C37='TRA-W'!A$3:A$73)*(B37='TRA-W'!G$3:G$73),0)),"")</f>
        <v/>
      </c>
    </row>
    <row r="38" spans="1:4" hidden="1" x14ac:dyDescent="0.2">
      <c r="A38" s="57" t="str">
        <f t="shared" si="1"/>
        <v/>
      </c>
      <c r="B38" s="60" t="s">
        <v>18</v>
      </c>
      <c r="C38" s="57">
        <v>5</v>
      </c>
      <c r="D38" s="42" t="str" cm="1">
        <f t="array" ref="D38">_xlfn.IFNA(INDEX('TRA-W'!C$3:C$73,MATCH(1,(C38='TRA-W'!A$3:A$73)*(B38='TRA-W'!G$3:G$73),0)),"")</f>
        <v/>
      </c>
    </row>
    <row r="39" spans="1:4" hidden="1" x14ac:dyDescent="0.2">
      <c r="A39" s="57" t="str">
        <f t="shared" si="1"/>
        <v/>
      </c>
      <c r="B39" s="60" t="s">
        <v>18</v>
      </c>
      <c r="C39" s="57">
        <v>6</v>
      </c>
      <c r="D39" s="42" t="str" cm="1">
        <f t="array" ref="D39">_xlfn.IFNA(INDEX('TRA-W'!C$3:C$73,MATCH(1,(C39='TRA-W'!A$3:A$73)*(B39='TRA-W'!G$3:G$73),0)),"")</f>
        <v/>
      </c>
    </row>
    <row r="40" spans="1:4" hidden="1" x14ac:dyDescent="0.2">
      <c r="A40" s="57" t="str">
        <f t="shared" si="1"/>
        <v/>
      </c>
      <c r="B40" s="60" t="s">
        <v>18</v>
      </c>
      <c r="C40" s="57">
        <v>7</v>
      </c>
      <c r="D40" s="42" t="str" cm="1">
        <f t="array" ref="D40">_xlfn.IFNA(INDEX('TRA-W'!C$3:C$73,MATCH(1,(C40='TRA-W'!A$3:A$73)*(B40='TRA-W'!G$3:G$73),0)),"")</f>
        <v/>
      </c>
    </row>
    <row r="41" spans="1:4" hidden="1" x14ac:dyDescent="0.2">
      <c r="A41" s="57" t="str">
        <f t="shared" si="1"/>
        <v/>
      </c>
      <c r="B41" s="60" t="s">
        <v>18</v>
      </c>
      <c r="C41" s="57">
        <v>8</v>
      </c>
      <c r="D41" s="42" t="str" cm="1">
        <f t="array" ref="D41">_xlfn.IFNA(INDEX('TRA-W'!C$3:C$73,MATCH(1,(C41='TRA-W'!A$3:A$73)*(B41='TRA-W'!G$3:G$73),0)),"")</f>
        <v/>
      </c>
    </row>
    <row r="42" spans="1:4" hidden="1" x14ac:dyDescent="0.2">
      <c r="A42" s="57" t="str">
        <f t="shared" si="1"/>
        <v/>
      </c>
      <c r="B42" s="57" t="s">
        <v>17</v>
      </c>
      <c r="C42" s="57">
        <v>1</v>
      </c>
      <c r="D42" s="42" t="str" cm="1">
        <f t="array" ref="D42">_xlfn.IFNA(INDEX('TRA-W'!C$3:C$73,MATCH(1,(C42='TRA-W'!A$3:A$73)*(B42='TRA-W'!G$3:G$73),0)),"")</f>
        <v/>
      </c>
    </row>
    <row r="43" spans="1:4" hidden="1" x14ac:dyDescent="0.2">
      <c r="A43" s="57" t="str">
        <f t="shared" si="1"/>
        <v/>
      </c>
      <c r="B43" s="57" t="s">
        <v>17</v>
      </c>
      <c r="C43" s="57">
        <v>2</v>
      </c>
      <c r="D43" s="42" t="str" cm="1">
        <f t="array" ref="D43">_xlfn.IFNA(INDEX('TRA-W'!C$3:C$73,MATCH(1,(C43='TRA-W'!A$3:A$73)*(B43='TRA-W'!G$3:G$73),0)),"")</f>
        <v/>
      </c>
    </row>
    <row r="44" spans="1:4" hidden="1" x14ac:dyDescent="0.2">
      <c r="A44" s="57" t="str">
        <f t="shared" si="1"/>
        <v/>
      </c>
      <c r="B44" s="57" t="s">
        <v>17</v>
      </c>
      <c r="C44" s="57">
        <v>3</v>
      </c>
      <c r="D44" s="42" t="str" cm="1">
        <f t="array" ref="D44">_xlfn.IFNA(INDEX('TRA-W'!C$3:C$73,MATCH(1,(C44='TRA-W'!A$3:A$73)*(B44='TRA-W'!G$3:G$73),0)),"")</f>
        <v/>
      </c>
    </row>
    <row r="45" spans="1:4" hidden="1" x14ac:dyDescent="0.2">
      <c r="A45" s="57" t="str">
        <f t="shared" si="1"/>
        <v/>
      </c>
      <c r="B45" s="57" t="s">
        <v>17</v>
      </c>
      <c r="C45" s="57">
        <v>4</v>
      </c>
      <c r="D45" s="42" t="str" cm="1">
        <f t="array" ref="D45">_xlfn.IFNA(INDEX('TRA-W'!C$3:C$73,MATCH(1,(C45='TRA-W'!A$3:A$73)*(B45='TRA-W'!G$3:G$73),0)),"")</f>
        <v/>
      </c>
    </row>
    <row r="46" spans="1:4" hidden="1" x14ac:dyDescent="0.2">
      <c r="A46" s="57" t="str">
        <f t="shared" si="1"/>
        <v/>
      </c>
      <c r="B46" s="57" t="s">
        <v>17</v>
      </c>
      <c r="C46" s="57">
        <v>5</v>
      </c>
      <c r="D46" s="42" t="str" cm="1">
        <f t="array" ref="D46">_xlfn.IFNA(INDEX('TRA-W'!C$3:C$73,MATCH(1,(C46='TRA-W'!A$3:A$73)*(B46='TRA-W'!G$3:G$73),0)),"")</f>
        <v/>
      </c>
    </row>
    <row r="47" spans="1:4" hidden="1" x14ac:dyDescent="0.2">
      <c r="A47" s="57" t="str">
        <f t="shared" si="1"/>
        <v/>
      </c>
      <c r="B47" s="57" t="s">
        <v>17</v>
      </c>
      <c r="C47" s="57">
        <v>6</v>
      </c>
      <c r="D47" s="42" t="str" cm="1">
        <f t="array" ref="D47">_xlfn.IFNA(INDEX('TRA-W'!C$3:C$73,MATCH(1,(C47='TRA-W'!A$3:A$73)*(B47='TRA-W'!G$3:G$73),0)),"")</f>
        <v/>
      </c>
    </row>
    <row r="48" spans="1:4" hidden="1" x14ac:dyDescent="0.2">
      <c r="A48" s="57" t="str">
        <f t="shared" si="1"/>
        <v/>
      </c>
      <c r="B48" s="57" t="s">
        <v>17</v>
      </c>
      <c r="C48" s="57">
        <v>7</v>
      </c>
      <c r="D48" s="42" t="str" cm="1">
        <f t="array" ref="D48">_xlfn.IFNA(INDEX('TRA-W'!C$3:C$73,MATCH(1,(C48='TRA-W'!A$3:A$73)*(B48='TRA-W'!G$3:G$73),0)),"")</f>
        <v/>
      </c>
    </row>
    <row r="49" spans="1:4" hidden="1" x14ac:dyDescent="0.2">
      <c r="A49" s="57" t="str">
        <f t="shared" si="1"/>
        <v/>
      </c>
      <c r="B49" s="57" t="s">
        <v>17</v>
      </c>
      <c r="C49" s="57">
        <v>8</v>
      </c>
      <c r="D49" s="42" t="str" cm="1">
        <f t="array" ref="D49">_xlfn.IFNA(INDEX('TRA-W'!C$3:C$73,MATCH(1,(C49='TRA-W'!A$3:A$73)*(B49='TRA-W'!G$3:G$73),0)),"")</f>
        <v/>
      </c>
    </row>
    <row r="50" spans="1:4" hidden="1" x14ac:dyDescent="0.2">
      <c r="A50" s="57" t="str">
        <f t="shared" si="1"/>
        <v/>
      </c>
      <c r="B50" s="57" t="s">
        <v>19</v>
      </c>
      <c r="C50" s="57">
        <v>1</v>
      </c>
      <c r="D50" s="42" t="str" cm="1">
        <f t="array" ref="D50">_xlfn.IFNA(INDEX('TRA-W'!C$3:C$73,MATCH(1,(C50='TRA-W'!A$3:A$73)*(B50='TRA-W'!G$3:G$73),0)),"")</f>
        <v/>
      </c>
    </row>
    <row r="51" spans="1:4" hidden="1" x14ac:dyDescent="0.2">
      <c r="A51" s="57" t="str">
        <f t="shared" si="1"/>
        <v/>
      </c>
      <c r="B51" s="57" t="s">
        <v>19</v>
      </c>
      <c r="C51" s="57">
        <v>2</v>
      </c>
      <c r="D51" s="42" t="str" cm="1">
        <f t="array" ref="D51">_xlfn.IFNA(INDEX('TRA-W'!C$3:C$73,MATCH(1,(C51='TRA-W'!A$3:A$73)*(B51='TRA-W'!G$3:G$73),0)),"")</f>
        <v/>
      </c>
    </row>
    <row r="52" spans="1:4" hidden="1" x14ac:dyDescent="0.2">
      <c r="A52" s="57" t="str">
        <f t="shared" si="1"/>
        <v/>
      </c>
      <c r="B52" s="57" t="s">
        <v>19</v>
      </c>
      <c r="C52" s="57">
        <v>3</v>
      </c>
      <c r="D52" s="42" t="str" cm="1">
        <f t="array" ref="D52">_xlfn.IFNA(INDEX('TRA-W'!C$3:C$73,MATCH(1,(C52='TRA-W'!A$3:A$73)*(B52='TRA-W'!G$3:G$73),0)),"")</f>
        <v/>
      </c>
    </row>
    <row r="53" spans="1:4" hidden="1" x14ac:dyDescent="0.2">
      <c r="A53" s="57" t="str">
        <f t="shared" si="1"/>
        <v/>
      </c>
      <c r="B53" s="57" t="s">
        <v>19</v>
      </c>
      <c r="C53" s="57">
        <v>4</v>
      </c>
      <c r="D53" s="42" t="str" cm="1">
        <f t="array" ref="D53">_xlfn.IFNA(INDEX('TRA-W'!C$3:C$73,MATCH(1,(C53='TRA-W'!A$3:A$73)*(B53='TRA-W'!G$3:G$73),0)),"")</f>
        <v/>
      </c>
    </row>
    <row r="54" spans="1:4" hidden="1" x14ac:dyDescent="0.2">
      <c r="A54" s="57" t="str">
        <f t="shared" si="1"/>
        <v/>
      </c>
      <c r="B54" s="57" t="s">
        <v>19</v>
      </c>
      <c r="C54" s="57">
        <v>5</v>
      </c>
      <c r="D54" s="42" t="str" cm="1">
        <f t="array" ref="D54">_xlfn.IFNA(INDEX('TRA-W'!C$3:C$73,MATCH(1,(C54='TRA-W'!A$3:A$73)*(B54='TRA-W'!G$3:G$73),0)),"")</f>
        <v/>
      </c>
    </row>
    <row r="55" spans="1:4" hidden="1" x14ac:dyDescent="0.2">
      <c r="A55" s="57" t="str">
        <f t="shared" si="1"/>
        <v/>
      </c>
      <c r="B55" s="57" t="s">
        <v>19</v>
      </c>
      <c r="C55" s="57">
        <v>6</v>
      </c>
      <c r="D55" s="42" t="str" cm="1">
        <f t="array" ref="D55">_xlfn.IFNA(INDEX('TRA-W'!C$3:C$73,MATCH(1,(C55='TRA-W'!A$3:A$73)*(B55='TRA-W'!G$3:G$73),0)),"")</f>
        <v/>
      </c>
    </row>
    <row r="56" spans="1:4" hidden="1" x14ac:dyDescent="0.2">
      <c r="A56" s="57" t="str">
        <f t="shared" si="1"/>
        <v/>
      </c>
      <c r="B56" s="57" t="s">
        <v>19</v>
      </c>
      <c r="C56" s="57">
        <v>7</v>
      </c>
      <c r="D56" s="42" t="str" cm="1">
        <f t="array" ref="D56">_xlfn.IFNA(INDEX('TRA-W'!C$3:C$73,MATCH(1,(C56='TRA-W'!A$3:A$73)*(B56='TRA-W'!G$3:G$73),0)),"")</f>
        <v/>
      </c>
    </row>
    <row r="57" spans="1:4" hidden="1" x14ac:dyDescent="0.2">
      <c r="A57" s="57" t="str">
        <f t="shared" si="1"/>
        <v/>
      </c>
      <c r="B57" s="57" t="s">
        <v>19</v>
      </c>
      <c r="C57" s="57">
        <v>8</v>
      </c>
      <c r="D57" s="42" t="str" cm="1">
        <f t="array" ref="D57">_xlfn.IFNA(INDEX('TRA-W'!C$3:C$73,MATCH(1,(C57='TRA-W'!A$3:A$73)*(B57='TRA-W'!G$3:G$73),0)),"")</f>
        <v/>
      </c>
    </row>
    <row r="58" spans="1:4" x14ac:dyDescent="0.2">
      <c r="A58" s="57" t="str">
        <f t="shared" si="1"/>
        <v>TRA-W</v>
      </c>
      <c r="B58" s="57" t="s">
        <v>20</v>
      </c>
      <c r="C58" s="57">
        <v>1</v>
      </c>
      <c r="D58" s="42" t="str" cm="1">
        <f t="array" ref="D58">_xlfn.IFNA(INDEX('TRA-W'!C$3:C$73,MATCH(1,(C58='TRA-W'!A$3:A$73)*(B58='TRA-W'!G$3:G$73),0)),"")</f>
        <v>BONNE, Rielle</v>
      </c>
    </row>
    <row r="59" spans="1:4" x14ac:dyDescent="0.2">
      <c r="A59" s="57" t="str">
        <f t="shared" si="1"/>
        <v>TRA-W</v>
      </c>
      <c r="B59" s="57" t="s">
        <v>20</v>
      </c>
      <c r="C59" s="57">
        <v>2</v>
      </c>
      <c r="D59" s="42" t="str" cm="1">
        <f t="array" ref="D59">_xlfn.IFNA(INDEX('TRA-W'!C$3:C$73,MATCH(1,(C59='TRA-W'!A$3:A$73)*(B59='TRA-W'!G$3:G$73),0)),"")</f>
        <v>ROY, Anne-Jolie</v>
      </c>
    </row>
    <row r="60" spans="1:4" x14ac:dyDescent="0.2">
      <c r="A60" s="57" t="str">
        <f t="shared" si="1"/>
        <v>TRA-W</v>
      </c>
      <c r="B60" s="57" t="s">
        <v>20</v>
      </c>
      <c r="C60" s="57">
        <v>3</v>
      </c>
      <c r="D60" s="42" t="str" cm="1">
        <f t="array" ref="D60">_xlfn.IFNA(INDEX('TRA-W'!C$3:C$73,MATCH(1,(C60='TRA-W'!A$3:A$73)*(B60='TRA-W'!G$3:G$73),0)),"")</f>
        <v>JAMES, Roshni</v>
      </c>
    </row>
    <row r="61" spans="1:4" x14ac:dyDescent="0.2">
      <c r="A61" s="57" t="str">
        <f t="shared" si="1"/>
        <v>TRA-W</v>
      </c>
      <c r="B61" s="57" t="s">
        <v>20</v>
      </c>
      <c r="C61" s="57">
        <v>4</v>
      </c>
      <c r="D61" s="42" t="str" cm="1">
        <f t="array" ref="D61">_xlfn.IFNA(INDEX('TRA-W'!C$3:C$73,MATCH(1,(C61='TRA-W'!A$3:A$73)*(B61='TRA-W'!G$3:G$73),0)),"")</f>
        <v>PINNOCK, Liana</v>
      </c>
    </row>
    <row r="62" spans="1:4" hidden="1" x14ac:dyDescent="0.2">
      <c r="A62" s="57" t="str">
        <f t="shared" si="1"/>
        <v/>
      </c>
      <c r="B62" s="57" t="s">
        <v>20</v>
      </c>
      <c r="C62" s="57">
        <v>5</v>
      </c>
      <c r="D62" s="42" t="str" cm="1">
        <f t="array" ref="D62">_xlfn.IFNA(INDEX('TRA-W'!C$3:C$73,MATCH(1,(C62='TRA-W'!A$3:A$73)*(B62='TRA-W'!G$3:G$73),0)),"")</f>
        <v/>
      </c>
    </row>
    <row r="63" spans="1:4" hidden="1" x14ac:dyDescent="0.2">
      <c r="A63" s="57" t="str">
        <f t="shared" si="1"/>
        <v/>
      </c>
      <c r="B63" s="57" t="s">
        <v>20</v>
      </c>
      <c r="C63" s="57">
        <v>6</v>
      </c>
      <c r="D63" s="42" t="str" cm="1">
        <f t="array" ref="D63">_xlfn.IFNA(INDEX('TRA-W'!C$3:C$73,MATCH(1,(C63='TRA-W'!A$3:A$73)*(B63='TRA-W'!G$3:G$73),0)),"")</f>
        <v/>
      </c>
    </row>
    <row r="64" spans="1:4" hidden="1" x14ac:dyDescent="0.2">
      <c r="A64" s="57" t="str">
        <f t="shared" si="1"/>
        <v/>
      </c>
      <c r="B64" s="57" t="s">
        <v>20</v>
      </c>
      <c r="C64" s="57">
        <v>7</v>
      </c>
      <c r="D64" s="42" t="str" cm="1">
        <f t="array" ref="D64">_xlfn.IFNA(INDEX('TRA-W'!C$3:C$73,MATCH(1,(C64='TRA-W'!A$3:A$73)*(B64='TRA-W'!G$3:G$73),0)),"")</f>
        <v/>
      </c>
    </row>
    <row r="65" spans="1:4" hidden="1" x14ac:dyDescent="0.2">
      <c r="A65" s="57" t="str">
        <f t="shared" si="1"/>
        <v/>
      </c>
      <c r="B65" s="57" t="s">
        <v>20</v>
      </c>
      <c r="C65" s="57">
        <v>8</v>
      </c>
      <c r="D65" s="42" t="str" cm="1">
        <f t="array" ref="D65">_xlfn.IFNA(INDEX('TRA-W'!C$3:C$73,MATCH(1,(C65='TRA-W'!A$3:A$73)*(B65='TRA-W'!G$3:G$73),0)),"")</f>
        <v/>
      </c>
    </row>
    <row r="66" spans="1:4" hidden="1" x14ac:dyDescent="0.2">
      <c r="A66" s="56" t="str">
        <f>IF(D66="","","SYN-M")</f>
        <v/>
      </c>
      <c r="B66" s="59" t="s">
        <v>18</v>
      </c>
      <c r="C66" s="56">
        <v>1</v>
      </c>
      <c r="D66" s="41" t="str" cm="1">
        <f t="array" ref="D66">_xlfn.IFNA(INDEX('SYN-M'!C$3:C$11,MATCH(1,(C66='SYN-M'!A$3:A$11)*(B66='SYN-M'!H$3:H$11),0)),"")</f>
        <v/>
      </c>
    </row>
    <row r="67" spans="1:4" hidden="1" x14ac:dyDescent="0.2">
      <c r="A67" s="56" t="str">
        <f t="shared" ref="A67:A81" si="2">IF(D67="","","SYN-M")</f>
        <v/>
      </c>
      <c r="B67" s="59" t="s">
        <v>18</v>
      </c>
      <c r="C67" s="56">
        <v>2</v>
      </c>
      <c r="D67" s="41" t="str" cm="1">
        <f t="array" ref="D67">_xlfn.IFNA(INDEX('SYN-M'!C$3:C$11,MATCH(1,(C67='SYN-M'!A$3:A$11)*(B67='SYN-M'!H$3:H$11),0)),"")</f>
        <v/>
      </c>
    </row>
    <row r="68" spans="1:4" hidden="1" x14ac:dyDescent="0.2">
      <c r="A68" s="56" t="str">
        <f t="shared" si="2"/>
        <v/>
      </c>
      <c r="B68" s="59" t="s">
        <v>18</v>
      </c>
      <c r="C68" s="56">
        <v>3</v>
      </c>
      <c r="D68" s="41" t="str" cm="1">
        <f t="array" ref="D68">_xlfn.IFNA(INDEX('SYN-M'!C$3:C$11,MATCH(1,(C68='SYN-M'!A$3:A$11)*(B68='SYN-M'!H$3:H$11),0)),"")</f>
        <v/>
      </c>
    </row>
    <row r="69" spans="1:4" hidden="1" x14ac:dyDescent="0.2">
      <c r="A69" s="56" t="str">
        <f t="shared" si="2"/>
        <v/>
      </c>
      <c r="B69" s="59" t="s">
        <v>18</v>
      </c>
      <c r="C69" s="56">
        <v>4</v>
      </c>
      <c r="D69" s="41" t="str" cm="1">
        <f t="array" ref="D69">_xlfn.IFNA(INDEX('SYN-M'!C$3:C$11,MATCH(1,(C69='SYN-M'!A$3:A$11)*(B69='SYN-M'!H$3:H$11),0)),"")</f>
        <v/>
      </c>
    </row>
    <row r="70" spans="1:4" hidden="1" x14ac:dyDescent="0.2">
      <c r="A70" s="56" t="str">
        <f t="shared" si="2"/>
        <v/>
      </c>
      <c r="B70" s="56" t="s">
        <v>17</v>
      </c>
      <c r="C70" s="56">
        <v>1</v>
      </c>
      <c r="D70" s="41" t="str" cm="1">
        <f t="array" ref="D70">_xlfn.IFNA(INDEX('SYN-M'!C$3:C$11,MATCH(1,(C70='SYN-M'!A$3:A$11)*(B70='SYN-M'!H$3:H$11),0)),"")</f>
        <v/>
      </c>
    </row>
    <row r="71" spans="1:4" hidden="1" x14ac:dyDescent="0.2">
      <c r="A71" s="56" t="str">
        <f t="shared" si="2"/>
        <v/>
      </c>
      <c r="B71" s="56" t="s">
        <v>17</v>
      </c>
      <c r="C71" s="56">
        <v>2</v>
      </c>
      <c r="D71" s="41" t="str" cm="1">
        <f t="array" ref="D71">_xlfn.IFNA(INDEX('SYN-M'!C$3:C$11,MATCH(1,(C71='SYN-M'!A$3:A$11)*(B71='SYN-M'!H$3:H$11),0)),"")</f>
        <v/>
      </c>
    </row>
    <row r="72" spans="1:4" hidden="1" x14ac:dyDescent="0.2">
      <c r="A72" s="56" t="str">
        <f t="shared" si="2"/>
        <v/>
      </c>
      <c r="B72" s="56" t="s">
        <v>17</v>
      </c>
      <c r="C72" s="56">
        <v>3</v>
      </c>
      <c r="D72" s="41" t="str" cm="1">
        <f t="array" ref="D72">_xlfn.IFNA(INDEX('SYN-M'!C$3:C$11,MATCH(1,(C72='SYN-M'!A$3:A$11)*(B72='SYN-M'!H$3:H$11),0)),"")</f>
        <v/>
      </c>
    </row>
    <row r="73" spans="1:4" hidden="1" x14ac:dyDescent="0.2">
      <c r="A73" s="56" t="str">
        <f t="shared" si="2"/>
        <v/>
      </c>
      <c r="B73" s="56" t="s">
        <v>17</v>
      </c>
      <c r="C73" s="56">
        <v>4</v>
      </c>
      <c r="D73" s="41" t="str" cm="1">
        <f t="array" ref="D73">_xlfn.IFNA(INDEX('SYN-M'!C$3:C$11,MATCH(1,(C73='SYN-M'!A$3:A$11)*(B73='SYN-M'!H$3:H$11),0)),"")</f>
        <v/>
      </c>
    </row>
    <row r="74" spans="1:4" hidden="1" x14ac:dyDescent="0.2">
      <c r="A74" s="56" t="str">
        <f t="shared" si="2"/>
        <v/>
      </c>
      <c r="B74" s="56" t="s">
        <v>19</v>
      </c>
      <c r="C74" s="56">
        <v>1</v>
      </c>
      <c r="D74" s="41" t="str" cm="1">
        <f t="array" ref="D74">_xlfn.IFNA(INDEX('SYN-M'!C$3:C$11,MATCH(1,(C74='SYN-M'!A$3:A$11)*(B74='SYN-M'!H$3:H$11),0)),"")</f>
        <v/>
      </c>
    </row>
    <row r="75" spans="1:4" hidden="1" x14ac:dyDescent="0.2">
      <c r="A75" s="56" t="str">
        <f t="shared" si="2"/>
        <v/>
      </c>
      <c r="B75" s="56" t="s">
        <v>19</v>
      </c>
      <c r="C75" s="56">
        <v>2</v>
      </c>
      <c r="D75" s="41" t="str" cm="1">
        <f t="array" ref="D75">_xlfn.IFNA(INDEX('SYN-M'!C$3:C$11,MATCH(1,(C75='SYN-M'!A$3:A$11)*(B75='SYN-M'!H$3:H$11),0)),"")</f>
        <v/>
      </c>
    </row>
    <row r="76" spans="1:4" hidden="1" x14ac:dyDescent="0.2">
      <c r="A76" s="56" t="str">
        <f t="shared" si="2"/>
        <v/>
      </c>
      <c r="B76" s="56" t="s">
        <v>19</v>
      </c>
      <c r="C76" s="56">
        <v>3</v>
      </c>
      <c r="D76" s="41" t="str" cm="1">
        <f t="array" ref="D76">_xlfn.IFNA(INDEX('SYN-M'!C$3:C$11,MATCH(1,(C76='SYN-M'!A$3:A$11)*(B76='SYN-M'!H$3:H$11),0)),"")</f>
        <v/>
      </c>
    </row>
    <row r="77" spans="1:4" hidden="1" x14ac:dyDescent="0.2">
      <c r="A77" s="56" t="str">
        <f t="shared" si="2"/>
        <v/>
      </c>
      <c r="B77" s="56" t="s">
        <v>19</v>
      </c>
      <c r="C77" s="56">
        <v>4</v>
      </c>
      <c r="D77" s="41" t="str" cm="1">
        <f t="array" ref="D77">_xlfn.IFNA(INDEX('SYN-M'!C$3:C$11,MATCH(1,(C77='SYN-M'!A$3:A$11)*(B77='SYN-M'!H$3:H$11),0)),"")</f>
        <v/>
      </c>
    </row>
    <row r="78" spans="1:4" x14ac:dyDescent="0.2">
      <c r="A78" s="56" t="str">
        <f t="shared" si="2"/>
        <v>SYN-M</v>
      </c>
      <c r="B78" s="56" t="s">
        <v>20</v>
      </c>
      <c r="C78" s="56">
        <v>1</v>
      </c>
      <c r="D78" s="41" t="str" cm="1">
        <f t="array" ref="D78">_xlfn.IFNA(INDEX('SYN-M'!C$3:C$11,MATCH(1,(C78='SYN-M'!A$3:A$11)*(B78='SYN-M'!H$3:H$11),0)),"")</f>
        <v>CLOUTIER &amp; LEVASSEUR</v>
      </c>
    </row>
    <row r="79" spans="1:4" hidden="1" x14ac:dyDescent="0.2">
      <c r="A79" s="56" t="str">
        <f t="shared" si="2"/>
        <v/>
      </c>
      <c r="B79" s="56" t="s">
        <v>20</v>
      </c>
      <c r="C79" s="56">
        <v>2</v>
      </c>
      <c r="D79" s="41" t="str" cm="1">
        <f t="array" ref="D79">_xlfn.IFNA(INDEX('SYN-M'!C$3:C$11,MATCH(1,(C79='SYN-M'!A$3:A$11)*(B79='SYN-M'!H$3:H$11),0)),"")</f>
        <v/>
      </c>
    </row>
    <row r="80" spans="1:4" hidden="1" x14ac:dyDescent="0.2">
      <c r="A80" s="56" t="str">
        <f t="shared" si="2"/>
        <v/>
      </c>
      <c r="B80" s="56" t="s">
        <v>20</v>
      </c>
      <c r="C80" s="56">
        <v>3</v>
      </c>
      <c r="D80" s="41" t="str" cm="1">
        <f t="array" ref="D80">_xlfn.IFNA(INDEX('SYN-M'!C$3:C$11,MATCH(1,(C80='SYN-M'!A$3:A$11)*(B80='SYN-M'!H$3:H$11),0)),"")</f>
        <v/>
      </c>
    </row>
    <row r="81" spans="1:4" hidden="1" x14ac:dyDescent="0.2">
      <c r="A81" s="56" t="str">
        <f t="shared" si="2"/>
        <v/>
      </c>
      <c r="B81" s="56" t="s">
        <v>20</v>
      </c>
      <c r="C81" s="56">
        <v>4</v>
      </c>
      <c r="D81" s="41" t="str" cm="1">
        <f t="array" ref="D81">_xlfn.IFNA(INDEX('SYN-M'!C$3:C$11,MATCH(1,(C81='SYN-M'!A$3:A$11)*(B81='SYN-M'!H$3:H$11),0)),"")</f>
        <v/>
      </c>
    </row>
    <row r="82" spans="1:4" hidden="1" x14ac:dyDescent="0.2">
      <c r="A82" s="57" t="str">
        <f>IF(D82="","","SYN-W")</f>
        <v/>
      </c>
      <c r="B82" s="60" t="s">
        <v>18</v>
      </c>
      <c r="C82" s="57">
        <v>1</v>
      </c>
      <c r="D82" s="42" t="str" cm="1">
        <f t="array" ref="D82">_xlfn.IFNA(INDEX('SYN-W'!C$3:C$19,MATCH(1,(C82='SYN-W'!A$3:A$19)*(B82='SYN-W'!H$3:H$19),0)),"")</f>
        <v/>
      </c>
    </row>
    <row r="83" spans="1:4" hidden="1" x14ac:dyDescent="0.2">
      <c r="A83" s="57" t="str">
        <f t="shared" ref="A83:A97" si="3">IF(D83="","","SYN-W")</f>
        <v/>
      </c>
      <c r="B83" s="60" t="s">
        <v>18</v>
      </c>
      <c r="C83" s="57">
        <v>2</v>
      </c>
      <c r="D83" s="42" t="str" cm="1">
        <f t="array" ref="D83">_xlfn.IFNA(INDEX('SYN-W'!C$3:C$19,MATCH(1,(C83='SYN-W'!A$3:A$19)*(B83='SYN-W'!H$3:H$19),0)),"")</f>
        <v/>
      </c>
    </row>
    <row r="84" spans="1:4" hidden="1" x14ac:dyDescent="0.2">
      <c r="A84" s="57" t="str">
        <f t="shared" si="3"/>
        <v/>
      </c>
      <c r="B84" s="60" t="s">
        <v>18</v>
      </c>
      <c r="C84" s="57">
        <v>3</v>
      </c>
      <c r="D84" s="42" t="str" cm="1">
        <f t="array" ref="D84">_xlfn.IFNA(INDEX('SYN-W'!C$3:C$19,MATCH(1,(C84='SYN-W'!A$3:A$19)*(B84='SYN-W'!H$3:H$19),0)),"")</f>
        <v/>
      </c>
    </row>
    <row r="85" spans="1:4" hidden="1" x14ac:dyDescent="0.2">
      <c r="A85" s="57" t="str">
        <f t="shared" si="3"/>
        <v/>
      </c>
      <c r="B85" s="60" t="s">
        <v>18</v>
      </c>
      <c r="C85" s="57">
        <v>4</v>
      </c>
      <c r="D85" s="42" t="str" cm="1">
        <f t="array" ref="D85">_xlfn.IFNA(INDEX('SYN-W'!C$3:C$19,MATCH(1,(C85='SYN-W'!A$3:A$19)*(B85='SYN-W'!H$3:H$19),0)),"")</f>
        <v/>
      </c>
    </row>
    <row r="86" spans="1:4" hidden="1" x14ac:dyDescent="0.2">
      <c r="A86" s="57" t="str">
        <f t="shared" si="3"/>
        <v/>
      </c>
      <c r="B86" s="57" t="s">
        <v>17</v>
      </c>
      <c r="C86" s="57">
        <v>1</v>
      </c>
      <c r="D86" s="42" t="str" cm="1">
        <f t="array" ref="D86">_xlfn.IFNA(INDEX('SYN-W'!C$3:C$19,MATCH(1,(C86='SYN-W'!A$3:A$19)*(B86='SYN-W'!H$3:H$19),0)),"")</f>
        <v/>
      </c>
    </row>
    <row r="87" spans="1:4" hidden="1" x14ac:dyDescent="0.2">
      <c r="A87" s="57" t="str">
        <f t="shared" si="3"/>
        <v/>
      </c>
      <c r="B87" s="57" t="s">
        <v>17</v>
      </c>
      <c r="C87" s="57">
        <v>2</v>
      </c>
      <c r="D87" s="42" t="str" cm="1">
        <f t="array" ref="D87">_xlfn.IFNA(INDEX('SYN-W'!C$3:C$19,MATCH(1,(C87='SYN-W'!A$3:A$19)*(B87='SYN-W'!H$3:H$19),0)),"")</f>
        <v/>
      </c>
    </row>
    <row r="88" spans="1:4" hidden="1" x14ac:dyDescent="0.2">
      <c r="A88" s="57" t="str">
        <f t="shared" si="3"/>
        <v/>
      </c>
      <c r="B88" s="57" t="s">
        <v>17</v>
      </c>
      <c r="C88" s="57">
        <v>3</v>
      </c>
      <c r="D88" s="42" t="str" cm="1">
        <f t="array" ref="D88">_xlfn.IFNA(INDEX('SYN-W'!C$3:C$19,MATCH(1,(C88='SYN-W'!A$3:A$19)*(B88='SYN-W'!H$3:H$19),0)),"")</f>
        <v/>
      </c>
    </row>
    <row r="89" spans="1:4" hidden="1" x14ac:dyDescent="0.2">
      <c r="A89" s="57" t="str">
        <f t="shared" si="3"/>
        <v/>
      </c>
      <c r="B89" s="57" t="s">
        <v>17</v>
      </c>
      <c r="C89" s="57">
        <v>4</v>
      </c>
      <c r="D89" s="42" t="str" cm="1">
        <f t="array" ref="D89">_xlfn.IFNA(INDEX('SYN-W'!C$3:C$19,MATCH(1,(C89='SYN-W'!A$3:A$19)*(B89='SYN-W'!H$3:H$19),0)),"")</f>
        <v/>
      </c>
    </row>
    <row r="90" spans="1:4" hidden="1" x14ac:dyDescent="0.2">
      <c r="A90" s="57" t="str">
        <f t="shared" si="3"/>
        <v/>
      </c>
      <c r="B90" s="57" t="s">
        <v>19</v>
      </c>
      <c r="C90" s="57">
        <v>1</v>
      </c>
      <c r="D90" s="42" t="str" cm="1">
        <f t="array" ref="D90">_xlfn.IFNA(INDEX('SYN-W'!C$3:C$19,MATCH(1,(C90='SYN-W'!A$3:A$19)*(B90='SYN-W'!H$3:H$19),0)),"")</f>
        <v/>
      </c>
    </row>
    <row r="91" spans="1:4" hidden="1" x14ac:dyDescent="0.2">
      <c r="A91" s="57" t="str">
        <f t="shared" si="3"/>
        <v/>
      </c>
      <c r="B91" s="57" t="s">
        <v>19</v>
      </c>
      <c r="C91" s="57">
        <v>2</v>
      </c>
      <c r="D91" s="42" t="str" cm="1">
        <f t="array" ref="D91">_xlfn.IFNA(INDEX('SYN-W'!C$3:C$19,MATCH(1,(C91='SYN-W'!A$3:A$19)*(B91='SYN-W'!H$3:H$19),0)),"")</f>
        <v/>
      </c>
    </row>
    <row r="92" spans="1:4" hidden="1" x14ac:dyDescent="0.2">
      <c r="A92" s="57" t="str">
        <f t="shared" si="3"/>
        <v/>
      </c>
      <c r="B92" s="57" t="s">
        <v>19</v>
      </c>
      <c r="C92" s="57">
        <v>3</v>
      </c>
      <c r="D92" s="42" t="str" cm="1">
        <f t="array" ref="D92">_xlfn.IFNA(INDEX('SYN-W'!C$3:C$19,MATCH(1,(C92='SYN-W'!A$3:A$19)*(B92='SYN-W'!H$3:H$19),0)),"")</f>
        <v/>
      </c>
    </row>
    <row r="93" spans="1:4" hidden="1" x14ac:dyDescent="0.2">
      <c r="A93" s="57" t="str">
        <f t="shared" si="3"/>
        <v/>
      </c>
      <c r="B93" s="57" t="s">
        <v>19</v>
      </c>
      <c r="C93" s="57">
        <v>4</v>
      </c>
      <c r="D93" s="42" t="str" cm="1">
        <f t="array" ref="D93">_xlfn.IFNA(INDEX('SYN-W'!C$3:C$19,MATCH(1,(C93='SYN-W'!A$3:A$19)*(B93='SYN-W'!H$3:H$19),0)),"")</f>
        <v/>
      </c>
    </row>
    <row r="94" spans="1:4" x14ac:dyDescent="0.2">
      <c r="A94" s="57" t="str">
        <f t="shared" si="3"/>
        <v>SYN-W</v>
      </c>
      <c r="B94" s="57" t="s">
        <v>20</v>
      </c>
      <c r="C94" s="57">
        <v>1</v>
      </c>
      <c r="D94" s="42" t="str" cm="1">
        <f t="array" ref="D94">_xlfn.IFNA(INDEX('SYN-W'!C$3:C$19,MATCH(1,(C94='SYN-W'!A$3:A$19)*(B94='SYN-W'!H$3:H$19),0)),"")</f>
        <v>BONNE &amp; GADSBY</v>
      </c>
    </row>
    <row r="95" spans="1:4" x14ac:dyDescent="0.2">
      <c r="A95" s="57" t="str">
        <f t="shared" si="3"/>
        <v>SYN-W</v>
      </c>
      <c r="B95" s="57" t="s">
        <v>20</v>
      </c>
      <c r="C95" s="57">
        <v>2</v>
      </c>
      <c r="D95" s="42" t="str" cm="1">
        <f t="array" ref="D95">_xlfn.IFNA(INDEX('SYN-W'!C$3:C$19,MATCH(1,(C95='SYN-W'!A$3:A$19)*(B95='SYN-W'!H$3:H$19),0)),"")</f>
        <v>LEPORÉ &amp; ROY</v>
      </c>
    </row>
    <row r="96" spans="1:4" hidden="1" x14ac:dyDescent="0.2">
      <c r="A96" s="57" t="str">
        <f t="shared" si="3"/>
        <v/>
      </c>
      <c r="B96" s="57" t="s">
        <v>20</v>
      </c>
      <c r="C96" s="57">
        <v>3</v>
      </c>
      <c r="D96" s="42" t="str" cm="1">
        <f t="array" ref="D96">_xlfn.IFNA(INDEX('SYN-W'!C$3:C$19,MATCH(1,(C96='SYN-W'!A$3:A$19)*(B96='SYN-W'!H$3:H$19),0)),"")</f>
        <v/>
      </c>
    </row>
    <row r="97" spans="1:4" hidden="1" x14ac:dyDescent="0.2">
      <c r="A97" s="57" t="str">
        <f t="shared" si="3"/>
        <v/>
      </c>
      <c r="B97" s="57" t="s">
        <v>20</v>
      </c>
      <c r="C97" s="57">
        <v>4</v>
      </c>
      <c r="D97" s="42" t="str" cm="1">
        <f t="array" ref="D97">_xlfn.IFNA(INDEX('SYN-W'!C$3:C$19,MATCH(1,(C97='SYN-W'!A$3:A$19)*(B97='SYN-W'!H$3:H$19),0)),"")</f>
        <v/>
      </c>
    </row>
    <row r="98" spans="1:4" hidden="1" x14ac:dyDescent="0.2">
      <c r="A98" s="56" t="str">
        <f>IF(D98="","","DMT-M")</f>
        <v/>
      </c>
      <c r="B98" s="59" t="s">
        <v>18</v>
      </c>
      <c r="C98" s="56">
        <v>1</v>
      </c>
      <c r="D98" s="41" t="str" cm="1">
        <f t="array" ref="D98">_xlfn.IFNA(INDEX('DMT-M'!C$3:C$62,MATCH(1,(C98='DMT-M'!A$3:A$62)*(B98='DMT-M'!G$3:G$62),0)),"")</f>
        <v/>
      </c>
    </row>
    <row r="99" spans="1:4" hidden="1" x14ac:dyDescent="0.2">
      <c r="A99" s="56" t="str">
        <f t="shared" ref="A99:A129" si="4">IF(D99="","","DMT-M")</f>
        <v/>
      </c>
      <c r="B99" s="59" t="s">
        <v>18</v>
      </c>
      <c r="C99" s="56">
        <v>2</v>
      </c>
      <c r="D99" s="41" t="str" cm="1">
        <f t="array" ref="D99">_xlfn.IFNA(INDEX('DMT-M'!C$3:C$62,MATCH(1,(C99='DMT-M'!A$3:A$62)*(B99='DMT-M'!G$3:G$62),0)),"")</f>
        <v/>
      </c>
    </row>
    <row r="100" spans="1:4" hidden="1" x14ac:dyDescent="0.2">
      <c r="A100" s="56" t="str">
        <f t="shared" si="4"/>
        <v/>
      </c>
      <c r="B100" s="59" t="s">
        <v>18</v>
      </c>
      <c r="C100" s="56">
        <v>3</v>
      </c>
      <c r="D100" s="41" t="str" cm="1">
        <f t="array" ref="D100">_xlfn.IFNA(INDEX('DMT-M'!C$3:C$62,MATCH(1,(C100='DMT-M'!A$3:A$62)*(B100='DMT-M'!G$3:G$62),0)),"")</f>
        <v/>
      </c>
    </row>
    <row r="101" spans="1:4" hidden="1" x14ac:dyDescent="0.2">
      <c r="A101" s="56" t="str">
        <f t="shared" si="4"/>
        <v/>
      </c>
      <c r="B101" s="59" t="s">
        <v>18</v>
      </c>
      <c r="C101" s="56">
        <v>4</v>
      </c>
      <c r="D101" s="41" t="str" cm="1">
        <f t="array" ref="D101">_xlfn.IFNA(INDEX('DMT-M'!C$3:C$62,MATCH(1,(C101='DMT-M'!A$3:A$62)*(B101='DMT-M'!G$3:G$62),0)),"")</f>
        <v/>
      </c>
    </row>
    <row r="102" spans="1:4" hidden="1" x14ac:dyDescent="0.2">
      <c r="A102" s="56" t="str">
        <f t="shared" si="4"/>
        <v/>
      </c>
      <c r="B102" s="59" t="s">
        <v>18</v>
      </c>
      <c r="C102" s="56">
        <v>5</v>
      </c>
      <c r="D102" s="41" t="str" cm="1">
        <f t="array" ref="D102">_xlfn.IFNA(INDEX('DMT-M'!C$3:C$62,MATCH(1,(C102='DMT-M'!A$3:A$62)*(B102='DMT-M'!G$3:G$62),0)),"")</f>
        <v/>
      </c>
    </row>
    <row r="103" spans="1:4" hidden="1" x14ac:dyDescent="0.2">
      <c r="A103" s="56" t="str">
        <f t="shared" si="4"/>
        <v/>
      </c>
      <c r="B103" s="59" t="s">
        <v>18</v>
      </c>
      <c r="C103" s="56">
        <v>6</v>
      </c>
      <c r="D103" s="41" t="str" cm="1">
        <f t="array" ref="D103">_xlfn.IFNA(INDEX('DMT-M'!C$3:C$62,MATCH(1,(C103='DMT-M'!A$3:A$62)*(B103='DMT-M'!G$3:G$62),0)),"")</f>
        <v/>
      </c>
    </row>
    <row r="104" spans="1:4" hidden="1" x14ac:dyDescent="0.2">
      <c r="A104" s="56" t="str">
        <f t="shared" si="4"/>
        <v/>
      </c>
      <c r="B104" s="59" t="s">
        <v>18</v>
      </c>
      <c r="C104" s="56">
        <v>7</v>
      </c>
      <c r="D104" s="41" t="str" cm="1">
        <f t="array" ref="D104">_xlfn.IFNA(INDEX('DMT-M'!C$3:C$62,MATCH(1,(C104='DMT-M'!A$3:A$62)*(B104='DMT-M'!G$3:G$62),0)),"")</f>
        <v/>
      </c>
    </row>
    <row r="105" spans="1:4" hidden="1" x14ac:dyDescent="0.2">
      <c r="A105" s="56" t="str">
        <f t="shared" si="4"/>
        <v/>
      </c>
      <c r="B105" s="59" t="s">
        <v>18</v>
      </c>
      <c r="C105" s="56">
        <v>8</v>
      </c>
      <c r="D105" s="41" t="str" cm="1">
        <f t="array" ref="D105">_xlfn.IFNA(INDEX('DMT-M'!C$3:C$62,MATCH(1,(C105='DMT-M'!A$3:A$62)*(B105='DMT-M'!G$3:G$62),0)),"")</f>
        <v/>
      </c>
    </row>
    <row r="106" spans="1:4" hidden="1" x14ac:dyDescent="0.2">
      <c r="A106" s="56" t="str">
        <f t="shared" si="4"/>
        <v/>
      </c>
      <c r="B106" s="56" t="s">
        <v>17</v>
      </c>
      <c r="C106" s="56">
        <v>1</v>
      </c>
      <c r="D106" s="41" t="str" cm="1">
        <f t="array" ref="D106">_xlfn.IFNA(INDEX('DMT-M'!C$3:C$62,MATCH(1,(C106='DMT-M'!A$3:A$62)*(B106='DMT-M'!G$3:G$62),0)),"")</f>
        <v/>
      </c>
    </row>
    <row r="107" spans="1:4" hidden="1" x14ac:dyDescent="0.2">
      <c r="A107" s="56" t="str">
        <f t="shared" si="4"/>
        <v/>
      </c>
      <c r="B107" s="56" t="s">
        <v>17</v>
      </c>
      <c r="C107" s="56">
        <v>2</v>
      </c>
      <c r="D107" s="41" t="str" cm="1">
        <f t="array" ref="D107">_xlfn.IFNA(INDEX('DMT-M'!C$3:C$62,MATCH(1,(C107='DMT-M'!A$3:A$62)*(B107='DMT-M'!G$3:G$62),0)),"")</f>
        <v/>
      </c>
    </row>
    <row r="108" spans="1:4" hidden="1" x14ac:dyDescent="0.2">
      <c r="A108" s="56" t="str">
        <f t="shared" si="4"/>
        <v/>
      </c>
      <c r="B108" s="56" t="s">
        <v>17</v>
      </c>
      <c r="C108" s="56">
        <v>3</v>
      </c>
      <c r="D108" s="41" t="str" cm="1">
        <f t="array" ref="D108">_xlfn.IFNA(INDEX('DMT-M'!C$3:C$62,MATCH(1,(C108='DMT-M'!A$3:A$62)*(B108='DMT-M'!G$3:G$62),0)),"")</f>
        <v/>
      </c>
    </row>
    <row r="109" spans="1:4" hidden="1" x14ac:dyDescent="0.2">
      <c r="A109" s="56" t="str">
        <f t="shared" si="4"/>
        <v/>
      </c>
      <c r="B109" s="56" t="s">
        <v>17</v>
      </c>
      <c r="C109" s="56">
        <v>4</v>
      </c>
      <c r="D109" s="41" t="str" cm="1">
        <f t="array" ref="D109">_xlfn.IFNA(INDEX('DMT-M'!C$3:C$62,MATCH(1,(C109='DMT-M'!A$3:A$62)*(B109='DMT-M'!G$3:G$62),0)),"")</f>
        <v/>
      </c>
    </row>
    <row r="110" spans="1:4" hidden="1" x14ac:dyDescent="0.2">
      <c r="A110" s="56" t="str">
        <f t="shared" si="4"/>
        <v/>
      </c>
      <c r="B110" s="56" t="s">
        <v>17</v>
      </c>
      <c r="C110" s="56">
        <v>5</v>
      </c>
      <c r="D110" s="41" t="str" cm="1">
        <f t="array" ref="D110">_xlfn.IFNA(INDEX('DMT-M'!C$3:C$62,MATCH(1,(C110='DMT-M'!A$3:A$62)*(B110='DMT-M'!G$3:G$62),0)),"")</f>
        <v/>
      </c>
    </row>
    <row r="111" spans="1:4" hidden="1" x14ac:dyDescent="0.2">
      <c r="A111" s="56" t="str">
        <f t="shared" si="4"/>
        <v/>
      </c>
      <c r="B111" s="56" t="s">
        <v>17</v>
      </c>
      <c r="C111" s="56">
        <v>6</v>
      </c>
      <c r="D111" s="41" t="str" cm="1">
        <f t="array" ref="D111">_xlfn.IFNA(INDEX('DMT-M'!C$3:C$62,MATCH(1,(C111='DMT-M'!A$3:A$62)*(B111='DMT-M'!G$3:G$62),0)),"")</f>
        <v/>
      </c>
    </row>
    <row r="112" spans="1:4" hidden="1" x14ac:dyDescent="0.2">
      <c r="A112" s="56" t="str">
        <f t="shared" si="4"/>
        <v/>
      </c>
      <c r="B112" s="56" t="s">
        <v>17</v>
      </c>
      <c r="C112" s="56">
        <v>7</v>
      </c>
      <c r="D112" s="41" t="str" cm="1">
        <f t="array" ref="D112">_xlfn.IFNA(INDEX('DMT-M'!C$3:C$62,MATCH(1,(C112='DMT-M'!A$3:A$62)*(B112='DMT-M'!G$3:G$62),0)),"")</f>
        <v/>
      </c>
    </row>
    <row r="113" spans="1:4" hidden="1" x14ac:dyDescent="0.2">
      <c r="A113" s="56" t="str">
        <f t="shared" si="4"/>
        <v/>
      </c>
      <c r="B113" s="56" t="s">
        <v>17</v>
      </c>
      <c r="C113" s="56">
        <v>8</v>
      </c>
      <c r="D113" s="41" t="str" cm="1">
        <f t="array" ref="D113">_xlfn.IFNA(INDEX('DMT-M'!C$3:C$62,MATCH(1,(C113='DMT-M'!A$3:A$62)*(B113='DMT-M'!G$3:G$62),0)),"")</f>
        <v/>
      </c>
    </row>
    <row r="114" spans="1:4" x14ac:dyDescent="0.2">
      <c r="A114" s="56" t="str">
        <f t="shared" si="4"/>
        <v>DMT-M</v>
      </c>
      <c r="B114" s="56" t="s">
        <v>19</v>
      </c>
      <c r="C114" s="56">
        <v>1</v>
      </c>
      <c r="D114" s="41" t="str" cm="1">
        <f t="array" ref="D114">_xlfn.IFNA(INDEX('DMT-M'!C$3:C$62,MATCH(1,(C114='DMT-M'!A$3:A$62)*(B114='DMT-M'!G$3:G$62),0)),"")</f>
        <v>HARBO, Owen</v>
      </c>
    </row>
    <row r="115" spans="1:4" x14ac:dyDescent="0.2">
      <c r="A115" s="56" t="str">
        <f t="shared" si="4"/>
        <v>DMT-M</v>
      </c>
      <c r="B115" s="56" t="s">
        <v>19</v>
      </c>
      <c r="C115" s="56">
        <v>2</v>
      </c>
      <c r="D115" s="41" t="str" cm="1">
        <f t="array" ref="D115">_xlfn.IFNA(INDEX('DMT-M'!C$3:C$62,MATCH(1,(C115='DMT-M'!A$3:A$62)*(B115='DMT-M'!G$3:G$62),0)),"")</f>
        <v>BLOOM, Tristan</v>
      </c>
    </row>
    <row r="116" spans="1:4" x14ac:dyDescent="0.2">
      <c r="A116" s="56" t="str">
        <f t="shared" si="4"/>
        <v>DMT-M</v>
      </c>
      <c r="B116" s="56" t="s">
        <v>19</v>
      </c>
      <c r="C116" s="56">
        <v>3</v>
      </c>
      <c r="D116" s="41" t="str" cm="1">
        <f t="array" ref="D116">_xlfn.IFNA(INDEX('DMT-M'!C$3:C$62,MATCH(1,(C116='DMT-M'!A$3:A$62)*(B116='DMT-M'!G$3:G$62),0)),"")</f>
        <v>ROBERTSON, Griffyn</v>
      </c>
    </row>
    <row r="117" spans="1:4" x14ac:dyDescent="0.2">
      <c r="A117" s="56" t="str">
        <f t="shared" si="4"/>
        <v>DMT-M</v>
      </c>
      <c r="B117" s="56" t="s">
        <v>19</v>
      </c>
      <c r="C117" s="56">
        <v>4</v>
      </c>
      <c r="D117" s="41" t="str" cm="1">
        <f t="array" ref="D117">_xlfn.IFNA(INDEX('DMT-M'!C$3:C$62,MATCH(1,(C117='DMT-M'!A$3:A$62)*(B117='DMT-M'!G$3:G$62),0)),"")</f>
        <v>CYMAN, Cody</v>
      </c>
    </row>
    <row r="118" spans="1:4" hidden="1" x14ac:dyDescent="0.2">
      <c r="A118" s="56" t="str">
        <f t="shared" si="4"/>
        <v/>
      </c>
      <c r="B118" s="56" t="s">
        <v>19</v>
      </c>
      <c r="C118" s="56">
        <v>5</v>
      </c>
      <c r="D118" s="41" t="str" cm="1">
        <f t="array" ref="D118">_xlfn.IFNA(INDEX('DMT-M'!C$3:C$62,MATCH(1,(C118='DMT-M'!A$3:A$62)*(B118='DMT-M'!G$3:G$62),0)),"")</f>
        <v/>
      </c>
    </row>
    <row r="119" spans="1:4" hidden="1" x14ac:dyDescent="0.2">
      <c r="A119" s="56" t="str">
        <f t="shared" si="4"/>
        <v/>
      </c>
      <c r="B119" s="56" t="s">
        <v>19</v>
      </c>
      <c r="C119" s="56">
        <v>6</v>
      </c>
      <c r="D119" s="41" t="str" cm="1">
        <f t="array" ref="D119">_xlfn.IFNA(INDEX('DMT-M'!C$3:C$62,MATCH(1,(C119='DMT-M'!A$3:A$62)*(B119='DMT-M'!G$3:G$62),0)),"")</f>
        <v/>
      </c>
    </row>
    <row r="120" spans="1:4" hidden="1" x14ac:dyDescent="0.2">
      <c r="A120" s="56" t="str">
        <f t="shared" si="4"/>
        <v/>
      </c>
      <c r="B120" s="56" t="s">
        <v>19</v>
      </c>
      <c r="C120" s="56">
        <v>7</v>
      </c>
      <c r="D120" s="41" t="str" cm="1">
        <f t="array" ref="D120">_xlfn.IFNA(INDEX('DMT-M'!C$3:C$62,MATCH(1,(C120='DMT-M'!A$3:A$62)*(B120='DMT-M'!G$3:G$62),0)),"")</f>
        <v/>
      </c>
    </row>
    <row r="121" spans="1:4" hidden="1" x14ac:dyDescent="0.2">
      <c r="A121" s="56" t="str">
        <f t="shared" si="4"/>
        <v/>
      </c>
      <c r="B121" s="56" t="s">
        <v>19</v>
      </c>
      <c r="C121" s="56">
        <v>8</v>
      </c>
      <c r="D121" s="41" t="str" cm="1">
        <f t="array" ref="D121">_xlfn.IFNA(INDEX('DMT-M'!C$3:C$62,MATCH(1,(C121='DMT-M'!A$3:A$62)*(B121='DMT-M'!G$3:G$62),0)),"")</f>
        <v/>
      </c>
    </row>
    <row r="122" spans="1:4" x14ac:dyDescent="0.2">
      <c r="A122" s="56" t="str">
        <f t="shared" si="4"/>
        <v>DMT-M</v>
      </c>
      <c r="B122" s="56" t="s">
        <v>20</v>
      </c>
      <c r="C122" s="56">
        <v>1</v>
      </c>
      <c r="D122" s="41" t="str" cm="1">
        <f t="array" ref="D122">_xlfn.IFNA(INDEX('DMT-M'!C$3:C$62,MATCH(1,(C122='DMT-M'!A$3:A$62)*(B122='DMT-M'!G$3:G$62),0)),"")</f>
        <v>ZUREK, Nolan</v>
      </c>
    </row>
    <row r="123" spans="1:4" x14ac:dyDescent="0.2">
      <c r="A123" s="56" t="str">
        <f t="shared" si="4"/>
        <v>DMT-M</v>
      </c>
      <c r="B123" s="56" t="s">
        <v>20</v>
      </c>
      <c r="C123" s="56">
        <v>2</v>
      </c>
      <c r="D123" s="41" t="str" cm="1">
        <f t="array" ref="D123">_xlfn.IFNA(INDEX('DMT-M'!C$3:C$62,MATCH(1,(C123='DMT-M'!A$3:A$62)*(B123='DMT-M'!G$3:G$62),0)),"")</f>
        <v>BIANCHET, Anthony</v>
      </c>
    </row>
    <row r="124" spans="1:4" x14ac:dyDescent="0.2">
      <c r="A124" s="56" t="str">
        <f t="shared" si="4"/>
        <v>DMT-M</v>
      </c>
      <c r="B124" s="56" t="s">
        <v>20</v>
      </c>
      <c r="C124" s="56">
        <v>3</v>
      </c>
      <c r="D124" s="41" t="str" cm="1">
        <f t="array" ref="D124">_xlfn.IFNA(INDEX('DMT-M'!C$3:C$62,MATCH(1,(C124='DMT-M'!A$3:A$62)*(B124='DMT-M'!G$3:G$62),0)),"")</f>
        <v>MEYER, Jeremy</v>
      </c>
    </row>
    <row r="125" spans="1:4" x14ac:dyDescent="0.2">
      <c r="A125" s="56" t="str">
        <f t="shared" si="4"/>
        <v>DMT-M</v>
      </c>
      <c r="B125" s="56" t="s">
        <v>20</v>
      </c>
      <c r="C125" s="56">
        <v>4</v>
      </c>
      <c r="D125" s="41" t="str" cm="1">
        <f t="array" ref="D125">_xlfn.IFNA(INDEX('DMT-M'!C$3:C$62,MATCH(1,(C125='DMT-M'!A$3:A$62)*(B125='DMT-M'!G$3:G$62),0)),"")</f>
        <v>DYKMAN, Matvey</v>
      </c>
    </row>
    <row r="126" spans="1:4" x14ac:dyDescent="0.2">
      <c r="A126" s="56" t="str">
        <f t="shared" si="4"/>
        <v>DMT-M</v>
      </c>
      <c r="B126" s="56" t="s">
        <v>20</v>
      </c>
      <c r="C126" s="56">
        <v>5</v>
      </c>
      <c r="D126" s="41" t="str" cm="1">
        <f t="array" ref="D126">_xlfn.IFNA(INDEX('DMT-M'!C$3:C$62,MATCH(1,(C126='DMT-M'!A$3:A$62)*(B126='DMT-M'!G$3:G$62),0)),"")</f>
        <v>KLASSEN, Isaiah</v>
      </c>
    </row>
    <row r="127" spans="1:4" x14ac:dyDescent="0.2">
      <c r="A127" s="56" t="str">
        <f t="shared" si="4"/>
        <v>DMT-M</v>
      </c>
      <c r="B127" s="56" t="s">
        <v>20</v>
      </c>
      <c r="C127" s="56">
        <v>6</v>
      </c>
      <c r="D127" s="41" t="str" cm="1">
        <f t="array" ref="D127">_xlfn.IFNA(INDEX('DMT-M'!C$3:C$62,MATCH(1,(C127='DMT-M'!A$3:A$62)*(B127='DMT-M'!G$3:G$62),0)),"")</f>
        <v>VIAU, Nathan</v>
      </c>
    </row>
    <row r="128" spans="1:4" x14ac:dyDescent="0.2">
      <c r="A128" s="56" t="str">
        <f t="shared" si="4"/>
        <v>DMT-M</v>
      </c>
      <c r="B128" s="56" t="s">
        <v>20</v>
      </c>
      <c r="C128" s="56">
        <v>7</v>
      </c>
      <c r="D128" s="41" t="str" cm="1">
        <f t="array" ref="D128">_xlfn.IFNA(INDEX('DMT-M'!C$3:C$62,MATCH(1,(C128='DMT-M'!A$3:A$62)*(B128='DMT-M'!G$3:G$62),0)),"")</f>
        <v>PINSK, Benjamin</v>
      </c>
    </row>
    <row r="129" spans="1:4" x14ac:dyDescent="0.2">
      <c r="A129" s="56" t="str">
        <f t="shared" si="4"/>
        <v>DMT-M</v>
      </c>
      <c r="B129" s="56" t="s">
        <v>20</v>
      </c>
      <c r="C129" s="56">
        <v>8</v>
      </c>
      <c r="D129" s="41" t="str" cm="1">
        <f t="array" ref="D129">_xlfn.IFNA(INDEX('DMT-M'!C$3:C$62,MATCH(1,(C129='DMT-M'!A$3:A$62)*(B129='DMT-M'!G$3:G$62),0)),"")</f>
        <v>LEVASSEUR, Nathan</v>
      </c>
    </row>
    <row r="130" spans="1:4" hidden="1" x14ac:dyDescent="0.2">
      <c r="A130" s="57" t="str">
        <f>IF(D130="","","DMT-W")</f>
        <v/>
      </c>
      <c r="B130" s="60" t="s">
        <v>18</v>
      </c>
      <c r="C130" s="57">
        <v>1</v>
      </c>
      <c r="D130" s="42" t="str" cm="1">
        <f t="array" ref="D130">_xlfn.IFNA(INDEX('DMT-W'!C$3:C$68,MATCH(1,(C130='DMT-W'!A$3:A$68)*(B130='DMT-W'!G$3:G$68),0)),"")</f>
        <v/>
      </c>
    </row>
    <row r="131" spans="1:4" hidden="1" x14ac:dyDescent="0.2">
      <c r="A131" s="57" t="str">
        <f t="shared" ref="A131:A161" si="5">IF(D131="","","DMT-W")</f>
        <v/>
      </c>
      <c r="B131" s="60" t="s">
        <v>18</v>
      </c>
      <c r="C131" s="57">
        <v>2</v>
      </c>
      <c r="D131" s="42" t="str" cm="1">
        <f t="array" ref="D131">_xlfn.IFNA(INDEX('DMT-W'!C$3:C$68,MATCH(1,(C131='DMT-W'!A$3:A$68)*(B131='DMT-W'!G$3:G$68),0)),"")</f>
        <v/>
      </c>
    </row>
    <row r="132" spans="1:4" hidden="1" x14ac:dyDescent="0.2">
      <c r="A132" s="57" t="str">
        <f t="shared" si="5"/>
        <v/>
      </c>
      <c r="B132" s="60" t="s">
        <v>18</v>
      </c>
      <c r="C132" s="57">
        <v>3</v>
      </c>
      <c r="D132" s="42" t="str" cm="1">
        <f t="array" ref="D132">_xlfn.IFNA(INDEX('DMT-W'!C$3:C$68,MATCH(1,(C132='DMT-W'!A$3:A$68)*(B132='DMT-W'!G$3:G$68),0)),"")</f>
        <v/>
      </c>
    </row>
    <row r="133" spans="1:4" hidden="1" x14ac:dyDescent="0.2">
      <c r="A133" s="57" t="str">
        <f t="shared" si="5"/>
        <v/>
      </c>
      <c r="B133" s="60" t="s">
        <v>18</v>
      </c>
      <c r="C133" s="57">
        <v>4</v>
      </c>
      <c r="D133" s="42" t="str" cm="1">
        <f t="array" ref="D133">_xlfn.IFNA(INDEX('DMT-W'!C$3:C$68,MATCH(1,(C133='DMT-W'!A$3:A$68)*(B133='DMT-W'!G$3:G$68),0)),"")</f>
        <v/>
      </c>
    </row>
    <row r="134" spans="1:4" hidden="1" x14ac:dyDescent="0.2">
      <c r="A134" s="57" t="str">
        <f t="shared" si="5"/>
        <v/>
      </c>
      <c r="B134" s="60" t="s">
        <v>18</v>
      </c>
      <c r="C134" s="57">
        <v>5</v>
      </c>
      <c r="D134" s="42" t="str" cm="1">
        <f t="array" ref="D134">_xlfn.IFNA(INDEX('DMT-W'!C$3:C$68,MATCH(1,(C134='DMT-W'!A$3:A$68)*(B134='DMT-W'!G$3:G$68),0)),"")</f>
        <v/>
      </c>
    </row>
    <row r="135" spans="1:4" hidden="1" x14ac:dyDescent="0.2">
      <c r="A135" s="57" t="str">
        <f t="shared" si="5"/>
        <v/>
      </c>
      <c r="B135" s="60" t="s">
        <v>18</v>
      </c>
      <c r="C135" s="57">
        <v>6</v>
      </c>
      <c r="D135" s="42" t="str" cm="1">
        <f t="array" ref="D135">_xlfn.IFNA(INDEX('DMT-W'!C$3:C$68,MATCH(1,(C135='DMT-W'!A$3:A$68)*(B135='DMT-W'!G$3:G$68),0)),"")</f>
        <v/>
      </c>
    </row>
    <row r="136" spans="1:4" hidden="1" x14ac:dyDescent="0.2">
      <c r="A136" s="57" t="str">
        <f t="shared" si="5"/>
        <v/>
      </c>
      <c r="B136" s="60" t="s">
        <v>18</v>
      </c>
      <c r="C136" s="57">
        <v>7</v>
      </c>
      <c r="D136" s="42" t="str" cm="1">
        <f t="array" ref="D136">_xlfn.IFNA(INDEX('DMT-W'!C$3:C$68,MATCH(1,(C136='DMT-W'!A$3:A$68)*(B136='DMT-W'!G$3:G$68),0)),"")</f>
        <v/>
      </c>
    </row>
    <row r="137" spans="1:4" hidden="1" x14ac:dyDescent="0.2">
      <c r="A137" s="57" t="str">
        <f t="shared" si="5"/>
        <v/>
      </c>
      <c r="B137" s="60" t="s">
        <v>18</v>
      </c>
      <c r="C137" s="57">
        <v>8</v>
      </c>
      <c r="D137" s="42" t="str" cm="1">
        <f t="array" ref="D137">_xlfn.IFNA(INDEX('DMT-W'!C$3:C$68,MATCH(1,(C137='DMT-W'!A$3:A$68)*(B137='DMT-W'!G$3:G$68),0)),"")</f>
        <v/>
      </c>
    </row>
    <row r="138" spans="1:4" hidden="1" x14ac:dyDescent="0.2">
      <c r="A138" s="57" t="str">
        <f t="shared" si="5"/>
        <v/>
      </c>
      <c r="B138" s="57" t="s">
        <v>17</v>
      </c>
      <c r="C138" s="57">
        <v>1</v>
      </c>
      <c r="D138" s="42" t="str" cm="1">
        <f t="array" ref="D138">_xlfn.IFNA(INDEX('DMT-W'!C$3:C$68,MATCH(1,(C138='DMT-W'!A$3:A$68)*(B138='DMT-W'!G$3:G$68),0)),"")</f>
        <v/>
      </c>
    </row>
    <row r="139" spans="1:4" hidden="1" x14ac:dyDescent="0.2">
      <c r="A139" s="57" t="str">
        <f t="shared" si="5"/>
        <v/>
      </c>
      <c r="B139" s="57" t="s">
        <v>17</v>
      </c>
      <c r="C139" s="57">
        <v>2</v>
      </c>
      <c r="D139" s="42" t="str" cm="1">
        <f t="array" ref="D139">_xlfn.IFNA(INDEX('DMT-W'!C$3:C$68,MATCH(1,(C139='DMT-W'!A$3:A$68)*(B139='DMT-W'!G$3:G$68),0)),"")</f>
        <v/>
      </c>
    </row>
    <row r="140" spans="1:4" hidden="1" x14ac:dyDescent="0.2">
      <c r="A140" s="57" t="str">
        <f t="shared" si="5"/>
        <v/>
      </c>
      <c r="B140" s="57" t="s">
        <v>17</v>
      </c>
      <c r="C140" s="57">
        <v>3</v>
      </c>
      <c r="D140" s="42" t="str" cm="1">
        <f t="array" ref="D140">_xlfn.IFNA(INDEX('DMT-W'!C$3:C$68,MATCH(1,(C140='DMT-W'!A$3:A$68)*(B140='DMT-W'!G$3:G$68),0)),"")</f>
        <v/>
      </c>
    </row>
    <row r="141" spans="1:4" hidden="1" x14ac:dyDescent="0.2">
      <c r="A141" s="57" t="str">
        <f t="shared" si="5"/>
        <v/>
      </c>
      <c r="B141" s="57" t="s">
        <v>17</v>
      </c>
      <c r="C141" s="57">
        <v>4</v>
      </c>
      <c r="D141" s="42" t="str" cm="1">
        <f t="array" ref="D141">_xlfn.IFNA(INDEX('DMT-W'!C$3:C$68,MATCH(1,(C141='DMT-W'!A$3:A$68)*(B141='DMT-W'!G$3:G$68),0)),"")</f>
        <v/>
      </c>
    </row>
    <row r="142" spans="1:4" hidden="1" x14ac:dyDescent="0.2">
      <c r="A142" s="57" t="str">
        <f t="shared" si="5"/>
        <v/>
      </c>
      <c r="B142" s="57" t="s">
        <v>17</v>
      </c>
      <c r="C142" s="57">
        <v>5</v>
      </c>
      <c r="D142" s="42" t="str" cm="1">
        <f t="array" ref="D142">_xlfn.IFNA(INDEX('DMT-W'!C$3:C$68,MATCH(1,(C142='DMT-W'!A$3:A$68)*(B142='DMT-W'!G$3:G$68),0)),"")</f>
        <v/>
      </c>
    </row>
    <row r="143" spans="1:4" hidden="1" x14ac:dyDescent="0.2">
      <c r="A143" s="57" t="str">
        <f t="shared" si="5"/>
        <v/>
      </c>
      <c r="B143" s="57" t="s">
        <v>17</v>
      </c>
      <c r="C143" s="57">
        <v>6</v>
      </c>
      <c r="D143" s="42" t="str" cm="1">
        <f t="array" ref="D143">_xlfn.IFNA(INDEX('DMT-W'!C$3:C$68,MATCH(1,(C143='DMT-W'!A$3:A$68)*(B143='DMT-W'!G$3:G$68),0)),"")</f>
        <v/>
      </c>
    </row>
    <row r="144" spans="1:4" hidden="1" x14ac:dyDescent="0.2">
      <c r="A144" s="57" t="str">
        <f t="shared" si="5"/>
        <v/>
      </c>
      <c r="B144" s="57" t="s">
        <v>17</v>
      </c>
      <c r="C144" s="57">
        <v>7</v>
      </c>
      <c r="D144" s="42" t="str" cm="1">
        <f t="array" ref="D144">_xlfn.IFNA(INDEX('DMT-W'!C$3:C$68,MATCH(1,(C144='DMT-W'!A$3:A$68)*(B144='DMT-W'!G$3:G$68),0)),"")</f>
        <v/>
      </c>
    </row>
    <row r="145" spans="1:4" hidden="1" x14ac:dyDescent="0.2">
      <c r="A145" s="57" t="str">
        <f t="shared" si="5"/>
        <v/>
      </c>
      <c r="B145" s="57" t="s">
        <v>17</v>
      </c>
      <c r="C145" s="57">
        <v>8</v>
      </c>
      <c r="D145" s="42" t="str" cm="1">
        <f t="array" ref="D145">_xlfn.IFNA(INDEX('DMT-W'!C$3:C$68,MATCH(1,(C145='DMT-W'!A$3:A$68)*(B145='DMT-W'!G$3:G$68),0)),"")</f>
        <v/>
      </c>
    </row>
    <row r="146" spans="1:4" x14ac:dyDescent="0.2">
      <c r="A146" s="57" t="str">
        <f t="shared" si="5"/>
        <v>DMT-W</v>
      </c>
      <c r="B146" s="57" t="s">
        <v>19</v>
      </c>
      <c r="C146" s="57">
        <v>1</v>
      </c>
      <c r="D146" s="42" t="str" cm="1">
        <f t="array" ref="D146">_xlfn.IFNA(INDEX('DMT-W'!C$3:C$68,MATCH(1,(C146='DMT-W'!A$3:A$68)*(B146='DMT-W'!G$3:G$68),0)),"")</f>
        <v>KUZNAK, Sienna</v>
      </c>
    </row>
    <row r="147" spans="1:4" x14ac:dyDescent="0.2">
      <c r="A147" s="57" t="str">
        <f t="shared" si="5"/>
        <v>DMT-W</v>
      </c>
      <c r="B147" s="57" t="s">
        <v>19</v>
      </c>
      <c r="C147" s="57">
        <v>2</v>
      </c>
      <c r="D147" s="42" t="str" cm="1">
        <f t="array" ref="D147">_xlfn.IFNA(INDEX('DMT-W'!C$3:C$68,MATCH(1,(C147='DMT-W'!A$3:A$68)*(B147='DMT-W'!G$3:G$68),0)),"")</f>
        <v>SCHMIDT, Jordyn</v>
      </c>
    </row>
    <row r="148" spans="1:4" x14ac:dyDescent="0.2">
      <c r="A148" s="57" t="str">
        <f t="shared" si="5"/>
        <v>DMT-W</v>
      </c>
      <c r="B148" s="57" t="s">
        <v>19</v>
      </c>
      <c r="C148" s="57">
        <v>3</v>
      </c>
      <c r="D148" s="42" t="str" cm="1">
        <f t="array" ref="D148">_xlfn.IFNA(INDEX('DMT-W'!C$3:C$68,MATCH(1,(C148='DMT-W'!A$3:A$68)*(B148='DMT-W'!G$3:G$68),0)),"")</f>
        <v>KWASNIAK, Alicja</v>
      </c>
    </row>
    <row r="149" spans="1:4" hidden="1" x14ac:dyDescent="0.2">
      <c r="A149" s="57" t="str">
        <f t="shared" si="5"/>
        <v/>
      </c>
      <c r="B149" s="57" t="s">
        <v>19</v>
      </c>
      <c r="C149" s="57">
        <v>4</v>
      </c>
      <c r="D149" s="42" t="str" cm="1">
        <f t="array" ref="D149">_xlfn.IFNA(INDEX('DMT-W'!C$3:C$68,MATCH(1,(C149='DMT-W'!A$3:A$68)*(B149='DMT-W'!G$3:G$68),0)),"")</f>
        <v/>
      </c>
    </row>
    <row r="150" spans="1:4" hidden="1" x14ac:dyDescent="0.2">
      <c r="A150" s="57" t="str">
        <f t="shared" si="5"/>
        <v/>
      </c>
      <c r="B150" s="57" t="s">
        <v>19</v>
      </c>
      <c r="C150" s="57">
        <v>5</v>
      </c>
      <c r="D150" s="42" t="str" cm="1">
        <f t="array" ref="D150">_xlfn.IFNA(INDEX('DMT-W'!C$3:C$68,MATCH(1,(C150='DMT-W'!A$3:A$68)*(B150='DMT-W'!G$3:G$68),0)),"")</f>
        <v/>
      </c>
    </row>
    <row r="151" spans="1:4" hidden="1" x14ac:dyDescent="0.2">
      <c r="A151" s="57" t="str">
        <f t="shared" si="5"/>
        <v/>
      </c>
      <c r="B151" s="57" t="s">
        <v>19</v>
      </c>
      <c r="C151" s="57">
        <v>6</v>
      </c>
      <c r="D151" s="42" t="str" cm="1">
        <f t="array" ref="D151">_xlfn.IFNA(INDEX('DMT-W'!C$3:C$68,MATCH(1,(C151='DMT-W'!A$3:A$68)*(B151='DMT-W'!G$3:G$68),0)),"")</f>
        <v/>
      </c>
    </row>
    <row r="152" spans="1:4" hidden="1" x14ac:dyDescent="0.2">
      <c r="A152" s="57" t="str">
        <f t="shared" si="5"/>
        <v/>
      </c>
      <c r="B152" s="57" t="s">
        <v>19</v>
      </c>
      <c r="C152" s="57">
        <v>7</v>
      </c>
      <c r="D152" s="42" t="str" cm="1">
        <f t="array" ref="D152">_xlfn.IFNA(INDEX('DMT-W'!C$3:C$68,MATCH(1,(C152='DMT-W'!A$3:A$68)*(B152='DMT-W'!G$3:G$68),0)),"")</f>
        <v/>
      </c>
    </row>
    <row r="153" spans="1:4" hidden="1" x14ac:dyDescent="0.2">
      <c r="A153" s="57" t="str">
        <f t="shared" si="5"/>
        <v/>
      </c>
      <c r="B153" s="57" t="s">
        <v>19</v>
      </c>
      <c r="C153" s="57">
        <v>8</v>
      </c>
      <c r="D153" s="42" t="str" cm="1">
        <f t="array" ref="D153">_xlfn.IFNA(INDEX('DMT-W'!C$3:C$68,MATCH(1,(C153='DMT-W'!A$3:A$68)*(B153='DMT-W'!G$3:G$68),0)),"")</f>
        <v/>
      </c>
    </row>
    <row r="154" spans="1:4" x14ac:dyDescent="0.2">
      <c r="A154" s="57" t="str">
        <f t="shared" si="5"/>
        <v>DMT-W</v>
      </c>
      <c r="B154" s="57" t="s">
        <v>20</v>
      </c>
      <c r="C154" s="57">
        <v>1</v>
      </c>
      <c r="D154" s="42" t="str" cm="1">
        <f t="array" ref="D154">_xlfn.IFNA(INDEX('DMT-W'!C$3:C$68,MATCH(1,(C154='DMT-W'!A$3:A$68)*(B154='DMT-W'!G$3:G$68),0)),"")</f>
        <v>PHANEUF, Zoe</v>
      </c>
    </row>
    <row r="155" spans="1:4" x14ac:dyDescent="0.2">
      <c r="A155" s="57" t="str">
        <f t="shared" si="5"/>
        <v>DMT-W</v>
      </c>
      <c r="B155" s="57" t="s">
        <v>20</v>
      </c>
      <c r="C155" s="57">
        <v>2</v>
      </c>
      <c r="D155" s="42" t="str" cm="1">
        <f t="array" ref="D155">_xlfn.IFNA(INDEX('DMT-W'!C$3:C$68,MATCH(1,(C155='DMT-W'!A$3:A$68)*(B155='DMT-W'!G$3:G$68),0)),"")</f>
        <v>HOWELL, Kayla</v>
      </c>
    </row>
    <row r="156" spans="1:4" x14ac:dyDescent="0.2">
      <c r="A156" s="57" t="str">
        <f t="shared" si="5"/>
        <v>DMT-W</v>
      </c>
      <c r="B156" s="57" t="s">
        <v>20</v>
      </c>
      <c r="C156" s="57">
        <v>3</v>
      </c>
      <c r="D156" s="42" t="str" cm="1">
        <f t="array" ref="D156">_xlfn.IFNA(INDEX('DMT-W'!C$3:C$68,MATCH(1,(C156='DMT-W'!A$3:A$68)*(B156='DMT-W'!G$3:G$68),0)),"")</f>
        <v>DION, Amelia</v>
      </c>
    </row>
    <row r="157" spans="1:4" x14ac:dyDescent="0.2">
      <c r="A157" s="57" t="str">
        <f t="shared" si="5"/>
        <v>DMT-W</v>
      </c>
      <c r="B157" s="57" t="s">
        <v>20</v>
      </c>
      <c r="C157" s="57">
        <v>4</v>
      </c>
      <c r="D157" s="42" t="str" cm="1">
        <f t="array" ref="D157">_xlfn.IFNA(INDEX('DMT-W'!C$3:C$68,MATCH(1,(C157='DMT-W'!A$3:A$68)*(B157='DMT-W'!G$3:G$68),0)),"")</f>
        <v>OLSEN, Brooklyn</v>
      </c>
    </row>
    <row r="158" spans="1:4" x14ac:dyDescent="0.2">
      <c r="A158" s="57" t="str">
        <f t="shared" si="5"/>
        <v>DMT-W</v>
      </c>
      <c r="B158" s="57" t="s">
        <v>20</v>
      </c>
      <c r="C158" s="57">
        <v>5</v>
      </c>
      <c r="D158" s="42" t="str" cm="1">
        <f t="array" ref="D158">_xlfn.IFNA(INDEX('DMT-W'!C$3:C$68,MATCH(1,(C158='DMT-W'!A$3:A$68)*(B158='DMT-W'!G$3:G$68),0)),"")</f>
        <v>FROHNSDORF, Mia</v>
      </c>
    </row>
    <row r="159" spans="1:4" x14ac:dyDescent="0.2">
      <c r="A159" s="57" t="str">
        <f t="shared" si="5"/>
        <v>DMT-W</v>
      </c>
      <c r="B159" s="57" t="s">
        <v>20</v>
      </c>
      <c r="C159" s="57">
        <v>6</v>
      </c>
      <c r="D159" s="42" t="str" cm="1">
        <f t="array" ref="D159">_xlfn.IFNA(INDEX('DMT-W'!C$3:C$68,MATCH(1,(C159='DMT-W'!A$3:A$68)*(B159='DMT-W'!G$3:G$68),0)),"")</f>
        <v>JACKSON, Claire</v>
      </c>
    </row>
    <row r="160" spans="1:4" hidden="1" x14ac:dyDescent="0.2">
      <c r="A160" s="57" t="str">
        <f t="shared" si="5"/>
        <v/>
      </c>
      <c r="B160" s="57" t="s">
        <v>20</v>
      </c>
      <c r="C160" s="57">
        <v>7</v>
      </c>
      <c r="D160" s="42" t="str" cm="1">
        <f t="array" ref="D160">_xlfn.IFNA(INDEX('DMT-W'!C$3:C$68,MATCH(1,(C160='DMT-W'!A$3:A$68)*(B160='DMT-W'!G$3:G$68),0)),"")</f>
        <v/>
      </c>
    </row>
    <row r="161" spans="1:4" hidden="1" x14ac:dyDescent="0.2">
      <c r="A161" s="57" t="str">
        <f t="shared" si="5"/>
        <v/>
      </c>
      <c r="B161" s="57" t="s">
        <v>20</v>
      </c>
      <c r="C161" s="57">
        <v>8</v>
      </c>
      <c r="D161" s="42" t="str" cm="1">
        <f t="array" ref="D161">_xlfn.IFNA(INDEX('DMT-W'!C$3:C$68,MATCH(1,(C161='DMT-W'!A$3:A$68)*(B161='DMT-W'!G$3:G$68),0)),"")</f>
        <v/>
      </c>
    </row>
    <row r="162" spans="1:4" hidden="1" x14ac:dyDescent="0.2">
      <c r="A162" s="56" t="str">
        <f>IF(D162="","","TUM-M")</f>
        <v/>
      </c>
      <c r="B162" s="59" t="s">
        <v>18</v>
      </c>
      <c r="C162" s="56">
        <v>1</v>
      </c>
      <c r="D162" s="41" t="str" cm="1">
        <f t="array" ref="D162">_xlfn.IFNA(INDEX('TUM-M'!C$3:C$29,MATCH(1,(C162='TUM-M'!A$3:A$29)*(B162='TUM-M'!G$3:G$29),0)),"")</f>
        <v/>
      </c>
    </row>
    <row r="163" spans="1:4" hidden="1" x14ac:dyDescent="0.2">
      <c r="A163" s="56" t="str">
        <f t="shared" ref="A163:A193" si="6">IF(D163="","","TUM-M")</f>
        <v/>
      </c>
      <c r="B163" s="59" t="s">
        <v>18</v>
      </c>
      <c r="C163" s="56">
        <v>2</v>
      </c>
      <c r="D163" s="41" t="str" cm="1">
        <f t="array" ref="D163">_xlfn.IFNA(INDEX('TUM-M'!C$3:C$29,MATCH(1,(C163='TUM-M'!A$3:A$29)*(B163='TUM-M'!G$3:G$29),0)),"")</f>
        <v/>
      </c>
    </row>
    <row r="164" spans="1:4" hidden="1" x14ac:dyDescent="0.2">
      <c r="A164" s="56" t="str">
        <f t="shared" si="6"/>
        <v/>
      </c>
      <c r="B164" s="59" t="s">
        <v>18</v>
      </c>
      <c r="C164" s="56">
        <v>3</v>
      </c>
      <c r="D164" s="41" t="str" cm="1">
        <f t="array" ref="D164">_xlfn.IFNA(INDEX('TUM-M'!C$3:C$29,MATCH(1,(C164='TUM-M'!A$3:A$29)*(B164='TUM-M'!G$3:G$29),0)),"")</f>
        <v/>
      </c>
    </row>
    <row r="165" spans="1:4" hidden="1" x14ac:dyDescent="0.2">
      <c r="A165" s="56" t="str">
        <f t="shared" si="6"/>
        <v/>
      </c>
      <c r="B165" s="59" t="s">
        <v>18</v>
      </c>
      <c r="C165" s="56">
        <v>4</v>
      </c>
      <c r="D165" s="41" t="str" cm="1">
        <f t="array" ref="D165">_xlfn.IFNA(INDEX('TUM-M'!C$3:C$29,MATCH(1,(C165='TUM-M'!A$3:A$29)*(B165='TUM-M'!G$3:G$29),0)),"")</f>
        <v/>
      </c>
    </row>
    <row r="166" spans="1:4" hidden="1" x14ac:dyDescent="0.2">
      <c r="A166" s="56" t="str">
        <f t="shared" si="6"/>
        <v/>
      </c>
      <c r="B166" s="59" t="s">
        <v>18</v>
      </c>
      <c r="C166" s="56">
        <v>5</v>
      </c>
      <c r="D166" s="41" t="str" cm="1">
        <f t="array" ref="D166">_xlfn.IFNA(INDEX('TUM-M'!C$3:C$29,MATCH(1,(C166='TUM-M'!A$3:A$29)*(B166='TUM-M'!G$3:G$29),0)),"")</f>
        <v/>
      </c>
    </row>
    <row r="167" spans="1:4" hidden="1" x14ac:dyDescent="0.2">
      <c r="A167" s="56" t="str">
        <f t="shared" si="6"/>
        <v/>
      </c>
      <c r="B167" s="59" t="s">
        <v>18</v>
      </c>
      <c r="C167" s="56">
        <v>6</v>
      </c>
      <c r="D167" s="41" t="str" cm="1">
        <f t="array" ref="D167">_xlfn.IFNA(INDEX('TUM-M'!C$3:C$29,MATCH(1,(C167='TUM-M'!A$3:A$29)*(B167='TUM-M'!G$3:G$29),0)),"")</f>
        <v/>
      </c>
    </row>
    <row r="168" spans="1:4" hidden="1" x14ac:dyDescent="0.2">
      <c r="A168" s="56" t="str">
        <f t="shared" si="6"/>
        <v/>
      </c>
      <c r="B168" s="59" t="s">
        <v>18</v>
      </c>
      <c r="C168" s="56">
        <v>7</v>
      </c>
      <c r="D168" s="41" t="str" cm="1">
        <f t="array" ref="D168">_xlfn.IFNA(INDEX('TUM-M'!C$3:C$29,MATCH(1,(C168='TUM-M'!A$3:A$29)*(B168='TUM-M'!G$3:G$29),0)),"")</f>
        <v/>
      </c>
    </row>
    <row r="169" spans="1:4" hidden="1" x14ac:dyDescent="0.2">
      <c r="A169" s="56" t="str">
        <f t="shared" si="6"/>
        <v/>
      </c>
      <c r="B169" s="59" t="s">
        <v>18</v>
      </c>
      <c r="C169" s="56">
        <v>8</v>
      </c>
      <c r="D169" s="41" t="str" cm="1">
        <f t="array" ref="D169">_xlfn.IFNA(INDEX('TUM-M'!C$3:C$29,MATCH(1,(C169='TUM-M'!A$3:A$29)*(B169='TUM-M'!G$3:G$29),0)),"")</f>
        <v/>
      </c>
    </row>
    <row r="170" spans="1:4" hidden="1" x14ac:dyDescent="0.2">
      <c r="A170" s="56" t="str">
        <f t="shared" si="6"/>
        <v/>
      </c>
      <c r="B170" s="56" t="s">
        <v>17</v>
      </c>
      <c r="C170" s="56">
        <v>1</v>
      </c>
      <c r="D170" s="41" t="str" cm="1">
        <f t="array" ref="D170">_xlfn.IFNA(INDEX('TUM-M'!C$3:C$29,MATCH(1,(C170='TUM-M'!A$3:A$29)*(B170='TUM-M'!G$3:G$29),0)),"")</f>
        <v/>
      </c>
    </row>
    <row r="171" spans="1:4" hidden="1" x14ac:dyDescent="0.2">
      <c r="A171" s="56" t="str">
        <f t="shared" si="6"/>
        <v/>
      </c>
      <c r="B171" s="56" t="s">
        <v>17</v>
      </c>
      <c r="C171" s="56">
        <v>2</v>
      </c>
      <c r="D171" s="41" t="str" cm="1">
        <f t="array" ref="D171">_xlfn.IFNA(INDEX('TUM-M'!C$3:C$29,MATCH(1,(C171='TUM-M'!A$3:A$29)*(B171='TUM-M'!G$3:G$29),0)),"")</f>
        <v/>
      </c>
    </row>
    <row r="172" spans="1:4" hidden="1" x14ac:dyDescent="0.2">
      <c r="A172" s="56" t="str">
        <f t="shared" si="6"/>
        <v/>
      </c>
      <c r="B172" s="56" t="s">
        <v>17</v>
      </c>
      <c r="C172" s="56">
        <v>3</v>
      </c>
      <c r="D172" s="41" t="str" cm="1">
        <f t="array" ref="D172">_xlfn.IFNA(INDEX('TUM-M'!C$3:C$29,MATCH(1,(C172='TUM-M'!A$3:A$29)*(B172='TUM-M'!G$3:G$29),0)),"")</f>
        <v/>
      </c>
    </row>
    <row r="173" spans="1:4" hidden="1" x14ac:dyDescent="0.2">
      <c r="A173" s="56" t="str">
        <f t="shared" si="6"/>
        <v/>
      </c>
      <c r="B173" s="56" t="s">
        <v>17</v>
      </c>
      <c r="C173" s="56">
        <v>4</v>
      </c>
      <c r="D173" s="41" t="str" cm="1">
        <f t="array" ref="D173">_xlfn.IFNA(INDEX('TUM-M'!C$3:C$29,MATCH(1,(C173='TUM-M'!A$3:A$29)*(B173='TUM-M'!G$3:G$29),0)),"")</f>
        <v/>
      </c>
    </row>
    <row r="174" spans="1:4" hidden="1" x14ac:dyDescent="0.2">
      <c r="A174" s="56" t="str">
        <f t="shared" si="6"/>
        <v/>
      </c>
      <c r="B174" s="56" t="s">
        <v>17</v>
      </c>
      <c r="C174" s="56">
        <v>5</v>
      </c>
      <c r="D174" s="41" t="str" cm="1">
        <f t="array" ref="D174">_xlfn.IFNA(INDEX('TUM-M'!C$3:C$29,MATCH(1,(C174='TUM-M'!A$3:A$29)*(B174='TUM-M'!G$3:G$29),0)),"")</f>
        <v/>
      </c>
    </row>
    <row r="175" spans="1:4" hidden="1" x14ac:dyDescent="0.2">
      <c r="A175" s="56" t="str">
        <f t="shared" si="6"/>
        <v/>
      </c>
      <c r="B175" s="56" t="s">
        <v>17</v>
      </c>
      <c r="C175" s="56">
        <v>6</v>
      </c>
      <c r="D175" s="41" t="str" cm="1">
        <f t="array" ref="D175">_xlfn.IFNA(INDEX('TUM-M'!C$3:C$29,MATCH(1,(C175='TUM-M'!A$3:A$29)*(B175='TUM-M'!G$3:G$29),0)),"")</f>
        <v/>
      </c>
    </row>
    <row r="176" spans="1:4" hidden="1" x14ac:dyDescent="0.2">
      <c r="A176" s="56" t="str">
        <f t="shared" si="6"/>
        <v/>
      </c>
      <c r="B176" s="56" t="s">
        <v>17</v>
      </c>
      <c r="C176" s="56">
        <v>7</v>
      </c>
      <c r="D176" s="41" t="str" cm="1">
        <f t="array" ref="D176">_xlfn.IFNA(INDEX('TUM-M'!C$3:C$29,MATCH(1,(C176='TUM-M'!A$3:A$29)*(B176='TUM-M'!G$3:G$29),0)),"")</f>
        <v/>
      </c>
    </row>
    <row r="177" spans="1:4" hidden="1" x14ac:dyDescent="0.2">
      <c r="A177" s="56" t="str">
        <f t="shared" si="6"/>
        <v/>
      </c>
      <c r="B177" s="56" t="s">
        <v>17</v>
      </c>
      <c r="C177" s="56">
        <v>8</v>
      </c>
      <c r="D177" s="41" t="str" cm="1">
        <f t="array" ref="D177">_xlfn.IFNA(INDEX('TUM-M'!C$3:C$29,MATCH(1,(C177='TUM-M'!A$3:A$29)*(B177='TUM-M'!G$3:G$29),0)),"")</f>
        <v/>
      </c>
    </row>
    <row r="178" spans="1:4" hidden="1" x14ac:dyDescent="0.2">
      <c r="A178" s="56" t="str">
        <f t="shared" si="6"/>
        <v/>
      </c>
      <c r="B178" s="56" t="s">
        <v>19</v>
      </c>
      <c r="C178" s="56">
        <v>1</v>
      </c>
      <c r="D178" s="41" t="str" cm="1">
        <f t="array" ref="D178">_xlfn.IFNA(INDEX('TUM-M'!C$3:C$29,MATCH(1,(C178='TUM-M'!A$3:A$29)*(B178='TUM-M'!G$3:G$29),0)),"")</f>
        <v/>
      </c>
    </row>
    <row r="179" spans="1:4" hidden="1" x14ac:dyDescent="0.2">
      <c r="A179" s="56" t="str">
        <f t="shared" si="6"/>
        <v/>
      </c>
      <c r="B179" s="56" t="s">
        <v>19</v>
      </c>
      <c r="C179" s="56">
        <v>2</v>
      </c>
      <c r="D179" s="41" t="str" cm="1">
        <f t="array" ref="D179">_xlfn.IFNA(INDEX('TUM-M'!C$3:C$29,MATCH(1,(C179='TUM-M'!A$3:A$29)*(B179='TUM-M'!G$3:G$29),0)),"")</f>
        <v/>
      </c>
    </row>
    <row r="180" spans="1:4" hidden="1" x14ac:dyDescent="0.2">
      <c r="A180" s="56" t="str">
        <f t="shared" si="6"/>
        <v/>
      </c>
      <c r="B180" s="56" t="s">
        <v>19</v>
      </c>
      <c r="C180" s="56">
        <v>3</v>
      </c>
      <c r="D180" s="41" t="str" cm="1">
        <f t="array" ref="D180">_xlfn.IFNA(INDEX('TUM-M'!C$3:C$29,MATCH(1,(C180='TUM-M'!A$3:A$29)*(B180='TUM-M'!G$3:G$29),0)),"")</f>
        <v/>
      </c>
    </row>
    <row r="181" spans="1:4" hidden="1" x14ac:dyDescent="0.2">
      <c r="A181" s="56" t="str">
        <f t="shared" si="6"/>
        <v/>
      </c>
      <c r="B181" s="56" t="s">
        <v>19</v>
      </c>
      <c r="C181" s="56">
        <v>4</v>
      </c>
      <c r="D181" s="41" t="str" cm="1">
        <f t="array" ref="D181">_xlfn.IFNA(INDEX('TUM-M'!C$3:C$29,MATCH(1,(C181='TUM-M'!A$3:A$29)*(B181='TUM-M'!G$3:G$29),0)),"")</f>
        <v/>
      </c>
    </row>
    <row r="182" spans="1:4" hidden="1" x14ac:dyDescent="0.2">
      <c r="A182" s="56" t="str">
        <f t="shared" si="6"/>
        <v/>
      </c>
      <c r="B182" s="56" t="s">
        <v>19</v>
      </c>
      <c r="C182" s="56">
        <v>5</v>
      </c>
      <c r="D182" s="41" t="str" cm="1">
        <f t="array" ref="D182">_xlfn.IFNA(INDEX('TUM-M'!C$3:C$29,MATCH(1,(C182='TUM-M'!A$3:A$29)*(B182='TUM-M'!G$3:G$29),0)),"")</f>
        <v/>
      </c>
    </row>
    <row r="183" spans="1:4" hidden="1" x14ac:dyDescent="0.2">
      <c r="A183" s="56" t="str">
        <f t="shared" si="6"/>
        <v/>
      </c>
      <c r="B183" s="56" t="s">
        <v>19</v>
      </c>
      <c r="C183" s="56">
        <v>6</v>
      </c>
      <c r="D183" s="41" t="str" cm="1">
        <f t="array" ref="D183">_xlfn.IFNA(INDEX('TUM-M'!C$3:C$29,MATCH(1,(C183='TUM-M'!A$3:A$29)*(B183='TUM-M'!G$3:G$29),0)),"")</f>
        <v/>
      </c>
    </row>
    <row r="184" spans="1:4" hidden="1" x14ac:dyDescent="0.2">
      <c r="A184" s="56" t="str">
        <f t="shared" si="6"/>
        <v/>
      </c>
      <c r="B184" s="56" t="s">
        <v>19</v>
      </c>
      <c r="C184" s="56">
        <v>7</v>
      </c>
      <c r="D184" s="41" t="str" cm="1">
        <f t="array" ref="D184">_xlfn.IFNA(INDEX('TUM-M'!C$3:C$29,MATCH(1,(C184='TUM-M'!A$3:A$29)*(B184='TUM-M'!G$3:G$29),0)),"")</f>
        <v/>
      </c>
    </row>
    <row r="185" spans="1:4" hidden="1" x14ac:dyDescent="0.2">
      <c r="A185" s="56" t="str">
        <f t="shared" si="6"/>
        <v/>
      </c>
      <c r="B185" s="56" t="s">
        <v>19</v>
      </c>
      <c r="C185" s="56">
        <v>8</v>
      </c>
      <c r="D185" s="41" t="str" cm="1">
        <f t="array" ref="D185">_xlfn.IFNA(INDEX('TUM-M'!C$3:C$29,MATCH(1,(C185='TUM-M'!A$3:A$29)*(B185='TUM-M'!G$3:G$29),0)),"")</f>
        <v/>
      </c>
    </row>
    <row r="186" spans="1:4" x14ac:dyDescent="0.2">
      <c r="A186" s="56" t="str">
        <f t="shared" si="6"/>
        <v>TUM-M</v>
      </c>
      <c r="B186" s="56" t="s">
        <v>20</v>
      </c>
      <c r="C186" s="56">
        <v>1</v>
      </c>
      <c r="D186" s="41" t="str" cm="1">
        <f t="array" ref="D186">_xlfn.IFNA(INDEX('TUM-M'!C$3:C$29,MATCH(1,(C186='TUM-M'!A$3:A$29)*(B186='TUM-M'!G$3:G$29),0)),"")</f>
        <v>MALEK, Philo</v>
      </c>
    </row>
    <row r="187" spans="1:4" x14ac:dyDescent="0.2">
      <c r="A187" s="56" t="str">
        <f t="shared" si="6"/>
        <v>TUM-M</v>
      </c>
      <c r="B187" s="56" t="s">
        <v>20</v>
      </c>
      <c r="C187" s="56">
        <v>2</v>
      </c>
      <c r="D187" s="41" t="str" cm="1">
        <f t="array" ref="D187">_xlfn.IFNA(INDEX('TUM-M'!C$3:C$29,MATCH(1,(C187='TUM-M'!A$3:A$29)*(B187='TUM-M'!G$3:G$29),0)),"")</f>
        <v>STANNARD, Adam</v>
      </c>
    </row>
    <row r="188" spans="1:4" x14ac:dyDescent="0.2">
      <c r="A188" s="56" t="str">
        <f t="shared" si="6"/>
        <v>TUM-M</v>
      </c>
      <c r="B188" s="56" t="s">
        <v>20</v>
      </c>
      <c r="C188" s="56">
        <v>3</v>
      </c>
      <c r="D188" s="41" t="str" cm="1">
        <f t="array" ref="D188">_xlfn.IFNA(INDEX('TUM-M'!C$3:C$29,MATCH(1,(C188='TUM-M'!A$3:A$29)*(B188='TUM-M'!G$3:G$29),0)),"")</f>
        <v>CANUEL, Victor</v>
      </c>
    </row>
    <row r="189" spans="1:4" x14ac:dyDescent="0.2">
      <c r="A189" s="56" t="str">
        <f t="shared" si="6"/>
        <v>TUM-M</v>
      </c>
      <c r="B189" s="56" t="s">
        <v>20</v>
      </c>
      <c r="C189" s="56">
        <v>4</v>
      </c>
      <c r="D189" s="41" t="str" cm="1">
        <f t="array" ref="D189">_xlfn.IFNA(INDEX('TUM-M'!C$3:C$29,MATCH(1,(C189='TUM-M'!A$3:A$29)*(B189='TUM-M'!G$3:G$29),0)),"")</f>
        <v>NEUFELD, Simon</v>
      </c>
    </row>
    <row r="190" spans="1:4" x14ac:dyDescent="0.2">
      <c r="A190" s="56" t="str">
        <f t="shared" si="6"/>
        <v>TUM-M</v>
      </c>
      <c r="B190" s="56" t="s">
        <v>20</v>
      </c>
      <c r="C190" s="56">
        <v>5</v>
      </c>
      <c r="D190" s="41" t="str" cm="1">
        <f t="array" ref="D190">_xlfn.IFNA(INDEX('TUM-M'!C$3:C$29,MATCH(1,(C190='TUM-M'!A$3:A$29)*(B190='TUM-M'!G$3:G$29),0)),"")</f>
        <v>MOORE, Riley</v>
      </c>
    </row>
    <row r="191" spans="1:4" x14ac:dyDescent="0.2">
      <c r="A191" s="56" t="str">
        <f t="shared" si="6"/>
        <v>TUM-M</v>
      </c>
      <c r="B191" s="56" t="s">
        <v>20</v>
      </c>
      <c r="C191" s="56">
        <v>6</v>
      </c>
      <c r="D191" s="41" t="str" cm="1">
        <f t="array" ref="D191">_xlfn.IFNA(INDEX('TUM-M'!C$3:C$29,MATCH(1,(C191='TUM-M'!A$3:A$29)*(B191='TUM-M'!G$3:G$29),0)),"")</f>
        <v>ZUREK, Nolan</v>
      </c>
    </row>
    <row r="192" spans="1:4" x14ac:dyDescent="0.2">
      <c r="A192" s="56" t="str">
        <f t="shared" si="6"/>
        <v>TUM-M</v>
      </c>
      <c r="B192" s="56" t="s">
        <v>20</v>
      </c>
      <c r="C192" s="56">
        <v>7</v>
      </c>
      <c r="D192" s="41" t="str" cm="1">
        <f t="array" ref="D192">_xlfn.IFNA(INDEX('TUM-M'!C$3:C$29,MATCH(1,(C192='TUM-M'!A$3:A$29)*(B192='TUM-M'!G$3:G$29),0)),"")</f>
        <v>VIAU, Nathan</v>
      </c>
    </row>
    <row r="193" spans="1:4" hidden="1" x14ac:dyDescent="0.2">
      <c r="A193" s="56" t="str">
        <f t="shared" si="6"/>
        <v/>
      </c>
      <c r="B193" s="56" t="s">
        <v>20</v>
      </c>
      <c r="C193" s="56">
        <v>8</v>
      </c>
      <c r="D193" s="41" t="str" cm="1">
        <f t="array" ref="D193">_xlfn.IFNA(INDEX('TUM-M'!C$3:C$29,MATCH(1,(C193='TUM-M'!A$3:A$29)*(B193='TUM-M'!G$3:G$29),0)),"")</f>
        <v/>
      </c>
    </row>
    <row r="194" spans="1:4" hidden="1" x14ac:dyDescent="0.2">
      <c r="A194" s="57" t="str">
        <f>IF(D194="","","TUM-W")</f>
        <v/>
      </c>
      <c r="B194" s="60" t="s">
        <v>18</v>
      </c>
      <c r="C194" s="57">
        <v>1</v>
      </c>
      <c r="D194" s="42" t="str" cm="1">
        <f t="array" ref="D194">_xlfn.IFNA(INDEX('TUM-W'!C$3:C$44,MATCH(1,(C194='TUM-W'!A$3:A$44)*(B194='TUM-W'!G$3:G$44),0)),"")</f>
        <v/>
      </c>
    </row>
    <row r="195" spans="1:4" hidden="1" x14ac:dyDescent="0.2">
      <c r="A195" s="57" t="str">
        <f t="shared" ref="A195:A225" si="7">IF(D195="","","TUM-W")</f>
        <v/>
      </c>
      <c r="B195" s="60" t="s">
        <v>18</v>
      </c>
      <c r="C195" s="57">
        <v>2</v>
      </c>
      <c r="D195" s="42" t="str" cm="1">
        <f t="array" ref="D195">_xlfn.IFNA(INDEX('TUM-W'!C$3:C$44,MATCH(1,(C195='TUM-W'!A$3:A$44)*(B195='TUM-W'!G$3:G$44),0)),"")</f>
        <v/>
      </c>
    </row>
    <row r="196" spans="1:4" hidden="1" x14ac:dyDescent="0.2">
      <c r="A196" s="57" t="str">
        <f t="shared" si="7"/>
        <v/>
      </c>
      <c r="B196" s="60" t="s">
        <v>18</v>
      </c>
      <c r="C196" s="57">
        <v>3</v>
      </c>
      <c r="D196" s="42" t="str" cm="1">
        <f t="array" ref="D196">_xlfn.IFNA(INDEX('TUM-W'!C$3:C$44,MATCH(1,(C196='TUM-W'!A$3:A$44)*(B196='TUM-W'!G$3:G$44),0)),"")</f>
        <v/>
      </c>
    </row>
    <row r="197" spans="1:4" hidden="1" x14ac:dyDescent="0.2">
      <c r="A197" s="57" t="str">
        <f t="shared" si="7"/>
        <v/>
      </c>
      <c r="B197" s="60" t="s">
        <v>18</v>
      </c>
      <c r="C197" s="57">
        <v>4</v>
      </c>
      <c r="D197" s="42" t="str" cm="1">
        <f t="array" ref="D197">_xlfn.IFNA(INDEX('TUM-W'!C$3:C$44,MATCH(1,(C197='TUM-W'!A$3:A$44)*(B197='TUM-W'!G$3:G$44),0)),"")</f>
        <v/>
      </c>
    </row>
    <row r="198" spans="1:4" hidden="1" x14ac:dyDescent="0.2">
      <c r="A198" s="57" t="str">
        <f t="shared" si="7"/>
        <v/>
      </c>
      <c r="B198" s="60" t="s">
        <v>18</v>
      </c>
      <c r="C198" s="57">
        <v>5</v>
      </c>
      <c r="D198" s="42" t="str" cm="1">
        <f t="array" ref="D198">_xlfn.IFNA(INDEX('TUM-W'!C$3:C$44,MATCH(1,(C198='TUM-W'!A$3:A$44)*(B198='TUM-W'!G$3:G$44),0)),"")</f>
        <v/>
      </c>
    </row>
    <row r="199" spans="1:4" hidden="1" x14ac:dyDescent="0.2">
      <c r="A199" s="57" t="str">
        <f t="shared" si="7"/>
        <v/>
      </c>
      <c r="B199" s="60" t="s">
        <v>18</v>
      </c>
      <c r="C199" s="57">
        <v>6</v>
      </c>
      <c r="D199" s="42" t="str" cm="1">
        <f t="array" ref="D199">_xlfn.IFNA(INDEX('TUM-W'!C$3:C$44,MATCH(1,(C199='TUM-W'!A$3:A$44)*(B199='TUM-W'!G$3:G$44),0)),"")</f>
        <v/>
      </c>
    </row>
    <row r="200" spans="1:4" hidden="1" x14ac:dyDescent="0.2">
      <c r="A200" s="57" t="str">
        <f t="shared" si="7"/>
        <v/>
      </c>
      <c r="B200" s="60" t="s">
        <v>18</v>
      </c>
      <c r="C200" s="57">
        <v>7</v>
      </c>
      <c r="D200" s="42" t="str" cm="1">
        <f t="array" ref="D200">_xlfn.IFNA(INDEX('TUM-W'!C$3:C$44,MATCH(1,(C200='TUM-W'!A$3:A$44)*(B200='TUM-W'!G$3:G$44),0)),"")</f>
        <v/>
      </c>
    </row>
    <row r="201" spans="1:4" hidden="1" x14ac:dyDescent="0.2">
      <c r="A201" s="57" t="str">
        <f t="shared" si="7"/>
        <v/>
      </c>
      <c r="B201" s="60" t="s">
        <v>18</v>
      </c>
      <c r="C201" s="57">
        <v>8</v>
      </c>
      <c r="D201" s="42" t="str" cm="1">
        <f t="array" ref="D201">_xlfn.IFNA(INDEX('TUM-W'!C$3:C$44,MATCH(1,(C201='TUM-W'!A$3:A$44)*(B201='TUM-W'!G$3:G$44),0)),"")</f>
        <v/>
      </c>
    </row>
    <row r="202" spans="1:4" hidden="1" x14ac:dyDescent="0.2">
      <c r="A202" s="57" t="str">
        <f t="shared" si="7"/>
        <v/>
      </c>
      <c r="B202" s="57" t="s">
        <v>17</v>
      </c>
      <c r="C202" s="57">
        <v>1</v>
      </c>
      <c r="D202" s="42" t="str" cm="1">
        <f t="array" ref="D202">_xlfn.IFNA(INDEX('TUM-W'!C$3:C$44,MATCH(1,(C202='TUM-W'!A$3:A$44)*(B202='TUM-W'!G$3:G$44),0)),"")</f>
        <v/>
      </c>
    </row>
    <row r="203" spans="1:4" hidden="1" x14ac:dyDescent="0.2">
      <c r="A203" s="57" t="str">
        <f t="shared" si="7"/>
        <v/>
      </c>
      <c r="B203" s="57" t="s">
        <v>17</v>
      </c>
      <c r="C203" s="57">
        <v>2</v>
      </c>
      <c r="D203" s="42" t="str" cm="1">
        <f t="array" ref="D203">_xlfn.IFNA(INDEX('TUM-W'!C$3:C$44,MATCH(1,(C203='TUM-W'!A$3:A$44)*(B203='TUM-W'!G$3:G$44),0)),"")</f>
        <v/>
      </c>
    </row>
    <row r="204" spans="1:4" hidden="1" x14ac:dyDescent="0.2">
      <c r="A204" s="57" t="str">
        <f t="shared" si="7"/>
        <v/>
      </c>
      <c r="B204" s="57" t="s">
        <v>17</v>
      </c>
      <c r="C204" s="57">
        <v>3</v>
      </c>
      <c r="D204" s="42" t="str" cm="1">
        <f t="array" ref="D204">_xlfn.IFNA(INDEX('TUM-W'!C$3:C$44,MATCH(1,(C204='TUM-W'!A$3:A$44)*(B204='TUM-W'!G$3:G$44),0)),"")</f>
        <v/>
      </c>
    </row>
    <row r="205" spans="1:4" hidden="1" x14ac:dyDescent="0.2">
      <c r="A205" s="57" t="str">
        <f t="shared" si="7"/>
        <v/>
      </c>
      <c r="B205" s="57" t="s">
        <v>17</v>
      </c>
      <c r="C205" s="57">
        <v>4</v>
      </c>
      <c r="D205" s="42" t="str" cm="1">
        <f t="array" ref="D205">_xlfn.IFNA(INDEX('TUM-W'!C$3:C$44,MATCH(1,(C205='TUM-W'!A$3:A$44)*(B205='TUM-W'!G$3:G$44),0)),"")</f>
        <v/>
      </c>
    </row>
    <row r="206" spans="1:4" hidden="1" x14ac:dyDescent="0.2">
      <c r="A206" s="57" t="str">
        <f t="shared" si="7"/>
        <v/>
      </c>
      <c r="B206" s="57" t="s">
        <v>17</v>
      </c>
      <c r="C206" s="57">
        <v>5</v>
      </c>
      <c r="D206" s="42" t="str" cm="1">
        <f t="array" ref="D206">_xlfn.IFNA(INDEX('TUM-W'!C$3:C$44,MATCH(1,(C206='TUM-W'!A$3:A$44)*(B206='TUM-W'!G$3:G$44),0)),"")</f>
        <v/>
      </c>
    </row>
    <row r="207" spans="1:4" hidden="1" x14ac:dyDescent="0.2">
      <c r="A207" s="57" t="str">
        <f t="shared" si="7"/>
        <v/>
      </c>
      <c r="B207" s="57" t="s">
        <v>17</v>
      </c>
      <c r="C207" s="57">
        <v>6</v>
      </c>
      <c r="D207" s="42" t="str" cm="1">
        <f t="array" ref="D207">_xlfn.IFNA(INDEX('TUM-W'!C$3:C$44,MATCH(1,(C207='TUM-W'!A$3:A$44)*(B207='TUM-W'!G$3:G$44),0)),"")</f>
        <v/>
      </c>
    </row>
    <row r="208" spans="1:4" hidden="1" x14ac:dyDescent="0.2">
      <c r="A208" s="57" t="str">
        <f t="shared" si="7"/>
        <v/>
      </c>
      <c r="B208" s="57" t="s">
        <v>17</v>
      </c>
      <c r="C208" s="57">
        <v>7</v>
      </c>
      <c r="D208" s="42" t="str" cm="1">
        <f t="array" ref="D208">_xlfn.IFNA(INDEX('TUM-W'!C$3:C$44,MATCH(1,(C208='TUM-W'!A$3:A$44)*(B208='TUM-W'!G$3:G$44),0)),"")</f>
        <v/>
      </c>
    </row>
    <row r="209" spans="1:4" hidden="1" x14ac:dyDescent="0.2">
      <c r="A209" s="57" t="str">
        <f t="shared" si="7"/>
        <v/>
      </c>
      <c r="B209" s="57" t="s">
        <v>17</v>
      </c>
      <c r="C209" s="57">
        <v>8</v>
      </c>
      <c r="D209" s="42" t="str" cm="1">
        <f t="array" ref="D209">_xlfn.IFNA(INDEX('TUM-W'!C$3:C$44,MATCH(1,(C209='TUM-W'!A$3:A$44)*(B209='TUM-W'!G$3:G$44),0)),"")</f>
        <v/>
      </c>
    </row>
    <row r="210" spans="1:4" hidden="1" x14ac:dyDescent="0.2">
      <c r="A210" s="57" t="str">
        <f t="shared" si="7"/>
        <v/>
      </c>
      <c r="B210" s="57" t="s">
        <v>19</v>
      </c>
      <c r="C210" s="57">
        <v>1</v>
      </c>
      <c r="D210" s="42" t="str" cm="1">
        <f t="array" ref="D210">_xlfn.IFNA(INDEX('TUM-W'!C$3:C$44,MATCH(1,(C210='TUM-W'!A$3:A$44)*(B210='TUM-W'!G$3:G$44),0)),"")</f>
        <v/>
      </c>
    </row>
    <row r="211" spans="1:4" hidden="1" x14ac:dyDescent="0.2">
      <c r="A211" s="57" t="str">
        <f t="shared" si="7"/>
        <v/>
      </c>
      <c r="B211" s="57" t="s">
        <v>19</v>
      </c>
      <c r="C211" s="57">
        <v>2</v>
      </c>
      <c r="D211" s="42" t="str" cm="1">
        <f t="array" ref="D211">_xlfn.IFNA(INDEX('TUM-W'!C$3:C$44,MATCH(1,(C211='TUM-W'!A$3:A$44)*(B211='TUM-W'!G$3:G$44),0)),"")</f>
        <v/>
      </c>
    </row>
    <row r="212" spans="1:4" hidden="1" x14ac:dyDescent="0.2">
      <c r="A212" s="57" t="str">
        <f t="shared" si="7"/>
        <v/>
      </c>
      <c r="B212" s="57" t="s">
        <v>19</v>
      </c>
      <c r="C212" s="57">
        <v>3</v>
      </c>
      <c r="D212" s="42" t="str" cm="1">
        <f t="array" ref="D212">_xlfn.IFNA(INDEX('TUM-W'!C$3:C$44,MATCH(1,(C212='TUM-W'!A$3:A$44)*(B212='TUM-W'!G$3:G$44),0)),"")</f>
        <v/>
      </c>
    </row>
    <row r="213" spans="1:4" hidden="1" x14ac:dyDescent="0.2">
      <c r="A213" s="57" t="str">
        <f t="shared" si="7"/>
        <v/>
      </c>
      <c r="B213" s="57" t="s">
        <v>19</v>
      </c>
      <c r="C213" s="57">
        <v>4</v>
      </c>
      <c r="D213" s="42" t="str" cm="1">
        <f t="array" ref="D213">_xlfn.IFNA(INDEX('TUM-W'!C$3:C$44,MATCH(1,(C213='TUM-W'!A$3:A$44)*(B213='TUM-W'!G$3:G$44),0)),"")</f>
        <v/>
      </c>
    </row>
    <row r="214" spans="1:4" hidden="1" x14ac:dyDescent="0.2">
      <c r="A214" s="57" t="str">
        <f t="shared" si="7"/>
        <v/>
      </c>
      <c r="B214" s="57" t="s">
        <v>19</v>
      </c>
      <c r="C214" s="57">
        <v>5</v>
      </c>
      <c r="D214" s="42" t="str" cm="1">
        <f t="array" ref="D214">_xlfn.IFNA(INDEX('TUM-W'!C$3:C$44,MATCH(1,(C214='TUM-W'!A$3:A$44)*(B214='TUM-W'!G$3:G$44),0)),"")</f>
        <v/>
      </c>
    </row>
    <row r="215" spans="1:4" hidden="1" x14ac:dyDescent="0.2">
      <c r="A215" s="57" t="str">
        <f t="shared" si="7"/>
        <v/>
      </c>
      <c r="B215" s="57" t="s">
        <v>19</v>
      </c>
      <c r="C215" s="57">
        <v>6</v>
      </c>
      <c r="D215" s="42" t="str" cm="1">
        <f t="array" ref="D215">_xlfn.IFNA(INDEX('TUM-W'!C$3:C$44,MATCH(1,(C215='TUM-W'!A$3:A$44)*(B215='TUM-W'!G$3:G$44),0)),"")</f>
        <v/>
      </c>
    </row>
    <row r="216" spans="1:4" hidden="1" x14ac:dyDescent="0.2">
      <c r="A216" s="57" t="str">
        <f t="shared" si="7"/>
        <v/>
      </c>
      <c r="B216" s="57" t="s">
        <v>19</v>
      </c>
      <c r="C216" s="57">
        <v>7</v>
      </c>
      <c r="D216" s="42" t="str" cm="1">
        <f t="array" ref="D216">_xlfn.IFNA(INDEX('TUM-W'!C$3:C$44,MATCH(1,(C216='TUM-W'!A$3:A$44)*(B216='TUM-W'!G$3:G$44),0)),"")</f>
        <v/>
      </c>
    </row>
    <row r="217" spans="1:4" hidden="1" x14ac:dyDescent="0.2">
      <c r="A217" s="57" t="str">
        <f t="shared" si="7"/>
        <v/>
      </c>
      <c r="B217" s="57" t="s">
        <v>19</v>
      </c>
      <c r="C217" s="57">
        <v>8</v>
      </c>
      <c r="D217" s="42" t="str" cm="1">
        <f t="array" ref="D217">_xlfn.IFNA(INDEX('TUM-W'!C$3:C$44,MATCH(1,(C217='TUM-W'!A$3:A$44)*(B217='TUM-W'!G$3:G$44),0)),"")</f>
        <v/>
      </c>
    </row>
    <row r="218" spans="1:4" x14ac:dyDescent="0.2">
      <c r="A218" s="57" t="str">
        <f t="shared" si="7"/>
        <v>TUM-W</v>
      </c>
      <c r="B218" s="57" t="s">
        <v>20</v>
      </c>
      <c r="C218" s="57">
        <v>1</v>
      </c>
      <c r="D218" s="42" t="str" cm="1">
        <f t="array" ref="D218">_xlfn.IFNA(INDEX('TUM-W'!C$3:C$44,MATCH(1,(C218='TUM-W'!A$3:A$44)*(B218='TUM-W'!G$3:G$44),0)),"")</f>
        <v>PILLINGER, Taylor</v>
      </c>
    </row>
    <row r="219" spans="1:4" x14ac:dyDescent="0.2">
      <c r="A219" s="57" t="str">
        <f t="shared" si="7"/>
        <v>TUM-W</v>
      </c>
      <c r="B219" s="57" t="s">
        <v>20</v>
      </c>
      <c r="C219" s="57">
        <v>2</v>
      </c>
      <c r="D219" s="42" t="str" cm="1">
        <f t="array" ref="D219">_xlfn.IFNA(INDEX('TUM-W'!C$3:C$44,MATCH(1,(C219='TUM-W'!A$3:A$44)*(B219='TUM-W'!G$3:G$44),0)),"")</f>
        <v>THOMPSON, Abby</v>
      </c>
    </row>
    <row r="220" spans="1:4" x14ac:dyDescent="0.2">
      <c r="A220" s="57" t="str">
        <f t="shared" si="7"/>
        <v>TUM-W</v>
      </c>
      <c r="B220" s="57" t="s">
        <v>20</v>
      </c>
      <c r="C220" s="57">
        <v>3</v>
      </c>
      <c r="D220" s="42" t="str" cm="1">
        <f t="array" ref="D220">_xlfn.IFNA(INDEX('TUM-W'!C$3:C$44,MATCH(1,(C220='TUM-W'!A$3:A$44)*(B220='TUM-W'!G$3:G$44),0)),"")</f>
        <v>IBACH, Sam</v>
      </c>
    </row>
    <row r="221" spans="1:4" x14ac:dyDescent="0.2">
      <c r="A221" s="57" t="str">
        <f t="shared" si="7"/>
        <v>TUM-W</v>
      </c>
      <c r="B221" s="57" t="s">
        <v>20</v>
      </c>
      <c r="C221" s="57">
        <v>4</v>
      </c>
      <c r="D221" s="42" t="str" cm="1">
        <f t="array" ref="D221">_xlfn.IFNA(INDEX('TUM-W'!C$3:C$44,MATCH(1,(C221='TUM-W'!A$3:A$44)*(B221='TUM-W'!G$3:G$44),0)),"")</f>
        <v>JACKSON, Claire</v>
      </c>
    </row>
    <row r="222" spans="1:4" x14ac:dyDescent="0.2">
      <c r="A222" s="57" t="str">
        <f t="shared" si="7"/>
        <v>TUM-W</v>
      </c>
      <c r="B222" s="57" t="s">
        <v>20</v>
      </c>
      <c r="C222" s="57">
        <v>5</v>
      </c>
      <c r="D222" s="42" t="str" cm="1">
        <f t="array" ref="D222">_xlfn.IFNA(INDEX('TUM-W'!C$3:C$44,MATCH(1,(C222='TUM-W'!A$3:A$44)*(B222='TUM-W'!G$3:G$44),0)),"")</f>
        <v>MOORE, Sara</v>
      </c>
    </row>
    <row r="223" spans="1:4" x14ac:dyDescent="0.2">
      <c r="A223" s="57" t="str">
        <f t="shared" si="7"/>
        <v>TUM-W</v>
      </c>
      <c r="B223" s="57" t="s">
        <v>20</v>
      </c>
      <c r="C223" s="57">
        <v>6</v>
      </c>
      <c r="D223" s="42" t="str" cm="1">
        <f t="array" ref="D223">_xlfn.IFNA(INDEX('TUM-W'!C$3:C$44,MATCH(1,(C223='TUM-W'!A$3:A$44)*(B223='TUM-W'!G$3:G$44),0)),"")</f>
        <v>BOWDITCH, Courtney</v>
      </c>
    </row>
    <row r="224" spans="1:4" x14ac:dyDescent="0.2">
      <c r="A224" s="57" t="str">
        <f t="shared" si="7"/>
        <v>TUM-W</v>
      </c>
      <c r="B224" s="57" t="s">
        <v>20</v>
      </c>
      <c r="C224" s="57">
        <v>7</v>
      </c>
      <c r="D224" s="42" t="str" cm="1">
        <f t="array" ref="D224">_xlfn.IFNA(INDEX('TUM-W'!C$3:C$44,MATCH(1,(C224='TUM-W'!A$3:A$44)*(B224='TUM-W'!G$3:G$44),0)),"")</f>
        <v>HOWELL, Kayla</v>
      </c>
    </row>
    <row r="225" spans="1:6" x14ac:dyDescent="0.2">
      <c r="A225" s="57" t="str">
        <f t="shared" si="7"/>
        <v>TUM-W</v>
      </c>
      <c r="B225" s="57" t="s">
        <v>20</v>
      </c>
      <c r="C225" s="57">
        <v>8</v>
      </c>
      <c r="D225" s="42" t="str" cm="1">
        <f t="array" ref="D225">_xlfn.IFNA(INDEX('TUM-W'!C$3:C$44,MATCH(1,(C225='TUM-W'!A$3:A$44)*(B225='TUM-W'!G$3:G$44),0)),"")</f>
        <v>OLSEN, Brooklyn</v>
      </c>
    </row>
    <row r="227" spans="1:6" x14ac:dyDescent="0.2">
      <c r="B227" s="66" t="s">
        <v>32</v>
      </c>
      <c r="C227" s="66"/>
      <c r="D227" s="66"/>
    </row>
    <row r="228" spans="1:6" x14ac:dyDescent="0.2">
      <c r="B228" s="66" t="s">
        <v>212</v>
      </c>
      <c r="C228" s="66"/>
      <c r="D228" s="66"/>
    </row>
    <row r="229" spans="1:6" x14ac:dyDescent="0.2">
      <c r="B229" s="64" t="s">
        <v>35</v>
      </c>
      <c r="C229" s="64"/>
      <c r="D229" s="64"/>
      <c r="E229" s="1" t="s">
        <v>34</v>
      </c>
    </row>
    <row r="230" spans="1:6" x14ac:dyDescent="0.2">
      <c r="B230" s="64" t="s">
        <v>36</v>
      </c>
      <c r="C230" s="64"/>
      <c r="D230" s="64"/>
      <c r="E230" s="1" t="s">
        <v>34</v>
      </c>
      <c r="F230" t="s">
        <v>34</v>
      </c>
    </row>
    <row r="231" spans="1:6" x14ac:dyDescent="0.2">
      <c r="A231" s="58" t="s">
        <v>39</v>
      </c>
      <c r="B231" s="63">
        <v>45152</v>
      </c>
      <c r="C231" s="63"/>
      <c r="D231" s="63"/>
    </row>
    <row r="232" spans="1:6" x14ac:dyDescent="0.2">
      <c r="A232" s="58"/>
      <c r="B232" s="65" t="s">
        <v>440</v>
      </c>
      <c r="C232" s="65"/>
      <c r="D232" s="65"/>
    </row>
    <row r="233" spans="1:6" x14ac:dyDescent="0.2">
      <c r="B233" s="55" t="s">
        <v>568</v>
      </c>
    </row>
  </sheetData>
  <mergeCells count="6">
    <mergeCell ref="B231:D231"/>
    <mergeCell ref="B230:D230"/>
    <mergeCell ref="B229:D229"/>
    <mergeCell ref="B232:D232"/>
    <mergeCell ref="B227:D227"/>
    <mergeCell ref="B228:D228"/>
  </mergeCells>
  <conditionalFormatting sqref="A2:D225">
    <cfRule type="expression" dxfId="65" priority="5">
      <formula>IF($B2="17-21",1,0)</formula>
    </cfRule>
    <cfRule type="expression" dxfId="64" priority="6">
      <formula>IF($B2="15-16",1,0)</formula>
    </cfRule>
    <cfRule type="expression" dxfId="63" priority="7">
      <formula>IF($B2="13-14",1,0)</formula>
    </cfRule>
    <cfRule type="expression" dxfId="62" priority="8">
      <formula>IF($B2="11-12",1,0)</formula>
    </cfRule>
  </conditionalFormatting>
  <dataValidations count="2">
    <dataValidation type="list" allowBlank="1" showInputMessage="1" showErrorMessage="1" sqref="F230" xr:uid="{00000000-0002-0000-0000-000001000000}">
      <formula1>IF(E230="Select",E230,INDIRECT("'"&amp;E230&amp;"'!"&amp;"C3:C"&amp;MATCH(TRUE,INDEX(INDIRECT("'"&amp;E230&amp;"'!"&amp;"C3:C1000")="",0),0)+1))</formula1>
    </dataValidation>
    <dataValidation type="list" allowBlank="1" showInputMessage="1" showErrorMessage="1" sqref="E229:E230" xr:uid="{83409E46-FA0C-884F-B446-E08A9306F91C}">
      <formula1>"Select,TRA-M,TRA-W,SYN-M,SYN-W,DMT-M,DMT-W,TUM-M,TUM-W"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Sort" altText="Ranking Sort">
                <anchor moveWithCells="1" sizeWithCells="1">
                  <from>
                    <xdr:col>0</xdr:col>
                    <xdr:colOff>38100</xdr:colOff>
                    <xdr:row>226</xdr:row>
                    <xdr:rowOff>38100</xdr:rowOff>
                  </from>
                  <to>
                    <xdr:col>0</xdr:col>
                    <xdr:colOff>1079500</xdr:colOff>
                    <xdr:row>226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dd_Athlete">
                <anchor moveWithCells="1" sizeWithCells="1">
                  <from>
                    <xdr:col>0</xdr:col>
                    <xdr:colOff>38100</xdr:colOff>
                    <xdr:row>228</xdr:row>
                    <xdr:rowOff>38100</xdr:rowOff>
                  </from>
                  <to>
                    <xdr:col>0</xdr:col>
                    <xdr:colOff>1079500</xdr:colOff>
                    <xdr:row>228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move">
                <anchor moveWithCells="1" sizeWithCells="1">
                  <from>
                    <xdr:col>0</xdr:col>
                    <xdr:colOff>38100</xdr:colOff>
                    <xdr:row>229</xdr:row>
                    <xdr:rowOff>38100</xdr:rowOff>
                  </from>
                  <to>
                    <xdr:col>0</xdr:col>
                    <xdr:colOff>1079500</xdr:colOff>
                    <xdr:row>229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ortByLevel" altText="Level Sort">
                <anchor moveWithCells="1" sizeWithCells="1">
                  <from>
                    <xdr:col>0</xdr:col>
                    <xdr:colOff>38100</xdr:colOff>
                    <xdr:row>227</xdr:row>
                    <xdr:rowOff>38100</xdr:rowOff>
                  </from>
                  <to>
                    <xdr:col>0</xdr:col>
                    <xdr:colOff>1079500</xdr:colOff>
                    <xdr:row>227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3"/>
  <sheetViews>
    <sheetView workbookViewId="0"/>
  </sheetViews>
  <sheetFormatPr baseColWidth="10" defaultColWidth="11" defaultRowHeight="16" x14ac:dyDescent="0.2"/>
  <sheetData>
    <row r="1" spans="1:9" x14ac:dyDescent="0.2">
      <c r="A1" s="11" t="s">
        <v>7</v>
      </c>
      <c r="B1" s="11">
        <v>2023</v>
      </c>
      <c r="C1" s="11"/>
      <c r="D1" s="11"/>
      <c r="E1" s="11"/>
      <c r="F1" s="11"/>
      <c r="G1" s="11"/>
      <c r="H1" s="11"/>
      <c r="I1" s="11"/>
    </row>
    <row r="2" spans="1:9" x14ac:dyDescent="0.2">
      <c r="A2" s="12" t="s">
        <v>9</v>
      </c>
      <c r="B2" s="10"/>
      <c r="C2" s="10"/>
      <c r="D2" s="10"/>
      <c r="E2" s="10"/>
      <c r="F2" s="10"/>
      <c r="G2" s="10"/>
      <c r="H2" s="10"/>
      <c r="I2" s="10"/>
    </row>
    <row r="3" spans="1:9" x14ac:dyDescent="0.2">
      <c r="A3" s="13" t="s">
        <v>5</v>
      </c>
      <c r="B3" s="13" t="s">
        <v>22</v>
      </c>
      <c r="C3" s="13" t="s">
        <v>21</v>
      </c>
      <c r="D3" s="13" t="s">
        <v>27</v>
      </c>
      <c r="E3" s="13" t="s">
        <v>28</v>
      </c>
      <c r="F3" s="13" t="s">
        <v>23</v>
      </c>
      <c r="G3" s="13" t="s">
        <v>24</v>
      </c>
      <c r="H3" s="13" t="s">
        <v>25</v>
      </c>
      <c r="I3" s="13" t="s">
        <v>26</v>
      </c>
    </row>
    <row r="4" spans="1:9" x14ac:dyDescent="0.2">
      <c r="A4" s="20" t="s">
        <v>18</v>
      </c>
      <c r="B4" s="21">
        <v>87</v>
      </c>
      <c r="C4" s="21">
        <v>86</v>
      </c>
      <c r="D4" s="21">
        <v>40.200000000000003</v>
      </c>
      <c r="E4" s="21">
        <v>41</v>
      </c>
      <c r="F4" s="21">
        <v>43</v>
      </c>
      <c r="G4" s="21">
        <v>43</v>
      </c>
      <c r="H4" s="21">
        <v>38.700000000000003</v>
      </c>
      <c r="I4" s="21">
        <v>38.700000000000003</v>
      </c>
    </row>
    <row r="5" spans="1:9" x14ac:dyDescent="0.2">
      <c r="A5" s="24" t="s">
        <v>17</v>
      </c>
      <c r="B5" s="25">
        <v>89</v>
      </c>
      <c r="C5" s="25">
        <v>87</v>
      </c>
      <c r="D5" s="25">
        <v>42</v>
      </c>
      <c r="E5" s="25">
        <v>42.4</v>
      </c>
      <c r="F5" s="25">
        <v>45.3</v>
      </c>
      <c r="G5" s="25">
        <v>43.5</v>
      </c>
      <c r="H5" s="25">
        <v>41.8</v>
      </c>
      <c r="I5" s="25">
        <v>41.3</v>
      </c>
    </row>
    <row r="6" spans="1:9" x14ac:dyDescent="0.2">
      <c r="A6" s="28" t="s">
        <v>19</v>
      </c>
      <c r="B6" s="29">
        <v>93</v>
      </c>
      <c r="C6" s="29">
        <v>88.5</v>
      </c>
      <c r="D6" s="29">
        <v>43</v>
      </c>
      <c r="E6" s="29">
        <v>43</v>
      </c>
      <c r="F6" s="29">
        <v>47.2</v>
      </c>
      <c r="G6" s="29">
        <v>45.5</v>
      </c>
      <c r="H6" s="29">
        <v>43.1</v>
      </c>
      <c r="I6" s="29">
        <v>41.7</v>
      </c>
    </row>
    <row r="7" spans="1:9" x14ac:dyDescent="0.2">
      <c r="A7" s="18" t="s">
        <v>20</v>
      </c>
      <c r="B7" s="16">
        <v>52</v>
      </c>
      <c r="C7" s="16">
        <v>47.5</v>
      </c>
      <c r="D7" s="16">
        <v>45</v>
      </c>
      <c r="E7" s="16">
        <v>42.6</v>
      </c>
      <c r="F7" s="16">
        <v>48</v>
      </c>
      <c r="G7" s="16">
        <v>46.5</v>
      </c>
      <c r="H7" s="16">
        <v>43.9</v>
      </c>
      <c r="I7" s="16">
        <v>42.1</v>
      </c>
    </row>
    <row r="8" spans="1:9" x14ac:dyDescent="0.2">
      <c r="A8" s="14" t="s">
        <v>10</v>
      </c>
      <c r="B8" s="11"/>
      <c r="C8" s="11"/>
      <c r="D8" s="11"/>
      <c r="E8" s="11"/>
      <c r="F8" s="11"/>
      <c r="G8" s="11"/>
      <c r="H8" s="11"/>
      <c r="I8" s="11"/>
    </row>
    <row r="9" spans="1:9" x14ac:dyDescent="0.2">
      <c r="A9" s="15" t="s">
        <v>5</v>
      </c>
      <c r="B9" s="15" t="s">
        <v>22</v>
      </c>
      <c r="C9" s="15" t="s">
        <v>21</v>
      </c>
      <c r="D9" s="15" t="s">
        <v>27</v>
      </c>
      <c r="E9" s="15" t="s">
        <v>28</v>
      </c>
      <c r="F9" s="15" t="s">
        <v>23</v>
      </c>
      <c r="G9" s="15" t="s">
        <v>24</v>
      </c>
      <c r="H9" s="15" t="s">
        <v>25</v>
      </c>
      <c r="I9" s="15" t="s">
        <v>26</v>
      </c>
    </row>
    <row r="10" spans="1:9" x14ac:dyDescent="0.2">
      <c r="A10" s="22" t="s">
        <v>18</v>
      </c>
      <c r="B10" s="23">
        <v>9.1</v>
      </c>
      <c r="C10" s="23">
        <v>7.6</v>
      </c>
      <c r="D10" s="23">
        <v>8.1</v>
      </c>
      <c r="E10" s="23">
        <v>7.6</v>
      </c>
      <c r="F10" s="23">
        <v>6</v>
      </c>
      <c r="G10" s="23">
        <v>6</v>
      </c>
      <c r="H10" s="23">
        <v>5.5</v>
      </c>
      <c r="I10" s="23">
        <v>5.5</v>
      </c>
    </row>
    <row r="11" spans="1:9" x14ac:dyDescent="0.2">
      <c r="A11" s="26" t="s">
        <v>17</v>
      </c>
      <c r="B11" s="27">
        <v>9.6999999999999993</v>
      </c>
      <c r="C11" s="27">
        <v>8.1</v>
      </c>
      <c r="D11" s="27">
        <v>8.8000000000000007</v>
      </c>
      <c r="E11" s="27">
        <v>8.1</v>
      </c>
      <c r="F11" s="27">
        <v>7.9</v>
      </c>
      <c r="G11" s="27">
        <v>6.3</v>
      </c>
      <c r="H11" s="27">
        <v>8</v>
      </c>
      <c r="I11" s="27">
        <v>6.6</v>
      </c>
    </row>
    <row r="12" spans="1:9" x14ac:dyDescent="0.2">
      <c r="A12" s="30" t="s">
        <v>19</v>
      </c>
      <c r="B12" s="31">
        <v>12.2</v>
      </c>
      <c r="C12" s="31">
        <v>8.8000000000000007</v>
      </c>
      <c r="D12" s="31">
        <v>9.6</v>
      </c>
      <c r="E12" s="31">
        <v>8.1</v>
      </c>
      <c r="F12" s="31">
        <v>10.4</v>
      </c>
      <c r="G12" s="31">
        <v>7.9</v>
      </c>
      <c r="H12" s="31">
        <v>8.6999999999999993</v>
      </c>
      <c r="I12" s="31">
        <v>7.3</v>
      </c>
    </row>
    <row r="13" spans="1:9" x14ac:dyDescent="0.2">
      <c r="A13" s="19" t="s">
        <v>20</v>
      </c>
      <c r="B13" s="17">
        <v>13.5</v>
      </c>
      <c r="C13" s="17">
        <v>9.6999999999999993</v>
      </c>
      <c r="D13" s="17">
        <v>10.199999999999999</v>
      </c>
      <c r="E13" s="17">
        <v>8.8000000000000007</v>
      </c>
      <c r="F13" s="17">
        <v>11.2</v>
      </c>
      <c r="G13" s="17">
        <v>9.6</v>
      </c>
      <c r="H13" s="17">
        <v>9.5</v>
      </c>
      <c r="I13" s="17">
        <v>8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A4E22-E089-B14B-85FF-7A0CA4DD7F9A}">
  <sheetPr codeName="Sheet6"/>
  <dimension ref="A1:S64"/>
  <sheetViews>
    <sheetView workbookViewId="0"/>
  </sheetViews>
  <sheetFormatPr baseColWidth="10" defaultRowHeight="16" x14ac:dyDescent="0.2"/>
  <cols>
    <col min="1" max="1" width="18" bestFit="1" customWidth="1"/>
    <col min="4" max="4" width="14.5" bestFit="1" customWidth="1"/>
    <col min="6" max="6" width="15.1640625" bestFit="1" customWidth="1"/>
    <col min="8" max="8" width="15.1640625" bestFit="1" customWidth="1"/>
  </cols>
  <sheetData>
    <row r="1" spans="1:8" ht="17" thickBot="1" x14ac:dyDescent="0.25">
      <c r="A1" s="45" t="s">
        <v>2</v>
      </c>
      <c r="B1" s="45" t="s">
        <v>1</v>
      </c>
      <c r="C1" s="54" t="s">
        <v>203</v>
      </c>
      <c r="D1" s="45" t="s">
        <v>209</v>
      </c>
      <c r="E1" s="54" t="s">
        <v>204</v>
      </c>
      <c r="F1" s="45" t="s">
        <v>210</v>
      </c>
      <c r="G1" s="54" t="s">
        <v>205</v>
      </c>
      <c r="H1" s="45" t="s">
        <v>211</v>
      </c>
    </row>
    <row r="2" spans="1:8" ht="17" thickTop="1" x14ac:dyDescent="0.2">
      <c r="A2" s="61" t="s">
        <v>566</v>
      </c>
      <c r="B2" s="47" t="s">
        <v>194</v>
      </c>
      <c r="C2" s="46">
        <f>SUMIF('TRA-M'!E:E,A2,'TRA-M'!Q:Q)+SUMIF('TRA-W'!E:E,A2,'TRA-W'!Q:Q)+SUMIF('SYN-M'!E:E,A2,'SYN-M'!R:R)/2+SUMIF('SYN-W'!E:E,A2,'SYN-W'!R:R)/2+SUMIF('SYN-M'!F:F,A2,'SYN-M'!R:R)/2+SUMIF('SYN-W'!F:F,A2,'SYN-W'!R:R)/2</f>
        <v>0</v>
      </c>
      <c r="D2" s="48" t="str">
        <f t="shared" ref="D2:D33" si="0">IF(C2&gt;0,RANK(C2,C$2:C$64),"")</f>
        <v/>
      </c>
      <c r="E2" s="46">
        <f>SUMIF('DMT-M'!E:E,A2,'DMT-M'!Q:Q)+SUMIF('DMT-W'!E:E,A2,'DMT-W'!Q:Q)</f>
        <v>0</v>
      </c>
      <c r="F2" s="48" t="str">
        <f t="shared" ref="F2:F33" si="1">IF(E2&gt;0,RANK(E2,E$2:E$64),"")</f>
        <v/>
      </c>
      <c r="G2" s="46">
        <f>SUMIF('TUM-M'!E:E,A2,'TUM-M'!Q:Q)+SUMIF('TUM-W'!E:E,A2,'TUM-W'!Q:Q)</f>
        <v>0</v>
      </c>
      <c r="H2" s="48" t="str">
        <f t="shared" ref="H2:H33" si="2">IF(G2&gt;0,RANK(G2,G$2:G$64),"")</f>
        <v/>
      </c>
    </row>
    <row r="3" spans="1:8" x14ac:dyDescent="0.2">
      <c r="A3" s="62" t="s">
        <v>309</v>
      </c>
      <c r="B3" s="1" t="s">
        <v>195</v>
      </c>
      <c r="C3" s="49">
        <f>SUMIF('TRA-M'!E:E,A3,'TRA-M'!Q:Q)+SUMIF('TRA-W'!E:E,A3,'TRA-W'!Q:Q)+SUMIF('SYN-M'!E:E,A3,'SYN-M'!R:R)/2+SUMIF('SYN-W'!E:E,A3,'SYN-W'!R:R)/2+SUMIF('SYN-M'!F:F,A3,'SYN-M'!R:R)/2+SUMIF('SYN-W'!F:F,A3,'SYN-W'!R:R)/2</f>
        <v>0</v>
      </c>
      <c r="D3" s="50" t="str">
        <f t="shared" si="0"/>
        <v/>
      </c>
      <c r="E3" s="49">
        <f>SUMIF('DMT-M'!E:E,A3,'DMT-M'!Q:Q)+SUMIF('DMT-W'!E:E,A3,'DMT-W'!Q:Q)</f>
        <v>0</v>
      </c>
      <c r="F3" s="50" t="str">
        <f t="shared" si="1"/>
        <v/>
      </c>
      <c r="G3" s="49">
        <f>SUMIF('TUM-M'!E:E,A3,'TUM-M'!Q:Q)+SUMIF('TUM-W'!E:E,A3,'TUM-W'!Q:Q)</f>
        <v>0</v>
      </c>
      <c r="H3" s="50" t="str">
        <f t="shared" si="2"/>
        <v/>
      </c>
    </row>
    <row r="4" spans="1:8" x14ac:dyDescent="0.2">
      <c r="A4" s="62" t="s">
        <v>419</v>
      </c>
      <c r="B4" s="1" t="s">
        <v>193</v>
      </c>
      <c r="C4" s="49">
        <f>SUMIF('TRA-M'!E:E,A4,'TRA-M'!Q:Q)+SUMIF('TRA-W'!E:E,A4,'TRA-W'!Q:Q)+SUMIF('SYN-M'!E:E,A4,'SYN-M'!R:R)/2+SUMIF('SYN-W'!E:E,A4,'SYN-W'!R:R)/2+SUMIF('SYN-M'!F:F,A4,'SYN-M'!R:R)/2+SUMIF('SYN-W'!F:F,A4,'SYN-W'!R:R)/2</f>
        <v>0</v>
      </c>
      <c r="D4" s="50" t="str">
        <f t="shared" si="0"/>
        <v/>
      </c>
      <c r="E4" s="49">
        <f>SUMIF('DMT-M'!E:E,A4,'DMT-M'!Q:Q)+SUMIF('DMT-W'!E:E,A4,'DMT-W'!Q:Q)</f>
        <v>0</v>
      </c>
      <c r="F4" s="50" t="str">
        <f t="shared" si="1"/>
        <v/>
      </c>
      <c r="G4" s="49">
        <f>SUMIF('TUM-M'!E:E,A4,'TUM-M'!Q:Q)+SUMIF('TUM-W'!E:E,A4,'TUM-W'!Q:Q)</f>
        <v>0</v>
      </c>
      <c r="H4" s="50" t="str">
        <f t="shared" si="2"/>
        <v/>
      </c>
    </row>
    <row r="5" spans="1:8" x14ac:dyDescent="0.2">
      <c r="A5" s="62" t="s">
        <v>420</v>
      </c>
      <c r="B5" s="1" t="s">
        <v>195</v>
      </c>
      <c r="C5" s="49">
        <f>SUMIF('TRA-M'!E:E,A5,'TRA-M'!Q:Q)+SUMIF('TRA-W'!E:E,A5,'TRA-W'!Q:Q)+SUMIF('SYN-M'!E:E,A5,'SYN-M'!R:R)/2+SUMIF('SYN-W'!E:E,A5,'SYN-W'!R:R)/2+SUMIF('SYN-M'!F:F,A5,'SYN-M'!R:R)/2+SUMIF('SYN-W'!F:F,A5,'SYN-W'!R:R)/2</f>
        <v>0</v>
      </c>
      <c r="D5" s="50" t="str">
        <f t="shared" si="0"/>
        <v/>
      </c>
      <c r="E5" s="49">
        <f>SUMIF('DMT-M'!E:E,A5,'DMT-M'!Q:Q)+SUMIF('DMT-W'!E:E,A5,'DMT-W'!Q:Q)</f>
        <v>0</v>
      </c>
      <c r="F5" s="50" t="str">
        <f t="shared" si="1"/>
        <v/>
      </c>
      <c r="G5" s="49">
        <f>SUMIF('TUM-M'!E:E,A5,'TUM-M'!Q:Q)+SUMIF('TUM-W'!E:E,A5,'TUM-W'!Q:Q)</f>
        <v>0</v>
      </c>
      <c r="H5" s="50" t="str">
        <f t="shared" si="2"/>
        <v/>
      </c>
    </row>
    <row r="6" spans="1:8" x14ac:dyDescent="0.2">
      <c r="A6" s="62" t="s">
        <v>63</v>
      </c>
      <c r="B6" s="1" t="s">
        <v>195</v>
      </c>
      <c r="C6" s="49">
        <f>SUMIF('TRA-M'!E:E,A6,'TRA-M'!Q:Q)+SUMIF('TRA-W'!E:E,A6,'TRA-W'!Q:Q)+SUMIF('SYN-M'!E:E,A6,'SYN-M'!R:R)/2+SUMIF('SYN-W'!E:E,A6,'SYN-W'!R:R)/2+SUMIF('SYN-M'!F:F,A6,'SYN-M'!R:R)/2+SUMIF('SYN-W'!F:F,A6,'SYN-W'!R:R)/2</f>
        <v>0</v>
      </c>
      <c r="D6" s="50" t="str">
        <f t="shared" si="0"/>
        <v/>
      </c>
      <c r="E6" s="49">
        <f>SUMIF('DMT-M'!E:E,A6,'DMT-M'!Q:Q)+SUMIF('DMT-W'!E:E,A6,'DMT-W'!Q:Q)</f>
        <v>1</v>
      </c>
      <c r="F6" s="50">
        <f t="shared" si="1"/>
        <v>8</v>
      </c>
      <c r="G6" s="49">
        <f>SUMIF('TUM-M'!E:E,A6,'TUM-M'!Q:Q)+SUMIF('TUM-W'!E:E,A6,'TUM-W'!Q:Q)</f>
        <v>0</v>
      </c>
      <c r="H6" s="50" t="str">
        <f t="shared" si="2"/>
        <v/>
      </c>
    </row>
    <row r="7" spans="1:8" x14ac:dyDescent="0.2">
      <c r="A7" s="62" t="s">
        <v>71</v>
      </c>
      <c r="B7" s="1" t="s">
        <v>193</v>
      </c>
      <c r="C7" s="49">
        <f>SUMIF('TRA-M'!E:E,A7,'TRA-M'!Q:Q)+SUMIF('TRA-W'!E:E,A7,'TRA-W'!Q:Q)+SUMIF('SYN-M'!E:E,A7,'SYN-M'!R:R)/2+SUMIF('SYN-W'!E:E,A7,'SYN-W'!R:R)/2+SUMIF('SYN-M'!F:F,A7,'SYN-M'!R:R)/2+SUMIF('SYN-W'!F:F,A7,'SYN-W'!R:R)/2</f>
        <v>0</v>
      </c>
      <c r="D7" s="50" t="str">
        <f t="shared" si="0"/>
        <v/>
      </c>
      <c r="E7" s="49">
        <f>SUMIF('DMT-M'!E:E,A7,'DMT-M'!Q:Q)+SUMIF('DMT-W'!E:E,A7,'DMT-W'!Q:Q)</f>
        <v>0</v>
      </c>
      <c r="F7" s="50" t="str">
        <f t="shared" si="1"/>
        <v/>
      </c>
      <c r="G7" s="49">
        <f>SUMIF('TUM-M'!E:E,A7,'TUM-M'!Q:Q)+SUMIF('TUM-W'!E:E,A7,'TUM-W'!Q:Q)</f>
        <v>0</v>
      </c>
      <c r="H7" s="50" t="str">
        <f t="shared" si="2"/>
        <v/>
      </c>
    </row>
    <row r="8" spans="1:8" x14ac:dyDescent="0.2">
      <c r="A8" s="62" t="s">
        <v>502</v>
      </c>
      <c r="B8" s="1" t="s">
        <v>198</v>
      </c>
      <c r="C8" s="49">
        <f>SUMIF('TRA-M'!E:E,A8,'TRA-M'!Q:Q)+SUMIF('TRA-W'!E:E,A8,'TRA-W'!Q:Q)+SUMIF('SYN-M'!E:E,A8,'SYN-M'!R:R)/2+SUMIF('SYN-W'!E:E,A8,'SYN-W'!R:R)/2+SUMIF('SYN-M'!F:F,A8,'SYN-M'!R:R)/2+SUMIF('SYN-W'!F:F,A8,'SYN-W'!R:R)/2</f>
        <v>0</v>
      </c>
      <c r="D8" s="50" t="str">
        <f t="shared" si="0"/>
        <v/>
      </c>
      <c r="E8" s="49">
        <f>SUMIF('DMT-M'!E:E,A8,'DMT-M'!Q:Q)+SUMIF('DMT-W'!E:E,A8,'DMT-W'!Q:Q)</f>
        <v>0</v>
      </c>
      <c r="F8" s="50" t="str">
        <f t="shared" si="1"/>
        <v/>
      </c>
      <c r="G8" s="49">
        <f>SUMIF('TUM-M'!E:E,A8,'TUM-M'!Q:Q)+SUMIF('TUM-W'!E:E,A8,'TUM-W'!Q:Q)</f>
        <v>0</v>
      </c>
      <c r="H8" s="50" t="str">
        <f t="shared" si="2"/>
        <v/>
      </c>
    </row>
    <row r="9" spans="1:8" x14ac:dyDescent="0.2">
      <c r="A9" s="62" t="s">
        <v>47</v>
      </c>
      <c r="B9" s="1" t="s">
        <v>193</v>
      </c>
      <c r="C9" s="49">
        <f>SUMIF('TRA-M'!E:E,A9,'TRA-M'!Q:Q)+SUMIF('TRA-W'!E:E,A9,'TRA-W'!Q:Q)+SUMIF('SYN-M'!E:E,A9,'SYN-M'!R:R)/2+SUMIF('SYN-W'!E:E,A9,'SYN-W'!R:R)/2+SUMIF('SYN-M'!F:F,A9,'SYN-M'!R:R)/2+SUMIF('SYN-W'!F:F,A9,'SYN-W'!R:R)/2</f>
        <v>0</v>
      </c>
      <c r="D9" s="50" t="str">
        <f t="shared" si="0"/>
        <v/>
      </c>
      <c r="E9" s="49">
        <f>SUMIF('DMT-M'!E:E,A9,'DMT-M'!Q:Q)+SUMIF('DMT-W'!E:E,A9,'DMT-W'!Q:Q)</f>
        <v>0</v>
      </c>
      <c r="F9" s="50" t="str">
        <f t="shared" si="1"/>
        <v/>
      </c>
      <c r="G9" s="49">
        <f>SUMIF('TUM-M'!E:E,A9,'TUM-M'!Q:Q)+SUMIF('TUM-W'!E:E,A9,'TUM-W'!Q:Q)</f>
        <v>1</v>
      </c>
      <c r="H9" s="50">
        <f t="shared" si="2"/>
        <v>7</v>
      </c>
    </row>
    <row r="10" spans="1:8" x14ac:dyDescent="0.2">
      <c r="A10" s="62" t="s">
        <v>29</v>
      </c>
      <c r="B10" s="1" t="s">
        <v>195</v>
      </c>
      <c r="C10" s="49">
        <f>SUMIF('TRA-M'!E:E,A10,'TRA-M'!Q:Q)+SUMIF('TRA-W'!E:E,A10,'TRA-W'!Q:Q)+SUMIF('SYN-M'!E:E,A10,'SYN-M'!R:R)/2+SUMIF('SYN-W'!E:E,A10,'SYN-W'!R:R)/2+SUMIF('SYN-M'!F:F,A10,'SYN-M'!R:R)/2+SUMIF('SYN-W'!F:F,A10,'SYN-W'!R:R)/2</f>
        <v>0</v>
      </c>
      <c r="D10" s="50" t="str">
        <f t="shared" si="0"/>
        <v/>
      </c>
      <c r="E10" s="49">
        <f>SUMIF('DMT-M'!E:E,A10,'DMT-M'!Q:Q)+SUMIF('DMT-W'!E:E,A10,'DMT-W'!Q:Q)</f>
        <v>7</v>
      </c>
      <c r="F10" s="50">
        <f t="shared" si="1"/>
        <v>3</v>
      </c>
      <c r="G10" s="49">
        <f>SUMIF('TUM-M'!E:E,A10,'TUM-M'!Q:Q)+SUMIF('TUM-W'!E:E,A10,'TUM-W'!Q:Q)</f>
        <v>5</v>
      </c>
      <c r="H10" s="50">
        <f t="shared" si="2"/>
        <v>2</v>
      </c>
    </row>
    <row r="11" spans="1:8" x14ac:dyDescent="0.2">
      <c r="A11" s="62" t="s">
        <v>104</v>
      </c>
      <c r="B11" s="1" t="s">
        <v>201</v>
      </c>
      <c r="C11" s="49">
        <f>SUMIF('TRA-M'!E:E,A11,'TRA-M'!Q:Q)+SUMIF('TRA-W'!E:E,A11,'TRA-W'!Q:Q)+SUMIF('SYN-M'!E:E,A11,'SYN-M'!R:R)/2+SUMIF('SYN-W'!E:E,A11,'SYN-W'!R:R)/2+SUMIF('SYN-M'!F:F,A11,'SYN-M'!R:R)/2+SUMIF('SYN-W'!F:F,A11,'SYN-W'!R:R)/2</f>
        <v>2</v>
      </c>
      <c r="D11" s="50">
        <f t="shared" si="0"/>
        <v>6</v>
      </c>
      <c r="E11" s="49">
        <f>SUMIF('DMT-M'!E:E,A11,'DMT-M'!Q:Q)+SUMIF('DMT-W'!E:E,A11,'DMT-W'!Q:Q)</f>
        <v>0</v>
      </c>
      <c r="F11" s="50" t="str">
        <f t="shared" si="1"/>
        <v/>
      </c>
      <c r="G11" s="49">
        <f>SUMIF('TUM-M'!E:E,A11,'TUM-M'!Q:Q)+SUMIF('TUM-W'!E:E,A11,'TUM-W'!Q:Q)</f>
        <v>0</v>
      </c>
      <c r="H11" s="50" t="str">
        <f t="shared" si="2"/>
        <v/>
      </c>
    </row>
    <row r="12" spans="1:8" x14ac:dyDescent="0.2">
      <c r="A12" s="62" t="s">
        <v>60</v>
      </c>
      <c r="B12" s="1" t="s">
        <v>194</v>
      </c>
      <c r="C12" s="49">
        <f>SUMIF('TRA-M'!E:E,A12,'TRA-M'!Q:Q)+SUMIF('TRA-W'!E:E,A12,'TRA-W'!Q:Q)+SUMIF('SYN-M'!E:E,A12,'SYN-M'!R:R)/2+SUMIF('SYN-W'!E:E,A12,'SYN-W'!R:R)/2+SUMIF('SYN-M'!F:F,A12,'SYN-M'!R:R)/2+SUMIF('SYN-W'!F:F,A12,'SYN-W'!R:R)/2</f>
        <v>1</v>
      </c>
      <c r="D12" s="50">
        <f t="shared" si="0"/>
        <v>9</v>
      </c>
      <c r="E12" s="49">
        <f>SUMIF('DMT-M'!E:E,A12,'DMT-M'!Q:Q)+SUMIF('DMT-W'!E:E,A12,'DMT-W'!Q:Q)</f>
        <v>1</v>
      </c>
      <c r="F12" s="50">
        <f t="shared" si="1"/>
        <v>8</v>
      </c>
      <c r="G12" s="49">
        <f>SUMIF('TUM-M'!E:E,A12,'TUM-M'!Q:Q)+SUMIF('TUM-W'!E:E,A12,'TUM-W'!Q:Q)</f>
        <v>0</v>
      </c>
      <c r="H12" s="50" t="str">
        <f t="shared" si="2"/>
        <v/>
      </c>
    </row>
    <row r="13" spans="1:8" x14ac:dyDescent="0.2">
      <c r="A13" s="62" t="s">
        <v>418</v>
      </c>
      <c r="B13" s="1" t="s">
        <v>201</v>
      </c>
      <c r="C13" s="49">
        <f>SUMIF('TRA-M'!E:E,A13,'TRA-M'!Q:Q)+SUMIF('TRA-W'!E:E,A13,'TRA-W'!Q:Q)+SUMIF('SYN-M'!E:E,A13,'SYN-M'!R:R)/2+SUMIF('SYN-W'!E:E,A13,'SYN-W'!R:R)/2+SUMIF('SYN-M'!F:F,A13,'SYN-M'!R:R)/2+SUMIF('SYN-W'!F:F,A13,'SYN-W'!R:R)/2</f>
        <v>0</v>
      </c>
      <c r="D13" s="50" t="str">
        <f t="shared" si="0"/>
        <v/>
      </c>
      <c r="E13" s="49">
        <f>SUMIF('DMT-M'!E:E,A13,'DMT-M'!Q:Q)+SUMIF('DMT-W'!E:E,A13,'DMT-W'!Q:Q)</f>
        <v>0</v>
      </c>
      <c r="F13" s="50" t="str">
        <f t="shared" si="1"/>
        <v/>
      </c>
      <c r="G13" s="49">
        <f>SUMIF('TUM-M'!E:E,A13,'TUM-M'!Q:Q)+SUMIF('TUM-W'!E:E,A13,'TUM-W'!Q:Q)</f>
        <v>0</v>
      </c>
      <c r="H13" s="50" t="str">
        <f t="shared" si="2"/>
        <v/>
      </c>
    </row>
    <row r="14" spans="1:8" x14ac:dyDescent="0.2">
      <c r="A14" s="62" t="s">
        <v>41</v>
      </c>
      <c r="B14" s="1" t="s">
        <v>197</v>
      </c>
      <c r="C14" s="49">
        <f>SUMIF('TRA-M'!E:E,A14,'TRA-M'!Q:Q)+SUMIF('TRA-W'!E:E,A14,'TRA-W'!Q:Q)+SUMIF('SYN-M'!E:E,A14,'SYN-M'!R:R)/2+SUMIF('SYN-W'!E:E,A14,'SYN-W'!R:R)/2+SUMIF('SYN-M'!F:F,A14,'SYN-M'!R:R)/2+SUMIF('SYN-W'!F:F,A14,'SYN-W'!R:R)/2</f>
        <v>1.5</v>
      </c>
      <c r="D14" s="50">
        <f t="shared" si="0"/>
        <v>8</v>
      </c>
      <c r="E14" s="49">
        <f>SUMIF('DMT-M'!E:E,A14,'DMT-M'!Q:Q)+SUMIF('DMT-W'!E:E,A14,'DMT-W'!Q:Q)</f>
        <v>13</v>
      </c>
      <c r="F14" s="50">
        <f t="shared" si="1"/>
        <v>1</v>
      </c>
      <c r="G14" s="49">
        <f>SUMIF('TUM-M'!E:E,A14,'TUM-M'!Q:Q)+SUMIF('TUM-W'!E:E,A14,'TUM-W'!Q:Q)</f>
        <v>0</v>
      </c>
      <c r="H14" s="50" t="str">
        <f t="shared" si="2"/>
        <v/>
      </c>
    </row>
    <row r="15" spans="1:8" x14ac:dyDescent="0.2">
      <c r="A15" s="62" t="s">
        <v>3</v>
      </c>
      <c r="B15" s="1" t="s">
        <v>196</v>
      </c>
      <c r="C15" s="49">
        <f>SUMIF('TRA-M'!E:E,A15,'TRA-M'!Q:Q)+SUMIF('TRA-W'!E:E,A15,'TRA-W'!Q:Q)+SUMIF('SYN-M'!E:E,A15,'SYN-M'!R:R)/2+SUMIF('SYN-W'!E:E,A15,'SYN-W'!R:R)/2+SUMIF('SYN-M'!F:F,A15,'SYN-M'!R:R)/2+SUMIF('SYN-W'!F:F,A15,'SYN-W'!R:R)/2</f>
        <v>5</v>
      </c>
      <c r="D15" s="50">
        <f t="shared" si="0"/>
        <v>2</v>
      </c>
      <c r="E15" s="49">
        <f>SUMIF('DMT-M'!E:E,A15,'DMT-M'!Q:Q)+SUMIF('DMT-W'!E:E,A15,'DMT-W'!Q:Q)</f>
        <v>0</v>
      </c>
      <c r="F15" s="50" t="str">
        <f t="shared" si="1"/>
        <v/>
      </c>
      <c r="G15" s="49">
        <f>SUMIF('TUM-M'!E:E,A15,'TUM-M'!Q:Q)+SUMIF('TUM-W'!E:E,A15,'TUM-W'!Q:Q)</f>
        <v>2</v>
      </c>
      <c r="H15" s="50">
        <f t="shared" si="2"/>
        <v>6</v>
      </c>
    </row>
    <row r="16" spans="1:8" x14ac:dyDescent="0.2">
      <c r="A16" s="62" t="s">
        <v>290</v>
      </c>
      <c r="B16" s="1" t="s">
        <v>193</v>
      </c>
      <c r="C16" s="49">
        <f>SUMIF('TRA-M'!E:E,A16,'TRA-M'!Q:Q)+SUMIF('TRA-W'!E:E,A16,'TRA-W'!Q:Q)+SUMIF('SYN-M'!E:E,A16,'SYN-M'!R:R)/2+SUMIF('SYN-W'!E:E,A16,'SYN-W'!R:R)/2+SUMIF('SYN-M'!F:F,A16,'SYN-M'!R:R)/2+SUMIF('SYN-W'!F:F,A16,'SYN-W'!R:R)/2</f>
        <v>0</v>
      </c>
      <c r="D16" s="50" t="str">
        <f t="shared" si="0"/>
        <v/>
      </c>
      <c r="E16" s="49">
        <f>SUMIF('DMT-M'!E:E,A16,'DMT-M'!Q:Q)+SUMIF('DMT-W'!E:E,A16,'DMT-W'!Q:Q)</f>
        <v>0</v>
      </c>
      <c r="F16" s="50" t="str">
        <f t="shared" si="1"/>
        <v/>
      </c>
      <c r="G16" s="49">
        <f>SUMIF('TUM-M'!E:E,A16,'TUM-M'!Q:Q)+SUMIF('TUM-W'!E:E,A16,'TUM-W'!Q:Q)</f>
        <v>0</v>
      </c>
      <c r="H16" s="50" t="str">
        <f t="shared" si="2"/>
        <v/>
      </c>
    </row>
    <row r="17" spans="1:19" x14ac:dyDescent="0.2">
      <c r="A17" s="62" t="s">
        <v>310</v>
      </c>
      <c r="B17" s="1" t="s">
        <v>196</v>
      </c>
      <c r="C17" s="49">
        <f>SUMIF('TRA-M'!E:E,A17,'TRA-M'!Q:Q)+SUMIF('TRA-W'!E:E,A17,'TRA-W'!Q:Q)+SUMIF('SYN-M'!E:E,A17,'SYN-M'!R:R)/2+SUMIF('SYN-W'!E:E,A17,'SYN-W'!R:R)/2+SUMIF('SYN-M'!F:F,A17,'SYN-M'!R:R)/2+SUMIF('SYN-W'!F:F,A17,'SYN-W'!R:R)/2</f>
        <v>0</v>
      </c>
      <c r="D17" s="50" t="str">
        <f t="shared" si="0"/>
        <v/>
      </c>
      <c r="E17" s="49">
        <f>SUMIF('DMT-M'!E:E,A17,'DMT-M'!Q:Q)+SUMIF('DMT-W'!E:E,A17,'DMT-W'!Q:Q)</f>
        <v>0</v>
      </c>
      <c r="F17" s="50" t="str">
        <f t="shared" si="1"/>
        <v/>
      </c>
      <c r="G17" s="49">
        <f>SUMIF('TUM-M'!E:E,A17,'TUM-M'!Q:Q)+SUMIF('TUM-W'!E:E,A17,'TUM-W'!Q:Q)</f>
        <v>0</v>
      </c>
      <c r="H17" s="50" t="str">
        <f t="shared" si="2"/>
        <v/>
      </c>
    </row>
    <row r="18" spans="1:19" x14ac:dyDescent="0.2">
      <c r="A18" s="62" t="s">
        <v>70</v>
      </c>
      <c r="B18" s="1" t="s">
        <v>195</v>
      </c>
      <c r="C18" s="49">
        <f>SUMIF('TRA-M'!E:E,A18,'TRA-M'!Q:Q)+SUMIF('TRA-W'!E:E,A18,'TRA-W'!Q:Q)+SUMIF('SYN-M'!E:E,A18,'SYN-M'!R:R)/2+SUMIF('SYN-W'!E:E,A18,'SYN-W'!R:R)/2+SUMIF('SYN-M'!F:F,A18,'SYN-M'!R:R)/2+SUMIF('SYN-W'!F:F,A18,'SYN-W'!R:R)/2</f>
        <v>0</v>
      </c>
      <c r="D18" s="50" t="str">
        <f t="shared" si="0"/>
        <v/>
      </c>
      <c r="E18" s="49">
        <f>SUMIF('DMT-M'!E:E,A18,'DMT-M'!Q:Q)+SUMIF('DMT-W'!E:E,A18,'DMT-W'!Q:Q)</f>
        <v>0</v>
      </c>
      <c r="F18" s="50" t="str">
        <f t="shared" si="1"/>
        <v/>
      </c>
      <c r="G18" s="49">
        <f>SUMIF('TUM-M'!E:E,A18,'TUM-M'!Q:Q)+SUMIF('TUM-W'!E:E,A18,'TUM-W'!Q:Q)</f>
        <v>0</v>
      </c>
      <c r="H18" s="50" t="str">
        <f t="shared" si="2"/>
        <v/>
      </c>
      <c r="N18" s="1"/>
      <c r="O18" s="1"/>
      <c r="P18" s="1"/>
      <c r="Q18" s="1"/>
      <c r="R18" s="1"/>
      <c r="S18" s="1"/>
    </row>
    <row r="19" spans="1:19" x14ac:dyDescent="0.2">
      <c r="A19" s="62" t="s">
        <v>46</v>
      </c>
      <c r="B19" s="1" t="s">
        <v>197</v>
      </c>
      <c r="C19" s="49">
        <f>SUMIF('TRA-M'!E:E,A19,'TRA-M'!Q:Q)+SUMIF('TRA-W'!E:E,A19,'TRA-W'!Q:Q)+SUMIF('SYN-M'!E:E,A19,'SYN-M'!R:R)/2+SUMIF('SYN-W'!E:E,A19,'SYN-W'!R:R)/2+SUMIF('SYN-M'!F:F,A19,'SYN-M'!R:R)/2+SUMIF('SYN-W'!F:F,A19,'SYN-W'!R:R)/2</f>
        <v>2</v>
      </c>
      <c r="D19" s="50">
        <f t="shared" si="0"/>
        <v>6</v>
      </c>
      <c r="E19" s="49">
        <f>SUMIF('DMT-M'!E:E,A19,'DMT-M'!Q:Q)+SUMIF('DMT-W'!E:E,A19,'DMT-W'!Q:Q)</f>
        <v>5</v>
      </c>
      <c r="F19" s="50">
        <f t="shared" si="1"/>
        <v>4</v>
      </c>
      <c r="G19" s="49">
        <f>SUMIF('TUM-M'!E:E,A19,'TUM-M'!Q:Q)+SUMIF('TUM-W'!E:E,A19,'TUM-W'!Q:Q)</f>
        <v>0</v>
      </c>
      <c r="H19" s="50" t="str">
        <f t="shared" si="2"/>
        <v/>
      </c>
    </row>
    <row r="20" spans="1:19" x14ac:dyDescent="0.2">
      <c r="A20" s="62" t="s">
        <v>561</v>
      </c>
      <c r="B20" s="1" t="s">
        <v>200</v>
      </c>
      <c r="C20" s="49">
        <f>SUMIF('TRA-M'!E:E,A20,'TRA-M'!Q:Q)+SUMIF('TRA-W'!E:E,A20,'TRA-W'!Q:Q)+SUMIF('SYN-M'!E:E,A20,'SYN-M'!R:R)/2+SUMIF('SYN-W'!E:E,A20,'SYN-W'!R:R)/2+SUMIF('SYN-M'!F:F,A20,'SYN-M'!R:R)/2+SUMIF('SYN-W'!F:F,A20,'SYN-W'!R:R)/2</f>
        <v>0</v>
      </c>
      <c r="D20" s="50" t="str">
        <f t="shared" si="0"/>
        <v/>
      </c>
      <c r="E20" s="49">
        <f>SUMIF('DMT-M'!E:E,A20,'DMT-M'!Q:Q)+SUMIF('DMT-W'!E:E,A20,'DMT-W'!Q:Q)</f>
        <v>0</v>
      </c>
      <c r="F20" s="50" t="str">
        <f t="shared" si="1"/>
        <v/>
      </c>
      <c r="G20" s="49">
        <f>SUMIF('TUM-M'!E:E,A20,'TUM-M'!Q:Q)+SUMIF('TUM-W'!E:E,A20,'TUM-W'!Q:Q)</f>
        <v>0</v>
      </c>
      <c r="H20" s="50" t="str">
        <f t="shared" si="2"/>
        <v/>
      </c>
    </row>
    <row r="21" spans="1:19" x14ac:dyDescent="0.2">
      <c r="A21" s="62" t="s">
        <v>483</v>
      </c>
      <c r="B21" s="1" t="s">
        <v>193</v>
      </c>
      <c r="C21" s="49">
        <f>SUMIF('TRA-M'!E:E,A21,'TRA-M'!Q:Q)+SUMIF('TRA-W'!E:E,A21,'TRA-W'!Q:Q)+SUMIF('SYN-M'!E:E,A21,'SYN-M'!R:R)/2+SUMIF('SYN-W'!E:E,A21,'SYN-W'!R:R)/2+SUMIF('SYN-M'!F:F,A21,'SYN-M'!R:R)/2+SUMIF('SYN-W'!F:F,A21,'SYN-W'!R:R)/2</f>
        <v>0</v>
      </c>
      <c r="D21" s="50" t="str">
        <f t="shared" si="0"/>
        <v/>
      </c>
      <c r="E21" s="49">
        <f>SUMIF('DMT-M'!E:E,A21,'DMT-M'!Q:Q)+SUMIF('DMT-W'!E:E,A21,'DMT-W'!Q:Q)</f>
        <v>0</v>
      </c>
      <c r="F21" s="50" t="str">
        <f t="shared" si="1"/>
        <v/>
      </c>
      <c r="G21" s="49">
        <f>SUMIF('TUM-M'!E:E,A21,'TUM-M'!Q:Q)+SUMIF('TUM-W'!E:E,A21,'TUM-W'!Q:Q)</f>
        <v>0</v>
      </c>
      <c r="H21" s="50" t="str">
        <f t="shared" si="2"/>
        <v/>
      </c>
    </row>
    <row r="22" spans="1:19" x14ac:dyDescent="0.2">
      <c r="A22" s="62" t="s">
        <v>311</v>
      </c>
      <c r="B22" s="1" t="s">
        <v>193</v>
      </c>
      <c r="C22" s="49">
        <f>SUMIF('TRA-M'!E:E,A22,'TRA-M'!Q:Q)+SUMIF('TRA-W'!E:E,A22,'TRA-W'!Q:Q)+SUMIF('SYN-M'!E:E,A22,'SYN-M'!R:R)/2+SUMIF('SYN-W'!E:E,A22,'SYN-W'!R:R)/2+SUMIF('SYN-M'!F:F,A22,'SYN-M'!R:R)/2+SUMIF('SYN-W'!F:F,A22,'SYN-W'!R:R)/2</f>
        <v>0</v>
      </c>
      <c r="D22" s="50" t="str">
        <f t="shared" si="0"/>
        <v/>
      </c>
      <c r="E22" s="49">
        <f>SUMIF('DMT-M'!E:E,A22,'DMT-M'!Q:Q)+SUMIF('DMT-W'!E:E,A22,'DMT-W'!Q:Q)</f>
        <v>0</v>
      </c>
      <c r="F22" s="50" t="str">
        <f t="shared" si="1"/>
        <v/>
      </c>
      <c r="G22" s="49">
        <f>SUMIF('TUM-M'!E:E,A22,'TUM-M'!Q:Q)+SUMIF('TUM-W'!E:E,A22,'TUM-W'!Q:Q)</f>
        <v>0</v>
      </c>
      <c r="H22" s="50" t="str">
        <f t="shared" si="2"/>
        <v/>
      </c>
    </row>
    <row r="23" spans="1:19" x14ac:dyDescent="0.2">
      <c r="A23" s="62" t="s">
        <v>202</v>
      </c>
      <c r="B23" s="1" t="s">
        <v>196</v>
      </c>
      <c r="C23" s="49">
        <f>SUMIF('TRA-M'!E:E,A23,'TRA-M'!Q:Q)+SUMIF('TRA-W'!E:E,A23,'TRA-W'!Q:Q)+SUMIF('SYN-M'!E:E,A23,'SYN-M'!R:R)/2+SUMIF('SYN-W'!E:E,A23,'SYN-W'!R:R)/2+SUMIF('SYN-M'!F:F,A23,'SYN-M'!R:R)/2+SUMIF('SYN-W'!F:F,A23,'SYN-W'!R:R)/2</f>
        <v>0</v>
      </c>
      <c r="D23" s="50" t="str">
        <f t="shared" si="0"/>
        <v/>
      </c>
      <c r="E23" s="49">
        <f>SUMIF('DMT-M'!E:E,A23,'DMT-M'!Q:Q)+SUMIF('DMT-W'!E:E,A23,'DMT-W'!Q:Q)</f>
        <v>0</v>
      </c>
      <c r="F23" s="50" t="str">
        <f t="shared" si="1"/>
        <v/>
      </c>
      <c r="G23" s="49">
        <f>SUMIF('TUM-M'!E:E,A23,'TUM-M'!Q:Q)+SUMIF('TUM-W'!E:E,A23,'TUM-W'!Q:Q)</f>
        <v>0</v>
      </c>
      <c r="H23" s="50" t="str">
        <f t="shared" si="2"/>
        <v/>
      </c>
    </row>
    <row r="24" spans="1:19" x14ac:dyDescent="0.2">
      <c r="A24" s="62" t="s">
        <v>77</v>
      </c>
      <c r="B24" s="1" t="s">
        <v>196</v>
      </c>
      <c r="C24" s="49">
        <f>SUMIF('TRA-M'!E:E,A24,'TRA-M'!Q:Q)+SUMIF('TRA-W'!E:E,A24,'TRA-W'!Q:Q)+SUMIF('SYN-M'!E:E,A24,'SYN-M'!R:R)/2+SUMIF('SYN-W'!E:E,A24,'SYN-W'!R:R)/2+SUMIF('SYN-M'!F:F,A24,'SYN-M'!R:R)/2+SUMIF('SYN-W'!F:F,A24,'SYN-W'!R:R)/2</f>
        <v>0</v>
      </c>
      <c r="D24" s="50" t="str">
        <f t="shared" si="0"/>
        <v/>
      </c>
      <c r="E24" s="49">
        <f>SUMIF('DMT-M'!E:E,A24,'DMT-M'!Q:Q)+SUMIF('DMT-W'!E:E,A24,'DMT-W'!Q:Q)</f>
        <v>0</v>
      </c>
      <c r="F24" s="50" t="str">
        <f t="shared" si="1"/>
        <v/>
      </c>
      <c r="G24" s="49">
        <f>SUMIF('TUM-M'!E:E,A24,'TUM-M'!Q:Q)+SUMIF('TUM-W'!E:E,A24,'TUM-W'!Q:Q)</f>
        <v>0</v>
      </c>
      <c r="H24" s="50" t="str">
        <f t="shared" si="2"/>
        <v/>
      </c>
    </row>
    <row r="25" spans="1:19" x14ac:dyDescent="0.2">
      <c r="A25" s="62" t="s">
        <v>113</v>
      </c>
      <c r="B25" s="1" t="s">
        <v>193</v>
      </c>
      <c r="C25" s="49">
        <f>SUMIF('TRA-M'!E:E,A25,'TRA-M'!Q:Q)+SUMIF('TRA-W'!E:E,A25,'TRA-W'!Q:Q)+SUMIF('SYN-M'!E:E,A25,'SYN-M'!R:R)/2+SUMIF('SYN-W'!E:E,A25,'SYN-W'!R:R)/2+SUMIF('SYN-M'!F:F,A25,'SYN-M'!R:R)/2+SUMIF('SYN-W'!F:F,A25,'SYN-W'!R:R)/2</f>
        <v>7</v>
      </c>
      <c r="D25" s="50">
        <f t="shared" si="0"/>
        <v>1</v>
      </c>
      <c r="E25" s="49">
        <f>SUMIF('DMT-M'!E:E,A25,'DMT-M'!Q:Q)+SUMIF('DMT-W'!E:E,A25,'DMT-W'!Q:Q)</f>
        <v>0</v>
      </c>
      <c r="F25" s="50" t="str">
        <f t="shared" si="1"/>
        <v/>
      </c>
      <c r="G25" s="49">
        <f>SUMIF('TUM-M'!E:E,A25,'TUM-M'!Q:Q)+SUMIF('TUM-W'!E:E,A25,'TUM-W'!Q:Q)</f>
        <v>0</v>
      </c>
      <c r="H25" s="50" t="str">
        <f t="shared" si="2"/>
        <v/>
      </c>
    </row>
    <row r="26" spans="1:19" x14ac:dyDescent="0.2">
      <c r="A26" s="62" t="s">
        <v>439</v>
      </c>
      <c r="B26" s="1" t="s">
        <v>197</v>
      </c>
      <c r="C26" s="49">
        <f>SUMIF('TRA-M'!E:E,A26,'TRA-M'!Q:Q)+SUMIF('TRA-W'!E:E,A26,'TRA-W'!Q:Q)+SUMIF('SYN-M'!E:E,A26,'SYN-M'!R:R)/2+SUMIF('SYN-W'!E:E,A26,'SYN-W'!R:R)/2+SUMIF('SYN-M'!F:F,A26,'SYN-M'!R:R)/2+SUMIF('SYN-W'!F:F,A26,'SYN-W'!R:R)/2</f>
        <v>0</v>
      </c>
      <c r="D26" s="50" t="str">
        <f t="shared" si="0"/>
        <v/>
      </c>
      <c r="E26" s="49">
        <f>SUMIF('DMT-M'!E:E,A26,'DMT-M'!Q:Q)+SUMIF('DMT-W'!E:E,A26,'DMT-W'!Q:Q)</f>
        <v>0</v>
      </c>
      <c r="F26" s="50" t="str">
        <f t="shared" si="1"/>
        <v/>
      </c>
      <c r="G26" s="49">
        <f>SUMIF('TUM-M'!E:E,A26,'TUM-M'!Q:Q)+SUMIF('TUM-W'!E:E,A26,'TUM-W'!Q:Q)</f>
        <v>0</v>
      </c>
      <c r="H26" s="50" t="str">
        <f t="shared" si="2"/>
        <v/>
      </c>
    </row>
    <row r="27" spans="1:19" x14ac:dyDescent="0.2">
      <c r="A27" s="62" t="s">
        <v>61</v>
      </c>
      <c r="B27" s="1" t="s">
        <v>197</v>
      </c>
      <c r="C27" s="49">
        <f>SUMIF('TRA-M'!E:E,A27,'TRA-M'!Q:Q)+SUMIF('TRA-W'!E:E,A27,'TRA-W'!Q:Q)+SUMIF('SYN-M'!E:E,A27,'SYN-M'!R:R)/2+SUMIF('SYN-W'!E:E,A27,'SYN-W'!R:R)/2+SUMIF('SYN-M'!F:F,A27,'SYN-M'!R:R)/2+SUMIF('SYN-W'!F:F,A27,'SYN-W'!R:R)/2</f>
        <v>0</v>
      </c>
      <c r="D27" s="50" t="str">
        <f t="shared" si="0"/>
        <v/>
      </c>
      <c r="E27" s="49">
        <f>SUMIF('DMT-M'!E:E,A27,'DMT-M'!Q:Q)+SUMIF('DMT-W'!E:E,A27,'DMT-W'!Q:Q)</f>
        <v>0</v>
      </c>
      <c r="F27" s="50" t="str">
        <f t="shared" si="1"/>
        <v/>
      </c>
      <c r="G27" s="49">
        <f>SUMIF('TUM-M'!E:E,A27,'TUM-M'!Q:Q)+SUMIF('TUM-W'!E:E,A27,'TUM-W'!Q:Q)</f>
        <v>0</v>
      </c>
      <c r="H27" s="50" t="str">
        <f t="shared" si="2"/>
        <v/>
      </c>
    </row>
    <row r="28" spans="1:19" x14ac:dyDescent="0.2">
      <c r="A28" s="62" t="s">
        <v>100</v>
      </c>
      <c r="B28" s="1" t="s">
        <v>193</v>
      </c>
      <c r="C28" s="49">
        <f>SUMIF('TRA-M'!E:E,A28,'TRA-M'!Q:Q)+SUMIF('TRA-W'!E:E,A28,'TRA-W'!Q:Q)+SUMIF('SYN-M'!E:E,A28,'SYN-M'!R:R)/2+SUMIF('SYN-W'!E:E,A28,'SYN-W'!R:R)/2+SUMIF('SYN-M'!F:F,A28,'SYN-M'!R:R)/2+SUMIF('SYN-W'!F:F,A28,'SYN-W'!R:R)/2</f>
        <v>0</v>
      </c>
      <c r="D28" s="50" t="str">
        <f t="shared" si="0"/>
        <v/>
      </c>
      <c r="E28" s="49">
        <f>SUMIF('DMT-M'!E:E,A28,'DMT-M'!Q:Q)+SUMIF('DMT-W'!E:E,A28,'DMT-W'!Q:Q)</f>
        <v>3</v>
      </c>
      <c r="F28" s="50">
        <f t="shared" si="1"/>
        <v>6</v>
      </c>
      <c r="G28" s="49">
        <f>SUMIF('TUM-M'!E:E,A28,'TUM-M'!Q:Q)+SUMIF('TUM-W'!E:E,A28,'TUM-W'!Q:Q)</f>
        <v>0</v>
      </c>
      <c r="H28" s="50" t="str">
        <f t="shared" si="2"/>
        <v/>
      </c>
    </row>
    <row r="29" spans="1:19" x14ac:dyDescent="0.2">
      <c r="A29" s="62" t="s">
        <v>48</v>
      </c>
      <c r="B29" s="1" t="s">
        <v>199</v>
      </c>
      <c r="C29" s="49">
        <f>SUMIF('TRA-M'!E:E,A29,'TRA-M'!Q:Q)+SUMIF('TRA-W'!E:E,A29,'TRA-W'!Q:Q)+SUMIF('SYN-M'!E:E,A29,'SYN-M'!R:R)/2+SUMIF('SYN-W'!E:E,A29,'SYN-W'!R:R)/2+SUMIF('SYN-M'!F:F,A29,'SYN-M'!R:R)/2+SUMIF('SYN-W'!F:F,A29,'SYN-W'!R:R)/2</f>
        <v>0</v>
      </c>
      <c r="D29" s="50" t="str">
        <f t="shared" si="0"/>
        <v/>
      </c>
      <c r="E29" s="49">
        <f>SUMIF('DMT-M'!E:E,A29,'DMT-M'!Q:Q)+SUMIF('DMT-W'!E:E,A29,'DMT-W'!Q:Q)</f>
        <v>0</v>
      </c>
      <c r="F29" s="50" t="str">
        <f t="shared" si="1"/>
        <v/>
      </c>
      <c r="G29" s="49">
        <f>SUMIF('TUM-M'!E:E,A29,'TUM-M'!Q:Q)+SUMIF('TUM-W'!E:E,A29,'TUM-W'!Q:Q)</f>
        <v>0</v>
      </c>
      <c r="H29" s="50" t="str">
        <f t="shared" si="2"/>
        <v/>
      </c>
    </row>
    <row r="30" spans="1:19" x14ac:dyDescent="0.2">
      <c r="A30" s="62" t="s">
        <v>312</v>
      </c>
      <c r="B30" s="1" t="s">
        <v>196</v>
      </c>
      <c r="C30" s="49">
        <f>SUMIF('TRA-M'!E:E,A30,'TRA-M'!Q:Q)+SUMIF('TRA-W'!E:E,A30,'TRA-W'!Q:Q)+SUMIF('SYN-M'!E:E,A30,'SYN-M'!R:R)/2+SUMIF('SYN-W'!E:E,A30,'SYN-W'!R:R)/2+SUMIF('SYN-M'!F:F,A30,'SYN-M'!R:R)/2+SUMIF('SYN-W'!F:F,A30,'SYN-W'!R:R)/2</f>
        <v>0</v>
      </c>
      <c r="D30" s="50" t="str">
        <f t="shared" si="0"/>
        <v/>
      </c>
      <c r="E30" s="49">
        <f>SUMIF('DMT-M'!E:E,A30,'DMT-M'!Q:Q)+SUMIF('DMT-W'!E:E,A30,'DMT-W'!Q:Q)</f>
        <v>0</v>
      </c>
      <c r="F30" s="50" t="str">
        <f t="shared" si="1"/>
        <v/>
      </c>
      <c r="G30" s="49">
        <f>SUMIF('TUM-M'!E:E,A30,'TUM-M'!Q:Q)+SUMIF('TUM-W'!E:E,A30,'TUM-W'!Q:Q)</f>
        <v>0</v>
      </c>
      <c r="H30" s="50" t="str">
        <f t="shared" si="2"/>
        <v/>
      </c>
    </row>
    <row r="31" spans="1:19" x14ac:dyDescent="0.2">
      <c r="A31" s="62" t="s">
        <v>73</v>
      </c>
      <c r="B31" s="1" t="s">
        <v>193</v>
      </c>
      <c r="C31" s="49">
        <f>SUMIF('TRA-M'!E:E,A31,'TRA-M'!Q:Q)+SUMIF('TRA-W'!E:E,A31,'TRA-W'!Q:Q)+SUMIF('SYN-M'!E:E,A31,'SYN-M'!R:R)/2+SUMIF('SYN-W'!E:E,A31,'SYN-W'!R:R)/2+SUMIF('SYN-M'!F:F,A31,'SYN-M'!R:R)/2+SUMIF('SYN-W'!F:F,A31,'SYN-W'!R:R)/2</f>
        <v>0</v>
      </c>
      <c r="D31" s="50" t="str">
        <f t="shared" si="0"/>
        <v/>
      </c>
      <c r="E31" s="49">
        <f>SUMIF('DMT-M'!E:E,A31,'DMT-M'!Q:Q)+SUMIF('DMT-W'!E:E,A31,'DMT-W'!Q:Q)</f>
        <v>0</v>
      </c>
      <c r="F31" s="50" t="str">
        <f t="shared" si="1"/>
        <v/>
      </c>
      <c r="G31" s="49">
        <f>SUMIF('TUM-M'!E:E,A31,'TUM-M'!Q:Q)+SUMIF('TUM-W'!E:E,A31,'TUM-W'!Q:Q)</f>
        <v>0</v>
      </c>
      <c r="H31" s="50" t="str">
        <f t="shared" si="2"/>
        <v/>
      </c>
    </row>
    <row r="32" spans="1:19" x14ac:dyDescent="0.2">
      <c r="A32" s="62" t="s">
        <v>175</v>
      </c>
      <c r="B32" s="1" t="s">
        <v>193</v>
      </c>
      <c r="C32" s="49">
        <f>SUMIF('TRA-M'!E:E,A32,'TRA-M'!Q:Q)+SUMIF('TRA-W'!E:E,A32,'TRA-W'!Q:Q)+SUMIF('SYN-M'!E:E,A32,'SYN-M'!R:R)/2+SUMIF('SYN-W'!E:E,A32,'SYN-W'!R:R)/2+SUMIF('SYN-M'!F:F,A32,'SYN-M'!R:R)/2+SUMIF('SYN-W'!F:F,A32,'SYN-W'!R:R)/2</f>
        <v>0</v>
      </c>
      <c r="D32" s="50" t="str">
        <f t="shared" si="0"/>
        <v/>
      </c>
      <c r="E32" s="49">
        <f>SUMIF('DMT-M'!E:E,A32,'DMT-M'!Q:Q)+SUMIF('DMT-W'!E:E,A32,'DMT-W'!Q:Q)</f>
        <v>0</v>
      </c>
      <c r="F32" s="50" t="str">
        <f t="shared" si="1"/>
        <v/>
      </c>
      <c r="G32" s="49">
        <f>SUMIF('TUM-M'!E:E,A32,'TUM-M'!Q:Q)+SUMIF('TUM-W'!E:E,A32,'TUM-W'!Q:Q)</f>
        <v>0</v>
      </c>
      <c r="H32" s="50" t="str">
        <f t="shared" si="2"/>
        <v/>
      </c>
    </row>
    <row r="33" spans="1:8" x14ac:dyDescent="0.2">
      <c r="A33" s="62" t="s">
        <v>62</v>
      </c>
      <c r="B33" s="1" t="s">
        <v>197</v>
      </c>
      <c r="C33" s="49">
        <f>SUMIF('TRA-M'!E:E,A33,'TRA-M'!Q:Q)+SUMIF('TRA-W'!E:E,A33,'TRA-W'!Q:Q)+SUMIF('SYN-M'!E:E,A33,'SYN-M'!R:R)/2+SUMIF('SYN-W'!E:E,A33,'SYN-W'!R:R)/2+SUMIF('SYN-M'!F:F,A33,'SYN-M'!R:R)/2+SUMIF('SYN-W'!F:F,A33,'SYN-W'!R:R)/2</f>
        <v>0</v>
      </c>
      <c r="D33" s="50" t="str">
        <f t="shared" si="0"/>
        <v/>
      </c>
      <c r="E33" s="49">
        <f>SUMIF('DMT-M'!E:E,A33,'DMT-M'!Q:Q)+SUMIF('DMT-W'!E:E,A33,'DMT-W'!Q:Q)</f>
        <v>0</v>
      </c>
      <c r="F33" s="50" t="str">
        <f t="shared" si="1"/>
        <v/>
      </c>
      <c r="G33" s="49">
        <f>SUMIF('TUM-M'!E:E,A33,'TUM-M'!Q:Q)+SUMIF('TUM-W'!E:E,A33,'TUM-W'!Q:Q)</f>
        <v>0</v>
      </c>
      <c r="H33" s="50" t="str">
        <f t="shared" si="2"/>
        <v/>
      </c>
    </row>
    <row r="34" spans="1:8" x14ac:dyDescent="0.2">
      <c r="A34" s="62" t="s">
        <v>485</v>
      </c>
      <c r="B34" s="1" t="s">
        <v>197</v>
      </c>
      <c r="C34" s="49">
        <f>SUMIF('TRA-M'!E:E,A34,'TRA-M'!Q:Q)+SUMIF('TRA-W'!E:E,A34,'TRA-W'!Q:Q)+SUMIF('SYN-M'!E:E,A34,'SYN-M'!R:R)/2+SUMIF('SYN-W'!E:E,A34,'SYN-W'!R:R)/2+SUMIF('SYN-M'!F:F,A34,'SYN-M'!R:R)/2+SUMIF('SYN-W'!F:F,A34,'SYN-W'!R:R)/2</f>
        <v>0</v>
      </c>
      <c r="D34" s="50" t="str">
        <f t="shared" ref="D34:D64" si="3">IF(C34&gt;0,RANK(C34,C$2:C$64),"")</f>
        <v/>
      </c>
      <c r="E34" s="49">
        <f>SUMIF('DMT-M'!E:E,A34,'DMT-M'!Q:Q)+SUMIF('DMT-W'!E:E,A34,'DMT-W'!Q:Q)</f>
        <v>0</v>
      </c>
      <c r="F34" s="50" t="str">
        <f t="shared" ref="F34:F64" si="4">IF(E34&gt;0,RANK(E34,E$2:E$64),"")</f>
        <v/>
      </c>
      <c r="G34" s="49">
        <f>SUMIF('TUM-M'!E:E,A34,'TUM-M'!Q:Q)+SUMIF('TUM-W'!E:E,A34,'TUM-W'!Q:Q)</f>
        <v>0</v>
      </c>
      <c r="H34" s="50" t="str">
        <f t="shared" ref="H34:H64" si="5">IF(G34&gt;0,RANK(G34,G$2:G$64),"")</f>
        <v/>
      </c>
    </row>
    <row r="35" spans="1:8" x14ac:dyDescent="0.2">
      <c r="A35" s="62" t="s">
        <v>58</v>
      </c>
      <c r="B35" s="1" t="s">
        <v>195</v>
      </c>
      <c r="C35" s="49">
        <f>SUMIF('TRA-M'!E:E,A35,'TRA-M'!Q:Q)+SUMIF('TRA-W'!E:E,A35,'TRA-W'!Q:Q)+SUMIF('SYN-M'!E:E,A35,'SYN-M'!R:R)/2+SUMIF('SYN-W'!E:E,A35,'SYN-W'!R:R)/2+SUMIF('SYN-M'!F:F,A35,'SYN-M'!R:R)/2+SUMIF('SYN-W'!F:F,A35,'SYN-W'!R:R)/2</f>
        <v>0</v>
      </c>
      <c r="D35" s="50" t="str">
        <f t="shared" si="3"/>
        <v/>
      </c>
      <c r="E35" s="49">
        <f>SUMIF('DMT-M'!E:E,A35,'DMT-M'!Q:Q)+SUMIF('DMT-W'!E:E,A35,'DMT-W'!Q:Q)</f>
        <v>0</v>
      </c>
      <c r="F35" s="50" t="str">
        <f t="shared" si="4"/>
        <v/>
      </c>
      <c r="G35" s="49">
        <f>SUMIF('TUM-M'!E:E,A35,'TUM-M'!Q:Q)+SUMIF('TUM-W'!E:E,A35,'TUM-W'!Q:Q)</f>
        <v>1</v>
      </c>
      <c r="H35" s="50">
        <f t="shared" si="5"/>
        <v>7</v>
      </c>
    </row>
    <row r="36" spans="1:8" x14ac:dyDescent="0.2">
      <c r="A36" s="62" t="s">
        <v>64</v>
      </c>
      <c r="B36" s="1" t="s">
        <v>195</v>
      </c>
      <c r="C36" s="49">
        <f>SUMIF('TRA-M'!E:E,A36,'TRA-M'!Q:Q)+SUMIF('TRA-W'!E:E,A36,'TRA-W'!Q:Q)+SUMIF('SYN-M'!E:E,A36,'SYN-M'!R:R)/2+SUMIF('SYN-W'!E:E,A36,'SYN-W'!R:R)/2+SUMIF('SYN-M'!F:F,A36,'SYN-M'!R:R)/2+SUMIF('SYN-W'!F:F,A36,'SYN-W'!R:R)/2</f>
        <v>0</v>
      </c>
      <c r="D36" s="50" t="str">
        <f t="shared" si="3"/>
        <v/>
      </c>
      <c r="E36" s="49">
        <f>SUMIF('DMT-M'!E:E,A36,'DMT-M'!Q:Q)+SUMIF('DMT-W'!E:E,A36,'DMT-W'!Q:Q)</f>
        <v>9</v>
      </c>
      <c r="F36" s="50">
        <f t="shared" si="4"/>
        <v>2</v>
      </c>
      <c r="G36" s="49">
        <f>SUMIF('TUM-M'!E:E,A36,'TUM-M'!Q:Q)+SUMIF('TUM-W'!E:E,A36,'TUM-W'!Q:Q)</f>
        <v>6</v>
      </c>
      <c r="H36" s="50">
        <f t="shared" si="5"/>
        <v>1</v>
      </c>
    </row>
    <row r="37" spans="1:8" x14ac:dyDescent="0.2">
      <c r="A37" s="62" t="s">
        <v>434</v>
      </c>
      <c r="B37" s="1" t="s">
        <v>197</v>
      </c>
      <c r="C37" s="49">
        <f>SUMIF('TRA-M'!E:E,A37,'TRA-M'!Q:Q)+SUMIF('TRA-W'!E:E,A37,'TRA-W'!Q:Q)+SUMIF('SYN-M'!E:E,A37,'SYN-M'!R:R)/2+SUMIF('SYN-W'!E:E,A37,'SYN-W'!R:R)/2+SUMIF('SYN-M'!F:F,A37,'SYN-M'!R:R)/2+SUMIF('SYN-W'!F:F,A37,'SYN-W'!R:R)/2</f>
        <v>0</v>
      </c>
      <c r="D37" s="50" t="str">
        <f t="shared" si="3"/>
        <v/>
      </c>
      <c r="E37" s="49">
        <f>SUMIF('DMT-M'!E:E,A37,'DMT-M'!Q:Q)+SUMIF('DMT-W'!E:E,A37,'DMT-W'!Q:Q)</f>
        <v>0</v>
      </c>
      <c r="F37" s="50" t="str">
        <f t="shared" si="4"/>
        <v/>
      </c>
      <c r="G37" s="49">
        <f>SUMIF('TUM-M'!E:E,A37,'TUM-M'!Q:Q)+SUMIF('TUM-W'!E:E,A37,'TUM-W'!Q:Q)</f>
        <v>0</v>
      </c>
      <c r="H37" s="50" t="str">
        <f t="shared" si="5"/>
        <v/>
      </c>
    </row>
    <row r="38" spans="1:8" x14ac:dyDescent="0.2">
      <c r="A38" s="62" t="s">
        <v>558</v>
      </c>
      <c r="B38" s="1" t="s">
        <v>193</v>
      </c>
      <c r="C38" s="49">
        <f>SUMIF('TRA-M'!E:E,A38,'TRA-M'!Q:Q)+SUMIF('TRA-W'!E:E,A38,'TRA-W'!Q:Q)+SUMIF('SYN-M'!E:E,A38,'SYN-M'!R:R)/2+SUMIF('SYN-W'!E:E,A38,'SYN-W'!R:R)/2+SUMIF('SYN-M'!F:F,A38,'SYN-M'!R:R)/2+SUMIF('SYN-W'!F:F,A38,'SYN-W'!R:R)/2</f>
        <v>0</v>
      </c>
      <c r="D38" s="50" t="str">
        <f t="shared" si="3"/>
        <v/>
      </c>
      <c r="E38" s="49">
        <f>SUMIF('DMT-M'!E:E,A38,'DMT-M'!Q:Q)+SUMIF('DMT-W'!E:E,A38,'DMT-W'!Q:Q)</f>
        <v>0</v>
      </c>
      <c r="F38" s="50" t="str">
        <f t="shared" si="4"/>
        <v/>
      </c>
      <c r="G38" s="49">
        <f>SUMIF('TUM-M'!E:E,A38,'TUM-M'!Q:Q)+SUMIF('TUM-W'!E:E,A38,'TUM-W'!Q:Q)</f>
        <v>0</v>
      </c>
      <c r="H38" s="50" t="str">
        <f t="shared" si="5"/>
        <v/>
      </c>
    </row>
    <row r="39" spans="1:8" x14ac:dyDescent="0.2">
      <c r="A39" s="62" t="s">
        <v>285</v>
      </c>
      <c r="B39" s="1" t="s">
        <v>196</v>
      </c>
      <c r="C39" s="49">
        <f>SUMIF('TRA-M'!E:E,A39,'TRA-M'!Q:Q)+SUMIF('TRA-W'!E:E,A39,'TRA-W'!Q:Q)+SUMIF('SYN-M'!E:E,A39,'SYN-M'!R:R)/2+SUMIF('SYN-W'!E:E,A39,'SYN-W'!R:R)/2+SUMIF('SYN-M'!F:F,A39,'SYN-M'!R:R)/2+SUMIF('SYN-W'!F:F,A39,'SYN-W'!R:R)/2</f>
        <v>3.5</v>
      </c>
      <c r="D39" s="50">
        <f t="shared" si="3"/>
        <v>4</v>
      </c>
      <c r="E39" s="49">
        <f>SUMIF('DMT-M'!E:E,A39,'DMT-M'!Q:Q)+SUMIF('DMT-W'!E:E,A39,'DMT-W'!Q:Q)</f>
        <v>0</v>
      </c>
      <c r="F39" s="50" t="str">
        <f t="shared" si="4"/>
        <v/>
      </c>
      <c r="G39" s="49">
        <f>SUMIF('TUM-M'!E:E,A39,'TUM-M'!Q:Q)+SUMIF('TUM-W'!E:E,A39,'TUM-W'!Q:Q)</f>
        <v>0</v>
      </c>
      <c r="H39" s="50" t="str">
        <f t="shared" si="5"/>
        <v/>
      </c>
    </row>
    <row r="40" spans="1:8" x14ac:dyDescent="0.2">
      <c r="A40" s="62" t="s">
        <v>162</v>
      </c>
      <c r="B40" s="1" t="s">
        <v>193</v>
      </c>
      <c r="C40" s="49">
        <f>SUMIF('TRA-M'!E:E,A40,'TRA-M'!Q:Q)+SUMIF('TRA-W'!E:E,A40,'TRA-W'!Q:Q)+SUMIF('SYN-M'!E:E,A40,'SYN-M'!R:R)/2+SUMIF('SYN-W'!E:E,A40,'SYN-W'!R:R)/2+SUMIF('SYN-M'!F:F,A40,'SYN-M'!R:R)/2+SUMIF('SYN-W'!F:F,A40,'SYN-W'!R:R)/2</f>
        <v>0</v>
      </c>
      <c r="D40" s="50" t="str">
        <f t="shared" si="3"/>
        <v/>
      </c>
      <c r="E40" s="49">
        <f>SUMIF('DMT-M'!E:E,A40,'DMT-M'!Q:Q)+SUMIF('DMT-W'!E:E,A40,'DMT-W'!Q:Q)</f>
        <v>0</v>
      </c>
      <c r="F40" s="50" t="str">
        <f t="shared" si="4"/>
        <v/>
      </c>
      <c r="G40" s="49">
        <f>SUMIF('TUM-M'!E:E,A40,'TUM-M'!Q:Q)+SUMIF('TUM-W'!E:E,A40,'TUM-W'!Q:Q)</f>
        <v>5</v>
      </c>
      <c r="H40" s="50">
        <f t="shared" si="5"/>
        <v>2</v>
      </c>
    </row>
    <row r="41" spans="1:8" x14ac:dyDescent="0.2">
      <c r="A41" s="62" t="s">
        <v>282</v>
      </c>
      <c r="B41" s="1" t="s">
        <v>197</v>
      </c>
      <c r="C41" s="49">
        <f>SUMIF('TRA-M'!E:E,A41,'TRA-M'!Q:Q)+SUMIF('TRA-W'!E:E,A41,'TRA-W'!Q:Q)+SUMIF('SYN-M'!E:E,A41,'SYN-M'!R:R)/2+SUMIF('SYN-W'!E:E,A41,'SYN-W'!R:R)/2+SUMIF('SYN-M'!F:F,A41,'SYN-M'!R:R)/2+SUMIF('SYN-W'!F:F,A41,'SYN-W'!R:R)/2</f>
        <v>0</v>
      </c>
      <c r="D41" s="50" t="str">
        <f t="shared" si="3"/>
        <v/>
      </c>
      <c r="E41" s="49">
        <f>SUMIF('DMT-M'!E:E,A41,'DMT-M'!Q:Q)+SUMIF('DMT-W'!E:E,A41,'DMT-W'!Q:Q)</f>
        <v>0</v>
      </c>
      <c r="F41" s="50" t="str">
        <f t="shared" si="4"/>
        <v/>
      </c>
      <c r="G41" s="49">
        <f>SUMIF('TUM-M'!E:E,A41,'TUM-M'!Q:Q)+SUMIF('TUM-W'!E:E,A41,'TUM-W'!Q:Q)</f>
        <v>0</v>
      </c>
      <c r="H41" s="50" t="str">
        <f t="shared" si="5"/>
        <v/>
      </c>
    </row>
    <row r="42" spans="1:8" x14ac:dyDescent="0.2">
      <c r="A42" s="62" t="s">
        <v>167</v>
      </c>
      <c r="B42" s="1" t="s">
        <v>193</v>
      </c>
      <c r="C42" s="49">
        <f>SUMIF('TRA-M'!E:E,A42,'TRA-M'!Q:Q)+SUMIF('TRA-W'!E:E,A42,'TRA-W'!Q:Q)+SUMIF('SYN-M'!E:E,A42,'SYN-M'!R:R)/2+SUMIF('SYN-W'!E:E,A42,'SYN-W'!R:R)/2+SUMIF('SYN-M'!F:F,A42,'SYN-M'!R:R)/2+SUMIF('SYN-W'!F:F,A42,'SYN-W'!R:R)/2</f>
        <v>0</v>
      </c>
      <c r="D42" s="50" t="str">
        <f t="shared" si="3"/>
        <v/>
      </c>
      <c r="E42" s="49">
        <f>SUMIF('DMT-M'!E:E,A42,'DMT-M'!Q:Q)+SUMIF('DMT-W'!E:E,A42,'DMT-W'!Q:Q)</f>
        <v>0</v>
      </c>
      <c r="F42" s="50" t="str">
        <f t="shared" si="4"/>
        <v/>
      </c>
      <c r="G42" s="49">
        <f>SUMIF('TUM-M'!E:E,A42,'TUM-M'!Q:Q)+SUMIF('TUM-W'!E:E,A42,'TUM-W'!Q:Q)</f>
        <v>0</v>
      </c>
      <c r="H42" s="50" t="str">
        <f t="shared" si="5"/>
        <v/>
      </c>
    </row>
    <row r="43" spans="1:8" x14ac:dyDescent="0.2">
      <c r="A43" s="62" t="s">
        <v>287</v>
      </c>
      <c r="B43" s="1" t="s">
        <v>198</v>
      </c>
      <c r="C43" s="49">
        <f>SUMIF('TRA-M'!E:E,A43,'TRA-M'!Q:Q)+SUMIF('TRA-W'!E:E,A43,'TRA-W'!Q:Q)+SUMIF('SYN-M'!E:E,A43,'SYN-M'!R:R)/2+SUMIF('SYN-W'!E:E,A43,'SYN-W'!R:R)/2+SUMIF('SYN-M'!F:F,A43,'SYN-M'!R:R)/2+SUMIF('SYN-W'!F:F,A43,'SYN-W'!R:R)/2</f>
        <v>0</v>
      </c>
      <c r="D43" s="50" t="str">
        <f t="shared" si="3"/>
        <v/>
      </c>
      <c r="E43" s="49">
        <f>SUMIF('DMT-M'!E:E,A43,'DMT-M'!Q:Q)+SUMIF('DMT-W'!E:E,A43,'DMT-W'!Q:Q)</f>
        <v>0</v>
      </c>
      <c r="F43" s="50" t="str">
        <f t="shared" si="4"/>
        <v/>
      </c>
      <c r="G43" s="49">
        <f>SUMIF('TUM-M'!E:E,A43,'TUM-M'!Q:Q)+SUMIF('TUM-W'!E:E,A43,'TUM-W'!Q:Q)</f>
        <v>0</v>
      </c>
      <c r="H43" s="50" t="str">
        <f t="shared" si="5"/>
        <v/>
      </c>
    </row>
    <row r="44" spans="1:8" x14ac:dyDescent="0.2">
      <c r="A44" s="62" t="s">
        <v>426</v>
      </c>
      <c r="B44" s="1" t="s">
        <v>193</v>
      </c>
      <c r="C44" s="49">
        <f>SUMIF('TRA-M'!E:E,A44,'TRA-M'!Q:Q)+SUMIF('TRA-W'!E:E,A44,'TRA-W'!Q:Q)+SUMIF('SYN-M'!E:E,A44,'SYN-M'!R:R)/2+SUMIF('SYN-W'!E:E,A44,'SYN-W'!R:R)/2+SUMIF('SYN-M'!F:F,A44,'SYN-M'!R:R)/2+SUMIF('SYN-W'!F:F,A44,'SYN-W'!R:R)/2</f>
        <v>0</v>
      </c>
      <c r="D44" s="50" t="str">
        <f t="shared" si="3"/>
        <v/>
      </c>
      <c r="E44" s="49">
        <f>SUMIF('DMT-M'!E:E,A44,'DMT-M'!Q:Q)+SUMIF('DMT-W'!E:E,A44,'DMT-W'!Q:Q)</f>
        <v>0</v>
      </c>
      <c r="F44" s="50" t="str">
        <f t="shared" si="4"/>
        <v/>
      </c>
      <c r="G44" s="49">
        <f>SUMIF('TUM-M'!E:E,A44,'TUM-M'!Q:Q)+SUMIF('TUM-W'!E:E,A44,'TUM-W'!Q:Q)</f>
        <v>0</v>
      </c>
      <c r="H44" s="50" t="str">
        <f t="shared" si="5"/>
        <v/>
      </c>
    </row>
    <row r="45" spans="1:8" x14ac:dyDescent="0.2">
      <c r="A45" s="62" t="s">
        <v>37</v>
      </c>
      <c r="B45" s="1" t="s">
        <v>197</v>
      </c>
      <c r="C45" s="49">
        <f>SUMIF('TRA-M'!E:E,A45,'TRA-M'!Q:Q)+SUMIF('TRA-W'!E:E,A45,'TRA-W'!Q:Q)+SUMIF('SYN-M'!E:E,A45,'SYN-M'!R:R)/2+SUMIF('SYN-W'!E:E,A45,'SYN-W'!R:R)/2+SUMIF('SYN-M'!F:F,A45,'SYN-M'!R:R)/2+SUMIF('SYN-W'!F:F,A45,'SYN-W'!R:R)/2</f>
        <v>0</v>
      </c>
      <c r="D45" s="50" t="str">
        <f t="shared" si="3"/>
        <v/>
      </c>
      <c r="E45" s="49">
        <f>SUMIF('DMT-M'!E:E,A45,'DMT-M'!Q:Q)+SUMIF('DMT-W'!E:E,A45,'DMT-W'!Q:Q)</f>
        <v>0</v>
      </c>
      <c r="F45" s="50" t="str">
        <f t="shared" si="4"/>
        <v/>
      </c>
      <c r="G45" s="49">
        <f>SUMIF('TUM-M'!E:E,A45,'TUM-M'!Q:Q)+SUMIF('TUM-W'!E:E,A45,'TUM-W'!Q:Q)</f>
        <v>0</v>
      </c>
      <c r="H45" s="50" t="str">
        <f t="shared" si="5"/>
        <v/>
      </c>
    </row>
    <row r="46" spans="1:8" x14ac:dyDescent="0.2">
      <c r="A46" s="62" t="s">
        <v>38</v>
      </c>
      <c r="B46" s="1" t="s">
        <v>193</v>
      </c>
      <c r="C46" s="49">
        <f>SUMIF('TRA-M'!E:E,A46,'TRA-M'!Q:Q)+SUMIF('TRA-W'!E:E,A46,'TRA-W'!Q:Q)+SUMIF('SYN-M'!E:E,A46,'SYN-M'!R:R)/2+SUMIF('SYN-W'!E:E,A46,'SYN-W'!R:R)/2+SUMIF('SYN-M'!F:F,A46,'SYN-M'!R:R)/2+SUMIF('SYN-W'!F:F,A46,'SYN-W'!R:R)/2</f>
        <v>3</v>
      </c>
      <c r="D46" s="50">
        <f t="shared" si="3"/>
        <v>5</v>
      </c>
      <c r="E46" s="49">
        <f>SUMIF('DMT-M'!E:E,A46,'DMT-M'!Q:Q)+SUMIF('DMT-W'!E:E,A46,'DMT-W'!Q:Q)</f>
        <v>0</v>
      </c>
      <c r="F46" s="50" t="str">
        <f t="shared" si="4"/>
        <v/>
      </c>
      <c r="G46" s="49">
        <f>SUMIF('TUM-M'!E:E,A46,'TUM-M'!Q:Q)+SUMIF('TUM-W'!E:E,A46,'TUM-W'!Q:Q)</f>
        <v>0</v>
      </c>
      <c r="H46" s="50" t="str">
        <f t="shared" si="5"/>
        <v/>
      </c>
    </row>
    <row r="47" spans="1:8" x14ac:dyDescent="0.2">
      <c r="A47" s="62" t="s">
        <v>283</v>
      </c>
      <c r="B47" s="1" t="s">
        <v>193</v>
      </c>
      <c r="C47" s="49">
        <f>SUMIF('TRA-M'!E:E,A47,'TRA-M'!Q:Q)+SUMIF('TRA-W'!E:E,A47,'TRA-W'!Q:Q)+SUMIF('SYN-M'!E:E,A47,'SYN-M'!R:R)/2+SUMIF('SYN-W'!E:E,A47,'SYN-W'!R:R)/2+SUMIF('SYN-M'!F:F,A47,'SYN-M'!R:R)/2+SUMIF('SYN-W'!F:F,A47,'SYN-W'!R:R)/2</f>
        <v>0</v>
      </c>
      <c r="D47" s="50" t="str">
        <f t="shared" si="3"/>
        <v/>
      </c>
      <c r="E47" s="49">
        <f>SUMIF('DMT-M'!E:E,A47,'DMT-M'!Q:Q)+SUMIF('DMT-W'!E:E,A47,'DMT-W'!Q:Q)</f>
        <v>0</v>
      </c>
      <c r="F47" s="50" t="str">
        <f t="shared" si="4"/>
        <v/>
      </c>
      <c r="G47" s="49">
        <f>SUMIF('TUM-M'!E:E,A47,'TUM-M'!Q:Q)+SUMIF('TUM-W'!E:E,A47,'TUM-W'!Q:Q)</f>
        <v>0</v>
      </c>
      <c r="H47" s="50" t="str">
        <f t="shared" si="5"/>
        <v/>
      </c>
    </row>
    <row r="48" spans="1:8" x14ac:dyDescent="0.2">
      <c r="A48" s="62" t="s">
        <v>291</v>
      </c>
      <c r="B48" s="1" t="s">
        <v>193</v>
      </c>
      <c r="C48" s="49">
        <f>SUMIF('TRA-M'!E:E,A48,'TRA-M'!Q:Q)+SUMIF('TRA-W'!E:E,A48,'TRA-W'!Q:Q)+SUMIF('SYN-M'!E:E,A48,'SYN-M'!R:R)/2+SUMIF('SYN-W'!E:E,A48,'SYN-W'!R:R)/2+SUMIF('SYN-M'!F:F,A48,'SYN-M'!R:R)/2+SUMIF('SYN-W'!F:F,A48,'SYN-W'!R:R)/2</f>
        <v>0</v>
      </c>
      <c r="D48" s="50" t="str">
        <f t="shared" si="3"/>
        <v/>
      </c>
      <c r="E48" s="49">
        <f>SUMIF('DMT-M'!E:E,A48,'DMT-M'!Q:Q)+SUMIF('DMT-W'!E:E,A48,'DMT-W'!Q:Q)</f>
        <v>0</v>
      </c>
      <c r="F48" s="50" t="str">
        <f t="shared" si="4"/>
        <v/>
      </c>
      <c r="G48" s="49">
        <f>SUMIF('TUM-M'!E:E,A48,'TUM-M'!Q:Q)+SUMIF('TUM-W'!E:E,A48,'TUM-W'!Q:Q)</f>
        <v>3</v>
      </c>
      <c r="H48" s="50">
        <f t="shared" si="5"/>
        <v>5</v>
      </c>
    </row>
    <row r="49" spans="1:8" x14ac:dyDescent="0.2">
      <c r="A49" s="62" t="s">
        <v>45</v>
      </c>
      <c r="B49" s="1" t="s">
        <v>194</v>
      </c>
      <c r="C49" s="49">
        <f>SUMIF('TRA-M'!E:E,A49,'TRA-M'!Q:Q)+SUMIF('TRA-W'!E:E,A49,'TRA-W'!Q:Q)+SUMIF('SYN-M'!E:E,A49,'SYN-M'!R:R)/2+SUMIF('SYN-W'!E:E,A49,'SYN-W'!R:R)/2+SUMIF('SYN-M'!F:F,A49,'SYN-M'!R:R)/2+SUMIF('SYN-W'!F:F,A49,'SYN-W'!R:R)/2</f>
        <v>0</v>
      </c>
      <c r="D49" s="50" t="str">
        <f t="shared" si="3"/>
        <v/>
      </c>
      <c r="E49" s="49">
        <f>SUMIF('DMT-M'!E:E,A49,'DMT-M'!Q:Q)+SUMIF('DMT-W'!E:E,A49,'DMT-W'!Q:Q)</f>
        <v>0</v>
      </c>
      <c r="F49" s="50" t="str">
        <f t="shared" si="4"/>
        <v/>
      </c>
      <c r="G49" s="49">
        <f>SUMIF('TUM-M'!E:E,A49,'TUM-M'!Q:Q)+SUMIF('TUM-W'!E:E,A49,'TUM-W'!Q:Q)</f>
        <v>0</v>
      </c>
      <c r="H49" s="50" t="str">
        <f t="shared" si="5"/>
        <v/>
      </c>
    </row>
    <row r="50" spans="1:8" x14ac:dyDescent="0.2">
      <c r="A50" s="62" t="s">
        <v>57</v>
      </c>
      <c r="B50" s="1" t="s">
        <v>197</v>
      </c>
      <c r="C50" s="49">
        <f>SUMIF('TRA-M'!E:E,A50,'TRA-M'!Q:Q)+SUMIF('TRA-W'!E:E,A50,'TRA-W'!Q:Q)+SUMIF('SYN-M'!E:E,A50,'SYN-M'!R:R)/2+SUMIF('SYN-W'!E:E,A50,'SYN-W'!R:R)/2+SUMIF('SYN-M'!F:F,A50,'SYN-M'!R:R)/2+SUMIF('SYN-W'!F:F,A50,'SYN-W'!R:R)/2</f>
        <v>0</v>
      </c>
      <c r="D50" s="50" t="str">
        <f t="shared" si="3"/>
        <v/>
      </c>
      <c r="E50" s="49">
        <f>SUMIF('DMT-M'!E:E,A50,'DMT-M'!Q:Q)+SUMIF('DMT-W'!E:E,A50,'DMT-W'!Q:Q)</f>
        <v>1</v>
      </c>
      <c r="F50" s="50">
        <f t="shared" si="4"/>
        <v>8</v>
      </c>
      <c r="G50" s="49">
        <f>SUMIF('TUM-M'!E:E,A50,'TUM-M'!Q:Q)+SUMIF('TUM-W'!E:E,A50,'TUM-W'!Q:Q)</f>
        <v>0</v>
      </c>
      <c r="H50" s="50" t="str">
        <f t="shared" si="5"/>
        <v/>
      </c>
    </row>
    <row r="51" spans="1:8" x14ac:dyDescent="0.2">
      <c r="A51" s="62" t="s">
        <v>69</v>
      </c>
      <c r="B51" s="1" t="s">
        <v>200</v>
      </c>
      <c r="C51" s="49">
        <f>SUMIF('TRA-M'!E:E,A51,'TRA-M'!Q:Q)+SUMIF('TRA-W'!E:E,A51,'TRA-W'!Q:Q)+SUMIF('SYN-M'!E:E,A51,'SYN-M'!R:R)/2+SUMIF('SYN-W'!E:E,A51,'SYN-W'!R:R)/2+SUMIF('SYN-M'!F:F,A51,'SYN-M'!R:R)/2+SUMIF('SYN-W'!F:F,A51,'SYN-W'!R:R)/2</f>
        <v>0</v>
      </c>
      <c r="D51" s="50" t="str">
        <f t="shared" si="3"/>
        <v/>
      </c>
      <c r="E51" s="49">
        <f>SUMIF('DMT-M'!E:E,A51,'DMT-M'!Q:Q)+SUMIF('DMT-W'!E:E,A51,'DMT-W'!Q:Q)</f>
        <v>0</v>
      </c>
      <c r="F51" s="50" t="str">
        <f t="shared" si="4"/>
        <v/>
      </c>
      <c r="G51" s="49">
        <f>SUMIF('TUM-M'!E:E,A51,'TUM-M'!Q:Q)+SUMIF('TUM-W'!E:E,A51,'TUM-W'!Q:Q)</f>
        <v>0</v>
      </c>
      <c r="H51" s="50" t="str">
        <f t="shared" si="5"/>
        <v/>
      </c>
    </row>
    <row r="52" spans="1:8" x14ac:dyDescent="0.2">
      <c r="A52" s="62" t="s">
        <v>40</v>
      </c>
      <c r="B52" s="1" t="s">
        <v>195</v>
      </c>
      <c r="C52" s="49">
        <f>SUMIF('TRA-M'!E:E,A52,'TRA-M'!Q:Q)+SUMIF('TRA-W'!E:E,A52,'TRA-W'!Q:Q)+SUMIF('SYN-M'!E:E,A52,'SYN-M'!R:R)/2+SUMIF('SYN-W'!E:E,A52,'SYN-W'!R:R)/2+SUMIF('SYN-M'!F:F,A52,'SYN-M'!R:R)/2+SUMIF('SYN-W'!F:F,A52,'SYN-W'!R:R)/2</f>
        <v>1</v>
      </c>
      <c r="D52" s="50">
        <f t="shared" si="3"/>
        <v>9</v>
      </c>
      <c r="E52" s="49">
        <f>SUMIF('DMT-M'!E:E,A52,'DMT-M'!Q:Q)+SUMIF('DMT-W'!E:E,A52,'DMT-W'!Q:Q)</f>
        <v>1</v>
      </c>
      <c r="F52" s="50">
        <f t="shared" si="4"/>
        <v>8</v>
      </c>
      <c r="G52" s="49">
        <f>SUMIF('TUM-M'!E:E,A52,'TUM-M'!Q:Q)+SUMIF('TUM-W'!E:E,A52,'TUM-W'!Q:Q)</f>
        <v>0</v>
      </c>
      <c r="H52" s="50" t="str">
        <f t="shared" si="5"/>
        <v/>
      </c>
    </row>
    <row r="53" spans="1:8" x14ac:dyDescent="0.2">
      <c r="A53" s="62" t="s">
        <v>134</v>
      </c>
      <c r="B53" s="1" t="s">
        <v>198</v>
      </c>
      <c r="C53" s="49">
        <f>SUMIF('TRA-M'!E:E,A53,'TRA-M'!Q:Q)+SUMIF('TRA-W'!E:E,A53,'TRA-W'!Q:Q)+SUMIF('SYN-M'!E:E,A53,'SYN-M'!R:R)/2+SUMIF('SYN-W'!E:E,A53,'SYN-W'!R:R)/2+SUMIF('SYN-M'!F:F,A53,'SYN-M'!R:R)/2+SUMIF('SYN-W'!F:F,A53,'SYN-W'!R:R)/2</f>
        <v>0</v>
      </c>
      <c r="D53" s="50" t="str">
        <f t="shared" si="3"/>
        <v/>
      </c>
      <c r="E53" s="49">
        <f>SUMIF('DMT-M'!E:E,A53,'DMT-M'!Q:Q)+SUMIF('DMT-W'!E:E,A53,'DMT-W'!Q:Q)</f>
        <v>0</v>
      </c>
      <c r="F53" s="50" t="str">
        <f t="shared" si="4"/>
        <v/>
      </c>
      <c r="G53" s="49">
        <f>SUMIF('TUM-M'!E:E,A53,'TUM-M'!Q:Q)+SUMIF('TUM-W'!E:E,A53,'TUM-W'!Q:Q)</f>
        <v>0</v>
      </c>
      <c r="H53" s="50" t="str">
        <f t="shared" si="5"/>
        <v/>
      </c>
    </row>
    <row r="54" spans="1:8" x14ac:dyDescent="0.2">
      <c r="A54" s="50" t="s">
        <v>59</v>
      </c>
      <c r="B54" s="1" t="s">
        <v>196</v>
      </c>
      <c r="C54" s="49">
        <f>SUMIF('TRA-M'!E:E,A54,'TRA-M'!Q:Q)+SUMIF('TRA-W'!E:E,A54,'TRA-W'!Q:Q)+SUMIF('SYN-M'!E:E,A54,'SYN-M'!R:R)/2+SUMIF('SYN-W'!E:E,A54,'SYN-W'!R:R)/2+SUMIF('SYN-M'!F:F,A54,'SYN-M'!R:R)/2+SUMIF('SYN-W'!F:F,A54,'SYN-W'!R:R)/2</f>
        <v>0</v>
      </c>
      <c r="D54" s="50" t="str">
        <f t="shared" si="3"/>
        <v/>
      </c>
      <c r="E54" s="49">
        <f>SUMIF('DMT-M'!E:E,A54,'DMT-M'!Q:Q)+SUMIF('DMT-W'!E:E,A54,'DMT-W'!Q:Q)</f>
        <v>0</v>
      </c>
      <c r="F54" s="50" t="str">
        <f t="shared" si="4"/>
        <v/>
      </c>
      <c r="G54" s="49">
        <f>SUMIF('TUM-M'!E:E,A54,'TUM-M'!Q:Q)+SUMIF('TUM-W'!E:E,A54,'TUM-W'!Q:Q)</f>
        <v>0</v>
      </c>
      <c r="H54" s="50" t="str">
        <f t="shared" si="5"/>
        <v/>
      </c>
    </row>
    <row r="55" spans="1:8" x14ac:dyDescent="0.2">
      <c r="A55" s="50" t="s">
        <v>313</v>
      </c>
      <c r="B55" s="1" t="s">
        <v>193</v>
      </c>
      <c r="C55" s="49">
        <f>SUMIF('TRA-M'!E:E,A55,'TRA-M'!Q:Q)+SUMIF('TRA-W'!E:E,A55,'TRA-W'!Q:Q)+SUMIF('SYN-M'!E:E,A55,'SYN-M'!R:R)/2+SUMIF('SYN-W'!E:E,A55,'SYN-W'!R:R)/2+SUMIF('SYN-M'!F:F,A55,'SYN-M'!R:R)/2+SUMIF('SYN-W'!F:F,A55,'SYN-W'!R:R)/2</f>
        <v>0</v>
      </c>
      <c r="D55" s="50" t="str">
        <f t="shared" si="3"/>
        <v/>
      </c>
      <c r="E55" s="49">
        <f>SUMIF('DMT-M'!E:E,A55,'DMT-M'!Q:Q)+SUMIF('DMT-W'!E:E,A55,'DMT-W'!Q:Q)</f>
        <v>0</v>
      </c>
      <c r="F55" s="50" t="str">
        <f t="shared" si="4"/>
        <v/>
      </c>
      <c r="G55" s="49">
        <f>SUMIF('TUM-M'!E:E,A55,'TUM-M'!Q:Q)+SUMIF('TUM-W'!E:E,A55,'TUM-W'!Q:Q)</f>
        <v>0</v>
      </c>
      <c r="H55" s="50" t="str">
        <f t="shared" si="5"/>
        <v/>
      </c>
    </row>
    <row r="56" spans="1:8" x14ac:dyDescent="0.2">
      <c r="A56" s="50" t="s">
        <v>484</v>
      </c>
      <c r="B56" s="1" t="s">
        <v>193</v>
      </c>
      <c r="C56" s="49">
        <f>SUMIF('TRA-M'!E:E,A56,'TRA-M'!Q:Q)+SUMIF('TRA-W'!E:E,A56,'TRA-W'!Q:Q)+SUMIF('SYN-M'!E:E,A56,'SYN-M'!R:R)/2+SUMIF('SYN-W'!E:E,A56,'SYN-W'!R:R)/2+SUMIF('SYN-M'!F:F,A56,'SYN-M'!R:R)/2+SUMIF('SYN-W'!F:F,A56,'SYN-W'!R:R)/2</f>
        <v>0</v>
      </c>
      <c r="D56" s="50" t="str">
        <f t="shared" si="3"/>
        <v/>
      </c>
      <c r="E56" s="49">
        <f>SUMIF('DMT-M'!E:E,A56,'DMT-M'!Q:Q)+SUMIF('DMT-W'!E:E,A56,'DMT-W'!Q:Q)</f>
        <v>0</v>
      </c>
      <c r="F56" s="50" t="str">
        <f t="shared" si="4"/>
        <v/>
      </c>
      <c r="G56" s="49">
        <f>SUMIF('TUM-M'!E:E,A56,'TUM-M'!Q:Q)+SUMIF('TUM-W'!E:E,A56,'TUM-W'!Q:Q)</f>
        <v>0</v>
      </c>
      <c r="H56" s="50" t="str">
        <f t="shared" si="5"/>
        <v/>
      </c>
    </row>
    <row r="57" spans="1:8" x14ac:dyDescent="0.2">
      <c r="A57" s="50" t="s">
        <v>284</v>
      </c>
      <c r="B57" s="1" t="s">
        <v>196</v>
      </c>
      <c r="C57" s="49">
        <f>SUMIF('TRA-M'!E:E,A57,'TRA-M'!Q:Q)+SUMIF('TRA-W'!E:E,A57,'TRA-W'!Q:Q)+SUMIF('SYN-M'!E:E,A57,'SYN-M'!R:R)/2+SUMIF('SYN-W'!E:E,A57,'SYN-W'!R:R)/2+SUMIF('SYN-M'!F:F,A57,'SYN-M'!R:R)/2+SUMIF('SYN-W'!F:F,A57,'SYN-W'!R:R)/2</f>
        <v>0</v>
      </c>
      <c r="D57" s="50" t="str">
        <f t="shared" si="3"/>
        <v/>
      </c>
      <c r="E57" s="49">
        <f>SUMIF('DMT-M'!E:E,A57,'DMT-M'!Q:Q)+SUMIF('DMT-W'!E:E,A57,'DMT-W'!Q:Q)</f>
        <v>0</v>
      </c>
      <c r="F57" s="50" t="str">
        <f t="shared" si="4"/>
        <v/>
      </c>
      <c r="G57" s="49">
        <f>SUMIF('TUM-M'!E:E,A57,'TUM-M'!Q:Q)+SUMIF('TUM-W'!E:E,A57,'TUM-W'!Q:Q)</f>
        <v>0</v>
      </c>
      <c r="H57" s="50" t="str">
        <f t="shared" si="5"/>
        <v/>
      </c>
    </row>
    <row r="58" spans="1:8" x14ac:dyDescent="0.2">
      <c r="A58" s="50" t="s">
        <v>286</v>
      </c>
      <c r="B58" s="1" t="s">
        <v>193</v>
      </c>
      <c r="C58" s="49">
        <f>SUMIF('TRA-M'!E:E,A58,'TRA-M'!Q:Q)+SUMIF('TRA-W'!E:E,A58,'TRA-W'!Q:Q)+SUMIF('SYN-M'!E:E,A58,'SYN-M'!R:R)/2+SUMIF('SYN-W'!E:E,A58,'SYN-W'!R:R)/2+SUMIF('SYN-M'!F:F,A58,'SYN-M'!R:R)/2+SUMIF('SYN-W'!F:F,A58,'SYN-W'!R:R)/2</f>
        <v>0</v>
      </c>
      <c r="D58" s="50" t="str">
        <f t="shared" si="3"/>
        <v/>
      </c>
      <c r="E58" s="49">
        <f>SUMIF('DMT-M'!E:E,A58,'DMT-M'!Q:Q)+SUMIF('DMT-W'!E:E,A58,'DMT-W'!Q:Q)</f>
        <v>0</v>
      </c>
      <c r="F58" s="50" t="str">
        <f t="shared" si="4"/>
        <v/>
      </c>
      <c r="G58" s="49">
        <f>SUMIF('TUM-M'!E:E,A58,'TUM-M'!Q:Q)+SUMIF('TUM-W'!E:E,A58,'TUM-W'!Q:Q)</f>
        <v>0</v>
      </c>
      <c r="H58" s="50" t="str">
        <f t="shared" si="5"/>
        <v/>
      </c>
    </row>
    <row r="59" spans="1:8" x14ac:dyDescent="0.2">
      <c r="A59" s="50" t="s">
        <v>96</v>
      </c>
      <c r="B59" s="1" t="s">
        <v>196</v>
      </c>
      <c r="C59" s="49">
        <f>SUMIF('TRA-M'!E:E,A59,'TRA-M'!Q:Q)+SUMIF('TRA-W'!E:E,A59,'TRA-W'!Q:Q)+SUMIF('SYN-M'!E:E,A59,'SYN-M'!R:R)/2+SUMIF('SYN-W'!E:E,A59,'SYN-W'!R:R)/2+SUMIF('SYN-M'!F:F,A59,'SYN-M'!R:R)/2+SUMIF('SYN-W'!F:F,A59,'SYN-W'!R:R)/2</f>
        <v>0.5</v>
      </c>
      <c r="D59" s="50">
        <f t="shared" si="3"/>
        <v>11</v>
      </c>
      <c r="E59" s="49">
        <f>SUMIF('DMT-M'!E:E,A59,'DMT-M'!Q:Q)+SUMIF('DMT-W'!E:E,A59,'DMT-W'!Q:Q)</f>
        <v>0</v>
      </c>
      <c r="F59" s="50" t="str">
        <f t="shared" si="4"/>
        <v/>
      </c>
      <c r="G59" s="49">
        <f>SUMIF('TUM-M'!E:E,A59,'TUM-M'!Q:Q)+SUMIF('TUM-W'!E:E,A59,'TUM-W'!Q:Q)</f>
        <v>0</v>
      </c>
      <c r="H59" s="50" t="str">
        <f t="shared" si="5"/>
        <v/>
      </c>
    </row>
    <row r="60" spans="1:8" x14ac:dyDescent="0.2">
      <c r="A60" s="50" t="s">
        <v>72</v>
      </c>
      <c r="B60" s="1" t="s">
        <v>197</v>
      </c>
      <c r="C60" s="49">
        <f>SUMIF('TRA-M'!E:E,A60,'TRA-M'!Q:Q)+SUMIF('TRA-W'!E:E,A60,'TRA-W'!Q:Q)+SUMIF('SYN-M'!E:E,A60,'SYN-M'!R:R)/2+SUMIF('SYN-W'!E:E,A60,'SYN-W'!R:R)/2+SUMIF('SYN-M'!F:F,A60,'SYN-M'!R:R)/2+SUMIF('SYN-W'!F:F,A60,'SYN-W'!R:R)/2</f>
        <v>0</v>
      </c>
      <c r="D60" s="50" t="str">
        <f t="shared" si="3"/>
        <v/>
      </c>
      <c r="E60" s="49">
        <f>SUMIF('DMT-M'!E:E,A60,'DMT-M'!Q:Q)+SUMIF('DMT-W'!E:E,A60,'DMT-W'!Q:Q)</f>
        <v>4</v>
      </c>
      <c r="F60" s="50">
        <f t="shared" si="4"/>
        <v>5</v>
      </c>
      <c r="G60" s="49">
        <f>SUMIF('TUM-M'!E:E,A60,'TUM-M'!Q:Q)+SUMIF('TUM-W'!E:E,A60,'TUM-W'!Q:Q)</f>
        <v>4</v>
      </c>
      <c r="H60" s="50">
        <f t="shared" si="5"/>
        <v>4</v>
      </c>
    </row>
    <row r="61" spans="1:8" x14ac:dyDescent="0.2">
      <c r="A61" s="50" t="s">
        <v>84</v>
      </c>
      <c r="B61" s="1" t="s">
        <v>196</v>
      </c>
      <c r="C61" s="49">
        <f>SUMIF('TRA-M'!E:E,A61,'TRA-M'!Q:Q)+SUMIF('TRA-W'!E:E,A61,'TRA-W'!Q:Q)+SUMIF('SYN-M'!E:E,A61,'SYN-M'!R:R)/2+SUMIF('SYN-W'!E:E,A61,'SYN-W'!R:R)/2+SUMIF('SYN-M'!F:F,A61,'SYN-M'!R:R)/2+SUMIF('SYN-W'!F:F,A61,'SYN-W'!R:R)/2</f>
        <v>4</v>
      </c>
      <c r="D61" s="50">
        <f t="shared" si="3"/>
        <v>3</v>
      </c>
      <c r="E61" s="49">
        <f>SUMIF('DMT-M'!E:E,A61,'DMT-M'!Q:Q)+SUMIF('DMT-W'!E:E,A61,'DMT-W'!Q:Q)</f>
        <v>0</v>
      </c>
      <c r="F61" s="50" t="str">
        <f t="shared" si="4"/>
        <v/>
      </c>
      <c r="G61" s="49">
        <f>SUMIF('TUM-M'!E:E,A61,'TUM-M'!Q:Q)+SUMIF('TUM-W'!E:E,A61,'TUM-W'!Q:Q)</f>
        <v>0</v>
      </c>
      <c r="H61" s="50" t="str">
        <f t="shared" si="5"/>
        <v/>
      </c>
    </row>
    <row r="62" spans="1:8" x14ac:dyDescent="0.2">
      <c r="A62" s="50" t="s">
        <v>421</v>
      </c>
      <c r="B62" s="1" t="s">
        <v>195</v>
      </c>
      <c r="C62" s="49">
        <f>SUMIF('TRA-M'!E:E,A62,'TRA-M'!Q:Q)+SUMIF('TRA-W'!E:E,A62,'TRA-W'!Q:Q)+SUMIF('SYN-M'!E:E,A62,'SYN-M'!R:R)/2+SUMIF('SYN-W'!E:E,A62,'SYN-W'!R:R)/2+SUMIF('SYN-M'!F:F,A62,'SYN-M'!R:R)/2+SUMIF('SYN-W'!F:F,A62,'SYN-W'!R:R)/2</f>
        <v>0</v>
      </c>
      <c r="D62" s="50" t="str">
        <f t="shared" si="3"/>
        <v/>
      </c>
      <c r="E62" s="49">
        <f>SUMIF('DMT-M'!E:E,A62,'DMT-M'!Q:Q)+SUMIF('DMT-W'!E:E,A62,'DMT-W'!Q:Q)</f>
        <v>0</v>
      </c>
      <c r="F62" s="50" t="str">
        <f t="shared" si="4"/>
        <v/>
      </c>
      <c r="G62" s="49">
        <f>SUMIF('TUM-M'!E:E,A62,'TUM-M'!Q:Q)+SUMIF('TUM-W'!E:E,A62,'TUM-W'!Q:Q)</f>
        <v>0</v>
      </c>
      <c r="H62" s="50" t="str">
        <f t="shared" si="5"/>
        <v/>
      </c>
    </row>
    <row r="63" spans="1:8" x14ac:dyDescent="0.2">
      <c r="A63" s="50" t="s">
        <v>288</v>
      </c>
      <c r="B63" s="1" t="s">
        <v>197</v>
      </c>
      <c r="C63" s="49">
        <f>SUMIF('TRA-M'!E:E,A63,'TRA-M'!Q:Q)+SUMIF('TRA-W'!E:E,A63,'TRA-W'!Q:Q)+SUMIF('SYN-M'!E:E,A63,'SYN-M'!R:R)/2+SUMIF('SYN-W'!E:E,A63,'SYN-W'!R:R)/2+SUMIF('SYN-M'!F:F,A63,'SYN-M'!R:R)/2+SUMIF('SYN-W'!F:F,A63,'SYN-W'!R:R)/2</f>
        <v>0.5</v>
      </c>
      <c r="D63" s="50">
        <f t="shared" si="3"/>
        <v>11</v>
      </c>
      <c r="E63" s="49">
        <f>SUMIF('DMT-M'!E:E,A63,'DMT-M'!Q:Q)+SUMIF('DMT-W'!E:E,A63,'DMT-W'!Q:Q)</f>
        <v>0</v>
      </c>
      <c r="F63" s="50" t="str">
        <f t="shared" si="4"/>
        <v/>
      </c>
      <c r="G63" s="49">
        <f>SUMIF('TUM-M'!E:E,A63,'TUM-M'!Q:Q)+SUMIF('TUM-W'!E:E,A63,'TUM-W'!Q:Q)</f>
        <v>0</v>
      </c>
      <c r="H63" s="50" t="str">
        <f t="shared" si="5"/>
        <v/>
      </c>
    </row>
    <row r="64" spans="1:8" x14ac:dyDescent="0.2">
      <c r="A64" s="53" t="s">
        <v>289</v>
      </c>
      <c r="B64" s="52" t="s">
        <v>196</v>
      </c>
      <c r="C64" s="51">
        <f>SUMIF('TRA-M'!E:E,A64,'TRA-M'!Q:Q)+SUMIF('TRA-W'!E:E,A64,'TRA-W'!Q:Q)+SUMIF('SYN-M'!E:E,A64,'SYN-M'!R:R)/2+SUMIF('SYN-W'!E:E,A64,'SYN-W'!R:R)/2+SUMIF('SYN-M'!F:F,A64,'SYN-M'!R:R)/2+SUMIF('SYN-W'!F:F,A64,'SYN-W'!R:R)/2</f>
        <v>0</v>
      </c>
      <c r="D64" s="53" t="str">
        <f t="shared" si="3"/>
        <v/>
      </c>
      <c r="E64" s="51">
        <f>SUMIF('DMT-M'!E:E,A64,'DMT-M'!Q:Q)+SUMIF('DMT-W'!E:E,A64,'DMT-W'!Q:Q)</f>
        <v>2</v>
      </c>
      <c r="F64" s="53">
        <f t="shared" si="4"/>
        <v>7</v>
      </c>
      <c r="G64" s="51">
        <f>SUMIF('TUM-M'!E:E,A64,'TUM-M'!Q:Q)+SUMIF('TUM-W'!E:E,A64,'TUM-W'!Q:Q)</f>
        <v>0</v>
      </c>
      <c r="H64" s="53" t="str">
        <f t="shared" si="5"/>
        <v/>
      </c>
    </row>
  </sheetData>
  <conditionalFormatting sqref="D1:D1048576">
    <cfRule type="expression" dxfId="61" priority="1">
      <formula>IF(AND(D1&lt;&gt;"",D1&lt;=2),1,0)</formula>
    </cfRule>
  </conditionalFormatting>
  <conditionalFormatting sqref="F1:F1048576 H1:H1048576">
    <cfRule type="expression" dxfId="60" priority="2">
      <formula>IF(AND(F1&lt;&gt;"",F1&lt;=1),1,0)</formula>
    </cfRule>
  </conditionalFormatting>
  <pageMargins left="0.7" right="0.7" top="0.75" bottom="0.75" header="0.3" footer="0.3"/>
  <ignoredErrors>
    <ignoredError sqref="E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G107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bestFit="1" customWidth="1"/>
    <col min="2" max="2" width="12.5" bestFit="1" customWidth="1"/>
    <col min="3" max="3" width="27.6640625" style="36" bestFit="1" customWidth="1"/>
    <col min="4" max="4" width="8.6640625" style="36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8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3.6640625" style="36" bestFit="1" customWidth="1"/>
    <col min="22" max="22" width="11" style="36" bestFit="1" customWidth="1"/>
    <col min="23" max="23" width="14.1640625" style="36" bestFit="1" customWidth="1"/>
    <col min="24" max="24" width="8.33203125" bestFit="1" customWidth="1"/>
    <col min="25" max="25" width="6.6640625" style="36" bestFit="1" customWidth="1"/>
    <col min="26" max="26" width="11" style="36" bestFit="1" customWidth="1"/>
    <col min="27" max="27" width="10.83203125" style="35" bestFit="1" customWidth="1"/>
    <col min="28" max="28" width="13.6640625" style="36" bestFit="1" customWidth="1"/>
    <col min="29" max="29" width="11" style="36" bestFit="1" customWidth="1"/>
    <col min="30" max="30" width="14.1640625" style="36" bestFit="1" customWidth="1"/>
    <col min="31" max="31" width="7.6640625" bestFit="1" customWidth="1"/>
    <col min="32" max="32" width="6.6640625" style="36" bestFit="1" customWidth="1"/>
    <col min="33" max="33" width="9" style="38" bestFit="1" customWidth="1"/>
  </cols>
  <sheetData>
    <row r="1" spans="1:33" s="6" customFormat="1" x14ac:dyDescent="0.2">
      <c r="A1" s="73" t="s">
        <v>208</v>
      </c>
      <c r="B1" s="73" t="s">
        <v>207</v>
      </c>
      <c r="C1" s="67" t="s">
        <v>0</v>
      </c>
      <c r="D1" s="67" t="s">
        <v>1</v>
      </c>
      <c r="E1" s="69" t="s">
        <v>2</v>
      </c>
      <c r="F1" s="71" t="s">
        <v>4</v>
      </c>
      <c r="G1" s="67" t="s">
        <v>5</v>
      </c>
      <c r="H1" s="67" t="s">
        <v>56</v>
      </c>
      <c r="I1" s="67" t="s">
        <v>42</v>
      </c>
      <c r="J1" s="76" t="s">
        <v>13</v>
      </c>
      <c r="K1" s="67" t="s">
        <v>9</v>
      </c>
      <c r="L1" s="67" t="s">
        <v>10</v>
      </c>
      <c r="M1" s="67" t="s">
        <v>33</v>
      </c>
      <c r="N1" s="67" t="s">
        <v>12</v>
      </c>
      <c r="O1" s="67" t="s">
        <v>49</v>
      </c>
      <c r="P1" s="67" t="s">
        <v>11</v>
      </c>
      <c r="Q1" s="67" t="s">
        <v>206</v>
      </c>
      <c r="R1" s="73" t="s">
        <v>368</v>
      </c>
      <c r="S1" s="67" t="s">
        <v>367</v>
      </c>
      <c r="T1" s="75" t="s">
        <v>44</v>
      </c>
      <c r="U1" s="75"/>
      <c r="V1" s="75"/>
      <c r="W1" s="75"/>
      <c r="X1" s="75"/>
      <c r="Y1" s="75"/>
      <c r="Z1" s="75"/>
      <c r="AA1" s="75" t="s">
        <v>43</v>
      </c>
      <c r="AB1" s="75"/>
      <c r="AC1" s="75"/>
      <c r="AD1" s="75"/>
      <c r="AE1" s="75"/>
      <c r="AF1" s="75"/>
      <c r="AG1" s="75"/>
    </row>
    <row r="2" spans="1:33" s="7" customFormat="1" ht="17" thickBot="1" x14ac:dyDescent="0.25">
      <c r="A2" s="74"/>
      <c r="B2" s="74"/>
      <c r="C2" s="68"/>
      <c r="D2" s="68"/>
      <c r="E2" s="70"/>
      <c r="F2" s="72"/>
      <c r="G2" s="68"/>
      <c r="H2" s="68"/>
      <c r="I2" s="68"/>
      <c r="J2" s="77"/>
      <c r="K2" s="68"/>
      <c r="L2" s="68"/>
      <c r="M2" s="68"/>
      <c r="N2" s="68"/>
      <c r="O2" s="68"/>
      <c r="P2" s="68"/>
      <c r="Q2" s="68"/>
      <c r="R2" s="74"/>
      <c r="S2" s="68"/>
      <c r="T2" s="8" t="s">
        <v>50</v>
      </c>
      <c r="U2" s="7" t="s">
        <v>51</v>
      </c>
      <c r="V2" s="7" t="s">
        <v>52</v>
      </c>
      <c r="W2" s="7" t="s">
        <v>53</v>
      </c>
      <c r="X2" s="7" t="s">
        <v>16</v>
      </c>
      <c r="Y2" s="7" t="s">
        <v>6</v>
      </c>
      <c r="Z2" s="7" t="s">
        <v>8</v>
      </c>
      <c r="AA2" s="8" t="s">
        <v>50</v>
      </c>
      <c r="AB2" s="7" t="s">
        <v>51</v>
      </c>
      <c r="AC2" s="7" t="s">
        <v>52</v>
      </c>
      <c r="AD2" s="7" t="s">
        <v>53</v>
      </c>
      <c r="AE2" s="7" t="s">
        <v>16</v>
      </c>
      <c r="AF2" s="7" t="s">
        <v>6</v>
      </c>
      <c r="AG2" s="9" t="s">
        <v>8</v>
      </c>
    </row>
    <row r="3" spans="1:33" ht="17" thickTop="1" x14ac:dyDescent="0.2">
      <c r="A3" s="1" cm="1">
        <f t="array" ref="A3">IF(I3="","",IF(P3&lt;&gt;"",SUMPRODUCT((P$3:P$107&lt;&gt;"")*(G$3:G$107=G3)*(J$3:J$107&gt;J3)*(I$3:I$107="P"))+1,IF(O3&lt;&gt;"",SUMPRODUCT((O$3:O$107&lt;&gt;"")*(P$3:P$107="")*(G$3:G$107=G3)*(J$3:J$107&gt;J3)*(I$3:I$107="P"))+SUMPRODUCT((P$3:P$107&lt;&gt;"")*(G$3:G$107=G3)*(I$3:I$107="P"))+1,IF(N3&lt;&gt;"",SUMPRODUCT((N$3:N$107&lt;&gt;"")*(G$3:G$107=G3)*(J$3:J$107&gt;J3)*(I$3:I$107="P"))+1,IF(M3="P",SUMPRODUCT((O$3:O$107&lt;&gt;"")*(P$3:P$107="")*(G$3:G$107=G3)*(I$3:I$107="P"))+SUMPRODUCT((P$3:P$107&lt;&gt;"")*(G$3:G$107=G3)*(I$3:I$107="P"))+SUMPRODUCT((N$3:N$107&lt;&gt;"")*(G$3:G$107=G3)*(I$3:I$107="P"))+SUMPRODUCT((P$3:P$107="")*(O$3:O$107="")*(N$3:N$107="")*(M$3:M$107="P")*(G$3:G$107=G3)*(J$3:J$107&gt;J3)*(I$3:I$107="P"))+IF(H3="L5",SUMPRODUCT((P$3:P$107="")*(O$3:O$107="")*(N$3:N$107="")*(M$3:M$107="P")*(G$3:G$107=G3)*(J$3:J$107&lt;J3)*(H$3:H$107&lt;&gt;H3)*(I$3:I$107="P")),-1*SUMPRODUCT((P$3:P$107="")*(O$3:O$107="")*(N$3:N$107="")*(M$3:M$107="P")*(G$3:G$107=G3)*(J$3:J$107&gt;J3)*(H$3:H$107="L5")*(I$3:I$107="P")))+1,"")))))</f>
        <v>1</v>
      </c>
      <c r="B3" s="1" cm="1">
        <f t="array" ref="B3">IF(P3&lt;&gt;"",SUMPRODUCT((P$3:P$107&lt;&gt;"")*(G$3:G$107=G3)*(J$3:J$107&gt;J3))+1,IF(O3&lt;&gt;"",SUMPRODUCT((O$3:O$107&lt;&gt;"")*(P$3:P$107="")*(G$3:G$107=G3)*(J$3:J$107&gt;J3))+SUMPRODUCT((P$3:P$107&lt;&gt;"")*(G$3:G$107=G3))+1,IF(N3&lt;&gt;"",SUMPRODUCT((N$3:N$107&lt;&gt;"")*(G$3:G$107=G3)*(J$3:J$107&gt;J3))+1,IF(M3="P",SUMPRODUCT((O$3:O$107&lt;&gt;"")*(P$3:P$107="")*(G$3:G$107=G3))+SUMPRODUCT((P$3:P$107&lt;&gt;"")*(G$3:G$107=G3))+SUMPRODUCT((N$3:N$107&lt;&gt;"")*(G$3:G$107=G3))+SUMPRODUCT((P$3:P$107="")*(O$3:O$107="")*(N$3:N$107="")*(M$3:M$107="P")*(G$3:G$107=G3)*(J$3:J$107&gt;J3))+IF(H3="L5",SUMPRODUCT((P$3:P$107="")*(O$3:O$107="")*(N$3:N$107="")*(M$3:M$107="P")*(G$3:G$107=G3)*(J$3:J$107&lt;J3)*(H$3:H$107&lt;&gt;H3)),-1*SUMPRODUCT((P$3:P$107="")*(O$3:O$107="")*(N$3:N$107="")*(M$3:M$107="P")*(G$3:G$107=G3)*(J$3:J$107&gt;J3)*(H$3:H$107="L5")))+1,""))))</f>
        <v>2</v>
      </c>
      <c r="C3" s="36" t="s">
        <v>114</v>
      </c>
      <c r="D3" s="36" t="str">
        <f>IF(E3="","",VLOOKUP(E3,'Coaching Points'!A:B,2,0))</f>
        <v>QC</v>
      </c>
      <c r="E3" s="36" t="s">
        <v>3</v>
      </c>
      <c r="F3" s="35">
        <v>2005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 t="s">
        <v>567</v>
      </c>
      <c r="J3" s="4">
        <f>R3+S3+IF(OR(H3="Junior",H3="Senior"),0.0002,IF(OR(H3="L7",H3="L6"),0.0001,0))+IF(G3="17-21",MAX(AA3,AC3,AF3),AE3)*0.0000001</f>
        <v>109.470205514</v>
      </c>
      <c r="K3" s="3" t="str">
        <f>IF(G3="Not Age Eligible","",IF(G3="17-21",IF(MAX(T3,V3,Y3,AA3,AC3,AF3)&gt;=LOOKUP(G3,'Qualifying Scores'!$A$4:$A$7,'Qualifying Scores'!$B$4:$B$7),"P",""),IF(MAX(X3-U3,AE3-AB3)&gt;=LOOKUP(G3,'Qualifying Scores'!$A$4:$A$7,'Qualifying Scores'!$B$4:$B$7),"P","")))</f>
        <v>P</v>
      </c>
      <c r="L3" s="3" t="str">
        <f>IF(G3="Not Age Eligible","",IF(G3="17-21",IF(MAX(U3,W3,Z3,AB3,AD3,AG3)&gt;=LOOKUP(G3,'Qualifying Scores'!$A$10:$A$13,'Qualifying Scores'!$B$10:$B$13),"P",""),IF(MAX(W3,AD3)&gt;=LOOKUP(G3,'Qualifying Scores'!$A$10:$A$13,'Qualifying Scores'!$B$10:$B$13),"P","")))</f>
        <v>P</v>
      </c>
      <c r="M3" s="3" t="str">
        <f>IF(G3="Not Age Eligible","",IF(G3="17-21",IF(OR(AND(T3&gt;=LOOKUP(G3,'Qualifying Scores'!$A$4:$A$7,'Qualifying Scores'!$B$4:$B$7),U3&gt;=LOOKUP(G3,'Qualifying Scores'!$A$10:$A$13,'Qualifying Scores'!$B$10:$B$13)),AND(V3&gt;=LOOKUP(G3,'Qualifying Scores'!$A$4:$A$7,'Qualifying Scores'!$B$4:$B$7),W3&gt;=LOOKUP(G3,'Qualifying Scores'!$A$10:$A$13,'Qualifying Scores'!$B$10:$B$13)),AND(Y3&gt;=LOOKUP(G3,'Qualifying Scores'!$A$4:$A$7,'Qualifying Scores'!$B$4:$B$7),Z3&gt;=LOOKUP(G3,'Qualifying Scores'!$A$10:$A$13,'Qualifying Scores'!$B$10:$B$13)),AND(AA3&gt;=LOOKUP(G3,'Qualifying Scores'!$A$4:$A$7,'Qualifying Scores'!$B$4:$B$7),AB3&gt;=LOOKUP(G3,'Qualifying Scores'!$A$10:$A$13,'Qualifying Scores'!$B$10:$B$13)),AND(AC3&gt;=LOOKUP(G3,'Qualifying Scores'!$A$4:$A$7,'Qualifying Scores'!$B$4:$B$7),AD3&gt;=LOOKUP(G3,'Qualifying Scores'!$A$10:$A$13,'Qualifying Scores'!$B$10:$B$13)),AND(AF3&gt;=LOOKUP(G3,'Qualifying Scores'!$A$4:$A$7,'Qualifying Scores'!$B$4:$B$7),AG3&gt;=LOOKUP(G3,'Qualifying Scores'!$A$10:$A$13,'Qualifying Scores'!$B$10:$B$13))),"P",""),IF(OR(AND(X3-U3&gt;=LOOKUP(G3,'Qualifying Scores'!$A$4:$A$7,'Qualifying Scores'!$B$4:$B$7),W3&gt;=LOOKUP(G3,'Qualifying Scores'!$A$10:$A$13,'Qualifying Scores'!$B$10:$B$13)),AND(AE3-AB3&gt;=LOOKUP(G3,'Qualifying Scores'!$A$4:$A$7,'Qualifying Scores'!$B$4:$B$7),AD3&gt;=LOOKUP(G3,'Qualifying Scores'!$A$10:$A$13,'Qualifying Scores'!$B$10:$B$13))),"P","")))</f>
        <v>P</v>
      </c>
      <c r="O3" s="39">
        <v>2</v>
      </c>
      <c r="P3" s="39">
        <v>7</v>
      </c>
      <c r="Q3" s="1">
        <f>IF(A3&lt;5,IF(_xlfn.MAXIFS(A:A,G:G,G3)&gt;3,5-A3,_xlfn.MAXIFS(A:A,G:G,G3)+1-A3),"")</f>
        <v>4</v>
      </c>
      <c r="R3" s="4">
        <f>IF(G3="17-21",MAX(T3,V3,Y3,AA3,AC3,AF3),MAX(X3,AE3))</f>
        <v>55.14</v>
      </c>
      <c r="S3" s="4">
        <f>IF(G3="17-21",LARGE(CHOOSE({1,2,3,4,5,6},T3,V3,Y3,AA3,AC3,AF3),2),IF(R3=X3,MAX(Y3,AA3,AC3,AF3),IF(R3=AE3,MAX(AF3,T3,V3,Y3),0)))</f>
        <v>54.33</v>
      </c>
      <c r="T3" s="33">
        <v>53.98</v>
      </c>
      <c r="U3" s="40">
        <v>14.4</v>
      </c>
      <c r="V3" s="34">
        <v>53.21</v>
      </c>
      <c r="W3" s="40">
        <v>14.2</v>
      </c>
      <c r="X3" s="4">
        <f>IF(H3="Senior",MAX(T3,V3),T3+V3)</f>
        <v>53.98</v>
      </c>
      <c r="Y3" s="34">
        <v>22.56</v>
      </c>
      <c r="Z3" s="40">
        <v>6.1</v>
      </c>
      <c r="AA3" s="33">
        <v>54.33</v>
      </c>
      <c r="AB3" s="40">
        <v>14.4</v>
      </c>
      <c r="AC3" s="34">
        <v>55.14</v>
      </c>
      <c r="AD3" s="40">
        <v>14.4</v>
      </c>
      <c r="AE3" s="4">
        <f>IF(H3="Senior",MAX(AA3,AC3),AA3+AC3)</f>
        <v>55.14</v>
      </c>
      <c r="AF3" s="34">
        <v>54.13</v>
      </c>
      <c r="AG3" s="37">
        <v>14.4</v>
      </c>
    </row>
    <row r="4" spans="1:33" x14ac:dyDescent="0.2">
      <c r="A4" s="1" cm="1">
        <f t="array" ref="A4">IF(I4="","",IF(P4&lt;&gt;"",SUMPRODUCT((P$3:P$107&lt;&gt;"")*(G$3:G$107=G4)*(J$3:J$107&gt;J4)*(I$3:I$107="P"))+1,IF(O4&lt;&gt;"",SUMPRODUCT((O$3:O$107&lt;&gt;"")*(P$3:P$107="")*(G$3:G$107=G4)*(J$3:J$107&gt;J4)*(I$3:I$107="P"))+SUMPRODUCT((P$3:P$107&lt;&gt;"")*(G$3:G$107=G4)*(I$3:I$107="P"))+1,IF(N4&lt;&gt;"",SUMPRODUCT((N$3:N$107&lt;&gt;"")*(G$3:G$107=G4)*(J$3:J$107&gt;J4)*(I$3:I$107="P"))+1,IF(M4="P",SUMPRODUCT((O$3:O$107&lt;&gt;"")*(P$3:P$107="")*(G$3:G$107=G4)*(I$3:I$107="P"))+SUMPRODUCT((P$3:P$107&lt;&gt;"")*(G$3:G$107=G4)*(I$3:I$107="P"))+SUMPRODUCT((N$3:N$107&lt;&gt;"")*(G$3:G$107=G4)*(I$3:I$107="P"))+SUMPRODUCT((P$3:P$107="")*(O$3:O$107="")*(N$3:N$107="")*(M$3:M$107="P")*(G$3:G$107=G4)*(J$3:J$107&gt;J4)*(I$3:I$107="P"))+IF(H4="L5",SUMPRODUCT((P$3:P$107="")*(O$3:O$107="")*(N$3:N$107="")*(M$3:M$107="P")*(G$3:G$107=G4)*(J$3:J$107&lt;J4)*(H$3:H$107&lt;&gt;H4)*(I$3:I$107="P")),-1*SUMPRODUCT((P$3:P$107="")*(O$3:O$107="")*(N$3:N$107="")*(M$3:M$107="P")*(G$3:G$107=G4)*(J$3:J$107&gt;J4)*(H$3:H$107="L5")*(I$3:I$107="P")))+1,"")))))</f>
        <v>2</v>
      </c>
      <c r="B4" s="1" cm="1">
        <f t="array" ref="B4">IF(P4&lt;&gt;"",SUMPRODUCT((P$3:P$107&lt;&gt;"")*(G$3:G$107=G4)*(J$3:J$107&gt;J4))+1,IF(O4&lt;&gt;"",SUMPRODUCT((O$3:O$107&lt;&gt;"")*(P$3:P$107="")*(G$3:G$107=G4)*(J$3:J$107&gt;J4))+SUMPRODUCT((P$3:P$107&lt;&gt;"")*(G$3:G$107=G4))+1,IF(N4&lt;&gt;"",SUMPRODUCT((N$3:N$107&lt;&gt;"")*(G$3:G$107=G4)*(J$3:J$107&gt;J4))+1,IF(M4="P",SUMPRODUCT((O$3:O$107&lt;&gt;"")*(P$3:P$107="")*(G$3:G$107=G4))+SUMPRODUCT((P$3:P$107&lt;&gt;"")*(G$3:G$107=G4))+SUMPRODUCT((N$3:N$107&lt;&gt;"")*(G$3:G$107=G4))+SUMPRODUCT((P$3:P$107="")*(O$3:O$107="")*(N$3:N$107="")*(M$3:M$107="P")*(G$3:G$107=G4)*(J$3:J$107&gt;J4))+IF(H4="L5",SUMPRODUCT((P$3:P$107="")*(O$3:O$107="")*(N$3:N$107="")*(M$3:M$107="P")*(G$3:G$107=G4)*(J$3:J$107&lt;J4)*(H$3:H$107&lt;&gt;H4)),-1*SUMPRODUCT((P$3:P$107="")*(O$3:O$107="")*(N$3:N$107="")*(M$3:M$107="P")*(G$3:G$107=G4)*(J$3:J$107&gt;J4)*(H$3:H$107="L5")))+1,""))))</f>
        <v>3</v>
      </c>
      <c r="C4" s="36" t="s">
        <v>101</v>
      </c>
      <c r="D4" s="36" t="str">
        <f>IF(E4="","",VLOOKUP(E4,'Coaching Points'!A:B,2,0))</f>
        <v>QC</v>
      </c>
      <c r="E4" s="36" t="s">
        <v>84</v>
      </c>
      <c r="F4" s="35">
        <v>2006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 t="s">
        <v>567</v>
      </c>
      <c r="J4" s="4">
        <f>R4+S4+IF(OR(H4="Junior",H4="Senior"),0.0002,IF(OR(H4="L7",H4="L6"),0.0001,0))+IF(G4="17-21",MAX(AA4,AC4,AF4),AE4)*0.0000001</f>
        <v>108.77020540900001</v>
      </c>
      <c r="K4" s="3" t="str">
        <f>IF(G4="Not Age Eligible","",IF(G4="17-21",IF(MAX(T4,V4,Y4,AA4,AC4,AF4)&gt;=LOOKUP(G4,'Qualifying Scores'!$A$4:$A$7,'Qualifying Scores'!$B$4:$B$7),"P",""),IF(MAX(X4-U4,AE4-AB4)&gt;=LOOKUP(G4,'Qualifying Scores'!$A$4:$A$7,'Qualifying Scores'!$B$4:$B$7),"P","")))</f>
        <v>P</v>
      </c>
      <c r="L4" s="3" t="str">
        <f>IF(G4="Not Age Eligible","",IF(G4="17-21",IF(MAX(U4,W4,Z4,AB4,AD4,AG4)&gt;=LOOKUP(G4,'Qualifying Scores'!$A$10:$A$13,'Qualifying Scores'!$B$10:$B$13),"P",""),IF(MAX(W4,AD4)&gt;=LOOKUP(G4,'Qualifying Scores'!$A$10:$A$13,'Qualifying Scores'!$B$10:$B$13),"P","")))</f>
        <v>P</v>
      </c>
      <c r="M4" s="3" t="str">
        <f>IF(G4="Not Age Eligible","",IF(G4="17-21",IF(OR(AND(T4&gt;=LOOKUP(G4,'Qualifying Scores'!$A$4:$A$7,'Qualifying Scores'!$B$4:$B$7),U4&gt;=LOOKUP(G4,'Qualifying Scores'!$A$10:$A$13,'Qualifying Scores'!$B$10:$B$13)),AND(V4&gt;=LOOKUP(G4,'Qualifying Scores'!$A$4:$A$7,'Qualifying Scores'!$B$4:$B$7),W4&gt;=LOOKUP(G4,'Qualifying Scores'!$A$10:$A$13,'Qualifying Scores'!$B$10:$B$13)),AND(Y4&gt;=LOOKUP(G4,'Qualifying Scores'!$A$4:$A$7,'Qualifying Scores'!$B$4:$B$7),Z4&gt;=LOOKUP(G4,'Qualifying Scores'!$A$10:$A$13,'Qualifying Scores'!$B$10:$B$13)),AND(AA4&gt;=LOOKUP(G4,'Qualifying Scores'!$A$4:$A$7,'Qualifying Scores'!$B$4:$B$7),AB4&gt;=LOOKUP(G4,'Qualifying Scores'!$A$10:$A$13,'Qualifying Scores'!$B$10:$B$13)),AND(AC4&gt;=LOOKUP(G4,'Qualifying Scores'!$A$4:$A$7,'Qualifying Scores'!$B$4:$B$7),AD4&gt;=LOOKUP(G4,'Qualifying Scores'!$A$10:$A$13,'Qualifying Scores'!$B$10:$B$13)),AND(AF4&gt;=LOOKUP(G4,'Qualifying Scores'!$A$4:$A$7,'Qualifying Scores'!$B$4:$B$7),AG4&gt;=LOOKUP(G4,'Qualifying Scores'!$A$10:$A$13,'Qualifying Scores'!$B$10:$B$13))),"P",""),IF(OR(AND(X4-U4&gt;=LOOKUP(G4,'Qualifying Scores'!$A$4:$A$7,'Qualifying Scores'!$B$4:$B$7),W4&gt;=LOOKUP(G4,'Qualifying Scores'!$A$10:$A$13,'Qualifying Scores'!$B$10:$B$13)),AND(AE4-AB4&gt;=LOOKUP(G4,'Qualifying Scores'!$A$4:$A$7,'Qualifying Scores'!$B$4:$B$7),AD4&gt;=LOOKUP(G4,'Qualifying Scores'!$A$10:$A$13,'Qualifying Scores'!$B$10:$B$13))),"P","")))</f>
        <v>P</v>
      </c>
      <c r="O4" s="39">
        <v>3</v>
      </c>
      <c r="P4" s="39">
        <v>8</v>
      </c>
      <c r="Q4" s="1">
        <f>IF(A4&lt;5,IF(_xlfn.MAXIFS(A:A,G:G,G4)&gt;3,5-A4,_xlfn.MAXIFS(A:A,G:G,G4)+1-A4),"")</f>
        <v>3</v>
      </c>
      <c r="R4" s="4">
        <f>IF(G4="17-21",MAX(T4,V4,Y4,AA4,AC4,AF4),MAX(X4,AE4))</f>
        <v>54.68</v>
      </c>
      <c r="S4" s="4">
        <f>IF(G4="17-21",LARGE(CHOOSE({1,2,3,4,5,6},T4,V4,Y4,AA4,AC4,AF4),2),IF(R4=X4,MAX(Y4,AA4,AC4,AF4),IF(R4=AE4,MAX(AF4,T4,V4,Y4),0)))</f>
        <v>54.09</v>
      </c>
      <c r="T4" s="33">
        <v>21.09</v>
      </c>
      <c r="U4" s="40">
        <v>6.1</v>
      </c>
      <c r="V4" s="34">
        <v>54.68</v>
      </c>
      <c r="W4" s="40">
        <v>14.4</v>
      </c>
      <c r="X4" s="4">
        <f>IF(H4="Senior",MAX(T4,V4),T4+V4)</f>
        <v>54.68</v>
      </c>
      <c r="Y4" s="34">
        <v>11.07</v>
      </c>
      <c r="Z4" s="40">
        <v>3.2</v>
      </c>
      <c r="AA4" s="33">
        <v>54.09</v>
      </c>
      <c r="AB4" s="40">
        <v>13.5</v>
      </c>
      <c r="AC4" s="34">
        <v>37.56</v>
      </c>
      <c r="AD4" s="40">
        <v>9.6</v>
      </c>
      <c r="AE4" s="4">
        <f>IF(H4="Senior",MAX(AA4,AC4),AA4+AC4)</f>
        <v>54.09</v>
      </c>
      <c r="AF4" s="34">
        <v>53.35</v>
      </c>
      <c r="AG4" s="37">
        <v>13.5</v>
      </c>
    </row>
    <row r="5" spans="1:33" x14ac:dyDescent="0.2">
      <c r="A5" s="1" cm="1">
        <f t="array" ref="A5">IF(I5="","",IF(P5&lt;&gt;"",SUMPRODUCT((P$3:P$107&lt;&gt;"")*(G$3:G$107=G5)*(J$3:J$107&gt;J5)*(I$3:I$107="P"))+1,IF(O5&lt;&gt;"",SUMPRODUCT((O$3:O$107&lt;&gt;"")*(P$3:P$107="")*(G$3:G$107=G5)*(J$3:J$107&gt;J5)*(I$3:I$107="P"))+SUMPRODUCT((P$3:P$107&lt;&gt;"")*(G$3:G$107=G5)*(I$3:I$107="P"))+1,IF(N5&lt;&gt;"",SUMPRODUCT((N$3:N$107&lt;&gt;"")*(G$3:G$107=G5)*(J$3:J$107&gt;J5)*(I$3:I$107="P"))+1,IF(M5="P",SUMPRODUCT((O$3:O$107&lt;&gt;"")*(P$3:P$107="")*(G$3:G$107=G5)*(I$3:I$107="P"))+SUMPRODUCT((P$3:P$107&lt;&gt;"")*(G$3:G$107=G5)*(I$3:I$107="P"))+SUMPRODUCT((N$3:N$107&lt;&gt;"")*(G$3:G$107=G5)*(I$3:I$107="P"))+SUMPRODUCT((P$3:P$107="")*(O$3:O$107="")*(N$3:N$107="")*(M$3:M$107="P")*(G$3:G$107=G5)*(J$3:J$107&gt;J5)*(I$3:I$107="P"))+IF(H5="L5",SUMPRODUCT((P$3:P$107="")*(O$3:O$107="")*(N$3:N$107="")*(M$3:M$107="P")*(G$3:G$107=G5)*(J$3:J$107&lt;J5)*(H$3:H$107&lt;&gt;H5)*(I$3:I$107="P")),-1*SUMPRODUCT((P$3:P$107="")*(O$3:O$107="")*(N$3:N$107="")*(M$3:M$107="P")*(G$3:G$107=G5)*(J$3:J$107&gt;J5)*(H$3:H$107="L5")*(I$3:I$107="P")))+1,"")))))</f>
        <v>3</v>
      </c>
      <c r="B5" s="1" cm="1">
        <f t="array" ref="B5">IF(P5&lt;&gt;"",SUMPRODUCT((P$3:P$107&lt;&gt;"")*(G$3:G$107=G5)*(J$3:J$107&gt;J5))+1,IF(O5&lt;&gt;"",SUMPRODUCT((O$3:O$107&lt;&gt;"")*(P$3:P$107="")*(G$3:G$107=G5)*(J$3:J$107&gt;J5))+SUMPRODUCT((P$3:P$107&lt;&gt;"")*(G$3:G$107=G5))+1,IF(N5&lt;&gt;"",SUMPRODUCT((N$3:N$107&lt;&gt;"")*(G$3:G$107=G5)*(J$3:J$107&gt;J5))+1,IF(M5="P",SUMPRODUCT((O$3:O$107&lt;&gt;"")*(P$3:P$107="")*(G$3:G$107=G5))+SUMPRODUCT((P$3:P$107&lt;&gt;"")*(G$3:G$107=G5))+SUMPRODUCT((N$3:N$107&lt;&gt;"")*(G$3:G$107=G5))+SUMPRODUCT((P$3:P$107="")*(O$3:O$107="")*(N$3:N$107="")*(M$3:M$107="P")*(G$3:G$107=G5)*(J$3:J$107&gt;J5))+IF(H5="L5",SUMPRODUCT((P$3:P$107="")*(O$3:O$107="")*(N$3:N$107="")*(M$3:M$107="P")*(G$3:G$107=G5)*(J$3:J$107&lt;J5)*(H$3:H$107&lt;&gt;H5)),-1*SUMPRODUCT((P$3:P$107="")*(O$3:O$107="")*(N$3:N$107="")*(M$3:M$107="P")*(G$3:G$107=G5)*(J$3:J$107&gt;J5)*(H$3:H$107="L5")))+1,""))))</f>
        <v>4</v>
      </c>
      <c r="C5" s="36" t="s">
        <v>103</v>
      </c>
      <c r="D5" s="36" t="str">
        <f>IF(E5="","",VLOOKUP(E5,'Coaching Points'!A:B,2,0))</f>
        <v>NL</v>
      </c>
      <c r="E5" s="36" t="s">
        <v>104</v>
      </c>
      <c r="F5" s="35">
        <v>2004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 t="s">
        <v>567</v>
      </c>
      <c r="J5" s="4">
        <f>R5+S5+IF(OR(H5="Junior",H5="Senior"),0.0002,IF(OR(H5="L7",H5="L6"),0.0001,0))+IF(G5="17-21",MAX(AA5,AC5,AF5),AE5)*0.0000001</f>
        <v>107.54020000000001</v>
      </c>
      <c r="K5" s="3" t="str">
        <f>IF(G5="Not Age Eligible","",IF(G5="17-21",IF(MAX(T5,V5,Y5,AA5,AC5,AF5)&gt;=LOOKUP(G5,'Qualifying Scores'!$A$4:$A$7,'Qualifying Scores'!$B$4:$B$7),"P",""),IF(MAX(X5-U5,AE5-AB5)&gt;=LOOKUP(G5,'Qualifying Scores'!$A$4:$A$7,'Qualifying Scores'!$B$4:$B$7),"P","")))</f>
        <v>P</v>
      </c>
      <c r="L5" s="3" t="str">
        <f>IF(G5="Not Age Eligible","",IF(G5="17-21",IF(MAX(U5,W5,Z5,AB5,AD5,AG5)&gt;=LOOKUP(G5,'Qualifying Scores'!$A$10:$A$13,'Qualifying Scores'!$B$10:$B$13),"P",""),IF(MAX(W5,AD5)&gt;=LOOKUP(G5,'Qualifying Scores'!$A$10:$A$13,'Qualifying Scores'!$B$10:$B$13),"P","")))</f>
        <v/>
      </c>
      <c r="M5" s="3" t="str">
        <f>IF(G5="Not Age Eligible","",IF(G5="17-21",IF(OR(AND(T5&gt;=LOOKUP(G5,'Qualifying Scores'!$A$4:$A$7,'Qualifying Scores'!$B$4:$B$7),U5&gt;=LOOKUP(G5,'Qualifying Scores'!$A$10:$A$13,'Qualifying Scores'!$B$10:$B$13)),AND(V5&gt;=LOOKUP(G5,'Qualifying Scores'!$A$4:$A$7,'Qualifying Scores'!$B$4:$B$7),W5&gt;=LOOKUP(G5,'Qualifying Scores'!$A$10:$A$13,'Qualifying Scores'!$B$10:$B$13)),AND(Y5&gt;=LOOKUP(G5,'Qualifying Scores'!$A$4:$A$7,'Qualifying Scores'!$B$4:$B$7),Z5&gt;=LOOKUP(G5,'Qualifying Scores'!$A$10:$A$13,'Qualifying Scores'!$B$10:$B$13)),AND(AA5&gt;=LOOKUP(G5,'Qualifying Scores'!$A$4:$A$7,'Qualifying Scores'!$B$4:$B$7),AB5&gt;=LOOKUP(G5,'Qualifying Scores'!$A$10:$A$13,'Qualifying Scores'!$B$10:$B$13)),AND(AC5&gt;=LOOKUP(G5,'Qualifying Scores'!$A$4:$A$7,'Qualifying Scores'!$B$4:$B$7),AD5&gt;=LOOKUP(G5,'Qualifying Scores'!$A$10:$A$13,'Qualifying Scores'!$B$10:$B$13)),AND(AF5&gt;=LOOKUP(G5,'Qualifying Scores'!$A$4:$A$7,'Qualifying Scores'!$B$4:$B$7),AG5&gt;=LOOKUP(G5,'Qualifying Scores'!$A$10:$A$13,'Qualifying Scores'!$B$10:$B$13))),"P",""),IF(OR(AND(X5-U5&gt;=LOOKUP(G5,'Qualifying Scores'!$A$4:$A$7,'Qualifying Scores'!$B$4:$B$7),W5&gt;=LOOKUP(G5,'Qualifying Scores'!$A$10:$A$13,'Qualifying Scores'!$B$10:$B$13)),AND(AE5-AB5&gt;=LOOKUP(G5,'Qualifying Scores'!$A$4:$A$7,'Qualifying Scores'!$B$4:$B$7),AD5&gt;=LOOKUP(G5,'Qualifying Scores'!$A$10:$A$13,'Qualifying Scores'!$B$10:$B$13))),"P","")))</f>
        <v/>
      </c>
      <c r="O5" s="39">
        <v>4</v>
      </c>
      <c r="Q5" s="1">
        <f>IF(A5&lt;5,IF(_xlfn.MAXIFS(A:A,G:G,G5)&gt;3,5-A5,_xlfn.MAXIFS(A:A,G:G,G5)+1-A5),"")</f>
        <v>2</v>
      </c>
      <c r="R5" s="4">
        <f>IF(G5="17-21",MAX(T5,V5,Y5,AA5,AC5,AF5),MAX(X5,AE5))</f>
        <v>54.77</v>
      </c>
      <c r="S5" s="4">
        <f>IF(G5="17-21",LARGE(CHOOSE({1,2,3,4,5,6},T5,V5,Y5,AA5,AC5,AF5),2),IF(R5=X5,MAX(Y5,AA5,AC5,AF5),IF(R5=AE5,MAX(AF5,T5,V5,Y5),0)))</f>
        <v>52.77</v>
      </c>
      <c r="T5" s="33">
        <v>43.65</v>
      </c>
      <c r="U5" s="40">
        <v>10.7</v>
      </c>
      <c r="V5" s="34">
        <v>54.77</v>
      </c>
      <c r="W5" s="40">
        <v>13.4</v>
      </c>
      <c r="X5" s="4">
        <f>IF(H5="Senior",MAX(T5,V5),T5+V5)</f>
        <v>54.77</v>
      </c>
      <c r="Y5" s="34">
        <v>52.77</v>
      </c>
      <c r="Z5" s="40">
        <v>13.4</v>
      </c>
      <c r="AA5" s="33"/>
      <c r="AB5" s="40"/>
      <c r="AC5" s="34"/>
      <c r="AD5" s="40"/>
      <c r="AE5" s="4">
        <f>IF(H5="Senior",MAX(AA5,AC5),AA5+AC5)</f>
        <v>0</v>
      </c>
      <c r="AF5" s="34"/>
      <c r="AG5" s="37"/>
    </row>
    <row r="6" spans="1:33" x14ac:dyDescent="0.2">
      <c r="A6" s="1" cm="1">
        <f t="array" ref="A6">IF(I6="","",IF(P6&lt;&gt;"",SUMPRODUCT((P$3:P$107&lt;&gt;"")*(G$3:G$107=G6)*(J$3:J$107&gt;J6)*(I$3:I$107="P"))+1,IF(O6&lt;&gt;"",SUMPRODUCT((O$3:O$107&lt;&gt;"")*(P$3:P$107="")*(G$3:G$107=G6)*(J$3:J$107&gt;J6)*(I$3:I$107="P"))+SUMPRODUCT((P$3:P$107&lt;&gt;"")*(G$3:G$107=G6)*(I$3:I$107="P"))+1,IF(N6&lt;&gt;"",SUMPRODUCT((N$3:N$107&lt;&gt;"")*(G$3:G$107=G6)*(J$3:J$107&gt;J6)*(I$3:I$107="P"))+1,IF(M6="P",SUMPRODUCT((O$3:O$107&lt;&gt;"")*(P$3:P$107="")*(G$3:G$107=G6)*(I$3:I$107="P"))+SUMPRODUCT((P$3:P$107&lt;&gt;"")*(G$3:G$107=G6)*(I$3:I$107="P"))+SUMPRODUCT((N$3:N$107&lt;&gt;"")*(G$3:G$107=G6)*(I$3:I$107="P"))+SUMPRODUCT((P$3:P$107="")*(O$3:O$107="")*(N$3:N$107="")*(M$3:M$107="P")*(G$3:G$107=G6)*(J$3:J$107&gt;J6)*(I$3:I$107="P"))+IF(H6="L5",SUMPRODUCT((P$3:P$107="")*(O$3:O$107="")*(N$3:N$107="")*(M$3:M$107="P")*(G$3:G$107=G6)*(J$3:J$107&lt;J6)*(H$3:H$107&lt;&gt;H6)*(I$3:I$107="P")),-1*SUMPRODUCT((P$3:P$107="")*(O$3:O$107="")*(N$3:N$107="")*(M$3:M$107="P")*(G$3:G$107=G6)*(J$3:J$107&gt;J6)*(H$3:H$107="L5")*(I$3:I$107="P")))+1,"")))))</f>
        <v>4</v>
      </c>
      <c r="B6" s="1" cm="1">
        <f t="array" ref="B6">IF(P6&lt;&gt;"",SUMPRODUCT((P$3:P$107&lt;&gt;"")*(G$3:G$107=G6)*(J$3:J$107&gt;J6))+1,IF(O6&lt;&gt;"",SUMPRODUCT((O$3:O$107&lt;&gt;"")*(P$3:P$107="")*(G$3:G$107=G6)*(J$3:J$107&gt;J6))+SUMPRODUCT((P$3:P$107&lt;&gt;"")*(G$3:G$107=G6))+1,IF(N6&lt;&gt;"",SUMPRODUCT((N$3:N$107&lt;&gt;"")*(G$3:G$107=G6)*(J$3:J$107&gt;J6))+1,IF(M6="P",SUMPRODUCT((O$3:O$107&lt;&gt;"")*(P$3:P$107="")*(G$3:G$107=G6))+SUMPRODUCT((P$3:P$107&lt;&gt;"")*(G$3:G$107=G6))+SUMPRODUCT((N$3:N$107&lt;&gt;"")*(G$3:G$107=G6))+SUMPRODUCT((P$3:P$107="")*(O$3:O$107="")*(N$3:N$107="")*(M$3:M$107="P")*(G$3:G$107=G6)*(J$3:J$107&gt;J6))+IF(H6="L5",SUMPRODUCT((P$3:P$107="")*(O$3:O$107="")*(N$3:N$107="")*(M$3:M$107="P")*(G$3:G$107=G6)*(J$3:J$107&lt;J6)*(H$3:H$107&lt;&gt;H6)),-1*SUMPRODUCT((P$3:P$107="")*(O$3:O$107="")*(N$3:N$107="")*(M$3:M$107="P")*(G$3:G$107=G6)*(J$3:J$107&gt;J6)*(H$3:H$107="L5")))+1,""))))</f>
        <v>5</v>
      </c>
      <c r="C6" s="36" t="s">
        <v>110</v>
      </c>
      <c r="D6" s="36" t="str">
        <f>IF(E6="","",VLOOKUP(E6,'Coaching Points'!A:B,2,0))</f>
        <v>ON</v>
      </c>
      <c r="E6" s="36" t="s">
        <v>113</v>
      </c>
      <c r="F6" s="35">
        <v>2005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68</v>
      </c>
      <c r="I6" s="43" t="s">
        <v>567</v>
      </c>
      <c r="J6" s="4">
        <f>R6+S6+IF(OR(H6="Junior",H6="Senior"),0.0002,IF(OR(H6="L7",H6="L6"),0.0001,0))+IF(G6="17-21",MAX(AA6,AC6,AF6),AE6)*0.0000001</f>
        <v>107.38010540499999</v>
      </c>
      <c r="K6" s="3" t="str">
        <f>IF(G6="Not Age Eligible","",IF(G6="17-21",IF(MAX(T6,V6,Y6,AA6,AC6,AF6)&gt;=LOOKUP(G6,'Qualifying Scores'!$A$4:$A$7,'Qualifying Scores'!$B$4:$B$7),"P",""),IF(MAX(X6-U6,AE6-AB6)&gt;=LOOKUP(G6,'Qualifying Scores'!$A$4:$A$7,'Qualifying Scores'!$B$4:$B$7),"P","")))</f>
        <v>P</v>
      </c>
      <c r="L6" s="3" t="str">
        <f>IF(G6="Not Age Eligible","",IF(G6="17-21",IF(MAX(U6,W6,Z6,AB6,AD6,AG6)&gt;=LOOKUP(G6,'Qualifying Scores'!$A$10:$A$13,'Qualifying Scores'!$B$10:$B$13),"P",""),IF(MAX(W6,AD6)&gt;=LOOKUP(G6,'Qualifying Scores'!$A$10:$A$13,'Qualifying Scores'!$B$10:$B$13),"P","")))</f>
        <v>P</v>
      </c>
      <c r="M6" s="3" t="str">
        <f>IF(G6="Not Age Eligible","",IF(G6="17-21",IF(OR(AND(T6&gt;=LOOKUP(G6,'Qualifying Scores'!$A$4:$A$7,'Qualifying Scores'!$B$4:$B$7),U6&gt;=LOOKUP(G6,'Qualifying Scores'!$A$10:$A$13,'Qualifying Scores'!$B$10:$B$13)),AND(V6&gt;=LOOKUP(G6,'Qualifying Scores'!$A$4:$A$7,'Qualifying Scores'!$B$4:$B$7),W6&gt;=LOOKUP(G6,'Qualifying Scores'!$A$10:$A$13,'Qualifying Scores'!$B$10:$B$13)),AND(Y6&gt;=LOOKUP(G6,'Qualifying Scores'!$A$4:$A$7,'Qualifying Scores'!$B$4:$B$7),Z6&gt;=LOOKUP(G6,'Qualifying Scores'!$A$10:$A$13,'Qualifying Scores'!$B$10:$B$13)),AND(AA6&gt;=LOOKUP(G6,'Qualifying Scores'!$A$4:$A$7,'Qualifying Scores'!$B$4:$B$7),AB6&gt;=LOOKUP(G6,'Qualifying Scores'!$A$10:$A$13,'Qualifying Scores'!$B$10:$B$13)),AND(AC6&gt;=LOOKUP(G6,'Qualifying Scores'!$A$4:$A$7,'Qualifying Scores'!$B$4:$B$7),AD6&gt;=LOOKUP(G6,'Qualifying Scores'!$A$10:$A$13,'Qualifying Scores'!$B$10:$B$13)),AND(AF6&gt;=LOOKUP(G6,'Qualifying Scores'!$A$4:$A$7,'Qualifying Scores'!$B$4:$B$7),AG6&gt;=LOOKUP(G6,'Qualifying Scores'!$A$10:$A$13,'Qualifying Scores'!$B$10:$B$13))),"P",""),IF(OR(AND(X6-U6&gt;=LOOKUP(G6,'Qualifying Scores'!$A$4:$A$7,'Qualifying Scores'!$B$4:$B$7),W6&gt;=LOOKUP(G6,'Qualifying Scores'!$A$10:$A$13,'Qualifying Scores'!$B$10:$B$13)),AND(AE6-AB6&gt;=LOOKUP(G6,'Qualifying Scores'!$A$4:$A$7,'Qualifying Scores'!$B$4:$B$7),AD6&gt;=LOOKUP(G6,'Qualifying Scores'!$A$10:$A$13,'Qualifying Scores'!$B$10:$B$13))),"P","")))</f>
        <v>P</v>
      </c>
      <c r="Q6" s="1">
        <f>IF(A6&lt;5,IF(_xlfn.MAXIFS(A:A,G:G,G6)&gt;3,5-A6,_xlfn.MAXIFS(A:A,G:G,G6)+1-A6),"")</f>
        <v>1</v>
      </c>
      <c r="R6" s="4">
        <f>IF(G6="17-21",MAX(T6,V6,Y6,AA6,AC6,AF6),MAX(X6,AE6))</f>
        <v>54.05</v>
      </c>
      <c r="S6" s="4">
        <f>IF(G6="17-21",LARGE(CHOOSE({1,2,3,4,5,6},T6,V6,Y6,AA6,AC6,AF6),2),IF(R6=X6,MAX(Y6,AA6,AC6,AF6),IF(R6=AE6,MAX(AF6,T6,V6,Y6),0)))</f>
        <v>53.33</v>
      </c>
      <c r="T6" s="33">
        <v>33.67</v>
      </c>
      <c r="U6" s="40">
        <v>5.6</v>
      </c>
      <c r="V6" s="34">
        <v>49.25</v>
      </c>
      <c r="W6" s="40">
        <v>11.5</v>
      </c>
      <c r="X6" s="4">
        <f>IF(H6="Senior",MAX(T6,V6),T6+V6)</f>
        <v>82.92</v>
      </c>
      <c r="Y6" s="34">
        <v>48.73</v>
      </c>
      <c r="Z6" s="40">
        <v>12.7</v>
      </c>
      <c r="AA6" s="33">
        <v>54.05</v>
      </c>
      <c r="AB6" s="40">
        <v>13.7</v>
      </c>
      <c r="AC6" s="34">
        <v>53.04</v>
      </c>
      <c r="AD6" s="40">
        <v>13.7</v>
      </c>
      <c r="AE6" s="4">
        <f>IF(H6="Senior",MAX(AA6,AC6),AA6+AC6)</f>
        <v>107.09</v>
      </c>
      <c r="AF6" s="34">
        <v>53.33</v>
      </c>
      <c r="AG6" s="37">
        <v>13.7</v>
      </c>
    </row>
    <row r="7" spans="1:33" x14ac:dyDescent="0.2">
      <c r="A7" s="1" cm="1">
        <f t="array" ref="A7">IF(I7="","",IF(P7&lt;&gt;"",SUMPRODUCT((P$3:P$107&lt;&gt;"")*(G$3:G$107=G7)*(J$3:J$107&gt;J7)*(I$3:I$107="P"))+1,IF(O7&lt;&gt;"",SUMPRODUCT((O$3:O$107&lt;&gt;"")*(P$3:P$107="")*(G$3:G$107=G7)*(J$3:J$107&gt;J7)*(I$3:I$107="P"))+SUMPRODUCT((P$3:P$107&lt;&gt;"")*(G$3:G$107=G7)*(I$3:I$107="P"))+1,IF(N7&lt;&gt;"",SUMPRODUCT((N$3:N$107&lt;&gt;"")*(G$3:G$107=G7)*(J$3:J$107&gt;J7)*(I$3:I$107="P"))+1,IF(M7="P",SUMPRODUCT((O$3:O$107&lt;&gt;"")*(P$3:P$107="")*(G$3:G$107=G7)*(I$3:I$107="P"))+SUMPRODUCT((P$3:P$107&lt;&gt;"")*(G$3:G$107=G7)*(I$3:I$107="P"))+SUMPRODUCT((N$3:N$107&lt;&gt;"")*(G$3:G$107=G7)*(I$3:I$107="P"))+SUMPRODUCT((P$3:P$107="")*(O$3:O$107="")*(N$3:N$107="")*(M$3:M$107="P")*(G$3:G$107=G7)*(J$3:J$107&gt;J7)*(I$3:I$107="P"))+IF(H7="L5",SUMPRODUCT((P$3:P$107="")*(O$3:O$107="")*(N$3:N$107="")*(M$3:M$107="P")*(G$3:G$107=G7)*(J$3:J$107&lt;J7)*(H$3:H$107&lt;&gt;H7)*(I$3:I$107="P")),-1*SUMPRODUCT((P$3:P$107="")*(O$3:O$107="")*(N$3:N$107="")*(M$3:M$107="P")*(G$3:G$107=G7)*(J$3:J$107&gt;J7)*(H$3:H$107="L5")*(I$3:I$107="P")))+1,"")))))</f>
        <v>5</v>
      </c>
      <c r="B7" s="1" cm="1">
        <f t="array" ref="B7">IF(P7&lt;&gt;"",SUMPRODUCT((P$3:P$107&lt;&gt;"")*(G$3:G$107=G7)*(J$3:J$107&gt;J7))+1,IF(O7&lt;&gt;"",SUMPRODUCT((O$3:O$107&lt;&gt;"")*(P$3:P$107="")*(G$3:G$107=G7)*(J$3:J$107&gt;J7))+SUMPRODUCT((P$3:P$107&lt;&gt;"")*(G$3:G$107=G7))+1,IF(N7&lt;&gt;"",SUMPRODUCT((N$3:N$107&lt;&gt;"")*(G$3:G$107=G7)*(J$3:J$107&gt;J7))+1,IF(M7="P",SUMPRODUCT((O$3:O$107&lt;&gt;"")*(P$3:P$107="")*(G$3:G$107=G7))+SUMPRODUCT((P$3:P$107&lt;&gt;"")*(G$3:G$107=G7))+SUMPRODUCT((N$3:N$107&lt;&gt;"")*(G$3:G$107=G7))+SUMPRODUCT((P$3:P$107="")*(O$3:O$107="")*(N$3:N$107="")*(M$3:M$107="P")*(G$3:G$107=G7)*(J$3:J$107&gt;J7))+IF(H7="L5",SUMPRODUCT((P$3:P$107="")*(O$3:O$107="")*(N$3:N$107="")*(M$3:M$107="P")*(G$3:G$107=G7)*(J$3:J$107&lt;J7)*(H$3:H$107&lt;&gt;H7)),-1*SUMPRODUCT((P$3:P$107="")*(O$3:O$107="")*(N$3:N$107="")*(M$3:M$107="P")*(G$3:G$107=G7)*(J$3:J$107&gt;J7)*(H$3:H$107="L5")))+1,""))))</f>
        <v>6</v>
      </c>
      <c r="C7" t="s">
        <v>422</v>
      </c>
      <c r="D7" s="36" t="str">
        <f>IF(E7="","",VLOOKUP(E7,'Coaching Points'!A:B,2,0))</f>
        <v>ON</v>
      </c>
      <c r="E7" s="36" t="s">
        <v>313</v>
      </c>
      <c r="F7" s="35">
        <v>2002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74</v>
      </c>
      <c r="I7" s="43" t="s">
        <v>567</v>
      </c>
      <c r="J7" s="4">
        <f>R7+S7+IF(OR(H7="Junior",H7="Senior"),0.0002,IF(OR(H7="L7",H7="L6"),0.0001,0))+IF(G7="17-21",MAX(AA7,AC7,AF7),AE7)*0.0000001</f>
        <v>107.140205397</v>
      </c>
      <c r="K7" s="3" t="str">
        <f>IF(G7="Not Age Eligible","",IF(G7="17-21",IF(MAX(T7,V7,Y7,AA7,AC7,AF7)&gt;=LOOKUP(G7,'Qualifying Scores'!$A$4:$A$7,'Qualifying Scores'!$B$4:$B$7),"P",""),IF(MAX(X7-U7,AE7-AB7)&gt;=LOOKUP(G7,'Qualifying Scores'!$A$4:$A$7,'Qualifying Scores'!$B$4:$B$7),"P","")))</f>
        <v>P</v>
      </c>
      <c r="L7" s="3" t="str">
        <f>IF(G7="Not Age Eligible","",IF(G7="17-21",IF(MAX(U7,W7,Z7,AB7,AD7,AG7)&gt;=LOOKUP(G7,'Qualifying Scores'!$A$10:$A$13,'Qualifying Scores'!$B$10:$B$13),"P",""),IF(MAX(W7,AD7)&gt;=LOOKUP(G7,'Qualifying Scores'!$A$10:$A$13,'Qualifying Scores'!$B$10:$B$13),"P","")))</f>
        <v>P</v>
      </c>
      <c r="M7" s="3" t="str">
        <f>IF(G7="Not Age Eligible","",IF(G7="17-21",IF(OR(AND(T7&gt;=LOOKUP(G7,'Qualifying Scores'!$A$4:$A$7,'Qualifying Scores'!$B$4:$B$7),U7&gt;=LOOKUP(G7,'Qualifying Scores'!$A$10:$A$13,'Qualifying Scores'!$B$10:$B$13)),AND(V7&gt;=LOOKUP(G7,'Qualifying Scores'!$A$4:$A$7,'Qualifying Scores'!$B$4:$B$7),W7&gt;=LOOKUP(G7,'Qualifying Scores'!$A$10:$A$13,'Qualifying Scores'!$B$10:$B$13)),AND(Y7&gt;=LOOKUP(G7,'Qualifying Scores'!$A$4:$A$7,'Qualifying Scores'!$B$4:$B$7),Z7&gt;=LOOKUP(G7,'Qualifying Scores'!$A$10:$A$13,'Qualifying Scores'!$B$10:$B$13)),AND(AA7&gt;=LOOKUP(G7,'Qualifying Scores'!$A$4:$A$7,'Qualifying Scores'!$B$4:$B$7),AB7&gt;=LOOKUP(G7,'Qualifying Scores'!$A$10:$A$13,'Qualifying Scores'!$B$10:$B$13)),AND(AC7&gt;=LOOKUP(G7,'Qualifying Scores'!$A$4:$A$7,'Qualifying Scores'!$B$4:$B$7),AD7&gt;=LOOKUP(G7,'Qualifying Scores'!$A$10:$A$13,'Qualifying Scores'!$B$10:$B$13)),AND(AF7&gt;=LOOKUP(G7,'Qualifying Scores'!$A$4:$A$7,'Qualifying Scores'!$B$4:$B$7),AG7&gt;=LOOKUP(G7,'Qualifying Scores'!$A$10:$A$13,'Qualifying Scores'!$B$10:$B$13))),"P",""),IF(OR(AND(X7-U7&gt;=LOOKUP(G7,'Qualifying Scores'!$A$4:$A$7,'Qualifying Scores'!$B$4:$B$7),W7&gt;=LOOKUP(G7,'Qualifying Scores'!$A$10:$A$13,'Qualifying Scores'!$B$10:$B$13)),AND(AE7-AB7&gt;=LOOKUP(G7,'Qualifying Scores'!$A$4:$A$7,'Qualifying Scores'!$B$4:$B$7),AD7&gt;=LOOKUP(G7,'Qualifying Scores'!$A$10:$A$13,'Qualifying Scores'!$B$10:$B$13))),"P","")))</f>
        <v>P</v>
      </c>
      <c r="Q7" s="1" t="str">
        <f>IF(A7&lt;5,IF(_xlfn.MAXIFS(A:A,G:G,G7)&gt;3,5-A7,_xlfn.MAXIFS(A:A,G:G,G7)+1-A7),"")</f>
        <v/>
      </c>
      <c r="R7" s="4">
        <f>IF(G7="17-21",MAX(T7,V7,Y7,AA7,AC7,AF7),MAX(X7,AE7))</f>
        <v>53.97</v>
      </c>
      <c r="S7" s="4">
        <f>IF(G7="17-21",LARGE(CHOOSE({1,2,3,4,5,6},T7,V7,Y7,AA7,AC7,AF7),2),IF(R7=X7,MAX(Y7,AA7,AC7,AF7),IF(R7=AE7,MAX(AF7,T7,V7,Y7),0)))</f>
        <v>53.17</v>
      </c>
      <c r="T7" s="33">
        <v>51.39</v>
      </c>
      <c r="U7" s="40">
        <v>13.5</v>
      </c>
      <c r="V7" s="34">
        <v>51.78</v>
      </c>
      <c r="W7" s="40">
        <v>14.5</v>
      </c>
      <c r="X7" s="4">
        <f>IF(H7="Senior",MAX(T7,V7),T7+V7)</f>
        <v>51.78</v>
      </c>
      <c r="Y7" s="34">
        <v>53.17</v>
      </c>
      <c r="Z7" s="40">
        <v>14.5</v>
      </c>
      <c r="AA7" s="33">
        <v>17.649999999999999</v>
      </c>
      <c r="AB7" s="40">
        <v>5.5</v>
      </c>
      <c r="AC7" s="34">
        <v>53.97</v>
      </c>
      <c r="AD7" s="40">
        <v>15.6</v>
      </c>
      <c r="AE7" s="4">
        <f>IF(H7="Senior",MAX(AA7,AC7),AA7+AC7)</f>
        <v>53.97</v>
      </c>
      <c r="AF7" s="34">
        <v>17.39</v>
      </c>
      <c r="AG7" s="37">
        <v>5.5</v>
      </c>
    </row>
    <row r="8" spans="1:33" x14ac:dyDescent="0.2">
      <c r="A8" s="1" cm="1">
        <f t="array" ref="A8">IF(I8="","",IF(P8&lt;&gt;"",SUMPRODUCT((P$3:P$107&lt;&gt;"")*(G$3:G$107=G8)*(J$3:J$107&gt;J8)*(I$3:I$107="P"))+1,IF(O8&lt;&gt;"",SUMPRODUCT((O$3:O$107&lt;&gt;"")*(P$3:P$107="")*(G$3:G$107=G8)*(J$3:J$107&gt;J8)*(I$3:I$107="P"))+SUMPRODUCT((P$3:P$107&lt;&gt;"")*(G$3:G$107=G8)*(I$3:I$107="P"))+1,IF(N8&lt;&gt;"",SUMPRODUCT((N$3:N$107&lt;&gt;"")*(G$3:G$107=G8)*(J$3:J$107&gt;J8)*(I$3:I$107="P"))+1,IF(M8="P",SUMPRODUCT((O$3:O$107&lt;&gt;"")*(P$3:P$107="")*(G$3:G$107=G8)*(I$3:I$107="P"))+SUMPRODUCT((P$3:P$107&lt;&gt;"")*(G$3:G$107=G8)*(I$3:I$107="P"))+SUMPRODUCT((N$3:N$107&lt;&gt;"")*(G$3:G$107=G8)*(I$3:I$107="P"))+SUMPRODUCT((P$3:P$107="")*(O$3:O$107="")*(N$3:N$107="")*(M$3:M$107="P")*(G$3:G$107=G8)*(J$3:J$107&gt;J8)*(I$3:I$107="P"))+IF(H8="L5",SUMPRODUCT((P$3:P$107="")*(O$3:O$107="")*(N$3:N$107="")*(M$3:M$107="P")*(G$3:G$107=G8)*(J$3:J$107&lt;J8)*(H$3:H$107&lt;&gt;H8)*(I$3:I$107="P")),-1*SUMPRODUCT((P$3:P$107="")*(O$3:O$107="")*(N$3:N$107="")*(M$3:M$107="P")*(G$3:G$107=G8)*(J$3:J$107&gt;J8)*(H$3:H$107="L5")*(I$3:I$107="P")))+1,"")))))</f>
        <v>6</v>
      </c>
      <c r="B8" s="1" cm="1">
        <f t="array" ref="B8">IF(P8&lt;&gt;"",SUMPRODUCT((P$3:P$107&lt;&gt;"")*(G$3:G$107=G8)*(J$3:J$107&gt;J8))+1,IF(O8&lt;&gt;"",SUMPRODUCT((O$3:O$107&lt;&gt;"")*(P$3:P$107="")*(G$3:G$107=G8)*(J$3:J$107&gt;J8))+SUMPRODUCT((P$3:P$107&lt;&gt;"")*(G$3:G$107=G8))+1,IF(N8&lt;&gt;"",SUMPRODUCT((N$3:N$107&lt;&gt;"")*(G$3:G$107=G8)*(J$3:J$107&gt;J8))+1,IF(M8="P",SUMPRODUCT((O$3:O$107&lt;&gt;"")*(P$3:P$107="")*(G$3:G$107=G8))+SUMPRODUCT((P$3:P$107&lt;&gt;"")*(G$3:G$107=G8))+SUMPRODUCT((N$3:N$107&lt;&gt;"")*(G$3:G$107=G8))+SUMPRODUCT((P$3:P$107="")*(O$3:O$107="")*(N$3:N$107="")*(M$3:M$107="P")*(G$3:G$107=G8)*(J$3:J$107&gt;J8))+IF(H8="L5",SUMPRODUCT((P$3:P$107="")*(O$3:O$107="")*(N$3:N$107="")*(M$3:M$107="P")*(G$3:G$107=G8)*(J$3:J$107&lt;J8)*(H$3:H$107&lt;&gt;H8)),-1*SUMPRODUCT((P$3:P$107="")*(O$3:O$107="")*(N$3:N$107="")*(M$3:M$107="P")*(G$3:G$107=G8)*(J$3:J$107&gt;J8)*(H$3:H$107="L5")))+1,""))))</f>
        <v>7</v>
      </c>
      <c r="C8" s="36" t="s">
        <v>112</v>
      </c>
      <c r="D8" s="36" t="str">
        <f>IF(E8="","",VLOOKUP(E8,'Coaching Points'!A:B,2,0))</f>
        <v>QC</v>
      </c>
      <c r="E8" s="36" t="s">
        <v>3</v>
      </c>
      <c r="F8" s="35">
        <v>2004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74</v>
      </c>
      <c r="I8" s="43" t="s">
        <v>567</v>
      </c>
      <c r="J8" s="4">
        <f>R8+S8+IF(OR(H8="Junior",H8="Senior"),0.0002,IF(OR(H8="L7",H8="L6"),0.0001,0))+IF(G8="17-21",MAX(AA8,AC8,AF8),AE8)*0.0000001</f>
        <v>106.44020492600001</v>
      </c>
      <c r="K8" s="3" t="str">
        <f>IF(G8="Not Age Eligible","",IF(G8="17-21",IF(MAX(T8,V8,Y8,AA8,AC8,AF8)&gt;=LOOKUP(G8,'Qualifying Scores'!$A$4:$A$7,'Qualifying Scores'!$B$4:$B$7),"P",""),IF(MAX(X8-U8,AE8-AB8)&gt;=LOOKUP(G8,'Qualifying Scores'!$A$4:$A$7,'Qualifying Scores'!$B$4:$B$7),"P","")))</f>
        <v>P</v>
      </c>
      <c r="L8" s="3" t="str">
        <f>IF(G8="Not Age Eligible","",IF(G8="17-21",IF(MAX(U8,W8,Z8,AB8,AD8,AG8)&gt;=LOOKUP(G8,'Qualifying Scores'!$A$10:$A$13,'Qualifying Scores'!$B$10:$B$13),"P",""),IF(MAX(W8,AD8)&gt;=LOOKUP(G8,'Qualifying Scores'!$A$10:$A$13,'Qualifying Scores'!$B$10:$B$13),"P","")))</f>
        <v>P</v>
      </c>
      <c r="M8" s="3" t="str">
        <f>IF(G8="Not Age Eligible","",IF(G8="17-21",IF(OR(AND(T8&gt;=LOOKUP(G8,'Qualifying Scores'!$A$4:$A$7,'Qualifying Scores'!$B$4:$B$7),U8&gt;=LOOKUP(G8,'Qualifying Scores'!$A$10:$A$13,'Qualifying Scores'!$B$10:$B$13)),AND(V8&gt;=LOOKUP(G8,'Qualifying Scores'!$A$4:$A$7,'Qualifying Scores'!$B$4:$B$7),W8&gt;=LOOKUP(G8,'Qualifying Scores'!$A$10:$A$13,'Qualifying Scores'!$B$10:$B$13)),AND(Y8&gt;=LOOKUP(G8,'Qualifying Scores'!$A$4:$A$7,'Qualifying Scores'!$B$4:$B$7),Z8&gt;=LOOKUP(G8,'Qualifying Scores'!$A$10:$A$13,'Qualifying Scores'!$B$10:$B$13)),AND(AA8&gt;=LOOKUP(G8,'Qualifying Scores'!$A$4:$A$7,'Qualifying Scores'!$B$4:$B$7),AB8&gt;=LOOKUP(G8,'Qualifying Scores'!$A$10:$A$13,'Qualifying Scores'!$B$10:$B$13)),AND(AC8&gt;=LOOKUP(G8,'Qualifying Scores'!$A$4:$A$7,'Qualifying Scores'!$B$4:$B$7),AD8&gt;=LOOKUP(G8,'Qualifying Scores'!$A$10:$A$13,'Qualifying Scores'!$B$10:$B$13)),AND(AF8&gt;=LOOKUP(G8,'Qualifying Scores'!$A$4:$A$7,'Qualifying Scores'!$B$4:$B$7),AG8&gt;=LOOKUP(G8,'Qualifying Scores'!$A$10:$A$13,'Qualifying Scores'!$B$10:$B$13))),"P",""),IF(OR(AND(X8-U8&gt;=LOOKUP(G8,'Qualifying Scores'!$A$4:$A$7,'Qualifying Scores'!$B$4:$B$7),W8&gt;=LOOKUP(G8,'Qualifying Scores'!$A$10:$A$13,'Qualifying Scores'!$B$10:$B$13)),AND(AE8-AB8&gt;=LOOKUP(G8,'Qualifying Scores'!$A$4:$A$7,'Qualifying Scores'!$B$4:$B$7),AD8&gt;=LOOKUP(G8,'Qualifying Scores'!$A$10:$A$13,'Qualifying Scores'!$B$10:$B$13))),"P","")))</f>
        <v>P</v>
      </c>
      <c r="Q8" s="1" t="str">
        <f>IF(A8&lt;5,IF(_xlfn.MAXIFS(A:A,G:G,G8)&gt;3,5-A8,_xlfn.MAXIFS(A:A,G:G,G8)+1-A8),"")</f>
        <v/>
      </c>
      <c r="R8" s="4">
        <f>IF(G8="17-21",MAX(T8,V8,Y8,AA8,AC8,AF8),MAX(X8,AE8))</f>
        <v>53.84</v>
      </c>
      <c r="S8" s="4">
        <f>IF(G8="17-21",LARGE(CHOOSE({1,2,3,4,5,6},T8,V8,Y8,AA8,AC8,AF8),2),IF(R8=X8,MAX(Y8,AA8,AC8,AF8),IF(R8=AE8,MAX(AF8,T8,V8,Y8),0)))</f>
        <v>52.6</v>
      </c>
      <c r="T8" s="33">
        <v>16.79</v>
      </c>
      <c r="U8" s="40">
        <v>4.4000000000000004</v>
      </c>
      <c r="V8" s="34">
        <v>52.6</v>
      </c>
      <c r="W8" s="40">
        <v>13.5</v>
      </c>
      <c r="X8" s="4">
        <f>IF(H8="Senior",MAX(T8,V8),T8+V8)</f>
        <v>52.6</v>
      </c>
      <c r="Y8" s="34">
        <v>53.84</v>
      </c>
      <c r="Z8" s="40">
        <v>13.5</v>
      </c>
      <c r="AA8" s="33">
        <v>15.86</v>
      </c>
      <c r="AB8" s="40">
        <v>4.2</v>
      </c>
      <c r="AC8" s="34">
        <v>49.26</v>
      </c>
      <c r="AD8" s="40">
        <v>11.7</v>
      </c>
      <c r="AE8" s="4">
        <f>IF(H8="Senior",MAX(AA8,AC8),AA8+AC8)</f>
        <v>49.26</v>
      </c>
      <c r="AF8" s="34">
        <v>15.67</v>
      </c>
      <c r="AG8" s="37">
        <v>4.2</v>
      </c>
    </row>
    <row r="9" spans="1:33" x14ac:dyDescent="0.2">
      <c r="A9" s="1" cm="1">
        <f t="array" ref="A9">IF(I9="","",IF(P9&lt;&gt;"",SUMPRODUCT((P$3:P$107&lt;&gt;"")*(G$3:G$107=G9)*(J$3:J$107&gt;J9)*(I$3:I$107="P"))+1,IF(O9&lt;&gt;"",SUMPRODUCT((O$3:O$107&lt;&gt;"")*(P$3:P$107="")*(G$3:G$107=G9)*(J$3:J$107&gt;J9)*(I$3:I$107="P"))+SUMPRODUCT((P$3:P$107&lt;&gt;"")*(G$3:G$107=G9)*(I$3:I$107="P"))+1,IF(N9&lt;&gt;"",SUMPRODUCT((N$3:N$107&lt;&gt;"")*(G$3:G$107=G9)*(J$3:J$107&gt;J9)*(I$3:I$107="P"))+1,IF(M9="P",SUMPRODUCT((O$3:O$107&lt;&gt;"")*(P$3:P$107="")*(G$3:G$107=G9)*(I$3:I$107="P"))+SUMPRODUCT((P$3:P$107&lt;&gt;"")*(G$3:G$107=G9)*(I$3:I$107="P"))+SUMPRODUCT((N$3:N$107&lt;&gt;"")*(G$3:G$107=G9)*(I$3:I$107="P"))+SUMPRODUCT((P$3:P$107="")*(O$3:O$107="")*(N$3:N$107="")*(M$3:M$107="P")*(G$3:G$107=G9)*(J$3:J$107&gt;J9)*(I$3:I$107="P"))+IF(H9="L5",SUMPRODUCT((P$3:P$107="")*(O$3:O$107="")*(N$3:N$107="")*(M$3:M$107="P")*(G$3:G$107=G9)*(J$3:J$107&lt;J9)*(H$3:H$107&lt;&gt;H9)*(I$3:I$107="P")),-1*SUMPRODUCT((P$3:P$107="")*(O$3:O$107="")*(N$3:N$107="")*(M$3:M$107="P")*(G$3:G$107=G9)*(J$3:J$107&gt;J9)*(H$3:H$107="L5")*(I$3:I$107="P")))+1,"")))))</f>
        <v>7</v>
      </c>
      <c r="B9" s="1" cm="1">
        <f t="array" ref="B9">IF(P9&lt;&gt;"",SUMPRODUCT((P$3:P$107&lt;&gt;"")*(G$3:G$107=G9)*(J$3:J$107&gt;J9))+1,IF(O9&lt;&gt;"",SUMPRODUCT((O$3:O$107&lt;&gt;"")*(P$3:P$107="")*(G$3:G$107=G9)*(J$3:J$107&gt;J9))+SUMPRODUCT((P$3:P$107&lt;&gt;"")*(G$3:G$107=G9))+1,IF(N9&lt;&gt;"",SUMPRODUCT((N$3:N$107&lt;&gt;"")*(G$3:G$107=G9)*(J$3:J$107&gt;J9))+1,IF(M9="P",SUMPRODUCT((O$3:O$107&lt;&gt;"")*(P$3:P$107="")*(G$3:G$107=G9))+SUMPRODUCT((P$3:P$107&lt;&gt;"")*(G$3:G$107=G9))+SUMPRODUCT((N$3:N$107&lt;&gt;"")*(G$3:G$107=G9))+SUMPRODUCT((P$3:P$107="")*(O$3:O$107="")*(N$3:N$107="")*(M$3:M$107="P")*(G$3:G$107=G9)*(J$3:J$107&gt;J9))+IF(H9="L5",SUMPRODUCT((P$3:P$107="")*(O$3:O$107="")*(N$3:N$107="")*(M$3:M$107="P")*(G$3:G$107=G9)*(J$3:J$107&lt;J9)*(H$3:H$107&lt;&gt;H9)),-1*SUMPRODUCT((P$3:P$107="")*(O$3:O$107="")*(N$3:N$107="")*(M$3:M$107="P")*(G$3:G$107=G9)*(J$3:J$107&gt;J9)*(H$3:H$107="L5")))+1,""))))</f>
        <v>8</v>
      </c>
      <c r="C9" s="36" t="s">
        <v>170</v>
      </c>
      <c r="D9" s="36" t="str">
        <f>IF(E9="","",VLOOKUP(E9,'Coaching Points'!A:B,2,0))</f>
        <v>AB</v>
      </c>
      <c r="E9" s="36" t="s">
        <v>64</v>
      </c>
      <c r="F9" s="35">
        <v>2003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74</v>
      </c>
      <c r="I9" s="43" t="s">
        <v>567</v>
      </c>
      <c r="J9" s="4">
        <f>R9+S9+IF(OR(H9="Junior",H9="Senior"),0.0002,IF(OR(H9="L7",H9="L6"),0.0001,0))+IF(G9="17-21",MAX(AA9,AC9,AF9),AE9)*0.0000001</f>
        <v>102.99020496500002</v>
      </c>
      <c r="K9" s="3" t="str">
        <f>IF(G9="Not Age Eligible","",IF(G9="17-21",IF(MAX(T9,V9,Y9,AA9,AC9,AF9)&gt;=LOOKUP(G9,'Qualifying Scores'!$A$4:$A$7,'Qualifying Scores'!$B$4:$B$7),"P",""),IF(MAX(X9-U9,AE9-AB9)&gt;=LOOKUP(G9,'Qualifying Scores'!$A$4:$A$7,'Qualifying Scores'!$B$4:$B$7),"P","")))</f>
        <v>P</v>
      </c>
      <c r="L9" s="3" t="str">
        <f>IF(G9="Not Age Eligible","",IF(G9="17-21",IF(MAX(U9,W9,Z9,AB9,AD9,AG9)&gt;=LOOKUP(G9,'Qualifying Scores'!$A$10:$A$13,'Qualifying Scores'!$B$10:$B$13),"P",""),IF(MAX(W9,AD9)&gt;=LOOKUP(G9,'Qualifying Scores'!$A$10:$A$13,'Qualifying Scores'!$B$10:$B$13),"P","")))</f>
        <v>P</v>
      </c>
      <c r="M9" s="3" t="str">
        <f>IF(G9="Not Age Eligible","",IF(G9="17-21",IF(OR(AND(T9&gt;=LOOKUP(G9,'Qualifying Scores'!$A$4:$A$7,'Qualifying Scores'!$B$4:$B$7),U9&gt;=LOOKUP(G9,'Qualifying Scores'!$A$10:$A$13,'Qualifying Scores'!$B$10:$B$13)),AND(V9&gt;=LOOKUP(G9,'Qualifying Scores'!$A$4:$A$7,'Qualifying Scores'!$B$4:$B$7),W9&gt;=LOOKUP(G9,'Qualifying Scores'!$A$10:$A$13,'Qualifying Scores'!$B$10:$B$13)),AND(Y9&gt;=LOOKUP(G9,'Qualifying Scores'!$A$4:$A$7,'Qualifying Scores'!$B$4:$B$7),Z9&gt;=LOOKUP(G9,'Qualifying Scores'!$A$10:$A$13,'Qualifying Scores'!$B$10:$B$13)),AND(AA9&gt;=LOOKUP(G9,'Qualifying Scores'!$A$4:$A$7,'Qualifying Scores'!$B$4:$B$7),AB9&gt;=LOOKUP(G9,'Qualifying Scores'!$A$10:$A$13,'Qualifying Scores'!$B$10:$B$13)),AND(AC9&gt;=LOOKUP(G9,'Qualifying Scores'!$A$4:$A$7,'Qualifying Scores'!$B$4:$B$7),AD9&gt;=LOOKUP(G9,'Qualifying Scores'!$A$10:$A$13,'Qualifying Scores'!$B$10:$B$13)),AND(AF9&gt;=LOOKUP(G9,'Qualifying Scores'!$A$4:$A$7,'Qualifying Scores'!$B$4:$B$7),AG9&gt;=LOOKUP(G9,'Qualifying Scores'!$A$10:$A$13,'Qualifying Scores'!$B$10:$B$13))),"P",""),IF(OR(AND(X9-U9&gt;=LOOKUP(G9,'Qualifying Scores'!$A$4:$A$7,'Qualifying Scores'!$B$4:$B$7),W9&gt;=LOOKUP(G9,'Qualifying Scores'!$A$10:$A$13,'Qualifying Scores'!$B$10:$B$13)),AND(AE9-AB9&gt;=LOOKUP(G9,'Qualifying Scores'!$A$4:$A$7,'Qualifying Scores'!$B$4:$B$7),AD9&gt;=LOOKUP(G9,'Qualifying Scores'!$A$10:$A$13,'Qualifying Scores'!$B$10:$B$13))),"P","")))</f>
        <v>P</v>
      </c>
      <c r="Q9" s="1" t="str">
        <f>IF(A9&lt;5,IF(_xlfn.MAXIFS(A:A,G:G,G9)&gt;3,5-A9,_xlfn.MAXIFS(A:A,G:G,G9)+1-A9),"")</f>
        <v/>
      </c>
      <c r="R9" s="4">
        <f>IF(G9="17-21",MAX(T9,V9,Y9,AA9,AC9,AF9),MAX(X9,AE9))</f>
        <v>52.14</v>
      </c>
      <c r="S9" s="4">
        <f>IF(G9="17-21",LARGE(CHOOSE({1,2,3,4,5,6},T9,V9,Y9,AA9,AC9,AF9),2),IF(R9=X9,MAX(Y9,AA9,AC9,AF9),IF(R9=AE9,MAX(AF9,T9,V9,Y9),0)))</f>
        <v>50.85</v>
      </c>
      <c r="T9" s="33">
        <v>50.39</v>
      </c>
      <c r="U9" s="40">
        <v>13.9</v>
      </c>
      <c r="V9" s="34">
        <v>50.85</v>
      </c>
      <c r="W9" s="40">
        <v>13.7</v>
      </c>
      <c r="X9" s="4">
        <f>IF(H9="Senior",MAX(T9,V9),T9+V9)</f>
        <v>50.85</v>
      </c>
      <c r="Y9" s="34">
        <v>52.14</v>
      </c>
      <c r="Z9" s="40">
        <v>13.7</v>
      </c>
      <c r="AA9" s="33">
        <v>0</v>
      </c>
      <c r="AB9" s="40">
        <v>0</v>
      </c>
      <c r="AC9" s="34">
        <v>49.65</v>
      </c>
      <c r="AD9" s="40">
        <v>14.2</v>
      </c>
      <c r="AE9" s="4">
        <f>IF(H9="Senior",MAX(AA9,AC9),AA9+AC9)</f>
        <v>49.65</v>
      </c>
      <c r="AF9" s="34">
        <v>16.510000000000002</v>
      </c>
      <c r="AG9" s="37">
        <v>4.9000000000000004</v>
      </c>
    </row>
    <row r="10" spans="1:33" x14ac:dyDescent="0.2">
      <c r="A10" s="1" t="str" cm="1">
        <f t="array" ref="A10">IF(I10="","",IF(P10&lt;&gt;"",SUMPRODUCT((P$3:P$107&lt;&gt;"")*(G$3:G$107=G10)*(J$3:J$107&gt;J10)*(I$3:I$107="P"))+1,IF(O10&lt;&gt;"",SUMPRODUCT((O$3:O$107&lt;&gt;"")*(P$3:P$107="")*(G$3:G$107=G10)*(J$3:J$107&gt;J10)*(I$3:I$107="P"))+SUMPRODUCT((P$3:P$107&lt;&gt;"")*(G$3:G$107=G10)*(I$3:I$107="P"))+1,IF(N10&lt;&gt;"",SUMPRODUCT((N$3:N$107&lt;&gt;"")*(G$3:G$107=G10)*(J$3:J$107&gt;J10)*(I$3:I$107="P"))+1,IF(M10="P",SUMPRODUCT((O$3:O$107&lt;&gt;"")*(P$3:P$107="")*(G$3:G$107=G10)*(I$3:I$107="P"))+SUMPRODUCT((P$3:P$107&lt;&gt;"")*(G$3:G$107=G10)*(I$3:I$107="P"))+SUMPRODUCT((N$3:N$107&lt;&gt;"")*(G$3:G$107=G10)*(I$3:I$107="P"))+SUMPRODUCT((P$3:P$107="")*(O$3:O$107="")*(N$3:N$107="")*(M$3:M$107="P")*(G$3:G$107=G10)*(J$3:J$107&gt;J10)*(I$3:I$107="P"))+IF(H10="L5",SUMPRODUCT((P$3:P$107="")*(O$3:O$107="")*(N$3:N$107="")*(M$3:M$107="P")*(G$3:G$107=G10)*(J$3:J$107&lt;J10)*(H$3:H$107&lt;&gt;H10)*(I$3:I$107="P")),-1*SUMPRODUCT((P$3:P$107="")*(O$3:O$107="")*(N$3:N$107="")*(M$3:M$107="P")*(G$3:G$107=G10)*(J$3:J$107&gt;J10)*(H$3:H$107="L5")*(I$3:I$107="P")))+1,"")))))</f>
        <v/>
      </c>
      <c r="B10" s="1" cm="1">
        <f t="array" ref="B10">IF(P10&lt;&gt;"",SUMPRODUCT((P$3:P$107&lt;&gt;"")*(G$3:G$107=G10)*(J$3:J$107&gt;J10))+1,IF(O10&lt;&gt;"",SUMPRODUCT((O$3:O$107&lt;&gt;"")*(P$3:P$107="")*(G$3:G$107=G10)*(J$3:J$107&gt;J10))+SUMPRODUCT((P$3:P$107&lt;&gt;"")*(G$3:G$107=G10))+1,IF(N10&lt;&gt;"",SUMPRODUCT((N$3:N$107&lt;&gt;"")*(G$3:G$107=G10)*(J$3:J$107&gt;J10))+1,IF(M10="P",SUMPRODUCT((O$3:O$107&lt;&gt;"")*(P$3:P$107="")*(G$3:G$107=G10))+SUMPRODUCT((P$3:P$107&lt;&gt;"")*(G$3:G$107=G10))+SUMPRODUCT((N$3:N$107&lt;&gt;"")*(G$3:G$107=G10))+SUMPRODUCT((P$3:P$107="")*(O$3:O$107="")*(N$3:N$107="")*(M$3:M$107="P")*(G$3:G$107=G10)*(J$3:J$107&gt;J10))+IF(H10="L5",SUMPRODUCT((P$3:P$107="")*(O$3:O$107="")*(N$3:N$107="")*(M$3:M$107="P")*(G$3:G$107=G10)*(J$3:J$107&lt;J10)*(H$3:H$107&lt;&gt;H10)),-1*SUMPRODUCT((P$3:P$107="")*(O$3:O$107="")*(N$3:N$107="")*(M$3:M$107="P")*(G$3:G$107=G10)*(J$3:J$107&gt;J10)*(H$3:H$107="L5")))+1,""))))</f>
        <v>1</v>
      </c>
      <c r="C10" s="36" t="s">
        <v>233</v>
      </c>
      <c r="D10" s="36" t="str">
        <f>IF(E10="","",VLOOKUP(E10,'Coaching Points'!A:B,2,0))</f>
        <v>BC</v>
      </c>
      <c r="E10" s="36" t="s">
        <v>61</v>
      </c>
      <c r="F10" s="35">
        <v>2003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74</v>
      </c>
      <c r="I10" s="43"/>
      <c r="J10" s="4">
        <f>R10+S10+IF(OR(H10="Junior",H10="Senior"),0.0002,IF(OR(H10="L7",H10="L6"),0.0001,0))+IF(G10="17-21",MAX(AA10,AC10,AF10),AE10)*0.0000001</f>
        <v>110.42020548800001</v>
      </c>
      <c r="K10" s="3" t="str">
        <f>IF(G10="Not Age Eligible","",IF(G10="17-21",IF(MAX(T10,V10,Y10,AA10,AC10,AF10)&gt;=LOOKUP(G10,'Qualifying Scores'!$A$4:$A$7,'Qualifying Scores'!$B$4:$B$7),"P",""),IF(MAX(X10-U10,AE10-AB10)&gt;=LOOKUP(G10,'Qualifying Scores'!$A$4:$A$7,'Qualifying Scores'!$B$4:$B$7),"P","")))</f>
        <v>P</v>
      </c>
      <c r="L10" s="3" t="str">
        <f>IF(G10="Not Age Eligible","",IF(G10="17-21",IF(MAX(U10,W10,Z10,AB10,AD10,AG10)&gt;=LOOKUP(G10,'Qualifying Scores'!$A$10:$A$13,'Qualifying Scores'!$B$10:$B$13),"P",""),IF(MAX(W10,AD10)&gt;=LOOKUP(G10,'Qualifying Scores'!$A$10:$A$13,'Qualifying Scores'!$B$10:$B$13),"P","")))</f>
        <v>P</v>
      </c>
      <c r="M10" s="3" t="str">
        <f>IF(G10="Not Age Eligible","",IF(G10="17-21",IF(OR(AND(T10&gt;=LOOKUP(G10,'Qualifying Scores'!$A$4:$A$7,'Qualifying Scores'!$B$4:$B$7),U10&gt;=LOOKUP(G10,'Qualifying Scores'!$A$10:$A$13,'Qualifying Scores'!$B$10:$B$13)),AND(V10&gt;=LOOKUP(G10,'Qualifying Scores'!$A$4:$A$7,'Qualifying Scores'!$B$4:$B$7),W10&gt;=LOOKUP(G10,'Qualifying Scores'!$A$10:$A$13,'Qualifying Scores'!$B$10:$B$13)),AND(Y10&gt;=LOOKUP(G10,'Qualifying Scores'!$A$4:$A$7,'Qualifying Scores'!$B$4:$B$7),Z10&gt;=LOOKUP(G10,'Qualifying Scores'!$A$10:$A$13,'Qualifying Scores'!$B$10:$B$13)),AND(AA10&gt;=LOOKUP(G10,'Qualifying Scores'!$A$4:$A$7,'Qualifying Scores'!$B$4:$B$7),AB10&gt;=LOOKUP(G10,'Qualifying Scores'!$A$10:$A$13,'Qualifying Scores'!$B$10:$B$13)),AND(AC10&gt;=LOOKUP(G10,'Qualifying Scores'!$A$4:$A$7,'Qualifying Scores'!$B$4:$B$7),AD10&gt;=LOOKUP(G10,'Qualifying Scores'!$A$10:$A$13,'Qualifying Scores'!$B$10:$B$13)),AND(AF10&gt;=LOOKUP(G10,'Qualifying Scores'!$A$4:$A$7,'Qualifying Scores'!$B$4:$B$7),AG10&gt;=LOOKUP(G10,'Qualifying Scores'!$A$10:$A$13,'Qualifying Scores'!$B$10:$B$13))),"P",""),IF(OR(AND(X10-U10&gt;=LOOKUP(G10,'Qualifying Scores'!$A$4:$A$7,'Qualifying Scores'!$B$4:$B$7),W10&gt;=LOOKUP(G10,'Qualifying Scores'!$A$10:$A$13,'Qualifying Scores'!$B$10:$B$13)),AND(AE10-AB10&gt;=LOOKUP(G10,'Qualifying Scores'!$A$4:$A$7,'Qualifying Scores'!$B$4:$B$7),AD10&gt;=LOOKUP(G10,'Qualifying Scores'!$A$10:$A$13,'Qualifying Scores'!$B$10:$B$13))),"P","")))</f>
        <v>P</v>
      </c>
      <c r="O10" s="39">
        <v>1</v>
      </c>
      <c r="P10" s="39">
        <v>5</v>
      </c>
      <c r="Q10" s="1" t="str">
        <f>IF(A10&lt;5,IF(_xlfn.MAXIFS(A:A,G:G,G10)&gt;3,5-A10,_xlfn.MAXIFS(A:A,G:G,G10)+1-A10),"")</f>
        <v/>
      </c>
      <c r="R10" s="4">
        <f>IF(G10="17-21",MAX(T10,V10,Y10,AA10,AC10,AF10),MAX(X10,AE10))</f>
        <v>55.54</v>
      </c>
      <c r="S10" s="4">
        <f>IF(G10="17-21",LARGE(CHOOSE({1,2,3,4,5,6},T10,V10,Y10,AA10,AC10,AF10),2),IF(R10=X10,MAX(Y10,AA10,AC10,AF10),IF(R10=AE10,MAX(AF10,T10,V10,Y10),0)))</f>
        <v>54.88</v>
      </c>
      <c r="T10" s="33">
        <v>54.02</v>
      </c>
      <c r="U10" s="40">
        <v>14.8</v>
      </c>
      <c r="V10" s="34">
        <v>55.54</v>
      </c>
      <c r="W10" s="40">
        <v>15.8</v>
      </c>
      <c r="X10" s="4">
        <f>IF(H10="Senior",MAX(T10,V10),T10+V10)</f>
        <v>55.54</v>
      </c>
      <c r="Y10" s="34">
        <v>54.32</v>
      </c>
      <c r="Z10" s="40">
        <v>14.8</v>
      </c>
      <c r="AA10" s="33">
        <v>54.88</v>
      </c>
      <c r="AB10" s="40">
        <v>15.4</v>
      </c>
      <c r="AC10" s="34">
        <v>6.45</v>
      </c>
      <c r="AD10" s="40">
        <v>2</v>
      </c>
      <c r="AE10" s="4">
        <f>IF(H10="Senior",MAX(AA10,AC10),AA10+AC10)</f>
        <v>54.88</v>
      </c>
      <c r="AF10" s="34">
        <v>6.26</v>
      </c>
      <c r="AG10" s="37">
        <v>2</v>
      </c>
    </row>
    <row r="11" spans="1:33" x14ac:dyDescent="0.2">
      <c r="A11" s="1" t="str" cm="1">
        <f t="array" ref="A11">IF(I11="","",IF(P11&lt;&gt;"",SUMPRODUCT((P$3:P$107&lt;&gt;"")*(G$3:G$107=G11)*(J$3:J$107&gt;J11)*(I$3:I$107="P"))+1,IF(O11&lt;&gt;"",SUMPRODUCT((O$3:O$107&lt;&gt;"")*(P$3:P$107="")*(G$3:G$107=G11)*(J$3:J$107&gt;J11)*(I$3:I$107="P"))+SUMPRODUCT((P$3:P$107&lt;&gt;"")*(G$3:G$107=G11)*(I$3:I$107="P"))+1,IF(N11&lt;&gt;"",SUMPRODUCT((N$3:N$107&lt;&gt;"")*(G$3:G$107=G11)*(J$3:J$107&gt;J11)*(I$3:I$107="P"))+1,IF(M11="P",SUMPRODUCT((O$3:O$107&lt;&gt;"")*(P$3:P$107="")*(G$3:G$107=G11)*(I$3:I$107="P"))+SUMPRODUCT((P$3:P$107&lt;&gt;"")*(G$3:G$107=G11)*(I$3:I$107="P"))+SUMPRODUCT((N$3:N$107&lt;&gt;"")*(G$3:G$107=G11)*(I$3:I$107="P"))+SUMPRODUCT((P$3:P$107="")*(O$3:O$107="")*(N$3:N$107="")*(M$3:M$107="P")*(G$3:G$107=G11)*(J$3:J$107&gt;J11)*(I$3:I$107="P"))+IF(H11="L5",SUMPRODUCT((P$3:P$107="")*(O$3:O$107="")*(N$3:N$107="")*(M$3:M$107="P")*(G$3:G$107=G11)*(J$3:J$107&lt;J11)*(H$3:H$107&lt;&gt;H11)*(I$3:I$107="P")),-1*SUMPRODUCT((P$3:P$107="")*(O$3:O$107="")*(N$3:N$107="")*(M$3:M$107="P")*(G$3:G$107=G11)*(J$3:J$107&gt;J11)*(H$3:H$107="L5")*(I$3:I$107="P")))+1,"")))))</f>
        <v/>
      </c>
      <c r="B11" s="1" t="str" cm="1">
        <f t="array" ref="B11">IF(P11&lt;&gt;"",SUMPRODUCT((P$3:P$107&lt;&gt;"")*(G$3:G$107=G11)*(J$3:J$107&gt;J11))+1,IF(O11&lt;&gt;"",SUMPRODUCT((O$3:O$107&lt;&gt;"")*(P$3:P$107="")*(G$3:G$107=G11)*(J$3:J$107&gt;J11))+SUMPRODUCT((P$3:P$107&lt;&gt;"")*(G$3:G$107=G11))+1,IF(N11&lt;&gt;"",SUMPRODUCT((N$3:N$107&lt;&gt;"")*(G$3:G$107=G11)*(J$3:J$107&gt;J11))+1,IF(M11="P",SUMPRODUCT((O$3:O$107&lt;&gt;"")*(P$3:P$107="")*(G$3:G$107=G11))+SUMPRODUCT((P$3:P$107&lt;&gt;"")*(G$3:G$107=G11))+SUMPRODUCT((N$3:N$107&lt;&gt;"")*(G$3:G$107=G11))+SUMPRODUCT((P$3:P$107="")*(O$3:O$107="")*(N$3:N$107="")*(M$3:M$107="P")*(G$3:G$107=G11)*(J$3:J$107&gt;J11))+IF(H11="L5",SUMPRODUCT((P$3:P$107="")*(O$3:O$107="")*(N$3:N$107="")*(M$3:M$107="P")*(G$3:G$107=G11)*(J$3:J$107&lt;J11)*(H$3:H$107&lt;&gt;H11)),-1*SUMPRODUCT((P$3:P$107="")*(O$3:O$107="")*(N$3:N$107="")*(M$3:M$107="P")*(G$3:G$107=G11)*(J$3:J$107&gt;J11)*(H$3:H$107="L5")))+1,""))))</f>
        <v/>
      </c>
      <c r="C11" s="36" t="s">
        <v>435</v>
      </c>
      <c r="D11" s="36" t="str">
        <f>IF(E11="","",VLOOKUP(E11,'Coaching Points'!A:B,2,0))</f>
        <v>BC</v>
      </c>
      <c r="E11" s="36" t="s">
        <v>37</v>
      </c>
      <c r="F11" s="35">
        <v>2002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68</v>
      </c>
      <c r="I11" s="43"/>
      <c r="J11" s="4">
        <f>R11+S11+IF(OR(H11="Junior",H11="Senior"),0.0002,IF(OR(H11="L7",H11="L6"),0.0001,0))+IF(G11="17-21",MAX(AA11,AC11,AF11),AE11)*0.0000001</f>
        <v>103.59010518500001</v>
      </c>
      <c r="K11" s="3" t="str">
        <f>IF(G11="Not Age Eligible","",IF(G11="17-21",IF(MAX(T11,V11,Y11,AA11,AC11,AF11)&gt;=LOOKUP(G11,'Qualifying Scores'!$A$4:$A$7,'Qualifying Scores'!$B$4:$B$7),"P",""),IF(MAX(X11-U11,AE11-AB11)&gt;=LOOKUP(G11,'Qualifying Scores'!$A$4:$A$7,'Qualifying Scores'!$B$4:$B$7),"P","")))</f>
        <v/>
      </c>
      <c r="L11" s="3" t="str">
        <f>IF(G11="Not Age Eligible","",IF(G11="17-21",IF(MAX(U11,W11,Z11,AB11,AD11,AG11)&gt;=LOOKUP(G11,'Qualifying Scores'!$A$10:$A$13,'Qualifying Scores'!$B$10:$B$13),"P",""),IF(MAX(W11,AD11)&gt;=LOOKUP(G11,'Qualifying Scores'!$A$10:$A$13,'Qualifying Scores'!$B$10:$B$13),"P","")))</f>
        <v/>
      </c>
      <c r="M11" s="3" t="str">
        <f>IF(G11="Not Age Eligible","",IF(G11="17-21",IF(OR(AND(T11&gt;=LOOKUP(G11,'Qualifying Scores'!$A$4:$A$7,'Qualifying Scores'!$B$4:$B$7),U11&gt;=LOOKUP(G11,'Qualifying Scores'!$A$10:$A$13,'Qualifying Scores'!$B$10:$B$13)),AND(V11&gt;=LOOKUP(G11,'Qualifying Scores'!$A$4:$A$7,'Qualifying Scores'!$B$4:$B$7),W11&gt;=LOOKUP(G11,'Qualifying Scores'!$A$10:$A$13,'Qualifying Scores'!$B$10:$B$13)),AND(Y11&gt;=LOOKUP(G11,'Qualifying Scores'!$A$4:$A$7,'Qualifying Scores'!$B$4:$B$7),Z11&gt;=LOOKUP(G11,'Qualifying Scores'!$A$10:$A$13,'Qualifying Scores'!$B$10:$B$13)),AND(AA11&gt;=LOOKUP(G11,'Qualifying Scores'!$A$4:$A$7,'Qualifying Scores'!$B$4:$B$7),AB11&gt;=LOOKUP(G11,'Qualifying Scores'!$A$10:$A$13,'Qualifying Scores'!$B$10:$B$13)),AND(AC11&gt;=LOOKUP(G11,'Qualifying Scores'!$A$4:$A$7,'Qualifying Scores'!$B$4:$B$7),AD11&gt;=LOOKUP(G11,'Qualifying Scores'!$A$10:$A$13,'Qualifying Scores'!$B$10:$B$13)),AND(AF11&gt;=LOOKUP(G11,'Qualifying Scores'!$A$4:$A$7,'Qualifying Scores'!$B$4:$B$7),AG11&gt;=LOOKUP(G11,'Qualifying Scores'!$A$10:$A$13,'Qualifying Scores'!$B$10:$B$13))),"P",""),IF(OR(AND(X11-U11&gt;=LOOKUP(G11,'Qualifying Scores'!$A$4:$A$7,'Qualifying Scores'!$B$4:$B$7),W11&gt;=LOOKUP(G11,'Qualifying Scores'!$A$10:$A$13,'Qualifying Scores'!$B$10:$B$13)),AND(AE11-AB11&gt;=LOOKUP(G11,'Qualifying Scores'!$A$4:$A$7,'Qualifying Scores'!$B$4:$B$7),AD11&gt;=LOOKUP(G11,'Qualifying Scores'!$A$10:$A$13,'Qualifying Scores'!$B$10:$B$13))),"P","")))</f>
        <v/>
      </c>
      <c r="Q11" s="1" t="str">
        <f>IF(A11&lt;5,IF(_xlfn.MAXIFS(A:A,G:G,G11)&gt;3,5-A11,_xlfn.MAXIFS(A:A,G:G,G11)+1-A11),"")</f>
        <v/>
      </c>
      <c r="R11" s="4">
        <f>IF(G11="17-21",MAX(T11,V11,Y11,AA11,AC11,AF11),MAX(X11,AE11))</f>
        <v>51.85</v>
      </c>
      <c r="S11" s="4">
        <f>IF(G11="17-21",LARGE(CHOOSE({1,2,3,4,5,6},T11,V11,Y11,AA11,AC11,AF11),2),IF(R11=X11,MAX(Y11,AA11,AC11,AF11),IF(R11=AE11,MAX(AF11,T11,V11,Y11),0)))</f>
        <v>51.74</v>
      </c>
      <c r="T11" s="33"/>
      <c r="U11" s="40"/>
      <c r="V11" s="34"/>
      <c r="W11" s="40"/>
      <c r="X11" s="4">
        <f>IF(H11="Senior",MAX(T11,V11),T11+V11)</f>
        <v>0</v>
      </c>
      <c r="Y11" s="34"/>
      <c r="Z11" s="40"/>
      <c r="AA11" s="33">
        <v>51.85</v>
      </c>
      <c r="AB11" s="40">
        <v>12</v>
      </c>
      <c r="AC11" s="34">
        <v>51.74</v>
      </c>
      <c r="AD11" s="40">
        <v>12.4</v>
      </c>
      <c r="AE11" s="4">
        <f>IF(H11="Senior",MAX(AA11,AC11),AA11+AC11)</f>
        <v>103.59</v>
      </c>
      <c r="AF11" s="34">
        <v>49.52</v>
      </c>
      <c r="AG11" s="37">
        <v>11.1</v>
      </c>
    </row>
    <row r="12" spans="1:33" x14ac:dyDescent="0.2">
      <c r="A12" s="1" t="str" cm="1">
        <f t="array" ref="A12">IF(I12="","",IF(P12&lt;&gt;"",SUMPRODUCT((P$3:P$107&lt;&gt;"")*(G$3:G$107=G12)*(J$3:J$107&gt;J12)*(I$3:I$107="P"))+1,IF(O12&lt;&gt;"",SUMPRODUCT((O$3:O$107&lt;&gt;"")*(P$3:P$107="")*(G$3:G$107=G12)*(J$3:J$107&gt;J12)*(I$3:I$107="P"))+SUMPRODUCT((P$3:P$107&lt;&gt;"")*(G$3:G$107=G12)*(I$3:I$107="P"))+1,IF(N12&lt;&gt;"",SUMPRODUCT((N$3:N$107&lt;&gt;"")*(G$3:G$107=G12)*(J$3:J$107&gt;J12)*(I$3:I$107="P"))+1,IF(M12="P",SUMPRODUCT((O$3:O$107&lt;&gt;"")*(P$3:P$107="")*(G$3:G$107=G12)*(I$3:I$107="P"))+SUMPRODUCT((P$3:P$107&lt;&gt;"")*(G$3:G$107=G12)*(I$3:I$107="P"))+SUMPRODUCT((N$3:N$107&lt;&gt;"")*(G$3:G$107=G12)*(I$3:I$107="P"))+SUMPRODUCT((P$3:P$107="")*(O$3:O$107="")*(N$3:N$107="")*(M$3:M$107="P")*(G$3:G$107=G12)*(J$3:J$107&gt;J12)*(I$3:I$107="P"))+IF(H12="L5",SUMPRODUCT((P$3:P$107="")*(O$3:O$107="")*(N$3:N$107="")*(M$3:M$107="P")*(G$3:G$107=G12)*(J$3:J$107&lt;J12)*(H$3:H$107&lt;&gt;H12)*(I$3:I$107="P")),-1*SUMPRODUCT((P$3:P$107="")*(O$3:O$107="")*(N$3:N$107="")*(M$3:M$107="P")*(G$3:G$107=G12)*(J$3:J$107&gt;J12)*(H$3:H$107="L5")*(I$3:I$107="P")))+1,"")))))</f>
        <v/>
      </c>
      <c r="B12" s="1" t="str" cm="1">
        <f t="array" ref="B12">IF(P12&lt;&gt;"",SUMPRODUCT((P$3:P$107&lt;&gt;"")*(G$3:G$107=G12)*(J$3:J$107&gt;J12))+1,IF(O12&lt;&gt;"",SUMPRODUCT((O$3:O$107&lt;&gt;"")*(P$3:P$107="")*(G$3:G$107=G12)*(J$3:J$107&gt;J12))+SUMPRODUCT((P$3:P$107&lt;&gt;"")*(G$3:G$107=G12))+1,IF(N12&lt;&gt;"",SUMPRODUCT((N$3:N$107&lt;&gt;"")*(G$3:G$107=G12)*(J$3:J$107&gt;J12))+1,IF(M12="P",SUMPRODUCT((O$3:O$107&lt;&gt;"")*(P$3:P$107="")*(G$3:G$107=G12))+SUMPRODUCT((P$3:P$107&lt;&gt;"")*(G$3:G$107=G12))+SUMPRODUCT((N$3:N$107&lt;&gt;"")*(G$3:G$107=G12))+SUMPRODUCT((P$3:P$107="")*(O$3:O$107="")*(N$3:N$107="")*(M$3:M$107="P")*(G$3:G$107=G12)*(J$3:J$107&gt;J12))+IF(H12="L5",SUMPRODUCT((P$3:P$107="")*(O$3:O$107="")*(N$3:N$107="")*(M$3:M$107="P")*(G$3:G$107=G12)*(J$3:J$107&lt;J12)*(H$3:H$107&lt;&gt;H12)),-1*SUMPRODUCT((P$3:P$107="")*(O$3:O$107="")*(N$3:N$107="")*(M$3:M$107="P")*(G$3:G$107=G12)*(J$3:J$107&gt;J12)*(H$3:H$107="L5")))+1,""))))</f>
        <v/>
      </c>
      <c r="C12" s="36" t="s">
        <v>83</v>
      </c>
      <c r="D12" s="36" t="str">
        <f>IF(E12="","",VLOOKUP(E12,'Coaching Points'!A:B,2,0))</f>
        <v>QC</v>
      </c>
      <c r="E12" s="36" t="s">
        <v>84</v>
      </c>
      <c r="F12" s="35">
        <v>2006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/>
      <c r="J12" s="4">
        <f>R12+S12+IF(OR(H12="Junior",H12="Senior"),0.0002,IF(OR(H12="L7",H12="L6"),0.0001,0))+IF(G12="17-21",MAX(AA12,AC12,AF12),AE12)*0.0000001</f>
        <v>101.92010000000001</v>
      </c>
      <c r="K12" s="3" t="str">
        <f>IF(G12="Not Age Eligible","",IF(G12="17-21",IF(MAX(T12,V12,Y12,AA12,AC12,AF12)&gt;=LOOKUP(G12,'Qualifying Scores'!$A$4:$A$7,'Qualifying Scores'!$B$4:$B$7),"P",""),IF(MAX(X12-U12,AE12-AB12)&gt;=LOOKUP(G12,'Qualifying Scores'!$A$4:$A$7,'Qualifying Scores'!$B$4:$B$7),"P","")))</f>
        <v/>
      </c>
      <c r="L12" s="3" t="str">
        <f>IF(G12="Not Age Eligible","",IF(G12="17-21",IF(MAX(U12,W12,Z12,AB12,AD12,AG12)&gt;=LOOKUP(G12,'Qualifying Scores'!$A$10:$A$13,'Qualifying Scores'!$B$10:$B$13),"P",""),IF(MAX(W12,AD12)&gt;=LOOKUP(G12,'Qualifying Scores'!$A$10:$A$13,'Qualifying Scores'!$B$10:$B$13),"P","")))</f>
        <v/>
      </c>
      <c r="M12" s="3" t="str">
        <f>IF(G12="Not Age Eligible","",IF(G12="17-21",IF(OR(AND(T12&gt;=LOOKUP(G12,'Qualifying Scores'!$A$4:$A$7,'Qualifying Scores'!$B$4:$B$7),U12&gt;=LOOKUP(G12,'Qualifying Scores'!$A$10:$A$13,'Qualifying Scores'!$B$10:$B$13)),AND(V12&gt;=LOOKUP(G12,'Qualifying Scores'!$A$4:$A$7,'Qualifying Scores'!$B$4:$B$7),W12&gt;=LOOKUP(G12,'Qualifying Scores'!$A$10:$A$13,'Qualifying Scores'!$B$10:$B$13)),AND(Y12&gt;=LOOKUP(G12,'Qualifying Scores'!$A$4:$A$7,'Qualifying Scores'!$B$4:$B$7),Z12&gt;=LOOKUP(G12,'Qualifying Scores'!$A$10:$A$13,'Qualifying Scores'!$B$10:$B$13)),AND(AA12&gt;=LOOKUP(G12,'Qualifying Scores'!$A$4:$A$7,'Qualifying Scores'!$B$4:$B$7),AB12&gt;=LOOKUP(G12,'Qualifying Scores'!$A$10:$A$13,'Qualifying Scores'!$B$10:$B$13)),AND(AC12&gt;=LOOKUP(G12,'Qualifying Scores'!$A$4:$A$7,'Qualifying Scores'!$B$4:$B$7),AD12&gt;=LOOKUP(G12,'Qualifying Scores'!$A$10:$A$13,'Qualifying Scores'!$B$10:$B$13)),AND(AF12&gt;=LOOKUP(G12,'Qualifying Scores'!$A$4:$A$7,'Qualifying Scores'!$B$4:$B$7),AG12&gt;=LOOKUP(G12,'Qualifying Scores'!$A$10:$A$13,'Qualifying Scores'!$B$10:$B$13))),"P",""),IF(OR(AND(X12-U12&gt;=LOOKUP(G12,'Qualifying Scores'!$A$4:$A$7,'Qualifying Scores'!$B$4:$B$7),W12&gt;=LOOKUP(G12,'Qualifying Scores'!$A$10:$A$13,'Qualifying Scores'!$B$10:$B$13)),AND(AE12-AB12&gt;=LOOKUP(G12,'Qualifying Scores'!$A$4:$A$7,'Qualifying Scores'!$B$4:$B$7),AD12&gt;=LOOKUP(G12,'Qualifying Scores'!$A$10:$A$13,'Qualifying Scores'!$B$10:$B$13))),"P","")))</f>
        <v/>
      </c>
      <c r="Q12" s="1" t="str">
        <f>IF(A12&lt;5,IF(_xlfn.MAXIFS(A:A,G:G,G12)&gt;3,5-A12,_xlfn.MAXIFS(A:A,G:G,G12)+1-A12),"")</f>
        <v/>
      </c>
      <c r="R12" s="4">
        <f>IF(G12="17-21",MAX(T12,V12,Y12,AA12,AC12,AF12),MAX(X12,AE12))</f>
        <v>51.15</v>
      </c>
      <c r="S12" s="4">
        <f>IF(G12="17-21",LARGE(CHOOSE({1,2,3,4,5,6},T12,V12,Y12,AA12,AC12,AF12),2),IF(R12=X12,MAX(Y12,AA12,AC12,AF12),IF(R12=AE12,MAX(AF12,T12,V12,Y12),0)))</f>
        <v>50.77</v>
      </c>
      <c r="T12" s="33">
        <v>44.79</v>
      </c>
      <c r="U12" s="40">
        <v>8.1</v>
      </c>
      <c r="V12" s="34">
        <v>50.77</v>
      </c>
      <c r="W12" s="40">
        <v>10.6</v>
      </c>
      <c r="X12" s="4">
        <f>IF(H12="Senior",MAX(T12,V12),T12+V12)</f>
        <v>95.56</v>
      </c>
      <c r="Y12" s="34">
        <v>51.15</v>
      </c>
      <c r="Z12" s="40">
        <v>10.6</v>
      </c>
      <c r="AA12" s="33"/>
      <c r="AB12" s="40"/>
      <c r="AC12" s="34"/>
      <c r="AD12" s="40"/>
      <c r="AE12" s="4">
        <f>IF(H12="Senior",MAX(AA12,AC12),AA12+AC12)</f>
        <v>0</v>
      </c>
      <c r="AF12" s="34"/>
      <c r="AG12" s="37"/>
    </row>
    <row r="13" spans="1:33" x14ac:dyDescent="0.2">
      <c r="A13" s="1" t="str" cm="1">
        <f t="array" ref="A13">IF(I13="","",IF(P13&lt;&gt;"",SUMPRODUCT((P$3:P$107&lt;&gt;"")*(G$3:G$107=G13)*(J$3:J$107&gt;J13)*(I$3:I$107="P"))+1,IF(O13&lt;&gt;"",SUMPRODUCT((O$3:O$107&lt;&gt;"")*(P$3:P$107="")*(G$3:G$107=G13)*(J$3:J$107&gt;J13)*(I$3:I$107="P"))+SUMPRODUCT((P$3:P$107&lt;&gt;"")*(G$3:G$107=G13)*(I$3:I$107="P"))+1,IF(N13&lt;&gt;"",SUMPRODUCT((N$3:N$107&lt;&gt;"")*(G$3:G$107=G13)*(J$3:J$107&gt;J13)*(I$3:I$107="P"))+1,IF(M13="P",SUMPRODUCT((O$3:O$107&lt;&gt;"")*(P$3:P$107="")*(G$3:G$107=G13)*(I$3:I$107="P"))+SUMPRODUCT((P$3:P$107&lt;&gt;"")*(G$3:G$107=G13)*(I$3:I$107="P"))+SUMPRODUCT((N$3:N$107&lt;&gt;"")*(G$3:G$107=G13)*(I$3:I$107="P"))+SUMPRODUCT((P$3:P$107="")*(O$3:O$107="")*(N$3:N$107="")*(M$3:M$107="P")*(G$3:G$107=G13)*(J$3:J$107&gt;J13)*(I$3:I$107="P"))+IF(H13="L5",SUMPRODUCT((P$3:P$107="")*(O$3:O$107="")*(N$3:N$107="")*(M$3:M$107="P")*(G$3:G$107=G13)*(J$3:J$107&lt;J13)*(H$3:H$107&lt;&gt;H13)*(I$3:I$107="P")),-1*SUMPRODUCT((P$3:P$107="")*(O$3:O$107="")*(N$3:N$107="")*(M$3:M$107="P")*(G$3:G$107=G13)*(J$3:J$107&gt;J13)*(H$3:H$107="L5")*(I$3:I$107="P")))+1,"")))))</f>
        <v/>
      </c>
      <c r="B13" s="1" t="str" cm="1">
        <f t="array" ref="B13">IF(P13&lt;&gt;"",SUMPRODUCT((P$3:P$107&lt;&gt;"")*(G$3:G$107=G13)*(J$3:J$107&gt;J13))+1,IF(O13&lt;&gt;"",SUMPRODUCT((O$3:O$107&lt;&gt;"")*(P$3:P$107="")*(G$3:G$107=G13)*(J$3:J$107&gt;J13))+SUMPRODUCT((P$3:P$107&lt;&gt;"")*(G$3:G$107=G13))+1,IF(N13&lt;&gt;"",SUMPRODUCT((N$3:N$107&lt;&gt;"")*(G$3:G$107=G13)*(J$3:J$107&gt;J13))+1,IF(M13="P",SUMPRODUCT((O$3:O$107&lt;&gt;"")*(P$3:P$107="")*(G$3:G$107=G13))+SUMPRODUCT((P$3:P$107&lt;&gt;"")*(G$3:G$107=G13))+SUMPRODUCT((N$3:N$107&lt;&gt;"")*(G$3:G$107=G13))+SUMPRODUCT((P$3:P$107="")*(O$3:O$107="")*(N$3:N$107="")*(M$3:M$107="P")*(G$3:G$107=G13)*(J$3:J$107&gt;J13))+IF(H13="L5",SUMPRODUCT((P$3:P$107="")*(O$3:O$107="")*(N$3:N$107="")*(M$3:M$107="P")*(G$3:G$107=G13)*(J$3:J$107&lt;J13)*(H$3:H$107&lt;&gt;H13)),-1*SUMPRODUCT((P$3:P$107="")*(O$3:O$107="")*(N$3:N$107="")*(M$3:M$107="P")*(G$3:G$107=G13)*(J$3:J$107&gt;J13)*(H$3:H$107="L5")))+1,""))))</f>
        <v/>
      </c>
      <c r="C13" s="36" t="s">
        <v>226</v>
      </c>
      <c r="D13" s="36" t="str">
        <f>IF(E13="","",VLOOKUP(E13,'Coaching Points'!A:B,2,0))</f>
        <v>QC</v>
      </c>
      <c r="E13" s="36" t="s">
        <v>284</v>
      </c>
      <c r="F13" s="35">
        <v>2004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 t="s">
        <v>567</v>
      </c>
      <c r="J13" s="4">
        <f>R13+S13+IF(OR(H13="Junior",H13="Senior"),0.0002,IF(OR(H13="L7",H13="L6"),0.0001,0))+IF(G13="17-21",MAX(AA13,AC13,AF13),AE13)*0.0000001</f>
        <v>101.380105157</v>
      </c>
      <c r="K13" s="3" t="str">
        <f>IF(G13="Not Age Eligible","",IF(G13="17-21",IF(MAX(T13,V13,Y13,AA13,AC13,AF13)&gt;=LOOKUP(G13,'Qualifying Scores'!$A$4:$A$7,'Qualifying Scores'!$B$4:$B$7),"P",""),IF(MAX(X13-U13,AE13-AB13)&gt;=LOOKUP(G13,'Qualifying Scores'!$A$4:$A$7,'Qualifying Scores'!$B$4:$B$7),"P","")))</f>
        <v/>
      </c>
      <c r="L13" s="3" t="str">
        <f>IF(G13="Not Age Eligible","",IF(G13="17-21",IF(MAX(U13,W13,Z13,AB13,AD13,AG13)&gt;=LOOKUP(G13,'Qualifying Scores'!$A$10:$A$13,'Qualifying Scores'!$B$10:$B$13),"P",""),IF(MAX(W13,AD13)&gt;=LOOKUP(G13,'Qualifying Scores'!$A$10:$A$13,'Qualifying Scores'!$B$10:$B$13),"P","")))</f>
        <v/>
      </c>
      <c r="M13" s="3" t="str">
        <f>IF(G13="Not Age Eligible","",IF(G13="17-21",IF(OR(AND(T13&gt;=LOOKUP(G13,'Qualifying Scores'!$A$4:$A$7,'Qualifying Scores'!$B$4:$B$7),U13&gt;=LOOKUP(G13,'Qualifying Scores'!$A$10:$A$13,'Qualifying Scores'!$B$10:$B$13)),AND(V13&gt;=LOOKUP(G13,'Qualifying Scores'!$A$4:$A$7,'Qualifying Scores'!$B$4:$B$7),W13&gt;=LOOKUP(G13,'Qualifying Scores'!$A$10:$A$13,'Qualifying Scores'!$B$10:$B$13)),AND(Y13&gt;=LOOKUP(G13,'Qualifying Scores'!$A$4:$A$7,'Qualifying Scores'!$B$4:$B$7),Z13&gt;=LOOKUP(G13,'Qualifying Scores'!$A$10:$A$13,'Qualifying Scores'!$B$10:$B$13)),AND(AA13&gt;=LOOKUP(G13,'Qualifying Scores'!$A$4:$A$7,'Qualifying Scores'!$B$4:$B$7),AB13&gt;=LOOKUP(G13,'Qualifying Scores'!$A$10:$A$13,'Qualifying Scores'!$B$10:$B$13)),AND(AC13&gt;=LOOKUP(G13,'Qualifying Scores'!$A$4:$A$7,'Qualifying Scores'!$B$4:$B$7),AD13&gt;=LOOKUP(G13,'Qualifying Scores'!$A$10:$A$13,'Qualifying Scores'!$B$10:$B$13)),AND(AF13&gt;=LOOKUP(G13,'Qualifying Scores'!$A$4:$A$7,'Qualifying Scores'!$B$4:$B$7),AG13&gt;=LOOKUP(G13,'Qualifying Scores'!$A$10:$A$13,'Qualifying Scores'!$B$10:$B$13))),"P",""),IF(OR(AND(X13-U13&gt;=LOOKUP(G13,'Qualifying Scores'!$A$4:$A$7,'Qualifying Scores'!$B$4:$B$7),W13&gt;=LOOKUP(G13,'Qualifying Scores'!$A$10:$A$13,'Qualifying Scores'!$B$10:$B$13)),AND(AE13-AB13&gt;=LOOKUP(G13,'Qualifying Scores'!$A$4:$A$7,'Qualifying Scores'!$B$4:$B$7),AD13&gt;=LOOKUP(G13,'Qualifying Scores'!$A$10:$A$13,'Qualifying Scores'!$B$10:$B$13))),"P","")))</f>
        <v/>
      </c>
      <c r="Q13" s="1" t="str">
        <f>IF(A13&lt;5,IF(_xlfn.MAXIFS(A:A,G:G,G13)&gt;3,5-A13,_xlfn.MAXIFS(A:A,G:G,G13)+1-A13),"")</f>
        <v/>
      </c>
      <c r="R13" s="4">
        <f>IF(G13="17-21",MAX(T13,V13,Y13,AA13,AC13,AF13),MAX(X13,AE13))</f>
        <v>51.57</v>
      </c>
      <c r="S13" s="4">
        <f>IF(G13="17-21",LARGE(CHOOSE({1,2,3,4,5,6},T13,V13,Y13,AA13,AC13,AF13),2),IF(R13=X13,MAX(Y13,AA13,AC13,AF13),IF(R13=AE13,MAX(AF13,T13,V13,Y13),0)))</f>
        <v>49.81</v>
      </c>
      <c r="T13" s="33">
        <v>48.64</v>
      </c>
      <c r="U13" s="40">
        <v>10.7</v>
      </c>
      <c r="V13" s="34">
        <v>49.81</v>
      </c>
      <c r="W13" s="40">
        <v>11.2</v>
      </c>
      <c r="X13" s="4">
        <f>IF(H13="Senior",MAX(T13,V13),T13+V13)</f>
        <v>98.45</v>
      </c>
      <c r="Y13" s="34">
        <v>49.42</v>
      </c>
      <c r="Z13" s="40">
        <v>12.2</v>
      </c>
      <c r="AA13" s="33">
        <v>51.57</v>
      </c>
      <c r="AB13" s="40">
        <v>12.2</v>
      </c>
      <c r="AC13" s="34">
        <v>31.91</v>
      </c>
      <c r="AD13" s="40">
        <v>7.7</v>
      </c>
      <c r="AE13" s="4">
        <f>IF(H13="Senior",MAX(AA13,AC13),AA13+AC13)</f>
        <v>83.48</v>
      </c>
      <c r="AF13" s="34">
        <v>43.84</v>
      </c>
      <c r="AG13" s="37">
        <v>9.6999999999999993</v>
      </c>
    </row>
    <row r="14" spans="1:33" x14ac:dyDescent="0.2">
      <c r="A14" s="1" t="str" cm="1">
        <f t="array" ref="A14">IF(I14="","",IF(P14&lt;&gt;"",SUMPRODUCT((P$3:P$107&lt;&gt;"")*(G$3:G$107=G14)*(J$3:J$107&gt;J14)*(I$3:I$107="P"))+1,IF(O14&lt;&gt;"",SUMPRODUCT((O$3:O$107&lt;&gt;"")*(P$3:P$107="")*(G$3:G$107=G14)*(J$3:J$107&gt;J14)*(I$3:I$107="P"))+SUMPRODUCT((P$3:P$107&lt;&gt;"")*(G$3:G$107=G14)*(I$3:I$107="P"))+1,IF(N14&lt;&gt;"",SUMPRODUCT((N$3:N$107&lt;&gt;"")*(G$3:G$107=G14)*(J$3:J$107&gt;J14)*(I$3:I$107="P"))+1,IF(M14="P",SUMPRODUCT((O$3:O$107&lt;&gt;"")*(P$3:P$107="")*(G$3:G$107=G14)*(I$3:I$107="P"))+SUMPRODUCT((P$3:P$107&lt;&gt;"")*(G$3:G$107=G14)*(I$3:I$107="P"))+SUMPRODUCT((N$3:N$107&lt;&gt;"")*(G$3:G$107=G14)*(I$3:I$107="P"))+SUMPRODUCT((P$3:P$107="")*(O$3:O$107="")*(N$3:N$107="")*(M$3:M$107="P")*(G$3:G$107=G14)*(J$3:J$107&gt;J14)*(I$3:I$107="P"))+IF(H14="L5",SUMPRODUCT((P$3:P$107="")*(O$3:O$107="")*(N$3:N$107="")*(M$3:M$107="P")*(G$3:G$107=G14)*(J$3:J$107&lt;J14)*(H$3:H$107&lt;&gt;H14)*(I$3:I$107="P")),-1*SUMPRODUCT((P$3:P$107="")*(O$3:O$107="")*(N$3:N$107="")*(M$3:M$107="P")*(G$3:G$107=G14)*(J$3:J$107&gt;J14)*(H$3:H$107="L5")*(I$3:I$107="P")))+1,"")))))</f>
        <v/>
      </c>
      <c r="B14" s="1" t="str" cm="1">
        <f t="array" ref="B14">IF(P14&lt;&gt;"",SUMPRODUCT((P$3:P$107&lt;&gt;"")*(G$3:G$107=G14)*(J$3:J$107&gt;J14))+1,IF(O14&lt;&gt;"",SUMPRODUCT((O$3:O$107&lt;&gt;"")*(P$3:P$107="")*(G$3:G$107=G14)*(J$3:J$107&gt;J14))+SUMPRODUCT((P$3:P$107&lt;&gt;"")*(G$3:G$107=G14))+1,IF(N14&lt;&gt;"",SUMPRODUCT((N$3:N$107&lt;&gt;"")*(G$3:G$107=G14)*(J$3:J$107&gt;J14))+1,IF(M14="P",SUMPRODUCT((O$3:O$107&lt;&gt;"")*(P$3:P$107="")*(G$3:G$107=G14))+SUMPRODUCT((P$3:P$107&lt;&gt;"")*(G$3:G$107=G14))+SUMPRODUCT((N$3:N$107&lt;&gt;"")*(G$3:G$107=G14))+SUMPRODUCT((P$3:P$107="")*(O$3:O$107="")*(N$3:N$107="")*(M$3:M$107="P")*(G$3:G$107=G14)*(J$3:J$107&gt;J14))+IF(H14="L5",SUMPRODUCT((P$3:P$107="")*(O$3:O$107="")*(N$3:N$107="")*(M$3:M$107="P")*(G$3:G$107=G14)*(J$3:J$107&lt;J14)*(H$3:H$107&lt;&gt;H14)),-1*SUMPRODUCT((P$3:P$107="")*(O$3:O$107="")*(N$3:N$107="")*(M$3:M$107="P")*(G$3:G$107=G14)*(J$3:J$107&gt;J14)*(H$3:H$107="L5")))+1,""))))</f>
        <v/>
      </c>
      <c r="C14" s="36" t="s">
        <v>107</v>
      </c>
      <c r="D14" s="36" t="str">
        <f>IF(E14="","",VLOOKUP(E14,'Coaching Points'!A:B,2,0))</f>
        <v>ON</v>
      </c>
      <c r="E14" s="36" t="s">
        <v>73</v>
      </c>
      <c r="F14" s="35">
        <v>2005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68</v>
      </c>
      <c r="I14" s="43" t="s">
        <v>567</v>
      </c>
      <c r="J14" s="4">
        <f>R14+S14+IF(OR(H14="Junior",H14="Senior"),0.0002,IF(OR(H14="L7",H14="L6"),0.0001,0))+IF(G14="17-21",MAX(AA14,AC14,AF14),AE14)*0.0000001</f>
        <v>100.34010485500001</v>
      </c>
      <c r="K14" s="3" t="str">
        <f>IF(G14="Not Age Eligible","",IF(G14="17-21",IF(MAX(T14,V14,Y14,AA14,AC14,AF14)&gt;=LOOKUP(G14,'Qualifying Scores'!$A$4:$A$7,'Qualifying Scores'!$B$4:$B$7),"P",""),IF(MAX(X14-U14,AE14-AB14)&gt;=LOOKUP(G14,'Qualifying Scores'!$A$4:$A$7,'Qualifying Scores'!$B$4:$B$7),"P","")))</f>
        <v/>
      </c>
      <c r="L14" s="3" t="str">
        <f>IF(G14="Not Age Eligible","",IF(G14="17-21",IF(MAX(U14,W14,Z14,AB14,AD14,AG14)&gt;=LOOKUP(G14,'Qualifying Scores'!$A$10:$A$13,'Qualifying Scores'!$B$10:$B$13),"P",""),IF(MAX(W14,AD14)&gt;=LOOKUP(G14,'Qualifying Scores'!$A$10:$A$13,'Qualifying Scores'!$B$10:$B$13),"P","")))</f>
        <v/>
      </c>
      <c r="M14" s="3" t="str">
        <f>IF(G14="Not Age Eligible","",IF(G14="17-21",IF(OR(AND(T14&gt;=LOOKUP(G14,'Qualifying Scores'!$A$4:$A$7,'Qualifying Scores'!$B$4:$B$7),U14&gt;=LOOKUP(G14,'Qualifying Scores'!$A$10:$A$13,'Qualifying Scores'!$B$10:$B$13)),AND(V14&gt;=LOOKUP(G14,'Qualifying Scores'!$A$4:$A$7,'Qualifying Scores'!$B$4:$B$7),W14&gt;=LOOKUP(G14,'Qualifying Scores'!$A$10:$A$13,'Qualifying Scores'!$B$10:$B$13)),AND(Y14&gt;=LOOKUP(G14,'Qualifying Scores'!$A$4:$A$7,'Qualifying Scores'!$B$4:$B$7),Z14&gt;=LOOKUP(G14,'Qualifying Scores'!$A$10:$A$13,'Qualifying Scores'!$B$10:$B$13)),AND(AA14&gt;=LOOKUP(G14,'Qualifying Scores'!$A$4:$A$7,'Qualifying Scores'!$B$4:$B$7),AB14&gt;=LOOKUP(G14,'Qualifying Scores'!$A$10:$A$13,'Qualifying Scores'!$B$10:$B$13)),AND(AC14&gt;=LOOKUP(G14,'Qualifying Scores'!$A$4:$A$7,'Qualifying Scores'!$B$4:$B$7),AD14&gt;=LOOKUP(G14,'Qualifying Scores'!$A$10:$A$13,'Qualifying Scores'!$B$10:$B$13)),AND(AF14&gt;=LOOKUP(G14,'Qualifying Scores'!$A$4:$A$7,'Qualifying Scores'!$B$4:$B$7),AG14&gt;=LOOKUP(G14,'Qualifying Scores'!$A$10:$A$13,'Qualifying Scores'!$B$10:$B$13))),"P",""),IF(OR(AND(X14-U14&gt;=LOOKUP(G14,'Qualifying Scores'!$A$4:$A$7,'Qualifying Scores'!$B$4:$B$7),W14&gt;=LOOKUP(G14,'Qualifying Scores'!$A$10:$A$13,'Qualifying Scores'!$B$10:$B$13)),AND(AE14-AB14&gt;=LOOKUP(G14,'Qualifying Scores'!$A$4:$A$7,'Qualifying Scores'!$B$4:$B$7),AD14&gt;=LOOKUP(G14,'Qualifying Scores'!$A$10:$A$13,'Qualifying Scores'!$B$10:$B$13))),"P","")))</f>
        <v/>
      </c>
      <c r="Q14" s="1" t="str">
        <f>IF(A14&lt;5,IF(_xlfn.MAXIFS(A:A,G:G,G14)&gt;3,5-A14,_xlfn.MAXIFS(A:A,G:G,G14)+1-A14),"")</f>
        <v/>
      </c>
      <c r="R14" s="4">
        <f>IF(G14="17-21",MAX(T14,V14,Y14,AA14,AC14,AF14),MAX(X14,AE14))</f>
        <v>51.02</v>
      </c>
      <c r="S14" s="4">
        <f>IF(G14="17-21",LARGE(CHOOSE({1,2,3,4,5,6},T14,V14,Y14,AA14,AC14,AF14),2),IF(R14=X14,MAX(Y14,AA14,AC14,AF14),IF(R14=AE14,MAX(AF14,T14,V14,Y14),0)))</f>
        <v>49.32</v>
      </c>
      <c r="T14" s="33">
        <v>49.32</v>
      </c>
      <c r="U14" s="40">
        <v>12.3</v>
      </c>
      <c r="V14" s="34">
        <v>43.42</v>
      </c>
      <c r="W14" s="40">
        <v>9.1999999999999993</v>
      </c>
      <c r="X14" s="4">
        <f>IF(H14="Senior",MAX(T14,V14),T14+V14)</f>
        <v>92.740000000000009</v>
      </c>
      <c r="Y14" s="34">
        <v>51.02</v>
      </c>
      <c r="Z14" s="40">
        <v>12.9</v>
      </c>
      <c r="AA14" s="33">
        <v>48.55</v>
      </c>
      <c r="AB14" s="40">
        <v>11.3</v>
      </c>
      <c r="AC14" s="34">
        <v>5.5</v>
      </c>
      <c r="AD14" s="40">
        <v>1.5</v>
      </c>
      <c r="AE14" s="4">
        <f>IF(H14="Senior",MAX(AA14,AC14),AA14+AC14)</f>
        <v>54.05</v>
      </c>
      <c r="AF14" s="34"/>
      <c r="AG14" s="37"/>
    </row>
    <row r="15" spans="1:33" x14ac:dyDescent="0.2">
      <c r="A15" s="1" t="str" cm="1">
        <f t="array" ref="A15">IF(I15="","",IF(P15&lt;&gt;"",SUMPRODUCT((P$3:P$107&lt;&gt;"")*(G$3:G$107=G15)*(J$3:J$107&gt;J15)*(I$3:I$107="P"))+1,IF(O15&lt;&gt;"",SUMPRODUCT((O$3:O$107&lt;&gt;"")*(P$3:P$107="")*(G$3:G$107=G15)*(J$3:J$107&gt;J15)*(I$3:I$107="P"))+SUMPRODUCT((P$3:P$107&lt;&gt;"")*(G$3:G$107=G15)*(I$3:I$107="P"))+1,IF(N15&lt;&gt;"",SUMPRODUCT((N$3:N$107&lt;&gt;"")*(G$3:G$107=G15)*(J$3:J$107&gt;J15)*(I$3:I$107="P"))+1,IF(M15="P",SUMPRODUCT((O$3:O$107&lt;&gt;"")*(P$3:P$107="")*(G$3:G$107=G15)*(I$3:I$107="P"))+SUMPRODUCT((P$3:P$107&lt;&gt;"")*(G$3:G$107=G15)*(I$3:I$107="P"))+SUMPRODUCT((N$3:N$107&lt;&gt;"")*(G$3:G$107=G15)*(I$3:I$107="P"))+SUMPRODUCT((P$3:P$107="")*(O$3:O$107="")*(N$3:N$107="")*(M$3:M$107="P")*(G$3:G$107=G15)*(J$3:J$107&gt;J15)*(I$3:I$107="P"))+IF(H15="L5",SUMPRODUCT((P$3:P$107="")*(O$3:O$107="")*(N$3:N$107="")*(M$3:M$107="P")*(G$3:G$107=G15)*(J$3:J$107&lt;J15)*(H$3:H$107&lt;&gt;H15)*(I$3:I$107="P")),-1*SUMPRODUCT((P$3:P$107="")*(O$3:O$107="")*(N$3:N$107="")*(M$3:M$107="P")*(G$3:G$107=G15)*(J$3:J$107&gt;J15)*(H$3:H$107="L5")*(I$3:I$107="P")))+1,"")))))</f>
        <v/>
      </c>
      <c r="B15" s="1" t="str" cm="1">
        <f t="array" ref="B15">IF(P15&lt;&gt;"",SUMPRODUCT((P$3:P$107&lt;&gt;"")*(G$3:G$107=G15)*(J$3:J$107&gt;J15))+1,IF(O15&lt;&gt;"",SUMPRODUCT((O$3:O$107&lt;&gt;"")*(P$3:P$107="")*(G$3:G$107=G15)*(J$3:J$107&gt;J15))+SUMPRODUCT((P$3:P$107&lt;&gt;"")*(G$3:G$107=G15))+1,IF(N15&lt;&gt;"",SUMPRODUCT((N$3:N$107&lt;&gt;"")*(G$3:G$107=G15)*(J$3:J$107&gt;J15))+1,IF(M15="P",SUMPRODUCT((O$3:O$107&lt;&gt;"")*(P$3:P$107="")*(G$3:G$107=G15))+SUMPRODUCT((P$3:P$107&lt;&gt;"")*(G$3:G$107=G15))+SUMPRODUCT((N$3:N$107&lt;&gt;"")*(G$3:G$107=G15))+SUMPRODUCT((P$3:P$107="")*(O$3:O$107="")*(N$3:N$107="")*(M$3:M$107="P")*(G$3:G$107=G15)*(J$3:J$107&gt;J15))+IF(H15="L5",SUMPRODUCT((P$3:P$107="")*(O$3:O$107="")*(N$3:N$107="")*(M$3:M$107="P")*(G$3:G$107=G15)*(J$3:J$107&lt;J15)*(H$3:H$107&lt;&gt;H15)),-1*SUMPRODUCT((P$3:P$107="")*(O$3:O$107="")*(N$3:N$107="")*(M$3:M$107="P")*(G$3:G$107=G15)*(J$3:J$107&gt;J15)*(H$3:H$107="L5")))+1,""))))</f>
        <v/>
      </c>
      <c r="C15" s="36" t="s">
        <v>326</v>
      </c>
      <c r="D15" s="36" t="str">
        <f>IF(E15="","",VLOOKUP(E15,'Coaching Points'!A:B,2,0))</f>
        <v>QC</v>
      </c>
      <c r="E15" s="36" t="s">
        <v>3</v>
      </c>
      <c r="F15" s="35">
        <v>2003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68</v>
      </c>
      <c r="I15" s="43"/>
      <c r="J15" s="4">
        <f>R15+S15+IF(OR(H15="Junior",H15="Senior"),0.0002,IF(OR(H15="L7",H15="L6"),0.0001,0))+IF(G15="17-21",MAX(AA15,AC15,AF15),AE15)*0.0000001</f>
        <v>100.2201</v>
      </c>
      <c r="K15" s="3" t="str">
        <f>IF(G15="Not Age Eligible","",IF(G15="17-21",IF(MAX(T15,V15,Y15,AA15,AC15,AF15)&gt;=LOOKUP(G15,'Qualifying Scores'!$A$4:$A$7,'Qualifying Scores'!$B$4:$B$7),"P",""),IF(MAX(X15-U15,AE15-AB15)&gt;=LOOKUP(G15,'Qualifying Scores'!$A$4:$A$7,'Qualifying Scores'!$B$4:$B$7),"P","")))</f>
        <v/>
      </c>
      <c r="L15" s="3" t="str">
        <f>IF(G15="Not Age Eligible","",IF(G15="17-21",IF(MAX(U15,W15,Z15,AB15,AD15,AG15)&gt;=LOOKUP(G15,'Qualifying Scores'!$A$10:$A$13,'Qualifying Scores'!$B$10:$B$13),"P",""),IF(MAX(W15,AD15)&gt;=LOOKUP(G15,'Qualifying Scores'!$A$10:$A$13,'Qualifying Scores'!$B$10:$B$13),"P","")))</f>
        <v/>
      </c>
      <c r="M15" s="3" t="str">
        <f>IF(G15="Not Age Eligible","",IF(G15="17-21",IF(OR(AND(T15&gt;=LOOKUP(G15,'Qualifying Scores'!$A$4:$A$7,'Qualifying Scores'!$B$4:$B$7),U15&gt;=LOOKUP(G15,'Qualifying Scores'!$A$10:$A$13,'Qualifying Scores'!$B$10:$B$13)),AND(V15&gt;=LOOKUP(G15,'Qualifying Scores'!$A$4:$A$7,'Qualifying Scores'!$B$4:$B$7),W15&gt;=LOOKUP(G15,'Qualifying Scores'!$A$10:$A$13,'Qualifying Scores'!$B$10:$B$13)),AND(Y15&gt;=LOOKUP(G15,'Qualifying Scores'!$A$4:$A$7,'Qualifying Scores'!$B$4:$B$7),Z15&gt;=LOOKUP(G15,'Qualifying Scores'!$A$10:$A$13,'Qualifying Scores'!$B$10:$B$13)),AND(AA15&gt;=LOOKUP(G15,'Qualifying Scores'!$A$4:$A$7,'Qualifying Scores'!$B$4:$B$7),AB15&gt;=LOOKUP(G15,'Qualifying Scores'!$A$10:$A$13,'Qualifying Scores'!$B$10:$B$13)),AND(AC15&gt;=LOOKUP(G15,'Qualifying Scores'!$A$4:$A$7,'Qualifying Scores'!$B$4:$B$7),AD15&gt;=LOOKUP(G15,'Qualifying Scores'!$A$10:$A$13,'Qualifying Scores'!$B$10:$B$13)),AND(AF15&gt;=LOOKUP(G15,'Qualifying Scores'!$A$4:$A$7,'Qualifying Scores'!$B$4:$B$7),AG15&gt;=LOOKUP(G15,'Qualifying Scores'!$A$10:$A$13,'Qualifying Scores'!$B$10:$B$13))),"P",""),IF(OR(AND(X15-U15&gt;=LOOKUP(G15,'Qualifying Scores'!$A$4:$A$7,'Qualifying Scores'!$B$4:$B$7),W15&gt;=LOOKUP(G15,'Qualifying Scores'!$A$10:$A$13,'Qualifying Scores'!$B$10:$B$13)),AND(AE15-AB15&gt;=LOOKUP(G15,'Qualifying Scores'!$A$4:$A$7,'Qualifying Scores'!$B$4:$B$7),AD15&gt;=LOOKUP(G15,'Qualifying Scores'!$A$10:$A$13,'Qualifying Scores'!$B$10:$B$13))),"P","")))</f>
        <v/>
      </c>
      <c r="Q15" s="1" t="str">
        <f>IF(A15&lt;5,IF(_xlfn.MAXIFS(A:A,G:G,G15)&gt;3,5-A15,_xlfn.MAXIFS(A:A,G:G,G15)+1-A15),"")</f>
        <v/>
      </c>
      <c r="R15" s="4">
        <f>IF(G15="17-21",MAX(T15,V15,Y15,AA15,AC15,AF15),MAX(X15,AE15))</f>
        <v>50.17</v>
      </c>
      <c r="S15" s="4">
        <f>IF(G15="17-21",LARGE(CHOOSE({1,2,3,4,5,6},T15,V15,Y15,AA15,AC15,AF15),2),IF(R15=X15,MAX(Y15,AA15,AC15,AF15),IF(R15=AE15,MAX(AF15,T15,V15,Y15),0)))</f>
        <v>50.05</v>
      </c>
      <c r="T15" s="33">
        <v>39.96</v>
      </c>
      <c r="U15" s="40">
        <v>8.5</v>
      </c>
      <c r="V15" s="34">
        <v>50.17</v>
      </c>
      <c r="W15" s="40">
        <v>11.2</v>
      </c>
      <c r="X15" s="4">
        <f>IF(H15="Senior",MAX(T15,V15),T15+V15)</f>
        <v>90.13</v>
      </c>
      <c r="Y15" s="34">
        <v>50.05</v>
      </c>
      <c r="Z15" s="40">
        <v>11.2</v>
      </c>
      <c r="AA15" s="33"/>
      <c r="AB15" s="40"/>
      <c r="AC15" s="34"/>
      <c r="AD15" s="40"/>
      <c r="AE15" s="4">
        <f>IF(H15="Senior",MAX(AA15,AC15),AA15+AC15)</f>
        <v>0</v>
      </c>
      <c r="AF15" s="34"/>
      <c r="AG15" s="37"/>
    </row>
    <row r="16" spans="1:33" x14ac:dyDescent="0.2">
      <c r="A16" s="1" t="str" cm="1">
        <f t="array" ref="A16">IF(I16="","",IF(P16&lt;&gt;"",SUMPRODUCT((P$3:P$107&lt;&gt;"")*(G$3:G$107=G16)*(J$3:J$107&gt;J16)*(I$3:I$107="P"))+1,IF(O16&lt;&gt;"",SUMPRODUCT((O$3:O$107&lt;&gt;"")*(P$3:P$107="")*(G$3:G$107=G16)*(J$3:J$107&gt;J16)*(I$3:I$107="P"))+SUMPRODUCT((P$3:P$107&lt;&gt;"")*(G$3:G$107=G16)*(I$3:I$107="P"))+1,IF(N16&lt;&gt;"",SUMPRODUCT((N$3:N$107&lt;&gt;"")*(G$3:G$107=G16)*(J$3:J$107&gt;J16)*(I$3:I$107="P"))+1,IF(M16="P",SUMPRODUCT((O$3:O$107&lt;&gt;"")*(P$3:P$107="")*(G$3:G$107=G16)*(I$3:I$107="P"))+SUMPRODUCT((P$3:P$107&lt;&gt;"")*(G$3:G$107=G16)*(I$3:I$107="P"))+SUMPRODUCT((N$3:N$107&lt;&gt;"")*(G$3:G$107=G16)*(I$3:I$107="P"))+SUMPRODUCT((P$3:P$107="")*(O$3:O$107="")*(N$3:N$107="")*(M$3:M$107="P")*(G$3:G$107=G16)*(J$3:J$107&gt;J16)*(I$3:I$107="P"))+IF(H16="L5",SUMPRODUCT((P$3:P$107="")*(O$3:O$107="")*(N$3:N$107="")*(M$3:M$107="P")*(G$3:G$107=G16)*(J$3:J$107&lt;J16)*(H$3:H$107&lt;&gt;H16)*(I$3:I$107="P")),-1*SUMPRODUCT((P$3:P$107="")*(O$3:O$107="")*(N$3:N$107="")*(M$3:M$107="P")*(G$3:G$107=G16)*(J$3:J$107&gt;J16)*(H$3:H$107="L5")*(I$3:I$107="P")))+1,"")))))</f>
        <v/>
      </c>
      <c r="B16" s="1" t="str" cm="1">
        <f t="array" ref="B16">IF(P16&lt;&gt;"",SUMPRODUCT((P$3:P$107&lt;&gt;"")*(G$3:G$107=G16)*(J$3:J$107&gt;J16))+1,IF(O16&lt;&gt;"",SUMPRODUCT((O$3:O$107&lt;&gt;"")*(P$3:P$107="")*(G$3:G$107=G16)*(J$3:J$107&gt;J16))+SUMPRODUCT((P$3:P$107&lt;&gt;"")*(G$3:G$107=G16))+1,IF(N16&lt;&gt;"",SUMPRODUCT((N$3:N$107&lt;&gt;"")*(G$3:G$107=G16)*(J$3:J$107&gt;J16))+1,IF(M16="P",SUMPRODUCT((O$3:O$107&lt;&gt;"")*(P$3:P$107="")*(G$3:G$107=G16))+SUMPRODUCT((P$3:P$107&lt;&gt;"")*(G$3:G$107=G16))+SUMPRODUCT((N$3:N$107&lt;&gt;"")*(G$3:G$107=G16))+SUMPRODUCT((P$3:P$107="")*(O$3:O$107="")*(N$3:N$107="")*(M$3:M$107="P")*(G$3:G$107=G16)*(J$3:J$107&gt;J16))+IF(H16="L5",SUMPRODUCT((P$3:P$107="")*(O$3:O$107="")*(N$3:N$107="")*(M$3:M$107="P")*(G$3:G$107=G16)*(J$3:J$107&lt;J16)*(H$3:H$107&lt;&gt;H16)),-1*SUMPRODUCT((P$3:P$107="")*(O$3:O$107="")*(N$3:N$107="")*(M$3:M$107="P")*(G$3:G$107=G16)*(J$3:J$107&gt;J16)*(H$3:H$107="L5")))+1,""))))</f>
        <v/>
      </c>
      <c r="C16" s="36" t="s">
        <v>99</v>
      </c>
      <c r="D16" s="36" t="str">
        <f>IF(E16="","",VLOOKUP(E16,'Coaching Points'!A:B,2,0))</f>
        <v>ON</v>
      </c>
      <c r="E16" s="36" t="s">
        <v>100</v>
      </c>
      <c r="F16" s="35">
        <v>2003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68</v>
      </c>
      <c r="I16" s="43"/>
      <c r="J16" s="4">
        <f>R16+S16+IF(OR(H16="Junior",H16="Senior"),0.0002,IF(OR(H16="L7",H16="L6"),0.0001,0))+IF(G16="17-21",MAX(AA16,AC16,AF16),AE16)*0.0000001</f>
        <v>99.860105011000002</v>
      </c>
      <c r="K16" s="3" t="str">
        <f>IF(G16="Not Age Eligible","",IF(G16="17-21",IF(MAX(T16,V16,Y16,AA16,AC16,AF16)&gt;=LOOKUP(G16,'Qualifying Scores'!$A$4:$A$7,'Qualifying Scores'!$B$4:$B$7),"P",""),IF(MAX(X16-U16,AE16-AB16)&gt;=LOOKUP(G16,'Qualifying Scores'!$A$4:$A$7,'Qualifying Scores'!$B$4:$B$7),"P","")))</f>
        <v/>
      </c>
      <c r="L16" s="3" t="str">
        <f>IF(G16="Not Age Eligible","",IF(G16="17-21",IF(MAX(U16,W16,Z16,AB16,AD16,AG16)&gt;=LOOKUP(G16,'Qualifying Scores'!$A$10:$A$13,'Qualifying Scores'!$B$10:$B$13),"P",""),IF(MAX(W16,AD16)&gt;=LOOKUP(G16,'Qualifying Scores'!$A$10:$A$13,'Qualifying Scores'!$B$10:$B$13),"P","")))</f>
        <v/>
      </c>
      <c r="M16" s="3" t="str">
        <f>IF(G16="Not Age Eligible","",IF(G16="17-21",IF(OR(AND(T16&gt;=LOOKUP(G16,'Qualifying Scores'!$A$4:$A$7,'Qualifying Scores'!$B$4:$B$7),U16&gt;=LOOKUP(G16,'Qualifying Scores'!$A$10:$A$13,'Qualifying Scores'!$B$10:$B$13)),AND(V16&gt;=LOOKUP(G16,'Qualifying Scores'!$A$4:$A$7,'Qualifying Scores'!$B$4:$B$7),W16&gt;=LOOKUP(G16,'Qualifying Scores'!$A$10:$A$13,'Qualifying Scores'!$B$10:$B$13)),AND(Y16&gt;=LOOKUP(G16,'Qualifying Scores'!$A$4:$A$7,'Qualifying Scores'!$B$4:$B$7),Z16&gt;=LOOKUP(G16,'Qualifying Scores'!$A$10:$A$13,'Qualifying Scores'!$B$10:$B$13)),AND(AA16&gt;=LOOKUP(G16,'Qualifying Scores'!$A$4:$A$7,'Qualifying Scores'!$B$4:$B$7),AB16&gt;=LOOKUP(G16,'Qualifying Scores'!$A$10:$A$13,'Qualifying Scores'!$B$10:$B$13)),AND(AC16&gt;=LOOKUP(G16,'Qualifying Scores'!$A$4:$A$7,'Qualifying Scores'!$B$4:$B$7),AD16&gt;=LOOKUP(G16,'Qualifying Scores'!$A$10:$A$13,'Qualifying Scores'!$B$10:$B$13)),AND(AF16&gt;=LOOKUP(G16,'Qualifying Scores'!$A$4:$A$7,'Qualifying Scores'!$B$4:$B$7),AG16&gt;=LOOKUP(G16,'Qualifying Scores'!$A$10:$A$13,'Qualifying Scores'!$B$10:$B$13))),"P",""),IF(OR(AND(X16-U16&gt;=LOOKUP(G16,'Qualifying Scores'!$A$4:$A$7,'Qualifying Scores'!$B$4:$B$7),W16&gt;=LOOKUP(G16,'Qualifying Scores'!$A$10:$A$13,'Qualifying Scores'!$B$10:$B$13)),AND(AE16-AB16&gt;=LOOKUP(G16,'Qualifying Scores'!$A$4:$A$7,'Qualifying Scores'!$B$4:$B$7),AD16&gt;=LOOKUP(G16,'Qualifying Scores'!$A$10:$A$13,'Qualifying Scores'!$B$10:$B$13))),"P","")))</f>
        <v/>
      </c>
      <c r="Q16" s="1" t="str">
        <f>IF(A16&lt;5,IF(_xlfn.MAXIFS(A:A,G:G,G16)&gt;3,5-A16,_xlfn.MAXIFS(A:A,G:G,G16)+1-A16),"")</f>
        <v/>
      </c>
      <c r="R16" s="4">
        <f>IF(G16="17-21",MAX(T16,V16,Y16,AA16,AC16,AF16),MAX(X16,AE16))</f>
        <v>50.11</v>
      </c>
      <c r="S16" s="4">
        <f>IF(G16="17-21",LARGE(CHOOSE({1,2,3,4,5,6},T16,V16,Y16,AA16,AC16,AF16),2),IF(R16=X16,MAX(Y16,AA16,AC16,AF16),IF(R16=AE16,MAX(AF16,T16,V16,Y16),0)))</f>
        <v>49.75</v>
      </c>
      <c r="T16" s="33">
        <v>9.64</v>
      </c>
      <c r="U16" s="40">
        <v>2.1</v>
      </c>
      <c r="V16" s="34">
        <v>30.42</v>
      </c>
      <c r="W16" s="40">
        <v>3.4</v>
      </c>
      <c r="X16" s="4">
        <f>IF(H16="Senior",MAX(T16,V16),T16+V16)</f>
        <v>40.06</v>
      </c>
      <c r="Y16" s="34"/>
      <c r="Z16" s="40"/>
      <c r="AA16" s="33">
        <v>48.19</v>
      </c>
      <c r="AB16" s="40">
        <v>9</v>
      </c>
      <c r="AC16" s="34">
        <v>50.11</v>
      </c>
      <c r="AD16" s="40">
        <v>9.6999999999999993</v>
      </c>
      <c r="AE16" s="4">
        <f>IF(H16="Senior",MAX(AA16,AC16),AA16+AC16)</f>
        <v>98.3</v>
      </c>
      <c r="AF16" s="34">
        <v>49.75</v>
      </c>
      <c r="AG16" s="37">
        <v>9.6999999999999993</v>
      </c>
    </row>
    <row r="17" spans="1:33" x14ac:dyDescent="0.2">
      <c r="A17" s="1" t="str" cm="1">
        <f t="array" ref="A17">IF(I17="","",IF(P17&lt;&gt;"",SUMPRODUCT((P$3:P$107&lt;&gt;"")*(G$3:G$107=G17)*(J$3:J$107&gt;J17)*(I$3:I$107="P"))+1,IF(O17&lt;&gt;"",SUMPRODUCT((O$3:O$107&lt;&gt;"")*(P$3:P$107="")*(G$3:G$107=G17)*(J$3:J$107&gt;J17)*(I$3:I$107="P"))+SUMPRODUCT((P$3:P$107&lt;&gt;"")*(G$3:G$107=G17)*(I$3:I$107="P"))+1,IF(N17&lt;&gt;"",SUMPRODUCT((N$3:N$107&lt;&gt;"")*(G$3:G$107=G17)*(J$3:J$107&gt;J17)*(I$3:I$107="P"))+1,IF(M17="P",SUMPRODUCT((O$3:O$107&lt;&gt;"")*(P$3:P$107="")*(G$3:G$107=G17)*(I$3:I$107="P"))+SUMPRODUCT((P$3:P$107&lt;&gt;"")*(G$3:G$107=G17)*(I$3:I$107="P"))+SUMPRODUCT((N$3:N$107&lt;&gt;"")*(G$3:G$107=G17)*(I$3:I$107="P"))+SUMPRODUCT((P$3:P$107="")*(O$3:O$107="")*(N$3:N$107="")*(M$3:M$107="P")*(G$3:G$107=G17)*(J$3:J$107&gt;J17)*(I$3:I$107="P"))+IF(H17="L5",SUMPRODUCT((P$3:P$107="")*(O$3:O$107="")*(N$3:N$107="")*(M$3:M$107="P")*(G$3:G$107=G17)*(J$3:J$107&lt;J17)*(H$3:H$107&lt;&gt;H17)*(I$3:I$107="P")),-1*SUMPRODUCT((P$3:P$107="")*(O$3:O$107="")*(N$3:N$107="")*(M$3:M$107="P")*(G$3:G$107=G17)*(J$3:J$107&gt;J17)*(H$3:H$107="L5")*(I$3:I$107="P")))+1,"")))))</f>
        <v/>
      </c>
      <c r="B17" s="1" t="str" cm="1">
        <f t="array" ref="B17">IF(P17&lt;&gt;"",SUMPRODUCT((P$3:P$107&lt;&gt;"")*(G$3:G$107=G17)*(J$3:J$107&gt;J17))+1,IF(O17&lt;&gt;"",SUMPRODUCT((O$3:O$107&lt;&gt;"")*(P$3:P$107="")*(G$3:G$107=G17)*(J$3:J$107&gt;J17))+SUMPRODUCT((P$3:P$107&lt;&gt;"")*(G$3:G$107=G17))+1,IF(N17&lt;&gt;"",SUMPRODUCT((N$3:N$107&lt;&gt;"")*(G$3:G$107=G17)*(J$3:J$107&gt;J17))+1,IF(M17="P",SUMPRODUCT((O$3:O$107&lt;&gt;"")*(P$3:P$107="")*(G$3:G$107=G17))+SUMPRODUCT((P$3:P$107&lt;&gt;"")*(G$3:G$107=G17))+SUMPRODUCT((N$3:N$107&lt;&gt;"")*(G$3:G$107=G17))+SUMPRODUCT((P$3:P$107="")*(O$3:O$107="")*(N$3:N$107="")*(M$3:M$107="P")*(G$3:G$107=G17)*(J$3:J$107&gt;J17))+IF(H17="L5",SUMPRODUCT((P$3:P$107="")*(O$3:O$107="")*(N$3:N$107="")*(M$3:M$107="P")*(G$3:G$107=G17)*(J$3:J$107&lt;J17)*(H$3:H$107&lt;&gt;H17)),-1*SUMPRODUCT((P$3:P$107="")*(O$3:O$107="")*(N$3:N$107="")*(M$3:M$107="P")*(G$3:G$107=G17)*(J$3:J$107&gt;J17)*(H$3:H$107="L5")))+1,""))))</f>
        <v/>
      </c>
      <c r="C17" s="36" t="s">
        <v>325</v>
      </c>
      <c r="D17" s="36" t="str">
        <f>IF(E17="","",VLOOKUP(E17,'Coaching Points'!A:B,2,0))</f>
        <v>ON</v>
      </c>
      <c r="E17" s="36" t="s">
        <v>38</v>
      </c>
      <c r="F17" s="35">
        <v>2004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68</v>
      </c>
      <c r="I17" s="43"/>
      <c r="J17" s="4">
        <f>R17+S17+IF(OR(H17="Junior",H17="Senior"),0.0002,IF(OR(H17="L7",H17="L6"),0.0001,0))+IF(G17="17-21",MAX(AA17,AC17,AF17),AE17)*0.0000001</f>
        <v>99.39010475900001</v>
      </c>
      <c r="K17" s="3" t="str">
        <f>IF(G17="Not Age Eligible","",IF(G17="17-21",IF(MAX(T17,V17,Y17,AA17,AC17,AF17)&gt;=LOOKUP(G17,'Qualifying Scores'!$A$4:$A$7,'Qualifying Scores'!$B$4:$B$7),"P",""),IF(MAX(X17-U17,AE17-AB17)&gt;=LOOKUP(G17,'Qualifying Scores'!$A$4:$A$7,'Qualifying Scores'!$B$4:$B$7),"P","")))</f>
        <v/>
      </c>
      <c r="L17" s="3" t="str">
        <f>IF(G17="Not Age Eligible","",IF(G17="17-21",IF(MAX(U17,W17,Z17,AB17,AD17,AG17)&gt;=LOOKUP(G17,'Qualifying Scores'!$A$10:$A$13,'Qualifying Scores'!$B$10:$B$13),"P",""),IF(MAX(W17,AD17)&gt;=LOOKUP(G17,'Qualifying Scores'!$A$10:$A$13,'Qualifying Scores'!$B$10:$B$13),"P","")))</f>
        <v/>
      </c>
      <c r="M17" s="3" t="str">
        <f>IF(G17="Not Age Eligible","",IF(G17="17-21",IF(OR(AND(T17&gt;=LOOKUP(G17,'Qualifying Scores'!$A$4:$A$7,'Qualifying Scores'!$B$4:$B$7),U17&gt;=LOOKUP(G17,'Qualifying Scores'!$A$10:$A$13,'Qualifying Scores'!$B$10:$B$13)),AND(V17&gt;=LOOKUP(G17,'Qualifying Scores'!$A$4:$A$7,'Qualifying Scores'!$B$4:$B$7),W17&gt;=LOOKUP(G17,'Qualifying Scores'!$A$10:$A$13,'Qualifying Scores'!$B$10:$B$13)),AND(Y17&gt;=LOOKUP(G17,'Qualifying Scores'!$A$4:$A$7,'Qualifying Scores'!$B$4:$B$7),Z17&gt;=LOOKUP(G17,'Qualifying Scores'!$A$10:$A$13,'Qualifying Scores'!$B$10:$B$13)),AND(AA17&gt;=LOOKUP(G17,'Qualifying Scores'!$A$4:$A$7,'Qualifying Scores'!$B$4:$B$7),AB17&gt;=LOOKUP(G17,'Qualifying Scores'!$A$10:$A$13,'Qualifying Scores'!$B$10:$B$13)),AND(AC17&gt;=LOOKUP(G17,'Qualifying Scores'!$A$4:$A$7,'Qualifying Scores'!$B$4:$B$7),AD17&gt;=LOOKUP(G17,'Qualifying Scores'!$A$10:$A$13,'Qualifying Scores'!$B$10:$B$13)),AND(AF17&gt;=LOOKUP(G17,'Qualifying Scores'!$A$4:$A$7,'Qualifying Scores'!$B$4:$B$7),AG17&gt;=LOOKUP(G17,'Qualifying Scores'!$A$10:$A$13,'Qualifying Scores'!$B$10:$B$13))),"P",""),IF(OR(AND(X17-U17&gt;=LOOKUP(G17,'Qualifying Scores'!$A$4:$A$7,'Qualifying Scores'!$B$4:$B$7),W17&gt;=LOOKUP(G17,'Qualifying Scores'!$A$10:$A$13,'Qualifying Scores'!$B$10:$B$13)),AND(AE17-AB17&gt;=LOOKUP(G17,'Qualifying Scores'!$A$4:$A$7,'Qualifying Scores'!$B$4:$B$7),AD17&gt;=LOOKUP(G17,'Qualifying Scores'!$A$10:$A$13,'Qualifying Scores'!$B$10:$B$13))),"P","")))</f>
        <v/>
      </c>
      <c r="Q17" s="1" t="str">
        <f>IF(A17&lt;5,IF(_xlfn.MAXIFS(A:A,G:G,G17)&gt;3,5-A17,_xlfn.MAXIFS(A:A,G:G,G17)+1-A17),"")</f>
        <v/>
      </c>
      <c r="R17" s="4">
        <f>IF(G17="17-21",MAX(T17,V17,Y17,AA17,AC17,AF17),MAX(X17,AE17))</f>
        <v>50.45</v>
      </c>
      <c r="S17" s="4">
        <f>IF(G17="17-21",LARGE(CHOOSE({1,2,3,4,5,6},T17,V17,Y17,AA17,AC17,AF17),2),IF(R17=X17,MAX(Y17,AA17,AC17,AF17),IF(R17=AE17,MAX(AF17,T17,V17,Y17),0)))</f>
        <v>48.94</v>
      </c>
      <c r="T17" s="33">
        <v>47</v>
      </c>
      <c r="U17" s="40">
        <v>11</v>
      </c>
      <c r="V17" s="34">
        <v>48.94</v>
      </c>
      <c r="W17" s="40">
        <v>11</v>
      </c>
      <c r="X17" s="4">
        <f>IF(H17="Senior",MAX(T17,V17),T17+V17)</f>
        <v>95.94</v>
      </c>
      <c r="Y17" s="34">
        <v>50.45</v>
      </c>
      <c r="Z17" s="40">
        <v>12.4</v>
      </c>
      <c r="AA17" s="33">
        <v>47.59</v>
      </c>
      <c r="AB17" s="40">
        <v>11.6</v>
      </c>
      <c r="AC17" s="34">
        <v>20.73</v>
      </c>
      <c r="AD17" s="40">
        <v>5.6</v>
      </c>
      <c r="AE17" s="4">
        <f>IF(H17="Senior",MAX(AA17,AC17),AA17+AC17)</f>
        <v>68.320000000000007</v>
      </c>
      <c r="AF17" s="34"/>
      <c r="AG17" s="37"/>
    </row>
    <row r="18" spans="1:33" x14ac:dyDescent="0.2">
      <c r="A18" s="1" t="str" cm="1">
        <f t="array" ref="A18">IF(I18="","",IF(P18&lt;&gt;"",SUMPRODUCT((P$3:P$107&lt;&gt;"")*(G$3:G$107=G18)*(J$3:J$107&gt;J18)*(I$3:I$107="P"))+1,IF(O18&lt;&gt;"",SUMPRODUCT((O$3:O$107&lt;&gt;"")*(P$3:P$107="")*(G$3:G$107=G18)*(J$3:J$107&gt;J18)*(I$3:I$107="P"))+SUMPRODUCT((P$3:P$107&lt;&gt;"")*(G$3:G$107=G18)*(I$3:I$107="P"))+1,IF(N18&lt;&gt;"",SUMPRODUCT((N$3:N$107&lt;&gt;"")*(G$3:G$107=G18)*(J$3:J$107&gt;J18)*(I$3:I$107="P"))+1,IF(M18="P",SUMPRODUCT((O$3:O$107&lt;&gt;"")*(P$3:P$107="")*(G$3:G$107=G18)*(I$3:I$107="P"))+SUMPRODUCT((P$3:P$107&lt;&gt;"")*(G$3:G$107=G18)*(I$3:I$107="P"))+SUMPRODUCT((N$3:N$107&lt;&gt;"")*(G$3:G$107=G18)*(I$3:I$107="P"))+SUMPRODUCT((P$3:P$107="")*(O$3:O$107="")*(N$3:N$107="")*(M$3:M$107="P")*(G$3:G$107=G18)*(J$3:J$107&gt;J18)*(I$3:I$107="P"))+IF(H18="L5",SUMPRODUCT((P$3:P$107="")*(O$3:O$107="")*(N$3:N$107="")*(M$3:M$107="P")*(G$3:G$107=G18)*(J$3:J$107&lt;J18)*(H$3:H$107&lt;&gt;H18)*(I$3:I$107="P")),-1*SUMPRODUCT((P$3:P$107="")*(O$3:O$107="")*(N$3:N$107="")*(M$3:M$107="P")*(G$3:G$107=G18)*(J$3:J$107&gt;J18)*(H$3:H$107="L5")*(I$3:I$107="P")))+1,"")))))</f>
        <v/>
      </c>
      <c r="B18" s="1" t="str" cm="1">
        <f t="array" ref="B18">IF(P18&lt;&gt;"",SUMPRODUCT((P$3:P$107&lt;&gt;"")*(G$3:G$107=G18)*(J$3:J$107&gt;J18))+1,IF(O18&lt;&gt;"",SUMPRODUCT((O$3:O$107&lt;&gt;"")*(P$3:P$107="")*(G$3:G$107=G18)*(J$3:J$107&gt;J18))+SUMPRODUCT((P$3:P$107&lt;&gt;"")*(G$3:G$107=G18))+1,IF(N18&lt;&gt;"",SUMPRODUCT((N$3:N$107&lt;&gt;"")*(G$3:G$107=G18)*(J$3:J$107&gt;J18))+1,IF(M18="P",SUMPRODUCT((O$3:O$107&lt;&gt;"")*(P$3:P$107="")*(G$3:G$107=G18))+SUMPRODUCT((P$3:P$107&lt;&gt;"")*(G$3:G$107=G18))+SUMPRODUCT((N$3:N$107&lt;&gt;"")*(G$3:G$107=G18))+SUMPRODUCT((P$3:P$107="")*(O$3:O$107="")*(N$3:N$107="")*(M$3:M$107="P")*(G$3:G$107=G18)*(J$3:J$107&gt;J18))+IF(H18="L5",SUMPRODUCT((P$3:P$107="")*(O$3:O$107="")*(N$3:N$107="")*(M$3:M$107="P")*(G$3:G$107=G18)*(J$3:J$107&lt;J18)*(H$3:H$107&lt;&gt;H18)),-1*SUMPRODUCT((P$3:P$107="")*(O$3:O$107="")*(N$3:N$107="")*(M$3:M$107="P")*(G$3:G$107=G18)*(J$3:J$107&gt;J18)*(H$3:H$107="L5")))+1,""))))</f>
        <v/>
      </c>
      <c r="C18" s="36" t="s">
        <v>106</v>
      </c>
      <c r="D18" s="36" t="str">
        <f>IF(E18="","",VLOOKUP(E18,'Coaching Points'!A:B,2,0))</f>
        <v>QC</v>
      </c>
      <c r="E18" s="36" t="s">
        <v>285</v>
      </c>
      <c r="F18" s="35">
        <v>2003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68</v>
      </c>
      <c r="I18" s="43"/>
      <c r="J18" s="4">
        <f>R18+S18+IF(OR(H18="Junior",H18="Senior"),0.0002,IF(OR(H18="L7",H18="L6"),0.0001,0))+IF(G18="17-21",MAX(AA18,AC18,AF18),AE18)*0.0000001</f>
        <v>99.340105003000005</v>
      </c>
      <c r="K18" s="3" t="str">
        <f>IF(G18="Not Age Eligible","",IF(G18="17-21",IF(MAX(T18,V18,Y18,AA18,AC18,AF18)&gt;=LOOKUP(G18,'Qualifying Scores'!$A$4:$A$7,'Qualifying Scores'!$B$4:$B$7),"P",""),IF(MAX(X18-U18,AE18-AB18)&gt;=LOOKUP(G18,'Qualifying Scores'!$A$4:$A$7,'Qualifying Scores'!$B$4:$B$7),"P","")))</f>
        <v/>
      </c>
      <c r="L18" s="3" t="str">
        <f>IF(G18="Not Age Eligible","",IF(G18="17-21",IF(MAX(U18,W18,Z18,AB18,AD18,AG18)&gt;=LOOKUP(G18,'Qualifying Scores'!$A$10:$A$13,'Qualifying Scores'!$B$10:$B$13),"P",""),IF(MAX(W18,AD18)&gt;=LOOKUP(G18,'Qualifying Scores'!$A$10:$A$13,'Qualifying Scores'!$B$10:$B$13),"P","")))</f>
        <v/>
      </c>
      <c r="M18" s="3" t="str">
        <f>IF(G18="Not Age Eligible","",IF(G18="17-21",IF(OR(AND(T18&gt;=LOOKUP(G18,'Qualifying Scores'!$A$4:$A$7,'Qualifying Scores'!$B$4:$B$7),U18&gt;=LOOKUP(G18,'Qualifying Scores'!$A$10:$A$13,'Qualifying Scores'!$B$10:$B$13)),AND(V18&gt;=LOOKUP(G18,'Qualifying Scores'!$A$4:$A$7,'Qualifying Scores'!$B$4:$B$7),W18&gt;=LOOKUP(G18,'Qualifying Scores'!$A$10:$A$13,'Qualifying Scores'!$B$10:$B$13)),AND(Y18&gt;=LOOKUP(G18,'Qualifying Scores'!$A$4:$A$7,'Qualifying Scores'!$B$4:$B$7),Z18&gt;=LOOKUP(G18,'Qualifying Scores'!$A$10:$A$13,'Qualifying Scores'!$B$10:$B$13)),AND(AA18&gt;=LOOKUP(G18,'Qualifying Scores'!$A$4:$A$7,'Qualifying Scores'!$B$4:$B$7),AB18&gt;=LOOKUP(G18,'Qualifying Scores'!$A$10:$A$13,'Qualifying Scores'!$B$10:$B$13)),AND(AC18&gt;=LOOKUP(G18,'Qualifying Scores'!$A$4:$A$7,'Qualifying Scores'!$B$4:$B$7),AD18&gt;=LOOKUP(G18,'Qualifying Scores'!$A$10:$A$13,'Qualifying Scores'!$B$10:$B$13)),AND(AF18&gt;=LOOKUP(G18,'Qualifying Scores'!$A$4:$A$7,'Qualifying Scores'!$B$4:$B$7),AG18&gt;=LOOKUP(G18,'Qualifying Scores'!$A$10:$A$13,'Qualifying Scores'!$B$10:$B$13))),"P",""),IF(OR(AND(X18-U18&gt;=LOOKUP(G18,'Qualifying Scores'!$A$4:$A$7,'Qualifying Scores'!$B$4:$B$7),W18&gt;=LOOKUP(G18,'Qualifying Scores'!$A$10:$A$13,'Qualifying Scores'!$B$10:$B$13)),AND(AE18-AB18&gt;=LOOKUP(G18,'Qualifying Scores'!$A$4:$A$7,'Qualifying Scores'!$B$4:$B$7),AD18&gt;=LOOKUP(G18,'Qualifying Scores'!$A$10:$A$13,'Qualifying Scores'!$B$10:$B$13))),"P","")))</f>
        <v/>
      </c>
      <c r="Q18" s="1" t="str">
        <f>IF(A18&lt;5,IF(_xlfn.MAXIFS(A:A,G:G,G18)&gt;3,5-A18,_xlfn.MAXIFS(A:A,G:G,G18)+1-A18),"")</f>
        <v/>
      </c>
      <c r="R18" s="4">
        <f>IF(G18="17-21",MAX(T18,V18,Y18,AA18,AC18,AF18),MAX(X18,AE18))</f>
        <v>50.03</v>
      </c>
      <c r="S18" s="4">
        <f>IF(G18="17-21",LARGE(CHOOSE({1,2,3,4,5,6},T18,V18,Y18,AA18,AC18,AF18),2),IF(R18=X18,MAX(Y18,AA18,AC18,AF18),IF(R18=AE18,MAX(AF18,T18,V18,Y18),0)))</f>
        <v>49.31</v>
      </c>
      <c r="T18" s="33">
        <v>49.31</v>
      </c>
      <c r="U18" s="40">
        <v>11.4</v>
      </c>
      <c r="V18" s="34">
        <v>42.44</v>
      </c>
      <c r="W18" s="40">
        <v>8.9</v>
      </c>
      <c r="X18" s="4">
        <f>IF(H18="Senior",MAX(T18,V18),T18+V18)</f>
        <v>91.75</v>
      </c>
      <c r="Y18" s="34">
        <v>47.7</v>
      </c>
      <c r="Z18" s="40">
        <v>11.4</v>
      </c>
      <c r="AA18" s="33">
        <v>45.16</v>
      </c>
      <c r="AB18" s="40">
        <v>10.6</v>
      </c>
      <c r="AC18" s="34">
        <v>50.03</v>
      </c>
      <c r="AD18" s="40">
        <v>11.8</v>
      </c>
      <c r="AE18" s="4">
        <f>IF(H18="Senior",MAX(AA18,AC18),AA18+AC18)</f>
        <v>95.19</v>
      </c>
      <c r="AF18" s="34">
        <v>48.94</v>
      </c>
      <c r="AG18" s="37">
        <v>11.8</v>
      </c>
    </row>
    <row r="19" spans="1:33" x14ac:dyDescent="0.2">
      <c r="A19" s="1" t="str" cm="1">
        <f t="array" ref="A19">IF(I19="","",IF(P19&lt;&gt;"",SUMPRODUCT((P$3:P$107&lt;&gt;"")*(G$3:G$107=G19)*(J$3:J$107&gt;J19)*(I$3:I$107="P"))+1,IF(O19&lt;&gt;"",SUMPRODUCT((O$3:O$107&lt;&gt;"")*(P$3:P$107="")*(G$3:G$107=G19)*(J$3:J$107&gt;J19)*(I$3:I$107="P"))+SUMPRODUCT((P$3:P$107&lt;&gt;"")*(G$3:G$107=G19)*(I$3:I$107="P"))+1,IF(N19&lt;&gt;"",SUMPRODUCT((N$3:N$107&lt;&gt;"")*(G$3:G$107=G19)*(J$3:J$107&gt;J19)*(I$3:I$107="P"))+1,IF(M19="P",SUMPRODUCT((O$3:O$107&lt;&gt;"")*(P$3:P$107="")*(G$3:G$107=G19)*(I$3:I$107="P"))+SUMPRODUCT((P$3:P$107&lt;&gt;"")*(G$3:G$107=G19)*(I$3:I$107="P"))+SUMPRODUCT((N$3:N$107&lt;&gt;"")*(G$3:G$107=G19)*(I$3:I$107="P"))+SUMPRODUCT((P$3:P$107="")*(O$3:O$107="")*(N$3:N$107="")*(M$3:M$107="P")*(G$3:G$107=G19)*(J$3:J$107&gt;J19)*(I$3:I$107="P"))+IF(H19="L5",SUMPRODUCT((P$3:P$107="")*(O$3:O$107="")*(N$3:N$107="")*(M$3:M$107="P")*(G$3:G$107=G19)*(J$3:J$107&lt;J19)*(H$3:H$107&lt;&gt;H19)*(I$3:I$107="P")),-1*SUMPRODUCT((P$3:P$107="")*(O$3:O$107="")*(N$3:N$107="")*(M$3:M$107="P")*(G$3:G$107=G19)*(J$3:J$107&gt;J19)*(H$3:H$107="L5")*(I$3:I$107="P")))+1,"")))))</f>
        <v/>
      </c>
      <c r="B19" s="1" t="str" cm="1">
        <f t="array" ref="B19">IF(P19&lt;&gt;"",SUMPRODUCT((P$3:P$107&lt;&gt;"")*(G$3:G$107=G19)*(J$3:J$107&gt;J19))+1,IF(O19&lt;&gt;"",SUMPRODUCT((O$3:O$107&lt;&gt;"")*(P$3:P$107="")*(G$3:G$107=G19)*(J$3:J$107&gt;J19))+SUMPRODUCT((P$3:P$107&lt;&gt;"")*(G$3:G$107=G19))+1,IF(N19&lt;&gt;"",SUMPRODUCT((N$3:N$107&lt;&gt;"")*(G$3:G$107=G19)*(J$3:J$107&gt;J19))+1,IF(M19="P",SUMPRODUCT((O$3:O$107&lt;&gt;"")*(P$3:P$107="")*(G$3:G$107=G19))+SUMPRODUCT((P$3:P$107&lt;&gt;"")*(G$3:G$107=G19))+SUMPRODUCT((N$3:N$107&lt;&gt;"")*(G$3:G$107=G19))+SUMPRODUCT((P$3:P$107="")*(O$3:O$107="")*(N$3:N$107="")*(M$3:M$107="P")*(G$3:G$107=G19)*(J$3:J$107&gt;J19))+IF(H19="L5",SUMPRODUCT((P$3:P$107="")*(O$3:O$107="")*(N$3:N$107="")*(M$3:M$107="P")*(G$3:G$107=G19)*(J$3:J$107&lt;J19)*(H$3:H$107&lt;&gt;H19)),-1*SUMPRODUCT((P$3:P$107="")*(O$3:O$107="")*(N$3:N$107="")*(M$3:M$107="P")*(G$3:G$107=G19)*(J$3:J$107&gt;J19)*(H$3:H$107="L5")))+1,""))))</f>
        <v/>
      </c>
      <c r="C19" s="36" t="s">
        <v>225</v>
      </c>
      <c r="D19" s="36" t="str">
        <f>IF(E19="","",VLOOKUP(E19,'Coaching Points'!A:B,2,0))</f>
        <v>QC</v>
      </c>
      <c r="E19" s="36" t="s">
        <v>3</v>
      </c>
      <c r="F19" s="35">
        <v>2006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68</v>
      </c>
      <c r="I19" s="43" t="s">
        <v>567</v>
      </c>
      <c r="J19" s="4">
        <f>R19+S19+IF(OR(H19="Junior",H19="Senior"),0.0002,IF(OR(H19="L7",H19="L6"),0.0001,0))+IF(G19="17-21",MAX(AA19,AC19,AF19),AE19)*0.0000001</f>
        <v>99.200102836999989</v>
      </c>
      <c r="K19" s="3" t="str">
        <f>IF(G19="Not Age Eligible","",IF(G19="17-21",IF(MAX(T19,V19,Y19,AA19,AC19,AF19)&gt;=LOOKUP(G19,'Qualifying Scores'!$A$4:$A$7,'Qualifying Scores'!$B$4:$B$7),"P",""),IF(MAX(X19-U19,AE19-AB19)&gt;=LOOKUP(G19,'Qualifying Scores'!$A$4:$A$7,'Qualifying Scores'!$B$4:$B$7),"P","")))</f>
        <v/>
      </c>
      <c r="L19" s="3" t="str">
        <f>IF(G19="Not Age Eligible","",IF(G19="17-21",IF(MAX(U19,W19,Z19,AB19,AD19,AG19)&gt;=LOOKUP(G19,'Qualifying Scores'!$A$10:$A$13,'Qualifying Scores'!$B$10:$B$13),"P",""),IF(MAX(W19,AD19)&gt;=LOOKUP(G19,'Qualifying Scores'!$A$10:$A$13,'Qualifying Scores'!$B$10:$B$13),"P","")))</f>
        <v/>
      </c>
      <c r="M19" s="3" t="str">
        <f>IF(G19="Not Age Eligible","",IF(G19="17-21",IF(OR(AND(T19&gt;=LOOKUP(G19,'Qualifying Scores'!$A$4:$A$7,'Qualifying Scores'!$B$4:$B$7),U19&gt;=LOOKUP(G19,'Qualifying Scores'!$A$10:$A$13,'Qualifying Scores'!$B$10:$B$13)),AND(V19&gt;=LOOKUP(G19,'Qualifying Scores'!$A$4:$A$7,'Qualifying Scores'!$B$4:$B$7),W19&gt;=LOOKUP(G19,'Qualifying Scores'!$A$10:$A$13,'Qualifying Scores'!$B$10:$B$13)),AND(Y19&gt;=LOOKUP(G19,'Qualifying Scores'!$A$4:$A$7,'Qualifying Scores'!$B$4:$B$7),Z19&gt;=LOOKUP(G19,'Qualifying Scores'!$A$10:$A$13,'Qualifying Scores'!$B$10:$B$13)),AND(AA19&gt;=LOOKUP(G19,'Qualifying Scores'!$A$4:$A$7,'Qualifying Scores'!$B$4:$B$7),AB19&gt;=LOOKUP(G19,'Qualifying Scores'!$A$10:$A$13,'Qualifying Scores'!$B$10:$B$13)),AND(AC19&gt;=LOOKUP(G19,'Qualifying Scores'!$A$4:$A$7,'Qualifying Scores'!$B$4:$B$7),AD19&gt;=LOOKUP(G19,'Qualifying Scores'!$A$10:$A$13,'Qualifying Scores'!$B$10:$B$13)),AND(AF19&gt;=LOOKUP(G19,'Qualifying Scores'!$A$4:$A$7,'Qualifying Scores'!$B$4:$B$7),AG19&gt;=LOOKUP(G19,'Qualifying Scores'!$A$10:$A$13,'Qualifying Scores'!$B$10:$B$13))),"P",""),IF(OR(AND(X19-U19&gt;=LOOKUP(G19,'Qualifying Scores'!$A$4:$A$7,'Qualifying Scores'!$B$4:$B$7),W19&gt;=LOOKUP(G19,'Qualifying Scores'!$A$10:$A$13,'Qualifying Scores'!$B$10:$B$13)),AND(AE19-AB19&gt;=LOOKUP(G19,'Qualifying Scores'!$A$4:$A$7,'Qualifying Scores'!$B$4:$B$7),AD19&gt;=LOOKUP(G19,'Qualifying Scores'!$A$10:$A$13,'Qualifying Scores'!$B$10:$B$13))),"P","")))</f>
        <v/>
      </c>
      <c r="Q19" s="1" t="str">
        <f>IF(A19&lt;5,IF(_xlfn.MAXIFS(A:A,G:G,G19)&gt;3,5-A19,_xlfn.MAXIFS(A:A,G:G,G19)+1-A19),"")</f>
        <v/>
      </c>
      <c r="R19" s="4">
        <f>IF(G19="17-21",MAX(T19,V19,Y19,AA19,AC19,AF19),MAX(X19,AE19))</f>
        <v>49.79</v>
      </c>
      <c r="S19" s="4">
        <f>IF(G19="17-21",LARGE(CHOOSE({1,2,3,4,5,6},T19,V19,Y19,AA19,AC19,AF19),2),IF(R19=X19,MAX(Y19,AA19,AC19,AF19),IF(R19=AE19,MAX(AF19,T19,V19,Y19),0)))</f>
        <v>49.41</v>
      </c>
      <c r="T19" s="33">
        <v>5.61</v>
      </c>
      <c r="U19" s="40">
        <v>1.5</v>
      </c>
      <c r="V19" s="34">
        <v>49.41</v>
      </c>
      <c r="W19" s="40">
        <v>12.3</v>
      </c>
      <c r="X19" s="4">
        <f>IF(H19="Senior",MAX(T19,V19),T19+V19)</f>
        <v>55.019999999999996</v>
      </c>
      <c r="Y19" s="34">
        <v>49.79</v>
      </c>
      <c r="Z19" s="40">
        <v>12.3</v>
      </c>
      <c r="AA19" s="33">
        <v>28.37</v>
      </c>
      <c r="AB19" s="40">
        <v>6.7</v>
      </c>
      <c r="AC19" s="34">
        <v>9.9499999999999993</v>
      </c>
      <c r="AD19" s="40">
        <v>2.1</v>
      </c>
      <c r="AE19" s="4">
        <f>IF(H19="Senior",MAX(AA19,AC19),AA19+AC19)</f>
        <v>38.32</v>
      </c>
      <c r="AF19" s="34"/>
      <c r="AG19" s="37"/>
    </row>
    <row r="20" spans="1:33" x14ac:dyDescent="0.2">
      <c r="A20" s="1" t="str" cm="1">
        <f t="array" ref="A20">IF(I20="","",IF(P20&lt;&gt;"",SUMPRODUCT((P$3:P$107&lt;&gt;"")*(G$3:G$107=G20)*(J$3:J$107&gt;J20)*(I$3:I$107="P"))+1,IF(O20&lt;&gt;"",SUMPRODUCT((O$3:O$107&lt;&gt;"")*(P$3:P$107="")*(G$3:G$107=G20)*(J$3:J$107&gt;J20)*(I$3:I$107="P"))+SUMPRODUCT((P$3:P$107&lt;&gt;"")*(G$3:G$107=G20)*(I$3:I$107="P"))+1,IF(N20&lt;&gt;"",SUMPRODUCT((N$3:N$107&lt;&gt;"")*(G$3:G$107=G20)*(J$3:J$107&gt;J20)*(I$3:I$107="P"))+1,IF(M20="P",SUMPRODUCT((O$3:O$107&lt;&gt;"")*(P$3:P$107="")*(G$3:G$107=G20)*(I$3:I$107="P"))+SUMPRODUCT((P$3:P$107&lt;&gt;"")*(G$3:G$107=G20)*(I$3:I$107="P"))+SUMPRODUCT((N$3:N$107&lt;&gt;"")*(G$3:G$107=G20)*(I$3:I$107="P"))+SUMPRODUCT((P$3:P$107="")*(O$3:O$107="")*(N$3:N$107="")*(M$3:M$107="P")*(G$3:G$107=G20)*(J$3:J$107&gt;J20)*(I$3:I$107="P"))+IF(H20="L5",SUMPRODUCT((P$3:P$107="")*(O$3:O$107="")*(N$3:N$107="")*(M$3:M$107="P")*(G$3:G$107=G20)*(J$3:J$107&lt;J20)*(H$3:H$107&lt;&gt;H20)*(I$3:I$107="P")),-1*SUMPRODUCT((P$3:P$107="")*(O$3:O$107="")*(N$3:N$107="")*(M$3:M$107="P")*(G$3:G$107=G20)*(J$3:J$107&gt;J20)*(H$3:H$107="L5")*(I$3:I$107="P")))+1,"")))))</f>
        <v/>
      </c>
      <c r="B20" s="1" t="str" cm="1">
        <f t="array" ref="B20">IF(P20&lt;&gt;"",SUMPRODUCT((P$3:P$107&lt;&gt;"")*(G$3:G$107=G20)*(J$3:J$107&gt;J20))+1,IF(O20&lt;&gt;"",SUMPRODUCT((O$3:O$107&lt;&gt;"")*(P$3:P$107="")*(G$3:G$107=G20)*(J$3:J$107&gt;J20))+SUMPRODUCT((P$3:P$107&lt;&gt;"")*(G$3:G$107=G20))+1,IF(N20&lt;&gt;"",SUMPRODUCT((N$3:N$107&lt;&gt;"")*(G$3:G$107=G20)*(J$3:J$107&gt;J20))+1,IF(M20="P",SUMPRODUCT((O$3:O$107&lt;&gt;"")*(P$3:P$107="")*(G$3:G$107=G20))+SUMPRODUCT((P$3:P$107&lt;&gt;"")*(G$3:G$107=G20))+SUMPRODUCT((N$3:N$107&lt;&gt;"")*(G$3:G$107=G20))+SUMPRODUCT((P$3:P$107="")*(O$3:O$107="")*(N$3:N$107="")*(M$3:M$107="P")*(G$3:G$107=G20)*(J$3:J$107&gt;J20))+IF(H20="L5",SUMPRODUCT((P$3:P$107="")*(O$3:O$107="")*(N$3:N$107="")*(M$3:M$107="P")*(G$3:G$107=G20)*(J$3:J$107&lt;J20)*(H$3:H$107&lt;&gt;H20)),-1*SUMPRODUCT((P$3:P$107="")*(O$3:O$107="")*(N$3:N$107="")*(M$3:M$107="P")*(G$3:G$107=G20)*(J$3:J$107&gt;J20)*(H$3:H$107="L5")))+1,""))))</f>
        <v/>
      </c>
      <c r="C20" s="36" t="s">
        <v>317</v>
      </c>
      <c r="D20" s="36" t="str">
        <f>IF(E20="","",VLOOKUP(E20,'Coaching Points'!A:B,2,0))</f>
        <v>AB</v>
      </c>
      <c r="E20" s="36" t="s">
        <v>29</v>
      </c>
      <c r="F20" s="35">
        <v>2005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66</v>
      </c>
      <c r="I20" s="43"/>
      <c r="J20" s="4">
        <f>R20+S20+IF(OR(H20="Junior",H20="Senior"),0.0002,IF(OR(H20="L7",H20="L6"),0.0001,0))+IF(G20="17-21",MAX(AA20,AC20,AF20),AE20)*0.0000001</f>
        <v>98.43000497300001</v>
      </c>
      <c r="K20" s="3" t="str">
        <f>IF(G20="Not Age Eligible","",IF(G20="17-21",IF(MAX(T20,V20,Y20,AA20,AC20,AF20)&gt;=LOOKUP(G20,'Qualifying Scores'!$A$4:$A$7,'Qualifying Scores'!$B$4:$B$7),"P",""),IF(MAX(X20-U20,AE20-AB20)&gt;=LOOKUP(G20,'Qualifying Scores'!$A$4:$A$7,'Qualifying Scores'!$B$4:$B$7),"P","")))</f>
        <v/>
      </c>
      <c r="L20" s="3" t="str">
        <f>IF(G20="Not Age Eligible","",IF(G20="17-21",IF(MAX(U20,W20,Z20,AB20,AD20,AG20)&gt;=LOOKUP(G20,'Qualifying Scores'!$A$10:$A$13,'Qualifying Scores'!$B$10:$B$13),"P",""),IF(MAX(W20,AD20)&gt;=LOOKUP(G20,'Qualifying Scores'!$A$10:$A$13,'Qualifying Scores'!$B$10:$B$13),"P","")))</f>
        <v/>
      </c>
      <c r="M20" s="3" t="str">
        <f>IF(G20="Not Age Eligible","",IF(G20="17-21",IF(OR(AND(T20&gt;=LOOKUP(G20,'Qualifying Scores'!$A$4:$A$7,'Qualifying Scores'!$B$4:$B$7),U20&gt;=LOOKUP(G20,'Qualifying Scores'!$A$10:$A$13,'Qualifying Scores'!$B$10:$B$13)),AND(V20&gt;=LOOKUP(G20,'Qualifying Scores'!$A$4:$A$7,'Qualifying Scores'!$B$4:$B$7),W20&gt;=LOOKUP(G20,'Qualifying Scores'!$A$10:$A$13,'Qualifying Scores'!$B$10:$B$13)),AND(Y20&gt;=LOOKUP(G20,'Qualifying Scores'!$A$4:$A$7,'Qualifying Scores'!$B$4:$B$7),Z20&gt;=LOOKUP(G20,'Qualifying Scores'!$A$10:$A$13,'Qualifying Scores'!$B$10:$B$13)),AND(AA20&gt;=LOOKUP(G20,'Qualifying Scores'!$A$4:$A$7,'Qualifying Scores'!$B$4:$B$7),AB20&gt;=LOOKUP(G20,'Qualifying Scores'!$A$10:$A$13,'Qualifying Scores'!$B$10:$B$13)),AND(AC20&gt;=LOOKUP(G20,'Qualifying Scores'!$A$4:$A$7,'Qualifying Scores'!$B$4:$B$7),AD20&gt;=LOOKUP(G20,'Qualifying Scores'!$A$10:$A$13,'Qualifying Scores'!$B$10:$B$13)),AND(AF20&gt;=LOOKUP(G20,'Qualifying Scores'!$A$4:$A$7,'Qualifying Scores'!$B$4:$B$7),AG20&gt;=LOOKUP(G20,'Qualifying Scores'!$A$10:$A$13,'Qualifying Scores'!$B$10:$B$13))),"P",""),IF(OR(AND(X20-U20&gt;=LOOKUP(G20,'Qualifying Scores'!$A$4:$A$7,'Qualifying Scores'!$B$4:$B$7),W20&gt;=LOOKUP(G20,'Qualifying Scores'!$A$10:$A$13,'Qualifying Scores'!$B$10:$B$13)),AND(AE20-AB20&gt;=LOOKUP(G20,'Qualifying Scores'!$A$4:$A$7,'Qualifying Scores'!$B$4:$B$7),AD20&gt;=LOOKUP(G20,'Qualifying Scores'!$A$10:$A$13,'Qualifying Scores'!$B$10:$B$13))),"P","")))</f>
        <v/>
      </c>
      <c r="Q20" s="1" t="str">
        <f>IF(A20&lt;5,IF(_xlfn.MAXIFS(A:A,G:G,G20)&gt;3,5-A20,_xlfn.MAXIFS(A:A,G:G,G20)+1-A20),"")</f>
        <v/>
      </c>
      <c r="R20" s="4">
        <f>IF(G20="17-21",MAX(T20,V20,Y20,AA20,AC20,AF20),MAX(X20,AE20))</f>
        <v>49.73</v>
      </c>
      <c r="S20" s="4">
        <f>IF(G20="17-21",LARGE(CHOOSE({1,2,3,4,5,6},T20,V20,Y20,AA20,AC20,AF20),2),IF(R20=X20,MAX(Y20,AA20,AC20,AF20),IF(R20=AE20,MAX(AF20,T20,V20,Y20),0)))</f>
        <v>48.7</v>
      </c>
      <c r="T20" s="33">
        <v>39.14</v>
      </c>
      <c r="U20" s="40">
        <v>0</v>
      </c>
      <c r="V20" s="34">
        <v>47.73</v>
      </c>
      <c r="W20" s="40">
        <v>8.8000000000000007</v>
      </c>
      <c r="X20" s="4">
        <f>IF(H20="Senior",MAX(T20,V20),T20+V20)</f>
        <v>86.87</v>
      </c>
      <c r="Y20" s="34">
        <v>46.17</v>
      </c>
      <c r="Z20" s="40">
        <v>8.8000000000000007</v>
      </c>
      <c r="AA20" s="33">
        <v>40.33</v>
      </c>
      <c r="AB20" s="40">
        <v>0</v>
      </c>
      <c r="AC20" s="34">
        <v>49.73</v>
      </c>
      <c r="AD20" s="40">
        <v>9.8000000000000007</v>
      </c>
      <c r="AE20" s="4">
        <f>IF(H20="Senior",MAX(AA20,AC20),AA20+AC20)</f>
        <v>90.06</v>
      </c>
      <c r="AF20" s="34">
        <v>48.7</v>
      </c>
      <c r="AG20" s="37">
        <v>9.8000000000000007</v>
      </c>
    </row>
    <row r="21" spans="1:33" x14ac:dyDescent="0.2">
      <c r="A21" s="1" t="str" cm="1">
        <f t="array" ref="A21">IF(I21="","",IF(P21&lt;&gt;"",SUMPRODUCT((P$3:P$107&lt;&gt;"")*(G$3:G$107=G21)*(J$3:J$107&gt;J21)*(I$3:I$107="P"))+1,IF(O21&lt;&gt;"",SUMPRODUCT((O$3:O$107&lt;&gt;"")*(P$3:P$107="")*(G$3:G$107=G21)*(J$3:J$107&gt;J21)*(I$3:I$107="P"))+SUMPRODUCT((P$3:P$107&lt;&gt;"")*(G$3:G$107=G21)*(I$3:I$107="P"))+1,IF(N21&lt;&gt;"",SUMPRODUCT((N$3:N$107&lt;&gt;"")*(G$3:G$107=G21)*(J$3:J$107&gt;J21)*(I$3:I$107="P"))+1,IF(M21="P",SUMPRODUCT((O$3:O$107&lt;&gt;"")*(P$3:P$107="")*(G$3:G$107=G21)*(I$3:I$107="P"))+SUMPRODUCT((P$3:P$107&lt;&gt;"")*(G$3:G$107=G21)*(I$3:I$107="P"))+SUMPRODUCT((N$3:N$107&lt;&gt;"")*(G$3:G$107=G21)*(I$3:I$107="P"))+SUMPRODUCT((P$3:P$107="")*(O$3:O$107="")*(N$3:N$107="")*(M$3:M$107="P")*(G$3:G$107=G21)*(J$3:J$107&gt;J21)*(I$3:I$107="P"))+IF(H21="L5",SUMPRODUCT((P$3:P$107="")*(O$3:O$107="")*(N$3:N$107="")*(M$3:M$107="P")*(G$3:G$107=G21)*(J$3:J$107&lt;J21)*(H$3:H$107&lt;&gt;H21)*(I$3:I$107="P")),-1*SUMPRODUCT((P$3:P$107="")*(O$3:O$107="")*(N$3:N$107="")*(M$3:M$107="P")*(G$3:G$107=G21)*(J$3:J$107&gt;J21)*(H$3:H$107="L5")*(I$3:I$107="P")))+1,"")))))</f>
        <v/>
      </c>
      <c r="B21" s="1" t="str" cm="1">
        <f t="array" ref="B21">IF(P21&lt;&gt;"",SUMPRODUCT((P$3:P$107&lt;&gt;"")*(G$3:G$107=G21)*(J$3:J$107&gt;J21))+1,IF(O21&lt;&gt;"",SUMPRODUCT((O$3:O$107&lt;&gt;"")*(P$3:P$107="")*(G$3:G$107=G21)*(J$3:J$107&gt;J21))+SUMPRODUCT((P$3:P$107&lt;&gt;"")*(G$3:G$107=G21))+1,IF(N21&lt;&gt;"",SUMPRODUCT((N$3:N$107&lt;&gt;"")*(G$3:G$107=G21)*(J$3:J$107&gt;J21))+1,IF(M21="P",SUMPRODUCT((O$3:O$107&lt;&gt;"")*(P$3:P$107="")*(G$3:G$107=G21))+SUMPRODUCT((P$3:P$107&lt;&gt;"")*(G$3:G$107=G21))+SUMPRODUCT((N$3:N$107&lt;&gt;"")*(G$3:G$107=G21))+SUMPRODUCT((P$3:P$107="")*(O$3:O$107="")*(N$3:N$107="")*(M$3:M$107="P")*(G$3:G$107=G21)*(J$3:J$107&gt;J21))+IF(H21="L5",SUMPRODUCT((P$3:P$107="")*(O$3:O$107="")*(N$3:N$107="")*(M$3:M$107="P")*(G$3:G$107=G21)*(J$3:J$107&lt;J21)*(H$3:H$107&lt;&gt;H21)),-1*SUMPRODUCT((P$3:P$107="")*(O$3:O$107="")*(N$3:N$107="")*(M$3:M$107="P")*(G$3:G$107=G21)*(J$3:J$107&gt;J21)*(H$3:H$107="L5")))+1,""))))</f>
        <v/>
      </c>
      <c r="C21" s="36" t="s">
        <v>109</v>
      </c>
      <c r="D21" s="36" t="str">
        <f>IF(E21="","",VLOOKUP(E21,'Coaching Points'!A:B,2,0))</f>
        <v>ON</v>
      </c>
      <c r="E21" s="36" t="s">
        <v>38</v>
      </c>
      <c r="F21" s="35">
        <v>2002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68</v>
      </c>
      <c r="I21" s="43" t="s">
        <v>567</v>
      </c>
      <c r="J21" s="4">
        <f>R21+S21+IF(OR(H21="Junior",H21="Senior"),0.0002,IF(OR(H21="L7",H21="L6"),0.0001,0))+IF(G21="17-21",MAX(AA21,AC21,AF21),AE21)*0.0000001</f>
        <v>98.190104935000008</v>
      </c>
      <c r="K21" s="3" t="str">
        <f>IF(G21="Not Age Eligible","",IF(G21="17-21",IF(MAX(T21,V21,Y21,AA21,AC21,AF21)&gt;=LOOKUP(G21,'Qualifying Scores'!$A$4:$A$7,'Qualifying Scores'!$B$4:$B$7),"P",""),IF(MAX(X21-U21,AE21-AB21)&gt;=LOOKUP(G21,'Qualifying Scores'!$A$4:$A$7,'Qualifying Scores'!$B$4:$B$7),"P","")))</f>
        <v/>
      </c>
      <c r="L21" s="3" t="str">
        <f>IF(G21="Not Age Eligible","",IF(G21="17-21",IF(MAX(U21,W21,Z21,AB21,AD21,AG21)&gt;=LOOKUP(G21,'Qualifying Scores'!$A$10:$A$13,'Qualifying Scores'!$B$10:$B$13),"P",""),IF(MAX(W21,AD21)&gt;=LOOKUP(G21,'Qualifying Scores'!$A$10:$A$13,'Qualifying Scores'!$B$10:$B$13),"P","")))</f>
        <v>P</v>
      </c>
      <c r="M21" s="3" t="str">
        <f>IF(G21="Not Age Eligible","",IF(G21="17-21",IF(OR(AND(T21&gt;=LOOKUP(G21,'Qualifying Scores'!$A$4:$A$7,'Qualifying Scores'!$B$4:$B$7),U21&gt;=LOOKUP(G21,'Qualifying Scores'!$A$10:$A$13,'Qualifying Scores'!$B$10:$B$13)),AND(V21&gt;=LOOKUP(G21,'Qualifying Scores'!$A$4:$A$7,'Qualifying Scores'!$B$4:$B$7),W21&gt;=LOOKUP(G21,'Qualifying Scores'!$A$10:$A$13,'Qualifying Scores'!$B$10:$B$13)),AND(Y21&gt;=LOOKUP(G21,'Qualifying Scores'!$A$4:$A$7,'Qualifying Scores'!$B$4:$B$7),Z21&gt;=LOOKUP(G21,'Qualifying Scores'!$A$10:$A$13,'Qualifying Scores'!$B$10:$B$13)),AND(AA21&gt;=LOOKUP(G21,'Qualifying Scores'!$A$4:$A$7,'Qualifying Scores'!$B$4:$B$7),AB21&gt;=LOOKUP(G21,'Qualifying Scores'!$A$10:$A$13,'Qualifying Scores'!$B$10:$B$13)),AND(AC21&gt;=LOOKUP(G21,'Qualifying Scores'!$A$4:$A$7,'Qualifying Scores'!$B$4:$B$7),AD21&gt;=LOOKUP(G21,'Qualifying Scores'!$A$10:$A$13,'Qualifying Scores'!$B$10:$B$13)),AND(AF21&gt;=LOOKUP(G21,'Qualifying Scores'!$A$4:$A$7,'Qualifying Scores'!$B$4:$B$7),AG21&gt;=LOOKUP(G21,'Qualifying Scores'!$A$10:$A$13,'Qualifying Scores'!$B$10:$B$13))),"P",""),IF(OR(AND(X21-U21&gt;=LOOKUP(G21,'Qualifying Scores'!$A$4:$A$7,'Qualifying Scores'!$B$4:$B$7),W21&gt;=LOOKUP(G21,'Qualifying Scores'!$A$10:$A$13,'Qualifying Scores'!$B$10:$B$13)),AND(AE21-AB21&gt;=LOOKUP(G21,'Qualifying Scores'!$A$4:$A$7,'Qualifying Scores'!$B$4:$B$7),AD21&gt;=LOOKUP(G21,'Qualifying Scores'!$A$10:$A$13,'Qualifying Scores'!$B$10:$B$13))),"P","")))</f>
        <v/>
      </c>
      <c r="Q21" s="1" t="str">
        <f>IF(A21&lt;5,IF(_xlfn.MAXIFS(A:A,G:G,G21)&gt;3,5-A21,_xlfn.MAXIFS(A:A,G:G,G21)+1-A21),"")</f>
        <v/>
      </c>
      <c r="R21" s="4">
        <f>IF(G21="17-21",MAX(T21,V21,Y21,AA21,AC21,AF21),MAX(X21,AE21))</f>
        <v>49.35</v>
      </c>
      <c r="S21" s="4">
        <f>IF(G21="17-21",LARGE(CHOOSE({1,2,3,4,5,6},T21,V21,Y21,AA21,AC21,AF21),2),IF(R21=X21,MAX(Y21,AA21,AC21,AF21),IF(R21=AE21,MAX(AF21,T21,V21,Y21),0)))</f>
        <v>48.84</v>
      </c>
      <c r="T21" s="33">
        <v>35.76</v>
      </c>
      <c r="U21" s="40">
        <v>8.6999999999999993</v>
      </c>
      <c r="V21" s="34">
        <v>46.96</v>
      </c>
      <c r="W21" s="40">
        <v>12.2</v>
      </c>
      <c r="X21" s="4">
        <f>IF(H21="Senior",MAX(T21,V21),T21+V21)</f>
        <v>82.72</v>
      </c>
      <c r="Y21" s="34"/>
      <c r="Z21" s="40"/>
      <c r="AA21" s="33">
        <v>17.54</v>
      </c>
      <c r="AB21" s="40">
        <v>13.6</v>
      </c>
      <c r="AC21" s="34">
        <v>48.84</v>
      </c>
      <c r="AD21" s="40">
        <v>13.6</v>
      </c>
      <c r="AE21" s="4">
        <f>IF(H21="Senior",MAX(AA21,AC21),AA21+AC21)</f>
        <v>66.38</v>
      </c>
      <c r="AF21" s="34">
        <v>49.35</v>
      </c>
      <c r="AG21" s="37">
        <v>12.3</v>
      </c>
    </row>
    <row r="22" spans="1:33" x14ac:dyDescent="0.2">
      <c r="A22" s="1" t="str" cm="1">
        <f t="array" ref="A22">IF(I22="","",IF(P22&lt;&gt;"",SUMPRODUCT((P$3:P$107&lt;&gt;"")*(G$3:G$107=G22)*(J$3:J$107&gt;J22)*(I$3:I$107="P"))+1,IF(O22&lt;&gt;"",SUMPRODUCT((O$3:O$107&lt;&gt;"")*(P$3:P$107="")*(G$3:G$107=G22)*(J$3:J$107&gt;J22)*(I$3:I$107="P"))+SUMPRODUCT((P$3:P$107&lt;&gt;"")*(G$3:G$107=G22)*(I$3:I$107="P"))+1,IF(N22&lt;&gt;"",SUMPRODUCT((N$3:N$107&lt;&gt;"")*(G$3:G$107=G22)*(J$3:J$107&gt;J22)*(I$3:I$107="P"))+1,IF(M22="P",SUMPRODUCT((O$3:O$107&lt;&gt;"")*(P$3:P$107="")*(G$3:G$107=G22)*(I$3:I$107="P"))+SUMPRODUCT((P$3:P$107&lt;&gt;"")*(G$3:G$107=G22)*(I$3:I$107="P"))+SUMPRODUCT((N$3:N$107&lt;&gt;"")*(G$3:G$107=G22)*(I$3:I$107="P"))+SUMPRODUCT((P$3:P$107="")*(O$3:O$107="")*(N$3:N$107="")*(M$3:M$107="P")*(G$3:G$107=G22)*(J$3:J$107&gt;J22)*(I$3:I$107="P"))+IF(H22="L5",SUMPRODUCT((P$3:P$107="")*(O$3:O$107="")*(N$3:N$107="")*(M$3:M$107="P")*(G$3:G$107=G22)*(J$3:J$107&lt;J22)*(H$3:H$107&lt;&gt;H22)*(I$3:I$107="P")),-1*SUMPRODUCT((P$3:P$107="")*(O$3:O$107="")*(N$3:N$107="")*(M$3:M$107="P")*(G$3:G$107=G22)*(J$3:J$107&gt;J22)*(H$3:H$107="L5")*(I$3:I$107="P")))+1,"")))))</f>
        <v/>
      </c>
      <c r="B22" s="1" t="str" cm="1">
        <f t="array" ref="B22">IF(P22&lt;&gt;"",SUMPRODUCT((P$3:P$107&lt;&gt;"")*(G$3:G$107=G22)*(J$3:J$107&gt;J22))+1,IF(O22&lt;&gt;"",SUMPRODUCT((O$3:O$107&lt;&gt;"")*(P$3:P$107="")*(G$3:G$107=G22)*(J$3:J$107&gt;J22))+SUMPRODUCT((P$3:P$107&lt;&gt;"")*(G$3:G$107=G22))+1,IF(N22&lt;&gt;"",SUMPRODUCT((N$3:N$107&lt;&gt;"")*(G$3:G$107=G22)*(J$3:J$107&gt;J22))+1,IF(M22="P",SUMPRODUCT((O$3:O$107&lt;&gt;"")*(P$3:P$107="")*(G$3:G$107=G22))+SUMPRODUCT((P$3:P$107&lt;&gt;"")*(G$3:G$107=G22))+SUMPRODUCT((N$3:N$107&lt;&gt;"")*(G$3:G$107=G22))+SUMPRODUCT((P$3:P$107="")*(O$3:O$107="")*(N$3:N$107="")*(M$3:M$107="P")*(G$3:G$107=G22)*(J$3:J$107&gt;J22))+IF(H22="L5",SUMPRODUCT((P$3:P$107="")*(O$3:O$107="")*(N$3:N$107="")*(M$3:M$107="P")*(G$3:G$107=G22)*(J$3:J$107&lt;J22)*(H$3:H$107&lt;&gt;H22)),-1*SUMPRODUCT((P$3:P$107="")*(O$3:O$107="")*(N$3:N$107="")*(M$3:M$107="P")*(G$3:G$107=G22)*(J$3:J$107&gt;J22)*(H$3:H$107="L5")))+1,""))))</f>
        <v/>
      </c>
      <c r="C22" s="36" t="s">
        <v>436</v>
      </c>
      <c r="D22" s="36" t="str">
        <f>IF(E22="","",VLOOKUP(E22,'Coaching Points'!A:B,2,0))</f>
        <v>AB</v>
      </c>
      <c r="E22" s="36" t="s">
        <v>40</v>
      </c>
      <c r="F22" s="35">
        <v>2002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68</v>
      </c>
      <c r="I22" s="43"/>
      <c r="J22" s="4">
        <f>R22+S22+IF(OR(H22="Junior",H22="Senior"),0.0002,IF(OR(H22="L7",H22="L6"),0.0001,0))+IF(G22="17-21",MAX(AA22,AC22,AF22),AE22)*0.0000001</f>
        <v>97.460104909000009</v>
      </c>
      <c r="K22" s="3" t="str">
        <f>IF(G22="Not Age Eligible","",IF(G22="17-21",IF(MAX(T22,V22,Y22,AA22,AC22,AF22)&gt;=LOOKUP(G22,'Qualifying Scores'!$A$4:$A$7,'Qualifying Scores'!$B$4:$B$7),"P",""),IF(MAX(X22-U22,AE22-AB22)&gt;=LOOKUP(G22,'Qualifying Scores'!$A$4:$A$7,'Qualifying Scores'!$B$4:$B$7),"P","")))</f>
        <v/>
      </c>
      <c r="L22" s="3" t="str">
        <f>IF(G22="Not Age Eligible","",IF(G22="17-21",IF(MAX(U22,W22,Z22,AB22,AD22,AG22)&gt;=LOOKUP(G22,'Qualifying Scores'!$A$10:$A$13,'Qualifying Scores'!$B$10:$B$13),"P",""),IF(MAX(W22,AD22)&gt;=LOOKUP(G22,'Qualifying Scores'!$A$10:$A$13,'Qualifying Scores'!$B$10:$B$13),"P","")))</f>
        <v/>
      </c>
      <c r="M22" s="3" t="str">
        <f>IF(G22="Not Age Eligible","",IF(G22="17-21",IF(OR(AND(T22&gt;=LOOKUP(G22,'Qualifying Scores'!$A$4:$A$7,'Qualifying Scores'!$B$4:$B$7),U22&gt;=LOOKUP(G22,'Qualifying Scores'!$A$10:$A$13,'Qualifying Scores'!$B$10:$B$13)),AND(V22&gt;=LOOKUP(G22,'Qualifying Scores'!$A$4:$A$7,'Qualifying Scores'!$B$4:$B$7),W22&gt;=LOOKUP(G22,'Qualifying Scores'!$A$10:$A$13,'Qualifying Scores'!$B$10:$B$13)),AND(Y22&gt;=LOOKUP(G22,'Qualifying Scores'!$A$4:$A$7,'Qualifying Scores'!$B$4:$B$7),Z22&gt;=LOOKUP(G22,'Qualifying Scores'!$A$10:$A$13,'Qualifying Scores'!$B$10:$B$13)),AND(AA22&gt;=LOOKUP(G22,'Qualifying Scores'!$A$4:$A$7,'Qualifying Scores'!$B$4:$B$7),AB22&gt;=LOOKUP(G22,'Qualifying Scores'!$A$10:$A$13,'Qualifying Scores'!$B$10:$B$13)),AND(AC22&gt;=LOOKUP(G22,'Qualifying Scores'!$A$4:$A$7,'Qualifying Scores'!$B$4:$B$7),AD22&gt;=LOOKUP(G22,'Qualifying Scores'!$A$10:$A$13,'Qualifying Scores'!$B$10:$B$13)),AND(AF22&gt;=LOOKUP(G22,'Qualifying Scores'!$A$4:$A$7,'Qualifying Scores'!$B$4:$B$7),AG22&gt;=LOOKUP(G22,'Qualifying Scores'!$A$10:$A$13,'Qualifying Scores'!$B$10:$B$13))),"P",""),IF(OR(AND(X22-U22&gt;=LOOKUP(G22,'Qualifying Scores'!$A$4:$A$7,'Qualifying Scores'!$B$4:$B$7),W22&gt;=LOOKUP(G22,'Qualifying Scores'!$A$10:$A$13,'Qualifying Scores'!$B$10:$B$13)),AND(AE22-AB22&gt;=LOOKUP(G22,'Qualifying Scores'!$A$4:$A$7,'Qualifying Scores'!$B$4:$B$7),AD22&gt;=LOOKUP(G22,'Qualifying Scores'!$A$10:$A$13,'Qualifying Scores'!$B$10:$B$13))),"P","")))</f>
        <v/>
      </c>
      <c r="Q22" s="1" t="str">
        <f>IF(A22&lt;5,IF(_xlfn.MAXIFS(A:A,G:G,G22)&gt;3,5-A22,_xlfn.MAXIFS(A:A,G:G,G22)+1-A22),"")</f>
        <v/>
      </c>
      <c r="R22" s="4">
        <f>IF(G22="17-21",MAX(T22,V22,Y22,AA22,AC22,AF22),MAX(X22,AE22))</f>
        <v>49.09</v>
      </c>
      <c r="S22" s="4">
        <f>IF(G22="17-21",LARGE(CHOOSE({1,2,3,4,5,6},T22,V22,Y22,AA22,AC22,AF22),2),IF(R22=X22,MAX(Y22,AA22,AC22,AF22),IF(R22=AE22,MAX(AF22,T22,V22,Y22),0)))</f>
        <v>48.37</v>
      </c>
      <c r="T22" s="33"/>
      <c r="U22" s="40"/>
      <c r="V22" s="34"/>
      <c r="W22" s="40"/>
      <c r="X22" s="4">
        <f>IF(H22="Senior",MAX(T22,V22),T22+V22)</f>
        <v>0</v>
      </c>
      <c r="Y22" s="34"/>
      <c r="Z22" s="40"/>
      <c r="AA22" s="33">
        <v>48.37</v>
      </c>
      <c r="AB22" s="40">
        <v>9.1999999999999993</v>
      </c>
      <c r="AC22" s="34">
        <v>49.09</v>
      </c>
      <c r="AD22" s="40">
        <v>9.8000000000000007</v>
      </c>
      <c r="AE22" s="4">
        <f>IF(H22="Senior",MAX(AA22,AC22),AA22+AC22)</f>
        <v>97.460000000000008</v>
      </c>
      <c r="AF22" s="34">
        <v>15.64</v>
      </c>
      <c r="AG22" s="37">
        <v>4.4000000000000004</v>
      </c>
    </row>
    <row r="23" spans="1:33" x14ac:dyDescent="0.2">
      <c r="A23" s="1" t="str" cm="1">
        <f t="array" ref="A23">IF(I23="","",IF(P23&lt;&gt;"",SUMPRODUCT((P$3:P$107&lt;&gt;"")*(G$3:G$107=G23)*(J$3:J$107&gt;J23)*(I$3:I$107="P"))+1,IF(O23&lt;&gt;"",SUMPRODUCT((O$3:O$107&lt;&gt;"")*(P$3:P$107="")*(G$3:G$107=G23)*(J$3:J$107&gt;J23)*(I$3:I$107="P"))+SUMPRODUCT((P$3:P$107&lt;&gt;"")*(G$3:G$107=G23)*(I$3:I$107="P"))+1,IF(N23&lt;&gt;"",SUMPRODUCT((N$3:N$107&lt;&gt;"")*(G$3:G$107=G23)*(J$3:J$107&gt;J23)*(I$3:I$107="P"))+1,IF(M23="P",SUMPRODUCT((O$3:O$107&lt;&gt;"")*(P$3:P$107="")*(G$3:G$107=G23)*(I$3:I$107="P"))+SUMPRODUCT((P$3:P$107&lt;&gt;"")*(G$3:G$107=G23)*(I$3:I$107="P"))+SUMPRODUCT((N$3:N$107&lt;&gt;"")*(G$3:G$107=G23)*(I$3:I$107="P"))+SUMPRODUCT((P$3:P$107="")*(O$3:O$107="")*(N$3:N$107="")*(M$3:M$107="P")*(G$3:G$107=G23)*(J$3:J$107&gt;J23)*(I$3:I$107="P"))+IF(H23="L5",SUMPRODUCT((P$3:P$107="")*(O$3:O$107="")*(N$3:N$107="")*(M$3:M$107="P")*(G$3:G$107=G23)*(J$3:J$107&lt;J23)*(H$3:H$107&lt;&gt;H23)*(I$3:I$107="P")),-1*SUMPRODUCT((P$3:P$107="")*(O$3:O$107="")*(N$3:N$107="")*(M$3:M$107="P")*(G$3:G$107=G23)*(J$3:J$107&gt;J23)*(H$3:H$107="L5")*(I$3:I$107="P")))+1,"")))))</f>
        <v/>
      </c>
      <c r="B23" s="1" t="str" cm="1">
        <f t="array" ref="B23">IF(P23&lt;&gt;"",SUMPRODUCT((P$3:P$107&lt;&gt;"")*(G$3:G$107=G23)*(J$3:J$107&gt;J23))+1,IF(O23&lt;&gt;"",SUMPRODUCT((O$3:O$107&lt;&gt;"")*(P$3:P$107="")*(G$3:G$107=G23)*(J$3:J$107&gt;J23))+SUMPRODUCT((P$3:P$107&lt;&gt;"")*(G$3:G$107=G23))+1,IF(N23&lt;&gt;"",SUMPRODUCT((N$3:N$107&lt;&gt;"")*(G$3:G$107=G23)*(J$3:J$107&gt;J23))+1,IF(M23="P",SUMPRODUCT((O$3:O$107&lt;&gt;"")*(P$3:P$107="")*(G$3:G$107=G23))+SUMPRODUCT((P$3:P$107&lt;&gt;"")*(G$3:G$107=G23))+SUMPRODUCT((N$3:N$107&lt;&gt;"")*(G$3:G$107=G23))+SUMPRODUCT((P$3:P$107="")*(O$3:O$107="")*(N$3:N$107="")*(M$3:M$107="P")*(G$3:G$107=G23)*(J$3:J$107&gt;J23))+IF(H23="L5",SUMPRODUCT((P$3:P$107="")*(O$3:O$107="")*(N$3:N$107="")*(M$3:M$107="P")*(G$3:G$107=G23)*(J$3:J$107&lt;J23)*(H$3:H$107&lt;&gt;H23)),-1*SUMPRODUCT((P$3:P$107="")*(O$3:O$107="")*(N$3:N$107="")*(M$3:M$107="P")*(G$3:G$107=G23)*(J$3:J$107&gt;J23)*(H$3:H$107="L5")))+1,""))))</f>
        <v/>
      </c>
      <c r="C23" s="36" t="s">
        <v>97</v>
      </c>
      <c r="D23" s="36" t="str">
        <f>IF(E23="","",VLOOKUP(E23,'Coaching Points'!A:B,2,0))</f>
        <v>MB</v>
      </c>
      <c r="E23" s="36" t="s">
        <v>69</v>
      </c>
      <c r="F23" s="35">
        <v>2005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66</v>
      </c>
      <c r="I23" s="43" t="s">
        <v>567</v>
      </c>
      <c r="J23" s="4">
        <f>R23+S23+IF(OR(H23="Junior",H23="Senior"),0.0002,IF(OR(H23="L7",H23="L6"),0.0001,0))+IF(G23="17-21",MAX(AA23,AC23,AF23),AE23)*0.0000001</f>
        <v>97.09</v>
      </c>
      <c r="K23" s="3" t="str">
        <f>IF(G23="Not Age Eligible","",IF(G23="17-21",IF(MAX(T23,V23,Y23,AA23,AC23,AF23)&gt;=LOOKUP(G23,'Qualifying Scores'!$A$4:$A$7,'Qualifying Scores'!$B$4:$B$7),"P",""),IF(MAX(X23-U23,AE23-AB23)&gt;=LOOKUP(G23,'Qualifying Scores'!$A$4:$A$7,'Qualifying Scores'!$B$4:$B$7),"P","")))</f>
        <v/>
      </c>
      <c r="L23" s="3" t="str">
        <f>IF(G23="Not Age Eligible","",IF(G23="17-21",IF(MAX(U23,W23,Z23,AB23,AD23,AG23)&gt;=LOOKUP(G23,'Qualifying Scores'!$A$10:$A$13,'Qualifying Scores'!$B$10:$B$13),"P",""),IF(MAX(W23,AD23)&gt;=LOOKUP(G23,'Qualifying Scores'!$A$10:$A$13,'Qualifying Scores'!$B$10:$B$13),"P","")))</f>
        <v/>
      </c>
      <c r="M23" s="3" t="str">
        <f>IF(G23="Not Age Eligible","",IF(G23="17-21",IF(OR(AND(T23&gt;=LOOKUP(G23,'Qualifying Scores'!$A$4:$A$7,'Qualifying Scores'!$B$4:$B$7),U23&gt;=LOOKUP(G23,'Qualifying Scores'!$A$10:$A$13,'Qualifying Scores'!$B$10:$B$13)),AND(V23&gt;=LOOKUP(G23,'Qualifying Scores'!$A$4:$A$7,'Qualifying Scores'!$B$4:$B$7),W23&gt;=LOOKUP(G23,'Qualifying Scores'!$A$10:$A$13,'Qualifying Scores'!$B$10:$B$13)),AND(Y23&gt;=LOOKUP(G23,'Qualifying Scores'!$A$4:$A$7,'Qualifying Scores'!$B$4:$B$7),Z23&gt;=LOOKUP(G23,'Qualifying Scores'!$A$10:$A$13,'Qualifying Scores'!$B$10:$B$13)),AND(AA23&gt;=LOOKUP(G23,'Qualifying Scores'!$A$4:$A$7,'Qualifying Scores'!$B$4:$B$7),AB23&gt;=LOOKUP(G23,'Qualifying Scores'!$A$10:$A$13,'Qualifying Scores'!$B$10:$B$13)),AND(AC23&gt;=LOOKUP(G23,'Qualifying Scores'!$A$4:$A$7,'Qualifying Scores'!$B$4:$B$7),AD23&gt;=LOOKUP(G23,'Qualifying Scores'!$A$10:$A$13,'Qualifying Scores'!$B$10:$B$13)),AND(AF23&gt;=LOOKUP(G23,'Qualifying Scores'!$A$4:$A$7,'Qualifying Scores'!$B$4:$B$7),AG23&gt;=LOOKUP(G23,'Qualifying Scores'!$A$10:$A$13,'Qualifying Scores'!$B$10:$B$13))),"P",""),IF(OR(AND(X23-U23&gt;=LOOKUP(G23,'Qualifying Scores'!$A$4:$A$7,'Qualifying Scores'!$B$4:$B$7),W23&gt;=LOOKUP(G23,'Qualifying Scores'!$A$10:$A$13,'Qualifying Scores'!$B$10:$B$13)),AND(AE23-AB23&gt;=LOOKUP(G23,'Qualifying Scores'!$A$4:$A$7,'Qualifying Scores'!$B$4:$B$7),AD23&gt;=LOOKUP(G23,'Qualifying Scores'!$A$10:$A$13,'Qualifying Scores'!$B$10:$B$13))),"P","")))</f>
        <v/>
      </c>
      <c r="Q23" s="1" t="str">
        <f>IF(A23&lt;5,IF(_xlfn.MAXIFS(A:A,G:G,G23)&gt;3,5-A23,_xlfn.MAXIFS(A:A,G:G,G23)+1-A23),"")</f>
        <v/>
      </c>
      <c r="R23" s="4">
        <f>IF(G23="17-21",MAX(T23,V23,Y23,AA23,AC23,AF23),MAX(X23,AE23))</f>
        <v>49.07</v>
      </c>
      <c r="S23" s="4">
        <f>IF(G23="17-21",LARGE(CHOOSE({1,2,3,4,5,6},T23,V23,Y23,AA23,AC23,AF23),2),IF(R23=X23,MAX(Y23,AA23,AC23,AF23),IF(R23=AE23,MAX(AF23,T23,V23,Y23),0)))</f>
        <v>48.02</v>
      </c>
      <c r="T23" s="33">
        <v>37.520000000000003</v>
      </c>
      <c r="U23" s="40">
        <v>0</v>
      </c>
      <c r="V23" s="34">
        <v>48.02</v>
      </c>
      <c r="W23" s="40">
        <v>10.199999999999999</v>
      </c>
      <c r="X23" s="4">
        <f>IF(H23="Senior",MAX(T23,V23),T23+V23)</f>
        <v>85.54</v>
      </c>
      <c r="Y23" s="34">
        <v>49.07</v>
      </c>
      <c r="Z23" s="40">
        <v>10.199999999999999</v>
      </c>
      <c r="AA23" s="33"/>
      <c r="AB23" s="40"/>
      <c r="AC23" s="34"/>
      <c r="AD23" s="40"/>
      <c r="AE23" s="4">
        <f>IF(H23="Senior",MAX(AA23,AC23),AA23+AC23)</f>
        <v>0</v>
      </c>
      <c r="AF23" s="34"/>
      <c r="AG23" s="37"/>
    </row>
    <row r="24" spans="1:33" x14ac:dyDescent="0.2">
      <c r="A24" s="1" t="str" cm="1">
        <f t="array" ref="A24">IF(I24="","",IF(P24&lt;&gt;"",SUMPRODUCT((P$3:P$107&lt;&gt;"")*(G$3:G$107=G24)*(J$3:J$107&gt;J24)*(I$3:I$107="P"))+1,IF(O24&lt;&gt;"",SUMPRODUCT((O$3:O$107&lt;&gt;"")*(P$3:P$107="")*(G$3:G$107=G24)*(J$3:J$107&gt;J24)*(I$3:I$107="P"))+SUMPRODUCT((P$3:P$107&lt;&gt;"")*(G$3:G$107=G24)*(I$3:I$107="P"))+1,IF(N24&lt;&gt;"",SUMPRODUCT((N$3:N$107&lt;&gt;"")*(G$3:G$107=G24)*(J$3:J$107&gt;J24)*(I$3:I$107="P"))+1,IF(M24="P",SUMPRODUCT((O$3:O$107&lt;&gt;"")*(P$3:P$107="")*(G$3:G$107=G24)*(I$3:I$107="P"))+SUMPRODUCT((P$3:P$107&lt;&gt;"")*(G$3:G$107=G24)*(I$3:I$107="P"))+SUMPRODUCT((N$3:N$107&lt;&gt;"")*(G$3:G$107=G24)*(I$3:I$107="P"))+SUMPRODUCT((P$3:P$107="")*(O$3:O$107="")*(N$3:N$107="")*(M$3:M$107="P")*(G$3:G$107=G24)*(J$3:J$107&gt;J24)*(I$3:I$107="P"))+IF(H24="L5",SUMPRODUCT((P$3:P$107="")*(O$3:O$107="")*(N$3:N$107="")*(M$3:M$107="P")*(G$3:G$107=G24)*(J$3:J$107&lt;J24)*(H$3:H$107&lt;&gt;H24)*(I$3:I$107="P")),-1*SUMPRODUCT((P$3:P$107="")*(O$3:O$107="")*(N$3:N$107="")*(M$3:M$107="P")*(G$3:G$107=G24)*(J$3:J$107&gt;J24)*(H$3:H$107="L5")*(I$3:I$107="P")))+1,"")))))</f>
        <v/>
      </c>
      <c r="B24" s="1" t="str" cm="1">
        <f t="array" ref="B24">IF(P24&lt;&gt;"",SUMPRODUCT((P$3:P$107&lt;&gt;"")*(G$3:G$107=G24)*(J$3:J$107&gt;J24))+1,IF(O24&lt;&gt;"",SUMPRODUCT((O$3:O$107&lt;&gt;"")*(P$3:P$107="")*(G$3:G$107=G24)*(J$3:J$107&gt;J24))+SUMPRODUCT((P$3:P$107&lt;&gt;"")*(G$3:G$107=G24))+1,IF(N24&lt;&gt;"",SUMPRODUCT((N$3:N$107&lt;&gt;"")*(G$3:G$107=G24)*(J$3:J$107&gt;J24))+1,IF(M24="P",SUMPRODUCT((O$3:O$107&lt;&gt;"")*(P$3:P$107="")*(G$3:G$107=G24))+SUMPRODUCT((P$3:P$107&lt;&gt;"")*(G$3:G$107=G24))+SUMPRODUCT((N$3:N$107&lt;&gt;"")*(G$3:G$107=G24))+SUMPRODUCT((P$3:P$107="")*(O$3:O$107="")*(N$3:N$107="")*(M$3:M$107="P")*(G$3:G$107=G24)*(J$3:J$107&gt;J24))+IF(H24="L5",SUMPRODUCT((P$3:P$107="")*(O$3:O$107="")*(N$3:N$107="")*(M$3:M$107="P")*(G$3:G$107=G24)*(J$3:J$107&lt;J24)*(H$3:H$107&lt;&gt;H24)),-1*SUMPRODUCT((P$3:P$107="")*(O$3:O$107="")*(N$3:N$107="")*(M$3:M$107="P")*(G$3:G$107=G24)*(J$3:J$107&gt;J24)*(H$3:H$107="L5")))+1,""))))</f>
        <v/>
      </c>
      <c r="C24" s="36" t="s">
        <v>172</v>
      </c>
      <c r="D24" s="36" t="str">
        <f>IF(E24="","",VLOOKUP(E24,'Coaching Points'!A:B,2,0))</f>
        <v>AB</v>
      </c>
      <c r="E24" s="36" t="s">
        <v>29</v>
      </c>
      <c r="F24" s="35">
        <v>2005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68</v>
      </c>
      <c r="I24" s="43"/>
      <c r="J24" s="4">
        <f>R24+S24+IF(OR(H24="Junior",H24="Senior"),0.0002,IF(OR(H24="L7",H24="L6"),0.0001,0))+IF(G24="17-21",MAX(AA24,AC24,AF24),AE24)*0.0000001</f>
        <v>96.220104856999995</v>
      </c>
      <c r="K24" s="3" t="str">
        <f>IF(G24="Not Age Eligible","",IF(G24="17-21",IF(MAX(T24,V24,Y24,AA24,AC24,AF24)&gt;=LOOKUP(G24,'Qualifying Scores'!$A$4:$A$7,'Qualifying Scores'!$B$4:$B$7),"P",""),IF(MAX(X24-U24,AE24-AB24)&gt;=LOOKUP(G24,'Qualifying Scores'!$A$4:$A$7,'Qualifying Scores'!$B$4:$B$7),"P","")))</f>
        <v/>
      </c>
      <c r="L24" s="3" t="str">
        <f>IF(G24="Not Age Eligible","",IF(G24="17-21",IF(MAX(U24,W24,Z24,AB24,AD24,AG24)&gt;=LOOKUP(G24,'Qualifying Scores'!$A$10:$A$13,'Qualifying Scores'!$B$10:$B$13),"P",""),IF(MAX(W24,AD24)&gt;=LOOKUP(G24,'Qualifying Scores'!$A$10:$A$13,'Qualifying Scores'!$B$10:$B$13),"P","")))</f>
        <v/>
      </c>
      <c r="M24" s="3" t="str">
        <f>IF(G24="Not Age Eligible","",IF(G24="17-21",IF(OR(AND(T24&gt;=LOOKUP(G24,'Qualifying Scores'!$A$4:$A$7,'Qualifying Scores'!$B$4:$B$7),U24&gt;=LOOKUP(G24,'Qualifying Scores'!$A$10:$A$13,'Qualifying Scores'!$B$10:$B$13)),AND(V24&gt;=LOOKUP(G24,'Qualifying Scores'!$A$4:$A$7,'Qualifying Scores'!$B$4:$B$7),W24&gt;=LOOKUP(G24,'Qualifying Scores'!$A$10:$A$13,'Qualifying Scores'!$B$10:$B$13)),AND(Y24&gt;=LOOKUP(G24,'Qualifying Scores'!$A$4:$A$7,'Qualifying Scores'!$B$4:$B$7),Z24&gt;=LOOKUP(G24,'Qualifying Scores'!$A$10:$A$13,'Qualifying Scores'!$B$10:$B$13)),AND(AA24&gt;=LOOKUP(G24,'Qualifying Scores'!$A$4:$A$7,'Qualifying Scores'!$B$4:$B$7),AB24&gt;=LOOKUP(G24,'Qualifying Scores'!$A$10:$A$13,'Qualifying Scores'!$B$10:$B$13)),AND(AC24&gt;=LOOKUP(G24,'Qualifying Scores'!$A$4:$A$7,'Qualifying Scores'!$B$4:$B$7),AD24&gt;=LOOKUP(G24,'Qualifying Scores'!$A$10:$A$13,'Qualifying Scores'!$B$10:$B$13)),AND(AF24&gt;=LOOKUP(G24,'Qualifying Scores'!$A$4:$A$7,'Qualifying Scores'!$B$4:$B$7),AG24&gt;=LOOKUP(G24,'Qualifying Scores'!$A$10:$A$13,'Qualifying Scores'!$B$10:$B$13))),"P",""),IF(OR(AND(X24-U24&gt;=LOOKUP(G24,'Qualifying Scores'!$A$4:$A$7,'Qualifying Scores'!$B$4:$B$7),W24&gt;=LOOKUP(G24,'Qualifying Scores'!$A$10:$A$13,'Qualifying Scores'!$B$10:$B$13)),AND(AE24-AB24&gt;=LOOKUP(G24,'Qualifying Scores'!$A$4:$A$7,'Qualifying Scores'!$B$4:$B$7),AD24&gt;=LOOKUP(G24,'Qualifying Scores'!$A$10:$A$13,'Qualifying Scores'!$B$10:$B$13))),"P","")))</f>
        <v/>
      </c>
      <c r="Q24" s="1" t="str">
        <f>IF(A24&lt;5,IF(_xlfn.MAXIFS(A:A,G:G,G24)&gt;3,5-A24,_xlfn.MAXIFS(A:A,G:G,G24)+1-A24),"")</f>
        <v/>
      </c>
      <c r="R24" s="4">
        <f>IF(G24="17-21",MAX(T24,V24,Y24,AA24,AC24,AF24),MAX(X24,AE24))</f>
        <v>48.57</v>
      </c>
      <c r="S24" s="4">
        <f>IF(G24="17-21",LARGE(CHOOSE({1,2,3,4,5,6},T24,V24,Y24,AA24,AC24,AF24),2),IF(R24=X24,MAX(Y24,AA24,AC24,AF24),IF(R24=AE24,MAX(AF24,T24,V24,Y24),0)))</f>
        <v>47.65</v>
      </c>
      <c r="T24" s="33">
        <v>40.06</v>
      </c>
      <c r="U24" s="40">
        <v>0</v>
      </c>
      <c r="V24" s="34">
        <v>47.65</v>
      </c>
      <c r="W24" s="40">
        <v>9.8000000000000007</v>
      </c>
      <c r="X24" s="4">
        <f>IF(H24="Senior",MAX(T24,V24),T24+V24)</f>
        <v>87.710000000000008</v>
      </c>
      <c r="Y24" s="34">
        <v>5.18</v>
      </c>
      <c r="Z24" s="40">
        <v>1.5</v>
      </c>
      <c r="AA24" s="33">
        <v>47.58</v>
      </c>
      <c r="AB24" s="40">
        <v>11.1</v>
      </c>
      <c r="AC24" s="34">
        <v>48.57</v>
      </c>
      <c r="AD24" s="40">
        <v>11.2</v>
      </c>
      <c r="AE24" s="4">
        <f>IF(H24="Senior",MAX(AA24,AC24),AA24+AC24)</f>
        <v>96.15</v>
      </c>
      <c r="AF24" s="34"/>
      <c r="AG24" s="37"/>
    </row>
    <row r="25" spans="1:33" x14ac:dyDescent="0.2">
      <c r="A25" s="1" t="str" cm="1">
        <f t="array" ref="A25">IF(I25="","",IF(P25&lt;&gt;"",SUMPRODUCT((P$3:P$107&lt;&gt;"")*(G$3:G$107=G25)*(J$3:J$107&gt;J25)*(I$3:I$107="P"))+1,IF(O25&lt;&gt;"",SUMPRODUCT((O$3:O$107&lt;&gt;"")*(P$3:P$107="")*(G$3:G$107=G25)*(J$3:J$107&gt;J25)*(I$3:I$107="P"))+SUMPRODUCT((P$3:P$107&lt;&gt;"")*(G$3:G$107=G25)*(I$3:I$107="P"))+1,IF(N25&lt;&gt;"",SUMPRODUCT((N$3:N$107&lt;&gt;"")*(G$3:G$107=G25)*(J$3:J$107&gt;J25)*(I$3:I$107="P"))+1,IF(M25="P",SUMPRODUCT((O$3:O$107&lt;&gt;"")*(P$3:P$107="")*(G$3:G$107=G25)*(I$3:I$107="P"))+SUMPRODUCT((P$3:P$107&lt;&gt;"")*(G$3:G$107=G25)*(I$3:I$107="P"))+SUMPRODUCT((N$3:N$107&lt;&gt;"")*(G$3:G$107=G25)*(I$3:I$107="P"))+SUMPRODUCT((P$3:P$107="")*(O$3:O$107="")*(N$3:N$107="")*(M$3:M$107="P")*(G$3:G$107=G25)*(J$3:J$107&gt;J25)*(I$3:I$107="P"))+IF(H25="L5",SUMPRODUCT((P$3:P$107="")*(O$3:O$107="")*(N$3:N$107="")*(M$3:M$107="P")*(G$3:G$107=G25)*(J$3:J$107&lt;J25)*(H$3:H$107&lt;&gt;H25)*(I$3:I$107="P")),-1*SUMPRODUCT((P$3:P$107="")*(O$3:O$107="")*(N$3:N$107="")*(M$3:M$107="P")*(G$3:G$107=G25)*(J$3:J$107&gt;J25)*(H$3:H$107="L5")*(I$3:I$107="P")))+1,"")))))</f>
        <v/>
      </c>
      <c r="B25" s="1" t="str" cm="1">
        <f t="array" ref="B25">IF(P25&lt;&gt;"",SUMPRODUCT((P$3:P$107&lt;&gt;"")*(G$3:G$107=G25)*(J$3:J$107&gt;J25))+1,IF(O25&lt;&gt;"",SUMPRODUCT((O$3:O$107&lt;&gt;"")*(P$3:P$107="")*(G$3:G$107=G25)*(J$3:J$107&gt;J25))+SUMPRODUCT((P$3:P$107&lt;&gt;"")*(G$3:G$107=G25))+1,IF(N25&lt;&gt;"",SUMPRODUCT((N$3:N$107&lt;&gt;"")*(G$3:G$107=G25)*(J$3:J$107&gt;J25))+1,IF(M25="P",SUMPRODUCT((O$3:O$107&lt;&gt;"")*(P$3:P$107="")*(G$3:G$107=G25))+SUMPRODUCT((P$3:P$107&lt;&gt;"")*(G$3:G$107=G25))+SUMPRODUCT((N$3:N$107&lt;&gt;"")*(G$3:G$107=G25))+SUMPRODUCT((P$3:P$107="")*(O$3:O$107="")*(N$3:N$107="")*(M$3:M$107="P")*(G$3:G$107=G25)*(J$3:J$107&gt;J25))+IF(H25="L5",SUMPRODUCT((P$3:P$107="")*(O$3:O$107="")*(N$3:N$107="")*(M$3:M$107="P")*(G$3:G$107=G25)*(J$3:J$107&lt;J25)*(H$3:H$107&lt;&gt;H25)),-1*SUMPRODUCT((P$3:P$107="")*(O$3:O$107="")*(N$3:N$107="")*(M$3:M$107="P")*(G$3:G$107=G25)*(J$3:J$107&gt;J25)*(H$3:H$107="L5")))+1,""))))</f>
        <v/>
      </c>
      <c r="C25" s="36" t="s">
        <v>231</v>
      </c>
      <c r="D25" s="36" t="str">
        <f>IF(E25="","",VLOOKUP(E25,'Coaching Points'!A:B,2,0))</f>
        <v>ON</v>
      </c>
      <c r="E25" s="36" t="s">
        <v>291</v>
      </c>
      <c r="F25" s="35">
        <v>2002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68</v>
      </c>
      <c r="I25" s="43"/>
      <c r="J25" s="4">
        <f>R25+S25+IF(OR(H25="Junior",H25="Senior"),0.0002,IF(OR(H25="L7",H25="L6"),0.0001,0))+IF(G25="17-21",MAX(AA25,AC25,AF25),AE25)*0.0000001</f>
        <v>95.060104770999999</v>
      </c>
      <c r="K25" s="3" t="str">
        <f>IF(G25="Not Age Eligible","",IF(G25="17-21",IF(MAX(T25,V25,Y25,AA25,AC25,AF25)&gt;=LOOKUP(G25,'Qualifying Scores'!$A$4:$A$7,'Qualifying Scores'!$B$4:$B$7),"P",""),IF(MAX(X25-U25,AE25-AB25)&gt;=LOOKUP(G25,'Qualifying Scores'!$A$4:$A$7,'Qualifying Scores'!$B$4:$B$7),"P","")))</f>
        <v/>
      </c>
      <c r="L25" s="3" t="str">
        <f>IF(G25="Not Age Eligible","",IF(G25="17-21",IF(MAX(U25,W25,Z25,AB25,AD25,AG25)&gt;=LOOKUP(G25,'Qualifying Scores'!$A$10:$A$13,'Qualifying Scores'!$B$10:$B$13),"P",""),IF(MAX(W25,AD25)&gt;=LOOKUP(G25,'Qualifying Scores'!$A$10:$A$13,'Qualifying Scores'!$B$10:$B$13),"P","")))</f>
        <v/>
      </c>
      <c r="M25" s="3" t="str">
        <f>IF(G25="Not Age Eligible","",IF(G25="17-21",IF(OR(AND(T25&gt;=LOOKUP(G25,'Qualifying Scores'!$A$4:$A$7,'Qualifying Scores'!$B$4:$B$7),U25&gt;=LOOKUP(G25,'Qualifying Scores'!$A$10:$A$13,'Qualifying Scores'!$B$10:$B$13)),AND(V25&gt;=LOOKUP(G25,'Qualifying Scores'!$A$4:$A$7,'Qualifying Scores'!$B$4:$B$7),W25&gt;=LOOKUP(G25,'Qualifying Scores'!$A$10:$A$13,'Qualifying Scores'!$B$10:$B$13)),AND(Y25&gt;=LOOKUP(G25,'Qualifying Scores'!$A$4:$A$7,'Qualifying Scores'!$B$4:$B$7),Z25&gt;=LOOKUP(G25,'Qualifying Scores'!$A$10:$A$13,'Qualifying Scores'!$B$10:$B$13)),AND(AA25&gt;=LOOKUP(G25,'Qualifying Scores'!$A$4:$A$7,'Qualifying Scores'!$B$4:$B$7),AB25&gt;=LOOKUP(G25,'Qualifying Scores'!$A$10:$A$13,'Qualifying Scores'!$B$10:$B$13)),AND(AC25&gt;=LOOKUP(G25,'Qualifying Scores'!$A$4:$A$7,'Qualifying Scores'!$B$4:$B$7),AD25&gt;=LOOKUP(G25,'Qualifying Scores'!$A$10:$A$13,'Qualifying Scores'!$B$10:$B$13)),AND(AF25&gt;=LOOKUP(G25,'Qualifying Scores'!$A$4:$A$7,'Qualifying Scores'!$B$4:$B$7),AG25&gt;=LOOKUP(G25,'Qualifying Scores'!$A$10:$A$13,'Qualifying Scores'!$B$10:$B$13))),"P",""),IF(OR(AND(X25-U25&gt;=LOOKUP(G25,'Qualifying Scores'!$A$4:$A$7,'Qualifying Scores'!$B$4:$B$7),W25&gt;=LOOKUP(G25,'Qualifying Scores'!$A$10:$A$13,'Qualifying Scores'!$B$10:$B$13)),AND(AE25-AB25&gt;=LOOKUP(G25,'Qualifying Scores'!$A$4:$A$7,'Qualifying Scores'!$B$4:$B$7),AD25&gt;=LOOKUP(G25,'Qualifying Scores'!$A$10:$A$13,'Qualifying Scores'!$B$10:$B$13))),"P","")))</f>
        <v/>
      </c>
      <c r="Q25" s="1" t="str">
        <f>IF(A25&lt;5,IF(_xlfn.MAXIFS(A:A,G:G,G25)&gt;3,5-A25,_xlfn.MAXIFS(A:A,G:G,G25)+1-A25),"")</f>
        <v/>
      </c>
      <c r="R25" s="4">
        <f>IF(G25="17-21",MAX(T25,V25,Y25,AA25,AC25,AF25),MAX(X25,AE25))</f>
        <v>47.71</v>
      </c>
      <c r="S25" s="4">
        <f>IF(G25="17-21",LARGE(CHOOSE({1,2,3,4,5,6},T25,V25,Y25,AA25,AC25,AF25),2),IF(R25=X25,MAX(Y25,AA25,AC25,AF25),IF(R25=AE25,MAX(AF25,T25,V25,Y25),0)))</f>
        <v>47.35</v>
      </c>
      <c r="T25" s="33">
        <v>47.07</v>
      </c>
      <c r="U25" s="40">
        <v>9.3000000000000007</v>
      </c>
      <c r="V25" s="34">
        <v>47.03</v>
      </c>
      <c r="W25" s="40">
        <v>9.3000000000000007</v>
      </c>
      <c r="X25" s="4">
        <f>IF(H25="Senior",MAX(T25,V25),T25+V25)</f>
        <v>94.1</v>
      </c>
      <c r="Y25" s="34"/>
      <c r="Z25" s="40"/>
      <c r="AA25" s="33">
        <v>47.35</v>
      </c>
      <c r="AB25" s="40">
        <v>10.6</v>
      </c>
      <c r="AC25" s="34">
        <v>47.71</v>
      </c>
      <c r="AD25" s="40">
        <v>10.6</v>
      </c>
      <c r="AE25" s="4">
        <f>IF(H25="Senior",MAX(AA25,AC25),AA25+AC25)</f>
        <v>95.06</v>
      </c>
      <c r="AF25" s="34"/>
      <c r="AG25" s="37"/>
    </row>
    <row r="26" spans="1:33" x14ac:dyDescent="0.2">
      <c r="A26" s="1" t="str" cm="1">
        <f t="array" ref="A26">IF(I26="","",IF(P26&lt;&gt;"",SUMPRODUCT((P$3:P$107&lt;&gt;"")*(G$3:G$107=G26)*(J$3:J$107&gt;J26)*(I$3:I$107="P"))+1,IF(O26&lt;&gt;"",SUMPRODUCT((O$3:O$107&lt;&gt;"")*(P$3:P$107="")*(G$3:G$107=G26)*(J$3:J$107&gt;J26)*(I$3:I$107="P"))+SUMPRODUCT((P$3:P$107&lt;&gt;"")*(G$3:G$107=G26)*(I$3:I$107="P"))+1,IF(N26&lt;&gt;"",SUMPRODUCT((N$3:N$107&lt;&gt;"")*(G$3:G$107=G26)*(J$3:J$107&gt;J26)*(I$3:I$107="P"))+1,IF(M26="P",SUMPRODUCT((O$3:O$107&lt;&gt;"")*(P$3:P$107="")*(G$3:G$107=G26)*(I$3:I$107="P"))+SUMPRODUCT((P$3:P$107&lt;&gt;"")*(G$3:G$107=G26)*(I$3:I$107="P"))+SUMPRODUCT((N$3:N$107&lt;&gt;"")*(G$3:G$107=G26)*(I$3:I$107="P"))+SUMPRODUCT((P$3:P$107="")*(O$3:O$107="")*(N$3:N$107="")*(M$3:M$107="P")*(G$3:G$107=G26)*(J$3:J$107&gt;J26)*(I$3:I$107="P"))+IF(H26="L5",SUMPRODUCT((P$3:P$107="")*(O$3:O$107="")*(N$3:N$107="")*(M$3:M$107="P")*(G$3:G$107=G26)*(J$3:J$107&lt;J26)*(H$3:H$107&lt;&gt;H26)*(I$3:I$107="P")),-1*SUMPRODUCT((P$3:P$107="")*(O$3:O$107="")*(N$3:N$107="")*(M$3:M$107="P")*(G$3:G$107=G26)*(J$3:J$107&gt;J26)*(H$3:H$107="L5")*(I$3:I$107="P")))+1,"")))))</f>
        <v/>
      </c>
      <c r="B26" s="1" t="str" cm="1">
        <f t="array" ref="B26">IF(P26&lt;&gt;"",SUMPRODUCT((P$3:P$107&lt;&gt;"")*(G$3:G$107=G26)*(J$3:J$107&gt;J26))+1,IF(O26&lt;&gt;"",SUMPRODUCT((O$3:O$107&lt;&gt;"")*(P$3:P$107="")*(G$3:G$107=G26)*(J$3:J$107&gt;J26))+SUMPRODUCT((P$3:P$107&lt;&gt;"")*(G$3:G$107=G26))+1,IF(N26&lt;&gt;"",SUMPRODUCT((N$3:N$107&lt;&gt;"")*(G$3:G$107=G26)*(J$3:J$107&gt;J26))+1,IF(M26="P",SUMPRODUCT((O$3:O$107&lt;&gt;"")*(P$3:P$107="")*(G$3:G$107=G26))+SUMPRODUCT((P$3:P$107&lt;&gt;"")*(G$3:G$107=G26))+SUMPRODUCT((N$3:N$107&lt;&gt;"")*(G$3:G$107=G26))+SUMPRODUCT((P$3:P$107="")*(O$3:O$107="")*(N$3:N$107="")*(M$3:M$107="P")*(G$3:G$107=G26)*(J$3:J$107&gt;J26))+IF(H26="L5",SUMPRODUCT((P$3:P$107="")*(O$3:O$107="")*(N$3:N$107="")*(M$3:M$107="P")*(G$3:G$107=G26)*(J$3:J$107&lt;J26)*(H$3:H$107&lt;&gt;H26)),-1*SUMPRODUCT((P$3:P$107="")*(O$3:O$107="")*(N$3:N$107="")*(M$3:M$107="P")*(G$3:G$107=G26)*(J$3:J$107&gt;J26)*(H$3:H$107="L5")))+1,""))))</f>
        <v/>
      </c>
      <c r="C26" s="36" t="s">
        <v>91</v>
      </c>
      <c r="D26" s="36" t="str">
        <f>IF(E26="","",VLOOKUP(E26,'Coaching Points'!A:B,2,0))</f>
        <v>ON</v>
      </c>
      <c r="E26" s="36" t="s">
        <v>47</v>
      </c>
      <c r="F26" s="35">
        <v>2006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66</v>
      </c>
      <c r="I26" s="43" t="s">
        <v>567</v>
      </c>
      <c r="J26" s="4">
        <f>R26+S26+IF(OR(H26="Junior",H26="Senior"),0.0002,IF(OR(H26="L7",H26="L6"),0.0001,0))+IF(G26="17-21",MAX(AA26,AC26,AF26),AE26)*0.0000001</f>
        <v>94.970004239999994</v>
      </c>
      <c r="K26" s="3" t="str">
        <f>IF(G26="Not Age Eligible","",IF(G26="17-21",IF(MAX(T26,V26,Y26,AA26,AC26,AF26)&gt;=LOOKUP(G26,'Qualifying Scores'!$A$4:$A$7,'Qualifying Scores'!$B$4:$B$7),"P",""),IF(MAX(X26-U26,AE26-AB26)&gt;=LOOKUP(G26,'Qualifying Scores'!$A$4:$A$7,'Qualifying Scores'!$B$4:$B$7),"P","")))</f>
        <v/>
      </c>
      <c r="L26" s="3" t="str">
        <f>IF(G26="Not Age Eligible","",IF(G26="17-21",IF(MAX(U26,W26,Z26,AB26,AD26,AG26)&gt;=LOOKUP(G26,'Qualifying Scores'!$A$10:$A$13,'Qualifying Scores'!$B$10:$B$13),"P",""),IF(MAX(W26,AD26)&gt;=LOOKUP(G26,'Qualifying Scores'!$A$10:$A$13,'Qualifying Scores'!$B$10:$B$13),"P","")))</f>
        <v/>
      </c>
      <c r="M26" s="3" t="str">
        <f>IF(G26="Not Age Eligible","",IF(G26="17-21",IF(OR(AND(T26&gt;=LOOKUP(G26,'Qualifying Scores'!$A$4:$A$7,'Qualifying Scores'!$B$4:$B$7),U26&gt;=LOOKUP(G26,'Qualifying Scores'!$A$10:$A$13,'Qualifying Scores'!$B$10:$B$13)),AND(V26&gt;=LOOKUP(G26,'Qualifying Scores'!$A$4:$A$7,'Qualifying Scores'!$B$4:$B$7),W26&gt;=LOOKUP(G26,'Qualifying Scores'!$A$10:$A$13,'Qualifying Scores'!$B$10:$B$13)),AND(Y26&gt;=LOOKUP(G26,'Qualifying Scores'!$A$4:$A$7,'Qualifying Scores'!$B$4:$B$7),Z26&gt;=LOOKUP(G26,'Qualifying Scores'!$A$10:$A$13,'Qualifying Scores'!$B$10:$B$13)),AND(AA26&gt;=LOOKUP(G26,'Qualifying Scores'!$A$4:$A$7,'Qualifying Scores'!$B$4:$B$7),AB26&gt;=LOOKUP(G26,'Qualifying Scores'!$A$10:$A$13,'Qualifying Scores'!$B$10:$B$13)),AND(AC26&gt;=LOOKUP(G26,'Qualifying Scores'!$A$4:$A$7,'Qualifying Scores'!$B$4:$B$7),AD26&gt;=LOOKUP(G26,'Qualifying Scores'!$A$10:$A$13,'Qualifying Scores'!$B$10:$B$13)),AND(AF26&gt;=LOOKUP(G26,'Qualifying Scores'!$A$4:$A$7,'Qualifying Scores'!$B$4:$B$7),AG26&gt;=LOOKUP(G26,'Qualifying Scores'!$A$10:$A$13,'Qualifying Scores'!$B$10:$B$13))),"P",""),IF(OR(AND(X26-U26&gt;=LOOKUP(G26,'Qualifying Scores'!$A$4:$A$7,'Qualifying Scores'!$B$4:$B$7),W26&gt;=LOOKUP(G26,'Qualifying Scores'!$A$10:$A$13,'Qualifying Scores'!$B$10:$B$13)),AND(AE26-AB26&gt;=LOOKUP(G26,'Qualifying Scores'!$A$4:$A$7,'Qualifying Scores'!$B$4:$B$7),AD26&gt;=LOOKUP(G26,'Qualifying Scores'!$A$10:$A$13,'Qualifying Scores'!$B$10:$B$13))),"P","")))</f>
        <v/>
      </c>
      <c r="Q26" s="1" t="str">
        <f>IF(A26&lt;5,IF(_xlfn.MAXIFS(A:A,G:G,G26)&gt;3,5-A26,_xlfn.MAXIFS(A:A,G:G,G26)+1-A26),"")</f>
        <v/>
      </c>
      <c r="R26" s="4">
        <f>IF(G26="17-21",MAX(T26,V26,Y26,AA26,AC26,AF26),MAX(X26,AE26))</f>
        <v>47.83</v>
      </c>
      <c r="S26" s="4">
        <f>IF(G26="17-21",LARGE(CHOOSE({1,2,3,4,5,6},T26,V26,Y26,AA26,AC26,AF26),2),IF(R26=X26,MAX(Y26,AA26,AC26,AF26),IF(R26=AE26,MAX(AF26,T26,V26,Y26),0)))</f>
        <v>47.14</v>
      </c>
      <c r="T26" s="33">
        <v>40.72</v>
      </c>
      <c r="U26" s="40">
        <v>0</v>
      </c>
      <c r="V26" s="34">
        <v>47.14</v>
      </c>
      <c r="W26" s="40">
        <v>9.1</v>
      </c>
      <c r="X26" s="4">
        <f>IF(H26="Senior",MAX(T26,V26),T26+V26)</f>
        <v>87.86</v>
      </c>
      <c r="Y26" s="34">
        <v>47.83</v>
      </c>
      <c r="Z26" s="40">
        <v>9.1</v>
      </c>
      <c r="AA26" s="33">
        <v>42.4</v>
      </c>
      <c r="AB26" s="40">
        <v>0</v>
      </c>
      <c r="AC26" s="34">
        <v>20.25</v>
      </c>
      <c r="AD26" s="40">
        <v>4.5999999999999996</v>
      </c>
      <c r="AE26" s="4">
        <f>IF(H26="Senior",MAX(AA26,AC26),AA26+AC26)</f>
        <v>62.65</v>
      </c>
      <c r="AF26" s="34"/>
      <c r="AG26" s="37"/>
    </row>
    <row r="27" spans="1:33" x14ac:dyDescent="0.2">
      <c r="A27" s="1" t="str" cm="1">
        <f t="array" ref="A27">IF(I27="","",IF(P27&lt;&gt;"",SUMPRODUCT((P$3:P$107&lt;&gt;"")*(G$3:G$107=G27)*(J$3:J$107&gt;J27)*(I$3:I$107="P"))+1,IF(O27&lt;&gt;"",SUMPRODUCT((O$3:O$107&lt;&gt;"")*(P$3:P$107="")*(G$3:G$107=G27)*(J$3:J$107&gt;J27)*(I$3:I$107="P"))+SUMPRODUCT((P$3:P$107&lt;&gt;"")*(G$3:G$107=G27)*(I$3:I$107="P"))+1,IF(N27&lt;&gt;"",SUMPRODUCT((N$3:N$107&lt;&gt;"")*(G$3:G$107=G27)*(J$3:J$107&gt;J27)*(I$3:I$107="P"))+1,IF(M27="P",SUMPRODUCT((O$3:O$107&lt;&gt;"")*(P$3:P$107="")*(G$3:G$107=G27)*(I$3:I$107="P"))+SUMPRODUCT((P$3:P$107&lt;&gt;"")*(G$3:G$107=G27)*(I$3:I$107="P"))+SUMPRODUCT((N$3:N$107&lt;&gt;"")*(G$3:G$107=G27)*(I$3:I$107="P"))+SUMPRODUCT((P$3:P$107="")*(O$3:O$107="")*(N$3:N$107="")*(M$3:M$107="P")*(G$3:G$107=G27)*(J$3:J$107&gt;J27)*(I$3:I$107="P"))+IF(H27="L5",SUMPRODUCT((P$3:P$107="")*(O$3:O$107="")*(N$3:N$107="")*(M$3:M$107="P")*(G$3:G$107=G27)*(J$3:J$107&lt;J27)*(H$3:H$107&lt;&gt;H27)*(I$3:I$107="P")),-1*SUMPRODUCT((P$3:P$107="")*(O$3:O$107="")*(N$3:N$107="")*(M$3:M$107="P")*(G$3:G$107=G27)*(J$3:J$107&gt;J27)*(H$3:H$107="L5")*(I$3:I$107="P")))+1,"")))))</f>
        <v/>
      </c>
      <c r="B27" s="1" t="str" cm="1">
        <f t="array" ref="B27">IF(P27&lt;&gt;"",SUMPRODUCT((P$3:P$107&lt;&gt;"")*(G$3:G$107=G27)*(J$3:J$107&gt;J27))+1,IF(O27&lt;&gt;"",SUMPRODUCT((O$3:O$107&lt;&gt;"")*(P$3:P$107="")*(G$3:G$107=G27)*(J$3:J$107&gt;J27))+SUMPRODUCT((P$3:P$107&lt;&gt;"")*(G$3:G$107=G27))+1,IF(N27&lt;&gt;"",SUMPRODUCT((N$3:N$107&lt;&gt;"")*(G$3:G$107=G27)*(J$3:J$107&gt;J27))+1,IF(M27="P",SUMPRODUCT((O$3:O$107&lt;&gt;"")*(P$3:P$107="")*(G$3:G$107=G27))+SUMPRODUCT((P$3:P$107&lt;&gt;"")*(G$3:G$107=G27))+SUMPRODUCT((N$3:N$107&lt;&gt;"")*(G$3:G$107=G27))+SUMPRODUCT((P$3:P$107="")*(O$3:O$107="")*(N$3:N$107="")*(M$3:M$107="P")*(G$3:G$107=G27)*(J$3:J$107&gt;J27))+IF(H27="L5",SUMPRODUCT((P$3:P$107="")*(O$3:O$107="")*(N$3:N$107="")*(M$3:M$107="P")*(G$3:G$107=G27)*(J$3:J$107&lt;J27)*(H$3:H$107&lt;&gt;H27)),-1*SUMPRODUCT((P$3:P$107="")*(O$3:O$107="")*(N$3:N$107="")*(M$3:M$107="P")*(G$3:G$107=G27)*(J$3:J$107&gt;J27)*(H$3:H$107="L5")))+1,""))))</f>
        <v/>
      </c>
      <c r="C27" s="36" t="s">
        <v>216</v>
      </c>
      <c r="D27" s="36" t="str">
        <f>IF(E27="","",VLOOKUP(E27,'Coaching Points'!A:B,2,0))</f>
        <v>BC</v>
      </c>
      <c r="E27" s="36" t="s">
        <v>282</v>
      </c>
      <c r="F27" s="35">
        <v>2006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66</v>
      </c>
      <c r="I27" s="43"/>
      <c r="J27" s="4">
        <f>R27+S27+IF(OR(H27="Junior",H27="Senior"),0.0002,IF(OR(H27="L7",H27="L6"),0.0001,0))+IF(G27="17-21",MAX(AA27,AC27,AF27),AE27)*0.0000001</f>
        <v>94.710004854999994</v>
      </c>
      <c r="K27" s="3" t="str">
        <f>IF(G27="Not Age Eligible","",IF(G27="17-21",IF(MAX(T27,V27,Y27,AA27,AC27,AF27)&gt;=LOOKUP(G27,'Qualifying Scores'!$A$4:$A$7,'Qualifying Scores'!$B$4:$B$7),"P",""),IF(MAX(X27-U27,AE27-AB27)&gt;=LOOKUP(G27,'Qualifying Scores'!$A$4:$A$7,'Qualifying Scores'!$B$4:$B$7),"P","")))</f>
        <v/>
      </c>
      <c r="L27" s="3" t="str">
        <f>IF(G27="Not Age Eligible","",IF(G27="17-21",IF(MAX(U27,W27,Z27,AB27,AD27,AG27)&gt;=LOOKUP(G27,'Qualifying Scores'!$A$10:$A$13,'Qualifying Scores'!$B$10:$B$13),"P",""),IF(MAX(W27,AD27)&gt;=LOOKUP(G27,'Qualifying Scores'!$A$10:$A$13,'Qualifying Scores'!$B$10:$B$13),"P","")))</f>
        <v/>
      </c>
      <c r="M27" s="3" t="str">
        <f>IF(G27="Not Age Eligible","",IF(G27="17-21",IF(OR(AND(T27&gt;=LOOKUP(G27,'Qualifying Scores'!$A$4:$A$7,'Qualifying Scores'!$B$4:$B$7),U27&gt;=LOOKUP(G27,'Qualifying Scores'!$A$10:$A$13,'Qualifying Scores'!$B$10:$B$13)),AND(V27&gt;=LOOKUP(G27,'Qualifying Scores'!$A$4:$A$7,'Qualifying Scores'!$B$4:$B$7),W27&gt;=LOOKUP(G27,'Qualifying Scores'!$A$10:$A$13,'Qualifying Scores'!$B$10:$B$13)),AND(Y27&gt;=LOOKUP(G27,'Qualifying Scores'!$A$4:$A$7,'Qualifying Scores'!$B$4:$B$7),Z27&gt;=LOOKUP(G27,'Qualifying Scores'!$A$10:$A$13,'Qualifying Scores'!$B$10:$B$13)),AND(AA27&gt;=LOOKUP(G27,'Qualifying Scores'!$A$4:$A$7,'Qualifying Scores'!$B$4:$B$7),AB27&gt;=LOOKUP(G27,'Qualifying Scores'!$A$10:$A$13,'Qualifying Scores'!$B$10:$B$13)),AND(AC27&gt;=LOOKUP(G27,'Qualifying Scores'!$A$4:$A$7,'Qualifying Scores'!$B$4:$B$7),AD27&gt;=LOOKUP(G27,'Qualifying Scores'!$A$10:$A$13,'Qualifying Scores'!$B$10:$B$13)),AND(AF27&gt;=LOOKUP(G27,'Qualifying Scores'!$A$4:$A$7,'Qualifying Scores'!$B$4:$B$7),AG27&gt;=LOOKUP(G27,'Qualifying Scores'!$A$10:$A$13,'Qualifying Scores'!$B$10:$B$13))),"P",""),IF(OR(AND(X27-U27&gt;=LOOKUP(G27,'Qualifying Scores'!$A$4:$A$7,'Qualifying Scores'!$B$4:$B$7),W27&gt;=LOOKUP(G27,'Qualifying Scores'!$A$10:$A$13,'Qualifying Scores'!$B$10:$B$13)),AND(AE27-AB27&gt;=LOOKUP(G27,'Qualifying Scores'!$A$4:$A$7,'Qualifying Scores'!$B$4:$B$7),AD27&gt;=LOOKUP(G27,'Qualifying Scores'!$A$10:$A$13,'Qualifying Scores'!$B$10:$B$13))),"P","")))</f>
        <v/>
      </c>
      <c r="Q27" s="1" t="str">
        <f>IF(A27&lt;5,IF(_xlfn.MAXIFS(A:A,G:G,G27)&gt;3,5-A27,_xlfn.MAXIFS(A:A,G:G,G27)+1-A27),"")</f>
        <v/>
      </c>
      <c r="R27" s="4">
        <f>IF(G27="17-21",MAX(T27,V27,Y27,AA27,AC27,AF27),MAX(X27,AE27))</f>
        <v>48.55</v>
      </c>
      <c r="S27" s="4">
        <f>IF(G27="17-21",LARGE(CHOOSE({1,2,3,4,5,6},T27,V27,Y27,AA27,AC27,AF27),2),IF(R27=X27,MAX(Y27,AA27,AC27,AF27),IF(R27=AE27,MAX(AF27,T27,V27,Y27),0)))</f>
        <v>46.16</v>
      </c>
      <c r="T27" s="33">
        <v>36.94</v>
      </c>
      <c r="U27" s="40">
        <v>0</v>
      </c>
      <c r="V27" s="34">
        <v>44.38</v>
      </c>
      <c r="W27" s="40">
        <v>9</v>
      </c>
      <c r="X27" s="4">
        <f>IF(H27="Senior",MAX(T27,V27),T27+V27)</f>
        <v>81.319999999999993</v>
      </c>
      <c r="Y27" s="34">
        <v>44</v>
      </c>
      <c r="Z27" s="40">
        <v>9.4</v>
      </c>
      <c r="AA27" s="33">
        <v>40.159999999999997</v>
      </c>
      <c r="AB27" s="40">
        <v>0</v>
      </c>
      <c r="AC27" s="34">
        <v>48.55</v>
      </c>
      <c r="AD27" s="40">
        <v>9.6</v>
      </c>
      <c r="AE27" s="4">
        <f>IF(H27="Senior",MAX(AA27,AC27),AA27+AC27)</f>
        <v>88.71</v>
      </c>
      <c r="AF27" s="34">
        <v>46.16</v>
      </c>
      <c r="AG27" s="37">
        <v>9.4</v>
      </c>
    </row>
    <row r="28" spans="1:33" x14ac:dyDescent="0.2">
      <c r="A28" s="1" t="str" cm="1">
        <f t="array" ref="A28">IF(I28="","",IF(P28&lt;&gt;"",SUMPRODUCT((P$3:P$107&lt;&gt;"")*(G$3:G$107=G28)*(J$3:J$107&gt;J28)*(I$3:I$107="P"))+1,IF(O28&lt;&gt;"",SUMPRODUCT((O$3:O$107&lt;&gt;"")*(P$3:P$107="")*(G$3:G$107=G28)*(J$3:J$107&gt;J28)*(I$3:I$107="P"))+SUMPRODUCT((P$3:P$107&lt;&gt;"")*(G$3:G$107=G28)*(I$3:I$107="P"))+1,IF(N28&lt;&gt;"",SUMPRODUCT((N$3:N$107&lt;&gt;"")*(G$3:G$107=G28)*(J$3:J$107&gt;J28)*(I$3:I$107="P"))+1,IF(M28="P",SUMPRODUCT((O$3:O$107&lt;&gt;"")*(P$3:P$107="")*(G$3:G$107=G28)*(I$3:I$107="P"))+SUMPRODUCT((P$3:P$107&lt;&gt;"")*(G$3:G$107=G28)*(I$3:I$107="P"))+SUMPRODUCT((N$3:N$107&lt;&gt;"")*(G$3:G$107=G28)*(I$3:I$107="P"))+SUMPRODUCT((P$3:P$107="")*(O$3:O$107="")*(N$3:N$107="")*(M$3:M$107="P")*(G$3:G$107=G28)*(J$3:J$107&gt;J28)*(I$3:I$107="P"))+IF(H28="L5",SUMPRODUCT((P$3:P$107="")*(O$3:O$107="")*(N$3:N$107="")*(M$3:M$107="P")*(G$3:G$107=G28)*(J$3:J$107&lt;J28)*(H$3:H$107&lt;&gt;H28)*(I$3:I$107="P")),-1*SUMPRODUCT((P$3:P$107="")*(O$3:O$107="")*(N$3:N$107="")*(M$3:M$107="P")*(G$3:G$107=G28)*(J$3:J$107&gt;J28)*(H$3:H$107="L5")*(I$3:I$107="P")))+1,"")))))</f>
        <v/>
      </c>
      <c r="B28" s="1" t="str" cm="1">
        <f t="array" ref="B28">IF(P28&lt;&gt;"",SUMPRODUCT((P$3:P$107&lt;&gt;"")*(G$3:G$107=G28)*(J$3:J$107&gt;J28))+1,IF(O28&lt;&gt;"",SUMPRODUCT((O$3:O$107&lt;&gt;"")*(P$3:P$107="")*(G$3:G$107=G28)*(J$3:J$107&gt;J28))+SUMPRODUCT((P$3:P$107&lt;&gt;"")*(G$3:G$107=G28))+1,IF(N28&lt;&gt;"",SUMPRODUCT((N$3:N$107&lt;&gt;"")*(G$3:G$107=G28)*(J$3:J$107&gt;J28))+1,IF(M28="P",SUMPRODUCT((O$3:O$107&lt;&gt;"")*(P$3:P$107="")*(G$3:G$107=G28))+SUMPRODUCT((P$3:P$107&lt;&gt;"")*(G$3:G$107=G28))+SUMPRODUCT((N$3:N$107&lt;&gt;"")*(G$3:G$107=G28))+SUMPRODUCT((P$3:P$107="")*(O$3:O$107="")*(N$3:N$107="")*(M$3:M$107="P")*(G$3:G$107=G28)*(J$3:J$107&gt;J28))+IF(H28="L5",SUMPRODUCT((P$3:P$107="")*(O$3:O$107="")*(N$3:N$107="")*(M$3:M$107="P")*(G$3:G$107=G28)*(J$3:J$107&lt;J28)*(H$3:H$107&lt;&gt;H28)),-1*SUMPRODUCT((P$3:P$107="")*(O$3:O$107="")*(N$3:N$107="")*(M$3:M$107="P")*(G$3:G$107=G28)*(J$3:J$107&gt;J28)*(H$3:H$107="L5")))+1,""))))</f>
        <v/>
      </c>
      <c r="C28" s="36" t="s">
        <v>95</v>
      </c>
      <c r="D28" s="36" t="str">
        <f>IF(E28="","",VLOOKUP(E28,'Coaching Points'!A:B,2,0))</f>
        <v>QC</v>
      </c>
      <c r="E28" s="36" t="s">
        <v>96</v>
      </c>
      <c r="F28" s="35">
        <v>2004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66</v>
      </c>
      <c r="I28" s="43"/>
      <c r="J28" s="4">
        <f>R28+S28+IF(OR(H28="Junior",H28="Senior"),0.0002,IF(OR(H28="L7",H28="L6"),0.0001,0))+IF(G28="17-21",MAX(AA28,AC28,AF28),AE28)*0.0000001</f>
        <v>94.380004724999992</v>
      </c>
      <c r="K28" s="3" t="str">
        <f>IF(G28="Not Age Eligible","",IF(G28="17-21",IF(MAX(T28,V28,Y28,AA28,AC28,AF28)&gt;=LOOKUP(G28,'Qualifying Scores'!$A$4:$A$7,'Qualifying Scores'!$B$4:$B$7),"P",""),IF(MAX(X28-U28,AE28-AB28)&gt;=LOOKUP(G28,'Qualifying Scores'!$A$4:$A$7,'Qualifying Scores'!$B$4:$B$7),"P","")))</f>
        <v/>
      </c>
      <c r="L28" s="3" t="str">
        <f>IF(G28="Not Age Eligible","",IF(G28="17-21",IF(MAX(U28,W28,Z28,AB28,AD28,AG28)&gt;=LOOKUP(G28,'Qualifying Scores'!$A$10:$A$13,'Qualifying Scores'!$B$10:$B$13),"P",""),IF(MAX(W28,AD28)&gt;=LOOKUP(G28,'Qualifying Scores'!$A$10:$A$13,'Qualifying Scores'!$B$10:$B$13),"P","")))</f>
        <v/>
      </c>
      <c r="M28" s="3" t="str">
        <f>IF(G28="Not Age Eligible","",IF(G28="17-21",IF(OR(AND(T28&gt;=LOOKUP(G28,'Qualifying Scores'!$A$4:$A$7,'Qualifying Scores'!$B$4:$B$7),U28&gt;=LOOKUP(G28,'Qualifying Scores'!$A$10:$A$13,'Qualifying Scores'!$B$10:$B$13)),AND(V28&gt;=LOOKUP(G28,'Qualifying Scores'!$A$4:$A$7,'Qualifying Scores'!$B$4:$B$7),W28&gt;=LOOKUP(G28,'Qualifying Scores'!$A$10:$A$13,'Qualifying Scores'!$B$10:$B$13)),AND(Y28&gt;=LOOKUP(G28,'Qualifying Scores'!$A$4:$A$7,'Qualifying Scores'!$B$4:$B$7),Z28&gt;=LOOKUP(G28,'Qualifying Scores'!$A$10:$A$13,'Qualifying Scores'!$B$10:$B$13)),AND(AA28&gt;=LOOKUP(G28,'Qualifying Scores'!$A$4:$A$7,'Qualifying Scores'!$B$4:$B$7),AB28&gt;=LOOKUP(G28,'Qualifying Scores'!$A$10:$A$13,'Qualifying Scores'!$B$10:$B$13)),AND(AC28&gt;=LOOKUP(G28,'Qualifying Scores'!$A$4:$A$7,'Qualifying Scores'!$B$4:$B$7),AD28&gt;=LOOKUP(G28,'Qualifying Scores'!$A$10:$A$13,'Qualifying Scores'!$B$10:$B$13)),AND(AF28&gt;=LOOKUP(G28,'Qualifying Scores'!$A$4:$A$7,'Qualifying Scores'!$B$4:$B$7),AG28&gt;=LOOKUP(G28,'Qualifying Scores'!$A$10:$A$13,'Qualifying Scores'!$B$10:$B$13))),"P",""),IF(OR(AND(X28-U28&gt;=LOOKUP(G28,'Qualifying Scores'!$A$4:$A$7,'Qualifying Scores'!$B$4:$B$7),W28&gt;=LOOKUP(G28,'Qualifying Scores'!$A$10:$A$13,'Qualifying Scores'!$B$10:$B$13)),AND(AE28-AB28&gt;=LOOKUP(G28,'Qualifying Scores'!$A$4:$A$7,'Qualifying Scores'!$B$4:$B$7),AD28&gt;=LOOKUP(G28,'Qualifying Scores'!$A$10:$A$13,'Qualifying Scores'!$B$10:$B$13))),"P","")))</f>
        <v/>
      </c>
      <c r="Q28" s="1" t="str">
        <f>IF(A28&lt;5,IF(_xlfn.MAXIFS(A:A,G:G,G28)&gt;3,5-A28,_xlfn.MAXIFS(A:A,G:G,G28)+1-A28),"")</f>
        <v/>
      </c>
      <c r="R28" s="4">
        <f>IF(G28="17-21",MAX(T28,V28,Y28,AA28,AC28,AF28),MAX(X28,AE28))</f>
        <v>47.25</v>
      </c>
      <c r="S28" s="4">
        <f>IF(G28="17-21",LARGE(CHOOSE({1,2,3,4,5,6},T28,V28,Y28,AA28,AC28,AF28),2),IF(R28=X28,MAX(Y28,AA28,AC28,AF28),IF(R28=AE28,MAX(AF28,T28,V28,Y28),0)))</f>
        <v>47.13</v>
      </c>
      <c r="T28" s="33">
        <v>39.94</v>
      </c>
      <c r="U28" s="40">
        <v>0</v>
      </c>
      <c r="V28" s="34">
        <v>44.97</v>
      </c>
      <c r="W28" s="40">
        <v>9.1</v>
      </c>
      <c r="X28" s="4">
        <f>IF(H28="Senior",MAX(T28,V28),T28+V28)</f>
        <v>84.91</v>
      </c>
      <c r="Y28" s="34">
        <v>45.19</v>
      </c>
      <c r="Z28" s="40">
        <v>9.1</v>
      </c>
      <c r="AA28" s="33">
        <v>40.68</v>
      </c>
      <c r="AB28" s="40">
        <v>0</v>
      </c>
      <c r="AC28" s="34">
        <v>47.25</v>
      </c>
      <c r="AD28" s="40">
        <v>9.4</v>
      </c>
      <c r="AE28" s="4">
        <f>IF(H28="Senior",MAX(AA28,AC28),AA28+AC28)</f>
        <v>87.93</v>
      </c>
      <c r="AF28" s="34">
        <v>47.13</v>
      </c>
      <c r="AG28" s="37">
        <v>9.4</v>
      </c>
    </row>
    <row r="29" spans="1:33" x14ac:dyDescent="0.2">
      <c r="A29" s="1" t="str" cm="1">
        <f t="array" ref="A29">IF(I29="","",IF(P29&lt;&gt;"",SUMPRODUCT((P$3:P$107&lt;&gt;"")*(G$3:G$107=G29)*(J$3:J$107&gt;J29)*(I$3:I$107="P"))+1,IF(O29&lt;&gt;"",SUMPRODUCT((O$3:O$107&lt;&gt;"")*(P$3:P$107="")*(G$3:G$107=G29)*(J$3:J$107&gt;J29)*(I$3:I$107="P"))+SUMPRODUCT((P$3:P$107&lt;&gt;"")*(G$3:G$107=G29)*(I$3:I$107="P"))+1,IF(N29&lt;&gt;"",SUMPRODUCT((N$3:N$107&lt;&gt;"")*(G$3:G$107=G29)*(J$3:J$107&gt;J29)*(I$3:I$107="P"))+1,IF(M29="P",SUMPRODUCT((O$3:O$107&lt;&gt;"")*(P$3:P$107="")*(G$3:G$107=G29)*(I$3:I$107="P"))+SUMPRODUCT((P$3:P$107&lt;&gt;"")*(G$3:G$107=G29)*(I$3:I$107="P"))+SUMPRODUCT((N$3:N$107&lt;&gt;"")*(G$3:G$107=G29)*(I$3:I$107="P"))+SUMPRODUCT((P$3:P$107="")*(O$3:O$107="")*(N$3:N$107="")*(M$3:M$107="P")*(G$3:G$107=G29)*(J$3:J$107&gt;J29)*(I$3:I$107="P"))+IF(H29="L5",SUMPRODUCT((P$3:P$107="")*(O$3:O$107="")*(N$3:N$107="")*(M$3:M$107="P")*(G$3:G$107=G29)*(J$3:J$107&lt;J29)*(H$3:H$107&lt;&gt;H29)*(I$3:I$107="P")),-1*SUMPRODUCT((P$3:P$107="")*(O$3:O$107="")*(N$3:N$107="")*(M$3:M$107="P")*(G$3:G$107=G29)*(J$3:J$107&gt;J29)*(H$3:H$107="L5")*(I$3:I$107="P")))+1,"")))))</f>
        <v/>
      </c>
      <c r="B29" s="1" t="str" cm="1">
        <f t="array" ref="B29">IF(P29&lt;&gt;"",SUMPRODUCT((P$3:P$107&lt;&gt;"")*(G$3:G$107=G29)*(J$3:J$107&gt;J29))+1,IF(O29&lt;&gt;"",SUMPRODUCT((O$3:O$107&lt;&gt;"")*(P$3:P$107="")*(G$3:G$107=G29)*(J$3:J$107&gt;J29))+SUMPRODUCT((P$3:P$107&lt;&gt;"")*(G$3:G$107=G29))+1,IF(N29&lt;&gt;"",SUMPRODUCT((N$3:N$107&lt;&gt;"")*(G$3:G$107=G29)*(J$3:J$107&gt;J29))+1,IF(M29="P",SUMPRODUCT((O$3:O$107&lt;&gt;"")*(P$3:P$107="")*(G$3:G$107=G29))+SUMPRODUCT((P$3:P$107&lt;&gt;"")*(G$3:G$107=G29))+SUMPRODUCT((N$3:N$107&lt;&gt;"")*(G$3:G$107=G29))+SUMPRODUCT((P$3:P$107="")*(O$3:O$107="")*(N$3:N$107="")*(M$3:M$107="P")*(G$3:G$107=G29)*(J$3:J$107&gt;J29))+IF(H29="L5",SUMPRODUCT((P$3:P$107="")*(O$3:O$107="")*(N$3:N$107="")*(M$3:M$107="P")*(G$3:G$107=G29)*(J$3:J$107&lt;J29)*(H$3:H$107&lt;&gt;H29)),-1*SUMPRODUCT((P$3:P$107="")*(O$3:O$107="")*(N$3:N$107="")*(M$3:M$107="P")*(G$3:G$107=G29)*(J$3:J$107&gt;J29)*(H$3:H$107="L5")))+1,""))))</f>
        <v/>
      </c>
      <c r="C29" s="36" t="s">
        <v>90</v>
      </c>
      <c r="D29" s="36" t="str">
        <f>IF(E29="","",VLOOKUP(E29,'Coaching Points'!A:B,2,0))</f>
        <v>ON</v>
      </c>
      <c r="E29" s="36" t="s">
        <v>47</v>
      </c>
      <c r="F29" s="35">
        <v>2006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 t="s">
        <v>567</v>
      </c>
      <c r="J29" s="4">
        <f>R29+S29+IF(OR(H29="Junior",H29="Senior"),0.0002,IF(OR(H29="L7",H29="L6"),0.0001,0))+IF(G29="17-21",MAX(AA29,AC29,AF29),AE29)*0.0000001</f>
        <v>94.170004820000003</v>
      </c>
      <c r="K29" s="3" t="str">
        <f>IF(G29="Not Age Eligible","",IF(G29="17-21",IF(MAX(T29,V29,Y29,AA29,AC29,AF29)&gt;=LOOKUP(G29,'Qualifying Scores'!$A$4:$A$7,'Qualifying Scores'!$B$4:$B$7),"P",""),IF(MAX(X29-U29,AE29-AB29)&gt;=LOOKUP(G29,'Qualifying Scores'!$A$4:$A$7,'Qualifying Scores'!$B$4:$B$7),"P","")))</f>
        <v/>
      </c>
      <c r="L29" s="3" t="str">
        <f>IF(G29="Not Age Eligible","",IF(G29="17-21",IF(MAX(U29,W29,Z29,AB29,AD29,AG29)&gt;=LOOKUP(G29,'Qualifying Scores'!$A$10:$A$13,'Qualifying Scores'!$B$10:$B$13),"P",""),IF(MAX(W29,AD29)&gt;=LOOKUP(G29,'Qualifying Scores'!$A$10:$A$13,'Qualifying Scores'!$B$10:$B$13),"P","")))</f>
        <v/>
      </c>
      <c r="M29" s="3" t="str">
        <f>IF(G29="Not Age Eligible","",IF(G29="17-21",IF(OR(AND(T29&gt;=LOOKUP(G29,'Qualifying Scores'!$A$4:$A$7,'Qualifying Scores'!$B$4:$B$7),U29&gt;=LOOKUP(G29,'Qualifying Scores'!$A$10:$A$13,'Qualifying Scores'!$B$10:$B$13)),AND(V29&gt;=LOOKUP(G29,'Qualifying Scores'!$A$4:$A$7,'Qualifying Scores'!$B$4:$B$7),W29&gt;=LOOKUP(G29,'Qualifying Scores'!$A$10:$A$13,'Qualifying Scores'!$B$10:$B$13)),AND(Y29&gt;=LOOKUP(G29,'Qualifying Scores'!$A$4:$A$7,'Qualifying Scores'!$B$4:$B$7),Z29&gt;=LOOKUP(G29,'Qualifying Scores'!$A$10:$A$13,'Qualifying Scores'!$B$10:$B$13)),AND(AA29&gt;=LOOKUP(G29,'Qualifying Scores'!$A$4:$A$7,'Qualifying Scores'!$B$4:$B$7),AB29&gt;=LOOKUP(G29,'Qualifying Scores'!$A$10:$A$13,'Qualifying Scores'!$B$10:$B$13)),AND(AC29&gt;=LOOKUP(G29,'Qualifying Scores'!$A$4:$A$7,'Qualifying Scores'!$B$4:$B$7),AD29&gt;=LOOKUP(G29,'Qualifying Scores'!$A$10:$A$13,'Qualifying Scores'!$B$10:$B$13)),AND(AF29&gt;=LOOKUP(G29,'Qualifying Scores'!$A$4:$A$7,'Qualifying Scores'!$B$4:$B$7),AG29&gt;=LOOKUP(G29,'Qualifying Scores'!$A$10:$A$13,'Qualifying Scores'!$B$10:$B$13))),"P",""),IF(OR(AND(X29-U29&gt;=LOOKUP(G29,'Qualifying Scores'!$A$4:$A$7,'Qualifying Scores'!$B$4:$B$7),W29&gt;=LOOKUP(G29,'Qualifying Scores'!$A$10:$A$13,'Qualifying Scores'!$B$10:$B$13)),AND(AE29-AB29&gt;=LOOKUP(G29,'Qualifying Scores'!$A$4:$A$7,'Qualifying Scores'!$B$4:$B$7),AD29&gt;=LOOKUP(G29,'Qualifying Scores'!$A$10:$A$13,'Qualifying Scores'!$B$10:$B$13))),"P","")))</f>
        <v/>
      </c>
      <c r="Q29" s="1" t="str">
        <f>IF(A29&lt;5,IF(_xlfn.MAXIFS(A:A,G:G,G29)&gt;3,5-A29,_xlfn.MAXIFS(A:A,G:G,G29)+1-A29),"")</f>
        <v/>
      </c>
      <c r="R29" s="4">
        <f>IF(G29="17-21",MAX(T29,V29,Y29,AA29,AC29,AF29),MAX(X29,AE29))</f>
        <v>48.2</v>
      </c>
      <c r="S29" s="4">
        <f>IF(G29="17-21",LARGE(CHOOSE({1,2,3,4,5,6},T29,V29,Y29,AA29,AC29,AF29),2),IF(R29=X29,MAX(Y29,AA29,AC29,AF29),IF(R29=AE29,MAX(AF29,T29,V29,Y29),0)))</f>
        <v>45.97</v>
      </c>
      <c r="T29" s="33">
        <v>36.020000000000003</v>
      </c>
      <c r="U29" s="40">
        <v>0</v>
      </c>
      <c r="V29" s="34">
        <v>43.08</v>
      </c>
      <c r="W29" s="40">
        <v>7.8</v>
      </c>
      <c r="X29" s="4">
        <f>IF(H29="Senior",MAX(T29,V29),T29+V29)</f>
        <v>79.099999999999994</v>
      </c>
      <c r="Y29" s="34"/>
      <c r="Z29" s="40"/>
      <c r="AA29" s="33">
        <v>40.44</v>
      </c>
      <c r="AB29" s="40">
        <v>0</v>
      </c>
      <c r="AC29" s="34">
        <v>48.2</v>
      </c>
      <c r="AD29" s="40">
        <v>10.199999999999999</v>
      </c>
      <c r="AE29" s="4">
        <f>IF(H29="Senior",MAX(AA29,AC29),AA29+AC29)</f>
        <v>88.64</v>
      </c>
      <c r="AF29" s="34">
        <v>45.97</v>
      </c>
      <c r="AG29" s="37">
        <v>10.199999999999999</v>
      </c>
    </row>
    <row r="30" spans="1:33" x14ac:dyDescent="0.2">
      <c r="A30" s="1" t="str" cm="1">
        <f t="array" ref="A30">IF(I30="","",IF(P30&lt;&gt;"",SUMPRODUCT((P$3:P$107&lt;&gt;"")*(G$3:G$107=G30)*(J$3:J$107&gt;J30)*(I$3:I$107="P"))+1,IF(O30&lt;&gt;"",SUMPRODUCT((O$3:O$107&lt;&gt;"")*(P$3:P$107="")*(G$3:G$107=G30)*(J$3:J$107&gt;J30)*(I$3:I$107="P"))+SUMPRODUCT((P$3:P$107&lt;&gt;"")*(G$3:G$107=G30)*(I$3:I$107="P"))+1,IF(N30&lt;&gt;"",SUMPRODUCT((N$3:N$107&lt;&gt;"")*(G$3:G$107=G30)*(J$3:J$107&gt;J30)*(I$3:I$107="P"))+1,IF(M30="P",SUMPRODUCT((O$3:O$107&lt;&gt;"")*(P$3:P$107="")*(G$3:G$107=G30)*(I$3:I$107="P"))+SUMPRODUCT((P$3:P$107&lt;&gt;"")*(G$3:G$107=G30)*(I$3:I$107="P"))+SUMPRODUCT((N$3:N$107&lt;&gt;"")*(G$3:G$107=G30)*(I$3:I$107="P"))+SUMPRODUCT((P$3:P$107="")*(O$3:O$107="")*(N$3:N$107="")*(M$3:M$107="P")*(G$3:G$107=G30)*(J$3:J$107&gt;J30)*(I$3:I$107="P"))+IF(H30="L5",SUMPRODUCT((P$3:P$107="")*(O$3:O$107="")*(N$3:N$107="")*(M$3:M$107="P")*(G$3:G$107=G30)*(J$3:J$107&lt;J30)*(H$3:H$107&lt;&gt;H30)*(I$3:I$107="P")),-1*SUMPRODUCT((P$3:P$107="")*(O$3:O$107="")*(N$3:N$107="")*(M$3:M$107="P")*(G$3:G$107=G30)*(J$3:J$107&gt;J30)*(H$3:H$107="L5")*(I$3:I$107="P")))+1,"")))))</f>
        <v/>
      </c>
      <c r="B30" s="1" t="str" cm="1">
        <f t="array" ref="B30">IF(P30&lt;&gt;"",SUMPRODUCT((P$3:P$107&lt;&gt;"")*(G$3:G$107=G30)*(J$3:J$107&gt;J30))+1,IF(O30&lt;&gt;"",SUMPRODUCT((O$3:O$107&lt;&gt;"")*(P$3:P$107="")*(G$3:G$107=G30)*(J$3:J$107&gt;J30))+SUMPRODUCT((P$3:P$107&lt;&gt;"")*(G$3:G$107=G30))+1,IF(N30&lt;&gt;"",SUMPRODUCT((N$3:N$107&lt;&gt;"")*(G$3:G$107=G30)*(J$3:J$107&gt;J30))+1,IF(M30="P",SUMPRODUCT((O$3:O$107&lt;&gt;"")*(P$3:P$107="")*(G$3:G$107=G30))+SUMPRODUCT((P$3:P$107&lt;&gt;"")*(G$3:G$107=G30))+SUMPRODUCT((N$3:N$107&lt;&gt;"")*(G$3:G$107=G30))+SUMPRODUCT((P$3:P$107="")*(O$3:O$107="")*(N$3:N$107="")*(M$3:M$107="P")*(G$3:G$107=G30)*(J$3:J$107&gt;J30))+IF(H30="L5",SUMPRODUCT((P$3:P$107="")*(O$3:O$107="")*(N$3:N$107="")*(M$3:M$107="P")*(G$3:G$107=G30)*(J$3:J$107&lt;J30)*(H$3:H$107&lt;&gt;H30)),-1*SUMPRODUCT((P$3:P$107="")*(O$3:O$107="")*(N$3:N$107="")*(M$3:M$107="P")*(G$3:G$107=G30)*(J$3:J$107&gt;J30)*(H$3:H$107="L5")))+1,""))))</f>
        <v/>
      </c>
      <c r="C30" s="36" t="s">
        <v>92</v>
      </c>
      <c r="D30" s="36" t="str">
        <f>IF(E30="","",VLOOKUP(E30,'Coaching Points'!A:B,2,0))</f>
        <v>NB</v>
      </c>
      <c r="E30" s="36" t="s">
        <v>48</v>
      </c>
      <c r="F30" s="35">
        <v>2006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68</v>
      </c>
      <c r="I30" s="43"/>
      <c r="J30" s="4">
        <f>R30+S30+IF(OR(H30="Junior",H30="Senior"),0.0002,IF(OR(H30="L7",H30="L6"),0.0001,0))+IF(G30="17-21",MAX(AA30,AC30,AF30),AE30)*0.0000001</f>
        <v>93.910104696999994</v>
      </c>
      <c r="K30" s="3" t="str">
        <f>IF(G30="Not Age Eligible","",IF(G30="17-21",IF(MAX(T30,V30,Y30,AA30,AC30,AF30)&gt;=LOOKUP(G30,'Qualifying Scores'!$A$4:$A$7,'Qualifying Scores'!$B$4:$B$7),"P",""),IF(MAX(X30-U30,AE30-AB30)&gt;=LOOKUP(G30,'Qualifying Scores'!$A$4:$A$7,'Qualifying Scores'!$B$4:$B$7),"P","")))</f>
        <v/>
      </c>
      <c r="L30" s="3" t="str">
        <f>IF(G30="Not Age Eligible","",IF(G30="17-21",IF(MAX(U30,W30,Z30,AB30,AD30,AG30)&gt;=LOOKUP(G30,'Qualifying Scores'!$A$10:$A$13,'Qualifying Scores'!$B$10:$B$13),"P",""),IF(MAX(W30,AD30)&gt;=LOOKUP(G30,'Qualifying Scores'!$A$10:$A$13,'Qualifying Scores'!$B$10:$B$13),"P","")))</f>
        <v/>
      </c>
      <c r="M30" s="3" t="str">
        <f>IF(G30="Not Age Eligible","",IF(G30="17-21",IF(OR(AND(T30&gt;=LOOKUP(G30,'Qualifying Scores'!$A$4:$A$7,'Qualifying Scores'!$B$4:$B$7),U30&gt;=LOOKUP(G30,'Qualifying Scores'!$A$10:$A$13,'Qualifying Scores'!$B$10:$B$13)),AND(V30&gt;=LOOKUP(G30,'Qualifying Scores'!$A$4:$A$7,'Qualifying Scores'!$B$4:$B$7),W30&gt;=LOOKUP(G30,'Qualifying Scores'!$A$10:$A$13,'Qualifying Scores'!$B$10:$B$13)),AND(Y30&gt;=LOOKUP(G30,'Qualifying Scores'!$A$4:$A$7,'Qualifying Scores'!$B$4:$B$7),Z30&gt;=LOOKUP(G30,'Qualifying Scores'!$A$10:$A$13,'Qualifying Scores'!$B$10:$B$13)),AND(AA30&gt;=LOOKUP(G30,'Qualifying Scores'!$A$4:$A$7,'Qualifying Scores'!$B$4:$B$7),AB30&gt;=LOOKUP(G30,'Qualifying Scores'!$A$10:$A$13,'Qualifying Scores'!$B$10:$B$13)),AND(AC30&gt;=LOOKUP(G30,'Qualifying Scores'!$A$4:$A$7,'Qualifying Scores'!$B$4:$B$7),AD30&gt;=LOOKUP(G30,'Qualifying Scores'!$A$10:$A$13,'Qualifying Scores'!$B$10:$B$13)),AND(AF30&gt;=LOOKUP(G30,'Qualifying Scores'!$A$4:$A$7,'Qualifying Scores'!$B$4:$B$7),AG30&gt;=LOOKUP(G30,'Qualifying Scores'!$A$10:$A$13,'Qualifying Scores'!$B$10:$B$13))),"P",""),IF(OR(AND(X30-U30&gt;=LOOKUP(G30,'Qualifying Scores'!$A$4:$A$7,'Qualifying Scores'!$B$4:$B$7),W30&gt;=LOOKUP(G30,'Qualifying Scores'!$A$10:$A$13,'Qualifying Scores'!$B$10:$B$13)),AND(AE30-AB30&gt;=LOOKUP(G30,'Qualifying Scores'!$A$4:$A$7,'Qualifying Scores'!$B$4:$B$7),AD30&gt;=LOOKUP(G30,'Qualifying Scores'!$A$10:$A$13,'Qualifying Scores'!$B$10:$B$13))),"P","")))</f>
        <v/>
      </c>
      <c r="Q30" s="1" t="str">
        <f>IF(A30&lt;5,IF(_xlfn.MAXIFS(A:A,G:G,G30)&gt;3,5-A30,_xlfn.MAXIFS(A:A,G:G,G30)+1-A30),"")</f>
        <v/>
      </c>
      <c r="R30" s="4">
        <f>IF(G30="17-21",MAX(T30,V30,Y30,AA30,AC30,AF30),MAX(X30,AE30))</f>
        <v>46.97</v>
      </c>
      <c r="S30" s="4">
        <f>IF(G30="17-21",LARGE(CHOOSE({1,2,3,4,5,6},T30,V30,Y30,AA30,AC30,AF30),2),IF(R30=X30,MAX(Y30,AA30,AC30,AF30),IF(R30=AE30,MAX(AF30,T30,V30,Y30),0)))</f>
        <v>46.94</v>
      </c>
      <c r="T30" s="33">
        <v>32.46</v>
      </c>
      <c r="U30" s="40">
        <v>0</v>
      </c>
      <c r="V30" s="34">
        <v>46.94</v>
      </c>
      <c r="W30" s="40">
        <v>9.6</v>
      </c>
      <c r="X30" s="4">
        <f>IF(H30="Senior",MAX(T30,V30),T30+V30)</f>
        <v>79.400000000000006</v>
      </c>
      <c r="Y30" s="34"/>
      <c r="Z30" s="40"/>
      <c r="AA30" s="33">
        <v>46.97</v>
      </c>
      <c r="AB30" s="40">
        <v>10.4</v>
      </c>
      <c r="AC30" s="34">
        <v>0</v>
      </c>
      <c r="AD30" s="40">
        <v>0</v>
      </c>
      <c r="AE30" s="4">
        <f>IF(H30="Senior",MAX(AA30,AC30),AA30+AC30)</f>
        <v>46.97</v>
      </c>
      <c r="AF30" s="34"/>
      <c r="AG30" s="37"/>
    </row>
    <row r="31" spans="1:33" x14ac:dyDescent="0.2">
      <c r="A31" s="1" t="str" cm="1">
        <f t="array" ref="A31">IF(I31="","",IF(P31&lt;&gt;"",SUMPRODUCT((P$3:P$107&lt;&gt;"")*(G$3:G$107=G31)*(J$3:J$107&gt;J31)*(I$3:I$107="P"))+1,IF(O31&lt;&gt;"",SUMPRODUCT((O$3:O$107&lt;&gt;"")*(P$3:P$107="")*(G$3:G$107=G31)*(J$3:J$107&gt;J31)*(I$3:I$107="P"))+SUMPRODUCT((P$3:P$107&lt;&gt;"")*(G$3:G$107=G31)*(I$3:I$107="P"))+1,IF(N31&lt;&gt;"",SUMPRODUCT((N$3:N$107&lt;&gt;"")*(G$3:G$107=G31)*(J$3:J$107&gt;J31)*(I$3:I$107="P"))+1,IF(M31="P",SUMPRODUCT((O$3:O$107&lt;&gt;"")*(P$3:P$107="")*(G$3:G$107=G31)*(I$3:I$107="P"))+SUMPRODUCT((P$3:P$107&lt;&gt;"")*(G$3:G$107=G31)*(I$3:I$107="P"))+SUMPRODUCT((N$3:N$107&lt;&gt;"")*(G$3:G$107=G31)*(I$3:I$107="P"))+SUMPRODUCT((P$3:P$107="")*(O$3:O$107="")*(N$3:N$107="")*(M$3:M$107="P")*(G$3:G$107=G31)*(J$3:J$107&gt;J31)*(I$3:I$107="P"))+IF(H31="L5",SUMPRODUCT((P$3:P$107="")*(O$3:O$107="")*(N$3:N$107="")*(M$3:M$107="P")*(G$3:G$107=G31)*(J$3:J$107&lt;J31)*(H$3:H$107&lt;&gt;H31)*(I$3:I$107="P")),-1*SUMPRODUCT((P$3:P$107="")*(O$3:O$107="")*(N$3:N$107="")*(M$3:M$107="P")*(G$3:G$107=G31)*(J$3:J$107&gt;J31)*(H$3:H$107="L5")*(I$3:I$107="P")))+1,"")))))</f>
        <v/>
      </c>
      <c r="B31" s="1" t="str" cm="1">
        <f t="array" ref="B31">IF(P31&lt;&gt;"",SUMPRODUCT((P$3:P$107&lt;&gt;"")*(G$3:G$107=G31)*(J$3:J$107&gt;J31))+1,IF(O31&lt;&gt;"",SUMPRODUCT((O$3:O$107&lt;&gt;"")*(P$3:P$107="")*(G$3:G$107=G31)*(J$3:J$107&gt;J31))+SUMPRODUCT((P$3:P$107&lt;&gt;"")*(G$3:G$107=G31))+1,IF(N31&lt;&gt;"",SUMPRODUCT((N$3:N$107&lt;&gt;"")*(G$3:G$107=G31)*(J$3:J$107&gt;J31))+1,IF(M31="P",SUMPRODUCT((O$3:O$107&lt;&gt;"")*(P$3:P$107="")*(G$3:G$107=G31))+SUMPRODUCT((P$3:P$107&lt;&gt;"")*(G$3:G$107=G31))+SUMPRODUCT((N$3:N$107&lt;&gt;"")*(G$3:G$107=G31))+SUMPRODUCT((P$3:P$107="")*(O$3:O$107="")*(N$3:N$107="")*(M$3:M$107="P")*(G$3:G$107=G31)*(J$3:J$107&gt;J31))+IF(H31="L5",SUMPRODUCT((P$3:P$107="")*(O$3:O$107="")*(N$3:N$107="")*(M$3:M$107="P")*(G$3:G$107=G31)*(J$3:J$107&lt;J31)*(H$3:H$107&lt;&gt;H31)),-1*SUMPRODUCT((P$3:P$107="")*(O$3:O$107="")*(N$3:N$107="")*(M$3:M$107="P")*(G$3:G$107=G31)*(J$3:J$107&gt;J31)*(H$3:H$107="L5")))+1,""))))</f>
        <v/>
      </c>
      <c r="C31" t="s">
        <v>423</v>
      </c>
      <c r="D31" s="36" t="str">
        <f>IF(E31="","",VLOOKUP(E31,'Coaching Points'!A:B,2,0))</f>
        <v>AB</v>
      </c>
      <c r="E31" s="36" t="s">
        <v>64</v>
      </c>
      <c r="F31" s="35">
        <v>2004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>R31+S31+IF(OR(H31="Junior",H31="Senior"),0.0002,IF(OR(H31="L7",H31="L6"),0.0001,0))+IF(G31="17-21",MAX(AA31,AC31,AF31),AE31)*0.0000001</f>
        <v>93.910004778999991</v>
      </c>
      <c r="K31" s="3" t="str">
        <f>IF(G31="Not Age Eligible","",IF(G31="17-21",IF(MAX(T31,V31,Y31,AA31,AC31,AF31)&gt;=LOOKUP(G31,'Qualifying Scores'!$A$4:$A$7,'Qualifying Scores'!$B$4:$B$7),"P",""),IF(MAX(X31-U31,AE31-AB31)&gt;=LOOKUP(G31,'Qualifying Scores'!$A$4:$A$7,'Qualifying Scores'!$B$4:$B$7),"P","")))</f>
        <v/>
      </c>
      <c r="L31" s="3" t="str">
        <f>IF(G31="Not Age Eligible","",IF(G31="17-21",IF(MAX(U31,W31,Z31,AB31,AD31,AG31)&gt;=LOOKUP(G31,'Qualifying Scores'!$A$10:$A$13,'Qualifying Scores'!$B$10:$B$13),"P",""),IF(MAX(W31,AD31)&gt;=LOOKUP(G31,'Qualifying Scores'!$A$10:$A$13,'Qualifying Scores'!$B$10:$B$13),"P","")))</f>
        <v/>
      </c>
      <c r="M31" s="3" t="str">
        <f>IF(G31="Not Age Eligible","",IF(G31="17-21",IF(OR(AND(T31&gt;=LOOKUP(G31,'Qualifying Scores'!$A$4:$A$7,'Qualifying Scores'!$B$4:$B$7),U31&gt;=LOOKUP(G31,'Qualifying Scores'!$A$10:$A$13,'Qualifying Scores'!$B$10:$B$13)),AND(V31&gt;=LOOKUP(G31,'Qualifying Scores'!$A$4:$A$7,'Qualifying Scores'!$B$4:$B$7),W31&gt;=LOOKUP(G31,'Qualifying Scores'!$A$10:$A$13,'Qualifying Scores'!$B$10:$B$13)),AND(Y31&gt;=LOOKUP(G31,'Qualifying Scores'!$A$4:$A$7,'Qualifying Scores'!$B$4:$B$7),Z31&gt;=LOOKUP(G31,'Qualifying Scores'!$A$10:$A$13,'Qualifying Scores'!$B$10:$B$13)),AND(AA31&gt;=LOOKUP(G31,'Qualifying Scores'!$A$4:$A$7,'Qualifying Scores'!$B$4:$B$7),AB31&gt;=LOOKUP(G31,'Qualifying Scores'!$A$10:$A$13,'Qualifying Scores'!$B$10:$B$13)),AND(AC31&gt;=LOOKUP(G31,'Qualifying Scores'!$A$4:$A$7,'Qualifying Scores'!$B$4:$B$7),AD31&gt;=LOOKUP(G31,'Qualifying Scores'!$A$10:$A$13,'Qualifying Scores'!$B$10:$B$13)),AND(AF31&gt;=LOOKUP(G31,'Qualifying Scores'!$A$4:$A$7,'Qualifying Scores'!$B$4:$B$7),AG31&gt;=LOOKUP(G31,'Qualifying Scores'!$A$10:$A$13,'Qualifying Scores'!$B$10:$B$13))),"P",""),IF(OR(AND(X31-U31&gt;=LOOKUP(G31,'Qualifying Scores'!$A$4:$A$7,'Qualifying Scores'!$B$4:$B$7),W31&gt;=LOOKUP(G31,'Qualifying Scores'!$A$10:$A$13,'Qualifying Scores'!$B$10:$B$13)),AND(AE31-AB31&gt;=LOOKUP(G31,'Qualifying Scores'!$A$4:$A$7,'Qualifying Scores'!$B$4:$B$7),AD31&gt;=LOOKUP(G31,'Qualifying Scores'!$A$10:$A$13,'Qualifying Scores'!$B$10:$B$13))),"P","")))</f>
        <v/>
      </c>
      <c r="Q31" s="1" t="str">
        <f>IF(A31&lt;5,IF(_xlfn.MAXIFS(A:A,G:G,G31)&gt;3,5-A31,_xlfn.MAXIFS(A:A,G:G,G31)+1-A31),"")</f>
        <v/>
      </c>
      <c r="R31" s="4">
        <f>IF(G31="17-21",MAX(T31,V31,Y31,AA31,AC31,AF31),MAX(X31,AE31))</f>
        <v>47.79</v>
      </c>
      <c r="S31" s="4">
        <f>IF(G31="17-21",LARGE(CHOOSE({1,2,3,4,5,6},T31,V31,Y31,AA31,AC31,AF31),2),IF(R31=X31,MAX(Y31,AA31,AC31,AF31),IF(R31=AE31,MAX(AF31,T31,V31,Y31),0)))</f>
        <v>46.12</v>
      </c>
      <c r="T31" s="33"/>
      <c r="U31" s="40"/>
      <c r="V31" s="34"/>
      <c r="W31" s="40"/>
      <c r="X31" s="4">
        <f>IF(H31="Senior",MAX(T31,V31),T31+V31)</f>
        <v>0</v>
      </c>
      <c r="Y31" s="34"/>
      <c r="Z31" s="40"/>
      <c r="AA31" s="33">
        <v>39.299999999999997</v>
      </c>
      <c r="AB31" s="40">
        <v>0</v>
      </c>
      <c r="AC31" s="34">
        <v>47.79</v>
      </c>
      <c r="AD31" s="40">
        <v>9.8000000000000007</v>
      </c>
      <c r="AE31" s="4">
        <f>IF(H31="Senior",MAX(AA31,AC31),AA31+AC31)</f>
        <v>87.09</v>
      </c>
      <c r="AF31" s="34">
        <v>46.12</v>
      </c>
      <c r="AG31" s="37">
        <v>9.1999999999999993</v>
      </c>
    </row>
    <row r="32" spans="1:33" x14ac:dyDescent="0.2">
      <c r="A32" s="1" t="str" cm="1">
        <f t="array" ref="A32">IF(I32="","",IF(P32&lt;&gt;"",SUMPRODUCT((P$3:P$107&lt;&gt;"")*(G$3:G$107=G32)*(J$3:J$107&gt;J32)*(I$3:I$107="P"))+1,IF(O32&lt;&gt;"",SUMPRODUCT((O$3:O$107&lt;&gt;"")*(P$3:P$107="")*(G$3:G$107=G32)*(J$3:J$107&gt;J32)*(I$3:I$107="P"))+SUMPRODUCT((P$3:P$107&lt;&gt;"")*(G$3:G$107=G32)*(I$3:I$107="P"))+1,IF(N32&lt;&gt;"",SUMPRODUCT((N$3:N$107&lt;&gt;"")*(G$3:G$107=G32)*(J$3:J$107&gt;J32)*(I$3:I$107="P"))+1,IF(M32="P",SUMPRODUCT((O$3:O$107&lt;&gt;"")*(P$3:P$107="")*(G$3:G$107=G32)*(I$3:I$107="P"))+SUMPRODUCT((P$3:P$107&lt;&gt;"")*(G$3:G$107=G32)*(I$3:I$107="P"))+SUMPRODUCT((N$3:N$107&lt;&gt;"")*(G$3:G$107=G32)*(I$3:I$107="P"))+SUMPRODUCT((P$3:P$107="")*(O$3:O$107="")*(N$3:N$107="")*(M$3:M$107="P")*(G$3:G$107=G32)*(J$3:J$107&gt;J32)*(I$3:I$107="P"))+IF(H32="L5",SUMPRODUCT((P$3:P$107="")*(O$3:O$107="")*(N$3:N$107="")*(M$3:M$107="P")*(G$3:G$107=G32)*(J$3:J$107&lt;J32)*(H$3:H$107&lt;&gt;H32)*(I$3:I$107="P")),-1*SUMPRODUCT((P$3:P$107="")*(O$3:O$107="")*(N$3:N$107="")*(M$3:M$107="P")*(G$3:G$107=G32)*(J$3:J$107&gt;J32)*(H$3:H$107="L5")*(I$3:I$107="P")))+1,"")))))</f>
        <v/>
      </c>
      <c r="B32" s="1" t="str" cm="1">
        <f t="array" ref="B32">IF(P32&lt;&gt;"",SUMPRODUCT((P$3:P$107&lt;&gt;"")*(G$3:G$107=G32)*(J$3:J$107&gt;J32))+1,IF(O32&lt;&gt;"",SUMPRODUCT((O$3:O$107&lt;&gt;"")*(P$3:P$107="")*(G$3:G$107=G32)*(J$3:J$107&gt;J32))+SUMPRODUCT((P$3:P$107&lt;&gt;"")*(G$3:G$107=G32))+1,IF(N32&lt;&gt;"",SUMPRODUCT((N$3:N$107&lt;&gt;"")*(G$3:G$107=G32)*(J$3:J$107&gt;J32))+1,IF(M32="P",SUMPRODUCT((O$3:O$107&lt;&gt;"")*(P$3:P$107="")*(G$3:G$107=G32))+SUMPRODUCT((P$3:P$107&lt;&gt;"")*(G$3:G$107=G32))+SUMPRODUCT((N$3:N$107&lt;&gt;"")*(G$3:G$107=G32))+SUMPRODUCT((P$3:P$107="")*(O$3:O$107="")*(N$3:N$107="")*(M$3:M$107="P")*(G$3:G$107=G32)*(J$3:J$107&gt;J32))+IF(H32="L5",SUMPRODUCT((P$3:P$107="")*(O$3:O$107="")*(N$3:N$107="")*(M$3:M$107="P")*(G$3:G$107=G32)*(J$3:J$107&lt;J32)*(H$3:H$107&lt;&gt;H32)),-1*SUMPRODUCT((P$3:P$107="")*(O$3:O$107="")*(N$3:N$107="")*(M$3:M$107="P")*(G$3:G$107=G32)*(J$3:J$107&gt;J32)*(H$3:H$107="L5")))+1,""))))</f>
        <v/>
      </c>
      <c r="C32" s="36" t="s">
        <v>224</v>
      </c>
      <c r="D32" s="36" t="str">
        <f>IF(E32="","",VLOOKUP(E32,'Coaching Points'!A:B,2,0))</f>
        <v>ON</v>
      </c>
      <c r="E32" s="36" t="s">
        <v>283</v>
      </c>
      <c r="F32" s="35">
        <v>2006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66</v>
      </c>
      <c r="I32" s="43"/>
      <c r="J32" s="4">
        <f>R32+S32+IF(OR(H32="Junior",H32="Senior"),0.0002,IF(OR(H32="L7",H32="L6"),0.0001,0))+IF(G32="17-21",MAX(AA32,AC32,AF32),AE32)*0.0000001</f>
        <v>93.440004700000003</v>
      </c>
      <c r="K32" s="3" t="str">
        <f>IF(G32="Not Age Eligible","",IF(G32="17-21",IF(MAX(T32,V32,Y32,AA32,AC32,AF32)&gt;=LOOKUP(G32,'Qualifying Scores'!$A$4:$A$7,'Qualifying Scores'!$B$4:$B$7),"P",""),IF(MAX(X32-U32,AE32-AB32)&gt;=LOOKUP(G32,'Qualifying Scores'!$A$4:$A$7,'Qualifying Scores'!$B$4:$B$7),"P","")))</f>
        <v/>
      </c>
      <c r="L32" s="3" t="str">
        <f>IF(G32="Not Age Eligible","",IF(G32="17-21",IF(MAX(U32,W32,Z32,AB32,AD32,AG32)&gt;=LOOKUP(G32,'Qualifying Scores'!$A$10:$A$13,'Qualifying Scores'!$B$10:$B$13),"P",""),IF(MAX(W32,AD32)&gt;=LOOKUP(G32,'Qualifying Scores'!$A$10:$A$13,'Qualifying Scores'!$B$10:$B$13),"P","")))</f>
        <v/>
      </c>
      <c r="M32" s="3" t="str">
        <f>IF(G32="Not Age Eligible","",IF(G32="17-21",IF(OR(AND(T32&gt;=LOOKUP(G32,'Qualifying Scores'!$A$4:$A$7,'Qualifying Scores'!$B$4:$B$7),U32&gt;=LOOKUP(G32,'Qualifying Scores'!$A$10:$A$13,'Qualifying Scores'!$B$10:$B$13)),AND(V32&gt;=LOOKUP(G32,'Qualifying Scores'!$A$4:$A$7,'Qualifying Scores'!$B$4:$B$7),W32&gt;=LOOKUP(G32,'Qualifying Scores'!$A$10:$A$13,'Qualifying Scores'!$B$10:$B$13)),AND(Y32&gt;=LOOKUP(G32,'Qualifying Scores'!$A$4:$A$7,'Qualifying Scores'!$B$4:$B$7),Z32&gt;=LOOKUP(G32,'Qualifying Scores'!$A$10:$A$13,'Qualifying Scores'!$B$10:$B$13)),AND(AA32&gt;=LOOKUP(G32,'Qualifying Scores'!$A$4:$A$7,'Qualifying Scores'!$B$4:$B$7),AB32&gt;=LOOKUP(G32,'Qualifying Scores'!$A$10:$A$13,'Qualifying Scores'!$B$10:$B$13)),AND(AC32&gt;=LOOKUP(G32,'Qualifying Scores'!$A$4:$A$7,'Qualifying Scores'!$B$4:$B$7),AD32&gt;=LOOKUP(G32,'Qualifying Scores'!$A$10:$A$13,'Qualifying Scores'!$B$10:$B$13)),AND(AF32&gt;=LOOKUP(G32,'Qualifying Scores'!$A$4:$A$7,'Qualifying Scores'!$B$4:$B$7),AG32&gt;=LOOKUP(G32,'Qualifying Scores'!$A$10:$A$13,'Qualifying Scores'!$B$10:$B$13))),"P",""),IF(OR(AND(X32-U32&gt;=LOOKUP(G32,'Qualifying Scores'!$A$4:$A$7,'Qualifying Scores'!$B$4:$B$7),W32&gt;=LOOKUP(G32,'Qualifying Scores'!$A$10:$A$13,'Qualifying Scores'!$B$10:$B$13)),AND(AE32-AB32&gt;=LOOKUP(G32,'Qualifying Scores'!$A$4:$A$7,'Qualifying Scores'!$B$4:$B$7),AD32&gt;=LOOKUP(G32,'Qualifying Scores'!$A$10:$A$13,'Qualifying Scores'!$B$10:$B$13))),"P","")))</f>
        <v/>
      </c>
      <c r="Q32" s="1" t="str">
        <f>IF(A32&lt;5,IF(_xlfn.MAXIFS(A:A,G:G,G32)&gt;3,5-A32,_xlfn.MAXIFS(A:A,G:G,G32)+1-A32),"")</f>
        <v/>
      </c>
      <c r="R32" s="4">
        <f>IF(G32="17-21",MAX(T32,V32,Y32,AA32,AC32,AF32),MAX(X32,AE32))</f>
        <v>47</v>
      </c>
      <c r="S32" s="4">
        <f>IF(G32="17-21",LARGE(CHOOSE({1,2,3,4,5,6},T32,V32,Y32,AA32,AC32,AF32),2),IF(R32=X32,MAX(Y32,AA32,AC32,AF32),IF(R32=AE32,MAX(AF32,T32,V32,Y32),0)))</f>
        <v>46.44</v>
      </c>
      <c r="T32" s="33">
        <v>39.79</v>
      </c>
      <c r="U32" s="40">
        <v>0</v>
      </c>
      <c r="V32" s="34">
        <v>46.17</v>
      </c>
      <c r="W32" s="40">
        <v>9.1</v>
      </c>
      <c r="X32" s="4">
        <f>IF(H32="Senior",MAX(T32,V32),T32+V32)</f>
        <v>85.960000000000008</v>
      </c>
      <c r="Y32" s="34">
        <v>44.46</v>
      </c>
      <c r="Z32" s="40">
        <v>9.1</v>
      </c>
      <c r="AA32" s="33">
        <v>38.909999999999997</v>
      </c>
      <c r="AB32" s="40">
        <v>0</v>
      </c>
      <c r="AC32" s="34">
        <v>47</v>
      </c>
      <c r="AD32" s="40">
        <v>9.6</v>
      </c>
      <c r="AE32" s="4">
        <f>IF(H32="Senior",MAX(AA32,AC32),AA32+AC32)</f>
        <v>85.91</v>
      </c>
      <c r="AF32" s="34">
        <v>46.44</v>
      </c>
      <c r="AG32" s="37">
        <v>9.4</v>
      </c>
    </row>
    <row r="33" spans="1:33" x14ac:dyDescent="0.2">
      <c r="A33" s="1" t="str" cm="1">
        <f t="array" ref="A33">IF(I33="","",IF(P33&lt;&gt;"",SUMPRODUCT((P$3:P$107&lt;&gt;"")*(G$3:G$107=G33)*(J$3:J$107&gt;J33)*(I$3:I$107="P"))+1,IF(O33&lt;&gt;"",SUMPRODUCT((O$3:O$107&lt;&gt;"")*(P$3:P$107="")*(G$3:G$107=G33)*(J$3:J$107&gt;J33)*(I$3:I$107="P"))+SUMPRODUCT((P$3:P$107&lt;&gt;"")*(G$3:G$107=G33)*(I$3:I$107="P"))+1,IF(N33&lt;&gt;"",SUMPRODUCT((N$3:N$107&lt;&gt;"")*(G$3:G$107=G33)*(J$3:J$107&gt;J33)*(I$3:I$107="P"))+1,IF(M33="P",SUMPRODUCT((O$3:O$107&lt;&gt;"")*(P$3:P$107="")*(G$3:G$107=G33)*(I$3:I$107="P"))+SUMPRODUCT((P$3:P$107&lt;&gt;"")*(G$3:G$107=G33)*(I$3:I$107="P"))+SUMPRODUCT((N$3:N$107&lt;&gt;"")*(G$3:G$107=G33)*(I$3:I$107="P"))+SUMPRODUCT((P$3:P$107="")*(O$3:O$107="")*(N$3:N$107="")*(M$3:M$107="P")*(G$3:G$107=G33)*(J$3:J$107&gt;J33)*(I$3:I$107="P"))+IF(H33="L5",SUMPRODUCT((P$3:P$107="")*(O$3:O$107="")*(N$3:N$107="")*(M$3:M$107="P")*(G$3:G$107=G33)*(J$3:J$107&lt;J33)*(H$3:H$107&lt;&gt;H33)*(I$3:I$107="P")),-1*SUMPRODUCT((P$3:P$107="")*(O$3:O$107="")*(N$3:N$107="")*(M$3:M$107="P")*(G$3:G$107=G33)*(J$3:J$107&gt;J33)*(H$3:H$107="L5")*(I$3:I$107="P")))+1,"")))))</f>
        <v/>
      </c>
      <c r="B33" s="1" t="str" cm="1">
        <f t="array" ref="B33">IF(P33&lt;&gt;"",SUMPRODUCT((P$3:P$107&lt;&gt;"")*(G$3:G$107=G33)*(J$3:J$107&gt;J33))+1,IF(O33&lt;&gt;"",SUMPRODUCT((O$3:O$107&lt;&gt;"")*(P$3:P$107="")*(G$3:G$107=G33)*(J$3:J$107&gt;J33))+SUMPRODUCT((P$3:P$107&lt;&gt;"")*(G$3:G$107=G33))+1,IF(N33&lt;&gt;"",SUMPRODUCT((N$3:N$107&lt;&gt;"")*(G$3:G$107=G33)*(J$3:J$107&gt;J33))+1,IF(M33="P",SUMPRODUCT((O$3:O$107&lt;&gt;"")*(P$3:P$107="")*(G$3:G$107=G33))+SUMPRODUCT((P$3:P$107&lt;&gt;"")*(G$3:G$107=G33))+SUMPRODUCT((N$3:N$107&lt;&gt;"")*(G$3:G$107=G33))+SUMPRODUCT((P$3:P$107="")*(O$3:O$107="")*(N$3:N$107="")*(M$3:M$107="P")*(G$3:G$107=G33)*(J$3:J$107&gt;J33))+IF(H33="L5",SUMPRODUCT((P$3:P$107="")*(O$3:O$107="")*(N$3:N$107="")*(M$3:M$107="P")*(G$3:G$107=G33)*(J$3:J$107&lt;J33)*(H$3:H$107&lt;&gt;H33)),-1*SUMPRODUCT((P$3:P$107="")*(O$3:O$107="")*(N$3:N$107="")*(M$3:M$107="P")*(G$3:G$107=G33)*(J$3:J$107&gt;J33)*(H$3:H$107="L5")))+1,""))))</f>
        <v/>
      </c>
      <c r="C33" s="36" t="s">
        <v>94</v>
      </c>
      <c r="D33" s="36" t="str">
        <f>IF(E33="","",VLOOKUP(E33,'Coaching Points'!A:B,2,0))</f>
        <v>ON</v>
      </c>
      <c r="E33" s="36" t="s">
        <v>38</v>
      </c>
      <c r="F33" s="35">
        <v>2004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68</v>
      </c>
      <c r="I33" s="43"/>
      <c r="J33" s="4">
        <f>R33+S33+IF(OR(H33="Junior",H33="Senior"),0.0002,IF(OR(H33="L7",H33="L6"),0.0001,0))+IF(G33="17-21",MAX(AA33,AC33,AF33),AE33)*0.0000001</f>
        <v>92.910104751000006</v>
      </c>
      <c r="K33" s="3" t="str">
        <f>IF(G33="Not Age Eligible","",IF(G33="17-21",IF(MAX(T33,V33,Y33,AA33,AC33,AF33)&gt;=LOOKUP(G33,'Qualifying Scores'!$A$4:$A$7,'Qualifying Scores'!$B$4:$B$7),"P",""),IF(MAX(X33-U33,AE33-AB33)&gt;=LOOKUP(G33,'Qualifying Scores'!$A$4:$A$7,'Qualifying Scores'!$B$4:$B$7),"P","")))</f>
        <v/>
      </c>
      <c r="L33" s="3" t="str">
        <f>IF(G33="Not Age Eligible","",IF(G33="17-21",IF(MAX(U33,W33,Z33,AB33,AD33,AG33)&gt;=LOOKUP(G33,'Qualifying Scores'!$A$10:$A$13,'Qualifying Scores'!$B$10:$B$13),"P",""),IF(MAX(W33,AD33)&gt;=LOOKUP(G33,'Qualifying Scores'!$A$10:$A$13,'Qualifying Scores'!$B$10:$B$13),"P","")))</f>
        <v/>
      </c>
      <c r="M33" s="3" t="str">
        <f>IF(G33="Not Age Eligible","",IF(G33="17-21",IF(OR(AND(T33&gt;=LOOKUP(G33,'Qualifying Scores'!$A$4:$A$7,'Qualifying Scores'!$B$4:$B$7),U33&gt;=LOOKUP(G33,'Qualifying Scores'!$A$10:$A$13,'Qualifying Scores'!$B$10:$B$13)),AND(V33&gt;=LOOKUP(G33,'Qualifying Scores'!$A$4:$A$7,'Qualifying Scores'!$B$4:$B$7),W33&gt;=LOOKUP(G33,'Qualifying Scores'!$A$10:$A$13,'Qualifying Scores'!$B$10:$B$13)),AND(Y33&gt;=LOOKUP(G33,'Qualifying Scores'!$A$4:$A$7,'Qualifying Scores'!$B$4:$B$7),Z33&gt;=LOOKUP(G33,'Qualifying Scores'!$A$10:$A$13,'Qualifying Scores'!$B$10:$B$13)),AND(AA33&gt;=LOOKUP(G33,'Qualifying Scores'!$A$4:$A$7,'Qualifying Scores'!$B$4:$B$7),AB33&gt;=LOOKUP(G33,'Qualifying Scores'!$A$10:$A$13,'Qualifying Scores'!$B$10:$B$13)),AND(AC33&gt;=LOOKUP(G33,'Qualifying Scores'!$A$4:$A$7,'Qualifying Scores'!$B$4:$B$7),AD33&gt;=LOOKUP(G33,'Qualifying Scores'!$A$10:$A$13,'Qualifying Scores'!$B$10:$B$13)),AND(AF33&gt;=LOOKUP(G33,'Qualifying Scores'!$A$4:$A$7,'Qualifying Scores'!$B$4:$B$7),AG33&gt;=LOOKUP(G33,'Qualifying Scores'!$A$10:$A$13,'Qualifying Scores'!$B$10:$B$13))),"P",""),IF(OR(AND(X33-U33&gt;=LOOKUP(G33,'Qualifying Scores'!$A$4:$A$7,'Qualifying Scores'!$B$4:$B$7),W33&gt;=LOOKUP(G33,'Qualifying Scores'!$A$10:$A$13,'Qualifying Scores'!$B$10:$B$13)),AND(AE33-AB33&gt;=LOOKUP(G33,'Qualifying Scores'!$A$4:$A$7,'Qualifying Scores'!$B$4:$B$7),AD33&gt;=LOOKUP(G33,'Qualifying Scores'!$A$10:$A$13,'Qualifying Scores'!$B$10:$B$13))),"P","")))</f>
        <v/>
      </c>
      <c r="Q33" s="1" t="str">
        <f>IF(A33&lt;5,IF(_xlfn.MAXIFS(A:A,G:G,G33)&gt;3,5-A33,_xlfn.MAXIFS(A:A,G:G,G33)+1-A33),"")</f>
        <v/>
      </c>
      <c r="R33" s="4">
        <f>IF(G33="17-21",MAX(T33,V33,Y33,AA33,AC33,AF33),MAX(X33,AE33))</f>
        <v>47.51</v>
      </c>
      <c r="S33" s="4">
        <f>IF(G33="17-21",LARGE(CHOOSE({1,2,3,4,5,6},T33,V33,Y33,AA33,AC33,AF33),2),IF(R33=X33,MAX(Y33,AA33,AC33,AF33),IF(R33=AE33,MAX(AF33,T33,V33,Y33),0)))</f>
        <v>45.4</v>
      </c>
      <c r="T33" s="33">
        <v>45.4</v>
      </c>
      <c r="U33" s="40">
        <v>9.9</v>
      </c>
      <c r="V33" s="34">
        <v>10.33</v>
      </c>
      <c r="W33" s="40">
        <v>2.9</v>
      </c>
      <c r="X33" s="4">
        <f>IF(H33="Senior",MAX(T33,V33),T33+V33)</f>
        <v>55.73</v>
      </c>
      <c r="Y33" s="34"/>
      <c r="Z33" s="40"/>
      <c r="AA33" s="33">
        <v>47.51</v>
      </c>
      <c r="AB33" s="40">
        <v>11.1</v>
      </c>
      <c r="AC33" s="34">
        <v>9.7899999999999991</v>
      </c>
      <c r="AD33" s="40">
        <v>2</v>
      </c>
      <c r="AE33" s="4">
        <f>IF(H33="Senior",MAX(AA33,AC33),AA33+AC33)</f>
        <v>57.3</v>
      </c>
      <c r="AF33" s="34"/>
      <c r="AG33" s="37"/>
    </row>
    <row r="34" spans="1:33" x14ac:dyDescent="0.2">
      <c r="A34" s="1" t="str" cm="1">
        <f t="array" ref="A34">IF(I34="","",IF(P34&lt;&gt;"",SUMPRODUCT((P$3:P$107&lt;&gt;"")*(G$3:G$107=G34)*(J$3:J$107&gt;J34)*(I$3:I$107="P"))+1,IF(O34&lt;&gt;"",SUMPRODUCT((O$3:O$107&lt;&gt;"")*(P$3:P$107="")*(G$3:G$107=G34)*(J$3:J$107&gt;J34)*(I$3:I$107="P"))+SUMPRODUCT((P$3:P$107&lt;&gt;"")*(G$3:G$107=G34)*(I$3:I$107="P"))+1,IF(N34&lt;&gt;"",SUMPRODUCT((N$3:N$107&lt;&gt;"")*(G$3:G$107=G34)*(J$3:J$107&gt;J34)*(I$3:I$107="P"))+1,IF(M34="P",SUMPRODUCT((O$3:O$107&lt;&gt;"")*(P$3:P$107="")*(G$3:G$107=G34)*(I$3:I$107="P"))+SUMPRODUCT((P$3:P$107&lt;&gt;"")*(G$3:G$107=G34)*(I$3:I$107="P"))+SUMPRODUCT((N$3:N$107&lt;&gt;"")*(G$3:G$107=G34)*(I$3:I$107="P"))+SUMPRODUCT((P$3:P$107="")*(O$3:O$107="")*(N$3:N$107="")*(M$3:M$107="P")*(G$3:G$107=G34)*(J$3:J$107&gt;J34)*(I$3:I$107="P"))+IF(H34="L5",SUMPRODUCT((P$3:P$107="")*(O$3:O$107="")*(N$3:N$107="")*(M$3:M$107="P")*(G$3:G$107=G34)*(J$3:J$107&lt;J34)*(H$3:H$107&lt;&gt;H34)*(I$3:I$107="P")),-1*SUMPRODUCT((P$3:P$107="")*(O$3:O$107="")*(N$3:N$107="")*(M$3:M$107="P")*(G$3:G$107=G34)*(J$3:J$107&gt;J34)*(H$3:H$107="L5")*(I$3:I$107="P")))+1,"")))))</f>
        <v/>
      </c>
      <c r="B34" s="1" t="str" cm="1">
        <f t="array" ref="B34">IF(P34&lt;&gt;"",SUMPRODUCT((P$3:P$107&lt;&gt;"")*(G$3:G$107=G34)*(J$3:J$107&gt;J34))+1,IF(O34&lt;&gt;"",SUMPRODUCT((O$3:O$107&lt;&gt;"")*(P$3:P$107="")*(G$3:G$107=G34)*(J$3:J$107&gt;J34))+SUMPRODUCT((P$3:P$107&lt;&gt;"")*(G$3:G$107=G34))+1,IF(N34&lt;&gt;"",SUMPRODUCT((N$3:N$107&lt;&gt;"")*(G$3:G$107=G34)*(J$3:J$107&gt;J34))+1,IF(M34="P",SUMPRODUCT((O$3:O$107&lt;&gt;"")*(P$3:P$107="")*(G$3:G$107=G34))+SUMPRODUCT((P$3:P$107&lt;&gt;"")*(G$3:G$107=G34))+SUMPRODUCT((N$3:N$107&lt;&gt;"")*(G$3:G$107=G34))+SUMPRODUCT((P$3:P$107="")*(O$3:O$107="")*(N$3:N$107="")*(M$3:M$107="P")*(G$3:G$107=G34)*(J$3:J$107&gt;J34))+IF(H34="L5",SUMPRODUCT((P$3:P$107="")*(O$3:O$107="")*(N$3:N$107="")*(M$3:M$107="P")*(G$3:G$107=G34)*(J$3:J$107&lt;J34)*(H$3:H$107&lt;&gt;H34)),-1*SUMPRODUCT((P$3:P$107="")*(O$3:O$107="")*(N$3:N$107="")*(M$3:M$107="P")*(G$3:G$107=G34)*(J$3:J$107&gt;J34)*(H$3:H$107="L5")))+1,""))))</f>
        <v/>
      </c>
      <c r="C34" s="36" t="s">
        <v>75</v>
      </c>
      <c r="D34" s="36" t="str">
        <f>IF(E34="","",VLOOKUP(E34,'Coaching Points'!A:B,2,0))</f>
        <v>ON</v>
      </c>
      <c r="E34" s="36" t="s">
        <v>71</v>
      </c>
      <c r="F34" s="35">
        <v>2006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68</v>
      </c>
      <c r="I34" s="43" t="s">
        <v>567</v>
      </c>
      <c r="J34" s="4">
        <f>R34+S34+IF(OR(H34="Junior",H34="Senior"),0.0002,IF(OR(H34="L7",H34="L6"),0.0001,0))+IF(G34="17-21",MAX(AA34,AC34,AF34),AE34)*0.0000001</f>
        <v>92.750104323000002</v>
      </c>
      <c r="K34" s="3" t="str">
        <f>IF(G34="Not Age Eligible","",IF(G34="17-21",IF(MAX(T34,V34,Y34,AA34,AC34,AF34)&gt;=LOOKUP(G34,'Qualifying Scores'!$A$4:$A$7,'Qualifying Scores'!$B$4:$B$7),"P",""),IF(MAX(X34-U34,AE34-AB34)&gt;=LOOKUP(G34,'Qualifying Scores'!$A$4:$A$7,'Qualifying Scores'!$B$4:$B$7),"P","")))</f>
        <v/>
      </c>
      <c r="L34" s="3" t="str">
        <f>IF(G34="Not Age Eligible","",IF(G34="17-21",IF(MAX(U34,W34,Z34,AB34,AD34,AG34)&gt;=LOOKUP(G34,'Qualifying Scores'!$A$10:$A$13,'Qualifying Scores'!$B$10:$B$13),"P",""),IF(MAX(W34,AD34)&gt;=LOOKUP(G34,'Qualifying Scores'!$A$10:$A$13,'Qualifying Scores'!$B$10:$B$13),"P","")))</f>
        <v/>
      </c>
      <c r="M34" s="3" t="str">
        <f>IF(G34="Not Age Eligible","",IF(G34="17-21",IF(OR(AND(T34&gt;=LOOKUP(G34,'Qualifying Scores'!$A$4:$A$7,'Qualifying Scores'!$B$4:$B$7),U34&gt;=LOOKUP(G34,'Qualifying Scores'!$A$10:$A$13,'Qualifying Scores'!$B$10:$B$13)),AND(V34&gt;=LOOKUP(G34,'Qualifying Scores'!$A$4:$A$7,'Qualifying Scores'!$B$4:$B$7),W34&gt;=LOOKUP(G34,'Qualifying Scores'!$A$10:$A$13,'Qualifying Scores'!$B$10:$B$13)),AND(Y34&gt;=LOOKUP(G34,'Qualifying Scores'!$A$4:$A$7,'Qualifying Scores'!$B$4:$B$7),Z34&gt;=LOOKUP(G34,'Qualifying Scores'!$A$10:$A$13,'Qualifying Scores'!$B$10:$B$13)),AND(AA34&gt;=LOOKUP(G34,'Qualifying Scores'!$A$4:$A$7,'Qualifying Scores'!$B$4:$B$7),AB34&gt;=LOOKUP(G34,'Qualifying Scores'!$A$10:$A$13,'Qualifying Scores'!$B$10:$B$13)),AND(AC34&gt;=LOOKUP(G34,'Qualifying Scores'!$A$4:$A$7,'Qualifying Scores'!$B$4:$B$7),AD34&gt;=LOOKUP(G34,'Qualifying Scores'!$A$10:$A$13,'Qualifying Scores'!$B$10:$B$13)),AND(AF34&gt;=LOOKUP(G34,'Qualifying Scores'!$A$4:$A$7,'Qualifying Scores'!$B$4:$B$7),AG34&gt;=LOOKUP(G34,'Qualifying Scores'!$A$10:$A$13,'Qualifying Scores'!$B$10:$B$13))),"P",""),IF(OR(AND(X34-U34&gt;=LOOKUP(G34,'Qualifying Scores'!$A$4:$A$7,'Qualifying Scores'!$B$4:$B$7),W34&gt;=LOOKUP(G34,'Qualifying Scores'!$A$10:$A$13,'Qualifying Scores'!$B$10:$B$13)),AND(AE34-AB34&gt;=LOOKUP(G34,'Qualifying Scores'!$A$4:$A$7,'Qualifying Scores'!$B$4:$B$7),AD34&gt;=LOOKUP(G34,'Qualifying Scores'!$A$10:$A$13,'Qualifying Scores'!$B$10:$B$13))),"P","")))</f>
        <v/>
      </c>
      <c r="Q34" s="1" t="str">
        <f>IF(A34&lt;5,IF(_xlfn.MAXIFS(A:A,G:G,G34)&gt;3,5-A34,_xlfn.MAXIFS(A:A,G:G,G34)+1-A34),"")</f>
        <v/>
      </c>
      <c r="R34" s="4">
        <f>IF(G34="17-21",MAX(T34,V34,Y34,AA34,AC34,AF34),MAX(X34,AE34))</f>
        <v>48.07</v>
      </c>
      <c r="S34" s="4">
        <f>IF(G34="17-21",LARGE(CHOOSE({1,2,3,4,5,6},T34,V34,Y34,AA34,AC34,AF34),2),IF(R34=X34,MAX(Y34,AA34,AC34,AF34),IF(R34=AE34,MAX(AF34,T34,V34,Y34),0)))</f>
        <v>44.68</v>
      </c>
      <c r="T34" s="33">
        <v>44.68</v>
      </c>
      <c r="U34" s="40">
        <v>8.6999999999999993</v>
      </c>
      <c r="V34" s="34">
        <v>48.07</v>
      </c>
      <c r="W34" s="40">
        <v>9.6</v>
      </c>
      <c r="X34" s="4">
        <f>IF(H34="Senior",MAX(T34,V34),T34+V34)</f>
        <v>92.75</v>
      </c>
      <c r="Y34" s="34"/>
      <c r="Z34" s="40"/>
      <c r="AA34" s="33">
        <v>39.090000000000003</v>
      </c>
      <c r="AB34" s="40">
        <v>10</v>
      </c>
      <c r="AC34" s="34">
        <v>43.23</v>
      </c>
      <c r="AD34" s="40">
        <v>10.9</v>
      </c>
      <c r="AE34" s="4">
        <f>IF(H34="Senior",MAX(AA34,AC34),AA34+AC34)</f>
        <v>82.32</v>
      </c>
      <c r="AF34" s="34"/>
      <c r="AG34" s="37"/>
    </row>
    <row r="35" spans="1:33" x14ac:dyDescent="0.2">
      <c r="A35" s="1" t="str" cm="1">
        <f t="array" ref="A35">IF(I35="","",IF(P35&lt;&gt;"",SUMPRODUCT((P$3:P$107&lt;&gt;"")*(G$3:G$107=G35)*(J$3:J$107&gt;J35)*(I$3:I$107="P"))+1,IF(O35&lt;&gt;"",SUMPRODUCT((O$3:O$107&lt;&gt;"")*(P$3:P$107="")*(G$3:G$107=G35)*(J$3:J$107&gt;J35)*(I$3:I$107="P"))+SUMPRODUCT((P$3:P$107&lt;&gt;"")*(G$3:G$107=G35)*(I$3:I$107="P"))+1,IF(N35&lt;&gt;"",SUMPRODUCT((N$3:N$107&lt;&gt;"")*(G$3:G$107=G35)*(J$3:J$107&gt;J35)*(I$3:I$107="P"))+1,IF(M35="P",SUMPRODUCT((O$3:O$107&lt;&gt;"")*(P$3:P$107="")*(G$3:G$107=G35)*(I$3:I$107="P"))+SUMPRODUCT((P$3:P$107&lt;&gt;"")*(G$3:G$107=G35)*(I$3:I$107="P"))+SUMPRODUCT((N$3:N$107&lt;&gt;"")*(G$3:G$107=G35)*(I$3:I$107="P"))+SUMPRODUCT((P$3:P$107="")*(O$3:O$107="")*(N$3:N$107="")*(M$3:M$107="P")*(G$3:G$107=G35)*(J$3:J$107&gt;J35)*(I$3:I$107="P"))+IF(H35="L5",SUMPRODUCT((P$3:P$107="")*(O$3:O$107="")*(N$3:N$107="")*(M$3:M$107="P")*(G$3:G$107=G35)*(J$3:J$107&lt;J35)*(H$3:H$107&lt;&gt;H35)*(I$3:I$107="P")),-1*SUMPRODUCT((P$3:P$107="")*(O$3:O$107="")*(N$3:N$107="")*(M$3:M$107="P")*(G$3:G$107=G35)*(J$3:J$107&gt;J35)*(H$3:H$107="L5")*(I$3:I$107="P")))+1,"")))))</f>
        <v/>
      </c>
      <c r="B35" s="1" t="str" cm="1">
        <f t="array" ref="B35">IF(P35&lt;&gt;"",SUMPRODUCT((P$3:P$107&lt;&gt;"")*(G$3:G$107=G35)*(J$3:J$107&gt;J35))+1,IF(O35&lt;&gt;"",SUMPRODUCT((O$3:O$107&lt;&gt;"")*(P$3:P$107="")*(G$3:G$107=G35)*(J$3:J$107&gt;J35))+SUMPRODUCT((P$3:P$107&lt;&gt;"")*(G$3:G$107=G35))+1,IF(N35&lt;&gt;"",SUMPRODUCT((N$3:N$107&lt;&gt;"")*(G$3:G$107=G35)*(J$3:J$107&gt;J35))+1,IF(M35="P",SUMPRODUCT((O$3:O$107&lt;&gt;"")*(P$3:P$107="")*(G$3:G$107=G35))+SUMPRODUCT((P$3:P$107&lt;&gt;"")*(G$3:G$107=G35))+SUMPRODUCT((N$3:N$107&lt;&gt;"")*(G$3:G$107=G35))+SUMPRODUCT((P$3:P$107="")*(O$3:O$107="")*(N$3:N$107="")*(M$3:M$107="P")*(G$3:G$107=G35)*(J$3:J$107&gt;J35))+IF(H35="L5",SUMPRODUCT((P$3:P$107="")*(O$3:O$107="")*(N$3:N$107="")*(M$3:M$107="P")*(G$3:G$107=G35)*(J$3:J$107&lt;J35)*(H$3:H$107&lt;&gt;H35)),-1*SUMPRODUCT((P$3:P$107="")*(O$3:O$107="")*(N$3:N$107="")*(M$3:M$107="P")*(G$3:G$107=G35)*(J$3:J$107&gt;J35)*(H$3:H$107="L5")))+1,""))))</f>
        <v/>
      </c>
      <c r="C35" t="s">
        <v>424</v>
      </c>
      <c r="D35" s="36" t="str">
        <f>IF(E35="","",VLOOKUP(E35,'Coaching Points'!A:B,2,0))</f>
        <v>ON</v>
      </c>
      <c r="E35" s="36" t="s">
        <v>113</v>
      </c>
      <c r="F35" s="35">
        <v>2005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66</v>
      </c>
      <c r="I35" s="43"/>
      <c r="J35" s="4">
        <f>R35+S35+IF(OR(H35="Junior",H35="Senior"),0.0002,IF(OR(H35="L7",H35="L6"),0.0001,0))+IF(G35="17-21",MAX(AA35,AC35,AF35),AE35)*0.0000001</f>
        <v>92.530004727999994</v>
      </c>
      <c r="K35" s="3" t="str">
        <f>IF(G35="Not Age Eligible","",IF(G35="17-21",IF(MAX(T35,V35,Y35,AA35,AC35,AF35)&gt;=LOOKUP(G35,'Qualifying Scores'!$A$4:$A$7,'Qualifying Scores'!$B$4:$B$7),"P",""),IF(MAX(X35-U35,AE35-AB35)&gt;=LOOKUP(G35,'Qualifying Scores'!$A$4:$A$7,'Qualifying Scores'!$B$4:$B$7),"P","")))</f>
        <v/>
      </c>
      <c r="L35" s="3" t="str">
        <f>IF(G35="Not Age Eligible","",IF(G35="17-21",IF(MAX(U35,W35,Z35,AB35,AD35,AG35)&gt;=LOOKUP(G35,'Qualifying Scores'!$A$10:$A$13,'Qualifying Scores'!$B$10:$B$13),"P",""),IF(MAX(W35,AD35)&gt;=LOOKUP(G35,'Qualifying Scores'!$A$10:$A$13,'Qualifying Scores'!$B$10:$B$13),"P","")))</f>
        <v/>
      </c>
      <c r="M35" s="3" t="str">
        <f>IF(G35="Not Age Eligible","",IF(G35="17-21",IF(OR(AND(T35&gt;=LOOKUP(G35,'Qualifying Scores'!$A$4:$A$7,'Qualifying Scores'!$B$4:$B$7),U35&gt;=LOOKUP(G35,'Qualifying Scores'!$A$10:$A$13,'Qualifying Scores'!$B$10:$B$13)),AND(V35&gt;=LOOKUP(G35,'Qualifying Scores'!$A$4:$A$7,'Qualifying Scores'!$B$4:$B$7),W35&gt;=LOOKUP(G35,'Qualifying Scores'!$A$10:$A$13,'Qualifying Scores'!$B$10:$B$13)),AND(Y35&gt;=LOOKUP(G35,'Qualifying Scores'!$A$4:$A$7,'Qualifying Scores'!$B$4:$B$7),Z35&gt;=LOOKUP(G35,'Qualifying Scores'!$A$10:$A$13,'Qualifying Scores'!$B$10:$B$13)),AND(AA35&gt;=LOOKUP(G35,'Qualifying Scores'!$A$4:$A$7,'Qualifying Scores'!$B$4:$B$7),AB35&gt;=LOOKUP(G35,'Qualifying Scores'!$A$10:$A$13,'Qualifying Scores'!$B$10:$B$13)),AND(AC35&gt;=LOOKUP(G35,'Qualifying Scores'!$A$4:$A$7,'Qualifying Scores'!$B$4:$B$7),AD35&gt;=LOOKUP(G35,'Qualifying Scores'!$A$10:$A$13,'Qualifying Scores'!$B$10:$B$13)),AND(AF35&gt;=LOOKUP(G35,'Qualifying Scores'!$A$4:$A$7,'Qualifying Scores'!$B$4:$B$7),AG35&gt;=LOOKUP(G35,'Qualifying Scores'!$A$10:$A$13,'Qualifying Scores'!$B$10:$B$13))),"P",""),IF(OR(AND(X35-U35&gt;=LOOKUP(G35,'Qualifying Scores'!$A$4:$A$7,'Qualifying Scores'!$B$4:$B$7),W35&gt;=LOOKUP(G35,'Qualifying Scores'!$A$10:$A$13,'Qualifying Scores'!$B$10:$B$13)),AND(AE35-AB35&gt;=LOOKUP(G35,'Qualifying Scores'!$A$4:$A$7,'Qualifying Scores'!$B$4:$B$7),AD35&gt;=LOOKUP(G35,'Qualifying Scores'!$A$10:$A$13,'Qualifying Scores'!$B$10:$B$13))),"P","")))</f>
        <v/>
      </c>
      <c r="Q35" s="1" t="str">
        <f>IF(A35&lt;5,IF(_xlfn.MAXIFS(A:A,G:G,G35)&gt;3,5-A35,_xlfn.MAXIFS(A:A,G:G,G35)+1-A35),"")</f>
        <v/>
      </c>
      <c r="R35" s="4">
        <f>IF(G35="17-21",MAX(T35,V35,Y35,AA35,AC35,AF35),MAX(X35,AE35))</f>
        <v>47.28</v>
      </c>
      <c r="S35" s="4">
        <f>IF(G35="17-21",LARGE(CHOOSE({1,2,3,4,5,6},T35,V35,Y35,AA35,AC35,AF35),2),IF(R35=X35,MAX(Y35,AA35,AC35,AF35),IF(R35=AE35,MAX(AF35,T35,V35,Y35),0)))</f>
        <v>45.25</v>
      </c>
      <c r="T35" s="33"/>
      <c r="U35" s="40"/>
      <c r="V35" s="34"/>
      <c r="W35" s="40"/>
      <c r="X35" s="4">
        <f>IF(H35="Senior",MAX(T35,V35),T35+V35)</f>
        <v>0</v>
      </c>
      <c r="Y35" s="34"/>
      <c r="Z35" s="40"/>
      <c r="AA35" s="33">
        <v>38.82</v>
      </c>
      <c r="AB35" s="40">
        <v>0</v>
      </c>
      <c r="AC35" s="34">
        <v>47.28</v>
      </c>
      <c r="AD35" s="40">
        <v>9.6</v>
      </c>
      <c r="AE35" s="4">
        <f>IF(H35="Senior",MAX(AA35,AC35),AA35+AC35)</f>
        <v>86.1</v>
      </c>
      <c r="AF35" s="34">
        <v>45.25</v>
      </c>
      <c r="AG35" s="37">
        <v>9.6</v>
      </c>
    </row>
    <row r="36" spans="1:33" x14ac:dyDescent="0.2">
      <c r="A36" s="1" t="str" cm="1">
        <f t="array" ref="A36">IF(I36="","",IF(P36&lt;&gt;"",SUMPRODUCT((P$3:P$107&lt;&gt;"")*(G$3:G$107=G36)*(J$3:J$107&gt;J36)*(I$3:I$107="P"))+1,IF(O36&lt;&gt;"",SUMPRODUCT((O$3:O$107&lt;&gt;"")*(P$3:P$107="")*(G$3:G$107=G36)*(J$3:J$107&gt;J36)*(I$3:I$107="P"))+SUMPRODUCT((P$3:P$107&lt;&gt;"")*(G$3:G$107=G36)*(I$3:I$107="P"))+1,IF(N36&lt;&gt;"",SUMPRODUCT((N$3:N$107&lt;&gt;"")*(G$3:G$107=G36)*(J$3:J$107&gt;J36)*(I$3:I$107="P"))+1,IF(M36="P",SUMPRODUCT((O$3:O$107&lt;&gt;"")*(P$3:P$107="")*(G$3:G$107=G36)*(I$3:I$107="P"))+SUMPRODUCT((P$3:P$107&lt;&gt;"")*(G$3:G$107=G36)*(I$3:I$107="P"))+SUMPRODUCT((N$3:N$107&lt;&gt;"")*(G$3:G$107=G36)*(I$3:I$107="P"))+SUMPRODUCT((P$3:P$107="")*(O$3:O$107="")*(N$3:N$107="")*(M$3:M$107="P")*(G$3:G$107=G36)*(J$3:J$107&gt;J36)*(I$3:I$107="P"))+IF(H36="L5",SUMPRODUCT((P$3:P$107="")*(O$3:O$107="")*(N$3:N$107="")*(M$3:M$107="P")*(G$3:G$107=G36)*(J$3:J$107&lt;J36)*(H$3:H$107&lt;&gt;H36)*(I$3:I$107="P")),-1*SUMPRODUCT((P$3:P$107="")*(O$3:O$107="")*(N$3:N$107="")*(M$3:M$107="P")*(G$3:G$107=G36)*(J$3:J$107&gt;J36)*(H$3:H$107="L5")*(I$3:I$107="P")))+1,"")))))</f>
        <v/>
      </c>
      <c r="B36" s="1" t="str" cm="1">
        <f t="array" ref="B36">IF(P36&lt;&gt;"",SUMPRODUCT((P$3:P$107&lt;&gt;"")*(G$3:G$107=G36)*(J$3:J$107&gt;J36))+1,IF(O36&lt;&gt;"",SUMPRODUCT((O$3:O$107&lt;&gt;"")*(P$3:P$107="")*(G$3:G$107=G36)*(J$3:J$107&gt;J36))+SUMPRODUCT((P$3:P$107&lt;&gt;"")*(G$3:G$107=G36))+1,IF(N36&lt;&gt;"",SUMPRODUCT((N$3:N$107&lt;&gt;"")*(G$3:G$107=G36)*(J$3:J$107&gt;J36))+1,IF(M36="P",SUMPRODUCT((O$3:O$107&lt;&gt;"")*(P$3:P$107="")*(G$3:G$107=G36))+SUMPRODUCT((P$3:P$107&lt;&gt;"")*(G$3:G$107=G36))+SUMPRODUCT((N$3:N$107&lt;&gt;"")*(G$3:G$107=G36))+SUMPRODUCT((P$3:P$107="")*(O$3:O$107="")*(N$3:N$107="")*(M$3:M$107="P")*(G$3:G$107=G36)*(J$3:J$107&gt;J36))+IF(H36="L5",SUMPRODUCT((P$3:P$107="")*(O$3:O$107="")*(N$3:N$107="")*(M$3:M$107="P")*(G$3:G$107=G36)*(J$3:J$107&lt;J36)*(H$3:H$107&lt;&gt;H36)),-1*SUMPRODUCT((P$3:P$107="")*(O$3:O$107="")*(N$3:N$107="")*(M$3:M$107="P")*(G$3:G$107=G36)*(J$3:J$107&gt;J36)*(H$3:H$107="L5")))+1,""))))</f>
        <v/>
      </c>
      <c r="C36" t="s">
        <v>425</v>
      </c>
      <c r="D36" s="36" t="str">
        <f>IF(E36="","",VLOOKUP(E36,'Coaching Points'!A:B,2,0))</f>
        <v>ON</v>
      </c>
      <c r="E36" s="36" t="s">
        <v>426</v>
      </c>
      <c r="F36" s="35">
        <v>2004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66</v>
      </c>
      <c r="I36" s="43"/>
      <c r="J36" s="4">
        <f>R36+S36+IF(OR(H36="Junior",H36="Senior"),0.0002,IF(OR(H36="L7",H36="L6"),0.0001,0))+IF(G36="17-21",MAX(AA36,AC36,AF36),AE36)*0.0000001</f>
        <v>91.570004616999995</v>
      </c>
      <c r="K36" s="3" t="str">
        <f>IF(G36="Not Age Eligible","",IF(G36="17-21",IF(MAX(T36,V36,Y36,AA36,AC36,AF36)&gt;=LOOKUP(G36,'Qualifying Scores'!$A$4:$A$7,'Qualifying Scores'!$B$4:$B$7),"P",""),IF(MAX(X36-U36,AE36-AB36)&gt;=LOOKUP(G36,'Qualifying Scores'!$A$4:$A$7,'Qualifying Scores'!$B$4:$B$7),"P","")))</f>
        <v/>
      </c>
      <c r="L36" s="3" t="str">
        <f>IF(G36="Not Age Eligible","",IF(G36="17-21",IF(MAX(U36,W36,Z36,AB36,AD36,AG36)&gt;=LOOKUP(G36,'Qualifying Scores'!$A$10:$A$13,'Qualifying Scores'!$B$10:$B$13),"P",""),IF(MAX(W36,AD36)&gt;=LOOKUP(G36,'Qualifying Scores'!$A$10:$A$13,'Qualifying Scores'!$B$10:$B$13),"P","")))</f>
        <v/>
      </c>
      <c r="M36" s="3" t="str">
        <f>IF(G36="Not Age Eligible","",IF(G36="17-21",IF(OR(AND(T36&gt;=LOOKUP(G36,'Qualifying Scores'!$A$4:$A$7,'Qualifying Scores'!$B$4:$B$7),U36&gt;=LOOKUP(G36,'Qualifying Scores'!$A$10:$A$13,'Qualifying Scores'!$B$10:$B$13)),AND(V36&gt;=LOOKUP(G36,'Qualifying Scores'!$A$4:$A$7,'Qualifying Scores'!$B$4:$B$7),W36&gt;=LOOKUP(G36,'Qualifying Scores'!$A$10:$A$13,'Qualifying Scores'!$B$10:$B$13)),AND(Y36&gt;=LOOKUP(G36,'Qualifying Scores'!$A$4:$A$7,'Qualifying Scores'!$B$4:$B$7),Z36&gt;=LOOKUP(G36,'Qualifying Scores'!$A$10:$A$13,'Qualifying Scores'!$B$10:$B$13)),AND(AA36&gt;=LOOKUP(G36,'Qualifying Scores'!$A$4:$A$7,'Qualifying Scores'!$B$4:$B$7),AB36&gt;=LOOKUP(G36,'Qualifying Scores'!$A$10:$A$13,'Qualifying Scores'!$B$10:$B$13)),AND(AC36&gt;=LOOKUP(G36,'Qualifying Scores'!$A$4:$A$7,'Qualifying Scores'!$B$4:$B$7),AD36&gt;=LOOKUP(G36,'Qualifying Scores'!$A$10:$A$13,'Qualifying Scores'!$B$10:$B$13)),AND(AF36&gt;=LOOKUP(G36,'Qualifying Scores'!$A$4:$A$7,'Qualifying Scores'!$B$4:$B$7),AG36&gt;=LOOKUP(G36,'Qualifying Scores'!$A$10:$A$13,'Qualifying Scores'!$B$10:$B$13))),"P",""),IF(OR(AND(X36-U36&gt;=LOOKUP(G36,'Qualifying Scores'!$A$4:$A$7,'Qualifying Scores'!$B$4:$B$7),W36&gt;=LOOKUP(G36,'Qualifying Scores'!$A$10:$A$13,'Qualifying Scores'!$B$10:$B$13)),AND(AE36-AB36&gt;=LOOKUP(G36,'Qualifying Scores'!$A$4:$A$7,'Qualifying Scores'!$B$4:$B$7),AD36&gt;=LOOKUP(G36,'Qualifying Scores'!$A$10:$A$13,'Qualifying Scores'!$B$10:$B$13))),"P","")))</f>
        <v/>
      </c>
      <c r="Q36" s="1" t="str">
        <f>IF(A36&lt;5,IF(_xlfn.MAXIFS(A:A,G:G,G36)&gt;3,5-A36,_xlfn.MAXIFS(A:A,G:G,G36)+1-A36),"")</f>
        <v/>
      </c>
      <c r="R36" s="4">
        <f>IF(G36="17-21",MAX(T36,V36,Y36,AA36,AC36,AF36),MAX(X36,AE36))</f>
        <v>46.17</v>
      </c>
      <c r="S36" s="4">
        <f>IF(G36="17-21",LARGE(CHOOSE({1,2,3,4,5,6},T36,V36,Y36,AA36,AC36,AF36),2),IF(R36=X36,MAX(Y36,AA36,AC36,AF36),IF(R36=AE36,MAX(AF36,T36,V36,Y36),0)))</f>
        <v>45.4</v>
      </c>
      <c r="T36" s="33"/>
      <c r="U36" s="40"/>
      <c r="V36" s="34"/>
      <c r="W36" s="40"/>
      <c r="X36" s="4">
        <f>IF(H36="Senior",MAX(T36,V36),T36+V36)</f>
        <v>0</v>
      </c>
      <c r="Y36" s="34"/>
      <c r="Z36" s="40"/>
      <c r="AA36" s="33">
        <v>38.89</v>
      </c>
      <c r="AB36" s="40">
        <v>0</v>
      </c>
      <c r="AC36" s="34">
        <v>46.17</v>
      </c>
      <c r="AD36" s="40">
        <v>9.1</v>
      </c>
      <c r="AE36" s="4">
        <f>IF(H36="Senior",MAX(AA36,AC36),AA36+AC36)</f>
        <v>85.06</v>
      </c>
      <c r="AF36" s="34">
        <v>45.4</v>
      </c>
      <c r="AG36" s="37">
        <v>9.1</v>
      </c>
    </row>
    <row r="37" spans="1:33" x14ac:dyDescent="0.2">
      <c r="A37" s="1" t="str" cm="1">
        <f t="array" ref="A37">IF(I37="","",IF(P37&lt;&gt;"",SUMPRODUCT((P$3:P$107&lt;&gt;"")*(G$3:G$107=G37)*(J$3:J$107&gt;J37)*(I$3:I$107="P"))+1,IF(O37&lt;&gt;"",SUMPRODUCT((O$3:O$107&lt;&gt;"")*(P$3:P$107="")*(G$3:G$107=G37)*(J$3:J$107&gt;J37)*(I$3:I$107="P"))+SUMPRODUCT((P$3:P$107&lt;&gt;"")*(G$3:G$107=G37)*(I$3:I$107="P"))+1,IF(N37&lt;&gt;"",SUMPRODUCT((N$3:N$107&lt;&gt;"")*(G$3:G$107=G37)*(J$3:J$107&gt;J37)*(I$3:I$107="P"))+1,IF(M37="P",SUMPRODUCT((O$3:O$107&lt;&gt;"")*(P$3:P$107="")*(G$3:G$107=G37)*(I$3:I$107="P"))+SUMPRODUCT((P$3:P$107&lt;&gt;"")*(G$3:G$107=G37)*(I$3:I$107="P"))+SUMPRODUCT((N$3:N$107&lt;&gt;"")*(G$3:G$107=G37)*(I$3:I$107="P"))+SUMPRODUCT((P$3:P$107="")*(O$3:O$107="")*(N$3:N$107="")*(M$3:M$107="P")*(G$3:G$107=G37)*(J$3:J$107&gt;J37)*(I$3:I$107="P"))+IF(H37="L5",SUMPRODUCT((P$3:P$107="")*(O$3:O$107="")*(N$3:N$107="")*(M$3:M$107="P")*(G$3:G$107=G37)*(J$3:J$107&lt;J37)*(H$3:H$107&lt;&gt;H37)*(I$3:I$107="P")),-1*SUMPRODUCT((P$3:P$107="")*(O$3:O$107="")*(N$3:N$107="")*(M$3:M$107="P")*(G$3:G$107=G37)*(J$3:J$107&gt;J37)*(H$3:H$107="L5")*(I$3:I$107="P")))+1,"")))))</f>
        <v/>
      </c>
      <c r="B37" s="1" t="str" cm="1">
        <f t="array" ref="B37">IF(P37&lt;&gt;"",SUMPRODUCT((P$3:P$107&lt;&gt;"")*(G$3:G$107=G37)*(J$3:J$107&gt;J37))+1,IF(O37&lt;&gt;"",SUMPRODUCT((O$3:O$107&lt;&gt;"")*(P$3:P$107="")*(G$3:G$107=G37)*(J$3:J$107&gt;J37))+SUMPRODUCT((P$3:P$107&lt;&gt;"")*(G$3:G$107=G37))+1,IF(N37&lt;&gt;"",SUMPRODUCT((N$3:N$107&lt;&gt;"")*(G$3:G$107=G37)*(J$3:J$107&gt;J37))+1,IF(M37="P",SUMPRODUCT((O$3:O$107&lt;&gt;"")*(P$3:P$107="")*(G$3:G$107=G37))+SUMPRODUCT((P$3:P$107&lt;&gt;"")*(G$3:G$107=G37))+SUMPRODUCT((N$3:N$107&lt;&gt;"")*(G$3:G$107=G37))+SUMPRODUCT((P$3:P$107="")*(O$3:O$107="")*(N$3:N$107="")*(M$3:M$107="P")*(G$3:G$107=G37)*(J$3:J$107&gt;J37))+IF(H37="L5",SUMPRODUCT((P$3:P$107="")*(O$3:O$107="")*(N$3:N$107="")*(M$3:M$107="P")*(G$3:G$107=G37)*(J$3:J$107&lt;J37)*(H$3:H$107&lt;&gt;H37)),-1*SUMPRODUCT((P$3:P$107="")*(O$3:O$107="")*(N$3:N$107="")*(M$3:M$107="P")*(G$3:G$107=G37)*(J$3:J$107&gt;J37)*(H$3:H$107="L5")))+1,""))))</f>
        <v/>
      </c>
      <c r="C37" s="36" t="s">
        <v>320</v>
      </c>
      <c r="D37" s="36" t="str">
        <f>IF(E37="","",VLOOKUP(E37,'Coaching Points'!A:B,2,0))</f>
        <v>ON</v>
      </c>
      <c r="E37" s="36" t="s">
        <v>113</v>
      </c>
      <c r="F37" s="35">
        <v>2006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66</v>
      </c>
      <c r="I37" s="43"/>
      <c r="J37" s="4">
        <f>R37+S37+IF(OR(H37="Junior",H37="Senior"),0.0002,IF(OR(H37="L7",H37="L6"),0.0001,0))+IF(G37="17-21",MAX(AA37,AC37,AF37),AE37)*0.0000001</f>
        <v>90.780004585</v>
      </c>
      <c r="K37" s="3" t="str">
        <f>IF(G37="Not Age Eligible","",IF(G37="17-21",IF(MAX(T37,V37,Y37,AA37,AC37,AF37)&gt;=LOOKUP(G37,'Qualifying Scores'!$A$4:$A$7,'Qualifying Scores'!$B$4:$B$7),"P",""),IF(MAX(X37-U37,AE37-AB37)&gt;=LOOKUP(G37,'Qualifying Scores'!$A$4:$A$7,'Qualifying Scores'!$B$4:$B$7),"P","")))</f>
        <v/>
      </c>
      <c r="L37" s="3" t="str">
        <f>IF(G37="Not Age Eligible","",IF(G37="17-21",IF(MAX(U37,W37,Z37,AB37,AD37,AG37)&gt;=LOOKUP(G37,'Qualifying Scores'!$A$10:$A$13,'Qualifying Scores'!$B$10:$B$13),"P",""),IF(MAX(W37,AD37)&gt;=LOOKUP(G37,'Qualifying Scores'!$A$10:$A$13,'Qualifying Scores'!$B$10:$B$13),"P","")))</f>
        <v/>
      </c>
      <c r="M37" s="3" t="str">
        <f>IF(G37="Not Age Eligible","",IF(G37="17-21",IF(OR(AND(T37&gt;=LOOKUP(G37,'Qualifying Scores'!$A$4:$A$7,'Qualifying Scores'!$B$4:$B$7),U37&gt;=LOOKUP(G37,'Qualifying Scores'!$A$10:$A$13,'Qualifying Scores'!$B$10:$B$13)),AND(V37&gt;=LOOKUP(G37,'Qualifying Scores'!$A$4:$A$7,'Qualifying Scores'!$B$4:$B$7),W37&gt;=LOOKUP(G37,'Qualifying Scores'!$A$10:$A$13,'Qualifying Scores'!$B$10:$B$13)),AND(Y37&gt;=LOOKUP(G37,'Qualifying Scores'!$A$4:$A$7,'Qualifying Scores'!$B$4:$B$7),Z37&gt;=LOOKUP(G37,'Qualifying Scores'!$A$10:$A$13,'Qualifying Scores'!$B$10:$B$13)),AND(AA37&gt;=LOOKUP(G37,'Qualifying Scores'!$A$4:$A$7,'Qualifying Scores'!$B$4:$B$7),AB37&gt;=LOOKUP(G37,'Qualifying Scores'!$A$10:$A$13,'Qualifying Scores'!$B$10:$B$13)),AND(AC37&gt;=LOOKUP(G37,'Qualifying Scores'!$A$4:$A$7,'Qualifying Scores'!$B$4:$B$7),AD37&gt;=LOOKUP(G37,'Qualifying Scores'!$A$10:$A$13,'Qualifying Scores'!$B$10:$B$13)),AND(AF37&gt;=LOOKUP(G37,'Qualifying Scores'!$A$4:$A$7,'Qualifying Scores'!$B$4:$B$7),AG37&gt;=LOOKUP(G37,'Qualifying Scores'!$A$10:$A$13,'Qualifying Scores'!$B$10:$B$13))),"P",""),IF(OR(AND(X37-U37&gt;=LOOKUP(G37,'Qualifying Scores'!$A$4:$A$7,'Qualifying Scores'!$B$4:$B$7),W37&gt;=LOOKUP(G37,'Qualifying Scores'!$A$10:$A$13,'Qualifying Scores'!$B$10:$B$13)),AND(AE37-AB37&gt;=LOOKUP(G37,'Qualifying Scores'!$A$4:$A$7,'Qualifying Scores'!$B$4:$B$7),AD37&gt;=LOOKUP(G37,'Qualifying Scores'!$A$10:$A$13,'Qualifying Scores'!$B$10:$B$13))),"P","")))</f>
        <v/>
      </c>
      <c r="Q37" s="1" t="str">
        <f>IF(A37&lt;5,IF(_xlfn.MAXIFS(A:A,G:G,G37)&gt;3,5-A37,_xlfn.MAXIFS(A:A,G:G,G37)+1-A37),"")</f>
        <v/>
      </c>
      <c r="R37" s="4">
        <f>IF(G37="17-21",MAX(T37,V37,Y37,AA37,AC37,AF37),MAX(X37,AE37))</f>
        <v>45.85</v>
      </c>
      <c r="S37" s="4">
        <f>IF(G37="17-21",LARGE(CHOOSE({1,2,3,4,5,6},T37,V37,Y37,AA37,AC37,AF37),2),IF(R37=X37,MAX(Y37,AA37,AC37,AF37),IF(R37=AE37,MAX(AF37,T37,V37,Y37),0)))</f>
        <v>44.93</v>
      </c>
      <c r="T37" s="33">
        <v>38.51</v>
      </c>
      <c r="U37" s="40">
        <v>0</v>
      </c>
      <c r="V37" s="34">
        <v>19.149999999999999</v>
      </c>
      <c r="W37" s="40">
        <v>4.4000000000000004</v>
      </c>
      <c r="X37" s="4">
        <f>IF(H37="Senior",MAX(T37,V37),T37+V37)</f>
        <v>57.66</v>
      </c>
      <c r="Y37" s="34"/>
      <c r="Z37" s="40"/>
      <c r="AA37" s="33">
        <v>39.159999999999997</v>
      </c>
      <c r="AB37" s="40">
        <v>0</v>
      </c>
      <c r="AC37" s="34">
        <v>45.85</v>
      </c>
      <c r="AD37" s="40">
        <v>9.1</v>
      </c>
      <c r="AE37" s="4">
        <f>IF(H37="Senior",MAX(AA37,AC37),AA37+AC37)</f>
        <v>85.009999999999991</v>
      </c>
      <c r="AF37" s="34">
        <v>44.93</v>
      </c>
      <c r="AG37" s="37">
        <v>9.6999999999999993</v>
      </c>
    </row>
    <row r="38" spans="1:33" x14ac:dyDescent="0.2">
      <c r="A38" s="1" t="str" cm="1">
        <f t="array" ref="A38">IF(I38="","",IF(P38&lt;&gt;"",SUMPRODUCT((P$3:P$107&lt;&gt;"")*(G$3:G$107=G38)*(J$3:J$107&gt;J38)*(I$3:I$107="P"))+1,IF(O38&lt;&gt;"",SUMPRODUCT((O$3:O$107&lt;&gt;"")*(P$3:P$107="")*(G$3:G$107=G38)*(J$3:J$107&gt;J38)*(I$3:I$107="P"))+SUMPRODUCT((P$3:P$107&lt;&gt;"")*(G$3:G$107=G38)*(I$3:I$107="P"))+1,IF(N38&lt;&gt;"",SUMPRODUCT((N$3:N$107&lt;&gt;"")*(G$3:G$107=G38)*(J$3:J$107&gt;J38)*(I$3:I$107="P"))+1,IF(M38="P",SUMPRODUCT((O$3:O$107&lt;&gt;"")*(P$3:P$107="")*(G$3:G$107=G38)*(I$3:I$107="P"))+SUMPRODUCT((P$3:P$107&lt;&gt;"")*(G$3:G$107=G38)*(I$3:I$107="P"))+SUMPRODUCT((N$3:N$107&lt;&gt;"")*(G$3:G$107=G38)*(I$3:I$107="P"))+SUMPRODUCT((P$3:P$107="")*(O$3:O$107="")*(N$3:N$107="")*(M$3:M$107="P")*(G$3:G$107=G38)*(J$3:J$107&gt;J38)*(I$3:I$107="P"))+IF(H38="L5",SUMPRODUCT((P$3:P$107="")*(O$3:O$107="")*(N$3:N$107="")*(M$3:M$107="P")*(G$3:G$107=G38)*(J$3:J$107&lt;J38)*(H$3:H$107&lt;&gt;H38)*(I$3:I$107="P")),-1*SUMPRODUCT((P$3:P$107="")*(O$3:O$107="")*(N$3:N$107="")*(M$3:M$107="P")*(G$3:G$107=G38)*(J$3:J$107&gt;J38)*(H$3:H$107="L5")*(I$3:I$107="P")))+1,"")))))</f>
        <v/>
      </c>
      <c r="B38" s="1" t="str" cm="1">
        <f t="array" ref="B38">IF(P38&lt;&gt;"",SUMPRODUCT((P$3:P$107&lt;&gt;"")*(G$3:G$107=G38)*(J$3:J$107&gt;J38))+1,IF(O38&lt;&gt;"",SUMPRODUCT((O$3:O$107&lt;&gt;"")*(P$3:P$107="")*(G$3:G$107=G38)*(J$3:J$107&gt;J38))+SUMPRODUCT((P$3:P$107&lt;&gt;"")*(G$3:G$107=G38))+1,IF(N38&lt;&gt;"",SUMPRODUCT((N$3:N$107&lt;&gt;"")*(G$3:G$107=G38)*(J$3:J$107&gt;J38))+1,IF(M38="P",SUMPRODUCT((O$3:O$107&lt;&gt;"")*(P$3:P$107="")*(G$3:G$107=G38))+SUMPRODUCT((P$3:P$107&lt;&gt;"")*(G$3:G$107=G38))+SUMPRODUCT((N$3:N$107&lt;&gt;"")*(G$3:G$107=G38))+SUMPRODUCT((P$3:P$107="")*(O$3:O$107="")*(N$3:N$107="")*(M$3:M$107="P")*(G$3:G$107=G38)*(J$3:J$107&gt;J38))+IF(H38="L5",SUMPRODUCT((P$3:P$107="")*(O$3:O$107="")*(N$3:N$107="")*(M$3:M$107="P")*(G$3:G$107=G38)*(J$3:J$107&lt;J38)*(H$3:H$107&lt;&gt;H38)),-1*SUMPRODUCT((P$3:P$107="")*(O$3:O$107="")*(N$3:N$107="")*(M$3:M$107="P")*(G$3:G$107=G38)*(J$3:J$107&gt;J38)*(H$3:H$107="L5")))+1,""))))</f>
        <v/>
      </c>
      <c r="C38" s="36" t="s">
        <v>318</v>
      </c>
      <c r="D38" s="36" t="str">
        <f>IF(E38="","",VLOOKUP(E38,'Coaching Points'!A:B,2,0))</f>
        <v>ON</v>
      </c>
      <c r="E38" s="36" t="s">
        <v>113</v>
      </c>
      <c r="F38" s="35">
        <v>2005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66</v>
      </c>
      <c r="I38" s="43"/>
      <c r="J38" s="4">
        <f>R38+S38+IF(OR(H38="Junior",H38="Senior"),0.0002,IF(OR(H38="L7",H38="L6"),0.0001,0))+IF(G38="17-21",MAX(AA38,AC38,AF38),AE38)*0.0000001</f>
        <v>90.38</v>
      </c>
      <c r="K38" s="3" t="str">
        <f>IF(G38="Not Age Eligible","",IF(G38="17-21",IF(MAX(T38,V38,Y38,AA38,AC38,AF38)&gt;=LOOKUP(G38,'Qualifying Scores'!$A$4:$A$7,'Qualifying Scores'!$B$4:$B$7),"P",""),IF(MAX(X38-U38,AE38-AB38)&gt;=LOOKUP(G38,'Qualifying Scores'!$A$4:$A$7,'Qualifying Scores'!$B$4:$B$7),"P","")))</f>
        <v/>
      </c>
      <c r="L38" s="3" t="str">
        <f>IF(G38="Not Age Eligible","",IF(G38="17-21",IF(MAX(U38,W38,Z38,AB38,AD38,AG38)&gt;=LOOKUP(G38,'Qualifying Scores'!$A$10:$A$13,'Qualifying Scores'!$B$10:$B$13),"P",""),IF(MAX(W38,AD38)&gt;=LOOKUP(G38,'Qualifying Scores'!$A$10:$A$13,'Qualifying Scores'!$B$10:$B$13),"P","")))</f>
        <v/>
      </c>
      <c r="M38" s="3" t="str">
        <f>IF(G38="Not Age Eligible","",IF(G38="17-21",IF(OR(AND(T38&gt;=LOOKUP(G38,'Qualifying Scores'!$A$4:$A$7,'Qualifying Scores'!$B$4:$B$7),U38&gt;=LOOKUP(G38,'Qualifying Scores'!$A$10:$A$13,'Qualifying Scores'!$B$10:$B$13)),AND(V38&gt;=LOOKUP(G38,'Qualifying Scores'!$A$4:$A$7,'Qualifying Scores'!$B$4:$B$7),W38&gt;=LOOKUP(G38,'Qualifying Scores'!$A$10:$A$13,'Qualifying Scores'!$B$10:$B$13)),AND(Y38&gt;=LOOKUP(G38,'Qualifying Scores'!$A$4:$A$7,'Qualifying Scores'!$B$4:$B$7),Z38&gt;=LOOKUP(G38,'Qualifying Scores'!$A$10:$A$13,'Qualifying Scores'!$B$10:$B$13)),AND(AA38&gt;=LOOKUP(G38,'Qualifying Scores'!$A$4:$A$7,'Qualifying Scores'!$B$4:$B$7),AB38&gt;=LOOKUP(G38,'Qualifying Scores'!$A$10:$A$13,'Qualifying Scores'!$B$10:$B$13)),AND(AC38&gt;=LOOKUP(G38,'Qualifying Scores'!$A$4:$A$7,'Qualifying Scores'!$B$4:$B$7),AD38&gt;=LOOKUP(G38,'Qualifying Scores'!$A$10:$A$13,'Qualifying Scores'!$B$10:$B$13)),AND(AF38&gt;=LOOKUP(G38,'Qualifying Scores'!$A$4:$A$7,'Qualifying Scores'!$B$4:$B$7),AG38&gt;=LOOKUP(G38,'Qualifying Scores'!$A$10:$A$13,'Qualifying Scores'!$B$10:$B$13))),"P",""),IF(OR(AND(X38-U38&gt;=LOOKUP(G38,'Qualifying Scores'!$A$4:$A$7,'Qualifying Scores'!$B$4:$B$7),W38&gt;=LOOKUP(G38,'Qualifying Scores'!$A$10:$A$13,'Qualifying Scores'!$B$10:$B$13)),AND(AE38-AB38&gt;=LOOKUP(G38,'Qualifying Scores'!$A$4:$A$7,'Qualifying Scores'!$B$4:$B$7),AD38&gt;=LOOKUP(G38,'Qualifying Scores'!$A$10:$A$13,'Qualifying Scores'!$B$10:$B$13))),"P","")))</f>
        <v/>
      </c>
      <c r="Q38" s="1" t="str">
        <f>IF(A38&lt;5,IF(_xlfn.MAXIFS(A:A,G:G,G38)&gt;3,5-A38,_xlfn.MAXIFS(A:A,G:G,G38)+1-A38),"")</f>
        <v/>
      </c>
      <c r="R38" s="4">
        <f>IF(G38="17-21",MAX(T38,V38,Y38,AA38,AC38,AF38),MAX(X38,AE38))</f>
        <v>45.63</v>
      </c>
      <c r="S38" s="4">
        <f>IF(G38="17-21",LARGE(CHOOSE({1,2,3,4,5,6},T38,V38,Y38,AA38,AC38,AF38),2),IF(R38=X38,MAX(Y38,AA38,AC38,AF38),IF(R38=AE38,MAX(AF38,T38,V38,Y38),0)))</f>
        <v>44.75</v>
      </c>
      <c r="T38" s="33">
        <v>39.53</v>
      </c>
      <c r="U38" s="40">
        <v>0</v>
      </c>
      <c r="V38" s="34">
        <v>45.63</v>
      </c>
      <c r="W38" s="40">
        <v>8.5</v>
      </c>
      <c r="X38" s="4">
        <f>IF(H38="Senior",MAX(T38,V38),T38+V38)</f>
        <v>85.16</v>
      </c>
      <c r="Y38" s="34">
        <v>44.75</v>
      </c>
      <c r="Z38" s="40">
        <v>8.5</v>
      </c>
      <c r="AA38" s="33"/>
      <c r="AB38" s="40"/>
      <c r="AC38" s="34"/>
      <c r="AD38" s="40"/>
      <c r="AE38" s="4">
        <f>IF(H38="Senior",MAX(AA38,AC38),AA38+AC38)</f>
        <v>0</v>
      </c>
      <c r="AF38" s="34"/>
      <c r="AG38" s="37"/>
    </row>
    <row r="39" spans="1:33" x14ac:dyDescent="0.2">
      <c r="A39" s="1" t="str" cm="1">
        <f t="array" ref="A39">IF(I39="","",IF(P39&lt;&gt;"",SUMPRODUCT((P$3:P$107&lt;&gt;"")*(G$3:G$107=G39)*(J$3:J$107&gt;J39)*(I$3:I$107="P"))+1,IF(O39&lt;&gt;"",SUMPRODUCT((O$3:O$107&lt;&gt;"")*(P$3:P$107="")*(G$3:G$107=G39)*(J$3:J$107&gt;J39)*(I$3:I$107="P"))+SUMPRODUCT((P$3:P$107&lt;&gt;"")*(G$3:G$107=G39)*(I$3:I$107="P"))+1,IF(N39&lt;&gt;"",SUMPRODUCT((N$3:N$107&lt;&gt;"")*(G$3:G$107=G39)*(J$3:J$107&gt;J39)*(I$3:I$107="P"))+1,IF(M39="P",SUMPRODUCT((O$3:O$107&lt;&gt;"")*(P$3:P$107="")*(G$3:G$107=G39)*(I$3:I$107="P"))+SUMPRODUCT((P$3:P$107&lt;&gt;"")*(G$3:G$107=G39)*(I$3:I$107="P"))+SUMPRODUCT((N$3:N$107&lt;&gt;"")*(G$3:G$107=G39)*(I$3:I$107="P"))+SUMPRODUCT((P$3:P$107="")*(O$3:O$107="")*(N$3:N$107="")*(M$3:M$107="P")*(G$3:G$107=G39)*(J$3:J$107&gt;J39)*(I$3:I$107="P"))+IF(H39="L5",SUMPRODUCT((P$3:P$107="")*(O$3:O$107="")*(N$3:N$107="")*(M$3:M$107="P")*(G$3:G$107=G39)*(J$3:J$107&lt;J39)*(H$3:H$107&lt;&gt;H39)*(I$3:I$107="P")),-1*SUMPRODUCT((P$3:P$107="")*(O$3:O$107="")*(N$3:N$107="")*(M$3:M$107="P")*(G$3:G$107=G39)*(J$3:J$107&gt;J39)*(H$3:H$107="L5")*(I$3:I$107="P")))+1,"")))))</f>
        <v/>
      </c>
      <c r="B39" s="1" t="str" cm="1">
        <f t="array" ref="B39">IF(P39&lt;&gt;"",SUMPRODUCT((P$3:P$107&lt;&gt;"")*(G$3:G$107=G39)*(J$3:J$107&gt;J39))+1,IF(O39&lt;&gt;"",SUMPRODUCT((O$3:O$107&lt;&gt;"")*(P$3:P$107="")*(G$3:G$107=G39)*(J$3:J$107&gt;J39))+SUMPRODUCT((P$3:P$107&lt;&gt;"")*(G$3:G$107=G39))+1,IF(N39&lt;&gt;"",SUMPRODUCT((N$3:N$107&lt;&gt;"")*(G$3:G$107=G39)*(J$3:J$107&gt;J39))+1,IF(M39="P",SUMPRODUCT((O$3:O$107&lt;&gt;"")*(P$3:P$107="")*(G$3:G$107=G39))+SUMPRODUCT((P$3:P$107&lt;&gt;"")*(G$3:G$107=G39))+SUMPRODUCT((N$3:N$107&lt;&gt;"")*(G$3:G$107=G39))+SUMPRODUCT((P$3:P$107="")*(O$3:O$107="")*(N$3:N$107="")*(M$3:M$107="P")*(G$3:G$107=G39)*(J$3:J$107&gt;J39))+IF(H39="L5",SUMPRODUCT((P$3:P$107="")*(O$3:O$107="")*(N$3:N$107="")*(M$3:M$107="P")*(G$3:G$107=G39)*(J$3:J$107&lt;J39)*(H$3:H$107&lt;&gt;H39)),-1*SUMPRODUCT((P$3:P$107="")*(O$3:O$107="")*(N$3:N$107="")*(M$3:M$107="P")*(G$3:G$107=G39)*(J$3:J$107&gt;J39)*(H$3:H$107="L5")))+1,""))))</f>
        <v/>
      </c>
      <c r="C39" s="36" t="s">
        <v>215</v>
      </c>
      <c r="D39" s="36" t="str">
        <f>IF(E39="","",VLOOKUP(E39,'Coaching Points'!A:B,2,0))</f>
        <v>ON</v>
      </c>
      <c r="E39" s="36" t="s">
        <v>113</v>
      </c>
      <c r="F39" s="35">
        <v>2006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66</v>
      </c>
      <c r="I39" s="43"/>
      <c r="J39" s="4">
        <f>R39+S39+IF(OR(H39="Junior",H39="Senior"),0.0002,IF(OR(H39="L7",H39="L6"),0.0001,0))+IF(G39="17-21",MAX(AA39,AC39,AF39),AE39)*0.0000001</f>
        <v>90.070004967999992</v>
      </c>
      <c r="K39" s="3" t="str">
        <f>IF(G39="Not Age Eligible","",IF(G39="17-21",IF(MAX(T39,V39,Y39,AA39,AC39,AF39)&gt;=LOOKUP(G39,'Qualifying Scores'!$A$4:$A$7,'Qualifying Scores'!$B$4:$B$7),"P",""),IF(MAX(X39-U39,AE39-AB39)&gt;=LOOKUP(G39,'Qualifying Scores'!$A$4:$A$7,'Qualifying Scores'!$B$4:$B$7),"P","")))</f>
        <v/>
      </c>
      <c r="L39" s="3" t="str">
        <f>IF(G39="Not Age Eligible","",IF(G39="17-21",IF(MAX(U39,W39,Z39,AB39,AD39,AG39)&gt;=LOOKUP(G39,'Qualifying Scores'!$A$10:$A$13,'Qualifying Scores'!$B$10:$B$13),"P",""),IF(MAX(W39,AD39)&gt;=LOOKUP(G39,'Qualifying Scores'!$A$10:$A$13,'Qualifying Scores'!$B$10:$B$13),"P","")))</f>
        <v/>
      </c>
      <c r="M39" s="3" t="str">
        <f>IF(G39="Not Age Eligible","",IF(G39="17-21",IF(OR(AND(T39&gt;=LOOKUP(G39,'Qualifying Scores'!$A$4:$A$7,'Qualifying Scores'!$B$4:$B$7),U39&gt;=LOOKUP(G39,'Qualifying Scores'!$A$10:$A$13,'Qualifying Scores'!$B$10:$B$13)),AND(V39&gt;=LOOKUP(G39,'Qualifying Scores'!$A$4:$A$7,'Qualifying Scores'!$B$4:$B$7),W39&gt;=LOOKUP(G39,'Qualifying Scores'!$A$10:$A$13,'Qualifying Scores'!$B$10:$B$13)),AND(Y39&gt;=LOOKUP(G39,'Qualifying Scores'!$A$4:$A$7,'Qualifying Scores'!$B$4:$B$7),Z39&gt;=LOOKUP(G39,'Qualifying Scores'!$A$10:$A$13,'Qualifying Scores'!$B$10:$B$13)),AND(AA39&gt;=LOOKUP(G39,'Qualifying Scores'!$A$4:$A$7,'Qualifying Scores'!$B$4:$B$7),AB39&gt;=LOOKUP(G39,'Qualifying Scores'!$A$10:$A$13,'Qualifying Scores'!$B$10:$B$13)),AND(AC39&gt;=LOOKUP(G39,'Qualifying Scores'!$A$4:$A$7,'Qualifying Scores'!$B$4:$B$7),AD39&gt;=LOOKUP(G39,'Qualifying Scores'!$A$10:$A$13,'Qualifying Scores'!$B$10:$B$13)),AND(AF39&gt;=LOOKUP(G39,'Qualifying Scores'!$A$4:$A$7,'Qualifying Scores'!$B$4:$B$7),AG39&gt;=LOOKUP(G39,'Qualifying Scores'!$A$10:$A$13,'Qualifying Scores'!$B$10:$B$13))),"P",""),IF(OR(AND(X39-U39&gt;=LOOKUP(G39,'Qualifying Scores'!$A$4:$A$7,'Qualifying Scores'!$B$4:$B$7),W39&gt;=LOOKUP(G39,'Qualifying Scores'!$A$10:$A$13,'Qualifying Scores'!$B$10:$B$13)),AND(AE39-AB39&gt;=LOOKUP(G39,'Qualifying Scores'!$A$4:$A$7,'Qualifying Scores'!$B$4:$B$7),AD39&gt;=LOOKUP(G39,'Qualifying Scores'!$A$10:$A$13,'Qualifying Scores'!$B$10:$B$13))),"P","")))</f>
        <v/>
      </c>
      <c r="Q39" s="1" t="str">
        <f>IF(A39&lt;5,IF(_xlfn.MAXIFS(A:A,G:G,G39)&gt;3,5-A39,_xlfn.MAXIFS(A:A,G:G,G39)+1-A39),"")</f>
        <v/>
      </c>
      <c r="R39" s="4">
        <f>IF(G39="17-21",MAX(T39,V39,Y39,AA39,AC39,AF39),MAX(X39,AE39))</f>
        <v>49.68</v>
      </c>
      <c r="S39" s="4">
        <f>IF(G39="17-21",LARGE(CHOOSE({1,2,3,4,5,6},T39,V39,Y39,AA39,AC39,AF39),2),IF(R39=X39,MAX(Y39,AA39,AC39,AF39),IF(R39=AE39,MAX(AF39,T39,V39,Y39),0)))</f>
        <v>40.39</v>
      </c>
      <c r="T39" s="33">
        <v>38.56</v>
      </c>
      <c r="U39" s="40">
        <v>0</v>
      </c>
      <c r="V39" s="34">
        <v>39.49</v>
      </c>
      <c r="W39" s="40">
        <v>7.7</v>
      </c>
      <c r="X39" s="4">
        <f>IF(H39="Senior",MAX(T39,V39),T39+V39)</f>
        <v>78.050000000000011</v>
      </c>
      <c r="Y39" s="34"/>
      <c r="Z39" s="40"/>
      <c r="AA39" s="33">
        <v>40.39</v>
      </c>
      <c r="AB39" s="40">
        <v>0</v>
      </c>
      <c r="AC39" s="34">
        <v>49.68</v>
      </c>
      <c r="AD39" s="40">
        <v>9.8000000000000007</v>
      </c>
      <c r="AE39" s="4">
        <f>IF(H39="Senior",MAX(AA39,AC39),AA39+AC39)</f>
        <v>90.07</v>
      </c>
      <c r="AF39" s="34">
        <v>5.37</v>
      </c>
      <c r="AG39" s="37">
        <v>1.5</v>
      </c>
    </row>
    <row r="40" spans="1:33" x14ac:dyDescent="0.2">
      <c r="A40" s="1" t="str" cm="1">
        <f t="array" ref="A40">IF(I40="","",IF(P40&lt;&gt;"",SUMPRODUCT((P$3:P$107&lt;&gt;"")*(G$3:G$107=G40)*(J$3:J$107&gt;J40)*(I$3:I$107="P"))+1,IF(O40&lt;&gt;"",SUMPRODUCT((O$3:O$107&lt;&gt;"")*(P$3:P$107="")*(G$3:G$107=G40)*(J$3:J$107&gt;J40)*(I$3:I$107="P"))+SUMPRODUCT((P$3:P$107&lt;&gt;"")*(G$3:G$107=G40)*(I$3:I$107="P"))+1,IF(N40&lt;&gt;"",SUMPRODUCT((N$3:N$107&lt;&gt;"")*(G$3:G$107=G40)*(J$3:J$107&gt;J40)*(I$3:I$107="P"))+1,IF(M40="P",SUMPRODUCT((O$3:O$107&lt;&gt;"")*(P$3:P$107="")*(G$3:G$107=G40)*(I$3:I$107="P"))+SUMPRODUCT((P$3:P$107&lt;&gt;"")*(G$3:G$107=G40)*(I$3:I$107="P"))+SUMPRODUCT((N$3:N$107&lt;&gt;"")*(G$3:G$107=G40)*(I$3:I$107="P"))+SUMPRODUCT((P$3:P$107="")*(O$3:O$107="")*(N$3:N$107="")*(M$3:M$107="P")*(G$3:G$107=G40)*(J$3:J$107&gt;J40)*(I$3:I$107="P"))+IF(H40="L5",SUMPRODUCT((P$3:P$107="")*(O$3:O$107="")*(N$3:N$107="")*(M$3:M$107="P")*(G$3:G$107=G40)*(J$3:J$107&lt;J40)*(H$3:H$107&lt;&gt;H40)*(I$3:I$107="P")),-1*SUMPRODUCT((P$3:P$107="")*(O$3:O$107="")*(N$3:N$107="")*(M$3:M$107="P")*(G$3:G$107=G40)*(J$3:J$107&gt;J40)*(H$3:H$107="L5")*(I$3:I$107="P")))+1,"")))))</f>
        <v/>
      </c>
      <c r="B40" s="1" t="str" cm="1">
        <f t="array" ref="B40">IF(P40&lt;&gt;"",SUMPRODUCT((P$3:P$107&lt;&gt;"")*(G$3:G$107=G40)*(J$3:J$107&gt;J40))+1,IF(O40&lt;&gt;"",SUMPRODUCT((O$3:O$107&lt;&gt;"")*(P$3:P$107="")*(G$3:G$107=G40)*(J$3:J$107&gt;J40))+SUMPRODUCT((P$3:P$107&lt;&gt;"")*(G$3:G$107=G40))+1,IF(N40&lt;&gt;"",SUMPRODUCT((N$3:N$107&lt;&gt;"")*(G$3:G$107=G40)*(J$3:J$107&gt;J40))+1,IF(M40="P",SUMPRODUCT((O$3:O$107&lt;&gt;"")*(P$3:P$107="")*(G$3:G$107=G40))+SUMPRODUCT((P$3:P$107&lt;&gt;"")*(G$3:G$107=G40))+SUMPRODUCT((N$3:N$107&lt;&gt;"")*(G$3:G$107=G40))+SUMPRODUCT((P$3:P$107="")*(O$3:O$107="")*(N$3:N$107="")*(M$3:M$107="P")*(G$3:G$107=G40)*(J$3:J$107&gt;J40))+IF(H40="L5",SUMPRODUCT((P$3:P$107="")*(O$3:O$107="")*(N$3:N$107="")*(M$3:M$107="P")*(G$3:G$107=G40)*(J$3:J$107&lt;J40)*(H$3:H$107&lt;&gt;H40)),-1*SUMPRODUCT((P$3:P$107="")*(O$3:O$107="")*(N$3:N$107="")*(M$3:M$107="P")*(G$3:G$107=G40)*(J$3:J$107&gt;J40)*(H$3:H$107="L5")))+1,""))))</f>
        <v/>
      </c>
      <c r="C40" s="36" t="s">
        <v>219</v>
      </c>
      <c r="D40" s="36" t="str">
        <f>IF(E40="","",VLOOKUP(E40,'Coaching Points'!A:B,2,0))</f>
        <v>ON</v>
      </c>
      <c r="E40" s="36" t="s">
        <v>47</v>
      </c>
      <c r="F40" s="35">
        <v>2006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66</v>
      </c>
      <c r="I40" s="43" t="s">
        <v>567</v>
      </c>
      <c r="J40" s="4">
        <f>R40+S40+IF(OR(H40="Junior",H40="Senior"),0.0002,IF(OR(H40="L7",H40="L6"),0.0001,0))+IF(G40="17-21",MAX(AA40,AC40,AF40),AE40)*0.0000001</f>
        <v>87.040003918999986</v>
      </c>
      <c r="K40" s="3" t="str">
        <f>IF(G40="Not Age Eligible","",IF(G40="17-21",IF(MAX(T40,V40,Y40,AA40,AC40,AF40)&gt;=LOOKUP(G40,'Qualifying Scores'!$A$4:$A$7,'Qualifying Scores'!$B$4:$B$7),"P",""),IF(MAX(X40-U40,AE40-AB40)&gt;=LOOKUP(G40,'Qualifying Scores'!$A$4:$A$7,'Qualifying Scores'!$B$4:$B$7),"P","")))</f>
        <v/>
      </c>
      <c r="L40" s="3" t="str">
        <f>IF(G40="Not Age Eligible","",IF(G40="17-21",IF(MAX(U40,W40,Z40,AB40,AD40,AG40)&gt;=LOOKUP(G40,'Qualifying Scores'!$A$10:$A$13,'Qualifying Scores'!$B$10:$B$13),"P",""),IF(MAX(W40,AD40)&gt;=LOOKUP(G40,'Qualifying Scores'!$A$10:$A$13,'Qualifying Scores'!$B$10:$B$13),"P","")))</f>
        <v/>
      </c>
      <c r="M40" s="3" t="str">
        <f>IF(G40="Not Age Eligible","",IF(G40="17-21",IF(OR(AND(T40&gt;=LOOKUP(G40,'Qualifying Scores'!$A$4:$A$7,'Qualifying Scores'!$B$4:$B$7),U40&gt;=LOOKUP(G40,'Qualifying Scores'!$A$10:$A$13,'Qualifying Scores'!$B$10:$B$13)),AND(V40&gt;=LOOKUP(G40,'Qualifying Scores'!$A$4:$A$7,'Qualifying Scores'!$B$4:$B$7),W40&gt;=LOOKUP(G40,'Qualifying Scores'!$A$10:$A$13,'Qualifying Scores'!$B$10:$B$13)),AND(Y40&gt;=LOOKUP(G40,'Qualifying Scores'!$A$4:$A$7,'Qualifying Scores'!$B$4:$B$7),Z40&gt;=LOOKUP(G40,'Qualifying Scores'!$A$10:$A$13,'Qualifying Scores'!$B$10:$B$13)),AND(AA40&gt;=LOOKUP(G40,'Qualifying Scores'!$A$4:$A$7,'Qualifying Scores'!$B$4:$B$7),AB40&gt;=LOOKUP(G40,'Qualifying Scores'!$A$10:$A$13,'Qualifying Scores'!$B$10:$B$13)),AND(AC40&gt;=LOOKUP(G40,'Qualifying Scores'!$A$4:$A$7,'Qualifying Scores'!$B$4:$B$7),AD40&gt;=LOOKUP(G40,'Qualifying Scores'!$A$10:$A$13,'Qualifying Scores'!$B$10:$B$13)),AND(AF40&gt;=LOOKUP(G40,'Qualifying Scores'!$A$4:$A$7,'Qualifying Scores'!$B$4:$B$7),AG40&gt;=LOOKUP(G40,'Qualifying Scores'!$A$10:$A$13,'Qualifying Scores'!$B$10:$B$13))),"P",""),IF(OR(AND(X40-U40&gt;=LOOKUP(G40,'Qualifying Scores'!$A$4:$A$7,'Qualifying Scores'!$B$4:$B$7),W40&gt;=LOOKUP(G40,'Qualifying Scores'!$A$10:$A$13,'Qualifying Scores'!$B$10:$B$13)),AND(AE40-AB40&gt;=LOOKUP(G40,'Qualifying Scores'!$A$4:$A$7,'Qualifying Scores'!$B$4:$B$7),AD40&gt;=LOOKUP(G40,'Qualifying Scores'!$A$10:$A$13,'Qualifying Scores'!$B$10:$B$13))),"P","")))</f>
        <v/>
      </c>
      <c r="Q40" s="1" t="str">
        <f>IF(A40&lt;5,IF(_xlfn.MAXIFS(A:A,G:G,G40)&gt;3,5-A40,_xlfn.MAXIFS(A:A,G:G,G40)+1-A40),"")</f>
        <v/>
      </c>
      <c r="R40" s="4">
        <f>IF(G40="17-21",MAX(T40,V40,Y40,AA40,AC40,AF40),MAX(X40,AE40))</f>
        <v>43.54</v>
      </c>
      <c r="S40" s="4">
        <f>IF(G40="17-21",LARGE(CHOOSE({1,2,3,4,5,6},T40,V40,Y40,AA40,AC40,AF40),2),IF(R40=X40,MAX(Y40,AA40,AC40,AF40),IF(R40=AE40,MAX(AF40,T40,V40,Y40),0)))</f>
        <v>43.5</v>
      </c>
      <c r="T40" s="33">
        <v>38.590000000000003</v>
      </c>
      <c r="U40" s="40">
        <v>0</v>
      </c>
      <c r="V40" s="34">
        <v>43.5</v>
      </c>
      <c r="W40" s="40">
        <v>7.9</v>
      </c>
      <c r="X40" s="4">
        <f>IF(H40="Senior",MAX(T40,V40),T40+V40)</f>
        <v>82.09</v>
      </c>
      <c r="Y40" s="34">
        <v>43.54</v>
      </c>
      <c r="Z40" s="40">
        <v>7.9</v>
      </c>
      <c r="AA40" s="33">
        <v>39.14</v>
      </c>
      <c r="AB40" s="40">
        <v>0</v>
      </c>
      <c r="AC40" s="34">
        <v>39.19</v>
      </c>
      <c r="AD40" s="40">
        <v>7.9</v>
      </c>
      <c r="AE40" s="4">
        <f>IF(H40="Senior",MAX(AA40,AC40),AA40+AC40)</f>
        <v>78.33</v>
      </c>
      <c r="AF40" s="34"/>
      <c r="AG40" s="37"/>
    </row>
    <row r="41" spans="1:33" x14ac:dyDescent="0.2">
      <c r="A41" s="1" t="str" cm="1">
        <f t="array" ref="A41">IF(I41="","",IF(P41&lt;&gt;"",SUMPRODUCT((P$3:P$107&lt;&gt;"")*(G$3:G$107=G41)*(J$3:J$107&gt;J41)*(I$3:I$107="P"))+1,IF(O41&lt;&gt;"",SUMPRODUCT((O$3:O$107&lt;&gt;"")*(P$3:P$107="")*(G$3:G$107=G41)*(J$3:J$107&gt;J41)*(I$3:I$107="P"))+SUMPRODUCT((P$3:P$107&lt;&gt;"")*(G$3:G$107=G41)*(I$3:I$107="P"))+1,IF(N41&lt;&gt;"",SUMPRODUCT((N$3:N$107&lt;&gt;"")*(G$3:G$107=G41)*(J$3:J$107&gt;J41)*(I$3:I$107="P"))+1,IF(M41="P",SUMPRODUCT((O$3:O$107&lt;&gt;"")*(P$3:P$107="")*(G$3:G$107=G41)*(I$3:I$107="P"))+SUMPRODUCT((P$3:P$107&lt;&gt;"")*(G$3:G$107=G41)*(I$3:I$107="P"))+SUMPRODUCT((N$3:N$107&lt;&gt;"")*(G$3:G$107=G41)*(I$3:I$107="P"))+SUMPRODUCT((P$3:P$107="")*(O$3:O$107="")*(N$3:N$107="")*(M$3:M$107="P")*(G$3:G$107=G41)*(J$3:J$107&gt;J41)*(I$3:I$107="P"))+IF(H41="L5",SUMPRODUCT((P$3:P$107="")*(O$3:O$107="")*(N$3:N$107="")*(M$3:M$107="P")*(G$3:G$107=G41)*(J$3:J$107&lt;J41)*(H$3:H$107&lt;&gt;H41)*(I$3:I$107="P")),-1*SUMPRODUCT((P$3:P$107="")*(O$3:O$107="")*(N$3:N$107="")*(M$3:M$107="P")*(G$3:G$107=G41)*(J$3:J$107&gt;J41)*(H$3:H$107="L5")*(I$3:I$107="P")))+1,"")))))</f>
        <v/>
      </c>
      <c r="B41" s="1" t="str" cm="1">
        <f t="array" ref="B41">IF(P41&lt;&gt;"",SUMPRODUCT((P$3:P$107&lt;&gt;"")*(G$3:G$107=G41)*(J$3:J$107&gt;J41))+1,IF(O41&lt;&gt;"",SUMPRODUCT((O$3:O$107&lt;&gt;"")*(P$3:P$107="")*(G$3:G$107=G41)*(J$3:J$107&gt;J41))+SUMPRODUCT((P$3:P$107&lt;&gt;"")*(G$3:G$107=G41))+1,IF(N41&lt;&gt;"",SUMPRODUCT((N$3:N$107&lt;&gt;"")*(G$3:G$107=G41)*(J$3:J$107&gt;J41))+1,IF(M41="P",SUMPRODUCT((O$3:O$107&lt;&gt;"")*(P$3:P$107="")*(G$3:G$107=G41))+SUMPRODUCT((P$3:P$107&lt;&gt;"")*(G$3:G$107=G41))+SUMPRODUCT((N$3:N$107&lt;&gt;"")*(G$3:G$107=G41))+SUMPRODUCT((P$3:P$107="")*(O$3:O$107="")*(N$3:N$107="")*(M$3:M$107="P")*(G$3:G$107=G41)*(J$3:J$107&gt;J41))+IF(H41="L5",SUMPRODUCT((P$3:P$107="")*(O$3:O$107="")*(N$3:N$107="")*(M$3:M$107="P")*(G$3:G$107=G41)*(J$3:J$107&lt;J41)*(H$3:H$107&lt;&gt;H41)),-1*SUMPRODUCT((P$3:P$107="")*(O$3:O$107="")*(N$3:N$107="")*(M$3:M$107="P")*(G$3:G$107=G41)*(J$3:J$107&gt;J41)*(H$3:H$107="L5")))+1,""))))</f>
        <v/>
      </c>
      <c r="C41" s="36" t="s">
        <v>223</v>
      </c>
      <c r="D41" s="36" t="str">
        <f>IF(E41="","",VLOOKUP(E41,'Coaching Points'!A:B,2,0))</f>
        <v>ON</v>
      </c>
      <c r="E41" s="36" t="s">
        <v>73</v>
      </c>
      <c r="F41" s="35">
        <v>2006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66</v>
      </c>
      <c r="I41" s="43"/>
      <c r="J41" s="4">
        <f>R41+S41+IF(OR(H41="Junior",H41="Senior"),0.0002,IF(OR(H41="L7",H41="L6"),0.0001,0))+IF(G41="17-21",MAX(AA41,AC41,AF41),AE41)*0.0000001</f>
        <v>86.940004411999993</v>
      </c>
      <c r="K41" s="3" t="str">
        <f>IF(G41="Not Age Eligible","",IF(G41="17-21",IF(MAX(T41,V41,Y41,AA41,AC41,AF41)&gt;=LOOKUP(G41,'Qualifying Scores'!$A$4:$A$7,'Qualifying Scores'!$B$4:$B$7),"P",""),IF(MAX(X41-U41,AE41-AB41)&gt;=LOOKUP(G41,'Qualifying Scores'!$A$4:$A$7,'Qualifying Scores'!$B$4:$B$7),"P","")))</f>
        <v/>
      </c>
      <c r="L41" s="3" t="str">
        <f>IF(G41="Not Age Eligible","",IF(G41="17-21",IF(MAX(U41,W41,Z41,AB41,AD41,AG41)&gt;=LOOKUP(G41,'Qualifying Scores'!$A$10:$A$13,'Qualifying Scores'!$B$10:$B$13),"P",""),IF(MAX(W41,AD41)&gt;=LOOKUP(G41,'Qualifying Scores'!$A$10:$A$13,'Qualifying Scores'!$B$10:$B$13),"P","")))</f>
        <v/>
      </c>
      <c r="M41" s="3" t="str">
        <f>IF(G41="Not Age Eligible","",IF(G41="17-21",IF(OR(AND(T41&gt;=LOOKUP(G41,'Qualifying Scores'!$A$4:$A$7,'Qualifying Scores'!$B$4:$B$7),U41&gt;=LOOKUP(G41,'Qualifying Scores'!$A$10:$A$13,'Qualifying Scores'!$B$10:$B$13)),AND(V41&gt;=LOOKUP(G41,'Qualifying Scores'!$A$4:$A$7,'Qualifying Scores'!$B$4:$B$7),W41&gt;=LOOKUP(G41,'Qualifying Scores'!$A$10:$A$13,'Qualifying Scores'!$B$10:$B$13)),AND(Y41&gt;=LOOKUP(G41,'Qualifying Scores'!$A$4:$A$7,'Qualifying Scores'!$B$4:$B$7),Z41&gt;=LOOKUP(G41,'Qualifying Scores'!$A$10:$A$13,'Qualifying Scores'!$B$10:$B$13)),AND(AA41&gt;=LOOKUP(G41,'Qualifying Scores'!$A$4:$A$7,'Qualifying Scores'!$B$4:$B$7),AB41&gt;=LOOKUP(G41,'Qualifying Scores'!$A$10:$A$13,'Qualifying Scores'!$B$10:$B$13)),AND(AC41&gt;=LOOKUP(G41,'Qualifying Scores'!$A$4:$A$7,'Qualifying Scores'!$B$4:$B$7),AD41&gt;=LOOKUP(G41,'Qualifying Scores'!$A$10:$A$13,'Qualifying Scores'!$B$10:$B$13)),AND(AF41&gt;=LOOKUP(G41,'Qualifying Scores'!$A$4:$A$7,'Qualifying Scores'!$B$4:$B$7),AG41&gt;=LOOKUP(G41,'Qualifying Scores'!$A$10:$A$13,'Qualifying Scores'!$B$10:$B$13))),"P",""),IF(OR(AND(X41-U41&gt;=LOOKUP(G41,'Qualifying Scores'!$A$4:$A$7,'Qualifying Scores'!$B$4:$B$7),W41&gt;=LOOKUP(G41,'Qualifying Scores'!$A$10:$A$13,'Qualifying Scores'!$B$10:$B$13)),AND(AE41-AB41&gt;=LOOKUP(G41,'Qualifying Scores'!$A$4:$A$7,'Qualifying Scores'!$B$4:$B$7),AD41&gt;=LOOKUP(G41,'Qualifying Scores'!$A$10:$A$13,'Qualifying Scores'!$B$10:$B$13))),"P","")))</f>
        <v/>
      </c>
      <c r="Q41" s="1" t="str">
        <f>IF(A41&lt;5,IF(_xlfn.MAXIFS(A:A,G:G,G41)&gt;3,5-A41,_xlfn.MAXIFS(A:A,G:G,G41)+1-A41),"")</f>
        <v/>
      </c>
      <c r="R41" s="4">
        <f>IF(G41="17-21",MAX(T41,V41,Y41,AA41,AC41,AF41),MAX(X41,AE41))</f>
        <v>44.12</v>
      </c>
      <c r="S41" s="4">
        <f>IF(G41="17-21",LARGE(CHOOSE({1,2,3,4,5,6},T41,V41,Y41,AA41,AC41,AF41),2),IF(R41=X41,MAX(Y41,AA41,AC41,AF41),IF(R41=AE41,MAX(AF41,T41,V41,Y41),0)))</f>
        <v>42.82</v>
      </c>
      <c r="T41" s="33">
        <v>36.31</v>
      </c>
      <c r="U41" s="40">
        <v>0</v>
      </c>
      <c r="V41" s="34">
        <v>42.82</v>
      </c>
      <c r="W41" s="40">
        <v>7.8</v>
      </c>
      <c r="X41" s="4">
        <f>IF(H41="Senior",MAX(T41,V41),T41+V41)</f>
        <v>79.13</v>
      </c>
      <c r="Y41" s="34"/>
      <c r="Z41" s="40"/>
      <c r="AA41" s="33">
        <v>37.14</v>
      </c>
      <c r="AB41" s="40">
        <v>0</v>
      </c>
      <c r="AC41" s="34">
        <v>44.12</v>
      </c>
      <c r="AD41" s="40">
        <v>7.8</v>
      </c>
      <c r="AE41" s="4">
        <f>IF(H41="Senior",MAX(AA41,AC41),AA41+AC41)</f>
        <v>81.259999999999991</v>
      </c>
      <c r="AF41" s="34"/>
      <c r="AG41" s="37"/>
    </row>
    <row r="42" spans="1:33" x14ac:dyDescent="0.2">
      <c r="A42" s="1" t="str" cm="1">
        <f t="array" ref="A42">IF(I42="","",IF(P42&lt;&gt;"",SUMPRODUCT((P$3:P$107&lt;&gt;"")*(G$3:G$107=G42)*(J$3:J$107&gt;J42)*(I$3:I$107="P"))+1,IF(O42&lt;&gt;"",SUMPRODUCT((O$3:O$107&lt;&gt;"")*(P$3:P$107="")*(G$3:G$107=G42)*(J$3:J$107&gt;J42)*(I$3:I$107="P"))+SUMPRODUCT((P$3:P$107&lt;&gt;"")*(G$3:G$107=G42)*(I$3:I$107="P"))+1,IF(N42&lt;&gt;"",SUMPRODUCT((N$3:N$107&lt;&gt;"")*(G$3:G$107=G42)*(J$3:J$107&gt;J42)*(I$3:I$107="P"))+1,IF(M42="P",SUMPRODUCT((O$3:O$107&lt;&gt;"")*(P$3:P$107="")*(G$3:G$107=G42)*(I$3:I$107="P"))+SUMPRODUCT((P$3:P$107&lt;&gt;"")*(G$3:G$107=G42)*(I$3:I$107="P"))+SUMPRODUCT((N$3:N$107&lt;&gt;"")*(G$3:G$107=G42)*(I$3:I$107="P"))+SUMPRODUCT((P$3:P$107="")*(O$3:O$107="")*(N$3:N$107="")*(M$3:M$107="P")*(G$3:G$107=G42)*(J$3:J$107&gt;J42)*(I$3:I$107="P"))+IF(H42="L5",SUMPRODUCT((P$3:P$107="")*(O$3:O$107="")*(N$3:N$107="")*(M$3:M$107="P")*(G$3:G$107=G42)*(J$3:J$107&lt;J42)*(H$3:H$107&lt;&gt;H42)*(I$3:I$107="P")),-1*SUMPRODUCT((P$3:P$107="")*(O$3:O$107="")*(N$3:N$107="")*(M$3:M$107="P")*(G$3:G$107=G42)*(J$3:J$107&gt;J42)*(H$3:H$107="L5")*(I$3:I$107="P")))+1,"")))))</f>
        <v/>
      </c>
      <c r="B42" s="1" t="str" cm="1">
        <f t="array" ref="B42">IF(P42&lt;&gt;"",SUMPRODUCT((P$3:P$107&lt;&gt;"")*(G$3:G$107=G42)*(J$3:J$107&gt;J42))+1,IF(O42&lt;&gt;"",SUMPRODUCT((O$3:O$107&lt;&gt;"")*(P$3:P$107="")*(G$3:G$107=G42)*(J$3:J$107&gt;J42))+SUMPRODUCT((P$3:P$107&lt;&gt;"")*(G$3:G$107=G42))+1,IF(N42&lt;&gt;"",SUMPRODUCT((N$3:N$107&lt;&gt;"")*(G$3:G$107=G42)*(J$3:J$107&gt;J42))+1,IF(M42="P",SUMPRODUCT((O$3:O$107&lt;&gt;"")*(P$3:P$107="")*(G$3:G$107=G42))+SUMPRODUCT((P$3:P$107&lt;&gt;"")*(G$3:G$107=G42))+SUMPRODUCT((N$3:N$107&lt;&gt;"")*(G$3:G$107=G42))+SUMPRODUCT((P$3:P$107="")*(O$3:O$107="")*(N$3:N$107="")*(M$3:M$107="P")*(G$3:G$107=G42)*(J$3:J$107&gt;J42))+IF(H42="L5",SUMPRODUCT((P$3:P$107="")*(O$3:O$107="")*(N$3:N$107="")*(M$3:M$107="P")*(G$3:G$107=G42)*(J$3:J$107&lt;J42)*(H$3:H$107&lt;&gt;H42)),-1*SUMPRODUCT((P$3:P$107="")*(O$3:O$107="")*(N$3:N$107="")*(M$3:M$107="P")*(G$3:G$107=G42)*(J$3:J$107&gt;J42)*(H$3:H$107="L5")))+1,""))))</f>
        <v/>
      </c>
      <c r="C42" s="36" t="s">
        <v>319</v>
      </c>
      <c r="D42" s="36" t="str">
        <f>IF(E42="","",VLOOKUP(E42,'Coaching Points'!A:B,2,0))</f>
        <v>ON</v>
      </c>
      <c r="E42" s="36" t="s">
        <v>113</v>
      </c>
      <c r="F42" s="35">
        <v>2005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66</v>
      </c>
      <c r="I42" s="43"/>
      <c r="J42" s="4">
        <f>R42+S42+IF(OR(H42="Junior",H42="Senior"),0.0002,IF(OR(H42="L7",H42="L6"),0.0001,0))+IF(G42="17-21",MAX(AA42,AC42,AF42),AE42)*0.0000001</f>
        <v>86.72999999999999</v>
      </c>
      <c r="K42" s="3" t="str">
        <f>IF(G42="Not Age Eligible","",IF(G42="17-21",IF(MAX(T42,V42,Y42,AA42,AC42,AF42)&gt;=LOOKUP(G42,'Qualifying Scores'!$A$4:$A$7,'Qualifying Scores'!$B$4:$B$7),"P",""),IF(MAX(X42-U42,AE42-AB42)&gt;=LOOKUP(G42,'Qualifying Scores'!$A$4:$A$7,'Qualifying Scores'!$B$4:$B$7),"P","")))</f>
        <v/>
      </c>
      <c r="L42" s="3" t="str">
        <f>IF(G42="Not Age Eligible","",IF(G42="17-21",IF(MAX(U42,W42,Z42,AB42,AD42,AG42)&gt;=LOOKUP(G42,'Qualifying Scores'!$A$10:$A$13,'Qualifying Scores'!$B$10:$B$13),"P",""),IF(MAX(W42,AD42)&gt;=LOOKUP(G42,'Qualifying Scores'!$A$10:$A$13,'Qualifying Scores'!$B$10:$B$13),"P","")))</f>
        <v/>
      </c>
      <c r="M42" s="3" t="str">
        <f>IF(G42="Not Age Eligible","",IF(G42="17-21",IF(OR(AND(T42&gt;=LOOKUP(G42,'Qualifying Scores'!$A$4:$A$7,'Qualifying Scores'!$B$4:$B$7),U42&gt;=LOOKUP(G42,'Qualifying Scores'!$A$10:$A$13,'Qualifying Scores'!$B$10:$B$13)),AND(V42&gt;=LOOKUP(G42,'Qualifying Scores'!$A$4:$A$7,'Qualifying Scores'!$B$4:$B$7),W42&gt;=LOOKUP(G42,'Qualifying Scores'!$A$10:$A$13,'Qualifying Scores'!$B$10:$B$13)),AND(Y42&gt;=LOOKUP(G42,'Qualifying Scores'!$A$4:$A$7,'Qualifying Scores'!$B$4:$B$7),Z42&gt;=LOOKUP(G42,'Qualifying Scores'!$A$10:$A$13,'Qualifying Scores'!$B$10:$B$13)),AND(AA42&gt;=LOOKUP(G42,'Qualifying Scores'!$A$4:$A$7,'Qualifying Scores'!$B$4:$B$7),AB42&gt;=LOOKUP(G42,'Qualifying Scores'!$A$10:$A$13,'Qualifying Scores'!$B$10:$B$13)),AND(AC42&gt;=LOOKUP(G42,'Qualifying Scores'!$A$4:$A$7,'Qualifying Scores'!$B$4:$B$7),AD42&gt;=LOOKUP(G42,'Qualifying Scores'!$A$10:$A$13,'Qualifying Scores'!$B$10:$B$13)),AND(AF42&gt;=LOOKUP(G42,'Qualifying Scores'!$A$4:$A$7,'Qualifying Scores'!$B$4:$B$7),AG42&gt;=LOOKUP(G42,'Qualifying Scores'!$A$10:$A$13,'Qualifying Scores'!$B$10:$B$13))),"P",""),IF(OR(AND(X42-U42&gt;=LOOKUP(G42,'Qualifying Scores'!$A$4:$A$7,'Qualifying Scores'!$B$4:$B$7),W42&gt;=LOOKUP(G42,'Qualifying Scores'!$A$10:$A$13,'Qualifying Scores'!$B$10:$B$13)),AND(AE42-AB42&gt;=LOOKUP(G42,'Qualifying Scores'!$A$4:$A$7,'Qualifying Scores'!$B$4:$B$7),AD42&gt;=LOOKUP(G42,'Qualifying Scores'!$A$10:$A$13,'Qualifying Scores'!$B$10:$B$13))),"P","")))</f>
        <v/>
      </c>
      <c r="Q42" s="1" t="str">
        <f>IF(A42&lt;5,IF(_xlfn.MAXIFS(A:A,G:G,G42)&gt;3,5-A42,_xlfn.MAXIFS(A:A,G:G,G42)+1-A42),"")</f>
        <v/>
      </c>
      <c r="R42" s="4">
        <f>IF(G42="17-21",MAX(T42,V42,Y42,AA42,AC42,AF42),MAX(X42,AE42))</f>
        <v>43.54</v>
      </c>
      <c r="S42" s="4">
        <f>IF(G42="17-21",LARGE(CHOOSE({1,2,3,4,5,6},T42,V42,Y42,AA42,AC42,AF42),2),IF(R42=X42,MAX(Y42,AA42,AC42,AF42),IF(R42=AE42,MAX(AF42,T42,V42,Y42),0)))</f>
        <v>43.19</v>
      </c>
      <c r="T42" s="33">
        <v>38.299999999999997</v>
      </c>
      <c r="U42" s="40">
        <v>0</v>
      </c>
      <c r="V42" s="34">
        <v>43.19</v>
      </c>
      <c r="W42" s="40">
        <v>8.4</v>
      </c>
      <c r="X42" s="4">
        <f>IF(H42="Senior",MAX(T42,V42),T42+V42)</f>
        <v>81.489999999999995</v>
      </c>
      <c r="Y42" s="34">
        <v>43.54</v>
      </c>
      <c r="Z42" s="40">
        <v>8.4</v>
      </c>
      <c r="AA42" s="33"/>
      <c r="AB42" s="40"/>
      <c r="AC42" s="34"/>
      <c r="AD42" s="40"/>
      <c r="AE42" s="4">
        <f>IF(H42="Senior",MAX(AA42,AC42),AA42+AC42)</f>
        <v>0</v>
      </c>
      <c r="AF42" s="34"/>
      <c r="AG42" s="37"/>
    </row>
    <row r="43" spans="1:33" x14ac:dyDescent="0.2">
      <c r="A43" s="1" t="str" cm="1">
        <f t="array" ref="A43">IF(I43="","",IF(P43&lt;&gt;"",SUMPRODUCT((P$3:P$107&lt;&gt;"")*(G$3:G$107=G43)*(J$3:J$107&gt;J43)*(I$3:I$107="P"))+1,IF(O43&lt;&gt;"",SUMPRODUCT((O$3:O$107&lt;&gt;"")*(P$3:P$107="")*(G$3:G$107=G43)*(J$3:J$107&gt;J43)*(I$3:I$107="P"))+SUMPRODUCT((P$3:P$107&lt;&gt;"")*(G$3:G$107=G43)*(I$3:I$107="P"))+1,IF(N43&lt;&gt;"",SUMPRODUCT((N$3:N$107&lt;&gt;"")*(G$3:G$107=G43)*(J$3:J$107&gt;J43)*(I$3:I$107="P"))+1,IF(M43="P",SUMPRODUCT((O$3:O$107&lt;&gt;"")*(P$3:P$107="")*(G$3:G$107=G43)*(I$3:I$107="P"))+SUMPRODUCT((P$3:P$107&lt;&gt;"")*(G$3:G$107=G43)*(I$3:I$107="P"))+SUMPRODUCT((N$3:N$107&lt;&gt;"")*(G$3:G$107=G43)*(I$3:I$107="P"))+SUMPRODUCT((P$3:P$107="")*(O$3:O$107="")*(N$3:N$107="")*(M$3:M$107="P")*(G$3:G$107=G43)*(J$3:J$107&gt;J43)*(I$3:I$107="P"))+IF(H43="L5",SUMPRODUCT((P$3:P$107="")*(O$3:O$107="")*(N$3:N$107="")*(M$3:M$107="P")*(G$3:G$107=G43)*(J$3:J$107&lt;J43)*(H$3:H$107&lt;&gt;H43)*(I$3:I$107="P")),-1*SUMPRODUCT((P$3:P$107="")*(O$3:O$107="")*(N$3:N$107="")*(M$3:M$107="P")*(G$3:G$107=G43)*(J$3:J$107&gt;J43)*(H$3:H$107="L5")*(I$3:I$107="P")))+1,"")))))</f>
        <v/>
      </c>
      <c r="B43" s="1" t="str" cm="1">
        <f t="array" ref="B43">IF(P43&lt;&gt;"",SUMPRODUCT((P$3:P$107&lt;&gt;"")*(G$3:G$107=G43)*(J$3:J$107&gt;J43))+1,IF(O43&lt;&gt;"",SUMPRODUCT((O$3:O$107&lt;&gt;"")*(P$3:P$107="")*(G$3:G$107=G43)*(J$3:J$107&gt;J43))+SUMPRODUCT((P$3:P$107&lt;&gt;"")*(G$3:G$107=G43))+1,IF(N43&lt;&gt;"",SUMPRODUCT((N$3:N$107&lt;&gt;"")*(G$3:G$107=G43)*(J$3:J$107&gt;J43))+1,IF(M43="P",SUMPRODUCT((O$3:O$107&lt;&gt;"")*(P$3:P$107="")*(G$3:G$107=G43))+SUMPRODUCT((P$3:P$107&lt;&gt;"")*(G$3:G$107=G43))+SUMPRODUCT((N$3:N$107&lt;&gt;"")*(G$3:G$107=G43))+SUMPRODUCT((P$3:P$107="")*(O$3:O$107="")*(N$3:N$107="")*(M$3:M$107="P")*(G$3:G$107=G43)*(J$3:J$107&gt;J43))+IF(H43="L5",SUMPRODUCT((P$3:P$107="")*(O$3:O$107="")*(N$3:N$107="")*(M$3:M$107="P")*(G$3:G$107=G43)*(J$3:J$107&lt;J43)*(H$3:H$107&lt;&gt;H43)),-1*SUMPRODUCT((P$3:P$107="")*(O$3:O$107="")*(N$3:N$107="")*(M$3:M$107="P")*(G$3:G$107=G43)*(J$3:J$107&gt;J43)*(H$3:H$107="L5")))+1,""))))</f>
        <v/>
      </c>
      <c r="C43" s="36" t="s">
        <v>98</v>
      </c>
      <c r="D43" s="36" t="str">
        <f>IF(E43="","",VLOOKUP(E43,'Coaching Points'!A:B,2,0))</f>
        <v>BC</v>
      </c>
      <c r="E43" s="36" t="s">
        <v>62</v>
      </c>
      <c r="F43" s="35">
        <v>2005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66</v>
      </c>
      <c r="I43" s="43"/>
      <c r="J43" s="4">
        <f>R43+S43+IF(OR(H43="Junior",H43="Senior"),0.0002,IF(OR(H43="L7",H43="L6"),0.0001,0))+IF(G43="17-21",MAX(AA43,AC43,AF43),AE43)*0.0000001</f>
        <v>86.270004297999989</v>
      </c>
      <c r="K43" s="3" t="str">
        <f>IF(G43="Not Age Eligible","",IF(G43="17-21",IF(MAX(T43,V43,Y43,AA43,AC43,AF43)&gt;=LOOKUP(G43,'Qualifying Scores'!$A$4:$A$7,'Qualifying Scores'!$B$4:$B$7),"P",""),IF(MAX(X43-U43,AE43-AB43)&gt;=LOOKUP(G43,'Qualifying Scores'!$A$4:$A$7,'Qualifying Scores'!$B$4:$B$7),"P","")))</f>
        <v/>
      </c>
      <c r="L43" s="3" t="str">
        <f>IF(G43="Not Age Eligible","",IF(G43="17-21",IF(MAX(U43,W43,Z43,AB43,AD43,AG43)&gt;=LOOKUP(G43,'Qualifying Scores'!$A$10:$A$13,'Qualifying Scores'!$B$10:$B$13),"P",""),IF(MAX(W43,AD43)&gt;=LOOKUP(G43,'Qualifying Scores'!$A$10:$A$13,'Qualifying Scores'!$B$10:$B$13),"P","")))</f>
        <v/>
      </c>
      <c r="M43" s="3" t="str">
        <f>IF(G43="Not Age Eligible","",IF(G43="17-21",IF(OR(AND(T43&gt;=LOOKUP(G43,'Qualifying Scores'!$A$4:$A$7,'Qualifying Scores'!$B$4:$B$7),U43&gt;=LOOKUP(G43,'Qualifying Scores'!$A$10:$A$13,'Qualifying Scores'!$B$10:$B$13)),AND(V43&gt;=LOOKUP(G43,'Qualifying Scores'!$A$4:$A$7,'Qualifying Scores'!$B$4:$B$7),W43&gt;=LOOKUP(G43,'Qualifying Scores'!$A$10:$A$13,'Qualifying Scores'!$B$10:$B$13)),AND(Y43&gt;=LOOKUP(G43,'Qualifying Scores'!$A$4:$A$7,'Qualifying Scores'!$B$4:$B$7),Z43&gt;=LOOKUP(G43,'Qualifying Scores'!$A$10:$A$13,'Qualifying Scores'!$B$10:$B$13)),AND(AA43&gt;=LOOKUP(G43,'Qualifying Scores'!$A$4:$A$7,'Qualifying Scores'!$B$4:$B$7),AB43&gt;=LOOKUP(G43,'Qualifying Scores'!$A$10:$A$13,'Qualifying Scores'!$B$10:$B$13)),AND(AC43&gt;=LOOKUP(G43,'Qualifying Scores'!$A$4:$A$7,'Qualifying Scores'!$B$4:$B$7),AD43&gt;=LOOKUP(G43,'Qualifying Scores'!$A$10:$A$13,'Qualifying Scores'!$B$10:$B$13)),AND(AF43&gt;=LOOKUP(G43,'Qualifying Scores'!$A$4:$A$7,'Qualifying Scores'!$B$4:$B$7),AG43&gt;=LOOKUP(G43,'Qualifying Scores'!$A$10:$A$13,'Qualifying Scores'!$B$10:$B$13))),"P",""),IF(OR(AND(X43-U43&gt;=LOOKUP(G43,'Qualifying Scores'!$A$4:$A$7,'Qualifying Scores'!$B$4:$B$7),W43&gt;=LOOKUP(G43,'Qualifying Scores'!$A$10:$A$13,'Qualifying Scores'!$B$10:$B$13)),AND(AE43-AB43&gt;=LOOKUP(G43,'Qualifying Scores'!$A$4:$A$7,'Qualifying Scores'!$B$4:$B$7),AD43&gt;=LOOKUP(G43,'Qualifying Scores'!$A$10:$A$13,'Qualifying Scores'!$B$10:$B$13))),"P","")))</f>
        <v/>
      </c>
      <c r="Q43" s="1" t="str">
        <f>IF(A43&lt;5,IF(_xlfn.MAXIFS(A:A,G:G,G43)&gt;3,5-A43,_xlfn.MAXIFS(A:A,G:G,G43)+1-A43),"")</f>
        <v/>
      </c>
      <c r="R43" s="4">
        <f>IF(G43="17-21",MAX(T43,V43,Y43,AA43,AC43,AF43),MAX(X43,AE43))</f>
        <v>43.29</v>
      </c>
      <c r="S43" s="4">
        <f>IF(G43="17-21",LARGE(CHOOSE({1,2,3,4,5,6},T43,V43,Y43,AA43,AC43,AF43),2),IF(R43=X43,MAX(Y43,AA43,AC43,AF43),IF(R43=AE43,MAX(AF43,T43,V43,Y43),0)))</f>
        <v>42.98</v>
      </c>
      <c r="T43" s="33">
        <v>36.04</v>
      </c>
      <c r="U43" s="40">
        <v>0</v>
      </c>
      <c r="V43" s="34">
        <v>43.29</v>
      </c>
      <c r="W43" s="40">
        <v>8.9</v>
      </c>
      <c r="X43" s="4">
        <f>IF(H43="Senior",MAX(T43,V43),T43+V43)</f>
        <v>79.33</v>
      </c>
      <c r="Y43" s="34"/>
      <c r="Z43" s="40"/>
      <c r="AA43" s="33">
        <v>32.92</v>
      </c>
      <c r="AB43" s="40">
        <v>0</v>
      </c>
      <c r="AC43" s="34">
        <v>42.98</v>
      </c>
      <c r="AD43" s="40">
        <v>8.3000000000000007</v>
      </c>
      <c r="AE43" s="4">
        <f>IF(H43="Senior",MAX(AA43,AC43),AA43+AC43)</f>
        <v>75.900000000000006</v>
      </c>
      <c r="AF43" s="34"/>
      <c r="AG43" s="37"/>
    </row>
    <row r="44" spans="1:33" x14ac:dyDescent="0.2">
      <c r="A44" s="1" t="str" cm="1">
        <f t="array" ref="A44">IF(I44="","",IF(P44&lt;&gt;"",SUMPRODUCT((P$3:P$107&lt;&gt;"")*(G$3:G$107=G44)*(J$3:J$107&gt;J44)*(I$3:I$107="P"))+1,IF(O44&lt;&gt;"",SUMPRODUCT((O$3:O$107&lt;&gt;"")*(P$3:P$107="")*(G$3:G$107=G44)*(J$3:J$107&gt;J44)*(I$3:I$107="P"))+SUMPRODUCT((P$3:P$107&lt;&gt;"")*(G$3:G$107=G44)*(I$3:I$107="P"))+1,IF(N44&lt;&gt;"",SUMPRODUCT((N$3:N$107&lt;&gt;"")*(G$3:G$107=G44)*(J$3:J$107&gt;J44)*(I$3:I$107="P"))+1,IF(M44="P",SUMPRODUCT((O$3:O$107&lt;&gt;"")*(P$3:P$107="")*(G$3:G$107=G44)*(I$3:I$107="P"))+SUMPRODUCT((P$3:P$107&lt;&gt;"")*(G$3:G$107=G44)*(I$3:I$107="P"))+SUMPRODUCT((N$3:N$107&lt;&gt;"")*(G$3:G$107=G44)*(I$3:I$107="P"))+SUMPRODUCT((P$3:P$107="")*(O$3:O$107="")*(N$3:N$107="")*(M$3:M$107="P")*(G$3:G$107=G44)*(J$3:J$107&gt;J44)*(I$3:I$107="P"))+IF(H44="L5",SUMPRODUCT((P$3:P$107="")*(O$3:O$107="")*(N$3:N$107="")*(M$3:M$107="P")*(G$3:G$107=G44)*(J$3:J$107&lt;J44)*(H$3:H$107&lt;&gt;H44)*(I$3:I$107="P")),-1*SUMPRODUCT((P$3:P$107="")*(O$3:O$107="")*(N$3:N$107="")*(M$3:M$107="P")*(G$3:G$107=G44)*(J$3:J$107&gt;J44)*(H$3:H$107="L5")*(I$3:I$107="P")))+1,"")))))</f>
        <v/>
      </c>
      <c r="B44" s="1" t="str" cm="1">
        <f t="array" ref="B44">IF(P44&lt;&gt;"",SUMPRODUCT((P$3:P$107&lt;&gt;"")*(G$3:G$107=G44)*(J$3:J$107&gt;J44))+1,IF(O44&lt;&gt;"",SUMPRODUCT((O$3:O$107&lt;&gt;"")*(P$3:P$107="")*(G$3:G$107=G44)*(J$3:J$107&gt;J44))+SUMPRODUCT((P$3:P$107&lt;&gt;"")*(G$3:G$107=G44))+1,IF(N44&lt;&gt;"",SUMPRODUCT((N$3:N$107&lt;&gt;"")*(G$3:G$107=G44)*(J$3:J$107&gt;J44))+1,IF(M44="P",SUMPRODUCT((O$3:O$107&lt;&gt;"")*(P$3:P$107="")*(G$3:G$107=G44))+SUMPRODUCT((P$3:P$107&lt;&gt;"")*(G$3:G$107=G44))+SUMPRODUCT((N$3:N$107&lt;&gt;"")*(G$3:G$107=G44))+SUMPRODUCT((P$3:P$107="")*(O$3:O$107="")*(N$3:N$107="")*(M$3:M$107="P")*(G$3:G$107=G44)*(J$3:J$107&gt;J44))+IF(H44="L5",SUMPRODUCT((P$3:P$107="")*(O$3:O$107="")*(N$3:N$107="")*(M$3:M$107="P")*(G$3:G$107=G44)*(J$3:J$107&lt;J44)*(H$3:H$107&lt;&gt;H44)),-1*SUMPRODUCT((P$3:P$107="")*(O$3:O$107="")*(N$3:N$107="")*(M$3:M$107="P")*(G$3:G$107=G44)*(J$3:J$107&gt;J44)*(H$3:H$107="L5")))+1,""))))</f>
        <v/>
      </c>
      <c r="C44" s="36" t="s">
        <v>220</v>
      </c>
      <c r="D44" s="36" t="str">
        <f>IF(E44="","",VLOOKUP(E44,'Coaching Points'!A:B,2,0))</f>
        <v>NB</v>
      </c>
      <c r="E44" s="36" t="s">
        <v>48</v>
      </c>
      <c r="F44" s="35">
        <v>2006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68</v>
      </c>
      <c r="I44" s="43"/>
      <c r="J44" s="4">
        <f>R44+S44+IF(OR(H44="Junior",H44="Senior"),0.0002,IF(OR(H44="L7",H44="L6"),0.0001,0))+IF(G44="17-21",MAX(AA44,AC44,AF44),AE44)*0.0000001</f>
        <v>84.350104690999999</v>
      </c>
      <c r="K44" s="3" t="str">
        <f>IF(G44="Not Age Eligible","",IF(G44="17-21",IF(MAX(T44,V44,Y44,AA44,AC44,AF44)&gt;=LOOKUP(G44,'Qualifying Scores'!$A$4:$A$7,'Qualifying Scores'!$B$4:$B$7),"P",""),IF(MAX(X44-U44,AE44-AB44)&gt;=LOOKUP(G44,'Qualifying Scores'!$A$4:$A$7,'Qualifying Scores'!$B$4:$B$7),"P","")))</f>
        <v/>
      </c>
      <c r="L44" s="3" t="str">
        <f>IF(G44="Not Age Eligible","",IF(G44="17-21",IF(MAX(U44,W44,Z44,AB44,AD44,AG44)&gt;=LOOKUP(G44,'Qualifying Scores'!$A$10:$A$13,'Qualifying Scores'!$B$10:$B$13),"P",""),IF(MAX(W44,AD44)&gt;=LOOKUP(G44,'Qualifying Scores'!$A$10:$A$13,'Qualifying Scores'!$B$10:$B$13),"P","")))</f>
        <v/>
      </c>
      <c r="M44" s="3" t="str">
        <f>IF(G44="Not Age Eligible","",IF(G44="17-21",IF(OR(AND(T44&gt;=LOOKUP(G44,'Qualifying Scores'!$A$4:$A$7,'Qualifying Scores'!$B$4:$B$7),U44&gt;=LOOKUP(G44,'Qualifying Scores'!$A$10:$A$13,'Qualifying Scores'!$B$10:$B$13)),AND(V44&gt;=LOOKUP(G44,'Qualifying Scores'!$A$4:$A$7,'Qualifying Scores'!$B$4:$B$7),W44&gt;=LOOKUP(G44,'Qualifying Scores'!$A$10:$A$13,'Qualifying Scores'!$B$10:$B$13)),AND(Y44&gt;=LOOKUP(G44,'Qualifying Scores'!$A$4:$A$7,'Qualifying Scores'!$B$4:$B$7),Z44&gt;=LOOKUP(G44,'Qualifying Scores'!$A$10:$A$13,'Qualifying Scores'!$B$10:$B$13)),AND(AA44&gt;=LOOKUP(G44,'Qualifying Scores'!$A$4:$A$7,'Qualifying Scores'!$B$4:$B$7),AB44&gt;=LOOKUP(G44,'Qualifying Scores'!$A$10:$A$13,'Qualifying Scores'!$B$10:$B$13)),AND(AC44&gt;=LOOKUP(G44,'Qualifying Scores'!$A$4:$A$7,'Qualifying Scores'!$B$4:$B$7),AD44&gt;=LOOKUP(G44,'Qualifying Scores'!$A$10:$A$13,'Qualifying Scores'!$B$10:$B$13)),AND(AF44&gt;=LOOKUP(G44,'Qualifying Scores'!$A$4:$A$7,'Qualifying Scores'!$B$4:$B$7),AG44&gt;=LOOKUP(G44,'Qualifying Scores'!$A$10:$A$13,'Qualifying Scores'!$B$10:$B$13))),"P",""),IF(OR(AND(X44-U44&gt;=LOOKUP(G44,'Qualifying Scores'!$A$4:$A$7,'Qualifying Scores'!$B$4:$B$7),W44&gt;=LOOKUP(G44,'Qualifying Scores'!$A$10:$A$13,'Qualifying Scores'!$B$10:$B$13)),AND(AE44-AB44&gt;=LOOKUP(G44,'Qualifying Scores'!$A$4:$A$7,'Qualifying Scores'!$B$4:$B$7),AD44&gt;=LOOKUP(G44,'Qualifying Scores'!$A$10:$A$13,'Qualifying Scores'!$B$10:$B$13))),"P","")))</f>
        <v/>
      </c>
      <c r="Q44" s="1" t="str">
        <f>IF(A44&lt;5,IF(_xlfn.MAXIFS(A:A,G:G,G44)&gt;3,5-A44,_xlfn.MAXIFS(A:A,G:G,G44)+1-A44),"")</f>
        <v/>
      </c>
      <c r="R44" s="4">
        <f>IF(G44="17-21",MAX(T44,V44,Y44,AA44,AC44,AF44),MAX(X44,AE44))</f>
        <v>46.91</v>
      </c>
      <c r="S44" s="4">
        <f>IF(G44="17-21",LARGE(CHOOSE({1,2,3,4,5,6},T44,V44,Y44,AA44,AC44,AF44),2),IF(R44=X44,MAX(Y44,AA44,AC44,AF44),IF(R44=AE44,MAX(AF44,T44,V44,Y44),0)))</f>
        <v>37.44</v>
      </c>
      <c r="T44" s="33">
        <v>37.44</v>
      </c>
      <c r="U44" s="40">
        <v>0</v>
      </c>
      <c r="V44" s="34">
        <v>19.45</v>
      </c>
      <c r="W44" s="40">
        <v>4.4000000000000004</v>
      </c>
      <c r="X44" s="4">
        <f>IF(H44="Senior",MAX(T44,V44),T44+V44)</f>
        <v>56.89</v>
      </c>
      <c r="Y44" s="34"/>
      <c r="Z44" s="40"/>
      <c r="AA44" s="33">
        <v>29.09</v>
      </c>
      <c r="AB44" s="40">
        <v>7.3</v>
      </c>
      <c r="AC44" s="34">
        <v>46.91</v>
      </c>
      <c r="AD44" s="40">
        <v>11.2</v>
      </c>
      <c r="AE44" s="4">
        <f>IF(H44="Senior",MAX(AA44,AC44),AA44+AC44)</f>
        <v>76</v>
      </c>
      <c r="AF44" s="34"/>
      <c r="AG44" s="37"/>
    </row>
    <row r="45" spans="1:33" x14ac:dyDescent="0.2">
      <c r="A45" s="1" t="str" cm="1">
        <f t="array" ref="A45">IF(I45="","",IF(P45&lt;&gt;"",SUMPRODUCT((P$3:P$107&lt;&gt;"")*(G$3:G$107=G45)*(J$3:J$107&gt;J45)*(I$3:I$107="P"))+1,IF(O45&lt;&gt;"",SUMPRODUCT((O$3:O$107&lt;&gt;"")*(P$3:P$107="")*(G$3:G$107=G45)*(J$3:J$107&gt;J45)*(I$3:I$107="P"))+SUMPRODUCT((P$3:P$107&lt;&gt;"")*(G$3:G$107=G45)*(I$3:I$107="P"))+1,IF(N45&lt;&gt;"",SUMPRODUCT((N$3:N$107&lt;&gt;"")*(G$3:G$107=G45)*(J$3:J$107&gt;J45)*(I$3:I$107="P"))+1,IF(M45="P",SUMPRODUCT((O$3:O$107&lt;&gt;"")*(P$3:P$107="")*(G$3:G$107=G45)*(I$3:I$107="P"))+SUMPRODUCT((P$3:P$107&lt;&gt;"")*(G$3:G$107=G45)*(I$3:I$107="P"))+SUMPRODUCT((N$3:N$107&lt;&gt;"")*(G$3:G$107=G45)*(I$3:I$107="P"))+SUMPRODUCT((P$3:P$107="")*(O$3:O$107="")*(N$3:N$107="")*(M$3:M$107="P")*(G$3:G$107=G45)*(J$3:J$107&gt;J45)*(I$3:I$107="P"))+IF(H45="L5",SUMPRODUCT((P$3:P$107="")*(O$3:O$107="")*(N$3:N$107="")*(M$3:M$107="P")*(G$3:G$107=G45)*(J$3:J$107&lt;J45)*(H$3:H$107&lt;&gt;H45)*(I$3:I$107="P")),-1*SUMPRODUCT((P$3:P$107="")*(O$3:O$107="")*(N$3:N$107="")*(M$3:M$107="P")*(G$3:G$107=G45)*(J$3:J$107&gt;J45)*(H$3:H$107="L5")*(I$3:I$107="P")))+1,"")))))</f>
        <v/>
      </c>
      <c r="B45" s="1" t="str" cm="1">
        <f t="array" ref="B45">IF(P45&lt;&gt;"",SUMPRODUCT((P$3:P$107&lt;&gt;"")*(G$3:G$107=G45)*(J$3:J$107&gt;J45))+1,IF(O45&lt;&gt;"",SUMPRODUCT((O$3:O$107&lt;&gt;"")*(P$3:P$107="")*(G$3:G$107=G45)*(J$3:J$107&gt;J45))+SUMPRODUCT((P$3:P$107&lt;&gt;"")*(G$3:G$107=G45))+1,IF(N45&lt;&gt;"",SUMPRODUCT((N$3:N$107&lt;&gt;"")*(G$3:G$107=G45)*(J$3:J$107&gt;J45))+1,IF(M45="P",SUMPRODUCT((O$3:O$107&lt;&gt;"")*(P$3:P$107="")*(G$3:G$107=G45))+SUMPRODUCT((P$3:P$107&lt;&gt;"")*(G$3:G$107=G45))+SUMPRODUCT((N$3:N$107&lt;&gt;"")*(G$3:G$107=G45))+SUMPRODUCT((P$3:P$107="")*(O$3:O$107="")*(N$3:N$107="")*(M$3:M$107="P")*(G$3:G$107=G45)*(J$3:J$107&gt;J45))+IF(H45="L5",SUMPRODUCT((P$3:P$107="")*(O$3:O$107="")*(N$3:N$107="")*(M$3:M$107="P")*(G$3:G$107=G45)*(J$3:J$107&lt;J45)*(H$3:H$107&lt;&gt;H45)),-1*SUMPRODUCT((P$3:P$107="")*(O$3:O$107="")*(N$3:N$107="")*(M$3:M$107="P")*(G$3:G$107=G45)*(J$3:J$107&gt;J45)*(H$3:H$107="L5")))+1,""))))</f>
        <v/>
      </c>
      <c r="C45" s="36" t="s">
        <v>427</v>
      </c>
      <c r="D45" s="36" t="str">
        <f>IF(E45="","",VLOOKUP(E45,'Coaching Points'!A:B,2,0))</f>
        <v>AB</v>
      </c>
      <c r="E45" s="36" t="s">
        <v>309</v>
      </c>
      <c r="F45" s="35">
        <v>2006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66</v>
      </c>
      <c r="I45" s="43"/>
      <c r="J45" s="4">
        <f>R45+S45+IF(OR(H45="Junior",H45="Senior"),0.0002,IF(OR(H45="L7",H45="L6"),0.0001,0))+IF(G45="17-21",MAX(AA45,AC45,AF45),AE45)*0.0000001</f>
        <v>84.200004544999999</v>
      </c>
      <c r="K45" s="3" t="str">
        <f>IF(G45="Not Age Eligible","",IF(G45="17-21",IF(MAX(T45,V45,Y45,AA45,AC45,AF45)&gt;=LOOKUP(G45,'Qualifying Scores'!$A$4:$A$7,'Qualifying Scores'!$B$4:$B$7),"P",""),IF(MAX(X45-U45,AE45-AB45)&gt;=LOOKUP(G45,'Qualifying Scores'!$A$4:$A$7,'Qualifying Scores'!$B$4:$B$7),"P","")))</f>
        <v/>
      </c>
      <c r="L45" s="3" t="str">
        <f>IF(G45="Not Age Eligible","",IF(G45="17-21",IF(MAX(U45,W45,Z45,AB45,AD45,AG45)&gt;=LOOKUP(G45,'Qualifying Scores'!$A$10:$A$13,'Qualifying Scores'!$B$10:$B$13),"P",""),IF(MAX(W45,AD45)&gt;=LOOKUP(G45,'Qualifying Scores'!$A$10:$A$13,'Qualifying Scores'!$B$10:$B$13),"P","")))</f>
        <v/>
      </c>
      <c r="M45" s="3" t="str">
        <f>IF(G45="Not Age Eligible","",IF(G45="17-21",IF(OR(AND(T45&gt;=LOOKUP(G45,'Qualifying Scores'!$A$4:$A$7,'Qualifying Scores'!$B$4:$B$7),U45&gt;=LOOKUP(G45,'Qualifying Scores'!$A$10:$A$13,'Qualifying Scores'!$B$10:$B$13)),AND(V45&gt;=LOOKUP(G45,'Qualifying Scores'!$A$4:$A$7,'Qualifying Scores'!$B$4:$B$7),W45&gt;=LOOKUP(G45,'Qualifying Scores'!$A$10:$A$13,'Qualifying Scores'!$B$10:$B$13)),AND(Y45&gt;=LOOKUP(G45,'Qualifying Scores'!$A$4:$A$7,'Qualifying Scores'!$B$4:$B$7),Z45&gt;=LOOKUP(G45,'Qualifying Scores'!$A$10:$A$13,'Qualifying Scores'!$B$10:$B$13)),AND(AA45&gt;=LOOKUP(G45,'Qualifying Scores'!$A$4:$A$7,'Qualifying Scores'!$B$4:$B$7),AB45&gt;=LOOKUP(G45,'Qualifying Scores'!$A$10:$A$13,'Qualifying Scores'!$B$10:$B$13)),AND(AC45&gt;=LOOKUP(G45,'Qualifying Scores'!$A$4:$A$7,'Qualifying Scores'!$B$4:$B$7),AD45&gt;=LOOKUP(G45,'Qualifying Scores'!$A$10:$A$13,'Qualifying Scores'!$B$10:$B$13)),AND(AF45&gt;=LOOKUP(G45,'Qualifying Scores'!$A$4:$A$7,'Qualifying Scores'!$B$4:$B$7),AG45&gt;=LOOKUP(G45,'Qualifying Scores'!$A$10:$A$13,'Qualifying Scores'!$B$10:$B$13))),"P",""),IF(OR(AND(X45-U45&gt;=LOOKUP(G45,'Qualifying Scores'!$A$4:$A$7,'Qualifying Scores'!$B$4:$B$7),W45&gt;=LOOKUP(G45,'Qualifying Scores'!$A$10:$A$13,'Qualifying Scores'!$B$10:$B$13)),AND(AE45-AB45&gt;=LOOKUP(G45,'Qualifying Scores'!$A$4:$A$7,'Qualifying Scores'!$B$4:$B$7),AD45&gt;=LOOKUP(G45,'Qualifying Scores'!$A$10:$A$13,'Qualifying Scores'!$B$10:$B$13))),"P","")))</f>
        <v/>
      </c>
      <c r="Q45" s="1" t="str">
        <f>IF(A45&lt;5,IF(_xlfn.MAXIFS(A:A,G:G,G45)&gt;3,5-A45,_xlfn.MAXIFS(A:A,G:G,G45)+1-A45),"")</f>
        <v/>
      </c>
      <c r="R45" s="4">
        <f>IF(G45="17-21",MAX(T45,V45,Y45,AA45,AC45,AF45),MAX(X45,AE45))</f>
        <v>45.45</v>
      </c>
      <c r="S45" s="4">
        <f>IF(G45="17-21",LARGE(CHOOSE({1,2,3,4,5,6},T45,V45,Y45,AA45,AC45,AF45),2),IF(R45=X45,MAX(Y45,AA45,AC45,AF45),IF(R45=AE45,MAX(AF45,T45,V45,Y45),0)))</f>
        <v>38.75</v>
      </c>
      <c r="T45" s="33"/>
      <c r="U45" s="40"/>
      <c r="V45" s="34"/>
      <c r="W45" s="40"/>
      <c r="X45" s="4">
        <f>IF(H45="Senior",MAX(T45,V45),T45+V45)</f>
        <v>0</v>
      </c>
      <c r="Y45" s="34"/>
      <c r="Z45" s="40"/>
      <c r="AA45" s="33">
        <v>38.75</v>
      </c>
      <c r="AB45" s="40">
        <v>0</v>
      </c>
      <c r="AC45" s="34">
        <v>45.45</v>
      </c>
      <c r="AD45" s="40">
        <v>8.4</v>
      </c>
      <c r="AE45" s="4">
        <f>IF(H45="Senior",MAX(AA45,AC45),AA45+AC45)</f>
        <v>84.2</v>
      </c>
      <c r="AF45" s="34"/>
      <c r="AG45" s="37"/>
    </row>
    <row r="46" spans="1:33" x14ac:dyDescent="0.2">
      <c r="A46" s="1" t="str" cm="1">
        <f t="array" ref="A46">IF(I46="","",IF(P46&lt;&gt;"",SUMPRODUCT((P$3:P$107&lt;&gt;"")*(G$3:G$107=G46)*(J$3:J$107&gt;J46)*(I$3:I$107="P"))+1,IF(O46&lt;&gt;"",SUMPRODUCT((O$3:O$107&lt;&gt;"")*(P$3:P$107="")*(G$3:G$107=G46)*(J$3:J$107&gt;J46)*(I$3:I$107="P"))+SUMPRODUCT((P$3:P$107&lt;&gt;"")*(G$3:G$107=G46)*(I$3:I$107="P"))+1,IF(N46&lt;&gt;"",SUMPRODUCT((N$3:N$107&lt;&gt;"")*(G$3:G$107=G46)*(J$3:J$107&gt;J46)*(I$3:I$107="P"))+1,IF(M46="P",SUMPRODUCT((O$3:O$107&lt;&gt;"")*(P$3:P$107="")*(G$3:G$107=G46)*(I$3:I$107="P"))+SUMPRODUCT((P$3:P$107&lt;&gt;"")*(G$3:G$107=G46)*(I$3:I$107="P"))+SUMPRODUCT((N$3:N$107&lt;&gt;"")*(G$3:G$107=G46)*(I$3:I$107="P"))+SUMPRODUCT((P$3:P$107="")*(O$3:O$107="")*(N$3:N$107="")*(M$3:M$107="P")*(G$3:G$107=G46)*(J$3:J$107&gt;J46)*(I$3:I$107="P"))+IF(H46="L5",SUMPRODUCT((P$3:P$107="")*(O$3:O$107="")*(N$3:N$107="")*(M$3:M$107="P")*(G$3:G$107=G46)*(J$3:J$107&lt;J46)*(H$3:H$107&lt;&gt;H46)*(I$3:I$107="P")),-1*SUMPRODUCT((P$3:P$107="")*(O$3:O$107="")*(N$3:N$107="")*(M$3:M$107="P")*(G$3:G$107=G46)*(J$3:J$107&gt;J46)*(H$3:H$107="L5")*(I$3:I$107="P")))+1,"")))))</f>
        <v/>
      </c>
      <c r="B46" s="1" t="str" cm="1">
        <f t="array" ref="B46">IF(P46&lt;&gt;"",SUMPRODUCT((P$3:P$107&lt;&gt;"")*(G$3:G$107=G46)*(J$3:J$107&gt;J46))+1,IF(O46&lt;&gt;"",SUMPRODUCT((O$3:O$107&lt;&gt;"")*(P$3:P$107="")*(G$3:G$107=G46)*(J$3:J$107&gt;J46))+SUMPRODUCT((P$3:P$107&lt;&gt;"")*(G$3:G$107=G46))+1,IF(N46&lt;&gt;"",SUMPRODUCT((N$3:N$107&lt;&gt;"")*(G$3:G$107=G46)*(J$3:J$107&gt;J46))+1,IF(M46="P",SUMPRODUCT((O$3:O$107&lt;&gt;"")*(P$3:P$107="")*(G$3:G$107=G46))+SUMPRODUCT((P$3:P$107&lt;&gt;"")*(G$3:G$107=G46))+SUMPRODUCT((N$3:N$107&lt;&gt;"")*(G$3:G$107=G46))+SUMPRODUCT((P$3:P$107="")*(O$3:O$107="")*(N$3:N$107="")*(M$3:M$107="P")*(G$3:G$107=G46)*(J$3:J$107&gt;J46))+IF(H46="L5",SUMPRODUCT((P$3:P$107="")*(O$3:O$107="")*(N$3:N$107="")*(M$3:M$107="P")*(G$3:G$107=G46)*(J$3:J$107&lt;J46)*(H$3:H$107&lt;&gt;H46)),-1*SUMPRODUCT((P$3:P$107="")*(O$3:O$107="")*(N$3:N$107="")*(M$3:M$107="P")*(G$3:G$107=G46)*(J$3:J$107&gt;J46)*(H$3:H$107="L5")))+1,""))))</f>
        <v/>
      </c>
      <c r="C46" s="36" t="s">
        <v>344</v>
      </c>
      <c r="D46" s="36" t="str">
        <f>IF(E46="","",VLOOKUP(E46,'Coaching Points'!A:B,2,0))</f>
        <v>BC</v>
      </c>
      <c r="E46" s="36" t="s">
        <v>41</v>
      </c>
      <c r="F46" s="35">
        <v>2005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66</v>
      </c>
      <c r="I46" s="43" t="s">
        <v>567</v>
      </c>
      <c r="J46" s="4">
        <f>R46+S46+IF(OR(H46="Junior",H46="Senior"),0.0002,IF(OR(H46="L7",H46="L6"),0.0001,0))+IF(G46="17-21",MAX(AA46,AC46,AF46),AE46)*0.0000001</f>
        <v>84.090004554000004</v>
      </c>
      <c r="K46" s="3" t="str">
        <f>IF(G46="Not Age Eligible","",IF(G46="17-21",IF(MAX(T46,V46,Y46,AA46,AC46,AF46)&gt;=LOOKUP(G46,'Qualifying Scores'!$A$4:$A$7,'Qualifying Scores'!$B$4:$B$7),"P",""),IF(MAX(X46-U46,AE46-AB46)&gt;=LOOKUP(G46,'Qualifying Scores'!$A$4:$A$7,'Qualifying Scores'!$B$4:$B$7),"P","")))</f>
        <v/>
      </c>
      <c r="L46" s="3" t="str">
        <f>IF(G46="Not Age Eligible","",IF(G46="17-21",IF(MAX(U46,W46,Z46,AB46,AD46,AG46)&gt;=LOOKUP(G46,'Qualifying Scores'!$A$10:$A$13,'Qualifying Scores'!$B$10:$B$13),"P",""),IF(MAX(W46,AD46)&gt;=LOOKUP(G46,'Qualifying Scores'!$A$10:$A$13,'Qualifying Scores'!$B$10:$B$13),"P","")))</f>
        <v/>
      </c>
      <c r="M46" s="3" t="str">
        <f>IF(G46="Not Age Eligible","",IF(G46="17-21",IF(OR(AND(T46&gt;=LOOKUP(G46,'Qualifying Scores'!$A$4:$A$7,'Qualifying Scores'!$B$4:$B$7),U46&gt;=LOOKUP(G46,'Qualifying Scores'!$A$10:$A$13,'Qualifying Scores'!$B$10:$B$13)),AND(V46&gt;=LOOKUP(G46,'Qualifying Scores'!$A$4:$A$7,'Qualifying Scores'!$B$4:$B$7),W46&gt;=LOOKUP(G46,'Qualifying Scores'!$A$10:$A$13,'Qualifying Scores'!$B$10:$B$13)),AND(Y46&gt;=LOOKUP(G46,'Qualifying Scores'!$A$4:$A$7,'Qualifying Scores'!$B$4:$B$7),Z46&gt;=LOOKUP(G46,'Qualifying Scores'!$A$10:$A$13,'Qualifying Scores'!$B$10:$B$13)),AND(AA46&gt;=LOOKUP(G46,'Qualifying Scores'!$A$4:$A$7,'Qualifying Scores'!$B$4:$B$7),AB46&gt;=LOOKUP(G46,'Qualifying Scores'!$A$10:$A$13,'Qualifying Scores'!$B$10:$B$13)),AND(AC46&gt;=LOOKUP(G46,'Qualifying Scores'!$A$4:$A$7,'Qualifying Scores'!$B$4:$B$7),AD46&gt;=LOOKUP(G46,'Qualifying Scores'!$A$10:$A$13,'Qualifying Scores'!$B$10:$B$13)),AND(AF46&gt;=LOOKUP(G46,'Qualifying Scores'!$A$4:$A$7,'Qualifying Scores'!$B$4:$B$7),AG46&gt;=LOOKUP(G46,'Qualifying Scores'!$A$10:$A$13,'Qualifying Scores'!$B$10:$B$13))),"P",""),IF(OR(AND(X46-U46&gt;=LOOKUP(G46,'Qualifying Scores'!$A$4:$A$7,'Qualifying Scores'!$B$4:$B$7),W46&gt;=LOOKUP(G46,'Qualifying Scores'!$A$10:$A$13,'Qualifying Scores'!$B$10:$B$13)),AND(AE46-AB46&gt;=LOOKUP(G46,'Qualifying Scores'!$A$4:$A$7,'Qualifying Scores'!$B$4:$B$7),AD46&gt;=LOOKUP(G46,'Qualifying Scores'!$A$10:$A$13,'Qualifying Scores'!$B$10:$B$13))),"P","")))</f>
        <v/>
      </c>
      <c r="Q46" s="1" t="str">
        <f>IF(A46&lt;5,IF(_xlfn.MAXIFS(A:A,G:G,G46)&gt;3,5-A46,_xlfn.MAXIFS(A:A,G:G,G46)+1-A46),"")</f>
        <v/>
      </c>
      <c r="R46" s="4">
        <f>IF(G46="17-21",MAX(T46,V46,Y46,AA46,AC46,AF46),MAX(X46,AE46))</f>
        <v>45.54</v>
      </c>
      <c r="S46" s="4">
        <f>IF(G46="17-21",LARGE(CHOOSE({1,2,3,4,5,6},T46,V46,Y46,AA46,AC46,AF46),2),IF(R46=X46,MAX(Y46,AA46,AC46,AF46),IF(R46=AE46,MAX(AF46,T46,V46,Y46),0)))</f>
        <v>38.549999999999997</v>
      </c>
      <c r="T46" s="33"/>
      <c r="U46" s="40"/>
      <c r="V46" s="34"/>
      <c r="W46" s="40"/>
      <c r="X46" s="4">
        <f>IF(H46="Senior",MAX(T46,V46),T46+V46)</f>
        <v>0</v>
      </c>
      <c r="Y46" s="34"/>
      <c r="Z46" s="40"/>
      <c r="AA46" s="33">
        <v>38.549999999999997</v>
      </c>
      <c r="AB46" s="40">
        <v>0</v>
      </c>
      <c r="AC46" s="34">
        <v>45.54</v>
      </c>
      <c r="AD46" s="40">
        <v>9.3000000000000007</v>
      </c>
      <c r="AE46" s="4">
        <f>IF(H46="Senior",MAX(AA46,AC46),AA46+AC46)</f>
        <v>84.09</v>
      </c>
      <c r="AF46" s="34"/>
      <c r="AG46" s="37"/>
    </row>
    <row r="47" spans="1:33" x14ac:dyDescent="0.2">
      <c r="A47" s="1" t="str" cm="1">
        <f t="array" ref="A47">IF(I47="","",IF(P47&lt;&gt;"",SUMPRODUCT((P$3:P$107&lt;&gt;"")*(G$3:G$107=G47)*(J$3:J$107&gt;J47)*(I$3:I$107="P"))+1,IF(O47&lt;&gt;"",SUMPRODUCT((O$3:O$107&lt;&gt;"")*(P$3:P$107="")*(G$3:G$107=G47)*(J$3:J$107&gt;J47)*(I$3:I$107="P"))+SUMPRODUCT((P$3:P$107&lt;&gt;"")*(G$3:G$107=G47)*(I$3:I$107="P"))+1,IF(N47&lt;&gt;"",SUMPRODUCT((N$3:N$107&lt;&gt;"")*(G$3:G$107=G47)*(J$3:J$107&gt;J47)*(I$3:I$107="P"))+1,IF(M47="P",SUMPRODUCT((O$3:O$107&lt;&gt;"")*(P$3:P$107="")*(G$3:G$107=G47)*(I$3:I$107="P"))+SUMPRODUCT((P$3:P$107&lt;&gt;"")*(G$3:G$107=G47)*(I$3:I$107="P"))+SUMPRODUCT((N$3:N$107&lt;&gt;"")*(G$3:G$107=G47)*(I$3:I$107="P"))+SUMPRODUCT((P$3:P$107="")*(O$3:O$107="")*(N$3:N$107="")*(M$3:M$107="P")*(G$3:G$107=G47)*(J$3:J$107&gt;J47)*(I$3:I$107="P"))+IF(H47="L5",SUMPRODUCT((P$3:P$107="")*(O$3:O$107="")*(N$3:N$107="")*(M$3:M$107="P")*(G$3:G$107=G47)*(J$3:J$107&lt;J47)*(H$3:H$107&lt;&gt;H47)*(I$3:I$107="P")),-1*SUMPRODUCT((P$3:P$107="")*(O$3:O$107="")*(N$3:N$107="")*(M$3:M$107="P")*(G$3:G$107=G47)*(J$3:J$107&gt;J47)*(H$3:H$107="L5")*(I$3:I$107="P")))+1,"")))))</f>
        <v/>
      </c>
      <c r="B47" s="1" t="str" cm="1">
        <f t="array" ref="B47">IF(P47&lt;&gt;"",SUMPRODUCT((P$3:P$107&lt;&gt;"")*(G$3:G$107=G47)*(J$3:J$107&gt;J47))+1,IF(O47&lt;&gt;"",SUMPRODUCT((O$3:O$107&lt;&gt;"")*(P$3:P$107="")*(G$3:G$107=G47)*(J$3:J$107&gt;J47))+SUMPRODUCT((P$3:P$107&lt;&gt;"")*(G$3:G$107=G47))+1,IF(N47&lt;&gt;"",SUMPRODUCT((N$3:N$107&lt;&gt;"")*(G$3:G$107=G47)*(J$3:J$107&gt;J47))+1,IF(M47="P",SUMPRODUCT((O$3:O$107&lt;&gt;"")*(P$3:P$107="")*(G$3:G$107=G47))+SUMPRODUCT((P$3:P$107&lt;&gt;"")*(G$3:G$107=G47))+SUMPRODUCT((N$3:N$107&lt;&gt;"")*(G$3:G$107=G47))+SUMPRODUCT((P$3:P$107="")*(O$3:O$107="")*(N$3:N$107="")*(M$3:M$107="P")*(G$3:G$107=G47)*(J$3:J$107&gt;J47))+IF(H47="L5",SUMPRODUCT((P$3:P$107="")*(O$3:O$107="")*(N$3:N$107="")*(M$3:M$107="P")*(G$3:G$107=G47)*(J$3:J$107&lt;J47)*(H$3:H$107&lt;&gt;H47)),-1*SUMPRODUCT((P$3:P$107="")*(O$3:O$107="")*(N$3:N$107="")*(M$3:M$107="P")*(G$3:G$107=G47)*(J$3:J$107&gt;J47)*(H$3:H$107="L5")))+1,""))))</f>
        <v/>
      </c>
      <c r="C47" s="36" t="s">
        <v>428</v>
      </c>
      <c r="D47" s="36" t="str">
        <f>IF(E47="","",VLOOKUP(E47,'Coaching Points'!A:B,2,0))</f>
        <v>NL</v>
      </c>
      <c r="E47" s="36" t="s">
        <v>418</v>
      </c>
      <c r="F47" s="35">
        <v>2005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66</v>
      </c>
      <c r="I47" s="43"/>
      <c r="J47" s="4">
        <f>R47+S47+IF(OR(H47="Junior",H47="Senior"),0.0002,IF(OR(H47="L7",H47="L6"),0.0001,0))+IF(G47="17-21",MAX(AA47,AC47,AF47),AE47)*0.0000001</f>
        <v>82.660004522999998</v>
      </c>
      <c r="K47" s="3" t="str">
        <f>IF(G47="Not Age Eligible","",IF(G47="17-21",IF(MAX(T47,V47,Y47,AA47,AC47,AF47)&gt;=LOOKUP(G47,'Qualifying Scores'!$A$4:$A$7,'Qualifying Scores'!$B$4:$B$7),"P",""),IF(MAX(X47-U47,AE47-AB47)&gt;=LOOKUP(G47,'Qualifying Scores'!$A$4:$A$7,'Qualifying Scores'!$B$4:$B$7),"P","")))</f>
        <v/>
      </c>
      <c r="L47" s="3" t="str">
        <f>IF(G47="Not Age Eligible","",IF(G47="17-21",IF(MAX(U47,W47,Z47,AB47,AD47,AG47)&gt;=LOOKUP(G47,'Qualifying Scores'!$A$10:$A$13,'Qualifying Scores'!$B$10:$B$13),"P",""),IF(MAX(W47,AD47)&gt;=LOOKUP(G47,'Qualifying Scores'!$A$10:$A$13,'Qualifying Scores'!$B$10:$B$13),"P","")))</f>
        <v/>
      </c>
      <c r="M47" s="3" t="str">
        <f>IF(G47="Not Age Eligible","",IF(G47="17-21",IF(OR(AND(T47&gt;=LOOKUP(G47,'Qualifying Scores'!$A$4:$A$7,'Qualifying Scores'!$B$4:$B$7),U47&gt;=LOOKUP(G47,'Qualifying Scores'!$A$10:$A$13,'Qualifying Scores'!$B$10:$B$13)),AND(V47&gt;=LOOKUP(G47,'Qualifying Scores'!$A$4:$A$7,'Qualifying Scores'!$B$4:$B$7),W47&gt;=LOOKUP(G47,'Qualifying Scores'!$A$10:$A$13,'Qualifying Scores'!$B$10:$B$13)),AND(Y47&gt;=LOOKUP(G47,'Qualifying Scores'!$A$4:$A$7,'Qualifying Scores'!$B$4:$B$7),Z47&gt;=LOOKUP(G47,'Qualifying Scores'!$A$10:$A$13,'Qualifying Scores'!$B$10:$B$13)),AND(AA47&gt;=LOOKUP(G47,'Qualifying Scores'!$A$4:$A$7,'Qualifying Scores'!$B$4:$B$7),AB47&gt;=LOOKUP(G47,'Qualifying Scores'!$A$10:$A$13,'Qualifying Scores'!$B$10:$B$13)),AND(AC47&gt;=LOOKUP(G47,'Qualifying Scores'!$A$4:$A$7,'Qualifying Scores'!$B$4:$B$7),AD47&gt;=LOOKUP(G47,'Qualifying Scores'!$A$10:$A$13,'Qualifying Scores'!$B$10:$B$13)),AND(AF47&gt;=LOOKUP(G47,'Qualifying Scores'!$A$4:$A$7,'Qualifying Scores'!$B$4:$B$7),AG47&gt;=LOOKUP(G47,'Qualifying Scores'!$A$10:$A$13,'Qualifying Scores'!$B$10:$B$13))),"P",""),IF(OR(AND(X47-U47&gt;=LOOKUP(G47,'Qualifying Scores'!$A$4:$A$7,'Qualifying Scores'!$B$4:$B$7),W47&gt;=LOOKUP(G47,'Qualifying Scores'!$A$10:$A$13,'Qualifying Scores'!$B$10:$B$13)),AND(AE47-AB47&gt;=LOOKUP(G47,'Qualifying Scores'!$A$4:$A$7,'Qualifying Scores'!$B$4:$B$7),AD47&gt;=LOOKUP(G47,'Qualifying Scores'!$A$10:$A$13,'Qualifying Scores'!$B$10:$B$13))),"P","")))</f>
        <v/>
      </c>
      <c r="Q47" s="1" t="str">
        <f>IF(A47&lt;5,IF(_xlfn.MAXIFS(A:A,G:G,G47)&gt;3,5-A47,_xlfn.MAXIFS(A:A,G:G,G47)+1-A47),"")</f>
        <v/>
      </c>
      <c r="R47" s="4">
        <f>IF(G47="17-21",MAX(T47,V47,Y47,AA47,AC47,AF47),MAX(X47,AE47))</f>
        <v>45.23</v>
      </c>
      <c r="S47" s="4">
        <f>IF(G47="17-21",LARGE(CHOOSE({1,2,3,4,5,6},T47,V47,Y47,AA47,AC47,AF47),2),IF(R47=X47,MAX(Y47,AA47,AC47,AF47),IF(R47=AE47,MAX(AF47,T47,V47,Y47),0)))</f>
        <v>37.43</v>
      </c>
      <c r="T47" s="33"/>
      <c r="U47" s="40"/>
      <c r="V47" s="34"/>
      <c r="W47" s="40"/>
      <c r="X47" s="4">
        <f>IF(H47="Senior",MAX(T47,V47),T47+V47)</f>
        <v>0</v>
      </c>
      <c r="Y47" s="34"/>
      <c r="Z47" s="40"/>
      <c r="AA47" s="33">
        <v>37.43</v>
      </c>
      <c r="AB47" s="40">
        <v>0</v>
      </c>
      <c r="AC47" s="34">
        <v>45.23</v>
      </c>
      <c r="AD47" s="40">
        <v>7.8</v>
      </c>
      <c r="AE47" s="4">
        <f>IF(H47="Senior",MAX(AA47,AC47),AA47+AC47)</f>
        <v>82.66</v>
      </c>
      <c r="AF47" s="34"/>
      <c r="AG47" s="37"/>
    </row>
    <row r="48" spans="1:33" x14ac:dyDescent="0.2">
      <c r="A48" s="1" t="str" cm="1">
        <f t="array" ref="A48">IF(I48="","",IF(P48&lt;&gt;"",SUMPRODUCT((P$3:P$107&lt;&gt;"")*(G$3:G$107=G48)*(J$3:J$107&gt;J48)*(I$3:I$107="P"))+1,IF(O48&lt;&gt;"",SUMPRODUCT((O$3:O$107&lt;&gt;"")*(P$3:P$107="")*(G$3:G$107=G48)*(J$3:J$107&gt;J48)*(I$3:I$107="P"))+SUMPRODUCT((P$3:P$107&lt;&gt;"")*(G$3:G$107=G48)*(I$3:I$107="P"))+1,IF(N48&lt;&gt;"",SUMPRODUCT((N$3:N$107&lt;&gt;"")*(G$3:G$107=G48)*(J$3:J$107&gt;J48)*(I$3:I$107="P"))+1,IF(M48="P",SUMPRODUCT((O$3:O$107&lt;&gt;"")*(P$3:P$107="")*(G$3:G$107=G48)*(I$3:I$107="P"))+SUMPRODUCT((P$3:P$107&lt;&gt;"")*(G$3:G$107=G48)*(I$3:I$107="P"))+SUMPRODUCT((N$3:N$107&lt;&gt;"")*(G$3:G$107=G48)*(I$3:I$107="P"))+SUMPRODUCT((P$3:P$107="")*(O$3:O$107="")*(N$3:N$107="")*(M$3:M$107="P")*(G$3:G$107=G48)*(J$3:J$107&gt;J48)*(I$3:I$107="P"))+IF(H48="L5",SUMPRODUCT((P$3:P$107="")*(O$3:O$107="")*(N$3:N$107="")*(M$3:M$107="P")*(G$3:G$107=G48)*(J$3:J$107&lt;J48)*(H$3:H$107&lt;&gt;H48)*(I$3:I$107="P")),-1*SUMPRODUCT((P$3:P$107="")*(O$3:O$107="")*(N$3:N$107="")*(M$3:M$107="P")*(G$3:G$107=G48)*(J$3:J$107&gt;J48)*(H$3:H$107="L5")*(I$3:I$107="P")))+1,"")))))</f>
        <v/>
      </c>
      <c r="B48" s="1" t="str" cm="1">
        <f t="array" ref="B48">IF(P48&lt;&gt;"",SUMPRODUCT((P$3:P$107&lt;&gt;"")*(G$3:G$107=G48)*(J$3:J$107&gt;J48))+1,IF(O48&lt;&gt;"",SUMPRODUCT((O$3:O$107&lt;&gt;"")*(P$3:P$107="")*(G$3:G$107=G48)*(J$3:J$107&gt;J48))+SUMPRODUCT((P$3:P$107&lt;&gt;"")*(G$3:G$107=G48))+1,IF(N48&lt;&gt;"",SUMPRODUCT((N$3:N$107&lt;&gt;"")*(G$3:G$107=G48)*(J$3:J$107&gt;J48))+1,IF(M48="P",SUMPRODUCT((O$3:O$107&lt;&gt;"")*(P$3:P$107="")*(G$3:G$107=G48))+SUMPRODUCT((P$3:P$107&lt;&gt;"")*(G$3:G$107=G48))+SUMPRODUCT((N$3:N$107&lt;&gt;"")*(G$3:G$107=G48))+SUMPRODUCT((P$3:P$107="")*(O$3:O$107="")*(N$3:N$107="")*(M$3:M$107="P")*(G$3:G$107=G48)*(J$3:J$107&gt;J48))+IF(H48="L5",SUMPRODUCT((P$3:P$107="")*(O$3:O$107="")*(N$3:N$107="")*(M$3:M$107="P")*(G$3:G$107=G48)*(J$3:J$107&lt;J48)*(H$3:H$107&lt;&gt;H48)),-1*SUMPRODUCT((P$3:P$107="")*(O$3:O$107="")*(N$3:N$107="")*(M$3:M$107="P")*(G$3:G$107=G48)*(J$3:J$107&gt;J48)*(H$3:H$107="L5")))+1,""))))</f>
        <v/>
      </c>
      <c r="C48" s="36" t="s">
        <v>429</v>
      </c>
      <c r="D48" s="36" t="str">
        <f>IF(E48="","",VLOOKUP(E48,'Coaching Points'!A:B,2,0))</f>
        <v>BC</v>
      </c>
      <c r="E48" s="36" t="s">
        <v>37</v>
      </c>
      <c r="F48" s="35">
        <v>2004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66</v>
      </c>
      <c r="I48" s="43"/>
      <c r="J48" s="4">
        <f>R48+S48+IF(OR(H48="Junior",H48="Senior"),0.0002,IF(OR(H48="L7",H48="L6"),0.0001,0))+IF(G48="17-21",MAX(AA48,AC48,AF48),AE48)*0.0000001</f>
        <v>82.600004523999999</v>
      </c>
      <c r="K48" s="3" t="str">
        <f>IF(G48="Not Age Eligible","",IF(G48="17-21",IF(MAX(T48,V48,Y48,AA48,AC48,AF48)&gt;=LOOKUP(G48,'Qualifying Scores'!$A$4:$A$7,'Qualifying Scores'!$B$4:$B$7),"P",""),IF(MAX(X48-U48,AE48-AB48)&gt;=LOOKUP(G48,'Qualifying Scores'!$A$4:$A$7,'Qualifying Scores'!$B$4:$B$7),"P","")))</f>
        <v/>
      </c>
      <c r="L48" s="3" t="str">
        <f>IF(G48="Not Age Eligible","",IF(G48="17-21",IF(MAX(U48,W48,Z48,AB48,AD48,AG48)&gt;=LOOKUP(G48,'Qualifying Scores'!$A$10:$A$13,'Qualifying Scores'!$B$10:$B$13),"P",""),IF(MAX(W48,AD48)&gt;=LOOKUP(G48,'Qualifying Scores'!$A$10:$A$13,'Qualifying Scores'!$B$10:$B$13),"P","")))</f>
        <v/>
      </c>
      <c r="M48" s="3" t="str">
        <f>IF(G48="Not Age Eligible","",IF(G48="17-21",IF(OR(AND(T48&gt;=LOOKUP(G48,'Qualifying Scores'!$A$4:$A$7,'Qualifying Scores'!$B$4:$B$7),U48&gt;=LOOKUP(G48,'Qualifying Scores'!$A$10:$A$13,'Qualifying Scores'!$B$10:$B$13)),AND(V48&gt;=LOOKUP(G48,'Qualifying Scores'!$A$4:$A$7,'Qualifying Scores'!$B$4:$B$7),W48&gt;=LOOKUP(G48,'Qualifying Scores'!$A$10:$A$13,'Qualifying Scores'!$B$10:$B$13)),AND(Y48&gt;=LOOKUP(G48,'Qualifying Scores'!$A$4:$A$7,'Qualifying Scores'!$B$4:$B$7),Z48&gt;=LOOKUP(G48,'Qualifying Scores'!$A$10:$A$13,'Qualifying Scores'!$B$10:$B$13)),AND(AA48&gt;=LOOKUP(G48,'Qualifying Scores'!$A$4:$A$7,'Qualifying Scores'!$B$4:$B$7),AB48&gt;=LOOKUP(G48,'Qualifying Scores'!$A$10:$A$13,'Qualifying Scores'!$B$10:$B$13)),AND(AC48&gt;=LOOKUP(G48,'Qualifying Scores'!$A$4:$A$7,'Qualifying Scores'!$B$4:$B$7),AD48&gt;=LOOKUP(G48,'Qualifying Scores'!$A$10:$A$13,'Qualifying Scores'!$B$10:$B$13)),AND(AF48&gt;=LOOKUP(G48,'Qualifying Scores'!$A$4:$A$7,'Qualifying Scores'!$B$4:$B$7),AG48&gt;=LOOKUP(G48,'Qualifying Scores'!$A$10:$A$13,'Qualifying Scores'!$B$10:$B$13))),"P",""),IF(OR(AND(X48-U48&gt;=LOOKUP(G48,'Qualifying Scores'!$A$4:$A$7,'Qualifying Scores'!$B$4:$B$7),W48&gt;=LOOKUP(G48,'Qualifying Scores'!$A$10:$A$13,'Qualifying Scores'!$B$10:$B$13)),AND(AE48-AB48&gt;=LOOKUP(G48,'Qualifying Scores'!$A$4:$A$7,'Qualifying Scores'!$B$4:$B$7),AD48&gt;=LOOKUP(G48,'Qualifying Scores'!$A$10:$A$13,'Qualifying Scores'!$B$10:$B$13))),"P","")))</f>
        <v/>
      </c>
      <c r="Q48" s="1" t="str">
        <f>IF(A48&lt;5,IF(_xlfn.MAXIFS(A:A,G:G,G48)&gt;3,5-A48,_xlfn.MAXIFS(A:A,G:G,G48)+1-A48),"")</f>
        <v/>
      </c>
      <c r="R48" s="4">
        <f>IF(G48="17-21",MAX(T48,V48,Y48,AA48,AC48,AF48),MAX(X48,AE48))</f>
        <v>45.24</v>
      </c>
      <c r="S48" s="4">
        <f>IF(G48="17-21",LARGE(CHOOSE({1,2,3,4,5,6},T48,V48,Y48,AA48,AC48,AF48),2),IF(R48=X48,MAX(Y48,AA48,AC48,AF48),IF(R48=AE48,MAX(AF48,T48,V48,Y48),0)))</f>
        <v>37.36</v>
      </c>
      <c r="T48" s="33"/>
      <c r="U48" s="40"/>
      <c r="V48" s="34"/>
      <c r="W48" s="40"/>
      <c r="X48" s="4">
        <f>IF(H48="Senior",MAX(T48,V48),T48+V48)</f>
        <v>0</v>
      </c>
      <c r="Y48" s="34"/>
      <c r="Z48" s="40"/>
      <c r="AA48" s="33">
        <v>37.36</v>
      </c>
      <c r="AB48" s="40">
        <v>0</v>
      </c>
      <c r="AC48" s="34">
        <v>45.24</v>
      </c>
      <c r="AD48" s="40">
        <v>9.1999999999999993</v>
      </c>
      <c r="AE48" s="4">
        <f>IF(H48="Senior",MAX(AA48,AC48),AA48+AC48)</f>
        <v>82.6</v>
      </c>
      <c r="AF48" s="34"/>
      <c r="AG48" s="37"/>
    </row>
    <row r="49" spans="1:33" x14ac:dyDescent="0.2">
      <c r="A49" s="1" t="str" cm="1">
        <f t="array" ref="A49">IF(I49="","",IF(P49&lt;&gt;"",SUMPRODUCT((P$3:P$107&lt;&gt;"")*(G$3:G$107=G49)*(J$3:J$107&gt;J49)*(I$3:I$107="P"))+1,IF(O49&lt;&gt;"",SUMPRODUCT((O$3:O$107&lt;&gt;"")*(P$3:P$107="")*(G$3:G$107=G49)*(J$3:J$107&gt;J49)*(I$3:I$107="P"))+SUMPRODUCT((P$3:P$107&lt;&gt;"")*(G$3:G$107=G49)*(I$3:I$107="P"))+1,IF(N49&lt;&gt;"",SUMPRODUCT((N$3:N$107&lt;&gt;"")*(G$3:G$107=G49)*(J$3:J$107&gt;J49)*(I$3:I$107="P"))+1,IF(M49="P",SUMPRODUCT((O$3:O$107&lt;&gt;"")*(P$3:P$107="")*(G$3:G$107=G49)*(I$3:I$107="P"))+SUMPRODUCT((P$3:P$107&lt;&gt;"")*(G$3:G$107=G49)*(I$3:I$107="P"))+SUMPRODUCT((N$3:N$107&lt;&gt;"")*(G$3:G$107=G49)*(I$3:I$107="P"))+SUMPRODUCT((P$3:P$107="")*(O$3:O$107="")*(N$3:N$107="")*(M$3:M$107="P")*(G$3:G$107=G49)*(J$3:J$107&gt;J49)*(I$3:I$107="P"))+IF(H49="L5",SUMPRODUCT((P$3:P$107="")*(O$3:O$107="")*(N$3:N$107="")*(M$3:M$107="P")*(G$3:G$107=G49)*(J$3:J$107&lt;J49)*(H$3:H$107&lt;&gt;H49)*(I$3:I$107="P")),-1*SUMPRODUCT((P$3:P$107="")*(O$3:O$107="")*(N$3:N$107="")*(M$3:M$107="P")*(G$3:G$107=G49)*(J$3:J$107&gt;J49)*(H$3:H$107="L5")*(I$3:I$107="P")))+1,"")))))</f>
        <v/>
      </c>
      <c r="B49" s="1" t="str" cm="1">
        <f t="array" ref="B49">IF(P49&lt;&gt;"",SUMPRODUCT((P$3:P$107&lt;&gt;"")*(G$3:G$107=G49)*(J$3:J$107&gt;J49))+1,IF(O49&lt;&gt;"",SUMPRODUCT((O$3:O$107&lt;&gt;"")*(P$3:P$107="")*(G$3:G$107=G49)*(J$3:J$107&gt;J49))+SUMPRODUCT((P$3:P$107&lt;&gt;"")*(G$3:G$107=G49))+1,IF(N49&lt;&gt;"",SUMPRODUCT((N$3:N$107&lt;&gt;"")*(G$3:G$107=G49)*(J$3:J$107&gt;J49))+1,IF(M49="P",SUMPRODUCT((O$3:O$107&lt;&gt;"")*(P$3:P$107="")*(G$3:G$107=G49))+SUMPRODUCT((P$3:P$107&lt;&gt;"")*(G$3:G$107=G49))+SUMPRODUCT((N$3:N$107&lt;&gt;"")*(G$3:G$107=G49))+SUMPRODUCT((P$3:P$107="")*(O$3:O$107="")*(N$3:N$107="")*(M$3:M$107="P")*(G$3:G$107=G49)*(J$3:J$107&gt;J49))+IF(H49="L5",SUMPRODUCT((P$3:P$107="")*(O$3:O$107="")*(N$3:N$107="")*(M$3:M$107="P")*(G$3:G$107=G49)*(J$3:J$107&lt;J49)*(H$3:H$107&lt;&gt;H49)),-1*SUMPRODUCT((P$3:P$107="")*(O$3:O$107="")*(N$3:N$107="")*(M$3:M$107="P")*(G$3:G$107=G49)*(J$3:J$107&gt;J49)*(H$3:H$107="L5")))+1,""))))</f>
        <v/>
      </c>
      <c r="C49" s="36" t="s">
        <v>105</v>
      </c>
      <c r="D49" s="36" t="str">
        <f>IF(E49="","",VLOOKUP(E49,'Coaching Points'!A:B,2,0))</f>
        <v>AB</v>
      </c>
      <c r="E49" s="36" t="s">
        <v>29</v>
      </c>
      <c r="F49" s="35">
        <v>2004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74</v>
      </c>
      <c r="I49" s="43" t="s">
        <v>567</v>
      </c>
      <c r="J49" s="4">
        <f>R49+S49+IF(OR(H49="Junior",H49="Senior"),0.0002,IF(OR(H49="L7",H49="L6"),0.0001,0))+IF(G49="17-21",MAX(AA49,AC49,AF49),AE49)*0.0000001</f>
        <v>82.070203743999997</v>
      </c>
      <c r="K49" s="3" t="str">
        <f>IF(G49="Not Age Eligible","",IF(G49="17-21",IF(MAX(T49,V49,Y49,AA49,AC49,AF49)&gt;=LOOKUP(G49,'Qualifying Scores'!$A$4:$A$7,'Qualifying Scores'!$B$4:$B$7),"P",""),IF(MAX(X49-U49,AE49-AB49)&gt;=LOOKUP(G49,'Qualifying Scores'!$A$4:$A$7,'Qualifying Scores'!$B$4:$B$7),"P","")))</f>
        <v/>
      </c>
      <c r="L49" s="3" t="str">
        <f>IF(G49="Not Age Eligible","",IF(G49="17-21",IF(MAX(U49,W49,Z49,AB49,AD49,AG49)&gt;=LOOKUP(G49,'Qualifying Scores'!$A$10:$A$13,'Qualifying Scores'!$B$10:$B$13),"P",""),IF(MAX(W49,AD49)&gt;=LOOKUP(G49,'Qualifying Scores'!$A$10:$A$13,'Qualifying Scores'!$B$10:$B$13),"P","")))</f>
        <v/>
      </c>
      <c r="M49" s="3" t="str">
        <f>IF(G49="Not Age Eligible","",IF(G49="17-21",IF(OR(AND(T49&gt;=LOOKUP(G49,'Qualifying Scores'!$A$4:$A$7,'Qualifying Scores'!$B$4:$B$7),U49&gt;=LOOKUP(G49,'Qualifying Scores'!$A$10:$A$13,'Qualifying Scores'!$B$10:$B$13)),AND(V49&gt;=LOOKUP(G49,'Qualifying Scores'!$A$4:$A$7,'Qualifying Scores'!$B$4:$B$7),W49&gt;=LOOKUP(G49,'Qualifying Scores'!$A$10:$A$13,'Qualifying Scores'!$B$10:$B$13)),AND(Y49&gt;=LOOKUP(G49,'Qualifying Scores'!$A$4:$A$7,'Qualifying Scores'!$B$4:$B$7),Z49&gt;=LOOKUP(G49,'Qualifying Scores'!$A$10:$A$13,'Qualifying Scores'!$B$10:$B$13)),AND(AA49&gt;=LOOKUP(G49,'Qualifying Scores'!$A$4:$A$7,'Qualifying Scores'!$B$4:$B$7),AB49&gt;=LOOKUP(G49,'Qualifying Scores'!$A$10:$A$13,'Qualifying Scores'!$B$10:$B$13)),AND(AC49&gt;=LOOKUP(G49,'Qualifying Scores'!$A$4:$A$7,'Qualifying Scores'!$B$4:$B$7),AD49&gt;=LOOKUP(G49,'Qualifying Scores'!$A$10:$A$13,'Qualifying Scores'!$B$10:$B$13)),AND(AF49&gt;=LOOKUP(G49,'Qualifying Scores'!$A$4:$A$7,'Qualifying Scores'!$B$4:$B$7),AG49&gt;=LOOKUP(G49,'Qualifying Scores'!$A$10:$A$13,'Qualifying Scores'!$B$10:$B$13))),"P",""),IF(OR(AND(X49-U49&gt;=LOOKUP(G49,'Qualifying Scores'!$A$4:$A$7,'Qualifying Scores'!$B$4:$B$7),W49&gt;=LOOKUP(G49,'Qualifying Scores'!$A$10:$A$13,'Qualifying Scores'!$B$10:$B$13)),AND(AE49-AB49&gt;=LOOKUP(G49,'Qualifying Scores'!$A$4:$A$7,'Qualifying Scores'!$B$4:$B$7),AD49&gt;=LOOKUP(G49,'Qualifying Scores'!$A$10:$A$13,'Qualifying Scores'!$B$10:$B$13))),"P","")))</f>
        <v/>
      </c>
      <c r="Q49" s="1" t="str">
        <f>IF(A49&lt;5,IF(_xlfn.MAXIFS(A:A,G:G,G49)&gt;3,5-A49,_xlfn.MAXIFS(A:A,G:G,G49)+1-A49),"")</f>
        <v/>
      </c>
      <c r="R49" s="4">
        <f>IF(G49="17-21",MAX(T49,V49,Y49,AA49,AC49,AF49),MAX(X49,AE49))</f>
        <v>44.63</v>
      </c>
      <c r="S49" s="4">
        <f>IF(G49="17-21",LARGE(CHOOSE({1,2,3,4,5,6},T49,V49,Y49,AA49,AC49,AF49),2),IF(R49=X49,MAX(Y49,AA49,AC49,AF49),IF(R49=AE49,MAX(AF49,T49,V49,Y49),0)))</f>
        <v>37.44</v>
      </c>
      <c r="T49" s="33">
        <v>21.29</v>
      </c>
      <c r="U49" s="40">
        <v>5.4</v>
      </c>
      <c r="V49" s="34">
        <v>44.63</v>
      </c>
      <c r="W49" s="40">
        <v>11.9</v>
      </c>
      <c r="X49" s="4">
        <f>IF(H49="Senior",MAX(T49,V49),T49+V49)</f>
        <v>44.63</v>
      </c>
      <c r="Y49" s="34"/>
      <c r="Z49" s="40"/>
      <c r="AA49" s="33">
        <v>37.44</v>
      </c>
      <c r="AB49" s="40">
        <v>9.4</v>
      </c>
      <c r="AC49" s="34">
        <v>35.81</v>
      </c>
      <c r="AD49" s="40">
        <v>9.4</v>
      </c>
      <c r="AE49" s="4">
        <f>IF(H49="Senior",MAX(AA49,AC49),AA49+AC49)</f>
        <v>37.44</v>
      </c>
      <c r="AF49" s="34"/>
      <c r="AG49" s="37"/>
    </row>
    <row r="50" spans="1:33" x14ac:dyDescent="0.2">
      <c r="A50" s="1" t="str" cm="1">
        <f t="array" ref="A50">IF(I50="","",IF(P50&lt;&gt;"",SUMPRODUCT((P$3:P$107&lt;&gt;"")*(G$3:G$107=G50)*(J$3:J$107&gt;J50)*(I$3:I$107="P"))+1,IF(O50&lt;&gt;"",SUMPRODUCT((O$3:O$107&lt;&gt;"")*(P$3:P$107="")*(G$3:G$107=G50)*(J$3:J$107&gt;J50)*(I$3:I$107="P"))+SUMPRODUCT((P$3:P$107&lt;&gt;"")*(G$3:G$107=G50)*(I$3:I$107="P"))+1,IF(N50&lt;&gt;"",SUMPRODUCT((N$3:N$107&lt;&gt;"")*(G$3:G$107=G50)*(J$3:J$107&gt;J50)*(I$3:I$107="P"))+1,IF(M50="P",SUMPRODUCT((O$3:O$107&lt;&gt;"")*(P$3:P$107="")*(G$3:G$107=G50)*(I$3:I$107="P"))+SUMPRODUCT((P$3:P$107&lt;&gt;"")*(G$3:G$107=G50)*(I$3:I$107="P"))+SUMPRODUCT((N$3:N$107&lt;&gt;"")*(G$3:G$107=G50)*(I$3:I$107="P"))+SUMPRODUCT((P$3:P$107="")*(O$3:O$107="")*(N$3:N$107="")*(M$3:M$107="P")*(G$3:G$107=G50)*(J$3:J$107&gt;J50)*(I$3:I$107="P"))+IF(H50="L5",SUMPRODUCT((P$3:P$107="")*(O$3:O$107="")*(N$3:N$107="")*(M$3:M$107="P")*(G$3:G$107=G50)*(J$3:J$107&lt;J50)*(H$3:H$107&lt;&gt;H50)*(I$3:I$107="P")),-1*SUMPRODUCT((P$3:P$107="")*(O$3:O$107="")*(N$3:N$107="")*(M$3:M$107="P")*(G$3:G$107=G50)*(J$3:J$107&gt;J50)*(H$3:H$107="L5")*(I$3:I$107="P")))+1,"")))))</f>
        <v/>
      </c>
      <c r="B50" s="1" t="str" cm="1">
        <f t="array" ref="B50">IF(P50&lt;&gt;"",SUMPRODUCT((P$3:P$107&lt;&gt;"")*(G$3:G$107=G50)*(J$3:J$107&gt;J50))+1,IF(O50&lt;&gt;"",SUMPRODUCT((O$3:O$107&lt;&gt;"")*(P$3:P$107="")*(G$3:G$107=G50)*(J$3:J$107&gt;J50))+SUMPRODUCT((P$3:P$107&lt;&gt;"")*(G$3:G$107=G50))+1,IF(N50&lt;&gt;"",SUMPRODUCT((N$3:N$107&lt;&gt;"")*(G$3:G$107=G50)*(J$3:J$107&gt;J50))+1,IF(M50="P",SUMPRODUCT((O$3:O$107&lt;&gt;"")*(P$3:P$107="")*(G$3:G$107=G50))+SUMPRODUCT((P$3:P$107&lt;&gt;"")*(G$3:G$107=G50))+SUMPRODUCT((N$3:N$107&lt;&gt;"")*(G$3:G$107=G50))+SUMPRODUCT((P$3:P$107="")*(O$3:O$107="")*(N$3:N$107="")*(M$3:M$107="P")*(G$3:G$107=G50)*(J$3:J$107&gt;J50))+IF(H50="L5",SUMPRODUCT((P$3:P$107="")*(O$3:O$107="")*(N$3:N$107="")*(M$3:M$107="P")*(G$3:G$107=G50)*(J$3:J$107&lt;J50)*(H$3:H$107&lt;&gt;H50)),-1*SUMPRODUCT((P$3:P$107="")*(O$3:O$107="")*(N$3:N$107="")*(M$3:M$107="P")*(G$3:G$107=G50)*(J$3:J$107&gt;J50)*(H$3:H$107="L5")))+1,""))))</f>
        <v/>
      </c>
      <c r="C50" s="36" t="s">
        <v>321</v>
      </c>
      <c r="D50" s="36" t="str">
        <f>IF(E50="","",VLOOKUP(E50,'Coaching Points'!A:B,2,0))</f>
        <v>AB</v>
      </c>
      <c r="E50" s="36" t="s">
        <v>64</v>
      </c>
      <c r="F50" s="35">
        <v>2006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66</v>
      </c>
      <c r="I50" s="43"/>
      <c r="J50" s="4">
        <f>R50+S50+IF(OR(H50="Junior",H50="Senior"),0.0002,IF(OR(H50="L7",H50="L6"),0.0001,0))+IF(G50="17-21",MAX(AA50,AC50,AF50),AE50)*0.0000001</f>
        <v>81.490003814000005</v>
      </c>
      <c r="K50" s="3" t="str">
        <f>IF(G50="Not Age Eligible","",IF(G50="17-21",IF(MAX(T50,V50,Y50,AA50,AC50,AF50)&gt;=LOOKUP(G50,'Qualifying Scores'!$A$4:$A$7,'Qualifying Scores'!$B$4:$B$7),"P",""),IF(MAX(X50-U50,AE50-AB50)&gt;=LOOKUP(G50,'Qualifying Scores'!$A$4:$A$7,'Qualifying Scores'!$B$4:$B$7),"P","")))</f>
        <v/>
      </c>
      <c r="L50" s="3" t="str">
        <f>IF(G50="Not Age Eligible","",IF(G50="17-21",IF(MAX(U50,W50,Z50,AB50,AD50,AG50)&gt;=LOOKUP(G50,'Qualifying Scores'!$A$10:$A$13,'Qualifying Scores'!$B$10:$B$13),"P",""),IF(MAX(W50,AD50)&gt;=LOOKUP(G50,'Qualifying Scores'!$A$10:$A$13,'Qualifying Scores'!$B$10:$B$13),"P","")))</f>
        <v/>
      </c>
      <c r="M50" s="3" t="str">
        <f>IF(G50="Not Age Eligible","",IF(G50="17-21",IF(OR(AND(T50&gt;=LOOKUP(G50,'Qualifying Scores'!$A$4:$A$7,'Qualifying Scores'!$B$4:$B$7),U50&gt;=LOOKUP(G50,'Qualifying Scores'!$A$10:$A$13,'Qualifying Scores'!$B$10:$B$13)),AND(V50&gt;=LOOKUP(G50,'Qualifying Scores'!$A$4:$A$7,'Qualifying Scores'!$B$4:$B$7),W50&gt;=LOOKUP(G50,'Qualifying Scores'!$A$10:$A$13,'Qualifying Scores'!$B$10:$B$13)),AND(Y50&gt;=LOOKUP(G50,'Qualifying Scores'!$A$4:$A$7,'Qualifying Scores'!$B$4:$B$7),Z50&gt;=LOOKUP(G50,'Qualifying Scores'!$A$10:$A$13,'Qualifying Scores'!$B$10:$B$13)),AND(AA50&gt;=LOOKUP(G50,'Qualifying Scores'!$A$4:$A$7,'Qualifying Scores'!$B$4:$B$7),AB50&gt;=LOOKUP(G50,'Qualifying Scores'!$A$10:$A$13,'Qualifying Scores'!$B$10:$B$13)),AND(AC50&gt;=LOOKUP(G50,'Qualifying Scores'!$A$4:$A$7,'Qualifying Scores'!$B$4:$B$7),AD50&gt;=LOOKUP(G50,'Qualifying Scores'!$A$10:$A$13,'Qualifying Scores'!$B$10:$B$13)),AND(AF50&gt;=LOOKUP(G50,'Qualifying Scores'!$A$4:$A$7,'Qualifying Scores'!$B$4:$B$7),AG50&gt;=LOOKUP(G50,'Qualifying Scores'!$A$10:$A$13,'Qualifying Scores'!$B$10:$B$13))),"P",""),IF(OR(AND(X50-U50&gt;=LOOKUP(G50,'Qualifying Scores'!$A$4:$A$7,'Qualifying Scores'!$B$4:$B$7),W50&gt;=LOOKUP(G50,'Qualifying Scores'!$A$10:$A$13,'Qualifying Scores'!$B$10:$B$13)),AND(AE50-AB50&gt;=LOOKUP(G50,'Qualifying Scores'!$A$4:$A$7,'Qualifying Scores'!$B$4:$B$7),AD50&gt;=LOOKUP(G50,'Qualifying Scores'!$A$10:$A$13,'Qualifying Scores'!$B$10:$B$13))),"P","")))</f>
        <v/>
      </c>
      <c r="Q50" s="1" t="str">
        <f>IF(A50&lt;5,IF(_xlfn.MAXIFS(A:A,G:G,G50)&gt;3,5-A50,_xlfn.MAXIFS(A:A,G:G,G50)+1-A50),"")</f>
        <v/>
      </c>
      <c r="R50" s="4">
        <f>IF(G50="17-21",MAX(T50,V50,Y50,AA50,AC50,AF50),MAX(X50,AE50))</f>
        <v>43.35</v>
      </c>
      <c r="S50" s="4">
        <f>IF(G50="17-21",LARGE(CHOOSE({1,2,3,4,5,6},T50,V50,Y50,AA50,AC50,AF50),2),IF(R50=X50,MAX(Y50,AA50,AC50,AF50),IF(R50=AE50,MAX(AF50,T50,V50,Y50),0)))</f>
        <v>38.14</v>
      </c>
      <c r="T50" s="33">
        <v>37.020000000000003</v>
      </c>
      <c r="U50" s="40">
        <v>0</v>
      </c>
      <c r="V50" s="34">
        <v>43.35</v>
      </c>
      <c r="W50" s="40">
        <v>6.8</v>
      </c>
      <c r="X50" s="4">
        <f>IF(H50="Senior",MAX(T50,V50),T50+V50)</f>
        <v>80.37</v>
      </c>
      <c r="Y50" s="34"/>
      <c r="Z50" s="40"/>
      <c r="AA50" s="33">
        <v>38.14</v>
      </c>
      <c r="AB50" s="40">
        <v>0</v>
      </c>
      <c r="AC50" s="34">
        <v>34.68</v>
      </c>
      <c r="AD50" s="40">
        <v>5.9</v>
      </c>
      <c r="AE50" s="4">
        <f>IF(H50="Senior",MAX(AA50,AC50),AA50+AC50)</f>
        <v>72.819999999999993</v>
      </c>
      <c r="AF50" s="34"/>
      <c r="AG50" s="37"/>
    </row>
    <row r="51" spans="1:33" x14ac:dyDescent="0.2">
      <c r="A51" s="1" t="str" cm="1">
        <f t="array" ref="A51">IF(I51="","",IF(P51&lt;&gt;"",SUMPRODUCT((P$3:P$107&lt;&gt;"")*(G$3:G$107=G51)*(J$3:J$107&gt;J51)*(I$3:I$107="P"))+1,IF(O51&lt;&gt;"",SUMPRODUCT((O$3:O$107&lt;&gt;"")*(P$3:P$107="")*(G$3:G$107=G51)*(J$3:J$107&gt;J51)*(I$3:I$107="P"))+SUMPRODUCT((P$3:P$107&lt;&gt;"")*(G$3:G$107=G51)*(I$3:I$107="P"))+1,IF(N51&lt;&gt;"",SUMPRODUCT((N$3:N$107&lt;&gt;"")*(G$3:G$107=G51)*(J$3:J$107&gt;J51)*(I$3:I$107="P"))+1,IF(M51="P",SUMPRODUCT((O$3:O$107&lt;&gt;"")*(P$3:P$107="")*(G$3:G$107=G51)*(I$3:I$107="P"))+SUMPRODUCT((P$3:P$107&lt;&gt;"")*(G$3:G$107=G51)*(I$3:I$107="P"))+SUMPRODUCT((N$3:N$107&lt;&gt;"")*(G$3:G$107=G51)*(I$3:I$107="P"))+SUMPRODUCT((P$3:P$107="")*(O$3:O$107="")*(N$3:N$107="")*(M$3:M$107="P")*(G$3:G$107=G51)*(J$3:J$107&gt;J51)*(I$3:I$107="P"))+IF(H51="L5",SUMPRODUCT((P$3:P$107="")*(O$3:O$107="")*(N$3:N$107="")*(M$3:M$107="P")*(G$3:G$107=G51)*(J$3:J$107&lt;J51)*(H$3:H$107&lt;&gt;H51)*(I$3:I$107="P")),-1*SUMPRODUCT((P$3:P$107="")*(O$3:O$107="")*(N$3:N$107="")*(M$3:M$107="P")*(G$3:G$107=G51)*(J$3:J$107&gt;J51)*(H$3:H$107="L5")*(I$3:I$107="P")))+1,"")))))</f>
        <v/>
      </c>
      <c r="B51" s="1" t="str" cm="1">
        <f t="array" ref="B51">IF(P51&lt;&gt;"",SUMPRODUCT((P$3:P$107&lt;&gt;"")*(G$3:G$107=G51)*(J$3:J$107&gt;J51))+1,IF(O51&lt;&gt;"",SUMPRODUCT((O$3:O$107&lt;&gt;"")*(P$3:P$107="")*(G$3:G$107=G51)*(J$3:J$107&gt;J51))+SUMPRODUCT((P$3:P$107&lt;&gt;"")*(G$3:G$107=G51))+1,IF(N51&lt;&gt;"",SUMPRODUCT((N$3:N$107&lt;&gt;"")*(G$3:G$107=G51)*(J$3:J$107&gt;J51))+1,IF(M51="P",SUMPRODUCT((O$3:O$107&lt;&gt;"")*(P$3:P$107="")*(G$3:G$107=G51))+SUMPRODUCT((P$3:P$107&lt;&gt;"")*(G$3:G$107=G51))+SUMPRODUCT((N$3:N$107&lt;&gt;"")*(G$3:G$107=G51))+SUMPRODUCT((P$3:P$107="")*(O$3:O$107="")*(N$3:N$107="")*(M$3:M$107="P")*(G$3:G$107=G51)*(J$3:J$107&gt;J51))+IF(H51="L5",SUMPRODUCT((P$3:P$107="")*(O$3:O$107="")*(N$3:N$107="")*(M$3:M$107="P")*(G$3:G$107=G51)*(J$3:J$107&lt;J51)*(H$3:H$107&lt;&gt;H51)),-1*SUMPRODUCT((P$3:P$107="")*(O$3:O$107="")*(N$3:N$107="")*(M$3:M$107="P")*(G$3:G$107=G51)*(J$3:J$107&gt;J51)*(H$3:H$107="L5")))+1,""))))</f>
        <v/>
      </c>
      <c r="C51" s="36" t="s">
        <v>230</v>
      </c>
      <c r="D51" s="36" t="str">
        <f>IF(E51="","",VLOOKUP(E51,'Coaching Points'!A:B,2,0))</f>
        <v>BC</v>
      </c>
      <c r="E51" s="36" t="s">
        <v>439</v>
      </c>
      <c r="F51" s="35">
        <v>2005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66</v>
      </c>
      <c r="I51" s="43"/>
      <c r="J51" s="4">
        <f>R51+S51+IF(OR(H51="Junior",H51="Senior"),0.0002,IF(OR(H51="L7",H51="L6"),0.0001,0))+IF(G51="17-21",MAX(AA51,AC51,AF51),AE51)*0.0000001</f>
        <v>79.81</v>
      </c>
      <c r="K51" s="3" t="str">
        <f>IF(G51="Not Age Eligible","",IF(G51="17-21",IF(MAX(T51,V51,Y51,AA51,AC51,AF51)&gt;=LOOKUP(G51,'Qualifying Scores'!$A$4:$A$7,'Qualifying Scores'!$B$4:$B$7),"P",""),IF(MAX(X51-U51,AE51-AB51)&gt;=LOOKUP(G51,'Qualifying Scores'!$A$4:$A$7,'Qualifying Scores'!$B$4:$B$7),"P","")))</f>
        <v/>
      </c>
      <c r="L51" s="3" t="str">
        <f>IF(G51="Not Age Eligible","",IF(G51="17-21",IF(MAX(U51,W51,Z51,AB51,AD51,AG51)&gt;=LOOKUP(G51,'Qualifying Scores'!$A$10:$A$13,'Qualifying Scores'!$B$10:$B$13),"P",""),IF(MAX(W51,AD51)&gt;=LOOKUP(G51,'Qualifying Scores'!$A$10:$A$13,'Qualifying Scores'!$B$10:$B$13),"P","")))</f>
        <v/>
      </c>
      <c r="M51" s="3" t="str">
        <f>IF(G51="Not Age Eligible","",IF(G51="17-21",IF(OR(AND(T51&gt;=LOOKUP(G51,'Qualifying Scores'!$A$4:$A$7,'Qualifying Scores'!$B$4:$B$7),U51&gt;=LOOKUP(G51,'Qualifying Scores'!$A$10:$A$13,'Qualifying Scores'!$B$10:$B$13)),AND(V51&gt;=LOOKUP(G51,'Qualifying Scores'!$A$4:$A$7,'Qualifying Scores'!$B$4:$B$7),W51&gt;=LOOKUP(G51,'Qualifying Scores'!$A$10:$A$13,'Qualifying Scores'!$B$10:$B$13)),AND(Y51&gt;=LOOKUP(G51,'Qualifying Scores'!$A$4:$A$7,'Qualifying Scores'!$B$4:$B$7),Z51&gt;=LOOKUP(G51,'Qualifying Scores'!$A$10:$A$13,'Qualifying Scores'!$B$10:$B$13)),AND(AA51&gt;=LOOKUP(G51,'Qualifying Scores'!$A$4:$A$7,'Qualifying Scores'!$B$4:$B$7),AB51&gt;=LOOKUP(G51,'Qualifying Scores'!$A$10:$A$13,'Qualifying Scores'!$B$10:$B$13)),AND(AC51&gt;=LOOKUP(G51,'Qualifying Scores'!$A$4:$A$7,'Qualifying Scores'!$B$4:$B$7),AD51&gt;=LOOKUP(G51,'Qualifying Scores'!$A$10:$A$13,'Qualifying Scores'!$B$10:$B$13)),AND(AF51&gt;=LOOKUP(G51,'Qualifying Scores'!$A$4:$A$7,'Qualifying Scores'!$B$4:$B$7),AG51&gt;=LOOKUP(G51,'Qualifying Scores'!$A$10:$A$13,'Qualifying Scores'!$B$10:$B$13))),"P",""),IF(OR(AND(X51-U51&gt;=LOOKUP(G51,'Qualifying Scores'!$A$4:$A$7,'Qualifying Scores'!$B$4:$B$7),W51&gt;=LOOKUP(G51,'Qualifying Scores'!$A$10:$A$13,'Qualifying Scores'!$B$10:$B$13)),AND(AE51-AB51&gt;=LOOKUP(G51,'Qualifying Scores'!$A$4:$A$7,'Qualifying Scores'!$B$4:$B$7),AD51&gt;=LOOKUP(G51,'Qualifying Scores'!$A$10:$A$13,'Qualifying Scores'!$B$10:$B$13))),"P","")))</f>
        <v/>
      </c>
      <c r="Q51" s="1" t="str">
        <f>IF(A51&lt;5,IF(_xlfn.MAXIFS(A:A,G:G,G51)&gt;3,5-A51,_xlfn.MAXIFS(A:A,G:G,G51)+1-A51),"")</f>
        <v/>
      </c>
      <c r="R51" s="4">
        <f>IF(G51="17-21",MAX(T51,V51,Y51,AA51,AC51,AF51),MAX(X51,AE51))</f>
        <v>44.48</v>
      </c>
      <c r="S51" s="4">
        <f>IF(G51="17-21",LARGE(CHOOSE({1,2,3,4,5,6},T51,V51,Y51,AA51,AC51,AF51),2),IF(R51=X51,MAX(Y51,AA51,AC51,AF51),IF(R51=AE51,MAX(AF51,T51,V51,Y51),0)))</f>
        <v>35.33</v>
      </c>
      <c r="T51" s="33">
        <v>35.33</v>
      </c>
      <c r="U51" s="40">
        <v>0</v>
      </c>
      <c r="V51" s="34">
        <v>44.48</v>
      </c>
      <c r="W51" s="40">
        <v>8</v>
      </c>
      <c r="X51" s="4">
        <f>IF(H51="Senior",MAX(T51,V51),T51+V51)</f>
        <v>79.81</v>
      </c>
      <c r="Y51" s="34"/>
      <c r="Z51" s="40"/>
      <c r="AA51" s="33"/>
      <c r="AB51" s="40"/>
      <c r="AC51" s="34"/>
      <c r="AD51" s="40"/>
      <c r="AE51" s="4">
        <f>IF(H51="Senior",MAX(AA51,AC51),AA51+AC51)</f>
        <v>0</v>
      </c>
      <c r="AF51" s="34"/>
      <c r="AG51" s="37"/>
    </row>
    <row r="52" spans="1:33" x14ac:dyDescent="0.2">
      <c r="A52" s="1" t="str" cm="1">
        <f t="array" ref="A52">IF(I52="","",IF(P52&lt;&gt;"",SUMPRODUCT((P$3:P$107&lt;&gt;"")*(G$3:G$107=G52)*(J$3:J$107&gt;J52)*(I$3:I$107="P"))+1,IF(O52&lt;&gt;"",SUMPRODUCT((O$3:O$107&lt;&gt;"")*(P$3:P$107="")*(G$3:G$107=G52)*(J$3:J$107&gt;J52)*(I$3:I$107="P"))+SUMPRODUCT((P$3:P$107&lt;&gt;"")*(G$3:G$107=G52)*(I$3:I$107="P"))+1,IF(N52&lt;&gt;"",SUMPRODUCT((N$3:N$107&lt;&gt;"")*(G$3:G$107=G52)*(J$3:J$107&gt;J52)*(I$3:I$107="P"))+1,IF(M52="P",SUMPRODUCT((O$3:O$107&lt;&gt;"")*(P$3:P$107="")*(G$3:G$107=G52)*(I$3:I$107="P"))+SUMPRODUCT((P$3:P$107&lt;&gt;"")*(G$3:G$107=G52)*(I$3:I$107="P"))+SUMPRODUCT((N$3:N$107&lt;&gt;"")*(G$3:G$107=G52)*(I$3:I$107="P"))+SUMPRODUCT((P$3:P$107="")*(O$3:O$107="")*(N$3:N$107="")*(M$3:M$107="P")*(G$3:G$107=G52)*(J$3:J$107&gt;J52)*(I$3:I$107="P"))+IF(H52="L5",SUMPRODUCT((P$3:P$107="")*(O$3:O$107="")*(N$3:N$107="")*(M$3:M$107="P")*(G$3:G$107=G52)*(J$3:J$107&lt;J52)*(H$3:H$107&lt;&gt;H52)*(I$3:I$107="P")),-1*SUMPRODUCT((P$3:P$107="")*(O$3:O$107="")*(N$3:N$107="")*(M$3:M$107="P")*(G$3:G$107=G52)*(J$3:J$107&gt;J52)*(H$3:H$107="L5")*(I$3:I$107="P")))+1,"")))))</f>
        <v/>
      </c>
      <c r="B52" s="1" t="str" cm="1">
        <f t="array" ref="B52">IF(P52&lt;&gt;"",SUMPRODUCT((P$3:P$107&lt;&gt;"")*(G$3:G$107=G52)*(J$3:J$107&gt;J52))+1,IF(O52&lt;&gt;"",SUMPRODUCT((O$3:O$107&lt;&gt;"")*(P$3:P$107="")*(G$3:G$107=G52)*(J$3:J$107&gt;J52))+SUMPRODUCT((P$3:P$107&lt;&gt;"")*(G$3:G$107=G52))+1,IF(N52&lt;&gt;"",SUMPRODUCT((N$3:N$107&lt;&gt;"")*(G$3:G$107=G52)*(J$3:J$107&gt;J52))+1,IF(M52="P",SUMPRODUCT((O$3:O$107&lt;&gt;"")*(P$3:P$107="")*(G$3:G$107=G52))+SUMPRODUCT((P$3:P$107&lt;&gt;"")*(G$3:G$107=G52))+SUMPRODUCT((N$3:N$107&lt;&gt;"")*(G$3:G$107=G52))+SUMPRODUCT((P$3:P$107="")*(O$3:O$107="")*(N$3:N$107="")*(M$3:M$107="P")*(G$3:G$107=G52)*(J$3:J$107&gt;J52))+IF(H52="L5",SUMPRODUCT((P$3:P$107="")*(O$3:O$107="")*(N$3:N$107="")*(M$3:M$107="P")*(G$3:G$107=G52)*(J$3:J$107&lt;J52)*(H$3:H$107&lt;&gt;H52)),-1*SUMPRODUCT((P$3:P$107="")*(O$3:O$107="")*(N$3:N$107="")*(M$3:M$107="P")*(G$3:G$107=G52)*(J$3:J$107&gt;J52)*(H$3:H$107="L5")))+1,""))))</f>
        <v/>
      </c>
      <c r="C52" s="36" t="s">
        <v>93</v>
      </c>
      <c r="D52" s="36" t="str">
        <f>IF(E52="","",VLOOKUP(E52,'Coaching Points'!A:B,2,0))</f>
        <v>AB</v>
      </c>
      <c r="E52" s="36" t="s">
        <v>70</v>
      </c>
      <c r="F52" s="35">
        <v>2005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9" t="s">
        <v>66</v>
      </c>
      <c r="I52" s="43"/>
      <c r="J52" s="4">
        <f>R52+S52+IF(OR(H52="Junior",H52="Senior"),0.0002,IF(OR(H52="L7",H52="L6"),0.0001,0))+IF(G52="17-21",MAX(AA52,AC52,AF52),AE52)*0.0000001</f>
        <v>79.430003747000001</v>
      </c>
      <c r="K52" s="3" t="str">
        <f>IF(G52="Not Age Eligible","",IF(G52="17-21",IF(MAX(T52,V52,Y52,AA52,AC52,AF52)&gt;=LOOKUP(G52,'Qualifying Scores'!$A$4:$A$7,'Qualifying Scores'!$B$4:$B$7),"P",""),IF(MAX(X52-U52,AE52-AB52)&gt;=LOOKUP(G52,'Qualifying Scores'!$A$4:$A$7,'Qualifying Scores'!$B$4:$B$7),"P","")))</f>
        <v/>
      </c>
      <c r="L52" s="3" t="str">
        <f>IF(G52="Not Age Eligible","",IF(G52="17-21",IF(MAX(U52,W52,Z52,AB52,AD52,AG52)&gt;=LOOKUP(G52,'Qualifying Scores'!$A$10:$A$13,'Qualifying Scores'!$B$10:$B$13),"P",""),IF(MAX(W52,AD52)&gt;=LOOKUP(G52,'Qualifying Scores'!$A$10:$A$13,'Qualifying Scores'!$B$10:$B$13),"P","")))</f>
        <v/>
      </c>
      <c r="M52" s="3" t="str">
        <f>IF(G52="Not Age Eligible","",IF(G52="17-21",IF(OR(AND(T52&gt;=LOOKUP(G52,'Qualifying Scores'!$A$4:$A$7,'Qualifying Scores'!$B$4:$B$7),U52&gt;=LOOKUP(G52,'Qualifying Scores'!$A$10:$A$13,'Qualifying Scores'!$B$10:$B$13)),AND(V52&gt;=LOOKUP(G52,'Qualifying Scores'!$A$4:$A$7,'Qualifying Scores'!$B$4:$B$7),W52&gt;=LOOKUP(G52,'Qualifying Scores'!$A$10:$A$13,'Qualifying Scores'!$B$10:$B$13)),AND(Y52&gt;=LOOKUP(G52,'Qualifying Scores'!$A$4:$A$7,'Qualifying Scores'!$B$4:$B$7),Z52&gt;=LOOKUP(G52,'Qualifying Scores'!$A$10:$A$13,'Qualifying Scores'!$B$10:$B$13)),AND(AA52&gt;=LOOKUP(G52,'Qualifying Scores'!$A$4:$A$7,'Qualifying Scores'!$B$4:$B$7),AB52&gt;=LOOKUP(G52,'Qualifying Scores'!$A$10:$A$13,'Qualifying Scores'!$B$10:$B$13)),AND(AC52&gt;=LOOKUP(G52,'Qualifying Scores'!$A$4:$A$7,'Qualifying Scores'!$B$4:$B$7),AD52&gt;=LOOKUP(G52,'Qualifying Scores'!$A$10:$A$13,'Qualifying Scores'!$B$10:$B$13)),AND(AF52&gt;=LOOKUP(G52,'Qualifying Scores'!$A$4:$A$7,'Qualifying Scores'!$B$4:$B$7),AG52&gt;=LOOKUP(G52,'Qualifying Scores'!$A$10:$A$13,'Qualifying Scores'!$B$10:$B$13))),"P",""),IF(OR(AND(X52-U52&gt;=LOOKUP(G52,'Qualifying Scores'!$A$4:$A$7,'Qualifying Scores'!$B$4:$B$7),W52&gt;=LOOKUP(G52,'Qualifying Scores'!$A$10:$A$13,'Qualifying Scores'!$B$10:$B$13)),AND(AE52-AB52&gt;=LOOKUP(G52,'Qualifying Scores'!$A$4:$A$7,'Qualifying Scores'!$B$4:$B$7),AD52&gt;=LOOKUP(G52,'Qualifying Scores'!$A$10:$A$13,'Qualifying Scores'!$B$10:$B$13))),"P","")))</f>
        <v/>
      </c>
      <c r="Q52" s="1" t="str">
        <f>IF(A52&lt;5,IF(_xlfn.MAXIFS(A:A,G:G,G52)&gt;3,5-A52,_xlfn.MAXIFS(A:A,G:G,G52)+1-A52),"")</f>
        <v/>
      </c>
      <c r="R52" s="4">
        <f>IF(G52="17-21",MAX(T52,V52,Y52,AA52,AC52,AF52),MAX(X52,AE52))</f>
        <v>41.25</v>
      </c>
      <c r="S52" s="4">
        <f>IF(G52="17-21",LARGE(CHOOSE({1,2,3,4,5,6},T52,V52,Y52,AA52,AC52,AF52),2),IF(R52=X52,MAX(Y52,AA52,AC52,AF52),IF(R52=AE52,MAX(AF52,T52,V52,Y52),0)))</f>
        <v>38.18</v>
      </c>
      <c r="T52" s="33">
        <v>38.18</v>
      </c>
      <c r="U52" s="40">
        <v>0</v>
      </c>
      <c r="V52" s="34">
        <v>41.25</v>
      </c>
      <c r="W52" s="40">
        <v>7.5</v>
      </c>
      <c r="X52" s="4">
        <f>IF(H52="Senior",MAX(T52,V52),T52+V52)</f>
        <v>79.430000000000007</v>
      </c>
      <c r="Y52" s="34"/>
      <c r="Z52" s="40"/>
      <c r="AA52" s="33">
        <v>37.47</v>
      </c>
      <c r="AB52" s="40">
        <v>0</v>
      </c>
      <c r="AC52" s="34">
        <v>4.5999999999999996</v>
      </c>
      <c r="AD52" s="40">
        <v>0.6</v>
      </c>
      <c r="AE52" s="4">
        <f>IF(H52="Senior",MAX(AA52,AC52),AA52+AC52)</f>
        <v>42.07</v>
      </c>
      <c r="AF52" s="34"/>
      <c r="AG52" s="37"/>
    </row>
    <row r="53" spans="1:33" x14ac:dyDescent="0.2">
      <c r="A53" s="1" t="str" cm="1">
        <f t="array" ref="A53">IF(I53="","",IF(P53&lt;&gt;"",SUMPRODUCT((P$3:P$107&lt;&gt;"")*(G$3:G$107=G53)*(J$3:J$107&gt;J53)*(I$3:I$107="P"))+1,IF(O53&lt;&gt;"",SUMPRODUCT((O$3:O$107&lt;&gt;"")*(P$3:P$107="")*(G$3:G$107=G53)*(J$3:J$107&gt;J53)*(I$3:I$107="P"))+SUMPRODUCT((P$3:P$107&lt;&gt;"")*(G$3:G$107=G53)*(I$3:I$107="P"))+1,IF(N53&lt;&gt;"",SUMPRODUCT((N$3:N$107&lt;&gt;"")*(G$3:G$107=G53)*(J$3:J$107&gt;J53)*(I$3:I$107="P"))+1,IF(M53="P",SUMPRODUCT((O$3:O$107&lt;&gt;"")*(P$3:P$107="")*(G$3:G$107=G53)*(I$3:I$107="P"))+SUMPRODUCT((P$3:P$107&lt;&gt;"")*(G$3:G$107=G53)*(I$3:I$107="P"))+SUMPRODUCT((N$3:N$107&lt;&gt;"")*(G$3:G$107=G53)*(I$3:I$107="P"))+SUMPRODUCT((P$3:P$107="")*(O$3:O$107="")*(N$3:N$107="")*(M$3:M$107="P")*(G$3:G$107=G53)*(J$3:J$107&gt;J53)*(I$3:I$107="P"))+IF(H53="L5",SUMPRODUCT((P$3:P$107="")*(O$3:O$107="")*(N$3:N$107="")*(M$3:M$107="P")*(G$3:G$107=G53)*(J$3:J$107&lt;J53)*(H$3:H$107&lt;&gt;H53)*(I$3:I$107="P")),-1*SUMPRODUCT((P$3:P$107="")*(O$3:O$107="")*(N$3:N$107="")*(M$3:M$107="P")*(G$3:G$107=G53)*(J$3:J$107&gt;J53)*(H$3:H$107="L5")*(I$3:I$107="P")))+1,"")))))</f>
        <v/>
      </c>
      <c r="B53" s="1" t="str" cm="1">
        <f t="array" ref="B53">IF(P53&lt;&gt;"",SUMPRODUCT((P$3:P$107&lt;&gt;"")*(G$3:G$107=G53)*(J$3:J$107&gt;J53))+1,IF(O53&lt;&gt;"",SUMPRODUCT((O$3:O$107&lt;&gt;"")*(P$3:P$107="")*(G$3:G$107=G53)*(J$3:J$107&gt;J53))+SUMPRODUCT((P$3:P$107&lt;&gt;"")*(G$3:G$107=G53))+1,IF(N53&lt;&gt;"",SUMPRODUCT((N$3:N$107&lt;&gt;"")*(G$3:G$107=G53)*(J$3:J$107&gt;J53))+1,IF(M53="P",SUMPRODUCT((O$3:O$107&lt;&gt;"")*(P$3:P$107="")*(G$3:G$107=G53))+SUMPRODUCT((P$3:P$107&lt;&gt;"")*(G$3:G$107=G53))+SUMPRODUCT((N$3:N$107&lt;&gt;"")*(G$3:G$107=G53))+SUMPRODUCT((P$3:P$107="")*(O$3:O$107="")*(N$3:N$107="")*(M$3:M$107="P")*(G$3:G$107=G53)*(J$3:J$107&gt;J53))+IF(H53="L5",SUMPRODUCT((P$3:P$107="")*(O$3:O$107="")*(N$3:N$107="")*(M$3:M$107="P")*(G$3:G$107=G53)*(J$3:J$107&lt;J53)*(H$3:H$107&lt;&gt;H53)),-1*SUMPRODUCT((P$3:P$107="")*(O$3:O$107="")*(N$3:N$107="")*(M$3:M$107="P")*(G$3:G$107=G53)*(J$3:J$107&gt;J53)*(H$3:H$107="L5")))+1,""))))</f>
        <v/>
      </c>
      <c r="C53" s="36" t="s">
        <v>430</v>
      </c>
      <c r="D53" s="36" t="str">
        <f>IF(E53="","",VLOOKUP(E53,'Coaching Points'!A:B,2,0))</f>
        <v>AB</v>
      </c>
      <c r="E53" s="36" t="s">
        <v>64</v>
      </c>
      <c r="F53" s="35">
        <v>2004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9" t="s">
        <v>66</v>
      </c>
      <c r="I53" s="43"/>
      <c r="J53" s="4">
        <f>R53+S53+IF(OR(H53="Junior",H53="Senior"),0.0002,IF(OR(H53="L7",H53="L6"),0.0001,0))+IF(G53="17-21",MAX(AA53,AC53,AF53),AE53)*0.0000001</f>
        <v>76.550004332</v>
      </c>
      <c r="K53" s="3" t="str">
        <f>IF(G53="Not Age Eligible","",IF(G53="17-21",IF(MAX(T53,V53,Y53,AA53,AC53,AF53)&gt;=LOOKUP(G53,'Qualifying Scores'!$A$4:$A$7,'Qualifying Scores'!$B$4:$B$7),"P",""),IF(MAX(X53-U53,AE53-AB53)&gt;=LOOKUP(G53,'Qualifying Scores'!$A$4:$A$7,'Qualifying Scores'!$B$4:$B$7),"P","")))</f>
        <v/>
      </c>
      <c r="L53" s="3" t="str">
        <f>IF(G53="Not Age Eligible","",IF(G53="17-21",IF(MAX(U53,W53,Z53,AB53,AD53,AG53)&gt;=LOOKUP(G53,'Qualifying Scores'!$A$10:$A$13,'Qualifying Scores'!$B$10:$B$13),"P",""),IF(MAX(W53,AD53)&gt;=LOOKUP(G53,'Qualifying Scores'!$A$10:$A$13,'Qualifying Scores'!$B$10:$B$13),"P","")))</f>
        <v/>
      </c>
      <c r="M53" s="3" t="str">
        <f>IF(G53="Not Age Eligible","",IF(G53="17-21",IF(OR(AND(T53&gt;=LOOKUP(G53,'Qualifying Scores'!$A$4:$A$7,'Qualifying Scores'!$B$4:$B$7),U53&gt;=LOOKUP(G53,'Qualifying Scores'!$A$10:$A$13,'Qualifying Scores'!$B$10:$B$13)),AND(V53&gt;=LOOKUP(G53,'Qualifying Scores'!$A$4:$A$7,'Qualifying Scores'!$B$4:$B$7),W53&gt;=LOOKUP(G53,'Qualifying Scores'!$A$10:$A$13,'Qualifying Scores'!$B$10:$B$13)),AND(Y53&gt;=LOOKUP(G53,'Qualifying Scores'!$A$4:$A$7,'Qualifying Scores'!$B$4:$B$7),Z53&gt;=LOOKUP(G53,'Qualifying Scores'!$A$10:$A$13,'Qualifying Scores'!$B$10:$B$13)),AND(AA53&gt;=LOOKUP(G53,'Qualifying Scores'!$A$4:$A$7,'Qualifying Scores'!$B$4:$B$7),AB53&gt;=LOOKUP(G53,'Qualifying Scores'!$A$10:$A$13,'Qualifying Scores'!$B$10:$B$13)),AND(AC53&gt;=LOOKUP(G53,'Qualifying Scores'!$A$4:$A$7,'Qualifying Scores'!$B$4:$B$7),AD53&gt;=LOOKUP(G53,'Qualifying Scores'!$A$10:$A$13,'Qualifying Scores'!$B$10:$B$13)),AND(AF53&gt;=LOOKUP(G53,'Qualifying Scores'!$A$4:$A$7,'Qualifying Scores'!$B$4:$B$7),AG53&gt;=LOOKUP(G53,'Qualifying Scores'!$A$10:$A$13,'Qualifying Scores'!$B$10:$B$13))),"P",""),IF(OR(AND(X53-U53&gt;=LOOKUP(G53,'Qualifying Scores'!$A$4:$A$7,'Qualifying Scores'!$B$4:$B$7),W53&gt;=LOOKUP(G53,'Qualifying Scores'!$A$10:$A$13,'Qualifying Scores'!$B$10:$B$13)),AND(AE53-AB53&gt;=LOOKUP(G53,'Qualifying Scores'!$A$4:$A$7,'Qualifying Scores'!$B$4:$B$7),AD53&gt;=LOOKUP(G53,'Qualifying Scores'!$A$10:$A$13,'Qualifying Scores'!$B$10:$B$13))),"P","")))</f>
        <v/>
      </c>
      <c r="Q53" s="1" t="str">
        <f>IF(A53&lt;5,IF(_xlfn.MAXIFS(A:A,G:G,G53)&gt;3,5-A53,_xlfn.MAXIFS(A:A,G:G,G53)+1-A53),"")</f>
        <v/>
      </c>
      <c r="R53" s="4">
        <f>IF(G53="17-21",MAX(T53,V53,Y53,AA53,AC53,AF53),MAX(X53,AE53))</f>
        <v>43.32</v>
      </c>
      <c r="S53" s="4">
        <f>IF(G53="17-21",LARGE(CHOOSE({1,2,3,4,5,6},T53,V53,Y53,AA53,AC53,AF53),2),IF(R53=X53,MAX(Y53,AA53,AC53,AF53),IF(R53=AE53,MAX(AF53,T53,V53,Y53),0)))</f>
        <v>33.229999999999997</v>
      </c>
      <c r="T53" s="33"/>
      <c r="U53" s="40"/>
      <c r="V53" s="34"/>
      <c r="W53" s="40"/>
      <c r="X53" s="4">
        <f>IF(H53="Senior",MAX(T53,V53),T53+V53)</f>
        <v>0</v>
      </c>
      <c r="Y53" s="34"/>
      <c r="Z53" s="40"/>
      <c r="AA53" s="33">
        <v>33.229999999999997</v>
      </c>
      <c r="AB53" s="40">
        <v>0</v>
      </c>
      <c r="AC53" s="34">
        <v>43.32</v>
      </c>
      <c r="AD53" s="40">
        <v>7.5</v>
      </c>
      <c r="AE53" s="4">
        <f>IF(H53="Senior",MAX(AA53,AC53),AA53+AC53)</f>
        <v>76.55</v>
      </c>
      <c r="AF53" s="34"/>
      <c r="AG53" s="37"/>
    </row>
    <row r="54" spans="1:33" x14ac:dyDescent="0.2">
      <c r="A54" s="1" t="str" cm="1">
        <f t="array" ref="A54">IF(I54="","",IF(P54&lt;&gt;"",SUMPRODUCT((P$3:P$107&lt;&gt;"")*(G$3:G$107=G54)*(J$3:J$107&gt;J54)*(I$3:I$107="P"))+1,IF(O54&lt;&gt;"",SUMPRODUCT((O$3:O$107&lt;&gt;"")*(P$3:P$107="")*(G$3:G$107=G54)*(J$3:J$107&gt;J54)*(I$3:I$107="P"))+SUMPRODUCT((P$3:P$107&lt;&gt;"")*(G$3:G$107=G54)*(I$3:I$107="P"))+1,IF(N54&lt;&gt;"",SUMPRODUCT((N$3:N$107&lt;&gt;"")*(G$3:G$107=G54)*(J$3:J$107&gt;J54)*(I$3:I$107="P"))+1,IF(M54="P",SUMPRODUCT((O$3:O$107&lt;&gt;"")*(P$3:P$107="")*(G$3:G$107=G54)*(I$3:I$107="P"))+SUMPRODUCT((P$3:P$107&lt;&gt;"")*(G$3:G$107=G54)*(I$3:I$107="P"))+SUMPRODUCT((N$3:N$107&lt;&gt;"")*(G$3:G$107=G54)*(I$3:I$107="P"))+SUMPRODUCT((P$3:P$107="")*(O$3:O$107="")*(N$3:N$107="")*(M$3:M$107="P")*(G$3:G$107=G54)*(J$3:J$107&gt;J54)*(I$3:I$107="P"))+IF(H54="L5",SUMPRODUCT((P$3:P$107="")*(O$3:O$107="")*(N$3:N$107="")*(M$3:M$107="P")*(G$3:G$107=G54)*(J$3:J$107&lt;J54)*(H$3:H$107&lt;&gt;H54)*(I$3:I$107="P")),-1*SUMPRODUCT((P$3:P$107="")*(O$3:O$107="")*(N$3:N$107="")*(M$3:M$107="P")*(G$3:G$107=G54)*(J$3:J$107&gt;J54)*(H$3:H$107="L5")*(I$3:I$107="P")))+1,"")))))</f>
        <v/>
      </c>
      <c r="B54" s="1" t="str" cm="1">
        <f t="array" ref="B54">IF(P54&lt;&gt;"",SUMPRODUCT((P$3:P$107&lt;&gt;"")*(G$3:G$107=G54)*(J$3:J$107&gt;J54))+1,IF(O54&lt;&gt;"",SUMPRODUCT((O$3:O$107&lt;&gt;"")*(P$3:P$107="")*(G$3:G$107=G54)*(J$3:J$107&gt;J54))+SUMPRODUCT((P$3:P$107&lt;&gt;"")*(G$3:G$107=G54))+1,IF(N54&lt;&gt;"",SUMPRODUCT((N$3:N$107&lt;&gt;"")*(G$3:G$107=G54)*(J$3:J$107&gt;J54))+1,IF(M54="P",SUMPRODUCT((O$3:O$107&lt;&gt;"")*(P$3:P$107="")*(G$3:G$107=G54))+SUMPRODUCT((P$3:P$107&lt;&gt;"")*(G$3:G$107=G54))+SUMPRODUCT((N$3:N$107&lt;&gt;"")*(G$3:G$107=G54))+SUMPRODUCT((P$3:P$107="")*(O$3:O$107="")*(N$3:N$107="")*(M$3:M$107="P")*(G$3:G$107=G54)*(J$3:J$107&gt;J54))+IF(H54="L5",SUMPRODUCT((P$3:P$107="")*(O$3:O$107="")*(N$3:N$107="")*(M$3:M$107="P")*(G$3:G$107=G54)*(J$3:J$107&lt;J54)*(H$3:H$107&lt;&gt;H54)),-1*SUMPRODUCT((P$3:P$107="")*(O$3:O$107="")*(N$3:N$107="")*(M$3:M$107="P")*(G$3:G$107=G54)*(J$3:J$107&gt;J54)*(H$3:H$107="L5")))+1,""))))</f>
        <v/>
      </c>
      <c r="C54" s="36" t="s">
        <v>108</v>
      </c>
      <c r="D54" s="36" t="str">
        <f>IF(E54="","",VLOOKUP(E54,'Coaching Points'!A:B,2,0))</f>
        <v>BC</v>
      </c>
      <c r="E54" s="36" t="s">
        <v>41</v>
      </c>
      <c r="F54" s="35">
        <v>2005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9" t="s">
        <v>68</v>
      </c>
      <c r="I54" s="43" t="s">
        <v>567</v>
      </c>
      <c r="J54" s="4">
        <f>R54+S54+IF(OR(H54="Junior",H54="Senior"),0.0002,IF(OR(H54="L7",H54="L6"),0.0001,0))+IF(G54="17-21",MAX(AA54,AC54,AF54),AE54)*0.0000001</f>
        <v>72.340101047000005</v>
      </c>
      <c r="K54" s="3" t="str">
        <f>IF(G54="Not Age Eligible","",IF(G54="17-21",IF(MAX(T54,V54,Y54,AA54,AC54,AF54)&gt;=LOOKUP(G54,'Qualifying Scores'!$A$4:$A$7,'Qualifying Scores'!$B$4:$B$7),"P",""),IF(MAX(X54-U54,AE54-AB54)&gt;=LOOKUP(G54,'Qualifying Scores'!$A$4:$A$7,'Qualifying Scores'!$B$4:$B$7),"P","")))</f>
        <v/>
      </c>
      <c r="L54" s="3" t="str">
        <f>IF(G54="Not Age Eligible","",IF(G54="17-21",IF(MAX(U54,W54,Z54,AB54,AD54,AG54)&gt;=LOOKUP(G54,'Qualifying Scores'!$A$10:$A$13,'Qualifying Scores'!$B$10:$B$13),"P",""),IF(MAX(W54,AD54)&gt;=LOOKUP(G54,'Qualifying Scores'!$A$10:$A$13,'Qualifying Scores'!$B$10:$B$13),"P","")))</f>
        <v>P</v>
      </c>
      <c r="M54" s="3" t="str">
        <f>IF(G54="Not Age Eligible","",IF(G54="17-21",IF(OR(AND(T54&gt;=LOOKUP(G54,'Qualifying Scores'!$A$4:$A$7,'Qualifying Scores'!$B$4:$B$7),U54&gt;=LOOKUP(G54,'Qualifying Scores'!$A$10:$A$13,'Qualifying Scores'!$B$10:$B$13)),AND(V54&gt;=LOOKUP(G54,'Qualifying Scores'!$A$4:$A$7,'Qualifying Scores'!$B$4:$B$7),W54&gt;=LOOKUP(G54,'Qualifying Scores'!$A$10:$A$13,'Qualifying Scores'!$B$10:$B$13)),AND(Y54&gt;=LOOKUP(G54,'Qualifying Scores'!$A$4:$A$7,'Qualifying Scores'!$B$4:$B$7),Z54&gt;=LOOKUP(G54,'Qualifying Scores'!$A$10:$A$13,'Qualifying Scores'!$B$10:$B$13)),AND(AA54&gt;=LOOKUP(G54,'Qualifying Scores'!$A$4:$A$7,'Qualifying Scores'!$B$4:$B$7),AB54&gt;=LOOKUP(G54,'Qualifying Scores'!$A$10:$A$13,'Qualifying Scores'!$B$10:$B$13)),AND(AC54&gt;=LOOKUP(G54,'Qualifying Scores'!$A$4:$A$7,'Qualifying Scores'!$B$4:$B$7),AD54&gt;=LOOKUP(G54,'Qualifying Scores'!$A$10:$A$13,'Qualifying Scores'!$B$10:$B$13)),AND(AF54&gt;=LOOKUP(G54,'Qualifying Scores'!$A$4:$A$7,'Qualifying Scores'!$B$4:$B$7),AG54&gt;=LOOKUP(G54,'Qualifying Scores'!$A$10:$A$13,'Qualifying Scores'!$B$10:$B$13))),"P",""),IF(OR(AND(X54-U54&gt;=LOOKUP(G54,'Qualifying Scores'!$A$4:$A$7,'Qualifying Scores'!$B$4:$B$7),W54&gt;=LOOKUP(G54,'Qualifying Scores'!$A$10:$A$13,'Qualifying Scores'!$B$10:$B$13)),AND(AE54-AB54&gt;=LOOKUP(G54,'Qualifying Scores'!$A$4:$A$7,'Qualifying Scores'!$B$4:$B$7),AD54&gt;=LOOKUP(G54,'Qualifying Scores'!$A$10:$A$13,'Qualifying Scores'!$B$10:$B$13))),"P","")))</f>
        <v/>
      </c>
      <c r="Q54" s="1" t="str">
        <f>IF(A54&lt;5,IF(_xlfn.MAXIFS(A:A,G:G,G54)&gt;3,5-A54,_xlfn.MAXIFS(A:A,G:G,G54)+1-A54),"")</f>
        <v/>
      </c>
      <c r="R54" s="4">
        <f>IF(G54="17-21",MAX(T54,V54,Y54,AA54,AC54,AF54),MAX(X54,AE54))</f>
        <v>47.16</v>
      </c>
      <c r="S54" s="4">
        <f>IF(G54="17-21",LARGE(CHOOSE({1,2,3,4,5,6},T54,V54,Y54,AA54,AC54,AF54),2),IF(R54=X54,MAX(Y54,AA54,AC54,AF54),IF(R54=AE54,MAX(AF54,T54,V54,Y54),0)))</f>
        <v>25.18</v>
      </c>
      <c r="T54" s="33">
        <v>25.18</v>
      </c>
      <c r="U54" s="40">
        <v>7.3</v>
      </c>
      <c r="V54" s="34">
        <v>47.16</v>
      </c>
      <c r="W54" s="40">
        <v>13.5</v>
      </c>
      <c r="X54" s="4">
        <f>IF(H54="Senior",MAX(T54,V54),T54+V54)</f>
        <v>72.34</v>
      </c>
      <c r="Y54" s="34"/>
      <c r="Z54" s="40"/>
      <c r="AA54" s="33">
        <v>10.47</v>
      </c>
      <c r="AB54" s="40">
        <v>3.1</v>
      </c>
      <c r="AC54" s="34">
        <v>10.41</v>
      </c>
      <c r="AD54" s="40">
        <v>3.1</v>
      </c>
      <c r="AE54" s="4">
        <f>IF(H54="Senior",MAX(AA54,AC54),AA54+AC54)</f>
        <v>20.880000000000003</v>
      </c>
      <c r="AF54" s="34"/>
      <c r="AG54" s="37"/>
    </row>
    <row r="55" spans="1:33" x14ac:dyDescent="0.2">
      <c r="A55" s="1" t="str" cm="1">
        <f t="array" ref="A55">IF(I55="","",IF(P55&lt;&gt;"",SUMPRODUCT((P$3:P$107&lt;&gt;"")*(G$3:G$107=G55)*(J$3:J$107&gt;J55)*(I$3:I$107="P"))+1,IF(O55&lt;&gt;"",SUMPRODUCT((O$3:O$107&lt;&gt;"")*(P$3:P$107="")*(G$3:G$107=G55)*(J$3:J$107&gt;J55)*(I$3:I$107="P"))+SUMPRODUCT((P$3:P$107&lt;&gt;"")*(G$3:G$107=G55)*(I$3:I$107="P"))+1,IF(N55&lt;&gt;"",SUMPRODUCT((N$3:N$107&lt;&gt;"")*(G$3:G$107=G55)*(J$3:J$107&gt;J55)*(I$3:I$107="P"))+1,IF(M55="P",SUMPRODUCT((O$3:O$107&lt;&gt;"")*(P$3:P$107="")*(G$3:G$107=G55)*(I$3:I$107="P"))+SUMPRODUCT((P$3:P$107&lt;&gt;"")*(G$3:G$107=G55)*(I$3:I$107="P"))+SUMPRODUCT((N$3:N$107&lt;&gt;"")*(G$3:G$107=G55)*(I$3:I$107="P"))+SUMPRODUCT((P$3:P$107="")*(O$3:O$107="")*(N$3:N$107="")*(M$3:M$107="P")*(G$3:G$107=G55)*(J$3:J$107&gt;J55)*(I$3:I$107="P"))+IF(H55="L5",SUMPRODUCT((P$3:P$107="")*(O$3:O$107="")*(N$3:N$107="")*(M$3:M$107="P")*(G$3:G$107=G55)*(J$3:J$107&lt;J55)*(H$3:H$107&lt;&gt;H55)*(I$3:I$107="P")),-1*SUMPRODUCT((P$3:P$107="")*(O$3:O$107="")*(N$3:N$107="")*(M$3:M$107="P")*(G$3:G$107=G55)*(J$3:J$107&gt;J55)*(H$3:H$107="L5")*(I$3:I$107="P")))+1,"")))))</f>
        <v/>
      </c>
      <c r="B55" s="1" t="str" cm="1">
        <f t="array" ref="B55">IF(P55&lt;&gt;"",SUMPRODUCT((P$3:P$107&lt;&gt;"")*(G$3:G$107=G55)*(J$3:J$107&gt;J55))+1,IF(O55&lt;&gt;"",SUMPRODUCT((O$3:O$107&lt;&gt;"")*(P$3:P$107="")*(G$3:G$107=G55)*(J$3:J$107&gt;J55))+SUMPRODUCT((P$3:P$107&lt;&gt;"")*(G$3:G$107=G55))+1,IF(N55&lt;&gt;"",SUMPRODUCT((N$3:N$107&lt;&gt;"")*(G$3:G$107=G55)*(J$3:J$107&gt;J55))+1,IF(M55="P",SUMPRODUCT((O$3:O$107&lt;&gt;"")*(P$3:P$107="")*(G$3:G$107=G55))+SUMPRODUCT((P$3:P$107&lt;&gt;"")*(G$3:G$107=G55))+SUMPRODUCT((N$3:N$107&lt;&gt;"")*(G$3:G$107=G55))+SUMPRODUCT((P$3:P$107="")*(O$3:O$107="")*(N$3:N$107="")*(M$3:M$107="P")*(G$3:G$107=G55)*(J$3:J$107&gt;J55))+IF(H55="L5",SUMPRODUCT((P$3:P$107="")*(O$3:O$107="")*(N$3:N$107="")*(M$3:M$107="P")*(G$3:G$107=G55)*(J$3:J$107&lt;J55)*(H$3:H$107&lt;&gt;H55)),-1*SUMPRODUCT((P$3:P$107="")*(O$3:O$107="")*(N$3:N$107="")*(M$3:M$107="P")*(G$3:G$107=G55)*(J$3:J$107&gt;J55)*(H$3:H$107="L5")))+1,""))))</f>
        <v/>
      </c>
      <c r="C55" s="36" t="s">
        <v>431</v>
      </c>
      <c r="D55" s="36" t="str">
        <f>IF(E55="","",VLOOKUP(E55,'Coaching Points'!A:B,2,0))</f>
        <v>QC</v>
      </c>
      <c r="E55" s="36" t="s">
        <v>96</v>
      </c>
      <c r="F55" s="35">
        <v>2006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9" t="s">
        <v>66</v>
      </c>
      <c r="I55" s="43"/>
      <c r="J55" s="4">
        <f>R55+S55+IF(OR(H55="Junior",H55="Senior"),0.0002,IF(OR(H55="L7",H55="L6"),0.0001,0))+IF(G55="17-21",MAX(AA55,AC55,AF55),AE55)*0.0000001</f>
        <v>65.570003735</v>
      </c>
      <c r="K55" s="3" t="str">
        <f>IF(G55="Not Age Eligible","",IF(G55="17-21",IF(MAX(T55,V55,Y55,AA55,AC55,AF55)&gt;=LOOKUP(G55,'Qualifying Scores'!$A$4:$A$7,'Qualifying Scores'!$B$4:$B$7),"P",""),IF(MAX(X55-U55,AE55-AB55)&gt;=LOOKUP(G55,'Qualifying Scores'!$A$4:$A$7,'Qualifying Scores'!$B$4:$B$7),"P","")))</f>
        <v/>
      </c>
      <c r="L55" s="3" t="str">
        <f>IF(G55="Not Age Eligible","",IF(G55="17-21",IF(MAX(U55,W55,Z55,AB55,AD55,AG55)&gt;=LOOKUP(G55,'Qualifying Scores'!$A$10:$A$13,'Qualifying Scores'!$B$10:$B$13),"P",""),IF(MAX(W55,AD55)&gt;=LOOKUP(G55,'Qualifying Scores'!$A$10:$A$13,'Qualifying Scores'!$B$10:$B$13),"P","")))</f>
        <v/>
      </c>
      <c r="M55" s="3" t="str">
        <f>IF(G55="Not Age Eligible","",IF(G55="17-21",IF(OR(AND(T55&gt;=LOOKUP(G55,'Qualifying Scores'!$A$4:$A$7,'Qualifying Scores'!$B$4:$B$7),U55&gt;=LOOKUP(G55,'Qualifying Scores'!$A$10:$A$13,'Qualifying Scores'!$B$10:$B$13)),AND(V55&gt;=LOOKUP(G55,'Qualifying Scores'!$A$4:$A$7,'Qualifying Scores'!$B$4:$B$7),W55&gt;=LOOKUP(G55,'Qualifying Scores'!$A$10:$A$13,'Qualifying Scores'!$B$10:$B$13)),AND(Y55&gt;=LOOKUP(G55,'Qualifying Scores'!$A$4:$A$7,'Qualifying Scores'!$B$4:$B$7),Z55&gt;=LOOKUP(G55,'Qualifying Scores'!$A$10:$A$13,'Qualifying Scores'!$B$10:$B$13)),AND(AA55&gt;=LOOKUP(G55,'Qualifying Scores'!$A$4:$A$7,'Qualifying Scores'!$B$4:$B$7),AB55&gt;=LOOKUP(G55,'Qualifying Scores'!$A$10:$A$13,'Qualifying Scores'!$B$10:$B$13)),AND(AC55&gt;=LOOKUP(G55,'Qualifying Scores'!$A$4:$A$7,'Qualifying Scores'!$B$4:$B$7),AD55&gt;=LOOKUP(G55,'Qualifying Scores'!$A$10:$A$13,'Qualifying Scores'!$B$10:$B$13)),AND(AF55&gt;=LOOKUP(G55,'Qualifying Scores'!$A$4:$A$7,'Qualifying Scores'!$B$4:$B$7),AG55&gt;=LOOKUP(G55,'Qualifying Scores'!$A$10:$A$13,'Qualifying Scores'!$B$10:$B$13))),"P",""),IF(OR(AND(X55-U55&gt;=LOOKUP(G55,'Qualifying Scores'!$A$4:$A$7,'Qualifying Scores'!$B$4:$B$7),W55&gt;=LOOKUP(G55,'Qualifying Scores'!$A$10:$A$13,'Qualifying Scores'!$B$10:$B$13)),AND(AE55-AB55&gt;=LOOKUP(G55,'Qualifying Scores'!$A$4:$A$7,'Qualifying Scores'!$B$4:$B$7),AD55&gt;=LOOKUP(G55,'Qualifying Scores'!$A$10:$A$13,'Qualifying Scores'!$B$10:$B$13))),"P","")))</f>
        <v/>
      </c>
      <c r="Q55" s="1" t="str">
        <f>IF(A55&lt;5,IF(_xlfn.MAXIFS(A:A,G:G,G55)&gt;3,5-A55,_xlfn.MAXIFS(A:A,G:G,G55)+1-A55),"")</f>
        <v/>
      </c>
      <c r="R55" s="4">
        <f>IF(G55="17-21",MAX(T55,V55,Y55,AA55,AC55,AF55),MAX(X55,AE55))</f>
        <v>37.35</v>
      </c>
      <c r="S55" s="4">
        <f>IF(G55="17-21",LARGE(CHOOSE({1,2,3,4,5,6},T55,V55,Y55,AA55,AC55,AF55),2),IF(R55=X55,MAX(Y55,AA55,AC55,AF55),IF(R55=AE55,MAX(AF55,T55,V55,Y55),0)))</f>
        <v>28.22</v>
      </c>
      <c r="T55" s="33"/>
      <c r="U55" s="40"/>
      <c r="V55" s="34"/>
      <c r="W55" s="40"/>
      <c r="X55" s="4">
        <f>IF(H55="Senior",MAX(T55,V55),T55+V55)</f>
        <v>0</v>
      </c>
      <c r="Y55" s="34"/>
      <c r="Z55" s="40"/>
      <c r="AA55" s="33">
        <v>37.35</v>
      </c>
      <c r="AB55" s="40">
        <v>0</v>
      </c>
      <c r="AC55" s="34">
        <v>28.22</v>
      </c>
      <c r="AD55" s="40">
        <v>5.8</v>
      </c>
      <c r="AE55" s="4">
        <f>IF(H55="Senior",MAX(AA55,AC55),AA55+AC55)</f>
        <v>65.569999999999993</v>
      </c>
      <c r="AF55" s="34"/>
      <c r="AG55" s="37"/>
    </row>
    <row r="56" spans="1:33" x14ac:dyDescent="0.2">
      <c r="A56" s="1" t="str" cm="1">
        <f t="array" ref="A56">IF(I56="","",IF(P56&lt;&gt;"",SUMPRODUCT((P$3:P$107&lt;&gt;"")*(G$3:G$107=G56)*(J$3:J$107&gt;J56)*(I$3:I$107="P"))+1,IF(O56&lt;&gt;"",SUMPRODUCT((O$3:O$107&lt;&gt;"")*(P$3:P$107="")*(G$3:G$107=G56)*(J$3:J$107&gt;J56)*(I$3:I$107="P"))+SUMPRODUCT((P$3:P$107&lt;&gt;"")*(G$3:G$107=G56)*(I$3:I$107="P"))+1,IF(N56&lt;&gt;"",SUMPRODUCT((N$3:N$107&lt;&gt;"")*(G$3:G$107=G56)*(J$3:J$107&gt;J56)*(I$3:I$107="P"))+1,IF(M56="P",SUMPRODUCT((O$3:O$107&lt;&gt;"")*(P$3:P$107="")*(G$3:G$107=G56)*(I$3:I$107="P"))+SUMPRODUCT((P$3:P$107&lt;&gt;"")*(G$3:G$107=G56)*(I$3:I$107="P"))+SUMPRODUCT((N$3:N$107&lt;&gt;"")*(G$3:G$107=G56)*(I$3:I$107="P"))+SUMPRODUCT((P$3:P$107="")*(O$3:O$107="")*(N$3:N$107="")*(M$3:M$107="P")*(G$3:G$107=G56)*(J$3:J$107&gt;J56)*(I$3:I$107="P"))+IF(H56="L5",SUMPRODUCT((P$3:P$107="")*(O$3:O$107="")*(N$3:N$107="")*(M$3:M$107="P")*(G$3:G$107=G56)*(J$3:J$107&lt;J56)*(H$3:H$107&lt;&gt;H56)*(I$3:I$107="P")),-1*SUMPRODUCT((P$3:P$107="")*(O$3:O$107="")*(N$3:N$107="")*(M$3:M$107="P")*(G$3:G$107=G56)*(J$3:J$107&gt;J56)*(H$3:H$107="L5")*(I$3:I$107="P")))+1,"")))))</f>
        <v/>
      </c>
      <c r="B56" s="1" t="str" cm="1">
        <f t="array" ref="B56">IF(P56&lt;&gt;"",SUMPRODUCT((P$3:P$107&lt;&gt;"")*(G$3:G$107=G56)*(J$3:J$107&gt;J56))+1,IF(O56&lt;&gt;"",SUMPRODUCT((O$3:O$107&lt;&gt;"")*(P$3:P$107="")*(G$3:G$107=G56)*(J$3:J$107&gt;J56))+SUMPRODUCT((P$3:P$107&lt;&gt;"")*(G$3:G$107=G56))+1,IF(N56&lt;&gt;"",SUMPRODUCT((N$3:N$107&lt;&gt;"")*(G$3:G$107=G56)*(J$3:J$107&gt;J56))+1,IF(M56="P",SUMPRODUCT((O$3:O$107&lt;&gt;"")*(P$3:P$107="")*(G$3:G$107=G56))+SUMPRODUCT((P$3:P$107&lt;&gt;"")*(G$3:G$107=G56))+SUMPRODUCT((N$3:N$107&lt;&gt;"")*(G$3:G$107=G56))+SUMPRODUCT((P$3:P$107="")*(O$3:O$107="")*(N$3:N$107="")*(M$3:M$107="P")*(G$3:G$107=G56)*(J$3:J$107&gt;J56))+IF(H56="L5",SUMPRODUCT((P$3:P$107="")*(O$3:O$107="")*(N$3:N$107="")*(M$3:M$107="P")*(G$3:G$107=G56)*(J$3:J$107&lt;J56)*(H$3:H$107&lt;&gt;H56)),-1*SUMPRODUCT((P$3:P$107="")*(O$3:O$107="")*(N$3:N$107="")*(M$3:M$107="P")*(G$3:G$107=G56)*(J$3:J$107&gt;J56)*(H$3:H$107="L5")))+1,""))))</f>
        <v/>
      </c>
      <c r="C56" s="36" t="s">
        <v>345</v>
      </c>
      <c r="D56" s="36" t="str">
        <f>IF(E56="","",VLOOKUP(E56,'Coaching Points'!A:B,2,0))</f>
        <v>QC</v>
      </c>
      <c r="E56" s="36" t="s">
        <v>96</v>
      </c>
      <c r="F56" s="35">
        <v>2006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9" t="s">
        <v>66</v>
      </c>
      <c r="I56" s="43"/>
      <c r="J56" s="4">
        <f>R56+S56+IF(OR(H56="Junior",H56="Senior"),0.0002,IF(OR(H56="L7",H56="L6"),0.0001,0))+IF(G56="17-21",MAX(AA56,AC56,AF56),AE56)*0.0000001</f>
        <v>54.450003950999992</v>
      </c>
      <c r="K56" s="3" t="str">
        <f>IF(G56="Not Age Eligible","",IF(G56="17-21",IF(MAX(T56,V56,Y56,AA56,AC56,AF56)&gt;=LOOKUP(G56,'Qualifying Scores'!$A$4:$A$7,'Qualifying Scores'!$B$4:$B$7),"P",""),IF(MAX(X56-U56,AE56-AB56)&gt;=LOOKUP(G56,'Qualifying Scores'!$A$4:$A$7,'Qualifying Scores'!$B$4:$B$7),"P","")))</f>
        <v/>
      </c>
      <c r="L56" s="3" t="str">
        <f>IF(G56="Not Age Eligible","",IF(G56="17-21",IF(MAX(U56,W56,Z56,AB56,AD56,AG56)&gt;=LOOKUP(G56,'Qualifying Scores'!$A$10:$A$13,'Qualifying Scores'!$B$10:$B$13),"P",""),IF(MAX(W56,AD56)&gt;=LOOKUP(G56,'Qualifying Scores'!$A$10:$A$13,'Qualifying Scores'!$B$10:$B$13),"P","")))</f>
        <v/>
      </c>
      <c r="M56" s="3" t="str">
        <f>IF(G56="Not Age Eligible","",IF(G56="17-21",IF(OR(AND(T56&gt;=LOOKUP(G56,'Qualifying Scores'!$A$4:$A$7,'Qualifying Scores'!$B$4:$B$7),U56&gt;=LOOKUP(G56,'Qualifying Scores'!$A$10:$A$13,'Qualifying Scores'!$B$10:$B$13)),AND(V56&gt;=LOOKUP(G56,'Qualifying Scores'!$A$4:$A$7,'Qualifying Scores'!$B$4:$B$7),W56&gt;=LOOKUP(G56,'Qualifying Scores'!$A$10:$A$13,'Qualifying Scores'!$B$10:$B$13)),AND(Y56&gt;=LOOKUP(G56,'Qualifying Scores'!$A$4:$A$7,'Qualifying Scores'!$B$4:$B$7),Z56&gt;=LOOKUP(G56,'Qualifying Scores'!$A$10:$A$13,'Qualifying Scores'!$B$10:$B$13)),AND(AA56&gt;=LOOKUP(G56,'Qualifying Scores'!$A$4:$A$7,'Qualifying Scores'!$B$4:$B$7),AB56&gt;=LOOKUP(G56,'Qualifying Scores'!$A$10:$A$13,'Qualifying Scores'!$B$10:$B$13)),AND(AC56&gt;=LOOKUP(G56,'Qualifying Scores'!$A$4:$A$7,'Qualifying Scores'!$B$4:$B$7),AD56&gt;=LOOKUP(G56,'Qualifying Scores'!$A$10:$A$13,'Qualifying Scores'!$B$10:$B$13)),AND(AF56&gt;=LOOKUP(G56,'Qualifying Scores'!$A$4:$A$7,'Qualifying Scores'!$B$4:$B$7),AG56&gt;=LOOKUP(G56,'Qualifying Scores'!$A$10:$A$13,'Qualifying Scores'!$B$10:$B$13))),"P",""),IF(OR(AND(X56-U56&gt;=LOOKUP(G56,'Qualifying Scores'!$A$4:$A$7,'Qualifying Scores'!$B$4:$B$7),W56&gt;=LOOKUP(G56,'Qualifying Scores'!$A$10:$A$13,'Qualifying Scores'!$B$10:$B$13)),AND(AE56-AB56&gt;=LOOKUP(G56,'Qualifying Scores'!$A$4:$A$7,'Qualifying Scores'!$B$4:$B$7),AD56&gt;=LOOKUP(G56,'Qualifying Scores'!$A$10:$A$13,'Qualifying Scores'!$B$10:$B$13))),"P","")))</f>
        <v/>
      </c>
      <c r="Q56" s="1" t="str">
        <f>IF(A56&lt;5,IF(_xlfn.MAXIFS(A:A,G:G,G56)&gt;3,5-A56,_xlfn.MAXIFS(A:A,G:G,G56)+1-A56),"")</f>
        <v/>
      </c>
      <c r="R56" s="4">
        <f>IF(G56="17-21",MAX(T56,V56,Y56,AA56,AC56,AF56),MAX(X56,AE56))</f>
        <v>39.51</v>
      </c>
      <c r="S56" s="4">
        <f>IF(G56="17-21",LARGE(CHOOSE({1,2,3,4,5,6},T56,V56,Y56,AA56,AC56,AF56),2),IF(R56=X56,MAX(Y56,AA56,AC56,AF56),IF(R56=AE56,MAX(AF56,T56,V56,Y56),0)))</f>
        <v>14.94</v>
      </c>
      <c r="T56" s="33"/>
      <c r="U56" s="40"/>
      <c r="V56" s="34"/>
      <c r="W56" s="40"/>
      <c r="X56" s="4">
        <f>IF(H56="Senior",MAX(T56,V56),T56+V56)</f>
        <v>0</v>
      </c>
      <c r="Y56" s="34"/>
      <c r="Z56" s="40"/>
      <c r="AA56" s="33">
        <v>39.51</v>
      </c>
      <c r="AB56" s="40">
        <v>0</v>
      </c>
      <c r="AC56" s="34">
        <v>14.94</v>
      </c>
      <c r="AD56" s="40">
        <v>3.4</v>
      </c>
      <c r="AE56" s="4">
        <f>IF(H56="Senior",MAX(AA56,AC56),AA56+AC56)</f>
        <v>54.449999999999996</v>
      </c>
      <c r="AF56" s="34"/>
      <c r="AG56" s="37"/>
    </row>
    <row r="57" spans="1:33" x14ac:dyDescent="0.2">
      <c r="A57" s="1" t="str" cm="1">
        <f t="array" ref="A57">IF(I57="","",IF(P57&lt;&gt;"",SUMPRODUCT((P$3:P$107&lt;&gt;"")*(G$3:G$107=G57)*(J$3:J$107&gt;J57)*(I$3:I$107="P"))+1,IF(O57&lt;&gt;"",SUMPRODUCT((O$3:O$107&lt;&gt;"")*(P$3:P$107="")*(G$3:G$107=G57)*(J$3:J$107&gt;J57)*(I$3:I$107="P"))+SUMPRODUCT((P$3:P$107&lt;&gt;"")*(G$3:G$107=G57)*(I$3:I$107="P"))+1,IF(N57&lt;&gt;"",SUMPRODUCT((N$3:N$107&lt;&gt;"")*(G$3:G$107=G57)*(J$3:J$107&gt;J57)*(I$3:I$107="P"))+1,IF(M57="P",SUMPRODUCT((O$3:O$107&lt;&gt;"")*(P$3:P$107="")*(G$3:G$107=G57)*(I$3:I$107="P"))+SUMPRODUCT((P$3:P$107&lt;&gt;"")*(G$3:G$107=G57)*(I$3:I$107="P"))+SUMPRODUCT((N$3:N$107&lt;&gt;"")*(G$3:G$107=G57)*(I$3:I$107="P"))+SUMPRODUCT((P$3:P$107="")*(O$3:O$107="")*(N$3:N$107="")*(M$3:M$107="P")*(G$3:G$107=G57)*(J$3:J$107&gt;J57)*(I$3:I$107="P"))+IF(H57="L5",SUMPRODUCT((P$3:P$107="")*(O$3:O$107="")*(N$3:N$107="")*(M$3:M$107="P")*(G$3:G$107=G57)*(J$3:J$107&lt;J57)*(H$3:H$107&lt;&gt;H57)*(I$3:I$107="P")),-1*SUMPRODUCT((P$3:P$107="")*(O$3:O$107="")*(N$3:N$107="")*(M$3:M$107="P")*(G$3:G$107=G57)*(J$3:J$107&gt;J57)*(H$3:H$107="L5")*(I$3:I$107="P")))+1,"")))))</f>
        <v/>
      </c>
      <c r="B57" s="1" t="str" cm="1">
        <f t="array" ref="B57">IF(P57&lt;&gt;"",SUMPRODUCT((P$3:P$107&lt;&gt;"")*(G$3:G$107=G57)*(J$3:J$107&gt;J57))+1,IF(O57&lt;&gt;"",SUMPRODUCT((O$3:O$107&lt;&gt;"")*(P$3:P$107="")*(G$3:G$107=G57)*(J$3:J$107&gt;J57))+SUMPRODUCT((P$3:P$107&lt;&gt;"")*(G$3:G$107=G57))+1,IF(N57&lt;&gt;"",SUMPRODUCT((N$3:N$107&lt;&gt;"")*(G$3:G$107=G57)*(J$3:J$107&gt;J57))+1,IF(M57="P",SUMPRODUCT((O$3:O$107&lt;&gt;"")*(P$3:P$107="")*(G$3:G$107=G57))+SUMPRODUCT((P$3:P$107&lt;&gt;"")*(G$3:G$107=G57))+SUMPRODUCT((N$3:N$107&lt;&gt;"")*(G$3:G$107=G57))+SUMPRODUCT((P$3:P$107="")*(O$3:O$107="")*(N$3:N$107="")*(M$3:M$107="P")*(G$3:G$107=G57)*(J$3:J$107&gt;J57))+IF(H57="L5",SUMPRODUCT((P$3:P$107="")*(O$3:O$107="")*(N$3:N$107="")*(M$3:M$107="P")*(G$3:G$107=G57)*(J$3:J$107&lt;J57)*(H$3:H$107&lt;&gt;H57)),-1*SUMPRODUCT((P$3:P$107="")*(O$3:O$107="")*(N$3:N$107="")*(M$3:M$107="P")*(G$3:G$107=G57)*(J$3:J$107&gt;J57)*(H$3:H$107="L5")))+1,""))))</f>
        <v/>
      </c>
      <c r="C57" s="36" t="s">
        <v>432</v>
      </c>
      <c r="D57" s="36" t="str">
        <f>IF(E57="","",VLOOKUP(E57,'Coaching Points'!A:B,2,0))</f>
        <v>BC</v>
      </c>
      <c r="E57" s="36" t="s">
        <v>62</v>
      </c>
      <c r="F57" s="35">
        <v>2006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17-21</v>
      </c>
      <c r="H57" s="39" t="s">
        <v>66</v>
      </c>
      <c r="I57" s="43"/>
      <c r="J57" s="4">
        <f>R57+S57+IF(OR(H57="Junior",H57="Senior"),0.0002,IF(OR(H57="L7",H57="L6"),0.0001,0))+IF(G57="17-21",MAX(AA57,AC57,AF57),AE57)*0.0000001</f>
        <v>52.910003857</v>
      </c>
      <c r="K57" s="3" t="str">
        <f>IF(G57="Not Age Eligible","",IF(G57="17-21",IF(MAX(T57,V57,Y57,AA57,AC57,AF57)&gt;=LOOKUP(G57,'Qualifying Scores'!$A$4:$A$7,'Qualifying Scores'!$B$4:$B$7),"P",""),IF(MAX(X57-U57,AE57-AB57)&gt;=LOOKUP(G57,'Qualifying Scores'!$A$4:$A$7,'Qualifying Scores'!$B$4:$B$7),"P","")))</f>
        <v/>
      </c>
      <c r="L57" s="3" t="str">
        <f>IF(G57="Not Age Eligible","",IF(G57="17-21",IF(MAX(U57,W57,Z57,AB57,AD57,AG57)&gt;=LOOKUP(G57,'Qualifying Scores'!$A$10:$A$13,'Qualifying Scores'!$B$10:$B$13),"P",""),IF(MAX(W57,AD57)&gt;=LOOKUP(G57,'Qualifying Scores'!$A$10:$A$13,'Qualifying Scores'!$B$10:$B$13),"P","")))</f>
        <v/>
      </c>
      <c r="M57" s="3" t="str">
        <f>IF(G57="Not Age Eligible","",IF(G57="17-21",IF(OR(AND(T57&gt;=LOOKUP(G57,'Qualifying Scores'!$A$4:$A$7,'Qualifying Scores'!$B$4:$B$7),U57&gt;=LOOKUP(G57,'Qualifying Scores'!$A$10:$A$13,'Qualifying Scores'!$B$10:$B$13)),AND(V57&gt;=LOOKUP(G57,'Qualifying Scores'!$A$4:$A$7,'Qualifying Scores'!$B$4:$B$7),W57&gt;=LOOKUP(G57,'Qualifying Scores'!$A$10:$A$13,'Qualifying Scores'!$B$10:$B$13)),AND(Y57&gt;=LOOKUP(G57,'Qualifying Scores'!$A$4:$A$7,'Qualifying Scores'!$B$4:$B$7),Z57&gt;=LOOKUP(G57,'Qualifying Scores'!$A$10:$A$13,'Qualifying Scores'!$B$10:$B$13)),AND(AA57&gt;=LOOKUP(G57,'Qualifying Scores'!$A$4:$A$7,'Qualifying Scores'!$B$4:$B$7),AB57&gt;=LOOKUP(G57,'Qualifying Scores'!$A$10:$A$13,'Qualifying Scores'!$B$10:$B$13)),AND(AC57&gt;=LOOKUP(G57,'Qualifying Scores'!$A$4:$A$7,'Qualifying Scores'!$B$4:$B$7),AD57&gt;=LOOKUP(G57,'Qualifying Scores'!$A$10:$A$13,'Qualifying Scores'!$B$10:$B$13)),AND(AF57&gt;=LOOKUP(G57,'Qualifying Scores'!$A$4:$A$7,'Qualifying Scores'!$B$4:$B$7),AG57&gt;=LOOKUP(G57,'Qualifying Scores'!$A$10:$A$13,'Qualifying Scores'!$B$10:$B$13))),"P",""),IF(OR(AND(X57-U57&gt;=LOOKUP(G57,'Qualifying Scores'!$A$4:$A$7,'Qualifying Scores'!$B$4:$B$7),W57&gt;=LOOKUP(G57,'Qualifying Scores'!$A$10:$A$13,'Qualifying Scores'!$B$10:$B$13)),AND(AE57-AB57&gt;=LOOKUP(G57,'Qualifying Scores'!$A$4:$A$7,'Qualifying Scores'!$B$4:$B$7),AD57&gt;=LOOKUP(G57,'Qualifying Scores'!$A$10:$A$13,'Qualifying Scores'!$B$10:$B$13))),"P","")))</f>
        <v/>
      </c>
      <c r="Q57" s="1" t="str">
        <f>IF(A57&lt;5,IF(_xlfn.MAXIFS(A:A,G:G,G57)&gt;3,5-A57,_xlfn.MAXIFS(A:A,G:G,G57)+1-A57),"")</f>
        <v/>
      </c>
      <c r="R57" s="4">
        <f>IF(G57="17-21",MAX(T57,V57,Y57,AA57,AC57,AF57),MAX(X57,AE57))</f>
        <v>38.57</v>
      </c>
      <c r="S57" s="4">
        <f>IF(G57="17-21",LARGE(CHOOSE({1,2,3,4,5,6},T57,V57,Y57,AA57,AC57,AF57),2),IF(R57=X57,MAX(Y57,AA57,AC57,AF57),IF(R57=AE57,MAX(AF57,T57,V57,Y57),0)))</f>
        <v>14.34</v>
      </c>
      <c r="T57" s="33"/>
      <c r="U57" s="40"/>
      <c r="V57" s="34"/>
      <c r="W57" s="40"/>
      <c r="X57" s="4">
        <f>IF(H57="Senior",MAX(T57,V57),T57+V57)</f>
        <v>0</v>
      </c>
      <c r="Y57" s="34"/>
      <c r="Z57" s="40"/>
      <c r="AA57" s="33">
        <v>38.57</v>
      </c>
      <c r="AB57" s="40">
        <v>0</v>
      </c>
      <c r="AC57" s="34">
        <v>14.34</v>
      </c>
      <c r="AD57" s="40">
        <v>3.4</v>
      </c>
      <c r="AE57" s="4">
        <f>IF(H57="Senior",MAX(AA57,AC57),AA57+AC57)</f>
        <v>52.91</v>
      </c>
      <c r="AF57" s="34"/>
      <c r="AG57" s="37"/>
    </row>
    <row r="58" spans="1:33" x14ac:dyDescent="0.2">
      <c r="A58" s="1" t="str" cm="1">
        <f t="array" ref="A58">IF(I58="","",IF(P58&lt;&gt;"",SUMPRODUCT((P$3:P$107&lt;&gt;"")*(G$3:G$107=G58)*(J$3:J$107&gt;J58)*(I$3:I$107="P"))+1,IF(O58&lt;&gt;"",SUMPRODUCT((O$3:O$107&lt;&gt;"")*(P$3:P$107="")*(G$3:G$107=G58)*(J$3:J$107&gt;J58)*(I$3:I$107="P"))+SUMPRODUCT((P$3:P$107&lt;&gt;"")*(G$3:G$107=G58)*(I$3:I$107="P"))+1,IF(N58&lt;&gt;"",SUMPRODUCT((N$3:N$107&lt;&gt;"")*(G$3:G$107=G58)*(J$3:J$107&gt;J58)*(I$3:I$107="P"))+1,IF(M58="P",SUMPRODUCT((O$3:O$107&lt;&gt;"")*(P$3:P$107="")*(G$3:G$107=G58)*(I$3:I$107="P"))+SUMPRODUCT((P$3:P$107&lt;&gt;"")*(G$3:G$107=G58)*(I$3:I$107="P"))+SUMPRODUCT((N$3:N$107&lt;&gt;"")*(G$3:G$107=G58)*(I$3:I$107="P"))+SUMPRODUCT((P$3:P$107="")*(O$3:O$107="")*(N$3:N$107="")*(M$3:M$107="P")*(G$3:G$107=G58)*(J$3:J$107&gt;J58)*(I$3:I$107="P"))+IF(H58="L5",SUMPRODUCT((P$3:P$107="")*(O$3:O$107="")*(N$3:N$107="")*(M$3:M$107="P")*(G$3:G$107=G58)*(J$3:J$107&lt;J58)*(H$3:H$107&lt;&gt;H58)*(I$3:I$107="P")),-1*SUMPRODUCT((P$3:P$107="")*(O$3:O$107="")*(N$3:N$107="")*(M$3:M$107="P")*(G$3:G$107=G58)*(J$3:J$107&gt;J58)*(H$3:H$107="L5")*(I$3:I$107="P")))+1,"")))))</f>
        <v/>
      </c>
      <c r="B58" s="1" t="str" cm="1">
        <f t="array" ref="B58">IF(P58&lt;&gt;"",SUMPRODUCT((P$3:P$107&lt;&gt;"")*(G$3:G$107=G58)*(J$3:J$107&gt;J58))+1,IF(O58&lt;&gt;"",SUMPRODUCT((O$3:O$107&lt;&gt;"")*(P$3:P$107="")*(G$3:G$107=G58)*(J$3:J$107&gt;J58))+SUMPRODUCT((P$3:P$107&lt;&gt;"")*(G$3:G$107=G58))+1,IF(N58&lt;&gt;"",SUMPRODUCT((N$3:N$107&lt;&gt;"")*(G$3:G$107=G58)*(J$3:J$107&gt;J58))+1,IF(M58="P",SUMPRODUCT((O$3:O$107&lt;&gt;"")*(P$3:P$107="")*(G$3:G$107=G58))+SUMPRODUCT((P$3:P$107&lt;&gt;"")*(G$3:G$107=G58))+SUMPRODUCT((N$3:N$107&lt;&gt;"")*(G$3:G$107=G58))+SUMPRODUCT((P$3:P$107="")*(O$3:O$107="")*(N$3:N$107="")*(M$3:M$107="P")*(G$3:G$107=G58)*(J$3:J$107&gt;J58))+IF(H58="L5",SUMPRODUCT((P$3:P$107="")*(O$3:O$107="")*(N$3:N$107="")*(M$3:M$107="P")*(G$3:G$107=G58)*(J$3:J$107&lt;J58)*(H$3:H$107&lt;&gt;H58)),-1*SUMPRODUCT((P$3:P$107="")*(O$3:O$107="")*(N$3:N$107="")*(M$3:M$107="P")*(G$3:G$107=G58)*(J$3:J$107&gt;J58)*(H$3:H$107="L5")))+1,""))))</f>
        <v/>
      </c>
      <c r="C58" s="36" t="s">
        <v>229</v>
      </c>
      <c r="D58" s="36" t="str">
        <f>IF(E58="","",VLOOKUP(E58,'Coaching Points'!A:B,2,0))</f>
        <v>NS</v>
      </c>
      <c r="E58" s="36" t="s">
        <v>134</v>
      </c>
      <c r="F58" s="35">
        <v>2005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17-21</v>
      </c>
      <c r="H58" s="39" t="s">
        <v>66</v>
      </c>
      <c r="I58" s="43"/>
      <c r="J58" s="4">
        <f>R58+S58+IF(OR(H58="Junior",H58="Senior"),0.0002,IF(OR(H58="L7",H58="L6"),0.0001,0))+IF(G58="17-21",MAX(AA58,AC58,AF58),AE58)*0.0000001</f>
        <v>52.72</v>
      </c>
      <c r="K58" s="3" t="str">
        <f>IF(G58="Not Age Eligible","",IF(G58="17-21",IF(MAX(T58,V58,Y58,AA58,AC58,AF58)&gt;=LOOKUP(G58,'Qualifying Scores'!$A$4:$A$7,'Qualifying Scores'!$B$4:$B$7),"P",""),IF(MAX(X58-U58,AE58-AB58)&gt;=LOOKUP(G58,'Qualifying Scores'!$A$4:$A$7,'Qualifying Scores'!$B$4:$B$7),"P","")))</f>
        <v/>
      </c>
      <c r="L58" s="3" t="str">
        <f>IF(G58="Not Age Eligible","",IF(G58="17-21",IF(MAX(U58,W58,Z58,AB58,AD58,AG58)&gt;=LOOKUP(G58,'Qualifying Scores'!$A$10:$A$13,'Qualifying Scores'!$B$10:$B$13),"P",""),IF(MAX(W58,AD58)&gt;=LOOKUP(G58,'Qualifying Scores'!$A$10:$A$13,'Qualifying Scores'!$B$10:$B$13),"P","")))</f>
        <v/>
      </c>
      <c r="M58" s="3" t="str">
        <f>IF(G58="Not Age Eligible","",IF(G58="17-21",IF(OR(AND(T58&gt;=LOOKUP(G58,'Qualifying Scores'!$A$4:$A$7,'Qualifying Scores'!$B$4:$B$7),U58&gt;=LOOKUP(G58,'Qualifying Scores'!$A$10:$A$13,'Qualifying Scores'!$B$10:$B$13)),AND(V58&gt;=LOOKUP(G58,'Qualifying Scores'!$A$4:$A$7,'Qualifying Scores'!$B$4:$B$7),W58&gt;=LOOKUP(G58,'Qualifying Scores'!$A$10:$A$13,'Qualifying Scores'!$B$10:$B$13)),AND(Y58&gt;=LOOKUP(G58,'Qualifying Scores'!$A$4:$A$7,'Qualifying Scores'!$B$4:$B$7),Z58&gt;=LOOKUP(G58,'Qualifying Scores'!$A$10:$A$13,'Qualifying Scores'!$B$10:$B$13)),AND(AA58&gt;=LOOKUP(G58,'Qualifying Scores'!$A$4:$A$7,'Qualifying Scores'!$B$4:$B$7),AB58&gt;=LOOKUP(G58,'Qualifying Scores'!$A$10:$A$13,'Qualifying Scores'!$B$10:$B$13)),AND(AC58&gt;=LOOKUP(G58,'Qualifying Scores'!$A$4:$A$7,'Qualifying Scores'!$B$4:$B$7),AD58&gt;=LOOKUP(G58,'Qualifying Scores'!$A$10:$A$13,'Qualifying Scores'!$B$10:$B$13)),AND(AF58&gt;=LOOKUP(G58,'Qualifying Scores'!$A$4:$A$7,'Qualifying Scores'!$B$4:$B$7),AG58&gt;=LOOKUP(G58,'Qualifying Scores'!$A$10:$A$13,'Qualifying Scores'!$B$10:$B$13))),"P",""),IF(OR(AND(X58-U58&gt;=LOOKUP(G58,'Qualifying Scores'!$A$4:$A$7,'Qualifying Scores'!$B$4:$B$7),W58&gt;=LOOKUP(G58,'Qualifying Scores'!$A$10:$A$13,'Qualifying Scores'!$B$10:$B$13)),AND(AE58-AB58&gt;=LOOKUP(G58,'Qualifying Scores'!$A$4:$A$7,'Qualifying Scores'!$B$4:$B$7),AD58&gt;=LOOKUP(G58,'Qualifying Scores'!$A$10:$A$13,'Qualifying Scores'!$B$10:$B$13))),"P","")))</f>
        <v/>
      </c>
      <c r="Q58" s="1" t="str">
        <f>IF(A58&lt;5,IF(_xlfn.MAXIFS(A:A,G:G,G58)&gt;3,5-A58,_xlfn.MAXIFS(A:A,G:G,G58)+1-A58),"")</f>
        <v/>
      </c>
      <c r="R58" s="4">
        <f>IF(G58="17-21",MAX(T58,V58,Y58,AA58,AC58,AF58),MAX(X58,AE58))</f>
        <v>44.85</v>
      </c>
      <c r="S58" s="4">
        <f>IF(G58="17-21",LARGE(CHOOSE({1,2,3,4,5,6},T58,V58,Y58,AA58,AC58,AF58),2),IF(R58=X58,MAX(Y58,AA58,AC58,AF58),IF(R58=AE58,MAX(AF58,T58,V58,Y58),0)))</f>
        <v>7.87</v>
      </c>
      <c r="T58" s="33">
        <v>7.87</v>
      </c>
      <c r="U58" s="40">
        <v>0</v>
      </c>
      <c r="V58" s="34">
        <v>44.85</v>
      </c>
      <c r="W58" s="40">
        <v>9.6</v>
      </c>
      <c r="X58" s="4">
        <f>IF(H58="Senior",MAX(T58,V58),T58+V58)</f>
        <v>52.72</v>
      </c>
      <c r="Y58" s="34"/>
      <c r="Z58" s="40"/>
      <c r="AA58" s="33"/>
      <c r="AB58" s="40"/>
      <c r="AC58" s="34"/>
      <c r="AD58" s="40"/>
      <c r="AE58" s="4">
        <f>IF(H58="Senior",MAX(AA58,AC58),AA58+AC58)</f>
        <v>0</v>
      </c>
      <c r="AF58" s="34"/>
      <c r="AG58" s="37"/>
    </row>
    <row r="59" spans="1:33" x14ac:dyDescent="0.2">
      <c r="A59" s="1" t="str" cm="1">
        <f t="array" ref="A59">IF(I59="","",IF(P59&lt;&gt;"",SUMPRODUCT((P$3:P$107&lt;&gt;"")*(G$3:G$107=G59)*(J$3:J$107&gt;J59)*(I$3:I$107="P"))+1,IF(O59&lt;&gt;"",SUMPRODUCT((O$3:O$107&lt;&gt;"")*(P$3:P$107="")*(G$3:G$107=G59)*(J$3:J$107&gt;J59)*(I$3:I$107="P"))+SUMPRODUCT((P$3:P$107&lt;&gt;"")*(G$3:G$107=G59)*(I$3:I$107="P"))+1,IF(N59&lt;&gt;"",SUMPRODUCT((N$3:N$107&lt;&gt;"")*(G$3:G$107=G59)*(J$3:J$107&gt;J59)*(I$3:I$107="P"))+1,IF(M59="P",SUMPRODUCT((O$3:O$107&lt;&gt;"")*(P$3:P$107="")*(G$3:G$107=G59)*(I$3:I$107="P"))+SUMPRODUCT((P$3:P$107&lt;&gt;"")*(G$3:G$107=G59)*(I$3:I$107="P"))+SUMPRODUCT((N$3:N$107&lt;&gt;"")*(G$3:G$107=G59)*(I$3:I$107="P"))+SUMPRODUCT((P$3:P$107="")*(O$3:O$107="")*(N$3:N$107="")*(M$3:M$107="P")*(G$3:G$107=G59)*(J$3:J$107&gt;J59)*(I$3:I$107="P"))+IF(H59="L5",SUMPRODUCT((P$3:P$107="")*(O$3:O$107="")*(N$3:N$107="")*(M$3:M$107="P")*(G$3:G$107=G59)*(J$3:J$107&lt;J59)*(H$3:H$107&lt;&gt;H59)*(I$3:I$107="P")),-1*SUMPRODUCT((P$3:P$107="")*(O$3:O$107="")*(N$3:N$107="")*(M$3:M$107="P")*(G$3:G$107=G59)*(J$3:J$107&gt;J59)*(H$3:H$107="L5")*(I$3:I$107="P")))+1,"")))))</f>
        <v/>
      </c>
      <c r="B59" s="1" t="str" cm="1">
        <f t="array" ref="B59">IF(P59&lt;&gt;"",SUMPRODUCT((P$3:P$107&lt;&gt;"")*(G$3:G$107=G59)*(J$3:J$107&gt;J59))+1,IF(O59&lt;&gt;"",SUMPRODUCT((O$3:O$107&lt;&gt;"")*(P$3:P$107="")*(G$3:G$107=G59)*(J$3:J$107&gt;J59))+SUMPRODUCT((P$3:P$107&lt;&gt;"")*(G$3:G$107=G59))+1,IF(N59&lt;&gt;"",SUMPRODUCT((N$3:N$107&lt;&gt;"")*(G$3:G$107=G59)*(J$3:J$107&gt;J59))+1,IF(M59="P",SUMPRODUCT((O$3:O$107&lt;&gt;"")*(P$3:P$107="")*(G$3:G$107=G59))+SUMPRODUCT((P$3:P$107&lt;&gt;"")*(G$3:G$107=G59))+SUMPRODUCT((N$3:N$107&lt;&gt;"")*(G$3:G$107=G59))+SUMPRODUCT((P$3:P$107="")*(O$3:O$107="")*(N$3:N$107="")*(M$3:M$107="P")*(G$3:G$107=G59)*(J$3:J$107&gt;J59))+IF(H59="L5",SUMPRODUCT((P$3:P$107="")*(O$3:O$107="")*(N$3:N$107="")*(M$3:M$107="P")*(G$3:G$107=G59)*(J$3:J$107&lt;J59)*(H$3:H$107&lt;&gt;H59)),-1*SUMPRODUCT((P$3:P$107="")*(O$3:O$107="")*(N$3:N$107="")*(M$3:M$107="P")*(G$3:G$107=G59)*(J$3:J$107&gt;J59)*(H$3:H$107="L5")))+1,""))))</f>
        <v/>
      </c>
      <c r="C59" s="36" t="s">
        <v>437</v>
      </c>
      <c r="D59" s="36" t="str">
        <f>IF(E59="","",VLOOKUP(E59,'Coaching Points'!A:B,2,0))</f>
        <v>BC</v>
      </c>
      <c r="E59" s="36" t="s">
        <v>46</v>
      </c>
      <c r="F59" s="35">
        <v>2003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17-21</v>
      </c>
      <c r="H59" s="39" t="s">
        <v>68</v>
      </c>
      <c r="I59" s="43"/>
      <c r="J59" s="4">
        <f>R59+S59+IF(OR(H59="Junior",H59="Senior"),0.0002,IF(OR(H59="L7",H59="L6"),0.0001,0))+IF(G59="17-21",MAX(AA59,AC59,AF59),AE59)*0.0000001</f>
        <v>47.660103800999998</v>
      </c>
      <c r="K59" s="3" t="str">
        <f>IF(G59="Not Age Eligible","",IF(G59="17-21",IF(MAX(T59,V59,Y59,AA59,AC59,AF59)&gt;=LOOKUP(G59,'Qualifying Scores'!$A$4:$A$7,'Qualifying Scores'!$B$4:$B$7),"P",""),IF(MAX(X59-U59,AE59-AB59)&gt;=LOOKUP(G59,'Qualifying Scores'!$A$4:$A$7,'Qualifying Scores'!$B$4:$B$7),"P","")))</f>
        <v/>
      </c>
      <c r="L59" s="3" t="str">
        <f>IF(G59="Not Age Eligible","",IF(G59="17-21",IF(MAX(U59,W59,Z59,AB59,AD59,AG59)&gt;=LOOKUP(G59,'Qualifying Scores'!$A$10:$A$13,'Qualifying Scores'!$B$10:$B$13),"P",""),IF(MAX(W59,AD59)&gt;=LOOKUP(G59,'Qualifying Scores'!$A$10:$A$13,'Qualifying Scores'!$B$10:$B$13),"P","")))</f>
        <v/>
      </c>
      <c r="M59" s="3" t="str">
        <f>IF(G59="Not Age Eligible","",IF(G59="17-21",IF(OR(AND(T59&gt;=LOOKUP(G59,'Qualifying Scores'!$A$4:$A$7,'Qualifying Scores'!$B$4:$B$7),U59&gt;=LOOKUP(G59,'Qualifying Scores'!$A$10:$A$13,'Qualifying Scores'!$B$10:$B$13)),AND(V59&gt;=LOOKUP(G59,'Qualifying Scores'!$A$4:$A$7,'Qualifying Scores'!$B$4:$B$7),W59&gt;=LOOKUP(G59,'Qualifying Scores'!$A$10:$A$13,'Qualifying Scores'!$B$10:$B$13)),AND(Y59&gt;=LOOKUP(G59,'Qualifying Scores'!$A$4:$A$7,'Qualifying Scores'!$B$4:$B$7),Z59&gt;=LOOKUP(G59,'Qualifying Scores'!$A$10:$A$13,'Qualifying Scores'!$B$10:$B$13)),AND(AA59&gt;=LOOKUP(G59,'Qualifying Scores'!$A$4:$A$7,'Qualifying Scores'!$B$4:$B$7),AB59&gt;=LOOKUP(G59,'Qualifying Scores'!$A$10:$A$13,'Qualifying Scores'!$B$10:$B$13)),AND(AC59&gt;=LOOKUP(G59,'Qualifying Scores'!$A$4:$A$7,'Qualifying Scores'!$B$4:$B$7),AD59&gt;=LOOKUP(G59,'Qualifying Scores'!$A$10:$A$13,'Qualifying Scores'!$B$10:$B$13)),AND(AF59&gt;=LOOKUP(G59,'Qualifying Scores'!$A$4:$A$7,'Qualifying Scores'!$B$4:$B$7),AG59&gt;=LOOKUP(G59,'Qualifying Scores'!$A$10:$A$13,'Qualifying Scores'!$B$10:$B$13))),"P",""),IF(OR(AND(X59-U59&gt;=LOOKUP(G59,'Qualifying Scores'!$A$4:$A$7,'Qualifying Scores'!$B$4:$B$7),W59&gt;=LOOKUP(G59,'Qualifying Scores'!$A$10:$A$13,'Qualifying Scores'!$B$10:$B$13)),AND(AE59-AB59&gt;=LOOKUP(G59,'Qualifying Scores'!$A$4:$A$7,'Qualifying Scores'!$B$4:$B$7),AD59&gt;=LOOKUP(G59,'Qualifying Scores'!$A$10:$A$13,'Qualifying Scores'!$B$10:$B$13))),"P","")))</f>
        <v/>
      </c>
      <c r="Q59" s="1" t="str">
        <f>IF(A59&lt;5,IF(_xlfn.MAXIFS(A:A,G:G,G59)&gt;3,5-A59,_xlfn.MAXIFS(A:A,G:G,G59)+1-A59),"")</f>
        <v/>
      </c>
      <c r="R59" s="4">
        <f>IF(G59="17-21",MAX(T59,V59,Y59,AA59,AC59,AF59),MAX(X59,AE59))</f>
        <v>38.01</v>
      </c>
      <c r="S59" s="4">
        <f>IF(G59="17-21",LARGE(CHOOSE({1,2,3,4,5,6},T59,V59,Y59,AA59,AC59,AF59),2),IF(R59=X59,MAX(Y59,AA59,AC59,AF59),IF(R59=AE59,MAX(AF59,T59,V59,Y59),0)))</f>
        <v>9.65</v>
      </c>
      <c r="T59" s="33"/>
      <c r="U59" s="40"/>
      <c r="V59" s="34"/>
      <c r="W59" s="40"/>
      <c r="X59" s="4">
        <f>IF(H59="Senior",MAX(T59,V59),T59+V59)</f>
        <v>0</v>
      </c>
      <c r="Y59" s="34"/>
      <c r="Z59" s="40"/>
      <c r="AA59" s="33">
        <v>38.01</v>
      </c>
      <c r="AB59" s="40">
        <v>9.8000000000000007</v>
      </c>
      <c r="AC59" s="34">
        <v>9.65</v>
      </c>
      <c r="AD59" s="40">
        <v>2.7</v>
      </c>
      <c r="AE59" s="4">
        <f>IF(H59="Senior",MAX(AA59,AC59),AA59+AC59)</f>
        <v>47.66</v>
      </c>
      <c r="AF59" s="34"/>
      <c r="AG59" s="37"/>
    </row>
    <row r="60" spans="1:33" x14ac:dyDescent="0.2">
      <c r="A60" s="1" t="str" cm="1">
        <f t="array" ref="A60">IF(I60="","",IF(P60&lt;&gt;"",SUMPRODUCT((P$3:P$107&lt;&gt;"")*(G$3:G$107=G60)*(J$3:J$107&gt;J60)*(I$3:I$107="P"))+1,IF(O60&lt;&gt;"",SUMPRODUCT((O$3:O$107&lt;&gt;"")*(P$3:P$107="")*(G$3:G$107=G60)*(J$3:J$107&gt;J60)*(I$3:I$107="P"))+SUMPRODUCT((P$3:P$107&lt;&gt;"")*(G$3:G$107=G60)*(I$3:I$107="P"))+1,IF(N60&lt;&gt;"",SUMPRODUCT((N$3:N$107&lt;&gt;"")*(G$3:G$107=G60)*(J$3:J$107&gt;J60)*(I$3:I$107="P"))+1,IF(M60="P",SUMPRODUCT((O$3:O$107&lt;&gt;"")*(P$3:P$107="")*(G$3:G$107=G60)*(I$3:I$107="P"))+SUMPRODUCT((P$3:P$107&lt;&gt;"")*(G$3:G$107=G60)*(I$3:I$107="P"))+SUMPRODUCT((N$3:N$107&lt;&gt;"")*(G$3:G$107=G60)*(I$3:I$107="P"))+SUMPRODUCT((P$3:P$107="")*(O$3:O$107="")*(N$3:N$107="")*(M$3:M$107="P")*(G$3:G$107=G60)*(J$3:J$107&gt;J60)*(I$3:I$107="P"))+IF(H60="L5",SUMPRODUCT((P$3:P$107="")*(O$3:O$107="")*(N$3:N$107="")*(M$3:M$107="P")*(G$3:G$107=G60)*(J$3:J$107&lt;J60)*(H$3:H$107&lt;&gt;H60)*(I$3:I$107="P")),-1*SUMPRODUCT((P$3:P$107="")*(O$3:O$107="")*(N$3:N$107="")*(M$3:M$107="P")*(G$3:G$107=G60)*(J$3:J$107&gt;J60)*(H$3:H$107="L5")*(I$3:I$107="P")))+1,"")))))</f>
        <v/>
      </c>
      <c r="B60" s="1" t="str" cm="1">
        <f t="array" ref="B60">IF(P60&lt;&gt;"",SUMPRODUCT((P$3:P$107&lt;&gt;"")*(G$3:G$107=G60)*(J$3:J$107&gt;J60))+1,IF(O60&lt;&gt;"",SUMPRODUCT((O$3:O$107&lt;&gt;"")*(P$3:P$107="")*(G$3:G$107=G60)*(J$3:J$107&gt;J60))+SUMPRODUCT((P$3:P$107&lt;&gt;"")*(G$3:G$107=G60))+1,IF(N60&lt;&gt;"",SUMPRODUCT((N$3:N$107&lt;&gt;"")*(G$3:G$107=G60)*(J$3:J$107&gt;J60))+1,IF(M60="P",SUMPRODUCT((O$3:O$107&lt;&gt;"")*(P$3:P$107="")*(G$3:G$107=G60))+SUMPRODUCT((P$3:P$107&lt;&gt;"")*(G$3:G$107=G60))+SUMPRODUCT((N$3:N$107&lt;&gt;"")*(G$3:G$107=G60))+SUMPRODUCT((P$3:P$107="")*(O$3:O$107="")*(N$3:N$107="")*(M$3:M$107="P")*(G$3:G$107=G60)*(J$3:J$107&gt;J60))+IF(H60="L5",SUMPRODUCT((P$3:P$107="")*(O$3:O$107="")*(N$3:N$107="")*(M$3:M$107="P")*(G$3:G$107=G60)*(J$3:J$107&lt;J60)*(H$3:H$107&lt;&gt;H60)),-1*SUMPRODUCT((P$3:P$107="")*(O$3:O$107="")*(N$3:N$107="")*(M$3:M$107="P")*(G$3:G$107=G60)*(J$3:J$107&gt;J60)*(H$3:H$107="L5")))+1,""))))</f>
        <v/>
      </c>
      <c r="C60" s="36" t="s">
        <v>433</v>
      </c>
      <c r="D60" s="36" t="str">
        <f>IF(E60="","",VLOOKUP(E60,'Coaching Points'!A:B,2,0))</f>
        <v>BC</v>
      </c>
      <c r="E60" s="36" t="s">
        <v>434</v>
      </c>
      <c r="F60" s="35">
        <v>2005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17-21</v>
      </c>
      <c r="H60" s="39" t="s">
        <v>66</v>
      </c>
      <c r="I60" s="43"/>
      <c r="J60" s="4">
        <f>R60+S60+IF(OR(H60="Junior",H60="Senior"),0.0002,IF(OR(H60="L7",H60="L6"),0.0001,0))+IF(G60="17-21",MAX(AA60,AC60,AF60),AE60)*0.0000001</f>
        <v>40.990002317000005</v>
      </c>
      <c r="K60" s="3" t="str">
        <f>IF(G60="Not Age Eligible","",IF(G60="17-21",IF(MAX(T60,V60,Y60,AA60,AC60,AF60)&gt;=LOOKUP(G60,'Qualifying Scores'!$A$4:$A$7,'Qualifying Scores'!$B$4:$B$7),"P",""),IF(MAX(X60-U60,AE60-AB60)&gt;=LOOKUP(G60,'Qualifying Scores'!$A$4:$A$7,'Qualifying Scores'!$B$4:$B$7),"P","")))</f>
        <v/>
      </c>
      <c r="L60" s="3" t="str">
        <f>IF(G60="Not Age Eligible","",IF(G60="17-21",IF(MAX(U60,W60,Z60,AB60,AD60,AG60)&gt;=LOOKUP(G60,'Qualifying Scores'!$A$10:$A$13,'Qualifying Scores'!$B$10:$B$13),"P",""),IF(MAX(W60,AD60)&gt;=LOOKUP(G60,'Qualifying Scores'!$A$10:$A$13,'Qualifying Scores'!$B$10:$B$13),"P","")))</f>
        <v/>
      </c>
      <c r="M60" s="3" t="str">
        <f>IF(G60="Not Age Eligible","",IF(G60="17-21",IF(OR(AND(T60&gt;=LOOKUP(G60,'Qualifying Scores'!$A$4:$A$7,'Qualifying Scores'!$B$4:$B$7),U60&gt;=LOOKUP(G60,'Qualifying Scores'!$A$10:$A$13,'Qualifying Scores'!$B$10:$B$13)),AND(V60&gt;=LOOKUP(G60,'Qualifying Scores'!$A$4:$A$7,'Qualifying Scores'!$B$4:$B$7),W60&gt;=LOOKUP(G60,'Qualifying Scores'!$A$10:$A$13,'Qualifying Scores'!$B$10:$B$13)),AND(Y60&gt;=LOOKUP(G60,'Qualifying Scores'!$A$4:$A$7,'Qualifying Scores'!$B$4:$B$7),Z60&gt;=LOOKUP(G60,'Qualifying Scores'!$A$10:$A$13,'Qualifying Scores'!$B$10:$B$13)),AND(AA60&gt;=LOOKUP(G60,'Qualifying Scores'!$A$4:$A$7,'Qualifying Scores'!$B$4:$B$7),AB60&gt;=LOOKUP(G60,'Qualifying Scores'!$A$10:$A$13,'Qualifying Scores'!$B$10:$B$13)),AND(AC60&gt;=LOOKUP(G60,'Qualifying Scores'!$A$4:$A$7,'Qualifying Scores'!$B$4:$B$7),AD60&gt;=LOOKUP(G60,'Qualifying Scores'!$A$10:$A$13,'Qualifying Scores'!$B$10:$B$13)),AND(AF60&gt;=LOOKUP(G60,'Qualifying Scores'!$A$4:$A$7,'Qualifying Scores'!$B$4:$B$7),AG60&gt;=LOOKUP(G60,'Qualifying Scores'!$A$10:$A$13,'Qualifying Scores'!$B$10:$B$13))),"P",""),IF(OR(AND(X60-U60&gt;=LOOKUP(G60,'Qualifying Scores'!$A$4:$A$7,'Qualifying Scores'!$B$4:$B$7),W60&gt;=LOOKUP(G60,'Qualifying Scores'!$A$10:$A$13,'Qualifying Scores'!$B$10:$B$13)),AND(AE60-AB60&gt;=LOOKUP(G60,'Qualifying Scores'!$A$4:$A$7,'Qualifying Scores'!$B$4:$B$7),AD60&gt;=LOOKUP(G60,'Qualifying Scores'!$A$10:$A$13,'Qualifying Scores'!$B$10:$B$13))),"P","")))</f>
        <v/>
      </c>
      <c r="Q60" s="1" t="str">
        <f>IF(A60&lt;5,IF(_xlfn.MAXIFS(A:A,G:G,G60)&gt;3,5-A60,_xlfn.MAXIFS(A:A,G:G,G60)+1-A60),"")</f>
        <v/>
      </c>
      <c r="R60" s="4">
        <f>IF(G60="17-21",MAX(T60,V60,Y60,AA60,AC60,AF60),MAX(X60,AE60))</f>
        <v>23.17</v>
      </c>
      <c r="S60" s="4">
        <f>IF(G60="17-21",LARGE(CHOOSE({1,2,3,4,5,6},T60,V60,Y60,AA60,AC60,AF60),2),IF(R60=X60,MAX(Y60,AA60,AC60,AF60),IF(R60=AE60,MAX(AF60,T60,V60,Y60),0)))</f>
        <v>17.82</v>
      </c>
      <c r="T60" s="33"/>
      <c r="U60" s="40"/>
      <c r="V60" s="34"/>
      <c r="W60" s="40"/>
      <c r="X60" s="4">
        <f>IF(H60="Senior",MAX(T60,V60),T60+V60)</f>
        <v>0</v>
      </c>
      <c r="Y60" s="34"/>
      <c r="Z60" s="40"/>
      <c r="AA60" s="33">
        <v>23.17</v>
      </c>
      <c r="AB60" s="40">
        <v>0</v>
      </c>
      <c r="AC60" s="34">
        <v>17.82</v>
      </c>
      <c r="AD60" s="40">
        <v>3.3</v>
      </c>
      <c r="AE60" s="4">
        <f>IF(H60="Senior",MAX(AA60,AC60),AA60+AC60)</f>
        <v>40.99</v>
      </c>
      <c r="AF60" s="34"/>
      <c r="AG60" s="37"/>
    </row>
    <row r="61" spans="1:33" x14ac:dyDescent="0.2">
      <c r="A61" s="1" t="str" cm="1">
        <f t="array" ref="A61">IF(I61="","",IF(P61&lt;&gt;"",SUMPRODUCT((P$3:P$107&lt;&gt;"")*(G$3:G$107=G61)*(J$3:J$107&gt;J61)*(I$3:I$107="P"))+1,IF(O61&lt;&gt;"",SUMPRODUCT((O$3:O$107&lt;&gt;"")*(P$3:P$107="")*(G$3:G$107=G61)*(J$3:J$107&gt;J61)*(I$3:I$107="P"))+SUMPRODUCT((P$3:P$107&lt;&gt;"")*(G$3:G$107=G61)*(I$3:I$107="P"))+1,IF(N61&lt;&gt;"",SUMPRODUCT((N$3:N$107&lt;&gt;"")*(G$3:G$107=G61)*(J$3:J$107&gt;J61)*(I$3:I$107="P"))+1,IF(M61="P",SUMPRODUCT((O$3:O$107&lt;&gt;"")*(P$3:P$107="")*(G$3:G$107=G61)*(I$3:I$107="P"))+SUMPRODUCT((P$3:P$107&lt;&gt;"")*(G$3:G$107=G61)*(I$3:I$107="P"))+SUMPRODUCT((N$3:N$107&lt;&gt;"")*(G$3:G$107=G61)*(I$3:I$107="P"))+SUMPRODUCT((P$3:P$107="")*(O$3:O$107="")*(N$3:N$107="")*(M$3:M$107="P")*(G$3:G$107=G61)*(J$3:J$107&gt;J61)*(I$3:I$107="P"))+IF(H61="L5",SUMPRODUCT((P$3:P$107="")*(O$3:O$107="")*(N$3:N$107="")*(M$3:M$107="P")*(G$3:G$107=G61)*(J$3:J$107&lt;J61)*(H$3:H$107&lt;&gt;H61)*(I$3:I$107="P")),-1*SUMPRODUCT((P$3:P$107="")*(O$3:O$107="")*(N$3:N$107="")*(M$3:M$107="P")*(G$3:G$107=G61)*(J$3:J$107&gt;J61)*(H$3:H$107="L5")*(I$3:I$107="P")))+1,"")))))</f>
        <v/>
      </c>
      <c r="B61" s="1" t="str" cm="1">
        <f t="array" ref="B61">IF(P61&lt;&gt;"",SUMPRODUCT((P$3:P$107&lt;&gt;"")*(G$3:G$107=G61)*(J$3:J$107&gt;J61))+1,IF(O61&lt;&gt;"",SUMPRODUCT((O$3:O$107&lt;&gt;"")*(P$3:P$107="")*(G$3:G$107=G61)*(J$3:J$107&gt;J61))+SUMPRODUCT((P$3:P$107&lt;&gt;"")*(G$3:G$107=G61))+1,IF(N61&lt;&gt;"",SUMPRODUCT((N$3:N$107&lt;&gt;"")*(G$3:G$107=G61)*(J$3:J$107&gt;J61))+1,IF(M61="P",SUMPRODUCT((O$3:O$107&lt;&gt;"")*(P$3:P$107="")*(G$3:G$107=G61))+SUMPRODUCT((P$3:P$107&lt;&gt;"")*(G$3:G$107=G61))+SUMPRODUCT((N$3:N$107&lt;&gt;"")*(G$3:G$107=G61))+SUMPRODUCT((P$3:P$107="")*(O$3:O$107="")*(N$3:N$107="")*(M$3:M$107="P")*(G$3:G$107=G61)*(J$3:J$107&gt;J61))+IF(H61="L5",SUMPRODUCT((P$3:P$107="")*(O$3:O$107="")*(N$3:N$107="")*(M$3:M$107="P")*(G$3:G$107=G61)*(J$3:J$107&lt;J61)*(H$3:H$107&lt;&gt;H61)),-1*SUMPRODUCT((P$3:P$107="")*(O$3:O$107="")*(N$3:N$107="")*(M$3:M$107="P")*(G$3:G$107=G61)*(J$3:J$107&gt;J61)*(H$3:H$107="L5")))+1,""))))</f>
        <v/>
      </c>
      <c r="C61" s="36" t="s">
        <v>228</v>
      </c>
      <c r="D61" s="36" t="str">
        <f>IF(E61="","",VLOOKUP(E61,'Coaching Points'!A:B,2,0))</f>
        <v>QC</v>
      </c>
      <c r="E61" s="36" t="s">
        <v>96</v>
      </c>
      <c r="F61" s="35">
        <v>2005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17-21</v>
      </c>
      <c r="H61" s="39" t="s">
        <v>66</v>
      </c>
      <c r="I61" s="43"/>
      <c r="J61" s="4">
        <f>R61+S61+IF(OR(H61="Junior",H61="Senior"),0.0002,IF(OR(H61="L7",H61="L6"),0.0001,0))+IF(G61="17-21",MAX(AA61,AC61,AF61),AE61)*0.0000001</f>
        <v>31.240002589000003</v>
      </c>
      <c r="K61" s="3" t="str">
        <f>IF(G61="Not Age Eligible","",IF(G61="17-21",IF(MAX(T61,V61,Y61,AA61,AC61,AF61)&gt;=LOOKUP(G61,'Qualifying Scores'!$A$4:$A$7,'Qualifying Scores'!$B$4:$B$7),"P",""),IF(MAX(X61-U61,AE61-AB61)&gt;=LOOKUP(G61,'Qualifying Scores'!$A$4:$A$7,'Qualifying Scores'!$B$4:$B$7),"P","")))</f>
        <v/>
      </c>
      <c r="L61" s="3" t="str">
        <f>IF(G61="Not Age Eligible","",IF(G61="17-21",IF(MAX(U61,W61,Z61,AB61,AD61,AG61)&gt;=LOOKUP(G61,'Qualifying Scores'!$A$10:$A$13,'Qualifying Scores'!$B$10:$B$13),"P",""),IF(MAX(W61,AD61)&gt;=LOOKUP(G61,'Qualifying Scores'!$A$10:$A$13,'Qualifying Scores'!$B$10:$B$13),"P","")))</f>
        <v/>
      </c>
      <c r="M61" s="3" t="str">
        <f>IF(G61="Not Age Eligible","",IF(G61="17-21",IF(OR(AND(T61&gt;=LOOKUP(G61,'Qualifying Scores'!$A$4:$A$7,'Qualifying Scores'!$B$4:$B$7),U61&gt;=LOOKUP(G61,'Qualifying Scores'!$A$10:$A$13,'Qualifying Scores'!$B$10:$B$13)),AND(V61&gt;=LOOKUP(G61,'Qualifying Scores'!$A$4:$A$7,'Qualifying Scores'!$B$4:$B$7),W61&gt;=LOOKUP(G61,'Qualifying Scores'!$A$10:$A$13,'Qualifying Scores'!$B$10:$B$13)),AND(Y61&gt;=LOOKUP(G61,'Qualifying Scores'!$A$4:$A$7,'Qualifying Scores'!$B$4:$B$7),Z61&gt;=LOOKUP(G61,'Qualifying Scores'!$A$10:$A$13,'Qualifying Scores'!$B$10:$B$13)),AND(AA61&gt;=LOOKUP(G61,'Qualifying Scores'!$A$4:$A$7,'Qualifying Scores'!$B$4:$B$7),AB61&gt;=LOOKUP(G61,'Qualifying Scores'!$A$10:$A$13,'Qualifying Scores'!$B$10:$B$13)),AND(AC61&gt;=LOOKUP(G61,'Qualifying Scores'!$A$4:$A$7,'Qualifying Scores'!$B$4:$B$7),AD61&gt;=LOOKUP(G61,'Qualifying Scores'!$A$10:$A$13,'Qualifying Scores'!$B$10:$B$13)),AND(AF61&gt;=LOOKUP(G61,'Qualifying Scores'!$A$4:$A$7,'Qualifying Scores'!$B$4:$B$7),AG61&gt;=LOOKUP(G61,'Qualifying Scores'!$A$10:$A$13,'Qualifying Scores'!$B$10:$B$13))),"P",""),IF(OR(AND(X61-U61&gt;=LOOKUP(G61,'Qualifying Scores'!$A$4:$A$7,'Qualifying Scores'!$B$4:$B$7),W61&gt;=LOOKUP(G61,'Qualifying Scores'!$A$10:$A$13,'Qualifying Scores'!$B$10:$B$13)),AND(AE61-AB61&gt;=LOOKUP(G61,'Qualifying Scores'!$A$4:$A$7,'Qualifying Scores'!$B$4:$B$7),AD61&gt;=LOOKUP(G61,'Qualifying Scores'!$A$10:$A$13,'Qualifying Scores'!$B$10:$B$13))),"P","")))</f>
        <v/>
      </c>
      <c r="Q61" s="1" t="str">
        <f>IF(A61&lt;5,IF(_xlfn.MAXIFS(A:A,G:G,G61)&gt;3,5-A61,_xlfn.MAXIFS(A:A,G:G,G61)+1-A61),"")</f>
        <v/>
      </c>
      <c r="R61" s="4">
        <f>IF(G61="17-21",MAX(T61,V61,Y61,AA61,AC61,AF61),MAX(X61,AE61))</f>
        <v>25.89</v>
      </c>
      <c r="S61" s="4">
        <f>IF(G61="17-21",LARGE(CHOOSE({1,2,3,4,5,6},T61,V61,Y61,AA61,AC61,AF61),2),IF(R61=X61,MAX(Y61,AA61,AC61,AF61),IF(R61=AE61,MAX(AF61,T61,V61,Y61),0)))</f>
        <v>5.35</v>
      </c>
      <c r="T61" s="33"/>
      <c r="U61" s="40"/>
      <c r="V61" s="34"/>
      <c r="W61" s="40"/>
      <c r="X61" s="4">
        <f>IF(H61="Senior",MAX(T61,V61),T61+V61)</f>
        <v>0</v>
      </c>
      <c r="Y61" s="34"/>
      <c r="Z61" s="40"/>
      <c r="AA61" s="33">
        <v>25.89</v>
      </c>
      <c r="AB61" s="40">
        <v>0</v>
      </c>
      <c r="AC61" s="34">
        <v>5.35</v>
      </c>
      <c r="AD61" s="40">
        <v>1.5</v>
      </c>
      <c r="AE61" s="4">
        <f>IF(H61="Senior",MAX(AA61,AC61),AA61+AC61)</f>
        <v>31.240000000000002</v>
      </c>
      <c r="AF61" s="34"/>
      <c r="AG61" s="37"/>
    </row>
    <row r="62" spans="1:33" x14ac:dyDescent="0.2">
      <c r="A62" s="1" t="str" cm="1">
        <f t="array" ref="A62">IF(I62="","",IF(P62&lt;&gt;"",SUMPRODUCT((P$3:P$107&lt;&gt;"")*(G$3:G$107=G62)*(J$3:J$107&gt;J62)*(I$3:I$107="P"))+1,IF(O62&lt;&gt;"",SUMPRODUCT((O$3:O$107&lt;&gt;"")*(P$3:P$107="")*(G$3:G$107=G62)*(J$3:J$107&gt;J62)*(I$3:I$107="P"))+SUMPRODUCT((P$3:P$107&lt;&gt;"")*(G$3:G$107=G62)*(I$3:I$107="P"))+1,IF(N62&lt;&gt;"",SUMPRODUCT((N$3:N$107&lt;&gt;"")*(G$3:G$107=G62)*(J$3:J$107&gt;J62)*(I$3:I$107="P"))+1,IF(M62="P",SUMPRODUCT((O$3:O$107&lt;&gt;"")*(P$3:P$107="")*(G$3:G$107=G62)*(I$3:I$107="P"))+SUMPRODUCT((P$3:P$107&lt;&gt;"")*(G$3:G$107=G62)*(I$3:I$107="P"))+SUMPRODUCT((N$3:N$107&lt;&gt;"")*(G$3:G$107=G62)*(I$3:I$107="P"))+SUMPRODUCT((P$3:P$107="")*(O$3:O$107="")*(N$3:N$107="")*(M$3:M$107="P")*(G$3:G$107=G62)*(J$3:J$107&gt;J62)*(I$3:I$107="P"))+IF(H62="L5",SUMPRODUCT((P$3:P$107="")*(O$3:O$107="")*(N$3:N$107="")*(M$3:M$107="P")*(G$3:G$107=G62)*(J$3:J$107&lt;J62)*(H$3:H$107&lt;&gt;H62)*(I$3:I$107="P")),-1*SUMPRODUCT((P$3:P$107="")*(O$3:O$107="")*(N$3:N$107="")*(M$3:M$107="P")*(G$3:G$107=G62)*(J$3:J$107&gt;J62)*(H$3:H$107="L5")*(I$3:I$107="P")))+1,"")))))</f>
        <v/>
      </c>
      <c r="B62" s="1" t="str" cm="1">
        <f t="array" ref="B62">IF(P62&lt;&gt;"",SUMPRODUCT((P$3:P$107&lt;&gt;"")*(G$3:G$107=G62)*(J$3:J$107&gt;J62))+1,IF(O62&lt;&gt;"",SUMPRODUCT((O$3:O$107&lt;&gt;"")*(P$3:P$107="")*(G$3:G$107=G62)*(J$3:J$107&gt;J62))+SUMPRODUCT((P$3:P$107&lt;&gt;"")*(G$3:G$107=G62))+1,IF(N62&lt;&gt;"",SUMPRODUCT((N$3:N$107&lt;&gt;"")*(G$3:G$107=G62)*(J$3:J$107&gt;J62))+1,IF(M62="P",SUMPRODUCT((O$3:O$107&lt;&gt;"")*(P$3:P$107="")*(G$3:G$107=G62))+SUMPRODUCT((P$3:P$107&lt;&gt;"")*(G$3:G$107=G62))+SUMPRODUCT((N$3:N$107&lt;&gt;"")*(G$3:G$107=G62))+SUMPRODUCT((P$3:P$107="")*(O$3:O$107="")*(N$3:N$107="")*(M$3:M$107="P")*(G$3:G$107=G62)*(J$3:J$107&gt;J62))+IF(H62="L5",SUMPRODUCT((P$3:P$107="")*(O$3:O$107="")*(N$3:N$107="")*(M$3:M$107="P")*(G$3:G$107=G62)*(J$3:J$107&lt;J62)*(H$3:H$107&lt;&gt;H62)),-1*SUMPRODUCT((P$3:P$107="")*(O$3:O$107="")*(N$3:N$107="")*(M$3:M$107="P")*(G$3:G$107=G62)*(J$3:J$107&gt;J62)*(H$3:H$107="L5")))+1,""))))</f>
        <v/>
      </c>
      <c r="C62" s="36" t="s">
        <v>433</v>
      </c>
      <c r="D62" s="36" t="str">
        <f>IF(E62="","",VLOOKUP(E62,'Coaching Points'!A:B,2,0))</f>
        <v>BC</v>
      </c>
      <c r="E62" s="36" t="s">
        <v>434</v>
      </c>
      <c r="F62" s="35">
        <v>2005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17-21</v>
      </c>
      <c r="H62" s="39" t="s">
        <v>66</v>
      </c>
      <c r="I62" s="43"/>
      <c r="J62" s="4">
        <f>R62+S62+IF(OR(H62="Junior",H62="Senior"),0.0002,IF(OR(H62="L7",H62="L6"),0.0001,0))+IF(G62="17-21",MAX(AA62,AC62,AF62),AE62)*0.0000001</f>
        <v>0</v>
      </c>
      <c r="K62" s="3" t="str">
        <f>IF(G62="Not Age Eligible","",IF(G62="17-21",IF(MAX(T62,V62,Y62,AA62,AC62,AF62)&gt;=LOOKUP(G62,'Qualifying Scores'!$A$4:$A$7,'Qualifying Scores'!$B$4:$B$7),"P",""),IF(MAX(X62-U62,AE62-AB62)&gt;=LOOKUP(G62,'Qualifying Scores'!$A$4:$A$7,'Qualifying Scores'!$B$4:$B$7),"P","")))</f>
        <v/>
      </c>
      <c r="L62" s="3" t="str">
        <f>IF(G62="Not Age Eligible","",IF(G62="17-21",IF(MAX(U62,W62,Z62,AB62,AD62,AG62)&gt;=LOOKUP(G62,'Qualifying Scores'!$A$10:$A$13,'Qualifying Scores'!$B$10:$B$13),"P",""),IF(MAX(W62,AD62)&gt;=LOOKUP(G62,'Qualifying Scores'!$A$10:$A$13,'Qualifying Scores'!$B$10:$B$13),"P","")))</f>
        <v/>
      </c>
      <c r="M62" s="3" t="str">
        <f>IF(G62="Not Age Eligible","",IF(G62="17-21",IF(OR(AND(T62&gt;=LOOKUP(G62,'Qualifying Scores'!$A$4:$A$7,'Qualifying Scores'!$B$4:$B$7),U62&gt;=LOOKUP(G62,'Qualifying Scores'!$A$10:$A$13,'Qualifying Scores'!$B$10:$B$13)),AND(V62&gt;=LOOKUP(G62,'Qualifying Scores'!$A$4:$A$7,'Qualifying Scores'!$B$4:$B$7),W62&gt;=LOOKUP(G62,'Qualifying Scores'!$A$10:$A$13,'Qualifying Scores'!$B$10:$B$13)),AND(Y62&gt;=LOOKUP(G62,'Qualifying Scores'!$A$4:$A$7,'Qualifying Scores'!$B$4:$B$7),Z62&gt;=LOOKUP(G62,'Qualifying Scores'!$A$10:$A$13,'Qualifying Scores'!$B$10:$B$13)),AND(AA62&gt;=LOOKUP(G62,'Qualifying Scores'!$A$4:$A$7,'Qualifying Scores'!$B$4:$B$7),AB62&gt;=LOOKUP(G62,'Qualifying Scores'!$A$10:$A$13,'Qualifying Scores'!$B$10:$B$13)),AND(AC62&gt;=LOOKUP(G62,'Qualifying Scores'!$A$4:$A$7,'Qualifying Scores'!$B$4:$B$7),AD62&gt;=LOOKUP(G62,'Qualifying Scores'!$A$10:$A$13,'Qualifying Scores'!$B$10:$B$13)),AND(AF62&gt;=LOOKUP(G62,'Qualifying Scores'!$A$4:$A$7,'Qualifying Scores'!$B$4:$B$7),AG62&gt;=LOOKUP(G62,'Qualifying Scores'!$A$10:$A$13,'Qualifying Scores'!$B$10:$B$13))),"P",""),IF(OR(AND(X62-U62&gt;=LOOKUP(G62,'Qualifying Scores'!$A$4:$A$7,'Qualifying Scores'!$B$4:$B$7),W62&gt;=LOOKUP(G62,'Qualifying Scores'!$A$10:$A$13,'Qualifying Scores'!$B$10:$B$13)),AND(AE62-AB62&gt;=LOOKUP(G62,'Qualifying Scores'!$A$4:$A$7,'Qualifying Scores'!$B$4:$B$7),AD62&gt;=LOOKUP(G62,'Qualifying Scores'!$A$10:$A$13,'Qualifying Scores'!$B$10:$B$13))),"P","")))</f>
        <v/>
      </c>
      <c r="Q62" s="1" t="str">
        <f>IF(A62&lt;5,IF(_xlfn.MAXIFS(A:A,G:G,G62)&gt;3,5-A62,_xlfn.MAXIFS(A:A,G:G,G62)+1-A62),"")</f>
        <v/>
      </c>
      <c r="R62" s="4">
        <f>IF(G62="17-21",MAX(T62,V62,Y62,AA62,AC62,AF62),MAX(X62,AE62))</f>
        <v>0</v>
      </c>
      <c r="S62" s="4">
        <f>IF(G62="17-21",LARGE(CHOOSE({1,2,3,4,5,6},T62,V62,Y62,AA62,AC62,AF62),2),IF(R62=X62,MAX(Y62,AA62,AC62,AF62),IF(R62=AE62,MAX(AF62,T62,V62,Y62),0)))</f>
        <v>0</v>
      </c>
      <c r="T62" s="33"/>
      <c r="U62" s="40"/>
      <c r="V62" s="34"/>
      <c r="W62" s="40"/>
      <c r="X62" s="4">
        <f>IF(H62="Senior",MAX(T62,V62),T62+V62)</f>
        <v>0</v>
      </c>
      <c r="Y62" s="34"/>
      <c r="Z62" s="40"/>
      <c r="AA62" s="33"/>
      <c r="AB62" s="40"/>
      <c r="AC62" s="34"/>
      <c r="AD62" s="40"/>
      <c r="AE62" s="4">
        <f>IF(H62="Senior",MAX(AA62,AC62),AA62+AC62)</f>
        <v>0</v>
      </c>
      <c r="AF62" s="34"/>
      <c r="AG62" s="37"/>
    </row>
    <row r="63" spans="1:33" x14ac:dyDescent="0.2">
      <c r="A63" s="1" t="str" cm="1">
        <f t="array" ref="A63">IF(I63="","",IF(P63&lt;&gt;"",SUMPRODUCT((P$3:P$107&lt;&gt;"")*(G$3:G$107=G63)*(J$3:J$107&gt;J63)*(I$3:I$107="P"))+1,IF(O63&lt;&gt;"",SUMPRODUCT((O$3:O$107&lt;&gt;"")*(P$3:P$107="")*(G$3:G$107=G63)*(J$3:J$107&gt;J63)*(I$3:I$107="P"))+SUMPRODUCT((P$3:P$107&lt;&gt;"")*(G$3:G$107=G63)*(I$3:I$107="P"))+1,IF(N63&lt;&gt;"",SUMPRODUCT((N$3:N$107&lt;&gt;"")*(G$3:G$107=G63)*(J$3:J$107&gt;J63)*(I$3:I$107="P"))+1,IF(M63="P",SUMPRODUCT((O$3:O$107&lt;&gt;"")*(P$3:P$107="")*(G$3:G$107=G63)*(I$3:I$107="P"))+SUMPRODUCT((P$3:P$107&lt;&gt;"")*(G$3:G$107=G63)*(I$3:I$107="P"))+SUMPRODUCT((N$3:N$107&lt;&gt;"")*(G$3:G$107=G63)*(I$3:I$107="P"))+SUMPRODUCT((P$3:P$107="")*(O$3:O$107="")*(N$3:N$107="")*(M$3:M$107="P")*(G$3:G$107=G63)*(J$3:J$107&gt;J63)*(I$3:I$107="P"))+IF(H63="L5",SUMPRODUCT((P$3:P$107="")*(O$3:O$107="")*(N$3:N$107="")*(M$3:M$107="P")*(G$3:G$107=G63)*(J$3:J$107&lt;J63)*(H$3:H$107&lt;&gt;H63)*(I$3:I$107="P")),-1*SUMPRODUCT((P$3:P$107="")*(O$3:O$107="")*(N$3:N$107="")*(M$3:M$107="P")*(G$3:G$107=G63)*(J$3:J$107&gt;J63)*(H$3:H$107="L5")*(I$3:I$107="P")))+1,"")))))</f>
        <v/>
      </c>
      <c r="B63" s="1" t="str" cm="1">
        <f t="array" ref="B63">IF(P63&lt;&gt;"",SUMPRODUCT((P$3:P$107&lt;&gt;"")*(G$3:G$107=G63)*(J$3:J$107&gt;J63))+1,IF(O63&lt;&gt;"",SUMPRODUCT((O$3:O$107&lt;&gt;"")*(P$3:P$107="")*(G$3:G$107=G63)*(J$3:J$107&gt;J63))+SUMPRODUCT((P$3:P$107&lt;&gt;"")*(G$3:G$107=G63))+1,IF(N63&lt;&gt;"",SUMPRODUCT((N$3:N$107&lt;&gt;"")*(G$3:G$107=G63)*(J$3:J$107&gt;J63))+1,IF(M63="P",SUMPRODUCT((O$3:O$107&lt;&gt;"")*(P$3:P$107="")*(G$3:G$107=G63))+SUMPRODUCT((P$3:P$107&lt;&gt;"")*(G$3:G$107=G63))+SUMPRODUCT((N$3:N$107&lt;&gt;"")*(G$3:G$107=G63))+SUMPRODUCT((P$3:P$107="")*(O$3:O$107="")*(N$3:N$107="")*(M$3:M$107="P")*(G$3:G$107=G63)*(J$3:J$107&gt;J63))+IF(H63="L5",SUMPRODUCT((P$3:P$107="")*(O$3:O$107="")*(N$3:N$107="")*(M$3:M$107="P")*(G$3:G$107=G63)*(J$3:J$107&lt;J63)*(H$3:H$107&lt;&gt;H63)),-1*SUMPRODUCT((P$3:P$107="")*(O$3:O$107="")*(N$3:N$107="")*(M$3:M$107="P")*(G$3:G$107=G63)*(J$3:J$107&gt;J63)*(H$3:H$107="L5")))+1,""))))</f>
        <v/>
      </c>
      <c r="C63" s="36" t="s">
        <v>228</v>
      </c>
      <c r="D63" s="36" t="str">
        <f>IF(E63="","",VLOOKUP(E63,'Coaching Points'!A:B,2,0))</f>
        <v>QC</v>
      </c>
      <c r="E63" s="36" t="s">
        <v>96</v>
      </c>
      <c r="F63" s="35">
        <v>2005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17-21</v>
      </c>
      <c r="H63" s="39" t="s">
        <v>66</v>
      </c>
      <c r="I63" s="43"/>
      <c r="J63" s="4">
        <f>R63+S63+IF(OR(H63="Junior",H63="Senior"),0.0002,IF(OR(H63="L7",H63="L6"),0.0001,0))+IF(G63="17-21",MAX(AA63,AC63,AF63),AE63)*0.0000001</f>
        <v>0</v>
      </c>
      <c r="K63" s="3" t="str">
        <f>IF(G63="Not Age Eligible","",IF(G63="17-21",IF(MAX(T63,V63,Y63,AA63,AC63,AF63)&gt;=LOOKUP(G63,'Qualifying Scores'!$A$4:$A$7,'Qualifying Scores'!$B$4:$B$7),"P",""),IF(MAX(X63-U63,AE63-AB63)&gt;=LOOKUP(G63,'Qualifying Scores'!$A$4:$A$7,'Qualifying Scores'!$B$4:$B$7),"P","")))</f>
        <v/>
      </c>
      <c r="L63" s="3" t="str">
        <f>IF(G63="Not Age Eligible","",IF(G63="17-21",IF(MAX(U63,W63,Z63,AB63,AD63,AG63)&gt;=LOOKUP(G63,'Qualifying Scores'!$A$10:$A$13,'Qualifying Scores'!$B$10:$B$13),"P",""),IF(MAX(W63,AD63)&gt;=LOOKUP(G63,'Qualifying Scores'!$A$10:$A$13,'Qualifying Scores'!$B$10:$B$13),"P","")))</f>
        <v/>
      </c>
      <c r="M63" s="3" t="str">
        <f>IF(G63="Not Age Eligible","",IF(G63="17-21",IF(OR(AND(T63&gt;=LOOKUP(G63,'Qualifying Scores'!$A$4:$A$7,'Qualifying Scores'!$B$4:$B$7),U63&gt;=LOOKUP(G63,'Qualifying Scores'!$A$10:$A$13,'Qualifying Scores'!$B$10:$B$13)),AND(V63&gt;=LOOKUP(G63,'Qualifying Scores'!$A$4:$A$7,'Qualifying Scores'!$B$4:$B$7),W63&gt;=LOOKUP(G63,'Qualifying Scores'!$A$10:$A$13,'Qualifying Scores'!$B$10:$B$13)),AND(Y63&gt;=LOOKUP(G63,'Qualifying Scores'!$A$4:$A$7,'Qualifying Scores'!$B$4:$B$7),Z63&gt;=LOOKUP(G63,'Qualifying Scores'!$A$10:$A$13,'Qualifying Scores'!$B$10:$B$13)),AND(AA63&gt;=LOOKUP(G63,'Qualifying Scores'!$A$4:$A$7,'Qualifying Scores'!$B$4:$B$7),AB63&gt;=LOOKUP(G63,'Qualifying Scores'!$A$10:$A$13,'Qualifying Scores'!$B$10:$B$13)),AND(AC63&gt;=LOOKUP(G63,'Qualifying Scores'!$A$4:$A$7,'Qualifying Scores'!$B$4:$B$7),AD63&gt;=LOOKUP(G63,'Qualifying Scores'!$A$10:$A$13,'Qualifying Scores'!$B$10:$B$13)),AND(AF63&gt;=LOOKUP(G63,'Qualifying Scores'!$A$4:$A$7,'Qualifying Scores'!$B$4:$B$7),AG63&gt;=LOOKUP(G63,'Qualifying Scores'!$A$10:$A$13,'Qualifying Scores'!$B$10:$B$13))),"P",""),IF(OR(AND(X63-U63&gt;=LOOKUP(G63,'Qualifying Scores'!$A$4:$A$7,'Qualifying Scores'!$B$4:$B$7),W63&gt;=LOOKUP(G63,'Qualifying Scores'!$A$10:$A$13,'Qualifying Scores'!$B$10:$B$13)),AND(AE63-AB63&gt;=LOOKUP(G63,'Qualifying Scores'!$A$4:$A$7,'Qualifying Scores'!$B$4:$B$7),AD63&gt;=LOOKUP(G63,'Qualifying Scores'!$A$10:$A$13,'Qualifying Scores'!$B$10:$B$13))),"P","")))</f>
        <v/>
      </c>
      <c r="Q63" s="1" t="str">
        <f>IF(A63&lt;5,IF(_xlfn.MAXIFS(A:A,G:G,G63)&gt;3,5-A63,_xlfn.MAXIFS(A:A,G:G,G63)+1-A63),"")</f>
        <v/>
      </c>
      <c r="R63" s="4">
        <f>IF(G63="17-21",MAX(T63,V63,Y63,AA63,AC63,AF63),MAX(X63,AE63))</f>
        <v>0</v>
      </c>
      <c r="S63" s="4">
        <f>IF(G63="17-21",LARGE(CHOOSE({1,2,3,4,5,6},T63,V63,Y63,AA63,AC63,AF63),2),IF(R63=X63,MAX(Y63,AA63,AC63,AF63),IF(R63=AE63,MAX(AF63,T63,V63,Y63),0)))</f>
        <v>0</v>
      </c>
      <c r="T63" s="33"/>
      <c r="U63" s="40"/>
      <c r="V63" s="34"/>
      <c r="W63" s="40"/>
      <c r="X63" s="4">
        <f>IF(H63="Senior",MAX(T63,V63),T63+V63)</f>
        <v>0</v>
      </c>
      <c r="Y63" s="34"/>
      <c r="Z63" s="40"/>
      <c r="AA63" s="33"/>
      <c r="AB63" s="40"/>
      <c r="AC63" s="34"/>
      <c r="AD63" s="40"/>
      <c r="AE63" s="4">
        <f>IF(H63="Senior",MAX(AA63,AC63),AA63+AC63)</f>
        <v>0</v>
      </c>
      <c r="AF63" s="34"/>
      <c r="AG63" s="37"/>
    </row>
    <row r="64" spans="1:33" x14ac:dyDescent="0.2">
      <c r="A64" s="1" cm="1">
        <f t="array" ref="A64">IF(I64="","",IF(P64&lt;&gt;"",SUMPRODUCT((P$3:P$107&lt;&gt;"")*(G$3:G$107=G64)*(J$3:J$107&gt;J64)*(I$3:I$107="P"))+1,IF(O64&lt;&gt;"",SUMPRODUCT((O$3:O$107&lt;&gt;"")*(P$3:P$107="")*(G$3:G$107=G64)*(J$3:J$107&gt;J64)*(I$3:I$107="P"))+SUMPRODUCT((P$3:P$107&lt;&gt;"")*(G$3:G$107=G64)*(I$3:I$107="P"))+1,IF(N64&lt;&gt;"",SUMPRODUCT((N$3:N$107&lt;&gt;"")*(G$3:G$107=G64)*(J$3:J$107&gt;J64)*(I$3:I$107="P"))+1,IF(M64="P",SUMPRODUCT((O$3:O$107&lt;&gt;"")*(P$3:P$107="")*(G$3:G$107=G64)*(I$3:I$107="P"))+SUMPRODUCT((P$3:P$107&lt;&gt;"")*(G$3:G$107=G64)*(I$3:I$107="P"))+SUMPRODUCT((N$3:N$107&lt;&gt;"")*(G$3:G$107=G64)*(I$3:I$107="P"))+SUMPRODUCT((P$3:P$107="")*(O$3:O$107="")*(N$3:N$107="")*(M$3:M$107="P")*(G$3:G$107=G64)*(J$3:J$107&gt;J64)*(I$3:I$107="P"))+IF(H64="L5",SUMPRODUCT((P$3:P$107="")*(O$3:O$107="")*(N$3:N$107="")*(M$3:M$107="P")*(G$3:G$107=G64)*(J$3:J$107&lt;J64)*(H$3:H$107&lt;&gt;H64)*(I$3:I$107="P")),-1*SUMPRODUCT((P$3:P$107="")*(O$3:O$107="")*(N$3:N$107="")*(M$3:M$107="P")*(G$3:G$107=G64)*(J$3:J$107&gt;J64)*(H$3:H$107="L5")*(I$3:I$107="P")))+1,"")))))</f>
        <v>1</v>
      </c>
      <c r="B64" s="1" cm="1">
        <f t="array" ref="B64">IF(P64&lt;&gt;"",SUMPRODUCT((P$3:P$107&lt;&gt;"")*(G$3:G$107=G64)*(J$3:J$107&gt;J64))+1,IF(O64&lt;&gt;"",SUMPRODUCT((O$3:O$107&lt;&gt;"")*(P$3:P$107="")*(G$3:G$107=G64)*(J$3:J$107&gt;J64))+SUMPRODUCT((P$3:P$107&lt;&gt;"")*(G$3:G$107=G64))+1,IF(N64&lt;&gt;"",SUMPRODUCT((N$3:N$107&lt;&gt;"")*(G$3:G$107=G64)*(J$3:J$107&gt;J64))+1,IF(M64="P",SUMPRODUCT((O$3:O$107&lt;&gt;"")*(P$3:P$107="")*(G$3:G$107=G64))+SUMPRODUCT((P$3:P$107&lt;&gt;"")*(G$3:G$107=G64))+SUMPRODUCT((N$3:N$107&lt;&gt;"")*(G$3:G$107=G64))+SUMPRODUCT((P$3:P$107="")*(O$3:O$107="")*(N$3:N$107="")*(M$3:M$107="P")*(G$3:G$107=G64)*(J$3:J$107&gt;J64))+IF(H64="L5",SUMPRODUCT((P$3:P$107="")*(O$3:O$107="")*(N$3:N$107="")*(M$3:M$107="P")*(G$3:G$107=G64)*(J$3:J$107&lt;J64)*(H$3:H$107&lt;&gt;H64)),-1*SUMPRODUCT((P$3:P$107="")*(O$3:O$107="")*(N$3:N$107="")*(M$3:M$107="P")*(G$3:G$107=G64)*(J$3:J$107&gt;J64)*(H$3:H$107="L5")))+1,""))))</f>
        <v>1</v>
      </c>
      <c r="C64" s="36" t="s">
        <v>213</v>
      </c>
      <c r="D64" s="36" t="str">
        <f>IF(E64="","",VLOOKUP(E64,'Coaching Points'!A:B,2,0))</f>
        <v>AB</v>
      </c>
      <c r="E64" s="36" t="s">
        <v>40</v>
      </c>
      <c r="F64" s="35">
        <v>2007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65</v>
      </c>
      <c r="I64" s="43" t="s">
        <v>567</v>
      </c>
      <c r="J64" s="4">
        <f>R64+S64+IF(OR(H64="Junior",H64="Senior"),0.0002,IF(OR(H64="L7",H64="L6"),0.0001,0))+IF(G64="17-21",MAX(AA64,AC64,AF64),AE64)*0.0000001</f>
        <v>146.890209532</v>
      </c>
      <c r="K64" s="3" t="str">
        <f>IF(G64="Not Age Eligible","",IF(G64="17-21",IF(MAX(T64,V64,Y64,AA64,AC64,AF64)&gt;=LOOKUP(G64,'Qualifying Scores'!$A$4:$A$7,'Qualifying Scores'!$B$4:$B$7),"P",""),IF(MAX(X64-U64,AE64-AB64)&gt;=LOOKUP(G64,'Qualifying Scores'!$A$4:$A$7,'Qualifying Scores'!$B$4:$B$7),"P","")))</f>
        <v>P</v>
      </c>
      <c r="L64" s="3" t="str">
        <f>IF(G64="Not Age Eligible","",IF(G64="17-21",IF(MAX(U64,W64,Z64,AB64,AD64,AG64)&gt;=LOOKUP(G64,'Qualifying Scores'!$A$10:$A$13,'Qualifying Scores'!$B$10:$B$13),"P",""),IF(MAX(W64,AD64)&gt;=LOOKUP(G64,'Qualifying Scores'!$A$10:$A$13,'Qualifying Scores'!$B$10:$B$13),"P","")))</f>
        <v>P</v>
      </c>
      <c r="M64" s="3" t="str">
        <f>IF(G64="Not Age Eligible","",IF(G64="17-21",IF(OR(AND(T64&gt;=LOOKUP(G64,'Qualifying Scores'!$A$4:$A$7,'Qualifying Scores'!$B$4:$B$7),U64&gt;=LOOKUP(G64,'Qualifying Scores'!$A$10:$A$13,'Qualifying Scores'!$B$10:$B$13)),AND(V64&gt;=LOOKUP(G64,'Qualifying Scores'!$A$4:$A$7,'Qualifying Scores'!$B$4:$B$7),W64&gt;=LOOKUP(G64,'Qualifying Scores'!$A$10:$A$13,'Qualifying Scores'!$B$10:$B$13)),AND(Y64&gt;=LOOKUP(G64,'Qualifying Scores'!$A$4:$A$7,'Qualifying Scores'!$B$4:$B$7),Z64&gt;=LOOKUP(G64,'Qualifying Scores'!$A$10:$A$13,'Qualifying Scores'!$B$10:$B$13)),AND(AA64&gt;=LOOKUP(G64,'Qualifying Scores'!$A$4:$A$7,'Qualifying Scores'!$B$4:$B$7),AB64&gt;=LOOKUP(G64,'Qualifying Scores'!$A$10:$A$13,'Qualifying Scores'!$B$10:$B$13)),AND(AC64&gt;=LOOKUP(G64,'Qualifying Scores'!$A$4:$A$7,'Qualifying Scores'!$B$4:$B$7),AD64&gt;=LOOKUP(G64,'Qualifying Scores'!$A$10:$A$13,'Qualifying Scores'!$B$10:$B$13)),AND(AF64&gt;=LOOKUP(G64,'Qualifying Scores'!$A$4:$A$7,'Qualifying Scores'!$B$4:$B$7),AG64&gt;=LOOKUP(G64,'Qualifying Scores'!$A$10:$A$13,'Qualifying Scores'!$B$10:$B$13))),"P",""),IF(OR(AND(X64-U64&gt;=LOOKUP(G64,'Qualifying Scores'!$A$4:$A$7,'Qualifying Scores'!$B$4:$B$7),W64&gt;=LOOKUP(G64,'Qualifying Scores'!$A$10:$A$13,'Qualifying Scores'!$B$10:$B$13)),AND(AE64-AB64&gt;=LOOKUP(G64,'Qualifying Scores'!$A$4:$A$7,'Qualifying Scores'!$B$4:$B$7),AD64&gt;=LOOKUP(G64,'Qualifying Scores'!$A$10:$A$13,'Qualifying Scores'!$B$10:$B$13))),"P","")))</f>
        <v>P</v>
      </c>
      <c r="Q64" s="1">
        <f>IF(A64&lt;5,IF(_xlfn.MAXIFS(A:A,G:G,G64)&gt;3,5-A64,_xlfn.MAXIFS(A:A,G:G,G64)+1-A64),"")</f>
        <v>1</v>
      </c>
      <c r="R64" s="4">
        <f>IF(G64="17-21",MAX(T64,V64,Y64,AA64,AC64,AF64),MAX(X64,AE64))</f>
        <v>95.32</v>
      </c>
      <c r="S64" s="4">
        <f>IF(G64="17-21",LARGE(CHOOSE({1,2,3,4,5,6},T64,V64,Y64,AA64,AC64,AF64),2),IF(R64=X64,MAX(Y64,AA64,AC64,AF64),IF(R64=AE64,MAX(AF64,T64,V64,Y64),0)))</f>
        <v>51.57</v>
      </c>
      <c r="T64" s="33">
        <v>41.35</v>
      </c>
      <c r="U64" s="40">
        <v>0</v>
      </c>
      <c r="V64" s="34">
        <v>44.29</v>
      </c>
      <c r="W64" s="40">
        <v>7.9</v>
      </c>
      <c r="X64" s="4">
        <f>IF(H64="Senior",MAX(T64,V64),T64+V64)</f>
        <v>85.64</v>
      </c>
      <c r="Y64" s="34">
        <v>51.57</v>
      </c>
      <c r="Z64" s="40">
        <v>11.6</v>
      </c>
      <c r="AA64" s="33">
        <v>42.54</v>
      </c>
      <c r="AB64" s="40">
        <v>0</v>
      </c>
      <c r="AC64" s="34">
        <v>52.78</v>
      </c>
      <c r="AD64" s="40">
        <v>12.7</v>
      </c>
      <c r="AE64" s="4">
        <f>IF(H64="Senior",MAX(AA64,AC64),AA64+AC64)</f>
        <v>95.32</v>
      </c>
      <c r="AF64" s="34">
        <v>50.13</v>
      </c>
      <c r="AG64" s="37">
        <v>12.6</v>
      </c>
    </row>
    <row r="65" spans="1:33" x14ac:dyDescent="0.2">
      <c r="A65" s="1" t="str" cm="1">
        <f t="array" ref="A65">IF(I65="","",IF(P65&lt;&gt;"",SUMPRODUCT((P$3:P$107&lt;&gt;"")*(G$3:G$107=G65)*(J$3:J$107&gt;J65)*(I$3:I$107="P"))+1,IF(O65&lt;&gt;"",SUMPRODUCT((O$3:O$107&lt;&gt;"")*(P$3:P$107="")*(G$3:G$107=G65)*(J$3:J$107&gt;J65)*(I$3:I$107="P"))+SUMPRODUCT((P$3:P$107&lt;&gt;"")*(G$3:G$107=G65)*(I$3:I$107="P"))+1,IF(N65&lt;&gt;"",SUMPRODUCT((N$3:N$107&lt;&gt;"")*(G$3:G$107=G65)*(J$3:J$107&gt;J65)*(I$3:I$107="P"))+1,IF(M65="P",SUMPRODUCT((O$3:O$107&lt;&gt;"")*(P$3:P$107="")*(G$3:G$107=G65)*(I$3:I$107="P"))+SUMPRODUCT((P$3:P$107&lt;&gt;"")*(G$3:G$107=G65)*(I$3:I$107="P"))+SUMPRODUCT((N$3:N$107&lt;&gt;"")*(G$3:G$107=G65)*(I$3:I$107="P"))+SUMPRODUCT((P$3:P$107="")*(O$3:O$107="")*(N$3:N$107="")*(M$3:M$107="P")*(G$3:G$107=G65)*(J$3:J$107&gt;J65)*(I$3:I$107="P"))+IF(H65="L5",SUMPRODUCT((P$3:P$107="")*(O$3:O$107="")*(N$3:N$107="")*(M$3:M$107="P")*(G$3:G$107=G65)*(J$3:J$107&lt;J65)*(H$3:H$107&lt;&gt;H65)*(I$3:I$107="P")),-1*SUMPRODUCT((P$3:P$107="")*(O$3:O$107="")*(N$3:N$107="")*(M$3:M$107="P")*(G$3:G$107=G65)*(J$3:J$107&gt;J65)*(H$3:H$107="L5")*(I$3:I$107="P")))+1,"")))))</f>
        <v/>
      </c>
      <c r="B65" s="1" t="str" cm="1">
        <f t="array" ref="B65">IF(P65&lt;&gt;"",SUMPRODUCT((P$3:P$107&lt;&gt;"")*(G$3:G$107=G65)*(J$3:J$107&gt;J65))+1,IF(O65&lt;&gt;"",SUMPRODUCT((O$3:O$107&lt;&gt;"")*(P$3:P$107="")*(G$3:G$107=G65)*(J$3:J$107&gt;J65))+SUMPRODUCT((P$3:P$107&lt;&gt;"")*(G$3:G$107=G65))+1,IF(N65&lt;&gt;"",SUMPRODUCT((N$3:N$107&lt;&gt;"")*(G$3:G$107=G65)*(J$3:J$107&gt;J65))+1,IF(M65="P",SUMPRODUCT((O$3:O$107&lt;&gt;"")*(P$3:P$107="")*(G$3:G$107=G65))+SUMPRODUCT((P$3:P$107&lt;&gt;"")*(G$3:G$107=G65))+SUMPRODUCT((N$3:N$107&lt;&gt;"")*(G$3:G$107=G65))+SUMPRODUCT((P$3:P$107="")*(O$3:O$107="")*(N$3:N$107="")*(M$3:M$107="P")*(G$3:G$107=G65)*(J$3:J$107&gt;J65))+IF(H65="L5",SUMPRODUCT((P$3:P$107="")*(O$3:O$107="")*(N$3:N$107="")*(M$3:M$107="P")*(G$3:G$107=G65)*(J$3:J$107&lt;J65)*(H$3:H$107&lt;&gt;H65)),-1*SUMPRODUCT((P$3:P$107="")*(O$3:O$107="")*(N$3:N$107="")*(M$3:M$107="P")*(G$3:G$107=G65)*(J$3:J$107&gt;J65)*(H$3:H$107="L5")))+1,""))))</f>
        <v/>
      </c>
      <c r="C65" s="36" t="s">
        <v>85</v>
      </c>
      <c r="D65" s="36" t="str">
        <f>IF(E65="","",VLOOKUP(E65,'Coaching Points'!A:B,2,0))</f>
        <v>QC</v>
      </c>
      <c r="E65" s="36" t="s">
        <v>84</v>
      </c>
      <c r="F65" s="35">
        <v>2007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67</v>
      </c>
      <c r="I65" s="43" t="s">
        <v>567</v>
      </c>
      <c r="J65" s="4">
        <f>R65+S65+IF(OR(H65="Junior",H65="Senior"),0.0002,IF(OR(H65="L7",H65="L6"),0.0001,0))+IF(G65="17-21",MAX(AA65,AC65,AF65),AE65)*0.0000001</f>
        <v>145.80010951800003</v>
      </c>
      <c r="K65" s="3" t="str">
        <f>IF(G65="Not Age Eligible","",IF(G65="17-21",IF(MAX(T65,V65,Y65,AA65,AC65,AF65)&gt;=LOOKUP(G65,'Qualifying Scores'!$A$4:$A$7,'Qualifying Scores'!$B$4:$B$7),"P",""),IF(MAX(X65-U65,AE65-AB65)&gt;=LOOKUP(G65,'Qualifying Scores'!$A$4:$A$7,'Qualifying Scores'!$B$4:$B$7),"P","")))</f>
        <v>P</v>
      </c>
      <c r="L65" s="3" t="str">
        <f>IF(G65="Not Age Eligible","",IF(G65="17-21",IF(MAX(U65,W65,Z65,AB65,AD65,AG65)&gt;=LOOKUP(G65,'Qualifying Scores'!$A$10:$A$13,'Qualifying Scores'!$B$10:$B$13),"P",""),IF(MAX(W65,AD65)&gt;=LOOKUP(G65,'Qualifying Scores'!$A$10:$A$13,'Qualifying Scores'!$B$10:$B$13),"P","")))</f>
        <v/>
      </c>
      <c r="M65" s="3" t="str">
        <f>IF(G65="Not Age Eligible","",IF(G65="17-21",IF(OR(AND(T65&gt;=LOOKUP(G65,'Qualifying Scores'!$A$4:$A$7,'Qualifying Scores'!$B$4:$B$7),U65&gt;=LOOKUP(G65,'Qualifying Scores'!$A$10:$A$13,'Qualifying Scores'!$B$10:$B$13)),AND(V65&gt;=LOOKUP(G65,'Qualifying Scores'!$A$4:$A$7,'Qualifying Scores'!$B$4:$B$7),W65&gt;=LOOKUP(G65,'Qualifying Scores'!$A$10:$A$13,'Qualifying Scores'!$B$10:$B$13)),AND(Y65&gt;=LOOKUP(G65,'Qualifying Scores'!$A$4:$A$7,'Qualifying Scores'!$B$4:$B$7),Z65&gt;=LOOKUP(G65,'Qualifying Scores'!$A$10:$A$13,'Qualifying Scores'!$B$10:$B$13)),AND(AA65&gt;=LOOKUP(G65,'Qualifying Scores'!$A$4:$A$7,'Qualifying Scores'!$B$4:$B$7),AB65&gt;=LOOKUP(G65,'Qualifying Scores'!$A$10:$A$13,'Qualifying Scores'!$B$10:$B$13)),AND(AC65&gt;=LOOKUP(G65,'Qualifying Scores'!$A$4:$A$7,'Qualifying Scores'!$B$4:$B$7),AD65&gt;=LOOKUP(G65,'Qualifying Scores'!$A$10:$A$13,'Qualifying Scores'!$B$10:$B$13)),AND(AF65&gt;=LOOKUP(G65,'Qualifying Scores'!$A$4:$A$7,'Qualifying Scores'!$B$4:$B$7),AG65&gt;=LOOKUP(G65,'Qualifying Scores'!$A$10:$A$13,'Qualifying Scores'!$B$10:$B$13))),"P",""),IF(OR(AND(X65-U65&gt;=LOOKUP(G65,'Qualifying Scores'!$A$4:$A$7,'Qualifying Scores'!$B$4:$B$7),W65&gt;=LOOKUP(G65,'Qualifying Scores'!$A$10:$A$13,'Qualifying Scores'!$B$10:$B$13)),AND(AE65-AB65&gt;=LOOKUP(G65,'Qualifying Scores'!$A$4:$A$7,'Qualifying Scores'!$B$4:$B$7),AD65&gt;=LOOKUP(G65,'Qualifying Scores'!$A$10:$A$13,'Qualifying Scores'!$B$10:$B$13))),"P","")))</f>
        <v/>
      </c>
      <c r="Q65" s="1" t="str">
        <f>IF(A65&lt;5,IF(_xlfn.MAXIFS(A:A,G:G,G65)&gt;3,5-A65,_xlfn.MAXIFS(A:A,G:G,G65)+1-A65),"")</f>
        <v/>
      </c>
      <c r="R65" s="4">
        <f>IF(G65="17-21",MAX(T65,V65,Y65,AA65,AC65,AF65),MAX(X65,AE65))</f>
        <v>95.18</v>
      </c>
      <c r="S65" s="4">
        <f>IF(G65="17-21",LARGE(CHOOSE({1,2,3,4,5,6},T65,V65,Y65,AA65,AC65,AF65),2),IF(R65=X65,MAX(Y65,AA65,AC65,AF65),IF(R65=AE65,MAX(AF65,T65,V65,Y65),0)))</f>
        <v>50.62</v>
      </c>
      <c r="T65" s="33">
        <v>43.44</v>
      </c>
      <c r="U65" s="40">
        <v>0</v>
      </c>
      <c r="V65" s="34">
        <v>50.62</v>
      </c>
      <c r="W65" s="40">
        <v>9.6999999999999993</v>
      </c>
      <c r="X65" s="4">
        <f>IF(H65="Senior",MAX(T65,V65),T65+V65)</f>
        <v>94.06</v>
      </c>
      <c r="Y65" s="34">
        <v>50.13</v>
      </c>
      <c r="Z65" s="40">
        <v>9.6999999999999993</v>
      </c>
      <c r="AA65" s="33">
        <v>43.6</v>
      </c>
      <c r="AB65" s="40">
        <v>0</v>
      </c>
      <c r="AC65" s="34">
        <v>51.58</v>
      </c>
      <c r="AD65" s="40">
        <v>9.9</v>
      </c>
      <c r="AE65" s="4">
        <f>IF(H65="Senior",MAX(AA65,AC65),AA65+AC65)</f>
        <v>95.18</v>
      </c>
      <c r="AF65" s="34">
        <v>21.98</v>
      </c>
      <c r="AG65" s="37">
        <v>4.4000000000000004</v>
      </c>
    </row>
    <row r="66" spans="1:33" x14ac:dyDescent="0.2">
      <c r="A66" s="1" t="str" cm="1">
        <f t="array" ref="A66">IF(I66="","",IF(P66&lt;&gt;"",SUMPRODUCT((P$3:P$107&lt;&gt;"")*(G$3:G$107=G66)*(J$3:J$107&gt;J66)*(I$3:I$107="P"))+1,IF(O66&lt;&gt;"",SUMPRODUCT((O$3:O$107&lt;&gt;"")*(P$3:P$107="")*(G$3:G$107=G66)*(J$3:J$107&gt;J66)*(I$3:I$107="P"))+SUMPRODUCT((P$3:P$107&lt;&gt;"")*(G$3:G$107=G66)*(I$3:I$107="P"))+1,IF(N66&lt;&gt;"",SUMPRODUCT((N$3:N$107&lt;&gt;"")*(G$3:G$107=G66)*(J$3:J$107&gt;J66)*(I$3:I$107="P"))+1,IF(M66="P",SUMPRODUCT((O$3:O$107&lt;&gt;"")*(P$3:P$107="")*(G$3:G$107=G66)*(I$3:I$107="P"))+SUMPRODUCT((P$3:P$107&lt;&gt;"")*(G$3:G$107=G66)*(I$3:I$107="P"))+SUMPRODUCT((N$3:N$107&lt;&gt;"")*(G$3:G$107=G66)*(I$3:I$107="P"))+SUMPRODUCT((P$3:P$107="")*(O$3:O$107="")*(N$3:N$107="")*(M$3:M$107="P")*(G$3:G$107=G66)*(J$3:J$107&gt;J66)*(I$3:I$107="P"))+IF(H66="L5",SUMPRODUCT((P$3:P$107="")*(O$3:O$107="")*(N$3:N$107="")*(M$3:M$107="P")*(G$3:G$107=G66)*(J$3:J$107&lt;J66)*(H$3:H$107&lt;&gt;H66)*(I$3:I$107="P")),-1*SUMPRODUCT((P$3:P$107="")*(O$3:O$107="")*(N$3:N$107="")*(M$3:M$107="P")*(G$3:G$107=G66)*(J$3:J$107&gt;J66)*(H$3:H$107="L5")*(I$3:I$107="P")))+1,"")))))</f>
        <v/>
      </c>
      <c r="B66" s="1" t="str" cm="1">
        <f t="array" ref="B66">IF(P66&lt;&gt;"",SUMPRODUCT((P$3:P$107&lt;&gt;"")*(G$3:G$107=G66)*(J$3:J$107&gt;J66))+1,IF(O66&lt;&gt;"",SUMPRODUCT((O$3:O$107&lt;&gt;"")*(P$3:P$107="")*(G$3:G$107=G66)*(J$3:J$107&gt;J66))+SUMPRODUCT((P$3:P$107&lt;&gt;"")*(G$3:G$107=G66))+1,IF(N66&lt;&gt;"",SUMPRODUCT((N$3:N$107&lt;&gt;"")*(G$3:G$107=G66)*(J$3:J$107&gt;J66))+1,IF(M66="P",SUMPRODUCT((O$3:O$107&lt;&gt;"")*(P$3:P$107="")*(G$3:G$107=G66))+SUMPRODUCT((P$3:P$107&lt;&gt;"")*(G$3:G$107=G66))+SUMPRODUCT((N$3:N$107&lt;&gt;"")*(G$3:G$107=G66))+SUMPRODUCT((P$3:P$107="")*(O$3:O$107="")*(N$3:N$107="")*(M$3:M$107="P")*(G$3:G$107=G66)*(J$3:J$107&gt;J66))+IF(H66="L5",SUMPRODUCT((P$3:P$107="")*(O$3:O$107="")*(N$3:N$107="")*(M$3:M$107="P")*(G$3:G$107=G66)*(J$3:J$107&lt;J66)*(H$3:H$107&lt;&gt;H66)),-1*SUMPRODUCT((P$3:P$107="")*(O$3:O$107="")*(N$3:N$107="")*(M$3:M$107="P")*(G$3:G$107=G66)*(J$3:J$107&gt;J66)*(H$3:H$107="L5")))+1,""))))</f>
        <v/>
      </c>
      <c r="C66" s="36" t="s">
        <v>88</v>
      </c>
      <c r="D66" s="36" t="str">
        <f>IF(E66="","",VLOOKUP(E66,'Coaching Points'!A:B,2,0))</f>
        <v>ON</v>
      </c>
      <c r="E66" s="36" t="s">
        <v>38</v>
      </c>
      <c r="F66" s="35">
        <v>2007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9" t="s">
        <v>67</v>
      </c>
      <c r="I66" s="43"/>
      <c r="J66" s="4">
        <f>R66+S66+IF(OR(H66="Junior",H66="Senior"),0.0002,IF(OR(H66="L7",H66="L6"),0.0001,0))+IF(G66="17-21",MAX(AA66,AC66,AF66),AE66)*0.0000001</f>
        <v>145.52010927999999</v>
      </c>
      <c r="K66" s="3" t="str">
        <f>IF(G66="Not Age Eligible","",IF(G66="17-21",IF(MAX(T66,V66,Y66,AA66,AC66,AF66)&gt;=LOOKUP(G66,'Qualifying Scores'!$A$4:$A$7,'Qualifying Scores'!$B$4:$B$7),"P",""),IF(MAX(X66-U66,AE66-AB66)&gt;=LOOKUP(G66,'Qualifying Scores'!$A$4:$A$7,'Qualifying Scores'!$B$4:$B$7),"P","")))</f>
        <v/>
      </c>
      <c r="L66" s="3" t="str">
        <f>IF(G66="Not Age Eligible","",IF(G66="17-21",IF(MAX(U66,W66,Z66,AB66,AD66,AG66)&gt;=LOOKUP(G66,'Qualifying Scores'!$A$10:$A$13,'Qualifying Scores'!$B$10:$B$13),"P",""),IF(MAX(W66,AD66)&gt;=LOOKUP(G66,'Qualifying Scores'!$A$10:$A$13,'Qualifying Scores'!$B$10:$B$13),"P","")))</f>
        <v/>
      </c>
      <c r="M66" s="3" t="str">
        <f>IF(G66="Not Age Eligible","",IF(G66="17-21",IF(OR(AND(T66&gt;=LOOKUP(G66,'Qualifying Scores'!$A$4:$A$7,'Qualifying Scores'!$B$4:$B$7),U66&gt;=LOOKUP(G66,'Qualifying Scores'!$A$10:$A$13,'Qualifying Scores'!$B$10:$B$13)),AND(V66&gt;=LOOKUP(G66,'Qualifying Scores'!$A$4:$A$7,'Qualifying Scores'!$B$4:$B$7),W66&gt;=LOOKUP(G66,'Qualifying Scores'!$A$10:$A$13,'Qualifying Scores'!$B$10:$B$13)),AND(Y66&gt;=LOOKUP(G66,'Qualifying Scores'!$A$4:$A$7,'Qualifying Scores'!$B$4:$B$7),Z66&gt;=LOOKUP(G66,'Qualifying Scores'!$A$10:$A$13,'Qualifying Scores'!$B$10:$B$13)),AND(AA66&gt;=LOOKUP(G66,'Qualifying Scores'!$A$4:$A$7,'Qualifying Scores'!$B$4:$B$7),AB66&gt;=LOOKUP(G66,'Qualifying Scores'!$A$10:$A$13,'Qualifying Scores'!$B$10:$B$13)),AND(AC66&gt;=LOOKUP(G66,'Qualifying Scores'!$A$4:$A$7,'Qualifying Scores'!$B$4:$B$7),AD66&gt;=LOOKUP(G66,'Qualifying Scores'!$A$10:$A$13,'Qualifying Scores'!$B$10:$B$13)),AND(AF66&gt;=LOOKUP(G66,'Qualifying Scores'!$A$4:$A$7,'Qualifying Scores'!$B$4:$B$7),AG66&gt;=LOOKUP(G66,'Qualifying Scores'!$A$10:$A$13,'Qualifying Scores'!$B$10:$B$13))),"P",""),IF(OR(AND(X66-U66&gt;=LOOKUP(G66,'Qualifying Scores'!$A$4:$A$7,'Qualifying Scores'!$B$4:$B$7),W66&gt;=LOOKUP(G66,'Qualifying Scores'!$A$10:$A$13,'Qualifying Scores'!$B$10:$B$13)),AND(AE66-AB66&gt;=LOOKUP(G66,'Qualifying Scores'!$A$4:$A$7,'Qualifying Scores'!$B$4:$B$7),AD66&gt;=LOOKUP(G66,'Qualifying Scores'!$A$10:$A$13,'Qualifying Scores'!$B$10:$B$13))),"P","")))</f>
        <v/>
      </c>
      <c r="Q66" s="1" t="str">
        <f>IF(A66&lt;5,IF(_xlfn.MAXIFS(A:A,G:G,G66)&gt;3,5-A66,_xlfn.MAXIFS(A:A,G:G,G66)+1-A66),"")</f>
        <v/>
      </c>
      <c r="R66" s="4">
        <f>IF(G66="17-21",MAX(T66,V66,Y66,AA66,AC66,AF66),MAX(X66,AE66))</f>
        <v>92.8</v>
      </c>
      <c r="S66" s="4">
        <f>IF(G66="17-21",LARGE(CHOOSE({1,2,3,4,5,6},T66,V66,Y66,AA66,AC66,AF66),2),IF(R66=X66,MAX(Y66,AA66,AC66,AF66),IF(R66=AE66,MAX(AF66,T66,V66,Y66),0)))</f>
        <v>52.72</v>
      </c>
      <c r="T66" s="33">
        <v>37.659999999999997</v>
      </c>
      <c r="U66" s="40">
        <v>0</v>
      </c>
      <c r="V66" s="34">
        <v>11.03</v>
      </c>
      <c r="W66" s="40">
        <v>2.9</v>
      </c>
      <c r="X66" s="4">
        <f>IF(H66="Senior",MAX(T66,V66),T66+V66)</f>
        <v>48.69</v>
      </c>
      <c r="Y66" s="34"/>
      <c r="Z66" s="40"/>
      <c r="AA66" s="33">
        <v>41.9</v>
      </c>
      <c r="AB66" s="40">
        <v>0</v>
      </c>
      <c r="AC66" s="34">
        <v>50.9</v>
      </c>
      <c r="AD66" s="40">
        <v>11.5</v>
      </c>
      <c r="AE66" s="4">
        <f>IF(H66="Senior",MAX(AA66,AC66),AA66+AC66)</f>
        <v>92.8</v>
      </c>
      <c r="AF66" s="34">
        <v>52.72</v>
      </c>
      <c r="AG66" s="37">
        <v>11.5</v>
      </c>
    </row>
    <row r="67" spans="1:33" x14ac:dyDescent="0.2">
      <c r="A67" s="1" t="str" cm="1">
        <f t="array" ref="A67">IF(I67="","",IF(P67&lt;&gt;"",SUMPRODUCT((P$3:P$107&lt;&gt;"")*(G$3:G$107=G67)*(J$3:J$107&gt;J67)*(I$3:I$107="P"))+1,IF(O67&lt;&gt;"",SUMPRODUCT((O$3:O$107&lt;&gt;"")*(P$3:P$107="")*(G$3:G$107=G67)*(J$3:J$107&gt;J67)*(I$3:I$107="P"))+SUMPRODUCT((P$3:P$107&lt;&gt;"")*(G$3:G$107=G67)*(I$3:I$107="P"))+1,IF(N67&lt;&gt;"",SUMPRODUCT((N$3:N$107&lt;&gt;"")*(G$3:G$107=G67)*(J$3:J$107&gt;J67)*(I$3:I$107="P"))+1,IF(M67="P",SUMPRODUCT((O$3:O$107&lt;&gt;"")*(P$3:P$107="")*(G$3:G$107=G67)*(I$3:I$107="P"))+SUMPRODUCT((P$3:P$107&lt;&gt;"")*(G$3:G$107=G67)*(I$3:I$107="P"))+SUMPRODUCT((N$3:N$107&lt;&gt;"")*(G$3:G$107=G67)*(I$3:I$107="P"))+SUMPRODUCT((P$3:P$107="")*(O$3:O$107="")*(N$3:N$107="")*(M$3:M$107="P")*(G$3:G$107=G67)*(J$3:J$107&gt;J67)*(I$3:I$107="P"))+IF(H67="L5",SUMPRODUCT((P$3:P$107="")*(O$3:O$107="")*(N$3:N$107="")*(M$3:M$107="P")*(G$3:G$107=G67)*(J$3:J$107&lt;J67)*(H$3:H$107&lt;&gt;H67)*(I$3:I$107="P")),-1*SUMPRODUCT((P$3:P$107="")*(O$3:O$107="")*(N$3:N$107="")*(M$3:M$107="P")*(G$3:G$107=G67)*(J$3:J$107&gt;J67)*(H$3:H$107="L5")*(I$3:I$107="P")))+1,"")))))</f>
        <v/>
      </c>
      <c r="B67" s="1" t="str" cm="1">
        <f t="array" ref="B67">IF(P67&lt;&gt;"",SUMPRODUCT((P$3:P$107&lt;&gt;"")*(G$3:G$107=G67)*(J$3:J$107&gt;J67))+1,IF(O67&lt;&gt;"",SUMPRODUCT((O$3:O$107&lt;&gt;"")*(P$3:P$107="")*(G$3:G$107=G67)*(J$3:J$107&gt;J67))+SUMPRODUCT((P$3:P$107&lt;&gt;"")*(G$3:G$107=G67))+1,IF(N67&lt;&gt;"",SUMPRODUCT((N$3:N$107&lt;&gt;"")*(G$3:G$107=G67)*(J$3:J$107&gt;J67))+1,IF(M67="P",SUMPRODUCT((O$3:O$107&lt;&gt;"")*(P$3:P$107="")*(G$3:G$107=G67))+SUMPRODUCT((P$3:P$107&lt;&gt;"")*(G$3:G$107=G67))+SUMPRODUCT((N$3:N$107&lt;&gt;"")*(G$3:G$107=G67))+SUMPRODUCT((P$3:P$107="")*(O$3:O$107="")*(N$3:N$107="")*(M$3:M$107="P")*(G$3:G$107=G67)*(J$3:J$107&gt;J67))+IF(H67="L5",SUMPRODUCT((P$3:P$107="")*(O$3:O$107="")*(N$3:N$107="")*(M$3:M$107="P")*(G$3:G$107=G67)*(J$3:J$107&lt;J67)*(H$3:H$107&lt;&gt;H67)),-1*SUMPRODUCT((P$3:P$107="")*(O$3:O$107="")*(N$3:N$107="")*(M$3:M$107="P")*(G$3:G$107=G67)*(J$3:J$107&gt;J67)*(H$3:H$107="L5")))+1,""))))</f>
        <v/>
      </c>
      <c r="C67" s="36" t="s">
        <v>76</v>
      </c>
      <c r="D67" s="36" t="str">
        <f>IF(E67="","",VLOOKUP(E67,'Coaching Points'!A:B,2,0))</f>
        <v>QC</v>
      </c>
      <c r="E67" s="36" t="s">
        <v>77</v>
      </c>
      <c r="F67" s="35">
        <v>2008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9" t="s">
        <v>65</v>
      </c>
      <c r="I67" s="43" t="s">
        <v>567</v>
      </c>
      <c r="J67" s="4">
        <f>R67+S67+IF(OR(H67="Junior",H67="Senior"),0.0002,IF(OR(H67="L7",H67="L6"),0.0001,0))+IF(G67="17-21",MAX(AA67,AC67,AF67),AE67)*0.0000001</f>
        <v>144.28020951100001</v>
      </c>
      <c r="K67" s="3" t="str">
        <f>IF(G67="Not Age Eligible","",IF(G67="17-21",IF(MAX(T67,V67,Y67,AA67,AC67,AF67)&gt;=LOOKUP(G67,'Qualifying Scores'!$A$4:$A$7,'Qualifying Scores'!$B$4:$B$7),"P",""),IF(MAX(X67-U67,AE67-AB67)&gt;=LOOKUP(G67,'Qualifying Scores'!$A$4:$A$7,'Qualifying Scores'!$B$4:$B$7),"P","")))</f>
        <v>P</v>
      </c>
      <c r="L67" s="3" t="str">
        <f>IF(G67="Not Age Eligible","",IF(G67="17-21",IF(MAX(U67,W67,Z67,AB67,AD67,AG67)&gt;=LOOKUP(G67,'Qualifying Scores'!$A$10:$A$13,'Qualifying Scores'!$B$10:$B$13),"P",""),IF(MAX(W67,AD67)&gt;=LOOKUP(G67,'Qualifying Scores'!$A$10:$A$13,'Qualifying Scores'!$B$10:$B$13),"P","")))</f>
        <v/>
      </c>
      <c r="M67" s="3" t="str">
        <f>IF(G67="Not Age Eligible","",IF(G67="17-21",IF(OR(AND(T67&gt;=LOOKUP(G67,'Qualifying Scores'!$A$4:$A$7,'Qualifying Scores'!$B$4:$B$7),U67&gt;=LOOKUP(G67,'Qualifying Scores'!$A$10:$A$13,'Qualifying Scores'!$B$10:$B$13)),AND(V67&gt;=LOOKUP(G67,'Qualifying Scores'!$A$4:$A$7,'Qualifying Scores'!$B$4:$B$7),W67&gt;=LOOKUP(G67,'Qualifying Scores'!$A$10:$A$13,'Qualifying Scores'!$B$10:$B$13)),AND(Y67&gt;=LOOKUP(G67,'Qualifying Scores'!$A$4:$A$7,'Qualifying Scores'!$B$4:$B$7),Z67&gt;=LOOKUP(G67,'Qualifying Scores'!$A$10:$A$13,'Qualifying Scores'!$B$10:$B$13)),AND(AA67&gt;=LOOKUP(G67,'Qualifying Scores'!$A$4:$A$7,'Qualifying Scores'!$B$4:$B$7),AB67&gt;=LOOKUP(G67,'Qualifying Scores'!$A$10:$A$13,'Qualifying Scores'!$B$10:$B$13)),AND(AC67&gt;=LOOKUP(G67,'Qualifying Scores'!$A$4:$A$7,'Qualifying Scores'!$B$4:$B$7),AD67&gt;=LOOKUP(G67,'Qualifying Scores'!$A$10:$A$13,'Qualifying Scores'!$B$10:$B$13)),AND(AF67&gt;=LOOKUP(G67,'Qualifying Scores'!$A$4:$A$7,'Qualifying Scores'!$B$4:$B$7),AG67&gt;=LOOKUP(G67,'Qualifying Scores'!$A$10:$A$13,'Qualifying Scores'!$B$10:$B$13))),"P",""),IF(OR(AND(X67-U67&gt;=LOOKUP(G67,'Qualifying Scores'!$A$4:$A$7,'Qualifying Scores'!$B$4:$B$7),W67&gt;=LOOKUP(G67,'Qualifying Scores'!$A$10:$A$13,'Qualifying Scores'!$B$10:$B$13)),AND(AE67-AB67&gt;=LOOKUP(G67,'Qualifying Scores'!$A$4:$A$7,'Qualifying Scores'!$B$4:$B$7),AD67&gt;=LOOKUP(G67,'Qualifying Scores'!$A$10:$A$13,'Qualifying Scores'!$B$10:$B$13))),"P","")))</f>
        <v/>
      </c>
      <c r="Q67" s="1" t="str">
        <f>IF(A67&lt;5,IF(_xlfn.MAXIFS(A:A,G:G,G67)&gt;3,5-A67,_xlfn.MAXIFS(A:A,G:G,G67)+1-A67),"")</f>
        <v/>
      </c>
      <c r="R67" s="4">
        <f>IF(G67="17-21",MAX(T67,V67,Y67,AA67,AC67,AF67),MAX(X67,AE67))</f>
        <v>95.11</v>
      </c>
      <c r="S67" s="4">
        <f>IF(G67="17-21",LARGE(CHOOSE({1,2,3,4,5,6},T67,V67,Y67,AA67,AC67,AF67),2),IF(R67=X67,MAX(Y67,AA67,AC67,AF67),IF(R67=AE67,MAX(AF67,T67,V67,Y67),0)))</f>
        <v>49.17</v>
      </c>
      <c r="T67" s="33">
        <v>42.44</v>
      </c>
      <c r="U67" s="40">
        <v>0</v>
      </c>
      <c r="V67" s="34">
        <v>49.17</v>
      </c>
      <c r="W67" s="40">
        <v>10.3</v>
      </c>
      <c r="X67" s="4">
        <f>IF(H67="Senior",MAX(T67,V67),T67+V67)</f>
        <v>91.61</v>
      </c>
      <c r="Y67" s="34">
        <v>44.97</v>
      </c>
      <c r="Z67" s="40">
        <v>8.1</v>
      </c>
      <c r="AA67" s="33">
        <v>43.57</v>
      </c>
      <c r="AB67" s="40">
        <v>0</v>
      </c>
      <c r="AC67" s="34">
        <v>51.54</v>
      </c>
      <c r="AD67" s="40">
        <v>12.1</v>
      </c>
      <c r="AE67" s="4">
        <f>IF(H67="Senior",MAX(AA67,AC67),AA67+AC67)</f>
        <v>95.11</v>
      </c>
      <c r="AF67" s="34">
        <v>42.16</v>
      </c>
      <c r="AG67" s="37">
        <v>9.6</v>
      </c>
    </row>
    <row r="68" spans="1:33" x14ac:dyDescent="0.2">
      <c r="A68" s="1" t="str" cm="1">
        <f t="array" ref="A68">IF(I68="","",IF(P68&lt;&gt;"",SUMPRODUCT((P$3:P$107&lt;&gt;"")*(G$3:G$107=G68)*(J$3:J$107&gt;J68)*(I$3:I$107="P"))+1,IF(O68&lt;&gt;"",SUMPRODUCT((O$3:O$107&lt;&gt;"")*(P$3:P$107="")*(G$3:G$107=G68)*(J$3:J$107&gt;J68)*(I$3:I$107="P"))+SUMPRODUCT((P$3:P$107&lt;&gt;"")*(G$3:G$107=G68)*(I$3:I$107="P"))+1,IF(N68&lt;&gt;"",SUMPRODUCT((N$3:N$107&lt;&gt;"")*(G$3:G$107=G68)*(J$3:J$107&gt;J68)*(I$3:I$107="P"))+1,IF(M68="P",SUMPRODUCT((O$3:O$107&lt;&gt;"")*(P$3:P$107="")*(G$3:G$107=G68)*(I$3:I$107="P"))+SUMPRODUCT((P$3:P$107&lt;&gt;"")*(G$3:G$107=G68)*(I$3:I$107="P"))+SUMPRODUCT((N$3:N$107&lt;&gt;"")*(G$3:G$107=G68)*(I$3:I$107="P"))+SUMPRODUCT((P$3:P$107="")*(O$3:O$107="")*(N$3:N$107="")*(M$3:M$107="P")*(G$3:G$107=G68)*(J$3:J$107&gt;J68)*(I$3:I$107="P"))+IF(H68="L5",SUMPRODUCT((P$3:P$107="")*(O$3:O$107="")*(N$3:N$107="")*(M$3:M$107="P")*(G$3:G$107=G68)*(J$3:J$107&lt;J68)*(H$3:H$107&lt;&gt;H68)*(I$3:I$107="P")),-1*SUMPRODUCT((P$3:P$107="")*(O$3:O$107="")*(N$3:N$107="")*(M$3:M$107="P")*(G$3:G$107=G68)*(J$3:J$107&gt;J68)*(H$3:H$107="L5")*(I$3:I$107="P")))+1,"")))))</f>
        <v/>
      </c>
      <c r="B68" s="1" t="str" cm="1">
        <f t="array" ref="B68">IF(P68&lt;&gt;"",SUMPRODUCT((P$3:P$107&lt;&gt;"")*(G$3:G$107=G68)*(J$3:J$107&gt;J68))+1,IF(O68&lt;&gt;"",SUMPRODUCT((O$3:O$107&lt;&gt;"")*(P$3:P$107="")*(G$3:G$107=G68)*(J$3:J$107&gt;J68))+SUMPRODUCT((P$3:P$107&lt;&gt;"")*(G$3:G$107=G68))+1,IF(N68&lt;&gt;"",SUMPRODUCT((N$3:N$107&lt;&gt;"")*(G$3:G$107=G68)*(J$3:J$107&gt;J68))+1,IF(M68="P",SUMPRODUCT((O$3:O$107&lt;&gt;"")*(P$3:P$107="")*(G$3:G$107=G68))+SUMPRODUCT((P$3:P$107&lt;&gt;"")*(G$3:G$107=G68))+SUMPRODUCT((N$3:N$107&lt;&gt;"")*(G$3:G$107=G68))+SUMPRODUCT((P$3:P$107="")*(O$3:O$107="")*(N$3:N$107="")*(M$3:M$107="P")*(G$3:G$107=G68)*(J$3:J$107&gt;J68))+IF(H68="L5",SUMPRODUCT((P$3:P$107="")*(O$3:O$107="")*(N$3:N$107="")*(M$3:M$107="P")*(G$3:G$107=G68)*(J$3:J$107&lt;J68)*(H$3:H$107&lt;&gt;H68)),-1*SUMPRODUCT((P$3:P$107="")*(O$3:O$107="")*(N$3:N$107="")*(M$3:M$107="P")*(G$3:G$107=G68)*(J$3:J$107&gt;J68)*(H$3:H$107="L5")))+1,""))))</f>
        <v/>
      </c>
      <c r="C68" s="36" t="s">
        <v>79</v>
      </c>
      <c r="D68" s="36" t="str">
        <f>IF(E68="","",VLOOKUP(E68,'Coaching Points'!A:B,2,0))</f>
        <v>ON</v>
      </c>
      <c r="E68" s="36" t="s">
        <v>47</v>
      </c>
      <c r="F68" s="35">
        <v>2008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9" t="s">
        <v>66</v>
      </c>
      <c r="I68" s="43" t="s">
        <v>567</v>
      </c>
      <c r="J68" s="4">
        <f>R68+S68+IF(OR(H68="Junior",H68="Senior"),0.0002,IF(OR(H68="L7",H68="L6"),0.0001,0))+IF(G68="17-21",MAX(AA68,AC68,AF68),AE68)*0.0000001</f>
        <v>137.26000882299999</v>
      </c>
      <c r="K68" s="3" t="str">
        <f>IF(G68="Not Age Eligible","",IF(G68="17-21",IF(MAX(T68,V68,Y68,AA68,AC68,AF68)&gt;=LOOKUP(G68,'Qualifying Scores'!$A$4:$A$7,'Qualifying Scores'!$B$4:$B$7),"P",""),IF(MAX(X68-U68,AE68-AB68)&gt;=LOOKUP(G68,'Qualifying Scores'!$A$4:$A$7,'Qualifying Scores'!$B$4:$B$7),"P","")))</f>
        <v/>
      </c>
      <c r="L68" s="3" t="str">
        <f>IF(G68="Not Age Eligible","",IF(G68="17-21",IF(MAX(U68,W68,Z68,AB68,AD68,AG68)&gt;=LOOKUP(G68,'Qualifying Scores'!$A$10:$A$13,'Qualifying Scores'!$B$10:$B$13),"P",""),IF(MAX(W68,AD68)&gt;=LOOKUP(G68,'Qualifying Scores'!$A$10:$A$13,'Qualifying Scores'!$B$10:$B$13),"P","")))</f>
        <v/>
      </c>
      <c r="M68" s="3" t="str">
        <f>IF(G68="Not Age Eligible","",IF(G68="17-21",IF(OR(AND(T68&gt;=LOOKUP(G68,'Qualifying Scores'!$A$4:$A$7,'Qualifying Scores'!$B$4:$B$7),U68&gt;=LOOKUP(G68,'Qualifying Scores'!$A$10:$A$13,'Qualifying Scores'!$B$10:$B$13)),AND(V68&gt;=LOOKUP(G68,'Qualifying Scores'!$A$4:$A$7,'Qualifying Scores'!$B$4:$B$7),W68&gt;=LOOKUP(G68,'Qualifying Scores'!$A$10:$A$13,'Qualifying Scores'!$B$10:$B$13)),AND(Y68&gt;=LOOKUP(G68,'Qualifying Scores'!$A$4:$A$7,'Qualifying Scores'!$B$4:$B$7),Z68&gt;=LOOKUP(G68,'Qualifying Scores'!$A$10:$A$13,'Qualifying Scores'!$B$10:$B$13)),AND(AA68&gt;=LOOKUP(G68,'Qualifying Scores'!$A$4:$A$7,'Qualifying Scores'!$B$4:$B$7),AB68&gt;=LOOKUP(G68,'Qualifying Scores'!$A$10:$A$13,'Qualifying Scores'!$B$10:$B$13)),AND(AC68&gt;=LOOKUP(G68,'Qualifying Scores'!$A$4:$A$7,'Qualifying Scores'!$B$4:$B$7),AD68&gt;=LOOKUP(G68,'Qualifying Scores'!$A$10:$A$13,'Qualifying Scores'!$B$10:$B$13)),AND(AF68&gt;=LOOKUP(G68,'Qualifying Scores'!$A$4:$A$7,'Qualifying Scores'!$B$4:$B$7),AG68&gt;=LOOKUP(G68,'Qualifying Scores'!$A$10:$A$13,'Qualifying Scores'!$B$10:$B$13))),"P",""),IF(OR(AND(X68-U68&gt;=LOOKUP(G68,'Qualifying Scores'!$A$4:$A$7,'Qualifying Scores'!$B$4:$B$7),W68&gt;=LOOKUP(G68,'Qualifying Scores'!$A$10:$A$13,'Qualifying Scores'!$B$10:$B$13)),AND(AE68-AB68&gt;=LOOKUP(G68,'Qualifying Scores'!$A$4:$A$7,'Qualifying Scores'!$B$4:$B$7),AD68&gt;=LOOKUP(G68,'Qualifying Scores'!$A$10:$A$13,'Qualifying Scores'!$B$10:$B$13))),"P","")))</f>
        <v/>
      </c>
      <c r="Q68" s="1" t="str">
        <f>IF(A68&lt;5,IF(_xlfn.MAXIFS(A:A,G:G,G68)&gt;3,5-A68,_xlfn.MAXIFS(A:A,G:G,G68)+1-A68),"")</f>
        <v/>
      </c>
      <c r="R68" s="4">
        <f>IF(G68="17-21",MAX(T68,V68,Y68,AA68,AC68,AF68),MAX(X68,AE68))</f>
        <v>88.23</v>
      </c>
      <c r="S68" s="4">
        <f>IF(G68="17-21",LARGE(CHOOSE({1,2,3,4,5,6},T68,V68,Y68,AA68,AC68,AF68),2),IF(R68=X68,MAX(Y68,AA68,AC68,AF68),IF(R68=AE68,MAX(AF68,T68,V68,Y68),0)))</f>
        <v>49.03</v>
      </c>
      <c r="T68" s="33">
        <v>38.99</v>
      </c>
      <c r="U68" s="40">
        <v>0</v>
      </c>
      <c r="V68" s="34">
        <v>46.53</v>
      </c>
      <c r="W68" s="40">
        <v>9</v>
      </c>
      <c r="X68" s="4">
        <f>IF(H68="Senior",MAX(T68,V68),T68+V68)</f>
        <v>85.52000000000001</v>
      </c>
      <c r="Y68" s="34">
        <v>47.13</v>
      </c>
      <c r="Z68" s="40">
        <v>9.1</v>
      </c>
      <c r="AA68" s="33">
        <v>40.85</v>
      </c>
      <c r="AB68" s="40">
        <v>0</v>
      </c>
      <c r="AC68" s="34">
        <v>47.38</v>
      </c>
      <c r="AD68" s="40">
        <v>9.1</v>
      </c>
      <c r="AE68" s="4">
        <f>IF(H68="Senior",MAX(AA68,AC68),AA68+AC68)</f>
        <v>88.23</v>
      </c>
      <c r="AF68" s="34">
        <v>49.03</v>
      </c>
      <c r="AG68" s="37">
        <v>9.8000000000000007</v>
      </c>
    </row>
    <row r="69" spans="1:33" x14ac:dyDescent="0.2">
      <c r="A69" s="1" t="str" cm="1">
        <f t="array" ref="A69">IF(I69="","",IF(P69&lt;&gt;"",SUMPRODUCT((P$3:P$107&lt;&gt;"")*(G$3:G$107=G69)*(J$3:J$107&gt;J69)*(I$3:I$107="P"))+1,IF(O69&lt;&gt;"",SUMPRODUCT((O$3:O$107&lt;&gt;"")*(P$3:P$107="")*(G$3:G$107=G69)*(J$3:J$107&gt;J69)*(I$3:I$107="P"))+SUMPRODUCT((P$3:P$107&lt;&gt;"")*(G$3:G$107=G69)*(I$3:I$107="P"))+1,IF(N69&lt;&gt;"",SUMPRODUCT((N$3:N$107&lt;&gt;"")*(G$3:G$107=G69)*(J$3:J$107&gt;J69)*(I$3:I$107="P"))+1,IF(M69="P",SUMPRODUCT((O$3:O$107&lt;&gt;"")*(P$3:P$107="")*(G$3:G$107=G69)*(I$3:I$107="P"))+SUMPRODUCT((P$3:P$107&lt;&gt;"")*(G$3:G$107=G69)*(I$3:I$107="P"))+SUMPRODUCT((N$3:N$107&lt;&gt;"")*(G$3:G$107=G69)*(I$3:I$107="P"))+SUMPRODUCT((P$3:P$107="")*(O$3:O$107="")*(N$3:N$107="")*(M$3:M$107="P")*(G$3:G$107=G69)*(J$3:J$107&gt;J69)*(I$3:I$107="P"))+IF(H69="L5",SUMPRODUCT((P$3:P$107="")*(O$3:O$107="")*(N$3:N$107="")*(M$3:M$107="P")*(G$3:G$107=G69)*(J$3:J$107&lt;J69)*(H$3:H$107&lt;&gt;H69)*(I$3:I$107="P")),-1*SUMPRODUCT((P$3:P$107="")*(O$3:O$107="")*(N$3:N$107="")*(M$3:M$107="P")*(G$3:G$107=G69)*(J$3:J$107&gt;J69)*(H$3:H$107="L5")*(I$3:I$107="P")))+1,"")))))</f>
        <v/>
      </c>
      <c r="B69" s="1" t="str" cm="1">
        <f t="array" ref="B69">IF(P69&lt;&gt;"",SUMPRODUCT((P$3:P$107&lt;&gt;"")*(G$3:G$107=G69)*(J$3:J$107&gt;J69))+1,IF(O69&lt;&gt;"",SUMPRODUCT((O$3:O$107&lt;&gt;"")*(P$3:P$107="")*(G$3:G$107=G69)*(J$3:J$107&gt;J69))+SUMPRODUCT((P$3:P$107&lt;&gt;"")*(G$3:G$107=G69))+1,IF(N69&lt;&gt;"",SUMPRODUCT((N$3:N$107&lt;&gt;"")*(G$3:G$107=G69)*(J$3:J$107&gt;J69))+1,IF(M69="P",SUMPRODUCT((O$3:O$107&lt;&gt;"")*(P$3:P$107="")*(G$3:G$107=G69))+SUMPRODUCT((P$3:P$107&lt;&gt;"")*(G$3:G$107=G69))+SUMPRODUCT((N$3:N$107&lt;&gt;"")*(G$3:G$107=G69))+SUMPRODUCT((P$3:P$107="")*(O$3:O$107="")*(N$3:N$107="")*(M$3:M$107="P")*(G$3:G$107=G69)*(J$3:J$107&gt;J69))+IF(H69="L5",SUMPRODUCT((P$3:P$107="")*(O$3:O$107="")*(N$3:N$107="")*(M$3:M$107="P")*(G$3:G$107=G69)*(J$3:J$107&lt;J69)*(H$3:H$107&lt;&gt;H69)),-1*SUMPRODUCT((P$3:P$107="")*(O$3:O$107="")*(N$3:N$107="")*(M$3:M$107="P")*(G$3:G$107=G69)*(J$3:J$107&gt;J69)*(H$3:H$107="L5")))+1,""))))</f>
        <v/>
      </c>
      <c r="C69" s="36" t="s">
        <v>102</v>
      </c>
      <c r="D69" s="36" t="str">
        <f>IF(E69="","",VLOOKUP(E69,'Coaching Points'!A:B,2,0))</f>
        <v>BC</v>
      </c>
      <c r="E69" s="36" t="s">
        <v>62</v>
      </c>
      <c r="F69" s="35">
        <v>2007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9" t="s">
        <v>67</v>
      </c>
      <c r="I69" s="43" t="s">
        <v>567</v>
      </c>
      <c r="J69" s="4">
        <f>R69+S69+IF(OR(H69="Junior",H69="Senior"),0.0002,IF(OR(H69="L7",H69="L6"),0.0001,0))+IF(G69="17-21",MAX(AA69,AC69,AF69),AE69)*0.0000001</f>
        <v>137.05010904600002</v>
      </c>
      <c r="K69" s="3" t="str">
        <f>IF(G69="Not Age Eligible","",IF(G69="17-21",IF(MAX(T69,V69,Y69,AA69,AC69,AF69)&gt;=LOOKUP(G69,'Qualifying Scores'!$A$4:$A$7,'Qualifying Scores'!$B$4:$B$7),"P",""),IF(MAX(X69-U69,AE69-AB69)&gt;=LOOKUP(G69,'Qualifying Scores'!$A$4:$A$7,'Qualifying Scores'!$B$4:$B$7),"P","")))</f>
        <v/>
      </c>
      <c r="L69" s="3" t="str">
        <f>IF(G69="Not Age Eligible","",IF(G69="17-21",IF(MAX(U69,W69,Z69,AB69,AD69,AG69)&gt;=LOOKUP(G69,'Qualifying Scores'!$A$10:$A$13,'Qualifying Scores'!$B$10:$B$13),"P",""),IF(MAX(W69,AD69)&gt;=LOOKUP(G69,'Qualifying Scores'!$A$10:$A$13,'Qualifying Scores'!$B$10:$B$13),"P","")))</f>
        <v/>
      </c>
      <c r="M69" s="3" t="str">
        <f>IF(G69="Not Age Eligible","",IF(G69="17-21",IF(OR(AND(T69&gt;=LOOKUP(G69,'Qualifying Scores'!$A$4:$A$7,'Qualifying Scores'!$B$4:$B$7),U69&gt;=LOOKUP(G69,'Qualifying Scores'!$A$10:$A$13,'Qualifying Scores'!$B$10:$B$13)),AND(V69&gt;=LOOKUP(G69,'Qualifying Scores'!$A$4:$A$7,'Qualifying Scores'!$B$4:$B$7),W69&gt;=LOOKUP(G69,'Qualifying Scores'!$A$10:$A$13,'Qualifying Scores'!$B$10:$B$13)),AND(Y69&gt;=LOOKUP(G69,'Qualifying Scores'!$A$4:$A$7,'Qualifying Scores'!$B$4:$B$7),Z69&gt;=LOOKUP(G69,'Qualifying Scores'!$A$10:$A$13,'Qualifying Scores'!$B$10:$B$13)),AND(AA69&gt;=LOOKUP(G69,'Qualifying Scores'!$A$4:$A$7,'Qualifying Scores'!$B$4:$B$7),AB69&gt;=LOOKUP(G69,'Qualifying Scores'!$A$10:$A$13,'Qualifying Scores'!$B$10:$B$13)),AND(AC69&gt;=LOOKUP(G69,'Qualifying Scores'!$A$4:$A$7,'Qualifying Scores'!$B$4:$B$7),AD69&gt;=LOOKUP(G69,'Qualifying Scores'!$A$10:$A$13,'Qualifying Scores'!$B$10:$B$13)),AND(AF69&gt;=LOOKUP(G69,'Qualifying Scores'!$A$4:$A$7,'Qualifying Scores'!$B$4:$B$7),AG69&gt;=LOOKUP(G69,'Qualifying Scores'!$A$10:$A$13,'Qualifying Scores'!$B$10:$B$13))),"P",""),IF(OR(AND(X69-U69&gt;=LOOKUP(G69,'Qualifying Scores'!$A$4:$A$7,'Qualifying Scores'!$B$4:$B$7),W69&gt;=LOOKUP(G69,'Qualifying Scores'!$A$10:$A$13,'Qualifying Scores'!$B$10:$B$13)),AND(AE69-AB69&gt;=LOOKUP(G69,'Qualifying Scores'!$A$4:$A$7,'Qualifying Scores'!$B$4:$B$7),AD69&gt;=LOOKUP(G69,'Qualifying Scores'!$A$10:$A$13,'Qualifying Scores'!$B$10:$B$13))),"P","")))</f>
        <v/>
      </c>
      <c r="Q69" s="1" t="str">
        <f>IF(A69&lt;5,IF(_xlfn.MAXIFS(A:A,G:G,G69)&gt;3,5-A69,_xlfn.MAXIFS(A:A,G:G,G69)+1-A69),"")</f>
        <v/>
      </c>
      <c r="R69" s="4">
        <f>IF(G69="17-21",MAX(T69,V69,Y69,AA69,AC69,AF69),MAX(X69,AE69))</f>
        <v>90.46</v>
      </c>
      <c r="S69" s="4">
        <f>IF(G69="17-21",LARGE(CHOOSE({1,2,3,4,5,6},T69,V69,Y69,AA69,AC69,AF69),2),IF(R69=X69,MAX(Y69,AA69,AC69,AF69),IF(R69=AE69,MAX(AF69,T69,V69,Y69),0)))</f>
        <v>46.59</v>
      </c>
      <c r="T69" s="33">
        <v>42.4</v>
      </c>
      <c r="U69" s="40">
        <v>0</v>
      </c>
      <c r="V69" s="34">
        <v>15.05</v>
      </c>
      <c r="W69" s="40">
        <v>4.2</v>
      </c>
      <c r="X69" s="4">
        <f>IF(H69="Senior",MAX(T69,V69),T69+V69)</f>
        <v>57.45</v>
      </c>
      <c r="Y69" s="34">
        <v>25.69</v>
      </c>
      <c r="Z69" s="40">
        <v>6.2</v>
      </c>
      <c r="AA69" s="33">
        <v>42.23</v>
      </c>
      <c r="AB69" s="40">
        <v>0</v>
      </c>
      <c r="AC69" s="34">
        <v>48.23</v>
      </c>
      <c r="AD69" s="40">
        <v>10</v>
      </c>
      <c r="AE69" s="4">
        <f>IF(H69="Senior",MAX(AA69,AC69),AA69+AC69)</f>
        <v>90.46</v>
      </c>
      <c r="AF69" s="34">
        <v>46.59</v>
      </c>
      <c r="AG69" s="37">
        <v>10.199999999999999</v>
      </c>
    </row>
    <row r="70" spans="1:33" x14ac:dyDescent="0.2">
      <c r="A70" s="1" t="str" cm="1">
        <f t="array" ref="A70">IF(I70="","",IF(P70&lt;&gt;"",SUMPRODUCT((P$3:P$107&lt;&gt;"")*(G$3:G$107=G70)*(J$3:J$107&gt;J70)*(I$3:I$107="P"))+1,IF(O70&lt;&gt;"",SUMPRODUCT((O$3:O$107&lt;&gt;"")*(P$3:P$107="")*(G$3:G$107=G70)*(J$3:J$107&gt;J70)*(I$3:I$107="P"))+SUMPRODUCT((P$3:P$107&lt;&gt;"")*(G$3:G$107=G70)*(I$3:I$107="P"))+1,IF(N70&lt;&gt;"",SUMPRODUCT((N$3:N$107&lt;&gt;"")*(G$3:G$107=G70)*(J$3:J$107&gt;J70)*(I$3:I$107="P"))+1,IF(M70="P",SUMPRODUCT((O$3:O$107&lt;&gt;"")*(P$3:P$107="")*(G$3:G$107=G70)*(I$3:I$107="P"))+SUMPRODUCT((P$3:P$107&lt;&gt;"")*(G$3:G$107=G70)*(I$3:I$107="P"))+SUMPRODUCT((N$3:N$107&lt;&gt;"")*(G$3:G$107=G70)*(I$3:I$107="P"))+SUMPRODUCT((P$3:P$107="")*(O$3:O$107="")*(N$3:N$107="")*(M$3:M$107="P")*(G$3:G$107=G70)*(J$3:J$107&gt;J70)*(I$3:I$107="P"))+IF(H70="L5",SUMPRODUCT((P$3:P$107="")*(O$3:O$107="")*(N$3:N$107="")*(M$3:M$107="P")*(G$3:G$107=G70)*(J$3:J$107&lt;J70)*(H$3:H$107&lt;&gt;H70)*(I$3:I$107="P")),-1*SUMPRODUCT((P$3:P$107="")*(O$3:O$107="")*(N$3:N$107="")*(M$3:M$107="P")*(G$3:G$107=G70)*(J$3:J$107&gt;J70)*(H$3:H$107="L5")*(I$3:I$107="P")))+1,"")))))</f>
        <v/>
      </c>
      <c r="B70" s="1" t="str" cm="1">
        <f t="array" ref="B70">IF(P70&lt;&gt;"",SUMPRODUCT((P$3:P$107&lt;&gt;"")*(G$3:G$107=G70)*(J$3:J$107&gt;J70))+1,IF(O70&lt;&gt;"",SUMPRODUCT((O$3:O$107&lt;&gt;"")*(P$3:P$107="")*(G$3:G$107=G70)*(J$3:J$107&gt;J70))+SUMPRODUCT((P$3:P$107&lt;&gt;"")*(G$3:G$107=G70))+1,IF(N70&lt;&gt;"",SUMPRODUCT((N$3:N$107&lt;&gt;"")*(G$3:G$107=G70)*(J$3:J$107&gt;J70))+1,IF(M70="P",SUMPRODUCT((O$3:O$107&lt;&gt;"")*(P$3:P$107="")*(G$3:G$107=G70))+SUMPRODUCT((P$3:P$107&lt;&gt;"")*(G$3:G$107=G70))+SUMPRODUCT((N$3:N$107&lt;&gt;"")*(G$3:G$107=G70))+SUMPRODUCT((P$3:P$107="")*(O$3:O$107="")*(N$3:N$107="")*(M$3:M$107="P")*(G$3:G$107=G70)*(J$3:J$107&gt;J70))+IF(H70="L5",SUMPRODUCT((P$3:P$107="")*(O$3:O$107="")*(N$3:N$107="")*(M$3:M$107="P")*(G$3:G$107=G70)*(J$3:J$107&lt;J70)*(H$3:H$107&lt;&gt;H70)),-1*SUMPRODUCT((P$3:P$107="")*(O$3:O$107="")*(N$3:N$107="")*(M$3:M$107="P")*(G$3:G$107=G70)*(J$3:J$107&gt;J70)*(H$3:H$107="L5")))+1,""))))</f>
        <v/>
      </c>
      <c r="C70" s="36" t="s">
        <v>81</v>
      </c>
      <c r="D70" s="36" t="str">
        <f>IF(E70="","",VLOOKUP(E70,'Coaching Points'!A:B,2,0))</f>
        <v>ON</v>
      </c>
      <c r="E70" s="36" t="s">
        <v>47</v>
      </c>
      <c r="F70" s="35">
        <v>2008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9" t="s">
        <v>66</v>
      </c>
      <c r="I70" s="43" t="s">
        <v>567</v>
      </c>
      <c r="J70" s="4">
        <f>R70+S70+IF(OR(H70="Junior",H70="Senior"),0.0002,IF(OR(H70="L7",H70="L6"),0.0001,0))+IF(G70="17-21",MAX(AA70,AC70,AF70),AE70)*0.0000001</f>
        <v>136.06000888299999</v>
      </c>
      <c r="K70" s="3" t="str">
        <f>IF(G70="Not Age Eligible","",IF(G70="17-21",IF(MAX(T70,V70,Y70,AA70,AC70,AF70)&gt;=LOOKUP(G70,'Qualifying Scores'!$A$4:$A$7,'Qualifying Scores'!$B$4:$B$7),"P",""),IF(MAX(X70-U70,AE70-AB70)&gt;=LOOKUP(G70,'Qualifying Scores'!$A$4:$A$7,'Qualifying Scores'!$B$4:$B$7),"P","")))</f>
        <v/>
      </c>
      <c r="L70" s="3" t="str">
        <f>IF(G70="Not Age Eligible","",IF(G70="17-21",IF(MAX(U70,W70,Z70,AB70,AD70,AG70)&gt;=LOOKUP(G70,'Qualifying Scores'!$A$10:$A$13,'Qualifying Scores'!$B$10:$B$13),"P",""),IF(MAX(W70,AD70)&gt;=LOOKUP(G70,'Qualifying Scores'!$A$10:$A$13,'Qualifying Scores'!$B$10:$B$13),"P","")))</f>
        <v/>
      </c>
      <c r="M70" s="3" t="str">
        <f>IF(G70="Not Age Eligible","",IF(G70="17-21",IF(OR(AND(T70&gt;=LOOKUP(G70,'Qualifying Scores'!$A$4:$A$7,'Qualifying Scores'!$B$4:$B$7),U70&gt;=LOOKUP(G70,'Qualifying Scores'!$A$10:$A$13,'Qualifying Scores'!$B$10:$B$13)),AND(V70&gt;=LOOKUP(G70,'Qualifying Scores'!$A$4:$A$7,'Qualifying Scores'!$B$4:$B$7),W70&gt;=LOOKUP(G70,'Qualifying Scores'!$A$10:$A$13,'Qualifying Scores'!$B$10:$B$13)),AND(Y70&gt;=LOOKUP(G70,'Qualifying Scores'!$A$4:$A$7,'Qualifying Scores'!$B$4:$B$7),Z70&gt;=LOOKUP(G70,'Qualifying Scores'!$A$10:$A$13,'Qualifying Scores'!$B$10:$B$13)),AND(AA70&gt;=LOOKUP(G70,'Qualifying Scores'!$A$4:$A$7,'Qualifying Scores'!$B$4:$B$7),AB70&gt;=LOOKUP(G70,'Qualifying Scores'!$A$10:$A$13,'Qualifying Scores'!$B$10:$B$13)),AND(AC70&gt;=LOOKUP(G70,'Qualifying Scores'!$A$4:$A$7,'Qualifying Scores'!$B$4:$B$7),AD70&gt;=LOOKUP(G70,'Qualifying Scores'!$A$10:$A$13,'Qualifying Scores'!$B$10:$B$13)),AND(AF70&gt;=LOOKUP(G70,'Qualifying Scores'!$A$4:$A$7,'Qualifying Scores'!$B$4:$B$7),AG70&gt;=LOOKUP(G70,'Qualifying Scores'!$A$10:$A$13,'Qualifying Scores'!$B$10:$B$13))),"P",""),IF(OR(AND(X70-U70&gt;=LOOKUP(G70,'Qualifying Scores'!$A$4:$A$7,'Qualifying Scores'!$B$4:$B$7),W70&gt;=LOOKUP(G70,'Qualifying Scores'!$A$10:$A$13,'Qualifying Scores'!$B$10:$B$13)),AND(AE70-AB70&gt;=LOOKUP(G70,'Qualifying Scores'!$A$4:$A$7,'Qualifying Scores'!$B$4:$B$7),AD70&gt;=LOOKUP(G70,'Qualifying Scores'!$A$10:$A$13,'Qualifying Scores'!$B$10:$B$13))),"P","")))</f>
        <v/>
      </c>
      <c r="Q70" s="1" t="str">
        <f>IF(A70&lt;5,IF(_xlfn.MAXIFS(A:A,G:G,G70)&gt;3,5-A70,_xlfn.MAXIFS(A:A,G:G,G70)+1-A70),"")</f>
        <v/>
      </c>
      <c r="R70" s="4">
        <f>IF(G70="17-21",MAX(T70,V70,Y70,AA70,AC70,AF70),MAX(X70,AE70))</f>
        <v>88.83</v>
      </c>
      <c r="S70" s="4">
        <f>IF(G70="17-21",LARGE(CHOOSE({1,2,3,4,5,6},T70,V70,Y70,AA70,AC70,AF70),2),IF(R70=X70,MAX(Y70,AA70,AC70,AF70),IF(R70=AE70,MAX(AF70,T70,V70,Y70),0)))</f>
        <v>47.23</v>
      </c>
      <c r="T70" s="33">
        <v>39.99</v>
      </c>
      <c r="U70" s="40">
        <v>0</v>
      </c>
      <c r="V70" s="34">
        <v>46.37</v>
      </c>
      <c r="W70" s="40">
        <v>9.1</v>
      </c>
      <c r="X70" s="4">
        <f>IF(H70="Senior",MAX(T70,V70),T70+V70)</f>
        <v>86.36</v>
      </c>
      <c r="Y70" s="34">
        <v>47.23</v>
      </c>
      <c r="Z70" s="40">
        <v>9.1</v>
      </c>
      <c r="AA70" s="33">
        <v>40.299999999999997</v>
      </c>
      <c r="AB70" s="40">
        <v>0</v>
      </c>
      <c r="AC70" s="34">
        <v>48.53</v>
      </c>
      <c r="AD70" s="40">
        <v>9.3000000000000007</v>
      </c>
      <c r="AE70" s="4">
        <f>IF(H70="Senior",MAX(AA70,AC70),AA70+AC70)</f>
        <v>88.83</v>
      </c>
      <c r="AF70" s="34">
        <v>46.05</v>
      </c>
      <c r="AG70" s="37">
        <v>9.3000000000000007</v>
      </c>
    </row>
    <row r="71" spans="1:33" x14ac:dyDescent="0.2">
      <c r="A71" s="1" t="str" cm="1">
        <f t="array" ref="A71">IF(I71="","",IF(P71&lt;&gt;"",SUMPRODUCT((P$3:P$107&lt;&gt;"")*(G$3:G$107=G71)*(J$3:J$107&gt;J71)*(I$3:I$107="P"))+1,IF(O71&lt;&gt;"",SUMPRODUCT((O$3:O$107&lt;&gt;"")*(P$3:P$107="")*(G$3:G$107=G71)*(J$3:J$107&gt;J71)*(I$3:I$107="P"))+SUMPRODUCT((P$3:P$107&lt;&gt;"")*(G$3:G$107=G71)*(I$3:I$107="P"))+1,IF(N71&lt;&gt;"",SUMPRODUCT((N$3:N$107&lt;&gt;"")*(G$3:G$107=G71)*(J$3:J$107&gt;J71)*(I$3:I$107="P"))+1,IF(M71="P",SUMPRODUCT((O$3:O$107&lt;&gt;"")*(P$3:P$107="")*(G$3:G$107=G71)*(I$3:I$107="P"))+SUMPRODUCT((P$3:P$107&lt;&gt;"")*(G$3:G$107=G71)*(I$3:I$107="P"))+SUMPRODUCT((N$3:N$107&lt;&gt;"")*(G$3:G$107=G71)*(I$3:I$107="P"))+SUMPRODUCT((P$3:P$107="")*(O$3:O$107="")*(N$3:N$107="")*(M$3:M$107="P")*(G$3:G$107=G71)*(J$3:J$107&gt;J71)*(I$3:I$107="P"))+IF(H71="L5",SUMPRODUCT((P$3:P$107="")*(O$3:O$107="")*(N$3:N$107="")*(M$3:M$107="P")*(G$3:G$107=G71)*(J$3:J$107&lt;J71)*(H$3:H$107&lt;&gt;H71)*(I$3:I$107="P")),-1*SUMPRODUCT((P$3:P$107="")*(O$3:O$107="")*(N$3:N$107="")*(M$3:M$107="P")*(G$3:G$107=G71)*(J$3:J$107&gt;J71)*(H$3:H$107="L5")*(I$3:I$107="P")))+1,"")))))</f>
        <v/>
      </c>
      <c r="B71" s="1" t="str" cm="1">
        <f t="array" ref="B71">IF(P71&lt;&gt;"",SUMPRODUCT((P$3:P$107&lt;&gt;"")*(G$3:G$107=G71)*(J$3:J$107&gt;J71))+1,IF(O71&lt;&gt;"",SUMPRODUCT((O$3:O$107&lt;&gt;"")*(P$3:P$107="")*(G$3:G$107=G71)*(J$3:J$107&gt;J71))+SUMPRODUCT((P$3:P$107&lt;&gt;"")*(G$3:G$107=G71))+1,IF(N71&lt;&gt;"",SUMPRODUCT((N$3:N$107&lt;&gt;"")*(G$3:G$107=G71)*(J$3:J$107&gt;J71))+1,IF(M71="P",SUMPRODUCT((O$3:O$107&lt;&gt;"")*(P$3:P$107="")*(G$3:G$107=G71))+SUMPRODUCT((P$3:P$107&lt;&gt;"")*(G$3:G$107=G71))+SUMPRODUCT((N$3:N$107&lt;&gt;"")*(G$3:G$107=G71))+SUMPRODUCT((P$3:P$107="")*(O$3:O$107="")*(N$3:N$107="")*(M$3:M$107="P")*(G$3:G$107=G71)*(J$3:J$107&gt;J71))+IF(H71="L5",SUMPRODUCT((P$3:P$107="")*(O$3:O$107="")*(N$3:N$107="")*(M$3:M$107="P")*(G$3:G$107=G71)*(J$3:J$107&lt;J71)*(H$3:H$107&lt;&gt;H71)),-1*SUMPRODUCT((P$3:P$107="")*(O$3:O$107="")*(N$3:N$107="")*(M$3:M$107="P")*(G$3:G$107=G71)*(J$3:J$107&gt;J71)*(H$3:H$107="L5")))+1,""))))</f>
        <v/>
      </c>
      <c r="C71" s="36" t="s">
        <v>214</v>
      </c>
      <c r="D71" s="36" t="str">
        <f>IF(E71="","",VLOOKUP(E71,'Coaching Points'!A:B,2,0))</f>
        <v>NS</v>
      </c>
      <c r="E71" s="36" t="s">
        <v>134</v>
      </c>
      <c r="F71" s="35">
        <v>2008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9" t="s">
        <v>67</v>
      </c>
      <c r="I71" s="43" t="s">
        <v>567</v>
      </c>
      <c r="J71" s="4">
        <f>R71+S71+IF(OR(H71="Junior",H71="Senior"),0.0002,IF(OR(H71="L7",H71="L6"),0.0001,0))+IF(G71="17-21",MAX(AA71,AC71,AF71),AE71)*0.0000001</f>
        <v>135.78010881500001</v>
      </c>
      <c r="K71" s="3" t="str">
        <f>IF(G71="Not Age Eligible","",IF(G71="17-21",IF(MAX(T71,V71,Y71,AA71,AC71,AF71)&gt;=LOOKUP(G71,'Qualifying Scores'!$A$4:$A$7,'Qualifying Scores'!$B$4:$B$7),"P",""),IF(MAX(X71-U71,AE71-AB71)&gt;=LOOKUP(G71,'Qualifying Scores'!$A$4:$A$7,'Qualifying Scores'!$B$4:$B$7),"P","")))</f>
        <v/>
      </c>
      <c r="L71" s="3" t="str">
        <f>IF(G71="Not Age Eligible","",IF(G71="17-21",IF(MAX(U71,W71,Z71,AB71,AD71,AG71)&gt;=LOOKUP(G71,'Qualifying Scores'!$A$10:$A$13,'Qualifying Scores'!$B$10:$B$13),"P",""),IF(MAX(W71,AD71)&gt;=LOOKUP(G71,'Qualifying Scores'!$A$10:$A$13,'Qualifying Scores'!$B$10:$B$13),"P","")))</f>
        <v/>
      </c>
      <c r="M71" s="3" t="str">
        <f>IF(G71="Not Age Eligible","",IF(G71="17-21",IF(OR(AND(T71&gt;=LOOKUP(G71,'Qualifying Scores'!$A$4:$A$7,'Qualifying Scores'!$B$4:$B$7),U71&gt;=LOOKUP(G71,'Qualifying Scores'!$A$10:$A$13,'Qualifying Scores'!$B$10:$B$13)),AND(V71&gt;=LOOKUP(G71,'Qualifying Scores'!$A$4:$A$7,'Qualifying Scores'!$B$4:$B$7),W71&gt;=LOOKUP(G71,'Qualifying Scores'!$A$10:$A$13,'Qualifying Scores'!$B$10:$B$13)),AND(Y71&gt;=LOOKUP(G71,'Qualifying Scores'!$A$4:$A$7,'Qualifying Scores'!$B$4:$B$7),Z71&gt;=LOOKUP(G71,'Qualifying Scores'!$A$10:$A$13,'Qualifying Scores'!$B$10:$B$13)),AND(AA71&gt;=LOOKUP(G71,'Qualifying Scores'!$A$4:$A$7,'Qualifying Scores'!$B$4:$B$7),AB71&gt;=LOOKUP(G71,'Qualifying Scores'!$A$10:$A$13,'Qualifying Scores'!$B$10:$B$13)),AND(AC71&gt;=LOOKUP(G71,'Qualifying Scores'!$A$4:$A$7,'Qualifying Scores'!$B$4:$B$7),AD71&gt;=LOOKUP(G71,'Qualifying Scores'!$A$10:$A$13,'Qualifying Scores'!$B$10:$B$13)),AND(AF71&gt;=LOOKUP(G71,'Qualifying Scores'!$A$4:$A$7,'Qualifying Scores'!$B$4:$B$7),AG71&gt;=LOOKUP(G71,'Qualifying Scores'!$A$10:$A$13,'Qualifying Scores'!$B$10:$B$13))),"P",""),IF(OR(AND(X71-U71&gt;=LOOKUP(G71,'Qualifying Scores'!$A$4:$A$7,'Qualifying Scores'!$B$4:$B$7),W71&gt;=LOOKUP(G71,'Qualifying Scores'!$A$10:$A$13,'Qualifying Scores'!$B$10:$B$13)),AND(AE71-AB71&gt;=LOOKUP(G71,'Qualifying Scores'!$A$4:$A$7,'Qualifying Scores'!$B$4:$B$7),AD71&gt;=LOOKUP(G71,'Qualifying Scores'!$A$10:$A$13,'Qualifying Scores'!$B$10:$B$13))),"P","")))</f>
        <v/>
      </c>
      <c r="Q71" s="1" t="str">
        <f>IF(A71&lt;5,IF(_xlfn.MAXIFS(A:A,G:G,G71)&gt;3,5-A71,_xlfn.MAXIFS(A:A,G:G,G71)+1-A71),"")</f>
        <v/>
      </c>
      <c r="R71" s="4">
        <f>IF(G71="17-21",MAX(T71,V71,Y71,AA71,AC71,AF71),MAX(X71,AE71))</f>
        <v>88.15</v>
      </c>
      <c r="S71" s="4">
        <f>IF(G71="17-21",LARGE(CHOOSE({1,2,3,4,5,6},T71,V71,Y71,AA71,AC71,AF71),2),IF(R71=X71,MAX(Y71,AA71,AC71,AF71),IF(R71=AE71,MAX(AF71,T71,V71,Y71),0)))</f>
        <v>47.63</v>
      </c>
      <c r="T71" s="33">
        <v>40.31</v>
      </c>
      <c r="U71" s="40">
        <v>0</v>
      </c>
      <c r="V71" s="34">
        <v>47.13</v>
      </c>
      <c r="W71" s="40">
        <v>9</v>
      </c>
      <c r="X71" s="4">
        <f>IF(H71="Senior",MAX(T71,V71),T71+V71)</f>
        <v>87.44</v>
      </c>
      <c r="Y71" s="34">
        <v>47.46</v>
      </c>
      <c r="Z71" s="40">
        <v>9.5</v>
      </c>
      <c r="AA71" s="33">
        <v>39.9</v>
      </c>
      <c r="AB71" s="40">
        <v>0</v>
      </c>
      <c r="AC71" s="34">
        <v>48.25</v>
      </c>
      <c r="AD71" s="40">
        <v>10</v>
      </c>
      <c r="AE71" s="4">
        <f>IF(H71="Senior",MAX(AA71,AC71),AA71+AC71)</f>
        <v>88.15</v>
      </c>
      <c r="AF71" s="34">
        <v>47.63</v>
      </c>
      <c r="AG71" s="37">
        <v>9.6</v>
      </c>
    </row>
    <row r="72" spans="1:33" x14ac:dyDescent="0.2">
      <c r="A72" s="1" t="str" cm="1">
        <f t="array" ref="A72">IF(I72="","",IF(P72&lt;&gt;"",SUMPRODUCT((P$3:P$107&lt;&gt;"")*(G$3:G$107=G72)*(J$3:J$107&gt;J72)*(I$3:I$107="P"))+1,IF(O72&lt;&gt;"",SUMPRODUCT((O$3:O$107&lt;&gt;"")*(P$3:P$107="")*(G$3:G$107=G72)*(J$3:J$107&gt;J72)*(I$3:I$107="P"))+SUMPRODUCT((P$3:P$107&lt;&gt;"")*(G$3:G$107=G72)*(I$3:I$107="P"))+1,IF(N72&lt;&gt;"",SUMPRODUCT((N$3:N$107&lt;&gt;"")*(G$3:G$107=G72)*(J$3:J$107&gt;J72)*(I$3:I$107="P"))+1,IF(M72="P",SUMPRODUCT((O$3:O$107&lt;&gt;"")*(P$3:P$107="")*(G$3:G$107=G72)*(I$3:I$107="P"))+SUMPRODUCT((P$3:P$107&lt;&gt;"")*(G$3:G$107=G72)*(I$3:I$107="P"))+SUMPRODUCT((N$3:N$107&lt;&gt;"")*(G$3:G$107=G72)*(I$3:I$107="P"))+SUMPRODUCT((P$3:P$107="")*(O$3:O$107="")*(N$3:N$107="")*(M$3:M$107="P")*(G$3:G$107=G72)*(J$3:J$107&gt;J72)*(I$3:I$107="P"))+IF(H72="L5",SUMPRODUCT((P$3:P$107="")*(O$3:O$107="")*(N$3:N$107="")*(M$3:M$107="P")*(G$3:G$107=G72)*(J$3:J$107&lt;J72)*(H$3:H$107&lt;&gt;H72)*(I$3:I$107="P")),-1*SUMPRODUCT((P$3:P$107="")*(O$3:O$107="")*(N$3:N$107="")*(M$3:M$107="P")*(G$3:G$107=G72)*(J$3:J$107&gt;J72)*(H$3:H$107="L5")*(I$3:I$107="P")))+1,"")))))</f>
        <v/>
      </c>
      <c r="B72" s="1" t="str" cm="1">
        <f t="array" ref="B72">IF(P72&lt;&gt;"",SUMPRODUCT((P$3:P$107&lt;&gt;"")*(G$3:G$107=G72)*(J$3:J$107&gt;J72))+1,IF(O72&lt;&gt;"",SUMPRODUCT((O$3:O$107&lt;&gt;"")*(P$3:P$107="")*(G$3:G$107=G72)*(J$3:J$107&gt;J72))+SUMPRODUCT((P$3:P$107&lt;&gt;"")*(G$3:G$107=G72))+1,IF(N72&lt;&gt;"",SUMPRODUCT((N$3:N$107&lt;&gt;"")*(G$3:G$107=G72)*(J$3:J$107&gt;J72))+1,IF(M72="P",SUMPRODUCT((O$3:O$107&lt;&gt;"")*(P$3:P$107="")*(G$3:G$107=G72))+SUMPRODUCT((P$3:P$107&lt;&gt;"")*(G$3:G$107=G72))+SUMPRODUCT((N$3:N$107&lt;&gt;"")*(G$3:G$107=G72))+SUMPRODUCT((P$3:P$107="")*(O$3:O$107="")*(N$3:N$107="")*(M$3:M$107="P")*(G$3:G$107=G72)*(J$3:J$107&gt;J72))+IF(H72="L5",SUMPRODUCT((P$3:P$107="")*(O$3:O$107="")*(N$3:N$107="")*(M$3:M$107="P")*(G$3:G$107=G72)*(J$3:J$107&lt;J72)*(H$3:H$107&lt;&gt;H72)),-1*SUMPRODUCT((P$3:P$107="")*(O$3:O$107="")*(N$3:N$107="")*(M$3:M$107="P")*(G$3:G$107=G72)*(J$3:J$107&gt;J72)*(H$3:H$107="L5")))+1,""))))</f>
        <v/>
      </c>
      <c r="C72" s="36" t="s">
        <v>82</v>
      </c>
      <c r="D72" s="36" t="str">
        <f>IF(E72="","",VLOOKUP(E72,'Coaching Points'!A:B,2,0))</f>
        <v>AB</v>
      </c>
      <c r="E72" s="36" t="s">
        <v>64</v>
      </c>
      <c r="F72" s="35">
        <v>2008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9" t="s">
        <v>65</v>
      </c>
      <c r="I72" s="43" t="s">
        <v>567</v>
      </c>
      <c r="J72" s="4">
        <f>R72+S72+IF(OR(H72="Junior",H72="Senior"),0.0002,IF(OR(H72="L7",H72="L6"),0.0001,0))+IF(G72="17-21",MAX(AA72,AC72,AF72),AE72)*0.0000001</f>
        <v>134.82020845700001</v>
      </c>
      <c r="K72" s="3" t="str">
        <f>IF(G72="Not Age Eligible","",IF(G72="17-21",IF(MAX(T72,V72,Y72,AA72,AC72,AF72)&gt;=LOOKUP(G72,'Qualifying Scores'!$A$4:$A$7,'Qualifying Scores'!$B$4:$B$7),"P",""),IF(MAX(X72-U72,AE72-AB72)&gt;=LOOKUP(G72,'Qualifying Scores'!$A$4:$A$7,'Qualifying Scores'!$B$4:$B$7),"P","")))</f>
        <v/>
      </c>
      <c r="L72" s="3" t="str">
        <f>IF(G72="Not Age Eligible","",IF(G72="17-21",IF(MAX(U72,W72,Z72,AB72,AD72,AG72)&gt;=LOOKUP(G72,'Qualifying Scores'!$A$10:$A$13,'Qualifying Scores'!$B$10:$B$13),"P",""),IF(MAX(W72,AD72)&gt;=LOOKUP(G72,'Qualifying Scores'!$A$10:$A$13,'Qualifying Scores'!$B$10:$B$13),"P","")))</f>
        <v/>
      </c>
      <c r="M72" s="3" t="str">
        <f>IF(G72="Not Age Eligible","",IF(G72="17-21",IF(OR(AND(T72&gt;=LOOKUP(G72,'Qualifying Scores'!$A$4:$A$7,'Qualifying Scores'!$B$4:$B$7),U72&gt;=LOOKUP(G72,'Qualifying Scores'!$A$10:$A$13,'Qualifying Scores'!$B$10:$B$13)),AND(V72&gt;=LOOKUP(G72,'Qualifying Scores'!$A$4:$A$7,'Qualifying Scores'!$B$4:$B$7),W72&gt;=LOOKUP(G72,'Qualifying Scores'!$A$10:$A$13,'Qualifying Scores'!$B$10:$B$13)),AND(Y72&gt;=LOOKUP(G72,'Qualifying Scores'!$A$4:$A$7,'Qualifying Scores'!$B$4:$B$7),Z72&gt;=LOOKUP(G72,'Qualifying Scores'!$A$10:$A$13,'Qualifying Scores'!$B$10:$B$13)),AND(AA72&gt;=LOOKUP(G72,'Qualifying Scores'!$A$4:$A$7,'Qualifying Scores'!$B$4:$B$7),AB72&gt;=LOOKUP(G72,'Qualifying Scores'!$A$10:$A$13,'Qualifying Scores'!$B$10:$B$13)),AND(AC72&gt;=LOOKUP(G72,'Qualifying Scores'!$A$4:$A$7,'Qualifying Scores'!$B$4:$B$7),AD72&gt;=LOOKUP(G72,'Qualifying Scores'!$A$10:$A$13,'Qualifying Scores'!$B$10:$B$13)),AND(AF72&gt;=LOOKUP(G72,'Qualifying Scores'!$A$4:$A$7,'Qualifying Scores'!$B$4:$B$7),AG72&gt;=LOOKUP(G72,'Qualifying Scores'!$A$10:$A$13,'Qualifying Scores'!$B$10:$B$13))),"P",""),IF(OR(AND(X72-U72&gt;=LOOKUP(G72,'Qualifying Scores'!$A$4:$A$7,'Qualifying Scores'!$B$4:$B$7),W72&gt;=LOOKUP(G72,'Qualifying Scores'!$A$10:$A$13,'Qualifying Scores'!$B$10:$B$13)),AND(AE72-AB72&gt;=LOOKUP(G72,'Qualifying Scores'!$A$4:$A$7,'Qualifying Scores'!$B$4:$B$7),AD72&gt;=LOOKUP(G72,'Qualifying Scores'!$A$10:$A$13,'Qualifying Scores'!$B$10:$B$13))),"P","")))</f>
        <v/>
      </c>
      <c r="Q72" s="1" t="str">
        <f>IF(A72&lt;5,IF(_xlfn.MAXIFS(A:A,G:G,G72)&gt;3,5-A72,_xlfn.MAXIFS(A:A,G:G,G72)+1-A72),"")</f>
        <v/>
      </c>
      <c r="R72" s="4">
        <f>IF(G72="17-21",MAX(T72,V72,Y72,AA72,AC72,AF72),MAX(X72,AE72))</f>
        <v>84.57</v>
      </c>
      <c r="S72" s="4">
        <f>IF(G72="17-21",LARGE(CHOOSE({1,2,3,4,5,6},T72,V72,Y72,AA72,AC72,AF72),2),IF(R72=X72,MAX(Y72,AA72,AC72,AF72),IF(R72=AE72,MAX(AF72,T72,V72,Y72),0)))</f>
        <v>50.25</v>
      </c>
      <c r="T72" s="33">
        <v>39.049999999999997</v>
      </c>
      <c r="U72" s="40">
        <v>0</v>
      </c>
      <c r="V72" s="34">
        <v>38.090000000000003</v>
      </c>
      <c r="W72" s="40">
        <v>10.199999999999999</v>
      </c>
      <c r="X72" s="4">
        <f>IF(H72="Senior",MAX(T72,V72),T72+V72)</f>
        <v>77.14</v>
      </c>
      <c r="Y72" s="34">
        <v>47.25</v>
      </c>
      <c r="Z72" s="40">
        <v>12.9</v>
      </c>
      <c r="AA72" s="33">
        <v>39.119999999999997</v>
      </c>
      <c r="AB72" s="40">
        <v>0</v>
      </c>
      <c r="AC72" s="34">
        <v>45.45</v>
      </c>
      <c r="AD72" s="40">
        <v>11.8</v>
      </c>
      <c r="AE72" s="4">
        <f>IF(H72="Senior",MAX(AA72,AC72),AA72+AC72)</f>
        <v>84.57</v>
      </c>
      <c r="AF72" s="34">
        <v>50.25</v>
      </c>
      <c r="AG72" s="37">
        <v>13.3</v>
      </c>
    </row>
    <row r="73" spans="1:33" x14ac:dyDescent="0.2">
      <c r="A73" s="1" t="str" cm="1">
        <f t="array" ref="A73">IF(I73="","",IF(P73&lt;&gt;"",SUMPRODUCT((P$3:P$107&lt;&gt;"")*(G$3:G$107=G73)*(J$3:J$107&gt;J73)*(I$3:I$107="P"))+1,IF(O73&lt;&gt;"",SUMPRODUCT((O$3:O$107&lt;&gt;"")*(P$3:P$107="")*(G$3:G$107=G73)*(J$3:J$107&gt;J73)*(I$3:I$107="P"))+SUMPRODUCT((P$3:P$107&lt;&gt;"")*(G$3:G$107=G73)*(I$3:I$107="P"))+1,IF(N73&lt;&gt;"",SUMPRODUCT((N$3:N$107&lt;&gt;"")*(G$3:G$107=G73)*(J$3:J$107&gt;J73)*(I$3:I$107="P"))+1,IF(M73="P",SUMPRODUCT((O$3:O$107&lt;&gt;"")*(P$3:P$107="")*(G$3:G$107=G73)*(I$3:I$107="P"))+SUMPRODUCT((P$3:P$107&lt;&gt;"")*(G$3:G$107=G73)*(I$3:I$107="P"))+SUMPRODUCT((N$3:N$107&lt;&gt;"")*(G$3:G$107=G73)*(I$3:I$107="P"))+SUMPRODUCT((P$3:P$107="")*(O$3:O$107="")*(N$3:N$107="")*(M$3:M$107="P")*(G$3:G$107=G73)*(J$3:J$107&gt;J73)*(I$3:I$107="P"))+IF(H73="L5",SUMPRODUCT((P$3:P$107="")*(O$3:O$107="")*(N$3:N$107="")*(M$3:M$107="P")*(G$3:G$107=G73)*(J$3:J$107&lt;J73)*(H$3:H$107&lt;&gt;H73)*(I$3:I$107="P")),-1*SUMPRODUCT((P$3:P$107="")*(O$3:O$107="")*(N$3:N$107="")*(M$3:M$107="P")*(G$3:G$107=G73)*(J$3:J$107&gt;J73)*(H$3:H$107="L5")*(I$3:I$107="P")))+1,"")))))</f>
        <v/>
      </c>
      <c r="B73" s="1" t="str" cm="1">
        <f t="array" ref="B73">IF(P73&lt;&gt;"",SUMPRODUCT((P$3:P$107&lt;&gt;"")*(G$3:G$107=G73)*(J$3:J$107&gt;J73))+1,IF(O73&lt;&gt;"",SUMPRODUCT((O$3:O$107&lt;&gt;"")*(P$3:P$107="")*(G$3:G$107=G73)*(J$3:J$107&gt;J73))+SUMPRODUCT((P$3:P$107&lt;&gt;"")*(G$3:G$107=G73))+1,IF(N73&lt;&gt;"",SUMPRODUCT((N$3:N$107&lt;&gt;"")*(G$3:G$107=G73)*(J$3:J$107&gt;J73))+1,IF(M73="P",SUMPRODUCT((O$3:O$107&lt;&gt;"")*(P$3:P$107="")*(G$3:G$107=G73))+SUMPRODUCT((P$3:P$107&lt;&gt;"")*(G$3:G$107=G73))+SUMPRODUCT((N$3:N$107&lt;&gt;"")*(G$3:G$107=G73))+SUMPRODUCT((P$3:P$107="")*(O$3:O$107="")*(N$3:N$107="")*(M$3:M$107="P")*(G$3:G$107=G73)*(J$3:J$107&gt;J73))+IF(H73="L5",SUMPRODUCT((P$3:P$107="")*(O$3:O$107="")*(N$3:N$107="")*(M$3:M$107="P")*(G$3:G$107=G73)*(J$3:J$107&lt;J73)*(H$3:H$107&lt;&gt;H73)),-1*SUMPRODUCT((P$3:P$107="")*(O$3:O$107="")*(N$3:N$107="")*(M$3:M$107="P")*(G$3:G$107=G73)*(J$3:J$107&gt;J73)*(H$3:H$107="L5")))+1,""))))</f>
        <v/>
      </c>
      <c r="C73" s="36" t="s">
        <v>497</v>
      </c>
      <c r="D73" s="36" t="str">
        <f>IF(E73="","",VLOOKUP(E73,'Coaching Points'!A:B,2,0))</f>
        <v>BC</v>
      </c>
      <c r="E73" s="36" t="s">
        <v>439</v>
      </c>
      <c r="F73" s="35">
        <v>2007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9" t="s">
        <v>66</v>
      </c>
      <c r="I73" s="43"/>
      <c r="J73" s="4">
        <f>R73+S73+IF(OR(H73="Junior",H73="Senior"),0.0002,IF(OR(H73="L7",H73="L6"),0.0001,0))+IF(G73="17-21",MAX(AA73,AC73,AF73),AE73)*0.0000001</f>
        <v>134.58000884699999</v>
      </c>
      <c r="K73" s="3" t="str">
        <f>IF(G73="Not Age Eligible","",IF(G73="17-21",IF(MAX(T73,V73,Y73,AA73,AC73,AF73)&gt;=LOOKUP(G73,'Qualifying Scores'!$A$4:$A$7,'Qualifying Scores'!$B$4:$B$7),"P",""),IF(MAX(X73-U73,AE73-AB73)&gt;=LOOKUP(G73,'Qualifying Scores'!$A$4:$A$7,'Qualifying Scores'!$B$4:$B$7),"P","")))</f>
        <v/>
      </c>
      <c r="L73" s="3" t="str">
        <f>IF(G73="Not Age Eligible","",IF(G73="17-21",IF(MAX(U73,W73,Z73,AB73,AD73,AG73)&gt;=LOOKUP(G73,'Qualifying Scores'!$A$10:$A$13,'Qualifying Scores'!$B$10:$B$13),"P",""),IF(MAX(W73,AD73)&gt;=LOOKUP(G73,'Qualifying Scores'!$A$10:$A$13,'Qualifying Scores'!$B$10:$B$13),"P","")))</f>
        <v/>
      </c>
      <c r="M73" s="3" t="str">
        <f>IF(G73="Not Age Eligible","",IF(G73="17-21",IF(OR(AND(T73&gt;=LOOKUP(G73,'Qualifying Scores'!$A$4:$A$7,'Qualifying Scores'!$B$4:$B$7),U73&gt;=LOOKUP(G73,'Qualifying Scores'!$A$10:$A$13,'Qualifying Scores'!$B$10:$B$13)),AND(V73&gt;=LOOKUP(G73,'Qualifying Scores'!$A$4:$A$7,'Qualifying Scores'!$B$4:$B$7),W73&gt;=LOOKUP(G73,'Qualifying Scores'!$A$10:$A$13,'Qualifying Scores'!$B$10:$B$13)),AND(Y73&gt;=LOOKUP(G73,'Qualifying Scores'!$A$4:$A$7,'Qualifying Scores'!$B$4:$B$7),Z73&gt;=LOOKUP(G73,'Qualifying Scores'!$A$10:$A$13,'Qualifying Scores'!$B$10:$B$13)),AND(AA73&gt;=LOOKUP(G73,'Qualifying Scores'!$A$4:$A$7,'Qualifying Scores'!$B$4:$B$7),AB73&gt;=LOOKUP(G73,'Qualifying Scores'!$A$10:$A$13,'Qualifying Scores'!$B$10:$B$13)),AND(AC73&gt;=LOOKUP(G73,'Qualifying Scores'!$A$4:$A$7,'Qualifying Scores'!$B$4:$B$7),AD73&gt;=LOOKUP(G73,'Qualifying Scores'!$A$10:$A$13,'Qualifying Scores'!$B$10:$B$13)),AND(AF73&gt;=LOOKUP(G73,'Qualifying Scores'!$A$4:$A$7,'Qualifying Scores'!$B$4:$B$7),AG73&gt;=LOOKUP(G73,'Qualifying Scores'!$A$10:$A$13,'Qualifying Scores'!$B$10:$B$13))),"P",""),IF(OR(AND(X73-U73&gt;=LOOKUP(G73,'Qualifying Scores'!$A$4:$A$7,'Qualifying Scores'!$B$4:$B$7),W73&gt;=LOOKUP(G73,'Qualifying Scores'!$A$10:$A$13,'Qualifying Scores'!$B$10:$B$13)),AND(AE73-AB73&gt;=LOOKUP(G73,'Qualifying Scores'!$A$4:$A$7,'Qualifying Scores'!$B$4:$B$7),AD73&gt;=LOOKUP(G73,'Qualifying Scores'!$A$10:$A$13,'Qualifying Scores'!$B$10:$B$13))),"P","")))</f>
        <v/>
      </c>
      <c r="Q73" s="1" t="str">
        <f>IF(A73&lt;5,IF(_xlfn.MAXIFS(A:A,G:G,G73)&gt;3,5-A73,_xlfn.MAXIFS(A:A,G:G,G73)+1-A73),"")</f>
        <v/>
      </c>
      <c r="R73" s="4">
        <f>IF(G73="17-21",MAX(T73,V73,Y73,AA73,AC73,AF73),MAX(X73,AE73))</f>
        <v>88.47</v>
      </c>
      <c r="S73" s="4">
        <f>IF(G73="17-21",LARGE(CHOOSE({1,2,3,4,5,6},T73,V73,Y73,AA73,AC73,AF73),2),IF(R73=X73,MAX(Y73,AA73,AC73,AF73),IF(R73=AE73,MAX(AF73,T73,V73,Y73),0)))</f>
        <v>46.11</v>
      </c>
      <c r="T73" s="33"/>
      <c r="U73" s="40"/>
      <c r="V73" s="34"/>
      <c r="W73" s="40"/>
      <c r="X73" s="4">
        <f>IF(H73="Senior",MAX(T73,V73),T73+V73)</f>
        <v>0</v>
      </c>
      <c r="Y73" s="34"/>
      <c r="Z73" s="40"/>
      <c r="AA73" s="33">
        <v>40.700000000000003</v>
      </c>
      <c r="AB73" s="40">
        <v>0</v>
      </c>
      <c r="AC73" s="34">
        <v>47.77</v>
      </c>
      <c r="AD73" s="40">
        <v>9.6</v>
      </c>
      <c r="AE73" s="4">
        <f>IF(H73="Senior",MAX(AA73,AC73),AA73+AC73)</f>
        <v>88.47</v>
      </c>
      <c r="AF73" s="34">
        <v>46.11</v>
      </c>
      <c r="AG73" s="37">
        <v>9.6</v>
      </c>
    </row>
    <row r="74" spans="1:33" x14ac:dyDescent="0.2">
      <c r="A74" s="1" t="str" cm="1">
        <f t="array" ref="A74">IF(I74="","",IF(P74&lt;&gt;"",SUMPRODUCT((P$3:P$107&lt;&gt;"")*(G$3:G$107=G74)*(J$3:J$107&gt;J74)*(I$3:I$107="P"))+1,IF(O74&lt;&gt;"",SUMPRODUCT((O$3:O$107&lt;&gt;"")*(P$3:P$107="")*(G$3:G$107=G74)*(J$3:J$107&gt;J74)*(I$3:I$107="P"))+SUMPRODUCT((P$3:P$107&lt;&gt;"")*(G$3:G$107=G74)*(I$3:I$107="P"))+1,IF(N74&lt;&gt;"",SUMPRODUCT((N$3:N$107&lt;&gt;"")*(G$3:G$107=G74)*(J$3:J$107&gt;J74)*(I$3:I$107="P"))+1,IF(M74="P",SUMPRODUCT((O$3:O$107&lt;&gt;"")*(P$3:P$107="")*(G$3:G$107=G74)*(I$3:I$107="P"))+SUMPRODUCT((P$3:P$107&lt;&gt;"")*(G$3:G$107=G74)*(I$3:I$107="P"))+SUMPRODUCT((N$3:N$107&lt;&gt;"")*(G$3:G$107=G74)*(I$3:I$107="P"))+SUMPRODUCT((P$3:P$107="")*(O$3:O$107="")*(N$3:N$107="")*(M$3:M$107="P")*(G$3:G$107=G74)*(J$3:J$107&gt;J74)*(I$3:I$107="P"))+IF(H74="L5",SUMPRODUCT((P$3:P$107="")*(O$3:O$107="")*(N$3:N$107="")*(M$3:M$107="P")*(G$3:G$107=G74)*(J$3:J$107&lt;J74)*(H$3:H$107&lt;&gt;H74)*(I$3:I$107="P")),-1*SUMPRODUCT((P$3:P$107="")*(O$3:O$107="")*(N$3:N$107="")*(M$3:M$107="P")*(G$3:G$107=G74)*(J$3:J$107&gt;J74)*(H$3:H$107="L5")*(I$3:I$107="P")))+1,"")))))</f>
        <v/>
      </c>
      <c r="B74" s="1" t="str" cm="1">
        <f t="array" ref="B74">IF(P74&lt;&gt;"",SUMPRODUCT((P$3:P$107&lt;&gt;"")*(G$3:G$107=G74)*(J$3:J$107&gt;J74))+1,IF(O74&lt;&gt;"",SUMPRODUCT((O$3:O$107&lt;&gt;"")*(P$3:P$107="")*(G$3:G$107=G74)*(J$3:J$107&gt;J74))+SUMPRODUCT((P$3:P$107&lt;&gt;"")*(G$3:G$107=G74))+1,IF(N74&lt;&gt;"",SUMPRODUCT((N$3:N$107&lt;&gt;"")*(G$3:G$107=G74)*(J$3:J$107&gt;J74))+1,IF(M74="P",SUMPRODUCT((O$3:O$107&lt;&gt;"")*(P$3:P$107="")*(G$3:G$107=G74))+SUMPRODUCT((P$3:P$107&lt;&gt;"")*(G$3:G$107=G74))+SUMPRODUCT((N$3:N$107&lt;&gt;"")*(G$3:G$107=G74))+SUMPRODUCT((P$3:P$107="")*(O$3:O$107="")*(N$3:N$107="")*(M$3:M$107="P")*(G$3:G$107=G74)*(J$3:J$107&gt;J74))+IF(H74="L5",SUMPRODUCT((P$3:P$107="")*(O$3:O$107="")*(N$3:N$107="")*(M$3:M$107="P")*(G$3:G$107=G74)*(J$3:J$107&lt;J74)*(H$3:H$107&lt;&gt;H74)),-1*SUMPRODUCT((P$3:P$107="")*(O$3:O$107="")*(N$3:N$107="")*(M$3:M$107="P")*(G$3:G$107=G74)*(J$3:J$107&gt;J74)*(H$3:H$107="L5")))+1,""))))</f>
        <v/>
      </c>
      <c r="C74" s="36" t="s">
        <v>218</v>
      </c>
      <c r="D74" s="36" t="str">
        <f>IF(E74="","",VLOOKUP(E74,'Coaching Points'!A:B,2,0))</f>
        <v>QC</v>
      </c>
      <c r="E74" s="36" t="s">
        <v>3</v>
      </c>
      <c r="F74" s="35">
        <v>2007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9" t="s">
        <v>66</v>
      </c>
      <c r="I74" s="43"/>
      <c r="J74" s="4">
        <f>R74+S74+IF(OR(H74="Junior",H74="Senior"),0.0002,IF(OR(H74="L7",H74="L6"),0.0001,0))+IF(G74="17-21",MAX(AA74,AC74,AF74),AE74)*0.0000001</f>
        <v>134.43000877700001</v>
      </c>
      <c r="K74" s="3" t="str">
        <f>IF(G74="Not Age Eligible","",IF(G74="17-21",IF(MAX(T74,V74,Y74,AA74,AC74,AF74)&gt;=LOOKUP(G74,'Qualifying Scores'!$A$4:$A$7,'Qualifying Scores'!$B$4:$B$7),"P",""),IF(MAX(X74-U74,AE74-AB74)&gt;=LOOKUP(G74,'Qualifying Scores'!$A$4:$A$7,'Qualifying Scores'!$B$4:$B$7),"P","")))</f>
        <v/>
      </c>
      <c r="L74" s="3" t="str">
        <f>IF(G74="Not Age Eligible","",IF(G74="17-21",IF(MAX(U74,W74,Z74,AB74,AD74,AG74)&gt;=LOOKUP(G74,'Qualifying Scores'!$A$10:$A$13,'Qualifying Scores'!$B$10:$B$13),"P",""),IF(MAX(W74,AD74)&gt;=LOOKUP(G74,'Qualifying Scores'!$A$10:$A$13,'Qualifying Scores'!$B$10:$B$13),"P","")))</f>
        <v/>
      </c>
      <c r="M74" s="3" t="str">
        <f>IF(G74="Not Age Eligible","",IF(G74="17-21",IF(OR(AND(T74&gt;=LOOKUP(G74,'Qualifying Scores'!$A$4:$A$7,'Qualifying Scores'!$B$4:$B$7),U74&gt;=LOOKUP(G74,'Qualifying Scores'!$A$10:$A$13,'Qualifying Scores'!$B$10:$B$13)),AND(V74&gt;=LOOKUP(G74,'Qualifying Scores'!$A$4:$A$7,'Qualifying Scores'!$B$4:$B$7),W74&gt;=LOOKUP(G74,'Qualifying Scores'!$A$10:$A$13,'Qualifying Scores'!$B$10:$B$13)),AND(Y74&gt;=LOOKUP(G74,'Qualifying Scores'!$A$4:$A$7,'Qualifying Scores'!$B$4:$B$7),Z74&gt;=LOOKUP(G74,'Qualifying Scores'!$A$10:$A$13,'Qualifying Scores'!$B$10:$B$13)),AND(AA74&gt;=LOOKUP(G74,'Qualifying Scores'!$A$4:$A$7,'Qualifying Scores'!$B$4:$B$7),AB74&gt;=LOOKUP(G74,'Qualifying Scores'!$A$10:$A$13,'Qualifying Scores'!$B$10:$B$13)),AND(AC74&gt;=LOOKUP(G74,'Qualifying Scores'!$A$4:$A$7,'Qualifying Scores'!$B$4:$B$7),AD74&gt;=LOOKUP(G74,'Qualifying Scores'!$A$10:$A$13,'Qualifying Scores'!$B$10:$B$13)),AND(AF74&gt;=LOOKUP(G74,'Qualifying Scores'!$A$4:$A$7,'Qualifying Scores'!$B$4:$B$7),AG74&gt;=LOOKUP(G74,'Qualifying Scores'!$A$10:$A$13,'Qualifying Scores'!$B$10:$B$13))),"P",""),IF(OR(AND(X74-U74&gt;=LOOKUP(G74,'Qualifying Scores'!$A$4:$A$7,'Qualifying Scores'!$B$4:$B$7),W74&gt;=LOOKUP(G74,'Qualifying Scores'!$A$10:$A$13,'Qualifying Scores'!$B$10:$B$13)),AND(AE74-AB74&gt;=LOOKUP(G74,'Qualifying Scores'!$A$4:$A$7,'Qualifying Scores'!$B$4:$B$7),AD74&gt;=LOOKUP(G74,'Qualifying Scores'!$A$10:$A$13,'Qualifying Scores'!$B$10:$B$13))),"P","")))</f>
        <v/>
      </c>
      <c r="Q74" s="1" t="str">
        <f>IF(A74&lt;5,IF(_xlfn.MAXIFS(A:A,G:G,G74)&gt;3,5-A74,_xlfn.MAXIFS(A:A,G:G,G74)+1-A74),"")</f>
        <v/>
      </c>
      <c r="R74" s="4">
        <f>IF(G74="17-21",MAX(T74,V74,Y74,AA74,AC74,AF74),MAX(X74,AE74))</f>
        <v>87.77</v>
      </c>
      <c r="S74" s="4">
        <f>IF(G74="17-21",LARGE(CHOOSE({1,2,3,4,5,6},T74,V74,Y74,AA74,AC74,AF74),2),IF(R74=X74,MAX(Y74,AA74,AC74,AF74),IF(R74=AE74,MAX(AF74,T74,V74,Y74),0)))</f>
        <v>46.66</v>
      </c>
      <c r="T74" s="33">
        <v>38.590000000000003</v>
      </c>
      <c r="U74" s="40">
        <v>0</v>
      </c>
      <c r="V74" s="34">
        <v>46.66</v>
      </c>
      <c r="W74" s="40">
        <v>7.6</v>
      </c>
      <c r="X74" s="4">
        <f>IF(H74="Senior",MAX(T74,V74),T74+V74)</f>
        <v>85.25</v>
      </c>
      <c r="Y74" s="34">
        <v>45.75</v>
      </c>
      <c r="Z74" s="40">
        <v>7.6</v>
      </c>
      <c r="AA74" s="33">
        <v>39.86</v>
      </c>
      <c r="AB74" s="40">
        <v>0</v>
      </c>
      <c r="AC74" s="34">
        <v>47.91</v>
      </c>
      <c r="AD74" s="40">
        <v>7.6</v>
      </c>
      <c r="AE74" s="4">
        <f>IF(H74="Senior",MAX(AA74,AC74),AA74+AC74)</f>
        <v>87.77</v>
      </c>
      <c r="AF74" s="34">
        <v>5.36</v>
      </c>
      <c r="AG74" s="37">
        <v>1.3</v>
      </c>
    </row>
    <row r="75" spans="1:33" x14ac:dyDescent="0.2">
      <c r="A75" s="1" t="str" cm="1">
        <f t="array" ref="A75">IF(I75="","",IF(P75&lt;&gt;"",SUMPRODUCT((P$3:P$107&lt;&gt;"")*(G$3:G$107=G75)*(J$3:J$107&gt;J75)*(I$3:I$107="P"))+1,IF(O75&lt;&gt;"",SUMPRODUCT((O$3:O$107&lt;&gt;"")*(P$3:P$107="")*(G$3:G$107=G75)*(J$3:J$107&gt;J75)*(I$3:I$107="P"))+SUMPRODUCT((P$3:P$107&lt;&gt;"")*(G$3:G$107=G75)*(I$3:I$107="P"))+1,IF(N75&lt;&gt;"",SUMPRODUCT((N$3:N$107&lt;&gt;"")*(G$3:G$107=G75)*(J$3:J$107&gt;J75)*(I$3:I$107="P"))+1,IF(M75="P",SUMPRODUCT((O$3:O$107&lt;&gt;"")*(P$3:P$107="")*(G$3:G$107=G75)*(I$3:I$107="P"))+SUMPRODUCT((P$3:P$107&lt;&gt;"")*(G$3:G$107=G75)*(I$3:I$107="P"))+SUMPRODUCT((N$3:N$107&lt;&gt;"")*(G$3:G$107=G75)*(I$3:I$107="P"))+SUMPRODUCT((P$3:P$107="")*(O$3:O$107="")*(N$3:N$107="")*(M$3:M$107="P")*(G$3:G$107=G75)*(J$3:J$107&gt;J75)*(I$3:I$107="P"))+IF(H75="L5",SUMPRODUCT((P$3:P$107="")*(O$3:O$107="")*(N$3:N$107="")*(M$3:M$107="P")*(G$3:G$107=G75)*(J$3:J$107&lt;J75)*(H$3:H$107&lt;&gt;H75)*(I$3:I$107="P")),-1*SUMPRODUCT((P$3:P$107="")*(O$3:O$107="")*(N$3:N$107="")*(M$3:M$107="P")*(G$3:G$107=G75)*(J$3:J$107&gt;J75)*(H$3:H$107="L5")*(I$3:I$107="P")))+1,"")))))</f>
        <v/>
      </c>
      <c r="B75" s="1" t="str" cm="1">
        <f t="array" ref="B75">IF(P75&lt;&gt;"",SUMPRODUCT((P$3:P$107&lt;&gt;"")*(G$3:G$107=G75)*(J$3:J$107&gt;J75))+1,IF(O75&lt;&gt;"",SUMPRODUCT((O$3:O$107&lt;&gt;"")*(P$3:P$107="")*(G$3:G$107=G75)*(J$3:J$107&gt;J75))+SUMPRODUCT((P$3:P$107&lt;&gt;"")*(G$3:G$107=G75))+1,IF(N75&lt;&gt;"",SUMPRODUCT((N$3:N$107&lt;&gt;"")*(G$3:G$107=G75)*(J$3:J$107&gt;J75))+1,IF(M75="P",SUMPRODUCT((O$3:O$107&lt;&gt;"")*(P$3:P$107="")*(G$3:G$107=G75))+SUMPRODUCT((P$3:P$107&lt;&gt;"")*(G$3:G$107=G75))+SUMPRODUCT((N$3:N$107&lt;&gt;"")*(G$3:G$107=G75))+SUMPRODUCT((P$3:P$107="")*(O$3:O$107="")*(N$3:N$107="")*(M$3:M$107="P")*(G$3:G$107=G75)*(J$3:J$107&gt;J75))+IF(H75="L5",SUMPRODUCT((P$3:P$107="")*(O$3:O$107="")*(N$3:N$107="")*(M$3:M$107="P")*(G$3:G$107=G75)*(J$3:J$107&lt;J75)*(H$3:H$107&lt;&gt;H75)),-1*SUMPRODUCT((P$3:P$107="")*(O$3:O$107="")*(N$3:N$107="")*(M$3:M$107="P")*(G$3:G$107=G75)*(J$3:J$107&gt;J75)*(H$3:H$107="L5")))+1,""))))</f>
        <v/>
      </c>
      <c r="C75" s="36" t="s">
        <v>276</v>
      </c>
      <c r="D75" s="36" t="str">
        <f>IF(E75="","",VLOOKUP(E75,'Coaching Points'!A:B,2,0))</f>
        <v>AB</v>
      </c>
      <c r="E75" s="36" t="s">
        <v>64</v>
      </c>
      <c r="F75" s="35">
        <v>2007</v>
      </c>
      <c r="G75" s="1" t="str">
        <f>IF(OR('Qualifying Scores'!$B$1-F75&gt;21,'Qualifying Scores'!$B$1-F75&lt;11),"Not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9" t="s">
        <v>66</v>
      </c>
      <c r="I75" s="43" t="s">
        <v>567</v>
      </c>
      <c r="J75" s="4">
        <f>R75+S75+IF(OR(H75="Junior",H75="Senior"),0.0002,IF(OR(H75="L7",H75="L6"),0.0001,0))+IF(G75="17-21",MAX(AA75,AC75,AF75),AE75)*0.0000001</f>
        <v>134.230008674</v>
      </c>
      <c r="K75" s="3" t="str">
        <f>IF(G75="Not Age Eligible","",IF(G75="17-21",IF(MAX(T75,V75,Y75,AA75,AC75,AF75)&gt;=LOOKUP(G75,'Qualifying Scores'!$A$4:$A$7,'Qualifying Scores'!$B$4:$B$7),"P",""),IF(MAX(X75-U75,AE75-AB75)&gt;=LOOKUP(G75,'Qualifying Scores'!$A$4:$A$7,'Qualifying Scores'!$B$4:$B$7),"P","")))</f>
        <v/>
      </c>
      <c r="L75" s="3" t="str">
        <f>IF(G75="Not Age Eligible","",IF(G75="17-21",IF(MAX(U75,W75,Z75,AB75,AD75,AG75)&gt;=LOOKUP(G75,'Qualifying Scores'!$A$10:$A$13,'Qualifying Scores'!$B$10:$B$13),"P",""),IF(MAX(W75,AD75)&gt;=LOOKUP(G75,'Qualifying Scores'!$A$10:$A$13,'Qualifying Scores'!$B$10:$B$13),"P","")))</f>
        <v/>
      </c>
      <c r="M75" s="3" t="str">
        <f>IF(G75="Not Age Eligible","",IF(G75="17-21",IF(OR(AND(T75&gt;=LOOKUP(G75,'Qualifying Scores'!$A$4:$A$7,'Qualifying Scores'!$B$4:$B$7),U75&gt;=LOOKUP(G75,'Qualifying Scores'!$A$10:$A$13,'Qualifying Scores'!$B$10:$B$13)),AND(V75&gt;=LOOKUP(G75,'Qualifying Scores'!$A$4:$A$7,'Qualifying Scores'!$B$4:$B$7),W75&gt;=LOOKUP(G75,'Qualifying Scores'!$A$10:$A$13,'Qualifying Scores'!$B$10:$B$13)),AND(Y75&gt;=LOOKUP(G75,'Qualifying Scores'!$A$4:$A$7,'Qualifying Scores'!$B$4:$B$7),Z75&gt;=LOOKUP(G75,'Qualifying Scores'!$A$10:$A$13,'Qualifying Scores'!$B$10:$B$13)),AND(AA75&gt;=LOOKUP(G75,'Qualifying Scores'!$A$4:$A$7,'Qualifying Scores'!$B$4:$B$7),AB75&gt;=LOOKUP(G75,'Qualifying Scores'!$A$10:$A$13,'Qualifying Scores'!$B$10:$B$13)),AND(AC75&gt;=LOOKUP(G75,'Qualifying Scores'!$A$4:$A$7,'Qualifying Scores'!$B$4:$B$7),AD75&gt;=LOOKUP(G75,'Qualifying Scores'!$A$10:$A$13,'Qualifying Scores'!$B$10:$B$13)),AND(AF75&gt;=LOOKUP(G75,'Qualifying Scores'!$A$4:$A$7,'Qualifying Scores'!$B$4:$B$7),AG75&gt;=LOOKUP(G75,'Qualifying Scores'!$A$10:$A$13,'Qualifying Scores'!$B$10:$B$13))),"P",""),IF(OR(AND(X75-U75&gt;=LOOKUP(G75,'Qualifying Scores'!$A$4:$A$7,'Qualifying Scores'!$B$4:$B$7),W75&gt;=LOOKUP(G75,'Qualifying Scores'!$A$10:$A$13,'Qualifying Scores'!$B$10:$B$13)),AND(AE75-AB75&gt;=LOOKUP(G75,'Qualifying Scores'!$A$4:$A$7,'Qualifying Scores'!$B$4:$B$7),AD75&gt;=LOOKUP(G75,'Qualifying Scores'!$A$10:$A$13,'Qualifying Scores'!$B$10:$B$13))),"P","")))</f>
        <v/>
      </c>
      <c r="Q75" s="1" t="str">
        <f>IF(A75&lt;5,IF(_xlfn.MAXIFS(A:A,G:G,G75)&gt;3,5-A75,_xlfn.MAXIFS(A:A,G:G,G75)+1-A75),"")</f>
        <v/>
      </c>
      <c r="R75" s="4">
        <f>IF(G75="17-21",MAX(T75,V75,Y75,AA75,AC75,AF75),MAX(X75,AE75))</f>
        <v>86.740000000000009</v>
      </c>
      <c r="S75" s="4">
        <f>IF(G75="17-21",LARGE(CHOOSE({1,2,3,4,5,6},T75,V75,Y75,AA75,AC75,AF75),2),IF(R75=X75,MAX(Y75,AA75,AC75,AF75),IF(R75=AE75,MAX(AF75,T75,V75,Y75),0)))</f>
        <v>47.49</v>
      </c>
      <c r="T75" s="33">
        <v>37.08</v>
      </c>
      <c r="U75" s="40">
        <v>0</v>
      </c>
      <c r="V75" s="34">
        <v>42.49</v>
      </c>
      <c r="W75" s="40">
        <v>9.6</v>
      </c>
      <c r="X75" s="4">
        <f>IF(H75="Senior",MAX(T75,V75),T75+V75)</f>
        <v>79.569999999999993</v>
      </c>
      <c r="Y75" s="34">
        <v>44.69</v>
      </c>
      <c r="Z75" s="40">
        <v>9.6</v>
      </c>
      <c r="AA75" s="33">
        <v>38.14</v>
      </c>
      <c r="AB75" s="40">
        <v>0</v>
      </c>
      <c r="AC75" s="34">
        <v>48.6</v>
      </c>
      <c r="AD75" s="40">
        <v>10</v>
      </c>
      <c r="AE75" s="4">
        <f>IF(H75="Senior",MAX(AA75,AC75),AA75+AC75)</f>
        <v>86.740000000000009</v>
      </c>
      <c r="AF75" s="34">
        <v>47.49</v>
      </c>
      <c r="AG75" s="37">
        <v>10</v>
      </c>
    </row>
    <row r="76" spans="1:33" x14ac:dyDescent="0.2">
      <c r="A76" s="1" t="str" cm="1">
        <f t="array" ref="A76">IF(I76="","",IF(P76&lt;&gt;"",SUMPRODUCT((P$3:P$107&lt;&gt;"")*(G$3:G$107=G76)*(J$3:J$107&gt;J76)*(I$3:I$107="P"))+1,IF(O76&lt;&gt;"",SUMPRODUCT((O$3:O$107&lt;&gt;"")*(P$3:P$107="")*(G$3:G$107=G76)*(J$3:J$107&gt;J76)*(I$3:I$107="P"))+SUMPRODUCT((P$3:P$107&lt;&gt;"")*(G$3:G$107=G76)*(I$3:I$107="P"))+1,IF(N76&lt;&gt;"",SUMPRODUCT((N$3:N$107&lt;&gt;"")*(G$3:G$107=G76)*(J$3:J$107&gt;J76)*(I$3:I$107="P"))+1,IF(M76="P",SUMPRODUCT((O$3:O$107&lt;&gt;"")*(P$3:P$107="")*(G$3:G$107=G76)*(I$3:I$107="P"))+SUMPRODUCT((P$3:P$107&lt;&gt;"")*(G$3:G$107=G76)*(I$3:I$107="P"))+SUMPRODUCT((N$3:N$107&lt;&gt;"")*(G$3:G$107=G76)*(I$3:I$107="P"))+SUMPRODUCT((P$3:P$107="")*(O$3:O$107="")*(N$3:N$107="")*(M$3:M$107="P")*(G$3:G$107=G76)*(J$3:J$107&gt;J76)*(I$3:I$107="P"))+IF(H76="L5",SUMPRODUCT((P$3:P$107="")*(O$3:O$107="")*(N$3:N$107="")*(M$3:M$107="P")*(G$3:G$107=G76)*(J$3:J$107&lt;J76)*(H$3:H$107&lt;&gt;H76)*(I$3:I$107="P")),-1*SUMPRODUCT((P$3:P$107="")*(O$3:O$107="")*(N$3:N$107="")*(M$3:M$107="P")*(G$3:G$107=G76)*(J$3:J$107&gt;J76)*(H$3:H$107="L5")*(I$3:I$107="P")))+1,"")))))</f>
        <v/>
      </c>
      <c r="B76" s="1" t="str" cm="1">
        <f t="array" ref="B76">IF(P76&lt;&gt;"",SUMPRODUCT((P$3:P$107&lt;&gt;"")*(G$3:G$107=G76)*(J$3:J$107&gt;J76))+1,IF(O76&lt;&gt;"",SUMPRODUCT((O$3:O$107&lt;&gt;"")*(P$3:P$107="")*(G$3:G$107=G76)*(J$3:J$107&gt;J76))+SUMPRODUCT((P$3:P$107&lt;&gt;"")*(G$3:G$107=G76))+1,IF(N76&lt;&gt;"",SUMPRODUCT((N$3:N$107&lt;&gt;"")*(G$3:G$107=G76)*(J$3:J$107&gt;J76))+1,IF(M76="P",SUMPRODUCT((O$3:O$107&lt;&gt;"")*(P$3:P$107="")*(G$3:G$107=G76))+SUMPRODUCT((P$3:P$107&lt;&gt;"")*(G$3:G$107=G76))+SUMPRODUCT((N$3:N$107&lt;&gt;"")*(G$3:G$107=G76))+SUMPRODUCT((P$3:P$107="")*(O$3:O$107="")*(N$3:N$107="")*(M$3:M$107="P")*(G$3:G$107=G76)*(J$3:J$107&gt;J76))+IF(H76="L5",SUMPRODUCT((P$3:P$107="")*(O$3:O$107="")*(N$3:N$107="")*(M$3:M$107="P")*(G$3:G$107=G76)*(J$3:J$107&lt;J76)*(H$3:H$107&lt;&gt;H76)),-1*SUMPRODUCT((P$3:P$107="")*(O$3:O$107="")*(N$3:N$107="")*(M$3:M$107="P")*(G$3:G$107=G76)*(J$3:J$107&gt;J76)*(H$3:H$107="L5")))+1,""))))</f>
        <v/>
      </c>
      <c r="C76" s="36" t="s">
        <v>315</v>
      </c>
      <c r="D76" s="36" t="str">
        <f>IF(E76="","",VLOOKUP(E76,'Coaching Points'!A:B,2,0))</f>
        <v>BC</v>
      </c>
      <c r="E76" s="36" t="s">
        <v>282</v>
      </c>
      <c r="F76" s="35">
        <v>2007</v>
      </c>
      <c r="G76" s="1" t="str">
        <f>IF(OR('Qualifying Scores'!$B$1-F76&gt;21,'Qualifying Scores'!$B$1-F76&lt;11),"Not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9" t="s">
        <v>66</v>
      </c>
      <c r="I76" s="43"/>
      <c r="J76" s="4">
        <f>R76+S76+IF(OR(H76="Junior",H76="Senior"),0.0002,IF(OR(H76="L7",H76="L6"),0.0001,0))+IF(G76="17-21",MAX(AA76,AC76,AF76),AE76)*0.0000001</f>
        <v>132.43000882300001</v>
      </c>
      <c r="K76" s="3" t="str">
        <f>IF(G76="Not Age Eligible","",IF(G76="17-21",IF(MAX(T76,V76,Y76,AA76,AC76,AF76)&gt;=LOOKUP(G76,'Qualifying Scores'!$A$4:$A$7,'Qualifying Scores'!$B$4:$B$7),"P",""),IF(MAX(X76-U76,AE76-AB76)&gt;=LOOKUP(G76,'Qualifying Scores'!$A$4:$A$7,'Qualifying Scores'!$B$4:$B$7),"P","")))</f>
        <v/>
      </c>
      <c r="L76" s="3" t="str">
        <f>IF(G76="Not Age Eligible","",IF(G76="17-21",IF(MAX(U76,W76,Z76,AB76,AD76,AG76)&gt;=LOOKUP(G76,'Qualifying Scores'!$A$10:$A$13,'Qualifying Scores'!$B$10:$B$13),"P",""),IF(MAX(W76,AD76)&gt;=LOOKUP(G76,'Qualifying Scores'!$A$10:$A$13,'Qualifying Scores'!$B$10:$B$13),"P","")))</f>
        <v/>
      </c>
      <c r="M76" s="3" t="str">
        <f>IF(G76="Not Age Eligible","",IF(G76="17-21",IF(OR(AND(T76&gt;=LOOKUP(G76,'Qualifying Scores'!$A$4:$A$7,'Qualifying Scores'!$B$4:$B$7),U76&gt;=LOOKUP(G76,'Qualifying Scores'!$A$10:$A$13,'Qualifying Scores'!$B$10:$B$13)),AND(V76&gt;=LOOKUP(G76,'Qualifying Scores'!$A$4:$A$7,'Qualifying Scores'!$B$4:$B$7),W76&gt;=LOOKUP(G76,'Qualifying Scores'!$A$10:$A$13,'Qualifying Scores'!$B$10:$B$13)),AND(Y76&gt;=LOOKUP(G76,'Qualifying Scores'!$A$4:$A$7,'Qualifying Scores'!$B$4:$B$7),Z76&gt;=LOOKUP(G76,'Qualifying Scores'!$A$10:$A$13,'Qualifying Scores'!$B$10:$B$13)),AND(AA76&gt;=LOOKUP(G76,'Qualifying Scores'!$A$4:$A$7,'Qualifying Scores'!$B$4:$B$7),AB76&gt;=LOOKUP(G76,'Qualifying Scores'!$A$10:$A$13,'Qualifying Scores'!$B$10:$B$13)),AND(AC76&gt;=LOOKUP(G76,'Qualifying Scores'!$A$4:$A$7,'Qualifying Scores'!$B$4:$B$7),AD76&gt;=LOOKUP(G76,'Qualifying Scores'!$A$10:$A$13,'Qualifying Scores'!$B$10:$B$13)),AND(AF76&gt;=LOOKUP(G76,'Qualifying Scores'!$A$4:$A$7,'Qualifying Scores'!$B$4:$B$7),AG76&gt;=LOOKUP(G76,'Qualifying Scores'!$A$10:$A$13,'Qualifying Scores'!$B$10:$B$13))),"P",""),IF(OR(AND(X76-U76&gt;=LOOKUP(G76,'Qualifying Scores'!$A$4:$A$7,'Qualifying Scores'!$B$4:$B$7),W76&gt;=LOOKUP(G76,'Qualifying Scores'!$A$10:$A$13,'Qualifying Scores'!$B$10:$B$13)),AND(AE76-AB76&gt;=LOOKUP(G76,'Qualifying Scores'!$A$4:$A$7,'Qualifying Scores'!$B$4:$B$7),AD76&gt;=LOOKUP(G76,'Qualifying Scores'!$A$10:$A$13,'Qualifying Scores'!$B$10:$B$13))),"P","")))</f>
        <v/>
      </c>
      <c r="Q76" s="1" t="str">
        <f>IF(A76&lt;5,IF(_xlfn.MAXIFS(A:A,G:G,G76)&gt;3,5-A76,_xlfn.MAXIFS(A:A,G:G,G76)+1-A76),"")</f>
        <v/>
      </c>
      <c r="R76" s="4">
        <f>IF(G76="17-21",MAX(T76,V76,Y76,AA76,AC76,AF76),MAX(X76,AE76))</f>
        <v>88.23</v>
      </c>
      <c r="S76" s="4">
        <f>IF(G76="17-21",LARGE(CHOOSE({1,2,3,4,5,6},T76,V76,Y76,AA76,AC76,AF76),2),IF(R76=X76,MAX(Y76,AA76,AC76,AF76),IF(R76=AE76,MAX(AF76,T76,V76,Y76),0)))</f>
        <v>44.2</v>
      </c>
      <c r="T76" s="33">
        <v>38.96</v>
      </c>
      <c r="U76" s="40">
        <v>0</v>
      </c>
      <c r="V76" s="34">
        <v>44.2</v>
      </c>
      <c r="W76" s="40">
        <v>7.9</v>
      </c>
      <c r="X76" s="4">
        <f>IF(H76="Senior",MAX(T76,V76),T76+V76)</f>
        <v>83.16</v>
      </c>
      <c r="Y76" s="34"/>
      <c r="Z76" s="40"/>
      <c r="AA76" s="33">
        <v>40.770000000000003</v>
      </c>
      <c r="AB76" s="40">
        <v>0</v>
      </c>
      <c r="AC76" s="34">
        <v>47.46</v>
      </c>
      <c r="AD76" s="40">
        <v>9.5</v>
      </c>
      <c r="AE76" s="4">
        <f>IF(H76="Senior",MAX(AA76,AC76),AA76+AC76)</f>
        <v>88.23</v>
      </c>
      <c r="AF76" s="34">
        <v>14.2</v>
      </c>
      <c r="AG76" s="37">
        <v>3</v>
      </c>
    </row>
    <row r="77" spans="1:33" x14ac:dyDescent="0.2">
      <c r="A77" s="1" t="str" cm="1">
        <f t="array" ref="A77">IF(I77="","",IF(P77&lt;&gt;"",SUMPRODUCT((P$3:P$107&lt;&gt;"")*(G$3:G$107=G77)*(J$3:J$107&gt;J77)*(I$3:I$107="P"))+1,IF(O77&lt;&gt;"",SUMPRODUCT((O$3:O$107&lt;&gt;"")*(P$3:P$107="")*(G$3:G$107=G77)*(J$3:J$107&gt;J77)*(I$3:I$107="P"))+SUMPRODUCT((P$3:P$107&lt;&gt;"")*(G$3:G$107=G77)*(I$3:I$107="P"))+1,IF(N77&lt;&gt;"",SUMPRODUCT((N$3:N$107&lt;&gt;"")*(G$3:G$107=G77)*(J$3:J$107&gt;J77)*(I$3:I$107="P"))+1,IF(M77="P",SUMPRODUCT((O$3:O$107&lt;&gt;"")*(P$3:P$107="")*(G$3:G$107=G77)*(I$3:I$107="P"))+SUMPRODUCT((P$3:P$107&lt;&gt;"")*(G$3:G$107=G77)*(I$3:I$107="P"))+SUMPRODUCT((N$3:N$107&lt;&gt;"")*(G$3:G$107=G77)*(I$3:I$107="P"))+SUMPRODUCT((P$3:P$107="")*(O$3:O$107="")*(N$3:N$107="")*(M$3:M$107="P")*(G$3:G$107=G77)*(J$3:J$107&gt;J77)*(I$3:I$107="P"))+IF(H77="L5",SUMPRODUCT((P$3:P$107="")*(O$3:O$107="")*(N$3:N$107="")*(M$3:M$107="P")*(G$3:G$107=G77)*(J$3:J$107&lt;J77)*(H$3:H$107&lt;&gt;H77)*(I$3:I$107="P")),-1*SUMPRODUCT((P$3:P$107="")*(O$3:O$107="")*(N$3:N$107="")*(M$3:M$107="P")*(G$3:G$107=G77)*(J$3:J$107&gt;J77)*(H$3:H$107="L5")*(I$3:I$107="P")))+1,"")))))</f>
        <v/>
      </c>
      <c r="B77" s="1" t="str" cm="1">
        <f t="array" ref="B77">IF(P77&lt;&gt;"",SUMPRODUCT((P$3:P$107&lt;&gt;"")*(G$3:G$107=G77)*(J$3:J$107&gt;J77))+1,IF(O77&lt;&gt;"",SUMPRODUCT((O$3:O$107&lt;&gt;"")*(P$3:P$107="")*(G$3:G$107=G77)*(J$3:J$107&gt;J77))+SUMPRODUCT((P$3:P$107&lt;&gt;"")*(G$3:G$107=G77))+1,IF(N77&lt;&gt;"",SUMPRODUCT((N$3:N$107&lt;&gt;"")*(G$3:G$107=G77)*(J$3:J$107&gt;J77))+1,IF(M77="P",SUMPRODUCT((O$3:O$107&lt;&gt;"")*(P$3:P$107="")*(G$3:G$107=G77))+SUMPRODUCT((P$3:P$107&lt;&gt;"")*(G$3:G$107=G77))+SUMPRODUCT((N$3:N$107&lt;&gt;"")*(G$3:G$107=G77))+SUMPRODUCT((P$3:P$107="")*(O$3:O$107="")*(N$3:N$107="")*(M$3:M$107="P")*(G$3:G$107=G77)*(J$3:J$107&gt;J77))+IF(H77="L5",SUMPRODUCT((P$3:P$107="")*(O$3:O$107="")*(N$3:N$107="")*(M$3:M$107="P")*(G$3:G$107=G77)*(J$3:J$107&lt;J77)*(H$3:H$107&lt;&gt;H77)),-1*SUMPRODUCT((P$3:P$107="")*(O$3:O$107="")*(N$3:N$107="")*(M$3:M$107="P")*(G$3:G$107=G77)*(J$3:J$107&gt;J77)*(H$3:H$107="L5")))+1,""))))</f>
        <v/>
      </c>
      <c r="C77" s="36" t="s">
        <v>263</v>
      </c>
      <c r="D77" s="36" t="str">
        <f>IF(E77="","",VLOOKUP(E77,'Coaching Points'!A:B,2,0))</f>
        <v>MB</v>
      </c>
      <c r="E77" s="36" t="s">
        <v>69</v>
      </c>
      <c r="F77" s="35">
        <v>2007</v>
      </c>
      <c r="G77" s="1" t="str">
        <f>IF(OR('Qualifying Scores'!$B$1-F77&gt;21,'Qualifying Scores'!$B$1-F77&lt;11),"Not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9" t="s">
        <v>66</v>
      </c>
      <c r="I77" s="43"/>
      <c r="J77" s="4">
        <f>R77+S77+IF(OR(H77="Junior",H77="Senior"),0.0002,IF(OR(H77="L7",H77="L6"),0.0001,0))+IF(G77="17-21",MAX(AA77,AC77,AF77),AE77)*0.0000001</f>
        <v>131.79000849099998</v>
      </c>
      <c r="K77" s="3" t="str">
        <f>IF(G77="Not Age Eligible","",IF(G77="17-21",IF(MAX(T77,V77,Y77,AA77,AC77,AF77)&gt;=LOOKUP(G77,'Qualifying Scores'!$A$4:$A$7,'Qualifying Scores'!$B$4:$B$7),"P",""),IF(MAX(X77-U77,AE77-AB77)&gt;=LOOKUP(G77,'Qualifying Scores'!$A$4:$A$7,'Qualifying Scores'!$B$4:$B$7),"P","")))</f>
        <v/>
      </c>
      <c r="L77" s="3" t="str">
        <f>IF(G77="Not Age Eligible","",IF(G77="17-21",IF(MAX(U77,W77,Z77,AB77,AD77,AG77)&gt;=LOOKUP(G77,'Qualifying Scores'!$A$10:$A$13,'Qualifying Scores'!$B$10:$B$13),"P",""),IF(MAX(W77,AD77)&gt;=LOOKUP(G77,'Qualifying Scores'!$A$10:$A$13,'Qualifying Scores'!$B$10:$B$13),"P","")))</f>
        <v/>
      </c>
      <c r="M77" s="3" t="str">
        <f>IF(G77="Not Age Eligible","",IF(G77="17-21",IF(OR(AND(T77&gt;=LOOKUP(G77,'Qualifying Scores'!$A$4:$A$7,'Qualifying Scores'!$B$4:$B$7),U77&gt;=LOOKUP(G77,'Qualifying Scores'!$A$10:$A$13,'Qualifying Scores'!$B$10:$B$13)),AND(V77&gt;=LOOKUP(G77,'Qualifying Scores'!$A$4:$A$7,'Qualifying Scores'!$B$4:$B$7),W77&gt;=LOOKUP(G77,'Qualifying Scores'!$A$10:$A$13,'Qualifying Scores'!$B$10:$B$13)),AND(Y77&gt;=LOOKUP(G77,'Qualifying Scores'!$A$4:$A$7,'Qualifying Scores'!$B$4:$B$7),Z77&gt;=LOOKUP(G77,'Qualifying Scores'!$A$10:$A$13,'Qualifying Scores'!$B$10:$B$13)),AND(AA77&gt;=LOOKUP(G77,'Qualifying Scores'!$A$4:$A$7,'Qualifying Scores'!$B$4:$B$7),AB77&gt;=LOOKUP(G77,'Qualifying Scores'!$A$10:$A$13,'Qualifying Scores'!$B$10:$B$13)),AND(AC77&gt;=LOOKUP(G77,'Qualifying Scores'!$A$4:$A$7,'Qualifying Scores'!$B$4:$B$7),AD77&gt;=LOOKUP(G77,'Qualifying Scores'!$A$10:$A$13,'Qualifying Scores'!$B$10:$B$13)),AND(AF77&gt;=LOOKUP(G77,'Qualifying Scores'!$A$4:$A$7,'Qualifying Scores'!$B$4:$B$7),AG77&gt;=LOOKUP(G77,'Qualifying Scores'!$A$10:$A$13,'Qualifying Scores'!$B$10:$B$13))),"P",""),IF(OR(AND(X77-U77&gt;=LOOKUP(G77,'Qualifying Scores'!$A$4:$A$7,'Qualifying Scores'!$B$4:$B$7),W77&gt;=LOOKUP(G77,'Qualifying Scores'!$A$10:$A$13,'Qualifying Scores'!$B$10:$B$13)),AND(AE77-AB77&gt;=LOOKUP(G77,'Qualifying Scores'!$A$4:$A$7,'Qualifying Scores'!$B$4:$B$7),AD77&gt;=LOOKUP(G77,'Qualifying Scores'!$A$10:$A$13,'Qualifying Scores'!$B$10:$B$13))),"P","")))</f>
        <v/>
      </c>
      <c r="Q77" s="1" t="str">
        <f>IF(A77&lt;5,IF(_xlfn.MAXIFS(A:A,G:G,G77)&gt;3,5-A77,_xlfn.MAXIFS(A:A,G:G,G77)+1-A77),"")</f>
        <v/>
      </c>
      <c r="R77" s="4">
        <f>IF(G77="17-21",MAX(T77,V77,Y77,AA77,AC77,AF77),MAX(X77,AE77))</f>
        <v>84.91</v>
      </c>
      <c r="S77" s="4">
        <f>IF(G77="17-21",LARGE(CHOOSE({1,2,3,4,5,6},T77,V77,Y77,AA77,AC77,AF77),2),IF(R77=X77,MAX(Y77,AA77,AC77,AF77),IF(R77=AE77,MAX(AF77,T77,V77,Y77),0)))</f>
        <v>46.88</v>
      </c>
      <c r="T77" s="33"/>
      <c r="U77" s="40"/>
      <c r="V77" s="34"/>
      <c r="W77" s="40"/>
      <c r="X77" s="4">
        <f>IF(H77="Senior",MAX(T77,V77),T77+V77)</f>
        <v>0</v>
      </c>
      <c r="Y77" s="34"/>
      <c r="Z77" s="40"/>
      <c r="AA77" s="33">
        <v>37.11</v>
      </c>
      <c r="AB77" s="40">
        <v>0</v>
      </c>
      <c r="AC77" s="34">
        <v>47.8</v>
      </c>
      <c r="AD77" s="40">
        <v>9.1</v>
      </c>
      <c r="AE77" s="4">
        <f>IF(H77="Senior",MAX(AA77,AC77),AA77+AC77)</f>
        <v>84.91</v>
      </c>
      <c r="AF77" s="34">
        <v>46.88</v>
      </c>
      <c r="AG77" s="37">
        <v>9.1</v>
      </c>
    </row>
    <row r="78" spans="1:33" x14ac:dyDescent="0.2">
      <c r="A78" s="1" t="str" cm="1">
        <f t="array" ref="A78">IF(I78="","",IF(P78&lt;&gt;"",SUMPRODUCT((P$3:P$107&lt;&gt;"")*(G$3:G$107=G78)*(J$3:J$107&gt;J78)*(I$3:I$107="P"))+1,IF(O78&lt;&gt;"",SUMPRODUCT((O$3:O$107&lt;&gt;"")*(P$3:P$107="")*(G$3:G$107=G78)*(J$3:J$107&gt;J78)*(I$3:I$107="P"))+SUMPRODUCT((P$3:P$107&lt;&gt;"")*(G$3:G$107=G78)*(I$3:I$107="P"))+1,IF(N78&lt;&gt;"",SUMPRODUCT((N$3:N$107&lt;&gt;"")*(G$3:G$107=G78)*(J$3:J$107&gt;J78)*(I$3:I$107="P"))+1,IF(M78="P",SUMPRODUCT((O$3:O$107&lt;&gt;"")*(P$3:P$107="")*(G$3:G$107=G78)*(I$3:I$107="P"))+SUMPRODUCT((P$3:P$107&lt;&gt;"")*(G$3:G$107=G78)*(I$3:I$107="P"))+SUMPRODUCT((N$3:N$107&lt;&gt;"")*(G$3:G$107=G78)*(I$3:I$107="P"))+SUMPRODUCT((P$3:P$107="")*(O$3:O$107="")*(N$3:N$107="")*(M$3:M$107="P")*(G$3:G$107=G78)*(J$3:J$107&gt;J78)*(I$3:I$107="P"))+IF(H78="L5",SUMPRODUCT((P$3:P$107="")*(O$3:O$107="")*(N$3:N$107="")*(M$3:M$107="P")*(G$3:G$107=G78)*(J$3:J$107&lt;J78)*(H$3:H$107&lt;&gt;H78)*(I$3:I$107="P")),-1*SUMPRODUCT((P$3:P$107="")*(O$3:O$107="")*(N$3:N$107="")*(M$3:M$107="P")*(G$3:G$107=G78)*(J$3:J$107&gt;J78)*(H$3:H$107="L5")*(I$3:I$107="P")))+1,"")))))</f>
        <v/>
      </c>
      <c r="B78" s="1" t="str" cm="1">
        <f t="array" ref="B78">IF(P78&lt;&gt;"",SUMPRODUCT((P$3:P$107&lt;&gt;"")*(G$3:G$107=G78)*(J$3:J$107&gt;J78))+1,IF(O78&lt;&gt;"",SUMPRODUCT((O$3:O$107&lt;&gt;"")*(P$3:P$107="")*(G$3:G$107=G78)*(J$3:J$107&gt;J78))+SUMPRODUCT((P$3:P$107&lt;&gt;"")*(G$3:G$107=G78))+1,IF(N78&lt;&gt;"",SUMPRODUCT((N$3:N$107&lt;&gt;"")*(G$3:G$107=G78)*(J$3:J$107&gt;J78))+1,IF(M78="P",SUMPRODUCT((O$3:O$107&lt;&gt;"")*(P$3:P$107="")*(G$3:G$107=G78))+SUMPRODUCT((P$3:P$107&lt;&gt;"")*(G$3:G$107=G78))+SUMPRODUCT((N$3:N$107&lt;&gt;"")*(G$3:G$107=G78))+SUMPRODUCT((P$3:P$107="")*(O$3:O$107="")*(N$3:N$107="")*(M$3:M$107="P")*(G$3:G$107=G78)*(J$3:J$107&gt;J78))+IF(H78="L5",SUMPRODUCT((P$3:P$107="")*(O$3:O$107="")*(N$3:N$107="")*(M$3:M$107="P")*(G$3:G$107=G78)*(J$3:J$107&lt;J78)*(H$3:H$107&lt;&gt;H78)),-1*SUMPRODUCT((P$3:P$107="")*(O$3:O$107="")*(N$3:N$107="")*(M$3:M$107="P")*(G$3:G$107=G78)*(J$3:J$107&gt;J78)*(H$3:H$107="L5")))+1,""))))</f>
        <v/>
      </c>
      <c r="C78" s="36" t="s">
        <v>89</v>
      </c>
      <c r="D78" s="36" t="str">
        <f>IF(E78="","",VLOOKUP(E78,'Coaching Points'!A:B,2,0))</f>
        <v>BC</v>
      </c>
      <c r="E78" s="36" t="s">
        <v>62</v>
      </c>
      <c r="F78" s="35">
        <v>2007</v>
      </c>
      <c r="G78" s="1" t="str">
        <f>IF(OR('Qualifying Scores'!$B$1-F78&gt;21,'Qualifying Scores'!$B$1-F78&lt;11),"Not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9" t="s">
        <v>67</v>
      </c>
      <c r="I78" s="43" t="s">
        <v>567</v>
      </c>
      <c r="J78" s="4">
        <f>R78+S78+IF(OR(H78="Junior",H78="Senior"),0.0002,IF(OR(H78="L7",H78="L6"),0.0001,0))+IF(G78="17-21",MAX(AA78,AC78,AF78),AE78)*0.0000001</f>
        <v>131.480108358</v>
      </c>
      <c r="K78" s="3" t="str">
        <f>IF(G78="Not Age Eligible","",IF(G78="17-21",IF(MAX(T78,V78,Y78,AA78,AC78,AF78)&gt;=LOOKUP(G78,'Qualifying Scores'!$A$4:$A$7,'Qualifying Scores'!$B$4:$B$7),"P",""),IF(MAX(X78-U78,AE78-AB78)&gt;=LOOKUP(G78,'Qualifying Scores'!$A$4:$A$7,'Qualifying Scores'!$B$4:$B$7),"P","")))</f>
        <v/>
      </c>
      <c r="L78" s="3" t="str">
        <f>IF(G78="Not Age Eligible","",IF(G78="17-21",IF(MAX(U78,W78,Z78,AB78,AD78,AG78)&gt;=LOOKUP(G78,'Qualifying Scores'!$A$10:$A$13,'Qualifying Scores'!$B$10:$B$13),"P",""),IF(MAX(W78,AD78)&gt;=LOOKUP(G78,'Qualifying Scores'!$A$10:$A$13,'Qualifying Scores'!$B$10:$B$13),"P","")))</f>
        <v/>
      </c>
      <c r="M78" s="3" t="str">
        <f>IF(G78="Not Age Eligible","",IF(G78="17-21",IF(OR(AND(T78&gt;=LOOKUP(G78,'Qualifying Scores'!$A$4:$A$7,'Qualifying Scores'!$B$4:$B$7),U78&gt;=LOOKUP(G78,'Qualifying Scores'!$A$10:$A$13,'Qualifying Scores'!$B$10:$B$13)),AND(V78&gt;=LOOKUP(G78,'Qualifying Scores'!$A$4:$A$7,'Qualifying Scores'!$B$4:$B$7),W78&gt;=LOOKUP(G78,'Qualifying Scores'!$A$10:$A$13,'Qualifying Scores'!$B$10:$B$13)),AND(Y78&gt;=LOOKUP(G78,'Qualifying Scores'!$A$4:$A$7,'Qualifying Scores'!$B$4:$B$7),Z78&gt;=LOOKUP(G78,'Qualifying Scores'!$A$10:$A$13,'Qualifying Scores'!$B$10:$B$13)),AND(AA78&gt;=LOOKUP(G78,'Qualifying Scores'!$A$4:$A$7,'Qualifying Scores'!$B$4:$B$7),AB78&gt;=LOOKUP(G78,'Qualifying Scores'!$A$10:$A$13,'Qualifying Scores'!$B$10:$B$13)),AND(AC78&gt;=LOOKUP(G78,'Qualifying Scores'!$A$4:$A$7,'Qualifying Scores'!$B$4:$B$7),AD78&gt;=LOOKUP(G78,'Qualifying Scores'!$A$10:$A$13,'Qualifying Scores'!$B$10:$B$13)),AND(AF78&gt;=LOOKUP(G78,'Qualifying Scores'!$A$4:$A$7,'Qualifying Scores'!$B$4:$B$7),AG78&gt;=LOOKUP(G78,'Qualifying Scores'!$A$10:$A$13,'Qualifying Scores'!$B$10:$B$13))),"P",""),IF(OR(AND(X78-U78&gt;=LOOKUP(G78,'Qualifying Scores'!$A$4:$A$7,'Qualifying Scores'!$B$4:$B$7),W78&gt;=LOOKUP(G78,'Qualifying Scores'!$A$10:$A$13,'Qualifying Scores'!$B$10:$B$13)),AND(AE78-AB78&gt;=LOOKUP(G78,'Qualifying Scores'!$A$4:$A$7,'Qualifying Scores'!$B$4:$B$7),AD78&gt;=LOOKUP(G78,'Qualifying Scores'!$A$10:$A$13,'Qualifying Scores'!$B$10:$B$13))),"P","")))</f>
        <v/>
      </c>
      <c r="Q78" s="1" t="str">
        <f>IF(A78&lt;5,IF(_xlfn.MAXIFS(A:A,G:G,G78)&gt;3,5-A78,_xlfn.MAXIFS(A:A,G:G,G78)+1-A78),"")</f>
        <v/>
      </c>
      <c r="R78" s="4">
        <f>IF(G78="17-21",MAX(T78,V78,Y78,AA78,AC78,AF78),MAX(X78,AE78))</f>
        <v>83.58</v>
      </c>
      <c r="S78" s="4">
        <f>IF(G78="17-21",LARGE(CHOOSE({1,2,3,4,5,6},T78,V78,Y78,AA78,AC78,AF78),2),IF(R78=X78,MAX(Y78,AA78,AC78,AF78),IF(R78=AE78,MAX(AF78,T78,V78,Y78),0)))</f>
        <v>47.9</v>
      </c>
      <c r="T78" s="33">
        <v>36.619999999999997</v>
      </c>
      <c r="U78" s="40">
        <v>0</v>
      </c>
      <c r="V78" s="34">
        <v>45.15</v>
      </c>
      <c r="W78" s="40">
        <v>10.1</v>
      </c>
      <c r="X78" s="4">
        <f>IF(H78="Senior",MAX(T78,V78),T78+V78)</f>
        <v>81.77</v>
      </c>
      <c r="Y78" s="34">
        <v>46.79</v>
      </c>
      <c r="Z78" s="40">
        <v>10.1</v>
      </c>
      <c r="AA78" s="33">
        <v>35.26</v>
      </c>
      <c r="AB78" s="40">
        <v>0</v>
      </c>
      <c r="AC78" s="34">
        <v>48.32</v>
      </c>
      <c r="AD78" s="40">
        <v>11.4</v>
      </c>
      <c r="AE78" s="4">
        <f>IF(H78="Senior",MAX(AA78,AC78),AA78+AC78)</f>
        <v>83.58</v>
      </c>
      <c r="AF78" s="34">
        <v>47.9</v>
      </c>
      <c r="AG78" s="37">
        <v>11.4</v>
      </c>
    </row>
    <row r="79" spans="1:33" x14ac:dyDescent="0.2">
      <c r="A79" s="1" t="str" cm="1">
        <f t="array" ref="A79">IF(I79="","",IF(P79&lt;&gt;"",SUMPRODUCT((P$3:P$107&lt;&gt;"")*(G$3:G$107=G79)*(J$3:J$107&gt;J79)*(I$3:I$107="P"))+1,IF(O79&lt;&gt;"",SUMPRODUCT((O$3:O$107&lt;&gt;"")*(P$3:P$107="")*(G$3:G$107=G79)*(J$3:J$107&gt;J79)*(I$3:I$107="P"))+SUMPRODUCT((P$3:P$107&lt;&gt;"")*(G$3:G$107=G79)*(I$3:I$107="P"))+1,IF(N79&lt;&gt;"",SUMPRODUCT((N$3:N$107&lt;&gt;"")*(G$3:G$107=G79)*(J$3:J$107&gt;J79)*(I$3:I$107="P"))+1,IF(M79="P",SUMPRODUCT((O$3:O$107&lt;&gt;"")*(P$3:P$107="")*(G$3:G$107=G79)*(I$3:I$107="P"))+SUMPRODUCT((P$3:P$107&lt;&gt;"")*(G$3:G$107=G79)*(I$3:I$107="P"))+SUMPRODUCT((N$3:N$107&lt;&gt;"")*(G$3:G$107=G79)*(I$3:I$107="P"))+SUMPRODUCT((P$3:P$107="")*(O$3:O$107="")*(N$3:N$107="")*(M$3:M$107="P")*(G$3:G$107=G79)*(J$3:J$107&gt;J79)*(I$3:I$107="P"))+IF(H79="L5",SUMPRODUCT((P$3:P$107="")*(O$3:O$107="")*(N$3:N$107="")*(M$3:M$107="P")*(G$3:G$107=G79)*(J$3:J$107&lt;J79)*(H$3:H$107&lt;&gt;H79)*(I$3:I$107="P")),-1*SUMPRODUCT((P$3:P$107="")*(O$3:O$107="")*(N$3:N$107="")*(M$3:M$107="P")*(G$3:G$107=G79)*(J$3:J$107&gt;J79)*(H$3:H$107="L5")*(I$3:I$107="P")))+1,"")))))</f>
        <v/>
      </c>
      <c r="B79" s="1" t="str" cm="1">
        <f t="array" ref="B79">IF(P79&lt;&gt;"",SUMPRODUCT((P$3:P$107&lt;&gt;"")*(G$3:G$107=G79)*(J$3:J$107&gt;J79))+1,IF(O79&lt;&gt;"",SUMPRODUCT((O$3:O$107&lt;&gt;"")*(P$3:P$107="")*(G$3:G$107=G79)*(J$3:J$107&gt;J79))+SUMPRODUCT((P$3:P$107&lt;&gt;"")*(G$3:G$107=G79))+1,IF(N79&lt;&gt;"",SUMPRODUCT((N$3:N$107&lt;&gt;"")*(G$3:G$107=G79)*(J$3:J$107&gt;J79))+1,IF(M79="P",SUMPRODUCT((O$3:O$107&lt;&gt;"")*(P$3:P$107="")*(G$3:G$107=G79))+SUMPRODUCT((P$3:P$107&lt;&gt;"")*(G$3:G$107=G79))+SUMPRODUCT((N$3:N$107&lt;&gt;"")*(G$3:G$107=G79))+SUMPRODUCT((P$3:P$107="")*(O$3:O$107="")*(N$3:N$107="")*(M$3:M$107="P")*(G$3:G$107=G79)*(J$3:J$107&gt;J79))+IF(H79="L5",SUMPRODUCT((P$3:P$107="")*(O$3:O$107="")*(N$3:N$107="")*(M$3:M$107="P")*(G$3:G$107=G79)*(J$3:J$107&lt;J79)*(H$3:H$107&lt;&gt;H79)),-1*SUMPRODUCT((P$3:P$107="")*(O$3:O$107="")*(N$3:N$107="")*(M$3:M$107="P")*(G$3:G$107=G79)*(J$3:J$107&gt;J79)*(H$3:H$107="L5")))+1,""))))</f>
        <v/>
      </c>
      <c r="C79" s="36" t="s">
        <v>261</v>
      </c>
      <c r="D79" s="36" t="str">
        <f>IF(E79="","",VLOOKUP(E79,'Coaching Points'!A:B,2,0))</f>
        <v>BC</v>
      </c>
      <c r="E79" s="36" t="s">
        <v>41</v>
      </c>
      <c r="F79" s="35">
        <v>2008</v>
      </c>
      <c r="G79" s="1" t="str">
        <f>IF(OR('Qualifying Scores'!$B$1-F79&gt;21,'Qualifying Scores'!$B$1-F79&lt;11),"Not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9" t="s">
        <v>66</v>
      </c>
      <c r="I79" s="43"/>
      <c r="J79" s="4">
        <f>R79+S79+IF(OR(H79="Junior",H79="Senior"),0.0002,IF(OR(H79="L7",H79="L6"),0.0001,0))+IF(G79="17-21",MAX(AA79,AC79,AF79),AE79)*0.0000001</f>
        <v>131.44000842399998</v>
      </c>
      <c r="K79" s="3" t="str">
        <f>IF(G79="Not Age Eligible","",IF(G79="17-21",IF(MAX(T79,V79,Y79,AA79,AC79,AF79)&gt;=LOOKUP(G79,'Qualifying Scores'!$A$4:$A$7,'Qualifying Scores'!$B$4:$B$7),"P",""),IF(MAX(X79-U79,AE79-AB79)&gt;=LOOKUP(G79,'Qualifying Scores'!$A$4:$A$7,'Qualifying Scores'!$B$4:$B$7),"P","")))</f>
        <v/>
      </c>
      <c r="L79" s="3" t="str">
        <f>IF(G79="Not Age Eligible","",IF(G79="17-21",IF(MAX(U79,W79,Z79,AB79,AD79,AG79)&gt;=LOOKUP(G79,'Qualifying Scores'!$A$10:$A$13,'Qualifying Scores'!$B$10:$B$13),"P",""),IF(MAX(W79,AD79)&gt;=LOOKUP(G79,'Qualifying Scores'!$A$10:$A$13,'Qualifying Scores'!$B$10:$B$13),"P","")))</f>
        <v/>
      </c>
      <c r="M79" s="3" t="str">
        <f>IF(G79="Not Age Eligible","",IF(G79="17-21",IF(OR(AND(T79&gt;=LOOKUP(G79,'Qualifying Scores'!$A$4:$A$7,'Qualifying Scores'!$B$4:$B$7),U79&gt;=LOOKUP(G79,'Qualifying Scores'!$A$10:$A$13,'Qualifying Scores'!$B$10:$B$13)),AND(V79&gt;=LOOKUP(G79,'Qualifying Scores'!$A$4:$A$7,'Qualifying Scores'!$B$4:$B$7),W79&gt;=LOOKUP(G79,'Qualifying Scores'!$A$10:$A$13,'Qualifying Scores'!$B$10:$B$13)),AND(Y79&gt;=LOOKUP(G79,'Qualifying Scores'!$A$4:$A$7,'Qualifying Scores'!$B$4:$B$7),Z79&gt;=LOOKUP(G79,'Qualifying Scores'!$A$10:$A$13,'Qualifying Scores'!$B$10:$B$13)),AND(AA79&gt;=LOOKUP(G79,'Qualifying Scores'!$A$4:$A$7,'Qualifying Scores'!$B$4:$B$7),AB79&gt;=LOOKUP(G79,'Qualifying Scores'!$A$10:$A$13,'Qualifying Scores'!$B$10:$B$13)),AND(AC79&gt;=LOOKUP(G79,'Qualifying Scores'!$A$4:$A$7,'Qualifying Scores'!$B$4:$B$7),AD79&gt;=LOOKUP(G79,'Qualifying Scores'!$A$10:$A$13,'Qualifying Scores'!$B$10:$B$13)),AND(AF79&gt;=LOOKUP(G79,'Qualifying Scores'!$A$4:$A$7,'Qualifying Scores'!$B$4:$B$7),AG79&gt;=LOOKUP(G79,'Qualifying Scores'!$A$10:$A$13,'Qualifying Scores'!$B$10:$B$13))),"P",""),IF(OR(AND(X79-U79&gt;=LOOKUP(G79,'Qualifying Scores'!$A$4:$A$7,'Qualifying Scores'!$B$4:$B$7),W79&gt;=LOOKUP(G79,'Qualifying Scores'!$A$10:$A$13,'Qualifying Scores'!$B$10:$B$13)),AND(AE79-AB79&gt;=LOOKUP(G79,'Qualifying Scores'!$A$4:$A$7,'Qualifying Scores'!$B$4:$B$7),AD79&gt;=LOOKUP(G79,'Qualifying Scores'!$A$10:$A$13,'Qualifying Scores'!$B$10:$B$13))),"P","")))</f>
        <v/>
      </c>
      <c r="Q79" s="1" t="str">
        <f>IF(A79&lt;5,IF(_xlfn.MAXIFS(A:A,G:G,G79)&gt;3,5-A79,_xlfn.MAXIFS(A:A,G:G,G79)+1-A79),"")</f>
        <v/>
      </c>
      <c r="R79" s="4">
        <f>IF(G79="17-21",MAX(T79,V79,Y79,AA79,AC79,AF79),MAX(X79,AE79))</f>
        <v>84.240000000000009</v>
      </c>
      <c r="S79" s="4">
        <f>IF(G79="17-21",LARGE(CHOOSE({1,2,3,4,5,6},T79,V79,Y79,AA79,AC79,AF79),2),IF(R79=X79,MAX(Y79,AA79,AC79,AF79),IF(R79=AE79,MAX(AF79,T79,V79,Y79),0)))</f>
        <v>47.2</v>
      </c>
      <c r="T79" s="33"/>
      <c r="U79" s="40"/>
      <c r="V79" s="34"/>
      <c r="W79" s="40"/>
      <c r="X79" s="4">
        <f>IF(H79="Senior",MAX(T79,V79),T79+V79)</f>
        <v>0</v>
      </c>
      <c r="Y79" s="34"/>
      <c r="Z79" s="40"/>
      <c r="AA79" s="33">
        <v>39.200000000000003</v>
      </c>
      <c r="AB79" s="40">
        <v>0</v>
      </c>
      <c r="AC79" s="34">
        <v>45.04</v>
      </c>
      <c r="AD79" s="40">
        <v>10</v>
      </c>
      <c r="AE79" s="4">
        <f>IF(H79="Senior",MAX(AA79,AC79),AA79+AC79)</f>
        <v>84.240000000000009</v>
      </c>
      <c r="AF79" s="34">
        <v>47.2</v>
      </c>
      <c r="AG79" s="37">
        <v>9.3000000000000007</v>
      </c>
    </row>
    <row r="80" spans="1:33" x14ac:dyDescent="0.2">
      <c r="A80" s="1" t="str" cm="1">
        <f t="array" ref="A80">IF(I80="","",IF(P80&lt;&gt;"",SUMPRODUCT((P$3:P$107&lt;&gt;"")*(G$3:G$107=G80)*(J$3:J$107&gt;J80)*(I$3:I$107="P"))+1,IF(O80&lt;&gt;"",SUMPRODUCT((O$3:O$107&lt;&gt;"")*(P$3:P$107="")*(G$3:G$107=G80)*(J$3:J$107&gt;J80)*(I$3:I$107="P"))+SUMPRODUCT((P$3:P$107&lt;&gt;"")*(G$3:G$107=G80)*(I$3:I$107="P"))+1,IF(N80&lt;&gt;"",SUMPRODUCT((N$3:N$107&lt;&gt;"")*(G$3:G$107=G80)*(J$3:J$107&gt;J80)*(I$3:I$107="P"))+1,IF(M80="P",SUMPRODUCT((O$3:O$107&lt;&gt;"")*(P$3:P$107="")*(G$3:G$107=G80)*(I$3:I$107="P"))+SUMPRODUCT((P$3:P$107&lt;&gt;"")*(G$3:G$107=G80)*(I$3:I$107="P"))+SUMPRODUCT((N$3:N$107&lt;&gt;"")*(G$3:G$107=G80)*(I$3:I$107="P"))+SUMPRODUCT((P$3:P$107="")*(O$3:O$107="")*(N$3:N$107="")*(M$3:M$107="P")*(G$3:G$107=G80)*(J$3:J$107&gt;J80)*(I$3:I$107="P"))+IF(H80="L5",SUMPRODUCT((P$3:P$107="")*(O$3:O$107="")*(N$3:N$107="")*(M$3:M$107="P")*(G$3:G$107=G80)*(J$3:J$107&lt;J80)*(H$3:H$107&lt;&gt;H80)*(I$3:I$107="P")),-1*SUMPRODUCT((P$3:P$107="")*(O$3:O$107="")*(N$3:N$107="")*(M$3:M$107="P")*(G$3:G$107=G80)*(J$3:J$107&gt;J80)*(H$3:H$107="L5")*(I$3:I$107="P")))+1,"")))))</f>
        <v/>
      </c>
      <c r="B80" s="1" t="str" cm="1">
        <f t="array" ref="B80">IF(P80&lt;&gt;"",SUMPRODUCT((P$3:P$107&lt;&gt;"")*(G$3:G$107=G80)*(J$3:J$107&gt;J80))+1,IF(O80&lt;&gt;"",SUMPRODUCT((O$3:O$107&lt;&gt;"")*(P$3:P$107="")*(G$3:G$107=G80)*(J$3:J$107&gt;J80))+SUMPRODUCT((P$3:P$107&lt;&gt;"")*(G$3:G$107=G80))+1,IF(N80&lt;&gt;"",SUMPRODUCT((N$3:N$107&lt;&gt;"")*(G$3:G$107=G80)*(J$3:J$107&gt;J80))+1,IF(M80="P",SUMPRODUCT((O$3:O$107&lt;&gt;"")*(P$3:P$107="")*(G$3:G$107=G80))+SUMPRODUCT((P$3:P$107&lt;&gt;"")*(G$3:G$107=G80))+SUMPRODUCT((N$3:N$107&lt;&gt;"")*(G$3:G$107=G80))+SUMPRODUCT((P$3:P$107="")*(O$3:O$107="")*(N$3:N$107="")*(M$3:M$107="P")*(G$3:G$107=G80)*(J$3:J$107&gt;J80))+IF(H80="L5",SUMPRODUCT((P$3:P$107="")*(O$3:O$107="")*(N$3:N$107="")*(M$3:M$107="P")*(G$3:G$107=G80)*(J$3:J$107&lt;J80)*(H$3:H$107&lt;&gt;H80)),-1*SUMPRODUCT((P$3:P$107="")*(O$3:O$107="")*(N$3:N$107="")*(M$3:M$107="P")*(G$3:G$107=G80)*(J$3:J$107&gt;J80)*(H$3:H$107="L5")))+1,""))))</f>
        <v/>
      </c>
      <c r="C80" s="36" t="s">
        <v>526</v>
      </c>
      <c r="D80" s="36" t="str">
        <f>IF(E80="","",VLOOKUP(E80,'Coaching Points'!A:B,2,0))</f>
        <v>NL</v>
      </c>
      <c r="E80" s="36" t="s">
        <v>104</v>
      </c>
      <c r="F80" s="35">
        <v>2007</v>
      </c>
      <c r="G80" s="1" t="str">
        <f>IF(OR('Qualifying Scores'!$B$1-F80&gt;21,'Qualifying Scores'!$B$1-F80&lt;11),"Not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9" t="s">
        <v>66</v>
      </c>
      <c r="I80" s="43"/>
      <c r="J80" s="4">
        <f>R80+S80+IF(OR(H80="Junior",H80="Senior"),0.0002,IF(OR(H80="L7",H80="L6"),0.0001,0))+IF(G80="17-21",MAX(AA80,AC80,AF80),AE80)*0.0000001</f>
        <v>130.56000845299999</v>
      </c>
      <c r="K80" s="3" t="str">
        <f>IF(G80="Not Age Eligible","",IF(G80="17-21",IF(MAX(T80,V80,Y80,AA80,AC80,AF80)&gt;=LOOKUP(G80,'Qualifying Scores'!$A$4:$A$7,'Qualifying Scores'!$B$4:$B$7),"P",""),IF(MAX(X80-U80,AE80-AB80)&gt;=LOOKUP(G80,'Qualifying Scores'!$A$4:$A$7,'Qualifying Scores'!$B$4:$B$7),"P","")))</f>
        <v/>
      </c>
      <c r="L80" s="3" t="str">
        <f>IF(G80="Not Age Eligible","",IF(G80="17-21",IF(MAX(U80,W80,Z80,AB80,AD80,AG80)&gt;=LOOKUP(G80,'Qualifying Scores'!$A$10:$A$13,'Qualifying Scores'!$B$10:$B$13),"P",""),IF(MAX(W80,AD80)&gt;=LOOKUP(G80,'Qualifying Scores'!$A$10:$A$13,'Qualifying Scores'!$B$10:$B$13),"P","")))</f>
        <v/>
      </c>
      <c r="M80" s="3" t="str">
        <f>IF(G80="Not Age Eligible","",IF(G80="17-21",IF(OR(AND(T80&gt;=LOOKUP(G80,'Qualifying Scores'!$A$4:$A$7,'Qualifying Scores'!$B$4:$B$7),U80&gt;=LOOKUP(G80,'Qualifying Scores'!$A$10:$A$13,'Qualifying Scores'!$B$10:$B$13)),AND(V80&gt;=LOOKUP(G80,'Qualifying Scores'!$A$4:$A$7,'Qualifying Scores'!$B$4:$B$7),W80&gt;=LOOKUP(G80,'Qualifying Scores'!$A$10:$A$13,'Qualifying Scores'!$B$10:$B$13)),AND(Y80&gt;=LOOKUP(G80,'Qualifying Scores'!$A$4:$A$7,'Qualifying Scores'!$B$4:$B$7),Z80&gt;=LOOKUP(G80,'Qualifying Scores'!$A$10:$A$13,'Qualifying Scores'!$B$10:$B$13)),AND(AA80&gt;=LOOKUP(G80,'Qualifying Scores'!$A$4:$A$7,'Qualifying Scores'!$B$4:$B$7),AB80&gt;=LOOKUP(G80,'Qualifying Scores'!$A$10:$A$13,'Qualifying Scores'!$B$10:$B$13)),AND(AC80&gt;=LOOKUP(G80,'Qualifying Scores'!$A$4:$A$7,'Qualifying Scores'!$B$4:$B$7),AD80&gt;=LOOKUP(G80,'Qualifying Scores'!$A$10:$A$13,'Qualifying Scores'!$B$10:$B$13)),AND(AF80&gt;=LOOKUP(G80,'Qualifying Scores'!$A$4:$A$7,'Qualifying Scores'!$B$4:$B$7),AG80&gt;=LOOKUP(G80,'Qualifying Scores'!$A$10:$A$13,'Qualifying Scores'!$B$10:$B$13))),"P",""),IF(OR(AND(X80-U80&gt;=LOOKUP(G80,'Qualifying Scores'!$A$4:$A$7,'Qualifying Scores'!$B$4:$B$7),W80&gt;=LOOKUP(G80,'Qualifying Scores'!$A$10:$A$13,'Qualifying Scores'!$B$10:$B$13)),AND(AE80-AB80&gt;=LOOKUP(G80,'Qualifying Scores'!$A$4:$A$7,'Qualifying Scores'!$B$4:$B$7),AD80&gt;=LOOKUP(G80,'Qualifying Scores'!$A$10:$A$13,'Qualifying Scores'!$B$10:$B$13))),"P","")))</f>
        <v/>
      </c>
      <c r="Q80" s="1" t="str">
        <f>IF(A80&lt;5,IF(_xlfn.MAXIFS(A:A,G:G,G80)&gt;3,5-A80,_xlfn.MAXIFS(A:A,G:G,G80)+1-A80),"")</f>
        <v/>
      </c>
      <c r="R80" s="4">
        <f>IF(G80="17-21",MAX(T80,V80,Y80,AA80,AC80,AF80),MAX(X80,AE80))</f>
        <v>84.53</v>
      </c>
      <c r="S80" s="4">
        <f>IF(G80="17-21",LARGE(CHOOSE({1,2,3,4,5,6},T80,V80,Y80,AA80,AC80,AF80),2),IF(R80=X80,MAX(Y80,AA80,AC80,AF80),IF(R80=AE80,MAX(AF80,T80,V80,Y80),0)))</f>
        <v>46.03</v>
      </c>
      <c r="T80" s="33"/>
      <c r="U80" s="40"/>
      <c r="V80" s="34"/>
      <c r="W80" s="40"/>
      <c r="X80" s="4">
        <f>IF(H80="Senior",MAX(T80,V80),T80+V80)</f>
        <v>0</v>
      </c>
      <c r="Y80" s="34"/>
      <c r="Z80" s="40"/>
      <c r="AA80" s="33">
        <v>38.700000000000003</v>
      </c>
      <c r="AB80" s="40">
        <v>0</v>
      </c>
      <c r="AC80" s="34">
        <v>45.83</v>
      </c>
      <c r="AD80" s="40">
        <v>8.6999999999999993</v>
      </c>
      <c r="AE80" s="4">
        <f>IF(H80="Senior",MAX(AA80,AC80),AA80+AC80)</f>
        <v>84.53</v>
      </c>
      <c r="AF80" s="34">
        <v>46.03</v>
      </c>
      <c r="AG80" s="37">
        <v>8.6999999999999993</v>
      </c>
    </row>
    <row r="81" spans="1:33" x14ac:dyDescent="0.2">
      <c r="A81" s="1" t="str" cm="1">
        <f t="array" ref="A81">IF(I81="","",IF(P81&lt;&gt;"",SUMPRODUCT((P$3:P$107&lt;&gt;"")*(G$3:G$107=G81)*(J$3:J$107&gt;J81)*(I$3:I$107="P"))+1,IF(O81&lt;&gt;"",SUMPRODUCT((O$3:O$107&lt;&gt;"")*(P$3:P$107="")*(G$3:G$107=G81)*(J$3:J$107&gt;J81)*(I$3:I$107="P"))+SUMPRODUCT((P$3:P$107&lt;&gt;"")*(G$3:G$107=G81)*(I$3:I$107="P"))+1,IF(N81&lt;&gt;"",SUMPRODUCT((N$3:N$107&lt;&gt;"")*(G$3:G$107=G81)*(J$3:J$107&gt;J81)*(I$3:I$107="P"))+1,IF(M81="P",SUMPRODUCT((O$3:O$107&lt;&gt;"")*(P$3:P$107="")*(G$3:G$107=G81)*(I$3:I$107="P"))+SUMPRODUCT((P$3:P$107&lt;&gt;"")*(G$3:G$107=G81)*(I$3:I$107="P"))+SUMPRODUCT((N$3:N$107&lt;&gt;"")*(G$3:G$107=G81)*(I$3:I$107="P"))+SUMPRODUCT((P$3:P$107="")*(O$3:O$107="")*(N$3:N$107="")*(M$3:M$107="P")*(G$3:G$107=G81)*(J$3:J$107&gt;J81)*(I$3:I$107="P"))+IF(H81="L5",SUMPRODUCT((P$3:P$107="")*(O$3:O$107="")*(N$3:N$107="")*(M$3:M$107="P")*(G$3:G$107=G81)*(J$3:J$107&lt;J81)*(H$3:H$107&lt;&gt;H81)*(I$3:I$107="P")),-1*SUMPRODUCT((P$3:P$107="")*(O$3:O$107="")*(N$3:N$107="")*(M$3:M$107="P")*(G$3:G$107=G81)*(J$3:J$107&gt;J81)*(H$3:H$107="L5")*(I$3:I$107="P")))+1,"")))))</f>
        <v/>
      </c>
      <c r="B81" s="1" t="str" cm="1">
        <f t="array" ref="B81">IF(P81&lt;&gt;"",SUMPRODUCT((P$3:P$107&lt;&gt;"")*(G$3:G$107=G81)*(J$3:J$107&gt;J81))+1,IF(O81&lt;&gt;"",SUMPRODUCT((O$3:O$107&lt;&gt;"")*(P$3:P$107="")*(G$3:G$107=G81)*(J$3:J$107&gt;J81))+SUMPRODUCT((P$3:P$107&lt;&gt;"")*(G$3:G$107=G81))+1,IF(N81&lt;&gt;"",SUMPRODUCT((N$3:N$107&lt;&gt;"")*(G$3:G$107=G81)*(J$3:J$107&gt;J81))+1,IF(M81="P",SUMPRODUCT((O$3:O$107&lt;&gt;"")*(P$3:P$107="")*(G$3:G$107=G81))+SUMPRODUCT((P$3:P$107&lt;&gt;"")*(G$3:G$107=G81))+SUMPRODUCT((N$3:N$107&lt;&gt;"")*(G$3:G$107=G81))+SUMPRODUCT((P$3:P$107="")*(O$3:O$107="")*(N$3:N$107="")*(M$3:M$107="P")*(G$3:G$107=G81)*(J$3:J$107&gt;J81))+IF(H81="L5",SUMPRODUCT((P$3:P$107="")*(O$3:O$107="")*(N$3:N$107="")*(M$3:M$107="P")*(G$3:G$107=G81)*(J$3:J$107&lt;J81)*(H$3:H$107&lt;&gt;H81)),-1*SUMPRODUCT((P$3:P$107="")*(O$3:O$107="")*(N$3:N$107="")*(M$3:M$107="P")*(G$3:G$107=G81)*(J$3:J$107&gt;J81)*(H$3:H$107="L5")))+1,""))))</f>
        <v/>
      </c>
      <c r="C81" s="36" t="s">
        <v>86</v>
      </c>
      <c r="D81" s="36" t="str">
        <f>IF(E81="","",VLOOKUP(E81,'Coaching Points'!A:B,2,0))</f>
        <v>BC</v>
      </c>
      <c r="E81" s="36" t="s">
        <v>72</v>
      </c>
      <c r="F81" s="35">
        <v>2007</v>
      </c>
      <c r="G81" s="1" t="str">
        <f>IF(OR('Qualifying Scores'!$B$1-F81&gt;21,'Qualifying Scores'!$B$1-F81&lt;11),"Not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9" t="s">
        <v>67</v>
      </c>
      <c r="I81" s="43" t="s">
        <v>567</v>
      </c>
      <c r="J81" s="4">
        <f>R81+S81+IF(OR(H81="Junior",H81="Senior"),0.0002,IF(OR(H81="L7",H81="L6"),0.0001,0))+IF(G81="17-21",MAX(AA81,AC81,AF81),AE81)*0.0000001</f>
        <v>129.270108134</v>
      </c>
      <c r="K81" s="3" t="str">
        <f>IF(G81="Not Age Eligible","",IF(G81="17-21",IF(MAX(T81,V81,Y81,AA81,AC81,AF81)&gt;=LOOKUP(G81,'Qualifying Scores'!$A$4:$A$7,'Qualifying Scores'!$B$4:$B$7),"P",""),IF(MAX(X81-U81,AE81-AB81)&gt;=LOOKUP(G81,'Qualifying Scores'!$A$4:$A$7,'Qualifying Scores'!$B$4:$B$7),"P","")))</f>
        <v/>
      </c>
      <c r="L81" s="3" t="str">
        <f>IF(G81="Not Age Eligible","",IF(G81="17-21",IF(MAX(U81,W81,Z81,AB81,AD81,AG81)&gt;=LOOKUP(G81,'Qualifying Scores'!$A$10:$A$13,'Qualifying Scores'!$B$10:$B$13),"P",""),IF(MAX(W81,AD81)&gt;=LOOKUP(G81,'Qualifying Scores'!$A$10:$A$13,'Qualifying Scores'!$B$10:$B$13),"P","")))</f>
        <v/>
      </c>
      <c r="M81" s="3" t="str">
        <f>IF(G81="Not Age Eligible","",IF(G81="17-21",IF(OR(AND(T81&gt;=LOOKUP(G81,'Qualifying Scores'!$A$4:$A$7,'Qualifying Scores'!$B$4:$B$7),U81&gt;=LOOKUP(G81,'Qualifying Scores'!$A$10:$A$13,'Qualifying Scores'!$B$10:$B$13)),AND(V81&gt;=LOOKUP(G81,'Qualifying Scores'!$A$4:$A$7,'Qualifying Scores'!$B$4:$B$7),W81&gt;=LOOKUP(G81,'Qualifying Scores'!$A$10:$A$13,'Qualifying Scores'!$B$10:$B$13)),AND(Y81&gt;=LOOKUP(G81,'Qualifying Scores'!$A$4:$A$7,'Qualifying Scores'!$B$4:$B$7),Z81&gt;=LOOKUP(G81,'Qualifying Scores'!$A$10:$A$13,'Qualifying Scores'!$B$10:$B$13)),AND(AA81&gt;=LOOKUP(G81,'Qualifying Scores'!$A$4:$A$7,'Qualifying Scores'!$B$4:$B$7),AB81&gt;=LOOKUP(G81,'Qualifying Scores'!$A$10:$A$13,'Qualifying Scores'!$B$10:$B$13)),AND(AC81&gt;=LOOKUP(G81,'Qualifying Scores'!$A$4:$A$7,'Qualifying Scores'!$B$4:$B$7),AD81&gt;=LOOKUP(G81,'Qualifying Scores'!$A$10:$A$13,'Qualifying Scores'!$B$10:$B$13)),AND(AF81&gt;=LOOKUP(G81,'Qualifying Scores'!$A$4:$A$7,'Qualifying Scores'!$B$4:$B$7),AG81&gt;=LOOKUP(G81,'Qualifying Scores'!$A$10:$A$13,'Qualifying Scores'!$B$10:$B$13))),"P",""),IF(OR(AND(X81-U81&gt;=LOOKUP(G81,'Qualifying Scores'!$A$4:$A$7,'Qualifying Scores'!$B$4:$B$7),W81&gt;=LOOKUP(G81,'Qualifying Scores'!$A$10:$A$13,'Qualifying Scores'!$B$10:$B$13)),AND(AE81-AB81&gt;=LOOKUP(G81,'Qualifying Scores'!$A$4:$A$7,'Qualifying Scores'!$B$4:$B$7),AD81&gt;=LOOKUP(G81,'Qualifying Scores'!$A$10:$A$13,'Qualifying Scores'!$B$10:$B$13))),"P","")))</f>
        <v/>
      </c>
      <c r="Q81" s="1" t="str">
        <f>IF(A81&lt;5,IF(_xlfn.MAXIFS(A:A,G:G,G81)&gt;3,5-A81,_xlfn.MAXIFS(A:A,G:G,G81)+1-A81),"")</f>
        <v/>
      </c>
      <c r="R81" s="4">
        <f>IF(G81="17-21",MAX(T81,V81,Y81,AA81,AC81,AF81),MAX(X81,AE81))</f>
        <v>84.3</v>
      </c>
      <c r="S81" s="4">
        <f>IF(G81="17-21",LARGE(CHOOSE({1,2,3,4,5,6},T81,V81,Y81,AA81,AC81,AF81),2),IF(R81=X81,MAX(Y81,AA81,AC81,AF81),IF(R81=AE81,MAX(AF81,T81,V81,Y81),0)))</f>
        <v>44.97</v>
      </c>
      <c r="T81" s="33">
        <v>39.94</v>
      </c>
      <c r="U81" s="40">
        <v>0</v>
      </c>
      <c r="V81" s="34">
        <v>44.36</v>
      </c>
      <c r="W81" s="40">
        <v>10.5</v>
      </c>
      <c r="X81" s="4">
        <f>IF(H81="Senior",MAX(T81,V81),T81+V81)</f>
        <v>84.3</v>
      </c>
      <c r="Y81" s="34">
        <v>44.97</v>
      </c>
      <c r="Z81" s="40">
        <v>10.5</v>
      </c>
      <c r="AA81" s="33">
        <v>38.979999999999997</v>
      </c>
      <c r="AB81" s="40">
        <v>0</v>
      </c>
      <c r="AC81" s="34">
        <v>42.36</v>
      </c>
      <c r="AD81" s="40">
        <v>9.9</v>
      </c>
      <c r="AE81" s="4">
        <f>IF(H81="Senior",MAX(AA81,AC81),AA81+AC81)</f>
        <v>81.34</v>
      </c>
      <c r="AF81" s="34">
        <v>43.99</v>
      </c>
      <c r="AG81" s="37">
        <v>9.9</v>
      </c>
    </row>
    <row r="82" spans="1:33" x14ac:dyDescent="0.2">
      <c r="A82" s="1" t="str" cm="1">
        <f t="array" ref="A82">IF(I82="","",IF(P82&lt;&gt;"",SUMPRODUCT((P$3:P$107&lt;&gt;"")*(G$3:G$107=G82)*(J$3:J$107&gt;J82)*(I$3:I$107="P"))+1,IF(O82&lt;&gt;"",SUMPRODUCT((O$3:O$107&lt;&gt;"")*(P$3:P$107="")*(G$3:G$107=G82)*(J$3:J$107&gt;J82)*(I$3:I$107="P"))+SUMPRODUCT((P$3:P$107&lt;&gt;"")*(G$3:G$107=G82)*(I$3:I$107="P"))+1,IF(N82&lt;&gt;"",SUMPRODUCT((N$3:N$107&lt;&gt;"")*(G$3:G$107=G82)*(J$3:J$107&gt;J82)*(I$3:I$107="P"))+1,IF(M82="P",SUMPRODUCT((O$3:O$107&lt;&gt;"")*(P$3:P$107="")*(G$3:G$107=G82)*(I$3:I$107="P"))+SUMPRODUCT((P$3:P$107&lt;&gt;"")*(G$3:G$107=G82)*(I$3:I$107="P"))+SUMPRODUCT((N$3:N$107&lt;&gt;"")*(G$3:G$107=G82)*(I$3:I$107="P"))+SUMPRODUCT((P$3:P$107="")*(O$3:O$107="")*(N$3:N$107="")*(M$3:M$107="P")*(G$3:G$107=G82)*(J$3:J$107&gt;J82)*(I$3:I$107="P"))+IF(H82="L5",SUMPRODUCT((P$3:P$107="")*(O$3:O$107="")*(N$3:N$107="")*(M$3:M$107="P")*(G$3:G$107=G82)*(J$3:J$107&lt;J82)*(H$3:H$107&lt;&gt;H82)*(I$3:I$107="P")),-1*SUMPRODUCT((P$3:P$107="")*(O$3:O$107="")*(N$3:N$107="")*(M$3:M$107="P")*(G$3:G$107=G82)*(J$3:J$107&gt;J82)*(H$3:H$107="L5")*(I$3:I$107="P")))+1,"")))))</f>
        <v/>
      </c>
      <c r="B82" s="1" t="str" cm="1">
        <f t="array" ref="B82">IF(P82&lt;&gt;"",SUMPRODUCT((P$3:P$107&lt;&gt;"")*(G$3:G$107=G82)*(J$3:J$107&gt;J82))+1,IF(O82&lt;&gt;"",SUMPRODUCT((O$3:O$107&lt;&gt;"")*(P$3:P$107="")*(G$3:G$107=G82)*(J$3:J$107&gt;J82))+SUMPRODUCT((P$3:P$107&lt;&gt;"")*(G$3:G$107=G82))+1,IF(N82&lt;&gt;"",SUMPRODUCT((N$3:N$107&lt;&gt;"")*(G$3:G$107=G82)*(J$3:J$107&gt;J82))+1,IF(M82="P",SUMPRODUCT((O$3:O$107&lt;&gt;"")*(P$3:P$107="")*(G$3:G$107=G82))+SUMPRODUCT((P$3:P$107&lt;&gt;"")*(G$3:G$107=G82))+SUMPRODUCT((N$3:N$107&lt;&gt;"")*(G$3:G$107=G82))+SUMPRODUCT((P$3:P$107="")*(O$3:O$107="")*(N$3:N$107="")*(M$3:M$107="P")*(G$3:G$107=G82)*(J$3:J$107&gt;J82))+IF(H82="L5",SUMPRODUCT((P$3:P$107="")*(O$3:O$107="")*(N$3:N$107="")*(M$3:M$107="P")*(G$3:G$107=G82)*(J$3:J$107&lt;J82)*(H$3:H$107&lt;&gt;H82)),-1*SUMPRODUCT((P$3:P$107="")*(O$3:O$107="")*(N$3:N$107="")*(M$3:M$107="P")*(G$3:G$107=G82)*(J$3:J$107&gt;J82)*(H$3:H$107="L5")))+1,""))))</f>
        <v/>
      </c>
      <c r="C82" s="36" t="s">
        <v>327</v>
      </c>
      <c r="D82" s="36" t="str">
        <f>IF(E82="","",VLOOKUP(E82,'Coaching Points'!A:B,2,0))</f>
        <v>ON</v>
      </c>
      <c r="E82" s="36" t="s">
        <v>113</v>
      </c>
      <c r="F82" s="35">
        <v>2007</v>
      </c>
      <c r="G82" s="1" t="str">
        <f>IF(OR('Qualifying Scores'!$B$1-F82&gt;21,'Qualifying Scores'!$B$1-F82&lt;11),"Not Age Eligible",IF('Qualifying Scores'!$B$1-F82&gt;16,"17-21",IF('Qualifying Scores'!$B$1-F82&gt;14,"15-16",IF('Qualifying Scores'!$B$1-F82&gt;12,"13-14",IF('Qualifying Scores'!$B$1-F82&gt;10,"11-12","Not Age Eligible")))))</f>
        <v>15-16</v>
      </c>
      <c r="H82" s="39" t="s">
        <v>66</v>
      </c>
      <c r="I82" s="43"/>
      <c r="J82" s="4">
        <f>R82+S82+IF(OR(H82="Junior",H82="Senior"),0.0002,IF(OR(H82="L7",H82="L6"),0.0001,0))+IF(G82="17-21",MAX(AA82,AC82,AF82),AE82)*0.0000001</f>
        <v>127.67</v>
      </c>
      <c r="K82" s="3" t="str">
        <f>IF(G82="Not Age Eligible","",IF(G82="17-21",IF(MAX(T82,V82,Y82,AA82,AC82,AF82)&gt;=LOOKUP(G82,'Qualifying Scores'!$A$4:$A$7,'Qualifying Scores'!$B$4:$B$7),"P",""),IF(MAX(X82-U82,AE82-AB82)&gt;=LOOKUP(G82,'Qualifying Scores'!$A$4:$A$7,'Qualifying Scores'!$B$4:$B$7),"P","")))</f>
        <v/>
      </c>
      <c r="L82" s="3" t="str">
        <f>IF(G82="Not Age Eligible","",IF(G82="17-21",IF(MAX(U82,W82,Z82,AB82,AD82,AG82)&gt;=LOOKUP(G82,'Qualifying Scores'!$A$10:$A$13,'Qualifying Scores'!$B$10:$B$13),"P",""),IF(MAX(W82,AD82)&gt;=LOOKUP(G82,'Qualifying Scores'!$A$10:$A$13,'Qualifying Scores'!$B$10:$B$13),"P","")))</f>
        <v/>
      </c>
      <c r="M82" s="3" t="str">
        <f>IF(G82="Not Age Eligible","",IF(G82="17-21",IF(OR(AND(T82&gt;=LOOKUP(G82,'Qualifying Scores'!$A$4:$A$7,'Qualifying Scores'!$B$4:$B$7),U82&gt;=LOOKUP(G82,'Qualifying Scores'!$A$10:$A$13,'Qualifying Scores'!$B$10:$B$13)),AND(V82&gt;=LOOKUP(G82,'Qualifying Scores'!$A$4:$A$7,'Qualifying Scores'!$B$4:$B$7),W82&gt;=LOOKUP(G82,'Qualifying Scores'!$A$10:$A$13,'Qualifying Scores'!$B$10:$B$13)),AND(Y82&gt;=LOOKUP(G82,'Qualifying Scores'!$A$4:$A$7,'Qualifying Scores'!$B$4:$B$7),Z82&gt;=LOOKUP(G82,'Qualifying Scores'!$A$10:$A$13,'Qualifying Scores'!$B$10:$B$13)),AND(AA82&gt;=LOOKUP(G82,'Qualifying Scores'!$A$4:$A$7,'Qualifying Scores'!$B$4:$B$7),AB82&gt;=LOOKUP(G82,'Qualifying Scores'!$A$10:$A$13,'Qualifying Scores'!$B$10:$B$13)),AND(AC82&gt;=LOOKUP(G82,'Qualifying Scores'!$A$4:$A$7,'Qualifying Scores'!$B$4:$B$7),AD82&gt;=LOOKUP(G82,'Qualifying Scores'!$A$10:$A$13,'Qualifying Scores'!$B$10:$B$13)),AND(AF82&gt;=LOOKUP(G82,'Qualifying Scores'!$A$4:$A$7,'Qualifying Scores'!$B$4:$B$7),AG82&gt;=LOOKUP(G82,'Qualifying Scores'!$A$10:$A$13,'Qualifying Scores'!$B$10:$B$13))),"P",""),IF(OR(AND(X82-U82&gt;=LOOKUP(G82,'Qualifying Scores'!$A$4:$A$7,'Qualifying Scores'!$B$4:$B$7),W82&gt;=LOOKUP(G82,'Qualifying Scores'!$A$10:$A$13,'Qualifying Scores'!$B$10:$B$13)),AND(AE82-AB82&gt;=LOOKUP(G82,'Qualifying Scores'!$A$4:$A$7,'Qualifying Scores'!$B$4:$B$7),AD82&gt;=LOOKUP(G82,'Qualifying Scores'!$A$10:$A$13,'Qualifying Scores'!$B$10:$B$13))),"P","")))</f>
        <v/>
      </c>
      <c r="Q82" s="1" t="str">
        <f>IF(A82&lt;5,IF(_xlfn.MAXIFS(A:A,G:G,G82)&gt;3,5-A82,_xlfn.MAXIFS(A:A,G:G,G82)+1-A82),"")</f>
        <v/>
      </c>
      <c r="R82" s="4">
        <f>IF(G82="17-21",MAX(T82,V82,Y82,AA82,AC82,AF82),MAX(X82,AE82))</f>
        <v>84.17</v>
      </c>
      <c r="S82" s="4">
        <f>IF(G82="17-21",LARGE(CHOOSE({1,2,3,4,5,6},T82,V82,Y82,AA82,AC82,AF82),2),IF(R82=X82,MAX(Y82,AA82,AC82,AF82),IF(R82=AE82,MAX(AF82,T82,V82,Y82),0)))</f>
        <v>43.5</v>
      </c>
      <c r="T82" s="33">
        <v>39.11</v>
      </c>
      <c r="U82" s="40">
        <v>0</v>
      </c>
      <c r="V82" s="34">
        <v>45.06</v>
      </c>
      <c r="W82" s="40">
        <v>9.4</v>
      </c>
      <c r="X82" s="4">
        <f>IF(H82="Senior",MAX(T82,V82),T82+V82)</f>
        <v>84.17</v>
      </c>
      <c r="Y82" s="34">
        <v>43.5</v>
      </c>
      <c r="Z82" s="40">
        <v>9.4</v>
      </c>
      <c r="AA82" s="33"/>
      <c r="AB82" s="40"/>
      <c r="AC82" s="34"/>
      <c r="AD82" s="40"/>
      <c r="AE82" s="4">
        <f>IF(H82="Senior",MAX(AA82,AC82),AA82+AC82)</f>
        <v>0</v>
      </c>
      <c r="AF82" s="34"/>
      <c r="AG82" s="37"/>
    </row>
    <row r="83" spans="1:33" x14ac:dyDescent="0.2">
      <c r="A83" s="1" t="str" cm="1">
        <f t="array" ref="A83">IF(I83="","",IF(P83&lt;&gt;"",SUMPRODUCT((P$3:P$107&lt;&gt;"")*(G$3:G$107=G83)*(J$3:J$107&gt;J83)*(I$3:I$107="P"))+1,IF(O83&lt;&gt;"",SUMPRODUCT((O$3:O$107&lt;&gt;"")*(P$3:P$107="")*(G$3:G$107=G83)*(J$3:J$107&gt;J83)*(I$3:I$107="P"))+SUMPRODUCT((P$3:P$107&lt;&gt;"")*(G$3:G$107=G83)*(I$3:I$107="P"))+1,IF(N83&lt;&gt;"",SUMPRODUCT((N$3:N$107&lt;&gt;"")*(G$3:G$107=G83)*(J$3:J$107&gt;J83)*(I$3:I$107="P"))+1,IF(M83="P",SUMPRODUCT((O$3:O$107&lt;&gt;"")*(P$3:P$107="")*(G$3:G$107=G83)*(I$3:I$107="P"))+SUMPRODUCT((P$3:P$107&lt;&gt;"")*(G$3:G$107=G83)*(I$3:I$107="P"))+SUMPRODUCT((N$3:N$107&lt;&gt;"")*(G$3:G$107=G83)*(I$3:I$107="P"))+SUMPRODUCT((P$3:P$107="")*(O$3:O$107="")*(N$3:N$107="")*(M$3:M$107="P")*(G$3:G$107=G83)*(J$3:J$107&gt;J83)*(I$3:I$107="P"))+IF(H83="L5",SUMPRODUCT((P$3:P$107="")*(O$3:O$107="")*(N$3:N$107="")*(M$3:M$107="P")*(G$3:G$107=G83)*(J$3:J$107&lt;J83)*(H$3:H$107&lt;&gt;H83)*(I$3:I$107="P")),-1*SUMPRODUCT((P$3:P$107="")*(O$3:O$107="")*(N$3:N$107="")*(M$3:M$107="P")*(G$3:G$107=G83)*(J$3:J$107&gt;J83)*(H$3:H$107="L5")*(I$3:I$107="P")))+1,"")))))</f>
        <v/>
      </c>
      <c r="B83" s="1" t="str" cm="1">
        <f t="array" ref="B83">IF(P83&lt;&gt;"",SUMPRODUCT((P$3:P$107&lt;&gt;"")*(G$3:G$107=G83)*(J$3:J$107&gt;J83))+1,IF(O83&lt;&gt;"",SUMPRODUCT((O$3:O$107&lt;&gt;"")*(P$3:P$107="")*(G$3:G$107=G83)*(J$3:J$107&gt;J83))+SUMPRODUCT((P$3:P$107&lt;&gt;"")*(G$3:G$107=G83))+1,IF(N83&lt;&gt;"",SUMPRODUCT((N$3:N$107&lt;&gt;"")*(G$3:G$107=G83)*(J$3:J$107&gt;J83))+1,IF(M83="P",SUMPRODUCT((O$3:O$107&lt;&gt;"")*(P$3:P$107="")*(G$3:G$107=G83))+SUMPRODUCT((P$3:P$107&lt;&gt;"")*(G$3:G$107=G83))+SUMPRODUCT((N$3:N$107&lt;&gt;"")*(G$3:G$107=G83))+SUMPRODUCT((P$3:P$107="")*(O$3:O$107="")*(N$3:N$107="")*(M$3:M$107="P")*(G$3:G$107=G83)*(J$3:J$107&gt;J83))+IF(H83="L5",SUMPRODUCT((P$3:P$107="")*(O$3:O$107="")*(N$3:N$107="")*(M$3:M$107="P")*(G$3:G$107=G83)*(J$3:J$107&lt;J83)*(H$3:H$107&lt;&gt;H83)),-1*SUMPRODUCT((P$3:P$107="")*(O$3:O$107="")*(N$3:N$107="")*(M$3:M$107="P")*(G$3:G$107=G83)*(J$3:J$107&gt;J83)*(H$3:H$107="L5")))+1,""))))</f>
        <v/>
      </c>
      <c r="C83" s="36" t="s">
        <v>314</v>
      </c>
      <c r="D83" s="36" t="str">
        <f>IF(E83="","",VLOOKUP(E83,'Coaching Points'!A:B,2,0))</f>
        <v>ON</v>
      </c>
      <c r="E83" s="36" t="s">
        <v>38</v>
      </c>
      <c r="F83" s="35">
        <v>2007</v>
      </c>
      <c r="G83" s="1" t="str">
        <f>IF(OR('Qualifying Scores'!$B$1-F83&gt;21,'Qualifying Scores'!$B$1-F83&lt;11),"Not Age Eligible",IF('Qualifying Scores'!$B$1-F83&gt;16,"17-21",IF('Qualifying Scores'!$B$1-F83&gt;14,"15-16",IF('Qualifying Scores'!$B$1-F83&gt;12,"13-14",IF('Qualifying Scores'!$B$1-F83&gt;10,"11-12","Not Age Eligible")))))</f>
        <v>15-16</v>
      </c>
      <c r="H83" s="39" t="s">
        <v>67</v>
      </c>
      <c r="I83" s="43"/>
      <c r="J83" s="4">
        <f>R83+S83+IF(OR(H83="Junior",H83="Senior"),0.0002,IF(OR(H83="L7",H83="L6"),0.0001,0))+IF(G83="17-21",MAX(AA83,AC83,AF83),AE83)*0.0000001</f>
        <v>124.65010487900001</v>
      </c>
      <c r="K83" s="3" t="str">
        <f>IF(G83="Not Age Eligible","",IF(G83="17-21",IF(MAX(T83,V83,Y83,AA83,AC83,AF83)&gt;=LOOKUP(G83,'Qualifying Scores'!$A$4:$A$7,'Qualifying Scores'!$B$4:$B$7),"P",""),IF(MAX(X83-U83,AE83-AB83)&gt;=LOOKUP(G83,'Qualifying Scores'!$A$4:$A$7,'Qualifying Scores'!$B$4:$B$7),"P","")))</f>
        <v/>
      </c>
      <c r="L83" s="3" t="str">
        <f>IF(G83="Not Age Eligible","",IF(G83="17-21",IF(MAX(U83,W83,Z83,AB83,AD83,AG83)&gt;=LOOKUP(G83,'Qualifying Scores'!$A$10:$A$13,'Qualifying Scores'!$B$10:$B$13),"P",""),IF(MAX(W83,AD83)&gt;=LOOKUP(G83,'Qualifying Scores'!$A$10:$A$13,'Qualifying Scores'!$B$10:$B$13),"P","")))</f>
        <v/>
      </c>
      <c r="M83" s="3" t="str">
        <f>IF(G83="Not Age Eligible","",IF(G83="17-21",IF(OR(AND(T83&gt;=LOOKUP(G83,'Qualifying Scores'!$A$4:$A$7,'Qualifying Scores'!$B$4:$B$7),U83&gt;=LOOKUP(G83,'Qualifying Scores'!$A$10:$A$13,'Qualifying Scores'!$B$10:$B$13)),AND(V83&gt;=LOOKUP(G83,'Qualifying Scores'!$A$4:$A$7,'Qualifying Scores'!$B$4:$B$7),W83&gt;=LOOKUP(G83,'Qualifying Scores'!$A$10:$A$13,'Qualifying Scores'!$B$10:$B$13)),AND(Y83&gt;=LOOKUP(G83,'Qualifying Scores'!$A$4:$A$7,'Qualifying Scores'!$B$4:$B$7),Z83&gt;=LOOKUP(G83,'Qualifying Scores'!$A$10:$A$13,'Qualifying Scores'!$B$10:$B$13)),AND(AA83&gt;=LOOKUP(G83,'Qualifying Scores'!$A$4:$A$7,'Qualifying Scores'!$B$4:$B$7),AB83&gt;=LOOKUP(G83,'Qualifying Scores'!$A$10:$A$13,'Qualifying Scores'!$B$10:$B$13)),AND(AC83&gt;=LOOKUP(G83,'Qualifying Scores'!$A$4:$A$7,'Qualifying Scores'!$B$4:$B$7),AD83&gt;=LOOKUP(G83,'Qualifying Scores'!$A$10:$A$13,'Qualifying Scores'!$B$10:$B$13)),AND(AF83&gt;=LOOKUP(G83,'Qualifying Scores'!$A$4:$A$7,'Qualifying Scores'!$B$4:$B$7),AG83&gt;=LOOKUP(G83,'Qualifying Scores'!$A$10:$A$13,'Qualifying Scores'!$B$10:$B$13))),"P",""),IF(OR(AND(X83-U83&gt;=LOOKUP(G83,'Qualifying Scores'!$A$4:$A$7,'Qualifying Scores'!$B$4:$B$7),W83&gt;=LOOKUP(G83,'Qualifying Scores'!$A$10:$A$13,'Qualifying Scores'!$B$10:$B$13)),AND(AE83-AB83&gt;=LOOKUP(G83,'Qualifying Scores'!$A$4:$A$7,'Qualifying Scores'!$B$4:$B$7),AD83&gt;=LOOKUP(G83,'Qualifying Scores'!$A$10:$A$13,'Qualifying Scores'!$B$10:$B$13))),"P","")))</f>
        <v/>
      </c>
      <c r="Q83" s="1" t="str">
        <f>IF(A83&lt;5,IF(_xlfn.MAXIFS(A:A,G:G,G83)&gt;3,5-A83,_xlfn.MAXIFS(A:A,G:G,G83)+1-A83),"")</f>
        <v/>
      </c>
      <c r="R83" s="4">
        <f>IF(G83="17-21",MAX(T83,V83,Y83,AA83,AC83,AF83),MAX(X83,AE83))</f>
        <v>79.77000000000001</v>
      </c>
      <c r="S83" s="4">
        <f>IF(G83="17-21",LARGE(CHOOSE({1,2,3,4,5,6},T83,V83,Y83,AA83,AC83,AF83),2),IF(R83=X83,MAX(Y83,AA83,AC83,AF83),IF(R83=AE83,MAX(AF83,T83,V83,Y83),0)))</f>
        <v>44.88</v>
      </c>
      <c r="T83" s="33">
        <v>36.93</v>
      </c>
      <c r="U83" s="40">
        <v>0</v>
      </c>
      <c r="V83" s="34">
        <v>42.84</v>
      </c>
      <c r="W83" s="40">
        <v>9.6999999999999993</v>
      </c>
      <c r="X83" s="4">
        <f>IF(H83="Senior",MAX(T83,V83),T83+V83)</f>
        <v>79.77000000000001</v>
      </c>
      <c r="Y83" s="34">
        <v>44.88</v>
      </c>
      <c r="Z83" s="40">
        <v>9.6</v>
      </c>
      <c r="AA83" s="33">
        <v>38.61</v>
      </c>
      <c r="AB83" s="40">
        <v>0</v>
      </c>
      <c r="AC83" s="34">
        <v>10.18</v>
      </c>
      <c r="AD83" s="40">
        <v>2.7</v>
      </c>
      <c r="AE83" s="4">
        <f>IF(H83="Senior",MAX(AA83,AC83),AA83+AC83)</f>
        <v>48.79</v>
      </c>
      <c r="AF83" s="34"/>
      <c r="AG83" s="37"/>
    </row>
    <row r="84" spans="1:33" x14ac:dyDescent="0.2">
      <c r="A84" s="1" t="str" cm="1">
        <f t="array" ref="A84">IF(I84="","",IF(P84&lt;&gt;"",SUMPRODUCT((P$3:P$107&lt;&gt;"")*(G$3:G$107=G84)*(J$3:J$107&gt;J84)*(I$3:I$107="P"))+1,IF(O84&lt;&gt;"",SUMPRODUCT((O$3:O$107&lt;&gt;"")*(P$3:P$107="")*(G$3:G$107=G84)*(J$3:J$107&gt;J84)*(I$3:I$107="P"))+SUMPRODUCT((P$3:P$107&lt;&gt;"")*(G$3:G$107=G84)*(I$3:I$107="P"))+1,IF(N84&lt;&gt;"",SUMPRODUCT((N$3:N$107&lt;&gt;"")*(G$3:G$107=G84)*(J$3:J$107&gt;J84)*(I$3:I$107="P"))+1,IF(M84="P",SUMPRODUCT((O$3:O$107&lt;&gt;"")*(P$3:P$107="")*(G$3:G$107=G84)*(I$3:I$107="P"))+SUMPRODUCT((P$3:P$107&lt;&gt;"")*(G$3:G$107=G84)*(I$3:I$107="P"))+SUMPRODUCT((N$3:N$107&lt;&gt;"")*(G$3:G$107=G84)*(I$3:I$107="P"))+SUMPRODUCT((P$3:P$107="")*(O$3:O$107="")*(N$3:N$107="")*(M$3:M$107="P")*(G$3:G$107=G84)*(J$3:J$107&gt;J84)*(I$3:I$107="P"))+IF(H84="L5",SUMPRODUCT((P$3:P$107="")*(O$3:O$107="")*(N$3:N$107="")*(M$3:M$107="P")*(G$3:G$107=G84)*(J$3:J$107&lt;J84)*(H$3:H$107&lt;&gt;H84)*(I$3:I$107="P")),-1*SUMPRODUCT((P$3:P$107="")*(O$3:O$107="")*(N$3:N$107="")*(M$3:M$107="P")*(G$3:G$107=G84)*(J$3:J$107&gt;J84)*(H$3:H$107="L5")*(I$3:I$107="P")))+1,"")))))</f>
        <v/>
      </c>
      <c r="B84" s="1" t="str" cm="1">
        <f t="array" ref="B84">IF(P84&lt;&gt;"",SUMPRODUCT((P$3:P$107&lt;&gt;"")*(G$3:G$107=G84)*(J$3:J$107&gt;J84))+1,IF(O84&lt;&gt;"",SUMPRODUCT((O$3:O$107&lt;&gt;"")*(P$3:P$107="")*(G$3:G$107=G84)*(J$3:J$107&gt;J84))+SUMPRODUCT((P$3:P$107&lt;&gt;"")*(G$3:G$107=G84))+1,IF(N84&lt;&gt;"",SUMPRODUCT((N$3:N$107&lt;&gt;"")*(G$3:G$107=G84)*(J$3:J$107&gt;J84))+1,IF(M84="P",SUMPRODUCT((O$3:O$107&lt;&gt;"")*(P$3:P$107="")*(G$3:G$107=G84))+SUMPRODUCT((P$3:P$107&lt;&gt;"")*(G$3:G$107=G84))+SUMPRODUCT((N$3:N$107&lt;&gt;"")*(G$3:G$107=G84))+SUMPRODUCT((P$3:P$107="")*(O$3:O$107="")*(N$3:N$107="")*(M$3:M$107="P")*(G$3:G$107=G84)*(J$3:J$107&gt;J84))+IF(H84="L5",SUMPRODUCT((P$3:P$107="")*(O$3:O$107="")*(N$3:N$107="")*(M$3:M$107="P")*(G$3:G$107=G84)*(J$3:J$107&lt;J84)*(H$3:H$107&lt;&gt;H84)),-1*SUMPRODUCT((P$3:P$107="")*(O$3:O$107="")*(N$3:N$107="")*(M$3:M$107="P")*(G$3:G$107=G84)*(J$3:J$107&gt;J84)*(H$3:H$107="L5")))+1,""))))</f>
        <v/>
      </c>
      <c r="C84" s="36" t="s">
        <v>490</v>
      </c>
      <c r="D84" s="36" t="str">
        <f>IF(E84="","",VLOOKUP(E84,'Coaching Points'!A:B,2,0))</f>
        <v>AB</v>
      </c>
      <c r="E84" s="36" t="s">
        <v>29</v>
      </c>
      <c r="F84" s="35">
        <v>2008</v>
      </c>
      <c r="G84" s="1" t="str">
        <f>IF(OR('Qualifying Scores'!$B$1-F84&gt;21,'Qualifying Scores'!$B$1-F84&lt;11),"Not Age Eligible",IF('Qualifying Scores'!$B$1-F84&gt;16,"17-21",IF('Qualifying Scores'!$B$1-F84&gt;14,"15-16",IF('Qualifying Scores'!$B$1-F84&gt;12,"13-14",IF('Qualifying Scores'!$B$1-F84&gt;10,"11-12","Not Age Eligible")))))</f>
        <v>15-16</v>
      </c>
      <c r="H84" s="39" t="s">
        <v>67</v>
      </c>
      <c r="I84" s="43"/>
      <c r="J84" s="4">
        <f>R84+S84+IF(OR(H84="Junior",H84="Senior"),0.0002,IF(OR(H84="L7",H84="L6"),0.0001,0))+IF(G84="17-21",MAX(AA84,AC84,AF84),AE84)*0.0000001</f>
        <v>124.260107897</v>
      </c>
      <c r="K84" s="3" t="str">
        <f>IF(G84="Not Age Eligible","",IF(G84="17-21",IF(MAX(T84,V84,Y84,AA84,AC84,AF84)&gt;=LOOKUP(G84,'Qualifying Scores'!$A$4:$A$7,'Qualifying Scores'!$B$4:$B$7),"P",""),IF(MAX(X84-U84,AE84-AB84)&gt;=LOOKUP(G84,'Qualifying Scores'!$A$4:$A$7,'Qualifying Scores'!$B$4:$B$7),"P","")))</f>
        <v/>
      </c>
      <c r="L84" s="3" t="str">
        <f>IF(G84="Not Age Eligible","",IF(G84="17-21",IF(MAX(U84,W84,Z84,AB84,AD84,AG84)&gt;=LOOKUP(G84,'Qualifying Scores'!$A$10:$A$13,'Qualifying Scores'!$B$10:$B$13),"P",""),IF(MAX(W84,AD84)&gt;=LOOKUP(G84,'Qualifying Scores'!$A$10:$A$13,'Qualifying Scores'!$B$10:$B$13),"P","")))</f>
        <v/>
      </c>
      <c r="M84" s="3" t="str">
        <f>IF(G84="Not Age Eligible","",IF(G84="17-21",IF(OR(AND(T84&gt;=LOOKUP(G84,'Qualifying Scores'!$A$4:$A$7,'Qualifying Scores'!$B$4:$B$7),U84&gt;=LOOKUP(G84,'Qualifying Scores'!$A$10:$A$13,'Qualifying Scores'!$B$10:$B$13)),AND(V84&gt;=LOOKUP(G84,'Qualifying Scores'!$A$4:$A$7,'Qualifying Scores'!$B$4:$B$7),W84&gt;=LOOKUP(G84,'Qualifying Scores'!$A$10:$A$13,'Qualifying Scores'!$B$10:$B$13)),AND(Y84&gt;=LOOKUP(G84,'Qualifying Scores'!$A$4:$A$7,'Qualifying Scores'!$B$4:$B$7),Z84&gt;=LOOKUP(G84,'Qualifying Scores'!$A$10:$A$13,'Qualifying Scores'!$B$10:$B$13)),AND(AA84&gt;=LOOKUP(G84,'Qualifying Scores'!$A$4:$A$7,'Qualifying Scores'!$B$4:$B$7),AB84&gt;=LOOKUP(G84,'Qualifying Scores'!$A$10:$A$13,'Qualifying Scores'!$B$10:$B$13)),AND(AC84&gt;=LOOKUP(G84,'Qualifying Scores'!$A$4:$A$7,'Qualifying Scores'!$B$4:$B$7),AD84&gt;=LOOKUP(G84,'Qualifying Scores'!$A$10:$A$13,'Qualifying Scores'!$B$10:$B$13)),AND(AF84&gt;=LOOKUP(G84,'Qualifying Scores'!$A$4:$A$7,'Qualifying Scores'!$B$4:$B$7),AG84&gt;=LOOKUP(G84,'Qualifying Scores'!$A$10:$A$13,'Qualifying Scores'!$B$10:$B$13))),"P",""),IF(OR(AND(X84-U84&gt;=LOOKUP(G84,'Qualifying Scores'!$A$4:$A$7,'Qualifying Scores'!$B$4:$B$7),W84&gt;=LOOKUP(G84,'Qualifying Scores'!$A$10:$A$13,'Qualifying Scores'!$B$10:$B$13)),AND(AE84-AB84&gt;=LOOKUP(G84,'Qualifying Scores'!$A$4:$A$7,'Qualifying Scores'!$B$4:$B$7),AD84&gt;=LOOKUP(G84,'Qualifying Scores'!$A$10:$A$13,'Qualifying Scores'!$B$10:$B$13))),"P","")))</f>
        <v/>
      </c>
      <c r="Q84" s="1" t="str">
        <f>IF(A84&lt;5,IF(_xlfn.MAXIFS(A:A,G:G,G84)&gt;3,5-A84,_xlfn.MAXIFS(A:A,G:G,G84)+1-A84),"")</f>
        <v/>
      </c>
      <c r="R84" s="4">
        <f>IF(G84="17-21",MAX(T84,V84,Y84,AA84,AC84,AF84),MAX(X84,AE84))</f>
        <v>78.97</v>
      </c>
      <c r="S84" s="4">
        <f>IF(G84="17-21",LARGE(CHOOSE({1,2,3,4,5,6},T84,V84,Y84,AA84,AC84,AF84),2),IF(R84=X84,MAX(Y84,AA84,AC84,AF84),IF(R84=AE84,MAX(AF84,T84,V84,Y84),0)))</f>
        <v>45.29</v>
      </c>
      <c r="T84" s="33"/>
      <c r="U84" s="40"/>
      <c r="V84" s="34"/>
      <c r="W84" s="40"/>
      <c r="X84" s="4">
        <f>IF(H84="Senior",MAX(T84,V84),T84+V84)</f>
        <v>0</v>
      </c>
      <c r="Y84" s="34"/>
      <c r="Z84" s="40"/>
      <c r="AA84" s="33">
        <v>38.21</v>
      </c>
      <c r="AB84" s="40">
        <v>0</v>
      </c>
      <c r="AC84" s="34">
        <v>40.76</v>
      </c>
      <c r="AD84" s="40">
        <v>7.8</v>
      </c>
      <c r="AE84" s="4">
        <f>IF(H84="Senior",MAX(AA84,AC84),AA84+AC84)</f>
        <v>78.97</v>
      </c>
      <c r="AF84" s="34">
        <v>45.29</v>
      </c>
      <c r="AG84" s="37">
        <v>10.3</v>
      </c>
    </row>
    <row r="85" spans="1:33" x14ac:dyDescent="0.2">
      <c r="A85" s="1" t="str" cm="1">
        <f t="array" ref="A85">IF(I85="","",IF(P85&lt;&gt;"",SUMPRODUCT((P$3:P$107&lt;&gt;"")*(G$3:G$107=G85)*(J$3:J$107&gt;J85)*(I$3:I$107="P"))+1,IF(O85&lt;&gt;"",SUMPRODUCT((O$3:O$107&lt;&gt;"")*(P$3:P$107="")*(G$3:G$107=G85)*(J$3:J$107&gt;J85)*(I$3:I$107="P"))+SUMPRODUCT((P$3:P$107&lt;&gt;"")*(G$3:G$107=G85)*(I$3:I$107="P"))+1,IF(N85&lt;&gt;"",SUMPRODUCT((N$3:N$107&lt;&gt;"")*(G$3:G$107=G85)*(J$3:J$107&gt;J85)*(I$3:I$107="P"))+1,IF(M85="P",SUMPRODUCT((O$3:O$107&lt;&gt;"")*(P$3:P$107="")*(G$3:G$107=G85)*(I$3:I$107="P"))+SUMPRODUCT((P$3:P$107&lt;&gt;"")*(G$3:G$107=G85)*(I$3:I$107="P"))+SUMPRODUCT((N$3:N$107&lt;&gt;"")*(G$3:G$107=G85)*(I$3:I$107="P"))+SUMPRODUCT((P$3:P$107="")*(O$3:O$107="")*(N$3:N$107="")*(M$3:M$107="P")*(G$3:G$107=G85)*(J$3:J$107&gt;J85)*(I$3:I$107="P"))+IF(H85="L5",SUMPRODUCT((P$3:P$107="")*(O$3:O$107="")*(N$3:N$107="")*(M$3:M$107="P")*(G$3:G$107=G85)*(J$3:J$107&lt;J85)*(H$3:H$107&lt;&gt;H85)*(I$3:I$107="P")),-1*SUMPRODUCT((P$3:P$107="")*(O$3:O$107="")*(N$3:N$107="")*(M$3:M$107="P")*(G$3:G$107=G85)*(J$3:J$107&gt;J85)*(H$3:H$107="L5")*(I$3:I$107="P")))+1,"")))))</f>
        <v/>
      </c>
      <c r="B85" s="1" t="str" cm="1">
        <f t="array" ref="B85">IF(P85&lt;&gt;"",SUMPRODUCT((P$3:P$107&lt;&gt;"")*(G$3:G$107=G85)*(J$3:J$107&gt;J85))+1,IF(O85&lt;&gt;"",SUMPRODUCT((O$3:O$107&lt;&gt;"")*(P$3:P$107="")*(G$3:G$107=G85)*(J$3:J$107&gt;J85))+SUMPRODUCT((P$3:P$107&lt;&gt;"")*(G$3:G$107=G85))+1,IF(N85&lt;&gt;"",SUMPRODUCT((N$3:N$107&lt;&gt;"")*(G$3:G$107=G85)*(J$3:J$107&gt;J85))+1,IF(M85="P",SUMPRODUCT((O$3:O$107&lt;&gt;"")*(P$3:P$107="")*(G$3:G$107=G85))+SUMPRODUCT((P$3:P$107&lt;&gt;"")*(G$3:G$107=G85))+SUMPRODUCT((N$3:N$107&lt;&gt;"")*(G$3:G$107=G85))+SUMPRODUCT((P$3:P$107="")*(O$3:O$107="")*(N$3:N$107="")*(M$3:M$107="P")*(G$3:G$107=G85)*(J$3:J$107&gt;J85))+IF(H85="L5",SUMPRODUCT((P$3:P$107="")*(O$3:O$107="")*(N$3:N$107="")*(M$3:M$107="P")*(G$3:G$107=G85)*(J$3:J$107&lt;J85)*(H$3:H$107&lt;&gt;H85)),-1*SUMPRODUCT((P$3:P$107="")*(O$3:O$107="")*(N$3:N$107="")*(M$3:M$107="P")*(G$3:G$107=G85)*(J$3:J$107&gt;J85)*(H$3:H$107="L5")))+1,""))))</f>
        <v/>
      </c>
      <c r="C85" s="36" t="s">
        <v>163</v>
      </c>
      <c r="D85" s="36" t="str">
        <f>IF(E85="","",VLOOKUP(E85,'Coaching Points'!A:B,2,0))</f>
        <v>AB</v>
      </c>
      <c r="E85" s="36" t="s">
        <v>64</v>
      </c>
      <c r="F85" s="35">
        <v>2008</v>
      </c>
      <c r="G85" s="1" t="str">
        <f>IF(OR('Qualifying Scores'!$B$1-F85&gt;21,'Qualifying Scores'!$B$1-F85&lt;11),"Not Age Eligible",IF('Qualifying Scores'!$B$1-F85&gt;16,"17-21",IF('Qualifying Scores'!$B$1-F85&gt;14,"15-16",IF('Qualifying Scores'!$B$1-F85&gt;12,"13-14",IF('Qualifying Scores'!$B$1-F85&gt;10,"11-12","Not Age Eligible")))))</f>
        <v>15-16</v>
      </c>
      <c r="H85" s="39" t="s">
        <v>66</v>
      </c>
      <c r="I85" s="43" t="s">
        <v>567</v>
      </c>
      <c r="J85" s="4">
        <f>R85+S85+IF(OR(H85="Junior",H85="Senior"),0.0002,IF(OR(H85="L7",H85="L6"),0.0001,0))+IF(G85="17-21",MAX(AA85,AC85,AF85),AE85)*0.0000001</f>
        <v>123.040004091</v>
      </c>
      <c r="K85" s="3" t="str">
        <f>IF(G85="Not Age Eligible","",IF(G85="17-21",IF(MAX(T85,V85,Y85,AA85,AC85,AF85)&gt;=LOOKUP(G85,'Qualifying Scores'!$A$4:$A$7,'Qualifying Scores'!$B$4:$B$7),"P",""),IF(MAX(X85-U85,AE85-AB85)&gt;=LOOKUP(G85,'Qualifying Scores'!$A$4:$A$7,'Qualifying Scores'!$B$4:$B$7),"P","")))</f>
        <v/>
      </c>
      <c r="L85" s="3" t="str">
        <f>IF(G85="Not Age Eligible","",IF(G85="17-21",IF(MAX(U85,W85,Z85,AB85,AD85,AG85)&gt;=LOOKUP(G85,'Qualifying Scores'!$A$10:$A$13,'Qualifying Scores'!$B$10:$B$13),"P",""),IF(MAX(W85,AD85)&gt;=LOOKUP(G85,'Qualifying Scores'!$A$10:$A$13,'Qualifying Scores'!$B$10:$B$13),"P","")))</f>
        <v/>
      </c>
      <c r="M85" s="3" t="str">
        <f>IF(G85="Not Age Eligible","",IF(G85="17-21",IF(OR(AND(T85&gt;=LOOKUP(G85,'Qualifying Scores'!$A$4:$A$7,'Qualifying Scores'!$B$4:$B$7),U85&gt;=LOOKUP(G85,'Qualifying Scores'!$A$10:$A$13,'Qualifying Scores'!$B$10:$B$13)),AND(V85&gt;=LOOKUP(G85,'Qualifying Scores'!$A$4:$A$7,'Qualifying Scores'!$B$4:$B$7),W85&gt;=LOOKUP(G85,'Qualifying Scores'!$A$10:$A$13,'Qualifying Scores'!$B$10:$B$13)),AND(Y85&gt;=LOOKUP(G85,'Qualifying Scores'!$A$4:$A$7,'Qualifying Scores'!$B$4:$B$7),Z85&gt;=LOOKUP(G85,'Qualifying Scores'!$A$10:$A$13,'Qualifying Scores'!$B$10:$B$13)),AND(AA85&gt;=LOOKUP(G85,'Qualifying Scores'!$A$4:$A$7,'Qualifying Scores'!$B$4:$B$7),AB85&gt;=LOOKUP(G85,'Qualifying Scores'!$A$10:$A$13,'Qualifying Scores'!$B$10:$B$13)),AND(AC85&gt;=LOOKUP(G85,'Qualifying Scores'!$A$4:$A$7,'Qualifying Scores'!$B$4:$B$7),AD85&gt;=LOOKUP(G85,'Qualifying Scores'!$A$10:$A$13,'Qualifying Scores'!$B$10:$B$13)),AND(AF85&gt;=LOOKUP(G85,'Qualifying Scores'!$A$4:$A$7,'Qualifying Scores'!$B$4:$B$7),AG85&gt;=LOOKUP(G85,'Qualifying Scores'!$A$10:$A$13,'Qualifying Scores'!$B$10:$B$13))),"P",""),IF(OR(AND(X85-U85&gt;=LOOKUP(G85,'Qualifying Scores'!$A$4:$A$7,'Qualifying Scores'!$B$4:$B$7),W85&gt;=LOOKUP(G85,'Qualifying Scores'!$A$10:$A$13,'Qualifying Scores'!$B$10:$B$13)),AND(AE85-AB85&gt;=LOOKUP(G85,'Qualifying Scores'!$A$4:$A$7,'Qualifying Scores'!$B$4:$B$7),AD85&gt;=LOOKUP(G85,'Qualifying Scores'!$A$10:$A$13,'Qualifying Scores'!$B$10:$B$13))),"P","")))</f>
        <v/>
      </c>
      <c r="Q85" s="1" t="str">
        <f>IF(A85&lt;5,IF(_xlfn.MAXIFS(A:A,G:G,G85)&gt;3,5-A85,_xlfn.MAXIFS(A:A,G:G,G85)+1-A85),"")</f>
        <v/>
      </c>
      <c r="R85" s="4">
        <f>IF(G85="17-21",MAX(T85,V85,Y85,AA85,AC85,AF85),MAX(X85,AE85))</f>
        <v>78.7</v>
      </c>
      <c r="S85" s="4">
        <f>IF(G85="17-21",LARGE(CHOOSE({1,2,3,4,5,6},T85,V85,Y85,AA85,AC85,AF85),2),IF(R85=X85,MAX(Y85,AA85,AC85,AF85),IF(R85=AE85,MAX(AF85,T85,V85,Y85),0)))</f>
        <v>44.34</v>
      </c>
      <c r="T85" s="33">
        <v>36.17</v>
      </c>
      <c r="U85" s="40">
        <v>0</v>
      </c>
      <c r="V85" s="34">
        <v>42.53</v>
      </c>
      <c r="W85" s="40">
        <v>7.7</v>
      </c>
      <c r="X85" s="4">
        <f>IF(H85="Senior",MAX(T85,V85),T85+V85)</f>
        <v>78.7</v>
      </c>
      <c r="Y85" s="34">
        <v>44.34</v>
      </c>
      <c r="Z85" s="40">
        <v>8.1</v>
      </c>
      <c r="AA85" s="33">
        <v>18.97</v>
      </c>
      <c r="AB85" s="40">
        <v>0</v>
      </c>
      <c r="AC85" s="34">
        <v>21.94</v>
      </c>
      <c r="AD85" s="40">
        <v>4.5999999999999996</v>
      </c>
      <c r="AE85" s="4">
        <f>IF(H85="Senior",MAX(AA85,AC85),AA85+AC85)</f>
        <v>40.909999999999997</v>
      </c>
      <c r="AF85" s="34"/>
      <c r="AG85" s="37"/>
    </row>
    <row r="86" spans="1:33" x14ac:dyDescent="0.2">
      <c r="A86" s="1" t="str" cm="1">
        <f t="array" ref="A86">IF(I86="","",IF(P86&lt;&gt;"",SUMPRODUCT((P$3:P$107&lt;&gt;"")*(G$3:G$107=G86)*(J$3:J$107&gt;J86)*(I$3:I$107="P"))+1,IF(O86&lt;&gt;"",SUMPRODUCT((O$3:O$107&lt;&gt;"")*(P$3:P$107="")*(G$3:G$107=G86)*(J$3:J$107&gt;J86)*(I$3:I$107="P"))+SUMPRODUCT((P$3:P$107&lt;&gt;"")*(G$3:G$107=G86)*(I$3:I$107="P"))+1,IF(N86&lt;&gt;"",SUMPRODUCT((N$3:N$107&lt;&gt;"")*(G$3:G$107=G86)*(J$3:J$107&gt;J86)*(I$3:I$107="P"))+1,IF(M86="P",SUMPRODUCT((O$3:O$107&lt;&gt;"")*(P$3:P$107="")*(G$3:G$107=G86)*(I$3:I$107="P"))+SUMPRODUCT((P$3:P$107&lt;&gt;"")*(G$3:G$107=G86)*(I$3:I$107="P"))+SUMPRODUCT((N$3:N$107&lt;&gt;"")*(G$3:G$107=G86)*(I$3:I$107="P"))+SUMPRODUCT((P$3:P$107="")*(O$3:O$107="")*(N$3:N$107="")*(M$3:M$107="P")*(G$3:G$107=G86)*(J$3:J$107&gt;J86)*(I$3:I$107="P"))+IF(H86="L5",SUMPRODUCT((P$3:P$107="")*(O$3:O$107="")*(N$3:N$107="")*(M$3:M$107="P")*(G$3:G$107=G86)*(J$3:J$107&lt;J86)*(H$3:H$107&lt;&gt;H86)*(I$3:I$107="P")),-1*SUMPRODUCT((P$3:P$107="")*(O$3:O$107="")*(N$3:N$107="")*(M$3:M$107="P")*(G$3:G$107=G86)*(J$3:J$107&gt;J86)*(H$3:H$107="L5")*(I$3:I$107="P")))+1,"")))))</f>
        <v/>
      </c>
      <c r="B86" s="1" t="str" cm="1">
        <f t="array" ref="B86">IF(P86&lt;&gt;"",SUMPRODUCT((P$3:P$107&lt;&gt;"")*(G$3:G$107=G86)*(J$3:J$107&gt;J86))+1,IF(O86&lt;&gt;"",SUMPRODUCT((O$3:O$107&lt;&gt;"")*(P$3:P$107="")*(G$3:G$107=G86)*(J$3:J$107&gt;J86))+SUMPRODUCT((P$3:P$107&lt;&gt;"")*(G$3:G$107=G86))+1,IF(N86&lt;&gt;"",SUMPRODUCT((N$3:N$107&lt;&gt;"")*(G$3:G$107=G86)*(J$3:J$107&gt;J86))+1,IF(M86="P",SUMPRODUCT((O$3:O$107&lt;&gt;"")*(P$3:P$107="")*(G$3:G$107=G86))+SUMPRODUCT((P$3:P$107&lt;&gt;"")*(G$3:G$107=G86))+SUMPRODUCT((N$3:N$107&lt;&gt;"")*(G$3:G$107=G86))+SUMPRODUCT((P$3:P$107="")*(O$3:O$107="")*(N$3:N$107="")*(M$3:M$107="P")*(G$3:G$107=G86)*(J$3:J$107&gt;J86))+IF(H86="L5",SUMPRODUCT((P$3:P$107="")*(O$3:O$107="")*(N$3:N$107="")*(M$3:M$107="P")*(G$3:G$107=G86)*(J$3:J$107&lt;J86)*(H$3:H$107&lt;&gt;H86)),-1*SUMPRODUCT((P$3:P$107="")*(O$3:O$107="")*(N$3:N$107="")*(M$3:M$107="P")*(G$3:G$107=G86)*(J$3:J$107&gt;J86)*(H$3:H$107="L5")))+1,""))))</f>
        <v/>
      </c>
      <c r="C86" s="36" t="s">
        <v>217</v>
      </c>
      <c r="D86" s="36" t="str">
        <f>IF(E86="","",VLOOKUP(E86,'Coaching Points'!A:B,2,0))</f>
        <v>ON</v>
      </c>
      <c r="E86" s="36" t="s">
        <v>283</v>
      </c>
      <c r="F86" s="35">
        <v>2007</v>
      </c>
      <c r="G86" s="1" t="str">
        <f>IF(OR('Qualifying Scores'!$B$1-F86&gt;21,'Qualifying Scores'!$B$1-F86&lt;11),"Not Age Eligible",IF('Qualifying Scores'!$B$1-F86&gt;16,"17-21",IF('Qualifying Scores'!$B$1-F86&gt;14,"15-16",IF('Qualifying Scores'!$B$1-F86&gt;12,"13-14",IF('Qualifying Scores'!$B$1-F86&gt;10,"11-12","Not Age Eligible")))))</f>
        <v>15-16</v>
      </c>
      <c r="H86" s="39" t="s">
        <v>67</v>
      </c>
      <c r="I86" s="43"/>
      <c r="J86" s="4">
        <f>R86+S86+IF(OR(H86="Junior",H86="Senior"),0.0002,IF(OR(H86="L7",H86="L6"),0.0001,0))+IF(G86="17-21",MAX(AA86,AC86,AF86),AE86)*0.0000001</f>
        <v>121.480107233</v>
      </c>
      <c r="K86" s="3" t="str">
        <f>IF(G86="Not Age Eligible","",IF(G86="17-21",IF(MAX(T86,V86,Y86,AA86,AC86,AF86)&gt;=LOOKUP(G86,'Qualifying Scores'!$A$4:$A$7,'Qualifying Scores'!$B$4:$B$7),"P",""),IF(MAX(X86-U86,AE86-AB86)&gt;=LOOKUP(G86,'Qualifying Scores'!$A$4:$A$7,'Qualifying Scores'!$B$4:$B$7),"P","")))</f>
        <v/>
      </c>
      <c r="L86" s="3" t="str">
        <f>IF(G86="Not Age Eligible","",IF(G86="17-21",IF(MAX(U86,W86,Z86,AB86,AD86,AG86)&gt;=LOOKUP(G86,'Qualifying Scores'!$A$10:$A$13,'Qualifying Scores'!$B$10:$B$13),"P",""),IF(MAX(W86,AD86)&gt;=LOOKUP(G86,'Qualifying Scores'!$A$10:$A$13,'Qualifying Scores'!$B$10:$B$13),"P","")))</f>
        <v/>
      </c>
      <c r="M86" s="3" t="str">
        <f>IF(G86="Not Age Eligible","",IF(G86="17-21",IF(OR(AND(T86&gt;=LOOKUP(G86,'Qualifying Scores'!$A$4:$A$7,'Qualifying Scores'!$B$4:$B$7),U86&gt;=LOOKUP(G86,'Qualifying Scores'!$A$10:$A$13,'Qualifying Scores'!$B$10:$B$13)),AND(V86&gt;=LOOKUP(G86,'Qualifying Scores'!$A$4:$A$7,'Qualifying Scores'!$B$4:$B$7),W86&gt;=LOOKUP(G86,'Qualifying Scores'!$A$10:$A$13,'Qualifying Scores'!$B$10:$B$13)),AND(Y86&gt;=LOOKUP(G86,'Qualifying Scores'!$A$4:$A$7,'Qualifying Scores'!$B$4:$B$7),Z86&gt;=LOOKUP(G86,'Qualifying Scores'!$A$10:$A$13,'Qualifying Scores'!$B$10:$B$13)),AND(AA86&gt;=LOOKUP(G86,'Qualifying Scores'!$A$4:$A$7,'Qualifying Scores'!$B$4:$B$7),AB86&gt;=LOOKUP(G86,'Qualifying Scores'!$A$10:$A$13,'Qualifying Scores'!$B$10:$B$13)),AND(AC86&gt;=LOOKUP(G86,'Qualifying Scores'!$A$4:$A$7,'Qualifying Scores'!$B$4:$B$7),AD86&gt;=LOOKUP(G86,'Qualifying Scores'!$A$10:$A$13,'Qualifying Scores'!$B$10:$B$13)),AND(AF86&gt;=LOOKUP(G86,'Qualifying Scores'!$A$4:$A$7,'Qualifying Scores'!$B$4:$B$7),AG86&gt;=LOOKUP(G86,'Qualifying Scores'!$A$10:$A$13,'Qualifying Scores'!$B$10:$B$13))),"P",""),IF(OR(AND(X86-U86&gt;=LOOKUP(G86,'Qualifying Scores'!$A$4:$A$7,'Qualifying Scores'!$B$4:$B$7),W86&gt;=LOOKUP(G86,'Qualifying Scores'!$A$10:$A$13,'Qualifying Scores'!$B$10:$B$13)),AND(AE86-AB86&gt;=LOOKUP(G86,'Qualifying Scores'!$A$4:$A$7,'Qualifying Scores'!$B$4:$B$7),AD86&gt;=LOOKUP(G86,'Qualifying Scores'!$A$10:$A$13,'Qualifying Scores'!$B$10:$B$13))),"P","")))</f>
        <v/>
      </c>
      <c r="Q86" s="1" t="str">
        <f>IF(A86&lt;5,IF(_xlfn.MAXIFS(A:A,G:G,G86)&gt;3,5-A86,_xlfn.MAXIFS(A:A,G:G,G86)+1-A86),"")</f>
        <v/>
      </c>
      <c r="R86" s="4">
        <f>IF(G86="17-21",MAX(T86,V86,Y86,AA86,AC86,AF86),MAX(X86,AE86))</f>
        <v>72.33</v>
      </c>
      <c r="S86" s="4">
        <f>IF(G86="17-21",LARGE(CHOOSE({1,2,3,4,5,6},T86,V86,Y86,AA86,AC86,AF86),2),IF(R86=X86,MAX(Y86,AA86,AC86,AF86),IF(R86=AE86,MAX(AF86,T86,V86,Y86),0)))</f>
        <v>49.15</v>
      </c>
      <c r="T86" s="33">
        <v>41.36</v>
      </c>
      <c r="U86" s="40">
        <v>0</v>
      </c>
      <c r="V86" s="34">
        <v>13.46</v>
      </c>
      <c r="W86" s="40">
        <v>3.1</v>
      </c>
      <c r="X86" s="4">
        <f>IF(H86="Senior",MAX(T86,V86),T86+V86)</f>
        <v>54.82</v>
      </c>
      <c r="Y86" s="34">
        <v>46.05</v>
      </c>
      <c r="Z86" s="40">
        <v>10.5</v>
      </c>
      <c r="AA86" s="33">
        <v>25.18</v>
      </c>
      <c r="AB86" s="40">
        <v>0</v>
      </c>
      <c r="AC86" s="34">
        <v>47.15</v>
      </c>
      <c r="AD86" s="40">
        <v>11.2</v>
      </c>
      <c r="AE86" s="4">
        <f>IF(H86="Senior",MAX(AA86,AC86),AA86+AC86)</f>
        <v>72.33</v>
      </c>
      <c r="AF86" s="34">
        <v>49.15</v>
      </c>
      <c r="AG86" s="37">
        <v>11.2</v>
      </c>
    </row>
    <row r="87" spans="1:33" x14ac:dyDescent="0.2">
      <c r="A87" s="1" t="str" cm="1">
        <f t="array" ref="A87">IF(I87="","",IF(P87&lt;&gt;"",SUMPRODUCT((P$3:P$107&lt;&gt;"")*(G$3:G$107=G87)*(J$3:J$107&gt;J87)*(I$3:I$107="P"))+1,IF(O87&lt;&gt;"",SUMPRODUCT((O$3:O$107&lt;&gt;"")*(P$3:P$107="")*(G$3:G$107=G87)*(J$3:J$107&gt;J87)*(I$3:I$107="P"))+SUMPRODUCT((P$3:P$107&lt;&gt;"")*(G$3:G$107=G87)*(I$3:I$107="P"))+1,IF(N87&lt;&gt;"",SUMPRODUCT((N$3:N$107&lt;&gt;"")*(G$3:G$107=G87)*(J$3:J$107&gt;J87)*(I$3:I$107="P"))+1,IF(M87="P",SUMPRODUCT((O$3:O$107&lt;&gt;"")*(P$3:P$107="")*(G$3:G$107=G87)*(I$3:I$107="P"))+SUMPRODUCT((P$3:P$107&lt;&gt;"")*(G$3:G$107=G87)*(I$3:I$107="P"))+SUMPRODUCT((N$3:N$107&lt;&gt;"")*(G$3:G$107=G87)*(I$3:I$107="P"))+SUMPRODUCT((P$3:P$107="")*(O$3:O$107="")*(N$3:N$107="")*(M$3:M$107="P")*(G$3:G$107=G87)*(J$3:J$107&gt;J87)*(I$3:I$107="P"))+IF(H87="L5",SUMPRODUCT((P$3:P$107="")*(O$3:O$107="")*(N$3:N$107="")*(M$3:M$107="P")*(G$3:G$107=G87)*(J$3:J$107&lt;J87)*(H$3:H$107&lt;&gt;H87)*(I$3:I$107="P")),-1*SUMPRODUCT((P$3:P$107="")*(O$3:O$107="")*(N$3:N$107="")*(M$3:M$107="P")*(G$3:G$107=G87)*(J$3:J$107&gt;J87)*(H$3:H$107="L5")*(I$3:I$107="P")))+1,"")))))</f>
        <v/>
      </c>
      <c r="B87" s="1" t="str" cm="1">
        <f t="array" ref="B87">IF(P87&lt;&gt;"",SUMPRODUCT((P$3:P$107&lt;&gt;"")*(G$3:G$107=G87)*(J$3:J$107&gt;J87))+1,IF(O87&lt;&gt;"",SUMPRODUCT((O$3:O$107&lt;&gt;"")*(P$3:P$107="")*(G$3:G$107=G87)*(J$3:J$107&gt;J87))+SUMPRODUCT((P$3:P$107&lt;&gt;"")*(G$3:G$107=G87))+1,IF(N87&lt;&gt;"",SUMPRODUCT((N$3:N$107&lt;&gt;"")*(G$3:G$107=G87)*(J$3:J$107&gt;J87))+1,IF(M87="P",SUMPRODUCT((O$3:O$107&lt;&gt;"")*(P$3:P$107="")*(G$3:G$107=G87))+SUMPRODUCT((P$3:P$107&lt;&gt;"")*(G$3:G$107=G87))+SUMPRODUCT((N$3:N$107&lt;&gt;"")*(G$3:G$107=G87))+SUMPRODUCT((P$3:P$107="")*(O$3:O$107="")*(N$3:N$107="")*(M$3:M$107="P")*(G$3:G$107=G87)*(J$3:J$107&gt;J87))+IF(H87="L5",SUMPRODUCT((P$3:P$107="")*(O$3:O$107="")*(N$3:N$107="")*(M$3:M$107="P")*(G$3:G$107=G87)*(J$3:J$107&lt;J87)*(H$3:H$107&lt;&gt;H87)),-1*SUMPRODUCT((P$3:P$107="")*(O$3:O$107="")*(N$3:N$107="")*(M$3:M$107="P")*(G$3:G$107=G87)*(J$3:J$107&gt;J87)*(H$3:H$107="L5")))+1,""))))</f>
        <v/>
      </c>
      <c r="C87" s="36" t="s">
        <v>222</v>
      </c>
      <c r="D87" s="36" t="str">
        <f>IF(E87="","",VLOOKUP(E87,'Coaching Points'!A:B,2,0))</f>
        <v>SK</v>
      </c>
      <c r="E87" s="36" t="s">
        <v>60</v>
      </c>
      <c r="F87" s="35">
        <v>2007</v>
      </c>
      <c r="G87" s="1" t="str">
        <f>IF(OR('Qualifying Scores'!$B$1-F87&gt;21,'Qualifying Scores'!$B$1-F87&lt;11),"Not Age Eligible",IF('Qualifying Scores'!$B$1-F87&gt;16,"17-21",IF('Qualifying Scores'!$B$1-F87&gt;14,"15-16",IF('Qualifying Scores'!$B$1-F87&gt;12,"13-14",IF('Qualifying Scores'!$B$1-F87&gt;10,"11-12","Not Age Eligible")))))</f>
        <v>15-16</v>
      </c>
      <c r="H87" s="39" t="s">
        <v>66</v>
      </c>
      <c r="I87" s="43"/>
      <c r="J87" s="4">
        <f>R87+S87+IF(OR(H87="Junior",H87="Senior"),0.0002,IF(OR(H87="L7",H87="L6"),0.0001,0))+IF(G87="17-21",MAX(AA87,AC87,AF87),AE87)*0.0000001</f>
        <v>113.86000613800002</v>
      </c>
      <c r="K87" s="3" t="str">
        <f>IF(G87="Not Age Eligible","",IF(G87="17-21",IF(MAX(T87,V87,Y87,AA87,AC87,AF87)&gt;=LOOKUP(G87,'Qualifying Scores'!$A$4:$A$7,'Qualifying Scores'!$B$4:$B$7),"P",""),IF(MAX(X87-U87,AE87-AB87)&gt;=LOOKUP(G87,'Qualifying Scores'!$A$4:$A$7,'Qualifying Scores'!$B$4:$B$7),"P","")))</f>
        <v/>
      </c>
      <c r="L87" s="3" t="str">
        <f>IF(G87="Not Age Eligible","",IF(G87="17-21",IF(MAX(U87,W87,Z87,AB87,AD87,AG87)&gt;=LOOKUP(G87,'Qualifying Scores'!$A$10:$A$13,'Qualifying Scores'!$B$10:$B$13),"P",""),IF(MAX(W87,AD87)&gt;=LOOKUP(G87,'Qualifying Scores'!$A$10:$A$13,'Qualifying Scores'!$B$10:$B$13),"P","")))</f>
        <v/>
      </c>
      <c r="M87" s="3" t="str">
        <f>IF(G87="Not Age Eligible","",IF(G87="17-21",IF(OR(AND(T87&gt;=LOOKUP(G87,'Qualifying Scores'!$A$4:$A$7,'Qualifying Scores'!$B$4:$B$7),U87&gt;=LOOKUP(G87,'Qualifying Scores'!$A$10:$A$13,'Qualifying Scores'!$B$10:$B$13)),AND(V87&gt;=LOOKUP(G87,'Qualifying Scores'!$A$4:$A$7,'Qualifying Scores'!$B$4:$B$7),W87&gt;=LOOKUP(G87,'Qualifying Scores'!$A$10:$A$13,'Qualifying Scores'!$B$10:$B$13)),AND(Y87&gt;=LOOKUP(G87,'Qualifying Scores'!$A$4:$A$7,'Qualifying Scores'!$B$4:$B$7),Z87&gt;=LOOKUP(G87,'Qualifying Scores'!$A$10:$A$13,'Qualifying Scores'!$B$10:$B$13)),AND(AA87&gt;=LOOKUP(G87,'Qualifying Scores'!$A$4:$A$7,'Qualifying Scores'!$B$4:$B$7),AB87&gt;=LOOKUP(G87,'Qualifying Scores'!$A$10:$A$13,'Qualifying Scores'!$B$10:$B$13)),AND(AC87&gt;=LOOKUP(G87,'Qualifying Scores'!$A$4:$A$7,'Qualifying Scores'!$B$4:$B$7),AD87&gt;=LOOKUP(G87,'Qualifying Scores'!$A$10:$A$13,'Qualifying Scores'!$B$10:$B$13)),AND(AF87&gt;=LOOKUP(G87,'Qualifying Scores'!$A$4:$A$7,'Qualifying Scores'!$B$4:$B$7),AG87&gt;=LOOKUP(G87,'Qualifying Scores'!$A$10:$A$13,'Qualifying Scores'!$B$10:$B$13))),"P",""),IF(OR(AND(X87-U87&gt;=LOOKUP(G87,'Qualifying Scores'!$A$4:$A$7,'Qualifying Scores'!$B$4:$B$7),W87&gt;=LOOKUP(G87,'Qualifying Scores'!$A$10:$A$13,'Qualifying Scores'!$B$10:$B$13)),AND(AE87-AB87&gt;=LOOKUP(G87,'Qualifying Scores'!$A$4:$A$7,'Qualifying Scores'!$B$4:$B$7),AD87&gt;=LOOKUP(G87,'Qualifying Scores'!$A$10:$A$13,'Qualifying Scores'!$B$10:$B$13))),"P","")))</f>
        <v/>
      </c>
      <c r="Q87" s="1" t="str">
        <f>IF(A87&lt;5,IF(_xlfn.MAXIFS(A:A,G:G,G87)&gt;3,5-A87,_xlfn.MAXIFS(A:A,G:G,G87)+1-A87),"")</f>
        <v/>
      </c>
      <c r="R87" s="4">
        <f>IF(G87="17-21",MAX(T87,V87,Y87,AA87,AC87,AF87),MAX(X87,AE87))</f>
        <v>76.23</v>
      </c>
      <c r="S87" s="4">
        <f>IF(G87="17-21",LARGE(CHOOSE({1,2,3,4,5,6},T87,V87,Y87,AA87,AC87,AF87),2),IF(R87=X87,MAX(Y87,AA87,AC87,AF87),IF(R87=AE87,MAX(AF87,T87,V87,Y87),0)))</f>
        <v>37.630000000000003</v>
      </c>
      <c r="T87" s="33">
        <v>32.85</v>
      </c>
      <c r="U87" s="40">
        <v>0</v>
      </c>
      <c r="V87" s="34">
        <v>43.38</v>
      </c>
      <c r="W87" s="40">
        <v>9.1</v>
      </c>
      <c r="X87" s="4">
        <f>IF(H87="Senior",MAX(T87,V87),T87+V87)</f>
        <v>76.23</v>
      </c>
      <c r="Y87" s="34"/>
      <c r="Z87" s="40"/>
      <c r="AA87" s="33">
        <v>37.630000000000003</v>
      </c>
      <c r="AB87" s="40">
        <v>0</v>
      </c>
      <c r="AC87" s="34">
        <v>23.75</v>
      </c>
      <c r="AD87" s="40">
        <v>5.3</v>
      </c>
      <c r="AE87" s="4">
        <f>IF(H87="Senior",MAX(AA87,AC87),AA87+AC87)</f>
        <v>61.38</v>
      </c>
      <c r="AF87" s="34"/>
      <c r="AG87" s="37"/>
    </row>
    <row r="88" spans="1:33" x14ac:dyDescent="0.2">
      <c r="A88" s="1" t="str" cm="1">
        <f t="array" ref="A88">IF(I88="","",IF(P88&lt;&gt;"",SUMPRODUCT((P$3:P$107&lt;&gt;"")*(G$3:G$107=G88)*(J$3:J$107&gt;J88)*(I$3:I$107="P"))+1,IF(O88&lt;&gt;"",SUMPRODUCT((O$3:O$107&lt;&gt;"")*(P$3:P$107="")*(G$3:G$107=G88)*(J$3:J$107&gt;J88)*(I$3:I$107="P"))+SUMPRODUCT((P$3:P$107&lt;&gt;"")*(G$3:G$107=G88)*(I$3:I$107="P"))+1,IF(N88&lt;&gt;"",SUMPRODUCT((N$3:N$107&lt;&gt;"")*(G$3:G$107=G88)*(J$3:J$107&gt;J88)*(I$3:I$107="P"))+1,IF(M88="P",SUMPRODUCT((O$3:O$107&lt;&gt;"")*(P$3:P$107="")*(G$3:G$107=G88)*(I$3:I$107="P"))+SUMPRODUCT((P$3:P$107&lt;&gt;"")*(G$3:G$107=G88)*(I$3:I$107="P"))+SUMPRODUCT((N$3:N$107&lt;&gt;"")*(G$3:G$107=G88)*(I$3:I$107="P"))+SUMPRODUCT((P$3:P$107="")*(O$3:O$107="")*(N$3:N$107="")*(M$3:M$107="P")*(G$3:G$107=G88)*(J$3:J$107&gt;J88)*(I$3:I$107="P"))+IF(H88="L5",SUMPRODUCT((P$3:P$107="")*(O$3:O$107="")*(N$3:N$107="")*(M$3:M$107="P")*(G$3:G$107=G88)*(J$3:J$107&lt;J88)*(H$3:H$107&lt;&gt;H88)*(I$3:I$107="P")),-1*SUMPRODUCT((P$3:P$107="")*(O$3:O$107="")*(N$3:N$107="")*(M$3:M$107="P")*(G$3:G$107=G88)*(J$3:J$107&gt;J88)*(H$3:H$107="L5")*(I$3:I$107="P")))+1,"")))))</f>
        <v/>
      </c>
      <c r="B88" s="1" t="str" cm="1">
        <f t="array" ref="B88">IF(P88&lt;&gt;"",SUMPRODUCT((P$3:P$107&lt;&gt;"")*(G$3:G$107=G88)*(J$3:J$107&gt;J88))+1,IF(O88&lt;&gt;"",SUMPRODUCT((O$3:O$107&lt;&gt;"")*(P$3:P$107="")*(G$3:G$107=G88)*(J$3:J$107&gt;J88))+SUMPRODUCT((P$3:P$107&lt;&gt;"")*(G$3:G$107=G88))+1,IF(N88&lt;&gt;"",SUMPRODUCT((N$3:N$107&lt;&gt;"")*(G$3:G$107=G88)*(J$3:J$107&gt;J88))+1,IF(M88="P",SUMPRODUCT((O$3:O$107&lt;&gt;"")*(P$3:P$107="")*(G$3:G$107=G88))+SUMPRODUCT((P$3:P$107&lt;&gt;"")*(G$3:G$107=G88))+SUMPRODUCT((N$3:N$107&lt;&gt;"")*(G$3:G$107=G88))+SUMPRODUCT((P$3:P$107="")*(O$3:O$107="")*(N$3:N$107="")*(M$3:M$107="P")*(G$3:G$107=G88)*(J$3:J$107&gt;J88))+IF(H88="L5",SUMPRODUCT((P$3:P$107="")*(O$3:O$107="")*(N$3:N$107="")*(M$3:M$107="P")*(G$3:G$107=G88)*(J$3:J$107&lt;J88)*(H$3:H$107&lt;&gt;H88)),-1*SUMPRODUCT((P$3:P$107="")*(O$3:O$107="")*(N$3:N$107="")*(M$3:M$107="P")*(G$3:G$107=G88)*(J$3:J$107&gt;J88)*(H$3:H$107="L5")))+1,""))))</f>
        <v/>
      </c>
      <c r="C88" s="36" t="s">
        <v>438</v>
      </c>
      <c r="D88" s="36" t="str">
        <f>IF(E88="","",VLOOKUP(E88,'Coaching Points'!A:B,2,0))</f>
        <v>AB</v>
      </c>
      <c r="E88" s="36" t="s">
        <v>29</v>
      </c>
      <c r="F88" s="35">
        <v>2007</v>
      </c>
      <c r="G88" s="1" t="str">
        <f>IF(OR('Qualifying Scores'!$B$1-F88&gt;21,'Qualifying Scores'!$B$1-F88&lt;11),"Not Age Eligible",IF('Qualifying Scores'!$B$1-F88&gt;16,"17-21",IF('Qualifying Scores'!$B$1-F88&gt;14,"15-16",IF('Qualifying Scores'!$B$1-F88&gt;12,"13-14",IF('Qualifying Scores'!$B$1-F88&gt;10,"11-12","Not Age Eligible")))))</f>
        <v>15-16</v>
      </c>
      <c r="H88" s="39" t="s">
        <v>65</v>
      </c>
      <c r="I88" s="43" t="s">
        <v>567</v>
      </c>
      <c r="J88" s="4">
        <f>R88+S88+IF(OR(H88="Junior",H88="Senior"),0.0002,IF(OR(H88="L7",H88="L6"),0.0001,0))+IF(G88="17-21",MAX(AA88,AC88,AF88),AE88)*0.0000001</f>
        <v>105.83020889300002</v>
      </c>
      <c r="K88" s="3" t="str">
        <f>IF(G88="Not Age Eligible","",IF(G88="17-21",IF(MAX(T88,V88,Y88,AA88,AC88,AF88)&gt;=LOOKUP(G88,'Qualifying Scores'!$A$4:$A$7,'Qualifying Scores'!$B$4:$B$7),"P",""),IF(MAX(X88-U88,AE88-AB88)&gt;=LOOKUP(G88,'Qualifying Scores'!$A$4:$A$7,'Qualifying Scores'!$B$4:$B$7),"P","")))</f>
        <v/>
      </c>
      <c r="L88" s="3" t="str">
        <f>IF(G88="Not Age Eligible","",IF(G88="17-21",IF(MAX(U88,W88,Z88,AB88,AD88,AG88)&gt;=LOOKUP(G88,'Qualifying Scores'!$A$10:$A$13,'Qualifying Scores'!$B$10:$B$13),"P",""),IF(MAX(W88,AD88)&gt;=LOOKUP(G88,'Qualifying Scores'!$A$10:$A$13,'Qualifying Scores'!$B$10:$B$13),"P","")))</f>
        <v>P</v>
      </c>
      <c r="M88" s="3" t="str">
        <f>IF(G88="Not Age Eligible","",IF(G88="17-21",IF(OR(AND(T88&gt;=LOOKUP(G88,'Qualifying Scores'!$A$4:$A$7,'Qualifying Scores'!$B$4:$B$7),U88&gt;=LOOKUP(G88,'Qualifying Scores'!$A$10:$A$13,'Qualifying Scores'!$B$10:$B$13)),AND(V88&gt;=LOOKUP(G88,'Qualifying Scores'!$A$4:$A$7,'Qualifying Scores'!$B$4:$B$7),W88&gt;=LOOKUP(G88,'Qualifying Scores'!$A$10:$A$13,'Qualifying Scores'!$B$10:$B$13)),AND(Y88&gt;=LOOKUP(G88,'Qualifying Scores'!$A$4:$A$7,'Qualifying Scores'!$B$4:$B$7),Z88&gt;=LOOKUP(G88,'Qualifying Scores'!$A$10:$A$13,'Qualifying Scores'!$B$10:$B$13)),AND(AA88&gt;=LOOKUP(G88,'Qualifying Scores'!$A$4:$A$7,'Qualifying Scores'!$B$4:$B$7),AB88&gt;=LOOKUP(G88,'Qualifying Scores'!$A$10:$A$13,'Qualifying Scores'!$B$10:$B$13)),AND(AC88&gt;=LOOKUP(G88,'Qualifying Scores'!$A$4:$A$7,'Qualifying Scores'!$B$4:$B$7),AD88&gt;=LOOKUP(G88,'Qualifying Scores'!$A$10:$A$13,'Qualifying Scores'!$B$10:$B$13)),AND(AF88&gt;=LOOKUP(G88,'Qualifying Scores'!$A$4:$A$7,'Qualifying Scores'!$B$4:$B$7),AG88&gt;=LOOKUP(G88,'Qualifying Scores'!$A$10:$A$13,'Qualifying Scores'!$B$10:$B$13))),"P",""),IF(OR(AND(X88-U88&gt;=LOOKUP(G88,'Qualifying Scores'!$A$4:$A$7,'Qualifying Scores'!$B$4:$B$7),W88&gt;=LOOKUP(G88,'Qualifying Scores'!$A$10:$A$13,'Qualifying Scores'!$B$10:$B$13)),AND(AE88-AB88&gt;=LOOKUP(G88,'Qualifying Scores'!$A$4:$A$7,'Qualifying Scores'!$B$4:$B$7),AD88&gt;=LOOKUP(G88,'Qualifying Scores'!$A$10:$A$13,'Qualifying Scores'!$B$10:$B$13))),"P","")))</f>
        <v/>
      </c>
      <c r="Q88" s="1" t="str">
        <f>IF(A88&lt;5,IF(_xlfn.MAXIFS(A:A,G:G,G88)&gt;3,5-A88,_xlfn.MAXIFS(A:A,G:G,G88)+1-A88),"")</f>
        <v/>
      </c>
      <c r="R88" s="4">
        <f>IF(G88="17-21",MAX(T88,V88,Y88,AA88,AC88,AF88),MAX(X88,AE88))</f>
        <v>88.93</v>
      </c>
      <c r="S88" s="4">
        <f>IF(G88="17-21",LARGE(CHOOSE({1,2,3,4,5,6},T88,V88,Y88,AA88,AC88,AF88),2),IF(R88=X88,MAX(Y88,AA88,AC88,AF88),IF(R88=AE88,MAX(AF88,T88,V88,Y88),0)))</f>
        <v>16.899999999999999</v>
      </c>
      <c r="T88" s="33"/>
      <c r="U88" s="40"/>
      <c r="V88" s="34"/>
      <c r="W88" s="40"/>
      <c r="X88" s="4">
        <f>IF(H88="Senior",MAX(T88,V88),T88+V88)</f>
        <v>0</v>
      </c>
      <c r="Y88" s="34"/>
      <c r="Z88" s="40"/>
      <c r="AA88" s="33">
        <v>41.99</v>
      </c>
      <c r="AB88" s="40">
        <v>0</v>
      </c>
      <c r="AC88" s="34">
        <v>46.94</v>
      </c>
      <c r="AD88" s="40">
        <v>12.7</v>
      </c>
      <c r="AE88" s="4">
        <f>IF(H88="Senior",MAX(AA88,AC88),AA88+AC88)</f>
        <v>88.93</v>
      </c>
      <c r="AF88" s="34">
        <v>16.899999999999999</v>
      </c>
      <c r="AG88" s="37">
        <v>4.9000000000000004</v>
      </c>
    </row>
    <row r="89" spans="1:33" x14ac:dyDescent="0.2">
      <c r="A89" s="1" t="str" cm="1">
        <f t="array" ref="A89">IF(I89="","",IF(P89&lt;&gt;"",SUMPRODUCT((P$3:P$107&lt;&gt;"")*(G$3:G$107=G89)*(J$3:J$107&gt;J89)*(I$3:I$107="P"))+1,IF(O89&lt;&gt;"",SUMPRODUCT((O$3:O$107&lt;&gt;"")*(P$3:P$107="")*(G$3:G$107=G89)*(J$3:J$107&gt;J89)*(I$3:I$107="P"))+SUMPRODUCT((P$3:P$107&lt;&gt;"")*(G$3:G$107=G89)*(I$3:I$107="P"))+1,IF(N89&lt;&gt;"",SUMPRODUCT((N$3:N$107&lt;&gt;"")*(G$3:G$107=G89)*(J$3:J$107&gt;J89)*(I$3:I$107="P"))+1,IF(M89="P",SUMPRODUCT((O$3:O$107&lt;&gt;"")*(P$3:P$107="")*(G$3:G$107=G89)*(I$3:I$107="P"))+SUMPRODUCT((P$3:P$107&lt;&gt;"")*(G$3:G$107=G89)*(I$3:I$107="P"))+SUMPRODUCT((N$3:N$107&lt;&gt;"")*(G$3:G$107=G89)*(I$3:I$107="P"))+SUMPRODUCT((P$3:P$107="")*(O$3:O$107="")*(N$3:N$107="")*(M$3:M$107="P")*(G$3:G$107=G89)*(J$3:J$107&gt;J89)*(I$3:I$107="P"))+IF(H89="L5",SUMPRODUCT((P$3:P$107="")*(O$3:O$107="")*(N$3:N$107="")*(M$3:M$107="P")*(G$3:G$107=G89)*(J$3:J$107&lt;J89)*(H$3:H$107&lt;&gt;H89)*(I$3:I$107="P")),-1*SUMPRODUCT((P$3:P$107="")*(O$3:O$107="")*(N$3:N$107="")*(M$3:M$107="P")*(G$3:G$107=G89)*(J$3:J$107&gt;J89)*(H$3:H$107="L5")*(I$3:I$107="P")))+1,"")))))</f>
        <v/>
      </c>
      <c r="B89" s="1" t="str" cm="1">
        <f t="array" ref="B89">IF(P89&lt;&gt;"",SUMPRODUCT((P$3:P$107&lt;&gt;"")*(G$3:G$107=G89)*(J$3:J$107&gt;J89))+1,IF(O89&lt;&gt;"",SUMPRODUCT((O$3:O$107&lt;&gt;"")*(P$3:P$107="")*(G$3:G$107=G89)*(J$3:J$107&gt;J89))+SUMPRODUCT((P$3:P$107&lt;&gt;"")*(G$3:G$107=G89))+1,IF(N89&lt;&gt;"",SUMPRODUCT((N$3:N$107&lt;&gt;"")*(G$3:G$107=G89)*(J$3:J$107&gt;J89))+1,IF(M89="P",SUMPRODUCT((O$3:O$107&lt;&gt;"")*(P$3:P$107="")*(G$3:G$107=G89))+SUMPRODUCT((P$3:P$107&lt;&gt;"")*(G$3:G$107=G89))+SUMPRODUCT((N$3:N$107&lt;&gt;"")*(G$3:G$107=G89))+SUMPRODUCT((P$3:P$107="")*(O$3:O$107="")*(N$3:N$107="")*(M$3:M$107="P")*(G$3:G$107=G89)*(J$3:J$107&gt;J89))+IF(H89="L5",SUMPRODUCT((P$3:P$107="")*(O$3:O$107="")*(N$3:N$107="")*(M$3:M$107="P")*(G$3:G$107=G89)*(J$3:J$107&lt;J89)*(H$3:H$107&lt;&gt;H89)),-1*SUMPRODUCT((P$3:P$107="")*(O$3:O$107="")*(N$3:N$107="")*(M$3:M$107="P")*(G$3:G$107=G89)*(J$3:J$107&gt;J89)*(H$3:H$107="L5")))+1,""))))</f>
        <v/>
      </c>
      <c r="C89" s="36" t="s">
        <v>87</v>
      </c>
      <c r="D89" s="36" t="str">
        <f>IF(E89="","",VLOOKUP(E89,'Coaching Points'!A:B,2,0))</f>
        <v>QC</v>
      </c>
      <c r="E89" s="36" t="s">
        <v>285</v>
      </c>
      <c r="F89" s="35">
        <v>2007</v>
      </c>
      <c r="G89" s="1" t="str">
        <f>IF(OR('Qualifying Scores'!$B$1-F89&gt;21,'Qualifying Scores'!$B$1-F89&lt;11),"Not Age Eligible",IF('Qualifying Scores'!$B$1-F89&gt;16,"17-21",IF('Qualifying Scores'!$B$1-F89&gt;14,"15-16",IF('Qualifying Scores'!$B$1-F89&gt;12,"13-14",IF('Qualifying Scores'!$B$1-F89&gt;10,"11-12","Not Age Eligible")))))</f>
        <v>15-16</v>
      </c>
      <c r="H89" s="39" t="s">
        <v>67</v>
      </c>
      <c r="I89" s="43"/>
      <c r="J89" s="4">
        <f>R89+S89+IF(OR(H89="Junior",H89="Senior"),0.0002,IF(OR(H89="L7",H89="L6"),0.0001,0))+IF(G89="17-21",MAX(AA89,AC89,AF89),AE89)*0.0000001</f>
        <v>99.850099999999998</v>
      </c>
      <c r="K89" s="3" t="str">
        <f>IF(G89="Not Age Eligible","",IF(G89="17-21",IF(MAX(T89,V89,Y89,AA89,AC89,AF89)&gt;=LOOKUP(G89,'Qualifying Scores'!$A$4:$A$7,'Qualifying Scores'!$B$4:$B$7),"P",""),IF(MAX(X89-U89,AE89-AB89)&gt;=LOOKUP(G89,'Qualifying Scores'!$A$4:$A$7,'Qualifying Scores'!$B$4:$B$7),"P","")))</f>
        <v/>
      </c>
      <c r="L89" s="3" t="str">
        <f>IF(G89="Not Age Eligible","",IF(G89="17-21",IF(MAX(U89,W89,Z89,AB89,AD89,AG89)&gt;=LOOKUP(G89,'Qualifying Scores'!$A$10:$A$13,'Qualifying Scores'!$B$10:$B$13),"P",""),IF(MAX(W89,AD89)&gt;=LOOKUP(G89,'Qualifying Scores'!$A$10:$A$13,'Qualifying Scores'!$B$10:$B$13),"P","")))</f>
        <v/>
      </c>
      <c r="M89" s="3" t="str">
        <f>IF(G89="Not Age Eligible","",IF(G89="17-21",IF(OR(AND(T89&gt;=LOOKUP(G89,'Qualifying Scores'!$A$4:$A$7,'Qualifying Scores'!$B$4:$B$7),U89&gt;=LOOKUP(G89,'Qualifying Scores'!$A$10:$A$13,'Qualifying Scores'!$B$10:$B$13)),AND(V89&gt;=LOOKUP(G89,'Qualifying Scores'!$A$4:$A$7,'Qualifying Scores'!$B$4:$B$7),W89&gt;=LOOKUP(G89,'Qualifying Scores'!$A$10:$A$13,'Qualifying Scores'!$B$10:$B$13)),AND(Y89&gt;=LOOKUP(G89,'Qualifying Scores'!$A$4:$A$7,'Qualifying Scores'!$B$4:$B$7),Z89&gt;=LOOKUP(G89,'Qualifying Scores'!$A$10:$A$13,'Qualifying Scores'!$B$10:$B$13)),AND(AA89&gt;=LOOKUP(G89,'Qualifying Scores'!$A$4:$A$7,'Qualifying Scores'!$B$4:$B$7),AB89&gt;=LOOKUP(G89,'Qualifying Scores'!$A$10:$A$13,'Qualifying Scores'!$B$10:$B$13)),AND(AC89&gt;=LOOKUP(G89,'Qualifying Scores'!$A$4:$A$7,'Qualifying Scores'!$B$4:$B$7),AD89&gt;=LOOKUP(G89,'Qualifying Scores'!$A$10:$A$13,'Qualifying Scores'!$B$10:$B$13)),AND(AF89&gt;=LOOKUP(G89,'Qualifying Scores'!$A$4:$A$7,'Qualifying Scores'!$B$4:$B$7),AG89&gt;=LOOKUP(G89,'Qualifying Scores'!$A$10:$A$13,'Qualifying Scores'!$B$10:$B$13))),"P",""),IF(OR(AND(X89-U89&gt;=LOOKUP(G89,'Qualifying Scores'!$A$4:$A$7,'Qualifying Scores'!$B$4:$B$7),W89&gt;=LOOKUP(G89,'Qualifying Scores'!$A$10:$A$13,'Qualifying Scores'!$B$10:$B$13)),AND(AE89-AB89&gt;=LOOKUP(G89,'Qualifying Scores'!$A$4:$A$7,'Qualifying Scores'!$B$4:$B$7),AD89&gt;=LOOKUP(G89,'Qualifying Scores'!$A$10:$A$13,'Qualifying Scores'!$B$10:$B$13))),"P","")))</f>
        <v/>
      </c>
      <c r="Q89" s="1" t="str">
        <f>IF(A89&lt;5,IF(_xlfn.MAXIFS(A:A,G:G,G89)&gt;3,5-A89,_xlfn.MAXIFS(A:A,G:G,G89)+1-A89),"")</f>
        <v/>
      </c>
      <c r="R89" s="4">
        <f>IF(G89="17-21",MAX(T89,V89,Y89,AA89,AC89,AF89),MAX(X89,AE89))</f>
        <v>54.25</v>
      </c>
      <c r="S89" s="4">
        <f>IF(G89="17-21",LARGE(CHOOSE({1,2,3,4,5,6},T89,V89,Y89,AA89,AC89,AF89),2),IF(R89=X89,MAX(Y89,AA89,AC89,AF89),IF(R89=AE89,MAX(AF89,T89,V89,Y89),0)))</f>
        <v>45.6</v>
      </c>
      <c r="T89" s="33">
        <v>39.19</v>
      </c>
      <c r="U89" s="40">
        <v>0</v>
      </c>
      <c r="V89" s="34">
        <v>15.06</v>
      </c>
      <c r="W89" s="40">
        <v>3.4</v>
      </c>
      <c r="X89" s="4">
        <f>IF(H89="Senior",MAX(T89,V89),T89+V89)</f>
        <v>54.25</v>
      </c>
      <c r="Y89" s="34">
        <v>45.6</v>
      </c>
      <c r="Z89" s="40">
        <v>8</v>
      </c>
      <c r="AA89" s="33"/>
      <c r="AB89" s="40"/>
      <c r="AC89" s="34"/>
      <c r="AD89" s="40"/>
      <c r="AE89" s="4">
        <f>IF(H89="Senior",MAX(AA89,AC89),AA89+AC89)</f>
        <v>0</v>
      </c>
      <c r="AF89" s="34"/>
      <c r="AG89" s="37"/>
    </row>
    <row r="90" spans="1:33" x14ac:dyDescent="0.2">
      <c r="A90" s="1" t="str" cm="1">
        <f t="array" ref="A90">IF(I90="","",IF(P90&lt;&gt;"",SUMPRODUCT((P$3:P$107&lt;&gt;"")*(G$3:G$107=G90)*(J$3:J$107&gt;J90)*(I$3:I$107="P"))+1,IF(O90&lt;&gt;"",SUMPRODUCT((O$3:O$107&lt;&gt;"")*(P$3:P$107="")*(G$3:G$107=G90)*(J$3:J$107&gt;J90)*(I$3:I$107="P"))+SUMPRODUCT((P$3:P$107&lt;&gt;"")*(G$3:G$107=G90)*(I$3:I$107="P"))+1,IF(N90&lt;&gt;"",SUMPRODUCT((N$3:N$107&lt;&gt;"")*(G$3:G$107=G90)*(J$3:J$107&gt;J90)*(I$3:I$107="P"))+1,IF(M90="P",SUMPRODUCT((O$3:O$107&lt;&gt;"")*(P$3:P$107="")*(G$3:G$107=G90)*(I$3:I$107="P"))+SUMPRODUCT((P$3:P$107&lt;&gt;"")*(G$3:G$107=G90)*(I$3:I$107="P"))+SUMPRODUCT((N$3:N$107&lt;&gt;"")*(G$3:G$107=G90)*(I$3:I$107="P"))+SUMPRODUCT((P$3:P$107="")*(O$3:O$107="")*(N$3:N$107="")*(M$3:M$107="P")*(G$3:G$107=G90)*(J$3:J$107&gt;J90)*(I$3:I$107="P"))+IF(H90="L5",SUMPRODUCT((P$3:P$107="")*(O$3:O$107="")*(N$3:N$107="")*(M$3:M$107="P")*(G$3:G$107=G90)*(J$3:J$107&lt;J90)*(H$3:H$107&lt;&gt;H90)*(I$3:I$107="P")),-1*SUMPRODUCT((P$3:P$107="")*(O$3:O$107="")*(N$3:N$107="")*(M$3:M$107="P")*(G$3:G$107=G90)*(J$3:J$107&gt;J90)*(H$3:H$107="L5")*(I$3:I$107="P")))+1,"")))))</f>
        <v/>
      </c>
      <c r="B90" s="1" t="str" cm="1">
        <f t="array" ref="B90">IF(P90&lt;&gt;"",SUMPRODUCT((P$3:P$107&lt;&gt;"")*(G$3:G$107=G90)*(J$3:J$107&gt;J90))+1,IF(O90&lt;&gt;"",SUMPRODUCT((O$3:O$107&lt;&gt;"")*(P$3:P$107="")*(G$3:G$107=G90)*(J$3:J$107&gt;J90))+SUMPRODUCT((P$3:P$107&lt;&gt;"")*(G$3:G$107=G90))+1,IF(N90&lt;&gt;"",SUMPRODUCT((N$3:N$107&lt;&gt;"")*(G$3:G$107=G90)*(J$3:J$107&gt;J90))+1,IF(M90="P",SUMPRODUCT((O$3:O$107&lt;&gt;"")*(P$3:P$107="")*(G$3:G$107=G90))+SUMPRODUCT((P$3:P$107&lt;&gt;"")*(G$3:G$107=G90))+SUMPRODUCT((N$3:N$107&lt;&gt;"")*(G$3:G$107=G90))+SUMPRODUCT((P$3:P$107="")*(O$3:O$107="")*(N$3:N$107="")*(M$3:M$107="P")*(G$3:G$107=G90)*(J$3:J$107&gt;J90))+IF(H90="L5",SUMPRODUCT((P$3:P$107="")*(O$3:O$107="")*(N$3:N$107="")*(M$3:M$107="P")*(G$3:G$107=G90)*(J$3:J$107&lt;J90)*(H$3:H$107&lt;&gt;H90)),-1*SUMPRODUCT((P$3:P$107="")*(O$3:O$107="")*(N$3:N$107="")*(M$3:M$107="P")*(G$3:G$107=G90)*(J$3:J$107&gt;J90)*(H$3:H$107="L5")))+1,""))))</f>
        <v/>
      </c>
      <c r="C90" s="36" t="s">
        <v>534</v>
      </c>
      <c r="D90" s="36" t="str">
        <f>IF(E90="","",VLOOKUP(E90,'Coaching Points'!A:B,2,0))</f>
        <v>ON</v>
      </c>
      <c r="E90" s="36" t="s">
        <v>113</v>
      </c>
      <c r="F90" s="35">
        <v>2008</v>
      </c>
      <c r="G90" s="1" t="str">
        <f>IF(OR('Qualifying Scores'!$B$1-F90&gt;21,'Qualifying Scores'!$B$1-F90&lt;11),"Not Age Eligible",IF('Qualifying Scores'!$B$1-F90&gt;16,"17-21",IF('Qualifying Scores'!$B$1-F90&gt;14,"15-16",IF('Qualifying Scores'!$B$1-F90&gt;12,"13-14",IF('Qualifying Scores'!$B$1-F90&gt;10,"11-12","Not Age Eligible")))))</f>
        <v>15-16</v>
      </c>
      <c r="H90" s="39" t="s">
        <v>66</v>
      </c>
      <c r="I90" s="43"/>
      <c r="J90" s="4">
        <f>R90+S90+IF(OR(H90="Junior",H90="Senior"),0.0002,IF(OR(H90="L7",H90="L6"),0.0001,0))+IF(G90="17-21",MAX(AA90,AC90,AF90),AE90)*0.0000001</f>
        <v>94.190008427000009</v>
      </c>
      <c r="K90" s="3" t="str">
        <f>IF(G90="Not Age Eligible","",IF(G90="17-21",IF(MAX(T90,V90,Y90,AA90,AC90,AF90)&gt;=LOOKUP(G90,'Qualifying Scores'!$A$4:$A$7,'Qualifying Scores'!$B$4:$B$7),"P",""),IF(MAX(X90-U90,AE90-AB90)&gt;=LOOKUP(G90,'Qualifying Scores'!$A$4:$A$7,'Qualifying Scores'!$B$4:$B$7),"P","")))</f>
        <v/>
      </c>
      <c r="L90" s="3" t="str">
        <f>IF(G90="Not Age Eligible","",IF(G90="17-21",IF(MAX(U90,W90,Z90,AB90,AD90,AG90)&gt;=LOOKUP(G90,'Qualifying Scores'!$A$10:$A$13,'Qualifying Scores'!$B$10:$B$13),"P",""),IF(MAX(W90,AD90)&gt;=LOOKUP(G90,'Qualifying Scores'!$A$10:$A$13,'Qualifying Scores'!$B$10:$B$13),"P","")))</f>
        <v/>
      </c>
      <c r="M90" s="3" t="str">
        <f>IF(G90="Not Age Eligible","",IF(G90="17-21",IF(OR(AND(T90&gt;=LOOKUP(G90,'Qualifying Scores'!$A$4:$A$7,'Qualifying Scores'!$B$4:$B$7),U90&gt;=LOOKUP(G90,'Qualifying Scores'!$A$10:$A$13,'Qualifying Scores'!$B$10:$B$13)),AND(V90&gt;=LOOKUP(G90,'Qualifying Scores'!$A$4:$A$7,'Qualifying Scores'!$B$4:$B$7),W90&gt;=LOOKUP(G90,'Qualifying Scores'!$A$10:$A$13,'Qualifying Scores'!$B$10:$B$13)),AND(Y90&gt;=LOOKUP(G90,'Qualifying Scores'!$A$4:$A$7,'Qualifying Scores'!$B$4:$B$7),Z90&gt;=LOOKUP(G90,'Qualifying Scores'!$A$10:$A$13,'Qualifying Scores'!$B$10:$B$13)),AND(AA90&gt;=LOOKUP(G90,'Qualifying Scores'!$A$4:$A$7,'Qualifying Scores'!$B$4:$B$7),AB90&gt;=LOOKUP(G90,'Qualifying Scores'!$A$10:$A$13,'Qualifying Scores'!$B$10:$B$13)),AND(AC90&gt;=LOOKUP(G90,'Qualifying Scores'!$A$4:$A$7,'Qualifying Scores'!$B$4:$B$7),AD90&gt;=LOOKUP(G90,'Qualifying Scores'!$A$10:$A$13,'Qualifying Scores'!$B$10:$B$13)),AND(AF90&gt;=LOOKUP(G90,'Qualifying Scores'!$A$4:$A$7,'Qualifying Scores'!$B$4:$B$7),AG90&gt;=LOOKUP(G90,'Qualifying Scores'!$A$10:$A$13,'Qualifying Scores'!$B$10:$B$13))),"P",""),IF(OR(AND(X90-U90&gt;=LOOKUP(G90,'Qualifying Scores'!$A$4:$A$7,'Qualifying Scores'!$B$4:$B$7),W90&gt;=LOOKUP(G90,'Qualifying Scores'!$A$10:$A$13,'Qualifying Scores'!$B$10:$B$13)),AND(AE90-AB90&gt;=LOOKUP(G90,'Qualifying Scores'!$A$4:$A$7,'Qualifying Scores'!$B$4:$B$7),AD90&gt;=LOOKUP(G90,'Qualifying Scores'!$A$10:$A$13,'Qualifying Scores'!$B$10:$B$13))),"P","")))</f>
        <v/>
      </c>
      <c r="Q90" s="1" t="str">
        <f>IF(A90&lt;5,IF(_xlfn.MAXIFS(A:A,G:G,G90)&gt;3,5-A90,_xlfn.MAXIFS(A:A,G:G,G90)+1-A90),"")</f>
        <v/>
      </c>
      <c r="R90" s="4">
        <f>IF(G90="17-21",MAX(T90,V90,Y90,AA90,AC90,AF90),MAX(X90,AE90))</f>
        <v>84.27000000000001</v>
      </c>
      <c r="S90" s="4">
        <f>IF(G90="17-21",LARGE(CHOOSE({1,2,3,4,5,6},T90,V90,Y90,AA90,AC90,AF90),2),IF(R90=X90,MAX(Y90,AA90,AC90,AF90),IF(R90=AE90,MAX(AF90,T90,V90,Y90),0)))</f>
        <v>9.92</v>
      </c>
      <c r="T90" s="33"/>
      <c r="U90" s="40"/>
      <c r="V90" s="34"/>
      <c r="W90" s="40"/>
      <c r="X90" s="4">
        <f>IF(H90="Senior",MAX(T90,V90),T90+V90)</f>
        <v>0</v>
      </c>
      <c r="Y90" s="34"/>
      <c r="Z90" s="40"/>
      <c r="AA90" s="33">
        <v>39.270000000000003</v>
      </c>
      <c r="AB90" s="40">
        <v>0</v>
      </c>
      <c r="AC90" s="34">
        <v>45</v>
      </c>
      <c r="AD90" s="40">
        <v>9.3000000000000007</v>
      </c>
      <c r="AE90" s="4">
        <f>IF(H90="Senior",MAX(AA90,AC90),AA90+AC90)</f>
        <v>84.27000000000001</v>
      </c>
      <c r="AF90" s="34">
        <v>9.92</v>
      </c>
      <c r="AG90" s="37">
        <v>2.1</v>
      </c>
    </row>
    <row r="91" spans="1:33" x14ac:dyDescent="0.2">
      <c r="A91" s="1" t="str" cm="1">
        <f t="array" ref="A91">IF(I91="","",IF(P91&lt;&gt;"",SUMPRODUCT((P$3:P$107&lt;&gt;"")*(G$3:G$107=G91)*(J$3:J$107&gt;J91)*(I$3:I$107="P"))+1,IF(O91&lt;&gt;"",SUMPRODUCT((O$3:O$107&lt;&gt;"")*(P$3:P$107="")*(G$3:G$107=G91)*(J$3:J$107&gt;J91)*(I$3:I$107="P"))+SUMPRODUCT((P$3:P$107&lt;&gt;"")*(G$3:G$107=G91)*(I$3:I$107="P"))+1,IF(N91&lt;&gt;"",SUMPRODUCT((N$3:N$107&lt;&gt;"")*(G$3:G$107=G91)*(J$3:J$107&gt;J91)*(I$3:I$107="P"))+1,IF(M91="P",SUMPRODUCT((O$3:O$107&lt;&gt;"")*(P$3:P$107="")*(G$3:G$107=G91)*(I$3:I$107="P"))+SUMPRODUCT((P$3:P$107&lt;&gt;"")*(G$3:G$107=G91)*(I$3:I$107="P"))+SUMPRODUCT((N$3:N$107&lt;&gt;"")*(G$3:G$107=G91)*(I$3:I$107="P"))+SUMPRODUCT((P$3:P$107="")*(O$3:O$107="")*(N$3:N$107="")*(M$3:M$107="P")*(G$3:G$107=G91)*(J$3:J$107&gt;J91)*(I$3:I$107="P"))+IF(H91="L5",SUMPRODUCT((P$3:P$107="")*(O$3:O$107="")*(N$3:N$107="")*(M$3:M$107="P")*(G$3:G$107=G91)*(J$3:J$107&lt;J91)*(H$3:H$107&lt;&gt;H91)*(I$3:I$107="P")),-1*SUMPRODUCT((P$3:P$107="")*(O$3:O$107="")*(N$3:N$107="")*(M$3:M$107="P")*(G$3:G$107=G91)*(J$3:J$107&gt;J91)*(H$3:H$107="L5")*(I$3:I$107="P")))+1,"")))))</f>
        <v/>
      </c>
      <c r="B91" s="1" t="str" cm="1">
        <f t="array" ref="B91">IF(P91&lt;&gt;"",SUMPRODUCT((P$3:P$107&lt;&gt;"")*(G$3:G$107=G91)*(J$3:J$107&gt;J91))+1,IF(O91&lt;&gt;"",SUMPRODUCT((O$3:O$107&lt;&gt;"")*(P$3:P$107="")*(G$3:G$107=G91)*(J$3:J$107&gt;J91))+SUMPRODUCT((P$3:P$107&lt;&gt;"")*(G$3:G$107=G91))+1,IF(N91&lt;&gt;"",SUMPRODUCT((N$3:N$107&lt;&gt;"")*(G$3:G$107=G91)*(J$3:J$107&gt;J91))+1,IF(M91="P",SUMPRODUCT((O$3:O$107&lt;&gt;"")*(P$3:P$107="")*(G$3:G$107=G91))+SUMPRODUCT((P$3:P$107&lt;&gt;"")*(G$3:G$107=G91))+SUMPRODUCT((N$3:N$107&lt;&gt;"")*(G$3:G$107=G91))+SUMPRODUCT((P$3:P$107="")*(O$3:O$107="")*(N$3:N$107="")*(M$3:M$107="P")*(G$3:G$107=G91)*(J$3:J$107&gt;J91))+IF(H91="L5",SUMPRODUCT((P$3:P$107="")*(O$3:O$107="")*(N$3:N$107="")*(M$3:M$107="P")*(G$3:G$107=G91)*(J$3:J$107&lt;J91)*(H$3:H$107&lt;&gt;H91)),-1*SUMPRODUCT((P$3:P$107="")*(O$3:O$107="")*(N$3:N$107="")*(M$3:M$107="P")*(G$3:G$107=G91)*(J$3:J$107&gt;J91)*(H$3:H$107="L5")))+1,""))))</f>
        <v/>
      </c>
      <c r="C91" s="36" t="s">
        <v>489</v>
      </c>
      <c r="D91" s="36" t="str">
        <f>IF(E91="","",VLOOKUP(E91,'Coaching Points'!A:B,2,0))</f>
        <v>BC</v>
      </c>
      <c r="E91" s="36" t="s">
        <v>41</v>
      </c>
      <c r="F91" s="35">
        <v>2008</v>
      </c>
      <c r="G91" s="1" t="str">
        <f>IF(OR('Qualifying Scores'!$B$1-F91&gt;21,'Qualifying Scores'!$B$1-F91&lt;11),"Not Age Eligible",IF('Qualifying Scores'!$B$1-F91&gt;16,"17-21",IF('Qualifying Scores'!$B$1-F91&gt;14,"15-16",IF('Qualifying Scores'!$B$1-F91&gt;12,"13-14",IF('Qualifying Scores'!$B$1-F91&gt;10,"11-12","Not Age Eligible")))))</f>
        <v>15-16</v>
      </c>
      <c r="H91" s="39" t="s">
        <v>66</v>
      </c>
      <c r="I91" s="43"/>
      <c r="J91" s="4">
        <f>R91+S91+IF(OR(H91="Junior",H91="Senior"),0.0002,IF(OR(H91="L7",H91="L6"),0.0001,0))+IF(G91="17-21",MAX(AA91,AC91,AF91),AE91)*0.0000001</f>
        <v>82.860008285999996</v>
      </c>
      <c r="K91" s="3" t="str">
        <f>IF(G91="Not Age Eligible","",IF(G91="17-21",IF(MAX(T91,V91,Y91,AA91,AC91,AF91)&gt;=LOOKUP(G91,'Qualifying Scores'!$A$4:$A$7,'Qualifying Scores'!$B$4:$B$7),"P",""),IF(MAX(X91-U91,AE91-AB91)&gt;=LOOKUP(G91,'Qualifying Scores'!$A$4:$A$7,'Qualifying Scores'!$B$4:$B$7),"P","")))</f>
        <v/>
      </c>
      <c r="L91" s="3" t="str">
        <f>IF(G91="Not Age Eligible","",IF(G91="17-21",IF(MAX(U91,W91,Z91,AB91,AD91,AG91)&gt;=LOOKUP(G91,'Qualifying Scores'!$A$10:$A$13,'Qualifying Scores'!$B$10:$B$13),"P",""),IF(MAX(W91,AD91)&gt;=LOOKUP(G91,'Qualifying Scores'!$A$10:$A$13,'Qualifying Scores'!$B$10:$B$13),"P","")))</f>
        <v/>
      </c>
      <c r="M91" s="3" t="str">
        <f>IF(G91="Not Age Eligible","",IF(G91="17-21",IF(OR(AND(T91&gt;=LOOKUP(G91,'Qualifying Scores'!$A$4:$A$7,'Qualifying Scores'!$B$4:$B$7),U91&gt;=LOOKUP(G91,'Qualifying Scores'!$A$10:$A$13,'Qualifying Scores'!$B$10:$B$13)),AND(V91&gt;=LOOKUP(G91,'Qualifying Scores'!$A$4:$A$7,'Qualifying Scores'!$B$4:$B$7),W91&gt;=LOOKUP(G91,'Qualifying Scores'!$A$10:$A$13,'Qualifying Scores'!$B$10:$B$13)),AND(Y91&gt;=LOOKUP(G91,'Qualifying Scores'!$A$4:$A$7,'Qualifying Scores'!$B$4:$B$7),Z91&gt;=LOOKUP(G91,'Qualifying Scores'!$A$10:$A$13,'Qualifying Scores'!$B$10:$B$13)),AND(AA91&gt;=LOOKUP(G91,'Qualifying Scores'!$A$4:$A$7,'Qualifying Scores'!$B$4:$B$7),AB91&gt;=LOOKUP(G91,'Qualifying Scores'!$A$10:$A$13,'Qualifying Scores'!$B$10:$B$13)),AND(AC91&gt;=LOOKUP(G91,'Qualifying Scores'!$A$4:$A$7,'Qualifying Scores'!$B$4:$B$7),AD91&gt;=LOOKUP(G91,'Qualifying Scores'!$A$10:$A$13,'Qualifying Scores'!$B$10:$B$13)),AND(AF91&gt;=LOOKUP(G91,'Qualifying Scores'!$A$4:$A$7,'Qualifying Scores'!$B$4:$B$7),AG91&gt;=LOOKUP(G91,'Qualifying Scores'!$A$10:$A$13,'Qualifying Scores'!$B$10:$B$13))),"P",""),IF(OR(AND(X91-U91&gt;=LOOKUP(G91,'Qualifying Scores'!$A$4:$A$7,'Qualifying Scores'!$B$4:$B$7),W91&gt;=LOOKUP(G91,'Qualifying Scores'!$A$10:$A$13,'Qualifying Scores'!$B$10:$B$13)),AND(AE91-AB91&gt;=LOOKUP(G91,'Qualifying Scores'!$A$4:$A$7,'Qualifying Scores'!$B$4:$B$7),AD91&gt;=LOOKUP(G91,'Qualifying Scores'!$A$10:$A$13,'Qualifying Scores'!$B$10:$B$13))),"P","")))</f>
        <v/>
      </c>
      <c r="Q91" s="1" t="str">
        <f>IF(A91&lt;5,IF(_xlfn.MAXIFS(A:A,G:G,G91)&gt;3,5-A91,_xlfn.MAXIFS(A:A,G:G,G91)+1-A91),"")</f>
        <v/>
      </c>
      <c r="R91" s="4">
        <f>IF(G91="17-21",MAX(T91,V91,Y91,AA91,AC91,AF91),MAX(X91,AE91))</f>
        <v>82.86</v>
      </c>
      <c r="S91" s="4">
        <f>IF(G91="17-21",LARGE(CHOOSE({1,2,3,4,5,6},T91,V91,Y91,AA91,AC91,AF91),2),IF(R91=X91,MAX(Y91,AA91,AC91,AF91),IF(R91=AE91,MAX(AF91,T91,V91,Y91),0)))</f>
        <v>0</v>
      </c>
      <c r="T91" s="33"/>
      <c r="U91" s="40"/>
      <c r="V91" s="34"/>
      <c r="W91" s="40"/>
      <c r="X91" s="4">
        <f>IF(H91="Senior",MAX(T91,V91),T91+V91)</f>
        <v>0</v>
      </c>
      <c r="Y91" s="34"/>
      <c r="Z91" s="40"/>
      <c r="AA91" s="33">
        <v>38.18</v>
      </c>
      <c r="AB91" s="40">
        <v>0</v>
      </c>
      <c r="AC91" s="34">
        <v>44.68</v>
      </c>
      <c r="AD91" s="40">
        <v>8.4</v>
      </c>
      <c r="AE91" s="4">
        <f>IF(H91="Senior",MAX(AA91,AC91),AA91+AC91)</f>
        <v>82.86</v>
      </c>
      <c r="AF91" s="34"/>
      <c r="AG91" s="37"/>
    </row>
    <row r="92" spans="1:33" x14ac:dyDescent="0.2">
      <c r="A92" s="1" t="str" cm="1">
        <f t="array" ref="A92">IF(I92="","",IF(P92&lt;&gt;"",SUMPRODUCT((P$3:P$107&lt;&gt;"")*(G$3:G$107=G92)*(J$3:J$107&gt;J92)*(I$3:I$107="P"))+1,IF(O92&lt;&gt;"",SUMPRODUCT((O$3:O$107&lt;&gt;"")*(P$3:P$107="")*(G$3:G$107=G92)*(J$3:J$107&gt;J92)*(I$3:I$107="P"))+SUMPRODUCT((P$3:P$107&lt;&gt;"")*(G$3:G$107=G92)*(I$3:I$107="P"))+1,IF(N92&lt;&gt;"",SUMPRODUCT((N$3:N$107&lt;&gt;"")*(G$3:G$107=G92)*(J$3:J$107&gt;J92)*(I$3:I$107="P"))+1,IF(M92="P",SUMPRODUCT((O$3:O$107&lt;&gt;"")*(P$3:P$107="")*(G$3:G$107=G92)*(I$3:I$107="P"))+SUMPRODUCT((P$3:P$107&lt;&gt;"")*(G$3:G$107=G92)*(I$3:I$107="P"))+SUMPRODUCT((N$3:N$107&lt;&gt;"")*(G$3:G$107=G92)*(I$3:I$107="P"))+SUMPRODUCT((P$3:P$107="")*(O$3:O$107="")*(N$3:N$107="")*(M$3:M$107="P")*(G$3:G$107=G92)*(J$3:J$107&gt;J92)*(I$3:I$107="P"))+IF(H92="L5",SUMPRODUCT((P$3:P$107="")*(O$3:O$107="")*(N$3:N$107="")*(M$3:M$107="P")*(G$3:G$107=G92)*(J$3:J$107&lt;J92)*(H$3:H$107&lt;&gt;H92)*(I$3:I$107="P")),-1*SUMPRODUCT((P$3:P$107="")*(O$3:O$107="")*(N$3:N$107="")*(M$3:M$107="P")*(G$3:G$107=G92)*(J$3:J$107&gt;J92)*(H$3:H$107="L5")*(I$3:I$107="P")))+1,"")))))</f>
        <v/>
      </c>
      <c r="B92" s="1" t="str" cm="1">
        <f t="array" ref="B92">IF(P92&lt;&gt;"",SUMPRODUCT((P$3:P$107&lt;&gt;"")*(G$3:G$107=G92)*(J$3:J$107&gt;J92))+1,IF(O92&lt;&gt;"",SUMPRODUCT((O$3:O$107&lt;&gt;"")*(P$3:P$107="")*(G$3:G$107=G92)*(J$3:J$107&gt;J92))+SUMPRODUCT((P$3:P$107&lt;&gt;"")*(G$3:G$107=G92))+1,IF(N92&lt;&gt;"",SUMPRODUCT((N$3:N$107&lt;&gt;"")*(G$3:G$107=G92)*(J$3:J$107&gt;J92))+1,IF(M92="P",SUMPRODUCT((O$3:O$107&lt;&gt;"")*(P$3:P$107="")*(G$3:G$107=G92))+SUMPRODUCT((P$3:P$107&lt;&gt;"")*(G$3:G$107=G92))+SUMPRODUCT((N$3:N$107&lt;&gt;"")*(G$3:G$107=G92))+SUMPRODUCT((P$3:P$107="")*(O$3:O$107="")*(N$3:N$107="")*(M$3:M$107="P")*(G$3:G$107=G92)*(J$3:J$107&gt;J92))+IF(H92="L5",SUMPRODUCT((P$3:P$107="")*(O$3:O$107="")*(N$3:N$107="")*(M$3:M$107="P")*(G$3:G$107=G92)*(J$3:J$107&lt;J92)*(H$3:H$107&lt;&gt;H92)),-1*SUMPRODUCT((P$3:P$107="")*(O$3:O$107="")*(N$3:N$107="")*(M$3:M$107="P")*(G$3:G$107=G92)*(J$3:J$107&gt;J92)*(H$3:H$107="L5")))+1,""))))</f>
        <v/>
      </c>
      <c r="C92" s="36" t="s">
        <v>487</v>
      </c>
      <c r="D92" s="36" t="str">
        <f>IF(E92="","",VLOOKUP(E92,'Coaching Points'!A:B,2,0))</f>
        <v>QC</v>
      </c>
      <c r="E92" s="36" t="s">
        <v>96</v>
      </c>
      <c r="F92" s="35">
        <v>2008</v>
      </c>
      <c r="G92" s="1" t="str">
        <f>IF(OR('Qualifying Scores'!$B$1-F92&gt;21,'Qualifying Scores'!$B$1-F92&lt;11),"Not Age Eligible",IF('Qualifying Scores'!$B$1-F92&gt;16,"17-21",IF('Qualifying Scores'!$B$1-F92&gt;14,"15-16",IF('Qualifying Scores'!$B$1-F92&gt;12,"13-14",IF('Qualifying Scores'!$B$1-F92&gt;10,"11-12","Not Age Eligible")))))</f>
        <v>15-16</v>
      </c>
      <c r="H92" s="39" t="s">
        <v>66</v>
      </c>
      <c r="I92" s="43"/>
      <c r="J92" s="4">
        <f>R92+S92+IF(OR(H92="Junior",H92="Senior"),0.0002,IF(OR(H92="L7",H92="L6"),0.0001,0))+IF(G92="17-21",MAX(AA92,AC92,AF92),AE92)*0.0000001</f>
        <v>82.73000827300001</v>
      </c>
      <c r="K92" s="3" t="str">
        <f>IF(G92="Not Age Eligible","",IF(G92="17-21",IF(MAX(T92,V92,Y92,AA92,AC92,AF92)&gt;=LOOKUP(G92,'Qualifying Scores'!$A$4:$A$7,'Qualifying Scores'!$B$4:$B$7),"P",""),IF(MAX(X92-U92,AE92-AB92)&gt;=LOOKUP(G92,'Qualifying Scores'!$A$4:$A$7,'Qualifying Scores'!$B$4:$B$7),"P","")))</f>
        <v/>
      </c>
      <c r="L92" s="3" t="str">
        <f>IF(G92="Not Age Eligible","",IF(G92="17-21",IF(MAX(U92,W92,Z92,AB92,AD92,AG92)&gt;=LOOKUP(G92,'Qualifying Scores'!$A$10:$A$13,'Qualifying Scores'!$B$10:$B$13),"P",""),IF(MAX(W92,AD92)&gt;=LOOKUP(G92,'Qualifying Scores'!$A$10:$A$13,'Qualifying Scores'!$B$10:$B$13),"P","")))</f>
        <v/>
      </c>
      <c r="M92" s="3" t="str">
        <f>IF(G92="Not Age Eligible","",IF(G92="17-21",IF(OR(AND(T92&gt;=LOOKUP(G92,'Qualifying Scores'!$A$4:$A$7,'Qualifying Scores'!$B$4:$B$7),U92&gt;=LOOKUP(G92,'Qualifying Scores'!$A$10:$A$13,'Qualifying Scores'!$B$10:$B$13)),AND(V92&gt;=LOOKUP(G92,'Qualifying Scores'!$A$4:$A$7,'Qualifying Scores'!$B$4:$B$7),W92&gt;=LOOKUP(G92,'Qualifying Scores'!$A$10:$A$13,'Qualifying Scores'!$B$10:$B$13)),AND(Y92&gt;=LOOKUP(G92,'Qualifying Scores'!$A$4:$A$7,'Qualifying Scores'!$B$4:$B$7),Z92&gt;=LOOKUP(G92,'Qualifying Scores'!$A$10:$A$13,'Qualifying Scores'!$B$10:$B$13)),AND(AA92&gt;=LOOKUP(G92,'Qualifying Scores'!$A$4:$A$7,'Qualifying Scores'!$B$4:$B$7),AB92&gt;=LOOKUP(G92,'Qualifying Scores'!$A$10:$A$13,'Qualifying Scores'!$B$10:$B$13)),AND(AC92&gt;=LOOKUP(G92,'Qualifying Scores'!$A$4:$A$7,'Qualifying Scores'!$B$4:$B$7),AD92&gt;=LOOKUP(G92,'Qualifying Scores'!$A$10:$A$13,'Qualifying Scores'!$B$10:$B$13)),AND(AF92&gt;=LOOKUP(G92,'Qualifying Scores'!$A$4:$A$7,'Qualifying Scores'!$B$4:$B$7),AG92&gt;=LOOKUP(G92,'Qualifying Scores'!$A$10:$A$13,'Qualifying Scores'!$B$10:$B$13))),"P",""),IF(OR(AND(X92-U92&gt;=LOOKUP(G92,'Qualifying Scores'!$A$4:$A$7,'Qualifying Scores'!$B$4:$B$7),W92&gt;=LOOKUP(G92,'Qualifying Scores'!$A$10:$A$13,'Qualifying Scores'!$B$10:$B$13)),AND(AE92-AB92&gt;=LOOKUP(G92,'Qualifying Scores'!$A$4:$A$7,'Qualifying Scores'!$B$4:$B$7),AD92&gt;=LOOKUP(G92,'Qualifying Scores'!$A$10:$A$13,'Qualifying Scores'!$B$10:$B$13))),"P","")))</f>
        <v/>
      </c>
      <c r="Q92" s="1" t="str">
        <f>IF(A92&lt;5,IF(_xlfn.MAXIFS(A:A,G:G,G92)&gt;3,5-A92,_xlfn.MAXIFS(A:A,G:G,G92)+1-A92),"")</f>
        <v/>
      </c>
      <c r="R92" s="4">
        <f>IF(G92="17-21",MAX(T92,V92,Y92,AA92,AC92,AF92),MAX(X92,AE92))</f>
        <v>82.73</v>
      </c>
      <c r="S92" s="4">
        <f>IF(G92="17-21",LARGE(CHOOSE({1,2,3,4,5,6},T92,V92,Y92,AA92,AC92,AF92),2),IF(R92=X92,MAX(Y92,AA92,AC92,AF92),IF(R92=AE92,MAX(AF92,T92,V92,Y92),0)))</f>
        <v>0</v>
      </c>
      <c r="T92" s="33"/>
      <c r="U92" s="40"/>
      <c r="V92" s="34"/>
      <c r="W92" s="40"/>
      <c r="X92" s="4">
        <f>IF(H92="Senior",MAX(T92,V92),T92+V92)</f>
        <v>0</v>
      </c>
      <c r="Y92" s="34"/>
      <c r="Z92" s="40"/>
      <c r="AA92" s="33">
        <v>38.31</v>
      </c>
      <c r="AB92" s="40">
        <v>0</v>
      </c>
      <c r="AC92" s="34">
        <v>44.42</v>
      </c>
      <c r="AD92" s="40">
        <v>7.4</v>
      </c>
      <c r="AE92" s="4">
        <f>IF(H92="Senior",MAX(AA92,AC92),AA92+AC92)</f>
        <v>82.73</v>
      </c>
      <c r="AF92" s="34"/>
      <c r="AG92" s="37"/>
    </row>
    <row r="93" spans="1:33" x14ac:dyDescent="0.2">
      <c r="A93" s="1" t="str" cm="1">
        <f t="array" ref="A93">IF(I93="","",IF(P93&lt;&gt;"",SUMPRODUCT((P$3:P$107&lt;&gt;"")*(G$3:G$107=G93)*(J$3:J$107&gt;J93)*(I$3:I$107="P"))+1,IF(O93&lt;&gt;"",SUMPRODUCT((O$3:O$107&lt;&gt;"")*(P$3:P$107="")*(G$3:G$107=G93)*(J$3:J$107&gt;J93)*(I$3:I$107="P"))+SUMPRODUCT((P$3:P$107&lt;&gt;"")*(G$3:G$107=G93)*(I$3:I$107="P"))+1,IF(N93&lt;&gt;"",SUMPRODUCT((N$3:N$107&lt;&gt;"")*(G$3:G$107=G93)*(J$3:J$107&gt;J93)*(I$3:I$107="P"))+1,IF(M93="P",SUMPRODUCT((O$3:O$107&lt;&gt;"")*(P$3:P$107="")*(G$3:G$107=G93)*(I$3:I$107="P"))+SUMPRODUCT((P$3:P$107&lt;&gt;"")*(G$3:G$107=G93)*(I$3:I$107="P"))+SUMPRODUCT((N$3:N$107&lt;&gt;"")*(G$3:G$107=G93)*(I$3:I$107="P"))+SUMPRODUCT((P$3:P$107="")*(O$3:O$107="")*(N$3:N$107="")*(M$3:M$107="P")*(G$3:G$107=G93)*(J$3:J$107&gt;J93)*(I$3:I$107="P"))+IF(H93="L5",SUMPRODUCT((P$3:P$107="")*(O$3:O$107="")*(N$3:N$107="")*(M$3:M$107="P")*(G$3:G$107=G93)*(J$3:J$107&lt;J93)*(H$3:H$107&lt;&gt;H93)*(I$3:I$107="P")),-1*SUMPRODUCT((P$3:P$107="")*(O$3:O$107="")*(N$3:N$107="")*(M$3:M$107="P")*(G$3:G$107=G93)*(J$3:J$107&gt;J93)*(H$3:H$107="L5")*(I$3:I$107="P")))+1,"")))))</f>
        <v/>
      </c>
      <c r="B93" s="1" t="str" cm="1">
        <f t="array" ref="B93">IF(P93&lt;&gt;"",SUMPRODUCT((P$3:P$107&lt;&gt;"")*(G$3:G$107=G93)*(J$3:J$107&gt;J93))+1,IF(O93&lt;&gt;"",SUMPRODUCT((O$3:O$107&lt;&gt;"")*(P$3:P$107="")*(G$3:G$107=G93)*(J$3:J$107&gt;J93))+SUMPRODUCT((P$3:P$107&lt;&gt;"")*(G$3:G$107=G93))+1,IF(N93&lt;&gt;"",SUMPRODUCT((N$3:N$107&lt;&gt;"")*(G$3:G$107=G93)*(J$3:J$107&gt;J93))+1,IF(M93="P",SUMPRODUCT((O$3:O$107&lt;&gt;"")*(P$3:P$107="")*(G$3:G$107=G93))+SUMPRODUCT((P$3:P$107&lt;&gt;"")*(G$3:G$107=G93))+SUMPRODUCT((N$3:N$107&lt;&gt;"")*(G$3:G$107=G93))+SUMPRODUCT((P$3:P$107="")*(O$3:O$107="")*(N$3:N$107="")*(M$3:M$107="P")*(G$3:G$107=G93)*(J$3:J$107&gt;J93))+IF(H93="L5",SUMPRODUCT((P$3:P$107="")*(O$3:O$107="")*(N$3:N$107="")*(M$3:M$107="P")*(G$3:G$107=G93)*(J$3:J$107&lt;J93)*(H$3:H$107&lt;&gt;H93)),-1*SUMPRODUCT((P$3:P$107="")*(O$3:O$107="")*(N$3:N$107="")*(M$3:M$107="P")*(G$3:G$107=G93)*(J$3:J$107&gt;J93)*(H$3:H$107="L5")))+1,""))))</f>
        <v/>
      </c>
      <c r="C93" s="36" t="s">
        <v>486</v>
      </c>
      <c r="D93" s="36" t="str">
        <f>IF(E93="","",VLOOKUP(E93,'Coaching Points'!A:B,2,0))</f>
        <v>ON</v>
      </c>
      <c r="E93" s="36" t="s">
        <v>47</v>
      </c>
      <c r="F93" s="35">
        <v>2008</v>
      </c>
      <c r="G93" s="1" t="str">
        <f>IF(OR('Qualifying Scores'!$B$1-F93&gt;21,'Qualifying Scores'!$B$1-F93&lt;11),"Not Age Eligible",IF('Qualifying Scores'!$B$1-F93&gt;16,"17-21",IF('Qualifying Scores'!$B$1-F93&gt;14,"15-16",IF('Qualifying Scores'!$B$1-F93&gt;12,"13-14",IF('Qualifying Scores'!$B$1-F93&gt;10,"11-12","Not Age Eligible")))))</f>
        <v>15-16</v>
      </c>
      <c r="H93" s="39" t="s">
        <v>66</v>
      </c>
      <c r="I93" s="43" t="s">
        <v>567</v>
      </c>
      <c r="J93" s="4">
        <f>R93+S93+IF(OR(H93="Junior",H93="Senior"),0.0002,IF(OR(H93="L7",H93="L6"),0.0001,0))+IF(G93="17-21",MAX(AA93,AC93,AF93),AE93)*0.0000001</f>
        <v>67.420006741999998</v>
      </c>
      <c r="K93" s="3" t="str">
        <f>IF(G93="Not Age Eligible","",IF(G93="17-21",IF(MAX(T93,V93,Y93,AA93,AC93,AF93)&gt;=LOOKUP(G93,'Qualifying Scores'!$A$4:$A$7,'Qualifying Scores'!$B$4:$B$7),"P",""),IF(MAX(X93-U93,AE93-AB93)&gt;=LOOKUP(G93,'Qualifying Scores'!$A$4:$A$7,'Qualifying Scores'!$B$4:$B$7),"P","")))</f>
        <v/>
      </c>
      <c r="L93" s="3" t="str">
        <f>IF(G93="Not Age Eligible","",IF(G93="17-21",IF(MAX(U93,W93,Z93,AB93,AD93,AG93)&gt;=LOOKUP(G93,'Qualifying Scores'!$A$10:$A$13,'Qualifying Scores'!$B$10:$B$13),"P",""),IF(MAX(W93,AD93)&gt;=LOOKUP(G93,'Qualifying Scores'!$A$10:$A$13,'Qualifying Scores'!$B$10:$B$13),"P","")))</f>
        <v/>
      </c>
      <c r="M93" s="3" t="str">
        <f>IF(G93="Not Age Eligible","",IF(G93="17-21",IF(OR(AND(T93&gt;=LOOKUP(G93,'Qualifying Scores'!$A$4:$A$7,'Qualifying Scores'!$B$4:$B$7),U93&gt;=LOOKUP(G93,'Qualifying Scores'!$A$10:$A$13,'Qualifying Scores'!$B$10:$B$13)),AND(V93&gt;=LOOKUP(G93,'Qualifying Scores'!$A$4:$A$7,'Qualifying Scores'!$B$4:$B$7),W93&gt;=LOOKUP(G93,'Qualifying Scores'!$A$10:$A$13,'Qualifying Scores'!$B$10:$B$13)),AND(Y93&gt;=LOOKUP(G93,'Qualifying Scores'!$A$4:$A$7,'Qualifying Scores'!$B$4:$B$7),Z93&gt;=LOOKUP(G93,'Qualifying Scores'!$A$10:$A$13,'Qualifying Scores'!$B$10:$B$13)),AND(AA93&gt;=LOOKUP(G93,'Qualifying Scores'!$A$4:$A$7,'Qualifying Scores'!$B$4:$B$7),AB93&gt;=LOOKUP(G93,'Qualifying Scores'!$A$10:$A$13,'Qualifying Scores'!$B$10:$B$13)),AND(AC93&gt;=LOOKUP(G93,'Qualifying Scores'!$A$4:$A$7,'Qualifying Scores'!$B$4:$B$7),AD93&gt;=LOOKUP(G93,'Qualifying Scores'!$A$10:$A$13,'Qualifying Scores'!$B$10:$B$13)),AND(AF93&gt;=LOOKUP(G93,'Qualifying Scores'!$A$4:$A$7,'Qualifying Scores'!$B$4:$B$7),AG93&gt;=LOOKUP(G93,'Qualifying Scores'!$A$10:$A$13,'Qualifying Scores'!$B$10:$B$13))),"P",""),IF(OR(AND(X93-U93&gt;=LOOKUP(G93,'Qualifying Scores'!$A$4:$A$7,'Qualifying Scores'!$B$4:$B$7),W93&gt;=LOOKUP(G93,'Qualifying Scores'!$A$10:$A$13,'Qualifying Scores'!$B$10:$B$13)),AND(AE93-AB93&gt;=LOOKUP(G93,'Qualifying Scores'!$A$4:$A$7,'Qualifying Scores'!$B$4:$B$7),AD93&gt;=LOOKUP(G93,'Qualifying Scores'!$A$10:$A$13,'Qualifying Scores'!$B$10:$B$13))),"P","")))</f>
        <v/>
      </c>
      <c r="Q93" s="1" t="str">
        <f>IF(A93&lt;5,IF(_xlfn.MAXIFS(A:A,G:G,G93)&gt;3,5-A93,_xlfn.MAXIFS(A:A,G:G,G93)+1-A93),"")</f>
        <v/>
      </c>
      <c r="R93" s="4">
        <f>IF(G93="17-21",MAX(T93,V93,Y93,AA93,AC93,AF93),MAX(X93,AE93))</f>
        <v>67.42</v>
      </c>
      <c r="S93" s="4">
        <f>IF(G93="17-21",LARGE(CHOOSE({1,2,3,4,5,6},T93,V93,Y93,AA93,AC93,AF93),2),IF(R93=X93,MAX(Y93,AA93,AC93,AF93),IF(R93=AE93,MAX(AF93,T93,V93,Y93),0)))</f>
        <v>0</v>
      </c>
      <c r="T93" s="33"/>
      <c r="U93" s="40"/>
      <c r="V93" s="34"/>
      <c r="W93" s="40"/>
      <c r="X93" s="4">
        <f>IF(H93="Senior",MAX(T93,V93),T93+V93)</f>
        <v>0</v>
      </c>
      <c r="Y93" s="34"/>
      <c r="Z93" s="40"/>
      <c r="AA93" s="33">
        <v>20.76</v>
      </c>
      <c r="AB93" s="40">
        <v>0</v>
      </c>
      <c r="AC93" s="34">
        <v>46.66</v>
      </c>
      <c r="AD93" s="40">
        <v>8.1999999999999993</v>
      </c>
      <c r="AE93" s="4">
        <f>IF(H93="Senior",MAX(AA93,AC93),AA93+AC93)</f>
        <v>67.42</v>
      </c>
      <c r="AF93" s="34"/>
      <c r="AG93" s="37"/>
    </row>
    <row r="94" spans="1:33" x14ac:dyDescent="0.2">
      <c r="A94" s="1" t="str" cm="1">
        <f t="array" ref="A94">IF(I94="","",IF(P94&lt;&gt;"",SUMPRODUCT((P$3:P$107&lt;&gt;"")*(G$3:G$107=G94)*(J$3:J$107&gt;J94)*(I$3:I$107="P"))+1,IF(O94&lt;&gt;"",SUMPRODUCT((O$3:O$107&lt;&gt;"")*(P$3:P$107="")*(G$3:G$107=G94)*(J$3:J$107&gt;J94)*(I$3:I$107="P"))+SUMPRODUCT((P$3:P$107&lt;&gt;"")*(G$3:G$107=G94)*(I$3:I$107="P"))+1,IF(N94&lt;&gt;"",SUMPRODUCT((N$3:N$107&lt;&gt;"")*(G$3:G$107=G94)*(J$3:J$107&gt;J94)*(I$3:I$107="P"))+1,IF(M94="P",SUMPRODUCT((O$3:O$107&lt;&gt;"")*(P$3:P$107="")*(G$3:G$107=G94)*(I$3:I$107="P"))+SUMPRODUCT((P$3:P$107&lt;&gt;"")*(G$3:G$107=G94)*(I$3:I$107="P"))+SUMPRODUCT((N$3:N$107&lt;&gt;"")*(G$3:G$107=G94)*(I$3:I$107="P"))+SUMPRODUCT((P$3:P$107="")*(O$3:O$107="")*(N$3:N$107="")*(M$3:M$107="P")*(G$3:G$107=G94)*(J$3:J$107&gt;J94)*(I$3:I$107="P"))+IF(H94="L5",SUMPRODUCT((P$3:P$107="")*(O$3:O$107="")*(N$3:N$107="")*(M$3:M$107="P")*(G$3:G$107=G94)*(J$3:J$107&lt;J94)*(H$3:H$107&lt;&gt;H94)*(I$3:I$107="P")),-1*SUMPRODUCT((P$3:P$107="")*(O$3:O$107="")*(N$3:N$107="")*(M$3:M$107="P")*(G$3:G$107=G94)*(J$3:J$107&gt;J94)*(H$3:H$107="L5")*(I$3:I$107="P")))+1,"")))))</f>
        <v/>
      </c>
      <c r="B94" s="1" t="str" cm="1">
        <f t="array" ref="B94">IF(P94&lt;&gt;"",SUMPRODUCT((P$3:P$107&lt;&gt;"")*(G$3:G$107=G94)*(J$3:J$107&gt;J94))+1,IF(O94&lt;&gt;"",SUMPRODUCT((O$3:O$107&lt;&gt;"")*(P$3:P$107="")*(G$3:G$107=G94)*(J$3:J$107&gt;J94))+SUMPRODUCT((P$3:P$107&lt;&gt;"")*(G$3:G$107=G94))+1,IF(N94&lt;&gt;"",SUMPRODUCT((N$3:N$107&lt;&gt;"")*(G$3:G$107=G94)*(J$3:J$107&gt;J94))+1,IF(M94="P",SUMPRODUCT((O$3:O$107&lt;&gt;"")*(P$3:P$107="")*(G$3:G$107=G94))+SUMPRODUCT((P$3:P$107&lt;&gt;"")*(G$3:G$107=G94))+SUMPRODUCT((N$3:N$107&lt;&gt;"")*(G$3:G$107=G94))+SUMPRODUCT((P$3:P$107="")*(O$3:O$107="")*(N$3:N$107="")*(M$3:M$107="P")*(G$3:G$107=G94)*(J$3:J$107&gt;J94))+IF(H94="L5",SUMPRODUCT((P$3:P$107="")*(O$3:O$107="")*(N$3:N$107="")*(M$3:M$107="P")*(G$3:G$107=G94)*(J$3:J$107&lt;J94)*(H$3:H$107&lt;&gt;H94)),-1*SUMPRODUCT((P$3:P$107="")*(O$3:O$107="")*(N$3:N$107="")*(M$3:M$107="P")*(G$3:G$107=G94)*(J$3:J$107&gt;J94)*(H$3:H$107="L5")))+1,""))))</f>
        <v/>
      </c>
      <c r="C94" s="36" t="s">
        <v>527</v>
      </c>
      <c r="D94" s="36" t="str">
        <f>IF(E94="","",VLOOKUP(E94,'Coaching Points'!A:B,2,0))</f>
        <v>QC</v>
      </c>
      <c r="E94" s="36" t="s">
        <v>96</v>
      </c>
      <c r="F94" s="35">
        <v>2007</v>
      </c>
      <c r="G94" s="1" t="str">
        <f>IF(OR('Qualifying Scores'!$B$1-F94&gt;21,'Qualifying Scores'!$B$1-F94&lt;11),"Not Age Eligible",IF('Qualifying Scores'!$B$1-F94&gt;16,"17-21",IF('Qualifying Scores'!$B$1-F94&gt;14,"15-16",IF('Qualifying Scores'!$B$1-F94&gt;12,"13-14",IF('Qualifying Scores'!$B$1-F94&gt;10,"11-12","Not Age Eligible")))))</f>
        <v>15-16</v>
      </c>
      <c r="H94" s="39" t="s">
        <v>66</v>
      </c>
      <c r="I94" s="43"/>
      <c r="J94" s="4">
        <f>R94+S94+IF(OR(H94="Junior",H94="Senior"),0.0002,IF(OR(H94="L7",H94="L6"),0.0001,0))+IF(G94="17-21",MAX(AA94,AC94,AF94),AE94)*0.0000001</f>
        <v>66.070006606999996</v>
      </c>
      <c r="K94" s="3" t="str">
        <f>IF(G94="Not Age Eligible","",IF(G94="17-21",IF(MAX(T94,V94,Y94,AA94,AC94,AF94)&gt;=LOOKUP(G94,'Qualifying Scores'!$A$4:$A$7,'Qualifying Scores'!$B$4:$B$7),"P",""),IF(MAX(X94-U94,AE94-AB94)&gt;=LOOKUP(G94,'Qualifying Scores'!$A$4:$A$7,'Qualifying Scores'!$B$4:$B$7),"P","")))</f>
        <v/>
      </c>
      <c r="L94" s="3" t="str">
        <f>IF(G94="Not Age Eligible","",IF(G94="17-21",IF(MAX(U94,W94,Z94,AB94,AD94,AG94)&gt;=LOOKUP(G94,'Qualifying Scores'!$A$10:$A$13,'Qualifying Scores'!$B$10:$B$13),"P",""),IF(MAX(W94,AD94)&gt;=LOOKUP(G94,'Qualifying Scores'!$A$10:$A$13,'Qualifying Scores'!$B$10:$B$13),"P","")))</f>
        <v/>
      </c>
      <c r="M94" s="3" t="str">
        <f>IF(G94="Not Age Eligible","",IF(G94="17-21",IF(OR(AND(T94&gt;=LOOKUP(G94,'Qualifying Scores'!$A$4:$A$7,'Qualifying Scores'!$B$4:$B$7),U94&gt;=LOOKUP(G94,'Qualifying Scores'!$A$10:$A$13,'Qualifying Scores'!$B$10:$B$13)),AND(V94&gt;=LOOKUP(G94,'Qualifying Scores'!$A$4:$A$7,'Qualifying Scores'!$B$4:$B$7),W94&gt;=LOOKUP(G94,'Qualifying Scores'!$A$10:$A$13,'Qualifying Scores'!$B$10:$B$13)),AND(Y94&gt;=LOOKUP(G94,'Qualifying Scores'!$A$4:$A$7,'Qualifying Scores'!$B$4:$B$7),Z94&gt;=LOOKUP(G94,'Qualifying Scores'!$A$10:$A$13,'Qualifying Scores'!$B$10:$B$13)),AND(AA94&gt;=LOOKUP(G94,'Qualifying Scores'!$A$4:$A$7,'Qualifying Scores'!$B$4:$B$7),AB94&gt;=LOOKUP(G94,'Qualifying Scores'!$A$10:$A$13,'Qualifying Scores'!$B$10:$B$13)),AND(AC94&gt;=LOOKUP(G94,'Qualifying Scores'!$A$4:$A$7,'Qualifying Scores'!$B$4:$B$7),AD94&gt;=LOOKUP(G94,'Qualifying Scores'!$A$10:$A$13,'Qualifying Scores'!$B$10:$B$13)),AND(AF94&gt;=LOOKUP(G94,'Qualifying Scores'!$A$4:$A$7,'Qualifying Scores'!$B$4:$B$7),AG94&gt;=LOOKUP(G94,'Qualifying Scores'!$A$10:$A$13,'Qualifying Scores'!$B$10:$B$13))),"P",""),IF(OR(AND(X94-U94&gt;=LOOKUP(G94,'Qualifying Scores'!$A$4:$A$7,'Qualifying Scores'!$B$4:$B$7),W94&gt;=LOOKUP(G94,'Qualifying Scores'!$A$10:$A$13,'Qualifying Scores'!$B$10:$B$13)),AND(AE94-AB94&gt;=LOOKUP(G94,'Qualifying Scores'!$A$4:$A$7,'Qualifying Scores'!$B$4:$B$7),AD94&gt;=LOOKUP(G94,'Qualifying Scores'!$A$10:$A$13,'Qualifying Scores'!$B$10:$B$13))),"P","")))</f>
        <v/>
      </c>
      <c r="Q94" s="1" t="str">
        <f>IF(A94&lt;5,IF(_xlfn.MAXIFS(A:A,G:G,G94)&gt;3,5-A94,_xlfn.MAXIFS(A:A,G:G,G94)+1-A94),"")</f>
        <v/>
      </c>
      <c r="R94" s="4">
        <f>IF(G94="17-21",MAX(T94,V94,Y94,AA94,AC94,AF94),MAX(X94,AE94))</f>
        <v>66.069999999999993</v>
      </c>
      <c r="S94" s="4">
        <f>IF(G94="17-21",LARGE(CHOOSE({1,2,3,4,5,6},T94,V94,Y94,AA94,AC94,AF94),2),IF(R94=X94,MAX(Y94,AA94,AC94,AF94),IF(R94=AE94,MAX(AF94,T94,V94,Y94),0)))</f>
        <v>0</v>
      </c>
      <c r="T94" s="33"/>
      <c r="U94" s="40"/>
      <c r="V94" s="34"/>
      <c r="W94" s="40"/>
      <c r="X94" s="4">
        <f>IF(H94="Senior",MAX(T94,V94),T94+V94)</f>
        <v>0</v>
      </c>
      <c r="Y94" s="34"/>
      <c r="Z94" s="40"/>
      <c r="AA94" s="33">
        <v>23.29</v>
      </c>
      <c r="AB94" s="40">
        <v>0</v>
      </c>
      <c r="AC94" s="34">
        <v>42.78</v>
      </c>
      <c r="AD94" s="40">
        <v>7.1</v>
      </c>
      <c r="AE94" s="4">
        <f>IF(H94="Senior",MAX(AA94,AC94),AA94+AC94)</f>
        <v>66.069999999999993</v>
      </c>
      <c r="AF94" s="34"/>
      <c r="AG94" s="37"/>
    </row>
    <row r="95" spans="1:33" x14ac:dyDescent="0.2">
      <c r="A95" s="1" t="str" cm="1">
        <f t="array" ref="A95">IF(I95="","",IF(P95&lt;&gt;"",SUMPRODUCT((P$3:P$107&lt;&gt;"")*(G$3:G$107=G95)*(J$3:J$107&gt;J95)*(I$3:I$107="P"))+1,IF(O95&lt;&gt;"",SUMPRODUCT((O$3:O$107&lt;&gt;"")*(P$3:P$107="")*(G$3:G$107=G95)*(J$3:J$107&gt;J95)*(I$3:I$107="P"))+SUMPRODUCT((P$3:P$107&lt;&gt;"")*(G$3:G$107=G95)*(I$3:I$107="P"))+1,IF(N95&lt;&gt;"",SUMPRODUCT((N$3:N$107&lt;&gt;"")*(G$3:G$107=G95)*(J$3:J$107&gt;J95)*(I$3:I$107="P"))+1,IF(M95="P",SUMPRODUCT((O$3:O$107&lt;&gt;"")*(P$3:P$107="")*(G$3:G$107=G95)*(I$3:I$107="P"))+SUMPRODUCT((P$3:P$107&lt;&gt;"")*(G$3:G$107=G95)*(I$3:I$107="P"))+SUMPRODUCT((N$3:N$107&lt;&gt;"")*(G$3:G$107=G95)*(I$3:I$107="P"))+SUMPRODUCT((P$3:P$107="")*(O$3:O$107="")*(N$3:N$107="")*(M$3:M$107="P")*(G$3:G$107=G95)*(J$3:J$107&gt;J95)*(I$3:I$107="P"))+IF(H95="L5",SUMPRODUCT((P$3:P$107="")*(O$3:O$107="")*(N$3:N$107="")*(M$3:M$107="P")*(G$3:G$107=G95)*(J$3:J$107&lt;J95)*(H$3:H$107&lt;&gt;H95)*(I$3:I$107="P")),-1*SUMPRODUCT((P$3:P$107="")*(O$3:O$107="")*(N$3:N$107="")*(M$3:M$107="P")*(G$3:G$107=G95)*(J$3:J$107&gt;J95)*(H$3:H$107="L5")*(I$3:I$107="P")))+1,"")))))</f>
        <v/>
      </c>
      <c r="B95" s="1" t="str" cm="1">
        <f t="array" ref="B95">IF(P95&lt;&gt;"",SUMPRODUCT((P$3:P$107&lt;&gt;"")*(G$3:G$107=G95)*(J$3:J$107&gt;J95))+1,IF(O95&lt;&gt;"",SUMPRODUCT((O$3:O$107&lt;&gt;"")*(P$3:P$107="")*(G$3:G$107=G95)*(J$3:J$107&gt;J95))+SUMPRODUCT((P$3:P$107&lt;&gt;"")*(G$3:G$107=G95))+1,IF(N95&lt;&gt;"",SUMPRODUCT((N$3:N$107&lt;&gt;"")*(G$3:G$107=G95)*(J$3:J$107&gt;J95))+1,IF(M95="P",SUMPRODUCT((O$3:O$107&lt;&gt;"")*(P$3:P$107="")*(G$3:G$107=G95))+SUMPRODUCT((P$3:P$107&lt;&gt;"")*(G$3:G$107=G95))+SUMPRODUCT((N$3:N$107&lt;&gt;"")*(G$3:G$107=G95))+SUMPRODUCT((P$3:P$107="")*(O$3:O$107="")*(N$3:N$107="")*(M$3:M$107="P")*(G$3:G$107=G95)*(J$3:J$107&gt;J95))+IF(H95="L5",SUMPRODUCT((P$3:P$107="")*(O$3:O$107="")*(N$3:N$107="")*(M$3:M$107="P")*(G$3:G$107=G95)*(J$3:J$107&lt;J95)*(H$3:H$107&lt;&gt;H95)),-1*SUMPRODUCT((P$3:P$107="")*(O$3:O$107="")*(N$3:N$107="")*(M$3:M$107="P")*(G$3:G$107=G95)*(J$3:J$107&gt;J95)*(H$3:H$107="L5")))+1,""))))</f>
        <v/>
      </c>
      <c r="C95" s="36" t="s">
        <v>316</v>
      </c>
      <c r="D95" s="36" t="str">
        <f>IF(E95="","",VLOOKUP(E95,'Coaching Points'!A:B,2,0))</f>
        <v>QC</v>
      </c>
      <c r="E95" s="36" t="s">
        <v>77</v>
      </c>
      <c r="F95" s="35">
        <v>2008</v>
      </c>
      <c r="G95" s="1" t="str">
        <f>IF(OR('Qualifying Scores'!$B$1-F95&gt;21,'Qualifying Scores'!$B$1-F95&lt;11),"Not Age Eligible",IF('Qualifying Scores'!$B$1-F95&gt;16,"17-21",IF('Qualifying Scores'!$B$1-F95&gt;14,"15-16",IF('Qualifying Scores'!$B$1-F95&gt;12,"13-14",IF('Qualifying Scores'!$B$1-F95&gt;10,"11-12","Not Age Eligible")))))</f>
        <v>15-16</v>
      </c>
      <c r="H95" s="39" t="s">
        <v>66</v>
      </c>
      <c r="I95" s="43"/>
      <c r="J95" s="4">
        <f>R95+S95+IF(OR(H95="Junior",H95="Senior"),0.0002,IF(OR(H95="L7",H95="L6"),0.0001,0))+IF(G95="17-21",MAX(AA95,AC95,AF95),AE95)*0.0000001</f>
        <v>62.59</v>
      </c>
      <c r="K95" s="3" t="str">
        <f>IF(G95="Not Age Eligible","",IF(G95="17-21",IF(MAX(T95,V95,Y95,AA95,AC95,AF95)&gt;=LOOKUP(G95,'Qualifying Scores'!$A$4:$A$7,'Qualifying Scores'!$B$4:$B$7),"P",""),IF(MAX(X95-U95,AE95-AB95)&gt;=LOOKUP(G95,'Qualifying Scores'!$A$4:$A$7,'Qualifying Scores'!$B$4:$B$7),"P","")))</f>
        <v/>
      </c>
      <c r="L95" s="3" t="str">
        <f>IF(G95="Not Age Eligible","",IF(G95="17-21",IF(MAX(U95,W95,Z95,AB95,AD95,AG95)&gt;=LOOKUP(G95,'Qualifying Scores'!$A$10:$A$13,'Qualifying Scores'!$B$10:$B$13),"P",""),IF(MAX(W95,AD95)&gt;=LOOKUP(G95,'Qualifying Scores'!$A$10:$A$13,'Qualifying Scores'!$B$10:$B$13),"P","")))</f>
        <v/>
      </c>
      <c r="M95" s="3" t="str">
        <f>IF(G95="Not Age Eligible","",IF(G95="17-21",IF(OR(AND(T95&gt;=LOOKUP(G95,'Qualifying Scores'!$A$4:$A$7,'Qualifying Scores'!$B$4:$B$7),U95&gt;=LOOKUP(G95,'Qualifying Scores'!$A$10:$A$13,'Qualifying Scores'!$B$10:$B$13)),AND(V95&gt;=LOOKUP(G95,'Qualifying Scores'!$A$4:$A$7,'Qualifying Scores'!$B$4:$B$7),W95&gt;=LOOKUP(G95,'Qualifying Scores'!$A$10:$A$13,'Qualifying Scores'!$B$10:$B$13)),AND(Y95&gt;=LOOKUP(G95,'Qualifying Scores'!$A$4:$A$7,'Qualifying Scores'!$B$4:$B$7),Z95&gt;=LOOKUP(G95,'Qualifying Scores'!$A$10:$A$13,'Qualifying Scores'!$B$10:$B$13)),AND(AA95&gt;=LOOKUP(G95,'Qualifying Scores'!$A$4:$A$7,'Qualifying Scores'!$B$4:$B$7),AB95&gt;=LOOKUP(G95,'Qualifying Scores'!$A$10:$A$13,'Qualifying Scores'!$B$10:$B$13)),AND(AC95&gt;=LOOKUP(G95,'Qualifying Scores'!$A$4:$A$7,'Qualifying Scores'!$B$4:$B$7),AD95&gt;=LOOKUP(G95,'Qualifying Scores'!$A$10:$A$13,'Qualifying Scores'!$B$10:$B$13)),AND(AF95&gt;=LOOKUP(G95,'Qualifying Scores'!$A$4:$A$7,'Qualifying Scores'!$B$4:$B$7),AG95&gt;=LOOKUP(G95,'Qualifying Scores'!$A$10:$A$13,'Qualifying Scores'!$B$10:$B$13))),"P",""),IF(OR(AND(X95-U95&gt;=LOOKUP(G95,'Qualifying Scores'!$A$4:$A$7,'Qualifying Scores'!$B$4:$B$7),W95&gt;=LOOKUP(G95,'Qualifying Scores'!$A$10:$A$13,'Qualifying Scores'!$B$10:$B$13)),AND(AE95-AB95&gt;=LOOKUP(G95,'Qualifying Scores'!$A$4:$A$7,'Qualifying Scores'!$B$4:$B$7),AD95&gt;=LOOKUP(G95,'Qualifying Scores'!$A$10:$A$13,'Qualifying Scores'!$B$10:$B$13))),"P","")))</f>
        <v/>
      </c>
      <c r="Q95" s="1" t="str">
        <f>IF(A95&lt;5,IF(_xlfn.MAXIFS(A:A,G:G,G95)&gt;3,5-A95,_xlfn.MAXIFS(A:A,G:G,G95)+1-A95),"")</f>
        <v/>
      </c>
      <c r="R95" s="4">
        <f>IF(G95="17-21",MAX(T95,V95,Y95,AA95,AC95,AF95),MAX(X95,AE95))</f>
        <v>62.59</v>
      </c>
      <c r="S95" s="4">
        <f>IF(G95="17-21",LARGE(CHOOSE({1,2,3,4,5,6},T95,V95,Y95,AA95,AC95,AF95),2),IF(R95=X95,MAX(Y95,AA95,AC95,AF95),IF(R95=AE95,MAX(AF95,T95,V95,Y95),0)))</f>
        <v>0</v>
      </c>
      <c r="T95" s="33">
        <v>39.67</v>
      </c>
      <c r="U95" s="40">
        <v>0</v>
      </c>
      <c r="V95" s="34">
        <v>22.92</v>
      </c>
      <c r="W95" s="40">
        <v>1.3</v>
      </c>
      <c r="X95" s="4">
        <f>IF(H95="Senior",MAX(T95,V95),T95+V95)</f>
        <v>62.59</v>
      </c>
      <c r="Y95" s="34"/>
      <c r="Z95" s="40"/>
      <c r="AA95" s="33"/>
      <c r="AB95" s="40"/>
      <c r="AC95" s="34"/>
      <c r="AD95" s="40"/>
      <c r="AE95" s="4">
        <f>IF(H95="Senior",MAX(AA95,AC95),AA95+AC95)</f>
        <v>0</v>
      </c>
      <c r="AF95" s="34"/>
      <c r="AG95" s="37"/>
    </row>
    <row r="96" spans="1:33" x14ac:dyDescent="0.2">
      <c r="A96" s="1" t="str" cm="1">
        <f t="array" ref="A96">IF(I96="","",IF(P96&lt;&gt;"",SUMPRODUCT((P$3:P$107&lt;&gt;"")*(G$3:G$107=G96)*(J$3:J$107&gt;J96)*(I$3:I$107="P"))+1,IF(O96&lt;&gt;"",SUMPRODUCT((O$3:O$107&lt;&gt;"")*(P$3:P$107="")*(G$3:G$107=G96)*(J$3:J$107&gt;J96)*(I$3:I$107="P"))+SUMPRODUCT((P$3:P$107&lt;&gt;"")*(G$3:G$107=G96)*(I$3:I$107="P"))+1,IF(N96&lt;&gt;"",SUMPRODUCT((N$3:N$107&lt;&gt;"")*(G$3:G$107=G96)*(J$3:J$107&gt;J96)*(I$3:I$107="P"))+1,IF(M96="P",SUMPRODUCT((O$3:O$107&lt;&gt;"")*(P$3:P$107="")*(G$3:G$107=G96)*(I$3:I$107="P"))+SUMPRODUCT((P$3:P$107&lt;&gt;"")*(G$3:G$107=G96)*(I$3:I$107="P"))+SUMPRODUCT((N$3:N$107&lt;&gt;"")*(G$3:G$107=G96)*(I$3:I$107="P"))+SUMPRODUCT((P$3:P$107="")*(O$3:O$107="")*(N$3:N$107="")*(M$3:M$107="P")*(G$3:G$107=G96)*(J$3:J$107&gt;J96)*(I$3:I$107="P"))+IF(H96="L5",SUMPRODUCT((P$3:P$107="")*(O$3:O$107="")*(N$3:N$107="")*(M$3:M$107="P")*(G$3:G$107=G96)*(J$3:J$107&lt;J96)*(H$3:H$107&lt;&gt;H96)*(I$3:I$107="P")),-1*SUMPRODUCT((P$3:P$107="")*(O$3:O$107="")*(N$3:N$107="")*(M$3:M$107="P")*(G$3:G$107=G96)*(J$3:J$107&gt;J96)*(H$3:H$107="L5")*(I$3:I$107="P")))+1,"")))))</f>
        <v/>
      </c>
      <c r="B96" s="1" t="str" cm="1">
        <f t="array" ref="B96">IF(P96&lt;&gt;"",SUMPRODUCT((P$3:P$107&lt;&gt;"")*(G$3:G$107=G96)*(J$3:J$107&gt;J96))+1,IF(O96&lt;&gt;"",SUMPRODUCT((O$3:O$107&lt;&gt;"")*(P$3:P$107="")*(G$3:G$107=G96)*(J$3:J$107&gt;J96))+SUMPRODUCT((P$3:P$107&lt;&gt;"")*(G$3:G$107=G96))+1,IF(N96&lt;&gt;"",SUMPRODUCT((N$3:N$107&lt;&gt;"")*(G$3:G$107=G96)*(J$3:J$107&gt;J96))+1,IF(M96="P",SUMPRODUCT((O$3:O$107&lt;&gt;"")*(P$3:P$107="")*(G$3:G$107=G96))+SUMPRODUCT((P$3:P$107&lt;&gt;"")*(G$3:G$107=G96))+SUMPRODUCT((N$3:N$107&lt;&gt;"")*(G$3:G$107=G96))+SUMPRODUCT((P$3:P$107="")*(O$3:O$107="")*(N$3:N$107="")*(M$3:M$107="P")*(G$3:G$107=G96)*(J$3:J$107&gt;J96))+IF(H96="L5",SUMPRODUCT((P$3:P$107="")*(O$3:O$107="")*(N$3:N$107="")*(M$3:M$107="P")*(G$3:G$107=G96)*(J$3:J$107&lt;J96)*(H$3:H$107&lt;&gt;H96)),-1*SUMPRODUCT((P$3:P$107="")*(O$3:O$107="")*(N$3:N$107="")*(M$3:M$107="P")*(G$3:G$107=G96)*(J$3:J$107&gt;J96)*(H$3:H$107="L5")))+1,""))))</f>
        <v/>
      </c>
      <c r="C96" s="36" t="s">
        <v>516</v>
      </c>
      <c r="D96" s="36" t="str">
        <f>IF(E96="","",VLOOKUP(E96,'Coaching Points'!A:B,2,0))</f>
        <v>SK</v>
      </c>
      <c r="E96" s="36" t="s">
        <v>566</v>
      </c>
      <c r="F96" s="35">
        <v>2008</v>
      </c>
      <c r="G96" s="1" t="str">
        <f>IF(OR('Qualifying Scores'!$B$1-F96&gt;21,'Qualifying Scores'!$B$1-F96&lt;11),"Not Age Eligible",IF('Qualifying Scores'!$B$1-F96&gt;16,"17-21",IF('Qualifying Scores'!$B$1-F96&gt;14,"15-16",IF('Qualifying Scores'!$B$1-F96&gt;12,"13-14",IF('Qualifying Scores'!$B$1-F96&gt;10,"11-12","Not Age Eligible")))))</f>
        <v>15-16</v>
      </c>
      <c r="H96" s="39" t="s">
        <v>66</v>
      </c>
      <c r="I96" s="43"/>
      <c r="J96" s="4">
        <f>R96+S96+IF(OR(H96="Junior",H96="Senior"),0.0002,IF(OR(H96="L7",H96="L6"),0.0001,0))+IF(G96="17-21",MAX(AA96,AC96,AF96),AE96)*0.0000001</f>
        <v>48.270004827000001</v>
      </c>
      <c r="K96" s="3" t="str">
        <f>IF(G96="Not Age Eligible","",IF(G96="17-21",IF(MAX(T96,V96,Y96,AA96,AC96,AF96)&gt;=LOOKUP(G96,'Qualifying Scores'!$A$4:$A$7,'Qualifying Scores'!$B$4:$B$7),"P",""),IF(MAX(X96-U96,AE96-AB96)&gt;=LOOKUP(G96,'Qualifying Scores'!$A$4:$A$7,'Qualifying Scores'!$B$4:$B$7),"P","")))</f>
        <v/>
      </c>
      <c r="L96" s="3" t="str">
        <f>IF(G96="Not Age Eligible","",IF(G96="17-21",IF(MAX(U96,W96,Z96,AB96,AD96,AG96)&gt;=LOOKUP(G96,'Qualifying Scores'!$A$10:$A$13,'Qualifying Scores'!$B$10:$B$13),"P",""),IF(MAX(W96,AD96)&gt;=LOOKUP(G96,'Qualifying Scores'!$A$10:$A$13,'Qualifying Scores'!$B$10:$B$13),"P","")))</f>
        <v/>
      </c>
      <c r="M96" s="3" t="str">
        <f>IF(G96="Not Age Eligible","",IF(G96="17-21",IF(OR(AND(T96&gt;=LOOKUP(G96,'Qualifying Scores'!$A$4:$A$7,'Qualifying Scores'!$B$4:$B$7),U96&gt;=LOOKUP(G96,'Qualifying Scores'!$A$10:$A$13,'Qualifying Scores'!$B$10:$B$13)),AND(V96&gt;=LOOKUP(G96,'Qualifying Scores'!$A$4:$A$7,'Qualifying Scores'!$B$4:$B$7),W96&gt;=LOOKUP(G96,'Qualifying Scores'!$A$10:$A$13,'Qualifying Scores'!$B$10:$B$13)),AND(Y96&gt;=LOOKUP(G96,'Qualifying Scores'!$A$4:$A$7,'Qualifying Scores'!$B$4:$B$7),Z96&gt;=LOOKUP(G96,'Qualifying Scores'!$A$10:$A$13,'Qualifying Scores'!$B$10:$B$13)),AND(AA96&gt;=LOOKUP(G96,'Qualifying Scores'!$A$4:$A$7,'Qualifying Scores'!$B$4:$B$7),AB96&gt;=LOOKUP(G96,'Qualifying Scores'!$A$10:$A$13,'Qualifying Scores'!$B$10:$B$13)),AND(AC96&gt;=LOOKUP(G96,'Qualifying Scores'!$A$4:$A$7,'Qualifying Scores'!$B$4:$B$7),AD96&gt;=LOOKUP(G96,'Qualifying Scores'!$A$10:$A$13,'Qualifying Scores'!$B$10:$B$13)),AND(AF96&gt;=LOOKUP(G96,'Qualifying Scores'!$A$4:$A$7,'Qualifying Scores'!$B$4:$B$7),AG96&gt;=LOOKUP(G96,'Qualifying Scores'!$A$10:$A$13,'Qualifying Scores'!$B$10:$B$13))),"P",""),IF(OR(AND(X96-U96&gt;=LOOKUP(G96,'Qualifying Scores'!$A$4:$A$7,'Qualifying Scores'!$B$4:$B$7),W96&gt;=LOOKUP(G96,'Qualifying Scores'!$A$10:$A$13,'Qualifying Scores'!$B$10:$B$13)),AND(AE96-AB96&gt;=LOOKUP(G96,'Qualifying Scores'!$A$4:$A$7,'Qualifying Scores'!$B$4:$B$7),AD96&gt;=LOOKUP(G96,'Qualifying Scores'!$A$10:$A$13,'Qualifying Scores'!$B$10:$B$13))),"P","")))</f>
        <v/>
      </c>
      <c r="Q96" s="1" t="str">
        <f>IF(A96&lt;5,IF(_xlfn.MAXIFS(A:A,G:G,G96)&gt;3,5-A96,_xlfn.MAXIFS(A:A,G:G,G96)+1-A96),"")</f>
        <v/>
      </c>
      <c r="R96" s="4">
        <f>IF(G96="17-21",MAX(T96,V96,Y96,AA96,AC96,AF96),MAX(X96,AE96))</f>
        <v>48.27</v>
      </c>
      <c r="S96" s="4">
        <f>IF(G96="17-21",LARGE(CHOOSE({1,2,3,4,5,6},T96,V96,Y96,AA96,AC96,AF96),2),IF(R96=X96,MAX(Y96,AA96,AC96,AF96),IF(R96=AE96,MAX(AF96,T96,V96,Y96),0)))</f>
        <v>0</v>
      </c>
      <c r="T96" s="33"/>
      <c r="U96" s="40"/>
      <c r="V96" s="34"/>
      <c r="W96" s="40"/>
      <c r="X96" s="4">
        <f>IF(H96="Senior",MAX(T96,V96),T96+V96)</f>
        <v>0</v>
      </c>
      <c r="Y96" s="34"/>
      <c r="Z96" s="40"/>
      <c r="AA96" s="33">
        <v>38.14</v>
      </c>
      <c r="AB96" s="40">
        <v>0</v>
      </c>
      <c r="AC96" s="34">
        <v>10.130000000000001</v>
      </c>
      <c r="AD96" s="40">
        <v>2.2999999999999998</v>
      </c>
      <c r="AE96" s="4">
        <f>IF(H96="Senior",MAX(AA96,AC96),AA96+AC96)</f>
        <v>48.27</v>
      </c>
      <c r="AF96" s="34"/>
      <c r="AG96" s="37"/>
    </row>
    <row r="97" spans="1:33" x14ac:dyDescent="0.2">
      <c r="A97" s="1" t="str" cm="1">
        <f t="array" ref="A97">IF(I97="","",IF(P97&lt;&gt;"",SUMPRODUCT((P$3:P$107&lt;&gt;"")*(G$3:G$107=G97)*(J$3:J$107&gt;J97)*(I$3:I$107="P"))+1,IF(O97&lt;&gt;"",SUMPRODUCT((O$3:O$107&lt;&gt;"")*(P$3:P$107="")*(G$3:G$107=G97)*(J$3:J$107&gt;J97)*(I$3:I$107="P"))+SUMPRODUCT((P$3:P$107&lt;&gt;"")*(G$3:G$107=G97)*(I$3:I$107="P"))+1,IF(N97&lt;&gt;"",SUMPRODUCT((N$3:N$107&lt;&gt;"")*(G$3:G$107=G97)*(J$3:J$107&gt;J97)*(I$3:I$107="P"))+1,IF(M97="P",SUMPRODUCT((O$3:O$107&lt;&gt;"")*(P$3:P$107="")*(G$3:G$107=G97)*(I$3:I$107="P"))+SUMPRODUCT((P$3:P$107&lt;&gt;"")*(G$3:G$107=G97)*(I$3:I$107="P"))+SUMPRODUCT((N$3:N$107&lt;&gt;"")*(G$3:G$107=G97)*(I$3:I$107="P"))+SUMPRODUCT((P$3:P$107="")*(O$3:O$107="")*(N$3:N$107="")*(M$3:M$107="P")*(G$3:G$107=G97)*(J$3:J$107&gt;J97)*(I$3:I$107="P"))+IF(H97="L5",SUMPRODUCT((P$3:P$107="")*(O$3:O$107="")*(N$3:N$107="")*(M$3:M$107="P")*(G$3:G$107=G97)*(J$3:J$107&lt;J97)*(H$3:H$107&lt;&gt;H97)*(I$3:I$107="P")),-1*SUMPRODUCT((P$3:P$107="")*(O$3:O$107="")*(N$3:N$107="")*(M$3:M$107="P")*(G$3:G$107=G97)*(J$3:J$107&gt;J97)*(H$3:H$107="L5")*(I$3:I$107="P")))+1,"")))))</f>
        <v/>
      </c>
      <c r="B97" s="1" t="str" cm="1">
        <f t="array" ref="B97">IF(P97&lt;&gt;"",SUMPRODUCT((P$3:P$107&lt;&gt;"")*(G$3:G$107=G97)*(J$3:J$107&gt;J97))+1,IF(O97&lt;&gt;"",SUMPRODUCT((O$3:O$107&lt;&gt;"")*(P$3:P$107="")*(G$3:G$107=G97)*(J$3:J$107&gt;J97))+SUMPRODUCT((P$3:P$107&lt;&gt;"")*(G$3:G$107=G97))+1,IF(N97&lt;&gt;"",SUMPRODUCT((N$3:N$107&lt;&gt;"")*(G$3:G$107=G97)*(J$3:J$107&gt;J97))+1,IF(M97="P",SUMPRODUCT((O$3:O$107&lt;&gt;"")*(P$3:P$107="")*(G$3:G$107=G97))+SUMPRODUCT((P$3:P$107&lt;&gt;"")*(G$3:G$107=G97))+SUMPRODUCT((N$3:N$107&lt;&gt;"")*(G$3:G$107=G97))+SUMPRODUCT((P$3:P$107="")*(O$3:O$107="")*(N$3:N$107="")*(M$3:M$107="P")*(G$3:G$107=G97)*(J$3:J$107&gt;J97))+IF(H97="L5",SUMPRODUCT((P$3:P$107="")*(O$3:O$107="")*(N$3:N$107="")*(M$3:M$107="P")*(G$3:G$107=G97)*(J$3:J$107&lt;J97)*(H$3:H$107&lt;&gt;H97)),-1*SUMPRODUCT((P$3:P$107="")*(O$3:O$107="")*(N$3:N$107="")*(M$3:M$107="P")*(G$3:G$107=G97)*(J$3:J$107&gt;J97)*(H$3:H$107="L5")))+1,""))))</f>
        <v/>
      </c>
      <c r="C97" s="36" t="s">
        <v>491</v>
      </c>
      <c r="D97" s="36" t="str">
        <f>IF(E97="","",VLOOKUP(E97,'Coaching Points'!A:B,2,0))</f>
        <v>AB</v>
      </c>
      <c r="E97" s="36" t="s">
        <v>58</v>
      </c>
      <c r="F97" s="35">
        <v>2008</v>
      </c>
      <c r="G97" s="1" t="str">
        <f>IF(OR('Qualifying Scores'!$B$1-F97&gt;21,'Qualifying Scores'!$B$1-F97&lt;11),"Not Age Eligible",IF('Qualifying Scores'!$B$1-F97&gt;16,"17-21",IF('Qualifying Scores'!$B$1-F97&gt;14,"15-16",IF('Qualifying Scores'!$B$1-F97&gt;12,"13-14",IF('Qualifying Scores'!$B$1-F97&gt;10,"11-12","Not Age Eligible")))))</f>
        <v>15-16</v>
      </c>
      <c r="H97" s="39" t="s">
        <v>66</v>
      </c>
      <c r="I97" s="43" t="s">
        <v>567</v>
      </c>
      <c r="J97" s="4">
        <f>R97+S97+IF(OR(H97="Junior",H97="Senior"),0.0002,IF(OR(H97="L7",H97="L6"),0.0001,0))+IF(G97="17-21",MAX(AA97,AC97,AF97),AE97)*0.0000001</f>
        <v>40.930004093000001</v>
      </c>
      <c r="K97" s="3" t="str">
        <f>IF(G97="Not Age Eligible","",IF(G97="17-21",IF(MAX(T97,V97,Y97,AA97,AC97,AF97)&gt;=LOOKUP(G97,'Qualifying Scores'!$A$4:$A$7,'Qualifying Scores'!$B$4:$B$7),"P",""),IF(MAX(X97-U97,AE97-AB97)&gt;=LOOKUP(G97,'Qualifying Scores'!$A$4:$A$7,'Qualifying Scores'!$B$4:$B$7),"P","")))</f>
        <v/>
      </c>
      <c r="L97" s="3" t="str">
        <f>IF(G97="Not Age Eligible","",IF(G97="17-21",IF(MAX(U97,W97,Z97,AB97,AD97,AG97)&gt;=LOOKUP(G97,'Qualifying Scores'!$A$10:$A$13,'Qualifying Scores'!$B$10:$B$13),"P",""),IF(MAX(W97,AD97)&gt;=LOOKUP(G97,'Qualifying Scores'!$A$10:$A$13,'Qualifying Scores'!$B$10:$B$13),"P","")))</f>
        <v/>
      </c>
      <c r="M97" s="3" t="str">
        <f>IF(G97="Not Age Eligible","",IF(G97="17-21",IF(OR(AND(T97&gt;=LOOKUP(G97,'Qualifying Scores'!$A$4:$A$7,'Qualifying Scores'!$B$4:$B$7),U97&gt;=LOOKUP(G97,'Qualifying Scores'!$A$10:$A$13,'Qualifying Scores'!$B$10:$B$13)),AND(V97&gt;=LOOKUP(G97,'Qualifying Scores'!$A$4:$A$7,'Qualifying Scores'!$B$4:$B$7),W97&gt;=LOOKUP(G97,'Qualifying Scores'!$A$10:$A$13,'Qualifying Scores'!$B$10:$B$13)),AND(Y97&gt;=LOOKUP(G97,'Qualifying Scores'!$A$4:$A$7,'Qualifying Scores'!$B$4:$B$7),Z97&gt;=LOOKUP(G97,'Qualifying Scores'!$A$10:$A$13,'Qualifying Scores'!$B$10:$B$13)),AND(AA97&gt;=LOOKUP(G97,'Qualifying Scores'!$A$4:$A$7,'Qualifying Scores'!$B$4:$B$7),AB97&gt;=LOOKUP(G97,'Qualifying Scores'!$A$10:$A$13,'Qualifying Scores'!$B$10:$B$13)),AND(AC97&gt;=LOOKUP(G97,'Qualifying Scores'!$A$4:$A$7,'Qualifying Scores'!$B$4:$B$7),AD97&gt;=LOOKUP(G97,'Qualifying Scores'!$A$10:$A$13,'Qualifying Scores'!$B$10:$B$13)),AND(AF97&gt;=LOOKUP(G97,'Qualifying Scores'!$A$4:$A$7,'Qualifying Scores'!$B$4:$B$7),AG97&gt;=LOOKUP(G97,'Qualifying Scores'!$A$10:$A$13,'Qualifying Scores'!$B$10:$B$13))),"P",""),IF(OR(AND(X97-U97&gt;=LOOKUP(G97,'Qualifying Scores'!$A$4:$A$7,'Qualifying Scores'!$B$4:$B$7),W97&gt;=LOOKUP(G97,'Qualifying Scores'!$A$10:$A$13,'Qualifying Scores'!$B$10:$B$13)),AND(AE97-AB97&gt;=LOOKUP(G97,'Qualifying Scores'!$A$4:$A$7,'Qualifying Scores'!$B$4:$B$7),AD97&gt;=LOOKUP(G97,'Qualifying Scores'!$A$10:$A$13,'Qualifying Scores'!$B$10:$B$13))),"P","")))</f>
        <v/>
      </c>
      <c r="Q97" s="1" t="str">
        <f>IF(A97&lt;5,IF(_xlfn.MAXIFS(A:A,G:G,G97)&gt;3,5-A97,_xlfn.MAXIFS(A:A,G:G,G97)+1-A97),"")</f>
        <v/>
      </c>
      <c r="R97" s="4">
        <f>IF(G97="17-21",MAX(T97,V97,Y97,AA97,AC97,AF97),MAX(X97,AE97))</f>
        <v>40.93</v>
      </c>
      <c r="S97" s="4">
        <f>IF(G97="17-21",LARGE(CHOOSE({1,2,3,4,5,6},T97,V97,Y97,AA97,AC97,AF97),2),IF(R97=X97,MAX(Y97,AA97,AC97,AF97),IF(R97=AE97,MAX(AF97,T97,V97,Y97),0)))</f>
        <v>0</v>
      </c>
      <c r="T97" s="33"/>
      <c r="U97" s="40"/>
      <c r="V97" s="34"/>
      <c r="W97" s="40"/>
      <c r="X97" s="4">
        <f>IF(H97="Senior",MAX(T97,V97),T97+V97)</f>
        <v>0</v>
      </c>
      <c r="Y97" s="34"/>
      <c r="Z97" s="40"/>
      <c r="AA97" s="33">
        <v>35.9</v>
      </c>
      <c r="AB97" s="40">
        <v>0</v>
      </c>
      <c r="AC97" s="34">
        <v>5.03</v>
      </c>
      <c r="AD97" s="40">
        <v>1.5</v>
      </c>
      <c r="AE97" s="4">
        <f>IF(H97="Senior",MAX(AA97,AC97),AA97+AC97)</f>
        <v>40.93</v>
      </c>
      <c r="AF97" s="34"/>
      <c r="AG97" s="37"/>
    </row>
    <row r="98" spans="1:33" x14ac:dyDescent="0.2">
      <c r="A98" s="1" cm="1">
        <f t="array" ref="A98">IF(I98="","",IF(P98&lt;&gt;"",SUMPRODUCT((P$3:P$107&lt;&gt;"")*(G$3:G$107=G98)*(J$3:J$107&gt;J98)*(I$3:I$107="P"))+1,IF(O98&lt;&gt;"",SUMPRODUCT((O$3:O$107&lt;&gt;"")*(P$3:P$107="")*(G$3:G$107=G98)*(J$3:J$107&gt;J98)*(I$3:I$107="P"))+SUMPRODUCT((P$3:P$107&lt;&gt;"")*(G$3:G$107=G98)*(I$3:I$107="P"))+1,IF(N98&lt;&gt;"",SUMPRODUCT((N$3:N$107&lt;&gt;"")*(G$3:G$107=G98)*(J$3:J$107&gt;J98)*(I$3:I$107="P"))+1,IF(M98="P",SUMPRODUCT((O$3:O$107&lt;&gt;"")*(P$3:P$107="")*(G$3:G$107=G98)*(I$3:I$107="P"))+SUMPRODUCT((P$3:P$107&lt;&gt;"")*(G$3:G$107=G98)*(I$3:I$107="P"))+SUMPRODUCT((N$3:N$107&lt;&gt;"")*(G$3:G$107=G98)*(I$3:I$107="P"))+SUMPRODUCT((P$3:P$107="")*(O$3:O$107="")*(N$3:N$107="")*(M$3:M$107="P")*(G$3:G$107=G98)*(J$3:J$107&gt;J98)*(I$3:I$107="P"))+IF(H98="L5",SUMPRODUCT((P$3:P$107="")*(O$3:O$107="")*(N$3:N$107="")*(M$3:M$107="P")*(G$3:G$107=G98)*(J$3:J$107&lt;J98)*(H$3:H$107&lt;&gt;H98)*(I$3:I$107="P")),-1*SUMPRODUCT((P$3:P$107="")*(O$3:O$107="")*(N$3:N$107="")*(M$3:M$107="P")*(G$3:G$107=G98)*(J$3:J$107&gt;J98)*(H$3:H$107="L5")*(I$3:I$107="P")))+1,"")))))</f>
        <v>1</v>
      </c>
      <c r="B98" s="1" cm="1">
        <f t="array" ref="B98">IF(P98&lt;&gt;"",SUMPRODUCT((P$3:P$107&lt;&gt;"")*(G$3:G$107=G98)*(J$3:J$107&gt;J98))+1,IF(O98&lt;&gt;"",SUMPRODUCT((O$3:O$107&lt;&gt;"")*(P$3:P$107="")*(G$3:G$107=G98)*(J$3:J$107&gt;J98))+SUMPRODUCT((P$3:P$107&lt;&gt;"")*(G$3:G$107=G98))+1,IF(N98&lt;&gt;"",SUMPRODUCT((N$3:N$107&lt;&gt;"")*(G$3:G$107=G98)*(J$3:J$107&gt;J98))+1,IF(M98="P",SUMPRODUCT((O$3:O$107&lt;&gt;"")*(P$3:P$107="")*(G$3:G$107=G98))+SUMPRODUCT((P$3:P$107&lt;&gt;"")*(G$3:G$107=G98))+SUMPRODUCT((N$3:N$107&lt;&gt;"")*(G$3:G$107=G98))+SUMPRODUCT((P$3:P$107="")*(O$3:O$107="")*(N$3:N$107="")*(M$3:M$107="P")*(G$3:G$107=G98)*(J$3:J$107&gt;J98))+IF(H98="L5",SUMPRODUCT((P$3:P$107="")*(O$3:O$107="")*(N$3:N$107="")*(M$3:M$107="P")*(G$3:G$107=G98)*(J$3:J$107&lt;J98)*(H$3:H$107&lt;&gt;H98)),-1*SUMPRODUCT((P$3:P$107="")*(O$3:O$107="")*(N$3:N$107="")*(M$3:M$107="P")*(G$3:G$107=G98)*(J$3:J$107&gt;J98)*(H$3:H$107="L5")))+1,""))))</f>
        <v>1</v>
      </c>
      <c r="C98" s="36" t="s">
        <v>78</v>
      </c>
      <c r="D98" s="36" t="str">
        <f>IF(E98="","",VLOOKUP(E98,'Coaching Points'!A:B,2,0))</f>
        <v>SK</v>
      </c>
      <c r="E98" s="36" t="s">
        <v>60</v>
      </c>
      <c r="F98" s="35">
        <v>2009</v>
      </c>
      <c r="G98" s="1" t="str">
        <f>IF(OR('Qualifying Scores'!$B$1-F98&gt;21,'Qualifying Scores'!$B$1-F98&lt;11),"Not Age Eligible",IF('Qualifying Scores'!$B$1-F98&gt;16,"17-21",IF('Qualifying Scores'!$B$1-F98&gt;14,"15-16",IF('Qualifying Scores'!$B$1-F98&gt;12,"13-14",IF('Qualifying Scores'!$B$1-F98&gt;10,"11-12","Not Age Eligible")))))</f>
        <v>13-14</v>
      </c>
      <c r="H98" s="39" t="s">
        <v>67</v>
      </c>
      <c r="I98" s="43" t="s">
        <v>567</v>
      </c>
      <c r="J98" s="4">
        <f>R98+S98+IF(OR(H98="Junior",H98="Senior"),0.0002,IF(OR(H98="L7",H98="L6"),0.0001,0))+IF(G98="17-21",MAX(AA98,AC98,AF98),AE98)*0.0000001</f>
        <v>139.11010890800003</v>
      </c>
      <c r="K98" s="3" t="str">
        <f>IF(G98="Not Age Eligible","",IF(G98="17-21",IF(MAX(T98,V98,Y98,AA98,AC98,AF98)&gt;=LOOKUP(G98,'Qualifying Scores'!$A$4:$A$7,'Qualifying Scores'!$B$4:$B$7),"P",""),IF(MAX(X98-U98,AE98-AB98)&gt;=LOOKUP(G98,'Qualifying Scores'!$A$4:$A$7,'Qualifying Scores'!$B$4:$B$7),"P","")))</f>
        <v>P</v>
      </c>
      <c r="L98" s="3" t="str">
        <f>IF(G98="Not Age Eligible","",IF(G98="17-21",IF(MAX(U98,W98,Z98,AB98,AD98,AG98)&gt;=LOOKUP(G98,'Qualifying Scores'!$A$10:$A$13,'Qualifying Scores'!$B$10:$B$13),"P",""),IF(MAX(W98,AD98)&gt;=LOOKUP(G98,'Qualifying Scores'!$A$10:$A$13,'Qualifying Scores'!$B$10:$B$13),"P","")))</f>
        <v>P</v>
      </c>
      <c r="M98" s="3" t="str">
        <f>IF(G98="Not Age Eligible","",IF(G98="17-21",IF(OR(AND(T98&gt;=LOOKUP(G98,'Qualifying Scores'!$A$4:$A$7,'Qualifying Scores'!$B$4:$B$7),U98&gt;=LOOKUP(G98,'Qualifying Scores'!$A$10:$A$13,'Qualifying Scores'!$B$10:$B$13)),AND(V98&gt;=LOOKUP(G98,'Qualifying Scores'!$A$4:$A$7,'Qualifying Scores'!$B$4:$B$7),W98&gt;=LOOKUP(G98,'Qualifying Scores'!$A$10:$A$13,'Qualifying Scores'!$B$10:$B$13)),AND(Y98&gt;=LOOKUP(G98,'Qualifying Scores'!$A$4:$A$7,'Qualifying Scores'!$B$4:$B$7),Z98&gt;=LOOKUP(G98,'Qualifying Scores'!$A$10:$A$13,'Qualifying Scores'!$B$10:$B$13)),AND(AA98&gt;=LOOKUP(G98,'Qualifying Scores'!$A$4:$A$7,'Qualifying Scores'!$B$4:$B$7),AB98&gt;=LOOKUP(G98,'Qualifying Scores'!$A$10:$A$13,'Qualifying Scores'!$B$10:$B$13)),AND(AC98&gt;=LOOKUP(G98,'Qualifying Scores'!$A$4:$A$7,'Qualifying Scores'!$B$4:$B$7),AD98&gt;=LOOKUP(G98,'Qualifying Scores'!$A$10:$A$13,'Qualifying Scores'!$B$10:$B$13)),AND(AF98&gt;=LOOKUP(G98,'Qualifying Scores'!$A$4:$A$7,'Qualifying Scores'!$B$4:$B$7),AG98&gt;=LOOKUP(G98,'Qualifying Scores'!$A$10:$A$13,'Qualifying Scores'!$B$10:$B$13))),"P",""),IF(OR(AND(X98-U98&gt;=LOOKUP(G98,'Qualifying Scores'!$A$4:$A$7,'Qualifying Scores'!$B$4:$B$7),W98&gt;=LOOKUP(G98,'Qualifying Scores'!$A$10:$A$13,'Qualifying Scores'!$B$10:$B$13)),AND(AE98-AB98&gt;=LOOKUP(G98,'Qualifying Scores'!$A$4:$A$7,'Qualifying Scores'!$B$4:$B$7),AD98&gt;=LOOKUP(G98,'Qualifying Scores'!$A$10:$A$13,'Qualifying Scores'!$B$10:$B$13))),"P","")))</f>
        <v>P</v>
      </c>
      <c r="Q98" s="1">
        <f>IF(A98&lt;5,IF(_xlfn.MAXIFS(A:A,G:G,G98)&gt;3,5-A98,_xlfn.MAXIFS(A:A,G:G,G98)+1-A98),"")</f>
        <v>1</v>
      </c>
      <c r="R98" s="4">
        <f>IF(G98="17-21",MAX(T98,V98,Y98,AA98,AC98,AF98),MAX(X98,AE98))</f>
        <v>89.08</v>
      </c>
      <c r="S98" s="4">
        <f>IF(G98="17-21",LARGE(CHOOSE({1,2,3,4,5,6},T98,V98,Y98,AA98,AC98,AF98),2),IF(R98=X98,MAX(Y98,AA98,AC98,AF98),IF(R98=AE98,MAX(AF98,T98,V98,Y98),0)))</f>
        <v>50.03</v>
      </c>
      <c r="T98" s="33">
        <v>38.380000000000003</v>
      </c>
      <c r="U98" s="40">
        <v>0</v>
      </c>
      <c r="V98" s="34">
        <v>49.37</v>
      </c>
      <c r="W98" s="40">
        <v>9.4</v>
      </c>
      <c r="X98" s="4">
        <f>IF(H98="Senior",MAX(T98,V98),T98+V98)</f>
        <v>87.75</v>
      </c>
      <c r="Y98" s="34">
        <v>45.64</v>
      </c>
      <c r="Z98" s="40">
        <v>9.3000000000000007</v>
      </c>
      <c r="AA98" s="33">
        <v>39.57</v>
      </c>
      <c r="AB98" s="40">
        <v>0</v>
      </c>
      <c r="AC98" s="34">
        <v>49.51</v>
      </c>
      <c r="AD98" s="40">
        <v>11.2</v>
      </c>
      <c r="AE98" s="4">
        <f>IF(H98="Senior",MAX(AA98,AC98),AA98+AC98)</f>
        <v>89.08</v>
      </c>
      <c r="AF98" s="34">
        <v>50.03</v>
      </c>
      <c r="AG98" s="37">
        <v>11.2</v>
      </c>
    </row>
    <row r="99" spans="1:33" x14ac:dyDescent="0.2">
      <c r="A99" s="1" t="str" cm="1">
        <f t="array" ref="A99">IF(I99="","",IF(P99&lt;&gt;"",SUMPRODUCT((P$3:P$107&lt;&gt;"")*(G$3:G$107=G99)*(J$3:J$107&gt;J99)*(I$3:I$107="P"))+1,IF(O99&lt;&gt;"",SUMPRODUCT((O$3:O$107&lt;&gt;"")*(P$3:P$107="")*(G$3:G$107=G99)*(J$3:J$107&gt;J99)*(I$3:I$107="P"))+SUMPRODUCT((P$3:P$107&lt;&gt;"")*(G$3:G$107=G99)*(I$3:I$107="P"))+1,IF(N99&lt;&gt;"",SUMPRODUCT((N$3:N$107&lt;&gt;"")*(G$3:G$107=G99)*(J$3:J$107&gt;J99)*(I$3:I$107="P"))+1,IF(M99="P",SUMPRODUCT((O$3:O$107&lt;&gt;"")*(P$3:P$107="")*(G$3:G$107=G99)*(I$3:I$107="P"))+SUMPRODUCT((P$3:P$107&lt;&gt;"")*(G$3:G$107=G99)*(I$3:I$107="P"))+SUMPRODUCT((N$3:N$107&lt;&gt;"")*(G$3:G$107=G99)*(I$3:I$107="P"))+SUMPRODUCT((P$3:P$107="")*(O$3:O$107="")*(N$3:N$107="")*(M$3:M$107="P")*(G$3:G$107=G99)*(J$3:J$107&gt;J99)*(I$3:I$107="P"))+IF(H99="L5",SUMPRODUCT((P$3:P$107="")*(O$3:O$107="")*(N$3:N$107="")*(M$3:M$107="P")*(G$3:G$107=G99)*(J$3:J$107&lt;J99)*(H$3:H$107&lt;&gt;H99)*(I$3:I$107="P")),-1*SUMPRODUCT((P$3:P$107="")*(O$3:O$107="")*(N$3:N$107="")*(M$3:M$107="P")*(G$3:G$107=G99)*(J$3:J$107&gt;J99)*(H$3:H$107="L5")*(I$3:I$107="P")))+1,"")))))</f>
        <v/>
      </c>
      <c r="B99" s="1" t="str" cm="1">
        <f t="array" ref="B99">IF(P99&lt;&gt;"",SUMPRODUCT((P$3:P$107&lt;&gt;"")*(G$3:G$107=G99)*(J$3:J$107&gt;J99))+1,IF(O99&lt;&gt;"",SUMPRODUCT((O$3:O$107&lt;&gt;"")*(P$3:P$107="")*(G$3:G$107=G99)*(J$3:J$107&gt;J99))+SUMPRODUCT((P$3:P$107&lt;&gt;"")*(G$3:G$107=G99))+1,IF(N99&lt;&gt;"",SUMPRODUCT((N$3:N$107&lt;&gt;"")*(G$3:G$107=G99)*(J$3:J$107&gt;J99))+1,IF(M99="P",SUMPRODUCT((O$3:O$107&lt;&gt;"")*(P$3:P$107="")*(G$3:G$107=G99))+SUMPRODUCT((P$3:P$107&lt;&gt;"")*(G$3:G$107=G99))+SUMPRODUCT((N$3:N$107&lt;&gt;"")*(G$3:G$107=G99))+SUMPRODUCT((P$3:P$107="")*(O$3:O$107="")*(N$3:N$107="")*(M$3:M$107="P")*(G$3:G$107=G99)*(J$3:J$107&gt;J99))+IF(H99="L5",SUMPRODUCT((P$3:P$107="")*(O$3:O$107="")*(N$3:N$107="")*(M$3:M$107="P")*(G$3:G$107=G99)*(J$3:J$107&lt;J99)*(H$3:H$107&lt;&gt;H99)),-1*SUMPRODUCT((P$3:P$107="")*(O$3:O$107="")*(N$3:N$107="")*(M$3:M$107="P")*(G$3:G$107=G99)*(J$3:J$107&gt;J99)*(H$3:H$107="L5")))+1,""))))</f>
        <v/>
      </c>
      <c r="C99" s="36" t="s">
        <v>262</v>
      </c>
      <c r="D99" s="36" t="str">
        <f>IF(E99="","",VLOOKUP(E99,'Coaching Points'!A:B,2,0))</f>
        <v>BC</v>
      </c>
      <c r="E99" s="36" t="s">
        <v>41</v>
      </c>
      <c r="F99" s="35">
        <v>2009</v>
      </c>
      <c r="G99" s="1" t="str">
        <f>IF(OR('Qualifying Scores'!$B$1-F99&gt;21,'Qualifying Scores'!$B$1-F99&lt;11),"Not Age Eligible",IF('Qualifying Scores'!$B$1-F99&gt;16,"17-21",IF('Qualifying Scores'!$B$1-F99&gt;14,"15-16",IF('Qualifying Scores'!$B$1-F99&gt;12,"13-14",IF('Qualifying Scores'!$B$1-F99&gt;10,"11-12","Not Age Eligible")))))</f>
        <v>13-14</v>
      </c>
      <c r="H99" s="39" t="s">
        <v>66</v>
      </c>
      <c r="I99" s="43"/>
      <c r="J99" s="4">
        <f>R99+S99+IF(OR(H99="Junior",H99="Senior"),0.0002,IF(OR(H99="L7",H99="L6"),0.0001,0))+IF(G99="17-21",MAX(AA99,AC99,AF99),AE99)*0.0000001</f>
        <v>129.64000567300002</v>
      </c>
      <c r="K99" s="3" t="str">
        <f>IF(G99="Not Age Eligible","",IF(G99="17-21",IF(MAX(T99,V99,Y99,AA99,AC99,AF99)&gt;=LOOKUP(G99,'Qualifying Scores'!$A$4:$A$7,'Qualifying Scores'!$B$4:$B$7),"P",""),IF(MAX(X99-U99,AE99-AB99)&gt;=LOOKUP(G99,'Qualifying Scores'!$A$4:$A$7,'Qualifying Scores'!$B$4:$B$7),"P","")))</f>
        <v/>
      </c>
      <c r="L99" s="3" t="str">
        <f>IF(G99="Not Age Eligible","",IF(G99="17-21",IF(MAX(U99,W99,Z99,AB99,AD99,AG99)&gt;=LOOKUP(G99,'Qualifying Scores'!$A$10:$A$13,'Qualifying Scores'!$B$10:$B$13),"P",""),IF(MAX(W99,AD99)&gt;=LOOKUP(G99,'Qualifying Scores'!$A$10:$A$13,'Qualifying Scores'!$B$10:$B$13),"P","")))</f>
        <v/>
      </c>
      <c r="M99" s="3" t="str">
        <f>IF(G99="Not Age Eligible","",IF(G99="17-21",IF(OR(AND(T99&gt;=LOOKUP(G99,'Qualifying Scores'!$A$4:$A$7,'Qualifying Scores'!$B$4:$B$7),U99&gt;=LOOKUP(G99,'Qualifying Scores'!$A$10:$A$13,'Qualifying Scores'!$B$10:$B$13)),AND(V99&gt;=LOOKUP(G99,'Qualifying Scores'!$A$4:$A$7,'Qualifying Scores'!$B$4:$B$7),W99&gt;=LOOKUP(G99,'Qualifying Scores'!$A$10:$A$13,'Qualifying Scores'!$B$10:$B$13)),AND(Y99&gt;=LOOKUP(G99,'Qualifying Scores'!$A$4:$A$7,'Qualifying Scores'!$B$4:$B$7),Z99&gt;=LOOKUP(G99,'Qualifying Scores'!$A$10:$A$13,'Qualifying Scores'!$B$10:$B$13)),AND(AA99&gt;=LOOKUP(G99,'Qualifying Scores'!$A$4:$A$7,'Qualifying Scores'!$B$4:$B$7),AB99&gt;=LOOKUP(G99,'Qualifying Scores'!$A$10:$A$13,'Qualifying Scores'!$B$10:$B$13)),AND(AC99&gt;=LOOKUP(G99,'Qualifying Scores'!$A$4:$A$7,'Qualifying Scores'!$B$4:$B$7),AD99&gt;=LOOKUP(G99,'Qualifying Scores'!$A$10:$A$13,'Qualifying Scores'!$B$10:$B$13)),AND(AF99&gt;=LOOKUP(G99,'Qualifying Scores'!$A$4:$A$7,'Qualifying Scores'!$B$4:$B$7),AG99&gt;=LOOKUP(G99,'Qualifying Scores'!$A$10:$A$13,'Qualifying Scores'!$B$10:$B$13))),"P",""),IF(OR(AND(X99-U99&gt;=LOOKUP(G99,'Qualifying Scores'!$A$4:$A$7,'Qualifying Scores'!$B$4:$B$7),W99&gt;=LOOKUP(G99,'Qualifying Scores'!$A$10:$A$13,'Qualifying Scores'!$B$10:$B$13)),AND(AE99-AB99&gt;=LOOKUP(G99,'Qualifying Scores'!$A$4:$A$7,'Qualifying Scores'!$B$4:$B$7),AD99&gt;=LOOKUP(G99,'Qualifying Scores'!$A$10:$A$13,'Qualifying Scores'!$B$10:$B$13))),"P","")))</f>
        <v/>
      </c>
      <c r="Q99" s="1" t="str">
        <f>IF(A99&lt;5,IF(_xlfn.MAXIFS(A:A,G:G,G99)&gt;3,5-A99,_xlfn.MAXIFS(A:A,G:G,G99)+1-A99),"")</f>
        <v/>
      </c>
      <c r="R99" s="4">
        <f>IF(G99="17-21",MAX(T99,V99,Y99,AA99,AC99,AF99),MAX(X99,AE99))</f>
        <v>83.68</v>
      </c>
      <c r="S99" s="4">
        <f>IF(G99="17-21",LARGE(CHOOSE({1,2,3,4,5,6},T99,V99,Y99,AA99,AC99,AF99),2),IF(R99=X99,MAX(Y99,AA99,AC99,AF99),IF(R99=AE99,MAX(AF99,T99,V99,Y99),0)))</f>
        <v>45.96</v>
      </c>
      <c r="T99" s="33">
        <v>38.24</v>
      </c>
      <c r="U99" s="40">
        <v>0</v>
      </c>
      <c r="V99" s="34">
        <v>45.44</v>
      </c>
      <c r="W99" s="40">
        <v>8.4</v>
      </c>
      <c r="X99" s="4">
        <f>IF(H99="Senior",MAX(T99,V99),T99+V99)</f>
        <v>83.68</v>
      </c>
      <c r="Y99" s="34">
        <v>44.91</v>
      </c>
      <c r="Z99" s="40">
        <v>8.4</v>
      </c>
      <c r="AA99" s="33">
        <v>38.06</v>
      </c>
      <c r="AB99" s="40">
        <v>0</v>
      </c>
      <c r="AC99" s="34">
        <v>18.670000000000002</v>
      </c>
      <c r="AD99" s="40">
        <v>4.2</v>
      </c>
      <c r="AE99" s="4">
        <f>IF(H99="Senior",MAX(AA99,AC99),AA99+AC99)</f>
        <v>56.730000000000004</v>
      </c>
      <c r="AF99" s="34">
        <v>45.96</v>
      </c>
      <c r="AG99" s="37">
        <v>9.1</v>
      </c>
    </row>
    <row r="100" spans="1:33" x14ac:dyDescent="0.2">
      <c r="A100" s="1" t="str" cm="1">
        <f t="array" ref="A100">IF(I100="","",IF(P100&lt;&gt;"",SUMPRODUCT((P$3:P$107&lt;&gt;"")*(G$3:G$107=G100)*(J$3:J$107&gt;J100)*(I$3:I$107="P"))+1,IF(O100&lt;&gt;"",SUMPRODUCT((O$3:O$107&lt;&gt;"")*(P$3:P$107="")*(G$3:G$107=G100)*(J$3:J$107&gt;J100)*(I$3:I$107="P"))+SUMPRODUCT((P$3:P$107&lt;&gt;"")*(G$3:G$107=G100)*(I$3:I$107="P"))+1,IF(N100&lt;&gt;"",SUMPRODUCT((N$3:N$107&lt;&gt;"")*(G$3:G$107=G100)*(J$3:J$107&gt;J100)*(I$3:I$107="P"))+1,IF(M100="P",SUMPRODUCT((O$3:O$107&lt;&gt;"")*(P$3:P$107="")*(G$3:G$107=G100)*(I$3:I$107="P"))+SUMPRODUCT((P$3:P$107&lt;&gt;"")*(G$3:G$107=G100)*(I$3:I$107="P"))+SUMPRODUCT((N$3:N$107&lt;&gt;"")*(G$3:G$107=G100)*(I$3:I$107="P"))+SUMPRODUCT((P$3:P$107="")*(O$3:O$107="")*(N$3:N$107="")*(M$3:M$107="P")*(G$3:G$107=G100)*(J$3:J$107&gt;J100)*(I$3:I$107="P"))+IF(H100="L5",SUMPRODUCT((P$3:P$107="")*(O$3:O$107="")*(N$3:N$107="")*(M$3:M$107="P")*(G$3:G$107=G100)*(J$3:J$107&lt;J100)*(H$3:H$107&lt;&gt;H100)*(I$3:I$107="P")),-1*SUMPRODUCT((P$3:P$107="")*(O$3:O$107="")*(N$3:N$107="")*(M$3:M$107="P")*(G$3:G$107=G100)*(J$3:J$107&gt;J100)*(H$3:H$107="L5")*(I$3:I$107="P")))+1,"")))))</f>
        <v/>
      </c>
      <c r="B100" s="1" t="str" cm="1">
        <f t="array" ref="B100">IF(P100&lt;&gt;"",SUMPRODUCT((P$3:P$107&lt;&gt;"")*(G$3:G$107=G100)*(J$3:J$107&gt;J100))+1,IF(O100&lt;&gt;"",SUMPRODUCT((O$3:O$107&lt;&gt;"")*(P$3:P$107="")*(G$3:G$107=G100)*(J$3:J$107&gt;J100))+SUMPRODUCT((P$3:P$107&lt;&gt;"")*(G$3:G$107=G100))+1,IF(N100&lt;&gt;"",SUMPRODUCT((N$3:N$107&lt;&gt;"")*(G$3:G$107=G100)*(J$3:J$107&gt;J100))+1,IF(M100="P",SUMPRODUCT((O$3:O$107&lt;&gt;"")*(P$3:P$107="")*(G$3:G$107=G100))+SUMPRODUCT((P$3:P$107&lt;&gt;"")*(G$3:G$107=G100))+SUMPRODUCT((N$3:N$107&lt;&gt;"")*(G$3:G$107=G100))+SUMPRODUCT((P$3:P$107="")*(O$3:O$107="")*(N$3:N$107="")*(M$3:M$107="P")*(G$3:G$107=G100)*(J$3:J$107&gt;J100))+IF(H100="L5",SUMPRODUCT((P$3:P$107="")*(O$3:O$107="")*(N$3:N$107="")*(M$3:M$107="P")*(G$3:G$107=G100)*(J$3:J$107&lt;J100)*(H$3:H$107&lt;&gt;H100)),-1*SUMPRODUCT((P$3:P$107="")*(O$3:O$107="")*(N$3:N$107="")*(M$3:M$107="P")*(G$3:G$107=G100)*(J$3:J$107&gt;J100)*(H$3:H$107="L5")))+1,""))))</f>
        <v/>
      </c>
      <c r="C100" s="36" t="s">
        <v>322</v>
      </c>
      <c r="D100" s="36" t="str">
        <f>IF(E100="","",VLOOKUP(E100,'Coaching Points'!A:B,2,0))</f>
        <v>NS</v>
      </c>
      <c r="E100" s="36" t="s">
        <v>134</v>
      </c>
      <c r="F100" s="35">
        <v>2010</v>
      </c>
      <c r="G100" s="1" t="str">
        <f>IF(OR('Qualifying Scores'!$B$1-F100&gt;21,'Qualifying Scores'!$B$1-F100&lt;11),"Not Age Eligible",IF('Qualifying Scores'!$B$1-F100&gt;16,"17-21",IF('Qualifying Scores'!$B$1-F100&gt;14,"15-16",IF('Qualifying Scores'!$B$1-F100&gt;12,"13-14",IF('Qualifying Scores'!$B$1-F100&gt;10,"11-12","Not Age Eligible")))))</f>
        <v>13-14</v>
      </c>
      <c r="H100" s="39" t="s">
        <v>66</v>
      </c>
      <c r="I100" s="43" t="s">
        <v>567</v>
      </c>
      <c r="J100" s="4">
        <f>R100+S100+IF(OR(H100="Junior",H100="Senior"),0.0002,IF(OR(H100="L7",H100="L6"),0.0001,0))+IF(G100="17-21",MAX(AA100,AC100,AF100),AE100)*0.0000001</f>
        <v>127.35000818799999</v>
      </c>
      <c r="K100" s="3" t="str">
        <f>IF(G100="Not Age Eligible","",IF(G100="17-21",IF(MAX(T100,V100,Y100,AA100,AC100,AF100)&gt;=LOOKUP(G100,'Qualifying Scores'!$A$4:$A$7,'Qualifying Scores'!$B$4:$B$7),"P",""),IF(MAX(X100-U100,AE100-AB100)&gt;=LOOKUP(G100,'Qualifying Scores'!$A$4:$A$7,'Qualifying Scores'!$B$4:$B$7),"P","")))</f>
        <v/>
      </c>
      <c r="L100" s="3" t="str">
        <f>IF(G100="Not Age Eligible","",IF(G100="17-21",IF(MAX(U100,W100,Z100,AB100,AD100,AG100)&gt;=LOOKUP(G100,'Qualifying Scores'!$A$10:$A$13,'Qualifying Scores'!$B$10:$B$13),"P",""),IF(MAX(W100,AD100)&gt;=LOOKUP(G100,'Qualifying Scores'!$A$10:$A$13,'Qualifying Scores'!$B$10:$B$13),"P","")))</f>
        <v/>
      </c>
      <c r="M100" s="3" t="str">
        <f>IF(G100="Not Age Eligible","",IF(G100="17-21",IF(OR(AND(T100&gt;=LOOKUP(G100,'Qualifying Scores'!$A$4:$A$7,'Qualifying Scores'!$B$4:$B$7),U100&gt;=LOOKUP(G100,'Qualifying Scores'!$A$10:$A$13,'Qualifying Scores'!$B$10:$B$13)),AND(V100&gt;=LOOKUP(G100,'Qualifying Scores'!$A$4:$A$7,'Qualifying Scores'!$B$4:$B$7),W100&gt;=LOOKUP(G100,'Qualifying Scores'!$A$10:$A$13,'Qualifying Scores'!$B$10:$B$13)),AND(Y100&gt;=LOOKUP(G100,'Qualifying Scores'!$A$4:$A$7,'Qualifying Scores'!$B$4:$B$7),Z100&gt;=LOOKUP(G100,'Qualifying Scores'!$A$10:$A$13,'Qualifying Scores'!$B$10:$B$13)),AND(AA100&gt;=LOOKUP(G100,'Qualifying Scores'!$A$4:$A$7,'Qualifying Scores'!$B$4:$B$7),AB100&gt;=LOOKUP(G100,'Qualifying Scores'!$A$10:$A$13,'Qualifying Scores'!$B$10:$B$13)),AND(AC100&gt;=LOOKUP(G100,'Qualifying Scores'!$A$4:$A$7,'Qualifying Scores'!$B$4:$B$7),AD100&gt;=LOOKUP(G100,'Qualifying Scores'!$A$10:$A$13,'Qualifying Scores'!$B$10:$B$13)),AND(AF100&gt;=LOOKUP(G100,'Qualifying Scores'!$A$4:$A$7,'Qualifying Scores'!$B$4:$B$7),AG100&gt;=LOOKUP(G100,'Qualifying Scores'!$A$10:$A$13,'Qualifying Scores'!$B$10:$B$13))),"P",""),IF(OR(AND(X100-U100&gt;=LOOKUP(G100,'Qualifying Scores'!$A$4:$A$7,'Qualifying Scores'!$B$4:$B$7),W100&gt;=LOOKUP(G100,'Qualifying Scores'!$A$10:$A$13,'Qualifying Scores'!$B$10:$B$13)),AND(AE100-AB100&gt;=LOOKUP(G100,'Qualifying Scores'!$A$4:$A$7,'Qualifying Scores'!$B$4:$B$7),AD100&gt;=LOOKUP(G100,'Qualifying Scores'!$A$10:$A$13,'Qualifying Scores'!$B$10:$B$13))),"P","")))</f>
        <v/>
      </c>
      <c r="Q100" s="1" t="str">
        <f>IF(A100&lt;5,IF(_xlfn.MAXIFS(A:A,G:G,G100)&gt;3,5-A100,_xlfn.MAXIFS(A:A,G:G,G100)+1-A100),"")</f>
        <v/>
      </c>
      <c r="R100" s="4">
        <f>IF(G100="17-21",MAX(T100,V100,Y100,AA100,AC100,AF100),MAX(X100,AE100))</f>
        <v>81.88</v>
      </c>
      <c r="S100" s="4">
        <f>IF(G100="17-21",LARGE(CHOOSE({1,2,3,4,5,6},T100,V100,Y100,AA100,AC100,AF100),2),IF(R100=X100,MAX(Y100,AA100,AC100,AF100),IF(R100=AE100,MAX(AF100,T100,V100,Y100),0)))</f>
        <v>45.47</v>
      </c>
      <c r="T100" s="33">
        <v>37.53</v>
      </c>
      <c r="U100" s="40">
        <v>0</v>
      </c>
      <c r="V100" s="34">
        <v>40</v>
      </c>
      <c r="W100" s="40">
        <v>6.5</v>
      </c>
      <c r="X100" s="4">
        <f>IF(H100="Senior",MAX(T100,V100),T100+V100)</f>
        <v>77.53</v>
      </c>
      <c r="Y100" s="34">
        <v>43.94</v>
      </c>
      <c r="Z100" s="40">
        <v>8</v>
      </c>
      <c r="AA100" s="33">
        <v>37.520000000000003</v>
      </c>
      <c r="AB100" s="40">
        <v>0</v>
      </c>
      <c r="AC100" s="34">
        <v>44.36</v>
      </c>
      <c r="AD100" s="40">
        <v>7.8</v>
      </c>
      <c r="AE100" s="4">
        <f>IF(H100="Senior",MAX(AA100,AC100),AA100+AC100)</f>
        <v>81.88</v>
      </c>
      <c r="AF100" s="34">
        <v>45.47</v>
      </c>
      <c r="AG100" s="37">
        <v>8.4</v>
      </c>
    </row>
    <row r="101" spans="1:33" x14ac:dyDescent="0.2">
      <c r="A101" s="1" t="str" cm="1">
        <f t="array" ref="A101">IF(I101="","",IF(P101&lt;&gt;"",SUMPRODUCT((P$3:P$107&lt;&gt;"")*(G$3:G$107=G101)*(J$3:J$107&gt;J101)*(I$3:I$107="P"))+1,IF(O101&lt;&gt;"",SUMPRODUCT((O$3:O$107&lt;&gt;"")*(P$3:P$107="")*(G$3:G$107=G101)*(J$3:J$107&gt;J101)*(I$3:I$107="P"))+SUMPRODUCT((P$3:P$107&lt;&gt;"")*(G$3:G$107=G101)*(I$3:I$107="P"))+1,IF(N101&lt;&gt;"",SUMPRODUCT((N$3:N$107&lt;&gt;"")*(G$3:G$107=G101)*(J$3:J$107&gt;J101)*(I$3:I$107="P"))+1,IF(M101="P",SUMPRODUCT((O$3:O$107&lt;&gt;"")*(P$3:P$107="")*(G$3:G$107=G101)*(I$3:I$107="P"))+SUMPRODUCT((P$3:P$107&lt;&gt;"")*(G$3:G$107=G101)*(I$3:I$107="P"))+SUMPRODUCT((N$3:N$107&lt;&gt;"")*(G$3:G$107=G101)*(I$3:I$107="P"))+SUMPRODUCT((P$3:P$107="")*(O$3:O$107="")*(N$3:N$107="")*(M$3:M$107="P")*(G$3:G$107=G101)*(J$3:J$107&gt;J101)*(I$3:I$107="P"))+IF(H101="L5",SUMPRODUCT((P$3:P$107="")*(O$3:O$107="")*(N$3:N$107="")*(M$3:M$107="P")*(G$3:G$107=G101)*(J$3:J$107&lt;J101)*(H$3:H$107&lt;&gt;H101)*(I$3:I$107="P")),-1*SUMPRODUCT((P$3:P$107="")*(O$3:O$107="")*(N$3:N$107="")*(M$3:M$107="P")*(G$3:G$107=G101)*(J$3:J$107&gt;J101)*(H$3:H$107="L5")*(I$3:I$107="P")))+1,"")))))</f>
        <v/>
      </c>
      <c r="B101" s="1" t="str" cm="1">
        <f t="array" ref="B101">IF(P101&lt;&gt;"",SUMPRODUCT((P$3:P$107&lt;&gt;"")*(G$3:G$107=G101)*(J$3:J$107&gt;J101))+1,IF(O101&lt;&gt;"",SUMPRODUCT((O$3:O$107&lt;&gt;"")*(P$3:P$107="")*(G$3:G$107=G101)*(J$3:J$107&gt;J101))+SUMPRODUCT((P$3:P$107&lt;&gt;"")*(G$3:G$107=G101))+1,IF(N101&lt;&gt;"",SUMPRODUCT((N$3:N$107&lt;&gt;"")*(G$3:G$107=G101)*(J$3:J$107&gt;J101))+1,IF(M101="P",SUMPRODUCT((O$3:O$107&lt;&gt;"")*(P$3:P$107="")*(G$3:G$107=G101))+SUMPRODUCT((P$3:P$107&lt;&gt;"")*(G$3:G$107=G101))+SUMPRODUCT((N$3:N$107&lt;&gt;"")*(G$3:G$107=G101))+SUMPRODUCT((P$3:P$107="")*(O$3:O$107="")*(N$3:N$107="")*(M$3:M$107="P")*(G$3:G$107=G101)*(J$3:J$107&gt;J101))+IF(H101="L5",SUMPRODUCT((P$3:P$107="")*(O$3:O$107="")*(N$3:N$107="")*(M$3:M$107="P")*(G$3:G$107=G101)*(J$3:J$107&lt;J101)*(H$3:H$107&lt;&gt;H101)),-1*SUMPRODUCT((P$3:P$107="")*(O$3:O$107="")*(N$3:N$107="")*(M$3:M$107="P")*(G$3:G$107=G101)*(J$3:J$107&gt;J101)*(H$3:H$107="L5")))+1,""))))</f>
        <v/>
      </c>
      <c r="C101" s="36" t="s">
        <v>324</v>
      </c>
      <c r="D101" s="36" t="str">
        <f>IF(E101="","",VLOOKUP(E101,'Coaching Points'!A:B,2,0))</f>
        <v>NS</v>
      </c>
      <c r="E101" s="36" t="s">
        <v>287</v>
      </c>
      <c r="F101" s="35">
        <v>2009</v>
      </c>
      <c r="G101" s="1" t="str">
        <f>IF(OR('Qualifying Scores'!$B$1-F101&gt;21,'Qualifying Scores'!$B$1-F101&lt;11),"Not Age Eligible",IF('Qualifying Scores'!$B$1-F101&gt;16,"17-21",IF('Qualifying Scores'!$B$1-F101&gt;14,"15-16",IF('Qualifying Scores'!$B$1-F101&gt;12,"13-14",IF('Qualifying Scores'!$B$1-F101&gt;10,"11-12","Not Age Eligible")))))</f>
        <v>13-14</v>
      </c>
      <c r="H101" s="39" t="s">
        <v>66</v>
      </c>
      <c r="I101" s="43" t="s">
        <v>567</v>
      </c>
      <c r="J101" s="4">
        <f>R101+S101+IF(OR(H101="Junior",H101="Senior"),0.0002,IF(OR(H101="L7",H101="L6"),0.0001,0))+IF(G101="17-21",MAX(AA101,AC101,AF101),AE101)*0.0000001</f>
        <v>124.310008131</v>
      </c>
      <c r="K101" s="3" t="str">
        <f>IF(G101="Not Age Eligible","",IF(G101="17-21",IF(MAX(T101,V101,Y101,AA101,AC101,AF101)&gt;=LOOKUP(G101,'Qualifying Scores'!$A$4:$A$7,'Qualifying Scores'!$B$4:$B$7),"P",""),IF(MAX(X101-U101,AE101-AB101)&gt;=LOOKUP(G101,'Qualifying Scores'!$A$4:$A$7,'Qualifying Scores'!$B$4:$B$7),"P","")))</f>
        <v/>
      </c>
      <c r="L101" s="3" t="str">
        <f>IF(G101="Not Age Eligible","",IF(G101="17-21",IF(MAX(U101,W101,Z101,AB101,AD101,AG101)&gt;=LOOKUP(G101,'Qualifying Scores'!$A$10:$A$13,'Qualifying Scores'!$B$10:$B$13),"P",""),IF(MAX(W101,AD101)&gt;=LOOKUP(G101,'Qualifying Scores'!$A$10:$A$13,'Qualifying Scores'!$B$10:$B$13),"P","")))</f>
        <v/>
      </c>
      <c r="M101" s="3" t="str">
        <f>IF(G101="Not Age Eligible","",IF(G101="17-21",IF(OR(AND(T101&gt;=LOOKUP(G101,'Qualifying Scores'!$A$4:$A$7,'Qualifying Scores'!$B$4:$B$7),U101&gt;=LOOKUP(G101,'Qualifying Scores'!$A$10:$A$13,'Qualifying Scores'!$B$10:$B$13)),AND(V101&gt;=LOOKUP(G101,'Qualifying Scores'!$A$4:$A$7,'Qualifying Scores'!$B$4:$B$7),W101&gt;=LOOKUP(G101,'Qualifying Scores'!$A$10:$A$13,'Qualifying Scores'!$B$10:$B$13)),AND(Y101&gt;=LOOKUP(G101,'Qualifying Scores'!$A$4:$A$7,'Qualifying Scores'!$B$4:$B$7),Z101&gt;=LOOKUP(G101,'Qualifying Scores'!$A$10:$A$13,'Qualifying Scores'!$B$10:$B$13)),AND(AA101&gt;=LOOKUP(G101,'Qualifying Scores'!$A$4:$A$7,'Qualifying Scores'!$B$4:$B$7),AB101&gt;=LOOKUP(G101,'Qualifying Scores'!$A$10:$A$13,'Qualifying Scores'!$B$10:$B$13)),AND(AC101&gt;=LOOKUP(G101,'Qualifying Scores'!$A$4:$A$7,'Qualifying Scores'!$B$4:$B$7),AD101&gt;=LOOKUP(G101,'Qualifying Scores'!$A$10:$A$13,'Qualifying Scores'!$B$10:$B$13)),AND(AF101&gt;=LOOKUP(G101,'Qualifying Scores'!$A$4:$A$7,'Qualifying Scores'!$B$4:$B$7),AG101&gt;=LOOKUP(G101,'Qualifying Scores'!$A$10:$A$13,'Qualifying Scores'!$B$10:$B$13))),"P",""),IF(OR(AND(X101-U101&gt;=LOOKUP(G101,'Qualifying Scores'!$A$4:$A$7,'Qualifying Scores'!$B$4:$B$7),W101&gt;=LOOKUP(G101,'Qualifying Scores'!$A$10:$A$13,'Qualifying Scores'!$B$10:$B$13)),AND(AE101-AB101&gt;=LOOKUP(G101,'Qualifying Scores'!$A$4:$A$7,'Qualifying Scores'!$B$4:$B$7),AD101&gt;=LOOKUP(G101,'Qualifying Scores'!$A$10:$A$13,'Qualifying Scores'!$B$10:$B$13))),"P","")))</f>
        <v/>
      </c>
      <c r="Q101" s="1" t="str">
        <f>IF(A101&lt;5,IF(_xlfn.MAXIFS(A:A,G:G,G101)&gt;3,5-A101,_xlfn.MAXIFS(A:A,G:G,G101)+1-A101),"")</f>
        <v/>
      </c>
      <c r="R101" s="4">
        <f>IF(G101="17-21",MAX(T101,V101,Y101,AA101,AC101,AF101),MAX(X101,AE101))</f>
        <v>81.31</v>
      </c>
      <c r="S101" s="4">
        <f>IF(G101="17-21",LARGE(CHOOSE({1,2,3,4,5,6},T101,V101,Y101,AA101,AC101,AF101),2),IF(R101=X101,MAX(Y101,AA101,AC101,AF101),IF(R101=AE101,MAX(AF101,T101,V101,Y101),0)))</f>
        <v>43</v>
      </c>
      <c r="T101" s="33"/>
      <c r="U101" s="40"/>
      <c r="V101" s="34"/>
      <c r="W101" s="40"/>
      <c r="X101" s="4">
        <f>IF(H101="Senior",MAX(T101,V101),T101+V101)</f>
        <v>0</v>
      </c>
      <c r="Y101" s="34"/>
      <c r="Z101" s="40"/>
      <c r="AA101" s="33">
        <v>37.020000000000003</v>
      </c>
      <c r="AB101" s="40">
        <v>0</v>
      </c>
      <c r="AC101" s="34">
        <v>44.29</v>
      </c>
      <c r="AD101" s="40">
        <v>8.1999999999999993</v>
      </c>
      <c r="AE101" s="4">
        <f>IF(H101="Senior",MAX(AA101,AC101),AA101+AC101)</f>
        <v>81.31</v>
      </c>
      <c r="AF101" s="34">
        <v>43</v>
      </c>
      <c r="AG101" s="37">
        <v>7.3</v>
      </c>
    </row>
    <row r="102" spans="1:33" x14ac:dyDescent="0.2">
      <c r="A102" s="1" t="str" cm="1">
        <f t="array" ref="A102">IF(I102="","",IF(P102&lt;&gt;"",SUMPRODUCT((P$3:P$107&lt;&gt;"")*(G$3:G$107=G102)*(J$3:J$107&gt;J102)*(I$3:I$107="P"))+1,IF(O102&lt;&gt;"",SUMPRODUCT((O$3:O$107&lt;&gt;"")*(P$3:P$107="")*(G$3:G$107=G102)*(J$3:J$107&gt;J102)*(I$3:I$107="P"))+SUMPRODUCT((P$3:P$107&lt;&gt;"")*(G$3:G$107=G102)*(I$3:I$107="P"))+1,IF(N102&lt;&gt;"",SUMPRODUCT((N$3:N$107&lt;&gt;"")*(G$3:G$107=G102)*(J$3:J$107&gt;J102)*(I$3:I$107="P"))+1,IF(M102="P",SUMPRODUCT((O$3:O$107&lt;&gt;"")*(P$3:P$107="")*(G$3:G$107=G102)*(I$3:I$107="P"))+SUMPRODUCT((P$3:P$107&lt;&gt;"")*(G$3:G$107=G102)*(I$3:I$107="P"))+SUMPRODUCT((N$3:N$107&lt;&gt;"")*(G$3:G$107=G102)*(I$3:I$107="P"))+SUMPRODUCT((P$3:P$107="")*(O$3:O$107="")*(N$3:N$107="")*(M$3:M$107="P")*(G$3:G$107=G102)*(J$3:J$107&gt;J102)*(I$3:I$107="P"))+IF(H102="L5",SUMPRODUCT((P$3:P$107="")*(O$3:O$107="")*(N$3:N$107="")*(M$3:M$107="P")*(G$3:G$107=G102)*(J$3:J$107&lt;J102)*(H$3:H$107&lt;&gt;H102)*(I$3:I$107="P")),-1*SUMPRODUCT((P$3:P$107="")*(O$3:O$107="")*(N$3:N$107="")*(M$3:M$107="P")*(G$3:G$107=G102)*(J$3:J$107&gt;J102)*(H$3:H$107="L5")*(I$3:I$107="P")))+1,"")))))</f>
        <v/>
      </c>
      <c r="B102" s="1" t="str" cm="1">
        <f t="array" ref="B102">IF(P102&lt;&gt;"",SUMPRODUCT((P$3:P$107&lt;&gt;"")*(G$3:G$107=G102)*(J$3:J$107&gt;J102))+1,IF(O102&lt;&gt;"",SUMPRODUCT((O$3:O$107&lt;&gt;"")*(P$3:P$107="")*(G$3:G$107=G102)*(J$3:J$107&gt;J102))+SUMPRODUCT((P$3:P$107&lt;&gt;"")*(G$3:G$107=G102))+1,IF(N102&lt;&gt;"",SUMPRODUCT((N$3:N$107&lt;&gt;"")*(G$3:G$107=G102)*(J$3:J$107&gt;J102))+1,IF(M102="P",SUMPRODUCT((O$3:O$107&lt;&gt;"")*(P$3:P$107="")*(G$3:G$107=G102))+SUMPRODUCT((P$3:P$107&lt;&gt;"")*(G$3:G$107=G102))+SUMPRODUCT((N$3:N$107&lt;&gt;"")*(G$3:G$107=G102))+SUMPRODUCT((P$3:P$107="")*(O$3:O$107="")*(N$3:N$107="")*(M$3:M$107="P")*(G$3:G$107=G102)*(J$3:J$107&gt;J102))+IF(H102="L5",SUMPRODUCT((P$3:P$107="")*(O$3:O$107="")*(N$3:N$107="")*(M$3:M$107="P")*(G$3:G$107=G102)*(J$3:J$107&lt;J102)*(H$3:H$107&lt;&gt;H102)),-1*SUMPRODUCT((P$3:P$107="")*(O$3:O$107="")*(N$3:N$107="")*(M$3:M$107="P")*(G$3:G$107=G102)*(J$3:J$107&gt;J102)*(H$3:H$107="L5")))+1,""))))</f>
        <v/>
      </c>
      <c r="C102" s="36" t="s">
        <v>512</v>
      </c>
      <c r="D102" s="36" t="str">
        <f>IF(E102="","",VLOOKUP(E102,'Coaching Points'!A:B,2,0))</f>
        <v>AB</v>
      </c>
      <c r="E102" s="36" t="s">
        <v>29</v>
      </c>
      <c r="F102" s="35">
        <v>2009</v>
      </c>
      <c r="G102" s="1" t="str">
        <f>IF(OR('Qualifying Scores'!$B$1-F102&gt;21,'Qualifying Scores'!$B$1-F102&lt;11),"Not Age Eligible",IF('Qualifying Scores'!$B$1-F102&gt;16,"17-21",IF('Qualifying Scores'!$B$1-F102&gt;14,"15-16",IF('Qualifying Scores'!$B$1-F102&gt;12,"13-14",IF('Qualifying Scores'!$B$1-F102&gt;10,"11-12","Not Age Eligible")))))</f>
        <v>13-14</v>
      </c>
      <c r="H102" s="39" t="s">
        <v>66</v>
      </c>
      <c r="I102" s="43" t="s">
        <v>567</v>
      </c>
      <c r="J102" s="4">
        <f>R102+S102+IF(OR(H102="Junior",H102="Senior"),0.0002,IF(OR(H102="L7",H102="L6"),0.0001,0))+IF(G102="17-21",MAX(AA102,AC102,AF102),AE102)*0.0000001</f>
        <v>108.01000803700001</v>
      </c>
      <c r="K102" s="3" t="str">
        <f>IF(G102="Not Age Eligible","",IF(G102="17-21",IF(MAX(T102,V102,Y102,AA102,AC102,AF102)&gt;=LOOKUP(G102,'Qualifying Scores'!$A$4:$A$7,'Qualifying Scores'!$B$4:$B$7),"P",""),IF(MAX(X102-U102,AE102-AB102)&gt;=LOOKUP(G102,'Qualifying Scores'!$A$4:$A$7,'Qualifying Scores'!$B$4:$B$7),"P","")))</f>
        <v/>
      </c>
      <c r="L102" s="3" t="str">
        <f>IF(G102="Not Age Eligible","",IF(G102="17-21",IF(MAX(U102,W102,Z102,AB102,AD102,AG102)&gt;=LOOKUP(G102,'Qualifying Scores'!$A$10:$A$13,'Qualifying Scores'!$B$10:$B$13),"P",""),IF(MAX(W102,AD102)&gt;=LOOKUP(G102,'Qualifying Scores'!$A$10:$A$13,'Qualifying Scores'!$B$10:$B$13),"P","")))</f>
        <v/>
      </c>
      <c r="M102" s="3" t="str">
        <f>IF(G102="Not Age Eligible","",IF(G102="17-21",IF(OR(AND(T102&gt;=LOOKUP(G102,'Qualifying Scores'!$A$4:$A$7,'Qualifying Scores'!$B$4:$B$7),U102&gt;=LOOKUP(G102,'Qualifying Scores'!$A$10:$A$13,'Qualifying Scores'!$B$10:$B$13)),AND(V102&gt;=LOOKUP(G102,'Qualifying Scores'!$A$4:$A$7,'Qualifying Scores'!$B$4:$B$7),W102&gt;=LOOKUP(G102,'Qualifying Scores'!$A$10:$A$13,'Qualifying Scores'!$B$10:$B$13)),AND(Y102&gt;=LOOKUP(G102,'Qualifying Scores'!$A$4:$A$7,'Qualifying Scores'!$B$4:$B$7),Z102&gt;=LOOKUP(G102,'Qualifying Scores'!$A$10:$A$13,'Qualifying Scores'!$B$10:$B$13)),AND(AA102&gt;=LOOKUP(G102,'Qualifying Scores'!$A$4:$A$7,'Qualifying Scores'!$B$4:$B$7),AB102&gt;=LOOKUP(G102,'Qualifying Scores'!$A$10:$A$13,'Qualifying Scores'!$B$10:$B$13)),AND(AC102&gt;=LOOKUP(G102,'Qualifying Scores'!$A$4:$A$7,'Qualifying Scores'!$B$4:$B$7),AD102&gt;=LOOKUP(G102,'Qualifying Scores'!$A$10:$A$13,'Qualifying Scores'!$B$10:$B$13)),AND(AF102&gt;=LOOKUP(G102,'Qualifying Scores'!$A$4:$A$7,'Qualifying Scores'!$B$4:$B$7),AG102&gt;=LOOKUP(G102,'Qualifying Scores'!$A$10:$A$13,'Qualifying Scores'!$B$10:$B$13))),"P",""),IF(OR(AND(X102-U102&gt;=LOOKUP(G102,'Qualifying Scores'!$A$4:$A$7,'Qualifying Scores'!$B$4:$B$7),W102&gt;=LOOKUP(G102,'Qualifying Scores'!$A$10:$A$13,'Qualifying Scores'!$B$10:$B$13)),AND(AE102-AB102&gt;=LOOKUP(G102,'Qualifying Scores'!$A$4:$A$7,'Qualifying Scores'!$B$4:$B$7),AD102&gt;=LOOKUP(G102,'Qualifying Scores'!$A$10:$A$13,'Qualifying Scores'!$B$10:$B$13))),"P","")))</f>
        <v/>
      </c>
      <c r="Q102" s="1" t="str">
        <f>IF(A102&lt;5,IF(_xlfn.MAXIFS(A:A,G:G,G102)&gt;3,5-A102,_xlfn.MAXIFS(A:A,G:G,G102)+1-A102),"")</f>
        <v/>
      </c>
      <c r="R102" s="4">
        <f>IF(G102="17-21",MAX(T102,V102,Y102,AA102,AC102,AF102),MAX(X102,AE102))</f>
        <v>80.37</v>
      </c>
      <c r="S102" s="4">
        <f>IF(G102="17-21",LARGE(CHOOSE({1,2,3,4,5,6},T102,V102,Y102,AA102,AC102,AF102),2),IF(R102=X102,MAX(Y102,AA102,AC102,AF102),IF(R102=AE102,MAX(AF102,T102,V102,Y102),0)))</f>
        <v>27.64</v>
      </c>
      <c r="T102" s="33"/>
      <c r="U102" s="40"/>
      <c r="V102" s="34"/>
      <c r="W102" s="40"/>
      <c r="X102" s="4">
        <f>IF(H102="Senior",MAX(T102,V102),T102+V102)</f>
        <v>0</v>
      </c>
      <c r="Y102" s="34"/>
      <c r="Z102" s="40"/>
      <c r="AA102" s="33">
        <v>36.130000000000003</v>
      </c>
      <c r="AB102" s="40">
        <v>0</v>
      </c>
      <c r="AC102" s="34">
        <v>44.24</v>
      </c>
      <c r="AD102" s="40">
        <v>8.5</v>
      </c>
      <c r="AE102" s="4">
        <f>IF(H102="Senior",MAX(AA102,AC102),AA102+AC102)</f>
        <v>80.37</v>
      </c>
      <c r="AF102" s="34">
        <v>27.64</v>
      </c>
      <c r="AG102" s="37">
        <v>5.3</v>
      </c>
    </row>
    <row r="103" spans="1:33" x14ac:dyDescent="0.2">
      <c r="A103" s="1" t="str" cm="1">
        <f t="array" ref="A103">IF(I103="","",IF(P103&lt;&gt;"",SUMPRODUCT((P$3:P$107&lt;&gt;"")*(G$3:G$107=G103)*(J$3:J$107&gt;J103)*(I$3:I$107="P"))+1,IF(O103&lt;&gt;"",SUMPRODUCT((O$3:O$107&lt;&gt;"")*(P$3:P$107="")*(G$3:G$107=G103)*(J$3:J$107&gt;J103)*(I$3:I$107="P"))+SUMPRODUCT((P$3:P$107&lt;&gt;"")*(G$3:G$107=G103)*(I$3:I$107="P"))+1,IF(N103&lt;&gt;"",SUMPRODUCT((N$3:N$107&lt;&gt;"")*(G$3:G$107=G103)*(J$3:J$107&gt;J103)*(I$3:I$107="P"))+1,IF(M103="P",SUMPRODUCT((O$3:O$107&lt;&gt;"")*(P$3:P$107="")*(G$3:G$107=G103)*(I$3:I$107="P"))+SUMPRODUCT((P$3:P$107&lt;&gt;"")*(G$3:G$107=G103)*(I$3:I$107="P"))+SUMPRODUCT((N$3:N$107&lt;&gt;"")*(G$3:G$107=G103)*(I$3:I$107="P"))+SUMPRODUCT((P$3:P$107="")*(O$3:O$107="")*(N$3:N$107="")*(M$3:M$107="P")*(G$3:G$107=G103)*(J$3:J$107&gt;J103)*(I$3:I$107="P"))+IF(H103="L5",SUMPRODUCT((P$3:P$107="")*(O$3:O$107="")*(N$3:N$107="")*(M$3:M$107="P")*(G$3:G$107=G103)*(J$3:J$107&lt;J103)*(H$3:H$107&lt;&gt;H103)*(I$3:I$107="P")),-1*SUMPRODUCT((P$3:P$107="")*(O$3:O$107="")*(N$3:N$107="")*(M$3:M$107="P")*(G$3:G$107=G103)*(J$3:J$107&gt;J103)*(H$3:H$107="L5")*(I$3:I$107="P")))+1,"")))))</f>
        <v/>
      </c>
      <c r="B103" s="1" t="str" cm="1">
        <f t="array" ref="B103">IF(P103&lt;&gt;"",SUMPRODUCT((P$3:P$107&lt;&gt;"")*(G$3:G$107=G103)*(J$3:J$107&gt;J103))+1,IF(O103&lt;&gt;"",SUMPRODUCT((O$3:O$107&lt;&gt;"")*(P$3:P$107="")*(G$3:G$107=G103)*(J$3:J$107&gt;J103))+SUMPRODUCT((P$3:P$107&lt;&gt;"")*(G$3:G$107=G103))+1,IF(N103&lt;&gt;"",SUMPRODUCT((N$3:N$107&lt;&gt;"")*(G$3:G$107=G103)*(J$3:J$107&gt;J103))+1,IF(M103="P",SUMPRODUCT((O$3:O$107&lt;&gt;"")*(P$3:P$107="")*(G$3:G$107=G103))+SUMPRODUCT((P$3:P$107&lt;&gt;"")*(G$3:G$107=G103))+SUMPRODUCT((N$3:N$107&lt;&gt;"")*(G$3:G$107=G103))+SUMPRODUCT((P$3:P$107="")*(O$3:O$107="")*(N$3:N$107="")*(M$3:M$107="P")*(G$3:G$107=G103)*(J$3:J$107&gt;J103))+IF(H103="L5",SUMPRODUCT((P$3:P$107="")*(O$3:O$107="")*(N$3:N$107="")*(M$3:M$107="P")*(G$3:G$107=G103)*(J$3:J$107&lt;J103)*(H$3:H$107&lt;&gt;H103)),-1*SUMPRODUCT((P$3:P$107="")*(O$3:O$107="")*(N$3:N$107="")*(M$3:M$107="P")*(G$3:G$107=G103)*(J$3:J$107&gt;J103)*(H$3:H$107="L5")))+1,""))))</f>
        <v/>
      </c>
      <c r="C103" s="36" t="s">
        <v>513</v>
      </c>
      <c r="D103" s="36" t="str">
        <f>IF(E103="","",VLOOKUP(E103,'Coaching Points'!A:B,2,0))</f>
        <v>BC</v>
      </c>
      <c r="E103" s="36" t="s">
        <v>288</v>
      </c>
      <c r="F103" s="35">
        <v>2009</v>
      </c>
      <c r="G103" s="1" t="str">
        <f>IF(OR('Qualifying Scores'!$B$1-F103&gt;21,'Qualifying Scores'!$B$1-F103&lt;11),"Not Age Eligible",IF('Qualifying Scores'!$B$1-F103&gt;16,"17-21",IF('Qualifying Scores'!$B$1-F103&gt;14,"15-16",IF('Qualifying Scores'!$B$1-F103&gt;12,"13-14",IF('Qualifying Scores'!$B$1-F103&gt;10,"11-12","Not Age Eligible")))))</f>
        <v>13-14</v>
      </c>
      <c r="H103" s="39" t="s">
        <v>66</v>
      </c>
      <c r="I103" s="43"/>
      <c r="J103" s="4">
        <f>R103+S103+IF(OR(H103="Junior",H103="Senior"),0.0002,IF(OR(H103="L7",H103="L6"),0.0001,0))+IF(G103="17-21",MAX(AA103,AC103,AF103),AE103)*0.0000001</f>
        <v>98.170008789000008</v>
      </c>
      <c r="K103" s="3" t="str">
        <f>IF(G103="Not Age Eligible","",IF(G103="17-21",IF(MAX(T103,V103,Y103,AA103,AC103,AF103)&gt;=LOOKUP(G103,'Qualifying Scores'!$A$4:$A$7,'Qualifying Scores'!$B$4:$B$7),"P",""),IF(MAX(X103-U103,AE103-AB103)&gt;=LOOKUP(G103,'Qualifying Scores'!$A$4:$A$7,'Qualifying Scores'!$B$4:$B$7),"P","")))</f>
        <v/>
      </c>
      <c r="L103" s="3" t="str">
        <f>IF(G103="Not Age Eligible","",IF(G103="17-21",IF(MAX(U103,W103,Z103,AB103,AD103,AG103)&gt;=LOOKUP(G103,'Qualifying Scores'!$A$10:$A$13,'Qualifying Scores'!$B$10:$B$13),"P",""),IF(MAX(W103,AD103)&gt;=LOOKUP(G103,'Qualifying Scores'!$A$10:$A$13,'Qualifying Scores'!$B$10:$B$13),"P","")))</f>
        <v/>
      </c>
      <c r="M103" s="3" t="str">
        <f>IF(G103="Not Age Eligible","",IF(G103="17-21",IF(OR(AND(T103&gt;=LOOKUP(G103,'Qualifying Scores'!$A$4:$A$7,'Qualifying Scores'!$B$4:$B$7),U103&gt;=LOOKUP(G103,'Qualifying Scores'!$A$10:$A$13,'Qualifying Scores'!$B$10:$B$13)),AND(V103&gt;=LOOKUP(G103,'Qualifying Scores'!$A$4:$A$7,'Qualifying Scores'!$B$4:$B$7),W103&gt;=LOOKUP(G103,'Qualifying Scores'!$A$10:$A$13,'Qualifying Scores'!$B$10:$B$13)),AND(Y103&gt;=LOOKUP(G103,'Qualifying Scores'!$A$4:$A$7,'Qualifying Scores'!$B$4:$B$7),Z103&gt;=LOOKUP(G103,'Qualifying Scores'!$A$10:$A$13,'Qualifying Scores'!$B$10:$B$13)),AND(AA103&gt;=LOOKUP(G103,'Qualifying Scores'!$A$4:$A$7,'Qualifying Scores'!$B$4:$B$7),AB103&gt;=LOOKUP(G103,'Qualifying Scores'!$A$10:$A$13,'Qualifying Scores'!$B$10:$B$13)),AND(AC103&gt;=LOOKUP(G103,'Qualifying Scores'!$A$4:$A$7,'Qualifying Scores'!$B$4:$B$7),AD103&gt;=LOOKUP(G103,'Qualifying Scores'!$A$10:$A$13,'Qualifying Scores'!$B$10:$B$13)),AND(AF103&gt;=LOOKUP(G103,'Qualifying Scores'!$A$4:$A$7,'Qualifying Scores'!$B$4:$B$7),AG103&gt;=LOOKUP(G103,'Qualifying Scores'!$A$10:$A$13,'Qualifying Scores'!$B$10:$B$13))),"P",""),IF(OR(AND(X103-U103&gt;=LOOKUP(G103,'Qualifying Scores'!$A$4:$A$7,'Qualifying Scores'!$B$4:$B$7),W103&gt;=LOOKUP(G103,'Qualifying Scores'!$A$10:$A$13,'Qualifying Scores'!$B$10:$B$13)),AND(AE103-AB103&gt;=LOOKUP(G103,'Qualifying Scores'!$A$4:$A$7,'Qualifying Scores'!$B$4:$B$7),AD103&gt;=LOOKUP(G103,'Qualifying Scores'!$A$10:$A$13,'Qualifying Scores'!$B$10:$B$13))),"P","")))</f>
        <v/>
      </c>
      <c r="Q103" s="1" t="str">
        <f>IF(A103&lt;5,IF(_xlfn.MAXIFS(A:A,G:G,G103)&gt;3,5-A103,_xlfn.MAXIFS(A:A,G:G,G103)+1-A103),"")</f>
        <v/>
      </c>
      <c r="R103" s="4">
        <f>IF(G103="17-21",MAX(T103,V103,Y103,AA103,AC103,AF103),MAX(X103,AE103))</f>
        <v>87.89</v>
      </c>
      <c r="S103" s="4">
        <f>IF(G103="17-21",LARGE(CHOOSE({1,2,3,4,5,6},T103,V103,Y103,AA103,AC103,AF103),2),IF(R103=X103,MAX(Y103,AA103,AC103,AF103),IF(R103=AE103,MAX(AF103,T103,V103,Y103),0)))</f>
        <v>10.28</v>
      </c>
      <c r="T103" s="33"/>
      <c r="U103" s="40"/>
      <c r="V103" s="34"/>
      <c r="W103" s="40"/>
      <c r="X103" s="4">
        <f>IF(H103="Senior",MAX(T103,V103),T103+V103)</f>
        <v>0</v>
      </c>
      <c r="Y103" s="34"/>
      <c r="Z103" s="40"/>
      <c r="AA103" s="33">
        <v>40.06</v>
      </c>
      <c r="AB103" s="40">
        <v>0</v>
      </c>
      <c r="AC103" s="34">
        <v>47.83</v>
      </c>
      <c r="AD103" s="40">
        <v>9.4</v>
      </c>
      <c r="AE103" s="4">
        <f>IF(H103="Senior",MAX(AA103,AC103),AA103+AC103)</f>
        <v>87.89</v>
      </c>
      <c r="AF103" s="34">
        <v>10.28</v>
      </c>
      <c r="AG103" s="37">
        <v>2.2999999999999998</v>
      </c>
    </row>
    <row r="104" spans="1:33" x14ac:dyDescent="0.2">
      <c r="A104" s="1" t="str" cm="1">
        <f t="array" ref="A104">IF(I104="","",IF(P104&lt;&gt;"",SUMPRODUCT((P$3:P$107&lt;&gt;"")*(G$3:G$107=G104)*(J$3:J$107&gt;J104)*(I$3:I$107="P"))+1,IF(O104&lt;&gt;"",SUMPRODUCT((O$3:O$107&lt;&gt;"")*(P$3:P$107="")*(G$3:G$107=G104)*(J$3:J$107&gt;J104)*(I$3:I$107="P"))+SUMPRODUCT((P$3:P$107&lt;&gt;"")*(G$3:G$107=G104)*(I$3:I$107="P"))+1,IF(N104&lt;&gt;"",SUMPRODUCT((N$3:N$107&lt;&gt;"")*(G$3:G$107=G104)*(J$3:J$107&gt;J104)*(I$3:I$107="P"))+1,IF(M104="P",SUMPRODUCT((O$3:O$107&lt;&gt;"")*(P$3:P$107="")*(G$3:G$107=G104)*(I$3:I$107="P"))+SUMPRODUCT((P$3:P$107&lt;&gt;"")*(G$3:G$107=G104)*(I$3:I$107="P"))+SUMPRODUCT((N$3:N$107&lt;&gt;"")*(G$3:G$107=G104)*(I$3:I$107="P"))+SUMPRODUCT((P$3:P$107="")*(O$3:O$107="")*(N$3:N$107="")*(M$3:M$107="P")*(G$3:G$107=G104)*(J$3:J$107&gt;J104)*(I$3:I$107="P"))+IF(H104="L5",SUMPRODUCT((P$3:P$107="")*(O$3:O$107="")*(N$3:N$107="")*(M$3:M$107="P")*(G$3:G$107=G104)*(J$3:J$107&lt;J104)*(H$3:H$107&lt;&gt;H104)*(I$3:I$107="P")),-1*SUMPRODUCT((P$3:P$107="")*(O$3:O$107="")*(N$3:N$107="")*(M$3:M$107="P")*(G$3:G$107=G104)*(J$3:J$107&gt;J104)*(H$3:H$107="L5")*(I$3:I$107="P")))+1,"")))))</f>
        <v/>
      </c>
      <c r="B104" s="1" t="str" cm="1">
        <f t="array" ref="B104">IF(P104&lt;&gt;"",SUMPRODUCT((P$3:P$107&lt;&gt;"")*(G$3:G$107=G104)*(J$3:J$107&gt;J104))+1,IF(O104&lt;&gt;"",SUMPRODUCT((O$3:O$107&lt;&gt;"")*(P$3:P$107="")*(G$3:G$107=G104)*(J$3:J$107&gt;J104))+SUMPRODUCT((P$3:P$107&lt;&gt;"")*(G$3:G$107=G104))+1,IF(N104&lt;&gt;"",SUMPRODUCT((N$3:N$107&lt;&gt;"")*(G$3:G$107=G104)*(J$3:J$107&gt;J104))+1,IF(M104="P",SUMPRODUCT((O$3:O$107&lt;&gt;"")*(P$3:P$107="")*(G$3:G$107=G104))+SUMPRODUCT((P$3:P$107&lt;&gt;"")*(G$3:G$107=G104))+SUMPRODUCT((N$3:N$107&lt;&gt;"")*(G$3:G$107=G104))+SUMPRODUCT((P$3:P$107="")*(O$3:O$107="")*(N$3:N$107="")*(M$3:M$107="P")*(G$3:G$107=G104)*(J$3:J$107&gt;J104))+IF(H104="L5",SUMPRODUCT((P$3:P$107="")*(O$3:O$107="")*(N$3:N$107="")*(M$3:M$107="P")*(G$3:G$107=G104)*(J$3:J$107&lt;J104)*(H$3:H$107&lt;&gt;H104)),-1*SUMPRODUCT((P$3:P$107="")*(O$3:O$107="")*(N$3:N$107="")*(M$3:M$107="P")*(G$3:G$107=G104)*(J$3:J$107&gt;J104)*(H$3:H$107="L5")))+1,""))))</f>
        <v/>
      </c>
      <c r="C104" s="36" t="s">
        <v>323</v>
      </c>
      <c r="D104" s="36" t="str">
        <f>IF(E104="","",VLOOKUP(E104,'Coaching Points'!A:B,2,0))</f>
        <v>BC</v>
      </c>
      <c r="E104" s="36" t="s">
        <v>439</v>
      </c>
      <c r="F104" s="35">
        <v>2011</v>
      </c>
      <c r="G104" s="1" t="str">
        <f>IF(OR('Qualifying Scores'!$B$1-F104&gt;21,'Qualifying Scores'!$B$1-F104&lt;11),"Not Age Eligible",IF('Qualifying Scores'!$B$1-F104&gt;16,"17-21",IF('Qualifying Scores'!$B$1-F104&gt;14,"15-16",IF('Qualifying Scores'!$B$1-F104&gt;12,"13-14",IF('Qualifying Scores'!$B$1-F104&gt;10,"11-12","Not Age Eligible")))))</f>
        <v>11-12</v>
      </c>
      <c r="H104" s="39" t="s">
        <v>66</v>
      </c>
      <c r="I104" s="43"/>
      <c r="J104" s="4">
        <f>R104+S104+IF(OR(H104="Junior",H104="Senior"),0.0002,IF(OR(H104="L7",H104="L6"),0.0001,0))+IF(G104="17-21",MAX(AA104,AC104,AF104),AE104)*0.0000001</f>
        <v>129.070008406</v>
      </c>
      <c r="K104" s="3" t="str">
        <f>IF(G104="Not Age Eligible","",IF(G104="17-21",IF(MAX(T104,V104,Y104,AA104,AC104,AF104)&gt;=LOOKUP(G104,'Qualifying Scores'!$A$4:$A$7,'Qualifying Scores'!$B$4:$B$7),"P",""),IF(MAX(X104-U104,AE104-AB104)&gt;=LOOKUP(G104,'Qualifying Scores'!$A$4:$A$7,'Qualifying Scores'!$B$4:$B$7),"P","")))</f>
        <v/>
      </c>
      <c r="L104" s="3" t="str">
        <f>IF(G104="Not Age Eligible","",IF(G104="17-21",IF(MAX(U104,W104,Z104,AB104,AD104,AG104)&gt;=LOOKUP(G104,'Qualifying Scores'!$A$10:$A$13,'Qualifying Scores'!$B$10:$B$13),"P",""),IF(MAX(W104,AD104)&gt;=LOOKUP(G104,'Qualifying Scores'!$A$10:$A$13,'Qualifying Scores'!$B$10:$B$13),"P","")))</f>
        <v/>
      </c>
      <c r="M104" s="3" t="str">
        <f>IF(G104="Not Age Eligible","",IF(G104="17-21",IF(OR(AND(T104&gt;=LOOKUP(G104,'Qualifying Scores'!$A$4:$A$7,'Qualifying Scores'!$B$4:$B$7),U104&gt;=LOOKUP(G104,'Qualifying Scores'!$A$10:$A$13,'Qualifying Scores'!$B$10:$B$13)),AND(V104&gt;=LOOKUP(G104,'Qualifying Scores'!$A$4:$A$7,'Qualifying Scores'!$B$4:$B$7),W104&gt;=LOOKUP(G104,'Qualifying Scores'!$A$10:$A$13,'Qualifying Scores'!$B$10:$B$13)),AND(Y104&gt;=LOOKUP(G104,'Qualifying Scores'!$A$4:$A$7,'Qualifying Scores'!$B$4:$B$7),Z104&gt;=LOOKUP(G104,'Qualifying Scores'!$A$10:$A$13,'Qualifying Scores'!$B$10:$B$13)),AND(AA104&gt;=LOOKUP(G104,'Qualifying Scores'!$A$4:$A$7,'Qualifying Scores'!$B$4:$B$7),AB104&gt;=LOOKUP(G104,'Qualifying Scores'!$A$10:$A$13,'Qualifying Scores'!$B$10:$B$13)),AND(AC104&gt;=LOOKUP(G104,'Qualifying Scores'!$A$4:$A$7,'Qualifying Scores'!$B$4:$B$7),AD104&gt;=LOOKUP(G104,'Qualifying Scores'!$A$10:$A$13,'Qualifying Scores'!$B$10:$B$13)),AND(AF104&gt;=LOOKUP(G104,'Qualifying Scores'!$A$4:$A$7,'Qualifying Scores'!$B$4:$B$7),AG104&gt;=LOOKUP(G104,'Qualifying Scores'!$A$10:$A$13,'Qualifying Scores'!$B$10:$B$13))),"P",""),IF(OR(AND(X104-U104&gt;=LOOKUP(G104,'Qualifying Scores'!$A$4:$A$7,'Qualifying Scores'!$B$4:$B$7),W104&gt;=LOOKUP(G104,'Qualifying Scores'!$A$10:$A$13,'Qualifying Scores'!$B$10:$B$13)),AND(AE104-AB104&gt;=LOOKUP(G104,'Qualifying Scores'!$A$4:$A$7,'Qualifying Scores'!$B$4:$B$7),AD104&gt;=LOOKUP(G104,'Qualifying Scores'!$A$10:$A$13,'Qualifying Scores'!$B$10:$B$13))),"P","")))</f>
        <v/>
      </c>
      <c r="Q104" s="1" t="str">
        <f>IF(A104&lt;5,IF(_xlfn.MAXIFS(A:A,G:G,G104)&gt;3,5-A104,_xlfn.MAXIFS(A:A,G:G,G104)+1-A104),"")</f>
        <v/>
      </c>
      <c r="R104" s="4">
        <f>IF(G104="17-21",MAX(T104,V104,Y104,AA104,AC104,AF104),MAX(X104,AE104))</f>
        <v>84.06</v>
      </c>
      <c r="S104" s="4">
        <f>IF(G104="17-21",LARGE(CHOOSE({1,2,3,4,5,6},T104,V104,Y104,AA104,AC104,AF104),2),IF(R104=X104,MAX(Y104,AA104,AC104,AF104),IF(R104=AE104,MAX(AF104,T104,V104,Y104),0)))</f>
        <v>45.01</v>
      </c>
      <c r="T104" s="33">
        <v>37.08</v>
      </c>
      <c r="U104" s="40">
        <v>0</v>
      </c>
      <c r="V104" s="34">
        <v>4.74</v>
      </c>
      <c r="W104" s="40">
        <v>1.3</v>
      </c>
      <c r="X104" s="4">
        <f>IF(H104="Senior",MAX(T104,V104),T104+V104)</f>
        <v>41.82</v>
      </c>
      <c r="Y104" s="34"/>
      <c r="Z104" s="40"/>
      <c r="AA104" s="33">
        <v>38.659999999999997</v>
      </c>
      <c r="AB104" s="40">
        <v>0</v>
      </c>
      <c r="AC104" s="34">
        <v>45.4</v>
      </c>
      <c r="AD104" s="40">
        <v>8.6999999999999993</v>
      </c>
      <c r="AE104" s="4">
        <f>IF(H104="Senior",MAX(AA104,AC104),AA104+AC104)</f>
        <v>84.06</v>
      </c>
      <c r="AF104" s="34">
        <v>45.01</v>
      </c>
      <c r="AG104" s="37">
        <v>8.6999999999999993</v>
      </c>
    </row>
    <row r="105" spans="1:33" x14ac:dyDescent="0.2">
      <c r="A105" s="1" t="str" cm="1">
        <f t="array" ref="A105">IF(I105="","",IF(P105&lt;&gt;"",SUMPRODUCT((P$3:P$107&lt;&gt;"")*(G$3:G$107=G105)*(J$3:J$107&gt;J105)*(I$3:I$107="P"))+1,IF(O105&lt;&gt;"",SUMPRODUCT((O$3:O$107&lt;&gt;"")*(P$3:P$107="")*(G$3:G$107=G105)*(J$3:J$107&gt;J105)*(I$3:I$107="P"))+SUMPRODUCT((P$3:P$107&lt;&gt;"")*(G$3:G$107=G105)*(I$3:I$107="P"))+1,IF(N105&lt;&gt;"",SUMPRODUCT((N$3:N$107&lt;&gt;"")*(G$3:G$107=G105)*(J$3:J$107&gt;J105)*(I$3:I$107="P"))+1,IF(M105="P",SUMPRODUCT((O$3:O$107&lt;&gt;"")*(P$3:P$107="")*(G$3:G$107=G105)*(I$3:I$107="P"))+SUMPRODUCT((P$3:P$107&lt;&gt;"")*(G$3:G$107=G105)*(I$3:I$107="P"))+SUMPRODUCT((N$3:N$107&lt;&gt;"")*(G$3:G$107=G105)*(I$3:I$107="P"))+SUMPRODUCT((P$3:P$107="")*(O$3:O$107="")*(N$3:N$107="")*(M$3:M$107="P")*(G$3:G$107=G105)*(J$3:J$107&gt;J105)*(I$3:I$107="P"))+IF(H105="L5",SUMPRODUCT((P$3:P$107="")*(O$3:O$107="")*(N$3:N$107="")*(M$3:M$107="P")*(G$3:G$107=G105)*(J$3:J$107&lt;J105)*(H$3:H$107&lt;&gt;H105)*(I$3:I$107="P")),-1*SUMPRODUCT((P$3:P$107="")*(O$3:O$107="")*(N$3:N$107="")*(M$3:M$107="P")*(G$3:G$107=G105)*(J$3:J$107&gt;J105)*(H$3:H$107="L5")*(I$3:I$107="P")))+1,"")))))</f>
        <v/>
      </c>
      <c r="B105" s="1" t="str" cm="1">
        <f t="array" ref="B105">IF(P105&lt;&gt;"",SUMPRODUCT((P$3:P$107&lt;&gt;"")*(G$3:G$107=G105)*(J$3:J$107&gt;J105))+1,IF(O105&lt;&gt;"",SUMPRODUCT((O$3:O$107&lt;&gt;"")*(P$3:P$107="")*(G$3:G$107=G105)*(J$3:J$107&gt;J105))+SUMPRODUCT((P$3:P$107&lt;&gt;"")*(G$3:G$107=G105))+1,IF(N105&lt;&gt;"",SUMPRODUCT((N$3:N$107&lt;&gt;"")*(G$3:G$107=G105)*(J$3:J$107&gt;J105))+1,IF(M105="P",SUMPRODUCT((O$3:O$107&lt;&gt;"")*(P$3:P$107="")*(G$3:G$107=G105))+SUMPRODUCT((P$3:P$107&lt;&gt;"")*(G$3:G$107=G105))+SUMPRODUCT((N$3:N$107&lt;&gt;"")*(G$3:G$107=G105))+SUMPRODUCT((P$3:P$107="")*(O$3:O$107="")*(N$3:N$107="")*(M$3:M$107="P")*(G$3:G$107=G105)*(J$3:J$107&gt;J105))+IF(H105="L5",SUMPRODUCT((P$3:P$107="")*(O$3:O$107="")*(N$3:N$107="")*(M$3:M$107="P")*(G$3:G$107=G105)*(J$3:J$107&lt;J105)*(H$3:H$107&lt;&gt;H105)),-1*SUMPRODUCT((P$3:P$107="")*(O$3:O$107="")*(N$3:N$107="")*(M$3:M$107="P")*(G$3:G$107=G105)*(J$3:J$107&gt;J105)*(H$3:H$107="L5")))+1,""))))</f>
        <v/>
      </c>
      <c r="C105" s="36" t="s">
        <v>524</v>
      </c>
      <c r="D105" s="36" t="str">
        <f>IF(E105="","",VLOOKUP(E105,'Coaching Points'!A:B,2,0))</f>
        <v>BC</v>
      </c>
      <c r="E105" s="36" t="s">
        <v>62</v>
      </c>
      <c r="F105" s="35">
        <v>2012</v>
      </c>
      <c r="G105" s="1" t="str">
        <f>IF(OR('Qualifying Scores'!$B$1-F105&gt;21,'Qualifying Scores'!$B$1-F105&lt;11),"Not Age Eligible",IF('Qualifying Scores'!$B$1-F105&gt;16,"17-21",IF('Qualifying Scores'!$B$1-F105&gt;14,"15-16",IF('Qualifying Scores'!$B$1-F105&gt;12,"13-14",IF('Qualifying Scores'!$B$1-F105&gt;10,"11-12","Not Age Eligible")))))</f>
        <v>11-12</v>
      </c>
      <c r="H105" s="39" t="s">
        <v>66</v>
      </c>
      <c r="I105" s="43"/>
      <c r="J105" s="4">
        <f>R105+S105+IF(OR(H105="Junior",H105="Senior"),0.0002,IF(OR(H105="L7",H105="L6"),0.0001,0))+IF(G105="17-21",MAX(AA105,AC105,AF105),AE105)*0.0000001</f>
        <v>127.640008061</v>
      </c>
      <c r="K105" s="3" t="str">
        <f>IF(G105="Not Age Eligible","",IF(G105="17-21",IF(MAX(T105,V105,Y105,AA105,AC105,AF105)&gt;=LOOKUP(G105,'Qualifying Scores'!$A$4:$A$7,'Qualifying Scores'!$B$4:$B$7),"P",""),IF(MAX(X105-U105,AE105-AB105)&gt;=LOOKUP(G105,'Qualifying Scores'!$A$4:$A$7,'Qualifying Scores'!$B$4:$B$7),"P","")))</f>
        <v/>
      </c>
      <c r="L105" s="3" t="str">
        <f>IF(G105="Not Age Eligible","",IF(G105="17-21",IF(MAX(U105,W105,Z105,AB105,AD105,AG105)&gt;=LOOKUP(G105,'Qualifying Scores'!$A$10:$A$13,'Qualifying Scores'!$B$10:$B$13),"P",""),IF(MAX(W105,AD105)&gt;=LOOKUP(G105,'Qualifying Scores'!$A$10:$A$13,'Qualifying Scores'!$B$10:$B$13),"P","")))</f>
        <v>P</v>
      </c>
      <c r="M105" s="3" t="str">
        <f>IF(G105="Not Age Eligible","",IF(G105="17-21",IF(OR(AND(T105&gt;=LOOKUP(G105,'Qualifying Scores'!$A$4:$A$7,'Qualifying Scores'!$B$4:$B$7),U105&gt;=LOOKUP(G105,'Qualifying Scores'!$A$10:$A$13,'Qualifying Scores'!$B$10:$B$13)),AND(V105&gt;=LOOKUP(G105,'Qualifying Scores'!$A$4:$A$7,'Qualifying Scores'!$B$4:$B$7),W105&gt;=LOOKUP(G105,'Qualifying Scores'!$A$10:$A$13,'Qualifying Scores'!$B$10:$B$13)),AND(Y105&gt;=LOOKUP(G105,'Qualifying Scores'!$A$4:$A$7,'Qualifying Scores'!$B$4:$B$7),Z105&gt;=LOOKUP(G105,'Qualifying Scores'!$A$10:$A$13,'Qualifying Scores'!$B$10:$B$13)),AND(AA105&gt;=LOOKUP(G105,'Qualifying Scores'!$A$4:$A$7,'Qualifying Scores'!$B$4:$B$7),AB105&gt;=LOOKUP(G105,'Qualifying Scores'!$A$10:$A$13,'Qualifying Scores'!$B$10:$B$13)),AND(AC105&gt;=LOOKUP(G105,'Qualifying Scores'!$A$4:$A$7,'Qualifying Scores'!$B$4:$B$7),AD105&gt;=LOOKUP(G105,'Qualifying Scores'!$A$10:$A$13,'Qualifying Scores'!$B$10:$B$13)),AND(AF105&gt;=LOOKUP(G105,'Qualifying Scores'!$A$4:$A$7,'Qualifying Scores'!$B$4:$B$7),AG105&gt;=LOOKUP(G105,'Qualifying Scores'!$A$10:$A$13,'Qualifying Scores'!$B$10:$B$13))),"P",""),IF(OR(AND(X105-U105&gt;=LOOKUP(G105,'Qualifying Scores'!$A$4:$A$7,'Qualifying Scores'!$B$4:$B$7),W105&gt;=LOOKUP(G105,'Qualifying Scores'!$A$10:$A$13,'Qualifying Scores'!$B$10:$B$13)),AND(AE105-AB105&gt;=LOOKUP(G105,'Qualifying Scores'!$A$4:$A$7,'Qualifying Scores'!$B$4:$B$7),AD105&gt;=LOOKUP(G105,'Qualifying Scores'!$A$10:$A$13,'Qualifying Scores'!$B$10:$B$13))),"P","")))</f>
        <v/>
      </c>
      <c r="Q105" s="1" t="str">
        <f>IF(A105&lt;5,IF(_xlfn.MAXIFS(A:A,G:G,G105)&gt;3,5-A105,_xlfn.MAXIFS(A:A,G:G,G105)+1-A105),"")</f>
        <v/>
      </c>
      <c r="R105" s="4">
        <f>IF(G105="17-21",MAX(T105,V105,Y105,AA105,AC105,AF105),MAX(X105,AE105))</f>
        <v>80.61</v>
      </c>
      <c r="S105" s="4">
        <f>IF(G105="17-21",LARGE(CHOOSE({1,2,3,4,5,6},T105,V105,Y105,AA105,AC105,AF105),2),IF(R105=X105,MAX(Y105,AA105,AC105,AF105),IF(R105=AE105,MAX(AF105,T105,V105,Y105),0)))</f>
        <v>47.03</v>
      </c>
      <c r="T105" s="33"/>
      <c r="U105" s="40"/>
      <c r="V105" s="34"/>
      <c r="W105" s="40"/>
      <c r="X105" s="4">
        <f>IF(H105="Senior",MAX(T105,V105),T105+V105)</f>
        <v>0</v>
      </c>
      <c r="Y105" s="34"/>
      <c r="Z105" s="40"/>
      <c r="AA105" s="33">
        <v>37.96</v>
      </c>
      <c r="AB105" s="40">
        <v>0</v>
      </c>
      <c r="AC105" s="34">
        <v>42.65</v>
      </c>
      <c r="AD105" s="40">
        <v>9.1999999999999993</v>
      </c>
      <c r="AE105" s="4">
        <f>IF(H105="Senior",MAX(AA105,AC105),AA105+AC105)</f>
        <v>80.61</v>
      </c>
      <c r="AF105" s="34">
        <v>47.03</v>
      </c>
      <c r="AG105" s="37">
        <v>9.4</v>
      </c>
    </row>
    <row r="106" spans="1:33" x14ac:dyDescent="0.2">
      <c r="A106" s="1" t="str" cm="1">
        <f t="array" ref="A106">IF(I106="","",IF(P106&lt;&gt;"",SUMPRODUCT((P$3:P$107&lt;&gt;"")*(G$3:G$107=G106)*(J$3:J$107&gt;J106)*(I$3:I$107="P"))+1,IF(O106&lt;&gt;"",SUMPRODUCT((O$3:O$107&lt;&gt;"")*(P$3:P$107="")*(G$3:G$107=G106)*(J$3:J$107&gt;J106)*(I$3:I$107="P"))+SUMPRODUCT((P$3:P$107&lt;&gt;"")*(G$3:G$107=G106)*(I$3:I$107="P"))+1,IF(N106&lt;&gt;"",SUMPRODUCT((N$3:N$107&lt;&gt;"")*(G$3:G$107=G106)*(J$3:J$107&gt;J106)*(I$3:I$107="P"))+1,IF(M106="P",SUMPRODUCT((O$3:O$107&lt;&gt;"")*(P$3:P$107="")*(G$3:G$107=G106)*(I$3:I$107="P"))+SUMPRODUCT((P$3:P$107&lt;&gt;"")*(G$3:G$107=G106)*(I$3:I$107="P"))+SUMPRODUCT((N$3:N$107&lt;&gt;"")*(G$3:G$107=G106)*(I$3:I$107="P"))+SUMPRODUCT((P$3:P$107="")*(O$3:O$107="")*(N$3:N$107="")*(M$3:M$107="P")*(G$3:G$107=G106)*(J$3:J$107&gt;J106)*(I$3:I$107="P"))+IF(H106="L5",SUMPRODUCT((P$3:P$107="")*(O$3:O$107="")*(N$3:N$107="")*(M$3:M$107="P")*(G$3:G$107=G106)*(J$3:J$107&lt;J106)*(H$3:H$107&lt;&gt;H106)*(I$3:I$107="P")),-1*SUMPRODUCT((P$3:P$107="")*(O$3:O$107="")*(N$3:N$107="")*(M$3:M$107="P")*(G$3:G$107=G106)*(J$3:J$107&gt;J106)*(H$3:H$107="L5")*(I$3:I$107="P")))+1,"")))))</f>
        <v/>
      </c>
      <c r="B106" s="1" t="str" cm="1">
        <f t="array" ref="B106">IF(P106&lt;&gt;"",SUMPRODUCT((P$3:P$107&lt;&gt;"")*(G$3:G$107=G106)*(J$3:J$107&gt;J106))+1,IF(O106&lt;&gt;"",SUMPRODUCT((O$3:O$107&lt;&gt;"")*(P$3:P$107="")*(G$3:G$107=G106)*(J$3:J$107&gt;J106))+SUMPRODUCT((P$3:P$107&lt;&gt;"")*(G$3:G$107=G106))+1,IF(N106&lt;&gt;"",SUMPRODUCT((N$3:N$107&lt;&gt;"")*(G$3:G$107=G106)*(J$3:J$107&gt;J106))+1,IF(M106="P",SUMPRODUCT((O$3:O$107&lt;&gt;"")*(P$3:P$107="")*(G$3:G$107=G106))+SUMPRODUCT((P$3:P$107&lt;&gt;"")*(G$3:G$107=G106))+SUMPRODUCT((N$3:N$107&lt;&gt;"")*(G$3:G$107=G106))+SUMPRODUCT((P$3:P$107="")*(O$3:O$107="")*(N$3:N$107="")*(M$3:M$107="P")*(G$3:G$107=G106)*(J$3:J$107&gt;J106))+IF(H106="L5",SUMPRODUCT((P$3:P$107="")*(O$3:O$107="")*(N$3:N$107="")*(M$3:M$107="P")*(G$3:G$107=G106)*(J$3:J$107&lt;J106)*(H$3:H$107&lt;&gt;H106)),-1*SUMPRODUCT((P$3:P$107="")*(O$3:O$107="")*(N$3:N$107="")*(M$3:M$107="P")*(G$3:G$107=G106)*(J$3:J$107&gt;J106)*(H$3:H$107="L5")))+1,""))))</f>
        <v/>
      </c>
      <c r="C106" s="36" t="s">
        <v>515</v>
      </c>
      <c r="D106" s="36" t="str">
        <f>IF(E106="","",VLOOKUP(E106,'Coaching Points'!A:B,2,0))</f>
        <v>BC</v>
      </c>
      <c r="E106" s="36" t="s">
        <v>41</v>
      </c>
      <c r="F106" s="35">
        <v>2012</v>
      </c>
      <c r="G106" s="1" t="str">
        <f>IF(OR('Qualifying Scores'!$B$1-F106&gt;21,'Qualifying Scores'!$B$1-F106&lt;11),"Not Age Eligible",IF('Qualifying Scores'!$B$1-F106&gt;16,"17-21",IF('Qualifying Scores'!$B$1-F106&gt;14,"15-16",IF('Qualifying Scores'!$B$1-F106&gt;12,"13-14",IF('Qualifying Scores'!$B$1-F106&gt;10,"11-12","Not Age Eligible")))))</f>
        <v>11-12</v>
      </c>
      <c r="H106" s="39" t="s">
        <v>66</v>
      </c>
      <c r="I106" s="43"/>
      <c r="J106" s="4">
        <f>R106+S106+IF(OR(H106="Junior",H106="Senior"),0.0002,IF(OR(H106="L7",H106="L6"),0.0001,0))+IF(G106="17-21",MAX(AA106,AC106,AF106),AE106)*0.0000001</f>
        <v>127.02000822000001</v>
      </c>
      <c r="K106" s="3" t="str">
        <f>IF(G106="Not Age Eligible","",IF(G106="17-21",IF(MAX(T106,V106,Y106,AA106,AC106,AF106)&gt;=LOOKUP(G106,'Qualifying Scores'!$A$4:$A$7,'Qualifying Scores'!$B$4:$B$7),"P",""),IF(MAX(X106-U106,AE106-AB106)&gt;=LOOKUP(G106,'Qualifying Scores'!$A$4:$A$7,'Qualifying Scores'!$B$4:$B$7),"P","")))</f>
        <v/>
      </c>
      <c r="L106" s="3" t="str">
        <f>IF(G106="Not Age Eligible","",IF(G106="17-21",IF(MAX(U106,W106,Z106,AB106,AD106,AG106)&gt;=LOOKUP(G106,'Qualifying Scores'!$A$10:$A$13,'Qualifying Scores'!$B$10:$B$13),"P",""),IF(MAX(W106,AD106)&gt;=LOOKUP(G106,'Qualifying Scores'!$A$10:$A$13,'Qualifying Scores'!$B$10:$B$13),"P","")))</f>
        <v/>
      </c>
      <c r="M106" s="3" t="str">
        <f>IF(G106="Not Age Eligible","",IF(G106="17-21",IF(OR(AND(T106&gt;=LOOKUP(G106,'Qualifying Scores'!$A$4:$A$7,'Qualifying Scores'!$B$4:$B$7),U106&gt;=LOOKUP(G106,'Qualifying Scores'!$A$10:$A$13,'Qualifying Scores'!$B$10:$B$13)),AND(V106&gt;=LOOKUP(G106,'Qualifying Scores'!$A$4:$A$7,'Qualifying Scores'!$B$4:$B$7),W106&gt;=LOOKUP(G106,'Qualifying Scores'!$A$10:$A$13,'Qualifying Scores'!$B$10:$B$13)),AND(Y106&gt;=LOOKUP(G106,'Qualifying Scores'!$A$4:$A$7,'Qualifying Scores'!$B$4:$B$7),Z106&gt;=LOOKUP(G106,'Qualifying Scores'!$A$10:$A$13,'Qualifying Scores'!$B$10:$B$13)),AND(AA106&gt;=LOOKUP(G106,'Qualifying Scores'!$A$4:$A$7,'Qualifying Scores'!$B$4:$B$7),AB106&gt;=LOOKUP(G106,'Qualifying Scores'!$A$10:$A$13,'Qualifying Scores'!$B$10:$B$13)),AND(AC106&gt;=LOOKUP(G106,'Qualifying Scores'!$A$4:$A$7,'Qualifying Scores'!$B$4:$B$7),AD106&gt;=LOOKUP(G106,'Qualifying Scores'!$A$10:$A$13,'Qualifying Scores'!$B$10:$B$13)),AND(AF106&gt;=LOOKUP(G106,'Qualifying Scores'!$A$4:$A$7,'Qualifying Scores'!$B$4:$B$7),AG106&gt;=LOOKUP(G106,'Qualifying Scores'!$A$10:$A$13,'Qualifying Scores'!$B$10:$B$13))),"P",""),IF(OR(AND(X106-U106&gt;=LOOKUP(G106,'Qualifying Scores'!$A$4:$A$7,'Qualifying Scores'!$B$4:$B$7),W106&gt;=LOOKUP(G106,'Qualifying Scores'!$A$10:$A$13,'Qualifying Scores'!$B$10:$B$13)),AND(AE106-AB106&gt;=LOOKUP(G106,'Qualifying Scores'!$A$4:$A$7,'Qualifying Scores'!$B$4:$B$7),AD106&gt;=LOOKUP(G106,'Qualifying Scores'!$A$10:$A$13,'Qualifying Scores'!$B$10:$B$13))),"P","")))</f>
        <v/>
      </c>
      <c r="Q106" s="1" t="str">
        <f>IF(A106&lt;5,IF(_xlfn.MAXIFS(A:A,G:G,G106)&gt;3,5-A106,_xlfn.MAXIFS(A:A,G:G,G106)+1-A106),"")</f>
        <v/>
      </c>
      <c r="R106" s="4">
        <f>IF(G106="17-21",MAX(T106,V106,Y106,AA106,AC106,AF106),MAX(X106,AE106))</f>
        <v>82.2</v>
      </c>
      <c r="S106" s="4">
        <f>IF(G106="17-21",LARGE(CHOOSE({1,2,3,4,5,6},T106,V106,Y106,AA106,AC106,AF106),2),IF(R106=X106,MAX(Y106,AA106,AC106,AF106),IF(R106=AE106,MAX(AF106,T106,V106,Y106),0)))</f>
        <v>44.82</v>
      </c>
      <c r="T106" s="33"/>
      <c r="U106" s="40"/>
      <c r="V106" s="34"/>
      <c r="W106" s="40"/>
      <c r="X106" s="4">
        <f>IF(H106="Senior",MAX(T106,V106),T106+V106)</f>
        <v>0</v>
      </c>
      <c r="Y106" s="34"/>
      <c r="Z106" s="40"/>
      <c r="AA106" s="33">
        <v>38.64</v>
      </c>
      <c r="AB106" s="40">
        <v>0</v>
      </c>
      <c r="AC106" s="34">
        <v>43.56</v>
      </c>
      <c r="AD106" s="40">
        <v>8.4</v>
      </c>
      <c r="AE106" s="4">
        <f>IF(H106="Senior",MAX(AA106,AC106),AA106+AC106)</f>
        <v>82.2</v>
      </c>
      <c r="AF106" s="34">
        <v>44.82</v>
      </c>
      <c r="AG106" s="37">
        <v>8.4</v>
      </c>
    </row>
    <row r="107" spans="1:33" x14ac:dyDescent="0.2">
      <c r="A107" s="1"/>
      <c r="B107" s="1"/>
      <c r="G107" s="1"/>
      <c r="H107" s="39"/>
      <c r="I107" s="43"/>
      <c r="J107" s="4"/>
      <c r="K107" s="3"/>
      <c r="L107" s="3"/>
      <c r="R107" s="4"/>
      <c r="S107" s="4"/>
      <c r="T107" s="33"/>
      <c r="U107" s="40"/>
      <c r="V107" s="34"/>
      <c r="W107" s="40"/>
      <c r="X107" s="4"/>
      <c r="Y107" s="34"/>
      <c r="Z107" s="40"/>
      <c r="AA107" s="33"/>
      <c r="AB107" s="40"/>
      <c r="AC107" s="34"/>
      <c r="AD107" s="40"/>
      <c r="AE107" s="4"/>
      <c r="AF107" s="34"/>
      <c r="AG107" s="37"/>
    </row>
  </sheetData>
  <sheetProtection sheet="1" formatCells="0" formatColumns="0" formatRows="0"/>
  <autoFilter ref="A1:AG2" xr:uid="{00000000-0001-0000-0200-000000000000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3:AG106">
      <sortCondition descending="1" ref="G1:G107"/>
    </sortState>
  </autoFilter>
  <mergeCells count="21">
    <mergeCell ref="A1:A2"/>
    <mergeCell ref="R1:R2"/>
    <mergeCell ref="S1:S2"/>
    <mergeCell ref="T1:Z1"/>
    <mergeCell ref="AA1:AG1"/>
    <mergeCell ref="M1:M2"/>
    <mergeCell ref="Q1:Q2"/>
    <mergeCell ref="J1:J2"/>
    <mergeCell ref="K1:K2"/>
    <mergeCell ref="L1:L2"/>
    <mergeCell ref="N1:N2"/>
    <mergeCell ref="P1:P2"/>
    <mergeCell ref="O1:O2"/>
    <mergeCell ref="I1:I2"/>
    <mergeCell ref="G1:G2"/>
    <mergeCell ref="B1:B2"/>
    <mergeCell ref="C1:C2"/>
    <mergeCell ref="D1:D2"/>
    <mergeCell ref="E1:E2"/>
    <mergeCell ref="F1:F2"/>
    <mergeCell ref="H1:H2"/>
  </mergeCells>
  <phoneticPr fontId="13" type="noConversion"/>
  <conditionalFormatting sqref="A1:XFD1 A2:Q2 S2:XFD2 A3:XFD1048576">
    <cfRule type="expression" dxfId="59" priority="5">
      <formula>IF($G1="17-21",1,0)</formula>
    </cfRule>
    <cfRule type="expression" dxfId="58" priority="6">
      <formula>IF($G1="15-16",1,0)</formula>
    </cfRule>
    <cfRule type="expression" dxfId="57" priority="7">
      <formula>IF($G1="13-14",1,0)</formula>
    </cfRule>
    <cfRule type="expression" dxfId="56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8B074-0068-A147-B548-D6917EC17A86}">
  <sheetPr codeName="Sheet11"/>
  <dimension ref="A1:AG187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6.6640625" style="36" bestFit="1" customWidth="1"/>
    <col min="4" max="4" width="8.6640625" style="36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8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3.6640625" style="36" bestFit="1" customWidth="1"/>
    <col min="22" max="22" width="11" style="36" bestFit="1" customWidth="1"/>
    <col min="23" max="23" width="14.1640625" style="36" bestFit="1" customWidth="1"/>
    <col min="24" max="24" width="7.5" bestFit="1" customWidth="1"/>
    <col min="25" max="25" width="6.6640625" style="36" bestFit="1" customWidth="1"/>
    <col min="26" max="26" width="11" style="36" bestFit="1" customWidth="1"/>
    <col min="27" max="27" width="10.83203125" style="35" bestFit="1" customWidth="1"/>
    <col min="28" max="28" width="13.6640625" style="36" bestFit="1" customWidth="1"/>
    <col min="29" max="29" width="11" style="36" bestFit="1" customWidth="1"/>
    <col min="30" max="30" width="14.1640625" style="36" bestFit="1" customWidth="1"/>
    <col min="31" max="31" width="7.6640625" bestFit="1" customWidth="1"/>
    <col min="32" max="32" width="6.6640625" style="36" bestFit="1" customWidth="1"/>
    <col min="33" max="33" width="9" style="38" bestFit="1" customWidth="1"/>
  </cols>
  <sheetData>
    <row r="1" spans="1:33" s="6" customFormat="1" ht="16" customHeight="1" x14ac:dyDescent="0.2">
      <c r="A1" s="73" t="s">
        <v>208</v>
      </c>
      <c r="B1" s="73" t="s">
        <v>207</v>
      </c>
      <c r="C1" s="67" t="s">
        <v>0</v>
      </c>
      <c r="D1" s="67" t="s">
        <v>1</v>
      </c>
      <c r="E1" s="69" t="s">
        <v>2</v>
      </c>
      <c r="F1" s="71" t="s">
        <v>4</v>
      </c>
      <c r="G1" s="67" t="s">
        <v>5</v>
      </c>
      <c r="H1" s="67" t="s">
        <v>56</v>
      </c>
      <c r="I1" s="67" t="s">
        <v>42</v>
      </c>
      <c r="J1" s="76" t="s">
        <v>13</v>
      </c>
      <c r="K1" s="67" t="s">
        <v>9</v>
      </c>
      <c r="L1" s="67" t="s">
        <v>10</v>
      </c>
      <c r="M1" s="67" t="s">
        <v>33</v>
      </c>
      <c r="N1" s="67" t="s">
        <v>12</v>
      </c>
      <c r="O1" s="67" t="s">
        <v>49</v>
      </c>
      <c r="P1" s="67" t="s">
        <v>11</v>
      </c>
      <c r="Q1" s="67" t="s">
        <v>206</v>
      </c>
      <c r="R1" s="73" t="s">
        <v>368</v>
      </c>
      <c r="S1" s="67" t="s">
        <v>367</v>
      </c>
      <c r="T1" s="75" t="s">
        <v>44</v>
      </c>
      <c r="U1" s="75"/>
      <c r="V1" s="75"/>
      <c r="W1" s="75"/>
      <c r="X1" s="75"/>
      <c r="Y1" s="75"/>
      <c r="Z1" s="75"/>
      <c r="AA1" s="75" t="s">
        <v>43</v>
      </c>
      <c r="AB1" s="75"/>
      <c r="AC1" s="75"/>
      <c r="AD1" s="75"/>
      <c r="AE1" s="75"/>
      <c r="AF1" s="75"/>
      <c r="AG1" s="75"/>
    </row>
    <row r="2" spans="1:33" s="7" customFormat="1" ht="17" thickBot="1" x14ac:dyDescent="0.25">
      <c r="A2" s="74"/>
      <c r="B2" s="74"/>
      <c r="C2" s="68"/>
      <c r="D2" s="68"/>
      <c r="E2" s="70"/>
      <c r="F2" s="72"/>
      <c r="G2" s="68"/>
      <c r="H2" s="68"/>
      <c r="I2" s="68"/>
      <c r="J2" s="77"/>
      <c r="K2" s="68"/>
      <c r="L2" s="68"/>
      <c r="M2" s="68"/>
      <c r="N2" s="68"/>
      <c r="O2" s="68"/>
      <c r="P2" s="68"/>
      <c r="Q2" s="68"/>
      <c r="R2" s="74"/>
      <c r="S2" s="68"/>
      <c r="T2" s="8" t="s">
        <v>50</v>
      </c>
      <c r="U2" s="7" t="s">
        <v>51</v>
      </c>
      <c r="V2" s="7" t="s">
        <v>52</v>
      </c>
      <c r="W2" s="7" t="s">
        <v>53</v>
      </c>
      <c r="X2" s="7" t="s">
        <v>16</v>
      </c>
      <c r="Y2" s="7" t="s">
        <v>6</v>
      </c>
      <c r="Z2" s="7" t="s">
        <v>8</v>
      </c>
      <c r="AA2" s="8" t="s">
        <v>50</v>
      </c>
      <c r="AB2" s="7" t="s">
        <v>51</v>
      </c>
      <c r="AC2" s="7" t="s">
        <v>52</v>
      </c>
      <c r="AD2" s="7" t="s">
        <v>53</v>
      </c>
      <c r="AE2" s="7" t="s">
        <v>16</v>
      </c>
      <c r="AF2" s="7" t="s">
        <v>6</v>
      </c>
      <c r="AG2" s="9" t="s">
        <v>8</v>
      </c>
    </row>
    <row r="3" spans="1:33" ht="17" thickTop="1" x14ac:dyDescent="0.2">
      <c r="A3" s="1" cm="1">
        <f t="array" ref="A3">IF(I3="","",IF(P3&lt;&gt;"",SUMPRODUCT((P$3:P$133&lt;&gt;"")*(G$3:G$133=G3)*(J$3:J$133&gt;J3)*(I$3:I$133="P"))+1,IF(O3&lt;&gt;"",SUMPRODUCT((O$3:O$133&lt;&gt;"")*(P$3:P$133="")*(G$3:G$133=G3)*(J$3:J$133&gt;J3)*(I$3:I$133="P"))+SUMPRODUCT((P$3:P$133&lt;&gt;"")*(G$3:G$133=G3)*(I$3:I$133="P"))+1,IF(N3&lt;&gt;"",SUMPRODUCT((N$3:N$133&lt;&gt;"")*(G$3:G$133=G3)*(J$3:J$133&gt;J3)*(I$3:I$133="P"))+1,IF(M3="P",SUMPRODUCT((O$3:O$133&lt;&gt;"")*(P$3:P$133="")*(G$3:G$133=G3)*(I$3:I$133="P"))+SUMPRODUCT((P$3:P$133&lt;&gt;"")*(G$3:G$133=G3)*(I$3:I$133="P"))+SUMPRODUCT((N$3:N$133&lt;&gt;"")*(G$3:G$133=G3)*(I$3:I$133="P"))+SUMPRODUCT((P$3:P$133="")*(O$3:O$133="")*(N$3:N$133="")*(M$3:M$133="P")*(G$3:G$133=G3)*(J$3:J$133&gt;J3)*(I$3:I$133="P"))+IF(H3="L5",SUMPRODUCT((P$3:P$133="")*(O$3:O$133="")*(N$3:N$133="")*(M$3:M$133="P")*(G$3:G$133=G3)*(J$3:J$133&lt;J3)*(H$3:H$133&lt;&gt;H3)*(I$3:I$133="P")),-1*SUMPRODUCT((P$3:P$133="")*(O$3:O$133="")*(N$3:N$133="")*(M$3:M$133="P")*(G$3:G$133=G3)*(J$3:J$133&gt;J3)*(H$3:H$133="L5")*(I$3:I$133="P")))+1,"")))))</f>
        <v>1</v>
      </c>
      <c r="B3" s="1" cm="1">
        <f t="array" ref="B3">IF(P3&lt;&gt;"",SUMPRODUCT((P$3:P$133&lt;&gt;"")*(G$3:G$133=G3)*(J$3:J$133&gt;J3))+1,IF(O3&lt;&gt;"",SUMPRODUCT((O$3:O$133&lt;&gt;"")*(P$3:P$133="")*(G$3:G$133=G3)*(J$3:J$133&gt;J3))+SUMPRODUCT((P$3:P$133&lt;&gt;"")*(G$3:G$133=G3))+1,IF(N3&lt;&gt;"",SUMPRODUCT((N$3:N$133&lt;&gt;"")*(G$3:G$133=G3)*(J$3:J$133&gt;J3))+1,IF(M3="P",SUMPRODUCT((O$3:O$133&lt;&gt;"")*(P$3:P$133="")*(G$3:G$133=G3))+SUMPRODUCT((P$3:P$133&lt;&gt;"")*(G$3:G$133=G3))+SUMPRODUCT((N$3:N$133&lt;&gt;"")*(G$3:G$133=G3))+SUMPRODUCT((P$3:P$133="")*(O$3:O$133="")*(N$3:N$133="")*(M$3:M$133="P")*(G$3:G$133=G3)*(J$3:J$133&gt;J3))+IF(H3="L5",SUMPRODUCT((P$3:P$133="")*(O$3:O$133="")*(N$3:N$133="")*(M$3:M$133="P")*(G$3:G$133=G3)*(J$3:J$133&lt;J3)*(H$3:H$133&lt;&gt;H3)),-1*SUMPRODUCT((P$3:P$133="")*(O$3:O$133="")*(N$3:N$133="")*(M$3:M$133="P")*(G$3:G$133=G3)*(J$3:J$133&gt;J3)*(H$3:H$133="L5")))+1,""))))</f>
        <v>1</v>
      </c>
      <c r="C3" s="36" t="s">
        <v>154</v>
      </c>
      <c r="D3" s="36" t="str">
        <f>IF(E3="","",VLOOKUP(E3,'Coaching Points'!A:B,2,0))</f>
        <v>ON</v>
      </c>
      <c r="E3" s="36" t="s">
        <v>113</v>
      </c>
      <c r="F3" s="35">
        <v>2004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 t="s">
        <v>567</v>
      </c>
      <c r="J3" s="4">
        <f>R3+S3+IF(OR(H3="Junior",H3="Senior"),0.0002,IF(OR(H3="L7",H3="L6"),0.0001,0))+IF(G3="17-21",MAX(AA3,AC3,AF3),AE3)*0.0000001</f>
        <v>104.03020524</v>
      </c>
      <c r="K3" s="3" t="str">
        <f>IF(G3="Not Age Eligible","",IF(G3="17-21",IF(MAX(T3,V3,Y3,AA3,AC3,AF3)&gt;=LOOKUP(G3,'Qualifying Scores'!$A$4:$A$7,'Qualifying Scores'!$C$4:$C$7),"P",""),IF(MAX(X3-U3,AE3-AB3)&gt;=LOOKUP(G3,'Qualifying Scores'!$A$4:$A$7,'Qualifying Scores'!$C$4:$C$7),"P","")))</f>
        <v>P</v>
      </c>
      <c r="L3" s="3" t="str">
        <f>IF(G3="Not Age Eligible","",IF(G3="17-21",IF(MAX(U3,W3,Z3,AB3,AD3,AG3)&gt;=LOOKUP(G3,'Qualifying Scores'!$A$10:$A$13,'Qualifying Scores'!$C$10:$C$13),"P",""),IF(MAX(W3,AD3)&gt;=LOOKUP(G3,'Qualifying Scores'!$A$10:$A$13,'Qualifying Scores'!$C$10:$C$13),"P","")))</f>
        <v>P</v>
      </c>
      <c r="M3" s="3" t="str">
        <f>IF(G3="Not Age Eligible","",IF(G3="17-21",IF(OR(AND(T3&gt;=LOOKUP(G3,'Qualifying Scores'!$A$4:$A$7,'Qualifying Scores'!$C$4:$C$7),U3&gt;=LOOKUP(G3,'Qualifying Scores'!$A$10:$A$13,'Qualifying Scores'!$C$10:$C$13)),AND(V3&gt;=LOOKUP(G3,'Qualifying Scores'!$A$4:$A$7,'Qualifying Scores'!$C$4:$C$7),W3&gt;=LOOKUP(G3,'Qualifying Scores'!$A$10:$A$13,'Qualifying Scores'!$C$10:$C$13)),AND(Y3&gt;=LOOKUP(G3,'Qualifying Scores'!$A$4:$A$7,'Qualifying Scores'!$C$4:$C$7),Z3&gt;=LOOKUP(G3,'Qualifying Scores'!$A$10:$A$13,'Qualifying Scores'!$C$10:$C$13)),AND(AA3&gt;=LOOKUP(G3,'Qualifying Scores'!$A$4:$A$7,'Qualifying Scores'!$C$4:$C$7),AB3&gt;=LOOKUP(G3,'Qualifying Scores'!$A$10:$A$13,'Qualifying Scores'!$C$10:$C$13)),AND(AC3&gt;=LOOKUP(G3,'Qualifying Scores'!$A$4:$A$7,'Qualifying Scores'!$C$4:$C$7),AD3&gt;=LOOKUP(G3,'Qualifying Scores'!$A$10:$A$13,'Qualifying Scores'!$C$10:$C$13)),AND(AF3&gt;=LOOKUP(G3,'Qualifying Scores'!$A$4:$A$7,'Qualifying Scores'!$C$4:$C$7),AG3&gt;=LOOKUP(G3,'Qualifying Scores'!$A$10:$A$13,'Qualifying Scores'!$C$10:$C$13))),"P",""),IF(OR(AND(X3-U3&gt;=LOOKUP(G3,'Qualifying Scores'!$A$4:$A$7,'Qualifying Scores'!$C$4:$C$7),W3&gt;=LOOKUP(G3,'Qualifying Scores'!$A$10:$A$13,'Qualifying Scores'!$C$10:$C$13)),AND(AE3-AB3&gt;=LOOKUP(G3,'Qualifying Scores'!$A$4:$A$7,'Qualifying Scores'!$C$4:$C$7),AD3&gt;=LOOKUP(G3,'Qualifying Scores'!$A$10:$A$13,'Qualifying Scores'!$C$10:$C$13))),"P","")))</f>
        <v>P</v>
      </c>
      <c r="O3" s="39">
        <v>1</v>
      </c>
      <c r="P3" s="39">
        <v>6</v>
      </c>
      <c r="Q3" s="1">
        <f>IF(A3&lt;5,IF(_xlfn.MAXIFS(A:A,G:G,G3)&gt;3,5-A3,_xlfn.MAXIFS(A:A,G:G,G3)+1-A3),"")</f>
        <v>4</v>
      </c>
      <c r="R3" s="4">
        <f>IF(G3="17-21",MAX(T3,V3,Y3,AA3,AC3,AF3),MAX(X3,AE3))</f>
        <v>52.4</v>
      </c>
      <c r="S3" s="4">
        <f>IF(G3="17-21",LARGE(CHOOSE({1,2,3,4,5,6},T3,V3,Y3,AA3,AC3,AF3),2),IF(R3=X3,MAX(Y3,AA3,AC3,AF3),IF(R3=AE3,MAX(AF3,T3,V3,Y3),0)))</f>
        <v>51.63</v>
      </c>
      <c r="T3" s="33">
        <v>46.05</v>
      </c>
      <c r="U3" s="40">
        <v>11.5</v>
      </c>
      <c r="V3" s="34">
        <v>51.15</v>
      </c>
      <c r="W3" s="40">
        <v>12.7</v>
      </c>
      <c r="X3" s="4">
        <f>IF(H3="Senior",MAX(T3,V3),T3+V3)</f>
        <v>51.15</v>
      </c>
      <c r="Y3" s="34">
        <v>51.63</v>
      </c>
      <c r="Z3" s="40">
        <v>12.7</v>
      </c>
      <c r="AA3" s="33">
        <v>50.84</v>
      </c>
      <c r="AB3" s="40">
        <v>13.4</v>
      </c>
      <c r="AC3" s="34">
        <v>5.73</v>
      </c>
      <c r="AD3" s="40">
        <v>2</v>
      </c>
      <c r="AE3" s="4">
        <f>IF(H3="Senior",MAX(AA3,AC3),AA3+AC3)</f>
        <v>50.84</v>
      </c>
      <c r="AF3" s="34">
        <v>52.4</v>
      </c>
      <c r="AG3" s="37">
        <v>13.6</v>
      </c>
    </row>
    <row r="4" spans="1:33" x14ac:dyDescent="0.2">
      <c r="A4" s="1" cm="1">
        <f t="array" ref="A4">IF(I4="","",IF(P4&lt;&gt;"",SUMPRODUCT((P$3:P$133&lt;&gt;"")*(G$3:G$133=G4)*(J$3:J$133&gt;J4)*(I$3:I$133="P"))+1,IF(O4&lt;&gt;"",SUMPRODUCT((O$3:O$133&lt;&gt;"")*(P$3:P$133="")*(G$3:G$133=G4)*(J$3:J$133&gt;J4)*(I$3:I$133="P"))+SUMPRODUCT((P$3:P$133&lt;&gt;"")*(G$3:G$133=G4)*(I$3:I$133="P"))+1,IF(N4&lt;&gt;"",SUMPRODUCT((N$3:N$133&lt;&gt;"")*(G$3:G$133=G4)*(J$3:J$133&gt;J4)*(I$3:I$133="P"))+1,IF(M4="P",SUMPRODUCT((O$3:O$133&lt;&gt;"")*(P$3:P$133="")*(G$3:G$133=G4)*(I$3:I$133="P"))+SUMPRODUCT((P$3:P$133&lt;&gt;"")*(G$3:G$133=G4)*(I$3:I$133="P"))+SUMPRODUCT((N$3:N$133&lt;&gt;"")*(G$3:G$133=G4)*(I$3:I$133="P"))+SUMPRODUCT((P$3:P$133="")*(O$3:O$133="")*(N$3:N$133="")*(M$3:M$133="P")*(G$3:G$133=G4)*(J$3:J$133&gt;J4)*(I$3:I$133="P"))+IF(H4="L5",SUMPRODUCT((P$3:P$133="")*(O$3:O$133="")*(N$3:N$133="")*(M$3:M$133="P")*(G$3:G$133=G4)*(J$3:J$133&lt;J4)*(H$3:H$133&lt;&gt;H4)*(I$3:I$133="P")),-1*SUMPRODUCT((P$3:P$133="")*(O$3:O$133="")*(N$3:N$133="")*(M$3:M$133="P")*(G$3:G$133=G4)*(J$3:J$133&gt;J4)*(H$3:H$133="L5")*(I$3:I$133="P")))+1,"")))))</f>
        <v>2</v>
      </c>
      <c r="B4" s="1" cm="1">
        <f t="array" ref="B4">IF(P4&lt;&gt;"",SUMPRODUCT((P$3:P$133&lt;&gt;"")*(G$3:G$133=G4)*(J$3:J$133&gt;J4))+1,IF(O4&lt;&gt;"",SUMPRODUCT((O$3:O$133&lt;&gt;"")*(P$3:P$133="")*(G$3:G$133=G4)*(J$3:J$133&gt;J4))+SUMPRODUCT((P$3:P$133&lt;&gt;"")*(G$3:G$133=G4))+1,IF(N4&lt;&gt;"",SUMPRODUCT((N$3:N$133&lt;&gt;"")*(G$3:G$133=G4)*(J$3:J$133&gt;J4))+1,IF(M4="P",SUMPRODUCT((O$3:O$133&lt;&gt;"")*(P$3:P$133="")*(G$3:G$133=G4))+SUMPRODUCT((P$3:P$133&lt;&gt;"")*(G$3:G$133=G4))+SUMPRODUCT((N$3:N$133&lt;&gt;"")*(G$3:G$133=G4))+SUMPRODUCT((P$3:P$133="")*(O$3:O$133="")*(N$3:N$133="")*(M$3:M$133="P")*(G$3:G$133=G4)*(J$3:J$133&gt;J4))+IF(H4="L5",SUMPRODUCT((P$3:P$133="")*(O$3:O$133="")*(N$3:N$133="")*(M$3:M$133="P")*(G$3:G$133=G4)*(J$3:J$133&lt;J4)*(H$3:H$133&lt;&gt;H4)),-1*SUMPRODUCT((P$3:P$133="")*(O$3:O$133="")*(N$3:N$133="")*(M$3:M$133="P")*(G$3:G$133=G4)*(J$3:J$133&gt;J4)*(H$3:H$133="L5")))+1,""))))</f>
        <v>3</v>
      </c>
      <c r="C4" s="36" t="s">
        <v>116</v>
      </c>
      <c r="D4" s="36" t="str">
        <f>IF(E4="","",VLOOKUP(E4,'Coaching Points'!A:B,2,0))</f>
        <v>QC</v>
      </c>
      <c r="E4" s="36" t="s">
        <v>285</v>
      </c>
      <c r="F4" s="35">
        <v>2006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 t="s">
        <v>567</v>
      </c>
      <c r="J4" s="4">
        <f>R4+S4+IF(OR(H4="Junior",H4="Senior"),0.0002,IF(OR(H4="L7",H4="L6"),0.0001,0))+IF(G4="17-21",MAX(AA4,AC4,AF4),AE4)*0.0000001</f>
        <v>101.92020158400001</v>
      </c>
      <c r="K4" s="3" t="str">
        <f>IF(G4="Not Age Eligible","",IF(G4="17-21",IF(MAX(T4,V4,Y4,AA4,AC4,AF4)&gt;=LOOKUP(G4,'Qualifying Scores'!$A$4:$A$7,'Qualifying Scores'!$C$4:$C$7),"P",""),IF(MAX(X4-U4,AE4-AB4)&gt;=LOOKUP(G4,'Qualifying Scores'!$A$4:$A$7,'Qualifying Scores'!$C$4:$C$7),"P","")))</f>
        <v>P</v>
      </c>
      <c r="L4" s="3" t="str">
        <f>IF(G4="Not Age Eligible","",IF(G4="17-21",IF(MAX(U4,W4,Z4,AB4,AD4,AG4)&gt;=LOOKUP(G4,'Qualifying Scores'!$A$10:$A$13,'Qualifying Scores'!$C$10:$C$13),"P",""),IF(MAX(W4,AD4)&gt;=LOOKUP(G4,'Qualifying Scores'!$A$10:$A$13,'Qualifying Scores'!$C$10:$C$13),"P","")))</f>
        <v>P</v>
      </c>
      <c r="M4" s="3" t="str">
        <f>IF(G4="Not Age Eligible","",IF(G4="17-21",IF(OR(AND(T4&gt;=LOOKUP(G4,'Qualifying Scores'!$A$4:$A$7,'Qualifying Scores'!$C$4:$C$7),U4&gt;=LOOKUP(G4,'Qualifying Scores'!$A$10:$A$13,'Qualifying Scores'!$C$10:$C$13)),AND(V4&gt;=LOOKUP(G4,'Qualifying Scores'!$A$4:$A$7,'Qualifying Scores'!$C$4:$C$7),W4&gt;=LOOKUP(G4,'Qualifying Scores'!$A$10:$A$13,'Qualifying Scores'!$C$10:$C$13)),AND(Y4&gt;=LOOKUP(G4,'Qualifying Scores'!$A$4:$A$7,'Qualifying Scores'!$C$4:$C$7),Z4&gt;=LOOKUP(G4,'Qualifying Scores'!$A$10:$A$13,'Qualifying Scores'!$C$10:$C$13)),AND(AA4&gt;=LOOKUP(G4,'Qualifying Scores'!$A$4:$A$7,'Qualifying Scores'!$C$4:$C$7),AB4&gt;=LOOKUP(G4,'Qualifying Scores'!$A$10:$A$13,'Qualifying Scores'!$C$10:$C$13)),AND(AC4&gt;=LOOKUP(G4,'Qualifying Scores'!$A$4:$A$7,'Qualifying Scores'!$C$4:$C$7),AD4&gt;=LOOKUP(G4,'Qualifying Scores'!$A$10:$A$13,'Qualifying Scores'!$C$10:$C$13)),AND(AF4&gt;=LOOKUP(G4,'Qualifying Scores'!$A$4:$A$7,'Qualifying Scores'!$C$4:$C$7),AG4&gt;=LOOKUP(G4,'Qualifying Scores'!$A$10:$A$13,'Qualifying Scores'!$C$10:$C$13))),"P",""),IF(OR(AND(X4-U4&gt;=LOOKUP(G4,'Qualifying Scores'!$A$4:$A$7,'Qualifying Scores'!$C$4:$C$7),W4&gt;=LOOKUP(G4,'Qualifying Scores'!$A$10:$A$13,'Qualifying Scores'!$C$10:$C$13)),AND(AE4-AB4&gt;=LOOKUP(G4,'Qualifying Scores'!$A$4:$A$7,'Qualifying Scores'!$C$4:$C$7),AD4&gt;=LOOKUP(G4,'Qualifying Scores'!$A$10:$A$13,'Qualifying Scores'!$C$10:$C$13))),"P","")))</f>
        <v>P</v>
      </c>
      <c r="O4" s="39">
        <v>2</v>
      </c>
      <c r="Q4" s="1">
        <f>IF(A4&lt;5,IF(_xlfn.MAXIFS(A:A,G:G,G4)&gt;3,5-A4,_xlfn.MAXIFS(A:A,G:G,G4)+1-A4),"")</f>
        <v>3</v>
      </c>
      <c r="R4" s="4">
        <f>IF(G4="17-21",MAX(T4,V4,Y4,AA4,AC4,AF4),MAX(X4,AE4))</f>
        <v>51.17</v>
      </c>
      <c r="S4" s="4">
        <f>IF(G4="17-21",LARGE(CHOOSE({1,2,3,4,5,6},T4,V4,Y4,AA4,AC4,AF4),2),IF(R4=X4,MAX(Y4,AA4,AC4,AF4),IF(R4=AE4,MAX(AF4,T4,V4,Y4),0)))</f>
        <v>50.75</v>
      </c>
      <c r="T4" s="33">
        <v>50.75</v>
      </c>
      <c r="U4" s="40">
        <v>11.2</v>
      </c>
      <c r="V4" s="34">
        <v>48.97</v>
      </c>
      <c r="W4" s="40">
        <v>11.2</v>
      </c>
      <c r="X4" s="4">
        <f>IF(H4="Senior",MAX(T4,V4),T4+V4)</f>
        <v>50.75</v>
      </c>
      <c r="Y4" s="34">
        <v>51.17</v>
      </c>
      <c r="Z4" s="40">
        <v>11.2</v>
      </c>
      <c r="AA4" s="33">
        <v>15.84</v>
      </c>
      <c r="AB4" s="40">
        <v>4</v>
      </c>
      <c r="AC4" s="34">
        <v>5.75</v>
      </c>
      <c r="AD4" s="40">
        <v>1.5</v>
      </c>
      <c r="AE4" s="4">
        <f>IF(H4="Senior",MAX(AA4,AC4),AA4+AC4)</f>
        <v>15.84</v>
      </c>
      <c r="AF4" s="34"/>
      <c r="AG4" s="37"/>
    </row>
    <row r="5" spans="1:33" x14ac:dyDescent="0.2">
      <c r="A5" s="1" cm="1">
        <f t="array" ref="A5">IF(I5="","",IF(P5&lt;&gt;"",SUMPRODUCT((P$3:P$133&lt;&gt;"")*(G$3:G$133=G5)*(J$3:J$133&gt;J5)*(I$3:I$133="P"))+1,IF(O5&lt;&gt;"",SUMPRODUCT((O$3:O$133&lt;&gt;"")*(P$3:P$133="")*(G$3:G$133=G5)*(J$3:J$133&gt;J5)*(I$3:I$133="P"))+SUMPRODUCT((P$3:P$133&lt;&gt;"")*(G$3:G$133=G5)*(I$3:I$133="P"))+1,IF(N5&lt;&gt;"",SUMPRODUCT((N$3:N$133&lt;&gt;"")*(G$3:G$133=G5)*(J$3:J$133&gt;J5)*(I$3:I$133="P"))+1,IF(M5="P",SUMPRODUCT((O$3:O$133&lt;&gt;"")*(P$3:P$133="")*(G$3:G$133=G5)*(I$3:I$133="P"))+SUMPRODUCT((P$3:P$133&lt;&gt;"")*(G$3:G$133=G5)*(I$3:I$133="P"))+SUMPRODUCT((N$3:N$133&lt;&gt;"")*(G$3:G$133=G5)*(I$3:I$133="P"))+SUMPRODUCT((P$3:P$133="")*(O$3:O$133="")*(N$3:N$133="")*(M$3:M$133="P")*(G$3:G$133=G5)*(J$3:J$133&gt;J5)*(I$3:I$133="P"))+IF(H5="L5",SUMPRODUCT((P$3:P$133="")*(O$3:O$133="")*(N$3:N$133="")*(M$3:M$133="P")*(G$3:G$133=G5)*(J$3:J$133&lt;J5)*(H$3:H$133&lt;&gt;H5)*(I$3:I$133="P")),-1*SUMPRODUCT((P$3:P$133="")*(O$3:O$133="")*(N$3:N$133="")*(M$3:M$133="P")*(G$3:G$133=G5)*(J$3:J$133&gt;J5)*(H$3:H$133="L5")*(I$3:I$133="P")))+1,"")))))</f>
        <v>3</v>
      </c>
      <c r="B5" s="1" cm="1">
        <f t="array" ref="B5">IF(P5&lt;&gt;"",SUMPRODUCT((P$3:P$133&lt;&gt;"")*(G$3:G$133=G5)*(J$3:J$133&gt;J5))+1,IF(O5&lt;&gt;"",SUMPRODUCT((O$3:O$133&lt;&gt;"")*(P$3:P$133="")*(G$3:G$133=G5)*(J$3:J$133&gt;J5))+SUMPRODUCT((P$3:P$133&lt;&gt;"")*(G$3:G$133=G5))+1,IF(N5&lt;&gt;"",SUMPRODUCT((N$3:N$133&lt;&gt;"")*(G$3:G$133=G5)*(J$3:J$133&gt;J5))+1,IF(M5="P",SUMPRODUCT((O$3:O$133&lt;&gt;"")*(P$3:P$133="")*(G$3:G$133=G5))+SUMPRODUCT((P$3:P$133&lt;&gt;"")*(G$3:G$133=G5))+SUMPRODUCT((N$3:N$133&lt;&gt;"")*(G$3:G$133=G5))+SUMPRODUCT((P$3:P$133="")*(O$3:O$133="")*(N$3:N$133="")*(M$3:M$133="P")*(G$3:G$133=G5)*(J$3:J$133&gt;J5))+IF(H5="L5",SUMPRODUCT((P$3:P$133="")*(O$3:O$133="")*(N$3:N$133="")*(M$3:M$133="P")*(G$3:G$133=G5)*(J$3:J$133&lt;J5)*(H$3:H$133&lt;&gt;H5)),-1*SUMPRODUCT((P$3:P$133="")*(O$3:O$133="")*(N$3:N$133="")*(M$3:M$133="P")*(G$3:G$133=G5)*(J$3:J$133&gt;J5)*(H$3:H$133="L5")))+1,""))))</f>
        <v>4</v>
      </c>
      <c r="C5" s="36" t="s">
        <v>115</v>
      </c>
      <c r="D5" s="36" t="str">
        <f>IF(E5="","",VLOOKUP(E5,'Coaching Points'!A:B,2,0))</f>
        <v>ON</v>
      </c>
      <c r="E5" s="36" t="s">
        <v>38</v>
      </c>
      <c r="F5" s="35">
        <v>2006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 t="s">
        <v>567</v>
      </c>
      <c r="J5" s="4">
        <f>R5+S5+IF(OR(H5="Junior",H5="Senior"),0.0002,IF(OR(H5="L7",H5="L6"),0.0001,0))+IF(G5="17-21",MAX(AA5,AC5,AF5),AE5)*0.0000001</f>
        <v>99.860204901000003</v>
      </c>
      <c r="K5" s="3" t="str">
        <f>IF(G5="Not Age Eligible","",IF(G5="17-21",IF(MAX(T5,V5,Y5,AA5,AC5,AF5)&gt;=LOOKUP(G5,'Qualifying Scores'!$A$4:$A$7,'Qualifying Scores'!$C$4:$C$7),"P",""),IF(MAX(X5-U5,AE5-AB5)&gt;=LOOKUP(G5,'Qualifying Scores'!$A$4:$A$7,'Qualifying Scores'!$C$4:$C$7),"P","")))</f>
        <v>P</v>
      </c>
      <c r="L5" s="3" t="str">
        <f>IF(G5="Not Age Eligible","",IF(G5="17-21",IF(MAX(U5,W5,Z5,AB5,AD5,AG5)&gt;=LOOKUP(G5,'Qualifying Scores'!$A$10:$A$13,'Qualifying Scores'!$C$10:$C$13),"P",""),IF(MAX(W5,AD5)&gt;=LOOKUP(G5,'Qualifying Scores'!$A$10:$A$13,'Qualifying Scores'!$C$10:$C$13),"P","")))</f>
        <v>P</v>
      </c>
      <c r="M5" s="3" t="str">
        <f>IF(G5="Not Age Eligible","",IF(G5="17-21",IF(OR(AND(T5&gt;=LOOKUP(G5,'Qualifying Scores'!$A$4:$A$7,'Qualifying Scores'!$C$4:$C$7),U5&gt;=LOOKUP(G5,'Qualifying Scores'!$A$10:$A$13,'Qualifying Scores'!$C$10:$C$13)),AND(V5&gt;=LOOKUP(G5,'Qualifying Scores'!$A$4:$A$7,'Qualifying Scores'!$C$4:$C$7),W5&gt;=LOOKUP(G5,'Qualifying Scores'!$A$10:$A$13,'Qualifying Scores'!$C$10:$C$13)),AND(Y5&gt;=LOOKUP(G5,'Qualifying Scores'!$A$4:$A$7,'Qualifying Scores'!$C$4:$C$7),Z5&gt;=LOOKUP(G5,'Qualifying Scores'!$A$10:$A$13,'Qualifying Scores'!$C$10:$C$13)),AND(AA5&gt;=LOOKUP(G5,'Qualifying Scores'!$A$4:$A$7,'Qualifying Scores'!$C$4:$C$7),AB5&gt;=LOOKUP(G5,'Qualifying Scores'!$A$10:$A$13,'Qualifying Scores'!$C$10:$C$13)),AND(AC5&gt;=LOOKUP(G5,'Qualifying Scores'!$A$4:$A$7,'Qualifying Scores'!$C$4:$C$7),AD5&gt;=LOOKUP(G5,'Qualifying Scores'!$A$10:$A$13,'Qualifying Scores'!$C$10:$C$13)),AND(AF5&gt;=LOOKUP(G5,'Qualifying Scores'!$A$4:$A$7,'Qualifying Scores'!$C$4:$C$7),AG5&gt;=LOOKUP(G5,'Qualifying Scores'!$A$10:$A$13,'Qualifying Scores'!$C$10:$C$13))),"P",""),IF(OR(AND(X5-U5&gt;=LOOKUP(G5,'Qualifying Scores'!$A$4:$A$7,'Qualifying Scores'!$C$4:$C$7),W5&gt;=LOOKUP(G5,'Qualifying Scores'!$A$10:$A$13,'Qualifying Scores'!$C$10:$C$13)),AND(AE5-AB5&gt;=LOOKUP(G5,'Qualifying Scores'!$A$4:$A$7,'Qualifying Scores'!$C$4:$C$7),AD5&gt;=LOOKUP(G5,'Qualifying Scores'!$A$10:$A$13,'Qualifying Scores'!$C$10:$C$13))),"P","")))</f>
        <v>P</v>
      </c>
      <c r="O5" s="39">
        <v>4</v>
      </c>
      <c r="Q5" s="1">
        <f>IF(A5&lt;5,IF(_xlfn.MAXIFS(A:A,G:G,G5)&gt;3,5-A5,_xlfn.MAXIFS(A:A,G:G,G5)+1-A5),"")</f>
        <v>2</v>
      </c>
      <c r="R5" s="4">
        <f>IF(G5="17-21",MAX(T5,V5,Y5,AA5,AC5,AF5),MAX(X5,AE5))</f>
        <v>50.55</v>
      </c>
      <c r="S5" s="4">
        <f>IF(G5="17-21",LARGE(CHOOSE({1,2,3,4,5,6},T5,V5,Y5,AA5,AC5,AF5),2),IF(R5=X5,MAX(Y5,AA5,AC5,AF5),IF(R5=AE5,MAX(AF5,T5,V5,Y5),0)))</f>
        <v>49.31</v>
      </c>
      <c r="T5" s="33">
        <v>49.09</v>
      </c>
      <c r="U5" s="40">
        <v>11.3</v>
      </c>
      <c r="V5" s="34">
        <v>49.31</v>
      </c>
      <c r="W5" s="40">
        <v>11.1</v>
      </c>
      <c r="X5" s="4">
        <f>IF(H5="Senior",MAX(T5,V5),T5+V5)</f>
        <v>49.31</v>
      </c>
      <c r="Y5" s="34">
        <v>50.55</v>
      </c>
      <c r="Z5" s="40">
        <v>12.4</v>
      </c>
      <c r="AA5" s="33">
        <v>5.62</v>
      </c>
      <c r="AB5" s="40">
        <v>1.5</v>
      </c>
      <c r="AC5" s="34">
        <v>48.27</v>
      </c>
      <c r="AD5" s="40">
        <v>12</v>
      </c>
      <c r="AE5" s="4">
        <f>IF(H5="Senior",MAX(AA5,AC5),AA5+AC5)</f>
        <v>48.27</v>
      </c>
      <c r="AF5" s="34">
        <v>49.01</v>
      </c>
      <c r="AG5" s="37">
        <v>13</v>
      </c>
    </row>
    <row r="6" spans="1:33" x14ac:dyDescent="0.2">
      <c r="A6" s="1" cm="1">
        <f t="array" ref="A6">IF(I6="","",IF(P6&lt;&gt;"",SUMPRODUCT((P$3:P$133&lt;&gt;"")*(G$3:G$133=G6)*(J$3:J$133&gt;J6)*(I$3:I$133="P"))+1,IF(O6&lt;&gt;"",SUMPRODUCT((O$3:O$133&lt;&gt;"")*(P$3:P$133="")*(G$3:G$133=G6)*(J$3:J$133&gt;J6)*(I$3:I$133="P"))+SUMPRODUCT((P$3:P$133&lt;&gt;"")*(G$3:G$133=G6)*(I$3:I$133="P"))+1,IF(N6&lt;&gt;"",SUMPRODUCT((N$3:N$133&lt;&gt;"")*(G$3:G$133=G6)*(J$3:J$133&gt;J6)*(I$3:I$133="P"))+1,IF(M6="P",SUMPRODUCT((O$3:O$133&lt;&gt;"")*(P$3:P$133="")*(G$3:G$133=G6)*(I$3:I$133="P"))+SUMPRODUCT((P$3:P$133&lt;&gt;"")*(G$3:G$133=G6)*(I$3:I$133="P"))+SUMPRODUCT((N$3:N$133&lt;&gt;"")*(G$3:G$133=G6)*(I$3:I$133="P"))+SUMPRODUCT((P$3:P$133="")*(O$3:O$133="")*(N$3:N$133="")*(M$3:M$133="P")*(G$3:G$133=G6)*(J$3:J$133&gt;J6)*(I$3:I$133="P"))+IF(H6="L5",SUMPRODUCT((P$3:P$133="")*(O$3:O$133="")*(N$3:N$133="")*(M$3:M$133="P")*(G$3:G$133=G6)*(J$3:J$133&lt;J6)*(H$3:H$133&lt;&gt;H6)*(I$3:I$133="P")),-1*SUMPRODUCT((P$3:P$133="")*(O$3:O$133="")*(N$3:N$133="")*(M$3:M$133="P")*(G$3:G$133=G6)*(J$3:J$133&gt;J6)*(H$3:H$133="L5")*(I$3:I$133="P")))+1,"")))))</f>
        <v>4</v>
      </c>
      <c r="B6" s="1" cm="1">
        <f t="array" ref="B6">IF(P6&lt;&gt;"",SUMPRODUCT((P$3:P$133&lt;&gt;"")*(G$3:G$133=G6)*(J$3:J$133&gt;J6))+1,IF(O6&lt;&gt;"",SUMPRODUCT((O$3:O$133&lt;&gt;"")*(P$3:P$133="")*(G$3:G$133=G6)*(J$3:J$133&gt;J6))+SUMPRODUCT((P$3:P$133&lt;&gt;"")*(G$3:G$133=G6))+1,IF(N6&lt;&gt;"",SUMPRODUCT((N$3:N$133&lt;&gt;"")*(G$3:G$133=G6)*(J$3:J$133&gt;J6))+1,IF(M6="P",SUMPRODUCT((O$3:O$133&lt;&gt;"")*(P$3:P$133="")*(G$3:G$133=G6))+SUMPRODUCT((P$3:P$133&lt;&gt;"")*(G$3:G$133=G6))+SUMPRODUCT((N$3:N$133&lt;&gt;"")*(G$3:G$133=G6))+SUMPRODUCT((P$3:P$133="")*(O$3:O$133="")*(N$3:N$133="")*(M$3:M$133="P")*(G$3:G$133=G6)*(J$3:J$133&gt;J6))+IF(H6="L5",SUMPRODUCT((P$3:P$133="")*(O$3:O$133="")*(N$3:N$133="")*(M$3:M$133="P")*(G$3:G$133=G6)*(J$3:J$133&lt;J6)*(H$3:H$133&lt;&gt;H6)),-1*SUMPRODUCT((P$3:P$133="")*(O$3:O$133="")*(N$3:N$133="")*(M$3:M$133="P")*(G$3:G$133=G6)*(J$3:J$133&gt;J6)*(H$3:H$133="L5")))+1,""))))</f>
        <v>5</v>
      </c>
      <c r="C6" s="36" t="s">
        <v>528</v>
      </c>
      <c r="D6" s="36" t="str">
        <f>IF(E6="","",VLOOKUP(E6,'Coaching Points'!A:B,2,0))</f>
        <v>ON</v>
      </c>
      <c r="E6" s="36" t="s">
        <v>38</v>
      </c>
      <c r="F6" s="35">
        <v>2004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68</v>
      </c>
      <c r="I6" s="43" t="s">
        <v>567</v>
      </c>
      <c r="J6" s="4">
        <f>R6+S6+IF(OR(H6="Junior",H6="Senior"),0.0002,IF(OR(H6="L7",H6="L6"),0.0001,0))+IF(G6="17-21",MAX(AA6,AC6,AF6),AE6)*0.0000001</f>
        <v>97.500104902000004</v>
      </c>
      <c r="K6" s="3" t="str">
        <f>IF(G6="Not Age Eligible","",IF(G6="17-21",IF(MAX(T6,V6,Y6,AA6,AC6,AF6)&gt;=LOOKUP(G6,'Qualifying Scores'!$A$4:$A$7,'Qualifying Scores'!$C$4:$C$7),"P",""),IF(MAX(X6-U6,AE6-AB6)&gt;=LOOKUP(G6,'Qualifying Scores'!$A$4:$A$7,'Qualifying Scores'!$C$4:$C$7),"P","")))</f>
        <v>P</v>
      </c>
      <c r="L6" s="3" t="str">
        <f>IF(G6="Not Age Eligible","",IF(G6="17-21",IF(MAX(U6,W6,Z6,AB6,AD6,AG6)&gt;=LOOKUP(G6,'Qualifying Scores'!$A$10:$A$13,'Qualifying Scores'!$C$10:$C$13),"P",""),IF(MAX(W6,AD6)&gt;=LOOKUP(G6,'Qualifying Scores'!$A$10:$A$13,'Qualifying Scores'!$C$10:$C$13),"P","")))</f>
        <v>P</v>
      </c>
      <c r="M6" s="3" t="str">
        <f>IF(G6="Not Age Eligible","",IF(G6="17-21",IF(OR(AND(T6&gt;=LOOKUP(G6,'Qualifying Scores'!$A$4:$A$7,'Qualifying Scores'!$C$4:$C$7),U6&gt;=LOOKUP(G6,'Qualifying Scores'!$A$10:$A$13,'Qualifying Scores'!$C$10:$C$13)),AND(V6&gt;=LOOKUP(G6,'Qualifying Scores'!$A$4:$A$7,'Qualifying Scores'!$C$4:$C$7),W6&gt;=LOOKUP(G6,'Qualifying Scores'!$A$10:$A$13,'Qualifying Scores'!$C$10:$C$13)),AND(Y6&gt;=LOOKUP(G6,'Qualifying Scores'!$A$4:$A$7,'Qualifying Scores'!$C$4:$C$7),Z6&gt;=LOOKUP(G6,'Qualifying Scores'!$A$10:$A$13,'Qualifying Scores'!$C$10:$C$13)),AND(AA6&gt;=LOOKUP(G6,'Qualifying Scores'!$A$4:$A$7,'Qualifying Scores'!$C$4:$C$7),AB6&gt;=LOOKUP(G6,'Qualifying Scores'!$A$10:$A$13,'Qualifying Scores'!$C$10:$C$13)),AND(AC6&gt;=LOOKUP(G6,'Qualifying Scores'!$A$4:$A$7,'Qualifying Scores'!$C$4:$C$7),AD6&gt;=LOOKUP(G6,'Qualifying Scores'!$A$10:$A$13,'Qualifying Scores'!$C$10:$C$13)),AND(AF6&gt;=LOOKUP(G6,'Qualifying Scores'!$A$4:$A$7,'Qualifying Scores'!$C$4:$C$7),AG6&gt;=LOOKUP(G6,'Qualifying Scores'!$A$10:$A$13,'Qualifying Scores'!$C$10:$C$13))),"P",""),IF(OR(AND(X6-U6&gt;=LOOKUP(G6,'Qualifying Scores'!$A$4:$A$7,'Qualifying Scores'!$C$4:$C$7),W6&gt;=LOOKUP(G6,'Qualifying Scores'!$A$10:$A$13,'Qualifying Scores'!$C$10:$C$13)),AND(AE6-AB6&gt;=LOOKUP(G6,'Qualifying Scores'!$A$4:$A$7,'Qualifying Scores'!$C$4:$C$7),AD6&gt;=LOOKUP(G6,'Qualifying Scores'!$A$10:$A$13,'Qualifying Scores'!$C$10:$C$13))),"P","")))</f>
        <v>P</v>
      </c>
      <c r="Q6" s="1">
        <f>IF(A6&lt;5,IF(_xlfn.MAXIFS(A:A,G:G,G6)&gt;3,5-A6,_xlfn.MAXIFS(A:A,G:G,G6)+1-A6),"")</f>
        <v>1</v>
      </c>
      <c r="R6" s="4">
        <f>IF(G6="17-21",MAX(T6,V6,Y6,AA6,AC6,AF6),MAX(X6,AE6))</f>
        <v>49.02</v>
      </c>
      <c r="S6" s="4">
        <f>IF(G6="17-21",LARGE(CHOOSE({1,2,3,4,5,6},T6,V6,Y6,AA6,AC6,AF6),2),IF(R6=X6,MAX(Y6,AA6,AC6,AF6),IF(R6=AE6,MAX(AF6,T6,V6,Y6),0)))</f>
        <v>48.48</v>
      </c>
      <c r="T6" s="33"/>
      <c r="U6" s="40"/>
      <c r="V6" s="34"/>
      <c r="W6" s="40"/>
      <c r="X6" s="4">
        <f>IF(H6="Senior",MAX(T6,V6),T6+V6)</f>
        <v>0</v>
      </c>
      <c r="Y6" s="34"/>
      <c r="Z6" s="40"/>
      <c r="AA6" s="33">
        <v>34.44</v>
      </c>
      <c r="AB6" s="40">
        <v>7.4</v>
      </c>
      <c r="AC6" s="34">
        <v>48.48</v>
      </c>
      <c r="AD6" s="40">
        <v>10.4</v>
      </c>
      <c r="AE6" s="4">
        <f>IF(H6="Senior",MAX(AA6,AC6),AA6+AC6)</f>
        <v>82.919999999999987</v>
      </c>
      <c r="AF6" s="34">
        <v>49.02</v>
      </c>
      <c r="AG6" s="37">
        <v>10.4</v>
      </c>
    </row>
    <row r="7" spans="1:33" x14ac:dyDescent="0.2">
      <c r="A7" s="1" t="str" cm="1">
        <f t="array" ref="A7">IF(I7="","",IF(P7&lt;&gt;"",SUMPRODUCT((P$3:P$133&lt;&gt;"")*(G$3:G$133=G7)*(J$3:J$133&gt;J7)*(I$3:I$133="P"))+1,IF(O7&lt;&gt;"",SUMPRODUCT((O$3:O$133&lt;&gt;"")*(P$3:P$133="")*(G$3:G$133=G7)*(J$3:J$133&gt;J7)*(I$3:I$133="P"))+SUMPRODUCT((P$3:P$133&lt;&gt;"")*(G$3:G$133=G7)*(I$3:I$133="P"))+1,IF(N7&lt;&gt;"",SUMPRODUCT((N$3:N$133&lt;&gt;"")*(G$3:G$133=G7)*(J$3:J$133&gt;J7)*(I$3:I$133="P"))+1,IF(M7="P",SUMPRODUCT((O$3:O$133&lt;&gt;"")*(P$3:P$133="")*(G$3:G$133=G7)*(I$3:I$133="P"))+SUMPRODUCT((P$3:P$133&lt;&gt;"")*(G$3:G$133=G7)*(I$3:I$133="P"))+SUMPRODUCT((N$3:N$133&lt;&gt;"")*(G$3:G$133=G7)*(I$3:I$133="P"))+SUMPRODUCT((P$3:P$133="")*(O$3:O$133="")*(N$3:N$133="")*(M$3:M$133="P")*(G$3:G$133=G7)*(J$3:J$133&gt;J7)*(I$3:I$133="P"))+IF(H7="L5",SUMPRODUCT((P$3:P$133="")*(O$3:O$133="")*(N$3:N$133="")*(M$3:M$133="P")*(G$3:G$133=G7)*(J$3:J$133&lt;J7)*(H$3:H$133&lt;&gt;H7)*(I$3:I$133="P")),-1*SUMPRODUCT((P$3:P$133="")*(O$3:O$133="")*(N$3:N$133="")*(M$3:M$133="P")*(G$3:G$133=G7)*(J$3:J$133&gt;J7)*(H$3:H$133="L5")*(I$3:I$133="P")))+1,"")))))</f>
        <v/>
      </c>
      <c r="B7" s="1" cm="1">
        <f t="array" ref="B7">IF(P7&lt;&gt;"",SUMPRODUCT((P$3:P$133&lt;&gt;"")*(G$3:G$133=G7)*(J$3:J$133&gt;J7))+1,IF(O7&lt;&gt;"",SUMPRODUCT((O$3:O$133&lt;&gt;"")*(P$3:P$133="")*(G$3:G$133=G7)*(J$3:J$133&gt;J7))+SUMPRODUCT((P$3:P$133&lt;&gt;"")*(G$3:G$133=G7))+1,IF(N7&lt;&gt;"",SUMPRODUCT((N$3:N$133&lt;&gt;"")*(G$3:G$133=G7)*(J$3:J$133&gt;J7))+1,IF(M7="P",SUMPRODUCT((O$3:O$133&lt;&gt;"")*(P$3:P$133="")*(G$3:G$133=G7))+SUMPRODUCT((P$3:P$133&lt;&gt;"")*(G$3:G$133=G7))+SUMPRODUCT((N$3:N$133&lt;&gt;"")*(G$3:G$133=G7))+SUMPRODUCT((P$3:P$133="")*(O$3:O$133="")*(N$3:N$133="")*(M$3:M$133="P")*(G$3:G$133=G7)*(J$3:J$133&gt;J7))+IF(H7="L5",SUMPRODUCT((P$3:P$133="")*(O$3:O$133="")*(N$3:N$133="")*(M$3:M$133="P")*(G$3:G$133=G7)*(J$3:J$133&lt;J7)*(H$3:H$133&lt;&gt;H7)),-1*SUMPRODUCT((P$3:P$133="")*(O$3:O$133="")*(N$3:N$133="")*(M$3:M$133="P")*(G$3:G$133=G7)*(J$3:J$133&gt;J7)*(H$3:H$133="L5")))+1,""))))</f>
        <v>2</v>
      </c>
      <c r="C7" s="36" t="s">
        <v>14</v>
      </c>
      <c r="D7" s="36" t="str">
        <f>IF(E7="","",VLOOKUP(E7,'Coaching Points'!A:B,2,0))</f>
        <v>BC</v>
      </c>
      <c r="E7" s="36" t="s">
        <v>37</v>
      </c>
      <c r="F7" s="35">
        <v>2002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74</v>
      </c>
      <c r="I7" s="43"/>
      <c r="J7" s="4">
        <f>R7+S7+IF(OR(H7="Junior",H7="Senior"),0.0002,IF(OR(H7="L7",H7="L6"),0.0001,0))+IF(G7="17-21",MAX(AA7,AC7,AF7),AE7)*0.0000001</f>
        <v>100.64020505600001</v>
      </c>
      <c r="K7" s="3" t="str">
        <f>IF(G7="Not Age Eligible","",IF(G7="17-21",IF(MAX(T7,V7,Y7,AA7,AC7,AF7)&gt;=LOOKUP(G7,'Qualifying Scores'!$A$4:$A$7,'Qualifying Scores'!$C$4:$C$7),"P",""),IF(MAX(X7-U7,AE7-AB7)&gt;=LOOKUP(G7,'Qualifying Scores'!$A$4:$A$7,'Qualifying Scores'!$C$4:$C$7),"P","")))</f>
        <v>P</v>
      </c>
      <c r="L7" s="3" t="str">
        <f>IF(G7="Not Age Eligible","",IF(G7="17-21",IF(MAX(U7,W7,Z7,AB7,AD7,AG7)&gt;=LOOKUP(G7,'Qualifying Scores'!$A$10:$A$13,'Qualifying Scores'!$C$10:$C$13),"P",""),IF(MAX(W7,AD7)&gt;=LOOKUP(G7,'Qualifying Scores'!$A$10:$A$13,'Qualifying Scores'!$C$10:$C$13),"P","")))</f>
        <v>P</v>
      </c>
      <c r="M7" s="3" t="str">
        <f>IF(G7="Not Age Eligible","",IF(G7="17-21",IF(OR(AND(T7&gt;=LOOKUP(G7,'Qualifying Scores'!$A$4:$A$7,'Qualifying Scores'!$C$4:$C$7),U7&gt;=LOOKUP(G7,'Qualifying Scores'!$A$10:$A$13,'Qualifying Scores'!$C$10:$C$13)),AND(V7&gt;=LOOKUP(G7,'Qualifying Scores'!$A$4:$A$7,'Qualifying Scores'!$C$4:$C$7),W7&gt;=LOOKUP(G7,'Qualifying Scores'!$A$10:$A$13,'Qualifying Scores'!$C$10:$C$13)),AND(Y7&gt;=LOOKUP(G7,'Qualifying Scores'!$A$4:$A$7,'Qualifying Scores'!$C$4:$C$7),Z7&gt;=LOOKUP(G7,'Qualifying Scores'!$A$10:$A$13,'Qualifying Scores'!$C$10:$C$13)),AND(AA7&gt;=LOOKUP(G7,'Qualifying Scores'!$A$4:$A$7,'Qualifying Scores'!$C$4:$C$7),AB7&gt;=LOOKUP(G7,'Qualifying Scores'!$A$10:$A$13,'Qualifying Scores'!$C$10:$C$13)),AND(AC7&gt;=LOOKUP(G7,'Qualifying Scores'!$A$4:$A$7,'Qualifying Scores'!$C$4:$C$7),AD7&gt;=LOOKUP(G7,'Qualifying Scores'!$A$10:$A$13,'Qualifying Scores'!$C$10:$C$13)),AND(AF7&gt;=LOOKUP(G7,'Qualifying Scores'!$A$4:$A$7,'Qualifying Scores'!$C$4:$C$7),AG7&gt;=LOOKUP(G7,'Qualifying Scores'!$A$10:$A$13,'Qualifying Scores'!$C$10:$C$13))),"P",""),IF(OR(AND(X7-U7&gt;=LOOKUP(G7,'Qualifying Scores'!$A$4:$A$7,'Qualifying Scores'!$C$4:$C$7),W7&gt;=LOOKUP(G7,'Qualifying Scores'!$A$10:$A$13,'Qualifying Scores'!$C$10:$C$13)),AND(AE7-AB7&gt;=LOOKUP(G7,'Qualifying Scores'!$A$4:$A$7,'Qualifying Scores'!$C$4:$C$7),AD7&gt;=LOOKUP(G7,'Qualifying Scores'!$A$10:$A$13,'Qualifying Scores'!$C$10:$C$13))),"P","")))</f>
        <v>P</v>
      </c>
      <c r="O7" s="39">
        <v>3</v>
      </c>
      <c r="P7" s="39">
        <v>8</v>
      </c>
      <c r="Q7" s="1" t="str">
        <f>IF(A7&lt;5,IF(_xlfn.MAXIFS(A:A,G:G,G7)&gt;3,5-A7,_xlfn.MAXIFS(A:A,G:G,G7)+1-A7),"")</f>
        <v/>
      </c>
      <c r="R7" s="4">
        <f>IF(G7="17-21",MAX(T7,V7,Y7,AA7,AC7,AF7),MAX(X7,AE7))</f>
        <v>50.56</v>
      </c>
      <c r="S7" s="4">
        <f>IF(G7="17-21",LARGE(CHOOSE({1,2,3,4,5,6},T7,V7,Y7,AA7,AC7,AF7),2),IF(R7=X7,MAX(Y7,AA7,AC7,AF7),IF(R7=AE7,MAX(AF7,T7,V7,Y7),0)))</f>
        <v>50.08</v>
      </c>
      <c r="T7" s="33">
        <v>29.89</v>
      </c>
      <c r="U7" s="40">
        <v>8.1</v>
      </c>
      <c r="V7" s="34">
        <v>5.09</v>
      </c>
      <c r="W7" s="40">
        <v>0.6</v>
      </c>
      <c r="X7" s="4">
        <f>IF(H7="Senior",MAX(T7,V7),T7+V7)</f>
        <v>29.89</v>
      </c>
      <c r="Y7" s="34"/>
      <c r="Z7" s="40"/>
      <c r="AA7" s="33">
        <v>49.94</v>
      </c>
      <c r="AB7" s="40">
        <v>12.7</v>
      </c>
      <c r="AC7" s="34">
        <v>50.08</v>
      </c>
      <c r="AD7" s="40">
        <v>12.4</v>
      </c>
      <c r="AE7" s="4">
        <f>IF(H7="Senior",MAX(AA7,AC7),AA7+AC7)</f>
        <v>50.08</v>
      </c>
      <c r="AF7" s="34">
        <v>50.56</v>
      </c>
      <c r="AG7" s="37">
        <v>12</v>
      </c>
    </row>
    <row r="8" spans="1:33" x14ac:dyDescent="0.2">
      <c r="A8" s="1" t="str" cm="1">
        <f t="array" ref="A8">IF(I8="","",IF(P8&lt;&gt;"",SUMPRODUCT((P$3:P$133&lt;&gt;"")*(G$3:G$133=G8)*(J$3:J$133&gt;J8)*(I$3:I$133="P"))+1,IF(O8&lt;&gt;"",SUMPRODUCT((O$3:O$133&lt;&gt;"")*(P$3:P$133="")*(G$3:G$133=G8)*(J$3:J$133&gt;J8)*(I$3:I$133="P"))+SUMPRODUCT((P$3:P$133&lt;&gt;"")*(G$3:G$133=G8)*(I$3:I$133="P"))+1,IF(N8&lt;&gt;"",SUMPRODUCT((N$3:N$133&lt;&gt;"")*(G$3:G$133=G8)*(J$3:J$133&gt;J8)*(I$3:I$133="P"))+1,IF(M8="P",SUMPRODUCT((O$3:O$133&lt;&gt;"")*(P$3:P$133="")*(G$3:G$133=G8)*(I$3:I$133="P"))+SUMPRODUCT((P$3:P$133&lt;&gt;"")*(G$3:G$133=G8)*(I$3:I$133="P"))+SUMPRODUCT((N$3:N$133&lt;&gt;"")*(G$3:G$133=G8)*(I$3:I$133="P"))+SUMPRODUCT((P$3:P$133="")*(O$3:O$133="")*(N$3:N$133="")*(M$3:M$133="P")*(G$3:G$133=G8)*(J$3:J$133&gt;J8)*(I$3:I$133="P"))+IF(H8="L5",SUMPRODUCT((P$3:P$133="")*(O$3:O$133="")*(N$3:N$133="")*(M$3:M$133="P")*(G$3:G$133=G8)*(J$3:J$133&lt;J8)*(H$3:H$133&lt;&gt;H8)*(I$3:I$133="P")),-1*SUMPRODUCT((P$3:P$133="")*(O$3:O$133="")*(N$3:N$133="")*(M$3:M$133="P")*(G$3:G$133=G8)*(J$3:J$133&gt;J8)*(H$3:H$133="L5")*(I$3:I$133="P")))+1,"")))))</f>
        <v/>
      </c>
      <c r="B8" s="1" t="str" cm="1">
        <f t="array" ref="B8">IF(P8&lt;&gt;"",SUMPRODUCT((P$3:P$133&lt;&gt;"")*(G$3:G$133=G8)*(J$3:J$133&gt;J8))+1,IF(O8&lt;&gt;"",SUMPRODUCT((O$3:O$133&lt;&gt;"")*(P$3:P$133="")*(G$3:G$133=G8)*(J$3:J$133&gt;J8))+SUMPRODUCT((P$3:P$133&lt;&gt;"")*(G$3:G$133=G8))+1,IF(N8&lt;&gt;"",SUMPRODUCT((N$3:N$133&lt;&gt;"")*(G$3:G$133=G8)*(J$3:J$133&gt;J8))+1,IF(M8="P",SUMPRODUCT((O$3:O$133&lt;&gt;"")*(P$3:P$133="")*(G$3:G$133=G8))+SUMPRODUCT((P$3:P$133&lt;&gt;"")*(G$3:G$133=G8))+SUMPRODUCT((N$3:N$133&lt;&gt;"")*(G$3:G$133=G8))+SUMPRODUCT((P$3:P$133="")*(O$3:O$133="")*(N$3:N$133="")*(M$3:M$133="P")*(G$3:G$133=G8)*(J$3:J$133&gt;J8))+IF(H8="L5",SUMPRODUCT((P$3:P$133="")*(O$3:O$133="")*(N$3:N$133="")*(M$3:M$133="P")*(G$3:G$133=G8)*(J$3:J$133&lt;J8)*(H$3:H$133&lt;&gt;H8)),-1*SUMPRODUCT((P$3:P$133="")*(O$3:O$133="")*(N$3:N$133="")*(M$3:M$133="P")*(G$3:G$133=G8)*(J$3:J$133&gt;J8)*(H$3:H$133="L5")))+1,""))))</f>
        <v/>
      </c>
      <c r="C8" s="36" t="s">
        <v>442</v>
      </c>
      <c r="D8" s="36" t="str">
        <f>IF(E8="","",VLOOKUP(E8,'Coaching Points'!A:B,2,0))</f>
        <v>ON</v>
      </c>
      <c r="E8" s="36" t="s">
        <v>38</v>
      </c>
      <c r="F8" s="35">
        <v>2006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66</v>
      </c>
      <c r="I8" s="43"/>
      <c r="J8" s="4">
        <f>R8+S8+IF(OR(H8="Junior",H8="Senior"),0.0002,IF(OR(H8="L7",H8="L6"),0.0001,0))+IF(G8="17-21",MAX(AA8,AC8,AF8),AE8)*0.0000001</f>
        <v>96.970004884000005</v>
      </c>
      <c r="K8" s="3" t="str">
        <f>IF(G8="Not Age Eligible","",IF(G8="17-21",IF(MAX(T8,V8,Y8,AA8,AC8,AF8)&gt;=LOOKUP(G8,'Qualifying Scores'!$A$4:$A$7,'Qualifying Scores'!$C$4:$C$7),"P",""),IF(MAX(X8-U8,AE8-AB8)&gt;=LOOKUP(G8,'Qualifying Scores'!$A$4:$A$7,'Qualifying Scores'!$C$4:$C$7),"P","")))</f>
        <v>P</v>
      </c>
      <c r="L8" s="3" t="str">
        <f>IF(G8="Not Age Eligible","",IF(G8="17-21",IF(MAX(U8,W8,Z8,AB8,AD8,AG8)&gt;=LOOKUP(G8,'Qualifying Scores'!$A$10:$A$13,'Qualifying Scores'!$C$10:$C$13),"P",""),IF(MAX(W8,AD8)&gt;=LOOKUP(G8,'Qualifying Scores'!$A$10:$A$13,'Qualifying Scores'!$C$10:$C$13),"P","")))</f>
        <v/>
      </c>
      <c r="M8" s="3" t="str">
        <f>IF(G8="Not Age Eligible","",IF(G8="17-21",IF(OR(AND(T8&gt;=LOOKUP(G8,'Qualifying Scores'!$A$4:$A$7,'Qualifying Scores'!$C$4:$C$7),U8&gt;=LOOKUP(G8,'Qualifying Scores'!$A$10:$A$13,'Qualifying Scores'!$C$10:$C$13)),AND(V8&gt;=LOOKUP(G8,'Qualifying Scores'!$A$4:$A$7,'Qualifying Scores'!$C$4:$C$7),W8&gt;=LOOKUP(G8,'Qualifying Scores'!$A$10:$A$13,'Qualifying Scores'!$C$10:$C$13)),AND(Y8&gt;=LOOKUP(G8,'Qualifying Scores'!$A$4:$A$7,'Qualifying Scores'!$C$4:$C$7),Z8&gt;=LOOKUP(G8,'Qualifying Scores'!$A$10:$A$13,'Qualifying Scores'!$C$10:$C$13)),AND(AA8&gt;=LOOKUP(G8,'Qualifying Scores'!$A$4:$A$7,'Qualifying Scores'!$C$4:$C$7),AB8&gt;=LOOKUP(G8,'Qualifying Scores'!$A$10:$A$13,'Qualifying Scores'!$C$10:$C$13)),AND(AC8&gt;=LOOKUP(G8,'Qualifying Scores'!$A$4:$A$7,'Qualifying Scores'!$C$4:$C$7),AD8&gt;=LOOKUP(G8,'Qualifying Scores'!$A$10:$A$13,'Qualifying Scores'!$C$10:$C$13)),AND(AF8&gt;=LOOKUP(G8,'Qualifying Scores'!$A$4:$A$7,'Qualifying Scores'!$C$4:$C$7),AG8&gt;=LOOKUP(G8,'Qualifying Scores'!$A$10:$A$13,'Qualifying Scores'!$C$10:$C$13))),"P",""),IF(OR(AND(X8-U8&gt;=LOOKUP(G8,'Qualifying Scores'!$A$4:$A$7,'Qualifying Scores'!$C$4:$C$7),W8&gt;=LOOKUP(G8,'Qualifying Scores'!$A$10:$A$13,'Qualifying Scores'!$C$10:$C$13)),AND(AE8-AB8&gt;=LOOKUP(G8,'Qualifying Scores'!$A$4:$A$7,'Qualifying Scores'!$C$4:$C$7),AD8&gt;=LOOKUP(G8,'Qualifying Scores'!$A$10:$A$13,'Qualifying Scores'!$C$10:$C$13))),"P","")))</f>
        <v/>
      </c>
      <c r="Q8" s="1" t="str">
        <f>IF(A8&lt;5,IF(_xlfn.MAXIFS(A:A,G:G,G8)&gt;3,5-A8,_xlfn.MAXIFS(A:A,G:G,G8)+1-A8),"")</f>
        <v/>
      </c>
      <c r="R8" s="4">
        <f>IF(G8="17-21",MAX(T8,V8,Y8,AA8,AC8,AF8),MAX(X8,AE8))</f>
        <v>48.84</v>
      </c>
      <c r="S8" s="4">
        <f>IF(G8="17-21",LARGE(CHOOSE({1,2,3,4,5,6},T8,V8,Y8,AA8,AC8,AF8),2),IF(R8=X8,MAX(Y8,AA8,AC8,AF8),IF(R8=AE8,MAX(AF8,T8,V8,Y8),0)))</f>
        <v>48.13</v>
      </c>
      <c r="T8" s="33">
        <v>41.77</v>
      </c>
      <c r="U8" s="40">
        <v>0</v>
      </c>
      <c r="V8" s="34">
        <v>43.33</v>
      </c>
      <c r="W8" s="40">
        <v>7.2</v>
      </c>
      <c r="X8" s="4">
        <f>IF(H8="Senior",MAX(T8,V8),T8+V8)</f>
        <v>85.1</v>
      </c>
      <c r="Y8" s="34">
        <v>27.76</v>
      </c>
      <c r="Z8" s="40">
        <v>4.5</v>
      </c>
      <c r="AA8" s="33">
        <v>41.77</v>
      </c>
      <c r="AB8" s="40">
        <v>0</v>
      </c>
      <c r="AC8" s="34">
        <v>48.84</v>
      </c>
      <c r="AD8" s="40">
        <v>7.7</v>
      </c>
      <c r="AE8" s="4">
        <f>IF(H8="Senior",MAX(AA8,AC8),AA8+AC8)</f>
        <v>90.610000000000014</v>
      </c>
      <c r="AF8" s="34">
        <v>48.13</v>
      </c>
      <c r="AG8" s="37">
        <v>7.7</v>
      </c>
    </row>
    <row r="9" spans="1:33" x14ac:dyDescent="0.2">
      <c r="A9" s="1" t="str" cm="1">
        <f t="array" ref="A9">IF(I9="","",IF(P9&lt;&gt;"",SUMPRODUCT((P$3:P$133&lt;&gt;"")*(G$3:G$133=G9)*(J$3:J$133&gt;J9)*(I$3:I$133="P"))+1,IF(O9&lt;&gt;"",SUMPRODUCT((O$3:O$133&lt;&gt;"")*(P$3:P$133="")*(G$3:G$133=G9)*(J$3:J$133&gt;J9)*(I$3:I$133="P"))+SUMPRODUCT((P$3:P$133&lt;&gt;"")*(G$3:G$133=G9)*(I$3:I$133="P"))+1,IF(N9&lt;&gt;"",SUMPRODUCT((N$3:N$133&lt;&gt;"")*(G$3:G$133=G9)*(J$3:J$133&gt;J9)*(I$3:I$133="P"))+1,IF(M9="P",SUMPRODUCT((O$3:O$133&lt;&gt;"")*(P$3:P$133="")*(G$3:G$133=G9)*(I$3:I$133="P"))+SUMPRODUCT((P$3:P$133&lt;&gt;"")*(G$3:G$133=G9)*(I$3:I$133="P"))+SUMPRODUCT((N$3:N$133&lt;&gt;"")*(G$3:G$133=G9)*(I$3:I$133="P"))+SUMPRODUCT((P$3:P$133="")*(O$3:O$133="")*(N$3:N$133="")*(M$3:M$133="P")*(G$3:G$133=G9)*(J$3:J$133&gt;J9)*(I$3:I$133="P"))+IF(H9="L5",SUMPRODUCT((P$3:P$133="")*(O$3:O$133="")*(N$3:N$133="")*(M$3:M$133="P")*(G$3:G$133=G9)*(J$3:J$133&lt;J9)*(H$3:H$133&lt;&gt;H9)*(I$3:I$133="P")),-1*SUMPRODUCT((P$3:P$133="")*(O$3:O$133="")*(N$3:N$133="")*(M$3:M$133="P")*(G$3:G$133=G9)*(J$3:J$133&gt;J9)*(H$3:H$133="L5")*(I$3:I$133="P")))+1,"")))))</f>
        <v/>
      </c>
      <c r="B9" s="1" t="str" cm="1">
        <f t="array" ref="B9">IF(P9&lt;&gt;"",SUMPRODUCT((P$3:P$133&lt;&gt;"")*(G$3:G$133=G9)*(J$3:J$133&gt;J9))+1,IF(O9&lt;&gt;"",SUMPRODUCT((O$3:O$133&lt;&gt;"")*(P$3:P$133="")*(G$3:G$133=G9)*(J$3:J$133&gt;J9))+SUMPRODUCT((P$3:P$133&lt;&gt;"")*(G$3:G$133=G9))+1,IF(N9&lt;&gt;"",SUMPRODUCT((N$3:N$133&lt;&gt;"")*(G$3:G$133=G9)*(J$3:J$133&gt;J9))+1,IF(M9="P",SUMPRODUCT((O$3:O$133&lt;&gt;"")*(P$3:P$133="")*(G$3:G$133=G9))+SUMPRODUCT((P$3:P$133&lt;&gt;"")*(G$3:G$133=G9))+SUMPRODUCT((N$3:N$133&lt;&gt;"")*(G$3:G$133=G9))+SUMPRODUCT((P$3:P$133="")*(O$3:O$133="")*(N$3:N$133="")*(M$3:M$133="P")*(G$3:G$133=G9)*(J$3:J$133&gt;J9))+IF(H9="L5",SUMPRODUCT((P$3:P$133="")*(O$3:O$133="")*(N$3:N$133="")*(M$3:M$133="P")*(G$3:G$133=G9)*(J$3:J$133&lt;J9)*(H$3:H$133&lt;&gt;H9)),-1*SUMPRODUCT((P$3:P$133="")*(O$3:O$133="")*(N$3:N$133="")*(M$3:M$133="P")*(G$3:G$133=G9)*(J$3:J$133&gt;J9)*(H$3:H$133="L5")))+1,""))))</f>
        <v/>
      </c>
      <c r="C9" s="36" t="s">
        <v>529</v>
      </c>
      <c r="D9" s="36" t="str">
        <f>IF(E9="","",VLOOKUP(E9,'Coaching Points'!A:B,2,0))</f>
        <v>ON</v>
      </c>
      <c r="E9" s="36" t="s">
        <v>426</v>
      </c>
      <c r="F9" s="35">
        <v>2004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68</v>
      </c>
      <c r="I9" s="43"/>
      <c r="J9" s="4">
        <f>R9+S9+IF(OR(H9="Junior",H9="Senior"),0.0002,IF(OR(H9="L7",H9="L6"),0.0001,0))+IF(G9="17-21",MAX(AA9,AC9,AF9),AE9)*0.0000001</f>
        <v>96.490104864000017</v>
      </c>
      <c r="K9" s="3" t="str">
        <f>IF(G9="Not Age Eligible","",IF(G9="17-21",IF(MAX(T9,V9,Y9,AA9,AC9,AF9)&gt;=LOOKUP(G9,'Qualifying Scores'!$A$4:$A$7,'Qualifying Scores'!$C$4:$C$7),"P",""),IF(MAX(X9-U9,AE9-AB9)&gt;=LOOKUP(G9,'Qualifying Scores'!$A$4:$A$7,'Qualifying Scores'!$C$4:$C$7),"P","")))</f>
        <v>P</v>
      </c>
      <c r="L9" s="3" t="str">
        <f>IF(G9="Not Age Eligible","",IF(G9="17-21",IF(MAX(U9,W9,Z9,AB9,AD9,AG9)&gt;=LOOKUP(G9,'Qualifying Scores'!$A$10:$A$13,'Qualifying Scores'!$C$10:$C$13),"P",""),IF(MAX(W9,AD9)&gt;=LOOKUP(G9,'Qualifying Scores'!$A$10:$A$13,'Qualifying Scores'!$C$10:$C$13),"P","")))</f>
        <v/>
      </c>
      <c r="M9" s="3" t="str">
        <f>IF(G9="Not Age Eligible","",IF(G9="17-21",IF(OR(AND(T9&gt;=LOOKUP(G9,'Qualifying Scores'!$A$4:$A$7,'Qualifying Scores'!$C$4:$C$7),U9&gt;=LOOKUP(G9,'Qualifying Scores'!$A$10:$A$13,'Qualifying Scores'!$C$10:$C$13)),AND(V9&gt;=LOOKUP(G9,'Qualifying Scores'!$A$4:$A$7,'Qualifying Scores'!$C$4:$C$7),W9&gt;=LOOKUP(G9,'Qualifying Scores'!$A$10:$A$13,'Qualifying Scores'!$C$10:$C$13)),AND(Y9&gt;=LOOKUP(G9,'Qualifying Scores'!$A$4:$A$7,'Qualifying Scores'!$C$4:$C$7),Z9&gt;=LOOKUP(G9,'Qualifying Scores'!$A$10:$A$13,'Qualifying Scores'!$C$10:$C$13)),AND(AA9&gt;=LOOKUP(G9,'Qualifying Scores'!$A$4:$A$7,'Qualifying Scores'!$C$4:$C$7),AB9&gt;=LOOKUP(G9,'Qualifying Scores'!$A$10:$A$13,'Qualifying Scores'!$C$10:$C$13)),AND(AC9&gt;=LOOKUP(G9,'Qualifying Scores'!$A$4:$A$7,'Qualifying Scores'!$C$4:$C$7),AD9&gt;=LOOKUP(G9,'Qualifying Scores'!$A$10:$A$13,'Qualifying Scores'!$C$10:$C$13)),AND(AF9&gt;=LOOKUP(G9,'Qualifying Scores'!$A$4:$A$7,'Qualifying Scores'!$C$4:$C$7),AG9&gt;=LOOKUP(G9,'Qualifying Scores'!$A$10:$A$13,'Qualifying Scores'!$C$10:$C$13))),"P",""),IF(OR(AND(X9-U9&gt;=LOOKUP(G9,'Qualifying Scores'!$A$4:$A$7,'Qualifying Scores'!$C$4:$C$7),W9&gt;=LOOKUP(G9,'Qualifying Scores'!$A$10:$A$13,'Qualifying Scores'!$C$10:$C$13)),AND(AE9-AB9&gt;=LOOKUP(G9,'Qualifying Scores'!$A$4:$A$7,'Qualifying Scores'!$C$4:$C$7),AD9&gt;=LOOKUP(G9,'Qualifying Scores'!$A$10:$A$13,'Qualifying Scores'!$C$10:$C$13))),"P","")))</f>
        <v/>
      </c>
      <c r="Q9" s="1" t="str">
        <f>IF(A9&lt;5,IF(_xlfn.MAXIFS(A:A,G:G,G9)&gt;3,5-A9,_xlfn.MAXIFS(A:A,G:G,G9)+1-A9),"")</f>
        <v/>
      </c>
      <c r="R9" s="4">
        <f>IF(G9="17-21",MAX(T9,V9,Y9,AA9,AC9,AF9),MAX(X9,AE9))</f>
        <v>48.64</v>
      </c>
      <c r="S9" s="4">
        <f>IF(G9="17-21",LARGE(CHOOSE({1,2,3,4,5,6},T9,V9,Y9,AA9,AC9,AF9),2),IF(R9=X9,MAX(Y9,AA9,AC9,AF9),IF(R9=AE9,MAX(AF9,T9,V9,Y9),0)))</f>
        <v>47.85</v>
      </c>
      <c r="T9" s="33"/>
      <c r="U9" s="40"/>
      <c r="V9" s="34"/>
      <c r="W9" s="40"/>
      <c r="X9" s="4">
        <f>IF(H9="Senior",MAX(T9,V9),T9+V9)</f>
        <v>0</v>
      </c>
      <c r="Y9" s="34"/>
      <c r="Z9" s="40"/>
      <c r="AA9" s="33">
        <v>47.85</v>
      </c>
      <c r="AB9" s="40">
        <v>9.1</v>
      </c>
      <c r="AC9" s="34">
        <v>18.62</v>
      </c>
      <c r="AD9" s="40">
        <v>4.4000000000000004</v>
      </c>
      <c r="AE9" s="4">
        <f>IF(H9="Senior",MAX(AA9,AC9),AA9+AC9)</f>
        <v>66.47</v>
      </c>
      <c r="AF9" s="34">
        <v>48.64</v>
      </c>
      <c r="AG9" s="37">
        <v>9.1</v>
      </c>
    </row>
    <row r="10" spans="1:33" x14ac:dyDescent="0.2">
      <c r="A10" s="1" t="str" cm="1">
        <f t="array" ref="A10">IF(I10="","",IF(P10&lt;&gt;"",SUMPRODUCT((P$3:P$133&lt;&gt;"")*(G$3:G$133=G10)*(J$3:J$133&gt;J10)*(I$3:I$133="P"))+1,IF(O10&lt;&gt;"",SUMPRODUCT((O$3:O$133&lt;&gt;"")*(P$3:P$133="")*(G$3:G$133=G10)*(J$3:J$133&gt;J10)*(I$3:I$133="P"))+SUMPRODUCT((P$3:P$133&lt;&gt;"")*(G$3:G$133=G10)*(I$3:I$133="P"))+1,IF(N10&lt;&gt;"",SUMPRODUCT((N$3:N$133&lt;&gt;"")*(G$3:G$133=G10)*(J$3:J$133&gt;J10)*(I$3:I$133="P"))+1,IF(M10="P",SUMPRODUCT((O$3:O$133&lt;&gt;"")*(P$3:P$133="")*(G$3:G$133=G10)*(I$3:I$133="P"))+SUMPRODUCT((P$3:P$133&lt;&gt;"")*(G$3:G$133=G10)*(I$3:I$133="P"))+SUMPRODUCT((N$3:N$133&lt;&gt;"")*(G$3:G$133=G10)*(I$3:I$133="P"))+SUMPRODUCT((P$3:P$133="")*(O$3:O$133="")*(N$3:N$133="")*(M$3:M$133="P")*(G$3:G$133=G10)*(J$3:J$133&gt;J10)*(I$3:I$133="P"))+IF(H10="L5",SUMPRODUCT((P$3:P$133="")*(O$3:O$133="")*(N$3:N$133="")*(M$3:M$133="P")*(G$3:G$133=G10)*(J$3:J$133&lt;J10)*(H$3:H$133&lt;&gt;H10)*(I$3:I$133="P")),-1*SUMPRODUCT((P$3:P$133="")*(O$3:O$133="")*(N$3:N$133="")*(M$3:M$133="P")*(G$3:G$133=G10)*(J$3:J$133&gt;J10)*(H$3:H$133="L5")*(I$3:I$133="P")))+1,"")))))</f>
        <v/>
      </c>
      <c r="B10" s="1" t="str" cm="1">
        <f t="array" ref="B10">IF(P10&lt;&gt;"",SUMPRODUCT((P$3:P$133&lt;&gt;"")*(G$3:G$133=G10)*(J$3:J$133&gt;J10))+1,IF(O10&lt;&gt;"",SUMPRODUCT((O$3:O$133&lt;&gt;"")*(P$3:P$133="")*(G$3:G$133=G10)*(J$3:J$133&gt;J10))+SUMPRODUCT((P$3:P$133&lt;&gt;"")*(G$3:G$133=G10))+1,IF(N10&lt;&gt;"",SUMPRODUCT((N$3:N$133&lt;&gt;"")*(G$3:G$133=G10)*(J$3:J$133&gt;J10))+1,IF(M10="P",SUMPRODUCT((O$3:O$133&lt;&gt;"")*(P$3:P$133="")*(G$3:G$133=G10))+SUMPRODUCT((P$3:P$133&lt;&gt;"")*(G$3:G$133=G10))+SUMPRODUCT((N$3:N$133&lt;&gt;"")*(G$3:G$133=G10))+SUMPRODUCT((P$3:P$133="")*(O$3:O$133="")*(N$3:N$133="")*(M$3:M$133="P")*(G$3:G$133=G10)*(J$3:J$133&gt;J10))+IF(H10="L5",SUMPRODUCT((P$3:P$133="")*(O$3:O$133="")*(N$3:N$133="")*(M$3:M$133="P")*(G$3:G$133=G10)*(J$3:J$133&lt;J10)*(H$3:H$133&lt;&gt;H10)),-1*SUMPRODUCT((P$3:P$133="")*(O$3:O$133="")*(N$3:N$133="")*(M$3:M$133="P")*(G$3:G$133=G10)*(J$3:J$133&gt;J10)*(H$3:H$133="L5")))+1,""))))</f>
        <v/>
      </c>
      <c r="C10" s="36" t="s">
        <v>298</v>
      </c>
      <c r="D10" s="36" t="str">
        <f>IF(E10="","",VLOOKUP(E10,'Coaching Points'!A:B,2,0))</f>
        <v>QC</v>
      </c>
      <c r="E10" s="36" t="s">
        <v>84</v>
      </c>
      <c r="F10" s="35">
        <v>2006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66</v>
      </c>
      <c r="I10" s="43"/>
      <c r="J10" s="4">
        <f>R10+S10+IF(OR(H10="Junior",H10="Senior"),0.0002,IF(OR(H10="L7",H10="L6"),0.0001,0))+IF(G10="17-21",MAX(AA10,AC10,AF10),AE10)*0.0000001</f>
        <v>96.050004906000012</v>
      </c>
      <c r="K10" s="3" t="str">
        <f>IF(G10="Not Age Eligible","",IF(G10="17-21",IF(MAX(T10,V10,Y10,AA10,AC10,AF10)&gt;=LOOKUP(G10,'Qualifying Scores'!$A$4:$A$7,'Qualifying Scores'!$C$4:$C$7),"P",""),IF(MAX(X10-U10,AE10-AB10)&gt;=LOOKUP(G10,'Qualifying Scores'!$A$4:$A$7,'Qualifying Scores'!$C$4:$C$7),"P","")))</f>
        <v>P</v>
      </c>
      <c r="L10" s="3" t="str">
        <f>IF(G10="Not Age Eligible","",IF(G10="17-21",IF(MAX(U10,W10,Z10,AB10,AD10,AG10)&gt;=LOOKUP(G10,'Qualifying Scores'!$A$10:$A$13,'Qualifying Scores'!$C$10:$C$13),"P",""),IF(MAX(W10,AD10)&gt;=LOOKUP(G10,'Qualifying Scores'!$A$10:$A$13,'Qualifying Scores'!$C$10:$C$13),"P","")))</f>
        <v/>
      </c>
      <c r="M10" s="3" t="str">
        <f>IF(G10="Not Age Eligible","",IF(G10="17-21",IF(OR(AND(T10&gt;=LOOKUP(G10,'Qualifying Scores'!$A$4:$A$7,'Qualifying Scores'!$C$4:$C$7),U10&gt;=LOOKUP(G10,'Qualifying Scores'!$A$10:$A$13,'Qualifying Scores'!$C$10:$C$13)),AND(V10&gt;=LOOKUP(G10,'Qualifying Scores'!$A$4:$A$7,'Qualifying Scores'!$C$4:$C$7),W10&gt;=LOOKUP(G10,'Qualifying Scores'!$A$10:$A$13,'Qualifying Scores'!$C$10:$C$13)),AND(Y10&gt;=LOOKUP(G10,'Qualifying Scores'!$A$4:$A$7,'Qualifying Scores'!$C$4:$C$7),Z10&gt;=LOOKUP(G10,'Qualifying Scores'!$A$10:$A$13,'Qualifying Scores'!$C$10:$C$13)),AND(AA10&gt;=LOOKUP(G10,'Qualifying Scores'!$A$4:$A$7,'Qualifying Scores'!$C$4:$C$7),AB10&gt;=LOOKUP(G10,'Qualifying Scores'!$A$10:$A$13,'Qualifying Scores'!$C$10:$C$13)),AND(AC10&gt;=LOOKUP(G10,'Qualifying Scores'!$A$4:$A$7,'Qualifying Scores'!$C$4:$C$7),AD10&gt;=LOOKUP(G10,'Qualifying Scores'!$A$10:$A$13,'Qualifying Scores'!$C$10:$C$13)),AND(AF10&gt;=LOOKUP(G10,'Qualifying Scores'!$A$4:$A$7,'Qualifying Scores'!$C$4:$C$7),AG10&gt;=LOOKUP(G10,'Qualifying Scores'!$A$10:$A$13,'Qualifying Scores'!$C$10:$C$13))),"P",""),IF(OR(AND(X10-U10&gt;=LOOKUP(G10,'Qualifying Scores'!$A$4:$A$7,'Qualifying Scores'!$C$4:$C$7),W10&gt;=LOOKUP(G10,'Qualifying Scores'!$A$10:$A$13,'Qualifying Scores'!$C$10:$C$13)),AND(AE10-AB10&gt;=LOOKUP(G10,'Qualifying Scores'!$A$4:$A$7,'Qualifying Scores'!$C$4:$C$7),AD10&gt;=LOOKUP(G10,'Qualifying Scores'!$A$10:$A$13,'Qualifying Scores'!$C$10:$C$13))),"P","")))</f>
        <v/>
      </c>
      <c r="Q10" s="1" t="str">
        <f>IF(A10&lt;5,IF(_xlfn.MAXIFS(A:A,G:G,G10)&gt;3,5-A10,_xlfn.MAXIFS(A:A,G:G,G10)+1-A10),"")</f>
        <v/>
      </c>
      <c r="R10" s="4">
        <f>IF(G10="17-21",MAX(T10,V10,Y10,AA10,AC10,AF10),MAX(X10,AE10))</f>
        <v>49.06</v>
      </c>
      <c r="S10" s="4">
        <f>IF(G10="17-21",LARGE(CHOOSE({1,2,3,4,5,6},T10,V10,Y10,AA10,AC10,AF10),2),IF(R10=X10,MAX(Y10,AA10,AC10,AF10),IF(R10=AE10,MAX(AF10,T10,V10,Y10),0)))</f>
        <v>46.99</v>
      </c>
      <c r="T10" s="33">
        <v>16.89</v>
      </c>
      <c r="U10" s="40">
        <v>0</v>
      </c>
      <c r="V10" s="34">
        <v>5.34</v>
      </c>
      <c r="W10" s="40">
        <v>1.3</v>
      </c>
      <c r="X10" s="4">
        <f>IF(H10="Senior",MAX(T10,V10),T10+V10)</f>
        <v>22.23</v>
      </c>
      <c r="Y10" s="34"/>
      <c r="Z10" s="40"/>
      <c r="AA10" s="33">
        <v>41.81</v>
      </c>
      <c r="AB10" s="40">
        <v>0</v>
      </c>
      <c r="AC10" s="34">
        <v>49.06</v>
      </c>
      <c r="AD10" s="40">
        <v>9</v>
      </c>
      <c r="AE10" s="4">
        <f>IF(H10="Senior",MAX(AA10,AC10),AA10+AC10)</f>
        <v>90.87</v>
      </c>
      <c r="AF10" s="34">
        <v>46.99</v>
      </c>
      <c r="AG10" s="37">
        <v>8.6</v>
      </c>
    </row>
    <row r="11" spans="1:33" x14ac:dyDescent="0.2">
      <c r="A11" s="1" t="str" cm="1">
        <f t="array" ref="A11">IF(I11="","",IF(P11&lt;&gt;"",SUMPRODUCT((P$3:P$133&lt;&gt;"")*(G$3:G$133=G11)*(J$3:J$133&gt;J11)*(I$3:I$133="P"))+1,IF(O11&lt;&gt;"",SUMPRODUCT((O$3:O$133&lt;&gt;"")*(P$3:P$133="")*(G$3:G$133=G11)*(J$3:J$133&gt;J11)*(I$3:I$133="P"))+SUMPRODUCT((P$3:P$133&lt;&gt;"")*(G$3:G$133=G11)*(I$3:I$133="P"))+1,IF(N11&lt;&gt;"",SUMPRODUCT((N$3:N$133&lt;&gt;"")*(G$3:G$133=G11)*(J$3:J$133&gt;J11)*(I$3:I$133="P"))+1,IF(M11="P",SUMPRODUCT((O$3:O$133&lt;&gt;"")*(P$3:P$133="")*(G$3:G$133=G11)*(I$3:I$133="P"))+SUMPRODUCT((P$3:P$133&lt;&gt;"")*(G$3:G$133=G11)*(I$3:I$133="P"))+SUMPRODUCT((N$3:N$133&lt;&gt;"")*(G$3:G$133=G11)*(I$3:I$133="P"))+SUMPRODUCT((P$3:P$133="")*(O$3:O$133="")*(N$3:N$133="")*(M$3:M$133="P")*(G$3:G$133=G11)*(J$3:J$133&gt;J11)*(I$3:I$133="P"))+IF(H11="L5",SUMPRODUCT((P$3:P$133="")*(O$3:O$133="")*(N$3:N$133="")*(M$3:M$133="P")*(G$3:G$133=G11)*(J$3:J$133&lt;J11)*(H$3:H$133&lt;&gt;H11)*(I$3:I$133="P")),-1*SUMPRODUCT((P$3:P$133="")*(O$3:O$133="")*(N$3:N$133="")*(M$3:M$133="P")*(G$3:G$133=G11)*(J$3:J$133&gt;J11)*(H$3:H$133="L5")*(I$3:I$133="P")))+1,"")))))</f>
        <v/>
      </c>
      <c r="B11" s="1" t="str" cm="1">
        <f t="array" ref="B11">IF(P11&lt;&gt;"",SUMPRODUCT((P$3:P$133&lt;&gt;"")*(G$3:G$133=G11)*(J$3:J$133&gt;J11))+1,IF(O11&lt;&gt;"",SUMPRODUCT((O$3:O$133&lt;&gt;"")*(P$3:P$133="")*(G$3:G$133=G11)*(J$3:J$133&gt;J11))+SUMPRODUCT((P$3:P$133&lt;&gt;"")*(G$3:G$133=G11))+1,IF(N11&lt;&gt;"",SUMPRODUCT((N$3:N$133&lt;&gt;"")*(G$3:G$133=G11)*(J$3:J$133&gt;J11))+1,IF(M11="P",SUMPRODUCT((O$3:O$133&lt;&gt;"")*(P$3:P$133="")*(G$3:G$133=G11))+SUMPRODUCT((P$3:P$133&lt;&gt;"")*(G$3:G$133=G11))+SUMPRODUCT((N$3:N$133&lt;&gt;"")*(G$3:G$133=G11))+SUMPRODUCT((P$3:P$133="")*(O$3:O$133="")*(N$3:N$133="")*(M$3:M$133="P")*(G$3:G$133=G11)*(J$3:J$133&gt;J11))+IF(H11="L5",SUMPRODUCT((P$3:P$133="")*(O$3:O$133="")*(N$3:N$133="")*(M$3:M$133="P")*(G$3:G$133=G11)*(J$3:J$133&lt;J11)*(H$3:H$133&lt;&gt;H11)),-1*SUMPRODUCT((P$3:P$133="")*(O$3:O$133="")*(N$3:N$133="")*(M$3:M$133="P")*(G$3:G$133=G11)*(J$3:J$133&gt;J11)*(H$3:H$133="L5")))+1,""))))</f>
        <v/>
      </c>
      <c r="C11" s="36" t="s">
        <v>360</v>
      </c>
      <c r="D11" s="36" t="str">
        <f>IF(E11="","",VLOOKUP(E11,'Coaching Points'!A:B,2,0))</f>
        <v>QC</v>
      </c>
      <c r="E11" s="36" t="s">
        <v>289</v>
      </c>
      <c r="F11" s="35">
        <v>2002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68</v>
      </c>
      <c r="I11" s="43" t="s">
        <v>567</v>
      </c>
      <c r="J11" s="4">
        <f>R11+S11+IF(OR(H11="Junior",H11="Senior"),0.0002,IF(OR(H11="L7",H11="L6"),0.0001,0))+IF(G11="17-21",MAX(AA11,AC11,AF11),AE11)*0.0000001</f>
        <v>95.690104806000008</v>
      </c>
      <c r="K11" s="3" t="str">
        <f>IF(G11="Not Age Eligible","",IF(G11="17-21",IF(MAX(T11,V11,Y11,AA11,AC11,AF11)&gt;=LOOKUP(G11,'Qualifying Scores'!$A$4:$A$7,'Qualifying Scores'!$C$4:$C$7),"P",""),IF(MAX(X11-U11,AE11-AB11)&gt;=LOOKUP(G11,'Qualifying Scores'!$A$4:$A$7,'Qualifying Scores'!$C$4:$C$7),"P","")))</f>
        <v>P</v>
      </c>
      <c r="L11" s="3" t="str">
        <f>IF(G11="Not Age Eligible","",IF(G11="17-21",IF(MAX(U11,W11,Z11,AB11,AD11,AG11)&gt;=LOOKUP(G11,'Qualifying Scores'!$A$10:$A$13,'Qualifying Scores'!$C$10:$C$13),"P",""),IF(MAX(W11,AD11)&gt;=LOOKUP(G11,'Qualifying Scores'!$A$10:$A$13,'Qualifying Scores'!$C$10:$C$13),"P","")))</f>
        <v/>
      </c>
      <c r="M11" s="3" t="str">
        <f>IF(G11="Not Age Eligible","",IF(G11="17-21",IF(OR(AND(T11&gt;=LOOKUP(G11,'Qualifying Scores'!$A$4:$A$7,'Qualifying Scores'!$C$4:$C$7),U11&gt;=LOOKUP(G11,'Qualifying Scores'!$A$10:$A$13,'Qualifying Scores'!$C$10:$C$13)),AND(V11&gt;=LOOKUP(G11,'Qualifying Scores'!$A$4:$A$7,'Qualifying Scores'!$C$4:$C$7),W11&gt;=LOOKUP(G11,'Qualifying Scores'!$A$10:$A$13,'Qualifying Scores'!$C$10:$C$13)),AND(Y11&gt;=LOOKUP(G11,'Qualifying Scores'!$A$4:$A$7,'Qualifying Scores'!$C$4:$C$7),Z11&gt;=LOOKUP(G11,'Qualifying Scores'!$A$10:$A$13,'Qualifying Scores'!$C$10:$C$13)),AND(AA11&gt;=LOOKUP(G11,'Qualifying Scores'!$A$4:$A$7,'Qualifying Scores'!$C$4:$C$7),AB11&gt;=LOOKUP(G11,'Qualifying Scores'!$A$10:$A$13,'Qualifying Scores'!$C$10:$C$13)),AND(AC11&gt;=LOOKUP(G11,'Qualifying Scores'!$A$4:$A$7,'Qualifying Scores'!$C$4:$C$7),AD11&gt;=LOOKUP(G11,'Qualifying Scores'!$A$10:$A$13,'Qualifying Scores'!$C$10:$C$13)),AND(AF11&gt;=LOOKUP(G11,'Qualifying Scores'!$A$4:$A$7,'Qualifying Scores'!$C$4:$C$7),AG11&gt;=LOOKUP(G11,'Qualifying Scores'!$A$10:$A$13,'Qualifying Scores'!$C$10:$C$13))),"P",""),IF(OR(AND(X11-U11&gt;=LOOKUP(G11,'Qualifying Scores'!$A$4:$A$7,'Qualifying Scores'!$C$4:$C$7),W11&gt;=LOOKUP(G11,'Qualifying Scores'!$A$10:$A$13,'Qualifying Scores'!$C$10:$C$13)),AND(AE11-AB11&gt;=LOOKUP(G11,'Qualifying Scores'!$A$4:$A$7,'Qualifying Scores'!$C$4:$C$7),AD11&gt;=LOOKUP(G11,'Qualifying Scores'!$A$10:$A$13,'Qualifying Scores'!$C$10:$C$13))),"P","")))</f>
        <v/>
      </c>
      <c r="Q11" s="1" t="str">
        <f>IF(A11&lt;5,IF(_xlfn.MAXIFS(A:A,G:G,G11)&gt;3,5-A11,_xlfn.MAXIFS(A:A,G:G,G11)+1-A11),"")</f>
        <v/>
      </c>
      <c r="R11" s="4">
        <f>IF(G11="17-21",MAX(T11,V11,Y11,AA11,AC11,AF11),MAX(X11,AE11))</f>
        <v>48.06</v>
      </c>
      <c r="S11" s="4">
        <f>IF(G11="17-21",LARGE(CHOOSE({1,2,3,4,5,6},T11,V11,Y11,AA11,AC11,AF11),2),IF(R11=X11,MAX(Y11,AA11,AC11,AF11),IF(R11=AE11,MAX(AF11,T11,V11,Y11),0)))</f>
        <v>47.63</v>
      </c>
      <c r="T11" s="33"/>
      <c r="U11" s="40"/>
      <c r="V11" s="34"/>
      <c r="W11" s="40"/>
      <c r="X11" s="4">
        <f>IF(H11="Senior",MAX(T11,V11),T11+V11)</f>
        <v>0</v>
      </c>
      <c r="Y11" s="34"/>
      <c r="Z11" s="40"/>
      <c r="AA11" s="33">
        <v>10.65</v>
      </c>
      <c r="AB11" s="40">
        <v>2.2999999999999998</v>
      </c>
      <c r="AC11" s="34">
        <v>48.06</v>
      </c>
      <c r="AD11" s="40">
        <v>9</v>
      </c>
      <c r="AE11" s="4">
        <f>IF(H11="Senior",MAX(AA11,AC11),AA11+AC11)</f>
        <v>58.71</v>
      </c>
      <c r="AF11" s="34">
        <v>47.63</v>
      </c>
      <c r="AG11" s="37">
        <v>9</v>
      </c>
    </row>
    <row r="12" spans="1:33" x14ac:dyDescent="0.2">
      <c r="A12" s="1" t="str" cm="1">
        <f t="array" ref="A12">IF(I12="","",IF(P12&lt;&gt;"",SUMPRODUCT((P$3:P$133&lt;&gt;"")*(G$3:G$133=G12)*(J$3:J$133&gt;J12)*(I$3:I$133="P"))+1,IF(O12&lt;&gt;"",SUMPRODUCT((O$3:O$133&lt;&gt;"")*(P$3:P$133="")*(G$3:G$133=G12)*(J$3:J$133&gt;J12)*(I$3:I$133="P"))+SUMPRODUCT((P$3:P$133&lt;&gt;"")*(G$3:G$133=G12)*(I$3:I$133="P"))+1,IF(N12&lt;&gt;"",SUMPRODUCT((N$3:N$133&lt;&gt;"")*(G$3:G$133=G12)*(J$3:J$133&gt;J12)*(I$3:I$133="P"))+1,IF(M12="P",SUMPRODUCT((O$3:O$133&lt;&gt;"")*(P$3:P$133="")*(G$3:G$133=G12)*(I$3:I$133="P"))+SUMPRODUCT((P$3:P$133&lt;&gt;"")*(G$3:G$133=G12)*(I$3:I$133="P"))+SUMPRODUCT((N$3:N$133&lt;&gt;"")*(G$3:G$133=G12)*(I$3:I$133="P"))+SUMPRODUCT((P$3:P$133="")*(O$3:O$133="")*(N$3:N$133="")*(M$3:M$133="P")*(G$3:G$133=G12)*(J$3:J$133&gt;J12)*(I$3:I$133="P"))+IF(H12="L5",SUMPRODUCT((P$3:P$133="")*(O$3:O$133="")*(N$3:N$133="")*(M$3:M$133="P")*(G$3:G$133=G12)*(J$3:J$133&lt;J12)*(H$3:H$133&lt;&gt;H12)*(I$3:I$133="P")),-1*SUMPRODUCT((P$3:P$133="")*(O$3:O$133="")*(N$3:N$133="")*(M$3:M$133="P")*(G$3:G$133=G12)*(J$3:J$133&gt;J12)*(H$3:H$133="L5")*(I$3:I$133="P")))+1,"")))))</f>
        <v/>
      </c>
      <c r="B12" s="1" t="str" cm="1">
        <f t="array" ref="B12">IF(P12&lt;&gt;"",SUMPRODUCT((P$3:P$133&lt;&gt;"")*(G$3:G$133=G12)*(J$3:J$133&gt;J12))+1,IF(O12&lt;&gt;"",SUMPRODUCT((O$3:O$133&lt;&gt;"")*(P$3:P$133="")*(G$3:G$133=G12)*(J$3:J$133&gt;J12))+SUMPRODUCT((P$3:P$133&lt;&gt;"")*(G$3:G$133=G12))+1,IF(N12&lt;&gt;"",SUMPRODUCT((N$3:N$133&lt;&gt;"")*(G$3:G$133=G12)*(J$3:J$133&gt;J12))+1,IF(M12="P",SUMPRODUCT((O$3:O$133&lt;&gt;"")*(P$3:P$133="")*(G$3:G$133=G12))+SUMPRODUCT((P$3:P$133&lt;&gt;"")*(G$3:G$133=G12))+SUMPRODUCT((N$3:N$133&lt;&gt;"")*(G$3:G$133=G12))+SUMPRODUCT((P$3:P$133="")*(O$3:O$133="")*(N$3:N$133="")*(M$3:M$133="P")*(G$3:G$133=G12)*(J$3:J$133&gt;J12))+IF(H12="L5",SUMPRODUCT((P$3:P$133="")*(O$3:O$133="")*(N$3:N$133="")*(M$3:M$133="P")*(G$3:G$133=G12)*(J$3:J$133&lt;J12)*(H$3:H$133&lt;&gt;H12)),-1*SUMPRODUCT((P$3:P$133="")*(O$3:O$133="")*(N$3:N$133="")*(M$3:M$133="P")*(G$3:G$133=G12)*(J$3:J$133&gt;J12)*(H$3:H$133="L5")))+1,""))))</f>
        <v/>
      </c>
      <c r="C12" s="36" t="s">
        <v>135</v>
      </c>
      <c r="D12" s="36" t="str">
        <f>IF(E12="","",VLOOKUP(E12,'Coaching Points'!A:B,2,0))</f>
        <v>QC</v>
      </c>
      <c r="E12" s="36" t="s">
        <v>285</v>
      </c>
      <c r="F12" s="35">
        <v>2004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/>
      <c r="J12" s="4">
        <f>R12+S12+IF(OR(H12="Junior",H12="Senior"),0.0002,IF(OR(H12="L7",H12="L6"),0.0001,0))+IF(G12="17-21",MAX(AA12,AC12,AF12),AE12)*0.0000001</f>
        <v>95.240104811000009</v>
      </c>
      <c r="K12" s="3" t="str">
        <f>IF(G12="Not Age Eligible","",IF(G12="17-21",IF(MAX(T12,V12,Y12,AA12,AC12,AF12)&gt;=LOOKUP(G12,'Qualifying Scores'!$A$4:$A$7,'Qualifying Scores'!$C$4:$C$7),"P",""),IF(MAX(X12-U12,AE12-AB12)&gt;=LOOKUP(G12,'Qualifying Scores'!$A$4:$A$7,'Qualifying Scores'!$C$4:$C$7),"P","")))</f>
        <v>P</v>
      </c>
      <c r="L12" s="3" t="str">
        <f>IF(G12="Not Age Eligible","",IF(G12="17-21",IF(MAX(U12,W12,Z12,AB12,AD12,AG12)&gt;=LOOKUP(G12,'Qualifying Scores'!$A$10:$A$13,'Qualifying Scores'!$C$10:$C$13),"P",""),IF(MAX(W12,AD12)&gt;=LOOKUP(G12,'Qualifying Scores'!$A$10:$A$13,'Qualifying Scores'!$C$10:$C$13),"P","")))</f>
        <v/>
      </c>
      <c r="M12" s="3" t="str">
        <f>IF(G12="Not Age Eligible","",IF(G12="17-21",IF(OR(AND(T12&gt;=LOOKUP(G12,'Qualifying Scores'!$A$4:$A$7,'Qualifying Scores'!$C$4:$C$7),U12&gt;=LOOKUP(G12,'Qualifying Scores'!$A$10:$A$13,'Qualifying Scores'!$C$10:$C$13)),AND(V12&gt;=LOOKUP(G12,'Qualifying Scores'!$A$4:$A$7,'Qualifying Scores'!$C$4:$C$7),W12&gt;=LOOKUP(G12,'Qualifying Scores'!$A$10:$A$13,'Qualifying Scores'!$C$10:$C$13)),AND(Y12&gt;=LOOKUP(G12,'Qualifying Scores'!$A$4:$A$7,'Qualifying Scores'!$C$4:$C$7),Z12&gt;=LOOKUP(G12,'Qualifying Scores'!$A$10:$A$13,'Qualifying Scores'!$C$10:$C$13)),AND(AA12&gt;=LOOKUP(G12,'Qualifying Scores'!$A$4:$A$7,'Qualifying Scores'!$C$4:$C$7),AB12&gt;=LOOKUP(G12,'Qualifying Scores'!$A$10:$A$13,'Qualifying Scores'!$C$10:$C$13)),AND(AC12&gt;=LOOKUP(G12,'Qualifying Scores'!$A$4:$A$7,'Qualifying Scores'!$C$4:$C$7),AD12&gt;=LOOKUP(G12,'Qualifying Scores'!$A$10:$A$13,'Qualifying Scores'!$C$10:$C$13)),AND(AF12&gt;=LOOKUP(G12,'Qualifying Scores'!$A$4:$A$7,'Qualifying Scores'!$C$4:$C$7),AG12&gt;=LOOKUP(G12,'Qualifying Scores'!$A$10:$A$13,'Qualifying Scores'!$C$10:$C$13))),"P",""),IF(OR(AND(X12-U12&gt;=LOOKUP(G12,'Qualifying Scores'!$A$4:$A$7,'Qualifying Scores'!$C$4:$C$7),W12&gt;=LOOKUP(G12,'Qualifying Scores'!$A$10:$A$13,'Qualifying Scores'!$C$10:$C$13)),AND(AE12-AB12&gt;=LOOKUP(G12,'Qualifying Scores'!$A$4:$A$7,'Qualifying Scores'!$C$4:$C$7),AD12&gt;=LOOKUP(G12,'Qualifying Scores'!$A$10:$A$13,'Qualifying Scores'!$C$10:$C$13))),"P","")))</f>
        <v/>
      </c>
      <c r="Q12" s="1" t="str">
        <f>IF(A12&lt;5,IF(_xlfn.MAXIFS(A:A,G:G,G12)&gt;3,5-A12,_xlfn.MAXIFS(A:A,G:G,G12)+1-A12),"")</f>
        <v/>
      </c>
      <c r="R12" s="4">
        <f>IF(G12="17-21",MAX(T12,V12,Y12,AA12,AC12,AF12),MAX(X12,AE12))</f>
        <v>48.11</v>
      </c>
      <c r="S12" s="4">
        <f>IF(G12="17-21",LARGE(CHOOSE({1,2,3,4,5,6},T12,V12,Y12,AA12,AC12,AF12),2),IF(R12=X12,MAX(Y12,AA12,AC12,AF12),IF(R12=AE12,MAX(AF12,T12,V12,Y12),0)))</f>
        <v>47.13</v>
      </c>
      <c r="T12" s="33">
        <v>46.35</v>
      </c>
      <c r="U12" s="40">
        <v>8.8000000000000007</v>
      </c>
      <c r="V12" s="34">
        <v>45.34</v>
      </c>
      <c r="W12" s="40">
        <v>8.5</v>
      </c>
      <c r="X12" s="4">
        <f>IF(H12="Senior",MAX(T12,V12),T12+V12)</f>
        <v>91.69</v>
      </c>
      <c r="Y12" s="34">
        <v>46.88</v>
      </c>
      <c r="Z12" s="40">
        <v>8.8000000000000007</v>
      </c>
      <c r="AA12" s="33">
        <v>48.11</v>
      </c>
      <c r="AB12" s="40">
        <v>8.8000000000000007</v>
      </c>
      <c r="AC12" s="34">
        <v>47.13</v>
      </c>
      <c r="AD12" s="40">
        <v>8.8000000000000007</v>
      </c>
      <c r="AE12" s="4">
        <f>IF(H12="Senior",MAX(AA12,AC12),AA12+AC12)</f>
        <v>95.240000000000009</v>
      </c>
      <c r="AF12" s="34">
        <v>41.2</v>
      </c>
      <c r="AG12" s="37">
        <v>7</v>
      </c>
    </row>
    <row r="13" spans="1:33" x14ac:dyDescent="0.2">
      <c r="A13" s="1" t="str" cm="1">
        <f t="array" ref="A13">IF(I13="","",IF(P13&lt;&gt;"",SUMPRODUCT((P$3:P$133&lt;&gt;"")*(G$3:G$133=G13)*(J$3:J$133&gt;J13)*(I$3:I$133="P"))+1,IF(O13&lt;&gt;"",SUMPRODUCT((O$3:O$133&lt;&gt;"")*(P$3:P$133="")*(G$3:G$133=G13)*(J$3:J$133&gt;J13)*(I$3:I$133="P"))+SUMPRODUCT((P$3:P$133&lt;&gt;"")*(G$3:G$133=G13)*(I$3:I$133="P"))+1,IF(N13&lt;&gt;"",SUMPRODUCT((N$3:N$133&lt;&gt;"")*(G$3:G$133=G13)*(J$3:J$133&gt;J13)*(I$3:I$133="P"))+1,IF(M13="P",SUMPRODUCT((O$3:O$133&lt;&gt;"")*(P$3:P$133="")*(G$3:G$133=G13)*(I$3:I$133="P"))+SUMPRODUCT((P$3:P$133&lt;&gt;"")*(G$3:G$133=G13)*(I$3:I$133="P"))+SUMPRODUCT((N$3:N$133&lt;&gt;"")*(G$3:G$133=G13)*(I$3:I$133="P"))+SUMPRODUCT((P$3:P$133="")*(O$3:O$133="")*(N$3:N$133="")*(M$3:M$133="P")*(G$3:G$133=G13)*(J$3:J$133&gt;J13)*(I$3:I$133="P"))+IF(H13="L5",SUMPRODUCT((P$3:P$133="")*(O$3:O$133="")*(N$3:N$133="")*(M$3:M$133="P")*(G$3:G$133=G13)*(J$3:J$133&lt;J13)*(H$3:H$133&lt;&gt;H13)*(I$3:I$133="P")),-1*SUMPRODUCT((P$3:P$133="")*(O$3:O$133="")*(N$3:N$133="")*(M$3:M$133="P")*(G$3:G$133=G13)*(J$3:J$133&gt;J13)*(H$3:H$133="L5")*(I$3:I$133="P")))+1,"")))))</f>
        <v/>
      </c>
      <c r="B13" s="1" t="str" cm="1">
        <f t="array" ref="B13">IF(P13&lt;&gt;"",SUMPRODUCT((P$3:P$133&lt;&gt;"")*(G$3:G$133=G13)*(J$3:J$133&gt;J13))+1,IF(O13&lt;&gt;"",SUMPRODUCT((O$3:O$133&lt;&gt;"")*(P$3:P$133="")*(G$3:G$133=G13)*(J$3:J$133&gt;J13))+SUMPRODUCT((P$3:P$133&lt;&gt;"")*(G$3:G$133=G13))+1,IF(N13&lt;&gt;"",SUMPRODUCT((N$3:N$133&lt;&gt;"")*(G$3:G$133=G13)*(J$3:J$133&gt;J13))+1,IF(M13="P",SUMPRODUCT((O$3:O$133&lt;&gt;"")*(P$3:P$133="")*(G$3:G$133=G13))+SUMPRODUCT((P$3:P$133&lt;&gt;"")*(G$3:G$133=G13))+SUMPRODUCT((N$3:N$133&lt;&gt;"")*(G$3:G$133=G13))+SUMPRODUCT((P$3:P$133="")*(O$3:O$133="")*(N$3:N$133="")*(M$3:M$133="P")*(G$3:G$133=G13)*(J$3:J$133&gt;J13))+IF(H13="L5",SUMPRODUCT((P$3:P$133="")*(O$3:O$133="")*(N$3:N$133="")*(M$3:M$133="P")*(G$3:G$133=G13)*(J$3:J$133&lt;J13)*(H$3:H$133&lt;&gt;H13)),-1*SUMPRODUCT((P$3:P$133="")*(O$3:O$133="")*(N$3:N$133="")*(M$3:M$133="P")*(G$3:G$133=G13)*(J$3:J$133&gt;J13)*(H$3:H$133="L5")))+1,""))))</f>
        <v/>
      </c>
      <c r="C13" s="36" t="s">
        <v>155</v>
      </c>
      <c r="D13" s="36" t="str">
        <f>IF(E13="","",VLOOKUP(E13,'Coaching Points'!A:B,2,0))</f>
        <v>AB</v>
      </c>
      <c r="E13" s="36" t="s">
        <v>29</v>
      </c>
      <c r="F13" s="35">
        <v>2005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/>
      <c r="J13" s="4">
        <f>R13+S13+IF(OR(H13="Junior",H13="Senior"),0.0002,IF(OR(H13="L7",H13="L6"),0.0001,0))+IF(G13="17-21",MAX(AA13,AC13,AF13),AE13)*0.0000001</f>
        <v>94.930104815000007</v>
      </c>
      <c r="K13" s="3" t="str">
        <f>IF(G13="Not Age Eligible","",IF(G13="17-21",IF(MAX(T13,V13,Y13,AA13,AC13,AF13)&gt;=LOOKUP(G13,'Qualifying Scores'!$A$4:$A$7,'Qualifying Scores'!$C$4:$C$7),"P",""),IF(MAX(X13-U13,AE13-AB13)&gt;=LOOKUP(G13,'Qualifying Scores'!$A$4:$A$7,'Qualifying Scores'!$C$4:$C$7),"P","")))</f>
        <v>P</v>
      </c>
      <c r="L13" s="3" t="str">
        <f>IF(G13="Not Age Eligible","",IF(G13="17-21",IF(MAX(U13,W13,Z13,AB13,AD13,AG13)&gt;=LOOKUP(G13,'Qualifying Scores'!$A$10:$A$13,'Qualifying Scores'!$C$10:$C$13),"P",""),IF(MAX(W13,AD13)&gt;=LOOKUP(G13,'Qualifying Scores'!$A$10:$A$13,'Qualifying Scores'!$C$10:$C$13),"P","")))</f>
        <v/>
      </c>
      <c r="M13" s="3" t="str">
        <f>IF(G13="Not Age Eligible","",IF(G13="17-21",IF(OR(AND(T13&gt;=LOOKUP(G13,'Qualifying Scores'!$A$4:$A$7,'Qualifying Scores'!$C$4:$C$7),U13&gt;=LOOKUP(G13,'Qualifying Scores'!$A$10:$A$13,'Qualifying Scores'!$C$10:$C$13)),AND(V13&gt;=LOOKUP(G13,'Qualifying Scores'!$A$4:$A$7,'Qualifying Scores'!$C$4:$C$7),W13&gt;=LOOKUP(G13,'Qualifying Scores'!$A$10:$A$13,'Qualifying Scores'!$C$10:$C$13)),AND(Y13&gt;=LOOKUP(G13,'Qualifying Scores'!$A$4:$A$7,'Qualifying Scores'!$C$4:$C$7),Z13&gt;=LOOKUP(G13,'Qualifying Scores'!$A$10:$A$13,'Qualifying Scores'!$C$10:$C$13)),AND(AA13&gt;=LOOKUP(G13,'Qualifying Scores'!$A$4:$A$7,'Qualifying Scores'!$C$4:$C$7),AB13&gt;=LOOKUP(G13,'Qualifying Scores'!$A$10:$A$13,'Qualifying Scores'!$C$10:$C$13)),AND(AC13&gt;=LOOKUP(G13,'Qualifying Scores'!$A$4:$A$7,'Qualifying Scores'!$C$4:$C$7),AD13&gt;=LOOKUP(G13,'Qualifying Scores'!$A$10:$A$13,'Qualifying Scores'!$C$10:$C$13)),AND(AF13&gt;=LOOKUP(G13,'Qualifying Scores'!$A$4:$A$7,'Qualifying Scores'!$C$4:$C$7),AG13&gt;=LOOKUP(G13,'Qualifying Scores'!$A$10:$A$13,'Qualifying Scores'!$C$10:$C$13))),"P",""),IF(OR(AND(X13-U13&gt;=LOOKUP(G13,'Qualifying Scores'!$A$4:$A$7,'Qualifying Scores'!$C$4:$C$7),W13&gt;=LOOKUP(G13,'Qualifying Scores'!$A$10:$A$13,'Qualifying Scores'!$C$10:$C$13)),AND(AE13-AB13&gt;=LOOKUP(G13,'Qualifying Scores'!$A$4:$A$7,'Qualifying Scores'!$C$4:$C$7),AD13&gt;=LOOKUP(G13,'Qualifying Scores'!$A$10:$A$13,'Qualifying Scores'!$C$10:$C$13))),"P","")))</f>
        <v/>
      </c>
      <c r="Q13" s="1" t="str">
        <f>IF(A13&lt;5,IF(_xlfn.MAXIFS(A:A,G:G,G13)&gt;3,5-A13,_xlfn.MAXIFS(A:A,G:G,G13)+1-A13),"")</f>
        <v/>
      </c>
      <c r="R13" s="4">
        <f>IF(G13="17-21",MAX(T13,V13,Y13,AA13,AC13,AF13),MAX(X13,AE13))</f>
        <v>48.15</v>
      </c>
      <c r="S13" s="4">
        <f>IF(G13="17-21",LARGE(CHOOSE({1,2,3,4,5,6},T13,V13,Y13,AA13,AC13,AF13),2),IF(R13=X13,MAX(Y13,AA13,AC13,AF13),IF(R13=AE13,MAX(AF13,T13,V13,Y13),0)))</f>
        <v>46.78</v>
      </c>
      <c r="T13" s="33">
        <v>5.25</v>
      </c>
      <c r="U13" s="40">
        <v>1.5</v>
      </c>
      <c r="V13" s="34">
        <v>5.15</v>
      </c>
      <c r="W13" s="40">
        <v>1.5</v>
      </c>
      <c r="X13" s="4">
        <f>IF(H13="Senior",MAX(T13,V13),T13+V13)</f>
        <v>10.4</v>
      </c>
      <c r="Y13" s="34"/>
      <c r="Z13" s="40"/>
      <c r="AA13" s="33">
        <v>45.89</v>
      </c>
      <c r="AB13" s="40">
        <v>8.3000000000000007</v>
      </c>
      <c r="AC13" s="34">
        <v>48.15</v>
      </c>
      <c r="AD13" s="40">
        <v>8.5</v>
      </c>
      <c r="AE13" s="4">
        <f>IF(H13="Senior",MAX(AA13,AC13),AA13+AC13)</f>
        <v>94.039999999999992</v>
      </c>
      <c r="AF13" s="34">
        <v>46.78</v>
      </c>
      <c r="AG13" s="37">
        <v>8.5</v>
      </c>
    </row>
    <row r="14" spans="1:33" x14ac:dyDescent="0.2">
      <c r="A14" s="1" t="str" cm="1">
        <f t="array" ref="A14">IF(I14="","",IF(P14&lt;&gt;"",SUMPRODUCT((P$3:P$133&lt;&gt;"")*(G$3:G$133=G14)*(J$3:J$133&gt;J14)*(I$3:I$133="P"))+1,IF(O14&lt;&gt;"",SUMPRODUCT((O$3:O$133&lt;&gt;"")*(P$3:P$133="")*(G$3:G$133=G14)*(J$3:J$133&gt;J14)*(I$3:I$133="P"))+SUMPRODUCT((P$3:P$133&lt;&gt;"")*(G$3:G$133=G14)*(I$3:I$133="P"))+1,IF(N14&lt;&gt;"",SUMPRODUCT((N$3:N$133&lt;&gt;"")*(G$3:G$133=G14)*(J$3:J$133&gt;J14)*(I$3:I$133="P"))+1,IF(M14="P",SUMPRODUCT((O$3:O$133&lt;&gt;"")*(P$3:P$133="")*(G$3:G$133=G14)*(I$3:I$133="P"))+SUMPRODUCT((P$3:P$133&lt;&gt;"")*(G$3:G$133=G14)*(I$3:I$133="P"))+SUMPRODUCT((N$3:N$133&lt;&gt;"")*(G$3:G$133=G14)*(I$3:I$133="P"))+SUMPRODUCT((P$3:P$133="")*(O$3:O$133="")*(N$3:N$133="")*(M$3:M$133="P")*(G$3:G$133=G14)*(J$3:J$133&gt;J14)*(I$3:I$133="P"))+IF(H14="L5",SUMPRODUCT((P$3:P$133="")*(O$3:O$133="")*(N$3:N$133="")*(M$3:M$133="P")*(G$3:G$133=G14)*(J$3:J$133&lt;J14)*(H$3:H$133&lt;&gt;H14)*(I$3:I$133="P")),-1*SUMPRODUCT((P$3:P$133="")*(O$3:O$133="")*(N$3:N$133="")*(M$3:M$133="P")*(G$3:G$133=G14)*(J$3:J$133&gt;J14)*(H$3:H$133="L5")*(I$3:I$133="P")))+1,"")))))</f>
        <v/>
      </c>
      <c r="B14" s="1" t="str" cm="1">
        <f t="array" ref="B14">IF(P14&lt;&gt;"",SUMPRODUCT((P$3:P$133&lt;&gt;"")*(G$3:G$133=G14)*(J$3:J$133&gt;J14))+1,IF(O14&lt;&gt;"",SUMPRODUCT((O$3:O$133&lt;&gt;"")*(P$3:P$133="")*(G$3:G$133=G14)*(J$3:J$133&gt;J14))+SUMPRODUCT((P$3:P$133&lt;&gt;"")*(G$3:G$133=G14))+1,IF(N14&lt;&gt;"",SUMPRODUCT((N$3:N$133&lt;&gt;"")*(G$3:G$133=G14)*(J$3:J$133&gt;J14))+1,IF(M14="P",SUMPRODUCT((O$3:O$133&lt;&gt;"")*(P$3:P$133="")*(G$3:G$133=G14))+SUMPRODUCT((P$3:P$133&lt;&gt;"")*(G$3:G$133=G14))+SUMPRODUCT((N$3:N$133&lt;&gt;"")*(G$3:G$133=G14))+SUMPRODUCT((P$3:P$133="")*(O$3:O$133="")*(N$3:N$133="")*(M$3:M$133="P")*(G$3:G$133=G14)*(J$3:J$133&gt;J14))+IF(H14="L5",SUMPRODUCT((P$3:P$133="")*(O$3:O$133="")*(N$3:N$133="")*(M$3:M$133="P")*(G$3:G$133=G14)*(J$3:J$133&lt;J14)*(H$3:H$133&lt;&gt;H14)),-1*SUMPRODUCT((P$3:P$133="")*(O$3:O$133="")*(N$3:N$133="")*(M$3:M$133="P")*(G$3:G$133=G14)*(J$3:J$133&gt;J14)*(H$3:H$133="L5")))+1,""))))</f>
        <v/>
      </c>
      <c r="C14" s="36" t="s">
        <v>132</v>
      </c>
      <c r="D14" s="36" t="str">
        <f>IF(E14="","",VLOOKUP(E14,'Coaching Points'!A:B,2,0))</f>
        <v>QC</v>
      </c>
      <c r="E14" s="36" t="s">
        <v>84</v>
      </c>
      <c r="F14" s="35">
        <v>2005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68</v>
      </c>
      <c r="I14" s="43"/>
      <c r="J14" s="4">
        <f>R14+S14+IF(OR(H14="Junior",H14="Senior"),0.0002,IF(OR(H14="L7",H14="L6"),0.0001,0))+IF(G14="17-21",MAX(AA14,AC14,AF14),AE14)*0.0000001</f>
        <v>94.790104778</v>
      </c>
      <c r="K14" s="3" t="str">
        <f>IF(G14="Not Age Eligible","",IF(G14="17-21",IF(MAX(T14,V14,Y14,AA14,AC14,AF14)&gt;=LOOKUP(G14,'Qualifying Scores'!$A$4:$A$7,'Qualifying Scores'!$C$4:$C$7),"P",""),IF(MAX(X14-U14,AE14-AB14)&gt;=LOOKUP(G14,'Qualifying Scores'!$A$4:$A$7,'Qualifying Scores'!$C$4:$C$7),"P","")))</f>
        <v>P</v>
      </c>
      <c r="L14" s="3" t="str">
        <f>IF(G14="Not Age Eligible","",IF(G14="17-21",IF(MAX(U14,W14,Z14,AB14,AD14,AG14)&gt;=LOOKUP(G14,'Qualifying Scores'!$A$10:$A$13,'Qualifying Scores'!$C$10:$C$13),"P",""),IF(MAX(W14,AD14)&gt;=LOOKUP(G14,'Qualifying Scores'!$A$10:$A$13,'Qualifying Scores'!$C$10:$C$13),"P","")))</f>
        <v/>
      </c>
      <c r="M14" s="3" t="str">
        <f>IF(G14="Not Age Eligible","",IF(G14="17-21",IF(OR(AND(T14&gt;=LOOKUP(G14,'Qualifying Scores'!$A$4:$A$7,'Qualifying Scores'!$C$4:$C$7),U14&gt;=LOOKUP(G14,'Qualifying Scores'!$A$10:$A$13,'Qualifying Scores'!$C$10:$C$13)),AND(V14&gt;=LOOKUP(G14,'Qualifying Scores'!$A$4:$A$7,'Qualifying Scores'!$C$4:$C$7),W14&gt;=LOOKUP(G14,'Qualifying Scores'!$A$10:$A$13,'Qualifying Scores'!$C$10:$C$13)),AND(Y14&gt;=LOOKUP(G14,'Qualifying Scores'!$A$4:$A$7,'Qualifying Scores'!$C$4:$C$7),Z14&gt;=LOOKUP(G14,'Qualifying Scores'!$A$10:$A$13,'Qualifying Scores'!$C$10:$C$13)),AND(AA14&gt;=LOOKUP(G14,'Qualifying Scores'!$A$4:$A$7,'Qualifying Scores'!$C$4:$C$7),AB14&gt;=LOOKUP(G14,'Qualifying Scores'!$A$10:$A$13,'Qualifying Scores'!$C$10:$C$13)),AND(AC14&gt;=LOOKUP(G14,'Qualifying Scores'!$A$4:$A$7,'Qualifying Scores'!$C$4:$C$7),AD14&gt;=LOOKUP(G14,'Qualifying Scores'!$A$10:$A$13,'Qualifying Scores'!$C$10:$C$13)),AND(AF14&gt;=LOOKUP(G14,'Qualifying Scores'!$A$4:$A$7,'Qualifying Scores'!$C$4:$C$7),AG14&gt;=LOOKUP(G14,'Qualifying Scores'!$A$10:$A$13,'Qualifying Scores'!$C$10:$C$13))),"P",""),IF(OR(AND(X14-U14&gt;=LOOKUP(G14,'Qualifying Scores'!$A$4:$A$7,'Qualifying Scores'!$C$4:$C$7),W14&gt;=LOOKUP(G14,'Qualifying Scores'!$A$10:$A$13,'Qualifying Scores'!$C$10:$C$13)),AND(AE14-AB14&gt;=LOOKUP(G14,'Qualifying Scores'!$A$4:$A$7,'Qualifying Scores'!$C$4:$C$7),AD14&gt;=LOOKUP(G14,'Qualifying Scores'!$A$10:$A$13,'Qualifying Scores'!$C$10:$C$13))),"P","")))</f>
        <v/>
      </c>
      <c r="Q14" s="1" t="str">
        <f>IF(A14&lt;5,IF(_xlfn.MAXIFS(A:A,G:G,G14)&gt;3,5-A14,_xlfn.MAXIFS(A:A,G:G,G14)+1-A14),"")</f>
        <v/>
      </c>
      <c r="R14" s="4">
        <f>IF(G14="17-21",MAX(T14,V14,Y14,AA14,AC14,AF14),MAX(X14,AE14))</f>
        <v>47.78</v>
      </c>
      <c r="S14" s="4">
        <f>IF(G14="17-21",LARGE(CHOOSE({1,2,3,4,5,6},T14,V14,Y14,AA14,AC14,AF14),2),IF(R14=X14,MAX(Y14,AA14,AC14,AF14),IF(R14=AE14,MAX(AF14,T14,V14,Y14),0)))</f>
        <v>47.01</v>
      </c>
      <c r="T14" s="33">
        <v>43.52</v>
      </c>
      <c r="U14" s="40">
        <v>7.6</v>
      </c>
      <c r="V14" s="34">
        <v>18.52</v>
      </c>
      <c r="W14" s="40">
        <v>3.9</v>
      </c>
      <c r="X14" s="4">
        <f>IF(H14="Senior",MAX(T14,V14),T14+V14)</f>
        <v>62.040000000000006</v>
      </c>
      <c r="Y14" s="34"/>
      <c r="Z14" s="40"/>
      <c r="AA14" s="33">
        <v>47.01</v>
      </c>
      <c r="AB14" s="40">
        <v>8.5</v>
      </c>
      <c r="AC14" s="34">
        <v>45.88</v>
      </c>
      <c r="AD14" s="40">
        <v>8.9</v>
      </c>
      <c r="AE14" s="4">
        <f>IF(H14="Senior",MAX(AA14,AC14),AA14+AC14)</f>
        <v>92.89</v>
      </c>
      <c r="AF14" s="34">
        <v>47.78</v>
      </c>
      <c r="AG14" s="37">
        <v>8.5</v>
      </c>
    </row>
    <row r="15" spans="1:33" x14ac:dyDescent="0.2">
      <c r="A15" s="1" t="str" cm="1">
        <f t="array" ref="A15">IF(I15="","",IF(P15&lt;&gt;"",SUMPRODUCT((P$3:P$133&lt;&gt;"")*(G$3:G$133=G15)*(J$3:J$133&gt;J15)*(I$3:I$133="P"))+1,IF(O15&lt;&gt;"",SUMPRODUCT((O$3:O$133&lt;&gt;"")*(P$3:P$133="")*(G$3:G$133=G15)*(J$3:J$133&gt;J15)*(I$3:I$133="P"))+SUMPRODUCT((P$3:P$133&lt;&gt;"")*(G$3:G$133=G15)*(I$3:I$133="P"))+1,IF(N15&lt;&gt;"",SUMPRODUCT((N$3:N$133&lt;&gt;"")*(G$3:G$133=G15)*(J$3:J$133&gt;J15)*(I$3:I$133="P"))+1,IF(M15="P",SUMPRODUCT((O$3:O$133&lt;&gt;"")*(P$3:P$133="")*(G$3:G$133=G15)*(I$3:I$133="P"))+SUMPRODUCT((P$3:P$133&lt;&gt;"")*(G$3:G$133=G15)*(I$3:I$133="P"))+SUMPRODUCT((N$3:N$133&lt;&gt;"")*(G$3:G$133=G15)*(I$3:I$133="P"))+SUMPRODUCT((P$3:P$133="")*(O$3:O$133="")*(N$3:N$133="")*(M$3:M$133="P")*(G$3:G$133=G15)*(J$3:J$133&gt;J15)*(I$3:I$133="P"))+IF(H15="L5",SUMPRODUCT((P$3:P$133="")*(O$3:O$133="")*(N$3:N$133="")*(M$3:M$133="P")*(G$3:G$133=G15)*(J$3:J$133&lt;J15)*(H$3:H$133&lt;&gt;H15)*(I$3:I$133="P")),-1*SUMPRODUCT((P$3:P$133="")*(O$3:O$133="")*(N$3:N$133="")*(M$3:M$133="P")*(G$3:G$133=G15)*(J$3:J$133&gt;J15)*(H$3:H$133="L5")*(I$3:I$133="P")))+1,"")))))</f>
        <v/>
      </c>
      <c r="B15" s="1" t="str" cm="1">
        <f t="array" ref="B15">IF(P15&lt;&gt;"",SUMPRODUCT((P$3:P$133&lt;&gt;"")*(G$3:G$133=G15)*(J$3:J$133&gt;J15))+1,IF(O15&lt;&gt;"",SUMPRODUCT((O$3:O$133&lt;&gt;"")*(P$3:P$133="")*(G$3:G$133=G15)*(J$3:J$133&gt;J15))+SUMPRODUCT((P$3:P$133&lt;&gt;"")*(G$3:G$133=G15))+1,IF(N15&lt;&gt;"",SUMPRODUCT((N$3:N$133&lt;&gt;"")*(G$3:G$133=G15)*(J$3:J$133&gt;J15))+1,IF(M15="P",SUMPRODUCT((O$3:O$133&lt;&gt;"")*(P$3:P$133="")*(G$3:G$133=G15))+SUMPRODUCT((P$3:P$133&lt;&gt;"")*(G$3:G$133=G15))+SUMPRODUCT((N$3:N$133&lt;&gt;"")*(G$3:G$133=G15))+SUMPRODUCT((P$3:P$133="")*(O$3:O$133="")*(N$3:N$133="")*(M$3:M$133="P")*(G$3:G$133=G15)*(J$3:J$133&gt;J15))+IF(H15="L5",SUMPRODUCT((P$3:P$133="")*(O$3:O$133="")*(N$3:N$133="")*(M$3:M$133="P")*(G$3:G$133=G15)*(J$3:J$133&lt;J15)*(H$3:H$133&lt;&gt;H15)),-1*SUMPRODUCT((P$3:P$133="")*(O$3:O$133="")*(N$3:N$133="")*(M$3:M$133="P")*(G$3:G$133=G15)*(J$3:J$133&gt;J15)*(H$3:H$133="L5")))+1,""))))</f>
        <v/>
      </c>
      <c r="C15" s="36" t="s">
        <v>441</v>
      </c>
      <c r="D15" s="36" t="str">
        <f>IF(E15="","",VLOOKUP(E15,'Coaching Points'!A:B,2,0))</f>
        <v>AB</v>
      </c>
      <c r="E15" s="36" t="s">
        <v>40</v>
      </c>
      <c r="F15" s="35">
        <v>2004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74</v>
      </c>
      <c r="I15" s="43" t="s">
        <v>567</v>
      </c>
      <c r="J15" s="4">
        <f>R15+S15+IF(OR(H15="Junior",H15="Senior"),0.0002,IF(OR(H15="L7",H15="L6"),0.0001,0))+IF(G15="17-21",MAX(AA15,AC15,AF15),AE15)*0.0000001</f>
        <v>94.420204729999995</v>
      </c>
      <c r="K15" s="3" t="str">
        <f>IF(G15="Not Age Eligible","",IF(G15="17-21",IF(MAX(T15,V15,Y15,AA15,AC15,AF15)&gt;=LOOKUP(G15,'Qualifying Scores'!$A$4:$A$7,'Qualifying Scores'!$C$4:$C$7),"P",""),IF(MAX(X15-U15,AE15-AB15)&gt;=LOOKUP(G15,'Qualifying Scores'!$A$4:$A$7,'Qualifying Scores'!$C$4:$C$7),"P","")))</f>
        <v/>
      </c>
      <c r="L15" s="3" t="str">
        <f>IF(G15="Not Age Eligible","",IF(G15="17-21",IF(MAX(U15,W15,Z15,AB15,AD15,AG15)&gt;=LOOKUP(G15,'Qualifying Scores'!$A$10:$A$13,'Qualifying Scores'!$C$10:$C$13),"P",""),IF(MAX(W15,AD15)&gt;=LOOKUP(G15,'Qualifying Scores'!$A$10:$A$13,'Qualifying Scores'!$C$10:$C$13),"P","")))</f>
        <v>P</v>
      </c>
      <c r="M15" s="3" t="str">
        <f>IF(G15="Not Age Eligible","",IF(G15="17-21",IF(OR(AND(T15&gt;=LOOKUP(G15,'Qualifying Scores'!$A$4:$A$7,'Qualifying Scores'!$C$4:$C$7),U15&gt;=LOOKUP(G15,'Qualifying Scores'!$A$10:$A$13,'Qualifying Scores'!$C$10:$C$13)),AND(V15&gt;=LOOKUP(G15,'Qualifying Scores'!$A$4:$A$7,'Qualifying Scores'!$C$4:$C$7),W15&gt;=LOOKUP(G15,'Qualifying Scores'!$A$10:$A$13,'Qualifying Scores'!$C$10:$C$13)),AND(Y15&gt;=LOOKUP(G15,'Qualifying Scores'!$A$4:$A$7,'Qualifying Scores'!$C$4:$C$7),Z15&gt;=LOOKUP(G15,'Qualifying Scores'!$A$10:$A$13,'Qualifying Scores'!$C$10:$C$13)),AND(AA15&gt;=LOOKUP(G15,'Qualifying Scores'!$A$4:$A$7,'Qualifying Scores'!$C$4:$C$7),AB15&gt;=LOOKUP(G15,'Qualifying Scores'!$A$10:$A$13,'Qualifying Scores'!$C$10:$C$13)),AND(AC15&gt;=LOOKUP(G15,'Qualifying Scores'!$A$4:$A$7,'Qualifying Scores'!$C$4:$C$7),AD15&gt;=LOOKUP(G15,'Qualifying Scores'!$A$10:$A$13,'Qualifying Scores'!$C$10:$C$13)),AND(AF15&gt;=LOOKUP(G15,'Qualifying Scores'!$A$4:$A$7,'Qualifying Scores'!$C$4:$C$7),AG15&gt;=LOOKUP(G15,'Qualifying Scores'!$A$10:$A$13,'Qualifying Scores'!$C$10:$C$13))),"P",""),IF(OR(AND(X15-U15&gt;=LOOKUP(G15,'Qualifying Scores'!$A$4:$A$7,'Qualifying Scores'!$C$4:$C$7),W15&gt;=LOOKUP(G15,'Qualifying Scores'!$A$10:$A$13,'Qualifying Scores'!$C$10:$C$13)),AND(AE15-AB15&gt;=LOOKUP(G15,'Qualifying Scores'!$A$4:$A$7,'Qualifying Scores'!$C$4:$C$7),AD15&gt;=LOOKUP(G15,'Qualifying Scores'!$A$10:$A$13,'Qualifying Scores'!$C$10:$C$13))),"P","")))</f>
        <v/>
      </c>
      <c r="Q15" s="1" t="str">
        <f>IF(A15&lt;5,IF(_xlfn.MAXIFS(A:A,G:G,G15)&gt;3,5-A15,_xlfn.MAXIFS(A:A,G:G,G15)+1-A15),"")</f>
        <v/>
      </c>
      <c r="R15" s="4">
        <f>IF(G15="17-21",MAX(T15,V15,Y15,AA15,AC15,AF15),MAX(X15,AE15))</f>
        <v>47.3</v>
      </c>
      <c r="S15" s="4">
        <f>IF(G15="17-21",LARGE(CHOOSE({1,2,3,4,5,6},T15,V15,Y15,AA15,AC15,AF15),2),IF(R15=X15,MAX(Y15,AA15,AC15,AF15),IF(R15=AE15,MAX(AF15,T15,V15,Y15),0)))</f>
        <v>47.12</v>
      </c>
      <c r="T15" s="33"/>
      <c r="U15" s="40"/>
      <c r="V15" s="34"/>
      <c r="W15" s="40"/>
      <c r="X15" s="4">
        <f>IF(H15="Senior",MAX(T15,V15),T15+V15)</f>
        <v>0</v>
      </c>
      <c r="Y15" s="34"/>
      <c r="Z15" s="40"/>
      <c r="AA15" s="33">
        <v>47.12</v>
      </c>
      <c r="AB15" s="40">
        <v>11.2</v>
      </c>
      <c r="AC15" s="34">
        <v>47.3</v>
      </c>
      <c r="AD15" s="40">
        <v>11.4</v>
      </c>
      <c r="AE15" s="4">
        <f>IF(H15="Senior",MAX(AA15,AC15),AA15+AC15)</f>
        <v>47.3</v>
      </c>
      <c r="AF15" s="34">
        <v>42.98</v>
      </c>
      <c r="AG15" s="37">
        <v>10.1</v>
      </c>
    </row>
    <row r="16" spans="1:33" x14ac:dyDescent="0.2">
      <c r="A16" s="1" t="str" cm="1">
        <f t="array" ref="A16">IF(I16="","",IF(P16&lt;&gt;"",SUMPRODUCT((P$3:P$133&lt;&gt;"")*(G$3:G$133=G16)*(J$3:J$133&gt;J16)*(I$3:I$133="P"))+1,IF(O16&lt;&gt;"",SUMPRODUCT((O$3:O$133&lt;&gt;"")*(P$3:P$133="")*(G$3:G$133=G16)*(J$3:J$133&gt;J16)*(I$3:I$133="P"))+SUMPRODUCT((P$3:P$133&lt;&gt;"")*(G$3:G$133=G16)*(I$3:I$133="P"))+1,IF(N16&lt;&gt;"",SUMPRODUCT((N$3:N$133&lt;&gt;"")*(G$3:G$133=G16)*(J$3:J$133&gt;J16)*(I$3:I$133="P"))+1,IF(M16="P",SUMPRODUCT((O$3:O$133&lt;&gt;"")*(P$3:P$133="")*(G$3:G$133=G16)*(I$3:I$133="P"))+SUMPRODUCT((P$3:P$133&lt;&gt;"")*(G$3:G$133=G16)*(I$3:I$133="P"))+SUMPRODUCT((N$3:N$133&lt;&gt;"")*(G$3:G$133=G16)*(I$3:I$133="P"))+SUMPRODUCT((P$3:P$133="")*(O$3:O$133="")*(N$3:N$133="")*(M$3:M$133="P")*(G$3:G$133=G16)*(J$3:J$133&gt;J16)*(I$3:I$133="P"))+IF(H16="L5",SUMPRODUCT((P$3:P$133="")*(O$3:O$133="")*(N$3:N$133="")*(M$3:M$133="P")*(G$3:G$133=G16)*(J$3:J$133&lt;J16)*(H$3:H$133&lt;&gt;H16)*(I$3:I$133="P")),-1*SUMPRODUCT((P$3:P$133="")*(O$3:O$133="")*(N$3:N$133="")*(M$3:M$133="P")*(G$3:G$133=G16)*(J$3:J$133&gt;J16)*(H$3:H$133="L5")*(I$3:I$133="P")))+1,"")))))</f>
        <v/>
      </c>
      <c r="B16" s="1" t="str" cm="1">
        <f t="array" ref="B16">IF(P16&lt;&gt;"",SUMPRODUCT((P$3:P$133&lt;&gt;"")*(G$3:G$133=G16)*(J$3:J$133&gt;J16))+1,IF(O16&lt;&gt;"",SUMPRODUCT((O$3:O$133&lt;&gt;"")*(P$3:P$133="")*(G$3:G$133=G16)*(J$3:J$133&gt;J16))+SUMPRODUCT((P$3:P$133&lt;&gt;"")*(G$3:G$133=G16))+1,IF(N16&lt;&gt;"",SUMPRODUCT((N$3:N$133&lt;&gt;"")*(G$3:G$133=G16)*(J$3:J$133&gt;J16))+1,IF(M16="P",SUMPRODUCT((O$3:O$133&lt;&gt;"")*(P$3:P$133="")*(G$3:G$133=G16))+SUMPRODUCT((P$3:P$133&lt;&gt;"")*(G$3:G$133=G16))+SUMPRODUCT((N$3:N$133&lt;&gt;"")*(G$3:G$133=G16))+SUMPRODUCT((P$3:P$133="")*(O$3:O$133="")*(N$3:N$133="")*(M$3:M$133="P")*(G$3:G$133=G16)*(J$3:J$133&gt;J16))+IF(H16="L5",SUMPRODUCT((P$3:P$133="")*(O$3:O$133="")*(N$3:N$133="")*(M$3:M$133="P")*(G$3:G$133=G16)*(J$3:J$133&lt;J16)*(H$3:H$133&lt;&gt;H16)),-1*SUMPRODUCT((P$3:P$133="")*(O$3:O$133="")*(N$3:N$133="")*(M$3:M$133="P")*(G$3:G$133=G16)*(J$3:J$133&gt;J16)*(H$3:H$133="L5")))+1,""))))</f>
        <v/>
      </c>
      <c r="C16" s="36" t="s">
        <v>156</v>
      </c>
      <c r="D16" s="36" t="str">
        <f>IF(E16="","",VLOOKUP(E16,'Coaching Points'!A:B,2,0))</f>
        <v>AB</v>
      </c>
      <c r="E16" s="36" t="s">
        <v>29</v>
      </c>
      <c r="F16" s="35">
        <v>2004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68</v>
      </c>
      <c r="I16" s="43" t="s">
        <v>567</v>
      </c>
      <c r="J16" s="4">
        <f>R16+S16+IF(OR(H16="Junior",H16="Senior"),0.0002,IF(OR(H16="L7",H16="L6"),0.0001,0))+IF(G16="17-21",MAX(AA16,AC16,AF16),AE16)*0.0000001</f>
        <v>93.920100000000005</v>
      </c>
      <c r="K16" s="3" t="str">
        <f>IF(G16="Not Age Eligible","",IF(G16="17-21",IF(MAX(T16,V16,Y16,AA16,AC16,AF16)&gt;=LOOKUP(G16,'Qualifying Scores'!$A$4:$A$7,'Qualifying Scores'!$C$4:$C$7),"P",""),IF(MAX(X16-U16,AE16-AB16)&gt;=LOOKUP(G16,'Qualifying Scores'!$A$4:$A$7,'Qualifying Scores'!$C$4:$C$7),"P","")))</f>
        <v/>
      </c>
      <c r="L16" s="3" t="str">
        <f>IF(G16="Not Age Eligible","",IF(G16="17-21",IF(MAX(U16,W16,Z16,AB16,AD16,AG16)&gt;=LOOKUP(G16,'Qualifying Scores'!$A$10:$A$13,'Qualifying Scores'!$C$10:$C$13),"P",""),IF(MAX(W16,AD16)&gt;=LOOKUP(G16,'Qualifying Scores'!$A$10:$A$13,'Qualifying Scores'!$C$10:$C$13),"P","")))</f>
        <v/>
      </c>
      <c r="M16" s="3" t="str">
        <f>IF(G16="Not Age Eligible","",IF(G16="17-21",IF(OR(AND(T16&gt;=LOOKUP(G16,'Qualifying Scores'!$A$4:$A$7,'Qualifying Scores'!$C$4:$C$7),U16&gt;=LOOKUP(G16,'Qualifying Scores'!$A$10:$A$13,'Qualifying Scores'!$C$10:$C$13)),AND(V16&gt;=LOOKUP(G16,'Qualifying Scores'!$A$4:$A$7,'Qualifying Scores'!$C$4:$C$7),W16&gt;=LOOKUP(G16,'Qualifying Scores'!$A$10:$A$13,'Qualifying Scores'!$C$10:$C$13)),AND(Y16&gt;=LOOKUP(G16,'Qualifying Scores'!$A$4:$A$7,'Qualifying Scores'!$C$4:$C$7),Z16&gt;=LOOKUP(G16,'Qualifying Scores'!$A$10:$A$13,'Qualifying Scores'!$C$10:$C$13)),AND(AA16&gt;=LOOKUP(G16,'Qualifying Scores'!$A$4:$A$7,'Qualifying Scores'!$C$4:$C$7),AB16&gt;=LOOKUP(G16,'Qualifying Scores'!$A$10:$A$13,'Qualifying Scores'!$C$10:$C$13)),AND(AC16&gt;=LOOKUP(G16,'Qualifying Scores'!$A$4:$A$7,'Qualifying Scores'!$C$4:$C$7),AD16&gt;=LOOKUP(G16,'Qualifying Scores'!$A$10:$A$13,'Qualifying Scores'!$C$10:$C$13)),AND(AF16&gt;=LOOKUP(G16,'Qualifying Scores'!$A$4:$A$7,'Qualifying Scores'!$C$4:$C$7),AG16&gt;=LOOKUP(G16,'Qualifying Scores'!$A$10:$A$13,'Qualifying Scores'!$C$10:$C$13))),"P",""),IF(OR(AND(X16-U16&gt;=LOOKUP(G16,'Qualifying Scores'!$A$4:$A$7,'Qualifying Scores'!$C$4:$C$7),W16&gt;=LOOKUP(G16,'Qualifying Scores'!$A$10:$A$13,'Qualifying Scores'!$C$10:$C$13)),AND(AE16-AB16&gt;=LOOKUP(G16,'Qualifying Scores'!$A$4:$A$7,'Qualifying Scores'!$C$4:$C$7),AD16&gt;=LOOKUP(G16,'Qualifying Scores'!$A$10:$A$13,'Qualifying Scores'!$C$10:$C$13))),"P","")))</f>
        <v/>
      </c>
      <c r="Q16" s="1" t="str">
        <f>IF(A16&lt;5,IF(_xlfn.MAXIFS(A:A,G:G,G16)&gt;3,5-A16,_xlfn.MAXIFS(A:A,G:G,G16)+1-A16),"")</f>
        <v/>
      </c>
      <c r="R16" s="4">
        <f>IF(G16="17-21",MAX(T16,V16,Y16,AA16,AC16,AF16),MAX(X16,AE16))</f>
        <v>47.24</v>
      </c>
      <c r="S16" s="4">
        <f>IF(G16="17-21",LARGE(CHOOSE({1,2,3,4,5,6},T16,V16,Y16,AA16,AC16,AF16),2),IF(R16=X16,MAX(Y16,AA16,AC16,AF16),IF(R16=AE16,MAX(AF16,T16,V16,Y16),0)))</f>
        <v>46.68</v>
      </c>
      <c r="T16" s="33">
        <v>46.68</v>
      </c>
      <c r="U16" s="40">
        <v>8.5</v>
      </c>
      <c r="V16" s="34">
        <v>18.739999999999998</v>
      </c>
      <c r="W16" s="40">
        <v>3.9</v>
      </c>
      <c r="X16" s="4">
        <f>IF(H16="Senior",MAX(T16,V16),T16+V16)</f>
        <v>65.42</v>
      </c>
      <c r="Y16" s="34">
        <v>47.24</v>
      </c>
      <c r="Z16" s="40">
        <v>8.5</v>
      </c>
      <c r="AA16" s="33"/>
      <c r="AB16" s="40"/>
      <c r="AC16" s="34"/>
      <c r="AD16" s="40"/>
      <c r="AE16" s="4">
        <f>IF(H16="Senior",MAX(AA16,AC16),AA16+AC16)</f>
        <v>0</v>
      </c>
      <c r="AF16" s="34"/>
      <c r="AG16" s="37"/>
    </row>
    <row r="17" spans="1:33" x14ac:dyDescent="0.2">
      <c r="A17" s="1" t="str" cm="1">
        <f t="array" ref="A17">IF(I17="","",IF(P17&lt;&gt;"",SUMPRODUCT((P$3:P$133&lt;&gt;"")*(G$3:G$133=G17)*(J$3:J$133&gt;J17)*(I$3:I$133="P"))+1,IF(O17&lt;&gt;"",SUMPRODUCT((O$3:O$133&lt;&gt;"")*(P$3:P$133="")*(G$3:G$133=G17)*(J$3:J$133&gt;J17)*(I$3:I$133="P"))+SUMPRODUCT((P$3:P$133&lt;&gt;"")*(G$3:G$133=G17)*(I$3:I$133="P"))+1,IF(N17&lt;&gt;"",SUMPRODUCT((N$3:N$133&lt;&gt;"")*(G$3:G$133=G17)*(J$3:J$133&gt;J17)*(I$3:I$133="P"))+1,IF(M17="P",SUMPRODUCT((O$3:O$133&lt;&gt;"")*(P$3:P$133="")*(G$3:G$133=G17)*(I$3:I$133="P"))+SUMPRODUCT((P$3:P$133&lt;&gt;"")*(G$3:G$133=G17)*(I$3:I$133="P"))+SUMPRODUCT((N$3:N$133&lt;&gt;"")*(G$3:G$133=G17)*(I$3:I$133="P"))+SUMPRODUCT((P$3:P$133="")*(O$3:O$133="")*(N$3:N$133="")*(M$3:M$133="P")*(G$3:G$133=G17)*(J$3:J$133&gt;J17)*(I$3:I$133="P"))+IF(H17="L5",SUMPRODUCT((P$3:P$133="")*(O$3:O$133="")*(N$3:N$133="")*(M$3:M$133="P")*(G$3:G$133=G17)*(J$3:J$133&lt;J17)*(H$3:H$133&lt;&gt;H17)*(I$3:I$133="P")),-1*SUMPRODUCT((P$3:P$133="")*(O$3:O$133="")*(N$3:N$133="")*(M$3:M$133="P")*(G$3:G$133=G17)*(J$3:J$133&gt;J17)*(H$3:H$133="L5")*(I$3:I$133="P")))+1,"")))))</f>
        <v/>
      </c>
      <c r="B17" s="1" t="str" cm="1">
        <f t="array" ref="B17">IF(P17&lt;&gt;"",SUMPRODUCT((P$3:P$133&lt;&gt;"")*(G$3:G$133=G17)*(J$3:J$133&gt;J17))+1,IF(O17&lt;&gt;"",SUMPRODUCT((O$3:O$133&lt;&gt;"")*(P$3:P$133="")*(G$3:G$133=G17)*(J$3:J$133&gt;J17))+SUMPRODUCT((P$3:P$133&lt;&gt;"")*(G$3:G$133=G17))+1,IF(N17&lt;&gt;"",SUMPRODUCT((N$3:N$133&lt;&gt;"")*(G$3:G$133=G17)*(J$3:J$133&gt;J17))+1,IF(M17="P",SUMPRODUCT((O$3:O$133&lt;&gt;"")*(P$3:P$133="")*(G$3:G$133=G17))+SUMPRODUCT((P$3:P$133&lt;&gt;"")*(G$3:G$133=G17))+SUMPRODUCT((N$3:N$133&lt;&gt;"")*(G$3:G$133=G17))+SUMPRODUCT((P$3:P$133="")*(O$3:O$133="")*(N$3:N$133="")*(M$3:M$133="P")*(G$3:G$133=G17)*(J$3:J$133&gt;J17))+IF(H17="L5",SUMPRODUCT((P$3:P$133="")*(O$3:O$133="")*(N$3:N$133="")*(M$3:M$133="P")*(G$3:G$133=G17)*(J$3:J$133&lt;J17)*(H$3:H$133&lt;&gt;H17)),-1*SUMPRODUCT((P$3:P$133="")*(O$3:O$133="")*(N$3:N$133="")*(M$3:M$133="P")*(G$3:G$133=G17)*(J$3:J$133&gt;J17)*(H$3:H$133="L5")))+1,""))))</f>
        <v/>
      </c>
      <c r="C17" s="36" t="s">
        <v>121</v>
      </c>
      <c r="D17" s="36" t="str">
        <f>IF(E17="","",VLOOKUP(E17,'Coaching Points'!A:B,2,0))</f>
        <v>QC</v>
      </c>
      <c r="E17" s="36" t="s">
        <v>59</v>
      </c>
      <c r="F17" s="35">
        <v>2006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68</v>
      </c>
      <c r="I17" s="43"/>
      <c r="J17" s="4">
        <f>R17+S17+IF(OR(H17="Junior",H17="Senior"),0.0002,IF(OR(H17="L7",H17="L6"),0.0001,0))+IF(G17="17-21",MAX(AA17,AC17,AF17),AE17)*0.0000001</f>
        <v>92.710104579000017</v>
      </c>
      <c r="K17" s="3" t="str">
        <f>IF(G17="Not Age Eligible","",IF(G17="17-21",IF(MAX(T17,V17,Y17,AA17,AC17,AF17)&gt;=LOOKUP(G17,'Qualifying Scores'!$A$4:$A$7,'Qualifying Scores'!$C$4:$C$7),"P",""),IF(MAX(X17-U17,AE17-AB17)&gt;=LOOKUP(G17,'Qualifying Scores'!$A$4:$A$7,'Qualifying Scores'!$C$4:$C$7),"P","")))</f>
        <v/>
      </c>
      <c r="L17" s="3" t="str">
        <f>IF(G17="Not Age Eligible","",IF(G17="17-21",IF(MAX(U17,W17,Z17,AB17,AD17,AG17)&gt;=LOOKUP(G17,'Qualifying Scores'!$A$10:$A$13,'Qualifying Scores'!$C$10:$C$13),"P",""),IF(MAX(W17,AD17)&gt;=LOOKUP(G17,'Qualifying Scores'!$A$10:$A$13,'Qualifying Scores'!$C$10:$C$13),"P","")))</f>
        <v/>
      </c>
      <c r="M17" s="3" t="str">
        <f>IF(G17="Not Age Eligible","",IF(G17="17-21",IF(OR(AND(T17&gt;=LOOKUP(G17,'Qualifying Scores'!$A$4:$A$7,'Qualifying Scores'!$C$4:$C$7),U17&gt;=LOOKUP(G17,'Qualifying Scores'!$A$10:$A$13,'Qualifying Scores'!$C$10:$C$13)),AND(V17&gt;=LOOKUP(G17,'Qualifying Scores'!$A$4:$A$7,'Qualifying Scores'!$C$4:$C$7),W17&gt;=LOOKUP(G17,'Qualifying Scores'!$A$10:$A$13,'Qualifying Scores'!$C$10:$C$13)),AND(Y17&gt;=LOOKUP(G17,'Qualifying Scores'!$A$4:$A$7,'Qualifying Scores'!$C$4:$C$7),Z17&gt;=LOOKUP(G17,'Qualifying Scores'!$A$10:$A$13,'Qualifying Scores'!$C$10:$C$13)),AND(AA17&gt;=LOOKUP(G17,'Qualifying Scores'!$A$4:$A$7,'Qualifying Scores'!$C$4:$C$7),AB17&gt;=LOOKUP(G17,'Qualifying Scores'!$A$10:$A$13,'Qualifying Scores'!$C$10:$C$13)),AND(AC17&gt;=LOOKUP(G17,'Qualifying Scores'!$A$4:$A$7,'Qualifying Scores'!$C$4:$C$7),AD17&gt;=LOOKUP(G17,'Qualifying Scores'!$A$10:$A$13,'Qualifying Scores'!$C$10:$C$13)),AND(AF17&gt;=LOOKUP(G17,'Qualifying Scores'!$A$4:$A$7,'Qualifying Scores'!$C$4:$C$7),AG17&gt;=LOOKUP(G17,'Qualifying Scores'!$A$10:$A$13,'Qualifying Scores'!$C$10:$C$13))),"P",""),IF(OR(AND(X17-U17&gt;=LOOKUP(G17,'Qualifying Scores'!$A$4:$A$7,'Qualifying Scores'!$C$4:$C$7),W17&gt;=LOOKUP(G17,'Qualifying Scores'!$A$10:$A$13,'Qualifying Scores'!$C$10:$C$13)),AND(AE17-AB17&gt;=LOOKUP(G17,'Qualifying Scores'!$A$4:$A$7,'Qualifying Scores'!$C$4:$C$7),AD17&gt;=LOOKUP(G17,'Qualifying Scores'!$A$10:$A$13,'Qualifying Scores'!$C$10:$C$13))),"P","")))</f>
        <v/>
      </c>
      <c r="Q17" s="1" t="str">
        <f>IF(A17&lt;5,IF(_xlfn.MAXIFS(A:A,G:G,G17)&gt;3,5-A17,_xlfn.MAXIFS(A:A,G:G,G17)+1-A17),"")</f>
        <v/>
      </c>
      <c r="R17" s="4">
        <f>IF(G17="17-21",MAX(T17,V17,Y17,AA17,AC17,AF17),MAX(X17,AE17))</f>
        <v>46.92</v>
      </c>
      <c r="S17" s="4">
        <f>IF(G17="17-21",LARGE(CHOOSE({1,2,3,4,5,6},T17,V17,Y17,AA17,AC17,AF17),2),IF(R17=X17,MAX(Y17,AA17,AC17,AF17),IF(R17=AE17,MAX(AF17,T17,V17,Y17),0)))</f>
        <v>45.79</v>
      </c>
      <c r="T17" s="33">
        <v>40.51</v>
      </c>
      <c r="U17" s="40">
        <v>0</v>
      </c>
      <c r="V17" s="34">
        <v>45.3</v>
      </c>
      <c r="W17" s="40">
        <v>8.8000000000000007</v>
      </c>
      <c r="X17" s="4">
        <f>IF(H17="Senior",MAX(T17,V17),T17+V17)</f>
        <v>85.81</v>
      </c>
      <c r="Y17" s="34">
        <v>46.92</v>
      </c>
      <c r="Z17" s="40">
        <v>7.7</v>
      </c>
      <c r="AA17" s="33">
        <v>12.48</v>
      </c>
      <c r="AB17" s="40">
        <v>2.4</v>
      </c>
      <c r="AC17" s="34">
        <v>45.79</v>
      </c>
      <c r="AD17" s="40">
        <v>8.8000000000000007</v>
      </c>
      <c r="AE17" s="4">
        <f>IF(H17="Senior",MAX(AA17,AC17),AA17+AC17)</f>
        <v>58.269999999999996</v>
      </c>
      <c r="AF17" s="34"/>
      <c r="AG17" s="37"/>
    </row>
    <row r="18" spans="1:33" x14ac:dyDescent="0.2">
      <c r="A18" s="1" t="str" cm="1">
        <f t="array" ref="A18">IF(I18="","",IF(P18&lt;&gt;"",SUMPRODUCT((P$3:P$133&lt;&gt;"")*(G$3:G$133=G18)*(J$3:J$133&gt;J18)*(I$3:I$133="P"))+1,IF(O18&lt;&gt;"",SUMPRODUCT((O$3:O$133&lt;&gt;"")*(P$3:P$133="")*(G$3:G$133=G18)*(J$3:J$133&gt;J18)*(I$3:I$133="P"))+SUMPRODUCT((P$3:P$133&lt;&gt;"")*(G$3:G$133=G18)*(I$3:I$133="P"))+1,IF(N18&lt;&gt;"",SUMPRODUCT((N$3:N$133&lt;&gt;"")*(G$3:G$133=G18)*(J$3:J$133&gt;J18)*(I$3:I$133="P"))+1,IF(M18="P",SUMPRODUCT((O$3:O$133&lt;&gt;"")*(P$3:P$133="")*(G$3:G$133=G18)*(I$3:I$133="P"))+SUMPRODUCT((P$3:P$133&lt;&gt;"")*(G$3:G$133=G18)*(I$3:I$133="P"))+SUMPRODUCT((N$3:N$133&lt;&gt;"")*(G$3:G$133=G18)*(I$3:I$133="P"))+SUMPRODUCT((P$3:P$133="")*(O$3:O$133="")*(N$3:N$133="")*(M$3:M$133="P")*(G$3:G$133=G18)*(J$3:J$133&gt;J18)*(I$3:I$133="P"))+IF(H18="L5",SUMPRODUCT((P$3:P$133="")*(O$3:O$133="")*(N$3:N$133="")*(M$3:M$133="P")*(G$3:G$133=G18)*(J$3:J$133&lt;J18)*(H$3:H$133&lt;&gt;H18)*(I$3:I$133="P")),-1*SUMPRODUCT((P$3:P$133="")*(O$3:O$133="")*(N$3:N$133="")*(M$3:M$133="P")*(G$3:G$133=G18)*(J$3:J$133&gt;J18)*(H$3:H$133="L5")*(I$3:I$133="P")))+1,"")))))</f>
        <v/>
      </c>
      <c r="B18" s="1" t="str" cm="1">
        <f t="array" ref="B18">IF(P18&lt;&gt;"",SUMPRODUCT((P$3:P$133&lt;&gt;"")*(G$3:G$133=G18)*(J$3:J$133&gt;J18))+1,IF(O18&lt;&gt;"",SUMPRODUCT((O$3:O$133&lt;&gt;"")*(P$3:P$133="")*(G$3:G$133=G18)*(J$3:J$133&gt;J18))+SUMPRODUCT((P$3:P$133&lt;&gt;"")*(G$3:G$133=G18))+1,IF(N18&lt;&gt;"",SUMPRODUCT((N$3:N$133&lt;&gt;"")*(G$3:G$133=G18)*(J$3:J$133&gt;J18))+1,IF(M18="P",SUMPRODUCT((O$3:O$133&lt;&gt;"")*(P$3:P$133="")*(G$3:G$133=G18))+SUMPRODUCT((P$3:P$133&lt;&gt;"")*(G$3:G$133=G18))+SUMPRODUCT((N$3:N$133&lt;&gt;"")*(G$3:G$133=G18))+SUMPRODUCT((P$3:P$133="")*(O$3:O$133="")*(N$3:N$133="")*(M$3:M$133="P")*(G$3:G$133=G18)*(J$3:J$133&gt;J18))+IF(H18="L5",SUMPRODUCT((P$3:P$133="")*(O$3:O$133="")*(N$3:N$133="")*(M$3:M$133="P")*(G$3:G$133=G18)*(J$3:J$133&lt;J18)*(H$3:H$133&lt;&gt;H18)),-1*SUMPRODUCT((P$3:P$133="")*(O$3:O$133="")*(N$3:N$133="")*(M$3:M$133="P")*(G$3:G$133=G18)*(J$3:J$133&gt;J18)*(H$3:H$133="L5")))+1,""))))</f>
        <v/>
      </c>
      <c r="C18" s="36" t="s">
        <v>141</v>
      </c>
      <c r="D18" s="36" t="str">
        <f>IF(E18="","",VLOOKUP(E18,'Coaching Points'!A:B,2,0))</f>
        <v>QC</v>
      </c>
      <c r="E18" s="36" t="s">
        <v>84</v>
      </c>
      <c r="F18" s="35">
        <v>2004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66</v>
      </c>
      <c r="I18" s="43"/>
      <c r="J18" s="4">
        <f>R18+S18+IF(OR(H18="Junior",H18="Senior"),0.0002,IF(OR(H18="L7",H18="L6"),0.0001,0))+IF(G18="17-21",MAX(AA18,AC18,AF18),AE18)*0.0000001</f>
        <v>92.47999999999999</v>
      </c>
      <c r="K18" s="3" t="str">
        <f>IF(G18="Not Age Eligible","",IF(G18="17-21",IF(MAX(T18,V18,Y18,AA18,AC18,AF18)&gt;=LOOKUP(G18,'Qualifying Scores'!$A$4:$A$7,'Qualifying Scores'!$C$4:$C$7),"P",""),IF(MAX(X18-U18,AE18-AB18)&gt;=LOOKUP(G18,'Qualifying Scores'!$A$4:$A$7,'Qualifying Scores'!$C$4:$C$7),"P","")))</f>
        <v/>
      </c>
      <c r="L18" s="3" t="str">
        <f>IF(G18="Not Age Eligible","",IF(G18="17-21",IF(MAX(U18,W18,Z18,AB18,AD18,AG18)&gt;=LOOKUP(G18,'Qualifying Scores'!$A$10:$A$13,'Qualifying Scores'!$C$10:$C$13),"P",""),IF(MAX(W18,AD18)&gt;=LOOKUP(G18,'Qualifying Scores'!$A$10:$A$13,'Qualifying Scores'!$C$10:$C$13),"P","")))</f>
        <v/>
      </c>
      <c r="M18" s="3" t="str">
        <f>IF(G18="Not Age Eligible","",IF(G18="17-21",IF(OR(AND(T18&gt;=LOOKUP(G18,'Qualifying Scores'!$A$4:$A$7,'Qualifying Scores'!$C$4:$C$7),U18&gt;=LOOKUP(G18,'Qualifying Scores'!$A$10:$A$13,'Qualifying Scores'!$C$10:$C$13)),AND(V18&gt;=LOOKUP(G18,'Qualifying Scores'!$A$4:$A$7,'Qualifying Scores'!$C$4:$C$7),W18&gt;=LOOKUP(G18,'Qualifying Scores'!$A$10:$A$13,'Qualifying Scores'!$C$10:$C$13)),AND(Y18&gt;=LOOKUP(G18,'Qualifying Scores'!$A$4:$A$7,'Qualifying Scores'!$C$4:$C$7),Z18&gt;=LOOKUP(G18,'Qualifying Scores'!$A$10:$A$13,'Qualifying Scores'!$C$10:$C$13)),AND(AA18&gt;=LOOKUP(G18,'Qualifying Scores'!$A$4:$A$7,'Qualifying Scores'!$C$4:$C$7),AB18&gt;=LOOKUP(G18,'Qualifying Scores'!$A$10:$A$13,'Qualifying Scores'!$C$10:$C$13)),AND(AC18&gt;=LOOKUP(G18,'Qualifying Scores'!$A$4:$A$7,'Qualifying Scores'!$C$4:$C$7),AD18&gt;=LOOKUP(G18,'Qualifying Scores'!$A$10:$A$13,'Qualifying Scores'!$C$10:$C$13)),AND(AF18&gt;=LOOKUP(G18,'Qualifying Scores'!$A$4:$A$7,'Qualifying Scores'!$C$4:$C$7),AG18&gt;=LOOKUP(G18,'Qualifying Scores'!$A$10:$A$13,'Qualifying Scores'!$C$10:$C$13))),"P",""),IF(OR(AND(X18-U18&gt;=LOOKUP(G18,'Qualifying Scores'!$A$4:$A$7,'Qualifying Scores'!$C$4:$C$7),W18&gt;=LOOKUP(G18,'Qualifying Scores'!$A$10:$A$13,'Qualifying Scores'!$C$10:$C$13)),AND(AE18-AB18&gt;=LOOKUP(G18,'Qualifying Scores'!$A$4:$A$7,'Qualifying Scores'!$C$4:$C$7),AD18&gt;=LOOKUP(G18,'Qualifying Scores'!$A$10:$A$13,'Qualifying Scores'!$C$10:$C$13))),"P","")))</f>
        <v/>
      </c>
      <c r="Q18" s="1" t="str">
        <f>IF(A18&lt;5,IF(_xlfn.MAXIFS(A:A,G:G,G18)&gt;3,5-A18,_xlfn.MAXIFS(A:A,G:G,G18)+1-A18),"")</f>
        <v/>
      </c>
      <c r="R18" s="4">
        <f>IF(G18="17-21",MAX(T18,V18,Y18,AA18,AC18,AF18),MAX(X18,AE18))</f>
        <v>46.51</v>
      </c>
      <c r="S18" s="4">
        <f>IF(G18="17-21",LARGE(CHOOSE({1,2,3,4,5,6},T18,V18,Y18,AA18,AC18,AF18),2),IF(R18=X18,MAX(Y18,AA18,AC18,AF18),IF(R18=AE18,MAX(AF18,T18,V18,Y18),0)))</f>
        <v>45.97</v>
      </c>
      <c r="T18" s="33">
        <v>39.89</v>
      </c>
      <c r="U18" s="40">
        <v>0</v>
      </c>
      <c r="V18" s="34">
        <v>46.51</v>
      </c>
      <c r="W18" s="40">
        <v>7.8</v>
      </c>
      <c r="X18" s="4">
        <f>IF(H18="Senior",MAX(T18,V18),T18+V18)</f>
        <v>86.4</v>
      </c>
      <c r="Y18" s="34">
        <v>45.97</v>
      </c>
      <c r="Z18" s="40">
        <v>7.8</v>
      </c>
      <c r="AA18" s="33"/>
      <c r="AB18" s="40"/>
      <c r="AC18" s="34"/>
      <c r="AD18" s="40"/>
      <c r="AE18" s="4">
        <f>IF(H18="Senior",MAX(AA18,AC18),AA18+AC18)</f>
        <v>0</v>
      </c>
      <c r="AF18" s="34"/>
      <c r="AG18" s="37"/>
    </row>
    <row r="19" spans="1:33" x14ac:dyDescent="0.2">
      <c r="A19" s="1" t="str" cm="1">
        <f t="array" ref="A19">IF(I19="","",IF(P19&lt;&gt;"",SUMPRODUCT((P$3:P$133&lt;&gt;"")*(G$3:G$133=G19)*(J$3:J$133&gt;J19)*(I$3:I$133="P"))+1,IF(O19&lt;&gt;"",SUMPRODUCT((O$3:O$133&lt;&gt;"")*(P$3:P$133="")*(G$3:G$133=G19)*(J$3:J$133&gt;J19)*(I$3:I$133="P"))+SUMPRODUCT((P$3:P$133&lt;&gt;"")*(G$3:G$133=G19)*(I$3:I$133="P"))+1,IF(N19&lt;&gt;"",SUMPRODUCT((N$3:N$133&lt;&gt;"")*(G$3:G$133=G19)*(J$3:J$133&gt;J19)*(I$3:I$133="P"))+1,IF(M19="P",SUMPRODUCT((O$3:O$133&lt;&gt;"")*(P$3:P$133="")*(G$3:G$133=G19)*(I$3:I$133="P"))+SUMPRODUCT((P$3:P$133&lt;&gt;"")*(G$3:G$133=G19)*(I$3:I$133="P"))+SUMPRODUCT((N$3:N$133&lt;&gt;"")*(G$3:G$133=G19)*(I$3:I$133="P"))+SUMPRODUCT((P$3:P$133="")*(O$3:O$133="")*(N$3:N$133="")*(M$3:M$133="P")*(G$3:G$133=G19)*(J$3:J$133&gt;J19)*(I$3:I$133="P"))+IF(H19="L5",SUMPRODUCT((P$3:P$133="")*(O$3:O$133="")*(N$3:N$133="")*(M$3:M$133="P")*(G$3:G$133=G19)*(J$3:J$133&lt;J19)*(H$3:H$133&lt;&gt;H19)*(I$3:I$133="P")),-1*SUMPRODUCT((P$3:P$133="")*(O$3:O$133="")*(N$3:N$133="")*(M$3:M$133="P")*(G$3:G$133=G19)*(J$3:J$133&gt;J19)*(H$3:H$133="L5")*(I$3:I$133="P")))+1,"")))))</f>
        <v/>
      </c>
      <c r="B19" s="1" t="str" cm="1">
        <f t="array" ref="B19">IF(P19&lt;&gt;"",SUMPRODUCT((P$3:P$133&lt;&gt;"")*(G$3:G$133=G19)*(J$3:J$133&gt;J19))+1,IF(O19&lt;&gt;"",SUMPRODUCT((O$3:O$133&lt;&gt;"")*(P$3:P$133="")*(G$3:G$133=G19)*(J$3:J$133&gt;J19))+SUMPRODUCT((P$3:P$133&lt;&gt;"")*(G$3:G$133=G19))+1,IF(N19&lt;&gt;"",SUMPRODUCT((N$3:N$133&lt;&gt;"")*(G$3:G$133=G19)*(J$3:J$133&gt;J19))+1,IF(M19="P",SUMPRODUCT((O$3:O$133&lt;&gt;"")*(P$3:P$133="")*(G$3:G$133=G19))+SUMPRODUCT((P$3:P$133&lt;&gt;"")*(G$3:G$133=G19))+SUMPRODUCT((N$3:N$133&lt;&gt;"")*(G$3:G$133=G19))+SUMPRODUCT((P$3:P$133="")*(O$3:O$133="")*(N$3:N$133="")*(M$3:M$133="P")*(G$3:G$133=G19)*(J$3:J$133&gt;J19))+IF(H19="L5",SUMPRODUCT((P$3:P$133="")*(O$3:O$133="")*(N$3:N$133="")*(M$3:M$133="P")*(G$3:G$133=G19)*(J$3:J$133&lt;J19)*(H$3:H$133&lt;&gt;H19)),-1*SUMPRODUCT((P$3:P$133="")*(O$3:O$133="")*(N$3:N$133="")*(M$3:M$133="P")*(G$3:G$133=G19)*(J$3:J$133&gt;J19)*(H$3:H$133="L5")))+1,""))))</f>
        <v/>
      </c>
      <c r="C19" s="36" t="s">
        <v>125</v>
      </c>
      <c r="D19" s="36" t="str">
        <f>IF(E19="","",VLOOKUP(E19,'Coaching Points'!A:B,2,0))</f>
        <v>QC</v>
      </c>
      <c r="E19" s="36" t="s">
        <v>84</v>
      </c>
      <c r="F19" s="35">
        <v>2006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66</v>
      </c>
      <c r="I19" s="43"/>
      <c r="J19" s="4">
        <f>R19+S19+IF(OR(H19="Junior",H19="Senior"),0.0002,IF(OR(H19="L7",H19="L6"),0.0001,0))+IF(G19="17-21",MAX(AA19,AC19,AF19),AE19)*0.0000001</f>
        <v>92.400004635000002</v>
      </c>
      <c r="K19" s="3" t="str">
        <f>IF(G19="Not Age Eligible","",IF(G19="17-21",IF(MAX(T19,V19,Y19,AA19,AC19,AF19)&gt;=LOOKUP(G19,'Qualifying Scores'!$A$4:$A$7,'Qualifying Scores'!$C$4:$C$7),"P",""),IF(MAX(X19-U19,AE19-AB19)&gt;=LOOKUP(G19,'Qualifying Scores'!$A$4:$A$7,'Qualifying Scores'!$C$4:$C$7),"P","")))</f>
        <v/>
      </c>
      <c r="L19" s="3" t="str">
        <f>IF(G19="Not Age Eligible","",IF(G19="17-21",IF(MAX(U19,W19,Z19,AB19,AD19,AG19)&gt;=LOOKUP(G19,'Qualifying Scores'!$A$10:$A$13,'Qualifying Scores'!$C$10:$C$13),"P",""),IF(MAX(W19,AD19)&gt;=LOOKUP(G19,'Qualifying Scores'!$A$10:$A$13,'Qualifying Scores'!$C$10:$C$13),"P","")))</f>
        <v/>
      </c>
      <c r="M19" s="3" t="str">
        <f>IF(G19="Not Age Eligible","",IF(G19="17-21",IF(OR(AND(T19&gt;=LOOKUP(G19,'Qualifying Scores'!$A$4:$A$7,'Qualifying Scores'!$C$4:$C$7),U19&gt;=LOOKUP(G19,'Qualifying Scores'!$A$10:$A$13,'Qualifying Scores'!$C$10:$C$13)),AND(V19&gt;=LOOKUP(G19,'Qualifying Scores'!$A$4:$A$7,'Qualifying Scores'!$C$4:$C$7),W19&gt;=LOOKUP(G19,'Qualifying Scores'!$A$10:$A$13,'Qualifying Scores'!$C$10:$C$13)),AND(Y19&gt;=LOOKUP(G19,'Qualifying Scores'!$A$4:$A$7,'Qualifying Scores'!$C$4:$C$7),Z19&gt;=LOOKUP(G19,'Qualifying Scores'!$A$10:$A$13,'Qualifying Scores'!$C$10:$C$13)),AND(AA19&gt;=LOOKUP(G19,'Qualifying Scores'!$A$4:$A$7,'Qualifying Scores'!$C$4:$C$7),AB19&gt;=LOOKUP(G19,'Qualifying Scores'!$A$10:$A$13,'Qualifying Scores'!$C$10:$C$13)),AND(AC19&gt;=LOOKUP(G19,'Qualifying Scores'!$A$4:$A$7,'Qualifying Scores'!$C$4:$C$7),AD19&gt;=LOOKUP(G19,'Qualifying Scores'!$A$10:$A$13,'Qualifying Scores'!$C$10:$C$13)),AND(AF19&gt;=LOOKUP(G19,'Qualifying Scores'!$A$4:$A$7,'Qualifying Scores'!$C$4:$C$7),AG19&gt;=LOOKUP(G19,'Qualifying Scores'!$A$10:$A$13,'Qualifying Scores'!$C$10:$C$13))),"P",""),IF(OR(AND(X19-U19&gt;=LOOKUP(G19,'Qualifying Scores'!$A$4:$A$7,'Qualifying Scores'!$C$4:$C$7),W19&gt;=LOOKUP(G19,'Qualifying Scores'!$A$10:$A$13,'Qualifying Scores'!$C$10:$C$13)),AND(AE19-AB19&gt;=LOOKUP(G19,'Qualifying Scores'!$A$4:$A$7,'Qualifying Scores'!$C$4:$C$7),AD19&gt;=LOOKUP(G19,'Qualifying Scores'!$A$10:$A$13,'Qualifying Scores'!$C$10:$C$13))),"P","")))</f>
        <v/>
      </c>
      <c r="Q19" s="1" t="str">
        <f>IF(A19&lt;5,IF(_xlfn.MAXIFS(A:A,G:G,G19)&gt;3,5-A19,_xlfn.MAXIFS(A:A,G:G,G19)+1-A19),"")</f>
        <v/>
      </c>
      <c r="R19" s="4">
        <f>IF(G19="17-21",MAX(T19,V19,Y19,AA19,AC19,AF19),MAX(X19,AE19))</f>
        <v>46.35</v>
      </c>
      <c r="S19" s="4">
        <f>IF(G19="17-21",LARGE(CHOOSE({1,2,3,4,5,6},T19,V19,Y19,AA19,AC19,AF19),2),IF(R19=X19,MAX(Y19,AA19,AC19,AF19),IF(R19=AE19,MAX(AF19,T19,V19,Y19),0)))</f>
        <v>46.05</v>
      </c>
      <c r="T19" s="33">
        <v>39.869999999999997</v>
      </c>
      <c r="U19" s="40">
        <v>0</v>
      </c>
      <c r="V19" s="34">
        <v>46.05</v>
      </c>
      <c r="W19" s="40">
        <v>8.4</v>
      </c>
      <c r="X19" s="4">
        <f>IF(H19="Senior",MAX(T19,V19),T19+V19)</f>
        <v>85.919999999999987</v>
      </c>
      <c r="Y19" s="34">
        <v>45.66</v>
      </c>
      <c r="Z19" s="40">
        <v>8.4</v>
      </c>
      <c r="AA19" s="33">
        <v>40.03</v>
      </c>
      <c r="AB19" s="40">
        <v>0</v>
      </c>
      <c r="AC19" s="34">
        <v>45.98</v>
      </c>
      <c r="AD19" s="40">
        <v>8.4</v>
      </c>
      <c r="AE19" s="4">
        <f>IF(H19="Senior",MAX(AA19,AC19),AA19+AC19)</f>
        <v>86.009999999999991</v>
      </c>
      <c r="AF19" s="34">
        <v>46.35</v>
      </c>
      <c r="AG19" s="37">
        <v>8.4</v>
      </c>
    </row>
    <row r="20" spans="1:33" x14ac:dyDescent="0.2">
      <c r="A20" s="1" t="str" cm="1">
        <f t="array" ref="A20">IF(I20="","",IF(P20&lt;&gt;"",SUMPRODUCT((P$3:P$133&lt;&gt;"")*(G$3:G$133=G20)*(J$3:J$133&gt;J20)*(I$3:I$133="P"))+1,IF(O20&lt;&gt;"",SUMPRODUCT((O$3:O$133&lt;&gt;"")*(P$3:P$133="")*(G$3:G$133=G20)*(J$3:J$133&gt;J20)*(I$3:I$133="P"))+SUMPRODUCT((P$3:P$133&lt;&gt;"")*(G$3:G$133=G20)*(I$3:I$133="P"))+1,IF(N20&lt;&gt;"",SUMPRODUCT((N$3:N$133&lt;&gt;"")*(G$3:G$133=G20)*(J$3:J$133&gt;J20)*(I$3:I$133="P"))+1,IF(M20="P",SUMPRODUCT((O$3:O$133&lt;&gt;"")*(P$3:P$133="")*(G$3:G$133=G20)*(I$3:I$133="P"))+SUMPRODUCT((P$3:P$133&lt;&gt;"")*(G$3:G$133=G20)*(I$3:I$133="P"))+SUMPRODUCT((N$3:N$133&lt;&gt;"")*(G$3:G$133=G20)*(I$3:I$133="P"))+SUMPRODUCT((P$3:P$133="")*(O$3:O$133="")*(N$3:N$133="")*(M$3:M$133="P")*(G$3:G$133=G20)*(J$3:J$133&gt;J20)*(I$3:I$133="P"))+IF(H20="L5",SUMPRODUCT((P$3:P$133="")*(O$3:O$133="")*(N$3:N$133="")*(M$3:M$133="P")*(G$3:G$133=G20)*(J$3:J$133&lt;J20)*(H$3:H$133&lt;&gt;H20)*(I$3:I$133="P")),-1*SUMPRODUCT((P$3:P$133="")*(O$3:O$133="")*(N$3:N$133="")*(M$3:M$133="P")*(G$3:G$133=G20)*(J$3:J$133&gt;J20)*(H$3:H$133="L5")*(I$3:I$133="P")))+1,"")))))</f>
        <v/>
      </c>
      <c r="B20" s="1" t="str" cm="1">
        <f t="array" ref="B20">IF(P20&lt;&gt;"",SUMPRODUCT((P$3:P$133&lt;&gt;"")*(G$3:G$133=G20)*(J$3:J$133&gt;J20))+1,IF(O20&lt;&gt;"",SUMPRODUCT((O$3:O$133&lt;&gt;"")*(P$3:P$133="")*(G$3:G$133=G20)*(J$3:J$133&gt;J20))+SUMPRODUCT((P$3:P$133&lt;&gt;"")*(G$3:G$133=G20))+1,IF(N20&lt;&gt;"",SUMPRODUCT((N$3:N$133&lt;&gt;"")*(G$3:G$133=G20)*(J$3:J$133&gt;J20))+1,IF(M20="P",SUMPRODUCT((O$3:O$133&lt;&gt;"")*(P$3:P$133="")*(G$3:G$133=G20))+SUMPRODUCT((P$3:P$133&lt;&gt;"")*(G$3:G$133=G20))+SUMPRODUCT((N$3:N$133&lt;&gt;"")*(G$3:G$133=G20))+SUMPRODUCT((P$3:P$133="")*(O$3:O$133="")*(N$3:N$133="")*(M$3:M$133="P")*(G$3:G$133=G20)*(J$3:J$133&gt;J20))+IF(H20="L5",SUMPRODUCT((P$3:P$133="")*(O$3:O$133="")*(N$3:N$133="")*(M$3:M$133="P")*(G$3:G$133=G20)*(J$3:J$133&lt;J20)*(H$3:H$133&lt;&gt;H20)),-1*SUMPRODUCT((P$3:P$133="")*(O$3:O$133="")*(N$3:N$133="")*(M$3:M$133="P")*(G$3:G$133=G20)*(J$3:J$133&gt;J20)*(H$3:H$133="L5")))+1,""))))</f>
        <v/>
      </c>
      <c r="C20" s="36" t="s">
        <v>530</v>
      </c>
      <c r="D20" s="36" t="str">
        <f>IF(E20="","",VLOOKUP(E20,'Coaching Points'!A:B,2,0))</f>
        <v>ON</v>
      </c>
      <c r="E20" s="36" t="s">
        <v>426</v>
      </c>
      <c r="F20" s="35">
        <v>2005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68</v>
      </c>
      <c r="I20" s="43"/>
      <c r="J20" s="4">
        <f>R20+S20+IF(OR(H20="Junior",H20="Senior"),0.0002,IF(OR(H20="L7",H20="L6"),0.0001,0))+IF(G20="17-21",MAX(AA20,AC20,AF20),AE20)*0.0000001</f>
        <v>92.150104640000009</v>
      </c>
      <c r="K20" s="3" t="str">
        <f>IF(G20="Not Age Eligible","",IF(G20="17-21",IF(MAX(T20,V20,Y20,AA20,AC20,AF20)&gt;=LOOKUP(G20,'Qualifying Scores'!$A$4:$A$7,'Qualifying Scores'!$C$4:$C$7),"P",""),IF(MAX(X20-U20,AE20-AB20)&gt;=LOOKUP(G20,'Qualifying Scores'!$A$4:$A$7,'Qualifying Scores'!$C$4:$C$7),"P","")))</f>
        <v/>
      </c>
      <c r="L20" s="3" t="str">
        <f>IF(G20="Not Age Eligible","",IF(G20="17-21",IF(MAX(U20,W20,Z20,AB20,AD20,AG20)&gt;=LOOKUP(G20,'Qualifying Scores'!$A$10:$A$13,'Qualifying Scores'!$C$10:$C$13),"P",""),IF(MAX(W20,AD20)&gt;=LOOKUP(G20,'Qualifying Scores'!$A$10:$A$13,'Qualifying Scores'!$C$10:$C$13),"P","")))</f>
        <v/>
      </c>
      <c r="M20" s="3" t="str">
        <f>IF(G20="Not Age Eligible","",IF(G20="17-21",IF(OR(AND(T20&gt;=LOOKUP(G20,'Qualifying Scores'!$A$4:$A$7,'Qualifying Scores'!$C$4:$C$7),U20&gt;=LOOKUP(G20,'Qualifying Scores'!$A$10:$A$13,'Qualifying Scores'!$C$10:$C$13)),AND(V20&gt;=LOOKUP(G20,'Qualifying Scores'!$A$4:$A$7,'Qualifying Scores'!$C$4:$C$7),W20&gt;=LOOKUP(G20,'Qualifying Scores'!$A$10:$A$13,'Qualifying Scores'!$C$10:$C$13)),AND(Y20&gt;=LOOKUP(G20,'Qualifying Scores'!$A$4:$A$7,'Qualifying Scores'!$C$4:$C$7),Z20&gt;=LOOKUP(G20,'Qualifying Scores'!$A$10:$A$13,'Qualifying Scores'!$C$10:$C$13)),AND(AA20&gt;=LOOKUP(G20,'Qualifying Scores'!$A$4:$A$7,'Qualifying Scores'!$C$4:$C$7),AB20&gt;=LOOKUP(G20,'Qualifying Scores'!$A$10:$A$13,'Qualifying Scores'!$C$10:$C$13)),AND(AC20&gt;=LOOKUP(G20,'Qualifying Scores'!$A$4:$A$7,'Qualifying Scores'!$C$4:$C$7),AD20&gt;=LOOKUP(G20,'Qualifying Scores'!$A$10:$A$13,'Qualifying Scores'!$C$10:$C$13)),AND(AF20&gt;=LOOKUP(G20,'Qualifying Scores'!$A$4:$A$7,'Qualifying Scores'!$C$4:$C$7),AG20&gt;=LOOKUP(G20,'Qualifying Scores'!$A$10:$A$13,'Qualifying Scores'!$C$10:$C$13))),"P",""),IF(OR(AND(X20-U20&gt;=LOOKUP(G20,'Qualifying Scores'!$A$4:$A$7,'Qualifying Scores'!$C$4:$C$7),W20&gt;=LOOKUP(G20,'Qualifying Scores'!$A$10:$A$13,'Qualifying Scores'!$C$10:$C$13)),AND(AE20-AB20&gt;=LOOKUP(G20,'Qualifying Scores'!$A$4:$A$7,'Qualifying Scores'!$C$4:$C$7),AD20&gt;=LOOKUP(G20,'Qualifying Scores'!$A$10:$A$13,'Qualifying Scores'!$C$10:$C$13))),"P","")))</f>
        <v/>
      </c>
      <c r="Q20" s="1" t="str">
        <f>IF(A20&lt;5,IF(_xlfn.MAXIFS(A:A,G:G,G20)&gt;3,5-A20,_xlfn.MAXIFS(A:A,G:G,G20)+1-A20),"")</f>
        <v/>
      </c>
      <c r="R20" s="4">
        <f>IF(G20="17-21",MAX(T20,V20,Y20,AA20,AC20,AF20),MAX(X20,AE20))</f>
        <v>46.4</v>
      </c>
      <c r="S20" s="4">
        <f>IF(G20="17-21",LARGE(CHOOSE({1,2,3,4,5,6},T20,V20,Y20,AA20,AC20,AF20),2),IF(R20=X20,MAX(Y20,AA20,AC20,AF20),IF(R20=AE20,MAX(AF20,T20,V20,Y20),0)))</f>
        <v>45.75</v>
      </c>
      <c r="T20" s="33"/>
      <c r="U20" s="40"/>
      <c r="V20" s="34"/>
      <c r="W20" s="40"/>
      <c r="X20" s="4">
        <f>IF(H20="Senior",MAX(T20,V20),T20+V20)</f>
        <v>0</v>
      </c>
      <c r="Y20" s="34"/>
      <c r="Z20" s="40"/>
      <c r="AA20" s="33">
        <v>46.4</v>
      </c>
      <c r="AB20" s="40">
        <v>8.9</v>
      </c>
      <c r="AC20" s="34">
        <v>45.75</v>
      </c>
      <c r="AD20" s="40">
        <v>8.9</v>
      </c>
      <c r="AE20" s="4">
        <f>IF(H20="Senior",MAX(AA20,AC20),AA20+AC20)</f>
        <v>92.15</v>
      </c>
      <c r="AF20" s="34">
        <v>18.809999999999999</v>
      </c>
      <c r="AG20" s="37">
        <v>3.5</v>
      </c>
    </row>
    <row r="21" spans="1:33" x14ac:dyDescent="0.2">
      <c r="A21" s="1" t="str" cm="1">
        <f t="array" ref="A21">IF(I21="","",IF(P21&lt;&gt;"",SUMPRODUCT((P$3:P$133&lt;&gt;"")*(G$3:G$133=G21)*(J$3:J$133&gt;J21)*(I$3:I$133="P"))+1,IF(O21&lt;&gt;"",SUMPRODUCT((O$3:O$133&lt;&gt;"")*(P$3:P$133="")*(G$3:G$133=G21)*(J$3:J$133&gt;J21)*(I$3:I$133="P"))+SUMPRODUCT((P$3:P$133&lt;&gt;"")*(G$3:G$133=G21)*(I$3:I$133="P"))+1,IF(N21&lt;&gt;"",SUMPRODUCT((N$3:N$133&lt;&gt;"")*(G$3:G$133=G21)*(J$3:J$133&gt;J21)*(I$3:I$133="P"))+1,IF(M21="P",SUMPRODUCT((O$3:O$133&lt;&gt;"")*(P$3:P$133="")*(G$3:G$133=G21)*(I$3:I$133="P"))+SUMPRODUCT((P$3:P$133&lt;&gt;"")*(G$3:G$133=G21)*(I$3:I$133="P"))+SUMPRODUCT((N$3:N$133&lt;&gt;"")*(G$3:G$133=G21)*(I$3:I$133="P"))+SUMPRODUCT((P$3:P$133="")*(O$3:O$133="")*(N$3:N$133="")*(M$3:M$133="P")*(G$3:G$133=G21)*(J$3:J$133&gt;J21)*(I$3:I$133="P"))+IF(H21="L5",SUMPRODUCT((P$3:P$133="")*(O$3:O$133="")*(N$3:N$133="")*(M$3:M$133="P")*(G$3:G$133=G21)*(J$3:J$133&lt;J21)*(H$3:H$133&lt;&gt;H21)*(I$3:I$133="P")),-1*SUMPRODUCT((P$3:P$133="")*(O$3:O$133="")*(N$3:N$133="")*(M$3:M$133="P")*(G$3:G$133=G21)*(J$3:J$133&gt;J21)*(H$3:H$133="L5")*(I$3:I$133="P")))+1,"")))))</f>
        <v/>
      </c>
      <c r="B21" s="1" t="str" cm="1">
        <f t="array" ref="B21">IF(P21&lt;&gt;"",SUMPRODUCT((P$3:P$133&lt;&gt;"")*(G$3:G$133=G21)*(J$3:J$133&gt;J21))+1,IF(O21&lt;&gt;"",SUMPRODUCT((O$3:O$133&lt;&gt;"")*(P$3:P$133="")*(G$3:G$133=G21)*(J$3:J$133&gt;J21))+SUMPRODUCT((P$3:P$133&lt;&gt;"")*(G$3:G$133=G21))+1,IF(N21&lt;&gt;"",SUMPRODUCT((N$3:N$133&lt;&gt;"")*(G$3:G$133=G21)*(J$3:J$133&gt;J21))+1,IF(M21="P",SUMPRODUCT((O$3:O$133&lt;&gt;"")*(P$3:P$133="")*(G$3:G$133=G21))+SUMPRODUCT((P$3:P$133&lt;&gt;"")*(G$3:G$133=G21))+SUMPRODUCT((N$3:N$133&lt;&gt;"")*(G$3:G$133=G21))+SUMPRODUCT((P$3:P$133="")*(O$3:O$133="")*(N$3:N$133="")*(M$3:M$133="P")*(G$3:G$133=G21)*(J$3:J$133&gt;J21))+IF(H21="L5",SUMPRODUCT((P$3:P$133="")*(O$3:O$133="")*(N$3:N$133="")*(M$3:M$133="P")*(G$3:G$133=G21)*(J$3:J$133&lt;J21)*(H$3:H$133&lt;&gt;H21)),-1*SUMPRODUCT((P$3:P$133="")*(O$3:O$133="")*(N$3:N$133="")*(M$3:M$133="P")*(G$3:G$133=G21)*(J$3:J$133&gt;J21)*(H$3:H$133="L5")))+1,""))))</f>
        <v/>
      </c>
      <c r="C21" s="36" t="s">
        <v>138</v>
      </c>
      <c r="D21" s="36" t="str">
        <f>IF(E21="","",VLOOKUP(E21,'Coaching Points'!A:B,2,0))</f>
        <v>NS</v>
      </c>
      <c r="E21" s="36" t="s">
        <v>134</v>
      </c>
      <c r="F21" s="35">
        <v>2005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66</v>
      </c>
      <c r="I21" s="43"/>
      <c r="J21" s="4">
        <f>R21+S21+IF(OR(H21="Junior",H21="Senior"),0.0002,IF(OR(H21="L7",H21="L6"),0.0001,0))+IF(G21="17-21",MAX(AA21,AC21,AF21),AE21)*0.0000001</f>
        <v>91.980004660000006</v>
      </c>
      <c r="K21" s="3" t="str">
        <f>IF(G21="Not Age Eligible","",IF(G21="17-21",IF(MAX(T21,V21,Y21,AA21,AC21,AF21)&gt;=LOOKUP(G21,'Qualifying Scores'!$A$4:$A$7,'Qualifying Scores'!$C$4:$C$7),"P",""),IF(MAX(X21-U21,AE21-AB21)&gt;=LOOKUP(G21,'Qualifying Scores'!$A$4:$A$7,'Qualifying Scores'!$C$4:$C$7),"P","")))</f>
        <v/>
      </c>
      <c r="L21" s="3" t="str">
        <f>IF(G21="Not Age Eligible","",IF(G21="17-21",IF(MAX(U21,W21,Z21,AB21,AD21,AG21)&gt;=LOOKUP(G21,'Qualifying Scores'!$A$10:$A$13,'Qualifying Scores'!$C$10:$C$13),"P",""),IF(MAX(W21,AD21)&gt;=LOOKUP(G21,'Qualifying Scores'!$A$10:$A$13,'Qualifying Scores'!$C$10:$C$13),"P","")))</f>
        <v/>
      </c>
      <c r="M21" s="3" t="str">
        <f>IF(G21="Not Age Eligible","",IF(G21="17-21",IF(OR(AND(T21&gt;=LOOKUP(G21,'Qualifying Scores'!$A$4:$A$7,'Qualifying Scores'!$C$4:$C$7),U21&gt;=LOOKUP(G21,'Qualifying Scores'!$A$10:$A$13,'Qualifying Scores'!$C$10:$C$13)),AND(V21&gt;=LOOKUP(G21,'Qualifying Scores'!$A$4:$A$7,'Qualifying Scores'!$C$4:$C$7),W21&gt;=LOOKUP(G21,'Qualifying Scores'!$A$10:$A$13,'Qualifying Scores'!$C$10:$C$13)),AND(Y21&gt;=LOOKUP(G21,'Qualifying Scores'!$A$4:$A$7,'Qualifying Scores'!$C$4:$C$7),Z21&gt;=LOOKUP(G21,'Qualifying Scores'!$A$10:$A$13,'Qualifying Scores'!$C$10:$C$13)),AND(AA21&gt;=LOOKUP(G21,'Qualifying Scores'!$A$4:$A$7,'Qualifying Scores'!$C$4:$C$7),AB21&gt;=LOOKUP(G21,'Qualifying Scores'!$A$10:$A$13,'Qualifying Scores'!$C$10:$C$13)),AND(AC21&gt;=LOOKUP(G21,'Qualifying Scores'!$A$4:$A$7,'Qualifying Scores'!$C$4:$C$7),AD21&gt;=LOOKUP(G21,'Qualifying Scores'!$A$10:$A$13,'Qualifying Scores'!$C$10:$C$13)),AND(AF21&gt;=LOOKUP(G21,'Qualifying Scores'!$A$4:$A$7,'Qualifying Scores'!$C$4:$C$7),AG21&gt;=LOOKUP(G21,'Qualifying Scores'!$A$10:$A$13,'Qualifying Scores'!$C$10:$C$13))),"P",""),IF(OR(AND(X21-U21&gt;=LOOKUP(G21,'Qualifying Scores'!$A$4:$A$7,'Qualifying Scores'!$C$4:$C$7),W21&gt;=LOOKUP(G21,'Qualifying Scores'!$A$10:$A$13,'Qualifying Scores'!$C$10:$C$13)),AND(AE21-AB21&gt;=LOOKUP(G21,'Qualifying Scores'!$A$4:$A$7,'Qualifying Scores'!$C$4:$C$7),AD21&gt;=LOOKUP(G21,'Qualifying Scores'!$A$10:$A$13,'Qualifying Scores'!$C$10:$C$13))),"P","")))</f>
        <v/>
      </c>
      <c r="Q21" s="1" t="str">
        <f>IF(A21&lt;5,IF(_xlfn.MAXIFS(A:A,G:G,G21)&gt;3,5-A21,_xlfn.MAXIFS(A:A,G:G,G21)+1-A21),"")</f>
        <v/>
      </c>
      <c r="R21" s="4">
        <f>IF(G21="17-21",MAX(T21,V21,Y21,AA21,AC21,AF21),MAX(X21,AE21))</f>
        <v>46.6</v>
      </c>
      <c r="S21" s="4">
        <f>IF(G21="17-21",LARGE(CHOOSE({1,2,3,4,5,6},T21,V21,Y21,AA21,AC21,AF21),2),IF(R21=X21,MAX(Y21,AA21,AC21,AF21),IF(R21=AE21,MAX(AF21,T21,V21,Y21),0)))</f>
        <v>45.38</v>
      </c>
      <c r="T21" s="33">
        <v>38.46</v>
      </c>
      <c r="U21" s="40">
        <v>0</v>
      </c>
      <c r="V21" s="34">
        <v>44.72</v>
      </c>
      <c r="W21" s="40">
        <v>7.8</v>
      </c>
      <c r="X21" s="4">
        <f>IF(H21="Senior",MAX(T21,V21),T21+V21)</f>
        <v>83.18</v>
      </c>
      <c r="Y21" s="34"/>
      <c r="Z21" s="40"/>
      <c r="AA21" s="33">
        <v>39.57</v>
      </c>
      <c r="AB21" s="40">
        <v>0</v>
      </c>
      <c r="AC21" s="34">
        <v>45.38</v>
      </c>
      <c r="AD21" s="40">
        <v>7.8</v>
      </c>
      <c r="AE21" s="4">
        <f>IF(H21="Senior",MAX(AA21,AC21),AA21+AC21)</f>
        <v>84.95</v>
      </c>
      <c r="AF21" s="34">
        <v>46.6</v>
      </c>
      <c r="AG21" s="37">
        <v>7.8</v>
      </c>
    </row>
    <row r="22" spans="1:33" x14ac:dyDescent="0.2">
      <c r="A22" s="1" t="str" cm="1">
        <f t="array" ref="A22">IF(I22="","",IF(P22&lt;&gt;"",SUMPRODUCT((P$3:P$133&lt;&gt;"")*(G$3:G$133=G22)*(J$3:J$133&gt;J22)*(I$3:I$133="P"))+1,IF(O22&lt;&gt;"",SUMPRODUCT((O$3:O$133&lt;&gt;"")*(P$3:P$133="")*(G$3:G$133=G22)*(J$3:J$133&gt;J22)*(I$3:I$133="P"))+SUMPRODUCT((P$3:P$133&lt;&gt;"")*(G$3:G$133=G22)*(I$3:I$133="P"))+1,IF(N22&lt;&gt;"",SUMPRODUCT((N$3:N$133&lt;&gt;"")*(G$3:G$133=G22)*(J$3:J$133&gt;J22)*(I$3:I$133="P"))+1,IF(M22="P",SUMPRODUCT((O$3:O$133&lt;&gt;"")*(P$3:P$133="")*(G$3:G$133=G22)*(I$3:I$133="P"))+SUMPRODUCT((P$3:P$133&lt;&gt;"")*(G$3:G$133=G22)*(I$3:I$133="P"))+SUMPRODUCT((N$3:N$133&lt;&gt;"")*(G$3:G$133=G22)*(I$3:I$133="P"))+SUMPRODUCT((P$3:P$133="")*(O$3:O$133="")*(N$3:N$133="")*(M$3:M$133="P")*(G$3:G$133=G22)*(J$3:J$133&gt;J22)*(I$3:I$133="P"))+IF(H22="L5",SUMPRODUCT((P$3:P$133="")*(O$3:O$133="")*(N$3:N$133="")*(M$3:M$133="P")*(G$3:G$133=G22)*(J$3:J$133&lt;J22)*(H$3:H$133&lt;&gt;H22)*(I$3:I$133="P")),-1*SUMPRODUCT((P$3:P$133="")*(O$3:O$133="")*(N$3:N$133="")*(M$3:M$133="P")*(G$3:G$133=G22)*(J$3:J$133&gt;J22)*(H$3:H$133="L5")*(I$3:I$133="P")))+1,"")))))</f>
        <v/>
      </c>
      <c r="B22" s="1" t="str" cm="1">
        <f t="array" ref="B22">IF(P22&lt;&gt;"",SUMPRODUCT((P$3:P$133&lt;&gt;"")*(G$3:G$133=G22)*(J$3:J$133&gt;J22))+1,IF(O22&lt;&gt;"",SUMPRODUCT((O$3:O$133&lt;&gt;"")*(P$3:P$133="")*(G$3:G$133=G22)*(J$3:J$133&gt;J22))+SUMPRODUCT((P$3:P$133&lt;&gt;"")*(G$3:G$133=G22))+1,IF(N22&lt;&gt;"",SUMPRODUCT((N$3:N$133&lt;&gt;"")*(G$3:G$133=G22)*(J$3:J$133&gt;J22))+1,IF(M22="P",SUMPRODUCT((O$3:O$133&lt;&gt;"")*(P$3:P$133="")*(G$3:G$133=G22))+SUMPRODUCT((P$3:P$133&lt;&gt;"")*(G$3:G$133=G22))+SUMPRODUCT((N$3:N$133&lt;&gt;"")*(G$3:G$133=G22))+SUMPRODUCT((P$3:P$133="")*(O$3:O$133="")*(N$3:N$133="")*(M$3:M$133="P")*(G$3:G$133=G22)*(J$3:J$133&gt;J22))+IF(H22="L5",SUMPRODUCT((P$3:P$133="")*(O$3:O$133="")*(N$3:N$133="")*(M$3:M$133="P")*(G$3:G$133=G22)*(J$3:J$133&lt;J22)*(H$3:H$133&lt;&gt;H22)),-1*SUMPRODUCT((P$3:P$133="")*(O$3:O$133="")*(N$3:N$133="")*(M$3:M$133="P")*(G$3:G$133=G22)*(J$3:J$133&gt;J22)*(H$3:H$133="L5")))+1,""))))</f>
        <v/>
      </c>
      <c r="C22" s="36" t="s">
        <v>126</v>
      </c>
      <c r="D22" s="36" t="str">
        <f>IF(E22="","",VLOOKUP(E22,'Coaching Points'!A:B,2,0))</f>
        <v>SK</v>
      </c>
      <c r="E22" s="36" t="s">
        <v>45</v>
      </c>
      <c r="F22" s="35">
        <v>2006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66</v>
      </c>
      <c r="I22" s="43"/>
      <c r="J22" s="4">
        <f>R22+S22+IF(OR(H22="Junior",H22="Senior"),0.0002,IF(OR(H22="L7",H22="L6"),0.0001,0))+IF(G22="17-21",MAX(AA22,AC22,AF22),AE22)*0.0000001</f>
        <v>91.930004542000006</v>
      </c>
      <c r="K22" s="3" t="str">
        <f>IF(G22="Not Age Eligible","",IF(G22="17-21",IF(MAX(T22,V22,Y22,AA22,AC22,AF22)&gt;=LOOKUP(G22,'Qualifying Scores'!$A$4:$A$7,'Qualifying Scores'!$C$4:$C$7),"P",""),IF(MAX(X22-U22,AE22-AB22)&gt;=LOOKUP(G22,'Qualifying Scores'!$A$4:$A$7,'Qualifying Scores'!$C$4:$C$7),"P","")))</f>
        <v/>
      </c>
      <c r="L22" s="3" t="str">
        <f>IF(G22="Not Age Eligible","",IF(G22="17-21",IF(MAX(U22,W22,Z22,AB22,AD22,AG22)&gt;=LOOKUP(G22,'Qualifying Scores'!$A$10:$A$13,'Qualifying Scores'!$C$10:$C$13),"P",""),IF(MAX(W22,AD22)&gt;=LOOKUP(G22,'Qualifying Scores'!$A$10:$A$13,'Qualifying Scores'!$C$10:$C$13),"P","")))</f>
        <v/>
      </c>
      <c r="M22" s="3" t="str">
        <f>IF(G22="Not Age Eligible","",IF(G22="17-21",IF(OR(AND(T22&gt;=LOOKUP(G22,'Qualifying Scores'!$A$4:$A$7,'Qualifying Scores'!$C$4:$C$7),U22&gt;=LOOKUP(G22,'Qualifying Scores'!$A$10:$A$13,'Qualifying Scores'!$C$10:$C$13)),AND(V22&gt;=LOOKUP(G22,'Qualifying Scores'!$A$4:$A$7,'Qualifying Scores'!$C$4:$C$7),W22&gt;=LOOKUP(G22,'Qualifying Scores'!$A$10:$A$13,'Qualifying Scores'!$C$10:$C$13)),AND(Y22&gt;=LOOKUP(G22,'Qualifying Scores'!$A$4:$A$7,'Qualifying Scores'!$C$4:$C$7),Z22&gt;=LOOKUP(G22,'Qualifying Scores'!$A$10:$A$13,'Qualifying Scores'!$C$10:$C$13)),AND(AA22&gt;=LOOKUP(G22,'Qualifying Scores'!$A$4:$A$7,'Qualifying Scores'!$C$4:$C$7),AB22&gt;=LOOKUP(G22,'Qualifying Scores'!$A$10:$A$13,'Qualifying Scores'!$C$10:$C$13)),AND(AC22&gt;=LOOKUP(G22,'Qualifying Scores'!$A$4:$A$7,'Qualifying Scores'!$C$4:$C$7),AD22&gt;=LOOKUP(G22,'Qualifying Scores'!$A$10:$A$13,'Qualifying Scores'!$C$10:$C$13)),AND(AF22&gt;=LOOKUP(G22,'Qualifying Scores'!$A$4:$A$7,'Qualifying Scores'!$C$4:$C$7),AG22&gt;=LOOKUP(G22,'Qualifying Scores'!$A$10:$A$13,'Qualifying Scores'!$C$10:$C$13))),"P",""),IF(OR(AND(X22-U22&gt;=LOOKUP(G22,'Qualifying Scores'!$A$4:$A$7,'Qualifying Scores'!$C$4:$C$7),W22&gt;=LOOKUP(G22,'Qualifying Scores'!$A$10:$A$13,'Qualifying Scores'!$C$10:$C$13)),AND(AE22-AB22&gt;=LOOKUP(G22,'Qualifying Scores'!$A$4:$A$7,'Qualifying Scores'!$C$4:$C$7),AD22&gt;=LOOKUP(G22,'Qualifying Scores'!$A$10:$A$13,'Qualifying Scores'!$C$10:$C$13))),"P","")))</f>
        <v/>
      </c>
      <c r="Q22" s="1" t="str">
        <f>IF(A22&lt;5,IF(_xlfn.MAXIFS(A:A,G:G,G22)&gt;3,5-A22,_xlfn.MAXIFS(A:A,G:G,G22)+1-A22),"")</f>
        <v/>
      </c>
      <c r="R22" s="4">
        <f>IF(G22="17-21",MAX(T22,V22,Y22,AA22,AC22,AF22),MAX(X22,AE22))</f>
        <v>46.51</v>
      </c>
      <c r="S22" s="4">
        <f>IF(G22="17-21",LARGE(CHOOSE({1,2,3,4,5,6},T22,V22,Y22,AA22,AC22,AF22),2),IF(R22=X22,MAX(Y22,AA22,AC22,AF22),IF(R22=AE22,MAX(AF22,T22,V22,Y22),0)))</f>
        <v>45.42</v>
      </c>
      <c r="T22" s="33">
        <v>38.03</v>
      </c>
      <c r="U22" s="40">
        <v>0</v>
      </c>
      <c r="V22" s="34">
        <v>45.34</v>
      </c>
      <c r="W22" s="40">
        <v>9.1</v>
      </c>
      <c r="X22" s="4">
        <f>IF(H22="Senior",MAX(T22,V22),T22+V22)</f>
        <v>83.37</v>
      </c>
      <c r="Y22" s="34">
        <v>46.51</v>
      </c>
      <c r="Z22" s="40">
        <v>9.1</v>
      </c>
      <c r="AA22" s="33">
        <v>38.090000000000003</v>
      </c>
      <c r="AB22" s="40">
        <v>0</v>
      </c>
      <c r="AC22" s="34">
        <v>45.42</v>
      </c>
      <c r="AD22" s="40">
        <v>9.1</v>
      </c>
      <c r="AE22" s="4">
        <f>IF(H22="Senior",MAX(AA22,AC22),AA22+AC22)</f>
        <v>83.51</v>
      </c>
      <c r="AF22" s="34"/>
      <c r="AG22" s="37"/>
    </row>
    <row r="23" spans="1:33" x14ac:dyDescent="0.2">
      <c r="A23" s="1" t="str" cm="1">
        <f t="array" ref="A23">IF(I23="","",IF(P23&lt;&gt;"",SUMPRODUCT((P$3:P$133&lt;&gt;"")*(G$3:G$133=G23)*(J$3:J$133&gt;J23)*(I$3:I$133="P"))+1,IF(O23&lt;&gt;"",SUMPRODUCT((O$3:O$133&lt;&gt;"")*(P$3:P$133="")*(G$3:G$133=G23)*(J$3:J$133&gt;J23)*(I$3:I$133="P"))+SUMPRODUCT((P$3:P$133&lt;&gt;"")*(G$3:G$133=G23)*(I$3:I$133="P"))+1,IF(N23&lt;&gt;"",SUMPRODUCT((N$3:N$133&lt;&gt;"")*(G$3:G$133=G23)*(J$3:J$133&gt;J23)*(I$3:I$133="P"))+1,IF(M23="P",SUMPRODUCT((O$3:O$133&lt;&gt;"")*(P$3:P$133="")*(G$3:G$133=G23)*(I$3:I$133="P"))+SUMPRODUCT((P$3:P$133&lt;&gt;"")*(G$3:G$133=G23)*(I$3:I$133="P"))+SUMPRODUCT((N$3:N$133&lt;&gt;"")*(G$3:G$133=G23)*(I$3:I$133="P"))+SUMPRODUCT((P$3:P$133="")*(O$3:O$133="")*(N$3:N$133="")*(M$3:M$133="P")*(G$3:G$133=G23)*(J$3:J$133&gt;J23)*(I$3:I$133="P"))+IF(H23="L5",SUMPRODUCT((P$3:P$133="")*(O$3:O$133="")*(N$3:N$133="")*(M$3:M$133="P")*(G$3:G$133=G23)*(J$3:J$133&lt;J23)*(H$3:H$133&lt;&gt;H23)*(I$3:I$133="P")),-1*SUMPRODUCT((P$3:P$133="")*(O$3:O$133="")*(N$3:N$133="")*(M$3:M$133="P")*(G$3:G$133=G23)*(J$3:J$133&gt;J23)*(H$3:H$133="L5")*(I$3:I$133="P")))+1,"")))))</f>
        <v/>
      </c>
      <c r="B23" s="1" t="str" cm="1">
        <f t="array" ref="B23">IF(P23&lt;&gt;"",SUMPRODUCT((P$3:P$133&lt;&gt;"")*(G$3:G$133=G23)*(J$3:J$133&gt;J23))+1,IF(O23&lt;&gt;"",SUMPRODUCT((O$3:O$133&lt;&gt;"")*(P$3:P$133="")*(G$3:G$133=G23)*(J$3:J$133&gt;J23))+SUMPRODUCT((P$3:P$133&lt;&gt;"")*(G$3:G$133=G23))+1,IF(N23&lt;&gt;"",SUMPRODUCT((N$3:N$133&lt;&gt;"")*(G$3:G$133=G23)*(J$3:J$133&gt;J23))+1,IF(M23="P",SUMPRODUCT((O$3:O$133&lt;&gt;"")*(P$3:P$133="")*(G$3:G$133=G23))+SUMPRODUCT((P$3:P$133&lt;&gt;"")*(G$3:G$133=G23))+SUMPRODUCT((N$3:N$133&lt;&gt;"")*(G$3:G$133=G23))+SUMPRODUCT((P$3:P$133="")*(O$3:O$133="")*(N$3:N$133="")*(M$3:M$133="P")*(G$3:G$133=G23)*(J$3:J$133&gt;J23))+IF(H23="L5",SUMPRODUCT((P$3:P$133="")*(O$3:O$133="")*(N$3:N$133="")*(M$3:M$133="P")*(G$3:G$133=G23)*(J$3:J$133&lt;J23)*(H$3:H$133&lt;&gt;H23)),-1*SUMPRODUCT((P$3:P$133="")*(O$3:O$133="")*(N$3:N$133="")*(M$3:M$133="P")*(G$3:G$133=G23)*(J$3:J$133&gt;J23)*(H$3:H$133="L5")))+1,""))))</f>
        <v/>
      </c>
      <c r="C23" s="36" t="s">
        <v>444</v>
      </c>
      <c r="D23" s="36" t="str">
        <f>IF(E23="","",VLOOKUP(E23,'Coaching Points'!A:B,2,0))</f>
        <v>ON</v>
      </c>
      <c r="E23" s="36" t="s">
        <v>38</v>
      </c>
      <c r="F23" s="35">
        <v>2006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66</v>
      </c>
      <c r="I23" s="43"/>
      <c r="J23" s="4">
        <f>R23+S23+IF(OR(H23="Junior",H23="Senior"),0.0002,IF(OR(H23="L7",H23="L6"),0.0001,0))+IF(G23="17-21",MAX(AA23,AC23,AF23),AE23)*0.0000001</f>
        <v>91.600004613999999</v>
      </c>
      <c r="K23" s="3" t="str">
        <f>IF(G23="Not Age Eligible","",IF(G23="17-21",IF(MAX(T23,V23,Y23,AA23,AC23,AF23)&gt;=LOOKUP(G23,'Qualifying Scores'!$A$4:$A$7,'Qualifying Scores'!$C$4:$C$7),"P",""),IF(MAX(X23-U23,AE23-AB23)&gt;=LOOKUP(G23,'Qualifying Scores'!$A$4:$A$7,'Qualifying Scores'!$C$4:$C$7),"P","")))</f>
        <v/>
      </c>
      <c r="L23" s="3" t="str">
        <f>IF(G23="Not Age Eligible","",IF(G23="17-21",IF(MAX(U23,W23,Z23,AB23,AD23,AG23)&gt;=LOOKUP(G23,'Qualifying Scores'!$A$10:$A$13,'Qualifying Scores'!$C$10:$C$13),"P",""),IF(MAX(W23,AD23)&gt;=LOOKUP(G23,'Qualifying Scores'!$A$10:$A$13,'Qualifying Scores'!$C$10:$C$13),"P","")))</f>
        <v/>
      </c>
      <c r="M23" s="3" t="str">
        <f>IF(G23="Not Age Eligible","",IF(G23="17-21",IF(OR(AND(T23&gt;=LOOKUP(G23,'Qualifying Scores'!$A$4:$A$7,'Qualifying Scores'!$C$4:$C$7),U23&gt;=LOOKUP(G23,'Qualifying Scores'!$A$10:$A$13,'Qualifying Scores'!$C$10:$C$13)),AND(V23&gt;=LOOKUP(G23,'Qualifying Scores'!$A$4:$A$7,'Qualifying Scores'!$C$4:$C$7),W23&gt;=LOOKUP(G23,'Qualifying Scores'!$A$10:$A$13,'Qualifying Scores'!$C$10:$C$13)),AND(Y23&gt;=LOOKUP(G23,'Qualifying Scores'!$A$4:$A$7,'Qualifying Scores'!$C$4:$C$7),Z23&gt;=LOOKUP(G23,'Qualifying Scores'!$A$10:$A$13,'Qualifying Scores'!$C$10:$C$13)),AND(AA23&gt;=LOOKUP(G23,'Qualifying Scores'!$A$4:$A$7,'Qualifying Scores'!$C$4:$C$7),AB23&gt;=LOOKUP(G23,'Qualifying Scores'!$A$10:$A$13,'Qualifying Scores'!$C$10:$C$13)),AND(AC23&gt;=LOOKUP(G23,'Qualifying Scores'!$A$4:$A$7,'Qualifying Scores'!$C$4:$C$7),AD23&gt;=LOOKUP(G23,'Qualifying Scores'!$A$10:$A$13,'Qualifying Scores'!$C$10:$C$13)),AND(AF23&gt;=LOOKUP(G23,'Qualifying Scores'!$A$4:$A$7,'Qualifying Scores'!$C$4:$C$7),AG23&gt;=LOOKUP(G23,'Qualifying Scores'!$A$10:$A$13,'Qualifying Scores'!$C$10:$C$13))),"P",""),IF(OR(AND(X23-U23&gt;=LOOKUP(G23,'Qualifying Scores'!$A$4:$A$7,'Qualifying Scores'!$C$4:$C$7),W23&gt;=LOOKUP(G23,'Qualifying Scores'!$A$10:$A$13,'Qualifying Scores'!$C$10:$C$13)),AND(AE23-AB23&gt;=LOOKUP(G23,'Qualifying Scores'!$A$4:$A$7,'Qualifying Scores'!$C$4:$C$7),AD23&gt;=LOOKUP(G23,'Qualifying Scores'!$A$10:$A$13,'Qualifying Scores'!$C$10:$C$13))),"P","")))</f>
        <v/>
      </c>
      <c r="Q23" s="1" t="str">
        <f>IF(A23&lt;5,IF(_xlfn.MAXIFS(A:A,G:G,G23)&gt;3,5-A23,_xlfn.MAXIFS(A:A,G:G,G23)+1-A23),"")</f>
        <v/>
      </c>
      <c r="R23" s="4">
        <f>IF(G23="17-21",MAX(T23,V23,Y23,AA23,AC23,AF23),MAX(X23,AE23))</f>
        <v>46.14</v>
      </c>
      <c r="S23" s="4">
        <f>IF(G23="17-21",LARGE(CHOOSE({1,2,3,4,5,6},T23,V23,Y23,AA23,AC23,AF23),2),IF(R23=X23,MAX(Y23,AA23,AC23,AF23),IF(R23=AE23,MAX(AF23,T23,V23,Y23),0)))</f>
        <v>45.46</v>
      </c>
      <c r="T23" s="33"/>
      <c r="U23" s="40"/>
      <c r="V23" s="34"/>
      <c r="W23" s="40"/>
      <c r="X23" s="4">
        <f>IF(H23="Senior",MAX(T23,V23),T23+V23)</f>
        <v>0</v>
      </c>
      <c r="Y23" s="34"/>
      <c r="Z23" s="40"/>
      <c r="AA23" s="33">
        <v>40.119999999999997</v>
      </c>
      <c r="AB23" s="40">
        <v>0</v>
      </c>
      <c r="AC23" s="34">
        <v>46.14</v>
      </c>
      <c r="AD23" s="40">
        <v>7.6</v>
      </c>
      <c r="AE23" s="4">
        <f>IF(H23="Senior",MAX(AA23,AC23),AA23+AC23)</f>
        <v>86.259999999999991</v>
      </c>
      <c r="AF23" s="34">
        <v>45.46</v>
      </c>
      <c r="AG23" s="37">
        <v>7.6</v>
      </c>
    </row>
    <row r="24" spans="1:33" x14ac:dyDescent="0.2">
      <c r="A24" s="1" t="str" cm="1">
        <f t="array" ref="A24">IF(I24="","",IF(P24&lt;&gt;"",SUMPRODUCT((P$3:P$133&lt;&gt;"")*(G$3:G$133=G24)*(J$3:J$133&gt;J24)*(I$3:I$133="P"))+1,IF(O24&lt;&gt;"",SUMPRODUCT((O$3:O$133&lt;&gt;"")*(P$3:P$133="")*(G$3:G$133=G24)*(J$3:J$133&gt;J24)*(I$3:I$133="P"))+SUMPRODUCT((P$3:P$133&lt;&gt;"")*(G$3:G$133=G24)*(I$3:I$133="P"))+1,IF(N24&lt;&gt;"",SUMPRODUCT((N$3:N$133&lt;&gt;"")*(G$3:G$133=G24)*(J$3:J$133&gt;J24)*(I$3:I$133="P"))+1,IF(M24="P",SUMPRODUCT((O$3:O$133&lt;&gt;"")*(P$3:P$133="")*(G$3:G$133=G24)*(I$3:I$133="P"))+SUMPRODUCT((P$3:P$133&lt;&gt;"")*(G$3:G$133=G24)*(I$3:I$133="P"))+SUMPRODUCT((N$3:N$133&lt;&gt;"")*(G$3:G$133=G24)*(I$3:I$133="P"))+SUMPRODUCT((P$3:P$133="")*(O$3:O$133="")*(N$3:N$133="")*(M$3:M$133="P")*(G$3:G$133=G24)*(J$3:J$133&gt;J24)*(I$3:I$133="P"))+IF(H24="L5",SUMPRODUCT((P$3:P$133="")*(O$3:O$133="")*(N$3:N$133="")*(M$3:M$133="P")*(G$3:G$133=G24)*(J$3:J$133&lt;J24)*(H$3:H$133&lt;&gt;H24)*(I$3:I$133="P")),-1*SUMPRODUCT((P$3:P$133="")*(O$3:O$133="")*(N$3:N$133="")*(M$3:M$133="P")*(G$3:G$133=G24)*(J$3:J$133&gt;J24)*(H$3:H$133="L5")*(I$3:I$133="P")))+1,"")))))</f>
        <v/>
      </c>
      <c r="B24" s="1" t="str" cm="1">
        <f t="array" ref="B24">IF(P24&lt;&gt;"",SUMPRODUCT((P$3:P$133&lt;&gt;"")*(G$3:G$133=G24)*(J$3:J$133&gt;J24))+1,IF(O24&lt;&gt;"",SUMPRODUCT((O$3:O$133&lt;&gt;"")*(P$3:P$133="")*(G$3:G$133=G24)*(J$3:J$133&gt;J24))+SUMPRODUCT((P$3:P$133&lt;&gt;"")*(G$3:G$133=G24))+1,IF(N24&lt;&gt;"",SUMPRODUCT((N$3:N$133&lt;&gt;"")*(G$3:G$133=G24)*(J$3:J$133&gt;J24))+1,IF(M24="P",SUMPRODUCT((O$3:O$133&lt;&gt;"")*(P$3:P$133="")*(G$3:G$133=G24))+SUMPRODUCT((P$3:P$133&lt;&gt;"")*(G$3:G$133=G24))+SUMPRODUCT((N$3:N$133&lt;&gt;"")*(G$3:G$133=G24))+SUMPRODUCT((P$3:P$133="")*(O$3:O$133="")*(N$3:N$133="")*(M$3:M$133="P")*(G$3:G$133=G24)*(J$3:J$133&gt;J24))+IF(H24="L5",SUMPRODUCT((P$3:P$133="")*(O$3:O$133="")*(N$3:N$133="")*(M$3:M$133="P")*(G$3:G$133=G24)*(J$3:J$133&lt;J24)*(H$3:H$133&lt;&gt;H24)),-1*SUMPRODUCT((P$3:P$133="")*(O$3:O$133="")*(N$3:N$133="")*(M$3:M$133="P")*(G$3:G$133=G24)*(J$3:J$133&gt;J24)*(H$3:H$133="L5")))+1,""))))</f>
        <v/>
      </c>
      <c r="C24" s="36" t="s">
        <v>144</v>
      </c>
      <c r="D24" s="36" t="str">
        <f>IF(E24="","",VLOOKUP(E24,'Coaching Points'!A:B,2,0))</f>
        <v>AB</v>
      </c>
      <c r="E24" s="36" t="s">
        <v>29</v>
      </c>
      <c r="F24" s="35">
        <v>2004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68</v>
      </c>
      <c r="I24" s="43"/>
      <c r="J24" s="4">
        <f>R24+S24+IF(OR(H24="Junior",H24="Senior"),0.0002,IF(OR(H24="L7",H24="L6"),0.0001,0))+IF(G24="17-21",MAX(AA24,AC24,AF24),AE24)*0.0000001</f>
        <v>91.230103922000012</v>
      </c>
      <c r="K24" s="3" t="str">
        <f>IF(G24="Not Age Eligible","",IF(G24="17-21",IF(MAX(T24,V24,Y24,AA24,AC24,AF24)&gt;=LOOKUP(G24,'Qualifying Scores'!$A$4:$A$7,'Qualifying Scores'!$C$4:$C$7),"P",""),IF(MAX(X24-U24,AE24-AB24)&gt;=LOOKUP(G24,'Qualifying Scores'!$A$4:$A$7,'Qualifying Scores'!$C$4:$C$7),"P","")))</f>
        <v/>
      </c>
      <c r="L24" s="3" t="str">
        <f>IF(G24="Not Age Eligible","",IF(G24="17-21",IF(MAX(U24,W24,Z24,AB24,AD24,AG24)&gt;=LOOKUP(G24,'Qualifying Scores'!$A$10:$A$13,'Qualifying Scores'!$C$10:$C$13),"P",""),IF(MAX(W24,AD24)&gt;=LOOKUP(G24,'Qualifying Scores'!$A$10:$A$13,'Qualifying Scores'!$C$10:$C$13),"P","")))</f>
        <v/>
      </c>
      <c r="M24" s="3" t="str">
        <f>IF(G24="Not Age Eligible","",IF(G24="17-21",IF(OR(AND(T24&gt;=LOOKUP(G24,'Qualifying Scores'!$A$4:$A$7,'Qualifying Scores'!$C$4:$C$7),U24&gt;=LOOKUP(G24,'Qualifying Scores'!$A$10:$A$13,'Qualifying Scores'!$C$10:$C$13)),AND(V24&gt;=LOOKUP(G24,'Qualifying Scores'!$A$4:$A$7,'Qualifying Scores'!$C$4:$C$7),W24&gt;=LOOKUP(G24,'Qualifying Scores'!$A$10:$A$13,'Qualifying Scores'!$C$10:$C$13)),AND(Y24&gt;=LOOKUP(G24,'Qualifying Scores'!$A$4:$A$7,'Qualifying Scores'!$C$4:$C$7),Z24&gt;=LOOKUP(G24,'Qualifying Scores'!$A$10:$A$13,'Qualifying Scores'!$C$10:$C$13)),AND(AA24&gt;=LOOKUP(G24,'Qualifying Scores'!$A$4:$A$7,'Qualifying Scores'!$C$4:$C$7),AB24&gt;=LOOKUP(G24,'Qualifying Scores'!$A$10:$A$13,'Qualifying Scores'!$C$10:$C$13)),AND(AC24&gt;=LOOKUP(G24,'Qualifying Scores'!$A$4:$A$7,'Qualifying Scores'!$C$4:$C$7),AD24&gt;=LOOKUP(G24,'Qualifying Scores'!$A$10:$A$13,'Qualifying Scores'!$C$10:$C$13)),AND(AF24&gt;=LOOKUP(G24,'Qualifying Scores'!$A$4:$A$7,'Qualifying Scores'!$C$4:$C$7),AG24&gt;=LOOKUP(G24,'Qualifying Scores'!$A$10:$A$13,'Qualifying Scores'!$C$10:$C$13))),"P",""),IF(OR(AND(X24-U24&gt;=LOOKUP(G24,'Qualifying Scores'!$A$4:$A$7,'Qualifying Scores'!$C$4:$C$7),W24&gt;=LOOKUP(G24,'Qualifying Scores'!$A$10:$A$13,'Qualifying Scores'!$C$10:$C$13)),AND(AE24-AB24&gt;=LOOKUP(G24,'Qualifying Scores'!$A$4:$A$7,'Qualifying Scores'!$C$4:$C$7),AD24&gt;=LOOKUP(G24,'Qualifying Scores'!$A$10:$A$13,'Qualifying Scores'!$C$10:$C$13))),"P","")))</f>
        <v/>
      </c>
      <c r="Q24" s="1" t="str">
        <f>IF(A24&lt;5,IF(_xlfn.MAXIFS(A:A,G:G,G24)&gt;3,5-A24,_xlfn.MAXIFS(A:A,G:G,G24)+1-A24),"")</f>
        <v/>
      </c>
      <c r="R24" s="4">
        <f>IF(G24="17-21",MAX(T24,V24,Y24,AA24,AC24,AF24),MAX(X24,AE24))</f>
        <v>46.34</v>
      </c>
      <c r="S24" s="4">
        <f>IF(G24="17-21",LARGE(CHOOSE({1,2,3,4,5,6},T24,V24,Y24,AA24,AC24,AF24),2),IF(R24=X24,MAX(Y24,AA24,AC24,AF24),IF(R24=AE24,MAX(AF24,T24,V24,Y24),0)))</f>
        <v>44.89</v>
      </c>
      <c r="T24" s="33">
        <v>41.92</v>
      </c>
      <c r="U24" s="40">
        <v>9.1999999999999993</v>
      </c>
      <c r="V24" s="34">
        <v>44.89</v>
      </c>
      <c r="W24" s="40">
        <v>9.1</v>
      </c>
      <c r="X24" s="4">
        <f>IF(H24="Senior",MAX(T24,V24),T24+V24)</f>
        <v>86.81</v>
      </c>
      <c r="Y24" s="34">
        <v>46.34</v>
      </c>
      <c r="Z24" s="40">
        <v>9.1999999999999993</v>
      </c>
      <c r="AA24" s="33">
        <v>14.82</v>
      </c>
      <c r="AB24" s="40">
        <v>3.4</v>
      </c>
      <c r="AC24" s="34">
        <v>39.22</v>
      </c>
      <c r="AD24" s="40">
        <v>6.1</v>
      </c>
      <c r="AE24" s="4">
        <f>IF(H24="Senior",MAX(AA24,AC24),AA24+AC24)</f>
        <v>54.04</v>
      </c>
      <c r="AF24" s="34"/>
      <c r="AG24" s="37"/>
    </row>
    <row r="25" spans="1:33" x14ac:dyDescent="0.2">
      <c r="A25" s="1" t="str" cm="1">
        <f t="array" ref="A25">IF(I25="","",IF(P25&lt;&gt;"",SUMPRODUCT((P$3:P$133&lt;&gt;"")*(G$3:G$133=G25)*(J$3:J$133&gt;J25)*(I$3:I$133="P"))+1,IF(O25&lt;&gt;"",SUMPRODUCT((O$3:O$133&lt;&gt;"")*(P$3:P$133="")*(G$3:G$133=G25)*(J$3:J$133&gt;J25)*(I$3:I$133="P"))+SUMPRODUCT((P$3:P$133&lt;&gt;"")*(G$3:G$133=G25)*(I$3:I$133="P"))+1,IF(N25&lt;&gt;"",SUMPRODUCT((N$3:N$133&lt;&gt;"")*(G$3:G$133=G25)*(J$3:J$133&gt;J25)*(I$3:I$133="P"))+1,IF(M25="P",SUMPRODUCT((O$3:O$133&lt;&gt;"")*(P$3:P$133="")*(G$3:G$133=G25)*(I$3:I$133="P"))+SUMPRODUCT((P$3:P$133&lt;&gt;"")*(G$3:G$133=G25)*(I$3:I$133="P"))+SUMPRODUCT((N$3:N$133&lt;&gt;"")*(G$3:G$133=G25)*(I$3:I$133="P"))+SUMPRODUCT((P$3:P$133="")*(O$3:O$133="")*(N$3:N$133="")*(M$3:M$133="P")*(G$3:G$133=G25)*(J$3:J$133&gt;J25)*(I$3:I$133="P"))+IF(H25="L5",SUMPRODUCT((P$3:P$133="")*(O$3:O$133="")*(N$3:N$133="")*(M$3:M$133="P")*(G$3:G$133=G25)*(J$3:J$133&lt;J25)*(H$3:H$133&lt;&gt;H25)*(I$3:I$133="P")),-1*SUMPRODUCT((P$3:P$133="")*(O$3:O$133="")*(N$3:N$133="")*(M$3:M$133="P")*(G$3:G$133=G25)*(J$3:J$133&gt;J25)*(H$3:H$133="L5")*(I$3:I$133="P")))+1,"")))))</f>
        <v/>
      </c>
      <c r="B25" s="1" t="str" cm="1">
        <f t="array" ref="B25">IF(P25&lt;&gt;"",SUMPRODUCT((P$3:P$133&lt;&gt;"")*(G$3:G$133=G25)*(J$3:J$133&gt;J25))+1,IF(O25&lt;&gt;"",SUMPRODUCT((O$3:O$133&lt;&gt;"")*(P$3:P$133="")*(G$3:G$133=G25)*(J$3:J$133&gt;J25))+SUMPRODUCT((P$3:P$133&lt;&gt;"")*(G$3:G$133=G25))+1,IF(N25&lt;&gt;"",SUMPRODUCT((N$3:N$133&lt;&gt;"")*(G$3:G$133=G25)*(J$3:J$133&gt;J25))+1,IF(M25="P",SUMPRODUCT((O$3:O$133&lt;&gt;"")*(P$3:P$133="")*(G$3:G$133=G25))+SUMPRODUCT((P$3:P$133&lt;&gt;"")*(G$3:G$133=G25))+SUMPRODUCT((N$3:N$133&lt;&gt;"")*(G$3:G$133=G25))+SUMPRODUCT((P$3:P$133="")*(O$3:O$133="")*(N$3:N$133="")*(M$3:M$133="P")*(G$3:G$133=G25)*(J$3:J$133&gt;J25))+IF(H25="L5",SUMPRODUCT((P$3:P$133="")*(O$3:O$133="")*(N$3:N$133="")*(M$3:M$133="P")*(G$3:G$133=G25)*(J$3:J$133&lt;J25)*(H$3:H$133&lt;&gt;H25)),-1*SUMPRODUCT((P$3:P$133="")*(O$3:O$133="")*(N$3:N$133="")*(M$3:M$133="P")*(G$3:G$133=G25)*(J$3:J$133&gt;J25)*(H$3:H$133="L5")))+1,""))))</f>
        <v/>
      </c>
      <c r="C25" s="36" t="s">
        <v>250</v>
      </c>
      <c r="D25" s="36" t="str">
        <f>IF(E25="","",VLOOKUP(E25,'Coaching Points'!A:B,2,0))</f>
        <v>BC</v>
      </c>
      <c r="E25" s="36" t="s">
        <v>37</v>
      </c>
      <c r="F25" s="35">
        <v>2002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68</v>
      </c>
      <c r="I25" s="43"/>
      <c r="J25" s="4">
        <f>R25+S25+IF(OR(H25="Junior",H25="Senior"),0.0002,IF(OR(H25="L7",H25="L6"),0.0001,0))+IF(G25="17-21",MAX(AA25,AC25,AF25),AE25)*0.0000001</f>
        <v>90.970104606999996</v>
      </c>
      <c r="K25" s="3" t="str">
        <f>IF(G25="Not Age Eligible","",IF(G25="17-21",IF(MAX(T25,V25,Y25,AA25,AC25,AF25)&gt;=LOOKUP(G25,'Qualifying Scores'!$A$4:$A$7,'Qualifying Scores'!$C$4:$C$7),"P",""),IF(MAX(X25-U25,AE25-AB25)&gt;=LOOKUP(G25,'Qualifying Scores'!$A$4:$A$7,'Qualifying Scores'!$C$4:$C$7),"P","")))</f>
        <v/>
      </c>
      <c r="L25" s="3" t="str">
        <f>IF(G25="Not Age Eligible","",IF(G25="17-21",IF(MAX(U25,W25,Z25,AB25,AD25,AG25)&gt;=LOOKUP(G25,'Qualifying Scores'!$A$10:$A$13,'Qualifying Scores'!$C$10:$C$13),"P",""),IF(MAX(W25,AD25)&gt;=LOOKUP(G25,'Qualifying Scores'!$A$10:$A$13,'Qualifying Scores'!$C$10:$C$13),"P","")))</f>
        <v>P</v>
      </c>
      <c r="M25" s="3" t="str">
        <f>IF(G25="Not Age Eligible","",IF(G25="17-21",IF(OR(AND(T25&gt;=LOOKUP(G25,'Qualifying Scores'!$A$4:$A$7,'Qualifying Scores'!$C$4:$C$7),U25&gt;=LOOKUP(G25,'Qualifying Scores'!$A$10:$A$13,'Qualifying Scores'!$C$10:$C$13)),AND(V25&gt;=LOOKUP(G25,'Qualifying Scores'!$A$4:$A$7,'Qualifying Scores'!$C$4:$C$7),W25&gt;=LOOKUP(G25,'Qualifying Scores'!$A$10:$A$13,'Qualifying Scores'!$C$10:$C$13)),AND(Y25&gt;=LOOKUP(G25,'Qualifying Scores'!$A$4:$A$7,'Qualifying Scores'!$C$4:$C$7),Z25&gt;=LOOKUP(G25,'Qualifying Scores'!$A$10:$A$13,'Qualifying Scores'!$C$10:$C$13)),AND(AA25&gt;=LOOKUP(G25,'Qualifying Scores'!$A$4:$A$7,'Qualifying Scores'!$C$4:$C$7),AB25&gt;=LOOKUP(G25,'Qualifying Scores'!$A$10:$A$13,'Qualifying Scores'!$C$10:$C$13)),AND(AC25&gt;=LOOKUP(G25,'Qualifying Scores'!$A$4:$A$7,'Qualifying Scores'!$C$4:$C$7),AD25&gt;=LOOKUP(G25,'Qualifying Scores'!$A$10:$A$13,'Qualifying Scores'!$C$10:$C$13)),AND(AF25&gt;=LOOKUP(G25,'Qualifying Scores'!$A$4:$A$7,'Qualifying Scores'!$C$4:$C$7),AG25&gt;=LOOKUP(G25,'Qualifying Scores'!$A$10:$A$13,'Qualifying Scores'!$C$10:$C$13))),"P",""),IF(OR(AND(X25-U25&gt;=LOOKUP(G25,'Qualifying Scores'!$A$4:$A$7,'Qualifying Scores'!$C$4:$C$7),W25&gt;=LOOKUP(G25,'Qualifying Scores'!$A$10:$A$13,'Qualifying Scores'!$C$10:$C$13)),AND(AE25-AB25&gt;=LOOKUP(G25,'Qualifying Scores'!$A$4:$A$7,'Qualifying Scores'!$C$4:$C$7),AD25&gt;=LOOKUP(G25,'Qualifying Scores'!$A$10:$A$13,'Qualifying Scores'!$C$10:$C$13))),"P","")))</f>
        <v/>
      </c>
      <c r="Q25" s="1" t="str">
        <f>IF(A25&lt;5,IF(_xlfn.MAXIFS(A:A,G:G,G25)&gt;3,5-A25,_xlfn.MAXIFS(A:A,G:G,G25)+1-A25),"")</f>
        <v/>
      </c>
      <c r="R25" s="4">
        <f>IF(G25="17-21",MAX(T25,V25,Y25,AA25,AC25,AF25),MAX(X25,AE25))</f>
        <v>46.07</v>
      </c>
      <c r="S25" s="4">
        <f>IF(G25="17-21",LARGE(CHOOSE({1,2,3,4,5,6},T25,V25,Y25,AA25,AC25,AF25),2),IF(R25=X25,MAX(Y25,AA25,AC25,AF25),IF(R25=AE25,MAX(AF25,T25,V25,Y25),0)))</f>
        <v>44.9</v>
      </c>
      <c r="T25" s="33">
        <v>44.78</v>
      </c>
      <c r="U25" s="40">
        <v>9.4</v>
      </c>
      <c r="V25" s="34">
        <v>41.61</v>
      </c>
      <c r="W25" s="40">
        <v>7.6</v>
      </c>
      <c r="X25" s="4">
        <f>IF(H25="Senior",MAX(T25,V25),T25+V25)</f>
        <v>86.39</v>
      </c>
      <c r="Y25" s="34">
        <v>43.91</v>
      </c>
      <c r="Z25" s="40">
        <v>8.1999999999999993</v>
      </c>
      <c r="AA25" s="33">
        <v>46.07</v>
      </c>
      <c r="AB25" s="40">
        <v>9.6999999999999993</v>
      </c>
      <c r="AC25" s="34">
        <v>44.9</v>
      </c>
      <c r="AD25" s="40">
        <v>9</v>
      </c>
      <c r="AE25" s="4">
        <f>IF(H25="Senior",MAX(AA25,AC25),AA25+AC25)</f>
        <v>90.97</v>
      </c>
      <c r="AF25" s="34"/>
      <c r="AG25" s="37"/>
    </row>
    <row r="26" spans="1:33" x14ac:dyDescent="0.2">
      <c r="A26" s="1" t="str" cm="1">
        <f t="array" ref="A26">IF(I26="","",IF(P26&lt;&gt;"",SUMPRODUCT((P$3:P$133&lt;&gt;"")*(G$3:G$133=G26)*(J$3:J$133&gt;J26)*(I$3:I$133="P"))+1,IF(O26&lt;&gt;"",SUMPRODUCT((O$3:O$133&lt;&gt;"")*(P$3:P$133="")*(G$3:G$133=G26)*(J$3:J$133&gt;J26)*(I$3:I$133="P"))+SUMPRODUCT((P$3:P$133&lt;&gt;"")*(G$3:G$133=G26)*(I$3:I$133="P"))+1,IF(N26&lt;&gt;"",SUMPRODUCT((N$3:N$133&lt;&gt;"")*(G$3:G$133=G26)*(J$3:J$133&gt;J26)*(I$3:I$133="P"))+1,IF(M26="P",SUMPRODUCT((O$3:O$133&lt;&gt;"")*(P$3:P$133="")*(G$3:G$133=G26)*(I$3:I$133="P"))+SUMPRODUCT((P$3:P$133&lt;&gt;"")*(G$3:G$133=G26)*(I$3:I$133="P"))+SUMPRODUCT((N$3:N$133&lt;&gt;"")*(G$3:G$133=G26)*(I$3:I$133="P"))+SUMPRODUCT((P$3:P$133="")*(O$3:O$133="")*(N$3:N$133="")*(M$3:M$133="P")*(G$3:G$133=G26)*(J$3:J$133&gt;J26)*(I$3:I$133="P"))+IF(H26="L5",SUMPRODUCT((P$3:P$133="")*(O$3:O$133="")*(N$3:N$133="")*(M$3:M$133="P")*(G$3:G$133=G26)*(J$3:J$133&lt;J26)*(H$3:H$133&lt;&gt;H26)*(I$3:I$133="P")),-1*SUMPRODUCT((P$3:P$133="")*(O$3:O$133="")*(N$3:N$133="")*(M$3:M$133="P")*(G$3:G$133=G26)*(J$3:J$133&gt;J26)*(H$3:H$133="L5")*(I$3:I$133="P")))+1,"")))))</f>
        <v/>
      </c>
      <c r="B26" s="1" t="str" cm="1">
        <f t="array" ref="B26">IF(P26&lt;&gt;"",SUMPRODUCT((P$3:P$133&lt;&gt;"")*(G$3:G$133=G26)*(J$3:J$133&gt;J26))+1,IF(O26&lt;&gt;"",SUMPRODUCT((O$3:O$133&lt;&gt;"")*(P$3:P$133="")*(G$3:G$133=G26)*(J$3:J$133&gt;J26))+SUMPRODUCT((P$3:P$133&lt;&gt;"")*(G$3:G$133=G26))+1,IF(N26&lt;&gt;"",SUMPRODUCT((N$3:N$133&lt;&gt;"")*(G$3:G$133=G26)*(J$3:J$133&gt;J26))+1,IF(M26="P",SUMPRODUCT((O$3:O$133&lt;&gt;"")*(P$3:P$133="")*(G$3:G$133=G26))+SUMPRODUCT((P$3:P$133&lt;&gt;"")*(G$3:G$133=G26))+SUMPRODUCT((N$3:N$133&lt;&gt;"")*(G$3:G$133=G26))+SUMPRODUCT((P$3:P$133="")*(O$3:O$133="")*(N$3:N$133="")*(M$3:M$133="P")*(G$3:G$133=G26)*(J$3:J$133&gt;J26))+IF(H26="L5",SUMPRODUCT((P$3:P$133="")*(O$3:O$133="")*(N$3:N$133="")*(M$3:M$133="P")*(G$3:G$133=G26)*(J$3:J$133&lt;J26)*(H$3:H$133&lt;&gt;H26)),-1*SUMPRODUCT((P$3:P$133="")*(O$3:O$133="")*(N$3:N$133="")*(M$3:M$133="P")*(G$3:G$133=G26)*(J$3:J$133&gt;J26)*(H$3:H$133="L5")))+1,""))))</f>
        <v/>
      </c>
      <c r="C26" s="36" t="s">
        <v>133</v>
      </c>
      <c r="D26" s="36" t="str">
        <f>IF(E26="","",VLOOKUP(E26,'Coaching Points'!A:B,2,0))</f>
        <v>NS</v>
      </c>
      <c r="E26" s="36" t="s">
        <v>134</v>
      </c>
      <c r="F26" s="35">
        <v>2003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68</v>
      </c>
      <c r="I26" s="43"/>
      <c r="J26" s="4">
        <f>R26+S26+IF(OR(H26="Junior",H26="Senior"),0.0002,IF(OR(H26="L7",H26="L6"),0.0001,0))+IF(G26="17-21",MAX(AA26,AC26,AF26),AE26)*0.0000001</f>
        <v>90.880104605</v>
      </c>
      <c r="K26" s="3" t="str">
        <f>IF(G26="Not Age Eligible","",IF(G26="17-21",IF(MAX(T26,V26,Y26,AA26,AC26,AF26)&gt;=LOOKUP(G26,'Qualifying Scores'!$A$4:$A$7,'Qualifying Scores'!$C$4:$C$7),"P",""),IF(MAX(X26-U26,AE26-AB26)&gt;=LOOKUP(G26,'Qualifying Scores'!$A$4:$A$7,'Qualifying Scores'!$C$4:$C$7),"P","")))</f>
        <v/>
      </c>
      <c r="L26" s="3" t="str">
        <f>IF(G26="Not Age Eligible","",IF(G26="17-21",IF(MAX(U26,W26,Z26,AB26,AD26,AG26)&gt;=LOOKUP(G26,'Qualifying Scores'!$A$10:$A$13,'Qualifying Scores'!$C$10:$C$13),"P",""),IF(MAX(W26,AD26)&gt;=LOOKUP(G26,'Qualifying Scores'!$A$10:$A$13,'Qualifying Scores'!$C$10:$C$13),"P","")))</f>
        <v/>
      </c>
      <c r="M26" s="3" t="str">
        <f>IF(G26="Not Age Eligible","",IF(G26="17-21",IF(OR(AND(T26&gt;=LOOKUP(G26,'Qualifying Scores'!$A$4:$A$7,'Qualifying Scores'!$C$4:$C$7),U26&gt;=LOOKUP(G26,'Qualifying Scores'!$A$10:$A$13,'Qualifying Scores'!$C$10:$C$13)),AND(V26&gt;=LOOKUP(G26,'Qualifying Scores'!$A$4:$A$7,'Qualifying Scores'!$C$4:$C$7),W26&gt;=LOOKUP(G26,'Qualifying Scores'!$A$10:$A$13,'Qualifying Scores'!$C$10:$C$13)),AND(Y26&gt;=LOOKUP(G26,'Qualifying Scores'!$A$4:$A$7,'Qualifying Scores'!$C$4:$C$7),Z26&gt;=LOOKUP(G26,'Qualifying Scores'!$A$10:$A$13,'Qualifying Scores'!$C$10:$C$13)),AND(AA26&gt;=LOOKUP(G26,'Qualifying Scores'!$A$4:$A$7,'Qualifying Scores'!$C$4:$C$7),AB26&gt;=LOOKUP(G26,'Qualifying Scores'!$A$10:$A$13,'Qualifying Scores'!$C$10:$C$13)),AND(AC26&gt;=LOOKUP(G26,'Qualifying Scores'!$A$4:$A$7,'Qualifying Scores'!$C$4:$C$7),AD26&gt;=LOOKUP(G26,'Qualifying Scores'!$A$10:$A$13,'Qualifying Scores'!$C$10:$C$13)),AND(AF26&gt;=LOOKUP(G26,'Qualifying Scores'!$A$4:$A$7,'Qualifying Scores'!$C$4:$C$7),AG26&gt;=LOOKUP(G26,'Qualifying Scores'!$A$10:$A$13,'Qualifying Scores'!$C$10:$C$13))),"P",""),IF(OR(AND(X26-U26&gt;=LOOKUP(G26,'Qualifying Scores'!$A$4:$A$7,'Qualifying Scores'!$C$4:$C$7),W26&gt;=LOOKUP(G26,'Qualifying Scores'!$A$10:$A$13,'Qualifying Scores'!$C$10:$C$13)),AND(AE26-AB26&gt;=LOOKUP(G26,'Qualifying Scores'!$A$4:$A$7,'Qualifying Scores'!$C$4:$C$7),AD26&gt;=LOOKUP(G26,'Qualifying Scores'!$A$10:$A$13,'Qualifying Scores'!$C$10:$C$13))),"P","")))</f>
        <v/>
      </c>
      <c r="Q26" s="1" t="str">
        <f>IF(A26&lt;5,IF(_xlfn.MAXIFS(A:A,G:G,G26)&gt;3,5-A26,_xlfn.MAXIFS(A:A,G:G,G26)+1-A26),"")</f>
        <v/>
      </c>
      <c r="R26" s="4">
        <f>IF(G26="17-21",MAX(T26,V26,Y26,AA26,AC26,AF26),MAX(X26,AE26))</f>
        <v>46.05</v>
      </c>
      <c r="S26" s="4">
        <f>IF(G26="17-21",LARGE(CHOOSE({1,2,3,4,5,6},T26,V26,Y26,AA26,AC26,AF26),2),IF(R26=X26,MAX(Y26,AA26,AC26,AF26),IF(R26=AE26,MAX(AF26,T26,V26,Y26),0)))</f>
        <v>44.83</v>
      </c>
      <c r="T26" s="33">
        <v>39.53</v>
      </c>
      <c r="U26" s="40">
        <v>0</v>
      </c>
      <c r="V26" s="34">
        <v>41.43</v>
      </c>
      <c r="W26" s="40">
        <v>7.2</v>
      </c>
      <c r="X26" s="4">
        <f>IF(H26="Senior",MAX(T26,V26),T26+V26)</f>
        <v>80.960000000000008</v>
      </c>
      <c r="Y26" s="34"/>
      <c r="Z26" s="40"/>
      <c r="AA26" s="33">
        <v>44.83</v>
      </c>
      <c r="AB26" s="40">
        <v>9</v>
      </c>
      <c r="AC26" s="34">
        <v>46.05</v>
      </c>
      <c r="AD26" s="40">
        <v>9.4</v>
      </c>
      <c r="AE26" s="4">
        <f>IF(H26="Senior",MAX(AA26,AC26),AA26+AC26)</f>
        <v>90.88</v>
      </c>
      <c r="AF26" s="34"/>
      <c r="AG26" s="37"/>
    </row>
    <row r="27" spans="1:33" x14ac:dyDescent="0.2">
      <c r="A27" s="1" t="str" cm="1">
        <f t="array" ref="A27">IF(I27="","",IF(P27&lt;&gt;"",SUMPRODUCT((P$3:P$133&lt;&gt;"")*(G$3:G$133=G27)*(J$3:J$133&gt;J27)*(I$3:I$133="P"))+1,IF(O27&lt;&gt;"",SUMPRODUCT((O$3:O$133&lt;&gt;"")*(P$3:P$133="")*(G$3:G$133=G27)*(J$3:J$133&gt;J27)*(I$3:I$133="P"))+SUMPRODUCT((P$3:P$133&lt;&gt;"")*(G$3:G$133=G27)*(I$3:I$133="P"))+1,IF(N27&lt;&gt;"",SUMPRODUCT((N$3:N$133&lt;&gt;"")*(G$3:G$133=G27)*(J$3:J$133&gt;J27)*(I$3:I$133="P"))+1,IF(M27="P",SUMPRODUCT((O$3:O$133&lt;&gt;"")*(P$3:P$133="")*(G$3:G$133=G27)*(I$3:I$133="P"))+SUMPRODUCT((P$3:P$133&lt;&gt;"")*(G$3:G$133=G27)*(I$3:I$133="P"))+SUMPRODUCT((N$3:N$133&lt;&gt;"")*(G$3:G$133=G27)*(I$3:I$133="P"))+SUMPRODUCT((P$3:P$133="")*(O$3:O$133="")*(N$3:N$133="")*(M$3:M$133="P")*(G$3:G$133=G27)*(J$3:J$133&gt;J27)*(I$3:I$133="P"))+IF(H27="L5",SUMPRODUCT((P$3:P$133="")*(O$3:O$133="")*(N$3:N$133="")*(M$3:M$133="P")*(G$3:G$133=G27)*(J$3:J$133&lt;J27)*(H$3:H$133&lt;&gt;H27)*(I$3:I$133="P")),-1*SUMPRODUCT((P$3:P$133="")*(O$3:O$133="")*(N$3:N$133="")*(M$3:M$133="P")*(G$3:G$133=G27)*(J$3:J$133&gt;J27)*(H$3:H$133="L5")*(I$3:I$133="P")))+1,"")))))</f>
        <v/>
      </c>
      <c r="B27" s="1" t="str" cm="1">
        <f t="array" ref="B27">IF(P27&lt;&gt;"",SUMPRODUCT((P$3:P$133&lt;&gt;"")*(G$3:G$133=G27)*(J$3:J$133&gt;J27))+1,IF(O27&lt;&gt;"",SUMPRODUCT((O$3:O$133&lt;&gt;"")*(P$3:P$133="")*(G$3:G$133=G27)*(J$3:J$133&gt;J27))+SUMPRODUCT((P$3:P$133&lt;&gt;"")*(G$3:G$133=G27))+1,IF(N27&lt;&gt;"",SUMPRODUCT((N$3:N$133&lt;&gt;"")*(G$3:G$133=G27)*(J$3:J$133&gt;J27))+1,IF(M27="P",SUMPRODUCT((O$3:O$133&lt;&gt;"")*(P$3:P$133="")*(G$3:G$133=G27))+SUMPRODUCT((P$3:P$133&lt;&gt;"")*(G$3:G$133=G27))+SUMPRODUCT((N$3:N$133&lt;&gt;"")*(G$3:G$133=G27))+SUMPRODUCT((P$3:P$133="")*(O$3:O$133="")*(N$3:N$133="")*(M$3:M$133="P")*(G$3:G$133=G27)*(J$3:J$133&gt;J27))+IF(H27="L5",SUMPRODUCT((P$3:P$133="")*(O$3:O$133="")*(N$3:N$133="")*(M$3:M$133="P")*(G$3:G$133=G27)*(J$3:J$133&lt;J27)*(H$3:H$133&lt;&gt;H27)),-1*SUMPRODUCT((P$3:P$133="")*(O$3:O$133="")*(N$3:N$133="")*(M$3:M$133="P")*(G$3:G$133=G27)*(J$3:J$133&gt;J27)*(H$3:H$133="L5")))+1,""))))</f>
        <v/>
      </c>
      <c r="C27" s="36" t="s">
        <v>234</v>
      </c>
      <c r="D27" s="36" t="str">
        <f>IF(E27="","",VLOOKUP(E27,'Coaching Points'!A:B,2,0))</f>
        <v>ON</v>
      </c>
      <c r="E27" s="36" t="s">
        <v>283</v>
      </c>
      <c r="F27" s="35">
        <v>2006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68</v>
      </c>
      <c r="I27" s="43" t="s">
        <v>567</v>
      </c>
      <c r="J27" s="4">
        <f>R27+S27+IF(OR(H27="Junior",H27="Senior"),0.0002,IF(OR(H27="L7",H27="L6"),0.0001,0))+IF(G27="17-21",MAX(AA27,AC27,AF27),AE27)*0.0000001</f>
        <v>90.790104636999999</v>
      </c>
      <c r="K27" s="3" t="str">
        <f>IF(G27="Not Age Eligible","",IF(G27="17-21",IF(MAX(T27,V27,Y27,AA27,AC27,AF27)&gt;=LOOKUP(G27,'Qualifying Scores'!$A$4:$A$7,'Qualifying Scores'!$C$4:$C$7),"P",""),IF(MAX(X27-U27,AE27-AB27)&gt;=LOOKUP(G27,'Qualifying Scores'!$A$4:$A$7,'Qualifying Scores'!$C$4:$C$7),"P","")))</f>
        <v/>
      </c>
      <c r="L27" s="3" t="str">
        <f>IF(G27="Not Age Eligible","",IF(G27="17-21",IF(MAX(U27,W27,Z27,AB27,AD27,AG27)&gt;=LOOKUP(G27,'Qualifying Scores'!$A$10:$A$13,'Qualifying Scores'!$C$10:$C$13),"P",""),IF(MAX(W27,AD27)&gt;=LOOKUP(G27,'Qualifying Scores'!$A$10:$A$13,'Qualifying Scores'!$C$10:$C$13),"P","")))</f>
        <v>P</v>
      </c>
      <c r="M27" s="3" t="str">
        <f>IF(G27="Not Age Eligible","",IF(G27="17-21",IF(OR(AND(T27&gt;=LOOKUP(G27,'Qualifying Scores'!$A$4:$A$7,'Qualifying Scores'!$C$4:$C$7),U27&gt;=LOOKUP(G27,'Qualifying Scores'!$A$10:$A$13,'Qualifying Scores'!$C$10:$C$13)),AND(V27&gt;=LOOKUP(G27,'Qualifying Scores'!$A$4:$A$7,'Qualifying Scores'!$C$4:$C$7),W27&gt;=LOOKUP(G27,'Qualifying Scores'!$A$10:$A$13,'Qualifying Scores'!$C$10:$C$13)),AND(Y27&gt;=LOOKUP(G27,'Qualifying Scores'!$A$4:$A$7,'Qualifying Scores'!$C$4:$C$7),Z27&gt;=LOOKUP(G27,'Qualifying Scores'!$A$10:$A$13,'Qualifying Scores'!$C$10:$C$13)),AND(AA27&gt;=LOOKUP(G27,'Qualifying Scores'!$A$4:$A$7,'Qualifying Scores'!$C$4:$C$7),AB27&gt;=LOOKUP(G27,'Qualifying Scores'!$A$10:$A$13,'Qualifying Scores'!$C$10:$C$13)),AND(AC27&gt;=LOOKUP(G27,'Qualifying Scores'!$A$4:$A$7,'Qualifying Scores'!$C$4:$C$7),AD27&gt;=LOOKUP(G27,'Qualifying Scores'!$A$10:$A$13,'Qualifying Scores'!$C$10:$C$13)),AND(AF27&gt;=LOOKUP(G27,'Qualifying Scores'!$A$4:$A$7,'Qualifying Scores'!$C$4:$C$7),AG27&gt;=LOOKUP(G27,'Qualifying Scores'!$A$10:$A$13,'Qualifying Scores'!$C$10:$C$13))),"P",""),IF(OR(AND(X27-U27&gt;=LOOKUP(G27,'Qualifying Scores'!$A$4:$A$7,'Qualifying Scores'!$C$4:$C$7),W27&gt;=LOOKUP(G27,'Qualifying Scores'!$A$10:$A$13,'Qualifying Scores'!$C$10:$C$13)),AND(AE27-AB27&gt;=LOOKUP(G27,'Qualifying Scores'!$A$4:$A$7,'Qualifying Scores'!$C$4:$C$7),AD27&gt;=LOOKUP(G27,'Qualifying Scores'!$A$10:$A$13,'Qualifying Scores'!$C$10:$C$13))),"P","")))</f>
        <v/>
      </c>
      <c r="Q27" s="1" t="str">
        <f>IF(A27&lt;5,IF(_xlfn.MAXIFS(A:A,G:G,G27)&gt;3,5-A27,_xlfn.MAXIFS(A:A,G:G,G27)+1-A27),"")</f>
        <v/>
      </c>
      <c r="R27" s="4">
        <f>IF(G27="17-21",MAX(T27,V27,Y27,AA27,AC27,AF27),MAX(X27,AE27))</f>
        <v>46.37</v>
      </c>
      <c r="S27" s="4">
        <f>IF(G27="17-21",LARGE(CHOOSE({1,2,3,4,5,6},T27,V27,Y27,AA27,AC27,AF27),2),IF(R27=X27,MAX(Y27,AA27,AC27,AF27),IF(R27=AE27,MAX(AF27,T27,V27,Y27),0)))</f>
        <v>44.42</v>
      </c>
      <c r="T27" s="33">
        <v>44.1</v>
      </c>
      <c r="U27" s="40">
        <v>9.3000000000000007</v>
      </c>
      <c r="V27" s="34">
        <v>24.23</v>
      </c>
      <c r="W27" s="40">
        <v>1.7</v>
      </c>
      <c r="X27" s="4">
        <f>IF(H27="Senior",MAX(T27,V27),T27+V27)</f>
        <v>68.33</v>
      </c>
      <c r="Y27" s="34">
        <v>5.51</v>
      </c>
      <c r="Z27" s="40">
        <v>1.5</v>
      </c>
      <c r="AA27" s="33">
        <v>44.42</v>
      </c>
      <c r="AB27" s="40">
        <v>10.199999999999999</v>
      </c>
      <c r="AC27" s="34">
        <v>46.37</v>
      </c>
      <c r="AD27" s="40">
        <v>10.199999999999999</v>
      </c>
      <c r="AE27" s="4">
        <f>IF(H27="Senior",MAX(AA27,AC27),AA27+AC27)</f>
        <v>90.789999999999992</v>
      </c>
      <c r="AF27" s="34"/>
      <c r="AG27" s="37"/>
    </row>
    <row r="28" spans="1:33" x14ac:dyDescent="0.2">
      <c r="A28" s="1" t="str" cm="1">
        <f t="array" ref="A28">IF(I28="","",IF(P28&lt;&gt;"",SUMPRODUCT((P$3:P$133&lt;&gt;"")*(G$3:G$133=G28)*(J$3:J$133&gt;J28)*(I$3:I$133="P"))+1,IF(O28&lt;&gt;"",SUMPRODUCT((O$3:O$133&lt;&gt;"")*(P$3:P$133="")*(G$3:G$133=G28)*(J$3:J$133&gt;J28)*(I$3:I$133="P"))+SUMPRODUCT((P$3:P$133&lt;&gt;"")*(G$3:G$133=G28)*(I$3:I$133="P"))+1,IF(N28&lt;&gt;"",SUMPRODUCT((N$3:N$133&lt;&gt;"")*(G$3:G$133=G28)*(J$3:J$133&gt;J28)*(I$3:I$133="P"))+1,IF(M28="P",SUMPRODUCT((O$3:O$133&lt;&gt;"")*(P$3:P$133="")*(G$3:G$133=G28)*(I$3:I$133="P"))+SUMPRODUCT((P$3:P$133&lt;&gt;"")*(G$3:G$133=G28)*(I$3:I$133="P"))+SUMPRODUCT((N$3:N$133&lt;&gt;"")*(G$3:G$133=G28)*(I$3:I$133="P"))+SUMPRODUCT((P$3:P$133="")*(O$3:O$133="")*(N$3:N$133="")*(M$3:M$133="P")*(G$3:G$133=G28)*(J$3:J$133&gt;J28)*(I$3:I$133="P"))+IF(H28="L5",SUMPRODUCT((P$3:P$133="")*(O$3:O$133="")*(N$3:N$133="")*(M$3:M$133="P")*(G$3:G$133=G28)*(J$3:J$133&lt;J28)*(H$3:H$133&lt;&gt;H28)*(I$3:I$133="P")),-1*SUMPRODUCT((P$3:P$133="")*(O$3:O$133="")*(N$3:N$133="")*(M$3:M$133="P")*(G$3:G$133=G28)*(J$3:J$133&gt;J28)*(H$3:H$133="L5")*(I$3:I$133="P")))+1,"")))))</f>
        <v/>
      </c>
      <c r="B28" s="1" t="str" cm="1">
        <f t="array" ref="B28">IF(P28&lt;&gt;"",SUMPRODUCT((P$3:P$133&lt;&gt;"")*(G$3:G$133=G28)*(J$3:J$133&gt;J28))+1,IF(O28&lt;&gt;"",SUMPRODUCT((O$3:O$133&lt;&gt;"")*(P$3:P$133="")*(G$3:G$133=G28)*(J$3:J$133&gt;J28))+SUMPRODUCT((P$3:P$133&lt;&gt;"")*(G$3:G$133=G28))+1,IF(N28&lt;&gt;"",SUMPRODUCT((N$3:N$133&lt;&gt;"")*(G$3:G$133=G28)*(J$3:J$133&gt;J28))+1,IF(M28="P",SUMPRODUCT((O$3:O$133&lt;&gt;"")*(P$3:P$133="")*(G$3:G$133=G28))+SUMPRODUCT((P$3:P$133&lt;&gt;"")*(G$3:G$133=G28))+SUMPRODUCT((N$3:N$133&lt;&gt;"")*(G$3:G$133=G28))+SUMPRODUCT((P$3:P$133="")*(O$3:O$133="")*(N$3:N$133="")*(M$3:M$133="P")*(G$3:G$133=G28)*(J$3:J$133&gt;J28))+IF(H28="L5",SUMPRODUCT((P$3:P$133="")*(O$3:O$133="")*(N$3:N$133="")*(M$3:M$133="P")*(G$3:G$133=G28)*(J$3:J$133&lt;J28)*(H$3:H$133&lt;&gt;H28)),-1*SUMPRODUCT((P$3:P$133="")*(O$3:O$133="")*(N$3:N$133="")*(M$3:M$133="P")*(G$3:G$133=G28)*(J$3:J$133&gt;J28)*(H$3:H$133="L5")))+1,""))))</f>
        <v/>
      </c>
      <c r="C28" s="36" t="s">
        <v>151</v>
      </c>
      <c r="D28" s="36" t="str">
        <f>IF(E28="","",VLOOKUP(E28,'Coaching Points'!A:B,2,0))</f>
        <v>ON</v>
      </c>
      <c r="E28" s="36" t="s">
        <v>113</v>
      </c>
      <c r="F28" s="35">
        <v>2006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68</v>
      </c>
      <c r="I28" s="43" t="s">
        <v>567</v>
      </c>
      <c r="J28" s="4">
        <f>R28+S28+IF(OR(H28="Junior",H28="Senior"),0.0002,IF(OR(H28="L7",H28="L6"),0.0001,0))+IF(G28="17-21",MAX(AA28,AC28,AF28),AE28)*0.0000001</f>
        <v>90.650102907000004</v>
      </c>
      <c r="K28" s="3" t="str">
        <f>IF(G28="Not Age Eligible","",IF(G28="17-21",IF(MAX(T28,V28,Y28,AA28,AC28,AF28)&gt;=LOOKUP(G28,'Qualifying Scores'!$A$4:$A$7,'Qualifying Scores'!$C$4:$C$7),"P",""),IF(MAX(X28-U28,AE28-AB28)&gt;=LOOKUP(G28,'Qualifying Scores'!$A$4:$A$7,'Qualifying Scores'!$C$4:$C$7),"P","")))</f>
        <v/>
      </c>
      <c r="L28" s="3" t="str">
        <f>IF(G28="Not Age Eligible","",IF(G28="17-21",IF(MAX(U28,W28,Z28,AB28,AD28,AG28)&gt;=LOOKUP(G28,'Qualifying Scores'!$A$10:$A$13,'Qualifying Scores'!$C$10:$C$13),"P",""),IF(MAX(W28,AD28)&gt;=LOOKUP(G28,'Qualifying Scores'!$A$10:$A$13,'Qualifying Scores'!$C$10:$C$13),"P","")))</f>
        <v>P</v>
      </c>
      <c r="M28" s="3" t="str">
        <f>IF(G28="Not Age Eligible","",IF(G28="17-21",IF(OR(AND(T28&gt;=LOOKUP(G28,'Qualifying Scores'!$A$4:$A$7,'Qualifying Scores'!$C$4:$C$7),U28&gt;=LOOKUP(G28,'Qualifying Scores'!$A$10:$A$13,'Qualifying Scores'!$C$10:$C$13)),AND(V28&gt;=LOOKUP(G28,'Qualifying Scores'!$A$4:$A$7,'Qualifying Scores'!$C$4:$C$7),W28&gt;=LOOKUP(G28,'Qualifying Scores'!$A$10:$A$13,'Qualifying Scores'!$C$10:$C$13)),AND(Y28&gt;=LOOKUP(G28,'Qualifying Scores'!$A$4:$A$7,'Qualifying Scores'!$C$4:$C$7),Z28&gt;=LOOKUP(G28,'Qualifying Scores'!$A$10:$A$13,'Qualifying Scores'!$C$10:$C$13)),AND(AA28&gt;=LOOKUP(G28,'Qualifying Scores'!$A$4:$A$7,'Qualifying Scores'!$C$4:$C$7),AB28&gt;=LOOKUP(G28,'Qualifying Scores'!$A$10:$A$13,'Qualifying Scores'!$C$10:$C$13)),AND(AC28&gt;=LOOKUP(G28,'Qualifying Scores'!$A$4:$A$7,'Qualifying Scores'!$C$4:$C$7),AD28&gt;=LOOKUP(G28,'Qualifying Scores'!$A$10:$A$13,'Qualifying Scores'!$C$10:$C$13)),AND(AF28&gt;=LOOKUP(G28,'Qualifying Scores'!$A$4:$A$7,'Qualifying Scores'!$C$4:$C$7),AG28&gt;=LOOKUP(G28,'Qualifying Scores'!$A$10:$A$13,'Qualifying Scores'!$C$10:$C$13))),"P",""),IF(OR(AND(X28-U28&gt;=LOOKUP(G28,'Qualifying Scores'!$A$4:$A$7,'Qualifying Scores'!$C$4:$C$7),W28&gt;=LOOKUP(G28,'Qualifying Scores'!$A$10:$A$13,'Qualifying Scores'!$C$10:$C$13)),AND(AE28-AB28&gt;=LOOKUP(G28,'Qualifying Scores'!$A$4:$A$7,'Qualifying Scores'!$C$4:$C$7),AD28&gt;=LOOKUP(G28,'Qualifying Scores'!$A$10:$A$13,'Qualifying Scores'!$C$10:$C$13))),"P","")))</f>
        <v/>
      </c>
      <c r="Q28" s="1" t="str">
        <f>IF(A28&lt;5,IF(_xlfn.MAXIFS(A:A,G:G,G28)&gt;3,5-A28,_xlfn.MAXIFS(A:A,G:G,G28)+1-A28),"")</f>
        <v/>
      </c>
      <c r="R28" s="4">
        <f>IF(G28="17-21",MAX(T28,V28,Y28,AA28,AC28,AF28),MAX(X28,AE28))</f>
        <v>47.12</v>
      </c>
      <c r="S28" s="4">
        <f>IF(G28="17-21",LARGE(CHOOSE({1,2,3,4,5,6},T28,V28,Y28,AA28,AC28,AF28),2),IF(R28=X28,MAX(Y28,AA28,AC28,AF28),IF(R28=AE28,MAX(AF28,T28,V28,Y28),0)))</f>
        <v>43.53</v>
      </c>
      <c r="T28" s="33">
        <v>5.17</v>
      </c>
      <c r="U28" s="40">
        <v>1.5</v>
      </c>
      <c r="V28" s="34">
        <v>43.53</v>
      </c>
      <c r="W28" s="40">
        <v>9.8000000000000007</v>
      </c>
      <c r="X28" s="4">
        <f>IF(H28="Senior",MAX(T28,V28),T28+V28)</f>
        <v>48.7</v>
      </c>
      <c r="Y28" s="34">
        <v>47.12</v>
      </c>
      <c r="Z28" s="40">
        <v>10.5</v>
      </c>
      <c r="AA28" s="33">
        <v>29.07</v>
      </c>
      <c r="AB28" s="40">
        <v>7.1</v>
      </c>
      <c r="AC28" s="34">
        <v>14.86</v>
      </c>
      <c r="AD28" s="40">
        <v>3.4</v>
      </c>
      <c r="AE28" s="4">
        <f>IF(H28="Senior",MAX(AA28,AC28),AA28+AC28)</f>
        <v>43.93</v>
      </c>
      <c r="AF28" s="34"/>
      <c r="AG28" s="37"/>
    </row>
    <row r="29" spans="1:33" x14ac:dyDescent="0.2">
      <c r="A29" s="1" t="str" cm="1">
        <f t="array" ref="A29">IF(I29="","",IF(P29&lt;&gt;"",SUMPRODUCT((P$3:P$133&lt;&gt;"")*(G$3:G$133=G29)*(J$3:J$133&gt;J29)*(I$3:I$133="P"))+1,IF(O29&lt;&gt;"",SUMPRODUCT((O$3:O$133&lt;&gt;"")*(P$3:P$133="")*(G$3:G$133=G29)*(J$3:J$133&gt;J29)*(I$3:I$133="P"))+SUMPRODUCT((P$3:P$133&lt;&gt;"")*(G$3:G$133=G29)*(I$3:I$133="P"))+1,IF(N29&lt;&gt;"",SUMPRODUCT((N$3:N$133&lt;&gt;"")*(G$3:G$133=G29)*(J$3:J$133&gt;J29)*(I$3:I$133="P"))+1,IF(M29="P",SUMPRODUCT((O$3:O$133&lt;&gt;"")*(P$3:P$133="")*(G$3:G$133=G29)*(I$3:I$133="P"))+SUMPRODUCT((P$3:P$133&lt;&gt;"")*(G$3:G$133=G29)*(I$3:I$133="P"))+SUMPRODUCT((N$3:N$133&lt;&gt;"")*(G$3:G$133=G29)*(I$3:I$133="P"))+SUMPRODUCT((P$3:P$133="")*(O$3:O$133="")*(N$3:N$133="")*(M$3:M$133="P")*(G$3:G$133=G29)*(J$3:J$133&gt;J29)*(I$3:I$133="P"))+IF(H29="L5",SUMPRODUCT((P$3:P$133="")*(O$3:O$133="")*(N$3:N$133="")*(M$3:M$133="P")*(G$3:G$133=G29)*(J$3:J$133&lt;J29)*(H$3:H$133&lt;&gt;H29)*(I$3:I$133="P")),-1*SUMPRODUCT((P$3:P$133="")*(O$3:O$133="")*(N$3:N$133="")*(M$3:M$133="P")*(G$3:G$133=G29)*(J$3:J$133&gt;J29)*(H$3:H$133="L5")*(I$3:I$133="P")))+1,"")))))</f>
        <v/>
      </c>
      <c r="B29" s="1" t="str" cm="1">
        <f t="array" ref="B29">IF(P29&lt;&gt;"",SUMPRODUCT((P$3:P$133&lt;&gt;"")*(G$3:G$133=G29)*(J$3:J$133&gt;J29))+1,IF(O29&lt;&gt;"",SUMPRODUCT((O$3:O$133&lt;&gt;"")*(P$3:P$133="")*(G$3:G$133=G29)*(J$3:J$133&gt;J29))+SUMPRODUCT((P$3:P$133&lt;&gt;"")*(G$3:G$133=G29))+1,IF(N29&lt;&gt;"",SUMPRODUCT((N$3:N$133&lt;&gt;"")*(G$3:G$133=G29)*(J$3:J$133&gt;J29))+1,IF(M29="P",SUMPRODUCT((O$3:O$133&lt;&gt;"")*(P$3:P$133="")*(G$3:G$133=G29))+SUMPRODUCT((P$3:P$133&lt;&gt;"")*(G$3:G$133=G29))+SUMPRODUCT((N$3:N$133&lt;&gt;"")*(G$3:G$133=G29))+SUMPRODUCT((P$3:P$133="")*(O$3:O$133="")*(N$3:N$133="")*(M$3:M$133="P")*(G$3:G$133=G29)*(J$3:J$133&gt;J29))+IF(H29="L5",SUMPRODUCT((P$3:P$133="")*(O$3:O$133="")*(N$3:N$133="")*(M$3:M$133="P")*(G$3:G$133=G29)*(J$3:J$133&lt;J29)*(H$3:H$133&lt;&gt;H29)),-1*SUMPRODUCT((P$3:P$133="")*(O$3:O$133="")*(N$3:N$133="")*(M$3:M$133="P")*(G$3:G$133=G29)*(J$3:J$133&gt;J29)*(H$3:H$133="L5")))+1,""))))</f>
        <v/>
      </c>
      <c r="C29" s="36" t="s">
        <v>137</v>
      </c>
      <c r="D29" s="36" t="str">
        <f>IF(E29="","",VLOOKUP(E29,'Coaching Points'!A:B,2,0))</f>
        <v>BC</v>
      </c>
      <c r="E29" s="36" t="s">
        <v>46</v>
      </c>
      <c r="F29" s="35">
        <v>2004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 t="s">
        <v>567</v>
      </c>
      <c r="J29" s="4">
        <f>R29+S29+IF(OR(H29="Junior",H29="Senior"),0.0002,IF(OR(H29="L7",H29="L6"),0.0001,0))+IF(G29="17-21",MAX(AA29,AC29,AF29),AE29)*0.0000001</f>
        <v>90.58000452600001</v>
      </c>
      <c r="K29" s="3" t="str">
        <f>IF(G29="Not Age Eligible","",IF(G29="17-21",IF(MAX(T29,V29,Y29,AA29,AC29,AF29)&gt;=LOOKUP(G29,'Qualifying Scores'!$A$4:$A$7,'Qualifying Scores'!$C$4:$C$7),"P",""),IF(MAX(X29-U29,AE29-AB29)&gt;=LOOKUP(G29,'Qualifying Scores'!$A$4:$A$7,'Qualifying Scores'!$C$4:$C$7),"P","")))</f>
        <v/>
      </c>
      <c r="L29" s="3" t="str">
        <f>IF(G29="Not Age Eligible","",IF(G29="17-21",IF(MAX(U29,W29,Z29,AB29,AD29,AG29)&gt;=LOOKUP(G29,'Qualifying Scores'!$A$10:$A$13,'Qualifying Scores'!$C$10:$C$13),"P",""),IF(MAX(W29,AD29)&gt;=LOOKUP(G29,'Qualifying Scores'!$A$10:$A$13,'Qualifying Scores'!$C$10:$C$13),"P","")))</f>
        <v/>
      </c>
      <c r="M29" s="3" t="str">
        <f>IF(G29="Not Age Eligible","",IF(G29="17-21",IF(OR(AND(T29&gt;=LOOKUP(G29,'Qualifying Scores'!$A$4:$A$7,'Qualifying Scores'!$C$4:$C$7),U29&gt;=LOOKUP(G29,'Qualifying Scores'!$A$10:$A$13,'Qualifying Scores'!$C$10:$C$13)),AND(V29&gt;=LOOKUP(G29,'Qualifying Scores'!$A$4:$A$7,'Qualifying Scores'!$C$4:$C$7),W29&gt;=LOOKUP(G29,'Qualifying Scores'!$A$10:$A$13,'Qualifying Scores'!$C$10:$C$13)),AND(Y29&gt;=LOOKUP(G29,'Qualifying Scores'!$A$4:$A$7,'Qualifying Scores'!$C$4:$C$7),Z29&gt;=LOOKUP(G29,'Qualifying Scores'!$A$10:$A$13,'Qualifying Scores'!$C$10:$C$13)),AND(AA29&gt;=LOOKUP(G29,'Qualifying Scores'!$A$4:$A$7,'Qualifying Scores'!$C$4:$C$7),AB29&gt;=LOOKUP(G29,'Qualifying Scores'!$A$10:$A$13,'Qualifying Scores'!$C$10:$C$13)),AND(AC29&gt;=LOOKUP(G29,'Qualifying Scores'!$A$4:$A$7,'Qualifying Scores'!$C$4:$C$7),AD29&gt;=LOOKUP(G29,'Qualifying Scores'!$A$10:$A$13,'Qualifying Scores'!$C$10:$C$13)),AND(AF29&gt;=LOOKUP(G29,'Qualifying Scores'!$A$4:$A$7,'Qualifying Scores'!$C$4:$C$7),AG29&gt;=LOOKUP(G29,'Qualifying Scores'!$A$10:$A$13,'Qualifying Scores'!$C$10:$C$13))),"P",""),IF(OR(AND(X29-U29&gt;=LOOKUP(G29,'Qualifying Scores'!$A$4:$A$7,'Qualifying Scores'!$C$4:$C$7),W29&gt;=LOOKUP(G29,'Qualifying Scores'!$A$10:$A$13,'Qualifying Scores'!$C$10:$C$13)),AND(AE29-AB29&gt;=LOOKUP(G29,'Qualifying Scores'!$A$4:$A$7,'Qualifying Scores'!$C$4:$C$7),AD29&gt;=LOOKUP(G29,'Qualifying Scores'!$A$10:$A$13,'Qualifying Scores'!$C$10:$C$13))),"P","")))</f>
        <v/>
      </c>
      <c r="Q29" s="1" t="str">
        <f>IF(A29&lt;5,IF(_xlfn.MAXIFS(A:A,G:G,G29)&gt;3,5-A29,_xlfn.MAXIFS(A:A,G:G,G29)+1-A29),"")</f>
        <v/>
      </c>
      <c r="R29" s="4">
        <f>IF(G29="17-21",MAX(T29,V29,Y29,AA29,AC29,AF29),MAX(X29,AE29))</f>
        <v>45.31</v>
      </c>
      <c r="S29" s="4">
        <f>IF(G29="17-21",LARGE(CHOOSE({1,2,3,4,5,6},T29,V29,Y29,AA29,AC29,AF29),2),IF(R29=X29,MAX(Y29,AA29,AC29,AF29),IF(R29=AE29,MAX(AF29,T29,V29,Y29),0)))</f>
        <v>45.27</v>
      </c>
      <c r="T29" s="33">
        <v>38.68</v>
      </c>
      <c r="U29" s="40">
        <v>0</v>
      </c>
      <c r="V29" s="34">
        <v>45.27</v>
      </c>
      <c r="W29" s="40">
        <v>9.1</v>
      </c>
      <c r="X29" s="4">
        <f>IF(H29="Senior",MAX(T29,V29),T29+V29)</f>
        <v>83.95</v>
      </c>
      <c r="Y29" s="34">
        <v>45.31</v>
      </c>
      <c r="Z29" s="40">
        <v>8.5</v>
      </c>
      <c r="AA29" s="33">
        <v>38.42</v>
      </c>
      <c r="AB29" s="40">
        <v>0</v>
      </c>
      <c r="AC29" s="34">
        <v>45.26</v>
      </c>
      <c r="AD29" s="40">
        <v>9.1</v>
      </c>
      <c r="AE29" s="4">
        <f>IF(H29="Senior",MAX(AA29,AC29),AA29+AC29)</f>
        <v>83.68</v>
      </c>
      <c r="AF29" s="34"/>
      <c r="AG29" s="37"/>
    </row>
    <row r="30" spans="1:33" x14ac:dyDescent="0.2">
      <c r="A30" s="1" t="str" cm="1">
        <f t="array" ref="A30">IF(I30="","",IF(P30&lt;&gt;"",SUMPRODUCT((P$3:P$133&lt;&gt;"")*(G$3:G$133=G30)*(J$3:J$133&gt;J30)*(I$3:I$133="P"))+1,IF(O30&lt;&gt;"",SUMPRODUCT((O$3:O$133&lt;&gt;"")*(P$3:P$133="")*(G$3:G$133=G30)*(J$3:J$133&gt;J30)*(I$3:I$133="P"))+SUMPRODUCT((P$3:P$133&lt;&gt;"")*(G$3:G$133=G30)*(I$3:I$133="P"))+1,IF(N30&lt;&gt;"",SUMPRODUCT((N$3:N$133&lt;&gt;"")*(G$3:G$133=G30)*(J$3:J$133&gt;J30)*(I$3:I$133="P"))+1,IF(M30="P",SUMPRODUCT((O$3:O$133&lt;&gt;"")*(P$3:P$133="")*(G$3:G$133=G30)*(I$3:I$133="P"))+SUMPRODUCT((P$3:P$133&lt;&gt;"")*(G$3:G$133=G30)*(I$3:I$133="P"))+SUMPRODUCT((N$3:N$133&lt;&gt;"")*(G$3:G$133=G30)*(I$3:I$133="P"))+SUMPRODUCT((P$3:P$133="")*(O$3:O$133="")*(N$3:N$133="")*(M$3:M$133="P")*(G$3:G$133=G30)*(J$3:J$133&gt;J30)*(I$3:I$133="P"))+IF(H30="L5",SUMPRODUCT((P$3:P$133="")*(O$3:O$133="")*(N$3:N$133="")*(M$3:M$133="P")*(G$3:G$133=G30)*(J$3:J$133&lt;J30)*(H$3:H$133&lt;&gt;H30)*(I$3:I$133="P")),-1*SUMPRODUCT((P$3:P$133="")*(O$3:O$133="")*(N$3:N$133="")*(M$3:M$133="P")*(G$3:G$133=G30)*(J$3:J$133&gt;J30)*(H$3:H$133="L5")*(I$3:I$133="P")))+1,"")))))</f>
        <v/>
      </c>
      <c r="B30" s="1" t="str" cm="1">
        <f t="array" ref="B30">IF(P30&lt;&gt;"",SUMPRODUCT((P$3:P$133&lt;&gt;"")*(G$3:G$133=G30)*(J$3:J$133&gt;J30))+1,IF(O30&lt;&gt;"",SUMPRODUCT((O$3:O$133&lt;&gt;"")*(P$3:P$133="")*(G$3:G$133=G30)*(J$3:J$133&gt;J30))+SUMPRODUCT((P$3:P$133&lt;&gt;"")*(G$3:G$133=G30))+1,IF(N30&lt;&gt;"",SUMPRODUCT((N$3:N$133&lt;&gt;"")*(G$3:G$133=G30)*(J$3:J$133&gt;J30))+1,IF(M30="P",SUMPRODUCT((O$3:O$133&lt;&gt;"")*(P$3:P$133="")*(G$3:G$133=G30))+SUMPRODUCT((P$3:P$133&lt;&gt;"")*(G$3:G$133=G30))+SUMPRODUCT((N$3:N$133&lt;&gt;"")*(G$3:G$133=G30))+SUMPRODUCT((P$3:P$133="")*(O$3:O$133="")*(N$3:N$133="")*(M$3:M$133="P")*(G$3:G$133=G30)*(J$3:J$133&gt;J30))+IF(H30="L5",SUMPRODUCT((P$3:P$133="")*(O$3:O$133="")*(N$3:N$133="")*(M$3:M$133="P")*(G$3:G$133=G30)*(J$3:J$133&lt;J30)*(H$3:H$133&lt;&gt;H30)),-1*SUMPRODUCT((P$3:P$133="")*(O$3:O$133="")*(N$3:N$133="")*(M$3:M$133="P")*(G$3:G$133=G30)*(J$3:J$133&gt;J30)*(H$3:H$133="L5")))+1,""))))</f>
        <v/>
      </c>
      <c r="C30" s="36" t="s">
        <v>443</v>
      </c>
      <c r="D30" s="36" t="str">
        <f>IF(E30="","",VLOOKUP(E30,'Coaching Points'!A:B,2,0))</f>
        <v>ON</v>
      </c>
      <c r="E30" s="36" t="s">
        <v>483</v>
      </c>
      <c r="F30" s="35">
        <v>2006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66</v>
      </c>
      <c r="I30" s="43"/>
      <c r="J30" s="4">
        <f>R30+S30+IF(OR(H30="Junior",H30="Senior"),0.0002,IF(OR(H30="L7",H30="L6"),0.0001,0))+IF(G30="17-21",MAX(AA30,AC30,AF30),AE30)*0.0000001</f>
        <v>90.460004561000005</v>
      </c>
      <c r="K30" s="3" t="str">
        <f>IF(G30="Not Age Eligible","",IF(G30="17-21",IF(MAX(T30,V30,Y30,AA30,AC30,AF30)&gt;=LOOKUP(G30,'Qualifying Scores'!$A$4:$A$7,'Qualifying Scores'!$C$4:$C$7),"P",""),IF(MAX(X30-U30,AE30-AB30)&gt;=LOOKUP(G30,'Qualifying Scores'!$A$4:$A$7,'Qualifying Scores'!$C$4:$C$7),"P","")))</f>
        <v/>
      </c>
      <c r="L30" s="3" t="str">
        <f>IF(G30="Not Age Eligible","",IF(G30="17-21",IF(MAX(U30,W30,Z30,AB30,AD30,AG30)&gt;=LOOKUP(G30,'Qualifying Scores'!$A$10:$A$13,'Qualifying Scores'!$C$10:$C$13),"P",""),IF(MAX(W30,AD30)&gt;=LOOKUP(G30,'Qualifying Scores'!$A$10:$A$13,'Qualifying Scores'!$C$10:$C$13),"P","")))</f>
        <v/>
      </c>
      <c r="M30" s="3" t="str">
        <f>IF(G30="Not Age Eligible","",IF(G30="17-21",IF(OR(AND(T30&gt;=LOOKUP(G30,'Qualifying Scores'!$A$4:$A$7,'Qualifying Scores'!$C$4:$C$7),U30&gt;=LOOKUP(G30,'Qualifying Scores'!$A$10:$A$13,'Qualifying Scores'!$C$10:$C$13)),AND(V30&gt;=LOOKUP(G30,'Qualifying Scores'!$A$4:$A$7,'Qualifying Scores'!$C$4:$C$7),W30&gt;=LOOKUP(G30,'Qualifying Scores'!$A$10:$A$13,'Qualifying Scores'!$C$10:$C$13)),AND(Y30&gt;=LOOKUP(G30,'Qualifying Scores'!$A$4:$A$7,'Qualifying Scores'!$C$4:$C$7),Z30&gt;=LOOKUP(G30,'Qualifying Scores'!$A$10:$A$13,'Qualifying Scores'!$C$10:$C$13)),AND(AA30&gt;=LOOKUP(G30,'Qualifying Scores'!$A$4:$A$7,'Qualifying Scores'!$C$4:$C$7),AB30&gt;=LOOKUP(G30,'Qualifying Scores'!$A$10:$A$13,'Qualifying Scores'!$C$10:$C$13)),AND(AC30&gt;=LOOKUP(G30,'Qualifying Scores'!$A$4:$A$7,'Qualifying Scores'!$C$4:$C$7),AD30&gt;=LOOKUP(G30,'Qualifying Scores'!$A$10:$A$13,'Qualifying Scores'!$C$10:$C$13)),AND(AF30&gt;=LOOKUP(G30,'Qualifying Scores'!$A$4:$A$7,'Qualifying Scores'!$C$4:$C$7),AG30&gt;=LOOKUP(G30,'Qualifying Scores'!$A$10:$A$13,'Qualifying Scores'!$C$10:$C$13))),"P",""),IF(OR(AND(X30-U30&gt;=LOOKUP(G30,'Qualifying Scores'!$A$4:$A$7,'Qualifying Scores'!$C$4:$C$7),W30&gt;=LOOKUP(G30,'Qualifying Scores'!$A$10:$A$13,'Qualifying Scores'!$C$10:$C$13)),AND(AE30-AB30&gt;=LOOKUP(G30,'Qualifying Scores'!$A$4:$A$7,'Qualifying Scores'!$C$4:$C$7),AD30&gt;=LOOKUP(G30,'Qualifying Scores'!$A$10:$A$13,'Qualifying Scores'!$C$10:$C$13))),"P","")))</f>
        <v/>
      </c>
      <c r="Q30" s="1" t="str">
        <f>IF(A30&lt;5,IF(_xlfn.MAXIFS(A:A,G:G,G30)&gt;3,5-A30,_xlfn.MAXIFS(A:A,G:G,G30)+1-A30),"")</f>
        <v/>
      </c>
      <c r="R30" s="4">
        <f>IF(G30="17-21",MAX(T30,V30,Y30,AA30,AC30,AF30),MAX(X30,AE30))</f>
        <v>45.61</v>
      </c>
      <c r="S30" s="4">
        <f>IF(G30="17-21",LARGE(CHOOSE({1,2,3,4,5,6},T30,V30,Y30,AA30,AC30,AF30),2),IF(R30=X30,MAX(Y30,AA30,AC30,AF30),IF(R30=AE30,MAX(AF30,T30,V30,Y30),0)))</f>
        <v>44.85</v>
      </c>
      <c r="T30" s="33"/>
      <c r="U30" s="40"/>
      <c r="V30" s="34"/>
      <c r="W30" s="40"/>
      <c r="X30" s="4">
        <f>IF(H30="Senior",MAX(T30,V30),T30+V30)</f>
        <v>0</v>
      </c>
      <c r="Y30" s="34"/>
      <c r="Z30" s="40"/>
      <c r="AA30" s="33">
        <v>41.49</v>
      </c>
      <c r="AB30" s="40">
        <v>0</v>
      </c>
      <c r="AC30" s="34">
        <v>44.85</v>
      </c>
      <c r="AD30" s="40">
        <v>8.1</v>
      </c>
      <c r="AE30" s="4">
        <f>IF(H30="Senior",MAX(AA30,AC30),AA30+AC30)</f>
        <v>86.34</v>
      </c>
      <c r="AF30" s="34">
        <v>45.61</v>
      </c>
      <c r="AG30" s="37">
        <v>8.1</v>
      </c>
    </row>
    <row r="31" spans="1:33" x14ac:dyDescent="0.2">
      <c r="A31" s="1" t="str" cm="1">
        <f t="array" ref="A31">IF(I31="","",IF(P31&lt;&gt;"",SUMPRODUCT((P$3:P$133&lt;&gt;"")*(G$3:G$133=G31)*(J$3:J$133&gt;J31)*(I$3:I$133="P"))+1,IF(O31&lt;&gt;"",SUMPRODUCT((O$3:O$133&lt;&gt;"")*(P$3:P$133="")*(G$3:G$133=G31)*(J$3:J$133&gt;J31)*(I$3:I$133="P"))+SUMPRODUCT((P$3:P$133&lt;&gt;"")*(G$3:G$133=G31)*(I$3:I$133="P"))+1,IF(N31&lt;&gt;"",SUMPRODUCT((N$3:N$133&lt;&gt;"")*(G$3:G$133=G31)*(J$3:J$133&gt;J31)*(I$3:I$133="P"))+1,IF(M31="P",SUMPRODUCT((O$3:O$133&lt;&gt;"")*(P$3:P$133="")*(G$3:G$133=G31)*(I$3:I$133="P"))+SUMPRODUCT((P$3:P$133&lt;&gt;"")*(G$3:G$133=G31)*(I$3:I$133="P"))+SUMPRODUCT((N$3:N$133&lt;&gt;"")*(G$3:G$133=G31)*(I$3:I$133="P"))+SUMPRODUCT((P$3:P$133="")*(O$3:O$133="")*(N$3:N$133="")*(M$3:M$133="P")*(G$3:G$133=G31)*(J$3:J$133&gt;J31)*(I$3:I$133="P"))+IF(H31="L5",SUMPRODUCT((P$3:P$133="")*(O$3:O$133="")*(N$3:N$133="")*(M$3:M$133="P")*(G$3:G$133=G31)*(J$3:J$133&lt;J31)*(H$3:H$133&lt;&gt;H31)*(I$3:I$133="P")),-1*SUMPRODUCT((P$3:P$133="")*(O$3:O$133="")*(N$3:N$133="")*(M$3:M$133="P")*(G$3:G$133=G31)*(J$3:J$133&gt;J31)*(H$3:H$133="L5")*(I$3:I$133="P")))+1,"")))))</f>
        <v/>
      </c>
      <c r="B31" s="1" t="str" cm="1">
        <f t="array" ref="B31">IF(P31&lt;&gt;"",SUMPRODUCT((P$3:P$133&lt;&gt;"")*(G$3:G$133=G31)*(J$3:J$133&gt;J31))+1,IF(O31&lt;&gt;"",SUMPRODUCT((O$3:O$133&lt;&gt;"")*(P$3:P$133="")*(G$3:G$133=G31)*(J$3:J$133&gt;J31))+SUMPRODUCT((P$3:P$133&lt;&gt;"")*(G$3:G$133=G31))+1,IF(N31&lt;&gt;"",SUMPRODUCT((N$3:N$133&lt;&gt;"")*(G$3:G$133=G31)*(J$3:J$133&gt;J31))+1,IF(M31="P",SUMPRODUCT((O$3:O$133&lt;&gt;"")*(P$3:P$133="")*(G$3:G$133=G31))+SUMPRODUCT((P$3:P$133&lt;&gt;"")*(G$3:G$133=G31))+SUMPRODUCT((N$3:N$133&lt;&gt;"")*(G$3:G$133=G31))+SUMPRODUCT((P$3:P$133="")*(O$3:O$133="")*(N$3:N$133="")*(M$3:M$133="P")*(G$3:G$133=G31)*(J$3:J$133&gt;J31))+IF(H31="L5",SUMPRODUCT((P$3:P$133="")*(O$3:O$133="")*(N$3:N$133="")*(M$3:M$133="P")*(G$3:G$133=G31)*(J$3:J$133&lt;J31)*(H$3:H$133&lt;&gt;H31)),-1*SUMPRODUCT((P$3:P$133="")*(O$3:O$133="")*(N$3:N$133="")*(M$3:M$133="P")*(G$3:G$133=G31)*(J$3:J$133&gt;J31)*(H$3:H$133="L5")))+1,""))))</f>
        <v/>
      </c>
      <c r="C31" s="36" t="s">
        <v>293</v>
      </c>
      <c r="D31" s="36" t="str">
        <f>IF(E31="","",VLOOKUP(E31,'Coaching Points'!A:B,2,0))</f>
        <v>QC</v>
      </c>
      <c r="E31" s="36" t="s">
        <v>84</v>
      </c>
      <c r="F31" s="35">
        <v>2006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>R31+S31+IF(OR(H31="Junior",H31="Senior"),0.0002,IF(OR(H31="L7",H31="L6"),0.0001,0))+IF(G31="17-21",MAX(AA31,AC31,AF31),AE31)*0.0000001</f>
        <v>90.430004554000007</v>
      </c>
      <c r="K31" s="3" t="str">
        <f>IF(G31="Not Age Eligible","",IF(G31="17-21",IF(MAX(T31,V31,Y31,AA31,AC31,AF31)&gt;=LOOKUP(G31,'Qualifying Scores'!$A$4:$A$7,'Qualifying Scores'!$C$4:$C$7),"P",""),IF(MAX(X31-U31,AE31-AB31)&gt;=LOOKUP(G31,'Qualifying Scores'!$A$4:$A$7,'Qualifying Scores'!$C$4:$C$7),"P","")))</f>
        <v/>
      </c>
      <c r="L31" s="3" t="str">
        <f>IF(G31="Not Age Eligible","",IF(G31="17-21",IF(MAX(U31,W31,Z31,AB31,AD31,AG31)&gt;=LOOKUP(G31,'Qualifying Scores'!$A$10:$A$13,'Qualifying Scores'!$C$10:$C$13),"P",""),IF(MAX(W31,AD31)&gt;=LOOKUP(G31,'Qualifying Scores'!$A$10:$A$13,'Qualifying Scores'!$C$10:$C$13),"P","")))</f>
        <v/>
      </c>
      <c r="M31" s="3" t="str">
        <f>IF(G31="Not Age Eligible","",IF(G31="17-21",IF(OR(AND(T31&gt;=LOOKUP(G31,'Qualifying Scores'!$A$4:$A$7,'Qualifying Scores'!$C$4:$C$7),U31&gt;=LOOKUP(G31,'Qualifying Scores'!$A$10:$A$13,'Qualifying Scores'!$C$10:$C$13)),AND(V31&gt;=LOOKUP(G31,'Qualifying Scores'!$A$4:$A$7,'Qualifying Scores'!$C$4:$C$7),W31&gt;=LOOKUP(G31,'Qualifying Scores'!$A$10:$A$13,'Qualifying Scores'!$C$10:$C$13)),AND(Y31&gt;=LOOKUP(G31,'Qualifying Scores'!$A$4:$A$7,'Qualifying Scores'!$C$4:$C$7),Z31&gt;=LOOKUP(G31,'Qualifying Scores'!$A$10:$A$13,'Qualifying Scores'!$C$10:$C$13)),AND(AA31&gt;=LOOKUP(G31,'Qualifying Scores'!$A$4:$A$7,'Qualifying Scores'!$C$4:$C$7),AB31&gt;=LOOKUP(G31,'Qualifying Scores'!$A$10:$A$13,'Qualifying Scores'!$C$10:$C$13)),AND(AC31&gt;=LOOKUP(G31,'Qualifying Scores'!$A$4:$A$7,'Qualifying Scores'!$C$4:$C$7),AD31&gt;=LOOKUP(G31,'Qualifying Scores'!$A$10:$A$13,'Qualifying Scores'!$C$10:$C$13)),AND(AF31&gt;=LOOKUP(G31,'Qualifying Scores'!$A$4:$A$7,'Qualifying Scores'!$C$4:$C$7),AG31&gt;=LOOKUP(G31,'Qualifying Scores'!$A$10:$A$13,'Qualifying Scores'!$C$10:$C$13))),"P",""),IF(OR(AND(X31-U31&gt;=LOOKUP(G31,'Qualifying Scores'!$A$4:$A$7,'Qualifying Scores'!$C$4:$C$7),W31&gt;=LOOKUP(G31,'Qualifying Scores'!$A$10:$A$13,'Qualifying Scores'!$C$10:$C$13)),AND(AE31-AB31&gt;=LOOKUP(G31,'Qualifying Scores'!$A$4:$A$7,'Qualifying Scores'!$C$4:$C$7),AD31&gt;=LOOKUP(G31,'Qualifying Scores'!$A$10:$A$13,'Qualifying Scores'!$C$10:$C$13))),"P","")))</f>
        <v/>
      </c>
      <c r="Q31" s="1" t="str">
        <f>IF(A31&lt;5,IF(_xlfn.MAXIFS(A:A,G:G,G31)&gt;3,5-A31,_xlfn.MAXIFS(A:A,G:G,G31)+1-A31),"")</f>
        <v/>
      </c>
      <c r="R31" s="4">
        <f>IF(G31="17-21",MAX(T31,V31,Y31,AA31,AC31,AF31),MAX(X31,AE31))</f>
        <v>45.54</v>
      </c>
      <c r="S31" s="4">
        <f>IF(G31="17-21",LARGE(CHOOSE({1,2,3,4,5,6},T31,V31,Y31,AA31,AC31,AF31),2),IF(R31=X31,MAX(Y31,AA31,AC31,AF31),IF(R31=AE31,MAX(AF31,T31,V31,Y31),0)))</f>
        <v>44.89</v>
      </c>
      <c r="T31" s="33">
        <v>38.619999999999997</v>
      </c>
      <c r="U31" s="40">
        <v>0</v>
      </c>
      <c r="V31" s="34">
        <v>44.89</v>
      </c>
      <c r="W31" s="40">
        <v>7.4</v>
      </c>
      <c r="X31" s="4">
        <f>IF(H31="Senior",MAX(T31,V31),T31+V31)</f>
        <v>83.509999999999991</v>
      </c>
      <c r="Y31" s="34">
        <v>42.39</v>
      </c>
      <c r="Z31" s="40">
        <v>7.8</v>
      </c>
      <c r="AA31" s="33">
        <v>39.44</v>
      </c>
      <c r="AB31" s="40">
        <v>0</v>
      </c>
      <c r="AC31" s="34">
        <v>45.54</v>
      </c>
      <c r="AD31" s="40">
        <v>7.8</v>
      </c>
      <c r="AE31" s="4">
        <f>IF(H31="Senior",MAX(AA31,AC31),AA31+AC31)</f>
        <v>84.97999999999999</v>
      </c>
      <c r="AF31" s="34">
        <v>9.92</v>
      </c>
      <c r="AG31" s="37">
        <v>1.9</v>
      </c>
    </row>
    <row r="32" spans="1:33" x14ac:dyDescent="0.2">
      <c r="A32" s="1" t="str" cm="1">
        <f t="array" ref="A32">IF(I32="","",IF(P32&lt;&gt;"",SUMPRODUCT((P$3:P$133&lt;&gt;"")*(G$3:G$133=G32)*(J$3:J$133&gt;J32)*(I$3:I$133="P"))+1,IF(O32&lt;&gt;"",SUMPRODUCT((O$3:O$133&lt;&gt;"")*(P$3:P$133="")*(G$3:G$133=G32)*(J$3:J$133&gt;J32)*(I$3:I$133="P"))+SUMPRODUCT((P$3:P$133&lt;&gt;"")*(G$3:G$133=G32)*(I$3:I$133="P"))+1,IF(N32&lt;&gt;"",SUMPRODUCT((N$3:N$133&lt;&gt;"")*(G$3:G$133=G32)*(J$3:J$133&gt;J32)*(I$3:I$133="P"))+1,IF(M32="P",SUMPRODUCT((O$3:O$133&lt;&gt;"")*(P$3:P$133="")*(G$3:G$133=G32)*(I$3:I$133="P"))+SUMPRODUCT((P$3:P$133&lt;&gt;"")*(G$3:G$133=G32)*(I$3:I$133="P"))+SUMPRODUCT((N$3:N$133&lt;&gt;"")*(G$3:G$133=G32)*(I$3:I$133="P"))+SUMPRODUCT((P$3:P$133="")*(O$3:O$133="")*(N$3:N$133="")*(M$3:M$133="P")*(G$3:G$133=G32)*(J$3:J$133&gt;J32)*(I$3:I$133="P"))+IF(H32="L5",SUMPRODUCT((P$3:P$133="")*(O$3:O$133="")*(N$3:N$133="")*(M$3:M$133="P")*(G$3:G$133=G32)*(J$3:J$133&lt;J32)*(H$3:H$133&lt;&gt;H32)*(I$3:I$133="P")),-1*SUMPRODUCT((P$3:P$133="")*(O$3:O$133="")*(N$3:N$133="")*(M$3:M$133="P")*(G$3:G$133=G32)*(J$3:J$133&gt;J32)*(H$3:H$133="L5")*(I$3:I$133="P")))+1,"")))))</f>
        <v/>
      </c>
      <c r="B32" s="1" t="str" cm="1">
        <f t="array" ref="B32">IF(P32&lt;&gt;"",SUMPRODUCT((P$3:P$133&lt;&gt;"")*(G$3:G$133=G32)*(J$3:J$133&gt;J32))+1,IF(O32&lt;&gt;"",SUMPRODUCT((O$3:O$133&lt;&gt;"")*(P$3:P$133="")*(G$3:G$133=G32)*(J$3:J$133&gt;J32))+SUMPRODUCT((P$3:P$133&lt;&gt;"")*(G$3:G$133=G32))+1,IF(N32&lt;&gt;"",SUMPRODUCT((N$3:N$133&lt;&gt;"")*(G$3:G$133=G32)*(J$3:J$133&gt;J32))+1,IF(M32="P",SUMPRODUCT((O$3:O$133&lt;&gt;"")*(P$3:P$133="")*(G$3:G$133=G32))+SUMPRODUCT((P$3:P$133&lt;&gt;"")*(G$3:G$133=G32))+SUMPRODUCT((N$3:N$133&lt;&gt;"")*(G$3:G$133=G32))+SUMPRODUCT((P$3:P$133="")*(O$3:O$133="")*(N$3:N$133="")*(M$3:M$133="P")*(G$3:G$133=G32)*(J$3:J$133&gt;J32))+IF(H32="L5",SUMPRODUCT((P$3:P$133="")*(O$3:O$133="")*(N$3:N$133="")*(M$3:M$133="P")*(G$3:G$133=G32)*(J$3:J$133&lt;J32)*(H$3:H$133&lt;&gt;H32)),-1*SUMPRODUCT((P$3:P$133="")*(O$3:O$133="")*(N$3:N$133="")*(M$3:M$133="P")*(G$3:G$133=G32)*(J$3:J$133&gt;J32)*(H$3:H$133="L5")))+1,""))))</f>
        <v/>
      </c>
      <c r="C32" s="36" t="s">
        <v>145</v>
      </c>
      <c r="D32" s="36" t="str">
        <f>IF(E32="","",VLOOKUP(E32,'Coaching Points'!A:B,2,0))</f>
        <v>ON</v>
      </c>
      <c r="E32" s="36" t="s">
        <v>73</v>
      </c>
      <c r="F32" s="35">
        <v>2005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66</v>
      </c>
      <c r="I32" s="43"/>
      <c r="J32" s="4">
        <f>R32+S32+IF(OR(H32="Junior",H32="Senior"),0.0002,IF(OR(H32="L7",H32="L6"),0.0001,0))+IF(G32="17-21",MAX(AA32,AC32,AF32),AE32)*0.0000001</f>
        <v>90.300003794000006</v>
      </c>
      <c r="K32" s="3" t="str">
        <f>IF(G32="Not Age Eligible","",IF(G32="17-21",IF(MAX(T32,V32,Y32,AA32,AC32,AF32)&gt;=LOOKUP(G32,'Qualifying Scores'!$A$4:$A$7,'Qualifying Scores'!$C$4:$C$7),"P",""),IF(MAX(X32-U32,AE32-AB32)&gt;=LOOKUP(G32,'Qualifying Scores'!$A$4:$A$7,'Qualifying Scores'!$C$4:$C$7),"P","")))</f>
        <v/>
      </c>
      <c r="L32" s="3" t="str">
        <f>IF(G32="Not Age Eligible","",IF(G32="17-21",IF(MAX(U32,W32,Z32,AB32,AD32,AG32)&gt;=LOOKUP(G32,'Qualifying Scores'!$A$10:$A$13,'Qualifying Scores'!$C$10:$C$13),"P",""),IF(MAX(W32,AD32)&gt;=LOOKUP(G32,'Qualifying Scores'!$A$10:$A$13,'Qualifying Scores'!$C$10:$C$13),"P","")))</f>
        <v/>
      </c>
      <c r="M32" s="3" t="str">
        <f>IF(G32="Not Age Eligible","",IF(G32="17-21",IF(OR(AND(T32&gt;=LOOKUP(G32,'Qualifying Scores'!$A$4:$A$7,'Qualifying Scores'!$C$4:$C$7),U32&gt;=LOOKUP(G32,'Qualifying Scores'!$A$10:$A$13,'Qualifying Scores'!$C$10:$C$13)),AND(V32&gt;=LOOKUP(G32,'Qualifying Scores'!$A$4:$A$7,'Qualifying Scores'!$C$4:$C$7),W32&gt;=LOOKUP(G32,'Qualifying Scores'!$A$10:$A$13,'Qualifying Scores'!$C$10:$C$13)),AND(Y32&gt;=LOOKUP(G32,'Qualifying Scores'!$A$4:$A$7,'Qualifying Scores'!$C$4:$C$7),Z32&gt;=LOOKUP(G32,'Qualifying Scores'!$A$10:$A$13,'Qualifying Scores'!$C$10:$C$13)),AND(AA32&gt;=LOOKUP(G32,'Qualifying Scores'!$A$4:$A$7,'Qualifying Scores'!$C$4:$C$7),AB32&gt;=LOOKUP(G32,'Qualifying Scores'!$A$10:$A$13,'Qualifying Scores'!$C$10:$C$13)),AND(AC32&gt;=LOOKUP(G32,'Qualifying Scores'!$A$4:$A$7,'Qualifying Scores'!$C$4:$C$7),AD32&gt;=LOOKUP(G32,'Qualifying Scores'!$A$10:$A$13,'Qualifying Scores'!$C$10:$C$13)),AND(AF32&gt;=LOOKUP(G32,'Qualifying Scores'!$A$4:$A$7,'Qualifying Scores'!$C$4:$C$7),AG32&gt;=LOOKUP(G32,'Qualifying Scores'!$A$10:$A$13,'Qualifying Scores'!$C$10:$C$13))),"P",""),IF(OR(AND(X32-U32&gt;=LOOKUP(G32,'Qualifying Scores'!$A$4:$A$7,'Qualifying Scores'!$C$4:$C$7),W32&gt;=LOOKUP(G32,'Qualifying Scores'!$A$10:$A$13,'Qualifying Scores'!$C$10:$C$13)),AND(AE32-AB32&gt;=LOOKUP(G32,'Qualifying Scores'!$A$4:$A$7,'Qualifying Scores'!$C$4:$C$7),AD32&gt;=LOOKUP(G32,'Qualifying Scores'!$A$10:$A$13,'Qualifying Scores'!$C$10:$C$13))),"P","")))</f>
        <v/>
      </c>
      <c r="Q32" s="1" t="str">
        <f>IF(A32&lt;5,IF(_xlfn.MAXIFS(A:A,G:G,G32)&gt;3,5-A32,_xlfn.MAXIFS(A:A,G:G,G32)+1-A32),"")</f>
        <v/>
      </c>
      <c r="R32" s="4">
        <f>IF(G32="17-21",MAX(T32,V32,Y32,AA32,AC32,AF32),MAX(X32,AE32))</f>
        <v>45.21</v>
      </c>
      <c r="S32" s="4">
        <f>IF(G32="17-21",LARGE(CHOOSE({1,2,3,4,5,6},T32,V32,Y32,AA32,AC32,AF32),2),IF(R32=X32,MAX(Y32,AA32,AC32,AF32),IF(R32=AE32,MAX(AF32,T32,V32,Y32),0)))</f>
        <v>45.09</v>
      </c>
      <c r="T32" s="33">
        <v>39.67</v>
      </c>
      <c r="U32" s="40">
        <v>0</v>
      </c>
      <c r="V32" s="34">
        <v>45.21</v>
      </c>
      <c r="W32" s="40">
        <v>7.8</v>
      </c>
      <c r="X32" s="4">
        <f>IF(H32="Senior",MAX(T32,V32),T32+V32)</f>
        <v>84.88</v>
      </c>
      <c r="Y32" s="34">
        <v>45.09</v>
      </c>
      <c r="Z32" s="40">
        <v>7.8</v>
      </c>
      <c r="AA32" s="33">
        <v>37.94</v>
      </c>
      <c r="AB32" s="40">
        <v>0</v>
      </c>
      <c r="AC32" s="34">
        <v>18.260000000000002</v>
      </c>
      <c r="AD32" s="40">
        <v>3.5</v>
      </c>
      <c r="AE32" s="4">
        <f>IF(H32="Senior",MAX(AA32,AC32),AA32+AC32)</f>
        <v>56.2</v>
      </c>
      <c r="AF32" s="34"/>
      <c r="AG32" s="37"/>
    </row>
    <row r="33" spans="1:33" x14ac:dyDescent="0.2">
      <c r="A33" s="1" t="str" cm="1">
        <f t="array" ref="A33">IF(I33="","",IF(P33&lt;&gt;"",SUMPRODUCT((P$3:P$133&lt;&gt;"")*(G$3:G$133=G33)*(J$3:J$133&gt;J33)*(I$3:I$133="P"))+1,IF(O33&lt;&gt;"",SUMPRODUCT((O$3:O$133&lt;&gt;"")*(P$3:P$133="")*(G$3:G$133=G33)*(J$3:J$133&gt;J33)*(I$3:I$133="P"))+SUMPRODUCT((P$3:P$133&lt;&gt;"")*(G$3:G$133=G33)*(I$3:I$133="P"))+1,IF(N33&lt;&gt;"",SUMPRODUCT((N$3:N$133&lt;&gt;"")*(G$3:G$133=G33)*(J$3:J$133&gt;J33)*(I$3:I$133="P"))+1,IF(M33="P",SUMPRODUCT((O$3:O$133&lt;&gt;"")*(P$3:P$133="")*(G$3:G$133=G33)*(I$3:I$133="P"))+SUMPRODUCT((P$3:P$133&lt;&gt;"")*(G$3:G$133=G33)*(I$3:I$133="P"))+SUMPRODUCT((N$3:N$133&lt;&gt;"")*(G$3:G$133=G33)*(I$3:I$133="P"))+SUMPRODUCT((P$3:P$133="")*(O$3:O$133="")*(N$3:N$133="")*(M$3:M$133="P")*(G$3:G$133=G33)*(J$3:J$133&gt;J33)*(I$3:I$133="P"))+IF(H33="L5",SUMPRODUCT((P$3:P$133="")*(O$3:O$133="")*(N$3:N$133="")*(M$3:M$133="P")*(G$3:G$133=G33)*(J$3:J$133&lt;J33)*(H$3:H$133&lt;&gt;H33)*(I$3:I$133="P")),-1*SUMPRODUCT((P$3:P$133="")*(O$3:O$133="")*(N$3:N$133="")*(M$3:M$133="P")*(G$3:G$133=G33)*(J$3:J$133&gt;J33)*(H$3:H$133="L5")*(I$3:I$133="P")))+1,"")))))</f>
        <v/>
      </c>
      <c r="B33" s="1" t="str" cm="1">
        <f t="array" ref="B33">IF(P33&lt;&gt;"",SUMPRODUCT((P$3:P$133&lt;&gt;"")*(G$3:G$133=G33)*(J$3:J$133&gt;J33))+1,IF(O33&lt;&gt;"",SUMPRODUCT((O$3:O$133&lt;&gt;"")*(P$3:P$133="")*(G$3:G$133=G33)*(J$3:J$133&gt;J33))+SUMPRODUCT((P$3:P$133&lt;&gt;"")*(G$3:G$133=G33))+1,IF(N33&lt;&gt;"",SUMPRODUCT((N$3:N$133&lt;&gt;"")*(G$3:G$133=G33)*(J$3:J$133&gt;J33))+1,IF(M33="P",SUMPRODUCT((O$3:O$133&lt;&gt;"")*(P$3:P$133="")*(G$3:G$133=G33))+SUMPRODUCT((P$3:P$133&lt;&gt;"")*(G$3:G$133=G33))+SUMPRODUCT((N$3:N$133&lt;&gt;"")*(G$3:G$133=G33))+SUMPRODUCT((P$3:P$133="")*(O$3:O$133="")*(N$3:N$133="")*(M$3:M$133="P")*(G$3:G$133=G33)*(J$3:J$133&gt;J33))+IF(H33="L5",SUMPRODUCT((P$3:P$133="")*(O$3:O$133="")*(N$3:N$133="")*(M$3:M$133="P")*(G$3:G$133=G33)*(J$3:J$133&lt;J33)*(H$3:H$133&lt;&gt;H33)),-1*SUMPRODUCT((P$3:P$133="")*(O$3:O$133="")*(N$3:N$133="")*(M$3:M$133="P")*(G$3:G$133=G33)*(J$3:J$133&gt;J33)*(H$3:H$133="L5")))+1,""))))</f>
        <v/>
      </c>
      <c r="C33" s="36" t="s">
        <v>445</v>
      </c>
      <c r="D33" s="36" t="str">
        <f>IF(E33="","",VLOOKUP(E33,'Coaching Points'!A:B,2,0))</f>
        <v>QC</v>
      </c>
      <c r="E33" s="36" t="s">
        <v>202</v>
      </c>
      <c r="F33" s="35">
        <v>2004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66</v>
      </c>
      <c r="I33" s="43"/>
      <c r="J33" s="4">
        <f>R33+S33+IF(OR(H33="Junior",H33="Senior"),0.0002,IF(OR(H33="L7",H33="L6"),0.0001,0))+IF(G33="17-21",MAX(AA33,AC33,AF33),AE33)*0.0000001</f>
        <v>90.170004539000004</v>
      </c>
      <c r="K33" s="3" t="str">
        <f>IF(G33="Not Age Eligible","",IF(G33="17-21",IF(MAX(T33,V33,Y33,AA33,AC33,AF33)&gt;=LOOKUP(G33,'Qualifying Scores'!$A$4:$A$7,'Qualifying Scores'!$C$4:$C$7),"P",""),IF(MAX(X33-U33,AE33-AB33)&gt;=LOOKUP(G33,'Qualifying Scores'!$A$4:$A$7,'Qualifying Scores'!$C$4:$C$7),"P","")))</f>
        <v/>
      </c>
      <c r="L33" s="3" t="str">
        <f>IF(G33="Not Age Eligible","",IF(G33="17-21",IF(MAX(U33,W33,Z33,AB33,AD33,AG33)&gt;=LOOKUP(G33,'Qualifying Scores'!$A$10:$A$13,'Qualifying Scores'!$C$10:$C$13),"P",""),IF(MAX(W33,AD33)&gt;=LOOKUP(G33,'Qualifying Scores'!$A$10:$A$13,'Qualifying Scores'!$C$10:$C$13),"P","")))</f>
        <v/>
      </c>
      <c r="M33" s="3" t="str">
        <f>IF(G33="Not Age Eligible","",IF(G33="17-21",IF(OR(AND(T33&gt;=LOOKUP(G33,'Qualifying Scores'!$A$4:$A$7,'Qualifying Scores'!$C$4:$C$7),U33&gt;=LOOKUP(G33,'Qualifying Scores'!$A$10:$A$13,'Qualifying Scores'!$C$10:$C$13)),AND(V33&gt;=LOOKUP(G33,'Qualifying Scores'!$A$4:$A$7,'Qualifying Scores'!$C$4:$C$7),W33&gt;=LOOKUP(G33,'Qualifying Scores'!$A$10:$A$13,'Qualifying Scores'!$C$10:$C$13)),AND(Y33&gt;=LOOKUP(G33,'Qualifying Scores'!$A$4:$A$7,'Qualifying Scores'!$C$4:$C$7),Z33&gt;=LOOKUP(G33,'Qualifying Scores'!$A$10:$A$13,'Qualifying Scores'!$C$10:$C$13)),AND(AA33&gt;=LOOKUP(G33,'Qualifying Scores'!$A$4:$A$7,'Qualifying Scores'!$C$4:$C$7),AB33&gt;=LOOKUP(G33,'Qualifying Scores'!$A$10:$A$13,'Qualifying Scores'!$C$10:$C$13)),AND(AC33&gt;=LOOKUP(G33,'Qualifying Scores'!$A$4:$A$7,'Qualifying Scores'!$C$4:$C$7),AD33&gt;=LOOKUP(G33,'Qualifying Scores'!$A$10:$A$13,'Qualifying Scores'!$C$10:$C$13)),AND(AF33&gt;=LOOKUP(G33,'Qualifying Scores'!$A$4:$A$7,'Qualifying Scores'!$C$4:$C$7),AG33&gt;=LOOKUP(G33,'Qualifying Scores'!$A$10:$A$13,'Qualifying Scores'!$C$10:$C$13))),"P",""),IF(OR(AND(X33-U33&gt;=LOOKUP(G33,'Qualifying Scores'!$A$4:$A$7,'Qualifying Scores'!$C$4:$C$7),W33&gt;=LOOKUP(G33,'Qualifying Scores'!$A$10:$A$13,'Qualifying Scores'!$C$10:$C$13)),AND(AE33-AB33&gt;=LOOKUP(G33,'Qualifying Scores'!$A$4:$A$7,'Qualifying Scores'!$C$4:$C$7),AD33&gt;=LOOKUP(G33,'Qualifying Scores'!$A$10:$A$13,'Qualifying Scores'!$C$10:$C$13))),"P","")))</f>
        <v/>
      </c>
      <c r="Q33" s="1" t="str">
        <f>IF(A33&lt;5,IF(_xlfn.MAXIFS(A:A,G:G,G33)&gt;3,5-A33,_xlfn.MAXIFS(A:A,G:G,G33)+1-A33),"")</f>
        <v/>
      </c>
      <c r="R33" s="4">
        <f>IF(G33="17-21",MAX(T33,V33,Y33,AA33,AC33,AF33),MAX(X33,AE33))</f>
        <v>45.39</v>
      </c>
      <c r="S33" s="4">
        <f>IF(G33="17-21",LARGE(CHOOSE({1,2,3,4,5,6},T33,V33,Y33,AA33,AC33,AF33),2),IF(R33=X33,MAX(Y33,AA33,AC33,AF33),IF(R33=AE33,MAX(AF33,T33,V33,Y33),0)))</f>
        <v>44.78</v>
      </c>
      <c r="T33" s="33"/>
      <c r="U33" s="40"/>
      <c r="V33" s="34"/>
      <c r="W33" s="40"/>
      <c r="X33" s="4">
        <f>IF(H33="Senior",MAX(T33,V33),T33+V33)</f>
        <v>0</v>
      </c>
      <c r="Y33" s="34"/>
      <c r="Z33" s="40"/>
      <c r="AA33" s="33">
        <v>39.799999999999997</v>
      </c>
      <c r="AB33" s="40">
        <v>0</v>
      </c>
      <c r="AC33" s="34">
        <v>44.78</v>
      </c>
      <c r="AD33" s="40">
        <v>7.2</v>
      </c>
      <c r="AE33" s="4">
        <f>IF(H33="Senior",MAX(AA33,AC33),AA33+AC33)</f>
        <v>84.58</v>
      </c>
      <c r="AF33" s="34">
        <v>45.39</v>
      </c>
      <c r="AG33" s="37">
        <v>7.2</v>
      </c>
    </row>
    <row r="34" spans="1:33" x14ac:dyDescent="0.2">
      <c r="A34" s="1" t="str" cm="1">
        <f t="array" ref="A34">IF(I34="","",IF(P34&lt;&gt;"",SUMPRODUCT((P$3:P$133&lt;&gt;"")*(G$3:G$133=G34)*(J$3:J$133&gt;J34)*(I$3:I$133="P"))+1,IF(O34&lt;&gt;"",SUMPRODUCT((O$3:O$133&lt;&gt;"")*(P$3:P$133="")*(G$3:G$133=G34)*(J$3:J$133&gt;J34)*(I$3:I$133="P"))+SUMPRODUCT((P$3:P$133&lt;&gt;"")*(G$3:G$133=G34)*(I$3:I$133="P"))+1,IF(N34&lt;&gt;"",SUMPRODUCT((N$3:N$133&lt;&gt;"")*(G$3:G$133=G34)*(J$3:J$133&gt;J34)*(I$3:I$133="P"))+1,IF(M34="P",SUMPRODUCT((O$3:O$133&lt;&gt;"")*(P$3:P$133="")*(G$3:G$133=G34)*(I$3:I$133="P"))+SUMPRODUCT((P$3:P$133&lt;&gt;"")*(G$3:G$133=G34)*(I$3:I$133="P"))+SUMPRODUCT((N$3:N$133&lt;&gt;"")*(G$3:G$133=G34)*(I$3:I$133="P"))+SUMPRODUCT((P$3:P$133="")*(O$3:O$133="")*(N$3:N$133="")*(M$3:M$133="P")*(G$3:G$133=G34)*(J$3:J$133&gt;J34)*(I$3:I$133="P"))+IF(H34="L5",SUMPRODUCT((P$3:P$133="")*(O$3:O$133="")*(N$3:N$133="")*(M$3:M$133="P")*(G$3:G$133=G34)*(J$3:J$133&lt;J34)*(H$3:H$133&lt;&gt;H34)*(I$3:I$133="P")),-1*SUMPRODUCT((P$3:P$133="")*(O$3:O$133="")*(N$3:N$133="")*(M$3:M$133="P")*(G$3:G$133=G34)*(J$3:J$133&gt;J34)*(H$3:H$133="L5")*(I$3:I$133="P")))+1,"")))))</f>
        <v/>
      </c>
      <c r="B34" s="1" t="str" cm="1">
        <f t="array" ref="B34">IF(P34&lt;&gt;"",SUMPRODUCT((P$3:P$133&lt;&gt;"")*(G$3:G$133=G34)*(J$3:J$133&gt;J34))+1,IF(O34&lt;&gt;"",SUMPRODUCT((O$3:O$133&lt;&gt;"")*(P$3:P$133="")*(G$3:G$133=G34)*(J$3:J$133&gt;J34))+SUMPRODUCT((P$3:P$133&lt;&gt;"")*(G$3:G$133=G34))+1,IF(N34&lt;&gt;"",SUMPRODUCT((N$3:N$133&lt;&gt;"")*(G$3:G$133=G34)*(J$3:J$133&gt;J34))+1,IF(M34="P",SUMPRODUCT((O$3:O$133&lt;&gt;"")*(P$3:P$133="")*(G$3:G$133=G34))+SUMPRODUCT((P$3:P$133&lt;&gt;"")*(G$3:G$133=G34))+SUMPRODUCT((N$3:N$133&lt;&gt;"")*(G$3:G$133=G34))+SUMPRODUCT((P$3:P$133="")*(O$3:O$133="")*(N$3:N$133="")*(M$3:M$133="P")*(G$3:G$133=G34)*(J$3:J$133&gt;J34))+IF(H34="L5",SUMPRODUCT((P$3:P$133="")*(O$3:O$133="")*(N$3:N$133="")*(M$3:M$133="P")*(G$3:G$133=G34)*(J$3:J$133&lt;J34)*(H$3:H$133&lt;&gt;H34)),-1*SUMPRODUCT((P$3:P$133="")*(O$3:O$133="")*(N$3:N$133="")*(M$3:M$133="P")*(G$3:G$133=G34)*(J$3:J$133&gt;J34)*(H$3:H$133="L5")))+1,""))))</f>
        <v/>
      </c>
      <c r="C34" s="36" t="s">
        <v>136</v>
      </c>
      <c r="D34" s="36" t="str">
        <f>IF(E34="","",VLOOKUP(E34,'Coaching Points'!A:B,2,0))</f>
        <v>QC</v>
      </c>
      <c r="E34" s="36" t="s">
        <v>3</v>
      </c>
      <c r="F34" s="35">
        <v>2004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66</v>
      </c>
      <c r="I34" s="43"/>
      <c r="J34" s="4">
        <f>R34+S34+IF(OR(H34="Junior",H34="Senior"),0.0002,IF(OR(H34="L7",H34="L6"),0.0001,0))+IF(G34="17-21",MAX(AA34,AC34,AF34),AE34)*0.0000001</f>
        <v>90.100004441999999</v>
      </c>
      <c r="K34" s="3" t="str">
        <f>IF(G34="Not Age Eligible","",IF(G34="17-21",IF(MAX(T34,V34,Y34,AA34,AC34,AF34)&gt;=LOOKUP(G34,'Qualifying Scores'!$A$4:$A$7,'Qualifying Scores'!$C$4:$C$7),"P",""),IF(MAX(X34-U34,AE34-AB34)&gt;=LOOKUP(G34,'Qualifying Scores'!$A$4:$A$7,'Qualifying Scores'!$C$4:$C$7),"P","")))</f>
        <v/>
      </c>
      <c r="L34" s="3" t="str">
        <f>IF(G34="Not Age Eligible","",IF(G34="17-21",IF(MAX(U34,W34,Z34,AB34,AD34,AG34)&gt;=LOOKUP(G34,'Qualifying Scores'!$A$10:$A$13,'Qualifying Scores'!$C$10:$C$13),"P",""),IF(MAX(W34,AD34)&gt;=LOOKUP(G34,'Qualifying Scores'!$A$10:$A$13,'Qualifying Scores'!$C$10:$C$13),"P","")))</f>
        <v/>
      </c>
      <c r="M34" s="3" t="str">
        <f>IF(G34="Not Age Eligible","",IF(G34="17-21",IF(OR(AND(T34&gt;=LOOKUP(G34,'Qualifying Scores'!$A$4:$A$7,'Qualifying Scores'!$C$4:$C$7),U34&gt;=LOOKUP(G34,'Qualifying Scores'!$A$10:$A$13,'Qualifying Scores'!$C$10:$C$13)),AND(V34&gt;=LOOKUP(G34,'Qualifying Scores'!$A$4:$A$7,'Qualifying Scores'!$C$4:$C$7),W34&gt;=LOOKUP(G34,'Qualifying Scores'!$A$10:$A$13,'Qualifying Scores'!$C$10:$C$13)),AND(Y34&gt;=LOOKUP(G34,'Qualifying Scores'!$A$4:$A$7,'Qualifying Scores'!$C$4:$C$7),Z34&gt;=LOOKUP(G34,'Qualifying Scores'!$A$10:$A$13,'Qualifying Scores'!$C$10:$C$13)),AND(AA34&gt;=LOOKUP(G34,'Qualifying Scores'!$A$4:$A$7,'Qualifying Scores'!$C$4:$C$7),AB34&gt;=LOOKUP(G34,'Qualifying Scores'!$A$10:$A$13,'Qualifying Scores'!$C$10:$C$13)),AND(AC34&gt;=LOOKUP(G34,'Qualifying Scores'!$A$4:$A$7,'Qualifying Scores'!$C$4:$C$7),AD34&gt;=LOOKUP(G34,'Qualifying Scores'!$A$10:$A$13,'Qualifying Scores'!$C$10:$C$13)),AND(AF34&gt;=LOOKUP(G34,'Qualifying Scores'!$A$4:$A$7,'Qualifying Scores'!$C$4:$C$7),AG34&gt;=LOOKUP(G34,'Qualifying Scores'!$A$10:$A$13,'Qualifying Scores'!$C$10:$C$13))),"P",""),IF(OR(AND(X34-U34&gt;=LOOKUP(G34,'Qualifying Scores'!$A$4:$A$7,'Qualifying Scores'!$C$4:$C$7),W34&gt;=LOOKUP(G34,'Qualifying Scores'!$A$10:$A$13,'Qualifying Scores'!$C$10:$C$13)),AND(AE34-AB34&gt;=LOOKUP(G34,'Qualifying Scores'!$A$4:$A$7,'Qualifying Scores'!$C$4:$C$7),AD34&gt;=LOOKUP(G34,'Qualifying Scores'!$A$10:$A$13,'Qualifying Scores'!$C$10:$C$13))),"P","")))</f>
        <v/>
      </c>
      <c r="Q34" s="1" t="str">
        <f>IF(A34&lt;5,IF(_xlfn.MAXIFS(A:A,G:G,G34)&gt;3,5-A34,_xlfn.MAXIFS(A:A,G:G,G34)+1-A34),"")</f>
        <v/>
      </c>
      <c r="R34" s="4">
        <f>IF(G34="17-21",MAX(T34,V34,Y34,AA34,AC34,AF34),MAX(X34,AE34))</f>
        <v>45.16</v>
      </c>
      <c r="S34" s="4">
        <f>IF(G34="17-21",LARGE(CHOOSE({1,2,3,4,5,6},T34,V34,Y34,AA34,AC34,AF34),2),IF(R34=X34,MAX(Y34,AA34,AC34,AF34),IF(R34=AE34,MAX(AF34,T34,V34,Y34),0)))</f>
        <v>44.94</v>
      </c>
      <c r="T34" s="33">
        <v>38.5</v>
      </c>
      <c r="U34" s="40">
        <v>0</v>
      </c>
      <c r="V34" s="34">
        <v>45.16</v>
      </c>
      <c r="W34" s="40">
        <v>7.7</v>
      </c>
      <c r="X34" s="4">
        <f>IF(H34="Senior",MAX(T34,V34),T34+V34)</f>
        <v>83.66</v>
      </c>
      <c r="Y34" s="34">
        <v>44.94</v>
      </c>
      <c r="Z34" s="40">
        <v>7.7</v>
      </c>
      <c r="AA34" s="33">
        <v>38.58</v>
      </c>
      <c r="AB34" s="40">
        <v>0</v>
      </c>
      <c r="AC34" s="34">
        <v>44.42</v>
      </c>
      <c r="AD34" s="40">
        <v>7.7</v>
      </c>
      <c r="AE34" s="4">
        <f>IF(H34="Senior",MAX(AA34,AC34),AA34+AC34)</f>
        <v>83</v>
      </c>
      <c r="AF34" s="34"/>
      <c r="AG34" s="37"/>
    </row>
    <row r="35" spans="1:33" x14ac:dyDescent="0.2">
      <c r="A35" s="1" t="str" cm="1">
        <f t="array" ref="A35">IF(I35="","",IF(P35&lt;&gt;"",SUMPRODUCT((P$3:P$133&lt;&gt;"")*(G$3:G$133=G35)*(J$3:J$133&gt;J35)*(I$3:I$133="P"))+1,IF(O35&lt;&gt;"",SUMPRODUCT((O$3:O$133&lt;&gt;"")*(P$3:P$133="")*(G$3:G$133=G35)*(J$3:J$133&gt;J35)*(I$3:I$133="P"))+SUMPRODUCT((P$3:P$133&lt;&gt;"")*(G$3:G$133=G35)*(I$3:I$133="P"))+1,IF(N35&lt;&gt;"",SUMPRODUCT((N$3:N$133&lt;&gt;"")*(G$3:G$133=G35)*(J$3:J$133&gt;J35)*(I$3:I$133="P"))+1,IF(M35="P",SUMPRODUCT((O$3:O$133&lt;&gt;"")*(P$3:P$133="")*(G$3:G$133=G35)*(I$3:I$133="P"))+SUMPRODUCT((P$3:P$133&lt;&gt;"")*(G$3:G$133=G35)*(I$3:I$133="P"))+SUMPRODUCT((N$3:N$133&lt;&gt;"")*(G$3:G$133=G35)*(I$3:I$133="P"))+SUMPRODUCT((P$3:P$133="")*(O$3:O$133="")*(N$3:N$133="")*(M$3:M$133="P")*(G$3:G$133=G35)*(J$3:J$133&gt;J35)*(I$3:I$133="P"))+IF(H35="L5",SUMPRODUCT((P$3:P$133="")*(O$3:O$133="")*(N$3:N$133="")*(M$3:M$133="P")*(G$3:G$133=G35)*(J$3:J$133&lt;J35)*(H$3:H$133&lt;&gt;H35)*(I$3:I$133="P")),-1*SUMPRODUCT((P$3:P$133="")*(O$3:O$133="")*(N$3:N$133="")*(M$3:M$133="P")*(G$3:G$133=G35)*(J$3:J$133&gt;J35)*(H$3:H$133="L5")*(I$3:I$133="P")))+1,"")))))</f>
        <v/>
      </c>
      <c r="B35" s="1" t="str" cm="1">
        <f t="array" ref="B35">IF(P35&lt;&gt;"",SUMPRODUCT((P$3:P$133&lt;&gt;"")*(G$3:G$133=G35)*(J$3:J$133&gt;J35))+1,IF(O35&lt;&gt;"",SUMPRODUCT((O$3:O$133&lt;&gt;"")*(P$3:P$133="")*(G$3:G$133=G35)*(J$3:J$133&gt;J35))+SUMPRODUCT((P$3:P$133&lt;&gt;"")*(G$3:G$133=G35))+1,IF(N35&lt;&gt;"",SUMPRODUCT((N$3:N$133&lt;&gt;"")*(G$3:G$133=G35)*(J$3:J$133&gt;J35))+1,IF(M35="P",SUMPRODUCT((O$3:O$133&lt;&gt;"")*(P$3:P$133="")*(G$3:G$133=G35))+SUMPRODUCT((P$3:P$133&lt;&gt;"")*(G$3:G$133=G35))+SUMPRODUCT((N$3:N$133&lt;&gt;"")*(G$3:G$133=G35))+SUMPRODUCT((P$3:P$133="")*(O$3:O$133="")*(N$3:N$133="")*(M$3:M$133="P")*(G$3:G$133=G35)*(J$3:J$133&gt;J35))+IF(H35="L5",SUMPRODUCT((P$3:P$133="")*(O$3:O$133="")*(N$3:N$133="")*(M$3:M$133="P")*(G$3:G$133=G35)*(J$3:J$133&lt;J35)*(H$3:H$133&lt;&gt;H35)),-1*SUMPRODUCT((P$3:P$133="")*(O$3:O$133="")*(N$3:N$133="")*(M$3:M$133="P")*(G$3:G$133=G35)*(J$3:J$133&gt;J35)*(H$3:H$133="L5")))+1,""))))</f>
        <v/>
      </c>
      <c r="C35" s="36" t="s">
        <v>297</v>
      </c>
      <c r="D35" s="36" t="str">
        <f>IF(E35="","",VLOOKUP(E35,'Coaching Points'!A:B,2,0))</f>
        <v>QC</v>
      </c>
      <c r="E35" s="36" t="s">
        <v>202</v>
      </c>
      <c r="F35" s="35">
        <v>2005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66</v>
      </c>
      <c r="I35" s="43"/>
      <c r="J35" s="4">
        <f>R35+S35+IF(OR(H35="Junior",H35="Senior"),0.0002,IF(OR(H35="L7",H35="L6"),0.0001,0))+IF(G35="17-21",MAX(AA35,AC35,AF35),AE35)*0.0000001</f>
        <v>89.650004430999999</v>
      </c>
      <c r="K35" s="3" t="str">
        <f>IF(G35="Not Age Eligible","",IF(G35="17-21",IF(MAX(T35,V35,Y35,AA35,AC35,AF35)&gt;=LOOKUP(G35,'Qualifying Scores'!$A$4:$A$7,'Qualifying Scores'!$C$4:$C$7),"P",""),IF(MAX(X35-U35,AE35-AB35)&gt;=LOOKUP(G35,'Qualifying Scores'!$A$4:$A$7,'Qualifying Scores'!$C$4:$C$7),"P","")))</f>
        <v/>
      </c>
      <c r="L35" s="3" t="str">
        <f>IF(G35="Not Age Eligible","",IF(G35="17-21",IF(MAX(U35,W35,Z35,AB35,AD35,AG35)&gt;=LOOKUP(G35,'Qualifying Scores'!$A$10:$A$13,'Qualifying Scores'!$C$10:$C$13),"P",""),IF(MAX(W35,AD35)&gt;=LOOKUP(G35,'Qualifying Scores'!$A$10:$A$13,'Qualifying Scores'!$C$10:$C$13),"P","")))</f>
        <v/>
      </c>
      <c r="M35" s="3" t="str">
        <f>IF(G35="Not Age Eligible","",IF(G35="17-21",IF(OR(AND(T35&gt;=LOOKUP(G35,'Qualifying Scores'!$A$4:$A$7,'Qualifying Scores'!$C$4:$C$7),U35&gt;=LOOKUP(G35,'Qualifying Scores'!$A$10:$A$13,'Qualifying Scores'!$C$10:$C$13)),AND(V35&gt;=LOOKUP(G35,'Qualifying Scores'!$A$4:$A$7,'Qualifying Scores'!$C$4:$C$7),W35&gt;=LOOKUP(G35,'Qualifying Scores'!$A$10:$A$13,'Qualifying Scores'!$C$10:$C$13)),AND(Y35&gt;=LOOKUP(G35,'Qualifying Scores'!$A$4:$A$7,'Qualifying Scores'!$C$4:$C$7),Z35&gt;=LOOKUP(G35,'Qualifying Scores'!$A$10:$A$13,'Qualifying Scores'!$C$10:$C$13)),AND(AA35&gt;=LOOKUP(G35,'Qualifying Scores'!$A$4:$A$7,'Qualifying Scores'!$C$4:$C$7),AB35&gt;=LOOKUP(G35,'Qualifying Scores'!$A$10:$A$13,'Qualifying Scores'!$C$10:$C$13)),AND(AC35&gt;=LOOKUP(G35,'Qualifying Scores'!$A$4:$A$7,'Qualifying Scores'!$C$4:$C$7),AD35&gt;=LOOKUP(G35,'Qualifying Scores'!$A$10:$A$13,'Qualifying Scores'!$C$10:$C$13)),AND(AF35&gt;=LOOKUP(G35,'Qualifying Scores'!$A$4:$A$7,'Qualifying Scores'!$C$4:$C$7),AG35&gt;=LOOKUP(G35,'Qualifying Scores'!$A$10:$A$13,'Qualifying Scores'!$C$10:$C$13))),"P",""),IF(OR(AND(X35-U35&gt;=LOOKUP(G35,'Qualifying Scores'!$A$4:$A$7,'Qualifying Scores'!$C$4:$C$7),W35&gt;=LOOKUP(G35,'Qualifying Scores'!$A$10:$A$13,'Qualifying Scores'!$C$10:$C$13)),AND(AE35-AB35&gt;=LOOKUP(G35,'Qualifying Scores'!$A$4:$A$7,'Qualifying Scores'!$C$4:$C$7),AD35&gt;=LOOKUP(G35,'Qualifying Scores'!$A$10:$A$13,'Qualifying Scores'!$C$10:$C$13))),"P","")))</f>
        <v/>
      </c>
      <c r="Q35" s="1" t="str">
        <f>IF(A35&lt;5,IF(_xlfn.MAXIFS(A:A,G:G,G35)&gt;3,5-A35,_xlfn.MAXIFS(A:A,G:G,G35)+1-A35),"")</f>
        <v/>
      </c>
      <c r="R35" s="4">
        <f>IF(G35="17-21",MAX(T35,V35,Y35,AA35,AC35,AF35),MAX(X35,AE35))</f>
        <v>45.34</v>
      </c>
      <c r="S35" s="4">
        <f>IF(G35="17-21",LARGE(CHOOSE({1,2,3,4,5,6},T35,V35,Y35,AA35,AC35,AF35),2),IF(R35=X35,MAX(Y35,AA35,AC35,AF35),IF(R35=AE35,MAX(AF35,T35,V35,Y35),0)))</f>
        <v>44.31</v>
      </c>
      <c r="T35" s="33">
        <v>35.53</v>
      </c>
      <c r="U35" s="40">
        <v>0</v>
      </c>
      <c r="V35" s="34">
        <v>45.34</v>
      </c>
      <c r="W35" s="40">
        <v>7.1</v>
      </c>
      <c r="X35" s="4">
        <f>IF(H35="Senior",MAX(T35,V35),T35+V35)</f>
        <v>80.87</v>
      </c>
      <c r="Y35" s="34"/>
      <c r="Z35" s="40"/>
      <c r="AA35" s="33">
        <v>33.840000000000003</v>
      </c>
      <c r="AB35" s="40">
        <v>0</v>
      </c>
      <c r="AC35" s="34">
        <v>44.31</v>
      </c>
      <c r="AD35" s="40">
        <v>7.1</v>
      </c>
      <c r="AE35" s="4">
        <f>IF(H35="Senior",MAX(AA35,AC35),AA35+AC35)</f>
        <v>78.150000000000006</v>
      </c>
      <c r="AF35" s="34"/>
      <c r="AG35" s="37"/>
    </row>
    <row r="36" spans="1:33" x14ac:dyDescent="0.2">
      <c r="A36" s="1" t="str" cm="1">
        <f t="array" ref="A36">IF(I36="","",IF(P36&lt;&gt;"",SUMPRODUCT((P$3:P$133&lt;&gt;"")*(G$3:G$133=G36)*(J$3:J$133&gt;J36)*(I$3:I$133="P"))+1,IF(O36&lt;&gt;"",SUMPRODUCT((O$3:O$133&lt;&gt;"")*(P$3:P$133="")*(G$3:G$133=G36)*(J$3:J$133&gt;J36)*(I$3:I$133="P"))+SUMPRODUCT((P$3:P$133&lt;&gt;"")*(G$3:G$133=G36)*(I$3:I$133="P"))+1,IF(N36&lt;&gt;"",SUMPRODUCT((N$3:N$133&lt;&gt;"")*(G$3:G$133=G36)*(J$3:J$133&gt;J36)*(I$3:I$133="P"))+1,IF(M36="P",SUMPRODUCT((O$3:O$133&lt;&gt;"")*(P$3:P$133="")*(G$3:G$133=G36)*(I$3:I$133="P"))+SUMPRODUCT((P$3:P$133&lt;&gt;"")*(G$3:G$133=G36)*(I$3:I$133="P"))+SUMPRODUCT((N$3:N$133&lt;&gt;"")*(G$3:G$133=G36)*(I$3:I$133="P"))+SUMPRODUCT((P$3:P$133="")*(O$3:O$133="")*(N$3:N$133="")*(M$3:M$133="P")*(G$3:G$133=G36)*(J$3:J$133&gt;J36)*(I$3:I$133="P"))+IF(H36="L5",SUMPRODUCT((P$3:P$133="")*(O$3:O$133="")*(N$3:N$133="")*(M$3:M$133="P")*(G$3:G$133=G36)*(J$3:J$133&lt;J36)*(H$3:H$133&lt;&gt;H36)*(I$3:I$133="P")),-1*SUMPRODUCT((P$3:P$133="")*(O$3:O$133="")*(N$3:N$133="")*(M$3:M$133="P")*(G$3:G$133=G36)*(J$3:J$133&gt;J36)*(H$3:H$133="L5")*(I$3:I$133="P")))+1,"")))))</f>
        <v/>
      </c>
      <c r="B36" s="1" t="str" cm="1">
        <f t="array" ref="B36">IF(P36&lt;&gt;"",SUMPRODUCT((P$3:P$133&lt;&gt;"")*(G$3:G$133=G36)*(J$3:J$133&gt;J36))+1,IF(O36&lt;&gt;"",SUMPRODUCT((O$3:O$133&lt;&gt;"")*(P$3:P$133="")*(G$3:G$133=G36)*(J$3:J$133&gt;J36))+SUMPRODUCT((P$3:P$133&lt;&gt;"")*(G$3:G$133=G36))+1,IF(N36&lt;&gt;"",SUMPRODUCT((N$3:N$133&lt;&gt;"")*(G$3:G$133=G36)*(J$3:J$133&gt;J36))+1,IF(M36="P",SUMPRODUCT((O$3:O$133&lt;&gt;"")*(P$3:P$133="")*(G$3:G$133=G36))+SUMPRODUCT((P$3:P$133&lt;&gt;"")*(G$3:G$133=G36))+SUMPRODUCT((N$3:N$133&lt;&gt;"")*(G$3:G$133=G36))+SUMPRODUCT((P$3:P$133="")*(O$3:O$133="")*(N$3:N$133="")*(M$3:M$133="P")*(G$3:G$133=G36)*(J$3:J$133&gt;J36))+IF(H36="L5",SUMPRODUCT((P$3:P$133="")*(O$3:O$133="")*(N$3:N$133="")*(M$3:M$133="P")*(G$3:G$133=G36)*(J$3:J$133&lt;J36)*(H$3:H$133&lt;&gt;H36)),-1*SUMPRODUCT((P$3:P$133="")*(O$3:O$133="")*(N$3:N$133="")*(M$3:M$133="P")*(G$3:G$133=G36)*(J$3:J$133&gt;J36)*(H$3:H$133="L5")))+1,""))))</f>
        <v/>
      </c>
      <c r="C36" s="36" t="s">
        <v>157</v>
      </c>
      <c r="D36" s="36" t="str">
        <f>IF(E36="","",VLOOKUP(E36,'Coaching Points'!A:B,2,0))</f>
        <v>AB</v>
      </c>
      <c r="E36" s="36" t="s">
        <v>29</v>
      </c>
      <c r="F36" s="35">
        <v>2004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68</v>
      </c>
      <c r="I36" s="43"/>
      <c r="J36" s="4">
        <f>R36+S36+IF(OR(H36="Junior",H36="Senior"),0.0002,IF(OR(H36="L7",H36="L6"),0.0001,0))+IF(G36="17-21",MAX(AA36,AC36,AF36),AE36)*0.0000001</f>
        <v>89.480104609000009</v>
      </c>
      <c r="K36" s="3" t="str">
        <f>IF(G36="Not Age Eligible","",IF(G36="17-21",IF(MAX(T36,V36,Y36,AA36,AC36,AF36)&gt;=LOOKUP(G36,'Qualifying Scores'!$A$4:$A$7,'Qualifying Scores'!$C$4:$C$7),"P",""),IF(MAX(X36-U36,AE36-AB36)&gt;=LOOKUP(G36,'Qualifying Scores'!$A$4:$A$7,'Qualifying Scores'!$C$4:$C$7),"P","")))</f>
        <v/>
      </c>
      <c r="L36" s="3" t="str">
        <f>IF(G36="Not Age Eligible","",IF(G36="17-21",IF(MAX(U36,W36,Z36,AB36,AD36,AG36)&gt;=LOOKUP(G36,'Qualifying Scores'!$A$10:$A$13,'Qualifying Scores'!$C$10:$C$13),"P",""),IF(MAX(W36,AD36)&gt;=LOOKUP(G36,'Qualifying Scores'!$A$10:$A$13,'Qualifying Scores'!$C$10:$C$13),"P","")))</f>
        <v/>
      </c>
      <c r="M36" s="3" t="str">
        <f>IF(G36="Not Age Eligible","",IF(G36="17-21",IF(OR(AND(T36&gt;=LOOKUP(G36,'Qualifying Scores'!$A$4:$A$7,'Qualifying Scores'!$C$4:$C$7),U36&gt;=LOOKUP(G36,'Qualifying Scores'!$A$10:$A$13,'Qualifying Scores'!$C$10:$C$13)),AND(V36&gt;=LOOKUP(G36,'Qualifying Scores'!$A$4:$A$7,'Qualifying Scores'!$C$4:$C$7),W36&gt;=LOOKUP(G36,'Qualifying Scores'!$A$10:$A$13,'Qualifying Scores'!$C$10:$C$13)),AND(Y36&gt;=LOOKUP(G36,'Qualifying Scores'!$A$4:$A$7,'Qualifying Scores'!$C$4:$C$7),Z36&gt;=LOOKUP(G36,'Qualifying Scores'!$A$10:$A$13,'Qualifying Scores'!$C$10:$C$13)),AND(AA36&gt;=LOOKUP(G36,'Qualifying Scores'!$A$4:$A$7,'Qualifying Scores'!$C$4:$C$7),AB36&gt;=LOOKUP(G36,'Qualifying Scores'!$A$10:$A$13,'Qualifying Scores'!$C$10:$C$13)),AND(AC36&gt;=LOOKUP(G36,'Qualifying Scores'!$A$4:$A$7,'Qualifying Scores'!$C$4:$C$7),AD36&gt;=LOOKUP(G36,'Qualifying Scores'!$A$10:$A$13,'Qualifying Scores'!$C$10:$C$13)),AND(AF36&gt;=LOOKUP(G36,'Qualifying Scores'!$A$4:$A$7,'Qualifying Scores'!$C$4:$C$7),AG36&gt;=LOOKUP(G36,'Qualifying Scores'!$A$10:$A$13,'Qualifying Scores'!$C$10:$C$13))),"P",""),IF(OR(AND(X36-U36&gt;=LOOKUP(G36,'Qualifying Scores'!$A$4:$A$7,'Qualifying Scores'!$C$4:$C$7),W36&gt;=LOOKUP(G36,'Qualifying Scores'!$A$10:$A$13,'Qualifying Scores'!$C$10:$C$13)),AND(AE36-AB36&gt;=LOOKUP(G36,'Qualifying Scores'!$A$4:$A$7,'Qualifying Scores'!$C$4:$C$7),AD36&gt;=LOOKUP(G36,'Qualifying Scores'!$A$10:$A$13,'Qualifying Scores'!$C$10:$C$13))),"P","")))</f>
        <v/>
      </c>
      <c r="Q36" s="1" t="str">
        <f>IF(A36&lt;5,IF(_xlfn.MAXIFS(A:A,G:G,G36)&gt;3,5-A36,_xlfn.MAXIFS(A:A,G:G,G36)+1-A36),"")</f>
        <v/>
      </c>
      <c r="R36" s="4">
        <f>IF(G36="17-21",MAX(T36,V36,Y36,AA36,AC36,AF36),MAX(X36,AE36))</f>
        <v>46.09</v>
      </c>
      <c r="S36" s="4">
        <f>IF(G36="17-21",LARGE(CHOOSE({1,2,3,4,5,6},T36,V36,Y36,AA36,AC36,AF36),2),IF(R36=X36,MAX(Y36,AA36,AC36,AF36),IF(R36=AE36,MAX(AF36,T36,V36,Y36),0)))</f>
        <v>43.39</v>
      </c>
      <c r="T36" s="33">
        <v>39.92</v>
      </c>
      <c r="U36" s="40">
        <v>7.9</v>
      </c>
      <c r="V36" s="34">
        <v>18.920000000000002</v>
      </c>
      <c r="W36" s="40">
        <v>5</v>
      </c>
      <c r="X36" s="4">
        <f>IF(H36="Senior",MAX(T36,V36),T36+V36)</f>
        <v>58.84</v>
      </c>
      <c r="Y36" s="34"/>
      <c r="Z36" s="40"/>
      <c r="AA36" s="33">
        <v>43.39</v>
      </c>
      <c r="AB36" s="40">
        <v>9.1999999999999993</v>
      </c>
      <c r="AC36" s="34">
        <v>46.09</v>
      </c>
      <c r="AD36" s="40">
        <v>9.1999999999999993</v>
      </c>
      <c r="AE36" s="4">
        <f>IF(H36="Senior",MAX(AA36,AC36),AA36+AC36)</f>
        <v>89.48</v>
      </c>
      <c r="AF36" s="34"/>
      <c r="AG36" s="37"/>
    </row>
    <row r="37" spans="1:33" x14ac:dyDescent="0.2">
      <c r="A37" s="1" t="str" cm="1">
        <f t="array" ref="A37">IF(I37="","",IF(P37&lt;&gt;"",SUMPRODUCT((P$3:P$133&lt;&gt;"")*(G$3:G$133=G37)*(J$3:J$133&gt;J37)*(I$3:I$133="P"))+1,IF(O37&lt;&gt;"",SUMPRODUCT((O$3:O$133&lt;&gt;"")*(P$3:P$133="")*(G$3:G$133=G37)*(J$3:J$133&gt;J37)*(I$3:I$133="P"))+SUMPRODUCT((P$3:P$133&lt;&gt;"")*(G$3:G$133=G37)*(I$3:I$133="P"))+1,IF(N37&lt;&gt;"",SUMPRODUCT((N$3:N$133&lt;&gt;"")*(G$3:G$133=G37)*(J$3:J$133&gt;J37)*(I$3:I$133="P"))+1,IF(M37="P",SUMPRODUCT((O$3:O$133&lt;&gt;"")*(P$3:P$133="")*(G$3:G$133=G37)*(I$3:I$133="P"))+SUMPRODUCT((P$3:P$133&lt;&gt;"")*(G$3:G$133=G37)*(I$3:I$133="P"))+SUMPRODUCT((N$3:N$133&lt;&gt;"")*(G$3:G$133=G37)*(I$3:I$133="P"))+SUMPRODUCT((P$3:P$133="")*(O$3:O$133="")*(N$3:N$133="")*(M$3:M$133="P")*(G$3:G$133=G37)*(J$3:J$133&gt;J37)*(I$3:I$133="P"))+IF(H37="L5",SUMPRODUCT((P$3:P$133="")*(O$3:O$133="")*(N$3:N$133="")*(M$3:M$133="P")*(G$3:G$133=G37)*(J$3:J$133&lt;J37)*(H$3:H$133&lt;&gt;H37)*(I$3:I$133="P")),-1*SUMPRODUCT((P$3:P$133="")*(O$3:O$133="")*(N$3:N$133="")*(M$3:M$133="P")*(G$3:G$133=G37)*(J$3:J$133&gt;J37)*(H$3:H$133="L5")*(I$3:I$133="P")))+1,"")))))</f>
        <v/>
      </c>
      <c r="B37" s="1" t="str" cm="1">
        <f t="array" ref="B37">IF(P37&lt;&gt;"",SUMPRODUCT((P$3:P$133&lt;&gt;"")*(G$3:G$133=G37)*(J$3:J$133&gt;J37))+1,IF(O37&lt;&gt;"",SUMPRODUCT((O$3:O$133&lt;&gt;"")*(P$3:P$133="")*(G$3:G$133=G37)*(J$3:J$133&gt;J37))+SUMPRODUCT((P$3:P$133&lt;&gt;"")*(G$3:G$133=G37))+1,IF(N37&lt;&gt;"",SUMPRODUCT((N$3:N$133&lt;&gt;"")*(G$3:G$133=G37)*(J$3:J$133&gt;J37))+1,IF(M37="P",SUMPRODUCT((O$3:O$133&lt;&gt;"")*(P$3:P$133="")*(G$3:G$133=G37))+SUMPRODUCT((P$3:P$133&lt;&gt;"")*(G$3:G$133=G37))+SUMPRODUCT((N$3:N$133&lt;&gt;"")*(G$3:G$133=G37))+SUMPRODUCT((P$3:P$133="")*(O$3:O$133="")*(N$3:N$133="")*(M$3:M$133="P")*(G$3:G$133=G37)*(J$3:J$133&gt;J37))+IF(H37="L5",SUMPRODUCT((P$3:P$133="")*(O$3:O$133="")*(N$3:N$133="")*(M$3:M$133="P")*(G$3:G$133=G37)*(J$3:J$133&lt;J37)*(H$3:H$133&lt;&gt;H37)),-1*SUMPRODUCT((P$3:P$133="")*(O$3:O$133="")*(N$3:N$133="")*(M$3:M$133="P")*(G$3:G$133=G37)*(J$3:J$133&gt;J37)*(H$3:H$133="L5")))+1,""))))</f>
        <v/>
      </c>
      <c r="C37" s="36" t="s">
        <v>123</v>
      </c>
      <c r="D37" s="36" t="str">
        <f>IF(E37="","",VLOOKUP(E37,'Coaching Points'!A:B,2,0))</f>
        <v>SK</v>
      </c>
      <c r="E37" s="36" t="s">
        <v>60</v>
      </c>
      <c r="F37" s="35">
        <v>2006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68</v>
      </c>
      <c r="I37" s="43"/>
      <c r="J37" s="4">
        <f>R37+S37+IF(OR(H37="Junior",H37="Senior"),0.0002,IF(OR(H37="L7",H37="L6"),0.0001,0))+IF(G37="17-21",MAX(AA37,AC37,AF37),AE37)*0.0000001</f>
        <v>89.450104499000005</v>
      </c>
      <c r="K37" s="3" t="str">
        <f>IF(G37="Not Age Eligible","",IF(G37="17-21",IF(MAX(T37,V37,Y37,AA37,AC37,AF37)&gt;=LOOKUP(G37,'Qualifying Scores'!$A$4:$A$7,'Qualifying Scores'!$C$4:$C$7),"P",""),IF(MAX(X37-U37,AE37-AB37)&gt;=LOOKUP(G37,'Qualifying Scores'!$A$4:$A$7,'Qualifying Scores'!$C$4:$C$7),"P","")))</f>
        <v/>
      </c>
      <c r="L37" s="3" t="str">
        <f>IF(G37="Not Age Eligible","",IF(G37="17-21",IF(MAX(U37,W37,Z37,AB37,AD37,AG37)&gt;=LOOKUP(G37,'Qualifying Scores'!$A$10:$A$13,'Qualifying Scores'!$C$10:$C$13),"P",""),IF(MAX(W37,AD37)&gt;=LOOKUP(G37,'Qualifying Scores'!$A$10:$A$13,'Qualifying Scores'!$C$10:$C$13),"P","")))</f>
        <v/>
      </c>
      <c r="M37" s="3" t="str">
        <f>IF(G37="Not Age Eligible","",IF(G37="17-21",IF(OR(AND(T37&gt;=LOOKUP(G37,'Qualifying Scores'!$A$4:$A$7,'Qualifying Scores'!$C$4:$C$7),U37&gt;=LOOKUP(G37,'Qualifying Scores'!$A$10:$A$13,'Qualifying Scores'!$C$10:$C$13)),AND(V37&gt;=LOOKUP(G37,'Qualifying Scores'!$A$4:$A$7,'Qualifying Scores'!$C$4:$C$7),W37&gt;=LOOKUP(G37,'Qualifying Scores'!$A$10:$A$13,'Qualifying Scores'!$C$10:$C$13)),AND(Y37&gt;=LOOKUP(G37,'Qualifying Scores'!$A$4:$A$7,'Qualifying Scores'!$C$4:$C$7),Z37&gt;=LOOKUP(G37,'Qualifying Scores'!$A$10:$A$13,'Qualifying Scores'!$C$10:$C$13)),AND(AA37&gt;=LOOKUP(G37,'Qualifying Scores'!$A$4:$A$7,'Qualifying Scores'!$C$4:$C$7),AB37&gt;=LOOKUP(G37,'Qualifying Scores'!$A$10:$A$13,'Qualifying Scores'!$C$10:$C$13)),AND(AC37&gt;=LOOKUP(G37,'Qualifying Scores'!$A$4:$A$7,'Qualifying Scores'!$C$4:$C$7),AD37&gt;=LOOKUP(G37,'Qualifying Scores'!$A$10:$A$13,'Qualifying Scores'!$C$10:$C$13)),AND(AF37&gt;=LOOKUP(G37,'Qualifying Scores'!$A$4:$A$7,'Qualifying Scores'!$C$4:$C$7),AG37&gt;=LOOKUP(G37,'Qualifying Scores'!$A$10:$A$13,'Qualifying Scores'!$C$10:$C$13))),"P",""),IF(OR(AND(X37-U37&gt;=LOOKUP(G37,'Qualifying Scores'!$A$4:$A$7,'Qualifying Scores'!$C$4:$C$7),W37&gt;=LOOKUP(G37,'Qualifying Scores'!$A$10:$A$13,'Qualifying Scores'!$C$10:$C$13)),AND(AE37-AB37&gt;=LOOKUP(G37,'Qualifying Scores'!$A$4:$A$7,'Qualifying Scores'!$C$4:$C$7),AD37&gt;=LOOKUP(G37,'Qualifying Scores'!$A$10:$A$13,'Qualifying Scores'!$C$10:$C$13))),"P","")))</f>
        <v/>
      </c>
      <c r="Q37" s="1" t="str">
        <f>IF(A37&lt;5,IF(_xlfn.MAXIFS(A:A,G:G,G37)&gt;3,5-A37,_xlfn.MAXIFS(A:A,G:G,G37)+1-A37),"")</f>
        <v/>
      </c>
      <c r="R37" s="4">
        <f>IF(G37="17-21",MAX(T37,V37,Y37,AA37,AC37,AF37),MAX(X37,AE37))</f>
        <v>44.99</v>
      </c>
      <c r="S37" s="4">
        <f>IF(G37="17-21",LARGE(CHOOSE({1,2,3,4,5,6},T37,V37,Y37,AA37,AC37,AF37),2),IF(R37=X37,MAX(Y37,AA37,AC37,AF37),IF(R37=AE37,MAX(AF37,T37,V37,Y37),0)))</f>
        <v>44.46</v>
      </c>
      <c r="T37" s="33">
        <v>9.32</v>
      </c>
      <c r="U37" s="40">
        <v>2</v>
      </c>
      <c r="V37" s="34">
        <v>44.46</v>
      </c>
      <c r="W37" s="40">
        <v>9.1</v>
      </c>
      <c r="X37" s="4">
        <f>IF(H37="Senior",MAX(T37,V37),T37+V37)</f>
        <v>53.78</v>
      </c>
      <c r="Y37" s="34">
        <v>43.51</v>
      </c>
      <c r="Z37" s="40">
        <v>9.1</v>
      </c>
      <c r="AA37" s="33">
        <v>44.99</v>
      </c>
      <c r="AB37" s="40">
        <v>8.6999999999999993</v>
      </c>
      <c r="AC37" s="34">
        <v>22.67</v>
      </c>
      <c r="AD37" s="40">
        <v>4.8</v>
      </c>
      <c r="AE37" s="4">
        <f>IF(H37="Senior",MAX(AA37,AC37),AA37+AC37)</f>
        <v>67.66</v>
      </c>
      <c r="AF37" s="34"/>
      <c r="AG37" s="37"/>
    </row>
    <row r="38" spans="1:33" x14ac:dyDescent="0.2">
      <c r="A38" s="1" t="str" cm="1">
        <f t="array" ref="A38">IF(I38="","",IF(P38&lt;&gt;"",SUMPRODUCT((P$3:P$133&lt;&gt;"")*(G$3:G$133=G38)*(J$3:J$133&gt;J38)*(I$3:I$133="P"))+1,IF(O38&lt;&gt;"",SUMPRODUCT((O$3:O$133&lt;&gt;"")*(P$3:P$133="")*(G$3:G$133=G38)*(J$3:J$133&gt;J38)*(I$3:I$133="P"))+SUMPRODUCT((P$3:P$133&lt;&gt;"")*(G$3:G$133=G38)*(I$3:I$133="P"))+1,IF(N38&lt;&gt;"",SUMPRODUCT((N$3:N$133&lt;&gt;"")*(G$3:G$133=G38)*(J$3:J$133&gt;J38)*(I$3:I$133="P"))+1,IF(M38="P",SUMPRODUCT((O$3:O$133&lt;&gt;"")*(P$3:P$133="")*(G$3:G$133=G38)*(I$3:I$133="P"))+SUMPRODUCT((P$3:P$133&lt;&gt;"")*(G$3:G$133=G38)*(I$3:I$133="P"))+SUMPRODUCT((N$3:N$133&lt;&gt;"")*(G$3:G$133=G38)*(I$3:I$133="P"))+SUMPRODUCT((P$3:P$133="")*(O$3:O$133="")*(N$3:N$133="")*(M$3:M$133="P")*(G$3:G$133=G38)*(J$3:J$133&gt;J38)*(I$3:I$133="P"))+IF(H38="L5",SUMPRODUCT((P$3:P$133="")*(O$3:O$133="")*(N$3:N$133="")*(M$3:M$133="P")*(G$3:G$133=G38)*(J$3:J$133&lt;J38)*(H$3:H$133&lt;&gt;H38)*(I$3:I$133="P")),-1*SUMPRODUCT((P$3:P$133="")*(O$3:O$133="")*(N$3:N$133="")*(M$3:M$133="P")*(G$3:G$133=G38)*(J$3:J$133&gt;J38)*(H$3:H$133="L5")*(I$3:I$133="P")))+1,"")))))</f>
        <v/>
      </c>
      <c r="B38" s="1" t="str" cm="1">
        <f t="array" ref="B38">IF(P38&lt;&gt;"",SUMPRODUCT((P$3:P$133&lt;&gt;"")*(G$3:G$133=G38)*(J$3:J$133&gt;J38))+1,IF(O38&lt;&gt;"",SUMPRODUCT((O$3:O$133&lt;&gt;"")*(P$3:P$133="")*(G$3:G$133=G38)*(J$3:J$133&gt;J38))+SUMPRODUCT((P$3:P$133&lt;&gt;"")*(G$3:G$133=G38))+1,IF(N38&lt;&gt;"",SUMPRODUCT((N$3:N$133&lt;&gt;"")*(G$3:G$133=G38)*(J$3:J$133&gt;J38))+1,IF(M38="P",SUMPRODUCT((O$3:O$133&lt;&gt;"")*(P$3:P$133="")*(G$3:G$133=G38))+SUMPRODUCT((P$3:P$133&lt;&gt;"")*(G$3:G$133=G38))+SUMPRODUCT((N$3:N$133&lt;&gt;"")*(G$3:G$133=G38))+SUMPRODUCT((P$3:P$133="")*(O$3:O$133="")*(N$3:N$133="")*(M$3:M$133="P")*(G$3:G$133=G38)*(J$3:J$133&gt;J38))+IF(H38="L5",SUMPRODUCT((P$3:P$133="")*(O$3:O$133="")*(N$3:N$133="")*(M$3:M$133="P")*(G$3:G$133=G38)*(J$3:J$133&lt;J38)*(H$3:H$133&lt;&gt;H38)),-1*SUMPRODUCT((P$3:P$133="")*(O$3:O$133="")*(N$3:N$133="")*(M$3:M$133="P")*(G$3:G$133=G38)*(J$3:J$133&gt;J38)*(H$3:H$133="L5")))+1,""))))</f>
        <v/>
      </c>
      <c r="C38" s="36" t="s">
        <v>140</v>
      </c>
      <c r="D38" s="36" t="str">
        <f>IF(E38="","",VLOOKUP(E38,'Coaching Points'!A:B,2,0))</f>
        <v>QC</v>
      </c>
      <c r="E38" s="36" t="s">
        <v>59</v>
      </c>
      <c r="F38" s="35">
        <v>2005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66</v>
      </c>
      <c r="I38" s="43"/>
      <c r="J38" s="4">
        <f>R38+S38+IF(OR(H38="Junior",H38="Senior"),0.0002,IF(OR(H38="L7",H38="L6"),0.0001,0))+IF(G38="17-21",MAX(AA38,AC38,AF38),AE38)*0.0000001</f>
        <v>88.780004532999996</v>
      </c>
      <c r="K38" s="3" t="str">
        <f>IF(G38="Not Age Eligible","",IF(G38="17-21",IF(MAX(T38,V38,Y38,AA38,AC38,AF38)&gt;=LOOKUP(G38,'Qualifying Scores'!$A$4:$A$7,'Qualifying Scores'!$C$4:$C$7),"P",""),IF(MAX(X38-U38,AE38-AB38)&gt;=LOOKUP(G38,'Qualifying Scores'!$A$4:$A$7,'Qualifying Scores'!$C$4:$C$7),"P","")))</f>
        <v/>
      </c>
      <c r="L38" s="3" t="str">
        <f>IF(G38="Not Age Eligible","",IF(G38="17-21",IF(MAX(U38,W38,Z38,AB38,AD38,AG38)&gt;=LOOKUP(G38,'Qualifying Scores'!$A$10:$A$13,'Qualifying Scores'!$C$10:$C$13),"P",""),IF(MAX(W38,AD38)&gt;=LOOKUP(G38,'Qualifying Scores'!$A$10:$A$13,'Qualifying Scores'!$C$10:$C$13),"P","")))</f>
        <v/>
      </c>
      <c r="M38" s="3" t="str">
        <f>IF(G38="Not Age Eligible","",IF(G38="17-21",IF(OR(AND(T38&gt;=LOOKUP(G38,'Qualifying Scores'!$A$4:$A$7,'Qualifying Scores'!$C$4:$C$7),U38&gt;=LOOKUP(G38,'Qualifying Scores'!$A$10:$A$13,'Qualifying Scores'!$C$10:$C$13)),AND(V38&gt;=LOOKUP(G38,'Qualifying Scores'!$A$4:$A$7,'Qualifying Scores'!$C$4:$C$7),W38&gt;=LOOKUP(G38,'Qualifying Scores'!$A$10:$A$13,'Qualifying Scores'!$C$10:$C$13)),AND(Y38&gt;=LOOKUP(G38,'Qualifying Scores'!$A$4:$A$7,'Qualifying Scores'!$C$4:$C$7),Z38&gt;=LOOKUP(G38,'Qualifying Scores'!$A$10:$A$13,'Qualifying Scores'!$C$10:$C$13)),AND(AA38&gt;=LOOKUP(G38,'Qualifying Scores'!$A$4:$A$7,'Qualifying Scores'!$C$4:$C$7),AB38&gt;=LOOKUP(G38,'Qualifying Scores'!$A$10:$A$13,'Qualifying Scores'!$C$10:$C$13)),AND(AC38&gt;=LOOKUP(G38,'Qualifying Scores'!$A$4:$A$7,'Qualifying Scores'!$C$4:$C$7),AD38&gt;=LOOKUP(G38,'Qualifying Scores'!$A$10:$A$13,'Qualifying Scores'!$C$10:$C$13)),AND(AF38&gt;=LOOKUP(G38,'Qualifying Scores'!$A$4:$A$7,'Qualifying Scores'!$C$4:$C$7),AG38&gt;=LOOKUP(G38,'Qualifying Scores'!$A$10:$A$13,'Qualifying Scores'!$C$10:$C$13))),"P",""),IF(OR(AND(X38-U38&gt;=LOOKUP(G38,'Qualifying Scores'!$A$4:$A$7,'Qualifying Scores'!$C$4:$C$7),W38&gt;=LOOKUP(G38,'Qualifying Scores'!$A$10:$A$13,'Qualifying Scores'!$C$10:$C$13)),AND(AE38-AB38&gt;=LOOKUP(G38,'Qualifying Scores'!$A$4:$A$7,'Qualifying Scores'!$C$4:$C$7),AD38&gt;=LOOKUP(G38,'Qualifying Scores'!$A$10:$A$13,'Qualifying Scores'!$C$10:$C$13))),"P","")))</f>
        <v/>
      </c>
      <c r="Q38" s="1" t="str">
        <f>IF(A38&lt;5,IF(_xlfn.MAXIFS(A:A,G:G,G38)&gt;3,5-A38,_xlfn.MAXIFS(A:A,G:G,G38)+1-A38),"")</f>
        <v/>
      </c>
      <c r="R38" s="4">
        <f>IF(G38="17-21",MAX(T38,V38,Y38,AA38,AC38,AF38),MAX(X38,AE38))</f>
        <v>45.33</v>
      </c>
      <c r="S38" s="4">
        <f>IF(G38="17-21",LARGE(CHOOSE({1,2,3,4,5,6},T38,V38,Y38,AA38,AC38,AF38),2),IF(R38=X38,MAX(Y38,AA38,AC38,AF38),IF(R38=AE38,MAX(AF38,T38,V38,Y38),0)))</f>
        <v>43.45</v>
      </c>
      <c r="T38" s="33">
        <v>38.39</v>
      </c>
      <c r="U38" s="40">
        <v>0</v>
      </c>
      <c r="V38" s="34">
        <v>43.45</v>
      </c>
      <c r="W38" s="40">
        <v>7.4</v>
      </c>
      <c r="X38" s="4">
        <f>IF(H38="Senior",MAX(T38,V38),T38+V38)</f>
        <v>81.84</v>
      </c>
      <c r="Y38" s="34"/>
      <c r="Z38" s="40"/>
      <c r="AA38" s="33">
        <v>37.43</v>
      </c>
      <c r="AB38" s="40">
        <v>0</v>
      </c>
      <c r="AC38" s="34">
        <v>45.33</v>
      </c>
      <c r="AD38" s="40">
        <v>7.4</v>
      </c>
      <c r="AE38" s="4">
        <f>IF(H38="Senior",MAX(AA38,AC38),AA38+AC38)</f>
        <v>82.759999999999991</v>
      </c>
      <c r="AF38" s="34"/>
      <c r="AG38" s="37"/>
    </row>
    <row r="39" spans="1:33" x14ac:dyDescent="0.2">
      <c r="A39" s="1" t="str" cm="1">
        <f t="array" ref="A39">IF(I39="","",IF(P39&lt;&gt;"",SUMPRODUCT((P$3:P$133&lt;&gt;"")*(G$3:G$133=G39)*(J$3:J$133&gt;J39)*(I$3:I$133="P"))+1,IF(O39&lt;&gt;"",SUMPRODUCT((O$3:O$133&lt;&gt;"")*(P$3:P$133="")*(G$3:G$133=G39)*(J$3:J$133&gt;J39)*(I$3:I$133="P"))+SUMPRODUCT((P$3:P$133&lt;&gt;"")*(G$3:G$133=G39)*(I$3:I$133="P"))+1,IF(N39&lt;&gt;"",SUMPRODUCT((N$3:N$133&lt;&gt;"")*(G$3:G$133=G39)*(J$3:J$133&gt;J39)*(I$3:I$133="P"))+1,IF(M39="P",SUMPRODUCT((O$3:O$133&lt;&gt;"")*(P$3:P$133="")*(G$3:G$133=G39)*(I$3:I$133="P"))+SUMPRODUCT((P$3:P$133&lt;&gt;"")*(G$3:G$133=G39)*(I$3:I$133="P"))+SUMPRODUCT((N$3:N$133&lt;&gt;"")*(G$3:G$133=G39)*(I$3:I$133="P"))+SUMPRODUCT((P$3:P$133="")*(O$3:O$133="")*(N$3:N$133="")*(M$3:M$133="P")*(G$3:G$133=G39)*(J$3:J$133&gt;J39)*(I$3:I$133="P"))+IF(H39="L5",SUMPRODUCT((P$3:P$133="")*(O$3:O$133="")*(N$3:N$133="")*(M$3:M$133="P")*(G$3:G$133=G39)*(J$3:J$133&lt;J39)*(H$3:H$133&lt;&gt;H39)*(I$3:I$133="P")),-1*SUMPRODUCT((P$3:P$133="")*(O$3:O$133="")*(N$3:N$133="")*(M$3:M$133="P")*(G$3:G$133=G39)*(J$3:J$133&gt;J39)*(H$3:H$133="L5")*(I$3:I$133="P")))+1,"")))))</f>
        <v/>
      </c>
      <c r="B39" s="1" t="str" cm="1">
        <f t="array" ref="B39">IF(P39&lt;&gt;"",SUMPRODUCT((P$3:P$133&lt;&gt;"")*(G$3:G$133=G39)*(J$3:J$133&gt;J39))+1,IF(O39&lt;&gt;"",SUMPRODUCT((O$3:O$133&lt;&gt;"")*(P$3:P$133="")*(G$3:G$133=G39)*(J$3:J$133&gt;J39))+SUMPRODUCT((P$3:P$133&lt;&gt;"")*(G$3:G$133=G39))+1,IF(N39&lt;&gt;"",SUMPRODUCT((N$3:N$133&lt;&gt;"")*(G$3:G$133=G39)*(J$3:J$133&gt;J39))+1,IF(M39="P",SUMPRODUCT((O$3:O$133&lt;&gt;"")*(P$3:P$133="")*(G$3:G$133=G39))+SUMPRODUCT((P$3:P$133&lt;&gt;"")*(G$3:G$133=G39))+SUMPRODUCT((N$3:N$133&lt;&gt;"")*(G$3:G$133=G39))+SUMPRODUCT((P$3:P$133="")*(O$3:O$133="")*(N$3:N$133="")*(M$3:M$133="P")*(G$3:G$133=G39)*(J$3:J$133&gt;J39))+IF(H39="L5",SUMPRODUCT((P$3:P$133="")*(O$3:O$133="")*(N$3:N$133="")*(M$3:M$133="P")*(G$3:G$133=G39)*(J$3:J$133&lt;J39)*(H$3:H$133&lt;&gt;H39)),-1*SUMPRODUCT((P$3:P$133="")*(O$3:O$133="")*(N$3:N$133="")*(M$3:M$133="P")*(G$3:G$133=G39)*(J$3:J$133&gt;J39)*(H$3:H$133="L5")))+1,""))))</f>
        <v/>
      </c>
      <c r="C39" s="36" t="s">
        <v>241</v>
      </c>
      <c r="D39" s="36" t="str">
        <f>IF(E39="","",VLOOKUP(E39,'Coaching Points'!A:B,2,0))</f>
        <v>ON</v>
      </c>
      <c r="E39" s="36" t="s">
        <v>71</v>
      </c>
      <c r="F39" s="35">
        <v>2006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66</v>
      </c>
      <c r="I39" s="43"/>
      <c r="J39" s="4">
        <f>R39+S39+IF(OR(H39="Junior",H39="Senior"),0.0002,IF(OR(H39="L7",H39="L6"),0.0001,0))+IF(G39="17-21",MAX(AA39,AC39,AF39),AE39)*0.0000001</f>
        <v>88.580004545000008</v>
      </c>
      <c r="K39" s="3" t="str">
        <f>IF(G39="Not Age Eligible","",IF(G39="17-21",IF(MAX(T39,V39,Y39,AA39,AC39,AF39)&gt;=LOOKUP(G39,'Qualifying Scores'!$A$4:$A$7,'Qualifying Scores'!$C$4:$C$7),"P",""),IF(MAX(X39-U39,AE39-AB39)&gt;=LOOKUP(G39,'Qualifying Scores'!$A$4:$A$7,'Qualifying Scores'!$C$4:$C$7),"P","")))</f>
        <v/>
      </c>
      <c r="L39" s="3" t="str">
        <f>IF(G39="Not Age Eligible","",IF(G39="17-21",IF(MAX(U39,W39,Z39,AB39,AD39,AG39)&gt;=LOOKUP(G39,'Qualifying Scores'!$A$10:$A$13,'Qualifying Scores'!$C$10:$C$13),"P",""),IF(MAX(W39,AD39)&gt;=LOOKUP(G39,'Qualifying Scores'!$A$10:$A$13,'Qualifying Scores'!$C$10:$C$13),"P","")))</f>
        <v/>
      </c>
      <c r="M39" s="3" t="str">
        <f>IF(G39="Not Age Eligible","",IF(G39="17-21",IF(OR(AND(T39&gt;=LOOKUP(G39,'Qualifying Scores'!$A$4:$A$7,'Qualifying Scores'!$C$4:$C$7),U39&gt;=LOOKUP(G39,'Qualifying Scores'!$A$10:$A$13,'Qualifying Scores'!$C$10:$C$13)),AND(V39&gt;=LOOKUP(G39,'Qualifying Scores'!$A$4:$A$7,'Qualifying Scores'!$C$4:$C$7),W39&gt;=LOOKUP(G39,'Qualifying Scores'!$A$10:$A$13,'Qualifying Scores'!$C$10:$C$13)),AND(Y39&gt;=LOOKUP(G39,'Qualifying Scores'!$A$4:$A$7,'Qualifying Scores'!$C$4:$C$7),Z39&gt;=LOOKUP(G39,'Qualifying Scores'!$A$10:$A$13,'Qualifying Scores'!$C$10:$C$13)),AND(AA39&gt;=LOOKUP(G39,'Qualifying Scores'!$A$4:$A$7,'Qualifying Scores'!$C$4:$C$7),AB39&gt;=LOOKUP(G39,'Qualifying Scores'!$A$10:$A$13,'Qualifying Scores'!$C$10:$C$13)),AND(AC39&gt;=LOOKUP(G39,'Qualifying Scores'!$A$4:$A$7,'Qualifying Scores'!$C$4:$C$7),AD39&gt;=LOOKUP(G39,'Qualifying Scores'!$A$10:$A$13,'Qualifying Scores'!$C$10:$C$13)),AND(AF39&gt;=LOOKUP(G39,'Qualifying Scores'!$A$4:$A$7,'Qualifying Scores'!$C$4:$C$7),AG39&gt;=LOOKUP(G39,'Qualifying Scores'!$A$10:$A$13,'Qualifying Scores'!$C$10:$C$13))),"P",""),IF(OR(AND(X39-U39&gt;=LOOKUP(G39,'Qualifying Scores'!$A$4:$A$7,'Qualifying Scores'!$C$4:$C$7),W39&gt;=LOOKUP(G39,'Qualifying Scores'!$A$10:$A$13,'Qualifying Scores'!$C$10:$C$13)),AND(AE39-AB39&gt;=LOOKUP(G39,'Qualifying Scores'!$A$4:$A$7,'Qualifying Scores'!$C$4:$C$7),AD39&gt;=LOOKUP(G39,'Qualifying Scores'!$A$10:$A$13,'Qualifying Scores'!$C$10:$C$13))),"P","")))</f>
        <v/>
      </c>
      <c r="Q39" s="1" t="str">
        <f>IF(A39&lt;5,IF(_xlfn.MAXIFS(A:A,G:G,G39)&gt;3,5-A39,_xlfn.MAXIFS(A:A,G:G,G39)+1-A39),"")</f>
        <v/>
      </c>
      <c r="R39" s="4">
        <f>IF(G39="17-21",MAX(T39,V39,Y39,AA39,AC39,AF39),MAX(X39,AE39))</f>
        <v>45.45</v>
      </c>
      <c r="S39" s="4">
        <f>IF(G39="17-21",LARGE(CHOOSE({1,2,3,4,5,6},T39,V39,Y39,AA39,AC39,AF39),2),IF(R39=X39,MAX(Y39,AA39,AC39,AF39),IF(R39=AE39,MAX(AF39,T39,V39,Y39),0)))</f>
        <v>43.13</v>
      </c>
      <c r="T39" s="33">
        <v>37.619999999999997</v>
      </c>
      <c r="U39" s="40">
        <v>0</v>
      </c>
      <c r="V39" s="34">
        <v>20.37</v>
      </c>
      <c r="W39" s="40">
        <v>3.2</v>
      </c>
      <c r="X39" s="4">
        <f>IF(H39="Senior",MAX(T39,V39),T39+V39)</f>
        <v>57.989999999999995</v>
      </c>
      <c r="Y39" s="34"/>
      <c r="Z39" s="40"/>
      <c r="AA39" s="33">
        <v>39.15</v>
      </c>
      <c r="AB39" s="40">
        <v>0</v>
      </c>
      <c r="AC39" s="34">
        <v>45.45</v>
      </c>
      <c r="AD39" s="40">
        <v>7.6</v>
      </c>
      <c r="AE39" s="4">
        <f>IF(H39="Senior",MAX(AA39,AC39),AA39+AC39)</f>
        <v>84.6</v>
      </c>
      <c r="AF39" s="34">
        <v>43.13</v>
      </c>
      <c r="AG39" s="37">
        <v>6.6</v>
      </c>
    </row>
    <row r="40" spans="1:33" x14ac:dyDescent="0.2">
      <c r="A40" s="1" t="str" cm="1">
        <f t="array" ref="A40">IF(I40="","",IF(P40&lt;&gt;"",SUMPRODUCT((P$3:P$133&lt;&gt;"")*(G$3:G$133=G40)*(J$3:J$133&gt;J40)*(I$3:I$133="P"))+1,IF(O40&lt;&gt;"",SUMPRODUCT((O$3:O$133&lt;&gt;"")*(P$3:P$133="")*(G$3:G$133=G40)*(J$3:J$133&gt;J40)*(I$3:I$133="P"))+SUMPRODUCT((P$3:P$133&lt;&gt;"")*(G$3:G$133=G40)*(I$3:I$133="P"))+1,IF(N40&lt;&gt;"",SUMPRODUCT((N$3:N$133&lt;&gt;"")*(G$3:G$133=G40)*(J$3:J$133&gt;J40)*(I$3:I$133="P"))+1,IF(M40="P",SUMPRODUCT((O$3:O$133&lt;&gt;"")*(P$3:P$133="")*(G$3:G$133=G40)*(I$3:I$133="P"))+SUMPRODUCT((P$3:P$133&lt;&gt;"")*(G$3:G$133=G40)*(I$3:I$133="P"))+SUMPRODUCT((N$3:N$133&lt;&gt;"")*(G$3:G$133=G40)*(I$3:I$133="P"))+SUMPRODUCT((P$3:P$133="")*(O$3:O$133="")*(N$3:N$133="")*(M$3:M$133="P")*(G$3:G$133=G40)*(J$3:J$133&gt;J40)*(I$3:I$133="P"))+IF(H40="L5",SUMPRODUCT((P$3:P$133="")*(O$3:O$133="")*(N$3:N$133="")*(M$3:M$133="P")*(G$3:G$133=G40)*(J$3:J$133&lt;J40)*(H$3:H$133&lt;&gt;H40)*(I$3:I$133="P")),-1*SUMPRODUCT((P$3:P$133="")*(O$3:O$133="")*(N$3:N$133="")*(M$3:M$133="P")*(G$3:G$133=G40)*(J$3:J$133&gt;J40)*(H$3:H$133="L5")*(I$3:I$133="P")))+1,"")))))</f>
        <v/>
      </c>
      <c r="B40" s="1" t="str" cm="1">
        <f t="array" ref="B40">IF(P40&lt;&gt;"",SUMPRODUCT((P$3:P$133&lt;&gt;"")*(G$3:G$133=G40)*(J$3:J$133&gt;J40))+1,IF(O40&lt;&gt;"",SUMPRODUCT((O$3:O$133&lt;&gt;"")*(P$3:P$133="")*(G$3:G$133=G40)*(J$3:J$133&gt;J40))+SUMPRODUCT((P$3:P$133&lt;&gt;"")*(G$3:G$133=G40))+1,IF(N40&lt;&gt;"",SUMPRODUCT((N$3:N$133&lt;&gt;"")*(G$3:G$133=G40)*(J$3:J$133&gt;J40))+1,IF(M40="P",SUMPRODUCT((O$3:O$133&lt;&gt;"")*(P$3:P$133="")*(G$3:G$133=G40))+SUMPRODUCT((P$3:P$133&lt;&gt;"")*(G$3:G$133=G40))+SUMPRODUCT((N$3:N$133&lt;&gt;"")*(G$3:G$133=G40))+SUMPRODUCT((P$3:P$133="")*(O$3:O$133="")*(N$3:N$133="")*(M$3:M$133="P")*(G$3:G$133=G40)*(J$3:J$133&gt;J40))+IF(H40="L5",SUMPRODUCT((P$3:P$133="")*(O$3:O$133="")*(N$3:N$133="")*(M$3:M$133="P")*(G$3:G$133=G40)*(J$3:J$133&lt;J40)*(H$3:H$133&lt;&gt;H40)),-1*SUMPRODUCT((P$3:P$133="")*(O$3:O$133="")*(N$3:N$133="")*(M$3:M$133="P")*(G$3:G$133=G40)*(J$3:J$133&gt;J40)*(H$3:H$133="L5")))+1,""))))</f>
        <v/>
      </c>
      <c r="C40" s="36" t="s">
        <v>247</v>
      </c>
      <c r="D40" s="36" t="str">
        <f>IF(E40="","",VLOOKUP(E40,'Coaching Points'!A:B,2,0))</f>
        <v>ON</v>
      </c>
      <c r="E40" s="36" t="s">
        <v>113</v>
      </c>
      <c r="F40" s="35">
        <v>2004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66</v>
      </c>
      <c r="I40" s="43"/>
      <c r="J40" s="4">
        <f>R40+S40+IF(OR(H40="Junior",H40="Senior"),0.0002,IF(OR(H40="L7",H40="L6"),0.0001,0))+IF(G40="17-21",MAX(AA40,AC40,AF40),AE40)*0.0000001</f>
        <v>87.270004436999997</v>
      </c>
      <c r="K40" s="3" t="str">
        <f>IF(G40="Not Age Eligible","",IF(G40="17-21",IF(MAX(T40,V40,Y40,AA40,AC40,AF40)&gt;=LOOKUP(G40,'Qualifying Scores'!$A$4:$A$7,'Qualifying Scores'!$C$4:$C$7),"P",""),IF(MAX(X40-U40,AE40-AB40)&gt;=LOOKUP(G40,'Qualifying Scores'!$A$4:$A$7,'Qualifying Scores'!$C$4:$C$7),"P","")))</f>
        <v/>
      </c>
      <c r="L40" s="3" t="str">
        <f>IF(G40="Not Age Eligible","",IF(G40="17-21",IF(MAX(U40,W40,Z40,AB40,AD40,AG40)&gt;=LOOKUP(G40,'Qualifying Scores'!$A$10:$A$13,'Qualifying Scores'!$C$10:$C$13),"P",""),IF(MAX(W40,AD40)&gt;=LOOKUP(G40,'Qualifying Scores'!$A$10:$A$13,'Qualifying Scores'!$C$10:$C$13),"P","")))</f>
        <v/>
      </c>
      <c r="M40" s="3" t="str">
        <f>IF(G40="Not Age Eligible","",IF(G40="17-21",IF(OR(AND(T40&gt;=LOOKUP(G40,'Qualifying Scores'!$A$4:$A$7,'Qualifying Scores'!$C$4:$C$7),U40&gt;=LOOKUP(G40,'Qualifying Scores'!$A$10:$A$13,'Qualifying Scores'!$C$10:$C$13)),AND(V40&gt;=LOOKUP(G40,'Qualifying Scores'!$A$4:$A$7,'Qualifying Scores'!$C$4:$C$7),W40&gt;=LOOKUP(G40,'Qualifying Scores'!$A$10:$A$13,'Qualifying Scores'!$C$10:$C$13)),AND(Y40&gt;=LOOKUP(G40,'Qualifying Scores'!$A$4:$A$7,'Qualifying Scores'!$C$4:$C$7),Z40&gt;=LOOKUP(G40,'Qualifying Scores'!$A$10:$A$13,'Qualifying Scores'!$C$10:$C$13)),AND(AA40&gt;=LOOKUP(G40,'Qualifying Scores'!$A$4:$A$7,'Qualifying Scores'!$C$4:$C$7),AB40&gt;=LOOKUP(G40,'Qualifying Scores'!$A$10:$A$13,'Qualifying Scores'!$C$10:$C$13)),AND(AC40&gt;=LOOKUP(G40,'Qualifying Scores'!$A$4:$A$7,'Qualifying Scores'!$C$4:$C$7),AD40&gt;=LOOKUP(G40,'Qualifying Scores'!$A$10:$A$13,'Qualifying Scores'!$C$10:$C$13)),AND(AF40&gt;=LOOKUP(G40,'Qualifying Scores'!$A$4:$A$7,'Qualifying Scores'!$C$4:$C$7),AG40&gt;=LOOKUP(G40,'Qualifying Scores'!$A$10:$A$13,'Qualifying Scores'!$C$10:$C$13))),"P",""),IF(OR(AND(X40-U40&gt;=LOOKUP(G40,'Qualifying Scores'!$A$4:$A$7,'Qualifying Scores'!$C$4:$C$7),W40&gt;=LOOKUP(G40,'Qualifying Scores'!$A$10:$A$13,'Qualifying Scores'!$C$10:$C$13)),AND(AE40-AB40&gt;=LOOKUP(G40,'Qualifying Scores'!$A$4:$A$7,'Qualifying Scores'!$C$4:$C$7),AD40&gt;=LOOKUP(G40,'Qualifying Scores'!$A$10:$A$13,'Qualifying Scores'!$C$10:$C$13))),"P","")))</f>
        <v/>
      </c>
      <c r="Q40" s="1" t="str">
        <f>IF(A40&lt;5,IF(_xlfn.MAXIFS(A:A,G:G,G40)&gt;3,5-A40,_xlfn.MAXIFS(A:A,G:G,G40)+1-A40),"")</f>
        <v/>
      </c>
      <c r="R40" s="4">
        <f>IF(G40="17-21",MAX(T40,V40,Y40,AA40,AC40,AF40),MAX(X40,AE40))</f>
        <v>44.37</v>
      </c>
      <c r="S40" s="4">
        <f>IF(G40="17-21",LARGE(CHOOSE({1,2,3,4,5,6},T40,V40,Y40,AA40,AC40,AF40),2),IF(R40=X40,MAX(Y40,AA40,AC40,AF40),IF(R40=AE40,MAX(AF40,T40,V40,Y40),0)))</f>
        <v>42.9</v>
      </c>
      <c r="T40" s="33">
        <v>39.21</v>
      </c>
      <c r="U40" s="40">
        <v>0</v>
      </c>
      <c r="V40" s="34">
        <v>42.9</v>
      </c>
      <c r="W40" s="40">
        <v>8.5</v>
      </c>
      <c r="X40" s="4">
        <f>IF(H40="Senior",MAX(T40,V40),T40+V40)</f>
        <v>82.11</v>
      </c>
      <c r="Y40" s="34"/>
      <c r="Z40" s="40"/>
      <c r="AA40" s="33">
        <v>37.75</v>
      </c>
      <c r="AB40" s="40">
        <v>0</v>
      </c>
      <c r="AC40" s="34">
        <v>44.37</v>
      </c>
      <c r="AD40" s="40">
        <v>8.6999999999999993</v>
      </c>
      <c r="AE40" s="4">
        <f>IF(H40="Senior",MAX(AA40,AC40),AA40+AC40)</f>
        <v>82.12</v>
      </c>
      <c r="AF40" s="34"/>
      <c r="AG40" s="37"/>
    </row>
    <row r="41" spans="1:33" x14ac:dyDescent="0.2">
      <c r="A41" s="1" t="str" cm="1">
        <f t="array" ref="A41">IF(I41="","",IF(P41&lt;&gt;"",SUMPRODUCT((P$3:P$133&lt;&gt;"")*(G$3:G$133=G41)*(J$3:J$133&gt;J41)*(I$3:I$133="P"))+1,IF(O41&lt;&gt;"",SUMPRODUCT((O$3:O$133&lt;&gt;"")*(P$3:P$133="")*(G$3:G$133=G41)*(J$3:J$133&gt;J41)*(I$3:I$133="P"))+SUMPRODUCT((P$3:P$133&lt;&gt;"")*(G$3:G$133=G41)*(I$3:I$133="P"))+1,IF(N41&lt;&gt;"",SUMPRODUCT((N$3:N$133&lt;&gt;"")*(G$3:G$133=G41)*(J$3:J$133&gt;J41)*(I$3:I$133="P"))+1,IF(M41="P",SUMPRODUCT((O$3:O$133&lt;&gt;"")*(P$3:P$133="")*(G$3:G$133=G41)*(I$3:I$133="P"))+SUMPRODUCT((P$3:P$133&lt;&gt;"")*(G$3:G$133=G41)*(I$3:I$133="P"))+SUMPRODUCT((N$3:N$133&lt;&gt;"")*(G$3:G$133=G41)*(I$3:I$133="P"))+SUMPRODUCT((P$3:P$133="")*(O$3:O$133="")*(N$3:N$133="")*(M$3:M$133="P")*(G$3:G$133=G41)*(J$3:J$133&gt;J41)*(I$3:I$133="P"))+IF(H41="L5",SUMPRODUCT((P$3:P$133="")*(O$3:O$133="")*(N$3:N$133="")*(M$3:M$133="P")*(G$3:G$133=G41)*(J$3:J$133&lt;J41)*(H$3:H$133&lt;&gt;H41)*(I$3:I$133="P")),-1*SUMPRODUCT((P$3:P$133="")*(O$3:O$133="")*(N$3:N$133="")*(M$3:M$133="P")*(G$3:G$133=G41)*(J$3:J$133&gt;J41)*(H$3:H$133="L5")*(I$3:I$133="P")))+1,"")))))</f>
        <v/>
      </c>
      <c r="B41" s="1" t="str" cm="1">
        <f t="array" ref="B41">IF(P41&lt;&gt;"",SUMPRODUCT((P$3:P$133&lt;&gt;"")*(G$3:G$133=G41)*(J$3:J$133&gt;J41))+1,IF(O41&lt;&gt;"",SUMPRODUCT((O$3:O$133&lt;&gt;"")*(P$3:P$133="")*(G$3:G$133=G41)*(J$3:J$133&gt;J41))+SUMPRODUCT((P$3:P$133&lt;&gt;"")*(G$3:G$133=G41))+1,IF(N41&lt;&gt;"",SUMPRODUCT((N$3:N$133&lt;&gt;"")*(G$3:G$133=G41)*(J$3:J$133&gt;J41))+1,IF(M41="P",SUMPRODUCT((O$3:O$133&lt;&gt;"")*(P$3:P$133="")*(G$3:G$133=G41))+SUMPRODUCT((P$3:P$133&lt;&gt;"")*(G$3:G$133=G41))+SUMPRODUCT((N$3:N$133&lt;&gt;"")*(G$3:G$133=G41))+SUMPRODUCT((P$3:P$133="")*(O$3:O$133="")*(N$3:N$133="")*(M$3:M$133="P")*(G$3:G$133=G41)*(J$3:J$133&gt;J41))+IF(H41="L5",SUMPRODUCT((P$3:P$133="")*(O$3:O$133="")*(N$3:N$133="")*(M$3:M$133="P")*(G$3:G$133=G41)*(J$3:J$133&lt;J41)*(H$3:H$133&lt;&gt;H41)),-1*SUMPRODUCT((P$3:P$133="")*(O$3:O$133="")*(N$3:N$133="")*(M$3:M$133="P")*(G$3:G$133=G41)*(J$3:J$133&gt;J41)*(H$3:H$133="L5")))+1,""))))</f>
        <v/>
      </c>
      <c r="C41" s="36" t="s">
        <v>294</v>
      </c>
      <c r="D41" s="36" t="str">
        <f>IF(E41="","",VLOOKUP(E41,'Coaching Points'!A:B,2,0))</f>
        <v>ON</v>
      </c>
      <c r="E41" s="36" t="s">
        <v>286</v>
      </c>
      <c r="F41" s="35">
        <v>2006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66</v>
      </c>
      <c r="I41" s="43"/>
      <c r="J41" s="4">
        <f>R41+S41+IF(OR(H41="Junior",H41="Senior"),0.0002,IF(OR(H41="L7",H41="L6"),0.0001,0))+IF(G41="17-21",MAX(AA41,AC41,AF41),AE41)*0.0000001</f>
        <v>86.920004047999981</v>
      </c>
      <c r="K41" s="3" t="str">
        <f>IF(G41="Not Age Eligible","",IF(G41="17-21",IF(MAX(T41,V41,Y41,AA41,AC41,AF41)&gt;=LOOKUP(G41,'Qualifying Scores'!$A$4:$A$7,'Qualifying Scores'!$C$4:$C$7),"P",""),IF(MAX(X41-U41,AE41-AB41)&gt;=LOOKUP(G41,'Qualifying Scores'!$A$4:$A$7,'Qualifying Scores'!$C$4:$C$7),"P","")))</f>
        <v/>
      </c>
      <c r="L41" s="3" t="str">
        <f>IF(G41="Not Age Eligible","",IF(G41="17-21",IF(MAX(U41,W41,Z41,AB41,AD41,AG41)&gt;=LOOKUP(G41,'Qualifying Scores'!$A$10:$A$13,'Qualifying Scores'!$C$10:$C$13),"P",""),IF(MAX(W41,AD41)&gt;=LOOKUP(G41,'Qualifying Scores'!$A$10:$A$13,'Qualifying Scores'!$C$10:$C$13),"P","")))</f>
        <v/>
      </c>
      <c r="M41" s="3" t="str">
        <f>IF(G41="Not Age Eligible","",IF(G41="17-21",IF(OR(AND(T41&gt;=LOOKUP(G41,'Qualifying Scores'!$A$4:$A$7,'Qualifying Scores'!$C$4:$C$7),U41&gt;=LOOKUP(G41,'Qualifying Scores'!$A$10:$A$13,'Qualifying Scores'!$C$10:$C$13)),AND(V41&gt;=LOOKUP(G41,'Qualifying Scores'!$A$4:$A$7,'Qualifying Scores'!$C$4:$C$7),W41&gt;=LOOKUP(G41,'Qualifying Scores'!$A$10:$A$13,'Qualifying Scores'!$C$10:$C$13)),AND(Y41&gt;=LOOKUP(G41,'Qualifying Scores'!$A$4:$A$7,'Qualifying Scores'!$C$4:$C$7),Z41&gt;=LOOKUP(G41,'Qualifying Scores'!$A$10:$A$13,'Qualifying Scores'!$C$10:$C$13)),AND(AA41&gt;=LOOKUP(G41,'Qualifying Scores'!$A$4:$A$7,'Qualifying Scores'!$C$4:$C$7),AB41&gt;=LOOKUP(G41,'Qualifying Scores'!$A$10:$A$13,'Qualifying Scores'!$C$10:$C$13)),AND(AC41&gt;=LOOKUP(G41,'Qualifying Scores'!$A$4:$A$7,'Qualifying Scores'!$C$4:$C$7),AD41&gt;=LOOKUP(G41,'Qualifying Scores'!$A$10:$A$13,'Qualifying Scores'!$C$10:$C$13)),AND(AF41&gt;=LOOKUP(G41,'Qualifying Scores'!$A$4:$A$7,'Qualifying Scores'!$C$4:$C$7),AG41&gt;=LOOKUP(G41,'Qualifying Scores'!$A$10:$A$13,'Qualifying Scores'!$C$10:$C$13))),"P",""),IF(OR(AND(X41-U41&gt;=LOOKUP(G41,'Qualifying Scores'!$A$4:$A$7,'Qualifying Scores'!$C$4:$C$7),W41&gt;=LOOKUP(G41,'Qualifying Scores'!$A$10:$A$13,'Qualifying Scores'!$C$10:$C$13)),AND(AE41-AB41&gt;=LOOKUP(G41,'Qualifying Scores'!$A$4:$A$7,'Qualifying Scores'!$C$4:$C$7),AD41&gt;=LOOKUP(G41,'Qualifying Scores'!$A$10:$A$13,'Qualifying Scores'!$C$10:$C$13))),"P","")))</f>
        <v/>
      </c>
      <c r="Q41" s="1" t="str">
        <f>IF(A41&lt;5,IF(_xlfn.MAXIFS(A:A,G:G,G41)&gt;3,5-A41,_xlfn.MAXIFS(A:A,G:G,G41)+1-A41),"")</f>
        <v/>
      </c>
      <c r="R41" s="4">
        <f>IF(G41="17-21",MAX(T41,V41,Y41,AA41,AC41,AF41),MAX(X41,AE41))</f>
        <v>46.44</v>
      </c>
      <c r="S41" s="4">
        <f>IF(G41="17-21",LARGE(CHOOSE({1,2,3,4,5,6},T41,V41,Y41,AA41,AC41,AF41),2),IF(R41=X41,MAX(Y41,AA41,AC41,AF41),IF(R41=AE41,MAX(AF41,T41,V41,Y41),0)))</f>
        <v>40.479999999999997</v>
      </c>
      <c r="T41" s="33">
        <v>40.04</v>
      </c>
      <c r="U41" s="40">
        <v>0</v>
      </c>
      <c r="V41" s="34">
        <v>46.44</v>
      </c>
      <c r="W41" s="40">
        <v>8.4</v>
      </c>
      <c r="X41" s="4">
        <f>IF(H41="Senior",MAX(T41,V41),T41+V41)</f>
        <v>86.47999999999999</v>
      </c>
      <c r="Y41" s="34">
        <v>19.649999999999999</v>
      </c>
      <c r="Z41" s="40">
        <v>3.9</v>
      </c>
      <c r="AA41" s="33">
        <v>40.479999999999997</v>
      </c>
      <c r="AB41" s="40">
        <v>0</v>
      </c>
      <c r="AC41" s="34">
        <v>18.489999999999998</v>
      </c>
      <c r="AD41" s="40">
        <v>3.9</v>
      </c>
      <c r="AE41" s="4">
        <f>IF(H41="Senior",MAX(AA41,AC41),AA41+AC41)</f>
        <v>58.97</v>
      </c>
      <c r="AF41" s="34"/>
      <c r="AG41" s="37"/>
    </row>
    <row r="42" spans="1:33" x14ac:dyDescent="0.2">
      <c r="A42" s="1" t="str" cm="1">
        <f t="array" ref="A42">IF(I42="","",IF(P42&lt;&gt;"",SUMPRODUCT((P$3:P$133&lt;&gt;"")*(G$3:G$133=G42)*(J$3:J$133&gt;J42)*(I$3:I$133="P"))+1,IF(O42&lt;&gt;"",SUMPRODUCT((O$3:O$133&lt;&gt;"")*(P$3:P$133="")*(G$3:G$133=G42)*(J$3:J$133&gt;J42)*(I$3:I$133="P"))+SUMPRODUCT((P$3:P$133&lt;&gt;"")*(G$3:G$133=G42)*(I$3:I$133="P"))+1,IF(N42&lt;&gt;"",SUMPRODUCT((N$3:N$133&lt;&gt;"")*(G$3:G$133=G42)*(J$3:J$133&gt;J42)*(I$3:I$133="P"))+1,IF(M42="P",SUMPRODUCT((O$3:O$133&lt;&gt;"")*(P$3:P$133="")*(G$3:G$133=G42)*(I$3:I$133="P"))+SUMPRODUCT((P$3:P$133&lt;&gt;"")*(G$3:G$133=G42)*(I$3:I$133="P"))+SUMPRODUCT((N$3:N$133&lt;&gt;"")*(G$3:G$133=G42)*(I$3:I$133="P"))+SUMPRODUCT((P$3:P$133="")*(O$3:O$133="")*(N$3:N$133="")*(M$3:M$133="P")*(G$3:G$133=G42)*(J$3:J$133&gt;J42)*(I$3:I$133="P"))+IF(H42="L5",SUMPRODUCT((P$3:P$133="")*(O$3:O$133="")*(N$3:N$133="")*(M$3:M$133="P")*(G$3:G$133=G42)*(J$3:J$133&lt;J42)*(H$3:H$133&lt;&gt;H42)*(I$3:I$133="P")),-1*SUMPRODUCT((P$3:P$133="")*(O$3:O$133="")*(N$3:N$133="")*(M$3:M$133="P")*(G$3:G$133=G42)*(J$3:J$133&gt;J42)*(H$3:H$133="L5")*(I$3:I$133="P")))+1,"")))))</f>
        <v/>
      </c>
      <c r="B42" s="1" t="str" cm="1">
        <f t="array" ref="B42">IF(P42&lt;&gt;"",SUMPRODUCT((P$3:P$133&lt;&gt;"")*(G$3:G$133=G42)*(J$3:J$133&gt;J42))+1,IF(O42&lt;&gt;"",SUMPRODUCT((O$3:O$133&lt;&gt;"")*(P$3:P$133="")*(G$3:G$133=G42)*(J$3:J$133&gt;J42))+SUMPRODUCT((P$3:P$133&lt;&gt;"")*(G$3:G$133=G42))+1,IF(N42&lt;&gt;"",SUMPRODUCT((N$3:N$133&lt;&gt;"")*(G$3:G$133=G42)*(J$3:J$133&gt;J42))+1,IF(M42="P",SUMPRODUCT((O$3:O$133&lt;&gt;"")*(P$3:P$133="")*(G$3:G$133=G42))+SUMPRODUCT((P$3:P$133&lt;&gt;"")*(G$3:G$133=G42))+SUMPRODUCT((N$3:N$133&lt;&gt;"")*(G$3:G$133=G42))+SUMPRODUCT((P$3:P$133="")*(O$3:O$133="")*(N$3:N$133="")*(M$3:M$133="P")*(G$3:G$133=G42)*(J$3:J$133&gt;J42))+IF(H42="L5",SUMPRODUCT((P$3:P$133="")*(O$3:O$133="")*(N$3:N$133="")*(M$3:M$133="P")*(G$3:G$133=G42)*(J$3:J$133&lt;J42)*(H$3:H$133&lt;&gt;H42)),-1*SUMPRODUCT((P$3:P$133="")*(O$3:O$133="")*(N$3:N$133="")*(M$3:M$133="P")*(G$3:G$133=G42)*(J$3:J$133&gt;J42)*(H$3:H$133="L5")))+1,""))))</f>
        <v/>
      </c>
      <c r="C42" s="36" t="s">
        <v>181</v>
      </c>
      <c r="D42" s="36" t="str">
        <f>IF(E42="","",VLOOKUP(E42,'Coaching Points'!A:B,2,0))</f>
        <v>SK</v>
      </c>
      <c r="E42" s="36" t="s">
        <v>45</v>
      </c>
      <c r="F42" s="35">
        <v>2005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66</v>
      </c>
      <c r="I42" s="43" t="s">
        <v>567</v>
      </c>
      <c r="J42" s="4">
        <f>R42+S42+IF(OR(H42="Junior",H42="Senior"),0.0002,IF(OR(H42="L7",H42="L6"),0.0001,0))+IF(G42="17-21",MAX(AA42,AC42,AF42),AE42)*0.0000001</f>
        <v>86.340004402000005</v>
      </c>
      <c r="K42" s="3" t="str">
        <f>IF(G42="Not Age Eligible","",IF(G42="17-21",IF(MAX(T42,V42,Y42,AA42,AC42,AF42)&gt;=LOOKUP(G42,'Qualifying Scores'!$A$4:$A$7,'Qualifying Scores'!$C$4:$C$7),"P",""),IF(MAX(X42-U42,AE42-AB42)&gt;=LOOKUP(G42,'Qualifying Scores'!$A$4:$A$7,'Qualifying Scores'!$C$4:$C$7),"P","")))</f>
        <v/>
      </c>
      <c r="L42" s="3" t="str">
        <f>IF(G42="Not Age Eligible","",IF(G42="17-21",IF(MAX(U42,W42,Z42,AB42,AD42,AG42)&gt;=LOOKUP(G42,'Qualifying Scores'!$A$10:$A$13,'Qualifying Scores'!$C$10:$C$13),"P",""),IF(MAX(W42,AD42)&gt;=LOOKUP(G42,'Qualifying Scores'!$A$10:$A$13,'Qualifying Scores'!$C$10:$C$13),"P","")))</f>
        <v/>
      </c>
      <c r="M42" s="3" t="str">
        <f>IF(G42="Not Age Eligible","",IF(G42="17-21",IF(OR(AND(T42&gt;=LOOKUP(G42,'Qualifying Scores'!$A$4:$A$7,'Qualifying Scores'!$C$4:$C$7),U42&gt;=LOOKUP(G42,'Qualifying Scores'!$A$10:$A$13,'Qualifying Scores'!$C$10:$C$13)),AND(V42&gt;=LOOKUP(G42,'Qualifying Scores'!$A$4:$A$7,'Qualifying Scores'!$C$4:$C$7),W42&gt;=LOOKUP(G42,'Qualifying Scores'!$A$10:$A$13,'Qualifying Scores'!$C$10:$C$13)),AND(Y42&gt;=LOOKUP(G42,'Qualifying Scores'!$A$4:$A$7,'Qualifying Scores'!$C$4:$C$7),Z42&gt;=LOOKUP(G42,'Qualifying Scores'!$A$10:$A$13,'Qualifying Scores'!$C$10:$C$13)),AND(AA42&gt;=LOOKUP(G42,'Qualifying Scores'!$A$4:$A$7,'Qualifying Scores'!$C$4:$C$7),AB42&gt;=LOOKUP(G42,'Qualifying Scores'!$A$10:$A$13,'Qualifying Scores'!$C$10:$C$13)),AND(AC42&gt;=LOOKUP(G42,'Qualifying Scores'!$A$4:$A$7,'Qualifying Scores'!$C$4:$C$7),AD42&gt;=LOOKUP(G42,'Qualifying Scores'!$A$10:$A$13,'Qualifying Scores'!$C$10:$C$13)),AND(AF42&gt;=LOOKUP(G42,'Qualifying Scores'!$A$4:$A$7,'Qualifying Scores'!$C$4:$C$7),AG42&gt;=LOOKUP(G42,'Qualifying Scores'!$A$10:$A$13,'Qualifying Scores'!$C$10:$C$13))),"P",""),IF(OR(AND(X42-U42&gt;=LOOKUP(G42,'Qualifying Scores'!$A$4:$A$7,'Qualifying Scores'!$C$4:$C$7),W42&gt;=LOOKUP(G42,'Qualifying Scores'!$A$10:$A$13,'Qualifying Scores'!$C$10:$C$13)),AND(AE42-AB42&gt;=LOOKUP(G42,'Qualifying Scores'!$A$4:$A$7,'Qualifying Scores'!$C$4:$C$7),AD42&gt;=LOOKUP(G42,'Qualifying Scores'!$A$10:$A$13,'Qualifying Scores'!$C$10:$C$13))),"P","")))</f>
        <v/>
      </c>
      <c r="Q42" s="1" t="str">
        <f>IF(A42&lt;5,IF(_xlfn.MAXIFS(A:A,G:G,G42)&gt;3,5-A42,_xlfn.MAXIFS(A:A,G:G,G42)+1-A42),"")</f>
        <v/>
      </c>
      <c r="R42" s="4">
        <f>IF(G42="17-21",MAX(T42,V42,Y42,AA42,AC42,AF42),MAX(X42,AE42))</f>
        <v>44.02</v>
      </c>
      <c r="S42" s="4">
        <f>IF(G42="17-21",LARGE(CHOOSE({1,2,3,4,5,6},T42,V42,Y42,AA42,AC42,AF42),2),IF(R42=X42,MAX(Y42,AA42,AC42,AF42),IF(R42=AE42,MAX(AF42,T42,V42,Y42),0)))</f>
        <v>42.32</v>
      </c>
      <c r="T42" s="33">
        <v>35.94</v>
      </c>
      <c r="U42" s="40">
        <v>0</v>
      </c>
      <c r="V42" s="34">
        <v>42.32</v>
      </c>
      <c r="W42" s="40">
        <v>7.8</v>
      </c>
      <c r="X42" s="4">
        <f>IF(H42="Senior",MAX(T42,V42),T42+V42)</f>
        <v>78.259999999999991</v>
      </c>
      <c r="Y42" s="34"/>
      <c r="Z42" s="40"/>
      <c r="AA42" s="33">
        <v>36.31</v>
      </c>
      <c r="AB42" s="40">
        <v>0</v>
      </c>
      <c r="AC42" s="34">
        <v>44.02</v>
      </c>
      <c r="AD42" s="40">
        <v>9.1</v>
      </c>
      <c r="AE42" s="4">
        <f>IF(H42="Senior",MAX(AA42,AC42),AA42+AC42)</f>
        <v>80.330000000000013</v>
      </c>
      <c r="AF42" s="34"/>
      <c r="AG42" s="37"/>
    </row>
    <row r="43" spans="1:33" x14ac:dyDescent="0.2">
      <c r="A43" s="1" t="str" cm="1">
        <f t="array" ref="A43">IF(I43="","",IF(P43&lt;&gt;"",SUMPRODUCT((P$3:P$133&lt;&gt;"")*(G$3:G$133=G43)*(J$3:J$133&gt;J43)*(I$3:I$133="P"))+1,IF(O43&lt;&gt;"",SUMPRODUCT((O$3:O$133&lt;&gt;"")*(P$3:P$133="")*(G$3:G$133=G43)*(J$3:J$133&gt;J43)*(I$3:I$133="P"))+SUMPRODUCT((P$3:P$133&lt;&gt;"")*(G$3:G$133=G43)*(I$3:I$133="P"))+1,IF(N43&lt;&gt;"",SUMPRODUCT((N$3:N$133&lt;&gt;"")*(G$3:G$133=G43)*(J$3:J$133&gt;J43)*(I$3:I$133="P"))+1,IF(M43="P",SUMPRODUCT((O$3:O$133&lt;&gt;"")*(P$3:P$133="")*(G$3:G$133=G43)*(I$3:I$133="P"))+SUMPRODUCT((P$3:P$133&lt;&gt;"")*(G$3:G$133=G43)*(I$3:I$133="P"))+SUMPRODUCT((N$3:N$133&lt;&gt;"")*(G$3:G$133=G43)*(I$3:I$133="P"))+SUMPRODUCT((P$3:P$133="")*(O$3:O$133="")*(N$3:N$133="")*(M$3:M$133="P")*(G$3:G$133=G43)*(J$3:J$133&gt;J43)*(I$3:I$133="P"))+IF(H43="L5",SUMPRODUCT((P$3:P$133="")*(O$3:O$133="")*(N$3:N$133="")*(M$3:M$133="P")*(G$3:G$133=G43)*(J$3:J$133&lt;J43)*(H$3:H$133&lt;&gt;H43)*(I$3:I$133="P")),-1*SUMPRODUCT((P$3:P$133="")*(O$3:O$133="")*(N$3:N$133="")*(M$3:M$133="P")*(G$3:G$133=G43)*(J$3:J$133&gt;J43)*(H$3:H$133="L5")*(I$3:I$133="P")))+1,"")))))</f>
        <v/>
      </c>
      <c r="B43" s="1" t="str" cm="1">
        <f t="array" ref="B43">IF(P43&lt;&gt;"",SUMPRODUCT((P$3:P$133&lt;&gt;"")*(G$3:G$133=G43)*(J$3:J$133&gt;J43))+1,IF(O43&lt;&gt;"",SUMPRODUCT((O$3:O$133&lt;&gt;"")*(P$3:P$133="")*(G$3:G$133=G43)*(J$3:J$133&gt;J43))+SUMPRODUCT((P$3:P$133&lt;&gt;"")*(G$3:G$133=G43))+1,IF(N43&lt;&gt;"",SUMPRODUCT((N$3:N$133&lt;&gt;"")*(G$3:G$133=G43)*(J$3:J$133&gt;J43))+1,IF(M43="P",SUMPRODUCT((O$3:O$133&lt;&gt;"")*(P$3:P$133="")*(G$3:G$133=G43))+SUMPRODUCT((P$3:P$133&lt;&gt;"")*(G$3:G$133=G43))+SUMPRODUCT((N$3:N$133&lt;&gt;"")*(G$3:G$133=G43))+SUMPRODUCT((P$3:P$133="")*(O$3:O$133="")*(N$3:N$133="")*(M$3:M$133="P")*(G$3:G$133=G43)*(J$3:J$133&gt;J43))+IF(H43="L5",SUMPRODUCT((P$3:P$133="")*(O$3:O$133="")*(N$3:N$133="")*(M$3:M$133="P")*(G$3:G$133=G43)*(J$3:J$133&lt;J43)*(H$3:H$133&lt;&gt;H43)),-1*SUMPRODUCT((P$3:P$133="")*(O$3:O$133="")*(N$3:N$133="")*(M$3:M$133="P")*(G$3:G$133=G43)*(J$3:J$133&gt;J43)*(H$3:H$133="L5")))+1,""))))</f>
        <v/>
      </c>
      <c r="C43" s="36" t="s">
        <v>129</v>
      </c>
      <c r="D43" s="36" t="str">
        <f>IF(E43="","",VLOOKUP(E43,'Coaching Points'!A:B,2,0))</f>
        <v>ON</v>
      </c>
      <c r="E43" s="36" t="s">
        <v>47</v>
      </c>
      <c r="F43" s="35">
        <v>2006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66</v>
      </c>
      <c r="I43" s="43" t="s">
        <v>567</v>
      </c>
      <c r="J43" s="4">
        <f>R43+S43+IF(OR(H43="Junior",H43="Senior"),0.0002,IF(OR(H43="L7",H43="L6"),0.0001,0))+IF(G43="17-21",MAX(AA43,AC43,AF43),AE43)*0.0000001</f>
        <v>86.280004349999999</v>
      </c>
      <c r="K43" s="3" t="str">
        <f>IF(G43="Not Age Eligible","",IF(G43="17-21",IF(MAX(T43,V43,Y43,AA43,AC43,AF43)&gt;=LOOKUP(G43,'Qualifying Scores'!$A$4:$A$7,'Qualifying Scores'!$C$4:$C$7),"P",""),IF(MAX(X43-U43,AE43-AB43)&gt;=LOOKUP(G43,'Qualifying Scores'!$A$4:$A$7,'Qualifying Scores'!$C$4:$C$7),"P","")))</f>
        <v/>
      </c>
      <c r="L43" s="3" t="str">
        <f>IF(G43="Not Age Eligible","",IF(G43="17-21",IF(MAX(U43,W43,Z43,AB43,AD43,AG43)&gt;=LOOKUP(G43,'Qualifying Scores'!$A$10:$A$13,'Qualifying Scores'!$C$10:$C$13),"P",""),IF(MAX(W43,AD43)&gt;=LOOKUP(G43,'Qualifying Scores'!$A$10:$A$13,'Qualifying Scores'!$C$10:$C$13),"P","")))</f>
        <v/>
      </c>
      <c r="M43" s="3" t="str">
        <f>IF(G43="Not Age Eligible","",IF(G43="17-21",IF(OR(AND(T43&gt;=LOOKUP(G43,'Qualifying Scores'!$A$4:$A$7,'Qualifying Scores'!$C$4:$C$7),U43&gt;=LOOKUP(G43,'Qualifying Scores'!$A$10:$A$13,'Qualifying Scores'!$C$10:$C$13)),AND(V43&gt;=LOOKUP(G43,'Qualifying Scores'!$A$4:$A$7,'Qualifying Scores'!$C$4:$C$7),W43&gt;=LOOKUP(G43,'Qualifying Scores'!$A$10:$A$13,'Qualifying Scores'!$C$10:$C$13)),AND(Y43&gt;=LOOKUP(G43,'Qualifying Scores'!$A$4:$A$7,'Qualifying Scores'!$C$4:$C$7),Z43&gt;=LOOKUP(G43,'Qualifying Scores'!$A$10:$A$13,'Qualifying Scores'!$C$10:$C$13)),AND(AA43&gt;=LOOKUP(G43,'Qualifying Scores'!$A$4:$A$7,'Qualifying Scores'!$C$4:$C$7),AB43&gt;=LOOKUP(G43,'Qualifying Scores'!$A$10:$A$13,'Qualifying Scores'!$C$10:$C$13)),AND(AC43&gt;=LOOKUP(G43,'Qualifying Scores'!$A$4:$A$7,'Qualifying Scores'!$C$4:$C$7),AD43&gt;=LOOKUP(G43,'Qualifying Scores'!$A$10:$A$13,'Qualifying Scores'!$C$10:$C$13)),AND(AF43&gt;=LOOKUP(G43,'Qualifying Scores'!$A$4:$A$7,'Qualifying Scores'!$C$4:$C$7),AG43&gt;=LOOKUP(G43,'Qualifying Scores'!$A$10:$A$13,'Qualifying Scores'!$C$10:$C$13))),"P",""),IF(OR(AND(X43-U43&gt;=LOOKUP(G43,'Qualifying Scores'!$A$4:$A$7,'Qualifying Scores'!$C$4:$C$7),W43&gt;=LOOKUP(G43,'Qualifying Scores'!$A$10:$A$13,'Qualifying Scores'!$C$10:$C$13)),AND(AE43-AB43&gt;=LOOKUP(G43,'Qualifying Scores'!$A$4:$A$7,'Qualifying Scores'!$C$4:$C$7),AD43&gt;=LOOKUP(G43,'Qualifying Scores'!$A$10:$A$13,'Qualifying Scores'!$C$10:$C$13))),"P","")))</f>
        <v/>
      </c>
      <c r="Q43" s="1" t="str">
        <f>IF(A43&lt;5,IF(_xlfn.MAXIFS(A:A,G:G,G43)&gt;3,5-A43,_xlfn.MAXIFS(A:A,G:G,G43)+1-A43),"")</f>
        <v/>
      </c>
      <c r="R43" s="4">
        <f>IF(G43="17-21",MAX(T43,V43,Y43,AA43,AC43,AF43),MAX(X43,AE43))</f>
        <v>43.5</v>
      </c>
      <c r="S43" s="4">
        <f>IF(G43="17-21",LARGE(CHOOSE({1,2,3,4,5,6},T43,V43,Y43,AA43,AC43,AF43),2),IF(R43=X43,MAX(Y43,AA43,AC43,AF43),IF(R43=AE43,MAX(AF43,T43,V43,Y43),0)))</f>
        <v>42.78</v>
      </c>
      <c r="T43" s="33">
        <v>37.89</v>
      </c>
      <c r="U43" s="40">
        <v>0</v>
      </c>
      <c r="V43" s="34">
        <v>42.78</v>
      </c>
      <c r="W43" s="40">
        <v>7.7</v>
      </c>
      <c r="X43" s="4">
        <f>IF(H43="Senior",MAX(T43,V43),T43+V43)</f>
        <v>80.67</v>
      </c>
      <c r="Y43" s="34"/>
      <c r="Z43" s="40"/>
      <c r="AA43" s="33">
        <v>38.31</v>
      </c>
      <c r="AB43" s="40">
        <v>0</v>
      </c>
      <c r="AC43" s="34">
        <v>43.5</v>
      </c>
      <c r="AD43" s="40">
        <v>8.1999999999999993</v>
      </c>
      <c r="AE43" s="4">
        <f>IF(H43="Senior",MAX(AA43,AC43),AA43+AC43)</f>
        <v>81.81</v>
      </c>
      <c r="AF43" s="34"/>
      <c r="AG43" s="37"/>
    </row>
    <row r="44" spans="1:33" x14ac:dyDescent="0.2">
      <c r="A44" s="1" t="str" cm="1">
        <f t="array" ref="A44">IF(I44="","",IF(P44&lt;&gt;"",SUMPRODUCT((P$3:P$133&lt;&gt;"")*(G$3:G$133=G44)*(J$3:J$133&gt;J44)*(I$3:I$133="P"))+1,IF(O44&lt;&gt;"",SUMPRODUCT((O$3:O$133&lt;&gt;"")*(P$3:P$133="")*(G$3:G$133=G44)*(J$3:J$133&gt;J44)*(I$3:I$133="P"))+SUMPRODUCT((P$3:P$133&lt;&gt;"")*(G$3:G$133=G44)*(I$3:I$133="P"))+1,IF(N44&lt;&gt;"",SUMPRODUCT((N$3:N$133&lt;&gt;"")*(G$3:G$133=G44)*(J$3:J$133&gt;J44)*(I$3:I$133="P"))+1,IF(M44="P",SUMPRODUCT((O$3:O$133&lt;&gt;"")*(P$3:P$133="")*(G$3:G$133=G44)*(I$3:I$133="P"))+SUMPRODUCT((P$3:P$133&lt;&gt;"")*(G$3:G$133=G44)*(I$3:I$133="P"))+SUMPRODUCT((N$3:N$133&lt;&gt;"")*(G$3:G$133=G44)*(I$3:I$133="P"))+SUMPRODUCT((P$3:P$133="")*(O$3:O$133="")*(N$3:N$133="")*(M$3:M$133="P")*(G$3:G$133=G44)*(J$3:J$133&gt;J44)*(I$3:I$133="P"))+IF(H44="L5",SUMPRODUCT((P$3:P$133="")*(O$3:O$133="")*(N$3:N$133="")*(M$3:M$133="P")*(G$3:G$133=G44)*(J$3:J$133&lt;J44)*(H$3:H$133&lt;&gt;H44)*(I$3:I$133="P")),-1*SUMPRODUCT((P$3:P$133="")*(O$3:O$133="")*(N$3:N$133="")*(M$3:M$133="P")*(G$3:G$133=G44)*(J$3:J$133&gt;J44)*(H$3:H$133="L5")*(I$3:I$133="P")))+1,"")))))</f>
        <v/>
      </c>
      <c r="B44" s="1" t="str" cm="1">
        <f t="array" ref="B44">IF(P44&lt;&gt;"",SUMPRODUCT((P$3:P$133&lt;&gt;"")*(G$3:G$133=G44)*(J$3:J$133&gt;J44))+1,IF(O44&lt;&gt;"",SUMPRODUCT((O$3:O$133&lt;&gt;"")*(P$3:P$133="")*(G$3:G$133=G44)*(J$3:J$133&gt;J44))+SUMPRODUCT((P$3:P$133&lt;&gt;"")*(G$3:G$133=G44))+1,IF(N44&lt;&gt;"",SUMPRODUCT((N$3:N$133&lt;&gt;"")*(G$3:G$133=G44)*(J$3:J$133&gt;J44))+1,IF(M44="P",SUMPRODUCT((O$3:O$133&lt;&gt;"")*(P$3:P$133="")*(G$3:G$133=G44))+SUMPRODUCT((P$3:P$133&lt;&gt;"")*(G$3:G$133=G44))+SUMPRODUCT((N$3:N$133&lt;&gt;"")*(G$3:G$133=G44))+SUMPRODUCT((P$3:P$133="")*(O$3:O$133="")*(N$3:N$133="")*(M$3:M$133="P")*(G$3:G$133=G44)*(J$3:J$133&gt;J44))+IF(H44="L5",SUMPRODUCT((P$3:P$133="")*(O$3:O$133="")*(N$3:N$133="")*(M$3:M$133="P")*(G$3:G$133=G44)*(J$3:J$133&lt;J44)*(H$3:H$133&lt;&gt;H44)),-1*SUMPRODUCT((P$3:P$133="")*(O$3:O$133="")*(N$3:N$133="")*(M$3:M$133="P")*(G$3:G$133=G44)*(J$3:J$133&gt;J44)*(H$3:H$133="L5")))+1,""))))</f>
        <v/>
      </c>
      <c r="C44" s="36" t="s">
        <v>243</v>
      </c>
      <c r="D44" s="36" t="str">
        <f>IF(E44="","",VLOOKUP(E44,'Coaching Points'!A:B,2,0))</f>
        <v>QC</v>
      </c>
      <c r="E44" s="36" t="s">
        <v>3</v>
      </c>
      <c r="F44" s="35">
        <v>2006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68</v>
      </c>
      <c r="I44" s="43"/>
      <c r="J44" s="4">
        <f>R44+S44+IF(OR(H44="Junior",H44="Senior"),0.0002,IF(OR(H44="L7",H44="L6"),0.0001,0))+IF(G44="17-21",MAX(AA44,AC44,AF44),AE44)*0.0000001</f>
        <v>85.590104258000011</v>
      </c>
      <c r="K44" s="3" t="str">
        <f>IF(G44="Not Age Eligible","",IF(G44="17-21",IF(MAX(T44,V44,Y44,AA44,AC44,AF44)&gt;=LOOKUP(G44,'Qualifying Scores'!$A$4:$A$7,'Qualifying Scores'!$C$4:$C$7),"P",""),IF(MAX(X44-U44,AE44-AB44)&gt;=LOOKUP(G44,'Qualifying Scores'!$A$4:$A$7,'Qualifying Scores'!$C$4:$C$7),"P","")))</f>
        <v/>
      </c>
      <c r="L44" s="3" t="str">
        <f>IF(G44="Not Age Eligible","",IF(G44="17-21",IF(MAX(U44,W44,Z44,AB44,AD44,AG44)&gt;=LOOKUP(G44,'Qualifying Scores'!$A$10:$A$13,'Qualifying Scores'!$C$10:$C$13),"P",""),IF(MAX(W44,AD44)&gt;=LOOKUP(G44,'Qualifying Scores'!$A$10:$A$13,'Qualifying Scores'!$C$10:$C$13),"P","")))</f>
        <v/>
      </c>
      <c r="M44" s="3" t="str">
        <f>IF(G44="Not Age Eligible","",IF(G44="17-21",IF(OR(AND(T44&gt;=LOOKUP(G44,'Qualifying Scores'!$A$4:$A$7,'Qualifying Scores'!$C$4:$C$7),U44&gt;=LOOKUP(G44,'Qualifying Scores'!$A$10:$A$13,'Qualifying Scores'!$C$10:$C$13)),AND(V44&gt;=LOOKUP(G44,'Qualifying Scores'!$A$4:$A$7,'Qualifying Scores'!$C$4:$C$7),W44&gt;=LOOKUP(G44,'Qualifying Scores'!$A$10:$A$13,'Qualifying Scores'!$C$10:$C$13)),AND(Y44&gt;=LOOKUP(G44,'Qualifying Scores'!$A$4:$A$7,'Qualifying Scores'!$C$4:$C$7),Z44&gt;=LOOKUP(G44,'Qualifying Scores'!$A$10:$A$13,'Qualifying Scores'!$C$10:$C$13)),AND(AA44&gt;=LOOKUP(G44,'Qualifying Scores'!$A$4:$A$7,'Qualifying Scores'!$C$4:$C$7),AB44&gt;=LOOKUP(G44,'Qualifying Scores'!$A$10:$A$13,'Qualifying Scores'!$C$10:$C$13)),AND(AC44&gt;=LOOKUP(G44,'Qualifying Scores'!$A$4:$A$7,'Qualifying Scores'!$C$4:$C$7),AD44&gt;=LOOKUP(G44,'Qualifying Scores'!$A$10:$A$13,'Qualifying Scores'!$C$10:$C$13)),AND(AF44&gt;=LOOKUP(G44,'Qualifying Scores'!$A$4:$A$7,'Qualifying Scores'!$C$4:$C$7),AG44&gt;=LOOKUP(G44,'Qualifying Scores'!$A$10:$A$13,'Qualifying Scores'!$C$10:$C$13))),"P",""),IF(OR(AND(X44-U44&gt;=LOOKUP(G44,'Qualifying Scores'!$A$4:$A$7,'Qualifying Scores'!$C$4:$C$7),W44&gt;=LOOKUP(G44,'Qualifying Scores'!$A$10:$A$13,'Qualifying Scores'!$C$10:$C$13)),AND(AE44-AB44&gt;=LOOKUP(G44,'Qualifying Scores'!$A$4:$A$7,'Qualifying Scores'!$C$4:$C$7),AD44&gt;=LOOKUP(G44,'Qualifying Scores'!$A$10:$A$13,'Qualifying Scores'!$C$10:$C$13))),"P","")))</f>
        <v/>
      </c>
      <c r="Q44" s="1" t="str">
        <f>IF(A44&lt;5,IF(_xlfn.MAXIFS(A:A,G:G,G44)&gt;3,5-A44,_xlfn.MAXIFS(A:A,G:G,G44)+1-A44),"")</f>
        <v/>
      </c>
      <c r="R44" s="4">
        <f>IF(G44="17-21",MAX(T44,V44,Y44,AA44,AC44,AF44),MAX(X44,AE44))</f>
        <v>43.01</v>
      </c>
      <c r="S44" s="4">
        <f>IF(G44="17-21",LARGE(CHOOSE({1,2,3,4,5,6},T44,V44,Y44,AA44,AC44,AF44),2),IF(R44=X44,MAX(Y44,AA44,AC44,AF44),IF(R44=AE44,MAX(AF44,T44,V44,Y44),0)))</f>
        <v>42.58</v>
      </c>
      <c r="T44" s="33">
        <v>39.479999999999997</v>
      </c>
      <c r="U44" s="40">
        <v>0</v>
      </c>
      <c r="V44" s="34">
        <v>43.01</v>
      </c>
      <c r="W44" s="40">
        <v>6.9</v>
      </c>
      <c r="X44" s="4">
        <f>IF(H44="Senior",MAX(T44,V44),T44+V44)</f>
        <v>82.49</v>
      </c>
      <c r="Y44" s="34"/>
      <c r="Z44" s="40"/>
      <c r="AA44" s="33">
        <v>40.549999999999997</v>
      </c>
      <c r="AB44" s="40">
        <v>7.2</v>
      </c>
      <c r="AC44" s="34">
        <v>42.58</v>
      </c>
      <c r="AD44" s="40">
        <v>8.1</v>
      </c>
      <c r="AE44" s="4">
        <f>IF(H44="Senior",MAX(AA44,AC44),AA44+AC44)</f>
        <v>83.13</v>
      </c>
      <c r="AF44" s="34"/>
      <c r="AG44" s="37"/>
    </row>
    <row r="45" spans="1:33" x14ac:dyDescent="0.2">
      <c r="A45" s="1" t="str" cm="1">
        <f t="array" ref="A45">IF(I45="","",IF(P45&lt;&gt;"",SUMPRODUCT((P$3:P$133&lt;&gt;"")*(G$3:G$133=G45)*(J$3:J$133&gt;J45)*(I$3:I$133="P"))+1,IF(O45&lt;&gt;"",SUMPRODUCT((O$3:O$133&lt;&gt;"")*(P$3:P$133="")*(G$3:G$133=G45)*(J$3:J$133&gt;J45)*(I$3:I$133="P"))+SUMPRODUCT((P$3:P$133&lt;&gt;"")*(G$3:G$133=G45)*(I$3:I$133="P"))+1,IF(N45&lt;&gt;"",SUMPRODUCT((N$3:N$133&lt;&gt;"")*(G$3:G$133=G45)*(J$3:J$133&gt;J45)*(I$3:I$133="P"))+1,IF(M45="P",SUMPRODUCT((O$3:O$133&lt;&gt;"")*(P$3:P$133="")*(G$3:G$133=G45)*(I$3:I$133="P"))+SUMPRODUCT((P$3:P$133&lt;&gt;"")*(G$3:G$133=G45)*(I$3:I$133="P"))+SUMPRODUCT((N$3:N$133&lt;&gt;"")*(G$3:G$133=G45)*(I$3:I$133="P"))+SUMPRODUCT((P$3:P$133="")*(O$3:O$133="")*(N$3:N$133="")*(M$3:M$133="P")*(G$3:G$133=G45)*(J$3:J$133&gt;J45)*(I$3:I$133="P"))+IF(H45="L5",SUMPRODUCT((P$3:P$133="")*(O$3:O$133="")*(N$3:N$133="")*(M$3:M$133="P")*(G$3:G$133=G45)*(J$3:J$133&lt;J45)*(H$3:H$133&lt;&gt;H45)*(I$3:I$133="P")),-1*SUMPRODUCT((P$3:P$133="")*(O$3:O$133="")*(N$3:N$133="")*(M$3:M$133="P")*(G$3:G$133=G45)*(J$3:J$133&gt;J45)*(H$3:H$133="L5")*(I$3:I$133="P")))+1,"")))))</f>
        <v/>
      </c>
      <c r="B45" s="1" t="str" cm="1">
        <f t="array" ref="B45">IF(P45&lt;&gt;"",SUMPRODUCT((P$3:P$133&lt;&gt;"")*(G$3:G$133=G45)*(J$3:J$133&gt;J45))+1,IF(O45&lt;&gt;"",SUMPRODUCT((O$3:O$133&lt;&gt;"")*(P$3:P$133="")*(G$3:G$133=G45)*(J$3:J$133&gt;J45))+SUMPRODUCT((P$3:P$133&lt;&gt;"")*(G$3:G$133=G45))+1,IF(N45&lt;&gt;"",SUMPRODUCT((N$3:N$133&lt;&gt;"")*(G$3:G$133=G45)*(J$3:J$133&gt;J45))+1,IF(M45="P",SUMPRODUCT((O$3:O$133&lt;&gt;"")*(P$3:P$133="")*(G$3:G$133=G45))+SUMPRODUCT((P$3:P$133&lt;&gt;"")*(G$3:G$133=G45))+SUMPRODUCT((N$3:N$133&lt;&gt;"")*(G$3:G$133=G45))+SUMPRODUCT((P$3:P$133="")*(O$3:O$133="")*(N$3:N$133="")*(M$3:M$133="P")*(G$3:G$133=G45)*(J$3:J$133&gt;J45))+IF(H45="L5",SUMPRODUCT((P$3:P$133="")*(O$3:O$133="")*(N$3:N$133="")*(M$3:M$133="P")*(G$3:G$133=G45)*(J$3:J$133&lt;J45)*(H$3:H$133&lt;&gt;H45)),-1*SUMPRODUCT((P$3:P$133="")*(O$3:O$133="")*(N$3:N$133="")*(M$3:M$133="P")*(G$3:G$133=G45)*(J$3:J$133&gt;J45)*(H$3:H$133="L5")))+1,""))))</f>
        <v/>
      </c>
      <c r="C45" s="36" t="s">
        <v>131</v>
      </c>
      <c r="D45" s="36" t="str">
        <f>IF(E45="","",VLOOKUP(E45,'Coaching Points'!A:B,2,0))</f>
        <v>BC</v>
      </c>
      <c r="E45" s="36" t="s">
        <v>282</v>
      </c>
      <c r="F45" s="35">
        <v>2006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66</v>
      </c>
      <c r="I45" s="43"/>
      <c r="J45" s="4">
        <f>R45+S45+IF(OR(H45="Junior",H45="Senior"),0.0002,IF(OR(H45="L7",H45="L6"),0.0001,0))+IF(G45="17-21",MAX(AA45,AC45,AF45),AE45)*0.0000001</f>
        <v>84.74000453299999</v>
      </c>
      <c r="K45" s="3" t="str">
        <f>IF(G45="Not Age Eligible","",IF(G45="17-21",IF(MAX(T45,V45,Y45,AA45,AC45,AF45)&gt;=LOOKUP(G45,'Qualifying Scores'!$A$4:$A$7,'Qualifying Scores'!$C$4:$C$7),"P",""),IF(MAX(X45-U45,AE45-AB45)&gt;=LOOKUP(G45,'Qualifying Scores'!$A$4:$A$7,'Qualifying Scores'!$C$4:$C$7),"P","")))</f>
        <v/>
      </c>
      <c r="L45" s="3" t="str">
        <f>IF(G45="Not Age Eligible","",IF(G45="17-21",IF(MAX(U45,W45,Z45,AB45,AD45,AG45)&gt;=LOOKUP(G45,'Qualifying Scores'!$A$10:$A$13,'Qualifying Scores'!$C$10:$C$13),"P",""),IF(MAX(W45,AD45)&gt;=LOOKUP(G45,'Qualifying Scores'!$A$10:$A$13,'Qualifying Scores'!$C$10:$C$13),"P","")))</f>
        <v/>
      </c>
      <c r="M45" s="3" t="str">
        <f>IF(G45="Not Age Eligible","",IF(G45="17-21",IF(OR(AND(T45&gt;=LOOKUP(G45,'Qualifying Scores'!$A$4:$A$7,'Qualifying Scores'!$C$4:$C$7),U45&gt;=LOOKUP(G45,'Qualifying Scores'!$A$10:$A$13,'Qualifying Scores'!$C$10:$C$13)),AND(V45&gt;=LOOKUP(G45,'Qualifying Scores'!$A$4:$A$7,'Qualifying Scores'!$C$4:$C$7),W45&gt;=LOOKUP(G45,'Qualifying Scores'!$A$10:$A$13,'Qualifying Scores'!$C$10:$C$13)),AND(Y45&gt;=LOOKUP(G45,'Qualifying Scores'!$A$4:$A$7,'Qualifying Scores'!$C$4:$C$7),Z45&gt;=LOOKUP(G45,'Qualifying Scores'!$A$10:$A$13,'Qualifying Scores'!$C$10:$C$13)),AND(AA45&gt;=LOOKUP(G45,'Qualifying Scores'!$A$4:$A$7,'Qualifying Scores'!$C$4:$C$7),AB45&gt;=LOOKUP(G45,'Qualifying Scores'!$A$10:$A$13,'Qualifying Scores'!$C$10:$C$13)),AND(AC45&gt;=LOOKUP(G45,'Qualifying Scores'!$A$4:$A$7,'Qualifying Scores'!$C$4:$C$7),AD45&gt;=LOOKUP(G45,'Qualifying Scores'!$A$10:$A$13,'Qualifying Scores'!$C$10:$C$13)),AND(AF45&gt;=LOOKUP(G45,'Qualifying Scores'!$A$4:$A$7,'Qualifying Scores'!$C$4:$C$7),AG45&gt;=LOOKUP(G45,'Qualifying Scores'!$A$10:$A$13,'Qualifying Scores'!$C$10:$C$13))),"P",""),IF(OR(AND(X45-U45&gt;=LOOKUP(G45,'Qualifying Scores'!$A$4:$A$7,'Qualifying Scores'!$C$4:$C$7),W45&gt;=LOOKUP(G45,'Qualifying Scores'!$A$10:$A$13,'Qualifying Scores'!$C$10:$C$13)),AND(AE45-AB45&gt;=LOOKUP(G45,'Qualifying Scores'!$A$4:$A$7,'Qualifying Scores'!$C$4:$C$7),AD45&gt;=LOOKUP(G45,'Qualifying Scores'!$A$10:$A$13,'Qualifying Scores'!$C$10:$C$13))),"P","")))</f>
        <v/>
      </c>
      <c r="Q45" s="1" t="str">
        <f>IF(A45&lt;5,IF(_xlfn.MAXIFS(A:A,G:G,G45)&gt;3,5-A45,_xlfn.MAXIFS(A:A,G:G,G45)+1-A45),"")</f>
        <v/>
      </c>
      <c r="R45" s="4">
        <f>IF(G45="17-21",MAX(T45,V45,Y45,AA45,AC45,AF45),MAX(X45,AE45))</f>
        <v>45.33</v>
      </c>
      <c r="S45" s="4">
        <f>IF(G45="17-21",LARGE(CHOOSE({1,2,3,4,5,6},T45,V45,Y45,AA45,AC45,AF45),2),IF(R45=X45,MAX(Y45,AA45,AC45,AF45),IF(R45=AE45,MAX(AF45,T45,V45,Y45),0)))</f>
        <v>39.409999999999997</v>
      </c>
      <c r="T45" s="33">
        <v>39.409999999999997</v>
      </c>
      <c r="U45" s="40">
        <v>0</v>
      </c>
      <c r="V45" s="34">
        <v>9.25</v>
      </c>
      <c r="W45" s="40">
        <v>1.9</v>
      </c>
      <c r="X45" s="4">
        <f>IF(H45="Senior",MAX(T45,V45),T45+V45)</f>
        <v>48.66</v>
      </c>
      <c r="Y45" s="34"/>
      <c r="Z45" s="40"/>
      <c r="AA45" s="33">
        <v>39.090000000000003</v>
      </c>
      <c r="AB45" s="40">
        <v>0</v>
      </c>
      <c r="AC45" s="34">
        <v>45.33</v>
      </c>
      <c r="AD45" s="40">
        <v>7.9</v>
      </c>
      <c r="AE45" s="4">
        <f>IF(H45="Senior",MAX(AA45,AC45),AA45+AC45)</f>
        <v>84.42</v>
      </c>
      <c r="AF45" s="34"/>
      <c r="AG45" s="37"/>
    </row>
    <row r="46" spans="1:33" x14ac:dyDescent="0.2">
      <c r="A46" s="1" t="str" cm="1">
        <f t="array" ref="A46">IF(I46="","",IF(P46&lt;&gt;"",SUMPRODUCT((P$3:P$133&lt;&gt;"")*(G$3:G$133=G46)*(J$3:J$133&gt;J46)*(I$3:I$133="P"))+1,IF(O46&lt;&gt;"",SUMPRODUCT((O$3:O$133&lt;&gt;"")*(P$3:P$133="")*(G$3:G$133=G46)*(J$3:J$133&gt;J46)*(I$3:I$133="P"))+SUMPRODUCT((P$3:P$133&lt;&gt;"")*(G$3:G$133=G46)*(I$3:I$133="P"))+1,IF(N46&lt;&gt;"",SUMPRODUCT((N$3:N$133&lt;&gt;"")*(G$3:G$133=G46)*(J$3:J$133&gt;J46)*(I$3:I$133="P"))+1,IF(M46="P",SUMPRODUCT((O$3:O$133&lt;&gt;"")*(P$3:P$133="")*(G$3:G$133=G46)*(I$3:I$133="P"))+SUMPRODUCT((P$3:P$133&lt;&gt;"")*(G$3:G$133=G46)*(I$3:I$133="P"))+SUMPRODUCT((N$3:N$133&lt;&gt;"")*(G$3:G$133=G46)*(I$3:I$133="P"))+SUMPRODUCT((P$3:P$133="")*(O$3:O$133="")*(N$3:N$133="")*(M$3:M$133="P")*(G$3:G$133=G46)*(J$3:J$133&gt;J46)*(I$3:I$133="P"))+IF(H46="L5",SUMPRODUCT((P$3:P$133="")*(O$3:O$133="")*(N$3:N$133="")*(M$3:M$133="P")*(G$3:G$133=G46)*(J$3:J$133&lt;J46)*(H$3:H$133&lt;&gt;H46)*(I$3:I$133="P")),-1*SUMPRODUCT((P$3:P$133="")*(O$3:O$133="")*(N$3:N$133="")*(M$3:M$133="P")*(G$3:G$133=G46)*(J$3:J$133&gt;J46)*(H$3:H$133="L5")*(I$3:I$133="P")))+1,"")))))</f>
        <v/>
      </c>
      <c r="B46" s="1" t="str" cm="1">
        <f t="array" ref="B46">IF(P46&lt;&gt;"",SUMPRODUCT((P$3:P$133&lt;&gt;"")*(G$3:G$133=G46)*(J$3:J$133&gt;J46))+1,IF(O46&lt;&gt;"",SUMPRODUCT((O$3:O$133&lt;&gt;"")*(P$3:P$133="")*(G$3:G$133=G46)*(J$3:J$133&gt;J46))+SUMPRODUCT((P$3:P$133&lt;&gt;"")*(G$3:G$133=G46))+1,IF(N46&lt;&gt;"",SUMPRODUCT((N$3:N$133&lt;&gt;"")*(G$3:G$133=G46)*(J$3:J$133&gt;J46))+1,IF(M46="P",SUMPRODUCT((O$3:O$133&lt;&gt;"")*(P$3:P$133="")*(G$3:G$133=G46))+SUMPRODUCT((P$3:P$133&lt;&gt;"")*(G$3:G$133=G46))+SUMPRODUCT((N$3:N$133&lt;&gt;"")*(G$3:G$133=G46))+SUMPRODUCT((P$3:P$133="")*(O$3:O$133="")*(N$3:N$133="")*(M$3:M$133="P")*(G$3:G$133=G46)*(J$3:J$133&gt;J46))+IF(H46="L5",SUMPRODUCT((P$3:P$133="")*(O$3:O$133="")*(N$3:N$133="")*(M$3:M$133="P")*(G$3:G$133=G46)*(J$3:J$133&lt;J46)*(H$3:H$133&lt;&gt;H46)),-1*SUMPRODUCT((P$3:P$133="")*(O$3:O$133="")*(N$3:N$133="")*(M$3:M$133="P")*(G$3:G$133=G46)*(J$3:J$133&gt;J46)*(H$3:H$133="L5")))+1,""))))</f>
        <v/>
      </c>
      <c r="C46" s="36" t="s">
        <v>143</v>
      </c>
      <c r="D46" s="36" t="str">
        <f>IF(E46="","",VLOOKUP(E46,'Coaching Points'!A:B,2,0))</f>
        <v>BC</v>
      </c>
      <c r="E46" s="36" t="s">
        <v>61</v>
      </c>
      <c r="F46" s="35">
        <v>2003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66</v>
      </c>
      <c r="I46" s="43"/>
      <c r="J46" s="4">
        <f>R46+S46+IF(OR(H46="Junior",H46="Senior"),0.0002,IF(OR(H46="L7",H46="L6"),0.0001,0))+IF(G46="17-21",MAX(AA46,AC46,AF46),AE46)*0.0000001</f>
        <v>84.690004232999996</v>
      </c>
      <c r="K46" s="3" t="str">
        <f>IF(G46="Not Age Eligible","",IF(G46="17-21",IF(MAX(T46,V46,Y46,AA46,AC46,AF46)&gt;=LOOKUP(G46,'Qualifying Scores'!$A$4:$A$7,'Qualifying Scores'!$C$4:$C$7),"P",""),IF(MAX(X46-U46,AE46-AB46)&gt;=LOOKUP(G46,'Qualifying Scores'!$A$4:$A$7,'Qualifying Scores'!$C$4:$C$7),"P","")))</f>
        <v/>
      </c>
      <c r="L46" s="3" t="str">
        <f>IF(G46="Not Age Eligible","",IF(G46="17-21",IF(MAX(U46,W46,Z46,AB46,AD46,AG46)&gt;=LOOKUP(G46,'Qualifying Scores'!$A$10:$A$13,'Qualifying Scores'!$C$10:$C$13),"P",""),IF(MAX(W46,AD46)&gt;=LOOKUP(G46,'Qualifying Scores'!$A$10:$A$13,'Qualifying Scores'!$C$10:$C$13),"P","")))</f>
        <v/>
      </c>
      <c r="M46" s="3" t="str">
        <f>IF(G46="Not Age Eligible","",IF(G46="17-21",IF(OR(AND(T46&gt;=LOOKUP(G46,'Qualifying Scores'!$A$4:$A$7,'Qualifying Scores'!$C$4:$C$7),U46&gt;=LOOKUP(G46,'Qualifying Scores'!$A$10:$A$13,'Qualifying Scores'!$C$10:$C$13)),AND(V46&gt;=LOOKUP(G46,'Qualifying Scores'!$A$4:$A$7,'Qualifying Scores'!$C$4:$C$7),W46&gt;=LOOKUP(G46,'Qualifying Scores'!$A$10:$A$13,'Qualifying Scores'!$C$10:$C$13)),AND(Y46&gt;=LOOKUP(G46,'Qualifying Scores'!$A$4:$A$7,'Qualifying Scores'!$C$4:$C$7),Z46&gt;=LOOKUP(G46,'Qualifying Scores'!$A$10:$A$13,'Qualifying Scores'!$C$10:$C$13)),AND(AA46&gt;=LOOKUP(G46,'Qualifying Scores'!$A$4:$A$7,'Qualifying Scores'!$C$4:$C$7),AB46&gt;=LOOKUP(G46,'Qualifying Scores'!$A$10:$A$13,'Qualifying Scores'!$C$10:$C$13)),AND(AC46&gt;=LOOKUP(G46,'Qualifying Scores'!$A$4:$A$7,'Qualifying Scores'!$C$4:$C$7),AD46&gt;=LOOKUP(G46,'Qualifying Scores'!$A$10:$A$13,'Qualifying Scores'!$C$10:$C$13)),AND(AF46&gt;=LOOKUP(G46,'Qualifying Scores'!$A$4:$A$7,'Qualifying Scores'!$C$4:$C$7),AG46&gt;=LOOKUP(G46,'Qualifying Scores'!$A$10:$A$13,'Qualifying Scores'!$C$10:$C$13))),"P",""),IF(OR(AND(X46-U46&gt;=LOOKUP(G46,'Qualifying Scores'!$A$4:$A$7,'Qualifying Scores'!$C$4:$C$7),W46&gt;=LOOKUP(G46,'Qualifying Scores'!$A$10:$A$13,'Qualifying Scores'!$C$10:$C$13)),AND(AE46-AB46&gt;=LOOKUP(G46,'Qualifying Scores'!$A$4:$A$7,'Qualifying Scores'!$C$4:$C$7),AD46&gt;=LOOKUP(G46,'Qualifying Scores'!$A$10:$A$13,'Qualifying Scores'!$C$10:$C$13))),"P","")))</f>
        <v/>
      </c>
      <c r="Q46" s="1" t="str">
        <f>IF(A46&lt;5,IF(_xlfn.MAXIFS(A:A,G:G,G46)&gt;3,5-A46,_xlfn.MAXIFS(A:A,G:G,G46)+1-A46),"")</f>
        <v/>
      </c>
      <c r="R46" s="4">
        <f>IF(G46="17-21",MAX(T46,V46,Y46,AA46,AC46,AF46),MAX(X46,AE46))</f>
        <v>42.36</v>
      </c>
      <c r="S46" s="4">
        <f>IF(G46="17-21",LARGE(CHOOSE({1,2,3,4,5,6},T46,V46,Y46,AA46,AC46,AF46),2),IF(R46=X46,MAX(Y46,AA46,AC46,AF46),IF(R46=AE46,MAX(AF46,T46,V46,Y46),0)))</f>
        <v>42.33</v>
      </c>
      <c r="T46" s="33">
        <v>36.11</v>
      </c>
      <c r="U46" s="40">
        <v>0</v>
      </c>
      <c r="V46" s="34">
        <v>42.36</v>
      </c>
      <c r="W46" s="40">
        <v>7.8</v>
      </c>
      <c r="X46" s="4">
        <f>IF(H46="Senior",MAX(T46,V46),T46+V46)</f>
        <v>78.47</v>
      </c>
      <c r="Y46" s="34"/>
      <c r="Z46" s="40"/>
      <c r="AA46" s="33">
        <v>35.729999999999997</v>
      </c>
      <c r="AB46" s="40">
        <v>0</v>
      </c>
      <c r="AC46" s="34">
        <v>42.33</v>
      </c>
      <c r="AD46" s="40">
        <v>8.4</v>
      </c>
      <c r="AE46" s="4">
        <f>IF(H46="Senior",MAX(AA46,AC46),AA46+AC46)</f>
        <v>78.06</v>
      </c>
      <c r="AF46" s="34"/>
      <c r="AG46" s="37"/>
    </row>
    <row r="47" spans="1:33" x14ac:dyDescent="0.2">
      <c r="A47" s="1" t="str" cm="1">
        <f t="array" ref="A47">IF(I47="","",IF(P47&lt;&gt;"",SUMPRODUCT((P$3:P$133&lt;&gt;"")*(G$3:G$133=G47)*(J$3:J$133&gt;J47)*(I$3:I$133="P"))+1,IF(O47&lt;&gt;"",SUMPRODUCT((O$3:O$133&lt;&gt;"")*(P$3:P$133="")*(G$3:G$133=G47)*(J$3:J$133&gt;J47)*(I$3:I$133="P"))+SUMPRODUCT((P$3:P$133&lt;&gt;"")*(G$3:G$133=G47)*(I$3:I$133="P"))+1,IF(N47&lt;&gt;"",SUMPRODUCT((N$3:N$133&lt;&gt;"")*(G$3:G$133=G47)*(J$3:J$133&gt;J47)*(I$3:I$133="P"))+1,IF(M47="P",SUMPRODUCT((O$3:O$133&lt;&gt;"")*(P$3:P$133="")*(G$3:G$133=G47)*(I$3:I$133="P"))+SUMPRODUCT((P$3:P$133&lt;&gt;"")*(G$3:G$133=G47)*(I$3:I$133="P"))+SUMPRODUCT((N$3:N$133&lt;&gt;"")*(G$3:G$133=G47)*(I$3:I$133="P"))+SUMPRODUCT((P$3:P$133="")*(O$3:O$133="")*(N$3:N$133="")*(M$3:M$133="P")*(G$3:G$133=G47)*(J$3:J$133&gt;J47)*(I$3:I$133="P"))+IF(H47="L5",SUMPRODUCT((P$3:P$133="")*(O$3:O$133="")*(N$3:N$133="")*(M$3:M$133="P")*(G$3:G$133=G47)*(J$3:J$133&lt;J47)*(H$3:H$133&lt;&gt;H47)*(I$3:I$133="P")),-1*SUMPRODUCT((P$3:P$133="")*(O$3:O$133="")*(N$3:N$133="")*(M$3:M$133="P")*(G$3:G$133=G47)*(J$3:J$133&gt;J47)*(H$3:H$133="L5")*(I$3:I$133="P")))+1,"")))))</f>
        <v/>
      </c>
      <c r="B47" s="1" t="str" cm="1">
        <f t="array" ref="B47">IF(P47&lt;&gt;"",SUMPRODUCT((P$3:P$133&lt;&gt;"")*(G$3:G$133=G47)*(J$3:J$133&gt;J47))+1,IF(O47&lt;&gt;"",SUMPRODUCT((O$3:O$133&lt;&gt;"")*(P$3:P$133="")*(G$3:G$133=G47)*(J$3:J$133&gt;J47))+SUMPRODUCT((P$3:P$133&lt;&gt;"")*(G$3:G$133=G47))+1,IF(N47&lt;&gt;"",SUMPRODUCT((N$3:N$133&lt;&gt;"")*(G$3:G$133=G47)*(J$3:J$133&gt;J47))+1,IF(M47="P",SUMPRODUCT((O$3:O$133&lt;&gt;"")*(P$3:P$133="")*(G$3:G$133=G47))+SUMPRODUCT((P$3:P$133&lt;&gt;"")*(G$3:G$133=G47))+SUMPRODUCT((N$3:N$133&lt;&gt;"")*(G$3:G$133=G47))+SUMPRODUCT((P$3:P$133="")*(O$3:O$133="")*(N$3:N$133="")*(M$3:M$133="P")*(G$3:G$133=G47)*(J$3:J$133&gt;J47))+IF(H47="L5",SUMPRODUCT((P$3:P$133="")*(O$3:O$133="")*(N$3:N$133="")*(M$3:M$133="P")*(G$3:G$133=G47)*(J$3:J$133&lt;J47)*(H$3:H$133&lt;&gt;H47)),-1*SUMPRODUCT((P$3:P$133="")*(O$3:O$133="")*(N$3:N$133="")*(M$3:M$133="P")*(G$3:G$133=G47)*(J$3:J$133&gt;J47)*(H$3:H$133="L5")))+1,""))))</f>
        <v/>
      </c>
      <c r="C47" s="36" t="s">
        <v>446</v>
      </c>
      <c r="D47" s="36" t="str">
        <f>IF(E47="","",VLOOKUP(E47,'Coaching Points'!A:B,2,0))</f>
        <v>QC</v>
      </c>
      <c r="E47" s="36" t="s">
        <v>96</v>
      </c>
      <c r="F47" s="35">
        <v>2005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66</v>
      </c>
      <c r="I47" s="43"/>
      <c r="J47" s="4">
        <f>R47+S47+IF(OR(H47="Junior",H47="Senior"),0.0002,IF(OR(H47="L7",H47="L6"),0.0001,0))+IF(G47="17-21",MAX(AA47,AC47,AF47),AE47)*0.0000001</f>
        <v>84.280004504000004</v>
      </c>
      <c r="K47" s="3" t="str">
        <f>IF(G47="Not Age Eligible","",IF(G47="17-21",IF(MAX(T47,V47,Y47,AA47,AC47,AF47)&gt;=LOOKUP(G47,'Qualifying Scores'!$A$4:$A$7,'Qualifying Scores'!$C$4:$C$7),"P",""),IF(MAX(X47-U47,AE47-AB47)&gt;=LOOKUP(G47,'Qualifying Scores'!$A$4:$A$7,'Qualifying Scores'!$C$4:$C$7),"P","")))</f>
        <v/>
      </c>
      <c r="L47" s="3" t="str">
        <f>IF(G47="Not Age Eligible","",IF(G47="17-21",IF(MAX(U47,W47,Z47,AB47,AD47,AG47)&gt;=LOOKUP(G47,'Qualifying Scores'!$A$10:$A$13,'Qualifying Scores'!$C$10:$C$13),"P",""),IF(MAX(W47,AD47)&gt;=LOOKUP(G47,'Qualifying Scores'!$A$10:$A$13,'Qualifying Scores'!$C$10:$C$13),"P","")))</f>
        <v/>
      </c>
      <c r="M47" s="3" t="str">
        <f>IF(G47="Not Age Eligible","",IF(G47="17-21",IF(OR(AND(T47&gt;=LOOKUP(G47,'Qualifying Scores'!$A$4:$A$7,'Qualifying Scores'!$C$4:$C$7),U47&gt;=LOOKUP(G47,'Qualifying Scores'!$A$10:$A$13,'Qualifying Scores'!$C$10:$C$13)),AND(V47&gt;=LOOKUP(G47,'Qualifying Scores'!$A$4:$A$7,'Qualifying Scores'!$C$4:$C$7),W47&gt;=LOOKUP(G47,'Qualifying Scores'!$A$10:$A$13,'Qualifying Scores'!$C$10:$C$13)),AND(Y47&gt;=LOOKUP(G47,'Qualifying Scores'!$A$4:$A$7,'Qualifying Scores'!$C$4:$C$7),Z47&gt;=LOOKUP(G47,'Qualifying Scores'!$A$10:$A$13,'Qualifying Scores'!$C$10:$C$13)),AND(AA47&gt;=LOOKUP(G47,'Qualifying Scores'!$A$4:$A$7,'Qualifying Scores'!$C$4:$C$7),AB47&gt;=LOOKUP(G47,'Qualifying Scores'!$A$10:$A$13,'Qualifying Scores'!$C$10:$C$13)),AND(AC47&gt;=LOOKUP(G47,'Qualifying Scores'!$A$4:$A$7,'Qualifying Scores'!$C$4:$C$7),AD47&gt;=LOOKUP(G47,'Qualifying Scores'!$A$10:$A$13,'Qualifying Scores'!$C$10:$C$13)),AND(AF47&gt;=LOOKUP(G47,'Qualifying Scores'!$A$4:$A$7,'Qualifying Scores'!$C$4:$C$7),AG47&gt;=LOOKUP(G47,'Qualifying Scores'!$A$10:$A$13,'Qualifying Scores'!$C$10:$C$13))),"P",""),IF(OR(AND(X47-U47&gt;=LOOKUP(G47,'Qualifying Scores'!$A$4:$A$7,'Qualifying Scores'!$C$4:$C$7),W47&gt;=LOOKUP(G47,'Qualifying Scores'!$A$10:$A$13,'Qualifying Scores'!$C$10:$C$13)),AND(AE47-AB47&gt;=LOOKUP(G47,'Qualifying Scores'!$A$4:$A$7,'Qualifying Scores'!$C$4:$C$7),AD47&gt;=LOOKUP(G47,'Qualifying Scores'!$A$10:$A$13,'Qualifying Scores'!$C$10:$C$13))),"P","")))</f>
        <v/>
      </c>
      <c r="Q47" s="1" t="str">
        <f>IF(A47&lt;5,IF(_xlfn.MAXIFS(A:A,G:G,G47)&gt;3,5-A47,_xlfn.MAXIFS(A:A,G:G,G47)+1-A47),"")</f>
        <v/>
      </c>
      <c r="R47" s="4">
        <f>IF(G47="17-21",MAX(T47,V47,Y47,AA47,AC47,AF47),MAX(X47,AE47))</f>
        <v>45.04</v>
      </c>
      <c r="S47" s="4">
        <f>IF(G47="17-21",LARGE(CHOOSE({1,2,3,4,5,6},T47,V47,Y47,AA47,AC47,AF47),2),IF(R47=X47,MAX(Y47,AA47,AC47,AF47),IF(R47=AE47,MAX(AF47,T47,V47,Y47),0)))</f>
        <v>39.24</v>
      </c>
      <c r="T47" s="33"/>
      <c r="U47" s="40"/>
      <c r="V47" s="34"/>
      <c r="W47" s="40"/>
      <c r="X47" s="4">
        <f>IF(H47="Senior",MAX(T47,V47),T47+V47)</f>
        <v>0</v>
      </c>
      <c r="Y47" s="34"/>
      <c r="Z47" s="40"/>
      <c r="AA47" s="33">
        <v>39.24</v>
      </c>
      <c r="AB47" s="40">
        <v>0</v>
      </c>
      <c r="AC47" s="34">
        <v>45.04</v>
      </c>
      <c r="AD47" s="40">
        <v>7.4</v>
      </c>
      <c r="AE47" s="4">
        <f>IF(H47="Senior",MAX(AA47,AC47),AA47+AC47)</f>
        <v>84.28</v>
      </c>
      <c r="AF47" s="34"/>
      <c r="AG47" s="37"/>
    </row>
    <row r="48" spans="1:33" x14ac:dyDescent="0.2">
      <c r="A48" s="1" t="str" cm="1">
        <f t="array" ref="A48">IF(I48="","",IF(P48&lt;&gt;"",SUMPRODUCT((P$3:P$133&lt;&gt;"")*(G$3:G$133=G48)*(J$3:J$133&gt;J48)*(I$3:I$133="P"))+1,IF(O48&lt;&gt;"",SUMPRODUCT((O$3:O$133&lt;&gt;"")*(P$3:P$133="")*(G$3:G$133=G48)*(J$3:J$133&gt;J48)*(I$3:I$133="P"))+SUMPRODUCT((P$3:P$133&lt;&gt;"")*(G$3:G$133=G48)*(I$3:I$133="P"))+1,IF(N48&lt;&gt;"",SUMPRODUCT((N$3:N$133&lt;&gt;"")*(G$3:G$133=G48)*(J$3:J$133&gt;J48)*(I$3:I$133="P"))+1,IF(M48="P",SUMPRODUCT((O$3:O$133&lt;&gt;"")*(P$3:P$133="")*(G$3:G$133=G48)*(I$3:I$133="P"))+SUMPRODUCT((P$3:P$133&lt;&gt;"")*(G$3:G$133=G48)*(I$3:I$133="P"))+SUMPRODUCT((N$3:N$133&lt;&gt;"")*(G$3:G$133=G48)*(I$3:I$133="P"))+SUMPRODUCT((P$3:P$133="")*(O$3:O$133="")*(N$3:N$133="")*(M$3:M$133="P")*(G$3:G$133=G48)*(J$3:J$133&gt;J48)*(I$3:I$133="P"))+IF(H48="L5",SUMPRODUCT((P$3:P$133="")*(O$3:O$133="")*(N$3:N$133="")*(M$3:M$133="P")*(G$3:G$133=G48)*(J$3:J$133&lt;J48)*(H$3:H$133&lt;&gt;H48)*(I$3:I$133="P")),-1*SUMPRODUCT((P$3:P$133="")*(O$3:O$133="")*(N$3:N$133="")*(M$3:M$133="P")*(G$3:G$133=G48)*(J$3:J$133&gt;J48)*(H$3:H$133="L5")*(I$3:I$133="P")))+1,"")))))</f>
        <v/>
      </c>
      <c r="B48" s="1" t="str" cm="1">
        <f t="array" ref="B48">IF(P48&lt;&gt;"",SUMPRODUCT((P$3:P$133&lt;&gt;"")*(G$3:G$133=G48)*(J$3:J$133&gt;J48))+1,IF(O48&lt;&gt;"",SUMPRODUCT((O$3:O$133&lt;&gt;"")*(P$3:P$133="")*(G$3:G$133=G48)*(J$3:J$133&gt;J48))+SUMPRODUCT((P$3:P$133&lt;&gt;"")*(G$3:G$133=G48))+1,IF(N48&lt;&gt;"",SUMPRODUCT((N$3:N$133&lt;&gt;"")*(G$3:G$133=G48)*(J$3:J$133&gt;J48))+1,IF(M48="P",SUMPRODUCT((O$3:O$133&lt;&gt;"")*(P$3:P$133="")*(G$3:G$133=G48))+SUMPRODUCT((P$3:P$133&lt;&gt;"")*(G$3:G$133=G48))+SUMPRODUCT((N$3:N$133&lt;&gt;"")*(G$3:G$133=G48))+SUMPRODUCT((P$3:P$133="")*(O$3:O$133="")*(N$3:N$133="")*(M$3:M$133="P")*(G$3:G$133=G48)*(J$3:J$133&gt;J48))+IF(H48="L5",SUMPRODUCT((P$3:P$133="")*(O$3:O$133="")*(N$3:N$133="")*(M$3:M$133="P")*(G$3:G$133=G48)*(J$3:J$133&lt;J48)*(H$3:H$133&lt;&gt;H48)),-1*SUMPRODUCT((P$3:P$133="")*(O$3:O$133="")*(N$3:N$133="")*(M$3:M$133="P")*(G$3:G$133=G48)*(J$3:J$133&gt;J48)*(H$3:H$133="L5")))+1,""))))</f>
        <v/>
      </c>
      <c r="C48" s="36" t="s">
        <v>447</v>
      </c>
      <c r="D48" s="36" t="str">
        <f>IF(E48="","",VLOOKUP(E48,'Coaching Points'!A:B,2,0))</f>
        <v>ON</v>
      </c>
      <c r="E48" s="36" t="s">
        <v>419</v>
      </c>
      <c r="F48" s="35">
        <v>2006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66</v>
      </c>
      <c r="I48" s="43"/>
      <c r="J48" s="4">
        <f>R48+S48+IF(OR(H48="Junior",H48="Senior"),0.0002,IF(OR(H48="L7",H48="L6"),0.0001,0))+IF(G48="17-21",MAX(AA48,AC48,AF48),AE48)*0.0000001</f>
        <v>83.510004515999995</v>
      </c>
      <c r="K48" s="3" t="str">
        <f>IF(G48="Not Age Eligible","",IF(G48="17-21",IF(MAX(T48,V48,Y48,AA48,AC48,AF48)&gt;=LOOKUP(G48,'Qualifying Scores'!$A$4:$A$7,'Qualifying Scores'!$C$4:$C$7),"P",""),IF(MAX(X48-U48,AE48-AB48)&gt;=LOOKUP(G48,'Qualifying Scores'!$A$4:$A$7,'Qualifying Scores'!$C$4:$C$7),"P","")))</f>
        <v/>
      </c>
      <c r="L48" s="3" t="str">
        <f>IF(G48="Not Age Eligible","",IF(G48="17-21",IF(MAX(U48,W48,Z48,AB48,AD48,AG48)&gt;=LOOKUP(G48,'Qualifying Scores'!$A$10:$A$13,'Qualifying Scores'!$C$10:$C$13),"P",""),IF(MAX(W48,AD48)&gt;=LOOKUP(G48,'Qualifying Scores'!$A$10:$A$13,'Qualifying Scores'!$C$10:$C$13),"P","")))</f>
        <v/>
      </c>
      <c r="M48" s="3" t="str">
        <f>IF(G48="Not Age Eligible","",IF(G48="17-21",IF(OR(AND(T48&gt;=LOOKUP(G48,'Qualifying Scores'!$A$4:$A$7,'Qualifying Scores'!$C$4:$C$7),U48&gt;=LOOKUP(G48,'Qualifying Scores'!$A$10:$A$13,'Qualifying Scores'!$C$10:$C$13)),AND(V48&gt;=LOOKUP(G48,'Qualifying Scores'!$A$4:$A$7,'Qualifying Scores'!$C$4:$C$7),W48&gt;=LOOKUP(G48,'Qualifying Scores'!$A$10:$A$13,'Qualifying Scores'!$C$10:$C$13)),AND(Y48&gt;=LOOKUP(G48,'Qualifying Scores'!$A$4:$A$7,'Qualifying Scores'!$C$4:$C$7),Z48&gt;=LOOKUP(G48,'Qualifying Scores'!$A$10:$A$13,'Qualifying Scores'!$C$10:$C$13)),AND(AA48&gt;=LOOKUP(G48,'Qualifying Scores'!$A$4:$A$7,'Qualifying Scores'!$C$4:$C$7),AB48&gt;=LOOKUP(G48,'Qualifying Scores'!$A$10:$A$13,'Qualifying Scores'!$C$10:$C$13)),AND(AC48&gt;=LOOKUP(G48,'Qualifying Scores'!$A$4:$A$7,'Qualifying Scores'!$C$4:$C$7),AD48&gt;=LOOKUP(G48,'Qualifying Scores'!$A$10:$A$13,'Qualifying Scores'!$C$10:$C$13)),AND(AF48&gt;=LOOKUP(G48,'Qualifying Scores'!$A$4:$A$7,'Qualifying Scores'!$C$4:$C$7),AG48&gt;=LOOKUP(G48,'Qualifying Scores'!$A$10:$A$13,'Qualifying Scores'!$C$10:$C$13))),"P",""),IF(OR(AND(X48-U48&gt;=LOOKUP(G48,'Qualifying Scores'!$A$4:$A$7,'Qualifying Scores'!$C$4:$C$7),W48&gt;=LOOKUP(G48,'Qualifying Scores'!$A$10:$A$13,'Qualifying Scores'!$C$10:$C$13)),AND(AE48-AB48&gt;=LOOKUP(G48,'Qualifying Scores'!$A$4:$A$7,'Qualifying Scores'!$C$4:$C$7),AD48&gt;=LOOKUP(G48,'Qualifying Scores'!$A$10:$A$13,'Qualifying Scores'!$C$10:$C$13))),"P","")))</f>
        <v/>
      </c>
      <c r="Q48" s="1" t="str">
        <f>IF(A48&lt;5,IF(_xlfn.MAXIFS(A:A,G:G,G48)&gt;3,5-A48,_xlfn.MAXIFS(A:A,G:G,G48)+1-A48),"")</f>
        <v/>
      </c>
      <c r="R48" s="4">
        <f>IF(G48="17-21",MAX(T48,V48,Y48,AA48,AC48,AF48),MAX(X48,AE48))</f>
        <v>45.16</v>
      </c>
      <c r="S48" s="4">
        <f>IF(G48="17-21",LARGE(CHOOSE({1,2,3,4,5,6},T48,V48,Y48,AA48,AC48,AF48),2),IF(R48=X48,MAX(Y48,AA48,AC48,AF48),IF(R48=AE48,MAX(AF48,T48,V48,Y48),0)))</f>
        <v>38.35</v>
      </c>
      <c r="T48" s="33"/>
      <c r="U48" s="40"/>
      <c r="V48" s="34"/>
      <c r="W48" s="40"/>
      <c r="X48" s="4">
        <f>IF(H48="Senior",MAX(T48,V48),T48+V48)</f>
        <v>0</v>
      </c>
      <c r="Y48" s="34"/>
      <c r="Z48" s="40"/>
      <c r="AA48" s="33">
        <v>38.35</v>
      </c>
      <c r="AB48" s="40">
        <v>0</v>
      </c>
      <c r="AC48" s="34">
        <v>45.16</v>
      </c>
      <c r="AD48" s="40">
        <v>8.4</v>
      </c>
      <c r="AE48" s="4">
        <f>IF(H48="Senior",MAX(AA48,AC48),AA48+AC48)</f>
        <v>83.509999999999991</v>
      </c>
      <c r="AF48" s="34"/>
      <c r="AG48" s="37"/>
    </row>
    <row r="49" spans="1:33" x14ac:dyDescent="0.2">
      <c r="A49" s="1" t="str" cm="1">
        <f t="array" ref="A49">IF(I49="","",IF(P49&lt;&gt;"",SUMPRODUCT((P$3:P$133&lt;&gt;"")*(G$3:G$133=G49)*(J$3:J$133&gt;J49)*(I$3:I$133="P"))+1,IF(O49&lt;&gt;"",SUMPRODUCT((O$3:O$133&lt;&gt;"")*(P$3:P$133="")*(G$3:G$133=G49)*(J$3:J$133&gt;J49)*(I$3:I$133="P"))+SUMPRODUCT((P$3:P$133&lt;&gt;"")*(G$3:G$133=G49)*(I$3:I$133="P"))+1,IF(N49&lt;&gt;"",SUMPRODUCT((N$3:N$133&lt;&gt;"")*(G$3:G$133=G49)*(J$3:J$133&gt;J49)*(I$3:I$133="P"))+1,IF(M49="P",SUMPRODUCT((O$3:O$133&lt;&gt;"")*(P$3:P$133="")*(G$3:G$133=G49)*(I$3:I$133="P"))+SUMPRODUCT((P$3:P$133&lt;&gt;"")*(G$3:G$133=G49)*(I$3:I$133="P"))+SUMPRODUCT((N$3:N$133&lt;&gt;"")*(G$3:G$133=G49)*(I$3:I$133="P"))+SUMPRODUCT((P$3:P$133="")*(O$3:O$133="")*(N$3:N$133="")*(M$3:M$133="P")*(G$3:G$133=G49)*(J$3:J$133&gt;J49)*(I$3:I$133="P"))+IF(H49="L5",SUMPRODUCT((P$3:P$133="")*(O$3:O$133="")*(N$3:N$133="")*(M$3:M$133="P")*(G$3:G$133=G49)*(J$3:J$133&lt;J49)*(H$3:H$133&lt;&gt;H49)*(I$3:I$133="P")),-1*SUMPRODUCT((P$3:P$133="")*(O$3:O$133="")*(N$3:N$133="")*(M$3:M$133="P")*(G$3:G$133=G49)*(J$3:J$133&gt;J49)*(H$3:H$133="L5")*(I$3:I$133="P")))+1,"")))))</f>
        <v/>
      </c>
      <c r="B49" s="1" t="str" cm="1">
        <f t="array" ref="B49">IF(P49&lt;&gt;"",SUMPRODUCT((P$3:P$133&lt;&gt;"")*(G$3:G$133=G49)*(J$3:J$133&gt;J49))+1,IF(O49&lt;&gt;"",SUMPRODUCT((O$3:O$133&lt;&gt;"")*(P$3:P$133="")*(G$3:G$133=G49)*(J$3:J$133&gt;J49))+SUMPRODUCT((P$3:P$133&lt;&gt;"")*(G$3:G$133=G49))+1,IF(N49&lt;&gt;"",SUMPRODUCT((N$3:N$133&lt;&gt;"")*(G$3:G$133=G49)*(J$3:J$133&gt;J49))+1,IF(M49="P",SUMPRODUCT((O$3:O$133&lt;&gt;"")*(P$3:P$133="")*(G$3:G$133=G49))+SUMPRODUCT((P$3:P$133&lt;&gt;"")*(G$3:G$133=G49))+SUMPRODUCT((N$3:N$133&lt;&gt;"")*(G$3:G$133=G49))+SUMPRODUCT((P$3:P$133="")*(O$3:O$133="")*(N$3:N$133="")*(M$3:M$133="P")*(G$3:G$133=G49)*(J$3:J$133&gt;J49))+IF(H49="L5",SUMPRODUCT((P$3:P$133="")*(O$3:O$133="")*(N$3:N$133="")*(M$3:M$133="P")*(G$3:G$133=G49)*(J$3:J$133&lt;J49)*(H$3:H$133&lt;&gt;H49)),-1*SUMPRODUCT((P$3:P$133="")*(O$3:O$133="")*(N$3:N$133="")*(M$3:M$133="P")*(G$3:G$133=G49)*(J$3:J$133&gt;J49)*(H$3:H$133="L5")))+1,""))))</f>
        <v/>
      </c>
      <c r="C49" s="36" t="s">
        <v>122</v>
      </c>
      <c r="D49" s="36" t="str">
        <f>IF(E49="","",VLOOKUP(E49,'Coaching Points'!A:B,2,0))</f>
        <v>ON</v>
      </c>
      <c r="E49" s="36" t="s">
        <v>38</v>
      </c>
      <c r="F49" s="35">
        <v>2006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66</v>
      </c>
      <c r="I49" s="43"/>
      <c r="J49" s="4">
        <f>R49+S49+IF(OR(H49="Junior",H49="Senior"),0.0002,IF(OR(H49="L7",H49="L6"),0.0001,0))+IF(G49="17-21",MAX(AA49,AC49,AF49),AE49)*0.0000001</f>
        <v>83.300004336000001</v>
      </c>
      <c r="K49" s="3" t="str">
        <f>IF(G49="Not Age Eligible","",IF(G49="17-21",IF(MAX(T49,V49,Y49,AA49,AC49,AF49)&gt;=LOOKUP(G49,'Qualifying Scores'!$A$4:$A$7,'Qualifying Scores'!$C$4:$C$7),"P",""),IF(MAX(X49-U49,AE49-AB49)&gt;=LOOKUP(G49,'Qualifying Scores'!$A$4:$A$7,'Qualifying Scores'!$C$4:$C$7),"P","")))</f>
        <v/>
      </c>
      <c r="L49" s="3" t="str">
        <f>IF(G49="Not Age Eligible","",IF(G49="17-21",IF(MAX(U49,W49,Z49,AB49,AD49,AG49)&gt;=LOOKUP(G49,'Qualifying Scores'!$A$10:$A$13,'Qualifying Scores'!$C$10:$C$13),"P",""),IF(MAX(W49,AD49)&gt;=LOOKUP(G49,'Qualifying Scores'!$A$10:$A$13,'Qualifying Scores'!$C$10:$C$13),"P","")))</f>
        <v/>
      </c>
      <c r="M49" s="3" t="str">
        <f>IF(G49="Not Age Eligible","",IF(G49="17-21",IF(OR(AND(T49&gt;=LOOKUP(G49,'Qualifying Scores'!$A$4:$A$7,'Qualifying Scores'!$C$4:$C$7),U49&gt;=LOOKUP(G49,'Qualifying Scores'!$A$10:$A$13,'Qualifying Scores'!$C$10:$C$13)),AND(V49&gt;=LOOKUP(G49,'Qualifying Scores'!$A$4:$A$7,'Qualifying Scores'!$C$4:$C$7),W49&gt;=LOOKUP(G49,'Qualifying Scores'!$A$10:$A$13,'Qualifying Scores'!$C$10:$C$13)),AND(Y49&gt;=LOOKUP(G49,'Qualifying Scores'!$A$4:$A$7,'Qualifying Scores'!$C$4:$C$7),Z49&gt;=LOOKUP(G49,'Qualifying Scores'!$A$10:$A$13,'Qualifying Scores'!$C$10:$C$13)),AND(AA49&gt;=LOOKUP(G49,'Qualifying Scores'!$A$4:$A$7,'Qualifying Scores'!$C$4:$C$7),AB49&gt;=LOOKUP(G49,'Qualifying Scores'!$A$10:$A$13,'Qualifying Scores'!$C$10:$C$13)),AND(AC49&gt;=LOOKUP(G49,'Qualifying Scores'!$A$4:$A$7,'Qualifying Scores'!$C$4:$C$7),AD49&gt;=LOOKUP(G49,'Qualifying Scores'!$A$10:$A$13,'Qualifying Scores'!$C$10:$C$13)),AND(AF49&gt;=LOOKUP(G49,'Qualifying Scores'!$A$4:$A$7,'Qualifying Scores'!$C$4:$C$7),AG49&gt;=LOOKUP(G49,'Qualifying Scores'!$A$10:$A$13,'Qualifying Scores'!$C$10:$C$13))),"P",""),IF(OR(AND(X49-U49&gt;=LOOKUP(G49,'Qualifying Scores'!$A$4:$A$7,'Qualifying Scores'!$C$4:$C$7),W49&gt;=LOOKUP(G49,'Qualifying Scores'!$A$10:$A$13,'Qualifying Scores'!$C$10:$C$13)),AND(AE49-AB49&gt;=LOOKUP(G49,'Qualifying Scores'!$A$4:$A$7,'Qualifying Scores'!$C$4:$C$7),AD49&gt;=LOOKUP(G49,'Qualifying Scores'!$A$10:$A$13,'Qualifying Scores'!$C$10:$C$13))),"P","")))</f>
        <v/>
      </c>
      <c r="Q49" s="1" t="str">
        <f>IF(A49&lt;5,IF(_xlfn.MAXIFS(A:A,G:G,G49)&gt;3,5-A49,_xlfn.MAXIFS(A:A,G:G,G49)+1-A49),"")</f>
        <v/>
      </c>
      <c r="R49" s="4">
        <f>IF(G49="17-21",MAX(T49,V49,Y49,AA49,AC49,AF49),MAX(X49,AE49))</f>
        <v>43.36</v>
      </c>
      <c r="S49" s="4">
        <f>IF(G49="17-21",LARGE(CHOOSE({1,2,3,4,5,6},T49,V49,Y49,AA49,AC49,AF49),2),IF(R49=X49,MAX(Y49,AA49,AC49,AF49),IF(R49=AE49,MAX(AF49,T49,V49,Y49),0)))</f>
        <v>39.94</v>
      </c>
      <c r="T49" s="33">
        <v>39.26</v>
      </c>
      <c r="U49" s="40">
        <v>0</v>
      </c>
      <c r="V49" s="34">
        <v>13.41</v>
      </c>
      <c r="W49" s="40">
        <v>3.1</v>
      </c>
      <c r="X49" s="4">
        <f>IF(H49="Senior",MAX(T49,V49),T49+V49)</f>
        <v>52.67</v>
      </c>
      <c r="Y49" s="34"/>
      <c r="Z49" s="40"/>
      <c r="AA49" s="33">
        <v>39.94</v>
      </c>
      <c r="AB49" s="40">
        <v>0</v>
      </c>
      <c r="AC49" s="34">
        <v>43.36</v>
      </c>
      <c r="AD49" s="40">
        <v>8.9</v>
      </c>
      <c r="AE49" s="4">
        <f>IF(H49="Senior",MAX(AA49,AC49),AA49+AC49)</f>
        <v>83.3</v>
      </c>
      <c r="AF49" s="34"/>
      <c r="AG49" s="37"/>
    </row>
    <row r="50" spans="1:33" x14ac:dyDescent="0.2">
      <c r="A50" s="1" t="str" cm="1">
        <f t="array" ref="A50">IF(I50="","",IF(P50&lt;&gt;"",SUMPRODUCT((P$3:P$133&lt;&gt;"")*(G$3:G$133=G50)*(J$3:J$133&gt;J50)*(I$3:I$133="P"))+1,IF(O50&lt;&gt;"",SUMPRODUCT((O$3:O$133&lt;&gt;"")*(P$3:P$133="")*(G$3:G$133=G50)*(J$3:J$133&gt;J50)*(I$3:I$133="P"))+SUMPRODUCT((P$3:P$133&lt;&gt;"")*(G$3:G$133=G50)*(I$3:I$133="P"))+1,IF(N50&lt;&gt;"",SUMPRODUCT((N$3:N$133&lt;&gt;"")*(G$3:G$133=G50)*(J$3:J$133&gt;J50)*(I$3:I$133="P"))+1,IF(M50="P",SUMPRODUCT((O$3:O$133&lt;&gt;"")*(P$3:P$133="")*(G$3:G$133=G50)*(I$3:I$133="P"))+SUMPRODUCT((P$3:P$133&lt;&gt;"")*(G$3:G$133=G50)*(I$3:I$133="P"))+SUMPRODUCT((N$3:N$133&lt;&gt;"")*(G$3:G$133=G50)*(I$3:I$133="P"))+SUMPRODUCT((P$3:P$133="")*(O$3:O$133="")*(N$3:N$133="")*(M$3:M$133="P")*(G$3:G$133=G50)*(J$3:J$133&gt;J50)*(I$3:I$133="P"))+IF(H50="L5",SUMPRODUCT((P$3:P$133="")*(O$3:O$133="")*(N$3:N$133="")*(M$3:M$133="P")*(G$3:G$133=G50)*(J$3:J$133&lt;J50)*(H$3:H$133&lt;&gt;H50)*(I$3:I$133="P")),-1*SUMPRODUCT((P$3:P$133="")*(O$3:O$133="")*(N$3:N$133="")*(M$3:M$133="P")*(G$3:G$133=G50)*(J$3:J$133&gt;J50)*(H$3:H$133="L5")*(I$3:I$133="P")))+1,"")))))</f>
        <v/>
      </c>
      <c r="B50" s="1" t="str" cm="1">
        <f t="array" ref="B50">IF(P50&lt;&gt;"",SUMPRODUCT((P$3:P$133&lt;&gt;"")*(G$3:G$133=G50)*(J$3:J$133&gt;J50))+1,IF(O50&lt;&gt;"",SUMPRODUCT((O$3:O$133&lt;&gt;"")*(P$3:P$133="")*(G$3:G$133=G50)*(J$3:J$133&gt;J50))+SUMPRODUCT((P$3:P$133&lt;&gt;"")*(G$3:G$133=G50))+1,IF(N50&lt;&gt;"",SUMPRODUCT((N$3:N$133&lt;&gt;"")*(G$3:G$133=G50)*(J$3:J$133&gt;J50))+1,IF(M50="P",SUMPRODUCT((O$3:O$133&lt;&gt;"")*(P$3:P$133="")*(G$3:G$133=G50))+SUMPRODUCT((P$3:P$133&lt;&gt;"")*(G$3:G$133=G50))+SUMPRODUCT((N$3:N$133&lt;&gt;"")*(G$3:G$133=G50))+SUMPRODUCT((P$3:P$133="")*(O$3:O$133="")*(N$3:N$133="")*(M$3:M$133="P")*(G$3:G$133=G50)*(J$3:J$133&gt;J50))+IF(H50="L5",SUMPRODUCT((P$3:P$133="")*(O$3:O$133="")*(N$3:N$133="")*(M$3:M$133="P")*(G$3:G$133=G50)*(J$3:J$133&lt;J50)*(H$3:H$133&lt;&gt;H50)),-1*SUMPRODUCT((P$3:P$133="")*(O$3:O$133="")*(N$3:N$133="")*(M$3:M$133="P")*(G$3:G$133=G50)*(J$3:J$133&gt;J50)*(H$3:H$133="L5")))+1,""))))</f>
        <v/>
      </c>
      <c r="C50" s="36" t="s">
        <v>139</v>
      </c>
      <c r="D50" s="36" t="str">
        <f>IF(E50="","",VLOOKUP(E50,'Coaching Points'!A:B,2,0))</f>
        <v>BC</v>
      </c>
      <c r="E50" s="36" t="s">
        <v>46</v>
      </c>
      <c r="F50" s="35">
        <v>2005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66</v>
      </c>
      <c r="I50" s="43"/>
      <c r="J50" s="4">
        <f>R50+S50+IF(OR(H50="Junior",H50="Senior"),0.0002,IF(OR(H50="L7",H50="L6"),0.0001,0))+IF(G50="17-21",MAX(AA50,AC50,AF50),AE50)*0.0000001</f>
        <v>83.080000000000013</v>
      </c>
      <c r="K50" s="3" t="str">
        <f>IF(G50="Not Age Eligible","",IF(G50="17-21",IF(MAX(T50,V50,Y50,AA50,AC50,AF50)&gt;=LOOKUP(G50,'Qualifying Scores'!$A$4:$A$7,'Qualifying Scores'!$C$4:$C$7),"P",""),IF(MAX(X50-U50,AE50-AB50)&gt;=LOOKUP(G50,'Qualifying Scores'!$A$4:$A$7,'Qualifying Scores'!$C$4:$C$7),"P","")))</f>
        <v/>
      </c>
      <c r="L50" s="3" t="str">
        <f>IF(G50="Not Age Eligible","",IF(G50="17-21",IF(MAX(U50,W50,Z50,AB50,AD50,AG50)&gt;=LOOKUP(G50,'Qualifying Scores'!$A$10:$A$13,'Qualifying Scores'!$C$10:$C$13),"P",""),IF(MAX(W50,AD50)&gt;=LOOKUP(G50,'Qualifying Scores'!$A$10:$A$13,'Qualifying Scores'!$C$10:$C$13),"P","")))</f>
        <v/>
      </c>
      <c r="M50" s="3" t="str">
        <f>IF(G50="Not Age Eligible","",IF(G50="17-21",IF(OR(AND(T50&gt;=LOOKUP(G50,'Qualifying Scores'!$A$4:$A$7,'Qualifying Scores'!$C$4:$C$7),U50&gt;=LOOKUP(G50,'Qualifying Scores'!$A$10:$A$13,'Qualifying Scores'!$C$10:$C$13)),AND(V50&gt;=LOOKUP(G50,'Qualifying Scores'!$A$4:$A$7,'Qualifying Scores'!$C$4:$C$7),W50&gt;=LOOKUP(G50,'Qualifying Scores'!$A$10:$A$13,'Qualifying Scores'!$C$10:$C$13)),AND(Y50&gt;=LOOKUP(G50,'Qualifying Scores'!$A$4:$A$7,'Qualifying Scores'!$C$4:$C$7),Z50&gt;=LOOKUP(G50,'Qualifying Scores'!$A$10:$A$13,'Qualifying Scores'!$C$10:$C$13)),AND(AA50&gt;=LOOKUP(G50,'Qualifying Scores'!$A$4:$A$7,'Qualifying Scores'!$C$4:$C$7),AB50&gt;=LOOKUP(G50,'Qualifying Scores'!$A$10:$A$13,'Qualifying Scores'!$C$10:$C$13)),AND(AC50&gt;=LOOKUP(G50,'Qualifying Scores'!$A$4:$A$7,'Qualifying Scores'!$C$4:$C$7),AD50&gt;=LOOKUP(G50,'Qualifying Scores'!$A$10:$A$13,'Qualifying Scores'!$C$10:$C$13)),AND(AF50&gt;=LOOKUP(G50,'Qualifying Scores'!$A$4:$A$7,'Qualifying Scores'!$C$4:$C$7),AG50&gt;=LOOKUP(G50,'Qualifying Scores'!$A$10:$A$13,'Qualifying Scores'!$C$10:$C$13))),"P",""),IF(OR(AND(X50-U50&gt;=LOOKUP(G50,'Qualifying Scores'!$A$4:$A$7,'Qualifying Scores'!$C$4:$C$7),W50&gt;=LOOKUP(G50,'Qualifying Scores'!$A$10:$A$13,'Qualifying Scores'!$C$10:$C$13)),AND(AE50-AB50&gt;=LOOKUP(G50,'Qualifying Scores'!$A$4:$A$7,'Qualifying Scores'!$C$4:$C$7),AD50&gt;=LOOKUP(G50,'Qualifying Scores'!$A$10:$A$13,'Qualifying Scores'!$C$10:$C$13))),"P","")))</f>
        <v/>
      </c>
      <c r="Q50" s="1" t="str">
        <f>IF(A50&lt;5,IF(_xlfn.MAXIFS(A:A,G:G,G50)&gt;3,5-A50,_xlfn.MAXIFS(A:A,G:G,G50)+1-A50),"")</f>
        <v/>
      </c>
      <c r="R50" s="4">
        <f>IF(G50="17-21",MAX(T50,V50,Y50,AA50,AC50,AF50),MAX(X50,AE50))</f>
        <v>44.59</v>
      </c>
      <c r="S50" s="4">
        <f>IF(G50="17-21",LARGE(CHOOSE({1,2,3,4,5,6},T50,V50,Y50,AA50,AC50,AF50),2),IF(R50=X50,MAX(Y50,AA50,AC50,AF50),IF(R50=AE50,MAX(AF50,T50,V50,Y50),0)))</f>
        <v>38.49</v>
      </c>
      <c r="T50" s="33">
        <v>38.49</v>
      </c>
      <c r="U50" s="40">
        <v>0</v>
      </c>
      <c r="V50" s="34">
        <v>44.59</v>
      </c>
      <c r="W50" s="40">
        <v>7.4</v>
      </c>
      <c r="X50" s="4">
        <f>IF(H50="Senior",MAX(T50,V50),T50+V50)</f>
        <v>83.080000000000013</v>
      </c>
      <c r="Y50" s="34"/>
      <c r="Z50" s="40"/>
      <c r="AA50" s="33"/>
      <c r="AB50" s="40"/>
      <c r="AC50" s="34"/>
      <c r="AD50" s="40"/>
      <c r="AE50" s="4">
        <f>IF(H50="Senior",MAX(AA50,AC50),AA50+AC50)</f>
        <v>0</v>
      </c>
      <c r="AF50" s="34"/>
      <c r="AG50" s="37"/>
    </row>
    <row r="51" spans="1:33" x14ac:dyDescent="0.2">
      <c r="A51" s="1" t="str" cm="1">
        <f t="array" ref="A51">IF(I51="","",IF(P51&lt;&gt;"",SUMPRODUCT((P$3:P$133&lt;&gt;"")*(G$3:G$133=G51)*(J$3:J$133&gt;J51)*(I$3:I$133="P"))+1,IF(O51&lt;&gt;"",SUMPRODUCT((O$3:O$133&lt;&gt;"")*(P$3:P$133="")*(G$3:G$133=G51)*(J$3:J$133&gt;J51)*(I$3:I$133="P"))+SUMPRODUCT((P$3:P$133&lt;&gt;"")*(G$3:G$133=G51)*(I$3:I$133="P"))+1,IF(N51&lt;&gt;"",SUMPRODUCT((N$3:N$133&lt;&gt;"")*(G$3:G$133=G51)*(J$3:J$133&gt;J51)*(I$3:I$133="P"))+1,IF(M51="P",SUMPRODUCT((O$3:O$133&lt;&gt;"")*(P$3:P$133="")*(G$3:G$133=G51)*(I$3:I$133="P"))+SUMPRODUCT((P$3:P$133&lt;&gt;"")*(G$3:G$133=G51)*(I$3:I$133="P"))+SUMPRODUCT((N$3:N$133&lt;&gt;"")*(G$3:G$133=G51)*(I$3:I$133="P"))+SUMPRODUCT((P$3:P$133="")*(O$3:O$133="")*(N$3:N$133="")*(M$3:M$133="P")*(G$3:G$133=G51)*(J$3:J$133&gt;J51)*(I$3:I$133="P"))+IF(H51="L5",SUMPRODUCT((P$3:P$133="")*(O$3:O$133="")*(N$3:N$133="")*(M$3:M$133="P")*(G$3:G$133=G51)*(J$3:J$133&lt;J51)*(H$3:H$133&lt;&gt;H51)*(I$3:I$133="P")),-1*SUMPRODUCT((P$3:P$133="")*(O$3:O$133="")*(N$3:N$133="")*(M$3:M$133="P")*(G$3:G$133=G51)*(J$3:J$133&gt;J51)*(H$3:H$133="L5")*(I$3:I$133="P")))+1,"")))))</f>
        <v/>
      </c>
      <c r="B51" s="1" t="str" cm="1">
        <f t="array" ref="B51">IF(P51&lt;&gt;"",SUMPRODUCT((P$3:P$133&lt;&gt;"")*(G$3:G$133=G51)*(J$3:J$133&gt;J51))+1,IF(O51&lt;&gt;"",SUMPRODUCT((O$3:O$133&lt;&gt;"")*(P$3:P$133="")*(G$3:G$133=G51)*(J$3:J$133&gt;J51))+SUMPRODUCT((P$3:P$133&lt;&gt;"")*(G$3:G$133=G51))+1,IF(N51&lt;&gt;"",SUMPRODUCT((N$3:N$133&lt;&gt;"")*(G$3:G$133=G51)*(J$3:J$133&gt;J51))+1,IF(M51="P",SUMPRODUCT((O$3:O$133&lt;&gt;"")*(P$3:P$133="")*(G$3:G$133=G51))+SUMPRODUCT((P$3:P$133&lt;&gt;"")*(G$3:G$133=G51))+SUMPRODUCT((N$3:N$133&lt;&gt;"")*(G$3:G$133=G51))+SUMPRODUCT((P$3:P$133="")*(O$3:O$133="")*(N$3:N$133="")*(M$3:M$133="P")*(G$3:G$133=G51)*(J$3:J$133&gt;J51))+IF(H51="L5",SUMPRODUCT((P$3:P$133="")*(O$3:O$133="")*(N$3:N$133="")*(M$3:M$133="P")*(G$3:G$133=G51)*(J$3:J$133&lt;J51)*(H$3:H$133&lt;&gt;H51)),-1*SUMPRODUCT((P$3:P$133="")*(O$3:O$133="")*(N$3:N$133="")*(M$3:M$133="P")*(G$3:G$133=G51)*(J$3:J$133&gt;J51)*(H$3:H$133="L5")))+1,""))))</f>
        <v/>
      </c>
      <c r="C51" s="36" t="s">
        <v>448</v>
      </c>
      <c r="D51" s="36" t="str">
        <f>IF(E51="","",VLOOKUP(E51,'Coaching Points'!A:B,2,0))</f>
        <v>ON</v>
      </c>
      <c r="E51" s="36" t="s">
        <v>484</v>
      </c>
      <c r="F51" s="35">
        <v>2004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66</v>
      </c>
      <c r="I51" s="43"/>
      <c r="J51" s="4">
        <f>R51+S51+IF(OR(H51="Junior",H51="Senior"),0.0002,IF(OR(H51="L7",H51="L6"),0.0001,0))+IF(G51="17-21",MAX(AA51,AC51,AF51),AE51)*0.0000001</f>
        <v>82.970004536999994</v>
      </c>
      <c r="K51" s="3" t="str">
        <f>IF(G51="Not Age Eligible","",IF(G51="17-21",IF(MAX(T51,V51,Y51,AA51,AC51,AF51)&gt;=LOOKUP(G51,'Qualifying Scores'!$A$4:$A$7,'Qualifying Scores'!$C$4:$C$7),"P",""),IF(MAX(X51-U51,AE51-AB51)&gt;=LOOKUP(G51,'Qualifying Scores'!$A$4:$A$7,'Qualifying Scores'!$C$4:$C$7),"P","")))</f>
        <v/>
      </c>
      <c r="L51" s="3" t="str">
        <f>IF(G51="Not Age Eligible","",IF(G51="17-21",IF(MAX(U51,W51,Z51,AB51,AD51,AG51)&gt;=LOOKUP(G51,'Qualifying Scores'!$A$10:$A$13,'Qualifying Scores'!$C$10:$C$13),"P",""),IF(MAX(W51,AD51)&gt;=LOOKUP(G51,'Qualifying Scores'!$A$10:$A$13,'Qualifying Scores'!$C$10:$C$13),"P","")))</f>
        <v/>
      </c>
      <c r="M51" s="3" t="str">
        <f>IF(G51="Not Age Eligible","",IF(G51="17-21",IF(OR(AND(T51&gt;=LOOKUP(G51,'Qualifying Scores'!$A$4:$A$7,'Qualifying Scores'!$C$4:$C$7),U51&gt;=LOOKUP(G51,'Qualifying Scores'!$A$10:$A$13,'Qualifying Scores'!$C$10:$C$13)),AND(V51&gt;=LOOKUP(G51,'Qualifying Scores'!$A$4:$A$7,'Qualifying Scores'!$C$4:$C$7),W51&gt;=LOOKUP(G51,'Qualifying Scores'!$A$10:$A$13,'Qualifying Scores'!$C$10:$C$13)),AND(Y51&gt;=LOOKUP(G51,'Qualifying Scores'!$A$4:$A$7,'Qualifying Scores'!$C$4:$C$7),Z51&gt;=LOOKUP(G51,'Qualifying Scores'!$A$10:$A$13,'Qualifying Scores'!$C$10:$C$13)),AND(AA51&gt;=LOOKUP(G51,'Qualifying Scores'!$A$4:$A$7,'Qualifying Scores'!$C$4:$C$7),AB51&gt;=LOOKUP(G51,'Qualifying Scores'!$A$10:$A$13,'Qualifying Scores'!$C$10:$C$13)),AND(AC51&gt;=LOOKUP(G51,'Qualifying Scores'!$A$4:$A$7,'Qualifying Scores'!$C$4:$C$7),AD51&gt;=LOOKUP(G51,'Qualifying Scores'!$A$10:$A$13,'Qualifying Scores'!$C$10:$C$13)),AND(AF51&gt;=LOOKUP(G51,'Qualifying Scores'!$A$4:$A$7,'Qualifying Scores'!$C$4:$C$7),AG51&gt;=LOOKUP(G51,'Qualifying Scores'!$A$10:$A$13,'Qualifying Scores'!$C$10:$C$13))),"P",""),IF(OR(AND(X51-U51&gt;=LOOKUP(G51,'Qualifying Scores'!$A$4:$A$7,'Qualifying Scores'!$C$4:$C$7),W51&gt;=LOOKUP(G51,'Qualifying Scores'!$A$10:$A$13,'Qualifying Scores'!$C$10:$C$13)),AND(AE51-AB51&gt;=LOOKUP(G51,'Qualifying Scores'!$A$4:$A$7,'Qualifying Scores'!$C$4:$C$7),AD51&gt;=LOOKUP(G51,'Qualifying Scores'!$A$10:$A$13,'Qualifying Scores'!$C$10:$C$13))),"P","")))</f>
        <v/>
      </c>
      <c r="Q51" s="1" t="str">
        <f>IF(A51&lt;5,IF(_xlfn.MAXIFS(A:A,G:G,G51)&gt;3,5-A51,_xlfn.MAXIFS(A:A,G:G,G51)+1-A51),"")</f>
        <v/>
      </c>
      <c r="R51" s="4">
        <f>IF(G51="17-21",MAX(T51,V51,Y51,AA51,AC51,AF51),MAX(X51,AE51))</f>
        <v>45.37</v>
      </c>
      <c r="S51" s="4">
        <f>IF(G51="17-21",LARGE(CHOOSE({1,2,3,4,5,6},T51,V51,Y51,AA51,AC51,AF51),2),IF(R51=X51,MAX(Y51,AA51,AC51,AF51),IF(R51=AE51,MAX(AF51,T51,V51,Y51),0)))</f>
        <v>37.6</v>
      </c>
      <c r="T51" s="33"/>
      <c r="U51" s="40"/>
      <c r="V51" s="34"/>
      <c r="W51" s="40"/>
      <c r="X51" s="4">
        <f>IF(H51="Senior",MAX(T51,V51),T51+V51)</f>
        <v>0</v>
      </c>
      <c r="Y51" s="34"/>
      <c r="Z51" s="40"/>
      <c r="AA51" s="33">
        <v>37.6</v>
      </c>
      <c r="AB51" s="40">
        <v>0</v>
      </c>
      <c r="AC51" s="34">
        <v>45.37</v>
      </c>
      <c r="AD51" s="40">
        <v>7.8</v>
      </c>
      <c r="AE51" s="4">
        <f>IF(H51="Senior",MAX(AA51,AC51),AA51+AC51)</f>
        <v>82.97</v>
      </c>
      <c r="AF51" s="34"/>
      <c r="AG51" s="37"/>
    </row>
    <row r="52" spans="1:33" x14ac:dyDescent="0.2">
      <c r="A52" s="1" t="str" cm="1">
        <f t="array" ref="A52">IF(I52="","",IF(P52&lt;&gt;"",SUMPRODUCT((P$3:P$133&lt;&gt;"")*(G$3:G$133=G52)*(J$3:J$133&gt;J52)*(I$3:I$133="P"))+1,IF(O52&lt;&gt;"",SUMPRODUCT((O$3:O$133&lt;&gt;"")*(P$3:P$133="")*(G$3:G$133=G52)*(J$3:J$133&gt;J52)*(I$3:I$133="P"))+SUMPRODUCT((P$3:P$133&lt;&gt;"")*(G$3:G$133=G52)*(I$3:I$133="P"))+1,IF(N52&lt;&gt;"",SUMPRODUCT((N$3:N$133&lt;&gt;"")*(G$3:G$133=G52)*(J$3:J$133&gt;J52)*(I$3:I$133="P"))+1,IF(M52="P",SUMPRODUCT((O$3:O$133&lt;&gt;"")*(P$3:P$133="")*(G$3:G$133=G52)*(I$3:I$133="P"))+SUMPRODUCT((P$3:P$133&lt;&gt;"")*(G$3:G$133=G52)*(I$3:I$133="P"))+SUMPRODUCT((N$3:N$133&lt;&gt;"")*(G$3:G$133=G52)*(I$3:I$133="P"))+SUMPRODUCT((P$3:P$133="")*(O$3:O$133="")*(N$3:N$133="")*(M$3:M$133="P")*(G$3:G$133=G52)*(J$3:J$133&gt;J52)*(I$3:I$133="P"))+IF(H52="L5",SUMPRODUCT((P$3:P$133="")*(O$3:O$133="")*(N$3:N$133="")*(M$3:M$133="P")*(G$3:G$133=G52)*(J$3:J$133&lt;J52)*(H$3:H$133&lt;&gt;H52)*(I$3:I$133="P")),-1*SUMPRODUCT((P$3:P$133="")*(O$3:O$133="")*(N$3:N$133="")*(M$3:M$133="P")*(G$3:G$133=G52)*(J$3:J$133&gt;J52)*(H$3:H$133="L5")*(I$3:I$133="P")))+1,"")))))</f>
        <v/>
      </c>
      <c r="B52" s="1" t="str" cm="1">
        <f t="array" ref="B52">IF(P52&lt;&gt;"",SUMPRODUCT((P$3:P$133&lt;&gt;"")*(G$3:G$133=G52)*(J$3:J$133&gt;J52))+1,IF(O52&lt;&gt;"",SUMPRODUCT((O$3:O$133&lt;&gt;"")*(P$3:P$133="")*(G$3:G$133=G52)*(J$3:J$133&gt;J52))+SUMPRODUCT((P$3:P$133&lt;&gt;"")*(G$3:G$133=G52))+1,IF(N52&lt;&gt;"",SUMPRODUCT((N$3:N$133&lt;&gt;"")*(G$3:G$133=G52)*(J$3:J$133&gt;J52))+1,IF(M52="P",SUMPRODUCT((O$3:O$133&lt;&gt;"")*(P$3:P$133="")*(G$3:G$133=G52))+SUMPRODUCT((P$3:P$133&lt;&gt;"")*(G$3:G$133=G52))+SUMPRODUCT((N$3:N$133&lt;&gt;"")*(G$3:G$133=G52))+SUMPRODUCT((P$3:P$133="")*(O$3:O$133="")*(N$3:N$133="")*(M$3:M$133="P")*(G$3:G$133=G52)*(J$3:J$133&gt;J52))+IF(H52="L5",SUMPRODUCT((P$3:P$133="")*(O$3:O$133="")*(N$3:N$133="")*(M$3:M$133="P")*(G$3:G$133=G52)*(J$3:J$133&lt;J52)*(H$3:H$133&lt;&gt;H52)),-1*SUMPRODUCT((P$3:P$133="")*(O$3:O$133="")*(N$3:N$133="")*(M$3:M$133="P")*(G$3:G$133=G52)*(J$3:J$133&gt;J52)*(H$3:H$133="L5")))+1,""))))</f>
        <v/>
      </c>
      <c r="C52" s="36" t="s">
        <v>449</v>
      </c>
      <c r="D52" s="36" t="str">
        <f>IF(E52="","",VLOOKUP(E52,'Coaching Points'!A:B,2,0))</f>
        <v>BC</v>
      </c>
      <c r="E52" s="36" t="s">
        <v>46</v>
      </c>
      <c r="F52" s="35">
        <v>2006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9" t="s">
        <v>66</v>
      </c>
      <c r="I52" s="43"/>
      <c r="J52" s="4">
        <f>R52+S52+IF(OR(H52="Junior",H52="Senior"),0.0002,IF(OR(H52="L7",H52="L6"),0.0001,0))+IF(G52="17-21",MAX(AA52,AC52,AF52),AE52)*0.0000001</f>
        <v>82.960004447999992</v>
      </c>
      <c r="K52" s="3" t="str">
        <f>IF(G52="Not Age Eligible","",IF(G52="17-21",IF(MAX(T52,V52,Y52,AA52,AC52,AF52)&gt;=LOOKUP(G52,'Qualifying Scores'!$A$4:$A$7,'Qualifying Scores'!$C$4:$C$7),"P",""),IF(MAX(X52-U52,AE52-AB52)&gt;=LOOKUP(G52,'Qualifying Scores'!$A$4:$A$7,'Qualifying Scores'!$C$4:$C$7),"P","")))</f>
        <v/>
      </c>
      <c r="L52" s="3" t="str">
        <f>IF(G52="Not Age Eligible","",IF(G52="17-21",IF(MAX(U52,W52,Z52,AB52,AD52,AG52)&gt;=LOOKUP(G52,'Qualifying Scores'!$A$10:$A$13,'Qualifying Scores'!$C$10:$C$13),"P",""),IF(MAX(W52,AD52)&gt;=LOOKUP(G52,'Qualifying Scores'!$A$10:$A$13,'Qualifying Scores'!$C$10:$C$13),"P","")))</f>
        <v/>
      </c>
      <c r="M52" s="3" t="str">
        <f>IF(G52="Not Age Eligible","",IF(G52="17-21",IF(OR(AND(T52&gt;=LOOKUP(G52,'Qualifying Scores'!$A$4:$A$7,'Qualifying Scores'!$C$4:$C$7),U52&gt;=LOOKUP(G52,'Qualifying Scores'!$A$10:$A$13,'Qualifying Scores'!$C$10:$C$13)),AND(V52&gt;=LOOKUP(G52,'Qualifying Scores'!$A$4:$A$7,'Qualifying Scores'!$C$4:$C$7),W52&gt;=LOOKUP(G52,'Qualifying Scores'!$A$10:$A$13,'Qualifying Scores'!$C$10:$C$13)),AND(Y52&gt;=LOOKUP(G52,'Qualifying Scores'!$A$4:$A$7,'Qualifying Scores'!$C$4:$C$7),Z52&gt;=LOOKUP(G52,'Qualifying Scores'!$A$10:$A$13,'Qualifying Scores'!$C$10:$C$13)),AND(AA52&gt;=LOOKUP(G52,'Qualifying Scores'!$A$4:$A$7,'Qualifying Scores'!$C$4:$C$7),AB52&gt;=LOOKUP(G52,'Qualifying Scores'!$A$10:$A$13,'Qualifying Scores'!$C$10:$C$13)),AND(AC52&gt;=LOOKUP(G52,'Qualifying Scores'!$A$4:$A$7,'Qualifying Scores'!$C$4:$C$7),AD52&gt;=LOOKUP(G52,'Qualifying Scores'!$A$10:$A$13,'Qualifying Scores'!$C$10:$C$13)),AND(AF52&gt;=LOOKUP(G52,'Qualifying Scores'!$A$4:$A$7,'Qualifying Scores'!$C$4:$C$7),AG52&gt;=LOOKUP(G52,'Qualifying Scores'!$A$10:$A$13,'Qualifying Scores'!$C$10:$C$13))),"P",""),IF(OR(AND(X52-U52&gt;=LOOKUP(G52,'Qualifying Scores'!$A$4:$A$7,'Qualifying Scores'!$C$4:$C$7),W52&gt;=LOOKUP(G52,'Qualifying Scores'!$A$10:$A$13,'Qualifying Scores'!$C$10:$C$13)),AND(AE52-AB52&gt;=LOOKUP(G52,'Qualifying Scores'!$A$4:$A$7,'Qualifying Scores'!$C$4:$C$7),AD52&gt;=LOOKUP(G52,'Qualifying Scores'!$A$10:$A$13,'Qualifying Scores'!$C$10:$C$13))),"P","")))</f>
        <v/>
      </c>
      <c r="Q52" s="1" t="str">
        <f>IF(A52&lt;5,IF(_xlfn.MAXIFS(A:A,G:G,G52)&gt;3,5-A52,_xlfn.MAXIFS(A:A,G:G,G52)+1-A52),"")</f>
        <v/>
      </c>
      <c r="R52" s="4">
        <f>IF(G52="17-21",MAX(T52,V52,Y52,AA52,AC52,AF52),MAX(X52,AE52))</f>
        <v>44.48</v>
      </c>
      <c r="S52" s="4">
        <f>IF(G52="17-21",LARGE(CHOOSE({1,2,3,4,5,6},T52,V52,Y52,AA52,AC52,AF52),2),IF(R52=X52,MAX(Y52,AA52,AC52,AF52),IF(R52=AE52,MAX(AF52,T52,V52,Y52),0)))</f>
        <v>38.479999999999997</v>
      </c>
      <c r="T52" s="33"/>
      <c r="U52" s="40"/>
      <c r="V52" s="34"/>
      <c r="W52" s="40"/>
      <c r="X52" s="4">
        <f>IF(H52="Senior",MAX(T52,V52),T52+V52)</f>
        <v>0</v>
      </c>
      <c r="Y52" s="34"/>
      <c r="Z52" s="40"/>
      <c r="AA52" s="33">
        <v>38.479999999999997</v>
      </c>
      <c r="AB52" s="40">
        <v>0</v>
      </c>
      <c r="AC52" s="34">
        <v>44.48</v>
      </c>
      <c r="AD52" s="40">
        <v>9.3000000000000007</v>
      </c>
      <c r="AE52" s="4">
        <f>IF(H52="Senior",MAX(AA52,AC52),AA52+AC52)</f>
        <v>82.96</v>
      </c>
      <c r="AF52" s="34"/>
      <c r="AG52" s="37"/>
    </row>
    <row r="53" spans="1:33" x14ac:dyDescent="0.2">
      <c r="A53" s="1" t="str" cm="1">
        <f t="array" ref="A53">IF(I53="","",IF(P53&lt;&gt;"",SUMPRODUCT((P$3:P$133&lt;&gt;"")*(G$3:G$133=G53)*(J$3:J$133&gt;J53)*(I$3:I$133="P"))+1,IF(O53&lt;&gt;"",SUMPRODUCT((O$3:O$133&lt;&gt;"")*(P$3:P$133="")*(G$3:G$133=G53)*(J$3:J$133&gt;J53)*(I$3:I$133="P"))+SUMPRODUCT((P$3:P$133&lt;&gt;"")*(G$3:G$133=G53)*(I$3:I$133="P"))+1,IF(N53&lt;&gt;"",SUMPRODUCT((N$3:N$133&lt;&gt;"")*(G$3:G$133=G53)*(J$3:J$133&gt;J53)*(I$3:I$133="P"))+1,IF(M53="P",SUMPRODUCT((O$3:O$133&lt;&gt;"")*(P$3:P$133="")*(G$3:G$133=G53)*(I$3:I$133="P"))+SUMPRODUCT((P$3:P$133&lt;&gt;"")*(G$3:G$133=G53)*(I$3:I$133="P"))+SUMPRODUCT((N$3:N$133&lt;&gt;"")*(G$3:G$133=G53)*(I$3:I$133="P"))+SUMPRODUCT((P$3:P$133="")*(O$3:O$133="")*(N$3:N$133="")*(M$3:M$133="P")*(G$3:G$133=G53)*(J$3:J$133&gt;J53)*(I$3:I$133="P"))+IF(H53="L5",SUMPRODUCT((P$3:P$133="")*(O$3:O$133="")*(N$3:N$133="")*(M$3:M$133="P")*(G$3:G$133=G53)*(J$3:J$133&lt;J53)*(H$3:H$133&lt;&gt;H53)*(I$3:I$133="P")),-1*SUMPRODUCT((P$3:P$133="")*(O$3:O$133="")*(N$3:N$133="")*(M$3:M$133="P")*(G$3:G$133=G53)*(J$3:J$133&gt;J53)*(H$3:H$133="L5")*(I$3:I$133="P")))+1,"")))))</f>
        <v/>
      </c>
      <c r="B53" s="1" t="str" cm="1">
        <f t="array" ref="B53">IF(P53&lt;&gt;"",SUMPRODUCT((P$3:P$133&lt;&gt;"")*(G$3:G$133=G53)*(J$3:J$133&gt;J53))+1,IF(O53&lt;&gt;"",SUMPRODUCT((O$3:O$133&lt;&gt;"")*(P$3:P$133="")*(G$3:G$133=G53)*(J$3:J$133&gt;J53))+SUMPRODUCT((P$3:P$133&lt;&gt;"")*(G$3:G$133=G53))+1,IF(N53&lt;&gt;"",SUMPRODUCT((N$3:N$133&lt;&gt;"")*(G$3:G$133=G53)*(J$3:J$133&gt;J53))+1,IF(M53="P",SUMPRODUCT((O$3:O$133&lt;&gt;"")*(P$3:P$133="")*(G$3:G$133=G53))+SUMPRODUCT((P$3:P$133&lt;&gt;"")*(G$3:G$133=G53))+SUMPRODUCT((N$3:N$133&lt;&gt;"")*(G$3:G$133=G53))+SUMPRODUCT((P$3:P$133="")*(O$3:O$133="")*(N$3:N$133="")*(M$3:M$133="P")*(G$3:G$133=G53)*(J$3:J$133&gt;J53))+IF(H53="L5",SUMPRODUCT((P$3:P$133="")*(O$3:O$133="")*(N$3:N$133="")*(M$3:M$133="P")*(G$3:G$133=G53)*(J$3:J$133&lt;J53)*(H$3:H$133&lt;&gt;H53)),-1*SUMPRODUCT((P$3:P$133="")*(O$3:O$133="")*(N$3:N$133="")*(M$3:M$133="P")*(G$3:G$133=G53)*(J$3:J$133&gt;J53)*(H$3:H$133="L5")))+1,""))))</f>
        <v/>
      </c>
      <c r="C53" s="36" t="s">
        <v>450</v>
      </c>
      <c r="D53" s="36" t="str">
        <f>IF(E53="","",VLOOKUP(E53,'Coaching Points'!A:B,2,0))</f>
        <v>BC</v>
      </c>
      <c r="E53" s="36" t="s">
        <v>37</v>
      </c>
      <c r="F53" s="35">
        <v>2005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9" t="s">
        <v>66</v>
      </c>
      <c r="I53" s="43"/>
      <c r="J53" s="4">
        <f>R53+S53+IF(OR(H53="Junior",H53="Senior"),0.0002,IF(OR(H53="L7",H53="L6"),0.0001,0))+IF(G53="17-21",MAX(AA53,AC53,AF53),AE53)*0.0000001</f>
        <v>82.870004444000003</v>
      </c>
      <c r="K53" s="3" t="str">
        <f>IF(G53="Not Age Eligible","",IF(G53="17-21",IF(MAX(T53,V53,Y53,AA53,AC53,AF53)&gt;=LOOKUP(G53,'Qualifying Scores'!$A$4:$A$7,'Qualifying Scores'!$C$4:$C$7),"P",""),IF(MAX(X53-U53,AE53-AB53)&gt;=LOOKUP(G53,'Qualifying Scores'!$A$4:$A$7,'Qualifying Scores'!$C$4:$C$7),"P","")))</f>
        <v/>
      </c>
      <c r="L53" s="3" t="str">
        <f>IF(G53="Not Age Eligible","",IF(G53="17-21",IF(MAX(U53,W53,Z53,AB53,AD53,AG53)&gt;=LOOKUP(G53,'Qualifying Scores'!$A$10:$A$13,'Qualifying Scores'!$C$10:$C$13),"P",""),IF(MAX(W53,AD53)&gt;=LOOKUP(G53,'Qualifying Scores'!$A$10:$A$13,'Qualifying Scores'!$C$10:$C$13),"P","")))</f>
        <v/>
      </c>
      <c r="M53" s="3" t="str">
        <f>IF(G53="Not Age Eligible","",IF(G53="17-21",IF(OR(AND(T53&gt;=LOOKUP(G53,'Qualifying Scores'!$A$4:$A$7,'Qualifying Scores'!$C$4:$C$7),U53&gt;=LOOKUP(G53,'Qualifying Scores'!$A$10:$A$13,'Qualifying Scores'!$C$10:$C$13)),AND(V53&gt;=LOOKUP(G53,'Qualifying Scores'!$A$4:$A$7,'Qualifying Scores'!$C$4:$C$7),W53&gt;=LOOKUP(G53,'Qualifying Scores'!$A$10:$A$13,'Qualifying Scores'!$C$10:$C$13)),AND(Y53&gt;=LOOKUP(G53,'Qualifying Scores'!$A$4:$A$7,'Qualifying Scores'!$C$4:$C$7),Z53&gt;=LOOKUP(G53,'Qualifying Scores'!$A$10:$A$13,'Qualifying Scores'!$C$10:$C$13)),AND(AA53&gt;=LOOKUP(G53,'Qualifying Scores'!$A$4:$A$7,'Qualifying Scores'!$C$4:$C$7),AB53&gt;=LOOKUP(G53,'Qualifying Scores'!$A$10:$A$13,'Qualifying Scores'!$C$10:$C$13)),AND(AC53&gt;=LOOKUP(G53,'Qualifying Scores'!$A$4:$A$7,'Qualifying Scores'!$C$4:$C$7),AD53&gt;=LOOKUP(G53,'Qualifying Scores'!$A$10:$A$13,'Qualifying Scores'!$C$10:$C$13)),AND(AF53&gt;=LOOKUP(G53,'Qualifying Scores'!$A$4:$A$7,'Qualifying Scores'!$C$4:$C$7),AG53&gt;=LOOKUP(G53,'Qualifying Scores'!$A$10:$A$13,'Qualifying Scores'!$C$10:$C$13))),"P",""),IF(OR(AND(X53-U53&gt;=LOOKUP(G53,'Qualifying Scores'!$A$4:$A$7,'Qualifying Scores'!$C$4:$C$7),W53&gt;=LOOKUP(G53,'Qualifying Scores'!$A$10:$A$13,'Qualifying Scores'!$C$10:$C$13)),AND(AE53-AB53&gt;=LOOKUP(G53,'Qualifying Scores'!$A$4:$A$7,'Qualifying Scores'!$C$4:$C$7),AD53&gt;=LOOKUP(G53,'Qualifying Scores'!$A$10:$A$13,'Qualifying Scores'!$C$10:$C$13))),"P","")))</f>
        <v/>
      </c>
      <c r="Q53" s="1" t="str">
        <f>IF(A53&lt;5,IF(_xlfn.MAXIFS(A:A,G:G,G53)&gt;3,5-A53,_xlfn.MAXIFS(A:A,G:G,G53)+1-A53),"")</f>
        <v/>
      </c>
      <c r="R53" s="4">
        <f>IF(G53="17-21",MAX(T53,V53,Y53,AA53,AC53,AF53),MAX(X53,AE53))</f>
        <v>44.44</v>
      </c>
      <c r="S53" s="4">
        <f>IF(G53="17-21",LARGE(CHOOSE({1,2,3,4,5,6},T53,V53,Y53,AA53,AC53,AF53),2),IF(R53=X53,MAX(Y53,AA53,AC53,AF53),IF(R53=AE53,MAX(AF53,T53,V53,Y53),0)))</f>
        <v>38.43</v>
      </c>
      <c r="T53" s="33"/>
      <c r="U53" s="40"/>
      <c r="V53" s="34"/>
      <c r="W53" s="40"/>
      <c r="X53" s="4">
        <f>IF(H53="Senior",MAX(T53,V53),T53+V53)</f>
        <v>0</v>
      </c>
      <c r="Y53" s="34"/>
      <c r="Z53" s="40"/>
      <c r="AA53" s="33">
        <v>38.43</v>
      </c>
      <c r="AB53" s="40">
        <v>0</v>
      </c>
      <c r="AC53" s="34">
        <v>44.44</v>
      </c>
      <c r="AD53" s="40">
        <v>7.8</v>
      </c>
      <c r="AE53" s="4">
        <f>IF(H53="Senior",MAX(AA53,AC53),AA53+AC53)</f>
        <v>82.87</v>
      </c>
      <c r="AF53" s="34"/>
      <c r="AG53" s="37"/>
    </row>
    <row r="54" spans="1:33" x14ac:dyDescent="0.2">
      <c r="A54" s="1" t="str" cm="1">
        <f t="array" ref="A54">IF(I54="","",IF(P54&lt;&gt;"",SUMPRODUCT((P$3:P$133&lt;&gt;"")*(G$3:G$133=G54)*(J$3:J$133&gt;J54)*(I$3:I$133="P"))+1,IF(O54&lt;&gt;"",SUMPRODUCT((O$3:O$133&lt;&gt;"")*(P$3:P$133="")*(G$3:G$133=G54)*(J$3:J$133&gt;J54)*(I$3:I$133="P"))+SUMPRODUCT((P$3:P$133&lt;&gt;"")*(G$3:G$133=G54)*(I$3:I$133="P"))+1,IF(N54&lt;&gt;"",SUMPRODUCT((N$3:N$133&lt;&gt;"")*(G$3:G$133=G54)*(J$3:J$133&gt;J54)*(I$3:I$133="P"))+1,IF(M54="P",SUMPRODUCT((O$3:O$133&lt;&gt;"")*(P$3:P$133="")*(G$3:G$133=G54)*(I$3:I$133="P"))+SUMPRODUCT((P$3:P$133&lt;&gt;"")*(G$3:G$133=G54)*(I$3:I$133="P"))+SUMPRODUCT((N$3:N$133&lt;&gt;"")*(G$3:G$133=G54)*(I$3:I$133="P"))+SUMPRODUCT((P$3:P$133="")*(O$3:O$133="")*(N$3:N$133="")*(M$3:M$133="P")*(G$3:G$133=G54)*(J$3:J$133&gt;J54)*(I$3:I$133="P"))+IF(H54="L5",SUMPRODUCT((P$3:P$133="")*(O$3:O$133="")*(N$3:N$133="")*(M$3:M$133="P")*(G$3:G$133=G54)*(J$3:J$133&lt;J54)*(H$3:H$133&lt;&gt;H54)*(I$3:I$133="P")),-1*SUMPRODUCT((P$3:P$133="")*(O$3:O$133="")*(N$3:N$133="")*(M$3:M$133="P")*(G$3:G$133=G54)*(J$3:J$133&gt;J54)*(H$3:H$133="L5")*(I$3:I$133="P")))+1,"")))))</f>
        <v/>
      </c>
      <c r="B54" s="1" t="str" cm="1">
        <f t="array" ref="B54">IF(P54&lt;&gt;"",SUMPRODUCT((P$3:P$133&lt;&gt;"")*(G$3:G$133=G54)*(J$3:J$133&gt;J54))+1,IF(O54&lt;&gt;"",SUMPRODUCT((O$3:O$133&lt;&gt;"")*(P$3:P$133="")*(G$3:G$133=G54)*(J$3:J$133&gt;J54))+SUMPRODUCT((P$3:P$133&lt;&gt;"")*(G$3:G$133=G54))+1,IF(N54&lt;&gt;"",SUMPRODUCT((N$3:N$133&lt;&gt;"")*(G$3:G$133=G54)*(J$3:J$133&gt;J54))+1,IF(M54="P",SUMPRODUCT((O$3:O$133&lt;&gt;"")*(P$3:P$133="")*(G$3:G$133=G54))+SUMPRODUCT((P$3:P$133&lt;&gt;"")*(G$3:G$133=G54))+SUMPRODUCT((N$3:N$133&lt;&gt;"")*(G$3:G$133=G54))+SUMPRODUCT((P$3:P$133="")*(O$3:O$133="")*(N$3:N$133="")*(M$3:M$133="P")*(G$3:G$133=G54)*(J$3:J$133&gt;J54))+IF(H54="L5",SUMPRODUCT((P$3:P$133="")*(O$3:O$133="")*(N$3:N$133="")*(M$3:M$133="P")*(G$3:G$133=G54)*(J$3:J$133&lt;J54)*(H$3:H$133&lt;&gt;H54)),-1*SUMPRODUCT((P$3:P$133="")*(O$3:O$133="")*(N$3:N$133="")*(M$3:M$133="P")*(G$3:G$133=G54)*(J$3:J$133&gt;J54)*(H$3:H$133="L5")))+1,""))))</f>
        <v/>
      </c>
      <c r="C54" s="36" t="s">
        <v>142</v>
      </c>
      <c r="D54" s="36" t="str">
        <f>IF(E54="","",VLOOKUP(E54,'Coaching Points'!A:B,2,0))</f>
        <v>QC</v>
      </c>
      <c r="E54" s="36" t="s">
        <v>289</v>
      </c>
      <c r="F54" s="35">
        <v>2004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9" t="s">
        <v>66</v>
      </c>
      <c r="I54" s="43"/>
      <c r="J54" s="4">
        <f>R54+S54+IF(OR(H54="Junior",H54="Senior"),0.0002,IF(OR(H54="L7",H54="L6"),0.0001,0))+IF(G54="17-21",MAX(AA54,AC54,AF54),AE54)*0.0000001</f>
        <v>82.510003698999995</v>
      </c>
      <c r="K54" s="3" t="str">
        <f>IF(G54="Not Age Eligible","",IF(G54="17-21",IF(MAX(T54,V54,Y54,AA54,AC54,AF54)&gt;=LOOKUP(G54,'Qualifying Scores'!$A$4:$A$7,'Qualifying Scores'!$C$4:$C$7),"P",""),IF(MAX(X54-U54,AE54-AB54)&gt;=LOOKUP(G54,'Qualifying Scores'!$A$4:$A$7,'Qualifying Scores'!$C$4:$C$7),"P","")))</f>
        <v/>
      </c>
      <c r="L54" s="3" t="str">
        <f>IF(G54="Not Age Eligible","",IF(G54="17-21",IF(MAX(U54,W54,Z54,AB54,AD54,AG54)&gt;=LOOKUP(G54,'Qualifying Scores'!$A$10:$A$13,'Qualifying Scores'!$C$10:$C$13),"P",""),IF(MAX(W54,AD54)&gt;=LOOKUP(G54,'Qualifying Scores'!$A$10:$A$13,'Qualifying Scores'!$C$10:$C$13),"P","")))</f>
        <v/>
      </c>
      <c r="M54" s="3" t="str">
        <f>IF(G54="Not Age Eligible","",IF(G54="17-21",IF(OR(AND(T54&gt;=LOOKUP(G54,'Qualifying Scores'!$A$4:$A$7,'Qualifying Scores'!$C$4:$C$7),U54&gt;=LOOKUP(G54,'Qualifying Scores'!$A$10:$A$13,'Qualifying Scores'!$C$10:$C$13)),AND(V54&gt;=LOOKUP(G54,'Qualifying Scores'!$A$4:$A$7,'Qualifying Scores'!$C$4:$C$7),W54&gt;=LOOKUP(G54,'Qualifying Scores'!$A$10:$A$13,'Qualifying Scores'!$C$10:$C$13)),AND(Y54&gt;=LOOKUP(G54,'Qualifying Scores'!$A$4:$A$7,'Qualifying Scores'!$C$4:$C$7),Z54&gt;=LOOKUP(G54,'Qualifying Scores'!$A$10:$A$13,'Qualifying Scores'!$C$10:$C$13)),AND(AA54&gt;=LOOKUP(G54,'Qualifying Scores'!$A$4:$A$7,'Qualifying Scores'!$C$4:$C$7),AB54&gt;=LOOKUP(G54,'Qualifying Scores'!$A$10:$A$13,'Qualifying Scores'!$C$10:$C$13)),AND(AC54&gt;=LOOKUP(G54,'Qualifying Scores'!$A$4:$A$7,'Qualifying Scores'!$C$4:$C$7),AD54&gt;=LOOKUP(G54,'Qualifying Scores'!$A$10:$A$13,'Qualifying Scores'!$C$10:$C$13)),AND(AF54&gt;=LOOKUP(G54,'Qualifying Scores'!$A$4:$A$7,'Qualifying Scores'!$C$4:$C$7),AG54&gt;=LOOKUP(G54,'Qualifying Scores'!$A$10:$A$13,'Qualifying Scores'!$C$10:$C$13))),"P",""),IF(OR(AND(X54-U54&gt;=LOOKUP(G54,'Qualifying Scores'!$A$4:$A$7,'Qualifying Scores'!$C$4:$C$7),W54&gt;=LOOKUP(G54,'Qualifying Scores'!$A$10:$A$13,'Qualifying Scores'!$C$10:$C$13)),AND(AE54-AB54&gt;=LOOKUP(G54,'Qualifying Scores'!$A$4:$A$7,'Qualifying Scores'!$C$4:$C$7),AD54&gt;=LOOKUP(G54,'Qualifying Scores'!$A$10:$A$13,'Qualifying Scores'!$C$10:$C$13))),"P","")))</f>
        <v/>
      </c>
      <c r="Q54" s="1" t="str">
        <f>IF(A54&lt;5,IF(_xlfn.MAXIFS(A:A,G:G,G54)&gt;3,5-A54,_xlfn.MAXIFS(A:A,G:G,G54)+1-A54),"")</f>
        <v/>
      </c>
      <c r="R54" s="4">
        <f>IF(G54="17-21",MAX(T54,V54,Y54,AA54,AC54,AF54),MAX(X54,AE54))</f>
        <v>43.82</v>
      </c>
      <c r="S54" s="4">
        <f>IF(G54="17-21",LARGE(CHOOSE({1,2,3,4,5,6},T54,V54,Y54,AA54,AC54,AF54),2),IF(R54=X54,MAX(Y54,AA54,AC54,AF54),IF(R54=AE54,MAX(AF54,T54,V54,Y54),0)))</f>
        <v>38.69</v>
      </c>
      <c r="T54" s="33">
        <v>38.69</v>
      </c>
      <c r="U54" s="40">
        <v>0</v>
      </c>
      <c r="V54" s="34">
        <v>43.82</v>
      </c>
      <c r="W54" s="40">
        <v>7.2</v>
      </c>
      <c r="X54" s="4">
        <f>IF(H54="Senior",MAX(T54,V54),T54+V54)</f>
        <v>82.509999999999991</v>
      </c>
      <c r="Y54" s="34"/>
      <c r="Z54" s="40"/>
      <c r="AA54" s="33">
        <v>36.99</v>
      </c>
      <c r="AB54" s="40">
        <v>0</v>
      </c>
      <c r="AC54" s="34">
        <v>26.62</v>
      </c>
      <c r="AD54" s="40">
        <v>5.2</v>
      </c>
      <c r="AE54" s="4">
        <f>IF(H54="Senior",MAX(AA54,AC54),AA54+AC54)</f>
        <v>63.61</v>
      </c>
      <c r="AF54" s="34"/>
      <c r="AG54" s="37"/>
    </row>
    <row r="55" spans="1:33" x14ac:dyDescent="0.2">
      <c r="A55" s="1" t="str" cm="1">
        <f t="array" ref="A55">IF(I55="","",IF(P55&lt;&gt;"",SUMPRODUCT((P$3:P$133&lt;&gt;"")*(G$3:G$133=G55)*(J$3:J$133&gt;J55)*(I$3:I$133="P"))+1,IF(O55&lt;&gt;"",SUMPRODUCT((O$3:O$133&lt;&gt;"")*(P$3:P$133="")*(G$3:G$133=G55)*(J$3:J$133&gt;J55)*(I$3:I$133="P"))+SUMPRODUCT((P$3:P$133&lt;&gt;"")*(G$3:G$133=G55)*(I$3:I$133="P"))+1,IF(N55&lt;&gt;"",SUMPRODUCT((N$3:N$133&lt;&gt;"")*(G$3:G$133=G55)*(J$3:J$133&gt;J55)*(I$3:I$133="P"))+1,IF(M55="P",SUMPRODUCT((O$3:O$133&lt;&gt;"")*(P$3:P$133="")*(G$3:G$133=G55)*(I$3:I$133="P"))+SUMPRODUCT((P$3:P$133&lt;&gt;"")*(G$3:G$133=G55)*(I$3:I$133="P"))+SUMPRODUCT((N$3:N$133&lt;&gt;"")*(G$3:G$133=G55)*(I$3:I$133="P"))+SUMPRODUCT((P$3:P$133="")*(O$3:O$133="")*(N$3:N$133="")*(M$3:M$133="P")*(G$3:G$133=G55)*(J$3:J$133&gt;J55)*(I$3:I$133="P"))+IF(H55="L5",SUMPRODUCT((P$3:P$133="")*(O$3:O$133="")*(N$3:N$133="")*(M$3:M$133="P")*(G$3:G$133=G55)*(J$3:J$133&lt;J55)*(H$3:H$133&lt;&gt;H55)*(I$3:I$133="P")),-1*SUMPRODUCT((P$3:P$133="")*(O$3:O$133="")*(N$3:N$133="")*(M$3:M$133="P")*(G$3:G$133=G55)*(J$3:J$133&gt;J55)*(H$3:H$133="L5")*(I$3:I$133="P")))+1,"")))))</f>
        <v/>
      </c>
      <c r="B55" s="1" t="str" cm="1">
        <f t="array" ref="B55">IF(P55&lt;&gt;"",SUMPRODUCT((P$3:P$133&lt;&gt;"")*(G$3:G$133=G55)*(J$3:J$133&gt;J55))+1,IF(O55&lt;&gt;"",SUMPRODUCT((O$3:O$133&lt;&gt;"")*(P$3:P$133="")*(G$3:G$133=G55)*(J$3:J$133&gt;J55))+SUMPRODUCT((P$3:P$133&lt;&gt;"")*(G$3:G$133=G55))+1,IF(N55&lt;&gt;"",SUMPRODUCT((N$3:N$133&lt;&gt;"")*(G$3:G$133=G55)*(J$3:J$133&gt;J55))+1,IF(M55="P",SUMPRODUCT((O$3:O$133&lt;&gt;"")*(P$3:P$133="")*(G$3:G$133=G55))+SUMPRODUCT((P$3:P$133&lt;&gt;"")*(G$3:G$133=G55))+SUMPRODUCT((N$3:N$133&lt;&gt;"")*(G$3:G$133=G55))+SUMPRODUCT((P$3:P$133="")*(O$3:O$133="")*(N$3:N$133="")*(M$3:M$133="P")*(G$3:G$133=G55)*(J$3:J$133&gt;J55))+IF(H55="L5",SUMPRODUCT((P$3:P$133="")*(O$3:O$133="")*(N$3:N$133="")*(M$3:M$133="P")*(G$3:G$133=G55)*(J$3:J$133&lt;J55)*(H$3:H$133&lt;&gt;H55)),-1*SUMPRODUCT((P$3:P$133="")*(O$3:O$133="")*(N$3:N$133="")*(M$3:M$133="P")*(G$3:G$133=G55)*(J$3:J$133&gt;J55)*(H$3:H$133="L5")))+1,""))))</f>
        <v/>
      </c>
      <c r="C55" s="36" t="s">
        <v>451</v>
      </c>
      <c r="D55" s="36" t="str">
        <f>IF(E55="","",VLOOKUP(E55,'Coaching Points'!A:B,2,0))</f>
        <v>BC</v>
      </c>
      <c r="E55" s="36" t="s">
        <v>37</v>
      </c>
      <c r="F55" s="35">
        <v>2004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9" t="s">
        <v>66</v>
      </c>
      <c r="I55" s="43"/>
      <c r="J55" s="4">
        <f>R55+S55+IF(OR(H55="Junior",H55="Senior"),0.0002,IF(OR(H55="L7",H55="L6"),0.0001,0))+IF(G55="17-21",MAX(AA55,AC55,AF55),AE55)*0.0000001</f>
        <v>82.40000443000001</v>
      </c>
      <c r="K55" s="3" t="str">
        <f>IF(G55="Not Age Eligible","",IF(G55="17-21",IF(MAX(T55,V55,Y55,AA55,AC55,AF55)&gt;=LOOKUP(G55,'Qualifying Scores'!$A$4:$A$7,'Qualifying Scores'!$C$4:$C$7),"P",""),IF(MAX(X55-U55,AE55-AB55)&gt;=LOOKUP(G55,'Qualifying Scores'!$A$4:$A$7,'Qualifying Scores'!$C$4:$C$7),"P","")))</f>
        <v/>
      </c>
      <c r="L55" s="3" t="str">
        <f>IF(G55="Not Age Eligible","",IF(G55="17-21",IF(MAX(U55,W55,Z55,AB55,AD55,AG55)&gt;=LOOKUP(G55,'Qualifying Scores'!$A$10:$A$13,'Qualifying Scores'!$C$10:$C$13),"P",""),IF(MAX(W55,AD55)&gt;=LOOKUP(G55,'Qualifying Scores'!$A$10:$A$13,'Qualifying Scores'!$C$10:$C$13),"P","")))</f>
        <v/>
      </c>
      <c r="M55" s="3" t="str">
        <f>IF(G55="Not Age Eligible","",IF(G55="17-21",IF(OR(AND(T55&gt;=LOOKUP(G55,'Qualifying Scores'!$A$4:$A$7,'Qualifying Scores'!$C$4:$C$7),U55&gt;=LOOKUP(G55,'Qualifying Scores'!$A$10:$A$13,'Qualifying Scores'!$C$10:$C$13)),AND(V55&gt;=LOOKUP(G55,'Qualifying Scores'!$A$4:$A$7,'Qualifying Scores'!$C$4:$C$7),W55&gt;=LOOKUP(G55,'Qualifying Scores'!$A$10:$A$13,'Qualifying Scores'!$C$10:$C$13)),AND(Y55&gt;=LOOKUP(G55,'Qualifying Scores'!$A$4:$A$7,'Qualifying Scores'!$C$4:$C$7),Z55&gt;=LOOKUP(G55,'Qualifying Scores'!$A$10:$A$13,'Qualifying Scores'!$C$10:$C$13)),AND(AA55&gt;=LOOKUP(G55,'Qualifying Scores'!$A$4:$A$7,'Qualifying Scores'!$C$4:$C$7),AB55&gt;=LOOKUP(G55,'Qualifying Scores'!$A$10:$A$13,'Qualifying Scores'!$C$10:$C$13)),AND(AC55&gt;=LOOKUP(G55,'Qualifying Scores'!$A$4:$A$7,'Qualifying Scores'!$C$4:$C$7),AD55&gt;=LOOKUP(G55,'Qualifying Scores'!$A$10:$A$13,'Qualifying Scores'!$C$10:$C$13)),AND(AF55&gt;=LOOKUP(G55,'Qualifying Scores'!$A$4:$A$7,'Qualifying Scores'!$C$4:$C$7),AG55&gt;=LOOKUP(G55,'Qualifying Scores'!$A$10:$A$13,'Qualifying Scores'!$C$10:$C$13))),"P",""),IF(OR(AND(X55-U55&gt;=LOOKUP(G55,'Qualifying Scores'!$A$4:$A$7,'Qualifying Scores'!$C$4:$C$7),W55&gt;=LOOKUP(G55,'Qualifying Scores'!$A$10:$A$13,'Qualifying Scores'!$C$10:$C$13)),AND(AE55-AB55&gt;=LOOKUP(G55,'Qualifying Scores'!$A$4:$A$7,'Qualifying Scores'!$C$4:$C$7),AD55&gt;=LOOKUP(G55,'Qualifying Scores'!$A$10:$A$13,'Qualifying Scores'!$C$10:$C$13))),"P","")))</f>
        <v/>
      </c>
      <c r="Q55" s="1" t="str">
        <f>IF(A55&lt;5,IF(_xlfn.MAXIFS(A:A,G:G,G55)&gt;3,5-A55,_xlfn.MAXIFS(A:A,G:G,G55)+1-A55),"")</f>
        <v/>
      </c>
      <c r="R55" s="4">
        <f>IF(G55="17-21",MAX(T55,V55,Y55,AA55,AC55,AF55),MAX(X55,AE55))</f>
        <v>44.3</v>
      </c>
      <c r="S55" s="4">
        <f>IF(G55="17-21",LARGE(CHOOSE({1,2,3,4,5,6},T55,V55,Y55,AA55,AC55,AF55),2),IF(R55=X55,MAX(Y55,AA55,AC55,AF55),IF(R55=AE55,MAX(AF55,T55,V55,Y55),0)))</f>
        <v>38.1</v>
      </c>
      <c r="T55" s="33"/>
      <c r="U55" s="40"/>
      <c r="V55" s="34"/>
      <c r="W55" s="40"/>
      <c r="X55" s="4">
        <f>IF(H55="Senior",MAX(T55,V55),T55+V55)</f>
        <v>0</v>
      </c>
      <c r="Y55" s="34"/>
      <c r="Z55" s="40"/>
      <c r="AA55" s="33">
        <v>38.1</v>
      </c>
      <c r="AB55" s="40">
        <v>0</v>
      </c>
      <c r="AC55" s="34">
        <v>44.3</v>
      </c>
      <c r="AD55" s="40">
        <v>7.8</v>
      </c>
      <c r="AE55" s="4">
        <f>IF(H55="Senior",MAX(AA55,AC55),AA55+AC55)</f>
        <v>82.4</v>
      </c>
      <c r="AF55" s="34"/>
      <c r="AG55" s="37"/>
    </row>
    <row r="56" spans="1:33" x14ac:dyDescent="0.2">
      <c r="A56" s="1" t="str" cm="1">
        <f t="array" ref="A56">IF(I56="","",IF(P56&lt;&gt;"",SUMPRODUCT((P$3:P$133&lt;&gt;"")*(G$3:G$133=G56)*(J$3:J$133&gt;J56)*(I$3:I$133="P"))+1,IF(O56&lt;&gt;"",SUMPRODUCT((O$3:O$133&lt;&gt;"")*(P$3:P$133="")*(G$3:G$133=G56)*(J$3:J$133&gt;J56)*(I$3:I$133="P"))+SUMPRODUCT((P$3:P$133&lt;&gt;"")*(G$3:G$133=G56)*(I$3:I$133="P"))+1,IF(N56&lt;&gt;"",SUMPRODUCT((N$3:N$133&lt;&gt;"")*(G$3:G$133=G56)*(J$3:J$133&gt;J56)*(I$3:I$133="P"))+1,IF(M56="P",SUMPRODUCT((O$3:O$133&lt;&gt;"")*(P$3:P$133="")*(G$3:G$133=G56)*(I$3:I$133="P"))+SUMPRODUCT((P$3:P$133&lt;&gt;"")*(G$3:G$133=G56)*(I$3:I$133="P"))+SUMPRODUCT((N$3:N$133&lt;&gt;"")*(G$3:G$133=G56)*(I$3:I$133="P"))+SUMPRODUCT((P$3:P$133="")*(O$3:O$133="")*(N$3:N$133="")*(M$3:M$133="P")*(G$3:G$133=G56)*(J$3:J$133&gt;J56)*(I$3:I$133="P"))+IF(H56="L5",SUMPRODUCT((P$3:P$133="")*(O$3:O$133="")*(N$3:N$133="")*(M$3:M$133="P")*(G$3:G$133=G56)*(J$3:J$133&lt;J56)*(H$3:H$133&lt;&gt;H56)*(I$3:I$133="P")),-1*SUMPRODUCT((P$3:P$133="")*(O$3:O$133="")*(N$3:N$133="")*(M$3:M$133="P")*(G$3:G$133=G56)*(J$3:J$133&gt;J56)*(H$3:H$133="L5")*(I$3:I$133="P")))+1,"")))))</f>
        <v/>
      </c>
      <c r="B56" s="1" t="str" cm="1">
        <f t="array" ref="B56">IF(P56&lt;&gt;"",SUMPRODUCT((P$3:P$133&lt;&gt;"")*(G$3:G$133=G56)*(J$3:J$133&gt;J56))+1,IF(O56&lt;&gt;"",SUMPRODUCT((O$3:O$133&lt;&gt;"")*(P$3:P$133="")*(G$3:G$133=G56)*(J$3:J$133&gt;J56))+SUMPRODUCT((P$3:P$133&lt;&gt;"")*(G$3:G$133=G56))+1,IF(N56&lt;&gt;"",SUMPRODUCT((N$3:N$133&lt;&gt;"")*(G$3:G$133=G56)*(J$3:J$133&gt;J56))+1,IF(M56="P",SUMPRODUCT((O$3:O$133&lt;&gt;"")*(P$3:P$133="")*(G$3:G$133=G56))+SUMPRODUCT((P$3:P$133&lt;&gt;"")*(G$3:G$133=G56))+SUMPRODUCT((N$3:N$133&lt;&gt;"")*(G$3:G$133=G56))+SUMPRODUCT((P$3:P$133="")*(O$3:O$133="")*(N$3:N$133="")*(M$3:M$133="P")*(G$3:G$133=G56)*(J$3:J$133&gt;J56))+IF(H56="L5",SUMPRODUCT((P$3:P$133="")*(O$3:O$133="")*(N$3:N$133="")*(M$3:M$133="P")*(G$3:G$133=G56)*(J$3:J$133&lt;J56)*(H$3:H$133&lt;&gt;H56)),-1*SUMPRODUCT((P$3:P$133="")*(O$3:O$133="")*(N$3:N$133="")*(M$3:M$133="P")*(G$3:G$133=G56)*(J$3:J$133&gt;J56)*(H$3:H$133="L5")))+1,""))))</f>
        <v/>
      </c>
      <c r="C56" s="36" t="s">
        <v>124</v>
      </c>
      <c r="D56" s="36" t="str">
        <f>IF(E56="","",VLOOKUP(E56,'Coaching Points'!A:B,2,0))</f>
        <v>ON</v>
      </c>
      <c r="E56" s="36" t="s">
        <v>73</v>
      </c>
      <c r="F56" s="35">
        <v>2006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9" t="s">
        <v>66</v>
      </c>
      <c r="I56" s="43"/>
      <c r="J56" s="4">
        <f>R56+S56+IF(OR(H56="Junior",H56="Senior"),0.0002,IF(OR(H56="L7",H56="L6"),0.0001,0))+IF(G56="17-21",MAX(AA56,AC56,AF56),AE56)*0.0000001</f>
        <v>82.380003880999993</v>
      </c>
      <c r="K56" s="3" t="str">
        <f>IF(G56="Not Age Eligible","",IF(G56="17-21",IF(MAX(T56,V56,Y56,AA56,AC56,AF56)&gt;=LOOKUP(G56,'Qualifying Scores'!$A$4:$A$7,'Qualifying Scores'!$C$4:$C$7),"P",""),IF(MAX(X56-U56,AE56-AB56)&gt;=LOOKUP(G56,'Qualifying Scores'!$A$4:$A$7,'Qualifying Scores'!$C$4:$C$7),"P","")))</f>
        <v/>
      </c>
      <c r="L56" s="3" t="str">
        <f>IF(G56="Not Age Eligible","",IF(G56="17-21",IF(MAX(U56,W56,Z56,AB56,AD56,AG56)&gt;=LOOKUP(G56,'Qualifying Scores'!$A$10:$A$13,'Qualifying Scores'!$C$10:$C$13),"P",""),IF(MAX(W56,AD56)&gt;=LOOKUP(G56,'Qualifying Scores'!$A$10:$A$13,'Qualifying Scores'!$C$10:$C$13),"P","")))</f>
        <v/>
      </c>
      <c r="M56" s="3" t="str">
        <f>IF(G56="Not Age Eligible","",IF(G56="17-21",IF(OR(AND(T56&gt;=LOOKUP(G56,'Qualifying Scores'!$A$4:$A$7,'Qualifying Scores'!$C$4:$C$7),U56&gt;=LOOKUP(G56,'Qualifying Scores'!$A$10:$A$13,'Qualifying Scores'!$C$10:$C$13)),AND(V56&gt;=LOOKUP(G56,'Qualifying Scores'!$A$4:$A$7,'Qualifying Scores'!$C$4:$C$7),W56&gt;=LOOKUP(G56,'Qualifying Scores'!$A$10:$A$13,'Qualifying Scores'!$C$10:$C$13)),AND(Y56&gt;=LOOKUP(G56,'Qualifying Scores'!$A$4:$A$7,'Qualifying Scores'!$C$4:$C$7),Z56&gt;=LOOKUP(G56,'Qualifying Scores'!$A$10:$A$13,'Qualifying Scores'!$C$10:$C$13)),AND(AA56&gt;=LOOKUP(G56,'Qualifying Scores'!$A$4:$A$7,'Qualifying Scores'!$C$4:$C$7),AB56&gt;=LOOKUP(G56,'Qualifying Scores'!$A$10:$A$13,'Qualifying Scores'!$C$10:$C$13)),AND(AC56&gt;=LOOKUP(G56,'Qualifying Scores'!$A$4:$A$7,'Qualifying Scores'!$C$4:$C$7),AD56&gt;=LOOKUP(G56,'Qualifying Scores'!$A$10:$A$13,'Qualifying Scores'!$C$10:$C$13)),AND(AF56&gt;=LOOKUP(G56,'Qualifying Scores'!$A$4:$A$7,'Qualifying Scores'!$C$4:$C$7),AG56&gt;=LOOKUP(G56,'Qualifying Scores'!$A$10:$A$13,'Qualifying Scores'!$C$10:$C$13))),"P",""),IF(OR(AND(X56-U56&gt;=LOOKUP(G56,'Qualifying Scores'!$A$4:$A$7,'Qualifying Scores'!$C$4:$C$7),W56&gt;=LOOKUP(G56,'Qualifying Scores'!$A$10:$A$13,'Qualifying Scores'!$C$10:$C$13)),AND(AE56-AB56&gt;=LOOKUP(G56,'Qualifying Scores'!$A$4:$A$7,'Qualifying Scores'!$C$4:$C$7),AD56&gt;=LOOKUP(G56,'Qualifying Scores'!$A$10:$A$13,'Qualifying Scores'!$C$10:$C$13))),"P","")))</f>
        <v/>
      </c>
      <c r="Q56" s="1" t="str">
        <f>IF(A56&lt;5,IF(_xlfn.MAXIFS(A:A,G:G,G56)&gt;3,5-A56,_xlfn.MAXIFS(A:A,G:G,G56)+1-A56),"")</f>
        <v/>
      </c>
      <c r="R56" s="4">
        <f>IF(G56="17-21",MAX(T56,V56,Y56,AA56,AC56,AF56),MAX(X56,AE56))</f>
        <v>43.57</v>
      </c>
      <c r="S56" s="4">
        <f>IF(G56="17-21",LARGE(CHOOSE({1,2,3,4,5,6},T56,V56,Y56,AA56,AC56,AF56),2),IF(R56=X56,MAX(Y56,AA56,AC56,AF56),IF(R56=AE56,MAX(AF56,T56,V56,Y56),0)))</f>
        <v>38.81</v>
      </c>
      <c r="T56" s="33">
        <v>38.29</v>
      </c>
      <c r="U56" s="40">
        <v>0</v>
      </c>
      <c r="V56" s="34">
        <v>43.57</v>
      </c>
      <c r="W56" s="40">
        <v>7.6</v>
      </c>
      <c r="X56" s="4">
        <f>IF(H56="Senior",MAX(T56,V56),T56+V56)</f>
        <v>81.86</v>
      </c>
      <c r="Y56" s="34"/>
      <c r="Z56" s="40"/>
      <c r="AA56" s="33">
        <v>38.81</v>
      </c>
      <c r="AB56" s="40">
        <v>0</v>
      </c>
      <c r="AC56" s="34">
        <v>18.41</v>
      </c>
      <c r="AD56" s="40">
        <v>4</v>
      </c>
      <c r="AE56" s="4">
        <f>IF(H56="Senior",MAX(AA56,AC56),AA56+AC56)</f>
        <v>57.22</v>
      </c>
      <c r="AF56" s="34"/>
      <c r="AG56" s="37"/>
    </row>
    <row r="57" spans="1:33" x14ac:dyDescent="0.2">
      <c r="A57" s="1" t="str" cm="1">
        <f t="array" ref="A57">IF(I57="","",IF(P57&lt;&gt;"",SUMPRODUCT((P$3:P$133&lt;&gt;"")*(G$3:G$133=G57)*(J$3:J$133&gt;J57)*(I$3:I$133="P"))+1,IF(O57&lt;&gt;"",SUMPRODUCT((O$3:O$133&lt;&gt;"")*(P$3:P$133="")*(G$3:G$133=G57)*(J$3:J$133&gt;J57)*(I$3:I$133="P"))+SUMPRODUCT((P$3:P$133&lt;&gt;"")*(G$3:G$133=G57)*(I$3:I$133="P"))+1,IF(N57&lt;&gt;"",SUMPRODUCT((N$3:N$133&lt;&gt;"")*(G$3:G$133=G57)*(J$3:J$133&gt;J57)*(I$3:I$133="P"))+1,IF(M57="P",SUMPRODUCT((O$3:O$133&lt;&gt;"")*(P$3:P$133="")*(G$3:G$133=G57)*(I$3:I$133="P"))+SUMPRODUCT((P$3:P$133&lt;&gt;"")*(G$3:G$133=G57)*(I$3:I$133="P"))+SUMPRODUCT((N$3:N$133&lt;&gt;"")*(G$3:G$133=G57)*(I$3:I$133="P"))+SUMPRODUCT((P$3:P$133="")*(O$3:O$133="")*(N$3:N$133="")*(M$3:M$133="P")*(G$3:G$133=G57)*(J$3:J$133&gt;J57)*(I$3:I$133="P"))+IF(H57="L5",SUMPRODUCT((P$3:P$133="")*(O$3:O$133="")*(N$3:N$133="")*(M$3:M$133="P")*(G$3:G$133=G57)*(J$3:J$133&lt;J57)*(H$3:H$133&lt;&gt;H57)*(I$3:I$133="P")),-1*SUMPRODUCT((P$3:P$133="")*(O$3:O$133="")*(N$3:N$133="")*(M$3:M$133="P")*(G$3:G$133=G57)*(J$3:J$133&gt;J57)*(H$3:H$133="L5")*(I$3:I$133="P")))+1,"")))))</f>
        <v/>
      </c>
      <c r="B57" s="1" t="str" cm="1">
        <f t="array" ref="B57">IF(P57&lt;&gt;"",SUMPRODUCT((P$3:P$133&lt;&gt;"")*(G$3:G$133=G57)*(J$3:J$133&gt;J57))+1,IF(O57&lt;&gt;"",SUMPRODUCT((O$3:O$133&lt;&gt;"")*(P$3:P$133="")*(G$3:G$133=G57)*(J$3:J$133&gt;J57))+SUMPRODUCT((P$3:P$133&lt;&gt;"")*(G$3:G$133=G57))+1,IF(N57&lt;&gt;"",SUMPRODUCT((N$3:N$133&lt;&gt;"")*(G$3:G$133=G57)*(J$3:J$133&gt;J57))+1,IF(M57="P",SUMPRODUCT((O$3:O$133&lt;&gt;"")*(P$3:P$133="")*(G$3:G$133=G57))+SUMPRODUCT((P$3:P$133&lt;&gt;"")*(G$3:G$133=G57))+SUMPRODUCT((N$3:N$133&lt;&gt;"")*(G$3:G$133=G57))+SUMPRODUCT((P$3:P$133="")*(O$3:O$133="")*(N$3:N$133="")*(M$3:M$133="P")*(G$3:G$133=G57)*(J$3:J$133&gt;J57))+IF(H57="L5",SUMPRODUCT((P$3:P$133="")*(O$3:O$133="")*(N$3:N$133="")*(M$3:M$133="P")*(G$3:G$133=G57)*(J$3:J$133&lt;J57)*(H$3:H$133&lt;&gt;H57)),-1*SUMPRODUCT((P$3:P$133="")*(O$3:O$133="")*(N$3:N$133="")*(M$3:M$133="P")*(G$3:G$133=G57)*(J$3:J$133&gt;J57)*(H$3:H$133="L5")))+1,""))))</f>
        <v/>
      </c>
      <c r="C57" s="36" t="s">
        <v>532</v>
      </c>
      <c r="D57" s="36" t="str">
        <f>IF(E57="","",VLOOKUP(E57,'Coaching Points'!A:B,2,0))</f>
        <v>ON</v>
      </c>
      <c r="E57" s="36" t="s">
        <v>73</v>
      </c>
      <c r="F57" s="35">
        <v>2005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17-21</v>
      </c>
      <c r="H57" s="39" t="s">
        <v>68</v>
      </c>
      <c r="I57" s="43"/>
      <c r="J57" s="4">
        <f>R57+S57+IF(OR(H57="Junior",H57="Senior"),0.0002,IF(OR(H57="L7",H57="L6"),0.0001,0))+IF(G57="17-21",MAX(AA57,AC57,AF57),AE57)*0.0000001</f>
        <v>81.350104399000003</v>
      </c>
      <c r="K57" s="3" t="str">
        <f>IF(G57="Not Age Eligible","",IF(G57="17-21",IF(MAX(T57,V57,Y57,AA57,AC57,AF57)&gt;=LOOKUP(G57,'Qualifying Scores'!$A$4:$A$7,'Qualifying Scores'!$C$4:$C$7),"P",""),IF(MAX(X57-U57,AE57-AB57)&gt;=LOOKUP(G57,'Qualifying Scores'!$A$4:$A$7,'Qualifying Scores'!$C$4:$C$7),"P","")))</f>
        <v/>
      </c>
      <c r="L57" s="3" t="str">
        <f>IF(G57="Not Age Eligible","",IF(G57="17-21",IF(MAX(U57,W57,Z57,AB57,AD57,AG57)&gt;=LOOKUP(G57,'Qualifying Scores'!$A$10:$A$13,'Qualifying Scores'!$C$10:$C$13),"P",""),IF(MAX(W57,AD57)&gt;=LOOKUP(G57,'Qualifying Scores'!$A$10:$A$13,'Qualifying Scores'!$C$10:$C$13),"P","")))</f>
        <v/>
      </c>
      <c r="M57" s="3" t="str">
        <f>IF(G57="Not Age Eligible","",IF(G57="17-21",IF(OR(AND(T57&gt;=LOOKUP(G57,'Qualifying Scores'!$A$4:$A$7,'Qualifying Scores'!$C$4:$C$7),U57&gt;=LOOKUP(G57,'Qualifying Scores'!$A$10:$A$13,'Qualifying Scores'!$C$10:$C$13)),AND(V57&gt;=LOOKUP(G57,'Qualifying Scores'!$A$4:$A$7,'Qualifying Scores'!$C$4:$C$7),W57&gt;=LOOKUP(G57,'Qualifying Scores'!$A$10:$A$13,'Qualifying Scores'!$C$10:$C$13)),AND(Y57&gt;=LOOKUP(G57,'Qualifying Scores'!$A$4:$A$7,'Qualifying Scores'!$C$4:$C$7),Z57&gt;=LOOKUP(G57,'Qualifying Scores'!$A$10:$A$13,'Qualifying Scores'!$C$10:$C$13)),AND(AA57&gt;=LOOKUP(G57,'Qualifying Scores'!$A$4:$A$7,'Qualifying Scores'!$C$4:$C$7),AB57&gt;=LOOKUP(G57,'Qualifying Scores'!$A$10:$A$13,'Qualifying Scores'!$C$10:$C$13)),AND(AC57&gt;=LOOKUP(G57,'Qualifying Scores'!$A$4:$A$7,'Qualifying Scores'!$C$4:$C$7),AD57&gt;=LOOKUP(G57,'Qualifying Scores'!$A$10:$A$13,'Qualifying Scores'!$C$10:$C$13)),AND(AF57&gt;=LOOKUP(G57,'Qualifying Scores'!$A$4:$A$7,'Qualifying Scores'!$C$4:$C$7),AG57&gt;=LOOKUP(G57,'Qualifying Scores'!$A$10:$A$13,'Qualifying Scores'!$C$10:$C$13))),"P",""),IF(OR(AND(X57-U57&gt;=LOOKUP(G57,'Qualifying Scores'!$A$4:$A$7,'Qualifying Scores'!$C$4:$C$7),W57&gt;=LOOKUP(G57,'Qualifying Scores'!$A$10:$A$13,'Qualifying Scores'!$C$10:$C$13)),AND(AE57-AB57&gt;=LOOKUP(G57,'Qualifying Scores'!$A$4:$A$7,'Qualifying Scores'!$C$4:$C$7),AD57&gt;=LOOKUP(G57,'Qualifying Scores'!$A$10:$A$13,'Qualifying Scores'!$C$10:$C$13))),"P","")))</f>
        <v/>
      </c>
      <c r="Q57" s="1" t="str">
        <f>IF(A57&lt;5,IF(_xlfn.MAXIFS(A:A,G:G,G57)&gt;3,5-A57,_xlfn.MAXIFS(A:A,G:G,G57)+1-A57),"")</f>
        <v/>
      </c>
      <c r="R57" s="4">
        <f>IF(G57="17-21",MAX(T57,V57,Y57,AA57,AC57,AF57),MAX(X57,AE57))</f>
        <v>43.99</v>
      </c>
      <c r="S57" s="4">
        <f>IF(G57="17-21",LARGE(CHOOSE({1,2,3,4,5,6},T57,V57,Y57,AA57,AC57,AF57),2),IF(R57=X57,MAX(Y57,AA57,AC57,AF57),IF(R57=AE57,MAX(AF57,T57,V57,Y57),0)))</f>
        <v>37.36</v>
      </c>
      <c r="T57" s="33"/>
      <c r="U57" s="40"/>
      <c r="V57" s="34"/>
      <c r="W57" s="40"/>
      <c r="X57" s="4">
        <f>IF(H57="Senior",MAX(T57,V57),T57+V57)</f>
        <v>0</v>
      </c>
      <c r="Y57" s="34"/>
      <c r="Z57" s="40"/>
      <c r="AA57" s="33">
        <v>37.36</v>
      </c>
      <c r="AB57" s="40">
        <v>6.9</v>
      </c>
      <c r="AC57" s="34">
        <v>43.99</v>
      </c>
      <c r="AD57" s="40">
        <v>9.1</v>
      </c>
      <c r="AE57" s="4">
        <f>IF(H57="Senior",MAX(AA57,AC57),AA57+AC57)</f>
        <v>81.349999999999994</v>
      </c>
      <c r="AF57" s="34"/>
      <c r="AG57" s="37"/>
    </row>
    <row r="58" spans="1:33" x14ac:dyDescent="0.2">
      <c r="A58" s="1" t="str" cm="1">
        <f t="array" ref="A58">IF(I58="","",IF(P58&lt;&gt;"",SUMPRODUCT((P$3:P$133&lt;&gt;"")*(G$3:G$133=G58)*(J$3:J$133&gt;J58)*(I$3:I$133="P"))+1,IF(O58&lt;&gt;"",SUMPRODUCT((O$3:O$133&lt;&gt;"")*(P$3:P$133="")*(G$3:G$133=G58)*(J$3:J$133&gt;J58)*(I$3:I$133="P"))+SUMPRODUCT((P$3:P$133&lt;&gt;"")*(G$3:G$133=G58)*(I$3:I$133="P"))+1,IF(N58&lt;&gt;"",SUMPRODUCT((N$3:N$133&lt;&gt;"")*(G$3:G$133=G58)*(J$3:J$133&gt;J58)*(I$3:I$133="P"))+1,IF(M58="P",SUMPRODUCT((O$3:O$133&lt;&gt;"")*(P$3:P$133="")*(G$3:G$133=G58)*(I$3:I$133="P"))+SUMPRODUCT((P$3:P$133&lt;&gt;"")*(G$3:G$133=G58)*(I$3:I$133="P"))+SUMPRODUCT((N$3:N$133&lt;&gt;"")*(G$3:G$133=G58)*(I$3:I$133="P"))+SUMPRODUCT((P$3:P$133="")*(O$3:O$133="")*(N$3:N$133="")*(M$3:M$133="P")*(G$3:G$133=G58)*(J$3:J$133&gt;J58)*(I$3:I$133="P"))+IF(H58="L5",SUMPRODUCT((P$3:P$133="")*(O$3:O$133="")*(N$3:N$133="")*(M$3:M$133="P")*(G$3:G$133=G58)*(J$3:J$133&lt;J58)*(H$3:H$133&lt;&gt;H58)*(I$3:I$133="P")),-1*SUMPRODUCT((P$3:P$133="")*(O$3:O$133="")*(N$3:N$133="")*(M$3:M$133="P")*(G$3:G$133=G58)*(J$3:J$133&gt;J58)*(H$3:H$133="L5")*(I$3:I$133="P")))+1,"")))))</f>
        <v/>
      </c>
      <c r="B58" s="1" t="str" cm="1">
        <f t="array" ref="B58">IF(P58&lt;&gt;"",SUMPRODUCT((P$3:P$133&lt;&gt;"")*(G$3:G$133=G58)*(J$3:J$133&gt;J58))+1,IF(O58&lt;&gt;"",SUMPRODUCT((O$3:O$133&lt;&gt;"")*(P$3:P$133="")*(G$3:G$133=G58)*(J$3:J$133&gt;J58))+SUMPRODUCT((P$3:P$133&lt;&gt;"")*(G$3:G$133=G58))+1,IF(N58&lt;&gt;"",SUMPRODUCT((N$3:N$133&lt;&gt;"")*(G$3:G$133=G58)*(J$3:J$133&gt;J58))+1,IF(M58="P",SUMPRODUCT((O$3:O$133&lt;&gt;"")*(P$3:P$133="")*(G$3:G$133=G58))+SUMPRODUCT((P$3:P$133&lt;&gt;"")*(G$3:G$133=G58))+SUMPRODUCT((N$3:N$133&lt;&gt;"")*(G$3:G$133=G58))+SUMPRODUCT((P$3:P$133="")*(O$3:O$133="")*(N$3:N$133="")*(M$3:M$133="P")*(G$3:G$133=G58)*(J$3:J$133&gt;J58))+IF(H58="L5",SUMPRODUCT((P$3:P$133="")*(O$3:O$133="")*(N$3:N$133="")*(M$3:M$133="P")*(G$3:G$133=G58)*(J$3:J$133&lt;J58)*(H$3:H$133&lt;&gt;H58)),-1*SUMPRODUCT((P$3:P$133="")*(O$3:O$133="")*(N$3:N$133="")*(M$3:M$133="P")*(G$3:G$133=G58)*(J$3:J$133&gt;J58)*(H$3:H$133="L5")))+1,""))))</f>
        <v/>
      </c>
      <c r="C58" s="36" t="s">
        <v>350</v>
      </c>
      <c r="D58" s="36" t="str">
        <f>IF(E58="","",VLOOKUP(E58,'Coaching Points'!A:B,2,0))</f>
        <v>BC</v>
      </c>
      <c r="E58" s="36" t="s">
        <v>41</v>
      </c>
      <c r="F58" s="35">
        <v>2005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17-21</v>
      </c>
      <c r="H58" s="39" t="s">
        <v>66</v>
      </c>
      <c r="I58" s="43" t="s">
        <v>567</v>
      </c>
      <c r="J58" s="4">
        <f>R58+S58+IF(OR(H58="Junior",H58="Senior"),0.0002,IF(OR(H58="L7",H58="L6"),0.0001,0))+IF(G58="17-21",MAX(AA58,AC58,AF58),AE58)*0.0000001</f>
        <v>81.250004442999995</v>
      </c>
      <c r="K58" s="3" t="str">
        <f>IF(G58="Not Age Eligible","",IF(G58="17-21",IF(MAX(T58,V58,Y58,AA58,AC58,AF58)&gt;=LOOKUP(G58,'Qualifying Scores'!$A$4:$A$7,'Qualifying Scores'!$C$4:$C$7),"P",""),IF(MAX(X58-U58,AE58-AB58)&gt;=LOOKUP(G58,'Qualifying Scores'!$A$4:$A$7,'Qualifying Scores'!$C$4:$C$7),"P","")))</f>
        <v/>
      </c>
      <c r="L58" s="3" t="str">
        <f>IF(G58="Not Age Eligible","",IF(G58="17-21",IF(MAX(U58,W58,Z58,AB58,AD58,AG58)&gt;=LOOKUP(G58,'Qualifying Scores'!$A$10:$A$13,'Qualifying Scores'!$C$10:$C$13),"P",""),IF(MAX(W58,AD58)&gt;=LOOKUP(G58,'Qualifying Scores'!$A$10:$A$13,'Qualifying Scores'!$C$10:$C$13),"P","")))</f>
        <v/>
      </c>
      <c r="M58" s="3" t="str">
        <f>IF(G58="Not Age Eligible","",IF(G58="17-21",IF(OR(AND(T58&gt;=LOOKUP(G58,'Qualifying Scores'!$A$4:$A$7,'Qualifying Scores'!$C$4:$C$7),U58&gt;=LOOKUP(G58,'Qualifying Scores'!$A$10:$A$13,'Qualifying Scores'!$C$10:$C$13)),AND(V58&gt;=LOOKUP(G58,'Qualifying Scores'!$A$4:$A$7,'Qualifying Scores'!$C$4:$C$7),W58&gt;=LOOKUP(G58,'Qualifying Scores'!$A$10:$A$13,'Qualifying Scores'!$C$10:$C$13)),AND(Y58&gt;=LOOKUP(G58,'Qualifying Scores'!$A$4:$A$7,'Qualifying Scores'!$C$4:$C$7),Z58&gt;=LOOKUP(G58,'Qualifying Scores'!$A$10:$A$13,'Qualifying Scores'!$C$10:$C$13)),AND(AA58&gt;=LOOKUP(G58,'Qualifying Scores'!$A$4:$A$7,'Qualifying Scores'!$C$4:$C$7),AB58&gt;=LOOKUP(G58,'Qualifying Scores'!$A$10:$A$13,'Qualifying Scores'!$C$10:$C$13)),AND(AC58&gt;=LOOKUP(G58,'Qualifying Scores'!$A$4:$A$7,'Qualifying Scores'!$C$4:$C$7),AD58&gt;=LOOKUP(G58,'Qualifying Scores'!$A$10:$A$13,'Qualifying Scores'!$C$10:$C$13)),AND(AF58&gt;=LOOKUP(G58,'Qualifying Scores'!$A$4:$A$7,'Qualifying Scores'!$C$4:$C$7),AG58&gt;=LOOKUP(G58,'Qualifying Scores'!$A$10:$A$13,'Qualifying Scores'!$C$10:$C$13))),"P",""),IF(OR(AND(X58-U58&gt;=LOOKUP(G58,'Qualifying Scores'!$A$4:$A$7,'Qualifying Scores'!$C$4:$C$7),W58&gt;=LOOKUP(G58,'Qualifying Scores'!$A$10:$A$13,'Qualifying Scores'!$C$10:$C$13)),AND(AE58-AB58&gt;=LOOKUP(G58,'Qualifying Scores'!$A$4:$A$7,'Qualifying Scores'!$C$4:$C$7),AD58&gt;=LOOKUP(G58,'Qualifying Scores'!$A$10:$A$13,'Qualifying Scores'!$C$10:$C$13))),"P","")))</f>
        <v/>
      </c>
      <c r="Q58" s="1" t="str">
        <f>IF(A58&lt;5,IF(_xlfn.MAXIFS(A:A,G:G,G58)&gt;3,5-A58,_xlfn.MAXIFS(A:A,G:G,G58)+1-A58),"")</f>
        <v/>
      </c>
      <c r="R58" s="4">
        <f>IF(G58="17-21",MAX(T58,V58,Y58,AA58,AC58,AF58),MAX(X58,AE58))</f>
        <v>44.43</v>
      </c>
      <c r="S58" s="4">
        <f>IF(G58="17-21",LARGE(CHOOSE({1,2,3,4,5,6},T58,V58,Y58,AA58,AC58,AF58),2),IF(R58=X58,MAX(Y58,AA58,AC58,AF58),IF(R58=AE58,MAX(AF58,T58,V58,Y58),0)))</f>
        <v>36.82</v>
      </c>
      <c r="T58" s="33"/>
      <c r="U58" s="40"/>
      <c r="V58" s="34"/>
      <c r="W58" s="40"/>
      <c r="X58" s="4">
        <f>IF(H58="Senior",MAX(T58,V58),T58+V58)</f>
        <v>0</v>
      </c>
      <c r="Y58" s="34"/>
      <c r="Z58" s="40"/>
      <c r="AA58" s="33">
        <v>36.82</v>
      </c>
      <c r="AB58" s="40">
        <v>0</v>
      </c>
      <c r="AC58" s="34">
        <v>44.43</v>
      </c>
      <c r="AD58" s="40">
        <v>8.1</v>
      </c>
      <c r="AE58" s="4">
        <f>IF(H58="Senior",MAX(AA58,AC58),AA58+AC58)</f>
        <v>81.25</v>
      </c>
      <c r="AF58" s="34"/>
      <c r="AG58" s="37"/>
    </row>
    <row r="59" spans="1:33" x14ac:dyDescent="0.2">
      <c r="A59" s="1" t="str" cm="1">
        <f t="array" ref="A59">IF(I59="","",IF(P59&lt;&gt;"",SUMPRODUCT((P$3:P$133&lt;&gt;"")*(G$3:G$133=G59)*(J$3:J$133&gt;J59)*(I$3:I$133="P"))+1,IF(O59&lt;&gt;"",SUMPRODUCT((O$3:O$133&lt;&gt;"")*(P$3:P$133="")*(G$3:G$133=G59)*(J$3:J$133&gt;J59)*(I$3:I$133="P"))+SUMPRODUCT((P$3:P$133&lt;&gt;"")*(G$3:G$133=G59)*(I$3:I$133="P"))+1,IF(N59&lt;&gt;"",SUMPRODUCT((N$3:N$133&lt;&gt;"")*(G$3:G$133=G59)*(J$3:J$133&gt;J59)*(I$3:I$133="P"))+1,IF(M59="P",SUMPRODUCT((O$3:O$133&lt;&gt;"")*(P$3:P$133="")*(G$3:G$133=G59)*(I$3:I$133="P"))+SUMPRODUCT((P$3:P$133&lt;&gt;"")*(G$3:G$133=G59)*(I$3:I$133="P"))+SUMPRODUCT((N$3:N$133&lt;&gt;"")*(G$3:G$133=G59)*(I$3:I$133="P"))+SUMPRODUCT((P$3:P$133="")*(O$3:O$133="")*(N$3:N$133="")*(M$3:M$133="P")*(G$3:G$133=G59)*(J$3:J$133&gt;J59)*(I$3:I$133="P"))+IF(H59="L5",SUMPRODUCT((P$3:P$133="")*(O$3:O$133="")*(N$3:N$133="")*(M$3:M$133="P")*(G$3:G$133=G59)*(J$3:J$133&lt;J59)*(H$3:H$133&lt;&gt;H59)*(I$3:I$133="P")),-1*SUMPRODUCT((P$3:P$133="")*(O$3:O$133="")*(N$3:N$133="")*(M$3:M$133="P")*(G$3:G$133=G59)*(J$3:J$133&gt;J59)*(H$3:H$133="L5")*(I$3:I$133="P")))+1,"")))))</f>
        <v/>
      </c>
      <c r="B59" s="1" t="str" cm="1">
        <f t="array" ref="B59">IF(P59&lt;&gt;"",SUMPRODUCT((P$3:P$133&lt;&gt;"")*(G$3:G$133=G59)*(J$3:J$133&gt;J59))+1,IF(O59&lt;&gt;"",SUMPRODUCT((O$3:O$133&lt;&gt;"")*(P$3:P$133="")*(G$3:G$133=G59)*(J$3:J$133&gt;J59))+SUMPRODUCT((P$3:P$133&lt;&gt;"")*(G$3:G$133=G59))+1,IF(N59&lt;&gt;"",SUMPRODUCT((N$3:N$133&lt;&gt;"")*(G$3:G$133=G59)*(J$3:J$133&gt;J59))+1,IF(M59="P",SUMPRODUCT((O$3:O$133&lt;&gt;"")*(P$3:P$133="")*(G$3:G$133=G59))+SUMPRODUCT((P$3:P$133&lt;&gt;"")*(G$3:G$133=G59))+SUMPRODUCT((N$3:N$133&lt;&gt;"")*(G$3:G$133=G59))+SUMPRODUCT((P$3:P$133="")*(O$3:O$133="")*(N$3:N$133="")*(M$3:M$133="P")*(G$3:G$133=G59)*(J$3:J$133&gt;J59))+IF(H59="L5",SUMPRODUCT((P$3:P$133="")*(O$3:O$133="")*(N$3:N$133="")*(M$3:M$133="P")*(G$3:G$133=G59)*(J$3:J$133&lt;J59)*(H$3:H$133&lt;&gt;H59)),-1*SUMPRODUCT((P$3:P$133="")*(O$3:O$133="")*(N$3:N$133="")*(M$3:M$133="P")*(G$3:G$133=G59)*(J$3:J$133&gt;J59)*(H$3:H$133="L5")))+1,""))))</f>
        <v/>
      </c>
      <c r="C59" s="36" t="s">
        <v>452</v>
      </c>
      <c r="D59" s="36" t="str">
        <f>IF(E59="","",VLOOKUP(E59,'Coaching Points'!A:B,2,0))</f>
        <v>AB</v>
      </c>
      <c r="E59" s="36" t="s">
        <v>64</v>
      </c>
      <c r="F59" s="35">
        <v>2004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17-21</v>
      </c>
      <c r="H59" s="39" t="s">
        <v>66</v>
      </c>
      <c r="I59" s="43"/>
      <c r="J59" s="4">
        <f>R59+S59+IF(OR(H59="Junior",H59="Senior"),0.0002,IF(OR(H59="L7",H59="L6"),0.0001,0))+IF(G59="17-21",MAX(AA59,AC59,AF59),AE59)*0.0000001</f>
        <v>80.580004306000006</v>
      </c>
      <c r="K59" s="3" t="str">
        <f>IF(G59="Not Age Eligible","",IF(G59="17-21",IF(MAX(T59,V59,Y59,AA59,AC59,AF59)&gt;=LOOKUP(G59,'Qualifying Scores'!$A$4:$A$7,'Qualifying Scores'!$C$4:$C$7),"P",""),IF(MAX(X59-U59,AE59-AB59)&gt;=LOOKUP(G59,'Qualifying Scores'!$A$4:$A$7,'Qualifying Scores'!$C$4:$C$7),"P","")))</f>
        <v/>
      </c>
      <c r="L59" s="3" t="str">
        <f>IF(G59="Not Age Eligible","",IF(G59="17-21",IF(MAX(U59,W59,Z59,AB59,AD59,AG59)&gt;=LOOKUP(G59,'Qualifying Scores'!$A$10:$A$13,'Qualifying Scores'!$C$10:$C$13),"P",""),IF(MAX(W59,AD59)&gt;=LOOKUP(G59,'Qualifying Scores'!$A$10:$A$13,'Qualifying Scores'!$C$10:$C$13),"P","")))</f>
        <v/>
      </c>
      <c r="M59" s="3" t="str">
        <f>IF(G59="Not Age Eligible","",IF(G59="17-21",IF(OR(AND(T59&gt;=LOOKUP(G59,'Qualifying Scores'!$A$4:$A$7,'Qualifying Scores'!$C$4:$C$7),U59&gt;=LOOKUP(G59,'Qualifying Scores'!$A$10:$A$13,'Qualifying Scores'!$C$10:$C$13)),AND(V59&gt;=LOOKUP(G59,'Qualifying Scores'!$A$4:$A$7,'Qualifying Scores'!$C$4:$C$7),W59&gt;=LOOKUP(G59,'Qualifying Scores'!$A$10:$A$13,'Qualifying Scores'!$C$10:$C$13)),AND(Y59&gt;=LOOKUP(G59,'Qualifying Scores'!$A$4:$A$7,'Qualifying Scores'!$C$4:$C$7),Z59&gt;=LOOKUP(G59,'Qualifying Scores'!$A$10:$A$13,'Qualifying Scores'!$C$10:$C$13)),AND(AA59&gt;=LOOKUP(G59,'Qualifying Scores'!$A$4:$A$7,'Qualifying Scores'!$C$4:$C$7),AB59&gt;=LOOKUP(G59,'Qualifying Scores'!$A$10:$A$13,'Qualifying Scores'!$C$10:$C$13)),AND(AC59&gt;=LOOKUP(G59,'Qualifying Scores'!$A$4:$A$7,'Qualifying Scores'!$C$4:$C$7),AD59&gt;=LOOKUP(G59,'Qualifying Scores'!$A$10:$A$13,'Qualifying Scores'!$C$10:$C$13)),AND(AF59&gt;=LOOKUP(G59,'Qualifying Scores'!$A$4:$A$7,'Qualifying Scores'!$C$4:$C$7),AG59&gt;=LOOKUP(G59,'Qualifying Scores'!$A$10:$A$13,'Qualifying Scores'!$C$10:$C$13))),"P",""),IF(OR(AND(X59-U59&gt;=LOOKUP(G59,'Qualifying Scores'!$A$4:$A$7,'Qualifying Scores'!$C$4:$C$7),W59&gt;=LOOKUP(G59,'Qualifying Scores'!$A$10:$A$13,'Qualifying Scores'!$C$10:$C$13)),AND(AE59-AB59&gt;=LOOKUP(G59,'Qualifying Scores'!$A$4:$A$7,'Qualifying Scores'!$C$4:$C$7),AD59&gt;=LOOKUP(G59,'Qualifying Scores'!$A$10:$A$13,'Qualifying Scores'!$C$10:$C$13))),"P","")))</f>
        <v/>
      </c>
      <c r="Q59" s="1" t="str">
        <f>IF(A59&lt;5,IF(_xlfn.MAXIFS(A:A,G:G,G59)&gt;3,5-A59,_xlfn.MAXIFS(A:A,G:G,G59)+1-A59),"")</f>
        <v/>
      </c>
      <c r="R59" s="4">
        <f>IF(G59="17-21",MAX(T59,V59,Y59,AA59,AC59,AF59),MAX(X59,AE59))</f>
        <v>43.06</v>
      </c>
      <c r="S59" s="4">
        <f>IF(G59="17-21",LARGE(CHOOSE({1,2,3,4,5,6},T59,V59,Y59,AA59,AC59,AF59),2),IF(R59=X59,MAX(Y59,AA59,AC59,AF59),IF(R59=AE59,MAX(AF59,T59,V59,Y59),0)))</f>
        <v>37.520000000000003</v>
      </c>
      <c r="T59" s="33"/>
      <c r="U59" s="40"/>
      <c r="V59" s="34"/>
      <c r="W59" s="40"/>
      <c r="X59" s="4">
        <f>IF(H59="Senior",MAX(T59,V59),T59+V59)</f>
        <v>0</v>
      </c>
      <c r="Y59" s="34"/>
      <c r="Z59" s="40"/>
      <c r="AA59" s="33">
        <v>37.520000000000003</v>
      </c>
      <c r="AB59" s="40">
        <v>0</v>
      </c>
      <c r="AC59" s="34">
        <v>43.06</v>
      </c>
      <c r="AD59" s="40">
        <v>7.2</v>
      </c>
      <c r="AE59" s="4">
        <f>IF(H59="Senior",MAX(AA59,AC59),AA59+AC59)</f>
        <v>80.580000000000013</v>
      </c>
      <c r="AF59" s="34"/>
      <c r="AG59" s="37"/>
    </row>
    <row r="60" spans="1:33" x14ac:dyDescent="0.2">
      <c r="A60" s="1" t="str" cm="1">
        <f t="array" ref="A60">IF(I60="","",IF(P60&lt;&gt;"",SUMPRODUCT((P$3:P$133&lt;&gt;"")*(G$3:G$133=G60)*(J$3:J$133&gt;J60)*(I$3:I$133="P"))+1,IF(O60&lt;&gt;"",SUMPRODUCT((O$3:O$133&lt;&gt;"")*(P$3:P$133="")*(G$3:G$133=G60)*(J$3:J$133&gt;J60)*(I$3:I$133="P"))+SUMPRODUCT((P$3:P$133&lt;&gt;"")*(G$3:G$133=G60)*(I$3:I$133="P"))+1,IF(N60&lt;&gt;"",SUMPRODUCT((N$3:N$133&lt;&gt;"")*(G$3:G$133=G60)*(J$3:J$133&gt;J60)*(I$3:I$133="P"))+1,IF(M60="P",SUMPRODUCT((O$3:O$133&lt;&gt;"")*(P$3:P$133="")*(G$3:G$133=G60)*(I$3:I$133="P"))+SUMPRODUCT((P$3:P$133&lt;&gt;"")*(G$3:G$133=G60)*(I$3:I$133="P"))+SUMPRODUCT((N$3:N$133&lt;&gt;"")*(G$3:G$133=G60)*(I$3:I$133="P"))+SUMPRODUCT((P$3:P$133="")*(O$3:O$133="")*(N$3:N$133="")*(M$3:M$133="P")*(G$3:G$133=G60)*(J$3:J$133&gt;J60)*(I$3:I$133="P"))+IF(H60="L5",SUMPRODUCT((P$3:P$133="")*(O$3:O$133="")*(N$3:N$133="")*(M$3:M$133="P")*(G$3:G$133=G60)*(J$3:J$133&lt;J60)*(H$3:H$133&lt;&gt;H60)*(I$3:I$133="P")),-1*SUMPRODUCT((P$3:P$133="")*(O$3:O$133="")*(N$3:N$133="")*(M$3:M$133="P")*(G$3:G$133=G60)*(J$3:J$133&gt;J60)*(H$3:H$133="L5")*(I$3:I$133="P")))+1,"")))))</f>
        <v/>
      </c>
      <c r="B60" s="1" t="str" cm="1">
        <f t="array" ref="B60">IF(P60&lt;&gt;"",SUMPRODUCT((P$3:P$133&lt;&gt;"")*(G$3:G$133=G60)*(J$3:J$133&gt;J60))+1,IF(O60&lt;&gt;"",SUMPRODUCT((O$3:O$133&lt;&gt;"")*(P$3:P$133="")*(G$3:G$133=G60)*(J$3:J$133&gt;J60))+SUMPRODUCT((P$3:P$133&lt;&gt;"")*(G$3:G$133=G60))+1,IF(N60&lt;&gt;"",SUMPRODUCT((N$3:N$133&lt;&gt;"")*(G$3:G$133=G60)*(J$3:J$133&gt;J60))+1,IF(M60="P",SUMPRODUCT((O$3:O$133&lt;&gt;"")*(P$3:P$133="")*(G$3:G$133=G60))+SUMPRODUCT((P$3:P$133&lt;&gt;"")*(G$3:G$133=G60))+SUMPRODUCT((N$3:N$133&lt;&gt;"")*(G$3:G$133=G60))+SUMPRODUCT((P$3:P$133="")*(O$3:O$133="")*(N$3:N$133="")*(M$3:M$133="P")*(G$3:G$133=G60)*(J$3:J$133&gt;J60))+IF(H60="L5",SUMPRODUCT((P$3:P$133="")*(O$3:O$133="")*(N$3:N$133="")*(M$3:M$133="P")*(G$3:G$133=G60)*(J$3:J$133&lt;J60)*(H$3:H$133&lt;&gt;H60)),-1*SUMPRODUCT((P$3:P$133="")*(O$3:O$133="")*(N$3:N$133="")*(M$3:M$133="P")*(G$3:G$133=G60)*(J$3:J$133&gt;J60)*(H$3:H$133="L5")))+1,""))))</f>
        <v/>
      </c>
      <c r="C60" s="36" t="s">
        <v>296</v>
      </c>
      <c r="D60" s="36" t="str">
        <f>IF(E60="","",VLOOKUP(E60,'Coaching Points'!A:B,2,0))</f>
        <v>BC</v>
      </c>
      <c r="E60" s="36" t="s">
        <v>46</v>
      </c>
      <c r="F60" s="35">
        <v>2002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17-21</v>
      </c>
      <c r="H60" s="39" t="s">
        <v>66</v>
      </c>
      <c r="I60" s="43" t="s">
        <v>567</v>
      </c>
      <c r="J60" s="4">
        <f>R60+S60+IF(OR(H60="Junior",H60="Senior"),0.0002,IF(OR(H60="L7",H60="L6"),0.0001,0))+IF(G60="17-21",MAX(AA60,AC60,AF60),AE60)*0.0000001</f>
        <v>80.430000000000007</v>
      </c>
      <c r="K60" s="3" t="str">
        <f>IF(G60="Not Age Eligible","",IF(G60="17-21",IF(MAX(T60,V60,Y60,AA60,AC60,AF60)&gt;=LOOKUP(G60,'Qualifying Scores'!$A$4:$A$7,'Qualifying Scores'!$C$4:$C$7),"P",""),IF(MAX(X60-U60,AE60-AB60)&gt;=LOOKUP(G60,'Qualifying Scores'!$A$4:$A$7,'Qualifying Scores'!$C$4:$C$7),"P","")))</f>
        <v/>
      </c>
      <c r="L60" s="3" t="str">
        <f>IF(G60="Not Age Eligible","",IF(G60="17-21",IF(MAX(U60,W60,Z60,AB60,AD60,AG60)&gt;=LOOKUP(G60,'Qualifying Scores'!$A$10:$A$13,'Qualifying Scores'!$C$10:$C$13),"P",""),IF(MAX(W60,AD60)&gt;=LOOKUP(G60,'Qualifying Scores'!$A$10:$A$13,'Qualifying Scores'!$C$10:$C$13),"P","")))</f>
        <v/>
      </c>
      <c r="M60" s="3" t="str">
        <f>IF(G60="Not Age Eligible","",IF(G60="17-21",IF(OR(AND(T60&gt;=LOOKUP(G60,'Qualifying Scores'!$A$4:$A$7,'Qualifying Scores'!$C$4:$C$7),U60&gt;=LOOKUP(G60,'Qualifying Scores'!$A$10:$A$13,'Qualifying Scores'!$C$10:$C$13)),AND(V60&gt;=LOOKUP(G60,'Qualifying Scores'!$A$4:$A$7,'Qualifying Scores'!$C$4:$C$7),W60&gt;=LOOKUP(G60,'Qualifying Scores'!$A$10:$A$13,'Qualifying Scores'!$C$10:$C$13)),AND(Y60&gt;=LOOKUP(G60,'Qualifying Scores'!$A$4:$A$7,'Qualifying Scores'!$C$4:$C$7),Z60&gt;=LOOKUP(G60,'Qualifying Scores'!$A$10:$A$13,'Qualifying Scores'!$C$10:$C$13)),AND(AA60&gt;=LOOKUP(G60,'Qualifying Scores'!$A$4:$A$7,'Qualifying Scores'!$C$4:$C$7),AB60&gt;=LOOKUP(G60,'Qualifying Scores'!$A$10:$A$13,'Qualifying Scores'!$C$10:$C$13)),AND(AC60&gt;=LOOKUP(G60,'Qualifying Scores'!$A$4:$A$7,'Qualifying Scores'!$C$4:$C$7),AD60&gt;=LOOKUP(G60,'Qualifying Scores'!$A$10:$A$13,'Qualifying Scores'!$C$10:$C$13)),AND(AF60&gt;=LOOKUP(G60,'Qualifying Scores'!$A$4:$A$7,'Qualifying Scores'!$C$4:$C$7),AG60&gt;=LOOKUP(G60,'Qualifying Scores'!$A$10:$A$13,'Qualifying Scores'!$C$10:$C$13))),"P",""),IF(OR(AND(X60-U60&gt;=LOOKUP(G60,'Qualifying Scores'!$A$4:$A$7,'Qualifying Scores'!$C$4:$C$7),W60&gt;=LOOKUP(G60,'Qualifying Scores'!$A$10:$A$13,'Qualifying Scores'!$C$10:$C$13)),AND(AE60-AB60&gt;=LOOKUP(G60,'Qualifying Scores'!$A$4:$A$7,'Qualifying Scores'!$C$4:$C$7),AD60&gt;=LOOKUP(G60,'Qualifying Scores'!$A$10:$A$13,'Qualifying Scores'!$C$10:$C$13))),"P","")))</f>
        <v/>
      </c>
      <c r="Q60" s="1" t="str">
        <f>IF(A60&lt;5,IF(_xlfn.MAXIFS(A:A,G:G,G60)&gt;3,5-A60,_xlfn.MAXIFS(A:A,G:G,G60)+1-A60),"")</f>
        <v/>
      </c>
      <c r="R60" s="4">
        <f>IF(G60="17-21",MAX(T60,V60,Y60,AA60,AC60,AF60),MAX(X60,AE60))</f>
        <v>43.16</v>
      </c>
      <c r="S60" s="4">
        <f>IF(G60="17-21",LARGE(CHOOSE({1,2,3,4,5,6},T60,V60,Y60,AA60,AC60,AF60),2),IF(R60=X60,MAX(Y60,AA60,AC60,AF60),IF(R60=AE60,MAX(AF60,T60,V60,Y60),0)))</f>
        <v>37.270000000000003</v>
      </c>
      <c r="T60" s="33">
        <v>37.270000000000003</v>
      </c>
      <c r="U60" s="40">
        <v>0</v>
      </c>
      <c r="V60" s="34">
        <v>43.16</v>
      </c>
      <c r="W60" s="40">
        <v>7.8</v>
      </c>
      <c r="X60" s="4">
        <f>IF(H60="Senior",MAX(T60,V60),T60+V60)</f>
        <v>80.430000000000007</v>
      </c>
      <c r="Y60" s="34"/>
      <c r="Z60" s="40"/>
      <c r="AA60" s="33"/>
      <c r="AB60" s="40"/>
      <c r="AC60" s="34"/>
      <c r="AD60" s="40"/>
      <c r="AE60" s="4">
        <f>IF(H60="Senior",MAX(AA60,AC60),AA60+AC60)</f>
        <v>0</v>
      </c>
      <c r="AF60" s="34"/>
      <c r="AG60" s="37"/>
    </row>
    <row r="61" spans="1:33" x14ac:dyDescent="0.2">
      <c r="A61" s="1" t="str" cm="1">
        <f t="array" ref="A61">IF(I61="","",IF(P61&lt;&gt;"",SUMPRODUCT((P$3:P$133&lt;&gt;"")*(G$3:G$133=G61)*(J$3:J$133&gt;J61)*(I$3:I$133="P"))+1,IF(O61&lt;&gt;"",SUMPRODUCT((O$3:O$133&lt;&gt;"")*(P$3:P$133="")*(G$3:G$133=G61)*(J$3:J$133&gt;J61)*(I$3:I$133="P"))+SUMPRODUCT((P$3:P$133&lt;&gt;"")*(G$3:G$133=G61)*(I$3:I$133="P"))+1,IF(N61&lt;&gt;"",SUMPRODUCT((N$3:N$133&lt;&gt;"")*(G$3:G$133=G61)*(J$3:J$133&gt;J61)*(I$3:I$133="P"))+1,IF(M61="P",SUMPRODUCT((O$3:O$133&lt;&gt;"")*(P$3:P$133="")*(G$3:G$133=G61)*(I$3:I$133="P"))+SUMPRODUCT((P$3:P$133&lt;&gt;"")*(G$3:G$133=G61)*(I$3:I$133="P"))+SUMPRODUCT((N$3:N$133&lt;&gt;"")*(G$3:G$133=G61)*(I$3:I$133="P"))+SUMPRODUCT((P$3:P$133="")*(O$3:O$133="")*(N$3:N$133="")*(M$3:M$133="P")*(G$3:G$133=G61)*(J$3:J$133&gt;J61)*(I$3:I$133="P"))+IF(H61="L5",SUMPRODUCT((P$3:P$133="")*(O$3:O$133="")*(N$3:N$133="")*(M$3:M$133="P")*(G$3:G$133=G61)*(J$3:J$133&lt;J61)*(H$3:H$133&lt;&gt;H61)*(I$3:I$133="P")),-1*SUMPRODUCT((P$3:P$133="")*(O$3:O$133="")*(N$3:N$133="")*(M$3:M$133="P")*(G$3:G$133=G61)*(J$3:J$133&gt;J61)*(H$3:H$133="L5")*(I$3:I$133="P")))+1,"")))))</f>
        <v/>
      </c>
      <c r="B61" s="1" t="str" cm="1">
        <f t="array" ref="B61">IF(P61&lt;&gt;"",SUMPRODUCT((P$3:P$133&lt;&gt;"")*(G$3:G$133=G61)*(J$3:J$133&gt;J61))+1,IF(O61&lt;&gt;"",SUMPRODUCT((O$3:O$133&lt;&gt;"")*(P$3:P$133="")*(G$3:G$133=G61)*(J$3:J$133&gt;J61))+SUMPRODUCT((P$3:P$133&lt;&gt;"")*(G$3:G$133=G61))+1,IF(N61&lt;&gt;"",SUMPRODUCT((N$3:N$133&lt;&gt;"")*(G$3:G$133=G61)*(J$3:J$133&gt;J61))+1,IF(M61="P",SUMPRODUCT((O$3:O$133&lt;&gt;"")*(P$3:P$133="")*(G$3:G$133=G61))+SUMPRODUCT((P$3:P$133&lt;&gt;"")*(G$3:G$133=G61))+SUMPRODUCT((N$3:N$133&lt;&gt;"")*(G$3:G$133=G61))+SUMPRODUCT((P$3:P$133="")*(O$3:O$133="")*(N$3:N$133="")*(M$3:M$133="P")*(G$3:G$133=G61)*(J$3:J$133&gt;J61))+IF(H61="L5",SUMPRODUCT((P$3:P$133="")*(O$3:O$133="")*(N$3:N$133="")*(M$3:M$133="P")*(G$3:G$133=G61)*(J$3:J$133&lt;J61)*(H$3:H$133&lt;&gt;H61)),-1*SUMPRODUCT((P$3:P$133="")*(O$3:O$133="")*(N$3:N$133="")*(M$3:M$133="P")*(G$3:G$133=G61)*(J$3:J$133&gt;J61)*(H$3:H$133="L5")))+1,""))))</f>
        <v/>
      </c>
      <c r="C61" s="36" t="s">
        <v>453</v>
      </c>
      <c r="D61" s="36" t="str">
        <f>IF(E61="","",VLOOKUP(E61,'Coaching Points'!A:B,2,0))</f>
        <v>ON</v>
      </c>
      <c r="E61" s="36" t="s">
        <v>419</v>
      </c>
      <c r="F61" s="35">
        <v>2005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17-21</v>
      </c>
      <c r="H61" s="39" t="s">
        <v>66</v>
      </c>
      <c r="I61" s="43"/>
      <c r="J61" s="4">
        <f>R61+S61+IF(OR(H61="Junior",H61="Senior"),0.0002,IF(OR(H61="L7",H61="L6"),0.0001,0))+IF(G61="17-21",MAX(AA61,AC61,AF61),AE61)*0.0000001</f>
        <v>80.410004303999997</v>
      </c>
      <c r="K61" s="3" t="str">
        <f>IF(G61="Not Age Eligible","",IF(G61="17-21",IF(MAX(T61,V61,Y61,AA61,AC61,AF61)&gt;=LOOKUP(G61,'Qualifying Scores'!$A$4:$A$7,'Qualifying Scores'!$C$4:$C$7),"P",""),IF(MAX(X61-U61,AE61-AB61)&gt;=LOOKUP(G61,'Qualifying Scores'!$A$4:$A$7,'Qualifying Scores'!$C$4:$C$7),"P","")))</f>
        <v/>
      </c>
      <c r="L61" s="3" t="str">
        <f>IF(G61="Not Age Eligible","",IF(G61="17-21",IF(MAX(U61,W61,Z61,AB61,AD61,AG61)&gt;=LOOKUP(G61,'Qualifying Scores'!$A$10:$A$13,'Qualifying Scores'!$C$10:$C$13),"P",""),IF(MAX(W61,AD61)&gt;=LOOKUP(G61,'Qualifying Scores'!$A$10:$A$13,'Qualifying Scores'!$C$10:$C$13),"P","")))</f>
        <v/>
      </c>
      <c r="M61" s="3" t="str">
        <f>IF(G61="Not Age Eligible","",IF(G61="17-21",IF(OR(AND(T61&gt;=LOOKUP(G61,'Qualifying Scores'!$A$4:$A$7,'Qualifying Scores'!$C$4:$C$7),U61&gt;=LOOKUP(G61,'Qualifying Scores'!$A$10:$A$13,'Qualifying Scores'!$C$10:$C$13)),AND(V61&gt;=LOOKUP(G61,'Qualifying Scores'!$A$4:$A$7,'Qualifying Scores'!$C$4:$C$7),W61&gt;=LOOKUP(G61,'Qualifying Scores'!$A$10:$A$13,'Qualifying Scores'!$C$10:$C$13)),AND(Y61&gt;=LOOKUP(G61,'Qualifying Scores'!$A$4:$A$7,'Qualifying Scores'!$C$4:$C$7),Z61&gt;=LOOKUP(G61,'Qualifying Scores'!$A$10:$A$13,'Qualifying Scores'!$C$10:$C$13)),AND(AA61&gt;=LOOKUP(G61,'Qualifying Scores'!$A$4:$A$7,'Qualifying Scores'!$C$4:$C$7),AB61&gt;=LOOKUP(G61,'Qualifying Scores'!$A$10:$A$13,'Qualifying Scores'!$C$10:$C$13)),AND(AC61&gt;=LOOKUP(G61,'Qualifying Scores'!$A$4:$A$7,'Qualifying Scores'!$C$4:$C$7),AD61&gt;=LOOKUP(G61,'Qualifying Scores'!$A$10:$A$13,'Qualifying Scores'!$C$10:$C$13)),AND(AF61&gt;=LOOKUP(G61,'Qualifying Scores'!$A$4:$A$7,'Qualifying Scores'!$C$4:$C$7),AG61&gt;=LOOKUP(G61,'Qualifying Scores'!$A$10:$A$13,'Qualifying Scores'!$C$10:$C$13))),"P",""),IF(OR(AND(X61-U61&gt;=LOOKUP(G61,'Qualifying Scores'!$A$4:$A$7,'Qualifying Scores'!$C$4:$C$7),W61&gt;=LOOKUP(G61,'Qualifying Scores'!$A$10:$A$13,'Qualifying Scores'!$C$10:$C$13)),AND(AE61-AB61&gt;=LOOKUP(G61,'Qualifying Scores'!$A$4:$A$7,'Qualifying Scores'!$C$4:$C$7),AD61&gt;=LOOKUP(G61,'Qualifying Scores'!$A$10:$A$13,'Qualifying Scores'!$C$10:$C$13))),"P","")))</f>
        <v/>
      </c>
      <c r="Q61" s="1" t="str">
        <f>IF(A61&lt;5,IF(_xlfn.MAXIFS(A:A,G:G,G61)&gt;3,5-A61,_xlfn.MAXIFS(A:A,G:G,G61)+1-A61),"")</f>
        <v/>
      </c>
      <c r="R61" s="4">
        <f>IF(G61="17-21",MAX(T61,V61,Y61,AA61,AC61,AF61),MAX(X61,AE61))</f>
        <v>43.04</v>
      </c>
      <c r="S61" s="4">
        <f>IF(G61="17-21",LARGE(CHOOSE({1,2,3,4,5,6},T61,V61,Y61,AA61,AC61,AF61),2),IF(R61=X61,MAX(Y61,AA61,AC61,AF61),IF(R61=AE61,MAX(AF61,T61,V61,Y61),0)))</f>
        <v>37.369999999999997</v>
      </c>
      <c r="T61" s="33"/>
      <c r="U61" s="40"/>
      <c r="V61" s="34"/>
      <c r="W61" s="40"/>
      <c r="X61" s="4">
        <f>IF(H61="Senior",MAX(T61,V61),T61+V61)</f>
        <v>0</v>
      </c>
      <c r="Y61" s="34"/>
      <c r="Z61" s="40"/>
      <c r="AA61" s="33">
        <v>37.369999999999997</v>
      </c>
      <c r="AB61" s="40">
        <v>0</v>
      </c>
      <c r="AC61" s="34">
        <v>43.04</v>
      </c>
      <c r="AD61" s="40">
        <v>7.8</v>
      </c>
      <c r="AE61" s="4">
        <f>IF(H61="Senior",MAX(AA61,AC61),AA61+AC61)</f>
        <v>80.41</v>
      </c>
      <c r="AF61" s="34"/>
      <c r="AG61" s="37"/>
    </row>
    <row r="62" spans="1:33" x14ac:dyDescent="0.2">
      <c r="A62" s="1" t="str" cm="1">
        <f t="array" ref="A62">IF(I62="","",IF(P62&lt;&gt;"",SUMPRODUCT((P$3:P$133&lt;&gt;"")*(G$3:G$133=G62)*(J$3:J$133&gt;J62)*(I$3:I$133="P"))+1,IF(O62&lt;&gt;"",SUMPRODUCT((O$3:O$133&lt;&gt;"")*(P$3:P$133="")*(G$3:G$133=G62)*(J$3:J$133&gt;J62)*(I$3:I$133="P"))+SUMPRODUCT((P$3:P$133&lt;&gt;"")*(G$3:G$133=G62)*(I$3:I$133="P"))+1,IF(N62&lt;&gt;"",SUMPRODUCT((N$3:N$133&lt;&gt;"")*(G$3:G$133=G62)*(J$3:J$133&gt;J62)*(I$3:I$133="P"))+1,IF(M62="P",SUMPRODUCT((O$3:O$133&lt;&gt;"")*(P$3:P$133="")*(G$3:G$133=G62)*(I$3:I$133="P"))+SUMPRODUCT((P$3:P$133&lt;&gt;"")*(G$3:G$133=G62)*(I$3:I$133="P"))+SUMPRODUCT((N$3:N$133&lt;&gt;"")*(G$3:G$133=G62)*(I$3:I$133="P"))+SUMPRODUCT((P$3:P$133="")*(O$3:O$133="")*(N$3:N$133="")*(M$3:M$133="P")*(G$3:G$133=G62)*(J$3:J$133&gt;J62)*(I$3:I$133="P"))+IF(H62="L5",SUMPRODUCT((P$3:P$133="")*(O$3:O$133="")*(N$3:N$133="")*(M$3:M$133="P")*(G$3:G$133=G62)*(J$3:J$133&lt;J62)*(H$3:H$133&lt;&gt;H62)*(I$3:I$133="P")),-1*SUMPRODUCT((P$3:P$133="")*(O$3:O$133="")*(N$3:N$133="")*(M$3:M$133="P")*(G$3:G$133=G62)*(J$3:J$133&gt;J62)*(H$3:H$133="L5")*(I$3:I$133="P")))+1,"")))))</f>
        <v/>
      </c>
      <c r="B62" s="1" t="str" cm="1">
        <f t="array" ref="B62">IF(P62&lt;&gt;"",SUMPRODUCT((P$3:P$133&lt;&gt;"")*(G$3:G$133=G62)*(J$3:J$133&gt;J62))+1,IF(O62&lt;&gt;"",SUMPRODUCT((O$3:O$133&lt;&gt;"")*(P$3:P$133="")*(G$3:G$133=G62)*(J$3:J$133&gt;J62))+SUMPRODUCT((P$3:P$133&lt;&gt;"")*(G$3:G$133=G62))+1,IF(N62&lt;&gt;"",SUMPRODUCT((N$3:N$133&lt;&gt;"")*(G$3:G$133=G62)*(J$3:J$133&gt;J62))+1,IF(M62="P",SUMPRODUCT((O$3:O$133&lt;&gt;"")*(P$3:P$133="")*(G$3:G$133=G62))+SUMPRODUCT((P$3:P$133&lt;&gt;"")*(G$3:G$133=G62))+SUMPRODUCT((N$3:N$133&lt;&gt;"")*(G$3:G$133=G62))+SUMPRODUCT((P$3:P$133="")*(O$3:O$133="")*(N$3:N$133="")*(M$3:M$133="P")*(G$3:G$133=G62)*(J$3:J$133&gt;J62))+IF(H62="L5",SUMPRODUCT((P$3:P$133="")*(O$3:O$133="")*(N$3:N$133="")*(M$3:M$133="P")*(G$3:G$133=G62)*(J$3:J$133&lt;J62)*(H$3:H$133&lt;&gt;H62)),-1*SUMPRODUCT((P$3:P$133="")*(O$3:O$133="")*(N$3:N$133="")*(M$3:M$133="P")*(G$3:G$133=G62)*(J$3:J$133&gt;J62)*(H$3:H$133="L5")))+1,""))))</f>
        <v/>
      </c>
      <c r="C62" s="36" t="s">
        <v>146</v>
      </c>
      <c r="D62" s="36" t="str">
        <f>IF(E62="","",VLOOKUP(E62,'Coaching Points'!A:B,2,0))</f>
        <v>BC</v>
      </c>
      <c r="E62" s="36" t="s">
        <v>46</v>
      </c>
      <c r="F62" s="35">
        <v>2005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17-21</v>
      </c>
      <c r="H62" s="39" t="s">
        <v>66</v>
      </c>
      <c r="I62" s="43"/>
      <c r="J62" s="4">
        <f>R62+S62+IF(OR(H62="Junior",H62="Senior"),0.0002,IF(OR(H62="L7",H62="L6"),0.0001,0))+IF(G62="17-21",MAX(AA62,AC62,AF62),AE62)*0.0000001</f>
        <v>79.750003699000004</v>
      </c>
      <c r="K62" s="3" t="str">
        <f>IF(G62="Not Age Eligible","",IF(G62="17-21",IF(MAX(T62,V62,Y62,AA62,AC62,AF62)&gt;=LOOKUP(G62,'Qualifying Scores'!$A$4:$A$7,'Qualifying Scores'!$C$4:$C$7),"P",""),IF(MAX(X62-U62,AE62-AB62)&gt;=LOOKUP(G62,'Qualifying Scores'!$A$4:$A$7,'Qualifying Scores'!$C$4:$C$7),"P","")))</f>
        <v/>
      </c>
      <c r="L62" s="3" t="str">
        <f>IF(G62="Not Age Eligible","",IF(G62="17-21",IF(MAX(U62,W62,Z62,AB62,AD62,AG62)&gt;=LOOKUP(G62,'Qualifying Scores'!$A$10:$A$13,'Qualifying Scores'!$C$10:$C$13),"P",""),IF(MAX(W62,AD62)&gt;=LOOKUP(G62,'Qualifying Scores'!$A$10:$A$13,'Qualifying Scores'!$C$10:$C$13),"P","")))</f>
        <v/>
      </c>
      <c r="M62" s="3" t="str">
        <f>IF(G62="Not Age Eligible","",IF(G62="17-21",IF(OR(AND(T62&gt;=LOOKUP(G62,'Qualifying Scores'!$A$4:$A$7,'Qualifying Scores'!$C$4:$C$7),U62&gt;=LOOKUP(G62,'Qualifying Scores'!$A$10:$A$13,'Qualifying Scores'!$C$10:$C$13)),AND(V62&gt;=LOOKUP(G62,'Qualifying Scores'!$A$4:$A$7,'Qualifying Scores'!$C$4:$C$7),W62&gt;=LOOKUP(G62,'Qualifying Scores'!$A$10:$A$13,'Qualifying Scores'!$C$10:$C$13)),AND(Y62&gt;=LOOKUP(G62,'Qualifying Scores'!$A$4:$A$7,'Qualifying Scores'!$C$4:$C$7),Z62&gt;=LOOKUP(G62,'Qualifying Scores'!$A$10:$A$13,'Qualifying Scores'!$C$10:$C$13)),AND(AA62&gt;=LOOKUP(G62,'Qualifying Scores'!$A$4:$A$7,'Qualifying Scores'!$C$4:$C$7),AB62&gt;=LOOKUP(G62,'Qualifying Scores'!$A$10:$A$13,'Qualifying Scores'!$C$10:$C$13)),AND(AC62&gt;=LOOKUP(G62,'Qualifying Scores'!$A$4:$A$7,'Qualifying Scores'!$C$4:$C$7),AD62&gt;=LOOKUP(G62,'Qualifying Scores'!$A$10:$A$13,'Qualifying Scores'!$C$10:$C$13)),AND(AF62&gt;=LOOKUP(G62,'Qualifying Scores'!$A$4:$A$7,'Qualifying Scores'!$C$4:$C$7),AG62&gt;=LOOKUP(G62,'Qualifying Scores'!$A$10:$A$13,'Qualifying Scores'!$C$10:$C$13))),"P",""),IF(OR(AND(X62-U62&gt;=LOOKUP(G62,'Qualifying Scores'!$A$4:$A$7,'Qualifying Scores'!$C$4:$C$7),W62&gt;=LOOKUP(G62,'Qualifying Scores'!$A$10:$A$13,'Qualifying Scores'!$C$10:$C$13)),AND(AE62-AB62&gt;=LOOKUP(G62,'Qualifying Scores'!$A$4:$A$7,'Qualifying Scores'!$C$4:$C$7),AD62&gt;=LOOKUP(G62,'Qualifying Scores'!$A$10:$A$13,'Qualifying Scores'!$C$10:$C$13))),"P","")))</f>
        <v/>
      </c>
      <c r="Q62" s="1" t="str">
        <f>IF(A62&lt;5,IF(_xlfn.MAXIFS(A:A,G:G,G62)&gt;3,5-A62,_xlfn.MAXIFS(A:A,G:G,G62)+1-A62),"")</f>
        <v/>
      </c>
      <c r="R62" s="4">
        <f>IF(G62="17-21",MAX(T62,V62,Y62,AA62,AC62,AF62),MAX(X62,AE62))</f>
        <v>42.7</v>
      </c>
      <c r="S62" s="4">
        <f>IF(G62="17-21",LARGE(CHOOSE({1,2,3,4,5,6},T62,V62,Y62,AA62,AC62,AF62),2),IF(R62=X62,MAX(Y62,AA62,AC62,AF62),IF(R62=AE62,MAX(AF62,T62,V62,Y62),0)))</f>
        <v>37.049999999999997</v>
      </c>
      <c r="T62" s="33">
        <v>37.049999999999997</v>
      </c>
      <c r="U62" s="40">
        <v>0</v>
      </c>
      <c r="V62" s="34">
        <v>42.7</v>
      </c>
      <c r="W62" s="40">
        <v>8.1</v>
      </c>
      <c r="X62" s="4">
        <f>IF(H62="Senior",MAX(T62,V62),T62+V62)</f>
        <v>79.75</v>
      </c>
      <c r="Y62" s="34"/>
      <c r="Z62" s="40"/>
      <c r="AA62" s="33">
        <v>36.99</v>
      </c>
      <c r="AB62" s="40">
        <v>0</v>
      </c>
      <c r="AC62" s="34">
        <v>17.510000000000002</v>
      </c>
      <c r="AD62" s="40">
        <v>3.5</v>
      </c>
      <c r="AE62" s="4">
        <f>IF(H62="Senior",MAX(AA62,AC62),AA62+AC62)</f>
        <v>54.5</v>
      </c>
      <c r="AF62" s="34"/>
      <c r="AG62" s="37"/>
    </row>
    <row r="63" spans="1:33" x14ac:dyDescent="0.2">
      <c r="A63" s="1" t="str" cm="1">
        <f t="array" ref="A63">IF(I63="","",IF(P63&lt;&gt;"",SUMPRODUCT((P$3:P$133&lt;&gt;"")*(G$3:G$133=G63)*(J$3:J$133&gt;J63)*(I$3:I$133="P"))+1,IF(O63&lt;&gt;"",SUMPRODUCT((O$3:O$133&lt;&gt;"")*(P$3:P$133="")*(G$3:G$133=G63)*(J$3:J$133&gt;J63)*(I$3:I$133="P"))+SUMPRODUCT((P$3:P$133&lt;&gt;"")*(G$3:G$133=G63)*(I$3:I$133="P"))+1,IF(N63&lt;&gt;"",SUMPRODUCT((N$3:N$133&lt;&gt;"")*(G$3:G$133=G63)*(J$3:J$133&gt;J63)*(I$3:I$133="P"))+1,IF(M63="P",SUMPRODUCT((O$3:O$133&lt;&gt;"")*(P$3:P$133="")*(G$3:G$133=G63)*(I$3:I$133="P"))+SUMPRODUCT((P$3:P$133&lt;&gt;"")*(G$3:G$133=G63)*(I$3:I$133="P"))+SUMPRODUCT((N$3:N$133&lt;&gt;"")*(G$3:G$133=G63)*(I$3:I$133="P"))+SUMPRODUCT((P$3:P$133="")*(O$3:O$133="")*(N$3:N$133="")*(M$3:M$133="P")*(G$3:G$133=G63)*(J$3:J$133&gt;J63)*(I$3:I$133="P"))+IF(H63="L5",SUMPRODUCT((P$3:P$133="")*(O$3:O$133="")*(N$3:N$133="")*(M$3:M$133="P")*(G$3:G$133=G63)*(J$3:J$133&lt;J63)*(H$3:H$133&lt;&gt;H63)*(I$3:I$133="P")),-1*SUMPRODUCT((P$3:P$133="")*(O$3:O$133="")*(N$3:N$133="")*(M$3:M$133="P")*(G$3:G$133=G63)*(J$3:J$133&gt;J63)*(H$3:H$133="L5")*(I$3:I$133="P")))+1,"")))))</f>
        <v/>
      </c>
      <c r="B63" s="1" t="str" cm="1">
        <f t="array" ref="B63">IF(P63&lt;&gt;"",SUMPRODUCT((P$3:P$133&lt;&gt;"")*(G$3:G$133=G63)*(J$3:J$133&gt;J63))+1,IF(O63&lt;&gt;"",SUMPRODUCT((O$3:O$133&lt;&gt;"")*(P$3:P$133="")*(G$3:G$133=G63)*(J$3:J$133&gt;J63))+SUMPRODUCT((P$3:P$133&lt;&gt;"")*(G$3:G$133=G63))+1,IF(N63&lt;&gt;"",SUMPRODUCT((N$3:N$133&lt;&gt;"")*(G$3:G$133=G63)*(J$3:J$133&gt;J63))+1,IF(M63="P",SUMPRODUCT((O$3:O$133&lt;&gt;"")*(P$3:P$133="")*(G$3:G$133=G63))+SUMPRODUCT((P$3:P$133&lt;&gt;"")*(G$3:G$133=G63))+SUMPRODUCT((N$3:N$133&lt;&gt;"")*(G$3:G$133=G63))+SUMPRODUCT((P$3:P$133="")*(O$3:O$133="")*(N$3:N$133="")*(M$3:M$133="P")*(G$3:G$133=G63)*(J$3:J$133&gt;J63))+IF(H63="L5",SUMPRODUCT((P$3:P$133="")*(O$3:O$133="")*(N$3:N$133="")*(M$3:M$133="P")*(G$3:G$133=G63)*(J$3:J$133&lt;J63)*(H$3:H$133&lt;&gt;H63)),-1*SUMPRODUCT((P$3:P$133="")*(O$3:O$133="")*(N$3:N$133="")*(M$3:M$133="P")*(G$3:G$133=G63)*(J$3:J$133&gt;J63)*(H$3:H$133="L5")))+1,""))))</f>
        <v/>
      </c>
      <c r="C63" s="36" t="s">
        <v>128</v>
      </c>
      <c r="D63" s="36" t="str">
        <f>IF(E63="","",VLOOKUP(E63,'Coaching Points'!A:B,2,0))</f>
        <v>AB</v>
      </c>
      <c r="E63" s="36" t="s">
        <v>29</v>
      </c>
      <c r="F63" s="35">
        <v>2006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17-21</v>
      </c>
      <c r="H63" s="39" t="s">
        <v>66</v>
      </c>
      <c r="I63" s="43"/>
      <c r="J63" s="4">
        <f>R63+S63+IF(OR(H63="Junior",H63="Senior"),0.0002,IF(OR(H63="L7",H63="L6"),0.0001,0))+IF(G63="17-21",MAX(AA63,AC63,AF63),AE63)*0.0000001</f>
        <v>78.850004028000001</v>
      </c>
      <c r="K63" s="3" t="str">
        <f>IF(G63="Not Age Eligible","",IF(G63="17-21",IF(MAX(T63,V63,Y63,AA63,AC63,AF63)&gt;=LOOKUP(G63,'Qualifying Scores'!$A$4:$A$7,'Qualifying Scores'!$C$4:$C$7),"P",""),IF(MAX(X63-U63,AE63-AB63)&gt;=LOOKUP(G63,'Qualifying Scores'!$A$4:$A$7,'Qualifying Scores'!$C$4:$C$7),"P","")))</f>
        <v/>
      </c>
      <c r="L63" s="3" t="str">
        <f>IF(G63="Not Age Eligible","",IF(G63="17-21",IF(MAX(U63,W63,Z63,AB63,AD63,AG63)&gt;=LOOKUP(G63,'Qualifying Scores'!$A$10:$A$13,'Qualifying Scores'!$C$10:$C$13),"P",""),IF(MAX(W63,AD63)&gt;=LOOKUP(G63,'Qualifying Scores'!$A$10:$A$13,'Qualifying Scores'!$C$10:$C$13),"P","")))</f>
        <v/>
      </c>
      <c r="M63" s="3" t="str">
        <f>IF(G63="Not Age Eligible","",IF(G63="17-21",IF(OR(AND(T63&gt;=LOOKUP(G63,'Qualifying Scores'!$A$4:$A$7,'Qualifying Scores'!$C$4:$C$7),U63&gt;=LOOKUP(G63,'Qualifying Scores'!$A$10:$A$13,'Qualifying Scores'!$C$10:$C$13)),AND(V63&gt;=LOOKUP(G63,'Qualifying Scores'!$A$4:$A$7,'Qualifying Scores'!$C$4:$C$7),W63&gt;=LOOKUP(G63,'Qualifying Scores'!$A$10:$A$13,'Qualifying Scores'!$C$10:$C$13)),AND(Y63&gt;=LOOKUP(G63,'Qualifying Scores'!$A$4:$A$7,'Qualifying Scores'!$C$4:$C$7),Z63&gt;=LOOKUP(G63,'Qualifying Scores'!$A$10:$A$13,'Qualifying Scores'!$C$10:$C$13)),AND(AA63&gt;=LOOKUP(G63,'Qualifying Scores'!$A$4:$A$7,'Qualifying Scores'!$C$4:$C$7),AB63&gt;=LOOKUP(G63,'Qualifying Scores'!$A$10:$A$13,'Qualifying Scores'!$C$10:$C$13)),AND(AC63&gt;=LOOKUP(G63,'Qualifying Scores'!$A$4:$A$7,'Qualifying Scores'!$C$4:$C$7),AD63&gt;=LOOKUP(G63,'Qualifying Scores'!$A$10:$A$13,'Qualifying Scores'!$C$10:$C$13)),AND(AF63&gt;=LOOKUP(G63,'Qualifying Scores'!$A$4:$A$7,'Qualifying Scores'!$C$4:$C$7),AG63&gt;=LOOKUP(G63,'Qualifying Scores'!$A$10:$A$13,'Qualifying Scores'!$C$10:$C$13))),"P",""),IF(OR(AND(X63-U63&gt;=LOOKUP(G63,'Qualifying Scores'!$A$4:$A$7,'Qualifying Scores'!$C$4:$C$7),W63&gt;=LOOKUP(G63,'Qualifying Scores'!$A$10:$A$13,'Qualifying Scores'!$C$10:$C$13)),AND(AE63-AB63&gt;=LOOKUP(G63,'Qualifying Scores'!$A$4:$A$7,'Qualifying Scores'!$C$4:$C$7),AD63&gt;=LOOKUP(G63,'Qualifying Scores'!$A$10:$A$13,'Qualifying Scores'!$C$10:$C$13))),"P","")))</f>
        <v/>
      </c>
      <c r="Q63" s="1" t="str">
        <f>IF(A63&lt;5,IF(_xlfn.MAXIFS(A:A,G:G,G63)&gt;3,5-A63,_xlfn.MAXIFS(A:A,G:G,G63)+1-A63),"")</f>
        <v/>
      </c>
      <c r="R63" s="4">
        <f>IF(G63="17-21",MAX(T63,V63,Y63,AA63,AC63,AF63),MAX(X63,AE63))</f>
        <v>40.28</v>
      </c>
      <c r="S63" s="4">
        <f>IF(G63="17-21",LARGE(CHOOSE({1,2,3,4,5,6},T63,V63,Y63,AA63,AC63,AF63),2),IF(R63=X63,MAX(Y63,AA63,AC63,AF63),IF(R63=AE63,MAX(AF63,T63,V63,Y63),0)))</f>
        <v>38.57</v>
      </c>
      <c r="T63" s="33">
        <v>36.880000000000003</v>
      </c>
      <c r="U63" s="40">
        <v>0</v>
      </c>
      <c r="V63" s="34">
        <v>17.989999999999998</v>
      </c>
      <c r="W63" s="40">
        <v>2.7</v>
      </c>
      <c r="X63" s="4">
        <f>IF(H63="Senior",MAX(T63,V63),T63+V63)</f>
        <v>54.870000000000005</v>
      </c>
      <c r="Y63" s="34"/>
      <c r="Z63" s="40"/>
      <c r="AA63" s="33">
        <v>38.57</v>
      </c>
      <c r="AB63" s="40">
        <v>0</v>
      </c>
      <c r="AC63" s="34">
        <v>40.28</v>
      </c>
      <c r="AD63" s="40">
        <v>7.3</v>
      </c>
      <c r="AE63" s="4">
        <f>IF(H63="Senior",MAX(AA63,AC63),AA63+AC63)</f>
        <v>78.849999999999994</v>
      </c>
      <c r="AF63" s="34"/>
      <c r="AG63" s="37"/>
    </row>
    <row r="64" spans="1:33" x14ac:dyDescent="0.2">
      <c r="A64" s="1" t="str" cm="1">
        <f t="array" ref="A64">IF(I64="","",IF(P64&lt;&gt;"",SUMPRODUCT((P$3:P$133&lt;&gt;"")*(G$3:G$133=G64)*(J$3:J$133&gt;J64)*(I$3:I$133="P"))+1,IF(O64&lt;&gt;"",SUMPRODUCT((O$3:O$133&lt;&gt;"")*(P$3:P$133="")*(G$3:G$133=G64)*(J$3:J$133&gt;J64)*(I$3:I$133="P"))+SUMPRODUCT((P$3:P$133&lt;&gt;"")*(G$3:G$133=G64)*(I$3:I$133="P"))+1,IF(N64&lt;&gt;"",SUMPRODUCT((N$3:N$133&lt;&gt;"")*(G$3:G$133=G64)*(J$3:J$133&gt;J64)*(I$3:I$133="P"))+1,IF(M64="P",SUMPRODUCT((O$3:O$133&lt;&gt;"")*(P$3:P$133="")*(G$3:G$133=G64)*(I$3:I$133="P"))+SUMPRODUCT((P$3:P$133&lt;&gt;"")*(G$3:G$133=G64)*(I$3:I$133="P"))+SUMPRODUCT((N$3:N$133&lt;&gt;"")*(G$3:G$133=G64)*(I$3:I$133="P"))+SUMPRODUCT((P$3:P$133="")*(O$3:O$133="")*(N$3:N$133="")*(M$3:M$133="P")*(G$3:G$133=G64)*(J$3:J$133&gt;J64)*(I$3:I$133="P"))+IF(H64="L5",SUMPRODUCT((P$3:P$133="")*(O$3:O$133="")*(N$3:N$133="")*(M$3:M$133="P")*(G$3:G$133=G64)*(J$3:J$133&lt;J64)*(H$3:H$133&lt;&gt;H64)*(I$3:I$133="P")),-1*SUMPRODUCT((P$3:P$133="")*(O$3:O$133="")*(N$3:N$133="")*(M$3:M$133="P")*(G$3:G$133=G64)*(J$3:J$133&gt;J64)*(H$3:H$133="L5")*(I$3:I$133="P")))+1,"")))))</f>
        <v/>
      </c>
      <c r="B64" s="1" t="str" cm="1">
        <f t="array" ref="B64">IF(P64&lt;&gt;"",SUMPRODUCT((P$3:P$133&lt;&gt;"")*(G$3:G$133=G64)*(J$3:J$133&gt;J64))+1,IF(O64&lt;&gt;"",SUMPRODUCT((O$3:O$133&lt;&gt;"")*(P$3:P$133="")*(G$3:G$133=G64)*(J$3:J$133&gt;J64))+SUMPRODUCT((P$3:P$133&lt;&gt;"")*(G$3:G$133=G64))+1,IF(N64&lt;&gt;"",SUMPRODUCT((N$3:N$133&lt;&gt;"")*(G$3:G$133=G64)*(J$3:J$133&gt;J64))+1,IF(M64="P",SUMPRODUCT((O$3:O$133&lt;&gt;"")*(P$3:P$133="")*(G$3:G$133=G64))+SUMPRODUCT((P$3:P$133&lt;&gt;"")*(G$3:G$133=G64))+SUMPRODUCT((N$3:N$133&lt;&gt;"")*(G$3:G$133=G64))+SUMPRODUCT((P$3:P$133="")*(O$3:O$133="")*(N$3:N$133="")*(M$3:M$133="P")*(G$3:G$133=G64)*(J$3:J$133&gt;J64))+IF(H64="L5",SUMPRODUCT((P$3:P$133="")*(O$3:O$133="")*(N$3:N$133="")*(M$3:M$133="P")*(G$3:G$133=G64)*(J$3:J$133&lt;J64)*(H$3:H$133&lt;&gt;H64)),-1*SUMPRODUCT((P$3:P$133="")*(O$3:O$133="")*(N$3:N$133="")*(M$3:M$133="P")*(G$3:G$133=G64)*(J$3:J$133&gt;J64)*(H$3:H$133="L5")))+1,""))))</f>
        <v/>
      </c>
      <c r="C64" s="36" t="s">
        <v>299</v>
      </c>
      <c r="D64" s="36" t="str">
        <f>IF(E64="","",VLOOKUP(E64,'Coaching Points'!A:B,2,0))</f>
        <v>BC</v>
      </c>
      <c r="E64" s="36" t="s">
        <v>282</v>
      </c>
      <c r="F64" s="35">
        <v>2004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17-21</v>
      </c>
      <c r="H64" s="39" t="s">
        <v>66</v>
      </c>
      <c r="I64" s="43"/>
      <c r="J64" s="4">
        <f>R64+S64+IF(OR(H64="Junior",H64="Senior"),0.0002,IF(OR(H64="L7",H64="L6"),0.0001,0))+IF(G64="17-21",MAX(AA64,AC64,AF64),AE64)*0.0000001</f>
        <v>78.140003479000001</v>
      </c>
      <c r="K64" s="3" t="str">
        <f>IF(G64="Not Age Eligible","",IF(G64="17-21",IF(MAX(T64,V64,Y64,AA64,AC64,AF64)&gt;=LOOKUP(G64,'Qualifying Scores'!$A$4:$A$7,'Qualifying Scores'!$C$4:$C$7),"P",""),IF(MAX(X64-U64,AE64-AB64)&gt;=LOOKUP(G64,'Qualifying Scores'!$A$4:$A$7,'Qualifying Scores'!$C$4:$C$7),"P","")))</f>
        <v/>
      </c>
      <c r="L64" s="3" t="str">
        <f>IF(G64="Not Age Eligible","",IF(G64="17-21",IF(MAX(U64,W64,Z64,AB64,AD64,AG64)&gt;=LOOKUP(G64,'Qualifying Scores'!$A$10:$A$13,'Qualifying Scores'!$C$10:$C$13),"P",""),IF(MAX(W64,AD64)&gt;=LOOKUP(G64,'Qualifying Scores'!$A$10:$A$13,'Qualifying Scores'!$C$10:$C$13),"P","")))</f>
        <v/>
      </c>
      <c r="M64" s="3" t="str">
        <f>IF(G64="Not Age Eligible","",IF(G64="17-21",IF(OR(AND(T64&gt;=LOOKUP(G64,'Qualifying Scores'!$A$4:$A$7,'Qualifying Scores'!$C$4:$C$7),U64&gt;=LOOKUP(G64,'Qualifying Scores'!$A$10:$A$13,'Qualifying Scores'!$C$10:$C$13)),AND(V64&gt;=LOOKUP(G64,'Qualifying Scores'!$A$4:$A$7,'Qualifying Scores'!$C$4:$C$7),W64&gt;=LOOKUP(G64,'Qualifying Scores'!$A$10:$A$13,'Qualifying Scores'!$C$10:$C$13)),AND(Y64&gt;=LOOKUP(G64,'Qualifying Scores'!$A$4:$A$7,'Qualifying Scores'!$C$4:$C$7),Z64&gt;=LOOKUP(G64,'Qualifying Scores'!$A$10:$A$13,'Qualifying Scores'!$C$10:$C$13)),AND(AA64&gt;=LOOKUP(G64,'Qualifying Scores'!$A$4:$A$7,'Qualifying Scores'!$C$4:$C$7),AB64&gt;=LOOKUP(G64,'Qualifying Scores'!$A$10:$A$13,'Qualifying Scores'!$C$10:$C$13)),AND(AC64&gt;=LOOKUP(G64,'Qualifying Scores'!$A$4:$A$7,'Qualifying Scores'!$C$4:$C$7),AD64&gt;=LOOKUP(G64,'Qualifying Scores'!$A$10:$A$13,'Qualifying Scores'!$C$10:$C$13)),AND(AF64&gt;=LOOKUP(G64,'Qualifying Scores'!$A$4:$A$7,'Qualifying Scores'!$C$4:$C$7),AG64&gt;=LOOKUP(G64,'Qualifying Scores'!$A$10:$A$13,'Qualifying Scores'!$C$10:$C$13))),"P",""),IF(OR(AND(X64-U64&gt;=LOOKUP(G64,'Qualifying Scores'!$A$4:$A$7,'Qualifying Scores'!$C$4:$C$7),W64&gt;=LOOKUP(G64,'Qualifying Scores'!$A$10:$A$13,'Qualifying Scores'!$C$10:$C$13)),AND(AE64-AB64&gt;=LOOKUP(G64,'Qualifying Scores'!$A$4:$A$7,'Qualifying Scores'!$C$4:$C$7),AD64&gt;=LOOKUP(G64,'Qualifying Scores'!$A$10:$A$13,'Qualifying Scores'!$C$10:$C$13))),"P","")))</f>
        <v/>
      </c>
      <c r="Q64" s="1" t="str">
        <f>IF(A64&lt;5,IF(_xlfn.MAXIFS(A:A,G:G,G64)&gt;3,5-A64,_xlfn.MAXIFS(A:A,G:G,G64)+1-A64),"")</f>
        <v/>
      </c>
      <c r="R64" s="4">
        <f>IF(G64="17-21",MAX(T64,V64,Y64,AA64,AC64,AF64),MAX(X64,AE64))</f>
        <v>43.35</v>
      </c>
      <c r="S64" s="4">
        <f>IF(G64="17-21",LARGE(CHOOSE({1,2,3,4,5,6},T64,V64,Y64,AA64,AC64,AF64),2),IF(R64=X64,MAX(Y64,AA64,AC64,AF64),IF(R64=AE64,MAX(AF64,T64,V64,Y64),0)))</f>
        <v>34.79</v>
      </c>
      <c r="T64" s="33">
        <v>29.5</v>
      </c>
      <c r="U64" s="40">
        <v>0</v>
      </c>
      <c r="V64" s="34">
        <v>43.35</v>
      </c>
      <c r="W64" s="40">
        <v>7.4</v>
      </c>
      <c r="X64" s="4">
        <f>IF(H64="Senior",MAX(T64,V64),T64+V64)</f>
        <v>72.849999999999994</v>
      </c>
      <c r="Y64" s="34"/>
      <c r="Z64" s="40"/>
      <c r="AA64" s="33">
        <v>34.79</v>
      </c>
      <c r="AB64" s="40">
        <v>0</v>
      </c>
      <c r="AC64" s="34"/>
      <c r="AD64" s="40"/>
      <c r="AE64" s="4">
        <f>IF(H64="Senior",MAX(AA64,AC64),AA64+AC64)</f>
        <v>34.79</v>
      </c>
      <c r="AF64" s="34"/>
      <c r="AG64" s="37"/>
    </row>
    <row r="65" spans="1:33" x14ac:dyDescent="0.2">
      <c r="A65" s="1" t="str" cm="1">
        <f t="array" ref="A65">IF(I65="","",IF(P65&lt;&gt;"",SUMPRODUCT((P$3:P$133&lt;&gt;"")*(G$3:G$133=G65)*(J$3:J$133&gt;J65)*(I$3:I$133="P"))+1,IF(O65&lt;&gt;"",SUMPRODUCT((O$3:O$133&lt;&gt;"")*(P$3:P$133="")*(G$3:G$133=G65)*(J$3:J$133&gt;J65)*(I$3:I$133="P"))+SUMPRODUCT((P$3:P$133&lt;&gt;"")*(G$3:G$133=G65)*(I$3:I$133="P"))+1,IF(N65&lt;&gt;"",SUMPRODUCT((N$3:N$133&lt;&gt;"")*(G$3:G$133=G65)*(J$3:J$133&gt;J65)*(I$3:I$133="P"))+1,IF(M65="P",SUMPRODUCT((O$3:O$133&lt;&gt;"")*(P$3:P$133="")*(G$3:G$133=G65)*(I$3:I$133="P"))+SUMPRODUCT((P$3:P$133&lt;&gt;"")*(G$3:G$133=G65)*(I$3:I$133="P"))+SUMPRODUCT((N$3:N$133&lt;&gt;"")*(G$3:G$133=G65)*(I$3:I$133="P"))+SUMPRODUCT((P$3:P$133="")*(O$3:O$133="")*(N$3:N$133="")*(M$3:M$133="P")*(G$3:G$133=G65)*(J$3:J$133&gt;J65)*(I$3:I$133="P"))+IF(H65="L5",SUMPRODUCT((P$3:P$133="")*(O$3:O$133="")*(N$3:N$133="")*(M$3:M$133="P")*(G$3:G$133=G65)*(J$3:J$133&lt;J65)*(H$3:H$133&lt;&gt;H65)*(I$3:I$133="P")),-1*SUMPRODUCT((P$3:P$133="")*(O$3:O$133="")*(N$3:N$133="")*(M$3:M$133="P")*(G$3:G$133=G65)*(J$3:J$133&gt;J65)*(H$3:H$133="L5")*(I$3:I$133="P")))+1,"")))))</f>
        <v/>
      </c>
      <c r="B65" s="1" t="str" cm="1">
        <f t="array" ref="B65">IF(P65&lt;&gt;"",SUMPRODUCT((P$3:P$133&lt;&gt;"")*(G$3:G$133=G65)*(J$3:J$133&gt;J65))+1,IF(O65&lt;&gt;"",SUMPRODUCT((O$3:O$133&lt;&gt;"")*(P$3:P$133="")*(G$3:G$133=G65)*(J$3:J$133&gt;J65))+SUMPRODUCT((P$3:P$133&lt;&gt;"")*(G$3:G$133=G65))+1,IF(N65&lt;&gt;"",SUMPRODUCT((N$3:N$133&lt;&gt;"")*(G$3:G$133=G65)*(J$3:J$133&gt;J65))+1,IF(M65="P",SUMPRODUCT((O$3:O$133&lt;&gt;"")*(P$3:P$133="")*(G$3:G$133=G65))+SUMPRODUCT((P$3:P$133&lt;&gt;"")*(G$3:G$133=G65))+SUMPRODUCT((N$3:N$133&lt;&gt;"")*(G$3:G$133=G65))+SUMPRODUCT((P$3:P$133="")*(O$3:O$133="")*(N$3:N$133="")*(M$3:M$133="P")*(G$3:G$133=G65)*(J$3:J$133&gt;J65))+IF(H65="L5",SUMPRODUCT((P$3:P$133="")*(O$3:O$133="")*(N$3:N$133="")*(M$3:M$133="P")*(G$3:G$133=G65)*(J$3:J$133&lt;J65)*(H$3:H$133&lt;&gt;H65)),-1*SUMPRODUCT((P$3:P$133="")*(O$3:O$133="")*(N$3:N$133="")*(M$3:M$133="P")*(G$3:G$133=G65)*(J$3:J$133&gt;J65)*(H$3:H$133="L5")))+1,""))))</f>
        <v/>
      </c>
      <c r="C65" s="36" t="s">
        <v>454</v>
      </c>
      <c r="D65" s="36" t="str">
        <f>IF(E65="","",VLOOKUP(E65,'Coaching Points'!A:B,2,0))</f>
        <v>ON</v>
      </c>
      <c r="E65" s="36" t="s">
        <v>426</v>
      </c>
      <c r="F65" s="35">
        <v>2006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17-21</v>
      </c>
      <c r="H65" s="39" t="s">
        <v>66</v>
      </c>
      <c r="I65" s="43"/>
      <c r="J65" s="4">
        <f>R65+S65+IF(OR(H65="Junior",H65="Senior"),0.0002,IF(OR(H65="L7",H65="L6"),0.0001,0))+IF(G65="17-21",MAX(AA65,AC65,AF65),AE65)*0.0000001</f>
        <v>78.070004008999987</v>
      </c>
      <c r="K65" s="3" t="str">
        <f>IF(G65="Not Age Eligible","",IF(G65="17-21",IF(MAX(T65,V65,Y65,AA65,AC65,AF65)&gt;=LOOKUP(G65,'Qualifying Scores'!$A$4:$A$7,'Qualifying Scores'!$C$4:$C$7),"P",""),IF(MAX(X65-U65,AE65-AB65)&gt;=LOOKUP(G65,'Qualifying Scores'!$A$4:$A$7,'Qualifying Scores'!$C$4:$C$7),"P","")))</f>
        <v/>
      </c>
      <c r="L65" s="3" t="str">
        <f>IF(G65="Not Age Eligible","",IF(G65="17-21",IF(MAX(U65,W65,Z65,AB65,AD65,AG65)&gt;=LOOKUP(G65,'Qualifying Scores'!$A$10:$A$13,'Qualifying Scores'!$C$10:$C$13),"P",""),IF(MAX(W65,AD65)&gt;=LOOKUP(G65,'Qualifying Scores'!$A$10:$A$13,'Qualifying Scores'!$C$10:$C$13),"P","")))</f>
        <v/>
      </c>
      <c r="M65" s="3" t="str">
        <f>IF(G65="Not Age Eligible","",IF(G65="17-21",IF(OR(AND(T65&gt;=LOOKUP(G65,'Qualifying Scores'!$A$4:$A$7,'Qualifying Scores'!$C$4:$C$7),U65&gt;=LOOKUP(G65,'Qualifying Scores'!$A$10:$A$13,'Qualifying Scores'!$C$10:$C$13)),AND(V65&gt;=LOOKUP(G65,'Qualifying Scores'!$A$4:$A$7,'Qualifying Scores'!$C$4:$C$7),W65&gt;=LOOKUP(G65,'Qualifying Scores'!$A$10:$A$13,'Qualifying Scores'!$C$10:$C$13)),AND(Y65&gt;=LOOKUP(G65,'Qualifying Scores'!$A$4:$A$7,'Qualifying Scores'!$C$4:$C$7),Z65&gt;=LOOKUP(G65,'Qualifying Scores'!$A$10:$A$13,'Qualifying Scores'!$C$10:$C$13)),AND(AA65&gt;=LOOKUP(G65,'Qualifying Scores'!$A$4:$A$7,'Qualifying Scores'!$C$4:$C$7),AB65&gt;=LOOKUP(G65,'Qualifying Scores'!$A$10:$A$13,'Qualifying Scores'!$C$10:$C$13)),AND(AC65&gt;=LOOKUP(G65,'Qualifying Scores'!$A$4:$A$7,'Qualifying Scores'!$C$4:$C$7),AD65&gt;=LOOKUP(G65,'Qualifying Scores'!$A$10:$A$13,'Qualifying Scores'!$C$10:$C$13)),AND(AF65&gt;=LOOKUP(G65,'Qualifying Scores'!$A$4:$A$7,'Qualifying Scores'!$C$4:$C$7),AG65&gt;=LOOKUP(G65,'Qualifying Scores'!$A$10:$A$13,'Qualifying Scores'!$C$10:$C$13))),"P",""),IF(OR(AND(X65-U65&gt;=LOOKUP(G65,'Qualifying Scores'!$A$4:$A$7,'Qualifying Scores'!$C$4:$C$7),W65&gt;=LOOKUP(G65,'Qualifying Scores'!$A$10:$A$13,'Qualifying Scores'!$C$10:$C$13)),AND(AE65-AB65&gt;=LOOKUP(G65,'Qualifying Scores'!$A$4:$A$7,'Qualifying Scores'!$C$4:$C$7),AD65&gt;=LOOKUP(G65,'Qualifying Scores'!$A$10:$A$13,'Qualifying Scores'!$C$10:$C$13))),"P","")))</f>
        <v/>
      </c>
      <c r="Q65" s="1" t="str">
        <f>IF(A65&lt;5,IF(_xlfn.MAXIFS(A:A,G:G,G65)&gt;3,5-A65,_xlfn.MAXIFS(A:A,G:G,G65)+1-A65),"")</f>
        <v/>
      </c>
      <c r="R65" s="4">
        <f>IF(G65="17-21",MAX(T65,V65,Y65,AA65,AC65,AF65),MAX(X65,AE65))</f>
        <v>40.090000000000003</v>
      </c>
      <c r="S65" s="4">
        <f>IF(G65="17-21",LARGE(CHOOSE({1,2,3,4,5,6},T65,V65,Y65,AA65,AC65,AF65),2),IF(R65=X65,MAX(Y65,AA65,AC65,AF65),IF(R65=AE65,MAX(AF65,T65,V65,Y65),0)))</f>
        <v>37.979999999999997</v>
      </c>
      <c r="T65" s="33"/>
      <c r="U65" s="40"/>
      <c r="V65" s="34"/>
      <c r="W65" s="40"/>
      <c r="X65" s="4">
        <f>IF(H65="Senior",MAX(T65,V65),T65+V65)</f>
        <v>0</v>
      </c>
      <c r="Y65" s="34"/>
      <c r="Z65" s="40"/>
      <c r="AA65" s="33">
        <v>37.979999999999997</v>
      </c>
      <c r="AB65" s="40">
        <v>0</v>
      </c>
      <c r="AC65" s="34">
        <v>40.090000000000003</v>
      </c>
      <c r="AD65" s="40">
        <v>6.4</v>
      </c>
      <c r="AE65" s="4">
        <f>IF(H65="Senior",MAX(AA65,AC65),AA65+AC65)</f>
        <v>78.069999999999993</v>
      </c>
      <c r="AF65" s="34"/>
      <c r="AG65" s="37"/>
    </row>
    <row r="66" spans="1:33" x14ac:dyDescent="0.2">
      <c r="A66" s="1" t="str" cm="1">
        <f t="array" ref="A66">IF(I66="","",IF(P66&lt;&gt;"",SUMPRODUCT((P$3:P$133&lt;&gt;"")*(G$3:G$133=G66)*(J$3:J$133&gt;J66)*(I$3:I$133="P"))+1,IF(O66&lt;&gt;"",SUMPRODUCT((O$3:O$133&lt;&gt;"")*(P$3:P$133="")*(G$3:G$133=G66)*(J$3:J$133&gt;J66)*(I$3:I$133="P"))+SUMPRODUCT((P$3:P$133&lt;&gt;"")*(G$3:G$133=G66)*(I$3:I$133="P"))+1,IF(N66&lt;&gt;"",SUMPRODUCT((N$3:N$133&lt;&gt;"")*(G$3:G$133=G66)*(J$3:J$133&gt;J66)*(I$3:I$133="P"))+1,IF(M66="P",SUMPRODUCT((O$3:O$133&lt;&gt;"")*(P$3:P$133="")*(G$3:G$133=G66)*(I$3:I$133="P"))+SUMPRODUCT((P$3:P$133&lt;&gt;"")*(G$3:G$133=G66)*(I$3:I$133="P"))+SUMPRODUCT((N$3:N$133&lt;&gt;"")*(G$3:G$133=G66)*(I$3:I$133="P"))+SUMPRODUCT((P$3:P$133="")*(O$3:O$133="")*(N$3:N$133="")*(M$3:M$133="P")*(G$3:G$133=G66)*(J$3:J$133&gt;J66)*(I$3:I$133="P"))+IF(H66="L5",SUMPRODUCT((P$3:P$133="")*(O$3:O$133="")*(N$3:N$133="")*(M$3:M$133="P")*(G$3:G$133=G66)*(J$3:J$133&lt;J66)*(H$3:H$133&lt;&gt;H66)*(I$3:I$133="P")),-1*SUMPRODUCT((P$3:P$133="")*(O$3:O$133="")*(N$3:N$133="")*(M$3:M$133="P")*(G$3:G$133=G66)*(J$3:J$133&gt;J66)*(H$3:H$133="L5")*(I$3:I$133="P")))+1,"")))))</f>
        <v/>
      </c>
      <c r="B66" s="1" t="str" cm="1">
        <f t="array" ref="B66">IF(P66&lt;&gt;"",SUMPRODUCT((P$3:P$133&lt;&gt;"")*(G$3:G$133=G66)*(J$3:J$133&gt;J66))+1,IF(O66&lt;&gt;"",SUMPRODUCT((O$3:O$133&lt;&gt;"")*(P$3:P$133="")*(G$3:G$133=G66)*(J$3:J$133&gt;J66))+SUMPRODUCT((P$3:P$133&lt;&gt;"")*(G$3:G$133=G66))+1,IF(N66&lt;&gt;"",SUMPRODUCT((N$3:N$133&lt;&gt;"")*(G$3:G$133=G66)*(J$3:J$133&gt;J66))+1,IF(M66="P",SUMPRODUCT((O$3:O$133&lt;&gt;"")*(P$3:P$133="")*(G$3:G$133=G66))+SUMPRODUCT((P$3:P$133&lt;&gt;"")*(G$3:G$133=G66))+SUMPRODUCT((N$3:N$133&lt;&gt;"")*(G$3:G$133=G66))+SUMPRODUCT((P$3:P$133="")*(O$3:O$133="")*(N$3:N$133="")*(M$3:M$133="P")*(G$3:G$133=G66)*(J$3:J$133&gt;J66))+IF(H66="L5",SUMPRODUCT((P$3:P$133="")*(O$3:O$133="")*(N$3:N$133="")*(M$3:M$133="P")*(G$3:G$133=G66)*(J$3:J$133&lt;J66)*(H$3:H$133&lt;&gt;H66)),-1*SUMPRODUCT((P$3:P$133="")*(O$3:O$133="")*(N$3:N$133="")*(M$3:M$133="P")*(G$3:G$133=G66)*(J$3:J$133&gt;J66)*(H$3:H$133="L5")))+1,""))))</f>
        <v/>
      </c>
      <c r="C66" s="36" t="s">
        <v>455</v>
      </c>
      <c r="D66" s="36" t="str">
        <f>IF(E66="","",VLOOKUP(E66,'Coaching Points'!A:B,2,0))</f>
        <v>BC</v>
      </c>
      <c r="E66" s="36" t="s">
        <v>485</v>
      </c>
      <c r="F66" s="35">
        <v>2006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17-21</v>
      </c>
      <c r="H66" s="39" t="s">
        <v>66</v>
      </c>
      <c r="I66" s="43"/>
      <c r="J66" s="4">
        <f>R66+S66+IF(OR(H66="Junior",H66="Senior"),0.0002,IF(OR(H66="L7",H66="L6"),0.0001,0))+IF(G66="17-21",MAX(AA66,AC66,AF66),AE66)*0.0000001</f>
        <v>77.860004254000003</v>
      </c>
      <c r="K66" s="3" t="str">
        <f>IF(G66="Not Age Eligible","",IF(G66="17-21",IF(MAX(T66,V66,Y66,AA66,AC66,AF66)&gt;=LOOKUP(G66,'Qualifying Scores'!$A$4:$A$7,'Qualifying Scores'!$C$4:$C$7),"P",""),IF(MAX(X66-U66,AE66-AB66)&gt;=LOOKUP(G66,'Qualifying Scores'!$A$4:$A$7,'Qualifying Scores'!$C$4:$C$7),"P","")))</f>
        <v/>
      </c>
      <c r="L66" s="3" t="str">
        <f>IF(G66="Not Age Eligible","",IF(G66="17-21",IF(MAX(U66,W66,Z66,AB66,AD66,AG66)&gt;=LOOKUP(G66,'Qualifying Scores'!$A$10:$A$13,'Qualifying Scores'!$C$10:$C$13),"P",""),IF(MAX(W66,AD66)&gt;=LOOKUP(G66,'Qualifying Scores'!$A$10:$A$13,'Qualifying Scores'!$C$10:$C$13),"P","")))</f>
        <v/>
      </c>
      <c r="M66" s="3" t="str">
        <f>IF(G66="Not Age Eligible","",IF(G66="17-21",IF(OR(AND(T66&gt;=LOOKUP(G66,'Qualifying Scores'!$A$4:$A$7,'Qualifying Scores'!$C$4:$C$7),U66&gt;=LOOKUP(G66,'Qualifying Scores'!$A$10:$A$13,'Qualifying Scores'!$C$10:$C$13)),AND(V66&gt;=LOOKUP(G66,'Qualifying Scores'!$A$4:$A$7,'Qualifying Scores'!$C$4:$C$7),W66&gt;=LOOKUP(G66,'Qualifying Scores'!$A$10:$A$13,'Qualifying Scores'!$C$10:$C$13)),AND(Y66&gt;=LOOKUP(G66,'Qualifying Scores'!$A$4:$A$7,'Qualifying Scores'!$C$4:$C$7),Z66&gt;=LOOKUP(G66,'Qualifying Scores'!$A$10:$A$13,'Qualifying Scores'!$C$10:$C$13)),AND(AA66&gt;=LOOKUP(G66,'Qualifying Scores'!$A$4:$A$7,'Qualifying Scores'!$C$4:$C$7),AB66&gt;=LOOKUP(G66,'Qualifying Scores'!$A$10:$A$13,'Qualifying Scores'!$C$10:$C$13)),AND(AC66&gt;=LOOKUP(G66,'Qualifying Scores'!$A$4:$A$7,'Qualifying Scores'!$C$4:$C$7),AD66&gt;=LOOKUP(G66,'Qualifying Scores'!$A$10:$A$13,'Qualifying Scores'!$C$10:$C$13)),AND(AF66&gt;=LOOKUP(G66,'Qualifying Scores'!$A$4:$A$7,'Qualifying Scores'!$C$4:$C$7),AG66&gt;=LOOKUP(G66,'Qualifying Scores'!$A$10:$A$13,'Qualifying Scores'!$C$10:$C$13))),"P",""),IF(OR(AND(X66-U66&gt;=LOOKUP(G66,'Qualifying Scores'!$A$4:$A$7,'Qualifying Scores'!$C$4:$C$7),W66&gt;=LOOKUP(G66,'Qualifying Scores'!$A$10:$A$13,'Qualifying Scores'!$C$10:$C$13)),AND(AE66-AB66&gt;=LOOKUP(G66,'Qualifying Scores'!$A$4:$A$7,'Qualifying Scores'!$C$4:$C$7),AD66&gt;=LOOKUP(G66,'Qualifying Scores'!$A$10:$A$13,'Qualifying Scores'!$C$10:$C$13))),"P","")))</f>
        <v/>
      </c>
      <c r="Q66" s="1" t="str">
        <f>IF(A66&lt;5,IF(_xlfn.MAXIFS(A:A,G:G,G66)&gt;3,5-A66,_xlfn.MAXIFS(A:A,G:G,G66)+1-A66),"")</f>
        <v/>
      </c>
      <c r="R66" s="4">
        <f>IF(G66="17-21",MAX(T66,V66,Y66,AA66,AC66,AF66),MAX(X66,AE66))</f>
        <v>42.54</v>
      </c>
      <c r="S66" s="4">
        <f>IF(G66="17-21",LARGE(CHOOSE({1,2,3,4,5,6},T66,V66,Y66,AA66,AC66,AF66),2),IF(R66=X66,MAX(Y66,AA66,AC66,AF66),IF(R66=AE66,MAX(AF66,T66,V66,Y66),0)))</f>
        <v>35.32</v>
      </c>
      <c r="T66" s="33"/>
      <c r="U66" s="40"/>
      <c r="V66" s="34"/>
      <c r="W66" s="40"/>
      <c r="X66" s="4">
        <f>IF(H66="Senior",MAX(T66,V66),T66+V66)</f>
        <v>0</v>
      </c>
      <c r="Y66" s="34"/>
      <c r="Z66" s="40"/>
      <c r="AA66" s="33">
        <v>35.32</v>
      </c>
      <c r="AB66" s="40">
        <v>0</v>
      </c>
      <c r="AC66" s="34">
        <v>42.54</v>
      </c>
      <c r="AD66" s="40">
        <v>7.3</v>
      </c>
      <c r="AE66" s="4">
        <f>IF(H66="Senior",MAX(AA66,AC66),AA66+AC66)</f>
        <v>77.86</v>
      </c>
      <c r="AF66" s="34"/>
      <c r="AG66" s="37"/>
    </row>
    <row r="67" spans="1:33" x14ac:dyDescent="0.2">
      <c r="A67" s="1" t="str" cm="1">
        <f t="array" ref="A67">IF(I67="","",IF(P67&lt;&gt;"",SUMPRODUCT((P$3:P$133&lt;&gt;"")*(G$3:G$133=G67)*(J$3:J$133&gt;J67)*(I$3:I$133="P"))+1,IF(O67&lt;&gt;"",SUMPRODUCT((O$3:O$133&lt;&gt;"")*(P$3:P$133="")*(G$3:G$133=G67)*(J$3:J$133&gt;J67)*(I$3:I$133="P"))+SUMPRODUCT((P$3:P$133&lt;&gt;"")*(G$3:G$133=G67)*(I$3:I$133="P"))+1,IF(N67&lt;&gt;"",SUMPRODUCT((N$3:N$133&lt;&gt;"")*(G$3:G$133=G67)*(J$3:J$133&gt;J67)*(I$3:I$133="P"))+1,IF(M67="P",SUMPRODUCT((O$3:O$133&lt;&gt;"")*(P$3:P$133="")*(G$3:G$133=G67)*(I$3:I$133="P"))+SUMPRODUCT((P$3:P$133&lt;&gt;"")*(G$3:G$133=G67)*(I$3:I$133="P"))+SUMPRODUCT((N$3:N$133&lt;&gt;"")*(G$3:G$133=G67)*(I$3:I$133="P"))+SUMPRODUCT((P$3:P$133="")*(O$3:O$133="")*(N$3:N$133="")*(M$3:M$133="P")*(G$3:G$133=G67)*(J$3:J$133&gt;J67)*(I$3:I$133="P"))+IF(H67="L5",SUMPRODUCT((P$3:P$133="")*(O$3:O$133="")*(N$3:N$133="")*(M$3:M$133="P")*(G$3:G$133=G67)*(J$3:J$133&lt;J67)*(H$3:H$133&lt;&gt;H67)*(I$3:I$133="P")),-1*SUMPRODUCT((P$3:P$133="")*(O$3:O$133="")*(N$3:N$133="")*(M$3:M$133="P")*(G$3:G$133=G67)*(J$3:J$133&gt;J67)*(H$3:H$133="L5")*(I$3:I$133="P")))+1,"")))))</f>
        <v/>
      </c>
      <c r="B67" s="1" t="str" cm="1">
        <f t="array" ref="B67">IF(P67&lt;&gt;"",SUMPRODUCT((P$3:P$133&lt;&gt;"")*(G$3:G$133=G67)*(J$3:J$133&gt;J67))+1,IF(O67&lt;&gt;"",SUMPRODUCT((O$3:O$133&lt;&gt;"")*(P$3:P$133="")*(G$3:G$133=G67)*(J$3:J$133&gt;J67))+SUMPRODUCT((P$3:P$133&lt;&gt;"")*(G$3:G$133=G67))+1,IF(N67&lt;&gt;"",SUMPRODUCT((N$3:N$133&lt;&gt;"")*(G$3:G$133=G67)*(J$3:J$133&gt;J67))+1,IF(M67="P",SUMPRODUCT((O$3:O$133&lt;&gt;"")*(P$3:P$133="")*(G$3:G$133=G67))+SUMPRODUCT((P$3:P$133&lt;&gt;"")*(G$3:G$133=G67))+SUMPRODUCT((N$3:N$133&lt;&gt;"")*(G$3:G$133=G67))+SUMPRODUCT((P$3:P$133="")*(O$3:O$133="")*(N$3:N$133="")*(M$3:M$133="P")*(G$3:G$133=G67)*(J$3:J$133&gt;J67))+IF(H67="L5",SUMPRODUCT((P$3:P$133="")*(O$3:O$133="")*(N$3:N$133="")*(M$3:M$133="P")*(G$3:G$133=G67)*(J$3:J$133&lt;J67)*(H$3:H$133&lt;&gt;H67)),-1*SUMPRODUCT((P$3:P$133="")*(O$3:O$133="")*(N$3:N$133="")*(M$3:M$133="P")*(G$3:G$133=G67)*(J$3:J$133&gt;J67)*(H$3:H$133="L5")))+1,""))))</f>
        <v/>
      </c>
      <c r="C67" s="36" t="s">
        <v>248</v>
      </c>
      <c r="D67" s="36" t="str">
        <f>IF(E67="","",VLOOKUP(E67,'Coaching Points'!A:B,2,0))</f>
        <v>AB</v>
      </c>
      <c r="E67" s="36" t="s">
        <v>63</v>
      </c>
      <c r="F67" s="35">
        <v>2005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17-21</v>
      </c>
      <c r="H67" s="39" t="s">
        <v>66</v>
      </c>
      <c r="I67" s="43"/>
      <c r="J67" s="4">
        <f>R67+S67+IF(OR(H67="Junior",H67="Senior"),0.0002,IF(OR(H67="L7",H67="L6"),0.0001,0))+IF(G67="17-21",MAX(AA67,AC67,AF67),AE67)*0.0000001</f>
        <v>77.580003599999998</v>
      </c>
      <c r="K67" s="3" t="str">
        <f>IF(G67="Not Age Eligible","",IF(G67="17-21",IF(MAX(T67,V67,Y67,AA67,AC67,AF67)&gt;=LOOKUP(G67,'Qualifying Scores'!$A$4:$A$7,'Qualifying Scores'!$C$4:$C$7),"P",""),IF(MAX(X67-U67,AE67-AB67)&gt;=LOOKUP(G67,'Qualifying Scores'!$A$4:$A$7,'Qualifying Scores'!$C$4:$C$7),"P","")))</f>
        <v/>
      </c>
      <c r="L67" s="3" t="str">
        <f>IF(G67="Not Age Eligible","",IF(G67="17-21",IF(MAX(U67,W67,Z67,AB67,AD67,AG67)&gt;=LOOKUP(G67,'Qualifying Scores'!$A$10:$A$13,'Qualifying Scores'!$C$10:$C$13),"P",""),IF(MAX(W67,AD67)&gt;=LOOKUP(G67,'Qualifying Scores'!$A$10:$A$13,'Qualifying Scores'!$C$10:$C$13),"P","")))</f>
        <v/>
      </c>
      <c r="M67" s="3" t="str">
        <f>IF(G67="Not Age Eligible","",IF(G67="17-21",IF(OR(AND(T67&gt;=LOOKUP(G67,'Qualifying Scores'!$A$4:$A$7,'Qualifying Scores'!$C$4:$C$7),U67&gt;=LOOKUP(G67,'Qualifying Scores'!$A$10:$A$13,'Qualifying Scores'!$C$10:$C$13)),AND(V67&gt;=LOOKUP(G67,'Qualifying Scores'!$A$4:$A$7,'Qualifying Scores'!$C$4:$C$7),W67&gt;=LOOKUP(G67,'Qualifying Scores'!$A$10:$A$13,'Qualifying Scores'!$C$10:$C$13)),AND(Y67&gt;=LOOKUP(G67,'Qualifying Scores'!$A$4:$A$7,'Qualifying Scores'!$C$4:$C$7),Z67&gt;=LOOKUP(G67,'Qualifying Scores'!$A$10:$A$13,'Qualifying Scores'!$C$10:$C$13)),AND(AA67&gt;=LOOKUP(G67,'Qualifying Scores'!$A$4:$A$7,'Qualifying Scores'!$C$4:$C$7),AB67&gt;=LOOKUP(G67,'Qualifying Scores'!$A$10:$A$13,'Qualifying Scores'!$C$10:$C$13)),AND(AC67&gt;=LOOKUP(G67,'Qualifying Scores'!$A$4:$A$7,'Qualifying Scores'!$C$4:$C$7),AD67&gt;=LOOKUP(G67,'Qualifying Scores'!$A$10:$A$13,'Qualifying Scores'!$C$10:$C$13)),AND(AF67&gt;=LOOKUP(G67,'Qualifying Scores'!$A$4:$A$7,'Qualifying Scores'!$C$4:$C$7),AG67&gt;=LOOKUP(G67,'Qualifying Scores'!$A$10:$A$13,'Qualifying Scores'!$C$10:$C$13))),"P",""),IF(OR(AND(X67-U67&gt;=LOOKUP(G67,'Qualifying Scores'!$A$4:$A$7,'Qualifying Scores'!$C$4:$C$7),W67&gt;=LOOKUP(G67,'Qualifying Scores'!$A$10:$A$13,'Qualifying Scores'!$C$10:$C$13)),AND(AE67-AB67&gt;=LOOKUP(G67,'Qualifying Scores'!$A$4:$A$7,'Qualifying Scores'!$C$4:$C$7),AD67&gt;=LOOKUP(G67,'Qualifying Scores'!$A$10:$A$13,'Qualifying Scores'!$C$10:$C$13))),"P","")))</f>
        <v/>
      </c>
      <c r="Q67" s="1" t="str">
        <f>IF(A67&lt;5,IF(_xlfn.MAXIFS(A:A,G:G,G67)&gt;3,5-A67,_xlfn.MAXIFS(A:A,G:G,G67)+1-A67),"")</f>
        <v/>
      </c>
      <c r="R67" s="4">
        <f>IF(G67="17-21",MAX(T67,V67,Y67,AA67,AC67,AF67),MAX(X67,AE67))</f>
        <v>41.05</v>
      </c>
      <c r="S67" s="4">
        <f>IF(G67="17-21",LARGE(CHOOSE({1,2,3,4,5,6},T67,V67,Y67,AA67,AC67,AF67),2),IF(R67=X67,MAX(Y67,AA67,AC67,AF67),IF(R67=AE67,MAX(AF67,T67,V67,Y67),0)))</f>
        <v>36.53</v>
      </c>
      <c r="T67" s="33">
        <v>36.53</v>
      </c>
      <c r="U67" s="40">
        <v>0</v>
      </c>
      <c r="V67" s="34">
        <v>41.05</v>
      </c>
      <c r="W67" s="40">
        <v>7.2</v>
      </c>
      <c r="X67" s="4">
        <f>IF(H67="Senior",MAX(T67,V67),T67+V67)</f>
        <v>77.58</v>
      </c>
      <c r="Y67" s="34"/>
      <c r="Z67" s="40"/>
      <c r="AA67" s="33">
        <v>36</v>
      </c>
      <c r="AB67" s="40">
        <v>0</v>
      </c>
      <c r="AC67" s="34">
        <v>21.13</v>
      </c>
      <c r="AD67" s="40">
        <v>4.8</v>
      </c>
      <c r="AE67" s="4">
        <f>IF(H67="Senior",MAX(AA67,AC67),AA67+AC67)</f>
        <v>57.129999999999995</v>
      </c>
      <c r="AF67" s="34"/>
      <c r="AG67" s="37"/>
    </row>
    <row r="68" spans="1:33" x14ac:dyDescent="0.2">
      <c r="A68" s="1" t="str" cm="1">
        <f t="array" ref="A68">IF(I68="","",IF(P68&lt;&gt;"",SUMPRODUCT((P$3:P$133&lt;&gt;"")*(G$3:G$133=G68)*(J$3:J$133&gt;J68)*(I$3:I$133="P"))+1,IF(O68&lt;&gt;"",SUMPRODUCT((O$3:O$133&lt;&gt;"")*(P$3:P$133="")*(G$3:G$133=G68)*(J$3:J$133&gt;J68)*(I$3:I$133="P"))+SUMPRODUCT((P$3:P$133&lt;&gt;"")*(G$3:G$133=G68)*(I$3:I$133="P"))+1,IF(N68&lt;&gt;"",SUMPRODUCT((N$3:N$133&lt;&gt;"")*(G$3:G$133=G68)*(J$3:J$133&gt;J68)*(I$3:I$133="P"))+1,IF(M68="P",SUMPRODUCT((O$3:O$133&lt;&gt;"")*(P$3:P$133="")*(G$3:G$133=G68)*(I$3:I$133="P"))+SUMPRODUCT((P$3:P$133&lt;&gt;"")*(G$3:G$133=G68)*(I$3:I$133="P"))+SUMPRODUCT((N$3:N$133&lt;&gt;"")*(G$3:G$133=G68)*(I$3:I$133="P"))+SUMPRODUCT((P$3:P$133="")*(O$3:O$133="")*(N$3:N$133="")*(M$3:M$133="P")*(G$3:G$133=G68)*(J$3:J$133&gt;J68)*(I$3:I$133="P"))+IF(H68="L5",SUMPRODUCT((P$3:P$133="")*(O$3:O$133="")*(N$3:N$133="")*(M$3:M$133="P")*(G$3:G$133=G68)*(J$3:J$133&lt;J68)*(H$3:H$133&lt;&gt;H68)*(I$3:I$133="P")),-1*SUMPRODUCT((P$3:P$133="")*(O$3:O$133="")*(N$3:N$133="")*(M$3:M$133="P")*(G$3:G$133=G68)*(J$3:J$133&gt;J68)*(H$3:H$133="L5")*(I$3:I$133="P")))+1,"")))))</f>
        <v/>
      </c>
      <c r="B68" s="1" t="str" cm="1">
        <f t="array" ref="B68">IF(P68&lt;&gt;"",SUMPRODUCT((P$3:P$133&lt;&gt;"")*(G$3:G$133=G68)*(J$3:J$133&gt;J68))+1,IF(O68&lt;&gt;"",SUMPRODUCT((O$3:O$133&lt;&gt;"")*(P$3:P$133="")*(G$3:G$133=G68)*(J$3:J$133&gt;J68))+SUMPRODUCT((P$3:P$133&lt;&gt;"")*(G$3:G$133=G68))+1,IF(N68&lt;&gt;"",SUMPRODUCT((N$3:N$133&lt;&gt;"")*(G$3:G$133=G68)*(J$3:J$133&gt;J68))+1,IF(M68="P",SUMPRODUCT((O$3:O$133&lt;&gt;"")*(P$3:P$133="")*(G$3:G$133=G68))+SUMPRODUCT((P$3:P$133&lt;&gt;"")*(G$3:G$133=G68))+SUMPRODUCT((N$3:N$133&lt;&gt;"")*(G$3:G$133=G68))+SUMPRODUCT((P$3:P$133="")*(O$3:O$133="")*(N$3:N$133="")*(M$3:M$133="P")*(G$3:G$133=G68)*(J$3:J$133&gt;J68))+IF(H68="L5",SUMPRODUCT((P$3:P$133="")*(O$3:O$133="")*(N$3:N$133="")*(M$3:M$133="P")*(G$3:G$133=G68)*(J$3:J$133&lt;J68)*(H$3:H$133&lt;&gt;H68)),-1*SUMPRODUCT((P$3:P$133="")*(O$3:O$133="")*(N$3:N$133="")*(M$3:M$133="P")*(G$3:G$133=G68)*(J$3:J$133&gt;J68)*(H$3:H$133="L5")))+1,""))))</f>
        <v/>
      </c>
      <c r="C68" s="36" t="s">
        <v>130</v>
      </c>
      <c r="D68" s="36" t="str">
        <f>IF(E68="","",VLOOKUP(E68,'Coaching Points'!A:B,2,0))</f>
        <v>BC</v>
      </c>
      <c r="E68" s="36" t="s">
        <v>57</v>
      </c>
      <c r="F68" s="35">
        <v>2006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17-21</v>
      </c>
      <c r="H68" s="39" t="s">
        <v>66</v>
      </c>
      <c r="I68" s="43"/>
      <c r="J68" s="4">
        <f>R68+S68+IF(OR(H68="Junior",H68="Senior"),0.0002,IF(OR(H68="L7",H68="L6"),0.0001,0))+IF(G68="17-21",MAX(AA68,AC68,AF68),AE68)*0.0000001</f>
        <v>76.580003742000002</v>
      </c>
      <c r="K68" s="3" t="str">
        <f>IF(G68="Not Age Eligible","",IF(G68="17-21",IF(MAX(T68,V68,Y68,AA68,AC68,AF68)&gt;=LOOKUP(G68,'Qualifying Scores'!$A$4:$A$7,'Qualifying Scores'!$C$4:$C$7),"P",""),IF(MAX(X68-U68,AE68-AB68)&gt;=LOOKUP(G68,'Qualifying Scores'!$A$4:$A$7,'Qualifying Scores'!$C$4:$C$7),"P","")))</f>
        <v/>
      </c>
      <c r="L68" s="3" t="str">
        <f>IF(G68="Not Age Eligible","",IF(G68="17-21",IF(MAX(U68,W68,Z68,AB68,AD68,AG68)&gt;=LOOKUP(G68,'Qualifying Scores'!$A$10:$A$13,'Qualifying Scores'!$C$10:$C$13),"P",""),IF(MAX(W68,AD68)&gt;=LOOKUP(G68,'Qualifying Scores'!$A$10:$A$13,'Qualifying Scores'!$C$10:$C$13),"P","")))</f>
        <v/>
      </c>
      <c r="M68" s="3" t="str">
        <f>IF(G68="Not Age Eligible","",IF(G68="17-21",IF(OR(AND(T68&gt;=LOOKUP(G68,'Qualifying Scores'!$A$4:$A$7,'Qualifying Scores'!$C$4:$C$7),U68&gt;=LOOKUP(G68,'Qualifying Scores'!$A$10:$A$13,'Qualifying Scores'!$C$10:$C$13)),AND(V68&gt;=LOOKUP(G68,'Qualifying Scores'!$A$4:$A$7,'Qualifying Scores'!$C$4:$C$7),W68&gt;=LOOKUP(G68,'Qualifying Scores'!$A$10:$A$13,'Qualifying Scores'!$C$10:$C$13)),AND(Y68&gt;=LOOKUP(G68,'Qualifying Scores'!$A$4:$A$7,'Qualifying Scores'!$C$4:$C$7),Z68&gt;=LOOKUP(G68,'Qualifying Scores'!$A$10:$A$13,'Qualifying Scores'!$C$10:$C$13)),AND(AA68&gt;=LOOKUP(G68,'Qualifying Scores'!$A$4:$A$7,'Qualifying Scores'!$C$4:$C$7),AB68&gt;=LOOKUP(G68,'Qualifying Scores'!$A$10:$A$13,'Qualifying Scores'!$C$10:$C$13)),AND(AC68&gt;=LOOKUP(G68,'Qualifying Scores'!$A$4:$A$7,'Qualifying Scores'!$C$4:$C$7),AD68&gt;=LOOKUP(G68,'Qualifying Scores'!$A$10:$A$13,'Qualifying Scores'!$C$10:$C$13)),AND(AF68&gt;=LOOKUP(G68,'Qualifying Scores'!$A$4:$A$7,'Qualifying Scores'!$C$4:$C$7),AG68&gt;=LOOKUP(G68,'Qualifying Scores'!$A$10:$A$13,'Qualifying Scores'!$C$10:$C$13))),"P",""),IF(OR(AND(X68-U68&gt;=LOOKUP(G68,'Qualifying Scores'!$A$4:$A$7,'Qualifying Scores'!$C$4:$C$7),W68&gt;=LOOKUP(G68,'Qualifying Scores'!$A$10:$A$13,'Qualifying Scores'!$C$10:$C$13)),AND(AE68-AB68&gt;=LOOKUP(G68,'Qualifying Scores'!$A$4:$A$7,'Qualifying Scores'!$C$4:$C$7),AD68&gt;=LOOKUP(G68,'Qualifying Scores'!$A$10:$A$13,'Qualifying Scores'!$C$10:$C$13))),"P","")))</f>
        <v/>
      </c>
      <c r="Q68" s="1" t="str">
        <f>IF(A68&lt;5,IF(_xlfn.MAXIFS(A:A,G:G,G68)&gt;3,5-A68,_xlfn.MAXIFS(A:A,G:G,G68)+1-A68),"")</f>
        <v/>
      </c>
      <c r="R68" s="4">
        <f>IF(G68="17-21",MAX(T68,V68,Y68,AA68,AC68,AF68),MAX(X68,AE68))</f>
        <v>39.159999999999997</v>
      </c>
      <c r="S68" s="4">
        <f>IF(G68="17-21",LARGE(CHOOSE({1,2,3,4,5,6},T68,V68,Y68,AA68,AC68,AF68),2),IF(R68=X68,MAX(Y68,AA68,AC68,AF68),IF(R68=AE68,MAX(AF68,T68,V68,Y68),0)))</f>
        <v>37.42</v>
      </c>
      <c r="T68" s="33">
        <v>39.159999999999997</v>
      </c>
      <c r="U68" s="40">
        <v>0</v>
      </c>
      <c r="V68" s="34">
        <v>9.48</v>
      </c>
      <c r="W68" s="40">
        <v>2.2999999999999998</v>
      </c>
      <c r="X68" s="4">
        <f>IF(H68="Senior",MAX(T68,V68),T68+V68)</f>
        <v>48.64</v>
      </c>
      <c r="Y68" s="34"/>
      <c r="Z68" s="40"/>
      <c r="AA68" s="33">
        <v>37.42</v>
      </c>
      <c r="AB68" s="40">
        <v>0</v>
      </c>
      <c r="AC68" s="34">
        <v>26.03</v>
      </c>
      <c r="AD68" s="40">
        <v>4.8</v>
      </c>
      <c r="AE68" s="4">
        <f>IF(H68="Senior",MAX(AA68,AC68),AA68+AC68)</f>
        <v>63.45</v>
      </c>
      <c r="AF68" s="34"/>
      <c r="AG68" s="37"/>
    </row>
    <row r="69" spans="1:33" x14ac:dyDescent="0.2">
      <c r="A69" s="1" t="str" cm="1">
        <f t="array" ref="A69">IF(I69="","",IF(P69&lt;&gt;"",SUMPRODUCT((P$3:P$133&lt;&gt;"")*(G$3:G$133=G69)*(J$3:J$133&gt;J69)*(I$3:I$133="P"))+1,IF(O69&lt;&gt;"",SUMPRODUCT((O$3:O$133&lt;&gt;"")*(P$3:P$133="")*(G$3:G$133=G69)*(J$3:J$133&gt;J69)*(I$3:I$133="P"))+SUMPRODUCT((P$3:P$133&lt;&gt;"")*(G$3:G$133=G69)*(I$3:I$133="P"))+1,IF(N69&lt;&gt;"",SUMPRODUCT((N$3:N$133&lt;&gt;"")*(G$3:G$133=G69)*(J$3:J$133&gt;J69)*(I$3:I$133="P"))+1,IF(M69="P",SUMPRODUCT((O$3:O$133&lt;&gt;"")*(P$3:P$133="")*(G$3:G$133=G69)*(I$3:I$133="P"))+SUMPRODUCT((P$3:P$133&lt;&gt;"")*(G$3:G$133=G69)*(I$3:I$133="P"))+SUMPRODUCT((N$3:N$133&lt;&gt;"")*(G$3:G$133=G69)*(I$3:I$133="P"))+SUMPRODUCT((P$3:P$133="")*(O$3:O$133="")*(N$3:N$133="")*(M$3:M$133="P")*(G$3:G$133=G69)*(J$3:J$133&gt;J69)*(I$3:I$133="P"))+IF(H69="L5",SUMPRODUCT((P$3:P$133="")*(O$3:O$133="")*(N$3:N$133="")*(M$3:M$133="P")*(G$3:G$133=G69)*(J$3:J$133&lt;J69)*(H$3:H$133&lt;&gt;H69)*(I$3:I$133="P")),-1*SUMPRODUCT((P$3:P$133="")*(O$3:O$133="")*(N$3:N$133="")*(M$3:M$133="P")*(G$3:G$133=G69)*(J$3:J$133&gt;J69)*(H$3:H$133="L5")*(I$3:I$133="P")))+1,"")))))</f>
        <v/>
      </c>
      <c r="B69" s="1" t="str" cm="1">
        <f t="array" ref="B69">IF(P69&lt;&gt;"",SUMPRODUCT((P$3:P$133&lt;&gt;"")*(G$3:G$133=G69)*(J$3:J$133&gt;J69))+1,IF(O69&lt;&gt;"",SUMPRODUCT((O$3:O$133&lt;&gt;"")*(P$3:P$133="")*(G$3:G$133=G69)*(J$3:J$133&gt;J69))+SUMPRODUCT((P$3:P$133&lt;&gt;"")*(G$3:G$133=G69))+1,IF(N69&lt;&gt;"",SUMPRODUCT((N$3:N$133&lt;&gt;"")*(G$3:G$133=G69)*(J$3:J$133&gt;J69))+1,IF(M69="P",SUMPRODUCT((O$3:O$133&lt;&gt;"")*(P$3:P$133="")*(G$3:G$133=G69))+SUMPRODUCT((P$3:P$133&lt;&gt;"")*(G$3:G$133=G69))+SUMPRODUCT((N$3:N$133&lt;&gt;"")*(G$3:G$133=G69))+SUMPRODUCT((P$3:P$133="")*(O$3:O$133="")*(N$3:N$133="")*(M$3:M$133="P")*(G$3:G$133=G69)*(J$3:J$133&gt;J69))+IF(H69="L5",SUMPRODUCT((P$3:P$133="")*(O$3:O$133="")*(N$3:N$133="")*(M$3:M$133="P")*(G$3:G$133=G69)*(J$3:J$133&lt;J69)*(H$3:H$133&lt;&gt;H69)),-1*SUMPRODUCT((P$3:P$133="")*(O$3:O$133="")*(N$3:N$133="")*(M$3:M$133="P")*(G$3:G$133=G69)*(J$3:J$133&gt;J69)*(H$3:H$133="L5")))+1,""))))</f>
        <v/>
      </c>
      <c r="C69" s="36" t="s">
        <v>158</v>
      </c>
      <c r="D69" s="36" t="str">
        <f>IF(E69="","",VLOOKUP(E69,'Coaching Points'!A:B,2,0))</f>
        <v>ON</v>
      </c>
      <c r="E69" s="36" t="s">
        <v>73</v>
      </c>
      <c r="F69" s="35">
        <v>2005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17-21</v>
      </c>
      <c r="H69" s="39" t="s">
        <v>68</v>
      </c>
      <c r="I69" s="43" t="s">
        <v>567</v>
      </c>
      <c r="J69" s="4">
        <f>R69+S69+IF(OR(H69="Junior",H69="Senior"),0.0002,IF(OR(H69="L7",H69="L6"),0.0001,0))+IF(G69="17-21",MAX(AA69,AC69,AF69),AE69)*0.0000001</f>
        <v>74.980099999999993</v>
      </c>
      <c r="K69" s="3" t="str">
        <f>IF(G69="Not Age Eligible","",IF(G69="17-21",IF(MAX(T69,V69,Y69,AA69,AC69,AF69)&gt;=LOOKUP(G69,'Qualifying Scores'!$A$4:$A$7,'Qualifying Scores'!$C$4:$C$7),"P",""),IF(MAX(X69-U69,AE69-AB69)&gt;=LOOKUP(G69,'Qualifying Scores'!$A$4:$A$7,'Qualifying Scores'!$C$4:$C$7),"P","")))</f>
        <v/>
      </c>
      <c r="L69" s="3" t="str">
        <f>IF(G69="Not Age Eligible","",IF(G69="17-21",IF(MAX(U69,W69,Z69,AB69,AD69,AG69)&gt;=LOOKUP(G69,'Qualifying Scores'!$A$10:$A$13,'Qualifying Scores'!$C$10:$C$13),"P",""),IF(MAX(W69,AD69)&gt;=LOOKUP(G69,'Qualifying Scores'!$A$10:$A$13,'Qualifying Scores'!$C$10:$C$13),"P","")))</f>
        <v/>
      </c>
      <c r="M69" s="3" t="str">
        <f>IF(G69="Not Age Eligible","",IF(G69="17-21",IF(OR(AND(T69&gt;=LOOKUP(G69,'Qualifying Scores'!$A$4:$A$7,'Qualifying Scores'!$C$4:$C$7),U69&gt;=LOOKUP(G69,'Qualifying Scores'!$A$10:$A$13,'Qualifying Scores'!$C$10:$C$13)),AND(V69&gt;=LOOKUP(G69,'Qualifying Scores'!$A$4:$A$7,'Qualifying Scores'!$C$4:$C$7),W69&gt;=LOOKUP(G69,'Qualifying Scores'!$A$10:$A$13,'Qualifying Scores'!$C$10:$C$13)),AND(Y69&gt;=LOOKUP(G69,'Qualifying Scores'!$A$4:$A$7,'Qualifying Scores'!$C$4:$C$7),Z69&gt;=LOOKUP(G69,'Qualifying Scores'!$A$10:$A$13,'Qualifying Scores'!$C$10:$C$13)),AND(AA69&gt;=LOOKUP(G69,'Qualifying Scores'!$A$4:$A$7,'Qualifying Scores'!$C$4:$C$7),AB69&gt;=LOOKUP(G69,'Qualifying Scores'!$A$10:$A$13,'Qualifying Scores'!$C$10:$C$13)),AND(AC69&gt;=LOOKUP(G69,'Qualifying Scores'!$A$4:$A$7,'Qualifying Scores'!$C$4:$C$7),AD69&gt;=LOOKUP(G69,'Qualifying Scores'!$A$10:$A$13,'Qualifying Scores'!$C$10:$C$13)),AND(AF69&gt;=LOOKUP(G69,'Qualifying Scores'!$A$4:$A$7,'Qualifying Scores'!$C$4:$C$7),AG69&gt;=LOOKUP(G69,'Qualifying Scores'!$A$10:$A$13,'Qualifying Scores'!$C$10:$C$13))),"P",""),IF(OR(AND(X69-U69&gt;=LOOKUP(G69,'Qualifying Scores'!$A$4:$A$7,'Qualifying Scores'!$C$4:$C$7),W69&gt;=LOOKUP(G69,'Qualifying Scores'!$A$10:$A$13,'Qualifying Scores'!$C$10:$C$13)),AND(AE69-AB69&gt;=LOOKUP(G69,'Qualifying Scores'!$A$4:$A$7,'Qualifying Scores'!$C$4:$C$7),AD69&gt;=LOOKUP(G69,'Qualifying Scores'!$A$10:$A$13,'Qualifying Scores'!$C$10:$C$13))),"P","")))</f>
        <v/>
      </c>
      <c r="Q69" s="1" t="str">
        <f>IF(A69&lt;5,IF(_xlfn.MAXIFS(A:A,G:G,G69)&gt;3,5-A69,_xlfn.MAXIFS(A:A,G:G,G69)+1-A69),"")</f>
        <v/>
      </c>
      <c r="R69" s="4">
        <f>IF(G69="17-21",MAX(T69,V69,Y69,AA69,AC69,AF69),MAX(X69,AE69))</f>
        <v>38.299999999999997</v>
      </c>
      <c r="S69" s="4">
        <f>IF(G69="17-21",LARGE(CHOOSE({1,2,3,4,5,6},T69,V69,Y69,AA69,AC69,AF69),2),IF(R69=X69,MAX(Y69,AA69,AC69,AF69),IF(R69=AE69,MAX(AF69,T69,V69,Y69),0)))</f>
        <v>36.68</v>
      </c>
      <c r="T69" s="33">
        <v>38.299999999999997</v>
      </c>
      <c r="U69" s="40">
        <v>7.8</v>
      </c>
      <c r="V69" s="34">
        <v>36.68</v>
      </c>
      <c r="W69" s="40">
        <v>6.6</v>
      </c>
      <c r="X69" s="4">
        <f>IF(H69="Senior",MAX(T69,V69),T69+V69)</f>
        <v>74.97999999999999</v>
      </c>
      <c r="Y69" s="34"/>
      <c r="Z69" s="40"/>
      <c r="AA69" s="33"/>
      <c r="AB69" s="40"/>
      <c r="AC69" s="34"/>
      <c r="AD69" s="40"/>
      <c r="AE69" s="4">
        <f>IF(H69="Senior",MAX(AA69,AC69),AA69+AC69)</f>
        <v>0</v>
      </c>
      <c r="AF69" s="34"/>
      <c r="AG69" s="37"/>
    </row>
    <row r="70" spans="1:33" x14ac:dyDescent="0.2">
      <c r="A70" s="1" t="str" cm="1">
        <f t="array" ref="A70">IF(I70="","",IF(P70&lt;&gt;"",SUMPRODUCT((P$3:P$133&lt;&gt;"")*(G$3:G$133=G70)*(J$3:J$133&gt;J70)*(I$3:I$133="P"))+1,IF(O70&lt;&gt;"",SUMPRODUCT((O$3:O$133&lt;&gt;"")*(P$3:P$133="")*(G$3:G$133=G70)*(J$3:J$133&gt;J70)*(I$3:I$133="P"))+SUMPRODUCT((P$3:P$133&lt;&gt;"")*(G$3:G$133=G70)*(I$3:I$133="P"))+1,IF(N70&lt;&gt;"",SUMPRODUCT((N$3:N$133&lt;&gt;"")*(G$3:G$133=G70)*(J$3:J$133&gt;J70)*(I$3:I$133="P"))+1,IF(M70="P",SUMPRODUCT((O$3:O$133&lt;&gt;"")*(P$3:P$133="")*(G$3:G$133=G70)*(I$3:I$133="P"))+SUMPRODUCT((P$3:P$133&lt;&gt;"")*(G$3:G$133=G70)*(I$3:I$133="P"))+SUMPRODUCT((N$3:N$133&lt;&gt;"")*(G$3:G$133=G70)*(I$3:I$133="P"))+SUMPRODUCT((P$3:P$133="")*(O$3:O$133="")*(N$3:N$133="")*(M$3:M$133="P")*(G$3:G$133=G70)*(J$3:J$133&gt;J70)*(I$3:I$133="P"))+IF(H70="L5",SUMPRODUCT((P$3:P$133="")*(O$3:O$133="")*(N$3:N$133="")*(M$3:M$133="P")*(G$3:G$133=G70)*(J$3:J$133&lt;J70)*(H$3:H$133&lt;&gt;H70)*(I$3:I$133="P")),-1*SUMPRODUCT((P$3:P$133="")*(O$3:O$133="")*(N$3:N$133="")*(M$3:M$133="P")*(G$3:G$133=G70)*(J$3:J$133&gt;J70)*(H$3:H$133="L5")*(I$3:I$133="P")))+1,"")))))</f>
        <v/>
      </c>
      <c r="B70" s="1" t="str" cm="1">
        <f t="array" ref="B70">IF(P70&lt;&gt;"",SUMPRODUCT((P$3:P$133&lt;&gt;"")*(G$3:G$133=G70)*(J$3:J$133&gt;J70))+1,IF(O70&lt;&gt;"",SUMPRODUCT((O$3:O$133&lt;&gt;"")*(P$3:P$133="")*(G$3:G$133=G70)*(J$3:J$133&gt;J70))+SUMPRODUCT((P$3:P$133&lt;&gt;"")*(G$3:G$133=G70))+1,IF(N70&lt;&gt;"",SUMPRODUCT((N$3:N$133&lt;&gt;"")*(G$3:G$133=G70)*(J$3:J$133&gt;J70))+1,IF(M70="P",SUMPRODUCT((O$3:O$133&lt;&gt;"")*(P$3:P$133="")*(G$3:G$133=G70))+SUMPRODUCT((P$3:P$133&lt;&gt;"")*(G$3:G$133=G70))+SUMPRODUCT((N$3:N$133&lt;&gt;"")*(G$3:G$133=G70))+SUMPRODUCT((P$3:P$133="")*(O$3:O$133="")*(N$3:N$133="")*(M$3:M$133="P")*(G$3:G$133=G70)*(J$3:J$133&gt;J70))+IF(H70="L5",SUMPRODUCT((P$3:P$133="")*(O$3:O$133="")*(N$3:N$133="")*(M$3:M$133="P")*(G$3:G$133=G70)*(J$3:J$133&lt;J70)*(H$3:H$133&lt;&gt;H70)),-1*SUMPRODUCT((P$3:P$133="")*(O$3:O$133="")*(N$3:N$133="")*(M$3:M$133="P")*(G$3:G$133=G70)*(J$3:J$133&gt;J70)*(H$3:H$133="L5")))+1,""))))</f>
        <v/>
      </c>
      <c r="C70" s="36" t="s">
        <v>147</v>
      </c>
      <c r="D70" s="36" t="str">
        <f>IF(E70="","",VLOOKUP(E70,'Coaching Points'!A:B,2,0))</f>
        <v>SK</v>
      </c>
      <c r="E70" s="36" t="s">
        <v>45</v>
      </c>
      <c r="F70" s="35">
        <v>2003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17-21</v>
      </c>
      <c r="H70" s="39" t="s">
        <v>68</v>
      </c>
      <c r="I70" s="43" t="s">
        <v>567</v>
      </c>
      <c r="J70" s="4">
        <f>R70+S70+IF(OR(H70="Junior",H70="Senior"),0.0002,IF(OR(H70="L7",H70="L6"),0.0001,0))+IF(G70="17-21",MAX(AA70,AC70,AF70),AE70)*0.0000001</f>
        <v>74.590103508000013</v>
      </c>
      <c r="K70" s="3" t="str">
        <f>IF(G70="Not Age Eligible","",IF(G70="17-21",IF(MAX(T70,V70,Y70,AA70,AC70,AF70)&gt;=LOOKUP(G70,'Qualifying Scores'!$A$4:$A$7,'Qualifying Scores'!$C$4:$C$7),"P",""),IF(MAX(X70-U70,AE70-AB70)&gt;=LOOKUP(G70,'Qualifying Scores'!$A$4:$A$7,'Qualifying Scores'!$C$4:$C$7),"P","")))</f>
        <v/>
      </c>
      <c r="L70" s="3" t="str">
        <f>IF(G70="Not Age Eligible","",IF(G70="17-21",IF(MAX(U70,W70,Z70,AB70,AD70,AG70)&gt;=LOOKUP(G70,'Qualifying Scores'!$A$10:$A$13,'Qualifying Scores'!$C$10:$C$13),"P",""),IF(MAX(W70,AD70)&gt;=LOOKUP(G70,'Qualifying Scores'!$A$10:$A$13,'Qualifying Scores'!$C$10:$C$13),"P","")))</f>
        <v/>
      </c>
      <c r="M70" s="3" t="str">
        <f>IF(G70="Not Age Eligible","",IF(G70="17-21",IF(OR(AND(T70&gt;=LOOKUP(G70,'Qualifying Scores'!$A$4:$A$7,'Qualifying Scores'!$C$4:$C$7),U70&gt;=LOOKUP(G70,'Qualifying Scores'!$A$10:$A$13,'Qualifying Scores'!$C$10:$C$13)),AND(V70&gt;=LOOKUP(G70,'Qualifying Scores'!$A$4:$A$7,'Qualifying Scores'!$C$4:$C$7),W70&gt;=LOOKUP(G70,'Qualifying Scores'!$A$10:$A$13,'Qualifying Scores'!$C$10:$C$13)),AND(Y70&gt;=LOOKUP(G70,'Qualifying Scores'!$A$4:$A$7,'Qualifying Scores'!$C$4:$C$7),Z70&gt;=LOOKUP(G70,'Qualifying Scores'!$A$10:$A$13,'Qualifying Scores'!$C$10:$C$13)),AND(AA70&gt;=LOOKUP(G70,'Qualifying Scores'!$A$4:$A$7,'Qualifying Scores'!$C$4:$C$7),AB70&gt;=LOOKUP(G70,'Qualifying Scores'!$A$10:$A$13,'Qualifying Scores'!$C$10:$C$13)),AND(AC70&gt;=LOOKUP(G70,'Qualifying Scores'!$A$4:$A$7,'Qualifying Scores'!$C$4:$C$7),AD70&gt;=LOOKUP(G70,'Qualifying Scores'!$A$10:$A$13,'Qualifying Scores'!$C$10:$C$13)),AND(AF70&gt;=LOOKUP(G70,'Qualifying Scores'!$A$4:$A$7,'Qualifying Scores'!$C$4:$C$7),AG70&gt;=LOOKUP(G70,'Qualifying Scores'!$A$10:$A$13,'Qualifying Scores'!$C$10:$C$13))),"P",""),IF(OR(AND(X70-U70&gt;=LOOKUP(G70,'Qualifying Scores'!$A$4:$A$7,'Qualifying Scores'!$C$4:$C$7),W70&gt;=LOOKUP(G70,'Qualifying Scores'!$A$10:$A$13,'Qualifying Scores'!$C$10:$C$13)),AND(AE70-AB70&gt;=LOOKUP(G70,'Qualifying Scores'!$A$4:$A$7,'Qualifying Scores'!$C$4:$C$7),AD70&gt;=LOOKUP(G70,'Qualifying Scores'!$A$10:$A$13,'Qualifying Scores'!$C$10:$C$13))),"P","")))</f>
        <v/>
      </c>
      <c r="Q70" s="1" t="str">
        <f>IF(A70&lt;5,IF(_xlfn.MAXIFS(A:A,G:G,G70)&gt;3,5-A70,_xlfn.MAXIFS(A:A,G:G,G70)+1-A70),"")</f>
        <v/>
      </c>
      <c r="R70" s="4">
        <f>IF(G70="17-21",MAX(T70,V70,Y70,AA70,AC70,AF70),MAX(X70,AE70))</f>
        <v>39.51</v>
      </c>
      <c r="S70" s="4">
        <f>IF(G70="17-21",LARGE(CHOOSE({1,2,3,4,5,6},T70,V70,Y70,AA70,AC70,AF70),2),IF(R70=X70,MAX(Y70,AA70,AC70,AF70),IF(R70=AE70,MAX(AF70,T70,V70,Y70),0)))</f>
        <v>35.08</v>
      </c>
      <c r="T70" s="33">
        <v>4.82</v>
      </c>
      <c r="U70" s="40">
        <v>1.5</v>
      </c>
      <c r="V70" s="34">
        <v>39.51</v>
      </c>
      <c r="W70" s="40">
        <v>8.5</v>
      </c>
      <c r="X70" s="4">
        <f>IF(H70="Senior",MAX(T70,V70),T70+V70)</f>
        <v>44.33</v>
      </c>
      <c r="Y70" s="34"/>
      <c r="Z70" s="40"/>
      <c r="AA70" s="33">
        <v>35.08</v>
      </c>
      <c r="AB70" s="40">
        <v>7.4</v>
      </c>
      <c r="AC70" s="34">
        <v>5.13</v>
      </c>
      <c r="AD70" s="40">
        <v>1.5</v>
      </c>
      <c r="AE70" s="4">
        <f>IF(H70="Senior",MAX(AA70,AC70),AA70+AC70)</f>
        <v>40.21</v>
      </c>
      <c r="AF70" s="34"/>
      <c r="AG70" s="37"/>
    </row>
    <row r="71" spans="1:33" x14ac:dyDescent="0.2">
      <c r="A71" s="1" t="str" cm="1">
        <f t="array" ref="A71">IF(I71="","",IF(P71&lt;&gt;"",SUMPRODUCT((P$3:P$133&lt;&gt;"")*(G$3:G$133=G71)*(J$3:J$133&gt;J71)*(I$3:I$133="P"))+1,IF(O71&lt;&gt;"",SUMPRODUCT((O$3:O$133&lt;&gt;"")*(P$3:P$133="")*(G$3:G$133=G71)*(J$3:J$133&gt;J71)*(I$3:I$133="P"))+SUMPRODUCT((P$3:P$133&lt;&gt;"")*(G$3:G$133=G71)*(I$3:I$133="P"))+1,IF(N71&lt;&gt;"",SUMPRODUCT((N$3:N$133&lt;&gt;"")*(G$3:G$133=G71)*(J$3:J$133&gt;J71)*(I$3:I$133="P"))+1,IF(M71="P",SUMPRODUCT((O$3:O$133&lt;&gt;"")*(P$3:P$133="")*(G$3:G$133=G71)*(I$3:I$133="P"))+SUMPRODUCT((P$3:P$133&lt;&gt;"")*(G$3:G$133=G71)*(I$3:I$133="P"))+SUMPRODUCT((N$3:N$133&lt;&gt;"")*(G$3:G$133=G71)*(I$3:I$133="P"))+SUMPRODUCT((P$3:P$133="")*(O$3:O$133="")*(N$3:N$133="")*(M$3:M$133="P")*(G$3:G$133=G71)*(J$3:J$133&gt;J71)*(I$3:I$133="P"))+IF(H71="L5",SUMPRODUCT((P$3:P$133="")*(O$3:O$133="")*(N$3:N$133="")*(M$3:M$133="P")*(G$3:G$133=G71)*(J$3:J$133&lt;J71)*(H$3:H$133&lt;&gt;H71)*(I$3:I$133="P")),-1*SUMPRODUCT((P$3:P$133="")*(O$3:O$133="")*(N$3:N$133="")*(M$3:M$133="P")*(G$3:G$133=G71)*(J$3:J$133&gt;J71)*(H$3:H$133="L5")*(I$3:I$133="P")))+1,"")))))</f>
        <v/>
      </c>
      <c r="B71" s="1" t="str" cm="1">
        <f t="array" ref="B71">IF(P71&lt;&gt;"",SUMPRODUCT((P$3:P$133&lt;&gt;"")*(G$3:G$133=G71)*(J$3:J$133&gt;J71))+1,IF(O71&lt;&gt;"",SUMPRODUCT((O$3:O$133&lt;&gt;"")*(P$3:P$133="")*(G$3:G$133=G71)*(J$3:J$133&gt;J71))+SUMPRODUCT((P$3:P$133&lt;&gt;"")*(G$3:G$133=G71))+1,IF(N71&lt;&gt;"",SUMPRODUCT((N$3:N$133&lt;&gt;"")*(G$3:G$133=G71)*(J$3:J$133&gt;J71))+1,IF(M71="P",SUMPRODUCT((O$3:O$133&lt;&gt;"")*(P$3:P$133="")*(G$3:G$133=G71))+SUMPRODUCT((P$3:P$133&lt;&gt;"")*(G$3:G$133=G71))+SUMPRODUCT((N$3:N$133&lt;&gt;"")*(G$3:G$133=G71))+SUMPRODUCT((P$3:P$133="")*(O$3:O$133="")*(N$3:N$133="")*(M$3:M$133="P")*(G$3:G$133=G71)*(J$3:J$133&gt;J71))+IF(H71="L5",SUMPRODUCT((P$3:P$133="")*(O$3:O$133="")*(N$3:N$133="")*(M$3:M$133="P")*(G$3:G$133=G71)*(J$3:J$133&lt;J71)*(H$3:H$133&lt;&gt;H71)),-1*SUMPRODUCT((P$3:P$133="")*(O$3:O$133="")*(N$3:N$133="")*(M$3:M$133="P")*(G$3:G$133=G71)*(J$3:J$133&gt;J71)*(H$3:H$133="L5")))+1,""))))</f>
        <v/>
      </c>
      <c r="C71" s="36" t="s">
        <v>295</v>
      </c>
      <c r="D71" s="36" t="str">
        <f>IF(E71="","",VLOOKUP(E71,'Coaching Points'!A:B,2,0))</f>
        <v>AB</v>
      </c>
      <c r="E71" s="36" t="s">
        <v>58</v>
      </c>
      <c r="F71" s="35">
        <v>2006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17-21</v>
      </c>
      <c r="H71" s="39" t="s">
        <v>68</v>
      </c>
      <c r="I71" s="43"/>
      <c r="J71" s="4">
        <f>R71+S71+IF(OR(H71="Junior",H71="Senior"),0.0002,IF(OR(H71="L7",H71="L6"),0.0001,0))+IF(G71="17-21",MAX(AA71,AC71,AF71),AE71)*0.0000001</f>
        <v>71.120102343000013</v>
      </c>
      <c r="K71" s="3" t="str">
        <f>IF(G71="Not Age Eligible","",IF(G71="17-21",IF(MAX(T71,V71,Y71,AA71,AC71,AF71)&gt;=LOOKUP(G71,'Qualifying Scores'!$A$4:$A$7,'Qualifying Scores'!$C$4:$C$7),"P",""),IF(MAX(X71-U71,AE71-AB71)&gt;=LOOKUP(G71,'Qualifying Scores'!$A$4:$A$7,'Qualifying Scores'!$C$4:$C$7),"P","")))</f>
        <v/>
      </c>
      <c r="L71" s="3" t="str">
        <f>IF(G71="Not Age Eligible","",IF(G71="17-21",IF(MAX(U71,W71,Z71,AB71,AD71,AG71)&gt;=LOOKUP(G71,'Qualifying Scores'!$A$10:$A$13,'Qualifying Scores'!$C$10:$C$13),"P",""),IF(MAX(W71,AD71)&gt;=LOOKUP(G71,'Qualifying Scores'!$A$10:$A$13,'Qualifying Scores'!$C$10:$C$13),"P","")))</f>
        <v/>
      </c>
      <c r="M71" s="3" t="str">
        <f>IF(G71="Not Age Eligible","",IF(G71="17-21",IF(OR(AND(T71&gt;=LOOKUP(G71,'Qualifying Scores'!$A$4:$A$7,'Qualifying Scores'!$C$4:$C$7),U71&gt;=LOOKUP(G71,'Qualifying Scores'!$A$10:$A$13,'Qualifying Scores'!$C$10:$C$13)),AND(V71&gt;=LOOKUP(G71,'Qualifying Scores'!$A$4:$A$7,'Qualifying Scores'!$C$4:$C$7),W71&gt;=LOOKUP(G71,'Qualifying Scores'!$A$10:$A$13,'Qualifying Scores'!$C$10:$C$13)),AND(Y71&gt;=LOOKUP(G71,'Qualifying Scores'!$A$4:$A$7,'Qualifying Scores'!$C$4:$C$7),Z71&gt;=LOOKUP(G71,'Qualifying Scores'!$A$10:$A$13,'Qualifying Scores'!$C$10:$C$13)),AND(AA71&gt;=LOOKUP(G71,'Qualifying Scores'!$A$4:$A$7,'Qualifying Scores'!$C$4:$C$7),AB71&gt;=LOOKUP(G71,'Qualifying Scores'!$A$10:$A$13,'Qualifying Scores'!$C$10:$C$13)),AND(AC71&gt;=LOOKUP(G71,'Qualifying Scores'!$A$4:$A$7,'Qualifying Scores'!$C$4:$C$7),AD71&gt;=LOOKUP(G71,'Qualifying Scores'!$A$10:$A$13,'Qualifying Scores'!$C$10:$C$13)),AND(AF71&gt;=LOOKUP(G71,'Qualifying Scores'!$A$4:$A$7,'Qualifying Scores'!$C$4:$C$7),AG71&gt;=LOOKUP(G71,'Qualifying Scores'!$A$10:$A$13,'Qualifying Scores'!$C$10:$C$13))),"P",""),IF(OR(AND(X71-U71&gt;=LOOKUP(G71,'Qualifying Scores'!$A$4:$A$7,'Qualifying Scores'!$C$4:$C$7),W71&gt;=LOOKUP(G71,'Qualifying Scores'!$A$10:$A$13,'Qualifying Scores'!$C$10:$C$13)),AND(AE71-AB71&gt;=LOOKUP(G71,'Qualifying Scores'!$A$4:$A$7,'Qualifying Scores'!$C$4:$C$7),AD71&gt;=LOOKUP(G71,'Qualifying Scores'!$A$10:$A$13,'Qualifying Scores'!$C$10:$C$13))),"P","")))</f>
        <v/>
      </c>
      <c r="Q71" s="1" t="str">
        <f>IF(A71&lt;5,IF(_xlfn.MAXIFS(A:A,G:G,G71)&gt;3,5-A71,_xlfn.MAXIFS(A:A,G:G,G71)+1-A71),"")</f>
        <v/>
      </c>
      <c r="R71" s="4">
        <f>IF(G71="17-21",MAX(T71,V71,Y71,AA71,AC71,AF71),MAX(X71,AE71))</f>
        <v>38.15</v>
      </c>
      <c r="S71" s="4">
        <f>IF(G71="17-21",LARGE(CHOOSE({1,2,3,4,5,6},T71,V71,Y71,AA71,AC71,AF71),2),IF(R71=X71,MAX(Y71,AA71,AC71,AF71),IF(R71=AE71,MAX(AF71,T71,V71,Y71),0)))</f>
        <v>32.97</v>
      </c>
      <c r="T71" s="33">
        <v>38.15</v>
      </c>
      <c r="U71" s="40">
        <v>0</v>
      </c>
      <c r="V71" s="34">
        <v>32.97</v>
      </c>
      <c r="W71" s="40">
        <v>6.4</v>
      </c>
      <c r="X71" s="4">
        <f>IF(H71="Senior",MAX(T71,V71),T71+V71)</f>
        <v>71.12</v>
      </c>
      <c r="Y71" s="34"/>
      <c r="Z71" s="40"/>
      <c r="AA71" s="33">
        <v>21.86</v>
      </c>
      <c r="AB71" s="40">
        <v>4.7</v>
      </c>
      <c r="AC71" s="34">
        <v>23.43</v>
      </c>
      <c r="AD71" s="40">
        <v>5.3</v>
      </c>
      <c r="AE71" s="4">
        <f>IF(H71="Senior",MAX(AA71,AC71),AA71+AC71)</f>
        <v>45.29</v>
      </c>
      <c r="AF71" s="34"/>
      <c r="AG71" s="37"/>
    </row>
    <row r="72" spans="1:33" x14ac:dyDescent="0.2">
      <c r="A72" s="1" t="str" cm="1">
        <f t="array" ref="A72">IF(I72="","",IF(P72&lt;&gt;"",SUMPRODUCT((P$3:P$133&lt;&gt;"")*(G$3:G$133=G72)*(J$3:J$133&gt;J72)*(I$3:I$133="P"))+1,IF(O72&lt;&gt;"",SUMPRODUCT((O$3:O$133&lt;&gt;"")*(P$3:P$133="")*(G$3:G$133=G72)*(J$3:J$133&gt;J72)*(I$3:I$133="P"))+SUMPRODUCT((P$3:P$133&lt;&gt;"")*(G$3:G$133=G72)*(I$3:I$133="P"))+1,IF(N72&lt;&gt;"",SUMPRODUCT((N$3:N$133&lt;&gt;"")*(G$3:G$133=G72)*(J$3:J$133&gt;J72)*(I$3:I$133="P"))+1,IF(M72="P",SUMPRODUCT((O$3:O$133&lt;&gt;"")*(P$3:P$133="")*(G$3:G$133=G72)*(I$3:I$133="P"))+SUMPRODUCT((P$3:P$133&lt;&gt;"")*(G$3:G$133=G72)*(I$3:I$133="P"))+SUMPRODUCT((N$3:N$133&lt;&gt;"")*(G$3:G$133=G72)*(I$3:I$133="P"))+SUMPRODUCT((P$3:P$133="")*(O$3:O$133="")*(N$3:N$133="")*(M$3:M$133="P")*(G$3:G$133=G72)*(J$3:J$133&gt;J72)*(I$3:I$133="P"))+IF(H72="L5",SUMPRODUCT((P$3:P$133="")*(O$3:O$133="")*(N$3:N$133="")*(M$3:M$133="P")*(G$3:G$133=G72)*(J$3:J$133&lt;J72)*(H$3:H$133&lt;&gt;H72)*(I$3:I$133="P")),-1*SUMPRODUCT((P$3:P$133="")*(O$3:O$133="")*(N$3:N$133="")*(M$3:M$133="P")*(G$3:G$133=G72)*(J$3:J$133&gt;J72)*(H$3:H$133="L5")*(I$3:I$133="P")))+1,"")))))</f>
        <v/>
      </c>
      <c r="B72" s="1" t="str" cm="1">
        <f t="array" ref="B72">IF(P72&lt;&gt;"",SUMPRODUCT((P$3:P$133&lt;&gt;"")*(G$3:G$133=G72)*(J$3:J$133&gt;J72))+1,IF(O72&lt;&gt;"",SUMPRODUCT((O$3:O$133&lt;&gt;"")*(P$3:P$133="")*(G$3:G$133=G72)*(J$3:J$133&gt;J72))+SUMPRODUCT((P$3:P$133&lt;&gt;"")*(G$3:G$133=G72))+1,IF(N72&lt;&gt;"",SUMPRODUCT((N$3:N$133&lt;&gt;"")*(G$3:G$133=G72)*(J$3:J$133&gt;J72))+1,IF(M72="P",SUMPRODUCT((O$3:O$133&lt;&gt;"")*(P$3:P$133="")*(G$3:G$133=G72))+SUMPRODUCT((P$3:P$133&lt;&gt;"")*(G$3:G$133=G72))+SUMPRODUCT((N$3:N$133&lt;&gt;"")*(G$3:G$133=G72))+SUMPRODUCT((P$3:P$133="")*(O$3:O$133="")*(N$3:N$133="")*(M$3:M$133="P")*(G$3:G$133=G72)*(J$3:J$133&gt;J72))+IF(H72="L5",SUMPRODUCT((P$3:P$133="")*(O$3:O$133="")*(N$3:N$133="")*(M$3:M$133="P")*(G$3:G$133=G72)*(J$3:J$133&lt;J72)*(H$3:H$133&lt;&gt;H72)),-1*SUMPRODUCT((P$3:P$133="")*(O$3:O$133="")*(N$3:N$133="")*(M$3:M$133="P")*(G$3:G$133=G72)*(J$3:J$133&gt;J72)*(H$3:H$133="L5")))+1,""))))</f>
        <v/>
      </c>
      <c r="C72" s="36" t="s">
        <v>456</v>
      </c>
      <c r="D72" s="36" t="str">
        <f>IF(E72="","",VLOOKUP(E72,'Coaching Points'!A:B,2,0))</f>
        <v>BC</v>
      </c>
      <c r="E72" s="36" t="s">
        <v>37</v>
      </c>
      <c r="F72" s="35">
        <v>2006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17-21</v>
      </c>
      <c r="H72" s="39" t="s">
        <v>66</v>
      </c>
      <c r="I72" s="43"/>
      <c r="J72" s="4">
        <f>R72+S72+IF(OR(H72="Junior",H72="Senior"),0.0002,IF(OR(H72="L7",H72="L6"),0.0001,0))+IF(G72="17-21",MAX(AA72,AC72,AF72),AE72)*0.0000001</f>
        <v>68.270004157999992</v>
      </c>
      <c r="K72" s="3" t="str">
        <f>IF(G72="Not Age Eligible","",IF(G72="17-21",IF(MAX(T72,V72,Y72,AA72,AC72,AF72)&gt;=LOOKUP(G72,'Qualifying Scores'!$A$4:$A$7,'Qualifying Scores'!$C$4:$C$7),"P",""),IF(MAX(X72-U72,AE72-AB72)&gt;=LOOKUP(G72,'Qualifying Scores'!$A$4:$A$7,'Qualifying Scores'!$C$4:$C$7),"P","")))</f>
        <v/>
      </c>
      <c r="L72" s="3" t="str">
        <f>IF(G72="Not Age Eligible","",IF(G72="17-21",IF(MAX(U72,W72,Z72,AB72,AD72,AG72)&gt;=LOOKUP(G72,'Qualifying Scores'!$A$10:$A$13,'Qualifying Scores'!$C$10:$C$13),"P",""),IF(MAX(W72,AD72)&gt;=LOOKUP(G72,'Qualifying Scores'!$A$10:$A$13,'Qualifying Scores'!$C$10:$C$13),"P","")))</f>
        <v/>
      </c>
      <c r="M72" s="3" t="str">
        <f>IF(G72="Not Age Eligible","",IF(G72="17-21",IF(OR(AND(T72&gt;=LOOKUP(G72,'Qualifying Scores'!$A$4:$A$7,'Qualifying Scores'!$C$4:$C$7),U72&gt;=LOOKUP(G72,'Qualifying Scores'!$A$10:$A$13,'Qualifying Scores'!$C$10:$C$13)),AND(V72&gt;=LOOKUP(G72,'Qualifying Scores'!$A$4:$A$7,'Qualifying Scores'!$C$4:$C$7),W72&gt;=LOOKUP(G72,'Qualifying Scores'!$A$10:$A$13,'Qualifying Scores'!$C$10:$C$13)),AND(Y72&gt;=LOOKUP(G72,'Qualifying Scores'!$A$4:$A$7,'Qualifying Scores'!$C$4:$C$7),Z72&gt;=LOOKUP(G72,'Qualifying Scores'!$A$10:$A$13,'Qualifying Scores'!$C$10:$C$13)),AND(AA72&gt;=LOOKUP(G72,'Qualifying Scores'!$A$4:$A$7,'Qualifying Scores'!$C$4:$C$7),AB72&gt;=LOOKUP(G72,'Qualifying Scores'!$A$10:$A$13,'Qualifying Scores'!$C$10:$C$13)),AND(AC72&gt;=LOOKUP(G72,'Qualifying Scores'!$A$4:$A$7,'Qualifying Scores'!$C$4:$C$7),AD72&gt;=LOOKUP(G72,'Qualifying Scores'!$A$10:$A$13,'Qualifying Scores'!$C$10:$C$13)),AND(AF72&gt;=LOOKUP(G72,'Qualifying Scores'!$A$4:$A$7,'Qualifying Scores'!$C$4:$C$7),AG72&gt;=LOOKUP(G72,'Qualifying Scores'!$A$10:$A$13,'Qualifying Scores'!$C$10:$C$13))),"P",""),IF(OR(AND(X72-U72&gt;=LOOKUP(G72,'Qualifying Scores'!$A$4:$A$7,'Qualifying Scores'!$C$4:$C$7),W72&gt;=LOOKUP(G72,'Qualifying Scores'!$A$10:$A$13,'Qualifying Scores'!$C$10:$C$13)),AND(AE72-AB72&gt;=LOOKUP(G72,'Qualifying Scores'!$A$4:$A$7,'Qualifying Scores'!$C$4:$C$7),AD72&gt;=LOOKUP(G72,'Qualifying Scores'!$A$10:$A$13,'Qualifying Scores'!$C$10:$C$13))),"P","")))</f>
        <v/>
      </c>
      <c r="Q72" s="1" t="str">
        <f>IF(A72&lt;5,IF(_xlfn.MAXIFS(A:A,G:G,G72)&gt;3,5-A72,_xlfn.MAXIFS(A:A,G:G,G72)+1-A72),"")</f>
        <v/>
      </c>
      <c r="R72" s="4">
        <f>IF(G72="17-21",MAX(T72,V72,Y72,AA72,AC72,AF72),MAX(X72,AE72))</f>
        <v>41.58</v>
      </c>
      <c r="S72" s="4">
        <f>IF(G72="17-21",LARGE(CHOOSE({1,2,3,4,5,6},T72,V72,Y72,AA72,AC72,AF72),2),IF(R72=X72,MAX(Y72,AA72,AC72,AF72),IF(R72=AE72,MAX(AF72,T72,V72,Y72),0)))</f>
        <v>26.69</v>
      </c>
      <c r="T72" s="33"/>
      <c r="U72" s="40"/>
      <c r="V72" s="34"/>
      <c r="W72" s="40"/>
      <c r="X72" s="4">
        <f>IF(H72="Senior",MAX(T72,V72),T72+V72)</f>
        <v>0</v>
      </c>
      <c r="Y72" s="34"/>
      <c r="Z72" s="40"/>
      <c r="AA72" s="33">
        <v>26.69</v>
      </c>
      <c r="AB72" s="40">
        <v>0</v>
      </c>
      <c r="AC72" s="34">
        <v>41.58</v>
      </c>
      <c r="AD72" s="40">
        <v>7</v>
      </c>
      <c r="AE72" s="4">
        <f>IF(H72="Senior",MAX(AA72,AC72),AA72+AC72)</f>
        <v>68.27</v>
      </c>
      <c r="AF72" s="34"/>
      <c r="AG72" s="37"/>
    </row>
    <row r="73" spans="1:33" x14ac:dyDescent="0.2">
      <c r="A73" s="1" t="str" cm="1">
        <f t="array" ref="A73">IF(I73="","",IF(P73&lt;&gt;"",SUMPRODUCT((P$3:P$133&lt;&gt;"")*(G$3:G$133=G73)*(J$3:J$133&gt;J73)*(I$3:I$133="P"))+1,IF(O73&lt;&gt;"",SUMPRODUCT((O$3:O$133&lt;&gt;"")*(P$3:P$133="")*(G$3:G$133=G73)*(J$3:J$133&gt;J73)*(I$3:I$133="P"))+SUMPRODUCT((P$3:P$133&lt;&gt;"")*(G$3:G$133=G73)*(I$3:I$133="P"))+1,IF(N73&lt;&gt;"",SUMPRODUCT((N$3:N$133&lt;&gt;"")*(G$3:G$133=G73)*(J$3:J$133&gt;J73)*(I$3:I$133="P"))+1,IF(M73="P",SUMPRODUCT((O$3:O$133&lt;&gt;"")*(P$3:P$133="")*(G$3:G$133=G73)*(I$3:I$133="P"))+SUMPRODUCT((P$3:P$133&lt;&gt;"")*(G$3:G$133=G73)*(I$3:I$133="P"))+SUMPRODUCT((N$3:N$133&lt;&gt;"")*(G$3:G$133=G73)*(I$3:I$133="P"))+SUMPRODUCT((P$3:P$133="")*(O$3:O$133="")*(N$3:N$133="")*(M$3:M$133="P")*(G$3:G$133=G73)*(J$3:J$133&gt;J73)*(I$3:I$133="P"))+IF(H73="L5",SUMPRODUCT((P$3:P$133="")*(O$3:O$133="")*(N$3:N$133="")*(M$3:M$133="P")*(G$3:G$133=G73)*(J$3:J$133&lt;J73)*(H$3:H$133&lt;&gt;H73)*(I$3:I$133="P")),-1*SUMPRODUCT((P$3:P$133="")*(O$3:O$133="")*(N$3:N$133="")*(M$3:M$133="P")*(G$3:G$133=G73)*(J$3:J$133&gt;J73)*(H$3:H$133="L5")*(I$3:I$133="P")))+1,"")))))</f>
        <v/>
      </c>
      <c r="B73" s="1" t="str" cm="1">
        <f t="array" ref="B73">IF(P73&lt;&gt;"",SUMPRODUCT((P$3:P$133&lt;&gt;"")*(G$3:G$133=G73)*(J$3:J$133&gt;J73))+1,IF(O73&lt;&gt;"",SUMPRODUCT((O$3:O$133&lt;&gt;"")*(P$3:P$133="")*(G$3:G$133=G73)*(J$3:J$133&gt;J73))+SUMPRODUCT((P$3:P$133&lt;&gt;"")*(G$3:G$133=G73))+1,IF(N73&lt;&gt;"",SUMPRODUCT((N$3:N$133&lt;&gt;"")*(G$3:G$133=G73)*(J$3:J$133&gt;J73))+1,IF(M73="P",SUMPRODUCT((O$3:O$133&lt;&gt;"")*(P$3:P$133="")*(G$3:G$133=G73))+SUMPRODUCT((P$3:P$133&lt;&gt;"")*(G$3:G$133=G73))+SUMPRODUCT((N$3:N$133&lt;&gt;"")*(G$3:G$133=G73))+SUMPRODUCT((P$3:P$133="")*(O$3:O$133="")*(N$3:N$133="")*(M$3:M$133="P")*(G$3:G$133=G73)*(J$3:J$133&gt;J73))+IF(H73="L5",SUMPRODUCT((P$3:P$133="")*(O$3:O$133="")*(N$3:N$133="")*(M$3:M$133="P")*(G$3:G$133=G73)*(J$3:J$133&lt;J73)*(H$3:H$133&lt;&gt;H73)),-1*SUMPRODUCT((P$3:P$133="")*(O$3:O$133="")*(N$3:N$133="")*(M$3:M$133="P")*(G$3:G$133=G73)*(J$3:J$133&gt;J73)*(H$3:H$133="L5")))+1,""))))</f>
        <v/>
      </c>
      <c r="C73" s="36" t="s">
        <v>249</v>
      </c>
      <c r="D73" s="36" t="str">
        <f>IF(E73="","",VLOOKUP(E73,'Coaching Points'!A:B,2,0))</f>
        <v>ON</v>
      </c>
      <c r="E73" s="36" t="s">
        <v>100</v>
      </c>
      <c r="F73" s="35">
        <v>2002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17-21</v>
      </c>
      <c r="H73" s="39" t="s">
        <v>68</v>
      </c>
      <c r="I73" s="43"/>
      <c r="J73" s="4">
        <f>R73+S73+IF(OR(H73="Junior",H73="Senior"),0.0002,IF(OR(H73="L7",H73="L6"),0.0001,0))+IF(G73="17-21",MAX(AA73,AC73,AF73),AE73)*0.0000001</f>
        <v>63.670100000000005</v>
      </c>
      <c r="K73" s="3" t="str">
        <f>IF(G73="Not Age Eligible","",IF(G73="17-21",IF(MAX(T73,V73,Y73,AA73,AC73,AF73)&gt;=LOOKUP(G73,'Qualifying Scores'!$A$4:$A$7,'Qualifying Scores'!$C$4:$C$7),"P",""),IF(MAX(X73-U73,AE73-AB73)&gt;=LOOKUP(G73,'Qualifying Scores'!$A$4:$A$7,'Qualifying Scores'!$C$4:$C$7),"P","")))</f>
        <v/>
      </c>
      <c r="L73" s="3" t="str">
        <f>IF(G73="Not Age Eligible","",IF(G73="17-21",IF(MAX(U73,W73,Z73,AB73,AD73,AG73)&gt;=LOOKUP(G73,'Qualifying Scores'!$A$10:$A$13,'Qualifying Scores'!$C$10:$C$13),"P",""),IF(MAX(W73,AD73)&gt;=LOOKUP(G73,'Qualifying Scores'!$A$10:$A$13,'Qualifying Scores'!$C$10:$C$13),"P","")))</f>
        <v/>
      </c>
      <c r="M73" s="3" t="str">
        <f>IF(G73="Not Age Eligible","",IF(G73="17-21",IF(OR(AND(T73&gt;=LOOKUP(G73,'Qualifying Scores'!$A$4:$A$7,'Qualifying Scores'!$C$4:$C$7),U73&gt;=LOOKUP(G73,'Qualifying Scores'!$A$10:$A$13,'Qualifying Scores'!$C$10:$C$13)),AND(V73&gt;=LOOKUP(G73,'Qualifying Scores'!$A$4:$A$7,'Qualifying Scores'!$C$4:$C$7),W73&gt;=LOOKUP(G73,'Qualifying Scores'!$A$10:$A$13,'Qualifying Scores'!$C$10:$C$13)),AND(Y73&gt;=LOOKUP(G73,'Qualifying Scores'!$A$4:$A$7,'Qualifying Scores'!$C$4:$C$7),Z73&gt;=LOOKUP(G73,'Qualifying Scores'!$A$10:$A$13,'Qualifying Scores'!$C$10:$C$13)),AND(AA73&gt;=LOOKUP(G73,'Qualifying Scores'!$A$4:$A$7,'Qualifying Scores'!$C$4:$C$7),AB73&gt;=LOOKUP(G73,'Qualifying Scores'!$A$10:$A$13,'Qualifying Scores'!$C$10:$C$13)),AND(AC73&gt;=LOOKUP(G73,'Qualifying Scores'!$A$4:$A$7,'Qualifying Scores'!$C$4:$C$7),AD73&gt;=LOOKUP(G73,'Qualifying Scores'!$A$10:$A$13,'Qualifying Scores'!$C$10:$C$13)),AND(AF73&gt;=LOOKUP(G73,'Qualifying Scores'!$A$4:$A$7,'Qualifying Scores'!$C$4:$C$7),AG73&gt;=LOOKUP(G73,'Qualifying Scores'!$A$10:$A$13,'Qualifying Scores'!$C$10:$C$13))),"P",""),IF(OR(AND(X73-U73&gt;=LOOKUP(G73,'Qualifying Scores'!$A$4:$A$7,'Qualifying Scores'!$C$4:$C$7),W73&gt;=LOOKUP(G73,'Qualifying Scores'!$A$10:$A$13,'Qualifying Scores'!$C$10:$C$13)),AND(AE73-AB73&gt;=LOOKUP(G73,'Qualifying Scores'!$A$4:$A$7,'Qualifying Scores'!$C$4:$C$7),AD73&gt;=LOOKUP(G73,'Qualifying Scores'!$A$10:$A$13,'Qualifying Scores'!$C$10:$C$13))),"P","")))</f>
        <v/>
      </c>
      <c r="Q73" s="1" t="str">
        <f>IF(A73&lt;5,IF(_xlfn.MAXIFS(A:A,G:G,G73)&gt;3,5-A73,_xlfn.MAXIFS(A:A,G:G,G73)+1-A73),"")</f>
        <v/>
      </c>
      <c r="R73" s="4">
        <f>IF(G73="17-21",MAX(T73,V73,Y73,AA73,AC73,AF73),MAX(X73,AE73))</f>
        <v>45.34</v>
      </c>
      <c r="S73" s="4">
        <f>IF(G73="17-21",LARGE(CHOOSE({1,2,3,4,5,6},T73,V73,Y73,AA73,AC73,AF73),2),IF(R73=X73,MAX(Y73,AA73,AC73,AF73),IF(R73=AE73,MAX(AF73,T73,V73,Y73),0)))</f>
        <v>18.329999999999998</v>
      </c>
      <c r="T73" s="33">
        <v>45.34</v>
      </c>
      <c r="U73" s="40">
        <v>9.1999999999999993</v>
      </c>
      <c r="V73" s="34">
        <v>5.24</v>
      </c>
      <c r="W73" s="40">
        <v>1.5</v>
      </c>
      <c r="X73" s="4">
        <f>IF(H73="Senior",MAX(T73,V73),T73+V73)</f>
        <v>50.580000000000005</v>
      </c>
      <c r="Y73" s="34">
        <v>18.329999999999998</v>
      </c>
      <c r="Z73" s="40">
        <v>4.3</v>
      </c>
      <c r="AA73" s="33"/>
      <c r="AB73" s="40"/>
      <c r="AC73" s="34"/>
      <c r="AD73" s="40"/>
      <c r="AE73" s="4">
        <f>IF(H73="Senior",MAX(AA73,AC73),AA73+AC73)</f>
        <v>0</v>
      </c>
      <c r="AF73" s="34"/>
      <c r="AG73" s="37"/>
    </row>
    <row r="74" spans="1:33" x14ac:dyDescent="0.2">
      <c r="A74" s="1" t="str" cm="1">
        <f t="array" ref="A74">IF(I74="","",IF(P74&lt;&gt;"",SUMPRODUCT((P$3:P$133&lt;&gt;"")*(G$3:G$133=G74)*(J$3:J$133&gt;J74)*(I$3:I$133="P"))+1,IF(O74&lt;&gt;"",SUMPRODUCT((O$3:O$133&lt;&gt;"")*(P$3:P$133="")*(G$3:G$133=G74)*(J$3:J$133&gt;J74)*(I$3:I$133="P"))+SUMPRODUCT((P$3:P$133&lt;&gt;"")*(G$3:G$133=G74)*(I$3:I$133="P"))+1,IF(N74&lt;&gt;"",SUMPRODUCT((N$3:N$133&lt;&gt;"")*(G$3:G$133=G74)*(J$3:J$133&gt;J74)*(I$3:I$133="P"))+1,IF(M74="P",SUMPRODUCT((O$3:O$133&lt;&gt;"")*(P$3:P$133="")*(G$3:G$133=G74)*(I$3:I$133="P"))+SUMPRODUCT((P$3:P$133&lt;&gt;"")*(G$3:G$133=G74)*(I$3:I$133="P"))+SUMPRODUCT((N$3:N$133&lt;&gt;"")*(G$3:G$133=G74)*(I$3:I$133="P"))+SUMPRODUCT((P$3:P$133="")*(O$3:O$133="")*(N$3:N$133="")*(M$3:M$133="P")*(G$3:G$133=G74)*(J$3:J$133&gt;J74)*(I$3:I$133="P"))+IF(H74="L5",SUMPRODUCT((P$3:P$133="")*(O$3:O$133="")*(N$3:N$133="")*(M$3:M$133="P")*(G$3:G$133=G74)*(J$3:J$133&lt;J74)*(H$3:H$133&lt;&gt;H74)*(I$3:I$133="P")),-1*SUMPRODUCT((P$3:P$133="")*(O$3:O$133="")*(N$3:N$133="")*(M$3:M$133="P")*(G$3:G$133=G74)*(J$3:J$133&gt;J74)*(H$3:H$133="L5")*(I$3:I$133="P")))+1,"")))))</f>
        <v/>
      </c>
      <c r="B74" s="1" t="str" cm="1">
        <f t="array" ref="B74">IF(P74&lt;&gt;"",SUMPRODUCT((P$3:P$133&lt;&gt;"")*(G$3:G$133=G74)*(J$3:J$133&gt;J74))+1,IF(O74&lt;&gt;"",SUMPRODUCT((O$3:O$133&lt;&gt;"")*(P$3:P$133="")*(G$3:G$133=G74)*(J$3:J$133&gt;J74))+SUMPRODUCT((P$3:P$133&lt;&gt;"")*(G$3:G$133=G74))+1,IF(N74&lt;&gt;"",SUMPRODUCT((N$3:N$133&lt;&gt;"")*(G$3:G$133=G74)*(J$3:J$133&gt;J74))+1,IF(M74="P",SUMPRODUCT((O$3:O$133&lt;&gt;"")*(P$3:P$133="")*(G$3:G$133=G74))+SUMPRODUCT((P$3:P$133&lt;&gt;"")*(G$3:G$133=G74))+SUMPRODUCT((N$3:N$133&lt;&gt;"")*(G$3:G$133=G74))+SUMPRODUCT((P$3:P$133="")*(O$3:O$133="")*(N$3:N$133="")*(M$3:M$133="P")*(G$3:G$133=G74)*(J$3:J$133&gt;J74))+IF(H74="L5",SUMPRODUCT((P$3:P$133="")*(O$3:O$133="")*(N$3:N$133="")*(M$3:M$133="P")*(G$3:G$133=G74)*(J$3:J$133&lt;J74)*(H$3:H$133&lt;&gt;H74)),-1*SUMPRODUCT((P$3:P$133="")*(O$3:O$133="")*(N$3:N$133="")*(M$3:M$133="P")*(G$3:G$133=G74)*(J$3:J$133&gt;J74)*(H$3:H$133="L5")))+1,""))))</f>
        <v/>
      </c>
      <c r="C74" s="36" t="s">
        <v>457</v>
      </c>
      <c r="D74" s="36" t="str">
        <f>IF(E74="","",VLOOKUP(E74,'Coaching Points'!A:B,2,0))</f>
        <v>AB</v>
      </c>
      <c r="E74" s="36" t="s">
        <v>29</v>
      </c>
      <c r="F74" s="35">
        <v>2006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17-21</v>
      </c>
      <c r="H74" s="39" t="s">
        <v>66</v>
      </c>
      <c r="I74" s="43"/>
      <c r="J74" s="4">
        <f>R74+S74+IF(OR(H74="Junior",H74="Senior"),0.0002,IF(OR(H74="L7",H74="L6"),0.0001,0))+IF(G74="17-21",MAX(AA74,AC74,AF74),AE74)*0.0000001</f>
        <v>59.240003682999998</v>
      </c>
      <c r="K74" s="3" t="str">
        <f>IF(G74="Not Age Eligible","",IF(G74="17-21",IF(MAX(T74,V74,Y74,AA74,AC74,AF74)&gt;=LOOKUP(G74,'Qualifying Scores'!$A$4:$A$7,'Qualifying Scores'!$C$4:$C$7),"P",""),IF(MAX(X74-U74,AE74-AB74)&gt;=LOOKUP(G74,'Qualifying Scores'!$A$4:$A$7,'Qualifying Scores'!$C$4:$C$7),"P","")))</f>
        <v/>
      </c>
      <c r="L74" s="3" t="str">
        <f>IF(G74="Not Age Eligible","",IF(G74="17-21",IF(MAX(U74,W74,Z74,AB74,AD74,AG74)&gt;=LOOKUP(G74,'Qualifying Scores'!$A$10:$A$13,'Qualifying Scores'!$C$10:$C$13),"P",""),IF(MAX(W74,AD74)&gt;=LOOKUP(G74,'Qualifying Scores'!$A$10:$A$13,'Qualifying Scores'!$C$10:$C$13),"P","")))</f>
        <v/>
      </c>
      <c r="M74" s="3" t="str">
        <f>IF(G74="Not Age Eligible","",IF(G74="17-21",IF(OR(AND(T74&gt;=LOOKUP(G74,'Qualifying Scores'!$A$4:$A$7,'Qualifying Scores'!$C$4:$C$7),U74&gt;=LOOKUP(G74,'Qualifying Scores'!$A$10:$A$13,'Qualifying Scores'!$C$10:$C$13)),AND(V74&gt;=LOOKUP(G74,'Qualifying Scores'!$A$4:$A$7,'Qualifying Scores'!$C$4:$C$7),W74&gt;=LOOKUP(G74,'Qualifying Scores'!$A$10:$A$13,'Qualifying Scores'!$C$10:$C$13)),AND(Y74&gt;=LOOKUP(G74,'Qualifying Scores'!$A$4:$A$7,'Qualifying Scores'!$C$4:$C$7),Z74&gt;=LOOKUP(G74,'Qualifying Scores'!$A$10:$A$13,'Qualifying Scores'!$C$10:$C$13)),AND(AA74&gt;=LOOKUP(G74,'Qualifying Scores'!$A$4:$A$7,'Qualifying Scores'!$C$4:$C$7),AB74&gt;=LOOKUP(G74,'Qualifying Scores'!$A$10:$A$13,'Qualifying Scores'!$C$10:$C$13)),AND(AC74&gt;=LOOKUP(G74,'Qualifying Scores'!$A$4:$A$7,'Qualifying Scores'!$C$4:$C$7),AD74&gt;=LOOKUP(G74,'Qualifying Scores'!$A$10:$A$13,'Qualifying Scores'!$C$10:$C$13)),AND(AF74&gt;=LOOKUP(G74,'Qualifying Scores'!$A$4:$A$7,'Qualifying Scores'!$C$4:$C$7),AG74&gt;=LOOKUP(G74,'Qualifying Scores'!$A$10:$A$13,'Qualifying Scores'!$C$10:$C$13))),"P",""),IF(OR(AND(X74-U74&gt;=LOOKUP(G74,'Qualifying Scores'!$A$4:$A$7,'Qualifying Scores'!$C$4:$C$7),W74&gt;=LOOKUP(G74,'Qualifying Scores'!$A$10:$A$13,'Qualifying Scores'!$C$10:$C$13)),AND(AE74-AB74&gt;=LOOKUP(G74,'Qualifying Scores'!$A$4:$A$7,'Qualifying Scores'!$C$4:$C$7),AD74&gt;=LOOKUP(G74,'Qualifying Scores'!$A$10:$A$13,'Qualifying Scores'!$C$10:$C$13))),"P","")))</f>
        <v/>
      </c>
      <c r="Q74" s="1" t="str">
        <f>IF(A74&lt;5,IF(_xlfn.MAXIFS(A:A,G:G,G74)&gt;3,5-A74,_xlfn.MAXIFS(A:A,G:G,G74)+1-A74),"")</f>
        <v/>
      </c>
      <c r="R74" s="4">
        <f>IF(G74="17-21",MAX(T74,V74,Y74,AA74,AC74,AF74),MAX(X74,AE74))</f>
        <v>36.83</v>
      </c>
      <c r="S74" s="4">
        <f>IF(G74="17-21",LARGE(CHOOSE({1,2,3,4,5,6},T74,V74,Y74,AA74,AC74,AF74),2),IF(R74=X74,MAX(Y74,AA74,AC74,AF74),IF(R74=AE74,MAX(AF74,T74,V74,Y74),0)))</f>
        <v>22.41</v>
      </c>
      <c r="T74" s="33"/>
      <c r="U74" s="40"/>
      <c r="V74" s="34"/>
      <c r="W74" s="40"/>
      <c r="X74" s="4">
        <f>IF(H74="Senior",MAX(T74,V74),T74+V74)</f>
        <v>0</v>
      </c>
      <c r="Y74" s="34"/>
      <c r="Z74" s="40"/>
      <c r="AA74" s="33">
        <v>36.83</v>
      </c>
      <c r="AB74" s="40">
        <v>0</v>
      </c>
      <c r="AC74" s="34">
        <v>22.41</v>
      </c>
      <c r="AD74" s="40">
        <v>4.0999999999999996</v>
      </c>
      <c r="AE74" s="4">
        <f>IF(H74="Senior",MAX(AA74,AC74),AA74+AC74)</f>
        <v>59.239999999999995</v>
      </c>
      <c r="AF74" s="34"/>
      <c r="AG74" s="37"/>
    </row>
    <row r="75" spans="1:33" x14ac:dyDescent="0.2">
      <c r="A75" s="1" t="str" cm="1">
        <f t="array" ref="A75">IF(I75="","",IF(P75&lt;&gt;"",SUMPRODUCT((P$3:P$133&lt;&gt;"")*(G$3:G$133=G75)*(J$3:J$133&gt;J75)*(I$3:I$133="P"))+1,IF(O75&lt;&gt;"",SUMPRODUCT((O$3:O$133&lt;&gt;"")*(P$3:P$133="")*(G$3:G$133=G75)*(J$3:J$133&gt;J75)*(I$3:I$133="P"))+SUMPRODUCT((P$3:P$133&lt;&gt;"")*(G$3:G$133=G75)*(I$3:I$133="P"))+1,IF(N75&lt;&gt;"",SUMPRODUCT((N$3:N$133&lt;&gt;"")*(G$3:G$133=G75)*(J$3:J$133&gt;J75)*(I$3:I$133="P"))+1,IF(M75="P",SUMPRODUCT((O$3:O$133&lt;&gt;"")*(P$3:P$133="")*(G$3:G$133=G75)*(I$3:I$133="P"))+SUMPRODUCT((P$3:P$133&lt;&gt;"")*(G$3:G$133=G75)*(I$3:I$133="P"))+SUMPRODUCT((N$3:N$133&lt;&gt;"")*(G$3:G$133=G75)*(I$3:I$133="P"))+SUMPRODUCT((P$3:P$133="")*(O$3:O$133="")*(N$3:N$133="")*(M$3:M$133="P")*(G$3:G$133=G75)*(J$3:J$133&gt;J75)*(I$3:I$133="P"))+IF(H75="L5",SUMPRODUCT((P$3:P$133="")*(O$3:O$133="")*(N$3:N$133="")*(M$3:M$133="P")*(G$3:G$133=G75)*(J$3:J$133&lt;J75)*(H$3:H$133&lt;&gt;H75)*(I$3:I$133="P")),-1*SUMPRODUCT((P$3:P$133="")*(O$3:O$133="")*(N$3:N$133="")*(M$3:M$133="P")*(G$3:G$133=G75)*(J$3:J$133&gt;J75)*(H$3:H$133="L5")*(I$3:I$133="P")))+1,"")))))</f>
        <v/>
      </c>
      <c r="B75" s="1" t="str" cm="1">
        <f t="array" ref="B75">IF(P75&lt;&gt;"",SUMPRODUCT((P$3:P$133&lt;&gt;"")*(G$3:G$133=G75)*(J$3:J$133&gt;J75))+1,IF(O75&lt;&gt;"",SUMPRODUCT((O$3:O$133&lt;&gt;"")*(P$3:P$133="")*(G$3:G$133=G75)*(J$3:J$133&gt;J75))+SUMPRODUCT((P$3:P$133&lt;&gt;"")*(G$3:G$133=G75))+1,IF(N75&lt;&gt;"",SUMPRODUCT((N$3:N$133&lt;&gt;"")*(G$3:G$133=G75)*(J$3:J$133&gt;J75))+1,IF(M75="P",SUMPRODUCT((O$3:O$133&lt;&gt;"")*(P$3:P$133="")*(G$3:G$133=G75))+SUMPRODUCT((P$3:P$133&lt;&gt;"")*(G$3:G$133=G75))+SUMPRODUCT((N$3:N$133&lt;&gt;"")*(G$3:G$133=G75))+SUMPRODUCT((P$3:P$133="")*(O$3:O$133="")*(N$3:N$133="")*(M$3:M$133="P")*(G$3:G$133=G75)*(J$3:J$133&gt;J75))+IF(H75="L5",SUMPRODUCT((P$3:P$133="")*(O$3:O$133="")*(N$3:N$133="")*(M$3:M$133="P")*(G$3:G$133=G75)*(J$3:J$133&lt;J75)*(H$3:H$133&lt;&gt;H75)),-1*SUMPRODUCT((P$3:P$133="")*(O$3:O$133="")*(N$3:N$133="")*(M$3:M$133="P")*(G$3:G$133=G75)*(J$3:J$133&gt;J75)*(H$3:H$133="L5")))+1,""))))</f>
        <v/>
      </c>
      <c r="C75" s="36" t="s">
        <v>531</v>
      </c>
      <c r="D75" s="36" t="str">
        <f>IF(E75="","",VLOOKUP(E75,'Coaching Points'!A:B,2,0))</f>
        <v>AB</v>
      </c>
      <c r="E75" s="36" t="s">
        <v>29</v>
      </c>
      <c r="F75" s="35">
        <v>2006</v>
      </c>
      <c r="G75" s="1" t="str">
        <f>IF(OR('Qualifying Scores'!$B$1-F75&gt;21,'Qualifying Scores'!$B$1-F75&lt;11),"Not Age Eligible",IF('Qualifying Scores'!$B$1-F75&gt;16,"17-21",IF('Qualifying Scores'!$B$1-F75&gt;14,"15-16",IF('Qualifying Scores'!$B$1-F75&gt;12,"13-14",IF('Qualifying Scores'!$B$1-F75&gt;10,"11-12","Not Age Eligible")))))</f>
        <v>17-21</v>
      </c>
      <c r="H75" s="39" t="s">
        <v>68</v>
      </c>
      <c r="I75" s="43" t="s">
        <v>567</v>
      </c>
      <c r="J75" s="4">
        <f>R75+S75+IF(OR(H75="Junior",H75="Senior"),0.0002,IF(OR(H75="L7",H75="L6"),0.0001,0))+IF(G75="17-21",MAX(AA75,AC75,AF75),AE75)*0.0000001</f>
        <v>54.680104580000005</v>
      </c>
      <c r="K75" s="3" t="str">
        <f>IF(G75="Not Age Eligible","",IF(G75="17-21",IF(MAX(T75,V75,Y75,AA75,AC75,AF75)&gt;=LOOKUP(G75,'Qualifying Scores'!$A$4:$A$7,'Qualifying Scores'!$C$4:$C$7),"P",""),IF(MAX(X75-U75,AE75-AB75)&gt;=LOOKUP(G75,'Qualifying Scores'!$A$4:$A$7,'Qualifying Scores'!$C$4:$C$7),"P","")))</f>
        <v/>
      </c>
      <c r="L75" s="3" t="str">
        <f>IF(G75="Not Age Eligible","",IF(G75="17-21",IF(MAX(U75,W75,Z75,AB75,AD75,AG75)&gt;=LOOKUP(G75,'Qualifying Scores'!$A$10:$A$13,'Qualifying Scores'!$C$10:$C$13),"P",""),IF(MAX(W75,AD75)&gt;=LOOKUP(G75,'Qualifying Scores'!$A$10:$A$13,'Qualifying Scores'!$C$10:$C$13),"P","")))</f>
        <v>P</v>
      </c>
      <c r="M75" s="3" t="str">
        <f>IF(G75="Not Age Eligible","",IF(G75="17-21",IF(OR(AND(T75&gt;=LOOKUP(G75,'Qualifying Scores'!$A$4:$A$7,'Qualifying Scores'!$C$4:$C$7),U75&gt;=LOOKUP(G75,'Qualifying Scores'!$A$10:$A$13,'Qualifying Scores'!$C$10:$C$13)),AND(V75&gt;=LOOKUP(G75,'Qualifying Scores'!$A$4:$A$7,'Qualifying Scores'!$C$4:$C$7),W75&gt;=LOOKUP(G75,'Qualifying Scores'!$A$10:$A$13,'Qualifying Scores'!$C$10:$C$13)),AND(Y75&gt;=LOOKUP(G75,'Qualifying Scores'!$A$4:$A$7,'Qualifying Scores'!$C$4:$C$7),Z75&gt;=LOOKUP(G75,'Qualifying Scores'!$A$10:$A$13,'Qualifying Scores'!$C$10:$C$13)),AND(AA75&gt;=LOOKUP(G75,'Qualifying Scores'!$A$4:$A$7,'Qualifying Scores'!$C$4:$C$7),AB75&gt;=LOOKUP(G75,'Qualifying Scores'!$A$10:$A$13,'Qualifying Scores'!$C$10:$C$13)),AND(AC75&gt;=LOOKUP(G75,'Qualifying Scores'!$A$4:$A$7,'Qualifying Scores'!$C$4:$C$7),AD75&gt;=LOOKUP(G75,'Qualifying Scores'!$A$10:$A$13,'Qualifying Scores'!$C$10:$C$13)),AND(AF75&gt;=LOOKUP(G75,'Qualifying Scores'!$A$4:$A$7,'Qualifying Scores'!$C$4:$C$7),AG75&gt;=LOOKUP(G75,'Qualifying Scores'!$A$10:$A$13,'Qualifying Scores'!$C$10:$C$13))),"P",""),IF(OR(AND(X75-U75&gt;=LOOKUP(G75,'Qualifying Scores'!$A$4:$A$7,'Qualifying Scores'!$C$4:$C$7),W75&gt;=LOOKUP(G75,'Qualifying Scores'!$A$10:$A$13,'Qualifying Scores'!$C$10:$C$13)),AND(AE75-AB75&gt;=LOOKUP(G75,'Qualifying Scores'!$A$4:$A$7,'Qualifying Scores'!$C$4:$C$7),AD75&gt;=LOOKUP(G75,'Qualifying Scores'!$A$10:$A$13,'Qualifying Scores'!$C$10:$C$13))),"P","")))</f>
        <v/>
      </c>
      <c r="Q75" s="1" t="str">
        <f>IF(A75&lt;5,IF(_xlfn.MAXIFS(A:A,G:G,G75)&gt;3,5-A75,_xlfn.MAXIFS(A:A,G:G,G75)+1-A75),"")</f>
        <v/>
      </c>
      <c r="R75" s="4">
        <f>IF(G75="17-21",MAX(T75,V75,Y75,AA75,AC75,AF75),MAX(X75,AE75))</f>
        <v>45.8</v>
      </c>
      <c r="S75" s="4">
        <f>IF(G75="17-21",LARGE(CHOOSE({1,2,3,4,5,6},T75,V75,Y75,AA75,AC75,AF75),2),IF(R75=X75,MAX(Y75,AA75,AC75,AF75),IF(R75=AE75,MAX(AF75,T75,V75,Y75),0)))</f>
        <v>8.8800000000000008</v>
      </c>
      <c r="T75" s="33"/>
      <c r="U75" s="40"/>
      <c r="V75" s="34"/>
      <c r="W75" s="40"/>
      <c r="X75" s="4">
        <f>IF(H75="Senior",MAX(T75,V75),T75+V75)</f>
        <v>0</v>
      </c>
      <c r="Y75" s="34"/>
      <c r="Z75" s="40"/>
      <c r="AA75" s="33">
        <v>45.8</v>
      </c>
      <c r="AB75" s="40">
        <v>10.5</v>
      </c>
      <c r="AC75" s="34">
        <v>8.8800000000000008</v>
      </c>
      <c r="AD75" s="40">
        <v>1.9</v>
      </c>
      <c r="AE75" s="4">
        <f>IF(H75="Senior",MAX(AA75,AC75),AA75+AC75)</f>
        <v>54.68</v>
      </c>
      <c r="AF75" s="34"/>
      <c r="AG75" s="37"/>
    </row>
    <row r="76" spans="1:33" x14ac:dyDescent="0.2">
      <c r="A76" s="1" t="str" cm="1">
        <f t="array" ref="A76">IF(I76="","",IF(P76&lt;&gt;"",SUMPRODUCT((P$3:P$133&lt;&gt;"")*(G$3:G$133=G76)*(J$3:J$133&gt;J76)*(I$3:I$133="P"))+1,IF(O76&lt;&gt;"",SUMPRODUCT((O$3:O$133&lt;&gt;"")*(P$3:P$133="")*(G$3:G$133=G76)*(J$3:J$133&gt;J76)*(I$3:I$133="P"))+SUMPRODUCT((P$3:P$133&lt;&gt;"")*(G$3:G$133=G76)*(I$3:I$133="P"))+1,IF(N76&lt;&gt;"",SUMPRODUCT((N$3:N$133&lt;&gt;"")*(G$3:G$133=G76)*(J$3:J$133&gt;J76)*(I$3:I$133="P"))+1,IF(M76="P",SUMPRODUCT((O$3:O$133&lt;&gt;"")*(P$3:P$133="")*(G$3:G$133=G76)*(I$3:I$133="P"))+SUMPRODUCT((P$3:P$133&lt;&gt;"")*(G$3:G$133=G76)*(I$3:I$133="P"))+SUMPRODUCT((N$3:N$133&lt;&gt;"")*(G$3:G$133=G76)*(I$3:I$133="P"))+SUMPRODUCT((P$3:P$133="")*(O$3:O$133="")*(N$3:N$133="")*(M$3:M$133="P")*(G$3:G$133=G76)*(J$3:J$133&gt;J76)*(I$3:I$133="P"))+IF(H76="L5",SUMPRODUCT((P$3:P$133="")*(O$3:O$133="")*(N$3:N$133="")*(M$3:M$133="P")*(G$3:G$133=G76)*(J$3:J$133&lt;J76)*(H$3:H$133&lt;&gt;H76)*(I$3:I$133="P")),-1*SUMPRODUCT((P$3:P$133="")*(O$3:O$133="")*(N$3:N$133="")*(M$3:M$133="P")*(G$3:G$133=G76)*(J$3:J$133&gt;J76)*(H$3:H$133="L5")*(I$3:I$133="P")))+1,"")))))</f>
        <v/>
      </c>
      <c r="B76" s="1" t="str" cm="1">
        <f t="array" ref="B76">IF(P76&lt;&gt;"",SUMPRODUCT((P$3:P$133&lt;&gt;"")*(G$3:G$133=G76)*(J$3:J$133&gt;J76))+1,IF(O76&lt;&gt;"",SUMPRODUCT((O$3:O$133&lt;&gt;"")*(P$3:P$133="")*(G$3:G$133=G76)*(J$3:J$133&gt;J76))+SUMPRODUCT((P$3:P$133&lt;&gt;"")*(G$3:G$133=G76))+1,IF(N76&lt;&gt;"",SUMPRODUCT((N$3:N$133&lt;&gt;"")*(G$3:G$133=G76)*(J$3:J$133&gt;J76))+1,IF(M76="P",SUMPRODUCT((O$3:O$133&lt;&gt;"")*(P$3:P$133="")*(G$3:G$133=G76))+SUMPRODUCT((P$3:P$133&lt;&gt;"")*(G$3:G$133=G76))+SUMPRODUCT((N$3:N$133&lt;&gt;"")*(G$3:G$133=G76))+SUMPRODUCT((P$3:P$133="")*(O$3:O$133="")*(N$3:N$133="")*(M$3:M$133="P")*(G$3:G$133=G76)*(J$3:J$133&gt;J76))+IF(H76="L5",SUMPRODUCT((P$3:P$133="")*(O$3:O$133="")*(N$3:N$133="")*(M$3:M$133="P")*(G$3:G$133=G76)*(J$3:J$133&lt;J76)*(H$3:H$133&lt;&gt;H76)),-1*SUMPRODUCT((P$3:P$133="")*(O$3:O$133="")*(N$3:N$133="")*(M$3:M$133="P")*(G$3:G$133=G76)*(J$3:J$133&gt;J76)*(H$3:H$133="L5")))+1,""))))</f>
        <v/>
      </c>
      <c r="C76" s="36" t="s">
        <v>245</v>
      </c>
      <c r="D76" s="36" t="str">
        <f>IF(E76="","",VLOOKUP(E76,'Coaching Points'!A:B,2,0))</f>
        <v>AB</v>
      </c>
      <c r="E76" s="36" t="s">
        <v>63</v>
      </c>
      <c r="F76" s="35">
        <v>2003</v>
      </c>
      <c r="G76" s="1" t="str">
        <f>IF(OR('Qualifying Scores'!$B$1-F76&gt;21,'Qualifying Scores'!$B$1-F76&lt;11),"Not Age Eligible",IF('Qualifying Scores'!$B$1-F76&gt;16,"17-21",IF('Qualifying Scores'!$B$1-F76&gt;14,"15-16",IF('Qualifying Scores'!$B$1-F76&gt;12,"13-14",IF('Qualifying Scores'!$B$1-F76&gt;10,"11-12","Not Age Eligible")))))</f>
        <v>17-21</v>
      </c>
      <c r="H76" s="39" t="s">
        <v>66</v>
      </c>
      <c r="I76" s="43"/>
      <c r="J76" s="4">
        <f>R76+S76+IF(OR(H76="Junior",H76="Senior"),0.0002,IF(OR(H76="L7",H76="L6"),0.0001,0))+IF(G76="17-21",MAX(AA76,AC76,AF76),AE76)*0.0000001</f>
        <v>53.820000000000007</v>
      </c>
      <c r="K76" s="3" t="str">
        <f>IF(G76="Not Age Eligible","",IF(G76="17-21",IF(MAX(T76,V76,Y76,AA76,AC76,AF76)&gt;=LOOKUP(G76,'Qualifying Scores'!$A$4:$A$7,'Qualifying Scores'!$C$4:$C$7),"P",""),IF(MAX(X76-U76,AE76-AB76)&gt;=LOOKUP(G76,'Qualifying Scores'!$A$4:$A$7,'Qualifying Scores'!$C$4:$C$7),"P","")))</f>
        <v/>
      </c>
      <c r="L76" s="3" t="str">
        <f>IF(G76="Not Age Eligible","",IF(G76="17-21",IF(MAX(U76,W76,Z76,AB76,AD76,AG76)&gt;=LOOKUP(G76,'Qualifying Scores'!$A$10:$A$13,'Qualifying Scores'!$C$10:$C$13),"P",""),IF(MAX(W76,AD76)&gt;=LOOKUP(G76,'Qualifying Scores'!$A$10:$A$13,'Qualifying Scores'!$C$10:$C$13),"P","")))</f>
        <v/>
      </c>
      <c r="M76" s="3" t="str">
        <f>IF(G76="Not Age Eligible","",IF(G76="17-21",IF(OR(AND(T76&gt;=LOOKUP(G76,'Qualifying Scores'!$A$4:$A$7,'Qualifying Scores'!$C$4:$C$7),U76&gt;=LOOKUP(G76,'Qualifying Scores'!$A$10:$A$13,'Qualifying Scores'!$C$10:$C$13)),AND(V76&gt;=LOOKUP(G76,'Qualifying Scores'!$A$4:$A$7,'Qualifying Scores'!$C$4:$C$7),W76&gt;=LOOKUP(G76,'Qualifying Scores'!$A$10:$A$13,'Qualifying Scores'!$C$10:$C$13)),AND(Y76&gt;=LOOKUP(G76,'Qualifying Scores'!$A$4:$A$7,'Qualifying Scores'!$C$4:$C$7),Z76&gt;=LOOKUP(G76,'Qualifying Scores'!$A$10:$A$13,'Qualifying Scores'!$C$10:$C$13)),AND(AA76&gt;=LOOKUP(G76,'Qualifying Scores'!$A$4:$A$7,'Qualifying Scores'!$C$4:$C$7),AB76&gt;=LOOKUP(G76,'Qualifying Scores'!$A$10:$A$13,'Qualifying Scores'!$C$10:$C$13)),AND(AC76&gt;=LOOKUP(G76,'Qualifying Scores'!$A$4:$A$7,'Qualifying Scores'!$C$4:$C$7),AD76&gt;=LOOKUP(G76,'Qualifying Scores'!$A$10:$A$13,'Qualifying Scores'!$C$10:$C$13)),AND(AF76&gt;=LOOKUP(G76,'Qualifying Scores'!$A$4:$A$7,'Qualifying Scores'!$C$4:$C$7),AG76&gt;=LOOKUP(G76,'Qualifying Scores'!$A$10:$A$13,'Qualifying Scores'!$C$10:$C$13))),"P",""),IF(OR(AND(X76-U76&gt;=LOOKUP(G76,'Qualifying Scores'!$A$4:$A$7,'Qualifying Scores'!$C$4:$C$7),W76&gt;=LOOKUP(G76,'Qualifying Scores'!$A$10:$A$13,'Qualifying Scores'!$C$10:$C$13)),AND(AE76-AB76&gt;=LOOKUP(G76,'Qualifying Scores'!$A$4:$A$7,'Qualifying Scores'!$C$4:$C$7),AD76&gt;=LOOKUP(G76,'Qualifying Scores'!$A$10:$A$13,'Qualifying Scores'!$C$10:$C$13))),"P","")))</f>
        <v/>
      </c>
      <c r="Q76" s="1" t="str">
        <f>IF(A76&lt;5,IF(_xlfn.MAXIFS(A:A,G:G,G76)&gt;3,5-A76,_xlfn.MAXIFS(A:A,G:G,G76)+1-A76),"")</f>
        <v/>
      </c>
      <c r="R76" s="4">
        <f>IF(G76="17-21",MAX(T76,V76,Y76,AA76,AC76,AF76),MAX(X76,AE76))</f>
        <v>36.270000000000003</v>
      </c>
      <c r="S76" s="4">
        <f>IF(G76="17-21",LARGE(CHOOSE({1,2,3,4,5,6},T76,V76,Y76,AA76,AC76,AF76),2),IF(R76=X76,MAX(Y76,AA76,AC76,AF76),IF(R76=AE76,MAX(AF76,T76,V76,Y76),0)))</f>
        <v>17.55</v>
      </c>
      <c r="T76" s="33">
        <v>36.270000000000003</v>
      </c>
      <c r="U76" s="40">
        <v>0</v>
      </c>
      <c r="V76" s="34">
        <v>17.55</v>
      </c>
      <c r="W76" s="40">
        <v>2.8</v>
      </c>
      <c r="X76" s="4">
        <f>IF(H76="Senior",MAX(T76,V76),T76+V76)</f>
        <v>53.820000000000007</v>
      </c>
      <c r="Y76" s="34"/>
      <c r="Z76" s="40"/>
      <c r="AA76" s="33"/>
      <c r="AB76" s="40"/>
      <c r="AC76" s="34"/>
      <c r="AD76" s="40"/>
      <c r="AE76" s="4">
        <f>IF(H76="Senior",MAX(AA76,AC76),AA76+AC76)</f>
        <v>0</v>
      </c>
      <c r="AF76" s="34"/>
      <c r="AG76" s="37"/>
    </row>
    <row r="77" spans="1:33" x14ac:dyDescent="0.2">
      <c r="A77" s="1" t="str" cm="1">
        <f t="array" ref="A77">IF(I77="","",IF(P77&lt;&gt;"",SUMPRODUCT((P$3:P$133&lt;&gt;"")*(G$3:G$133=G77)*(J$3:J$133&gt;J77)*(I$3:I$133="P"))+1,IF(O77&lt;&gt;"",SUMPRODUCT((O$3:O$133&lt;&gt;"")*(P$3:P$133="")*(G$3:G$133=G77)*(J$3:J$133&gt;J77)*(I$3:I$133="P"))+SUMPRODUCT((P$3:P$133&lt;&gt;"")*(G$3:G$133=G77)*(I$3:I$133="P"))+1,IF(N77&lt;&gt;"",SUMPRODUCT((N$3:N$133&lt;&gt;"")*(G$3:G$133=G77)*(J$3:J$133&gt;J77)*(I$3:I$133="P"))+1,IF(M77="P",SUMPRODUCT((O$3:O$133&lt;&gt;"")*(P$3:P$133="")*(G$3:G$133=G77)*(I$3:I$133="P"))+SUMPRODUCT((P$3:P$133&lt;&gt;"")*(G$3:G$133=G77)*(I$3:I$133="P"))+SUMPRODUCT((N$3:N$133&lt;&gt;"")*(G$3:G$133=G77)*(I$3:I$133="P"))+SUMPRODUCT((P$3:P$133="")*(O$3:O$133="")*(N$3:N$133="")*(M$3:M$133="P")*(G$3:G$133=G77)*(J$3:J$133&gt;J77)*(I$3:I$133="P"))+IF(H77="L5",SUMPRODUCT((P$3:P$133="")*(O$3:O$133="")*(N$3:N$133="")*(M$3:M$133="P")*(G$3:G$133=G77)*(J$3:J$133&lt;J77)*(H$3:H$133&lt;&gt;H77)*(I$3:I$133="P")),-1*SUMPRODUCT((P$3:P$133="")*(O$3:O$133="")*(N$3:N$133="")*(M$3:M$133="P")*(G$3:G$133=G77)*(J$3:J$133&gt;J77)*(H$3:H$133="L5")*(I$3:I$133="P")))+1,"")))))</f>
        <v/>
      </c>
      <c r="B77" s="1" t="str" cm="1">
        <f t="array" ref="B77">IF(P77&lt;&gt;"",SUMPRODUCT((P$3:P$133&lt;&gt;"")*(G$3:G$133=G77)*(J$3:J$133&gt;J77))+1,IF(O77&lt;&gt;"",SUMPRODUCT((O$3:O$133&lt;&gt;"")*(P$3:P$133="")*(G$3:G$133=G77)*(J$3:J$133&gt;J77))+SUMPRODUCT((P$3:P$133&lt;&gt;"")*(G$3:G$133=G77))+1,IF(N77&lt;&gt;"",SUMPRODUCT((N$3:N$133&lt;&gt;"")*(G$3:G$133=G77)*(J$3:J$133&gt;J77))+1,IF(M77="P",SUMPRODUCT((O$3:O$133&lt;&gt;"")*(P$3:P$133="")*(G$3:G$133=G77))+SUMPRODUCT((P$3:P$133&lt;&gt;"")*(G$3:G$133=G77))+SUMPRODUCT((N$3:N$133&lt;&gt;"")*(G$3:G$133=G77))+SUMPRODUCT((P$3:P$133="")*(O$3:O$133="")*(N$3:N$133="")*(M$3:M$133="P")*(G$3:G$133=G77)*(J$3:J$133&gt;J77))+IF(H77="L5",SUMPRODUCT((P$3:P$133="")*(O$3:O$133="")*(N$3:N$133="")*(M$3:M$133="P")*(G$3:G$133=G77)*(J$3:J$133&lt;J77)*(H$3:H$133&lt;&gt;H77)),-1*SUMPRODUCT((P$3:P$133="")*(O$3:O$133="")*(N$3:N$133="")*(M$3:M$133="P")*(G$3:G$133=G77)*(J$3:J$133&gt;J77)*(H$3:H$133="L5")))+1,""))))</f>
        <v/>
      </c>
      <c r="C77" s="36" t="s">
        <v>458</v>
      </c>
      <c r="D77" s="36" t="str">
        <f>IF(E77="","",VLOOKUP(E77,'Coaching Points'!A:B,2,0))</f>
        <v>AB</v>
      </c>
      <c r="E77" s="36" t="s">
        <v>421</v>
      </c>
      <c r="F77" s="35">
        <v>2006</v>
      </c>
      <c r="G77" s="1" t="str">
        <f>IF(OR('Qualifying Scores'!$B$1-F77&gt;21,'Qualifying Scores'!$B$1-F77&lt;11),"Not Age Eligible",IF('Qualifying Scores'!$B$1-F77&gt;16,"17-21",IF('Qualifying Scores'!$B$1-F77&gt;14,"15-16",IF('Qualifying Scores'!$B$1-F77&gt;12,"13-14",IF('Qualifying Scores'!$B$1-F77&gt;10,"11-12","Not Age Eligible")))))</f>
        <v>17-21</v>
      </c>
      <c r="H77" s="39" t="s">
        <v>66</v>
      </c>
      <c r="I77" s="43"/>
      <c r="J77" s="4">
        <f>R77+S77+IF(OR(H77="Junior",H77="Senior"),0.0002,IF(OR(H77="L7",H77="L6"),0.0001,0))+IF(G77="17-21",MAX(AA77,AC77,AF77),AE77)*0.0000001</f>
        <v>52.130003714999994</v>
      </c>
      <c r="K77" s="3" t="str">
        <f>IF(G77="Not Age Eligible","",IF(G77="17-21",IF(MAX(T77,V77,Y77,AA77,AC77,AF77)&gt;=LOOKUP(G77,'Qualifying Scores'!$A$4:$A$7,'Qualifying Scores'!$C$4:$C$7),"P",""),IF(MAX(X77-U77,AE77-AB77)&gt;=LOOKUP(G77,'Qualifying Scores'!$A$4:$A$7,'Qualifying Scores'!$C$4:$C$7),"P","")))</f>
        <v/>
      </c>
      <c r="L77" s="3" t="str">
        <f>IF(G77="Not Age Eligible","",IF(G77="17-21",IF(MAX(U77,W77,Z77,AB77,AD77,AG77)&gt;=LOOKUP(G77,'Qualifying Scores'!$A$10:$A$13,'Qualifying Scores'!$C$10:$C$13),"P",""),IF(MAX(W77,AD77)&gt;=LOOKUP(G77,'Qualifying Scores'!$A$10:$A$13,'Qualifying Scores'!$C$10:$C$13),"P","")))</f>
        <v/>
      </c>
      <c r="M77" s="3" t="str">
        <f>IF(G77="Not Age Eligible","",IF(G77="17-21",IF(OR(AND(T77&gt;=LOOKUP(G77,'Qualifying Scores'!$A$4:$A$7,'Qualifying Scores'!$C$4:$C$7),U77&gt;=LOOKUP(G77,'Qualifying Scores'!$A$10:$A$13,'Qualifying Scores'!$C$10:$C$13)),AND(V77&gt;=LOOKUP(G77,'Qualifying Scores'!$A$4:$A$7,'Qualifying Scores'!$C$4:$C$7),W77&gt;=LOOKUP(G77,'Qualifying Scores'!$A$10:$A$13,'Qualifying Scores'!$C$10:$C$13)),AND(Y77&gt;=LOOKUP(G77,'Qualifying Scores'!$A$4:$A$7,'Qualifying Scores'!$C$4:$C$7),Z77&gt;=LOOKUP(G77,'Qualifying Scores'!$A$10:$A$13,'Qualifying Scores'!$C$10:$C$13)),AND(AA77&gt;=LOOKUP(G77,'Qualifying Scores'!$A$4:$A$7,'Qualifying Scores'!$C$4:$C$7),AB77&gt;=LOOKUP(G77,'Qualifying Scores'!$A$10:$A$13,'Qualifying Scores'!$C$10:$C$13)),AND(AC77&gt;=LOOKUP(G77,'Qualifying Scores'!$A$4:$A$7,'Qualifying Scores'!$C$4:$C$7),AD77&gt;=LOOKUP(G77,'Qualifying Scores'!$A$10:$A$13,'Qualifying Scores'!$C$10:$C$13)),AND(AF77&gt;=LOOKUP(G77,'Qualifying Scores'!$A$4:$A$7,'Qualifying Scores'!$C$4:$C$7),AG77&gt;=LOOKUP(G77,'Qualifying Scores'!$A$10:$A$13,'Qualifying Scores'!$C$10:$C$13))),"P",""),IF(OR(AND(X77-U77&gt;=LOOKUP(G77,'Qualifying Scores'!$A$4:$A$7,'Qualifying Scores'!$C$4:$C$7),W77&gt;=LOOKUP(G77,'Qualifying Scores'!$A$10:$A$13,'Qualifying Scores'!$C$10:$C$13)),AND(AE77-AB77&gt;=LOOKUP(G77,'Qualifying Scores'!$A$4:$A$7,'Qualifying Scores'!$C$4:$C$7),AD77&gt;=LOOKUP(G77,'Qualifying Scores'!$A$10:$A$13,'Qualifying Scores'!$C$10:$C$13))),"P","")))</f>
        <v/>
      </c>
      <c r="Q77" s="1" t="str">
        <f>IF(A77&lt;5,IF(_xlfn.MAXIFS(A:A,G:G,G77)&gt;3,5-A77,_xlfn.MAXIFS(A:A,G:G,G77)+1-A77),"")</f>
        <v/>
      </c>
      <c r="R77" s="4">
        <f>IF(G77="17-21",MAX(T77,V77,Y77,AA77,AC77,AF77),MAX(X77,AE77))</f>
        <v>37.15</v>
      </c>
      <c r="S77" s="4">
        <f>IF(G77="17-21",LARGE(CHOOSE({1,2,3,4,5,6},T77,V77,Y77,AA77,AC77,AF77),2),IF(R77=X77,MAX(Y77,AA77,AC77,AF77),IF(R77=AE77,MAX(AF77,T77,V77,Y77),0)))</f>
        <v>14.98</v>
      </c>
      <c r="T77" s="33"/>
      <c r="U77" s="40"/>
      <c r="V77" s="34"/>
      <c r="W77" s="40"/>
      <c r="X77" s="4">
        <f>IF(H77="Senior",MAX(T77,V77),T77+V77)</f>
        <v>0</v>
      </c>
      <c r="Y77" s="34"/>
      <c r="Z77" s="40"/>
      <c r="AA77" s="33">
        <v>37.15</v>
      </c>
      <c r="AB77" s="40">
        <v>0</v>
      </c>
      <c r="AC77" s="34">
        <v>14.98</v>
      </c>
      <c r="AD77" s="40">
        <v>2.4</v>
      </c>
      <c r="AE77" s="4">
        <f>IF(H77="Senior",MAX(AA77,AC77),AA77+AC77)</f>
        <v>52.129999999999995</v>
      </c>
      <c r="AF77" s="34"/>
      <c r="AG77" s="37"/>
    </row>
    <row r="78" spans="1:33" x14ac:dyDescent="0.2">
      <c r="A78" s="1" t="str" cm="1">
        <f t="array" ref="A78">IF(I78="","",IF(P78&lt;&gt;"",SUMPRODUCT((P$3:P$133&lt;&gt;"")*(G$3:G$133=G78)*(J$3:J$133&gt;J78)*(I$3:I$133="P"))+1,IF(O78&lt;&gt;"",SUMPRODUCT((O$3:O$133&lt;&gt;"")*(P$3:P$133="")*(G$3:G$133=G78)*(J$3:J$133&gt;J78)*(I$3:I$133="P"))+SUMPRODUCT((P$3:P$133&lt;&gt;"")*(G$3:G$133=G78)*(I$3:I$133="P"))+1,IF(N78&lt;&gt;"",SUMPRODUCT((N$3:N$133&lt;&gt;"")*(G$3:G$133=G78)*(J$3:J$133&gt;J78)*(I$3:I$133="P"))+1,IF(M78="P",SUMPRODUCT((O$3:O$133&lt;&gt;"")*(P$3:P$133="")*(G$3:G$133=G78)*(I$3:I$133="P"))+SUMPRODUCT((P$3:P$133&lt;&gt;"")*(G$3:G$133=G78)*(I$3:I$133="P"))+SUMPRODUCT((N$3:N$133&lt;&gt;"")*(G$3:G$133=G78)*(I$3:I$133="P"))+SUMPRODUCT((P$3:P$133="")*(O$3:O$133="")*(N$3:N$133="")*(M$3:M$133="P")*(G$3:G$133=G78)*(J$3:J$133&gt;J78)*(I$3:I$133="P"))+IF(H78="L5",SUMPRODUCT((P$3:P$133="")*(O$3:O$133="")*(N$3:N$133="")*(M$3:M$133="P")*(G$3:G$133=G78)*(J$3:J$133&lt;J78)*(H$3:H$133&lt;&gt;H78)*(I$3:I$133="P")),-1*SUMPRODUCT((P$3:P$133="")*(O$3:O$133="")*(N$3:N$133="")*(M$3:M$133="P")*(G$3:G$133=G78)*(J$3:J$133&gt;J78)*(H$3:H$133="L5")*(I$3:I$133="P")))+1,"")))))</f>
        <v/>
      </c>
      <c r="B78" s="1" t="str" cm="1">
        <f t="array" ref="B78">IF(P78&lt;&gt;"",SUMPRODUCT((P$3:P$133&lt;&gt;"")*(G$3:G$133=G78)*(J$3:J$133&gt;J78))+1,IF(O78&lt;&gt;"",SUMPRODUCT((O$3:O$133&lt;&gt;"")*(P$3:P$133="")*(G$3:G$133=G78)*(J$3:J$133&gt;J78))+SUMPRODUCT((P$3:P$133&lt;&gt;"")*(G$3:G$133=G78))+1,IF(N78&lt;&gt;"",SUMPRODUCT((N$3:N$133&lt;&gt;"")*(G$3:G$133=G78)*(J$3:J$133&gt;J78))+1,IF(M78="P",SUMPRODUCT((O$3:O$133&lt;&gt;"")*(P$3:P$133="")*(G$3:G$133=G78))+SUMPRODUCT((P$3:P$133&lt;&gt;"")*(G$3:G$133=G78))+SUMPRODUCT((N$3:N$133&lt;&gt;"")*(G$3:G$133=G78))+SUMPRODUCT((P$3:P$133="")*(O$3:O$133="")*(N$3:N$133="")*(M$3:M$133="P")*(G$3:G$133=G78)*(J$3:J$133&gt;J78))+IF(H78="L5",SUMPRODUCT((P$3:P$133="")*(O$3:O$133="")*(N$3:N$133="")*(M$3:M$133="P")*(G$3:G$133=G78)*(J$3:J$133&lt;J78)*(H$3:H$133&lt;&gt;H78)),-1*SUMPRODUCT((P$3:P$133="")*(O$3:O$133="")*(N$3:N$133="")*(M$3:M$133="P")*(G$3:G$133=G78)*(J$3:J$133&gt;J78)*(H$3:H$133="L5")))+1,""))))</f>
        <v/>
      </c>
      <c r="C78" s="36" t="s">
        <v>459</v>
      </c>
      <c r="D78" s="36" t="str">
        <f>IF(E78="","",VLOOKUP(E78,'Coaching Points'!A:B,2,0))</f>
        <v>ON</v>
      </c>
      <c r="E78" s="36" t="s">
        <v>47</v>
      </c>
      <c r="F78" s="35">
        <v>2006</v>
      </c>
      <c r="G78" s="1" t="str">
        <f>IF(OR('Qualifying Scores'!$B$1-F78&gt;21,'Qualifying Scores'!$B$1-F78&lt;11),"Not Age Eligible",IF('Qualifying Scores'!$B$1-F78&gt;16,"17-21",IF('Qualifying Scores'!$B$1-F78&gt;14,"15-16",IF('Qualifying Scores'!$B$1-F78&gt;12,"13-14",IF('Qualifying Scores'!$B$1-F78&gt;10,"11-12","Not Age Eligible")))))</f>
        <v>17-21</v>
      </c>
      <c r="H78" s="39" t="s">
        <v>66</v>
      </c>
      <c r="I78" s="43" t="s">
        <v>567</v>
      </c>
      <c r="J78" s="4">
        <f>R78+S78+IF(OR(H78="Junior",H78="Senior"),0.0002,IF(OR(H78="L7",H78="L6"),0.0001,0))+IF(G78="17-21",MAX(AA78,AC78,AF78),AE78)*0.0000001</f>
        <v>51.870004438000002</v>
      </c>
      <c r="K78" s="3" t="str">
        <f>IF(G78="Not Age Eligible","",IF(G78="17-21",IF(MAX(T78,V78,Y78,AA78,AC78,AF78)&gt;=LOOKUP(G78,'Qualifying Scores'!$A$4:$A$7,'Qualifying Scores'!$C$4:$C$7),"P",""),IF(MAX(X78-U78,AE78-AB78)&gt;=LOOKUP(G78,'Qualifying Scores'!$A$4:$A$7,'Qualifying Scores'!$C$4:$C$7),"P","")))</f>
        <v/>
      </c>
      <c r="L78" s="3" t="str">
        <f>IF(G78="Not Age Eligible","",IF(G78="17-21",IF(MAX(U78,W78,Z78,AB78,AD78,AG78)&gt;=LOOKUP(G78,'Qualifying Scores'!$A$10:$A$13,'Qualifying Scores'!$C$10:$C$13),"P",""),IF(MAX(W78,AD78)&gt;=LOOKUP(G78,'Qualifying Scores'!$A$10:$A$13,'Qualifying Scores'!$C$10:$C$13),"P","")))</f>
        <v/>
      </c>
      <c r="M78" s="3" t="str">
        <f>IF(G78="Not Age Eligible","",IF(G78="17-21",IF(OR(AND(T78&gt;=LOOKUP(G78,'Qualifying Scores'!$A$4:$A$7,'Qualifying Scores'!$C$4:$C$7),U78&gt;=LOOKUP(G78,'Qualifying Scores'!$A$10:$A$13,'Qualifying Scores'!$C$10:$C$13)),AND(V78&gt;=LOOKUP(G78,'Qualifying Scores'!$A$4:$A$7,'Qualifying Scores'!$C$4:$C$7),W78&gt;=LOOKUP(G78,'Qualifying Scores'!$A$10:$A$13,'Qualifying Scores'!$C$10:$C$13)),AND(Y78&gt;=LOOKUP(G78,'Qualifying Scores'!$A$4:$A$7,'Qualifying Scores'!$C$4:$C$7),Z78&gt;=LOOKUP(G78,'Qualifying Scores'!$A$10:$A$13,'Qualifying Scores'!$C$10:$C$13)),AND(AA78&gt;=LOOKUP(G78,'Qualifying Scores'!$A$4:$A$7,'Qualifying Scores'!$C$4:$C$7),AB78&gt;=LOOKUP(G78,'Qualifying Scores'!$A$10:$A$13,'Qualifying Scores'!$C$10:$C$13)),AND(AC78&gt;=LOOKUP(G78,'Qualifying Scores'!$A$4:$A$7,'Qualifying Scores'!$C$4:$C$7),AD78&gt;=LOOKUP(G78,'Qualifying Scores'!$A$10:$A$13,'Qualifying Scores'!$C$10:$C$13)),AND(AF78&gt;=LOOKUP(G78,'Qualifying Scores'!$A$4:$A$7,'Qualifying Scores'!$C$4:$C$7),AG78&gt;=LOOKUP(G78,'Qualifying Scores'!$A$10:$A$13,'Qualifying Scores'!$C$10:$C$13))),"P",""),IF(OR(AND(X78-U78&gt;=LOOKUP(G78,'Qualifying Scores'!$A$4:$A$7,'Qualifying Scores'!$C$4:$C$7),W78&gt;=LOOKUP(G78,'Qualifying Scores'!$A$10:$A$13,'Qualifying Scores'!$C$10:$C$13)),AND(AE78-AB78&gt;=LOOKUP(G78,'Qualifying Scores'!$A$4:$A$7,'Qualifying Scores'!$C$4:$C$7),AD78&gt;=LOOKUP(G78,'Qualifying Scores'!$A$10:$A$13,'Qualifying Scores'!$C$10:$C$13))),"P","")))</f>
        <v/>
      </c>
      <c r="Q78" s="1" t="str">
        <f>IF(A78&lt;5,IF(_xlfn.MAXIFS(A:A,G:G,G78)&gt;3,5-A78,_xlfn.MAXIFS(A:A,G:G,G78)+1-A78),"")</f>
        <v/>
      </c>
      <c r="R78" s="4">
        <f>IF(G78="17-21",MAX(T78,V78,Y78,AA78,AC78,AF78),MAX(X78,AE78))</f>
        <v>44.38</v>
      </c>
      <c r="S78" s="4">
        <f>IF(G78="17-21",LARGE(CHOOSE({1,2,3,4,5,6},T78,V78,Y78,AA78,AC78,AF78),2),IF(R78=X78,MAX(Y78,AA78,AC78,AF78),IF(R78=AE78,MAX(AF78,T78,V78,Y78),0)))</f>
        <v>7.49</v>
      </c>
      <c r="T78" s="33"/>
      <c r="U78" s="40"/>
      <c r="V78" s="34"/>
      <c r="W78" s="40"/>
      <c r="X78" s="4">
        <f>IF(H78="Senior",MAX(T78,V78),T78+V78)</f>
        <v>0</v>
      </c>
      <c r="Y78" s="34"/>
      <c r="Z78" s="40"/>
      <c r="AA78" s="33">
        <v>7.49</v>
      </c>
      <c r="AB78" s="40">
        <v>0</v>
      </c>
      <c r="AC78" s="34">
        <v>44.38</v>
      </c>
      <c r="AD78" s="40">
        <v>7.3</v>
      </c>
      <c r="AE78" s="4">
        <f>IF(H78="Senior",MAX(AA78,AC78),AA78+AC78)</f>
        <v>51.870000000000005</v>
      </c>
      <c r="AF78" s="34"/>
      <c r="AG78" s="37"/>
    </row>
    <row r="79" spans="1:33" x14ac:dyDescent="0.2">
      <c r="A79" s="1" t="str" cm="1">
        <f t="array" ref="A79">IF(I79="","",IF(P79&lt;&gt;"",SUMPRODUCT((P$3:P$133&lt;&gt;"")*(G$3:G$133=G79)*(J$3:J$133&gt;J79)*(I$3:I$133="P"))+1,IF(O79&lt;&gt;"",SUMPRODUCT((O$3:O$133&lt;&gt;"")*(P$3:P$133="")*(G$3:G$133=G79)*(J$3:J$133&gt;J79)*(I$3:I$133="P"))+SUMPRODUCT((P$3:P$133&lt;&gt;"")*(G$3:G$133=G79)*(I$3:I$133="P"))+1,IF(N79&lt;&gt;"",SUMPRODUCT((N$3:N$133&lt;&gt;"")*(G$3:G$133=G79)*(J$3:J$133&gt;J79)*(I$3:I$133="P"))+1,IF(M79="P",SUMPRODUCT((O$3:O$133&lt;&gt;"")*(P$3:P$133="")*(G$3:G$133=G79)*(I$3:I$133="P"))+SUMPRODUCT((P$3:P$133&lt;&gt;"")*(G$3:G$133=G79)*(I$3:I$133="P"))+SUMPRODUCT((N$3:N$133&lt;&gt;"")*(G$3:G$133=G79)*(I$3:I$133="P"))+SUMPRODUCT((P$3:P$133="")*(O$3:O$133="")*(N$3:N$133="")*(M$3:M$133="P")*(G$3:G$133=G79)*(J$3:J$133&gt;J79)*(I$3:I$133="P"))+IF(H79="L5",SUMPRODUCT((P$3:P$133="")*(O$3:O$133="")*(N$3:N$133="")*(M$3:M$133="P")*(G$3:G$133=G79)*(J$3:J$133&lt;J79)*(H$3:H$133&lt;&gt;H79)*(I$3:I$133="P")),-1*SUMPRODUCT((P$3:P$133="")*(O$3:O$133="")*(N$3:N$133="")*(M$3:M$133="P")*(G$3:G$133=G79)*(J$3:J$133&gt;J79)*(H$3:H$133="L5")*(I$3:I$133="P")))+1,"")))))</f>
        <v/>
      </c>
      <c r="B79" s="1" t="str" cm="1">
        <f t="array" ref="B79">IF(P79&lt;&gt;"",SUMPRODUCT((P$3:P$133&lt;&gt;"")*(G$3:G$133=G79)*(J$3:J$133&gt;J79))+1,IF(O79&lt;&gt;"",SUMPRODUCT((O$3:O$133&lt;&gt;"")*(P$3:P$133="")*(G$3:G$133=G79)*(J$3:J$133&gt;J79))+SUMPRODUCT((P$3:P$133&lt;&gt;"")*(G$3:G$133=G79))+1,IF(N79&lt;&gt;"",SUMPRODUCT((N$3:N$133&lt;&gt;"")*(G$3:G$133=G79)*(J$3:J$133&gt;J79))+1,IF(M79="P",SUMPRODUCT((O$3:O$133&lt;&gt;"")*(P$3:P$133="")*(G$3:G$133=G79))+SUMPRODUCT((P$3:P$133&lt;&gt;"")*(G$3:G$133=G79))+SUMPRODUCT((N$3:N$133&lt;&gt;"")*(G$3:G$133=G79))+SUMPRODUCT((P$3:P$133="")*(O$3:O$133="")*(N$3:N$133="")*(M$3:M$133="P")*(G$3:G$133=G79)*(J$3:J$133&gt;J79))+IF(H79="L5",SUMPRODUCT((P$3:P$133="")*(O$3:O$133="")*(N$3:N$133="")*(M$3:M$133="P")*(G$3:G$133=G79)*(J$3:J$133&lt;J79)*(H$3:H$133&lt;&gt;H79)),-1*SUMPRODUCT((P$3:P$133="")*(O$3:O$133="")*(N$3:N$133="")*(M$3:M$133="P")*(G$3:G$133=G79)*(J$3:J$133&gt;J79)*(H$3:H$133="L5")))+1,""))))</f>
        <v/>
      </c>
      <c r="C79" s="36" t="s">
        <v>160</v>
      </c>
      <c r="D79" s="36" t="str">
        <f>IF(E79="","",VLOOKUP(E79,'Coaching Points'!A:B,2,0))</f>
        <v>ON</v>
      </c>
      <c r="E79" s="36" t="s">
        <v>38</v>
      </c>
      <c r="F79" s="35">
        <v>2002</v>
      </c>
      <c r="G79" s="1" t="str">
        <f>IF(OR('Qualifying Scores'!$B$1-F79&gt;21,'Qualifying Scores'!$B$1-F79&lt;11),"Not Age Eligible",IF('Qualifying Scores'!$B$1-F79&gt;16,"17-21",IF('Qualifying Scores'!$B$1-F79&gt;14,"15-16",IF('Qualifying Scores'!$B$1-F79&gt;12,"13-14",IF('Qualifying Scores'!$B$1-F79&gt;10,"11-12","Not Age Eligible")))))</f>
        <v>17-21</v>
      </c>
      <c r="H79" s="39" t="s">
        <v>74</v>
      </c>
      <c r="I79" s="43"/>
      <c r="J79" s="4">
        <f>R79+S79+IF(OR(H79="Junior",H79="Senior"),0.0002,IF(OR(H79="L7",H79="L6"),0.0001,0))+IF(G79="17-21",MAX(AA79,AC79,AF79),AE79)*0.0000001</f>
        <v>50.550200000000004</v>
      </c>
      <c r="K79" s="3" t="str">
        <f>IF(G79="Not Age Eligible","",IF(G79="17-21",IF(MAX(T79,V79,Y79,AA79,AC79,AF79)&gt;=LOOKUP(G79,'Qualifying Scores'!$A$4:$A$7,'Qualifying Scores'!$C$4:$C$7),"P",""),IF(MAX(X79-U79,AE79-AB79)&gt;=LOOKUP(G79,'Qualifying Scores'!$A$4:$A$7,'Qualifying Scores'!$C$4:$C$7),"P","")))</f>
        <v/>
      </c>
      <c r="L79" s="3" t="str">
        <f>IF(G79="Not Age Eligible","",IF(G79="17-21",IF(MAX(U79,W79,Z79,AB79,AD79,AG79)&gt;=LOOKUP(G79,'Qualifying Scores'!$A$10:$A$13,'Qualifying Scores'!$C$10:$C$13),"P",""),IF(MAX(W79,AD79)&gt;=LOOKUP(G79,'Qualifying Scores'!$A$10:$A$13,'Qualifying Scores'!$C$10:$C$13),"P","")))</f>
        <v>P</v>
      </c>
      <c r="M79" s="3" t="str">
        <f>IF(G79="Not Age Eligible","",IF(G79="17-21",IF(OR(AND(T79&gt;=LOOKUP(G79,'Qualifying Scores'!$A$4:$A$7,'Qualifying Scores'!$C$4:$C$7),U79&gt;=LOOKUP(G79,'Qualifying Scores'!$A$10:$A$13,'Qualifying Scores'!$C$10:$C$13)),AND(V79&gt;=LOOKUP(G79,'Qualifying Scores'!$A$4:$A$7,'Qualifying Scores'!$C$4:$C$7),W79&gt;=LOOKUP(G79,'Qualifying Scores'!$A$10:$A$13,'Qualifying Scores'!$C$10:$C$13)),AND(Y79&gt;=LOOKUP(G79,'Qualifying Scores'!$A$4:$A$7,'Qualifying Scores'!$C$4:$C$7),Z79&gt;=LOOKUP(G79,'Qualifying Scores'!$A$10:$A$13,'Qualifying Scores'!$C$10:$C$13)),AND(AA79&gt;=LOOKUP(G79,'Qualifying Scores'!$A$4:$A$7,'Qualifying Scores'!$C$4:$C$7),AB79&gt;=LOOKUP(G79,'Qualifying Scores'!$A$10:$A$13,'Qualifying Scores'!$C$10:$C$13)),AND(AC79&gt;=LOOKUP(G79,'Qualifying Scores'!$A$4:$A$7,'Qualifying Scores'!$C$4:$C$7),AD79&gt;=LOOKUP(G79,'Qualifying Scores'!$A$10:$A$13,'Qualifying Scores'!$C$10:$C$13)),AND(AF79&gt;=LOOKUP(G79,'Qualifying Scores'!$A$4:$A$7,'Qualifying Scores'!$C$4:$C$7),AG79&gt;=LOOKUP(G79,'Qualifying Scores'!$A$10:$A$13,'Qualifying Scores'!$C$10:$C$13))),"P",""),IF(OR(AND(X79-U79&gt;=LOOKUP(G79,'Qualifying Scores'!$A$4:$A$7,'Qualifying Scores'!$C$4:$C$7),W79&gt;=LOOKUP(G79,'Qualifying Scores'!$A$10:$A$13,'Qualifying Scores'!$C$10:$C$13)),AND(AE79-AB79&gt;=LOOKUP(G79,'Qualifying Scores'!$A$4:$A$7,'Qualifying Scores'!$C$4:$C$7),AD79&gt;=LOOKUP(G79,'Qualifying Scores'!$A$10:$A$13,'Qualifying Scores'!$C$10:$C$13))),"P","")))</f>
        <v/>
      </c>
      <c r="Q79" s="1" t="str">
        <f>IF(A79&lt;5,IF(_xlfn.MAXIFS(A:A,G:G,G79)&gt;3,5-A79,_xlfn.MAXIFS(A:A,G:G,G79)+1-A79),"")</f>
        <v/>
      </c>
      <c r="R79" s="4">
        <f>IF(G79="17-21",MAX(T79,V79,Y79,AA79,AC79,AF79),MAX(X79,AE79))</f>
        <v>45.2</v>
      </c>
      <c r="S79" s="4">
        <f>IF(G79="17-21",LARGE(CHOOSE({1,2,3,4,5,6},T79,V79,Y79,AA79,AC79,AF79),2),IF(R79=X79,MAX(Y79,AA79,AC79,AF79),IF(R79=AE79,MAX(AF79,T79,V79,Y79),0)))</f>
        <v>5.35</v>
      </c>
      <c r="T79" s="33">
        <v>45.2</v>
      </c>
      <c r="U79" s="40">
        <v>9.9</v>
      </c>
      <c r="V79" s="34">
        <v>5.35</v>
      </c>
      <c r="W79" s="40">
        <v>1.5</v>
      </c>
      <c r="X79" s="4">
        <f>IF(H79="Senior",MAX(T79,V79),T79+V79)</f>
        <v>45.2</v>
      </c>
      <c r="Y79" s="34"/>
      <c r="Z79" s="40"/>
      <c r="AA79" s="33"/>
      <c r="AB79" s="40"/>
      <c r="AC79" s="34"/>
      <c r="AD79" s="40"/>
      <c r="AE79" s="4">
        <f>IF(H79="Senior",MAX(AA79,AC79),AA79+AC79)</f>
        <v>0</v>
      </c>
      <c r="AF79" s="34"/>
      <c r="AG79" s="37"/>
    </row>
    <row r="80" spans="1:33" x14ac:dyDescent="0.2">
      <c r="A80" s="1" t="str" cm="1">
        <f t="array" ref="A80">IF(I80="","",IF(P80&lt;&gt;"",SUMPRODUCT((P$3:P$133&lt;&gt;"")*(G$3:G$133=G80)*(J$3:J$133&gt;J80)*(I$3:I$133="P"))+1,IF(O80&lt;&gt;"",SUMPRODUCT((O$3:O$133&lt;&gt;"")*(P$3:P$133="")*(G$3:G$133=G80)*(J$3:J$133&gt;J80)*(I$3:I$133="P"))+SUMPRODUCT((P$3:P$133&lt;&gt;"")*(G$3:G$133=G80)*(I$3:I$133="P"))+1,IF(N80&lt;&gt;"",SUMPRODUCT((N$3:N$133&lt;&gt;"")*(G$3:G$133=G80)*(J$3:J$133&gt;J80)*(I$3:I$133="P"))+1,IF(M80="P",SUMPRODUCT((O$3:O$133&lt;&gt;"")*(P$3:P$133="")*(G$3:G$133=G80)*(I$3:I$133="P"))+SUMPRODUCT((P$3:P$133&lt;&gt;"")*(G$3:G$133=G80)*(I$3:I$133="P"))+SUMPRODUCT((N$3:N$133&lt;&gt;"")*(G$3:G$133=G80)*(I$3:I$133="P"))+SUMPRODUCT((P$3:P$133="")*(O$3:O$133="")*(N$3:N$133="")*(M$3:M$133="P")*(G$3:G$133=G80)*(J$3:J$133&gt;J80)*(I$3:I$133="P"))+IF(H80="L5",SUMPRODUCT((P$3:P$133="")*(O$3:O$133="")*(N$3:N$133="")*(M$3:M$133="P")*(G$3:G$133=G80)*(J$3:J$133&lt;J80)*(H$3:H$133&lt;&gt;H80)*(I$3:I$133="P")),-1*SUMPRODUCT((P$3:P$133="")*(O$3:O$133="")*(N$3:N$133="")*(M$3:M$133="P")*(G$3:G$133=G80)*(J$3:J$133&gt;J80)*(H$3:H$133="L5")*(I$3:I$133="P")))+1,"")))))</f>
        <v/>
      </c>
      <c r="B80" s="1" t="str" cm="1">
        <f t="array" ref="B80">IF(P80&lt;&gt;"",SUMPRODUCT((P$3:P$133&lt;&gt;"")*(G$3:G$133=G80)*(J$3:J$133&gt;J80))+1,IF(O80&lt;&gt;"",SUMPRODUCT((O$3:O$133&lt;&gt;"")*(P$3:P$133="")*(G$3:G$133=G80)*(J$3:J$133&gt;J80))+SUMPRODUCT((P$3:P$133&lt;&gt;"")*(G$3:G$133=G80))+1,IF(N80&lt;&gt;"",SUMPRODUCT((N$3:N$133&lt;&gt;"")*(G$3:G$133=G80)*(J$3:J$133&gt;J80))+1,IF(M80="P",SUMPRODUCT((O$3:O$133&lt;&gt;"")*(P$3:P$133="")*(G$3:G$133=G80))+SUMPRODUCT((P$3:P$133&lt;&gt;"")*(G$3:G$133=G80))+SUMPRODUCT((N$3:N$133&lt;&gt;"")*(G$3:G$133=G80))+SUMPRODUCT((P$3:P$133="")*(O$3:O$133="")*(N$3:N$133="")*(M$3:M$133="P")*(G$3:G$133=G80)*(J$3:J$133&gt;J80))+IF(H80="L5",SUMPRODUCT((P$3:P$133="")*(O$3:O$133="")*(N$3:N$133="")*(M$3:M$133="P")*(G$3:G$133=G80)*(J$3:J$133&lt;J80)*(H$3:H$133&lt;&gt;H80)),-1*SUMPRODUCT((P$3:P$133="")*(O$3:O$133="")*(N$3:N$133="")*(M$3:M$133="P")*(G$3:G$133=G80)*(J$3:J$133&gt;J80)*(H$3:H$133="L5")))+1,""))))</f>
        <v/>
      </c>
      <c r="C80" s="36" t="s">
        <v>460</v>
      </c>
      <c r="D80" s="36" t="str">
        <f>IF(E80="","",VLOOKUP(E80,'Coaching Points'!A:B,2,0))</f>
        <v>BC</v>
      </c>
      <c r="E80" s="36" t="s">
        <v>46</v>
      </c>
      <c r="F80" s="35">
        <v>2005</v>
      </c>
      <c r="G80" s="1" t="str">
        <f>IF(OR('Qualifying Scores'!$B$1-F80&gt;21,'Qualifying Scores'!$B$1-F80&lt;11),"Not Age Eligible",IF('Qualifying Scores'!$B$1-F80&gt;16,"17-21",IF('Qualifying Scores'!$B$1-F80&gt;14,"15-16",IF('Qualifying Scores'!$B$1-F80&gt;12,"13-14",IF('Qualifying Scores'!$B$1-F80&gt;10,"11-12","Not Age Eligible")))))</f>
        <v>17-21</v>
      </c>
      <c r="H80" s="39" t="s">
        <v>66</v>
      </c>
      <c r="I80" s="43"/>
      <c r="J80" s="4">
        <f>R80+S80+IF(OR(H80="Junior",H80="Senior"),0.0002,IF(OR(H80="L7",H80="L6"),0.0001,0))+IF(G80="17-21",MAX(AA80,AC80,AF80),AE80)*0.0000001</f>
        <v>41.570003743000001</v>
      </c>
      <c r="K80" s="3" t="str">
        <f>IF(G80="Not Age Eligible","",IF(G80="17-21",IF(MAX(T80,V80,Y80,AA80,AC80,AF80)&gt;=LOOKUP(G80,'Qualifying Scores'!$A$4:$A$7,'Qualifying Scores'!$C$4:$C$7),"P",""),IF(MAX(X80-U80,AE80-AB80)&gt;=LOOKUP(G80,'Qualifying Scores'!$A$4:$A$7,'Qualifying Scores'!$C$4:$C$7),"P","")))</f>
        <v/>
      </c>
      <c r="L80" s="3" t="str">
        <f>IF(G80="Not Age Eligible","",IF(G80="17-21",IF(MAX(U80,W80,Z80,AB80,AD80,AG80)&gt;=LOOKUP(G80,'Qualifying Scores'!$A$10:$A$13,'Qualifying Scores'!$C$10:$C$13),"P",""),IF(MAX(W80,AD80)&gt;=LOOKUP(G80,'Qualifying Scores'!$A$10:$A$13,'Qualifying Scores'!$C$10:$C$13),"P","")))</f>
        <v/>
      </c>
      <c r="M80" s="3" t="str">
        <f>IF(G80="Not Age Eligible","",IF(G80="17-21",IF(OR(AND(T80&gt;=LOOKUP(G80,'Qualifying Scores'!$A$4:$A$7,'Qualifying Scores'!$C$4:$C$7),U80&gt;=LOOKUP(G80,'Qualifying Scores'!$A$10:$A$13,'Qualifying Scores'!$C$10:$C$13)),AND(V80&gt;=LOOKUP(G80,'Qualifying Scores'!$A$4:$A$7,'Qualifying Scores'!$C$4:$C$7),W80&gt;=LOOKUP(G80,'Qualifying Scores'!$A$10:$A$13,'Qualifying Scores'!$C$10:$C$13)),AND(Y80&gt;=LOOKUP(G80,'Qualifying Scores'!$A$4:$A$7,'Qualifying Scores'!$C$4:$C$7),Z80&gt;=LOOKUP(G80,'Qualifying Scores'!$A$10:$A$13,'Qualifying Scores'!$C$10:$C$13)),AND(AA80&gt;=LOOKUP(G80,'Qualifying Scores'!$A$4:$A$7,'Qualifying Scores'!$C$4:$C$7),AB80&gt;=LOOKUP(G80,'Qualifying Scores'!$A$10:$A$13,'Qualifying Scores'!$C$10:$C$13)),AND(AC80&gt;=LOOKUP(G80,'Qualifying Scores'!$A$4:$A$7,'Qualifying Scores'!$C$4:$C$7),AD80&gt;=LOOKUP(G80,'Qualifying Scores'!$A$10:$A$13,'Qualifying Scores'!$C$10:$C$13)),AND(AF80&gt;=LOOKUP(G80,'Qualifying Scores'!$A$4:$A$7,'Qualifying Scores'!$C$4:$C$7),AG80&gt;=LOOKUP(G80,'Qualifying Scores'!$A$10:$A$13,'Qualifying Scores'!$C$10:$C$13))),"P",""),IF(OR(AND(X80-U80&gt;=LOOKUP(G80,'Qualifying Scores'!$A$4:$A$7,'Qualifying Scores'!$C$4:$C$7),W80&gt;=LOOKUP(G80,'Qualifying Scores'!$A$10:$A$13,'Qualifying Scores'!$C$10:$C$13)),AND(AE80-AB80&gt;=LOOKUP(G80,'Qualifying Scores'!$A$4:$A$7,'Qualifying Scores'!$C$4:$C$7),AD80&gt;=LOOKUP(G80,'Qualifying Scores'!$A$10:$A$13,'Qualifying Scores'!$C$10:$C$13))),"P","")))</f>
        <v/>
      </c>
      <c r="Q80" s="1" t="str">
        <f>IF(A80&lt;5,IF(_xlfn.MAXIFS(A:A,G:G,G80)&gt;3,5-A80,_xlfn.MAXIFS(A:A,G:G,G80)+1-A80),"")</f>
        <v/>
      </c>
      <c r="R80" s="4">
        <f>IF(G80="17-21",MAX(T80,V80,Y80,AA80,AC80,AF80),MAX(X80,AE80))</f>
        <v>37.43</v>
      </c>
      <c r="S80" s="4">
        <f>IF(G80="17-21",LARGE(CHOOSE({1,2,3,4,5,6},T80,V80,Y80,AA80,AC80,AF80),2),IF(R80=X80,MAX(Y80,AA80,AC80,AF80),IF(R80=AE80,MAX(AF80,T80,V80,Y80),0)))</f>
        <v>4.1399999999999997</v>
      </c>
      <c r="T80" s="33"/>
      <c r="U80" s="40"/>
      <c r="V80" s="34"/>
      <c r="W80" s="40"/>
      <c r="X80" s="4">
        <f>IF(H80="Senior",MAX(T80,V80),T80+V80)</f>
        <v>0</v>
      </c>
      <c r="Y80" s="34"/>
      <c r="Z80" s="40"/>
      <c r="AA80" s="33">
        <v>37.43</v>
      </c>
      <c r="AB80" s="40">
        <v>0</v>
      </c>
      <c r="AC80" s="34">
        <v>4.1399999999999997</v>
      </c>
      <c r="AD80" s="40">
        <v>0.5</v>
      </c>
      <c r="AE80" s="4">
        <f>IF(H80="Senior",MAX(AA80,AC80),AA80+AC80)</f>
        <v>41.57</v>
      </c>
      <c r="AF80" s="34"/>
      <c r="AG80" s="37"/>
    </row>
    <row r="81" spans="1:33" x14ac:dyDescent="0.2">
      <c r="A81" s="1" t="str" cm="1">
        <f t="array" ref="A81">IF(I81="","",IF(P81&lt;&gt;"",SUMPRODUCT((P$3:P$133&lt;&gt;"")*(G$3:G$133=G81)*(J$3:J$133&gt;J81)*(I$3:I$133="P"))+1,IF(O81&lt;&gt;"",SUMPRODUCT((O$3:O$133&lt;&gt;"")*(P$3:P$133="")*(G$3:G$133=G81)*(J$3:J$133&gt;J81)*(I$3:I$133="P"))+SUMPRODUCT((P$3:P$133&lt;&gt;"")*(G$3:G$133=G81)*(I$3:I$133="P"))+1,IF(N81&lt;&gt;"",SUMPRODUCT((N$3:N$133&lt;&gt;"")*(G$3:G$133=G81)*(J$3:J$133&gt;J81)*(I$3:I$133="P"))+1,IF(M81="P",SUMPRODUCT((O$3:O$133&lt;&gt;"")*(P$3:P$133="")*(G$3:G$133=G81)*(I$3:I$133="P"))+SUMPRODUCT((P$3:P$133&lt;&gt;"")*(G$3:G$133=G81)*(I$3:I$133="P"))+SUMPRODUCT((N$3:N$133&lt;&gt;"")*(G$3:G$133=G81)*(I$3:I$133="P"))+SUMPRODUCT((P$3:P$133="")*(O$3:O$133="")*(N$3:N$133="")*(M$3:M$133="P")*(G$3:G$133=G81)*(J$3:J$133&gt;J81)*(I$3:I$133="P"))+IF(H81="L5",SUMPRODUCT((P$3:P$133="")*(O$3:O$133="")*(N$3:N$133="")*(M$3:M$133="P")*(G$3:G$133=G81)*(J$3:J$133&lt;J81)*(H$3:H$133&lt;&gt;H81)*(I$3:I$133="P")),-1*SUMPRODUCT((P$3:P$133="")*(O$3:O$133="")*(N$3:N$133="")*(M$3:M$133="P")*(G$3:G$133=G81)*(J$3:J$133&gt;J81)*(H$3:H$133="L5")*(I$3:I$133="P")))+1,"")))))</f>
        <v/>
      </c>
      <c r="B81" s="1" t="str" cm="1">
        <f t="array" ref="B81">IF(P81&lt;&gt;"",SUMPRODUCT((P$3:P$133&lt;&gt;"")*(G$3:G$133=G81)*(J$3:J$133&gt;J81))+1,IF(O81&lt;&gt;"",SUMPRODUCT((O$3:O$133&lt;&gt;"")*(P$3:P$133="")*(G$3:G$133=G81)*(J$3:J$133&gt;J81))+SUMPRODUCT((P$3:P$133&lt;&gt;"")*(G$3:G$133=G81))+1,IF(N81&lt;&gt;"",SUMPRODUCT((N$3:N$133&lt;&gt;"")*(G$3:G$133=G81)*(J$3:J$133&gt;J81))+1,IF(M81="P",SUMPRODUCT((O$3:O$133&lt;&gt;"")*(P$3:P$133="")*(G$3:G$133=G81))+SUMPRODUCT((P$3:P$133&lt;&gt;"")*(G$3:G$133=G81))+SUMPRODUCT((N$3:N$133&lt;&gt;"")*(G$3:G$133=G81))+SUMPRODUCT((P$3:P$133="")*(O$3:O$133="")*(N$3:N$133="")*(M$3:M$133="P")*(G$3:G$133=G81)*(J$3:J$133&gt;J81))+IF(H81="L5",SUMPRODUCT((P$3:P$133="")*(O$3:O$133="")*(N$3:N$133="")*(M$3:M$133="P")*(G$3:G$133=G81)*(J$3:J$133&lt;J81)*(H$3:H$133&lt;&gt;H81)),-1*SUMPRODUCT((P$3:P$133="")*(O$3:O$133="")*(N$3:N$133="")*(M$3:M$133="P")*(G$3:G$133=G81)*(J$3:J$133&gt;J81)*(H$3:H$133="L5")))+1,""))))</f>
        <v/>
      </c>
      <c r="C81" s="36" t="s">
        <v>246</v>
      </c>
      <c r="D81" s="36" t="str">
        <f>IF(E81="","",VLOOKUP(E81,'Coaching Points'!A:B,2,0))</f>
        <v>BC</v>
      </c>
      <c r="E81" s="36" t="s">
        <v>41</v>
      </c>
      <c r="F81" s="35">
        <v>2004</v>
      </c>
      <c r="G81" s="1" t="str">
        <f>IF(OR('Qualifying Scores'!$B$1-F81&gt;21,'Qualifying Scores'!$B$1-F81&lt;11),"Not Age Eligible",IF('Qualifying Scores'!$B$1-F81&gt;16,"17-21",IF('Qualifying Scores'!$B$1-F81&gt;14,"15-16",IF('Qualifying Scores'!$B$1-F81&gt;12,"13-14",IF('Qualifying Scores'!$B$1-F81&gt;10,"11-12","Not Age Eligible")))))</f>
        <v>17-21</v>
      </c>
      <c r="H81" s="39" t="s">
        <v>66</v>
      </c>
      <c r="I81" s="43"/>
      <c r="J81" s="4">
        <f>R81+S81+IF(OR(H81="Junior",H81="Senior"),0.0002,IF(OR(H81="L7",H81="L6"),0.0001,0))+IF(G81="17-21",MAX(AA81,AC81,AF81),AE81)*0.0000001</f>
        <v>40.300001277999996</v>
      </c>
      <c r="K81" s="3" t="str">
        <f>IF(G81="Not Age Eligible","",IF(G81="17-21",IF(MAX(T81,V81,Y81,AA81,AC81,AF81)&gt;=LOOKUP(G81,'Qualifying Scores'!$A$4:$A$7,'Qualifying Scores'!$C$4:$C$7),"P",""),IF(MAX(X81-U81,AE81-AB81)&gt;=LOOKUP(G81,'Qualifying Scores'!$A$4:$A$7,'Qualifying Scores'!$C$4:$C$7),"P","")))</f>
        <v/>
      </c>
      <c r="L81" s="3" t="str">
        <f>IF(G81="Not Age Eligible","",IF(G81="17-21",IF(MAX(U81,W81,Z81,AB81,AD81,AG81)&gt;=LOOKUP(G81,'Qualifying Scores'!$A$10:$A$13,'Qualifying Scores'!$C$10:$C$13),"P",""),IF(MAX(W81,AD81)&gt;=LOOKUP(G81,'Qualifying Scores'!$A$10:$A$13,'Qualifying Scores'!$C$10:$C$13),"P","")))</f>
        <v/>
      </c>
      <c r="M81" s="3" t="str">
        <f>IF(G81="Not Age Eligible","",IF(G81="17-21",IF(OR(AND(T81&gt;=LOOKUP(G81,'Qualifying Scores'!$A$4:$A$7,'Qualifying Scores'!$C$4:$C$7),U81&gt;=LOOKUP(G81,'Qualifying Scores'!$A$10:$A$13,'Qualifying Scores'!$C$10:$C$13)),AND(V81&gt;=LOOKUP(G81,'Qualifying Scores'!$A$4:$A$7,'Qualifying Scores'!$C$4:$C$7),W81&gt;=LOOKUP(G81,'Qualifying Scores'!$A$10:$A$13,'Qualifying Scores'!$C$10:$C$13)),AND(Y81&gt;=LOOKUP(G81,'Qualifying Scores'!$A$4:$A$7,'Qualifying Scores'!$C$4:$C$7),Z81&gt;=LOOKUP(G81,'Qualifying Scores'!$A$10:$A$13,'Qualifying Scores'!$C$10:$C$13)),AND(AA81&gt;=LOOKUP(G81,'Qualifying Scores'!$A$4:$A$7,'Qualifying Scores'!$C$4:$C$7),AB81&gt;=LOOKUP(G81,'Qualifying Scores'!$A$10:$A$13,'Qualifying Scores'!$C$10:$C$13)),AND(AC81&gt;=LOOKUP(G81,'Qualifying Scores'!$A$4:$A$7,'Qualifying Scores'!$C$4:$C$7),AD81&gt;=LOOKUP(G81,'Qualifying Scores'!$A$10:$A$13,'Qualifying Scores'!$C$10:$C$13)),AND(AF81&gt;=LOOKUP(G81,'Qualifying Scores'!$A$4:$A$7,'Qualifying Scores'!$C$4:$C$7),AG81&gt;=LOOKUP(G81,'Qualifying Scores'!$A$10:$A$13,'Qualifying Scores'!$C$10:$C$13))),"P",""),IF(OR(AND(X81-U81&gt;=LOOKUP(G81,'Qualifying Scores'!$A$4:$A$7,'Qualifying Scores'!$C$4:$C$7),W81&gt;=LOOKUP(G81,'Qualifying Scores'!$A$10:$A$13,'Qualifying Scores'!$C$10:$C$13)),AND(AE81-AB81&gt;=LOOKUP(G81,'Qualifying Scores'!$A$4:$A$7,'Qualifying Scores'!$C$4:$C$7),AD81&gt;=LOOKUP(G81,'Qualifying Scores'!$A$10:$A$13,'Qualifying Scores'!$C$10:$C$13))),"P","")))</f>
        <v/>
      </c>
      <c r="Q81" s="1" t="str">
        <f>IF(A81&lt;5,IF(_xlfn.MAXIFS(A:A,G:G,G81)&gt;3,5-A81,_xlfn.MAXIFS(A:A,G:G,G81)+1-A81),"")</f>
        <v/>
      </c>
      <c r="R81" s="4">
        <f>IF(G81="17-21",MAX(T81,V81,Y81,AA81,AC81,AF81),MAX(X81,AE81))</f>
        <v>27.46</v>
      </c>
      <c r="S81" s="4">
        <f>IF(G81="17-21",LARGE(CHOOSE({1,2,3,4,5,6},T81,V81,Y81,AA81,AC81,AF81),2),IF(R81=X81,MAX(Y81,AA81,AC81,AF81),IF(R81=AE81,MAX(AF81,T81,V81,Y81),0)))</f>
        <v>12.84</v>
      </c>
      <c r="T81" s="33">
        <v>27.46</v>
      </c>
      <c r="U81" s="40">
        <v>0</v>
      </c>
      <c r="V81" s="34">
        <v>12.84</v>
      </c>
      <c r="W81" s="40">
        <v>2.9</v>
      </c>
      <c r="X81" s="4">
        <f>IF(H81="Senior",MAX(T81,V81),T81+V81)</f>
        <v>40.299999999999997</v>
      </c>
      <c r="Y81" s="34"/>
      <c r="Z81" s="40"/>
      <c r="AA81" s="33">
        <v>12.78</v>
      </c>
      <c r="AB81" s="40">
        <v>0</v>
      </c>
      <c r="AC81" s="34">
        <v>4.79</v>
      </c>
      <c r="AD81" s="40">
        <v>1.3</v>
      </c>
      <c r="AE81" s="4">
        <f>IF(H81="Senior",MAX(AA81,AC81),AA81+AC81)</f>
        <v>17.57</v>
      </c>
      <c r="AF81" s="34"/>
      <c r="AG81" s="37"/>
    </row>
    <row r="82" spans="1:33" x14ac:dyDescent="0.2">
      <c r="A82" s="1" t="str" cm="1">
        <f t="array" ref="A82">IF(I82="","",IF(P82&lt;&gt;"",SUMPRODUCT((P$3:P$133&lt;&gt;"")*(G$3:G$133=G82)*(J$3:J$133&gt;J82)*(I$3:I$133="P"))+1,IF(O82&lt;&gt;"",SUMPRODUCT((O$3:O$133&lt;&gt;"")*(P$3:P$133="")*(G$3:G$133=G82)*(J$3:J$133&gt;J82)*(I$3:I$133="P"))+SUMPRODUCT((P$3:P$133&lt;&gt;"")*(G$3:G$133=G82)*(I$3:I$133="P"))+1,IF(N82&lt;&gt;"",SUMPRODUCT((N$3:N$133&lt;&gt;"")*(G$3:G$133=G82)*(J$3:J$133&gt;J82)*(I$3:I$133="P"))+1,IF(M82="P",SUMPRODUCT((O$3:O$133&lt;&gt;"")*(P$3:P$133="")*(G$3:G$133=G82)*(I$3:I$133="P"))+SUMPRODUCT((P$3:P$133&lt;&gt;"")*(G$3:G$133=G82)*(I$3:I$133="P"))+SUMPRODUCT((N$3:N$133&lt;&gt;"")*(G$3:G$133=G82)*(I$3:I$133="P"))+SUMPRODUCT((P$3:P$133="")*(O$3:O$133="")*(N$3:N$133="")*(M$3:M$133="P")*(G$3:G$133=G82)*(J$3:J$133&gt;J82)*(I$3:I$133="P"))+IF(H82="L5",SUMPRODUCT((P$3:P$133="")*(O$3:O$133="")*(N$3:N$133="")*(M$3:M$133="P")*(G$3:G$133=G82)*(J$3:J$133&lt;J82)*(H$3:H$133&lt;&gt;H82)*(I$3:I$133="P")),-1*SUMPRODUCT((P$3:P$133="")*(O$3:O$133="")*(N$3:N$133="")*(M$3:M$133="P")*(G$3:G$133=G82)*(J$3:J$133&gt;J82)*(H$3:H$133="L5")*(I$3:I$133="P")))+1,"")))))</f>
        <v/>
      </c>
      <c r="B82" s="1" t="str" cm="1">
        <f t="array" ref="B82">IF(P82&lt;&gt;"",SUMPRODUCT((P$3:P$133&lt;&gt;"")*(G$3:G$133=G82)*(J$3:J$133&gt;J82))+1,IF(O82&lt;&gt;"",SUMPRODUCT((O$3:O$133&lt;&gt;"")*(P$3:P$133="")*(G$3:G$133=G82)*(J$3:J$133&gt;J82))+SUMPRODUCT((P$3:P$133&lt;&gt;"")*(G$3:G$133=G82))+1,IF(N82&lt;&gt;"",SUMPRODUCT((N$3:N$133&lt;&gt;"")*(G$3:G$133=G82)*(J$3:J$133&gt;J82))+1,IF(M82="P",SUMPRODUCT((O$3:O$133&lt;&gt;"")*(P$3:P$133="")*(G$3:G$133=G82))+SUMPRODUCT((P$3:P$133&lt;&gt;"")*(G$3:G$133=G82))+SUMPRODUCT((N$3:N$133&lt;&gt;"")*(G$3:G$133=G82))+SUMPRODUCT((P$3:P$133="")*(O$3:O$133="")*(N$3:N$133="")*(M$3:M$133="P")*(G$3:G$133=G82)*(J$3:J$133&gt;J82))+IF(H82="L5",SUMPRODUCT((P$3:P$133="")*(O$3:O$133="")*(N$3:N$133="")*(M$3:M$133="P")*(G$3:G$133=G82)*(J$3:J$133&lt;J82)*(H$3:H$133&lt;&gt;H82)),-1*SUMPRODUCT((P$3:P$133="")*(O$3:O$133="")*(N$3:N$133="")*(M$3:M$133="P")*(G$3:G$133=G82)*(J$3:J$133&gt;J82)*(H$3:H$133="L5")))+1,""))))</f>
        <v/>
      </c>
      <c r="C82" s="36" t="s">
        <v>533</v>
      </c>
      <c r="D82" s="36" t="str">
        <f>IF(E82="","",VLOOKUP(E82,'Coaching Points'!A:B,2,0))</f>
        <v>ON</v>
      </c>
      <c r="E82" s="36" t="s">
        <v>286</v>
      </c>
      <c r="F82" s="35">
        <v>2004</v>
      </c>
      <c r="G82" s="1" t="str">
        <f>IF(OR('Qualifying Scores'!$B$1-F82&gt;21,'Qualifying Scores'!$B$1-F82&lt;11),"Not Age Eligible",IF('Qualifying Scores'!$B$1-F82&gt;16,"17-21",IF('Qualifying Scores'!$B$1-F82&gt;14,"15-16",IF('Qualifying Scores'!$B$1-F82&gt;12,"13-14",IF('Qualifying Scores'!$B$1-F82&gt;10,"11-12","Not Age Eligible")))))</f>
        <v>17-21</v>
      </c>
      <c r="H82" s="39" t="s">
        <v>68</v>
      </c>
      <c r="I82" s="43"/>
      <c r="J82" s="4">
        <f>R82+S82+IF(OR(H82="Junior",H82="Senior"),0.0002,IF(OR(H82="L7",H82="L6"),0.0001,0))+IF(G82="17-21",MAX(AA82,AC82,AF82),AE82)*0.0000001</f>
        <v>39.790102582000003</v>
      </c>
      <c r="K82" s="3" t="str">
        <f>IF(G82="Not Age Eligible","",IF(G82="17-21",IF(MAX(T82,V82,Y82,AA82,AC82,AF82)&gt;=LOOKUP(G82,'Qualifying Scores'!$A$4:$A$7,'Qualifying Scores'!$C$4:$C$7),"P",""),IF(MAX(X82-U82,AE82-AB82)&gt;=LOOKUP(G82,'Qualifying Scores'!$A$4:$A$7,'Qualifying Scores'!$C$4:$C$7),"P","")))</f>
        <v/>
      </c>
      <c r="L82" s="3" t="str">
        <f>IF(G82="Not Age Eligible","",IF(G82="17-21",IF(MAX(U82,W82,Z82,AB82,AD82,AG82)&gt;=LOOKUP(G82,'Qualifying Scores'!$A$10:$A$13,'Qualifying Scores'!$C$10:$C$13),"P",""),IF(MAX(W82,AD82)&gt;=LOOKUP(G82,'Qualifying Scores'!$A$10:$A$13,'Qualifying Scores'!$C$10:$C$13),"P","")))</f>
        <v/>
      </c>
      <c r="M82" s="3" t="str">
        <f>IF(G82="Not Age Eligible","",IF(G82="17-21",IF(OR(AND(T82&gt;=LOOKUP(G82,'Qualifying Scores'!$A$4:$A$7,'Qualifying Scores'!$C$4:$C$7),U82&gt;=LOOKUP(G82,'Qualifying Scores'!$A$10:$A$13,'Qualifying Scores'!$C$10:$C$13)),AND(V82&gt;=LOOKUP(G82,'Qualifying Scores'!$A$4:$A$7,'Qualifying Scores'!$C$4:$C$7),W82&gt;=LOOKUP(G82,'Qualifying Scores'!$A$10:$A$13,'Qualifying Scores'!$C$10:$C$13)),AND(Y82&gt;=LOOKUP(G82,'Qualifying Scores'!$A$4:$A$7,'Qualifying Scores'!$C$4:$C$7),Z82&gt;=LOOKUP(G82,'Qualifying Scores'!$A$10:$A$13,'Qualifying Scores'!$C$10:$C$13)),AND(AA82&gt;=LOOKUP(G82,'Qualifying Scores'!$A$4:$A$7,'Qualifying Scores'!$C$4:$C$7),AB82&gt;=LOOKUP(G82,'Qualifying Scores'!$A$10:$A$13,'Qualifying Scores'!$C$10:$C$13)),AND(AC82&gt;=LOOKUP(G82,'Qualifying Scores'!$A$4:$A$7,'Qualifying Scores'!$C$4:$C$7),AD82&gt;=LOOKUP(G82,'Qualifying Scores'!$A$10:$A$13,'Qualifying Scores'!$C$10:$C$13)),AND(AF82&gt;=LOOKUP(G82,'Qualifying Scores'!$A$4:$A$7,'Qualifying Scores'!$C$4:$C$7),AG82&gt;=LOOKUP(G82,'Qualifying Scores'!$A$10:$A$13,'Qualifying Scores'!$C$10:$C$13))),"P",""),IF(OR(AND(X82-U82&gt;=LOOKUP(G82,'Qualifying Scores'!$A$4:$A$7,'Qualifying Scores'!$C$4:$C$7),W82&gt;=LOOKUP(G82,'Qualifying Scores'!$A$10:$A$13,'Qualifying Scores'!$C$10:$C$13)),AND(AE82-AB82&gt;=LOOKUP(G82,'Qualifying Scores'!$A$4:$A$7,'Qualifying Scores'!$C$4:$C$7),AD82&gt;=LOOKUP(G82,'Qualifying Scores'!$A$10:$A$13,'Qualifying Scores'!$C$10:$C$13))),"P","")))</f>
        <v/>
      </c>
      <c r="Q82" s="1" t="str">
        <f>IF(A82&lt;5,IF(_xlfn.MAXIFS(A:A,G:G,G82)&gt;3,5-A82,_xlfn.MAXIFS(A:A,G:G,G82)+1-A82),"")</f>
        <v/>
      </c>
      <c r="R82" s="4">
        <f>IF(G82="17-21",MAX(T82,V82,Y82,AA82,AC82,AF82),MAX(X82,AE82))</f>
        <v>25.82</v>
      </c>
      <c r="S82" s="4">
        <f>IF(G82="17-21",LARGE(CHOOSE({1,2,3,4,5,6},T82,V82,Y82,AA82,AC82,AF82),2),IF(R82=X82,MAX(Y82,AA82,AC82,AF82),IF(R82=AE82,MAX(AF82,T82,V82,Y82),0)))</f>
        <v>13.97</v>
      </c>
      <c r="T82" s="33"/>
      <c r="U82" s="40"/>
      <c r="V82" s="34"/>
      <c r="W82" s="40"/>
      <c r="X82" s="4">
        <f>IF(H82="Senior",MAX(T82,V82),T82+V82)</f>
        <v>0</v>
      </c>
      <c r="Y82" s="34"/>
      <c r="Z82" s="40"/>
      <c r="AA82" s="33">
        <v>13.97</v>
      </c>
      <c r="AB82" s="40">
        <v>3.6</v>
      </c>
      <c r="AC82" s="34">
        <v>25.82</v>
      </c>
      <c r="AD82" s="40">
        <v>5.2</v>
      </c>
      <c r="AE82" s="4">
        <f>IF(H82="Senior",MAX(AA82,AC82),AA82+AC82)</f>
        <v>39.79</v>
      </c>
      <c r="AF82" s="34"/>
      <c r="AG82" s="37"/>
    </row>
    <row r="83" spans="1:33" x14ac:dyDescent="0.2">
      <c r="A83" s="1" t="str" cm="1">
        <f t="array" ref="A83">IF(I83="","",IF(P83&lt;&gt;"",SUMPRODUCT((P$3:P$133&lt;&gt;"")*(G$3:G$133=G83)*(J$3:J$133&gt;J83)*(I$3:I$133="P"))+1,IF(O83&lt;&gt;"",SUMPRODUCT((O$3:O$133&lt;&gt;"")*(P$3:P$133="")*(G$3:G$133=G83)*(J$3:J$133&gt;J83)*(I$3:I$133="P"))+SUMPRODUCT((P$3:P$133&lt;&gt;"")*(G$3:G$133=G83)*(I$3:I$133="P"))+1,IF(N83&lt;&gt;"",SUMPRODUCT((N$3:N$133&lt;&gt;"")*(G$3:G$133=G83)*(J$3:J$133&gt;J83)*(I$3:I$133="P"))+1,IF(M83="P",SUMPRODUCT((O$3:O$133&lt;&gt;"")*(P$3:P$133="")*(G$3:G$133=G83)*(I$3:I$133="P"))+SUMPRODUCT((P$3:P$133&lt;&gt;"")*(G$3:G$133=G83)*(I$3:I$133="P"))+SUMPRODUCT((N$3:N$133&lt;&gt;"")*(G$3:G$133=G83)*(I$3:I$133="P"))+SUMPRODUCT((P$3:P$133="")*(O$3:O$133="")*(N$3:N$133="")*(M$3:M$133="P")*(G$3:G$133=G83)*(J$3:J$133&gt;J83)*(I$3:I$133="P"))+IF(H83="L5",SUMPRODUCT((P$3:P$133="")*(O$3:O$133="")*(N$3:N$133="")*(M$3:M$133="P")*(G$3:G$133=G83)*(J$3:J$133&lt;J83)*(H$3:H$133&lt;&gt;H83)*(I$3:I$133="P")),-1*SUMPRODUCT((P$3:P$133="")*(O$3:O$133="")*(N$3:N$133="")*(M$3:M$133="P")*(G$3:G$133=G83)*(J$3:J$133&gt;J83)*(H$3:H$133="L5")*(I$3:I$133="P")))+1,"")))))</f>
        <v/>
      </c>
      <c r="B83" s="1" t="str" cm="1">
        <f t="array" ref="B83">IF(P83&lt;&gt;"",SUMPRODUCT((P$3:P$133&lt;&gt;"")*(G$3:G$133=G83)*(J$3:J$133&gt;J83))+1,IF(O83&lt;&gt;"",SUMPRODUCT((O$3:O$133&lt;&gt;"")*(P$3:P$133="")*(G$3:G$133=G83)*(J$3:J$133&gt;J83))+SUMPRODUCT((P$3:P$133&lt;&gt;"")*(G$3:G$133=G83))+1,IF(N83&lt;&gt;"",SUMPRODUCT((N$3:N$133&lt;&gt;"")*(G$3:G$133=G83)*(J$3:J$133&gt;J83))+1,IF(M83="P",SUMPRODUCT((O$3:O$133&lt;&gt;"")*(P$3:P$133="")*(G$3:G$133=G83))+SUMPRODUCT((P$3:P$133&lt;&gt;"")*(G$3:G$133=G83))+SUMPRODUCT((N$3:N$133&lt;&gt;"")*(G$3:G$133=G83))+SUMPRODUCT((P$3:P$133="")*(O$3:O$133="")*(N$3:N$133="")*(M$3:M$133="P")*(G$3:G$133=G83)*(J$3:J$133&gt;J83))+IF(H83="L5",SUMPRODUCT((P$3:P$133="")*(O$3:O$133="")*(N$3:N$133="")*(M$3:M$133="P")*(G$3:G$133=G83)*(J$3:J$133&lt;J83)*(H$3:H$133&lt;&gt;H83)),-1*SUMPRODUCT((P$3:P$133="")*(O$3:O$133="")*(N$3:N$133="")*(M$3:M$133="P")*(G$3:G$133=G83)*(J$3:J$133&gt;J83)*(H$3:H$133="L5")))+1,""))))</f>
        <v/>
      </c>
      <c r="C83" s="36" t="s">
        <v>461</v>
      </c>
      <c r="D83" s="36" t="str">
        <f>IF(E83="","",VLOOKUP(E83,'Coaching Points'!A:B,2,0))</f>
        <v>NB</v>
      </c>
      <c r="E83" s="36" t="s">
        <v>48</v>
      </c>
      <c r="F83" s="35">
        <v>2005</v>
      </c>
      <c r="G83" s="1" t="str">
        <f>IF(OR('Qualifying Scores'!$B$1-F83&gt;21,'Qualifying Scores'!$B$1-F83&lt;11),"Not Age Eligible",IF('Qualifying Scores'!$B$1-F83&gt;16,"17-21",IF('Qualifying Scores'!$B$1-F83&gt;14,"15-16",IF('Qualifying Scores'!$B$1-F83&gt;12,"13-14",IF('Qualifying Scores'!$B$1-F83&gt;10,"11-12","Not Age Eligible")))))</f>
        <v>17-21</v>
      </c>
      <c r="H83" s="39" t="s">
        <v>66</v>
      </c>
      <c r="I83" s="43"/>
      <c r="J83" s="4">
        <f>R83+S83+IF(OR(H83="Junior",H83="Senior"),0.0002,IF(OR(H83="L7",H83="L6"),0.0001,0))+IF(G83="17-21",MAX(AA83,AC83,AF83),AE83)*0.0000001</f>
        <v>34.460002549000002</v>
      </c>
      <c r="K83" s="3" t="str">
        <f>IF(G83="Not Age Eligible","",IF(G83="17-21",IF(MAX(T83,V83,Y83,AA83,AC83,AF83)&gt;=LOOKUP(G83,'Qualifying Scores'!$A$4:$A$7,'Qualifying Scores'!$C$4:$C$7),"P",""),IF(MAX(X83-U83,AE83-AB83)&gt;=LOOKUP(G83,'Qualifying Scores'!$A$4:$A$7,'Qualifying Scores'!$C$4:$C$7),"P","")))</f>
        <v/>
      </c>
      <c r="L83" s="3" t="str">
        <f>IF(G83="Not Age Eligible","",IF(G83="17-21",IF(MAX(U83,W83,Z83,AB83,AD83,AG83)&gt;=LOOKUP(G83,'Qualifying Scores'!$A$10:$A$13,'Qualifying Scores'!$C$10:$C$13),"P",""),IF(MAX(W83,AD83)&gt;=LOOKUP(G83,'Qualifying Scores'!$A$10:$A$13,'Qualifying Scores'!$C$10:$C$13),"P","")))</f>
        <v/>
      </c>
      <c r="M83" s="3" t="str">
        <f>IF(G83="Not Age Eligible","",IF(G83="17-21",IF(OR(AND(T83&gt;=LOOKUP(G83,'Qualifying Scores'!$A$4:$A$7,'Qualifying Scores'!$C$4:$C$7),U83&gt;=LOOKUP(G83,'Qualifying Scores'!$A$10:$A$13,'Qualifying Scores'!$C$10:$C$13)),AND(V83&gt;=LOOKUP(G83,'Qualifying Scores'!$A$4:$A$7,'Qualifying Scores'!$C$4:$C$7),W83&gt;=LOOKUP(G83,'Qualifying Scores'!$A$10:$A$13,'Qualifying Scores'!$C$10:$C$13)),AND(Y83&gt;=LOOKUP(G83,'Qualifying Scores'!$A$4:$A$7,'Qualifying Scores'!$C$4:$C$7),Z83&gt;=LOOKUP(G83,'Qualifying Scores'!$A$10:$A$13,'Qualifying Scores'!$C$10:$C$13)),AND(AA83&gt;=LOOKUP(G83,'Qualifying Scores'!$A$4:$A$7,'Qualifying Scores'!$C$4:$C$7),AB83&gt;=LOOKUP(G83,'Qualifying Scores'!$A$10:$A$13,'Qualifying Scores'!$C$10:$C$13)),AND(AC83&gt;=LOOKUP(G83,'Qualifying Scores'!$A$4:$A$7,'Qualifying Scores'!$C$4:$C$7),AD83&gt;=LOOKUP(G83,'Qualifying Scores'!$A$10:$A$13,'Qualifying Scores'!$C$10:$C$13)),AND(AF83&gt;=LOOKUP(G83,'Qualifying Scores'!$A$4:$A$7,'Qualifying Scores'!$C$4:$C$7),AG83&gt;=LOOKUP(G83,'Qualifying Scores'!$A$10:$A$13,'Qualifying Scores'!$C$10:$C$13))),"P",""),IF(OR(AND(X83-U83&gt;=LOOKUP(G83,'Qualifying Scores'!$A$4:$A$7,'Qualifying Scores'!$C$4:$C$7),W83&gt;=LOOKUP(G83,'Qualifying Scores'!$A$10:$A$13,'Qualifying Scores'!$C$10:$C$13)),AND(AE83-AB83&gt;=LOOKUP(G83,'Qualifying Scores'!$A$4:$A$7,'Qualifying Scores'!$C$4:$C$7),AD83&gt;=LOOKUP(G83,'Qualifying Scores'!$A$10:$A$13,'Qualifying Scores'!$C$10:$C$13))),"P","")))</f>
        <v/>
      </c>
      <c r="Q83" s="1" t="str">
        <f>IF(A83&lt;5,IF(_xlfn.MAXIFS(A:A,G:G,G83)&gt;3,5-A83,_xlfn.MAXIFS(A:A,G:G,G83)+1-A83),"")</f>
        <v/>
      </c>
      <c r="R83" s="4">
        <f>IF(G83="17-21",MAX(T83,V83,Y83,AA83,AC83,AF83),MAX(X83,AE83))</f>
        <v>25.49</v>
      </c>
      <c r="S83" s="4">
        <f>IF(G83="17-21",LARGE(CHOOSE({1,2,3,4,5,6},T83,V83,Y83,AA83,AC83,AF83),2),IF(R83=X83,MAX(Y83,AA83,AC83,AF83),IF(R83=AE83,MAX(AF83,T83,V83,Y83),0)))</f>
        <v>8.9700000000000006</v>
      </c>
      <c r="T83" s="33"/>
      <c r="U83" s="40"/>
      <c r="V83" s="34"/>
      <c r="W83" s="40"/>
      <c r="X83" s="4">
        <f>IF(H83="Senior",MAX(T83,V83),T83+V83)</f>
        <v>0</v>
      </c>
      <c r="Y83" s="34"/>
      <c r="Z83" s="40"/>
      <c r="AA83" s="33">
        <v>25.49</v>
      </c>
      <c r="AB83" s="40">
        <v>0</v>
      </c>
      <c r="AC83" s="34">
        <v>8.9700000000000006</v>
      </c>
      <c r="AD83" s="40">
        <v>1.8</v>
      </c>
      <c r="AE83" s="4">
        <f>IF(H83="Senior",MAX(AA83,AC83),AA83+AC83)</f>
        <v>34.46</v>
      </c>
      <c r="AF83" s="34"/>
      <c r="AG83" s="37"/>
    </row>
    <row r="84" spans="1:33" x14ac:dyDescent="0.2">
      <c r="A84" s="1" cm="1">
        <f t="array" ref="A84">IF(I84="","",IF(P84&lt;&gt;"",SUMPRODUCT((P$3:P$133&lt;&gt;"")*(G$3:G$133=G84)*(J$3:J$133&gt;J84)*(I$3:I$133="P"))+1,IF(O84&lt;&gt;"",SUMPRODUCT((O$3:O$133&lt;&gt;"")*(P$3:P$133="")*(G$3:G$133=G84)*(J$3:J$133&gt;J84)*(I$3:I$133="P"))+SUMPRODUCT((P$3:P$133&lt;&gt;"")*(G$3:G$133=G84)*(I$3:I$133="P"))+1,IF(N84&lt;&gt;"",SUMPRODUCT((N$3:N$133&lt;&gt;"")*(G$3:G$133=G84)*(J$3:J$133&gt;J84)*(I$3:I$133="P"))+1,IF(M84="P",SUMPRODUCT((O$3:O$133&lt;&gt;"")*(P$3:P$133="")*(G$3:G$133=G84)*(I$3:I$133="P"))+SUMPRODUCT((P$3:P$133&lt;&gt;"")*(G$3:G$133=G84)*(I$3:I$133="P"))+SUMPRODUCT((N$3:N$133&lt;&gt;"")*(G$3:G$133=G84)*(I$3:I$133="P"))+SUMPRODUCT((P$3:P$133="")*(O$3:O$133="")*(N$3:N$133="")*(M$3:M$133="P")*(G$3:G$133=G84)*(J$3:J$133&gt;J84)*(I$3:I$133="P"))+IF(H84="L5",SUMPRODUCT((P$3:P$133="")*(O$3:O$133="")*(N$3:N$133="")*(M$3:M$133="P")*(G$3:G$133=G84)*(J$3:J$133&lt;J84)*(H$3:H$133&lt;&gt;H84)*(I$3:I$133="P")),-1*SUMPRODUCT((P$3:P$133="")*(O$3:O$133="")*(N$3:N$133="")*(M$3:M$133="P")*(G$3:G$133=G84)*(J$3:J$133&gt;J84)*(H$3:H$133="L5")*(I$3:I$133="P")))+1,"")))))</f>
        <v>1</v>
      </c>
      <c r="B84" s="1" cm="1">
        <f t="array" ref="B84">IF(P84&lt;&gt;"",SUMPRODUCT((P$3:P$133&lt;&gt;"")*(G$3:G$133=G84)*(J$3:J$133&gt;J84))+1,IF(O84&lt;&gt;"",SUMPRODUCT((O$3:O$133&lt;&gt;"")*(P$3:P$133="")*(G$3:G$133=G84)*(J$3:J$133&gt;J84))+SUMPRODUCT((P$3:P$133&lt;&gt;"")*(G$3:G$133=G84))+1,IF(N84&lt;&gt;"",SUMPRODUCT((N$3:N$133&lt;&gt;"")*(G$3:G$133=G84)*(J$3:J$133&gt;J84))+1,IF(M84="P",SUMPRODUCT((O$3:O$133&lt;&gt;"")*(P$3:P$133="")*(G$3:G$133=G84))+SUMPRODUCT((P$3:P$133&lt;&gt;"")*(G$3:G$133=G84))+SUMPRODUCT((N$3:N$133&lt;&gt;"")*(G$3:G$133=G84))+SUMPRODUCT((P$3:P$133="")*(O$3:O$133="")*(N$3:N$133="")*(M$3:M$133="P")*(G$3:G$133=G84)*(J$3:J$133&gt;J84))+IF(H84="L5",SUMPRODUCT((P$3:P$133="")*(O$3:O$133="")*(N$3:N$133="")*(M$3:M$133="P")*(G$3:G$133=G84)*(J$3:J$133&lt;J84)*(H$3:H$133&lt;&gt;H84)),-1*SUMPRODUCT((P$3:P$133="")*(O$3:O$133="")*(N$3:N$133="")*(M$3:M$133="P")*(G$3:G$133=G84)*(J$3:J$133&gt;J84)*(H$3:H$133="L5")))+1,""))))</f>
        <v>1</v>
      </c>
      <c r="C84" s="36" t="s">
        <v>150</v>
      </c>
      <c r="D84" s="36" t="str">
        <f>IF(E84="","",VLOOKUP(E84,'Coaching Points'!A:B,2,0))</f>
        <v>QC</v>
      </c>
      <c r="E84" s="36" t="s">
        <v>84</v>
      </c>
      <c r="F84" s="35">
        <v>2007</v>
      </c>
      <c r="G84" s="1" t="str">
        <f>IF(OR('Qualifying Scores'!$B$1-F84&gt;21,'Qualifying Scores'!$B$1-F84&lt;11),"Not Age Eligible",IF('Qualifying Scores'!$B$1-F84&gt;16,"17-21",IF('Qualifying Scores'!$B$1-F84&gt;14,"15-16",IF('Qualifying Scores'!$B$1-F84&gt;12,"13-14",IF('Qualifying Scores'!$B$1-F84&gt;10,"11-12","Not Age Eligible")))))</f>
        <v>15-16</v>
      </c>
      <c r="H84" s="39" t="s">
        <v>65</v>
      </c>
      <c r="I84" s="43" t="s">
        <v>567</v>
      </c>
      <c r="J84" s="4">
        <f>R84+S84+IF(OR(H84="Junior",H84="Senior"),0.0002,IF(OR(H84="L7",H84="L6"),0.0001,0))+IF(G84="17-21",MAX(AA84,AC84,AF84),AE84)*0.0000001</f>
        <v>140.86020910099998</v>
      </c>
      <c r="K84" s="3" t="str">
        <f>IF(G84="Not Age Eligible","",IF(G84="17-21",IF(MAX(T84,V84,Y84,AA84,AC84,AF84)&gt;=LOOKUP(G84,'Qualifying Scores'!$A$4:$A$7,'Qualifying Scores'!$C$4:$C$7),"P",""),IF(MAX(X84-U84,AE84-AB84)&gt;=LOOKUP(G84,'Qualifying Scores'!$A$4:$A$7,'Qualifying Scores'!$C$4:$C$7),"P","")))</f>
        <v>P</v>
      </c>
      <c r="L84" s="3" t="str">
        <f>IF(G84="Not Age Eligible","",IF(G84="17-21",IF(MAX(U84,W84,Z84,AB84,AD84,AG84)&gt;=LOOKUP(G84,'Qualifying Scores'!$A$10:$A$13,'Qualifying Scores'!$C$10:$C$13),"P",""),IF(MAX(W84,AD84)&gt;=LOOKUP(G84,'Qualifying Scores'!$A$10:$A$13,'Qualifying Scores'!$C$10:$C$13),"P","")))</f>
        <v>P</v>
      </c>
      <c r="M84" s="3" t="str">
        <f>IF(G84="Not Age Eligible","",IF(G84="17-21",IF(OR(AND(T84&gt;=LOOKUP(G84,'Qualifying Scores'!$A$4:$A$7,'Qualifying Scores'!$C$4:$C$7),U84&gt;=LOOKUP(G84,'Qualifying Scores'!$A$10:$A$13,'Qualifying Scores'!$C$10:$C$13)),AND(V84&gt;=LOOKUP(G84,'Qualifying Scores'!$A$4:$A$7,'Qualifying Scores'!$C$4:$C$7),W84&gt;=LOOKUP(G84,'Qualifying Scores'!$A$10:$A$13,'Qualifying Scores'!$C$10:$C$13)),AND(Y84&gt;=LOOKUP(G84,'Qualifying Scores'!$A$4:$A$7,'Qualifying Scores'!$C$4:$C$7),Z84&gt;=LOOKUP(G84,'Qualifying Scores'!$A$10:$A$13,'Qualifying Scores'!$C$10:$C$13)),AND(AA84&gt;=LOOKUP(G84,'Qualifying Scores'!$A$4:$A$7,'Qualifying Scores'!$C$4:$C$7),AB84&gt;=LOOKUP(G84,'Qualifying Scores'!$A$10:$A$13,'Qualifying Scores'!$C$10:$C$13)),AND(AC84&gt;=LOOKUP(G84,'Qualifying Scores'!$A$4:$A$7,'Qualifying Scores'!$C$4:$C$7),AD84&gt;=LOOKUP(G84,'Qualifying Scores'!$A$10:$A$13,'Qualifying Scores'!$C$10:$C$13)),AND(AF84&gt;=LOOKUP(G84,'Qualifying Scores'!$A$4:$A$7,'Qualifying Scores'!$C$4:$C$7),AG84&gt;=LOOKUP(G84,'Qualifying Scores'!$A$10:$A$13,'Qualifying Scores'!$C$10:$C$13))),"P",""),IF(OR(AND(X84-U84&gt;=LOOKUP(G84,'Qualifying Scores'!$A$4:$A$7,'Qualifying Scores'!$C$4:$C$7),W84&gt;=LOOKUP(G84,'Qualifying Scores'!$A$10:$A$13,'Qualifying Scores'!$C$10:$C$13)),AND(AE84-AB84&gt;=LOOKUP(G84,'Qualifying Scores'!$A$4:$A$7,'Qualifying Scores'!$C$4:$C$7),AD84&gt;=LOOKUP(G84,'Qualifying Scores'!$A$10:$A$13,'Qualifying Scores'!$C$10:$C$13))),"P","")))</f>
        <v>P</v>
      </c>
      <c r="N84" s="39">
        <v>1</v>
      </c>
      <c r="Q84" s="1">
        <f>IF(A84&lt;5,IF(_xlfn.MAXIFS(A:A,G:G,G84)&gt;3,5-A84,_xlfn.MAXIFS(A:A,G:G,G84)+1-A84),"")</f>
        <v>1</v>
      </c>
      <c r="R84" s="4">
        <f>IF(G84="17-21",MAX(T84,V84,Y84,AA84,AC84,AF84),MAX(X84,AE84))</f>
        <v>91.009999999999991</v>
      </c>
      <c r="S84" s="4">
        <f>IF(G84="17-21",LARGE(CHOOSE({1,2,3,4,5,6},T84,V84,Y84,AA84,AC84,AF84),2),IF(R84=X84,MAX(Y84,AA84,AC84,AF84),IF(R84=AE84,MAX(AF84,T84,V84,Y84),0)))</f>
        <v>49.85</v>
      </c>
      <c r="T84" s="33">
        <v>40.86</v>
      </c>
      <c r="U84" s="40">
        <v>0</v>
      </c>
      <c r="V84" s="34">
        <v>49.06</v>
      </c>
      <c r="W84" s="40">
        <v>11.5</v>
      </c>
      <c r="X84" s="4">
        <f>IF(H84="Senior",MAX(T84,V84),T84+V84)</f>
        <v>89.92</v>
      </c>
      <c r="Y84" s="34">
        <v>49.85</v>
      </c>
      <c r="Z84" s="40">
        <v>11.5</v>
      </c>
      <c r="AA84" s="33">
        <v>41.82</v>
      </c>
      <c r="AB84" s="40">
        <v>0</v>
      </c>
      <c r="AC84" s="34">
        <v>49.19</v>
      </c>
      <c r="AD84" s="40">
        <v>11.7</v>
      </c>
      <c r="AE84" s="4">
        <f>IF(H84="Senior",MAX(AA84,AC84),AA84+AC84)</f>
        <v>91.009999999999991</v>
      </c>
      <c r="AF84" s="34">
        <v>49.47</v>
      </c>
      <c r="AG84" s="37">
        <v>11.7</v>
      </c>
    </row>
    <row r="85" spans="1:33" x14ac:dyDescent="0.2">
      <c r="A85" s="1" t="str" cm="1">
        <f t="array" ref="A85">IF(I85="","",IF(P85&lt;&gt;"",SUMPRODUCT((P$3:P$133&lt;&gt;"")*(G$3:G$133=G85)*(J$3:J$133&gt;J85)*(I$3:I$133="P"))+1,IF(O85&lt;&gt;"",SUMPRODUCT((O$3:O$133&lt;&gt;"")*(P$3:P$133="")*(G$3:G$133=G85)*(J$3:J$133&gt;J85)*(I$3:I$133="P"))+SUMPRODUCT((P$3:P$133&lt;&gt;"")*(G$3:G$133=G85)*(I$3:I$133="P"))+1,IF(N85&lt;&gt;"",SUMPRODUCT((N$3:N$133&lt;&gt;"")*(G$3:G$133=G85)*(J$3:J$133&gt;J85)*(I$3:I$133="P"))+1,IF(M85="P",SUMPRODUCT((O$3:O$133&lt;&gt;"")*(P$3:P$133="")*(G$3:G$133=G85)*(I$3:I$133="P"))+SUMPRODUCT((P$3:P$133&lt;&gt;"")*(G$3:G$133=G85)*(I$3:I$133="P"))+SUMPRODUCT((N$3:N$133&lt;&gt;"")*(G$3:G$133=G85)*(I$3:I$133="P"))+SUMPRODUCT((P$3:P$133="")*(O$3:O$133="")*(N$3:N$133="")*(M$3:M$133="P")*(G$3:G$133=G85)*(J$3:J$133&gt;J85)*(I$3:I$133="P"))+IF(H85="L5",SUMPRODUCT((P$3:P$133="")*(O$3:O$133="")*(N$3:N$133="")*(M$3:M$133="P")*(G$3:G$133=G85)*(J$3:J$133&lt;J85)*(H$3:H$133&lt;&gt;H85)*(I$3:I$133="P")),-1*SUMPRODUCT((P$3:P$133="")*(O$3:O$133="")*(N$3:N$133="")*(M$3:M$133="P")*(G$3:G$133=G85)*(J$3:J$133&gt;J85)*(H$3:H$133="L5")*(I$3:I$133="P")))+1,"")))))</f>
        <v/>
      </c>
      <c r="B85" s="1" t="str" cm="1">
        <f t="array" ref="B85">IF(P85&lt;&gt;"",SUMPRODUCT((P$3:P$133&lt;&gt;"")*(G$3:G$133=G85)*(J$3:J$133&gt;J85))+1,IF(O85&lt;&gt;"",SUMPRODUCT((O$3:O$133&lt;&gt;"")*(P$3:P$133="")*(G$3:G$133=G85)*(J$3:J$133&gt;J85))+SUMPRODUCT((P$3:P$133&lt;&gt;"")*(G$3:G$133=G85))+1,IF(N85&lt;&gt;"",SUMPRODUCT((N$3:N$133&lt;&gt;"")*(G$3:G$133=G85)*(J$3:J$133&gt;J85))+1,IF(M85="P",SUMPRODUCT((O$3:O$133&lt;&gt;"")*(P$3:P$133="")*(G$3:G$133=G85))+SUMPRODUCT((P$3:P$133&lt;&gt;"")*(G$3:G$133=G85))+SUMPRODUCT((N$3:N$133&lt;&gt;"")*(G$3:G$133=G85))+SUMPRODUCT((P$3:P$133="")*(O$3:O$133="")*(N$3:N$133="")*(M$3:M$133="P")*(G$3:G$133=G85)*(J$3:J$133&gt;J85))+IF(H85="L5",SUMPRODUCT((P$3:P$133="")*(O$3:O$133="")*(N$3:N$133="")*(M$3:M$133="P")*(G$3:G$133=G85)*(J$3:J$133&lt;J85)*(H$3:H$133&lt;&gt;H85)),-1*SUMPRODUCT((P$3:P$133="")*(O$3:O$133="")*(N$3:N$133="")*(M$3:M$133="P")*(G$3:G$133=G85)*(J$3:J$133&gt;J85)*(H$3:H$133="L5")))+1,""))))</f>
        <v/>
      </c>
      <c r="C85" s="36" t="s">
        <v>153</v>
      </c>
      <c r="D85" s="36" t="str">
        <f>IF(E85="","",VLOOKUP(E85,'Coaching Points'!A:B,2,0))</f>
        <v>BC</v>
      </c>
      <c r="E85" s="36" t="s">
        <v>46</v>
      </c>
      <c r="F85" s="35">
        <v>2007</v>
      </c>
      <c r="G85" s="1" t="str">
        <f>IF(OR('Qualifying Scores'!$B$1-F85&gt;21,'Qualifying Scores'!$B$1-F85&lt;11),"Not Age Eligible",IF('Qualifying Scores'!$B$1-F85&gt;16,"17-21",IF('Qualifying Scores'!$B$1-F85&gt;14,"15-16",IF('Qualifying Scores'!$B$1-F85&gt;12,"13-14",IF('Qualifying Scores'!$B$1-F85&gt;10,"11-12","Not Age Eligible")))))</f>
        <v>15-16</v>
      </c>
      <c r="H85" s="39" t="s">
        <v>65</v>
      </c>
      <c r="I85" s="43" t="s">
        <v>567</v>
      </c>
      <c r="J85" s="4">
        <f>R85+S85+IF(OR(H85="Junior",H85="Senior"),0.0002,IF(OR(H85="L7",H85="L6"),0.0001,0))+IF(G85="17-21",MAX(AA85,AC85,AF85),AE85)*0.0000001</f>
        <v>137.72020465700001</v>
      </c>
      <c r="K85" s="3" t="str">
        <f>IF(G85="Not Age Eligible","",IF(G85="17-21",IF(MAX(T85,V85,Y85,AA85,AC85,AF85)&gt;=LOOKUP(G85,'Qualifying Scores'!$A$4:$A$7,'Qualifying Scores'!$C$4:$C$7),"P",""),IF(MAX(X85-U85,AE85-AB85)&gt;=LOOKUP(G85,'Qualifying Scores'!$A$4:$A$7,'Qualifying Scores'!$C$4:$C$7),"P","")))</f>
        <v/>
      </c>
      <c r="L85" s="3" t="str">
        <f>IF(G85="Not Age Eligible","",IF(G85="17-21",IF(MAX(U85,W85,Z85,AB85,AD85,AG85)&gt;=LOOKUP(G85,'Qualifying Scores'!$A$10:$A$13,'Qualifying Scores'!$C$10:$C$13),"P",""),IF(MAX(W85,AD85)&gt;=LOOKUP(G85,'Qualifying Scores'!$A$10:$A$13,'Qualifying Scores'!$C$10:$C$13),"P","")))</f>
        <v>P</v>
      </c>
      <c r="M85" s="3" t="str">
        <f>IF(G85="Not Age Eligible","",IF(G85="17-21",IF(OR(AND(T85&gt;=LOOKUP(G85,'Qualifying Scores'!$A$4:$A$7,'Qualifying Scores'!$C$4:$C$7),U85&gt;=LOOKUP(G85,'Qualifying Scores'!$A$10:$A$13,'Qualifying Scores'!$C$10:$C$13)),AND(V85&gt;=LOOKUP(G85,'Qualifying Scores'!$A$4:$A$7,'Qualifying Scores'!$C$4:$C$7),W85&gt;=LOOKUP(G85,'Qualifying Scores'!$A$10:$A$13,'Qualifying Scores'!$C$10:$C$13)),AND(Y85&gt;=LOOKUP(G85,'Qualifying Scores'!$A$4:$A$7,'Qualifying Scores'!$C$4:$C$7),Z85&gt;=LOOKUP(G85,'Qualifying Scores'!$A$10:$A$13,'Qualifying Scores'!$C$10:$C$13)),AND(AA85&gt;=LOOKUP(G85,'Qualifying Scores'!$A$4:$A$7,'Qualifying Scores'!$C$4:$C$7),AB85&gt;=LOOKUP(G85,'Qualifying Scores'!$A$10:$A$13,'Qualifying Scores'!$C$10:$C$13)),AND(AC85&gt;=LOOKUP(G85,'Qualifying Scores'!$A$4:$A$7,'Qualifying Scores'!$C$4:$C$7),AD85&gt;=LOOKUP(G85,'Qualifying Scores'!$A$10:$A$13,'Qualifying Scores'!$C$10:$C$13)),AND(AF85&gt;=LOOKUP(G85,'Qualifying Scores'!$A$4:$A$7,'Qualifying Scores'!$C$4:$C$7),AG85&gt;=LOOKUP(G85,'Qualifying Scores'!$A$10:$A$13,'Qualifying Scores'!$C$10:$C$13))),"P",""),IF(OR(AND(X85-U85&gt;=LOOKUP(G85,'Qualifying Scores'!$A$4:$A$7,'Qualifying Scores'!$C$4:$C$7),W85&gt;=LOOKUP(G85,'Qualifying Scores'!$A$10:$A$13,'Qualifying Scores'!$C$10:$C$13)),AND(AE85-AB85&gt;=LOOKUP(G85,'Qualifying Scores'!$A$4:$A$7,'Qualifying Scores'!$C$4:$C$7),AD85&gt;=LOOKUP(G85,'Qualifying Scores'!$A$10:$A$13,'Qualifying Scores'!$C$10:$C$13))),"P","")))</f>
        <v/>
      </c>
      <c r="Q85" s="1" t="str">
        <f>IF(A85&lt;5,IF(_xlfn.MAXIFS(A:A,G:G,G85)&gt;3,5-A85,_xlfn.MAXIFS(A:A,G:G,G85)+1-A85),"")</f>
        <v/>
      </c>
      <c r="R85" s="4">
        <f>IF(G85="17-21",MAX(T85,V85,Y85,AA85,AC85,AF85),MAX(X85,AE85))</f>
        <v>88.27</v>
      </c>
      <c r="S85" s="4">
        <f>IF(G85="17-21",LARGE(CHOOSE({1,2,3,4,5,6},T85,V85,Y85,AA85,AC85,AF85),2),IF(R85=X85,MAX(Y85,AA85,AC85,AF85),IF(R85=AE85,MAX(AF85,T85,V85,Y85),0)))</f>
        <v>49.45</v>
      </c>
      <c r="T85" s="33">
        <v>40.729999999999997</v>
      </c>
      <c r="U85" s="40">
        <v>0</v>
      </c>
      <c r="V85" s="34">
        <v>47.54</v>
      </c>
      <c r="W85" s="40">
        <v>10.9</v>
      </c>
      <c r="X85" s="4">
        <f>IF(H85="Senior",MAX(T85,V85),T85+V85)</f>
        <v>88.27</v>
      </c>
      <c r="Y85" s="34">
        <v>49.45</v>
      </c>
      <c r="Z85" s="40">
        <v>10.7</v>
      </c>
      <c r="AA85" s="33">
        <v>41.35</v>
      </c>
      <c r="AB85" s="40">
        <v>0</v>
      </c>
      <c r="AC85" s="34">
        <v>5.22</v>
      </c>
      <c r="AD85" s="40">
        <v>1.5</v>
      </c>
      <c r="AE85" s="4">
        <f>IF(H85="Senior",MAX(AA85,AC85),AA85+AC85)</f>
        <v>46.57</v>
      </c>
      <c r="AF85" s="34"/>
      <c r="AG85" s="37"/>
    </row>
    <row r="86" spans="1:33" x14ac:dyDescent="0.2">
      <c r="A86" s="1" t="str" cm="1">
        <f t="array" ref="A86">IF(I86="","",IF(P86&lt;&gt;"",SUMPRODUCT((P$3:P$133&lt;&gt;"")*(G$3:G$133=G86)*(J$3:J$133&gt;J86)*(I$3:I$133="P"))+1,IF(O86&lt;&gt;"",SUMPRODUCT((O$3:O$133&lt;&gt;"")*(P$3:P$133="")*(G$3:G$133=G86)*(J$3:J$133&gt;J86)*(I$3:I$133="P"))+SUMPRODUCT((P$3:P$133&lt;&gt;"")*(G$3:G$133=G86)*(I$3:I$133="P"))+1,IF(N86&lt;&gt;"",SUMPRODUCT((N$3:N$133&lt;&gt;"")*(G$3:G$133=G86)*(J$3:J$133&gt;J86)*(I$3:I$133="P"))+1,IF(M86="P",SUMPRODUCT((O$3:O$133&lt;&gt;"")*(P$3:P$133="")*(G$3:G$133=G86)*(I$3:I$133="P"))+SUMPRODUCT((P$3:P$133&lt;&gt;"")*(G$3:G$133=G86)*(I$3:I$133="P"))+SUMPRODUCT((N$3:N$133&lt;&gt;"")*(G$3:G$133=G86)*(I$3:I$133="P"))+SUMPRODUCT((P$3:P$133="")*(O$3:O$133="")*(N$3:N$133="")*(M$3:M$133="P")*(G$3:G$133=G86)*(J$3:J$133&gt;J86)*(I$3:I$133="P"))+IF(H86="L5",SUMPRODUCT((P$3:P$133="")*(O$3:O$133="")*(N$3:N$133="")*(M$3:M$133="P")*(G$3:G$133=G86)*(J$3:J$133&lt;J86)*(H$3:H$133&lt;&gt;H86)*(I$3:I$133="P")),-1*SUMPRODUCT((P$3:P$133="")*(O$3:O$133="")*(N$3:N$133="")*(M$3:M$133="P")*(G$3:G$133=G86)*(J$3:J$133&gt;J86)*(H$3:H$133="L5")*(I$3:I$133="P")))+1,"")))))</f>
        <v/>
      </c>
      <c r="B86" s="1" t="str" cm="1">
        <f t="array" ref="B86">IF(P86&lt;&gt;"",SUMPRODUCT((P$3:P$133&lt;&gt;"")*(G$3:G$133=G86)*(J$3:J$133&gt;J86))+1,IF(O86&lt;&gt;"",SUMPRODUCT((O$3:O$133&lt;&gt;"")*(P$3:P$133="")*(G$3:G$133=G86)*(J$3:J$133&gt;J86))+SUMPRODUCT((P$3:P$133&lt;&gt;"")*(G$3:G$133=G86))+1,IF(N86&lt;&gt;"",SUMPRODUCT((N$3:N$133&lt;&gt;"")*(G$3:G$133=G86)*(J$3:J$133&gt;J86))+1,IF(M86="P",SUMPRODUCT((O$3:O$133&lt;&gt;"")*(P$3:P$133="")*(G$3:G$133=G86))+SUMPRODUCT((P$3:P$133&lt;&gt;"")*(G$3:G$133=G86))+SUMPRODUCT((N$3:N$133&lt;&gt;"")*(G$3:G$133=G86))+SUMPRODUCT((P$3:P$133="")*(O$3:O$133="")*(N$3:N$133="")*(M$3:M$133="P")*(G$3:G$133=G86)*(J$3:J$133&gt;J86))+IF(H86="L5",SUMPRODUCT((P$3:P$133="")*(O$3:O$133="")*(N$3:N$133="")*(M$3:M$133="P")*(G$3:G$133=G86)*(J$3:J$133&lt;J86)*(H$3:H$133&lt;&gt;H86)),-1*SUMPRODUCT((P$3:P$133="")*(O$3:O$133="")*(N$3:N$133="")*(M$3:M$133="P")*(G$3:G$133=G86)*(J$3:J$133&gt;J86)*(H$3:H$133="L5")))+1,""))))</f>
        <v/>
      </c>
      <c r="C86" s="36" t="s">
        <v>119</v>
      </c>
      <c r="D86" s="36" t="str">
        <f>IF(E86="","",VLOOKUP(E86,'Coaching Points'!A:B,2,0))</f>
        <v>BC</v>
      </c>
      <c r="E86" s="36" t="s">
        <v>46</v>
      </c>
      <c r="F86" s="35">
        <v>2008</v>
      </c>
      <c r="G86" s="1" t="str">
        <f>IF(OR('Qualifying Scores'!$B$1-F86&gt;21,'Qualifying Scores'!$B$1-F86&lt;11),"Not Age Eligible",IF('Qualifying Scores'!$B$1-F86&gt;16,"17-21",IF('Qualifying Scores'!$B$1-F86&gt;14,"15-16",IF('Qualifying Scores'!$B$1-F86&gt;12,"13-14",IF('Qualifying Scores'!$B$1-F86&gt;10,"11-12","Not Age Eligible")))))</f>
        <v>15-16</v>
      </c>
      <c r="H86" s="39" t="s">
        <v>65</v>
      </c>
      <c r="I86" s="43" t="s">
        <v>567</v>
      </c>
      <c r="J86" s="4">
        <f>R86+S86+IF(OR(H86="Junior",H86="Senior"),0.0002,IF(OR(H86="L7",H86="L6"),0.0001,0))+IF(G86="17-21",MAX(AA86,AC86,AF86),AE86)*0.0000001</f>
        <v>134.71020864200003</v>
      </c>
      <c r="K86" s="3" t="str">
        <f>IF(G86="Not Age Eligible","",IF(G86="17-21",IF(MAX(T86,V86,Y86,AA86,AC86,AF86)&gt;=LOOKUP(G86,'Qualifying Scores'!$A$4:$A$7,'Qualifying Scores'!$C$4:$C$7),"P",""),IF(MAX(X86-U86,AE86-AB86)&gt;=LOOKUP(G86,'Qualifying Scores'!$A$4:$A$7,'Qualifying Scores'!$C$4:$C$7),"P","")))</f>
        <v/>
      </c>
      <c r="L86" s="3" t="str">
        <f>IF(G86="Not Age Eligible","",IF(G86="17-21",IF(MAX(U86,W86,Z86,AB86,AD86,AG86)&gt;=LOOKUP(G86,'Qualifying Scores'!$A$10:$A$13,'Qualifying Scores'!$C$10:$C$13),"P",""),IF(MAX(W86,AD86)&gt;=LOOKUP(G86,'Qualifying Scores'!$A$10:$A$13,'Qualifying Scores'!$C$10:$C$13),"P","")))</f>
        <v>P</v>
      </c>
      <c r="M86" s="3" t="str">
        <f>IF(G86="Not Age Eligible","",IF(G86="17-21",IF(OR(AND(T86&gt;=LOOKUP(G86,'Qualifying Scores'!$A$4:$A$7,'Qualifying Scores'!$C$4:$C$7),U86&gt;=LOOKUP(G86,'Qualifying Scores'!$A$10:$A$13,'Qualifying Scores'!$C$10:$C$13)),AND(V86&gt;=LOOKUP(G86,'Qualifying Scores'!$A$4:$A$7,'Qualifying Scores'!$C$4:$C$7),W86&gt;=LOOKUP(G86,'Qualifying Scores'!$A$10:$A$13,'Qualifying Scores'!$C$10:$C$13)),AND(Y86&gt;=LOOKUP(G86,'Qualifying Scores'!$A$4:$A$7,'Qualifying Scores'!$C$4:$C$7),Z86&gt;=LOOKUP(G86,'Qualifying Scores'!$A$10:$A$13,'Qualifying Scores'!$C$10:$C$13)),AND(AA86&gt;=LOOKUP(G86,'Qualifying Scores'!$A$4:$A$7,'Qualifying Scores'!$C$4:$C$7),AB86&gt;=LOOKUP(G86,'Qualifying Scores'!$A$10:$A$13,'Qualifying Scores'!$C$10:$C$13)),AND(AC86&gt;=LOOKUP(G86,'Qualifying Scores'!$A$4:$A$7,'Qualifying Scores'!$C$4:$C$7),AD86&gt;=LOOKUP(G86,'Qualifying Scores'!$A$10:$A$13,'Qualifying Scores'!$C$10:$C$13)),AND(AF86&gt;=LOOKUP(G86,'Qualifying Scores'!$A$4:$A$7,'Qualifying Scores'!$C$4:$C$7),AG86&gt;=LOOKUP(G86,'Qualifying Scores'!$A$10:$A$13,'Qualifying Scores'!$C$10:$C$13))),"P",""),IF(OR(AND(X86-U86&gt;=LOOKUP(G86,'Qualifying Scores'!$A$4:$A$7,'Qualifying Scores'!$C$4:$C$7),W86&gt;=LOOKUP(G86,'Qualifying Scores'!$A$10:$A$13,'Qualifying Scores'!$C$10:$C$13)),AND(AE86-AB86&gt;=LOOKUP(G86,'Qualifying Scores'!$A$4:$A$7,'Qualifying Scores'!$C$4:$C$7),AD86&gt;=LOOKUP(G86,'Qualifying Scores'!$A$10:$A$13,'Qualifying Scores'!$C$10:$C$13))),"P","")))</f>
        <v/>
      </c>
      <c r="Q86" s="1" t="str">
        <f>IF(A86&lt;5,IF(_xlfn.MAXIFS(A:A,G:G,G86)&gt;3,5-A86,_xlfn.MAXIFS(A:A,G:G,G86)+1-A86),"")</f>
        <v/>
      </c>
      <c r="R86" s="4">
        <f>IF(G86="17-21",MAX(T86,V86,Y86,AA86,AC86,AF86),MAX(X86,AE86))</f>
        <v>87.240000000000009</v>
      </c>
      <c r="S86" s="4">
        <f>IF(G86="17-21",LARGE(CHOOSE({1,2,3,4,5,6},T86,V86,Y86,AA86,AC86,AF86),2),IF(R86=X86,MAX(Y86,AA86,AC86,AF86),IF(R86=AE86,MAX(AF86,T86,V86,Y86),0)))</f>
        <v>47.47</v>
      </c>
      <c r="T86" s="33">
        <v>40.25</v>
      </c>
      <c r="U86" s="40">
        <v>0</v>
      </c>
      <c r="V86" s="34">
        <v>46.99</v>
      </c>
      <c r="W86" s="40">
        <v>10</v>
      </c>
      <c r="X86" s="4">
        <f>IF(H86="Senior",MAX(T86,V86),T86+V86)</f>
        <v>87.240000000000009</v>
      </c>
      <c r="Y86" s="34">
        <v>47.47</v>
      </c>
      <c r="Z86" s="40">
        <v>10</v>
      </c>
      <c r="AA86" s="33">
        <v>39.78</v>
      </c>
      <c r="AB86" s="40">
        <v>0</v>
      </c>
      <c r="AC86" s="34">
        <v>46.64</v>
      </c>
      <c r="AD86" s="40">
        <v>11</v>
      </c>
      <c r="AE86" s="4">
        <f>IF(H86="Senior",MAX(AA86,AC86),AA86+AC86)</f>
        <v>86.42</v>
      </c>
      <c r="AF86" s="34">
        <v>5.37</v>
      </c>
      <c r="AG86" s="37">
        <v>1.5</v>
      </c>
    </row>
    <row r="87" spans="1:33" x14ac:dyDescent="0.2">
      <c r="A87" s="1" t="str" cm="1">
        <f t="array" ref="A87">IF(I87="","",IF(P87&lt;&gt;"",SUMPRODUCT((P$3:P$133&lt;&gt;"")*(G$3:G$133=G87)*(J$3:J$133&gt;J87)*(I$3:I$133="P"))+1,IF(O87&lt;&gt;"",SUMPRODUCT((O$3:O$133&lt;&gt;"")*(P$3:P$133="")*(G$3:G$133=G87)*(J$3:J$133&gt;J87)*(I$3:I$133="P"))+SUMPRODUCT((P$3:P$133&lt;&gt;"")*(G$3:G$133=G87)*(I$3:I$133="P"))+1,IF(N87&lt;&gt;"",SUMPRODUCT((N$3:N$133&lt;&gt;"")*(G$3:G$133=G87)*(J$3:J$133&gt;J87)*(I$3:I$133="P"))+1,IF(M87="P",SUMPRODUCT((O$3:O$133&lt;&gt;"")*(P$3:P$133="")*(G$3:G$133=G87)*(I$3:I$133="P"))+SUMPRODUCT((P$3:P$133&lt;&gt;"")*(G$3:G$133=G87)*(I$3:I$133="P"))+SUMPRODUCT((N$3:N$133&lt;&gt;"")*(G$3:G$133=G87)*(I$3:I$133="P"))+SUMPRODUCT((P$3:P$133="")*(O$3:O$133="")*(N$3:N$133="")*(M$3:M$133="P")*(G$3:G$133=G87)*(J$3:J$133&gt;J87)*(I$3:I$133="P"))+IF(H87="L5",SUMPRODUCT((P$3:P$133="")*(O$3:O$133="")*(N$3:N$133="")*(M$3:M$133="P")*(G$3:G$133=G87)*(J$3:J$133&lt;J87)*(H$3:H$133&lt;&gt;H87)*(I$3:I$133="P")),-1*SUMPRODUCT((P$3:P$133="")*(O$3:O$133="")*(N$3:N$133="")*(M$3:M$133="P")*(G$3:G$133=G87)*(J$3:J$133&gt;J87)*(H$3:H$133="L5")*(I$3:I$133="P")))+1,"")))))</f>
        <v/>
      </c>
      <c r="B87" s="1" t="str" cm="1">
        <f t="array" ref="B87">IF(P87&lt;&gt;"",SUMPRODUCT((P$3:P$133&lt;&gt;"")*(G$3:G$133=G87)*(J$3:J$133&gt;J87))+1,IF(O87&lt;&gt;"",SUMPRODUCT((O$3:O$133&lt;&gt;"")*(P$3:P$133="")*(G$3:G$133=G87)*(J$3:J$133&gt;J87))+SUMPRODUCT((P$3:P$133&lt;&gt;"")*(G$3:G$133=G87))+1,IF(N87&lt;&gt;"",SUMPRODUCT((N$3:N$133&lt;&gt;"")*(G$3:G$133=G87)*(J$3:J$133&gt;J87))+1,IF(M87="P",SUMPRODUCT((O$3:O$133&lt;&gt;"")*(P$3:P$133="")*(G$3:G$133=G87))+SUMPRODUCT((P$3:P$133&lt;&gt;"")*(G$3:G$133=G87))+SUMPRODUCT((N$3:N$133&lt;&gt;"")*(G$3:G$133=G87))+SUMPRODUCT((P$3:P$133="")*(O$3:O$133="")*(N$3:N$133="")*(M$3:M$133="P")*(G$3:G$133=G87)*(J$3:J$133&gt;J87))+IF(H87="L5",SUMPRODUCT((P$3:P$133="")*(O$3:O$133="")*(N$3:N$133="")*(M$3:M$133="P")*(G$3:G$133=G87)*(J$3:J$133&lt;J87)*(H$3:H$133&lt;&gt;H87)),-1*SUMPRODUCT((P$3:P$133="")*(O$3:O$133="")*(N$3:N$133="")*(M$3:M$133="P")*(G$3:G$133=G87)*(J$3:J$133&gt;J87)*(H$3:H$133="L5")))+1,""))))</f>
        <v/>
      </c>
      <c r="C87" s="36" t="s">
        <v>462</v>
      </c>
      <c r="D87" s="36" t="str">
        <f>IF(E87="","",VLOOKUP(E87,'Coaching Points'!A:B,2,0))</f>
        <v>QC</v>
      </c>
      <c r="E87" s="36" t="s">
        <v>96</v>
      </c>
      <c r="F87" s="35">
        <v>2008</v>
      </c>
      <c r="G87" s="1" t="str">
        <f>IF(OR('Qualifying Scores'!$B$1-F87&gt;21,'Qualifying Scores'!$B$1-F87&lt;11),"Not Age Eligible",IF('Qualifying Scores'!$B$1-F87&gt;16,"17-21",IF('Qualifying Scores'!$B$1-F87&gt;14,"15-16",IF('Qualifying Scores'!$B$1-F87&gt;12,"13-14",IF('Qualifying Scores'!$B$1-F87&gt;10,"11-12","Not Age Eligible")))))</f>
        <v>15-16</v>
      </c>
      <c r="H87" s="39" t="s">
        <v>66</v>
      </c>
      <c r="I87" s="43" t="s">
        <v>567</v>
      </c>
      <c r="J87" s="4">
        <f>R87+S87+IF(OR(H87="Junior",H87="Senior"),0.0002,IF(OR(H87="L7",H87="L6"),0.0001,0))+IF(G87="17-21",MAX(AA87,AC87,AF87),AE87)*0.0000001</f>
        <v>134.48000883100002</v>
      </c>
      <c r="K87" s="3" t="str">
        <f>IF(G87="Not Age Eligible","",IF(G87="17-21",IF(MAX(T87,V87,Y87,AA87,AC87,AF87)&gt;=LOOKUP(G87,'Qualifying Scores'!$A$4:$A$7,'Qualifying Scores'!$C$4:$C$7),"P",""),IF(MAX(X87-U87,AE87-AB87)&gt;=LOOKUP(G87,'Qualifying Scores'!$A$4:$A$7,'Qualifying Scores'!$C$4:$C$7),"P","")))</f>
        <v/>
      </c>
      <c r="L87" s="3" t="str">
        <f>IF(G87="Not Age Eligible","",IF(G87="17-21",IF(MAX(U87,W87,Z87,AB87,AD87,AG87)&gt;=LOOKUP(G87,'Qualifying Scores'!$A$10:$A$13,'Qualifying Scores'!$C$10:$C$13),"P",""),IF(MAX(W87,AD87)&gt;=LOOKUP(G87,'Qualifying Scores'!$A$10:$A$13,'Qualifying Scores'!$C$10:$C$13),"P","")))</f>
        <v/>
      </c>
      <c r="M87" s="3" t="str">
        <f>IF(G87="Not Age Eligible","",IF(G87="17-21",IF(OR(AND(T87&gt;=LOOKUP(G87,'Qualifying Scores'!$A$4:$A$7,'Qualifying Scores'!$C$4:$C$7),U87&gt;=LOOKUP(G87,'Qualifying Scores'!$A$10:$A$13,'Qualifying Scores'!$C$10:$C$13)),AND(V87&gt;=LOOKUP(G87,'Qualifying Scores'!$A$4:$A$7,'Qualifying Scores'!$C$4:$C$7),W87&gt;=LOOKUP(G87,'Qualifying Scores'!$A$10:$A$13,'Qualifying Scores'!$C$10:$C$13)),AND(Y87&gt;=LOOKUP(G87,'Qualifying Scores'!$A$4:$A$7,'Qualifying Scores'!$C$4:$C$7),Z87&gt;=LOOKUP(G87,'Qualifying Scores'!$A$10:$A$13,'Qualifying Scores'!$C$10:$C$13)),AND(AA87&gt;=LOOKUP(G87,'Qualifying Scores'!$A$4:$A$7,'Qualifying Scores'!$C$4:$C$7),AB87&gt;=LOOKUP(G87,'Qualifying Scores'!$A$10:$A$13,'Qualifying Scores'!$C$10:$C$13)),AND(AC87&gt;=LOOKUP(G87,'Qualifying Scores'!$A$4:$A$7,'Qualifying Scores'!$C$4:$C$7),AD87&gt;=LOOKUP(G87,'Qualifying Scores'!$A$10:$A$13,'Qualifying Scores'!$C$10:$C$13)),AND(AF87&gt;=LOOKUP(G87,'Qualifying Scores'!$A$4:$A$7,'Qualifying Scores'!$C$4:$C$7),AG87&gt;=LOOKUP(G87,'Qualifying Scores'!$A$10:$A$13,'Qualifying Scores'!$C$10:$C$13))),"P",""),IF(OR(AND(X87-U87&gt;=LOOKUP(G87,'Qualifying Scores'!$A$4:$A$7,'Qualifying Scores'!$C$4:$C$7),W87&gt;=LOOKUP(G87,'Qualifying Scores'!$A$10:$A$13,'Qualifying Scores'!$C$10:$C$13)),AND(AE87-AB87&gt;=LOOKUP(G87,'Qualifying Scores'!$A$4:$A$7,'Qualifying Scores'!$C$4:$C$7),AD87&gt;=LOOKUP(G87,'Qualifying Scores'!$A$10:$A$13,'Qualifying Scores'!$C$10:$C$13))),"P","")))</f>
        <v/>
      </c>
      <c r="Q87" s="1" t="str">
        <f>IF(A87&lt;5,IF(_xlfn.MAXIFS(A:A,G:G,G87)&gt;3,5-A87,_xlfn.MAXIFS(A:A,G:G,G87)+1-A87),"")</f>
        <v/>
      </c>
      <c r="R87" s="4">
        <f>IF(G87="17-21",MAX(T87,V87,Y87,AA87,AC87,AF87),MAX(X87,AE87))</f>
        <v>88.31</v>
      </c>
      <c r="S87" s="4">
        <f>IF(G87="17-21",LARGE(CHOOSE({1,2,3,4,5,6},T87,V87,Y87,AA87,AC87,AF87),2),IF(R87=X87,MAX(Y87,AA87,AC87,AF87),IF(R87=AE87,MAX(AF87,T87,V87,Y87),0)))</f>
        <v>46.17</v>
      </c>
      <c r="T87" s="33"/>
      <c r="U87" s="40"/>
      <c r="V87" s="34"/>
      <c r="W87" s="40"/>
      <c r="X87" s="4">
        <f>IF(H87="Senior",MAX(T87,V87),T87+V87)</f>
        <v>0</v>
      </c>
      <c r="Y87" s="34"/>
      <c r="Z87" s="40"/>
      <c r="AA87" s="33">
        <v>40.869999999999997</v>
      </c>
      <c r="AB87" s="40">
        <v>0</v>
      </c>
      <c r="AC87" s="34">
        <v>47.44</v>
      </c>
      <c r="AD87" s="40">
        <v>7.9</v>
      </c>
      <c r="AE87" s="4">
        <f>IF(H87="Senior",MAX(AA87,AC87),AA87+AC87)</f>
        <v>88.31</v>
      </c>
      <c r="AF87" s="34">
        <v>46.17</v>
      </c>
      <c r="AG87" s="37">
        <v>7.9</v>
      </c>
    </row>
    <row r="88" spans="1:33" x14ac:dyDescent="0.2">
      <c r="A88" s="1" t="str" cm="1">
        <f t="array" ref="A88">IF(I88="","",IF(P88&lt;&gt;"",SUMPRODUCT((P$3:P$133&lt;&gt;"")*(G$3:G$133=G88)*(J$3:J$133&gt;J88)*(I$3:I$133="P"))+1,IF(O88&lt;&gt;"",SUMPRODUCT((O$3:O$133&lt;&gt;"")*(P$3:P$133="")*(G$3:G$133=G88)*(J$3:J$133&gt;J88)*(I$3:I$133="P"))+SUMPRODUCT((P$3:P$133&lt;&gt;"")*(G$3:G$133=G88)*(I$3:I$133="P"))+1,IF(N88&lt;&gt;"",SUMPRODUCT((N$3:N$133&lt;&gt;"")*(G$3:G$133=G88)*(J$3:J$133&gt;J88)*(I$3:I$133="P"))+1,IF(M88="P",SUMPRODUCT((O$3:O$133&lt;&gt;"")*(P$3:P$133="")*(G$3:G$133=G88)*(I$3:I$133="P"))+SUMPRODUCT((P$3:P$133&lt;&gt;"")*(G$3:G$133=G88)*(I$3:I$133="P"))+SUMPRODUCT((N$3:N$133&lt;&gt;"")*(G$3:G$133=G88)*(I$3:I$133="P"))+SUMPRODUCT((P$3:P$133="")*(O$3:O$133="")*(N$3:N$133="")*(M$3:M$133="P")*(G$3:G$133=G88)*(J$3:J$133&gt;J88)*(I$3:I$133="P"))+IF(H88="L5",SUMPRODUCT((P$3:P$133="")*(O$3:O$133="")*(N$3:N$133="")*(M$3:M$133="P")*(G$3:G$133=G88)*(J$3:J$133&lt;J88)*(H$3:H$133&lt;&gt;H88)*(I$3:I$133="P")),-1*SUMPRODUCT((P$3:P$133="")*(O$3:O$133="")*(N$3:N$133="")*(M$3:M$133="P")*(G$3:G$133=G88)*(J$3:J$133&gt;J88)*(H$3:H$133="L5")*(I$3:I$133="P")))+1,"")))))</f>
        <v/>
      </c>
      <c r="B88" s="1" t="str" cm="1">
        <f t="array" ref="B88">IF(P88&lt;&gt;"",SUMPRODUCT((P$3:P$133&lt;&gt;"")*(G$3:G$133=G88)*(J$3:J$133&gt;J88))+1,IF(O88&lt;&gt;"",SUMPRODUCT((O$3:O$133&lt;&gt;"")*(P$3:P$133="")*(G$3:G$133=G88)*(J$3:J$133&gt;J88))+SUMPRODUCT((P$3:P$133&lt;&gt;"")*(G$3:G$133=G88))+1,IF(N88&lt;&gt;"",SUMPRODUCT((N$3:N$133&lt;&gt;"")*(G$3:G$133=G88)*(J$3:J$133&gt;J88))+1,IF(M88="P",SUMPRODUCT((O$3:O$133&lt;&gt;"")*(P$3:P$133="")*(G$3:G$133=G88))+SUMPRODUCT((P$3:P$133&lt;&gt;"")*(G$3:G$133=G88))+SUMPRODUCT((N$3:N$133&lt;&gt;"")*(G$3:G$133=G88))+SUMPRODUCT((P$3:P$133="")*(O$3:O$133="")*(N$3:N$133="")*(M$3:M$133="P")*(G$3:G$133=G88)*(J$3:J$133&gt;J88))+IF(H88="L5",SUMPRODUCT((P$3:P$133="")*(O$3:O$133="")*(N$3:N$133="")*(M$3:M$133="P")*(G$3:G$133=G88)*(J$3:J$133&lt;J88)*(H$3:H$133&lt;&gt;H88)),-1*SUMPRODUCT((P$3:P$133="")*(O$3:O$133="")*(N$3:N$133="")*(M$3:M$133="P")*(G$3:G$133=G88)*(J$3:J$133&gt;J88)*(H$3:H$133="L5")))+1,""))))</f>
        <v/>
      </c>
      <c r="C88" s="36" t="s">
        <v>300</v>
      </c>
      <c r="D88" s="36" t="str">
        <f>IF(E88="","",VLOOKUP(E88,'Coaching Points'!A:B,2,0))</f>
        <v>AB</v>
      </c>
      <c r="E88" s="36" t="s">
        <v>29</v>
      </c>
      <c r="F88" s="35">
        <v>2007</v>
      </c>
      <c r="G88" s="1" t="str">
        <f>IF(OR('Qualifying Scores'!$B$1-F88&gt;21,'Qualifying Scores'!$B$1-F88&lt;11),"Not Age Eligible",IF('Qualifying Scores'!$B$1-F88&gt;16,"17-21",IF('Qualifying Scores'!$B$1-F88&gt;14,"15-16",IF('Qualifying Scores'!$B$1-F88&gt;12,"13-14",IF('Qualifying Scores'!$B$1-F88&gt;10,"11-12","Not Age Eligible")))))</f>
        <v>15-16</v>
      </c>
      <c r="H88" s="39" t="s">
        <v>66</v>
      </c>
      <c r="I88" s="43" t="s">
        <v>567</v>
      </c>
      <c r="J88" s="4">
        <f>R88+S88+IF(OR(H88="Junior",H88="Senior"),0.0002,IF(OR(H88="L7",H88="L6"),0.0001,0))+IF(G88="17-21",MAX(AA88,AC88,AF88),AE88)*0.0000001</f>
        <v>132.34000867599997</v>
      </c>
      <c r="K88" s="3" t="str">
        <f>IF(G88="Not Age Eligible","",IF(G88="17-21",IF(MAX(T88,V88,Y88,AA88,AC88,AF88)&gt;=LOOKUP(G88,'Qualifying Scores'!$A$4:$A$7,'Qualifying Scores'!$C$4:$C$7),"P",""),IF(MAX(X88-U88,AE88-AB88)&gt;=LOOKUP(G88,'Qualifying Scores'!$A$4:$A$7,'Qualifying Scores'!$C$4:$C$7),"P","")))</f>
        <v/>
      </c>
      <c r="L88" s="3" t="str">
        <f>IF(G88="Not Age Eligible","",IF(G88="17-21",IF(MAX(U88,W88,Z88,AB88,AD88,AG88)&gt;=LOOKUP(G88,'Qualifying Scores'!$A$10:$A$13,'Qualifying Scores'!$C$10:$C$13),"P",""),IF(MAX(W88,AD88)&gt;=LOOKUP(G88,'Qualifying Scores'!$A$10:$A$13,'Qualifying Scores'!$C$10:$C$13),"P","")))</f>
        <v>P</v>
      </c>
      <c r="M88" s="3" t="str">
        <f>IF(G88="Not Age Eligible","",IF(G88="17-21",IF(OR(AND(T88&gt;=LOOKUP(G88,'Qualifying Scores'!$A$4:$A$7,'Qualifying Scores'!$C$4:$C$7),U88&gt;=LOOKUP(G88,'Qualifying Scores'!$A$10:$A$13,'Qualifying Scores'!$C$10:$C$13)),AND(V88&gt;=LOOKUP(G88,'Qualifying Scores'!$A$4:$A$7,'Qualifying Scores'!$C$4:$C$7),W88&gt;=LOOKUP(G88,'Qualifying Scores'!$A$10:$A$13,'Qualifying Scores'!$C$10:$C$13)),AND(Y88&gt;=LOOKUP(G88,'Qualifying Scores'!$A$4:$A$7,'Qualifying Scores'!$C$4:$C$7),Z88&gt;=LOOKUP(G88,'Qualifying Scores'!$A$10:$A$13,'Qualifying Scores'!$C$10:$C$13)),AND(AA88&gt;=LOOKUP(G88,'Qualifying Scores'!$A$4:$A$7,'Qualifying Scores'!$C$4:$C$7),AB88&gt;=LOOKUP(G88,'Qualifying Scores'!$A$10:$A$13,'Qualifying Scores'!$C$10:$C$13)),AND(AC88&gt;=LOOKUP(G88,'Qualifying Scores'!$A$4:$A$7,'Qualifying Scores'!$C$4:$C$7),AD88&gt;=LOOKUP(G88,'Qualifying Scores'!$A$10:$A$13,'Qualifying Scores'!$C$10:$C$13)),AND(AF88&gt;=LOOKUP(G88,'Qualifying Scores'!$A$4:$A$7,'Qualifying Scores'!$C$4:$C$7),AG88&gt;=LOOKUP(G88,'Qualifying Scores'!$A$10:$A$13,'Qualifying Scores'!$C$10:$C$13))),"P",""),IF(OR(AND(X88-U88&gt;=LOOKUP(G88,'Qualifying Scores'!$A$4:$A$7,'Qualifying Scores'!$C$4:$C$7),W88&gt;=LOOKUP(G88,'Qualifying Scores'!$A$10:$A$13,'Qualifying Scores'!$C$10:$C$13)),AND(AE88-AB88&gt;=LOOKUP(G88,'Qualifying Scores'!$A$4:$A$7,'Qualifying Scores'!$C$4:$C$7),AD88&gt;=LOOKUP(G88,'Qualifying Scores'!$A$10:$A$13,'Qualifying Scores'!$C$10:$C$13))),"P","")))</f>
        <v/>
      </c>
      <c r="Q88" s="1" t="str">
        <f>IF(A88&lt;5,IF(_xlfn.MAXIFS(A:A,G:G,G88)&gt;3,5-A88,_xlfn.MAXIFS(A:A,G:G,G88)+1-A88),"")</f>
        <v/>
      </c>
      <c r="R88" s="4">
        <f>IF(G88="17-21",MAX(T88,V88,Y88,AA88,AC88,AF88),MAX(X88,AE88))</f>
        <v>86.759999999999991</v>
      </c>
      <c r="S88" s="4">
        <f>IF(G88="17-21",LARGE(CHOOSE({1,2,3,4,5,6},T88,V88,Y88,AA88,AC88,AF88),2),IF(R88=X88,MAX(Y88,AA88,AC88,AF88),IF(R88=AE88,MAX(AF88,T88,V88,Y88),0)))</f>
        <v>45.58</v>
      </c>
      <c r="T88" s="33">
        <v>30.55</v>
      </c>
      <c r="U88" s="40">
        <v>0</v>
      </c>
      <c r="V88" s="34">
        <v>43.67</v>
      </c>
      <c r="W88" s="40">
        <v>8.1</v>
      </c>
      <c r="X88" s="4">
        <f>IF(H88="Senior",MAX(T88,V88),T88+V88)</f>
        <v>74.22</v>
      </c>
      <c r="Y88" s="34">
        <v>45.58</v>
      </c>
      <c r="Z88" s="40">
        <v>8.1</v>
      </c>
      <c r="AA88" s="33">
        <v>40.01</v>
      </c>
      <c r="AB88" s="40">
        <v>0</v>
      </c>
      <c r="AC88" s="34">
        <v>46.75</v>
      </c>
      <c r="AD88" s="40">
        <v>8.8000000000000007</v>
      </c>
      <c r="AE88" s="4">
        <f>IF(H88="Senior",MAX(AA88,AC88),AA88+AC88)</f>
        <v>86.759999999999991</v>
      </c>
      <c r="AF88" s="34">
        <v>5.25</v>
      </c>
      <c r="AG88" s="37">
        <v>1.3</v>
      </c>
    </row>
    <row r="89" spans="1:33" x14ac:dyDescent="0.2">
      <c r="A89" s="1" t="str" cm="1">
        <f t="array" ref="A89">IF(I89="","",IF(P89&lt;&gt;"",SUMPRODUCT((P$3:P$133&lt;&gt;"")*(G$3:G$133=G89)*(J$3:J$133&gt;J89)*(I$3:I$133="P"))+1,IF(O89&lt;&gt;"",SUMPRODUCT((O$3:O$133&lt;&gt;"")*(P$3:P$133="")*(G$3:G$133=G89)*(J$3:J$133&gt;J89)*(I$3:I$133="P"))+SUMPRODUCT((P$3:P$133&lt;&gt;"")*(G$3:G$133=G89)*(I$3:I$133="P"))+1,IF(N89&lt;&gt;"",SUMPRODUCT((N$3:N$133&lt;&gt;"")*(G$3:G$133=G89)*(J$3:J$133&gt;J89)*(I$3:I$133="P"))+1,IF(M89="P",SUMPRODUCT((O$3:O$133&lt;&gt;"")*(P$3:P$133="")*(G$3:G$133=G89)*(I$3:I$133="P"))+SUMPRODUCT((P$3:P$133&lt;&gt;"")*(G$3:G$133=G89)*(I$3:I$133="P"))+SUMPRODUCT((N$3:N$133&lt;&gt;"")*(G$3:G$133=G89)*(I$3:I$133="P"))+SUMPRODUCT((P$3:P$133="")*(O$3:O$133="")*(N$3:N$133="")*(M$3:M$133="P")*(G$3:G$133=G89)*(J$3:J$133&gt;J89)*(I$3:I$133="P"))+IF(H89="L5",SUMPRODUCT((P$3:P$133="")*(O$3:O$133="")*(N$3:N$133="")*(M$3:M$133="P")*(G$3:G$133=G89)*(J$3:J$133&lt;J89)*(H$3:H$133&lt;&gt;H89)*(I$3:I$133="P")),-1*SUMPRODUCT((P$3:P$133="")*(O$3:O$133="")*(N$3:N$133="")*(M$3:M$133="P")*(G$3:G$133=G89)*(J$3:J$133&gt;J89)*(H$3:H$133="L5")*(I$3:I$133="P")))+1,"")))))</f>
        <v/>
      </c>
      <c r="B89" s="1" t="str" cm="1">
        <f t="array" ref="B89">IF(P89&lt;&gt;"",SUMPRODUCT((P$3:P$133&lt;&gt;"")*(G$3:G$133=G89)*(J$3:J$133&gt;J89))+1,IF(O89&lt;&gt;"",SUMPRODUCT((O$3:O$133&lt;&gt;"")*(P$3:P$133="")*(G$3:G$133=G89)*(J$3:J$133&gt;J89))+SUMPRODUCT((P$3:P$133&lt;&gt;"")*(G$3:G$133=G89))+1,IF(N89&lt;&gt;"",SUMPRODUCT((N$3:N$133&lt;&gt;"")*(G$3:G$133=G89)*(J$3:J$133&gt;J89))+1,IF(M89="P",SUMPRODUCT((O$3:O$133&lt;&gt;"")*(P$3:P$133="")*(G$3:G$133=G89))+SUMPRODUCT((P$3:P$133&lt;&gt;"")*(G$3:G$133=G89))+SUMPRODUCT((N$3:N$133&lt;&gt;"")*(G$3:G$133=G89))+SUMPRODUCT((P$3:P$133="")*(O$3:O$133="")*(N$3:N$133="")*(M$3:M$133="P")*(G$3:G$133=G89)*(J$3:J$133&gt;J89))+IF(H89="L5",SUMPRODUCT((P$3:P$133="")*(O$3:O$133="")*(N$3:N$133="")*(M$3:M$133="P")*(G$3:G$133=G89)*(J$3:J$133&lt;J89)*(H$3:H$133&lt;&gt;H89)),-1*SUMPRODUCT((P$3:P$133="")*(O$3:O$133="")*(N$3:N$133="")*(M$3:M$133="P")*(G$3:G$133=G89)*(J$3:J$133&gt;J89)*(H$3:H$133="L5")))+1,""))))</f>
        <v/>
      </c>
      <c r="C89" s="36" t="s">
        <v>149</v>
      </c>
      <c r="D89" s="36" t="str">
        <f>IF(E89="","",VLOOKUP(E89,'Coaching Points'!A:B,2,0))</f>
        <v>QC</v>
      </c>
      <c r="E89" s="36" t="s">
        <v>59</v>
      </c>
      <c r="F89" s="35">
        <v>2008</v>
      </c>
      <c r="G89" s="1" t="str">
        <f>IF(OR('Qualifying Scores'!$B$1-F89&gt;21,'Qualifying Scores'!$B$1-F89&lt;11),"Not Age Eligible",IF('Qualifying Scores'!$B$1-F89&gt;16,"17-21",IF('Qualifying Scores'!$B$1-F89&gt;14,"15-16",IF('Qualifying Scores'!$B$1-F89&gt;12,"13-14",IF('Qualifying Scores'!$B$1-F89&gt;10,"11-12","Not Age Eligible")))))</f>
        <v>15-16</v>
      </c>
      <c r="H89" s="39" t="s">
        <v>67</v>
      </c>
      <c r="I89" s="43"/>
      <c r="J89" s="4">
        <f>R89+S89+IF(OR(H89="Junior",H89="Senior"),0.0002,IF(OR(H89="L7",H89="L6"),0.0001,0))+IF(G89="17-21",MAX(AA89,AC89,AF89),AE89)*0.0000001</f>
        <v>131.25010831200001</v>
      </c>
      <c r="K89" s="3" t="str">
        <f>IF(G89="Not Age Eligible","",IF(G89="17-21",IF(MAX(T89,V89,Y89,AA89,AC89,AF89)&gt;=LOOKUP(G89,'Qualifying Scores'!$A$4:$A$7,'Qualifying Scores'!$C$4:$C$7),"P",""),IF(MAX(X89-U89,AE89-AB89)&gt;=LOOKUP(G89,'Qualifying Scores'!$A$4:$A$7,'Qualifying Scores'!$C$4:$C$7),"P","")))</f>
        <v/>
      </c>
      <c r="L89" s="3" t="str">
        <f>IF(G89="Not Age Eligible","",IF(G89="17-21",IF(MAX(U89,W89,Z89,AB89,AD89,AG89)&gt;=LOOKUP(G89,'Qualifying Scores'!$A$10:$A$13,'Qualifying Scores'!$C$10:$C$13),"P",""),IF(MAX(W89,AD89)&gt;=LOOKUP(G89,'Qualifying Scores'!$A$10:$A$13,'Qualifying Scores'!$C$10:$C$13),"P","")))</f>
        <v>P</v>
      </c>
      <c r="M89" s="3" t="str">
        <f>IF(G89="Not Age Eligible","",IF(G89="17-21",IF(OR(AND(T89&gt;=LOOKUP(G89,'Qualifying Scores'!$A$4:$A$7,'Qualifying Scores'!$C$4:$C$7),U89&gt;=LOOKUP(G89,'Qualifying Scores'!$A$10:$A$13,'Qualifying Scores'!$C$10:$C$13)),AND(V89&gt;=LOOKUP(G89,'Qualifying Scores'!$A$4:$A$7,'Qualifying Scores'!$C$4:$C$7),W89&gt;=LOOKUP(G89,'Qualifying Scores'!$A$10:$A$13,'Qualifying Scores'!$C$10:$C$13)),AND(Y89&gt;=LOOKUP(G89,'Qualifying Scores'!$A$4:$A$7,'Qualifying Scores'!$C$4:$C$7),Z89&gt;=LOOKUP(G89,'Qualifying Scores'!$A$10:$A$13,'Qualifying Scores'!$C$10:$C$13)),AND(AA89&gt;=LOOKUP(G89,'Qualifying Scores'!$A$4:$A$7,'Qualifying Scores'!$C$4:$C$7),AB89&gt;=LOOKUP(G89,'Qualifying Scores'!$A$10:$A$13,'Qualifying Scores'!$C$10:$C$13)),AND(AC89&gt;=LOOKUP(G89,'Qualifying Scores'!$A$4:$A$7,'Qualifying Scores'!$C$4:$C$7),AD89&gt;=LOOKUP(G89,'Qualifying Scores'!$A$10:$A$13,'Qualifying Scores'!$C$10:$C$13)),AND(AF89&gt;=LOOKUP(G89,'Qualifying Scores'!$A$4:$A$7,'Qualifying Scores'!$C$4:$C$7),AG89&gt;=LOOKUP(G89,'Qualifying Scores'!$A$10:$A$13,'Qualifying Scores'!$C$10:$C$13))),"P",""),IF(OR(AND(X89-U89&gt;=LOOKUP(G89,'Qualifying Scores'!$A$4:$A$7,'Qualifying Scores'!$C$4:$C$7),W89&gt;=LOOKUP(G89,'Qualifying Scores'!$A$10:$A$13,'Qualifying Scores'!$C$10:$C$13)),AND(AE89-AB89&gt;=LOOKUP(G89,'Qualifying Scores'!$A$4:$A$7,'Qualifying Scores'!$C$4:$C$7),AD89&gt;=LOOKUP(G89,'Qualifying Scores'!$A$10:$A$13,'Qualifying Scores'!$C$10:$C$13))),"P","")))</f>
        <v/>
      </c>
      <c r="Q89" s="1" t="str">
        <f>IF(A89&lt;5,IF(_xlfn.MAXIFS(A:A,G:G,G89)&gt;3,5-A89,_xlfn.MAXIFS(A:A,G:G,G89)+1-A89),"")</f>
        <v/>
      </c>
      <c r="R89" s="4">
        <f>IF(G89="17-21",MAX(T89,V89,Y89,AA89,AC89,AF89),MAX(X89,AE89))</f>
        <v>84.68</v>
      </c>
      <c r="S89" s="4">
        <f>IF(G89="17-21",LARGE(CHOOSE({1,2,3,4,5,6},T89,V89,Y89,AA89,AC89,AF89),2),IF(R89=X89,MAX(Y89,AA89,AC89,AF89),IF(R89=AE89,MAX(AF89,T89,V89,Y89),0)))</f>
        <v>46.57</v>
      </c>
      <c r="T89" s="33">
        <v>39.54</v>
      </c>
      <c r="U89" s="40">
        <v>0</v>
      </c>
      <c r="V89" s="34">
        <v>45.14</v>
      </c>
      <c r="W89" s="40">
        <v>9.1</v>
      </c>
      <c r="X89" s="4">
        <f>IF(H89="Senior",MAX(T89,V89),T89+V89)</f>
        <v>84.68</v>
      </c>
      <c r="Y89" s="34">
        <v>46.57</v>
      </c>
      <c r="Z89" s="40">
        <v>9.1</v>
      </c>
      <c r="AA89" s="33">
        <v>38.85</v>
      </c>
      <c r="AB89" s="40">
        <v>0</v>
      </c>
      <c r="AC89" s="34">
        <v>44.27</v>
      </c>
      <c r="AD89" s="40">
        <v>9.5</v>
      </c>
      <c r="AE89" s="4">
        <f>IF(H89="Senior",MAX(AA89,AC89),AA89+AC89)</f>
        <v>83.12</v>
      </c>
      <c r="AF89" s="34">
        <v>44.3</v>
      </c>
      <c r="AG89" s="37">
        <v>8.8000000000000007</v>
      </c>
    </row>
    <row r="90" spans="1:33" x14ac:dyDescent="0.2">
      <c r="A90" s="1" t="str" cm="1">
        <f t="array" ref="A90">IF(I90="","",IF(P90&lt;&gt;"",SUMPRODUCT((P$3:P$133&lt;&gt;"")*(G$3:G$133=G90)*(J$3:J$133&gt;J90)*(I$3:I$133="P"))+1,IF(O90&lt;&gt;"",SUMPRODUCT((O$3:O$133&lt;&gt;"")*(P$3:P$133="")*(G$3:G$133=G90)*(J$3:J$133&gt;J90)*(I$3:I$133="P"))+SUMPRODUCT((P$3:P$133&lt;&gt;"")*(G$3:G$133=G90)*(I$3:I$133="P"))+1,IF(N90&lt;&gt;"",SUMPRODUCT((N$3:N$133&lt;&gt;"")*(G$3:G$133=G90)*(J$3:J$133&gt;J90)*(I$3:I$133="P"))+1,IF(M90="P",SUMPRODUCT((O$3:O$133&lt;&gt;"")*(P$3:P$133="")*(G$3:G$133=G90)*(I$3:I$133="P"))+SUMPRODUCT((P$3:P$133&lt;&gt;"")*(G$3:G$133=G90)*(I$3:I$133="P"))+SUMPRODUCT((N$3:N$133&lt;&gt;"")*(G$3:G$133=G90)*(I$3:I$133="P"))+SUMPRODUCT((P$3:P$133="")*(O$3:O$133="")*(N$3:N$133="")*(M$3:M$133="P")*(G$3:G$133=G90)*(J$3:J$133&gt;J90)*(I$3:I$133="P"))+IF(H90="L5",SUMPRODUCT((P$3:P$133="")*(O$3:O$133="")*(N$3:N$133="")*(M$3:M$133="P")*(G$3:G$133=G90)*(J$3:J$133&lt;J90)*(H$3:H$133&lt;&gt;H90)*(I$3:I$133="P")),-1*SUMPRODUCT((P$3:P$133="")*(O$3:O$133="")*(N$3:N$133="")*(M$3:M$133="P")*(G$3:G$133=G90)*(J$3:J$133&gt;J90)*(H$3:H$133="L5")*(I$3:I$133="P")))+1,"")))))</f>
        <v/>
      </c>
      <c r="B90" s="1" t="str" cm="1">
        <f t="array" ref="B90">IF(P90&lt;&gt;"",SUMPRODUCT((P$3:P$133&lt;&gt;"")*(G$3:G$133=G90)*(J$3:J$133&gt;J90))+1,IF(O90&lt;&gt;"",SUMPRODUCT((O$3:O$133&lt;&gt;"")*(P$3:P$133="")*(G$3:G$133=G90)*(J$3:J$133&gt;J90))+SUMPRODUCT((P$3:P$133&lt;&gt;"")*(G$3:G$133=G90))+1,IF(N90&lt;&gt;"",SUMPRODUCT((N$3:N$133&lt;&gt;"")*(G$3:G$133=G90)*(J$3:J$133&gt;J90))+1,IF(M90="P",SUMPRODUCT((O$3:O$133&lt;&gt;"")*(P$3:P$133="")*(G$3:G$133=G90))+SUMPRODUCT((P$3:P$133&lt;&gt;"")*(G$3:G$133=G90))+SUMPRODUCT((N$3:N$133&lt;&gt;"")*(G$3:G$133=G90))+SUMPRODUCT((P$3:P$133="")*(O$3:O$133="")*(N$3:N$133="")*(M$3:M$133="P")*(G$3:G$133=G90)*(J$3:J$133&gt;J90))+IF(H90="L5",SUMPRODUCT((P$3:P$133="")*(O$3:O$133="")*(N$3:N$133="")*(M$3:M$133="P")*(G$3:G$133=G90)*(J$3:J$133&lt;J90)*(H$3:H$133&lt;&gt;H90)),-1*SUMPRODUCT((P$3:P$133="")*(O$3:O$133="")*(N$3:N$133="")*(M$3:M$133="P")*(G$3:G$133=G90)*(J$3:J$133&gt;J90)*(H$3:H$133="L5")))+1,""))))</f>
        <v/>
      </c>
      <c r="C90" s="36" t="s">
        <v>244</v>
      </c>
      <c r="D90" s="36" t="str">
        <f>IF(E90="","",VLOOKUP(E90,'Coaching Points'!A:B,2,0))</f>
        <v>NS</v>
      </c>
      <c r="E90" s="36" t="s">
        <v>134</v>
      </c>
      <c r="F90" s="35">
        <v>2007</v>
      </c>
      <c r="G90" s="1" t="str">
        <f>IF(OR('Qualifying Scores'!$B$1-F90&gt;21,'Qualifying Scores'!$B$1-F90&lt;11),"Not Age Eligible",IF('Qualifying Scores'!$B$1-F90&gt;16,"17-21",IF('Qualifying Scores'!$B$1-F90&gt;14,"15-16",IF('Qualifying Scores'!$B$1-F90&gt;12,"13-14",IF('Qualifying Scores'!$B$1-F90&gt;10,"11-12","Not Age Eligible")))))</f>
        <v>15-16</v>
      </c>
      <c r="H90" s="39" t="s">
        <v>66</v>
      </c>
      <c r="I90" s="43"/>
      <c r="J90" s="4">
        <f>R90+S90+IF(OR(H90="Junior",H90="Senior"),0.0002,IF(OR(H90="L7",H90="L6"),0.0001,0))+IF(G90="17-21",MAX(AA90,AC90,AF90),AE90)*0.0000001</f>
        <v>130.99000846200002</v>
      </c>
      <c r="K90" s="3" t="str">
        <f>IF(G90="Not Age Eligible","",IF(G90="17-21",IF(MAX(T90,V90,Y90,AA90,AC90,AF90)&gt;=LOOKUP(G90,'Qualifying Scores'!$A$4:$A$7,'Qualifying Scores'!$C$4:$C$7),"P",""),IF(MAX(X90-U90,AE90-AB90)&gt;=LOOKUP(G90,'Qualifying Scores'!$A$4:$A$7,'Qualifying Scores'!$C$4:$C$7),"P","")))</f>
        <v/>
      </c>
      <c r="L90" s="3" t="str">
        <f>IF(G90="Not Age Eligible","",IF(G90="17-21",IF(MAX(U90,W90,Z90,AB90,AD90,AG90)&gt;=LOOKUP(G90,'Qualifying Scores'!$A$10:$A$13,'Qualifying Scores'!$C$10:$C$13),"P",""),IF(MAX(W90,AD90)&gt;=LOOKUP(G90,'Qualifying Scores'!$A$10:$A$13,'Qualifying Scores'!$C$10:$C$13),"P","")))</f>
        <v/>
      </c>
      <c r="M90" s="3" t="str">
        <f>IF(G90="Not Age Eligible","",IF(G90="17-21",IF(OR(AND(T90&gt;=LOOKUP(G90,'Qualifying Scores'!$A$4:$A$7,'Qualifying Scores'!$C$4:$C$7),U90&gt;=LOOKUP(G90,'Qualifying Scores'!$A$10:$A$13,'Qualifying Scores'!$C$10:$C$13)),AND(V90&gt;=LOOKUP(G90,'Qualifying Scores'!$A$4:$A$7,'Qualifying Scores'!$C$4:$C$7),W90&gt;=LOOKUP(G90,'Qualifying Scores'!$A$10:$A$13,'Qualifying Scores'!$C$10:$C$13)),AND(Y90&gt;=LOOKUP(G90,'Qualifying Scores'!$A$4:$A$7,'Qualifying Scores'!$C$4:$C$7),Z90&gt;=LOOKUP(G90,'Qualifying Scores'!$A$10:$A$13,'Qualifying Scores'!$C$10:$C$13)),AND(AA90&gt;=LOOKUP(G90,'Qualifying Scores'!$A$4:$A$7,'Qualifying Scores'!$C$4:$C$7),AB90&gt;=LOOKUP(G90,'Qualifying Scores'!$A$10:$A$13,'Qualifying Scores'!$C$10:$C$13)),AND(AC90&gt;=LOOKUP(G90,'Qualifying Scores'!$A$4:$A$7,'Qualifying Scores'!$C$4:$C$7),AD90&gt;=LOOKUP(G90,'Qualifying Scores'!$A$10:$A$13,'Qualifying Scores'!$C$10:$C$13)),AND(AF90&gt;=LOOKUP(G90,'Qualifying Scores'!$A$4:$A$7,'Qualifying Scores'!$C$4:$C$7),AG90&gt;=LOOKUP(G90,'Qualifying Scores'!$A$10:$A$13,'Qualifying Scores'!$C$10:$C$13))),"P",""),IF(OR(AND(X90-U90&gt;=LOOKUP(G90,'Qualifying Scores'!$A$4:$A$7,'Qualifying Scores'!$C$4:$C$7),W90&gt;=LOOKUP(G90,'Qualifying Scores'!$A$10:$A$13,'Qualifying Scores'!$C$10:$C$13)),AND(AE90-AB90&gt;=LOOKUP(G90,'Qualifying Scores'!$A$4:$A$7,'Qualifying Scores'!$C$4:$C$7),AD90&gt;=LOOKUP(G90,'Qualifying Scores'!$A$10:$A$13,'Qualifying Scores'!$C$10:$C$13))),"P","")))</f>
        <v/>
      </c>
      <c r="Q90" s="1" t="str">
        <f>IF(A90&lt;5,IF(_xlfn.MAXIFS(A:A,G:G,G90)&gt;3,5-A90,_xlfn.MAXIFS(A:A,G:G,G90)+1-A90),"")</f>
        <v/>
      </c>
      <c r="R90" s="4">
        <f>IF(G90="17-21",MAX(T90,V90,Y90,AA90,AC90,AF90),MAX(X90,AE90))</f>
        <v>84.62</v>
      </c>
      <c r="S90" s="4">
        <f>IF(G90="17-21",LARGE(CHOOSE({1,2,3,4,5,6},T90,V90,Y90,AA90,AC90,AF90),2),IF(R90=X90,MAX(Y90,AA90,AC90,AF90),IF(R90=AE90,MAX(AF90,T90,V90,Y90),0)))</f>
        <v>46.37</v>
      </c>
      <c r="T90" s="33">
        <v>36.4</v>
      </c>
      <c r="U90" s="40">
        <v>0</v>
      </c>
      <c r="V90" s="34">
        <v>16.82</v>
      </c>
      <c r="W90" s="40">
        <v>2.6</v>
      </c>
      <c r="X90" s="4">
        <f>IF(H90="Senior",MAX(T90,V90),T90+V90)</f>
        <v>53.22</v>
      </c>
      <c r="Y90" s="34"/>
      <c r="Z90" s="40"/>
      <c r="AA90" s="33">
        <v>38.549999999999997</v>
      </c>
      <c r="AB90" s="40">
        <v>0</v>
      </c>
      <c r="AC90" s="34">
        <v>46.07</v>
      </c>
      <c r="AD90" s="40">
        <v>7.8</v>
      </c>
      <c r="AE90" s="4">
        <f>IF(H90="Senior",MAX(AA90,AC90),AA90+AC90)</f>
        <v>84.62</v>
      </c>
      <c r="AF90" s="34">
        <v>46.37</v>
      </c>
      <c r="AG90" s="37">
        <v>7.8</v>
      </c>
    </row>
    <row r="91" spans="1:33" x14ac:dyDescent="0.2">
      <c r="A91" s="1" t="str" cm="1">
        <f t="array" ref="A91">IF(I91="","",IF(P91&lt;&gt;"",SUMPRODUCT((P$3:P$133&lt;&gt;"")*(G$3:G$133=G91)*(J$3:J$133&gt;J91)*(I$3:I$133="P"))+1,IF(O91&lt;&gt;"",SUMPRODUCT((O$3:O$133&lt;&gt;"")*(P$3:P$133="")*(G$3:G$133=G91)*(J$3:J$133&gt;J91)*(I$3:I$133="P"))+SUMPRODUCT((P$3:P$133&lt;&gt;"")*(G$3:G$133=G91)*(I$3:I$133="P"))+1,IF(N91&lt;&gt;"",SUMPRODUCT((N$3:N$133&lt;&gt;"")*(G$3:G$133=G91)*(J$3:J$133&gt;J91)*(I$3:I$133="P"))+1,IF(M91="P",SUMPRODUCT((O$3:O$133&lt;&gt;"")*(P$3:P$133="")*(G$3:G$133=G91)*(I$3:I$133="P"))+SUMPRODUCT((P$3:P$133&lt;&gt;"")*(G$3:G$133=G91)*(I$3:I$133="P"))+SUMPRODUCT((N$3:N$133&lt;&gt;"")*(G$3:G$133=G91)*(I$3:I$133="P"))+SUMPRODUCT((P$3:P$133="")*(O$3:O$133="")*(N$3:N$133="")*(M$3:M$133="P")*(G$3:G$133=G91)*(J$3:J$133&gt;J91)*(I$3:I$133="P"))+IF(H91="L5",SUMPRODUCT((P$3:P$133="")*(O$3:O$133="")*(N$3:N$133="")*(M$3:M$133="P")*(G$3:G$133=G91)*(J$3:J$133&lt;J91)*(H$3:H$133&lt;&gt;H91)*(I$3:I$133="P")),-1*SUMPRODUCT((P$3:P$133="")*(O$3:O$133="")*(N$3:N$133="")*(M$3:M$133="P")*(G$3:G$133=G91)*(J$3:J$133&gt;J91)*(H$3:H$133="L5")*(I$3:I$133="P")))+1,"")))))</f>
        <v/>
      </c>
      <c r="B91" s="1" t="str" cm="1">
        <f t="array" ref="B91">IF(P91&lt;&gt;"",SUMPRODUCT((P$3:P$133&lt;&gt;"")*(G$3:G$133=G91)*(J$3:J$133&gt;J91))+1,IF(O91&lt;&gt;"",SUMPRODUCT((O$3:O$133&lt;&gt;"")*(P$3:P$133="")*(G$3:G$133=G91)*(J$3:J$133&gt;J91))+SUMPRODUCT((P$3:P$133&lt;&gt;"")*(G$3:G$133=G91))+1,IF(N91&lt;&gt;"",SUMPRODUCT((N$3:N$133&lt;&gt;"")*(G$3:G$133=G91)*(J$3:J$133&gt;J91))+1,IF(M91="P",SUMPRODUCT((O$3:O$133&lt;&gt;"")*(P$3:P$133="")*(G$3:G$133=G91))+SUMPRODUCT((P$3:P$133&lt;&gt;"")*(G$3:G$133=G91))+SUMPRODUCT((N$3:N$133&lt;&gt;"")*(G$3:G$133=G91))+SUMPRODUCT((P$3:P$133="")*(O$3:O$133="")*(N$3:N$133="")*(M$3:M$133="P")*(G$3:G$133=G91)*(J$3:J$133&gt;J91))+IF(H91="L5",SUMPRODUCT((P$3:P$133="")*(O$3:O$133="")*(N$3:N$133="")*(M$3:M$133="P")*(G$3:G$133=G91)*(J$3:J$133&lt;J91)*(H$3:H$133&lt;&gt;H91)),-1*SUMPRODUCT((P$3:P$133="")*(O$3:O$133="")*(N$3:N$133="")*(M$3:M$133="P")*(G$3:G$133=G91)*(J$3:J$133&gt;J91)*(H$3:H$133="L5")))+1,""))))</f>
        <v/>
      </c>
      <c r="C91" s="36" t="s">
        <v>301</v>
      </c>
      <c r="D91" s="36" t="str">
        <f>IF(E91="","",VLOOKUP(E91,'Coaching Points'!A:B,2,0))</f>
        <v>BC</v>
      </c>
      <c r="E91" s="36" t="s">
        <v>57</v>
      </c>
      <c r="F91" s="35">
        <v>2008</v>
      </c>
      <c r="G91" s="1" t="str">
        <f>IF(OR('Qualifying Scores'!$B$1-F91&gt;21,'Qualifying Scores'!$B$1-F91&lt;11),"Not Age Eligible",IF('Qualifying Scores'!$B$1-F91&gt;16,"17-21",IF('Qualifying Scores'!$B$1-F91&gt;14,"15-16",IF('Qualifying Scores'!$B$1-F91&gt;12,"13-14",IF('Qualifying Scores'!$B$1-F91&gt;10,"11-12","Not Age Eligible")))))</f>
        <v>15-16</v>
      </c>
      <c r="H91" s="39" t="s">
        <v>66</v>
      </c>
      <c r="I91" s="43" t="s">
        <v>567</v>
      </c>
      <c r="J91" s="4">
        <f>R91+S91+IF(OR(H91="Junior",H91="Senior"),0.0002,IF(OR(H91="L7",H91="L6"),0.0001,0))+IF(G91="17-21",MAX(AA91,AC91,AF91),AE91)*0.0000001</f>
        <v>130.30000843500002</v>
      </c>
      <c r="K91" s="3" t="str">
        <f>IF(G91="Not Age Eligible","",IF(G91="17-21",IF(MAX(T91,V91,Y91,AA91,AC91,AF91)&gt;=LOOKUP(G91,'Qualifying Scores'!$A$4:$A$7,'Qualifying Scores'!$C$4:$C$7),"P",""),IF(MAX(X91-U91,AE91-AB91)&gt;=LOOKUP(G91,'Qualifying Scores'!$A$4:$A$7,'Qualifying Scores'!$C$4:$C$7),"P","")))</f>
        <v/>
      </c>
      <c r="L91" s="3" t="str">
        <f>IF(G91="Not Age Eligible","",IF(G91="17-21",IF(MAX(U91,W91,Z91,AB91,AD91,AG91)&gt;=LOOKUP(G91,'Qualifying Scores'!$A$10:$A$13,'Qualifying Scores'!$C$10:$C$13),"P",""),IF(MAX(W91,AD91)&gt;=LOOKUP(G91,'Qualifying Scores'!$A$10:$A$13,'Qualifying Scores'!$C$10:$C$13),"P","")))</f>
        <v/>
      </c>
      <c r="M91" s="3" t="str">
        <f>IF(G91="Not Age Eligible","",IF(G91="17-21",IF(OR(AND(T91&gt;=LOOKUP(G91,'Qualifying Scores'!$A$4:$A$7,'Qualifying Scores'!$C$4:$C$7),U91&gt;=LOOKUP(G91,'Qualifying Scores'!$A$10:$A$13,'Qualifying Scores'!$C$10:$C$13)),AND(V91&gt;=LOOKUP(G91,'Qualifying Scores'!$A$4:$A$7,'Qualifying Scores'!$C$4:$C$7),W91&gt;=LOOKUP(G91,'Qualifying Scores'!$A$10:$A$13,'Qualifying Scores'!$C$10:$C$13)),AND(Y91&gt;=LOOKUP(G91,'Qualifying Scores'!$A$4:$A$7,'Qualifying Scores'!$C$4:$C$7),Z91&gt;=LOOKUP(G91,'Qualifying Scores'!$A$10:$A$13,'Qualifying Scores'!$C$10:$C$13)),AND(AA91&gt;=LOOKUP(G91,'Qualifying Scores'!$A$4:$A$7,'Qualifying Scores'!$C$4:$C$7),AB91&gt;=LOOKUP(G91,'Qualifying Scores'!$A$10:$A$13,'Qualifying Scores'!$C$10:$C$13)),AND(AC91&gt;=LOOKUP(G91,'Qualifying Scores'!$A$4:$A$7,'Qualifying Scores'!$C$4:$C$7),AD91&gt;=LOOKUP(G91,'Qualifying Scores'!$A$10:$A$13,'Qualifying Scores'!$C$10:$C$13)),AND(AF91&gt;=LOOKUP(G91,'Qualifying Scores'!$A$4:$A$7,'Qualifying Scores'!$C$4:$C$7),AG91&gt;=LOOKUP(G91,'Qualifying Scores'!$A$10:$A$13,'Qualifying Scores'!$C$10:$C$13))),"P",""),IF(OR(AND(X91-U91&gt;=LOOKUP(G91,'Qualifying Scores'!$A$4:$A$7,'Qualifying Scores'!$C$4:$C$7),W91&gt;=LOOKUP(G91,'Qualifying Scores'!$A$10:$A$13,'Qualifying Scores'!$C$10:$C$13)),AND(AE91-AB91&gt;=LOOKUP(G91,'Qualifying Scores'!$A$4:$A$7,'Qualifying Scores'!$C$4:$C$7),AD91&gt;=LOOKUP(G91,'Qualifying Scores'!$A$10:$A$13,'Qualifying Scores'!$C$10:$C$13))),"P","")))</f>
        <v/>
      </c>
      <c r="Q91" s="1" t="str">
        <f>IF(A91&lt;5,IF(_xlfn.MAXIFS(A:A,G:G,G91)&gt;3,5-A91,_xlfn.MAXIFS(A:A,G:G,G91)+1-A91),"")</f>
        <v/>
      </c>
      <c r="R91" s="4">
        <f>IF(G91="17-21",MAX(T91,V91,Y91,AA91,AC91,AF91),MAX(X91,AE91))</f>
        <v>84.35</v>
      </c>
      <c r="S91" s="4">
        <f>IF(G91="17-21",LARGE(CHOOSE({1,2,3,4,5,6},T91,V91,Y91,AA91,AC91,AF91),2),IF(R91=X91,MAX(Y91,AA91,AC91,AF91),IF(R91=AE91,MAX(AF91,T91,V91,Y91),0)))</f>
        <v>45.95</v>
      </c>
      <c r="T91" s="33">
        <v>38.4</v>
      </c>
      <c r="U91" s="40">
        <v>0</v>
      </c>
      <c r="V91" s="34">
        <v>45.17</v>
      </c>
      <c r="W91" s="40">
        <v>7.8</v>
      </c>
      <c r="X91" s="4">
        <f>IF(H91="Senior",MAX(T91,V91),T91+V91)</f>
        <v>83.57</v>
      </c>
      <c r="Y91" s="34">
        <v>45.08</v>
      </c>
      <c r="Z91" s="40">
        <v>7.8</v>
      </c>
      <c r="AA91" s="33">
        <v>38.68</v>
      </c>
      <c r="AB91" s="40">
        <v>0</v>
      </c>
      <c r="AC91" s="34">
        <v>45.67</v>
      </c>
      <c r="AD91" s="40">
        <v>8.4</v>
      </c>
      <c r="AE91" s="4">
        <f>IF(H91="Senior",MAX(AA91,AC91),AA91+AC91)</f>
        <v>84.35</v>
      </c>
      <c r="AF91" s="34">
        <v>45.95</v>
      </c>
      <c r="AG91" s="37">
        <v>8.4</v>
      </c>
    </row>
    <row r="92" spans="1:33" x14ac:dyDescent="0.2">
      <c r="A92" s="1" t="str" cm="1">
        <f t="array" ref="A92">IF(I92="","",IF(P92&lt;&gt;"",SUMPRODUCT((P$3:P$133&lt;&gt;"")*(G$3:G$133=G92)*(J$3:J$133&gt;J92)*(I$3:I$133="P"))+1,IF(O92&lt;&gt;"",SUMPRODUCT((O$3:O$133&lt;&gt;"")*(P$3:P$133="")*(G$3:G$133=G92)*(J$3:J$133&gt;J92)*(I$3:I$133="P"))+SUMPRODUCT((P$3:P$133&lt;&gt;"")*(G$3:G$133=G92)*(I$3:I$133="P"))+1,IF(N92&lt;&gt;"",SUMPRODUCT((N$3:N$133&lt;&gt;"")*(G$3:G$133=G92)*(J$3:J$133&gt;J92)*(I$3:I$133="P"))+1,IF(M92="P",SUMPRODUCT((O$3:O$133&lt;&gt;"")*(P$3:P$133="")*(G$3:G$133=G92)*(I$3:I$133="P"))+SUMPRODUCT((P$3:P$133&lt;&gt;"")*(G$3:G$133=G92)*(I$3:I$133="P"))+SUMPRODUCT((N$3:N$133&lt;&gt;"")*(G$3:G$133=G92)*(I$3:I$133="P"))+SUMPRODUCT((P$3:P$133="")*(O$3:O$133="")*(N$3:N$133="")*(M$3:M$133="P")*(G$3:G$133=G92)*(J$3:J$133&gt;J92)*(I$3:I$133="P"))+IF(H92="L5",SUMPRODUCT((P$3:P$133="")*(O$3:O$133="")*(N$3:N$133="")*(M$3:M$133="P")*(G$3:G$133=G92)*(J$3:J$133&lt;J92)*(H$3:H$133&lt;&gt;H92)*(I$3:I$133="P")),-1*SUMPRODUCT((P$3:P$133="")*(O$3:O$133="")*(N$3:N$133="")*(M$3:M$133="P")*(G$3:G$133=G92)*(J$3:J$133&gt;J92)*(H$3:H$133="L5")*(I$3:I$133="P")))+1,"")))))</f>
        <v/>
      </c>
      <c r="B92" s="1" t="str" cm="1">
        <f t="array" ref="B92">IF(P92&lt;&gt;"",SUMPRODUCT((P$3:P$133&lt;&gt;"")*(G$3:G$133=G92)*(J$3:J$133&gt;J92))+1,IF(O92&lt;&gt;"",SUMPRODUCT((O$3:O$133&lt;&gt;"")*(P$3:P$133="")*(G$3:G$133=G92)*(J$3:J$133&gt;J92))+SUMPRODUCT((P$3:P$133&lt;&gt;"")*(G$3:G$133=G92))+1,IF(N92&lt;&gt;"",SUMPRODUCT((N$3:N$133&lt;&gt;"")*(G$3:G$133=G92)*(J$3:J$133&gt;J92))+1,IF(M92="P",SUMPRODUCT((O$3:O$133&lt;&gt;"")*(P$3:P$133="")*(G$3:G$133=G92))+SUMPRODUCT((P$3:P$133&lt;&gt;"")*(G$3:G$133=G92))+SUMPRODUCT((N$3:N$133&lt;&gt;"")*(G$3:G$133=G92))+SUMPRODUCT((P$3:P$133="")*(O$3:O$133="")*(N$3:N$133="")*(M$3:M$133="P")*(G$3:G$133=G92)*(J$3:J$133&gt;J92))+IF(H92="L5",SUMPRODUCT((P$3:P$133="")*(O$3:O$133="")*(N$3:N$133="")*(M$3:M$133="P")*(G$3:G$133=G92)*(J$3:J$133&lt;J92)*(H$3:H$133&lt;&gt;H92)),-1*SUMPRODUCT((P$3:P$133="")*(O$3:O$133="")*(N$3:N$133="")*(M$3:M$133="P")*(G$3:G$133=G92)*(J$3:J$133&gt;J92)*(H$3:H$133="L5")))+1,""))))</f>
        <v/>
      </c>
      <c r="C92" s="36" t="s">
        <v>235</v>
      </c>
      <c r="D92" s="36" t="str">
        <f>IF(E92="","",VLOOKUP(E92,'Coaching Points'!A:B,2,0))</f>
        <v>AB</v>
      </c>
      <c r="E92" s="36" t="s">
        <v>58</v>
      </c>
      <c r="F92" s="35">
        <v>2008</v>
      </c>
      <c r="G92" s="1" t="str">
        <f>IF(OR('Qualifying Scores'!$B$1-F92&gt;21,'Qualifying Scores'!$B$1-F92&lt;11),"Not Age Eligible",IF('Qualifying Scores'!$B$1-F92&gt;16,"17-21",IF('Qualifying Scores'!$B$1-F92&gt;14,"15-16",IF('Qualifying Scores'!$B$1-F92&gt;12,"13-14",IF('Qualifying Scores'!$B$1-F92&gt;10,"11-12","Not Age Eligible")))))</f>
        <v>15-16</v>
      </c>
      <c r="H92" s="39" t="s">
        <v>67</v>
      </c>
      <c r="I92" s="43" t="s">
        <v>567</v>
      </c>
      <c r="J92" s="4">
        <f>R92+S92+IF(OR(H92="Junior",H92="Senior"),0.0002,IF(OR(H92="L7",H92="L6"),0.0001,0))+IF(G92="17-21",MAX(AA92,AC92,AF92),AE92)*0.0000001</f>
        <v>129.870108329</v>
      </c>
      <c r="K92" s="3" t="str">
        <f>IF(G92="Not Age Eligible","",IF(G92="17-21",IF(MAX(T92,V92,Y92,AA92,AC92,AF92)&gt;=LOOKUP(G92,'Qualifying Scores'!$A$4:$A$7,'Qualifying Scores'!$C$4:$C$7),"P",""),IF(MAX(X92-U92,AE92-AB92)&gt;=LOOKUP(G92,'Qualifying Scores'!$A$4:$A$7,'Qualifying Scores'!$C$4:$C$7),"P","")))</f>
        <v/>
      </c>
      <c r="L92" s="3" t="str">
        <f>IF(G92="Not Age Eligible","",IF(G92="17-21",IF(MAX(U92,W92,Z92,AB92,AD92,AG92)&gt;=LOOKUP(G92,'Qualifying Scores'!$A$10:$A$13,'Qualifying Scores'!$C$10:$C$13),"P",""),IF(MAX(W92,AD92)&gt;=LOOKUP(G92,'Qualifying Scores'!$A$10:$A$13,'Qualifying Scores'!$C$10:$C$13),"P","")))</f>
        <v>P</v>
      </c>
      <c r="M92" s="3" t="str">
        <f>IF(G92="Not Age Eligible","",IF(G92="17-21",IF(OR(AND(T92&gt;=LOOKUP(G92,'Qualifying Scores'!$A$4:$A$7,'Qualifying Scores'!$C$4:$C$7),U92&gt;=LOOKUP(G92,'Qualifying Scores'!$A$10:$A$13,'Qualifying Scores'!$C$10:$C$13)),AND(V92&gt;=LOOKUP(G92,'Qualifying Scores'!$A$4:$A$7,'Qualifying Scores'!$C$4:$C$7),W92&gt;=LOOKUP(G92,'Qualifying Scores'!$A$10:$A$13,'Qualifying Scores'!$C$10:$C$13)),AND(Y92&gt;=LOOKUP(G92,'Qualifying Scores'!$A$4:$A$7,'Qualifying Scores'!$C$4:$C$7),Z92&gt;=LOOKUP(G92,'Qualifying Scores'!$A$10:$A$13,'Qualifying Scores'!$C$10:$C$13)),AND(AA92&gt;=LOOKUP(G92,'Qualifying Scores'!$A$4:$A$7,'Qualifying Scores'!$C$4:$C$7),AB92&gt;=LOOKUP(G92,'Qualifying Scores'!$A$10:$A$13,'Qualifying Scores'!$C$10:$C$13)),AND(AC92&gt;=LOOKUP(G92,'Qualifying Scores'!$A$4:$A$7,'Qualifying Scores'!$C$4:$C$7),AD92&gt;=LOOKUP(G92,'Qualifying Scores'!$A$10:$A$13,'Qualifying Scores'!$C$10:$C$13)),AND(AF92&gt;=LOOKUP(G92,'Qualifying Scores'!$A$4:$A$7,'Qualifying Scores'!$C$4:$C$7),AG92&gt;=LOOKUP(G92,'Qualifying Scores'!$A$10:$A$13,'Qualifying Scores'!$C$10:$C$13))),"P",""),IF(OR(AND(X92-U92&gt;=LOOKUP(G92,'Qualifying Scores'!$A$4:$A$7,'Qualifying Scores'!$C$4:$C$7),W92&gt;=LOOKUP(G92,'Qualifying Scores'!$A$10:$A$13,'Qualifying Scores'!$C$10:$C$13)),AND(AE92-AB92&gt;=LOOKUP(G92,'Qualifying Scores'!$A$4:$A$7,'Qualifying Scores'!$C$4:$C$7),AD92&gt;=LOOKUP(G92,'Qualifying Scores'!$A$10:$A$13,'Qualifying Scores'!$C$10:$C$13))),"P","")))</f>
        <v/>
      </c>
      <c r="Q92" s="1" t="str">
        <f>IF(A92&lt;5,IF(_xlfn.MAXIFS(A:A,G:G,G92)&gt;3,5-A92,_xlfn.MAXIFS(A:A,G:G,G92)+1-A92),"")</f>
        <v/>
      </c>
      <c r="R92" s="4">
        <f>IF(G92="17-21",MAX(T92,V92,Y92,AA92,AC92,AF92),MAX(X92,AE92))</f>
        <v>83.289999999999992</v>
      </c>
      <c r="S92" s="4">
        <f>IF(G92="17-21",LARGE(CHOOSE({1,2,3,4,5,6},T92,V92,Y92,AA92,AC92,AF92),2),IF(R92=X92,MAX(Y92,AA92,AC92,AF92),IF(R92=AE92,MAX(AF92,T92,V92,Y92),0)))</f>
        <v>46.58</v>
      </c>
      <c r="T92" s="33">
        <v>35.020000000000003</v>
      </c>
      <c r="U92" s="40">
        <v>0</v>
      </c>
      <c r="V92" s="34">
        <v>43.32</v>
      </c>
      <c r="W92" s="40">
        <v>9.1</v>
      </c>
      <c r="X92" s="4">
        <f>IF(H92="Senior",MAX(T92,V92),T92+V92)</f>
        <v>78.34</v>
      </c>
      <c r="Y92" s="34">
        <v>43.34</v>
      </c>
      <c r="Z92" s="40">
        <v>9.1</v>
      </c>
      <c r="AA92" s="33">
        <v>39.04</v>
      </c>
      <c r="AB92" s="40">
        <v>0</v>
      </c>
      <c r="AC92" s="34">
        <v>44.25</v>
      </c>
      <c r="AD92" s="40">
        <v>9.6</v>
      </c>
      <c r="AE92" s="4">
        <f>IF(H92="Senior",MAX(AA92,AC92),AA92+AC92)</f>
        <v>83.289999999999992</v>
      </c>
      <c r="AF92" s="34">
        <v>46.58</v>
      </c>
      <c r="AG92" s="37">
        <v>9.6</v>
      </c>
    </row>
    <row r="93" spans="1:33" x14ac:dyDescent="0.2">
      <c r="A93" s="1" t="str" cm="1">
        <f t="array" ref="A93">IF(I93="","",IF(P93&lt;&gt;"",SUMPRODUCT((P$3:P$133&lt;&gt;"")*(G$3:G$133=G93)*(J$3:J$133&gt;J93)*(I$3:I$133="P"))+1,IF(O93&lt;&gt;"",SUMPRODUCT((O$3:O$133&lt;&gt;"")*(P$3:P$133="")*(G$3:G$133=G93)*(J$3:J$133&gt;J93)*(I$3:I$133="P"))+SUMPRODUCT((P$3:P$133&lt;&gt;"")*(G$3:G$133=G93)*(I$3:I$133="P"))+1,IF(N93&lt;&gt;"",SUMPRODUCT((N$3:N$133&lt;&gt;"")*(G$3:G$133=G93)*(J$3:J$133&gt;J93)*(I$3:I$133="P"))+1,IF(M93="P",SUMPRODUCT((O$3:O$133&lt;&gt;"")*(P$3:P$133="")*(G$3:G$133=G93)*(I$3:I$133="P"))+SUMPRODUCT((P$3:P$133&lt;&gt;"")*(G$3:G$133=G93)*(I$3:I$133="P"))+SUMPRODUCT((N$3:N$133&lt;&gt;"")*(G$3:G$133=G93)*(I$3:I$133="P"))+SUMPRODUCT((P$3:P$133="")*(O$3:O$133="")*(N$3:N$133="")*(M$3:M$133="P")*(G$3:G$133=G93)*(J$3:J$133&gt;J93)*(I$3:I$133="P"))+IF(H93="L5",SUMPRODUCT((P$3:P$133="")*(O$3:O$133="")*(N$3:N$133="")*(M$3:M$133="P")*(G$3:G$133=G93)*(J$3:J$133&lt;J93)*(H$3:H$133&lt;&gt;H93)*(I$3:I$133="P")),-1*SUMPRODUCT((P$3:P$133="")*(O$3:O$133="")*(N$3:N$133="")*(M$3:M$133="P")*(G$3:G$133=G93)*(J$3:J$133&gt;J93)*(H$3:H$133="L5")*(I$3:I$133="P")))+1,"")))))</f>
        <v/>
      </c>
      <c r="B93" s="1" t="str" cm="1">
        <f t="array" ref="B93">IF(P93&lt;&gt;"",SUMPRODUCT((P$3:P$133&lt;&gt;"")*(G$3:G$133=G93)*(J$3:J$133&gt;J93))+1,IF(O93&lt;&gt;"",SUMPRODUCT((O$3:O$133&lt;&gt;"")*(P$3:P$133="")*(G$3:G$133=G93)*(J$3:J$133&gt;J93))+SUMPRODUCT((P$3:P$133&lt;&gt;"")*(G$3:G$133=G93))+1,IF(N93&lt;&gt;"",SUMPRODUCT((N$3:N$133&lt;&gt;"")*(G$3:G$133=G93)*(J$3:J$133&gt;J93))+1,IF(M93="P",SUMPRODUCT((O$3:O$133&lt;&gt;"")*(P$3:P$133="")*(G$3:G$133=G93))+SUMPRODUCT((P$3:P$133&lt;&gt;"")*(G$3:G$133=G93))+SUMPRODUCT((N$3:N$133&lt;&gt;"")*(G$3:G$133=G93))+SUMPRODUCT((P$3:P$133="")*(O$3:O$133="")*(N$3:N$133="")*(M$3:M$133="P")*(G$3:G$133=G93)*(J$3:J$133&gt;J93))+IF(H93="L5",SUMPRODUCT((P$3:P$133="")*(O$3:O$133="")*(N$3:N$133="")*(M$3:M$133="P")*(G$3:G$133=G93)*(J$3:J$133&lt;J93)*(H$3:H$133&lt;&gt;H93)),-1*SUMPRODUCT((P$3:P$133="")*(O$3:O$133="")*(N$3:N$133="")*(M$3:M$133="P")*(G$3:G$133=G93)*(J$3:J$133&gt;J93)*(H$3:H$133="L5")))+1,""))))</f>
        <v/>
      </c>
      <c r="C93" s="36" t="s">
        <v>152</v>
      </c>
      <c r="D93" s="36" t="str">
        <f>IF(E93="","",VLOOKUP(E93,'Coaching Points'!A:B,2,0))</f>
        <v>SK</v>
      </c>
      <c r="E93" s="36" t="s">
        <v>45</v>
      </c>
      <c r="F93" s="35">
        <v>2007</v>
      </c>
      <c r="G93" s="1" t="str">
        <f>IF(OR('Qualifying Scores'!$B$1-F93&gt;21,'Qualifying Scores'!$B$1-F93&lt;11),"Not Age Eligible",IF('Qualifying Scores'!$B$1-F93&gt;16,"17-21",IF('Qualifying Scores'!$B$1-F93&gt;14,"15-16",IF('Qualifying Scores'!$B$1-F93&gt;12,"13-14",IF('Qualifying Scores'!$B$1-F93&gt;10,"11-12","Not Age Eligible")))))</f>
        <v>15-16</v>
      </c>
      <c r="H93" s="39" t="s">
        <v>67</v>
      </c>
      <c r="I93" s="43" t="s">
        <v>567</v>
      </c>
      <c r="J93" s="4">
        <f>R93+S93+IF(OR(H93="Junior",H93="Senior"),0.0002,IF(OR(H93="L7",H93="L6"),0.0001,0))+IF(G93="17-21",MAX(AA93,AC93,AF93),AE93)*0.0000001</f>
        <v>128.83010845500002</v>
      </c>
      <c r="K93" s="3" t="str">
        <f>IF(G93="Not Age Eligible","",IF(G93="17-21",IF(MAX(T93,V93,Y93,AA93,AC93,AF93)&gt;=LOOKUP(G93,'Qualifying Scores'!$A$4:$A$7,'Qualifying Scores'!$C$4:$C$7),"P",""),IF(MAX(X93-U93,AE93-AB93)&gt;=LOOKUP(G93,'Qualifying Scores'!$A$4:$A$7,'Qualifying Scores'!$C$4:$C$7),"P","")))</f>
        <v/>
      </c>
      <c r="L93" s="3" t="str">
        <f>IF(G93="Not Age Eligible","",IF(G93="17-21",IF(MAX(U93,W93,Z93,AB93,AD93,AG93)&gt;=LOOKUP(G93,'Qualifying Scores'!$A$10:$A$13,'Qualifying Scores'!$C$10:$C$13),"P",""),IF(MAX(W93,AD93)&gt;=LOOKUP(G93,'Qualifying Scores'!$A$10:$A$13,'Qualifying Scores'!$C$10:$C$13),"P","")))</f>
        <v>P</v>
      </c>
      <c r="M93" s="3" t="str">
        <f>IF(G93="Not Age Eligible","",IF(G93="17-21",IF(OR(AND(T93&gt;=LOOKUP(G93,'Qualifying Scores'!$A$4:$A$7,'Qualifying Scores'!$C$4:$C$7),U93&gt;=LOOKUP(G93,'Qualifying Scores'!$A$10:$A$13,'Qualifying Scores'!$C$10:$C$13)),AND(V93&gt;=LOOKUP(G93,'Qualifying Scores'!$A$4:$A$7,'Qualifying Scores'!$C$4:$C$7),W93&gt;=LOOKUP(G93,'Qualifying Scores'!$A$10:$A$13,'Qualifying Scores'!$C$10:$C$13)),AND(Y93&gt;=LOOKUP(G93,'Qualifying Scores'!$A$4:$A$7,'Qualifying Scores'!$C$4:$C$7),Z93&gt;=LOOKUP(G93,'Qualifying Scores'!$A$10:$A$13,'Qualifying Scores'!$C$10:$C$13)),AND(AA93&gt;=LOOKUP(G93,'Qualifying Scores'!$A$4:$A$7,'Qualifying Scores'!$C$4:$C$7),AB93&gt;=LOOKUP(G93,'Qualifying Scores'!$A$10:$A$13,'Qualifying Scores'!$C$10:$C$13)),AND(AC93&gt;=LOOKUP(G93,'Qualifying Scores'!$A$4:$A$7,'Qualifying Scores'!$C$4:$C$7),AD93&gt;=LOOKUP(G93,'Qualifying Scores'!$A$10:$A$13,'Qualifying Scores'!$C$10:$C$13)),AND(AF93&gt;=LOOKUP(G93,'Qualifying Scores'!$A$4:$A$7,'Qualifying Scores'!$C$4:$C$7),AG93&gt;=LOOKUP(G93,'Qualifying Scores'!$A$10:$A$13,'Qualifying Scores'!$C$10:$C$13))),"P",""),IF(OR(AND(X93-U93&gt;=LOOKUP(G93,'Qualifying Scores'!$A$4:$A$7,'Qualifying Scores'!$C$4:$C$7),W93&gt;=LOOKUP(G93,'Qualifying Scores'!$A$10:$A$13,'Qualifying Scores'!$C$10:$C$13)),AND(AE93-AB93&gt;=LOOKUP(G93,'Qualifying Scores'!$A$4:$A$7,'Qualifying Scores'!$C$4:$C$7),AD93&gt;=LOOKUP(G93,'Qualifying Scores'!$A$10:$A$13,'Qualifying Scores'!$C$10:$C$13))),"P","")))</f>
        <v/>
      </c>
      <c r="Q93" s="1" t="str">
        <f>IF(A93&lt;5,IF(_xlfn.MAXIFS(A:A,G:G,G93)&gt;3,5-A93,_xlfn.MAXIFS(A:A,G:G,G93)+1-A93),"")</f>
        <v/>
      </c>
      <c r="R93" s="4">
        <f>IF(G93="17-21",MAX(T93,V93,Y93,AA93,AC93,AF93),MAX(X93,AE93))</f>
        <v>84.550000000000011</v>
      </c>
      <c r="S93" s="4">
        <f>IF(G93="17-21",LARGE(CHOOSE({1,2,3,4,5,6},T93,V93,Y93,AA93,AC93,AF93),2),IF(R93=X93,MAX(Y93,AA93,AC93,AF93),IF(R93=AE93,MAX(AF93,T93,V93,Y93),0)))</f>
        <v>44.28</v>
      </c>
      <c r="T93" s="33">
        <v>38.69</v>
      </c>
      <c r="U93" s="40">
        <v>0</v>
      </c>
      <c r="V93" s="34">
        <v>44.28</v>
      </c>
      <c r="W93" s="40">
        <v>8.4</v>
      </c>
      <c r="X93" s="4">
        <f>IF(H93="Senior",MAX(T93,V93),T93+V93)</f>
        <v>82.97</v>
      </c>
      <c r="Y93" s="34">
        <v>43.99</v>
      </c>
      <c r="Z93" s="40">
        <v>7.9</v>
      </c>
      <c r="AA93" s="33">
        <v>39.17</v>
      </c>
      <c r="AB93" s="40">
        <v>0</v>
      </c>
      <c r="AC93" s="34">
        <v>45.38</v>
      </c>
      <c r="AD93" s="40">
        <v>8.8000000000000007</v>
      </c>
      <c r="AE93" s="4">
        <f>IF(H93="Senior",MAX(AA93,AC93),AA93+AC93)</f>
        <v>84.550000000000011</v>
      </c>
      <c r="AF93" s="34">
        <v>18.39</v>
      </c>
      <c r="AG93" s="37">
        <v>3.7</v>
      </c>
    </row>
    <row r="94" spans="1:33" x14ac:dyDescent="0.2">
      <c r="A94" s="1" t="str" cm="1">
        <f t="array" ref="A94">IF(I94="","",IF(P94&lt;&gt;"",SUMPRODUCT((P$3:P$133&lt;&gt;"")*(G$3:G$133=G94)*(J$3:J$133&gt;J94)*(I$3:I$133="P"))+1,IF(O94&lt;&gt;"",SUMPRODUCT((O$3:O$133&lt;&gt;"")*(P$3:P$133="")*(G$3:G$133=G94)*(J$3:J$133&gt;J94)*(I$3:I$133="P"))+SUMPRODUCT((P$3:P$133&lt;&gt;"")*(G$3:G$133=G94)*(I$3:I$133="P"))+1,IF(N94&lt;&gt;"",SUMPRODUCT((N$3:N$133&lt;&gt;"")*(G$3:G$133=G94)*(J$3:J$133&gt;J94)*(I$3:I$133="P"))+1,IF(M94="P",SUMPRODUCT((O$3:O$133&lt;&gt;"")*(P$3:P$133="")*(G$3:G$133=G94)*(I$3:I$133="P"))+SUMPRODUCT((P$3:P$133&lt;&gt;"")*(G$3:G$133=G94)*(I$3:I$133="P"))+SUMPRODUCT((N$3:N$133&lt;&gt;"")*(G$3:G$133=G94)*(I$3:I$133="P"))+SUMPRODUCT((P$3:P$133="")*(O$3:O$133="")*(N$3:N$133="")*(M$3:M$133="P")*(G$3:G$133=G94)*(J$3:J$133&gt;J94)*(I$3:I$133="P"))+IF(H94="L5",SUMPRODUCT((P$3:P$133="")*(O$3:O$133="")*(N$3:N$133="")*(M$3:M$133="P")*(G$3:G$133=G94)*(J$3:J$133&lt;J94)*(H$3:H$133&lt;&gt;H94)*(I$3:I$133="P")),-1*SUMPRODUCT((P$3:P$133="")*(O$3:O$133="")*(N$3:N$133="")*(M$3:M$133="P")*(G$3:G$133=G94)*(J$3:J$133&gt;J94)*(H$3:H$133="L5")*(I$3:I$133="P")))+1,"")))))</f>
        <v/>
      </c>
      <c r="B94" s="1" t="str" cm="1">
        <f t="array" ref="B94">IF(P94&lt;&gt;"",SUMPRODUCT((P$3:P$133&lt;&gt;"")*(G$3:G$133=G94)*(J$3:J$133&gt;J94))+1,IF(O94&lt;&gt;"",SUMPRODUCT((O$3:O$133&lt;&gt;"")*(P$3:P$133="")*(G$3:G$133=G94)*(J$3:J$133&gt;J94))+SUMPRODUCT((P$3:P$133&lt;&gt;"")*(G$3:G$133=G94))+1,IF(N94&lt;&gt;"",SUMPRODUCT((N$3:N$133&lt;&gt;"")*(G$3:G$133=G94)*(J$3:J$133&gt;J94))+1,IF(M94="P",SUMPRODUCT((O$3:O$133&lt;&gt;"")*(P$3:P$133="")*(G$3:G$133=G94))+SUMPRODUCT((P$3:P$133&lt;&gt;"")*(G$3:G$133=G94))+SUMPRODUCT((N$3:N$133&lt;&gt;"")*(G$3:G$133=G94))+SUMPRODUCT((P$3:P$133="")*(O$3:O$133="")*(N$3:N$133="")*(M$3:M$133="P")*(G$3:G$133=G94)*(J$3:J$133&gt;J94))+IF(H94="L5",SUMPRODUCT((P$3:P$133="")*(O$3:O$133="")*(N$3:N$133="")*(M$3:M$133="P")*(G$3:G$133=G94)*(J$3:J$133&lt;J94)*(H$3:H$133&lt;&gt;H94)),-1*SUMPRODUCT((P$3:P$133="")*(O$3:O$133="")*(N$3:N$133="")*(M$3:M$133="P")*(G$3:G$133=G94)*(J$3:J$133&gt;J94)*(H$3:H$133="L5")))+1,""))))</f>
        <v/>
      </c>
      <c r="C94" s="36" t="s">
        <v>302</v>
      </c>
      <c r="D94" s="36" t="str">
        <f>IF(E94="","",VLOOKUP(E94,'Coaching Points'!A:B,2,0))</f>
        <v>AB</v>
      </c>
      <c r="E94" s="36" t="s">
        <v>58</v>
      </c>
      <c r="F94" s="35">
        <v>2008</v>
      </c>
      <c r="G94" s="1" t="str">
        <f>IF(OR('Qualifying Scores'!$B$1-F94&gt;21,'Qualifying Scores'!$B$1-F94&lt;11),"Not Age Eligible",IF('Qualifying Scores'!$B$1-F94&gt;16,"17-21",IF('Qualifying Scores'!$B$1-F94&gt;14,"15-16",IF('Qualifying Scores'!$B$1-F94&gt;12,"13-14",IF('Qualifying Scores'!$B$1-F94&gt;10,"11-12","Not Age Eligible")))))</f>
        <v>15-16</v>
      </c>
      <c r="H94" s="39" t="s">
        <v>66</v>
      </c>
      <c r="I94" s="43" t="s">
        <v>567</v>
      </c>
      <c r="J94" s="4">
        <f>R94+S94+IF(OR(H94="Junior",H94="Senior"),0.0002,IF(OR(H94="L7",H94="L6"),0.0001,0))+IF(G94="17-21",MAX(AA94,AC94,AF94),AE94)*0.0000001</f>
        <v>128.82000831899998</v>
      </c>
      <c r="K94" s="3" t="str">
        <f>IF(G94="Not Age Eligible","",IF(G94="17-21",IF(MAX(T94,V94,Y94,AA94,AC94,AF94)&gt;=LOOKUP(G94,'Qualifying Scores'!$A$4:$A$7,'Qualifying Scores'!$C$4:$C$7),"P",""),IF(MAX(X94-U94,AE94-AB94)&gt;=LOOKUP(G94,'Qualifying Scores'!$A$4:$A$7,'Qualifying Scores'!$C$4:$C$7),"P","")))</f>
        <v/>
      </c>
      <c r="L94" s="3" t="str">
        <f>IF(G94="Not Age Eligible","",IF(G94="17-21",IF(MAX(U94,W94,Z94,AB94,AD94,AG94)&gt;=LOOKUP(G94,'Qualifying Scores'!$A$10:$A$13,'Qualifying Scores'!$C$10:$C$13),"P",""),IF(MAX(W94,AD94)&gt;=LOOKUP(G94,'Qualifying Scores'!$A$10:$A$13,'Qualifying Scores'!$C$10:$C$13),"P","")))</f>
        <v>P</v>
      </c>
      <c r="M94" s="3" t="str">
        <f>IF(G94="Not Age Eligible","",IF(G94="17-21",IF(OR(AND(T94&gt;=LOOKUP(G94,'Qualifying Scores'!$A$4:$A$7,'Qualifying Scores'!$C$4:$C$7),U94&gt;=LOOKUP(G94,'Qualifying Scores'!$A$10:$A$13,'Qualifying Scores'!$C$10:$C$13)),AND(V94&gt;=LOOKUP(G94,'Qualifying Scores'!$A$4:$A$7,'Qualifying Scores'!$C$4:$C$7),W94&gt;=LOOKUP(G94,'Qualifying Scores'!$A$10:$A$13,'Qualifying Scores'!$C$10:$C$13)),AND(Y94&gt;=LOOKUP(G94,'Qualifying Scores'!$A$4:$A$7,'Qualifying Scores'!$C$4:$C$7),Z94&gt;=LOOKUP(G94,'Qualifying Scores'!$A$10:$A$13,'Qualifying Scores'!$C$10:$C$13)),AND(AA94&gt;=LOOKUP(G94,'Qualifying Scores'!$A$4:$A$7,'Qualifying Scores'!$C$4:$C$7),AB94&gt;=LOOKUP(G94,'Qualifying Scores'!$A$10:$A$13,'Qualifying Scores'!$C$10:$C$13)),AND(AC94&gt;=LOOKUP(G94,'Qualifying Scores'!$A$4:$A$7,'Qualifying Scores'!$C$4:$C$7),AD94&gt;=LOOKUP(G94,'Qualifying Scores'!$A$10:$A$13,'Qualifying Scores'!$C$10:$C$13)),AND(AF94&gt;=LOOKUP(G94,'Qualifying Scores'!$A$4:$A$7,'Qualifying Scores'!$C$4:$C$7),AG94&gt;=LOOKUP(G94,'Qualifying Scores'!$A$10:$A$13,'Qualifying Scores'!$C$10:$C$13))),"P",""),IF(OR(AND(X94-U94&gt;=LOOKUP(G94,'Qualifying Scores'!$A$4:$A$7,'Qualifying Scores'!$C$4:$C$7),W94&gt;=LOOKUP(G94,'Qualifying Scores'!$A$10:$A$13,'Qualifying Scores'!$C$10:$C$13)),AND(AE94-AB94&gt;=LOOKUP(G94,'Qualifying Scores'!$A$4:$A$7,'Qualifying Scores'!$C$4:$C$7),AD94&gt;=LOOKUP(G94,'Qualifying Scores'!$A$10:$A$13,'Qualifying Scores'!$C$10:$C$13))),"P","")))</f>
        <v/>
      </c>
      <c r="Q94" s="1" t="str">
        <f>IF(A94&lt;5,IF(_xlfn.MAXIFS(A:A,G:G,G94)&gt;3,5-A94,_xlfn.MAXIFS(A:A,G:G,G94)+1-A94),"")</f>
        <v/>
      </c>
      <c r="R94" s="4">
        <f>IF(G94="17-21",MAX(T94,V94,Y94,AA94,AC94,AF94),MAX(X94,AE94))</f>
        <v>83.19</v>
      </c>
      <c r="S94" s="4">
        <f>IF(G94="17-21",LARGE(CHOOSE({1,2,3,4,5,6},T94,V94,Y94,AA94,AC94,AF94),2),IF(R94=X94,MAX(Y94,AA94,AC94,AF94),IF(R94=AE94,MAX(AF94,T94,V94,Y94),0)))</f>
        <v>45.63</v>
      </c>
      <c r="T94" s="33">
        <v>37.06</v>
      </c>
      <c r="U94" s="40">
        <v>0</v>
      </c>
      <c r="V94" s="34">
        <v>45.22</v>
      </c>
      <c r="W94" s="40">
        <v>8.4</v>
      </c>
      <c r="X94" s="4">
        <f>IF(H94="Senior",MAX(T94,V94),T94+V94)</f>
        <v>82.28</v>
      </c>
      <c r="Y94" s="34">
        <v>42.42</v>
      </c>
      <c r="Z94" s="40">
        <v>7.2</v>
      </c>
      <c r="AA94" s="33">
        <v>38.090000000000003</v>
      </c>
      <c r="AB94" s="40">
        <v>0</v>
      </c>
      <c r="AC94" s="34">
        <v>45.1</v>
      </c>
      <c r="AD94" s="40">
        <v>9.1</v>
      </c>
      <c r="AE94" s="4">
        <f>IF(H94="Senior",MAX(AA94,AC94),AA94+AC94)</f>
        <v>83.19</v>
      </c>
      <c r="AF94" s="34">
        <v>45.63</v>
      </c>
      <c r="AG94" s="37">
        <v>9.1</v>
      </c>
    </row>
    <row r="95" spans="1:33" x14ac:dyDescent="0.2">
      <c r="A95" s="1" t="str" cm="1">
        <f t="array" ref="A95">IF(I95="","",IF(P95&lt;&gt;"",SUMPRODUCT((P$3:P$133&lt;&gt;"")*(G$3:G$133=G95)*(J$3:J$133&gt;J95)*(I$3:I$133="P"))+1,IF(O95&lt;&gt;"",SUMPRODUCT((O$3:O$133&lt;&gt;"")*(P$3:P$133="")*(G$3:G$133=G95)*(J$3:J$133&gt;J95)*(I$3:I$133="P"))+SUMPRODUCT((P$3:P$133&lt;&gt;"")*(G$3:G$133=G95)*(I$3:I$133="P"))+1,IF(N95&lt;&gt;"",SUMPRODUCT((N$3:N$133&lt;&gt;"")*(G$3:G$133=G95)*(J$3:J$133&gt;J95)*(I$3:I$133="P"))+1,IF(M95="P",SUMPRODUCT((O$3:O$133&lt;&gt;"")*(P$3:P$133="")*(G$3:G$133=G95)*(I$3:I$133="P"))+SUMPRODUCT((P$3:P$133&lt;&gt;"")*(G$3:G$133=G95)*(I$3:I$133="P"))+SUMPRODUCT((N$3:N$133&lt;&gt;"")*(G$3:G$133=G95)*(I$3:I$133="P"))+SUMPRODUCT((P$3:P$133="")*(O$3:O$133="")*(N$3:N$133="")*(M$3:M$133="P")*(G$3:G$133=G95)*(J$3:J$133&gt;J95)*(I$3:I$133="P"))+IF(H95="L5",SUMPRODUCT((P$3:P$133="")*(O$3:O$133="")*(N$3:N$133="")*(M$3:M$133="P")*(G$3:G$133=G95)*(J$3:J$133&lt;J95)*(H$3:H$133&lt;&gt;H95)*(I$3:I$133="P")),-1*SUMPRODUCT((P$3:P$133="")*(O$3:O$133="")*(N$3:N$133="")*(M$3:M$133="P")*(G$3:G$133=G95)*(J$3:J$133&gt;J95)*(H$3:H$133="L5")*(I$3:I$133="P")))+1,"")))))</f>
        <v/>
      </c>
      <c r="B95" s="1" t="str" cm="1">
        <f t="array" ref="B95">IF(P95&lt;&gt;"",SUMPRODUCT((P$3:P$133&lt;&gt;"")*(G$3:G$133=G95)*(J$3:J$133&gt;J95))+1,IF(O95&lt;&gt;"",SUMPRODUCT((O$3:O$133&lt;&gt;"")*(P$3:P$133="")*(G$3:G$133=G95)*(J$3:J$133&gt;J95))+SUMPRODUCT((P$3:P$133&lt;&gt;"")*(G$3:G$133=G95))+1,IF(N95&lt;&gt;"",SUMPRODUCT((N$3:N$133&lt;&gt;"")*(G$3:G$133=G95)*(J$3:J$133&gt;J95))+1,IF(M95="P",SUMPRODUCT((O$3:O$133&lt;&gt;"")*(P$3:P$133="")*(G$3:G$133=G95))+SUMPRODUCT((P$3:P$133&lt;&gt;"")*(G$3:G$133=G95))+SUMPRODUCT((N$3:N$133&lt;&gt;"")*(G$3:G$133=G95))+SUMPRODUCT((P$3:P$133="")*(O$3:O$133="")*(N$3:N$133="")*(M$3:M$133="P")*(G$3:G$133=G95)*(J$3:J$133&gt;J95))+IF(H95="L5",SUMPRODUCT((P$3:P$133="")*(O$3:O$133="")*(N$3:N$133="")*(M$3:M$133="P")*(G$3:G$133=G95)*(J$3:J$133&lt;J95)*(H$3:H$133&lt;&gt;H95)),-1*SUMPRODUCT((P$3:P$133="")*(O$3:O$133="")*(N$3:N$133="")*(M$3:M$133="P")*(G$3:G$133=G95)*(J$3:J$133&gt;J95)*(H$3:H$133="L5")))+1,""))))</f>
        <v/>
      </c>
      <c r="C95" s="36" t="s">
        <v>463</v>
      </c>
      <c r="D95" s="36" t="str">
        <f>IF(E95="","",VLOOKUP(E95,'Coaching Points'!A:B,2,0))</f>
        <v>ON</v>
      </c>
      <c r="E95" s="36" t="s">
        <v>113</v>
      </c>
      <c r="F95" s="35">
        <v>2007</v>
      </c>
      <c r="G95" s="1" t="str">
        <f>IF(OR('Qualifying Scores'!$B$1-F95&gt;21,'Qualifying Scores'!$B$1-F95&lt;11),"Not Age Eligible",IF('Qualifying Scores'!$B$1-F95&gt;16,"17-21",IF('Qualifying Scores'!$B$1-F95&gt;14,"15-16",IF('Qualifying Scores'!$B$1-F95&gt;12,"13-14",IF('Qualifying Scores'!$B$1-F95&gt;10,"11-12","Not Age Eligible")))))</f>
        <v>15-16</v>
      </c>
      <c r="H95" s="39" t="s">
        <v>66</v>
      </c>
      <c r="I95" s="43"/>
      <c r="J95" s="4">
        <f>R95+S95+IF(OR(H95="Junior",H95="Senior"),0.0002,IF(OR(H95="L7",H95="L6"),0.0001,0))+IF(G95="17-21",MAX(AA95,AC95,AF95),AE95)*0.0000001</f>
        <v>127.40000837300001</v>
      </c>
      <c r="K95" s="3" t="str">
        <f>IF(G95="Not Age Eligible","",IF(G95="17-21",IF(MAX(T95,V95,Y95,AA95,AC95,AF95)&gt;=LOOKUP(G95,'Qualifying Scores'!$A$4:$A$7,'Qualifying Scores'!$C$4:$C$7),"P",""),IF(MAX(X95-U95,AE95-AB95)&gt;=LOOKUP(G95,'Qualifying Scores'!$A$4:$A$7,'Qualifying Scores'!$C$4:$C$7),"P","")))</f>
        <v/>
      </c>
      <c r="L95" s="3" t="str">
        <f>IF(G95="Not Age Eligible","",IF(G95="17-21",IF(MAX(U95,W95,Z95,AB95,AD95,AG95)&gt;=LOOKUP(G95,'Qualifying Scores'!$A$10:$A$13,'Qualifying Scores'!$C$10:$C$13),"P",""),IF(MAX(W95,AD95)&gt;=LOOKUP(G95,'Qualifying Scores'!$A$10:$A$13,'Qualifying Scores'!$C$10:$C$13),"P","")))</f>
        <v/>
      </c>
      <c r="M95" s="3" t="str">
        <f>IF(G95="Not Age Eligible","",IF(G95="17-21",IF(OR(AND(T95&gt;=LOOKUP(G95,'Qualifying Scores'!$A$4:$A$7,'Qualifying Scores'!$C$4:$C$7),U95&gt;=LOOKUP(G95,'Qualifying Scores'!$A$10:$A$13,'Qualifying Scores'!$C$10:$C$13)),AND(V95&gt;=LOOKUP(G95,'Qualifying Scores'!$A$4:$A$7,'Qualifying Scores'!$C$4:$C$7),W95&gt;=LOOKUP(G95,'Qualifying Scores'!$A$10:$A$13,'Qualifying Scores'!$C$10:$C$13)),AND(Y95&gt;=LOOKUP(G95,'Qualifying Scores'!$A$4:$A$7,'Qualifying Scores'!$C$4:$C$7),Z95&gt;=LOOKUP(G95,'Qualifying Scores'!$A$10:$A$13,'Qualifying Scores'!$C$10:$C$13)),AND(AA95&gt;=LOOKUP(G95,'Qualifying Scores'!$A$4:$A$7,'Qualifying Scores'!$C$4:$C$7),AB95&gt;=LOOKUP(G95,'Qualifying Scores'!$A$10:$A$13,'Qualifying Scores'!$C$10:$C$13)),AND(AC95&gt;=LOOKUP(G95,'Qualifying Scores'!$A$4:$A$7,'Qualifying Scores'!$C$4:$C$7),AD95&gt;=LOOKUP(G95,'Qualifying Scores'!$A$10:$A$13,'Qualifying Scores'!$C$10:$C$13)),AND(AF95&gt;=LOOKUP(G95,'Qualifying Scores'!$A$4:$A$7,'Qualifying Scores'!$C$4:$C$7),AG95&gt;=LOOKUP(G95,'Qualifying Scores'!$A$10:$A$13,'Qualifying Scores'!$C$10:$C$13))),"P",""),IF(OR(AND(X95-U95&gt;=LOOKUP(G95,'Qualifying Scores'!$A$4:$A$7,'Qualifying Scores'!$C$4:$C$7),W95&gt;=LOOKUP(G95,'Qualifying Scores'!$A$10:$A$13,'Qualifying Scores'!$C$10:$C$13)),AND(AE95-AB95&gt;=LOOKUP(G95,'Qualifying Scores'!$A$4:$A$7,'Qualifying Scores'!$C$4:$C$7),AD95&gt;=LOOKUP(G95,'Qualifying Scores'!$A$10:$A$13,'Qualifying Scores'!$C$10:$C$13))),"P","")))</f>
        <v/>
      </c>
      <c r="Q95" s="1" t="str">
        <f>IF(A95&lt;5,IF(_xlfn.MAXIFS(A:A,G:G,G95)&gt;3,5-A95,_xlfn.MAXIFS(A:A,G:G,G95)+1-A95),"")</f>
        <v/>
      </c>
      <c r="R95" s="4">
        <f>IF(G95="17-21",MAX(T95,V95,Y95,AA95,AC95,AF95),MAX(X95,AE95))</f>
        <v>83.73</v>
      </c>
      <c r="S95" s="4">
        <f>IF(G95="17-21",LARGE(CHOOSE({1,2,3,4,5,6},T95,V95,Y95,AA95,AC95,AF95),2),IF(R95=X95,MAX(Y95,AA95,AC95,AF95),IF(R95=AE95,MAX(AF95,T95,V95,Y95),0)))</f>
        <v>43.67</v>
      </c>
      <c r="T95" s="33"/>
      <c r="U95" s="40"/>
      <c r="V95" s="34"/>
      <c r="W95" s="40"/>
      <c r="X95" s="4">
        <f>IF(H95="Senior",MAX(T95,V95),T95+V95)</f>
        <v>0</v>
      </c>
      <c r="Y95" s="34"/>
      <c r="Z95" s="40"/>
      <c r="AA95" s="33">
        <v>38.74</v>
      </c>
      <c r="AB95" s="40">
        <v>0</v>
      </c>
      <c r="AC95" s="34">
        <v>44.99</v>
      </c>
      <c r="AD95" s="40">
        <v>7.8</v>
      </c>
      <c r="AE95" s="4">
        <f>IF(H95="Senior",MAX(AA95,AC95),AA95+AC95)</f>
        <v>83.73</v>
      </c>
      <c r="AF95" s="34">
        <v>43.67</v>
      </c>
      <c r="AG95" s="37">
        <v>7.8</v>
      </c>
    </row>
    <row r="96" spans="1:33" x14ac:dyDescent="0.2">
      <c r="A96" s="1" t="str" cm="1">
        <f t="array" ref="A96">IF(I96="","",IF(P96&lt;&gt;"",SUMPRODUCT((P$3:P$133&lt;&gt;"")*(G$3:G$133=G96)*(J$3:J$133&gt;J96)*(I$3:I$133="P"))+1,IF(O96&lt;&gt;"",SUMPRODUCT((O$3:O$133&lt;&gt;"")*(P$3:P$133="")*(G$3:G$133=G96)*(J$3:J$133&gt;J96)*(I$3:I$133="P"))+SUMPRODUCT((P$3:P$133&lt;&gt;"")*(G$3:G$133=G96)*(I$3:I$133="P"))+1,IF(N96&lt;&gt;"",SUMPRODUCT((N$3:N$133&lt;&gt;"")*(G$3:G$133=G96)*(J$3:J$133&gt;J96)*(I$3:I$133="P"))+1,IF(M96="P",SUMPRODUCT((O$3:O$133&lt;&gt;"")*(P$3:P$133="")*(G$3:G$133=G96)*(I$3:I$133="P"))+SUMPRODUCT((P$3:P$133&lt;&gt;"")*(G$3:G$133=G96)*(I$3:I$133="P"))+SUMPRODUCT((N$3:N$133&lt;&gt;"")*(G$3:G$133=G96)*(I$3:I$133="P"))+SUMPRODUCT((P$3:P$133="")*(O$3:O$133="")*(N$3:N$133="")*(M$3:M$133="P")*(G$3:G$133=G96)*(J$3:J$133&gt;J96)*(I$3:I$133="P"))+IF(H96="L5",SUMPRODUCT((P$3:P$133="")*(O$3:O$133="")*(N$3:N$133="")*(M$3:M$133="P")*(G$3:G$133=G96)*(J$3:J$133&lt;J96)*(H$3:H$133&lt;&gt;H96)*(I$3:I$133="P")),-1*SUMPRODUCT((P$3:P$133="")*(O$3:O$133="")*(N$3:N$133="")*(M$3:M$133="P")*(G$3:G$133=G96)*(J$3:J$133&gt;J96)*(H$3:H$133="L5")*(I$3:I$133="P")))+1,"")))))</f>
        <v/>
      </c>
      <c r="B96" s="1" t="str" cm="1">
        <f t="array" ref="B96">IF(P96&lt;&gt;"",SUMPRODUCT((P$3:P$133&lt;&gt;"")*(G$3:G$133=G96)*(J$3:J$133&gt;J96))+1,IF(O96&lt;&gt;"",SUMPRODUCT((O$3:O$133&lt;&gt;"")*(P$3:P$133="")*(G$3:G$133=G96)*(J$3:J$133&gt;J96))+SUMPRODUCT((P$3:P$133&lt;&gt;"")*(G$3:G$133=G96))+1,IF(N96&lt;&gt;"",SUMPRODUCT((N$3:N$133&lt;&gt;"")*(G$3:G$133=G96)*(J$3:J$133&gt;J96))+1,IF(M96="P",SUMPRODUCT((O$3:O$133&lt;&gt;"")*(P$3:P$133="")*(G$3:G$133=G96))+SUMPRODUCT((P$3:P$133&lt;&gt;"")*(G$3:G$133=G96))+SUMPRODUCT((N$3:N$133&lt;&gt;"")*(G$3:G$133=G96))+SUMPRODUCT((P$3:P$133="")*(O$3:O$133="")*(N$3:N$133="")*(M$3:M$133="P")*(G$3:G$133=G96)*(J$3:J$133&gt;J96))+IF(H96="L5",SUMPRODUCT((P$3:P$133="")*(O$3:O$133="")*(N$3:N$133="")*(M$3:M$133="P")*(G$3:G$133=G96)*(J$3:J$133&lt;J96)*(H$3:H$133&lt;&gt;H96)),-1*SUMPRODUCT((P$3:P$133="")*(O$3:O$133="")*(N$3:N$133="")*(M$3:M$133="P")*(G$3:G$133=G96)*(J$3:J$133&gt;J96)*(H$3:H$133="L5")))+1,""))))</f>
        <v/>
      </c>
      <c r="C96" s="36" t="s">
        <v>464</v>
      </c>
      <c r="D96" s="36" t="str">
        <f>IF(E96="","",VLOOKUP(E96,'Coaching Points'!A:B,2,0))</f>
        <v>ON</v>
      </c>
      <c r="E96" s="36" t="s">
        <v>286</v>
      </c>
      <c r="F96" s="35">
        <v>2007</v>
      </c>
      <c r="G96" s="1" t="str">
        <f>IF(OR('Qualifying Scores'!$B$1-F96&gt;21,'Qualifying Scores'!$B$1-F96&lt;11),"Not Age Eligible",IF('Qualifying Scores'!$B$1-F96&gt;16,"17-21",IF('Qualifying Scores'!$B$1-F96&gt;14,"15-16",IF('Qualifying Scores'!$B$1-F96&gt;12,"13-14",IF('Qualifying Scores'!$B$1-F96&gt;10,"11-12","Not Age Eligible")))))</f>
        <v>15-16</v>
      </c>
      <c r="H96" s="39" t="s">
        <v>66</v>
      </c>
      <c r="I96" s="43"/>
      <c r="J96" s="4">
        <f>R96+S96+IF(OR(H96="Junior",H96="Senior"),0.0002,IF(OR(H96="L7",H96="L6"),0.0001,0))+IF(G96="17-21",MAX(AA96,AC96,AF96),AE96)*0.0000001</f>
        <v>127.26000832000001</v>
      </c>
      <c r="K96" s="3" t="str">
        <f>IF(G96="Not Age Eligible","",IF(G96="17-21",IF(MAX(T96,V96,Y96,AA96,AC96,AF96)&gt;=LOOKUP(G96,'Qualifying Scores'!$A$4:$A$7,'Qualifying Scores'!$C$4:$C$7),"P",""),IF(MAX(X96-U96,AE96-AB96)&gt;=LOOKUP(G96,'Qualifying Scores'!$A$4:$A$7,'Qualifying Scores'!$C$4:$C$7),"P","")))</f>
        <v/>
      </c>
      <c r="L96" s="3" t="str">
        <f>IF(G96="Not Age Eligible","",IF(G96="17-21",IF(MAX(U96,W96,Z96,AB96,AD96,AG96)&gt;=LOOKUP(G96,'Qualifying Scores'!$A$10:$A$13,'Qualifying Scores'!$C$10:$C$13),"P",""),IF(MAX(W96,AD96)&gt;=LOOKUP(G96,'Qualifying Scores'!$A$10:$A$13,'Qualifying Scores'!$C$10:$C$13),"P","")))</f>
        <v/>
      </c>
      <c r="M96" s="3" t="str">
        <f>IF(G96="Not Age Eligible","",IF(G96="17-21",IF(OR(AND(T96&gt;=LOOKUP(G96,'Qualifying Scores'!$A$4:$A$7,'Qualifying Scores'!$C$4:$C$7),U96&gt;=LOOKUP(G96,'Qualifying Scores'!$A$10:$A$13,'Qualifying Scores'!$C$10:$C$13)),AND(V96&gt;=LOOKUP(G96,'Qualifying Scores'!$A$4:$A$7,'Qualifying Scores'!$C$4:$C$7),W96&gt;=LOOKUP(G96,'Qualifying Scores'!$A$10:$A$13,'Qualifying Scores'!$C$10:$C$13)),AND(Y96&gt;=LOOKUP(G96,'Qualifying Scores'!$A$4:$A$7,'Qualifying Scores'!$C$4:$C$7),Z96&gt;=LOOKUP(G96,'Qualifying Scores'!$A$10:$A$13,'Qualifying Scores'!$C$10:$C$13)),AND(AA96&gt;=LOOKUP(G96,'Qualifying Scores'!$A$4:$A$7,'Qualifying Scores'!$C$4:$C$7),AB96&gt;=LOOKUP(G96,'Qualifying Scores'!$A$10:$A$13,'Qualifying Scores'!$C$10:$C$13)),AND(AC96&gt;=LOOKUP(G96,'Qualifying Scores'!$A$4:$A$7,'Qualifying Scores'!$C$4:$C$7),AD96&gt;=LOOKUP(G96,'Qualifying Scores'!$A$10:$A$13,'Qualifying Scores'!$C$10:$C$13)),AND(AF96&gt;=LOOKUP(G96,'Qualifying Scores'!$A$4:$A$7,'Qualifying Scores'!$C$4:$C$7),AG96&gt;=LOOKUP(G96,'Qualifying Scores'!$A$10:$A$13,'Qualifying Scores'!$C$10:$C$13))),"P",""),IF(OR(AND(X96-U96&gt;=LOOKUP(G96,'Qualifying Scores'!$A$4:$A$7,'Qualifying Scores'!$C$4:$C$7),W96&gt;=LOOKUP(G96,'Qualifying Scores'!$A$10:$A$13,'Qualifying Scores'!$C$10:$C$13)),AND(AE96-AB96&gt;=LOOKUP(G96,'Qualifying Scores'!$A$4:$A$7,'Qualifying Scores'!$C$4:$C$7),AD96&gt;=LOOKUP(G96,'Qualifying Scores'!$A$10:$A$13,'Qualifying Scores'!$C$10:$C$13))),"P","")))</f>
        <v/>
      </c>
      <c r="Q96" s="1" t="str">
        <f>IF(A96&lt;5,IF(_xlfn.MAXIFS(A:A,G:G,G96)&gt;3,5-A96,_xlfn.MAXIFS(A:A,G:G,G96)+1-A96),"")</f>
        <v/>
      </c>
      <c r="R96" s="4">
        <f>IF(G96="17-21",MAX(T96,V96,Y96,AA96,AC96,AF96),MAX(X96,AE96))</f>
        <v>83.2</v>
      </c>
      <c r="S96" s="4">
        <f>IF(G96="17-21",LARGE(CHOOSE({1,2,3,4,5,6},T96,V96,Y96,AA96,AC96,AF96),2),IF(R96=X96,MAX(Y96,AA96,AC96,AF96),IF(R96=AE96,MAX(AF96,T96,V96,Y96),0)))</f>
        <v>44.06</v>
      </c>
      <c r="T96" s="33"/>
      <c r="U96" s="40"/>
      <c r="V96" s="34"/>
      <c r="W96" s="40"/>
      <c r="X96" s="4">
        <f>IF(H96="Senior",MAX(T96,V96),T96+V96)</f>
        <v>0</v>
      </c>
      <c r="Y96" s="34"/>
      <c r="Z96" s="40"/>
      <c r="AA96" s="33">
        <v>38.67</v>
      </c>
      <c r="AB96" s="40">
        <v>0</v>
      </c>
      <c r="AC96" s="34">
        <v>44.53</v>
      </c>
      <c r="AD96" s="40">
        <v>7.1</v>
      </c>
      <c r="AE96" s="4">
        <f>IF(H96="Senior",MAX(AA96,AC96),AA96+AC96)</f>
        <v>83.2</v>
      </c>
      <c r="AF96" s="34">
        <v>44.06</v>
      </c>
      <c r="AG96" s="37">
        <v>7.1</v>
      </c>
    </row>
    <row r="97" spans="1:33" x14ac:dyDescent="0.2">
      <c r="A97" s="1" t="str" cm="1">
        <f t="array" ref="A97">IF(I97="","",IF(P97&lt;&gt;"",SUMPRODUCT((P$3:P$133&lt;&gt;"")*(G$3:G$133=G97)*(J$3:J$133&gt;J97)*(I$3:I$133="P"))+1,IF(O97&lt;&gt;"",SUMPRODUCT((O$3:O$133&lt;&gt;"")*(P$3:P$133="")*(G$3:G$133=G97)*(J$3:J$133&gt;J97)*(I$3:I$133="P"))+SUMPRODUCT((P$3:P$133&lt;&gt;"")*(G$3:G$133=G97)*(I$3:I$133="P"))+1,IF(N97&lt;&gt;"",SUMPRODUCT((N$3:N$133&lt;&gt;"")*(G$3:G$133=G97)*(J$3:J$133&gt;J97)*(I$3:I$133="P"))+1,IF(M97="P",SUMPRODUCT((O$3:O$133&lt;&gt;"")*(P$3:P$133="")*(G$3:G$133=G97)*(I$3:I$133="P"))+SUMPRODUCT((P$3:P$133&lt;&gt;"")*(G$3:G$133=G97)*(I$3:I$133="P"))+SUMPRODUCT((N$3:N$133&lt;&gt;"")*(G$3:G$133=G97)*(I$3:I$133="P"))+SUMPRODUCT((P$3:P$133="")*(O$3:O$133="")*(N$3:N$133="")*(M$3:M$133="P")*(G$3:G$133=G97)*(J$3:J$133&gt;J97)*(I$3:I$133="P"))+IF(H97="L5",SUMPRODUCT((P$3:P$133="")*(O$3:O$133="")*(N$3:N$133="")*(M$3:M$133="P")*(G$3:G$133=G97)*(J$3:J$133&lt;J97)*(H$3:H$133&lt;&gt;H97)*(I$3:I$133="P")),-1*SUMPRODUCT((P$3:P$133="")*(O$3:O$133="")*(N$3:N$133="")*(M$3:M$133="P")*(G$3:G$133=G97)*(J$3:J$133&gt;J97)*(H$3:H$133="L5")*(I$3:I$133="P")))+1,"")))))</f>
        <v/>
      </c>
      <c r="B97" s="1" t="str" cm="1">
        <f t="array" ref="B97">IF(P97&lt;&gt;"",SUMPRODUCT((P$3:P$133&lt;&gt;"")*(G$3:G$133=G97)*(J$3:J$133&gt;J97))+1,IF(O97&lt;&gt;"",SUMPRODUCT((O$3:O$133&lt;&gt;"")*(P$3:P$133="")*(G$3:G$133=G97)*(J$3:J$133&gt;J97))+SUMPRODUCT((P$3:P$133&lt;&gt;"")*(G$3:G$133=G97))+1,IF(N97&lt;&gt;"",SUMPRODUCT((N$3:N$133&lt;&gt;"")*(G$3:G$133=G97)*(J$3:J$133&gt;J97))+1,IF(M97="P",SUMPRODUCT((O$3:O$133&lt;&gt;"")*(P$3:P$133="")*(G$3:G$133=G97))+SUMPRODUCT((P$3:P$133&lt;&gt;"")*(G$3:G$133=G97))+SUMPRODUCT((N$3:N$133&lt;&gt;"")*(G$3:G$133=G97))+SUMPRODUCT((P$3:P$133="")*(O$3:O$133="")*(N$3:N$133="")*(M$3:M$133="P")*(G$3:G$133=G97)*(J$3:J$133&gt;J97))+IF(H97="L5",SUMPRODUCT((P$3:P$133="")*(O$3:O$133="")*(N$3:N$133="")*(M$3:M$133="P")*(G$3:G$133=G97)*(J$3:J$133&lt;J97)*(H$3:H$133&lt;&gt;H97)),-1*SUMPRODUCT((P$3:P$133="")*(O$3:O$133="")*(N$3:N$133="")*(M$3:M$133="P")*(G$3:G$133=G97)*(J$3:J$133&gt;J97)*(H$3:H$133="L5")))+1,""))))</f>
        <v/>
      </c>
      <c r="C97" s="36" t="s">
        <v>465</v>
      </c>
      <c r="D97" s="36" t="str">
        <f>IF(E97="","",VLOOKUP(E97,'Coaching Points'!A:B,2,0))</f>
        <v>NL</v>
      </c>
      <c r="E97" s="36" t="s">
        <v>418</v>
      </c>
      <c r="F97" s="35">
        <v>2007</v>
      </c>
      <c r="G97" s="1" t="str">
        <f>IF(OR('Qualifying Scores'!$B$1-F97&gt;21,'Qualifying Scores'!$B$1-F97&lt;11),"Not Age Eligible",IF('Qualifying Scores'!$B$1-F97&gt;16,"17-21",IF('Qualifying Scores'!$B$1-F97&gt;14,"15-16",IF('Qualifying Scores'!$B$1-F97&gt;12,"13-14",IF('Qualifying Scores'!$B$1-F97&gt;10,"11-12","Not Age Eligible")))))</f>
        <v>15-16</v>
      </c>
      <c r="H97" s="39" t="s">
        <v>66</v>
      </c>
      <c r="I97" s="43"/>
      <c r="J97" s="4">
        <f>R97+S97+IF(OR(H97="Junior",H97="Senior"),0.0002,IF(OR(H97="L7",H97="L6"),0.0001,0))+IF(G97="17-21",MAX(AA97,AC97,AF97),AE97)*0.0000001</f>
        <v>126.64000826900001</v>
      </c>
      <c r="K97" s="3" t="str">
        <f>IF(G97="Not Age Eligible","",IF(G97="17-21",IF(MAX(T97,V97,Y97,AA97,AC97,AF97)&gt;=LOOKUP(G97,'Qualifying Scores'!$A$4:$A$7,'Qualifying Scores'!$C$4:$C$7),"P",""),IF(MAX(X97-U97,AE97-AB97)&gt;=LOOKUP(G97,'Qualifying Scores'!$A$4:$A$7,'Qualifying Scores'!$C$4:$C$7),"P","")))</f>
        <v/>
      </c>
      <c r="L97" s="3" t="str">
        <f>IF(G97="Not Age Eligible","",IF(G97="17-21",IF(MAX(U97,W97,Z97,AB97,AD97,AG97)&gt;=LOOKUP(G97,'Qualifying Scores'!$A$10:$A$13,'Qualifying Scores'!$C$10:$C$13),"P",""),IF(MAX(W97,AD97)&gt;=LOOKUP(G97,'Qualifying Scores'!$A$10:$A$13,'Qualifying Scores'!$C$10:$C$13),"P","")))</f>
        <v/>
      </c>
      <c r="M97" s="3" t="str">
        <f>IF(G97="Not Age Eligible","",IF(G97="17-21",IF(OR(AND(T97&gt;=LOOKUP(G97,'Qualifying Scores'!$A$4:$A$7,'Qualifying Scores'!$C$4:$C$7),U97&gt;=LOOKUP(G97,'Qualifying Scores'!$A$10:$A$13,'Qualifying Scores'!$C$10:$C$13)),AND(V97&gt;=LOOKUP(G97,'Qualifying Scores'!$A$4:$A$7,'Qualifying Scores'!$C$4:$C$7),W97&gt;=LOOKUP(G97,'Qualifying Scores'!$A$10:$A$13,'Qualifying Scores'!$C$10:$C$13)),AND(Y97&gt;=LOOKUP(G97,'Qualifying Scores'!$A$4:$A$7,'Qualifying Scores'!$C$4:$C$7),Z97&gt;=LOOKUP(G97,'Qualifying Scores'!$A$10:$A$13,'Qualifying Scores'!$C$10:$C$13)),AND(AA97&gt;=LOOKUP(G97,'Qualifying Scores'!$A$4:$A$7,'Qualifying Scores'!$C$4:$C$7),AB97&gt;=LOOKUP(G97,'Qualifying Scores'!$A$10:$A$13,'Qualifying Scores'!$C$10:$C$13)),AND(AC97&gt;=LOOKUP(G97,'Qualifying Scores'!$A$4:$A$7,'Qualifying Scores'!$C$4:$C$7),AD97&gt;=LOOKUP(G97,'Qualifying Scores'!$A$10:$A$13,'Qualifying Scores'!$C$10:$C$13)),AND(AF97&gt;=LOOKUP(G97,'Qualifying Scores'!$A$4:$A$7,'Qualifying Scores'!$C$4:$C$7),AG97&gt;=LOOKUP(G97,'Qualifying Scores'!$A$10:$A$13,'Qualifying Scores'!$C$10:$C$13))),"P",""),IF(OR(AND(X97-U97&gt;=LOOKUP(G97,'Qualifying Scores'!$A$4:$A$7,'Qualifying Scores'!$C$4:$C$7),W97&gt;=LOOKUP(G97,'Qualifying Scores'!$A$10:$A$13,'Qualifying Scores'!$C$10:$C$13)),AND(AE97-AB97&gt;=LOOKUP(G97,'Qualifying Scores'!$A$4:$A$7,'Qualifying Scores'!$C$4:$C$7),AD97&gt;=LOOKUP(G97,'Qualifying Scores'!$A$10:$A$13,'Qualifying Scores'!$C$10:$C$13))),"P","")))</f>
        <v/>
      </c>
      <c r="Q97" s="1" t="str">
        <f>IF(A97&lt;5,IF(_xlfn.MAXIFS(A:A,G:G,G97)&gt;3,5-A97,_xlfn.MAXIFS(A:A,G:G,G97)+1-A97),"")</f>
        <v/>
      </c>
      <c r="R97" s="4">
        <f>IF(G97="17-21",MAX(T97,V97,Y97,AA97,AC97,AF97),MAX(X97,AE97))</f>
        <v>82.69</v>
      </c>
      <c r="S97" s="4">
        <f>IF(G97="17-21",LARGE(CHOOSE({1,2,3,4,5,6},T97,V97,Y97,AA97,AC97,AF97),2),IF(R97=X97,MAX(Y97,AA97,AC97,AF97),IF(R97=AE97,MAX(AF97,T97,V97,Y97),0)))</f>
        <v>43.95</v>
      </c>
      <c r="T97" s="33"/>
      <c r="U97" s="40"/>
      <c r="V97" s="34"/>
      <c r="W97" s="40"/>
      <c r="X97" s="4">
        <f>IF(H97="Senior",MAX(T97,V97),T97+V97)</f>
        <v>0</v>
      </c>
      <c r="Y97" s="34"/>
      <c r="Z97" s="40"/>
      <c r="AA97" s="33">
        <v>37.74</v>
      </c>
      <c r="AB97" s="40">
        <v>0</v>
      </c>
      <c r="AC97" s="34">
        <v>44.95</v>
      </c>
      <c r="AD97" s="40">
        <v>8.1</v>
      </c>
      <c r="AE97" s="4">
        <f>IF(H97="Senior",MAX(AA97,AC97),AA97+AC97)</f>
        <v>82.69</v>
      </c>
      <c r="AF97" s="34">
        <v>43.95</v>
      </c>
      <c r="AG97" s="37">
        <v>8.1</v>
      </c>
    </row>
    <row r="98" spans="1:33" x14ac:dyDescent="0.2">
      <c r="A98" s="1" t="str" cm="1">
        <f t="array" ref="A98">IF(I98="","",IF(P98&lt;&gt;"",SUMPRODUCT((P$3:P$133&lt;&gt;"")*(G$3:G$133=G98)*(J$3:J$133&gt;J98)*(I$3:I$133="P"))+1,IF(O98&lt;&gt;"",SUMPRODUCT((O$3:O$133&lt;&gt;"")*(P$3:P$133="")*(G$3:G$133=G98)*(J$3:J$133&gt;J98)*(I$3:I$133="P"))+SUMPRODUCT((P$3:P$133&lt;&gt;"")*(G$3:G$133=G98)*(I$3:I$133="P"))+1,IF(N98&lt;&gt;"",SUMPRODUCT((N$3:N$133&lt;&gt;"")*(G$3:G$133=G98)*(J$3:J$133&gt;J98)*(I$3:I$133="P"))+1,IF(M98="P",SUMPRODUCT((O$3:O$133&lt;&gt;"")*(P$3:P$133="")*(G$3:G$133=G98)*(I$3:I$133="P"))+SUMPRODUCT((P$3:P$133&lt;&gt;"")*(G$3:G$133=G98)*(I$3:I$133="P"))+SUMPRODUCT((N$3:N$133&lt;&gt;"")*(G$3:G$133=G98)*(I$3:I$133="P"))+SUMPRODUCT((P$3:P$133="")*(O$3:O$133="")*(N$3:N$133="")*(M$3:M$133="P")*(G$3:G$133=G98)*(J$3:J$133&gt;J98)*(I$3:I$133="P"))+IF(H98="L5",SUMPRODUCT((P$3:P$133="")*(O$3:O$133="")*(N$3:N$133="")*(M$3:M$133="P")*(G$3:G$133=G98)*(J$3:J$133&lt;J98)*(H$3:H$133&lt;&gt;H98)*(I$3:I$133="P")),-1*SUMPRODUCT((P$3:P$133="")*(O$3:O$133="")*(N$3:N$133="")*(M$3:M$133="P")*(G$3:G$133=G98)*(J$3:J$133&gt;J98)*(H$3:H$133="L5")*(I$3:I$133="P")))+1,"")))))</f>
        <v/>
      </c>
      <c r="B98" s="1" t="str" cm="1">
        <f t="array" ref="B98">IF(P98&lt;&gt;"",SUMPRODUCT((P$3:P$133&lt;&gt;"")*(G$3:G$133=G98)*(J$3:J$133&gt;J98))+1,IF(O98&lt;&gt;"",SUMPRODUCT((O$3:O$133&lt;&gt;"")*(P$3:P$133="")*(G$3:G$133=G98)*(J$3:J$133&gt;J98))+SUMPRODUCT((P$3:P$133&lt;&gt;"")*(G$3:G$133=G98))+1,IF(N98&lt;&gt;"",SUMPRODUCT((N$3:N$133&lt;&gt;"")*(G$3:G$133=G98)*(J$3:J$133&gt;J98))+1,IF(M98="P",SUMPRODUCT((O$3:O$133&lt;&gt;"")*(P$3:P$133="")*(G$3:G$133=G98))+SUMPRODUCT((P$3:P$133&lt;&gt;"")*(G$3:G$133=G98))+SUMPRODUCT((N$3:N$133&lt;&gt;"")*(G$3:G$133=G98))+SUMPRODUCT((P$3:P$133="")*(O$3:O$133="")*(N$3:N$133="")*(M$3:M$133="P")*(G$3:G$133=G98)*(J$3:J$133&gt;J98))+IF(H98="L5",SUMPRODUCT((P$3:P$133="")*(O$3:O$133="")*(N$3:N$133="")*(M$3:M$133="P")*(G$3:G$133=G98)*(J$3:J$133&lt;J98)*(H$3:H$133&lt;&gt;H98)),-1*SUMPRODUCT((P$3:P$133="")*(O$3:O$133="")*(N$3:N$133="")*(M$3:M$133="P")*(G$3:G$133=G98)*(J$3:J$133&gt;J98)*(H$3:H$133="L5")))+1,""))))</f>
        <v/>
      </c>
      <c r="C98" s="36" t="s">
        <v>120</v>
      </c>
      <c r="D98" s="36" t="str">
        <f>IF(E98="","",VLOOKUP(E98,'Coaching Points'!A:B,2,0))</f>
        <v>AB</v>
      </c>
      <c r="E98" s="36" t="s">
        <v>29</v>
      </c>
      <c r="F98" s="35">
        <v>2007</v>
      </c>
      <c r="G98" s="1" t="str">
        <f>IF(OR('Qualifying Scores'!$B$1-F98&gt;21,'Qualifying Scores'!$B$1-F98&lt;11),"Not Age Eligible",IF('Qualifying Scores'!$B$1-F98&gt;16,"17-21",IF('Qualifying Scores'!$B$1-F98&gt;14,"15-16",IF('Qualifying Scores'!$B$1-F98&gt;12,"13-14",IF('Qualifying Scores'!$B$1-F98&gt;10,"11-12","Not Age Eligible")))))</f>
        <v>15-16</v>
      </c>
      <c r="H98" s="39" t="s">
        <v>66</v>
      </c>
      <c r="I98" s="43" t="s">
        <v>567</v>
      </c>
      <c r="J98" s="4">
        <f>R98+S98+IF(OR(H98="Junior",H98="Senior"),0.0002,IF(OR(H98="L7",H98="L6"),0.0001,0))+IF(G98="17-21",MAX(AA98,AC98,AF98),AE98)*0.0000001</f>
        <v>126.380008154</v>
      </c>
      <c r="K98" s="3" t="str">
        <f>IF(G98="Not Age Eligible","",IF(G98="17-21",IF(MAX(T98,V98,Y98,AA98,AC98,AF98)&gt;=LOOKUP(G98,'Qualifying Scores'!$A$4:$A$7,'Qualifying Scores'!$C$4:$C$7),"P",""),IF(MAX(X98-U98,AE98-AB98)&gt;=LOOKUP(G98,'Qualifying Scores'!$A$4:$A$7,'Qualifying Scores'!$C$4:$C$7),"P","")))</f>
        <v/>
      </c>
      <c r="L98" s="3" t="str">
        <f>IF(G98="Not Age Eligible","",IF(G98="17-21",IF(MAX(U98,W98,Z98,AB98,AD98,AG98)&gt;=LOOKUP(G98,'Qualifying Scores'!$A$10:$A$13,'Qualifying Scores'!$C$10:$C$13),"P",""),IF(MAX(W98,AD98)&gt;=LOOKUP(G98,'Qualifying Scores'!$A$10:$A$13,'Qualifying Scores'!$C$10:$C$13),"P","")))</f>
        <v/>
      </c>
      <c r="M98" s="3" t="str">
        <f>IF(G98="Not Age Eligible","",IF(G98="17-21",IF(OR(AND(T98&gt;=LOOKUP(G98,'Qualifying Scores'!$A$4:$A$7,'Qualifying Scores'!$C$4:$C$7),U98&gt;=LOOKUP(G98,'Qualifying Scores'!$A$10:$A$13,'Qualifying Scores'!$C$10:$C$13)),AND(V98&gt;=LOOKUP(G98,'Qualifying Scores'!$A$4:$A$7,'Qualifying Scores'!$C$4:$C$7),W98&gt;=LOOKUP(G98,'Qualifying Scores'!$A$10:$A$13,'Qualifying Scores'!$C$10:$C$13)),AND(Y98&gt;=LOOKUP(G98,'Qualifying Scores'!$A$4:$A$7,'Qualifying Scores'!$C$4:$C$7),Z98&gt;=LOOKUP(G98,'Qualifying Scores'!$A$10:$A$13,'Qualifying Scores'!$C$10:$C$13)),AND(AA98&gt;=LOOKUP(G98,'Qualifying Scores'!$A$4:$A$7,'Qualifying Scores'!$C$4:$C$7),AB98&gt;=LOOKUP(G98,'Qualifying Scores'!$A$10:$A$13,'Qualifying Scores'!$C$10:$C$13)),AND(AC98&gt;=LOOKUP(G98,'Qualifying Scores'!$A$4:$A$7,'Qualifying Scores'!$C$4:$C$7),AD98&gt;=LOOKUP(G98,'Qualifying Scores'!$A$10:$A$13,'Qualifying Scores'!$C$10:$C$13)),AND(AF98&gt;=LOOKUP(G98,'Qualifying Scores'!$A$4:$A$7,'Qualifying Scores'!$C$4:$C$7),AG98&gt;=LOOKUP(G98,'Qualifying Scores'!$A$10:$A$13,'Qualifying Scores'!$C$10:$C$13))),"P",""),IF(OR(AND(X98-U98&gt;=LOOKUP(G98,'Qualifying Scores'!$A$4:$A$7,'Qualifying Scores'!$C$4:$C$7),W98&gt;=LOOKUP(G98,'Qualifying Scores'!$A$10:$A$13,'Qualifying Scores'!$C$10:$C$13)),AND(AE98-AB98&gt;=LOOKUP(G98,'Qualifying Scores'!$A$4:$A$7,'Qualifying Scores'!$C$4:$C$7),AD98&gt;=LOOKUP(G98,'Qualifying Scores'!$A$10:$A$13,'Qualifying Scores'!$C$10:$C$13))),"P","")))</f>
        <v/>
      </c>
      <c r="Q98" s="1" t="str">
        <f>IF(A98&lt;5,IF(_xlfn.MAXIFS(A:A,G:G,G98)&gt;3,5-A98,_xlfn.MAXIFS(A:A,G:G,G98)+1-A98),"")</f>
        <v/>
      </c>
      <c r="R98" s="4">
        <f>IF(G98="17-21",MAX(T98,V98,Y98,AA98,AC98,AF98),MAX(X98,AE98))</f>
        <v>81.539999999999992</v>
      </c>
      <c r="S98" s="4">
        <f>IF(G98="17-21",LARGE(CHOOSE({1,2,3,4,5,6},T98,V98,Y98,AA98,AC98,AF98),2),IF(R98=X98,MAX(Y98,AA98,AC98,AF98),IF(R98=AE98,MAX(AF98,T98,V98,Y98),0)))</f>
        <v>44.84</v>
      </c>
      <c r="T98" s="33">
        <v>36.47</v>
      </c>
      <c r="U98" s="40">
        <v>0</v>
      </c>
      <c r="V98" s="34">
        <v>44.84</v>
      </c>
      <c r="W98" s="40">
        <v>7.8</v>
      </c>
      <c r="X98" s="4">
        <f>IF(H98="Senior",MAX(T98,V98),T98+V98)</f>
        <v>81.31</v>
      </c>
      <c r="Y98" s="34">
        <v>44.64</v>
      </c>
      <c r="Z98" s="40">
        <v>7.8</v>
      </c>
      <c r="AA98" s="33">
        <v>38.299999999999997</v>
      </c>
      <c r="AB98" s="40">
        <v>0</v>
      </c>
      <c r="AC98" s="34">
        <v>43.24</v>
      </c>
      <c r="AD98" s="40">
        <v>7.7</v>
      </c>
      <c r="AE98" s="4">
        <f>IF(H98="Senior",MAX(AA98,AC98),AA98+AC98)</f>
        <v>81.539999999999992</v>
      </c>
      <c r="AF98" s="34"/>
      <c r="AG98" s="37"/>
    </row>
    <row r="99" spans="1:33" x14ac:dyDescent="0.2">
      <c r="A99" s="1" t="str" cm="1">
        <f t="array" ref="A99">IF(I99="","",IF(P99&lt;&gt;"",SUMPRODUCT((P$3:P$133&lt;&gt;"")*(G$3:G$133=G99)*(J$3:J$133&gt;J99)*(I$3:I$133="P"))+1,IF(O99&lt;&gt;"",SUMPRODUCT((O$3:O$133&lt;&gt;"")*(P$3:P$133="")*(G$3:G$133=G99)*(J$3:J$133&gt;J99)*(I$3:I$133="P"))+SUMPRODUCT((P$3:P$133&lt;&gt;"")*(G$3:G$133=G99)*(I$3:I$133="P"))+1,IF(N99&lt;&gt;"",SUMPRODUCT((N$3:N$133&lt;&gt;"")*(G$3:G$133=G99)*(J$3:J$133&gt;J99)*(I$3:I$133="P"))+1,IF(M99="P",SUMPRODUCT((O$3:O$133&lt;&gt;"")*(P$3:P$133="")*(G$3:G$133=G99)*(I$3:I$133="P"))+SUMPRODUCT((P$3:P$133&lt;&gt;"")*(G$3:G$133=G99)*(I$3:I$133="P"))+SUMPRODUCT((N$3:N$133&lt;&gt;"")*(G$3:G$133=G99)*(I$3:I$133="P"))+SUMPRODUCT((P$3:P$133="")*(O$3:O$133="")*(N$3:N$133="")*(M$3:M$133="P")*(G$3:G$133=G99)*(J$3:J$133&gt;J99)*(I$3:I$133="P"))+IF(H99="L5",SUMPRODUCT((P$3:P$133="")*(O$3:O$133="")*(N$3:N$133="")*(M$3:M$133="P")*(G$3:G$133=G99)*(J$3:J$133&lt;J99)*(H$3:H$133&lt;&gt;H99)*(I$3:I$133="P")),-1*SUMPRODUCT((P$3:P$133="")*(O$3:O$133="")*(N$3:N$133="")*(M$3:M$133="P")*(G$3:G$133=G99)*(J$3:J$133&gt;J99)*(H$3:H$133="L5")*(I$3:I$133="P")))+1,"")))))</f>
        <v/>
      </c>
      <c r="B99" s="1" t="str" cm="1">
        <f t="array" ref="B99">IF(P99&lt;&gt;"",SUMPRODUCT((P$3:P$133&lt;&gt;"")*(G$3:G$133=G99)*(J$3:J$133&gt;J99))+1,IF(O99&lt;&gt;"",SUMPRODUCT((O$3:O$133&lt;&gt;"")*(P$3:P$133="")*(G$3:G$133=G99)*(J$3:J$133&gt;J99))+SUMPRODUCT((P$3:P$133&lt;&gt;"")*(G$3:G$133=G99))+1,IF(N99&lt;&gt;"",SUMPRODUCT((N$3:N$133&lt;&gt;"")*(G$3:G$133=G99)*(J$3:J$133&gt;J99))+1,IF(M99="P",SUMPRODUCT((O$3:O$133&lt;&gt;"")*(P$3:P$133="")*(G$3:G$133=G99))+SUMPRODUCT((P$3:P$133&lt;&gt;"")*(G$3:G$133=G99))+SUMPRODUCT((N$3:N$133&lt;&gt;"")*(G$3:G$133=G99))+SUMPRODUCT((P$3:P$133="")*(O$3:O$133="")*(N$3:N$133="")*(M$3:M$133="P")*(G$3:G$133=G99)*(J$3:J$133&gt;J99))+IF(H99="L5",SUMPRODUCT((P$3:P$133="")*(O$3:O$133="")*(N$3:N$133="")*(M$3:M$133="P")*(G$3:G$133=G99)*(J$3:J$133&lt;J99)*(H$3:H$133&lt;&gt;H99)),-1*SUMPRODUCT((P$3:P$133="")*(O$3:O$133="")*(N$3:N$133="")*(M$3:M$133="P")*(G$3:G$133=G99)*(J$3:J$133&gt;J99)*(H$3:H$133="L5")))+1,""))))</f>
        <v/>
      </c>
      <c r="C99" s="36" t="s">
        <v>242</v>
      </c>
      <c r="D99" s="36" t="str">
        <f>IF(E99="","",VLOOKUP(E99,'Coaching Points'!A:B,2,0))</f>
        <v>ON</v>
      </c>
      <c r="E99" s="36" t="s">
        <v>38</v>
      </c>
      <c r="F99" s="35">
        <v>2007</v>
      </c>
      <c r="G99" s="1" t="str">
        <f>IF(OR('Qualifying Scores'!$B$1-F99&gt;21,'Qualifying Scores'!$B$1-F99&lt;11),"Not Age Eligible",IF('Qualifying Scores'!$B$1-F99&gt;16,"17-21",IF('Qualifying Scores'!$B$1-F99&gt;14,"15-16",IF('Qualifying Scores'!$B$1-F99&gt;12,"13-14",IF('Qualifying Scores'!$B$1-F99&gt;10,"11-12","Not Age Eligible")))))</f>
        <v>15-16</v>
      </c>
      <c r="H99" s="39" t="s">
        <v>66</v>
      </c>
      <c r="I99" s="43"/>
      <c r="J99" s="4">
        <f>R99+S99+IF(OR(H99="Junior",H99="Senior"),0.0002,IF(OR(H99="L7",H99="L6"),0.0001,0))+IF(G99="17-21",MAX(AA99,AC99,AF99),AE99)*0.0000001</f>
        <v>125.66999999999999</v>
      </c>
      <c r="K99" s="3" t="str">
        <f>IF(G99="Not Age Eligible","",IF(G99="17-21",IF(MAX(T99,V99,Y99,AA99,AC99,AF99)&gt;=LOOKUP(G99,'Qualifying Scores'!$A$4:$A$7,'Qualifying Scores'!$C$4:$C$7),"P",""),IF(MAX(X99-U99,AE99-AB99)&gt;=LOOKUP(G99,'Qualifying Scores'!$A$4:$A$7,'Qualifying Scores'!$C$4:$C$7),"P","")))</f>
        <v/>
      </c>
      <c r="L99" s="3" t="str">
        <f>IF(G99="Not Age Eligible","",IF(G99="17-21",IF(MAX(U99,W99,Z99,AB99,AD99,AG99)&gt;=LOOKUP(G99,'Qualifying Scores'!$A$10:$A$13,'Qualifying Scores'!$C$10:$C$13),"P",""),IF(MAX(W99,AD99)&gt;=LOOKUP(G99,'Qualifying Scores'!$A$10:$A$13,'Qualifying Scores'!$C$10:$C$13),"P","")))</f>
        <v/>
      </c>
      <c r="M99" s="3" t="str">
        <f>IF(G99="Not Age Eligible","",IF(G99="17-21",IF(OR(AND(T99&gt;=LOOKUP(G99,'Qualifying Scores'!$A$4:$A$7,'Qualifying Scores'!$C$4:$C$7),U99&gt;=LOOKUP(G99,'Qualifying Scores'!$A$10:$A$13,'Qualifying Scores'!$C$10:$C$13)),AND(V99&gt;=LOOKUP(G99,'Qualifying Scores'!$A$4:$A$7,'Qualifying Scores'!$C$4:$C$7),W99&gt;=LOOKUP(G99,'Qualifying Scores'!$A$10:$A$13,'Qualifying Scores'!$C$10:$C$13)),AND(Y99&gt;=LOOKUP(G99,'Qualifying Scores'!$A$4:$A$7,'Qualifying Scores'!$C$4:$C$7),Z99&gt;=LOOKUP(G99,'Qualifying Scores'!$A$10:$A$13,'Qualifying Scores'!$C$10:$C$13)),AND(AA99&gt;=LOOKUP(G99,'Qualifying Scores'!$A$4:$A$7,'Qualifying Scores'!$C$4:$C$7),AB99&gt;=LOOKUP(G99,'Qualifying Scores'!$A$10:$A$13,'Qualifying Scores'!$C$10:$C$13)),AND(AC99&gt;=LOOKUP(G99,'Qualifying Scores'!$A$4:$A$7,'Qualifying Scores'!$C$4:$C$7),AD99&gt;=LOOKUP(G99,'Qualifying Scores'!$A$10:$A$13,'Qualifying Scores'!$C$10:$C$13)),AND(AF99&gt;=LOOKUP(G99,'Qualifying Scores'!$A$4:$A$7,'Qualifying Scores'!$C$4:$C$7),AG99&gt;=LOOKUP(G99,'Qualifying Scores'!$A$10:$A$13,'Qualifying Scores'!$C$10:$C$13))),"P",""),IF(OR(AND(X99-U99&gt;=LOOKUP(G99,'Qualifying Scores'!$A$4:$A$7,'Qualifying Scores'!$C$4:$C$7),W99&gt;=LOOKUP(G99,'Qualifying Scores'!$A$10:$A$13,'Qualifying Scores'!$C$10:$C$13)),AND(AE99-AB99&gt;=LOOKUP(G99,'Qualifying Scores'!$A$4:$A$7,'Qualifying Scores'!$C$4:$C$7),AD99&gt;=LOOKUP(G99,'Qualifying Scores'!$A$10:$A$13,'Qualifying Scores'!$C$10:$C$13))),"P","")))</f>
        <v/>
      </c>
      <c r="Q99" s="1" t="str">
        <f>IF(A99&lt;5,IF(_xlfn.MAXIFS(A:A,G:G,G99)&gt;3,5-A99,_xlfn.MAXIFS(A:A,G:G,G99)+1-A99),"")</f>
        <v/>
      </c>
      <c r="R99" s="4">
        <f>IF(G99="17-21",MAX(T99,V99,Y99,AA99,AC99,AF99),MAX(X99,AE99))</f>
        <v>80.819999999999993</v>
      </c>
      <c r="S99" s="4">
        <f>IF(G99="17-21",LARGE(CHOOSE({1,2,3,4,5,6},T99,V99,Y99,AA99,AC99,AF99),2),IF(R99=X99,MAX(Y99,AA99,AC99,AF99),IF(R99=AE99,MAX(AF99,T99,V99,Y99),0)))</f>
        <v>44.85</v>
      </c>
      <c r="T99" s="33">
        <v>37.5</v>
      </c>
      <c r="U99" s="40">
        <v>0</v>
      </c>
      <c r="V99" s="34">
        <v>43.32</v>
      </c>
      <c r="W99" s="40">
        <v>7.6</v>
      </c>
      <c r="X99" s="4">
        <f>IF(H99="Senior",MAX(T99,V99),T99+V99)</f>
        <v>80.819999999999993</v>
      </c>
      <c r="Y99" s="34">
        <v>44.85</v>
      </c>
      <c r="Z99" s="40">
        <v>7.6</v>
      </c>
      <c r="AA99" s="33"/>
      <c r="AB99" s="40"/>
      <c r="AC99" s="34"/>
      <c r="AD99" s="40"/>
      <c r="AE99" s="4">
        <f>IF(H99="Senior",MAX(AA99,AC99),AA99+AC99)</f>
        <v>0</v>
      </c>
      <c r="AF99" s="34"/>
      <c r="AG99" s="37"/>
    </row>
    <row r="100" spans="1:33" x14ac:dyDescent="0.2">
      <c r="A100" s="1" t="str" cm="1">
        <f t="array" ref="A100">IF(I100="","",IF(P100&lt;&gt;"",SUMPRODUCT((P$3:P$133&lt;&gt;"")*(G$3:G$133=G100)*(J$3:J$133&gt;J100)*(I$3:I$133="P"))+1,IF(O100&lt;&gt;"",SUMPRODUCT((O$3:O$133&lt;&gt;"")*(P$3:P$133="")*(G$3:G$133=G100)*(J$3:J$133&gt;J100)*(I$3:I$133="P"))+SUMPRODUCT((P$3:P$133&lt;&gt;"")*(G$3:G$133=G100)*(I$3:I$133="P"))+1,IF(N100&lt;&gt;"",SUMPRODUCT((N$3:N$133&lt;&gt;"")*(G$3:G$133=G100)*(J$3:J$133&gt;J100)*(I$3:I$133="P"))+1,IF(M100="P",SUMPRODUCT((O$3:O$133&lt;&gt;"")*(P$3:P$133="")*(G$3:G$133=G100)*(I$3:I$133="P"))+SUMPRODUCT((P$3:P$133&lt;&gt;"")*(G$3:G$133=G100)*(I$3:I$133="P"))+SUMPRODUCT((N$3:N$133&lt;&gt;"")*(G$3:G$133=G100)*(I$3:I$133="P"))+SUMPRODUCT((P$3:P$133="")*(O$3:O$133="")*(N$3:N$133="")*(M$3:M$133="P")*(G$3:G$133=G100)*(J$3:J$133&gt;J100)*(I$3:I$133="P"))+IF(H100="L5",SUMPRODUCT((P$3:P$133="")*(O$3:O$133="")*(N$3:N$133="")*(M$3:M$133="P")*(G$3:G$133=G100)*(J$3:J$133&lt;J100)*(H$3:H$133&lt;&gt;H100)*(I$3:I$133="P")),-1*SUMPRODUCT((P$3:P$133="")*(O$3:O$133="")*(N$3:N$133="")*(M$3:M$133="P")*(G$3:G$133=G100)*(J$3:J$133&gt;J100)*(H$3:H$133="L5")*(I$3:I$133="P")))+1,"")))))</f>
        <v/>
      </c>
      <c r="B100" s="1" t="str" cm="1">
        <f t="array" ref="B100">IF(P100&lt;&gt;"",SUMPRODUCT((P$3:P$133&lt;&gt;"")*(G$3:G$133=G100)*(J$3:J$133&gt;J100))+1,IF(O100&lt;&gt;"",SUMPRODUCT((O$3:O$133&lt;&gt;"")*(P$3:P$133="")*(G$3:G$133=G100)*(J$3:J$133&gt;J100))+SUMPRODUCT((P$3:P$133&lt;&gt;"")*(G$3:G$133=G100))+1,IF(N100&lt;&gt;"",SUMPRODUCT((N$3:N$133&lt;&gt;"")*(G$3:G$133=G100)*(J$3:J$133&gt;J100))+1,IF(M100="P",SUMPRODUCT((O$3:O$133&lt;&gt;"")*(P$3:P$133="")*(G$3:G$133=G100))+SUMPRODUCT((P$3:P$133&lt;&gt;"")*(G$3:G$133=G100))+SUMPRODUCT((N$3:N$133&lt;&gt;"")*(G$3:G$133=G100))+SUMPRODUCT((P$3:P$133="")*(O$3:O$133="")*(N$3:N$133="")*(M$3:M$133="P")*(G$3:G$133=G100)*(J$3:J$133&gt;J100))+IF(H100="L5",SUMPRODUCT((P$3:P$133="")*(O$3:O$133="")*(N$3:N$133="")*(M$3:M$133="P")*(G$3:G$133=G100)*(J$3:J$133&lt;J100)*(H$3:H$133&lt;&gt;H100)),-1*SUMPRODUCT((P$3:P$133="")*(O$3:O$133="")*(N$3:N$133="")*(M$3:M$133="P")*(G$3:G$133=G100)*(J$3:J$133&gt;J100)*(H$3:H$133="L5")))+1,""))))</f>
        <v/>
      </c>
      <c r="C100" s="36" t="s">
        <v>127</v>
      </c>
      <c r="D100" s="36" t="str">
        <f>IF(E100="","",VLOOKUP(E100,'Coaching Points'!A:B,2,0))</f>
        <v>ON</v>
      </c>
      <c r="E100" s="36" t="s">
        <v>73</v>
      </c>
      <c r="F100" s="35">
        <v>2007</v>
      </c>
      <c r="G100" s="1" t="str">
        <f>IF(OR('Qualifying Scores'!$B$1-F100&gt;21,'Qualifying Scores'!$B$1-F100&lt;11),"Not Age Eligible",IF('Qualifying Scores'!$B$1-F100&gt;16,"17-21",IF('Qualifying Scores'!$B$1-F100&gt;14,"15-16",IF('Qualifying Scores'!$B$1-F100&gt;12,"13-14",IF('Qualifying Scores'!$B$1-F100&gt;10,"11-12","Not Age Eligible")))))</f>
        <v>15-16</v>
      </c>
      <c r="H100" s="39" t="s">
        <v>66</v>
      </c>
      <c r="I100" s="43"/>
      <c r="J100" s="4">
        <f>R100+S100+IF(OR(H100="Junior",H100="Senior"),0.0002,IF(OR(H100="L7",H100="L6"),0.0001,0))+IF(G100="17-21",MAX(AA100,AC100,AF100),AE100)*0.0000001</f>
        <v>124.91000554199999</v>
      </c>
      <c r="K100" s="3" t="str">
        <f>IF(G100="Not Age Eligible","",IF(G100="17-21",IF(MAX(T100,V100,Y100,AA100,AC100,AF100)&gt;=LOOKUP(G100,'Qualifying Scores'!$A$4:$A$7,'Qualifying Scores'!$C$4:$C$7),"P",""),IF(MAX(X100-U100,AE100-AB100)&gt;=LOOKUP(G100,'Qualifying Scores'!$A$4:$A$7,'Qualifying Scores'!$C$4:$C$7),"P","")))</f>
        <v/>
      </c>
      <c r="L100" s="3" t="str">
        <f>IF(G100="Not Age Eligible","",IF(G100="17-21",IF(MAX(U100,W100,Z100,AB100,AD100,AG100)&gt;=LOOKUP(G100,'Qualifying Scores'!$A$10:$A$13,'Qualifying Scores'!$C$10:$C$13),"P",""),IF(MAX(W100,AD100)&gt;=LOOKUP(G100,'Qualifying Scores'!$A$10:$A$13,'Qualifying Scores'!$C$10:$C$13),"P","")))</f>
        <v/>
      </c>
      <c r="M100" s="3" t="str">
        <f>IF(G100="Not Age Eligible","",IF(G100="17-21",IF(OR(AND(T100&gt;=LOOKUP(G100,'Qualifying Scores'!$A$4:$A$7,'Qualifying Scores'!$C$4:$C$7),U100&gt;=LOOKUP(G100,'Qualifying Scores'!$A$10:$A$13,'Qualifying Scores'!$C$10:$C$13)),AND(V100&gt;=LOOKUP(G100,'Qualifying Scores'!$A$4:$A$7,'Qualifying Scores'!$C$4:$C$7),W100&gt;=LOOKUP(G100,'Qualifying Scores'!$A$10:$A$13,'Qualifying Scores'!$C$10:$C$13)),AND(Y100&gt;=LOOKUP(G100,'Qualifying Scores'!$A$4:$A$7,'Qualifying Scores'!$C$4:$C$7),Z100&gt;=LOOKUP(G100,'Qualifying Scores'!$A$10:$A$13,'Qualifying Scores'!$C$10:$C$13)),AND(AA100&gt;=LOOKUP(G100,'Qualifying Scores'!$A$4:$A$7,'Qualifying Scores'!$C$4:$C$7),AB100&gt;=LOOKUP(G100,'Qualifying Scores'!$A$10:$A$13,'Qualifying Scores'!$C$10:$C$13)),AND(AC100&gt;=LOOKUP(G100,'Qualifying Scores'!$A$4:$A$7,'Qualifying Scores'!$C$4:$C$7),AD100&gt;=LOOKUP(G100,'Qualifying Scores'!$A$10:$A$13,'Qualifying Scores'!$C$10:$C$13)),AND(AF100&gt;=LOOKUP(G100,'Qualifying Scores'!$A$4:$A$7,'Qualifying Scores'!$C$4:$C$7),AG100&gt;=LOOKUP(G100,'Qualifying Scores'!$A$10:$A$13,'Qualifying Scores'!$C$10:$C$13))),"P",""),IF(OR(AND(X100-U100&gt;=LOOKUP(G100,'Qualifying Scores'!$A$4:$A$7,'Qualifying Scores'!$C$4:$C$7),W100&gt;=LOOKUP(G100,'Qualifying Scores'!$A$10:$A$13,'Qualifying Scores'!$C$10:$C$13)),AND(AE100-AB100&gt;=LOOKUP(G100,'Qualifying Scores'!$A$4:$A$7,'Qualifying Scores'!$C$4:$C$7),AD100&gt;=LOOKUP(G100,'Qualifying Scores'!$A$10:$A$13,'Qualifying Scores'!$C$10:$C$13))),"P","")))</f>
        <v/>
      </c>
      <c r="Q100" s="1" t="str">
        <f>IF(A100&lt;5,IF(_xlfn.MAXIFS(A:A,G:G,G100)&gt;3,5-A100,_xlfn.MAXIFS(A:A,G:G,G100)+1-A100),"")</f>
        <v/>
      </c>
      <c r="R100" s="4">
        <f>IF(G100="17-21",MAX(T100,V100,Y100,AA100,AC100,AF100),MAX(X100,AE100))</f>
        <v>84.039999999999992</v>
      </c>
      <c r="S100" s="4">
        <f>IF(G100="17-21",LARGE(CHOOSE({1,2,3,4,5,6},T100,V100,Y100,AA100,AC100,AF100),2),IF(R100=X100,MAX(Y100,AA100,AC100,AF100),IF(R100=AE100,MAX(AF100,T100,V100,Y100),0)))</f>
        <v>40.869999999999997</v>
      </c>
      <c r="T100" s="33">
        <v>38.47</v>
      </c>
      <c r="U100" s="40">
        <v>0</v>
      </c>
      <c r="V100" s="34">
        <v>45.57</v>
      </c>
      <c r="W100" s="40">
        <v>8.1999999999999993</v>
      </c>
      <c r="X100" s="4">
        <f>IF(H100="Senior",MAX(T100,V100),T100+V100)</f>
        <v>84.039999999999992</v>
      </c>
      <c r="Y100" s="34">
        <v>40.799999999999997</v>
      </c>
      <c r="Z100" s="40">
        <v>6.4</v>
      </c>
      <c r="AA100" s="33">
        <v>40.869999999999997</v>
      </c>
      <c r="AB100" s="40">
        <v>0</v>
      </c>
      <c r="AC100" s="34">
        <v>14.55</v>
      </c>
      <c r="AD100" s="40">
        <v>2.9</v>
      </c>
      <c r="AE100" s="4">
        <f>IF(H100="Senior",MAX(AA100,AC100),AA100+AC100)</f>
        <v>55.42</v>
      </c>
      <c r="AF100" s="34"/>
      <c r="AG100" s="37"/>
    </row>
    <row r="101" spans="1:33" x14ac:dyDescent="0.2">
      <c r="A101" s="1" t="str" cm="1">
        <f t="array" ref="A101">IF(I101="","",IF(P101&lt;&gt;"",SUMPRODUCT((P$3:P$133&lt;&gt;"")*(G$3:G$133=G101)*(J$3:J$133&gt;J101)*(I$3:I$133="P"))+1,IF(O101&lt;&gt;"",SUMPRODUCT((O$3:O$133&lt;&gt;"")*(P$3:P$133="")*(G$3:G$133=G101)*(J$3:J$133&gt;J101)*(I$3:I$133="P"))+SUMPRODUCT((P$3:P$133&lt;&gt;"")*(G$3:G$133=G101)*(I$3:I$133="P"))+1,IF(N101&lt;&gt;"",SUMPRODUCT((N$3:N$133&lt;&gt;"")*(G$3:G$133=G101)*(J$3:J$133&gt;J101)*(I$3:I$133="P"))+1,IF(M101="P",SUMPRODUCT((O$3:O$133&lt;&gt;"")*(P$3:P$133="")*(G$3:G$133=G101)*(I$3:I$133="P"))+SUMPRODUCT((P$3:P$133&lt;&gt;"")*(G$3:G$133=G101)*(I$3:I$133="P"))+SUMPRODUCT((N$3:N$133&lt;&gt;"")*(G$3:G$133=G101)*(I$3:I$133="P"))+SUMPRODUCT((P$3:P$133="")*(O$3:O$133="")*(N$3:N$133="")*(M$3:M$133="P")*(G$3:G$133=G101)*(J$3:J$133&gt;J101)*(I$3:I$133="P"))+IF(H101="L5",SUMPRODUCT((P$3:P$133="")*(O$3:O$133="")*(N$3:N$133="")*(M$3:M$133="P")*(G$3:G$133=G101)*(J$3:J$133&lt;J101)*(H$3:H$133&lt;&gt;H101)*(I$3:I$133="P")),-1*SUMPRODUCT((P$3:P$133="")*(O$3:O$133="")*(N$3:N$133="")*(M$3:M$133="P")*(G$3:G$133=G101)*(J$3:J$133&gt;J101)*(H$3:H$133="L5")*(I$3:I$133="P")))+1,"")))))</f>
        <v/>
      </c>
      <c r="B101" s="1" t="str" cm="1">
        <f t="array" ref="B101">IF(P101&lt;&gt;"",SUMPRODUCT((P$3:P$133&lt;&gt;"")*(G$3:G$133=G101)*(J$3:J$133&gt;J101))+1,IF(O101&lt;&gt;"",SUMPRODUCT((O$3:O$133&lt;&gt;"")*(P$3:P$133="")*(G$3:G$133=G101)*(J$3:J$133&gt;J101))+SUMPRODUCT((P$3:P$133&lt;&gt;"")*(G$3:G$133=G101))+1,IF(N101&lt;&gt;"",SUMPRODUCT((N$3:N$133&lt;&gt;"")*(G$3:G$133=G101)*(J$3:J$133&gt;J101))+1,IF(M101="P",SUMPRODUCT((O$3:O$133&lt;&gt;"")*(P$3:P$133="")*(G$3:G$133=G101))+SUMPRODUCT((P$3:P$133&lt;&gt;"")*(G$3:G$133=G101))+SUMPRODUCT((N$3:N$133&lt;&gt;"")*(G$3:G$133=G101))+SUMPRODUCT((P$3:P$133="")*(O$3:O$133="")*(N$3:N$133="")*(M$3:M$133="P")*(G$3:G$133=G101)*(J$3:J$133&gt;J101))+IF(H101="L5",SUMPRODUCT((P$3:P$133="")*(O$3:O$133="")*(N$3:N$133="")*(M$3:M$133="P")*(G$3:G$133=G101)*(J$3:J$133&lt;J101)*(H$3:H$133&lt;&gt;H101)),-1*SUMPRODUCT((P$3:P$133="")*(O$3:O$133="")*(N$3:N$133="")*(M$3:M$133="P")*(G$3:G$133=G101)*(J$3:J$133&gt;J101)*(H$3:H$133="L5")))+1,""))))</f>
        <v/>
      </c>
      <c r="C101" s="36" t="s">
        <v>239</v>
      </c>
      <c r="D101" s="36" t="str">
        <f>IF(E101="","",VLOOKUP(E101,'Coaching Points'!A:B,2,0))</f>
        <v>BC</v>
      </c>
      <c r="E101" s="36" t="s">
        <v>288</v>
      </c>
      <c r="F101" s="35">
        <v>2007</v>
      </c>
      <c r="G101" s="1" t="str">
        <f>IF(OR('Qualifying Scores'!$B$1-F101&gt;21,'Qualifying Scores'!$B$1-F101&lt;11),"Not Age Eligible",IF('Qualifying Scores'!$B$1-F101&gt;16,"17-21",IF('Qualifying Scores'!$B$1-F101&gt;14,"15-16",IF('Qualifying Scores'!$B$1-F101&gt;12,"13-14",IF('Qualifying Scores'!$B$1-F101&gt;10,"11-12","Not Age Eligible")))))</f>
        <v>15-16</v>
      </c>
      <c r="H101" s="39" t="s">
        <v>66</v>
      </c>
      <c r="I101" s="43"/>
      <c r="J101" s="4">
        <f>R101+S101+IF(OR(H101="Junior",H101="Senior"),0.0002,IF(OR(H101="L7",H101="L6"),0.0001,0))+IF(G101="17-21",MAX(AA101,AC101,AF101),AE101)*0.0000001</f>
        <v>123.27000851</v>
      </c>
      <c r="K101" s="3" t="str">
        <f>IF(G101="Not Age Eligible","",IF(G101="17-21",IF(MAX(T101,V101,Y101,AA101,AC101,AF101)&gt;=LOOKUP(G101,'Qualifying Scores'!$A$4:$A$7,'Qualifying Scores'!$C$4:$C$7),"P",""),IF(MAX(X101-U101,AE101-AB101)&gt;=LOOKUP(G101,'Qualifying Scores'!$A$4:$A$7,'Qualifying Scores'!$C$4:$C$7),"P","")))</f>
        <v/>
      </c>
      <c r="L101" s="3" t="str">
        <f>IF(G101="Not Age Eligible","",IF(G101="17-21",IF(MAX(U101,W101,Z101,AB101,AD101,AG101)&gt;=LOOKUP(G101,'Qualifying Scores'!$A$10:$A$13,'Qualifying Scores'!$C$10:$C$13),"P",""),IF(MAX(W101,AD101)&gt;=LOOKUP(G101,'Qualifying Scores'!$A$10:$A$13,'Qualifying Scores'!$C$10:$C$13),"P","")))</f>
        <v>P</v>
      </c>
      <c r="M101" s="3" t="str">
        <f>IF(G101="Not Age Eligible","",IF(G101="17-21",IF(OR(AND(T101&gt;=LOOKUP(G101,'Qualifying Scores'!$A$4:$A$7,'Qualifying Scores'!$C$4:$C$7),U101&gt;=LOOKUP(G101,'Qualifying Scores'!$A$10:$A$13,'Qualifying Scores'!$C$10:$C$13)),AND(V101&gt;=LOOKUP(G101,'Qualifying Scores'!$A$4:$A$7,'Qualifying Scores'!$C$4:$C$7),W101&gt;=LOOKUP(G101,'Qualifying Scores'!$A$10:$A$13,'Qualifying Scores'!$C$10:$C$13)),AND(Y101&gt;=LOOKUP(G101,'Qualifying Scores'!$A$4:$A$7,'Qualifying Scores'!$C$4:$C$7),Z101&gt;=LOOKUP(G101,'Qualifying Scores'!$A$10:$A$13,'Qualifying Scores'!$C$10:$C$13)),AND(AA101&gt;=LOOKUP(G101,'Qualifying Scores'!$A$4:$A$7,'Qualifying Scores'!$C$4:$C$7),AB101&gt;=LOOKUP(G101,'Qualifying Scores'!$A$10:$A$13,'Qualifying Scores'!$C$10:$C$13)),AND(AC101&gt;=LOOKUP(G101,'Qualifying Scores'!$A$4:$A$7,'Qualifying Scores'!$C$4:$C$7),AD101&gt;=LOOKUP(G101,'Qualifying Scores'!$A$10:$A$13,'Qualifying Scores'!$C$10:$C$13)),AND(AF101&gt;=LOOKUP(G101,'Qualifying Scores'!$A$4:$A$7,'Qualifying Scores'!$C$4:$C$7),AG101&gt;=LOOKUP(G101,'Qualifying Scores'!$A$10:$A$13,'Qualifying Scores'!$C$10:$C$13))),"P",""),IF(OR(AND(X101-U101&gt;=LOOKUP(G101,'Qualifying Scores'!$A$4:$A$7,'Qualifying Scores'!$C$4:$C$7),W101&gt;=LOOKUP(G101,'Qualifying Scores'!$A$10:$A$13,'Qualifying Scores'!$C$10:$C$13)),AND(AE101-AB101&gt;=LOOKUP(G101,'Qualifying Scores'!$A$4:$A$7,'Qualifying Scores'!$C$4:$C$7),AD101&gt;=LOOKUP(G101,'Qualifying Scores'!$A$10:$A$13,'Qualifying Scores'!$C$10:$C$13))),"P","")))</f>
        <v/>
      </c>
      <c r="Q101" s="1" t="str">
        <f>IF(A101&lt;5,IF(_xlfn.MAXIFS(A:A,G:G,G101)&gt;3,5-A101,_xlfn.MAXIFS(A:A,G:G,G101)+1-A101),"")</f>
        <v/>
      </c>
      <c r="R101" s="4">
        <f>IF(G101="17-21",MAX(T101,V101,Y101,AA101,AC101,AF101),MAX(X101,AE101))</f>
        <v>85.1</v>
      </c>
      <c r="S101" s="4">
        <f>IF(G101="17-21",LARGE(CHOOSE({1,2,3,4,5,6},T101,V101,Y101,AA101,AC101,AF101),2),IF(R101=X101,MAX(Y101,AA101,AC101,AF101),IF(R101=AE101,MAX(AF101,T101,V101,Y101),0)))</f>
        <v>38.17</v>
      </c>
      <c r="T101" s="33">
        <v>38.17</v>
      </c>
      <c r="U101" s="40">
        <v>0</v>
      </c>
      <c r="V101" s="34">
        <v>38</v>
      </c>
      <c r="W101" s="40">
        <v>7</v>
      </c>
      <c r="X101" s="4">
        <f>IF(H101="Senior",MAX(T101,V101),T101+V101)</f>
        <v>76.17</v>
      </c>
      <c r="Y101" s="34">
        <v>8.85</v>
      </c>
      <c r="Z101" s="40">
        <v>1.8</v>
      </c>
      <c r="AA101" s="33">
        <v>39.409999999999997</v>
      </c>
      <c r="AB101" s="40">
        <v>0</v>
      </c>
      <c r="AC101" s="34">
        <v>45.69</v>
      </c>
      <c r="AD101" s="40">
        <v>9.1</v>
      </c>
      <c r="AE101" s="4">
        <f>IF(H101="Senior",MAX(AA101,AC101),AA101+AC101)</f>
        <v>85.1</v>
      </c>
      <c r="AF101" s="34">
        <v>31.68</v>
      </c>
      <c r="AG101" s="37">
        <v>6.4</v>
      </c>
    </row>
    <row r="102" spans="1:33" x14ac:dyDescent="0.2">
      <c r="A102" s="1" t="str" cm="1">
        <f t="array" ref="A102">IF(I102="","",IF(P102&lt;&gt;"",SUMPRODUCT((P$3:P$133&lt;&gt;"")*(G$3:G$133=G102)*(J$3:J$133&gt;J102)*(I$3:I$133="P"))+1,IF(O102&lt;&gt;"",SUMPRODUCT((O$3:O$133&lt;&gt;"")*(P$3:P$133="")*(G$3:G$133=G102)*(J$3:J$133&gt;J102)*(I$3:I$133="P"))+SUMPRODUCT((P$3:P$133&lt;&gt;"")*(G$3:G$133=G102)*(I$3:I$133="P"))+1,IF(N102&lt;&gt;"",SUMPRODUCT((N$3:N$133&lt;&gt;"")*(G$3:G$133=G102)*(J$3:J$133&gt;J102)*(I$3:I$133="P"))+1,IF(M102="P",SUMPRODUCT((O$3:O$133&lt;&gt;"")*(P$3:P$133="")*(G$3:G$133=G102)*(I$3:I$133="P"))+SUMPRODUCT((P$3:P$133&lt;&gt;"")*(G$3:G$133=G102)*(I$3:I$133="P"))+SUMPRODUCT((N$3:N$133&lt;&gt;"")*(G$3:G$133=G102)*(I$3:I$133="P"))+SUMPRODUCT((P$3:P$133="")*(O$3:O$133="")*(N$3:N$133="")*(M$3:M$133="P")*(G$3:G$133=G102)*(J$3:J$133&gt;J102)*(I$3:I$133="P"))+IF(H102="L5",SUMPRODUCT((P$3:P$133="")*(O$3:O$133="")*(N$3:N$133="")*(M$3:M$133="P")*(G$3:G$133=G102)*(J$3:J$133&lt;J102)*(H$3:H$133&lt;&gt;H102)*(I$3:I$133="P")),-1*SUMPRODUCT((P$3:P$133="")*(O$3:O$133="")*(N$3:N$133="")*(M$3:M$133="P")*(G$3:G$133=G102)*(J$3:J$133&gt;J102)*(H$3:H$133="L5")*(I$3:I$133="P")))+1,"")))))</f>
        <v/>
      </c>
      <c r="B102" s="1" t="str" cm="1">
        <f t="array" ref="B102">IF(P102&lt;&gt;"",SUMPRODUCT((P$3:P$133&lt;&gt;"")*(G$3:G$133=G102)*(J$3:J$133&gt;J102))+1,IF(O102&lt;&gt;"",SUMPRODUCT((O$3:O$133&lt;&gt;"")*(P$3:P$133="")*(G$3:G$133=G102)*(J$3:J$133&gt;J102))+SUMPRODUCT((P$3:P$133&lt;&gt;"")*(G$3:G$133=G102))+1,IF(N102&lt;&gt;"",SUMPRODUCT((N$3:N$133&lt;&gt;"")*(G$3:G$133=G102)*(J$3:J$133&gt;J102))+1,IF(M102="P",SUMPRODUCT((O$3:O$133&lt;&gt;"")*(P$3:P$133="")*(G$3:G$133=G102))+SUMPRODUCT((P$3:P$133&lt;&gt;"")*(G$3:G$133=G102))+SUMPRODUCT((N$3:N$133&lt;&gt;"")*(G$3:G$133=G102))+SUMPRODUCT((P$3:P$133="")*(O$3:O$133="")*(N$3:N$133="")*(M$3:M$133="P")*(G$3:G$133=G102)*(J$3:J$133&gt;J102))+IF(H102="L5",SUMPRODUCT((P$3:P$133="")*(O$3:O$133="")*(N$3:N$133="")*(M$3:M$133="P")*(G$3:G$133=G102)*(J$3:J$133&lt;J102)*(H$3:H$133&lt;&gt;H102)),-1*SUMPRODUCT((P$3:P$133="")*(O$3:O$133="")*(N$3:N$133="")*(M$3:M$133="P")*(G$3:G$133=G102)*(J$3:J$133&gt;J102)*(H$3:H$133="L5")))+1,""))))</f>
        <v/>
      </c>
      <c r="C102" s="36" t="s">
        <v>237</v>
      </c>
      <c r="D102" s="36" t="str">
        <f>IF(E102="","",VLOOKUP(E102,'Coaching Points'!A:B,2,0))</f>
        <v>AB</v>
      </c>
      <c r="E102" s="36" t="s">
        <v>58</v>
      </c>
      <c r="F102" s="35">
        <v>2008</v>
      </c>
      <c r="G102" s="1" t="str">
        <f>IF(OR('Qualifying Scores'!$B$1-F102&gt;21,'Qualifying Scores'!$B$1-F102&lt;11),"Not Age Eligible",IF('Qualifying Scores'!$B$1-F102&gt;16,"17-21",IF('Qualifying Scores'!$B$1-F102&gt;14,"15-16",IF('Qualifying Scores'!$B$1-F102&gt;12,"13-14",IF('Qualifying Scores'!$B$1-F102&gt;10,"11-12","Not Age Eligible")))))</f>
        <v>15-16</v>
      </c>
      <c r="H102" s="39" t="s">
        <v>67</v>
      </c>
      <c r="I102" s="43" t="s">
        <v>567</v>
      </c>
      <c r="J102" s="4">
        <f>R102+S102+IF(OR(H102="Junior",H102="Senior"),0.0002,IF(OR(H102="L7",H102="L6"),0.0001,0))+IF(G102="17-21",MAX(AA102,AC102,AF102),AE102)*0.0000001</f>
        <v>122.56010472600001</v>
      </c>
      <c r="K102" s="3" t="str">
        <f>IF(G102="Not Age Eligible","",IF(G102="17-21",IF(MAX(T102,V102,Y102,AA102,AC102,AF102)&gt;=LOOKUP(G102,'Qualifying Scores'!$A$4:$A$7,'Qualifying Scores'!$C$4:$C$7),"P",""),IF(MAX(X102-U102,AE102-AB102)&gt;=LOOKUP(G102,'Qualifying Scores'!$A$4:$A$7,'Qualifying Scores'!$C$4:$C$7),"P","")))</f>
        <v/>
      </c>
      <c r="L102" s="3" t="str">
        <f>IF(G102="Not Age Eligible","",IF(G102="17-21",IF(MAX(U102,W102,Z102,AB102,AD102,AG102)&gt;=LOOKUP(G102,'Qualifying Scores'!$A$10:$A$13,'Qualifying Scores'!$C$10:$C$13),"P",""),IF(MAX(W102,AD102)&gt;=LOOKUP(G102,'Qualifying Scores'!$A$10:$A$13,'Qualifying Scores'!$C$10:$C$13),"P","")))</f>
        <v/>
      </c>
      <c r="M102" s="3" t="str">
        <f>IF(G102="Not Age Eligible","",IF(G102="17-21",IF(OR(AND(T102&gt;=LOOKUP(G102,'Qualifying Scores'!$A$4:$A$7,'Qualifying Scores'!$C$4:$C$7),U102&gt;=LOOKUP(G102,'Qualifying Scores'!$A$10:$A$13,'Qualifying Scores'!$C$10:$C$13)),AND(V102&gt;=LOOKUP(G102,'Qualifying Scores'!$A$4:$A$7,'Qualifying Scores'!$C$4:$C$7),W102&gt;=LOOKUP(G102,'Qualifying Scores'!$A$10:$A$13,'Qualifying Scores'!$C$10:$C$13)),AND(Y102&gt;=LOOKUP(G102,'Qualifying Scores'!$A$4:$A$7,'Qualifying Scores'!$C$4:$C$7),Z102&gt;=LOOKUP(G102,'Qualifying Scores'!$A$10:$A$13,'Qualifying Scores'!$C$10:$C$13)),AND(AA102&gt;=LOOKUP(G102,'Qualifying Scores'!$A$4:$A$7,'Qualifying Scores'!$C$4:$C$7),AB102&gt;=LOOKUP(G102,'Qualifying Scores'!$A$10:$A$13,'Qualifying Scores'!$C$10:$C$13)),AND(AC102&gt;=LOOKUP(G102,'Qualifying Scores'!$A$4:$A$7,'Qualifying Scores'!$C$4:$C$7),AD102&gt;=LOOKUP(G102,'Qualifying Scores'!$A$10:$A$13,'Qualifying Scores'!$C$10:$C$13)),AND(AF102&gt;=LOOKUP(G102,'Qualifying Scores'!$A$4:$A$7,'Qualifying Scores'!$C$4:$C$7),AG102&gt;=LOOKUP(G102,'Qualifying Scores'!$A$10:$A$13,'Qualifying Scores'!$C$10:$C$13))),"P",""),IF(OR(AND(X102-U102&gt;=LOOKUP(G102,'Qualifying Scores'!$A$4:$A$7,'Qualifying Scores'!$C$4:$C$7),W102&gt;=LOOKUP(G102,'Qualifying Scores'!$A$10:$A$13,'Qualifying Scores'!$C$10:$C$13)),AND(AE102-AB102&gt;=LOOKUP(G102,'Qualifying Scores'!$A$4:$A$7,'Qualifying Scores'!$C$4:$C$7),AD102&gt;=LOOKUP(G102,'Qualifying Scores'!$A$10:$A$13,'Qualifying Scores'!$C$10:$C$13))),"P","")))</f>
        <v/>
      </c>
      <c r="Q102" s="1" t="str">
        <f>IF(A102&lt;5,IF(_xlfn.MAXIFS(A:A,G:G,G102)&gt;3,5-A102,_xlfn.MAXIFS(A:A,G:G,G102)+1-A102),"")</f>
        <v/>
      </c>
      <c r="R102" s="4">
        <f>IF(G102="17-21",MAX(T102,V102,Y102,AA102,AC102,AF102),MAX(X102,AE102))</f>
        <v>79.84</v>
      </c>
      <c r="S102" s="4">
        <f>IF(G102="17-21",LARGE(CHOOSE({1,2,3,4,5,6},T102,V102,Y102,AA102,AC102,AF102),2),IF(R102=X102,MAX(Y102,AA102,AC102,AF102),IF(R102=AE102,MAX(AF102,T102,V102,Y102),0)))</f>
        <v>42.72</v>
      </c>
      <c r="T102" s="33">
        <v>36.200000000000003</v>
      </c>
      <c r="U102" s="40">
        <v>0</v>
      </c>
      <c r="V102" s="34">
        <v>43.64</v>
      </c>
      <c r="W102" s="40">
        <v>8.5</v>
      </c>
      <c r="X102" s="4">
        <f>IF(H102="Senior",MAX(T102,V102),T102+V102)</f>
        <v>79.84</v>
      </c>
      <c r="Y102" s="34">
        <v>42.72</v>
      </c>
      <c r="Z102" s="40">
        <v>8.5</v>
      </c>
      <c r="AA102" s="33">
        <v>37.869999999999997</v>
      </c>
      <c r="AB102" s="40">
        <v>0</v>
      </c>
      <c r="AC102" s="34">
        <v>9.39</v>
      </c>
      <c r="AD102" s="40">
        <v>1.9</v>
      </c>
      <c r="AE102" s="4">
        <f>IF(H102="Senior",MAX(AA102,AC102),AA102+AC102)</f>
        <v>47.26</v>
      </c>
      <c r="AF102" s="34"/>
      <c r="AG102" s="37"/>
    </row>
    <row r="103" spans="1:33" x14ac:dyDescent="0.2">
      <c r="A103" s="1" t="str" cm="1">
        <f t="array" ref="A103">IF(I103="","",IF(P103&lt;&gt;"",SUMPRODUCT((P$3:P$133&lt;&gt;"")*(G$3:G$133=G103)*(J$3:J$133&gt;J103)*(I$3:I$133="P"))+1,IF(O103&lt;&gt;"",SUMPRODUCT((O$3:O$133&lt;&gt;"")*(P$3:P$133="")*(G$3:G$133=G103)*(J$3:J$133&gt;J103)*(I$3:I$133="P"))+SUMPRODUCT((P$3:P$133&lt;&gt;"")*(G$3:G$133=G103)*(I$3:I$133="P"))+1,IF(N103&lt;&gt;"",SUMPRODUCT((N$3:N$133&lt;&gt;"")*(G$3:G$133=G103)*(J$3:J$133&gt;J103)*(I$3:I$133="P"))+1,IF(M103="P",SUMPRODUCT((O$3:O$133&lt;&gt;"")*(P$3:P$133="")*(G$3:G$133=G103)*(I$3:I$133="P"))+SUMPRODUCT((P$3:P$133&lt;&gt;"")*(G$3:G$133=G103)*(I$3:I$133="P"))+SUMPRODUCT((N$3:N$133&lt;&gt;"")*(G$3:G$133=G103)*(I$3:I$133="P"))+SUMPRODUCT((P$3:P$133="")*(O$3:O$133="")*(N$3:N$133="")*(M$3:M$133="P")*(G$3:G$133=G103)*(J$3:J$133&gt;J103)*(I$3:I$133="P"))+IF(H103="L5",SUMPRODUCT((P$3:P$133="")*(O$3:O$133="")*(N$3:N$133="")*(M$3:M$133="P")*(G$3:G$133=G103)*(J$3:J$133&lt;J103)*(H$3:H$133&lt;&gt;H103)*(I$3:I$133="P")),-1*SUMPRODUCT((P$3:P$133="")*(O$3:O$133="")*(N$3:N$133="")*(M$3:M$133="P")*(G$3:G$133=G103)*(J$3:J$133&gt;J103)*(H$3:H$133="L5")*(I$3:I$133="P")))+1,"")))))</f>
        <v/>
      </c>
      <c r="B103" s="1" t="str" cm="1">
        <f t="array" ref="B103">IF(P103&lt;&gt;"",SUMPRODUCT((P$3:P$133&lt;&gt;"")*(G$3:G$133=G103)*(J$3:J$133&gt;J103))+1,IF(O103&lt;&gt;"",SUMPRODUCT((O$3:O$133&lt;&gt;"")*(P$3:P$133="")*(G$3:G$133=G103)*(J$3:J$133&gt;J103))+SUMPRODUCT((P$3:P$133&lt;&gt;"")*(G$3:G$133=G103))+1,IF(N103&lt;&gt;"",SUMPRODUCT((N$3:N$133&lt;&gt;"")*(G$3:G$133=G103)*(J$3:J$133&gt;J103))+1,IF(M103="P",SUMPRODUCT((O$3:O$133&lt;&gt;"")*(P$3:P$133="")*(G$3:G$133=G103))+SUMPRODUCT((P$3:P$133&lt;&gt;"")*(G$3:G$133=G103))+SUMPRODUCT((N$3:N$133&lt;&gt;"")*(G$3:G$133=G103))+SUMPRODUCT((P$3:P$133="")*(O$3:O$133="")*(N$3:N$133="")*(M$3:M$133="P")*(G$3:G$133=G103)*(J$3:J$133&gt;J103))+IF(H103="L5",SUMPRODUCT((P$3:P$133="")*(O$3:O$133="")*(N$3:N$133="")*(M$3:M$133="P")*(G$3:G$133=G103)*(J$3:J$133&lt;J103)*(H$3:H$133&lt;&gt;H103)),-1*SUMPRODUCT((P$3:P$133="")*(O$3:O$133="")*(N$3:N$133="")*(M$3:M$133="P")*(G$3:G$133=G103)*(J$3:J$133&gt;J103)*(H$3:H$133="L5")))+1,""))))</f>
        <v/>
      </c>
      <c r="C103" s="36" t="s">
        <v>240</v>
      </c>
      <c r="D103" s="36" t="str">
        <f>IF(E103="","",VLOOKUP(E103,'Coaching Points'!A:B,2,0))</f>
        <v>BC</v>
      </c>
      <c r="E103" s="36" t="s">
        <v>62</v>
      </c>
      <c r="F103" s="35">
        <v>2007</v>
      </c>
      <c r="G103" s="1" t="str">
        <f>IF(OR('Qualifying Scores'!$B$1-F103&gt;21,'Qualifying Scores'!$B$1-F103&lt;11),"Not Age Eligible",IF('Qualifying Scores'!$B$1-F103&gt;16,"17-21",IF('Qualifying Scores'!$B$1-F103&gt;14,"15-16",IF('Qualifying Scores'!$B$1-F103&gt;12,"13-14",IF('Qualifying Scores'!$B$1-F103&gt;10,"11-12","Not Age Eligible")))))</f>
        <v>15-16</v>
      </c>
      <c r="H103" s="39" t="s">
        <v>66</v>
      </c>
      <c r="I103" s="43"/>
      <c r="J103" s="4">
        <f>R103+S103+IF(OR(H103="Junior",H103="Senior"),0.0002,IF(OR(H103="L7",H103="L6"),0.0001,0))+IF(G103="17-21",MAX(AA103,AC103,AF103),AE103)*0.0000001</f>
        <v>119.82000750399999</v>
      </c>
      <c r="K103" s="3" t="str">
        <f>IF(G103="Not Age Eligible","",IF(G103="17-21",IF(MAX(T103,V103,Y103,AA103,AC103,AF103)&gt;=LOOKUP(G103,'Qualifying Scores'!$A$4:$A$7,'Qualifying Scores'!$C$4:$C$7),"P",""),IF(MAX(X103-U103,AE103-AB103)&gt;=LOOKUP(G103,'Qualifying Scores'!$A$4:$A$7,'Qualifying Scores'!$C$4:$C$7),"P","")))</f>
        <v/>
      </c>
      <c r="L103" s="3" t="str">
        <f>IF(G103="Not Age Eligible","",IF(G103="17-21",IF(MAX(U103,W103,Z103,AB103,AD103,AG103)&gt;=LOOKUP(G103,'Qualifying Scores'!$A$10:$A$13,'Qualifying Scores'!$C$10:$C$13),"P",""),IF(MAX(W103,AD103)&gt;=LOOKUP(G103,'Qualifying Scores'!$A$10:$A$13,'Qualifying Scores'!$C$10:$C$13),"P","")))</f>
        <v/>
      </c>
      <c r="M103" s="3" t="str">
        <f>IF(G103="Not Age Eligible","",IF(G103="17-21",IF(OR(AND(T103&gt;=LOOKUP(G103,'Qualifying Scores'!$A$4:$A$7,'Qualifying Scores'!$C$4:$C$7),U103&gt;=LOOKUP(G103,'Qualifying Scores'!$A$10:$A$13,'Qualifying Scores'!$C$10:$C$13)),AND(V103&gt;=LOOKUP(G103,'Qualifying Scores'!$A$4:$A$7,'Qualifying Scores'!$C$4:$C$7),W103&gt;=LOOKUP(G103,'Qualifying Scores'!$A$10:$A$13,'Qualifying Scores'!$C$10:$C$13)),AND(Y103&gt;=LOOKUP(G103,'Qualifying Scores'!$A$4:$A$7,'Qualifying Scores'!$C$4:$C$7),Z103&gt;=LOOKUP(G103,'Qualifying Scores'!$A$10:$A$13,'Qualifying Scores'!$C$10:$C$13)),AND(AA103&gt;=LOOKUP(G103,'Qualifying Scores'!$A$4:$A$7,'Qualifying Scores'!$C$4:$C$7),AB103&gt;=LOOKUP(G103,'Qualifying Scores'!$A$10:$A$13,'Qualifying Scores'!$C$10:$C$13)),AND(AC103&gt;=LOOKUP(G103,'Qualifying Scores'!$A$4:$A$7,'Qualifying Scores'!$C$4:$C$7),AD103&gt;=LOOKUP(G103,'Qualifying Scores'!$A$10:$A$13,'Qualifying Scores'!$C$10:$C$13)),AND(AF103&gt;=LOOKUP(G103,'Qualifying Scores'!$A$4:$A$7,'Qualifying Scores'!$C$4:$C$7),AG103&gt;=LOOKUP(G103,'Qualifying Scores'!$A$10:$A$13,'Qualifying Scores'!$C$10:$C$13))),"P",""),IF(OR(AND(X103-U103&gt;=LOOKUP(G103,'Qualifying Scores'!$A$4:$A$7,'Qualifying Scores'!$C$4:$C$7),W103&gt;=LOOKUP(G103,'Qualifying Scores'!$A$10:$A$13,'Qualifying Scores'!$C$10:$C$13)),AND(AE103-AB103&gt;=LOOKUP(G103,'Qualifying Scores'!$A$4:$A$7,'Qualifying Scores'!$C$4:$C$7),AD103&gt;=LOOKUP(G103,'Qualifying Scores'!$A$10:$A$13,'Qualifying Scores'!$C$10:$C$13))),"P","")))</f>
        <v/>
      </c>
      <c r="Q103" s="1" t="str">
        <f>IF(A103&lt;5,IF(_xlfn.MAXIFS(A:A,G:G,G103)&gt;3,5-A103,_xlfn.MAXIFS(A:A,G:G,G103)+1-A103),"")</f>
        <v/>
      </c>
      <c r="R103" s="4">
        <f>IF(G103="17-21",MAX(T103,V103,Y103,AA103,AC103,AF103),MAX(X103,AE103))</f>
        <v>77.56</v>
      </c>
      <c r="S103" s="4">
        <f>IF(G103="17-21",LARGE(CHOOSE({1,2,3,4,5,6},T103,V103,Y103,AA103,AC103,AF103),2),IF(R103=X103,MAX(Y103,AA103,AC103,AF103),IF(R103=AE103,MAX(AF103,T103,V103,Y103),0)))</f>
        <v>42.26</v>
      </c>
      <c r="T103" s="33">
        <v>35.58</v>
      </c>
      <c r="U103" s="40">
        <v>0</v>
      </c>
      <c r="V103" s="34">
        <v>41.98</v>
      </c>
      <c r="W103" s="40">
        <v>8.4</v>
      </c>
      <c r="X103" s="4">
        <f>IF(H103="Senior",MAX(T103,V103),T103+V103)</f>
        <v>77.56</v>
      </c>
      <c r="Y103" s="34">
        <v>42.26</v>
      </c>
      <c r="Z103" s="40">
        <v>7.1</v>
      </c>
      <c r="AA103" s="33">
        <v>34.39</v>
      </c>
      <c r="AB103" s="40">
        <v>0</v>
      </c>
      <c r="AC103" s="34">
        <v>40.65</v>
      </c>
      <c r="AD103" s="40">
        <v>8.5</v>
      </c>
      <c r="AE103" s="4">
        <f>IF(H103="Senior",MAX(AA103,AC103),AA103+AC103)</f>
        <v>75.039999999999992</v>
      </c>
      <c r="AF103" s="34"/>
      <c r="AG103" s="37"/>
    </row>
    <row r="104" spans="1:33" x14ac:dyDescent="0.2">
      <c r="A104" s="1" t="str" cm="1">
        <f t="array" ref="A104">IF(I104="","",IF(P104&lt;&gt;"",SUMPRODUCT((P$3:P$133&lt;&gt;"")*(G$3:G$133=G104)*(J$3:J$133&gt;J104)*(I$3:I$133="P"))+1,IF(O104&lt;&gt;"",SUMPRODUCT((O$3:O$133&lt;&gt;"")*(P$3:P$133="")*(G$3:G$133=G104)*(J$3:J$133&gt;J104)*(I$3:I$133="P"))+SUMPRODUCT((P$3:P$133&lt;&gt;"")*(G$3:G$133=G104)*(I$3:I$133="P"))+1,IF(N104&lt;&gt;"",SUMPRODUCT((N$3:N$133&lt;&gt;"")*(G$3:G$133=G104)*(J$3:J$133&gt;J104)*(I$3:I$133="P"))+1,IF(M104="P",SUMPRODUCT((O$3:O$133&lt;&gt;"")*(P$3:P$133="")*(G$3:G$133=G104)*(I$3:I$133="P"))+SUMPRODUCT((P$3:P$133&lt;&gt;"")*(G$3:G$133=G104)*(I$3:I$133="P"))+SUMPRODUCT((N$3:N$133&lt;&gt;"")*(G$3:G$133=G104)*(I$3:I$133="P"))+SUMPRODUCT((P$3:P$133="")*(O$3:O$133="")*(N$3:N$133="")*(M$3:M$133="P")*(G$3:G$133=G104)*(J$3:J$133&gt;J104)*(I$3:I$133="P"))+IF(H104="L5",SUMPRODUCT((P$3:P$133="")*(O$3:O$133="")*(N$3:N$133="")*(M$3:M$133="P")*(G$3:G$133=G104)*(J$3:J$133&lt;J104)*(H$3:H$133&lt;&gt;H104)*(I$3:I$133="P")),-1*SUMPRODUCT((P$3:P$133="")*(O$3:O$133="")*(N$3:N$133="")*(M$3:M$133="P")*(G$3:G$133=G104)*(J$3:J$133&gt;J104)*(H$3:H$133="L5")*(I$3:I$133="P")))+1,"")))))</f>
        <v/>
      </c>
      <c r="B104" s="1" t="str" cm="1">
        <f t="array" ref="B104">IF(P104&lt;&gt;"",SUMPRODUCT((P$3:P$133&lt;&gt;"")*(G$3:G$133=G104)*(J$3:J$133&gt;J104))+1,IF(O104&lt;&gt;"",SUMPRODUCT((O$3:O$133&lt;&gt;"")*(P$3:P$133="")*(G$3:G$133=G104)*(J$3:J$133&gt;J104))+SUMPRODUCT((P$3:P$133&lt;&gt;"")*(G$3:G$133=G104))+1,IF(N104&lt;&gt;"",SUMPRODUCT((N$3:N$133&lt;&gt;"")*(G$3:G$133=G104)*(J$3:J$133&gt;J104))+1,IF(M104="P",SUMPRODUCT((O$3:O$133&lt;&gt;"")*(P$3:P$133="")*(G$3:G$133=G104))+SUMPRODUCT((P$3:P$133&lt;&gt;"")*(G$3:G$133=G104))+SUMPRODUCT((N$3:N$133&lt;&gt;"")*(G$3:G$133=G104))+SUMPRODUCT((P$3:P$133="")*(O$3:O$133="")*(N$3:N$133="")*(M$3:M$133="P")*(G$3:G$133=G104)*(J$3:J$133&gt;J104))+IF(H104="L5",SUMPRODUCT((P$3:P$133="")*(O$3:O$133="")*(N$3:N$133="")*(M$3:M$133="P")*(G$3:G$133=G104)*(J$3:J$133&lt;J104)*(H$3:H$133&lt;&gt;H104)),-1*SUMPRODUCT((P$3:P$133="")*(O$3:O$133="")*(N$3:N$133="")*(M$3:M$133="P")*(G$3:G$133=G104)*(J$3:J$133&gt;J104)*(H$3:H$133="L5")))+1,""))))</f>
        <v/>
      </c>
      <c r="C104" s="36" t="s">
        <v>117</v>
      </c>
      <c r="D104" s="36" t="str">
        <f>IF(E104="","",VLOOKUP(E104,'Coaching Points'!A:B,2,0))</f>
        <v>AB</v>
      </c>
      <c r="E104" s="36" t="s">
        <v>64</v>
      </c>
      <c r="F104" s="35">
        <v>2008</v>
      </c>
      <c r="G104" s="1" t="str">
        <f>IF(OR('Qualifying Scores'!$B$1-F104&gt;21,'Qualifying Scores'!$B$1-F104&lt;11),"Not Age Eligible",IF('Qualifying Scores'!$B$1-F104&gt;16,"17-21",IF('Qualifying Scores'!$B$1-F104&gt;14,"15-16",IF('Qualifying Scores'!$B$1-F104&gt;12,"13-14",IF('Qualifying Scores'!$B$1-F104&gt;10,"11-12","Not Age Eligible")))))</f>
        <v>15-16</v>
      </c>
      <c r="H104" s="39" t="s">
        <v>65</v>
      </c>
      <c r="I104" s="43" t="s">
        <v>567</v>
      </c>
      <c r="J104" s="4">
        <f>R104+S104+IF(OR(H104="Junior",H104="Senior"),0.0002,IF(OR(H104="L7",H104="L6"),0.0001,0))+IF(G104="17-21",MAX(AA104,AC104,AF104),AE104)*0.0000001</f>
        <v>118.70020800100001</v>
      </c>
      <c r="K104" s="3" t="str">
        <f>IF(G104="Not Age Eligible","",IF(G104="17-21",IF(MAX(T104,V104,Y104,AA104,AC104,AF104)&gt;=LOOKUP(G104,'Qualifying Scores'!$A$4:$A$7,'Qualifying Scores'!$C$4:$C$7),"P",""),IF(MAX(X104-U104,AE104-AB104)&gt;=LOOKUP(G104,'Qualifying Scores'!$A$4:$A$7,'Qualifying Scores'!$C$4:$C$7),"P","")))</f>
        <v/>
      </c>
      <c r="L104" s="3" t="str">
        <f>IF(G104="Not Age Eligible","",IF(G104="17-21",IF(MAX(U104,W104,Z104,AB104,AD104,AG104)&gt;=LOOKUP(G104,'Qualifying Scores'!$A$10:$A$13,'Qualifying Scores'!$C$10:$C$13),"P",""),IF(MAX(W104,AD104)&gt;=LOOKUP(G104,'Qualifying Scores'!$A$10:$A$13,'Qualifying Scores'!$C$10:$C$13),"P","")))</f>
        <v>P</v>
      </c>
      <c r="M104" s="3" t="str">
        <f>IF(G104="Not Age Eligible","",IF(G104="17-21",IF(OR(AND(T104&gt;=LOOKUP(G104,'Qualifying Scores'!$A$4:$A$7,'Qualifying Scores'!$C$4:$C$7),U104&gt;=LOOKUP(G104,'Qualifying Scores'!$A$10:$A$13,'Qualifying Scores'!$C$10:$C$13)),AND(V104&gt;=LOOKUP(G104,'Qualifying Scores'!$A$4:$A$7,'Qualifying Scores'!$C$4:$C$7),W104&gt;=LOOKUP(G104,'Qualifying Scores'!$A$10:$A$13,'Qualifying Scores'!$C$10:$C$13)),AND(Y104&gt;=LOOKUP(G104,'Qualifying Scores'!$A$4:$A$7,'Qualifying Scores'!$C$4:$C$7),Z104&gt;=LOOKUP(G104,'Qualifying Scores'!$A$10:$A$13,'Qualifying Scores'!$C$10:$C$13)),AND(AA104&gt;=LOOKUP(G104,'Qualifying Scores'!$A$4:$A$7,'Qualifying Scores'!$C$4:$C$7),AB104&gt;=LOOKUP(G104,'Qualifying Scores'!$A$10:$A$13,'Qualifying Scores'!$C$10:$C$13)),AND(AC104&gt;=LOOKUP(G104,'Qualifying Scores'!$A$4:$A$7,'Qualifying Scores'!$C$4:$C$7),AD104&gt;=LOOKUP(G104,'Qualifying Scores'!$A$10:$A$13,'Qualifying Scores'!$C$10:$C$13)),AND(AF104&gt;=LOOKUP(G104,'Qualifying Scores'!$A$4:$A$7,'Qualifying Scores'!$C$4:$C$7),AG104&gt;=LOOKUP(G104,'Qualifying Scores'!$A$10:$A$13,'Qualifying Scores'!$C$10:$C$13))),"P",""),IF(OR(AND(X104-U104&gt;=LOOKUP(G104,'Qualifying Scores'!$A$4:$A$7,'Qualifying Scores'!$C$4:$C$7),W104&gt;=LOOKUP(G104,'Qualifying Scores'!$A$10:$A$13,'Qualifying Scores'!$C$10:$C$13)),AND(AE104-AB104&gt;=LOOKUP(G104,'Qualifying Scores'!$A$4:$A$7,'Qualifying Scores'!$C$4:$C$7),AD104&gt;=LOOKUP(G104,'Qualifying Scores'!$A$10:$A$13,'Qualifying Scores'!$C$10:$C$13))),"P","")))</f>
        <v/>
      </c>
      <c r="Q104" s="1" t="str">
        <f>IF(A104&lt;5,IF(_xlfn.MAXIFS(A:A,G:G,G104)&gt;3,5-A104,_xlfn.MAXIFS(A:A,G:G,G104)+1-A104),"")</f>
        <v/>
      </c>
      <c r="R104" s="4">
        <f>IF(G104="17-21",MAX(T104,V104,Y104,AA104,AC104,AF104),MAX(X104,AE104))</f>
        <v>80.010000000000005</v>
      </c>
      <c r="S104" s="4">
        <f>IF(G104="17-21",LARGE(CHOOSE({1,2,3,4,5,6},T104,V104,Y104,AA104,AC104,AF104),2),IF(R104=X104,MAX(Y104,AA104,AC104,AF104),IF(R104=AE104,MAX(AF104,T104,V104,Y104),0)))</f>
        <v>38.69</v>
      </c>
      <c r="T104" s="33">
        <v>38.69</v>
      </c>
      <c r="U104" s="40">
        <v>0</v>
      </c>
      <c r="V104" s="34">
        <v>8.84</v>
      </c>
      <c r="W104" s="40">
        <v>1.9</v>
      </c>
      <c r="X104" s="4">
        <f>IF(H104="Senior",MAX(T104,V104),T104+V104)</f>
        <v>47.53</v>
      </c>
      <c r="Y104" s="34" t="s">
        <v>308</v>
      </c>
      <c r="Z104" s="40" t="s">
        <v>308</v>
      </c>
      <c r="AA104" s="33">
        <v>37.450000000000003</v>
      </c>
      <c r="AB104" s="40">
        <v>0</v>
      </c>
      <c r="AC104" s="34">
        <v>42.56</v>
      </c>
      <c r="AD104" s="40">
        <v>9.8000000000000007</v>
      </c>
      <c r="AE104" s="4">
        <f>IF(H104="Senior",MAX(AA104,AC104),AA104+AC104)</f>
        <v>80.010000000000005</v>
      </c>
      <c r="AF104" s="34">
        <v>23.38</v>
      </c>
      <c r="AG104" s="37">
        <v>5.4</v>
      </c>
    </row>
    <row r="105" spans="1:33" x14ac:dyDescent="0.2">
      <c r="A105" s="1" t="str" cm="1">
        <f t="array" ref="A105">IF(I105="","",IF(P105&lt;&gt;"",SUMPRODUCT((P$3:P$133&lt;&gt;"")*(G$3:G$133=G105)*(J$3:J$133&gt;J105)*(I$3:I$133="P"))+1,IF(O105&lt;&gt;"",SUMPRODUCT((O$3:O$133&lt;&gt;"")*(P$3:P$133="")*(G$3:G$133=G105)*(J$3:J$133&gt;J105)*(I$3:I$133="P"))+SUMPRODUCT((P$3:P$133&lt;&gt;"")*(G$3:G$133=G105)*(I$3:I$133="P"))+1,IF(N105&lt;&gt;"",SUMPRODUCT((N$3:N$133&lt;&gt;"")*(G$3:G$133=G105)*(J$3:J$133&gt;J105)*(I$3:I$133="P"))+1,IF(M105="P",SUMPRODUCT((O$3:O$133&lt;&gt;"")*(P$3:P$133="")*(G$3:G$133=G105)*(I$3:I$133="P"))+SUMPRODUCT((P$3:P$133&lt;&gt;"")*(G$3:G$133=G105)*(I$3:I$133="P"))+SUMPRODUCT((N$3:N$133&lt;&gt;"")*(G$3:G$133=G105)*(I$3:I$133="P"))+SUMPRODUCT((P$3:P$133="")*(O$3:O$133="")*(N$3:N$133="")*(M$3:M$133="P")*(G$3:G$133=G105)*(J$3:J$133&gt;J105)*(I$3:I$133="P"))+IF(H105="L5",SUMPRODUCT((P$3:P$133="")*(O$3:O$133="")*(N$3:N$133="")*(M$3:M$133="P")*(G$3:G$133=G105)*(J$3:J$133&lt;J105)*(H$3:H$133&lt;&gt;H105)*(I$3:I$133="P")),-1*SUMPRODUCT((P$3:P$133="")*(O$3:O$133="")*(N$3:N$133="")*(M$3:M$133="P")*(G$3:G$133=G105)*(J$3:J$133&gt;J105)*(H$3:H$133="L5")*(I$3:I$133="P")))+1,"")))))</f>
        <v/>
      </c>
      <c r="B105" s="1" t="str" cm="1">
        <f t="array" ref="B105">IF(P105&lt;&gt;"",SUMPRODUCT((P$3:P$133&lt;&gt;"")*(G$3:G$133=G105)*(J$3:J$133&gt;J105))+1,IF(O105&lt;&gt;"",SUMPRODUCT((O$3:O$133&lt;&gt;"")*(P$3:P$133="")*(G$3:G$133=G105)*(J$3:J$133&gt;J105))+SUMPRODUCT((P$3:P$133&lt;&gt;"")*(G$3:G$133=G105))+1,IF(N105&lt;&gt;"",SUMPRODUCT((N$3:N$133&lt;&gt;"")*(G$3:G$133=G105)*(J$3:J$133&gt;J105))+1,IF(M105="P",SUMPRODUCT((O$3:O$133&lt;&gt;"")*(P$3:P$133="")*(G$3:G$133=G105))+SUMPRODUCT((P$3:P$133&lt;&gt;"")*(G$3:G$133=G105))+SUMPRODUCT((N$3:N$133&lt;&gt;"")*(G$3:G$133=G105))+SUMPRODUCT((P$3:P$133="")*(O$3:O$133="")*(N$3:N$133="")*(M$3:M$133="P")*(G$3:G$133=G105)*(J$3:J$133&gt;J105))+IF(H105="L5",SUMPRODUCT((P$3:P$133="")*(O$3:O$133="")*(N$3:N$133="")*(M$3:M$133="P")*(G$3:G$133=G105)*(J$3:J$133&lt;J105)*(H$3:H$133&lt;&gt;H105)),-1*SUMPRODUCT((P$3:P$133="")*(O$3:O$133="")*(N$3:N$133="")*(M$3:M$133="P")*(G$3:G$133=G105)*(J$3:J$133&gt;J105)*(H$3:H$133="L5")))+1,""))))</f>
        <v/>
      </c>
      <c r="C105" s="36" t="s">
        <v>303</v>
      </c>
      <c r="D105" s="36" t="str">
        <f>IF(E105="","",VLOOKUP(E105,'Coaching Points'!A:B,2,0))</f>
        <v>AB</v>
      </c>
      <c r="E105" s="36" t="s">
        <v>40</v>
      </c>
      <c r="F105" s="35">
        <v>2008</v>
      </c>
      <c r="G105" s="1" t="str">
        <f>IF(OR('Qualifying Scores'!$B$1-F105&gt;21,'Qualifying Scores'!$B$1-F105&lt;11),"Not Age Eligible",IF('Qualifying Scores'!$B$1-F105&gt;16,"17-21",IF('Qualifying Scores'!$B$1-F105&gt;14,"15-16",IF('Qualifying Scores'!$B$1-F105&gt;12,"13-14",IF('Qualifying Scores'!$B$1-F105&gt;10,"11-12","Not Age Eligible")))))</f>
        <v>15-16</v>
      </c>
      <c r="H105" s="39" t="s">
        <v>66</v>
      </c>
      <c r="I105" s="43"/>
      <c r="J105" s="4">
        <f>R105+S105+IF(OR(H105="Junior",H105="Senior"),0.0002,IF(OR(H105="L7",H105="L6"),0.0001,0))+IF(G105="17-21",MAX(AA105,AC105,AF105),AE105)*0.0000001</f>
        <v>117.510008132</v>
      </c>
      <c r="K105" s="3" t="str">
        <f>IF(G105="Not Age Eligible","",IF(G105="17-21",IF(MAX(T105,V105,Y105,AA105,AC105,AF105)&gt;=LOOKUP(G105,'Qualifying Scores'!$A$4:$A$7,'Qualifying Scores'!$C$4:$C$7),"P",""),IF(MAX(X105-U105,AE105-AB105)&gt;=LOOKUP(G105,'Qualifying Scores'!$A$4:$A$7,'Qualifying Scores'!$C$4:$C$7),"P","")))</f>
        <v/>
      </c>
      <c r="L105" s="3" t="str">
        <f>IF(G105="Not Age Eligible","",IF(G105="17-21",IF(MAX(U105,W105,Z105,AB105,AD105,AG105)&gt;=LOOKUP(G105,'Qualifying Scores'!$A$10:$A$13,'Qualifying Scores'!$C$10:$C$13),"P",""),IF(MAX(W105,AD105)&gt;=LOOKUP(G105,'Qualifying Scores'!$A$10:$A$13,'Qualifying Scores'!$C$10:$C$13),"P","")))</f>
        <v>P</v>
      </c>
      <c r="M105" s="3" t="str">
        <f>IF(G105="Not Age Eligible","",IF(G105="17-21",IF(OR(AND(T105&gt;=LOOKUP(G105,'Qualifying Scores'!$A$4:$A$7,'Qualifying Scores'!$C$4:$C$7),U105&gt;=LOOKUP(G105,'Qualifying Scores'!$A$10:$A$13,'Qualifying Scores'!$C$10:$C$13)),AND(V105&gt;=LOOKUP(G105,'Qualifying Scores'!$A$4:$A$7,'Qualifying Scores'!$C$4:$C$7),W105&gt;=LOOKUP(G105,'Qualifying Scores'!$A$10:$A$13,'Qualifying Scores'!$C$10:$C$13)),AND(Y105&gt;=LOOKUP(G105,'Qualifying Scores'!$A$4:$A$7,'Qualifying Scores'!$C$4:$C$7),Z105&gt;=LOOKUP(G105,'Qualifying Scores'!$A$10:$A$13,'Qualifying Scores'!$C$10:$C$13)),AND(AA105&gt;=LOOKUP(G105,'Qualifying Scores'!$A$4:$A$7,'Qualifying Scores'!$C$4:$C$7),AB105&gt;=LOOKUP(G105,'Qualifying Scores'!$A$10:$A$13,'Qualifying Scores'!$C$10:$C$13)),AND(AC105&gt;=LOOKUP(G105,'Qualifying Scores'!$A$4:$A$7,'Qualifying Scores'!$C$4:$C$7),AD105&gt;=LOOKUP(G105,'Qualifying Scores'!$A$10:$A$13,'Qualifying Scores'!$C$10:$C$13)),AND(AF105&gt;=LOOKUP(G105,'Qualifying Scores'!$A$4:$A$7,'Qualifying Scores'!$C$4:$C$7),AG105&gt;=LOOKUP(G105,'Qualifying Scores'!$A$10:$A$13,'Qualifying Scores'!$C$10:$C$13))),"P",""),IF(OR(AND(X105-U105&gt;=LOOKUP(G105,'Qualifying Scores'!$A$4:$A$7,'Qualifying Scores'!$C$4:$C$7),W105&gt;=LOOKUP(G105,'Qualifying Scores'!$A$10:$A$13,'Qualifying Scores'!$C$10:$C$13)),AND(AE105-AB105&gt;=LOOKUP(G105,'Qualifying Scores'!$A$4:$A$7,'Qualifying Scores'!$C$4:$C$7),AD105&gt;=LOOKUP(G105,'Qualifying Scores'!$A$10:$A$13,'Qualifying Scores'!$C$10:$C$13))),"P","")))</f>
        <v/>
      </c>
      <c r="Q105" s="1" t="str">
        <f>IF(A105&lt;5,IF(_xlfn.MAXIFS(A:A,G:G,G105)&gt;3,5-A105,_xlfn.MAXIFS(A:A,G:G,G105)+1-A105),"")</f>
        <v/>
      </c>
      <c r="R105" s="4">
        <f>IF(G105="17-21",MAX(T105,V105,Y105,AA105,AC105,AF105),MAX(X105,AE105))</f>
        <v>81.319999999999993</v>
      </c>
      <c r="S105" s="4">
        <f>IF(G105="17-21",LARGE(CHOOSE({1,2,3,4,5,6},T105,V105,Y105,AA105,AC105,AF105),2),IF(R105=X105,MAX(Y105,AA105,AC105,AF105),IF(R105=AE105,MAX(AF105,T105,V105,Y105),0)))</f>
        <v>36.19</v>
      </c>
      <c r="T105" s="33">
        <v>36.19</v>
      </c>
      <c r="U105" s="40">
        <v>0</v>
      </c>
      <c r="V105" s="34">
        <v>5.12</v>
      </c>
      <c r="W105" s="40">
        <v>1.3</v>
      </c>
      <c r="X105" s="4">
        <f>IF(H105="Senior",MAX(T105,V105),T105+V105)</f>
        <v>41.309999999999995</v>
      </c>
      <c r="Y105" s="34"/>
      <c r="Z105" s="40"/>
      <c r="AA105" s="33">
        <v>37.909999999999997</v>
      </c>
      <c r="AB105" s="40">
        <v>0</v>
      </c>
      <c r="AC105" s="34">
        <v>43.41</v>
      </c>
      <c r="AD105" s="40">
        <v>9.1</v>
      </c>
      <c r="AE105" s="4">
        <f>IF(H105="Senior",MAX(AA105,AC105),AA105+AC105)</f>
        <v>81.319999999999993</v>
      </c>
      <c r="AF105" s="34"/>
      <c r="AG105" s="37"/>
    </row>
    <row r="106" spans="1:33" x14ac:dyDescent="0.2">
      <c r="A106" s="1" t="str" cm="1">
        <f t="array" ref="A106">IF(I106="","",IF(P106&lt;&gt;"",SUMPRODUCT((P$3:P$133&lt;&gt;"")*(G$3:G$133=G106)*(J$3:J$133&gt;J106)*(I$3:I$133="P"))+1,IF(O106&lt;&gt;"",SUMPRODUCT((O$3:O$133&lt;&gt;"")*(P$3:P$133="")*(G$3:G$133=G106)*(J$3:J$133&gt;J106)*(I$3:I$133="P"))+SUMPRODUCT((P$3:P$133&lt;&gt;"")*(G$3:G$133=G106)*(I$3:I$133="P"))+1,IF(N106&lt;&gt;"",SUMPRODUCT((N$3:N$133&lt;&gt;"")*(G$3:G$133=G106)*(J$3:J$133&gt;J106)*(I$3:I$133="P"))+1,IF(M106="P",SUMPRODUCT((O$3:O$133&lt;&gt;"")*(P$3:P$133="")*(G$3:G$133=G106)*(I$3:I$133="P"))+SUMPRODUCT((P$3:P$133&lt;&gt;"")*(G$3:G$133=G106)*(I$3:I$133="P"))+SUMPRODUCT((N$3:N$133&lt;&gt;"")*(G$3:G$133=G106)*(I$3:I$133="P"))+SUMPRODUCT((P$3:P$133="")*(O$3:O$133="")*(N$3:N$133="")*(M$3:M$133="P")*(G$3:G$133=G106)*(J$3:J$133&gt;J106)*(I$3:I$133="P"))+IF(H106="L5",SUMPRODUCT((P$3:P$133="")*(O$3:O$133="")*(N$3:N$133="")*(M$3:M$133="P")*(G$3:G$133=G106)*(J$3:J$133&lt;J106)*(H$3:H$133&lt;&gt;H106)*(I$3:I$133="P")),-1*SUMPRODUCT((P$3:P$133="")*(O$3:O$133="")*(N$3:N$133="")*(M$3:M$133="P")*(G$3:G$133=G106)*(J$3:J$133&gt;J106)*(H$3:H$133="L5")*(I$3:I$133="P")))+1,"")))))</f>
        <v/>
      </c>
      <c r="B106" s="1" t="str" cm="1">
        <f t="array" ref="B106">IF(P106&lt;&gt;"",SUMPRODUCT((P$3:P$133&lt;&gt;"")*(G$3:G$133=G106)*(J$3:J$133&gt;J106))+1,IF(O106&lt;&gt;"",SUMPRODUCT((O$3:O$133&lt;&gt;"")*(P$3:P$133="")*(G$3:G$133=G106)*(J$3:J$133&gt;J106))+SUMPRODUCT((P$3:P$133&lt;&gt;"")*(G$3:G$133=G106))+1,IF(N106&lt;&gt;"",SUMPRODUCT((N$3:N$133&lt;&gt;"")*(G$3:G$133=G106)*(J$3:J$133&gt;J106))+1,IF(M106="P",SUMPRODUCT((O$3:O$133&lt;&gt;"")*(P$3:P$133="")*(G$3:G$133=G106))+SUMPRODUCT((P$3:P$133&lt;&gt;"")*(G$3:G$133=G106))+SUMPRODUCT((N$3:N$133&lt;&gt;"")*(G$3:G$133=G106))+SUMPRODUCT((P$3:P$133="")*(O$3:O$133="")*(N$3:N$133="")*(M$3:M$133="P")*(G$3:G$133=G106)*(J$3:J$133&gt;J106))+IF(H106="L5",SUMPRODUCT((P$3:P$133="")*(O$3:O$133="")*(N$3:N$133="")*(M$3:M$133="P")*(G$3:G$133=G106)*(J$3:J$133&lt;J106)*(H$3:H$133&lt;&gt;H106)),-1*SUMPRODUCT((P$3:P$133="")*(O$3:O$133="")*(N$3:N$133="")*(M$3:M$133="P")*(G$3:G$133=G106)*(J$3:J$133&gt;J106)*(H$3:H$133="L5")))+1,""))))</f>
        <v/>
      </c>
      <c r="C106" s="36" t="s">
        <v>466</v>
      </c>
      <c r="D106" s="36" t="str">
        <f>IF(E106="","",VLOOKUP(E106,'Coaching Points'!A:B,2,0))</f>
        <v>QC</v>
      </c>
      <c r="E106" s="36" t="s">
        <v>96</v>
      </c>
      <c r="F106" s="35">
        <v>2008</v>
      </c>
      <c r="G106" s="1" t="str">
        <f>IF(OR('Qualifying Scores'!$B$1-F106&gt;21,'Qualifying Scores'!$B$1-F106&lt;11),"Not Age Eligible",IF('Qualifying Scores'!$B$1-F106&gt;16,"17-21",IF('Qualifying Scores'!$B$1-F106&gt;14,"15-16",IF('Qualifying Scores'!$B$1-F106&gt;12,"13-14",IF('Qualifying Scores'!$B$1-F106&gt;10,"11-12","Not Age Eligible")))))</f>
        <v>15-16</v>
      </c>
      <c r="H106" s="39" t="s">
        <v>66</v>
      </c>
      <c r="I106" s="43"/>
      <c r="J106" s="4">
        <f>R106+S106+IF(OR(H106="Junior",H106="Senior"),0.0002,IF(OR(H106="L7",H106="L6"),0.0001,0))+IF(G106="17-21",MAX(AA106,AC106,AF106),AE106)*0.0000001</f>
        <v>101.94000833199999</v>
      </c>
      <c r="K106" s="3" t="str">
        <f>IF(G106="Not Age Eligible","",IF(G106="17-21",IF(MAX(T106,V106,Y106,AA106,AC106,AF106)&gt;=LOOKUP(G106,'Qualifying Scores'!$A$4:$A$7,'Qualifying Scores'!$C$4:$C$7),"P",""),IF(MAX(X106-U106,AE106-AB106)&gt;=LOOKUP(G106,'Qualifying Scores'!$A$4:$A$7,'Qualifying Scores'!$C$4:$C$7),"P","")))</f>
        <v/>
      </c>
      <c r="L106" s="3" t="str">
        <f>IF(G106="Not Age Eligible","",IF(G106="17-21",IF(MAX(U106,W106,Z106,AB106,AD106,AG106)&gt;=LOOKUP(G106,'Qualifying Scores'!$A$10:$A$13,'Qualifying Scores'!$C$10:$C$13),"P",""),IF(MAX(W106,AD106)&gt;=LOOKUP(G106,'Qualifying Scores'!$A$10:$A$13,'Qualifying Scores'!$C$10:$C$13),"P","")))</f>
        <v/>
      </c>
      <c r="M106" s="3" t="str">
        <f>IF(G106="Not Age Eligible","",IF(G106="17-21",IF(OR(AND(T106&gt;=LOOKUP(G106,'Qualifying Scores'!$A$4:$A$7,'Qualifying Scores'!$C$4:$C$7),U106&gt;=LOOKUP(G106,'Qualifying Scores'!$A$10:$A$13,'Qualifying Scores'!$C$10:$C$13)),AND(V106&gt;=LOOKUP(G106,'Qualifying Scores'!$A$4:$A$7,'Qualifying Scores'!$C$4:$C$7),W106&gt;=LOOKUP(G106,'Qualifying Scores'!$A$10:$A$13,'Qualifying Scores'!$C$10:$C$13)),AND(Y106&gt;=LOOKUP(G106,'Qualifying Scores'!$A$4:$A$7,'Qualifying Scores'!$C$4:$C$7),Z106&gt;=LOOKUP(G106,'Qualifying Scores'!$A$10:$A$13,'Qualifying Scores'!$C$10:$C$13)),AND(AA106&gt;=LOOKUP(G106,'Qualifying Scores'!$A$4:$A$7,'Qualifying Scores'!$C$4:$C$7),AB106&gt;=LOOKUP(G106,'Qualifying Scores'!$A$10:$A$13,'Qualifying Scores'!$C$10:$C$13)),AND(AC106&gt;=LOOKUP(G106,'Qualifying Scores'!$A$4:$A$7,'Qualifying Scores'!$C$4:$C$7),AD106&gt;=LOOKUP(G106,'Qualifying Scores'!$A$10:$A$13,'Qualifying Scores'!$C$10:$C$13)),AND(AF106&gt;=LOOKUP(G106,'Qualifying Scores'!$A$4:$A$7,'Qualifying Scores'!$C$4:$C$7),AG106&gt;=LOOKUP(G106,'Qualifying Scores'!$A$10:$A$13,'Qualifying Scores'!$C$10:$C$13))),"P",""),IF(OR(AND(X106-U106&gt;=LOOKUP(G106,'Qualifying Scores'!$A$4:$A$7,'Qualifying Scores'!$C$4:$C$7),W106&gt;=LOOKUP(G106,'Qualifying Scores'!$A$10:$A$13,'Qualifying Scores'!$C$10:$C$13)),AND(AE106-AB106&gt;=LOOKUP(G106,'Qualifying Scores'!$A$4:$A$7,'Qualifying Scores'!$C$4:$C$7),AD106&gt;=LOOKUP(G106,'Qualifying Scores'!$A$10:$A$13,'Qualifying Scores'!$C$10:$C$13))),"P","")))</f>
        <v/>
      </c>
      <c r="Q106" s="1" t="str">
        <f>IF(A106&lt;5,IF(_xlfn.MAXIFS(A:A,G:G,G106)&gt;3,5-A106,_xlfn.MAXIFS(A:A,G:G,G106)+1-A106),"")</f>
        <v/>
      </c>
      <c r="R106" s="4">
        <f>IF(G106="17-21",MAX(T106,V106,Y106,AA106,AC106,AF106),MAX(X106,AE106))</f>
        <v>83.32</v>
      </c>
      <c r="S106" s="4">
        <f>IF(G106="17-21",LARGE(CHOOSE({1,2,3,4,5,6},T106,V106,Y106,AA106,AC106,AF106),2),IF(R106=X106,MAX(Y106,AA106,AC106,AF106),IF(R106=AE106,MAX(AF106,T106,V106,Y106),0)))</f>
        <v>18.62</v>
      </c>
      <c r="T106" s="33"/>
      <c r="U106" s="40"/>
      <c r="V106" s="34"/>
      <c r="W106" s="40"/>
      <c r="X106" s="4">
        <f>IF(H106="Senior",MAX(T106,V106),T106+V106)</f>
        <v>0</v>
      </c>
      <c r="Y106" s="34"/>
      <c r="Z106" s="40"/>
      <c r="AA106" s="33">
        <v>39.32</v>
      </c>
      <c r="AB106" s="40">
        <v>0</v>
      </c>
      <c r="AC106" s="34">
        <v>44</v>
      </c>
      <c r="AD106" s="40">
        <v>7.7</v>
      </c>
      <c r="AE106" s="4">
        <f>IF(H106="Senior",MAX(AA106,AC106),AA106+AC106)</f>
        <v>83.32</v>
      </c>
      <c r="AF106" s="34">
        <v>18.62</v>
      </c>
      <c r="AG106" s="37">
        <v>3.3</v>
      </c>
    </row>
    <row r="107" spans="1:33" x14ac:dyDescent="0.2">
      <c r="A107" s="1" t="str" cm="1">
        <f t="array" ref="A107">IF(I107="","",IF(P107&lt;&gt;"",SUMPRODUCT((P$3:P$133&lt;&gt;"")*(G$3:G$133=G107)*(J$3:J$133&gt;J107)*(I$3:I$133="P"))+1,IF(O107&lt;&gt;"",SUMPRODUCT((O$3:O$133&lt;&gt;"")*(P$3:P$133="")*(G$3:G$133=G107)*(J$3:J$133&gt;J107)*(I$3:I$133="P"))+SUMPRODUCT((P$3:P$133&lt;&gt;"")*(G$3:G$133=G107)*(I$3:I$133="P"))+1,IF(N107&lt;&gt;"",SUMPRODUCT((N$3:N$133&lt;&gt;"")*(G$3:G$133=G107)*(J$3:J$133&gt;J107)*(I$3:I$133="P"))+1,IF(M107="P",SUMPRODUCT((O$3:O$133&lt;&gt;"")*(P$3:P$133="")*(G$3:G$133=G107)*(I$3:I$133="P"))+SUMPRODUCT((P$3:P$133&lt;&gt;"")*(G$3:G$133=G107)*(I$3:I$133="P"))+SUMPRODUCT((N$3:N$133&lt;&gt;"")*(G$3:G$133=G107)*(I$3:I$133="P"))+SUMPRODUCT((P$3:P$133="")*(O$3:O$133="")*(N$3:N$133="")*(M$3:M$133="P")*(G$3:G$133=G107)*(J$3:J$133&gt;J107)*(I$3:I$133="P"))+IF(H107="L5",SUMPRODUCT((P$3:P$133="")*(O$3:O$133="")*(N$3:N$133="")*(M$3:M$133="P")*(G$3:G$133=G107)*(J$3:J$133&lt;J107)*(H$3:H$133&lt;&gt;H107)*(I$3:I$133="P")),-1*SUMPRODUCT((P$3:P$133="")*(O$3:O$133="")*(N$3:N$133="")*(M$3:M$133="P")*(G$3:G$133=G107)*(J$3:J$133&gt;J107)*(H$3:H$133="L5")*(I$3:I$133="P")))+1,"")))))</f>
        <v/>
      </c>
      <c r="B107" s="1" t="str" cm="1">
        <f t="array" ref="B107">IF(P107&lt;&gt;"",SUMPRODUCT((P$3:P$133&lt;&gt;"")*(G$3:G$133=G107)*(J$3:J$133&gt;J107))+1,IF(O107&lt;&gt;"",SUMPRODUCT((O$3:O$133&lt;&gt;"")*(P$3:P$133="")*(G$3:G$133=G107)*(J$3:J$133&gt;J107))+SUMPRODUCT((P$3:P$133&lt;&gt;"")*(G$3:G$133=G107))+1,IF(N107&lt;&gt;"",SUMPRODUCT((N$3:N$133&lt;&gt;"")*(G$3:G$133=G107)*(J$3:J$133&gt;J107))+1,IF(M107="P",SUMPRODUCT((O$3:O$133&lt;&gt;"")*(P$3:P$133="")*(G$3:G$133=G107))+SUMPRODUCT((P$3:P$133&lt;&gt;"")*(G$3:G$133=G107))+SUMPRODUCT((N$3:N$133&lt;&gt;"")*(G$3:G$133=G107))+SUMPRODUCT((P$3:P$133="")*(O$3:O$133="")*(N$3:N$133="")*(M$3:M$133="P")*(G$3:G$133=G107)*(J$3:J$133&gt;J107))+IF(H107="L5",SUMPRODUCT((P$3:P$133="")*(O$3:O$133="")*(N$3:N$133="")*(M$3:M$133="P")*(G$3:G$133=G107)*(J$3:J$133&lt;J107)*(H$3:H$133&lt;&gt;H107)),-1*SUMPRODUCT((P$3:P$133="")*(O$3:O$133="")*(N$3:N$133="")*(M$3:M$133="P")*(G$3:G$133=G107)*(J$3:J$133&gt;J107)*(H$3:H$133="L5")))+1,""))))</f>
        <v/>
      </c>
      <c r="C107" s="36" t="s">
        <v>467</v>
      </c>
      <c r="D107" s="36" t="str">
        <f>IF(E107="","",VLOOKUP(E107,'Coaching Points'!A:B,2,0))</f>
        <v>QC</v>
      </c>
      <c r="E107" s="36" t="s">
        <v>84</v>
      </c>
      <c r="F107" s="35">
        <v>2008</v>
      </c>
      <c r="G107" s="1" t="str">
        <f>IF(OR('Qualifying Scores'!$B$1-F107&gt;21,'Qualifying Scores'!$B$1-F107&lt;11),"Not Age Eligible",IF('Qualifying Scores'!$B$1-F107&gt;16,"17-21",IF('Qualifying Scores'!$B$1-F107&gt;14,"15-16",IF('Qualifying Scores'!$B$1-F107&gt;12,"13-14",IF('Qualifying Scores'!$B$1-F107&gt;10,"11-12","Not Age Eligible")))))</f>
        <v>15-16</v>
      </c>
      <c r="H107" s="39" t="s">
        <v>66</v>
      </c>
      <c r="I107" s="43"/>
      <c r="J107" s="4">
        <f>R107+S107+IF(OR(H107="Junior",H107="Senior"),0.0002,IF(OR(H107="L7",H107="L6"),0.0001,0))+IF(G107="17-21",MAX(AA107,AC107,AF107),AE107)*0.0000001</f>
        <v>82.300008230000017</v>
      </c>
      <c r="K107" s="3" t="str">
        <f>IF(G107="Not Age Eligible","",IF(G107="17-21",IF(MAX(T107,V107,Y107,AA107,AC107,AF107)&gt;=LOOKUP(G107,'Qualifying Scores'!$A$4:$A$7,'Qualifying Scores'!$C$4:$C$7),"P",""),IF(MAX(X107-U107,AE107-AB107)&gt;=LOOKUP(G107,'Qualifying Scores'!$A$4:$A$7,'Qualifying Scores'!$C$4:$C$7),"P","")))</f>
        <v/>
      </c>
      <c r="L107" s="3" t="str">
        <f>IF(G107="Not Age Eligible","",IF(G107="17-21",IF(MAX(U107,W107,Z107,AB107,AD107,AG107)&gt;=LOOKUP(G107,'Qualifying Scores'!$A$10:$A$13,'Qualifying Scores'!$C$10:$C$13),"P",""),IF(MAX(W107,AD107)&gt;=LOOKUP(G107,'Qualifying Scores'!$A$10:$A$13,'Qualifying Scores'!$C$10:$C$13),"P","")))</f>
        <v/>
      </c>
      <c r="M107" s="3" t="str">
        <f>IF(G107="Not Age Eligible","",IF(G107="17-21",IF(OR(AND(T107&gt;=LOOKUP(G107,'Qualifying Scores'!$A$4:$A$7,'Qualifying Scores'!$C$4:$C$7),U107&gt;=LOOKUP(G107,'Qualifying Scores'!$A$10:$A$13,'Qualifying Scores'!$C$10:$C$13)),AND(V107&gt;=LOOKUP(G107,'Qualifying Scores'!$A$4:$A$7,'Qualifying Scores'!$C$4:$C$7),W107&gt;=LOOKUP(G107,'Qualifying Scores'!$A$10:$A$13,'Qualifying Scores'!$C$10:$C$13)),AND(Y107&gt;=LOOKUP(G107,'Qualifying Scores'!$A$4:$A$7,'Qualifying Scores'!$C$4:$C$7),Z107&gt;=LOOKUP(G107,'Qualifying Scores'!$A$10:$A$13,'Qualifying Scores'!$C$10:$C$13)),AND(AA107&gt;=LOOKUP(G107,'Qualifying Scores'!$A$4:$A$7,'Qualifying Scores'!$C$4:$C$7),AB107&gt;=LOOKUP(G107,'Qualifying Scores'!$A$10:$A$13,'Qualifying Scores'!$C$10:$C$13)),AND(AC107&gt;=LOOKUP(G107,'Qualifying Scores'!$A$4:$A$7,'Qualifying Scores'!$C$4:$C$7),AD107&gt;=LOOKUP(G107,'Qualifying Scores'!$A$10:$A$13,'Qualifying Scores'!$C$10:$C$13)),AND(AF107&gt;=LOOKUP(G107,'Qualifying Scores'!$A$4:$A$7,'Qualifying Scores'!$C$4:$C$7),AG107&gt;=LOOKUP(G107,'Qualifying Scores'!$A$10:$A$13,'Qualifying Scores'!$C$10:$C$13))),"P",""),IF(OR(AND(X107-U107&gt;=LOOKUP(G107,'Qualifying Scores'!$A$4:$A$7,'Qualifying Scores'!$C$4:$C$7),W107&gt;=LOOKUP(G107,'Qualifying Scores'!$A$10:$A$13,'Qualifying Scores'!$C$10:$C$13)),AND(AE107-AB107&gt;=LOOKUP(G107,'Qualifying Scores'!$A$4:$A$7,'Qualifying Scores'!$C$4:$C$7),AD107&gt;=LOOKUP(G107,'Qualifying Scores'!$A$10:$A$13,'Qualifying Scores'!$C$10:$C$13))),"P","")))</f>
        <v/>
      </c>
      <c r="Q107" s="1" t="str">
        <f>IF(A107&lt;5,IF(_xlfn.MAXIFS(A:A,G:G,G107)&gt;3,5-A107,_xlfn.MAXIFS(A:A,G:G,G107)+1-A107),"")</f>
        <v/>
      </c>
      <c r="R107" s="4">
        <f>IF(G107="17-21",MAX(T107,V107,Y107,AA107,AC107,AF107),MAX(X107,AE107))</f>
        <v>82.300000000000011</v>
      </c>
      <c r="S107" s="4">
        <f>IF(G107="17-21",LARGE(CHOOSE({1,2,3,4,5,6},T107,V107,Y107,AA107,AC107,AF107),2),IF(R107=X107,MAX(Y107,AA107,AC107,AF107),IF(R107=AE107,MAX(AF107,T107,V107,Y107),0)))</f>
        <v>0</v>
      </c>
      <c r="T107" s="33"/>
      <c r="U107" s="40"/>
      <c r="V107" s="34"/>
      <c r="W107" s="40"/>
      <c r="X107" s="4">
        <f>IF(H107="Senior",MAX(T107,V107),T107+V107)</f>
        <v>0</v>
      </c>
      <c r="Y107" s="34"/>
      <c r="Z107" s="40"/>
      <c r="AA107" s="33">
        <v>39.270000000000003</v>
      </c>
      <c r="AB107" s="40">
        <v>0</v>
      </c>
      <c r="AC107" s="34">
        <v>43.03</v>
      </c>
      <c r="AD107" s="40">
        <v>7.6</v>
      </c>
      <c r="AE107" s="4">
        <f>IF(H107="Senior",MAX(AA107,AC107),AA107+AC107)</f>
        <v>82.300000000000011</v>
      </c>
      <c r="AF107" s="34"/>
      <c r="AG107" s="37"/>
    </row>
    <row r="108" spans="1:33" x14ac:dyDescent="0.2">
      <c r="A108" s="1" t="str" cm="1">
        <f t="array" ref="A108">IF(I108="","",IF(P108&lt;&gt;"",SUMPRODUCT((P$3:P$133&lt;&gt;"")*(G$3:G$133=G108)*(J$3:J$133&gt;J108)*(I$3:I$133="P"))+1,IF(O108&lt;&gt;"",SUMPRODUCT((O$3:O$133&lt;&gt;"")*(P$3:P$133="")*(G$3:G$133=G108)*(J$3:J$133&gt;J108)*(I$3:I$133="P"))+SUMPRODUCT((P$3:P$133&lt;&gt;"")*(G$3:G$133=G108)*(I$3:I$133="P"))+1,IF(N108&lt;&gt;"",SUMPRODUCT((N$3:N$133&lt;&gt;"")*(G$3:G$133=G108)*(J$3:J$133&gt;J108)*(I$3:I$133="P"))+1,IF(M108="P",SUMPRODUCT((O$3:O$133&lt;&gt;"")*(P$3:P$133="")*(G$3:G$133=G108)*(I$3:I$133="P"))+SUMPRODUCT((P$3:P$133&lt;&gt;"")*(G$3:G$133=G108)*(I$3:I$133="P"))+SUMPRODUCT((N$3:N$133&lt;&gt;"")*(G$3:G$133=G108)*(I$3:I$133="P"))+SUMPRODUCT((P$3:P$133="")*(O$3:O$133="")*(N$3:N$133="")*(M$3:M$133="P")*(G$3:G$133=G108)*(J$3:J$133&gt;J108)*(I$3:I$133="P"))+IF(H108="L5",SUMPRODUCT((P$3:P$133="")*(O$3:O$133="")*(N$3:N$133="")*(M$3:M$133="P")*(G$3:G$133=G108)*(J$3:J$133&lt;J108)*(H$3:H$133&lt;&gt;H108)*(I$3:I$133="P")),-1*SUMPRODUCT((P$3:P$133="")*(O$3:O$133="")*(N$3:N$133="")*(M$3:M$133="P")*(G$3:G$133=G108)*(J$3:J$133&gt;J108)*(H$3:H$133="L5")*(I$3:I$133="P")))+1,"")))))</f>
        <v/>
      </c>
      <c r="B108" s="1" t="str" cm="1">
        <f t="array" ref="B108">IF(P108&lt;&gt;"",SUMPRODUCT((P$3:P$133&lt;&gt;"")*(G$3:G$133=G108)*(J$3:J$133&gt;J108))+1,IF(O108&lt;&gt;"",SUMPRODUCT((O$3:O$133&lt;&gt;"")*(P$3:P$133="")*(G$3:G$133=G108)*(J$3:J$133&gt;J108))+SUMPRODUCT((P$3:P$133&lt;&gt;"")*(G$3:G$133=G108))+1,IF(N108&lt;&gt;"",SUMPRODUCT((N$3:N$133&lt;&gt;"")*(G$3:G$133=G108)*(J$3:J$133&gt;J108))+1,IF(M108="P",SUMPRODUCT((O$3:O$133&lt;&gt;"")*(P$3:P$133="")*(G$3:G$133=G108))+SUMPRODUCT((P$3:P$133&lt;&gt;"")*(G$3:G$133=G108))+SUMPRODUCT((N$3:N$133&lt;&gt;"")*(G$3:G$133=G108))+SUMPRODUCT((P$3:P$133="")*(O$3:O$133="")*(N$3:N$133="")*(M$3:M$133="P")*(G$3:G$133=G108)*(J$3:J$133&gt;J108))+IF(H108="L5",SUMPRODUCT((P$3:P$133="")*(O$3:O$133="")*(N$3:N$133="")*(M$3:M$133="P")*(G$3:G$133=G108)*(J$3:J$133&lt;J108)*(H$3:H$133&lt;&gt;H108)),-1*SUMPRODUCT((P$3:P$133="")*(O$3:O$133="")*(N$3:N$133="")*(M$3:M$133="P")*(G$3:G$133=G108)*(J$3:J$133&gt;J108)*(H$3:H$133="L5")))+1,""))))</f>
        <v/>
      </c>
      <c r="C108" s="36" t="s">
        <v>468</v>
      </c>
      <c r="D108" s="36" t="str">
        <f>IF(E108="","",VLOOKUP(E108,'Coaching Points'!A:B,2,0))</f>
        <v>ON</v>
      </c>
      <c r="E108" s="36" t="s">
        <v>113</v>
      </c>
      <c r="F108" s="35">
        <v>2007</v>
      </c>
      <c r="G108" s="1" t="str">
        <f>IF(OR('Qualifying Scores'!$B$1-F108&gt;21,'Qualifying Scores'!$B$1-F108&lt;11),"Not Age Eligible",IF('Qualifying Scores'!$B$1-F108&gt;16,"17-21",IF('Qualifying Scores'!$B$1-F108&gt;14,"15-16",IF('Qualifying Scores'!$B$1-F108&gt;12,"13-14",IF('Qualifying Scores'!$B$1-F108&gt;10,"11-12","Not Age Eligible")))))</f>
        <v>15-16</v>
      </c>
      <c r="H108" s="39" t="s">
        <v>66</v>
      </c>
      <c r="I108" s="43"/>
      <c r="J108" s="4">
        <f>R108+S108+IF(OR(H108="Junior",H108="Senior"),0.0002,IF(OR(H108="L7",H108="L6"),0.0001,0))+IF(G108="17-21",MAX(AA108,AC108,AF108),AE108)*0.0000001</f>
        <v>81.860008186000002</v>
      </c>
      <c r="K108" s="3" t="str">
        <f>IF(G108="Not Age Eligible","",IF(G108="17-21",IF(MAX(T108,V108,Y108,AA108,AC108,AF108)&gt;=LOOKUP(G108,'Qualifying Scores'!$A$4:$A$7,'Qualifying Scores'!$C$4:$C$7),"P",""),IF(MAX(X108-U108,AE108-AB108)&gt;=LOOKUP(G108,'Qualifying Scores'!$A$4:$A$7,'Qualifying Scores'!$C$4:$C$7),"P","")))</f>
        <v/>
      </c>
      <c r="L108" s="3" t="str">
        <f>IF(G108="Not Age Eligible","",IF(G108="17-21",IF(MAX(U108,W108,Z108,AB108,AD108,AG108)&gt;=LOOKUP(G108,'Qualifying Scores'!$A$10:$A$13,'Qualifying Scores'!$C$10:$C$13),"P",""),IF(MAX(W108,AD108)&gt;=LOOKUP(G108,'Qualifying Scores'!$A$10:$A$13,'Qualifying Scores'!$C$10:$C$13),"P","")))</f>
        <v/>
      </c>
      <c r="M108" s="3" t="str">
        <f>IF(G108="Not Age Eligible","",IF(G108="17-21",IF(OR(AND(T108&gt;=LOOKUP(G108,'Qualifying Scores'!$A$4:$A$7,'Qualifying Scores'!$C$4:$C$7),U108&gt;=LOOKUP(G108,'Qualifying Scores'!$A$10:$A$13,'Qualifying Scores'!$C$10:$C$13)),AND(V108&gt;=LOOKUP(G108,'Qualifying Scores'!$A$4:$A$7,'Qualifying Scores'!$C$4:$C$7),W108&gt;=LOOKUP(G108,'Qualifying Scores'!$A$10:$A$13,'Qualifying Scores'!$C$10:$C$13)),AND(Y108&gt;=LOOKUP(G108,'Qualifying Scores'!$A$4:$A$7,'Qualifying Scores'!$C$4:$C$7),Z108&gt;=LOOKUP(G108,'Qualifying Scores'!$A$10:$A$13,'Qualifying Scores'!$C$10:$C$13)),AND(AA108&gt;=LOOKUP(G108,'Qualifying Scores'!$A$4:$A$7,'Qualifying Scores'!$C$4:$C$7),AB108&gt;=LOOKUP(G108,'Qualifying Scores'!$A$10:$A$13,'Qualifying Scores'!$C$10:$C$13)),AND(AC108&gt;=LOOKUP(G108,'Qualifying Scores'!$A$4:$A$7,'Qualifying Scores'!$C$4:$C$7),AD108&gt;=LOOKUP(G108,'Qualifying Scores'!$A$10:$A$13,'Qualifying Scores'!$C$10:$C$13)),AND(AF108&gt;=LOOKUP(G108,'Qualifying Scores'!$A$4:$A$7,'Qualifying Scores'!$C$4:$C$7),AG108&gt;=LOOKUP(G108,'Qualifying Scores'!$A$10:$A$13,'Qualifying Scores'!$C$10:$C$13))),"P",""),IF(OR(AND(X108-U108&gt;=LOOKUP(G108,'Qualifying Scores'!$A$4:$A$7,'Qualifying Scores'!$C$4:$C$7),W108&gt;=LOOKUP(G108,'Qualifying Scores'!$A$10:$A$13,'Qualifying Scores'!$C$10:$C$13)),AND(AE108-AB108&gt;=LOOKUP(G108,'Qualifying Scores'!$A$4:$A$7,'Qualifying Scores'!$C$4:$C$7),AD108&gt;=LOOKUP(G108,'Qualifying Scores'!$A$10:$A$13,'Qualifying Scores'!$C$10:$C$13))),"P","")))</f>
        <v/>
      </c>
      <c r="Q108" s="1" t="str">
        <f>IF(A108&lt;5,IF(_xlfn.MAXIFS(A:A,G:G,G108)&gt;3,5-A108,_xlfn.MAXIFS(A:A,G:G,G108)+1-A108),"")</f>
        <v/>
      </c>
      <c r="R108" s="4">
        <f>IF(G108="17-21",MAX(T108,V108,Y108,AA108,AC108,AF108),MAX(X108,AE108))</f>
        <v>81.86</v>
      </c>
      <c r="S108" s="4">
        <f>IF(G108="17-21",LARGE(CHOOSE({1,2,3,4,5,6},T108,V108,Y108,AA108,AC108,AF108),2),IF(R108=X108,MAX(Y108,AA108,AC108,AF108),IF(R108=AE108,MAX(AF108,T108,V108,Y108),0)))</f>
        <v>0</v>
      </c>
      <c r="T108" s="33"/>
      <c r="U108" s="40"/>
      <c r="V108" s="34"/>
      <c r="W108" s="40"/>
      <c r="X108" s="4">
        <f>IF(H108="Senior",MAX(T108,V108),T108+V108)</f>
        <v>0</v>
      </c>
      <c r="Y108" s="34"/>
      <c r="Z108" s="40"/>
      <c r="AA108" s="33">
        <v>38.15</v>
      </c>
      <c r="AB108" s="40">
        <v>0</v>
      </c>
      <c r="AC108" s="34">
        <v>43.71</v>
      </c>
      <c r="AD108" s="40">
        <v>8</v>
      </c>
      <c r="AE108" s="4">
        <f>IF(H108="Senior",MAX(AA108,AC108),AA108+AC108)</f>
        <v>81.86</v>
      </c>
      <c r="AF108" s="34"/>
      <c r="AG108" s="37"/>
    </row>
    <row r="109" spans="1:33" x14ac:dyDescent="0.2">
      <c r="A109" s="1" t="str" cm="1">
        <f t="array" ref="A109">IF(I109="","",IF(P109&lt;&gt;"",SUMPRODUCT((P$3:P$133&lt;&gt;"")*(G$3:G$133=G109)*(J$3:J$133&gt;J109)*(I$3:I$133="P"))+1,IF(O109&lt;&gt;"",SUMPRODUCT((O$3:O$133&lt;&gt;"")*(P$3:P$133="")*(G$3:G$133=G109)*(J$3:J$133&gt;J109)*(I$3:I$133="P"))+SUMPRODUCT((P$3:P$133&lt;&gt;"")*(G$3:G$133=G109)*(I$3:I$133="P"))+1,IF(N109&lt;&gt;"",SUMPRODUCT((N$3:N$133&lt;&gt;"")*(G$3:G$133=G109)*(J$3:J$133&gt;J109)*(I$3:I$133="P"))+1,IF(M109="P",SUMPRODUCT((O$3:O$133&lt;&gt;"")*(P$3:P$133="")*(G$3:G$133=G109)*(I$3:I$133="P"))+SUMPRODUCT((P$3:P$133&lt;&gt;"")*(G$3:G$133=G109)*(I$3:I$133="P"))+SUMPRODUCT((N$3:N$133&lt;&gt;"")*(G$3:G$133=G109)*(I$3:I$133="P"))+SUMPRODUCT((P$3:P$133="")*(O$3:O$133="")*(N$3:N$133="")*(M$3:M$133="P")*(G$3:G$133=G109)*(J$3:J$133&gt;J109)*(I$3:I$133="P"))+IF(H109="L5",SUMPRODUCT((P$3:P$133="")*(O$3:O$133="")*(N$3:N$133="")*(M$3:M$133="P")*(G$3:G$133=G109)*(J$3:J$133&lt;J109)*(H$3:H$133&lt;&gt;H109)*(I$3:I$133="P")),-1*SUMPRODUCT((P$3:P$133="")*(O$3:O$133="")*(N$3:N$133="")*(M$3:M$133="P")*(G$3:G$133=G109)*(J$3:J$133&gt;J109)*(H$3:H$133="L5")*(I$3:I$133="P")))+1,"")))))</f>
        <v/>
      </c>
      <c r="B109" s="1" t="str" cm="1">
        <f t="array" ref="B109">IF(P109&lt;&gt;"",SUMPRODUCT((P$3:P$133&lt;&gt;"")*(G$3:G$133=G109)*(J$3:J$133&gt;J109))+1,IF(O109&lt;&gt;"",SUMPRODUCT((O$3:O$133&lt;&gt;"")*(P$3:P$133="")*(G$3:G$133=G109)*(J$3:J$133&gt;J109))+SUMPRODUCT((P$3:P$133&lt;&gt;"")*(G$3:G$133=G109))+1,IF(N109&lt;&gt;"",SUMPRODUCT((N$3:N$133&lt;&gt;"")*(G$3:G$133=G109)*(J$3:J$133&gt;J109))+1,IF(M109="P",SUMPRODUCT((O$3:O$133&lt;&gt;"")*(P$3:P$133="")*(G$3:G$133=G109))+SUMPRODUCT((P$3:P$133&lt;&gt;"")*(G$3:G$133=G109))+SUMPRODUCT((N$3:N$133&lt;&gt;"")*(G$3:G$133=G109))+SUMPRODUCT((P$3:P$133="")*(O$3:O$133="")*(N$3:N$133="")*(M$3:M$133="P")*(G$3:G$133=G109)*(J$3:J$133&gt;J109))+IF(H109="L5",SUMPRODUCT((P$3:P$133="")*(O$3:O$133="")*(N$3:N$133="")*(M$3:M$133="P")*(G$3:G$133=G109)*(J$3:J$133&lt;J109)*(H$3:H$133&lt;&gt;H109)),-1*SUMPRODUCT((P$3:P$133="")*(O$3:O$133="")*(N$3:N$133="")*(M$3:M$133="P")*(G$3:G$133=G109)*(J$3:J$133&gt;J109)*(H$3:H$133="L5")))+1,""))))</f>
        <v/>
      </c>
      <c r="C109" s="36" t="s">
        <v>469</v>
      </c>
      <c r="D109" s="36" t="str">
        <f>IF(E109="","",VLOOKUP(E109,'Coaching Points'!A:B,2,0))</f>
        <v>ON</v>
      </c>
      <c r="E109" s="36" t="s">
        <v>47</v>
      </c>
      <c r="F109" s="35">
        <v>2008</v>
      </c>
      <c r="G109" s="1" t="str">
        <f>IF(OR('Qualifying Scores'!$B$1-F109&gt;21,'Qualifying Scores'!$B$1-F109&lt;11),"Not Age Eligible",IF('Qualifying Scores'!$B$1-F109&gt;16,"17-21",IF('Qualifying Scores'!$B$1-F109&gt;14,"15-16",IF('Qualifying Scores'!$B$1-F109&gt;12,"13-14",IF('Qualifying Scores'!$B$1-F109&gt;10,"11-12","Not Age Eligible")))))</f>
        <v>15-16</v>
      </c>
      <c r="H109" s="39" t="s">
        <v>66</v>
      </c>
      <c r="I109" s="43"/>
      <c r="J109" s="4">
        <f>R109+S109+IF(OR(H109="Junior",H109="Senior"),0.0002,IF(OR(H109="L7",H109="L6"),0.0001,0))+IF(G109="17-21",MAX(AA109,AC109,AF109),AE109)*0.0000001</f>
        <v>80.290008028999992</v>
      </c>
      <c r="K109" s="3" t="str">
        <f>IF(G109="Not Age Eligible","",IF(G109="17-21",IF(MAX(T109,V109,Y109,AA109,AC109,AF109)&gt;=LOOKUP(G109,'Qualifying Scores'!$A$4:$A$7,'Qualifying Scores'!$C$4:$C$7),"P",""),IF(MAX(X109-U109,AE109-AB109)&gt;=LOOKUP(G109,'Qualifying Scores'!$A$4:$A$7,'Qualifying Scores'!$C$4:$C$7),"P","")))</f>
        <v/>
      </c>
      <c r="L109" s="3" t="str">
        <f>IF(G109="Not Age Eligible","",IF(G109="17-21",IF(MAX(U109,W109,Z109,AB109,AD109,AG109)&gt;=LOOKUP(G109,'Qualifying Scores'!$A$10:$A$13,'Qualifying Scores'!$C$10:$C$13),"P",""),IF(MAX(W109,AD109)&gt;=LOOKUP(G109,'Qualifying Scores'!$A$10:$A$13,'Qualifying Scores'!$C$10:$C$13),"P","")))</f>
        <v/>
      </c>
      <c r="M109" s="3" t="str">
        <f>IF(G109="Not Age Eligible","",IF(G109="17-21",IF(OR(AND(T109&gt;=LOOKUP(G109,'Qualifying Scores'!$A$4:$A$7,'Qualifying Scores'!$C$4:$C$7),U109&gt;=LOOKUP(G109,'Qualifying Scores'!$A$10:$A$13,'Qualifying Scores'!$C$10:$C$13)),AND(V109&gt;=LOOKUP(G109,'Qualifying Scores'!$A$4:$A$7,'Qualifying Scores'!$C$4:$C$7),W109&gt;=LOOKUP(G109,'Qualifying Scores'!$A$10:$A$13,'Qualifying Scores'!$C$10:$C$13)),AND(Y109&gt;=LOOKUP(G109,'Qualifying Scores'!$A$4:$A$7,'Qualifying Scores'!$C$4:$C$7),Z109&gt;=LOOKUP(G109,'Qualifying Scores'!$A$10:$A$13,'Qualifying Scores'!$C$10:$C$13)),AND(AA109&gt;=LOOKUP(G109,'Qualifying Scores'!$A$4:$A$7,'Qualifying Scores'!$C$4:$C$7),AB109&gt;=LOOKUP(G109,'Qualifying Scores'!$A$10:$A$13,'Qualifying Scores'!$C$10:$C$13)),AND(AC109&gt;=LOOKUP(G109,'Qualifying Scores'!$A$4:$A$7,'Qualifying Scores'!$C$4:$C$7),AD109&gt;=LOOKUP(G109,'Qualifying Scores'!$A$10:$A$13,'Qualifying Scores'!$C$10:$C$13)),AND(AF109&gt;=LOOKUP(G109,'Qualifying Scores'!$A$4:$A$7,'Qualifying Scores'!$C$4:$C$7),AG109&gt;=LOOKUP(G109,'Qualifying Scores'!$A$10:$A$13,'Qualifying Scores'!$C$10:$C$13))),"P",""),IF(OR(AND(X109-U109&gt;=LOOKUP(G109,'Qualifying Scores'!$A$4:$A$7,'Qualifying Scores'!$C$4:$C$7),W109&gt;=LOOKUP(G109,'Qualifying Scores'!$A$10:$A$13,'Qualifying Scores'!$C$10:$C$13)),AND(AE109-AB109&gt;=LOOKUP(G109,'Qualifying Scores'!$A$4:$A$7,'Qualifying Scores'!$C$4:$C$7),AD109&gt;=LOOKUP(G109,'Qualifying Scores'!$A$10:$A$13,'Qualifying Scores'!$C$10:$C$13))),"P","")))</f>
        <v/>
      </c>
      <c r="Q109" s="1" t="str">
        <f>IF(A109&lt;5,IF(_xlfn.MAXIFS(A:A,G:G,G109)&gt;3,5-A109,_xlfn.MAXIFS(A:A,G:G,G109)+1-A109),"")</f>
        <v/>
      </c>
      <c r="R109" s="4">
        <f>IF(G109="17-21",MAX(T109,V109,Y109,AA109,AC109,AF109),MAX(X109,AE109))</f>
        <v>80.289999999999992</v>
      </c>
      <c r="S109" s="4">
        <f>IF(G109="17-21",LARGE(CHOOSE({1,2,3,4,5,6},T109,V109,Y109,AA109,AC109,AF109),2),IF(R109=X109,MAX(Y109,AA109,AC109,AF109),IF(R109=AE109,MAX(AF109,T109,V109,Y109),0)))</f>
        <v>0</v>
      </c>
      <c r="T109" s="33"/>
      <c r="U109" s="40"/>
      <c r="V109" s="34"/>
      <c r="W109" s="40"/>
      <c r="X109" s="4">
        <f>IF(H109="Senior",MAX(T109,V109),T109+V109)</f>
        <v>0</v>
      </c>
      <c r="Y109" s="34"/>
      <c r="Z109" s="40"/>
      <c r="AA109" s="33">
        <v>37.11</v>
      </c>
      <c r="AB109" s="40">
        <v>0</v>
      </c>
      <c r="AC109" s="34">
        <v>43.18</v>
      </c>
      <c r="AD109" s="40">
        <v>7.8</v>
      </c>
      <c r="AE109" s="4">
        <f>IF(H109="Senior",MAX(AA109,AC109),AA109+AC109)</f>
        <v>80.289999999999992</v>
      </c>
      <c r="AF109" s="34"/>
      <c r="AG109" s="37"/>
    </row>
    <row r="110" spans="1:33" x14ac:dyDescent="0.2">
      <c r="A110" s="1" t="str" cm="1">
        <f t="array" ref="A110">IF(I110="","",IF(P110&lt;&gt;"",SUMPRODUCT((P$3:P$133&lt;&gt;"")*(G$3:G$133=G110)*(J$3:J$133&gt;J110)*(I$3:I$133="P"))+1,IF(O110&lt;&gt;"",SUMPRODUCT((O$3:O$133&lt;&gt;"")*(P$3:P$133="")*(G$3:G$133=G110)*(J$3:J$133&gt;J110)*(I$3:I$133="P"))+SUMPRODUCT((P$3:P$133&lt;&gt;"")*(G$3:G$133=G110)*(I$3:I$133="P"))+1,IF(N110&lt;&gt;"",SUMPRODUCT((N$3:N$133&lt;&gt;"")*(G$3:G$133=G110)*(J$3:J$133&gt;J110)*(I$3:I$133="P"))+1,IF(M110="P",SUMPRODUCT((O$3:O$133&lt;&gt;"")*(P$3:P$133="")*(G$3:G$133=G110)*(I$3:I$133="P"))+SUMPRODUCT((P$3:P$133&lt;&gt;"")*(G$3:G$133=G110)*(I$3:I$133="P"))+SUMPRODUCT((N$3:N$133&lt;&gt;"")*(G$3:G$133=G110)*(I$3:I$133="P"))+SUMPRODUCT((P$3:P$133="")*(O$3:O$133="")*(N$3:N$133="")*(M$3:M$133="P")*(G$3:G$133=G110)*(J$3:J$133&gt;J110)*(I$3:I$133="P"))+IF(H110="L5",SUMPRODUCT((P$3:P$133="")*(O$3:O$133="")*(N$3:N$133="")*(M$3:M$133="P")*(G$3:G$133=G110)*(J$3:J$133&lt;J110)*(H$3:H$133&lt;&gt;H110)*(I$3:I$133="P")),-1*SUMPRODUCT((P$3:P$133="")*(O$3:O$133="")*(N$3:N$133="")*(M$3:M$133="P")*(G$3:G$133=G110)*(J$3:J$133&gt;J110)*(H$3:H$133="L5")*(I$3:I$133="P")))+1,"")))))</f>
        <v/>
      </c>
      <c r="B110" s="1" t="str" cm="1">
        <f t="array" ref="B110">IF(P110&lt;&gt;"",SUMPRODUCT((P$3:P$133&lt;&gt;"")*(G$3:G$133=G110)*(J$3:J$133&gt;J110))+1,IF(O110&lt;&gt;"",SUMPRODUCT((O$3:O$133&lt;&gt;"")*(P$3:P$133="")*(G$3:G$133=G110)*(J$3:J$133&gt;J110))+SUMPRODUCT((P$3:P$133&lt;&gt;"")*(G$3:G$133=G110))+1,IF(N110&lt;&gt;"",SUMPRODUCT((N$3:N$133&lt;&gt;"")*(G$3:G$133=G110)*(J$3:J$133&gt;J110))+1,IF(M110="P",SUMPRODUCT((O$3:O$133&lt;&gt;"")*(P$3:P$133="")*(G$3:G$133=G110))+SUMPRODUCT((P$3:P$133&lt;&gt;"")*(G$3:G$133=G110))+SUMPRODUCT((N$3:N$133&lt;&gt;"")*(G$3:G$133=G110))+SUMPRODUCT((P$3:P$133="")*(O$3:O$133="")*(N$3:N$133="")*(M$3:M$133="P")*(G$3:G$133=G110)*(J$3:J$133&gt;J110))+IF(H110="L5",SUMPRODUCT((P$3:P$133="")*(O$3:O$133="")*(N$3:N$133="")*(M$3:M$133="P")*(G$3:G$133=G110)*(J$3:J$133&lt;J110)*(H$3:H$133&lt;&gt;H110)),-1*SUMPRODUCT((P$3:P$133="")*(O$3:O$133="")*(N$3:N$133="")*(M$3:M$133="P")*(G$3:G$133=G110)*(J$3:J$133&gt;J110)*(H$3:H$133="L5")))+1,""))))</f>
        <v/>
      </c>
      <c r="C110" s="36" t="s">
        <v>470</v>
      </c>
      <c r="D110" s="36" t="str">
        <f>IF(E110="","",VLOOKUP(E110,'Coaching Points'!A:B,2,0))</f>
        <v>BC</v>
      </c>
      <c r="E110" s="36" t="s">
        <v>61</v>
      </c>
      <c r="F110" s="35">
        <v>2007</v>
      </c>
      <c r="G110" s="1" t="str">
        <f>IF(OR('Qualifying Scores'!$B$1-F110&gt;21,'Qualifying Scores'!$B$1-F110&lt;11),"Not Age Eligible",IF('Qualifying Scores'!$B$1-F110&gt;16,"17-21",IF('Qualifying Scores'!$B$1-F110&gt;14,"15-16",IF('Qualifying Scores'!$B$1-F110&gt;12,"13-14",IF('Qualifying Scores'!$B$1-F110&gt;10,"11-12","Not Age Eligible")))))</f>
        <v>15-16</v>
      </c>
      <c r="H110" s="39" t="s">
        <v>66</v>
      </c>
      <c r="I110" s="43"/>
      <c r="J110" s="4">
        <f>R110+S110+IF(OR(H110="Junior",H110="Senior"),0.0002,IF(OR(H110="L7",H110="L6"),0.0001,0))+IF(G110="17-21",MAX(AA110,AC110,AF110),AE110)*0.0000001</f>
        <v>79.310007931000001</v>
      </c>
      <c r="K110" s="3" t="str">
        <f>IF(G110="Not Age Eligible","",IF(G110="17-21",IF(MAX(T110,V110,Y110,AA110,AC110,AF110)&gt;=LOOKUP(G110,'Qualifying Scores'!$A$4:$A$7,'Qualifying Scores'!$C$4:$C$7),"P",""),IF(MAX(X110-U110,AE110-AB110)&gt;=LOOKUP(G110,'Qualifying Scores'!$A$4:$A$7,'Qualifying Scores'!$C$4:$C$7),"P","")))</f>
        <v/>
      </c>
      <c r="L110" s="3" t="str">
        <f>IF(G110="Not Age Eligible","",IF(G110="17-21",IF(MAX(U110,W110,Z110,AB110,AD110,AG110)&gt;=LOOKUP(G110,'Qualifying Scores'!$A$10:$A$13,'Qualifying Scores'!$C$10:$C$13),"P",""),IF(MAX(W110,AD110)&gt;=LOOKUP(G110,'Qualifying Scores'!$A$10:$A$13,'Qualifying Scores'!$C$10:$C$13),"P","")))</f>
        <v/>
      </c>
      <c r="M110" s="3" t="str">
        <f>IF(G110="Not Age Eligible","",IF(G110="17-21",IF(OR(AND(T110&gt;=LOOKUP(G110,'Qualifying Scores'!$A$4:$A$7,'Qualifying Scores'!$C$4:$C$7),U110&gt;=LOOKUP(G110,'Qualifying Scores'!$A$10:$A$13,'Qualifying Scores'!$C$10:$C$13)),AND(V110&gt;=LOOKUP(G110,'Qualifying Scores'!$A$4:$A$7,'Qualifying Scores'!$C$4:$C$7),W110&gt;=LOOKUP(G110,'Qualifying Scores'!$A$10:$A$13,'Qualifying Scores'!$C$10:$C$13)),AND(Y110&gt;=LOOKUP(G110,'Qualifying Scores'!$A$4:$A$7,'Qualifying Scores'!$C$4:$C$7),Z110&gt;=LOOKUP(G110,'Qualifying Scores'!$A$10:$A$13,'Qualifying Scores'!$C$10:$C$13)),AND(AA110&gt;=LOOKUP(G110,'Qualifying Scores'!$A$4:$A$7,'Qualifying Scores'!$C$4:$C$7),AB110&gt;=LOOKUP(G110,'Qualifying Scores'!$A$10:$A$13,'Qualifying Scores'!$C$10:$C$13)),AND(AC110&gt;=LOOKUP(G110,'Qualifying Scores'!$A$4:$A$7,'Qualifying Scores'!$C$4:$C$7),AD110&gt;=LOOKUP(G110,'Qualifying Scores'!$A$10:$A$13,'Qualifying Scores'!$C$10:$C$13)),AND(AF110&gt;=LOOKUP(G110,'Qualifying Scores'!$A$4:$A$7,'Qualifying Scores'!$C$4:$C$7),AG110&gt;=LOOKUP(G110,'Qualifying Scores'!$A$10:$A$13,'Qualifying Scores'!$C$10:$C$13))),"P",""),IF(OR(AND(X110-U110&gt;=LOOKUP(G110,'Qualifying Scores'!$A$4:$A$7,'Qualifying Scores'!$C$4:$C$7),W110&gt;=LOOKUP(G110,'Qualifying Scores'!$A$10:$A$13,'Qualifying Scores'!$C$10:$C$13)),AND(AE110-AB110&gt;=LOOKUP(G110,'Qualifying Scores'!$A$4:$A$7,'Qualifying Scores'!$C$4:$C$7),AD110&gt;=LOOKUP(G110,'Qualifying Scores'!$A$10:$A$13,'Qualifying Scores'!$C$10:$C$13))),"P","")))</f>
        <v/>
      </c>
      <c r="Q110" s="1" t="str">
        <f>IF(A110&lt;5,IF(_xlfn.MAXIFS(A:A,G:G,G110)&gt;3,5-A110,_xlfn.MAXIFS(A:A,G:G,G110)+1-A110),"")</f>
        <v/>
      </c>
      <c r="R110" s="4">
        <f>IF(G110="17-21",MAX(T110,V110,Y110,AA110,AC110,AF110),MAX(X110,AE110))</f>
        <v>79.31</v>
      </c>
      <c r="S110" s="4">
        <f>IF(G110="17-21",LARGE(CHOOSE({1,2,3,4,5,6},T110,V110,Y110,AA110,AC110,AF110),2),IF(R110=X110,MAX(Y110,AA110,AC110,AF110),IF(R110=AE110,MAX(AF110,T110,V110,Y110),0)))</f>
        <v>0</v>
      </c>
      <c r="T110" s="33"/>
      <c r="U110" s="40"/>
      <c r="V110" s="34"/>
      <c r="W110" s="40"/>
      <c r="X110" s="4">
        <f>IF(H110="Senior",MAX(T110,V110),T110+V110)</f>
        <v>0</v>
      </c>
      <c r="Y110" s="34"/>
      <c r="Z110" s="40"/>
      <c r="AA110" s="33">
        <v>36.28</v>
      </c>
      <c r="AB110" s="40">
        <v>0</v>
      </c>
      <c r="AC110" s="34">
        <v>43.03</v>
      </c>
      <c r="AD110" s="40">
        <v>7.8</v>
      </c>
      <c r="AE110" s="4">
        <f>IF(H110="Senior",MAX(AA110,AC110),AA110+AC110)</f>
        <v>79.31</v>
      </c>
      <c r="AF110" s="34"/>
      <c r="AG110" s="37"/>
    </row>
    <row r="111" spans="1:33" x14ac:dyDescent="0.2">
      <c r="A111" s="1" t="str" cm="1">
        <f t="array" ref="A111">IF(I111="","",IF(P111&lt;&gt;"",SUMPRODUCT((P$3:P$133&lt;&gt;"")*(G$3:G$133=G111)*(J$3:J$133&gt;J111)*(I$3:I$133="P"))+1,IF(O111&lt;&gt;"",SUMPRODUCT((O$3:O$133&lt;&gt;"")*(P$3:P$133="")*(G$3:G$133=G111)*(J$3:J$133&gt;J111)*(I$3:I$133="P"))+SUMPRODUCT((P$3:P$133&lt;&gt;"")*(G$3:G$133=G111)*(I$3:I$133="P"))+1,IF(N111&lt;&gt;"",SUMPRODUCT((N$3:N$133&lt;&gt;"")*(G$3:G$133=G111)*(J$3:J$133&gt;J111)*(I$3:I$133="P"))+1,IF(M111="P",SUMPRODUCT((O$3:O$133&lt;&gt;"")*(P$3:P$133="")*(G$3:G$133=G111)*(I$3:I$133="P"))+SUMPRODUCT((P$3:P$133&lt;&gt;"")*(G$3:G$133=G111)*(I$3:I$133="P"))+SUMPRODUCT((N$3:N$133&lt;&gt;"")*(G$3:G$133=G111)*(I$3:I$133="P"))+SUMPRODUCT((P$3:P$133="")*(O$3:O$133="")*(N$3:N$133="")*(M$3:M$133="P")*(G$3:G$133=G111)*(J$3:J$133&gt;J111)*(I$3:I$133="P"))+IF(H111="L5",SUMPRODUCT((P$3:P$133="")*(O$3:O$133="")*(N$3:N$133="")*(M$3:M$133="P")*(G$3:G$133=G111)*(J$3:J$133&lt;J111)*(H$3:H$133&lt;&gt;H111)*(I$3:I$133="P")),-1*SUMPRODUCT((P$3:P$133="")*(O$3:O$133="")*(N$3:N$133="")*(M$3:M$133="P")*(G$3:G$133=G111)*(J$3:J$133&gt;J111)*(H$3:H$133="L5")*(I$3:I$133="P")))+1,"")))))</f>
        <v/>
      </c>
      <c r="B111" s="1" t="str" cm="1">
        <f t="array" ref="B111">IF(P111&lt;&gt;"",SUMPRODUCT((P$3:P$133&lt;&gt;"")*(G$3:G$133=G111)*(J$3:J$133&gt;J111))+1,IF(O111&lt;&gt;"",SUMPRODUCT((O$3:O$133&lt;&gt;"")*(P$3:P$133="")*(G$3:G$133=G111)*(J$3:J$133&gt;J111))+SUMPRODUCT((P$3:P$133&lt;&gt;"")*(G$3:G$133=G111))+1,IF(N111&lt;&gt;"",SUMPRODUCT((N$3:N$133&lt;&gt;"")*(G$3:G$133=G111)*(J$3:J$133&gt;J111))+1,IF(M111="P",SUMPRODUCT((O$3:O$133&lt;&gt;"")*(P$3:P$133="")*(G$3:G$133=G111))+SUMPRODUCT((P$3:P$133&lt;&gt;"")*(G$3:G$133=G111))+SUMPRODUCT((N$3:N$133&lt;&gt;"")*(G$3:G$133=G111))+SUMPRODUCT((P$3:P$133="")*(O$3:O$133="")*(N$3:N$133="")*(M$3:M$133="P")*(G$3:G$133=G111)*(J$3:J$133&gt;J111))+IF(H111="L5",SUMPRODUCT((P$3:P$133="")*(O$3:O$133="")*(N$3:N$133="")*(M$3:M$133="P")*(G$3:G$133=G111)*(J$3:J$133&lt;J111)*(H$3:H$133&lt;&gt;H111)),-1*SUMPRODUCT((P$3:P$133="")*(O$3:O$133="")*(N$3:N$133="")*(M$3:M$133="P")*(G$3:G$133=G111)*(J$3:J$133&gt;J111)*(H$3:H$133="L5")))+1,""))))</f>
        <v/>
      </c>
      <c r="C111" s="36" t="s">
        <v>471</v>
      </c>
      <c r="D111" s="36" t="str">
        <f>IF(E111="","",VLOOKUP(E111,'Coaching Points'!A:B,2,0))</f>
        <v>BC</v>
      </c>
      <c r="E111" s="36" t="s">
        <v>41</v>
      </c>
      <c r="F111" s="35">
        <v>2007</v>
      </c>
      <c r="G111" s="1" t="str">
        <f>IF(OR('Qualifying Scores'!$B$1-F111&gt;21,'Qualifying Scores'!$B$1-F111&lt;11),"Not Age Eligible",IF('Qualifying Scores'!$B$1-F111&gt;16,"17-21",IF('Qualifying Scores'!$B$1-F111&gt;14,"15-16",IF('Qualifying Scores'!$B$1-F111&gt;12,"13-14",IF('Qualifying Scores'!$B$1-F111&gt;10,"11-12","Not Age Eligible")))))</f>
        <v>15-16</v>
      </c>
      <c r="H111" s="39" t="s">
        <v>66</v>
      </c>
      <c r="I111" s="43"/>
      <c r="J111" s="4">
        <f>R111+S111+IF(OR(H111="Junior",H111="Senior"),0.0002,IF(OR(H111="L7",H111="L6"),0.0001,0))+IF(G111="17-21",MAX(AA111,AC111,AF111),AE111)*0.0000001</f>
        <v>77.350007734999991</v>
      </c>
      <c r="K111" s="3" t="str">
        <f>IF(G111="Not Age Eligible","",IF(G111="17-21",IF(MAX(T111,V111,Y111,AA111,AC111,AF111)&gt;=LOOKUP(G111,'Qualifying Scores'!$A$4:$A$7,'Qualifying Scores'!$C$4:$C$7),"P",""),IF(MAX(X111-U111,AE111-AB111)&gt;=LOOKUP(G111,'Qualifying Scores'!$A$4:$A$7,'Qualifying Scores'!$C$4:$C$7),"P","")))</f>
        <v/>
      </c>
      <c r="L111" s="3" t="str">
        <f>IF(G111="Not Age Eligible","",IF(G111="17-21",IF(MAX(U111,W111,Z111,AB111,AD111,AG111)&gt;=LOOKUP(G111,'Qualifying Scores'!$A$10:$A$13,'Qualifying Scores'!$C$10:$C$13),"P",""),IF(MAX(W111,AD111)&gt;=LOOKUP(G111,'Qualifying Scores'!$A$10:$A$13,'Qualifying Scores'!$C$10:$C$13),"P","")))</f>
        <v/>
      </c>
      <c r="M111" s="3" t="str">
        <f>IF(G111="Not Age Eligible","",IF(G111="17-21",IF(OR(AND(T111&gt;=LOOKUP(G111,'Qualifying Scores'!$A$4:$A$7,'Qualifying Scores'!$C$4:$C$7),U111&gt;=LOOKUP(G111,'Qualifying Scores'!$A$10:$A$13,'Qualifying Scores'!$C$10:$C$13)),AND(V111&gt;=LOOKUP(G111,'Qualifying Scores'!$A$4:$A$7,'Qualifying Scores'!$C$4:$C$7),W111&gt;=LOOKUP(G111,'Qualifying Scores'!$A$10:$A$13,'Qualifying Scores'!$C$10:$C$13)),AND(Y111&gt;=LOOKUP(G111,'Qualifying Scores'!$A$4:$A$7,'Qualifying Scores'!$C$4:$C$7),Z111&gt;=LOOKUP(G111,'Qualifying Scores'!$A$10:$A$13,'Qualifying Scores'!$C$10:$C$13)),AND(AA111&gt;=LOOKUP(G111,'Qualifying Scores'!$A$4:$A$7,'Qualifying Scores'!$C$4:$C$7),AB111&gt;=LOOKUP(G111,'Qualifying Scores'!$A$10:$A$13,'Qualifying Scores'!$C$10:$C$13)),AND(AC111&gt;=LOOKUP(G111,'Qualifying Scores'!$A$4:$A$7,'Qualifying Scores'!$C$4:$C$7),AD111&gt;=LOOKUP(G111,'Qualifying Scores'!$A$10:$A$13,'Qualifying Scores'!$C$10:$C$13)),AND(AF111&gt;=LOOKUP(G111,'Qualifying Scores'!$A$4:$A$7,'Qualifying Scores'!$C$4:$C$7),AG111&gt;=LOOKUP(G111,'Qualifying Scores'!$A$10:$A$13,'Qualifying Scores'!$C$10:$C$13))),"P",""),IF(OR(AND(X111-U111&gt;=LOOKUP(G111,'Qualifying Scores'!$A$4:$A$7,'Qualifying Scores'!$C$4:$C$7),W111&gt;=LOOKUP(G111,'Qualifying Scores'!$A$10:$A$13,'Qualifying Scores'!$C$10:$C$13)),AND(AE111-AB111&gt;=LOOKUP(G111,'Qualifying Scores'!$A$4:$A$7,'Qualifying Scores'!$C$4:$C$7),AD111&gt;=LOOKUP(G111,'Qualifying Scores'!$A$10:$A$13,'Qualifying Scores'!$C$10:$C$13))),"P","")))</f>
        <v/>
      </c>
      <c r="Q111" s="1" t="str">
        <f>IF(A111&lt;5,IF(_xlfn.MAXIFS(A:A,G:G,G111)&gt;3,5-A111,_xlfn.MAXIFS(A:A,G:G,G111)+1-A111),"")</f>
        <v/>
      </c>
      <c r="R111" s="4">
        <f>IF(G111="17-21",MAX(T111,V111,Y111,AA111,AC111,AF111),MAX(X111,AE111))</f>
        <v>77.349999999999994</v>
      </c>
      <c r="S111" s="4">
        <f>IF(G111="17-21",LARGE(CHOOSE({1,2,3,4,5,6},T111,V111,Y111,AA111,AC111,AF111),2),IF(R111=X111,MAX(Y111,AA111,AC111,AF111),IF(R111=AE111,MAX(AF111,T111,V111,Y111),0)))</f>
        <v>0</v>
      </c>
      <c r="T111" s="33"/>
      <c r="U111" s="40"/>
      <c r="V111" s="34"/>
      <c r="W111" s="40"/>
      <c r="X111" s="4">
        <f>IF(H111="Senior",MAX(T111,V111),T111+V111)</f>
        <v>0</v>
      </c>
      <c r="Y111" s="34"/>
      <c r="Z111" s="40"/>
      <c r="AA111" s="33">
        <v>35.78</v>
      </c>
      <c r="AB111" s="40">
        <v>0</v>
      </c>
      <c r="AC111" s="34">
        <v>41.57</v>
      </c>
      <c r="AD111" s="40">
        <v>6.4</v>
      </c>
      <c r="AE111" s="4">
        <f>IF(H111="Senior",MAX(AA111,AC111),AA111+AC111)</f>
        <v>77.349999999999994</v>
      </c>
      <c r="AF111" s="34"/>
      <c r="AG111" s="37"/>
    </row>
    <row r="112" spans="1:33" x14ac:dyDescent="0.2">
      <c r="A112" s="1" t="str" cm="1">
        <f t="array" ref="A112">IF(I112="","",IF(P112&lt;&gt;"",SUMPRODUCT((P$3:P$133&lt;&gt;"")*(G$3:G$133=G112)*(J$3:J$133&gt;J112)*(I$3:I$133="P"))+1,IF(O112&lt;&gt;"",SUMPRODUCT((O$3:O$133&lt;&gt;"")*(P$3:P$133="")*(G$3:G$133=G112)*(J$3:J$133&gt;J112)*(I$3:I$133="P"))+SUMPRODUCT((P$3:P$133&lt;&gt;"")*(G$3:G$133=G112)*(I$3:I$133="P"))+1,IF(N112&lt;&gt;"",SUMPRODUCT((N$3:N$133&lt;&gt;"")*(G$3:G$133=G112)*(J$3:J$133&gt;J112)*(I$3:I$133="P"))+1,IF(M112="P",SUMPRODUCT((O$3:O$133&lt;&gt;"")*(P$3:P$133="")*(G$3:G$133=G112)*(I$3:I$133="P"))+SUMPRODUCT((P$3:P$133&lt;&gt;"")*(G$3:G$133=G112)*(I$3:I$133="P"))+SUMPRODUCT((N$3:N$133&lt;&gt;"")*(G$3:G$133=G112)*(I$3:I$133="P"))+SUMPRODUCT((P$3:P$133="")*(O$3:O$133="")*(N$3:N$133="")*(M$3:M$133="P")*(G$3:G$133=G112)*(J$3:J$133&gt;J112)*(I$3:I$133="P"))+IF(H112="L5",SUMPRODUCT((P$3:P$133="")*(O$3:O$133="")*(N$3:N$133="")*(M$3:M$133="P")*(G$3:G$133=G112)*(J$3:J$133&lt;J112)*(H$3:H$133&lt;&gt;H112)*(I$3:I$133="P")),-1*SUMPRODUCT((P$3:P$133="")*(O$3:O$133="")*(N$3:N$133="")*(M$3:M$133="P")*(G$3:G$133=G112)*(J$3:J$133&gt;J112)*(H$3:H$133="L5")*(I$3:I$133="P")))+1,"")))))</f>
        <v/>
      </c>
      <c r="B112" s="1" t="str" cm="1">
        <f t="array" ref="B112">IF(P112&lt;&gt;"",SUMPRODUCT((P$3:P$133&lt;&gt;"")*(G$3:G$133=G112)*(J$3:J$133&gt;J112))+1,IF(O112&lt;&gt;"",SUMPRODUCT((O$3:O$133&lt;&gt;"")*(P$3:P$133="")*(G$3:G$133=G112)*(J$3:J$133&gt;J112))+SUMPRODUCT((P$3:P$133&lt;&gt;"")*(G$3:G$133=G112))+1,IF(N112&lt;&gt;"",SUMPRODUCT((N$3:N$133&lt;&gt;"")*(G$3:G$133=G112)*(J$3:J$133&gt;J112))+1,IF(M112="P",SUMPRODUCT((O$3:O$133&lt;&gt;"")*(P$3:P$133="")*(G$3:G$133=G112))+SUMPRODUCT((P$3:P$133&lt;&gt;"")*(G$3:G$133=G112))+SUMPRODUCT((N$3:N$133&lt;&gt;"")*(G$3:G$133=G112))+SUMPRODUCT((P$3:P$133="")*(O$3:O$133="")*(N$3:N$133="")*(M$3:M$133="P")*(G$3:G$133=G112)*(J$3:J$133&gt;J112))+IF(H112="L5",SUMPRODUCT((P$3:P$133="")*(O$3:O$133="")*(N$3:N$133="")*(M$3:M$133="P")*(G$3:G$133=G112)*(J$3:J$133&lt;J112)*(H$3:H$133&lt;&gt;H112)),-1*SUMPRODUCT((P$3:P$133="")*(O$3:O$133="")*(N$3:N$133="")*(M$3:M$133="P")*(G$3:G$133=G112)*(J$3:J$133&gt;J112)*(H$3:H$133="L5")))+1,""))))</f>
        <v/>
      </c>
      <c r="C112" s="36" t="s">
        <v>472</v>
      </c>
      <c r="D112" s="36" t="str">
        <f>IF(E112="","",VLOOKUP(E112,'Coaching Points'!A:B,2,0))</f>
        <v>BC</v>
      </c>
      <c r="E112" s="36" t="s">
        <v>57</v>
      </c>
      <c r="F112" s="35">
        <v>2007</v>
      </c>
      <c r="G112" s="1" t="str">
        <f>IF(OR('Qualifying Scores'!$B$1-F112&gt;21,'Qualifying Scores'!$B$1-F112&lt;11),"Not Age Eligible",IF('Qualifying Scores'!$B$1-F112&gt;16,"17-21",IF('Qualifying Scores'!$B$1-F112&gt;14,"15-16",IF('Qualifying Scores'!$B$1-F112&gt;12,"13-14",IF('Qualifying Scores'!$B$1-F112&gt;10,"11-12","Not Age Eligible")))))</f>
        <v>15-16</v>
      </c>
      <c r="H112" s="39" t="s">
        <v>66</v>
      </c>
      <c r="I112" s="43"/>
      <c r="J112" s="4">
        <f>R112+S112+IF(OR(H112="Junior",H112="Senior"),0.0002,IF(OR(H112="L7",H112="L6"),0.0001,0))+IF(G112="17-21",MAX(AA112,AC112,AF112),AE112)*0.0000001</f>
        <v>76.450007644999999</v>
      </c>
      <c r="K112" s="3" t="str">
        <f>IF(G112="Not Age Eligible","",IF(G112="17-21",IF(MAX(T112,V112,Y112,AA112,AC112,AF112)&gt;=LOOKUP(G112,'Qualifying Scores'!$A$4:$A$7,'Qualifying Scores'!$C$4:$C$7),"P",""),IF(MAX(X112-U112,AE112-AB112)&gt;=LOOKUP(G112,'Qualifying Scores'!$A$4:$A$7,'Qualifying Scores'!$C$4:$C$7),"P","")))</f>
        <v/>
      </c>
      <c r="L112" s="3" t="str">
        <f>IF(G112="Not Age Eligible","",IF(G112="17-21",IF(MAX(U112,W112,Z112,AB112,AD112,AG112)&gt;=LOOKUP(G112,'Qualifying Scores'!$A$10:$A$13,'Qualifying Scores'!$C$10:$C$13),"P",""),IF(MAX(W112,AD112)&gt;=LOOKUP(G112,'Qualifying Scores'!$A$10:$A$13,'Qualifying Scores'!$C$10:$C$13),"P","")))</f>
        <v/>
      </c>
      <c r="M112" s="3" t="str">
        <f>IF(G112="Not Age Eligible","",IF(G112="17-21",IF(OR(AND(T112&gt;=LOOKUP(G112,'Qualifying Scores'!$A$4:$A$7,'Qualifying Scores'!$C$4:$C$7),U112&gt;=LOOKUP(G112,'Qualifying Scores'!$A$10:$A$13,'Qualifying Scores'!$C$10:$C$13)),AND(V112&gt;=LOOKUP(G112,'Qualifying Scores'!$A$4:$A$7,'Qualifying Scores'!$C$4:$C$7),W112&gt;=LOOKUP(G112,'Qualifying Scores'!$A$10:$A$13,'Qualifying Scores'!$C$10:$C$13)),AND(Y112&gt;=LOOKUP(G112,'Qualifying Scores'!$A$4:$A$7,'Qualifying Scores'!$C$4:$C$7),Z112&gt;=LOOKUP(G112,'Qualifying Scores'!$A$10:$A$13,'Qualifying Scores'!$C$10:$C$13)),AND(AA112&gt;=LOOKUP(G112,'Qualifying Scores'!$A$4:$A$7,'Qualifying Scores'!$C$4:$C$7),AB112&gt;=LOOKUP(G112,'Qualifying Scores'!$A$10:$A$13,'Qualifying Scores'!$C$10:$C$13)),AND(AC112&gt;=LOOKUP(G112,'Qualifying Scores'!$A$4:$A$7,'Qualifying Scores'!$C$4:$C$7),AD112&gt;=LOOKUP(G112,'Qualifying Scores'!$A$10:$A$13,'Qualifying Scores'!$C$10:$C$13)),AND(AF112&gt;=LOOKUP(G112,'Qualifying Scores'!$A$4:$A$7,'Qualifying Scores'!$C$4:$C$7),AG112&gt;=LOOKUP(G112,'Qualifying Scores'!$A$10:$A$13,'Qualifying Scores'!$C$10:$C$13))),"P",""),IF(OR(AND(X112-U112&gt;=LOOKUP(G112,'Qualifying Scores'!$A$4:$A$7,'Qualifying Scores'!$C$4:$C$7),W112&gt;=LOOKUP(G112,'Qualifying Scores'!$A$10:$A$13,'Qualifying Scores'!$C$10:$C$13)),AND(AE112-AB112&gt;=LOOKUP(G112,'Qualifying Scores'!$A$4:$A$7,'Qualifying Scores'!$C$4:$C$7),AD112&gt;=LOOKUP(G112,'Qualifying Scores'!$A$10:$A$13,'Qualifying Scores'!$C$10:$C$13))),"P","")))</f>
        <v/>
      </c>
      <c r="Q112" s="1" t="str">
        <f>IF(A112&lt;5,IF(_xlfn.MAXIFS(A:A,G:G,G112)&gt;3,5-A112,_xlfn.MAXIFS(A:A,G:G,G112)+1-A112),"")</f>
        <v/>
      </c>
      <c r="R112" s="4">
        <f>IF(G112="17-21",MAX(T112,V112,Y112,AA112,AC112,AF112),MAX(X112,AE112))</f>
        <v>76.45</v>
      </c>
      <c r="S112" s="4">
        <f>IF(G112="17-21",LARGE(CHOOSE({1,2,3,4,5,6},T112,V112,Y112,AA112,AC112,AF112),2),IF(R112=X112,MAX(Y112,AA112,AC112,AF112),IF(R112=AE112,MAX(AF112,T112,V112,Y112),0)))</f>
        <v>0</v>
      </c>
      <c r="T112" s="33"/>
      <c r="U112" s="40"/>
      <c r="V112" s="34"/>
      <c r="W112" s="40"/>
      <c r="X112" s="4">
        <f>IF(H112="Senior",MAX(T112,V112),T112+V112)</f>
        <v>0</v>
      </c>
      <c r="Y112" s="34"/>
      <c r="Z112" s="40"/>
      <c r="AA112" s="33">
        <v>35.6</v>
      </c>
      <c r="AB112" s="40">
        <v>0</v>
      </c>
      <c r="AC112" s="34">
        <v>40.85</v>
      </c>
      <c r="AD112" s="40">
        <v>7.1</v>
      </c>
      <c r="AE112" s="4">
        <f>IF(H112="Senior",MAX(AA112,AC112),AA112+AC112)</f>
        <v>76.45</v>
      </c>
      <c r="AF112" s="34"/>
      <c r="AG112" s="37"/>
    </row>
    <row r="113" spans="1:33" x14ac:dyDescent="0.2">
      <c r="A113" s="1" t="str" cm="1">
        <f t="array" ref="A113">IF(I113="","",IF(P113&lt;&gt;"",SUMPRODUCT((P$3:P$133&lt;&gt;"")*(G$3:G$133=G113)*(J$3:J$133&gt;J113)*(I$3:I$133="P"))+1,IF(O113&lt;&gt;"",SUMPRODUCT((O$3:O$133&lt;&gt;"")*(P$3:P$133="")*(G$3:G$133=G113)*(J$3:J$133&gt;J113)*(I$3:I$133="P"))+SUMPRODUCT((P$3:P$133&lt;&gt;"")*(G$3:G$133=G113)*(I$3:I$133="P"))+1,IF(N113&lt;&gt;"",SUMPRODUCT((N$3:N$133&lt;&gt;"")*(G$3:G$133=G113)*(J$3:J$133&gt;J113)*(I$3:I$133="P"))+1,IF(M113="P",SUMPRODUCT((O$3:O$133&lt;&gt;"")*(P$3:P$133="")*(G$3:G$133=G113)*(I$3:I$133="P"))+SUMPRODUCT((P$3:P$133&lt;&gt;"")*(G$3:G$133=G113)*(I$3:I$133="P"))+SUMPRODUCT((N$3:N$133&lt;&gt;"")*(G$3:G$133=G113)*(I$3:I$133="P"))+SUMPRODUCT((P$3:P$133="")*(O$3:O$133="")*(N$3:N$133="")*(M$3:M$133="P")*(G$3:G$133=G113)*(J$3:J$133&gt;J113)*(I$3:I$133="P"))+IF(H113="L5",SUMPRODUCT((P$3:P$133="")*(O$3:O$133="")*(N$3:N$133="")*(M$3:M$133="P")*(G$3:G$133=G113)*(J$3:J$133&lt;J113)*(H$3:H$133&lt;&gt;H113)*(I$3:I$133="P")),-1*SUMPRODUCT((P$3:P$133="")*(O$3:O$133="")*(N$3:N$133="")*(M$3:M$133="P")*(G$3:G$133=G113)*(J$3:J$133&gt;J113)*(H$3:H$133="L5")*(I$3:I$133="P")))+1,"")))))</f>
        <v/>
      </c>
      <c r="B113" s="1" t="str" cm="1">
        <f t="array" ref="B113">IF(P113&lt;&gt;"",SUMPRODUCT((P$3:P$133&lt;&gt;"")*(G$3:G$133=G113)*(J$3:J$133&gt;J113))+1,IF(O113&lt;&gt;"",SUMPRODUCT((O$3:O$133&lt;&gt;"")*(P$3:P$133="")*(G$3:G$133=G113)*(J$3:J$133&gt;J113))+SUMPRODUCT((P$3:P$133&lt;&gt;"")*(G$3:G$133=G113))+1,IF(N113&lt;&gt;"",SUMPRODUCT((N$3:N$133&lt;&gt;"")*(G$3:G$133=G113)*(J$3:J$133&gt;J113))+1,IF(M113="P",SUMPRODUCT((O$3:O$133&lt;&gt;"")*(P$3:P$133="")*(G$3:G$133=G113))+SUMPRODUCT((P$3:P$133&lt;&gt;"")*(G$3:G$133=G113))+SUMPRODUCT((N$3:N$133&lt;&gt;"")*(G$3:G$133=G113))+SUMPRODUCT((P$3:P$133="")*(O$3:O$133="")*(N$3:N$133="")*(M$3:M$133="P")*(G$3:G$133=G113)*(J$3:J$133&gt;J113))+IF(H113="L5",SUMPRODUCT((P$3:P$133="")*(O$3:O$133="")*(N$3:N$133="")*(M$3:M$133="P")*(G$3:G$133=G113)*(J$3:J$133&lt;J113)*(H$3:H$133&lt;&gt;H113)),-1*SUMPRODUCT((P$3:P$133="")*(O$3:O$133="")*(N$3:N$133="")*(M$3:M$133="P")*(G$3:G$133=G113)*(J$3:J$133&gt;J113)*(H$3:H$133="L5")))+1,""))))</f>
        <v/>
      </c>
      <c r="C113" s="36" t="s">
        <v>473</v>
      </c>
      <c r="D113" s="36" t="str">
        <f>IF(E113="","",VLOOKUP(E113,'Coaching Points'!A:B,2,0))</f>
        <v>ON</v>
      </c>
      <c r="E113" s="36" t="s">
        <v>113</v>
      </c>
      <c r="F113" s="35">
        <v>2008</v>
      </c>
      <c r="G113" s="1" t="str">
        <f>IF(OR('Qualifying Scores'!$B$1-F113&gt;21,'Qualifying Scores'!$B$1-F113&lt;11),"Not Age Eligible",IF('Qualifying Scores'!$B$1-F113&gt;16,"17-21",IF('Qualifying Scores'!$B$1-F113&gt;14,"15-16",IF('Qualifying Scores'!$B$1-F113&gt;12,"13-14",IF('Qualifying Scores'!$B$1-F113&gt;10,"11-12","Not Age Eligible")))))</f>
        <v>15-16</v>
      </c>
      <c r="H113" s="39" t="s">
        <v>66</v>
      </c>
      <c r="I113" s="43"/>
      <c r="J113" s="4">
        <f>R113+S113+IF(OR(H113="Junior",H113="Senior"),0.0002,IF(OR(H113="L7",H113="L6"),0.0001,0))+IF(G113="17-21",MAX(AA113,AC113,AF113),AE113)*0.0000001</f>
        <v>73.550007354999991</v>
      </c>
      <c r="K113" s="3" t="str">
        <f>IF(G113="Not Age Eligible","",IF(G113="17-21",IF(MAX(T113,V113,Y113,AA113,AC113,AF113)&gt;=LOOKUP(G113,'Qualifying Scores'!$A$4:$A$7,'Qualifying Scores'!$C$4:$C$7),"P",""),IF(MAX(X113-U113,AE113-AB113)&gt;=LOOKUP(G113,'Qualifying Scores'!$A$4:$A$7,'Qualifying Scores'!$C$4:$C$7),"P","")))</f>
        <v/>
      </c>
      <c r="L113" s="3" t="str">
        <f>IF(G113="Not Age Eligible","",IF(G113="17-21",IF(MAX(U113,W113,Z113,AB113,AD113,AG113)&gt;=LOOKUP(G113,'Qualifying Scores'!$A$10:$A$13,'Qualifying Scores'!$C$10:$C$13),"P",""),IF(MAX(W113,AD113)&gt;=LOOKUP(G113,'Qualifying Scores'!$A$10:$A$13,'Qualifying Scores'!$C$10:$C$13),"P","")))</f>
        <v/>
      </c>
      <c r="M113" s="3" t="str">
        <f>IF(G113="Not Age Eligible","",IF(G113="17-21",IF(OR(AND(T113&gt;=LOOKUP(G113,'Qualifying Scores'!$A$4:$A$7,'Qualifying Scores'!$C$4:$C$7),U113&gt;=LOOKUP(G113,'Qualifying Scores'!$A$10:$A$13,'Qualifying Scores'!$C$10:$C$13)),AND(V113&gt;=LOOKUP(G113,'Qualifying Scores'!$A$4:$A$7,'Qualifying Scores'!$C$4:$C$7),W113&gt;=LOOKUP(G113,'Qualifying Scores'!$A$10:$A$13,'Qualifying Scores'!$C$10:$C$13)),AND(Y113&gt;=LOOKUP(G113,'Qualifying Scores'!$A$4:$A$7,'Qualifying Scores'!$C$4:$C$7),Z113&gt;=LOOKUP(G113,'Qualifying Scores'!$A$10:$A$13,'Qualifying Scores'!$C$10:$C$13)),AND(AA113&gt;=LOOKUP(G113,'Qualifying Scores'!$A$4:$A$7,'Qualifying Scores'!$C$4:$C$7),AB113&gt;=LOOKUP(G113,'Qualifying Scores'!$A$10:$A$13,'Qualifying Scores'!$C$10:$C$13)),AND(AC113&gt;=LOOKUP(G113,'Qualifying Scores'!$A$4:$A$7,'Qualifying Scores'!$C$4:$C$7),AD113&gt;=LOOKUP(G113,'Qualifying Scores'!$A$10:$A$13,'Qualifying Scores'!$C$10:$C$13)),AND(AF113&gt;=LOOKUP(G113,'Qualifying Scores'!$A$4:$A$7,'Qualifying Scores'!$C$4:$C$7),AG113&gt;=LOOKUP(G113,'Qualifying Scores'!$A$10:$A$13,'Qualifying Scores'!$C$10:$C$13))),"P",""),IF(OR(AND(X113-U113&gt;=LOOKUP(G113,'Qualifying Scores'!$A$4:$A$7,'Qualifying Scores'!$C$4:$C$7),W113&gt;=LOOKUP(G113,'Qualifying Scores'!$A$10:$A$13,'Qualifying Scores'!$C$10:$C$13)),AND(AE113-AB113&gt;=LOOKUP(G113,'Qualifying Scores'!$A$4:$A$7,'Qualifying Scores'!$C$4:$C$7),AD113&gt;=LOOKUP(G113,'Qualifying Scores'!$A$10:$A$13,'Qualifying Scores'!$C$10:$C$13))),"P","")))</f>
        <v/>
      </c>
      <c r="Q113" s="1" t="str">
        <f>IF(A113&lt;5,IF(_xlfn.MAXIFS(A:A,G:G,G113)&gt;3,5-A113,_xlfn.MAXIFS(A:A,G:G,G113)+1-A113),"")</f>
        <v/>
      </c>
      <c r="R113" s="4">
        <f>IF(G113="17-21",MAX(T113,V113,Y113,AA113,AC113,AF113),MAX(X113,AE113))</f>
        <v>73.55</v>
      </c>
      <c r="S113" s="4">
        <f>IF(G113="17-21",LARGE(CHOOSE({1,2,3,4,5,6},T113,V113,Y113,AA113,AC113,AF113),2),IF(R113=X113,MAX(Y113,AA113,AC113,AF113),IF(R113=AE113,MAX(AF113,T113,V113,Y113),0)))</f>
        <v>0</v>
      </c>
      <c r="T113" s="33"/>
      <c r="U113" s="40"/>
      <c r="V113" s="34"/>
      <c r="W113" s="40"/>
      <c r="X113" s="4">
        <f>IF(H113="Senior",MAX(T113,V113),T113+V113)</f>
        <v>0</v>
      </c>
      <c r="Y113" s="34"/>
      <c r="Z113" s="40"/>
      <c r="AA113" s="33">
        <v>35.97</v>
      </c>
      <c r="AB113" s="40">
        <v>0</v>
      </c>
      <c r="AC113" s="34">
        <v>37.58</v>
      </c>
      <c r="AD113" s="40">
        <v>8</v>
      </c>
      <c r="AE113" s="4">
        <f>IF(H113="Senior",MAX(AA113,AC113),AA113+AC113)</f>
        <v>73.55</v>
      </c>
      <c r="AF113" s="34"/>
      <c r="AG113" s="37"/>
    </row>
    <row r="114" spans="1:33" x14ac:dyDescent="0.2">
      <c r="A114" s="1" t="str" cm="1">
        <f t="array" ref="A114">IF(I114="","",IF(P114&lt;&gt;"",SUMPRODUCT((P$3:P$133&lt;&gt;"")*(G$3:G$133=G114)*(J$3:J$133&gt;J114)*(I$3:I$133="P"))+1,IF(O114&lt;&gt;"",SUMPRODUCT((O$3:O$133&lt;&gt;"")*(P$3:P$133="")*(G$3:G$133=G114)*(J$3:J$133&gt;J114)*(I$3:I$133="P"))+SUMPRODUCT((P$3:P$133&lt;&gt;"")*(G$3:G$133=G114)*(I$3:I$133="P"))+1,IF(N114&lt;&gt;"",SUMPRODUCT((N$3:N$133&lt;&gt;"")*(G$3:G$133=G114)*(J$3:J$133&gt;J114)*(I$3:I$133="P"))+1,IF(M114="P",SUMPRODUCT((O$3:O$133&lt;&gt;"")*(P$3:P$133="")*(G$3:G$133=G114)*(I$3:I$133="P"))+SUMPRODUCT((P$3:P$133&lt;&gt;"")*(G$3:G$133=G114)*(I$3:I$133="P"))+SUMPRODUCT((N$3:N$133&lt;&gt;"")*(G$3:G$133=G114)*(I$3:I$133="P"))+SUMPRODUCT((P$3:P$133="")*(O$3:O$133="")*(N$3:N$133="")*(M$3:M$133="P")*(G$3:G$133=G114)*(J$3:J$133&gt;J114)*(I$3:I$133="P"))+IF(H114="L5",SUMPRODUCT((P$3:P$133="")*(O$3:O$133="")*(N$3:N$133="")*(M$3:M$133="P")*(G$3:G$133=G114)*(J$3:J$133&lt;J114)*(H$3:H$133&lt;&gt;H114)*(I$3:I$133="P")),-1*SUMPRODUCT((P$3:P$133="")*(O$3:O$133="")*(N$3:N$133="")*(M$3:M$133="P")*(G$3:G$133=G114)*(J$3:J$133&gt;J114)*(H$3:H$133="L5")*(I$3:I$133="P")))+1,"")))))</f>
        <v/>
      </c>
      <c r="B114" s="1" t="str" cm="1">
        <f t="array" ref="B114">IF(P114&lt;&gt;"",SUMPRODUCT((P$3:P$133&lt;&gt;"")*(G$3:G$133=G114)*(J$3:J$133&gt;J114))+1,IF(O114&lt;&gt;"",SUMPRODUCT((O$3:O$133&lt;&gt;"")*(P$3:P$133="")*(G$3:G$133=G114)*(J$3:J$133&gt;J114))+SUMPRODUCT((P$3:P$133&lt;&gt;"")*(G$3:G$133=G114))+1,IF(N114&lt;&gt;"",SUMPRODUCT((N$3:N$133&lt;&gt;"")*(G$3:G$133=G114)*(J$3:J$133&gt;J114))+1,IF(M114="P",SUMPRODUCT((O$3:O$133&lt;&gt;"")*(P$3:P$133="")*(G$3:G$133=G114))+SUMPRODUCT((P$3:P$133&lt;&gt;"")*(G$3:G$133=G114))+SUMPRODUCT((N$3:N$133&lt;&gt;"")*(G$3:G$133=G114))+SUMPRODUCT((P$3:P$133="")*(O$3:O$133="")*(N$3:N$133="")*(M$3:M$133="P")*(G$3:G$133=G114)*(J$3:J$133&gt;J114))+IF(H114="L5",SUMPRODUCT((P$3:P$133="")*(O$3:O$133="")*(N$3:N$133="")*(M$3:M$133="P")*(G$3:G$133=G114)*(J$3:J$133&lt;J114)*(H$3:H$133&lt;&gt;H114)),-1*SUMPRODUCT((P$3:P$133="")*(O$3:O$133="")*(N$3:N$133="")*(M$3:M$133="P")*(G$3:G$133=G114)*(J$3:J$133&gt;J114)*(H$3:H$133="L5")))+1,""))))</f>
        <v/>
      </c>
      <c r="C114" s="36" t="s">
        <v>304</v>
      </c>
      <c r="D114" s="36" t="str">
        <f>IF(E114="","",VLOOKUP(E114,'Coaching Points'!A:B,2,0))</f>
        <v>QC</v>
      </c>
      <c r="E114" s="36" t="s">
        <v>84</v>
      </c>
      <c r="F114" s="35">
        <v>2008</v>
      </c>
      <c r="G114" s="1" t="str">
        <f>IF(OR('Qualifying Scores'!$B$1-F114&gt;21,'Qualifying Scores'!$B$1-F114&lt;11),"Not Age Eligible",IF('Qualifying Scores'!$B$1-F114&gt;16,"17-21",IF('Qualifying Scores'!$B$1-F114&gt;14,"15-16",IF('Qualifying Scores'!$B$1-F114&gt;12,"13-14",IF('Qualifying Scores'!$B$1-F114&gt;10,"11-12","Not Age Eligible")))))</f>
        <v>15-16</v>
      </c>
      <c r="H114" s="39" t="s">
        <v>66</v>
      </c>
      <c r="I114" s="43"/>
      <c r="J114" s="4">
        <f>R114+S114+IF(OR(H114="Junior",H114="Senior"),0.0002,IF(OR(H114="L7",H114="L6"),0.0001,0))+IF(G114="17-21",MAX(AA114,AC114,AF114),AE114)*0.0000001</f>
        <v>72.47</v>
      </c>
      <c r="K114" s="3" t="str">
        <f>IF(G114="Not Age Eligible","",IF(G114="17-21",IF(MAX(T114,V114,Y114,AA114,AC114,AF114)&gt;=LOOKUP(G114,'Qualifying Scores'!$A$4:$A$7,'Qualifying Scores'!$C$4:$C$7),"P",""),IF(MAX(X114-U114,AE114-AB114)&gt;=LOOKUP(G114,'Qualifying Scores'!$A$4:$A$7,'Qualifying Scores'!$C$4:$C$7),"P","")))</f>
        <v/>
      </c>
      <c r="L114" s="3" t="str">
        <f>IF(G114="Not Age Eligible","",IF(G114="17-21",IF(MAX(U114,W114,Z114,AB114,AD114,AG114)&gt;=LOOKUP(G114,'Qualifying Scores'!$A$10:$A$13,'Qualifying Scores'!$C$10:$C$13),"P",""),IF(MAX(W114,AD114)&gt;=LOOKUP(G114,'Qualifying Scores'!$A$10:$A$13,'Qualifying Scores'!$C$10:$C$13),"P","")))</f>
        <v/>
      </c>
      <c r="M114" s="3" t="str">
        <f>IF(G114="Not Age Eligible","",IF(G114="17-21",IF(OR(AND(T114&gt;=LOOKUP(G114,'Qualifying Scores'!$A$4:$A$7,'Qualifying Scores'!$C$4:$C$7),U114&gt;=LOOKUP(G114,'Qualifying Scores'!$A$10:$A$13,'Qualifying Scores'!$C$10:$C$13)),AND(V114&gt;=LOOKUP(G114,'Qualifying Scores'!$A$4:$A$7,'Qualifying Scores'!$C$4:$C$7),W114&gt;=LOOKUP(G114,'Qualifying Scores'!$A$10:$A$13,'Qualifying Scores'!$C$10:$C$13)),AND(Y114&gt;=LOOKUP(G114,'Qualifying Scores'!$A$4:$A$7,'Qualifying Scores'!$C$4:$C$7),Z114&gt;=LOOKUP(G114,'Qualifying Scores'!$A$10:$A$13,'Qualifying Scores'!$C$10:$C$13)),AND(AA114&gt;=LOOKUP(G114,'Qualifying Scores'!$A$4:$A$7,'Qualifying Scores'!$C$4:$C$7),AB114&gt;=LOOKUP(G114,'Qualifying Scores'!$A$10:$A$13,'Qualifying Scores'!$C$10:$C$13)),AND(AC114&gt;=LOOKUP(G114,'Qualifying Scores'!$A$4:$A$7,'Qualifying Scores'!$C$4:$C$7),AD114&gt;=LOOKUP(G114,'Qualifying Scores'!$A$10:$A$13,'Qualifying Scores'!$C$10:$C$13)),AND(AF114&gt;=LOOKUP(G114,'Qualifying Scores'!$A$4:$A$7,'Qualifying Scores'!$C$4:$C$7),AG114&gt;=LOOKUP(G114,'Qualifying Scores'!$A$10:$A$13,'Qualifying Scores'!$C$10:$C$13))),"P",""),IF(OR(AND(X114-U114&gt;=LOOKUP(G114,'Qualifying Scores'!$A$4:$A$7,'Qualifying Scores'!$C$4:$C$7),W114&gt;=LOOKUP(G114,'Qualifying Scores'!$A$10:$A$13,'Qualifying Scores'!$C$10:$C$13)),AND(AE114-AB114&gt;=LOOKUP(G114,'Qualifying Scores'!$A$4:$A$7,'Qualifying Scores'!$C$4:$C$7),AD114&gt;=LOOKUP(G114,'Qualifying Scores'!$A$10:$A$13,'Qualifying Scores'!$C$10:$C$13))),"P","")))</f>
        <v/>
      </c>
      <c r="Q114" s="1" t="str">
        <f>IF(A114&lt;5,IF(_xlfn.MAXIFS(A:A,G:G,G114)&gt;3,5-A114,_xlfn.MAXIFS(A:A,G:G,G114)+1-A114),"")</f>
        <v/>
      </c>
      <c r="R114" s="4">
        <f>IF(G114="17-21",MAX(T114,V114,Y114,AA114,AC114,AF114),MAX(X114,AE114))</f>
        <v>72.47</v>
      </c>
      <c r="S114" s="4">
        <f>IF(G114="17-21",LARGE(CHOOSE({1,2,3,4,5,6},T114,V114,Y114,AA114,AC114,AF114),2),IF(R114=X114,MAX(Y114,AA114,AC114,AF114),IF(R114=AE114,MAX(AF114,T114,V114,Y114),0)))</f>
        <v>0</v>
      </c>
      <c r="T114" s="33">
        <v>30.89</v>
      </c>
      <c r="U114" s="40">
        <v>0</v>
      </c>
      <c r="V114" s="34">
        <v>41.58</v>
      </c>
      <c r="W114" s="40">
        <v>7</v>
      </c>
      <c r="X114" s="4">
        <f>IF(H114="Senior",MAX(T114,V114),T114+V114)</f>
        <v>72.47</v>
      </c>
      <c r="Y114" s="34"/>
      <c r="Z114" s="40"/>
      <c r="AA114" s="33"/>
      <c r="AB114" s="40"/>
      <c r="AC114" s="34"/>
      <c r="AD114" s="40"/>
      <c r="AE114" s="4">
        <f>IF(H114="Senior",MAX(AA114,AC114),AA114+AC114)</f>
        <v>0</v>
      </c>
      <c r="AF114" s="34"/>
      <c r="AG114" s="37"/>
    </row>
    <row r="115" spans="1:33" x14ac:dyDescent="0.2">
      <c r="A115" s="1" t="str" cm="1">
        <f t="array" ref="A115">IF(I115="","",IF(P115&lt;&gt;"",SUMPRODUCT((P$3:P$133&lt;&gt;"")*(G$3:G$133=G115)*(J$3:J$133&gt;J115)*(I$3:I$133="P"))+1,IF(O115&lt;&gt;"",SUMPRODUCT((O$3:O$133&lt;&gt;"")*(P$3:P$133="")*(G$3:G$133=G115)*(J$3:J$133&gt;J115)*(I$3:I$133="P"))+SUMPRODUCT((P$3:P$133&lt;&gt;"")*(G$3:G$133=G115)*(I$3:I$133="P"))+1,IF(N115&lt;&gt;"",SUMPRODUCT((N$3:N$133&lt;&gt;"")*(G$3:G$133=G115)*(J$3:J$133&gt;J115)*(I$3:I$133="P"))+1,IF(M115="P",SUMPRODUCT((O$3:O$133&lt;&gt;"")*(P$3:P$133="")*(G$3:G$133=G115)*(I$3:I$133="P"))+SUMPRODUCT((P$3:P$133&lt;&gt;"")*(G$3:G$133=G115)*(I$3:I$133="P"))+SUMPRODUCT((N$3:N$133&lt;&gt;"")*(G$3:G$133=G115)*(I$3:I$133="P"))+SUMPRODUCT((P$3:P$133="")*(O$3:O$133="")*(N$3:N$133="")*(M$3:M$133="P")*(G$3:G$133=G115)*(J$3:J$133&gt;J115)*(I$3:I$133="P"))+IF(H115="L5",SUMPRODUCT((P$3:P$133="")*(O$3:O$133="")*(N$3:N$133="")*(M$3:M$133="P")*(G$3:G$133=G115)*(J$3:J$133&lt;J115)*(H$3:H$133&lt;&gt;H115)*(I$3:I$133="P")),-1*SUMPRODUCT((P$3:P$133="")*(O$3:O$133="")*(N$3:N$133="")*(M$3:M$133="P")*(G$3:G$133=G115)*(J$3:J$133&gt;J115)*(H$3:H$133="L5")*(I$3:I$133="P")))+1,"")))))</f>
        <v/>
      </c>
      <c r="B115" s="1" t="str" cm="1">
        <f t="array" ref="B115">IF(P115&lt;&gt;"",SUMPRODUCT((P$3:P$133&lt;&gt;"")*(G$3:G$133=G115)*(J$3:J$133&gt;J115))+1,IF(O115&lt;&gt;"",SUMPRODUCT((O$3:O$133&lt;&gt;"")*(P$3:P$133="")*(G$3:G$133=G115)*(J$3:J$133&gt;J115))+SUMPRODUCT((P$3:P$133&lt;&gt;"")*(G$3:G$133=G115))+1,IF(N115&lt;&gt;"",SUMPRODUCT((N$3:N$133&lt;&gt;"")*(G$3:G$133=G115)*(J$3:J$133&gt;J115))+1,IF(M115="P",SUMPRODUCT((O$3:O$133&lt;&gt;"")*(P$3:P$133="")*(G$3:G$133=G115))+SUMPRODUCT((P$3:P$133&lt;&gt;"")*(G$3:G$133=G115))+SUMPRODUCT((N$3:N$133&lt;&gt;"")*(G$3:G$133=G115))+SUMPRODUCT((P$3:P$133="")*(O$3:O$133="")*(N$3:N$133="")*(M$3:M$133="P")*(G$3:G$133=G115)*(J$3:J$133&gt;J115))+IF(H115="L5",SUMPRODUCT((P$3:P$133="")*(O$3:O$133="")*(N$3:N$133="")*(M$3:M$133="P")*(G$3:G$133=G115)*(J$3:J$133&lt;J115)*(H$3:H$133&lt;&gt;H115)),-1*SUMPRODUCT((P$3:P$133="")*(O$3:O$133="")*(N$3:N$133="")*(M$3:M$133="P")*(G$3:G$133=G115)*(J$3:J$133&gt;J115)*(H$3:H$133="L5")))+1,""))))</f>
        <v/>
      </c>
      <c r="C115" s="36" t="s">
        <v>474</v>
      </c>
      <c r="D115" s="36" t="str">
        <f>IF(E115="","",VLOOKUP(E115,'Coaching Points'!A:B,2,0))</f>
        <v>SK</v>
      </c>
      <c r="E115" s="36" t="s">
        <v>60</v>
      </c>
      <c r="F115" s="35">
        <v>2008</v>
      </c>
      <c r="G115" s="1" t="str">
        <f>IF(OR('Qualifying Scores'!$B$1-F115&gt;21,'Qualifying Scores'!$B$1-F115&lt;11),"Not Age Eligible",IF('Qualifying Scores'!$B$1-F115&gt;16,"17-21",IF('Qualifying Scores'!$B$1-F115&gt;14,"15-16",IF('Qualifying Scores'!$B$1-F115&gt;12,"13-14",IF('Qualifying Scores'!$B$1-F115&gt;10,"11-12","Not Age Eligible")))))</f>
        <v>15-16</v>
      </c>
      <c r="H115" s="39" t="s">
        <v>66</v>
      </c>
      <c r="I115" s="43"/>
      <c r="J115" s="4">
        <f>R115+S115+IF(OR(H115="Junior",H115="Senior"),0.0002,IF(OR(H115="L7",H115="L6"),0.0001,0))+IF(G115="17-21",MAX(AA115,AC115,AF115),AE115)*0.0000001</f>
        <v>63.450006345000006</v>
      </c>
      <c r="K115" s="3" t="str">
        <f>IF(G115="Not Age Eligible","",IF(G115="17-21",IF(MAX(T115,V115,Y115,AA115,AC115,AF115)&gt;=LOOKUP(G115,'Qualifying Scores'!$A$4:$A$7,'Qualifying Scores'!$C$4:$C$7),"P",""),IF(MAX(X115-U115,AE115-AB115)&gt;=LOOKUP(G115,'Qualifying Scores'!$A$4:$A$7,'Qualifying Scores'!$C$4:$C$7),"P","")))</f>
        <v/>
      </c>
      <c r="L115" s="3" t="str">
        <f>IF(G115="Not Age Eligible","",IF(G115="17-21",IF(MAX(U115,W115,Z115,AB115,AD115,AG115)&gt;=LOOKUP(G115,'Qualifying Scores'!$A$10:$A$13,'Qualifying Scores'!$C$10:$C$13),"P",""),IF(MAX(W115,AD115)&gt;=LOOKUP(G115,'Qualifying Scores'!$A$10:$A$13,'Qualifying Scores'!$C$10:$C$13),"P","")))</f>
        <v/>
      </c>
      <c r="M115" s="3" t="str">
        <f>IF(G115="Not Age Eligible","",IF(G115="17-21",IF(OR(AND(T115&gt;=LOOKUP(G115,'Qualifying Scores'!$A$4:$A$7,'Qualifying Scores'!$C$4:$C$7),U115&gt;=LOOKUP(G115,'Qualifying Scores'!$A$10:$A$13,'Qualifying Scores'!$C$10:$C$13)),AND(V115&gt;=LOOKUP(G115,'Qualifying Scores'!$A$4:$A$7,'Qualifying Scores'!$C$4:$C$7),W115&gt;=LOOKUP(G115,'Qualifying Scores'!$A$10:$A$13,'Qualifying Scores'!$C$10:$C$13)),AND(Y115&gt;=LOOKUP(G115,'Qualifying Scores'!$A$4:$A$7,'Qualifying Scores'!$C$4:$C$7),Z115&gt;=LOOKUP(G115,'Qualifying Scores'!$A$10:$A$13,'Qualifying Scores'!$C$10:$C$13)),AND(AA115&gt;=LOOKUP(G115,'Qualifying Scores'!$A$4:$A$7,'Qualifying Scores'!$C$4:$C$7),AB115&gt;=LOOKUP(G115,'Qualifying Scores'!$A$10:$A$13,'Qualifying Scores'!$C$10:$C$13)),AND(AC115&gt;=LOOKUP(G115,'Qualifying Scores'!$A$4:$A$7,'Qualifying Scores'!$C$4:$C$7),AD115&gt;=LOOKUP(G115,'Qualifying Scores'!$A$10:$A$13,'Qualifying Scores'!$C$10:$C$13)),AND(AF115&gt;=LOOKUP(G115,'Qualifying Scores'!$A$4:$A$7,'Qualifying Scores'!$C$4:$C$7),AG115&gt;=LOOKUP(G115,'Qualifying Scores'!$A$10:$A$13,'Qualifying Scores'!$C$10:$C$13))),"P",""),IF(OR(AND(X115-U115&gt;=LOOKUP(G115,'Qualifying Scores'!$A$4:$A$7,'Qualifying Scores'!$C$4:$C$7),W115&gt;=LOOKUP(G115,'Qualifying Scores'!$A$10:$A$13,'Qualifying Scores'!$C$10:$C$13)),AND(AE115-AB115&gt;=LOOKUP(G115,'Qualifying Scores'!$A$4:$A$7,'Qualifying Scores'!$C$4:$C$7),AD115&gt;=LOOKUP(G115,'Qualifying Scores'!$A$10:$A$13,'Qualifying Scores'!$C$10:$C$13))),"P","")))</f>
        <v/>
      </c>
      <c r="Q115" s="1" t="str">
        <f>IF(A115&lt;5,IF(_xlfn.MAXIFS(A:A,G:G,G115)&gt;3,5-A115,_xlfn.MAXIFS(A:A,G:G,G115)+1-A115),"")</f>
        <v/>
      </c>
      <c r="R115" s="4">
        <f>IF(G115="17-21",MAX(T115,V115,Y115,AA115,AC115,AF115),MAX(X115,AE115))</f>
        <v>63.45</v>
      </c>
      <c r="S115" s="4">
        <f>IF(G115="17-21",LARGE(CHOOSE({1,2,3,4,5,6},T115,V115,Y115,AA115,AC115,AF115),2),IF(R115=X115,MAX(Y115,AA115,AC115,AF115),IF(R115=AE115,MAX(AF115,T115,V115,Y115),0)))</f>
        <v>0</v>
      </c>
      <c r="T115" s="33"/>
      <c r="U115" s="40"/>
      <c r="V115" s="34"/>
      <c r="W115" s="40"/>
      <c r="X115" s="4">
        <f>IF(H115="Senior",MAX(T115,V115),T115+V115)</f>
        <v>0</v>
      </c>
      <c r="Y115" s="34"/>
      <c r="Z115" s="40"/>
      <c r="AA115" s="33">
        <v>36.74</v>
      </c>
      <c r="AB115" s="40">
        <v>0</v>
      </c>
      <c r="AC115" s="34">
        <v>26.71</v>
      </c>
      <c r="AD115" s="40">
        <v>4.8</v>
      </c>
      <c r="AE115" s="4">
        <f>IF(H115="Senior",MAX(AA115,AC115),AA115+AC115)</f>
        <v>63.45</v>
      </c>
      <c r="AF115" s="34"/>
      <c r="AG115" s="37"/>
    </row>
    <row r="116" spans="1:33" x14ac:dyDescent="0.2">
      <c r="A116" s="1" t="str" cm="1">
        <f t="array" ref="A116">IF(I116="","",IF(P116&lt;&gt;"",SUMPRODUCT((P$3:P$133&lt;&gt;"")*(G$3:G$133=G116)*(J$3:J$133&gt;J116)*(I$3:I$133="P"))+1,IF(O116&lt;&gt;"",SUMPRODUCT((O$3:O$133&lt;&gt;"")*(P$3:P$133="")*(G$3:G$133=G116)*(J$3:J$133&gt;J116)*(I$3:I$133="P"))+SUMPRODUCT((P$3:P$133&lt;&gt;"")*(G$3:G$133=G116)*(I$3:I$133="P"))+1,IF(N116&lt;&gt;"",SUMPRODUCT((N$3:N$133&lt;&gt;"")*(G$3:G$133=G116)*(J$3:J$133&gt;J116)*(I$3:I$133="P"))+1,IF(M116="P",SUMPRODUCT((O$3:O$133&lt;&gt;"")*(P$3:P$133="")*(G$3:G$133=G116)*(I$3:I$133="P"))+SUMPRODUCT((P$3:P$133&lt;&gt;"")*(G$3:G$133=G116)*(I$3:I$133="P"))+SUMPRODUCT((N$3:N$133&lt;&gt;"")*(G$3:G$133=G116)*(I$3:I$133="P"))+SUMPRODUCT((P$3:P$133="")*(O$3:O$133="")*(N$3:N$133="")*(M$3:M$133="P")*(G$3:G$133=G116)*(J$3:J$133&gt;J116)*(I$3:I$133="P"))+IF(H116="L5",SUMPRODUCT((P$3:P$133="")*(O$3:O$133="")*(N$3:N$133="")*(M$3:M$133="P")*(G$3:G$133=G116)*(J$3:J$133&lt;J116)*(H$3:H$133&lt;&gt;H116)*(I$3:I$133="P")),-1*SUMPRODUCT((P$3:P$133="")*(O$3:O$133="")*(N$3:N$133="")*(M$3:M$133="P")*(G$3:G$133=G116)*(J$3:J$133&gt;J116)*(H$3:H$133="L5")*(I$3:I$133="P")))+1,"")))))</f>
        <v/>
      </c>
      <c r="B116" s="1" t="str" cm="1">
        <f t="array" ref="B116">IF(P116&lt;&gt;"",SUMPRODUCT((P$3:P$133&lt;&gt;"")*(G$3:G$133=G116)*(J$3:J$133&gt;J116))+1,IF(O116&lt;&gt;"",SUMPRODUCT((O$3:O$133&lt;&gt;"")*(P$3:P$133="")*(G$3:G$133=G116)*(J$3:J$133&gt;J116))+SUMPRODUCT((P$3:P$133&lt;&gt;"")*(G$3:G$133=G116))+1,IF(N116&lt;&gt;"",SUMPRODUCT((N$3:N$133&lt;&gt;"")*(G$3:G$133=G116)*(J$3:J$133&gt;J116))+1,IF(M116="P",SUMPRODUCT((O$3:O$133&lt;&gt;"")*(P$3:P$133="")*(G$3:G$133=G116))+SUMPRODUCT((P$3:P$133&lt;&gt;"")*(G$3:G$133=G116))+SUMPRODUCT((N$3:N$133&lt;&gt;"")*(G$3:G$133=G116))+SUMPRODUCT((P$3:P$133="")*(O$3:O$133="")*(N$3:N$133="")*(M$3:M$133="P")*(G$3:G$133=G116)*(J$3:J$133&gt;J116))+IF(H116="L5",SUMPRODUCT((P$3:P$133="")*(O$3:O$133="")*(N$3:N$133="")*(M$3:M$133="P")*(G$3:G$133=G116)*(J$3:J$133&lt;J116)*(H$3:H$133&lt;&gt;H116)),-1*SUMPRODUCT((P$3:P$133="")*(O$3:O$133="")*(N$3:N$133="")*(M$3:M$133="P")*(G$3:G$133=G116)*(J$3:J$133&gt;J116)*(H$3:H$133="L5")))+1,""))))</f>
        <v/>
      </c>
      <c r="C116" s="36" t="s">
        <v>354</v>
      </c>
      <c r="D116" s="36" t="str">
        <f>IF(E116="","",VLOOKUP(E116,'Coaching Points'!A:B,2,0))</f>
        <v>SK</v>
      </c>
      <c r="E116" s="36" t="s">
        <v>60</v>
      </c>
      <c r="F116" s="35">
        <v>2007</v>
      </c>
      <c r="G116" s="1" t="str">
        <f>IF(OR('Qualifying Scores'!$B$1-F116&gt;21,'Qualifying Scores'!$B$1-F116&lt;11),"Not Age Eligible",IF('Qualifying Scores'!$B$1-F116&gt;16,"17-21",IF('Qualifying Scores'!$B$1-F116&gt;14,"15-16",IF('Qualifying Scores'!$B$1-F116&gt;12,"13-14",IF('Qualifying Scores'!$B$1-F116&gt;10,"11-12","Not Age Eligible")))))</f>
        <v>15-16</v>
      </c>
      <c r="H116" s="39" t="s">
        <v>66</v>
      </c>
      <c r="I116" s="43"/>
      <c r="J116" s="4">
        <f>R116+S116+IF(OR(H116="Junior",H116="Senior"),0.0002,IF(OR(H116="L7",H116="L6"),0.0001,0))+IF(G116="17-21",MAX(AA116,AC116,AF116),AE116)*0.0000001</f>
        <v>58.820005882000004</v>
      </c>
      <c r="K116" s="3" t="str">
        <f>IF(G116="Not Age Eligible","",IF(G116="17-21",IF(MAX(T116,V116,Y116,AA116,AC116,AF116)&gt;=LOOKUP(G116,'Qualifying Scores'!$A$4:$A$7,'Qualifying Scores'!$C$4:$C$7),"P",""),IF(MAX(X116-U116,AE116-AB116)&gt;=LOOKUP(G116,'Qualifying Scores'!$A$4:$A$7,'Qualifying Scores'!$C$4:$C$7),"P","")))</f>
        <v/>
      </c>
      <c r="L116" s="3" t="str">
        <f>IF(G116="Not Age Eligible","",IF(G116="17-21",IF(MAX(U116,W116,Z116,AB116,AD116,AG116)&gt;=LOOKUP(G116,'Qualifying Scores'!$A$10:$A$13,'Qualifying Scores'!$C$10:$C$13),"P",""),IF(MAX(W116,AD116)&gt;=LOOKUP(G116,'Qualifying Scores'!$A$10:$A$13,'Qualifying Scores'!$C$10:$C$13),"P","")))</f>
        <v/>
      </c>
      <c r="M116" s="3" t="str">
        <f>IF(G116="Not Age Eligible","",IF(G116="17-21",IF(OR(AND(T116&gt;=LOOKUP(G116,'Qualifying Scores'!$A$4:$A$7,'Qualifying Scores'!$C$4:$C$7),U116&gt;=LOOKUP(G116,'Qualifying Scores'!$A$10:$A$13,'Qualifying Scores'!$C$10:$C$13)),AND(V116&gt;=LOOKUP(G116,'Qualifying Scores'!$A$4:$A$7,'Qualifying Scores'!$C$4:$C$7),W116&gt;=LOOKUP(G116,'Qualifying Scores'!$A$10:$A$13,'Qualifying Scores'!$C$10:$C$13)),AND(Y116&gt;=LOOKUP(G116,'Qualifying Scores'!$A$4:$A$7,'Qualifying Scores'!$C$4:$C$7),Z116&gt;=LOOKUP(G116,'Qualifying Scores'!$A$10:$A$13,'Qualifying Scores'!$C$10:$C$13)),AND(AA116&gt;=LOOKUP(G116,'Qualifying Scores'!$A$4:$A$7,'Qualifying Scores'!$C$4:$C$7),AB116&gt;=LOOKUP(G116,'Qualifying Scores'!$A$10:$A$13,'Qualifying Scores'!$C$10:$C$13)),AND(AC116&gt;=LOOKUP(G116,'Qualifying Scores'!$A$4:$A$7,'Qualifying Scores'!$C$4:$C$7),AD116&gt;=LOOKUP(G116,'Qualifying Scores'!$A$10:$A$13,'Qualifying Scores'!$C$10:$C$13)),AND(AF116&gt;=LOOKUP(G116,'Qualifying Scores'!$A$4:$A$7,'Qualifying Scores'!$C$4:$C$7),AG116&gt;=LOOKUP(G116,'Qualifying Scores'!$A$10:$A$13,'Qualifying Scores'!$C$10:$C$13))),"P",""),IF(OR(AND(X116-U116&gt;=LOOKUP(G116,'Qualifying Scores'!$A$4:$A$7,'Qualifying Scores'!$C$4:$C$7),W116&gt;=LOOKUP(G116,'Qualifying Scores'!$A$10:$A$13,'Qualifying Scores'!$C$10:$C$13)),AND(AE116-AB116&gt;=LOOKUP(G116,'Qualifying Scores'!$A$4:$A$7,'Qualifying Scores'!$C$4:$C$7),AD116&gt;=LOOKUP(G116,'Qualifying Scores'!$A$10:$A$13,'Qualifying Scores'!$C$10:$C$13))),"P","")))</f>
        <v/>
      </c>
      <c r="Q116" s="1" t="str">
        <f>IF(A116&lt;5,IF(_xlfn.MAXIFS(A:A,G:G,G116)&gt;3,5-A116,_xlfn.MAXIFS(A:A,G:G,G116)+1-A116),"")</f>
        <v/>
      </c>
      <c r="R116" s="4">
        <f>IF(G116="17-21",MAX(T116,V116,Y116,AA116,AC116,AF116),MAX(X116,AE116))</f>
        <v>58.82</v>
      </c>
      <c r="S116" s="4">
        <f>IF(G116="17-21",LARGE(CHOOSE({1,2,3,4,5,6},T116,V116,Y116,AA116,AC116,AF116),2),IF(R116=X116,MAX(Y116,AA116,AC116,AF116),IF(R116=AE116,MAX(AF116,T116,V116,Y116),0)))</f>
        <v>0</v>
      </c>
      <c r="T116" s="33"/>
      <c r="U116" s="40"/>
      <c r="V116" s="34"/>
      <c r="W116" s="40"/>
      <c r="X116" s="4">
        <f>IF(H116="Senior",MAX(T116,V116),T116+V116)</f>
        <v>0</v>
      </c>
      <c r="Y116" s="34"/>
      <c r="Z116" s="40"/>
      <c r="AA116" s="33">
        <v>36.4</v>
      </c>
      <c r="AB116" s="40">
        <v>0</v>
      </c>
      <c r="AC116" s="34">
        <v>22.42</v>
      </c>
      <c r="AD116" s="40">
        <v>4.5999999999999996</v>
      </c>
      <c r="AE116" s="4">
        <f>IF(H116="Senior",MAX(AA116,AC116),AA116+AC116)</f>
        <v>58.82</v>
      </c>
      <c r="AF116" s="34"/>
      <c r="AG116" s="37"/>
    </row>
    <row r="117" spans="1:33" x14ac:dyDescent="0.2">
      <c r="A117" s="1" t="str" cm="1">
        <f t="array" ref="A117">IF(I117="","",IF(P117&lt;&gt;"",SUMPRODUCT((P$3:P$133&lt;&gt;"")*(G$3:G$133=G117)*(J$3:J$133&gt;J117)*(I$3:I$133="P"))+1,IF(O117&lt;&gt;"",SUMPRODUCT((O$3:O$133&lt;&gt;"")*(P$3:P$133="")*(G$3:G$133=G117)*(J$3:J$133&gt;J117)*(I$3:I$133="P"))+SUMPRODUCT((P$3:P$133&lt;&gt;"")*(G$3:G$133=G117)*(I$3:I$133="P"))+1,IF(N117&lt;&gt;"",SUMPRODUCT((N$3:N$133&lt;&gt;"")*(G$3:G$133=G117)*(J$3:J$133&gt;J117)*(I$3:I$133="P"))+1,IF(M117="P",SUMPRODUCT((O$3:O$133&lt;&gt;"")*(P$3:P$133="")*(G$3:G$133=G117)*(I$3:I$133="P"))+SUMPRODUCT((P$3:P$133&lt;&gt;"")*(G$3:G$133=G117)*(I$3:I$133="P"))+SUMPRODUCT((N$3:N$133&lt;&gt;"")*(G$3:G$133=G117)*(I$3:I$133="P"))+SUMPRODUCT((P$3:P$133="")*(O$3:O$133="")*(N$3:N$133="")*(M$3:M$133="P")*(G$3:G$133=G117)*(J$3:J$133&gt;J117)*(I$3:I$133="P"))+IF(H117="L5",SUMPRODUCT((P$3:P$133="")*(O$3:O$133="")*(N$3:N$133="")*(M$3:M$133="P")*(G$3:G$133=G117)*(J$3:J$133&lt;J117)*(H$3:H$133&lt;&gt;H117)*(I$3:I$133="P")),-1*SUMPRODUCT((P$3:P$133="")*(O$3:O$133="")*(N$3:N$133="")*(M$3:M$133="P")*(G$3:G$133=G117)*(J$3:J$133&gt;J117)*(H$3:H$133="L5")*(I$3:I$133="P")))+1,"")))))</f>
        <v/>
      </c>
      <c r="B117" s="1" t="str" cm="1">
        <f t="array" ref="B117">IF(P117&lt;&gt;"",SUMPRODUCT((P$3:P$133&lt;&gt;"")*(G$3:G$133=G117)*(J$3:J$133&gt;J117))+1,IF(O117&lt;&gt;"",SUMPRODUCT((O$3:O$133&lt;&gt;"")*(P$3:P$133="")*(G$3:G$133=G117)*(J$3:J$133&gt;J117))+SUMPRODUCT((P$3:P$133&lt;&gt;"")*(G$3:G$133=G117))+1,IF(N117&lt;&gt;"",SUMPRODUCT((N$3:N$133&lt;&gt;"")*(G$3:G$133=G117)*(J$3:J$133&gt;J117))+1,IF(M117="P",SUMPRODUCT((O$3:O$133&lt;&gt;"")*(P$3:P$133="")*(G$3:G$133=G117))+SUMPRODUCT((P$3:P$133&lt;&gt;"")*(G$3:G$133=G117))+SUMPRODUCT((N$3:N$133&lt;&gt;"")*(G$3:G$133=G117))+SUMPRODUCT((P$3:P$133="")*(O$3:O$133="")*(N$3:N$133="")*(M$3:M$133="P")*(G$3:G$133=G117)*(J$3:J$133&gt;J117))+IF(H117="L5",SUMPRODUCT((P$3:P$133="")*(O$3:O$133="")*(N$3:N$133="")*(M$3:M$133="P")*(G$3:G$133=G117)*(J$3:J$133&lt;J117)*(H$3:H$133&lt;&gt;H117)),-1*SUMPRODUCT((P$3:P$133="")*(O$3:O$133="")*(N$3:N$133="")*(M$3:M$133="P")*(G$3:G$133=G117)*(J$3:J$133&gt;J117)*(H$3:H$133="L5")))+1,""))))</f>
        <v/>
      </c>
      <c r="C117" s="36" t="s">
        <v>475</v>
      </c>
      <c r="D117" s="36" t="str">
        <f>IF(E117="","",VLOOKUP(E117,'Coaching Points'!A:B,2,0))</f>
        <v>NL</v>
      </c>
      <c r="E117" s="36" t="s">
        <v>418</v>
      </c>
      <c r="F117" s="35">
        <v>2007</v>
      </c>
      <c r="G117" s="1" t="str">
        <f>IF(OR('Qualifying Scores'!$B$1-F117&gt;21,'Qualifying Scores'!$B$1-F117&lt;11),"Not Age Eligible",IF('Qualifying Scores'!$B$1-F117&gt;16,"17-21",IF('Qualifying Scores'!$B$1-F117&gt;14,"15-16",IF('Qualifying Scores'!$B$1-F117&gt;12,"13-14",IF('Qualifying Scores'!$B$1-F117&gt;10,"11-12","Not Age Eligible")))))</f>
        <v>15-16</v>
      </c>
      <c r="H117" s="39" t="s">
        <v>66</v>
      </c>
      <c r="I117" s="43"/>
      <c r="J117" s="4">
        <f>R117+S117+IF(OR(H117="Junior",H117="Senior"),0.0002,IF(OR(H117="L7",H117="L6"),0.0001,0))+IF(G117="17-21",MAX(AA117,AC117,AF117),AE117)*0.0000001</f>
        <v>41.620004162000001</v>
      </c>
      <c r="K117" s="3" t="str">
        <f>IF(G117="Not Age Eligible","",IF(G117="17-21",IF(MAX(T117,V117,Y117,AA117,AC117,AF117)&gt;=LOOKUP(G117,'Qualifying Scores'!$A$4:$A$7,'Qualifying Scores'!$C$4:$C$7),"P",""),IF(MAX(X117-U117,AE117-AB117)&gt;=LOOKUP(G117,'Qualifying Scores'!$A$4:$A$7,'Qualifying Scores'!$C$4:$C$7),"P","")))</f>
        <v/>
      </c>
      <c r="L117" s="3" t="str">
        <f>IF(G117="Not Age Eligible","",IF(G117="17-21",IF(MAX(U117,W117,Z117,AB117,AD117,AG117)&gt;=LOOKUP(G117,'Qualifying Scores'!$A$10:$A$13,'Qualifying Scores'!$C$10:$C$13),"P",""),IF(MAX(W117,AD117)&gt;=LOOKUP(G117,'Qualifying Scores'!$A$10:$A$13,'Qualifying Scores'!$C$10:$C$13),"P","")))</f>
        <v/>
      </c>
      <c r="M117" s="3" t="str">
        <f>IF(G117="Not Age Eligible","",IF(G117="17-21",IF(OR(AND(T117&gt;=LOOKUP(G117,'Qualifying Scores'!$A$4:$A$7,'Qualifying Scores'!$C$4:$C$7),U117&gt;=LOOKUP(G117,'Qualifying Scores'!$A$10:$A$13,'Qualifying Scores'!$C$10:$C$13)),AND(V117&gt;=LOOKUP(G117,'Qualifying Scores'!$A$4:$A$7,'Qualifying Scores'!$C$4:$C$7),W117&gt;=LOOKUP(G117,'Qualifying Scores'!$A$10:$A$13,'Qualifying Scores'!$C$10:$C$13)),AND(Y117&gt;=LOOKUP(G117,'Qualifying Scores'!$A$4:$A$7,'Qualifying Scores'!$C$4:$C$7),Z117&gt;=LOOKUP(G117,'Qualifying Scores'!$A$10:$A$13,'Qualifying Scores'!$C$10:$C$13)),AND(AA117&gt;=LOOKUP(G117,'Qualifying Scores'!$A$4:$A$7,'Qualifying Scores'!$C$4:$C$7),AB117&gt;=LOOKUP(G117,'Qualifying Scores'!$A$10:$A$13,'Qualifying Scores'!$C$10:$C$13)),AND(AC117&gt;=LOOKUP(G117,'Qualifying Scores'!$A$4:$A$7,'Qualifying Scores'!$C$4:$C$7),AD117&gt;=LOOKUP(G117,'Qualifying Scores'!$A$10:$A$13,'Qualifying Scores'!$C$10:$C$13)),AND(AF117&gt;=LOOKUP(G117,'Qualifying Scores'!$A$4:$A$7,'Qualifying Scores'!$C$4:$C$7),AG117&gt;=LOOKUP(G117,'Qualifying Scores'!$A$10:$A$13,'Qualifying Scores'!$C$10:$C$13))),"P",""),IF(OR(AND(X117-U117&gt;=LOOKUP(G117,'Qualifying Scores'!$A$4:$A$7,'Qualifying Scores'!$C$4:$C$7),W117&gt;=LOOKUP(G117,'Qualifying Scores'!$A$10:$A$13,'Qualifying Scores'!$C$10:$C$13)),AND(AE117-AB117&gt;=LOOKUP(G117,'Qualifying Scores'!$A$4:$A$7,'Qualifying Scores'!$C$4:$C$7),AD117&gt;=LOOKUP(G117,'Qualifying Scores'!$A$10:$A$13,'Qualifying Scores'!$C$10:$C$13))),"P","")))</f>
        <v/>
      </c>
      <c r="Q117" s="1" t="str">
        <f>IF(A117&lt;5,IF(_xlfn.MAXIFS(A:A,G:G,G117)&gt;3,5-A117,_xlfn.MAXIFS(A:A,G:G,G117)+1-A117),"")</f>
        <v/>
      </c>
      <c r="R117" s="4">
        <f>IF(G117="17-21",MAX(T117,V117,Y117,AA117,AC117,AF117),MAX(X117,AE117))</f>
        <v>41.62</v>
      </c>
      <c r="S117" s="4">
        <f>IF(G117="17-21",LARGE(CHOOSE({1,2,3,4,5,6},T117,V117,Y117,AA117,AC117,AF117),2),IF(R117=X117,MAX(Y117,AA117,AC117,AF117),IF(R117=AE117,MAX(AF117,T117,V117,Y117),0)))</f>
        <v>0</v>
      </c>
      <c r="T117" s="33"/>
      <c r="U117" s="40"/>
      <c r="V117" s="34"/>
      <c r="W117" s="40"/>
      <c r="X117" s="4">
        <f>IF(H117="Senior",MAX(T117,V117),T117+V117)</f>
        <v>0</v>
      </c>
      <c r="Y117" s="34"/>
      <c r="Z117" s="40"/>
      <c r="AA117" s="33">
        <v>36.79</v>
      </c>
      <c r="AB117" s="40">
        <v>0</v>
      </c>
      <c r="AC117" s="34">
        <v>4.83</v>
      </c>
      <c r="AD117" s="40">
        <v>1.3</v>
      </c>
      <c r="AE117" s="4">
        <f>IF(H117="Senior",MAX(AA117,AC117),AA117+AC117)</f>
        <v>41.62</v>
      </c>
      <c r="AF117" s="34"/>
      <c r="AG117" s="37"/>
    </row>
    <row r="118" spans="1:33" x14ac:dyDescent="0.2">
      <c r="A118" s="1" t="str" cm="1">
        <f t="array" ref="A118">IF(I118="","",IF(P118&lt;&gt;"",SUMPRODUCT((P$3:P$133&lt;&gt;"")*(G$3:G$133=G118)*(J$3:J$133&gt;J118)*(I$3:I$133="P"))+1,IF(O118&lt;&gt;"",SUMPRODUCT((O$3:O$133&lt;&gt;"")*(P$3:P$133="")*(G$3:G$133=G118)*(J$3:J$133&gt;J118)*(I$3:I$133="P"))+SUMPRODUCT((P$3:P$133&lt;&gt;"")*(G$3:G$133=G118)*(I$3:I$133="P"))+1,IF(N118&lt;&gt;"",SUMPRODUCT((N$3:N$133&lt;&gt;"")*(G$3:G$133=G118)*(J$3:J$133&gt;J118)*(I$3:I$133="P"))+1,IF(M118="P",SUMPRODUCT((O$3:O$133&lt;&gt;"")*(P$3:P$133="")*(G$3:G$133=G118)*(I$3:I$133="P"))+SUMPRODUCT((P$3:P$133&lt;&gt;"")*(G$3:G$133=G118)*(I$3:I$133="P"))+SUMPRODUCT((N$3:N$133&lt;&gt;"")*(G$3:G$133=G118)*(I$3:I$133="P"))+SUMPRODUCT((P$3:P$133="")*(O$3:O$133="")*(N$3:N$133="")*(M$3:M$133="P")*(G$3:G$133=G118)*(J$3:J$133&gt;J118)*(I$3:I$133="P"))+IF(H118="L5",SUMPRODUCT((P$3:P$133="")*(O$3:O$133="")*(N$3:N$133="")*(M$3:M$133="P")*(G$3:G$133=G118)*(J$3:J$133&lt;J118)*(H$3:H$133&lt;&gt;H118)*(I$3:I$133="P")),-1*SUMPRODUCT((P$3:P$133="")*(O$3:O$133="")*(N$3:N$133="")*(M$3:M$133="P")*(G$3:G$133=G118)*(J$3:J$133&gt;J118)*(H$3:H$133="L5")*(I$3:I$133="P")))+1,"")))))</f>
        <v/>
      </c>
      <c r="B118" s="1" t="str" cm="1">
        <f t="array" ref="B118">IF(P118&lt;&gt;"",SUMPRODUCT((P$3:P$133&lt;&gt;"")*(G$3:G$133=G118)*(J$3:J$133&gt;J118))+1,IF(O118&lt;&gt;"",SUMPRODUCT((O$3:O$133&lt;&gt;"")*(P$3:P$133="")*(G$3:G$133=G118)*(J$3:J$133&gt;J118))+SUMPRODUCT((P$3:P$133&lt;&gt;"")*(G$3:G$133=G118))+1,IF(N118&lt;&gt;"",SUMPRODUCT((N$3:N$133&lt;&gt;"")*(G$3:G$133=G118)*(J$3:J$133&gt;J118))+1,IF(M118="P",SUMPRODUCT((O$3:O$133&lt;&gt;"")*(P$3:P$133="")*(G$3:G$133=G118))+SUMPRODUCT((P$3:P$133&lt;&gt;"")*(G$3:G$133=G118))+SUMPRODUCT((N$3:N$133&lt;&gt;"")*(G$3:G$133=G118))+SUMPRODUCT((P$3:P$133="")*(O$3:O$133="")*(N$3:N$133="")*(M$3:M$133="P")*(G$3:G$133=G118)*(J$3:J$133&gt;J118))+IF(H118="L5",SUMPRODUCT((P$3:P$133="")*(O$3:O$133="")*(N$3:N$133="")*(M$3:M$133="P")*(G$3:G$133=G118)*(J$3:J$133&lt;J118)*(H$3:H$133&lt;&gt;H118)),-1*SUMPRODUCT((P$3:P$133="")*(O$3:O$133="")*(N$3:N$133="")*(M$3:M$133="P")*(G$3:G$133=G118)*(J$3:J$133&gt;J118)*(H$3:H$133="L5")))+1,""))))</f>
        <v/>
      </c>
      <c r="C118" s="36" t="s">
        <v>476</v>
      </c>
      <c r="D118" s="36" t="str">
        <f>IF(E118="","",VLOOKUP(E118,'Coaching Points'!A:B,2,0))</f>
        <v>ON</v>
      </c>
      <c r="E118" s="36" t="s">
        <v>113</v>
      </c>
      <c r="F118" s="35">
        <v>2007</v>
      </c>
      <c r="G118" s="1" t="str">
        <f>IF(OR('Qualifying Scores'!$B$1-F118&gt;21,'Qualifying Scores'!$B$1-F118&lt;11),"Not Age Eligible",IF('Qualifying Scores'!$B$1-F118&gt;16,"17-21",IF('Qualifying Scores'!$B$1-F118&gt;14,"15-16",IF('Qualifying Scores'!$B$1-F118&gt;12,"13-14",IF('Qualifying Scores'!$B$1-F118&gt;10,"11-12","Not Age Eligible")))))</f>
        <v>15-16</v>
      </c>
      <c r="H118" s="39" t="s">
        <v>66</v>
      </c>
      <c r="I118" s="43"/>
      <c r="J118" s="4">
        <f>R118+S118+IF(OR(H118="Junior",H118="Senior"),0.0002,IF(OR(H118="L7",H118="L6"),0.0001,0))+IF(G118="17-21",MAX(AA118,AC118,AF118),AE118)*0.0000001</f>
        <v>28.530002853000003</v>
      </c>
      <c r="K118" s="3" t="str">
        <f>IF(G118="Not Age Eligible","",IF(G118="17-21",IF(MAX(T118,V118,Y118,AA118,AC118,AF118)&gt;=LOOKUP(G118,'Qualifying Scores'!$A$4:$A$7,'Qualifying Scores'!$C$4:$C$7),"P",""),IF(MAX(X118-U118,AE118-AB118)&gt;=LOOKUP(G118,'Qualifying Scores'!$A$4:$A$7,'Qualifying Scores'!$C$4:$C$7),"P","")))</f>
        <v/>
      </c>
      <c r="L118" s="3" t="str">
        <f>IF(G118="Not Age Eligible","",IF(G118="17-21",IF(MAX(U118,W118,Z118,AB118,AD118,AG118)&gt;=LOOKUP(G118,'Qualifying Scores'!$A$10:$A$13,'Qualifying Scores'!$C$10:$C$13),"P",""),IF(MAX(W118,AD118)&gt;=LOOKUP(G118,'Qualifying Scores'!$A$10:$A$13,'Qualifying Scores'!$C$10:$C$13),"P","")))</f>
        <v/>
      </c>
      <c r="M118" s="3" t="str">
        <f>IF(G118="Not Age Eligible","",IF(G118="17-21",IF(OR(AND(T118&gt;=LOOKUP(G118,'Qualifying Scores'!$A$4:$A$7,'Qualifying Scores'!$C$4:$C$7),U118&gt;=LOOKUP(G118,'Qualifying Scores'!$A$10:$A$13,'Qualifying Scores'!$C$10:$C$13)),AND(V118&gt;=LOOKUP(G118,'Qualifying Scores'!$A$4:$A$7,'Qualifying Scores'!$C$4:$C$7),W118&gt;=LOOKUP(G118,'Qualifying Scores'!$A$10:$A$13,'Qualifying Scores'!$C$10:$C$13)),AND(Y118&gt;=LOOKUP(G118,'Qualifying Scores'!$A$4:$A$7,'Qualifying Scores'!$C$4:$C$7),Z118&gt;=LOOKUP(G118,'Qualifying Scores'!$A$10:$A$13,'Qualifying Scores'!$C$10:$C$13)),AND(AA118&gt;=LOOKUP(G118,'Qualifying Scores'!$A$4:$A$7,'Qualifying Scores'!$C$4:$C$7),AB118&gt;=LOOKUP(G118,'Qualifying Scores'!$A$10:$A$13,'Qualifying Scores'!$C$10:$C$13)),AND(AC118&gt;=LOOKUP(G118,'Qualifying Scores'!$A$4:$A$7,'Qualifying Scores'!$C$4:$C$7),AD118&gt;=LOOKUP(G118,'Qualifying Scores'!$A$10:$A$13,'Qualifying Scores'!$C$10:$C$13)),AND(AF118&gt;=LOOKUP(G118,'Qualifying Scores'!$A$4:$A$7,'Qualifying Scores'!$C$4:$C$7),AG118&gt;=LOOKUP(G118,'Qualifying Scores'!$A$10:$A$13,'Qualifying Scores'!$C$10:$C$13))),"P",""),IF(OR(AND(X118-U118&gt;=LOOKUP(G118,'Qualifying Scores'!$A$4:$A$7,'Qualifying Scores'!$C$4:$C$7),W118&gt;=LOOKUP(G118,'Qualifying Scores'!$A$10:$A$13,'Qualifying Scores'!$C$10:$C$13)),AND(AE118-AB118&gt;=LOOKUP(G118,'Qualifying Scores'!$A$4:$A$7,'Qualifying Scores'!$C$4:$C$7),AD118&gt;=LOOKUP(G118,'Qualifying Scores'!$A$10:$A$13,'Qualifying Scores'!$C$10:$C$13))),"P","")))</f>
        <v/>
      </c>
      <c r="Q118" s="1" t="str">
        <f>IF(A118&lt;5,IF(_xlfn.MAXIFS(A:A,G:G,G118)&gt;3,5-A118,_xlfn.MAXIFS(A:A,G:G,G118)+1-A118),"")</f>
        <v/>
      </c>
      <c r="R118" s="4">
        <f>IF(G118="17-21",MAX(T118,V118,Y118,AA118,AC118,AF118),MAX(X118,AE118))</f>
        <v>28.53</v>
      </c>
      <c r="S118" s="4">
        <f>IF(G118="17-21",LARGE(CHOOSE({1,2,3,4,5,6},T118,V118,Y118,AA118,AC118,AF118),2),IF(R118=X118,MAX(Y118,AA118,AC118,AF118),IF(R118=AE118,MAX(AF118,T118,V118,Y118),0)))</f>
        <v>0</v>
      </c>
      <c r="T118" s="33"/>
      <c r="U118" s="40"/>
      <c r="V118" s="34"/>
      <c r="W118" s="40"/>
      <c r="X118" s="4">
        <f>IF(H118="Senior",MAX(T118,V118),T118+V118)</f>
        <v>0</v>
      </c>
      <c r="Y118" s="34"/>
      <c r="Z118" s="40"/>
      <c r="AA118" s="33">
        <v>19.02</v>
      </c>
      <c r="AB118" s="40">
        <v>0</v>
      </c>
      <c r="AC118" s="34">
        <v>9.51</v>
      </c>
      <c r="AD118" s="40">
        <v>1.9</v>
      </c>
      <c r="AE118" s="4">
        <f>IF(H118="Senior",MAX(AA118,AC118),AA118+AC118)</f>
        <v>28.53</v>
      </c>
      <c r="AF118" s="34"/>
      <c r="AG118" s="37"/>
    </row>
    <row r="119" spans="1:33" x14ac:dyDescent="0.2">
      <c r="A119" s="1" cm="1">
        <f t="array" ref="A119">IF(I119="","",IF(P119&lt;&gt;"",SUMPRODUCT((P$3:P$133&lt;&gt;"")*(G$3:G$133=G119)*(J$3:J$133&gt;J119)*(I$3:I$133="P"))+1,IF(O119&lt;&gt;"",SUMPRODUCT((O$3:O$133&lt;&gt;"")*(P$3:P$133="")*(G$3:G$133=G119)*(J$3:J$133&gt;J119)*(I$3:I$133="P"))+SUMPRODUCT((P$3:P$133&lt;&gt;"")*(G$3:G$133=G119)*(I$3:I$133="P"))+1,IF(N119&lt;&gt;"",SUMPRODUCT((N$3:N$133&lt;&gt;"")*(G$3:G$133=G119)*(J$3:J$133&gt;J119)*(I$3:I$133="P"))+1,IF(M119="P",SUMPRODUCT((O$3:O$133&lt;&gt;"")*(P$3:P$133="")*(G$3:G$133=G119)*(I$3:I$133="P"))+SUMPRODUCT((P$3:P$133&lt;&gt;"")*(G$3:G$133=G119)*(I$3:I$133="P"))+SUMPRODUCT((N$3:N$133&lt;&gt;"")*(G$3:G$133=G119)*(I$3:I$133="P"))+SUMPRODUCT((P$3:P$133="")*(O$3:O$133="")*(N$3:N$133="")*(M$3:M$133="P")*(G$3:G$133=G119)*(J$3:J$133&gt;J119)*(I$3:I$133="P"))+IF(H119="L5",SUMPRODUCT((P$3:P$133="")*(O$3:O$133="")*(N$3:N$133="")*(M$3:M$133="P")*(G$3:G$133=G119)*(J$3:J$133&lt;J119)*(H$3:H$133&lt;&gt;H119)*(I$3:I$133="P")),-1*SUMPRODUCT((P$3:P$133="")*(O$3:O$133="")*(N$3:N$133="")*(M$3:M$133="P")*(G$3:G$133=G119)*(J$3:J$133&gt;J119)*(H$3:H$133="L5")*(I$3:I$133="P")))+1,"")))))</f>
        <v>1</v>
      </c>
      <c r="B119" s="1" cm="1">
        <f t="array" ref="B119">IF(P119&lt;&gt;"",SUMPRODUCT((P$3:P$133&lt;&gt;"")*(G$3:G$133=G119)*(J$3:J$133&gt;J119))+1,IF(O119&lt;&gt;"",SUMPRODUCT((O$3:O$133&lt;&gt;"")*(P$3:P$133="")*(G$3:G$133=G119)*(J$3:J$133&gt;J119))+SUMPRODUCT((P$3:P$133&lt;&gt;"")*(G$3:G$133=G119))+1,IF(N119&lt;&gt;"",SUMPRODUCT((N$3:N$133&lt;&gt;"")*(G$3:G$133=G119)*(J$3:J$133&gt;J119))+1,IF(M119="P",SUMPRODUCT((O$3:O$133&lt;&gt;"")*(P$3:P$133="")*(G$3:G$133=G119))+SUMPRODUCT((P$3:P$133&lt;&gt;"")*(G$3:G$133=G119))+SUMPRODUCT((N$3:N$133&lt;&gt;"")*(G$3:G$133=G119))+SUMPRODUCT((P$3:P$133="")*(O$3:O$133="")*(N$3:N$133="")*(M$3:M$133="P")*(G$3:G$133=G119)*(J$3:J$133&gt;J119))+IF(H119="L5",SUMPRODUCT((P$3:P$133="")*(O$3:O$133="")*(N$3:N$133="")*(M$3:M$133="P")*(G$3:G$133=G119)*(J$3:J$133&lt;J119)*(H$3:H$133&lt;&gt;H119)),-1*SUMPRODUCT((P$3:P$133="")*(O$3:O$133="")*(N$3:N$133="")*(M$3:M$133="P")*(G$3:G$133=G119)*(J$3:J$133&gt;J119)*(H$3:H$133="L5")))+1,""))))</f>
        <v>1</v>
      </c>
      <c r="C119" s="36" t="s">
        <v>118</v>
      </c>
      <c r="D119" s="36" t="str">
        <f>IF(E119="","",VLOOKUP(E119,'Coaching Points'!A:B,2,0))</f>
        <v>BC</v>
      </c>
      <c r="E119" s="36" t="s">
        <v>41</v>
      </c>
      <c r="F119" s="35">
        <v>2009</v>
      </c>
      <c r="G119" s="1" t="str">
        <f>IF(OR('Qualifying Scores'!$B$1-F119&gt;21,'Qualifying Scores'!$B$1-F119&lt;11),"Not Age Eligible",IF('Qualifying Scores'!$B$1-F119&gt;16,"17-21",IF('Qualifying Scores'!$B$1-F119&gt;14,"15-16",IF('Qualifying Scores'!$B$1-F119&gt;12,"13-14",IF('Qualifying Scores'!$B$1-F119&gt;10,"11-12","Not Age Eligible")))))</f>
        <v>13-14</v>
      </c>
      <c r="H119" s="39" t="s">
        <v>65</v>
      </c>
      <c r="I119" s="43" t="s">
        <v>567</v>
      </c>
      <c r="J119" s="4">
        <f>R119+S119+IF(OR(H119="Junior",H119="Senior"),0.0002,IF(OR(H119="L7",H119="L6"),0.0001,0))+IF(G119="17-21",MAX(AA119,AC119,AF119),AE119)*0.0000001</f>
        <v>133.270208704</v>
      </c>
      <c r="K119" s="3" t="str">
        <f>IF(G119="Not Age Eligible","",IF(G119="17-21",IF(MAX(T119,V119,Y119,AA119,AC119,AF119)&gt;=LOOKUP(G119,'Qualifying Scores'!$A$4:$A$7,'Qualifying Scores'!$C$4:$C$7),"P",""),IF(MAX(X119-U119,AE119-AB119)&gt;=LOOKUP(G119,'Qualifying Scores'!$A$4:$A$7,'Qualifying Scores'!$C$4:$C$7),"P","")))</f>
        <v>P</v>
      </c>
      <c r="L119" s="3" t="str">
        <f>IF(G119="Not Age Eligible","",IF(G119="17-21",IF(MAX(U119,W119,Z119,AB119,AD119,AG119)&gt;=LOOKUP(G119,'Qualifying Scores'!$A$10:$A$13,'Qualifying Scores'!$C$10:$C$13),"P",""),IF(MAX(W119,AD119)&gt;=LOOKUP(G119,'Qualifying Scores'!$A$10:$A$13,'Qualifying Scores'!$C$10:$C$13),"P","")))</f>
        <v>P</v>
      </c>
      <c r="M119" s="3" t="str">
        <f>IF(G119="Not Age Eligible","",IF(G119="17-21",IF(OR(AND(T119&gt;=LOOKUP(G119,'Qualifying Scores'!$A$4:$A$7,'Qualifying Scores'!$C$4:$C$7),U119&gt;=LOOKUP(G119,'Qualifying Scores'!$A$10:$A$13,'Qualifying Scores'!$C$10:$C$13)),AND(V119&gt;=LOOKUP(G119,'Qualifying Scores'!$A$4:$A$7,'Qualifying Scores'!$C$4:$C$7),W119&gt;=LOOKUP(G119,'Qualifying Scores'!$A$10:$A$13,'Qualifying Scores'!$C$10:$C$13)),AND(Y119&gt;=LOOKUP(G119,'Qualifying Scores'!$A$4:$A$7,'Qualifying Scores'!$C$4:$C$7),Z119&gt;=LOOKUP(G119,'Qualifying Scores'!$A$10:$A$13,'Qualifying Scores'!$C$10:$C$13)),AND(AA119&gt;=LOOKUP(G119,'Qualifying Scores'!$A$4:$A$7,'Qualifying Scores'!$C$4:$C$7),AB119&gt;=LOOKUP(G119,'Qualifying Scores'!$A$10:$A$13,'Qualifying Scores'!$C$10:$C$13)),AND(AC119&gt;=LOOKUP(G119,'Qualifying Scores'!$A$4:$A$7,'Qualifying Scores'!$C$4:$C$7),AD119&gt;=LOOKUP(G119,'Qualifying Scores'!$A$10:$A$13,'Qualifying Scores'!$C$10:$C$13)),AND(AF119&gt;=LOOKUP(G119,'Qualifying Scores'!$A$4:$A$7,'Qualifying Scores'!$C$4:$C$7),AG119&gt;=LOOKUP(G119,'Qualifying Scores'!$A$10:$A$13,'Qualifying Scores'!$C$10:$C$13))),"P",""),IF(OR(AND(X119-U119&gt;=LOOKUP(G119,'Qualifying Scores'!$A$4:$A$7,'Qualifying Scores'!$C$4:$C$7),W119&gt;=LOOKUP(G119,'Qualifying Scores'!$A$10:$A$13,'Qualifying Scores'!$C$10:$C$13)),AND(AE119-AB119&gt;=LOOKUP(G119,'Qualifying Scores'!$A$4:$A$7,'Qualifying Scores'!$C$4:$C$7),AD119&gt;=LOOKUP(G119,'Qualifying Scores'!$A$10:$A$13,'Qualifying Scores'!$C$10:$C$13))),"P","")))</f>
        <v>P</v>
      </c>
      <c r="Q119" s="1">
        <f>IF(A119&lt;5,IF(_xlfn.MAXIFS(A:A,G:G,G119)&gt;3,5-A119,_xlfn.MAXIFS(A:A,G:G,G119)+1-A119),"")</f>
        <v>1</v>
      </c>
      <c r="R119" s="4">
        <f>IF(G119="17-21",MAX(T119,V119,Y119,AA119,AC119,AF119),MAX(X119,AE119))</f>
        <v>87.039999999999992</v>
      </c>
      <c r="S119" s="4">
        <f>IF(G119="17-21",LARGE(CHOOSE({1,2,3,4,5,6},T119,V119,Y119,AA119,AC119,AF119),2),IF(R119=X119,MAX(Y119,AA119,AC119,AF119),IF(R119=AE119,MAX(AF119,T119,V119,Y119),0)))</f>
        <v>46.23</v>
      </c>
      <c r="T119" s="33">
        <v>40.17</v>
      </c>
      <c r="U119" s="40">
        <v>0</v>
      </c>
      <c r="V119" s="34">
        <v>5.58</v>
      </c>
      <c r="W119" s="40">
        <v>1.5</v>
      </c>
      <c r="X119" s="4">
        <f>IF(H119="Senior",MAX(T119,V119),T119+V119)</f>
        <v>45.75</v>
      </c>
      <c r="Y119" s="34" t="s">
        <v>308</v>
      </c>
      <c r="Z119" s="40" t="s">
        <v>308</v>
      </c>
      <c r="AA119" s="33">
        <v>39.58</v>
      </c>
      <c r="AB119" s="40">
        <v>0</v>
      </c>
      <c r="AC119" s="34">
        <v>47.46</v>
      </c>
      <c r="AD119" s="40">
        <v>11</v>
      </c>
      <c r="AE119" s="4">
        <f>IF(H119="Senior",MAX(AA119,AC119),AA119+AC119)</f>
        <v>87.039999999999992</v>
      </c>
      <c r="AF119" s="34">
        <v>46.23</v>
      </c>
      <c r="AG119" s="37">
        <v>10.9</v>
      </c>
    </row>
    <row r="120" spans="1:33" x14ac:dyDescent="0.2">
      <c r="A120" s="1" t="str" cm="1">
        <f t="array" ref="A120">IF(I120="","",IF(P120&lt;&gt;"",SUMPRODUCT((P$3:P$133&lt;&gt;"")*(G$3:G$133=G120)*(J$3:J$133&gt;J120)*(I$3:I$133="P"))+1,IF(O120&lt;&gt;"",SUMPRODUCT((O$3:O$133&lt;&gt;"")*(P$3:P$133="")*(G$3:G$133=G120)*(J$3:J$133&gt;J120)*(I$3:I$133="P"))+SUMPRODUCT((P$3:P$133&lt;&gt;"")*(G$3:G$133=G120)*(I$3:I$133="P"))+1,IF(N120&lt;&gt;"",SUMPRODUCT((N$3:N$133&lt;&gt;"")*(G$3:G$133=G120)*(J$3:J$133&gt;J120)*(I$3:I$133="P"))+1,IF(M120="P",SUMPRODUCT((O$3:O$133&lt;&gt;"")*(P$3:P$133="")*(G$3:G$133=G120)*(I$3:I$133="P"))+SUMPRODUCT((P$3:P$133&lt;&gt;"")*(G$3:G$133=G120)*(I$3:I$133="P"))+SUMPRODUCT((N$3:N$133&lt;&gt;"")*(G$3:G$133=G120)*(I$3:I$133="P"))+SUMPRODUCT((P$3:P$133="")*(O$3:O$133="")*(N$3:N$133="")*(M$3:M$133="P")*(G$3:G$133=G120)*(J$3:J$133&gt;J120)*(I$3:I$133="P"))+IF(H120="L5",SUMPRODUCT((P$3:P$133="")*(O$3:O$133="")*(N$3:N$133="")*(M$3:M$133="P")*(G$3:G$133=G120)*(J$3:J$133&lt;J120)*(H$3:H$133&lt;&gt;H120)*(I$3:I$133="P")),-1*SUMPRODUCT((P$3:P$133="")*(O$3:O$133="")*(N$3:N$133="")*(M$3:M$133="P")*(G$3:G$133=G120)*(J$3:J$133&gt;J120)*(H$3:H$133="L5")*(I$3:I$133="P")))+1,"")))))</f>
        <v/>
      </c>
      <c r="B120" s="1" t="str" cm="1">
        <f t="array" ref="B120">IF(P120&lt;&gt;"",SUMPRODUCT((P$3:P$133&lt;&gt;"")*(G$3:G$133=G120)*(J$3:J$133&gt;J120))+1,IF(O120&lt;&gt;"",SUMPRODUCT((O$3:O$133&lt;&gt;"")*(P$3:P$133="")*(G$3:G$133=G120)*(J$3:J$133&gt;J120))+SUMPRODUCT((P$3:P$133&lt;&gt;"")*(G$3:G$133=G120))+1,IF(N120&lt;&gt;"",SUMPRODUCT((N$3:N$133&lt;&gt;"")*(G$3:G$133=G120)*(J$3:J$133&gt;J120))+1,IF(M120="P",SUMPRODUCT((O$3:O$133&lt;&gt;"")*(P$3:P$133="")*(G$3:G$133=G120))+SUMPRODUCT((P$3:P$133&lt;&gt;"")*(G$3:G$133=G120))+SUMPRODUCT((N$3:N$133&lt;&gt;"")*(G$3:G$133=G120))+SUMPRODUCT((P$3:P$133="")*(O$3:O$133="")*(N$3:N$133="")*(M$3:M$133="P")*(G$3:G$133=G120)*(J$3:J$133&gt;J120))+IF(H120="L5",SUMPRODUCT((P$3:P$133="")*(O$3:O$133="")*(N$3:N$133="")*(M$3:M$133="P")*(G$3:G$133=G120)*(J$3:J$133&lt;J120)*(H$3:H$133&lt;&gt;H120)),-1*SUMPRODUCT((P$3:P$133="")*(O$3:O$133="")*(N$3:N$133="")*(M$3:M$133="P")*(G$3:G$133=G120)*(J$3:J$133&gt;J120)*(H$3:H$133="L5")))+1,""))))</f>
        <v/>
      </c>
      <c r="C120" s="36" t="s">
        <v>238</v>
      </c>
      <c r="D120" s="36" t="str">
        <f>IF(E120="","",VLOOKUP(E120,'Coaching Points'!A:B,2,0))</f>
        <v>QC</v>
      </c>
      <c r="E120" s="36" t="s">
        <v>96</v>
      </c>
      <c r="F120" s="35">
        <v>2009</v>
      </c>
      <c r="G120" s="1" t="str">
        <f>IF(OR('Qualifying Scores'!$B$1-F120&gt;21,'Qualifying Scores'!$B$1-F120&lt;11),"Not Age Eligible",IF('Qualifying Scores'!$B$1-F120&gt;16,"17-21",IF('Qualifying Scores'!$B$1-F120&gt;14,"15-16",IF('Qualifying Scores'!$B$1-F120&gt;12,"13-14",IF('Qualifying Scores'!$B$1-F120&gt;10,"11-12","Not Age Eligible")))))</f>
        <v>13-14</v>
      </c>
      <c r="H120" s="39" t="s">
        <v>65</v>
      </c>
      <c r="I120" s="43" t="s">
        <v>567</v>
      </c>
      <c r="J120" s="4">
        <f>R120+S120+IF(OR(H120="Junior",H120="Senior"),0.0002,IF(OR(H120="L7",H120="L6"),0.0001,0))+IF(G120="17-21",MAX(AA120,AC120,AF120),AE120)*0.0000001</f>
        <v>135.43020834000001</v>
      </c>
      <c r="K120" s="3" t="str">
        <f>IF(G120="Not Age Eligible","",IF(G120="17-21",IF(MAX(T120,V120,Y120,AA120,AC120,AF120)&gt;=LOOKUP(G120,'Qualifying Scores'!$A$4:$A$7,'Qualifying Scores'!$C$4:$C$7),"P",""),IF(MAX(X120-U120,AE120-AB120)&gt;=LOOKUP(G120,'Qualifying Scores'!$A$4:$A$7,'Qualifying Scores'!$C$4:$C$7),"P","")))</f>
        <v/>
      </c>
      <c r="L120" s="3" t="str">
        <f>IF(G120="Not Age Eligible","",IF(G120="17-21",IF(MAX(U120,W120,Z120,AB120,AD120,AG120)&gt;=LOOKUP(G120,'Qualifying Scores'!$A$10:$A$13,'Qualifying Scores'!$C$10:$C$13),"P",""),IF(MAX(W120,AD120)&gt;=LOOKUP(G120,'Qualifying Scores'!$A$10:$A$13,'Qualifying Scores'!$C$10:$C$13),"P","")))</f>
        <v>P</v>
      </c>
      <c r="M120" s="3" t="str">
        <f>IF(G120="Not Age Eligible","",IF(G120="17-21",IF(OR(AND(T120&gt;=LOOKUP(G120,'Qualifying Scores'!$A$4:$A$7,'Qualifying Scores'!$C$4:$C$7),U120&gt;=LOOKUP(G120,'Qualifying Scores'!$A$10:$A$13,'Qualifying Scores'!$C$10:$C$13)),AND(V120&gt;=LOOKUP(G120,'Qualifying Scores'!$A$4:$A$7,'Qualifying Scores'!$C$4:$C$7),W120&gt;=LOOKUP(G120,'Qualifying Scores'!$A$10:$A$13,'Qualifying Scores'!$C$10:$C$13)),AND(Y120&gt;=LOOKUP(G120,'Qualifying Scores'!$A$4:$A$7,'Qualifying Scores'!$C$4:$C$7),Z120&gt;=LOOKUP(G120,'Qualifying Scores'!$A$10:$A$13,'Qualifying Scores'!$C$10:$C$13)),AND(AA120&gt;=LOOKUP(G120,'Qualifying Scores'!$A$4:$A$7,'Qualifying Scores'!$C$4:$C$7),AB120&gt;=LOOKUP(G120,'Qualifying Scores'!$A$10:$A$13,'Qualifying Scores'!$C$10:$C$13)),AND(AC120&gt;=LOOKUP(G120,'Qualifying Scores'!$A$4:$A$7,'Qualifying Scores'!$C$4:$C$7),AD120&gt;=LOOKUP(G120,'Qualifying Scores'!$A$10:$A$13,'Qualifying Scores'!$C$10:$C$13)),AND(AF120&gt;=LOOKUP(G120,'Qualifying Scores'!$A$4:$A$7,'Qualifying Scores'!$C$4:$C$7),AG120&gt;=LOOKUP(G120,'Qualifying Scores'!$A$10:$A$13,'Qualifying Scores'!$C$10:$C$13))),"P",""),IF(OR(AND(X120-U120&gt;=LOOKUP(G120,'Qualifying Scores'!$A$4:$A$7,'Qualifying Scores'!$C$4:$C$7),W120&gt;=LOOKUP(G120,'Qualifying Scores'!$A$10:$A$13,'Qualifying Scores'!$C$10:$C$13)),AND(AE120-AB120&gt;=LOOKUP(G120,'Qualifying Scores'!$A$4:$A$7,'Qualifying Scores'!$C$4:$C$7),AD120&gt;=LOOKUP(G120,'Qualifying Scores'!$A$10:$A$13,'Qualifying Scores'!$C$10:$C$13))),"P","")))</f>
        <v/>
      </c>
      <c r="Q120" s="1" t="str">
        <f>IF(A120&lt;5,IF(_xlfn.MAXIFS(A:A,G:G,G120)&gt;3,5-A120,_xlfn.MAXIFS(A:A,G:G,G120)+1-A120),"")</f>
        <v/>
      </c>
      <c r="R120" s="4">
        <f>IF(G120="17-21",MAX(T120,V120,Y120,AA120,AC120,AF120),MAX(X120,AE120))</f>
        <v>86.92</v>
      </c>
      <c r="S120" s="4">
        <f>IF(G120="17-21",LARGE(CHOOSE({1,2,3,4,5,6},T120,V120,Y120,AA120,AC120,AF120),2),IF(R120=X120,MAX(Y120,AA120,AC120,AF120),IF(R120=AE120,MAX(AF120,T120,V120,Y120),0)))</f>
        <v>48.51</v>
      </c>
      <c r="T120" s="33">
        <v>40.090000000000003</v>
      </c>
      <c r="U120" s="40">
        <v>0</v>
      </c>
      <c r="V120" s="34">
        <v>46.83</v>
      </c>
      <c r="W120" s="40">
        <v>9.6</v>
      </c>
      <c r="X120" s="4">
        <f>IF(H120="Senior",MAX(T120,V120),T120+V120)</f>
        <v>86.92</v>
      </c>
      <c r="Y120" s="34">
        <v>10.06</v>
      </c>
      <c r="Z120" s="40">
        <v>2.2999999999999998</v>
      </c>
      <c r="AA120" s="33">
        <v>40.090000000000003</v>
      </c>
      <c r="AB120" s="40">
        <v>0</v>
      </c>
      <c r="AC120" s="34">
        <v>43.31</v>
      </c>
      <c r="AD120" s="40">
        <v>8.3000000000000007</v>
      </c>
      <c r="AE120" s="4">
        <f>IF(H120="Senior",MAX(AA120,AC120),AA120+AC120)</f>
        <v>83.4</v>
      </c>
      <c r="AF120" s="34">
        <v>48.51</v>
      </c>
      <c r="AG120" s="37">
        <v>9.6999999999999993</v>
      </c>
    </row>
    <row r="121" spans="1:33" x14ac:dyDescent="0.2">
      <c r="A121" s="1" t="str" cm="1">
        <f t="array" ref="A121">IF(I121="","",IF(P121&lt;&gt;"",SUMPRODUCT((P$3:P$133&lt;&gt;"")*(G$3:G$133=G121)*(J$3:J$133&gt;J121)*(I$3:I$133="P"))+1,IF(O121&lt;&gt;"",SUMPRODUCT((O$3:O$133&lt;&gt;"")*(P$3:P$133="")*(G$3:G$133=G121)*(J$3:J$133&gt;J121)*(I$3:I$133="P"))+SUMPRODUCT((P$3:P$133&lt;&gt;"")*(G$3:G$133=G121)*(I$3:I$133="P"))+1,IF(N121&lt;&gt;"",SUMPRODUCT((N$3:N$133&lt;&gt;"")*(G$3:G$133=G121)*(J$3:J$133&gt;J121)*(I$3:I$133="P"))+1,IF(M121="P",SUMPRODUCT((O$3:O$133&lt;&gt;"")*(P$3:P$133="")*(G$3:G$133=G121)*(I$3:I$133="P"))+SUMPRODUCT((P$3:P$133&lt;&gt;"")*(G$3:G$133=G121)*(I$3:I$133="P"))+SUMPRODUCT((N$3:N$133&lt;&gt;"")*(G$3:G$133=G121)*(I$3:I$133="P"))+SUMPRODUCT((P$3:P$133="")*(O$3:O$133="")*(N$3:N$133="")*(M$3:M$133="P")*(G$3:G$133=G121)*(J$3:J$133&gt;J121)*(I$3:I$133="P"))+IF(H121="L5",SUMPRODUCT((P$3:P$133="")*(O$3:O$133="")*(N$3:N$133="")*(M$3:M$133="P")*(G$3:G$133=G121)*(J$3:J$133&lt;J121)*(H$3:H$133&lt;&gt;H121)*(I$3:I$133="P")),-1*SUMPRODUCT((P$3:P$133="")*(O$3:O$133="")*(N$3:N$133="")*(M$3:M$133="P")*(G$3:G$133=G121)*(J$3:J$133&gt;J121)*(H$3:H$133="L5")*(I$3:I$133="P")))+1,"")))))</f>
        <v/>
      </c>
      <c r="B121" s="1" t="str" cm="1">
        <f t="array" ref="B121">IF(P121&lt;&gt;"",SUMPRODUCT((P$3:P$133&lt;&gt;"")*(G$3:G$133=G121)*(J$3:J$133&gt;J121))+1,IF(O121&lt;&gt;"",SUMPRODUCT((O$3:O$133&lt;&gt;"")*(P$3:P$133="")*(G$3:G$133=G121)*(J$3:J$133&gt;J121))+SUMPRODUCT((P$3:P$133&lt;&gt;"")*(G$3:G$133=G121))+1,IF(N121&lt;&gt;"",SUMPRODUCT((N$3:N$133&lt;&gt;"")*(G$3:G$133=G121)*(J$3:J$133&gt;J121))+1,IF(M121="P",SUMPRODUCT((O$3:O$133&lt;&gt;"")*(P$3:P$133="")*(G$3:G$133=G121))+SUMPRODUCT((P$3:P$133&lt;&gt;"")*(G$3:G$133=G121))+SUMPRODUCT((N$3:N$133&lt;&gt;"")*(G$3:G$133=G121))+SUMPRODUCT((P$3:P$133="")*(O$3:O$133="")*(N$3:N$133="")*(M$3:M$133="P")*(G$3:G$133=G121)*(J$3:J$133&gt;J121))+IF(H121="L5",SUMPRODUCT((P$3:P$133="")*(O$3:O$133="")*(N$3:N$133="")*(M$3:M$133="P")*(G$3:G$133=G121)*(J$3:J$133&lt;J121)*(H$3:H$133&lt;&gt;H121)),-1*SUMPRODUCT((P$3:P$133="")*(O$3:O$133="")*(N$3:N$133="")*(M$3:M$133="P")*(G$3:G$133=G121)*(J$3:J$133&gt;J121)*(H$3:H$133="L5")))+1,""))))</f>
        <v/>
      </c>
      <c r="C121" s="36" t="s">
        <v>148</v>
      </c>
      <c r="D121" s="36" t="str">
        <f>IF(E121="","",VLOOKUP(E121,'Coaching Points'!A:B,2,0))</f>
        <v>BC</v>
      </c>
      <c r="E121" s="36" t="s">
        <v>41</v>
      </c>
      <c r="F121" s="35">
        <v>2009</v>
      </c>
      <c r="G121" s="1" t="str">
        <f>IF(OR('Qualifying Scores'!$B$1-F121&gt;21,'Qualifying Scores'!$B$1-F121&lt;11),"Not Age Eligible",IF('Qualifying Scores'!$B$1-F121&gt;16,"17-21",IF('Qualifying Scores'!$B$1-F121&gt;14,"15-16",IF('Qualifying Scores'!$B$1-F121&gt;12,"13-14",IF('Qualifying Scores'!$B$1-F121&gt;10,"11-12","Not Age Eligible")))))</f>
        <v>13-14</v>
      </c>
      <c r="H121" s="39" t="s">
        <v>65</v>
      </c>
      <c r="I121" s="43" t="s">
        <v>567</v>
      </c>
      <c r="J121" s="4">
        <f>R121+S121+IF(OR(H121="Junior",H121="Senior"),0.0002,IF(OR(H121="L7",H121="L6"),0.0001,0))+IF(G121="17-21",MAX(AA121,AC121,AF121),AE121)*0.0000001</f>
        <v>130.58020801800001</v>
      </c>
      <c r="K121" s="3" t="str">
        <f>IF(G121="Not Age Eligible","",IF(G121="17-21",IF(MAX(T121,V121,Y121,AA121,AC121,AF121)&gt;=LOOKUP(G121,'Qualifying Scores'!$A$4:$A$7,'Qualifying Scores'!$C$4:$C$7),"P",""),IF(MAX(X121-U121,AE121-AB121)&gt;=LOOKUP(G121,'Qualifying Scores'!$A$4:$A$7,'Qualifying Scores'!$C$4:$C$7),"P","")))</f>
        <v/>
      </c>
      <c r="L121" s="3" t="str">
        <f>IF(G121="Not Age Eligible","",IF(G121="17-21",IF(MAX(U121,W121,Z121,AB121,AD121,AG121)&gt;=LOOKUP(G121,'Qualifying Scores'!$A$10:$A$13,'Qualifying Scores'!$C$10:$C$13),"P",""),IF(MAX(W121,AD121)&gt;=LOOKUP(G121,'Qualifying Scores'!$A$10:$A$13,'Qualifying Scores'!$C$10:$C$13),"P","")))</f>
        <v>P</v>
      </c>
      <c r="M121" s="3" t="str">
        <f>IF(G121="Not Age Eligible","",IF(G121="17-21",IF(OR(AND(T121&gt;=LOOKUP(G121,'Qualifying Scores'!$A$4:$A$7,'Qualifying Scores'!$C$4:$C$7),U121&gt;=LOOKUP(G121,'Qualifying Scores'!$A$10:$A$13,'Qualifying Scores'!$C$10:$C$13)),AND(V121&gt;=LOOKUP(G121,'Qualifying Scores'!$A$4:$A$7,'Qualifying Scores'!$C$4:$C$7),W121&gt;=LOOKUP(G121,'Qualifying Scores'!$A$10:$A$13,'Qualifying Scores'!$C$10:$C$13)),AND(Y121&gt;=LOOKUP(G121,'Qualifying Scores'!$A$4:$A$7,'Qualifying Scores'!$C$4:$C$7),Z121&gt;=LOOKUP(G121,'Qualifying Scores'!$A$10:$A$13,'Qualifying Scores'!$C$10:$C$13)),AND(AA121&gt;=LOOKUP(G121,'Qualifying Scores'!$A$4:$A$7,'Qualifying Scores'!$C$4:$C$7),AB121&gt;=LOOKUP(G121,'Qualifying Scores'!$A$10:$A$13,'Qualifying Scores'!$C$10:$C$13)),AND(AC121&gt;=LOOKUP(G121,'Qualifying Scores'!$A$4:$A$7,'Qualifying Scores'!$C$4:$C$7),AD121&gt;=LOOKUP(G121,'Qualifying Scores'!$A$10:$A$13,'Qualifying Scores'!$C$10:$C$13)),AND(AF121&gt;=LOOKUP(G121,'Qualifying Scores'!$A$4:$A$7,'Qualifying Scores'!$C$4:$C$7),AG121&gt;=LOOKUP(G121,'Qualifying Scores'!$A$10:$A$13,'Qualifying Scores'!$C$10:$C$13))),"P",""),IF(OR(AND(X121-U121&gt;=LOOKUP(G121,'Qualifying Scores'!$A$4:$A$7,'Qualifying Scores'!$C$4:$C$7),W121&gt;=LOOKUP(G121,'Qualifying Scores'!$A$10:$A$13,'Qualifying Scores'!$C$10:$C$13)),AND(AE121-AB121&gt;=LOOKUP(G121,'Qualifying Scores'!$A$4:$A$7,'Qualifying Scores'!$C$4:$C$7),AD121&gt;=LOOKUP(G121,'Qualifying Scores'!$A$10:$A$13,'Qualifying Scores'!$C$10:$C$13))),"P","")))</f>
        <v/>
      </c>
      <c r="Q121" s="1" t="str">
        <f>IF(A121&lt;5,IF(_xlfn.MAXIFS(A:A,G:G,G121)&gt;3,5-A121,_xlfn.MAXIFS(A:A,G:G,G121)+1-A121),"")</f>
        <v/>
      </c>
      <c r="R121" s="4">
        <f>IF(G121="17-21",MAX(T121,V121,Y121,AA121,AC121,AF121),MAX(X121,AE121))</f>
        <v>83.81</v>
      </c>
      <c r="S121" s="4">
        <f>IF(G121="17-21",LARGE(CHOOSE({1,2,3,4,5,6},T121,V121,Y121,AA121,AC121,AF121),2),IF(R121=X121,MAX(Y121,AA121,AC121,AF121),IF(R121=AE121,MAX(AF121,T121,V121,Y121),0)))</f>
        <v>46.77</v>
      </c>
      <c r="T121" s="33">
        <v>39.47</v>
      </c>
      <c r="U121" s="40">
        <v>0</v>
      </c>
      <c r="V121" s="34">
        <v>44.34</v>
      </c>
      <c r="W121" s="40">
        <v>10</v>
      </c>
      <c r="X121" s="4">
        <f>IF(H121="Senior",MAX(T121,V121),T121+V121)</f>
        <v>83.81</v>
      </c>
      <c r="Y121" s="34"/>
      <c r="Z121" s="40"/>
      <c r="AA121" s="33">
        <v>40.54</v>
      </c>
      <c r="AB121" s="40">
        <v>0</v>
      </c>
      <c r="AC121" s="34">
        <v>39.64</v>
      </c>
      <c r="AD121" s="40">
        <v>9.6</v>
      </c>
      <c r="AE121" s="4">
        <f>IF(H121="Senior",MAX(AA121,AC121),AA121+AC121)</f>
        <v>80.180000000000007</v>
      </c>
      <c r="AF121" s="34">
        <v>46.77</v>
      </c>
      <c r="AG121" s="37">
        <v>10.9</v>
      </c>
    </row>
    <row r="122" spans="1:33" x14ac:dyDescent="0.2">
      <c r="A122" s="1" t="str" cm="1">
        <f t="array" ref="A122">IF(I122="","",IF(P122&lt;&gt;"",SUMPRODUCT((P$3:P$133&lt;&gt;"")*(G$3:G$133=G122)*(J$3:J$133&gt;J122)*(I$3:I$133="P"))+1,IF(O122&lt;&gt;"",SUMPRODUCT((O$3:O$133&lt;&gt;"")*(P$3:P$133="")*(G$3:G$133=G122)*(J$3:J$133&gt;J122)*(I$3:I$133="P"))+SUMPRODUCT((P$3:P$133&lt;&gt;"")*(G$3:G$133=G122)*(I$3:I$133="P"))+1,IF(N122&lt;&gt;"",SUMPRODUCT((N$3:N$133&lt;&gt;"")*(G$3:G$133=G122)*(J$3:J$133&gt;J122)*(I$3:I$133="P"))+1,IF(M122="P",SUMPRODUCT((O$3:O$133&lt;&gt;"")*(P$3:P$133="")*(G$3:G$133=G122)*(I$3:I$133="P"))+SUMPRODUCT((P$3:P$133&lt;&gt;"")*(G$3:G$133=G122)*(I$3:I$133="P"))+SUMPRODUCT((N$3:N$133&lt;&gt;"")*(G$3:G$133=G122)*(I$3:I$133="P"))+SUMPRODUCT((P$3:P$133="")*(O$3:O$133="")*(N$3:N$133="")*(M$3:M$133="P")*(G$3:G$133=G122)*(J$3:J$133&gt;J122)*(I$3:I$133="P"))+IF(H122="L5",SUMPRODUCT((P$3:P$133="")*(O$3:O$133="")*(N$3:N$133="")*(M$3:M$133="P")*(G$3:G$133=G122)*(J$3:J$133&lt;J122)*(H$3:H$133&lt;&gt;H122)*(I$3:I$133="P")),-1*SUMPRODUCT((P$3:P$133="")*(O$3:O$133="")*(N$3:N$133="")*(M$3:M$133="P")*(G$3:G$133=G122)*(J$3:J$133&gt;J122)*(H$3:H$133="L5")*(I$3:I$133="P")))+1,"")))))</f>
        <v/>
      </c>
      <c r="B122" s="1" t="str" cm="1">
        <f t="array" ref="B122">IF(P122&lt;&gt;"",SUMPRODUCT((P$3:P$133&lt;&gt;"")*(G$3:G$133=G122)*(J$3:J$133&gt;J122))+1,IF(O122&lt;&gt;"",SUMPRODUCT((O$3:O$133&lt;&gt;"")*(P$3:P$133="")*(G$3:G$133=G122)*(J$3:J$133&gt;J122))+SUMPRODUCT((P$3:P$133&lt;&gt;"")*(G$3:G$133=G122))+1,IF(N122&lt;&gt;"",SUMPRODUCT((N$3:N$133&lt;&gt;"")*(G$3:G$133=G122)*(J$3:J$133&gt;J122))+1,IF(M122="P",SUMPRODUCT((O$3:O$133&lt;&gt;"")*(P$3:P$133="")*(G$3:G$133=G122))+SUMPRODUCT((P$3:P$133&lt;&gt;"")*(G$3:G$133=G122))+SUMPRODUCT((N$3:N$133&lt;&gt;"")*(G$3:G$133=G122))+SUMPRODUCT((P$3:P$133="")*(O$3:O$133="")*(N$3:N$133="")*(M$3:M$133="P")*(G$3:G$133=G122)*(J$3:J$133&gt;J122))+IF(H122="L5",SUMPRODUCT((P$3:P$133="")*(O$3:O$133="")*(N$3:N$133="")*(M$3:M$133="P")*(G$3:G$133=G122)*(J$3:J$133&lt;J122)*(H$3:H$133&lt;&gt;H122)),-1*SUMPRODUCT((P$3:P$133="")*(O$3:O$133="")*(N$3:N$133="")*(M$3:M$133="P")*(G$3:G$133=G122)*(J$3:J$133&gt;J122)*(H$3:H$133="L5")))+1,""))))</f>
        <v/>
      </c>
      <c r="C122" s="36" t="s">
        <v>477</v>
      </c>
      <c r="D122" s="36" t="str">
        <f>IF(E122="","",VLOOKUP(E122,'Coaching Points'!A:B,2,0))</f>
        <v>ON</v>
      </c>
      <c r="E122" s="36" t="s">
        <v>113</v>
      </c>
      <c r="F122" s="35">
        <v>2010</v>
      </c>
      <c r="G122" s="1" t="str">
        <f>IF(OR('Qualifying Scores'!$B$1-F122&gt;21,'Qualifying Scores'!$B$1-F122&lt;11),"Not Age Eligible",IF('Qualifying Scores'!$B$1-F122&gt;16,"17-21",IF('Qualifying Scores'!$B$1-F122&gt;14,"15-16",IF('Qualifying Scores'!$B$1-F122&gt;12,"13-14",IF('Qualifying Scores'!$B$1-F122&gt;10,"11-12","Not Age Eligible")))))</f>
        <v>13-14</v>
      </c>
      <c r="H122" s="39" t="s">
        <v>66</v>
      </c>
      <c r="I122" s="43"/>
      <c r="J122" s="4">
        <f>R122+S122+IF(OR(H122="Junior",H122="Senior"),0.0002,IF(OR(H122="L7",H122="L6"),0.0001,0))+IF(G122="17-21",MAX(AA122,AC122,AF122),AE122)*0.0000001</f>
        <v>130.04000840199998</v>
      </c>
      <c r="K122" s="3" t="str">
        <f>IF(G122="Not Age Eligible","",IF(G122="17-21",IF(MAX(T122,V122,Y122,AA122,AC122,AF122)&gt;=LOOKUP(G122,'Qualifying Scores'!$A$4:$A$7,'Qualifying Scores'!$C$4:$C$7),"P",""),IF(MAX(X122-U122,AE122-AB122)&gt;=LOOKUP(G122,'Qualifying Scores'!$A$4:$A$7,'Qualifying Scores'!$C$4:$C$7),"P","")))</f>
        <v/>
      </c>
      <c r="L122" s="3" t="str">
        <f>IF(G122="Not Age Eligible","",IF(G122="17-21",IF(MAX(U122,W122,Z122,AB122,AD122,AG122)&gt;=LOOKUP(G122,'Qualifying Scores'!$A$10:$A$13,'Qualifying Scores'!$C$10:$C$13),"P",""),IF(MAX(W122,AD122)&gt;=LOOKUP(G122,'Qualifying Scores'!$A$10:$A$13,'Qualifying Scores'!$C$10:$C$13),"P","")))</f>
        <v>P</v>
      </c>
      <c r="M122" s="3" t="str">
        <f>IF(G122="Not Age Eligible","",IF(G122="17-21",IF(OR(AND(T122&gt;=LOOKUP(G122,'Qualifying Scores'!$A$4:$A$7,'Qualifying Scores'!$C$4:$C$7),U122&gt;=LOOKUP(G122,'Qualifying Scores'!$A$10:$A$13,'Qualifying Scores'!$C$10:$C$13)),AND(V122&gt;=LOOKUP(G122,'Qualifying Scores'!$A$4:$A$7,'Qualifying Scores'!$C$4:$C$7),W122&gt;=LOOKUP(G122,'Qualifying Scores'!$A$10:$A$13,'Qualifying Scores'!$C$10:$C$13)),AND(Y122&gt;=LOOKUP(G122,'Qualifying Scores'!$A$4:$A$7,'Qualifying Scores'!$C$4:$C$7),Z122&gt;=LOOKUP(G122,'Qualifying Scores'!$A$10:$A$13,'Qualifying Scores'!$C$10:$C$13)),AND(AA122&gt;=LOOKUP(G122,'Qualifying Scores'!$A$4:$A$7,'Qualifying Scores'!$C$4:$C$7),AB122&gt;=LOOKUP(G122,'Qualifying Scores'!$A$10:$A$13,'Qualifying Scores'!$C$10:$C$13)),AND(AC122&gt;=LOOKUP(G122,'Qualifying Scores'!$A$4:$A$7,'Qualifying Scores'!$C$4:$C$7),AD122&gt;=LOOKUP(G122,'Qualifying Scores'!$A$10:$A$13,'Qualifying Scores'!$C$10:$C$13)),AND(AF122&gt;=LOOKUP(G122,'Qualifying Scores'!$A$4:$A$7,'Qualifying Scores'!$C$4:$C$7),AG122&gt;=LOOKUP(G122,'Qualifying Scores'!$A$10:$A$13,'Qualifying Scores'!$C$10:$C$13))),"P",""),IF(OR(AND(X122-U122&gt;=LOOKUP(G122,'Qualifying Scores'!$A$4:$A$7,'Qualifying Scores'!$C$4:$C$7),W122&gt;=LOOKUP(G122,'Qualifying Scores'!$A$10:$A$13,'Qualifying Scores'!$C$10:$C$13)),AND(AE122-AB122&gt;=LOOKUP(G122,'Qualifying Scores'!$A$4:$A$7,'Qualifying Scores'!$C$4:$C$7),AD122&gt;=LOOKUP(G122,'Qualifying Scores'!$A$10:$A$13,'Qualifying Scores'!$C$10:$C$13))),"P","")))</f>
        <v/>
      </c>
      <c r="Q122" s="1" t="str">
        <f>IF(A122&lt;5,IF(_xlfn.MAXIFS(A:A,G:G,G122)&gt;3,5-A122,_xlfn.MAXIFS(A:A,G:G,G122)+1-A122),"")</f>
        <v/>
      </c>
      <c r="R122" s="4">
        <f>IF(G122="17-21",MAX(T122,V122,Y122,AA122,AC122,AF122),MAX(X122,AE122))</f>
        <v>84.02</v>
      </c>
      <c r="S122" s="4">
        <f>IF(G122="17-21",LARGE(CHOOSE({1,2,3,4,5,6},T122,V122,Y122,AA122,AC122,AF122),2),IF(R122=X122,MAX(Y122,AA122,AC122,AF122),IF(R122=AE122,MAX(AF122,T122,V122,Y122),0)))</f>
        <v>46.02</v>
      </c>
      <c r="T122" s="33"/>
      <c r="U122" s="40"/>
      <c r="V122" s="34"/>
      <c r="W122" s="40"/>
      <c r="X122" s="4">
        <f>IF(H122="Senior",MAX(T122,V122),T122+V122)</f>
        <v>0</v>
      </c>
      <c r="Y122" s="34"/>
      <c r="Z122" s="40"/>
      <c r="AA122" s="33">
        <v>38.69</v>
      </c>
      <c r="AB122" s="40">
        <v>0</v>
      </c>
      <c r="AC122" s="34">
        <v>45.33</v>
      </c>
      <c r="AD122" s="40">
        <v>8.5</v>
      </c>
      <c r="AE122" s="4">
        <f>IF(H122="Senior",MAX(AA122,AC122),AA122+AC122)</f>
        <v>84.02</v>
      </c>
      <c r="AF122" s="34">
        <v>46.02</v>
      </c>
      <c r="AG122" s="37">
        <v>7.8</v>
      </c>
    </row>
    <row r="123" spans="1:33" x14ac:dyDescent="0.2">
      <c r="A123" s="1" t="str" cm="1">
        <f t="array" ref="A123">IF(I123="","",IF(P123&lt;&gt;"",SUMPRODUCT((P$3:P$133&lt;&gt;"")*(G$3:G$133=G123)*(J$3:J$133&gt;J123)*(I$3:I$133="P"))+1,IF(O123&lt;&gt;"",SUMPRODUCT((O$3:O$133&lt;&gt;"")*(P$3:P$133="")*(G$3:G$133=G123)*(J$3:J$133&gt;J123)*(I$3:I$133="P"))+SUMPRODUCT((P$3:P$133&lt;&gt;"")*(G$3:G$133=G123)*(I$3:I$133="P"))+1,IF(N123&lt;&gt;"",SUMPRODUCT((N$3:N$133&lt;&gt;"")*(G$3:G$133=G123)*(J$3:J$133&gt;J123)*(I$3:I$133="P"))+1,IF(M123="P",SUMPRODUCT((O$3:O$133&lt;&gt;"")*(P$3:P$133="")*(G$3:G$133=G123)*(I$3:I$133="P"))+SUMPRODUCT((P$3:P$133&lt;&gt;"")*(G$3:G$133=G123)*(I$3:I$133="P"))+SUMPRODUCT((N$3:N$133&lt;&gt;"")*(G$3:G$133=G123)*(I$3:I$133="P"))+SUMPRODUCT((P$3:P$133="")*(O$3:O$133="")*(N$3:N$133="")*(M$3:M$133="P")*(G$3:G$133=G123)*(J$3:J$133&gt;J123)*(I$3:I$133="P"))+IF(H123="L5",SUMPRODUCT((P$3:P$133="")*(O$3:O$133="")*(N$3:N$133="")*(M$3:M$133="P")*(G$3:G$133=G123)*(J$3:J$133&lt;J123)*(H$3:H$133&lt;&gt;H123)*(I$3:I$133="P")),-1*SUMPRODUCT((P$3:P$133="")*(O$3:O$133="")*(N$3:N$133="")*(M$3:M$133="P")*(G$3:G$133=G123)*(J$3:J$133&gt;J123)*(H$3:H$133="L5")*(I$3:I$133="P")))+1,"")))))</f>
        <v/>
      </c>
      <c r="B123" s="1" t="str" cm="1">
        <f t="array" ref="B123">IF(P123&lt;&gt;"",SUMPRODUCT((P$3:P$133&lt;&gt;"")*(G$3:G$133=G123)*(J$3:J$133&gt;J123))+1,IF(O123&lt;&gt;"",SUMPRODUCT((O$3:O$133&lt;&gt;"")*(P$3:P$133="")*(G$3:G$133=G123)*(J$3:J$133&gt;J123))+SUMPRODUCT((P$3:P$133&lt;&gt;"")*(G$3:G$133=G123))+1,IF(N123&lt;&gt;"",SUMPRODUCT((N$3:N$133&lt;&gt;"")*(G$3:G$133=G123)*(J$3:J$133&gt;J123))+1,IF(M123="P",SUMPRODUCT((O$3:O$133&lt;&gt;"")*(P$3:P$133="")*(G$3:G$133=G123))+SUMPRODUCT((P$3:P$133&lt;&gt;"")*(G$3:G$133=G123))+SUMPRODUCT((N$3:N$133&lt;&gt;"")*(G$3:G$133=G123))+SUMPRODUCT((P$3:P$133="")*(O$3:O$133="")*(N$3:N$133="")*(M$3:M$133="P")*(G$3:G$133=G123)*(J$3:J$133&gt;J123))+IF(H123="L5",SUMPRODUCT((P$3:P$133="")*(O$3:O$133="")*(N$3:N$133="")*(M$3:M$133="P")*(G$3:G$133=G123)*(J$3:J$133&lt;J123)*(H$3:H$133&lt;&gt;H123)),-1*SUMPRODUCT((P$3:P$133="")*(O$3:O$133="")*(N$3:N$133="")*(M$3:M$133="P")*(G$3:G$133=G123)*(J$3:J$133&gt;J123)*(H$3:H$133="L5")))+1,""))))</f>
        <v/>
      </c>
      <c r="C123" s="36" t="s">
        <v>478</v>
      </c>
      <c r="D123" s="36" t="str">
        <f>IF(E123="","",VLOOKUP(E123,'Coaching Points'!A:B,2,0))</f>
        <v>ON</v>
      </c>
      <c r="E123" s="36" t="s">
        <v>286</v>
      </c>
      <c r="F123" s="35">
        <v>2009</v>
      </c>
      <c r="G123" s="1" t="str">
        <f>IF(OR('Qualifying Scores'!$B$1-F123&gt;21,'Qualifying Scores'!$B$1-F123&lt;11),"Not Age Eligible",IF('Qualifying Scores'!$B$1-F123&gt;16,"17-21",IF('Qualifying Scores'!$B$1-F123&gt;14,"15-16",IF('Qualifying Scores'!$B$1-F123&gt;12,"13-14",IF('Qualifying Scores'!$B$1-F123&gt;10,"11-12","Not Age Eligible")))))</f>
        <v>13-14</v>
      </c>
      <c r="H123" s="39" t="s">
        <v>66</v>
      </c>
      <c r="I123" s="43"/>
      <c r="J123" s="4">
        <f>R123+S123+IF(OR(H123="Junior",H123="Senior"),0.0002,IF(OR(H123="L7",H123="L6"),0.0001,0))+IF(G123="17-21",MAX(AA123,AC123,AF123),AE123)*0.0000001</f>
        <v>129.15000837400001</v>
      </c>
      <c r="K123" s="3" t="str">
        <f>IF(G123="Not Age Eligible","",IF(G123="17-21",IF(MAX(T123,V123,Y123,AA123,AC123,AF123)&gt;=LOOKUP(G123,'Qualifying Scores'!$A$4:$A$7,'Qualifying Scores'!$C$4:$C$7),"P",""),IF(MAX(X123-U123,AE123-AB123)&gt;=LOOKUP(G123,'Qualifying Scores'!$A$4:$A$7,'Qualifying Scores'!$C$4:$C$7),"P","")))</f>
        <v/>
      </c>
      <c r="L123" s="3" t="str">
        <f>IF(G123="Not Age Eligible","",IF(G123="17-21",IF(MAX(U123,W123,Z123,AB123,AD123,AG123)&gt;=LOOKUP(G123,'Qualifying Scores'!$A$10:$A$13,'Qualifying Scores'!$C$10:$C$13),"P",""),IF(MAX(W123,AD123)&gt;=LOOKUP(G123,'Qualifying Scores'!$A$10:$A$13,'Qualifying Scores'!$C$10:$C$13),"P","")))</f>
        <v/>
      </c>
      <c r="M123" s="3" t="str">
        <f>IF(G123="Not Age Eligible","",IF(G123="17-21",IF(OR(AND(T123&gt;=LOOKUP(G123,'Qualifying Scores'!$A$4:$A$7,'Qualifying Scores'!$C$4:$C$7),U123&gt;=LOOKUP(G123,'Qualifying Scores'!$A$10:$A$13,'Qualifying Scores'!$C$10:$C$13)),AND(V123&gt;=LOOKUP(G123,'Qualifying Scores'!$A$4:$A$7,'Qualifying Scores'!$C$4:$C$7),W123&gt;=LOOKUP(G123,'Qualifying Scores'!$A$10:$A$13,'Qualifying Scores'!$C$10:$C$13)),AND(Y123&gt;=LOOKUP(G123,'Qualifying Scores'!$A$4:$A$7,'Qualifying Scores'!$C$4:$C$7),Z123&gt;=LOOKUP(G123,'Qualifying Scores'!$A$10:$A$13,'Qualifying Scores'!$C$10:$C$13)),AND(AA123&gt;=LOOKUP(G123,'Qualifying Scores'!$A$4:$A$7,'Qualifying Scores'!$C$4:$C$7),AB123&gt;=LOOKUP(G123,'Qualifying Scores'!$A$10:$A$13,'Qualifying Scores'!$C$10:$C$13)),AND(AC123&gt;=LOOKUP(G123,'Qualifying Scores'!$A$4:$A$7,'Qualifying Scores'!$C$4:$C$7),AD123&gt;=LOOKUP(G123,'Qualifying Scores'!$A$10:$A$13,'Qualifying Scores'!$C$10:$C$13)),AND(AF123&gt;=LOOKUP(G123,'Qualifying Scores'!$A$4:$A$7,'Qualifying Scores'!$C$4:$C$7),AG123&gt;=LOOKUP(G123,'Qualifying Scores'!$A$10:$A$13,'Qualifying Scores'!$C$10:$C$13))),"P",""),IF(OR(AND(X123-U123&gt;=LOOKUP(G123,'Qualifying Scores'!$A$4:$A$7,'Qualifying Scores'!$C$4:$C$7),W123&gt;=LOOKUP(G123,'Qualifying Scores'!$A$10:$A$13,'Qualifying Scores'!$C$10:$C$13)),AND(AE123-AB123&gt;=LOOKUP(G123,'Qualifying Scores'!$A$4:$A$7,'Qualifying Scores'!$C$4:$C$7),AD123&gt;=LOOKUP(G123,'Qualifying Scores'!$A$10:$A$13,'Qualifying Scores'!$C$10:$C$13))),"P","")))</f>
        <v/>
      </c>
      <c r="Q123" s="1" t="str">
        <f>IF(A123&lt;5,IF(_xlfn.MAXIFS(A:A,G:G,G123)&gt;3,5-A123,_xlfn.MAXIFS(A:A,G:G,G123)+1-A123),"")</f>
        <v/>
      </c>
      <c r="R123" s="4">
        <f>IF(G123="17-21",MAX(T123,V123,Y123,AA123,AC123,AF123),MAX(X123,AE123))</f>
        <v>83.740000000000009</v>
      </c>
      <c r="S123" s="4">
        <f>IF(G123="17-21",LARGE(CHOOSE({1,2,3,4,5,6},T123,V123,Y123,AA123,AC123,AF123),2),IF(R123=X123,MAX(Y123,AA123,AC123,AF123),IF(R123=AE123,MAX(AF123,T123,V123,Y123),0)))</f>
        <v>45.41</v>
      </c>
      <c r="T123" s="33"/>
      <c r="U123" s="40"/>
      <c r="V123" s="34"/>
      <c r="W123" s="40"/>
      <c r="X123" s="4">
        <f>IF(H123="Senior",MAX(T123,V123),T123+V123)</f>
        <v>0</v>
      </c>
      <c r="Y123" s="34"/>
      <c r="Z123" s="40"/>
      <c r="AA123" s="33">
        <v>38.25</v>
      </c>
      <c r="AB123" s="40">
        <v>0</v>
      </c>
      <c r="AC123" s="34">
        <v>45.49</v>
      </c>
      <c r="AD123" s="40">
        <v>6.9</v>
      </c>
      <c r="AE123" s="4">
        <f>IF(H123="Senior",MAX(AA123,AC123),AA123+AC123)</f>
        <v>83.740000000000009</v>
      </c>
      <c r="AF123" s="34">
        <v>45.41</v>
      </c>
      <c r="AG123" s="37">
        <v>6.9</v>
      </c>
    </row>
    <row r="124" spans="1:33" x14ac:dyDescent="0.2">
      <c r="A124" s="1" t="str" cm="1">
        <f t="array" ref="A124">IF(I124="","",IF(P124&lt;&gt;"",SUMPRODUCT((P$3:P$133&lt;&gt;"")*(G$3:G$133=G124)*(J$3:J$133&gt;J124)*(I$3:I$133="P"))+1,IF(O124&lt;&gt;"",SUMPRODUCT((O$3:O$133&lt;&gt;"")*(P$3:P$133="")*(G$3:G$133=G124)*(J$3:J$133&gt;J124)*(I$3:I$133="P"))+SUMPRODUCT((P$3:P$133&lt;&gt;"")*(G$3:G$133=G124)*(I$3:I$133="P"))+1,IF(N124&lt;&gt;"",SUMPRODUCT((N$3:N$133&lt;&gt;"")*(G$3:G$133=G124)*(J$3:J$133&gt;J124)*(I$3:I$133="P"))+1,IF(M124="P",SUMPRODUCT((O$3:O$133&lt;&gt;"")*(P$3:P$133="")*(G$3:G$133=G124)*(I$3:I$133="P"))+SUMPRODUCT((P$3:P$133&lt;&gt;"")*(G$3:G$133=G124)*(I$3:I$133="P"))+SUMPRODUCT((N$3:N$133&lt;&gt;"")*(G$3:G$133=G124)*(I$3:I$133="P"))+SUMPRODUCT((P$3:P$133="")*(O$3:O$133="")*(N$3:N$133="")*(M$3:M$133="P")*(G$3:G$133=G124)*(J$3:J$133&gt;J124)*(I$3:I$133="P"))+IF(H124="L5",SUMPRODUCT((P$3:P$133="")*(O$3:O$133="")*(N$3:N$133="")*(M$3:M$133="P")*(G$3:G$133=G124)*(J$3:J$133&lt;J124)*(H$3:H$133&lt;&gt;H124)*(I$3:I$133="P")),-1*SUMPRODUCT((P$3:P$133="")*(O$3:O$133="")*(N$3:N$133="")*(M$3:M$133="P")*(G$3:G$133=G124)*(J$3:J$133&gt;J124)*(H$3:H$133="L5")*(I$3:I$133="P")))+1,"")))))</f>
        <v/>
      </c>
      <c r="B124" s="1" t="str" cm="1">
        <f t="array" ref="B124">IF(P124&lt;&gt;"",SUMPRODUCT((P$3:P$133&lt;&gt;"")*(G$3:G$133=G124)*(J$3:J$133&gt;J124))+1,IF(O124&lt;&gt;"",SUMPRODUCT((O$3:O$133&lt;&gt;"")*(P$3:P$133="")*(G$3:G$133=G124)*(J$3:J$133&gt;J124))+SUMPRODUCT((P$3:P$133&lt;&gt;"")*(G$3:G$133=G124))+1,IF(N124&lt;&gt;"",SUMPRODUCT((N$3:N$133&lt;&gt;"")*(G$3:G$133=G124)*(J$3:J$133&gt;J124))+1,IF(M124="P",SUMPRODUCT((O$3:O$133&lt;&gt;"")*(P$3:P$133="")*(G$3:G$133=G124))+SUMPRODUCT((P$3:P$133&lt;&gt;"")*(G$3:G$133=G124))+SUMPRODUCT((N$3:N$133&lt;&gt;"")*(G$3:G$133=G124))+SUMPRODUCT((P$3:P$133="")*(O$3:O$133="")*(N$3:N$133="")*(M$3:M$133="P")*(G$3:G$133=G124)*(J$3:J$133&gt;J124))+IF(H124="L5",SUMPRODUCT((P$3:P$133="")*(O$3:O$133="")*(N$3:N$133="")*(M$3:M$133="P")*(G$3:G$133=G124)*(J$3:J$133&lt;J124)*(H$3:H$133&lt;&gt;H124)),-1*SUMPRODUCT((P$3:P$133="")*(O$3:O$133="")*(N$3:N$133="")*(M$3:M$133="P")*(G$3:G$133=G124)*(J$3:J$133&gt;J124)*(H$3:H$133="L5")))+1,""))))</f>
        <v/>
      </c>
      <c r="C124" s="36" t="s">
        <v>479</v>
      </c>
      <c r="D124" s="36" t="str">
        <f>IF(E124="","",VLOOKUP(E124,'Coaching Points'!A:B,2,0))</f>
        <v>AB</v>
      </c>
      <c r="E124" s="36" t="s">
        <v>29</v>
      </c>
      <c r="F124" s="35">
        <v>2009</v>
      </c>
      <c r="G124" s="1" t="str">
        <f>IF(OR('Qualifying Scores'!$B$1-F124&gt;21,'Qualifying Scores'!$B$1-F124&lt;11),"Not Age Eligible",IF('Qualifying Scores'!$B$1-F124&gt;16,"17-21",IF('Qualifying Scores'!$B$1-F124&gt;14,"15-16",IF('Qualifying Scores'!$B$1-F124&gt;12,"13-14",IF('Qualifying Scores'!$B$1-F124&gt;10,"11-12","Not Age Eligible")))))</f>
        <v>13-14</v>
      </c>
      <c r="H124" s="39" t="s">
        <v>66</v>
      </c>
      <c r="I124" s="43"/>
      <c r="J124" s="4">
        <f>R124+S124+IF(OR(H124="Junior",H124="Senior"),0.0002,IF(OR(H124="L7",H124="L6"),0.0001,0))+IF(G124="17-21",MAX(AA124,AC124,AF124),AE124)*0.0000001</f>
        <v>127.220008179</v>
      </c>
      <c r="K124" s="3" t="str">
        <f>IF(G124="Not Age Eligible","",IF(G124="17-21",IF(MAX(T124,V124,Y124,AA124,AC124,AF124)&gt;=LOOKUP(G124,'Qualifying Scores'!$A$4:$A$7,'Qualifying Scores'!$C$4:$C$7),"P",""),IF(MAX(X124-U124,AE124-AB124)&gt;=LOOKUP(G124,'Qualifying Scores'!$A$4:$A$7,'Qualifying Scores'!$C$4:$C$7),"P","")))</f>
        <v/>
      </c>
      <c r="L124" s="3" t="str">
        <f>IF(G124="Not Age Eligible","",IF(G124="17-21",IF(MAX(U124,W124,Z124,AB124,AD124,AG124)&gt;=LOOKUP(G124,'Qualifying Scores'!$A$10:$A$13,'Qualifying Scores'!$C$10:$C$13),"P",""),IF(MAX(W124,AD124)&gt;=LOOKUP(G124,'Qualifying Scores'!$A$10:$A$13,'Qualifying Scores'!$C$10:$C$13),"P","")))</f>
        <v/>
      </c>
      <c r="M124" s="3" t="str">
        <f>IF(G124="Not Age Eligible","",IF(G124="17-21",IF(OR(AND(T124&gt;=LOOKUP(G124,'Qualifying Scores'!$A$4:$A$7,'Qualifying Scores'!$C$4:$C$7),U124&gt;=LOOKUP(G124,'Qualifying Scores'!$A$10:$A$13,'Qualifying Scores'!$C$10:$C$13)),AND(V124&gt;=LOOKUP(G124,'Qualifying Scores'!$A$4:$A$7,'Qualifying Scores'!$C$4:$C$7),W124&gt;=LOOKUP(G124,'Qualifying Scores'!$A$10:$A$13,'Qualifying Scores'!$C$10:$C$13)),AND(Y124&gt;=LOOKUP(G124,'Qualifying Scores'!$A$4:$A$7,'Qualifying Scores'!$C$4:$C$7),Z124&gt;=LOOKUP(G124,'Qualifying Scores'!$A$10:$A$13,'Qualifying Scores'!$C$10:$C$13)),AND(AA124&gt;=LOOKUP(G124,'Qualifying Scores'!$A$4:$A$7,'Qualifying Scores'!$C$4:$C$7),AB124&gt;=LOOKUP(G124,'Qualifying Scores'!$A$10:$A$13,'Qualifying Scores'!$C$10:$C$13)),AND(AC124&gt;=LOOKUP(G124,'Qualifying Scores'!$A$4:$A$7,'Qualifying Scores'!$C$4:$C$7),AD124&gt;=LOOKUP(G124,'Qualifying Scores'!$A$10:$A$13,'Qualifying Scores'!$C$10:$C$13)),AND(AF124&gt;=LOOKUP(G124,'Qualifying Scores'!$A$4:$A$7,'Qualifying Scores'!$C$4:$C$7),AG124&gt;=LOOKUP(G124,'Qualifying Scores'!$A$10:$A$13,'Qualifying Scores'!$C$10:$C$13))),"P",""),IF(OR(AND(X124-U124&gt;=LOOKUP(G124,'Qualifying Scores'!$A$4:$A$7,'Qualifying Scores'!$C$4:$C$7),W124&gt;=LOOKUP(G124,'Qualifying Scores'!$A$10:$A$13,'Qualifying Scores'!$C$10:$C$13)),AND(AE124-AB124&gt;=LOOKUP(G124,'Qualifying Scores'!$A$4:$A$7,'Qualifying Scores'!$C$4:$C$7),AD124&gt;=LOOKUP(G124,'Qualifying Scores'!$A$10:$A$13,'Qualifying Scores'!$C$10:$C$13))),"P","")))</f>
        <v/>
      </c>
      <c r="Q124" s="1" t="str">
        <f>IF(A124&lt;5,IF(_xlfn.MAXIFS(A:A,G:G,G124)&gt;3,5-A124,_xlfn.MAXIFS(A:A,G:G,G124)+1-A124),"")</f>
        <v/>
      </c>
      <c r="R124" s="4">
        <f>IF(G124="17-21",MAX(T124,V124,Y124,AA124,AC124,AF124),MAX(X124,AE124))</f>
        <v>81.789999999999992</v>
      </c>
      <c r="S124" s="4">
        <f>IF(G124="17-21",LARGE(CHOOSE({1,2,3,4,5,6},T124,V124,Y124,AA124,AC124,AF124),2),IF(R124=X124,MAX(Y124,AA124,AC124,AF124),IF(R124=AE124,MAX(AF124,T124,V124,Y124),0)))</f>
        <v>45.43</v>
      </c>
      <c r="T124" s="33"/>
      <c r="U124" s="40"/>
      <c r="V124" s="34"/>
      <c r="W124" s="40"/>
      <c r="X124" s="4">
        <f>IF(H124="Senior",MAX(T124,V124),T124+V124)</f>
        <v>0</v>
      </c>
      <c r="Y124" s="34"/>
      <c r="Z124" s="40"/>
      <c r="AA124" s="33">
        <v>37.81</v>
      </c>
      <c r="AB124" s="40">
        <v>0</v>
      </c>
      <c r="AC124" s="34">
        <v>43.98</v>
      </c>
      <c r="AD124" s="40">
        <v>7.3</v>
      </c>
      <c r="AE124" s="4">
        <f>IF(H124="Senior",MAX(AA124,AC124),AA124+AC124)</f>
        <v>81.789999999999992</v>
      </c>
      <c r="AF124" s="34">
        <v>45.43</v>
      </c>
      <c r="AG124" s="37">
        <v>7.3</v>
      </c>
    </row>
    <row r="125" spans="1:33" x14ac:dyDescent="0.2">
      <c r="A125" s="1" t="str" cm="1">
        <f t="array" ref="A125">IF(I125="","",IF(P125&lt;&gt;"",SUMPRODUCT((P$3:P$133&lt;&gt;"")*(G$3:G$133=G125)*(J$3:J$133&gt;J125)*(I$3:I$133="P"))+1,IF(O125&lt;&gt;"",SUMPRODUCT((O$3:O$133&lt;&gt;"")*(P$3:P$133="")*(G$3:G$133=G125)*(J$3:J$133&gt;J125)*(I$3:I$133="P"))+SUMPRODUCT((P$3:P$133&lt;&gt;"")*(G$3:G$133=G125)*(I$3:I$133="P"))+1,IF(N125&lt;&gt;"",SUMPRODUCT((N$3:N$133&lt;&gt;"")*(G$3:G$133=G125)*(J$3:J$133&gt;J125)*(I$3:I$133="P"))+1,IF(M125="P",SUMPRODUCT((O$3:O$133&lt;&gt;"")*(P$3:P$133="")*(G$3:G$133=G125)*(I$3:I$133="P"))+SUMPRODUCT((P$3:P$133&lt;&gt;"")*(G$3:G$133=G125)*(I$3:I$133="P"))+SUMPRODUCT((N$3:N$133&lt;&gt;"")*(G$3:G$133=G125)*(I$3:I$133="P"))+SUMPRODUCT((P$3:P$133="")*(O$3:O$133="")*(N$3:N$133="")*(M$3:M$133="P")*(G$3:G$133=G125)*(J$3:J$133&gt;J125)*(I$3:I$133="P"))+IF(H125="L5",SUMPRODUCT((P$3:P$133="")*(O$3:O$133="")*(N$3:N$133="")*(M$3:M$133="P")*(G$3:G$133=G125)*(J$3:J$133&lt;J125)*(H$3:H$133&lt;&gt;H125)*(I$3:I$133="P")),-1*SUMPRODUCT((P$3:P$133="")*(O$3:O$133="")*(N$3:N$133="")*(M$3:M$133="P")*(G$3:G$133=G125)*(J$3:J$133&gt;J125)*(H$3:H$133="L5")*(I$3:I$133="P")))+1,"")))))</f>
        <v/>
      </c>
      <c r="B125" s="1" t="str" cm="1">
        <f t="array" ref="B125">IF(P125&lt;&gt;"",SUMPRODUCT((P$3:P$133&lt;&gt;"")*(G$3:G$133=G125)*(J$3:J$133&gt;J125))+1,IF(O125&lt;&gt;"",SUMPRODUCT((O$3:O$133&lt;&gt;"")*(P$3:P$133="")*(G$3:G$133=G125)*(J$3:J$133&gt;J125))+SUMPRODUCT((P$3:P$133&lt;&gt;"")*(G$3:G$133=G125))+1,IF(N125&lt;&gt;"",SUMPRODUCT((N$3:N$133&lt;&gt;"")*(G$3:G$133=G125)*(J$3:J$133&gt;J125))+1,IF(M125="P",SUMPRODUCT((O$3:O$133&lt;&gt;"")*(P$3:P$133="")*(G$3:G$133=G125))+SUMPRODUCT((P$3:P$133&lt;&gt;"")*(G$3:G$133=G125))+SUMPRODUCT((N$3:N$133&lt;&gt;"")*(G$3:G$133=G125))+SUMPRODUCT((P$3:P$133="")*(O$3:O$133="")*(N$3:N$133="")*(M$3:M$133="P")*(G$3:G$133=G125)*(J$3:J$133&gt;J125))+IF(H125="L5",SUMPRODUCT((P$3:P$133="")*(O$3:O$133="")*(N$3:N$133="")*(M$3:M$133="P")*(G$3:G$133=G125)*(J$3:J$133&lt;J125)*(H$3:H$133&lt;&gt;H125)),-1*SUMPRODUCT((P$3:P$133="")*(O$3:O$133="")*(N$3:N$133="")*(M$3:M$133="P")*(G$3:G$133=G125)*(J$3:J$133&gt;J125)*(H$3:H$133="L5")))+1,""))))</f>
        <v/>
      </c>
      <c r="C125" s="36" t="s">
        <v>305</v>
      </c>
      <c r="D125" s="36" t="str">
        <f>IF(E125="","",VLOOKUP(E125,'Coaching Points'!A:B,2,0))</f>
        <v>AB</v>
      </c>
      <c r="E125" s="36" t="s">
        <v>29</v>
      </c>
      <c r="F125" s="35">
        <v>2009</v>
      </c>
      <c r="G125" s="1" t="str">
        <f>IF(OR('Qualifying Scores'!$B$1-F125&gt;21,'Qualifying Scores'!$B$1-F125&lt;11),"Not Age Eligible",IF('Qualifying Scores'!$B$1-F125&gt;16,"17-21",IF('Qualifying Scores'!$B$1-F125&gt;14,"15-16",IF('Qualifying Scores'!$B$1-F125&gt;12,"13-14",IF('Qualifying Scores'!$B$1-F125&gt;10,"11-12","Not Age Eligible")))))</f>
        <v>13-14</v>
      </c>
      <c r="H125" s="39" t="s">
        <v>66</v>
      </c>
      <c r="I125" s="43" t="s">
        <v>567</v>
      </c>
      <c r="J125" s="4">
        <f>R125+S125+IF(OR(H125="Junior",H125="Senior"),0.0002,IF(OR(H125="L7",H125="L6"),0.0001,0))+IF(G125="17-21",MAX(AA125,AC125,AF125),AE125)*0.0000001</f>
        <v>126.450007927</v>
      </c>
      <c r="K125" s="3" t="str">
        <f>IF(G125="Not Age Eligible","",IF(G125="17-21",IF(MAX(T125,V125,Y125,AA125,AC125,AF125)&gt;=LOOKUP(G125,'Qualifying Scores'!$A$4:$A$7,'Qualifying Scores'!$C$4:$C$7),"P",""),IF(MAX(X125-U125,AE125-AB125)&gt;=LOOKUP(G125,'Qualifying Scores'!$A$4:$A$7,'Qualifying Scores'!$C$4:$C$7),"P","")))</f>
        <v/>
      </c>
      <c r="L125" s="3" t="str">
        <f>IF(G125="Not Age Eligible","",IF(G125="17-21",IF(MAX(U125,W125,Z125,AB125,AD125,AG125)&gt;=LOOKUP(G125,'Qualifying Scores'!$A$10:$A$13,'Qualifying Scores'!$C$10:$C$13),"P",""),IF(MAX(W125,AD125)&gt;=LOOKUP(G125,'Qualifying Scores'!$A$10:$A$13,'Qualifying Scores'!$C$10:$C$13),"P","")))</f>
        <v/>
      </c>
      <c r="M125" s="3" t="str">
        <f>IF(G125="Not Age Eligible","",IF(G125="17-21",IF(OR(AND(T125&gt;=LOOKUP(G125,'Qualifying Scores'!$A$4:$A$7,'Qualifying Scores'!$C$4:$C$7),U125&gt;=LOOKUP(G125,'Qualifying Scores'!$A$10:$A$13,'Qualifying Scores'!$C$10:$C$13)),AND(V125&gt;=LOOKUP(G125,'Qualifying Scores'!$A$4:$A$7,'Qualifying Scores'!$C$4:$C$7),W125&gt;=LOOKUP(G125,'Qualifying Scores'!$A$10:$A$13,'Qualifying Scores'!$C$10:$C$13)),AND(Y125&gt;=LOOKUP(G125,'Qualifying Scores'!$A$4:$A$7,'Qualifying Scores'!$C$4:$C$7),Z125&gt;=LOOKUP(G125,'Qualifying Scores'!$A$10:$A$13,'Qualifying Scores'!$C$10:$C$13)),AND(AA125&gt;=LOOKUP(G125,'Qualifying Scores'!$A$4:$A$7,'Qualifying Scores'!$C$4:$C$7),AB125&gt;=LOOKUP(G125,'Qualifying Scores'!$A$10:$A$13,'Qualifying Scores'!$C$10:$C$13)),AND(AC125&gt;=LOOKUP(G125,'Qualifying Scores'!$A$4:$A$7,'Qualifying Scores'!$C$4:$C$7),AD125&gt;=LOOKUP(G125,'Qualifying Scores'!$A$10:$A$13,'Qualifying Scores'!$C$10:$C$13)),AND(AF125&gt;=LOOKUP(G125,'Qualifying Scores'!$A$4:$A$7,'Qualifying Scores'!$C$4:$C$7),AG125&gt;=LOOKUP(G125,'Qualifying Scores'!$A$10:$A$13,'Qualifying Scores'!$C$10:$C$13))),"P",""),IF(OR(AND(X125-U125&gt;=LOOKUP(G125,'Qualifying Scores'!$A$4:$A$7,'Qualifying Scores'!$C$4:$C$7),W125&gt;=LOOKUP(G125,'Qualifying Scores'!$A$10:$A$13,'Qualifying Scores'!$C$10:$C$13)),AND(AE125-AB125&gt;=LOOKUP(G125,'Qualifying Scores'!$A$4:$A$7,'Qualifying Scores'!$C$4:$C$7),AD125&gt;=LOOKUP(G125,'Qualifying Scores'!$A$10:$A$13,'Qualifying Scores'!$C$10:$C$13))),"P","")))</f>
        <v/>
      </c>
      <c r="Q125" s="1" t="str">
        <f>IF(A125&lt;5,IF(_xlfn.MAXIFS(A:A,G:G,G125)&gt;3,5-A125,_xlfn.MAXIFS(A:A,G:G,G125)+1-A125),"")</f>
        <v/>
      </c>
      <c r="R125" s="4">
        <f>IF(G125="17-21",MAX(T125,V125,Y125,AA125,AC125,AF125),MAX(X125,AE125))</f>
        <v>81.39</v>
      </c>
      <c r="S125" s="4">
        <f>IF(G125="17-21",LARGE(CHOOSE({1,2,3,4,5,6},T125,V125,Y125,AA125,AC125,AF125),2),IF(R125=X125,MAX(Y125,AA125,AC125,AF125),IF(R125=AE125,MAX(AF125,T125,V125,Y125),0)))</f>
        <v>45.06</v>
      </c>
      <c r="T125" s="33">
        <v>37.880000000000003</v>
      </c>
      <c r="U125" s="40">
        <v>0</v>
      </c>
      <c r="V125" s="34">
        <v>43.51</v>
      </c>
      <c r="W125" s="40">
        <v>7.6</v>
      </c>
      <c r="X125" s="4">
        <f>IF(H125="Senior",MAX(T125,V125),T125+V125)</f>
        <v>81.39</v>
      </c>
      <c r="Y125" s="34">
        <v>45.06</v>
      </c>
      <c r="Z125" s="40">
        <v>7.6</v>
      </c>
      <c r="AA125" s="33">
        <v>34.65</v>
      </c>
      <c r="AB125" s="40">
        <v>0</v>
      </c>
      <c r="AC125" s="34">
        <v>44.62</v>
      </c>
      <c r="AD125" s="40">
        <v>7.6</v>
      </c>
      <c r="AE125" s="4">
        <f>IF(H125="Senior",MAX(AA125,AC125),AA125+AC125)</f>
        <v>79.27</v>
      </c>
      <c r="AF125" s="34">
        <v>44.2</v>
      </c>
      <c r="AG125" s="37">
        <v>7.6</v>
      </c>
    </row>
    <row r="126" spans="1:33" x14ac:dyDescent="0.2">
      <c r="A126" s="1" t="str" cm="1">
        <f t="array" ref="A126">IF(I126="","",IF(P126&lt;&gt;"",SUMPRODUCT((P$3:P$133&lt;&gt;"")*(G$3:G$133=G126)*(J$3:J$133&gt;J126)*(I$3:I$133="P"))+1,IF(O126&lt;&gt;"",SUMPRODUCT((O$3:O$133&lt;&gt;"")*(P$3:P$133="")*(G$3:G$133=G126)*(J$3:J$133&gt;J126)*(I$3:I$133="P"))+SUMPRODUCT((P$3:P$133&lt;&gt;"")*(G$3:G$133=G126)*(I$3:I$133="P"))+1,IF(N126&lt;&gt;"",SUMPRODUCT((N$3:N$133&lt;&gt;"")*(G$3:G$133=G126)*(J$3:J$133&gt;J126)*(I$3:I$133="P"))+1,IF(M126="P",SUMPRODUCT((O$3:O$133&lt;&gt;"")*(P$3:P$133="")*(G$3:G$133=G126)*(I$3:I$133="P"))+SUMPRODUCT((P$3:P$133&lt;&gt;"")*(G$3:G$133=G126)*(I$3:I$133="P"))+SUMPRODUCT((N$3:N$133&lt;&gt;"")*(G$3:G$133=G126)*(I$3:I$133="P"))+SUMPRODUCT((P$3:P$133="")*(O$3:O$133="")*(N$3:N$133="")*(M$3:M$133="P")*(G$3:G$133=G126)*(J$3:J$133&gt;J126)*(I$3:I$133="P"))+IF(H126="L5",SUMPRODUCT((P$3:P$133="")*(O$3:O$133="")*(N$3:N$133="")*(M$3:M$133="P")*(G$3:G$133=G126)*(J$3:J$133&lt;J126)*(H$3:H$133&lt;&gt;H126)*(I$3:I$133="P")),-1*SUMPRODUCT((P$3:P$133="")*(O$3:O$133="")*(N$3:N$133="")*(M$3:M$133="P")*(G$3:G$133=G126)*(J$3:J$133&gt;J126)*(H$3:H$133="L5")*(I$3:I$133="P")))+1,"")))))</f>
        <v/>
      </c>
      <c r="B126" s="1" t="str" cm="1">
        <f t="array" ref="B126">IF(P126&lt;&gt;"",SUMPRODUCT((P$3:P$133&lt;&gt;"")*(G$3:G$133=G126)*(J$3:J$133&gt;J126))+1,IF(O126&lt;&gt;"",SUMPRODUCT((O$3:O$133&lt;&gt;"")*(P$3:P$133="")*(G$3:G$133=G126)*(J$3:J$133&gt;J126))+SUMPRODUCT((P$3:P$133&lt;&gt;"")*(G$3:G$133=G126))+1,IF(N126&lt;&gt;"",SUMPRODUCT((N$3:N$133&lt;&gt;"")*(G$3:G$133=G126)*(J$3:J$133&gt;J126))+1,IF(M126="P",SUMPRODUCT((O$3:O$133&lt;&gt;"")*(P$3:P$133="")*(G$3:G$133=G126))+SUMPRODUCT((P$3:P$133&lt;&gt;"")*(G$3:G$133=G126))+SUMPRODUCT((N$3:N$133&lt;&gt;"")*(G$3:G$133=G126))+SUMPRODUCT((P$3:P$133="")*(O$3:O$133="")*(N$3:N$133="")*(M$3:M$133="P")*(G$3:G$133=G126)*(J$3:J$133&gt;J126))+IF(H126="L5",SUMPRODUCT((P$3:P$133="")*(O$3:O$133="")*(N$3:N$133="")*(M$3:M$133="P")*(G$3:G$133=G126)*(J$3:J$133&lt;J126)*(H$3:H$133&lt;&gt;H126)),-1*SUMPRODUCT((P$3:P$133="")*(O$3:O$133="")*(N$3:N$133="")*(M$3:M$133="P")*(G$3:G$133=G126)*(J$3:J$133&gt;J126)*(H$3:H$133="L5")))+1,""))))</f>
        <v/>
      </c>
      <c r="C126" s="36" t="s">
        <v>480</v>
      </c>
      <c r="D126" s="36" t="str">
        <f>IF(E126="","",VLOOKUP(E126,'Coaching Points'!A:B,2,0))</f>
        <v>NL</v>
      </c>
      <c r="E126" s="36" t="s">
        <v>418</v>
      </c>
      <c r="F126" s="35">
        <v>2009</v>
      </c>
      <c r="G126" s="1" t="str">
        <f>IF(OR('Qualifying Scores'!$B$1-F126&gt;21,'Qualifying Scores'!$B$1-F126&lt;11),"Not Age Eligible",IF('Qualifying Scores'!$B$1-F126&gt;16,"17-21",IF('Qualifying Scores'!$B$1-F126&gt;14,"15-16",IF('Qualifying Scores'!$B$1-F126&gt;12,"13-14",IF('Qualifying Scores'!$B$1-F126&gt;10,"11-12","Not Age Eligible")))))</f>
        <v>13-14</v>
      </c>
      <c r="H126" s="39" t="s">
        <v>66</v>
      </c>
      <c r="I126" s="43"/>
      <c r="J126" s="4">
        <f>R126+S126+IF(OR(H126="Junior",H126="Senior"),0.0002,IF(OR(H126="L7",H126="L6"),0.0001,0))+IF(G126="17-21",MAX(AA126,AC126,AF126),AE126)*0.0000001</f>
        <v>125.91000814900001</v>
      </c>
      <c r="K126" s="3" t="str">
        <f>IF(G126="Not Age Eligible","",IF(G126="17-21",IF(MAX(T126,V126,Y126,AA126,AC126,AF126)&gt;=LOOKUP(G126,'Qualifying Scores'!$A$4:$A$7,'Qualifying Scores'!$C$4:$C$7),"P",""),IF(MAX(X126-U126,AE126-AB126)&gt;=LOOKUP(G126,'Qualifying Scores'!$A$4:$A$7,'Qualifying Scores'!$C$4:$C$7),"P","")))</f>
        <v/>
      </c>
      <c r="L126" s="3" t="str">
        <f>IF(G126="Not Age Eligible","",IF(G126="17-21",IF(MAX(U126,W126,Z126,AB126,AD126,AG126)&gt;=LOOKUP(G126,'Qualifying Scores'!$A$10:$A$13,'Qualifying Scores'!$C$10:$C$13),"P",""),IF(MAX(W126,AD126)&gt;=LOOKUP(G126,'Qualifying Scores'!$A$10:$A$13,'Qualifying Scores'!$C$10:$C$13),"P","")))</f>
        <v/>
      </c>
      <c r="M126" s="3" t="str">
        <f>IF(G126="Not Age Eligible","",IF(G126="17-21",IF(OR(AND(T126&gt;=LOOKUP(G126,'Qualifying Scores'!$A$4:$A$7,'Qualifying Scores'!$C$4:$C$7),U126&gt;=LOOKUP(G126,'Qualifying Scores'!$A$10:$A$13,'Qualifying Scores'!$C$10:$C$13)),AND(V126&gt;=LOOKUP(G126,'Qualifying Scores'!$A$4:$A$7,'Qualifying Scores'!$C$4:$C$7),W126&gt;=LOOKUP(G126,'Qualifying Scores'!$A$10:$A$13,'Qualifying Scores'!$C$10:$C$13)),AND(Y126&gt;=LOOKUP(G126,'Qualifying Scores'!$A$4:$A$7,'Qualifying Scores'!$C$4:$C$7),Z126&gt;=LOOKUP(G126,'Qualifying Scores'!$A$10:$A$13,'Qualifying Scores'!$C$10:$C$13)),AND(AA126&gt;=LOOKUP(G126,'Qualifying Scores'!$A$4:$A$7,'Qualifying Scores'!$C$4:$C$7),AB126&gt;=LOOKUP(G126,'Qualifying Scores'!$A$10:$A$13,'Qualifying Scores'!$C$10:$C$13)),AND(AC126&gt;=LOOKUP(G126,'Qualifying Scores'!$A$4:$A$7,'Qualifying Scores'!$C$4:$C$7),AD126&gt;=LOOKUP(G126,'Qualifying Scores'!$A$10:$A$13,'Qualifying Scores'!$C$10:$C$13)),AND(AF126&gt;=LOOKUP(G126,'Qualifying Scores'!$A$4:$A$7,'Qualifying Scores'!$C$4:$C$7),AG126&gt;=LOOKUP(G126,'Qualifying Scores'!$A$10:$A$13,'Qualifying Scores'!$C$10:$C$13))),"P",""),IF(OR(AND(X126-U126&gt;=LOOKUP(G126,'Qualifying Scores'!$A$4:$A$7,'Qualifying Scores'!$C$4:$C$7),W126&gt;=LOOKUP(G126,'Qualifying Scores'!$A$10:$A$13,'Qualifying Scores'!$C$10:$C$13)),AND(AE126-AB126&gt;=LOOKUP(G126,'Qualifying Scores'!$A$4:$A$7,'Qualifying Scores'!$C$4:$C$7),AD126&gt;=LOOKUP(G126,'Qualifying Scores'!$A$10:$A$13,'Qualifying Scores'!$C$10:$C$13))),"P","")))</f>
        <v/>
      </c>
      <c r="Q126" s="1" t="str">
        <f>IF(A126&lt;5,IF(_xlfn.MAXIFS(A:A,G:G,G126)&gt;3,5-A126,_xlfn.MAXIFS(A:A,G:G,G126)+1-A126),"")</f>
        <v/>
      </c>
      <c r="R126" s="4">
        <f>IF(G126="17-21",MAX(T126,V126,Y126,AA126,AC126,AF126),MAX(X126,AE126))</f>
        <v>81.490000000000009</v>
      </c>
      <c r="S126" s="4">
        <f>IF(G126="17-21",LARGE(CHOOSE({1,2,3,4,5,6},T126,V126,Y126,AA126,AC126,AF126),2),IF(R126=X126,MAX(Y126,AA126,AC126,AF126),IF(R126=AE126,MAX(AF126,T126,V126,Y126),0)))</f>
        <v>44.42</v>
      </c>
      <c r="T126" s="33"/>
      <c r="U126" s="40"/>
      <c r="V126" s="34"/>
      <c r="W126" s="40"/>
      <c r="X126" s="4">
        <f>IF(H126="Senior",MAX(T126,V126),T126+V126)</f>
        <v>0</v>
      </c>
      <c r="Y126" s="34"/>
      <c r="Z126" s="40"/>
      <c r="AA126" s="33">
        <v>38.67</v>
      </c>
      <c r="AB126" s="40">
        <v>0</v>
      </c>
      <c r="AC126" s="34">
        <v>42.82</v>
      </c>
      <c r="AD126" s="40">
        <v>7.2</v>
      </c>
      <c r="AE126" s="4">
        <f>IF(H126="Senior",MAX(AA126,AC126),AA126+AC126)</f>
        <v>81.490000000000009</v>
      </c>
      <c r="AF126" s="34">
        <v>44.42</v>
      </c>
      <c r="AG126" s="37">
        <v>7.8</v>
      </c>
    </row>
    <row r="127" spans="1:33" x14ac:dyDescent="0.2">
      <c r="A127" s="1" t="str" cm="1">
        <f t="array" ref="A127">IF(I127="","",IF(P127&lt;&gt;"",SUMPRODUCT((P$3:P$133&lt;&gt;"")*(G$3:G$133=G127)*(J$3:J$133&gt;J127)*(I$3:I$133="P"))+1,IF(O127&lt;&gt;"",SUMPRODUCT((O$3:O$133&lt;&gt;"")*(P$3:P$133="")*(G$3:G$133=G127)*(J$3:J$133&gt;J127)*(I$3:I$133="P"))+SUMPRODUCT((P$3:P$133&lt;&gt;"")*(G$3:G$133=G127)*(I$3:I$133="P"))+1,IF(N127&lt;&gt;"",SUMPRODUCT((N$3:N$133&lt;&gt;"")*(G$3:G$133=G127)*(J$3:J$133&gt;J127)*(I$3:I$133="P"))+1,IF(M127="P",SUMPRODUCT((O$3:O$133&lt;&gt;"")*(P$3:P$133="")*(G$3:G$133=G127)*(I$3:I$133="P"))+SUMPRODUCT((P$3:P$133&lt;&gt;"")*(G$3:G$133=G127)*(I$3:I$133="P"))+SUMPRODUCT((N$3:N$133&lt;&gt;"")*(G$3:G$133=G127)*(I$3:I$133="P"))+SUMPRODUCT((P$3:P$133="")*(O$3:O$133="")*(N$3:N$133="")*(M$3:M$133="P")*(G$3:G$133=G127)*(J$3:J$133&gt;J127)*(I$3:I$133="P"))+IF(H127="L5",SUMPRODUCT((P$3:P$133="")*(O$3:O$133="")*(N$3:N$133="")*(M$3:M$133="P")*(G$3:G$133=G127)*(J$3:J$133&lt;J127)*(H$3:H$133&lt;&gt;H127)*(I$3:I$133="P")),-1*SUMPRODUCT((P$3:P$133="")*(O$3:O$133="")*(N$3:N$133="")*(M$3:M$133="P")*(G$3:G$133=G127)*(J$3:J$133&gt;J127)*(H$3:H$133="L5")*(I$3:I$133="P")))+1,"")))))</f>
        <v/>
      </c>
      <c r="B127" s="1" t="str" cm="1">
        <f t="array" ref="B127">IF(P127&lt;&gt;"",SUMPRODUCT((P$3:P$133&lt;&gt;"")*(G$3:G$133=G127)*(J$3:J$133&gt;J127))+1,IF(O127&lt;&gt;"",SUMPRODUCT((O$3:O$133&lt;&gt;"")*(P$3:P$133="")*(G$3:G$133=G127)*(J$3:J$133&gt;J127))+SUMPRODUCT((P$3:P$133&lt;&gt;"")*(G$3:G$133=G127))+1,IF(N127&lt;&gt;"",SUMPRODUCT((N$3:N$133&lt;&gt;"")*(G$3:G$133=G127)*(J$3:J$133&gt;J127))+1,IF(M127="P",SUMPRODUCT((O$3:O$133&lt;&gt;"")*(P$3:P$133="")*(G$3:G$133=G127))+SUMPRODUCT((P$3:P$133&lt;&gt;"")*(G$3:G$133=G127))+SUMPRODUCT((N$3:N$133&lt;&gt;"")*(G$3:G$133=G127))+SUMPRODUCT((P$3:P$133="")*(O$3:O$133="")*(N$3:N$133="")*(M$3:M$133="P")*(G$3:G$133=G127)*(J$3:J$133&gt;J127))+IF(H127="L5",SUMPRODUCT((P$3:P$133="")*(O$3:O$133="")*(N$3:N$133="")*(M$3:M$133="P")*(G$3:G$133=G127)*(J$3:J$133&lt;J127)*(H$3:H$133&lt;&gt;H127)),-1*SUMPRODUCT((P$3:P$133="")*(O$3:O$133="")*(N$3:N$133="")*(M$3:M$133="P")*(G$3:G$133=G127)*(J$3:J$133&gt;J127)*(H$3:H$133="L5")))+1,""))))</f>
        <v/>
      </c>
      <c r="C127" s="36" t="s">
        <v>481</v>
      </c>
      <c r="D127" s="36" t="str">
        <f>IF(E127="","",VLOOKUP(E127,'Coaching Points'!A:B,2,0))</f>
        <v>BC</v>
      </c>
      <c r="E127" s="36" t="s">
        <v>37</v>
      </c>
      <c r="F127" s="35">
        <v>2010</v>
      </c>
      <c r="G127" s="1" t="str">
        <f>IF(OR('Qualifying Scores'!$B$1-F127&gt;21,'Qualifying Scores'!$B$1-F127&lt;11),"Not Age Eligible",IF('Qualifying Scores'!$B$1-F127&gt;16,"17-21",IF('Qualifying Scores'!$B$1-F127&gt;14,"15-16",IF('Qualifying Scores'!$B$1-F127&gt;12,"13-14",IF('Qualifying Scores'!$B$1-F127&gt;10,"11-12","Not Age Eligible")))))</f>
        <v>13-14</v>
      </c>
      <c r="H127" s="39" t="s">
        <v>66</v>
      </c>
      <c r="I127" s="43"/>
      <c r="J127" s="4">
        <f>R127+S127+IF(OR(H127="Junior",H127="Senior"),0.0002,IF(OR(H127="L7",H127="L6"),0.0001,0))+IF(G127="17-21",MAX(AA127,AC127,AF127),AE127)*0.0000001</f>
        <v>125.82000810800002</v>
      </c>
      <c r="K127" s="3" t="str">
        <f>IF(G127="Not Age Eligible","",IF(G127="17-21",IF(MAX(T127,V127,Y127,AA127,AC127,AF127)&gt;=LOOKUP(G127,'Qualifying Scores'!$A$4:$A$7,'Qualifying Scores'!$C$4:$C$7),"P",""),IF(MAX(X127-U127,AE127-AB127)&gt;=LOOKUP(G127,'Qualifying Scores'!$A$4:$A$7,'Qualifying Scores'!$C$4:$C$7),"P","")))</f>
        <v/>
      </c>
      <c r="L127" s="3" t="str">
        <f>IF(G127="Not Age Eligible","",IF(G127="17-21",IF(MAX(U127,W127,Z127,AB127,AD127,AG127)&gt;=LOOKUP(G127,'Qualifying Scores'!$A$10:$A$13,'Qualifying Scores'!$C$10:$C$13),"P",""),IF(MAX(W127,AD127)&gt;=LOOKUP(G127,'Qualifying Scores'!$A$10:$A$13,'Qualifying Scores'!$C$10:$C$13),"P","")))</f>
        <v/>
      </c>
      <c r="M127" s="3" t="str">
        <f>IF(G127="Not Age Eligible","",IF(G127="17-21",IF(OR(AND(T127&gt;=LOOKUP(G127,'Qualifying Scores'!$A$4:$A$7,'Qualifying Scores'!$C$4:$C$7),U127&gt;=LOOKUP(G127,'Qualifying Scores'!$A$10:$A$13,'Qualifying Scores'!$C$10:$C$13)),AND(V127&gt;=LOOKUP(G127,'Qualifying Scores'!$A$4:$A$7,'Qualifying Scores'!$C$4:$C$7),W127&gt;=LOOKUP(G127,'Qualifying Scores'!$A$10:$A$13,'Qualifying Scores'!$C$10:$C$13)),AND(Y127&gt;=LOOKUP(G127,'Qualifying Scores'!$A$4:$A$7,'Qualifying Scores'!$C$4:$C$7),Z127&gt;=LOOKUP(G127,'Qualifying Scores'!$A$10:$A$13,'Qualifying Scores'!$C$10:$C$13)),AND(AA127&gt;=LOOKUP(G127,'Qualifying Scores'!$A$4:$A$7,'Qualifying Scores'!$C$4:$C$7),AB127&gt;=LOOKUP(G127,'Qualifying Scores'!$A$10:$A$13,'Qualifying Scores'!$C$10:$C$13)),AND(AC127&gt;=LOOKUP(G127,'Qualifying Scores'!$A$4:$A$7,'Qualifying Scores'!$C$4:$C$7),AD127&gt;=LOOKUP(G127,'Qualifying Scores'!$A$10:$A$13,'Qualifying Scores'!$C$10:$C$13)),AND(AF127&gt;=LOOKUP(G127,'Qualifying Scores'!$A$4:$A$7,'Qualifying Scores'!$C$4:$C$7),AG127&gt;=LOOKUP(G127,'Qualifying Scores'!$A$10:$A$13,'Qualifying Scores'!$C$10:$C$13))),"P",""),IF(OR(AND(X127-U127&gt;=LOOKUP(G127,'Qualifying Scores'!$A$4:$A$7,'Qualifying Scores'!$C$4:$C$7),W127&gt;=LOOKUP(G127,'Qualifying Scores'!$A$10:$A$13,'Qualifying Scores'!$C$10:$C$13)),AND(AE127-AB127&gt;=LOOKUP(G127,'Qualifying Scores'!$A$4:$A$7,'Qualifying Scores'!$C$4:$C$7),AD127&gt;=LOOKUP(G127,'Qualifying Scores'!$A$10:$A$13,'Qualifying Scores'!$C$10:$C$13))),"P","")))</f>
        <v/>
      </c>
      <c r="Q127" s="1" t="str">
        <f>IF(A127&lt;5,IF(_xlfn.MAXIFS(A:A,G:G,G127)&gt;3,5-A127,_xlfn.MAXIFS(A:A,G:G,G127)+1-A127),"")</f>
        <v/>
      </c>
      <c r="R127" s="4">
        <f>IF(G127="17-21",MAX(T127,V127,Y127,AA127,AC127,AF127),MAX(X127,AE127))</f>
        <v>81.080000000000013</v>
      </c>
      <c r="S127" s="4">
        <f>IF(G127="17-21",LARGE(CHOOSE({1,2,3,4,5,6},T127,V127,Y127,AA127,AC127,AF127),2),IF(R127=X127,MAX(Y127,AA127,AC127,AF127),IF(R127=AE127,MAX(AF127,T127,V127,Y127),0)))</f>
        <v>44.74</v>
      </c>
      <c r="T127" s="33"/>
      <c r="U127" s="40"/>
      <c r="V127" s="34"/>
      <c r="W127" s="40"/>
      <c r="X127" s="4">
        <f>IF(H127="Senior",MAX(T127,V127),T127+V127)</f>
        <v>0</v>
      </c>
      <c r="Y127" s="34"/>
      <c r="Z127" s="40"/>
      <c r="AA127" s="33">
        <v>37.74</v>
      </c>
      <c r="AB127" s="40">
        <v>0</v>
      </c>
      <c r="AC127" s="34">
        <v>43.34</v>
      </c>
      <c r="AD127" s="40">
        <v>7.1</v>
      </c>
      <c r="AE127" s="4">
        <f>IF(H127="Senior",MAX(AA127,AC127),AA127+AC127)</f>
        <v>81.080000000000013</v>
      </c>
      <c r="AF127" s="34">
        <v>44.74</v>
      </c>
      <c r="AG127" s="37">
        <v>7.1</v>
      </c>
    </row>
    <row r="128" spans="1:33" x14ac:dyDescent="0.2">
      <c r="A128" s="1" t="str" cm="1">
        <f t="array" ref="A128">IF(I128="","",IF(P128&lt;&gt;"",SUMPRODUCT((P$3:P$133&lt;&gt;"")*(G$3:G$133=G128)*(J$3:J$133&gt;J128)*(I$3:I$133="P"))+1,IF(O128&lt;&gt;"",SUMPRODUCT((O$3:O$133&lt;&gt;"")*(P$3:P$133="")*(G$3:G$133=G128)*(J$3:J$133&gt;J128)*(I$3:I$133="P"))+SUMPRODUCT((P$3:P$133&lt;&gt;"")*(G$3:G$133=G128)*(I$3:I$133="P"))+1,IF(N128&lt;&gt;"",SUMPRODUCT((N$3:N$133&lt;&gt;"")*(G$3:G$133=G128)*(J$3:J$133&gt;J128)*(I$3:I$133="P"))+1,IF(M128="P",SUMPRODUCT((O$3:O$133&lt;&gt;"")*(P$3:P$133="")*(G$3:G$133=G128)*(I$3:I$133="P"))+SUMPRODUCT((P$3:P$133&lt;&gt;"")*(G$3:G$133=G128)*(I$3:I$133="P"))+SUMPRODUCT((N$3:N$133&lt;&gt;"")*(G$3:G$133=G128)*(I$3:I$133="P"))+SUMPRODUCT((P$3:P$133="")*(O$3:O$133="")*(N$3:N$133="")*(M$3:M$133="P")*(G$3:G$133=G128)*(J$3:J$133&gt;J128)*(I$3:I$133="P"))+IF(H128="L5",SUMPRODUCT((P$3:P$133="")*(O$3:O$133="")*(N$3:N$133="")*(M$3:M$133="P")*(G$3:G$133=G128)*(J$3:J$133&lt;J128)*(H$3:H$133&lt;&gt;H128)*(I$3:I$133="P")),-1*SUMPRODUCT((P$3:P$133="")*(O$3:O$133="")*(N$3:N$133="")*(M$3:M$133="P")*(G$3:G$133=G128)*(J$3:J$133&gt;J128)*(H$3:H$133="L5")*(I$3:I$133="P")))+1,"")))))</f>
        <v/>
      </c>
      <c r="B128" s="1" t="str" cm="1">
        <f t="array" ref="B128">IF(P128&lt;&gt;"",SUMPRODUCT((P$3:P$133&lt;&gt;"")*(G$3:G$133=G128)*(J$3:J$133&gt;J128))+1,IF(O128&lt;&gt;"",SUMPRODUCT((O$3:O$133&lt;&gt;"")*(P$3:P$133="")*(G$3:G$133=G128)*(J$3:J$133&gt;J128))+SUMPRODUCT((P$3:P$133&lt;&gt;"")*(G$3:G$133=G128))+1,IF(N128&lt;&gt;"",SUMPRODUCT((N$3:N$133&lt;&gt;"")*(G$3:G$133=G128)*(J$3:J$133&gt;J128))+1,IF(M128="P",SUMPRODUCT((O$3:O$133&lt;&gt;"")*(P$3:P$133="")*(G$3:G$133=G128))+SUMPRODUCT((P$3:P$133&lt;&gt;"")*(G$3:G$133=G128))+SUMPRODUCT((N$3:N$133&lt;&gt;"")*(G$3:G$133=G128))+SUMPRODUCT((P$3:P$133="")*(O$3:O$133="")*(N$3:N$133="")*(M$3:M$133="P")*(G$3:G$133=G128)*(J$3:J$133&gt;J128))+IF(H128="L5",SUMPRODUCT((P$3:P$133="")*(O$3:O$133="")*(N$3:N$133="")*(M$3:M$133="P")*(G$3:G$133=G128)*(J$3:J$133&lt;J128)*(H$3:H$133&lt;&gt;H128)),-1*SUMPRODUCT((P$3:P$133="")*(O$3:O$133="")*(N$3:N$133="")*(M$3:M$133="P")*(G$3:G$133=G128)*(J$3:J$133&gt;J128)*(H$3:H$133="L5")))+1,""))))</f>
        <v/>
      </c>
      <c r="C128" s="36" t="s">
        <v>307</v>
      </c>
      <c r="D128" s="36" t="str">
        <f>IF(E128="","",VLOOKUP(E128,'Coaching Points'!A:B,2,0))</f>
        <v>AB</v>
      </c>
      <c r="E128" s="36" t="s">
        <v>40</v>
      </c>
      <c r="F128" s="35">
        <v>2009</v>
      </c>
      <c r="G128" s="1" t="str">
        <f>IF(OR('Qualifying Scores'!$B$1-F128&gt;21,'Qualifying Scores'!$B$1-F128&lt;11),"Not Age Eligible",IF('Qualifying Scores'!$B$1-F128&gt;16,"17-21",IF('Qualifying Scores'!$B$1-F128&gt;14,"15-16",IF('Qualifying Scores'!$B$1-F128&gt;12,"13-14",IF('Qualifying Scores'!$B$1-F128&gt;10,"11-12","Not Age Eligible")))))</f>
        <v>13-14</v>
      </c>
      <c r="H128" s="39" t="s">
        <v>66</v>
      </c>
      <c r="I128" s="43"/>
      <c r="J128" s="4">
        <f>R128+S128+IF(OR(H128="Junior",H128="Senior"),0.0002,IF(OR(H128="L7",H128="L6"),0.0001,0))+IF(G128="17-21",MAX(AA128,AC128,AF128),AE128)*0.0000001</f>
        <v>125.480007972</v>
      </c>
      <c r="K128" s="3" t="str">
        <f>IF(G128="Not Age Eligible","",IF(G128="17-21",IF(MAX(T128,V128,Y128,AA128,AC128,AF128)&gt;=LOOKUP(G128,'Qualifying Scores'!$A$4:$A$7,'Qualifying Scores'!$C$4:$C$7),"P",""),IF(MAX(X128-U128,AE128-AB128)&gt;=LOOKUP(G128,'Qualifying Scores'!$A$4:$A$7,'Qualifying Scores'!$C$4:$C$7),"P","")))</f>
        <v/>
      </c>
      <c r="L128" s="3" t="str">
        <f>IF(G128="Not Age Eligible","",IF(G128="17-21",IF(MAX(U128,W128,Z128,AB128,AD128,AG128)&gt;=LOOKUP(G128,'Qualifying Scores'!$A$10:$A$13,'Qualifying Scores'!$C$10:$C$13),"P",""),IF(MAX(W128,AD128)&gt;=LOOKUP(G128,'Qualifying Scores'!$A$10:$A$13,'Qualifying Scores'!$C$10:$C$13),"P","")))</f>
        <v>P</v>
      </c>
      <c r="M128" s="3" t="str">
        <f>IF(G128="Not Age Eligible","",IF(G128="17-21",IF(OR(AND(T128&gt;=LOOKUP(G128,'Qualifying Scores'!$A$4:$A$7,'Qualifying Scores'!$C$4:$C$7),U128&gt;=LOOKUP(G128,'Qualifying Scores'!$A$10:$A$13,'Qualifying Scores'!$C$10:$C$13)),AND(V128&gt;=LOOKUP(G128,'Qualifying Scores'!$A$4:$A$7,'Qualifying Scores'!$C$4:$C$7),W128&gt;=LOOKUP(G128,'Qualifying Scores'!$A$10:$A$13,'Qualifying Scores'!$C$10:$C$13)),AND(Y128&gt;=LOOKUP(G128,'Qualifying Scores'!$A$4:$A$7,'Qualifying Scores'!$C$4:$C$7),Z128&gt;=LOOKUP(G128,'Qualifying Scores'!$A$10:$A$13,'Qualifying Scores'!$C$10:$C$13)),AND(AA128&gt;=LOOKUP(G128,'Qualifying Scores'!$A$4:$A$7,'Qualifying Scores'!$C$4:$C$7),AB128&gt;=LOOKUP(G128,'Qualifying Scores'!$A$10:$A$13,'Qualifying Scores'!$C$10:$C$13)),AND(AC128&gt;=LOOKUP(G128,'Qualifying Scores'!$A$4:$A$7,'Qualifying Scores'!$C$4:$C$7),AD128&gt;=LOOKUP(G128,'Qualifying Scores'!$A$10:$A$13,'Qualifying Scores'!$C$10:$C$13)),AND(AF128&gt;=LOOKUP(G128,'Qualifying Scores'!$A$4:$A$7,'Qualifying Scores'!$C$4:$C$7),AG128&gt;=LOOKUP(G128,'Qualifying Scores'!$A$10:$A$13,'Qualifying Scores'!$C$10:$C$13))),"P",""),IF(OR(AND(X128-U128&gt;=LOOKUP(G128,'Qualifying Scores'!$A$4:$A$7,'Qualifying Scores'!$C$4:$C$7),W128&gt;=LOOKUP(G128,'Qualifying Scores'!$A$10:$A$13,'Qualifying Scores'!$C$10:$C$13)),AND(AE128-AB128&gt;=LOOKUP(G128,'Qualifying Scores'!$A$4:$A$7,'Qualifying Scores'!$C$4:$C$7),AD128&gt;=LOOKUP(G128,'Qualifying Scores'!$A$10:$A$13,'Qualifying Scores'!$C$10:$C$13))),"P","")))</f>
        <v/>
      </c>
      <c r="Q128" s="1" t="str">
        <f>IF(A128&lt;5,IF(_xlfn.MAXIFS(A:A,G:G,G128)&gt;3,5-A128,_xlfn.MAXIFS(A:A,G:G,G128)+1-A128),"")</f>
        <v/>
      </c>
      <c r="R128" s="4">
        <f>IF(G128="17-21",MAX(T128,V128,Y128,AA128,AC128,AF128),MAX(X128,AE128))</f>
        <v>79.72</v>
      </c>
      <c r="S128" s="4">
        <f>IF(G128="17-21",LARGE(CHOOSE({1,2,3,4,5,6},T128,V128,Y128,AA128,AC128,AF128),2),IF(R128=X128,MAX(Y128,AA128,AC128,AF128),IF(R128=AE128,MAX(AF128,T128,V128,Y128),0)))</f>
        <v>45.76</v>
      </c>
      <c r="T128" s="33">
        <v>11.62</v>
      </c>
      <c r="U128" s="40">
        <v>0</v>
      </c>
      <c r="V128" s="34">
        <v>45.76</v>
      </c>
      <c r="W128" s="40">
        <v>8.1</v>
      </c>
      <c r="X128" s="4">
        <f>IF(H128="Senior",MAX(T128,V128),T128+V128)</f>
        <v>57.379999999999995</v>
      </c>
      <c r="Y128" s="34">
        <v>40.82</v>
      </c>
      <c r="Z128" s="40">
        <v>7.4</v>
      </c>
      <c r="AA128" s="33">
        <v>36.159999999999997</v>
      </c>
      <c r="AB128" s="40">
        <v>0</v>
      </c>
      <c r="AC128" s="34">
        <v>43.56</v>
      </c>
      <c r="AD128" s="40">
        <v>8.8000000000000007</v>
      </c>
      <c r="AE128" s="4">
        <f>IF(H128="Senior",MAX(AA128,AC128),AA128+AC128)</f>
        <v>79.72</v>
      </c>
      <c r="AF128" s="34">
        <v>44.02</v>
      </c>
      <c r="AG128" s="37">
        <v>8.8000000000000007</v>
      </c>
    </row>
    <row r="129" spans="1:33" x14ac:dyDescent="0.2">
      <c r="A129" s="1" t="str" cm="1">
        <f t="array" ref="A129">IF(I129="","",IF(P129&lt;&gt;"",SUMPRODUCT((P$3:P$133&lt;&gt;"")*(G$3:G$133=G129)*(J$3:J$133&gt;J129)*(I$3:I$133="P"))+1,IF(O129&lt;&gt;"",SUMPRODUCT((O$3:O$133&lt;&gt;"")*(P$3:P$133="")*(G$3:G$133=G129)*(J$3:J$133&gt;J129)*(I$3:I$133="P"))+SUMPRODUCT((P$3:P$133&lt;&gt;"")*(G$3:G$133=G129)*(I$3:I$133="P"))+1,IF(N129&lt;&gt;"",SUMPRODUCT((N$3:N$133&lt;&gt;"")*(G$3:G$133=G129)*(J$3:J$133&gt;J129)*(I$3:I$133="P"))+1,IF(M129="P",SUMPRODUCT((O$3:O$133&lt;&gt;"")*(P$3:P$133="")*(G$3:G$133=G129)*(I$3:I$133="P"))+SUMPRODUCT((P$3:P$133&lt;&gt;"")*(G$3:G$133=G129)*(I$3:I$133="P"))+SUMPRODUCT((N$3:N$133&lt;&gt;"")*(G$3:G$133=G129)*(I$3:I$133="P"))+SUMPRODUCT((P$3:P$133="")*(O$3:O$133="")*(N$3:N$133="")*(M$3:M$133="P")*(G$3:G$133=G129)*(J$3:J$133&gt;J129)*(I$3:I$133="P"))+IF(H129="L5",SUMPRODUCT((P$3:P$133="")*(O$3:O$133="")*(N$3:N$133="")*(M$3:M$133="P")*(G$3:G$133=G129)*(J$3:J$133&lt;J129)*(H$3:H$133&lt;&gt;H129)*(I$3:I$133="P")),-1*SUMPRODUCT((P$3:P$133="")*(O$3:O$133="")*(N$3:N$133="")*(M$3:M$133="P")*(G$3:G$133=G129)*(J$3:J$133&gt;J129)*(H$3:H$133="L5")*(I$3:I$133="P")))+1,"")))))</f>
        <v/>
      </c>
      <c r="B129" s="1" t="str" cm="1">
        <f t="array" ref="B129">IF(P129&lt;&gt;"",SUMPRODUCT((P$3:P$133&lt;&gt;"")*(G$3:G$133=G129)*(J$3:J$133&gt;J129))+1,IF(O129&lt;&gt;"",SUMPRODUCT((O$3:O$133&lt;&gt;"")*(P$3:P$133="")*(G$3:G$133=G129)*(J$3:J$133&gt;J129))+SUMPRODUCT((P$3:P$133&lt;&gt;"")*(G$3:G$133=G129))+1,IF(N129&lt;&gt;"",SUMPRODUCT((N$3:N$133&lt;&gt;"")*(G$3:G$133=G129)*(J$3:J$133&gt;J129))+1,IF(M129="P",SUMPRODUCT((O$3:O$133&lt;&gt;"")*(P$3:P$133="")*(G$3:G$133=G129))+SUMPRODUCT((P$3:P$133&lt;&gt;"")*(G$3:G$133=G129))+SUMPRODUCT((N$3:N$133&lt;&gt;"")*(G$3:G$133=G129))+SUMPRODUCT((P$3:P$133="")*(O$3:O$133="")*(N$3:N$133="")*(M$3:M$133="P")*(G$3:G$133=G129)*(J$3:J$133&gt;J129))+IF(H129="L5",SUMPRODUCT((P$3:P$133="")*(O$3:O$133="")*(N$3:N$133="")*(M$3:M$133="P")*(G$3:G$133=G129)*(J$3:J$133&lt;J129)*(H$3:H$133&lt;&gt;H129)),-1*SUMPRODUCT((P$3:P$133="")*(O$3:O$133="")*(N$3:N$133="")*(M$3:M$133="P")*(G$3:G$133=G129)*(J$3:J$133&gt;J129)*(H$3:H$133="L5")))+1,""))))</f>
        <v/>
      </c>
      <c r="C129" s="36" t="s">
        <v>355</v>
      </c>
      <c r="D129" s="36" t="str">
        <f>IF(E129="","",VLOOKUP(E129,'Coaching Points'!A:B,2,0))</f>
        <v>AB</v>
      </c>
      <c r="E129" s="36" t="s">
        <v>29</v>
      </c>
      <c r="F129" s="35">
        <v>2009</v>
      </c>
      <c r="G129" s="1" t="str">
        <f>IF(OR('Qualifying Scores'!$B$1-F129&gt;21,'Qualifying Scores'!$B$1-F129&lt;11),"Not Age Eligible",IF('Qualifying Scores'!$B$1-F129&gt;16,"17-21",IF('Qualifying Scores'!$B$1-F129&gt;14,"15-16",IF('Qualifying Scores'!$B$1-F129&gt;12,"13-14",IF('Qualifying Scores'!$B$1-F129&gt;10,"11-12","Not Age Eligible")))))</f>
        <v>13-14</v>
      </c>
      <c r="H129" s="39" t="s">
        <v>66</v>
      </c>
      <c r="I129" s="43" t="s">
        <v>567</v>
      </c>
      <c r="J129" s="4">
        <f>R129+S129+IF(OR(H129="Junior",H129="Senior"),0.0002,IF(OR(H129="L7",H129="L6"),0.0001,0))+IF(G129="17-21",MAX(AA129,AC129,AF129),AE129)*0.0000001</f>
        <v>123.49000792599998</v>
      </c>
      <c r="K129" s="3" t="str">
        <f>IF(G129="Not Age Eligible","",IF(G129="17-21",IF(MAX(T129,V129,Y129,AA129,AC129,AF129)&gt;=LOOKUP(G129,'Qualifying Scores'!$A$4:$A$7,'Qualifying Scores'!$C$4:$C$7),"P",""),IF(MAX(X129-U129,AE129-AB129)&gt;=LOOKUP(G129,'Qualifying Scores'!$A$4:$A$7,'Qualifying Scores'!$C$4:$C$7),"P","")))</f>
        <v/>
      </c>
      <c r="L129" s="3" t="str">
        <f>IF(G129="Not Age Eligible","",IF(G129="17-21",IF(MAX(U129,W129,Z129,AB129,AD129,AG129)&gt;=LOOKUP(G129,'Qualifying Scores'!$A$10:$A$13,'Qualifying Scores'!$C$10:$C$13),"P",""),IF(MAX(W129,AD129)&gt;=LOOKUP(G129,'Qualifying Scores'!$A$10:$A$13,'Qualifying Scores'!$C$10:$C$13),"P","")))</f>
        <v/>
      </c>
      <c r="M129" s="3" t="str">
        <f>IF(G129="Not Age Eligible","",IF(G129="17-21",IF(OR(AND(T129&gt;=LOOKUP(G129,'Qualifying Scores'!$A$4:$A$7,'Qualifying Scores'!$C$4:$C$7),U129&gt;=LOOKUP(G129,'Qualifying Scores'!$A$10:$A$13,'Qualifying Scores'!$C$10:$C$13)),AND(V129&gt;=LOOKUP(G129,'Qualifying Scores'!$A$4:$A$7,'Qualifying Scores'!$C$4:$C$7),W129&gt;=LOOKUP(G129,'Qualifying Scores'!$A$10:$A$13,'Qualifying Scores'!$C$10:$C$13)),AND(Y129&gt;=LOOKUP(G129,'Qualifying Scores'!$A$4:$A$7,'Qualifying Scores'!$C$4:$C$7),Z129&gt;=LOOKUP(G129,'Qualifying Scores'!$A$10:$A$13,'Qualifying Scores'!$C$10:$C$13)),AND(AA129&gt;=LOOKUP(G129,'Qualifying Scores'!$A$4:$A$7,'Qualifying Scores'!$C$4:$C$7),AB129&gt;=LOOKUP(G129,'Qualifying Scores'!$A$10:$A$13,'Qualifying Scores'!$C$10:$C$13)),AND(AC129&gt;=LOOKUP(G129,'Qualifying Scores'!$A$4:$A$7,'Qualifying Scores'!$C$4:$C$7),AD129&gt;=LOOKUP(G129,'Qualifying Scores'!$A$10:$A$13,'Qualifying Scores'!$C$10:$C$13)),AND(AF129&gt;=LOOKUP(G129,'Qualifying Scores'!$A$4:$A$7,'Qualifying Scores'!$C$4:$C$7),AG129&gt;=LOOKUP(G129,'Qualifying Scores'!$A$10:$A$13,'Qualifying Scores'!$C$10:$C$13))),"P",""),IF(OR(AND(X129-U129&gt;=LOOKUP(G129,'Qualifying Scores'!$A$4:$A$7,'Qualifying Scores'!$C$4:$C$7),W129&gt;=LOOKUP(G129,'Qualifying Scores'!$A$10:$A$13,'Qualifying Scores'!$C$10:$C$13)),AND(AE129-AB129&gt;=LOOKUP(G129,'Qualifying Scores'!$A$4:$A$7,'Qualifying Scores'!$C$4:$C$7),AD129&gt;=LOOKUP(G129,'Qualifying Scores'!$A$10:$A$13,'Qualifying Scores'!$C$10:$C$13))),"P","")))</f>
        <v/>
      </c>
      <c r="Q129" s="1" t="str">
        <f>IF(A129&lt;5,IF(_xlfn.MAXIFS(A:A,G:G,G129)&gt;3,5-A129,_xlfn.MAXIFS(A:A,G:G,G129)+1-A129),"")</f>
        <v/>
      </c>
      <c r="R129" s="4">
        <f>IF(G129="17-21",MAX(T129,V129,Y129,AA129,AC129,AF129),MAX(X129,AE129))</f>
        <v>79.259999999999991</v>
      </c>
      <c r="S129" s="4">
        <f>IF(G129="17-21",LARGE(CHOOSE({1,2,3,4,5,6},T129,V129,Y129,AA129,AC129,AF129),2),IF(R129=X129,MAX(Y129,AA129,AC129,AF129),IF(R129=AE129,MAX(AF129,T129,V129,Y129),0)))</f>
        <v>44.23</v>
      </c>
      <c r="T129" s="33"/>
      <c r="U129" s="40"/>
      <c r="V129" s="34"/>
      <c r="W129" s="40"/>
      <c r="X129" s="4">
        <f>IF(H129="Senior",MAX(T129,V129),T129+V129)</f>
        <v>0</v>
      </c>
      <c r="Y129" s="34"/>
      <c r="Z129" s="40"/>
      <c r="AA129" s="33">
        <v>38.26</v>
      </c>
      <c r="AB129" s="40">
        <v>0</v>
      </c>
      <c r="AC129" s="34">
        <v>41</v>
      </c>
      <c r="AD129" s="40">
        <v>7.3</v>
      </c>
      <c r="AE129" s="4">
        <f>IF(H129="Senior",MAX(AA129,AC129),AA129+AC129)</f>
        <v>79.259999999999991</v>
      </c>
      <c r="AF129" s="34">
        <v>44.23</v>
      </c>
      <c r="AG129" s="37">
        <v>7.3</v>
      </c>
    </row>
    <row r="130" spans="1:33" x14ac:dyDescent="0.2">
      <c r="A130" s="1" t="str" cm="1">
        <f t="array" ref="A130">IF(I130="","",IF(P130&lt;&gt;"",SUMPRODUCT((P$3:P$133&lt;&gt;"")*(G$3:G$133=G130)*(J$3:J$133&gt;J130)*(I$3:I$133="P"))+1,IF(O130&lt;&gt;"",SUMPRODUCT((O$3:O$133&lt;&gt;"")*(P$3:P$133="")*(G$3:G$133=G130)*(J$3:J$133&gt;J130)*(I$3:I$133="P"))+SUMPRODUCT((P$3:P$133&lt;&gt;"")*(G$3:G$133=G130)*(I$3:I$133="P"))+1,IF(N130&lt;&gt;"",SUMPRODUCT((N$3:N$133&lt;&gt;"")*(G$3:G$133=G130)*(J$3:J$133&gt;J130)*(I$3:I$133="P"))+1,IF(M130="P",SUMPRODUCT((O$3:O$133&lt;&gt;"")*(P$3:P$133="")*(G$3:G$133=G130)*(I$3:I$133="P"))+SUMPRODUCT((P$3:P$133&lt;&gt;"")*(G$3:G$133=G130)*(I$3:I$133="P"))+SUMPRODUCT((N$3:N$133&lt;&gt;"")*(G$3:G$133=G130)*(I$3:I$133="P"))+SUMPRODUCT((P$3:P$133="")*(O$3:O$133="")*(N$3:N$133="")*(M$3:M$133="P")*(G$3:G$133=G130)*(J$3:J$133&gt;J130)*(I$3:I$133="P"))+IF(H130="L5",SUMPRODUCT((P$3:P$133="")*(O$3:O$133="")*(N$3:N$133="")*(M$3:M$133="P")*(G$3:G$133=G130)*(J$3:J$133&lt;J130)*(H$3:H$133&lt;&gt;H130)*(I$3:I$133="P")),-1*SUMPRODUCT((P$3:P$133="")*(O$3:O$133="")*(N$3:N$133="")*(M$3:M$133="P")*(G$3:G$133=G130)*(J$3:J$133&gt;J130)*(H$3:H$133="L5")*(I$3:I$133="P")))+1,"")))))</f>
        <v/>
      </c>
      <c r="B130" s="1" t="str" cm="1">
        <f t="array" ref="B130">IF(P130&lt;&gt;"",SUMPRODUCT((P$3:P$133&lt;&gt;"")*(G$3:G$133=G130)*(J$3:J$133&gt;J130))+1,IF(O130&lt;&gt;"",SUMPRODUCT((O$3:O$133&lt;&gt;"")*(P$3:P$133="")*(G$3:G$133=G130)*(J$3:J$133&gt;J130))+SUMPRODUCT((P$3:P$133&lt;&gt;"")*(G$3:G$133=G130))+1,IF(N130&lt;&gt;"",SUMPRODUCT((N$3:N$133&lt;&gt;"")*(G$3:G$133=G130)*(J$3:J$133&gt;J130))+1,IF(M130="P",SUMPRODUCT((O$3:O$133&lt;&gt;"")*(P$3:P$133="")*(G$3:G$133=G130))+SUMPRODUCT((P$3:P$133&lt;&gt;"")*(G$3:G$133=G130))+SUMPRODUCT((N$3:N$133&lt;&gt;"")*(G$3:G$133=G130))+SUMPRODUCT((P$3:P$133="")*(O$3:O$133="")*(N$3:N$133="")*(M$3:M$133="P")*(G$3:G$133=G130)*(J$3:J$133&gt;J130))+IF(H130="L5",SUMPRODUCT((P$3:P$133="")*(O$3:O$133="")*(N$3:N$133="")*(M$3:M$133="P")*(G$3:G$133=G130)*(J$3:J$133&lt;J130)*(H$3:H$133&lt;&gt;H130)),-1*SUMPRODUCT((P$3:P$133="")*(O$3:O$133="")*(N$3:N$133="")*(M$3:M$133="P")*(G$3:G$133=G130)*(J$3:J$133&gt;J130)*(H$3:H$133="L5")))+1,""))))</f>
        <v/>
      </c>
      <c r="C130" s="36" t="s">
        <v>306</v>
      </c>
      <c r="D130" s="36" t="str">
        <f>IF(E130="","",VLOOKUP(E130,'Coaching Points'!A:B,2,0))</f>
        <v>AB</v>
      </c>
      <c r="E130" s="36" t="s">
        <v>40</v>
      </c>
      <c r="F130" s="35">
        <v>2010</v>
      </c>
      <c r="G130" s="1" t="str">
        <f>IF(OR('Qualifying Scores'!$B$1-F130&gt;21,'Qualifying Scores'!$B$1-F130&lt;11),"Not Age Eligible",IF('Qualifying Scores'!$B$1-F130&gt;16,"17-21",IF('Qualifying Scores'!$B$1-F130&gt;14,"15-16",IF('Qualifying Scores'!$B$1-F130&gt;12,"13-14",IF('Qualifying Scores'!$B$1-F130&gt;10,"11-12","Not Age Eligible")))))</f>
        <v>13-14</v>
      </c>
      <c r="H130" s="39" t="s">
        <v>66</v>
      </c>
      <c r="I130" s="43"/>
      <c r="J130" s="4">
        <f>R130+S130+IF(OR(H130="Junior",H130="Senior"),0.0002,IF(OR(H130="L7",H130="L6"),0.0001,0))+IF(G130="17-21",MAX(AA130,AC130,AF130),AE130)*0.0000001</f>
        <v>123.060007275</v>
      </c>
      <c r="K130" s="3" t="str">
        <f>IF(G130="Not Age Eligible","",IF(G130="17-21",IF(MAX(T130,V130,Y130,AA130,AC130,AF130)&gt;=LOOKUP(G130,'Qualifying Scores'!$A$4:$A$7,'Qualifying Scores'!$C$4:$C$7),"P",""),IF(MAX(X130-U130,AE130-AB130)&gt;=LOOKUP(G130,'Qualifying Scores'!$A$4:$A$7,'Qualifying Scores'!$C$4:$C$7),"P","")))</f>
        <v/>
      </c>
      <c r="L130" s="3" t="str">
        <f>IF(G130="Not Age Eligible","",IF(G130="17-21",IF(MAX(U130,W130,Z130,AB130,AD130,AG130)&gt;=LOOKUP(G130,'Qualifying Scores'!$A$10:$A$13,'Qualifying Scores'!$C$10:$C$13),"P",""),IF(MAX(W130,AD130)&gt;=LOOKUP(G130,'Qualifying Scores'!$A$10:$A$13,'Qualifying Scores'!$C$10:$C$13),"P","")))</f>
        <v>P</v>
      </c>
      <c r="M130" s="3" t="str">
        <f>IF(G130="Not Age Eligible","",IF(G130="17-21",IF(OR(AND(T130&gt;=LOOKUP(G130,'Qualifying Scores'!$A$4:$A$7,'Qualifying Scores'!$C$4:$C$7),U130&gt;=LOOKUP(G130,'Qualifying Scores'!$A$10:$A$13,'Qualifying Scores'!$C$10:$C$13)),AND(V130&gt;=LOOKUP(G130,'Qualifying Scores'!$A$4:$A$7,'Qualifying Scores'!$C$4:$C$7),W130&gt;=LOOKUP(G130,'Qualifying Scores'!$A$10:$A$13,'Qualifying Scores'!$C$10:$C$13)),AND(Y130&gt;=LOOKUP(G130,'Qualifying Scores'!$A$4:$A$7,'Qualifying Scores'!$C$4:$C$7),Z130&gt;=LOOKUP(G130,'Qualifying Scores'!$A$10:$A$13,'Qualifying Scores'!$C$10:$C$13)),AND(AA130&gt;=LOOKUP(G130,'Qualifying Scores'!$A$4:$A$7,'Qualifying Scores'!$C$4:$C$7),AB130&gt;=LOOKUP(G130,'Qualifying Scores'!$A$10:$A$13,'Qualifying Scores'!$C$10:$C$13)),AND(AC130&gt;=LOOKUP(G130,'Qualifying Scores'!$A$4:$A$7,'Qualifying Scores'!$C$4:$C$7),AD130&gt;=LOOKUP(G130,'Qualifying Scores'!$A$10:$A$13,'Qualifying Scores'!$C$10:$C$13)),AND(AF130&gt;=LOOKUP(G130,'Qualifying Scores'!$A$4:$A$7,'Qualifying Scores'!$C$4:$C$7),AG130&gt;=LOOKUP(G130,'Qualifying Scores'!$A$10:$A$13,'Qualifying Scores'!$C$10:$C$13))),"P",""),IF(OR(AND(X130-U130&gt;=LOOKUP(G130,'Qualifying Scores'!$A$4:$A$7,'Qualifying Scores'!$C$4:$C$7),W130&gt;=LOOKUP(G130,'Qualifying Scores'!$A$10:$A$13,'Qualifying Scores'!$C$10:$C$13)),AND(AE130-AB130&gt;=LOOKUP(G130,'Qualifying Scores'!$A$4:$A$7,'Qualifying Scores'!$C$4:$C$7),AD130&gt;=LOOKUP(G130,'Qualifying Scores'!$A$10:$A$13,'Qualifying Scores'!$C$10:$C$13))),"P","")))</f>
        <v/>
      </c>
      <c r="Q130" s="1" t="str">
        <f>IF(A130&lt;5,IF(_xlfn.MAXIFS(A:A,G:G,G130)&gt;3,5-A130,_xlfn.MAXIFS(A:A,G:G,G130)+1-A130),"")</f>
        <v/>
      </c>
      <c r="R130" s="4">
        <f>IF(G130="17-21",MAX(T130,V130,Y130,AA130,AC130,AF130),MAX(X130,AE130))</f>
        <v>78.16</v>
      </c>
      <c r="S130" s="4">
        <f>IF(G130="17-21",LARGE(CHOOSE({1,2,3,4,5,6},T130,V130,Y130,AA130,AC130,AF130),2),IF(R130=X130,MAX(Y130,AA130,AC130,AF130),IF(R130=AE130,MAX(AF130,T130,V130,Y130),0)))</f>
        <v>44.9</v>
      </c>
      <c r="T130" s="33">
        <v>35.479999999999997</v>
      </c>
      <c r="U130" s="40">
        <v>0</v>
      </c>
      <c r="V130" s="34">
        <v>42.68</v>
      </c>
      <c r="W130" s="40">
        <v>8.1</v>
      </c>
      <c r="X130" s="4">
        <f>IF(H130="Senior",MAX(T130,V130),T130+V130)</f>
        <v>78.16</v>
      </c>
      <c r="Y130" s="34">
        <v>43.02</v>
      </c>
      <c r="Z130" s="40">
        <v>8.1</v>
      </c>
      <c r="AA130" s="33">
        <v>29.44</v>
      </c>
      <c r="AB130" s="40">
        <v>0</v>
      </c>
      <c r="AC130" s="34">
        <v>43.31</v>
      </c>
      <c r="AD130" s="40">
        <v>8.9</v>
      </c>
      <c r="AE130" s="4">
        <f>IF(H130="Senior",MAX(AA130,AC130),AA130+AC130)</f>
        <v>72.75</v>
      </c>
      <c r="AF130" s="34">
        <v>44.9</v>
      </c>
      <c r="AG130" s="37">
        <v>8.9</v>
      </c>
    </row>
    <row r="131" spans="1:33" x14ac:dyDescent="0.2">
      <c r="A131" s="1" t="str" cm="1">
        <f t="array" ref="A131">IF(I131="","",IF(P131&lt;&gt;"",SUMPRODUCT((P$3:P$133&lt;&gt;"")*(G$3:G$133=G131)*(J$3:J$133&gt;J131)*(I$3:I$133="P"))+1,IF(O131&lt;&gt;"",SUMPRODUCT((O$3:O$133&lt;&gt;"")*(P$3:P$133="")*(G$3:G$133=G131)*(J$3:J$133&gt;J131)*(I$3:I$133="P"))+SUMPRODUCT((P$3:P$133&lt;&gt;"")*(G$3:G$133=G131)*(I$3:I$133="P"))+1,IF(N131&lt;&gt;"",SUMPRODUCT((N$3:N$133&lt;&gt;"")*(G$3:G$133=G131)*(J$3:J$133&gt;J131)*(I$3:I$133="P"))+1,IF(M131="P",SUMPRODUCT((O$3:O$133&lt;&gt;"")*(P$3:P$133="")*(G$3:G$133=G131)*(I$3:I$133="P"))+SUMPRODUCT((P$3:P$133&lt;&gt;"")*(G$3:G$133=G131)*(I$3:I$133="P"))+SUMPRODUCT((N$3:N$133&lt;&gt;"")*(G$3:G$133=G131)*(I$3:I$133="P"))+SUMPRODUCT((P$3:P$133="")*(O$3:O$133="")*(N$3:N$133="")*(M$3:M$133="P")*(G$3:G$133=G131)*(J$3:J$133&gt;J131)*(I$3:I$133="P"))+IF(H131="L5",SUMPRODUCT((P$3:P$133="")*(O$3:O$133="")*(N$3:N$133="")*(M$3:M$133="P")*(G$3:G$133=G131)*(J$3:J$133&lt;J131)*(H$3:H$133&lt;&gt;H131)*(I$3:I$133="P")),-1*SUMPRODUCT((P$3:P$133="")*(O$3:O$133="")*(N$3:N$133="")*(M$3:M$133="P")*(G$3:G$133=G131)*(J$3:J$133&gt;J131)*(H$3:H$133="L5")*(I$3:I$133="P")))+1,"")))))</f>
        <v/>
      </c>
      <c r="B131" s="1" t="str" cm="1">
        <f t="array" ref="B131">IF(P131&lt;&gt;"",SUMPRODUCT((P$3:P$133&lt;&gt;"")*(G$3:G$133=G131)*(J$3:J$133&gt;J131))+1,IF(O131&lt;&gt;"",SUMPRODUCT((O$3:O$133&lt;&gt;"")*(P$3:P$133="")*(G$3:G$133=G131)*(J$3:J$133&gt;J131))+SUMPRODUCT((P$3:P$133&lt;&gt;"")*(G$3:G$133=G131))+1,IF(N131&lt;&gt;"",SUMPRODUCT((N$3:N$133&lt;&gt;"")*(G$3:G$133=G131)*(J$3:J$133&gt;J131))+1,IF(M131="P",SUMPRODUCT((O$3:O$133&lt;&gt;"")*(P$3:P$133="")*(G$3:G$133=G131))+SUMPRODUCT((P$3:P$133&lt;&gt;"")*(G$3:G$133=G131))+SUMPRODUCT((N$3:N$133&lt;&gt;"")*(G$3:G$133=G131))+SUMPRODUCT((P$3:P$133="")*(O$3:O$133="")*(N$3:N$133="")*(M$3:M$133="P")*(G$3:G$133=G131)*(J$3:J$133&gt;J131))+IF(H131="L5",SUMPRODUCT((P$3:P$133="")*(O$3:O$133="")*(N$3:N$133="")*(M$3:M$133="P")*(G$3:G$133=G131)*(J$3:J$133&lt;J131)*(H$3:H$133&lt;&gt;H131)),-1*SUMPRODUCT((P$3:P$133="")*(O$3:O$133="")*(N$3:N$133="")*(M$3:M$133="P")*(G$3:G$133=G131)*(J$3:J$133&gt;J131)*(H$3:H$133="L5")))+1,""))))</f>
        <v/>
      </c>
      <c r="C131" s="36" t="s">
        <v>236</v>
      </c>
      <c r="D131" s="36" t="str">
        <f>IF(E131="","",VLOOKUP(E131,'Coaching Points'!A:B,2,0))</f>
        <v>BC</v>
      </c>
      <c r="E131" s="36" t="s">
        <v>41</v>
      </c>
      <c r="F131" s="35">
        <v>2009</v>
      </c>
      <c r="G131" s="1" t="str">
        <f>IF(OR('Qualifying Scores'!$B$1-F131&gt;21,'Qualifying Scores'!$B$1-F131&lt;11),"Not Age Eligible",IF('Qualifying Scores'!$B$1-F131&gt;16,"17-21",IF('Qualifying Scores'!$B$1-F131&gt;14,"15-16",IF('Qualifying Scores'!$B$1-F131&gt;12,"13-14",IF('Qualifying Scores'!$B$1-F131&gt;10,"11-12","Not Age Eligible")))))</f>
        <v>13-14</v>
      </c>
      <c r="H131" s="39" t="s">
        <v>66</v>
      </c>
      <c r="I131" s="43" t="s">
        <v>567</v>
      </c>
      <c r="J131" s="4">
        <f>R131+S131+IF(OR(H131="Junior",H131="Senior"),0.0002,IF(OR(H131="L7",H131="L6"),0.0001,0))+IF(G131="17-21",MAX(AA131,AC131,AF131),AE131)*0.0000001</f>
        <v>119.09000570400001</v>
      </c>
      <c r="K131" s="3" t="str">
        <f>IF(G131="Not Age Eligible","",IF(G131="17-21",IF(MAX(T131,V131,Y131,AA131,AC131,AF131)&gt;=LOOKUP(G131,'Qualifying Scores'!$A$4:$A$7,'Qualifying Scores'!$C$4:$C$7),"P",""),IF(MAX(X131-U131,AE131-AB131)&gt;=LOOKUP(G131,'Qualifying Scores'!$A$4:$A$7,'Qualifying Scores'!$C$4:$C$7),"P","")))</f>
        <v/>
      </c>
      <c r="L131" s="3" t="str">
        <f>IF(G131="Not Age Eligible","",IF(G131="17-21",IF(MAX(U131,W131,Z131,AB131,AD131,AG131)&gt;=LOOKUP(G131,'Qualifying Scores'!$A$10:$A$13,'Qualifying Scores'!$C$10:$C$13),"P",""),IF(MAX(W131,AD131)&gt;=LOOKUP(G131,'Qualifying Scores'!$A$10:$A$13,'Qualifying Scores'!$C$10:$C$13),"P","")))</f>
        <v>P</v>
      </c>
      <c r="M131" s="3" t="str">
        <f>IF(G131="Not Age Eligible","",IF(G131="17-21",IF(OR(AND(T131&gt;=LOOKUP(G131,'Qualifying Scores'!$A$4:$A$7,'Qualifying Scores'!$C$4:$C$7),U131&gt;=LOOKUP(G131,'Qualifying Scores'!$A$10:$A$13,'Qualifying Scores'!$C$10:$C$13)),AND(V131&gt;=LOOKUP(G131,'Qualifying Scores'!$A$4:$A$7,'Qualifying Scores'!$C$4:$C$7),W131&gt;=LOOKUP(G131,'Qualifying Scores'!$A$10:$A$13,'Qualifying Scores'!$C$10:$C$13)),AND(Y131&gt;=LOOKUP(G131,'Qualifying Scores'!$A$4:$A$7,'Qualifying Scores'!$C$4:$C$7),Z131&gt;=LOOKUP(G131,'Qualifying Scores'!$A$10:$A$13,'Qualifying Scores'!$C$10:$C$13)),AND(AA131&gt;=LOOKUP(G131,'Qualifying Scores'!$A$4:$A$7,'Qualifying Scores'!$C$4:$C$7),AB131&gt;=LOOKUP(G131,'Qualifying Scores'!$A$10:$A$13,'Qualifying Scores'!$C$10:$C$13)),AND(AC131&gt;=LOOKUP(G131,'Qualifying Scores'!$A$4:$A$7,'Qualifying Scores'!$C$4:$C$7),AD131&gt;=LOOKUP(G131,'Qualifying Scores'!$A$10:$A$13,'Qualifying Scores'!$C$10:$C$13)),AND(AF131&gt;=LOOKUP(G131,'Qualifying Scores'!$A$4:$A$7,'Qualifying Scores'!$C$4:$C$7),AG131&gt;=LOOKUP(G131,'Qualifying Scores'!$A$10:$A$13,'Qualifying Scores'!$C$10:$C$13))),"P",""),IF(OR(AND(X131-U131&gt;=LOOKUP(G131,'Qualifying Scores'!$A$4:$A$7,'Qualifying Scores'!$C$4:$C$7),W131&gt;=LOOKUP(G131,'Qualifying Scores'!$A$10:$A$13,'Qualifying Scores'!$C$10:$C$13)),AND(AE131-AB131&gt;=LOOKUP(G131,'Qualifying Scores'!$A$4:$A$7,'Qualifying Scores'!$C$4:$C$7),AD131&gt;=LOOKUP(G131,'Qualifying Scores'!$A$10:$A$13,'Qualifying Scores'!$C$10:$C$13))),"P","")))</f>
        <v/>
      </c>
      <c r="Q131" s="1" t="str">
        <f>IF(A131&lt;5,IF(_xlfn.MAXIFS(A:A,G:G,G131)&gt;3,5-A131,_xlfn.MAXIFS(A:A,G:G,G131)+1-A131),"")</f>
        <v/>
      </c>
      <c r="R131" s="4">
        <f>IF(G131="17-21",MAX(T131,V131,Y131,AA131,AC131,AF131),MAX(X131,AE131))</f>
        <v>74.960000000000008</v>
      </c>
      <c r="S131" s="4">
        <f>IF(G131="17-21",LARGE(CHOOSE({1,2,3,4,5,6},T131,V131,Y131,AA131,AC131,AF131),2),IF(R131=X131,MAX(Y131,AA131,AC131,AF131),IF(R131=AE131,MAX(AF131,T131,V131,Y131),0)))</f>
        <v>44.13</v>
      </c>
      <c r="T131" s="33">
        <v>30.42</v>
      </c>
      <c r="U131" s="40">
        <v>0</v>
      </c>
      <c r="V131" s="34">
        <v>44.54</v>
      </c>
      <c r="W131" s="40">
        <v>9.1</v>
      </c>
      <c r="X131" s="4">
        <f>IF(H131="Senior",MAX(T131,V131),T131+V131)</f>
        <v>74.960000000000008</v>
      </c>
      <c r="Y131" s="34">
        <v>44.13</v>
      </c>
      <c r="Z131" s="40">
        <v>9.1</v>
      </c>
      <c r="AA131" s="33">
        <v>37.950000000000003</v>
      </c>
      <c r="AB131" s="40">
        <v>0</v>
      </c>
      <c r="AC131" s="34">
        <v>19.09</v>
      </c>
      <c r="AD131" s="40">
        <v>4.5999999999999996</v>
      </c>
      <c r="AE131" s="4">
        <f>IF(H131="Senior",MAX(AA131,AC131),AA131+AC131)</f>
        <v>57.040000000000006</v>
      </c>
      <c r="AF131" s="34"/>
      <c r="AG131" s="37"/>
    </row>
    <row r="132" spans="1:33" x14ac:dyDescent="0.2">
      <c r="A132" s="1" t="str" cm="1">
        <f t="array" ref="A132">IF(I132="","",IF(P132&lt;&gt;"",SUMPRODUCT((P$3:P$133&lt;&gt;"")*(G$3:G$133=G132)*(J$3:J$133&gt;J132)*(I$3:I$133="P"))+1,IF(O132&lt;&gt;"",SUMPRODUCT((O$3:O$133&lt;&gt;"")*(P$3:P$133="")*(G$3:G$133=G132)*(J$3:J$133&gt;J132)*(I$3:I$133="P"))+SUMPRODUCT((P$3:P$133&lt;&gt;"")*(G$3:G$133=G132)*(I$3:I$133="P"))+1,IF(N132&lt;&gt;"",SUMPRODUCT((N$3:N$133&lt;&gt;"")*(G$3:G$133=G132)*(J$3:J$133&gt;J132)*(I$3:I$133="P"))+1,IF(M132="P",SUMPRODUCT((O$3:O$133&lt;&gt;"")*(P$3:P$133="")*(G$3:G$133=G132)*(I$3:I$133="P"))+SUMPRODUCT((P$3:P$133&lt;&gt;"")*(G$3:G$133=G132)*(I$3:I$133="P"))+SUMPRODUCT((N$3:N$133&lt;&gt;"")*(G$3:G$133=G132)*(I$3:I$133="P"))+SUMPRODUCT((P$3:P$133="")*(O$3:O$133="")*(N$3:N$133="")*(M$3:M$133="P")*(G$3:G$133=G132)*(J$3:J$133&gt;J132)*(I$3:I$133="P"))+IF(H132="L5",SUMPRODUCT((P$3:P$133="")*(O$3:O$133="")*(N$3:N$133="")*(M$3:M$133="P")*(G$3:G$133=G132)*(J$3:J$133&lt;J132)*(H$3:H$133&lt;&gt;H132)*(I$3:I$133="P")),-1*SUMPRODUCT((P$3:P$133="")*(O$3:O$133="")*(N$3:N$133="")*(M$3:M$133="P")*(G$3:G$133=G132)*(J$3:J$133&gt;J132)*(H$3:H$133="L5")*(I$3:I$133="P")))+1,"")))))</f>
        <v/>
      </c>
      <c r="B132" s="1" t="str" cm="1">
        <f t="array" ref="B132">IF(P132&lt;&gt;"",SUMPRODUCT((P$3:P$133&lt;&gt;"")*(G$3:G$133=G132)*(J$3:J$133&gt;J132))+1,IF(O132&lt;&gt;"",SUMPRODUCT((O$3:O$133&lt;&gt;"")*(P$3:P$133="")*(G$3:G$133=G132)*(J$3:J$133&gt;J132))+SUMPRODUCT((P$3:P$133&lt;&gt;"")*(G$3:G$133=G132))+1,IF(N132&lt;&gt;"",SUMPRODUCT((N$3:N$133&lt;&gt;"")*(G$3:G$133=G132)*(J$3:J$133&gt;J132))+1,IF(M132="P",SUMPRODUCT((O$3:O$133&lt;&gt;"")*(P$3:P$133="")*(G$3:G$133=G132))+SUMPRODUCT((P$3:P$133&lt;&gt;"")*(G$3:G$133=G132))+SUMPRODUCT((N$3:N$133&lt;&gt;"")*(G$3:G$133=G132))+SUMPRODUCT((P$3:P$133="")*(O$3:O$133="")*(N$3:N$133="")*(M$3:M$133="P")*(G$3:G$133=G132)*(J$3:J$133&gt;J132))+IF(H132="L5",SUMPRODUCT((P$3:P$133="")*(O$3:O$133="")*(N$3:N$133="")*(M$3:M$133="P")*(G$3:G$133=G132)*(J$3:J$133&lt;J132)*(H$3:H$133&lt;&gt;H132)),-1*SUMPRODUCT((P$3:P$133="")*(O$3:O$133="")*(N$3:N$133="")*(M$3:M$133="P")*(G$3:G$133=G132)*(J$3:J$133&gt;J132)*(H$3:H$133="L5")))+1,""))))</f>
        <v/>
      </c>
      <c r="C132" s="36" t="s">
        <v>482</v>
      </c>
      <c r="D132" s="36" t="str">
        <f>IF(E132="","",VLOOKUP(E132,'Coaching Points'!A:B,2,0))</f>
        <v>ON</v>
      </c>
      <c r="E132" s="36" t="s">
        <v>283</v>
      </c>
      <c r="F132" s="35">
        <v>2009</v>
      </c>
      <c r="G132" s="1" t="str">
        <f>IF(OR('Qualifying Scores'!$B$1-F132&gt;21,'Qualifying Scores'!$B$1-F132&lt;11),"Not Age Eligible",IF('Qualifying Scores'!$B$1-F132&gt;16,"17-21",IF('Qualifying Scores'!$B$1-F132&gt;14,"15-16",IF('Qualifying Scores'!$B$1-F132&gt;12,"13-14",IF('Qualifying Scores'!$B$1-F132&gt;10,"11-12","Not Age Eligible")))))</f>
        <v>13-14</v>
      </c>
      <c r="H132" s="39" t="s">
        <v>66</v>
      </c>
      <c r="I132" s="43"/>
      <c r="J132" s="4">
        <f>R132+S132+IF(OR(H132="Junior",H132="Senior"),0.0002,IF(OR(H132="L7",H132="L6"),0.0001,0))+IF(G132="17-21",MAX(AA132,AC132,AF132),AE132)*0.0000001</f>
        <v>99.220008554000003</v>
      </c>
      <c r="K132" s="3" t="str">
        <f>IF(G132="Not Age Eligible","",IF(G132="17-21",IF(MAX(T132,V132,Y132,AA132,AC132,AF132)&gt;=LOOKUP(G132,'Qualifying Scores'!$A$4:$A$7,'Qualifying Scores'!$C$4:$C$7),"P",""),IF(MAX(X132-U132,AE132-AB132)&gt;=LOOKUP(G132,'Qualifying Scores'!$A$4:$A$7,'Qualifying Scores'!$C$4:$C$7),"P","")))</f>
        <v/>
      </c>
      <c r="L132" s="3" t="str">
        <f>IF(G132="Not Age Eligible","",IF(G132="17-21",IF(MAX(U132,W132,Z132,AB132,AD132,AG132)&gt;=LOOKUP(G132,'Qualifying Scores'!$A$10:$A$13,'Qualifying Scores'!$C$10:$C$13),"P",""),IF(MAX(W132,AD132)&gt;=LOOKUP(G132,'Qualifying Scores'!$A$10:$A$13,'Qualifying Scores'!$C$10:$C$13),"P","")))</f>
        <v>P</v>
      </c>
      <c r="M132" s="3" t="str">
        <f>IF(G132="Not Age Eligible","",IF(G132="17-21",IF(OR(AND(T132&gt;=LOOKUP(G132,'Qualifying Scores'!$A$4:$A$7,'Qualifying Scores'!$C$4:$C$7),U132&gt;=LOOKUP(G132,'Qualifying Scores'!$A$10:$A$13,'Qualifying Scores'!$C$10:$C$13)),AND(V132&gt;=LOOKUP(G132,'Qualifying Scores'!$A$4:$A$7,'Qualifying Scores'!$C$4:$C$7),W132&gt;=LOOKUP(G132,'Qualifying Scores'!$A$10:$A$13,'Qualifying Scores'!$C$10:$C$13)),AND(Y132&gt;=LOOKUP(G132,'Qualifying Scores'!$A$4:$A$7,'Qualifying Scores'!$C$4:$C$7),Z132&gt;=LOOKUP(G132,'Qualifying Scores'!$A$10:$A$13,'Qualifying Scores'!$C$10:$C$13)),AND(AA132&gt;=LOOKUP(G132,'Qualifying Scores'!$A$4:$A$7,'Qualifying Scores'!$C$4:$C$7),AB132&gt;=LOOKUP(G132,'Qualifying Scores'!$A$10:$A$13,'Qualifying Scores'!$C$10:$C$13)),AND(AC132&gt;=LOOKUP(G132,'Qualifying Scores'!$A$4:$A$7,'Qualifying Scores'!$C$4:$C$7),AD132&gt;=LOOKUP(G132,'Qualifying Scores'!$A$10:$A$13,'Qualifying Scores'!$C$10:$C$13)),AND(AF132&gt;=LOOKUP(G132,'Qualifying Scores'!$A$4:$A$7,'Qualifying Scores'!$C$4:$C$7),AG132&gt;=LOOKUP(G132,'Qualifying Scores'!$A$10:$A$13,'Qualifying Scores'!$C$10:$C$13))),"P",""),IF(OR(AND(X132-U132&gt;=LOOKUP(G132,'Qualifying Scores'!$A$4:$A$7,'Qualifying Scores'!$C$4:$C$7),W132&gt;=LOOKUP(G132,'Qualifying Scores'!$A$10:$A$13,'Qualifying Scores'!$C$10:$C$13)),AND(AE132-AB132&gt;=LOOKUP(G132,'Qualifying Scores'!$A$4:$A$7,'Qualifying Scores'!$C$4:$C$7),AD132&gt;=LOOKUP(G132,'Qualifying Scores'!$A$10:$A$13,'Qualifying Scores'!$C$10:$C$13))),"P","")))</f>
        <v/>
      </c>
      <c r="Q132" s="1" t="str">
        <f>IF(A132&lt;5,IF(_xlfn.MAXIFS(A:A,G:G,G132)&gt;3,5-A132,_xlfn.MAXIFS(A:A,G:G,G132)+1-A132),"")</f>
        <v/>
      </c>
      <c r="R132" s="4">
        <f>IF(G132="17-21",MAX(T132,V132,Y132,AA132,AC132,AF132),MAX(X132,AE132))</f>
        <v>85.539999999999992</v>
      </c>
      <c r="S132" s="4">
        <f>IF(G132="17-21",LARGE(CHOOSE({1,2,3,4,5,6},T132,V132,Y132,AA132,AC132,AF132),2),IF(R132=X132,MAX(Y132,AA132,AC132,AF132),IF(R132=AE132,MAX(AF132,T132,V132,Y132),0)))</f>
        <v>13.68</v>
      </c>
      <c r="T132" s="33"/>
      <c r="U132" s="40"/>
      <c r="V132" s="34"/>
      <c r="W132" s="40"/>
      <c r="X132" s="4">
        <f>IF(H132="Senior",MAX(T132,V132),T132+V132)</f>
        <v>0</v>
      </c>
      <c r="Y132" s="34"/>
      <c r="Z132" s="40"/>
      <c r="AA132" s="33">
        <v>39.42</v>
      </c>
      <c r="AB132" s="40">
        <v>0</v>
      </c>
      <c r="AC132" s="34">
        <v>46.12</v>
      </c>
      <c r="AD132" s="40">
        <v>8.8000000000000007</v>
      </c>
      <c r="AE132" s="4">
        <f>IF(H132="Senior",MAX(AA132,AC132),AA132+AC132)</f>
        <v>85.539999999999992</v>
      </c>
      <c r="AF132" s="34">
        <v>13.68</v>
      </c>
      <c r="AG132" s="37">
        <v>3.4</v>
      </c>
    </row>
    <row r="133" spans="1:33" x14ac:dyDescent="0.2">
      <c r="B133" s="1"/>
      <c r="G133" s="1"/>
      <c r="H133" s="39"/>
      <c r="I133" s="43"/>
      <c r="J133" s="4"/>
      <c r="K133" s="3"/>
      <c r="L133" s="3"/>
      <c r="R133" s="4"/>
      <c r="S133" s="4"/>
      <c r="T133" s="33"/>
      <c r="U133" s="40"/>
      <c r="V133" s="34"/>
      <c r="W133" s="40"/>
      <c r="X133" s="4"/>
      <c r="Y133" s="34"/>
      <c r="Z133" s="40"/>
      <c r="AA133" s="33"/>
      <c r="AB133" s="40"/>
      <c r="AC133" s="34"/>
      <c r="AD133" s="40"/>
      <c r="AE133" s="4"/>
      <c r="AF133" s="34"/>
      <c r="AG133" s="37"/>
    </row>
    <row r="134" spans="1:33" x14ac:dyDescent="0.2">
      <c r="B134" s="1"/>
      <c r="G134" s="1"/>
      <c r="H134" s="39"/>
      <c r="I134" s="43"/>
      <c r="J134" s="4"/>
      <c r="K134" s="3"/>
      <c r="L134" s="3"/>
      <c r="R134" s="4"/>
      <c r="S134" s="4"/>
      <c r="T134" s="33"/>
      <c r="U134" s="40"/>
      <c r="V134" s="34"/>
      <c r="W134" s="40"/>
      <c r="X134" s="4"/>
      <c r="Y134" s="34"/>
      <c r="Z134" s="40"/>
      <c r="AA134" s="33"/>
      <c r="AB134" s="40"/>
      <c r="AC134" s="34"/>
      <c r="AD134" s="40"/>
      <c r="AE134" s="4"/>
      <c r="AF134" s="34"/>
      <c r="AG134" s="37"/>
    </row>
    <row r="135" spans="1:33" x14ac:dyDescent="0.2">
      <c r="B135" s="1"/>
      <c r="G135" s="1"/>
      <c r="H135" s="39"/>
      <c r="I135" s="43"/>
      <c r="J135" s="4"/>
      <c r="K135" s="3"/>
      <c r="L135" s="3"/>
      <c r="R135" s="4"/>
      <c r="S135" s="4"/>
      <c r="T135" s="33"/>
      <c r="U135" s="40"/>
      <c r="V135" s="34"/>
      <c r="W135" s="40"/>
      <c r="X135" s="4"/>
      <c r="Y135" s="34"/>
      <c r="Z135" s="40"/>
      <c r="AA135" s="33"/>
      <c r="AB135" s="40"/>
      <c r="AC135" s="34"/>
      <c r="AD135" s="40"/>
      <c r="AE135" s="4"/>
      <c r="AF135" s="34"/>
      <c r="AG135" s="37"/>
    </row>
    <row r="136" spans="1:33" x14ac:dyDescent="0.2">
      <c r="B136" s="1"/>
      <c r="G136" s="1"/>
      <c r="H136" s="39"/>
      <c r="I136" s="43"/>
      <c r="J136" s="4"/>
      <c r="K136" s="3"/>
      <c r="L136" s="3"/>
      <c r="R136" s="4"/>
      <c r="S136" s="4"/>
      <c r="T136" s="33"/>
      <c r="U136" s="40"/>
      <c r="V136" s="34"/>
      <c r="W136" s="40"/>
      <c r="X136" s="4"/>
      <c r="Y136" s="34"/>
      <c r="Z136" s="40"/>
      <c r="AA136" s="33"/>
      <c r="AB136" s="40"/>
      <c r="AC136" s="34"/>
      <c r="AD136" s="40"/>
      <c r="AE136" s="4"/>
      <c r="AF136" s="34"/>
      <c r="AG136" s="37"/>
    </row>
    <row r="137" spans="1:33" x14ac:dyDescent="0.2">
      <c r="B137" s="1"/>
      <c r="G137" s="1"/>
      <c r="H137" s="39"/>
      <c r="I137" s="43"/>
      <c r="J137" s="4"/>
      <c r="K137" s="3"/>
      <c r="L137" s="3"/>
      <c r="R137" s="4"/>
      <c r="S137" s="4"/>
      <c r="T137" s="33"/>
      <c r="U137" s="40"/>
      <c r="V137" s="34"/>
      <c r="W137" s="40"/>
      <c r="X137" s="4"/>
      <c r="Y137" s="34"/>
      <c r="Z137" s="40"/>
      <c r="AA137" s="33"/>
      <c r="AB137" s="40"/>
      <c r="AC137" s="34"/>
      <c r="AD137" s="40"/>
      <c r="AE137" s="4"/>
      <c r="AF137" s="34"/>
      <c r="AG137" s="37"/>
    </row>
    <row r="138" spans="1:33" x14ac:dyDescent="0.2">
      <c r="B138" s="1"/>
      <c r="G138" s="1"/>
      <c r="H138" s="39"/>
      <c r="I138" s="43"/>
      <c r="J138" s="4"/>
      <c r="K138" s="3"/>
      <c r="L138" s="3"/>
      <c r="R138" s="4"/>
      <c r="S138" s="4"/>
      <c r="T138" s="33"/>
      <c r="U138" s="40"/>
      <c r="V138" s="34"/>
      <c r="W138" s="40"/>
      <c r="X138" s="4"/>
      <c r="Y138" s="34"/>
      <c r="Z138" s="40"/>
      <c r="AA138" s="33"/>
      <c r="AB138" s="40"/>
      <c r="AC138" s="34"/>
      <c r="AD138" s="40"/>
      <c r="AE138" s="4"/>
      <c r="AF138" s="34"/>
      <c r="AG138" s="37"/>
    </row>
    <row r="139" spans="1:33" x14ac:dyDescent="0.2">
      <c r="B139" s="1"/>
      <c r="G139" s="1"/>
      <c r="H139" s="39"/>
      <c r="I139" s="43"/>
      <c r="J139" s="4"/>
      <c r="K139" s="3"/>
      <c r="L139" s="3"/>
      <c r="R139" s="4"/>
      <c r="S139" s="4"/>
      <c r="T139" s="33"/>
      <c r="U139" s="40"/>
      <c r="V139" s="34"/>
      <c r="W139" s="40"/>
      <c r="X139" s="4"/>
      <c r="Y139" s="34"/>
      <c r="Z139" s="40"/>
      <c r="AA139" s="33"/>
      <c r="AB139" s="40"/>
      <c r="AC139" s="34"/>
      <c r="AD139" s="40"/>
      <c r="AE139" s="4"/>
      <c r="AF139" s="34"/>
      <c r="AG139" s="37"/>
    </row>
    <row r="140" spans="1:33" x14ac:dyDescent="0.2">
      <c r="B140" s="1"/>
      <c r="G140" s="1"/>
      <c r="H140" s="39"/>
      <c r="I140" s="43"/>
      <c r="J140" s="4"/>
      <c r="K140" s="3"/>
      <c r="L140" s="3"/>
      <c r="R140" s="4"/>
      <c r="S140" s="4"/>
      <c r="T140" s="33"/>
      <c r="U140" s="40"/>
      <c r="V140" s="34"/>
      <c r="W140" s="40"/>
      <c r="X140" s="4"/>
      <c r="Y140" s="34"/>
      <c r="Z140" s="40"/>
      <c r="AA140" s="33"/>
      <c r="AB140" s="40"/>
      <c r="AC140" s="34"/>
      <c r="AD140" s="40"/>
      <c r="AE140" s="4"/>
      <c r="AF140" s="34"/>
      <c r="AG140" s="37"/>
    </row>
    <row r="141" spans="1:33" x14ac:dyDescent="0.2">
      <c r="B141" s="1"/>
      <c r="G141" s="1"/>
      <c r="H141" s="39"/>
      <c r="I141" s="43"/>
      <c r="J141" s="4"/>
      <c r="K141" s="3"/>
      <c r="L141" s="3"/>
      <c r="R141" s="4"/>
      <c r="S141" s="4"/>
      <c r="T141" s="33"/>
      <c r="U141" s="40"/>
      <c r="V141" s="34"/>
      <c r="W141" s="40"/>
      <c r="X141" s="4"/>
      <c r="Y141" s="34"/>
      <c r="Z141" s="40"/>
      <c r="AA141" s="33"/>
      <c r="AB141" s="40"/>
      <c r="AC141" s="34"/>
      <c r="AD141" s="40"/>
      <c r="AE141" s="4"/>
      <c r="AF141" s="34"/>
      <c r="AG141" s="37"/>
    </row>
    <row r="142" spans="1:33" x14ac:dyDescent="0.2">
      <c r="B142" s="1"/>
      <c r="G142" s="1"/>
      <c r="H142" s="39"/>
      <c r="I142" s="43"/>
      <c r="J142" s="4"/>
      <c r="K142" s="3"/>
      <c r="L142" s="3"/>
      <c r="R142" s="4"/>
      <c r="S142" s="4"/>
      <c r="T142" s="33"/>
      <c r="U142" s="40"/>
      <c r="V142" s="34"/>
      <c r="W142" s="40"/>
      <c r="X142" s="4"/>
      <c r="Y142" s="34"/>
      <c r="Z142" s="40"/>
      <c r="AA142" s="33"/>
      <c r="AB142" s="40"/>
      <c r="AC142" s="34"/>
      <c r="AD142" s="40"/>
      <c r="AE142" s="4"/>
      <c r="AF142" s="34"/>
      <c r="AG142" s="37"/>
    </row>
    <row r="143" spans="1:33" x14ac:dyDescent="0.2">
      <c r="B143" s="1"/>
      <c r="G143" s="1"/>
      <c r="H143" s="39"/>
      <c r="I143" s="43"/>
      <c r="J143" s="4"/>
      <c r="K143" s="3"/>
      <c r="L143" s="3"/>
      <c r="R143" s="4"/>
      <c r="S143" s="4"/>
      <c r="T143" s="33"/>
      <c r="U143" s="40"/>
      <c r="V143" s="34"/>
      <c r="W143" s="40"/>
      <c r="X143" s="4"/>
      <c r="Y143" s="34"/>
      <c r="Z143" s="40"/>
      <c r="AA143" s="33"/>
      <c r="AB143" s="40"/>
      <c r="AC143" s="34"/>
      <c r="AD143" s="40"/>
      <c r="AE143" s="4"/>
      <c r="AF143" s="34"/>
      <c r="AG143" s="37"/>
    </row>
    <row r="144" spans="1:33" x14ac:dyDescent="0.2">
      <c r="B144" s="1"/>
      <c r="G144" s="1"/>
      <c r="H144" s="39"/>
      <c r="I144" s="43"/>
      <c r="J144" s="4"/>
      <c r="K144" s="3"/>
      <c r="L144" s="3"/>
      <c r="R144" s="4"/>
      <c r="S144" s="4"/>
      <c r="T144" s="33"/>
      <c r="U144" s="40"/>
      <c r="V144" s="34"/>
      <c r="W144" s="40"/>
      <c r="X144" s="4"/>
      <c r="Y144" s="34"/>
      <c r="Z144" s="40"/>
      <c r="AA144" s="33"/>
      <c r="AB144" s="40"/>
      <c r="AC144" s="34"/>
      <c r="AD144" s="40"/>
      <c r="AE144" s="4"/>
      <c r="AF144" s="34"/>
      <c r="AG144" s="37"/>
    </row>
    <row r="145" spans="2:33" x14ac:dyDescent="0.2">
      <c r="B145" s="1"/>
      <c r="G145" s="1"/>
      <c r="H145" s="39"/>
      <c r="I145" s="43"/>
      <c r="J145" s="4"/>
      <c r="K145" s="3"/>
      <c r="L145" s="3"/>
      <c r="R145" s="4"/>
      <c r="S145" s="4"/>
      <c r="T145" s="33"/>
      <c r="U145" s="40"/>
      <c r="V145" s="34"/>
      <c r="W145" s="40"/>
      <c r="X145" s="4"/>
      <c r="Y145" s="34"/>
      <c r="Z145" s="40"/>
      <c r="AA145" s="33"/>
      <c r="AB145" s="40"/>
      <c r="AC145" s="34"/>
      <c r="AD145" s="40"/>
      <c r="AE145" s="4"/>
      <c r="AF145" s="34"/>
      <c r="AG145" s="37"/>
    </row>
    <row r="146" spans="2:33" x14ac:dyDescent="0.2">
      <c r="B146" s="1"/>
      <c r="G146" s="1"/>
      <c r="H146" s="39"/>
      <c r="I146" s="43"/>
      <c r="J146" s="4"/>
      <c r="K146" s="3"/>
      <c r="L146" s="3"/>
      <c r="R146" s="4"/>
      <c r="S146" s="4"/>
      <c r="T146" s="33"/>
      <c r="U146" s="40"/>
      <c r="V146" s="34"/>
      <c r="W146" s="40"/>
      <c r="X146" s="4"/>
      <c r="Y146" s="34"/>
      <c r="Z146" s="40"/>
      <c r="AA146" s="33"/>
      <c r="AB146" s="40"/>
      <c r="AC146" s="34"/>
      <c r="AD146" s="40"/>
      <c r="AE146" s="4"/>
      <c r="AF146" s="34"/>
      <c r="AG146" s="37"/>
    </row>
    <row r="147" spans="2:33" x14ac:dyDescent="0.2">
      <c r="B147" s="1"/>
      <c r="G147" s="1"/>
      <c r="H147" s="39"/>
      <c r="I147" s="43"/>
      <c r="J147" s="4"/>
      <c r="K147" s="3"/>
      <c r="L147" s="3"/>
      <c r="R147" s="4"/>
      <c r="S147" s="4"/>
      <c r="T147" s="33"/>
      <c r="U147" s="40"/>
      <c r="V147" s="34"/>
      <c r="W147" s="40"/>
      <c r="X147" s="4"/>
      <c r="Y147" s="34"/>
      <c r="Z147" s="40"/>
      <c r="AA147" s="33"/>
      <c r="AB147" s="40"/>
      <c r="AC147" s="34"/>
      <c r="AD147" s="40"/>
      <c r="AE147" s="4"/>
      <c r="AF147" s="34"/>
      <c r="AG147" s="37"/>
    </row>
    <row r="148" spans="2:33" x14ac:dyDescent="0.2">
      <c r="B148" s="1"/>
      <c r="G148" s="1"/>
      <c r="H148" s="39"/>
      <c r="I148" s="43"/>
      <c r="J148" s="4"/>
      <c r="K148" s="3"/>
      <c r="L148" s="3"/>
      <c r="R148" s="4"/>
      <c r="S148" s="4"/>
      <c r="T148" s="33"/>
      <c r="U148" s="40"/>
      <c r="V148" s="34"/>
      <c r="W148" s="40"/>
      <c r="X148" s="4"/>
      <c r="Y148" s="34"/>
      <c r="Z148" s="40"/>
      <c r="AA148" s="33"/>
      <c r="AB148" s="40"/>
      <c r="AC148" s="34"/>
      <c r="AD148" s="40"/>
      <c r="AE148" s="4"/>
      <c r="AF148" s="34"/>
      <c r="AG148" s="37"/>
    </row>
    <row r="149" spans="2:33" x14ac:dyDescent="0.2">
      <c r="B149" s="1"/>
      <c r="G149" s="1"/>
      <c r="H149" s="39"/>
      <c r="I149" s="43"/>
      <c r="J149" s="4"/>
      <c r="K149" s="3"/>
      <c r="L149" s="3"/>
      <c r="R149" s="4"/>
      <c r="S149" s="4"/>
      <c r="T149" s="33"/>
      <c r="U149" s="40"/>
      <c r="V149" s="34"/>
      <c r="W149" s="40"/>
      <c r="X149" s="4"/>
      <c r="Y149" s="34"/>
      <c r="Z149" s="40"/>
      <c r="AA149" s="33"/>
      <c r="AB149" s="40"/>
      <c r="AC149" s="34"/>
      <c r="AD149" s="40"/>
      <c r="AE149" s="4"/>
      <c r="AF149" s="34"/>
      <c r="AG149" s="37"/>
    </row>
    <row r="150" spans="2:33" x14ac:dyDescent="0.2">
      <c r="B150" s="1"/>
      <c r="G150" s="1"/>
      <c r="H150" s="39"/>
      <c r="I150" s="43"/>
      <c r="J150" s="4"/>
      <c r="K150" s="3"/>
      <c r="L150" s="3"/>
      <c r="R150" s="4"/>
      <c r="S150" s="4"/>
      <c r="T150" s="33"/>
      <c r="U150" s="40"/>
      <c r="V150" s="34"/>
      <c r="W150" s="40"/>
      <c r="X150" s="4"/>
      <c r="Y150" s="34"/>
      <c r="Z150" s="40"/>
      <c r="AA150" s="33"/>
      <c r="AB150" s="40"/>
      <c r="AC150" s="34"/>
      <c r="AD150" s="40"/>
      <c r="AE150" s="4"/>
      <c r="AF150" s="34"/>
      <c r="AG150" s="37"/>
    </row>
    <row r="151" spans="2:33" x14ac:dyDescent="0.2">
      <c r="B151" s="1"/>
      <c r="G151" s="1"/>
      <c r="H151" s="39"/>
      <c r="I151" s="43"/>
      <c r="J151" s="4"/>
      <c r="K151" s="3"/>
      <c r="L151" s="3"/>
      <c r="R151" s="4"/>
      <c r="S151" s="4"/>
      <c r="T151" s="33"/>
      <c r="U151" s="40"/>
      <c r="V151" s="34"/>
      <c r="W151" s="40"/>
      <c r="X151" s="4"/>
      <c r="Y151" s="34"/>
      <c r="Z151" s="40"/>
      <c r="AA151" s="33"/>
      <c r="AB151" s="40"/>
      <c r="AC151" s="34"/>
      <c r="AD151" s="40"/>
      <c r="AE151" s="4"/>
      <c r="AF151" s="34"/>
      <c r="AG151" s="37"/>
    </row>
    <row r="152" spans="2:33" x14ac:dyDescent="0.2">
      <c r="B152" s="1"/>
      <c r="G152" s="1"/>
      <c r="H152" s="39"/>
      <c r="I152" s="43"/>
      <c r="J152" s="4"/>
      <c r="K152" s="3"/>
      <c r="L152" s="3"/>
      <c r="R152" s="4"/>
      <c r="S152" s="4"/>
      <c r="T152" s="33"/>
      <c r="U152" s="40"/>
      <c r="V152" s="34"/>
      <c r="W152" s="40"/>
      <c r="X152" s="4"/>
      <c r="Y152" s="34"/>
      <c r="Z152" s="40"/>
      <c r="AA152" s="33"/>
      <c r="AB152" s="40"/>
      <c r="AC152" s="34"/>
      <c r="AD152" s="40"/>
      <c r="AE152" s="4"/>
      <c r="AF152" s="34"/>
      <c r="AG152" s="37"/>
    </row>
    <row r="153" spans="2:33" x14ac:dyDescent="0.2">
      <c r="B153" s="1"/>
      <c r="G153" s="1"/>
      <c r="H153" s="39"/>
      <c r="I153" s="43"/>
      <c r="J153" s="4"/>
      <c r="K153" s="3"/>
      <c r="L153" s="3"/>
      <c r="R153" s="4"/>
      <c r="S153" s="4"/>
      <c r="T153" s="33"/>
      <c r="U153" s="40"/>
      <c r="V153" s="34"/>
      <c r="W153" s="40"/>
      <c r="X153" s="4"/>
      <c r="Y153" s="34"/>
      <c r="Z153" s="40"/>
      <c r="AA153" s="33"/>
      <c r="AB153" s="40"/>
      <c r="AC153" s="34"/>
      <c r="AD153" s="40"/>
      <c r="AE153" s="4"/>
      <c r="AF153" s="34"/>
      <c r="AG153" s="37"/>
    </row>
    <row r="154" spans="2:33" x14ac:dyDescent="0.2">
      <c r="B154" s="1"/>
      <c r="G154" s="1"/>
      <c r="H154" s="39"/>
      <c r="I154" s="43"/>
      <c r="J154" s="4"/>
      <c r="K154" s="3"/>
      <c r="L154" s="3"/>
      <c r="R154" s="4"/>
      <c r="S154" s="4"/>
      <c r="T154" s="33"/>
      <c r="U154" s="40"/>
      <c r="V154" s="34"/>
      <c r="W154" s="40"/>
      <c r="X154" s="4"/>
      <c r="Y154" s="34"/>
      <c r="Z154" s="40"/>
      <c r="AA154" s="33"/>
      <c r="AB154" s="40"/>
      <c r="AC154" s="34"/>
      <c r="AD154" s="40"/>
      <c r="AE154" s="4"/>
      <c r="AF154" s="34"/>
      <c r="AG154" s="37"/>
    </row>
    <row r="155" spans="2:33" x14ac:dyDescent="0.2">
      <c r="B155" s="1"/>
      <c r="G155" s="1"/>
      <c r="H155" s="39"/>
      <c r="I155" s="43"/>
      <c r="J155" s="4"/>
      <c r="K155" s="3"/>
      <c r="L155" s="3"/>
      <c r="R155" s="4"/>
      <c r="S155" s="4"/>
      <c r="T155" s="33"/>
      <c r="U155" s="40"/>
      <c r="V155" s="34"/>
      <c r="W155" s="40"/>
      <c r="X155" s="4"/>
      <c r="Y155" s="34"/>
      <c r="Z155" s="40"/>
      <c r="AA155" s="33"/>
      <c r="AB155" s="40"/>
      <c r="AC155" s="34"/>
      <c r="AD155" s="40"/>
      <c r="AE155" s="4"/>
      <c r="AF155" s="34"/>
      <c r="AG155" s="37"/>
    </row>
    <row r="156" spans="2:33" x14ac:dyDescent="0.2">
      <c r="B156" s="1"/>
      <c r="G156" s="1"/>
      <c r="H156" s="39"/>
      <c r="I156" s="43"/>
      <c r="J156" s="4"/>
      <c r="K156" s="3"/>
      <c r="L156" s="3"/>
      <c r="R156" s="4"/>
      <c r="S156" s="4"/>
      <c r="T156" s="33"/>
      <c r="U156" s="40"/>
      <c r="V156" s="34"/>
      <c r="W156" s="40"/>
      <c r="X156" s="4"/>
      <c r="Y156" s="34"/>
      <c r="Z156" s="40"/>
      <c r="AA156" s="33"/>
      <c r="AB156" s="40"/>
      <c r="AC156" s="34"/>
      <c r="AD156" s="40"/>
      <c r="AE156" s="4"/>
      <c r="AF156" s="34"/>
      <c r="AG156" s="37"/>
    </row>
    <row r="157" spans="2:33" x14ac:dyDescent="0.2">
      <c r="B157" s="1"/>
      <c r="G157" s="1"/>
      <c r="H157" s="39"/>
      <c r="I157" s="43"/>
      <c r="J157" s="4"/>
      <c r="K157" s="3"/>
      <c r="L157" s="3"/>
      <c r="R157" s="4"/>
      <c r="S157" s="4"/>
      <c r="T157" s="33"/>
      <c r="U157" s="40"/>
      <c r="V157" s="34"/>
      <c r="W157" s="40"/>
      <c r="X157" s="4"/>
      <c r="Y157" s="34"/>
      <c r="Z157" s="40"/>
      <c r="AA157" s="33"/>
      <c r="AB157" s="40"/>
      <c r="AC157" s="34"/>
      <c r="AD157" s="40"/>
      <c r="AE157" s="4"/>
      <c r="AF157" s="34"/>
      <c r="AG157" s="37"/>
    </row>
    <row r="158" spans="2:33" x14ac:dyDescent="0.2">
      <c r="B158" s="1"/>
      <c r="G158" s="1"/>
      <c r="H158" s="39"/>
      <c r="I158" s="43"/>
      <c r="J158" s="4"/>
      <c r="K158" s="3"/>
      <c r="L158" s="3"/>
      <c r="R158" s="4"/>
      <c r="S158" s="4"/>
      <c r="T158" s="33"/>
      <c r="U158" s="40"/>
      <c r="V158" s="34"/>
      <c r="W158" s="40"/>
      <c r="X158" s="4"/>
      <c r="Y158" s="34"/>
      <c r="Z158" s="40"/>
      <c r="AA158" s="33"/>
      <c r="AB158" s="40"/>
      <c r="AC158" s="34"/>
      <c r="AD158" s="40"/>
      <c r="AE158" s="4"/>
      <c r="AF158" s="34"/>
      <c r="AG158" s="37"/>
    </row>
    <row r="159" spans="2:33" x14ac:dyDescent="0.2">
      <c r="B159" s="1"/>
      <c r="G159" s="1"/>
      <c r="H159" s="39"/>
      <c r="I159" s="43"/>
      <c r="J159" s="4"/>
      <c r="K159" s="3"/>
      <c r="L159" s="3"/>
      <c r="R159" s="4"/>
      <c r="S159" s="4"/>
      <c r="T159" s="33"/>
      <c r="U159" s="40"/>
      <c r="V159" s="34"/>
      <c r="W159" s="40"/>
      <c r="X159" s="4"/>
      <c r="Y159" s="34"/>
      <c r="Z159" s="40"/>
      <c r="AA159" s="33"/>
      <c r="AB159" s="40"/>
      <c r="AC159" s="34"/>
      <c r="AD159" s="40"/>
      <c r="AE159" s="4"/>
      <c r="AF159" s="34"/>
      <c r="AG159" s="37"/>
    </row>
    <row r="160" spans="2:33" x14ac:dyDescent="0.2">
      <c r="B160" s="1"/>
      <c r="G160" s="1"/>
      <c r="H160" s="39"/>
      <c r="I160" s="43"/>
      <c r="J160" s="4"/>
      <c r="K160" s="3"/>
      <c r="L160" s="3"/>
      <c r="R160" s="4"/>
      <c r="S160" s="4"/>
      <c r="T160" s="33"/>
      <c r="U160" s="40"/>
      <c r="V160" s="34"/>
      <c r="W160" s="40"/>
      <c r="X160" s="4"/>
      <c r="Y160" s="34"/>
      <c r="Z160" s="40"/>
      <c r="AA160" s="33"/>
      <c r="AB160" s="40"/>
      <c r="AC160" s="34"/>
      <c r="AD160" s="40"/>
      <c r="AE160" s="4"/>
      <c r="AF160" s="34"/>
      <c r="AG160" s="37"/>
    </row>
    <row r="161" spans="2:33" x14ac:dyDescent="0.2">
      <c r="B161" s="1"/>
      <c r="G161" s="1"/>
      <c r="H161" s="39"/>
      <c r="I161" s="43"/>
      <c r="J161" s="4"/>
      <c r="K161" s="3"/>
      <c r="L161" s="3"/>
      <c r="R161" s="4"/>
      <c r="S161" s="4"/>
      <c r="T161" s="33"/>
      <c r="U161" s="40"/>
      <c r="V161" s="34"/>
      <c r="W161" s="40"/>
      <c r="X161" s="4"/>
      <c r="Y161" s="34"/>
      <c r="Z161" s="40"/>
      <c r="AA161" s="33"/>
      <c r="AB161" s="40"/>
      <c r="AC161" s="34"/>
      <c r="AD161" s="40"/>
      <c r="AE161" s="4"/>
      <c r="AF161" s="34"/>
      <c r="AG161" s="37"/>
    </row>
    <row r="162" spans="2:33" x14ac:dyDescent="0.2">
      <c r="B162" s="1"/>
      <c r="G162" s="1"/>
      <c r="H162" s="39"/>
      <c r="I162" s="43"/>
      <c r="J162" s="4"/>
      <c r="K162" s="3"/>
      <c r="L162" s="3"/>
      <c r="R162" s="4"/>
      <c r="S162" s="4"/>
      <c r="T162" s="33"/>
      <c r="U162" s="40"/>
      <c r="V162" s="34"/>
      <c r="W162" s="40"/>
      <c r="X162" s="4"/>
      <c r="Y162" s="34"/>
      <c r="Z162" s="40"/>
      <c r="AA162" s="33"/>
      <c r="AB162" s="40"/>
      <c r="AC162" s="34"/>
      <c r="AD162" s="40"/>
      <c r="AE162" s="4"/>
      <c r="AF162" s="34"/>
      <c r="AG162" s="37"/>
    </row>
    <row r="163" spans="2:33" x14ac:dyDescent="0.2">
      <c r="B163" s="1"/>
      <c r="G163" s="1"/>
      <c r="H163" s="39"/>
      <c r="I163" s="43"/>
      <c r="J163" s="4"/>
      <c r="K163" s="3"/>
      <c r="L163" s="3"/>
      <c r="R163" s="4"/>
      <c r="S163" s="4"/>
      <c r="T163" s="33"/>
      <c r="U163" s="40"/>
      <c r="V163" s="34"/>
      <c r="W163" s="40"/>
      <c r="X163" s="4"/>
      <c r="Y163" s="34"/>
      <c r="Z163" s="40"/>
      <c r="AA163" s="33"/>
      <c r="AB163" s="40"/>
      <c r="AC163" s="34"/>
      <c r="AD163" s="40"/>
      <c r="AE163" s="4"/>
      <c r="AF163" s="34"/>
      <c r="AG163" s="37"/>
    </row>
    <row r="164" spans="2:33" x14ac:dyDescent="0.2">
      <c r="B164" s="1"/>
      <c r="G164" s="1"/>
      <c r="H164" s="39"/>
      <c r="I164" s="43"/>
      <c r="J164" s="4"/>
      <c r="K164" s="3"/>
      <c r="L164" s="3"/>
      <c r="R164" s="4"/>
      <c r="S164" s="4"/>
      <c r="T164" s="33"/>
      <c r="U164" s="40"/>
      <c r="V164" s="34"/>
      <c r="W164" s="40"/>
      <c r="X164" s="4"/>
      <c r="Y164" s="34"/>
      <c r="Z164" s="40"/>
      <c r="AA164" s="33"/>
      <c r="AB164" s="40"/>
      <c r="AC164" s="34"/>
      <c r="AD164" s="40"/>
      <c r="AE164" s="4"/>
      <c r="AF164" s="34"/>
      <c r="AG164" s="37"/>
    </row>
    <row r="165" spans="2:33" x14ac:dyDescent="0.2">
      <c r="B165" s="1"/>
      <c r="G165" s="1"/>
      <c r="H165" s="39"/>
      <c r="I165" s="43"/>
      <c r="J165" s="4"/>
      <c r="K165" s="3"/>
      <c r="L165" s="3"/>
      <c r="R165" s="4"/>
      <c r="S165" s="4"/>
      <c r="T165" s="33"/>
      <c r="U165" s="40"/>
      <c r="V165" s="34"/>
      <c r="W165" s="40"/>
      <c r="X165" s="4"/>
      <c r="Y165" s="34"/>
      <c r="Z165" s="40"/>
      <c r="AA165" s="33"/>
      <c r="AB165" s="40"/>
      <c r="AC165" s="34"/>
      <c r="AD165" s="40"/>
      <c r="AE165" s="4"/>
      <c r="AF165" s="34"/>
      <c r="AG165" s="37"/>
    </row>
    <row r="166" spans="2:33" x14ac:dyDescent="0.2">
      <c r="B166" s="1"/>
      <c r="G166" s="1"/>
      <c r="H166" s="39"/>
      <c r="I166" s="43"/>
      <c r="J166" s="4"/>
      <c r="K166" s="3"/>
      <c r="L166" s="3"/>
      <c r="R166" s="4"/>
      <c r="S166" s="4"/>
      <c r="T166" s="33"/>
      <c r="U166" s="40"/>
      <c r="V166" s="34"/>
      <c r="W166" s="40"/>
      <c r="X166" s="4"/>
      <c r="Y166" s="34"/>
      <c r="Z166" s="40"/>
      <c r="AA166" s="33"/>
      <c r="AB166" s="40"/>
      <c r="AC166" s="34"/>
      <c r="AD166" s="40"/>
      <c r="AE166" s="4"/>
      <c r="AF166" s="34"/>
      <c r="AG166" s="37"/>
    </row>
    <row r="167" spans="2:33" x14ac:dyDescent="0.2">
      <c r="B167" s="1"/>
      <c r="G167" s="1"/>
      <c r="H167" s="39"/>
      <c r="I167" s="43"/>
      <c r="J167" s="4"/>
      <c r="K167" s="3"/>
      <c r="L167" s="3"/>
      <c r="R167" s="4"/>
      <c r="S167" s="4"/>
      <c r="T167" s="33"/>
      <c r="U167" s="40"/>
      <c r="V167" s="34"/>
      <c r="W167" s="40"/>
      <c r="X167" s="4"/>
      <c r="Y167" s="34"/>
      <c r="Z167" s="40"/>
      <c r="AA167" s="33"/>
      <c r="AB167" s="40"/>
      <c r="AC167" s="34"/>
      <c r="AD167" s="40"/>
      <c r="AE167" s="4"/>
      <c r="AF167" s="34"/>
      <c r="AG167" s="37"/>
    </row>
    <row r="168" spans="2:33" x14ac:dyDescent="0.2">
      <c r="B168" s="1"/>
      <c r="G168" s="1"/>
      <c r="H168" s="39"/>
      <c r="I168" s="43"/>
      <c r="J168" s="4"/>
      <c r="K168" s="3"/>
      <c r="L168" s="3"/>
      <c r="R168" s="4"/>
      <c r="S168" s="4"/>
      <c r="T168" s="33"/>
      <c r="U168" s="40"/>
      <c r="V168" s="34"/>
      <c r="W168" s="40"/>
      <c r="X168" s="4"/>
      <c r="Y168" s="34"/>
      <c r="Z168" s="40"/>
      <c r="AA168" s="33"/>
      <c r="AB168" s="40"/>
      <c r="AC168" s="34"/>
      <c r="AD168" s="40"/>
      <c r="AE168" s="4"/>
      <c r="AF168" s="34"/>
      <c r="AG168" s="37"/>
    </row>
    <row r="169" spans="2:33" x14ac:dyDescent="0.2">
      <c r="B169" s="1"/>
      <c r="G169" s="1"/>
      <c r="H169" s="39"/>
      <c r="I169" s="43"/>
      <c r="J169" s="4"/>
      <c r="K169" s="3"/>
      <c r="L169" s="3"/>
      <c r="R169" s="4"/>
      <c r="S169" s="4"/>
      <c r="T169" s="33"/>
      <c r="U169" s="40"/>
      <c r="V169" s="34"/>
      <c r="W169" s="40"/>
      <c r="X169" s="4"/>
      <c r="Y169" s="34"/>
      <c r="Z169" s="40"/>
      <c r="AA169" s="33"/>
      <c r="AB169" s="40"/>
      <c r="AC169" s="34"/>
      <c r="AD169" s="40"/>
      <c r="AE169" s="4"/>
      <c r="AF169" s="34"/>
      <c r="AG169" s="37"/>
    </row>
    <row r="170" spans="2:33" x14ac:dyDescent="0.2">
      <c r="B170" s="1"/>
      <c r="G170" s="1"/>
      <c r="H170" s="39"/>
      <c r="I170" s="43"/>
      <c r="J170" s="4"/>
      <c r="K170" s="3"/>
      <c r="L170" s="3"/>
      <c r="R170" s="4"/>
      <c r="S170" s="4"/>
      <c r="T170" s="33"/>
      <c r="U170" s="40"/>
      <c r="V170" s="34"/>
      <c r="W170" s="40"/>
      <c r="X170" s="4"/>
      <c r="Y170" s="34"/>
      <c r="Z170" s="40"/>
      <c r="AA170" s="33"/>
      <c r="AB170" s="40"/>
      <c r="AC170" s="34"/>
      <c r="AD170" s="40"/>
      <c r="AE170" s="4"/>
      <c r="AF170" s="34"/>
      <c r="AG170" s="37"/>
    </row>
    <row r="171" spans="2:33" x14ac:dyDescent="0.2">
      <c r="B171" s="1"/>
      <c r="G171" s="1"/>
      <c r="H171" s="39"/>
      <c r="I171" s="43"/>
      <c r="J171" s="4"/>
      <c r="K171" s="3"/>
      <c r="L171" s="3"/>
      <c r="R171" s="4"/>
      <c r="S171" s="4"/>
      <c r="T171" s="33"/>
      <c r="U171" s="40"/>
      <c r="V171" s="34"/>
      <c r="W171" s="40"/>
      <c r="X171" s="4"/>
      <c r="Y171" s="34"/>
      <c r="Z171" s="40"/>
      <c r="AA171" s="33"/>
      <c r="AB171" s="40"/>
      <c r="AC171" s="34"/>
      <c r="AD171" s="40"/>
      <c r="AE171" s="4"/>
      <c r="AF171" s="34"/>
      <c r="AG171" s="37"/>
    </row>
    <row r="172" spans="2:33" x14ac:dyDescent="0.2">
      <c r="B172" s="1"/>
      <c r="G172" s="1"/>
      <c r="H172" s="39"/>
      <c r="I172" s="43"/>
      <c r="J172" s="4"/>
      <c r="K172" s="3"/>
      <c r="L172" s="3"/>
      <c r="R172" s="4"/>
      <c r="S172" s="4"/>
      <c r="T172" s="33"/>
      <c r="U172" s="40"/>
      <c r="V172" s="34"/>
      <c r="W172" s="40"/>
      <c r="X172" s="4"/>
      <c r="Y172" s="34"/>
      <c r="Z172" s="40"/>
      <c r="AA172" s="33"/>
      <c r="AB172" s="40"/>
      <c r="AC172" s="34"/>
      <c r="AD172" s="40"/>
      <c r="AE172" s="4"/>
      <c r="AF172" s="34"/>
      <c r="AG172" s="37"/>
    </row>
    <row r="173" spans="2:33" x14ac:dyDescent="0.2">
      <c r="B173" s="1"/>
      <c r="G173" s="1"/>
      <c r="H173" s="39"/>
      <c r="I173" s="43"/>
      <c r="J173" s="4"/>
      <c r="K173" s="3"/>
      <c r="L173" s="3"/>
      <c r="R173" s="4"/>
      <c r="S173" s="4"/>
      <c r="T173" s="33"/>
      <c r="U173" s="40"/>
      <c r="V173" s="34"/>
      <c r="W173" s="40"/>
      <c r="X173" s="4"/>
      <c r="Y173" s="34"/>
      <c r="Z173" s="40"/>
      <c r="AA173" s="33"/>
      <c r="AB173" s="40"/>
      <c r="AC173" s="34"/>
      <c r="AD173" s="40"/>
      <c r="AE173" s="4"/>
      <c r="AF173" s="34"/>
      <c r="AG173" s="37"/>
    </row>
    <row r="174" spans="2:33" x14ac:dyDescent="0.2">
      <c r="B174" s="1"/>
      <c r="G174" s="1"/>
      <c r="H174" s="39"/>
      <c r="I174" s="43"/>
      <c r="J174" s="4"/>
      <c r="K174" s="3"/>
      <c r="L174" s="3"/>
      <c r="R174" s="4"/>
      <c r="S174" s="4"/>
      <c r="T174" s="33"/>
      <c r="U174" s="40"/>
      <c r="V174" s="34"/>
      <c r="W174" s="40"/>
      <c r="X174" s="4"/>
      <c r="Y174" s="34"/>
      <c r="Z174" s="40"/>
      <c r="AA174" s="33"/>
      <c r="AB174" s="40"/>
      <c r="AC174" s="34"/>
      <c r="AD174" s="40"/>
      <c r="AE174" s="4"/>
      <c r="AF174" s="34"/>
      <c r="AG174" s="37"/>
    </row>
    <row r="175" spans="2:33" x14ac:dyDescent="0.2">
      <c r="B175" s="1"/>
      <c r="G175" s="1"/>
      <c r="H175" s="39"/>
      <c r="I175" s="43"/>
      <c r="J175" s="4"/>
      <c r="K175" s="3"/>
      <c r="L175" s="3"/>
      <c r="R175" s="4"/>
      <c r="S175" s="4"/>
      <c r="T175" s="33"/>
      <c r="U175" s="40"/>
      <c r="V175" s="34"/>
      <c r="W175" s="40"/>
      <c r="X175" s="4"/>
      <c r="Y175" s="34"/>
      <c r="Z175" s="40"/>
      <c r="AA175" s="33"/>
      <c r="AB175" s="40"/>
      <c r="AC175" s="34"/>
      <c r="AD175" s="40"/>
      <c r="AE175" s="4"/>
      <c r="AF175" s="34"/>
      <c r="AG175" s="37"/>
    </row>
    <row r="176" spans="2:33" x14ac:dyDescent="0.2">
      <c r="B176" s="1"/>
      <c r="G176" s="1"/>
      <c r="H176" s="39"/>
      <c r="I176" s="43"/>
      <c r="J176" s="4"/>
      <c r="K176" s="3"/>
      <c r="L176" s="3"/>
      <c r="R176" s="4"/>
      <c r="S176" s="4"/>
      <c r="T176" s="33"/>
      <c r="U176" s="40"/>
      <c r="V176" s="34"/>
      <c r="W176" s="40"/>
      <c r="X176" s="4"/>
      <c r="Y176" s="34"/>
      <c r="Z176" s="40"/>
      <c r="AA176" s="33"/>
      <c r="AB176" s="40"/>
      <c r="AC176" s="34"/>
      <c r="AD176" s="40"/>
      <c r="AE176" s="4"/>
      <c r="AF176" s="34"/>
      <c r="AG176" s="37"/>
    </row>
    <row r="177" spans="2:33" x14ac:dyDescent="0.2">
      <c r="B177" s="1"/>
      <c r="G177" s="1"/>
      <c r="H177" s="39"/>
      <c r="I177" s="43"/>
      <c r="J177" s="4"/>
      <c r="K177" s="3"/>
      <c r="L177" s="3"/>
      <c r="R177" s="4"/>
      <c r="S177" s="4"/>
      <c r="T177" s="33"/>
      <c r="U177" s="40"/>
      <c r="V177" s="34"/>
      <c r="W177" s="40"/>
      <c r="X177" s="4"/>
      <c r="Y177" s="34"/>
      <c r="Z177" s="40"/>
      <c r="AA177" s="33"/>
      <c r="AB177" s="40"/>
      <c r="AC177" s="34"/>
      <c r="AD177" s="40"/>
      <c r="AE177" s="4"/>
      <c r="AF177" s="34"/>
      <c r="AG177" s="37"/>
    </row>
    <row r="178" spans="2:33" x14ac:dyDescent="0.2">
      <c r="B178" s="1"/>
      <c r="G178" s="1"/>
      <c r="H178" s="39"/>
      <c r="I178" s="43"/>
      <c r="J178" s="4"/>
      <c r="K178" s="3"/>
      <c r="L178" s="3"/>
      <c r="R178" s="4"/>
      <c r="S178" s="4"/>
      <c r="T178" s="33"/>
      <c r="U178" s="40"/>
      <c r="V178" s="34"/>
      <c r="W178" s="40"/>
      <c r="X178" s="4"/>
      <c r="Y178" s="34"/>
      <c r="Z178" s="40"/>
      <c r="AA178" s="33"/>
      <c r="AB178" s="40"/>
      <c r="AC178" s="34"/>
      <c r="AD178" s="40"/>
      <c r="AE178" s="4"/>
      <c r="AF178" s="34"/>
      <c r="AG178" s="37"/>
    </row>
    <row r="179" spans="2:33" x14ac:dyDescent="0.2">
      <c r="B179" s="1"/>
      <c r="G179" s="1"/>
      <c r="H179" s="39"/>
      <c r="I179" s="43"/>
      <c r="J179" s="4"/>
      <c r="K179" s="3"/>
      <c r="L179" s="3"/>
      <c r="R179" s="4"/>
      <c r="S179" s="4"/>
      <c r="T179" s="33"/>
      <c r="U179" s="40"/>
      <c r="V179" s="34"/>
      <c r="W179" s="40"/>
      <c r="X179" s="4"/>
      <c r="Y179" s="34"/>
      <c r="Z179" s="40"/>
      <c r="AA179" s="33"/>
      <c r="AB179" s="40"/>
      <c r="AC179" s="34"/>
      <c r="AD179" s="40"/>
      <c r="AE179" s="4"/>
      <c r="AF179" s="34"/>
      <c r="AG179" s="37"/>
    </row>
    <row r="180" spans="2:33" x14ac:dyDescent="0.2">
      <c r="B180" s="1"/>
      <c r="G180" s="1"/>
      <c r="H180" s="39"/>
      <c r="I180" s="43"/>
      <c r="J180" s="4"/>
      <c r="K180" s="3"/>
      <c r="L180" s="3"/>
      <c r="R180" s="4"/>
      <c r="S180" s="4"/>
      <c r="T180" s="33"/>
      <c r="U180" s="40"/>
      <c r="V180" s="34"/>
      <c r="W180" s="40"/>
      <c r="X180" s="4"/>
      <c r="Y180" s="34"/>
      <c r="Z180" s="40"/>
      <c r="AA180" s="33"/>
      <c r="AB180" s="40"/>
      <c r="AC180" s="34"/>
      <c r="AD180" s="40"/>
      <c r="AE180" s="4"/>
      <c r="AF180" s="34"/>
      <c r="AG180" s="37"/>
    </row>
    <row r="181" spans="2:33" x14ac:dyDescent="0.2">
      <c r="B181" s="1"/>
      <c r="G181" s="1"/>
      <c r="H181" s="39"/>
      <c r="I181" s="43"/>
      <c r="J181" s="4"/>
      <c r="K181" s="3"/>
      <c r="L181" s="3"/>
      <c r="R181" s="4"/>
      <c r="S181" s="4"/>
      <c r="T181" s="33"/>
      <c r="U181" s="40"/>
      <c r="V181" s="34"/>
      <c r="W181" s="40"/>
      <c r="X181" s="4"/>
      <c r="Y181" s="34"/>
      <c r="Z181" s="40"/>
      <c r="AA181" s="33"/>
      <c r="AB181" s="40"/>
      <c r="AC181" s="34"/>
      <c r="AD181" s="40"/>
      <c r="AE181" s="4"/>
      <c r="AF181" s="34"/>
      <c r="AG181" s="37"/>
    </row>
    <row r="182" spans="2:33" x14ac:dyDescent="0.2">
      <c r="B182" s="1"/>
      <c r="G182" s="1"/>
      <c r="H182" s="39"/>
      <c r="I182" s="43"/>
      <c r="J182" s="4"/>
      <c r="K182" s="3"/>
      <c r="L182" s="3"/>
      <c r="R182" s="4"/>
      <c r="S182" s="4"/>
      <c r="T182" s="33"/>
      <c r="U182" s="40"/>
      <c r="V182" s="34"/>
      <c r="W182" s="40"/>
      <c r="X182" s="4"/>
      <c r="Y182" s="34"/>
      <c r="Z182" s="40"/>
      <c r="AA182" s="33"/>
      <c r="AB182" s="40"/>
      <c r="AC182" s="34"/>
      <c r="AD182" s="40"/>
      <c r="AE182" s="4"/>
      <c r="AF182" s="34"/>
      <c r="AG182" s="37"/>
    </row>
    <row r="183" spans="2:33" x14ac:dyDescent="0.2">
      <c r="B183" s="1"/>
      <c r="G183" s="1"/>
      <c r="H183" s="39"/>
      <c r="I183" s="43"/>
      <c r="J183" s="4"/>
      <c r="K183" s="3"/>
      <c r="L183" s="3"/>
      <c r="R183" s="4"/>
      <c r="S183" s="4"/>
      <c r="T183" s="33"/>
      <c r="U183" s="40"/>
      <c r="V183" s="34"/>
      <c r="W183" s="40"/>
      <c r="X183" s="4"/>
      <c r="Y183" s="34"/>
      <c r="Z183" s="40"/>
      <c r="AA183" s="33"/>
      <c r="AB183" s="40"/>
      <c r="AC183" s="34"/>
      <c r="AD183" s="40"/>
      <c r="AE183" s="4"/>
      <c r="AF183" s="34"/>
      <c r="AG183" s="37"/>
    </row>
    <row r="184" spans="2:33" x14ac:dyDescent="0.2">
      <c r="B184" s="1"/>
      <c r="G184" s="1"/>
      <c r="H184" s="39"/>
      <c r="I184" s="43"/>
      <c r="J184" s="4"/>
      <c r="K184" s="3"/>
      <c r="L184" s="3"/>
      <c r="R184" s="4"/>
      <c r="S184" s="4"/>
      <c r="T184" s="33"/>
      <c r="U184" s="40"/>
      <c r="V184" s="34"/>
      <c r="W184" s="40"/>
      <c r="X184" s="4"/>
      <c r="Y184" s="34"/>
      <c r="Z184" s="40"/>
      <c r="AA184" s="33"/>
      <c r="AB184" s="40"/>
      <c r="AC184" s="34"/>
      <c r="AD184" s="40"/>
      <c r="AE184" s="4"/>
      <c r="AF184" s="34"/>
      <c r="AG184" s="37"/>
    </row>
    <row r="185" spans="2:33" x14ac:dyDescent="0.2">
      <c r="B185" s="1"/>
      <c r="G185" s="1"/>
      <c r="H185" s="39"/>
      <c r="I185" s="43"/>
      <c r="J185" s="4"/>
      <c r="K185" s="3"/>
      <c r="L185" s="3"/>
      <c r="R185" s="4"/>
      <c r="S185" s="4"/>
      <c r="T185" s="33"/>
      <c r="U185" s="40"/>
      <c r="V185" s="34"/>
      <c r="W185" s="40"/>
      <c r="X185" s="4"/>
      <c r="Y185" s="34"/>
      <c r="Z185" s="40"/>
      <c r="AA185" s="33"/>
      <c r="AB185" s="40"/>
      <c r="AC185" s="34"/>
      <c r="AD185" s="40"/>
      <c r="AE185" s="4"/>
      <c r="AF185" s="34"/>
      <c r="AG185" s="37"/>
    </row>
    <row r="186" spans="2:33" x14ac:dyDescent="0.2">
      <c r="B186" s="1"/>
      <c r="G186" s="1"/>
      <c r="H186" s="39"/>
      <c r="I186" s="43"/>
      <c r="J186" s="4"/>
      <c r="K186" s="3"/>
      <c r="L186" s="3"/>
      <c r="R186" s="4"/>
      <c r="S186" s="4"/>
      <c r="T186" s="33"/>
      <c r="U186" s="40"/>
      <c r="V186" s="34"/>
      <c r="W186" s="40"/>
      <c r="X186" s="4"/>
      <c r="Y186" s="34"/>
      <c r="Z186" s="40"/>
      <c r="AA186" s="33"/>
      <c r="AB186" s="40"/>
      <c r="AC186" s="34"/>
      <c r="AD186" s="40"/>
      <c r="AE186" s="4"/>
      <c r="AF186" s="34"/>
      <c r="AG186" s="37"/>
    </row>
    <row r="187" spans="2:33" x14ac:dyDescent="0.2">
      <c r="B187" s="1"/>
      <c r="G187" s="1"/>
      <c r="H187" s="39"/>
      <c r="I187" s="43"/>
      <c r="J187" s="4"/>
      <c r="K187" s="3"/>
      <c r="L187" s="3"/>
      <c r="R187" s="4"/>
      <c r="S187" s="4"/>
      <c r="T187" s="33"/>
      <c r="U187" s="40"/>
      <c r="V187" s="34"/>
      <c r="W187" s="40"/>
      <c r="X187" s="4"/>
      <c r="Y187" s="34"/>
      <c r="Z187" s="40"/>
      <c r="AA187" s="33"/>
      <c r="AB187" s="40"/>
      <c r="AC187" s="34"/>
      <c r="AD187" s="40"/>
      <c r="AE187" s="4"/>
      <c r="AF187" s="34"/>
      <c r="AG187" s="37"/>
    </row>
  </sheetData>
  <sheetProtection sheet="1" formatCells="0" formatColumns="0" formatRows="0"/>
  <autoFilter ref="A1:AG2" xr:uid="{7D58B074-0068-A147-B548-D6917EC17A86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3:AG132">
      <sortCondition descending="1" ref="G1:G133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AA1:AG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Z1"/>
  </mergeCells>
  <phoneticPr fontId="13" type="noConversion"/>
  <conditionalFormatting sqref="A1:Q2 T1:XFD2 A3:XFD1048576">
    <cfRule type="expression" dxfId="55" priority="17">
      <formula>IF($G1="17-21",1,0)</formula>
    </cfRule>
    <cfRule type="expression" dxfId="54" priority="18">
      <formula>IF($G1="15-16",1,0)</formula>
    </cfRule>
    <cfRule type="expression" dxfId="53" priority="19">
      <formula>IF($G1="13-14",1,0)</formula>
    </cfRule>
    <cfRule type="expression" dxfId="52" priority="20">
      <formula>IF($G1="11-12",1,0)</formula>
    </cfRule>
  </conditionalFormatting>
  <conditionalFormatting sqref="R1:S1 S2">
    <cfRule type="expression" dxfId="51" priority="5">
      <formula>IF($G1="17-21",1,0)</formula>
    </cfRule>
    <cfRule type="expression" dxfId="50" priority="6">
      <formula>IF($G1="15-16",1,0)</formula>
    </cfRule>
    <cfRule type="expression" dxfId="49" priority="7">
      <formula>IF($G1="13-14",1,0)</formula>
    </cfRule>
    <cfRule type="expression" dxfId="48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1E397-42D3-4A4B-B2D6-18FBDCEFC10F}">
  <sheetPr codeName="Sheet4"/>
  <dimension ref="A1:AH40"/>
  <sheetViews>
    <sheetView zoomScaleNormal="100" workbookViewId="0">
      <pane xSplit="6" ySplit="2" topLeftCell="G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4.1640625" style="36" bestFit="1" customWidth="1"/>
    <col min="4" max="4" width="8.6640625" style="36" bestFit="1" customWidth="1"/>
    <col min="5" max="5" width="17.83203125" style="36" bestFit="1" customWidth="1"/>
    <col min="6" max="6" width="18.6640625" style="36" bestFit="1" customWidth="1"/>
    <col min="7" max="7" width="5.1640625" style="35" bestFit="1" customWidth="1"/>
    <col min="8" max="8" width="14.83203125" bestFit="1" customWidth="1"/>
    <col min="9" max="9" width="14.83203125" style="36" customWidth="1"/>
    <col min="10" max="10" width="20" style="44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9" bestFit="1" customWidth="1"/>
    <col min="16" max="16" width="24.83203125" style="39" customWidth="1"/>
    <col min="17" max="17" width="18.6640625" style="39" bestFit="1" customWidth="1"/>
    <col min="18" max="18" width="18.6640625" style="1" customWidth="1"/>
    <col min="19" max="19" width="15.6640625" bestFit="1" customWidth="1"/>
    <col min="20" max="20" width="18.6640625" bestFit="1" customWidth="1"/>
    <col min="21" max="21" width="10.83203125" style="35" bestFit="1" customWidth="1"/>
    <col min="22" max="22" width="13.6640625" style="36" bestFit="1" customWidth="1"/>
    <col min="23" max="23" width="11" style="36" bestFit="1" customWidth="1"/>
    <col min="24" max="24" width="14.1640625" style="36" bestFit="1" customWidth="1"/>
    <col min="25" max="25" width="7.5" bestFit="1" customWidth="1"/>
    <col min="26" max="26" width="6.6640625" style="36" bestFit="1" customWidth="1"/>
    <col min="27" max="27" width="11" style="36" bestFit="1" customWidth="1"/>
    <col min="28" max="28" width="10.83203125" style="35" bestFit="1" customWidth="1"/>
    <col min="29" max="29" width="13.6640625" style="36" bestFit="1" customWidth="1"/>
    <col min="30" max="30" width="11" style="36" bestFit="1" customWidth="1"/>
    <col min="31" max="31" width="14.1640625" style="36" bestFit="1" customWidth="1"/>
    <col min="32" max="32" width="7.6640625" bestFit="1" customWidth="1"/>
    <col min="33" max="33" width="6.6640625" style="36" bestFit="1" customWidth="1"/>
    <col min="34" max="34" width="9" style="38" bestFit="1" customWidth="1"/>
  </cols>
  <sheetData>
    <row r="1" spans="1:34" s="6" customFormat="1" x14ac:dyDescent="0.2">
      <c r="A1" s="73" t="s">
        <v>208</v>
      </c>
      <c r="B1" s="73" t="s">
        <v>207</v>
      </c>
      <c r="C1" s="67" t="s">
        <v>0</v>
      </c>
      <c r="D1" s="67" t="s">
        <v>1</v>
      </c>
      <c r="E1" s="67" t="s">
        <v>280</v>
      </c>
      <c r="F1" s="69" t="s">
        <v>281</v>
      </c>
      <c r="G1" s="71" t="s">
        <v>4</v>
      </c>
      <c r="H1" s="67" t="s">
        <v>5</v>
      </c>
      <c r="I1" s="67" t="s">
        <v>56</v>
      </c>
      <c r="J1" s="67" t="s">
        <v>42</v>
      </c>
      <c r="K1" s="76" t="s">
        <v>13</v>
      </c>
      <c r="L1" s="67" t="s">
        <v>9</v>
      </c>
      <c r="M1" s="67" t="s">
        <v>10</v>
      </c>
      <c r="N1" s="67" t="s">
        <v>33</v>
      </c>
      <c r="O1" s="67" t="s">
        <v>12</v>
      </c>
      <c r="P1" s="67" t="s">
        <v>49</v>
      </c>
      <c r="Q1" s="67" t="s">
        <v>11</v>
      </c>
      <c r="R1" s="67" t="s">
        <v>206</v>
      </c>
      <c r="S1" s="73" t="s">
        <v>369</v>
      </c>
      <c r="T1" s="67" t="s">
        <v>370</v>
      </c>
      <c r="U1" s="75" t="s">
        <v>44</v>
      </c>
      <c r="V1" s="75"/>
      <c r="W1" s="75"/>
      <c r="X1" s="75"/>
      <c r="Y1" s="75"/>
      <c r="Z1" s="75"/>
      <c r="AA1" s="75"/>
      <c r="AB1" s="75" t="s">
        <v>43</v>
      </c>
      <c r="AC1" s="75"/>
      <c r="AD1" s="75"/>
      <c r="AE1" s="75"/>
      <c r="AF1" s="75"/>
      <c r="AG1" s="75"/>
      <c r="AH1" s="75"/>
    </row>
    <row r="2" spans="1:34" s="7" customFormat="1" ht="17" thickBot="1" x14ac:dyDescent="0.25">
      <c r="A2" s="74"/>
      <c r="B2" s="74"/>
      <c r="C2" s="68"/>
      <c r="D2" s="68"/>
      <c r="E2" s="68"/>
      <c r="F2" s="70"/>
      <c r="G2" s="72"/>
      <c r="H2" s="68"/>
      <c r="I2" s="68"/>
      <c r="J2" s="68"/>
      <c r="K2" s="77"/>
      <c r="L2" s="68"/>
      <c r="M2" s="68"/>
      <c r="N2" s="68"/>
      <c r="O2" s="68"/>
      <c r="P2" s="68"/>
      <c r="Q2" s="68"/>
      <c r="R2" s="68"/>
      <c r="S2" s="74"/>
      <c r="T2" s="68"/>
      <c r="U2" s="8" t="s">
        <v>50</v>
      </c>
      <c r="V2" s="7" t="s">
        <v>51</v>
      </c>
      <c r="W2" s="7" t="s">
        <v>52</v>
      </c>
      <c r="X2" s="7" t="s">
        <v>53</v>
      </c>
      <c r="Y2" s="7" t="s">
        <v>16</v>
      </c>
      <c r="Z2" s="7" t="s">
        <v>6</v>
      </c>
      <c r="AA2" s="7" t="s">
        <v>8</v>
      </c>
      <c r="AB2" s="8" t="s">
        <v>50</v>
      </c>
      <c r="AC2" s="7" t="s">
        <v>51</v>
      </c>
      <c r="AD2" s="7" t="s">
        <v>52</v>
      </c>
      <c r="AE2" s="7" t="s">
        <v>53</v>
      </c>
      <c r="AF2" s="7" t="s">
        <v>16</v>
      </c>
      <c r="AG2" s="7" t="s">
        <v>6</v>
      </c>
      <c r="AH2" s="9" t="s">
        <v>8</v>
      </c>
    </row>
    <row r="3" spans="1:34" ht="17" thickTop="1" x14ac:dyDescent="0.2">
      <c r="A3" s="1" cm="1">
        <f t="array" ref="A3">IF(J3="","",IF(Q3&lt;&gt;"",SUMPRODUCT((Q$3:Q$31&lt;&gt;"")*(H$3:H$31=H3)*(K$3:K$31&gt;K3)*(J$3:J$31="P"))+1,IF(P3&lt;&gt;"",SUMPRODUCT((P$3:P$31&lt;&gt;"")*(Q$3:Q$31="")*(H$3:H$31=H3)*(K$3:K$31&gt;K3)*(J$3:J$31="P"))+SUMPRODUCT((Q$3:Q$31&lt;&gt;"")*(H$3:H$31=H3)*(J$3:J$31="P"))+1,IF(O3&lt;&gt;"",SUMPRODUCT((O$3:O$31&lt;&gt;"")*(H$3:H$31=H3)*(K$3:K$31&gt;K3)*(J$3:J$31="P"))+1,IF(N3="P",SUMPRODUCT((P$3:P$31&lt;&gt;"")*(Q$3:Q$31="")*(H$3:H$31=H3)*(J$3:J$31="P"))+SUMPRODUCT((Q$3:Q$31&lt;&gt;"")*(H$3:H$31=H3)*(J$3:J$31="P"))+SUMPRODUCT((O$3:O$31&lt;&gt;"")*(H$3:H$31=H3)*(J$3:J$31="P"))+SUMPRODUCT((Q$3:Q$31="")*(P$3:P$31="")*(O$3:O$31="")*(N$3:N$31="P")*(H$3:H$31=H3)*(K$3:K$31&gt;K3)*(J$3:J$31="P"))+IF(I3="L5",SUMPRODUCT((Q$3:Q$31="")*(P$3:P$31="")*(O$3:O$31="")*(N$3:N$31="P")*(H$3:H$31=H3)*(K$3:K$31&lt;K3)*(I$3:I$31&lt;&gt;I3)*(J$3:J$31="P")),-1*SUMPRODUCT((Q$3:Q$31="")*(P$3:P$31="")*(O$3:O$31="")*(N$3:N$31="P")*(H$3:H$31=H3)*(K$3:K$31&gt;K3)*(I$3:I$31="L5")*(J$3:J$31="P")))+1,"")))))</f>
        <v>1</v>
      </c>
      <c r="B3" s="1" cm="1">
        <f t="array" ref="B3">IF(Q3&lt;&gt;"",SUMPRODUCT((Q$3:Q$31&lt;&gt;"")*(H$3:H$31=H3)*(K$3:K$31&gt;K3))+1,IF(P3&lt;&gt;"",SUMPRODUCT((P$3:P$31&lt;&gt;"")*(Q$3:Q$31="")*(H$3:H$31=H3)*(K$3:K$31&gt;K3))+SUMPRODUCT((Q$3:Q$31&lt;&gt;"")*(H$3:H$31=H3))+1,IF(O3&lt;&gt;"",SUMPRODUCT((O$3:O$31&lt;&gt;"")*(H$3:H$31=H3)*(K$3:K$31&gt;K3))+1,IF(N3="P",SUMPRODUCT((P$3:P$31&lt;&gt;"")*(Q$3:Q$31="")*(H$3:H$31=H3))+SUMPRODUCT((Q$3:Q$31&lt;&gt;"")*(H$3:H$31=H3))+SUMPRODUCT((O$3:O$31&lt;&gt;"")*(H$3:H$31=H3))+SUMPRODUCT((Q$3:Q$31="")*(P$3:P$31="")*(O$3:O$31="")*(N$3:N$31="P")*(H$3:H$31=H3)*(K$3:K$31&gt;K3))+IF(I3="L5",SUMPRODUCT((Q$3:Q$31="")*(P$3:P$31="")*(O$3:O$31="")*(N$3:N$31="P")*(H$3:H$31=H3)*(K$3:K$31&lt;K3)*(I$3:I$31&lt;&gt;I3)),-1*SUMPRODUCT((Q$3:Q$31="")*(P$3:P$31="")*(O$3:O$31="")*(N$3:N$31="P")*(H$3:H$31=H3)*(K$3:K$31&gt;K3)*(I$3:I$31="L5")))+1,""))))</f>
        <v>1</v>
      </c>
      <c r="C3" s="36" t="s">
        <v>253</v>
      </c>
      <c r="D3" s="36" t="str">
        <f>IF(E3="","",VLOOKUP(E3,'Coaching Points'!A:B,2,0)&amp;"/"&amp;VLOOKUP(F3,'Coaching Points'!A:B,2,0))</f>
        <v>QC/QC</v>
      </c>
      <c r="E3" s="36" t="s">
        <v>3</v>
      </c>
      <c r="F3" s="36" t="s">
        <v>3</v>
      </c>
      <c r="G3" s="35">
        <v>2004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9" t="s">
        <v>74</v>
      </c>
      <c r="J3" s="43" t="s">
        <v>567</v>
      </c>
      <c r="K3" s="4">
        <f>S3+T3+IF(OR(I3="Junior",I3="Senior"),0.0002,IF(OR(I3="L7",I3="L6"),0.0001,0))+MAX(AB3,AD3,AG3)*0.0000001</f>
        <v>94.130204687000003</v>
      </c>
      <c r="L3" s="3" t="str">
        <f>IF(H3="Not Age Eligible","",IF(MAX(U3,W3,Z3,AB3,AD3,AG3)&gt;=LOOKUP(H3,'Qualifying Scores'!$A$4:$A$7,'Qualifying Scores'!$D$4:$D$7),"P",""))</f>
        <v>P</v>
      </c>
      <c r="M3" s="3" t="str">
        <f>IF(H3="Not Age Eligible","",IF(MAX(V3,X3,AA3,AC3,AE3,AH3)&gt;=LOOKUP(H3,'Qualifying Scores'!$A$10:$A$13,'Qualifying Scores'!$D$10:$D$13),"P",""))</f>
        <v>P</v>
      </c>
      <c r="N3" s="3" t="str">
        <f>IF(H3="Not Age Eligible","",IF(OR(AND(U3&gt;=LOOKUP(H3,'Qualifying Scores'!$A$4:$A$7,'Qualifying Scores'!$D$4:$D$7),V3&gt;=LOOKUP(H3,'Qualifying Scores'!$A$10:$A$13,'Qualifying Scores'!$D$10:$D$13)),AND(W3&gt;=LOOKUP(H3,'Qualifying Scores'!$A$4:$A$7,'Qualifying Scores'!$D$4:$D$7),X3&gt;=LOOKUP(H3,'Qualifying Scores'!$A$10:$A$13,'Qualifying Scores'!$D$10:$D$13)),AND(Z3&gt;=LOOKUP(H3,'Qualifying Scores'!$A$4:$A$7,'Qualifying Scores'!$D$4:$D$7),AA3&gt;=LOOKUP(H3,'Qualifying Scores'!$A$10:$A$13,'Qualifying Scores'!$D$10:$D$13)),AND(AB3&gt;=LOOKUP(H3,'Qualifying Scores'!$A$4:$A$7,'Qualifying Scores'!$D$4:$D$7),AC3&gt;=LOOKUP(H3,'Qualifying Scores'!$A$10:$A$13,'Qualifying Scores'!$D$10:$D$13)),AND(AD3&gt;=LOOKUP(H3,'Qualifying Scores'!$A$4:$A$7,'Qualifying Scores'!$D$4:$D$7),AE3&gt;=LOOKUP(H3,'Qualifying Scores'!$A$10:$A$13,'Qualifying Scores'!$D$10:$D$13)),AND(AG3&gt;=LOOKUP(H3,'Qualifying Scores'!$A$4:$A$7,'Qualifying Scores'!$D$4:$D$7),AH3&gt;=LOOKUP(H3,'Qualifying Scores'!$A$10:$A$13,'Qualifying Scores'!$D$10:$D$13))),"P",""))</f>
        <v>P</v>
      </c>
      <c r="R3" s="1">
        <f>IF(A3&lt;5,IF(_xlfn.MAXIFS(A:A,H:H,H3)&gt;3,5-A3,_xlfn.MAXIFS(A:A,H:H,H3)+1-A3),"")</f>
        <v>1</v>
      </c>
      <c r="S3" s="4">
        <f>MAX(U3,W3,Z3,AB3,AD3,AG3)</f>
        <v>47.26</v>
      </c>
      <c r="T3" s="4">
        <f>LARGE(CHOOSE({1,2,3,4,5,6},U3,W3,Z3,AB3,AD3,AG3),2)</f>
        <v>46.87</v>
      </c>
      <c r="U3" s="33">
        <v>9.5399999999999991</v>
      </c>
      <c r="V3" s="40">
        <v>2.5</v>
      </c>
      <c r="W3" s="34">
        <v>47.26</v>
      </c>
      <c r="X3" s="40">
        <v>11.2</v>
      </c>
      <c r="Y3" s="4">
        <f>IF(I3="Senior",MAX(U3,W3),U3+W3)</f>
        <v>47.26</v>
      </c>
      <c r="Z3" s="34">
        <v>46.22</v>
      </c>
      <c r="AA3" s="40">
        <v>11.2</v>
      </c>
      <c r="AB3" s="33">
        <v>44.84</v>
      </c>
      <c r="AC3" s="40">
        <v>11.4</v>
      </c>
      <c r="AD3" s="34">
        <v>18.88</v>
      </c>
      <c r="AE3" s="40">
        <v>5.2</v>
      </c>
      <c r="AF3" s="4">
        <f>IF(I3="Senior",MAX(AB3,AD3),AB3+AD3)</f>
        <v>44.84</v>
      </c>
      <c r="AG3" s="34">
        <v>46.87</v>
      </c>
      <c r="AH3" s="37">
        <v>11.2</v>
      </c>
    </row>
    <row r="4" spans="1:34" x14ac:dyDescent="0.2">
      <c r="A4" s="1" t="str" cm="1">
        <f t="array" ref="A4">IF(J4="","",IF(Q4&lt;&gt;"",SUMPRODUCT((Q$3:Q$31&lt;&gt;"")*(H$3:H$31=H4)*(K$3:K$31&gt;K4)*(J$3:J$31="P"))+1,IF(P4&lt;&gt;"",SUMPRODUCT((P$3:P$31&lt;&gt;"")*(Q$3:Q$31="")*(H$3:H$31=H4)*(K$3:K$31&gt;K4)*(J$3:J$31="P"))+SUMPRODUCT((Q$3:Q$31&lt;&gt;"")*(H$3:H$31=H4)*(J$3:J$31="P"))+1,IF(O4&lt;&gt;"",SUMPRODUCT((O$3:O$31&lt;&gt;"")*(H$3:H$31=H4)*(K$3:K$31&gt;K4)*(J$3:J$31="P"))+1,IF(N4="P",SUMPRODUCT((P$3:P$31&lt;&gt;"")*(Q$3:Q$31="")*(H$3:H$31=H4)*(J$3:J$31="P"))+SUMPRODUCT((Q$3:Q$31&lt;&gt;"")*(H$3:H$31=H4)*(J$3:J$31="P"))+SUMPRODUCT((O$3:O$31&lt;&gt;"")*(H$3:H$31=H4)*(J$3:J$31="P"))+SUMPRODUCT((Q$3:Q$31="")*(P$3:P$31="")*(O$3:O$31="")*(N$3:N$31="P")*(H$3:H$31=H4)*(K$3:K$31&gt;K4)*(J$3:J$31="P"))+IF(I4="L5",SUMPRODUCT((Q$3:Q$31="")*(P$3:P$31="")*(O$3:O$31="")*(N$3:N$31="P")*(H$3:H$31=H4)*(K$3:K$31&lt;K4)*(I$3:I$31&lt;&gt;I4)*(J$3:J$31="P")),-1*SUMPRODUCT((Q$3:Q$31="")*(P$3:P$31="")*(O$3:O$31="")*(N$3:N$31="P")*(H$3:H$31=H4)*(K$3:K$31&gt;K4)*(I$3:I$31="L5")*(J$3:J$31="P")))+1,"")))))</f>
        <v/>
      </c>
      <c r="B4" s="1" t="str" cm="1">
        <f t="array" ref="B4">IF(Q4&lt;&gt;"",SUMPRODUCT((Q$3:Q$31&lt;&gt;"")*(H$3:H$31=H4)*(K$3:K$31&gt;K4))+1,IF(P4&lt;&gt;"",SUMPRODUCT((P$3:P$31&lt;&gt;"")*(Q$3:Q$31="")*(H$3:H$31=H4)*(K$3:K$31&gt;K4))+SUMPRODUCT((Q$3:Q$31&lt;&gt;"")*(H$3:H$31=H4))+1,IF(O4&lt;&gt;"",SUMPRODUCT((O$3:O$31&lt;&gt;"")*(H$3:H$31=H4)*(K$3:K$31&gt;K4))+1,IF(N4="P",SUMPRODUCT((P$3:P$31&lt;&gt;"")*(Q$3:Q$31="")*(H$3:H$31=H4))+SUMPRODUCT((Q$3:Q$31&lt;&gt;"")*(H$3:H$31=H4))+SUMPRODUCT((O$3:O$31&lt;&gt;"")*(H$3:H$31=H4))+SUMPRODUCT((Q$3:Q$31="")*(P$3:P$31="")*(O$3:O$31="")*(N$3:N$31="P")*(H$3:H$31=H4)*(K$3:K$31&gt;K4))+IF(I4="L5",SUMPRODUCT((Q$3:Q$31="")*(P$3:P$31="")*(O$3:O$31="")*(N$3:N$31="P")*(H$3:H$31=H4)*(K$3:K$31&lt;K4)*(I$3:I$31&lt;&gt;I4)),-1*SUMPRODUCT((Q$3:Q$31="")*(P$3:P$31="")*(O$3:O$31="")*(N$3:N$31="P")*(H$3:H$31=H4)*(K$3:K$31&gt;K4)*(I$3:I$31="L5")))+1,""))))</f>
        <v/>
      </c>
      <c r="C4" s="36" t="s">
        <v>390</v>
      </c>
      <c r="D4" s="36" t="str">
        <f>IF(E4="","",VLOOKUP(E4,'Coaching Points'!A:B,2,0)&amp;"/"&amp;VLOOKUP(F4,'Coaching Points'!A:B,2,0))</f>
        <v>ON/AB</v>
      </c>
      <c r="E4" s="36" t="s">
        <v>113</v>
      </c>
      <c r="F4" s="36" t="s">
        <v>29</v>
      </c>
      <c r="G4" s="35">
        <v>2004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9" t="s">
        <v>74</v>
      </c>
      <c r="J4" s="43" t="s">
        <v>567</v>
      </c>
      <c r="K4" s="4">
        <f>S4+T4+IF(OR(I4="Junior",I4="Senior"),0.0002,IF(OR(I4="L7",I4="L6"),0.0001,0))+MAX(AB4,AD4,AG4)*0.0000001</f>
        <v>87.010204364999993</v>
      </c>
      <c r="L4" s="3" t="str">
        <f>IF(H4="Not Age Eligible","",IF(MAX(U4,W4,Z4,AB4,AD4,AG4)&gt;=LOOKUP(H4,'Qualifying Scores'!$A$4:$A$7,'Qualifying Scores'!$D$4:$D$7),"P",""))</f>
        <v/>
      </c>
      <c r="M4" s="3" t="str">
        <f>IF(H4="Not Age Eligible","",IF(MAX(V4,X4,AA4,AC4,AE4,AH4)&gt;=LOOKUP(H4,'Qualifying Scores'!$A$10:$A$13,'Qualifying Scores'!$D$10:$D$13),"P",""))</f>
        <v>P</v>
      </c>
      <c r="N4" s="3" t="str">
        <f>IF(H4="Not Age Eligible","",IF(OR(AND(U4&gt;=LOOKUP(H4,'Qualifying Scores'!$A$4:$A$7,'Qualifying Scores'!$D$4:$D$7),V4&gt;=LOOKUP(H4,'Qualifying Scores'!$A$10:$A$13,'Qualifying Scores'!$D$10:$D$13)),AND(W4&gt;=LOOKUP(H4,'Qualifying Scores'!$A$4:$A$7,'Qualifying Scores'!$D$4:$D$7),X4&gt;=LOOKUP(H4,'Qualifying Scores'!$A$10:$A$13,'Qualifying Scores'!$D$10:$D$13)),AND(Z4&gt;=LOOKUP(H4,'Qualifying Scores'!$A$4:$A$7,'Qualifying Scores'!$D$4:$D$7),AA4&gt;=LOOKUP(H4,'Qualifying Scores'!$A$10:$A$13,'Qualifying Scores'!$D$10:$D$13)),AND(AB4&gt;=LOOKUP(H4,'Qualifying Scores'!$A$4:$A$7,'Qualifying Scores'!$D$4:$D$7),AC4&gt;=LOOKUP(H4,'Qualifying Scores'!$A$10:$A$13,'Qualifying Scores'!$D$10:$D$13)),AND(AD4&gt;=LOOKUP(H4,'Qualifying Scores'!$A$4:$A$7,'Qualifying Scores'!$D$4:$D$7),AE4&gt;=LOOKUP(H4,'Qualifying Scores'!$A$10:$A$13,'Qualifying Scores'!$D$10:$D$13)),AND(AG4&gt;=LOOKUP(H4,'Qualifying Scores'!$A$4:$A$7,'Qualifying Scores'!$D$4:$D$7),AH4&gt;=LOOKUP(H4,'Qualifying Scores'!$A$10:$A$13,'Qualifying Scores'!$D$10:$D$13))),"P",""))</f>
        <v/>
      </c>
      <c r="R4" s="1" t="str">
        <f>IF(A4&lt;5,IF(_xlfn.MAXIFS(A:A,H:H,H4)&gt;3,5-A4,_xlfn.MAXIFS(A:A,H:H,H4)+1-A4),"")</f>
        <v/>
      </c>
      <c r="S4" s="4">
        <f>MAX(U4,W4,Z4,AB4,AD4,AG4)</f>
        <v>43.65</v>
      </c>
      <c r="T4" s="4">
        <f>LARGE(CHOOSE({1,2,3,4,5,6},U4,W4,Z4,AB4,AD4,AG4),2)</f>
        <v>43.36</v>
      </c>
      <c r="U4" s="33"/>
      <c r="V4" s="40"/>
      <c r="W4" s="34"/>
      <c r="X4" s="40"/>
      <c r="Y4" s="4">
        <f>IF(I4="Senior",MAX(U4,W4),U4+W4)</f>
        <v>0</v>
      </c>
      <c r="Z4" s="34"/>
      <c r="AA4" s="40"/>
      <c r="AB4" s="33">
        <v>43.65</v>
      </c>
      <c r="AC4" s="40">
        <v>10.5</v>
      </c>
      <c r="AD4" s="34">
        <v>43.36</v>
      </c>
      <c r="AE4" s="40">
        <v>10.5</v>
      </c>
      <c r="AF4" s="4">
        <f>IF(I4="Senior",MAX(AB4,AD4),AB4+AD4)</f>
        <v>43.65</v>
      </c>
      <c r="AG4" s="34">
        <v>42.23</v>
      </c>
      <c r="AH4" s="37">
        <v>10.5</v>
      </c>
    </row>
    <row r="5" spans="1:34" x14ac:dyDescent="0.2">
      <c r="A5" s="1" t="str" cm="1">
        <f t="array" ref="A5">IF(J5="","",IF(Q5&lt;&gt;"",SUMPRODUCT((Q$3:Q$31&lt;&gt;"")*(H$3:H$31=H5)*(K$3:K$31&gt;K5)*(J$3:J$31="P"))+1,IF(P5&lt;&gt;"",SUMPRODUCT((P$3:P$31&lt;&gt;"")*(Q$3:Q$31="")*(H$3:H$31=H5)*(K$3:K$31&gt;K5)*(J$3:J$31="P"))+SUMPRODUCT((Q$3:Q$31&lt;&gt;"")*(H$3:H$31=H5)*(J$3:J$31="P"))+1,IF(O5&lt;&gt;"",SUMPRODUCT((O$3:O$31&lt;&gt;"")*(H$3:H$31=H5)*(K$3:K$31&gt;K5)*(J$3:J$31="P"))+1,IF(N5="P",SUMPRODUCT((P$3:P$31&lt;&gt;"")*(Q$3:Q$31="")*(H$3:H$31=H5)*(J$3:J$31="P"))+SUMPRODUCT((Q$3:Q$31&lt;&gt;"")*(H$3:H$31=H5)*(J$3:J$31="P"))+SUMPRODUCT((O$3:O$31&lt;&gt;"")*(H$3:H$31=H5)*(J$3:J$31="P"))+SUMPRODUCT((Q$3:Q$31="")*(P$3:P$31="")*(O$3:O$31="")*(N$3:N$31="P")*(H$3:H$31=H5)*(K$3:K$31&gt;K5)*(J$3:J$31="P"))+IF(I5="L5",SUMPRODUCT((Q$3:Q$31="")*(P$3:P$31="")*(O$3:O$31="")*(N$3:N$31="P")*(H$3:H$31=H5)*(K$3:K$31&lt;K5)*(I$3:I$31&lt;&gt;I5)*(J$3:J$31="P")),-1*SUMPRODUCT((Q$3:Q$31="")*(P$3:P$31="")*(O$3:O$31="")*(N$3:N$31="P")*(H$3:H$31=H5)*(K$3:K$31&gt;K5)*(I$3:I$31="L5")*(J$3:J$31="P")))+1,"")))))</f>
        <v/>
      </c>
      <c r="B5" s="1" t="str" cm="1">
        <f t="array" ref="B5">IF(Q5&lt;&gt;"",SUMPRODUCT((Q$3:Q$31&lt;&gt;"")*(H$3:H$31=H5)*(K$3:K$31&gt;K5))+1,IF(P5&lt;&gt;"",SUMPRODUCT((P$3:P$31&lt;&gt;"")*(Q$3:Q$31="")*(H$3:H$31=H5)*(K$3:K$31&gt;K5))+SUMPRODUCT((Q$3:Q$31&lt;&gt;"")*(H$3:H$31=H5))+1,IF(O5&lt;&gt;"",SUMPRODUCT((O$3:O$31&lt;&gt;"")*(H$3:H$31=H5)*(K$3:K$31&gt;K5))+1,IF(N5="P",SUMPRODUCT((P$3:P$31&lt;&gt;"")*(Q$3:Q$31="")*(H$3:H$31=H5))+SUMPRODUCT((Q$3:Q$31&lt;&gt;"")*(H$3:H$31=H5))+SUMPRODUCT((O$3:O$31&lt;&gt;"")*(H$3:H$31=H5))+SUMPRODUCT((Q$3:Q$31="")*(P$3:P$31="")*(O$3:O$31="")*(N$3:N$31="P")*(H$3:H$31=H5)*(K$3:K$31&gt;K5))+IF(I5="L5",SUMPRODUCT((Q$3:Q$31="")*(P$3:P$31="")*(O$3:O$31="")*(N$3:N$31="P")*(H$3:H$31=H5)*(K$3:K$31&lt;K5)*(I$3:I$31&lt;&gt;I5)),-1*SUMPRODUCT((Q$3:Q$31="")*(P$3:P$31="")*(O$3:O$31="")*(N$3:N$31="P")*(H$3:H$31=H5)*(K$3:K$31&gt;K5)*(I$3:I$31="L5")))+1,""))))</f>
        <v/>
      </c>
      <c r="C5" s="36" t="s">
        <v>382</v>
      </c>
      <c r="D5" s="36" t="str">
        <f>IF(E5="","",VLOOKUP(E5,'Coaching Points'!A:B,2,0)&amp;"/"&amp;VLOOKUP(F5,'Coaching Points'!A:B,2,0))</f>
        <v>BC/BC</v>
      </c>
      <c r="E5" s="36" t="s">
        <v>62</v>
      </c>
      <c r="F5" s="36" t="s">
        <v>282</v>
      </c>
      <c r="G5" s="35">
        <v>2006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9" t="s">
        <v>67</v>
      </c>
      <c r="J5" s="43"/>
      <c r="K5" s="4">
        <f>S5+T5+IF(OR(I5="Junior",I5="Senior"),0.0002,IF(OR(I5="L7",I5="L6"),0.0001,0))+MAX(AB5,AD5,AG5)*0.0000001</f>
        <v>86.55010435600002</v>
      </c>
      <c r="L5" s="3" t="str">
        <f>IF(H5="Not Age Eligible","",IF(MAX(U5,W5,Z5,AB5,AD5,AG5)&gt;=LOOKUP(H5,'Qualifying Scores'!$A$4:$A$7,'Qualifying Scores'!$D$4:$D$7),"P",""))</f>
        <v/>
      </c>
      <c r="M5" s="3" t="str">
        <f>IF(H5="Not Age Eligible","",IF(MAX(V5,X5,AA5,AC5,AE5,AH5)&gt;=LOOKUP(H5,'Qualifying Scores'!$A$10:$A$13,'Qualifying Scores'!$D$10:$D$13),"P",""))</f>
        <v>P</v>
      </c>
      <c r="N5" s="3" t="str">
        <f>IF(H5="Not Age Eligible","",IF(OR(AND(U5&gt;=LOOKUP(H5,'Qualifying Scores'!$A$4:$A$7,'Qualifying Scores'!$D$4:$D$7),V5&gt;=LOOKUP(H5,'Qualifying Scores'!$A$10:$A$13,'Qualifying Scores'!$D$10:$D$13)),AND(W5&gt;=LOOKUP(H5,'Qualifying Scores'!$A$4:$A$7,'Qualifying Scores'!$D$4:$D$7),X5&gt;=LOOKUP(H5,'Qualifying Scores'!$A$10:$A$13,'Qualifying Scores'!$D$10:$D$13)),AND(Z5&gt;=LOOKUP(H5,'Qualifying Scores'!$A$4:$A$7,'Qualifying Scores'!$D$4:$D$7),AA5&gt;=LOOKUP(H5,'Qualifying Scores'!$A$10:$A$13,'Qualifying Scores'!$D$10:$D$13)),AND(AB5&gt;=LOOKUP(H5,'Qualifying Scores'!$A$4:$A$7,'Qualifying Scores'!$D$4:$D$7),AC5&gt;=LOOKUP(H5,'Qualifying Scores'!$A$10:$A$13,'Qualifying Scores'!$D$10:$D$13)),AND(AD5&gt;=LOOKUP(H5,'Qualifying Scores'!$A$4:$A$7,'Qualifying Scores'!$D$4:$D$7),AE5&gt;=LOOKUP(H5,'Qualifying Scores'!$A$10:$A$13,'Qualifying Scores'!$D$10:$D$13)),AND(AG5&gt;=LOOKUP(H5,'Qualifying Scores'!$A$4:$A$7,'Qualifying Scores'!$D$4:$D$7),AH5&gt;=LOOKUP(H5,'Qualifying Scores'!$A$10:$A$13,'Qualifying Scores'!$D$10:$D$13))),"P",""))</f>
        <v/>
      </c>
      <c r="R5" s="1" t="str">
        <f>IF(A5&lt;5,IF(_xlfn.MAXIFS(A:A,H:H,H5)&gt;3,5-A5,_xlfn.MAXIFS(A:A,H:H,H5)+1-A5),"")</f>
        <v/>
      </c>
      <c r="S5" s="4">
        <f>MAX(U5,W5,Z5,AB5,AD5,AG5)</f>
        <v>43.56</v>
      </c>
      <c r="T5" s="4">
        <f>LARGE(CHOOSE({1,2,3,4,5,6},U5,W5,Z5,AB5,AD5,AG5),2)</f>
        <v>42.99</v>
      </c>
      <c r="U5" s="33"/>
      <c r="V5" s="40"/>
      <c r="W5" s="34"/>
      <c r="X5" s="40"/>
      <c r="Y5" s="4">
        <f>IF(I5="Senior",MAX(U5,W5),U5+W5)</f>
        <v>0</v>
      </c>
      <c r="Z5" s="34"/>
      <c r="AA5" s="40"/>
      <c r="AB5" s="33">
        <v>42.99</v>
      </c>
      <c r="AC5" s="40">
        <v>10.3</v>
      </c>
      <c r="AD5" s="34"/>
      <c r="AE5" s="40"/>
      <c r="AF5" s="4">
        <f>IF(I5="Senior",MAX(AB5,AD5),AB5+AD5)</f>
        <v>42.99</v>
      </c>
      <c r="AG5" s="34">
        <v>43.56</v>
      </c>
      <c r="AH5" s="37">
        <v>10.3</v>
      </c>
    </row>
    <row r="6" spans="1:34" x14ac:dyDescent="0.2">
      <c r="A6" s="1" t="str" cm="1">
        <f t="array" ref="A6">IF(J6="","",IF(Q6&lt;&gt;"",SUMPRODUCT((Q$3:Q$31&lt;&gt;"")*(H$3:H$31=H6)*(K$3:K$31&gt;K6)*(J$3:J$31="P"))+1,IF(P6&lt;&gt;"",SUMPRODUCT((P$3:P$31&lt;&gt;"")*(Q$3:Q$31="")*(H$3:H$31=H6)*(K$3:K$31&gt;K6)*(J$3:J$31="P"))+SUMPRODUCT((Q$3:Q$31&lt;&gt;"")*(H$3:H$31=H6)*(J$3:J$31="P"))+1,IF(O6&lt;&gt;"",SUMPRODUCT((O$3:O$31&lt;&gt;"")*(H$3:H$31=H6)*(K$3:K$31&gt;K6)*(J$3:J$31="P"))+1,IF(N6="P",SUMPRODUCT((P$3:P$31&lt;&gt;"")*(Q$3:Q$31="")*(H$3:H$31=H6)*(J$3:J$31="P"))+SUMPRODUCT((Q$3:Q$31&lt;&gt;"")*(H$3:H$31=H6)*(J$3:J$31="P"))+SUMPRODUCT((O$3:O$31&lt;&gt;"")*(H$3:H$31=H6)*(J$3:J$31="P"))+SUMPRODUCT((Q$3:Q$31="")*(P$3:P$31="")*(O$3:O$31="")*(N$3:N$31="P")*(H$3:H$31=H6)*(K$3:K$31&gt;K6)*(J$3:J$31="P"))+IF(I6="L5",SUMPRODUCT((Q$3:Q$31="")*(P$3:P$31="")*(O$3:O$31="")*(N$3:N$31="P")*(H$3:H$31=H6)*(K$3:K$31&lt;K6)*(I$3:I$31&lt;&gt;I6)*(J$3:J$31="P")),-1*SUMPRODUCT((Q$3:Q$31="")*(P$3:P$31="")*(O$3:O$31="")*(N$3:N$31="P")*(H$3:H$31=H6)*(K$3:K$31&gt;K6)*(I$3:I$31="L5")*(J$3:J$31="P")))+1,"")))))</f>
        <v/>
      </c>
      <c r="B6" s="1" t="str" cm="1">
        <f t="array" ref="B6">IF(Q6&lt;&gt;"",SUMPRODUCT((Q$3:Q$31&lt;&gt;"")*(H$3:H$31=H6)*(K$3:K$31&gt;K6))+1,IF(P6&lt;&gt;"",SUMPRODUCT((P$3:P$31&lt;&gt;"")*(Q$3:Q$31="")*(H$3:H$31=H6)*(K$3:K$31&gt;K6))+SUMPRODUCT((Q$3:Q$31&lt;&gt;"")*(H$3:H$31=H6))+1,IF(O6&lt;&gt;"",SUMPRODUCT((O$3:O$31&lt;&gt;"")*(H$3:H$31=H6)*(K$3:K$31&gt;K6))+1,IF(N6="P",SUMPRODUCT((P$3:P$31&lt;&gt;"")*(Q$3:Q$31="")*(H$3:H$31=H6))+SUMPRODUCT((Q$3:Q$31&lt;&gt;"")*(H$3:H$31=H6))+SUMPRODUCT((O$3:O$31&lt;&gt;"")*(H$3:H$31=H6))+SUMPRODUCT((Q$3:Q$31="")*(P$3:P$31="")*(O$3:O$31="")*(N$3:N$31="P")*(H$3:H$31=H6)*(K$3:K$31&gt;K6))+IF(I6="L5",SUMPRODUCT((Q$3:Q$31="")*(P$3:P$31="")*(O$3:O$31="")*(N$3:N$31="P")*(H$3:H$31=H6)*(K$3:K$31&lt;K6)*(I$3:I$31&lt;&gt;I6)),-1*SUMPRODUCT((Q$3:Q$31="")*(P$3:P$31="")*(O$3:O$31="")*(N$3:N$31="P")*(H$3:H$31=H6)*(K$3:K$31&gt;K6)*(I$3:I$31="L5")))+1,""))))</f>
        <v/>
      </c>
      <c r="C6" s="36" t="s">
        <v>328</v>
      </c>
      <c r="D6" s="36" t="str">
        <f>IF(E6="","",VLOOKUP(E6,'Coaching Points'!A:B,2,0)&amp;"/"&amp;VLOOKUP(F6,'Coaching Points'!A:B,2,0))</f>
        <v>NS/NS</v>
      </c>
      <c r="E6" s="36" t="s">
        <v>134</v>
      </c>
      <c r="F6" s="36" t="s">
        <v>134</v>
      </c>
      <c r="G6" s="35">
        <v>2005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9" t="s">
        <v>66</v>
      </c>
      <c r="J6" s="43"/>
      <c r="K6" s="4">
        <f>S6+T6+IF(OR(I6="Junior",I6="Senior"),0.0002,IF(OR(I6="L7",I6="L6"),0.0001,0))+MAX(AB6,AD6,AG6)*0.0000001</f>
        <v>84.759999999999991</v>
      </c>
      <c r="L6" s="3" t="str">
        <f>IF(H6="Not Age Eligible","",IF(MAX(U6,W6,Z6,AB6,AD6,AG6)&gt;=LOOKUP(H6,'Qualifying Scores'!$A$4:$A$7,'Qualifying Scores'!$D$4:$D$7),"P",""))</f>
        <v/>
      </c>
      <c r="M6" s="3" t="str">
        <f>IF(H6="Not Age Eligible","",IF(MAX(V6,X6,AA6,AC6,AE6,AH6)&gt;=LOOKUP(H6,'Qualifying Scores'!$A$10:$A$13,'Qualifying Scores'!$D$10:$D$13),"P",""))</f>
        <v/>
      </c>
      <c r="N6" s="3" t="str">
        <f>IF(H6="Not Age Eligible","",IF(OR(AND(U6&gt;=LOOKUP(H6,'Qualifying Scores'!$A$4:$A$7,'Qualifying Scores'!$D$4:$D$7),V6&gt;=LOOKUP(H6,'Qualifying Scores'!$A$10:$A$13,'Qualifying Scores'!$D$10:$D$13)),AND(W6&gt;=LOOKUP(H6,'Qualifying Scores'!$A$4:$A$7,'Qualifying Scores'!$D$4:$D$7),X6&gt;=LOOKUP(H6,'Qualifying Scores'!$A$10:$A$13,'Qualifying Scores'!$D$10:$D$13)),AND(Z6&gt;=LOOKUP(H6,'Qualifying Scores'!$A$4:$A$7,'Qualifying Scores'!$D$4:$D$7),AA6&gt;=LOOKUP(H6,'Qualifying Scores'!$A$10:$A$13,'Qualifying Scores'!$D$10:$D$13)),AND(AB6&gt;=LOOKUP(H6,'Qualifying Scores'!$A$4:$A$7,'Qualifying Scores'!$D$4:$D$7),AC6&gt;=LOOKUP(H6,'Qualifying Scores'!$A$10:$A$13,'Qualifying Scores'!$D$10:$D$13)),AND(AD6&gt;=LOOKUP(H6,'Qualifying Scores'!$A$4:$A$7,'Qualifying Scores'!$D$4:$D$7),AE6&gt;=LOOKUP(H6,'Qualifying Scores'!$A$10:$A$13,'Qualifying Scores'!$D$10:$D$13)),AND(AG6&gt;=LOOKUP(H6,'Qualifying Scores'!$A$4:$A$7,'Qualifying Scores'!$D$4:$D$7),AH6&gt;=LOOKUP(H6,'Qualifying Scores'!$A$10:$A$13,'Qualifying Scores'!$D$10:$D$13))),"P",""))</f>
        <v/>
      </c>
      <c r="R6" s="1" t="str">
        <f>IF(A6&lt;5,IF(_xlfn.MAXIFS(A:A,H:H,H6)&gt;3,5-A6,_xlfn.MAXIFS(A:A,H:H,H6)+1-A6),"")</f>
        <v/>
      </c>
      <c r="S6" s="4">
        <f>MAX(U6,W6,Z6,AB6,AD6,AG6)</f>
        <v>42.9</v>
      </c>
      <c r="T6" s="4">
        <f>LARGE(CHOOSE({1,2,3,4,5,6},U6,W6,Z6,AB6,AD6,AG6),2)</f>
        <v>41.86</v>
      </c>
      <c r="U6" s="33">
        <v>41.86</v>
      </c>
      <c r="V6" s="40">
        <v>7.6</v>
      </c>
      <c r="W6" s="34"/>
      <c r="X6" s="40"/>
      <c r="Y6" s="4">
        <f>IF(I6="Senior",MAX(U6,W6),U6+W6)</f>
        <v>41.86</v>
      </c>
      <c r="Z6" s="34">
        <v>42.9</v>
      </c>
      <c r="AA6" s="40">
        <v>7.6</v>
      </c>
      <c r="AB6" s="33"/>
      <c r="AC6" s="40"/>
      <c r="AD6" s="34"/>
      <c r="AE6" s="40"/>
      <c r="AF6" s="4">
        <f>IF(I6="Senior",MAX(AB6,AD6),AB6+AD6)</f>
        <v>0</v>
      </c>
      <c r="AG6" s="34"/>
      <c r="AH6" s="37"/>
    </row>
    <row r="7" spans="1:34" x14ac:dyDescent="0.2">
      <c r="A7" s="1" t="str" cm="1">
        <f t="array" ref="A7">IF(J7="","",IF(Q7&lt;&gt;"",SUMPRODUCT((Q$3:Q$31&lt;&gt;"")*(H$3:H$31=H7)*(K$3:K$31&gt;K7)*(J$3:J$31="P"))+1,IF(P7&lt;&gt;"",SUMPRODUCT((P$3:P$31&lt;&gt;"")*(Q$3:Q$31="")*(H$3:H$31=H7)*(K$3:K$31&gt;K7)*(J$3:J$31="P"))+SUMPRODUCT((Q$3:Q$31&lt;&gt;"")*(H$3:H$31=H7)*(J$3:J$31="P"))+1,IF(O7&lt;&gt;"",SUMPRODUCT((O$3:O$31&lt;&gt;"")*(H$3:H$31=H7)*(K$3:K$31&gt;K7)*(J$3:J$31="P"))+1,IF(N7="P",SUMPRODUCT((P$3:P$31&lt;&gt;"")*(Q$3:Q$31="")*(H$3:H$31=H7)*(J$3:J$31="P"))+SUMPRODUCT((Q$3:Q$31&lt;&gt;"")*(H$3:H$31=H7)*(J$3:J$31="P"))+SUMPRODUCT((O$3:O$31&lt;&gt;"")*(H$3:H$31=H7)*(J$3:J$31="P"))+SUMPRODUCT((Q$3:Q$31="")*(P$3:P$31="")*(O$3:O$31="")*(N$3:N$31="P")*(H$3:H$31=H7)*(K$3:K$31&gt;K7)*(J$3:J$31="P"))+IF(I7="L5",SUMPRODUCT((Q$3:Q$31="")*(P$3:P$31="")*(O$3:O$31="")*(N$3:N$31="P")*(H$3:H$31=H7)*(K$3:K$31&lt;K7)*(I$3:I$31&lt;&gt;I7)*(J$3:J$31="P")),-1*SUMPRODUCT((Q$3:Q$31="")*(P$3:P$31="")*(O$3:O$31="")*(N$3:N$31="P")*(H$3:H$31=H7)*(K$3:K$31&gt;K7)*(I$3:I$31="L5")*(J$3:J$31="P")))+1,"")))))</f>
        <v/>
      </c>
      <c r="B7" s="1" t="str" cm="1">
        <f t="array" ref="B7">IF(Q7&lt;&gt;"",SUMPRODUCT((Q$3:Q$31&lt;&gt;"")*(H$3:H$31=H7)*(K$3:K$31&gt;K7))+1,IF(P7&lt;&gt;"",SUMPRODUCT((P$3:P$31&lt;&gt;"")*(Q$3:Q$31="")*(H$3:H$31=H7)*(K$3:K$31&gt;K7))+SUMPRODUCT((Q$3:Q$31&lt;&gt;"")*(H$3:H$31=H7))+1,IF(O7&lt;&gt;"",SUMPRODUCT((O$3:O$31&lt;&gt;"")*(H$3:H$31=H7)*(K$3:K$31&gt;K7))+1,IF(N7="P",SUMPRODUCT((P$3:P$31&lt;&gt;"")*(Q$3:Q$31="")*(H$3:H$31=H7))+SUMPRODUCT((Q$3:Q$31&lt;&gt;"")*(H$3:H$31=H7))+SUMPRODUCT((O$3:O$31&lt;&gt;"")*(H$3:H$31=H7))+SUMPRODUCT((Q$3:Q$31="")*(P$3:P$31="")*(O$3:O$31="")*(N$3:N$31="P")*(H$3:H$31=H7)*(K$3:K$31&gt;K7))+IF(I7="L5",SUMPRODUCT((Q$3:Q$31="")*(P$3:P$31="")*(O$3:O$31="")*(N$3:N$31="P")*(H$3:H$31=H7)*(K$3:K$31&lt;K7)*(I$3:I$31&lt;&gt;I7)),-1*SUMPRODUCT((Q$3:Q$31="")*(P$3:P$31="")*(O$3:O$31="")*(N$3:N$31="P")*(H$3:H$31=H7)*(K$3:K$31&gt;K7)*(I$3:I$31="L5")))+1,""))))</f>
        <v/>
      </c>
      <c r="C7" s="36" t="s">
        <v>383</v>
      </c>
      <c r="D7" s="36" t="str">
        <f>IF(E7="","",VLOOKUP(E7,'Coaching Points'!A:B,2,0)&amp;"/"&amp;VLOOKUP(F7,'Coaching Points'!A:B,2,0))</f>
        <v>ON/ON</v>
      </c>
      <c r="E7" s="36" t="s">
        <v>38</v>
      </c>
      <c r="F7" s="36" t="s">
        <v>38</v>
      </c>
      <c r="G7" s="35">
        <v>2002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9" t="s">
        <v>67</v>
      </c>
      <c r="J7" s="43"/>
      <c r="K7" s="4">
        <f>S7+T7+IF(OR(I7="Junior",I7="Senior"),0.0002,IF(OR(I7="L7",I7="L6"),0.0001,0))+MAX(AB7,AD7,AG7)*0.0000001</f>
        <v>83.720104399999997</v>
      </c>
      <c r="L7" s="3" t="str">
        <f>IF(H7="Not Age Eligible","",IF(MAX(U7,W7,Z7,AB7,AD7,AG7)&gt;=LOOKUP(H7,'Qualifying Scores'!$A$4:$A$7,'Qualifying Scores'!$D$4:$D$7),"P",""))</f>
        <v/>
      </c>
      <c r="M7" s="3" t="str">
        <f>IF(H7="Not Age Eligible","",IF(MAX(V7,X7,AA7,AC7,AE7,AH7)&gt;=LOOKUP(H7,'Qualifying Scores'!$A$10:$A$13,'Qualifying Scores'!$D$10:$D$13),"P",""))</f>
        <v/>
      </c>
      <c r="N7" s="3" t="str">
        <f>IF(H7="Not Age Eligible","",IF(OR(AND(U7&gt;=LOOKUP(H7,'Qualifying Scores'!$A$4:$A$7,'Qualifying Scores'!$D$4:$D$7),V7&gt;=LOOKUP(H7,'Qualifying Scores'!$A$10:$A$13,'Qualifying Scores'!$D$10:$D$13)),AND(W7&gt;=LOOKUP(H7,'Qualifying Scores'!$A$4:$A$7,'Qualifying Scores'!$D$4:$D$7),X7&gt;=LOOKUP(H7,'Qualifying Scores'!$A$10:$A$13,'Qualifying Scores'!$D$10:$D$13)),AND(Z7&gt;=LOOKUP(H7,'Qualifying Scores'!$A$4:$A$7,'Qualifying Scores'!$D$4:$D$7),AA7&gt;=LOOKUP(H7,'Qualifying Scores'!$A$10:$A$13,'Qualifying Scores'!$D$10:$D$13)),AND(AB7&gt;=LOOKUP(H7,'Qualifying Scores'!$A$4:$A$7,'Qualifying Scores'!$D$4:$D$7),AC7&gt;=LOOKUP(H7,'Qualifying Scores'!$A$10:$A$13,'Qualifying Scores'!$D$10:$D$13)),AND(AD7&gt;=LOOKUP(H7,'Qualifying Scores'!$A$4:$A$7,'Qualifying Scores'!$D$4:$D$7),AE7&gt;=LOOKUP(H7,'Qualifying Scores'!$A$10:$A$13,'Qualifying Scores'!$D$10:$D$13)),AND(AG7&gt;=LOOKUP(H7,'Qualifying Scores'!$A$4:$A$7,'Qualifying Scores'!$D$4:$D$7),AH7&gt;=LOOKUP(H7,'Qualifying Scores'!$A$10:$A$13,'Qualifying Scores'!$D$10:$D$13))),"P",""))</f>
        <v/>
      </c>
      <c r="R7" s="1" t="str">
        <f>IF(A7&lt;5,IF(_xlfn.MAXIFS(A:A,H:H,H7)&gt;3,5-A7,_xlfn.MAXIFS(A:A,H:H,H7)+1-A7),"")</f>
        <v/>
      </c>
      <c r="S7" s="4">
        <f>MAX(U7,W7,Z7,AB7,AD7,AG7)</f>
        <v>44</v>
      </c>
      <c r="T7" s="4">
        <f>LARGE(CHOOSE({1,2,3,4,5,6},U7,W7,Z7,AB7,AD7,AG7),2)</f>
        <v>39.72</v>
      </c>
      <c r="U7" s="33"/>
      <c r="V7" s="40"/>
      <c r="W7" s="34"/>
      <c r="X7" s="40"/>
      <c r="Y7" s="4">
        <f>IF(I7="Senior",MAX(U7,W7),U7+W7)</f>
        <v>0</v>
      </c>
      <c r="Z7" s="34"/>
      <c r="AA7" s="40"/>
      <c r="AB7" s="33">
        <v>39.72</v>
      </c>
      <c r="AC7" s="40">
        <v>9.6</v>
      </c>
      <c r="AD7" s="34"/>
      <c r="AE7" s="40"/>
      <c r="AF7" s="4">
        <f>IF(I7="Senior",MAX(AB7,AD7),AB7+AD7)</f>
        <v>39.72</v>
      </c>
      <c r="AG7" s="34">
        <v>44</v>
      </c>
      <c r="AH7" s="37">
        <v>9.6</v>
      </c>
    </row>
    <row r="8" spans="1:34" x14ac:dyDescent="0.2">
      <c r="A8" s="1" t="str" cm="1">
        <f t="array" ref="A8">IF(J8="","",IF(Q8&lt;&gt;"",SUMPRODUCT((Q$3:Q$31&lt;&gt;"")*(H$3:H$31=H8)*(K$3:K$31&gt;K8)*(J$3:J$31="P"))+1,IF(P8&lt;&gt;"",SUMPRODUCT((P$3:P$31&lt;&gt;"")*(Q$3:Q$31="")*(H$3:H$31=H8)*(K$3:K$31&gt;K8)*(J$3:J$31="P"))+SUMPRODUCT((Q$3:Q$31&lt;&gt;"")*(H$3:H$31=H8)*(J$3:J$31="P"))+1,IF(O8&lt;&gt;"",SUMPRODUCT((O$3:O$31&lt;&gt;"")*(H$3:H$31=H8)*(K$3:K$31&gt;K8)*(J$3:J$31="P"))+1,IF(N8="P",SUMPRODUCT((P$3:P$31&lt;&gt;"")*(Q$3:Q$31="")*(H$3:H$31=H8)*(J$3:J$31="P"))+SUMPRODUCT((Q$3:Q$31&lt;&gt;"")*(H$3:H$31=H8)*(J$3:J$31="P"))+SUMPRODUCT((O$3:O$31&lt;&gt;"")*(H$3:H$31=H8)*(J$3:J$31="P"))+SUMPRODUCT((Q$3:Q$31="")*(P$3:P$31="")*(O$3:O$31="")*(N$3:N$31="P")*(H$3:H$31=H8)*(K$3:K$31&gt;K8)*(J$3:J$31="P"))+IF(I8="L5",SUMPRODUCT((Q$3:Q$31="")*(P$3:P$31="")*(O$3:O$31="")*(N$3:N$31="P")*(H$3:H$31=H8)*(K$3:K$31&lt;K8)*(I$3:I$31&lt;&gt;I8)*(J$3:J$31="P")),-1*SUMPRODUCT((Q$3:Q$31="")*(P$3:P$31="")*(O$3:O$31="")*(N$3:N$31="P")*(H$3:H$31=H8)*(K$3:K$31&gt;K8)*(I$3:I$31="L5")*(J$3:J$31="P")))+1,"")))))</f>
        <v/>
      </c>
      <c r="B8" s="1" t="str" cm="1">
        <f t="array" ref="B8">IF(Q8&lt;&gt;"",SUMPRODUCT((Q$3:Q$31&lt;&gt;"")*(H$3:H$31=H8)*(K$3:K$31&gt;K8))+1,IF(P8&lt;&gt;"",SUMPRODUCT((P$3:P$31&lt;&gt;"")*(Q$3:Q$31="")*(H$3:H$31=H8)*(K$3:K$31&gt;K8))+SUMPRODUCT((Q$3:Q$31&lt;&gt;"")*(H$3:H$31=H8))+1,IF(O8&lt;&gt;"",SUMPRODUCT((O$3:O$31&lt;&gt;"")*(H$3:H$31=H8)*(K$3:K$31&gt;K8))+1,IF(N8="P",SUMPRODUCT((P$3:P$31&lt;&gt;"")*(Q$3:Q$31="")*(H$3:H$31=H8))+SUMPRODUCT((Q$3:Q$31&lt;&gt;"")*(H$3:H$31=H8))+SUMPRODUCT((O$3:O$31&lt;&gt;"")*(H$3:H$31=H8))+SUMPRODUCT((Q$3:Q$31="")*(P$3:P$31="")*(O$3:O$31="")*(N$3:N$31="P")*(H$3:H$31=H8)*(K$3:K$31&gt;K8))+IF(I8="L5",SUMPRODUCT((Q$3:Q$31="")*(P$3:P$31="")*(O$3:O$31="")*(N$3:N$31="P")*(H$3:H$31=H8)*(K$3:K$31&lt;K8)*(I$3:I$31&lt;&gt;I8)),-1*SUMPRODUCT((Q$3:Q$31="")*(P$3:P$31="")*(O$3:O$31="")*(N$3:N$31="P")*(H$3:H$31=H8)*(K$3:K$31&gt;K8)*(I$3:I$31="L5")))+1,""))))</f>
        <v/>
      </c>
      <c r="C8" s="36" t="s">
        <v>332</v>
      </c>
      <c r="D8" s="36" t="str">
        <f>IF(E8="","",VLOOKUP(E8,'Coaching Points'!A:B,2,0)&amp;"/"&amp;VLOOKUP(F8,'Coaching Points'!A:B,2,0))</f>
        <v>ON/ON</v>
      </c>
      <c r="E8" s="36" t="s">
        <v>291</v>
      </c>
      <c r="F8" s="36" t="s">
        <v>73</v>
      </c>
      <c r="G8" s="35">
        <v>2002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9" t="s">
        <v>67</v>
      </c>
      <c r="J8" s="43"/>
      <c r="K8" s="4">
        <f>S8+T8+IF(OR(I8="Junior",I8="Senior"),0.0002,IF(OR(I8="L7",I8="L6"),0.0001,0))+MAX(AB8,AD8,AG8)*0.0000001</f>
        <v>82.450104213000003</v>
      </c>
      <c r="L8" s="3" t="str">
        <f>IF(H8="Not Age Eligible","",IF(MAX(U8,W8,Z8,AB8,AD8,AG8)&gt;=LOOKUP(H8,'Qualifying Scores'!$A$4:$A$7,'Qualifying Scores'!$D$4:$D$7),"P",""))</f>
        <v/>
      </c>
      <c r="M8" s="3" t="str">
        <f>IF(H8="Not Age Eligible","",IF(MAX(V8,X8,AA8,AC8,AE8,AH8)&gt;=LOOKUP(H8,'Qualifying Scores'!$A$10:$A$13,'Qualifying Scores'!$D$10:$D$13),"P",""))</f>
        <v/>
      </c>
      <c r="N8" s="3" t="str">
        <f>IF(H8="Not Age Eligible","",IF(OR(AND(U8&gt;=LOOKUP(H8,'Qualifying Scores'!$A$4:$A$7,'Qualifying Scores'!$D$4:$D$7),V8&gt;=LOOKUP(H8,'Qualifying Scores'!$A$10:$A$13,'Qualifying Scores'!$D$10:$D$13)),AND(W8&gt;=LOOKUP(H8,'Qualifying Scores'!$A$4:$A$7,'Qualifying Scores'!$D$4:$D$7),X8&gt;=LOOKUP(H8,'Qualifying Scores'!$A$10:$A$13,'Qualifying Scores'!$D$10:$D$13)),AND(Z8&gt;=LOOKUP(H8,'Qualifying Scores'!$A$4:$A$7,'Qualifying Scores'!$D$4:$D$7),AA8&gt;=LOOKUP(H8,'Qualifying Scores'!$A$10:$A$13,'Qualifying Scores'!$D$10:$D$13)),AND(AB8&gt;=LOOKUP(H8,'Qualifying Scores'!$A$4:$A$7,'Qualifying Scores'!$D$4:$D$7),AC8&gt;=LOOKUP(H8,'Qualifying Scores'!$A$10:$A$13,'Qualifying Scores'!$D$10:$D$13)),AND(AD8&gt;=LOOKUP(H8,'Qualifying Scores'!$A$4:$A$7,'Qualifying Scores'!$D$4:$D$7),AE8&gt;=LOOKUP(H8,'Qualifying Scores'!$A$10:$A$13,'Qualifying Scores'!$D$10:$D$13)),AND(AG8&gt;=LOOKUP(H8,'Qualifying Scores'!$A$4:$A$7,'Qualifying Scores'!$D$4:$D$7),AH8&gt;=LOOKUP(H8,'Qualifying Scores'!$A$10:$A$13,'Qualifying Scores'!$D$10:$D$13))),"P",""))</f>
        <v/>
      </c>
      <c r="R8" s="1" t="str">
        <f>IF(A8&lt;5,IF(_xlfn.MAXIFS(A:A,H:H,H8)&gt;3,5-A8,_xlfn.MAXIFS(A:A,H:H,H8)+1-A8),"")</f>
        <v/>
      </c>
      <c r="S8" s="4">
        <f>MAX(U8,W8,Z8,AB8,AD8,AG8)</f>
        <v>42.13</v>
      </c>
      <c r="T8" s="4">
        <f>LARGE(CHOOSE({1,2,3,4,5,6},U8,W8,Z8,AB8,AD8,AG8),2)</f>
        <v>40.32</v>
      </c>
      <c r="U8" s="33">
        <v>35.479999999999997</v>
      </c>
      <c r="V8" s="40">
        <v>7.8</v>
      </c>
      <c r="W8" s="34"/>
      <c r="X8" s="40"/>
      <c r="Y8" s="4">
        <f>IF(I8="Senior",MAX(U8,W8),U8+W8)</f>
        <v>35.479999999999997</v>
      </c>
      <c r="Z8" s="34">
        <v>40.32</v>
      </c>
      <c r="AA8" s="40">
        <v>7.8</v>
      </c>
      <c r="AB8" s="33">
        <v>36.71</v>
      </c>
      <c r="AC8" s="40">
        <v>7.8</v>
      </c>
      <c r="AD8" s="34"/>
      <c r="AE8" s="40"/>
      <c r="AF8" s="4">
        <f>IF(I8="Senior",MAX(AB8,AD8),AB8+AD8)</f>
        <v>36.71</v>
      </c>
      <c r="AG8" s="34">
        <v>42.13</v>
      </c>
      <c r="AH8" s="37">
        <v>7.8</v>
      </c>
    </row>
    <row r="9" spans="1:34" x14ac:dyDescent="0.2">
      <c r="A9" s="1" t="str" cm="1">
        <f t="array" ref="A9">IF(J9="","",IF(Q9&lt;&gt;"",SUMPRODUCT((Q$3:Q$31&lt;&gt;"")*(H$3:H$31=H9)*(K$3:K$31&gt;K9)*(J$3:J$31="P"))+1,IF(P9&lt;&gt;"",SUMPRODUCT((P$3:P$31&lt;&gt;"")*(Q$3:Q$31="")*(H$3:H$31=H9)*(K$3:K$31&gt;K9)*(J$3:J$31="P"))+SUMPRODUCT((Q$3:Q$31&lt;&gt;"")*(H$3:H$31=H9)*(J$3:J$31="P"))+1,IF(O9&lt;&gt;"",SUMPRODUCT((O$3:O$31&lt;&gt;"")*(H$3:H$31=H9)*(K$3:K$31&gt;K9)*(J$3:J$31="P"))+1,IF(N9="P",SUMPRODUCT((P$3:P$31&lt;&gt;"")*(Q$3:Q$31="")*(H$3:H$31=H9)*(J$3:J$31="P"))+SUMPRODUCT((Q$3:Q$31&lt;&gt;"")*(H$3:H$31=H9)*(J$3:J$31="P"))+SUMPRODUCT((O$3:O$31&lt;&gt;"")*(H$3:H$31=H9)*(J$3:J$31="P"))+SUMPRODUCT((Q$3:Q$31="")*(P$3:P$31="")*(O$3:O$31="")*(N$3:N$31="P")*(H$3:H$31=H9)*(K$3:K$31&gt;K9)*(J$3:J$31="P"))+IF(I9="L5",SUMPRODUCT((Q$3:Q$31="")*(P$3:P$31="")*(O$3:O$31="")*(N$3:N$31="P")*(H$3:H$31=H9)*(K$3:K$31&lt;K9)*(I$3:I$31&lt;&gt;I9)*(J$3:J$31="P")),-1*SUMPRODUCT((Q$3:Q$31="")*(P$3:P$31="")*(O$3:O$31="")*(N$3:N$31="P")*(H$3:H$31=H9)*(K$3:K$31&gt;K9)*(I$3:I$31="L5")*(J$3:J$31="P")))+1,"")))))</f>
        <v/>
      </c>
      <c r="B9" s="1" t="str" cm="1">
        <f t="array" ref="B9">IF(Q9&lt;&gt;"",SUMPRODUCT((Q$3:Q$31&lt;&gt;"")*(H$3:H$31=H9)*(K$3:K$31&gt;K9))+1,IF(P9&lt;&gt;"",SUMPRODUCT((P$3:P$31&lt;&gt;"")*(Q$3:Q$31="")*(H$3:H$31=H9)*(K$3:K$31&gt;K9))+SUMPRODUCT((Q$3:Q$31&lt;&gt;"")*(H$3:H$31=H9))+1,IF(O9&lt;&gt;"",SUMPRODUCT((O$3:O$31&lt;&gt;"")*(H$3:H$31=H9)*(K$3:K$31&gt;K9))+1,IF(N9="P",SUMPRODUCT((P$3:P$31&lt;&gt;"")*(Q$3:Q$31="")*(H$3:H$31=H9))+SUMPRODUCT((Q$3:Q$31&lt;&gt;"")*(H$3:H$31=H9))+SUMPRODUCT((O$3:O$31&lt;&gt;"")*(H$3:H$31=H9))+SUMPRODUCT((Q$3:Q$31="")*(P$3:P$31="")*(O$3:O$31="")*(N$3:N$31="P")*(H$3:H$31=H9)*(K$3:K$31&gt;K9))+IF(I9="L5",SUMPRODUCT((Q$3:Q$31="")*(P$3:P$31="")*(O$3:O$31="")*(N$3:N$31="P")*(H$3:H$31=H9)*(K$3:K$31&lt;K9)*(I$3:I$31&lt;&gt;I9)),-1*SUMPRODUCT((Q$3:Q$31="")*(P$3:P$31="")*(O$3:O$31="")*(N$3:N$31="P")*(H$3:H$31=H9)*(K$3:K$31&gt;K9)*(I$3:I$31="L5")))+1,""))))</f>
        <v/>
      </c>
      <c r="C9" s="36" t="s">
        <v>373</v>
      </c>
      <c r="D9" s="36" t="str">
        <f>IF(E9="","",VLOOKUP(E9,'Coaching Points'!A:B,2,0)&amp;"/"&amp;VLOOKUP(F9,'Coaching Points'!A:B,2,0))</f>
        <v>ON/ON</v>
      </c>
      <c r="E9" s="36" t="s">
        <v>113</v>
      </c>
      <c r="F9" s="36" t="s">
        <v>113</v>
      </c>
      <c r="G9" s="35">
        <v>2005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9" t="s">
        <v>66</v>
      </c>
      <c r="J9" s="43"/>
      <c r="K9" s="4">
        <f>S9+T9+IF(OR(I9="Junior",I9="Senior"),0.0002,IF(OR(I9="L7",I9="L6"),0.0001,0))+MAX(AB9,AD9,AG9)*0.0000001</f>
        <v>82.390004133999994</v>
      </c>
      <c r="L9" s="3" t="str">
        <f>IF(H9="Not Age Eligible","",IF(MAX(U9,W9,Z9,AB9,AD9,AG9)&gt;=LOOKUP(H9,'Qualifying Scores'!$A$4:$A$7,'Qualifying Scores'!$D$4:$D$7),"P",""))</f>
        <v/>
      </c>
      <c r="M9" s="3" t="str">
        <f>IF(H9="Not Age Eligible","",IF(MAX(V9,X9,AA9,AC9,AE9,AH9)&gt;=LOOKUP(H9,'Qualifying Scores'!$A$10:$A$13,'Qualifying Scores'!$D$10:$D$13),"P",""))</f>
        <v/>
      </c>
      <c r="N9" s="3" t="str">
        <f>IF(H9="Not Age Eligible","",IF(OR(AND(U9&gt;=LOOKUP(H9,'Qualifying Scores'!$A$4:$A$7,'Qualifying Scores'!$D$4:$D$7),V9&gt;=LOOKUP(H9,'Qualifying Scores'!$A$10:$A$13,'Qualifying Scores'!$D$10:$D$13)),AND(W9&gt;=LOOKUP(H9,'Qualifying Scores'!$A$4:$A$7,'Qualifying Scores'!$D$4:$D$7),X9&gt;=LOOKUP(H9,'Qualifying Scores'!$A$10:$A$13,'Qualifying Scores'!$D$10:$D$13)),AND(Z9&gt;=LOOKUP(H9,'Qualifying Scores'!$A$4:$A$7,'Qualifying Scores'!$D$4:$D$7),AA9&gt;=LOOKUP(H9,'Qualifying Scores'!$A$10:$A$13,'Qualifying Scores'!$D$10:$D$13)),AND(AB9&gt;=LOOKUP(H9,'Qualifying Scores'!$A$4:$A$7,'Qualifying Scores'!$D$4:$D$7),AC9&gt;=LOOKUP(H9,'Qualifying Scores'!$A$10:$A$13,'Qualifying Scores'!$D$10:$D$13)),AND(AD9&gt;=LOOKUP(H9,'Qualifying Scores'!$A$4:$A$7,'Qualifying Scores'!$D$4:$D$7),AE9&gt;=LOOKUP(H9,'Qualifying Scores'!$A$10:$A$13,'Qualifying Scores'!$D$10:$D$13)),AND(AG9&gt;=LOOKUP(H9,'Qualifying Scores'!$A$4:$A$7,'Qualifying Scores'!$D$4:$D$7),AH9&gt;=LOOKUP(H9,'Qualifying Scores'!$A$10:$A$13,'Qualifying Scores'!$D$10:$D$13))),"P",""))</f>
        <v/>
      </c>
      <c r="R9" s="1" t="str">
        <f>IF(A9&lt;5,IF(_xlfn.MAXIFS(A:A,H:H,H9)&gt;3,5-A9,_xlfn.MAXIFS(A:A,H:H,H9)+1-A9),"")</f>
        <v/>
      </c>
      <c r="S9" s="4">
        <f>MAX(U9,W9,Z9,AB9,AD9,AG9)</f>
        <v>41.34</v>
      </c>
      <c r="T9" s="4">
        <f>LARGE(CHOOSE({1,2,3,4,5,6},U9,W9,Z9,AB9,AD9,AG9),2)</f>
        <v>41.05</v>
      </c>
      <c r="U9" s="33"/>
      <c r="V9" s="40"/>
      <c r="W9" s="34"/>
      <c r="X9" s="40"/>
      <c r="Y9" s="4">
        <f>IF(I9="Senior",MAX(U9,W9),U9+W9)</f>
        <v>0</v>
      </c>
      <c r="Z9" s="34"/>
      <c r="AA9" s="40"/>
      <c r="AB9" s="33">
        <v>41.05</v>
      </c>
      <c r="AC9" s="40">
        <v>8.5</v>
      </c>
      <c r="AD9" s="34"/>
      <c r="AE9" s="40"/>
      <c r="AF9" s="4">
        <f>IF(I9="Senior",MAX(AB9,AD9),AB9+AD9)</f>
        <v>41.05</v>
      </c>
      <c r="AG9" s="34">
        <v>41.34</v>
      </c>
      <c r="AH9" s="37">
        <v>8.5</v>
      </c>
    </row>
    <row r="10" spans="1:34" x14ac:dyDescent="0.2">
      <c r="A10" s="1" t="str" cm="1">
        <f t="array" ref="A10">IF(J10="","",IF(Q10&lt;&gt;"",SUMPRODUCT((Q$3:Q$31&lt;&gt;"")*(H$3:H$31=H10)*(K$3:K$31&gt;K10)*(J$3:J$31="P"))+1,IF(P10&lt;&gt;"",SUMPRODUCT((P$3:P$31&lt;&gt;"")*(Q$3:Q$31="")*(H$3:H$31=H10)*(K$3:K$31&gt;K10)*(J$3:J$31="P"))+SUMPRODUCT((Q$3:Q$31&lt;&gt;"")*(H$3:H$31=H10)*(J$3:J$31="P"))+1,IF(O10&lt;&gt;"",SUMPRODUCT((O$3:O$31&lt;&gt;"")*(H$3:H$31=H10)*(K$3:K$31&gt;K10)*(J$3:J$31="P"))+1,IF(N10="P",SUMPRODUCT((P$3:P$31&lt;&gt;"")*(Q$3:Q$31="")*(H$3:H$31=H10)*(J$3:J$31="P"))+SUMPRODUCT((Q$3:Q$31&lt;&gt;"")*(H$3:H$31=H10)*(J$3:J$31="P"))+SUMPRODUCT((O$3:O$31&lt;&gt;"")*(H$3:H$31=H10)*(J$3:J$31="P"))+SUMPRODUCT((Q$3:Q$31="")*(P$3:P$31="")*(O$3:O$31="")*(N$3:N$31="P")*(H$3:H$31=H10)*(K$3:K$31&gt;K10)*(J$3:J$31="P"))+IF(I10="L5",SUMPRODUCT((Q$3:Q$31="")*(P$3:P$31="")*(O$3:O$31="")*(N$3:N$31="P")*(H$3:H$31=H10)*(K$3:K$31&lt;K10)*(I$3:I$31&lt;&gt;I10)*(J$3:J$31="P")),-1*SUMPRODUCT((Q$3:Q$31="")*(P$3:P$31="")*(O$3:O$31="")*(N$3:N$31="P")*(H$3:H$31=H10)*(K$3:K$31&gt;K10)*(I$3:I$31="L5")*(J$3:J$31="P")))+1,"")))))</f>
        <v/>
      </c>
      <c r="B10" s="1" t="str" cm="1">
        <f t="array" ref="B10">IF(Q10&lt;&gt;"",SUMPRODUCT((Q$3:Q$31&lt;&gt;"")*(H$3:H$31=H10)*(K$3:K$31&gt;K10))+1,IF(P10&lt;&gt;"",SUMPRODUCT((P$3:P$31&lt;&gt;"")*(Q$3:Q$31="")*(H$3:H$31=H10)*(K$3:K$31&gt;K10))+SUMPRODUCT((Q$3:Q$31&lt;&gt;"")*(H$3:H$31=H10))+1,IF(O10&lt;&gt;"",SUMPRODUCT((O$3:O$31&lt;&gt;"")*(H$3:H$31=H10)*(K$3:K$31&gt;K10))+1,IF(N10="P",SUMPRODUCT((P$3:P$31&lt;&gt;"")*(Q$3:Q$31="")*(H$3:H$31=H10))+SUMPRODUCT((Q$3:Q$31&lt;&gt;"")*(H$3:H$31=H10))+SUMPRODUCT((O$3:O$31&lt;&gt;"")*(H$3:H$31=H10))+SUMPRODUCT((Q$3:Q$31="")*(P$3:P$31="")*(O$3:O$31="")*(N$3:N$31="P")*(H$3:H$31=H10)*(K$3:K$31&gt;K10))+IF(I10="L5",SUMPRODUCT((Q$3:Q$31="")*(P$3:P$31="")*(O$3:O$31="")*(N$3:N$31="P")*(H$3:H$31=H10)*(K$3:K$31&lt;K10)*(I$3:I$31&lt;&gt;I10)),-1*SUMPRODUCT((Q$3:Q$31="")*(P$3:P$31="")*(O$3:O$31="")*(N$3:N$31="P")*(H$3:H$31=H10)*(K$3:K$31&gt;K10)*(I$3:I$31="L5")))+1,""))))</f>
        <v/>
      </c>
      <c r="C10" s="36" t="s">
        <v>331</v>
      </c>
      <c r="D10" s="36" t="str">
        <f>IF(E10="","",VLOOKUP(E10,'Coaching Points'!A:B,2,0)&amp;"/"&amp;VLOOKUP(F10,'Coaching Points'!A:B,2,0))</f>
        <v>ON/ON</v>
      </c>
      <c r="E10" s="36" t="s">
        <v>113</v>
      </c>
      <c r="F10" s="36" t="s">
        <v>113</v>
      </c>
      <c r="G10" s="35">
        <v>2006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9" t="s">
        <v>66</v>
      </c>
      <c r="J10" s="43"/>
      <c r="K10" s="4">
        <f>S10+T10+IF(OR(I10="Junior",I10="Senior"),0.0002,IF(OR(I10="L7",I10="L6"),0.0001,0))+MAX(AB10,AD10,AG10)*0.0000001</f>
        <v>82.190004285000001</v>
      </c>
      <c r="L10" s="3" t="str">
        <f>IF(H10="Not Age Eligible","",IF(MAX(U10,W10,Z10,AB10,AD10,AG10)&gt;=LOOKUP(H10,'Qualifying Scores'!$A$4:$A$7,'Qualifying Scores'!$D$4:$D$7),"P",""))</f>
        <v/>
      </c>
      <c r="M10" s="3" t="str">
        <f>IF(H10="Not Age Eligible","",IF(MAX(V10,X10,AA10,AC10,AE10,AH10)&gt;=LOOKUP(H10,'Qualifying Scores'!$A$10:$A$13,'Qualifying Scores'!$D$10:$D$13),"P",""))</f>
        <v/>
      </c>
      <c r="N10" s="3" t="str">
        <f>IF(H10="Not Age Eligible","",IF(OR(AND(U10&gt;=LOOKUP(H10,'Qualifying Scores'!$A$4:$A$7,'Qualifying Scores'!$D$4:$D$7),V10&gt;=LOOKUP(H10,'Qualifying Scores'!$A$10:$A$13,'Qualifying Scores'!$D$10:$D$13)),AND(W10&gt;=LOOKUP(H10,'Qualifying Scores'!$A$4:$A$7,'Qualifying Scores'!$D$4:$D$7),X10&gt;=LOOKUP(H10,'Qualifying Scores'!$A$10:$A$13,'Qualifying Scores'!$D$10:$D$13)),AND(Z10&gt;=LOOKUP(H10,'Qualifying Scores'!$A$4:$A$7,'Qualifying Scores'!$D$4:$D$7),AA10&gt;=LOOKUP(H10,'Qualifying Scores'!$A$10:$A$13,'Qualifying Scores'!$D$10:$D$13)),AND(AB10&gt;=LOOKUP(H10,'Qualifying Scores'!$A$4:$A$7,'Qualifying Scores'!$D$4:$D$7),AC10&gt;=LOOKUP(H10,'Qualifying Scores'!$A$10:$A$13,'Qualifying Scores'!$D$10:$D$13)),AND(AD10&gt;=LOOKUP(H10,'Qualifying Scores'!$A$4:$A$7,'Qualifying Scores'!$D$4:$D$7),AE10&gt;=LOOKUP(H10,'Qualifying Scores'!$A$10:$A$13,'Qualifying Scores'!$D$10:$D$13)),AND(AG10&gt;=LOOKUP(H10,'Qualifying Scores'!$A$4:$A$7,'Qualifying Scores'!$D$4:$D$7),AH10&gt;=LOOKUP(H10,'Qualifying Scores'!$A$10:$A$13,'Qualifying Scores'!$D$10:$D$13))),"P",""))</f>
        <v/>
      </c>
      <c r="R10" s="1" t="str">
        <f>IF(A10&lt;5,IF(_xlfn.MAXIFS(A:A,H:H,H10)&gt;3,5-A10,_xlfn.MAXIFS(A:A,H:H,H10)+1-A10),"")</f>
        <v/>
      </c>
      <c r="S10" s="4">
        <f>MAX(U10,W10,Z10,AB10,AD10,AG10)</f>
        <v>42.85</v>
      </c>
      <c r="T10" s="4">
        <f>LARGE(CHOOSE({1,2,3,4,5,6},U10,W10,Z10,AB10,AD10,AG10),2)</f>
        <v>39.340000000000003</v>
      </c>
      <c r="U10" s="33">
        <v>8.15</v>
      </c>
      <c r="V10" s="40">
        <v>1.9</v>
      </c>
      <c r="W10" s="34"/>
      <c r="X10" s="40"/>
      <c r="Y10" s="4">
        <f>IF(I10="Senior",MAX(U10,W10),U10+W10)</f>
        <v>8.15</v>
      </c>
      <c r="Z10" s="34"/>
      <c r="AA10" s="40"/>
      <c r="AB10" s="33">
        <v>42.85</v>
      </c>
      <c r="AC10" s="40">
        <v>8.5</v>
      </c>
      <c r="AD10" s="34"/>
      <c r="AE10" s="40"/>
      <c r="AF10" s="4">
        <f>IF(I10="Senior",MAX(AB10,AD10),AB10+AD10)</f>
        <v>42.85</v>
      </c>
      <c r="AG10" s="34">
        <v>39.340000000000003</v>
      </c>
      <c r="AH10" s="37">
        <v>8.5</v>
      </c>
    </row>
    <row r="11" spans="1:34" x14ac:dyDescent="0.2">
      <c r="A11" s="1" t="str" cm="1">
        <f t="array" ref="A11">IF(J11="","",IF(Q11&lt;&gt;"",SUMPRODUCT((Q$3:Q$31&lt;&gt;"")*(H$3:H$31=H11)*(K$3:K$31&gt;K11)*(J$3:J$31="P"))+1,IF(P11&lt;&gt;"",SUMPRODUCT((P$3:P$31&lt;&gt;"")*(Q$3:Q$31="")*(H$3:H$31=H11)*(K$3:K$31&gt;K11)*(J$3:J$31="P"))+SUMPRODUCT((Q$3:Q$31&lt;&gt;"")*(H$3:H$31=H11)*(J$3:J$31="P"))+1,IF(O11&lt;&gt;"",SUMPRODUCT((O$3:O$31&lt;&gt;"")*(H$3:H$31=H11)*(K$3:K$31&gt;K11)*(J$3:J$31="P"))+1,IF(N11="P",SUMPRODUCT((P$3:P$31&lt;&gt;"")*(Q$3:Q$31="")*(H$3:H$31=H11)*(J$3:J$31="P"))+SUMPRODUCT((Q$3:Q$31&lt;&gt;"")*(H$3:H$31=H11)*(J$3:J$31="P"))+SUMPRODUCT((O$3:O$31&lt;&gt;"")*(H$3:H$31=H11)*(J$3:J$31="P"))+SUMPRODUCT((Q$3:Q$31="")*(P$3:P$31="")*(O$3:O$31="")*(N$3:N$31="P")*(H$3:H$31=H11)*(K$3:K$31&gt;K11)*(J$3:J$31="P"))+IF(I11="L5",SUMPRODUCT((Q$3:Q$31="")*(P$3:P$31="")*(O$3:O$31="")*(N$3:N$31="P")*(H$3:H$31=H11)*(K$3:K$31&lt;K11)*(I$3:I$31&lt;&gt;I11)*(J$3:J$31="P")),-1*SUMPRODUCT((Q$3:Q$31="")*(P$3:P$31="")*(O$3:O$31="")*(N$3:N$31="P")*(H$3:H$31=H11)*(K$3:K$31&gt;K11)*(I$3:I$31="L5")*(J$3:J$31="P")))+1,"")))))</f>
        <v/>
      </c>
      <c r="B11" s="1" t="str" cm="1">
        <f t="array" ref="B11">IF(Q11&lt;&gt;"",SUMPRODUCT((Q$3:Q$31&lt;&gt;"")*(H$3:H$31=H11)*(K$3:K$31&gt;K11))+1,IF(P11&lt;&gt;"",SUMPRODUCT((P$3:P$31&lt;&gt;"")*(Q$3:Q$31="")*(H$3:H$31=H11)*(K$3:K$31&gt;K11))+SUMPRODUCT((Q$3:Q$31&lt;&gt;"")*(H$3:H$31=H11))+1,IF(O11&lt;&gt;"",SUMPRODUCT((O$3:O$31&lt;&gt;"")*(H$3:H$31=H11)*(K$3:K$31&gt;K11))+1,IF(N11="P",SUMPRODUCT((P$3:P$31&lt;&gt;"")*(Q$3:Q$31="")*(H$3:H$31=H11))+SUMPRODUCT((Q$3:Q$31&lt;&gt;"")*(H$3:H$31=H11))+SUMPRODUCT((O$3:O$31&lt;&gt;"")*(H$3:H$31=H11))+SUMPRODUCT((Q$3:Q$31="")*(P$3:P$31="")*(O$3:O$31="")*(N$3:N$31="P")*(H$3:H$31=H11)*(K$3:K$31&gt;K11))+IF(I11="L5",SUMPRODUCT((Q$3:Q$31="")*(P$3:P$31="")*(O$3:O$31="")*(N$3:N$31="P")*(H$3:H$31=H11)*(K$3:K$31&lt;K11)*(I$3:I$31&lt;&gt;I11)),-1*SUMPRODUCT((Q$3:Q$31="")*(P$3:P$31="")*(O$3:O$31="")*(N$3:N$31="P")*(H$3:H$31=H11)*(K$3:K$31&gt;K11)*(I$3:I$31="L5")))+1,""))))</f>
        <v/>
      </c>
      <c r="C11" s="36" t="s">
        <v>375</v>
      </c>
      <c r="D11" s="36" t="str">
        <f>IF(E11="","",VLOOKUP(E11,'Coaching Points'!A:B,2,0)&amp;"/"&amp;VLOOKUP(F11,'Coaching Points'!A:B,2,0))</f>
        <v>BC/BC</v>
      </c>
      <c r="E11" s="36" t="s">
        <v>62</v>
      </c>
      <c r="F11" s="36" t="s">
        <v>62</v>
      </c>
      <c r="G11" s="35">
        <v>2006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17-21</v>
      </c>
      <c r="I11" s="39" t="s">
        <v>66</v>
      </c>
      <c r="J11" s="43"/>
      <c r="K11" s="4">
        <f>S11+T11+IF(OR(I11="Junior",I11="Senior"),0.0002,IF(OR(I11="L7",I11="L6"),0.0001,0))+MAX(AB11,AD11,AG11)*0.0000001</f>
        <v>78.100003974999993</v>
      </c>
      <c r="L11" s="3" t="str">
        <f>IF(H11="Not Age Eligible","",IF(MAX(U11,W11,Z11,AB11,AD11,AG11)&gt;=LOOKUP(H11,'Qualifying Scores'!$A$4:$A$7,'Qualifying Scores'!$D$4:$D$7),"P",""))</f>
        <v/>
      </c>
      <c r="M11" s="3" t="str">
        <f>IF(H11="Not Age Eligible","",IF(MAX(V11,X11,AA11,AC11,AE11,AH11)&gt;=LOOKUP(H11,'Qualifying Scores'!$A$10:$A$13,'Qualifying Scores'!$D$10:$D$13),"P",""))</f>
        <v/>
      </c>
      <c r="N11" s="3" t="str">
        <f>IF(H11="Not Age Eligible","",IF(OR(AND(U11&gt;=LOOKUP(H11,'Qualifying Scores'!$A$4:$A$7,'Qualifying Scores'!$D$4:$D$7),V11&gt;=LOOKUP(H11,'Qualifying Scores'!$A$10:$A$13,'Qualifying Scores'!$D$10:$D$13)),AND(W11&gt;=LOOKUP(H11,'Qualifying Scores'!$A$4:$A$7,'Qualifying Scores'!$D$4:$D$7),X11&gt;=LOOKUP(H11,'Qualifying Scores'!$A$10:$A$13,'Qualifying Scores'!$D$10:$D$13)),AND(Z11&gt;=LOOKUP(H11,'Qualifying Scores'!$A$4:$A$7,'Qualifying Scores'!$D$4:$D$7),AA11&gt;=LOOKUP(H11,'Qualifying Scores'!$A$10:$A$13,'Qualifying Scores'!$D$10:$D$13)),AND(AB11&gt;=LOOKUP(H11,'Qualifying Scores'!$A$4:$A$7,'Qualifying Scores'!$D$4:$D$7),AC11&gt;=LOOKUP(H11,'Qualifying Scores'!$A$10:$A$13,'Qualifying Scores'!$D$10:$D$13)),AND(AD11&gt;=LOOKUP(H11,'Qualifying Scores'!$A$4:$A$7,'Qualifying Scores'!$D$4:$D$7),AE11&gt;=LOOKUP(H11,'Qualifying Scores'!$A$10:$A$13,'Qualifying Scores'!$D$10:$D$13)),AND(AG11&gt;=LOOKUP(H11,'Qualifying Scores'!$A$4:$A$7,'Qualifying Scores'!$D$4:$D$7),AH11&gt;=LOOKUP(H11,'Qualifying Scores'!$A$10:$A$13,'Qualifying Scores'!$D$10:$D$13))),"P",""))</f>
        <v/>
      </c>
      <c r="R11" s="1" t="str">
        <f>IF(A11&lt;5,IF(_xlfn.MAXIFS(A:A,H:H,H11)&gt;3,5-A11,_xlfn.MAXIFS(A:A,H:H,H11)+1-A11),"")</f>
        <v/>
      </c>
      <c r="S11" s="4">
        <f>MAX(U11,W11,Z11,AB11,AD11,AG11)</f>
        <v>39.75</v>
      </c>
      <c r="T11" s="4">
        <f>LARGE(CHOOSE({1,2,3,4,5,6},U11,W11,Z11,AB11,AD11,AG11),2)</f>
        <v>38.35</v>
      </c>
      <c r="U11" s="33"/>
      <c r="V11" s="40"/>
      <c r="W11" s="34"/>
      <c r="X11" s="40"/>
      <c r="Y11" s="4">
        <f>IF(I11="Senior",MAX(U11,W11),U11+W11)</f>
        <v>0</v>
      </c>
      <c r="Z11" s="34"/>
      <c r="AA11" s="40"/>
      <c r="AB11" s="33">
        <v>38.35</v>
      </c>
      <c r="AC11" s="40">
        <v>7.4</v>
      </c>
      <c r="AD11" s="34"/>
      <c r="AE11" s="40"/>
      <c r="AF11" s="4">
        <f>IF(I11="Senior",MAX(AB11,AD11),AB11+AD11)</f>
        <v>38.35</v>
      </c>
      <c r="AG11" s="34">
        <v>39.75</v>
      </c>
      <c r="AH11" s="37">
        <v>7.4</v>
      </c>
    </row>
    <row r="12" spans="1:34" x14ac:dyDescent="0.2">
      <c r="A12" s="1" t="str" cm="1">
        <f t="array" ref="A12">IF(J12="","",IF(Q12&lt;&gt;"",SUMPRODUCT((Q$3:Q$31&lt;&gt;"")*(H$3:H$31=H12)*(K$3:K$31&gt;K12)*(J$3:J$31="P"))+1,IF(P12&lt;&gt;"",SUMPRODUCT((P$3:P$31&lt;&gt;"")*(Q$3:Q$31="")*(H$3:H$31=H12)*(K$3:K$31&gt;K12)*(J$3:J$31="P"))+SUMPRODUCT((Q$3:Q$31&lt;&gt;"")*(H$3:H$31=H12)*(J$3:J$31="P"))+1,IF(O12&lt;&gt;"",SUMPRODUCT((O$3:O$31&lt;&gt;"")*(H$3:H$31=H12)*(K$3:K$31&gt;K12)*(J$3:J$31="P"))+1,IF(N12="P",SUMPRODUCT((P$3:P$31&lt;&gt;"")*(Q$3:Q$31="")*(H$3:H$31=H12)*(J$3:J$31="P"))+SUMPRODUCT((Q$3:Q$31&lt;&gt;"")*(H$3:H$31=H12)*(J$3:J$31="P"))+SUMPRODUCT((O$3:O$31&lt;&gt;"")*(H$3:H$31=H12)*(J$3:J$31="P"))+SUMPRODUCT((Q$3:Q$31="")*(P$3:P$31="")*(O$3:O$31="")*(N$3:N$31="P")*(H$3:H$31=H12)*(K$3:K$31&gt;K12)*(J$3:J$31="P"))+IF(I12="L5",SUMPRODUCT((Q$3:Q$31="")*(P$3:P$31="")*(O$3:O$31="")*(N$3:N$31="P")*(H$3:H$31=H12)*(K$3:K$31&lt;K12)*(I$3:I$31&lt;&gt;I12)*(J$3:J$31="P")),-1*SUMPRODUCT((Q$3:Q$31="")*(P$3:P$31="")*(O$3:O$31="")*(N$3:N$31="P")*(H$3:H$31=H12)*(K$3:K$31&gt;K12)*(I$3:I$31="L5")*(J$3:J$31="P")))+1,"")))))</f>
        <v/>
      </c>
      <c r="B12" s="1" t="str" cm="1">
        <f t="array" ref="B12">IF(Q12&lt;&gt;"",SUMPRODUCT((Q$3:Q$31&lt;&gt;"")*(H$3:H$31=H12)*(K$3:K$31&gt;K12))+1,IF(P12&lt;&gt;"",SUMPRODUCT((P$3:P$31&lt;&gt;"")*(Q$3:Q$31="")*(H$3:H$31=H12)*(K$3:K$31&gt;K12))+SUMPRODUCT((Q$3:Q$31&lt;&gt;"")*(H$3:H$31=H12))+1,IF(O12&lt;&gt;"",SUMPRODUCT((O$3:O$31&lt;&gt;"")*(H$3:H$31=H12)*(K$3:K$31&gt;K12))+1,IF(N12="P",SUMPRODUCT((P$3:P$31&lt;&gt;"")*(Q$3:Q$31="")*(H$3:H$31=H12))+SUMPRODUCT((Q$3:Q$31&lt;&gt;"")*(H$3:H$31=H12))+SUMPRODUCT((O$3:O$31&lt;&gt;"")*(H$3:H$31=H12))+SUMPRODUCT((Q$3:Q$31="")*(P$3:P$31="")*(O$3:O$31="")*(N$3:N$31="P")*(H$3:H$31=H12)*(K$3:K$31&gt;K12))+IF(I12="L5",SUMPRODUCT((Q$3:Q$31="")*(P$3:P$31="")*(O$3:O$31="")*(N$3:N$31="P")*(H$3:H$31=H12)*(K$3:K$31&lt;K12)*(I$3:I$31&lt;&gt;I12)),-1*SUMPRODUCT((Q$3:Q$31="")*(P$3:P$31="")*(O$3:O$31="")*(N$3:N$31="P")*(H$3:H$31=H12)*(K$3:K$31&gt;K12)*(I$3:I$31="L5")))+1,""))))</f>
        <v/>
      </c>
      <c r="C12" s="36" t="s">
        <v>376</v>
      </c>
      <c r="D12" s="36" t="str">
        <f>IF(E12="","",VLOOKUP(E12,'Coaching Points'!A:B,2,0)&amp;"/"&amp;VLOOKUP(F12,'Coaching Points'!A:B,2,0))</f>
        <v>BC/ON</v>
      </c>
      <c r="E12" s="36" t="s">
        <v>288</v>
      </c>
      <c r="F12" s="36" t="s">
        <v>100</v>
      </c>
      <c r="G12" s="35">
        <v>2003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17-21</v>
      </c>
      <c r="I12" s="39" t="s">
        <v>66</v>
      </c>
      <c r="J12" s="43"/>
      <c r="K12" s="4">
        <f>S12+T12+IF(OR(I12="Junior",I12="Senior"),0.0002,IF(OR(I12="L7",I12="L6"),0.0001,0))+MAX(AB12,AD12,AG12)*0.0000001</f>
        <v>76.920003945000005</v>
      </c>
      <c r="L12" s="3" t="str">
        <f>IF(H12="Not Age Eligible","",IF(MAX(U12,W12,Z12,AB12,AD12,AG12)&gt;=LOOKUP(H12,'Qualifying Scores'!$A$4:$A$7,'Qualifying Scores'!$D$4:$D$7),"P",""))</f>
        <v/>
      </c>
      <c r="M12" s="3" t="str">
        <f>IF(H12="Not Age Eligible","",IF(MAX(V12,X12,AA12,AC12,AE12,AH12)&gt;=LOOKUP(H12,'Qualifying Scores'!$A$10:$A$13,'Qualifying Scores'!$D$10:$D$13),"P",""))</f>
        <v/>
      </c>
      <c r="N12" s="3" t="str">
        <f>IF(H12="Not Age Eligible","",IF(OR(AND(U12&gt;=LOOKUP(H12,'Qualifying Scores'!$A$4:$A$7,'Qualifying Scores'!$D$4:$D$7),V12&gt;=LOOKUP(H12,'Qualifying Scores'!$A$10:$A$13,'Qualifying Scores'!$D$10:$D$13)),AND(W12&gt;=LOOKUP(H12,'Qualifying Scores'!$A$4:$A$7,'Qualifying Scores'!$D$4:$D$7),X12&gt;=LOOKUP(H12,'Qualifying Scores'!$A$10:$A$13,'Qualifying Scores'!$D$10:$D$13)),AND(Z12&gt;=LOOKUP(H12,'Qualifying Scores'!$A$4:$A$7,'Qualifying Scores'!$D$4:$D$7),AA12&gt;=LOOKUP(H12,'Qualifying Scores'!$A$10:$A$13,'Qualifying Scores'!$D$10:$D$13)),AND(AB12&gt;=LOOKUP(H12,'Qualifying Scores'!$A$4:$A$7,'Qualifying Scores'!$D$4:$D$7),AC12&gt;=LOOKUP(H12,'Qualifying Scores'!$A$10:$A$13,'Qualifying Scores'!$D$10:$D$13)),AND(AD12&gt;=LOOKUP(H12,'Qualifying Scores'!$A$4:$A$7,'Qualifying Scores'!$D$4:$D$7),AE12&gt;=LOOKUP(H12,'Qualifying Scores'!$A$10:$A$13,'Qualifying Scores'!$D$10:$D$13)),AND(AG12&gt;=LOOKUP(H12,'Qualifying Scores'!$A$4:$A$7,'Qualifying Scores'!$D$4:$D$7),AH12&gt;=LOOKUP(H12,'Qualifying Scores'!$A$10:$A$13,'Qualifying Scores'!$D$10:$D$13))),"P",""))</f>
        <v/>
      </c>
      <c r="R12" s="1" t="str">
        <f>IF(A12&lt;5,IF(_xlfn.MAXIFS(A:A,H:H,H12)&gt;3,5-A12,_xlfn.MAXIFS(A:A,H:H,H12)+1-A12),"")</f>
        <v/>
      </c>
      <c r="S12" s="4">
        <f>MAX(U12,W12,Z12,AB12,AD12,AG12)</f>
        <v>39.450000000000003</v>
      </c>
      <c r="T12" s="4">
        <f>LARGE(CHOOSE({1,2,3,4,5,6},U12,W12,Z12,AB12,AD12,AG12),2)</f>
        <v>37.47</v>
      </c>
      <c r="U12" s="33"/>
      <c r="V12" s="40"/>
      <c r="W12" s="34"/>
      <c r="X12" s="40"/>
      <c r="Y12" s="4">
        <f>IF(I12="Senior",MAX(U12,W12),U12+W12)</f>
        <v>0</v>
      </c>
      <c r="Z12" s="34"/>
      <c r="AA12" s="40"/>
      <c r="AB12" s="33">
        <v>37.47</v>
      </c>
      <c r="AC12" s="40">
        <v>8.1</v>
      </c>
      <c r="AD12" s="34"/>
      <c r="AE12" s="40"/>
      <c r="AF12" s="4">
        <f>IF(I12="Senior",MAX(AB12,AD12),AB12+AD12)</f>
        <v>37.47</v>
      </c>
      <c r="AG12" s="34">
        <v>39.450000000000003</v>
      </c>
      <c r="AH12" s="37">
        <v>8.1</v>
      </c>
    </row>
    <row r="13" spans="1:34" x14ac:dyDescent="0.2">
      <c r="A13" s="1" t="str" cm="1">
        <f t="array" ref="A13">IF(J13="","",IF(Q13&lt;&gt;"",SUMPRODUCT((Q$3:Q$31&lt;&gt;"")*(H$3:H$31=H13)*(K$3:K$31&gt;K13)*(J$3:J$31="P"))+1,IF(P13&lt;&gt;"",SUMPRODUCT((P$3:P$31&lt;&gt;"")*(Q$3:Q$31="")*(H$3:H$31=H13)*(K$3:K$31&gt;K13)*(J$3:J$31="P"))+SUMPRODUCT((Q$3:Q$31&lt;&gt;"")*(H$3:H$31=H13)*(J$3:J$31="P"))+1,IF(O13&lt;&gt;"",SUMPRODUCT((O$3:O$31&lt;&gt;"")*(H$3:H$31=H13)*(K$3:K$31&gt;K13)*(J$3:J$31="P"))+1,IF(N13="P",SUMPRODUCT((P$3:P$31&lt;&gt;"")*(Q$3:Q$31="")*(H$3:H$31=H13)*(J$3:J$31="P"))+SUMPRODUCT((Q$3:Q$31&lt;&gt;"")*(H$3:H$31=H13)*(J$3:J$31="P"))+SUMPRODUCT((O$3:O$31&lt;&gt;"")*(H$3:H$31=H13)*(J$3:J$31="P"))+SUMPRODUCT((Q$3:Q$31="")*(P$3:P$31="")*(O$3:O$31="")*(N$3:N$31="P")*(H$3:H$31=H13)*(K$3:K$31&gt;K13)*(J$3:J$31="P"))+IF(I13="L5",SUMPRODUCT((Q$3:Q$31="")*(P$3:P$31="")*(O$3:O$31="")*(N$3:N$31="P")*(H$3:H$31=H13)*(K$3:K$31&lt;K13)*(I$3:I$31&lt;&gt;I13)*(J$3:J$31="P")),-1*SUMPRODUCT((Q$3:Q$31="")*(P$3:P$31="")*(O$3:O$31="")*(N$3:N$31="P")*(H$3:H$31=H13)*(K$3:K$31&gt;K13)*(I$3:I$31="L5")*(J$3:J$31="P")))+1,"")))))</f>
        <v/>
      </c>
      <c r="B13" s="1" t="str" cm="1">
        <f t="array" ref="B13">IF(Q13&lt;&gt;"",SUMPRODUCT((Q$3:Q$31&lt;&gt;"")*(H$3:H$31=H13)*(K$3:K$31&gt;K13))+1,IF(P13&lt;&gt;"",SUMPRODUCT((P$3:P$31&lt;&gt;"")*(Q$3:Q$31="")*(H$3:H$31=H13)*(K$3:K$31&gt;K13))+SUMPRODUCT((Q$3:Q$31&lt;&gt;"")*(H$3:H$31=H13))+1,IF(O13&lt;&gt;"",SUMPRODUCT((O$3:O$31&lt;&gt;"")*(H$3:H$31=H13)*(K$3:K$31&gt;K13))+1,IF(N13="P",SUMPRODUCT((P$3:P$31&lt;&gt;"")*(Q$3:Q$31="")*(H$3:H$31=H13))+SUMPRODUCT((Q$3:Q$31&lt;&gt;"")*(H$3:H$31=H13))+SUMPRODUCT((O$3:O$31&lt;&gt;"")*(H$3:H$31=H13))+SUMPRODUCT((Q$3:Q$31="")*(P$3:P$31="")*(O$3:O$31="")*(N$3:N$31="P")*(H$3:H$31=H13)*(K$3:K$31&gt;K13))+IF(I13="L5",SUMPRODUCT((Q$3:Q$31="")*(P$3:P$31="")*(O$3:O$31="")*(N$3:N$31="P")*(H$3:H$31=H13)*(K$3:K$31&lt;K13)*(I$3:I$31&lt;&gt;I13)),-1*SUMPRODUCT((Q$3:Q$31="")*(P$3:P$31="")*(O$3:O$31="")*(N$3:N$31="P")*(H$3:H$31=H13)*(K$3:K$31&gt;K13)*(I$3:I$31="L5")))+1,""))))</f>
        <v/>
      </c>
      <c r="C13" s="36" t="s">
        <v>378</v>
      </c>
      <c r="D13" s="36" t="str">
        <f>IF(E13="","",VLOOKUP(E13,'Coaching Points'!A:B,2,0)&amp;"/"&amp;VLOOKUP(F13,'Coaching Points'!A:B,2,0))</f>
        <v>NL/NL</v>
      </c>
      <c r="E13" s="36" t="s">
        <v>418</v>
      </c>
      <c r="F13" s="36" t="s">
        <v>104</v>
      </c>
      <c r="G13" s="35">
        <v>2005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17-21</v>
      </c>
      <c r="I13" s="39" t="s">
        <v>66</v>
      </c>
      <c r="J13" s="43"/>
      <c r="K13" s="4">
        <f>S13+T13+IF(OR(I13="Junior",I13="Senior"),0.0002,IF(OR(I13="L7",I13="L6"),0.0001,0))+MAX(AB13,AD13,AG13)*0.0000001</f>
        <v>52.080003900999998</v>
      </c>
      <c r="L13" s="3" t="str">
        <f>IF(H13="Not Age Eligible","",IF(MAX(U13,W13,Z13,AB13,AD13,AG13)&gt;=LOOKUP(H13,'Qualifying Scores'!$A$4:$A$7,'Qualifying Scores'!$D$4:$D$7),"P",""))</f>
        <v/>
      </c>
      <c r="M13" s="3" t="str">
        <f>IF(H13="Not Age Eligible","",IF(MAX(V13,X13,AA13,AC13,AE13,AH13)&gt;=LOOKUP(H13,'Qualifying Scores'!$A$10:$A$13,'Qualifying Scores'!$D$10:$D$13),"P",""))</f>
        <v/>
      </c>
      <c r="N13" s="3" t="str">
        <f>IF(H13="Not Age Eligible","",IF(OR(AND(U13&gt;=LOOKUP(H13,'Qualifying Scores'!$A$4:$A$7,'Qualifying Scores'!$D$4:$D$7),V13&gt;=LOOKUP(H13,'Qualifying Scores'!$A$10:$A$13,'Qualifying Scores'!$D$10:$D$13)),AND(W13&gt;=LOOKUP(H13,'Qualifying Scores'!$A$4:$A$7,'Qualifying Scores'!$D$4:$D$7),X13&gt;=LOOKUP(H13,'Qualifying Scores'!$A$10:$A$13,'Qualifying Scores'!$D$10:$D$13)),AND(Z13&gt;=LOOKUP(H13,'Qualifying Scores'!$A$4:$A$7,'Qualifying Scores'!$D$4:$D$7),AA13&gt;=LOOKUP(H13,'Qualifying Scores'!$A$10:$A$13,'Qualifying Scores'!$D$10:$D$13)),AND(AB13&gt;=LOOKUP(H13,'Qualifying Scores'!$A$4:$A$7,'Qualifying Scores'!$D$4:$D$7),AC13&gt;=LOOKUP(H13,'Qualifying Scores'!$A$10:$A$13,'Qualifying Scores'!$D$10:$D$13)),AND(AD13&gt;=LOOKUP(H13,'Qualifying Scores'!$A$4:$A$7,'Qualifying Scores'!$D$4:$D$7),AE13&gt;=LOOKUP(H13,'Qualifying Scores'!$A$10:$A$13,'Qualifying Scores'!$D$10:$D$13)),AND(AG13&gt;=LOOKUP(H13,'Qualifying Scores'!$A$4:$A$7,'Qualifying Scores'!$D$4:$D$7),AH13&gt;=LOOKUP(H13,'Qualifying Scores'!$A$10:$A$13,'Qualifying Scores'!$D$10:$D$13))),"P",""))</f>
        <v/>
      </c>
      <c r="R13" s="1" t="str">
        <f>IF(A13&lt;5,IF(_xlfn.MAXIFS(A:A,H:H,H13)&gt;3,5-A13,_xlfn.MAXIFS(A:A,H:H,H13)+1-A13),"")</f>
        <v/>
      </c>
      <c r="S13" s="4">
        <f>MAX(U13,W13,Z13,AB13,AD13,AG13)</f>
        <v>39.01</v>
      </c>
      <c r="T13" s="4">
        <f>LARGE(CHOOSE({1,2,3,4,5,6},U13,W13,Z13,AB13,AD13,AG13),2)</f>
        <v>13.07</v>
      </c>
      <c r="U13" s="33"/>
      <c r="V13" s="40"/>
      <c r="W13" s="34"/>
      <c r="X13" s="40"/>
      <c r="Y13" s="4">
        <f>IF(I13="Senior",MAX(U13,W13),U13+W13)</f>
        <v>0</v>
      </c>
      <c r="Z13" s="34"/>
      <c r="AA13" s="40"/>
      <c r="AB13" s="33">
        <v>39.01</v>
      </c>
      <c r="AC13" s="40">
        <v>7.6</v>
      </c>
      <c r="AD13" s="34"/>
      <c r="AE13" s="40"/>
      <c r="AF13" s="4">
        <f>IF(I13="Senior",MAX(AB13,AD13),AB13+AD13)</f>
        <v>39.01</v>
      </c>
      <c r="AG13" s="34">
        <v>13.07</v>
      </c>
      <c r="AH13" s="37">
        <v>2.9</v>
      </c>
    </row>
    <row r="14" spans="1:34" x14ac:dyDescent="0.2">
      <c r="A14" s="1" t="str" cm="1">
        <f t="array" ref="A14">IF(J14="","",IF(Q14&lt;&gt;"",SUMPRODUCT((Q$3:Q$31&lt;&gt;"")*(H$3:H$31=H14)*(K$3:K$31&gt;K14)*(J$3:J$31="P"))+1,IF(P14&lt;&gt;"",SUMPRODUCT((P$3:P$31&lt;&gt;"")*(Q$3:Q$31="")*(H$3:H$31=H14)*(K$3:K$31&gt;K14)*(J$3:J$31="P"))+SUMPRODUCT((Q$3:Q$31&lt;&gt;"")*(H$3:H$31=H14)*(J$3:J$31="P"))+1,IF(O14&lt;&gt;"",SUMPRODUCT((O$3:O$31&lt;&gt;"")*(H$3:H$31=H14)*(K$3:K$31&gt;K14)*(J$3:J$31="P"))+1,IF(N14="P",SUMPRODUCT((P$3:P$31&lt;&gt;"")*(Q$3:Q$31="")*(H$3:H$31=H14)*(J$3:J$31="P"))+SUMPRODUCT((Q$3:Q$31&lt;&gt;"")*(H$3:H$31=H14)*(J$3:J$31="P"))+SUMPRODUCT((O$3:O$31&lt;&gt;"")*(H$3:H$31=H14)*(J$3:J$31="P"))+SUMPRODUCT((Q$3:Q$31="")*(P$3:P$31="")*(O$3:O$31="")*(N$3:N$31="P")*(H$3:H$31=H14)*(K$3:K$31&gt;K14)*(J$3:J$31="P"))+IF(I14="L5",SUMPRODUCT((Q$3:Q$31="")*(P$3:P$31="")*(O$3:O$31="")*(N$3:N$31="P")*(H$3:H$31=H14)*(K$3:K$31&lt;K14)*(I$3:I$31&lt;&gt;I14)*(J$3:J$31="P")),-1*SUMPRODUCT((Q$3:Q$31="")*(P$3:P$31="")*(O$3:O$31="")*(N$3:N$31="P")*(H$3:H$31=H14)*(K$3:K$31&gt;K14)*(I$3:I$31="L5")*(J$3:J$31="P")))+1,"")))))</f>
        <v/>
      </c>
      <c r="B14" s="1" t="str" cm="1">
        <f t="array" ref="B14">IF(Q14&lt;&gt;"",SUMPRODUCT((Q$3:Q$31&lt;&gt;"")*(H$3:H$31=H14)*(K$3:K$31&gt;K14))+1,IF(P14&lt;&gt;"",SUMPRODUCT((P$3:P$31&lt;&gt;"")*(Q$3:Q$31="")*(H$3:H$31=H14)*(K$3:K$31&gt;K14))+SUMPRODUCT((Q$3:Q$31&lt;&gt;"")*(H$3:H$31=H14))+1,IF(O14&lt;&gt;"",SUMPRODUCT((O$3:O$31&lt;&gt;"")*(H$3:H$31=H14)*(K$3:K$31&gt;K14))+1,IF(N14="P",SUMPRODUCT((P$3:P$31&lt;&gt;"")*(Q$3:Q$31="")*(H$3:H$31=H14))+SUMPRODUCT((Q$3:Q$31&lt;&gt;"")*(H$3:H$31=H14))+SUMPRODUCT((O$3:O$31&lt;&gt;"")*(H$3:H$31=H14))+SUMPRODUCT((Q$3:Q$31="")*(P$3:P$31="")*(O$3:O$31="")*(N$3:N$31="P")*(H$3:H$31=H14)*(K$3:K$31&gt;K14))+IF(I14="L5",SUMPRODUCT((Q$3:Q$31="")*(P$3:P$31="")*(O$3:O$31="")*(N$3:N$31="P")*(H$3:H$31=H14)*(K$3:K$31&lt;K14)*(I$3:I$31&lt;&gt;I14)),-1*SUMPRODUCT((Q$3:Q$31="")*(P$3:P$31="")*(O$3:O$31="")*(N$3:N$31="P")*(H$3:H$31=H14)*(K$3:K$31&gt;K14)*(I$3:I$31="L5")))+1,""))))</f>
        <v/>
      </c>
      <c r="C14" s="36" t="s">
        <v>329</v>
      </c>
      <c r="D14" s="36" t="str">
        <f>IF(E14="","",VLOOKUP(E14,'Coaching Points'!A:B,2,0)&amp;"/"&amp;VLOOKUP(F14,'Coaching Points'!A:B,2,0))</f>
        <v>ON/ON</v>
      </c>
      <c r="E14" s="36" t="s">
        <v>47</v>
      </c>
      <c r="F14" s="36" t="s">
        <v>47</v>
      </c>
      <c r="G14" s="35">
        <v>2006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17-21</v>
      </c>
      <c r="I14" s="39" t="s">
        <v>66</v>
      </c>
      <c r="J14" s="43" t="s">
        <v>567</v>
      </c>
      <c r="K14" s="4">
        <f>S14+T14+IF(OR(I14="Junior",I14="Senior"),0.0002,IF(OR(I14="L7",I14="L6"),0.0001,0))+MAX(AB14,AD14,AG14)*0.0000001</f>
        <v>50.94</v>
      </c>
      <c r="L14" s="3" t="str">
        <f>IF(H14="Not Age Eligible","",IF(MAX(U14,W14,Z14,AB14,AD14,AG14)&gt;=LOOKUP(H14,'Qualifying Scores'!$A$4:$A$7,'Qualifying Scores'!$D$4:$D$7),"P",""))</f>
        <v/>
      </c>
      <c r="M14" s="3" t="str">
        <f>IF(H14="Not Age Eligible","",IF(MAX(V14,X14,AA14,AC14,AE14,AH14)&gt;=LOOKUP(H14,'Qualifying Scores'!$A$10:$A$13,'Qualifying Scores'!$D$10:$D$13),"P",""))</f>
        <v/>
      </c>
      <c r="N14" s="3" t="str">
        <f>IF(H14="Not Age Eligible","",IF(OR(AND(U14&gt;=LOOKUP(H14,'Qualifying Scores'!$A$4:$A$7,'Qualifying Scores'!$D$4:$D$7),V14&gt;=LOOKUP(H14,'Qualifying Scores'!$A$10:$A$13,'Qualifying Scores'!$D$10:$D$13)),AND(W14&gt;=LOOKUP(H14,'Qualifying Scores'!$A$4:$A$7,'Qualifying Scores'!$D$4:$D$7),X14&gt;=LOOKUP(H14,'Qualifying Scores'!$A$10:$A$13,'Qualifying Scores'!$D$10:$D$13)),AND(Z14&gt;=LOOKUP(H14,'Qualifying Scores'!$A$4:$A$7,'Qualifying Scores'!$D$4:$D$7),AA14&gt;=LOOKUP(H14,'Qualifying Scores'!$A$10:$A$13,'Qualifying Scores'!$D$10:$D$13)),AND(AB14&gt;=LOOKUP(H14,'Qualifying Scores'!$A$4:$A$7,'Qualifying Scores'!$D$4:$D$7),AC14&gt;=LOOKUP(H14,'Qualifying Scores'!$A$10:$A$13,'Qualifying Scores'!$D$10:$D$13)),AND(AD14&gt;=LOOKUP(H14,'Qualifying Scores'!$A$4:$A$7,'Qualifying Scores'!$D$4:$D$7),AE14&gt;=LOOKUP(H14,'Qualifying Scores'!$A$10:$A$13,'Qualifying Scores'!$D$10:$D$13)),AND(AG14&gt;=LOOKUP(H14,'Qualifying Scores'!$A$4:$A$7,'Qualifying Scores'!$D$4:$D$7),AH14&gt;=LOOKUP(H14,'Qualifying Scores'!$A$10:$A$13,'Qualifying Scores'!$D$10:$D$13))),"P",""))</f>
        <v/>
      </c>
      <c r="R14" s="1" t="str">
        <f>IF(A14&lt;5,IF(_xlfn.MAXIFS(A:A,H:H,H14)&gt;3,5-A14,_xlfn.MAXIFS(A:A,H:H,H14)+1-A14),"")</f>
        <v/>
      </c>
      <c r="S14" s="4">
        <f>MAX(U14,W14,Z14,AB14,AD14,AG14)</f>
        <v>30.48</v>
      </c>
      <c r="T14" s="4">
        <f>LARGE(CHOOSE({1,2,3,4,5,6},U14,W14,Z14,AB14,AD14,AG14),2)</f>
        <v>20.46</v>
      </c>
      <c r="U14" s="33">
        <v>30.48</v>
      </c>
      <c r="V14" s="40">
        <v>6.7</v>
      </c>
      <c r="W14" s="34"/>
      <c r="X14" s="40"/>
      <c r="Y14" s="4">
        <f>IF(I14="Senior",MAX(U14,W14),U14+W14)</f>
        <v>30.48</v>
      </c>
      <c r="Z14" s="34">
        <v>20.46</v>
      </c>
      <c r="AA14" s="40">
        <v>3.4</v>
      </c>
      <c r="AB14" s="33"/>
      <c r="AC14" s="40"/>
      <c r="AD14" s="34"/>
      <c r="AE14" s="40"/>
      <c r="AF14" s="4">
        <f>IF(I14="Senior",MAX(AB14,AD14),AB14+AD14)</f>
        <v>0</v>
      </c>
      <c r="AG14" s="34"/>
      <c r="AH14" s="37"/>
    </row>
    <row r="15" spans="1:34" x14ac:dyDescent="0.2">
      <c r="A15" s="1" t="str" cm="1">
        <f t="array" ref="A15">IF(J15="","",IF(Q15&lt;&gt;"",SUMPRODUCT((Q$3:Q$31&lt;&gt;"")*(H$3:H$31=H15)*(K$3:K$31&gt;K15)*(J$3:J$31="P"))+1,IF(P15&lt;&gt;"",SUMPRODUCT((P$3:P$31&lt;&gt;"")*(Q$3:Q$31="")*(H$3:H$31=H15)*(K$3:K$31&gt;K15)*(J$3:J$31="P"))+SUMPRODUCT((Q$3:Q$31&lt;&gt;"")*(H$3:H$31=H15)*(J$3:J$31="P"))+1,IF(O15&lt;&gt;"",SUMPRODUCT((O$3:O$31&lt;&gt;"")*(H$3:H$31=H15)*(K$3:K$31&gt;K15)*(J$3:J$31="P"))+1,IF(N15="P",SUMPRODUCT((P$3:P$31&lt;&gt;"")*(Q$3:Q$31="")*(H$3:H$31=H15)*(J$3:J$31="P"))+SUMPRODUCT((Q$3:Q$31&lt;&gt;"")*(H$3:H$31=H15)*(J$3:J$31="P"))+SUMPRODUCT((O$3:O$31&lt;&gt;"")*(H$3:H$31=H15)*(J$3:J$31="P"))+SUMPRODUCT((Q$3:Q$31="")*(P$3:P$31="")*(O$3:O$31="")*(N$3:N$31="P")*(H$3:H$31=H15)*(K$3:K$31&gt;K15)*(J$3:J$31="P"))+IF(I15="L5",SUMPRODUCT((Q$3:Q$31="")*(P$3:P$31="")*(O$3:O$31="")*(N$3:N$31="P")*(H$3:H$31=H15)*(K$3:K$31&lt;K15)*(I$3:I$31&lt;&gt;I15)*(J$3:J$31="P")),-1*SUMPRODUCT((Q$3:Q$31="")*(P$3:P$31="")*(O$3:O$31="")*(N$3:N$31="P")*(H$3:H$31=H15)*(K$3:K$31&gt;K15)*(I$3:I$31="L5")*(J$3:J$31="P")))+1,"")))))</f>
        <v/>
      </c>
      <c r="B15" s="1" t="str" cm="1">
        <f t="array" ref="B15">IF(Q15&lt;&gt;"",SUMPRODUCT((Q$3:Q$31&lt;&gt;"")*(H$3:H$31=H15)*(K$3:K$31&gt;K15))+1,IF(P15&lt;&gt;"",SUMPRODUCT((P$3:P$31&lt;&gt;"")*(Q$3:Q$31="")*(H$3:H$31=H15)*(K$3:K$31&gt;K15))+SUMPRODUCT((Q$3:Q$31&lt;&gt;"")*(H$3:H$31=H15))+1,IF(O15&lt;&gt;"",SUMPRODUCT((O$3:O$31&lt;&gt;"")*(H$3:H$31=H15)*(K$3:K$31&gt;K15))+1,IF(N15="P",SUMPRODUCT((P$3:P$31&lt;&gt;"")*(Q$3:Q$31="")*(H$3:H$31=H15))+SUMPRODUCT((Q$3:Q$31&lt;&gt;"")*(H$3:H$31=H15))+SUMPRODUCT((O$3:O$31&lt;&gt;"")*(H$3:H$31=H15))+SUMPRODUCT((Q$3:Q$31="")*(P$3:P$31="")*(O$3:O$31="")*(N$3:N$31="P")*(H$3:H$31=H15)*(K$3:K$31&gt;K15))+IF(I15="L5",SUMPRODUCT((Q$3:Q$31="")*(P$3:P$31="")*(O$3:O$31="")*(N$3:N$31="P")*(H$3:H$31=H15)*(K$3:K$31&lt;K15)*(I$3:I$31&lt;&gt;I15)),-1*SUMPRODUCT((Q$3:Q$31="")*(P$3:P$31="")*(O$3:O$31="")*(N$3:N$31="P")*(H$3:H$31=H15)*(K$3:K$31&gt;K15)*(I$3:I$31="L5")))+1,""))))</f>
        <v/>
      </c>
      <c r="C15" s="36" t="s">
        <v>391</v>
      </c>
      <c r="D15" s="36" t="str">
        <f>IF(E15="","",VLOOKUP(E15,'Coaching Points'!A:B,2,0)&amp;"/"&amp;VLOOKUP(F15,'Coaching Points'!A:B,2,0))</f>
        <v>AB/AB</v>
      </c>
      <c r="E15" s="36" t="s">
        <v>64</v>
      </c>
      <c r="F15" s="36" t="s">
        <v>64</v>
      </c>
      <c r="G15" s="35">
        <v>2005</v>
      </c>
      <c r="H15" s="1" t="str">
        <f>IF(OR('Qualifying Scores'!$B$1-G15&gt;21,'Qualifying Scores'!$B$1-G15&lt;11),"Not Age Eligible",IF('Qualifying Scores'!$B$1-G15&gt;16,"17-21",IF('Qualifying Scores'!$B$1-G15&gt;14,"15-16",IF('Qualifying Scores'!$B$1-G15&gt;12,"13-14",IF('Qualifying Scores'!$B$1-G15&gt;10,"11-12","Not Age Eligible")))))</f>
        <v>17-21</v>
      </c>
      <c r="I15" s="39" t="s">
        <v>74</v>
      </c>
      <c r="J15" s="43" t="s">
        <v>567</v>
      </c>
      <c r="K15" s="4">
        <f>S15+T15+IF(OR(I15="Junior",I15="Senior"),0.0002,IF(OR(I15="L7",I15="L6"),0.0001,0))+MAX(AB15,AD15,AG15)*0.0000001</f>
        <v>28.900202401000001</v>
      </c>
      <c r="L15" s="3" t="str">
        <f>IF(H15="Not Age Eligible","",IF(MAX(U15,W15,Z15,AB15,AD15,AG15)&gt;=LOOKUP(H15,'Qualifying Scores'!$A$4:$A$7,'Qualifying Scores'!$D$4:$D$7),"P",""))</f>
        <v/>
      </c>
      <c r="M15" s="3" t="str">
        <f>IF(H15="Not Age Eligible","",IF(MAX(V15,X15,AA15,AC15,AE15,AH15)&gt;=LOOKUP(H15,'Qualifying Scores'!$A$10:$A$13,'Qualifying Scores'!$D$10:$D$13),"P",""))</f>
        <v/>
      </c>
      <c r="N15" s="3" t="str">
        <f>IF(H15="Not Age Eligible","",IF(OR(AND(U15&gt;=LOOKUP(H15,'Qualifying Scores'!$A$4:$A$7,'Qualifying Scores'!$D$4:$D$7),V15&gt;=LOOKUP(H15,'Qualifying Scores'!$A$10:$A$13,'Qualifying Scores'!$D$10:$D$13)),AND(W15&gt;=LOOKUP(H15,'Qualifying Scores'!$A$4:$A$7,'Qualifying Scores'!$D$4:$D$7),X15&gt;=LOOKUP(H15,'Qualifying Scores'!$A$10:$A$13,'Qualifying Scores'!$D$10:$D$13)),AND(Z15&gt;=LOOKUP(H15,'Qualifying Scores'!$A$4:$A$7,'Qualifying Scores'!$D$4:$D$7),AA15&gt;=LOOKUP(H15,'Qualifying Scores'!$A$10:$A$13,'Qualifying Scores'!$D$10:$D$13)),AND(AB15&gt;=LOOKUP(H15,'Qualifying Scores'!$A$4:$A$7,'Qualifying Scores'!$D$4:$D$7),AC15&gt;=LOOKUP(H15,'Qualifying Scores'!$A$10:$A$13,'Qualifying Scores'!$D$10:$D$13)),AND(AD15&gt;=LOOKUP(H15,'Qualifying Scores'!$A$4:$A$7,'Qualifying Scores'!$D$4:$D$7),AE15&gt;=LOOKUP(H15,'Qualifying Scores'!$A$10:$A$13,'Qualifying Scores'!$D$10:$D$13)),AND(AG15&gt;=LOOKUP(H15,'Qualifying Scores'!$A$4:$A$7,'Qualifying Scores'!$D$4:$D$7),AH15&gt;=LOOKUP(H15,'Qualifying Scores'!$A$10:$A$13,'Qualifying Scores'!$D$10:$D$13))),"P",""))</f>
        <v/>
      </c>
      <c r="R15" s="1" t="str">
        <f>IF(A15&lt;5,IF(_xlfn.MAXIFS(A:A,H:H,H15)&gt;3,5-A15,_xlfn.MAXIFS(A:A,H:H,H15)+1-A15),"")</f>
        <v/>
      </c>
      <c r="S15" s="4">
        <f>MAX(U15,W15,Z15,AB15,AD15,AG15)</f>
        <v>24.01</v>
      </c>
      <c r="T15" s="4">
        <f>LARGE(CHOOSE({1,2,3,4,5,6},U15,W15,Z15,AB15,AD15,AG15),2)</f>
        <v>4.8899999999999997</v>
      </c>
      <c r="U15" s="33"/>
      <c r="V15" s="40"/>
      <c r="W15" s="34"/>
      <c r="X15" s="40"/>
      <c r="Y15" s="4">
        <f>IF(I15="Senior",MAX(U15,W15),U15+W15)</f>
        <v>0</v>
      </c>
      <c r="Z15" s="34"/>
      <c r="AA15" s="40"/>
      <c r="AB15" s="33">
        <v>4.8899999999999997</v>
      </c>
      <c r="AC15" s="40">
        <v>1.7</v>
      </c>
      <c r="AD15" s="34">
        <v>24.01</v>
      </c>
      <c r="AE15" s="40">
        <v>6.7</v>
      </c>
      <c r="AF15" s="4">
        <f>IF(I15="Senior",MAX(AB15,AD15),AB15+AD15)</f>
        <v>24.01</v>
      </c>
      <c r="AG15" s="34"/>
      <c r="AH15" s="37"/>
    </row>
    <row r="16" spans="1:34" x14ac:dyDescent="0.2">
      <c r="A16" s="1" t="str" cm="1">
        <f t="array" ref="A16">IF(J16="","",IF(Q16&lt;&gt;"",SUMPRODUCT((Q$3:Q$31&lt;&gt;"")*(H$3:H$31=H16)*(K$3:K$31&gt;K16)*(J$3:J$31="P"))+1,IF(P16&lt;&gt;"",SUMPRODUCT((P$3:P$31&lt;&gt;"")*(Q$3:Q$31="")*(H$3:H$31=H16)*(K$3:K$31&gt;K16)*(J$3:J$31="P"))+SUMPRODUCT((Q$3:Q$31&lt;&gt;"")*(H$3:H$31=H16)*(J$3:J$31="P"))+1,IF(O16&lt;&gt;"",SUMPRODUCT((O$3:O$31&lt;&gt;"")*(H$3:H$31=H16)*(K$3:K$31&gt;K16)*(J$3:J$31="P"))+1,IF(N16="P",SUMPRODUCT((P$3:P$31&lt;&gt;"")*(Q$3:Q$31="")*(H$3:H$31=H16)*(J$3:J$31="P"))+SUMPRODUCT((Q$3:Q$31&lt;&gt;"")*(H$3:H$31=H16)*(J$3:J$31="P"))+SUMPRODUCT((O$3:O$31&lt;&gt;"")*(H$3:H$31=H16)*(J$3:J$31="P"))+SUMPRODUCT((Q$3:Q$31="")*(P$3:P$31="")*(O$3:O$31="")*(N$3:N$31="P")*(H$3:H$31=H16)*(K$3:K$31&gt;K16)*(J$3:J$31="P"))+IF(I16="L5",SUMPRODUCT((Q$3:Q$31="")*(P$3:P$31="")*(O$3:O$31="")*(N$3:N$31="P")*(H$3:H$31=H16)*(K$3:K$31&lt;K16)*(I$3:I$31&lt;&gt;I16)*(J$3:J$31="P")),-1*SUMPRODUCT((Q$3:Q$31="")*(P$3:P$31="")*(O$3:O$31="")*(N$3:N$31="P")*(H$3:H$31=H16)*(K$3:K$31&gt;K16)*(I$3:I$31="L5")*(J$3:J$31="P")))+1,"")))))</f>
        <v/>
      </c>
      <c r="B16" s="1" t="str" cm="1">
        <f t="array" ref="B16">IF(Q16&lt;&gt;"",SUMPRODUCT((Q$3:Q$31&lt;&gt;"")*(H$3:H$31=H16)*(K$3:K$31&gt;K16))+1,IF(P16&lt;&gt;"",SUMPRODUCT((P$3:P$31&lt;&gt;"")*(Q$3:Q$31="")*(H$3:H$31=H16)*(K$3:K$31&gt;K16))+SUMPRODUCT((Q$3:Q$31&lt;&gt;"")*(H$3:H$31=H16))+1,IF(O16&lt;&gt;"",SUMPRODUCT((O$3:O$31&lt;&gt;"")*(H$3:H$31=H16)*(K$3:K$31&gt;K16))+1,IF(N16="P",SUMPRODUCT((P$3:P$31&lt;&gt;"")*(Q$3:Q$31="")*(H$3:H$31=H16))+SUMPRODUCT((Q$3:Q$31&lt;&gt;"")*(H$3:H$31=H16))+SUMPRODUCT((O$3:O$31&lt;&gt;"")*(H$3:H$31=H16))+SUMPRODUCT((Q$3:Q$31="")*(P$3:P$31="")*(O$3:O$31="")*(N$3:N$31="P")*(H$3:H$31=H16)*(K$3:K$31&gt;K16))+IF(I16="L5",SUMPRODUCT((Q$3:Q$31="")*(P$3:P$31="")*(O$3:O$31="")*(N$3:N$31="P")*(H$3:H$31=H16)*(K$3:K$31&lt;K16)*(I$3:I$31&lt;&gt;I16)),-1*SUMPRODUCT((Q$3:Q$31="")*(P$3:P$31="")*(O$3:O$31="")*(N$3:N$31="P")*(H$3:H$31=H16)*(K$3:K$31&gt;K16)*(I$3:I$31="L5")))+1,""))))</f>
        <v/>
      </c>
      <c r="C16" s="36" t="s">
        <v>379</v>
      </c>
      <c r="D16" s="36" t="str">
        <f>IF(E16="","",VLOOKUP(E16,'Coaching Points'!A:B,2,0)&amp;"/"&amp;VLOOKUP(F16,'Coaching Points'!A:B,2,0))</f>
        <v>AB/AB</v>
      </c>
      <c r="E16" s="36" t="s">
        <v>64</v>
      </c>
      <c r="F16" s="36" t="s">
        <v>64</v>
      </c>
      <c r="G16" s="35">
        <v>2004</v>
      </c>
      <c r="H16" s="1" t="str">
        <f>IF(OR('Qualifying Scores'!$B$1-G16&gt;21,'Qualifying Scores'!$B$1-G16&lt;11),"Not Age Eligible",IF('Qualifying Scores'!$B$1-G16&gt;16,"17-21",IF('Qualifying Scores'!$B$1-G16&gt;14,"15-16",IF('Qualifying Scores'!$B$1-G16&gt;12,"13-14",IF('Qualifying Scores'!$B$1-G16&gt;10,"11-12","Not Age Eligible")))))</f>
        <v>17-21</v>
      </c>
      <c r="I16" s="39" t="s">
        <v>66</v>
      </c>
      <c r="J16" s="43" t="s">
        <v>567</v>
      </c>
      <c r="K16" s="4">
        <f>S16+T16+IF(OR(I16="Junior",I16="Senior"),0.0002,IF(OR(I16="L7",I16="L6"),0.0001,0))+MAX(AB16,AD16,AG16)*0.0000001</f>
        <v>24.120002412000002</v>
      </c>
      <c r="L16" s="3" t="str">
        <f>IF(H16="Not Age Eligible","",IF(MAX(U16,W16,Z16,AB16,AD16,AG16)&gt;=LOOKUP(H16,'Qualifying Scores'!$A$4:$A$7,'Qualifying Scores'!$D$4:$D$7),"P",""))</f>
        <v/>
      </c>
      <c r="M16" s="3" t="str">
        <f>IF(H16="Not Age Eligible","",IF(MAX(V16,X16,AA16,AC16,AE16,AH16)&gt;=LOOKUP(H16,'Qualifying Scores'!$A$10:$A$13,'Qualifying Scores'!$D$10:$D$13),"P",""))</f>
        <v/>
      </c>
      <c r="N16" s="3" t="str">
        <f>IF(H16="Not Age Eligible","",IF(OR(AND(U16&gt;=LOOKUP(H16,'Qualifying Scores'!$A$4:$A$7,'Qualifying Scores'!$D$4:$D$7),V16&gt;=LOOKUP(H16,'Qualifying Scores'!$A$10:$A$13,'Qualifying Scores'!$D$10:$D$13)),AND(W16&gt;=LOOKUP(H16,'Qualifying Scores'!$A$4:$A$7,'Qualifying Scores'!$D$4:$D$7),X16&gt;=LOOKUP(H16,'Qualifying Scores'!$A$10:$A$13,'Qualifying Scores'!$D$10:$D$13)),AND(Z16&gt;=LOOKUP(H16,'Qualifying Scores'!$A$4:$A$7,'Qualifying Scores'!$D$4:$D$7),AA16&gt;=LOOKUP(H16,'Qualifying Scores'!$A$10:$A$13,'Qualifying Scores'!$D$10:$D$13)),AND(AB16&gt;=LOOKUP(H16,'Qualifying Scores'!$A$4:$A$7,'Qualifying Scores'!$D$4:$D$7),AC16&gt;=LOOKUP(H16,'Qualifying Scores'!$A$10:$A$13,'Qualifying Scores'!$D$10:$D$13)),AND(AD16&gt;=LOOKUP(H16,'Qualifying Scores'!$A$4:$A$7,'Qualifying Scores'!$D$4:$D$7),AE16&gt;=LOOKUP(H16,'Qualifying Scores'!$A$10:$A$13,'Qualifying Scores'!$D$10:$D$13)),AND(AG16&gt;=LOOKUP(H16,'Qualifying Scores'!$A$4:$A$7,'Qualifying Scores'!$D$4:$D$7),AH16&gt;=LOOKUP(H16,'Qualifying Scores'!$A$10:$A$13,'Qualifying Scores'!$D$10:$D$13))),"P",""))</f>
        <v/>
      </c>
      <c r="R16" s="1" t="str">
        <f>IF(A16&lt;5,IF(_xlfn.MAXIFS(A:A,H:H,H16)&gt;3,5-A16,_xlfn.MAXIFS(A:A,H:H,H16)+1-A16),"")</f>
        <v/>
      </c>
      <c r="S16" s="4">
        <f>MAX(U16,W16,Z16,AB16,AD16,AG16)</f>
        <v>24.12</v>
      </c>
      <c r="T16" s="4">
        <f>LARGE(CHOOSE({1,2,3,4,5,6},U16,W16,Z16,AB16,AD16,AG16),2)</f>
        <v>0</v>
      </c>
      <c r="U16" s="33"/>
      <c r="V16" s="40"/>
      <c r="W16" s="34"/>
      <c r="X16" s="40"/>
      <c r="Y16" s="4">
        <f>IF(I16="Senior",MAX(U16,W16),U16+W16)</f>
        <v>0</v>
      </c>
      <c r="Z16" s="34"/>
      <c r="AA16" s="40"/>
      <c r="AB16" s="33">
        <v>24.12</v>
      </c>
      <c r="AC16" s="40">
        <v>3.6</v>
      </c>
      <c r="AD16" s="34"/>
      <c r="AE16" s="40"/>
      <c r="AF16" s="4">
        <f>IF(I16="Senior",MAX(AB16,AD16),AB16+AD16)</f>
        <v>24.12</v>
      </c>
      <c r="AG16" s="34"/>
      <c r="AH16" s="37"/>
    </row>
    <row r="17" spans="1:34" x14ac:dyDescent="0.2">
      <c r="A17" s="1" t="str" cm="1">
        <f t="array" ref="A17">IF(J17="","",IF(Q17&lt;&gt;"",SUMPRODUCT((Q$3:Q$31&lt;&gt;"")*(H$3:H$31=H17)*(K$3:K$31&gt;K17)*(J$3:J$31="P"))+1,IF(P17&lt;&gt;"",SUMPRODUCT((P$3:P$31&lt;&gt;"")*(Q$3:Q$31="")*(H$3:H$31=H17)*(K$3:K$31&gt;K17)*(J$3:J$31="P"))+SUMPRODUCT((Q$3:Q$31&lt;&gt;"")*(H$3:H$31=H17)*(J$3:J$31="P"))+1,IF(O17&lt;&gt;"",SUMPRODUCT((O$3:O$31&lt;&gt;"")*(H$3:H$31=H17)*(K$3:K$31&gt;K17)*(J$3:J$31="P"))+1,IF(N17="P",SUMPRODUCT((P$3:P$31&lt;&gt;"")*(Q$3:Q$31="")*(H$3:H$31=H17)*(J$3:J$31="P"))+SUMPRODUCT((Q$3:Q$31&lt;&gt;"")*(H$3:H$31=H17)*(J$3:J$31="P"))+SUMPRODUCT((O$3:O$31&lt;&gt;"")*(H$3:H$31=H17)*(J$3:J$31="P"))+SUMPRODUCT((Q$3:Q$31="")*(P$3:P$31="")*(O$3:O$31="")*(N$3:N$31="P")*(H$3:H$31=H17)*(K$3:K$31&gt;K17)*(J$3:J$31="P"))+IF(I17="L5",SUMPRODUCT((Q$3:Q$31="")*(P$3:P$31="")*(O$3:O$31="")*(N$3:N$31="P")*(H$3:H$31=H17)*(K$3:K$31&lt;K17)*(I$3:I$31&lt;&gt;I17)*(J$3:J$31="P")),-1*SUMPRODUCT((Q$3:Q$31="")*(P$3:P$31="")*(O$3:O$31="")*(N$3:N$31="P")*(H$3:H$31=H17)*(K$3:K$31&gt;K17)*(I$3:I$31="L5")*(J$3:J$31="P")))+1,"")))))</f>
        <v/>
      </c>
      <c r="B17" s="1" t="str" cm="1">
        <f t="array" ref="B17">IF(Q17&lt;&gt;"",SUMPRODUCT((Q$3:Q$31&lt;&gt;"")*(H$3:H$31=H17)*(K$3:K$31&gt;K17))+1,IF(P17&lt;&gt;"",SUMPRODUCT((P$3:P$31&lt;&gt;"")*(Q$3:Q$31="")*(H$3:H$31=H17)*(K$3:K$31&gt;K17))+SUMPRODUCT((Q$3:Q$31&lt;&gt;"")*(H$3:H$31=H17))+1,IF(O17&lt;&gt;"",SUMPRODUCT((O$3:O$31&lt;&gt;"")*(H$3:H$31=H17)*(K$3:K$31&gt;K17))+1,IF(N17="P",SUMPRODUCT((P$3:P$31&lt;&gt;"")*(Q$3:Q$31="")*(H$3:H$31=H17))+SUMPRODUCT((Q$3:Q$31&lt;&gt;"")*(H$3:H$31=H17))+SUMPRODUCT((O$3:O$31&lt;&gt;"")*(H$3:H$31=H17))+SUMPRODUCT((Q$3:Q$31="")*(P$3:P$31="")*(O$3:O$31="")*(N$3:N$31="P")*(H$3:H$31=H17)*(K$3:K$31&gt;K17))+IF(I17="L5",SUMPRODUCT((Q$3:Q$31="")*(P$3:P$31="")*(O$3:O$31="")*(N$3:N$31="P")*(H$3:H$31=H17)*(K$3:K$31&lt;K17)*(I$3:I$31&lt;&gt;I17)),-1*SUMPRODUCT((Q$3:Q$31="")*(P$3:P$31="")*(O$3:O$31="")*(N$3:N$31="P")*(H$3:H$31=H17)*(K$3:K$31&gt;K17)*(I$3:I$31="L5")))+1,""))))</f>
        <v/>
      </c>
      <c r="C17" s="36" t="s">
        <v>330</v>
      </c>
      <c r="D17" s="36" t="str">
        <f>IF(E17="","",VLOOKUP(E17,'Coaching Points'!A:B,2,0)&amp;"/"&amp;VLOOKUP(F17,'Coaching Points'!A:B,2,0))</f>
        <v>ON/ON</v>
      </c>
      <c r="E17" s="36" t="s">
        <v>47</v>
      </c>
      <c r="F17" s="36" t="s">
        <v>47</v>
      </c>
      <c r="G17" s="35">
        <v>2006</v>
      </c>
      <c r="H17" s="1" t="str">
        <f>IF(OR('Qualifying Scores'!$B$1-G17&gt;21,'Qualifying Scores'!$B$1-G17&lt;11),"Not Age Eligible",IF('Qualifying Scores'!$B$1-G17&gt;16,"17-21",IF('Qualifying Scores'!$B$1-G17&gt;14,"15-16",IF('Qualifying Scores'!$B$1-G17&gt;12,"13-14",IF('Qualifying Scores'!$B$1-G17&gt;10,"11-12","Not Age Eligible")))))</f>
        <v>17-21</v>
      </c>
      <c r="I17" s="39" t="s">
        <v>66</v>
      </c>
      <c r="J17" s="43" t="s">
        <v>567</v>
      </c>
      <c r="K17" s="4">
        <f>S17+T17+IF(OR(I17="Junior",I17="Senior"),0.0002,IF(OR(I17="L7",I17="L6"),0.0001,0))+MAX(AB17,AD17,AG17)*0.0000001</f>
        <v>16.350001181</v>
      </c>
      <c r="L17" s="3" t="str">
        <f>IF(H17="Not Age Eligible","",IF(MAX(U17,W17,Z17,AB17,AD17,AG17)&gt;=LOOKUP(H17,'Qualifying Scores'!$A$4:$A$7,'Qualifying Scores'!$D$4:$D$7),"P",""))</f>
        <v/>
      </c>
      <c r="M17" s="3" t="str">
        <f>IF(H17="Not Age Eligible","",IF(MAX(V17,X17,AA17,AC17,AE17,AH17)&gt;=LOOKUP(H17,'Qualifying Scores'!$A$10:$A$13,'Qualifying Scores'!$D$10:$D$13),"P",""))</f>
        <v/>
      </c>
      <c r="N17" s="3" t="str">
        <f>IF(H17="Not Age Eligible","",IF(OR(AND(U17&gt;=LOOKUP(H17,'Qualifying Scores'!$A$4:$A$7,'Qualifying Scores'!$D$4:$D$7),V17&gt;=LOOKUP(H17,'Qualifying Scores'!$A$10:$A$13,'Qualifying Scores'!$D$10:$D$13)),AND(W17&gt;=LOOKUP(H17,'Qualifying Scores'!$A$4:$A$7,'Qualifying Scores'!$D$4:$D$7),X17&gt;=LOOKUP(H17,'Qualifying Scores'!$A$10:$A$13,'Qualifying Scores'!$D$10:$D$13)),AND(Z17&gt;=LOOKUP(H17,'Qualifying Scores'!$A$4:$A$7,'Qualifying Scores'!$D$4:$D$7),AA17&gt;=LOOKUP(H17,'Qualifying Scores'!$A$10:$A$13,'Qualifying Scores'!$D$10:$D$13)),AND(AB17&gt;=LOOKUP(H17,'Qualifying Scores'!$A$4:$A$7,'Qualifying Scores'!$D$4:$D$7),AC17&gt;=LOOKUP(H17,'Qualifying Scores'!$A$10:$A$13,'Qualifying Scores'!$D$10:$D$13)),AND(AD17&gt;=LOOKUP(H17,'Qualifying Scores'!$A$4:$A$7,'Qualifying Scores'!$D$4:$D$7),AE17&gt;=LOOKUP(H17,'Qualifying Scores'!$A$10:$A$13,'Qualifying Scores'!$D$10:$D$13)),AND(AG17&gt;=LOOKUP(H17,'Qualifying Scores'!$A$4:$A$7,'Qualifying Scores'!$D$4:$D$7),AH17&gt;=LOOKUP(H17,'Qualifying Scores'!$A$10:$A$13,'Qualifying Scores'!$D$10:$D$13))),"P",""))</f>
        <v/>
      </c>
      <c r="R17" s="1" t="str">
        <f>IF(A17&lt;5,IF(_xlfn.MAXIFS(A:A,H:H,H17)&gt;3,5-A17,_xlfn.MAXIFS(A:A,H:H,H17)+1-A17),"")</f>
        <v/>
      </c>
      <c r="S17" s="4">
        <f>MAX(U17,W17,Z17,AB17,AD17,AG17)</f>
        <v>11.81</v>
      </c>
      <c r="T17" s="4">
        <f>LARGE(CHOOSE({1,2,3,4,5,6},U17,W17,Z17,AB17,AD17,AG17),2)</f>
        <v>4.54</v>
      </c>
      <c r="U17" s="33">
        <v>4.54</v>
      </c>
      <c r="V17" s="40">
        <v>1.3</v>
      </c>
      <c r="W17" s="34"/>
      <c r="X17" s="40"/>
      <c r="Y17" s="4">
        <f>IF(I17="Senior",MAX(U17,W17),U17+W17)</f>
        <v>4.54</v>
      </c>
      <c r="Z17" s="34"/>
      <c r="AA17" s="40"/>
      <c r="AB17" s="33">
        <v>11.81</v>
      </c>
      <c r="AC17" s="40">
        <v>3</v>
      </c>
      <c r="AD17" s="34"/>
      <c r="AE17" s="40"/>
      <c r="AF17" s="4">
        <f>IF(I17="Senior",MAX(AB17,AD17),AB17+AD17)</f>
        <v>11.81</v>
      </c>
      <c r="AG17" s="34"/>
      <c r="AH17" s="37"/>
    </row>
    <row r="18" spans="1:34" x14ac:dyDescent="0.2">
      <c r="A18" s="1" t="str" cm="1">
        <f t="array" ref="A18">IF(J18="","",IF(Q18&lt;&gt;"",SUMPRODUCT((Q$3:Q$31&lt;&gt;"")*(H$3:H$31=H18)*(K$3:K$31&gt;K18)*(J$3:J$31="P"))+1,IF(P18&lt;&gt;"",SUMPRODUCT((P$3:P$31&lt;&gt;"")*(Q$3:Q$31="")*(H$3:H$31=H18)*(K$3:K$31&gt;K18)*(J$3:J$31="P"))+SUMPRODUCT((Q$3:Q$31&lt;&gt;"")*(H$3:H$31=H18)*(J$3:J$31="P"))+1,IF(O18&lt;&gt;"",SUMPRODUCT((O$3:O$31&lt;&gt;"")*(H$3:H$31=H18)*(K$3:K$31&gt;K18)*(J$3:J$31="P"))+1,IF(N18="P",SUMPRODUCT((P$3:P$31&lt;&gt;"")*(Q$3:Q$31="")*(H$3:H$31=H18)*(J$3:J$31="P"))+SUMPRODUCT((Q$3:Q$31&lt;&gt;"")*(H$3:H$31=H18)*(J$3:J$31="P"))+SUMPRODUCT((O$3:O$31&lt;&gt;"")*(H$3:H$31=H18)*(J$3:J$31="P"))+SUMPRODUCT((Q$3:Q$31="")*(P$3:P$31="")*(O$3:O$31="")*(N$3:N$31="P")*(H$3:H$31=H18)*(K$3:K$31&gt;K18)*(J$3:J$31="P"))+IF(I18="L5",SUMPRODUCT((Q$3:Q$31="")*(P$3:P$31="")*(O$3:O$31="")*(N$3:N$31="P")*(H$3:H$31=H18)*(K$3:K$31&lt;K18)*(I$3:I$31&lt;&gt;I18)*(J$3:J$31="P")),-1*SUMPRODUCT((Q$3:Q$31="")*(P$3:P$31="")*(O$3:O$31="")*(N$3:N$31="P")*(H$3:H$31=H18)*(K$3:K$31&gt;K18)*(I$3:I$31="L5")*(J$3:J$31="P")))+1,"")))))</f>
        <v/>
      </c>
      <c r="B18" s="1" t="str" cm="1">
        <f t="array" ref="B18">IF(Q18&lt;&gt;"",SUMPRODUCT((Q$3:Q$31&lt;&gt;"")*(H$3:H$31=H18)*(K$3:K$31&gt;K18))+1,IF(P18&lt;&gt;"",SUMPRODUCT((P$3:P$31&lt;&gt;"")*(Q$3:Q$31="")*(H$3:H$31=H18)*(K$3:K$31&gt;K18))+SUMPRODUCT((Q$3:Q$31&lt;&gt;"")*(H$3:H$31=H18))+1,IF(O18&lt;&gt;"",SUMPRODUCT((O$3:O$31&lt;&gt;"")*(H$3:H$31=H18)*(K$3:K$31&gt;K18))+1,IF(N18="P",SUMPRODUCT((P$3:P$31&lt;&gt;"")*(Q$3:Q$31="")*(H$3:H$31=H18))+SUMPRODUCT((Q$3:Q$31&lt;&gt;"")*(H$3:H$31=H18))+SUMPRODUCT((O$3:O$31&lt;&gt;"")*(H$3:H$31=H18))+SUMPRODUCT((Q$3:Q$31="")*(P$3:P$31="")*(O$3:O$31="")*(N$3:N$31="P")*(H$3:H$31=H18)*(K$3:K$31&gt;K18))+IF(I18="L5",SUMPRODUCT((Q$3:Q$31="")*(P$3:P$31="")*(O$3:O$31="")*(N$3:N$31="P")*(H$3:H$31=H18)*(K$3:K$31&lt;K18)*(I$3:I$31&lt;&gt;I18)),-1*SUMPRODUCT((Q$3:Q$31="")*(P$3:P$31="")*(O$3:O$31="")*(N$3:N$31="P")*(H$3:H$31=H18)*(K$3:K$31&gt;K18)*(I$3:I$31="L5")))+1,""))))</f>
        <v/>
      </c>
      <c r="C18" s="36" t="s">
        <v>252</v>
      </c>
      <c r="D18" s="36" t="str">
        <f>IF(E18="","",VLOOKUP(E18,'Coaching Points'!A:B,2,0)&amp;"/"&amp;VLOOKUP(F18,'Coaching Points'!A:B,2,0))</f>
        <v>ON/ON</v>
      </c>
      <c r="E18" s="36" t="s">
        <v>38</v>
      </c>
      <c r="F18" s="36" t="s">
        <v>38</v>
      </c>
      <c r="G18" s="35">
        <v>2004</v>
      </c>
      <c r="H18" s="1" t="str">
        <f>IF(OR('Qualifying Scores'!$B$1-G18&gt;21,'Qualifying Scores'!$B$1-G18&lt;11),"Not Age Eligible",IF('Qualifying Scores'!$B$1-G18&gt;16,"17-21",IF('Qualifying Scores'!$B$1-G18&gt;14,"15-16",IF('Qualifying Scores'!$B$1-G18&gt;12,"13-14",IF('Qualifying Scores'!$B$1-G18&gt;10,"11-12","Not Age Eligible")))))</f>
        <v>17-21</v>
      </c>
      <c r="I18" s="39" t="s">
        <v>67</v>
      </c>
      <c r="J18" s="43"/>
      <c r="K18" s="4">
        <f>S18+T18+IF(OR(I18="Junior",I18="Senior"),0.0002,IF(OR(I18="L7",I18="L6"),0.0001,0))+MAX(AB18,AD18,AG18)*0.0000001</f>
        <v>9.4500999999999991</v>
      </c>
      <c r="L18" s="3" t="str">
        <f>IF(H18="Not Age Eligible","",IF(MAX(U18,W18,Z18,AB18,AD18,AG18)&gt;=LOOKUP(H18,'Qualifying Scores'!$A$4:$A$7,'Qualifying Scores'!$D$4:$D$7),"P",""))</f>
        <v/>
      </c>
      <c r="M18" s="3" t="str">
        <f>IF(H18="Not Age Eligible","",IF(MAX(V18,X18,AA18,AC18,AE18,AH18)&gt;=LOOKUP(H18,'Qualifying Scores'!$A$10:$A$13,'Qualifying Scores'!$D$10:$D$13),"P",""))</f>
        <v/>
      </c>
      <c r="N18" s="3" t="str">
        <f>IF(H18="Not Age Eligible","",IF(OR(AND(U18&gt;=LOOKUP(H18,'Qualifying Scores'!$A$4:$A$7,'Qualifying Scores'!$D$4:$D$7),V18&gt;=LOOKUP(H18,'Qualifying Scores'!$A$10:$A$13,'Qualifying Scores'!$D$10:$D$13)),AND(W18&gt;=LOOKUP(H18,'Qualifying Scores'!$A$4:$A$7,'Qualifying Scores'!$D$4:$D$7),X18&gt;=LOOKUP(H18,'Qualifying Scores'!$A$10:$A$13,'Qualifying Scores'!$D$10:$D$13)),AND(Z18&gt;=LOOKUP(H18,'Qualifying Scores'!$A$4:$A$7,'Qualifying Scores'!$D$4:$D$7),AA18&gt;=LOOKUP(H18,'Qualifying Scores'!$A$10:$A$13,'Qualifying Scores'!$D$10:$D$13)),AND(AB18&gt;=LOOKUP(H18,'Qualifying Scores'!$A$4:$A$7,'Qualifying Scores'!$D$4:$D$7),AC18&gt;=LOOKUP(H18,'Qualifying Scores'!$A$10:$A$13,'Qualifying Scores'!$D$10:$D$13)),AND(AD18&gt;=LOOKUP(H18,'Qualifying Scores'!$A$4:$A$7,'Qualifying Scores'!$D$4:$D$7),AE18&gt;=LOOKUP(H18,'Qualifying Scores'!$A$10:$A$13,'Qualifying Scores'!$D$10:$D$13)),AND(AG18&gt;=LOOKUP(H18,'Qualifying Scores'!$A$4:$A$7,'Qualifying Scores'!$D$4:$D$7),AH18&gt;=LOOKUP(H18,'Qualifying Scores'!$A$10:$A$13,'Qualifying Scores'!$D$10:$D$13))),"P",""))</f>
        <v/>
      </c>
      <c r="R18" s="1" t="str">
        <f>IF(A18&lt;5,IF(_xlfn.MAXIFS(A:A,H:H,H18)&gt;3,5-A18,_xlfn.MAXIFS(A:A,H:H,H18)+1-A18),"")</f>
        <v/>
      </c>
      <c r="S18" s="4">
        <f>MAX(U18,W18,Z18,AB18,AD18,AG18)</f>
        <v>9.4499999999999993</v>
      </c>
      <c r="T18" s="4">
        <f>LARGE(CHOOSE({1,2,3,4,5,6},U18,W18,Z18,AB18,AD18,AG18),2)</f>
        <v>0</v>
      </c>
      <c r="U18" s="33">
        <v>9.4499999999999993</v>
      </c>
      <c r="V18" s="40">
        <v>2.5</v>
      </c>
      <c r="W18" s="34"/>
      <c r="X18" s="40"/>
      <c r="Y18" s="4">
        <f>IF(I18="Senior",MAX(U18,W18),U18+W18)</f>
        <v>9.4499999999999993</v>
      </c>
      <c r="Z18" s="34"/>
      <c r="AA18" s="40"/>
      <c r="AB18" s="33"/>
      <c r="AC18" s="40"/>
      <c r="AD18" s="34"/>
      <c r="AE18" s="40"/>
      <c r="AF18" s="4">
        <f>IF(I18="Senior",MAX(AB18,AD18),AB18+AD18)</f>
        <v>0</v>
      </c>
      <c r="AG18" s="34"/>
      <c r="AH18" s="37"/>
    </row>
    <row r="19" spans="1:34" x14ac:dyDescent="0.2">
      <c r="A19" s="1" t="str" cm="1">
        <f t="array" ref="A19">IF(J19="","",IF(Q19&lt;&gt;"",SUMPRODUCT((Q$3:Q$31&lt;&gt;"")*(H$3:H$31=H19)*(K$3:K$31&gt;K19)*(J$3:J$31="P"))+1,IF(P19&lt;&gt;"",SUMPRODUCT((P$3:P$31&lt;&gt;"")*(Q$3:Q$31="")*(H$3:H$31=H19)*(K$3:K$31&gt;K19)*(J$3:J$31="P"))+SUMPRODUCT((Q$3:Q$31&lt;&gt;"")*(H$3:H$31=H19)*(J$3:J$31="P"))+1,IF(O19&lt;&gt;"",SUMPRODUCT((O$3:O$31&lt;&gt;"")*(H$3:H$31=H19)*(K$3:K$31&gt;K19)*(J$3:J$31="P"))+1,IF(N19="P",SUMPRODUCT((P$3:P$31&lt;&gt;"")*(Q$3:Q$31="")*(H$3:H$31=H19)*(J$3:J$31="P"))+SUMPRODUCT((Q$3:Q$31&lt;&gt;"")*(H$3:H$31=H19)*(J$3:J$31="P"))+SUMPRODUCT((O$3:O$31&lt;&gt;"")*(H$3:H$31=H19)*(J$3:J$31="P"))+SUMPRODUCT((Q$3:Q$31="")*(P$3:P$31="")*(O$3:O$31="")*(N$3:N$31="P")*(H$3:H$31=H19)*(K$3:K$31&gt;K19)*(J$3:J$31="P"))+IF(I19="L5",SUMPRODUCT((Q$3:Q$31="")*(P$3:P$31="")*(O$3:O$31="")*(N$3:N$31="P")*(H$3:H$31=H19)*(K$3:K$31&lt;K19)*(I$3:I$31&lt;&gt;I19)*(J$3:J$31="P")),-1*SUMPRODUCT((Q$3:Q$31="")*(P$3:P$31="")*(O$3:O$31="")*(N$3:N$31="P")*(H$3:H$31=H19)*(K$3:K$31&gt;K19)*(I$3:I$31="L5")*(J$3:J$31="P")))+1,"")))))</f>
        <v/>
      </c>
      <c r="B19" s="1" t="str" cm="1">
        <f t="array" ref="B19">IF(Q19&lt;&gt;"",SUMPRODUCT((Q$3:Q$31&lt;&gt;"")*(H$3:H$31=H19)*(K$3:K$31&gt;K19))+1,IF(P19&lt;&gt;"",SUMPRODUCT((P$3:P$31&lt;&gt;"")*(Q$3:Q$31="")*(H$3:H$31=H19)*(K$3:K$31&gt;K19))+SUMPRODUCT((Q$3:Q$31&lt;&gt;"")*(H$3:H$31=H19))+1,IF(O19&lt;&gt;"",SUMPRODUCT((O$3:O$31&lt;&gt;"")*(H$3:H$31=H19)*(K$3:K$31&gt;K19))+1,IF(N19="P",SUMPRODUCT((P$3:P$31&lt;&gt;"")*(Q$3:Q$31="")*(H$3:H$31=H19))+SUMPRODUCT((Q$3:Q$31&lt;&gt;"")*(H$3:H$31=H19))+SUMPRODUCT((O$3:O$31&lt;&gt;"")*(H$3:H$31=H19))+SUMPRODUCT((Q$3:Q$31="")*(P$3:P$31="")*(O$3:O$31="")*(N$3:N$31="P")*(H$3:H$31=H19)*(K$3:K$31&gt;K19))+IF(I19="L5",SUMPRODUCT((Q$3:Q$31="")*(P$3:P$31="")*(O$3:O$31="")*(N$3:N$31="P")*(H$3:H$31=H19)*(K$3:K$31&lt;K19)*(I$3:I$31&lt;&gt;I19)),-1*SUMPRODUCT((Q$3:Q$31="")*(P$3:P$31="")*(O$3:O$31="")*(N$3:N$31="P")*(H$3:H$31=H19)*(K$3:K$31&gt;K19)*(I$3:I$31="L5")))+1,""))))</f>
        <v/>
      </c>
      <c r="C19" s="36" t="s">
        <v>386</v>
      </c>
      <c r="D19" s="36" t="str">
        <f>IF(E19="","",VLOOKUP(E19,'Coaching Points'!A:B,2,0)&amp;"/"&amp;VLOOKUP(F19,'Coaching Points'!A:B,2,0))</f>
        <v>BC/BC</v>
      </c>
      <c r="E19" s="36" t="s">
        <v>46</v>
      </c>
      <c r="F19" s="36" t="s">
        <v>41</v>
      </c>
      <c r="G19" s="35">
        <v>2003</v>
      </c>
      <c r="H19" s="1" t="str">
        <f>IF(OR('Qualifying Scores'!$B$1-G19&gt;21,'Qualifying Scores'!$B$1-G19&lt;11),"Not Age Eligible",IF('Qualifying Scores'!$B$1-G19&gt;16,"17-21",IF('Qualifying Scores'!$B$1-G19&gt;14,"15-16",IF('Qualifying Scores'!$B$1-G19&gt;12,"13-14",IF('Qualifying Scores'!$B$1-G19&gt;10,"11-12","Not Age Eligible")))))</f>
        <v>17-21</v>
      </c>
      <c r="I19" s="39" t="s">
        <v>67</v>
      </c>
      <c r="J19" s="43"/>
      <c r="K19" s="4">
        <f>S19+T19+IF(OR(I19="Junior",I19="Senior"),0.0002,IF(OR(I19="L7",I19="L6"),0.0001,0))+MAX(AB19,AD19,AG19)*0.0000001</f>
        <v>8.2301008230000008</v>
      </c>
      <c r="L19" s="3" t="str">
        <f>IF(H19="Not Age Eligible","",IF(MAX(U19,W19,Z19,AB19,AD19,AG19)&gt;=LOOKUP(H19,'Qualifying Scores'!$A$4:$A$7,'Qualifying Scores'!$D$4:$D$7),"P",""))</f>
        <v/>
      </c>
      <c r="M19" s="3" t="str">
        <f>IF(H19="Not Age Eligible","",IF(MAX(V19,X19,AA19,AC19,AE19,AH19)&gt;=LOOKUP(H19,'Qualifying Scores'!$A$10:$A$13,'Qualifying Scores'!$D$10:$D$13),"P",""))</f>
        <v/>
      </c>
      <c r="N19" s="3" t="str">
        <f>IF(H19="Not Age Eligible","",IF(OR(AND(U19&gt;=LOOKUP(H19,'Qualifying Scores'!$A$4:$A$7,'Qualifying Scores'!$D$4:$D$7),V19&gt;=LOOKUP(H19,'Qualifying Scores'!$A$10:$A$13,'Qualifying Scores'!$D$10:$D$13)),AND(W19&gt;=LOOKUP(H19,'Qualifying Scores'!$A$4:$A$7,'Qualifying Scores'!$D$4:$D$7),X19&gt;=LOOKUP(H19,'Qualifying Scores'!$A$10:$A$13,'Qualifying Scores'!$D$10:$D$13)),AND(Z19&gt;=LOOKUP(H19,'Qualifying Scores'!$A$4:$A$7,'Qualifying Scores'!$D$4:$D$7),AA19&gt;=LOOKUP(H19,'Qualifying Scores'!$A$10:$A$13,'Qualifying Scores'!$D$10:$D$13)),AND(AB19&gt;=LOOKUP(H19,'Qualifying Scores'!$A$4:$A$7,'Qualifying Scores'!$D$4:$D$7),AC19&gt;=LOOKUP(H19,'Qualifying Scores'!$A$10:$A$13,'Qualifying Scores'!$D$10:$D$13)),AND(AD19&gt;=LOOKUP(H19,'Qualifying Scores'!$A$4:$A$7,'Qualifying Scores'!$D$4:$D$7),AE19&gt;=LOOKUP(H19,'Qualifying Scores'!$A$10:$A$13,'Qualifying Scores'!$D$10:$D$13)),AND(AG19&gt;=LOOKUP(H19,'Qualifying Scores'!$A$4:$A$7,'Qualifying Scores'!$D$4:$D$7),AH19&gt;=LOOKUP(H19,'Qualifying Scores'!$A$10:$A$13,'Qualifying Scores'!$D$10:$D$13))),"P",""))</f>
        <v/>
      </c>
      <c r="R19" s="1" t="str">
        <f>IF(A19&lt;5,IF(_xlfn.MAXIFS(A:A,H:H,H19)&gt;3,5-A19,_xlfn.MAXIFS(A:A,H:H,H19)+1-A19),"")</f>
        <v/>
      </c>
      <c r="S19" s="4">
        <f>MAX(U19,W19,Z19,AB19,AD19,AG19)</f>
        <v>8.23</v>
      </c>
      <c r="T19" s="4">
        <f>LARGE(CHOOSE({1,2,3,4,5,6},U19,W19,Z19,AB19,AD19,AG19),2)</f>
        <v>0</v>
      </c>
      <c r="U19" s="33"/>
      <c r="V19" s="40"/>
      <c r="W19" s="34"/>
      <c r="X19" s="40"/>
      <c r="Y19" s="4">
        <f>IF(I19="Senior",MAX(U19,W19),U19+W19)</f>
        <v>0</v>
      </c>
      <c r="Z19" s="34"/>
      <c r="AA19" s="40"/>
      <c r="AB19" s="33">
        <v>8.23</v>
      </c>
      <c r="AC19" s="40">
        <v>2.7</v>
      </c>
      <c r="AD19" s="34"/>
      <c r="AE19" s="40"/>
      <c r="AF19" s="4">
        <f>IF(I19="Senior",MAX(AB19,AD19),AB19+AD19)</f>
        <v>8.23</v>
      </c>
      <c r="AG19" s="34"/>
      <c r="AH19" s="37"/>
    </row>
    <row r="20" spans="1:34" x14ac:dyDescent="0.2">
      <c r="A20" s="1" t="str" cm="1">
        <f t="array" ref="A20">IF(J20="","",IF(Q20&lt;&gt;"",SUMPRODUCT((Q$3:Q$31&lt;&gt;"")*(H$3:H$31=H20)*(K$3:K$31&gt;K20)*(J$3:J$31="P"))+1,IF(P20&lt;&gt;"",SUMPRODUCT((P$3:P$31&lt;&gt;"")*(Q$3:Q$31="")*(H$3:H$31=H20)*(K$3:K$31&gt;K20)*(J$3:J$31="P"))+SUMPRODUCT((Q$3:Q$31&lt;&gt;"")*(H$3:H$31=H20)*(J$3:J$31="P"))+1,IF(O20&lt;&gt;"",SUMPRODUCT((O$3:O$31&lt;&gt;"")*(H$3:H$31=H20)*(K$3:K$31&gt;K20)*(J$3:J$31="P"))+1,IF(N20="P",SUMPRODUCT((P$3:P$31&lt;&gt;"")*(Q$3:Q$31="")*(H$3:H$31=H20)*(J$3:J$31="P"))+SUMPRODUCT((Q$3:Q$31&lt;&gt;"")*(H$3:H$31=H20)*(J$3:J$31="P"))+SUMPRODUCT((O$3:O$31&lt;&gt;"")*(H$3:H$31=H20)*(J$3:J$31="P"))+SUMPRODUCT((Q$3:Q$31="")*(P$3:P$31="")*(O$3:O$31="")*(N$3:N$31="P")*(H$3:H$31=H20)*(K$3:K$31&gt;K20)*(J$3:J$31="P"))+IF(I20="L5",SUMPRODUCT((Q$3:Q$31="")*(P$3:P$31="")*(O$3:O$31="")*(N$3:N$31="P")*(H$3:H$31=H20)*(K$3:K$31&lt;K20)*(I$3:I$31&lt;&gt;I20)*(J$3:J$31="P")),-1*SUMPRODUCT((Q$3:Q$31="")*(P$3:P$31="")*(O$3:O$31="")*(N$3:N$31="P")*(H$3:H$31=H20)*(K$3:K$31&gt;K20)*(I$3:I$31="L5")*(J$3:J$31="P")))+1,"")))))</f>
        <v/>
      </c>
      <c r="B20" s="1" t="str" cm="1">
        <f t="array" ref="B20">IF(Q20&lt;&gt;"",SUMPRODUCT((Q$3:Q$31&lt;&gt;"")*(H$3:H$31=H20)*(K$3:K$31&gt;K20))+1,IF(P20&lt;&gt;"",SUMPRODUCT((P$3:P$31&lt;&gt;"")*(Q$3:Q$31="")*(H$3:H$31=H20)*(K$3:K$31&gt;K20))+SUMPRODUCT((Q$3:Q$31&lt;&gt;"")*(H$3:H$31=H20))+1,IF(O20&lt;&gt;"",SUMPRODUCT((O$3:O$31&lt;&gt;"")*(H$3:H$31=H20)*(K$3:K$31&gt;K20))+1,IF(N20="P",SUMPRODUCT((P$3:P$31&lt;&gt;"")*(Q$3:Q$31="")*(H$3:H$31=H20))+SUMPRODUCT((Q$3:Q$31&lt;&gt;"")*(H$3:H$31=H20))+SUMPRODUCT((O$3:O$31&lt;&gt;"")*(H$3:H$31=H20))+SUMPRODUCT((Q$3:Q$31="")*(P$3:P$31="")*(O$3:O$31="")*(N$3:N$31="P")*(H$3:H$31=H20)*(K$3:K$31&gt;K20))+IF(I20="L5",SUMPRODUCT((Q$3:Q$31="")*(P$3:P$31="")*(O$3:O$31="")*(N$3:N$31="P")*(H$3:H$31=H20)*(K$3:K$31&lt;K20)*(I$3:I$31&lt;&gt;I20)),-1*SUMPRODUCT((Q$3:Q$31="")*(P$3:P$31="")*(O$3:O$31="")*(N$3:N$31="P")*(H$3:H$31=H20)*(K$3:K$31&gt;K20)*(I$3:I$31="L5")))+1,""))))</f>
        <v/>
      </c>
      <c r="C20" s="36" t="s">
        <v>387</v>
      </c>
      <c r="D20" s="36" t="str">
        <f>IF(E20="","",VLOOKUP(E20,'Coaching Points'!A:B,2,0)&amp;"/"&amp;VLOOKUP(F20,'Coaching Points'!A:B,2,0))</f>
        <v>NB/NB</v>
      </c>
      <c r="E20" s="36" t="s">
        <v>48</v>
      </c>
      <c r="F20" s="36" t="s">
        <v>48</v>
      </c>
      <c r="G20" s="35">
        <v>2006</v>
      </c>
      <c r="H20" s="1" t="str">
        <f>IF(OR('Qualifying Scores'!$B$1-G20&gt;21,'Qualifying Scores'!$B$1-G20&lt;11),"Not Age Eligible",IF('Qualifying Scores'!$B$1-G20&gt;16,"17-21",IF('Qualifying Scores'!$B$1-G20&gt;14,"15-16",IF('Qualifying Scores'!$B$1-G20&gt;12,"13-14",IF('Qualifying Scores'!$B$1-G20&gt;10,"11-12","Not Age Eligible")))))</f>
        <v>17-21</v>
      </c>
      <c r="I20" s="39" t="s">
        <v>67</v>
      </c>
      <c r="J20" s="43"/>
      <c r="K20" s="4">
        <f>S20+T20+IF(OR(I20="Junior",I20="Senior"),0.0002,IF(OR(I20="L7",I20="L6"),0.0001,0))+MAX(AB20,AD20,AG20)*0.0000001</f>
        <v>8.2001008199999994</v>
      </c>
      <c r="L20" s="3" t="str">
        <f>IF(H20="Not Age Eligible","",IF(MAX(U20,W20,Z20,AB20,AD20,AG20)&gt;=LOOKUP(H20,'Qualifying Scores'!$A$4:$A$7,'Qualifying Scores'!$D$4:$D$7),"P",""))</f>
        <v/>
      </c>
      <c r="M20" s="3" t="str">
        <f>IF(H20="Not Age Eligible","",IF(MAX(V20,X20,AA20,AC20,AE20,AH20)&gt;=LOOKUP(H20,'Qualifying Scores'!$A$10:$A$13,'Qualifying Scores'!$D$10:$D$13),"P",""))</f>
        <v/>
      </c>
      <c r="N20" s="3" t="str">
        <f>IF(H20="Not Age Eligible","",IF(OR(AND(U20&gt;=LOOKUP(H20,'Qualifying Scores'!$A$4:$A$7,'Qualifying Scores'!$D$4:$D$7),V20&gt;=LOOKUP(H20,'Qualifying Scores'!$A$10:$A$13,'Qualifying Scores'!$D$10:$D$13)),AND(W20&gt;=LOOKUP(H20,'Qualifying Scores'!$A$4:$A$7,'Qualifying Scores'!$D$4:$D$7),X20&gt;=LOOKUP(H20,'Qualifying Scores'!$A$10:$A$13,'Qualifying Scores'!$D$10:$D$13)),AND(Z20&gt;=LOOKUP(H20,'Qualifying Scores'!$A$4:$A$7,'Qualifying Scores'!$D$4:$D$7),AA20&gt;=LOOKUP(H20,'Qualifying Scores'!$A$10:$A$13,'Qualifying Scores'!$D$10:$D$13)),AND(AB20&gt;=LOOKUP(H20,'Qualifying Scores'!$A$4:$A$7,'Qualifying Scores'!$D$4:$D$7),AC20&gt;=LOOKUP(H20,'Qualifying Scores'!$A$10:$A$13,'Qualifying Scores'!$D$10:$D$13)),AND(AD20&gt;=LOOKUP(H20,'Qualifying Scores'!$A$4:$A$7,'Qualifying Scores'!$D$4:$D$7),AE20&gt;=LOOKUP(H20,'Qualifying Scores'!$A$10:$A$13,'Qualifying Scores'!$D$10:$D$13)),AND(AG20&gt;=LOOKUP(H20,'Qualifying Scores'!$A$4:$A$7,'Qualifying Scores'!$D$4:$D$7),AH20&gt;=LOOKUP(H20,'Qualifying Scores'!$A$10:$A$13,'Qualifying Scores'!$D$10:$D$13))),"P",""))</f>
        <v/>
      </c>
      <c r="R20" s="1" t="str">
        <f>IF(A20&lt;5,IF(_xlfn.MAXIFS(A:A,H:H,H20)&gt;3,5-A20,_xlfn.MAXIFS(A:A,H:H,H20)+1-A20),"")</f>
        <v/>
      </c>
      <c r="S20" s="4">
        <f>MAX(U20,W20,Z20,AB20,AD20,AG20)</f>
        <v>8.1999999999999993</v>
      </c>
      <c r="T20" s="4">
        <f>LARGE(CHOOSE({1,2,3,4,5,6},U20,W20,Z20,AB20,AD20,AG20),2)</f>
        <v>0</v>
      </c>
      <c r="U20" s="33"/>
      <c r="V20" s="40"/>
      <c r="W20" s="34"/>
      <c r="X20" s="40"/>
      <c r="Y20" s="4">
        <f>IF(I20="Senior",MAX(U20,W20),U20+W20)</f>
        <v>0</v>
      </c>
      <c r="Z20" s="34"/>
      <c r="AA20" s="40"/>
      <c r="AB20" s="33">
        <v>8.1999999999999993</v>
      </c>
      <c r="AC20" s="40">
        <v>2.1</v>
      </c>
      <c r="AD20" s="34"/>
      <c r="AE20" s="40"/>
      <c r="AF20" s="4">
        <f>IF(I20="Senior",MAX(AB20,AD20),AB20+AD20)</f>
        <v>8.1999999999999993</v>
      </c>
      <c r="AG20" s="34"/>
      <c r="AH20" s="37"/>
    </row>
    <row r="21" spans="1:34" x14ac:dyDescent="0.2">
      <c r="A21" s="1" t="str" cm="1">
        <f t="array" ref="A21">IF(J21="","",IF(Q21&lt;&gt;"",SUMPRODUCT((Q$3:Q$31&lt;&gt;"")*(H$3:H$31=H21)*(K$3:K$31&gt;K21)*(J$3:J$31="P"))+1,IF(P21&lt;&gt;"",SUMPRODUCT((P$3:P$31&lt;&gt;"")*(Q$3:Q$31="")*(H$3:H$31=H21)*(K$3:K$31&gt;K21)*(J$3:J$31="P"))+SUMPRODUCT((Q$3:Q$31&lt;&gt;"")*(H$3:H$31=H21)*(J$3:J$31="P"))+1,IF(O21&lt;&gt;"",SUMPRODUCT((O$3:O$31&lt;&gt;"")*(H$3:H$31=H21)*(K$3:K$31&gt;K21)*(J$3:J$31="P"))+1,IF(N21="P",SUMPRODUCT((P$3:P$31&lt;&gt;"")*(Q$3:Q$31="")*(H$3:H$31=H21)*(J$3:J$31="P"))+SUMPRODUCT((Q$3:Q$31&lt;&gt;"")*(H$3:H$31=H21)*(J$3:J$31="P"))+SUMPRODUCT((O$3:O$31&lt;&gt;"")*(H$3:H$31=H21)*(J$3:J$31="P"))+SUMPRODUCT((Q$3:Q$31="")*(P$3:P$31="")*(O$3:O$31="")*(N$3:N$31="P")*(H$3:H$31=H21)*(K$3:K$31&gt;K21)*(J$3:J$31="P"))+IF(I21="L5",SUMPRODUCT((Q$3:Q$31="")*(P$3:P$31="")*(O$3:O$31="")*(N$3:N$31="P")*(H$3:H$31=H21)*(K$3:K$31&lt;K21)*(I$3:I$31&lt;&gt;I21)*(J$3:J$31="P")),-1*SUMPRODUCT((Q$3:Q$31="")*(P$3:P$31="")*(O$3:O$31="")*(N$3:N$31="P")*(H$3:H$31=H21)*(K$3:K$31&gt;K21)*(I$3:I$31="L5")*(J$3:J$31="P")))+1,"")))))</f>
        <v/>
      </c>
      <c r="B21" s="1" t="str" cm="1">
        <f t="array" ref="B21">IF(Q21&lt;&gt;"",SUMPRODUCT((Q$3:Q$31&lt;&gt;"")*(H$3:H$31=H21)*(K$3:K$31&gt;K21))+1,IF(P21&lt;&gt;"",SUMPRODUCT((P$3:P$31&lt;&gt;"")*(Q$3:Q$31="")*(H$3:H$31=H21)*(K$3:K$31&gt;K21))+SUMPRODUCT((Q$3:Q$31&lt;&gt;"")*(H$3:H$31=H21))+1,IF(O21&lt;&gt;"",SUMPRODUCT((O$3:O$31&lt;&gt;"")*(H$3:H$31=H21)*(K$3:K$31&gt;K21))+1,IF(N21="P",SUMPRODUCT((P$3:P$31&lt;&gt;"")*(Q$3:Q$31="")*(H$3:H$31=H21))+SUMPRODUCT((Q$3:Q$31&lt;&gt;"")*(H$3:H$31=H21))+SUMPRODUCT((O$3:O$31&lt;&gt;"")*(H$3:H$31=H21))+SUMPRODUCT((Q$3:Q$31="")*(P$3:P$31="")*(O$3:O$31="")*(N$3:N$31="P")*(H$3:H$31=H21)*(K$3:K$31&gt;K21))+IF(I21="L5",SUMPRODUCT((Q$3:Q$31="")*(P$3:P$31="")*(O$3:O$31="")*(N$3:N$31="P")*(H$3:H$31=H21)*(K$3:K$31&lt;K21)*(I$3:I$31&lt;&gt;I21)),-1*SUMPRODUCT((Q$3:Q$31="")*(P$3:P$31="")*(O$3:O$31="")*(N$3:N$31="P")*(H$3:H$31=H21)*(K$3:K$31&gt;K21)*(I$3:I$31="L5")))+1,""))))</f>
        <v/>
      </c>
      <c r="C21" s="36" t="s">
        <v>333</v>
      </c>
      <c r="D21" s="36" t="str">
        <f>IF(E21="","",VLOOKUP(E21,'Coaching Points'!A:B,2,0)&amp;"/"&amp;VLOOKUP(F21,'Coaching Points'!A:B,2,0))</f>
        <v>QC/QC</v>
      </c>
      <c r="E21" s="36" t="s">
        <v>84</v>
      </c>
      <c r="F21" s="36" t="s">
        <v>84</v>
      </c>
      <c r="G21" s="35">
        <v>2006</v>
      </c>
      <c r="H21" s="1" t="str">
        <f>IF(OR('Qualifying Scores'!$B$1-G21&gt;21,'Qualifying Scores'!$B$1-G21&lt;11),"Not Age Eligible",IF('Qualifying Scores'!$B$1-G21&gt;16,"17-21",IF('Qualifying Scores'!$B$1-G21&gt;14,"15-16",IF('Qualifying Scores'!$B$1-G21&gt;12,"13-14",IF('Qualifying Scores'!$B$1-G21&gt;10,"11-12","Not Age Eligible")))))</f>
        <v>17-21</v>
      </c>
      <c r="I21" s="39" t="s">
        <v>67</v>
      </c>
      <c r="J21" s="43"/>
      <c r="K21" s="4">
        <f>S21+T21+IF(OR(I21="Junior",I21="Senior"),0.0002,IF(OR(I21="L7",I21="L6"),0.0001,0))+MAX(AB21,AD21,AG21)*0.0000001</f>
        <v>4.8900999999999994</v>
      </c>
      <c r="L21" s="3" t="str">
        <f>IF(H21="Not Age Eligible","",IF(MAX(U21,W21,Z21,AB21,AD21,AG21)&gt;=LOOKUP(H21,'Qualifying Scores'!$A$4:$A$7,'Qualifying Scores'!$D$4:$D$7),"P",""))</f>
        <v/>
      </c>
      <c r="M21" s="3" t="str">
        <f>IF(H21="Not Age Eligible","",IF(MAX(V21,X21,AA21,AC21,AE21,AH21)&gt;=LOOKUP(H21,'Qualifying Scores'!$A$10:$A$13,'Qualifying Scores'!$D$10:$D$13),"P",""))</f>
        <v/>
      </c>
      <c r="N21" s="3" t="str">
        <f>IF(H21="Not Age Eligible","",IF(OR(AND(U21&gt;=LOOKUP(H21,'Qualifying Scores'!$A$4:$A$7,'Qualifying Scores'!$D$4:$D$7),V21&gt;=LOOKUP(H21,'Qualifying Scores'!$A$10:$A$13,'Qualifying Scores'!$D$10:$D$13)),AND(W21&gt;=LOOKUP(H21,'Qualifying Scores'!$A$4:$A$7,'Qualifying Scores'!$D$4:$D$7),X21&gt;=LOOKUP(H21,'Qualifying Scores'!$A$10:$A$13,'Qualifying Scores'!$D$10:$D$13)),AND(Z21&gt;=LOOKUP(H21,'Qualifying Scores'!$A$4:$A$7,'Qualifying Scores'!$D$4:$D$7),AA21&gt;=LOOKUP(H21,'Qualifying Scores'!$A$10:$A$13,'Qualifying Scores'!$D$10:$D$13)),AND(AB21&gt;=LOOKUP(H21,'Qualifying Scores'!$A$4:$A$7,'Qualifying Scores'!$D$4:$D$7),AC21&gt;=LOOKUP(H21,'Qualifying Scores'!$A$10:$A$13,'Qualifying Scores'!$D$10:$D$13)),AND(AD21&gt;=LOOKUP(H21,'Qualifying Scores'!$A$4:$A$7,'Qualifying Scores'!$D$4:$D$7),AE21&gt;=LOOKUP(H21,'Qualifying Scores'!$A$10:$A$13,'Qualifying Scores'!$D$10:$D$13)),AND(AG21&gt;=LOOKUP(H21,'Qualifying Scores'!$A$4:$A$7,'Qualifying Scores'!$D$4:$D$7),AH21&gt;=LOOKUP(H21,'Qualifying Scores'!$A$10:$A$13,'Qualifying Scores'!$D$10:$D$13))),"P",""))</f>
        <v/>
      </c>
      <c r="R21" s="1" t="str">
        <f>IF(A21&lt;5,IF(_xlfn.MAXIFS(A:A,H:H,H21)&gt;3,5-A21,_xlfn.MAXIFS(A:A,H:H,H21)+1-A21),"")</f>
        <v/>
      </c>
      <c r="S21" s="4">
        <f>MAX(U21,W21,Z21,AB21,AD21,AG21)</f>
        <v>4.8899999999999997</v>
      </c>
      <c r="T21" s="4">
        <f>LARGE(CHOOSE({1,2,3,4,5,6},U21,W21,Z21,AB21,AD21,AG21),2)</f>
        <v>0</v>
      </c>
      <c r="U21" s="33">
        <v>4.8899999999999997</v>
      </c>
      <c r="V21" s="40">
        <v>1.3</v>
      </c>
      <c r="W21" s="34"/>
      <c r="X21" s="40"/>
      <c r="Y21" s="4">
        <f>IF(I21="Senior",MAX(U21,W21),U21+W21)</f>
        <v>4.8899999999999997</v>
      </c>
      <c r="Z21" s="34"/>
      <c r="AA21" s="40"/>
      <c r="AB21" s="33"/>
      <c r="AC21" s="40"/>
      <c r="AD21" s="34"/>
      <c r="AE21" s="40"/>
      <c r="AF21" s="4">
        <f>IF(I21="Senior",MAX(AB21,AD21),AB21+AD21)</f>
        <v>0</v>
      </c>
      <c r="AG21" s="34"/>
      <c r="AH21" s="37"/>
    </row>
    <row r="22" spans="1:34" x14ac:dyDescent="0.2">
      <c r="A22" s="1" t="str" cm="1">
        <f t="array" ref="A22">IF(J22="","",IF(Q22&lt;&gt;"",SUMPRODUCT((Q$3:Q$31&lt;&gt;"")*(H$3:H$31=H22)*(K$3:K$31&gt;K22)*(J$3:J$31="P"))+1,IF(P22&lt;&gt;"",SUMPRODUCT((P$3:P$31&lt;&gt;"")*(Q$3:Q$31="")*(H$3:H$31=H22)*(K$3:K$31&gt;K22)*(J$3:J$31="P"))+SUMPRODUCT((Q$3:Q$31&lt;&gt;"")*(H$3:H$31=H22)*(J$3:J$31="P"))+1,IF(O22&lt;&gt;"",SUMPRODUCT((O$3:O$31&lt;&gt;"")*(H$3:H$31=H22)*(K$3:K$31&gt;K22)*(J$3:J$31="P"))+1,IF(N22="P",SUMPRODUCT((P$3:P$31&lt;&gt;"")*(Q$3:Q$31="")*(H$3:H$31=H22)*(J$3:J$31="P"))+SUMPRODUCT((Q$3:Q$31&lt;&gt;"")*(H$3:H$31=H22)*(J$3:J$31="P"))+SUMPRODUCT((O$3:O$31&lt;&gt;"")*(H$3:H$31=H22)*(J$3:J$31="P"))+SUMPRODUCT((Q$3:Q$31="")*(P$3:P$31="")*(O$3:O$31="")*(N$3:N$31="P")*(H$3:H$31=H22)*(K$3:K$31&gt;K22)*(J$3:J$31="P"))+IF(I22="L5",SUMPRODUCT((Q$3:Q$31="")*(P$3:P$31="")*(O$3:O$31="")*(N$3:N$31="P")*(H$3:H$31=H22)*(K$3:K$31&lt;K22)*(I$3:I$31&lt;&gt;I22)*(J$3:J$31="P")),-1*SUMPRODUCT((Q$3:Q$31="")*(P$3:P$31="")*(O$3:O$31="")*(N$3:N$31="P")*(H$3:H$31=H22)*(K$3:K$31&gt;K22)*(I$3:I$31="L5")*(J$3:J$31="P")))+1,"")))))</f>
        <v/>
      </c>
      <c r="B22" s="1" t="str" cm="1">
        <f t="array" ref="B22">IF(Q22&lt;&gt;"",SUMPRODUCT((Q$3:Q$31&lt;&gt;"")*(H$3:H$31=H22)*(K$3:K$31&gt;K22))+1,IF(P22&lt;&gt;"",SUMPRODUCT((P$3:P$31&lt;&gt;"")*(Q$3:Q$31="")*(H$3:H$31=H22)*(K$3:K$31&gt;K22))+SUMPRODUCT((Q$3:Q$31&lt;&gt;"")*(H$3:H$31=H22))+1,IF(O22&lt;&gt;"",SUMPRODUCT((O$3:O$31&lt;&gt;"")*(H$3:H$31=H22)*(K$3:K$31&gt;K22))+1,IF(N22="P",SUMPRODUCT((P$3:P$31&lt;&gt;"")*(Q$3:Q$31="")*(H$3:H$31=H22))+SUMPRODUCT((Q$3:Q$31&lt;&gt;"")*(H$3:H$31=H22))+SUMPRODUCT((O$3:O$31&lt;&gt;"")*(H$3:H$31=H22))+SUMPRODUCT((Q$3:Q$31="")*(P$3:P$31="")*(O$3:O$31="")*(N$3:N$31="P")*(H$3:H$31=H22)*(K$3:K$31&gt;K22))+IF(I22="L5",SUMPRODUCT((Q$3:Q$31="")*(P$3:P$31="")*(O$3:O$31="")*(N$3:N$31="P")*(H$3:H$31=H22)*(K$3:K$31&lt;K22)*(I$3:I$31&lt;&gt;I22)),-1*SUMPRODUCT((Q$3:Q$31="")*(P$3:P$31="")*(O$3:O$31="")*(N$3:N$31="P")*(H$3:H$31=H22)*(K$3:K$31&gt;K22)*(I$3:I$31="L5")))+1,""))))</f>
        <v/>
      </c>
      <c r="C22" s="36" t="s">
        <v>389</v>
      </c>
      <c r="D22" s="36" t="str">
        <f>IF(E22="","",VLOOKUP(E22,'Coaching Points'!A:B,2,0)&amp;"/"&amp;VLOOKUP(F22,'Coaching Points'!A:B,2,0))</f>
        <v>AB/AB</v>
      </c>
      <c r="E22" s="36" t="s">
        <v>29</v>
      </c>
      <c r="F22" s="36" t="s">
        <v>29</v>
      </c>
      <c r="G22" s="35">
        <v>2005</v>
      </c>
      <c r="H22" s="1" t="str">
        <f>IF(OR('Qualifying Scores'!$B$1-G22&gt;21,'Qualifying Scores'!$B$1-G22&lt;11),"Not Age Eligible",IF('Qualifying Scores'!$B$1-G22&gt;16,"17-21",IF('Qualifying Scores'!$B$1-G22&gt;14,"15-16",IF('Qualifying Scores'!$B$1-G22&gt;12,"13-14",IF('Qualifying Scores'!$B$1-G22&gt;10,"11-12","Not Age Eligible")))))</f>
        <v>17-21</v>
      </c>
      <c r="I22" s="39" t="s">
        <v>67</v>
      </c>
      <c r="J22" s="43"/>
      <c r="K22" s="4">
        <f>S22+T22+IF(OR(I22="Junior",I22="Senior"),0.0002,IF(OR(I22="L7",I22="L6"),0.0001,0))+MAX(AB22,AD22,AG22)*0.0000001</f>
        <v>1E-4</v>
      </c>
      <c r="L22" s="3" t="str">
        <f>IF(H22="Not Age Eligible","",IF(MAX(U22,W22,Z22,AB22,AD22,AG22)&gt;=LOOKUP(H22,'Qualifying Scores'!$A$4:$A$7,'Qualifying Scores'!$D$4:$D$7),"P",""))</f>
        <v/>
      </c>
      <c r="M22" s="3" t="str">
        <f>IF(H22="Not Age Eligible","",IF(MAX(V22,X22,AA22,AC22,AE22,AH22)&gt;=LOOKUP(H22,'Qualifying Scores'!$A$10:$A$13,'Qualifying Scores'!$D$10:$D$13),"P",""))</f>
        <v/>
      </c>
      <c r="N22" s="3" t="str">
        <f>IF(H22="Not Age Eligible","",IF(OR(AND(U22&gt;=LOOKUP(H22,'Qualifying Scores'!$A$4:$A$7,'Qualifying Scores'!$D$4:$D$7),V22&gt;=LOOKUP(H22,'Qualifying Scores'!$A$10:$A$13,'Qualifying Scores'!$D$10:$D$13)),AND(W22&gt;=LOOKUP(H22,'Qualifying Scores'!$A$4:$A$7,'Qualifying Scores'!$D$4:$D$7),X22&gt;=LOOKUP(H22,'Qualifying Scores'!$A$10:$A$13,'Qualifying Scores'!$D$10:$D$13)),AND(Z22&gt;=LOOKUP(H22,'Qualifying Scores'!$A$4:$A$7,'Qualifying Scores'!$D$4:$D$7),AA22&gt;=LOOKUP(H22,'Qualifying Scores'!$A$10:$A$13,'Qualifying Scores'!$D$10:$D$13)),AND(AB22&gt;=LOOKUP(H22,'Qualifying Scores'!$A$4:$A$7,'Qualifying Scores'!$D$4:$D$7),AC22&gt;=LOOKUP(H22,'Qualifying Scores'!$A$10:$A$13,'Qualifying Scores'!$D$10:$D$13)),AND(AD22&gt;=LOOKUP(H22,'Qualifying Scores'!$A$4:$A$7,'Qualifying Scores'!$D$4:$D$7),AE22&gt;=LOOKUP(H22,'Qualifying Scores'!$A$10:$A$13,'Qualifying Scores'!$D$10:$D$13)),AND(AG22&gt;=LOOKUP(H22,'Qualifying Scores'!$A$4:$A$7,'Qualifying Scores'!$D$4:$D$7),AH22&gt;=LOOKUP(H22,'Qualifying Scores'!$A$10:$A$13,'Qualifying Scores'!$D$10:$D$13))),"P",""))</f>
        <v/>
      </c>
      <c r="R22" s="1" t="str">
        <f>IF(A22&lt;5,IF(_xlfn.MAXIFS(A:A,H:H,H22)&gt;3,5-A22,_xlfn.MAXIFS(A:A,H:H,H22)+1-A22),"")</f>
        <v/>
      </c>
      <c r="S22" s="4">
        <f>MAX(U22,W22,Z22,AB22,AD22,AG22)</f>
        <v>0</v>
      </c>
      <c r="T22" s="4">
        <f>LARGE(CHOOSE({1,2,3,4,5,6},U22,W22,Z22,AB22,AD22,AG22),2)</f>
        <v>0</v>
      </c>
      <c r="U22" s="33"/>
      <c r="V22" s="40"/>
      <c r="W22" s="34"/>
      <c r="X22" s="40"/>
      <c r="Y22" s="4">
        <f>IF(I22="Senior",MAX(U22,W22),U22+W22)</f>
        <v>0</v>
      </c>
      <c r="Z22" s="34"/>
      <c r="AA22" s="40"/>
      <c r="AB22" s="33"/>
      <c r="AC22" s="40"/>
      <c r="AD22" s="34"/>
      <c r="AE22" s="40"/>
      <c r="AF22" s="4">
        <f>IF(I22="Senior",MAX(AB22,AD22),AB22+AD22)</f>
        <v>0</v>
      </c>
      <c r="AG22" s="34"/>
      <c r="AH22" s="37"/>
    </row>
    <row r="23" spans="1:34" x14ac:dyDescent="0.2">
      <c r="A23" s="1" t="str" cm="1">
        <f t="array" ref="A23">IF(J23="","",IF(Q23&lt;&gt;"",SUMPRODUCT((Q$3:Q$31&lt;&gt;"")*(H$3:H$31=H23)*(K$3:K$31&gt;K23)*(J$3:J$31="P"))+1,IF(P23&lt;&gt;"",SUMPRODUCT((P$3:P$31&lt;&gt;"")*(Q$3:Q$31="")*(H$3:H$31=H23)*(K$3:K$31&gt;K23)*(J$3:J$31="P"))+SUMPRODUCT((Q$3:Q$31&lt;&gt;"")*(H$3:H$31=H23)*(J$3:J$31="P"))+1,IF(O23&lt;&gt;"",SUMPRODUCT((O$3:O$31&lt;&gt;"")*(H$3:H$31=H23)*(K$3:K$31&gt;K23)*(J$3:J$31="P"))+1,IF(N23="P",SUMPRODUCT((P$3:P$31&lt;&gt;"")*(Q$3:Q$31="")*(H$3:H$31=H23)*(J$3:J$31="P"))+SUMPRODUCT((Q$3:Q$31&lt;&gt;"")*(H$3:H$31=H23)*(J$3:J$31="P"))+SUMPRODUCT((O$3:O$31&lt;&gt;"")*(H$3:H$31=H23)*(J$3:J$31="P"))+SUMPRODUCT((Q$3:Q$31="")*(P$3:P$31="")*(O$3:O$31="")*(N$3:N$31="P")*(H$3:H$31=H23)*(K$3:K$31&gt;K23)*(J$3:J$31="P"))+IF(I23="L5",SUMPRODUCT((Q$3:Q$31="")*(P$3:P$31="")*(O$3:O$31="")*(N$3:N$31="P")*(H$3:H$31=H23)*(K$3:K$31&lt;K23)*(I$3:I$31&lt;&gt;I23)*(J$3:J$31="P")),-1*SUMPRODUCT((Q$3:Q$31="")*(P$3:P$31="")*(O$3:O$31="")*(N$3:N$31="P")*(H$3:H$31=H23)*(K$3:K$31&gt;K23)*(I$3:I$31="L5")*(J$3:J$31="P")))+1,"")))))</f>
        <v/>
      </c>
      <c r="B23" s="1" t="str" cm="1">
        <f t="array" ref="B23">IF(Q23&lt;&gt;"",SUMPRODUCT((Q$3:Q$31&lt;&gt;"")*(H$3:H$31=H23)*(K$3:K$31&gt;K23))+1,IF(P23&lt;&gt;"",SUMPRODUCT((P$3:P$31&lt;&gt;"")*(Q$3:Q$31="")*(H$3:H$31=H23)*(K$3:K$31&gt;K23))+SUMPRODUCT((Q$3:Q$31&lt;&gt;"")*(H$3:H$31=H23))+1,IF(O23&lt;&gt;"",SUMPRODUCT((O$3:O$31&lt;&gt;"")*(H$3:H$31=H23)*(K$3:K$31&gt;K23))+1,IF(N23="P",SUMPRODUCT((P$3:P$31&lt;&gt;"")*(Q$3:Q$31="")*(H$3:H$31=H23))+SUMPRODUCT((Q$3:Q$31&lt;&gt;"")*(H$3:H$31=H23))+SUMPRODUCT((O$3:O$31&lt;&gt;"")*(H$3:H$31=H23))+SUMPRODUCT((Q$3:Q$31="")*(P$3:P$31="")*(O$3:O$31="")*(N$3:N$31="P")*(H$3:H$31=H23)*(K$3:K$31&gt;K23))+IF(I23="L5",SUMPRODUCT((Q$3:Q$31="")*(P$3:P$31="")*(O$3:O$31="")*(N$3:N$31="P")*(H$3:H$31=H23)*(K$3:K$31&lt;K23)*(I$3:I$31&lt;&gt;I23)),-1*SUMPRODUCT((Q$3:Q$31="")*(P$3:P$31="")*(O$3:O$31="")*(N$3:N$31="P")*(H$3:H$31=H23)*(K$3:K$31&gt;K23)*(I$3:I$31="L5")))+1,""))))</f>
        <v/>
      </c>
      <c r="C23" s="36" t="s">
        <v>384</v>
      </c>
      <c r="D23" s="36" t="str">
        <f>IF(E23="","",VLOOKUP(E23,'Coaching Points'!A:B,2,0)&amp;"/"&amp;VLOOKUP(F23,'Coaching Points'!A:B,2,0))</f>
        <v>BC/BC</v>
      </c>
      <c r="E23" s="36" t="s">
        <v>72</v>
      </c>
      <c r="F23" s="36" t="s">
        <v>62</v>
      </c>
      <c r="G23" s="35">
        <v>2007</v>
      </c>
      <c r="H23" s="1" t="str">
        <f>IF(OR('Qualifying Scores'!$B$1-G23&gt;21,'Qualifying Scores'!$B$1-G23&lt;11),"Not Age Eligible",IF('Qualifying Scores'!$B$1-G23&gt;16,"17-21",IF('Qualifying Scores'!$B$1-G23&gt;14,"15-16",IF('Qualifying Scores'!$B$1-G23&gt;12,"13-14",IF('Qualifying Scores'!$B$1-G23&gt;10,"11-12","Not Age Eligible")))))</f>
        <v>15-16</v>
      </c>
      <c r="I23" s="39" t="s">
        <v>67</v>
      </c>
      <c r="J23" s="43" t="s">
        <v>567</v>
      </c>
      <c r="K23" s="4">
        <f>S23+T23+IF(OR(I23="Junior",I23="Senior"),0.0002,IF(OR(I23="L7",I23="L6"),0.0001,0))+MAX(AB23,AD23,AG23)*0.0000001</f>
        <v>79.86010426</v>
      </c>
      <c r="L23" s="3" t="str">
        <f>IF(H23="Not Age Eligible","",IF(MAX(U23,W23,Z23,AB23,AD23,AG23)&gt;=LOOKUP(H23,'Qualifying Scores'!$A$4:$A$7,'Qualifying Scores'!$D$4:$D$7),"P",""))</f>
        <v/>
      </c>
      <c r="M23" s="3" t="str">
        <f>IF(H23="Not Age Eligible","",IF(MAX(V23,X23,AA23,AC23,AE23,AH23)&gt;=LOOKUP(H23,'Qualifying Scores'!$A$10:$A$13,'Qualifying Scores'!$D$10:$D$13),"P",""))</f>
        <v>P</v>
      </c>
      <c r="N23" s="3" t="str">
        <f>IF(H23="Not Age Eligible","",IF(OR(AND(U23&gt;=LOOKUP(H23,'Qualifying Scores'!$A$4:$A$7,'Qualifying Scores'!$D$4:$D$7),V23&gt;=LOOKUP(H23,'Qualifying Scores'!$A$10:$A$13,'Qualifying Scores'!$D$10:$D$13)),AND(W23&gt;=LOOKUP(H23,'Qualifying Scores'!$A$4:$A$7,'Qualifying Scores'!$D$4:$D$7),X23&gt;=LOOKUP(H23,'Qualifying Scores'!$A$10:$A$13,'Qualifying Scores'!$D$10:$D$13)),AND(Z23&gt;=LOOKUP(H23,'Qualifying Scores'!$A$4:$A$7,'Qualifying Scores'!$D$4:$D$7),AA23&gt;=LOOKUP(H23,'Qualifying Scores'!$A$10:$A$13,'Qualifying Scores'!$D$10:$D$13)),AND(AB23&gt;=LOOKUP(H23,'Qualifying Scores'!$A$4:$A$7,'Qualifying Scores'!$D$4:$D$7),AC23&gt;=LOOKUP(H23,'Qualifying Scores'!$A$10:$A$13,'Qualifying Scores'!$D$10:$D$13)),AND(AD23&gt;=LOOKUP(H23,'Qualifying Scores'!$A$4:$A$7,'Qualifying Scores'!$D$4:$D$7),AE23&gt;=LOOKUP(H23,'Qualifying Scores'!$A$10:$A$13,'Qualifying Scores'!$D$10:$D$13)),AND(AG23&gt;=LOOKUP(H23,'Qualifying Scores'!$A$4:$A$7,'Qualifying Scores'!$D$4:$D$7),AH23&gt;=LOOKUP(H23,'Qualifying Scores'!$A$10:$A$13,'Qualifying Scores'!$D$10:$D$13))),"P",""))</f>
        <v/>
      </c>
      <c r="R23" s="1" t="str">
        <f>IF(A23&lt;5,IF(_xlfn.MAXIFS(A:A,H:H,H23)&gt;3,5-A23,_xlfn.MAXIFS(A:A,H:H,H23)+1-A23),"")</f>
        <v/>
      </c>
      <c r="S23" s="4">
        <f>MAX(U23,W23,Z23,AB23,AD23,AG23)</f>
        <v>42.6</v>
      </c>
      <c r="T23" s="4">
        <f>LARGE(CHOOSE({1,2,3,4,5,6},U23,W23,Z23,AB23,AD23,AG23),2)</f>
        <v>37.26</v>
      </c>
      <c r="U23" s="33"/>
      <c r="V23" s="40"/>
      <c r="W23" s="34"/>
      <c r="X23" s="40"/>
      <c r="Y23" s="4">
        <f>IF(I23="Senior",MAX(U23,W23),U23+W23)</f>
        <v>0</v>
      </c>
      <c r="Z23" s="34"/>
      <c r="AA23" s="40"/>
      <c r="AB23" s="33">
        <v>42.6</v>
      </c>
      <c r="AC23" s="40">
        <v>10.5</v>
      </c>
      <c r="AD23" s="34"/>
      <c r="AE23" s="40"/>
      <c r="AF23" s="4">
        <f>IF(I23="Senior",MAX(AB23,AD23),AB23+AD23)</f>
        <v>42.6</v>
      </c>
      <c r="AG23" s="34">
        <v>37.26</v>
      </c>
      <c r="AH23" s="37">
        <v>9.1</v>
      </c>
    </row>
    <row r="24" spans="1:34" x14ac:dyDescent="0.2">
      <c r="A24" s="1" t="str" cm="1">
        <f t="array" ref="A24">IF(J24="","",IF(Q24&lt;&gt;"",SUMPRODUCT((Q$3:Q$31&lt;&gt;"")*(H$3:H$31=H24)*(K$3:K$31&gt;K24)*(J$3:J$31="P"))+1,IF(P24&lt;&gt;"",SUMPRODUCT((P$3:P$31&lt;&gt;"")*(Q$3:Q$31="")*(H$3:H$31=H24)*(K$3:K$31&gt;K24)*(J$3:J$31="P"))+SUMPRODUCT((Q$3:Q$31&lt;&gt;"")*(H$3:H$31=H24)*(J$3:J$31="P"))+1,IF(O24&lt;&gt;"",SUMPRODUCT((O$3:O$31&lt;&gt;"")*(H$3:H$31=H24)*(K$3:K$31&gt;K24)*(J$3:J$31="P"))+1,IF(N24="P",SUMPRODUCT((P$3:P$31&lt;&gt;"")*(Q$3:Q$31="")*(H$3:H$31=H24)*(J$3:J$31="P"))+SUMPRODUCT((Q$3:Q$31&lt;&gt;"")*(H$3:H$31=H24)*(J$3:J$31="P"))+SUMPRODUCT((O$3:O$31&lt;&gt;"")*(H$3:H$31=H24)*(J$3:J$31="P"))+SUMPRODUCT((Q$3:Q$31="")*(P$3:P$31="")*(O$3:O$31="")*(N$3:N$31="P")*(H$3:H$31=H24)*(K$3:K$31&gt;K24)*(J$3:J$31="P"))+IF(I24="L5",SUMPRODUCT((Q$3:Q$31="")*(P$3:P$31="")*(O$3:O$31="")*(N$3:N$31="P")*(H$3:H$31=H24)*(K$3:K$31&lt;K24)*(I$3:I$31&lt;&gt;I24)*(J$3:J$31="P")),-1*SUMPRODUCT((Q$3:Q$31="")*(P$3:P$31="")*(O$3:O$31="")*(N$3:N$31="P")*(H$3:H$31=H24)*(K$3:K$31&gt;K24)*(I$3:I$31="L5")*(J$3:J$31="P")))+1,"")))))</f>
        <v/>
      </c>
      <c r="B24" s="1" t="str" cm="1">
        <f t="array" ref="B24">IF(Q24&lt;&gt;"",SUMPRODUCT((Q$3:Q$31&lt;&gt;"")*(H$3:H$31=H24)*(K$3:K$31&gt;K24))+1,IF(P24&lt;&gt;"",SUMPRODUCT((P$3:P$31&lt;&gt;"")*(Q$3:Q$31="")*(H$3:H$31=H24)*(K$3:K$31&gt;K24))+SUMPRODUCT((Q$3:Q$31&lt;&gt;"")*(H$3:H$31=H24))+1,IF(O24&lt;&gt;"",SUMPRODUCT((O$3:O$31&lt;&gt;"")*(H$3:H$31=H24)*(K$3:K$31&gt;K24))+1,IF(N24="P",SUMPRODUCT((P$3:P$31&lt;&gt;"")*(Q$3:Q$31="")*(H$3:H$31=H24))+SUMPRODUCT((Q$3:Q$31&lt;&gt;"")*(H$3:H$31=H24))+SUMPRODUCT((O$3:O$31&lt;&gt;"")*(H$3:H$31=H24))+SUMPRODUCT((Q$3:Q$31="")*(P$3:P$31="")*(O$3:O$31="")*(N$3:N$31="P")*(H$3:H$31=H24)*(K$3:K$31&gt;K24))+IF(I24="L5",SUMPRODUCT((Q$3:Q$31="")*(P$3:P$31="")*(O$3:O$31="")*(N$3:N$31="P")*(H$3:H$31=H24)*(K$3:K$31&lt;K24)*(I$3:I$31&lt;&gt;I24)),-1*SUMPRODUCT((Q$3:Q$31="")*(P$3:P$31="")*(O$3:O$31="")*(N$3:N$31="P")*(H$3:H$31=H24)*(K$3:K$31&gt;K24)*(I$3:I$31="L5")))+1,""))))</f>
        <v/>
      </c>
      <c r="C24" s="36" t="s">
        <v>385</v>
      </c>
      <c r="D24" s="36" t="str">
        <f>IF(E24="","",VLOOKUP(E24,'Coaching Points'!A:B,2,0)&amp;"/"&amp;VLOOKUP(F24,'Coaching Points'!A:B,2,0))</f>
        <v>AB/AB</v>
      </c>
      <c r="E24" s="36" t="s">
        <v>29</v>
      </c>
      <c r="F24" s="36" t="s">
        <v>29</v>
      </c>
      <c r="G24" s="35">
        <v>2007</v>
      </c>
      <c r="H24" s="1" t="str">
        <f>IF(OR('Qualifying Scores'!$B$1-G24&gt;21,'Qualifying Scores'!$B$1-G24&lt;11),"Not Age Eligible",IF('Qualifying Scores'!$B$1-G24&gt;16,"17-21",IF('Qualifying Scores'!$B$1-G24&gt;14,"15-16",IF('Qualifying Scores'!$B$1-G24&gt;12,"13-14",IF('Qualifying Scores'!$B$1-G24&gt;10,"11-12","Not Age Eligible")))))</f>
        <v>15-16</v>
      </c>
      <c r="I24" s="39" t="s">
        <v>67</v>
      </c>
      <c r="J24" s="43"/>
      <c r="K24" s="4">
        <f>S24+T24+IF(OR(I24="Junior",I24="Senior"),0.0002,IF(OR(I24="L7",I24="L6"),0.0001,0))+MAX(AB24,AD24,AG24)*0.0000001</f>
        <v>79.150104143000007</v>
      </c>
      <c r="L24" s="3" t="str">
        <f>IF(H24="Not Age Eligible","",IF(MAX(U24,W24,Z24,AB24,AD24,AG24)&gt;=LOOKUP(H24,'Qualifying Scores'!$A$4:$A$7,'Qualifying Scores'!$D$4:$D$7),"P",""))</f>
        <v/>
      </c>
      <c r="M24" s="3" t="str">
        <f>IF(H24="Not Age Eligible","",IF(MAX(V24,X24,AA24,AC24,AE24,AH24)&gt;=LOOKUP(H24,'Qualifying Scores'!$A$10:$A$13,'Qualifying Scores'!$D$10:$D$13),"P",""))</f>
        <v>P</v>
      </c>
      <c r="N24" s="3" t="str">
        <f>IF(H24="Not Age Eligible","",IF(OR(AND(U24&gt;=LOOKUP(H24,'Qualifying Scores'!$A$4:$A$7,'Qualifying Scores'!$D$4:$D$7),V24&gt;=LOOKUP(H24,'Qualifying Scores'!$A$10:$A$13,'Qualifying Scores'!$D$10:$D$13)),AND(W24&gt;=LOOKUP(H24,'Qualifying Scores'!$A$4:$A$7,'Qualifying Scores'!$D$4:$D$7),X24&gt;=LOOKUP(H24,'Qualifying Scores'!$A$10:$A$13,'Qualifying Scores'!$D$10:$D$13)),AND(Z24&gt;=LOOKUP(H24,'Qualifying Scores'!$A$4:$A$7,'Qualifying Scores'!$D$4:$D$7),AA24&gt;=LOOKUP(H24,'Qualifying Scores'!$A$10:$A$13,'Qualifying Scores'!$D$10:$D$13)),AND(AB24&gt;=LOOKUP(H24,'Qualifying Scores'!$A$4:$A$7,'Qualifying Scores'!$D$4:$D$7),AC24&gt;=LOOKUP(H24,'Qualifying Scores'!$A$10:$A$13,'Qualifying Scores'!$D$10:$D$13)),AND(AD24&gt;=LOOKUP(H24,'Qualifying Scores'!$A$4:$A$7,'Qualifying Scores'!$D$4:$D$7),AE24&gt;=LOOKUP(H24,'Qualifying Scores'!$A$10:$A$13,'Qualifying Scores'!$D$10:$D$13)),AND(AG24&gt;=LOOKUP(H24,'Qualifying Scores'!$A$4:$A$7,'Qualifying Scores'!$D$4:$D$7),AH24&gt;=LOOKUP(H24,'Qualifying Scores'!$A$10:$A$13,'Qualifying Scores'!$D$10:$D$13))),"P",""))</f>
        <v/>
      </c>
      <c r="R24" s="1" t="str">
        <f>IF(A24&lt;5,IF(_xlfn.MAXIFS(A:A,H:H,H24)&gt;3,5-A24,_xlfn.MAXIFS(A:A,H:H,H24)+1-A24),"")</f>
        <v/>
      </c>
      <c r="S24" s="4">
        <f>MAX(U24,W24,Z24,AB24,AD24,AG24)</f>
        <v>41.43</v>
      </c>
      <c r="T24" s="4">
        <f>LARGE(CHOOSE({1,2,3,4,5,6},U24,W24,Z24,AB24,AD24,AG24),2)</f>
        <v>37.72</v>
      </c>
      <c r="U24" s="33"/>
      <c r="V24" s="40"/>
      <c r="W24" s="34"/>
      <c r="X24" s="40"/>
      <c r="Y24" s="4">
        <f>IF(I24="Senior",MAX(U24,W24),U24+W24)</f>
        <v>0</v>
      </c>
      <c r="Z24" s="34"/>
      <c r="AA24" s="40"/>
      <c r="AB24" s="33">
        <v>41.43</v>
      </c>
      <c r="AC24" s="40">
        <v>9.8000000000000007</v>
      </c>
      <c r="AD24" s="34"/>
      <c r="AE24" s="40"/>
      <c r="AF24" s="4">
        <f>IF(I24="Senior",MAX(AB24,AD24),AB24+AD24)</f>
        <v>41.43</v>
      </c>
      <c r="AG24" s="34">
        <v>37.72</v>
      </c>
      <c r="AH24" s="37">
        <v>8.8000000000000007</v>
      </c>
    </row>
    <row r="25" spans="1:34" x14ac:dyDescent="0.2">
      <c r="A25" s="1" t="str" cm="1">
        <f t="array" ref="A25">IF(J25="","",IF(Q25&lt;&gt;"",SUMPRODUCT((Q$3:Q$31&lt;&gt;"")*(H$3:H$31=H25)*(K$3:K$31&gt;K25)*(J$3:J$31="P"))+1,IF(P25&lt;&gt;"",SUMPRODUCT((P$3:P$31&lt;&gt;"")*(Q$3:Q$31="")*(H$3:H$31=H25)*(K$3:K$31&gt;K25)*(J$3:J$31="P"))+SUMPRODUCT((Q$3:Q$31&lt;&gt;"")*(H$3:H$31=H25)*(J$3:J$31="P"))+1,IF(O25&lt;&gt;"",SUMPRODUCT((O$3:O$31&lt;&gt;"")*(H$3:H$31=H25)*(K$3:K$31&gt;K25)*(J$3:J$31="P"))+1,IF(N25="P",SUMPRODUCT((P$3:P$31&lt;&gt;"")*(Q$3:Q$31="")*(H$3:H$31=H25)*(J$3:J$31="P"))+SUMPRODUCT((Q$3:Q$31&lt;&gt;"")*(H$3:H$31=H25)*(J$3:J$31="P"))+SUMPRODUCT((O$3:O$31&lt;&gt;"")*(H$3:H$31=H25)*(J$3:J$31="P"))+SUMPRODUCT((Q$3:Q$31="")*(P$3:P$31="")*(O$3:O$31="")*(N$3:N$31="P")*(H$3:H$31=H25)*(K$3:K$31&gt;K25)*(J$3:J$31="P"))+IF(I25="L5",SUMPRODUCT((Q$3:Q$31="")*(P$3:P$31="")*(O$3:O$31="")*(N$3:N$31="P")*(H$3:H$31=H25)*(K$3:K$31&lt;K25)*(I$3:I$31&lt;&gt;I25)*(J$3:J$31="P")),-1*SUMPRODUCT((Q$3:Q$31="")*(P$3:P$31="")*(O$3:O$31="")*(N$3:N$31="P")*(H$3:H$31=H25)*(K$3:K$31&gt;K25)*(I$3:I$31="L5")*(J$3:J$31="P")))+1,"")))))</f>
        <v/>
      </c>
      <c r="B25" s="1" t="str" cm="1">
        <f t="array" ref="B25">IF(Q25&lt;&gt;"",SUMPRODUCT((Q$3:Q$31&lt;&gt;"")*(H$3:H$31=H25)*(K$3:K$31&gt;K25))+1,IF(P25&lt;&gt;"",SUMPRODUCT((P$3:P$31&lt;&gt;"")*(Q$3:Q$31="")*(H$3:H$31=H25)*(K$3:K$31&gt;K25))+SUMPRODUCT((Q$3:Q$31&lt;&gt;"")*(H$3:H$31=H25))+1,IF(O25&lt;&gt;"",SUMPRODUCT((O$3:O$31&lt;&gt;"")*(H$3:H$31=H25)*(K$3:K$31&gt;K25))+1,IF(N25="P",SUMPRODUCT((P$3:P$31&lt;&gt;"")*(Q$3:Q$31="")*(H$3:H$31=H25))+SUMPRODUCT((Q$3:Q$31&lt;&gt;"")*(H$3:H$31=H25))+SUMPRODUCT((O$3:O$31&lt;&gt;"")*(H$3:H$31=H25))+SUMPRODUCT((Q$3:Q$31="")*(P$3:P$31="")*(O$3:O$31="")*(N$3:N$31="P")*(H$3:H$31=H25)*(K$3:K$31&gt;K25))+IF(I25="L5",SUMPRODUCT((Q$3:Q$31="")*(P$3:P$31="")*(O$3:O$31="")*(N$3:N$31="P")*(H$3:H$31=H25)*(K$3:K$31&lt;K25)*(I$3:I$31&lt;&gt;I25)),-1*SUMPRODUCT((Q$3:Q$31="")*(P$3:P$31="")*(O$3:O$31="")*(N$3:N$31="P")*(H$3:H$31=H25)*(K$3:K$31&gt;K25)*(I$3:I$31="L5")))+1,""))))</f>
        <v/>
      </c>
      <c r="C25" s="36" t="s">
        <v>374</v>
      </c>
      <c r="D25" s="36" t="str">
        <f>IF(E25="","",VLOOKUP(E25,'Coaching Points'!A:B,2,0)&amp;"/"&amp;VLOOKUP(F25,'Coaching Points'!A:B,2,0))</f>
        <v>BC/BC</v>
      </c>
      <c r="E25" s="36" t="s">
        <v>41</v>
      </c>
      <c r="F25" s="36" t="s">
        <v>41</v>
      </c>
      <c r="G25" s="35">
        <v>2008</v>
      </c>
      <c r="H25" s="1" t="str">
        <f>IF(OR('Qualifying Scores'!$B$1-G25&gt;21,'Qualifying Scores'!$B$1-G25&lt;11),"Not Age Eligible",IF('Qualifying Scores'!$B$1-G25&gt;16,"17-21",IF('Qualifying Scores'!$B$1-G25&gt;14,"15-16",IF('Qualifying Scores'!$B$1-G25&gt;12,"13-14",IF('Qualifying Scores'!$B$1-G25&gt;10,"11-12","Not Age Eligible")))))</f>
        <v>15-16</v>
      </c>
      <c r="I25" s="39" t="s">
        <v>66</v>
      </c>
      <c r="J25" s="43"/>
      <c r="K25" s="4">
        <f>S25+T25+IF(OR(I25="Junior",I25="Senior"),0.0002,IF(OR(I25="L7",I25="L6"),0.0001,0))+MAX(AB25,AD25,AG25)*0.0000001</f>
        <v>78.93000403100001</v>
      </c>
      <c r="L25" s="3" t="str">
        <f>IF(H25="Not Age Eligible","",IF(MAX(U25,W25,Z25,AB25,AD25,AG25)&gt;=LOOKUP(H25,'Qualifying Scores'!$A$4:$A$7,'Qualifying Scores'!$D$4:$D$7),"P",""))</f>
        <v/>
      </c>
      <c r="M25" s="3" t="str">
        <f>IF(H25="Not Age Eligible","",IF(MAX(V25,X25,AA25,AC25,AE25,AH25)&gt;=LOOKUP(H25,'Qualifying Scores'!$A$10:$A$13,'Qualifying Scores'!$D$10:$D$13),"P",""))</f>
        <v/>
      </c>
      <c r="N25" s="3" t="str">
        <f>IF(H25="Not Age Eligible","",IF(OR(AND(U25&gt;=LOOKUP(H25,'Qualifying Scores'!$A$4:$A$7,'Qualifying Scores'!$D$4:$D$7),V25&gt;=LOOKUP(H25,'Qualifying Scores'!$A$10:$A$13,'Qualifying Scores'!$D$10:$D$13)),AND(W25&gt;=LOOKUP(H25,'Qualifying Scores'!$A$4:$A$7,'Qualifying Scores'!$D$4:$D$7),X25&gt;=LOOKUP(H25,'Qualifying Scores'!$A$10:$A$13,'Qualifying Scores'!$D$10:$D$13)),AND(Z25&gt;=LOOKUP(H25,'Qualifying Scores'!$A$4:$A$7,'Qualifying Scores'!$D$4:$D$7),AA25&gt;=LOOKUP(H25,'Qualifying Scores'!$A$10:$A$13,'Qualifying Scores'!$D$10:$D$13)),AND(AB25&gt;=LOOKUP(H25,'Qualifying Scores'!$A$4:$A$7,'Qualifying Scores'!$D$4:$D$7),AC25&gt;=LOOKUP(H25,'Qualifying Scores'!$A$10:$A$13,'Qualifying Scores'!$D$10:$D$13)),AND(AD25&gt;=LOOKUP(H25,'Qualifying Scores'!$A$4:$A$7,'Qualifying Scores'!$D$4:$D$7),AE25&gt;=LOOKUP(H25,'Qualifying Scores'!$A$10:$A$13,'Qualifying Scores'!$D$10:$D$13)),AND(AG25&gt;=LOOKUP(H25,'Qualifying Scores'!$A$4:$A$7,'Qualifying Scores'!$D$4:$D$7),AH25&gt;=LOOKUP(H25,'Qualifying Scores'!$A$10:$A$13,'Qualifying Scores'!$D$10:$D$13))),"P",""))</f>
        <v/>
      </c>
      <c r="R25" s="1" t="str">
        <f>IF(A25&lt;5,IF(_xlfn.MAXIFS(A:A,H:H,H25)&gt;3,5-A25,_xlfn.MAXIFS(A:A,H:H,H25)+1-A25),"")</f>
        <v/>
      </c>
      <c r="S25" s="4">
        <f>MAX(U25,W25,Z25,AB25,AD25,AG25)</f>
        <v>40.31</v>
      </c>
      <c r="T25" s="4">
        <f>LARGE(CHOOSE({1,2,3,4,5,6},U25,W25,Z25,AB25,AD25,AG25),2)</f>
        <v>38.619999999999997</v>
      </c>
      <c r="U25" s="33"/>
      <c r="V25" s="40"/>
      <c r="W25" s="34"/>
      <c r="X25" s="40"/>
      <c r="Y25" s="4">
        <f>IF(I25="Senior",MAX(U25,W25),U25+W25)</f>
        <v>0</v>
      </c>
      <c r="Z25" s="34"/>
      <c r="AA25" s="40"/>
      <c r="AB25" s="33">
        <v>40.31</v>
      </c>
      <c r="AC25" s="40">
        <v>8.4</v>
      </c>
      <c r="AD25" s="34"/>
      <c r="AE25" s="40"/>
      <c r="AF25" s="4">
        <f>IF(I25="Senior",MAX(AB25,AD25),AB25+AD25)</f>
        <v>40.31</v>
      </c>
      <c r="AG25" s="34">
        <v>38.619999999999997</v>
      </c>
      <c r="AH25" s="37">
        <v>8.4</v>
      </c>
    </row>
    <row r="26" spans="1:34" x14ac:dyDescent="0.2">
      <c r="A26" s="1" t="str" cm="1">
        <f t="array" ref="A26">IF(J26="","",IF(Q26&lt;&gt;"",SUMPRODUCT((Q$3:Q$31&lt;&gt;"")*(H$3:H$31=H26)*(K$3:K$31&gt;K26)*(J$3:J$31="P"))+1,IF(P26&lt;&gt;"",SUMPRODUCT((P$3:P$31&lt;&gt;"")*(Q$3:Q$31="")*(H$3:H$31=H26)*(K$3:K$31&gt;K26)*(J$3:J$31="P"))+SUMPRODUCT((Q$3:Q$31&lt;&gt;"")*(H$3:H$31=H26)*(J$3:J$31="P"))+1,IF(O26&lt;&gt;"",SUMPRODUCT((O$3:O$31&lt;&gt;"")*(H$3:H$31=H26)*(K$3:K$31&gt;K26)*(J$3:J$31="P"))+1,IF(N26="P",SUMPRODUCT((P$3:P$31&lt;&gt;"")*(Q$3:Q$31="")*(H$3:H$31=H26)*(J$3:J$31="P"))+SUMPRODUCT((Q$3:Q$31&lt;&gt;"")*(H$3:H$31=H26)*(J$3:J$31="P"))+SUMPRODUCT((O$3:O$31&lt;&gt;"")*(H$3:H$31=H26)*(J$3:J$31="P"))+SUMPRODUCT((Q$3:Q$31="")*(P$3:P$31="")*(O$3:O$31="")*(N$3:N$31="P")*(H$3:H$31=H26)*(K$3:K$31&gt;K26)*(J$3:J$31="P"))+IF(I26="L5",SUMPRODUCT((Q$3:Q$31="")*(P$3:P$31="")*(O$3:O$31="")*(N$3:N$31="P")*(H$3:H$31=H26)*(K$3:K$31&lt;K26)*(I$3:I$31&lt;&gt;I26)*(J$3:J$31="P")),-1*SUMPRODUCT((Q$3:Q$31="")*(P$3:P$31="")*(O$3:O$31="")*(N$3:N$31="P")*(H$3:H$31=H26)*(K$3:K$31&gt;K26)*(I$3:I$31="L5")*(J$3:J$31="P")))+1,"")))))</f>
        <v/>
      </c>
      <c r="B26" s="1" t="str" cm="1">
        <f t="array" ref="B26">IF(Q26&lt;&gt;"",SUMPRODUCT((Q$3:Q$31&lt;&gt;"")*(H$3:H$31=H26)*(K$3:K$31&gt;K26))+1,IF(P26&lt;&gt;"",SUMPRODUCT((P$3:P$31&lt;&gt;"")*(Q$3:Q$31="")*(H$3:H$31=H26)*(K$3:K$31&gt;K26))+SUMPRODUCT((Q$3:Q$31&lt;&gt;"")*(H$3:H$31=H26))+1,IF(O26&lt;&gt;"",SUMPRODUCT((O$3:O$31&lt;&gt;"")*(H$3:H$31=H26)*(K$3:K$31&gt;K26))+1,IF(N26="P",SUMPRODUCT((P$3:P$31&lt;&gt;"")*(Q$3:Q$31="")*(H$3:H$31=H26))+SUMPRODUCT((Q$3:Q$31&lt;&gt;"")*(H$3:H$31=H26))+SUMPRODUCT((O$3:O$31&lt;&gt;"")*(H$3:H$31=H26))+SUMPRODUCT((Q$3:Q$31="")*(P$3:P$31="")*(O$3:O$31="")*(N$3:N$31="P")*(H$3:H$31=H26)*(K$3:K$31&gt;K26))+IF(I26="L5",SUMPRODUCT((Q$3:Q$31="")*(P$3:P$31="")*(O$3:O$31="")*(N$3:N$31="P")*(H$3:H$31=H26)*(K$3:K$31&lt;K26)*(I$3:I$31&lt;&gt;I26)),-1*SUMPRODUCT((Q$3:Q$31="")*(P$3:P$31="")*(O$3:O$31="")*(N$3:N$31="P")*(H$3:H$31=H26)*(K$3:K$31&gt;K26)*(I$3:I$31="L5")))+1,""))))</f>
        <v/>
      </c>
      <c r="C26" s="36" t="s">
        <v>377</v>
      </c>
      <c r="D26" s="36" t="str">
        <f>IF(E26="","",VLOOKUP(E26,'Coaching Points'!A:B,2,0)&amp;"/"&amp;VLOOKUP(F26,'Coaching Points'!A:B,2,0))</f>
        <v>BC/BC</v>
      </c>
      <c r="E26" s="36" t="s">
        <v>41</v>
      </c>
      <c r="F26" s="36" t="s">
        <v>41</v>
      </c>
      <c r="G26" s="35">
        <v>2008</v>
      </c>
      <c r="H26" s="1" t="str">
        <f>IF(OR('Qualifying Scores'!$B$1-G26&gt;21,'Qualifying Scores'!$B$1-G26&lt;11),"Not Age Eligible",IF('Qualifying Scores'!$B$1-G26&gt;16,"17-21",IF('Qualifying Scores'!$B$1-G26&gt;14,"15-16",IF('Qualifying Scores'!$B$1-G26&gt;12,"13-14",IF('Qualifying Scores'!$B$1-G26&gt;10,"11-12","Not Age Eligible")))))</f>
        <v>15-16</v>
      </c>
      <c r="I26" s="39" t="s">
        <v>66</v>
      </c>
      <c r="J26" s="43"/>
      <c r="K26" s="4">
        <f>S26+T26+IF(OR(I26="Junior",I26="Senior"),0.0002,IF(OR(I26="L7",I26="L6"),0.0001,0))+MAX(AB26,AD26,AG26)*0.0000001</f>
        <v>66.140004007000002</v>
      </c>
      <c r="L26" s="3" t="str">
        <f>IF(H26="Not Age Eligible","",IF(MAX(U26,W26,Z26,AB26,AD26,AG26)&gt;=LOOKUP(H26,'Qualifying Scores'!$A$4:$A$7,'Qualifying Scores'!$D$4:$D$7),"P",""))</f>
        <v/>
      </c>
      <c r="M26" s="3" t="str">
        <f>IF(H26="Not Age Eligible","",IF(MAX(V26,X26,AA26,AC26,AE26,AH26)&gt;=LOOKUP(H26,'Qualifying Scores'!$A$10:$A$13,'Qualifying Scores'!$D$10:$D$13),"P",""))</f>
        <v/>
      </c>
      <c r="N26" s="3" t="str">
        <f>IF(H26="Not Age Eligible","",IF(OR(AND(U26&gt;=LOOKUP(H26,'Qualifying Scores'!$A$4:$A$7,'Qualifying Scores'!$D$4:$D$7),V26&gt;=LOOKUP(H26,'Qualifying Scores'!$A$10:$A$13,'Qualifying Scores'!$D$10:$D$13)),AND(W26&gt;=LOOKUP(H26,'Qualifying Scores'!$A$4:$A$7,'Qualifying Scores'!$D$4:$D$7),X26&gt;=LOOKUP(H26,'Qualifying Scores'!$A$10:$A$13,'Qualifying Scores'!$D$10:$D$13)),AND(Z26&gt;=LOOKUP(H26,'Qualifying Scores'!$A$4:$A$7,'Qualifying Scores'!$D$4:$D$7),AA26&gt;=LOOKUP(H26,'Qualifying Scores'!$A$10:$A$13,'Qualifying Scores'!$D$10:$D$13)),AND(AB26&gt;=LOOKUP(H26,'Qualifying Scores'!$A$4:$A$7,'Qualifying Scores'!$D$4:$D$7),AC26&gt;=LOOKUP(H26,'Qualifying Scores'!$A$10:$A$13,'Qualifying Scores'!$D$10:$D$13)),AND(AD26&gt;=LOOKUP(H26,'Qualifying Scores'!$A$4:$A$7,'Qualifying Scores'!$D$4:$D$7),AE26&gt;=LOOKUP(H26,'Qualifying Scores'!$A$10:$A$13,'Qualifying Scores'!$D$10:$D$13)),AND(AG26&gt;=LOOKUP(H26,'Qualifying Scores'!$A$4:$A$7,'Qualifying Scores'!$D$4:$D$7),AH26&gt;=LOOKUP(H26,'Qualifying Scores'!$A$10:$A$13,'Qualifying Scores'!$D$10:$D$13))),"P",""))</f>
        <v/>
      </c>
      <c r="R26" s="1" t="str">
        <f>IF(A26&lt;5,IF(_xlfn.MAXIFS(A:A,H:H,H26)&gt;3,5-A26,_xlfn.MAXIFS(A:A,H:H,H26)+1-A26),"")</f>
        <v/>
      </c>
      <c r="S26" s="4">
        <f>MAX(U26,W26,Z26,AB26,AD26,AG26)</f>
        <v>40.07</v>
      </c>
      <c r="T26" s="4">
        <f>LARGE(CHOOSE({1,2,3,4,5,6},U26,W26,Z26,AB26,AD26,AG26),2)</f>
        <v>26.07</v>
      </c>
      <c r="U26" s="33"/>
      <c r="V26" s="40"/>
      <c r="W26" s="34"/>
      <c r="X26" s="40"/>
      <c r="Y26" s="4">
        <f>IF(I26="Senior",MAX(U26,W26),U26+W26)</f>
        <v>0</v>
      </c>
      <c r="Z26" s="34"/>
      <c r="AA26" s="40"/>
      <c r="AB26" s="33">
        <v>26.07</v>
      </c>
      <c r="AC26" s="40">
        <v>8.1</v>
      </c>
      <c r="AD26" s="34"/>
      <c r="AE26" s="40"/>
      <c r="AF26" s="4">
        <f>IF(I26="Senior",MAX(AB26,AD26),AB26+AD26)</f>
        <v>26.07</v>
      </c>
      <c r="AG26" s="34">
        <v>40.07</v>
      </c>
      <c r="AH26" s="37">
        <v>8.1</v>
      </c>
    </row>
    <row r="27" spans="1:34" x14ac:dyDescent="0.2">
      <c r="A27" s="1" t="str" cm="1">
        <f t="array" ref="A27">IF(J27="","",IF(Q27&lt;&gt;"",SUMPRODUCT((Q$3:Q$31&lt;&gt;"")*(H$3:H$31=H27)*(K$3:K$31&gt;K27)*(J$3:J$31="P"))+1,IF(P27&lt;&gt;"",SUMPRODUCT((P$3:P$31&lt;&gt;"")*(Q$3:Q$31="")*(H$3:H$31=H27)*(K$3:K$31&gt;K27)*(J$3:J$31="P"))+SUMPRODUCT((Q$3:Q$31&lt;&gt;"")*(H$3:H$31=H27)*(J$3:J$31="P"))+1,IF(O27&lt;&gt;"",SUMPRODUCT((O$3:O$31&lt;&gt;"")*(H$3:H$31=H27)*(K$3:K$31&gt;K27)*(J$3:J$31="P"))+1,IF(N27="P",SUMPRODUCT((P$3:P$31&lt;&gt;"")*(Q$3:Q$31="")*(H$3:H$31=H27)*(J$3:J$31="P"))+SUMPRODUCT((Q$3:Q$31&lt;&gt;"")*(H$3:H$31=H27)*(J$3:J$31="P"))+SUMPRODUCT((O$3:O$31&lt;&gt;"")*(H$3:H$31=H27)*(J$3:J$31="P"))+SUMPRODUCT((Q$3:Q$31="")*(P$3:P$31="")*(O$3:O$31="")*(N$3:N$31="P")*(H$3:H$31=H27)*(K$3:K$31&gt;K27)*(J$3:J$31="P"))+IF(I27="L5",SUMPRODUCT((Q$3:Q$31="")*(P$3:P$31="")*(O$3:O$31="")*(N$3:N$31="P")*(H$3:H$31=H27)*(K$3:K$31&lt;K27)*(I$3:I$31&lt;&gt;I27)*(J$3:J$31="P")),-1*SUMPRODUCT((Q$3:Q$31="")*(P$3:P$31="")*(O$3:O$31="")*(N$3:N$31="P")*(H$3:H$31=H27)*(K$3:K$31&gt;K27)*(I$3:I$31="L5")*(J$3:J$31="P")))+1,"")))))</f>
        <v/>
      </c>
      <c r="B27" s="1" t="str" cm="1">
        <f t="array" ref="B27">IF(Q27&lt;&gt;"",SUMPRODUCT((Q$3:Q$31&lt;&gt;"")*(H$3:H$31=H27)*(K$3:K$31&gt;K27))+1,IF(P27&lt;&gt;"",SUMPRODUCT((P$3:P$31&lt;&gt;"")*(Q$3:Q$31="")*(H$3:H$31=H27)*(K$3:K$31&gt;K27))+SUMPRODUCT((Q$3:Q$31&lt;&gt;"")*(H$3:H$31=H27))+1,IF(O27&lt;&gt;"",SUMPRODUCT((O$3:O$31&lt;&gt;"")*(H$3:H$31=H27)*(K$3:K$31&gt;K27))+1,IF(N27="P",SUMPRODUCT((P$3:P$31&lt;&gt;"")*(Q$3:Q$31="")*(H$3:H$31=H27))+SUMPRODUCT((Q$3:Q$31&lt;&gt;"")*(H$3:H$31=H27))+SUMPRODUCT((O$3:O$31&lt;&gt;"")*(H$3:H$31=H27))+SUMPRODUCT((Q$3:Q$31="")*(P$3:P$31="")*(O$3:O$31="")*(N$3:N$31="P")*(H$3:H$31=H27)*(K$3:K$31&gt;K27))+IF(I27="L5",SUMPRODUCT((Q$3:Q$31="")*(P$3:P$31="")*(O$3:O$31="")*(N$3:N$31="P")*(H$3:H$31=H27)*(K$3:K$31&lt;K27)*(I$3:I$31&lt;&gt;I27)),-1*SUMPRODUCT((Q$3:Q$31="")*(P$3:P$31="")*(O$3:O$31="")*(N$3:N$31="P")*(H$3:H$31=H27)*(K$3:K$31&gt;K27)*(I$3:I$31="L5")))+1,""))))</f>
        <v/>
      </c>
      <c r="C27" s="36" t="s">
        <v>251</v>
      </c>
      <c r="D27" s="36" t="str">
        <f>IF(E27="","",VLOOKUP(E27,'Coaching Points'!A:B,2,0)&amp;"/"&amp;VLOOKUP(F27,'Coaching Points'!A:B,2,0))</f>
        <v>QC/QC</v>
      </c>
      <c r="E27" s="36" t="s">
        <v>77</v>
      </c>
      <c r="F27" s="36" t="s">
        <v>285</v>
      </c>
      <c r="G27" s="35">
        <v>2007</v>
      </c>
      <c r="H27" s="1" t="str">
        <f>IF(OR('Qualifying Scores'!$B$1-G27&gt;21,'Qualifying Scores'!$B$1-G27&lt;11),"Not Age Eligible",IF('Qualifying Scores'!$B$1-G27&gt;16,"17-21",IF('Qualifying Scores'!$B$1-G27&gt;14,"15-16",IF('Qualifying Scores'!$B$1-G27&gt;12,"13-14",IF('Qualifying Scores'!$B$1-G27&gt;10,"11-12","Not Age Eligible")))))</f>
        <v>15-16</v>
      </c>
      <c r="I27" s="39" t="s">
        <v>67</v>
      </c>
      <c r="J27" s="43" t="s">
        <v>567</v>
      </c>
      <c r="K27" s="4">
        <f>S27+T27+IF(OR(I27="Junior",I27="Senior"),0.0002,IF(OR(I27="L7",I27="L6"),0.0001,0))+MAX(AB27,AD27,AG27)*0.0000001</f>
        <v>16.260100000000001</v>
      </c>
      <c r="L27" s="3" t="str">
        <f>IF(H27="Not Age Eligible","",IF(MAX(U27,W27,Z27,AB27,AD27,AG27)&gt;=LOOKUP(H27,'Qualifying Scores'!$A$4:$A$7,'Qualifying Scores'!$D$4:$D$7),"P",""))</f>
        <v/>
      </c>
      <c r="M27" s="3" t="str">
        <f>IF(H27="Not Age Eligible","",IF(MAX(V27,X27,AA27,AC27,AE27,AH27)&gt;=LOOKUP(H27,'Qualifying Scores'!$A$10:$A$13,'Qualifying Scores'!$D$10:$D$13),"P",""))</f>
        <v/>
      </c>
      <c r="N27" s="3" t="str">
        <f>IF(H27="Not Age Eligible","",IF(OR(AND(U27&gt;=LOOKUP(H27,'Qualifying Scores'!$A$4:$A$7,'Qualifying Scores'!$D$4:$D$7),V27&gt;=LOOKUP(H27,'Qualifying Scores'!$A$10:$A$13,'Qualifying Scores'!$D$10:$D$13)),AND(W27&gt;=LOOKUP(H27,'Qualifying Scores'!$A$4:$A$7,'Qualifying Scores'!$D$4:$D$7),X27&gt;=LOOKUP(H27,'Qualifying Scores'!$A$10:$A$13,'Qualifying Scores'!$D$10:$D$13)),AND(Z27&gt;=LOOKUP(H27,'Qualifying Scores'!$A$4:$A$7,'Qualifying Scores'!$D$4:$D$7),AA27&gt;=LOOKUP(H27,'Qualifying Scores'!$A$10:$A$13,'Qualifying Scores'!$D$10:$D$13)),AND(AB27&gt;=LOOKUP(H27,'Qualifying Scores'!$A$4:$A$7,'Qualifying Scores'!$D$4:$D$7),AC27&gt;=LOOKUP(H27,'Qualifying Scores'!$A$10:$A$13,'Qualifying Scores'!$D$10:$D$13)),AND(AD27&gt;=LOOKUP(H27,'Qualifying Scores'!$A$4:$A$7,'Qualifying Scores'!$D$4:$D$7),AE27&gt;=LOOKUP(H27,'Qualifying Scores'!$A$10:$A$13,'Qualifying Scores'!$D$10:$D$13)),AND(AG27&gt;=LOOKUP(H27,'Qualifying Scores'!$A$4:$A$7,'Qualifying Scores'!$D$4:$D$7),AH27&gt;=LOOKUP(H27,'Qualifying Scores'!$A$10:$A$13,'Qualifying Scores'!$D$10:$D$13))),"P",""))</f>
        <v/>
      </c>
      <c r="R27" s="1" t="str">
        <f>IF(A27&lt;5,IF(_xlfn.MAXIFS(A:A,H:H,H27)&gt;3,5-A27,_xlfn.MAXIFS(A:A,H:H,H27)+1-A27),"")</f>
        <v/>
      </c>
      <c r="S27" s="4">
        <f>MAX(U27,W27,Z27,AB27,AD27,AG27)</f>
        <v>16.260000000000002</v>
      </c>
      <c r="T27" s="4">
        <f>LARGE(CHOOSE({1,2,3,4,5,6},U27,W27,Z27,AB27,AD27,AG27),2)</f>
        <v>0</v>
      </c>
      <c r="U27" s="33">
        <v>16.260000000000002</v>
      </c>
      <c r="V27" s="40">
        <v>4</v>
      </c>
      <c r="W27" s="34"/>
      <c r="X27" s="40"/>
      <c r="Y27" s="4">
        <f>IF(I27="Senior",MAX(U27,W27),U27+W27)</f>
        <v>16.260000000000002</v>
      </c>
      <c r="Z27" s="34"/>
      <c r="AA27" s="40"/>
      <c r="AB27" s="33"/>
      <c r="AC27" s="40"/>
      <c r="AD27" s="34"/>
      <c r="AE27" s="40"/>
      <c r="AF27" s="4">
        <f>IF(I27="Senior",MAX(AB27,AD27),AB27+AD27)</f>
        <v>0</v>
      </c>
      <c r="AG27" s="34"/>
      <c r="AH27" s="37"/>
    </row>
    <row r="28" spans="1:34" x14ac:dyDescent="0.2">
      <c r="A28" s="1" t="str" cm="1">
        <f t="array" ref="A28">IF(J28="","",IF(Q28&lt;&gt;"",SUMPRODUCT((Q$3:Q$31&lt;&gt;"")*(H$3:H$31=H28)*(K$3:K$31&gt;K28)*(J$3:J$31="P"))+1,IF(P28&lt;&gt;"",SUMPRODUCT((P$3:P$31&lt;&gt;"")*(Q$3:Q$31="")*(H$3:H$31=H28)*(K$3:K$31&gt;K28)*(J$3:J$31="P"))+SUMPRODUCT((Q$3:Q$31&lt;&gt;"")*(H$3:H$31=H28)*(J$3:J$31="P"))+1,IF(O28&lt;&gt;"",SUMPRODUCT((O$3:O$31&lt;&gt;"")*(H$3:H$31=H28)*(K$3:K$31&gt;K28)*(J$3:J$31="P"))+1,IF(N28="P",SUMPRODUCT((P$3:P$31&lt;&gt;"")*(Q$3:Q$31="")*(H$3:H$31=H28)*(J$3:J$31="P"))+SUMPRODUCT((Q$3:Q$31&lt;&gt;"")*(H$3:H$31=H28)*(J$3:J$31="P"))+SUMPRODUCT((O$3:O$31&lt;&gt;"")*(H$3:H$31=H28)*(J$3:J$31="P"))+SUMPRODUCT((Q$3:Q$31="")*(P$3:P$31="")*(O$3:O$31="")*(N$3:N$31="P")*(H$3:H$31=H28)*(K$3:K$31&gt;K28)*(J$3:J$31="P"))+IF(I28="L5",SUMPRODUCT((Q$3:Q$31="")*(P$3:P$31="")*(O$3:O$31="")*(N$3:N$31="P")*(H$3:H$31=H28)*(K$3:K$31&lt;K28)*(I$3:I$31&lt;&gt;I28)*(J$3:J$31="P")),-1*SUMPRODUCT((Q$3:Q$31="")*(P$3:P$31="")*(O$3:O$31="")*(N$3:N$31="P")*(H$3:H$31=H28)*(K$3:K$31&gt;K28)*(I$3:I$31="L5")*(J$3:J$31="P")))+1,"")))))</f>
        <v/>
      </c>
      <c r="B28" s="1" t="str" cm="1">
        <f t="array" ref="B28">IF(Q28&lt;&gt;"",SUMPRODUCT((Q$3:Q$31&lt;&gt;"")*(H$3:H$31=H28)*(K$3:K$31&gt;K28))+1,IF(P28&lt;&gt;"",SUMPRODUCT((P$3:P$31&lt;&gt;"")*(Q$3:Q$31="")*(H$3:H$31=H28)*(K$3:K$31&gt;K28))+SUMPRODUCT((Q$3:Q$31&lt;&gt;"")*(H$3:H$31=H28))+1,IF(O28&lt;&gt;"",SUMPRODUCT((O$3:O$31&lt;&gt;"")*(H$3:H$31=H28)*(K$3:K$31&gt;K28))+1,IF(N28="P",SUMPRODUCT((P$3:P$31&lt;&gt;"")*(Q$3:Q$31="")*(H$3:H$31=H28))+SUMPRODUCT((Q$3:Q$31&lt;&gt;"")*(H$3:H$31=H28))+SUMPRODUCT((O$3:O$31&lt;&gt;"")*(H$3:H$31=H28))+SUMPRODUCT((Q$3:Q$31="")*(P$3:P$31="")*(O$3:O$31="")*(N$3:N$31="P")*(H$3:H$31=H28)*(K$3:K$31&gt;K28))+IF(I28="L5",SUMPRODUCT((Q$3:Q$31="")*(P$3:P$31="")*(O$3:O$31="")*(N$3:N$31="P")*(H$3:H$31=H28)*(K$3:K$31&lt;K28)*(I$3:I$31&lt;&gt;I28)),-1*SUMPRODUCT((Q$3:Q$31="")*(P$3:P$31="")*(O$3:O$31="")*(N$3:N$31="P")*(H$3:H$31=H28)*(K$3:K$31&gt;K28)*(I$3:I$31="L5")))+1,""))))</f>
        <v/>
      </c>
      <c r="C28" s="36" t="s">
        <v>380</v>
      </c>
      <c r="D28" s="36" t="str">
        <f>IF(E28="","",VLOOKUP(E28,'Coaching Points'!A:B,2,0)&amp;"/"&amp;VLOOKUP(F28,'Coaching Points'!A:B,2,0))</f>
        <v>SK/MB</v>
      </c>
      <c r="E28" s="36" t="s">
        <v>566</v>
      </c>
      <c r="F28" s="36" t="s">
        <v>69</v>
      </c>
      <c r="G28" s="35">
        <v>2007</v>
      </c>
      <c r="H28" s="1" t="str">
        <f>IF(OR('Qualifying Scores'!$B$1-G28&gt;21,'Qualifying Scores'!$B$1-G28&lt;11),"Not Age Eligible",IF('Qualifying Scores'!$B$1-G28&gt;16,"17-21",IF('Qualifying Scores'!$B$1-G28&gt;14,"15-16",IF('Qualifying Scores'!$B$1-G28&gt;12,"13-14",IF('Qualifying Scores'!$B$1-G28&gt;10,"11-12","Not Age Eligible")))))</f>
        <v>15-16</v>
      </c>
      <c r="I28" s="39" t="s">
        <v>66</v>
      </c>
      <c r="J28" s="43"/>
      <c r="K28" s="4">
        <f>S28+T28+IF(OR(I28="Junior",I28="Senior"),0.0002,IF(OR(I28="L7",I28="L6"),0.0001,0))+MAX(AB28,AD28,AG28)*0.0000001</f>
        <v>10.780001078</v>
      </c>
      <c r="L28" s="3" t="str">
        <f>IF(H28="Not Age Eligible","",IF(MAX(U28,W28,Z28,AB28,AD28,AG28)&gt;=LOOKUP(H28,'Qualifying Scores'!$A$4:$A$7,'Qualifying Scores'!$D$4:$D$7),"P",""))</f>
        <v/>
      </c>
      <c r="M28" s="3" t="str">
        <f>IF(H28="Not Age Eligible","",IF(MAX(V28,X28,AA28,AC28,AE28,AH28)&gt;=LOOKUP(H28,'Qualifying Scores'!$A$10:$A$13,'Qualifying Scores'!$D$10:$D$13),"P",""))</f>
        <v/>
      </c>
      <c r="N28" s="3" t="str">
        <f>IF(H28="Not Age Eligible","",IF(OR(AND(U28&gt;=LOOKUP(H28,'Qualifying Scores'!$A$4:$A$7,'Qualifying Scores'!$D$4:$D$7),V28&gt;=LOOKUP(H28,'Qualifying Scores'!$A$10:$A$13,'Qualifying Scores'!$D$10:$D$13)),AND(W28&gt;=LOOKUP(H28,'Qualifying Scores'!$A$4:$A$7,'Qualifying Scores'!$D$4:$D$7),X28&gt;=LOOKUP(H28,'Qualifying Scores'!$A$10:$A$13,'Qualifying Scores'!$D$10:$D$13)),AND(Z28&gt;=LOOKUP(H28,'Qualifying Scores'!$A$4:$A$7,'Qualifying Scores'!$D$4:$D$7),AA28&gt;=LOOKUP(H28,'Qualifying Scores'!$A$10:$A$13,'Qualifying Scores'!$D$10:$D$13)),AND(AB28&gt;=LOOKUP(H28,'Qualifying Scores'!$A$4:$A$7,'Qualifying Scores'!$D$4:$D$7),AC28&gt;=LOOKUP(H28,'Qualifying Scores'!$A$10:$A$13,'Qualifying Scores'!$D$10:$D$13)),AND(AD28&gt;=LOOKUP(H28,'Qualifying Scores'!$A$4:$A$7,'Qualifying Scores'!$D$4:$D$7),AE28&gt;=LOOKUP(H28,'Qualifying Scores'!$A$10:$A$13,'Qualifying Scores'!$D$10:$D$13)),AND(AG28&gt;=LOOKUP(H28,'Qualifying Scores'!$A$4:$A$7,'Qualifying Scores'!$D$4:$D$7),AH28&gt;=LOOKUP(H28,'Qualifying Scores'!$A$10:$A$13,'Qualifying Scores'!$D$10:$D$13))),"P",""))</f>
        <v/>
      </c>
      <c r="R28" s="1" t="str">
        <f>IF(A28&lt;5,IF(_xlfn.MAXIFS(A:A,H:H,H28)&gt;3,5-A28,_xlfn.MAXIFS(A:A,H:H,H28)+1-A28),"")</f>
        <v/>
      </c>
      <c r="S28" s="4">
        <f>MAX(U28,W28,Z28,AB28,AD28,AG28)</f>
        <v>10.78</v>
      </c>
      <c r="T28" s="4">
        <f>LARGE(CHOOSE({1,2,3,4,5,6},U28,W28,Z28,AB28,AD28,AG28),2)</f>
        <v>0</v>
      </c>
      <c r="U28" s="33"/>
      <c r="V28" s="40"/>
      <c r="W28" s="34"/>
      <c r="X28" s="40"/>
      <c r="Y28" s="4">
        <f>IF(I28="Senior",MAX(U28,W28),U28+W28)</f>
        <v>0</v>
      </c>
      <c r="Z28" s="34"/>
      <c r="AA28" s="40"/>
      <c r="AB28" s="33">
        <v>10.78</v>
      </c>
      <c r="AC28" s="40">
        <v>3.4</v>
      </c>
      <c r="AD28" s="34"/>
      <c r="AE28" s="40"/>
      <c r="AF28" s="4">
        <f>IF(I28="Senior",MAX(AB28,AD28),AB28+AD28)</f>
        <v>10.78</v>
      </c>
      <c r="AG28" s="34"/>
      <c r="AH28" s="37"/>
    </row>
    <row r="29" spans="1:34" x14ac:dyDescent="0.2">
      <c r="A29" s="1" t="str" cm="1">
        <f t="array" ref="A29">IF(J29="","",IF(Q29&lt;&gt;"",SUMPRODUCT((Q$3:Q$31&lt;&gt;"")*(H$3:H$31=H29)*(K$3:K$31&gt;K29)*(J$3:J$31="P"))+1,IF(P29&lt;&gt;"",SUMPRODUCT((P$3:P$31&lt;&gt;"")*(Q$3:Q$31="")*(H$3:H$31=H29)*(K$3:K$31&gt;K29)*(J$3:J$31="P"))+SUMPRODUCT((Q$3:Q$31&lt;&gt;"")*(H$3:H$31=H29)*(J$3:J$31="P"))+1,IF(O29&lt;&gt;"",SUMPRODUCT((O$3:O$31&lt;&gt;"")*(H$3:H$31=H29)*(K$3:K$31&gt;K29)*(J$3:J$31="P"))+1,IF(N29="P",SUMPRODUCT((P$3:P$31&lt;&gt;"")*(Q$3:Q$31="")*(H$3:H$31=H29)*(J$3:J$31="P"))+SUMPRODUCT((Q$3:Q$31&lt;&gt;"")*(H$3:H$31=H29)*(J$3:J$31="P"))+SUMPRODUCT((O$3:O$31&lt;&gt;"")*(H$3:H$31=H29)*(J$3:J$31="P"))+SUMPRODUCT((Q$3:Q$31="")*(P$3:P$31="")*(O$3:O$31="")*(N$3:N$31="P")*(H$3:H$31=H29)*(K$3:K$31&gt;K29)*(J$3:J$31="P"))+IF(I29="L5",SUMPRODUCT((Q$3:Q$31="")*(P$3:P$31="")*(O$3:O$31="")*(N$3:N$31="P")*(H$3:H$31=H29)*(K$3:K$31&lt;K29)*(I$3:I$31&lt;&gt;I29)*(J$3:J$31="P")),-1*SUMPRODUCT((Q$3:Q$31="")*(P$3:P$31="")*(O$3:O$31="")*(N$3:N$31="P")*(H$3:H$31=H29)*(K$3:K$31&gt;K29)*(I$3:I$31="L5")*(J$3:J$31="P")))+1,"")))))</f>
        <v/>
      </c>
      <c r="B29" s="1" t="str" cm="1">
        <f t="array" ref="B29">IF(Q29&lt;&gt;"",SUMPRODUCT((Q$3:Q$31&lt;&gt;"")*(H$3:H$31=H29)*(K$3:K$31&gt;K29))+1,IF(P29&lt;&gt;"",SUMPRODUCT((P$3:P$31&lt;&gt;"")*(Q$3:Q$31="")*(H$3:H$31=H29)*(K$3:K$31&gt;K29))+SUMPRODUCT((Q$3:Q$31&lt;&gt;"")*(H$3:H$31=H29))+1,IF(O29&lt;&gt;"",SUMPRODUCT((O$3:O$31&lt;&gt;"")*(H$3:H$31=H29)*(K$3:K$31&gt;K29))+1,IF(N29="P",SUMPRODUCT((P$3:P$31&lt;&gt;"")*(Q$3:Q$31="")*(H$3:H$31=H29))+SUMPRODUCT((Q$3:Q$31&lt;&gt;"")*(H$3:H$31=H29))+SUMPRODUCT((O$3:O$31&lt;&gt;"")*(H$3:H$31=H29))+SUMPRODUCT((Q$3:Q$31="")*(P$3:P$31="")*(O$3:O$31="")*(N$3:N$31="P")*(H$3:H$31=H29)*(K$3:K$31&gt;K29))+IF(I29="L5",SUMPRODUCT((Q$3:Q$31="")*(P$3:P$31="")*(O$3:O$31="")*(N$3:N$31="P")*(H$3:H$31=H29)*(K$3:K$31&lt;K29)*(I$3:I$31&lt;&gt;I29)),-1*SUMPRODUCT((Q$3:Q$31="")*(P$3:P$31="")*(O$3:O$31="")*(N$3:N$31="P")*(H$3:H$31=H29)*(K$3:K$31&gt;K29)*(I$3:I$31="L5")))+1,""))))</f>
        <v/>
      </c>
      <c r="C29" s="36" t="s">
        <v>388</v>
      </c>
      <c r="D29" s="36" t="str">
        <f>IF(E29="","",VLOOKUP(E29,'Coaching Points'!A:B,2,0)&amp;"/"&amp;VLOOKUP(F29,'Coaching Points'!A:B,2,0))</f>
        <v>AB/AB</v>
      </c>
      <c r="E29" s="36" t="s">
        <v>64</v>
      </c>
      <c r="F29" s="36" t="s">
        <v>64</v>
      </c>
      <c r="G29" s="35">
        <v>2007</v>
      </c>
      <c r="H29" s="1" t="str">
        <f>IF(OR('Qualifying Scores'!$B$1-G29&gt;21,'Qualifying Scores'!$B$1-G29&lt;11),"Not Age Eligible",IF('Qualifying Scores'!$B$1-G29&gt;16,"17-21",IF('Qualifying Scores'!$B$1-G29&gt;14,"15-16",IF('Qualifying Scores'!$B$1-G29&gt;12,"13-14",IF('Qualifying Scores'!$B$1-G29&gt;10,"11-12","Not Age Eligible")))))</f>
        <v>15-16</v>
      </c>
      <c r="I29" s="39" t="s">
        <v>67</v>
      </c>
      <c r="J29" s="43" t="s">
        <v>567</v>
      </c>
      <c r="K29" s="4">
        <f>S29+T29+IF(OR(I29="Junior",I29="Senior"),0.0002,IF(OR(I29="L7",I29="L6"),0.0001,0))+MAX(AB29,AD29,AG29)*0.0000001</f>
        <v>4.7301004730000002</v>
      </c>
      <c r="L29" s="3" t="str">
        <f>IF(H29="Not Age Eligible","",IF(MAX(U29,W29,Z29,AB29,AD29,AG29)&gt;=LOOKUP(H29,'Qualifying Scores'!$A$4:$A$7,'Qualifying Scores'!$D$4:$D$7),"P",""))</f>
        <v/>
      </c>
      <c r="M29" s="3" t="str">
        <f>IF(H29="Not Age Eligible","",IF(MAX(V29,X29,AA29,AC29,AE29,AH29)&gt;=LOOKUP(H29,'Qualifying Scores'!$A$10:$A$13,'Qualifying Scores'!$D$10:$D$13),"P",""))</f>
        <v/>
      </c>
      <c r="N29" s="3" t="str">
        <f>IF(H29="Not Age Eligible","",IF(OR(AND(U29&gt;=LOOKUP(H29,'Qualifying Scores'!$A$4:$A$7,'Qualifying Scores'!$D$4:$D$7),V29&gt;=LOOKUP(H29,'Qualifying Scores'!$A$10:$A$13,'Qualifying Scores'!$D$10:$D$13)),AND(W29&gt;=LOOKUP(H29,'Qualifying Scores'!$A$4:$A$7,'Qualifying Scores'!$D$4:$D$7),X29&gt;=LOOKUP(H29,'Qualifying Scores'!$A$10:$A$13,'Qualifying Scores'!$D$10:$D$13)),AND(Z29&gt;=LOOKUP(H29,'Qualifying Scores'!$A$4:$A$7,'Qualifying Scores'!$D$4:$D$7),AA29&gt;=LOOKUP(H29,'Qualifying Scores'!$A$10:$A$13,'Qualifying Scores'!$D$10:$D$13)),AND(AB29&gt;=LOOKUP(H29,'Qualifying Scores'!$A$4:$A$7,'Qualifying Scores'!$D$4:$D$7),AC29&gt;=LOOKUP(H29,'Qualifying Scores'!$A$10:$A$13,'Qualifying Scores'!$D$10:$D$13)),AND(AD29&gt;=LOOKUP(H29,'Qualifying Scores'!$A$4:$A$7,'Qualifying Scores'!$D$4:$D$7),AE29&gt;=LOOKUP(H29,'Qualifying Scores'!$A$10:$A$13,'Qualifying Scores'!$D$10:$D$13)),AND(AG29&gt;=LOOKUP(H29,'Qualifying Scores'!$A$4:$A$7,'Qualifying Scores'!$D$4:$D$7),AH29&gt;=LOOKUP(H29,'Qualifying Scores'!$A$10:$A$13,'Qualifying Scores'!$D$10:$D$13))),"P",""))</f>
        <v/>
      </c>
      <c r="R29" s="1" t="str">
        <f>IF(A29&lt;5,IF(_xlfn.MAXIFS(A:A,H:H,H29)&gt;3,5-A29,_xlfn.MAXIFS(A:A,H:H,H29)+1-A29),"")</f>
        <v/>
      </c>
      <c r="S29" s="4">
        <f>MAX(U29,W29,Z29,AB29,AD29,AG29)</f>
        <v>4.7300000000000004</v>
      </c>
      <c r="T29" s="4">
        <f>LARGE(CHOOSE({1,2,3,4,5,6},U29,W29,Z29,AB29,AD29,AG29),2)</f>
        <v>0</v>
      </c>
      <c r="U29" s="33"/>
      <c r="V29" s="40"/>
      <c r="W29" s="34"/>
      <c r="X29" s="40"/>
      <c r="Y29" s="4">
        <f>IF(I29="Senior",MAX(U29,W29),U29+W29)</f>
        <v>0</v>
      </c>
      <c r="Z29" s="34"/>
      <c r="AA29" s="40"/>
      <c r="AB29" s="33">
        <v>4.7300000000000004</v>
      </c>
      <c r="AC29" s="40">
        <v>1.5</v>
      </c>
      <c r="AD29" s="34"/>
      <c r="AE29" s="40"/>
      <c r="AF29" s="4">
        <f>IF(I29="Senior",MAX(AB29,AD29),AB29+AD29)</f>
        <v>4.7300000000000004</v>
      </c>
      <c r="AG29" s="34"/>
      <c r="AH29" s="37"/>
    </row>
    <row r="30" spans="1:34" x14ac:dyDescent="0.2">
      <c r="A30" s="1" t="str" cm="1">
        <f t="array" ref="A30">IF(J30="","",IF(Q30&lt;&gt;"",SUMPRODUCT((Q$3:Q$31&lt;&gt;"")*(H$3:H$31=H30)*(K$3:K$31&gt;K30)*(J$3:J$31="P"))+1,IF(P30&lt;&gt;"",SUMPRODUCT((P$3:P$31&lt;&gt;"")*(Q$3:Q$31="")*(H$3:H$31=H30)*(K$3:K$31&gt;K30)*(J$3:J$31="P"))+SUMPRODUCT((Q$3:Q$31&lt;&gt;"")*(H$3:H$31=H30)*(J$3:J$31="P"))+1,IF(O30&lt;&gt;"",SUMPRODUCT((O$3:O$31&lt;&gt;"")*(H$3:H$31=H30)*(K$3:K$31&gt;K30)*(J$3:J$31="P"))+1,IF(N30="P",SUMPRODUCT((P$3:P$31&lt;&gt;"")*(Q$3:Q$31="")*(H$3:H$31=H30)*(J$3:J$31="P"))+SUMPRODUCT((Q$3:Q$31&lt;&gt;"")*(H$3:H$31=H30)*(J$3:J$31="P"))+SUMPRODUCT((O$3:O$31&lt;&gt;"")*(H$3:H$31=H30)*(J$3:J$31="P"))+SUMPRODUCT((Q$3:Q$31="")*(P$3:P$31="")*(O$3:O$31="")*(N$3:N$31="P")*(H$3:H$31=H30)*(K$3:K$31&gt;K30)*(J$3:J$31="P"))+IF(I30="L5",SUMPRODUCT((Q$3:Q$31="")*(P$3:P$31="")*(O$3:O$31="")*(N$3:N$31="P")*(H$3:H$31=H30)*(K$3:K$31&lt;K30)*(I$3:I$31&lt;&gt;I30)*(J$3:J$31="P")),-1*SUMPRODUCT((Q$3:Q$31="")*(P$3:P$31="")*(O$3:O$31="")*(N$3:N$31="P")*(H$3:H$31=H30)*(K$3:K$31&gt;K30)*(I$3:I$31="L5")*(J$3:J$31="P")))+1,"")))))</f>
        <v/>
      </c>
      <c r="B30" s="1" t="str" cm="1">
        <f t="array" ref="B30">IF(Q30&lt;&gt;"",SUMPRODUCT((Q$3:Q$31&lt;&gt;"")*(H$3:H$31=H30)*(K$3:K$31&gt;K30))+1,IF(P30&lt;&gt;"",SUMPRODUCT((P$3:P$31&lt;&gt;"")*(Q$3:Q$31="")*(H$3:H$31=H30)*(K$3:K$31&gt;K30))+SUMPRODUCT((Q$3:Q$31&lt;&gt;"")*(H$3:H$31=H30))+1,IF(O30&lt;&gt;"",SUMPRODUCT((O$3:O$31&lt;&gt;"")*(H$3:H$31=H30)*(K$3:K$31&gt;K30))+1,IF(N30="P",SUMPRODUCT((P$3:P$31&lt;&gt;"")*(Q$3:Q$31="")*(H$3:H$31=H30))+SUMPRODUCT((Q$3:Q$31&lt;&gt;"")*(H$3:H$31=H30))+SUMPRODUCT((O$3:O$31&lt;&gt;"")*(H$3:H$31=H30))+SUMPRODUCT((Q$3:Q$31="")*(P$3:P$31="")*(O$3:O$31="")*(N$3:N$31="P")*(H$3:H$31=H30)*(K$3:K$31&gt;K30))+IF(I30="L5",SUMPRODUCT((Q$3:Q$31="")*(P$3:P$31="")*(O$3:O$31="")*(N$3:N$31="P")*(H$3:H$31=H30)*(K$3:K$31&lt;K30)*(I$3:I$31&lt;&gt;I30)),-1*SUMPRODUCT((Q$3:Q$31="")*(P$3:P$31="")*(O$3:O$31="")*(N$3:N$31="P")*(H$3:H$31=H30)*(K$3:K$31&gt;K30)*(I$3:I$31="L5")))+1,""))))</f>
        <v/>
      </c>
      <c r="C30" s="36" t="s">
        <v>381</v>
      </c>
      <c r="D30" s="36" t="str">
        <f>IF(E30="","",VLOOKUP(E30,'Coaching Points'!A:B,2,0)&amp;"/"&amp;VLOOKUP(F30,'Coaching Points'!A:B,2,0))</f>
        <v>NS/NS</v>
      </c>
      <c r="E30" s="36" t="s">
        <v>287</v>
      </c>
      <c r="F30" s="36" t="s">
        <v>134</v>
      </c>
      <c r="G30" s="35">
        <v>2009</v>
      </c>
      <c r="H30" s="1" t="str">
        <f>IF(OR('Qualifying Scores'!$B$1-G30&gt;21,'Qualifying Scores'!$B$1-G30&lt;11),"Not Age Eligible",IF('Qualifying Scores'!$B$1-G30&gt;16,"17-21",IF('Qualifying Scores'!$B$1-G30&gt;14,"15-16",IF('Qualifying Scores'!$B$1-G30&gt;12,"13-14",IF('Qualifying Scores'!$B$1-G30&gt;10,"11-12","Not Age Eligible")))))</f>
        <v>13-14</v>
      </c>
      <c r="I30" s="39" t="s">
        <v>66</v>
      </c>
      <c r="J30" s="43" t="s">
        <v>567</v>
      </c>
      <c r="K30" s="4">
        <f>S30+T30+IF(OR(I30="Junior",I30="Senior"),0.0002,IF(OR(I30="L7",I30="L6"),0.0001,0))+MAX(AB30,AD30,AG30)*0.0000001</f>
        <v>4.6000004599999995</v>
      </c>
      <c r="L30" s="3" t="str">
        <f>IF(H30="Not Age Eligible","",IF(MAX(U30,W30,Z30,AB30,AD30,AG30)&gt;=LOOKUP(H30,'Qualifying Scores'!$A$4:$A$7,'Qualifying Scores'!$D$4:$D$7),"P",""))</f>
        <v/>
      </c>
      <c r="M30" s="3" t="str">
        <f>IF(H30="Not Age Eligible","",IF(MAX(V30,X30,AA30,AC30,AE30,AH30)&gt;=LOOKUP(H30,'Qualifying Scores'!$A$10:$A$13,'Qualifying Scores'!$D$10:$D$13),"P",""))</f>
        <v/>
      </c>
      <c r="N30" s="3" t="str">
        <f>IF(H30="Not Age Eligible","",IF(OR(AND(U30&gt;=LOOKUP(H30,'Qualifying Scores'!$A$4:$A$7,'Qualifying Scores'!$D$4:$D$7),V30&gt;=LOOKUP(H30,'Qualifying Scores'!$A$10:$A$13,'Qualifying Scores'!$D$10:$D$13)),AND(W30&gt;=LOOKUP(H30,'Qualifying Scores'!$A$4:$A$7,'Qualifying Scores'!$D$4:$D$7),X30&gt;=LOOKUP(H30,'Qualifying Scores'!$A$10:$A$13,'Qualifying Scores'!$D$10:$D$13)),AND(Z30&gt;=LOOKUP(H30,'Qualifying Scores'!$A$4:$A$7,'Qualifying Scores'!$D$4:$D$7),AA30&gt;=LOOKUP(H30,'Qualifying Scores'!$A$10:$A$13,'Qualifying Scores'!$D$10:$D$13)),AND(AB30&gt;=LOOKUP(H30,'Qualifying Scores'!$A$4:$A$7,'Qualifying Scores'!$D$4:$D$7),AC30&gt;=LOOKUP(H30,'Qualifying Scores'!$A$10:$A$13,'Qualifying Scores'!$D$10:$D$13)),AND(AD30&gt;=LOOKUP(H30,'Qualifying Scores'!$A$4:$A$7,'Qualifying Scores'!$D$4:$D$7),AE30&gt;=LOOKUP(H30,'Qualifying Scores'!$A$10:$A$13,'Qualifying Scores'!$D$10:$D$13)),AND(AG30&gt;=LOOKUP(H30,'Qualifying Scores'!$A$4:$A$7,'Qualifying Scores'!$D$4:$D$7),AH30&gt;=LOOKUP(H30,'Qualifying Scores'!$A$10:$A$13,'Qualifying Scores'!$D$10:$D$13))),"P",""))</f>
        <v/>
      </c>
      <c r="R30" s="1" t="str">
        <f>IF(A30&lt;5,IF(_xlfn.MAXIFS(A:A,H:H,H30)&gt;3,5-A30,_xlfn.MAXIFS(A:A,H:H,H30)+1-A30),"")</f>
        <v/>
      </c>
      <c r="S30" s="4">
        <f>MAX(U30,W30,Z30,AB30,AD30,AG30)</f>
        <v>4.5999999999999996</v>
      </c>
      <c r="T30" s="4">
        <f>LARGE(CHOOSE({1,2,3,4,5,6},U30,W30,Z30,AB30,AD30,AG30),2)</f>
        <v>0</v>
      </c>
      <c r="U30" s="33"/>
      <c r="V30" s="40"/>
      <c r="W30" s="34"/>
      <c r="X30" s="40"/>
      <c r="Y30" s="4">
        <f>IF(I30="Senior",MAX(U30,W30),U30+W30)</f>
        <v>0</v>
      </c>
      <c r="Z30" s="34"/>
      <c r="AA30" s="40"/>
      <c r="AB30" s="33">
        <v>4.5999999999999996</v>
      </c>
      <c r="AC30" s="40">
        <v>1.3</v>
      </c>
      <c r="AD30" s="34"/>
      <c r="AE30" s="40"/>
      <c r="AF30" s="4">
        <f>IF(I30="Senior",MAX(AB30,AD30),AB30+AD30)</f>
        <v>4.5999999999999996</v>
      </c>
      <c r="AG30" s="34"/>
      <c r="AH30" s="37"/>
    </row>
    <row r="31" spans="1:34" x14ac:dyDescent="0.2">
      <c r="B31" s="1"/>
      <c r="H31" s="1"/>
      <c r="I31" s="39"/>
      <c r="J31" s="43"/>
      <c r="K31" s="4"/>
      <c r="L31" s="3"/>
      <c r="M31" s="3"/>
      <c r="S31" s="4"/>
      <c r="T31" s="4"/>
      <c r="U31" s="33"/>
      <c r="V31" s="40"/>
      <c r="W31" s="34"/>
      <c r="X31" s="40"/>
      <c r="Y31" s="4"/>
      <c r="Z31" s="34"/>
      <c r="AA31" s="40"/>
      <c r="AB31" s="33"/>
      <c r="AC31" s="40"/>
      <c r="AD31" s="34"/>
      <c r="AE31" s="40"/>
      <c r="AF31" s="4"/>
      <c r="AG31" s="34"/>
      <c r="AH31" s="37"/>
    </row>
    <row r="32" spans="1:34" x14ac:dyDescent="0.2">
      <c r="B32" s="1"/>
      <c r="H32" s="1"/>
      <c r="I32" s="39"/>
      <c r="J32" s="43"/>
      <c r="K32" s="4"/>
      <c r="L32" s="3"/>
      <c r="M32" s="3"/>
      <c r="S32" s="4"/>
      <c r="T32" s="4"/>
      <c r="U32" s="33"/>
      <c r="V32" s="40"/>
      <c r="W32" s="34"/>
      <c r="X32" s="40"/>
      <c r="Y32" s="4"/>
      <c r="Z32" s="34"/>
      <c r="AA32" s="40"/>
      <c r="AB32" s="33"/>
      <c r="AC32" s="40"/>
      <c r="AD32" s="34"/>
      <c r="AE32" s="40"/>
      <c r="AF32" s="4"/>
      <c r="AG32" s="34"/>
      <c r="AH32" s="37"/>
    </row>
    <row r="33" spans="2:34" x14ac:dyDescent="0.2">
      <c r="B33" s="1"/>
      <c r="H33" s="1"/>
      <c r="I33" s="39"/>
      <c r="J33" s="43"/>
      <c r="K33" s="4"/>
      <c r="L33" s="3"/>
      <c r="M33" s="3"/>
      <c r="S33" s="4"/>
      <c r="T33" s="4"/>
      <c r="U33" s="33"/>
      <c r="V33" s="40"/>
      <c r="W33" s="34"/>
      <c r="X33" s="40"/>
      <c r="Y33" s="4"/>
      <c r="Z33" s="34"/>
      <c r="AA33" s="40"/>
      <c r="AB33" s="33"/>
      <c r="AC33" s="40"/>
      <c r="AD33" s="34"/>
      <c r="AE33" s="40"/>
      <c r="AF33" s="4"/>
      <c r="AG33" s="34"/>
      <c r="AH33" s="37"/>
    </row>
    <row r="34" spans="2:34" x14ac:dyDescent="0.2">
      <c r="B34" s="1"/>
      <c r="H34" s="1"/>
      <c r="I34" s="39"/>
      <c r="J34" s="43"/>
      <c r="K34" s="4"/>
      <c r="L34" s="3"/>
      <c r="M34" s="3"/>
      <c r="S34" s="4"/>
      <c r="T34" s="4"/>
      <c r="U34" s="33"/>
      <c r="V34" s="40"/>
      <c r="W34" s="34"/>
      <c r="X34" s="40"/>
      <c r="Y34" s="4"/>
      <c r="Z34" s="34"/>
      <c r="AA34" s="40"/>
      <c r="AB34" s="33"/>
      <c r="AC34" s="40"/>
      <c r="AD34" s="34"/>
      <c r="AE34" s="40"/>
      <c r="AF34" s="4"/>
      <c r="AG34" s="34"/>
      <c r="AH34" s="37"/>
    </row>
    <row r="35" spans="2:34" x14ac:dyDescent="0.2">
      <c r="B35" s="1"/>
      <c r="H35" s="1"/>
      <c r="I35" s="39"/>
      <c r="J35" s="43"/>
      <c r="K35" s="4"/>
      <c r="L35" s="3"/>
      <c r="M35" s="3"/>
      <c r="S35" s="4"/>
      <c r="T35" s="4"/>
      <c r="U35" s="33"/>
      <c r="V35" s="40"/>
      <c r="W35" s="34"/>
      <c r="X35" s="40"/>
      <c r="Y35" s="4"/>
      <c r="Z35" s="34"/>
      <c r="AA35" s="40"/>
      <c r="AB35" s="33"/>
      <c r="AC35" s="40"/>
      <c r="AD35" s="34"/>
      <c r="AE35" s="40"/>
      <c r="AF35" s="4"/>
      <c r="AG35" s="34"/>
      <c r="AH35" s="37"/>
    </row>
    <row r="36" spans="2:34" x14ac:dyDescent="0.2">
      <c r="B36" s="1"/>
      <c r="H36" s="1"/>
      <c r="I36" s="39"/>
      <c r="J36" s="43"/>
      <c r="K36" s="4"/>
      <c r="L36" s="3"/>
      <c r="M36" s="3"/>
      <c r="S36" s="4"/>
      <c r="T36" s="4"/>
      <c r="U36" s="33"/>
      <c r="V36" s="40"/>
      <c r="W36" s="34"/>
      <c r="X36" s="40"/>
      <c r="Y36" s="4"/>
      <c r="Z36" s="34"/>
      <c r="AA36" s="40"/>
      <c r="AB36" s="33"/>
      <c r="AC36" s="40"/>
      <c r="AD36" s="34"/>
      <c r="AE36" s="40"/>
      <c r="AF36" s="4"/>
      <c r="AG36" s="34"/>
      <c r="AH36" s="37"/>
    </row>
    <row r="37" spans="2:34" x14ac:dyDescent="0.2">
      <c r="B37" s="1"/>
      <c r="H37" s="1"/>
      <c r="I37" s="39"/>
      <c r="J37" s="43"/>
      <c r="K37" s="4"/>
      <c r="L37" s="3"/>
      <c r="M37" s="3"/>
      <c r="S37" s="4"/>
      <c r="T37" s="4"/>
      <c r="U37" s="33"/>
      <c r="V37" s="40"/>
      <c r="W37" s="34"/>
      <c r="X37" s="40"/>
      <c r="Y37" s="4"/>
      <c r="Z37" s="34"/>
      <c r="AA37" s="40"/>
      <c r="AB37" s="33"/>
      <c r="AC37" s="40"/>
      <c r="AD37" s="34"/>
      <c r="AE37" s="40"/>
      <c r="AF37" s="4"/>
      <c r="AG37" s="34"/>
      <c r="AH37" s="37"/>
    </row>
    <row r="38" spans="2:34" x14ac:dyDescent="0.2">
      <c r="B38" s="1"/>
      <c r="H38" s="1"/>
      <c r="I38" s="39"/>
      <c r="J38" s="43"/>
      <c r="K38" s="4"/>
      <c r="L38" s="3"/>
      <c r="M38" s="3"/>
      <c r="S38" s="4"/>
      <c r="T38" s="4"/>
      <c r="U38" s="33"/>
      <c r="V38" s="40"/>
      <c r="W38" s="34"/>
      <c r="X38" s="40"/>
      <c r="Y38" s="4"/>
      <c r="Z38" s="34"/>
      <c r="AA38" s="40"/>
      <c r="AB38" s="33"/>
      <c r="AC38" s="40"/>
      <c r="AD38" s="34"/>
      <c r="AE38" s="40"/>
      <c r="AF38" s="4"/>
      <c r="AG38" s="34"/>
      <c r="AH38" s="37"/>
    </row>
    <row r="39" spans="2:34" x14ac:dyDescent="0.2">
      <c r="B39" s="1"/>
      <c r="H39" s="1"/>
      <c r="I39" s="39"/>
      <c r="J39" s="43"/>
      <c r="K39" s="4"/>
      <c r="L39" s="3"/>
      <c r="M39" s="3"/>
      <c r="S39" s="4"/>
      <c r="T39" s="4"/>
      <c r="U39" s="33"/>
      <c r="V39" s="40"/>
      <c r="W39" s="34"/>
      <c r="X39" s="40"/>
      <c r="Y39" s="4"/>
      <c r="Z39" s="34"/>
      <c r="AA39" s="40"/>
      <c r="AB39" s="33"/>
      <c r="AC39" s="40"/>
      <c r="AD39" s="34"/>
      <c r="AE39" s="40"/>
      <c r="AF39" s="4"/>
      <c r="AG39" s="34"/>
      <c r="AH39" s="37"/>
    </row>
    <row r="40" spans="2:34" x14ac:dyDescent="0.2">
      <c r="B40" s="1"/>
      <c r="H40" s="1"/>
      <c r="I40" s="39"/>
      <c r="J40" s="43"/>
      <c r="K40" s="4"/>
      <c r="L40" s="3"/>
      <c r="M40" s="3"/>
      <c r="S40" s="4"/>
      <c r="T40" s="4"/>
      <c r="U40" s="33"/>
      <c r="V40" s="40"/>
      <c r="W40" s="34"/>
      <c r="X40" s="40"/>
      <c r="Y40" s="4"/>
      <c r="Z40" s="34"/>
      <c r="AA40" s="40"/>
      <c r="AB40" s="33"/>
      <c r="AC40" s="40"/>
      <c r="AD40" s="34"/>
      <c r="AE40" s="40"/>
      <c r="AF40" s="4"/>
      <c r="AG40" s="34"/>
      <c r="AH40" s="37"/>
    </row>
  </sheetData>
  <sheetProtection sheet="1" formatCells="0" formatColumns="0" formatRows="0"/>
  <autoFilter ref="A1:AH2" xr:uid="{91C1E397-42D3-4A4B-B2D6-18FBDCEFC10F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3:AH30">
      <sortCondition descending="1" ref="H1:H31"/>
    </sortState>
  </autoFilter>
  <mergeCells count="22"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</mergeCells>
  <phoneticPr fontId="13" type="noConversion"/>
  <conditionalFormatting sqref="A1:XFD1048576">
    <cfRule type="expression" dxfId="47" priority="9">
      <formula>IF($H1="17-21",1,0)</formula>
    </cfRule>
    <cfRule type="expression" dxfId="46" priority="10">
      <formula>IF($H1="15-16",1,0)</formula>
    </cfRule>
    <cfRule type="expression" dxfId="45" priority="11">
      <formula>IF($H1="13-14",1,0)</formula>
    </cfRule>
    <cfRule type="expression" dxfId="44" priority="12">
      <formula>IF($H1="11-12",1,0)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1F569-3059-1347-B0D3-D2EEAB6C4BF1}">
  <sheetPr codeName="Sheet5"/>
  <dimension ref="A1:AH49"/>
  <sheetViews>
    <sheetView zoomScaleNormal="100" workbookViewId="0">
      <pane xSplit="6" ySplit="2" topLeftCell="G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1.5" style="36" bestFit="1" customWidth="1"/>
    <col min="4" max="4" width="8.6640625" style="36" bestFit="1" customWidth="1"/>
    <col min="5" max="6" width="18.6640625" style="36" bestFit="1" customWidth="1"/>
    <col min="7" max="7" width="5.1640625" style="35" bestFit="1" customWidth="1"/>
    <col min="8" max="8" width="14.83203125" bestFit="1" customWidth="1"/>
    <col min="9" max="9" width="14.83203125" style="36" customWidth="1"/>
    <col min="10" max="10" width="20" style="44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9" bestFit="1" customWidth="1"/>
    <col min="16" max="16" width="24.83203125" style="39" customWidth="1"/>
    <col min="17" max="17" width="18.6640625" style="39" bestFit="1" customWidth="1"/>
    <col min="18" max="18" width="18.6640625" style="1" customWidth="1"/>
    <col min="19" max="19" width="15.6640625" bestFit="1" customWidth="1"/>
    <col min="20" max="20" width="18.6640625" bestFit="1" customWidth="1"/>
    <col min="21" max="21" width="10.83203125" style="35" bestFit="1" customWidth="1"/>
    <col min="22" max="22" width="13.6640625" style="36" bestFit="1" customWidth="1"/>
    <col min="23" max="23" width="11" style="36" bestFit="1" customWidth="1"/>
    <col min="24" max="24" width="14.1640625" style="36" bestFit="1" customWidth="1"/>
    <col min="25" max="25" width="7.5" bestFit="1" customWidth="1"/>
    <col min="26" max="26" width="6.6640625" style="36" bestFit="1" customWidth="1"/>
    <col min="27" max="27" width="11" style="36" bestFit="1" customWidth="1"/>
    <col min="28" max="28" width="10.83203125" style="35" bestFit="1" customWidth="1"/>
    <col min="29" max="29" width="13.6640625" style="36" bestFit="1" customWidth="1"/>
    <col min="30" max="30" width="11" style="36" bestFit="1" customWidth="1"/>
    <col min="31" max="31" width="14.1640625" style="36" bestFit="1" customWidth="1"/>
    <col min="32" max="32" width="7.6640625" bestFit="1" customWidth="1"/>
    <col min="33" max="33" width="6.6640625" style="36" bestFit="1" customWidth="1"/>
    <col min="34" max="34" width="9" style="38" bestFit="1" customWidth="1"/>
  </cols>
  <sheetData>
    <row r="1" spans="1:34" s="6" customFormat="1" ht="16" customHeight="1" x14ac:dyDescent="0.2">
      <c r="A1" s="73" t="s">
        <v>208</v>
      </c>
      <c r="B1" s="73" t="s">
        <v>207</v>
      </c>
      <c r="C1" s="67" t="s">
        <v>0</v>
      </c>
      <c r="D1" s="67" t="s">
        <v>1</v>
      </c>
      <c r="E1" s="67" t="s">
        <v>280</v>
      </c>
      <c r="F1" s="69" t="s">
        <v>281</v>
      </c>
      <c r="G1" s="71" t="s">
        <v>4</v>
      </c>
      <c r="H1" s="67" t="s">
        <v>5</v>
      </c>
      <c r="I1" s="67" t="s">
        <v>56</v>
      </c>
      <c r="J1" s="67" t="s">
        <v>42</v>
      </c>
      <c r="K1" s="76" t="s">
        <v>13</v>
      </c>
      <c r="L1" s="67" t="s">
        <v>9</v>
      </c>
      <c r="M1" s="67" t="s">
        <v>10</v>
      </c>
      <c r="N1" s="67" t="s">
        <v>33</v>
      </c>
      <c r="O1" s="67" t="s">
        <v>12</v>
      </c>
      <c r="P1" s="67" t="s">
        <v>49</v>
      </c>
      <c r="Q1" s="67" t="s">
        <v>11</v>
      </c>
      <c r="R1" s="67" t="s">
        <v>206</v>
      </c>
      <c r="S1" s="73" t="s">
        <v>369</v>
      </c>
      <c r="T1" s="67" t="s">
        <v>370</v>
      </c>
      <c r="U1" s="75" t="s">
        <v>44</v>
      </c>
      <c r="V1" s="75"/>
      <c r="W1" s="75"/>
      <c r="X1" s="75"/>
      <c r="Y1" s="75"/>
      <c r="Z1" s="75"/>
      <c r="AA1" s="75"/>
      <c r="AB1" s="75" t="s">
        <v>43</v>
      </c>
      <c r="AC1" s="75"/>
      <c r="AD1" s="75"/>
      <c r="AE1" s="75"/>
      <c r="AF1" s="75"/>
      <c r="AG1" s="75"/>
      <c r="AH1" s="75"/>
    </row>
    <row r="2" spans="1:34" s="7" customFormat="1" ht="17" thickBot="1" x14ac:dyDescent="0.25">
      <c r="A2" s="74"/>
      <c r="B2" s="74"/>
      <c r="C2" s="68"/>
      <c r="D2" s="68"/>
      <c r="E2" s="68"/>
      <c r="F2" s="70"/>
      <c r="G2" s="72"/>
      <c r="H2" s="68"/>
      <c r="I2" s="68"/>
      <c r="J2" s="68"/>
      <c r="K2" s="77"/>
      <c r="L2" s="68"/>
      <c r="M2" s="68"/>
      <c r="N2" s="68"/>
      <c r="O2" s="68"/>
      <c r="P2" s="68"/>
      <c r="Q2" s="68"/>
      <c r="R2" s="68"/>
      <c r="S2" s="74"/>
      <c r="T2" s="68"/>
      <c r="U2" s="8" t="s">
        <v>50</v>
      </c>
      <c r="V2" s="7" t="s">
        <v>51</v>
      </c>
      <c r="W2" s="7" t="s">
        <v>52</v>
      </c>
      <c r="X2" s="7" t="s">
        <v>53</v>
      </c>
      <c r="Y2" s="7" t="s">
        <v>16</v>
      </c>
      <c r="Z2" s="7" t="s">
        <v>6</v>
      </c>
      <c r="AA2" s="7" t="s">
        <v>8</v>
      </c>
      <c r="AB2" s="8" t="s">
        <v>50</v>
      </c>
      <c r="AC2" s="7" t="s">
        <v>51</v>
      </c>
      <c r="AD2" s="7" t="s">
        <v>52</v>
      </c>
      <c r="AE2" s="7" t="s">
        <v>53</v>
      </c>
      <c r="AF2" s="7" t="s">
        <v>16</v>
      </c>
      <c r="AG2" s="7" t="s">
        <v>6</v>
      </c>
      <c r="AH2" s="9" t="s">
        <v>8</v>
      </c>
    </row>
    <row r="3" spans="1:34" ht="17" thickTop="1" x14ac:dyDescent="0.2">
      <c r="A3" s="1" cm="1">
        <f t="array" ref="A3">IF(J3="","",IF(Q3&lt;&gt;"",SUMPRODUCT((Q$3:Q$47&lt;&gt;"")*(H$3:H$47=H3)*(K$3:K$47&gt;K3)*(J$3:J$47="P"))+1,IF(P3&lt;&gt;"",SUMPRODUCT((P$3:P$47&lt;&gt;"")*(Q$3:Q$47="")*(H$3:H$47=H3)*(K$3:K$47&gt;K3)*(J$3:J$47="P"))+SUMPRODUCT((Q$3:Q$47&lt;&gt;"")*(H$3:H$47=H3)*(J$3:J$47="P"))+1,IF(O3&lt;&gt;"",SUMPRODUCT((O$3:O$47&lt;&gt;"")*(H$3:H$47=H3)*(K$3:K$47&gt;K3)*(J$3:J$47="P"))+1,IF(N3="P",SUMPRODUCT((P$3:P$47&lt;&gt;"")*(Q$3:Q$47="")*(H$3:H$47=H3)*(J$3:J$47="P"))+SUMPRODUCT((Q$3:Q$47&lt;&gt;"")*(H$3:H$47=H3)*(J$3:J$47="P"))+SUMPRODUCT((O$3:O$47&lt;&gt;"")*(H$3:H$47=H3)*(J$3:J$47="P"))+SUMPRODUCT((Q$3:Q$47="")*(P$3:P$47="")*(O$3:O$47="")*(N$3:N$47="P")*(H$3:H$47=H3)*(K$3:K$47&gt;K3)*(J$3:J$47="P"))+IF(I3="L5",SUMPRODUCT((Q$3:Q$47="")*(P$3:P$47="")*(O$3:O$47="")*(N$3:N$47="P")*(H$3:H$47=H3)*(K$3:K$47&lt;K3)*(I$3:I$47&lt;&gt;I3)*(J$3:J$47="P")),-1*SUMPRODUCT((Q$3:Q$47="")*(P$3:P$47="")*(O$3:O$47="")*(N$3:N$47="P")*(H$3:H$47=H3)*(K$3:K$47&gt;K3)*(I$3:I$47="L5")*(J$3:J$47="P")))+1,"")))))</f>
        <v>1</v>
      </c>
      <c r="B3" s="1" cm="1">
        <f t="array" ref="B3">IF(Q3&lt;&gt;"",SUMPRODUCT((Q$3:Q$47&lt;&gt;"")*(H$3:H$47=H3)*(K$3:K$47&gt;K3))+1,IF(P3&lt;&gt;"",SUMPRODUCT((P$3:P$47&lt;&gt;"")*(Q$3:Q$47="")*(H$3:H$47=H3)*(K$3:K$47&gt;K3))+SUMPRODUCT((Q$3:Q$47&lt;&gt;"")*(H$3:H$47=H3))+1,IF(O3&lt;&gt;"",SUMPRODUCT((O$3:O$47&lt;&gt;"")*(H$3:H$47=H3)*(K$3:K$47&gt;K3))+1,IF(N3="P",SUMPRODUCT((P$3:P$47&lt;&gt;"")*(Q$3:Q$47="")*(H$3:H$47=H3))+SUMPRODUCT((Q$3:Q$47&lt;&gt;"")*(H$3:H$47=H3))+SUMPRODUCT((O$3:O$47&lt;&gt;"")*(H$3:H$47=H3))+SUMPRODUCT((Q$3:Q$47="")*(P$3:P$47="")*(O$3:O$47="")*(N$3:N$47="P")*(H$3:H$47=H3)*(K$3:K$47&gt;K3))+IF(I3="L5",SUMPRODUCT((Q$3:Q$47="")*(P$3:P$47="")*(O$3:O$47="")*(N$3:N$47="P")*(H$3:H$47=H3)*(K$3:K$47&lt;K3)*(I$3:I$47&lt;&gt;I3)),-1*SUMPRODUCT((Q$3:Q$47="")*(P$3:P$47="")*(O$3:O$47="")*(N$3:N$47="P")*(H$3:H$47=H3)*(K$3:K$47&gt;K3)*(I$3:I$47="L5")))+1,""))))</f>
        <v>1</v>
      </c>
      <c r="C3" s="36" t="s">
        <v>343</v>
      </c>
      <c r="D3" s="36" t="str">
        <f>IF(E3="","",VLOOKUP(E3,'Coaching Points'!A:B,2,0)&amp;"/"&amp;VLOOKUP(F3,'Coaching Points'!A:B,2,0))</f>
        <v>ON/ON</v>
      </c>
      <c r="E3" s="36" t="s">
        <v>113</v>
      </c>
      <c r="F3" s="36" t="s">
        <v>113</v>
      </c>
      <c r="G3" s="35">
        <v>2004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9" t="s">
        <v>74</v>
      </c>
      <c r="J3" s="43" t="s">
        <v>567</v>
      </c>
      <c r="K3" s="4">
        <f>S3+T3+IF(OR(I3="Junior",I3="Senior"),0.0002,IF(OR(I3="L7",I3="L6"),0.0001,0))+MAX(AB3,AD3,AG3)*0.0000001</f>
        <v>87.900204463000009</v>
      </c>
      <c r="L3" s="3" t="str">
        <f>IF(H3="Not Age Eligible","",IF(MAX(U3,W3,Z3,AB3,AD3,AG3)&gt;=LOOKUP(H3,'Qualifying Scores'!$A$4:$A$7,'Qualifying Scores'!$E$4:$E$7),"P",""))</f>
        <v>P</v>
      </c>
      <c r="M3" s="3" t="str">
        <f>IF(H3="Not Age Eligible","",IF(MAX(V3,X3,AA3,AC3,AE3,AH3)&gt;=LOOKUP(H3,'Qualifying Scores'!$A$10:$A$13,'Qualifying Scores'!$E$10:$E$13),"P",""))</f>
        <v>P</v>
      </c>
      <c r="N3" s="3" t="str">
        <f>IF(H3="Not Age Eligible","",IF(OR(AND(U3&gt;=LOOKUP(H3,'Qualifying Scores'!$A$4:$A$7,'Qualifying Scores'!$E$4:$E$7),V3&gt;=LOOKUP(H3,'Qualifying Scores'!$A$10:$A$13,'Qualifying Scores'!$E$10:$E$13)),AND(W3&gt;=LOOKUP(H3,'Qualifying Scores'!$A$4:$A$7,'Qualifying Scores'!$E$4:$E$7),X3&gt;=LOOKUP(H3,'Qualifying Scores'!$A$10:$A$13,'Qualifying Scores'!$E$10:$E$13)),AND(Z3&gt;=LOOKUP(H3,'Qualifying Scores'!$A$4:$A$7,'Qualifying Scores'!$E$4:$E$7),AA3&gt;=LOOKUP(H3,'Qualifying Scores'!$A$10:$A$13,'Qualifying Scores'!$E$10:$E$13)),AND(AB3&gt;=LOOKUP(H3,'Qualifying Scores'!$A$4:$A$7,'Qualifying Scores'!$E$4:$E$7),AC3&gt;=LOOKUP(H3,'Qualifying Scores'!$A$10:$A$13,'Qualifying Scores'!$E$10:$E$13)),AND(AD3&gt;=LOOKUP(H3,'Qualifying Scores'!$A$4:$A$7,'Qualifying Scores'!$E$4:$E$7),AE3&gt;=LOOKUP(H3,'Qualifying Scores'!$A$10:$A$13,'Qualifying Scores'!$E$10:$E$13)),AND(AG3&gt;=LOOKUP(H3,'Qualifying Scores'!$A$4:$A$7,'Qualifying Scores'!$E$4:$E$7),AH3&gt;=LOOKUP(H3,'Qualifying Scores'!$A$10:$A$13,'Qualifying Scores'!$E$10:$E$13))),"P",""))</f>
        <v>P</v>
      </c>
      <c r="R3" s="1">
        <f>IF(A3&lt;5,IF(_xlfn.MAXIFS(A:A,H:H,H3)&gt;3,5-A3,_xlfn.MAXIFS(A:A,H:H,H3)+1-A3),"")</f>
        <v>2</v>
      </c>
      <c r="S3" s="4">
        <f>MAX(U3,W3,Z3,AB3,AD3,AG3)</f>
        <v>44.63</v>
      </c>
      <c r="T3" s="4">
        <f>LARGE(CHOOSE({1,2,3,4,5,6},U3,W3,Z3,AB3,AD3,AG3),2)</f>
        <v>43.27</v>
      </c>
      <c r="U3" s="33">
        <v>43.26</v>
      </c>
      <c r="V3" s="40">
        <v>9.6</v>
      </c>
      <c r="W3" s="34">
        <v>8.93</v>
      </c>
      <c r="X3" s="40">
        <v>2.1</v>
      </c>
      <c r="Y3" s="4">
        <f>IF(I3="Senior",MAX(U3,W3),U3+W3)</f>
        <v>43.26</v>
      </c>
      <c r="Z3" s="34">
        <v>27.17</v>
      </c>
      <c r="AA3" s="40">
        <v>7.1</v>
      </c>
      <c r="AB3" s="33">
        <v>31</v>
      </c>
      <c r="AC3" s="40">
        <v>6.8</v>
      </c>
      <c r="AD3" s="34">
        <v>44.63</v>
      </c>
      <c r="AE3" s="40">
        <v>9.6</v>
      </c>
      <c r="AF3" s="4">
        <f>IF(I3="Senior",MAX(AB3,AD3),AB3+AD3)</f>
        <v>44.63</v>
      </c>
      <c r="AG3" s="34">
        <v>43.27</v>
      </c>
      <c r="AH3" s="37">
        <v>9.6</v>
      </c>
    </row>
    <row r="4" spans="1:34" x14ac:dyDescent="0.2">
      <c r="A4" s="1" cm="1">
        <f t="array" ref="A4">IF(J4="","",IF(Q4&lt;&gt;"",SUMPRODUCT((Q$3:Q$47&lt;&gt;"")*(H$3:H$47=H4)*(K$3:K$47&gt;K4)*(J$3:J$47="P"))+1,IF(P4&lt;&gt;"",SUMPRODUCT((P$3:P$47&lt;&gt;"")*(Q$3:Q$47="")*(H$3:H$47=H4)*(K$3:K$47&gt;K4)*(J$3:J$47="P"))+SUMPRODUCT((Q$3:Q$47&lt;&gt;"")*(H$3:H$47=H4)*(J$3:J$47="P"))+1,IF(O4&lt;&gt;"",SUMPRODUCT((O$3:O$47&lt;&gt;"")*(H$3:H$47=H4)*(K$3:K$47&gt;K4)*(J$3:J$47="P"))+1,IF(N4="P",SUMPRODUCT((P$3:P$47&lt;&gt;"")*(Q$3:Q$47="")*(H$3:H$47=H4)*(J$3:J$47="P"))+SUMPRODUCT((Q$3:Q$47&lt;&gt;"")*(H$3:H$47=H4)*(J$3:J$47="P"))+SUMPRODUCT((O$3:O$47&lt;&gt;"")*(H$3:H$47=H4)*(J$3:J$47="P"))+SUMPRODUCT((Q$3:Q$47="")*(P$3:P$47="")*(O$3:O$47="")*(N$3:N$47="P")*(H$3:H$47=H4)*(K$3:K$47&gt;K4)*(J$3:J$47="P"))+IF(I4="L5",SUMPRODUCT((Q$3:Q$47="")*(P$3:P$47="")*(O$3:O$47="")*(N$3:N$47="P")*(H$3:H$47=H4)*(K$3:K$47&lt;K4)*(I$3:I$47&lt;&gt;I4)*(J$3:J$47="P")),-1*SUMPRODUCT((Q$3:Q$47="")*(P$3:P$47="")*(O$3:O$47="")*(N$3:N$47="P")*(H$3:H$47=H4)*(K$3:K$47&gt;K4)*(I$3:I$47="L5")*(J$3:J$47="P")))+1,"")))))</f>
        <v>2</v>
      </c>
      <c r="B4" s="1" cm="1">
        <f t="array" ref="B4">IF(Q4&lt;&gt;"",SUMPRODUCT((Q$3:Q$47&lt;&gt;"")*(H$3:H$47=H4)*(K$3:K$47&gt;K4))+1,IF(P4&lt;&gt;"",SUMPRODUCT((P$3:P$47&lt;&gt;"")*(Q$3:Q$47="")*(H$3:H$47=H4)*(K$3:K$47&gt;K4))+SUMPRODUCT((Q$3:Q$47&lt;&gt;"")*(H$3:H$47=H4))+1,IF(O4&lt;&gt;"",SUMPRODUCT((O$3:O$47&lt;&gt;"")*(H$3:H$47=H4)*(K$3:K$47&gt;K4))+1,IF(N4="P",SUMPRODUCT((P$3:P$47&lt;&gt;"")*(Q$3:Q$47="")*(H$3:H$47=H4))+SUMPRODUCT((Q$3:Q$47&lt;&gt;"")*(H$3:H$47=H4))+SUMPRODUCT((O$3:O$47&lt;&gt;"")*(H$3:H$47=H4))+SUMPRODUCT((Q$3:Q$47="")*(P$3:P$47="")*(O$3:O$47="")*(N$3:N$47="P")*(H$3:H$47=H4)*(K$3:K$47&gt;K4))+IF(I4="L5",SUMPRODUCT((Q$3:Q$47="")*(P$3:P$47="")*(O$3:O$47="")*(N$3:N$47="P")*(H$3:H$47=H4)*(K$3:K$47&lt;K4)*(I$3:I$47&lt;&gt;I4)),-1*SUMPRODUCT((Q$3:Q$47="")*(P$3:P$47="")*(O$3:O$47="")*(N$3:N$47="P")*(H$3:H$47=H4)*(K$3:K$47&gt;K4)*(I$3:I$47="L5")))+1,""))))</f>
        <v>2</v>
      </c>
      <c r="C4" s="36" t="s">
        <v>392</v>
      </c>
      <c r="D4" s="36" t="str">
        <f>IF(E4="","",VLOOKUP(E4,'Coaching Points'!A:B,2,0)&amp;"/"&amp;VLOOKUP(F4,'Coaching Points'!A:B,2,0))</f>
        <v>QC/QC</v>
      </c>
      <c r="E4" s="36" t="s">
        <v>96</v>
      </c>
      <c r="F4" s="36" t="s">
        <v>285</v>
      </c>
      <c r="G4" s="35">
        <v>2006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9" t="s">
        <v>74</v>
      </c>
      <c r="J4" s="43" t="s">
        <v>567</v>
      </c>
      <c r="K4" s="4">
        <f>S4+T4+IF(OR(I4="Junior",I4="Senior"),0.0002,IF(OR(I4="L7",I4="L6"),0.0001,0))+MAX(AB4,AD4,AG4)*0.0000001</f>
        <v>83.800204354000002</v>
      </c>
      <c r="L4" s="3" t="str">
        <f>IF(H4="Not Age Eligible","",IF(MAX(U4,W4,Z4,AB4,AD4,AG4)&gt;=LOOKUP(H4,'Qualifying Scores'!$A$4:$A$7,'Qualifying Scores'!$E$4:$E$7),"P",""))</f>
        <v>P</v>
      </c>
      <c r="M4" s="3" t="str">
        <f>IF(H4="Not Age Eligible","",IF(MAX(V4,X4,AA4,AC4,AE4,AH4)&gt;=LOOKUP(H4,'Qualifying Scores'!$A$10:$A$13,'Qualifying Scores'!$E$10:$E$13),"P",""))</f>
        <v>P</v>
      </c>
      <c r="N4" s="3" t="str">
        <f>IF(H4="Not Age Eligible","",IF(OR(AND(U4&gt;=LOOKUP(H4,'Qualifying Scores'!$A$4:$A$7,'Qualifying Scores'!$E$4:$E$7),V4&gt;=LOOKUP(H4,'Qualifying Scores'!$A$10:$A$13,'Qualifying Scores'!$E$10:$E$13)),AND(W4&gt;=LOOKUP(H4,'Qualifying Scores'!$A$4:$A$7,'Qualifying Scores'!$E$4:$E$7),X4&gt;=LOOKUP(H4,'Qualifying Scores'!$A$10:$A$13,'Qualifying Scores'!$E$10:$E$13)),AND(Z4&gt;=LOOKUP(H4,'Qualifying Scores'!$A$4:$A$7,'Qualifying Scores'!$E$4:$E$7),AA4&gt;=LOOKUP(H4,'Qualifying Scores'!$A$10:$A$13,'Qualifying Scores'!$E$10:$E$13)),AND(AB4&gt;=LOOKUP(H4,'Qualifying Scores'!$A$4:$A$7,'Qualifying Scores'!$E$4:$E$7),AC4&gt;=LOOKUP(H4,'Qualifying Scores'!$A$10:$A$13,'Qualifying Scores'!$E$10:$E$13)),AND(AD4&gt;=LOOKUP(H4,'Qualifying Scores'!$A$4:$A$7,'Qualifying Scores'!$E$4:$E$7),AE4&gt;=LOOKUP(H4,'Qualifying Scores'!$A$10:$A$13,'Qualifying Scores'!$E$10:$E$13)),AND(AG4&gt;=LOOKUP(H4,'Qualifying Scores'!$A$4:$A$7,'Qualifying Scores'!$E$4:$E$7),AH4&gt;=LOOKUP(H4,'Qualifying Scores'!$A$10:$A$13,'Qualifying Scores'!$E$10:$E$13))),"P",""))</f>
        <v>P</v>
      </c>
      <c r="R4" s="1">
        <f>IF(A4&lt;5,IF(_xlfn.MAXIFS(A:A,H:H,H4)&gt;3,5-A4,_xlfn.MAXIFS(A:A,H:H,H4)+1-A4),"")</f>
        <v>1</v>
      </c>
      <c r="S4" s="4">
        <f>MAX(U4,W4,Z4,AB4,AD4,AG4)</f>
        <v>43.54</v>
      </c>
      <c r="T4" s="4">
        <f>LARGE(CHOOSE({1,2,3,4,5,6},U4,W4,Z4,AB4,AD4,AG4),2)</f>
        <v>40.26</v>
      </c>
      <c r="U4" s="33"/>
      <c r="V4" s="40"/>
      <c r="W4" s="34"/>
      <c r="X4" s="40"/>
      <c r="Y4" s="4">
        <f>IF(I4="Senior",MAX(U4,W4),U4+W4)</f>
        <v>0</v>
      </c>
      <c r="Z4" s="34"/>
      <c r="AA4" s="40"/>
      <c r="AB4" s="33">
        <v>43.54</v>
      </c>
      <c r="AC4" s="40">
        <v>9</v>
      </c>
      <c r="AD4" s="34">
        <v>40.26</v>
      </c>
      <c r="AE4" s="40">
        <v>9</v>
      </c>
      <c r="AF4" s="4">
        <f>IF(I4="Senior",MAX(AB4,AD4),AB4+AD4)</f>
        <v>43.54</v>
      </c>
      <c r="AG4" s="34">
        <v>26.18</v>
      </c>
      <c r="AH4" s="37">
        <v>5.8</v>
      </c>
    </row>
    <row r="5" spans="1:34" x14ac:dyDescent="0.2">
      <c r="A5" s="1" t="str" cm="1">
        <f t="array" ref="A5">IF(J5="","",IF(Q5&lt;&gt;"",SUMPRODUCT((Q$3:Q$47&lt;&gt;"")*(H$3:H$47=H5)*(K$3:K$47&gt;K5)*(J$3:J$47="P"))+1,IF(P5&lt;&gt;"",SUMPRODUCT((P$3:P$47&lt;&gt;"")*(Q$3:Q$47="")*(H$3:H$47=H5)*(K$3:K$47&gt;K5)*(J$3:J$47="P"))+SUMPRODUCT((Q$3:Q$47&lt;&gt;"")*(H$3:H$47=H5)*(J$3:J$47="P"))+1,IF(O5&lt;&gt;"",SUMPRODUCT((O$3:O$47&lt;&gt;"")*(H$3:H$47=H5)*(K$3:K$47&gt;K5)*(J$3:J$47="P"))+1,IF(N5="P",SUMPRODUCT((P$3:P$47&lt;&gt;"")*(Q$3:Q$47="")*(H$3:H$47=H5)*(J$3:J$47="P"))+SUMPRODUCT((Q$3:Q$47&lt;&gt;"")*(H$3:H$47=H5)*(J$3:J$47="P"))+SUMPRODUCT((O$3:O$47&lt;&gt;"")*(H$3:H$47=H5)*(J$3:J$47="P"))+SUMPRODUCT((Q$3:Q$47="")*(P$3:P$47="")*(O$3:O$47="")*(N$3:N$47="P")*(H$3:H$47=H5)*(K$3:K$47&gt;K5)*(J$3:J$47="P"))+IF(I5="L5",SUMPRODUCT((Q$3:Q$47="")*(P$3:P$47="")*(O$3:O$47="")*(N$3:N$47="P")*(H$3:H$47=H5)*(K$3:K$47&lt;K5)*(I$3:I$47&lt;&gt;I5)*(J$3:J$47="P")),-1*SUMPRODUCT((Q$3:Q$47="")*(P$3:P$47="")*(O$3:O$47="")*(N$3:N$47="P")*(H$3:H$47=H5)*(K$3:K$47&gt;K5)*(I$3:I$47="L5")*(J$3:J$47="P")))+1,"")))))</f>
        <v/>
      </c>
      <c r="B5" s="1" t="str" cm="1">
        <f t="array" ref="B5">IF(Q5&lt;&gt;"",SUMPRODUCT((Q$3:Q$47&lt;&gt;"")*(H$3:H$47=H5)*(K$3:K$47&gt;K5))+1,IF(P5&lt;&gt;"",SUMPRODUCT((P$3:P$47&lt;&gt;"")*(Q$3:Q$47="")*(H$3:H$47=H5)*(K$3:K$47&gt;K5))+SUMPRODUCT((Q$3:Q$47&lt;&gt;"")*(H$3:H$47=H5))+1,IF(O5&lt;&gt;"",SUMPRODUCT((O$3:O$47&lt;&gt;"")*(H$3:H$47=H5)*(K$3:K$47&gt;K5))+1,IF(N5="P",SUMPRODUCT((P$3:P$47&lt;&gt;"")*(Q$3:Q$47="")*(H$3:H$47=H5))+SUMPRODUCT((Q$3:Q$47&lt;&gt;"")*(H$3:H$47=H5))+SUMPRODUCT((O$3:O$47&lt;&gt;"")*(H$3:H$47=H5))+SUMPRODUCT((Q$3:Q$47="")*(P$3:P$47="")*(O$3:O$47="")*(N$3:N$47="P")*(H$3:H$47=H5)*(K$3:K$47&gt;K5))+IF(I5="L5",SUMPRODUCT((Q$3:Q$47="")*(P$3:P$47="")*(O$3:O$47="")*(N$3:N$47="P")*(H$3:H$47=H5)*(K$3:K$47&lt;K5)*(I$3:I$47&lt;&gt;I5)),-1*SUMPRODUCT((Q$3:Q$47="")*(P$3:P$47="")*(O$3:O$47="")*(N$3:N$47="P")*(H$3:H$47=H5)*(K$3:K$47&gt;K5)*(I$3:I$47="L5")))+1,""))))</f>
        <v/>
      </c>
      <c r="C5" s="36" t="s">
        <v>341</v>
      </c>
      <c r="D5" s="36" t="str">
        <f>IF(E5="","",VLOOKUP(E5,'Coaching Points'!A:B,2,0)&amp;"/"&amp;VLOOKUP(F5,'Coaching Points'!A:B,2,0))</f>
        <v>QC/QC</v>
      </c>
      <c r="E5" s="36" t="s">
        <v>84</v>
      </c>
      <c r="F5" s="36" t="s">
        <v>84</v>
      </c>
      <c r="G5" s="35">
        <v>2005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9" t="s">
        <v>67</v>
      </c>
      <c r="J5" s="43"/>
      <c r="K5" s="4">
        <f>S5+T5+IF(OR(I5="Junior",I5="Senior"),0.0002,IF(OR(I5="L7",I5="L6"),0.0001,0))+MAX(AB5,AD5,AG5)*0.0000001</f>
        <v>87.860104355000004</v>
      </c>
      <c r="L5" s="3" t="str">
        <f>IF(H5="Not Age Eligible","",IF(MAX(U5,W5,Z5,AB5,AD5,AG5)&gt;=LOOKUP(H5,'Qualifying Scores'!$A$4:$A$7,'Qualifying Scores'!$E$4:$E$7),"P",""))</f>
        <v>P</v>
      </c>
      <c r="M5" s="3" t="str">
        <f>IF(H5="Not Age Eligible","",IF(MAX(V5,X5,AA5,AC5,AE5,AH5)&gt;=LOOKUP(H5,'Qualifying Scores'!$A$10:$A$13,'Qualifying Scores'!$E$10:$E$13),"P",""))</f>
        <v/>
      </c>
      <c r="N5" s="3" t="str">
        <f>IF(H5="Not Age Eligible","",IF(OR(AND(U5&gt;=LOOKUP(H5,'Qualifying Scores'!$A$4:$A$7,'Qualifying Scores'!$E$4:$E$7),V5&gt;=LOOKUP(H5,'Qualifying Scores'!$A$10:$A$13,'Qualifying Scores'!$E$10:$E$13)),AND(W5&gt;=LOOKUP(H5,'Qualifying Scores'!$A$4:$A$7,'Qualifying Scores'!$E$4:$E$7),X5&gt;=LOOKUP(H5,'Qualifying Scores'!$A$10:$A$13,'Qualifying Scores'!$E$10:$E$13)),AND(Z5&gt;=LOOKUP(H5,'Qualifying Scores'!$A$4:$A$7,'Qualifying Scores'!$E$4:$E$7),AA5&gt;=LOOKUP(H5,'Qualifying Scores'!$A$10:$A$13,'Qualifying Scores'!$E$10:$E$13)),AND(AB5&gt;=LOOKUP(H5,'Qualifying Scores'!$A$4:$A$7,'Qualifying Scores'!$E$4:$E$7),AC5&gt;=LOOKUP(H5,'Qualifying Scores'!$A$10:$A$13,'Qualifying Scores'!$E$10:$E$13)),AND(AD5&gt;=LOOKUP(H5,'Qualifying Scores'!$A$4:$A$7,'Qualifying Scores'!$E$4:$E$7),AE5&gt;=LOOKUP(H5,'Qualifying Scores'!$A$10:$A$13,'Qualifying Scores'!$E$10:$E$13)),AND(AG5&gt;=LOOKUP(H5,'Qualifying Scores'!$A$4:$A$7,'Qualifying Scores'!$E$4:$E$7),AH5&gt;=LOOKUP(H5,'Qualifying Scores'!$A$10:$A$13,'Qualifying Scores'!$E$10:$E$13))),"P",""))</f>
        <v/>
      </c>
      <c r="R5" s="1" t="str">
        <f>IF(A5&lt;5,IF(_xlfn.MAXIFS(A:A,H:H,H5)&gt;3,5-A5,_xlfn.MAXIFS(A:A,H:H,H5)+1-A5),"")</f>
        <v/>
      </c>
      <c r="S5" s="4">
        <f>MAX(U5,W5,Z5,AB5,AD5,AG5)</f>
        <v>44.31</v>
      </c>
      <c r="T5" s="4">
        <f>LARGE(CHOOSE({1,2,3,4,5,6},U5,W5,Z5,AB5,AD5,AG5),2)</f>
        <v>43.55</v>
      </c>
      <c r="U5" s="33">
        <v>44.31</v>
      </c>
      <c r="V5" s="40">
        <v>7.8</v>
      </c>
      <c r="W5" s="34"/>
      <c r="X5" s="40"/>
      <c r="Y5" s="4">
        <f>IF(I5="Senior",MAX(U5,W5),U5+W5)</f>
        <v>44.31</v>
      </c>
      <c r="Z5" s="34">
        <v>4.96</v>
      </c>
      <c r="AA5" s="40">
        <v>1.3</v>
      </c>
      <c r="AB5" s="33">
        <v>42.69</v>
      </c>
      <c r="AC5" s="40">
        <v>7.8</v>
      </c>
      <c r="AD5" s="34"/>
      <c r="AE5" s="40"/>
      <c r="AF5" s="4">
        <f>IF(I5="Senior",MAX(AB5,AD5),AB5+AD5)</f>
        <v>42.69</v>
      </c>
      <c r="AG5" s="34">
        <v>43.55</v>
      </c>
      <c r="AH5" s="37">
        <v>7.8</v>
      </c>
    </row>
    <row r="6" spans="1:34" x14ac:dyDescent="0.2">
      <c r="A6" s="1" t="str" cm="1">
        <f t="array" ref="A6">IF(J6="","",IF(Q6&lt;&gt;"",SUMPRODUCT((Q$3:Q$47&lt;&gt;"")*(H$3:H$47=H6)*(K$3:K$47&gt;K6)*(J$3:J$47="P"))+1,IF(P6&lt;&gt;"",SUMPRODUCT((P$3:P$47&lt;&gt;"")*(Q$3:Q$47="")*(H$3:H$47=H6)*(K$3:K$47&gt;K6)*(J$3:J$47="P"))+SUMPRODUCT((Q$3:Q$47&lt;&gt;"")*(H$3:H$47=H6)*(J$3:J$47="P"))+1,IF(O6&lt;&gt;"",SUMPRODUCT((O$3:O$47&lt;&gt;"")*(H$3:H$47=H6)*(K$3:K$47&gt;K6)*(J$3:J$47="P"))+1,IF(N6="P",SUMPRODUCT((P$3:P$47&lt;&gt;"")*(Q$3:Q$47="")*(H$3:H$47=H6)*(J$3:J$47="P"))+SUMPRODUCT((Q$3:Q$47&lt;&gt;"")*(H$3:H$47=H6)*(J$3:J$47="P"))+SUMPRODUCT((O$3:O$47&lt;&gt;"")*(H$3:H$47=H6)*(J$3:J$47="P"))+SUMPRODUCT((Q$3:Q$47="")*(P$3:P$47="")*(O$3:O$47="")*(N$3:N$47="P")*(H$3:H$47=H6)*(K$3:K$47&gt;K6)*(J$3:J$47="P"))+IF(I6="L5",SUMPRODUCT((Q$3:Q$47="")*(P$3:P$47="")*(O$3:O$47="")*(N$3:N$47="P")*(H$3:H$47=H6)*(K$3:K$47&lt;K6)*(I$3:I$47&lt;&gt;I6)*(J$3:J$47="P")),-1*SUMPRODUCT((Q$3:Q$47="")*(P$3:P$47="")*(O$3:O$47="")*(N$3:N$47="P")*(H$3:H$47=H6)*(K$3:K$47&gt;K6)*(I$3:I$47="L5")*(J$3:J$47="P")))+1,"")))))</f>
        <v/>
      </c>
      <c r="B6" s="1" t="str" cm="1">
        <f t="array" ref="B6">IF(Q6&lt;&gt;"",SUMPRODUCT((Q$3:Q$47&lt;&gt;"")*(H$3:H$47=H6)*(K$3:K$47&gt;K6))+1,IF(P6&lt;&gt;"",SUMPRODUCT((P$3:P$47&lt;&gt;"")*(Q$3:Q$47="")*(H$3:H$47=H6)*(K$3:K$47&gt;K6))+SUMPRODUCT((Q$3:Q$47&lt;&gt;"")*(H$3:H$47=H6))+1,IF(O6&lt;&gt;"",SUMPRODUCT((O$3:O$47&lt;&gt;"")*(H$3:H$47=H6)*(K$3:K$47&gt;K6))+1,IF(N6="P",SUMPRODUCT((P$3:P$47&lt;&gt;"")*(Q$3:Q$47="")*(H$3:H$47=H6))+SUMPRODUCT((Q$3:Q$47&lt;&gt;"")*(H$3:H$47=H6))+SUMPRODUCT((O$3:O$47&lt;&gt;"")*(H$3:H$47=H6))+SUMPRODUCT((Q$3:Q$47="")*(P$3:P$47="")*(O$3:O$47="")*(N$3:N$47="P")*(H$3:H$47=H6)*(K$3:K$47&gt;K6))+IF(I6="L5",SUMPRODUCT((Q$3:Q$47="")*(P$3:P$47="")*(O$3:O$47="")*(N$3:N$47="P")*(H$3:H$47=H6)*(K$3:K$47&lt;K6)*(I$3:I$47&lt;&gt;I6)),-1*SUMPRODUCT((Q$3:Q$47="")*(P$3:P$47="")*(O$3:O$47="")*(N$3:N$47="P")*(H$3:H$47=H6)*(K$3:K$47&gt;K6)*(I$3:I$47="L5")))+1,""))))</f>
        <v/>
      </c>
      <c r="C6" s="36" t="s">
        <v>334</v>
      </c>
      <c r="D6" s="36" t="str">
        <f>IF(E6="","",VLOOKUP(E6,'Coaching Points'!A:B,2,0)&amp;"/"&amp;VLOOKUP(F6,'Coaching Points'!A:B,2,0))</f>
        <v>QC/QC</v>
      </c>
      <c r="E6" s="36" t="s">
        <v>84</v>
      </c>
      <c r="F6" s="36" t="s">
        <v>84</v>
      </c>
      <c r="G6" s="35">
        <v>2006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9" t="s">
        <v>66</v>
      </c>
      <c r="J6" s="43"/>
      <c r="K6" s="4">
        <f>S6+T6+IF(OR(I6="Junior",I6="Senior"),0.0002,IF(OR(I6="L7",I6="L6"),0.0001,0))+MAX(AB6,AD6,AG6)*0.0000001</f>
        <v>86.070004152999999</v>
      </c>
      <c r="L6" s="3" t="str">
        <f>IF(H6="Not Age Eligible","",IF(MAX(U6,W6,Z6,AB6,AD6,AG6)&gt;=LOOKUP(H6,'Qualifying Scores'!$A$4:$A$7,'Qualifying Scores'!$E$4:$E$7),"P",""))</f>
        <v>P</v>
      </c>
      <c r="M6" s="3" t="str">
        <f>IF(H6="Not Age Eligible","",IF(MAX(V6,X6,AA6,AC6,AE6,AH6)&gt;=LOOKUP(H6,'Qualifying Scores'!$A$10:$A$13,'Qualifying Scores'!$E$10:$E$13),"P",""))</f>
        <v/>
      </c>
      <c r="N6" s="3" t="str">
        <f>IF(H6="Not Age Eligible","",IF(OR(AND(U6&gt;=LOOKUP(H6,'Qualifying Scores'!$A$4:$A$7,'Qualifying Scores'!$E$4:$E$7),V6&gt;=LOOKUP(H6,'Qualifying Scores'!$A$10:$A$13,'Qualifying Scores'!$E$10:$E$13)),AND(W6&gt;=LOOKUP(H6,'Qualifying Scores'!$A$4:$A$7,'Qualifying Scores'!$E$4:$E$7),X6&gt;=LOOKUP(H6,'Qualifying Scores'!$A$10:$A$13,'Qualifying Scores'!$E$10:$E$13)),AND(Z6&gt;=LOOKUP(H6,'Qualifying Scores'!$A$4:$A$7,'Qualifying Scores'!$E$4:$E$7),AA6&gt;=LOOKUP(H6,'Qualifying Scores'!$A$10:$A$13,'Qualifying Scores'!$E$10:$E$13)),AND(AB6&gt;=LOOKUP(H6,'Qualifying Scores'!$A$4:$A$7,'Qualifying Scores'!$E$4:$E$7),AC6&gt;=LOOKUP(H6,'Qualifying Scores'!$A$10:$A$13,'Qualifying Scores'!$E$10:$E$13)),AND(AD6&gt;=LOOKUP(H6,'Qualifying Scores'!$A$4:$A$7,'Qualifying Scores'!$E$4:$E$7),AE6&gt;=LOOKUP(H6,'Qualifying Scores'!$A$10:$A$13,'Qualifying Scores'!$E$10:$E$13)),AND(AG6&gt;=LOOKUP(H6,'Qualifying Scores'!$A$4:$A$7,'Qualifying Scores'!$E$4:$E$7),AH6&gt;=LOOKUP(H6,'Qualifying Scores'!$A$10:$A$13,'Qualifying Scores'!$E$10:$E$13))),"P",""))</f>
        <v/>
      </c>
      <c r="R6" s="1" t="str">
        <f>IF(A6&lt;5,IF(_xlfn.MAXIFS(A:A,H:H,H6)&gt;3,5-A6,_xlfn.MAXIFS(A:A,H:H,H6)+1-A6),"")</f>
        <v/>
      </c>
      <c r="S6" s="4">
        <f>MAX(U6,W6,Z6,AB6,AD6,AG6)</f>
        <v>43.1</v>
      </c>
      <c r="T6" s="4">
        <f>LARGE(CHOOSE({1,2,3,4,5,6},U6,W6,Z6,AB6,AD6,AG6),2)</f>
        <v>42.97</v>
      </c>
      <c r="U6" s="33">
        <v>43.1</v>
      </c>
      <c r="V6" s="40">
        <v>7.1</v>
      </c>
      <c r="W6" s="34"/>
      <c r="X6" s="40"/>
      <c r="Y6" s="4">
        <f>IF(I6="Senior",MAX(U6,W6),U6+W6)</f>
        <v>43.1</v>
      </c>
      <c r="Z6" s="34">
        <v>42.97</v>
      </c>
      <c r="AA6" s="40">
        <v>7.1</v>
      </c>
      <c r="AB6" s="33">
        <v>41.17</v>
      </c>
      <c r="AC6" s="40">
        <v>7.1</v>
      </c>
      <c r="AD6" s="34"/>
      <c r="AE6" s="40"/>
      <c r="AF6" s="4">
        <f>IF(I6="Senior",MAX(AB6,AD6),AB6+AD6)</f>
        <v>41.17</v>
      </c>
      <c r="AG6" s="34">
        <v>41.53</v>
      </c>
      <c r="AH6" s="37">
        <v>7.1</v>
      </c>
    </row>
    <row r="7" spans="1:34" x14ac:dyDescent="0.2">
      <c r="A7" s="1" t="str" cm="1">
        <f t="array" ref="A7">IF(J7="","",IF(Q7&lt;&gt;"",SUMPRODUCT((Q$3:Q$47&lt;&gt;"")*(H$3:H$47=H7)*(K$3:K$47&gt;K7)*(J$3:J$47="P"))+1,IF(P7&lt;&gt;"",SUMPRODUCT((P$3:P$47&lt;&gt;"")*(Q$3:Q$47="")*(H$3:H$47=H7)*(K$3:K$47&gt;K7)*(J$3:J$47="P"))+SUMPRODUCT((Q$3:Q$47&lt;&gt;"")*(H$3:H$47=H7)*(J$3:J$47="P"))+1,IF(O7&lt;&gt;"",SUMPRODUCT((O$3:O$47&lt;&gt;"")*(H$3:H$47=H7)*(K$3:K$47&gt;K7)*(J$3:J$47="P"))+1,IF(N7="P",SUMPRODUCT((P$3:P$47&lt;&gt;"")*(Q$3:Q$47="")*(H$3:H$47=H7)*(J$3:J$47="P"))+SUMPRODUCT((Q$3:Q$47&lt;&gt;"")*(H$3:H$47=H7)*(J$3:J$47="P"))+SUMPRODUCT((O$3:O$47&lt;&gt;"")*(H$3:H$47=H7)*(J$3:J$47="P"))+SUMPRODUCT((Q$3:Q$47="")*(P$3:P$47="")*(O$3:O$47="")*(N$3:N$47="P")*(H$3:H$47=H7)*(K$3:K$47&gt;K7)*(J$3:J$47="P"))+IF(I7="L5",SUMPRODUCT((Q$3:Q$47="")*(P$3:P$47="")*(O$3:O$47="")*(N$3:N$47="P")*(H$3:H$47=H7)*(K$3:K$47&lt;K7)*(I$3:I$47&lt;&gt;I7)*(J$3:J$47="P")),-1*SUMPRODUCT((Q$3:Q$47="")*(P$3:P$47="")*(O$3:O$47="")*(N$3:N$47="P")*(H$3:H$47=H7)*(K$3:K$47&gt;K7)*(I$3:I$47="L5")*(J$3:J$47="P")))+1,"")))))</f>
        <v/>
      </c>
      <c r="B7" s="1" t="str" cm="1">
        <f t="array" ref="B7">IF(Q7&lt;&gt;"",SUMPRODUCT((Q$3:Q$47&lt;&gt;"")*(H$3:H$47=H7)*(K$3:K$47&gt;K7))+1,IF(P7&lt;&gt;"",SUMPRODUCT((P$3:P$47&lt;&gt;"")*(Q$3:Q$47="")*(H$3:H$47=H7)*(K$3:K$47&gt;K7))+SUMPRODUCT((Q$3:Q$47&lt;&gt;"")*(H$3:H$47=H7))+1,IF(O7&lt;&gt;"",SUMPRODUCT((O$3:O$47&lt;&gt;"")*(H$3:H$47=H7)*(K$3:K$47&gt;K7))+1,IF(N7="P",SUMPRODUCT((P$3:P$47&lt;&gt;"")*(Q$3:Q$47="")*(H$3:H$47=H7))+SUMPRODUCT((Q$3:Q$47&lt;&gt;"")*(H$3:H$47=H7))+SUMPRODUCT((O$3:O$47&lt;&gt;"")*(H$3:H$47=H7))+SUMPRODUCT((Q$3:Q$47="")*(P$3:P$47="")*(O$3:O$47="")*(N$3:N$47="P")*(H$3:H$47=H7)*(K$3:K$47&gt;K7))+IF(I7="L5",SUMPRODUCT((Q$3:Q$47="")*(P$3:P$47="")*(O$3:O$47="")*(N$3:N$47="P")*(H$3:H$47=H7)*(K$3:K$47&lt;K7)*(I$3:I$47&lt;&gt;I7)),-1*SUMPRODUCT((Q$3:Q$47="")*(P$3:P$47="")*(O$3:O$47="")*(N$3:N$47="P")*(H$3:H$47=H7)*(K$3:K$47&gt;K7)*(I$3:I$47="L5")))+1,""))))</f>
        <v/>
      </c>
      <c r="C7" s="36" t="s">
        <v>393</v>
      </c>
      <c r="D7" s="36" t="str">
        <f>IF(E7="","",VLOOKUP(E7,'Coaching Points'!A:B,2,0)&amp;"/"&amp;VLOOKUP(F7,'Coaching Points'!A:B,2,0))</f>
        <v>BC/BC</v>
      </c>
      <c r="E7" s="36" t="s">
        <v>37</v>
      </c>
      <c r="F7" s="36" t="s">
        <v>37</v>
      </c>
      <c r="G7" s="35">
        <v>2005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9" t="s">
        <v>66</v>
      </c>
      <c r="J7" s="43"/>
      <c r="K7" s="4">
        <f>S7+T7+IF(OR(I7="Junior",I7="Senior"),0.0002,IF(OR(I7="L7",I7="L6"),0.0001,0))+MAX(AB7,AD7,AG7)*0.0000001</f>
        <v>85.490004285000012</v>
      </c>
      <c r="L7" s="3" t="str">
        <f>IF(H7="Not Age Eligible","",IF(MAX(U7,W7,Z7,AB7,AD7,AG7)&gt;=LOOKUP(H7,'Qualifying Scores'!$A$4:$A$7,'Qualifying Scores'!$E$4:$E$7),"P",""))</f>
        <v>P</v>
      </c>
      <c r="M7" s="3" t="str">
        <f>IF(H7="Not Age Eligible","",IF(MAX(V7,X7,AA7,AC7,AE7,AH7)&gt;=LOOKUP(H7,'Qualifying Scores'!$A$10:$A$13,'Qualifying Scores'!$E$10:$E$13),"P",""))</f>
        <v/>
      </c>
      <c r="N7" s="3" t="str">
        <f>IF(H7="Not Age Eligible","",IF(OR(AND(U7&gt;=LOOKUP(H7,'Qualifying Scores'!$A$4:$A$7,'Qualifying Scores'!$E$4:$E$7),V7&gt;=LOOKUP(H7,'Qualifying Scores'!$A$10:$A$13,'Qualifying Scores'!$E$10:$E$13)),AND(W7&gt;=LOOKUP(H7,'Qualifying Scores'!$A$4:$A$7,'Qualifying Scores'!$E$4:$E$7),X7&gt;=LOOKUP(H7,'Qualifying Scores'!$A$10:$A$13,'Qualifying Scores'!$E$10:$E$13)),AND(Z7&gt;=LOOKUP(H7,'Qualifying Scores'!$A$4:$A$7,'Qualifying Scores'!$E$4:$E$7),AA7&gt;=LOOKUP(H7,'Qualifying Scores'!$A$10:$A$13,'Qualifying Scores'!$E$10:$E$13)),AND(AB7&gt;=LOOKUP(H7,'Qualifying Scores'!$A$4:$A$7,'Qualifying Scores'!$E$4:$E$7),AC7&gt;=LOOKUP(H7,'Qualifying Scores'!$A$10:$A$13,'Qualifying Scores'!$E$10:$E$13)),AND(AD7&gt;=LOOKUP(H7,'Qualifying Scores'!$A$4:$A$7,'Qualifying Scores'!$E$4:$E$7),AE7&gt;=LOOKUP(H7,'Qualifying Scores'!$A$10:$A$13,'Qualifying Scores'!$E$10:$E$13)),AND(AG7&gt;=LOOKUP(H7,'Qualifying Scores'!$A$4:$A$7,'Qualifying Scores'!$E$4:$E$7),AH7&gt;=LOOKUP(H7,'Qualifying Scores'!$A$10:$A$13,'Qualifying Scores'!$E$10:$E$13))),"P",""))</f>
        <v/>
      </c>
      <c r="R7" s="1" t="str">
        <f>IF(A7&lt;5,IF(_xlfn.MAXIFS(A:A,H:H,H7)&gt;3,5-A7,_xlfn.MAXIFS(A:A,H:H,H7)+1-A7),"")</f>
        <v/>
      </c>
      <c r="S7" s="4">
        <f>MAX(U7,W7,Z7,AB7,AD7,AG7)</f>
        <v>42.85</v>
      </c>
      <c r="T7" s="4">
        <f>LARGE(CHOOSE({1,2,3,4,5,6},U7,W7,Z7,AB7,AD7,AG7),2)</f>
        <v>42.64</v>
      </c>
      <c r="U7" s="33"/>
      <c r="V7" s="40"/>
      <c r="W7" s="34"/>
      <c r="X7" s="40"/>
      <c r="Y7" s="4">
        <f>IF(I7="Senior",MAX(U7,W7),U7+W7)</f>
        <v>0</v>
      </c>
      <c r="Z7" s="34"/>
      <c r="AA7" s="40"/>
      <c r="AB7" s="33">
        <v>42.64</v>
      </c>
      <c r="AC7" s="40">
        <v>7.1</v>
      </c>
      <c r="AD7" s="34"/>
      <c r="AE7" s="40"/>
      <c r="AF7" s="4">
        <f>IF(I7="Senior",MAX(AB7,AD7),AB7+AD7)</f>
        <v>42.64</v>
      </c>
      <c r="AG7" s="34">
        <v>42.85</v>
      </c>
      <c r="AH7" s="37">
        <v>7.1</v>
      </c>
    </row>
    <row r="8" spans="1:34" x14ac:dyDescent="0.2">
      <c r="A8" s="1" t="str" cm="1">
        <f t="array" ref="A8">IF(J8="","",IF(Q8&lt;&gt;"",SUMPRODUCT((Q$3:Q$47&lt;&gt;"")*(H$3:H$47=H8)*(K$3:K$47&gt;K8)*(J$3:J$47="P"))+1,IF(P8&lt;&gt;"",SUMPRODUCT((P$3:P$47&lt;&gt;"")*(Q$3:Q$47="")*(H$3:H$47=H8)*(K$3:K$47&gt;K8)*(J$3:J$47="P"))+SUMPRODUCT((Q$3:Q$47&lt;&gt;"")*(H$3:H$47=H8)*(J$3:J$47="P"))+1,IF(O8&lt;&gt;"",SUMPRODUCT((O$3:O$47&lt;&gt;"")*(H$3:H$47=H8)*(K$3:K$47&gt;K8)*(J$3:J$47="P"))+1,IF(N8="P",SUMPRODUCT((P$3:P$47&lt;&gt;"")*(Q$3:Q$47="")*(H$3:H$47=H8)*(J$3:J$47="P"))+SUMPRODUCT((Q$3:Q$47&lt;&gt;"")*(H$3:H$47=H8)*(J$3:J$47="P"))+SUMPRODUCT((O$3:O$47&lt;&gt;"")*(H$3:H$47=H8)*(J$3:J$47="P"))+SUMPRODUCT((Q$3:Q$47="")*(P$3:P$47="")*(O$3:O$47="")*(N$3:N$47="P")*(H$3:H$47=H8)*(K$3:K$47&gt;K8)*(J$3:J$47="P"))+IF(I8="L5",SUMPRODUCT((Q$3:Q$47="")*(P$3:P$47="")*(O$3:O$47="")*(N$3:N$47="P")*(H$3:H$47=H8)*(K$3:K$47&lt;K8)*(I$3:I$47&lt;&gt;I8)*(J$3:J$47="P")),-1*SUMPRODUCT((Q$3:Q$47="")*(P$3:P$47="")*(O$3:O$47="")*(N$3:N$47="P")*(H$3:H$47=H8)*(K$3:K$47&gt;K8)*(I$3:I$47="L5")*(J$3:J$47="P")))+1,"")))))</f>
        <v/>
      </c>
      <c r="B8" s="1" t="str" cm="1">
        <f t="array" ref="B8">IF(Q8&lt;&gt;"",SUMPRODUCT((Q$3:Q$47&lt;&gt;"")*(H$3:H$47=H8)*(K$3:K$47&gt;K8))+1,IF(P8&lt;&gt;"",SUMPRODUCT((P$3:P$47&lt;&gt;"")*(Q$3:Q$47="")*(H$3:H$47=H8)*(K$3:K$47&gt;K8))+SUMPRODUCT((Q$3:Q$47&lt;&gt;"")*(H$3:H$47=H8))+1,IF(O8&lt;&gt;"",SUMPRODUCT((O$3:O$47&lt;&gt;"")*(H$3:H$47=H8)*(K$3:K$47&gt;K8))+1,IF(N8="P",SUMPRODUCT((P$3:P$47&lt;&gt;"")*(Q$3:Q$47="")*(H$3:H$47=H8))+SUMPRODUCT((Q$3:Q$47&lt;&gt;"")*(H$3:H$47=H8))+SUMPRODUCT((O$3:O$47&lt;&gt;"")*(H$3:H$47=H8))+SUMPRODUCT((Q$3:Q$47="")*(P$3:P$47="")*(O$3:O$47="")*(N$3:N$47="P")*(H$3:H$47=H8)*(K$3:K$47&gt;K8))+IF(I8="L5",SUMPRODUCT((Q$3:Q$47="")*(P$3:P$47="")*(O$3:O$47="")*(N$3:N$47="P")*(H$3:H$47=H8)*(K$3:K$47&lt;K8)*(I$3:I$47&lt;&gt;I8)),-1*SUMPRODUCT((Q$3:Q$47="")*(P$3:P$47="")*(O$3:O$47="")*(N$3:N$47="P")*(H$3:H$47=H8)*(K$3:K$47&gt;K8)*(I$3:I$47="L5")))+1,""))))</f>
        <v/>
      </c>
      <c r="C8" s="36" t="s">
        <v>394</v>
      </c>
      <c r="D8" s="36" t="str">
        <f>IF(E8="","",VLOOKUP(E8,'Coaching Points'!A:B,2,0)&amp;"/"&amp;VLOOKUP(F8,'Coaching Points'!A:B,2,0))</f>
        <v>ON/ON</v>
      </c>
      <c r="E8" s="36" t="s">
        <v>38</v>
      </c>
      <c r="F8" s="36" t="s">
        <v>38</v>
      </c>
      <c r="G8" s="35">
        <v>2006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9" t="s">
        <v>66</v>
      </c>
      <c r="J8" s="43"/>
      <c r="K8" s="4">
        <f>S8+T8+IF(OR(I8="Junior",I8="Senior"),0.0002,IF(OR(I8="L7",I8="L6"),0.0001,0))+MAX(AB8,AD8,AG8)*0.0000001</f>
        <v>83.320004267999991</v>
      </c>
      <c r="L8" s="3" t="str">
        <f>IF(H8="Not Age Eligible","",IF(MAX(U8,W8,Z8,AB8,AD8,AG8)&gt;=LOOKUP(H8,'Qualifying Scores'!$A$4:$A$7,'Qualifying Scores'!$E$4:$E$7),"P",""))</f>
        <v>P</v>
      </c>
      <c r="M8" s="3" t="str">
        <f>IF(H8="Not Age Eligible","",IF(MAX(V8,X8,AA8,AC8,AE8,AH8)&gt;=LOOKUP(H8,'Qualifying Scores'!$A$10:$A$13,'Qualifying Scores'!$E$10:$E$13),"P",""))</f>
        <v/>
      </c>
      <c r="N8" s="3" t="str">
        <f>IF(H8="Not Age Eligible","",IF(OR(AND(U8&gt;=LOOKUP(H8,'Qualifying Scores'!$A$4:$A$7,'Qualifying Scores'!$E$4:$E$7),V8&gt;=LOOKUP(H8,'Qualifying Scores'!$A$10:$A$13,'Qualifying Scores'!$E$10:$E$13)),AND(W8&gt;=LOOKUP(H8,'Qualifying Scores'!$A$4:$A$7,'Qualifying Scores'!$E$4:$E$7),X8&gt;=LOOKUP(H8,'Qualifying Scores'!$A$10:$A$13,'Qualifying Scores'!$E$10:$E$13)),AND(Z8&gt;=LOOKUP(H8,'Qualifying Scores'!$A$4:$A$7,'Qualifying Scores'!$E$4:$E$7),AA8&gt;=LOOKUP(H8,'Qualifying Scores'!$A$10:$A$13,'Qualifying Scores'!$E$10:$E$13)),AND(AB8&gt;=LOOKUP(H8,'Qualifying Scores'!$A$4:$A$7,'Qualifying Scores'!$E$4:$E$7),AC8&gt;=LOOKUP(H8,'Qualifying Scores'!$A$10:$A$13,'Qualifying Scores'!$E$10:$E$13)),AND(AD8&gt;=LOOKUP(H8,'Qualifying Scores'!$A$4:$A$7,'Qualifying Scores'!$E$4:$E$7),AE8&gt;=LOOKUP(H8,'Qualifying Scores'!$A$10:$A$13,'Qualifying Scores'!$E$10:$E$13)),AND(AG8&gt;=LOOKUP(H8,'Qualifying Scores'!$A$4:$A$7,'Qualifying Scores'!$E$4:$E$7),AH8&gt;=LOOKUP(H8,'Qualifying Scores'!$A$10:$A$13,'Qualifying Scores'!$E$10:$E$13))),"P",""))</f>
        <v/>
      </c>
      <c r="R8" s="1" t="str">
        <f>IF(A8&lt;5,IF(_xlfn.MAXIFS(A:A,H:H,H8)&gt;3,5-A8,_xlfn.MAXIFS(A:A,H:H,H8)+1-A8),"")</f>
        <v/>
      </c>
      <c r="S8" s="4">
        <f>MAX(U8,W8,Z8,AB8,AD8,AG8)</f>
        <v>42.68</v>
      </c>
      <c r="T8" s="4">
        <f>LARGE(CHOOSE({1,2,3,4,5,6},U8,W8,Z8,AB8,AD8,AG8),2)</f>
        <v>40.64</v>
      </c>
      <c r="U8" s="33"/>
      <c r="V8" s="40"/>
      <c r="W8" s="34"/>
      <c r="X8" s="40"/>
      <c r="Y8" s="4">
        <f>IF(I8="Senior",MAX(U8,W8),U8+W8)</f>
        <v>0</v>
      </c>
      <c r="Z8" s="34"/>
      <c r="AA8" s="40"/>
      <c r="AB8" s="33">
        <v>42.68</v>
      </c>
      <c r="AC8" s="40">
        <v>7.4</v>
      </c>
      <c r="AD8" s="34"/>
      <c r="AE8" s="40"/>
      <c r="AF8" s="4">
        <f>IF(I8="Senior",MAX(AB8,AD8),AB8+AD8)</f>
        <v>42.68</v>
      </c>
      <c r="AG8" s="34">
        <v>40.64</v>
      </c>
      <c r="AH8" s="37">
        <v>7.4</v>
      </c>
    </row>
    <row r="9" spans="1:34" x14ac:dyDescent="0.2">
      <c r="A9" s="1" t="str" cm="1">
        <f t="array" ref="A9">IF(J9="","",IF(Q9&lt;&gt;"",SUMPRODUCT((Q$3:Q$47&lt;&gt;"")*(H$3:H$47=H9)*(K$3:K$47&gt;K9)*(J$3:J$47="P"))+1,IF(P9&lt;&gt;"",SUMPRODUCT((P$3:P$47&lt;&gt;"")*(Q$3:Q$47="")*(H$3:H$47=H9)*(K$3:K$47&gt;K9)*(J$3:J$47="P"))+SUMPRODUCT((Q$3:Q$47&lt;&gt;"")*(H$3:H$47=H9)*(J$3:J$47="P"))+1,IF(O9&lt;&gt;"",SUMPRODUCT((O$3:O$47&lt;&gt;"")*(H$3:H$47=H9)*(K$3:K$47&gt;K9)*(J$3:J$47="P"))+1,IF(N9="P",SUMPRODUCT((P$3:P$47&lt;&gt;"")*(Q$3:Q$47="")*(H$3:H$47=H9)*(J$3:J$47="P"))+SUMPRODUCT((Q$3:Q$47&lt;&gt;"")*(H$3:H$47=H9)*(J$3:J$47="P"))+SUMPRODUCT((O$3:O$47&lt;&gt;"")*(H$3:H$47=H9)*(J$3:J$47="P"))+SUMPRODUCT((Q$3:Q$47="")*(P$3:P$47="")*(O$3:O$47="")*(N$3:N$47="P")*(H$3:H$47=H9)*(K$3:K$47&gt;K9)*(J$3:J$47="P"))+IF(I9="L5",SUMPRODUCT((Q$3:Q$47="")*(P$3:P$47="")*(O$3:O$47="")*(N$3:N$47="P")*(H$3:H$47=H9)*(K$3:K$47&lt;K9)*(I$3:I$47&lt;&gt;I9)*(J$3:J$47="P")),-1*SUMPRODUCT((Q$3:Q$47="")*(P$3:P$47="")*(O$3:O$47="")*(N$3:N$47="P")*(H$3:H$47=H9)*(K$3:K$47&gt;K9)*(I$3:I$47="L5")*(J$3:J$47="P")))+1,"")))))</f>
        <v/>
      </c>
      <c r="B9" s="1" t="str" cm="1">
        <f t="array" ref="B9">IF(Q9&lt;&gt;"",SUMPRODUCT((Q$3:Q$47&lt;&gt;"")*(H$3:H$47=H9)*(K$3:K$47&gt;K9))+1,IF(P9&lt;&gt;"",SUMPRODUCT((P$3:P$47&lt;&gt;"")*(Q$3:Q$47="")*(H$3:H$47=H9)*(K$3:K$47&gt;K9))+SUMPRODUCT((Q$3:Q$47&lt;&gt;"")*(H$3:H$47=H9))+1,IF(O9&lt;&gt;"",SUMPRODUCT((O$3:O$47&lt;&gt;"")*(H$3:H$47=H9)*(K$3:K$47&gt;K9))+1,IF(N9="P",SUMPRODUCT((P$3:P$47&lt;&gt;"")*(Q$3:Q$47="")*(H$3:H$47=H9))+SUMPRODUCT((Q$3:Q$47&lt;&gt;"")*(H$3:H$47=H9))+SUMPRODUCT((O$3:O$47&lt;&gt;"")*(H$3:H$47=H9))+SUMPRODUCT((Q$3:Q$47="")*(P$3:P$47="")*(O$3:O$47="")*(N$3:N$47="P")*(H$3:H$47=H9)*(K$3:K$47&gt;K9))+IF(I9="L5",SUMPRODUCT((Q$3:Q$47="")*(P$3:P$47="")*(O$3:O$47="")*(N$3:N$47="P")*(H$3:H$47=H9)*(K$3:K$47&lt;K9)*(I$3:I$47&lt;&gt;I9)),-1*SUMPRODUCT((Q$3:Q$47="")*(P$3:P$47="")*(O$3:O$47="")*(N$3:N$47="P")*(H$3:H$47=H9)*(K$3:K$47&gt;K9)*(I$3:I$47="L5")))+1,""))))</f>
        <v/>
      </c>
      <c r="C9" s="36" t="s">
        <v>395</v>
      </c>
      <c r="D9" s="36" t="str">
        <f>IF(E9="","",VLOOKUP(E9,'Coaching Points'!A:B,2,0)&amp;"/"&amp;VLOOKUP(F9,'Coaching Points'!A:B,2,0))</f>
        <v>NS/NS</v>
      </c>
      <c r="E9" s="36" t="s">
        <v>134</v>
      </c>
      <c r="F9" s="36" t="s">
        <v>134</v>
      </c>
      <c r="G9" s="35">
        <v>2005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9" t="s">
        <v>66</v>
      </c>
      <c r="J9" s="43"/>
      <c r="K9" s="4">
        <f>S9+T9+IF(OR(I9="Junior",I9="Senior"),0.0002,IF(OR(I9="L7",I9="L6"),0.0001,0))+MAX(AB9,AD9,AG9)*0.0000001</f>
        <v>82.710004296000008</v>
      </c>
      <c r="L9" s="3" t="str">
        <f>IF(H9="Not Age Eligible","",IF(MAX(U9,W9,Z9,AB9,AD9,AG9)&gt;=LOOKUP(H9,'Qualifying Scores'!$A$4:$A$7,'Qualifying Scores'!$E$4:$E$7),"P",""))</f>
        <v>P</v>
      </c>
      <c r="M9" s="3" t="str">
        <f>IF(H9="Not Age Eligible","",IF(MAX(V9,X9,AA9,AC9,AE9,AH9)&gt;=LOOKUP(H9,'Qualifying Scores'!$A$10:$A$13,'Qualifying Scores'!$E$10:$E$13),"P",""))</f>
        <v/>
      </c>
      <c r="N9" s="3" t="str">
        <f>IF(H9="Not Age Eligible","",IF(OR(AND(U9&gt;=LOOKUP(H9,'Qualifying Scores'!$A$4:$A$7,'Qualifying Scores'!$E$4:$E$7),V9&gt;=LOOKUP(H9,'Qualifying Scores'!$A$10:$A$13,'Qualifying Scores'!$E$10:$E$13)),AND(W9&gt;=LOOKUP(H9,'Qualifying Scores'!$A$4:$A$7,'Qualifying Scores'!$E$4:$E$7),X9&gt;=LOOKUP(H9,'Qualifying Scores'!$A$10:$A$13,'Qualifying Scores'!$E$10:$E$13)),AND(Z9&gt;=LOOKUP(H9,'Qualifying Scores'!$A$4:$A$7,'Qualifying Scores'!$E$4:$E$7),AA9&gt;=LOOKUP(H9,'Qualifying Scores'!$A$10:$A$13,'Qualifying Scores'!$E$10:$E$13)),AND(AB9&gt;=LOOKUP(H9,'Qualifying Scores'!$A$4:$A$7,'Qualifying Scores'!$E$4:$E$7),AC9&gt;=LOOKUP(H9,'Qualifying Scores'!$A$10:$A$13,'Qualifying Scores'!$E$10:$E$13)),AND(AD9&gt;=LOOKUP(H9,'Qualifying Scores'!$A$4:$A$7,'Qualifying Scores'!$E$4:$E$7),AE9&gt;=LOOKUP(H9,'Qualifying Scores'!$A$10:$A$13,'Qualifying Scores'!$E$10:$E$13)),AND(AG9&gt;=LOOKUP(H9,'Qualifying Scores'!$A$4:$A$7,'Qualifying Scores'!$E$4:$E$7),AH9&gt;=LOOKUP(H9,'Qualifying Scores'!$A$10:$A$13,'Qualifying Scores'!$E$10:$E$13))),"P",""))</f>
        <v/>
      </c>
      <c r="R9" s="1" t="str">
        <f>IF(A9&lt;5,IF(_xlfn.MAXIFS(A:A,H:H,H9)&gt;3,5-A9,_xlfn.MAXIFS(A:A,H:H,H9)+1-A9),"")</f>
        <v/>
      </c>
      <c r="S9" s="4">
        <f>MAX(U9,W9,Z9,AB9,AD9,AG9)</f>
        <v>42.96</v>
      </c>
      <c r="T9" s="4">
        <f>LARGE(CHOOSE({1,2,3,4,5,6},U9,W9,Z9,AB9,AD9,AG9),2)</f>
        <v>39.75</v>
      </c>
      <c r="U9" s="33"/>
      <c r="V9" s="40"/>
      <c r="W9" s="34"/>
      <c r="X9" s="40"/>
      <c r="Y9" s="4">
        <f>IF(I9="Senior",MAX(U9,W9),U9+W9)</f>
        <v>0</v>
      </c>
      <c r="Z9" s="34"/>
      <c r="AA9" s="40"/>
      <c r="AB9" s="33">
        <v>42.96</v>
      </c>
      <c r="AC9" s="40">
        <v>7.6</v>
      </c>
      <c r="AD9" s="34"/>
      <c r="AE9" s="40"/>
      <c r="AF9" s="4">
        <f>IF(I9="Senior",MAX(AB9,AD9),AB9+AD9)</f>
        <v>42.96</v>
      </c>
      <c r="AG9" s="34">
        <v>39.75</v>
      </c>
      <c r="AH9" s="37">
        <v>7.6</v>
      </c>
    </row>
    <row r="10" spans="1:34" x14ac:dyDescent="0.2">
      <c r="A10" s="1" t="str" cm="1">
        <f t="array" ref="A10">IF(J10="","",IF(Q10&lt;&gt;"",SUMPRODUCT((Q$3:Q$47&lt;&gt;"")*(H$3:H$47=H10)*(K$3:K$47&gt;K10)*(J$3:J$47="P"))+1,IF(P10&lt;&gt;"",SUMPRODUCT((P$3:P$47&lt;&gt;"")*(Q$3:Q$47="")*(H$3:H$47=H10)*(K$3:K$47&gt;K10)*(J$3:J$47="P"))+SUMPRODUCT((Q$3:Q$47&lt;&gt;"")*(H$3:H$47=H10)*(J$3:J$47="P"))+1,IF(O10&lt;&gt;"",SUMPRODUCT((O$3:O$47&lt;&gt;"")*(H$3:H$47=H10)*(K$3:K$47&gt;K10)*(J$3:J$47="P"))+1,IF(N10="P",SUMPRODUCT((P$3:P$47&lt;&gt;"")*(Q$3:Q$47="")*(H$3:H$47=H10)*(J$3:J$47="P"))+SUMPRODUCT((Q$3:Q$47&lt;&gt;"")*(H$3:H$47=H10)*(J$3:J$47="P"))+SUMPRODUCT((O$3:O$47&lt;&gt;"")*(H$3:H$47=H10)*(J$3:J$47="P"))+SUMPRODUCT((Q$3:Q$47="")*(P$3:P$47="")*(O$3:O$47="")*(N$3:N$47="P")*(H$3:H$47=H10)*(K$3:K$47&gt;K10)*(J$3:J$47="P"))+IF(I10="L5",SUMPRODUCT((Q$3:Q$47="")*(P$3:P$47="")*(O$3:O$47="")*(N$3:N$47="P")*(H$3:H$47=H10)*(K$3:K$47&lt;K10)*(I$3:I$47&lt;&gt;I10)*(J$3:J$47="P")),-1*SUMPRODUCT((Q$3:Q$47="")*(P$3:P$47="")*(O$3:O$47="")*(N$3:N$47="P")*(H$3:H$47=H10)*(K$3:K$47&gt;K10)*(I$3:I$47="L5")*(J$3:J$47="P")))+1,"")))))</f>
        <v/>
      </c>
      <c r="B10" s="1" t="str" cm="1">
        <f t="array" ref="B10">IF(Q10&lt;&gt;"",SUMPRODUCT((Q$3:Q$47&lt;&gt;"")*(H$3:H$47=H10)*(K$3:K$47&gt;K10))+1,IF(P10&lt;&gt;"",SUMPRODUCT((P$3:P$47&lt;&gt;"")*(Q$3:Q$47="")*(H$3:H$47=H10)*(K$3:K$47&gt;K10))+SUMPRODUCT((Q$3:Q$47&lt;&gt;"")*(H$3:H$47=H10))+1,IF(O10&lt;&gt;"",SUMPRODUCT((O$3:O$47&lt;&gt;"")*(H$3:H$47=H10)*(K$3:K$47&gt;K10))+1,IF(N10="P",SUMPRODUCT((P$3:P$47&lt;&gt;"")*(Q$3:Q$47="")*(H$3:H$47=H10))+SUMPRODUCT((Q$3:Q$47&lt;&gt;"")*(H$3:H$47=H10))+SUMPRODUCT((O$3:O$47&lt;&gt;"")*(H$3:H$47=H10))+SUMPRODUCT((Q$3:Q$47="")*(P$3:P$47="")*(O$3:O$47="")*(N$3:N$47="P")*(H$3:H$47=H10)*(K$3:K$47&gt;K10))+IF(I10="L5",SUMPRODUCT((Q$3:Q$47="")*(P$3:P$47="")*(O$3:O$47="")*(N$3:N$47="P")*(H$3:H$47=H10)*(K$3:K$47&lt;K10)*(I$3:I$47&lt;&gt;I10)),-1*SUMPRODUCT((Q$3:Q$47="")*(P$3:P$47="")*(O$3:O$47="")*(N$3:N$47="P")*(H$3:H$47=H10)*(K$3:K$47&gt;K10)*(I$3:I$47="L5")))+1,""))))</f>
        <v/>
      </c>
      <c r="C10" s="36" t="s">
        <v>259</v>
      </c>
      <c r="D10" s="36" t="str">
        <f>IF(E10="","",VLOOKUP(E10,'Coaching Points'!A:B,2,0)&amp;"/"&amp;VLOOKUP(F10,'Coaching Points'!A:B,2,0))</f>
        <v>AB/AB</v>
      </c>
      <c r="E10" s="36" t="s">
        <v>29</v>
      </c>
      <c r="F10" s="36" t="s">
        <v>29</v>
      </c>
      <c r="G10" s="35">
        <v>2004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9" t="s">
        <v>67</v>
      </c>
      <c r="J10" s="43"/>
      <c r="K10" s="4">
        <f>S10+T10+IF(OR(I10="Junior",I10="Senior"),0.0002,IF(OR(I10="L7",I10="L6"),0.0001,0))+MAX(AB10,AD10,AG10)*0.0000001</f>
        <v>81.460101437000006</v>
      </c>
      <c r="L10" s="3" t="str">
        <f>IF(H10="Not Age Eligible","",IF(MAX(U10,W10,Z10,AB10,AD10,AG10)&gt;=LOOKUP(H10,'Qualifying Scores'!$A$4:$A$7,'Qualifying Scores'!$E$4:$E$7),"P",""))</f>
        <v/>
      </c>
      <c r="M10" s="3" t="str">
        <f>IF(H10="Not Age Eligible","",IF(MAX(V10,X10,AA10,AC10,AE10,AH10)&gt;=LOOKUP(H10,'Qualifying Scores'!$A$10:$A$13,'Qualifying Scores'!$E$10:$E$13),"P",""))</f>
        <v/>
      </c>
      <c r="N10" s="3" t="str">
        <f>IF(H10="Not Age Eligible","",IF(OR(AND(U10&gt;=LOOKUP(H10,'Qualifying Scores'!$A$4:$A$7,'Qualifying Scores'!$E$4:$E$7),V10&gt;=LOOKUP(H10,'Qualifying Scores'!$A$10:$A$13,'Qualifying Scores'!$E$10:$E$13)),AND(W10&gt;=LOOKUP(H10,'Qualifying Scores'!$A$4:$A$7,'Qualifying Scores'!$E$4:$E$7),X10&gt;=LOOKUP(H10,'Qualifying Scores'!$A$10:$A$13,'Qualifying Scores'!$E$10:$E$13)),AND(Z10&gt;=LOOKUP(H10,'Qualifying Scores'!$A$4:$A$7,'Qualifying Scores'!$E$4:$E$7),AA10&gt;=LOOKUP(H10,'Qualifying Scores'!$A$10:$A$13,'Qualifying Scores'!$E$10:$E$13)),AND(AB10&gt;=LOOKUP(H10,'Qualifying Scores'!$A$4:$A$7,'Qualifying Scores'!$E$4:$E$7),AC10&gt;=LOOKUP(H10,'Qualifying Scores'!$A$10:$A$13,'Qualifying Scores'!$E$10:$E$13)),AND(AD10&gt;=LOOKUP(H10,'Qualifying Scores'!$A$4:$A$7,'Qualifying Scores'!$E$4:$E$7),AE10&gt;=LOOKUP(H10,'Qualifying Scores'!$A$10:$A$13,'Qualifying Scores'!$E$10:$E$13)),AND(AG10&gt;=LOOKUP(H10,'Qualifying Scores'!$A$4:$A$7,'Qualifying Scores'!$E$4:$E$7),AH10&gt;=LOOKUP(H10,'Qualifying Scores'!$A$10:$A$13,'Qualifying Scores'!$E$10:$E$13))),"P",""))</f>
        <v/>
      </c>
      <c r="R10" s="1" t="str">
        <f>IF(A10&lt;5,IF(_xlfn.MAXIFS(A:A,H:H,H10)&gt;3,5-A10,_xlfn.MAXIFS(A:A,H:H,H10)+1-A10),"")</f>
        <v/>
      </c>
      <c r="S10" s="4">
        <f>MAX(U10,W10,Z10,AB10,AD10,AG10)</f>
        <v>41.54</v>
      </c>
      <c r="T10" s="4">
        <f>LARGE(CHOOSE({1,2,3,4,5,6},U10,W10,Z10,AB10,AD10,AG10),2)</f>
        <v>39.92</v>
      </c>
      <c r="U10" s="33">
        <v>41.54</v>
      </c>
      <c r="V10" s="40">
        <v>8.5</v>
      </c>
      <c r="W10" s="34"/>
      <c r="X10" s="40"/>
      <c r="Y10" s="4">
        <f>IF(I10="Senior",MAX(U10,W10),U10+W10)</f>
        <v>41.54</v>
      </c>
      <c r="Z10" s="34">
        <v>39.92</v>
      </c>
      <c r="AA10" s="40">
        <v>8.5</v>
      </c>
      <c r="AB10" s="33">
        <v>14.37</v>
      </c>
      <c r="AC10" s="40">
        <v>4</v>
      </c>
      <c r="AD10" s="34"/>
      <c r="AE10" s="40"/>
      <c r="AF10" s="4">
        <f>IF(I10="Senior",MAX(AB10,AD10),AB10+AD10)</f>
        <v>14.37</v>
      </c>
      <c r="AG10" s="34"/>
      <c r="AH10" s="37"/>
    </row>
    <row r="11" spans="1:34" x14ac:dyDescent="0.2">
      <c r="A11" s="1" t="str" cm="1">
        <f t="array" ref="A11">IF(J11="","",IF(Q11&lt;&gt;"",SUMPRODUCT((Q$3:Q$47&lt;&gt;"")*(H$3:H$47=H11)*(K$3:K$47&gt;K11)*(J$3:J$47="P"))+1,IF(P11&lt;&gt;"",SUMPRODUCT((P$3:P$47&lt;&gt;"")*(Q$3:Q$47="")*(H$3:H$47=H11)*(K$3:K$47&gt;K11)*(J$3:J$47="P"))+SUMPRODUCT((Q$3:Q$47&lt;&gt;"")*(H$3:H$47=H11)*(J$3:J$47="P"))+1,IF(O11&lt;&gt;"",SUMPRODUCT((O$3:O$47&lt;&gt;"")*(H$3:H$47=H11)*(K$3:K$47&gt;K11)*(J$3:J$47="P"))+1,IF(N11="P",SUMPRODUCT((P$3:P$47&lt;&gt;"")*(Q$3:Q$47="")*(H$3:H$47=H11)*(J$3:J$47="P"))+SUMPRODUCT((Q$3:Q$47&lt;&gt;"")*(H$3:H$47=H11)*(J$3:J$47="P"))+SUMPRODUCT((O$3:O$47&lt;&gt;"")*(H$3:H$47=H11)*(J$3:J$47="P"))+SUMPRODUCT((Q$3:Q$47="")*(P$3:P$47="")*(O$3:O$47="")*(N$3:N$47="P")*(H$3:H$47=H11)*(K$3:K$47&gt;K11)*(J$3:J$47="P"))+IF(I11="L5",SUMPRODUCT((Q$3:Q$47="")*(P$3:P$47="")*(O$3:O$47="")*(N$3:N$47="P")*(H$3:H$47=H11)*(K$3:K$47&lt;K11)*(I$3:I$47&lt;&gt;I11)*(J$3:J$47="P")),-1*SUMPRODUCT((Q$3:Q$47="")*(P$3:P$47="")*(O$3:O$47="")*(N$3:N$47="P")*(H$3:H$47=H11)*(K$3:K$47&gt;K11)*(I$3:I$47="L5")*(J$3:J$47="P")))+1,"")))))</f>
        <v/>
      </c>
      <c r="B11" s="1" t="str" cm="1">
        <f t="array" ref="B11">IF(Q11&lt;&gt;"",SUMPRODUCT((Q$3:Q$47&lt;&gt;"")*(H$3:H$47=H11)*(K$3:K$47&gt;K11))+1,IF(P11&lt;&gt;"",SUMPRODUCT((P$3:P$47&lt;&gt;"")*(Q$3:Q$47="")*(H$3:H$47=H11)*(K$3:K$47&gt;K11))+SUMPRODUCT((Q$3:Q$47&lt;&gt;"")*(H$3:H$47=H11))+1,IF(O11&lt;&gt;"",SUMPRODUCT((O$3:O$47&lt;&gt;"")*(H$3:H$47=H11)*(K$3:K$47&gt;K11))+1,IF(N11="P",SUMPRODUCT((P$3:P$47&lt;&gt;"")*(Q$3:Q$47="")*(H$3:H$47=H11))+SUMPRODUCT((Q$3:Q$47&lt;&gt;"")*(H$3:H$47=H11))+SUMPRODUCT((O$3:O$47&lt;&gt;"")*(H$3:H$47=H11))+SUMPRODUCT((Q$3:Q$47="")*(P$3:P$47="")*(O$3:O$47="")*(N$3:N$47="P")*(H$3:H$47=H11)*(K$3:K$47&gt;K11))+IF(I11="L5",SUMPRODUCT((Q$3:Q$47="")*(P$3:P$47="")*(O$3:O$47="")*(N$3:N$47="P")*(H$3:H$47=H11)*(K$3:K$47&lt;K11)*(I$3:I$47&lt;&gt;I11)),-1*SUMPRODUCT((Q$3:Q$47="")*(P$3:P$47="")*(O$3:O$47="")*(N$3:N$47="P")*(H$3:H$47=H11)*(K$3:K$47&gt;K11)*(I$3:I$47="L5")))+1,""))))</f>
        <v/>
      </c>
      <c r="C11" s="36" t="s">
        <v>258</v>
      </c>
      <c r="D11" s="36" t="str">
        <f>IF(E11="","",VLOOKUP(E11,'Coaching Points'!A:B,2,0)&amp;"/"&amp;VLOOKUP(F11,'Coaching Points'!A:B,2,0))</f>
        <v>QC/QC</v>
      </c>
      <c r="E11" s="36" t="s">
        <v>3</v>
      </c>
      <c r="F11" s="36" t="s">
        <v>289</v>
      </c>
      <c r="G11" s="35">
        <v>2002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17-21</v>
      </c>
      <c r="I11" s="39" t="s">
        <v>67</v>
      </c>
      <c r="J11" s="43"/>
      <c r="K11" s="4">
        <f>S11+T11+IF(OR(I11="Junior",I11="Senior"),0.0002,IF(OR(I11="L7",I11="L6"),0.0001,0))+MAX(AB11,AD11,AG11)*0.0000001</f>
        <v>81.000104110000009</v>
      </c>
      <c r="L11" s="3" t="str">
        <f>IF(H11="Not Age Eligible","",IF(MAX(U11,W11,Z11,AB11,AD11,AG11)&gt;=LOOKUP(H11,'Qualifying Scores'!$A$4:$A$7,'Qualifying Scores'!$E$4:$E$7),"P",""))</f>
        <v/>
      </c>
      <c r="M11" s="3" t="str">
        <f>IF(H11="Not Age Eligible","",IF(MAX(V11,X11,AA11,AC11,AE11,AH11)&gt;=LOOKUP(H11,'Qualifying Scores'!$A$10:$A$13,'Qualifying Scores'!$E$10:$E$13),"P",""))</f>
        <v/>
      </c>
      <c r="N11" s="3" t="str">
        <f>IF(H11="Not Age Eligible","",IF(OR(AND(U11&gt;=LOOKUP(H11,'Qualifying Scores'!$A$4:$A$7,'Qualifying Scores'!$E$4:$E$7),V11&gt;=LOOKUP(H11,'Qualifying Scores'!$A$10:$A$13,'Qualifying Scores'!$E$10:$E$13)),AND(W11&gt;=LOOKUP(H11,'Qualifying Scores'!$A$4:$A$7,'Qualifying Scores'!$E$4:$E$7),X11&gt;=LOOKUP(H11,'Qualifying Scores'!$A$10:$A$13,'Qualifying Scores'!$E$10:$E$13)),AND(Z11&gt;=LOOKUP(H11,'Qualifying Scores'!$A$4:$A$7,'Qualifying Scores'!$E$4:$E$7),AA11&gt;=LOOKUP(H11,'Qualifying Scores'!$A$10:$A$13,'Qualifying Scores'!$E$10:$E$13)),AND(AB11&gt;=LOOKUP(H11,'Qualifying Scores'!$A$4:$A$7,'Qualifying Scores'!$E$4:$E$7),AC11&gt;=LOOKUP(H11,'Qualifying Scores'!$A$10:$A$13,'Qualifying Scores'!$E$10:$E$13)),AND(AD11&gt;=LOOKUP(H11,'Qualifying Scores'!$A$4:$A$7,'Qualifying Scores'!$E$4:$E$7),AE11&gt;=LOOKUP(H11,'Qualifying Scores'!$A$10:$A$13,'Qualifying Scores'!$E$10:$E$13)),AND(AG11&gt;=LOOKUP(H11,'Qualifying Scores'!$A$4:$A$7,'Qualifying Scores'!$E$4:$E$7),AH11&gt;=LOOKUP(H11,'Qualifying Scores'!$A$10:$A$13,'Qualifying Scores'!$E$10:$E$13))),"P",""))</f>
        <v/>
      </c>
      <c r="R11" s="1" t="str">
        <f>IF(A11&lt;5,IF(_xlfn.MAXIFS(A:A,H:H,H11)&gt;3,5-A11,_xlfn.MAXIFS(A:A,H:H,H11)+1-A11),"")</f>
        <v/>
      </c>
      <c r="S11" s="4">
        <f>MAX(U11,W11,Z11,AB11,AD11,AG11)</f>
        <v>41.1</v>
      </c>
      <c r="T11" s="4">
        <f>LARGE(CHOOSE({1,2,3,4,5,6},U11,W11,Z11,AB11,AD11,AG11),2)</f>
        <v>39.9</v>
      </c>
      <c r="U11" s="33">
        <v>37.619999999999997</v>
      </c>
      <c r="V11" s="40">
        <v>6.8</v>
      </c>
      <c r="W11" s="34"/>
      <c r="X11" s="40"/>
      <c r="Y11" s="4">
        <f>IF(I11="Senior",MAX(U11,W11),U11+W11)</f>
        <v>37.619999999999997</v>
      </c>
      <c r="Z11" s="34">
        <v>39.869999999999997</v>
      </c>
      <c r="AA11" s="40">
        <v>7.8</v>
      </c>
      <c r="AB11" s="33">
        <v>41.1</v>
      </c>
      <c r="AC11" s="40">
        <v>7.8</v>
      </c>
      <c r="AD11" s="34"/>
      <c r="AE11" s="40"/>
      <c r="AF11" s="4">
        <f>IF(I11="Senior",MAX(AB11,AD11),AB11+AD11)</f>
        <v>41.1</v>
      </c>
      <c r="AG11" s="34">
        <v>39.9</v>
      </c>
      <c r="AH11" s="37">
        <v>7.8</v>
      </c>
    </row>
    <row r="12" spans="1:34" x14ac:dyDescent="0.2">
      <c r="A12" s="1" t="str" cm="1">
        <f t="array" ref="A12">IF(J12="","",IF(Q12&lt;&gt;"",SUMPRODUCT((Q$3:Q$47&lt;&gt;"")*(H$3:H$47=H12)*(K$3:K$47&gt;K12)*(J$3:J$47="P"))+1,IF(P12&lt;&gt;"",SUMPRODUCT((P$3:P$47&lt;&gt;"")*(Q$3:Q$47="")*(H$3:H$47=H12)*(K$3:K$47&gt;K12)*(J$3:J$47="P"))+SUMPRODUCT((Q$3:Q$47&lt;&gt;"")*(H$3:H$47=H12)*(J$3:J$47="P"))+1,IF(O12&lt;&gt;"",SUMPRODUCT((O$3:O$47&lt;&gt;"")*(H$3:H$47=H12)*(K$3:K$47&gt;K12)*(J$3:J$47="P"))+1,IF(N12="P",SUMPRODUCT((P$3:P$47&lt;&gt;"")*(Q$3:Q$47="")*(H$3:H$47=H12)*(J$3:J$47="P"))+SUMPRODUCT((Q$3:Q$47&lt;&gt;"")*(H$3:H$47=H12)*(J$3:J$47="P"))+SUMPRODUCT((O$3:O$47&lt;&gt;"")*(H$3:H$47=H12)*(J$3:J$47="P"))+SUMPRODUCT((Q$3:Q$47="")*(P$3:P$47="")*(O$3:O$47="")*(N$3:N$47="P")*(H$3:H$47=H12)*(K$3:K$47&gt;K12)*(J$3:J$47="P"))+IF(I12="L5",SUMPRODUCT((Q$3:Q$47="")*(P$3:P$47="")*(O$3:O$47="")*(N$3:N$47="P")*(H$3:H$47=H12)*(K$3:K$47&lt;K12)*(I$3:I$47&lt;&gt;I12)*(J$3:J$47="P")),-1*SUMPRODUCT((Q$3:Q$47="")*(P$3:P$47="")*(O$3:O$47="")*(N$3:N$47="P")*(H$3:H$47=H12)*(K$3:K$47&gt;K12)*(I$3:I$47="L5")*(J$3:J$47="P")))+1,"")))))</f>
        <v/>
      </c>
      <c r="B12" s="1" t="str" cm="1">
        <f t="array" ref="B12">IF(Q12&lt;&gt;"",SUMPRODUCT((Q$3:Q$47&lt;&gt;"")*(H$3:H$47=H12)*(K$3:K$47&gt;K12))+1,IF(P12&lt;&gt;"",SUMPRODUCT((P$3:P$47&lt;&gt;"")*(Q$3:Q$47="")*(H$3:H$47=H12)*(K$3:K$47&gt;K12))+SUMPRODUCT((Q$3:Q$47&lt;&gt;"")*(H$3:H$47=H12))+1,IF(O12&lt;&gt;"",SUMPRODUCT((O$3:O$47&lt;&gt;"")*(H$3:H$47=H12)*(K$3:K$47&gt;K12))+1,IF(N12="P",SUMPRODUCT((P$3:P$47&lt;&gt;"")*(Q$3:Q$47="")*(H$3:H$47=H12))+SUMPRODUCT((Q$3:Q$47&lt;&gt;"")*(H$3:H$47=H12))+SUMPRODUCT((O$3:O$47&lt;&gt;"")*(H$3:H$47=H12))+SUMPRODUCT((Q$3:Q$47="")*(P$3:P$47="")*(O$3:O$47="")*(N$3:N$47="P")*(H$3:H$47=H12)*(K$3:K$47&gt;K12))+IF(I12="L5",SUMPRODUCT((Q$3:Q$47="")*(P$3:P$47="")*(O$3:O$47="")*(N$3:N$47="P")*(H$3:H$47=H12)*(K$3:K$47&lt;K12)*(I$3:I$47&lt;&gt;I12)),-1*SUMPRODUCT((Q$3:Q$47="")*(P$3:P$47="")*(O$3:O$47="")*(N$3:N$47="P")*(H$3:H$47=H12)*(K$3:K$47&gt;K12)*(I$3:I$47="L5")))+1,""))))</f>
        <v/>
      </c>
      <c r="C12" s="36" t="s">
        <v>411</v>
      </c>
      <c r="D12" s="36" t="str">
        <f>IF(E12="","",VLOOKUP(E12,'Coaching Points'!A:B,2,0)&amp;"/"&amp;VLOOKUP(F12,'Coaching Points'!A:B,2,0))</f>
        <v>AB/AB</v>
      </c>
      <c r="E12" s="36" t="s">
        <v>40</v>
      </c>
      <c r="F12" s="36" t="s">
        <v>58</v>
      </c>
      <c r="G12" s="35">
        <v>2006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17-21</v>
      </c>
      <c r="I12" s="39" t="s">
        <v>67</v>
      </c>
      <c r="J12" s="43"/>
      <c r="K12" s="4">
        <f>S12+T12+IF(OR(I12="Junior",I12="Senior"),0.0002,IF(OR(I12="L7",I12="L6"),0.0001,0))+MAX(AB12,AD12,AG12)*0.0000001</f>
        <v>79.650104041000006</v>
      </c>
      <c r="L12" s="3" t="str">
        <f>IF(H12="Not Age Eligible","",IF(MAX(U12,W12,Z12,AB12,AD12,AG12)&gt;=LOOKUP(H12,'Qualifying Scores'!$A$4:$A$7,'Qualifying Scores'!$E$4:$E$7),"P",""))</f>
        <v/>
      </c>
      <c r="M12" s="3" t="str">
        <f>IF(H12="Not Age Eligible","",IF(MAX(V12,X12,AA12,AC12,AE12,AH12)&gt;=LOOKUP(H12,'Qualifying Scores'!$A$10:$A$13,'Qualifying Scores'!$E$10:$E$13),"P",""))</f>
        <v/>
      </c>
      <c r="N12" s="3" t="str">
        <f>IF(H12="Not Age Eligible","",IF(OR(AND(U12&gt;=LOOKUP(H12,'Qualifying Scores'!$A$4:$A$7,'Qualifying Scores'!$E$4:$E$7),V12&gt;=LOOKUP(H12,'Qualifying Scores'!$A$10:$A$13,'Qualifying Scores'!$E$10:$E$13)),AND(W12&gt;=LOOKUP(H12,'Qualifying Scores'!$A$4:$A$7,'Qualifying Scores'!$E$4:$E$7),X12&gt;=LOOKUP(H12,'Qualifying Scores'!$A$10:$A$13,'Qualifying Scores'!$E$10:$E$13)),AND(Z12&gt;=LOOKUP(H12,'Qualifying Scores'!$A$4:$A$7,'Qualifying Scores'!$E$4:$E$7),AA12&gt;=LOOKUP(H12,'Qualifying Scores'!$A$10:$A$13,'Qualifying Scores'!$E$10:$E$13)),AND(AB12&gt;=LOOKUP(H12,'Qualifying Scores'!$A$4:$A$7,'Qualifying Scores'!$E$4:$E$7),AC12&gt;=LOOKUP(H12,'Qualifying Scores'!$A$10:$A$13,'Qualifying Scores'!$E$10:$E$13)),AND(AD12&gt;=LOOKUP(H12,'Qualifying Scores'!$A$4:$A$7,'Qualifying Scores'!$E$4:$E$7),AE12&gt;=LOOKUP(H12,'Qualifying Scores'!$A$10:$A$13,'Qualifying Scores'!$E$10:$E$13)),AND(AG12&gt;=LOOKUP(H12,'Qualifying Scores'!$A$4:$A$7,'Qualifying Scores'!$E$4:$E$7),AH12&gt;=LOOKUP(H12,'Qualifying Scores'!$A$10:$A$13,'Qualifying Scores'!$E$10:$E$13))),"P",""))</f>
        <v/>
      </c>
      <c r="R12" s="1" t="str">
        <f>IF(A12&lt;5,IF(_xlfn.MAXIFS(A:A,H:H,H12)&gt;3,5-A12,_xlfn.MAXIFS(A:A,H:H,H12)+1-A12),"")</f>
        <v/>
      </c>
      <c r="S12" s="4">
        <f>MAX(U12,W12,Z12,AB12,AD12,AG12)</f>
        <v>40.409999999999997</v>
      </c>
      <c r="T12" s="4">
        <f>LARGE(CHOOSE({1,2,3,4,5,6},U12,W12,Z12,AB12,AD12,AG12),2)</f>
        <v>39.24</v>
      </c>
      <c r="U12" s="33"/>
      <c r="V12" s="40"/>
      <c r="W12" s="34"/>
      <c r="X12" s="40"/>
      <c r="Y12" s="4">
        <f>IF(I12="Senior",MAX(U12,W12),U12+W12)</f>
        <v>0</v>
      </c>
      <c r="Z12" s="34"/>
      <c r="AA12" s="40"/>
      <c r="AB12" s="33">
        <v>40.409999999999997</v>
      </c>
      <c r="AC12" s="40">
        <v>7.8</v>
      </c>
      <c r="AD12" s="34"/>
      <c r="AE12" s="40"/>
      <c r="AF12" s="4">
        <f>IF(I12="Senior",MAX(AB12,AD12),AB12+AD12)</f>
        <v>40.409999999999997</v>
      </c>
      <c r="AG12" s="34">
        <v>39.24</v>
      </c>
      <c r="AH12" s="37">
        <v>7.8</v>
      </c>
    </row>
    <row r="13" spans="1:34" x14ac:dyDescent="0.2">
      <c r="A13" s="1" t="str" cm="1">
        <f t="array" ref="A13">IF(J13="","",IF(Q13&lt;&gt;"",SUMPRODUCT((Q$3:Q$47&lt;&gt;"")*(H$3:H$47=H13)*(K$3:K$47&gt;K13)*(J$3:J$47="P"))+1,IF(P13&lt;&gt;"",SUMPRODUCT((P$3:P$47&lt;&gt;"")*(Q$3:Q$47="")*(H$3:H$47=H13)*(K$3:K$47&gt;K13)*(J$3:J$47="P"))+SUMPRODUCT((Q$3:Q$47&lt;&gt;"")*(H$3:H$47=H13)*(J$3:J$47="P"))+1,IF(O13&lt;&gt;"",SUMPRODUCT((O$3:O$47&lt;&gt;"")*(H$3:H$47=H13)*(K$3:K$47&gt;K13)*(J$3:J$47="P"))+1,IF(N13="P",SUMPRODUCT((P$3:P$47&lt;&gt;"")*(Q$3:Q$47="")*(H$3:H$47=H13)*(J$3:J$47="P"))+SUMPRODUCT((Q$3:Q$47&lt;&gt;"")*(H$3:H$47=H13)*(J$3:J$47="P"))+SUMPRODUCT((O$3:O$47&lt;&gt;"")*(H$3:H$47=H13)*(J$3:J$47="P"))+SUMPRODUCT((Q$3:Q$47="")*(P$3:P$47="")*(O$3:O$47="")*(N$3:N$47="P")*(H$3:H$47=H13)*(K$3:K$47&gt;K13)*(J$3:J$47="P"))+IF(I13="L5",SUMPRODUCT((Q$3:Q$47="")*(P$3:P$47="")*(O$3:O$47="")*(N$3:N$47="P")*(H$3:H$47=H13)*(K$3:K$47&lt;K13)*(I$3:I$47&lt;&gt;I13)*(J$3:J$47="P")),-1*SUMPRODUCT((Q$3:Q$47="")*(P$3:P$47="")*(O$3:O$47="")*(N$3:N$47="P")*(H$3:H$47=H13)*(K$3:K$47&gt;K13)*(I$3:I$47="L5")*(J$3:J$47="P")))+1,"")))))</f>
        <v/>
      </c>
      <c r="B13" s="1" t="str" cm="1">
        <f t="array" ref="B13">IF(Q13&lt;&gt;"",SUMPRODUCT((Q$3:Q$47&lt;&gt;"")*(H$3:H$47=H13)*(K$3:K$47&gt;K13))+1,IF(P13&lt;&gt;"",SUMPRODUCT((P$3:P$47&lt;&gt;"")*(Q$3:Q$47="")*(H$3:H$47=H13)*(K$3:K$47&gt;K13))+SUMPRODUCT((Q$3:Q$47&lt;&gt;"")*(H$3:H$47=H13))+1,IF(O13&lt;&gt;"",SUMPRODUCT((O$3:O$47&lt;&gt;"")*(H$3:H$47=H13)*(K$3:K$47&gt;K13))+1,IF(N13="P",SUMPRODUCT((P$3:P$47&lt;&gt;"")*(Q$3:Q$47="")*(H$3:H$47=H13))+SUMPRODUCT((Q$3:Q$47&lt;&gt;"")*(H$3:H$47=H13))+SUMPRODUCT((O$3:O$47&lt;&gt;"")*(H$3:H$47=H13))+SUMPRODUCT((Q$3:Q$47="")*(P$3:P$47="")*(O$3:O$47="")*(N$3:N$47="P")*(H$3:H$47=H13)*(K$3:K$47&gt;K13))+IF(I13="L5",SUMPRODUCT((Q$3:Q$47="")*(P$3:P$47="")*(O$3:O$47="")*(N$3:N$47="P")*(H$3:H$47=H13)*(K$3:K$47&lt;K13)*(I$3:I$47&lt;&gt;I13)),-1*SUMPRODUCT((Q$3:Q$47="")*(P$3:P$47="")*(O$3:O$47="")*(N$3:N$47="P")*(H$3:H$47=H13)*(K$3:K$47&gt;K13)*(I$3:I$47="L5")))+1,""))))</f>
        <v/>
      </c>
      <c r="C13" s="36" t="s">
        <v>412</v>
      </c>
      <c r="D13" s="36" t="str">
        <f>IF(E13="","",VLOOKUP(E13,'Coaching Points'!A:B,2,0)&amp;"/"&amp;VLOOKUP(F13,'Coaching Points'!A:B,2,0))</f>
        <v>ON/SK</v>
      </c>
      <c r="E13" s="36" t="s">
        <v>47</v>
      </c>
      <c r="F13" s="36" t="s">
        <v>60</v>
      </c>
      <c r="G13" s="35">
        <v>2006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17-21</v>
      </c>
      <c r="I13" s="39" t="s">
        <v>67</v>
      </c>
      <c r="J13" s="43"/>
      <c r="K13" s="4">
        <f>S13+T13+IF(OR(I13="Junior",I13="Senior"),0.0002,IF(OR(I13="L7",I13="L6"),0.0001,0))+MAX(AB13,AD13,AG13)*0.0000001</f>
        <v>77.830103907999998</v>
      </c>
      <c r="L13" s="3" t="str">
        <f>IF(H13="Not Age Eligible","",IF(MAX(U13,W13,Z13,AB13,AD13,AG13)&gt;=LOOKUP(H13,'Qualifying Scores'!$A$4:$A$7,'Qualifying Scores'!$E$4:$E$7),"P",""))</f>
        <v/>
      </c>
      <c r="M13" s="3" t="str">
        <f>IF(H13="Not Age Eligible","",IF(MAX(V13,X13,AA13,AC13,AE13,AH13)&gt;=LOOKUP(H13,'Qualifying Scores'!$A$10:$A$13,'Qualifying Scores'!$E$10:$E$13),"P",""))</f>
        <v/>
      </c>
      <c r="N13" s="3" t="str">
        <f>IF(H13="Not Age Eligible","",IF(OR(AND(U13&gt;=LOOKUP(H13,'Qualifying Scores'!$A$4:$A$7,'Qualifying Scores'!$E$4:$E$7),V13&gt;=LOOKUP(H13,'Qualifying Scores'!$A$10:$A$13,'Qualifying Scores'!$E$10:$E$13)),AND(W13&gt;=LOOKUP(H13,'Qualifying Scores'!$A$4:$A$7,'Qualifying Scores'!$E$4:$E$7),X13&gt;=LOOKUP(H13,'Qualifying Scores'!$A$10:$A$13,'Qualifying Scores'!$E$10:$E$13)),AND(Z13&gt;=LOOKUP(H13,'Qualifying Scores'!$A$4:$A$7,'Qualifying Scores'!$E$4:$E$7),AA13&gt;=LOOKUP(H13,'Qualifying Scores'!$A$10:$A$13,'Qualifying Scores'!$E$10:$E$13)),AND(AB13&gt;=LOOKUP(H13,'Qualifying Scores'!$A$4:$A$7,'Qualifying Scores'!$E$4:$E$7),AC13&gt;=LOOKUP(H13,'Qualifying Scores'!$A$10:$A$13,'Qualifying Scores'!$E$10:$E$13)),AND(AD13&gt;=LOOKUP(H13,'Qualifying Scores'!$A$4:$A$7,'Qualifying Scores'!$E$4:$E$7),AE13&gt;=LOOKUP(H13,'Qualifying Scores'!$A$10:$A$13,'Qualifying Scores'!$E$10:$E$13)),AND(AG13&gt;=LOOKUP(H13,'Qualifying Scores'!$A$4:$A$7,'Qualifying Scores'!$E$4:$E$7),AH13&gt;=LOOKUP(H13,'Qualifying Scores'!$A$10:$A$13,'Qualifying Scores'!$E$10:$E$13))),"P",""))</f>
        <v/>
      </c>
      <c r="R13" s="1" t="str">
        <f>IF(A13&lt;5,IF(_xlfn.MAXIFS(A:A,H:H,H13)&gt;3,5-A13,_xlfn.MAXIFS(A:A,H:H,H13)+1-A13),"")</f>
        <v/>
      </c>
      <c r="S13" s="4">
        <f>MAX(U13,W13,Z13,AB13,AD13,AG13)</f>
        <v>39.08</v>
      </c>
      <c r="T13" s="4">
        <f>LARGE(CHOOSE({1,2,3,4,5,6},U13,W13,Z13,AB13,AD13,AG13),2)</f>
        <v>38.75</v>
      </c>
      <c r="U13" s="33"/>
      <c r="V13" s="40"/>
      <c r="W13" s="34"/>
      <c r="X13" s="40"/>
      <c r="Y13" s="4">
        <f>IF(I13="Senior",MAX(U13,W13),U13+W13)</f>
        <v>0</v>
      </c>
      <c r="Z13" s="34"/>
      <c r="AA13" s="40"/>
      <c r="AB13" s="33">
        <v>38.75</v>
      </c>
      <c r="AC13" s="40">
        <v>8</v>
      </c>
      <c r="AD13" s="34"/>
      <c r="AE13" s="40"/>
      <c r="AF13" s="4">
        <f>IF(I13="Senior",MAX(AB13,AD13),AB13+AD13)</f>
        <v>38.75</v>
      </c>
      <c r="AG13" s="34">
        <v>39.08</v>
      </c>
      <c r="AH13" s="37">
        <v>8</v>
      </c>
    </row>
    <row r="14" spans="1:34" x14ac:dyDescent="0.2">
      <c r="A14" s="1" t="str" cm="1">
        <f t="array" ref="A14">IF(J14="","",IF(Q14&lt;&gt;"",SUMPRODUCT((Q$3:Q$47&lt;&gt;"")*(H$3:H$47=H14)*(K$3:K$47&gt;K14)*(J$3:J$47="P"))+1,IF(P14&lt;&gt;"",SUMPRODUCT((P$3:P$47&lt;&gt;"")*(Q$3:Q$47="")*(H$3:H$47=H14)*(K$3:K$47&gt;K14)*(J$3:J$47="P"))+SUMPRODUCT((Q$3:Q$47&lt;&gt;"")*(H$3:H$47=H14)*(J$3:J$47="P"))+1,IF(O14&lt;&gt;"",SUMPRODUCT((O$3:O$47&lt;&gt;"")*(H$3:H$47=H14)*(K$3:K$47&gt;K14)*(J$3:J$47="P"))+1,IF(N14="P",SUMPRODUCT((P$3:P$47&lt;&gt;"")*(Q$3:Q$47="")*(H$3:H$47=H14)*(J$3:J$47="P"))+SUMPRODUCT((Q$3:Q$47&lt;&gt;"")*(H$3:H$47=H14)*(J$3:J$47="P"))+SUMPRODUCT((O$3:O$47&lt;&gt;"")*(H$3:H$47=H14)*(J$3:J$47="P"))+SUMPRODUCT((Q$3:Q$47="")*(P$3:P$47="")*(O$3:O$47="")*(N$3:N$47="P")*(H$3:H$47=H14)*(K$3:K$47&gt;K14)*(J$3:J$47="P"))+IF(I14="L5",SUMPRODUCT((Q$3:Q$47="")*(P$3:P$47="")*(O$3:O$47="")*(N$3:N$47="P")*(H$3:H$47=H14)*(K$3:K$47&lt;K14)*(I$3:I$47&lt;&gt;I14)*(J$3:J$47="P")),-1*SUMPRODUCT((Q$3:Q$47="")*(P$3:P$47="")*(O$3:O$47="")*(N$3:N$47="P")*(H$3:H$47=H14)*(K$3:K$47&gt;K14)*(I$3:I$47="L5")*(J$3:J$47="P")))+1,"")))))</f>
        <v/>
      </c>
      <c r="B14" s="1" t="str" cm="1">
        <f t="array" ref="B14">IF(Q14&lt;&gt;"",SUMPRODUCT((Q$3:Q$47&lt;&gt;"")*(H$3:H$47=H14)*(K$3:K$47&gt;K14))+1,IF(P14&lt;&gt;"",SUMPRODUCT((P$3:P$47&lt;&gt;"")*(Q$3:Q$47="")*(H$3:H$47=H14)*(K$3:K$47&gt;K14))+SUMPRODUCT((Q$3:Q$47&lt;&gt;"")*(H$3:H$47=H14))+1,IF(O14&lt;&gt;"",SUMPRODUCT((O$3:O$47&lt;&gt;"")*(H$3:H$47=H14)*(K$3:K$47&gt;K14))+1,IF(N14="P",SUMPRODUCT((P$3:P$47&lt;&gt;"")*(Q$3:Q$47="")*(H$3:H$47=H14))+SUMPRODUCT((Q$3:Q$47&lt;&gt;"")*(H$3:H$47=H14))+SUMPRODUCT((O$3:O$47&lt;&gt;"")*(H$3:H$47=H14))+SUMPRODUCT((Q$3:Q$47="")*(P$3:P$47="")*(O$3:O$47="")*(N$3:N$47="P")*(H$3:H$47=H14)*(K$3:K$47&gt;K14))+IF(I14="L5",SUMPRODUCT((Q$3:Q$47="")*(P$3:P$47="")*(O$3:O$47="")*(N$3:N$47="P")*(H$3:H$47=H14)*(K$3:K$47&lt;K14)*(I$3:I$47&lt;&gt;I14)),-1*SUMPRODUCT((Q$3:Q$47="")*(P$3:P$47="")*(O$3:O$47="")*(N$3:N$47="P")*(H$3:H$47=H14)*(K$3:K$47&gt;K14)*(I$3:I$47="L5")))+1,""))))</f>
        <v/>
      </c>
      <c r="C14" s="36" t="s">
        <v>413</v>
      </c>
      <c r="D14" s="36" t="str">
        <f>IF(E14="","",VLOOKUP(E14,'Coaching Points'!A:B,2,0)&amp;"/"&amp;VLOOKUP(F14,'Coaching Points'!A:B,2,0))</f>
        <v>AB/AB</v>
      </c>
      <c r="E14" s="36" t="s">
        <v>58</v>
      </c>
      <c r="F14" s="36" t="s">
        <v>58</v>
      </c>
      <c r="G14" s="35">
        <v>2006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17-21</v>
      </c>
      <c r="I14" s="39" t="s">
        <v>67</v>
      </c>
      <c r="J14" s="43"/>
      <c r="K14" s="4">
        <f>S14+T14+IF(OR(I14="Junior",I14="Senior"),0.0002,IF(OR(I14="L7",I14="L6"),0.0001,0))+MAX(AB14,AD14,AG14)*0.0000001</f>
        <v>77.800104196000021</v>
      </c>
      <c r="L14" s="3" t="str">
        <f>IF(H14="Not Age Eligible","",IF(MAX(U14,W14,Z14,AB14,AD14,AG14)&gt;=LOOKUP(H14,'Qualifying Scores'!$A$4:$A$7,'Qualifying Scores'!$E$4:$E$7),"P",""))</f>
        <v/>
      </c>
      <c r="M14" s="3" t="str">
        <f>IF(H14="Not Age Eligible","",IF(MAX(V14,X14,AA14,AC14,AE14,AH14)&gt;=LOOKUP(H14,'Qualifying Scores'!$A$10:$A$13,'Qualifying Scores'!$E$10:$E$13),"P",""))</f>
        <v/>
      </c>
      <c r="N14" s="3" t="str">
        <f>IF(H14="Not Age Eligible","",IF(OR(AND(U14&gt;=LOOKUP(H14,'Qualifying Scores'!$A$4:$A$7,'Qualifying Scores'!$E$4:$E$7),V14&gt;=LOOKUP(H14,'Qualifying Scores'!$A$10:$A$13,'Qualifying Scores'!$E$10:$E$13)),AND(W14&gt;=LOOKUP(H14,'Qualifying Scores'!$A$4:$A$7,'Qualifying Scores'!$E$4:$E$7),X14&gt;=LOOKUP(H14,'Qualifying Scores'!$A$10:$A$13,'Qualifying Scores'!$E$10:$E$13)),AND(Z14&gt;=LOOKUP(H14,'Qualifying Scores'!$A$4:$A$7,'Qualifying Scores'!$E$4:$E$7),AA14&gt;=LOOKUP(H14,'Qualifying Scores'!$A$10:$A$13,'Qualifying Scores'!$E$10:$E$13)),AND(AB14&gt;=LOOKUP(H14,'Qualifying Scores'!$A$4:$A$7,'Qualifying Scores'!$E$4:$E$7),AC14&gt;=LOOKUP(H14,'Qualifying Scores'!$A$10:$A$13,'Qualifying Scores'!$E$10:$E$13)),AND(AD14&gt;=LOOKUP(H14,'Qualifying Scores'!$A$4:$A$7,'Qualifying Scores'!$E$4:$E$7),AE14&gt;=LOOKUP(H14,'Qualifying Scores'!$A$10:$A$13,'Qualifying Scores'!$E$10:$E$13)),AND(AG14&gt;=LOOKUP(H14,'Qualifying Scores'!$A$4:$A$7,'Qualifying Scores'!$E$4:$E$7),AH14&gt;=LOOKUP(H14,'Qualifying Scores'!$A$10:$A$13,'Qualifying Scores'!$E$10:$E$13))),"P",""))</f>
        <v/>
      </c>
      <c r="R14" s="1" t="str">
        <f>IF(A14&lt;5,IF(_xlfn.MAXIFS(A:A,H:H,H14)&gt;3,5-A14,_xlfn.MAXIFS(A:A,H:H,H14)+1-A14),"")</f>
        <v/>
      </c>
      <c r="S14" s="4">
        <f>MAX(U14,W14,Z14,AB14,AD14,AG14)</f>
        <v>41.96</v>
      </c>
      <c r="T14" s="4">
        <f>LARGE(CHOOSE({1,2,3,4,5,6},U14,W14,Z14,AB14,AD14,AG14),2)</f>
        <v>35.840000000000003</v>
      </c>
      <c r="U14" s="33"/>
      <c r="V14" s="40"/>
      <c r="W14" s="34"/>
      <c r="X14" s="40"/>
      <c r="Y14" s="4">
        <f>IF(I14="Senior",MAX(U14,W14),U14+W14)</f>
        <v>0</v>
      </c>
      <c r="Z14" s="34"/>
      <c r="AA14" s="40"/>
      <c r="AB14" s="33">
        <v>35.840000000000003</v>
      </c>
      <c r="AC14" s="40">
        <v>8.4</v>
      </c>
      <c r="AD14" s="34"/>
      <c r="AE14" s="40"/>
      <c r="AF14" s="4">
        <f>IF(I14="Senior",MAX(AB14,AD14),AB14+AD14)</f>
        <v>35.840000000000003</v>
      </c>
      <c r="AG14" s="34">
        <v>41.96</v>
      </c>
      <c r="AH14" s="37">
        <v>7.4</v>
      </c>
    </row>
    <row r="15" spans="1:34" x14ac:dyDescent="0.2">
      <c r="A15" s="1" t="str" cm="1">
        <f t="array" ref="A15">IF(J15="","",IF(Q15&lt;&gt;"",SUMPRODUCT((Q$3:Q$47&lt;&gt;"")*(H$3:H$47=H15)*(K$3:K$47&gt;K15)*(J$3:J$47="P"))+1,IF(P15&lt;&gt;"",SUMPRODUCT((P$3:P$47&lt;&gt;"")*(Q$3:Q$47="")*(H$3:H$47=H15)*(K$3:K$47&gt;K15)*(J$3:J$47="P"))+SUMPRODUCT((Q$3:Q$47&lt;&gt;"")*(H$3:H$47=H15)*(J$3:J$47="P"))+1,IF(O15&lt;&gt;"",SUMPRODUCT((O$3:O$47&lt;&gt;"")*(H$3:H$47=H15)*(K$3:K$47&gt;K15)*(J$3:J$47="P"))+1,IF(N15="P",SUMPRODUCT((P$3:P$47&lt;&gt;"")*(Q$3:Q$47="")*(H$3:H$47=H15)*(J$3:J$47="P"))+SUMPRODUCT((Q$3:Q$47&lt;&gt;"")*(H$3:H$47=H15)*(J$3:J$47="P"))+SUMPRODUCT((O$3:O$47&lt;&gt;"")*(H$3:H$47=H15)*(J$3:J$47="P"))+SUMPRODUCT((Q$3:Q$47="")*(P$3:P$47="")*(O$3:O$47="")*(N$3:N$47="P")*(H$3:H$47=H15)*(K$3:K$47&gt;K15)*(J$3:J$47="P"))+IF(I15="L5",SUMPRODUCT((Q$3:Q$47="")*(P$3:P$47="")*(O$3:O$47="")*(N$3:N$47="P")*(H$3:H$47=H15)*(K$3:K$47&lt;K15)*(I$3:I$47&lt;&gt;I15)*(J$3:J$47="P")),-1*SUMPRODUCT((Q$3:Q$47="")*(P$3:P$47="")*(O$3:O$47="")*(N$3:N$47="P")*(H$3:H$47=H15)*(K$3:K$47&gt;K15)*(I$3:I$47="L5")*(J$3:J$47="P")))+1,"")))))</f>
        <v/>
      </c>
      <c r="B15" s="1" t="str" cm="1">
        <f t="array" ref="B15">IF(Q15&lt;&gt;"",SUMPRODUCT((Q$3:Q$47&lt;&gt;"")*(H$3:H$47=H15)*(K$3:K$47&gt;K15))+1,IF(P15&lt;&gt;"",SUMPRODUCT((P$3:P$47&lt;&gt;"")*(Q$3:Q$47="")*(H$3:H$47=H15)*(K$3:K$47&gt;K15))+SUMPRODUCT((Q$3:Q$47&lt;&gt;"")*(H$3:H$47=H15))+1,IF(O15&lt;&gt;"",SUMPRODUCT((O$3:O$47&lt;&gt;"")*(H$3:H$47=H15)*(K$3:K$47&gt;K15))+1,IF(N15="P",SUMPRODUCT((P$3:P$47&lt;&gt;"")*(Q$3:Q$47="")*(H$3:H$47=H15))+SUMPRODUCT((Q$3:Q$47&lt;&gt;"")*(H$3:H$47=H15))+SUMPRODUCT((O$3:O$47&lt;&gt;"")*(H$3:H$47=H15))+SUMPRODUCT((Q$3:Q$47="")*(P$3:P$47="")*(O$3:O$47="")*(N$3:N$47="P")*(H$3:H$47=H15)*(K$3:K$47&gt;K15))+IF(I15="L5",SUMPRODUCT((Q$3:Q$47="")*(P$3:P$47="")*(O$3:O$47="")*(N$3:N$47="P")*(H$3:H$47=H15)*(K$3:K$47&lt;K15)*(I$3:I$47&lt;&gt;I15)),-1*SUMPRODUCT((Q$3:Q$47="")*(P$3:P$47="")*(O$3:O$47="")*(N$3:N$47="P")*(H$3:H$47=H15)*(K$3:K$47&gt;K15)*(I$3:I$47="L5")))+1,""))))</f>
        <v/>
      </c>
      <c r="C15" s="36" t="s">
        <v>257</v>
      </c>
      <c r="D15" s="36" t="str">
        <f>IF(E15="","",VLOOKUP(E15,'Coaching Points'!A:B,2,0)&amp;"/"&amp;VLOOKUP(F15,'Coaching Points'!A:B,2,0))</f>
        <v>ON/ON</v>
      </c>
      <c r="E15" s="36" t="s">
        <v>73</v>
      </c>
      <c r="F15" s="36" t="s">
        <v>73</v>
      </c>
      <c r="G15" s="35">
        <v>2005</v>
      </c>
      <c r="H15" s="1" t="str">
        <f>IF(OR('Qualifying Scores'!$B$1-G15&gt;21,'Qualifying Scores'!$B$1-G15&lt;11),"Not Age Eligible",IF('Qualifying Scores'!$B$1-G15&gt;16,"17-21",IF('Qualifying Scores'!$B$1-G15&gt;14,"15-16",IF('Qualifying Scores'!$B$1-G15&gt;12,"13-14",IF('Qualifying Scores'!$B$1-G15&gt;10,"11-12","Not Age Eligible")))))</f>
        <v>17-21</v>
      </c>
      <c r="I15" s="39" t="s">
        <v>66</v>
      </c>
      <c r="J15" s="43"/>
      <c r="K15" s="4">
        <f>S15+T15+IF(OR(I15="Junior",I15="Senior"),0.0002,IF(OR(I15="L7",I15="L6"),0.0001,0))+MAX(AB15,AD15,AG15)*0.0000001</f>
        <v>76.950000801000002</v>
      </c>
      <c r="L15" s="3" t="str">
        <f>IF(H15="Not Age Eligible","",IF(MAX(U15,W15,Z15,AB15,AD15,AG15)&gt;=LOOKUP(H15,'Qualifying Scores'!$A$4:$A$7,'Qualifying Scores'!$E$4:$E$7),"P",""))</f>
        <v/>
      </c>
      <c r="M15" s="3" t="str">
        <f>IF(H15="Not Age Eligible","",IF(MAX(V15,X15,AA15,AC15,AE15,AH15)&gt;=LOOKUP(H15,'Qualifying Scores'!$A$10:$A$13,'Qualifying Scores'!$E$10:$E$13),"P",""))</f>
        <v/>
      </c>
      <c r="N15" s="3" t="str">
        <f>IF(H15="Not Age Eligible","",IF(OR(AND(U15&gt;=LOOKUP(H15,'Qualifying Scores'!$A$4:$A$7,'Qualifying Scores'!$E$4:$E$7),V15&gt;=LOOKUP(H15,'Qualifying Scores'!$A$10:$A$13,'Qualifying Scores'!$E$10:$E$13)),AND(W15&gt;=LOOKUP(H15,'Qualifying Scores'!$A$4:$A$7,'Qualifying Scores'!$E$4:$E$7),X15&gt;=LOOKUP(H15,'Qualifying Scores'!$A$10:$A$13,'Qualifying Scores'!$E$10:$E$13)),AND(Z15&gt;=LOOKUP(H15,'Qualifying Scores'!$A$4:$A$7,'Qualifying Scores'!$E$4:$E$7),AA15&gt;=LOOKUP(H15,'Qualifying Scores'!$A$10:$A$13,'Qualifying Scores'!$E$10:$E$13)),AND(AB15&gt;=LOOKUP(H15,'Qualifying Scores'!$A$4:$A$7,'Qualifying Scores'!$E$4:$E$7),AC15&gt;=LOOKUP(H15,'Qualifying Scores'!$A$10:$A$13,'Qualifying Scores'!$E$10:$E$13)),AND(AD15&gt;=LOOKUP(H15,'Qualifying Scores'!$A$4:$A$7,'Qualifying Scores'!$E$4:$E$7),AE15&gt;=LOOKUP(H15,'Qualifying Scores'!$A$10:$A$13,'Qualifying Scores'!$E$10:$E$13)),AND(AG15&gt;=LOOKUP(H15,'Qualifying Scores'!$A$4:$A$7,'Qualifying Scores'!$E$4:$E$7),AH15&gt;=LOOKUP(H15,'Qualifying Scores'!$A$10:$A$13,'Qualifying Scores'!$E$10:$E$13))),"P",""))</f>
        <v/>
      </c>
      <c r="R15" s="1" t="str">
        <f>IF(A15&lt;5,IF(_xlfn.MAXIFS(A:A,H:H,H15)&gt;3,5-A15,_xlfn.MAXIFS(A:A,H:H,H15)+1-A15),"")</f>
        <v/>
      </c>
      <c r="S15" s="4">
        <f>MAX(U15,W15,Z15,AB15,AD15,AG15)</f>
        <v>40.46</v>
      </c>
      <c r="T15" s="4">
        <f>LARGE(CHOOSE({1,2,3,4,5,6},U15,W15,Z15,AB15,AD15,AG15),2)</f>
        <v>36.49</v>
      </c>
      <c r="U15" s="33">
        <v>40.46</v>
      </c>
      <c r="V15" s="40">
        <v>7.7</v>
      </c>
      <c r="W15" s="34"/>
      <c r="X15" s="40"/>
      <c r="Y15" s="4">
        <f>IF(I15="Senior",MAX(U15,W15),U15+W15)</f>
        <v>40.46</v>
      </c>
      <c r="Z15" s="34">
        <v>36.49</v>
      </c>
      <c r="AA15" s="40">
        <v>7.7</v>
      </c>
      <c r="AB15" s="33">
        <v>8.01</v>
      </c>
      <c r="AC15" s="40">
        <v>1.9</v>
      </c>
      <c r="AD15" s="34"/>
      <c r="AE15" s="40"/>
      <c r="AF15" s="4">
        <f>IF(I15="Senior",MAX(AB15,AD15),AB15+AD15)</f>
        <v>8.01</v>
      </c>
      <c r="AG15" s="34"/>
      <c r="AH15" s="37"/>
    </row>
    <row r="16" spans="1:34" x14ac:dyDescent="0.2">
      <c r="A16" s="1" t="str" cm="1">
        <f t="array" ref="A16">IF(J16="","",IF(Q16&lt;&gt;"",SUMPRODUCT((Q$3:Q$47&lt;&gt;"")*(H$3:H$47=H16)*(K$3:K$47&gt;K16)*(J$3:J$47="P"))+1,IF(P16&lt;&gt;"",SUMPRODUCT((P$3:P$47&lt;&gt;"")*(Q$3:Q$47="")*(H$3:H$47=H16)*(K$3:K$47&gt;K16)*(J$3:J$47="P"))+SUMPRODUCT((Q$3:Q$47&lt;&gt;"")*(H$3:H$47=H16)*(J$3:J$47="P"))+1,IF(O16&lt;&gt;"",SUMPRODUCT((O$3:O$47&lt;&gt;"")*(H$3:H$47=H16)*(K$3:K$47&gt;K16)*(J$3:J$47="P"))+1,IF(N16="P",SUMPRODUCT((P$3:P$47&lt;&gt;"")*(Q$3:Q$47="")*(H$3:H$47=H16)*(J$3:J$47="P"))+SUMPRODUCT((Q$3:Q$47&lt;&gt;"")*(H$3:H$47=H16)*(J$3:J$47="P"))+SUMPRODUCT((O$3:O$47&lt;&gt;"")*(H$3:H$47=H16)*(J$3:J$47="P"))+SUMPRODUCT((Q$3:Q$47="")*(P$3:P$47="")*(O$3:O$47="")*(N$3:N$47="P")*(H$3:H$47=H16)*(K$3:K$47&gt;K16)*(J$3:J$47="P"))+IF(I16="L5",SUMPRODUCT((Q$3:Q$47="")*(P$3:P$47="")*(O$3:O$47="")*(N$3:N$47="P")*(H$3:H$47=H16)*(K$3:K$47&lt;K16)*(I$3:I$47&lt;&gt;I16)*(J$3:J$47="P")),-1*SUMPRODUCT((Q$3:Q$47="")*(P$3:P$47="")*(O$3:O$47="")*(N$3:N$47="P")*(H$3:H$47=H16)*(K$3:K$47&gt;K16)*(I$3:I$47="L5")*(J$3:J$47="P")))+1,"")))))</f>
        <v/>
      </c>
      <c r="B16" s="1" t="str" cm="1">
        <f t="array" ref="B16">IF(Q16&lt;&gt;"",SUMPRODUCT((Q$3:Q$47&lt;&gt;"")*(H$3:H$47=H16)*(K$3:K$47&gt;K16))+1,IF(P16&lt;&gt;"",SUMPRODUCT((P$3:P$47&lt;&gt;"")*(Q$3:Q$47="")*(H$3:H$47=H16)*(K$3:K$47&gt;K16))+SUMPRODUCT((Q$3:Q$47&lt;&gt;"")*(H$3:H$47=H16))+1,IF(O16&lt;&gt;"",SUMPRODUCT((O$3:O$47&lt;&gt;"")*(H$3:H$47=H16)*(K$3:K$47&gt;K16))+1,IF(N16="P",SUMPRODUCT((P$3:P$47&lt;&gt;"")*(Q$3:Q$47="")*(H$3:H$47=H16))+SUMPRODUCT((Q$3:Q$47&lt;&gt;"")*(H$3:H$47=H16))+SUMPRODUCT((O$3:O$47&lt;&gt;"")*(H$3:H$47=H16))+SUMPRODUCT((Q$3:Q$47="")*(P$3:P$47="")*(O$3:O$47="")*(N$3:N$47="P")*(H$3:H$47=H16)*(K$3:K$47&gt;K16))+IF(I16="L5",SUMPRODUCT((Q$3:Q$47="")*(P$3:P$47="")*(O$3:O$47="")*(N$3:N$47="P")*(H$3:H$47=H16)*(K$3:K$47&lt;K16)*(I$3:I$47&lt;&gt;I16)),-1*SUMPRODUCT((Q$3:Q$47="")*(P$3:P$47="")*(O$3:O$47="")*(N$3:N$47="P")*(H$3:H$47=H16)*(K$3:K$47&gt;K16)*(I$3:I$47="L5")))+1,""))))</f>
        <v/>
      </c>
      <c r="C16" s="36" t="s">
        <v>336</v>
      </c>
      <c r="D16" s="36" t="str">
        <f>IF(E16="","",VLOOKUP(E16,'Coaching Points'!A:B,2,0)&amp;"/"&amp;VLOOKUP(F16,'Coaching Points'!A:B,2,0))</f>
        <v>BC/BC</v>
      </c>
      <c r="E16" s="36" t="s">
        <v>46</v>
      </c>
      <c r="F16" s="36" t="s">
        <v>46</v>
      </c>
      <c r="G16" s="35">
        <v>2002</v>
      </c>
      <c r="H16" s="1" t="str">
        <f>IF(OR('Qualifying Scores'!$B$1-G16&gt;21,'Qualifying Scores'!$B$1-G16&lt;11),"Not Age Eligible",IF('Qualifying Scores'!$B$1-G16&gt;16,"17-21",IF('Qualifying Scores'!$B$1-G16&gt;14,"15-16",IF('Qualifying Scores'!$B$1-G16&gt;12,"13-14",IF('Qualifying Scores'!$B$1-G16&gt;10,"11-12","Not Age Eligible")))))</f>
        <v>17-21</v>
      </c>
      <c r="I16" s="39" t="s">
        <v>66</v>
      </c>
      <c r="J16" s="43"/>
      <c r="K16" s="4">
        <f>S16+T16+IF(OR(I16="Junior",I16="Senior"),0.0002,IF(OR(I16="L7",I16="L6"),0.0001,0))+MAX(AB16,AD16,AG16)*0.0000001</f>
        <v>76.849999999999994</v>
      </c>
      <c r="L16" s="3" t="str">
        <f>IF(H16="Not Age Eligible","",IF(MAX(U16,W16,Z16,AB16,AD16,AG16)&gt;=LOOKUP(H16,'Qualifying Scores'!$A$4:$A$7,'Qualifying Scores'!$E$4:$E$7),"P",""))</f>
        <v/>
      </c>
      <c r="M16" s="3" t="str">
        <f>IF(H16="Not Age Eligible","",IF(MAX(V16,X16,AA16,AC16,AE16,AH16)&gt;=LOOKUP(H16,'Qualifying Scores'!$A$10:$A$13,'Qualifying Scores'!$E$10:$E$13),"P",""))</f>
        <v/>
      </c>
      <c r="N16" s="3" t="str">
        <f>IF(H16="Not Age Eligible","",IF(OR(AND(U16&gt;=LOOKUP(H16,'Qualifying Scores'!$A$4:$A$7,'Qualifying Scores'!$E$4:$E$7),V16&gt;=LOOKUP(H16,'Qualifying Scores'!$A$10:$A$13,'Qualifying Scores'!$E$10:$E$13)),AND(W16&gt;=LOOKUP(H16,'Qualifying Scores'!$A$4:$A$7,'Qualifying Scores'!$E$4:$E$7),X16&gt;=LOOKUP(H16,'Qualifying Scores'!$A$10:$A$13,'Qualifying Scores'!$E$10:$E$13)),AND(Z16&gt;=LOOKUP(H16,'Qualifying Scores'!$A$4:$A$7,'Qualifying Scores'!$E$4:$E$7),AA16&gt;=LOOKUP(H16,'Qualifying Scores'!$A$10:$A$13,'Qualifying Scores'!$E$10:$E$13)),AND(AB16&gt;=LOOKUP(H16,'Qualifying Scores'!$A$4:$A$7,'Qualifying Scores'!$E$4:$E$7),AC16&gt;=LOOKUP(H16,'Qualifying Scores'!$A$10:$A$13,'Qualifying Scores'!$E$10:$E$13)),AND(AD16&gt;=LOOKUP(H16,'Qualifying Scores'!$A$4:$A$7,'Qualifying Scores'!$E$4:$E$7),AE16&gt;=LOOKUP(H16,'Qualifying Scores'!$A$10:$A$13,'Qualifying Scores'!$E$10:$E$13)),AND(AG16&gt;=LOOKUP(H16,'Qualifying Scores'!$A$4:$A$7,'Qualifying Scores'!$E$4:$E$7),AH16&gt;=LOOKUP(H16,'Qualifying Scores'!$A$10:$A$13,'Qualifying Scores'!$E$10:$E$13))),"P",""))</f>
        <v/>
      </c>
      <c r="R16" s="1" t="str">
        <f>IF(A16&lt;5,IF(_xlfn.MAXIFS(A:A,H:H,H16)&gt;3,5-A16,_xlfn.MAXIFS(A:A,H:H,H16)+1-A16),"")</f>
        <v/>
      </c>
      <c r="S16" s="4">
        <f>MAX(U16,W16,Z16,AB16,AD16,AG16)</f>
        <v>41.41</v>
      </c>
      <c r="T16" s="4">
        <f>LARGE(CHOOSE({1,2,3,4,5,6},U16,W16,Z16,AB16,AD16,AG16),2)</f>
        <v>35.44</v>
      </c>
      <c r="U16" s="33">
        <v>35.44</v>
      </c>
      <c r="V16" s="40">
        <v>6.3</v>
      </c>
      <c r="W16" s="34"/>
      <c r="X16" s="40"/>
      <c r="Y16" s="4">
        <f>IF(I16="Senior",MAX(U16,W16),U16+W16)</f>
        <v>35.44</v>
      </c>
      <c r="Z16" s="34">
        <v>41.41</v>
      </c>
      <c r="AA16" s="40">
        <v>6.3</v>
      </c>
      <c r="AB16" s="33"/>
      <c r="AC16" s="40"/>
      <c r="AD16" s="34"/>
      <c r="AE16" s="40"/>
      <c r="AF16" s="4">
        <f>IF(I16="Senior",MAX(AB16,AD16),AB16+AD16)</f>
        <v>0</v>
      </c>
      <c r="AG16" s="34"/>
      <c r="AH16" s="37"/>
    </row>
    <row r="17" spans="1:34" x14ac:dyDescent="0.2">
      <c r="A17" s="1" t="str" cm="1">
        <f t="array" ref="A17">IF(J17="","",IF(Q17&lt;&gt;"",SUMPRODUCT((Q$3:Q$47&lt;&gt;"")*(H$3:H$47=H17)*(K$3:K$47&gt;K17)*(J$3:J$47="P"))+1,IF(P17&lt;&gt;"",SUMPRODUCT((P$3:P$47&lt;&gt;"")*(Q$3:Q$47="")*(H$3:H$47=H17)*(K$3:K$47&gt;K17)*(J$3:J$47="P"))+SUMPRODUCT((Q$3:Q$47&lt;&gt;"")*(H$3:H$47=H17)*(J$3:J$47="P"))+1,IF(O17&lt;&gt;"",SUMPRODUCT((O$3:O$47&lt;&gt;"")*(H$3:H$47=H17)*(K$3:K$47&gt;K17)*(J$3:J$47="P"))+1,IF(N17="P",SUMPRODUCT((P$3:P$47&lt;&gt;"")*(Q$3:Q$47="")*(H$3:H$47=H17)*(J$3:J$47="P"))+SUMPRODUCT((Q$3:Q$47&lt;&gt;"")*(H$3:H$47=H17)*(J$3:J$47="P"))+SUMPRODUCT((O$3:O$47&lt;&gt;"")*(H$3:H$47=H17)*(J$3:J$47="P"))+SUMPRODUCT((Q$3:Q$47="")*(P$3:P$47="")*(O$3:O$47="")*(N$3:N$47="P")*(H$3:H$47=H17)*(K$3:K$47&gt;K17)*(J$3:J$47="P"))+IF(I17="L5",SUMPRODUCT((Q$3:Q$47="")*(P$3:P$47="")*(O$3:O$47="")*(N$3:N$47="P")*(H$3:H$47=H17)*(K$3:K$47&lt;K17)*(I$3:I$47&lt;&gt;I17)*(J$3:J$47="P")),-1*SUMPRODUCT((Q$3:Q$47="")*(P$3:P$47="")*(O$3:O$47="")*(N$3:N$47="P")*(H$3:H$47=H17)*(K$3:K$47&gt;K17)*(I$3:I$47="L5")*(J$3:J$47="P")))+1,"")))))</f>
        <v/>
      </c>
      <c r="B17" s="1" t="str" cm="1">
        <f t="array" ref="B17">IF(Q17&lt;&gt;"",SUMPRODUCT((Q$3:Q$47&lt;&gt;"")*(H$3:H$47=H17)*(K$3:K$47&gt;K17))+1,IF(P17&lt;&gt;"",SUMPRODUCT((P$3:P$47&lt;&gt;"")*(Q$3:Q$47="")*(H$3:H$47=H17)*(K$3:K$47&gt;K17))+SUMPRODUCT((Q$3:Q$47&lt;&gt;"")*(H$3:H$47=H17))+1,IF(O17&lt;&gt;"",SUMPRODUCT((O$3:O$47&lt;&gt;"")*(H$3:H$47=H17)*(K$3:K$47&gt;K17))+1,IF(N17="P",SUMPRODUCT((P$3:P$47&lt;&gt;"")*(Q$3:Q$47="")*(H$3:H$47=H17))+SUMPRODUCT((Q$3:Q$47&lt;&gt;"")*(H$3:H$47=H17))+SUMPRODUCT((O$3:O$47&lt;&gt;"")*(H$3:H$47=H17))+SUMPRODUCT((Q$3:Q$47="")*(P$3:P$47="")*(O$3:O$47="")*(N$3:N$47="P")*(H$3:H$47=H17)*(K$3:K$47&gt;K17))+IF(I17="L5",SUMPRODUCT((Q$3:Q$47="")*(P$3:P$47="")*(O$3:O$47="")*(N$3:N$47="P")*(H$3:H$47=H17)*(K$3:K$47&lt;K17)*(I$3:I$47&lt;&gt;I17)),-1*SUMPRODUCT((Q$3:Q$47="")*(P$3:P$47="")*(O$3:O$47="")*(N$3:N$47="P")*(H$3:H$47=H17)*(K$3:K$47&gt;K17)*(I$3:I$47="L5")))+1,""))))</f>
        <v/>
      </c>
      <c r="C17" s="36" t="s">
        <v>337</v>
      </c>
      <c r="D17" s="36" t="str">
        <f>IF(E17="","",VLOOKUP(E17,'Coaching Points'!A:B,2,0)&amp;"/"&amp;VLOOKUP(F17,'Coaching Points'!A:B,2,0))</f>
        <v>QC/QC</v>
      </c>
      <c r="E17" s="36" t="s">
        <v>59</v>
      </c>
      <c r="F17" s="36" t="s">
        <v>59</v>
      </c>
      <c r="G17" s="35">
        <v>2005</v>
      </c>
      <c r="H17" s="1" t="str">
        <f>IF(OR('Qualifying Scores'!$B$1-G17&gt;21,'Qualifying Scores'!$B$1-G17&lt;11),"Not Age Eligible",IF('Qualifying Scores'!$B$1-G17&gt;16,"17-21",IF('Qualifying Scores'!$B$1-G17&gt;14,"15-16",IF('Qualifying Scores'!$B$1-G17&gt;12,"13-14",IF('Qualifying Scores'!$B$1-G17&gt;10,"11-12","Not Age Eligible")))))</f>
        <v>17-21</v>
      </c>
      <c r="I17" s="39" t="s">
        <v>66</v>
      </c>
      <c r="J17" s="43"/>
      <c r="K17" s="4">
        <f>S17+T17+IF(OR(I17="Junior",I17="Senior"),0.0002,IF(OR(I17="L7",I17="L6"),0.0001,0))+MAX(AB17,AD17,AG17)*0.0000001</f>
        <v>73.58</v>
      </c>
      <c r="L17" s="3" t="str">
        <f>IF(H17="Not Age Eligible","",IF(MAX(U17,W17,Z17,AB17,AD17,AG17)&gt;=LOOKUP(H17,'Qualifying Scores'!$A$4:$A$7,'Qualifying Scores'!$E$4:$E$7),"P",""))</f>
        <v/>
      </c>
      <c r="M17" s="3" t="str">
        <f>IF(H17="Not Age Eligible","",IF(MAX(V17,X17,AA17,AC17,AE17,AH17)&gt;=LOOKUP(H17,'Qualifying Scores'!$A$10:$A$13,'Qualifying Scores'!$E$10:$E$13),"P",""))</f>
        <v/>
      </c>
      <c r="N17" s="3" t="str">
        <f>IF(H17="Not Age Eligible","",IF(OR(AND(U17&gt;=LOOKUP(H17,'Qualifying Scores'!$A$4:$A$7,'Qualifying Scores'!$E$4:$E$7),V17&gt;=LOOKUP(H17,'Qualifying Scores'!$A$10:$A$13,'Qualifying Scores'!$E$10:$E$13)),AND(W17&gt;=LOOKUP(H17,'Qualifying Scores'!$A$4:$A$7,'Qualifying Scores'!$E$4:$E$7),X17&gt;=LOOKUP(H17,'Qualifying Scores'!$A$10:$A$13,'Qualifying Scores'!$E$10:$E$13)),AND(Z17&gt;=LOOKUP(H17,'Qualifying Scores'!$A$4:$A$7,'Qualifying Scores'!$E$4:$E$7),AA17&gt;=LOOKUP(H17,'Qualifying Scores'!$A$10:$A$13,'Qualifying Scores'!$E$10:$E$13)),AND(AB17&gt;=LOOKUP(H17,'Qualifying Scores'!$A$4:$A$7,'Qualifying Scores'!$E$4:$E$7),AC17&gt;=LOOKUP(H17,'Qualifying Scores'!$A$10:$A$13,'Qualifying Scores'!$E$10:$E$13)),AND(AD17&gt;=LOOKUP(H17,'Qualifying Scores'!$A$4:$A$7,'Qualifying Scores'!$E$4:$E$7),AE17&gt;=LOOKUP(H17,'Qualifying Scores'!$A$10:$A$13,'Qualifying Scores'!$E$10:$E$13)),AND(AG17&gt;=LOOKUP(H17,'Qualifying Scores'!$A$4:$A$7,'Qualifying Scores'!$E$4:$E$7),AH17&gt;=LOOKUP(H17,'Qualifying Scores'!$A$10:$A$13,'Qualifying Scores'!$E$10:$E$13))),"P",""))</f>
        <v/>
      </c>
      <c r="R17" s="1" t="str">
        <f>IF(A17&lt;5,IF(_xlfn.MAXIFS(A:A,H:H,H17)&gt;3,5-A17,_xlfn.MAXIFS(A:A,H:H,H17)+1-A17),"")</f>
        <v/>
      </c>
      <c r="S17" s="4">
        <f>MAX(U17,W17,Z17,AB17,AD17,AG17)</f>
        <v>39.58</v>
      </c>
      <c r="T17" s="4">
        <f>LARGE(CHOOSE({1,2,3,4,5,6},U17,W17,Z17,AB17,AD17,AG17),2)</f>
        <v>34</v>
      </c>
      <c r="U17" s="33">
        <v>34</v>
      </c>
      <c r="V17" s="40">
        <v>5.4</v>
      </c>
      <c r="W17" s="34"/>
      <c r="X17" s="40"/>
      <c r="Y17" s="4">
        <f>IF(I17="Senior",MAX(U17,W17),U17+W17)</f>
        <v>34</v>
      </c>
      <c r="Z17" s="34">
        <v>39.58</v>
      </c>
      <c r="AA17" s="40">
        <v>6.9</v>
      </c>
      <c r="AB17" s="33"/>
      <c r="AC17" s="40"/>
      <c r="AD17" s="34"/>
      <c r="AE17" s="40"/>
      <c r="AF17" s="4">
        <f>IF(I17="Senior",MAX(AB17,AD17),AB17+AD17)</f>
        <v>0</v>
      </c>
      <c r="AG17" s="34"/>
      <c r="AH17" s="37"/>
    </row>
    <row r="18" spans="1:34" x14ac:dyDescent="0.2">
      <c r="A18" s="1" t="str" cm="1">
        <f t="array" ref="A18">IF(J18="","",IF(Q18&lt;&gt;"",SUMPRODUCT((Q$3:Q$47&lt;&gt;"")*(H$3:H$47=H18)*(K$3:K$47&gt;K18)*(J$3:J$47="P"))+1,IF(P18&lt;&gt;"",SUMPRODUCT((P$3:P$47&lt;&gt;"")*(Q$3:Q$47="")*(H$3:H$47=H18)*(K$3:K$47&gt;K18)*(J$3:J$47="P"))+SUMPRODUCT((Q$3:Q$47&lt;&gt;"")*(H$3:H$47=H18)*(J$3:J$47="P"))+1,IF(O18&lt;&gt;"",SUMPRODUCT((O$3:O$47&lt;&gt;"")*(H$3:H$47=H18)*(K$3:K$47&gt;K18)*(J$3:J$47="P"))+1,IF(N18="P",SUMPRODUCT((P$3:P$47&lt;&gt;"")*(Q$3:Q$47="")*(H$3:H$47=H18)*(J$3:J$47="P"))+SUMPRODUCT((Q$3:Q$47&lt;&gt;"")*(H$3:H$47=H18)*(J$3:J$47="P"))+SUMPRODUCT((O$3:O$47&lt;&gt;"")*(H$3:H$47=H18)*(J$3:J$47="P"))+SUMPRODUCT((Q$3:Q$47="")*(P$3:P$47="")*(O$3:O$47="")*(N$3:N$47="P")*(H$3:H$47=H18)*(K$3:K$47&gt;K18)*(J$3:J$47="P"))+IF(I18="L5",SUMPRODUCT((Q$3:Q$47="")*(P$3:P$47="")*(O$3:O$47="")*(N$3:N$47="P")*(H$3:H$47=H18)*(K$3:K$47&lt;K18)*(I$3:I$47&lt;&gt;I18)*(J$3:J$47="P")),-1*SUMPRODUCT((Q$3:Q$47="")*(P$3:P$47="")*(O$3:O$47="")*(N$3:N$47="P")*(H$3:H$47=H18)*(K$3:K$47&gt;K18)*(I$3:I$47="L5")*(J$3:J$47="P")))+1,"")))))</f>
        <v/>
      </c>
      <c r="B18" s="1" t="str" cm="1">
        <f t="array" ref="B18">IF(Q18&lt;&gt;"",SUMPRODUCT((Q$3:Q$47&lt;&gt;"")*(H$3:H$47=H18)*(K$3:K$47&gt;K18))+1,IF(P18&lt;&gt;"",SUMPRODUCT((P$3:P$47&lt;&gt;"")*(Q$3:Q$47="")*(H$3:H$47=H18)*(K$3:K$47&gt;K18))+SUMPRODUCT((Q$3:Q$47&lt;&gt;"")*(H$3:H$47=H18))+1,IF(O18&lt;&gt;"",SUMPRODUCT((O$3:O$47&lt;&gt;"")*(H$3:H$47=H18)*(K$3:K$47&gt;K18))+1,IF(N18="P",SUMPRODUCT((P$3:P$47&lt;&gt;"")*(Q$3:Q$47="")*(H$3:H$47=H18))+SUMPRODUCT((Q$3:Q$47&lt;&gt;"")*(H$3:H$47=H18))+SUMPRODUCT((O$3:O$47&lt;&gt;"")*(H$3:H$47=H18))+SUMPRODUCT((Q$3:Q$47="")*(P$3:P$47="")*(O$3:O$47="")*(N$3:N$47="P")*(H$3:H$47=H18)*(K$3:K$47&gt;K18))+IF(I18="L5",SUMPRODUCT((Q$3:Q$47="")*(P$3:P$47="")*(O$3:O$47="")*(N$3:N$47="P")*(H$3:H$47=H18)*(K$3:K$47&lt;K18)*(I$3:I$47&lt;&gt;I18)),-1*SUMPRODUCT((Q$3:Q$47="")*(P$3:P$47="")*(O$3:O$47="")*(N$3:N$47="P")*(H$3:H$47=H18)*(K$3:K$47&gt;K18)*(I$3:I$47="L5")))+1,""))))</f>
        <v/>
      </c>
      <c r="C18" s="36" t="s">
        <v>339</v>
      </c>
      <c r="D18" s="36" t="str">
        <f>IF(E18="","",VLOOKUP(E18,'Coaching Points'!A:B,2,0)&amp;"/"&amp;VLOOKUP(F18,'Coaching Points'!A:B,2,0))</f>
        <v>AB/AB</v>
      </c>
      <c r="E18" s="36" t="s">
        <v>29</v>
      </c>
      <c r="F18" s="36" t="s">
        <v>29</v>
      </c>
      <c r="G18" s="35">
        <v>2006</v>
      </c>
      <c r="H18" s="1" t="str">
        <f>IF(OR('Qualifying Scores'!$B$1-G18&gt;21,'Qualifying Scores'!$B$1-G18&lt;11),"Not Age Eligible",IF('Qualifying Scores'!$B$1-G18&gt;16,"17-21",IF('Qualifying Scores'!$B$1-G18&gt;14,"15-16",IF('Qualifying Scores'!$B$1-G18&gt;12,"13-14",IF('Qualifying Scores'!$B$1-G18&gt;10,"11-12","Not Age Eligible")))))</f>
        <v>17-21</v>
      </c>
      <c r="I18" s="39" t="s">
        <v>66</v>
      </c>
      <c r="J18" s="43"/>
      <c r="K18" s="4">
        <f>S18+T18+IF(OR(I18="Junior",I18="Senior"),0.0002,IF(OR(I18="L7",I18="L6"),0.0001,0))+MAX(AB18,AD18,AG18)*0.0000001</f>
        <v>64.500001206999997</v>
      </c>
      <c r="L18" s="3" t="str">
        <f>IF(H18="Not Age Eligible","",IF(MAX(U18,W18,Z18,AB18,AD18,AG18)&gt;=LOOKUP(H18,'Qualifying Scores'!$A$4:$A$7,'Qualifying Scores'!$E$4:$E$7),"P",""))</f>
        <v/>
      </c>
      <c r="M18" s="3" t="str">
        <f>IF(H18="Not Age Eligible","",IF(MAX(V18,X18,AA18,AC18,AE18,AH18)&gt;=LOOKUP(H18,'Qualifying Scores'!$A$10:$A$13,'Qualifying Scores'!$E$10:$E$13),"P",""))</f>
        <v/>
      </c>
      <c r="N18" s="3" t="str">
        <f>IF(H18="Not Age Eligible","",IF(OR(AND(U18&gt;=LOOKUP(H18,'Qualifying Scores'!$A$4:$A$7,'Qualifying Scores'!$E$4:$E$7),V18&gt;=LOOKUP(H18,'Qualifying Scores'!$A$10:$A$13,'Qualifying Scores'!$E$10:$E$13)),AND(W18&gt;=LOOKUP(H18,'Qualifying Scores'!$A$4:$A$7,'Qualifying Scores'!$E$4:$E$7),X18&gt;=LOOKUP(H18,'Qualifying Scores'!$A$10:$A$13,'Qualifying Scores'!$E$10:$E$13)),AND(Z18&gt;=LOOKUP(H18,'Qualifying Scores'!$A$4:$A$7,'Qualifying Scores'!$E$4:$E$7),AA18&gt;=LOOKUP(H18,'Qualifying Scores'!$A$10:$A$13,'Qualifying Scores'!$E$10:$E$13)),AND(AB18&gt;=LOOKUP(H18,'Qualifying Scores'!$A$4:$A$7,'Qualifying Scores'!$E$4:$E$7),AC18&gt;=LOOKUP(H18,'Qualifying Scores'!$A$10:$A$13,'Qualifying Scores'!$E$10:$E$13)),AND(AD18&gt;=LOOKUP(H18,'Qualifying Scores'!$A$4:$A$7,'Qualifying Scores'!$E$4:$E$7),AE18&gt;=LOOKUP(H18,'Qualifying Scores'!$A$10:$A$13,'Qualifying Scores'!$E$10:$E$13)),AND(AG18&gt;=LOOKUP(H18,'Qualifying Scores'!$A$4:$A$7,'Qualifying Scores'!$E$4:$E$7),AH18&gt;=LOOKUP(H18,'Qualifying Scores'!$A$10:$A$13,'Qualifying Scores'!$E$10:$E$13))),"P",""))</f>
        <v/>
      </c>
      <c r="R18" s="1" t="str">
        <f>IF(A18&lt;5,IF(_xlfn.MAXIFS(A:A,H:H,H18)&gt;3,5-A18,_xlfn.MAXIFS(A:A,H:H,H18)+1-A18),"")</f>
        <v/>
      </c>
      <c r="S18" s="4">
        <f>MAX(U18,W18,Z18,AB18,AD18,AG18)</f>
        <v>39.700000000000003</v>
      </c>
      <c r="T18" s="4">
        <f>LARGE(CHOOSE({1,2,3,4,5,6},U18,W18,Z18,AB18,AD18,AG18),2)</f>
        <v>24.8</v>
      </c>
      <c r="U18" s="33">
        <v>39.700000000000003</v>
      </c>
      <c r="V18" s="40">
        <v>7.2</v>
      </c>
      <c r="W18" s="34"/>
      <c r="X18" s="40"/>
      <c r="Y18" s="4">
        <f>IF(I18="Senior",MAX(U18,W18),U18+W18)</f>
        <v>39.700000000000003</v>
      </c>
      <c r="Z18" s="34">
        <v>24.8</v>
      </c>
      <c r="AA18" s="40">
        <v>4.0999999999999996</v>
      </c>
      <c r="AB18" s="33">
        <v>12.07</v>
      </c>
      <c r="AC18" s="40">
        <v>2.2999999999999998</v>
      </c>
      <c r="AD18" s="34"/>
      <c r="AE18" s="40"/>
      <c r="AF18" s="4">
        <f>IF(I18="Senior",MAX(AB18,AD18),AB18+AD18)</f>
        <v>12.07</v>
      </c>
      <c r="AG18" s="34"/>
      <c r="AH18" s="37"/>
    </row>
    <row r="19" spans="1:34" x14ac:dyDescent="0.2">
      <c r="A19" s="1" t="str" cm="1">
        <f t="array" ref="A19">IF(J19="","",IF(Q19&lt;&gt;"",SUMPRODUCT((Q$3:Q$47&lt;&gt;"")*(H$3:H$47=H19)*(K$3:K$47&gt;K19)*(J$3:J$47="P"))+1,IF(P19&lt;&gt;"",SUMPRODUCT((P$3:P$47&lt;&gt;"")*(Q$3:Q$47="")*(H$3:H$47=H19)*(K$3:K$47&gt;K19)*(J$3:J$47="P"))+SUMPRODUCT((Q$3:Q$47&lt;&gt;"")*(H$3:H$47=H19)*(J$3:J$47="P"))+1,IF(O19&lt;&gt;"",SUMPRODUCT((O$3:O$47&lt;&gt;"")*(H$3:H$47=H19)*(K$3:K$47&gt;K19)*(J$3:J$47="P"))+1,IF(N19="P",SUMPRODUCT((P$3:P$47&lt;&gt;"")*(Q$3:Q$47="")*(H$3:H$47=H19)*(J$3:J$47="P"))+SUMPRODUCT((Q$3:Q$47&lt;&gt;"")*(H$3:H$47=H19)*(J$3:J$47="P"))+SUMPRODUCT((O$3:O$47&lt;&gt;"")*(H$3:H$47=H19)*(J$3:J$47="P"))+SUMPRODUCT((Q$3:Q$47="")*(P$3:P$47="")*(O$3:O$47="")*(N$3:N$47="P")*(H$3:H$47=H19)*(K$3:K$47&gt;K19)*(J$3:J$47="P"))+IF(I19="L5",SUMPRODUCT((Q$3:Q$47="")*(P$3:P$47="")*(O$3:O$47="")*(N$3:N$47="P")*(H$3:H$47=H19)*(K$3:K$47&lt;K19)*(I$3:I$47&lt;&gt;I19)*(J$3:J$47="P")),-1*SUMPRODUCT((Q$3:Q$47="")*(P$3:P$47="")*(O$3:O$47="")*(N$3:N$47="P")*(H$3:H$47=H19)*(K$3:K$47&gt;K19)*(I$3:I$47="L5")*(J$3:J$47="P")))+1,"")))))</f>
        <v/>
      </c>
      <c r="B19" s="1" t="str" cm="1">
        <f t="array" ref="B19">IF(Q19&lt;&gt;"",SUMPRODUCT((Q$3:Q$47&lt;&gt;"")*(H$3:H$47=H19)*(K$3:K$47&gt;K19))+1,IF(P19&lt;&gt;"",SUMPRODUCT((P$3:P$47&lt;&gt;"")*(Q$3:Q$47="")*(H$3:H$47=H19)*(K$3:K$47&gt;K19))+SUMPRODUCT((Q$3:Q$47&lt;&gt;"")*(H$3:H$47=H19))+1,IF(O19&lt;&gt;"",SUMPRODUCT((O$3:O$47&lt;&gt;"")*(H$3:H$47=H19)*(K$3:K$47&gt;K19))+1,IF(N19="P",SUMPRODUCT((P$3:P$47&lt;&gt;"")*(Q$3:Q$47="")*(H$3:H$47=H19))+SUMPRODUCT((Q$3:Q$47&lt;&gt;"")*(H$3:H$47=H19))+SUMPRODUCT((O$3:O$47&lt;&gt;"")*(H$3:H$47=H19))+SUMPRODUCT((Q$3:Q$47="")*(P$3:P$47="")*(O$3:O$47="")*(N$3:N$47="P")*(H$3:H$47=H19)*(K$3:K$47&gt;K19))+IF(I19="L5",SUMPRODUCT((Q$3:Q$47="")*(P$3:P$47="")*(O$3:O$47="")*(N$3:N$47="P")*(H$3:H$47=H19)*(K$3:K$47&lt;K19)*(I$3:I$47&lt;&gt;I19)),-1*SUMPRODUCT((Q$3:Q$47="")*(P$3:P$47="")*(O$3:O$47="")*(N$3:N$47="P")*(H$3:H$47=H19)*(K$3:K$47&gt;K19)*(I$3:I$47="L5")))+1,""))))</f>
        <v/>
      </c>
      <c r="C19" s="36" t="s">
        <v>414</v>
      </c>
      <c r="D19" s="36" t="str">
        <f>IF(E19="","",VLOOKUP(E19,'Coaching Points'!A:B,2,0)&amp;"/"&amp;VLOOKUP(F19,'Coaching Points'!A:B,2,0))</f>
        <v>QC/QC</v>
      </c>
      <c r="E19" s="36" t="s">
        <v>59</v>
      </c>
      <c r="F19" s="36" t="s">
        <v>59</v>
      </c>
      <c r="G19" s="35">
        <v>2006</v>
      </c>
      <c r="H19" s="1" t="str">
        <f>IF(OR('Qualifying Scores'!$B$1-G19&gt;21,'Qualifying Scores'!$B$1-G19&lt;11),"Not Age Eligible",IF('Qualifying Scores'!$B$1-G19&gt;16,"17-21",IF('Qualifying Scores'!$B$1-G19&gt;14,"15-16",IF('Qualifying Scores'!$B$1-G19&gt;12,"13-14",IF('Qualifying Scores'!$B$1-G19&gt;10,"11-12","Not Age Eligible")))))</f>
        <v>17-21</v>
      </c>
      <c r="I19" s="39" t="s">
        <v>67</v>
      </c>
      <c r="J19" s="43"/>
      <c r="K19" s="4">
        <f>S19+T19+IF(OR(I19="Junior",I19="Senior"),0.0002,IF(OR(I19="L7",I19="L6"),0.0001,0))+MAX(AB19,AD19,AG19)*0.0000001</f>
        <v>64.050104267999998</v>
      </c>
      <c r="L19" s="3" t="str">
        <f>IF(H19="Not Age Eligible","",IF(MAX(U19,W19,Z19,AB19,AD19,AG19)&gt;=LOOKUP(H19,'Qualifying Scores'!$A$4:$A$7,'Qualifying Scores'!$E$4:$E$7),"P",""))</f>
        <v>P</v>
      </c>
      <c r="M19" s="3" t="str">
        <f>IF(H19="Not Age Eligible","",IF(MAX(V19,X19,AA19,AC19,AE19,AH19)&gt;=LOOKUP(H19,'Qualifying Scores'!$A$10:$A$13,'Qualifying Scores'!$E$10:$E$13),"P",""))</f>
        <v/>
      </c>
      <c r="N19" s="3" t="str">
        <f>IF(H19="Not Age Eligible","",IF(OR(AND(U19&gt;=LOOKUP(H19,'Qualifying Scores'!$A$4:$A$7,'Qualifying Scores'!$E$4:$E$7),V19&gt;=LOOKUP(H19,'Qualifying Scores'!$A$10:$A$13,'Qualifying Scores'!$E$10:$E$13)),AND(W19&gt;=LOOKUP(H19,'Qualifying Scores'!$A$4:$A$7,'Qualifying Scores'!$E$4:$E$7),X19&gt;=LOOKUP(H19,'Qualifying Scores'!$A$10:$A$13,'Qualifying Scores'!$E$10:$E$13)),AND(Z19&gt;=LOOKUP(H19,'Qualifying Scores'!$A$4:$A$7,'Qualifying Scores'!$E$4:$E$7),AA19&gt;=LOOKUP(H19,'Qualifying Scores'!$A$10:$A$13,'Qualifying Scores'!$E$10:$E$13)),AND(AB19&gt;=LOOKUP(H19,'Qualifying Scores'!$A$4:$A$7,'Qualifying Scores'!$E$4:$E$7),AC19&gt;=LOOKUP(H19,'Qualifying Scores'!$A$10:$A$13,'Qualifying Scores'!$E$10:$E$13)),AND(AD19&gt;=LOOKUP(H19,'Qualifying Scores'!$A$4:$A$7,'Qualifying Scores'!$E$4:$E$7),AE19&gt;=LOOKUP(H19,'Qualifying Scores'!$A$10:$A$13,'Qualifying Scores'!$E$10:$E$13)),AND(AG19&gt;=LOOKUP(H19,'Qualifying Scores'!$A$4:$A$7,'Qualifying Scores'!$E$4:$E$7),AH19&gt;=LOOKUP(H19,'Qualifying Scores'!$A$10:$A$13,'Qualifying Scores'!$E$10:$E$13))),"P",""))</f>
        <v/>
      </c>
      <c r="R19" s="1" t="str">
        <f>IF(A19&lt;5,IF(_xlfn.MAXIFS(A:A,H:H,H19)&gt;3,5-A19,_xlfn.MAXIFS(A:A,H:H,H19)+1-A19),"")</f>
        <v/>
      </c>
      <c r="S19" s="4">
        <f>MAX(U19,W19,Z19,AB19,AD19,AG19)</f>
        <v>42.68</v>
      </c>
      <c r="T19" s="4">
        <f>LARGE(CHOOSE({1,2,3,4,5,6},U19,W19,Z19,AB19,AD19,AG19),2)</f>
        <v>21.37</v>
      </c>
      <c r="U19" s="33"/>
      <c r="V19" s="40"/>
      <c r="W19" s="34"/>
      <c r="X19" s="40"/>
      <c r="Y19" s="4">
        <f>IF(I19="Senior",MAX(U19,W19),U19+W19)</f>
        <v>0</v>
      </c>
      <c r="Z19" s="34"/>
      <c r="AA19" s="40"/>
      <c r="AB19" s="33">
        <v>42.68</v>
      </c>
      <c r="AC19" s="40">
        <v>7.8</v>
      </c>
      <c r="AD19" s="34"/>
      <c r="AE19" s="40"/>
      <c r="AF19" s="4">
        <f>IF(I19="Senior",MAX(AB19,AD19),AB19+AD19)</f>
        <v>42.68</v>
      </c>
      <c r="AG19" s="34">
        <v>21.37</v>
      </c>
      <c r="AH19" s="37">
        <v>4.5999999999999996</v>
      </c>
    </row>
    <row r="20" spans="1:34" x14ac:dyDescent="0.2">
      <c r="A20" s="1" t="str" cm="1">
        <f t="array" ref="A20">IF(J20="","",IF(Q20&lt;&gt;"",SUMPRODUCT((Q$3:Q$47&lt;&gt;"")*(H$3:H$47=H20)*(K$3:K$47&gt;K20)*(J$3:J$47="P"))+1,IF(P20&lt;&gt;"",SUMPRODUCT((P$3:P$47&lt;&gt;"")*(Q$3:Q$47="")*(H$3:H$47=H20)*(K$3:K$47&gt;K20)*(J$3:J$47="P"))+SUMPRODUCT((Q$3:Q$47&lt;&gt;"")*(H$3:H$47=H20)*(J$3:J$47="P"))+1,IF(O20&lt;&gt;"",SUMPRODUCT((O$3:O$47&lt;&gt;"")*(H$3:H$47=H20)*(K$3:K$47&gt;K20)*(J$3:J$47="P"))+1,IF(N20="P",SUMPRODUCT((P$3:P$47&lt;&gt;"")*(Q$3:Q$47="")*(H$3:H$47=H20)*(J$3:J$47="P"))+SUMPRODUCT((Q$3:Q$47&lt;&gt;"")*(H$3:H$47=H20)*(J$3:J$47="P"))+SUMPRODUCT((O$3:O$47&lt;&gt;"")*(H$3:H$47=H20)*(J$3:J$47="P"))+SUMPRODUCT((Q$3:Q$47="")*(P$3:P$47="")*(O$3:O$47="")*(N$3:N$47="P")*(H$3:H$47=H20)*(K$3:K$47&gt;K20)*(J$3:J$47="P"))+IF(I20="L5",SUMPRODUCT((Q$3:Q$47="")*(P$3:P$47="")*(O$3:O$47="")*(N$3:N$47="P")*(H$3:H$47=H20)*(K$3:K$47&lt;K20)*(I$3:I$47&lt;&gt;I20)*(J$3:J$47="P")),-1*SUMPRODUCT((Q$3:Q$47="")*(P$3:P$47="")*(O$3:O$47="")*(N$3:N$47="P")*(H$3:H$47=H20)*(K$3:K$47&gt;K20)*(I$3:I$47="L5")*(J$3:J$47="P")))+1,"")))))</f>
        <v/>
      </c>
      <c r="B20" s="1" t="str" cm="1">
        <f t="array" ref="B20">IF(Q20&lt;&gt;"",SUMPRODUCT((Q$3:Q$47&lt;&gt;"")*(H$3:H$47=H20)*(K$3:K$47&gt;K20))+1,IF(P20&lt;&gt;"",SUMPRODUCT((P$3:P$47&lt;&gt;"")*(Q$3:Q$47="")*(H$3:H$47=H20)*(K$3:K$47&gt;K20))+SUMPRODUCT((Q$3:Q$47&lt;&gt;"")*(H$3:H$47=H20))+1,IF(O20&lt;&gt;"",SUMPRODUCT((O$3:O$47&lt;&gt;"")*(H$3:H$47=H20)*(K$3:K$47&gt;K20))+1,IF(N20="P",SUMPRODUCT((P$3:P$47&lt;&gt;"")*(Q$3:Q$47="")*(H$3:H$47=H20))+SUMPRODUCT((Q$3:Q$47&lt;&gt;"")*(H$3:H$47=H20))+SUMPRODUCT((O$3:O$47&lt;&gt;"")*(H$3:H$47=H20))+SUMPRODUCT((Q$3:Q$47="")*(P$3:P$47="")*(O$3:O$47="")*(N$3:N$47="P")*(H$3:H$47=H20)*(K$3:K$47&gt;K20))+IF(I20="L5",SUMPRODUCT((Q$3:Q$47="")*(P$3:P$47="")*(O$3:O$47="")*(N$3:N$47="P")*(H$3:H$47=H20)*(K$3:K$47&lt;K20)*(I$3:I$47&lt;&gt;I20)),-1*SUMPRODUCT((Q$3:Q$47="")*(P$3:P$47="")*(O$3:O$47="")*(N$3:N$47="P")*(H$3:H$47=H20)*(K$3:K$47&gt;K20)*(I$3:I$47="L5")))+1,""))))</f>
        <v/>
      </c>
      <c r="C20" s="36" t="s">
        <v>398</v>
      </c>
      <c r="D20" s="36" t="str">
        <f>IF(E20="","",VLOOKUP(E20,'Coaching Points'!A:B,2,0)&amp;"/"&amp;VLOOKUP(F20,'Coaching Points'!A:B,2,0))</f>
        <v>QC/QC</v>
      </c>
      <c r="E20" s="36" t="s">
        <v>96</v>
      </c>
      <c r="F20" s="36" t="s">
        <v>96</v>
      </c>
      <c r="G20" s="35">
        <v>2005</v>
      </c>
      <c r="H20" s="1" t="str">
        <f>IF(OR('Qualifying Scores'!$B$1-G20&gt;21,'Qualifying Scores'!$B$1-G20&lt;11),"Not Age Eligible",IF('Qualifying Scores'!$B$1-G20&gt;16,"17-21",IF('Qualifying Scores'!$B$1-G20&gt;14,"15-16",IF('Qualifying Scores'!$B$1-G20&gt;12,"13-14",IF('Qualifying Scores'!$B$1-G20&gt;10,"11-12","Not Age Eligible")))))</f>
        <v>17-21</v>
      </c>
      <c r="I20" s="39" t="s">
        <v>66</v>
      </c>
      <c r="J20" s="43"/>
      <c r="K20" s="4">
        <f>S20+T20+IF(OR(I20="Junior",I20="Senior"),0.0002,IF(OR(I20="L7",I20="L6"),0.0001,0))+MAX(AB20,AD20,AG20)*0.0000001</f>
        <v>62.890004167999997</v>
      </c>
      <c r="L20" s="3" t="str">
        <f>IF(H20="Not Age Eligible","",IF(MAX(U20,W20,Z20,AB20,AD20,AG20)&gt;=LOOKUP(H20,'Qualifying Scores'!$A$4:$A$7,'Qualifying Scores'!$E$4:$E$7),"P",""))</f>
        <v/>
      </c>
      <c r="M20" s="3" t="str">
        <f>IF(H20="Not Age Eligible","",IF(MAX(V20,X20,AA20,AC20,AE20,AH20)&gt;=LOOKUP(H20,'Qualifying Scores'!$A$10:$A$13,'Qualifying Scores'!$E$10:$E$13),"P",""))</f>
        <v/>
      </c>
      <c r="N20" s="3" t="str">
        <f>IF(H20="Not Age Eligible","",IF(OR(AND(U20&gt;=LOOKUP(H20,'Qualifying Scores'!$A$4:$A$7,'Qualifying Scores'!$E$4:$E$7),V20&gt;=LOOKUP(H20,'Qualifying Scores'!$A$10:$A$13,'Qualifying Scores'!$E$10:$E$13)),AND(W20&gt;=LOOKUP(H20,'Qualifying Scores'!$A$4:$A$7,'Qualifying Scores'!$E$4:$E$7),X20&gt;=LOOKUP(H20,'Qualifying Scores'!$A$10:$A$13,'Qualifying Scores'!$E$10:$E$13)),AND(Z20&gt;=LOOKUP(H20,'Qualifying Scores'!$A$4:$A$7,'Qualifying Scores'!$E$4:$E$7),AA20&gt;=LOOKUP(H20,'Qualifying Scores'!$A$10:$A$13,'Qualifying Scores'!$E$10:$E$13)),AND(AB20&gt;=LOOKUP(H20,'Qualifying Scores'!$A$4:$A$7,'Qualifying Scores'!$E$4:$E$7),AC20&gt;=LOOKUP(H20,'Qualifying Scores'!$A$10:$A$13,'Qualifying Scores'!$E$10:$E$13)),AND(AD20&gt;=LOOKUP(H20,'Qualifying Scores'!$A$4:$A$7,'Qualifying Scores'!$E$4:$E$7),AE20&gt;=LOOKUP(H20,'Qualifying Scores'!$A$10:$A$13,'Qualifying Scores'!$E$10:$E$13)),AND(AG20&gt;=LOOKUP(H20,'Qualifying Scores'!$A$4:$A$7,'Qualifying Scores'!$E$4:$E$7),AH20&gt;=LOOKUP(H20,'Qualifying Scores'!$A$10:$A$13,'Qualifying Scores'!$E$10:$E$13))),"P",""))</f>
        <v/>
      </c>
      <c r="R20" s="1" t="str">
        <f>IF(A20&lt;5,IF(_xlfn.MAXIFS(A:A,H:H,H20)&gt;3,5-A20,_xlfn.MAXIFS(A:A,H:H,H20)+1-A20),"")</f>
        <v/>
      </c>
      <c r="S20" s="4">
        <f>MAX(U20,W20,Z20,AB20,AD20,AG20)</f>
        <v>41.68</v>
      </c>
      <c r="T20" s="4">
        <f>LARGE(CHOOSE({1,2,3,4,5,6},U20,W20,Z20,AB20,AD20,AG20),2)</f>
        <v>21.21</v>
      </c>
      <c r="U20" s="33"/>
      <c r="V20" s="40"/>
      <c r="W20" s="34"/>
      <c r="X20" s="40"/>
      <c r="Y20" s="4">
        <f>IF(I20="Senior",MAX(U20,W20),U20+W20)</f>
        <v>0</v>
      </c>
      <c r="Z20" s="34"/>
      <c r="AA20" s="40"/>
      <c r="AB20" s="33">
        <v>41.68</v>
      </c>
      <c r="AC20" s="40">
        <v>6.5</v>
      </c>
      <c r="AD20" s="34"/>
      <c r="AE20" s="40"/>
      <c r="AF20" s="4">
        <f>IF(I20="Senior",MAX(AB20,AD20),AB20+AD20)</f>
        <v>41.68</v>
      </c>
      <c r="AG20" s="34">
        <v>21.21</v>
      </c>
      <c r="AH20" s="37">
        <v>3.5</v>
      </c>
    </row>
    <row r="21" spans="1:34" x14ac:dyDescent="0.2">
      <c r="A21" s="1" t="str" cm="1">
        <f t="array" ref="A21">IF(J21="","",IF(Q21&lt;&gt;"",SUMPRODUCT((Q$3:Q$47&lt;&gt;"")*(H$3:H$47=H21)*(K$3:K$47&gt;K21)*(J$3:J$47="P"))+1,IF(P21&lt;&gt;"",SUMPRODUCT((P$3:P$47&lt;&gt;"")*(Q$3:Q$47="")*(H$3:H$47=H21)*(K$3:K$47&gt;K21)*(J$3:J$47="P"))+SUMPRODUCT((Q$3:Q$47&lt;&gt;"")*(H$3:H$47=H21)*(J$3:J$47="P"))+1,IF(O21&lt;&gt;"",SUMPRODUCT((O$3:O$47&lt;&gt;"")*(H$3:H$47=H21)*(K$3:K$47&gt;K21)*(J$3:J$47="P"))+1,IF(N21="P",SUMPRODUCT((P$3:P$47&lt;&gt;"")*(Q$3:Q$47="")*(H$3:H$47=H21)*(J$3:J$47="P"))+SUMPRODUCT((Q$3:Q$47&lt;&gt;"")*(H$3:H$47=H21)*(J$3:J$47="P"))+SUMPRODUCT((O$3:O$47&lt;&gt;"")*(H$3:H$47=H21)*(J$3:J$47="P"))+SUMPRODUCT((Q$3:Q$47="")*(P$3:P$47="")*(O$3:O$47="")*(N$3:N$47="P")*(H$3:H$47=H21)*(K$3:K$47&gt;K21)*(J$3:J$47="P"))+IF(I21="L5",SUMPRODUCT((Q$3:Q$47="")*(P$3:P$47="")*(O$3:O$47="")*(N$3:N$47="P")*(H$3:H$47=H21)*(K$3:K$47&lt;K21)*(I$3:I$47&lt;&gt;I21)*(J$3:J$47="P")),-1*SUMPRODUCT((Q$3:Q$47="")*(P$3:P$47="")*(O$3:O$47="")*(N$3:N$47="P")*(H$3:H$47=H21)*(K$3:K$47&gt;K21)*(I$3:I$47="L5")*(J$3:J$47="P")))+1,"")))))</f>
        <v/>
      </c>
      <c r="B21" s="1" t="str" cm="1">
        <f t="array" ref="B21">IF(Q21&lt;&gt;"",SUMPRODUCT((Q$3:Q$47&lt;&gt;"")*(H$3:H$47=H21)*(K$3:K$47&gt;K21))+1,IF(P21&lt;&gt;"",SUMPRODUCT((P$3:P$47&lt;&gt;"")*(Q$3:Q$47="")*(H$3:H$47=H21)*(K$3:K$47&gt;K21))+SUMPRODUCT((Q$3:Q$47&lt;&gt;"")*(H$3:H$47=H21))+1,IF(O21&lt;&gt;"",SUMPRODUCT((O$3:O$47&lt;&gt;"")*(H$3:H$47=H21)*(K$3:K$47&gt;K21))+1,IF(N21="P",SUMPRODUCT((P$3:P$47&lt;&gt;"")*(Q$3:Q$47="")*(H$3:H$47=H21))+SUMPRODUCT((Q$3:Q$47&lt;&gt;"")*(H$3:H$47=H21))+SUMPRODUCT((O$3:O$47&lt;&gt;"")*(H$3:H$47=H21))+SUMPRODUCT((Q$3:Q$47="")*(P$3:P$47="")*(O$3:O$47="")*(N$3:N$47="P")*(H$3:H$47=H21)*(K$3:K$47&gt;K21))+IF(I21="L5",SUMPRODUCT((Q$3:Q$47="")*(P$3:P$47="")*(O$3:O$47="")*(N$3:N$47="P")*(H$3:H$47=H21)*(K$3:K$47&lt;K21)*(I$3:I$47&lt;&gt;I21)),-1*SUMPRODUCT((Q$3:Q$47="")*(P$3:P$47="")*(O$3:O$47="")*(N$3:N$47="P")*(H$3:H$47=H21)*(K$3:K$47&gt;K21)*(I$3:I$47="L5")))+1,""))))</f>
        <v/>
      </c>
      <c r="C21" s="36" t="s">
        <v>415</v>
      </c>
      <c r="D21" s="36" t="str">
        <f>IF(E21="","",VLOOKUP(E21,'Coaching Points'!A:B,2,0)&amp;"/"&amp;VLOOKUP(F21,'Coaching Points'!A:B,2,0))</f>
        <v>AB/AB</v>
      </c>
      <c r="E21" s="36" t="s">
        <v>29</v>
      </c>
      <c r="F21" s="36" t="s">
        <v>29</v>
      </c>
      <c r="G21" s="35">
        <v>2006</v>
      </c>
      <c r="H21" s="1" t="str">
        <f>IF(OR('Qualifying Scores'!$B$1-G21&gt;21,'Qualifying Scores'!$B$1-G21&lt;11),"Not Age Eligible",IF('Qualifying Scores'!$B$1-G21&gt;16,"17-21",IF('Qualifying Scores'!$B$1-G21&gt;14,"15-16",IF('Qualifying Scores'!$B$1-G21&gt;12,"13-14",IF('Qualifying Scores'!$B$1-G21&gt;10,"11-12","Not Age Eligible")))))</f>
        <v>17-21</v>
      </c>
      <c r="I21" s="39" t="s">
        <v>67</v>
      </c>
      <c r="J21" s="43"/>
      <c r="K21" s="4">
        <f>S21+T21+IF(OR(I21="Junior",I21="Senior"),0.0002,IF(OR(I21="L7",I21="L6"),0.0001,0))+MAX(AB21,AD21,AG21)*0.0000001</f>
        <v>53.360103668000001</v>
      </c>
      <c r="L21" s="3" t="str">
        <f>IF(H21="Not Age Eligible","",IF(MAX(U21,W21,Z21,AB21,AD21,AG21)&gt;=LOOKUP(H21,'Qualifying Scores'!$A$4:$A$7,'Qualifying Scores'!$E$4:$E$7),"P",""))</f>
        <v/>
      </c>
      <c r="M21" s="3" t="str">
        <f>IF(H21="Not Age Eligible","",IF(MAX(V21,X21,AA21,AC21,AE21,AH21)&gt;=LOOKUP(H21,'Qualifying Scores'!$A$10:$A$13,'Qualifying Scores'!$E$10:$E$13),"P",""))</f>
        <v/>
      </c>
      <c r="N21" s="3" t="str">
        <f>IF(H21="Not Age Eligible","",IF(OR(AND(U21&gt;=LOOKUP(H21,'Qualifying Scores'!$A$4:$A$7,'Qualifying Scores'!$E$4:$E$7),V21&gt;=LOOKUP(H21,'Qualifying Scores'!$A$10:$A$13,'Qualifying Scores'!$E$10:$E$13)),AND(W21&gt;=LOOKUP(H21,'Qualifying Scores'!$A$4:$A$7,'Qualifying Scores'!$E$4:$E$7),X21&gt;=LOOKUP(H21,'Qualifying Scores'!$A$10:$A$13,'Qualifying Scores'!$E$10:$E$13)),AND(Z21&gt;=LOOKUP(H21,'Qualifying Scores'!$A$4:$A$7,'Qualifying Scores'!$E$4:$E$7),AA21&gt;=LOOKUP(H21,'Qualifying Scores'!$A$10:$A$13,'Qualifying Scores'!$E$10:$E$13)),AND(AB21&gt;=LOOKUP(H21,'Qualifying Scores'!$A$4:$A$7,'Qualifying Scores'!$E$4:$E$7),AC21&gt;=LOOKUP(H21,'Qualifying Scores'!$A$10:$A$13,'Qualifying Scores'!$E$10:$E$13)),AND(AD21&gt;=LOOKUP(H21,'Qualifying Scores'!$A$4:$A$7,'Qualifying Scores'!$E$4:$E$7),AE21&gt;=LOOKUP(H21,'Qualifying Scores'!$A$10:$A$13,'Qualifying Scores'!$E$10:$E$13)),AND(AG21&gt;=LOOKUP(H21,'Qualifying Scores'!$A$4:$A$7,'Qualifying Scores'!$E$4:$E$7),AH21&gt;=LOOKUP(H21,'Qualifying Scores'!$A$10:$A$13,'Qualifying Scores'!$E$10:$E$13))),"P",""))</f>
        <v/>
      </c>
      <c r="R21" s="1" t="str">
        <f>IF(A21&lt;5,IF(_xlfn.MAXIFS(A:A,H:H,H21)&gt;3,5-A21,_xlfn.MAXIFS(A:A,H:H,H21)+1-A21),"")</f>
        <v/>
      </c>
      <c r="S21" s="4">
        <f>MAX(U21,W21,Z21,AB21,AD21,AG21)</f>
        <v>36.68</v>
      </c>
      <c r="T21" s="4">
        <f>LARGE(CHOOSE({1,2,3,4,5,6},U21,W21,Z21,AB21,AD21,AG21),2)</f>
        <v>16.68</v>
      </c>
      <c r="U21" s="33"/>
      <c r="V21" s="40"/>
      <c r="W21" s="34"/>
      <c r="X21" s="40"/>
      <c r="Y21" s="4">
        <f>IF(I21="Senior",MAX(U21,W21),U21+W21)</f>
        <v>0</v>
      </c>
      <c r="Z21" s="34"/>
      <c r="AA21" s="40"/>
      <c r="AB21" s="33">
        <v>36.68</v>
      </c>
      <c r="AC21" s="40">
        <v>6.6</v>
      </c>
      <c r="AD21" s="34"/>
      <c r="AE21" s="40"/>
      <c r="AF21" s="4">
        <f>IF(I21="Senior",MAX(AB21,AD21),AB21+AD21)</f>
        <v>36.68</v>
      </c>
      <c r="AG21" s="34">
        <v>16.68</v>
      </c>
      <c r="AH21" s="37">
        <v>3.4</v>
      </c>
    </row>
    <row r="22" spans="1:34" x14ac:dyDescent="0.2">
      <c r="A22" s="1" t="str" cm="1">
        <f t="array" ref="A22">IF(J22="","",IF(Q22&lt;&gt;"",SUMPRODUCT((Q$3:Q$47&lt;&gt;"")*(H$3:H$47=H22)*(K$3:K$47&gt;K22)*(J$3:J$47="P"))+1,IF(P22&lt;&gt;"",SUMPRODUCT((P$3:P$47&lt;&gt;"")*(Q$3:Q$47="")*(H$3:H$47=H22)*(K$3:K$47&gt;K22)*(J$3:J$47="P"))+SUMPRODUCT((Q$3:Q$47&lt;&gt;"")*(H$3:H$47=H22)*(J$3:J$47="P"))+1,IF(O22&lt;&gt;"",SUMPRODUCT((O$3:O$47&lt;&gt;"")*(H$3:H$47=H22)*(K$3:K$47&gt;K22)*(J$3:J$47="P"))+1,IF(N22="P",SUMPRODUCT((P$3:P$47&lt;&gt;"")*(Q$3:Q$47="")*(H$3:H$47=H22)*(J$3:J$47="P"))+SUMPRODUCT((Q$3:Q$47&lt;&gt;"")*(H$3:H$47=H22)*(J$3:J$47="P"))+SUMPRODUCT((O$3:O$47&lt;&gt;"")*(H$3:H$47=H22)*(J$3:J$47="P"))+SUMPRODUCT((Q$3:Q$47="")*(P$3:P$47="")*(O$3:O$47="")*(N$3:N$47="P")*(H$3:H$47=H22)*(K$3:K$47&gt;K22)*(J$3:J$47="P"))+IF(I22="L5",SUMPRODUCT((Q$3:Q$47="")*(P$3:P$47="")*(O$3:O$47="")*(N$3:N$47="P")*(H$3:H$47=H22)*(K$3:K$47&lt;K22)*(I$3:I$47&lt;&gt;I22)*(J$3:J$47="P")),-1*SUMPRODUCT((Q$3:Q$47="")*(P$3:P$47="")*(O$3:O$47="")*(N$3:N$47="P")*(H$3:H$47=H22)*(K$3:K$47&gt;K22)*(I$3:I$47="L5")*(J$3:J$47="P")))+1,"")))))</f>
        <v/>
      </c>
      <c r="B22" s="1" t="str" cm="1">
        <f t="array" ref="B22">IF(Q22&lt;&gt;"",SUMPRODUCT((Q$3:Q$47&lt;&gt;"")*(H$3:H$47=H22)*(K$3:K$47&gt;K22))+1,IF(P22&lt;&gt;"",SUMPRODUCT((P$3:P$47&lt;&gt;"")*(Q$3:Q$47="")*(H$3:H$47=H22)*(K$3:K$47&gt;K22))+SUMPRODUCT((Q$3:Q$47&lt;&gt;"")*(H$3:H$47=H22))+1,IF(O22&lt;&gt;"",SUMPRODUCT((O$3:O$47&lt;&gt;"")*(H$3:H$47=H22)*(K$3:K$47&gt;K22))+1,IF(N22="P",SUMPRODUCT((P$3:P$47&lt;&gt;"")*(Q$3:Q$47="")*(H$3:H$47=H22))+SUMPRODUCT((Q$3:Q$47&lt;&gt;"")*(H$3:H$47=H22))+SUMPRODUCT((O$3:O$47&lt;&gt;"")*(H$3:H$47=H22))+SUMPRODUCT((Q$3:Q$47="")*(P$3:P$47="")*(O$3:O$47="")*(N$3:N$47="P")*(H$3:H$47=H22)*(K$3:K$47&gt;K22))+IF(I22="L5",SUMPRODUCT((Q$3:Q$47="")*(P$3:P$47="")*(O$3:O$47="")*(N$3:N$47="P")*(H$3:H$47=H22)*(K$3:K$47&lt;K22)*(I$3:I$47&lt;&gt;I22)),-1*SUMPRODUCT((Q$3:Q$47="")*(P$3:P$47="")*(O$3:O$47="")*(N$3:N$47="P")*(H$3:H$47=H22)*(K$3:K$47&gt;K22)*(I$3:I$47="L5")))+1,""))))</f>
        <v/>
      </c>
      <c r="C22" s="36" t="s">
        <v>260</v>
      </c>
      <c r="D22" s="36" t="str">
        <f>IF(E22="","",VLOOKUP(E22,'Coaching Points'!A:B,2,0)&amp;"/"&amp;VLOOKUP(F22,'Coaching Points'!A:B,2,0))</f>
        <v>AB/AB</v>
      </c>
      <c r="E22" s="36" t="s">
        <v>29</v>
      </c>
      <c r="F22" s="36" t="s">
        <v>29</v>
      </c>
      <c r="G22" s="35">
        <v>2004</v>
      </c>
      <c r="H22" s="1" t="str">
        <f>IF(OR('Qualifying Scores'!$B$1-G22&gt;21,'Qualifying Scores'!$B$1-G22&lt;11),"Not Age Eligible",IF('Qualifying Scores'!$B$1-G22&gt;16,"17-21",IF('Qualifying Scores'!$B$1-G22&gt;14,"15-16",IF('Qualifying Scores'!$B$1-G22&gt;12,"13-14",IF('Qualifying Scores'!$B$1-G22&gt;10,"11-12","Not Age Eligible")))))</f>
        <v>17-21</v>
      </c>
      <c r="I22" s="39" t="s">
        <v>67</v>
      </c>
      <c r="J22" s="43"/>
      <c r="K22" s="4">
        <f>S22+T22+IF(OR(I22="Junior",I22="Senior"),0.0002,IF(OR(I22="L7",I22="L6"),0.0001,0))+MAX(AB22,AD22,AG22)*0.0000001</f>
        <v>45.430100000000003</v>
      </c>
      <c r="L22" s="3" t="str">
        <f>IF(H22="Not Age Eligible","",IF(MAX(U22,W22,Z22,AB22,AD22,AG22)&gt;=LOOKUP(H22,'Qualifying Scores'!$A$4:$A$7,'Qualifying Scores'!$E$4:$E$7),"P",""))</f>
        <v/>
      </c>
      <c r="M22" s="3" t="str">
        <f>IF(H22="Not Age Eligible","",IF(MAX(V22,X22,AA22,AC22,AE22,AH22)&gt;=LOOKUP(H22,'Qualifying Scores'!$A$10:$A$13,'Qualifying Scores'!$E$10:$E$13),"P",""))</f>
        <v/>
      </c>
      <c r="N22" s="3" t="str">
        <f>IF(H22="Not Age Eligible","",IF(OR(AND(U22&gt;=LOOKUP(H22,'Qualifying Scores'!$A$4:$A$7,'Qualifying Scores'!$E$4:$E$7),V22&gt;=LOOKUP(H22,'Qualifying Scores'!$A$10:$A$13,'Qualifying Scores'!$E$10:$E$13)),AND(W22&gt;=LOOKUP(H22,'Qualifying Scores'!$A$4:$A$7,'Qualifying Scores'!$E$4:$E$7),X22&gt;=LOOKUP(H22,'Qualifying Scores'!$A$10:$A$13,'Qualifying Scores'!$E$10:$E$13)),AND(Z22&gt;=LOOKUP(H22,'Qualifying Scores'!$A$4:$A$7,'Qualifying Scores'!$E$4:$E$7),AA22&gt;=LOOKUP(H22,'Qualifying Scores'!$A$10:$A$13,'Qualifying Scores'!$E$10:$E$13)),AND(AB22&gt;=LOOKUP(H22,'Qualifying Scores'!$A$4:$A$7,'Qualifying Scores'!$E$4:$E$7),AC22&gt;=LOOKUP(H22,'Qualifying Scores'!$A$10:$A$13,'Qualifying Scores'!$E$10:$E$13)),AND(AD22&gt;=LOOKUP(H22,'Qualifying Scores'!$A$4:$A$7,'Qualifying Scores'!$E$4:$E$7),AE22&gt;=LOOKUP(H22,'Qualifying Scores'!$A$10:$A$13,'Qualifying Scores'!$E$10:$E$13)),AND(AG22&gt;=LOOKUP(H22,'Qualifying Scores'!$A$4:$A$7,'Qualifying Scores'!$E$4:$E$7),AH22&gt;=LOOKUP(H22,'Qualifying Scores'!$A$10:$A$13,'Qualifying Scores'!$E$10:$E$13))),"P",""))</f>
        <v/>
      </c>
      <c r="R22" s="1" t="str">
        <f>IF(A22&lt;5,IF(_xlfn.MAXIFS(A:A,H:H,H22)&gt;3,5-A22,_xlfn.MAXIFS(A:A,H:H,H22)+1-A22),"")</f>
        <v/>
      </c>
      <c r="S22" s="4">
        <f>MAX(U22,W22,Z22,AB22,AD22,AG22)</f>
        <v>40.729999999999997</v>
      </c>
      <c r="T22" s="4">
        <f>LARGE(CHOOSE({1,2,3,4,5,6},U22,W22,Z22,AB22,AD22,AG22),2)</f>
        <v>4.7</v>
      </c>
      <c r="U22" s="33">
        <v>40.729999999999997</v>
      </c>
      <c r="V22" s="40">
        <v>8.5</v>
      </c>
      <c r="W22" s="34"/>
      <c r="X22" s="40"/>
      <c r="Y22" s="4">
        <f>IF(I22="Senior",MAX(U22,W22),U22+W22)</f>
        <v>40.729999999999997</v>
      </c>
      <c r="Z22" s="34">
        <v>4.7</v>
      </c>
      <c r="AA22" s="40">
        <v>1.3</v>
      </c>
      <c r="AB22" s="33"/>
      <c r="AC22" s="40"/>
      <c r="AD22" s="34"/>
      <c r="AE22" s="40"/>
      <c r="AF22" s="4">
        <f>IF(I22="Senior",MAX(AB22,AD22),AB22+AD22)</f>
        <v>0</v>
      </c>
      <c r="AG22" s="34"/>
      <c r="AH22" s="37"/>
    </row>
    <row r="23" spans="1:34" x14ac:dyDescent="0.2">
      <c r="A23" s="1" t="str" cm="1">
        <f t="array" ref="A23">IF(J23="","",IF(Q23&lt;&gt;"",SUMPRODUCT((Q$3:Q$47&lt;&gt;"")*(H$3:H$47=H23)*(K$3:K$47&gt;K23)*(J$3:J$47="P"))+1,IF(P23&lt;&gt;"",SUMPRODUCT((P$3:P$47&lt;&gt;"")*(Q$3:Q$47="")*(H$3:H$47=H23)*(K$3:K$47&gt;K23)*(J$3:J$47="P"))+SUMPRODUCT((Q$3:Q$47&lt;&gt;"")*(H$3:H$47=H23)*(J$3:J$47="P"))+1,IF(O23&lt;&gt;"",SUMPRODUCT((O$3:O$47&lt;&gt;"")*(H$3:H$47=H23)*(K$3:K$47&gt;K23)*(J$3:J$47="P"))+1,IF(N23="P",SUMPRODUCT((P$3:P$47&lt;&gt;"")*(Q$3:Q$47="")*(H$3:H$47=H23)*(J$3:J$47="P"))+SUMPRODUCT((Q$3:Q$47&lt;&gt;"")*(H$3:H$47=H23)*(J$3:J$47="P"))+SUMPRODUCT((O$3:O$47&lt;&gt;"")*(H$3:H$47=H23)*(J$3:J$47="P"))+SUMPRODUCT((Q$3:Q$47="")*(P$3:P$47="")*(O$3:O$47="")*(N$3:N$47="P")*(H$3:H$47=H23)*(K$3:K$47&gt;K23)*(J$3:J$47="P"))+IF(I23="L5",SUMPRODUCT((Q$3:Q$47="")*(P$3:P$47="")*(O$3:O$47="")*(N$3:N$47="P")*(H$3:H$47=H23)*(K$3:K$47&lt;K23)*(I$3:I$47&lt;&gt;I23)*(J$3:J$47="P")),-1*SUMPRODUCT((Q$3:Q$47="")*(P$3:P$47="")*(O$3:O$47="")*(N$3:N$47="P")*(H$3:H$47=H23)*(K$3:K$47&gt;K23)*(I$3:I$47="L5")*(J$3:J$47="P")))+1,"")))))</f>
        <v/>
      </c>
      <c r="B23" s="1" t="str" cm="1">
        <f t="array" ref="B23">IF(Q23&lt;&gt;"",SUMPRODUCT((Q$3:Q$47&lt;&gt;"")*(H$3:H$47=H23)*(K$3:K$47&gt;K23))+1,IF(P23&lt;&gt;"",SUMPRODUCT((P$3:P$47&lt;&gt;"")*(Q$3:Q$47="")*(H$3:H$47=H23)*(K$3:K$47&gt;K23))+SUMPRODUCT((Q$3:Q$47&lt;&gt;"")*(H$3:H$47=H23))+1,IF(O23&lt;&gt;"",SUMPRODUCT((O$3:O$47&lt;&gt;"")*(H$3:H$47=H23)*(K$3:K$47&gt;K23))+1,IF(N23="P",SUMPRODUCT((P$3:P$47&lt;&gt;"")*(Q$3:Q$47="")*(H$3:H$47=H23))+SUMPRODUCT((Q$3:Q$47&lt;&gt;"")*(H$3:H$47=H23))+SUMPRODUCT((O$3:O$47&lt;&gt;"")*(H$3:H$47=H23))+SUMPRODUCT((Q$3:Q$47="")*(P$3:P$47="")*(O$3:O$47="")*(N$3:N$47="P")*(H$3:H$47=H23)*(K$3:K$47&gt;K23))+IF(I23="L5",SUMPRODUCT((Q$3:Q$47="")*(P$3:P$47="")*(O$3:O$47="")*(N$3:N$47="P")*(H$3:H$47=H23)*(K$3:K$47&lt;K23)*(I$3:I$47&lt;&gt;I23)),-1*SUMPRODUCT((Q$3:Q$47="")*(P$3:P$47="")*(O$3:O$47="")*(N$3:N$47="P")*(H$3:H$47=H23)*(K$3:K$47&gt;K23)*(I$3:I$47="L5")))+1,""))))</f>
        <v/>
      </c>
      <c r="C23" s="36" t="s">
        <v>400</v>
      </c>
      <c r="D23" s="36" t="str">
        <f>IF(E23="","",VLOOKUP(E23,'Coaching Points'!A:B,2,0)&amp;"/"&amp;VLOOKUP(F23,'Coaching Points'!A:B,2,0))</f>
        <v>ON/ON</v>
      </c>
      <c r="E23" s="36" t="s">
        <v>47</v>
      </c>
      <c r="F23" s="36" t="s">
        <v>47</v>
      </c>
      <c r="G23" s="35">
        <v>2006</v>
      </c>
      <c r="H23" s="1" t="str">
        <f>IF(OR('Qualifying Scores'!$B$1-G23&gt;21,'Qualifying Scores'!$B$1-G23&lt;11),"Not Age Eligible",IF('Qualifying Scores'!$B$1-G23&gt;16,"17-21",IF('Qualifying Scores'!$B$1-G23&gt;14,"15-16",IF('Qualifying Scores'!$B$1-G23&gt;12,"13-14",IF('Qualifying Scores'!$B$1-G23&gt;10,"11-12","Not Age Eligible")))))</f>
        <v>17-21</v>
      </c>
      <c r="I23" s="39" t="s">
        <v>66</v>
      </c>
      <c r="J23" s="43" t="s">
        <v>567</v>
      </c>
      <c r="K23" s="4">
        <f>S23+T23+IF(OR(I23="Junior",I23="Senior"),0.0002,IF(OR(I23="L7",I23="L6"),0.0001,0))+MAX(AB23,AD23,AG23)*0.0000001</f>
        <v>38.150003814999998</v>
      </c>
      <c r="L23" s="3" t="str">
        <f>IF(H23="Not Age Eligible","",IF(MAX(U23,W23,Z23,AB23,AD23,AG23)&gt;=LOOKUP(H23,'Qualifying Scores'!$A$4:$A$7,'Qualifying Scores'!$E$4:$E$7),"P",""))</f>
        <v/>
      </c>
      <c r="M23" s="3" t="str">
        <f>IF(H23="Not Age Eligible","",IF(MAX(V23,X23,AA23,AC23,AE23,AH23)&gt;=LOOKUP(H23,'Qualifying Scores'!$A$10:$A$13,'Qualifying Scores'!$E$10:$E$13),"P",""))</f>
        <v/>
      </c>
      <c r="N23" s="3" t="str">
        <f>IF(H23="Not Age Eligible","",IF(OR(AND(U23&gt;=LOOKUP(H23,'Qualifying Scores'!$A$4:$A$7,'Qualifying Scores'!$E$4:$E$7),V23&gt;=LOOKUP(H23,'Qualifying Scores'!$A$10:$A$13,'Qualifying Scores'!$E$10:$E$13)),AND(W23&gt;=LOOKUP(H23,'Qualifying Scores'!$A$4:$A$7,'Qualifying Scores'!$E$4:$E$7),X23&gt;=LOOKUP(H23,'Qualifying Scores'!$A$10:$A$13,'Qualifying Scores'!$E$10:$E$13)),AND(Z23&gt;=LOOKUP(H23,'Qualifying Scores'!$A$4:$A$7,'Qualifying Scores'!$E$4:$E$7),AA23&gt;=LOOKUP(H23,'Qualifying Scores'!$A$10:$A$13,'Qualifying Scores'!$E$10:$E$13)),AND(AB23&gt;=LOOKUP(H23,'Qualifying Scores'!$A$4:$A$7,'Qualifying Scores'!$E$4:$E$7),AC23&gt;=LOOKUP(H23,'Qualifying Scores'!$A$10:$A$13,'Qualifying Scores'!$E$10:$E$13)),AND(AD23&gt;=LOOKUP(H23,'Qualifying Scores'!$A$4:$A$7,'Qualifying Scores'!$E$4:$E$7),AE23&gt;=LOOKUP(H23,'Qualifying Scores'!$A$10:$A$13,'Qualifying Scores'!$E$10:$E$13)),AND(AG23&gt;=LOOKUP(H23,'Qualifying Scores'!$A$4:$A$7,'Qualifying Scores'!$E$4:$E$7),AH23&gt;=LOOKUP(H23,'Qualifying Scores'!$A$10:$A$13,'Qualifying Scores'!$E$10:$E$13))),"P",""))</f>
        <v/>
      </c>
      <c r="R23" s="1" t="str">
        <f>IF(A23&lt;5,IF(_xlfn.MAXIFS(A:A,H:H,H23)&gt;3,5-A23,_xlfn.MAXIFS(A:A,H:H,H23)+1-A23),"")</f>
        <v/>
      </c>
      <c r="S23" s="4">
        <f>MAX(U23,W23,Z23,AB23,AD23,AG23)</f>
        <v>38.15</v>
      </c>
      <c r="T23" s="4">
        <f>LARGE(CHOOSE({1,2,3,4,5,6},U23,W23,Z23,AB23,AD23,AG23),2)</f>
        <v>0</v>
      </c>
      <c r="U23" s="33"/>
      <c r="V23" s="40"/>
      <c r="W23" s="34"/>
      <c r="X23" s="40"/>
      <c r="Y23" s="4">
        <f>IF(I23="Senior",MAX(U23,W23),U23+W23)</f>
        <v>0</v>
      </c>
      <c r="Z23" s="34"/>
      <c r="AA23" s="40"/>
      <c r="AB23" s="33">
        <v>38.15</v>
      </c>
      <c r="AC23" s="40">
        <v>7.1</v>
      </c>
      <c r="AD23" s="34"/>
      <c r="AE23" s="40"/>
      <c r="AF23" s="4">
        <f>IF(I23="Senior",MAX(AB23,AD23),AB23+AD23)</f>
        <v>38.15</v>
      </c>
      <c r="AG23" s="34"/>
      <c r="AH23" s="37"/>
    </row>
    <row r="24" spans="1:34" x14ac:dyDescent="0.2">
      <c r="A24" s="1" t="str" cm="1">
        <f t="array" ref="A24">IF(J24="","",IF(Q24&lt;&gt;"",SUMPRODUCT((Q$3:Q$47&lt;&gt;"")*(H$3:H$47=H24)*(K$3:K$47&gt;K24)*(J$3:J$47="P"))+1,IF(P24&lt;&gt;"",SUMPRODUCT((P$3:P$47&lt;&gt;"")*(Q$3:Q$47="")*(H$3:H$47=H24)*(K$3:K$47&gt;K24)*(J$3:J$47="P"))+SUMPRODUCT((Q$3:Q$47&lt;&gt;"")*(H$3:H$47=H24)*(J$3:J$47="P"))+1,IF(O24&lt;&gt;"",SUMPRODUCT((O$3:O$47&lt;&gt;"")*(H$3:H$47=H24)*(K$3:K$47&gt;K24)*(J$3:J$47="P"))+1,IF(N24="P",SUMPRODUCT((P$3:P$47&lt;&gt;"")*(Q$3:Q$47="")*(H$3:H$47=H24)*(J$3:J$47="P"))+SUMPRODUCT((Q$3:Q$47&lt;&gt;"")*(H$3:H$47=H24)*(J$3:J$47="P"))+SUMPRODUCT((O$3:O$47&lt;&gt;"")*(H$3:H$47=H24)*(J$3:J$47="P"))+SUMPRODUCT((Q$3:Q$47="")*(P$3:P$47="")*(O$3:O$47="")*(N$3:N$47="P")*(H$3:H$47=H24)*(K$3:K$47&gt;K24)*(J$3:J$47="P"))+IF(I24="L5",SUMPRODUCT((Q$3:Q$47="")*(P$3:P$47="")*(O$3:O$47="")*(N$3:N$47="P")*(H$3:H$47=H24)*(K$3:K$47&lt;K24)*(I$3:I$47&lt;&gt;I24)*(J$3:J$47="P")),-1*SUMPRODUCT((Q$3:Q$47="")*(P$3:P$47="")*(O$3:O$47="")*(N$3:N$47="P")*(H$3:H$47=H24)*(K$3:K$47&gt;K24)*(I$3:I$47="L5")*(J$3:J$47="P")))+1,"")))))</f>
        <v/>
      </c>
      <c r="B24" s="1" t="str" cm="1">
        <f t="array" ref="B24">IF(Q24&lt;&gt;"",SUMPRODUCT((Q$3:Q$47&lt;&gt;"")*(H$3:H$47=H24)*(K$3:K$47&gt;K24))+1,IF(P24&lt;&gt;"",SUMPRODUCT((P$3:P$47&lt;&gt;"")*(Q$3:Q$47="")*(H$3:H$47=H24)*(K$3:K$47&gt;K24))+SUMPRODUCT((Q$3:Q$47&lt;&gt;"")*(H$3:H$47=H24))+1,IF(O24&lt;&gt;"",SUMPRODUCT((O$3:O$47&lt;&gt;"")*(H$3:H$47=H24)*(K$3:K$47&gt;K24))+1,IF(N24="P",SUMPRODUCT((P$3:P$47&lt;&gt;"")*(Q$3:Q$47="")*(H$3:H$47=H24))+SUMPRODUCT((Q$3:Q$47&lt;&gt;"")*(H$3:H$47=H24))+SUMPRODUCT((O$3:O$47&lt;&gt;"")*(H$3:H$47=H24))+SUMPRODUCT((Q$3:Q$47="")*(P$3:P$47="")*(O$3:O$47="")*(N$3:N$47="P")*(H$3:H$47=H24)*(K$3:K$47&gt;K24))+IF(I24="L5",SUMPRODUCT((Q$3:Q$47="")*(P$3:P$47="")*(O$3:O$47="")*(N$3:N$47="P")*(H$3:H$47=H24)*(K$3:K$47&lt;K24)*(I$3:I$47&lt;&gt;I24)),-1*SUMPRODUCT((Q$3:Q$47="")*(P$3:P$47="")*(O$3:O$47="")*(N$3:N$47="P")*(H$3:H$47=H24)*(K$3:K$47&gt;K24)*(I$3:I$47="L5")))+1,""))))</f>
        <v/>
      </c>
      <c r="C24" s="36" t="s">
        <v>254</v>
      </c>
      <c r="D24" s="36" t="str">
        <f>IF(E24="","",VLOOKUP(E24,'Coaching Points'!A:B,2,0)&amp;"/"&amp;VLOOKUP(F24,'Coaching Points'!A:B,2,0))</f>
        <v>BC/BC</v>
      </c>
      <c r="E24" s="36" t="s">
        <v>46</v>
      </c>
      <c r="F24" s="36" t="s">
        <v>46</v>
      </c>
      <c r="G24" s="35">
        <v>2004</v>
      </c>
      <c r="H24" s="1" t="str">
        <f>IF(OR('Qualifying Scores'!$B$1-G24&gt;21,'Qualifying Scores'!$B$1-G24&lt;11),"Not Age Eligible",IF('Qualifying Scores'!$B$1-G24&gt;16,"17-21",IF('Qualifying Scores'!$B$1-G24&gt;14,"15-16",IF('Qualifying Scores'!$B$1-G24&gt;12,"13-14",IF('Qualifying Scores'!$B$1-G24&gt;10,"11-12","Not Age Eligible")))))</f>
        <v>17-21</v>
      </c>
      <c r="I24" s="39" t="s">
        <v>66</v>
      </c>
      <c r="J24" s="43"/>
      <c r="K24" s="4">
        <f>S24+T24+IF(OR(I24="Junior",I24="Senior"),0.0002,IF(OR(I24="L7",I24="L6"),0.0001,0))+MAX(AB24,AD24,AG24)*0.0000001</f>
        <v>33.770000000000003</v>
      </c>
      <c r="L24" s="3" t="str">
        <f>IF(H24="Not Age Eligible","",IF(MAX(U24,W24,Z24,AB24,AD24,AG24)&gt;=LOOKUP(H24,'Qualifying Scores'!$A$4:$A$7,'Qualifying Scores'!$E$4:$E$7),"P",""))</f>
        <v/>
      </c>
      <c r="M24" s="3" t="str">
        <f>IF(H24="Not Age Eligible","",IF(MAX(V24,X24,AA24,AC24,AE24,AH24)&gt;=LOOKUP(H24,'Qualifying Scores'!$A$10:$A$13,'Qualifying Scores'!$E$10:$E$13),"P",""))</f>
        <v/>
      </c>
      <c r="N24" s="3" t="str">
        <f>IF(H24="Not Age Eligible","",IF(OR(AND(U24&gt;=LOOKUP(H24,'Qualifying Scores'!$A$4:$A$7,'Qualifying Scores'!$E$4:$E$7),V24&gt;=LOOKUP(H24,'Qualifying Scores'!$A$10:$A$13,'Qualifying Scores'!$E$10:$E$13)),AND(W24&gt;=LOOKUP(H24,'Qualifying Scores'!$A$4:$A$7,'Qualifying Scores'!$E$4:$E$7),X24&gt;=LOOKUP(H24,'Qualifying Scores'!$A$10:$A$13,'Qualifying Scores'!$E$10:$E$13)),AND(Z24&gt;=LOOKUP(H24,'Qualifying Scores'!$A$4:$A$7,'Qualifying Scores'!$E$4:$E$7),AA24&gt;=LOOKUP(H24,'Qualifying Scores'!$A$10:$A$13,'Qualifying Scores'!$E$10:$E$13)),AND(AB24&gt;=LOOKUP(H24,'Qualifying Scores'!$A$4:$A$7,'Qualifying Scores'!$E$4:$E$7),AC24&gt;=LOOKUP(H24,'Qualifying Scores'!$A$10:$A$13,'Qualifying Scores'!$E$10:$E$13)),AND(AD24&gt;=LOOKUP(H24,'Qualifying Scores'!$A$4:$A$7,'Qualifying Scores'!$E$4:$E$7),AE24&gt;=LOOKUP(H24,'Qualifying Scores'!$A$10:$A$13,'Qualifying Scores'!$E$10:$E$13)),AND(AG24&gt;=LOOKUP(H24,'Qualifying Scores'!$A$4:$A$7,'Qualifying Scores'!$E$4:$E$7),AH24&gt;=LOOKUP(H24,'Qualifying Scores'!$A$10:$A$13,'Qualifying Scores'!$E$10:$E$13))),"P",""))</f>
        <v/>
      </c>
      <c r="R24" s="1" t="str">
        <f>IF(A24&lt;5,IF(_xlfn.MAXIFS(A:A,H:H,H24)&gt;3,5-A24,_xlfn.MAXIFS(A:A,H:H,H24)+1-A24),"")</f>
        <v/>
      </c>
      <c r="S24" s="4">
        <f>MAX(U24,W24,Z24,AB24,AD24,AG24)</f>
        <v>33.770000000000003</v>
      </c>
      <c r="T24" s="4">
        <f>LARGE(CHOOSE({1,2,3,4,5,6},U24,W24,Z24,AB24,AD24,AG24),2)</f>
        <v>0</v>
      </c>
      <c r="U24" s="33">
        <v>33.770000000000003</v>
      </c>
      <c r="V24" s="40">
        <v>7.1</v>
      </c>
      <c r="W24" s="34"/>
      <c r="X24" s="40"/>
      <c r="Y24" s="4">
        <f>IF(I24="Senior",MAX(U24,W24),U24+W24)</f>
        <v>33.770000000000003</v>
      </c>
      <c r="Z24" s="34"/>
      <c r="AA24" s="40"/>
      <c r="AB24" s="33"/>
      <c r="AC24" s="40"/>
      <c r="AD24" s="34"/>
      <c r="AE24" s="40"/>
      <c r="AF24" s="4">
        <f>IF(I24="Senior",MAX(AB24,AD24),AB24+AD24)</f>
        <v>0</v>
      </c>
      <c r="AG24" s="34"/>
      <c r="AH24" s="37"/>
    </row>
    <row r="25" spans="1:34" x14ac:dyDescent="0.2">
      <c r="A25" s="1" t="str" cm="1">
        <f t="array" ref="A25">IF(J25="","",IF(Q25&lt;&gt;"",SUMPRODUCT((Q$3:Q$47&lt;&gt;"")*(H$3:H$47=H25)*(K$3:K$47&gt;K25)*(J$3:J$47="P"))+1,IF(P25&lt;&gt;"",SUMPRODUCT((P$3:P$47&lt;&gt;"")*(Q$3:Q$47="")*(H$3:H$47=H25)*(K$3:K$47&gt;K25)*(J$3:J$47="P"))+SUMPRODUCT((Q$3:Q$47&lt;&gt;"")*(H$3:H$47=H25)*(J$3:J$47="P"))+1,IF(O25&lt;&gt;"",SUMPRODUCT((O$3:O$47&lt;&gt;"")*(H$3:H$47=H25)*(K$3:K$47&gt;K25)*(J$3:J$47="P"))+1,IF(N25="P",SUMPRODUCT((P$3:P$47&lt;&gt;"")*(Q$3:Q$47="")*(H$3:H$47=H25)*(J$3:J$47="P"))+SUMPRODUCT((Q$3:Q$47&lt;&gt;"")*(H$3:H$47=H25)*(J$3:J$47="P"))+SUMPRODUCT((O$3:O$47&lt;&gt;"")*(H$3:H$47=H25)*(J$3:J$47="P"))+SUMPRODUCT((Q$3:Q$47="")*(P$3:P$47="")*(O$3:O$47="")*(N$3:N$47="P")*(H$3:H$47=H25)*(K$3:K$47&gt;K25)*(J$3:J$47="P"))+IF(I25="L5",SUMPRODUCT((Q$3:Q$47="")*(P$3:P$47="")*(O$3:O$47="")*(N$3:N$47="P")*(H$3:H$47=H25)*(K$3:K$47&lt;K25)*(I$3:I$47&lt;&gt;I25)*(J$3:J$47="P")),-1*SUMPRODUCT((Q$3:Q$47="")*(P$3:P$47="")*(O$3:O$47="")*(N$3:N$47="P")*(H$3:H$47=H25)*(K$3:K$47&gt;K25)*(I$3:I$47="L5")*(J$3:J$47="P")))+1,"")))))</f>
        <v/>
      </c>
      <c r="B25" s="1" t="str" cm="1">
        <f t="array" ref="B25">IF(Q25&lt;&gt;"",SUMPRODUCT((Q$3:Q$47&lt;&gt;"")*(H$3:H$47=H25)*(K$3:K$47&gt;K25))+1,IF(P25&lt;&gt;"",SUMPRODUCT((P$3:P$47&lt;&gt;"")*(Q$3:Q$47="")*(H$3:H$47=H25)*(K$3:K$47&gt;K25))+SUMPRODUCT((Q$3:Q$47&lt;&gt;"")*(H$3:H$47=H25))+1,IF(O25&lt;&gt;"",SUMPRODUCT((O$3:O$47&lt;&gt;"")*(H$3:H$47=H25)*(K$3:K$47&gt;K25))+1,IF(N25="P",SUMPRODUCT((P$3:P$47&lt;&gt;"")*(Q$3:Q$47="")*(H$3:H$47=H25))+SUMPRODUCT((Q$3:Q$47&lt;&gt;"")*(H$3:H$47=H25))+SUMPRODUCT((O$3:O$47&lt;&gt;"")*(H$3:H$47=H25))+SUMPRODUCT((Q$3:Q$47="")*(P$3:P$47="")*(O$3:O$47="")*(N$3:N$47="P")*(H$3:H$47=H25)*(K$3:K$47&gt;K25))+IF(I25="L5",SUMPRODUCT((Q$3:Q$47="")*(P$3:P$47="")*(O$3:O$47="")*(N$3:N$47="P")*(H$3:H$47=H25)*(K$3:K$47&lt;K25)*(I$3:I$47&lt;&gt;I25)),-1*SUMPRODUCT((Q$3:Q$47="")*(P$3:P$47="")*(O$3:O$47="")*(N$3:N$47="P")*(H$3:H$47=H25)*(K$3:K$47&gt;K25)*(I$3:I$47="L5")))+1,""))))</f>
        <v/>
      </c>
      <c r="C25" s="36" t="s">
        <v>403</v>
      </c>
      <c r="D25" s="36" t="str">
        <f>IF(E25="","",VLOOKUP(E25,'Coaching Points'!A:B,2,0)&amp;"/"&amp;VLOOKUP(F25,'Coaching Points'!A:B,2,0))</f>
        <v>ON/ON</v>
      </c>
      <c r="E25" s="36" t="s">
        <v>419</v>
      </c>
      <c r="F25" s="36" t="s">
        <v>419</v>
      </c>
      <c r="G25" s="35">
        <v>2005</v>
      </c>
      <c r="H25" s="1" t="str">
        <f>IF(OR('Qualifying Scores'!$B$1-G25&gt;21,'Qualifying Scores'!$B$1-G25&lt;11),"Not Age Eligible",IF('Qualifying Scores'!$B$1-G25&gt;16,"17-21",IF('Qualifying Scores'!$B$1-G25&gt;14,"15-16",IF('Qualifying Scores'!$B$1-G25&gt;12,"13-14",IF('Qualifying Scores'!$B$1-G25&gt;10,"11-12","Not Age Eligible")))))</f>
        <v>17-21</v>
      </c>
      <c r="I25" s="39" t="s">
        <v>66</v>
      </c>
      <c r="J25" s="43"/>
      <c r="K25" s="4">
        <f>S25+T25+IF(OR(I25="Junior",I25="Senior"),0.0002,IF(OR(I25="L7",I25="L6"),0.0001,0))+MAX(AB25,AD25,AG25)*0.0000001</f>
        <v>32.410003240999998</v>
      </c>
      <c r="L25" s="3" t="str">
        <f>IF(H25="Not Age Eligible","",IF(MAX(U25,W25,Z25,AB25,AD25,AG25)&gt;=LOOKUP(H25,'Qualifying Scores'!$A$4:$A$7,'Qualifying Scores'!$E$4:$E$7),"P",""))</f>
        <v/>
      </c>
      <c r="M25" s="3" t="str">
        <f>IF(H25="Not Age Eligible","",IF(MAX(V25,X25,AA25,AC25,AE25,AH25)&gt;=LOOKUP(H25,'Qualifying Scores'!$A$10:$A$13,'Qualifying Scores'!$E$10:$E$13),"P",""))</f>
        <v/>
      </c>
      <c r="N25" s="3" t="str">
        <f>IF(H25="Not Age Eligible","",IF(OR(AND(U25&gt;=LOOKUP(H25,'Qualifying Scores'!$A$4:$A$7,'Qualifying Scores'!$E$4:$E$7),V25&gt;=LOOKUP(H25,'Qualifying Scores'!$A$10:$A$13,'Qualifying Scores'!$E$10:$E$13)),AND(W25&gt;=LOOKUP(H25,'Qualifying Scores'!$A$4:$A$7,'Qualifying Scores'!$E$4:$E$7),X25&gt;=LOOKUP(H25,'Qualifying Scores'!$A$10:$A$13,'Qualifying Scores'!$E$10:$E$13)),AND(Z25&gt;=LOOKUP(H25,'Qualifying Scores'!$A$4:$A$7,'Qualifying Scores'!$E$4:$E$7),AA25&gt;=LOOKUP(H25,'Qualifying Scores'!$A$10:$A$13,'Qualifying Scores'!$E$10:$E$13)),AND(AB25&gt;=LOOKUP(H25,'Qualifying Scores'!$A$4:$A$7,'Qualifying Scores'!$E$4:$E$7),AC25&gt;=LOOKUP(H25,'Qualifying Scores'!$A$10:$A$13,'Qualifying Scores'!$E$10:$E$13)),AND(AD25&gt;=LOOKUP(H25,'Qualifying Scores'!$A$4:$A$7,'Qualifying Scores'!$E$4:$E$7),AE25&gt;=LOOKUP(H25,'Qualifying Scores'!$A$10:$A$13,'Qualifying Scores'!$E$10:$E$13)),AND(AG25&gt;=LOOKUP(H25,'Qualifying Scores'!$A$4:$A$7,'Qualifying Scores'!$E$4:$E$7),AH25&gt;=LOOKUP(H25,'Qualifying Scores'!$A$10:$A$13,'Qualifying Scores'!$E$10:$E$13))),"P",""))</f>
        <v/>
      </c>
      <c r="R25" s="1" t="str">
        <f>IF(A25&lt;5,IF(_xlfn.MAXIFS(A:A,H:H,H25)&gt;3,5-A25,_xlfn.MAXIFS(A:A,H:H,H25)+1-A25),"")</f>
        <v/>
      </c>
      <c r="S25" s="4">
        <f>MAX(U25,W25,Z25,AB25,AD25,AG25)</f>
        <v>32.409999999999997</v>
      </c>
      <c r="T25" s="4">
        <f>LARGE(CHOOSE({1,2,3,4,5,6},U25,W25,Z25,AB25,AD25,AG25),2)</f>
        <v>0</v>
      </c>
      <c r="U25" s="33"/>
      <c r="V25" s="40"/>
      <c r="W25" s="34"/>
      <c r="X25" s="40"/>
      <c r="Y25" s="4">
        <f>IF(I25="Senior",MAX(U25,W25),U25+W25)</f>
        <v>0</v>
      </c>
      <c r="Z25" s="34"/>
      <c r="AA25" s="40"/>
      <c r="AB25" s="33">
        <v>32.409999999999997</v>
      </c>
      <c r="AC25" s="40">
        <v>5.5</v>
      </c>
      <c r="AD25" s="34"/>
      <c r="AE25" s="40"/>
      <c r="AF25" s="4">
        <f>IF(I25="Senior",MAX(AB25,AD25),AB25+AD25)</f>
        <v>32.409999999999997</v>
      </c>
      <c r="AG25" s="34"/>
      <c r="AH25" s="37"/>
    </row>
    <row r="26" spans="1:34" x14ac:dyDescent="0.2">
      <c r="A26" s="1" t="str" cm="1">
        <f t="array" ref="A26">IF(J26="","",IF(Q26&lt;&gt;"",SUMPRODUCT((Q$3:Q$47&lt;&gt;"")*(H$3:H$47=H26)*(K$3:K$47&gt;K26)*(J$3:J$47="P"))+1,IF(P26&lt;&gt;"",SUMPRODUCT((P$3:P$47&lt;&gt;"")*(Q$3:Q$47="")*(H$3:H$47=H26)*(K$3:K$47&gt;K26)*(J$3:J$47="P"))+SUMPRODUCT((Q$3:Q$47&lt;&gt;"")*(H$3:H$47=H26)*(J$3:J$47="P"))+1,IF(O26&lt;&gt;"",SUMPRODUCT((O$3:O$47&lt;&gt;"")*(H$3:H$47=H26)*(K$3:K$47&gt;K26)*(J$3:J$47="P"))+1,IF(N26="P",SUMPRODUCT((P$3:P$47&lt;&gt;"")*(Q$3:Q$47="")*(H$3:H$47=H26)*(J$3:J$47="P"))+SUMPRODUCT((Q$3:Q$47&lt;&gt;"")*(H$3:H$47=H26)*(J$3:J$47="P"))+SUMPRODUCT((O$3:O$47&lt;&gt;"")*(H$3:H$47=H26)*(J$3:J$47="P"))+SUMPRODUCT((Q$3:Q$47="")*(P$3:P$47="")*(O$3:O$47="")*(N$3:N$47="P")*(H$3:H$47=H26)*(K$3:K$47&gt;K26)*(J$3:J$47="P"))+IF(I26="L5",SUMPRODUCT((Q$3:Q$47="")*(P$3:P$47="")*(O$3:O$47="")*(N$3:N$47="P")*(H$3:H$47=H26)*(K$3:K$47&lt;K26)*(I$3:I$47&lt;&gt;I26)*(J$3:J$47="P")),-1*SUMPRODUCT((Q$3:Q$47="")*(P$3:P$47="")*(O$3:O$47="")*(N$3:N$47="P")*(H$3:H$47=H26)*(K$3:K$47&gt;K26)*(I$3:I$47="L5")*(J$3:J$47="P")))+1,"")))))</f>
        <v/>
      </c>
      <c r="B26" s="1" t="str" cm="1">
        <f t="array" ref="B26">IF(Q26&lt;&gt;"",SUMPRODUCT((Q$3:Q$47&lt;&gt;"")*(H$3:H$47=H26)*(K$3:K$47&gt;K26))+1,IF(P26&lt;&gt;"",SUMPRODUCT((P$3:P$47&lt;&gt;"")*(Q$3:Q$47="")*(H$3:H$47=H26)*(K$3:K$47&gt;K26))+SUMPRODUCT((Q$3:Q$47&lt;&gt;"")*(H$3:H$47=H26))+1,IF(O26&lt;&gt;"",SUMPRODUCT((O$3:O$47&lt;&gt;"")*(H$3:H$47=H26)*(K$3:K$47&gt;K26))+1,IF(N26="P",SUMPRODUCT((P$3:P$47&lt;&gt;"")*(Q$3:Q$47="")*(H$3:H$47=H26))+SUMPRODUCT((Q$3:Q$47&lt;&gt;"")*(H$3:H$47=H26))+SUMPRODUCT((O$3:O$47&lt;&gt;"")*(H$3:H$47=H26))+SUMPRODUCT((Q$3:Q$47="")*(P$3:P$47="")*(O$3:O$47="")*(N$3:N$47="P")*(H$3:H$47=H26)*(K$3:K$47&gt;K26))+IF(I26="L5",SUMPRODUCT((Q$3:Q$47="")*(P$3:P$47="")*(O$3:O$47="")*(N$3:N$47="P")*(H$3:H$47=H26)*(K$3:K$47&lt;K26)*(I$3:I$47&lt;&gt;I26)),-1*SUMPRODUCT((Q$3:Q$47="")*(P$3:P$47="")*(O$3:O$47="")*(N$3:N$47="P")*(H$3:H$47=H26)*(K$3:K$47&gt;K26)*(I$3:I$47="L5")))+1,""))))</f>
        <v/>
      </c>
      <c r="C26" s="36" t="s">
        <v>404</v>
      </c>
      <c r="D26" s="36" t="str">
        <f>IF(E26="","",VLOOKUP(E26,'Coaching Points'!A:B,2,0)&amp;"/"&amp;VLOOKUP(F26,'Coaching Points'!A:B,2,0))</f>
        <v>BC/BC</v>
      </c>
      <c r="E26" s="36" t="s">
        <v>37</v>
      </c>
      <c r="F26" s="36" t="s">
        <v>37</v>
      </c>
      <c r="G26" s="35">
        <v>2002</v>
      </c>
      <c r="H26" s="1" t="str">
        <f>IF(OR('Qualifying Scores'!$B$1-G26&gt;21,'Qualifying Scores'!$B$1-G26&lt;11),"Not Age Eligible",IF('Qualifying Scores'!$B$1-G26&gt;16,"17-21",IF('Qualifying Scores'!$B$1-G26&gt;14,"15-16",IF('Qualifying Scores'!$B$1-G26&gt;12,"13-14",IF('Qualifying Scores'!$B$1-G26&gt;10,"11-12","Not Age Eligible")))))</f>
        <v>17-21</v>
      </c>
      <c r="I26" s="39" t="s">
        <v>66</v>
      </c>
      <c r="J26" s="43"/>
      <c r="K26" s="4">
        <f>S26+T26+IF(OR(I26="Junior",I26="Senior"),0.0002,IF(OR(I26="L7",I26="L6"),0.0001,0))+MAX(AB26,AD26,AG26)*0.0000001</f>
        <v>30.670003067000003</v>
      </c>
      <c r="L26" s="3" t="str">
        <f>IF(H26="Not Age Eligible","",IF(MAX(U26,W26,Z26,AB26,AD26,AG26)&gt;=LOOKUP(H26,'Qualifying Scores'!$A$4:$A$7,'Qualifying Scores'!$E$4:$E$7),"P",""))</f>
        <v/>
      </c>
      <c r="M26" s="3" t="str">
        <f>IF(H26="Not Age Eligible","",IF(MAX(V26,X26,AA26,AC26,AE26,AH26)&gt;=LOOKUP(H26,'Qualifying Scores'!$A$10:$A$13,'Qualifying Scores'!$E$10:$E$13),"P",""))</f>
        <v/>
      </c>
      <c r="N26" s="3" t="str">
        <f>IF(H26="Not Age Eligible","",IF(OR(AND(U26&gt;=LOOKUP(H26,'Qualifying Scores'!$A$4:$A$7,'Qualifying Scores'!$E$4:$E$7),V26&gt;=LOOKUP(H26,'Qualifying Scores'!$A$10:$A$13,'Qualifying Scores'!$E$10:$E$13)),AND(W26&gt;=LOOKUP(H26,'Qualifying Scores'!$A$4:$A$7,'Qualifying Scores'!$E$4:$E$7),X26&gt;=LOOKUP(H26,'Qualifying Scores'!$A$10:$A$13,'Qualifying Scores'!$E$10:$E$13)),AND(Z26&gt;=LOOKUP(H26,'Qualifying Scores'!$A$4:$A$7,'Qualifying Scores'!$E$4:$E$7),AA26&gt;=LOOKUP(H26,'Qualifying Scores'!$A$10:$A$13,'Qualifying Scores'!$E$10:$E$13)),AND(AB26&gt;=LOOKUP(H26,'Qualifying Scores'!$A$4:$A$7,'Qualifying Scores'!$E$4:$E$7),AC26&gt;=LOOKUP(H26,'Qualifying Scores'!$A$10:$A$13,'Qualifying Scores'!$E$10:$E$13)),AND(AD26&gt;=LOOKUP(H26,'Qualifying Scores'!$A$4:$A$7,'Qualifying Scores'!$E$4:$E$7),AE26&gt;=LOOKUP(H26,'Qualifying Scores'!$A$10:$A$13,'Qualifying Scores'!$E$10:$E$13)),AND(AG26&gt;=LOOKUP(H26,'Qualifying Scores'!$A$4:$A$7,'Qualifying Scores'!$E$4:$E$7),AH26&gt;=LOOKUP(H26,'Qualifying Scores'!$A$10:$A$13,'Qualifying Scores'!$E$10:$E$13))),"P",""))</f>
        <v/>
      </c>
      <c r="R26" s="1" t="str">
        <f>IF(A26&lt;5,IF(_xlfn.MAXIFS(A:A,H:H,H26)&gt;3,5-A26,_xlfn.MAXIFS(A:A,H:H,H26)+1-A26),"")</f>
        <v/>
      </c>
      <c r="S26" s="4">
        <f>MAX(U26,W26,Z26,AB26,AD26,AG26)</f>
        <v>30.67</v>
      </c>
      <c r="T26" s="4">
        <f>LARGE(CHOOSE({1,2,3,4,5,6},U26,W26,Z26,AB26,AD26,AG26),2)</f>
        <v>0</v>
      </c>
      <c r="U26" s="33"/>
      <c r="V26" s="40"/>
      <c r="W26" s="34"/>
      <c r="X26" s="40"/>
      <c r="Y26" s="4">
        <f>IF(I26="Senior",MAX(U26,W26),U26+W26)</f>
        <v>0</v>
      </c>
      <c r="Z26" s="34"/>
      <c r="AA26" s="40"/>
      <c r="AB26" s="33">
        <v>30.67</v>
      </c>
      <c r="AC26" s="40">
        <v>5.2</v>
      </c>
      <c r="AD26" s="34"/>
      <c r="AE26" s="40"/>
      <c r="AF26" s="4">
        <f>IF(I26="Senior",MAX(AB26,AD26),AB26+AD26)</f>
        <v>30.67</v>
      </c>
      <c r="AG26" s="34"/>
      <c r="AH26" s="37"/>
    </row>
    <row r="27" spans="1:34" x14ac:dyDescent="0.2">
      <c r="A27" s="1" t="str" cm="1">
        <f t="array" ref="A27">IF(J27="","",IF(Q27&lt;&gt;"",SUMPRODUCT((Q$3:Q$47&lt;&gt;"")*(H$3:H$47=H27)*(K$3:K$47&gt;K27)*(J$3:J$47="P"))+1,IF(P27&lt;&gt;"",SUMPRODUCT((P$3:P$47&lt;&gt;"")*(Q$3:Q$47="")*(H$3:H$47=H27)*(K$3:K$47&gt;K27)*(J$3:J$47="P"))+SUMPRODUCT((Q$3:Q$47&lt;&gt;"")*(H$3:H$47=H27)*(J$3:J$47="P"))+1,IF(O27&lt;&gt;"",SUMPRODUCT((O$3:O$47&lt;&gt;"")*(H$3:H$47=H27)*(K$3:K$47&gt;K27)*(J$3:J$47="P"))+1,IF(N27="P",SUMPRODUCT((P$3:P$47&lt;&gt;"")*(Q$3:Q$47="")*(H$3:H$47=H27)*(J$3:J$47="P"))+SUMPRODUCT((Q$3:Q$47&lt;&gt;"")*(H$3:H$47=H27)*(J$3:J$47="P"))+SUMPRODUCT((O$3:O$47&lt;&gt;"")*(H$3:H$47=H27)*(J$3:J$47="P"))+SUMPRODUCT((Q$3:Q$47="")*(P$3:P$47="")*(O$3:O$47="")*(N$3:N$47="P")*(H$3:H$47=H27)*(K$3:K$47&gt;K27)*(J$3:J$47="P"))+IF(I27="L5",SUMPRODUCT((Q$3:Q$47="")*(P$3:P$47="")*(O$3:O$47="")*(N$3:N$47="P")*(H$3:H$47=H27)*(K$3:K$47&lt;K27)*(I$3:I$47&lt;&gt;I27)*(J$3:J$47="P")),-1*SUMPRODUCT((Q$3:Q$47="")*(P$3:P$47="")*(O$3:O$47="")*(N$3:N$47="P")*(H$3:H$47=H27)*(K$3:K$47&gt;K27)*(I$3:I$47="L5")*(J$3:J$47="P")))+1,"")))))</f>
        <v/>
      </c>
      <c r="B27" s="1" t="str" cm="1">
        <f t="array" ref="B27">IF(Q27&lt;&gt;"",SUMPRODUCT((Q$3:Q$47&lt;&gt;"")*(H$3:H$47=H27)*(K$3:K$47&gt;K27))+1,IF(P27&lt;&gt;"",SUMPRODUCT((P$3:P$47&lt;&gt;"")*(Q$3:Q$47="")*(H$3:H$47=H27)*(K$3:K$47&gt;K27))+SUMPRODUCT((Q$3:Q$47&lt;&gt;"")*(H$3:H$47=H27))+1,IF(O27&lt;&gt;"",SUMPRODUCT((O$3:O$47&lt;&gt;"")*(H$3:H$47=H27)*(K$3:K$47&gt;K27))+1,IF(N27="P",SUMPRODUCT((P$3:P$47&lt;&gt;"")*(Q$3:Q$47="")*(H$3:H$47=H27))+SUMPRODUCT((Q$3:Q$47&lt;&gt;"")*(H$3:H$47=H27))+SUMPRODUCT((O$3:O$47&lt;&gt;"")*(H$3:H$47=H27))+SUMPRODUCT((Q$3:Q$47="")*(P$3:P$47="")*(O$3:O$47="")*(N$3:N$47="P")*(H$3:H$47=H27)*(K$3:K$47&gt;K27))+IF(I27="L5",SUMPRODUCT((Q$3:Q$47="")*(P$3:P$47="")*(O$3:O$47="")*(N$3:N$47="P")*(H$3:H$47=H27)*(K$3:K$47&lt;K27)*(I$3:I$47&lt;&gt;I27)),-1*SUMPRODUCT((Q$3:Q$47="")*(P$3:P$47="")*(O$3:O$47="")*(N$3:N$47="P")*(H$3:H$47=H27)*(K$3:K$47&gt;K27)*(I$3:I$47="L5")))+1,""))))</f>
        <v/>
      </c>
      <c r="C27" s="36" t="s">
        <v>560</v>
      </c>
      <c r="D27" s="36" t="str">
        <f>IF(E27="","",VLOOKUP(E27,'Coaching Points'!A:B,2,0)&amp;"/"&amp;VLOOKUP(F27,'Coaching Points'!A:B,2,0))</f>
        <v>QC/QC</v>
      </c>
      <c r="E27" s="36" t="s">
        <v>202</v>
      </c>
      <c r="F27" s="36" t="s">
        <v>202</v>
      </c>
      <c r="G27" s="35">
        <v>2004</v>
      </c>
      <c r="H27" s="1" t="str">
        <f>IF(OR('Qualifying Scores'!$B$1-G27&gt;21,'Qualifying Scores'!$B$1-G27&lt;11),"Not Age Eligible",IF('Qualifying Scores'!$B$1-G27&gt;16,"17-21",IF('Qualifying Scores'!$B$1-G27&gt;14,"15-16",IF('Qualifying Scores'!$B$1-G27&gt;12,"13-14",IF('Qualifying Scores'!$B$1-G27&gt;10,"11-12","Not Age Eligible")))))</f>
        <v>17-21</v>
      </c>
      <c r="I27" s="39" t="s">
        <v>66</v>
      </c>
      <c r="J27" s="43"/>
      <c r="K27" s="4">
        <f>S27+T27+IF(OR(I27="Junior",I27="Senior"),0.0002,IF(OR(I27="L7",I27="L6"),0.0001,0))+MAX(AB27,AD27,AG27)*0.0000001</f>
        <v>25.280002528000001</v>
      </c>
      <c r="L27" s="3" t="str">
        <f>IF(H27="Not Age Eligible","",IF(MAX(U27,W27,Z27,AB27,AD27,AG27)&gt;=LOOKUP(H27,'Qualifying Scores'!$A$4:$A$7,'Qualifying Scores'!$E$4:$E$7),"P",""))</f>
        <v/>
      </c>
      <c r="M27" s="3" t="str">
        <f>IF(H27="Not Age Eligible","",IF(MAX(V27,X27,AA27,AC27,AE27,AH27)&gt;=LOOKUP(H27,'Qualifying Scores'!$A$10:$A$13,'Qualifying Scores'!$E$10:$E$13),"P",""))</f>
        <v/>
      </c>
      <c r="N27" s="3" t="str">
        <f>IF(H27="Not Age Eligible","",IF(OR(AND(U27&gt;=LOOKUP(H27,'Qualifying Scores'!$A$4:$A$7,'Qualifying Scores'!$E$4:$E$7),V27&gt;=LOOKUP(H27,'Qualifying Scores'!$A$10:$A$13,'Qualifying Scores'!$E$10:$E$13)),AND(W27&gt;=LOOKUP(H27,'Qualifying Scores'!$A$4:$A$7,'Qualifying Scores'!$E$4:$E$7),X27&gt;=LOOKUP(H27,'Qualifying Scores'!$A$10:$A$13,'Qualifying Scores'!$E$10:$E$13)),AND(Z27&gt;=LOOKUP(H27,'Qualifying Scores'!$A$4:$A$7,'Qualifying Scores'!$E$4:$E$7),AA27&gt;=LOOKUP(H27,'Qualifying Scores'!$A$10:$A$13,'Qualifying Scores'!$E$10:$E$13)),AND(AB27&gt;=LOOKUP(H27,'Qualifying Scores'!$A$4:$A$7,'Qualifying Scores'!$E$4:$E$7),AC27&gt;=LOOKUP(H27,'Qualifying Scores'!$A$10:$A$13,'Qualifying Scores'!$E$10:$E$13)),AND(AD27&gt;=LOOKUP(H27,'Qualifying Scores'!$A$4:$A$7,'Qualifying Scores'!$E$4:$E$7),AE27&gt;=LOOKUP(H27,'Qualifying Scores'!$A$10:$A$13,'Qualifying Scores'!$E$10:$E$13)),AND(AG27&gt;=LOOKUP(H27,'Qualifying Scores'!$A$4:$A$7,'Qualifying Scores'!$E$4:$E$7),AH27&gt;=LOOKUP(H27,'Qualifying Scores'!$A$10:$A$13,'Qualifying Scores'!$E$10:$E$13))),"P",""))</f>
        <v/>
      </c>
      <c r="R27" s="1" t="str">
        <f>IF(A27&lt;5,IF(_xlfn.MAXIFS(A:A,H:H,H27)&gt;3,5-A27,_xlfn.MAXIFS(A:A,H:H,H27)+1-A27),"")</f>
        <v/>
      </c>
      <c r="S27" s="4">
        <f>MAX(U27,W27,Z27,AB27,AD27,AG27)</f>
        <v>25.28</v>
      </c>
      <c r="T27" s="4">
        <f>LARGE(CHOOSE({1,2,3,4,5,6},U27,W27,Z27,AB27,AD27,AG27),2)</f>
        <v>0</v>
      </c>
      <c r="U27" s="33"/>
      <c r="V27" s="40"/>
      <c r="W27" s="34"/>
      <c r="X27" s="40"/>
      <c r="Y27" s="4">
        <f>IF(I27="Senior",MAX(U27,W27),U27+W27)</f>
        <v>0</v>
      </c>
      <c r="Z27" s="34"/>
      <c r="AA27" s="40"/>
      <c r="AB27" s="33">
        <v>25.28</v>
      </c>
      <c r="AC27" s="40">
        <v>3.9</v>
      </c>
      <c r="AD27" s="34"/>
      <c r="AE27" s="40"/>
      <c r="AF27" s="4">
        <f>IF(I27="Senior",MAX(AB27,AD27),AB27+AD27)</f>
        <v>25.28</v>
      </c>
      <c r="AG27" s="34"/>
      <c r="AH27" s="37"/>
    </row>
    <row r="28" spans="1:34" x14ac:dyDescent="0.2">
      <c r="A28" s="1" t="str" cm="1">
        <f t="array" ref="A28">IF(J28="","",IF(Q28&lt;&gt;"",SUMPRODUCT((Q$3:Q$47&lt;&gt;"")*(H$3:H$47=H28)*(K$3:K$47&gt;K28)*(J$3:J$47="P"))+1,IF(P28&lt;&gt;"",SUMPRODUCT((P$3:P$47&lt;&gt;"")*(Q$3:Q$47="")*(H$3:H$47=H28)*(K$3:K$47&gt;K28)*(J$3:J$47="P"))+SUMPRODUCT((Q$3:Q$47&lt;&gt;"")*(H$3:H$47=H28)*(J$3:J$47="P"))+1,IF(O28&lt;&gt;"",SUMPRODUCT((O$3:O$47&lt;&gt;"")*(H$3:H$47=H28)*(K$3:K$47&gt;K28)*(J$3:J$47="P"))+1,IF(N28="P",SUMPRODUCT((P$3:P$47&lt;&gt;"")*(Q$3:Q$47="")*(H$3:H$47=H28)*(J$3:J$47="P"))+SUMPRODUCT((Q$3:Q$47&lt;&gt;"")*(H$3:H$47=H28)*(J$3:J$47="P"))+SUMPRODUCT((O$3:O$47&lt;&gt;"")*(H$3:H$47=H28)*(J$3:J$47="P"))+SUMPRODUCT((Q$3:Q$47="")*(P$3:P$47="")*(O$3:O$47="")*(N$3:N$47="P")*(H$3:H$47=H28)*(K$3:K$47&gt;K28)*(J$3:J$47="P"))+IF(I28="L5",SUMPRODUCT((Q$3:Q$47="")*(P$3:P$47="")*(O$3:O$47="")*(N$3:N$47="P")*(H$3:H$47=H28)*(K$3:K$47&lt;K28)*(I$3:I$47&lt;&gt;I28)*(J$3:J$47="P")),-1*SUMPRODUCT((Q$3:Q$47="")*(P$3:P$47="")*(O$3:O$47="")*(N$3:N$47="P")*(H$3:H$47=H28)*(K$3:K$47&gt;K28)*(I$3:I$47="L5")*(J$3:J$47="P")))+1,"")))))</f>
        <v/>
      </c>
      <c r="B28" s="1" t="str" cm="1">
        <f t="array" ref="B28">IF(Q28&lt;&gt;"",SUMPRODUCT((Q$3:Q$47&lt;&gt;"")*(H$3:H$47=H28)*(K$3:K$47&gt;K28))+1,IF(P28&lt;&gt;"",SUMPRODUCT((P$3:P$47&lt;&gt;"")*(Q$3:Q$47="")*(H$3:H$47=H28)*(K$3:K$47&gt;K28))+SUMPRODUCT((Q$3:Q$47&lt;&gt;"")*(H$3:H$47=H28))+1,IF(O28&lt;&gt;"",SUMPRODUCT((O$3:O$47&lt;&gt;"")*(H$3:H$47=H28)*(K$3:K$47&gt;K28))+1,IF(N28="P",SUMPRODUCT((P$3:P$47&lt;&gt;"")*(Q$3:Q$47="")*(H$3:H$47=H28))+SUMPRODUCT((Q$3:Q$47&lt;&gt;"")*(H$3:H$47=H28))+SUMPRODUCT((O$3:O$47&lt;&gt;"")*(H$3:H$47=H28))+SUMPRODUCT((Q$3:Q$47="")*(P$3:P$47="")*(O$3:O$47="")*(N$3:N$47="P")*(H$3:H$47=H28)*(K$3:K$47&gt;K28))+IF(I28="L5",SUMPRODUCT((Q$3:Q$47="")*(P$3:P$47="")*(O$3:O$47="")*(N$3:N$47="P")*(H$3:H$47=H28)*(K$3:K$47&lt;K28)*(I$3:I$47&lt;&gt;I28)),-1*SUMPRODUCT((Q$3:Q$47="")*(P$3:P$47="")*(O$3:O$47="")*(N$3:N$47="P")*(H$3:H$47=H28)*(K$3:K$47&gt;K28)*(I$3:I$47="L5")))+1,""))))</f>
        <v/>
      </c>
      <c r="C28" s="36" t="s">
        <v>405</v>
      </c>
      <c r="D28" s="36" t="str">
        <f>IF(E28="","",VLOOKUP(E28,'Coaching Points'!A:B,2,0)&amp;"/"&amp;VLOOKUP(F28,'Coaching Points'!A:B,2,0))</f>
        <v>QC/QC</v>
      </c>
      <c r="E28" s="36" t="s">
        <v>84</v>
      </c>
      <c r="F28" s="36" t="s">
        <v>84</v>
      </c>
      <c r="G28" s="35">
        <v>2006</v>
      </c>
      <c r="H28" s="1" t="str">
        <f>IF(OR('Qualifying Scores'!$B$1-G28&gt;21,'Qualifying Scores'!$B$1-G28&lt;11),"Not Age Eligible",IF('Qualifying Scores'!$B$1-G28&gt;16,"17-21",IF('Qualifying Scores'!$B$1-G28&gt;14,"15-16",IF('Qualifying Scores'!$B$1-G28&gt;12,"13-14",IF('Qualifying Scores'!$B$1-G28&gt;10,"11-12","Not Age Eligible")))))</f>
        <v>17-21</v>
      </c>
      <c r="I28" s="39" t="s">
        <v>66</v>
      </c>
      <c r="J28" s="43"/>
      <c r="K28" s="4">
        <f>S28+T28+IF(OR(I28="Junior",I28="Senior"),0.0002,IF(OR(I28="L7",I28="L6"),0.0001,0))+MAX(AB28,AD28,AG28)*0.0000001</f>
        <v>18.850001885000001</v>
      </c>
      <c r="L28" s="3" t="str">
        <f>IF(H28="Not Age Eligible","",IF(MAX(U28,W28,Z28,AB28,AD28,AG28)&gt;=LOOKUP(H28,'Qualifying Scores'!$A$4:$A$7,'Qualifying Scores'!$E$4:$E$7),"P",""))</f>
        <v/>
      </c>
      <c r="M28" s="3" t="str">
        <f>IF(H28="Not Age Eligible","",IF(MAX(V28,X28,AA28,AC28,AE28,AH28)&gt;=LOOKUP(H28,'Qualifying Scores'!$A$10:$A$13,'Qualifying Scores'!$E$10:$E$13),"P",""))</f>
        <v/>
      </c>
      <c r="N28" s="3" t="str">
        <f>IF(H28="Not Age Eligible","",IF(OR(AND(U28&gt;=LOOKUP(H28,'Qualifying Scores'!$A$4:$A$7,'Qualifying Scores'!$E$4:$E$7),V28&gt;=LOOKUP(H28,'Qualifying Scores'!$A$10:$A$13,'Qualifying Scores'!$E$10:$E$13)),AND(W28&gt;=LOOKUP(H28,'Qualifying Scores'!$A$4:$A$7,'Qualifying Scores'!$E$4:$E$7),X28&gt;=LOOKUP(H28,'Qualifying Scores'!$A$10:$A$13,'Qualifying Scores'!$E$10:$E$13)),AND(Z28&gt;=LOOKUP(H28,'Qualifying Scores'!$A$4:$A$7,'Qualifying Scores'!$E$4:$E$7),AA28&gt;=LOOKUP(H28,'Qualifying Scores'!$A$10:$A$13,'Qualifying Scores'!$E$10:$E$13)),AND(AB28&gt;=LOOKUP(H28,'Qualifying Scores'!$A$4:$A$7,'Qualifying Scores'!$E$4:$E$7),AC28&gt;=LOOKUP(H28,'Qualifying Scores'!$A$10:$A$13,'Qualifying Scores'!$E$10:$E$13)),AND(AD28&gt;=LOOKUP(H28,'Qualifying Scores'!$A$4:$A$7,'Qualifying Scores'!$E$4:$E$7),AE28&gt;=LOOKUP(H28,'Qualifying Scores'!$A$10:$A$13,'Qualifying Scores'!$E$10:$E$13)),AND(AG28&gt;=LOOKUP(H28,'Qualifying Scores'!$A$4:$A$7,'Qualifying Scores'!$E$4:$E$7),AH28&gt;=LOOKUP(H28,'Qualifying Scores'!$A$10:$A$13,'Qualifying Scores'!$E$10:$E$13))),"P",""))</f>
        <v/>
      </c>
      <c r="R28" s="1" t="str">
        <f>IF(A28&lt;5,IF(_xlfn.MAXIFS(A:A,H:H,H28)&gt;3,5-A28,_xlfn.MAXIFS(A:A,H:H,H28)+1-A28),"")</f>
        <v/>
      </c>
      <c r="S28" s="4">
        <f>MAX(U28,W28,Z28,AB28,AD28,AG28)</f>
        <v>18.850000000000001</v>
      </c>
      <c r="T28" s="4">
        <f>LARGE(CHOOSE({1,2,3,4,5,6},U28,W28,Z28,AB28,AD28,AG28),2)</f>
        <v>0</v>
      </c>
      <c r="U28" s="33"/>
      <c r="V28" s="40"/>
      <c r="W28" s="34"/>
      <c r="X28" s="40"/>
      <c r="Y28" s="4">
        <f>IF(I28="Senior",MAX(U28,W28),U28+W28)</f>
        <v>0</v>
      </c>
      <c r="Z28" s="34"/>
      <c r="AA28" s="40"/>
      <c r="AB28" s="33">
        <v>18.850000000000001</v>
      </c>
      <c r="AC28" s="40">
        <v>3.6</v>
      </c>
      <c r="AD28" s="34"/>
      <c r="AE28" s="40"/>
      <c r="AF28" s="4">
        <f>IF(I28="Senior",MAX(AB28,AD28),AB28+AD28)</f>
        <v>18.850000000000001</v>
      </c>
      <c r="AG28" s="34"/>
      <c r="AH28" s="37"/>
    </row>
    <row r="29" spans="1:34" x14ac:dyDescent="0.2">
      <c r="A29" s="1" t="str" cm="1">
        <f t="array" ref="A29">IF(J29="","",IF(Q29&lt;&gt;"",SUMPRODUCT((Q$3:Q$47&lt;&gt;"")*(H$3:H$47=H29)*(K$3:K$47&gt;K29)*(J$3:J$47="P"))+1,IF(P29&lt;&gt;"",SUMPRODUCT((P$3:P$47&lt;&gt;"")*(Q$3:Q$47="")*(H$3:H$47=H29)*(K$3:K$47&gt;K29)*(J$3:J$47="P"))+SUMPRODUCT((Q$3:Q$47&lt;&gt;"")*(H$3:H$47=H29)*(J$3:J$47="P"))+1,IF(O29&lt;&gt;"",SUMPRODUCT((O$3:O$47&lt;&gt;"")*(H$3:H$47=H29)*(K$3:K$47&gt;K29)*(J$3:J$47="P"))+1,IF(N29="P",SUMPRODUCT((P$3:P$47&lt;&gt;"")*(Q$3:Q$47="")*(H$3:H$47=H29)*(J$3:J$47="P"))+SUMPRODUCT((Q$3:Q$47&lt;&gt;"")*(H$3:H$47=H29)*(J$3:J$47="P"))+SUMPRODUCT((O$3:O$47&lt;&gt;"")*(H$3:H$47=H29)*(J$3:J$47="P"))+SUMPRODUCT((Q$3:Q$47="")*(P$3:P$47="")*(O$3:O$47="")*(N$3:N$47="P")*(H$3:H$47=H29)*(K$3:K$47&gt;K29)*(J$3:J$47="P"))+IF(I29="L5",SUMPRODUCT((Q$3:Q$47="")*(P$3:P$47="")*(O$3:O$47="")*(N$3:N$47="P")*(H$3:H$47=H29)*(K$3:K$47&lt;K29)*(I$3:I$47&lt;&gt;I29)*(J$3:J$47="P")),-1*SUMPRODUCT((Q$3:Q$47="")*(P$3:P$47="")*(O$3:O$47="")*(N$3:N$47="P")*(H$3:H$47=H29)*(K$3:K$47&gt;K29)*(I$3:I$47="L5")*(J$3:J$47="P")))+1,"")))))</f>
        <v/>
      </c>
      <c r="B29" s="1" t="str" cm="1">
        <f t="array" ref="B29">IF(Q29&lt;&gt;"",SUMPRODUCT((Q$3:Q$47&lt;&gt;"")*(H$3:H$47=H29)*(K$3:K$47&gt;K29))+1,IF(P29&lt;&gt;"",SUMPRODUCT((P$3:P$47&lt;&gt;"")*(Q$3:Q$47="")*(H$3:H$47=H29)*(K$3:K$47&gt;K29))+SUMPRODUCT((Q$3:Q$47&lt;&gt;"")*(H$3:H$47=H29))+1,IF(O29&lt;&gt;"",SUMPRODUCT((O$3:O$47&lt;&gt;"")*(H$3:H$47=H29)*(K$3:K$47&gt;K29))+1,IF(N29="P",SUMPRODUCT((P$3:P$47&lt;&gt;"")*(Q$3:Q$47="")*(H$3:H$47=H29))+SUMPRODUCT((Q$3:Q$47&lt;&gt;"")*(H$3:H$47=H29))+SUMPRODUCT((O$3:O$47&lt;&gt;"")*(H$3:H$47=H29))+SUMPRODUCT((Q$3:Q$47="")*(P$3:P$47="")*(O$3:O$47="")*(N$3:N$47="P")*(H$3:H$47=H29)*(K$3:K$47&gt;K29))+IF(I29="L5",SUMPRODUCT((Q$3:Q$47="")*(P$3:P$47="")*(O$3:O$47="")*(N$3:N$47="P")*(H$3:H$47=H29)*(K$3:K$47&lt;K29)*(I$3:I$47&lt;&gt;I29)),-1*SUMPRODUCT((Q$3:Q$47="")*(P$3:P$47="")*(O$3:O$47="")*(N$3:N$47="P")*(H$3:H$47=H29)*(K$3:K$47&gt;K29)*(I$3:I$47="L5")))+1,""))))</f>
        <v/>
      </c>
      <c r="C29" s="36" t="s">
        <v>340</v>
      </c>
      <c r="D29" s="36" t="str">
        <f>IF(E29="","",VLOOKUP(E29,'Coaching Points'!A:B,2,0)&amp;"/"&amp;VLOOKUP(F29,'Coaching Points'!A:B,2,0))</f>
        <v>ON/ON</v>
      </c>
      <c r="E29" s="36" t="s">
        <v>38</v>
      </c>
      <c r="F29" s="36" t="s">
        <v>38</v>
      </c>
      <c r="G29" s="35">
        <v>2006</v>
      </c>
      <c r="H29" s="1" t="str">
        <f>IF(OR('Qualifying Scores'!$B$1-G29&gt;21,'Qualifying Scores'!$B$1-G29&lt;11),"Not Age Eligible",IF('Qualifying Scores'!$B$1-G29&gt;16,"17-21",IF('Qualifying Scores'!$B$1-G29&gt;14,"15-16",IF('Qualifying Scores'!$B$1-G29&gt;12,"13-14",IF('Qualifying Scores'!$B$1-G29&gt;10,"11-12","Not Age Eligible")))))</f>
        <v>17-21</v>
      </c>
      <c r="I29" s="39" t="s">
        <v>66</v>
      </c>
      <c r="J29" s="43"/>
      <c r="K29" s="4">
        <f>S29+T29+IF(OR(I29="Junior",I29="Senior"),0.0002,IF(OR(I29="L7",I29="L6"),0.0001,0))+MAX(AB29,AD29,AG29)*0.0000001</f>
        <v>17.79</v>
      </c>
      <c r="L29" s="3" t="str">
        <f>IF(H29="Not Age Eligible","",IF(MAX(U29,W29,Z29,AB29,AD29,AG29)&gt;=LOOKUP(H29,'Qualifying Scores'!$A$4:$A$7,'Qualifying Scores'!$E$4:$E$7),"P",""))</f>
        <v/>
      </c>
      <c r="M29" s="3" t="str">
        <f>IF(H29="Not Age Eligible","",IF(MAX(V29,X29,AA29,AC29,AE29,AH29)&gt;=LOOKUP(H29,'Qualifying Scores'!$A$10:$A$13,'Qualifying Scores'!$E$10:$E$13),"P",""))</f>
        <v/>
      </c>
      <c r="N29" s="3" t="str">
        <f>IF(H29="Not Age Eligible","",IF(OR(AND(U29&gt;=LOOKUP(H29,'Qualifying Scores'!$A$4:$A$7,'Qualifying Scores'!$E$4:$E$7),V29&gt;=LOOKUP(H29,'Qualifying Scores'!$A$10:$A$13,'Qualifying Scores'!$E$10:$E$13)),AND(W29&gt;=LOOKUP(H29,'Qualifying Scores'!$A$4:$A$7,'Qualifying Scores'!$E$4:$E$7),X29&gt;=LOOKUP(H29,'Qualifying Scores'!$A$10:$A$13,'Qualifying Scores'!$E$10:$E$13)),AND(Z29&gt;=LOOKUP(H29,'Qualifying Scores'!$A$4:$A$7,'Qualifying Scores'!$E$4:$E$7),AA29&gt;=LOOKUP(H29,'Qualifying Scores'!$A$10:$A$13,'Qualifying Scores'!$E$10:$E$13)),AND(AB29&gt;=LOOKUP(H29,'Qualifying Scores'!$A$4:$A$7,'Qualifying Scores'!$E$4:$E$7),AC29&gt;=LOOKUP(H29,'Qualifying Scores'!$A$10:$A$13,'Qualifying Scores'!$E$10:$E$13)),AND(AD29&gt;=LOOKUP(H29,'Qualifying Scores'!$A$4:$A$7,'Qualifying Scores'!$E$4:$E$7),AE29&gt;=LOOKUP(H29,'Qualifying Scores'!$A$10:$A$13,'Qualifying Scores'!$E$10:$E$13)),AND(AG29&gt;=LOOKUP(H29,'Qualifying Scores'!$A$4:$A$7,'Qualifying Scores'!$E$4:$E$7),AH29&gt;=LOOKUP(H29,'Qualifying Scores'!$A$10:$A$13,'Qualifying Scores'!$E$10:$E$13))),"P",""))</f>
        <v/>
      </c>
      <c r="R29" s="1" t="str">
        <f>IF(A29&lt;5,IF(_xlfn.MAXIFS(A:A,H:H,H29)&gt;3,5-A29,_xlfn.MAXIFS(A:A,H:H,H29)+1-A29),"")</f>
        <v/>
      </c>
      <c r="S29" s="4">
        <f>MAX(U29,W29,Z29,AB29,AD29,AG29)</f>
        <v>17.79</v>
      </c>
      <c r="T29" s="4">
        <f>LARGE(CHOOSE({1,2,3,4,5,6},U29,W29,Z29,AB29,AD29,AG29),2)</f>
        <v>0</v>
      </c>
      <c r="U29" s="33">
        <v>17.79</v>
      </c>
      <c r="V29" s="40">
        <v>3.9</v>
      </c>
      <c r="W29" s="34"/>
      <c r="X29" s="40"/>
      <c r="Y29" s="4">
        <f>IF(I29="Senior",MAX(U29,W29),U29+W29)</f>
        <v>17.79</v>
      </c>
      <c r="Z29" s="34"/>
      <c r="AA29" s="40"/>
      <c r="AB29" s="33"/>
      <c r="AC29" s="40"/>
      <c r="AD29" s="34"/>
      <c r="AE29" s="40"/>
      <c r="AF29" s="4">
        <f>IF(I29="Senior",MAX(AB29,AD29),AB29+AD29)</f>
        <v>0</v>
      </c>
      <c r="AG29" s="34"/>
      <c r="AH29" s="37"/>
    </row>
    <row r="30" spans="1:34" x14ac:dyDescent="0.2">
      <c r="A30" s="1" t="str" cm="1">
        <f t="array" ref="A30">IF(J30="","",IF(Q30&lt;&gt;"",SUMPRODUCT((Q$3:Q$47&lt;&gt;"")*(H$3:H$47=H30)*(K$3:K$47&gt;K30)*(J$3:J$47="P"))+1,IF(P30&lt;&gt;"",SUMPRODUCT((P$3:P$47&lt;&gt;"")*(Q$3:Q$47="")*(H$3:H$47=H30)*(K$3:K$47&gt;K30)*(J$3:J$47="P"))+SUMPRODUCT((Q$3:Q$47&lt;&gt;"")*(H$3:H$47=H30)*(J$3:J$47="P"))+1,IF(O30&lt;&gt;"",SUMPRODUCT((O$3:O$47&lt;&gt;"")*(H$3:H$47=H30)*(K$3:K$47&gt;K30)*(J$3:J$47="P"))+1,IF(N30="P",SUMPRODUCT((P$3:P$47&lt;&gt;"")*(Q$3:Q$47="")*(H$3:H$47=H30)*(J$3:J$47="P"))+SUMPRODUCT((Q$3:Q$47&lt;&gt;"")*(H$3:H$47=H30)*(J$3:J$47="P"))+SUMPRODUCT((O$3:O$47&lt;&gt;"")*(H$3:H$47=H30)*(J$3:J$47="P"))+SUMPRODUCT((Q$3:Q$47="")*(P$3:P$47="")*(O$3:O$47="")*(N$3:N$47="P")*(H$3:H$47=H30)*(K$3:K$47&gt;K30)*(J$3:J$47="P"))+IF(I30="L5",SUMPRODUCT((Q$3:Q$47="")*(P$3:P$47="")*(O$3:O$47="")*(N$3:N$47="P")*(H$3:H$47=H30)*(K$3:K$47&lt;K30)*(I$3:I$47&lt;&gt;I30)*(J$3:J$47="P")),-1*SUMPRODUCT((Q$3:Q$47="")*(P$3:P$47="")*(O$3:O$47="")*(N$3:N$47="P")*(H$3:H$47=H30)*(K$3:K$47&gt;K30)*(I$3:I$47="L5")*(J$3:J$47="P")))+1,"")))))</f>
        <v/>
      </c>
      <c r="B30" s="1" t="str" cm="1">
        <f t="array" ref="B30">IF(Q30&lt;&gt;"",SUMPRODUCT((Q$3:Q$47&lt;&gt;"")*(H$3:H$47=H30)*(K$3:K$47&gt;K30))+1,IF(P30&lt;&gt;"",SUMPRODUCT((P$3:P$47&lt;&gt;"")*(Q$3:Q$47="")*(H$3:H$47=H30)*(K$3:K$47&gt;K30))+SUMPRODUCT((Q$3:Q$47&lt;&gt;"")*(H$3:H$47=H30))+1,IF(O30&lt;&gt;"",SUMPRODUCT((O$3:O$47&lt;&gt;"")*(H$3:H$47=H30)*(K$3:K$47&gt;K30))+1,IF(N30="P",SUMPRODUCT((P$3:P$47&lt;&gt;"")*(Q$3:Q$47="")*(H$3:H$47=H30))+SUMPRODUCT((Q$3:Q$47&lt;&gt;"")*(H$3:H$47=H30))+SUMPRODUCT((O$3:O$47&lt;&gt;"")*(H$3:H$47=H30))+SUMPRODUCT((Q$3:Q$47="")*(P$3:P$47="")*(O$3:O$47="")*(N$3:N$47="P")*(H$3:H$47=H30)*(K$3:K$47&gt;K30))+IF(I30="L5",SUMPRODUCT((Q$3:Q$47="")*(P$3:P$47="")*(O$3:O$47="")*(N$3:N$47="P")*(H$3:H$47=H30)*(K$3:K$47&lt;K30)*(I$3:I$47&lt;&gt;I30)),-1*SUMPRODUCT((Q$3:Q$47="")*(P$3:P$47="")*(O$3:O$47="")*(N$3:N$47="P")*(H$3:H$47=H30)*(K$3:K$47&gt;K30)*(I$3:I$47="L5")))+1,""))))</f>
        <v/>
      </c>
      <c r="C30" s="36" t="s">
        <v>406</v>
      </c>
      <c r="D30" s="36" t="str">
        <f>IF(E30="","",VLOOKUP(E30,'Coaching Points'!A:B,2,0)&amp;"/"&amp;VLOOKUP(F30,'Coaching Points'!A:B,2,0))</f>
        <v>BC/BC</v>
      </c>
      <c r="E30" s="36" t="s">
        <v>46</v>
      </c>
      <c r="F30" s="36" t="s">
        <v>46</v>
      </c>
      <c r="G30" s="35">
        <v>2005</v>
      </c>
      <c r="H30" s="1" t="str">
        <f>IF(OR('Qualifying Scores'!$B$1-G30&gt;21,'Qualifying Scores'!$B$1-G30&lt;11),"Not Age Eligible",IF('Qualifying Scores'!$B$1-G30&gt;16,"17-21",IF('Qualifying Scores'!$B$1-G30&gt;14,"15-16",IF('Qualifying Scores'!$B$1-G30&gt;12,"13-14",IF('Qualifying Scores'!$B$1-G30&gt;10,"11-12","Not Age Eligible")))))</f>
        <v>17-21</v>
      </c>
      <c r="I30" s="39" t="s">
        <v>66</v>
      </c>
      <c r="J30" s="43"/>
      <c r="K30" s="4">
        <f>S30+T30+IF(OR(I30="Junior",I30="Senior"),0.0002,IF(OR(I30="L7",I30="L6"),0.0001,0))+MAX(AB30,AD30,AG30)*0.0000001</f>
        <v>15.460001546000001</v>
      </c>
      <c r="L30" s="3" t="str">
        <f>IF(H30="Not Age Eligible","",IF(MAX(U30,W30,Z30,AB30,AD30,AG30)&gt;=LOOKUP(H30,'Qualifying Scores'!$A$4:$A$7,'Qualifying Scores'!$E$4:$E$7),"P",""))</f>
        <v/>
      </c>
      <c r="M30" s="3" t="str">
        <f>IF(H30="Not Age Eligible","",IF(MAX(V30,X30,AA30,AC30,AE30,AH30)&gt;=LOOKUP(H30,'Qualifying Scores'!$A$10:$A$13,'Qualifying Scores'!$E$10:$E$13),"P",""))</f>
        <v/>
      </c>
      <c r="N30" s="3" t="str">
        <f>IF(H30="Not Age Eligible","",IF(OR(AND(U30&gt;=LOOKUP(H30,'Qualifying Scores'!$A$4:$A$7,'Qualifying Scores'!$E$4:$E$7),V30&gt;=LOOKUP(H30,'Qualifying Scores'!$A$10:$A$13,'Qualifying Scores'!$E$10:$E$13)),AND(W30&gt;=LOOKUP(H30,'Qualifying Scores'!$A$4:$A$7,'Qualifying Scores'!$E$4:$E$7),X30&gt;=LOOKUP(H30,'Qualifying Scores'!$A$10:$A$13,'Qualifying Scores'!$E$10:$E$13)),AND(Z30&gt;=LOOKUP(H30,'Qualifying Scores'!$A$4:$A$7,'Qualifying Scores'!$E$4:$E$7),AA30&gt;=LOOKUP(H30,'Qualifying Scores'!$A$10:$A$13,'Qualifying Scores'!$E$10:$E$13)),AND(AB30&gt;=LOOKUP(H30,'Qualifying Scores'!$A$4:$A$7,'Qualifying Scores'!$E$4:$E$7),AC30&gt;=LOOKUP(H30,'Qualifying Scores'!$A$10:$A$13,'Qualifying Scores'!$E$10:$E$13)),AND(AD30&gt;=LOOKUP(H30,'Qualifying Scores'!$A$4:$A$7,'Qualifying Scores'!$E$4:$E$7),AE30&gt;=LOOKUP(H30,'Qualifying Scores'!$A$10:$A$13,'Qualifying Scores'!$E$10:$E$13)),AND(AG30&gt;=LOOKUP(H30,'Qualifying Scores'!$A$4:$A$7,'Qualifying Scores'!$E$4:$E$7),AH30&gt;=LOOKUP(H30,'Qualifying Scores'!$A$10:$A$13,'Qualifying Scores'!$E$10:$E$13))),"P",""))</f>
        <v/>
      </c>
      <c r="R30" s="1" t="str">
        <f>IF(A30&lt;5,IF(_xlfn.MAXIFS(A:A,H:H,H30)&gt;3,5-A30,_xlfn.MAXIFS(A:A,H:H,H30)+1-A30),"")</f>
        <v/>
      </c>
      <c r="S30" s="4">
        <f>MAX(U30,W30,Z30,AB30,AD30,AG30)</f>
        <v>15.46</v>
      </c>
      <c r="T30" s="4">
        <f>LARGE(CHOOSE({1,2,3,4,5,6},U30,W30,Z30,AB30,AD30,AG30),2)</f>
        <v>0</v>
      </c>
      <c r="U30" s="33"/>
      <c r="V30" s="40"/>
      <c r="W30" s="34"/>
      <c r="X30" s="40"/>
      <c r="Y30" s="4">
        <f>IF(I30="Senior",MAX(U30,W30),U30+W30)</f>
        <v>0</v>
      </c>
      <c r="Z30" s="34"/>
      <c r="AA30" s="40"/>
      <c r="AB30" s="33">
        <v>15.46</v>
      </c>
      <c r="AC30" s="40">
        <v>2.6</v>
      </c>
      <c r="AD30" s="34"/>
      <c r="AE30" s="40"/>
      <c r="AF30" s="4">
        <f>IF(I30="Senior",MAX(AB30,AD30),AB30+AD30)</f>
        <v>15.46</v>
      </c>
      <c r="AG30" s="34"/>
      <c r="AH30" s="37"/>
    </row>
    <row r="31" spans="1:34" x14ac:dyDescent="0.2">
      <c r="A31" s="1" t="str" cm="1">
        <f t="array" ref="A31">IF(J31="","",IF(Q31&lt;&gt;"",SUMPRODUCT((Q$3:Q$47&lt;&gt;"")*(H$3:H$47=H31)*(K$3:K$47&gt;K31)*(J$3:J$47="P"))+1,IF(P31&lt;&gt;"",SUMPRODUCT((P$3:P$47&lt;&gt;"")*(Q$3:Q$47="")*(H$3:H$47=H31)*(K$3:K$47&gt;K31)*(J$3:J$47="P"))+SUMPRODUCT((Q$3:Q$47&lt;&gt;"")*(H$3:H$47=H31)*(J$3:J$47="P"))+1,IF(O31&lt;&gt;"",SUMPRODUCT((O$3:O$47&lt;&gt;"")*(H$3:H$47=H31)*(K$3:K$47&gt;K31)*(J$3:J$47="P"))+1,IF(N31="P",SUMPRODUCT((P$3:P$47&lt;&gt;"")*(Q$3:Q$47="")*(H$3:H$47=H31)*(J$3:J$47="P"))+SUMPRODUCT((Q$3:Q$47&lt;&gt;"")*(H$3:H$47=H31)*(J$3:J$47="P"))+SUMPRODUCT((O$3:O$47&lt;&gt;"")*(H$3:H$47=H31)*(J$3:J$47="P"))+SUMPRODUCT((Q$3:Q$47="")*(P$3:P$47="")*(O$3:O$47="")*(N$3:N$47="P")*(H$3:H$47=H31)*(K$3:K$47&gt;K31)*(J$3:J$47="P"))+IF(I31="L5",SUMPRODUCT((Q$3:Q$47="")*(P$3:P$47="")*(O$3:O$47="")*(N$3:N$47="P")*(H$3:H$47=H31)*(K$3:K$47&lt;K31)*(I$3:I$47&lt;&gt;I31)*(J$3:J$47="P")),-1*SUMPRODUCT((Q$3:Q$47="")*(P$3:P$47="")*(O$3:O$47="")*(N$3:N$47="P")*(H$3:H$47=H31)*(K$3:K$47&gt;K31)*(I$3:I$47="L5")*(J$3:J$47="P")))+1,"")))))</f>
        <v/>
      </c>
      <c r="B31" s="1" t="str" cm="1">
        <f t="array" ref="B31">IF(Q31&lt;&gt;"",SUMPRODUCT((Q$3:Q$47&lt;&gt;"")*(H$3:H$47=H31)*(K$3:K$47&gt;K31))+1,IF(P31&lt;&gt;"",SUMPRODUCT((P$3:P$47&lt;&gt;"")*(Q$3:Q$47="")*(H$3:H$47=H31)*(K$3:K$47&gt;K31))+SUMPRODUCT((Q$3:Q$47&lt;&gt;"")*(H$3:H$47=H31))+1,IF(O31&lt;&gt;"",SUMPRODUCT((O$3:O$47&lt;&gt;"")*(H$3:H$47=H31)*(K$3:K$47&gt;K31))+1,IF(N31="P",SUMPRODUCT((P$3:P$47&lt;&gt;"")*(Q$3:Q$47="")*(H$3:H$47=H31))+SUMPRODUCT((Q$3:Q$47&lt;&gt;"")*(H$3:H$47=H31))+SUMPRODUCT((O$3:O$47&lt;&gt;"")*(H$3:H$47=H31))+SUMPRODUCT((Q$3:Q$47="")*(P$3:P$47="")*(O$3:O$47="")*(N$3:N$47="P")*(H$3:H$47=H31)*(K$3:K$47&gt;K31))+IF(I31="L5",SUMPRODUCT((Q$3:Q$47="")*(P$3:P$47="")*(O$3:O$47="")*(N$3:N$47="P")*(H$3:H$47=H31)*(K$3:K$47&lt;K31)*(I$3:I$47&lt;&gt;I31)),-1*SUMPRODUCT((Q$3:Q$47="")*(P$3:P$47="")*(O$3:O$47="")*(N$3:N$47="P")*(H$3:H$47=H31)*(K$3:K$47&gt;K31)*(I$3:I$47="L5")))+1,""))))</f>
        <v/>
      </c>
      <c r="C31" s="36" t="s">
        <v>407</v>
      </c>
      <c r="D31" s="36" t="str">
        <f>IF(E31="","",VLOOKUP(E31,'Coaching Points'!A:B,2,0)&amp;"/"&amp;VLOOKUP(F31,'Coaching Points'!A:B,2,0))</f>
        <v>BC/BC</v>
      </c>
      <c r="E31" s="36" t="s">
        <v>41</v>
      </c>
      <c r="F31" s="36" t="s">
        <v>41</v>
      </c>
      <c r="G31" s="35">
        <v>2004</v>
      </c>
      <c r="H31" s="1" t="str">
        <f>IF(OR('Qualifying Scores'!$B$1-G31&gt;21,'Qualifying Scores'!$B$1-G31&lt;11),"Not Age Eligible",IF('Qualifying Scores'!$B$1-G31&gt;16,"17-21",IF('Qualifying Scores'!$B$1-G31&gt;14,"15-16",IF('Qualifying Scores'!$B$1-G31&gt;12,"13-14",IF('Qualifying Scores'!$B$1-G31&gt;10,"11-12","Not Age Eligible")))))</f>
        <v>17-21</v>
      </c>
      <c r="I31" s="39" t="s">
        <v>66</v>
      </c>
      <c r="J31" s="43"/>
      <c r="K31" s="4">
        <f>S31+T31+IF(OR(I31="Junior",I31="Senior"),0.0002,IF(OR(I31="L7",I31="L6"),0.0001,0))+MAX(AB31,AD31,AG31)*0.0000001</f>
        <v>8.0000008000000005</v>
      </c>
      <c r="L31" s="3" t="str">
        <f>IF(H31="Not Age Eligible","",IF(MAX(U31,W31,Z31,AB31,AD31,AG31)&gt;=LOOKUP(H31,'Qualifying Scores'!$A$4:$A$7,'Qualifying Scores'!$E$4:$E$7),"P",""))</f>
        <v/>
      </c>
      <c r="M31" s="3" t="str">
        <f>IF(H31="Not Age Eligible","",IF(MAX(V31,X31,AA31,AC31,AE31,AH31)&gt;=LOOKUP(H31,'Qualifying Scores'!$A$10:$A$13,'Qualifying Scores'!$E$10:$E$13),"P",""))</f>
        <v/>
      </c>
      <c r="N31" s="3" t="str">
        <f>IF(H31="Not Age Eligible","",IF(OR(AND(U31&gt;=LOOKUP(H31,'Qualifying Scores'!$A$4:$A$7,'Qualifying Scores'!$E$4:$E$7),V31&gt;=LOOKUP(H31,'Qualifying Scores'!$A$10:$A$13,'Qualifying Scores'!$E$10:$E$13)),AND(W31&gt;=LOOKUP(H31,'Qualifying Scores'!$A$4:$A$7,'Qualifying Scores'!$E$4:$E$7),X31&gt;=LOOKUP(H31,'Qualifying Scores'!$A$10:$A$13,'Qualifying Scores'!$E$10:$E$13)),AND(Z31&gt;=LOOKUP(H31,'Qualifying Scores'!$A$4:$A$7,'Qualifying Scores'!$E$4:$E$7),AA31&gt;=LOOKUP(H31,'Qualifying Scores'!$A$10:$A$13,'Qualifying Scores'!$E$10:$E$13)),AND(AB31&gt;=LOOKUP(H31,'Qualifying Scores'!$A$4:$A$7,'Qualifying Scores'!$E$4:$E$7),AC31&gt;=LOOKUP(H31,'Qualifying Scores'!$A$10:$A$13,'Qualifying Scores'!$E$10:$E$13)),AND(AD31&gt;=LOOKUP(H31,'Qualifying Scores'!$A$4:$A$7,'Qualifying Scores'!$E$4:$E$7),AE31&gt;=LOOKUP(H31,'Qualifying Scores'!$A$10:$A$13,'Qualifying Scores'!$E$10:$E$13)),AND(AG31&gt;=LOOKUP(H31,'Qualifying Scores'!$A$4:$A$7,'Qualifying Scores'!$E$4:$E$7),AH31&gt;=LOOKUP(H31,'Qualifying Scores'!$A$10:$A$13,'Qualifying Scores'!$E$10:$E$13))),"P",""))</f>
        <v/>
      </c>
      <c r="R31" s="1" t="str">
        <f>IF(A31&lt;5,IF(_xlfn.MAXIFS(A:A,H:H,H31)&gt;3,5-A31,_xlfn.MAXIFS(A:A,H:H,H31)+1-A31),"")</f>
        <v/>
      </c>
      <c r="S31" s="4">
        <f>MAX(U31,W31,Z31,AB31,AD31,AG31)</f>
        <v>8</v>
      </c>
      <c r="T31" s="4">
        <f>LARGE(CHOOSE({1,2,3,4,5,6},U31,W31,Z31,AB31,AD31,AG31),2)</f>
        <v>0</v>
      </c>
      <c r="U31" s="33"/>
      <c r="V31" s="40"/>
      <c r="W31" s="34"/>
      <c r="X31" s="40"/>
      <c r="Y31" s="4">
        <f>IF(I31="Senior",MAX(U31,W31),U31+W31)</f>
        <v>0</v>
      </c>
      <c r="Z31" s="34"/>
      <c r="AA31" s="40"/>
      <c r="AB31" s="33">
        <v>8</v>
      </c>
      <c r="AC31" s="40">
        <v>1.8</v>
      </c>
      <c r="AD31" s="34"/>
      <c r="AE31" s="40"/>
      <c r="AF31" s="4">
        <f>IF(I31="Senior",MAX(AB31,AD31),AB31+AD31)</f>
        <v>8</v>
      </c>
      <c r="AG31" s="34"/>
      <c r="AH31" s="37"/>
    </row>
    <row r="32" spans="1:34" x14ac:dyDescent="0.2">
      <c r="A32" s="1" t="str" cm="1">
        <f t="array" ref="A32">IF(J32="","",IF(Q32&lt;&gt;"",SUMPRODUCT((Q$3:Q$47&lt;&gt;"")*(H$3:H$47=H32)*(K$3:K$47&gt;K32)*(J$3:J$47="P"))+1,IF(P32&lt;&gt;"",SUMPRODUCT((P$3:P$47&lt;&gt;"")*(Q$3:Q$47="")*(H$3:H$47=H32)*(K$3:K$47&gt;K32)*(J$3:J$47="P"))+SUMPRODUCT((Q$3:Q$47&lt;&gt;"")*(H$3:H$47=H32)*(J$3:J$47="P"))+1,IF(O32&lt;&gt;"",SUMPRODUCT((O$3:O$47&lt;&gt;"")*(H$3:H$47=H32)*(K$3:K$47&gt;K32)*(J$3:J$47="P"))+1,IF(N32="P",SUMPRODUCT((P$3:P$47&lt;&gt;"")*(Q$3:Q$47="")*(H$3:H$47=H32)*(J$3:J$47="P"))+SUMPRODUCT((Q$3:Q$47&lt;&gt;"")*(H$3:H$47=H32)*(J$3:J$47="P"))+SUMPRODUCT((O$3:O$47&lt;&gt;"")*(H$3:H$47=H32)*(J$3:J$47="P"))+SUMPRODUCT((Q$3:Q$47="")*(P$3:P$47="")*(O$3:O$47="")*(N$3:N$47="P")*(H$3:H$47=H32)*(K$3:K$47&gt;K32)*(J$3:J$47="P"))+IF(I32="L5",SUMPRODUCT((Q$3:Q$47="")*(P$3:P$47="")*(O$3:O$47="")*(N$3:N$47="P")*(H$3:H$47=H32)*(K$3:K$47&lt;K32)*(I$3:I$47&lt;&gt;I32)*(J$3:J$47="P")),-1*SUMPRODUCT((Q$3:Q$47="")*(P$3:P$47="")*(O$3:O$47="")*(N$3:N$47="P")*(H$3:H$47=H32)*(K$3:K$47&gt;K32)*(I$3:I$47="L5")*(J$3:J$47="P")))+1,"")))))</f>
        <v/>
      </c>
      <c r="B32" s="1" t="str" cm="1">
        <f t="array" ref="B32">IF(Q32&lt;&gt;"",SUMPRODUCT((Q$3:Q$47&lt;&gt;"")*(H$3:H$47=H32)*(K$3:K$47&gt;K32))+1,IF(P32&lt;&gt;"",SUMPRODUCT((P$3:P$47&lt;&gt;"")*(Q$3:Q$47="")*(H$3:H$47=H32)*(K$3:K$47&gt;K32))+SUMPRODUCT((Q$3:Q$47&lt;&gt;"")*(H$3:H$47=H32))+1,IF(O32&lt;&gt;"",SUMPRODUCT((O$3:O$47&lt;&gt;"")*(H$3:H$47=H32)*(K$3:K$47&gt;K32))+1,IF(N32="P",SUMPRODUCT((P$3:P$47&lt;&gt;"")*(Q$3:Q$47="")*(H$3:H$47=H32))+SUMPRODUCT((Q$3:Q$47&lt;&gt;"")*(H$3:H$47=H32))+SUMPRODUCT((O$3:O$47&lt;&gt;"")*(H$3:H$47=H32))+SUMPRODUCT((Q$3:Q$47="")*(P$3:P$47="")*(O$3:O$47="")*(N$3:N$47="P")*(H$3:H$47=H32)*(K$3:K$47&gt;K32))+IF(I32="L5",SUMPRODUCT((Q$3:Q$47="")*(P$3:P$47="")*(O$3:O$47="")*(N$3:N$47="P")*(H$3:H$47=H32)*(K$3:K$47&lt;K32)*(I$3:I$47&lt;&gt;I32)),-1*SUMPRODUCT((Q$3:Q$47="")*(P$3:P$47="")*(O$3:O$47="")*(N$3:N$47="P")*(H$3:H$47=H32)*(K$3:K$47&gt;K32)*(I$3:I$47="L5")))+1,""))))</f>
        <v/>
      </c>
      <c r="C32" s="36" t="s">
        <v>417</v>
      </c>
      <c r="D32" s="36" t="str">
        <f>IF(E32="","",VLOOKUP(E32,'Coaching Points'!A:B,2,0)&amp;"/"&amp;VLOOKUP(F32,'Coaching Points'!A:B,2,0))</f>
        <v>SK/SK</v>
      </c>
      <c r="E32" s="36" t="s">
        <v>45</v>
      </c>
      <c r="F32" s="36" t="s">
        <v>45</v>
      </c>
      <c r="G32" s="35">
        <v>2006</v>
      </c>
      <c r="H32" s="1" t="str">
        <f>IF(OR('Qualifying Scores'!$B$1-G32&gt;21,'Qualifying Scores'!$B$1-G32&lt;11),"Not Age Eligible",IF('Qualifying Scores'!$B$1-G32&gt;16,"17-21",IF('Qualifying Scores'!$B$1-G32&gt;14,"15-16",IF('Qualifying Scores'!$B$1-G32&gt;12,"13-14",IF('Qualifying Scores'!$B$1-G32&gt;10,"11-12","Not Age Eligible")))))</f>
        <v>17-21</v>
      </c>
      <c r="I32" s="39" t="s">
        <v>67</v>
      </c>
      <c r="J32" s="43"/>
      <c r="K32" s="4">
        <f>S32+T32+IF(OR(I32="Junior",I32="Senior"),0.0002,IF(OR(I32="L7",I32="L6"),0.0001,0))+MAX(AB32,AD32,AG32)*0.0000001</f>
        <v>7.5901007589999994</v>
      </c>
      <c r="L32" s="3" t="str">
        <f>IF(H32="Not Age Eligible","",IF(MAX(U32,W32,Z32,AB32,AD32,AG32)&gt;=LOOKUP(H32,'Qualifying Scores'!$A$4:$A$7,'Qualifying Scores'!$E$4:$E$7),"P",""))</f>
        <v/>
      </c>
      <c r="M32" s="3" t="str">
        <f>IF(H32="Not Age Eligible","",IF(MAX(V32,X32,AA32,AC32,AE32,AH32)&gt;=LOOKUP(H32,'Qualifying Scores'!$A$10:$A$13,'Qualifying Scores'!$E$10:$E$13),"P",""))</f>
        <v/>
      </c>
      <c r="N32" s="3" t="str">
        <f>IF(H32="Not Age Eligible","",IF(OR(AND(U32&gt;=LOOKUP(H32,'Qualifying Scores'!$A$4:$A$7,'Qualifying Scores'!$E$4:$E$7),V32&gt;=LOOKUP(H32,'Qualifying Scores'!$A$10:$A$13,'Qualifying Scores'!$E$10:$E$13)),AND(W32&gt;=LOOKUP(H32,'Qualifying Scores'!$A$4:$A$7,'Qualifying Scores'!$E$4:$E$7),X32&gt;=LOOKUP(H32,'Qualifying Scores'!$A$10:$A$13,'Qualifying Scores'!$E$10:$E$13)),AND(Z32&gt;=LOOKUP(H32,'Qualifying Scores'!$A$4:$A$7,'Qualifying Scores'!$E$4:$E$7),AA32&gt;=LOOKUP(H32,'Qualifying Scores'!$A$10:$A$13,'Qualifying Scores'!$E$10:$E$13)),AND(AB32&gt;=LOOKUP(H32,'Qualifying Scores'!$A$4:$A$7,'Qualifying Scores'!$E$4:$E$7),AC32&gt;=LOOKUP(H32,'Qualifying Scores'!$A$10:$A$13,'Qualifying Scores'!$E$10:$E$13)),AND(AD32&gt;=LOOKUP(H32,'Qualifying Scores'!$A$4:$A$7,'Qualifying Scores'!$E$4:$E$7),AE32&gt;=LOOKUP(H32,'Qualifying Scores'!$A$10:$A$13,'Qualifying Scores'!$E$10:$E$13)),AND(AG32&gt;=LOOKUP(H32,'Qualifying Scores'!$A$4:$A$7,'Qualifying Scores'!$E$4:$E$7),AH32&gt;=LOOKUP(H32,'Qualifying Scores'!$A$10:$A$13,'Qualifying Scores'!$E$10:$E$13))),"P",""))</f>
        <v/>
      </c>
      <c r="R32" s="1" t="str">
        <f>IF(A32&lt;5,IF(_xlfn.MAXIFS(A:A,H:H,H32)&gt;3,5-A32,_xlfn.MAXIFS(A:A,H:H,H32)+1-A32),"")</f>
        <v/>
      </c>
      <c r="S32" s="4">
        <f>MAX(U32,W32,Z32,AB32,AD32,AG32)</f>
        <v>7.59</v>
      </c>
      <c r="T32" s="4">
        <f>LARGE(CHOOSE({1,2,3,4,5,6},U32,W32,Z32,AB32,AD32,AG32),2)</f>
        <v>0</v>
      </c>
      <c r="U32" s="33"/>
      <c r="V32" s="40"/>
      <c r="W32" s="34"/>
      <c r="X32" s="40"/>
      <c r="Y32" s="4">
        <f>IF(I32="Senior",MAX(U32,W32),U32+W32)</f>
        <v>0</v>
      </c>
      <c r="Z32" s="34"/>
      <c r="AA32" s="40"/>
      <c r="AB32" s="33">
        <v>7.59</v>
      </c>
      <c r="AC32" s="40">
        <v>2.2999999999999998</v>
      </c>
      <c r="AD32" s="34"/>
      <c r="AE32" s="40"/>
      <c r="AF32" s="4">
        <f>IF(I32="Senior",MAX(AB32,AD32),AB32+AD32)</f>
        <v>7.59</v>
      </c>
      <c r="AG32" s="34"/>
      <c r="AH32" s="37"/>
    </row>
    <row r="33" spans="1:34" x14ac:dyDescent="0.2">
      <c r="A33" s="1" t="str" cm="1">
        <f t="array" ref="A33">IF(J33="","",IF(Q33&lt;&gt;"",SUMPRODUCT((Q$3:Q$47&lt;&gt;"")*(H$3:H$47=H33)*(K$3:K$47&gt;K33)*(J$3:J$47="P"))+1,IF(P33&lt;&gt;"",SUMPRODUCT((P$3:P$47&lt;&gt;"")*(Q$3:Q$47="")*(H$3:H$47=H33)*(K$3:K$47&gt;K33)*(J$3:J$47="P"))+SUMPRODUCT((Q$3:Q$47&lt;&gt;"")*(H$3:H$47=H33)*(J$3:J$47="P"))+1,IF(O33&lt;&gt;"",SUMPRODUCT((O$3:O$47&lt;&gt;"")*(H$3:H$47=H33)*(K$3:K$47&gt;K33)*(J$3:J$47="P"))+1,IF(N33="P",SUMPRODUCT((P$3:P$47&lt;&gt;"")*(Q$3:Q$47="")*(H$3:H$47=H33)*(J$3:J$47="P"))+SUMPRODUCT((Q$3:Q$47&lt;&gt;"")*(H$3:H$47=H33)*(J$3:J$47="P"))+SUMPRODUCT((O$3:O$47&lt;&gt;"")*(H$3:H$47=H33)*(J$3:J$47="P"))+SUMPRODUCT((Q$3:Q$47="")*(P$3:P$47="")*(O$3:O$47="")*(N$3:N$47="P")*(H$3:H$47=H33)*(K$3:K$47&gt;K33)*(J$3:J$47="P"))+IF(I33="L5",SUMPRODUCT((Q$3:Q$47="")*(P$3:P$47="")*(O$3:O$47="")*(N$3:N$47="P")*(H$3:H$47=H33)*(K$3:K$47&lt;K33)*(I$3:I$47&lt;&gt;I33)*(J$3:J$47="P")),-1*SUMPRODUCT((Q$3:Q$47="")*(P$3:P$47="")*(O$3:O$47="")*(N$3:N$47="P")*(H$3:H$47=H33)*(K$3:K$47&gt;K33)*(I$3:I$47="L5")*(J$3:J$47="P")))+1,"")))))</f>
        <v/>
      </c>
      <c r="B33" s="1" t="str" cm="1">
        <f t="array" ref="B33">IF(Q33&lt;&gt;"",SUMPRODUCT((Q$3:Q$47&lt;&gt;"")*(H$3:H$47=H33)*(K$3:K$47&gt;K33))+1,IF(P33&lt;&gt;"",SUMPRODUCT((P$3:P$47&lt;&gt;"")*(Q$3:Q$47="")*(H$3:H$47=H33)*(K$3:K$47&gt;K33))+SUMPRODUCT((Q$3:Q$47&lt;&gt;"")*(H$3:H$47=H33))+1,IF(O33&lt;&gt;"",SUMPRODUCT((O$3:O$47&lt;&gt;"")*(H$3:H$47=H33)*(K$3:K$47&gt;K33))+1,IF(N33="P",SUMPRODUCT((P$3:P$47&lt;&gt;"")*(Q$3:Q$47="")*(H$3:H$47=H33))+SUMPRODUCT((Q$3:Q$47&lt;&gt;"")*(H$3:H$47=H33))+SUMPRODUCT((O$3:O$47&lt;&gt;"")*(H$3:H$47=H33))+SUMPRODUCT((Q$3:Q$47="")*(P$3:P$47="")*(O$3:O$47="")*(N$3:N$47="P")*(H$3:H$47=H33)*(K$3:K$47&gt;K33))+IF(I33="L5",SUMPRODUCT((Q$3:Q$47="")*(P$3:P$47="")*(O$3:O$47="")*(N$3:N$47="P")*(H$3:H$47=H33)*(K$3:K$47&lt;K33)*(I$3:I$47&lt;&gt;I33)),-1*SUMPRODUCT((Q$3:Q$47="")*(P$3:P$47="")*(O$3:O$47="")*(N$3:N$47="P")*(H$3:H$47=H33)*(K$3:K$47&gt;K33)*(I$3:I$47="L5")))+1,""))))</f>
        <v/>
      </c>
      <c r="C33" s="36" t="s">
        <v>255</v>
      </c>
      <c r="D33" s="36" t="str">
        <f>IF(E33="","",VLOOKUP(E33,'Coaching Points'!A:B,2,0)&amp;"/"&amp;VLOOKUP(F33,'Coaching Points'!A:B,2,0))</f>
        <v>NS/NS</v>
      </c>
      <c r="E33" s="36" t="s">
        <v>134</v>
      </c>
      <c r="F33" s="36" t="s">
        <v>134</v>
      </c>
      <c r="G33" s="35">
        <v>2003</v>
      </c>
      <c r="H33" s="1" t="str">
        <f>IF(OR('Qualifying Scores'!$B$1-G33&gt;21,'Qualifying Scores'!$B$1-G33&lt;11),"Not Age Eligible",IF('Qualifying Scores'!$B$1-G33&gt;16,"17-21",IF('Qualifying Scores'!$B$1-G33&gt;14,"15-16",IF('Qualifying Scores'!$B$1-G33&gt;12,"13-14",IF('Qualifying Scores'!$B$1-G33&gt;10,"11-12","Not Age Eligible")))))</f>
        <v>17-21</v>
      </c>
      <c r="I33" s="39" t="s">
        <v>66</v>
      </c>
      <c r="J33" s="43"/>
      <c r="K33" s="4">
        <f>S33+T33+IF(OR(I33="Junior",I33="Senior"),0.0002,IF(OR(I33="L7",I33="L6"),0.0001,0))+MAX(AB33,AD33,AG33)*0.0000001</f>
        <v>4.8499999999999996</v>
      </c>
      <c r="L33" s="3" t="str">
        <f>IF(H33="Not Age Eligible","",IF(MAX(U33,W33,Z33,AB33,AD33,AG33)&gt;=LOOKUP(H33,'Qualifying Scores'!$A$4:$A$7,'Qualifying Scores'!$E$4:$E$7),"P",""))</f>
        <v/>
      </c>
      <c r="M33" s="3" t="str">
        <f>IF(H33="Not Age Eligible","",IF(MAX(V33,X33,AA33,AC33,AE33,AH33)&gt;=LOOKUP(H33,'Qualifying Scores'!$A$10:$A$13,'Qualifying Scores'!$E$10:$E$13),"P",""))</f>
        <v/>
      </c>
      <c r="N33" s="3" t="str">
        <f>IF(H33="Not Age Eligible","",IF(OR(AND(U33&gt;=LOOKUP(H33,'Qualifying Scores'!$A$4:$A$7,'Qualifying Scores'!$E$4:$E$7),V33&gt;=LOOKUP(H33,'Qualifying Scores'!$A$10:$A$13,'Qualifying Scores'!$E$10:$E$13)),AND(W33&gt;=LOOKUP(H33,'Qualifying Scores'!$A$4:$A$7,'Qualifying Scores'!$E$4:$E$7),X33&gt;=LOOKUP(H33,'Qualifying Scores'!$A$10:$A$13,'Qualifying Scores'!$E$10:$E$13)),AND(Z33&gt;=LOOKUP(H33,'Qualifying Scores'!$A$4:$A$7,'Qualifying Scores'!$E$4:$E$7),AA33&gt;=LOOKUP(H33,'Qualifying Scores'!$A$10:$A$13,'Qualifying Scores'!$E$10:$E$13)),AND(AB33&gt;=LOOKUP(H33,'Qualifying Scores'!$A$4:$A$7,'Qualifying Scores'!$E$4:$E$7),AC33&gt;=LOOKUP(H33,'Qualifying Scores'!$A$10:$A$13,'Qualifying Scores'!$E$10:$E$13)),AND(AD33&gt;=LOOKUP(H33,'Qualifying Scores'!$A$4:$A$7,'Qualifying Scores'!$E$4:$E$7),AE33&gt;=LOOKUP(H33,'Qualifying Scores'!$A$10:$A$13,'Qualifying Scores'!$E$10:$E$13)),AND(AG33&gt;=LOOKUP(H33,'Qualifying Scores'!$A$4:$A$7,'Qualifying Scores'!$E$4:$E$7),AH33&gt;=LOOKUP(H33,'Qualifying Scores'!$A$10:$A$13,'Qualifying Scores'!$E$10:$E$13))),"P",""))</f>
        <v/>
      </c>
      <c r="R33" s="1" t="str">
        <f>IF(A33&lt;5,IF(_xlfn.MAXIFS(A:A,H:H,H33)&gt;3,5-A33,_xlfn.MAXIFS(A:A,H:H,H33)+1-A33),"")</f>
        <v/>
      </c>
      <c r="S33" s="4">
        <f>MAX(U33,W33,Z33,AB33,AD33,AG33)</f>
        <v>4.8499999999999996</v>
      </c>
      <c r="T33" s="4">
        <f>LARGE(CHOOSE({1,2,3,4,5,6},U33,W33,Z33,AB33,AD33,AG33),2)</f>
        <v>0</v>
      </c>
      <c r="U33" s="33">
        <v>4.8499999999999996</v>
      </c>
      <c r="V33" s="40">
        <v>1.3</v>
      </c>
      <c r="W33" s="34"/>
      <c r="X33" s="40"/>
      <c r="Y33" s="4">
        <f>IF(I33="Senior",MAX(U33,W33),U33+W33)</f>
        <v>4.8499999999999996</v>
      </c>
      <c r="Z33" s="34"/>
      <c r="AA33" s="40"/>
      <c r="AB33" s="33"/>
      <c r="AC33" s="40"/>
      <c r="AD33" s="34"/>
      <c r="AE33" s="40"/>
      <c r="AF33" s="4">
        <f>IF(I33="Senior",MAX(AB33,AD33),AB33+AD33)</f>
        <v>0</v>
      </c>
      <c r="AG33" s="34"/>
      <c r="AH33" s="37"/>
    </row>
    <row r="34" spans="1:34" x14ac:dyDescent="0.2">
      <c r="A34" s="1" t="str" cm="1">
        <f t="array" ref="A34">IF(J34="","",IF(Q34&lt;&gt;"",SUMPRODUCT((Q$3:Q$47&lt;&gt;"")*(H$3:H$47=H34)*(K$3:K$47&gt;K34)*(J$3:J$47="P"))+1,IF(P34&lt;&gt;"",SUMPRODUCT((P$3:P$47&lt;&gt;"")*(Q$3:Q$47="")*(H$3:H$47=H34)*(K$3:K$47&gt;K34)*(J$3:J$47="P"))+SUMPRODUCT((Q$3:Q$47&lt;&gt;"")*(H$3:H$47=H34)*(J$3:J$47="P"))+1,IF(O34&lt;&gt;"",SUMPRODUCT((O$3:O$47&lt;&gt;"")*(H$3:H$47=H34)*(K$3:K$47&gt;K34)*(J$3:J$47="P"))+1,IF(N34="P",SUMPRODUCT((P$3:P$47&lt;&gt;"")*(Q$3:Q$47="")*(H$3:H$47=H34)*(J$3:J$47="P"))+SUMPRODUCT((Q$3:Q$47&lt;&gt;"")*(H$3:H$47=H34)*(J$3:J$47="P"))+SUMPRODUCT((O$3:O$47&lt;&gt;"")*(H$3:H$47=H34)*(J$3:J$47="P"))+SUMPRODUCT((Q$3:Q$47="")*(P$3:P$47="")*(O$3:O$47="")*(N$3:N$47="P")*(H$3:H$47=H34)*(K$3:K$47&gt;K34)*(J$3:J$47="P"))+IF(I34="L5",SUMPRODUCT((Q$3:Q$47="")*(P$3:P$47="")*(O$3:O$47="")*(N$3:N$47="P")*(H$3:H$47=H34)*(K$3:K$47&lt;K34)*(I$3:I$47&lt;&gt;I34)*(J$3:J$47="P")),-1*SUMPRODUCT((Q$3:Q$47="")*(P$3:P$47="")*(O$3:O$47="")*(N$3:N$47="P")*(H$3:H$47=H34)*(K$3:K$47&gt;K34)*(I$3:I$47="L5")*(J$3:J$47="P")))+1,"")))))</f>
        <v/>
      </c>
      <c r="B34" s="1" t="str" cm="1">
        <f t="array" ref="B34">IF(Q34&lt;&gt;"",SUMPRODUCT((Q$3:Q$47&lt;&gt;"")*(H$3:H$47=H34)*(K$3:K$47&gt;K34))+1,IF(P34&lt;&gt;"",SUMPRODUCT((P$3:P$47&lt;&gt;"")*(Q$3:Q$47="")*(H$3:H$47=H34)*(K$3:K$47&gt;K34))+SUMPRODUCT((Q$3:Q$47&lt;&gt;"")*(H$3:H$47=H34))+1,IF(O34&lt;&gt;"",SUMPRODUCT((O$3:O$47&lt;&gt;"")*(H$3:H$47=H34)*(K$3:K$47&gt;K34))+1,IF(N34="P",SUMPRODUCT((P$3:P$47&lt;&gt;"")*(Q$3:Q$47="")*(H$3:H$47=H34))+SUMPRODUCT((Q$3:Q$47&lt;&gt;"")*(H$3:H$47=H34))+SUMPRODUCT((O$3:O$47&lt;&gt;"")*(H$3:H$47=H34))+SUMPRODUCT((Q$3:Q$47="")*(P$3:P$47="")*(O$3:O$47="")*(N$3:N$47="P")*(H$3:H$47=H34)*(K$3:K$47&gt;K34))+IF(I34="L5",SUMPRODUCT((Q$3:Q$47="")*(P$3:P$47="")*(O$3:O$47="")*(N$3:N$47="P")*(H$3:H$47=H34)*(K$3:K$47&lt;K34)*(I$3:I$47&lt;&gt;I34)),-1*SUMPRODUCT((Q$3:Q$47="")*(P$3:P$47="")*(O$3:O$47="")*(N$3:N$47="P")*(H$3:H$47=H34)*(K$3:K$47&gt;K34)*(I$3:I$47="L5")))+1,""))))</f>
        <v/>
      </c>
      <c r="C34" s="36" t="s">
        <v>408</v>
      </c>
      <c r="D34" s="36" t="str">
        <f>IF(E34="","",VLOOKUP(E34,'Coaching Points'!A:B,2,0)&amp;"/"&amp;VLOOKUP(F34,'Coaching Points'!A:B,2,0))</f>
        <v>BC/BC</v>
      </c>
      <c r="E34" s="36" t="s">
        <v>46</v>
      </c>
      <c r="F34" s="36" t="s">
        <v>282</v>
      </c>
      <c r="G34" s="35">
        <v>2004</v>
      </c>
      <c r="H34" s="1" t="str">
        <f>IF(OR('Qualifying Scores'!$B$1-G34&gt;21,'Qualifying Scores'!$B$1-G34&lt;11),"Not Age Eligible",IF('Qualifying Scores'!$B$1-G34&gt;16,"17-21",IF('Qualifying Scores'!$B$1-G34&gt;14,"15-16",IF('Qualifying Scores'!$B$1-G34&gt;12,"13-14",IF('Qualifying Scores'!$B$1-G34&gt;10,"11-12","Not Age Eligible")))))</f>
        <v>17-21</v>
      </c>
      <c r="I34" s="39" t="s">
        <v>66</v>
      </c>
      <c r="J34" s="43"/>
      <c r="K34" s="4">
        <f>S34+T34+IF(OR(I34="Junior",I34="Senior"),0.0002,IF(OR(I34="L7",I34="L6"),0.0001,0))+MAX(AB34,AD34,AG34)*0.0000001</f>
        <v>4.7400004740000004</v>
      </c>
      <c r="L34" s="3" t="str">
        <f>IF(H34="Not Age Eligible","",IF(MAX(U34,W34,Z34,AB34,AD34,AG34)&gt;=LOOKUP(H34,'Qualifying Scores'!$A$4:$A$7,'Qualifying Scores'!$E$4:$E$7),"P",""))</f>
        <v/>
      </c>
      <c r="M34" s="3" t="str">
        <f>IF(H34="Not Age Eligible","",IF(MAX(V34,X34,AA34,AC34,AE34,AH34)&gt;=LOOKUP(H34,'Qualifying Scores'!$A$10:$A$13,'Qualifying Scores'!$E$10:$E$13),"P",""))</f>
        <v/>
      </c>
      <c r="N34" s="3" t="str">
        <f>IF(H34="Not Age Eligible","",IF(OR(AND(U34&gt;=LOOKUP(H34,'Qualifying Scores'!$A$4:$A$7,'Qualifying Scores'!$E$4:$E$7),V34&gt;=LOOKUP(H34,'Qualifying Scores'!$A$10:$A$13,'Qualifying Scores'!$E$10:$E$13)),AND(W34&gt;=LOOKUP(H34,'Qualifying Scores'!$A$4:$A$7,'Qualifying Scores'!$E$4:$E$7),X34&gt;=LOOKUP(H34,'Qualifying Scores'!$A$10:$A$13,'Qualifying Scores'!$E$10:$E$13)),AND(Z34&gt;=LOOKUP(H34,'Qualifying Scores'!$A$4:$A$7,'Qualifying Scores'!$E$4:$E$7),AA34&gt;=LOOKUP(H34,'Qualifying Scores'!$A$10:$A$13,'Qualifying Scores'!$E$10:$E$13)),AND(AB34&gt;=LOOKUP(H34,'Qualifying Scores'!$A$4:$A$7,'Qualifying Scores'!$E$4:$E$7),AC34&gt;=LOOKUP(H34,'Qualifying Scores'!$A$10:$A$13,'Qualifying Scores'!$E$10:$E$13)),AND(AD34&gt;=LOOKUP(H34,'Qualifying Scores'!$A$4:$A$7,'Qualifying Scores'!$E$4:$E$7),AE34&gt;=LOOKUP(H34,'Qualifying Scores'!$A$10:$A$13,'Qualifying Scores'!$E$10:$E$13)),AND(AG34&gt;=LOOKUP(H34,'Qualifying Scores'!$A$4:$A$7,'Qualifying Scores'!$E$4:$E$7),AH34&gt;=LOOKUP(H34,'Qualifying Scores'!$A$10:$A$13,'Qualifying Scores'!$E$10:$E$13))),"P",""))</f>
        <v/>
      </c>
      <c r="R34" s="1" t="str">
        <f>IF(A34&lt;5,IF(_xlfn.MAXIFS(A:A,H:H,H34)&gt;3,5-A34,_xlfn.MAXIFS(A:A,H:H,H34)+1-A34),"")</f>
        <v/>
      </c>
      <c r="S34" s="4">
        <f>MAX(U34,W34,Z34,AB34,AD34,AG34)</f>
        <v>4.74</v>
      </c>
      <c r="T34" s="4">
        <f>LARGE(CHOOSE({1,2,3,4,5,6},U34,W34,Z34,AB34,AD34,AG34),2)</f>
        <v>0</v>
      </c>
      <c r="U34" s="33"/>
      <c r="V34" s="40"/>
      <c r="W34" s="34"/>
      <c r="X34" s="40"/>
      <c r="Y34" s="4">
        <f>IF(I34="Senior",MAX(U34,W34),U34+W34)</f>
        <v>0</v>
      </c>
      <c r="Z34" s="34"/>
      <c r="AA34" s="40"/>
      <c r="AB34" s="33">
        <v>4.74</v>
      </c>
      <c r="AC34" s="40">
        <v>1.3</v>
      </c>
      <c r="AD34" s="34"/>
      <c r="AE34" s="40"/>
      <c r="AF34" s="4">
        <f>IF(I34="Senior",MAX(AB34,AD34),AB34+AD34)</f>
        <v>4.74</v>
      </c>
      <c r="AG34" s="34"/>
      <c r="AH34" s="37"/>
    </row>
    <row r="35" spans="1:34" x14ac:dyDescent="0.2">
      <c r="A35" s="1" cm="1">
        <f t="array" ref="A35">IF(J35="","",IF(Q35&lt;&gt;"",SUMPRODUCT((Q$3:Q$47&lt;&gt;"")*(H$3:H$47=H35)*(K$3:K$47&gt;K35)*(J$3:J$47="P"))+1,IF(P35&lt;&gt;"",SUMPRODUCT((P$3:P$47&lt;&gt;"")*(Q$3:Q$47="")*(H$3:H$47=H35)*(K$3:K$47&gt;K35)*(J$3:J$47="P"))+SUMPRODUCT((Q$3:Q$47&lt;&gt;"")*(H$3:H$47=H35)*(J$3:J$47="P"))+1,IF(O35&lt;&gt;"",SUMPRODUCT((O$3:O$47&lt;&gt;"")*(H$3:H$47=H35)*(K$3:K$47&gt;K35)*(J$3:J$47="P"))+1,IF(N35="P",SUMPRODUCT((P$3:P$47&lt;&gt;"")*(Q$3:Q$47="")*(H$3:H$47=H35)*(J$3:J$47="P"))+SUMPRODUCT((Q$3:Q$47&lt;&gt;"")*(H$3:H$47=H35)*(J$3:J$47="P"))+SUMPRODUCT((O$3:O$47&lt;&gt;"")*(H$3:H$47=H35)*(J$3:J$47="P"))+SUMPRODUCT((Q$3:Q$47="")*(P$3:P$47="")*(O$3:O$47="")*(N$3:N$47="P")*(H$3:H$47=H35)*(K$3:K$47&gt;K35)*(J$3:J$47="P"))+IF(I35="L5",SUMPRODUCT((Q$3:Q$47="")*(P$3:P$47="")*(O$3:O$47="")*(N$3:N$47="P")*(H$3:H$47=H35)*(K$3:K$47&lt;K35)*(I$3:I$47&lt;&gt;I35)*(J$3:J$47="P")),-1*SUMPRODUCT((Q$3:Q$47="")*(P$3:P$47="")*(O$3:O$47="")*(N$3:N$47="P")*(H$3:H$47=H35)*(K$3:K$47&gt;K35)*(I$3:I$47="L5")*(J$3:J$47="P")))+1,"")))))</f>
        <v>1</v>
      </c>
      <c r="B35" s="1" cm="1">
        <f t="array" ref="B35">IF(Q35&lt;&gt;"",SUMPRODUCT((Q$3:Q$47&lt;&gt;"")*(H$3:H$47=H35)*(K$3:K$47&gt;K35))+1,IF(P35&lt;&gt;"",SUMPRODUCT((P$3:P$47&lt;&gt;"")*(Q$3:Q$47="")*(H$3:H$47=H35)*(K$3:K$47&gt;K35))+SUMPRODUCT((Q$3:Q$47&lt;&gt;"")*(H$3:H$47=H35))+1,IF(O35&lt;&gt;"",SUMPRODUCT((O$3:O$47&lt;&gt;"")*(H$3:H$47=H35)*(K$3:K$47&gt;K35))+1,IF(N35="P",SUMPRODUCT((P$3:P$47&lt;&gt;"")*(Q$3:Q$47="")*(H$3:H$47=H35))+SUMPRODUCT((Q$3:Q$47&lt;&gt;"")*(H$3:H$47=H35))+SUMPRODUCT((O$3:O$47&lt;&gt;"")*(H$3:H$47=H35))+SUMPRODUCT((Q$3:Q$47="")*(P$3:P$47="")*(O$3:O$47="")*(N$3:N$47="P")*(H$3:H$47=H35)*(K$3:K$47&gt;K35))+IF(I35="L5",SUMPRODUCT((Q$3:Q$47="")*(P$3:P$47="")*(O$3:O$47="")*(N$3:N$47="P")*(H$3:H$47=H35)*(K$3:K$47&lt;K35)*(I$3:I$47&lt;&gt;I35)),-1*SUMPRODUCT((Q$3:Q$47="")*(P$3:P$47="")*(O$3:O$47="")*(N$3:N$47="P")*(H$3:H$47=H35)*(K$3:K$47&gt;K35)*(I$3:I$47="L5")))+1,""))))</f>
        <v>1</v>
      </c>
      <c r="C35" s="36" t="s">
        <v>342</v>
      </c>
      <c r="D35" s="36" t="str">
        <f>IF(E35="","",VLOOKUP(E35,'Coaching Points'!A:B,2,0)&amp;"/"&amp;VLOOKUP(F35,'Coaching Points'!A:B,2,0))</f>
        <v>BC/BC</v>
      </c>
      <c r="E35" s="36" t="s">
        <v>46</v>
      </c>
      <c r="F35" s="36" t="s">
        <v>46</v>
      </c>
      <c r="G35" s="35">
        <v>2007</v>
      </c>
      <c r="H35" s="1" t="str">
        <f>IF(OR('Qualifying Scores'!$B$1-G35&gt;21,'Qualifying Scores'!$B$1-G35&lt;11),"Not Age Eligible",IF('Qualifying Scores'!$B$1-G35&gt;16,"17-21",IF('Qualifying Scores'!$B$1-G35&gt;14,"15-16",IF('Qualifying Scores'!$B$1-G35&gt;12,"13-14",IF('Qualifying Scores'!$B$1-G35&gt;10,"11-12","Not Age Eligible")))))</f>
        <v>15-16</v>
      </c>
      <c r="I35" s="39" t="s">
        <v>67</v>
      </c>
      <c r="J35" s="43" t="s">
        <v>567</v>
      </c>
      <c r="K35" s="4">
        <f>S35+T35+IF(OR(I35="Junior",I35="Senior"),0.0002,IF(OR(I35="L7",I35="L6"),0.0001,0))+MAX(AB35,AD35,AG35)*0.0000001</f>
        <v>65.640104457000007</v>
      </c>
      <c r="L35" s="3" t="str">
        <f>IF(H35="Not Age Eligible","",IF(MAX(U35,W35,Z35,AB35,AD35,AG35)&gt;=LOOKUP(H35,'Qualifying Scores'!$A$4:$A$7,'Qualifying Scores'!$E$4:$E$7),"P",""))</f>
        <v>P</v>
      </c>
      <c r="M35" s="3" t="str">
        <f>IF(H35="Not Age Eligible","",IF(MAX(V35,X35,AA35,AC35,AE35,AH35)&gt;=LOOKUP(H35,'Qualifying Scores'!$A$10:$A$13,'Qualifying Scores'!$E$10:$E$13),"P",""))</f>
        <v>P</v>
      </c>
      <c r="N35" s="3" t="str">
        <f>IF(H35="Not Age Eligible","",IF(OR(AND(U35&gt;=LOOKUP(H35,'Qualifying Scores'!$A$4:$A$7,'Qualifying Scores'!$E$4:$E$7),V35&gt;=LOOKUP(H35,'Qualifying Scores'!$A$10:$A$13,'Qualifying Scores'!$E$10:$E$13)),AND(W35&gt;=LOOKUP(H35,'Qualifying Scores'!$A$4:$A$7,'Qualifying Scores'!$E$4:$E$7),X35&gt;=LOOKUP(H35,'Qualifying Scores'!$A$10:$A$13,'Qualifying Scores'!$E$10:$E$13)),AND(Z35&gt;=LOOKUP(H35,'Qualifying Scores'!$A$4:$A$7,'Qualifying Scores'!$E$4:$E$7),AA35&gt;=LOOKUP(H35,'Qualifying Scores'!$A$10:$A$13,'Qualifying Scores'!$E$10:$E$13)),AND(AB35&gt;=LOOKUP(H35,'Qualifying Scores'!$A$4:$A$7,'Qualifying Scores'!$E$4:$E$7),AC35&gt;=LOOKUP(H35,'Qualifying Scores'!$A$10:$A$13,'Qualifying Scores'!$E$10:$E$13)),AND(AD35&gt;=LOOKUP(H35,'Qualifying Scores'!$A$4:$A$7,'Qualifying Scores'!$E$4:$E$7),AE35&gt;=LOOKUP(H35,'Qualifying Scores'!$A$10:$A$13,'Qualifying Scores'!$E$10:$E$13)),AND(AG35&gt;=LOOKUP(H35,'Qualifying Scores'!$A$4:$A$7,'Qualifying Scores'!$E$4:$E$7),AH35&gt;=LOOKUP(H35,'Qualifying Scores'!$A$10:$A$13,'Qualifying Scores'!$E$10:$E$13))),"P",""))</f>
        <v>P</v>
      </c>
      <c r="R35" s="1">
        <f>IF(A35&lt;5,IF(_xlfn.MAXIFS(A:A,H:H,H35)&gt;3,5-A35,_xlfn.MAXIFS(A:A,H:H,H35)+1-A35),"")</f>
        <v>2</v>
      </c>
      <c r="S35" s="4">
        <f>MAX(U35,W35,Z35,AB35,AD35,AG35)</f>
        <v>44.57</v>
      </c>
      <c r="T35" s="4">
        <f>LARGE(CHOOSE({1,2,3,4,5,6},U35,W35,Z35,AB35,AD35,AG35),2)</f>
        <v>21.07</v>
      </c>
      <c r="U35" s="33">
        <v>21.07</v>
      </c>
      <c r="V35" s="40">
        <v>3.4</v>
      </c>
      <c r="W35" s="34"/>
      <c r="X35" s="40"/>
      <c r="Y35" s="4">
        <f>IF(I35="Senior",MAX(U35,W35),U35+W35)</f>
        <v>21.07</v>
      </c>
      <c r="Z35" s="34"/>
      <c r="AA35" s="40"/>
      <c r="AB35" s="33">
        <v>44.57</v>
      </c>
      <c r="AC35" s="40">
        <v>9.1</v>
      </c>
      <c r="AD35" s="34"/>
      <c r="AE35" s="40"/>
      <c r="AF35" s="4">
        <f>IF(I35="Senior",MAX(AB35,AD35),AB35+AD35)</f>
        <v>44.57</v>
      </c>
      <c r="AG35" s="34">
        <v>17.78</v>
      </c>
      <c r="AH35" s="37">
        <v>4.5999999999999996</v>
      </c>
    </row>
    <row r="36" spans="1:34" x14ac:dyDescent="0.2">
      <c r="A36" s="1" cm="1">
        <f t="array" ref="A36">IF(J36="","",IF(Q36&lt;&gt;"",SUMPRODUCT((Q$3:Q$47&lt;&gt;"")*(H$3:H$47=H36)*(K$3:K$47&gt;K36)*(J$3:J$47="P"))+1,IF(P36&lt;&gt;"",SUMPRODUCT((P$3:P$47&lt;&gt;"")*(Q$3:Q$47="")*(H$3:H$47=H36)*(K$3:K$47&gt;K36)*(J$3:J$47="P"))+SUMPRODUCT((Q$3:Q$47&lt;&gt;"")*(H$3:H$47=H36)*(J$3:J$47="P"))+1,IF(O36&lt;&gt;"",SUMPRODUCT((O$3:O$47&lt;&gt;"")*(H$3:H$47=H36)*(K$3:K$47&gt;K36)*(J$3:J$47="P"))+1,IF(N36="P",SUMPRODUCT((P$3:P$47&lt;&gt;"")*(Q$3:Q$47="")*(H$3:H$47=H36)*(J$3:J$47="P"))+SUMPRODUCT((Q$3:Q$47&lt;&gt;"")*(H$3:H$47=H36)*(J$3:J$47="P"))+SUMPRODUCT((O$3:O$47&lt;&gt;"")*(H$3:H$47=H36)*(J$3:J$47="P"))+SUMPRODUCT((Q$3:Q$47="")*(P$3:P$47="")*(O$3:O$47="")*(N$3:N$47="P")*(H$3:H$47=H36)*(K$3:K$47&gt;K36)*(J$3:J$47="P"))+IF(I36="L5",SUMPRODUCT((Q$3:Q$47="")*(P$3:P$47="")*(O$3:O$47="")*(N$3:N$47="P")*(H$3:H$47=H36)*(K$3:K$47&lt;K36)*(I$3:I$47&lt;&gt;I36)*(J$3:J$47="P")),-1*SUMPRODUCT((Q$3:Q$47="")*(P$3:P$47="")*(O$3:O$47="")*(N$3:N$47="P")*(H$3:H$47=H36)*(K$3:K$47&gt;K36)*(I$3:I$47="L5")*(J$3:J$47="P")))+1,"")))))</f>
        <v>2</v>
      </c>
      <c r="B36" s="1" cm="1">
        <f t="array" ref="B36">IF(Q36&lt;&gt;"",SUMPRODUCT((Q$3:Q$47&lt;&gt;"")*(H$3:H$47=H36)*(K$3:K$47&gt;K36))+1,IF(P36&lt;&gt;"",SUMPRODUCT((P$3:P$47&lt;&gt;"")*(Q$3:Q$47="")*(H$3:H$47=H36)*(K$3:K$47&gt;K36))+SUMPRODUCT((Q$3:Q$47&lt;&gt;"")*(H$3:H$47=H36))+1,IF(O36&lt;&gt;"",SUMPRODUCT((O$3:O$47&lt;&gt;"")*(H$3:H$47=H36)*(K$3:K$47&gt;K36))+1,IF(N36="P",SUMPRODUCT((P$3:P$47&lt;&gt;"")*(Q$3:Q$47="")*(H$3:H$47=H36))+SUMPRODUCT((Q$3:Q$47&lt;&gt;"")*(H$3:H$47=H36))+SUMPRODUCT((O$3:O$47&lt;&gt;"")*(H$3:H$47=H36))+SUMPRODUCT((Q$3:Q$47="")*(P$3:P$47="")*(O$3:O$47="")*(N$3:N$47="P")*(H$3:H$47=H36)*(K$3:K$47&gt;K36))+IF(I36="L5",SUMPRODUCT((Q$3:Q$47="")*(P$3:P$47="")*(O$3:O$47="")*(N$3:N$47="P")*(H$3:H$47=H36)*(K$3:K$47&lt;K36)*(I$3:I$47&lt;&gt;I36)),-1*SUMPRODUCT((Q$3:Q$47="")*(P$3:P$47="")*(O$3:O$47="")*(N$3:N$47="P")*(H$3:H$47=H36)*(K$3:K$47&gt;K36)*(I$3:I$47="L5")))+1,""))))</f>
        <v>2</v>
      </c>
      <c r="C36" s="36" t="s">
        <v>256</v>
      </c>
      <c r="D36" s="36" t="str">
        <f>IF(E36="","",VLOOKUP(E36,'Coaching Points'!A:B,2,0)&amp;"/"&amp;VLOOKUP(F36,'Coaching Points'!A:B,2,0))</f>
        <v>BC/BC</v>
      </c>
      <c r="E36" s="36" t="s">
        <v>41</v>
      </c>
      <c r="F36" s="36" t="s">
        <v>288</v>
      </c>
      <c r="G36" s="35">
        <v>2007</v>
      </c>
      <c r="H36" s="1" t="str">
        <f>IF(OR('Qualifying Scores'!$B$1-G36&gt;21,'Qualifying Scores'!$B$1-G36&lt;11),"Not Age Eligible",IF('Qualifying Scores'!$B$1-G36&gt;16,"17-21",IF('Qualifying Scores'!$B$1-G36&gt;14,"15-16",IF('Qualifying Scores'!$B$1-G36&gt;12,"13-14",IF('Qualifying Scores'!$B$1-G36&gt;10,"11-12","Not Age Eligible")))))</f>
        <v>15-16</v>
      </c>
      <c r="I36" s="39" t="s">
        <v>66</v>
      </c>
      <c r="J36" s="43" t="s">
        <v>567</v>
      </c>
      <c r="K36" s="4">
        <f>S36+T36+IF(OR(I36="Junior",I36="Senior"),0.0002,IF(OR(I36="L7",I36="L6"),0.0001,0))+MAX(AB36,AD36,AG36)*0.0000001</f>
        <v>74.970003192999997</v>
      </c>
      <c r="L36" s="3" t="str">
        <f>IF(H36="Not Age Eligible","",IF(MAX(U36,W36,Z36,AB36,AD36,AG36)&gt;=LOOKUP(H36,'Qualifying Scores'!$A$4:$A$7,'Qualifying Scores'!$E$4:$E$7),"P",""))</f>
        <v>P</v>
      </c>
      <c r="M36" s="3" t="str">
        <f>IF(H36="Not Age Eligible","",IF(MAX(V36,X36,AA36,AC36,AE36,AH36)&gt;=LOOKUP(H36,'Qualifying Scores'!$A$10:$A$13,'Qualifying Scores'!$E$10:$E$13),"P",""))</f>
        <v>P</v>
      </c>
      <c r="N36" s="3" t="str">
        <f>IF(H36="Not Age Eligible","",IF(OR(AND(U36&gt;=LOOKUP(H36,'Qualifying Scores'!$A$4:$A$7,'Qualifying Scores'!$E$4:$E$7),V36&gt;=LOOKUP(H36,'Qualifying Scores'!$A$10:$A$13,'Qualifying Scores'!$E$10:$E$13)),AND(W36&gt;=LOOKUP(H36,'Qualifying Scores'!$A$4:$A$7,'Qualifying Scores'!$E$4:$E$7),X36&gt;=LOOKUP(H36,'Qualifying Scores'!$A$10:$A$13,'Qualifying Scores'!$E$10:$E$13)),AND(Z36&gt;=LOOKUP(H36,'Qualifying Scores'!$A$4:$A$7,'Qualifying Scores'!$E$4:$E$7),AA36&gt;=LOOKUP(H36,'Qualifying Scores'!$A$10:$A$13,'Qualifying Scores'!$E$10:$E$13)),AND(AB36&gt;=LOOKUP(H36,'Qualifying Scores'!$A$4:$A$7,'Qualifying Scores'!$E$4:$E$7),AC36&gt;=LOOKUP(H36,'Qualifying Scores'!$A$10:$A$13,'Qualifying Scores'!$E$10:$E$13)),AND(AD36&gt;=LOOKUP(H36,'Qualifying Scores'!$A$4:$A$7,'Qualifying Scores'!$E$4:$E$7),AE36&gt;=LOOKUP(H36,'Qualifying Scores'!$A$10:$A$13,'Qualifying Scores'!$E$10:$E$13)),AND(AG36&gt;=LOOKUP(H36,'Qualifying Scores'!$A$4:$A$7,'Qualifying Scores'!$E$4:$E$7),AH36&gt;=LOOKUP(H36,'Qualifying Scores'!$A$10:$A$13,'Qualifying Scores'!$E$10:$E$13))),"P",""))</f>
        <v>P</v>
      </c>
      <c r="R36" s="1">
        <f>IF(A36&lt;5,IF(_xlfn.MAXIFS(A:A,H:H,H36)&gt;3,5-A36,_xlfn.MAXIFS(A:A,H:H,H36)+1-A36),"")</f>
        <v>1</v>
      </c>
      <c r="S36" s="4">
        <f>MAX(U36,W36,Z36,AB36,AD36,AG36)</f>
        <v>43.04</v>
      </c>
      <c r="T36" s="4">
        <f>LARGE(CHOOSE({1,2,3,4,5,6},U36,W36,Z36,AB36,AD36,AG36),2)</f>
        <v>31.93</v>
      </c>
      <c r="U36" s="33">
        <v>30.07</v>
      </c>
      <c r="V36" s="40">
        <v>5.8</v>
      </c>
      <c r="W36" s="34"/>
      <c r="X36" s="40"/>
      <c r="Y36" s="4">
        <f>IF(I36="Senior",MAX(U36,W36),U36+W36)</f>
        <v>30.07</v>
      </c>
      <c r="Z36" s="34">
        <v>43.04</v>
      </c>
      <c r="AA36" s="40">
        <v>8.1999999999999993</v>
      </c>
      <c r="AB36" s="33">
        <v>31.93</v>
      </c>
      <c r="AC36" s="40">
        <v>6.4</v>
      </c>
      <c r="AD36" s="34"/>
      <c r="AE36" s="40"/>
      <c r="AF36" s="4">
        <f>IF(I36="Senior",MAX(AB36,AD36),AB36+AD36)</f>
        <v>31.93</v>
      </c>
      <c r="AG36" s="34"/>
      <c r="AH36" s="37"/>
    </row>
    <row r="37" spans="1:34" x14ac:dyDescent="0.2">
      <c r="A37" s="1" t="str" cm="1">
        <f t="array" ref="A37">IF(J37="","",IF(Q37&lt;&gt;"",SUMPRODUCT((Q$3:Q$47&lt;&gt;"")*(H$3:H$47=H37)*(K$3:K$47&gt;K37)*(J$3:J$47="P"))+1,IF(P37&lt;&gt;"",SUMPRODUCT((P$3:P$47&lt;&gt;"")*(Q$3:Q$47="")*(H$3:H$47=H37)*(K$3:K$47&gt;K37)*(J$3:J$47="P"))+SUMPRODUCT((Q$3:Q$47&lt;&gt;"")*(H$3:H$47=H37)*(J$3:J$47="P"))+1,IF(O37&lt;&gt;"",SUMPRODUCT((O$3:O$47&lt;&gt;"")*(H$3:H$47=H37)*(K$3:K$47&gt;K37)*(J$3:J$47="P"))+1,IF(N37="P",SUMPRODUCT((P$3:P$47&lt;&gt;"")*(Q$3:Q$47="")*(H$3:H$47=H37)*(J$3:J$47="P"))+SUMPRODUCT((Q$3:Q$47&lt;&gt;"")*(H$3:H$47=H37)*(J$3:J$47="P"))+SUMPRODUCT((O$3:O$47&lt;&gt;"")*(H$3:H$47=H37)*(J$3:J$47="P"))+SUMPRODUCT((Q$3:Q$47="")*(P$3:P$47="")*(O$3:O$47="")*(N$3:N$47="P")*(H$3:H$47=H37)*(K$3:K$47&gt;K37)*(J$3:J$47="P"))+IF(I37="L5",SUMPRODUCT((Q$3:Q$47="")*(P$3:P$47="")*(O$3:O$47="")*(N$3:N$47="P")*(H$3:H$47=H37)*(K$3:K$47&lt;K37)*(I$3:I$47&lt;&gt;I37)*(J$3:J$47="P")),-1*SUMPRODUCT((Q$3:Q$47="")*(P$3:P$47="")*(O$3:O$47="")*(N$3:N$47="P")*(H$3:H$47=H37)*(K$3:K$47&gt;K37)*(I$3:I$47="L5")*(J$3:J$47="P")))+1,"")))))</f>
        <v/>
      </c>
      <c r="B37" s="1" t="str" cm="1">
        <f t="array" ref="B37">IF(Q37&lt;&gt;"",SUMPRODUCT((Q$3:Q$47&lt;&gt;"")*(H$3:H$47=H37)*(K$3:K$47&gt;K37))+1,IF(P37&lt;&gt;"",SUMPRODUCT((P$3:P$47&lt;&gt;"")*(Q$3:Q$47="")*(H$3:H$47=H37)*(K$3:K$47&gt;K37))+SUMPRODUCT((Q$3:Q$47&lt;&gt;"")*(H$3:H$47=H37))+1,IF(O37&lt;&gt;"",SUMPRODUCT((O$3:O$47&lt;&gt;"")*(H$3:H$47=H37)*(K$3:K$47&gt;K37))+1,IF(N37="P",SUMPRODUCT((P$3:P$47&lt;&gt;"")*(Q$3:Q$47="")*(H$3:H$47=H37))+SUMPRODUCT((Q$3:Q$47&lt;&gt;"")*(H$3:H$47=H37))+SUMPRODUCT((O$3:O$47&lt;&gt;"")*(H$3:H$47=H37))+SUMPRODUCT((Q$3:Q$47="")*(P$3:P$47="")*(O$3:O$47="")*(N$3:N$47="P")*(H$3:H$47=H37)*(K$3:K$47&gt;K37))+IF(I37="L5",SUMPRODUCT((Q$3:Q$47="")*(P$3:P$47="")*(O$3:O$47="")*(N$3:N$47="P")*(H$3:H$47=H37)*(K$3:K$47&lt;K37)*(I$3:I$47&lt;&gt;I37)),-1*SUMPRODUCT((Q$3:Q$47="")*(P$3:P$47="")*(O$3:O$47="")*(N$3:N$47="P")*(H$3:H$47=H37)*(K$3:K$47&gt;K37)*(I$3:I$47="L5")))+1,""))))</f>
        <v/>
      </c>
      <c r="C37" s="36" t="s">
        <v>335</v>
      </c>
      <c r="D37" s="36" t="str">
        <f>IF(E37="","",VLOOKUP(E37,'Coaching Points'!A:B,2,0)&amp;"/"&amp;VLOOKUP(F37,'Coaching Points'!A:B,2,0))</f>
        <v>AB/AB</v>
      </c>
      <c r="E37" s="36" t="s">
        <v>29</v>
      </c>
      <c r="F37" s="36" t="s">
        <v>29</v>
      </c>
      <c r="G37" s="35">
        <v>2007</v>
      </c>
      <c r="H37" s="1" t="str">
        <f>IF(OR('Qualifying Scores'!$B$1-G37&gt;21,'Qualifying Scores'!$B$1-G37&lt;11),"Not Age Eligible",IF('Qualifying Scores'!$B$1-G37&gt;16,"17-21",IF('Qualifying Scores'!$B$1-G37&gt;14,"15-16",IF('Qualifying Scores'!$B$1-G37&gt;12,"13-14",IF('Qualifying Scores'!$B$1-G37&gt;10,"11-12","Not Age Eligible")))))</f>
        <v>15-16</v>
      </c>
      <c r="I37" s="39" t="s">
        <v>66</v>
      </c>
      <c r="J37" s="43" t="s">
        <v>567</v>
      </c>
      <c r="K37" s="4">
        <f>S37+T37+IF(OR(I37="Junior",I37="Senior"),0.0002,IF(OR(I37="L7",I37="L6"),0.0001,0))+MAX(AB37,AD37,AG37)*0.0000001</f>
        <v>83.31</v>
      </c>
      <c r="L37" s="3" t="str">
        <f>IF(H37="Not Age Eligible","",IF(MAX(U37,W37,Z37,AB37,AD37,AG37)&gt;=LOOKUP(H37,'Qualifying Scores'!$A$4:$A$7,'Qualifying Scores'!$E$4:$E$7),"P",""))</f>
        <v/>
      </c>
      <c r="M37" s="3" t="str">
        <f>IF(H37="Not Age Eligible","",IF(MAX(V37,X37,AA37,AC37,AE37,AH37)&gt;=LOOKUP(H37,'Qualifying Scores'!$A$10:$A$13,'Qualifying Scores'!$E$10:$E$13),"P",""))</f>
        <v/>
      </c>
      <c r="N37" s="3" t="str">
        <f>IF(H37="Not Age Eligible","",IF(OR(AND(U37&gt;=LOOKUP(H37,'Qualifying Scores'!$A$4:$A$7,'Qualifying Scores'!$E$4:$E$7),V37&gt;=LOOKUP(H37,'Qualifying Scores'!$A$10:$A$13,'Qualifying Scores'!$E$10:$E$13)),AND(W37&gt;=LOOKUP(H37,'Qualifying Scores'!$A$4:$A$7,'Qualifying Scores'!$E$4:$E$7),X37&gt;=LOOKUP(H37,'Qualifying Scores'!$A$10:$A$13,'Qualifying Scores'!$E$10:$E$13)),AND(Z37&gt;=LOOKUP(H37,'Qualifying Scores'!$A$4:$A$7,'Qualifying Scores'!$E$4:$E$7),AA37&gt;=LOOKUP(H37,'Qualifying Scores'!$A$10:$A$13,'Qualifying Scores'!$E$10:$E$13)),AND(AB37&gt;=LOOKUP(H37,'Qualifying Scores'!$A$4:$A$7,'Qualifying Scores'!$E$4:$E$7),AC37&gt;=LOOKUP(H37,'Qualifying Scores'!$A$10:$A$13,'Qualifying Scores'!$E$10:$E$13)),AND(AD37&gt;=LOOKUP(H37,'Qualifying Scores'!$A$4:$A$7,'Qualifying Scores'!$E$4:$E$7),AE37&gt;=LOOKUP(H37,'Qualifying Scores'!$A$10:$A$13,'Qualifying Scores'!$E$10:$E$13)),AND(AG37&gt;=LOOKUP(H37,'Qualifying Scores'!$A$4:$A$7,'Qualifying Scores'!$E$4:$E$7),AH37&gt;=LOOKUP(H37,'Qualifying Scores'!$A$10:$A$13,'Qualifying Scores'!$E$10:$E$13))),"P",""))</f>
        <v/>
      </c>
      <c r="R37" s="1" t="str">
        <f>IF(A37&lt;5,IF(_xlfn.MAXIFS(A:A,H:H,H37)&gt;3,5-A37,_xlfn.MAXIFS(A:A,H:H,H37)+1-A37),"")</f>
        <v/>
      </c>
      <c r="S37" s="4">
        <f>MAX(U37,W37,Z37,AB37,AD37,AG37)</f>
        <v>42.1</v>
      </c>
      <c r="T37" s="4">
        <f>LARGE(CHOOSE({1,2,3,4,5,6},U37,W37,Z37,AB37,AD37,AG37),2)</f>
        <v>41.21</v>
      </c>
      <c r="U37" s="33">
        <v>41.21</v>
      </c>
      <c r="V37" s="40">
        <v>7</v>
      </c>
      <c r="W37" s="34"/>
      <c r="X37" s="40"/>
      <c r="Y37" s="4">
        <f>IF(I37="Senior",MAX(U37,W37),U37+W37)</f>
        <v>41.21</v>
      </c>
      <c r="Z37" s="34">
        <v>42.1</v>
      </c>
      <c r="AA37" s="40">
        <v>7</v>
      </c>
      <c r="AB37" s="33"/>
      <c r="AC37" s="40"/>
      <c r="AD37" s="34"/>
      <c r="AE37" s="40"/>
      <c r="AF37" s="4">
        <f>IF(I37="Senior",MAX(AB37,AD37),AB37+AD37)</f>
        <v>0</v>
      </c>
      <c r="AG37" s="34"/>
      <c r="AH37" s="37"/>
    </row>
    <row r="38" spans="1:34" x14ac:dyDescent="0.2">
      <c r="A38" s="1" t="str" cm="1">
        <f t="array" ref="A38">IF(J38="","",IF(Q38&lt;&gt;"",SUMPRODUCT((Q$3:Q$47&lt;&gt;"")*(H$3:H$47=H38)*(K$3:K$47&gt;K38)*(J$3:J$47="P"))+1,IF(P38&lt;&gt;"",SUMPRODUCT((P$3:P$47&lt;&gt;"")*(Q$3:Q$47="")*(H$3:H$47=H38)*(K$3:K$47&gt;K38)*(J$3:J$47="P"))+SUMPRODUCT((Q$3:Q$47&lt;&gt;"")*(H$3:H$47=H38)*(J$3:J$47="P"))+1,IF(O38&lt;&gt;"",SUMPRODUCT((O$3:O$47&lt;&gt;"")*(H$3:H$47=H38)*(K$3:K$47&gt;K38)*(J$3:J$47="P"))+1,IF(N38="P",SUMPRODUCT((P$3:P$47&lt;&gt;"")*(Q$3:Q$47="")*(H$3:H$47=H38)*(J$3:J$47="P"))+SUMPRODUCT((Q$3:Q$47&lt;&gt;"")*(H$3:H$47=H38)*(J$3:J$47="P"))+SUMPRODUCT((O$3:O$47&lt;&gt;"")*(H$3:H$47=H38)*(J$3:J$47="P"))+SUMPRODUCT((Q$3:Q$47="")*(P$3:P$47="")*(O$3:O$47="")*(N$3:N$47="P")*(H$3:H$47=H38)*(K$3:K$47&gt;K38)*(J$3:J$47="P"))+IF(I38="L5",SUMPRODUCT((Q$3:Q$47="")*(P$3:P$47="")*(O$3:O$47="")*(N$3:N$47="P")*(H$3:H$47=H38)*(K$3:K$47&lt;K38)*(I$3:I$47&lt;&gt;I38)*(J$3:J$47="P")),-1*SUMPRODUCT((Q$3:Q$47="")*(P$3:P$47="")*(O$3:O$47="")*(N$3:N$47="P")*(H$3:H$47=H38)*(K$3:K$47&gt;K38)*(I$3:I$47="L5")*(J$3:J$47="P")))+1,"")))))</f>
        <v/>
      </c>
      <c r="B38" s="1" t="str" cm="1">
        <f t="array" ref="B38">IF(Q38&lt;&gt;"",SUMPRODUCT((Q$3:Q$47&lt;&gt;"")*(H$3:H$47=H38)*(K$3:K$47&gt;K38))+1,IF(P38&lt;&gt;"",SUMPRODUCT((P$3:P$47&lt;&gt;"")*(Q$3:Q$47="")*(H$3:H$47=H38)*(K$3:K$47&gt;K38))+SUMPRODUCT((Q$3:Q$47&lt;&gt;"")*(H$3:H$47=H38))+1,IF(O38&lt;&gt;"",SUMPRODUCT((O$3:O$47&lt;&gt;"")*(H$3:H$47=H38)*(K$3:K$47&gt;K38))+1,IF(N38="P",SUMPRODUCT((P$3:P$47&lt;&gt;"")*(Q$3:Q$47="")*(H$3:H$47=H38))+SUMPRODUCT((Q$3:Q$47&lt;&gt;"")*(H$3:H$47=H38))+SUMPRODUCT((O$3:O$47&lt;&gt;"")*(H$3:H$47=H38))+SUMPRODUCT((Q$3:Q$47="")*(P$3:P$47="")*(O$3:O$47="")*(N$3:N$47="P")*(H$3:H$47=H38)*(K$3:K$47&gt;K38))+IF(I38="L5",SUMPRODUCT((Q$3:Q$47="")*(P$3:P$47="")*(O$3:O$47="")*(N$3:N$47="P")*(H$3:H$47=H38)*(K$3:K$47&lt;K38)*(I$3:I$47&lt;&gt;I38)),-1*SUMPRODUCT((Q$3:Q$47="")*(P$3:P$47="")*(O$3:O$47="")*(N$3:N$47="P")*(H$3:H$47=H38)*(K$3:K$47&gt;K38)*(I$3:I$47="L5")))+1,""))))</f>
        <v/>
      </c>
      <c r="C38" s="36" t="s">
        <v>396</v>
      </c>
      <c r="D38" s="36" t="str">
        <f>IF(E38="","",VLOOKUP(E38,'Coaching Points'!A:B,2,0)&amp;"/"&amp;VLOOKUP(F38,'Coaching Points'!A:B,2,0))</f>
        <v>ON/ON</v>
      </c>
      <c r="E38" s="36" t="s">
        <v>286</v>
      </c>
      <c r="F38" s="36" t="s">
        <v>286</v>
      </c>
      <c r="G38" s="35">
        <v>2007</v>
      </c>
      <c r="H38" s="1" t="str">
        <f>IF(OR('Qualifying Scores'!$B$1-G38&gt;21,'Qualifying Scores'!$B$1-G38&lt;11),"Not Age Eligible",IF('Qualifying Scores'!$B$1-G38&gt;16,"17-21",IF('Qualifying Scores'!$B$1-G38&gt;14,"15-16",IF('Qualifying Scores'!$B$1-G38&gt;12,"13-14",IF('Qualifying Scores'!$B$1-G38&gt;10,"11-12","Not Age Eligible")))))</f>
        <v>15-16</v>
      </c>
      <c r="I38" s="39" t="s">
        <v>66</v>
      </c>
      <c r="J38" s="43"/>
      <c r="K38" s="4">
        <f>S38+T38+IF(OR(I38="Junior",I38="Senior"),0.0002,IF(OR(I38="L7",I38="L6"),0.0001,0))+MAX(AB38,AD38,AG38)*0.0000001</f>
        <v>77.870003983000004</v>
      </c>
      <c r="L38" s="3" t="str">
        <f>IF(H38="Not Age Eligible","",IF(MAX(U38,W38,Z38,AB38,AD38,AG38)&gt;=LOOKUP(H38,'Qualifying Scores'!$A$4:$A$7,'Qualifying Scores'!$E$4:$E$7),"P",""))</f>
        <v/>
      </c>
      <c r="M38" s="3" t="str">
        <f>IF(H38="Not Age Eligible","",IF(MAX(V38,X38,AA38,AC38,AE38,AH38)&gt;=LOOKUP(H38,'Qualifying Scores'!$A$10:$A$13,'Qualifying Scores'!$E$10:$E$13),"P",""))</f>
        <v/>
      </c>
      <c r="N38" s="3" t="str">
        <f>IF(H38="Not Age Eligible","",IF(OR(AND(U38&gt;=LOOKUP(H38,'Qualifying Scores'!$A$4:$A$7,'Qualifying Scores'!$E$4:$E$7),V38&gt;=LOOKUP(H38,'Qualifying Scores'!$A$10:$A$13,'Qualifying Scores'!$E$10:$E$13)),AND(W38&gt;=LOOKUP(H38,'Qualifying Scores'!$A$4:$A$7,'Qualifying Scores'!$E$4:$E$7),X38&gt;=LOOKUP(H38,'Qualifying Scores'!$A$10:$A$13,'Qualifying Scores'!$E$10:$E$13)),AND(Z38&gt;=LOOKUP(H38,'Qualifying Scores'!$A$4:$A$7,'Qualifying Scores'!$E$4:$E$7),AA38&gt;=LOOKUP(H38,'Qualifying Scores'!$A$10:$A$13,'Qualifying Scores'!$E$10:$E$13)),AND(AB38&gt;=LOOKUP(H38,'Qualifying Scores'!$A$4:$A$7,'Qualifying Scores'!$E$4:$E$7),AC38&gt;=LOOKUP(H38,'Qualifying Scores'!$A$10:$A$13,'Qualifying Scores'!$E$10:$E$13)),AND(AD38&gt;=LOOKUP(H38,'Qualifying Scores'!$A$4:$A$7,'Qualifying Scores'!$E$4:$E$7),AE38&gt;=LOOKUP(H38,'Qualifying Scores'!$A$10:$A$13,'Qualifying Scores'!$E$10:$E$13)),AND(AG38&gt;=LOOKUP(H38,'Qualifying Scores'!$A$4:$A$7,'Qualifying Scores'!$E$4:$E$7),AH38&gt;=LOOKUP(H38,'Qualifying Scores'!$A$10:$A$13,'Qualifying Scores'!$E$10:$E$13))),"P",""))</f>
        <v/>
      </c>
      <c r="R38" s="1" t="str">
        <f>IF(A38&lt;5,IF(_xlfn.MAXIFS(A:A,H:H,H38)&gt;3,5-A38,_xlfn.MAXIFS(A:A,H:H,H38)+1-A38),"")</f>
        <v/>
      </c>
      <c r="S38" s="4">
        <f>MAX(U38,W38,Z38,AB38,AD38,AG38)</f>
        <v>39.83</v>
      </c>
      <c r="T38" s="4">
        <f>LARGE(CHOOSE({1,2,3,4,5,6},U38,W38,Z38,AB38,AD38,AG38),2)</f>
        <v>38.04</v>
      </c>
      <c r="U38" s="33"/>
      <c r="V38" s="40"/>
      <c r="W38" s="34"/>
      <c r="X38" s="40"/>
      <c r="Y38" s="4">
        <f>IF(I38="Senior",MAX(U38,W38),U38+W38)</f>
        <v>0</v>
      </c>
      <c r="Z38" s="34"/>
      <c r="AA38" s="40"/>
      <c r="AB38" s="33">
        <v>39.83</v>
      </c>
      <c r="AC38" s="40">
        <v>6</v>
      </c>
      <c r="AD38" s="34"/>
      <c r="AE38" s="40"/>
      <c r="AF38" s="4">
        <f>IF(I38="Senior",MAX(AB38,AD38),AB38+AD38)</f>
        <v>39.83</v>
      </c>
      <c r="AG38" s="34">
        <v>38.04</v>
      </c>
      <c r="AH38" s="37">
        <v>6</v>
      </c>
    </row>
    <row r="39" spans="1:34" x14ac:dyDescent="0.2">
      <c r="A39" s="1" t="str" cm="1">
        <f t="array" ref="A39">IF(J39="","",IF(Q39&lt;&gt;"",SUMPRODUCT((Q$3:Q$47&lt;&gt;"")*(H$3:H$47=H39)*(K$3:K$47&gt;K39)*(J$3:J$47="P"))+1,IF(P39&lt;&gt;"",SUMPRODUCT((P$3:P$47&lt;&gt;"")*(Q$3:Q$47="")*(H$3:H$47=H39)*(K$3:K$47&gt;K39)*(J$3:J$47="P"))+SUMPRODUCT((Q$3:Q$47&lt;&gt;"")*(H$3:H$47=H39)*(J$3:J$47="P"))+1,IF(O39&lt;&gt;"",SUMPRODUCT((O$3:O$47&lt;&gt;"")*(H$3:H$47=H39)*(K$3:K$47&gt;K39)*(J$3:J$47="P"))+1,IF(N39="P",SUMPRODUCT((P$3:P$47&lt;&gt;"")*(Q$3:Q$47="")*(H$3:H$47=H39)*(J$3:J$47="P"))+SUMPRODUCT((Q$3:Q$47&lt;&gt;"")*(H$3:H$47=H39)*(J$3:J$47="P"))+SUMPRODUCT((O$3:O$47&lt;&gt;"")*(H$3:H$47=H39)*(J$3:J$47="P"))+SUMPRODUCT((Q$3:Q$47="")*(P$3:P$47="")*(O$3:O$47="")*(N$3:N$47="P")*(H$3:H$47=H39)*(K$3:K$47&gt;K39)*(J$3:J$47="P"))+IF(I39="L5",SUMPRODUCT((Q$3:Q$47="")*(P$3:P$47="")*(O$3:O$47="")*(N$3:N$47="P")*(H$3:H$47=H39)*(K$3:K$47&lt;K39)*(I$3:I$47&lt;&gt;I39)*(J$3:J$47="P")),-1*SUMPRODUCT((Q$3:Q$47="")*(P$3:P$47="")*(O$3:O$47="")*(N$3:N$47="P")*(H$3:H$47=H39)*(K$3:K$47&gt;K39)*(I$3:I$47="L5")*(J$3:J$47="P")))+1,"")))))</f>
        <v/>
      </c>
      <c r="B39" s="1" t="str" cm="1">
        <f t="array" ref="B39">IF(Q39&lt;&gt;"",SUMPRODUCT((Q$3:Q$47&lt;&gt;"")*(H$3:H$47=H39)*(K$3:K$47&gt;K39))+1,IF(P39&lt;&gt;"",SUMPRODUCT((P$3:P$47&lt;&gt;"")*(Q$3:Q$47="")*(H$3:H$47=H39)*(K$3:K$47&gt;K39))+SUMPRODUCT((Q$3:Q$47&lt;&gt;"")*(H$3:H$47=H39))+1,IF(O39&lt;&gt;"",SUMPRODUCT((O$3:O$47&lt;&gt;"")*(H$3:H$47=H39)*(K$3:K$47&gt;K39))+1,IF(N39="P",SUMPRODUCT((P$3:P$47&lt;&gt;"")*(Q$3:Q$47="")*(H$3:H$47=H39))+SUMPRODUCT((Q$3:Q$47&lt;&gt;"")*(H$3:H$47=H39))+SUMPRODUCT((O$3:O$47&lt;&gt;"")*(H$3:H$47=H39))+SUMPRODUCT((Q$3:Q$47="")*(P$3:P$47="")*(O$3:O$47="")*(N$3:N$47="P")*(H$3:H$47=H39)*(K$3:K$47&gt;K39))+IF(I39="L5",SUMPRODUCT((Q$3:Q$47="")*(P$3:P$47="")*(O$3:O$47="")*(N$3:N$47="P")*(H$3:H$47=H39)*(K$3:K$47&lt;K39)*(I$3:I$47&lt;&gt;I39)),-1*SUMPRODUCT((Q$3:Q$47="")*(P$3:P$47="")*(O$3:O$47="")*(N$3:N$47="P")*(H$3:H$47=H39)*(K$3:K$47&gt;K39)*(I$3:I$47="L5")))+1,""))))</f>
        <v/>
      </c>
      <c r="C39" s="36" t="s">
        <v>397</v>
      </c>
      <c r="D39" s="36" t="str">
        <f>IF(E39="","",VLOOKUP(E39,'Coaching Points'!A:B,2,0)&amp;"/"&amp;VLOOKUP(F39,'Coaching Points'!A:B,2,0))</f>
        <v>AB/AB</v>
      </c>
      <c r="E39" s="36" t="s">
        <v>29</v>
      </c>
      <c r="F39" s="36" t="s">
        <v>29</v>
      </c>
      <c r="G39" s="35">
        <v>2007</v>
      </c>
      <c r="H39" s="1" t="str">
        <f>IF(OR('Qualifying Scores'!$B$1-G39&gt;21,'Qualifying Scores'!$B$1-G39&lt;11),"Not Age Eligible",IF('Qualifying Scores'!$B$1-G39&gt;16,"17-21",IF('Qualifying Scores'!$B$1-G39&gt;14,"15-16",IF('Qualifying Scores'!$B$1-G39&gt;12,"13-14",IF('Qualifying Scores'!$B$1-G39&gt;10,"11-12","Not Age Eligible")))))</f>
        <v>15-16</v>
      </c>
      <c r="I39" s="39" t="s">
        <v>66</v>
      </c>
      <c r="J39" s="43" t="s">
        <v>567</v>
      </c>
      <c r="K39" s="4">
        <f>S39+T39+IF(OR(I39="Junior",I39="Senior"),0.0002,IF(OR(I39="L7",I39="L6"),0.0001,0))+MAX(AB39,AD39,AG39)*0.0000001</f>
        <v>77.070004086999987</v>
      </c>
      <c r="L39" s="3" t="str">
        <f>IF(H39="Not Age Eligible","",IF(MAX(U39,W39,Z39,AB39,AD39,AG39)&gt;=LOOKUP(H39,'Qualifying Scores'!$A$4:$A$7,'Qualifying Scores'!$E$4:$E$7),"P",""))</f>
        <v/>
      </c>
      <c r="M39" s="3" t="str">
        <f>IF(H39="Not Age Eligible","",IF(MAX(V39,X39,AA39,AC39,AE39,AH39)&gt;=LOOKUP(H39,'Qualifying Scores'!$A$10:$A$13,'Qualifying Scores'!$E$10:$E$13),"P",""))</f>
        <v/>
      </c>
      <c r="N39" s="3" t="str">
        <f>IF(H39="Not Age Eligible","",IF(OR(AND(U39&gt;=LOOKUP(H39,'Qualifying Scores'!$A$4:$A$7,'Qualifying Scores'!$E$4:$E$7),V39&gt;=LOOKUP(H39,'Qualifying Scores'!$A$10:$A$13,'Qualifying Scores'!$E$10:$E$13)),AND(W39&gt;=LOOKUP(H39,'Qualifying Scores'!$A$4:$A$7,'Qualifying Scores'!$E$4:$E$7),X39&gt;=LOOKUP(H39,'Qualifying Scores'!$A$10:$A$13,'Qualifying Scores'!$E$10:$E$13)),AND(Z39&gt;=LOOKUP(H39,'Qualifying Scores'!$A$4:$A$7,'Qualifying Scores'!$E$4:$E$7),AA39&gt;=LOOKUP(H39,'Qualifying Scores'!$A$10:$A$13,'Qualifying Scores'!$E$10:$E$13)),AND(AB39&gt;=LOOKUP(H39,'Qualifying Scores'!$A$4:$A$7,'Qualifying Scores'!$E$4:$E$7),AC39&gt;=LOOKUP(H39,'Qualifying Scores'!$A$10:$A$13,'Qualifying Scores'!$E$10:$E$13)),AND(AD39&gt;=LOOKUP(H39,'Qualifying Scores'!$A$4:$A$7,'Qualifying Scores'!$E$4:$E$7),AE39&gt;=LOOKUP(H39,'Qualifying Scores'!$A$10:$A$13,'Qualifying Scores'!$E$10:$E$13)),AND(AG39&gt;=LOOKUP(H39,'Qualifying Scores'!$A$4:$A$7,'Qualifying Scores'!$E$4:$E$7),AH39&gt;=LOOKUP(H39,'Qualifying Scores'!$A$10:$A$13,'Qualifying Scores'!$E$10:$E$13))),"P",""))</f>
        <v/>
      </c>
      <c r="R39" s="1" t="str">
        <f>IF(A39&lt;5,IF(_xlfn.MAXIFS(A:A,H:H,H39)&gt;3,5-A39,_xlfn.MAXIFS(A:A,H:H,H39)+1-A39),"")</f>
        <v/>
      </c>
      <c r="S39" s="4">
        <f>MAX(U39,W39,Z39,AB39,AD39,AG39)</f>
        <v>40.869999999999997</v>
      </c>
      <c r="T39" s="4">
        <f>LARGE(CHOOSE({1,2,3,4,5,6},U39,W39,Z39,AB39,AD39,AG39),2)</f>
        <v>36.200000000000003</v>
      </c>
      <c r="U39" s="33"/>
      <c r="V39" s="40"/>
      <c r="W39" s="34"/>
      <c r="X39" s="40"/>
      <c r="Y39" s="4">
        <f>IF(I39="Senior",MAX(U39,W39),U39+W39)</f>
        <v>0</v>
      </c>
      <c r="Z39" s="34"/>
      <c r="AA39" s="40"/>
      <c r="AB39" s="33">
        <v>40.869999999999997</v>
      </c>
      <c r="AC39" s="40">
        <v>7.8</v>
      </c>
      <c r="AD39" s="34"/>
      <c r="AE39" s="40"/>
      <c r="AF39" s="4">
        <f>IF(I39="Senior",MAX(AB39,AD39),AB39+AD39)</f>
        <v>40.869999999999997</v>
      </c>
      <c r="AG39" s="34">
        <v>36.200000000000003</v>
      </c>
      <c r="AH39" s="37">
        <v>6.8</v>
      </c>
    </row>
    <row r="40" spans="1:34" x14ac:dyDescent="0.2">
      <c r="A40" s="1" t="str" cm="1">
        <f t="array" ref="A40">IF(J40="","",IF(Q40&lt;&gt;"",SUMPRODUCT((Q$3:Q$47&lt;&gt;"")*(H$3:H$47=H40)*(K$3:K$47&gt;K40)*(J$3:J$47="P"))+1,IF(P40&lt;&gt;"",SUMPRODUCT((P$3:P$47&lt;&gt;"")*(Q$3:Q$47="")*(H$3:H$47=H40)*(K$3:K$47&gt;K40)*(J$3:J$47="P"))+SUMPRODUCT((Q$3:Q$47&lt;&gt;"")*(H$3:H$47=H40)*(J$3:J$47="P"))+1,IF(O40&lt;&gt;"",SUMPRODUCT((O$3:O$47&lt;&gt;"")*(H$3:H$47=H40)*(K$3:K$47&gt;K40)*(J$3:J$47="P"))+1,IF(N40="P",SUMPRODUCT((P$3:P$47&lt;&gt;"")*(Q$3:Q$47="")*(H$3:H$47=H40)*(J$3:J$47="P"))+SUMPRODUCT((Q$3:Q$47&lt;&gt;"")*(H$3:H$47=H40)*(J$3:J$47="P"))+SUMPRODUCT((O$3:O$47&lt;&gt;"")*(H$3:H$47=H40)*(J$3:J$47="P"))+SUMPRODUCT((Q$3:Q$47="")*(P$3:P$47="")*(O$3:O$47="")*(N$3:N$47="P")*(H$3:H$47=H40)*(K$3:K$47&gt;K40)*(J$3:J$47="P"))+IF(I40="L5",SUMPRODUCT((Q$3:Q$47="")*(P$3:P$47="")*(O$3:O$47="")*(N$3:N$47="P")*(H$3:H$47=H40)*(K$3:K$47&lt;K40)*(I$3:I$47&lt;&gt;I40)*(J$3:J$47="P")),-1*SUMPRODUCT((Q$3:Q$47="")*(P$3:P$47="")*(O$3:O$47="")*(N$3:N$47="P")*(H$3:H$47=H40)*(K$3:K$47&gt;K40)*(I$3:I$47="L5")*(J$3:J$47="P")))+1,"")))))</f>
        <v/>
      </c>
      <c r="B40" s="1" t="str" cm="1">
        <f t="array" ref="B40">IF(Q40&lt;&gt;"",SUMPRODUCT((Q$3:Q$47&lt;&gt;"")*(H$3:H$47=H40)*(K$3:K$47&gt;K40))+1,IF(P40&lt;&gt;"",SUMPRODUCT((P$3:P$47&lt;&gt;"")*(Q$3:Q$47="")*(H$3:H$47=H40)*(K$3:K$47&gt;K40))+SUMPRODUCT((Q$3:Q$47&lt;&gt;"")*(H$3:H$47=H40))+1,IF(O40&lt;&gt;"",SUMPRODUCT((O$3:O$47&lt;&gt;"")*(H$3:H$47=H40)*(K$3:K$47&gt;K40))+1,IF(N40="P",SUMPRODUCT((P$3:P$47&lt;&gt;"")*(Q$3:Q$47="")*(H$3:H$47=H40))+SUMPRODUCT((Q$3:Q$47&lt;&gt;"")*(H$3:H$47=H40))+SUMPRODUCT((O$3:O$47&lt;&gt;"")*(H$3:H$47=H40))+SUMPRODUCT((Q$3:Q$47="")*(P$3:P$47="")*(O$3:O$47="")*(N$3:N$47="P")*(H$3:H$47=H40)*(K$3:K$47&gt;K40))+IF(I40="L5",SUMPRODUCT((Q$3:Q$47="")*(P$3:P$47="")*(O$3:O$47="")*(N$3:N$47="P")*(H$3:H$47=H40)*(K$3:K$47&lt;K40)*(I$3:I$47&lt;&gt;I40)),-1*SUMPRODUCT((Q$3:Q$47="")*(P$3:P$47="")*(O$3:O$47="")*(N$3:N$47="P")*(H$3:H$47=H40)*(K$3:K$47&gt;K40)*(I$3:I$47="L5")))+1,""))))</f>
        <v/>
      </c>
      <c r="C40" s="36" t="s">
        <v>399</v>
      </c>
      <c r="D40" s="36" t="str">
        <f>IF(E40="","",VLOOKUP(E40,'Coaching Points'!A:B,2,0)&amp;"/"&amp;VLOOKUP(F40,'Coaching Points'!A:B,2,0))</f>
        <v>NL/NL</v>
      </c>
      <c r="E40" s="36" t="s">
        <v>418</v>
      </c>
      <c r="F40" s="36" t="s">
        <v>418</v>
      </c>
      <c r="G40" s="35">
        <v>2007</v>
      </c>
      <c r="H40" s="1" t="str">
        <f>IF(OR('Qualifying Scores'!$B$1-G40&gt;21,'Qualifying Scores'!$B$1-G40&lt;11),"Not Age Eligible",IF('Qualifying Scores'!$B$1-G40&gt;16,"17-21",IF('Qualifying Scores'!$B$1-G40&gt;14,"15-16",IF('Qualifying Scores'!$B$1-G40&gt;12,"13-14",IF('Qualifying Scores'!$B$1-G40&gt;10,"11-12","Not Age Eligible")))))</f>
        <v>15-16</v>
      </c>
      <c r="I40" s="39" t="s">
        <v>66</v>
      </c>
      <c r="J40" s="43"/>
      <c r="K40" s="4">
        <f>S40+T40+IF(OR(I40="Junior",I40="Senior"),0.0002,IF(OR(I40="L7",I40="L6"),0.0001,0))+MAX(AB40,AD40,AG40)*0.0000001</f>
        <v>51.690003864999994</v>
      </c>
      <c r="L40" s="3" t="str">
        <f>IF(H40="Not Age Eligible","",IF(MAX(U40,W40,Z40,AB40,AD40,AG40)&gt;=LOOKUP(H40,'Qualifying Scores'!$A$4:$A$7,'Qualifying Scores'!$E$4:$E$7),"P",""))</f>
        <v/>
      </c>
      <c r="M40" s="3" t="str">
        <f>IF(H40="Not Age Eligible","",IF(MAX(V40,X40,AA40,AC40,AE40,AH40)&gt;=LOOKUP(H40,'Qualifying Scores'!$A$10:$A$13,'Qualifying Scores'!$E$10:$E$13),"P",""))</f>
        <v/>
      </c>
      <c r="N40" s="3" t="str">
        <f>IF(H40="Not Age Eligible","",IF(OR(AND(U40&gt;=LOOKUP(H40,'Qualifying Scores'!$A$4:$A$7,'Qualifying Scores'!$E$4:$E$7),V40&gt;=LOOKUP(H40,'Qualifying Scores'!$A$10:$A$13,'Qualifying Scores'!$E$10:$E$13)),AND(W40&gt;=LOOKUP(H40,'Qualifying Scores'!$A$4:$A$7,'Qualifying Scores'!$E$4:$E$7),X40&gt;=LOOKUP(H40,'Qualifying Scores'!$A$10:$A$13,'Qualifying Scores'!$E$10:$E$13)),AND(Z40&gt;=LOOKUP(H40,'Qualifying Scores'!$A$4:$A$7,'Qualifying Scores'!$E$4:$E$7),AA40&gt;=LOOKUP(H40,'Qualifying Scores'!$A$10:$A$13,'Qualifying Scores'!$E$10:$E$13)),AND(AB40&gt;=LOOKUP(H40,'Qualifying Scores'!$A$4:$A$7,'Qualifying Scores'!$E$4:$E$7),AC40&gt;=LOOKUP(H40,'Qualifying Scores'!$A$10:$A$13,'Qualifying Scores'!$E$10:$E$13)),AND(AD40&gt;=LOOKUP(H40,'Qualifying Scores'!$A$4:$A$7,'Qualifying Scores'!$E$4:$E$7),AE40&gt;=LOOKUP(H40,'Qualifying Scores'!$A$10:$A$13,'Qualifying Scores'!$E$10:$E$13)),AND(AG40&gt;=LOOKUP(H40,'Qualifying Scores'!$A$4:$A$7,'Qualifying Scores'!$E$4:$E$7),AH40&gt;=LOOKUP(H40,'Qualifying Scores'!$A$10:$A$13,'Qualifying Scores'!$E$10:$E$13))),"P",""))</f>
        <v/>
      </c>
      <c r="R40" s="1" t="str">
        <f>IF(A40&lt;5,IF(_xlfn.MAXIFS(A:A,H:H,H40)&gt;3,5-A40,_xlfn.MAXIFS(A:A,H:H,H40)+1-A40),"")</f>
        <v/>
      </c>
      <c r="S40" s="4">
        <f>MAX(U40,W40,Z40,AB40,AD40,AG40)</f>
        <v>38.65</v>
      </c>
      <c r="T40" s="4">
        <f>LARGE(CHOOSE({1,2,3,4,5,6},U40,W40,Z40,AB40,AD40,AG40),2)</f>
        <v>13.04</v>
      </c>
      <c r="U40" s="33"/>
      <c r="V40" s="40"/>
      <c r="W40" s="34"/>
      <c r="X40" s="40"/>
      <c r="Y40" s="4">
        <f>IF(I40="Senior",MAX(U40,W40),U40+W40)</f>
        <v>0</v>
      </c>
      <c r="Z40" s="34"/>
      <c r="AA40" s="40"/>
      <c r="AB40" s="33">
        <v>38.65</v>
      </c>
      <c r="AC40" s="40">
        <v>7.6</v>
      </c>
      <c r="AD40" s="34"/>
      <c r="AE40" s="40"/>
      <c r="AF40" s="4">
        <f>IF(I40="Senior",MAX(AB40,AD40),AB40+AD40)</f>
        <v>38.65</v>
      </c>
      <c r="AG40" s="34">
        <v>13.04</v>
      </c>
      <c r="AH40" s="37">
        <v>2.9</v>
      </c>
    </row>
    <row r="41" spans="1:34" x14ac:dyDescent="0.2">
      <c r="A41" s="1" t="str" cm="1">
        <f t="array" ref="A41">IF(J41="","",IF(Q41&lt;&gt;"",SUMPRODUCT((Q$3:Q$47&lt;&gt;"")*(H$3:H$47=H41)*(K$3:K$47&gt;K41)*(J$3:J$47="P"))+1,IF(P41&lt;&gt;"",SUMPRODUCT((P$3:P$47&lt;&gt;"")*(Q$3:Q$47="")*(H$3:H$47=H41)*(K$3:K$47&gt;K41)*(J$3:J$47="P"))+SUMPRODUCT((Q$3:Q$47&lt;&gt;"")*(H$3:H$47=H41)*(J$3:J$47="P"))+1,IF(O41&lt;&gt;"",SUMPRODUCT((O$3:O$47&lt;&gt;"")*(H$3:H$47=H41)*(K$3:K$47&gt;K41)*(J$3:J$47="P"))+1,IF(N41="P",SUMPRODUCT((P$3:P$47&lt;&gt;"")*(Q$3:Q$47="")*(H$3:H$47=H41)*(J$3:J$47="P"))+SUMPRODUCT((Q$3:Q$47&lt;&gt;"")*(H$3:H$47=H41)*(J$3:J$47="P"))+SUMPRODUCT((O$3:O$47&lt;&gt;"")*(H$3:H$47=H41)*(J$3:J$47="P"))+SUMPRODUCT((Q$3:Q$47="")*(P$3:P$47="")*(O$3:O$47="")*(N$3:N$47="P")*(H$3:H$47=H41)*(K$3:K$47&gt;K41)*(J$3:J$47="P"))+IF(I41="L5",SUMPRODUCT((Q$3:Q$47="")*(P$3:P$47="")*(O$3:O$47="")*(N$3:N$47="P")*(H$3:H$47=H41)*(K$3:K$47&lt;K41)*(I$3:I$47&lt;&gt;I41)*(J$3:J$47="P")),-1*SUMPRODUCT((Q$3:Q$47="")*(P$3:P$47="")*(O$3:O$47="")*(N$3:N$47="P")*(H$3:H$47=H41)*(K$3:K$47&gt;K41)*(I$3:I$47="L5")*(J$3:J$47="P")))+1,"")))))</f>
        <v/>
      </c>
      <c r="B41" s="1" t="str" cm="1">
        <f t="array" ref="B41">IF(Q41&lt;&gt;"",SUMPRODUCT((Q$3:Q$47&lt;&gt;"")*(H$3:H$47=H41)*(K$3:K$47&gt;K41))+1,IF(P41&lt;&gt;"",SUMPRODUCT((P$3:P$47&lt;&gt;"")*(Q$3:Q$47="")*(H$3:H$47=H41)*(K$3:K$47&gt;K41))+SUMPRODUCT((Q$3:Q$47&lt;&gt;"")*(H$3:H$47=H41))+1,IF(O41&lt;&gt;"",SUMPRODUCT((O$3:O$47&lt;&gt;"")*(H$3:H$47=H41)*(K$3:K$47&gt;K41))+1,IF(N41="P",SUMPRODUCT((P$3:P$47&lt;&gt;"")*(Q$3:Q$47="")*(H$3:H$47=H41))+SUMPRODUCT((Q$3:Q$47&lt;&gt;"")*(H$3:H$47=H41))+SUMPRODUCT((O$3:O$47&lt;&gt;"")*(H$3:H$47=H41))+SUMPRODUCT((Q$3:Q$47="")*(P$3:P$47="")*(O$3:O$47="")*(N$3:N$47="P")*(H$3:H$47=H41)*(K$3:K$47&gt;K41))+IF(I41="L5",SUMPRODUCT((Q$3:Q$47="")*(P$3:P$47="")*(O$3:O$47="")*(N$3:N$47="P")*(H$3:H$47=H41)*(K$3:K$47&lt;K41)*(I$3:I$47&lt;&gt;I41)),-1*SUMPRODUCT((Q$3:Q$47="")*(P$3:P$47="")*(O$3:O$47="")*(N$3:N$47="P")*(H$3:H$47=H41)*(K$3:K$47&gt;K41)*(I$3:I$47="L5")))+1,""))))</f>
        <v/>
      </c>
      <c r="C41" s="36" t="s">
        <v>402</v>
      </c>
      <c r="D41" s="36" t="str">
        <f>IF(E41="","",VLOOKUP(E41,'Coaching Points'!A:B,2,0)&amp;"/"&amp;VLOOKUP(F41,'Coaching Points'!A:B,2,0))</f>
        <v>ON/ON</v>
      </c>
      <c r="E41" s="36" t="s">
        <v>113</v>
      </c>
      <c r="F41" s="36" t="s">
        <v>113</v>
      </c>
      <c r="G41" s="35">
        <v>2007</v>
      </c>
      <c r="H41" s="1" t="str">
        <f>IF(OR('Qualifying Scores'!$B$1-G41&gt;21,'Qualifying Scores'!$B$1-G41&lt;11),"Not Age Eligible",IF('Qualifying Scores'!$B$1-G41&gt;16,"17-21",IF('Qualifying Scores'!$B$1-G41&gt;14,"15-16",IF('Qualifying Scores'!$B$1-G41&gt;12,"13-14",IF('Qualifying Scores'!$B$1-G41&gt;10,"11-12","Not Age Eligible")))))</f>
        <v>15-16</v>
      </c>
      <c r="I41" s="39" t="s">
        <v>66</v>
      </c>
      <c r="J41" s="43"/>
      <c r="K41" s="4">
        <f>S41+T41+IF(OR(I41="Junior",I41="Senior"),0.0002,IF(OR(I41="L7",I41="L6"),0.0001,0))+MAX(AB41,AD41,AG41)*0.0000001</f>
        <v>37.250003724999999</v>
      </c>
      <c r="L41" s="3" t="str">
        <f>IF(H41="Not Age Eligible","",IF(MAX(U41,W41,Z41,AB41,AD41,AG41)&gt;=LOOKUP(H41,'Qualifying Scores'!$A$4:$A$7,'Qualifying Scores'!$E$4:$E$7),"P",""))</f>
        <v/>
      </c>
      <c r="M41" s="3" t="str">
        <f>IF(H41="Not Age Eligible","",IF(MAX(V41,X41,AA41,AC41,AE41,AH41)&gt;=LOOKUP(H41,'Qualifying Scores'!$A$10:$A$13,'Qualifying Scores'!$E$10:$E$13),"P",""))</f>
        <v/>
      </c>
      <c r="N41" s="3" t="str">
        <f>IF(H41="Not Age Eligible","",IF(OR(AND(U41&gt;=LOOKUP(H41,'Qualifying Scores'!$A$4:$A$7,'Qualifying Scores'!$E$4:$E$7),V41&gt;=LOOKUP(H41,'Qualifying Scores'!$A$10:$A$13,'Qualifying Scores'!$E$10:$E$13)),AND(W41&gt;=LOOKUP(H41,'Qualifying Scores'!$A$4:$A$7,'Qualifying Scores'!$E$4:$E$7),X41&gt;=LOOKUP(H41,'Qualifying Scores'!$A$10:$A$13,'Qualifying Scores'!$E$10:$E$13)),AND(Z41&gt;=LOOKUP(H41,'Qualifying Scores'!$A$4:$A$7,'Qualifying Scores'!$E$4:$E$7),AA41&gt;=LOOKUP(H41,'Qualifying Scores'!$A$10:$A$13,'Qualifying Scores'!$E$10:$E$13)),AND(AB41&gt;=LOOKUP(H41,'Qualifying Scores'!$A$4:$A$7,'Qualifying Scores'!$E$4:$E$7),AC41&gt;=LOOKUP(H41,'Qualifying Scores'!$A$10:$A$13,'Qualifying Scores'!$E$10:$E$13)),AND(AD41&gt;=LOOKUP(H41,'Qualifying Scores'!$A$4:$A$7,'Qualifying Scores'!$E$4:$E$7),AE41&gt;=LOOKUP(H41,'Qualifying Scores'!$A$10:$A$13,'Qualifying Scores'!$E$10:$E$13)),AND(AG41&gt;=LOOKUP(H41,'Qualifying Scores'!$A$4:$A$7,'Qualifying Scores'!$E$4:$E$7),AH41&gt;=LOOKUP(H41,'Qualifying Scores'!$A$10:$A$13,'Qualifying Scores'!$E$10:$E$13))),"P",""))</f>
        <v/>
      </c>
      <c r="R41" s="1" t="str">
        <f>IF(A41&lt;5,IF(_xlfn.MAXIFS(A:A,H:H,H41)&gt;3,5-A41,_xlfn.MAXIFS(A:A,H:H,H41)+1-A41),"")</f>
        <v/>
      </c>
      <c r="S41" s="4">
        <f>MAX(U41,W41,Z41,AB41,AD41,AG41)</f>
        <v>37.25</v>
      </c>
      <c r="T41" s="4">
        <f>LARGE(CHOOSE({1,2,3,4,5,6},U41,W41,Z41,AB41,AD41,AG41),2)</f>
        <v>0</v>
      </c>
      <c r="U41" s="33"/>
      <c r="V41" s="40"/>
      <c r="W41" s="34"/>
      <c r="X41" s="40"/>
      <c r="Y41" s="4">
        <f>IF(I41="Senior",MAX(U41,W41),U41+W41)</f>
        <v>0</v>
      </c>
      <c r="Z41" s="34"/>
      <c r="AA41" s="40"/>
      <c r="AB41" s="33">
        <v>37.25</v>
      </c>
      <c r="AC41" s="40">
        <v>7.6</v>
      </c>
      <c r="AD41" s="34"/>
      <c r="AE41" s="40"/>
      <c r="AF41" s="4">
        <f>IF(I41="Senior",MAX(AB41,AD41),AB41+AD41)</f>
        <v>37.25</v>
      </c>
      <c r="AG41" s="34"/>
      <c r="AH41" s="37"/>
    </row>
    <row r="42" spans="1:34" x14ac:dyDescent="0.2">
      <c r="A42" s="1" t="str" cm="1">
        <f t="array" ref="A42">IF(J42="","",IF(Q42&lt;&gt;"",SUMPRODUCT((Q$3:Q$47&lt;&gt;"")*(H$3:H$47=H42)*(K$3:K$47&gt;K42)*(J$3:J$47="P"))+1,IF(P42&lt;&gt;"",SUMPRODUCT((P$3:P$47&lt;&gt;"")*(Q$3:Q$47="")*(H$3:H$47=H42)*(K$3:K$47&gt;K42)*(J$3:J$47="P"))+SUMPRODUCT((Q$3:Q$47&lt;&gt;"")*(H$3:H$47=H42)*(J$3:J$47="P"))+1,IF(O42&lt;&gt;"",SUMPRODUCT((O$3:O$47&lt;&gt;"")*(H$3:H$47=H42)*(K$3:K$47&gt;K42)*(J$3:J$47="P"))+1,IF(N42="P",SUMPRODUCT((P$3:P$47&lt;&gt;"")*(Q$3:Q$47="")*(H$3:H$47=H42)*(J$3:J$47="P"))+SUMPRODUCT((Q$3:Q$47&lt;&gt;"")*(H$3:H$47=H42)*(J$3:J$47="P"))+SUMPRODUCT((O$3:O$47&lt;&gt;"")*(H$3:H$47=H42)*(J$3:J$47="P"))+SUMPRODUCT((Q$3:Q$47="")*(P$3:P$47="")*(O$3:O$47="")*(N$3:N$47="P")*(H$3:H$47=H42)*(K$3:K$47&gt;K42)*(J$3:J$47="P"))+IF(I42="L5",SUMPRODUCT((Q$3:Q$47="")*(P$3:P$47="")*(O$3:O$47="")*(N$3:N$47="P")*(H$3:H$47=H42)*(K$3:K$47&lt;K42)*(I$3:I$47&lt;&gt;I42)*(J$3:J$47="P")),-1*SUMPRODUCT((Q$3:Q$47="")*(P$3:P$47="")*(O$3:O$47="")*(N$3:N$47="P")*(H$3:H$47=H42)*(K$3:K$47&gt;K42)*(I$3:I$47="L5")*(J$3:J$47="P")))+1,"")))))</f>
        <v/>
      </c>
      <c r="B42" s="1" t="str" cm="1">
        <f t="array" ref="B42">IF(Q42&lt;&gt;"",SUMPRODUCT((Q$3:Q$47&lt;&gt;"")*(H$3:H$47=H42)*(K$3:K$47&gt;K42))+1,IF(P42&lt;&gt;"",SUMPRODUCT((P$3:P$47&lt;&gt;"")*(Q$3:Q$47="")*(H$3:H$47=H42)*(K$3:K$47&gt;K42))+SUMPRODUCT((Q$3:Q$47&lt;&gt;"")*(H$3:H$47=H42))+1,IF(O42&lt;&gt;"",SUMPRODUCT((O$3:O$47&lt;&gt;"")*(H$3:H$47=H42)*(K$3:K$47&gt;K42))+1,IF(N42="P",SUMPRODUCT((P$3:P$47&lt;&gt;"")*(Q$3:Q$47="")*(H$3:H$47=H42))+SUMPRODUCT((Q$3:Q$47&lt;&gt;"")*(H$3:H$47=H42))+SUMPRODUCT((O$3:O$47&lt;&gt;"")*(H$3:H$47=H42))+SUMPRODUCT((Q$3:Q$47="")*(P$3:P$47="")*(O$3:O$47="")*(N$3:N$47="P")*(H$3:H$47=H42)*(K$3:K$47&gt;K42))+IF(I42="L5",SUMPRODUCT((Q$3:Q$47="")*(P$3:P$47="")*(O$3:O$47="")*(N$3:N$47="P")*(H$3:H$47=H42)*(K$3:K$47&lt;K42)*(I$3:I$47&lt;&gt;I42)),-1*SUMPRODUCT((Q$3:Q$47="")*(P$3:P$47="")*(O$3:O$47="")*(N$3:N$47="P")*(H$3:H$47=H42)*(K$3:K$47&gt;K42)*(I$3:I$47="L5")))+1,""))))</f>
        <v/>
      </c>
      <c r="C42" s="36" t="s">
        <v>416</v>
      </c>
      <c r="D42" s="36" t="str">
        <f>IF(E42="","",VLOOKUP(E42,'Coaching Points'!A:B,2,0)&amp;"/"&amp;VLOOKUP(F42,'Coaching Points'!A:B,2,0))</f>
        <v>AB/AB</v>
      </c>
      <c r="E42" s="36" t="s">
        <v>58</v>
      </c>
      <c r="F42" s="36" t="s">
        <v>58</v>
      </c>
      <c r="G42" s="35">
        <v>2008</v>
      </c>
      <c r="H42" s="1" t="str">
        <f>IF(OR('Qualifying Scores'!$B$1-G42&gt;21,'Qualifying Scores'!$B$1-G42&lt;11),"Not Age Eligible",IF('Qualifying Scores'!$B$1-G42&gt;16,"17-21",IF('Qualifying Scores'!$B$1-G42&gt;14,"15-16",IF('Qualifying Scores'!$B$1-G42&gt;12,"13-14",IF('Qualifying Scores'!$B$1-G42&gt;10,"11-12","Not Age Eligible")))))</f>
        <v>15-16</v>
      </c>
      <c r="I42" s="39" t="s">
        <v>67</v>
      </c>
      <c r="J42" s="43" t="s">
        <v>567</v>
      </c>
      <c r="K42" s="4">
        <f>S42+T42+IF(OR(I42="Junior",I42="Senior"),0.0002,IF(OR(I42="L7",I42="L6"),0.0001,0))+MAX(AB42,AD42,AG42)*0.0000001</f>
        <v>13.920101391999999</v>
      </c>
      <c r="L42" s="3" t="str">
        <f>IF(H42="Not Age Eligible","",IF(MAX(U42,W42,Z42,AB42,AD42,AG42)&gt;=LOOKUP(H42,'Qualifying Scores'!$A$4:$A$7,'Qualifying Scores'!$E$4:$E$7),"P",""))</f>
        <v/>
      </c>
      <c r="M42" s="3" t="str">
        <f>IF(H42="Not Age Eligible","",IF(MAX(V42,X42,AA42,AC42,AE42,AH42)&gt;=LOOKUP(H42,'Qualifying Scores'!$A$10:$A$13,'Qualifying Scores'!$E$10:$E$13),"P",""))</f>
        <v/>
      </c>
      <c r="N42" s="3" t="str">
        <f>IF(H42="Not Age Eligible","",IF(OR(AND(U42&gt;=LOOKUP(H42,'Qualifying Scores'!$A$4:$A$7,'Qualifying Scores'!$E$4:$E$7),V42&gt;=LOOKUP(H42,'Qualifying Scores'!$A$10:$A$13,'Qualifying Scores'!$E$10:$E$13)),AND(W42&gt;=LOOKUP(H42,'Qualifying Scores'!$A$4:$A$7,'Qualifying Scores'!$E$4:$E$7),X42&gt;=LOOKUP(H42,'Qualifying Scores'!$A$10:$A$13,'Qualifying Scores'!$E$10:$E$13)),AND(Z42&gt;=LOOKUP(H42,'Qualifying Scores'!$A$4:$A$7,'Qualifying Scores'!$E$4:$E$7),AA42&gt;=LOOKUP(H42,'Qualifying Scores'!$A$10:$A$13,'Qualifying Scores'!$E$10:$E$13)),AND(AB42&gt;=LOOKUP(H42,'Qualifying Scores'!$A$4:$A$7,'Qualifying Scores'!$E$4:$E$7),AC42&gt;=LOOKUP(H42,'Qualifying Scores'!$A$10:$A$13,'Qualifying Scores'!$E$10:$E$13)),AND(AD42&gt;=LOOKUP(H42,'Qualifying Scores'!$A$4:$A$7,'Qualifying Scores'!$E$4:$E$7),AE42&gt;=LOOKUP(H42,'Qualifying Scores'!$A$10:$A$13,'Qualifying Scores'!$E$10:$E$13)),AND(AG42&gt;=LOOKUP(H42,'Qualifying Scores'!$A$4:$A$7,'Qualifying Scores'!$E$4:$E$7),AH42&gt;=LOOKUP(H42,'Qualifying Scores'!$A$10:$A$13,'Qualifying Scores'!$E$10:$E$13))),"P",""))</f>
        <v/>
      </c>
      <c r="R42" s="1" t="str">
        <f>IF(A42&lt;5,IF(_xlfn.MAXIFS(A:A,H:H,H42)&gt;3,5-A42,_xlfn.MAXIFS(A:A,H:H,H42)+1-A42),"")</f>
        <v/>
      </c>
      <c r="S42" s="4">
        <f>MAX(U42,W42,Z42,AB42,AD42,AG42)</f>
        <v>13.92</v>
      </c>
      <c r="T42" s="4">
        <f>LARGE(CHOOSE({1,2,3,4,5,6},U42,W42,Z42,AB42,AD42,AG42),2)</f>
        <v>0</v>
      </c>
      <c r="U42" s="33"/>
      <c r="V42" s="40"/>
      <c r="W42" s="34"/>
      <c r="X42" s="40"/>
      <c r="Y42" s="4">
        <f>IF(I42="Senior",MAX(U42,W42),U42+W42)</f>
        <v>0</v>
      </c>
      <c r="Z42" s="34"/>
      <c r="AA42" s="40"/>
      <c r="AB42" s="33">
        <v>13.92</v>
      </c>
      <c r="AC42" s="40">
        <v>4.5999999999999996</v>
      </c>
      <c r="AD42" s="34"/>
      <c r="AE42" s="40"/>
      <c r="AF42" s="4">
        <f>IF(I42="Senior",MAX(AB42,AD42),AB42+AD42)</f>
        <v>13.92</v>
      </c>
      <c r="AG42" s="34"/>
      <c r="AH42" s="37"/>
    </row>
    <row r="43" spans="1:34" x14ac:dyDescent="0.2">
      <c r="A43" s="1" t="str" cm="1">
        <f t="array" ref="A43">IF(J43="","",IF(Q43&lt;&gt;"",SUMPRODUCT((Q$3:Q$47&lt;&gt;"")*(H$3:H$47=H43)*(K$3:K$47&gt;K43)*(J$3:J$47="P"))+1,IF(P43&lt;&gt;"",SUMPRODUCT((P$3:P$47&lt;&gt;"")*(Q$3:Q$47="")*(H$3:H$47=H43)*(K$3:K$47&gt;K43)*(J$3:J$47="P"))+SUMPRODUCT((Q$3:Q$47&lt;&gt;"")*(H$3:H$47=H43)*(J$3:J$47="P"))+1,IF(O43&lt;&gt;"",SUMPRODUCT((O$3:O$47&lt;&gt;"")*(H$3:H$47=H43)*(K$3:K$47&gt;K43)*(J$3:J$47="P"))+1,IF(N43="P",SUMPRODUCT((P$3:P$47&lt;&gt;"")*(Q$3:Q$47="")*(H$3:H$47=H43)*(J$3:J$47="P"))+SUMPRODUCT((Q$3:Q$47&lt;&gt;"")*(H$3:H$47=H43)*(J$3:J$47="P"))+SUMPRODUCT((O$3:O$47&lt;&gt;"")*(H$3:H$47=H43)*(J$3:J$47="P"))+SUMPRODUCT((Q$3:Q$47="")*(P$3:P$47="")*(O$3:O$47="")*(N$3:N$47="P")*(H$3:H$47=H43)*(K$3:K$47&gt;K43)*(J$3:J$47="P"))+IF(I43="L5",SUMPRODUCT((Q$3:Q$47="")*(P$3:P$47="")*(O$3:O$47="")*(N$3:N$47="P")*(H$3:H$47=H43)*(K$3:K$47&lt;K43)*(I$3:I$47&lt;&gt;I43)*(J$3:J$47="P")),-1*SUMPRODUCT((Q$3:Q$47="")*(P$3:P$47="")*(O$3:O$47="")*(N$3:N$47="P")*(H$3:H$47=H43)*(K$3:K$47&gt;K43)*(I$3:I$47="L5")*(J$3:J$47="P")))+1,"")))))</f>
        <v/>
      </c>
      <c r="B43" s="1" t="str" cm="1">
        <f t="array" ref="B43">IF(Q43&lt;&gt;"",SUMPRODUCT((Q$3:Q$47&lt;&gt;"")*(H$3:H$47=H43)*(K$3:K$47&gt;K43))+1,IF(P43&lt;&gt;"",SUMPRODUCT((P$3:P$47&lt;&gt;"")*(Q$3:Q$47="")*(H$3:H$47=H43)*(K$3:K$47&gt;K43))+SUMPRODUCT((Q$3:Q$47&lt;&gt;"")*(H$3:H$47=H43))+1,IF(O43&lt;&gt;"",SUMPRODUCT((O$3:O$47&lt;&gt;"")*(H$3:H$47=H43)*(K$3:K$47&gt;K43))+1,IF(N43="P",SUMPRODUCT((P$3:P$47&lt;&gt;"")*(Q$3:Q$47="")*(H$3:H$47=H43))+SUMPRODUCT((Q$3:Q$47&lt;&gt;"")*(H$3:H$47=H43))+SUMPRODUCT((O$3:O$47&lt;&gt;"")*(H$3:H$47=H43))+SUMPRODUCT((Q$3:Q$47="")*(P$3:P$47="")*(O$3:O$47="")*(N$3:N$47="P")*(H$3:H$47=H43)*(K$3:K$47&gt;K43))+IF(I43="L5",SUMPRODUCT((Q$3:Q$47="")*(P$3:P$47="")*(O$3:O$47="")*(N$3:N$47="P")*(H$3:H$47=H43)*(K$3:K$47&lt;K43)*(I$3:I$47&lt;&gt;I43)),-1*SUMPRODUCT((Q$3:Q$47="")*(P$3:P$47="")*(O$3:O$47="")*(N$3:N$47="P")*(H$3:H$47=H43)*(K$3:K$47&gt;K43)*(I$3:I$47="L5")))+1,""))))</f>
        <v/>
      </c>
      <c r="C43" s="36" t="s">
        <v>409</v>
      </c>
      <c r="D43" s="36" t="str">
        <f>IF(E43="","",VLOOKUP(E43,'Coaching Points'!A:B,2,0)&amp;"/"&amp;VLOOKUP(F43,'Coaching Points'!A:B,2,0))</f>
        <v>ON/ON</v>
      </c>
      <c r="E43" s="36" t="s">
        <v>113</v>
      </c>
      <c r="F43" s="36" t="s">
        <v>113</v>
      </c>
      <c r="G43" s="35">
        <v>2007</v>
      </c>
      <c r="H43" s="1" t="str">
        <f>IF(OR('Qualifying Scores'!$B$1-G43&gt;21,'Qualifying Scores'!$B$1-G43&lt;11),"Not Age Eligible",IF('Qualifying Scores'!$B$1-G43&gt;16,"17-21",IF('Qualifying Scores'!$B$1-G43&gt;14,"15-16",IF('Qualifying Scores'!$B$1-G43&gt;12,"13-14",IF('Qualifying Scores'!$B$1-G43&gt;10,"11-12","Not Age Eligible")))))</f>
        <v>15-16</v>
      </c>
      <c r="I43" s="39" t="s">
        <v>66</v>
      </c>
      <c r="J43" s="43"/>
      <c r="K43" s="4">
        <f>S43+T43+IF(OR(I43="Junior",I43="Senior"),0.0002,IF(OR(I43="L7",I43="L6"),0.0001,0))+MAX(AB43,AD43,AG43)*0.0000001</f>
        <v>4.5300004530000004</v>
      </c>
      <c r="L43" s="3" t="str">
        <f>IF(H43="Not Age Eligible","",IF(MAX(U43,W43,Z43,AB43,AD43,AG43)&gt;=LOOKUP(H43,'Qualifying Scores'!$A$4:$A$7,'Qualifying Scores'!$E$4:$E$7),"P",""))</f>
        <v/>
      </c>
      <c r="M43" s="3" t="str">
        <f>IF(H43="Not Age Eligible","",IF(MAX(V43,X43,AA43,AC43,AE43,AH43)&gt;=LOOKUP(H43,'Qualifying Scores'!$A$10:$A$13,'Qualifying Scores'!$E$10:$E$13),"P",""))</f>
        <v/>
      </c>
      <c r="N43" s="3" t="str">
        <f>IF(H43="Not Age Eligible","",IF(OR(AND(U43&gt;=LOOKUP(H43,'Qualifying Scores'!$A$4:$A$7,'Qualifying Scores'!$E$4:$E$7),V43&gt;=LOOKUP(H43,'Qualifying Scores'!$A$10:$A$13,'Qualifying Scores'!$E$10:$E$13)),AND(W43&gt;=LOOKUP(H43,'Qualifying Scores'!$A$4:$A$7,'Qualifying Scores'!$E$4:$E$7),X43&gt;=LOOKUP(H43,'Qualifying Scores'!$A$10:$A$13,'Qualifying Scores'!$E$10:$E$13)),AND(Z43&gt;=LOOKUP(H43,'Qualifying Scores'!$A$4:$A$7,'Qualifying Scores'!$E$4:$E$7),AA43&gt;=LOOKUP(H43,'Qualifying Scores'!$A$10:$A$13,'Qualifying Scores'!$E$10:$E$13)),AND(AB43&gt;=LOOKUP(H43,'Qualifying Scores'!$A$4:$A$7,'Qualifying Scores'!$E$4:$E$7),AC43&gt;=LOOKUP(H43,'Qualifying Scores'!$A$10:$A$13,'Qualifying Scores'!$E$10:$E$13)),AND(AD43&gt;=LOOKUP(H43,'Qualifying Scores'!$A$4:$A$7,'Qualifying Scores'!$E$4:$E$7),AE43&gt;=LOOKUP(H43,'Qualifying Scores'!$A$10:$A$13,'Qualifying Scores'!$E$10:$E$13)),AND(AG43&gt;=LOOKUP(H43,'Qualifying Scores'!$A$4:$A$7,'Qualifying Scores'!$E$4:$E$7),AH43&gt;=LOOKUP(H43,'Qualifying Scores'!$A$10:$A$13,'Qualifying Scores'!$E$10:$E$13))),"P",""))</f>
        <v/>
      </c>
      <c r="R43" s="1" t="str">
        <f>IF(A43&lt;5,IF(_xlfn.MAXIFS(A:A,H:H,H43)&gt;3,5-A43,_xlfn.MAXIFS(A:A,H:H,H43)+1-A43),"")</f>
        <v/>
      </c>
      <c r="S43" s="4">
        <f>MAX(U43,W43,Z43,AB43,AD43,AG43)</f>
        <v>4.53</v>
      </c>
      <c r="T43" s="4">
        <f>LARGE(CHOOSE({1,2,3,4,5,6},U43,W43,Z43,AB43,AD43,AG43),2)</f>
        <v>0</v>
      </c>
      <c r="U43" s="33"/>
      <c r="V43" s="40"/>
      <c r="W43" s="34"/>
      <c r="X43" s="40"/>
      <c r="Y43" s="4">
        <f>IF(I43="Senior",MAX(U43,W43),U43+W43)</f>
        <v>0</v>
      </c>
      <c r="Z43" s="34"/>
      <c r="AA43" s="40"/>
      <c r="AB43" s="33">
        <v>4.53</v>
      </c>
      <c r="AC43" s="40">
        <v>1.3</v>
      </c>
      <c r="AD43" s="34"/>
      <c r="AE43" s="40"/>
      <c r="AF43" s="4">
        <f>IF(I43="Senior",MAX(AB43,AD43),AB43+AD43)</f>
        <v>4.53</v>
      </c>
      <c r="AG43" s="34"/>
      <c r="AH43" s="37"/>
    </row>
    <row r="44" spans="1:34" x14ac:dyDescent="0.2">
      <c r="A44" s="1" t="str" cm="1">
        <f t="array" ref="A44">IF(J44="","",IF(Q44&lt;&gt;"",SUMPRODUCT((Q$3:Q$47&lt;&gt;"")*(H$3:H$47=H44)*(K$3:K$47&gt;K44)*(J$3:J$47="P"))+1,IF(P44&lt;&gt;"",SUMPRODUCT((P$3:P$47&lt;&gt;"")*(Q$3:Q$47="")*(H$3:H$47=H44)*(K$3:K$47&gt;K44)*(J$3:J$47="P"))+SUMPRODUCT((Q$3:Q$47&lt;&gt;"")*(H$3:H$47=H44)*(J$3:J$47="P"))+1,IF(O44&lt;&gt;"",SUMPRODUCT((O$3:O$47&lt;&gt;"")*(H$3:H$47=H44)*(K$3:K$47&gt;K44)*(J$3:J$47="P"))+1,IF(N44="P",SUMPRODUCT((P$3:P$47&lt;&gt;"")*(Q$3:Q$47="")*(H$3:H$47=H44)*(J$3:J$47="P"))+SUMPRODUCT((Q$3:Q$47&lt;&gt;"")*(H$3:H$47=H44)*(J$3:J$47="P"))+SUMPRODUCT((O$3:O$47&lt;&gt;"")*(H$3:H$47=H44)*(J$3:J$47="P"))+SUMPRODUCT((Q$3:Q$47="")*(P$3:P$47="")*(O$3:O$47="")*(N$3:N$47="P")*(H$3:H$47=H44)*(K$3:K$47&gt;K44)*(J$3:J$47="P"))+IF(I44="L5",SUMPRODUCT((Q$3:Q$47="")*(P$3:P$47="")*(O$3:O$47="")*(N$3:N$47="P")*(H$3:H$47=H44)*(K$3:K$47&lt;K44)*(I$3:I$47&lt;&gt;I44)*(J$3:J$47="P")),-1*SUMPRODUCT((Q$3:Q$47="")*(P$3:P$47="")*(O$3:O$47="")*(N$3:N$47="P")*(H$3:H$47=H44)*(K$3:K$47&gt;K44)*(I$3:I$47="L5")*(J$3:J$47="P")))+1,"")))))</f>
        <v/>
      </c>
      <c r="B44" s="1" t="str" cm="1">
        <f t="array" ref="B44">IF(Q44&lt;&gt;"",SUMPRODUCT((Q$3:Q$47&lt;&gt;"")*(H$3:H$47=H44)*(K$3:K$47&gt;K44))+1,IF(P44&lt;&gt;"",SUMPRODUCT((P$3:P$47&lt;&gt;"")*(Q$3:Q$47="")*(H$3:H$47=H44)*(K$3:K$47&gt;K44))+SUMPRODUCT((Q$3:Q$47&lt;&gt;"")*(H$3:H$47=H44))+1,IF(O44&lt;&gt;"",SUMPRODUCT((O$3:O$47&lt;&gt;"")*(H$3:H$47=H44)*(K$3:K$47&gt;K44))+1,IF(N44="P",SUMPRODUCT((P$3:P$47&lt;&gt;"")*(Q$3:Q$47="")*(H$3:H$47=H44))+SUMPRODUCT((Q$3:Q$47&lt;&gt;"")*(H$3:H$47=H44))+SUMPRODUCT((O$3:O$47&lt;&gt;"")*(H$3:H$47=H44))+SUMPRODUCT((Q$3:Q$47="")*(P$3:P$47="")*(O$3:O$47="")*(N$3:N$47="P")*(H$3:H$47=H44)*(K$3:K$47&gt;K44))+IF(I44="L5",SUMPRODUCT((Q$3:Q$47="")*(P$3:P$47="")*(O$3:O$47="")*(N$3:N$47="P")*(H$3:H$47=H44)*(K$3:K$47&lt;K44)*(I$3:I$47&lt;&gt;I44)),-1*SUMPRODUCT((Q$3:Q$47="")*(P$3:P$47="")*(O$3:O$47="")*(N$3:N$47="P")*(H$3:H$47=H44)*(K$3:K$47&gt;K44)*(I$3:I$47="L5")))+1,""))))</f>
        <v/>
      </c>
      <c r="C44" s="36" t="s">
        <v>410</v>
      </c>
      <c r="D44" s="36" t="str">
        <f>IF(E44="","",VLOOKUP(E44,'Coaching Points'!A:B,2,0)&amp;"/"&amp;VLOOKUP(F44,'Coaching Points'!A:B,2,0))</f>
        <v>BC/BC</v>
      </c>
      <c r="E44" s="36" t="s">
        <v>41</v>
      </c>
      <c r="F44" s="36" t="s">
        <v>41</v>
      </c>
      <c r="G44" s="35">
        <v>2009</v>
      </c>
      <c r="H44" s="1" t="str">
        <f>IF(OR('Qualifying Scores'!$B$1-G44&gt;21,'Qualifying Scores'!$B$1-G44&lt;11),"Not Age Eligible",IF('Qualifying Scores'!$B$1-G44&gt;16,"17-21",IF('Qualifying Scores'!$B$1-G44&gt;14,"15-16",IF('Qualifying Scores'!$B$1-G44&gt;12,"13-14",IF('Qualifying Scores'!$B$1-G44&gt;10,"11-12","Not Age Eligible")))))</f>
        <v>13-14</v>
      </c>
      <c r="I44" s="39" t="s">
        <v>67</v>
      </c>
      <c r="J44" s="43" t="s">
        <v>567</v>
      </c>
      <c r="K44" s="4">
        <f>S44+T44+IF(OR(I44="Junior",I44="Senior"),0.0002,IF(OR(I44="L7",I44="L6"),0.0001,0))+MAX(AB44,AD44,AG44)*0.0000001</f>
        <v>79.660104015000002</v>
      </c>
      <c r="L44" s="3" t="str">
        <f>IF(H44="Not Age Eligible","",IF(MAX(U44,W44,Z44,AB44,AD44,AG44)&gt;=LOOKUP(H44,'Qualifying Scores'!$A$4:$A$7,'Qualifying Scores'!$E$4:$E$7),"P",""))</f>
        <v/>
      </c>
      <c r="M44" s="3" t="str">
        <f>IF(H44="Not Age Eligible","",IF(MAX(V44,X44,AA44,AC44,AE44,AH44)&gt;=LOOKUP(H44,'Qualifying Scores'!$A$10:$A$13,'Qualifying Scores'!$E$10:$E$13),"P",""))</f>
        <v>P</v>
      </c>
      <c r="N44" s="3" t="str">
        <f>IF(H44="Not Age Eligible","",IF(OR(AND(U44&gt;=LOOKUP(H44,'Qualifying Scores'!$A$4:$A$7,'Qualifying Scores'!$E$4:$E$7),V44&gt;=LOOKUP(H44,'Qualifying Scores'!$A$10:$A$13,'Qualifying Scores'!$E$10:$E$13)),AND(W44&gt;=LOOKUP(H44,'Qualifying Scores'!$A$4:$A$7,'Qualifying Scores'!$E$4:$E$7),X44&gt;=LOOKUP(H44,'Qualifying Scores'!$A$10:$A$13,'Qualifying Scores'!$E$10:$E$13)),AND(Z44&gt;=LOOKUP(H44,'Qualifying Scores'!$A$4:$A$7,'Qualifying Scores'!$E$4:$E$7),AA44&gt;=LOOKUP(H44,'Qualifying Scores'!$A$10:$A$13,'Qualifying Scores'!$E$10:$E$13)),AND(AB44&gt;=LOOKUP(H44,'Qualifying Scores'!$A$4:$A$7,'Qualifying Scores'!$E$4:$E$7),AC44&gt;=LOOKUP(H44,'Qualifying Scores'!$A$10:$A$13,'Qualifying Scores'!$E$10:$E$13)),AND(AD44&gt;=LOOKUP(H44,'Qualifying Scores'!$A$4:$A$7,'Qualifying Scores'!$E$4:$E$7),AE44&gt;=LOOKUP(H44,'Qualifying Scores'!$A$10:$A$13,'Qualifying Scores'!$E$10:$E$13)),AND(AG44&gt;=LOOKUP(H44,'Qualifying Scores'!$A$4:$A$7,'Qualifying Scores'!$E$4:$E$7),AH44&gt;=LOOKUP(H44,'Qualifying Scores'!$A$10:$A$13,'Qualifying Scores'!$E$10:$E$13))),"P",""))</f>
        <v/>
      </c>
      <c r="R44" s="1" t="str">
        <f>IF(A44&lt;5,IF(_xlfn.MAXIFS(A:A,H:H,H44)&gt;3,5-A44,_xlfn.MAXIFS(A:A,H:H,H44)+1-A44),"")</f>
        <v/>
      </c>
      <c r="S44" s="4">
        <f>MAX(U44,W44,Z44,AB44,AD44,AG44)</f>
        <v>40.15</v>
      </c>
      <c r="T44" s="4">
        <f>LARGE(CHOOSE({1,2,3,4,5,6},U44,W44,Z44,AB44,AD44,AG44),2)</f>
        <v>39.51</v>
      </c>
      <c r="U44" s="33"/>
      <c r="V44" s="40"/>
      <c r="W44" s="34"/>
      <c r="X44" s="40"/>
      <c r="Y44" s="4">
        <f>IF(I44="Senior",MAX(U44,W44),U44+W44)</f>
        <v>0</v>
      </c>
      <c r="Z44" s="34"/>
      <c r="AA44" s="40"/>
      <c r="AB44" s="33">
        <v>39.51</v>
      </c>
      <c r="AC44" s="40">
        <v>9.1</v>
      </c>
      <c r="AD44" s="34"/>
      <c r="AE44" s="40"/>
      <c r="AF44" s="4">
        <f>IF(I44="Senior",MAX(AB44,AD44),AB44+AD44)</f>
        <v>39.51</v>
      </c>
      <c r="AG44" s="34">
        <v>40.15</v>
      </c>
      <c r="AH44" s="37">
        <v>9.1</v>
      </c>
    </row>
    <row r="45" spans="1:34" x14ac:dyDescent="0.2">
      <c r="A45" s="1" t="str" cm="1">
        <f t="array" ref="A45">IF(J45="","",IF(Q45&lt;&gt;"",SUMPRODUCT((Q$3:Q$47&lt;&gt;"")*(H$3:H$47=H45)*(K$3:K$47&gt;K45)*(J$3:J$47="P"))+1,IF(P45&lt;&gt;"",SUMPRODUCT((P$3:P$47&lt;&gt;"")*(Q$3:Q$47="")*(H$3:H$47=H45)*(K$3:K$47&gt;K45)*(J$3:J$47="P"))+SUMPRODUCT((Q$3:Q$47&lt;&gt;"")*(H$3:H$47=H45)*(J$3:J$47="P"))+1,IF(O45&lt;&gt;"",SUMPRODUCT((O$3:O$47&lt;&gt;"")*(H$3:H$47=H45)*(K$3:K$47&gt;K45)*(J$3:J$47="P"))+1,IF(N45="P",SUMPRODUCT((P$3:P$47&lt;&gt;"")*(Q$3:Q$47="")*(H$3:H$47=H45)*(J$3:J$47="P"))+SUMPRODUCT((Q$3:Q$47&lt;&gt;"")*(H$3:H$47=H45)*(J$3:J$47="P"))+SUMPRODUCT((O$3:O$47&lt;&gt;"")*(H$3:H$47=H45)*(J$3:J$47="P"))+SUMPRODUCT((Q$3:Q$47="")*(P$3:P$47="")*(O$3:O$47="")*(N$3:N$47="P")*(H$3:H$47=H45)*(K$3:K$47&gt;K45)*(J$3:J$47="P"))+IF(I45="L5",SUMPRODUCT((Q$3:Q$47="")*(P$3:P$47="")*(O$3:O$47="")*(N$3:N$47="P")*(H$3:H$47=H45)*(K$3:K$47&lt;K45)*(I$3:I$47&lt;&gt;I45)*(J$3:J$47="P")),-1*SUMPRODUCT((Q$3:Q$47="")*(P$3:P$47="")*(O$3:O$47="")*(N$3:N$47="P")*(H$3:H$47=H45)*(K$3:K$47&gt;K45)*(I$3:I$47="L5")*(J$3:J$47="P")))+1,"")))))</f>
        <v/>
      </c>
      <c r="B45" s="1" t="str" cm="1">
        <f t="array" ref="B45">IF(Q45&lt;&gt;"",SUMPRODUCT((Q$3:Q$47&lt;&gt;"")*(H$3:H$47=H45)*(K$3:K$47&gt;K45))+1,IF(P45&lt;&gt;"",SUMPRODUCT((P$3:P$47&lt;&gt;"")*(Q$3:Q$47="")*(H$3:H$47=H45)*(K$3:K$47&gt;K45))+SUMPRODUCT((Q$3:Q$47&lt;&gt;"")*(H$3:H$47=H45))+1,IF(O45&lt;&gt;"",SUMPRODUCT((O$3:O$47&lt;&gt;"")*(H$3:H$47=H45)*(K$3:K$47&gt;K45))+1,IF(N45="P",SUMPRODUCT((P$3:P$47&lt;&gt;"")*(Q$3:Q$47="")*(H$3:H$47=H45))+SUMPRODUCT((Q$3:Q$47&lt;&gt;"")*(H$3:H$47=H45))+SUMPRODUCT((O$3:O$47&lt;&gt;"")*(H$3:H$47=H45))+SUMPRODUCT((Q$3:Q$47="")*(P$3:P$47="")*(O$3:O$47="")*(N$3:N$47="P")*(H$3:H$47=H45)*(K$3:K$47&gt;K45))+IF(I45="L5",SUMPRODUCT((Q$3:Q$47="")*(P$3:P$47="")*(O$3:O$47="")*(N$3:N$47="P")*(H$3:H$47=H45)*(K$3:K$47&lt;K45)*(I$3:I$47&lt;&gt;I45)),-1*SUMPRODUCT((Q$3:Q$47="")*(P$3:P$47="")*(O$3:O$47="")*(N$3:N$47="P")*(H$3:H$47=H45)*(K$3:K$47&gt;K45)*(I$3:I$47="L5")))+1,""))))</f>
        <v/>
      </c>
      <c r="C45" s="36" t="s">
        <v>338</v>
      </c>
      <c r="D45" s="36" t="str">
        <f>IF(E45="","",VLOOKUP(E45,'Coaching Points'!A:B,2,0)&amp;"/"&amp;VLOOKUP(F45,'Coaching Points'!A:B,2,0))</f>
        <v>AB/AB</v>
      </c>
      <c r="E45" s="36" t="s">
        <v>40</v>
      </c>
      <c r="F45" s="36" t="s">
        <v>40</v>
      </c>
      <c r="G45" s="35">
        <v>2009</v>
      </c>
      <c r="H45" s="1" t="str">
        <f>IF(OR('Qualifying Scores'!$B$1-G45&gt;21,'Qualifying Scores'!$B$1-G45&lt;11),"Not Age Eligible",IF('Qualifying Scores'!$B$1-G45&gt;16,"17-21",IF('Qualifying Scores'!$B$1-G45&gt;14,"15-16",IF('Qualifying Scores'!$B$1-G45&gt;12,"13-14",IF('Qualifying Scores'!$B$1-G45&gt;10,"11-12","Not Age Eligible")))))</f>
        <v>13-14</v>
      </c>
      <c r="I45" s="39" t="s">
        <v>66</v>
      </c>
      <c r="J45" s="43"/>
      <c r="K45" s="4">
        <f>S45+T45+IF(OR(I45="Junior",I45="Senior"),0.0002,IF(OR(I45="L7",I45="L6"),0.0001,0))+MAX(AB45,AD45,AG45)*0.0000001</f>
        <v>79.330003980000001</v>
      </c>
      <c r="L45" s="3" t="str">
        <f>IF(H45="Not Age Eligible","",IF(MAX(U45,W45,Z45,AB45,AD45,AG45)&gt;=LOOKUP(H45,'Qualifying Scores'!$A$4:$A$7,'Qualifying Scores'!$E$4:$E$7),"P",""))</f>
        <v/>
      </c>
      <c r="M45" s="3" t="str">
        <f>IF(H45="Not Age Eligible","",IF(MAX(V45,X45,AA45,AC45,AE45,AH45)&gt;=LOOKUP(H45,'Qualifying Scores'!$A$10:$A$13,'Qualifying Scores'!$E$10:$E$13),"P",""))</f>
        <v/>
      </c>
      <c r="N45" s="3" t="str">
        <f>IF(H45="Not Age Eligible","",IF(OR(AND(U45&gt;=LOOKUP(H45,'Qualifying Scores'!$A$4:$A$7,'Qualifying Scores'!$E$4:$E$7),V45&gt;=LOOKUP(H45,'Qualifying Scores'!$A$10:$A$13,'Qualifying Scores'!$E$10:$E$13)),AND(W45&gt;=LOOKUP(H45,'Qualifying Scores'!$A$4:$A$7,'Qualifying Scores'!$E$4:$E$7),X45&gt;=LOOKUP(H45,'Qualifying Scores'!$A$10:$A$13,'Qualifying Scores'!$E$10:$E$13)),AND(Z45&gt;=LOOKUP(H45,'Qualifying Scores'!$A$4:$A$7,'Qualifying Scores'!$E$4:$E$7),AA45&gt;=LOOKUP(H45,'Qualifying Scores'!$A$10:$A$13,'Qualifying Scores'!$E$10:$E$13)),AND(AB45&gt;=LOOKUP(H45,'Qualifying Scores'!$A$4:$A$7,'Qualifying Scores'!$E$4:$E$7),AC45&gt;=LOOKUP(H45,'Qualifying Scores'!$A$10:$A$13,'Qualifying Scores'!$E$10:$E$13)),AND(AD45&gt;=LOOKUP(H45,'Qualifying Scores'!$A$4:$A$7,'Qualifying Scores'!$E$4:$E$7),AE45&gt;=LOOKUP(H45,'Qualifying Scores'!$A$10:$A$13,'Qualifying Scores'!$E$10:$E$13)),AND(AG45&gt;=LOOKUP(H45,'Qualifying Scores'!$A$4:$A$7,'Qualifying Scores'!$E$4:$E$7),AH45&gt;=LOOKUP(H45,'Qualifying Scores'!$A$10:$A$13,'Qualifying Scores'!$E$10:$E$13))),"P",""))</f>
        <v/>
      </c>
      <c r="R45" s="1" t="str">
        <f>IF(A45&lt;5,IF(_xlfn.MAXIFS(A:A,H:H,H45)&gt;3,5-A45,_xlfn.MAXIFS(A:A,H:H,H45)+1-A45),"")</f>
        <v/>
      </c>
      <c r="S45" s="4">
        <f>MAX(U45,W45,Z45,AB45,AD45,AG45)</f>
        <v>39.799999999999997</v>
      </c>
      <c r="T45" s="4">
        <f>LARGE(CHOOSE({1,2,3,4,5,6},U45,W45,Z45,AB45,AD45,AG45),2)</f>
        <v>39.53</v>
      </c>
      <c r="U45" s="33">
        <v>37.200000000000003</v>
      </c>
      <c r="V45" s="40">
        <v>6.9</v>
      </c>
      <c r="W45" s="34"/>
      <c r="X45" s="40"/>
      <c r="Y45" s="4">
        <f>IF(I45="Senior",MAX(U45,W45),U45+W45)</f>
        <v>37.200000000000003</v>
      </c>
      <c r="Z45" s="34">
        <v>35.43</v>
      </c>
      <c r="AA45" s="40">
        <v>6.9</v>
      </c>
      <c r="AB45" s="33">
        <v>39.53</v>
      </c>
      <c r="AC45" s="40">
        <v>6.9</v>
      </c>
      <c r="AD45" s="34"/>
      <c r="AE45" s="40"/>
      <c r="AF45" s="4">
        <f>IF(I45="Senior",MAX(AB45,AD45),AB45+AD45)</f>
        <v>39.53</v>
      </c>
      <c r="AG45" s="34">
        <v>39.799999999999997</v>
      </c>
      <c r="AH45" s="37">
        <v>6.9</v>
      </c>
    </row>
    <row r="46" spans="1:34" x14ac:dyDescent="0.2">
      <c r="A46" s="1" t="str" cm="1">
        <f t="array" ref="A46">IF(J46="","",IF(Q46&lt;&gt;"",SUMPRODUCT((Q$3:Q$47&lt;&gt;"")*(H$3:H$47=H46)*(K$3:K$47&gt;K46)*(J$3:J$47="P"))+1,IF(P46&lt;&gt;"",SUMPRODUCT((P$3:P$47&lt;&gt;"")*(Q$3:Q$47="")*(H$3:H$47=H46)*(K$3:K$47&gt;K46)*(J$3:J$47="P"))+SUMPRODUCT((Q$3:Q$47&lt;&gt;"")*(H$3:H$47=H46)*(J$3:J$47="P"))+1,IF(O46&lt;&gt;"",SUMPRODUCT((O$3:O$47&lt;&gt;"")*(H$3:H$47=H46)*(K$3:K$47&gt;K46)*(J$3:J$47="P"))+1,IF(N46="P",SUMPRODUCT((P$3:P$47&lt;&gt;"")*(Q$3:Q$47="")*(H$3:H$47=H46)*(J$3:J$47="P"))+SUMPRODUCT((Q$3:Q$47&lt;&gt;"")*(H$3:H$47=H46)*(J$3:J$47="P"))+SUMPRODUCT((O$3:O$47&lt;&gt;"")*(H$3:H$47=H46)*(J$3:J$47="P"))+SUMPRODUCT((Q$3:Q$47="")*(P$3:P$47="")*(O$3:O$47="")*(N$3:N$47="P")*(H$3:H$47=H46)*(K$3:K$47&gt;K46)*(J$3:J$47="P"))+IF(I46="L5",SUMPRODUCT((Q$3:Q$47="")*(P$3:P$47="")*(O$3:O$47="")*(N$3:N$47="P")*(H$3:H$47=H46)*(K$3:K$47&lt;K46)*(I$3:I$47&lt;&gt;I46)*(J$3:J$47="P")),-1*SUMPRODUCT((Q$3:Q$47="")*(P$3:P$47="")*(O$3:O$47="")*(N$3:N$47="P")*(H$3:H$47=H46)*(K$3:K$47&gt;K46)*(I$3:I$47="L5")*(J$3:J$47="P")))+1,"")))))</f>
        <v/>
      </c>
      <c r="B46" s="1" t="str" cm="1">
        <f t="array" ref="B46">IF(Q46&lt;&gt;"",SUMPRODUCT((Q$3:Q$47&lt;&gt;"")*(H$3:H$47=H46)*(K$3:K$47&gt;K46))+1,IF(P46&lt;&gt;"",SUMPRODUCT((P$3:P$47&lt;&gt;"")*(Q$3:Q$47="")*(H$3:H$47=H46)*(K$3:K$47&gt;K46))+SUMPRODUCT((Q$3:Q$47&lt;&gt;"")*(H$3:H$47=H46))+1,IF(O46&lt;&gt;"",SUMPRODUCT((O$3:O$47&lt;&gt;"")*(H$3:H$47=H46)*(K$3:K$47&gt;K46))+1,IF(N46="P",SUMPRODUCT((P$3:P$47&lt;&gt;"")*(Q$3:Q$47="")*(H$3:H$47=H46))+SUMPRODUCT((Q$3:Q$47&lt;&gt;"")*(H$3:H$47=H46))+SUMPRODUCT((O$3:O$47&lt;&gt;"")*(H$3:H$47=H46))+SUMPRODUCT((Q$3:Q$47="")*(P$3:P$47="")*(O$3:O$47="")*(N$3:N$47="P")*(H$3:H$47=H46)*(K$3:K$47&gt;K46))+IF(I46="L5",SUMPRODUCT((Q$3:Q$47="")*(P$3:P$47="")*(O$3:O$47="")*(N$3:N$47="P")*(H$3:H$47=H46)*(K$3:K$47&lt;K46)*(I$3:I$47&lt;&gt;I46)),-1*SUMPRODUCT((Q$3:Q$47="")*(P$3:P$47="")*(O$3:O$47="")*(N$3:N$47="P")*(H$3:H$47=H46)*(K$3:K$47&gt;K46)*(I$3:I$47="L5")))+1,""))))</f>
        <v/>
      </c>
      <c r="C46" s="36" t="s">
        <v>401</v>
      </c>
      <c r="D46" s="36" t="str">
        <f>IF(E46="","",VLOOKUP(E46,'Coaching Points'!A:B,2,0)&amp;"/"&amp;VLOOKUP(F46,'Coaching Points'!A:B,2,0))</f>
        <v>AB/AB</v>
      </c>
      <c r="E46" s="36" t="s">
        <v>29</v>
      </c>
      <c r="F46" s="36" t="s">
        <v>29</v>
      </c>
      <c r="G46" s="35">
        <v>2009</v>
      </c>
      <c r="H46" s="1" t="str">
        <f>IF(OR('Qualifying Scores'!$B$1-G46&gt;21,'Qualifying Scores'!$B$1-G46&lt;11),"Not Age Eligible",IF('Qualifying Scores'!$B$1-G46&gt;16,"17-21",IF('Qualifying Scores'!$B$1-G46&gt;14,"15-16",IF('Qualifying Scores'!$B$1-G46&gt;12,"13-14",IF('Qualifying Scores'!$B$1-G46&gt;10,"11-12","Not Age Eligible")))))</f>
        <v>13-14</v>
      </c>
      <c r="I46" s="39" t="s">
        <v>66</v>
      </c>
      <c r="J46" s="43"/>
      <c r="K46" s="4">
        <f>S46+T46+IF(OR(I46="Junior",I46="Senior"),0.0002,IF(OR(I46="L7",I46="L6"),0.0001,0))+MAX(AB46,AD46,AG46)*0.0000001</f>
        <v>37.450003745000004</v>
      </c>
      <c r="L46" s="3" t="str">
        <f>IF(H46="Not Age Eligible","",IF(MAX(U46,W46,Z46,AB46,AD46,AG46)&gt;=LOOKUP(H46,'Qualifying Scores'!$A$4:$A$7,'Qualifying Scores'!$E$4:$E$7),"P",""))</f>
        <v/>
      </c>
      <c r="M46" s="3" t="str">
        <f>IF(H46="Not Age Eligible","",IF(MAX(V46,X46,AA46,AC46,AE46,AH46)&gt;=LOOKUP(H46,'Qualifying Scores'!$A$10:$A$13,'Qualifying Scores'!$E$10:$E$13),"P",""))</f>
        <v/>
      </c>
      <c r="N46" s="3" t="str">
        <f>IF(H46="Not Age Eligible","",IF(OR(AND(U46&gt;=LOOKUP(H46,'Qualifying Scores'!$A$4:$A$7,'Qualifying Scores'!$E$4:$E$7),V46&gt;=LOOKUP(H46,'Qualifying Scores'!$A$10:$A$13,'Qualifying Scores'!$E$10:$E$13)),AND(W46&gt;=LOOKUP(H46,'Qualifying Scores'!$A$4:$A$7,'Qualifying Scores'!$E$4:$E$7),X46&gt;=LOOKUP(H46,'Qualifying Scores'!$A$10:$A$13,'Qualifying Scores'!$E$10:$E$13)),AND(Z46&gt;=LOOKUP(H46,'Qualifying Scores'!$A$4:$A$7,'Qualifying Scores'!$E$4:$E$7),AA46&gt;=LOOKUP(H46,'Qualifying Scores'!$A$10:$A$13,'Qualifying Scores'!$E$10:$E$13)),AND(AB46&gt;=LOOKUP(H46,'Qualifying Scores'!$A$4:$A$7,'Qualifying Scores'!$E$4:$E$7),AC46&gt;=LOOKUP(H46,'Qualifying Scores'!$A$10:$A$13,'Qualifying Scores'!$E$10:$E$13)),AND(AD46&gt;=LOOKUP(H46,'Qualifying Scores'!$A$4:$A$7,'Qualifying Scores'!$E$4:$E$7),AE46&gt;=LOOKUP(H46,'Qualifying Scores'!$A$10:$A$13,'Qualifying Scores'!$E$10:$E$13)),AND(AG46&gt;=LOOKUP(H46,'Qualifying Scores'!$A$4:$A$7,'Qualifying Scores'!$E$4:$E$7),AH46&gt;=LOOKUP(H46,'Qualifying Scores'!$A$10:$A$13,'Qualifying Scores'!$E$10:$E$13))),"P",""))</f>
        <v/>
      </c>
      <c r="R46" s="1" t="str">
        <f>IF(A46&lt;5,IF(_xlfn.MAXIFS(A:A,H:H,H46)&gt;3,5-A46,_xlfn.MAXIFS(A:A,H:H,H46)+1-A46),"")</f>
        <v/>
      </c>
      <c r="S46" s="4">
        <f>MAX(U46,W46,Z46,AB46,AD46,AG46)</f>
        <v>37.450000000000003</v>
      </c>
      <c r="T46" s="4">
        <f>LARGE(CHOOSE({1,2,3,4,5,6},U46,W46,Z46,AB46,AD46,AG46),2)</f>
        <v>0</v>
      </c>
      <c r="U46" s="33"/>
      <c r="V46" s="40"/>
      <c r="W46" s="34"/>
      <c r="X46" s="40"/>
      <c r="Y46" s="4">
        <f>IF(I46="Senior",MAX(U46,W46),U46+W46)</f>
        <v>0</v>
      </c>
      <c r="Z46" s="34"/>
      <c r="AA46" s="40"/>
      <c r="AB46" s="33">
        <v>37.450000000000003</v>
      </c>
      <c r="AC46" s="40">
        <v>6</v>
      </c>
      <c r="AD46" s="34"/>
      <c r="AE46" s="40"/>
      <c r="AF46" s="4">
        <f>IF(I46="Senior",MAX(AB46,AD46),AB46+AD46)</f>
        <v>37.450000000000003</v>
      </c>
      <c r="AG46" s="34"/>
      <c r="AH46" s="37"/>
    </row>
    <row r="47" spans="1:34" x14ac:dyDescent="0.2">
      <c r="B47" s="1"/>
      <c r="H47" s="1"/>
      <c r="I47" s="39"/>
      <c r="J47" s="43"/>
      <c r="K47" s="4"/>
      <c r="L47" s="3"/>
      <c r="M47" s="3"/>
      <c r="S47" s="4"/>
      <c r="T47" s="4"/>
      <c r="U47" s="33"/>
      <c r="V47" s="40"/>
      <c r="W47" s="34"/>
      <c r="X47" s="40"/>
      <c r="Y47" s="4"/>
      <c r="Z47" s="34"/>
      <c r="AA47" s="40"/>
      <c r="AB47" s="33"/>
      <c r="AC47" s="40"/>
      <c r="AD47" s="34"/>
      <c r="AE47" s="40"/>
      <c r="AF47" s="4"/>
      <c r="AG47" s="34"/>
      <c r="AH47" s="37"/>
    </row>
    <row r="48" spans="1:34" x14ac:dyDescent="0.2">
      <c r="B48" s="1"/>
      <c r="H48" s="1"/>
      <c r="I48" s="39"/>
      <c r="J48" s="43"/>
      <c r="K48" s="4"/>
      <c r="L48" s="3"/>
      <c r="M48" s="3"/>
      <c r="S48" s="4"/>
      <c r="T48" s="4"/>
      <c r="U48" s="33"/>
      <c r="V48" s="40"/>
      <c r="W48" s="34"/>
      <c r="X48" s="40"/>
      <c r="Y48" s="4"/>
      <c r="Z48" s="34"/>
      <c r="AA48" s="40"/>
      <c r="AB48" s="33"/>
      <c r="AC48" s="40"/>
      <c r="AD48" s="34"/>
      <c r="AE48" s="40"/>
      <c r="AF48" s="4"/>
      <c r="AG48" s="34"/>
      <c r="AH48" s="37"/>
    </row>
    <row r="49" spans="2:34" x14ac:dyDescent="0.2">
      <c r="B49" s="1"/>
      <c r="H49" s="1"/>
      <c r="I49" s="39"/>
      <c r="J49" s="43"/>
      <c r="K49" s="4"/>
      <c r="L49" s="3"/>
      <c r="M49" s="3"/>
      <c r="S49" s="4"/>
      <c r="T49" s="4"/>
      <c r="U49" s="33"/>
      <c r="V49" s="40"/>
      <c r="W49" s="34"/>
      <c r="X49" s="40"/>
      <c r="Y49" s="4"/>
      <c r="Z49" s="34"/>
      <c r="AA49" s="40"/>
      <c r="AB49" s="33"/>
      <c r="AC49" s="40"/>
      <c r="AD49" s="34"/>
      <c r="AE49" s="40"/>
      <c r="AF49" s="4"/>
      <c r="AG49" s="34"/>
      <c r="AH49" s="37"/>
    </row>
  </sheetData>
  <sheetProtection sheet="1" formatCells="0" formatColumns="0" formatRows="0"/>
  <autoFilter ref="A1:AH2" xr:uid="{07F1F569-3059-1347-B0D3-D2EEAB6C4BF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3:AH46">
      <sortCondition descending="1" ref="H1:H47"/>
    </sortState>
  </autoFilter>
  <mergeCells count="22"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</mergeCells>
  <phoneticPr fontId="13" type="noConversion"/>
  <conditionalFormatting sqref="A1:R2 U1:XFD2 A47:XFD1048576 A3:AI46 AL3:XFD46">
    <cfRule type="expression" dxfId="43" priority="13">
      <formula>IF($H1="17-21",1,0)</formula>
    </cfRule>
    <cfRule type="expression" dxfId="42" priority="14">
      <formula>IF($H1="15-16",1,0)</formula>
    </cfRule>
    <cfRule type="expression" dxfId="41" priority="15">
      <formula>IF($H1="13-14",1,0)</formula>
    </cfRule>
    <cfRule type="expression" dxfId="40" priority="16">
      <formula>IF($H1="11-12",1,0)</formula>
    </cfRule>
  </conditionalFormatting>
  <conditionalFormatting sqref="S1:T2">
    <cfRule type="expression" dxfId="39" priority="5">
      <formula>IF($H1="17-21",1,0)</formula>
    </cfRule>
    <cfRule type="expression" dxfId="38" priority="6">
      <formula>IF($H1="15-16",1,0)</formula>
    </cfRule>
    <cfRule type="expression" dxfId="37" priority="7">
      <formula>IF($H1="13-14",1,0)</formula>
    </cfRule>
    <cfRule type="expression" dxfId="36" priority="8">
      <formula>IF($H1="11-12",1,0)</formula>
    </cfRule>
  </conditionalFormatting>
  <conditionalFormatting sqref="AJ3:AK46">
    <cfRule type="expression" dxfId="35" priority="1">
      <formula>IF($H3="17-21",1,0)</formula>
    </cfRule>
    <cfRule type="expression" dxfId="34" priority="2">
      <formula>IF($H3="15-16",1,0)</formula>
    </cfRule>
    <cfRule type="expression" dxfId="33" priority="3">
      <formula>IF($H3="13-14",1,0)</formula>
    </cfRule>
    <cfRule type="expression" dxfId="32" priority="4">
      <formula>IF($H3="11-12",1,0)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A121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7.5" style="36" bestFit="1" customWidth="1"/>
    <col min="4" max="4" width="8.6640625" style="36" bestFit="1" customWidth="1"/>
    <col min="5" max="5" width="18.83203125" style="36" bestFit="1" customWidth="1"/>
    <col min="6" max="6" width="5.33203125" style="35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x14ac:dyDescent="0.2">
      <c r="A1" s="73" t="s">
        <v>208</v>
      </c>
      <c r="B1" s="73" t="s">
        <v>207</v>
      </c>
      <c r="C1" s="67" t="s">
        <v>0</v>
      </c>
      <c r="D1" s="67" t="s">
        <v>1</v>
      </c>
      <c r="E1" s="69" t="s">
        <v>2</v>
      </c>
      <c r="F1" s="71" t="s">
        <v>4</v>
      </c>
      <c r="G1" s="67" t="s">
        <v>5</v>
      </c>
      <c r="H1" s="67" t="s">
        <v>56</v>
      </c>
      <c r="I1" s="67" t="s">
        <v>42</v>
      </c>
      <c r="J1" s="76" t="s">
        <v>13</v>
      </c>
      <c r="K1" s="67" t="s">
        <v>9</v>
      </c>
      <c r="L1" s="67" t="s">
        <v>10</v>
      </c>
      <c r="M1" s="67" t="s">
        <v>33</v>
      </c>
      <c r="N1" s="67" t="s">
        <v>12</v>
      </c>
      <c r="O1" s="67" t="s">
        <v>49</v>
      </c>
      <c r="P1" s="67" t="s">
        <v>11</v>
      </c>
      <c r="Q1" s="67" t="s">
        <v>206</v>
      </c>
      <c r="R1" s="73" t="s">
        <v>371</v>
      </c>
      <c r="S1" s="67" t="s">
        <v>372</v>
      </c>
      <c r="T1" s="75" t="s">
        <v>44</v>
      </c>
      <c r="U1" s="75"/>
      <c r="V1" s="75"/>
      <c r="W1" s="75"/>
      <c r="X1" s="75" t="s">
        <v>43</v>
      </c>
      <c r="Y1" s="75"/>
      <c r="Z1" s="75"/>
      <c r="AA1" s="75"/>
    </row>
    <row r="2" spans="1:27" s="7" customFormat="1" ht="17" thickBot="1" x14ac:dyDescent="0.25">
      <c r="A2" s="74"/>
      <c r="B2" s="74"/>
      <c r="C2" s="68"/>
      <c r="D2" s="68"/>
      <c r="E2" s="70"/>
      <c r="F2" s="72"/>
      <c r="G2" s="68"/>
      <c r="H2" s="68"/>
      <c r="I2" s="68"/>
      <c r="J2" s="77"/>
      <c r="K2" s="68"/>
      <c r="L2" s="68"/>
      <c r="M2" s="68"/>
      <c r="N2" s="68"/>
      <c r="O2" s="68"/>
      <c r="P2" s="68"/>
      <c r="Q2" s="68"/>
      <c r="R2" s="74"/>
      <c r="S2" s="68"/>
      <c r="T2" s="8" t="s">
        <v>54</v>
      </c>
      <c r="U2" s="7" t="s">
        <v>55</v>
      </c>
      <c r="V2" s="7" t="s">
        <v>6</v>
      </c>
      <c r="W2" s="7" t="s">
        <v>8</v>
      </c>
      <c r="X2" s="8" t="s">
        <v>54</v>
      </c>
      <c r="Y2" s="7" t="s">
        <v>55</v>
      </c>
      <c r="Z2" s="7" t="s">
        <v>6</v>
      </c>
      <c r="AA2" s="7" t="s">
        <v>8</v>
      </c>
    </row>
    <row r="3" spans="1:27" ht="17" thickTop="1" x14ac:dyDescent="0.2">
      <c r="A3" s="1" cm="1">
        <f t="array" ref="A3">IF(I3="","",IF(P3&lt;&gt;"",SUMPRODUCT((P$3:P$99&lt;&gt;"")*(G$3:G$99=G3)*(J$3:J$99&gt;J3)*(I$3:I$99="P"))+1,IF(O3&lt;&gt;"",SUMPRODUCT((O$3:O$99&lt;&gt;"")*(P$3:P$99="")*(G$3:G$99=G3)*(J$3:J$99&gt;J3)*(I$3:I$99="P"))+SUMPRODUCT((P$3:P$99&lt;&gt;"")*(G$3:G$99=G3)*(I$3:I$99="P"))+1,IF(N3&lt;&gt;"",SUMPRODUCT((N$3:N$99&lt;&gt;"")*(G$3:G$99=G3)*(J$3:J$99&gt;J3)*(I$3:I$99="P"))+1,IF(M3="P",SUMPRODUCT((O$3:O$99&lt;&gt;"")*(P$3:P$99="")*(G$3:G$99=G3)*(I$3:I$99="P"))+SUMPRODUCT((P$3:P$99&lt;&gt;"")*(G$3:G$99=G3)*(I$3:I$99="P"))+SUMPRODUCT((N$3:N$99&lt;&gt;"")*(G$3:G$99=G3)*(I$3:I$99="P"))+SUMPRODUCT((P$3:P$99="")*(O$3:O$99="")*(N$3:N$99="")*(M$3:M$99="P")*(G$3:G$99=G3)*(J$3:J$99&gt;J3)*(I$3:I$99="P"))+IF(H3="L5",SUMPRODUCT((P$3:P$99="")*(O$3:O$99="")*(N$3:N$99="")*(M$3:M$99="P")*(G$3:G$99=G3)*(J$3:J$99&lt;J3)*(H$3:H$99&lt;&gt;H3)*(I$3:I$99="P")),-1*SUMPRODUCT((P$3:P$99="")*(O$3:O$99="")*(N$3:N$99="")*(M$3:M$99="P")*(G$3:G$99=G3)*(J$3:J$99&gt;J3)*(H$3:H$99="L5")*(I$3:I$99="P")))+1,"")))))</f>
        <v>1</v>
      </c>
      <c r="B3" s="1" cm="1">
        <f t="array" ref="B3">IF(P3&lt;&gt;"",SUMPRODUCT((P$3:P$99&lt;&gt;"")*(G$3:G$99=G3)*(J$3:J$99&gt;J3))+1,IF(O3&lt;&gt;"",SUMPRODUCT((O$3:O$99&lt;&gt;"")*(P$3:P$99="")*(G$3:G$99=G3)*(J$3:J$99&gt;J3))+SUMPRODUCT((P$3:P$99&lt;&gt;"")*(G$3:G$99=G3))+1,IF(N3&lt;&gt;"",SUMPRODUCT((N$3:N$99&lt;&gt;"")*(G$3:G$99=G3)*(J$3:J$99&gt;J3))+1,IF(M3="P",SUMPRODUCT((O$3:O$99&lt;&gt;"")*(P$3:P$99="")*(G$3:G$99=G3))+SUMPRODUCT((P$3:P$99&lt;&gt;"")*(G$3:G$99=G3))+SUMPRODUCT((N$3:N$99&lt;&gt;"")*(G$3:G$99=G3))+SUMPRODUCT((P$3:P$99="")*(O$3:O$99="")*(N$3:N$99="")*(M$3:M$99="P")*(G$3:G$99=G3)*(J$3:J$99&gt;J3))+IF(H3="L5",SUMPRODUCT((P$3:P$99="")*(O$3:O$99="")*(N$3:N$99="")*(M$3:M$99="P")*(G$3:G$99=G3)*(J$3:J$99&lt;J3)*(H$3:H$99&lt;&gt;H3)),-1*SUMPRODUCT((P$3:P$99="")*(O$3:O$99="")*(N$3:N$99="")*(M$3:M$99="P")*(G$3:G$99=G3)*(J$3:J$99&gt;J3)*(H$3:H$99="L5")))+1,""))))</f>
        <v>2</v>
      </c>
      <c r="C3" s="36" t="s">
        <v>170</v>
      </c>
      <c r="D3" s="36" t="str">
        <f>IF(E3="","",VLOOKUP(E3,'Coaching Points'!A:B,2,0))</f>
        <v>AB</v>
      </c>
      <c r="E3" s="36" t="s">
        <v>64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 t="s">
        <v>567</v>
      </c>
      <c r="J3" s="4">
        <f>R3+S3+IF(OR(H3="Junior",H3="Senior"),0.0002,IF(OR(H3="L7",H3="L6"),0.0001,0))+MAX(X3,Z3)*0.0000001</f>
        <v>104.90020536000002</v>
      </c>
      <c r="K3" s="3" t="str">
        <f>IF(G3="Not Age Eligible","",IF(MAX(T3,V3,X3,Z3)&gt;=LOOKUP(G3,'Qualifying Scores'!$A$4:$A$7,'Qualifying Scores'!$F$4:$F$7),"P",""))</f>
        <v>P</v>
      </c>
      <c r="L3" s="3" t="str">
        <f>IF(G3="Not Age Eligible","",IF(MAX(U3,W3,Y3,AA3)&gt;=LOOKUP(G3,'Qualifying Scores'!$A$10:$A$13,'Qualifying Scores'!$F$10:$F$13),"P",""))</f>
        <v>P</v>
      </c>
      <c r="M3" s="3" t="str">
        <f>IF(G3="Not Age Eligible","",IF(OR(AND(T3&gt;=LOOKUP(G3,'Qualifying Scores'!$A$4:$A$7,'Qualifying Scores'!$F$4:$F$7),U3&gt;=LOOKUP(G3,'Qualifying Scores'!$A$10:$A$13,'Qualifying Scores'!$F$10:$F$13)),AND(X3&gt;=LOOKUP(G3,'Qualifying Scores'!$A$4:$A$7,'Qualifying Scores'!$F$4:$F$7),Y3&gt;=LOOKUP(G3,'Qualifying Scores'!$A$10:$A$13,'Qualifying Scores'!$F$10:$F$13)),AND(V3&gt;=LOOKUP(G3,'Qualifying Scores'!$A$4:$A$7,'Qualifying Scores'!$F$4:$F$7),W3&gt;=LOOKUP(G3,'Qualifying Scores'!$A$10:$A$13,'Qualifying Scores'!$F$10:$F$13)),AND(Z3&gt;=LOOKUP(G3,'Qualifying Scores'!$A$4:$A$7,'Qualifying Scores'!$F$4:$F$7),AA3&gt;=LOOKUP(G3,'Qualifying Scores'!$A$10:$A$13,'Qualifying Scores'!$F$10:$F$13))),"P",""))</f>
        <v>P</v>
      </c>
      <c r="O3" s="39">
        <v>3</v>
      </c>
      <c r="P3" s="39">
        <v>3</v>
      </c>
      <c r="Q3" s="1">
        <f>IF(A3&lt;5,IF(_xlfn.MAXIFS(A:A,G:G,G3)&gt;3,5-A3,_xlfn.MAXIFS(A:A,G:G,G3)+1-A3),"")</f>
        <v>4</v>
      </c>
      <c r="R3" s="4">
        <f>MAX(T3,X3)</f>
        <v>53.6</v>
      </c>
      <c r="S3" s="4">
        <f>IF(R3=T3,MAX(V3,X3,Z3),IF(R3=X3,MAX(T3,V3,Z3),0))</f>
        <v>51.3</v>
      </c>
      <c r="T3" s="33">
        <v>50.8</v>
      </c>
      <c r="U3" s="40">
        <v>16</v>
      </c>
      <c r="V3" s="34">
        <v>51.3</v>
      </c>
      <c r="W3" s="40">
        <v>14.8</v>
      </c>
      <c r="X3" s="33">
        <v>53.6</v>
      </c>
      <c r="Y3" s="40">
        <v>16.799999999999997</v>
      </c>
      <c r="Z3" s="34">
        <v>50.9</v>
      </c>
      <c r="AA3" s="37">
        <v>14.8</v>
      </c>
    </row>
    <row r="4" spans="1:27" x14ac:dyDescent="0.2">
      <c r="A4" s="1" cm="1">
        <f t="array" ref="A4">IF(I4="","",IF(P4&lt;&gt;"",SUMPRODUCT((P$3:P$99&lt;&gt;"")*(G$3:G$99=G4)*(J$3:J$99&gt;J4)*(I$3:I$99="P"))+1,IF(O4&lt;&gt;"",SUMPRODUCT((O$3:O$99&lt;&gt;"")*(P$3:P$99="")*(G$3:G$99=G4)*(J$3:J$99&gt;J4)*(I$3:I$99="P"))+SUMPRODUCT((P$3:P$99&lt;&gt;"")*(G$3:G$99=G4)*(I$3:I$99="P"))+1,IF(N4&lt;&gt;"",SUMPRODUCT((N$3:N$99&lt;&gt;"")*(G$3:G$99=G4)*(J$3:J$99&gt;J4)*(I$3:I$99="P"))+1,IF(M4="P",SUMPRODUCT((O$3:O$99&lt;&gt;"")*(P$3:P$99="")*(G$3:G$99=G4)*(I$3:I$99="P"))+SUMPRODUCT((P$3:P$99&lt;&gt;"")*(G$3:G$99=G4)*(I$3:I$99="P"))+SUMPRODUCT((N$3:N$99&lt;&gt;"")*(G$3:G$99=G4)*(I$3:I$99="P"))+SUMPRODUCT((P$3:P$99="")*(O$3:O$99="")*(N$3:N$99="")*(M$3:M$99="P")*(G$3:G$99=G4)*(J$3:J$99&gt;J4)*(I$3:I$99="P"))+IF(H4="L5",SUMPRODUCT((P$3:P$99="")*(O$3:O$99="")*(N$3:N$99="")*(M$3:M$99="P")*(G$3:G$99=G4)*(J$3:J$99&lt;J4)*(H$3:H$99&lt;&gt;H4)*(I$3:I$99="P")),-1*SUMPRODUCT((P$3:P$99="")*(O$3:O$99="")*(N$3:N$99="")*(M$3:M$99="P")*(G$3:G$99=G4)*(J$3:J$99&gt;J4)*(H$3:H$99="L5")*(I$3:I$99="P")))+1,"")))))</f>
        <v>2</v>
      </c>
      <c r="B4" s="1" cm="1">
        <f t="array" ref="B4">IF(P4&lt;&gt;"",SUMPRODUCT((P$3:P$99&lt;&gt;"")*(G$3:G$99=G4)*(J$3:J$99&gt;J4))+1,IF(O4&lt;&gt;"",SUMPRODUCT((O$3:O$99&lt;&gt;"")*(P$3:P$99="")*(G$3:G$99=G4)*(J$3:J$99&gt;J4))+SUMPRODUCT((P$3:P$99&lt;&gt;"")*(G$3:G$99=G4))+1,IF(N4&lt;&gt;"",SUMPRODUCT((N$3:N$99&lt;&gt;"")*(G$3:G$99=G4)*(J$3:J$99&gt;J4))+1,IF(M4="P",SUMPRODUCT((O$3:O$99&lt;&gt;"")*(P$3:P$99="")*(G$3:G$99=G4))+SUMPRODUCT((P$3:P$99&lt;&gt;"")*(G$3:G$99=G4))+SUMPRODUCT((N$3:N$99&lt;&gt;"")*(G$3:G$99=G4))+SUMPRODUCT((P$3:P$99="")*(O$3:O$99="")*(N$3:N$99="")*(M$3:M$99="P")*(G$3:G$99=G4)*(J$3:J$99&gt;J4))+IF(H4="L5",SUMPRODUCT((P$3:P$99="")*(O$3:O$99="")*(N$3:N$99="")*(M$3:M$99="P")*(G$3:G$99=G4)*(J$3:J$99&lt;J4)*(H$3:H$99&lt;&gt;H4)),-1*SUMPRODUCT((P$3:P$99="")*(O$3:O$99="")*(N$3:N$99="")*(M$3:M$99="P")*(G$3:G$99=G4)*(J$3:J$99&gt;J4)*(H$3:H$99="L5")))+1,""))))</f>
        <v>3</v>
      </c>
      <c r="C4" s="36" t="s">
        <v>232</v>
      </c>
      <c r="D4" s="36" t="str">
        <f>IF(E4="","",VLOOKUP(E4,'Coaching Points'!A:B,2,0))</f>
        <v>ON</v>
      </c>
      <c r="E4" s="36" t="s">
        <v>100</v>
      </c>
      <c r="F4" s="35">
        <v>2002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 t="s">
        <v>567</v>
      </c>
      <c r="J4" s="4">
        <f>R4+S4+IF(OR(H4="Junior",H4="Senior"),0.0002,IF(OR(H4="L7",H4="L6"),0.0001,0))+MAX(X4,Z4)*0.0000001</f>
        <v>102.20020000000001</v>
      </c>
      <c r="K4" s="3" t="str">
        <f>IF(G4="Not Age Eligible","",IF(MAX(T4,V4,X4,Z4)&gt;=LOOKUP(G4,'Qualifying Scores'!$A$4:$A$7,'Qualifying Scores'!$F$4:$F$7),"P",""))</f>
        <v>P</v>
      </c>
      <c r="L4" s="3" t="str">
        <f>IF(G4="Not Age Eligible","",IF(MAX(U4,W4,Y4,AA4)&gt;=LOOKUP(G4,'Qualifying Scores'!$A$10:$A$13,'Qualifying Scores'!$F$10:$F$13),"P",""))</f>
        <v>P</v>
      </c>
      <c r="M4" s="3" t="str">
        <f>IF(G4="Not Age Eligible","",IF(OR(AND(T4&gt;=LOOKUP(G4,'Qualifying Scores'!$A$4:$A$7,'Qualifying Scores'!$F$4:$F$7),U4&gt;=LOOKUP(G4,'Qualifying Scores'!$A$10:$A$13,'Qualifying Scores'!$F$10:$F$13)),AND(X4&gt;=LOOKUP(G4,'Qualifying Scores'!$A$4:$A$7,'Qualifying Scores'!$F$4:$F$7),Y4&gt;=LOOKUP(G4,'Qualifying Scores'!$A$10:$A$13,'Qualifying Scores'!$F$10:$F$13)),AND(V4&gt;=LOOKUP(G4,'Qualifying Scores'!$A$4:$A$7,'Qualifying Scores'!$F$4:$F$7),W4&gt;=LOOKUP(G4,'Qualifying Scores'!$A$10:$A$13,'Qualifying Scores'!$F$10:$F$13)),AND(Z4&gt;=LOOKUP(G4,'Qualifying Scores'!$A$4:$A$7,'Qualifying Scores'!$F$4:$F$7),AA4&gt;=LOOKUP(G4,'Qualifying Scores'!$A$10:$A$13,'Qualifying Scores'!$F$10:$F$13))),"P",""))</f>
        <v>P</v>
      </c>
      <c r="P4" s="39">
        <v>7</v>
      </c>
      <c r="Q4" s="1">
        <f>IF(A4&lt;5,IF(_xlfn.MAXIFS(A:A,G:G,G4)&gt;3,5-A4,_xlfn.MAXIFS(A:A,G:G,G4)+1-A4),"")</f>
        <v>3</v>
      </c>
      <c r="R4" s="4">
        <f>MAX(T4,X4)</f>
        <v>51.2</v>
      </c>
      <c r="S4" s="4">
        <f>IF(R4=T4,MAX(V4,X4,Z4),IF(R4=X4,MAX(T4,V4,Z4),0))</f>
        <v>51</v>
      </c>
      <c r="T4" s="33">
        <v>51.2</v>
      </c>
      <c r="U4" s="40">
        <v>14</v>
      </c>
      <c r="V4" s="34">
        <v>51</v>
      </c>
      <c r="W4" s="40">
        <v>15.2</v>
      </c>
      <c r="X4" s="33"/>
      <c r="Y4" s="40"/>
      <c r="Z4" s="34"/>
      <c r="AA4" s="37"/>
    </row>
    <row r="5" spans="1:27" x14ac:dyDescent="0.2">
      <c r="A5" s="1" cm="1">
        <f t="array" ref="A5">IF(I5="","",IF(P5&lt;&gt;"",SUMPRODUCT((P$3:P$99&lt;&gt;"")*(G$3:G$99=G5)*(J$3:J$99&gt;J5)*(I$3:I$99="P"))+1,IF(O5&lt;&gt;"",SUMPRODUCT((O$3:O$99&lt;&gt;"")*(P$3:P$99="")*(G$3:G$99=G5)*(J$3:J$99&gt;J5)*(I$3:I$99="P"))+SUMPRODUCT((P$3:P$99&lt;&gt;"")*(G$3:G$99=G5)*(I$3:I$99="P"))+1,IF(N5&lt;&gt;"",SUMPRODUCT((N$3:N$99&lt;&gt;"")*(G$3:G$99=G5)*(J$3:J$99&gt;J5)*(I$3:I$99="P"))+1,IF(M5="P",SUMPRODUCT((O$3:O$99&lt;&gt;"")*(P$3:P$99="")*(G$3:G$99=G5)*(I$3:I$99="P"))+SUMPRODUCT((P$3:P$99&lt;&gt;"")*(G$3:G$99=G5)*(I$3:I$99="P"))+SUMPRODUCT((N$3:N$99&lt;&gt;"")*(G$3:G$99=G5)*(I$3:I$99="P"))+SUMPRODUCT((P$3:P$99="")*(O$3:O$99="")*(N$3:N$99="")*(M$3:M$99="P")*(G$3:G$99=G5)*(J$3:J$99&gt;J5)*(I$3:I$99="P"))+IF(H5="L5",SUMPRODUCT((P$3:P$99="")*(O$3:O$99="")*(N$3:N$99="")*(M$3:M$99="P")*(G$3:G$99=G5)*(J$3:J$99&lt;J5)*(H$3:H$99&lt;&gt;H5)*(I$3:I$99="P")),-1*SUMPRODUCT((P$3:P$99="")*(O$3:O$99="")*(N$3:N$99="")*(M$3:M$99="P")*(G$3:G$99=G5)*(J$3:J$99&gt;J5)*(H$3:H$99="L5")*(I$3:I$99="P")))+1,"")))))</f>
        <v>3</v>
      </c>
      <c r="B5" s="1" cm="1">
        <f t="array" ref="B5">IF(P5&lt;&gt;"",SUMPRODUCT((P$3:P$99&lt;&gt;"")*(G$3:G$99=G5)*(J$3:J$99&gt;J5))+1,IF(O5&lt;&gt;"",SUMPRODUCT((O$3:O$99&lt;&gt;"")*(P$3:P$99="")*(G$3:G$99=G5)*(J$3:J$99&gt;J5))+SUMPRODUCT((P$3:P$99&lt;&gt;"")*(G$3:G$99=G5))+1,IF(N5&lt;&gt;"",SUMPRODUCT((N$3:N$99&lt;&gt;"")*(G$3:G$99=G5)*(J$3:J$99&gt;J5))+1,IF(M5="P",SUMPRODUCT((O$3:O$99&lt;&gt;"")*(P$3:P$99="")*(G$3:G$99=G5))+SUMPRODUCT((P$3:P$99&lt;&gt;"")*(G$3:G$99=G5))+SUMPRODUCT((N$3:N$99&lt;&gt;"")*(G$3:G$99=G5))+SUMPRODUCT((P$3:P$99="")*(O$3:O$99="")*(N$3:N$99="")*(M$3:M$99="P")*(G$3:G$99=G5)*(J$3:J$99&gt;J5))+IF(H5="L5",SUMPRODUCT((P$3:P$99="")*(O$3:O$99="")*(N$3:N$99="")*(M$3:M$99="P")*(G$3:G$99=G5)*(J$3:J$99&lt;J5)*(H$3:H$99&lt;&gt;H5)),-1*SUMPRODUCT((P$3:P$99="")*(O$3:O$99="")*(N$3:N$99="")*(M$3:M$99="P")*(G$3:G$99=G5)*(J$3:J$99&gt;J5)*(H$3:H$99="L5")))+1,""))))</f>
        <v>4</v>
      </c>
      <c r="C5" s="36" t="s">
        <v>105</v>
      </c>
      <c r="D5" s="36" t="str">
        <f>IF(E5="","",VLOOKUP(E5,'Coaching Points'!A:B,2,0))</f>
        <v>AB</v>
      </c>
      <c r="E5" s="36" t="s">
        <v>29</v>
      </c>
      <c r="F5" s="35">
        <v>2004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 t="s">
        <v>567</v>
      </c>
      <c r="J5" s="4">
        <f>R5+S5+IF(OR(H5="Junior",H5="Senior"),0.0002,IF(OR(H5="L7",H5="L6"),0.0001,0))+MAX(X5,Z5)*0.0000001</f>
        <v>101.3002</v>
      </c>
      <c r="K5" s="3" t="str">
        <f>IF(G5="Not Age Eligible","",IF(MAX(T5,V5,X5,Z5)&gt;=LOOKUP(G5,'Qualifying Scores'!$A$4:$A$7,'Qualifying Scores'!$F$4:$F$7),"P",""))</f>
        <v>P</v>
      </c>
      <c r="L5" s="3" t="str">
        <f>IF(G5="Not Age Eligible","",IF(MAX(U5,W5,Y5,AA5)&gt;=LOOKUP(G5,'Qualifying Scores'!$A$10:$A$13,'Qualifying Scores'!$F$10:$F$13),"P",""))</f>
        <v>P</v>
      </c>
      <c r="M5" s="3" t="str">
        <f>IF(G5="Not Age Eligible","",IF(OR(AND(T5&gt;=LOOKUP(G5,'Qualifying Scores'!$A$4:$A$7,'Qualifying Scores'!$F$4:$F$7),U5&gt;=LOOKUP(G5,'Qualifying Scores'!$A$10:$A$13,'Qualifying Scores'!$F$10:$F$13)),AND(X5&gt;=LOOKUP(G5,'Qualifying Scores'!$A$4:$A$7,'Qualifying Scores'!$F$4:$F$7),Y5&gt;=LOOKUP(G5,'Qualifying Scores'!$A$10:$A$13,'Qualifying Scores'!$F$10:$F$13)),AND(V5&gt;=LOOKUP(G5,'Qualifying Scores'!$A$4:$A$7,'Qualifying Scores'!$F$4:$F$7),W5&gt;=LOOKUP(G5,'Qualifying Scores'!$A$10:$A$13,'Qualifying Scores'!$F$10:$F$13)),AND(Z5&gt;=LOOKUP(G5,'Qualifying Scores'!$A$4:$A$7,'Qualifying Scores'!$F$4:$F$7),AA5&gt;=LOOKUP(G5,'Qualifying Scores'!$A$10:$A$13,'Qualifying Scores'!$F$10:$F$13))),"P",""))</f>
        <v>P</v>
      </c>
      <c r="O5" s="39">
        <v>4</v>
      </c>
      <c r="P5" s="39">
        <v>6</v>
      </c>
      <c r="Q5" s="1">
        <f>IF(A5&lt;5,IF(_xlfn.MAXIFS(A:A,G:G,G5)&gt;3,5-A5,_xlfn.MAXIFS(A:A,G:G,G5)+1-A5),"")</f>
        <v>2</v>
      </c>
      <c r="R5" s="4">
        <f>MAX(T5,X5)</f>
        <v>50</v>
      </c>
      <c r="S5" s="4">
        <f>IF(R5=T5,MAX(V5,X5,Z5),IF(R5=X5,MAX(T5,V5,Z5),0))</f>
        <v>51.3</v>
      </c>
      <c r="T5" s="33">
        <v>50</v>
      </c>
      <c r="U5" s="40">
        <v>15.7</v>
      </c>
      <c r="V5" s="34">
        <v>51.3</v>
      </c>
      <c r="W5" s="40">
        <v>15.3</v>
      </c>
      <c r="X5" s="33"/>
      <c r="Y5" s="40"/>
      <c r="Z5" s="34"/>
      <c r="AA5" s="37"/>
    </row>
    <row r="6" spans="1:27" x14ac:dyDescent="0.2">
      <c r="A6" s="1" cm="1">
        <f t="array" ref="A6">IF(I6="","",IF(P6&lt;&gt;"",SUMPRODUCT((P$3:P$99&lt;&gt;"")*(G$3:G$99=G6)*(J$3:J$99&gt;J6)*(I$3:I$99="P"))+1,IF(O6&lt;&gt;"",SUMPRODUCT((O$3:O$99&lt;&gt;"")*(P$3:P$99="")*(G$3:G$99=G6)*(J$3:J$99&gt;J6)*(I$3:I$99="P"))+SUMPRODUCT((P$3:P$99&lt;&gt;"")*(G$3:G$99=G6)*(I$3:I$99="P"))+1,IF(N6&lt;&gt;"",SUMPRODUCT((N$3:N$99&lt;&gt;"")*(G$3:G$99=G6)*(J$3:J$99&gt;J6)*(I$3:I$99="P"))+1,IF(M6="P",SUMPRODUCT((O$3:O$99&lt;&gt;"")*(P$3:P$99="")*(G$3:G$99=G6)*(I$3:I$99="P"))+SUMPRODUCT((P$3:P$99&lt;&gt;"")*(G$3:G$99=G6)*(I$3:I$99="P"))+SUMPRODUCT((N$3:N$99&lt;&gt;"")*(G$3:G$99=G6)*(I$3:I$99="P"))+SUMPRODUCT((P$3:P$99="")*(O$3:O$99="")*(N$3:N$99="")*(M$3:M$99="P")*(G$3:G$99=G6)*(J$3:J$99&gt;J6)*(I$3:I$99="P"))+IF(H6="L5",SUMPRODUCT((P$3:P$99="")*(O$3:O$99="")*(N$3:N$99="")*(M$3:M$99="P")*(G$3:G$99=G6)*(J$3:J$99&lt;J6)*(H$3:H$99&lt;&gt;H6)*(I$3:I$99="P")),-1*SUMPRODUCT((P$3:P$99="")*(O$3:O$99="")*(N$3:N$99="")*(M$3:M$99="P")*(G$3:G$99=G6)*(J$3:J$99&gt;J6)*(H$3:H$99="L5")*(I$3:I$99="P")))+1,"")))))</f>
        <v>4</v>
      </c>
      <c r="B6" s="1" cm="1">
        <f t="array" ref="B6">IF(P6&lt;&gt;"",SUMPRODUCT((P$3:P$99&lt;&gt;"")*(G$3:G$99=G6)*(J$3:J$99&gt;J6))+1,IF(O6&lt;&gt;"",SUMPRODUCT((O$3:O$99&lt;&gt;"")*(P$3:P$99="")*(G$3:G$99=G6)*(J$3:J$99&gt;J6))+SUMPRODUCT((P$3:P$99&lt;&gt;"")*(G$3:G$99=G6))+1,IF(N6&lt;&gt;"",SUMPRODUCT((N$3:N$99&lt;&gt;"")*(G$3:G$99=G6)*(J$3:J$99&gt;J6))+1,IF(M6="P",SUMPRODUCT((O$3:O$99&lt;&gt;"")*(P$3:P$99="")*(G$3:G$99=G6))+SUMPRODUCT((P$3:P$99&lt;&gt;"")*(G$3:G$99=G6))+SUMPRODUCT((N$3:N$99&lt;&gt;"")*(G$3:G$99=G6))+SUMPRODUCT((P$3:P$99="")*(O$3:O$99="")*(N$3:N$99="")*(M$3:M$99="P")*(G$3:G$99=G6)*(J$3:J$99&gt;J6))+IF(H6="L5",SUMPRODUCT((P$3:P$99="")*(O$3:O$99="")*(N$3:N$99="")*(M$3:M$99="P")*(G$3:G$99=G6)*(J$3:J$99&lt;J6)*(H$3:H$99&lt;&gt;H6)),-1*SUMPRODUCT((P$3:P$99="")*(O$3:O$99="")*(N$3:N$99="")*(M$3:M$99="P")*(G$3:G$99=G6)*(J$3:J$99&gt;J6)*(H$3:H$99="L5")))+1,""))))</f>
        <v>5</v>
      </c>
      <c r="C6" s="36" t="s">
        <v>348</v>
      </c>
      <c r="D6" s="36" t="str">
        <f>IF(E6="","",VLOOKUP(E6,'Coaching Points'!A:B,2,0))</f>
        <v>BC</v>
      </c>
      <c r="E6" s="36" t="s">
        <v>41</v>
      </c>
      <c r="F6" s="35">
        <v>2003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74</v>
      </c>
      <c r="I6" s="43" t="s">
        <v>567</v>
      </c>
      <c r="J6" s="4">
        <f>R6+S6+IF(OR(H6="Junior",H6="Senior"),0.0002,IF(OR(H6="L7",H6="L6"),0.0001,0))+MAX(X6,Z6)*0.0000001</f>
        <v>99.900205140000011</v>
      </c>
      <c r="K6" s="3" t="str">
        <f>IF(G6="Not Age Eligible","",IF(MAX(T6,V6,X6,Z6)&gt;=LOOKUP(G6,'Qualifying Scores'!$A$4:$A$7,'Qualifying Scores'!$F$4:$F$7),"P",""))</f>
        <v>P</v>
      </c>
      <c r="L6" s="3" t="str">
        <f>IF(G6="Not Age Eligible","",IF(MAX(U6,W6,Y6,AA6)&gt;=LOOKUP(G6,'Qualifying Scores'!$A$10:$A$13,'Qualifying Scores'!$F$10:$F$13),"P",""))</f>
        <v>P</v>
      </c>
      <c r="M6" s="3" t="str">
        <f>IF(G6="Not Age Eligible","",IF(OR(AND(T6&gt;=LOOKUP(G6,'Qualifying Scores'!$A$4:$A$7,'Qualifying Scores'!$F$4:$F$7),U6&gt;=LOOKUP(G6,'Qualifying Scores'!$A$10:$A$13,'Qualifying Scores'!$F$10:$F$13)),AND(X6&gt;=LOOKUP(G6,'Qualifying Scores'!$A$4:$A$7,'Qualifying Scores'!$F$4:$F$7),Y6&gt;=LOOKUP(G6,'Qualifying Scores'!$A$10:$A$13,'Qualifying Scores'!$F$10:$F$13)),AND(V6&gt;=LOOKUP(G6,'Qualifying Scores'!$A$4:$A$7,'Qualifying Scores'!$F$4:$F$7),W6&gt;=LOOKUP(G6,'Qualifying Scores'!$A$10:$A$13,'Qualifying Scores'!$F$10:$F$13)),AND(Z6&gt;=LOOKUP(G6,'Qualifying Scores'!$A$4:$A$7,'Qualifying Scores'!$F$4:$F$7),AA6&gt;=LOOKUP(G6,'Qualifying Scores'!$A$10:$A$13,'Qualifying Scores'!$F$10:$F$13))),"P",""))</f>
        <v>P</v>
      </c>
      <c r="P6" s="39">
        <v>8</v>
      </c>
      <c r="Q6" s="1">
        <f>IF(A6&lt;5,IF(_xlfn.MAXIFS(A:A,G:G,G6)&gt;3,5-A6,_xlfn.MAXIFS(A:A,G:G,G6)+1-A6),"")</f>
        <v>1</v>
      </c>
      <c r="R6" s="4">
        <f>MAX(T6,X6)</f>
        <v>51.4</v>
      </c>
      <c r="S6" s="4">
        <f>IF(R6=T6,MAX(V6,X6,Z6),IF(R6=X6,MAX(T6,V6,Z6),0))</f>
        <v>48.5</v>
      </c>
      <c r="T6" s="33">
        <v>45.5</v>
      </c>
      <c r="U6" s="40">
        <v>9.6999999999999993</v>
      </c>
      <c r="V6" s="34"/>
      <c r="W6" s="40"/>
      <c r="X6" s="33">
        <v>51.4</v>
      </c>
      <c r="Y6" s="40">
        <v>15.4</v>
      </c>
      <c r="Z6" s="34">
        <v>48.5</v>
      </c>
      <c r="AA6" s="37">
        <v>12.399999999999999</v>
      </c>
    </row>
    <row r="7" spans="1:27" x14ac:dyDescent="0.2">
      <c r="A7" s="1" cm="1">
        <f t="array" ref="A7">IF(I7="","",IF(P7&lt;&gt;"",SUMPRODUCT((P$3:P$99&lt;&gt;"")*(G$3:G$99=G7)*(J$3:J$99&gt;J7)*(I$3:I$99="P"))+1,IF(O7&lt;&gt;"",SUMPRODUCT((O$3:O$99&lt;&gt;"")*(P$3:P$99="")*(G$3:G$99=G7)*(J$3:J$99&gt;J7)*(I$3:I$99="P"))+SUMPRODUCT((P$3:P$99&lt;&gt;"")*(G$3:G$99=G7)*(I$3:I$99="P"))+1,IF(N7&lt;&gt;"",SUMPRODUCT((N$3:N$99&lt;&gt;"")*(G$3:G$99=G7)*(J$3:J$99&gt;J7)*(I$3:I$99="P"))+1,IF(M7="P",SUMPRODUCT((O$3:O$99&lt;&gt;"")*(P$3:P$99="")*(G$3:G$99=G7)*(I$3:I$99="P"))+SUMPRODUCT((P$3:P$99&lt;&gt;"")*(G$3:G$99=G7)*(I$3:I$99="P"))+SUMPRODUCT((N$3:N$99&lt;&gt;"")*(G$3:G$99=G7)*(I$3:I$99="P"))+SUMPRODUCT((P$3:P$99="")*(O$3:O$99="")*(N$3:N$99="")*(M$3:M$99="P")*(G$3:G$99=G7)*(J$3:J$99&gt;J7)*(I$3:I$99="P"))+IF(H7="L5",SUMPRODUCT((P$3:P$99="")*(O$3:O$99="")*(N$3:N$99="")*(M$3:M$99="P")*(G$3:G$99=G7)*(J$3:J$99&lt;J7)*(H$3:H$99&lt;&gt;H7)*(I$3:I$99="P")),-1*SUMPRODUCT((P$3:P$99="")*(O$3:O$99="")*(N$3:N$99="")*(M$3:M$99="P")*(G$3:G$99=G7)*(J$3:J$99&gt;J7)*(H$3:H$99="L5")*(I$3:I$99="P")))+1,"")))))</f>
        <v>5</v>
      </c>
      <c r="B7" s="1" cm="1">
        <f t="array" ref="B7">IF(P7&lt;&gt;"",SUMPRODUCT((P$3:P$99&lt;&gt;"")*(G$3:G$99=G7)*(J$3:J$99&gt;J7))+1,IF(O7&lt;&gt;"",SUMPRODUCT((O$3:O$99&lt;&gt;"")*(P$3:P$99="")*(G$3:G$99=G7)*(J$3:J$99&gt;J7))+SUMPRODUCT((P$3:P$99&lt;&gt;"")*(G$3:G$99=G7))+1,IF(N7&lt;&gt;"",SUMPRODUCT((N$3:N$99&lt;&gt;"")*(G$3:G$99=G7)*(J$3:J$99&gt;J7))+1,IF(M7="P",SUMPRODUCT((O$3:O$99&lt;&gt;"")*(P$3:P$99="")*(G$3:G$99=G7))+SUMPRODUCT((P$3:P$99&lt;&gt;"")*(G$3:G$99=G7))+SUMPRODUCT((N$3:N$99&lt;&gt;"")*(G$3:G$99=G7))+SUMPRODUCT((P$3:P$99="")*(O$3:O$99="")*(N$3:N$99="")*(M$3:M$99="P")*(G$3:G$99=G7)*(J$3:J$99&gt;J7))+IF(H7="L5",SUMPRODUCT((P$3:P$99="")*(O$3:O$99="")*(N$3:N$99="")*(M$3:M$99="P")*(G$3:G$99=G7)*(J$3:J$99&lt;J7)*(H$3:H$99&lt;&gt;H7)),-1*SUMPRODUCT((P$3:P$99="")*(O$3:O$99="")*(N$3:N$99="")*(M$3:M$99="P")*(G$3:G$99=G7)*(J$3:J$99&gt;J7)*(H$3:H$99="L5")))+1,""))))</f>
        <v>7</v>
      </c>
      <c r="C7" s="36" t="s">
        <v>519</v>
      </c>
      <c r="D7" s="36" t="str">
        <f>IF(E7="","",VLOOKUP(E7,'Coaching Points'!A:B,2,0))</f>
        <v>MB</v>
      </c>
      <c r="E7" s="36" t="s">
        <v>561</v>
      </c>
      <c r="F7" s="35">
        <v>2002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74</v>
      </c>
      <c r="I7" s="43" t="s">
        <v>567</v>
      </c>
      <c r="J7" s="4">
        <f>R7+S7+IF(OR(H7="Junior",H7="Senior"),0.0002,IF(OR(H7="L7",H7="L6"),0.0001,0))+MAX(X7,Z7)*0.0000001</f>
        <v>105.70020529</v>
      </c>
      <c r="K7" s="3" t="str">
        <f>IF(G7="Not Age Eligible","",IF(MAX(T7,V7,X7,Z7)&gt;=LOOKUP(G7,'Qualifying Scores'!$A$4:$A$7,'Qualifying Scores'!$F$4:$F$7),"P",""))</f>
        <v>P</v>
      </c>
      <c r="L7" s="3" t="str">
        <f>IF(G7="Not Age Eligible","",IF(MAX(U7,W7,Y7,AA7)&gt;=LOOKUP(G7,'Qualifying Scores'!$A$10:$A$13,'Qualifying Scores'!$F$10:$F$13),"P",""))</f>
        <v>P</v>
      </c>
      <c r="M7" s="3" t="str">
        <f>IF(G7="Not Age Eligible","",IF(OR(AND(T7&gt;=LOOKUP(G7,'Qualifying Scores'!$A$4:$A$7,'Qualifying Scores'!$F$4:$F$7),U7&gt;=LOOKUP(G7,'Qualifying Scores'!$A$10:$A$13,'Qualifying Scores'!$F$10:$F$13)),AND(X7&gt;=LOOKUP(G7,'Qualifying Scores'!$A$4:$A$7,'Qualifying Scores'!$F$4:$F$7),Y7&gt;=LOOKUP(G7,'Qualifying Scores'!$A$10:$A$13,'Qualifying Scores'!$F$10:$F$13)),AND(V7&gt;=LOOKUP(G7,'Qualifying Scores'!$A$4:$A$7,'Qualifying Scores'!$F$4:$F$7),W7&gt;=LOOKUP(G7,'Qualifying Scores'!$A$10:$A$13,'Qualifying Scores'!$F$10:$F$13)),AND(Z7&gt;=LOOKUP(G7,'Qualifying Scores'!$A$4:$A$7,'Qualifying Scores'!$F$4:$F$7),AA7&gt;=LOOKUP(G7,'Qualifying Scores'!$A$10:$A$13,'Qualifying Scores'!$F$10:$F$13))),"P",""))</f>
        <v>P</v>
      </c>
      <c r="Q7" s="1" t="str">
        <f>IF(A7&lt;5,IF(_xlfn.MAXIFS(A:A,G:G,G7)&gt;3,5-A7,_xlfn.MAXIFS(A:A,G:G,G7)+1-A7),"")</f>
        <v/>
      </c>
      <c r="R7" s="4">
        <f>MAX(T7,X7)</f>
        <v>52.9</v>
      </c>
      <c r="S7" s="4">
        <f>IF(R7=T7,MAX(V7,X7,Z7),IF(R7=X7,MAX(T7,V7,Z7),0))</f>
        <v>52.8</v>
      </c>
      <c r="T7" s="33"/>
      <c r="U7" s="40"/>
      <c r="V7" s="34"/>
      <c r="W7" s="40"/>
      <c r="X7" s="33">
        <v>52.9</v>
      </c>
      <c r="Y7" s="40">
        <v>14.8</v>
      </c>
      <c r="Z7" s="34">
        <v>52.8</v>
      </c>
      <c r="AA7" s="37">
        <v>15.2</v>
      </c>
    </row>
    <row r="8" spans="1:27" x14ac:dyDescent="0.2">
      <c r="A8" s="1" cm="1">
        <f t="array" ref="A8">IF(I8="","",IF(P8&lt;&gt;"",SUMPRODUCT((P$3:P$99&lt;&gt;"")*(G$3:G$99=G8)*(J$3:J$99&gt;J8)*(I$3:I$99="P"))+1,IF(O8&lt;&gt;"",SUMPRODUCT((O$3:O$99&lt;&gt;"")*(P$3:P$99="")*(G$3:G$99=G8)*(J$3:J$99&gt;J8)*(I$3:I$99="P"))+SUMPRODUCT((P$3:P$99&lt;&gt;"")*(G$3:G$99=G8)*(I$3:I$99="P"))+1,IF(N8&lt;&gt;"",SUMPRODUCT((N$3:N$99&lt;&gt;"")*(G$3:G$99=G8)*(J$3:J$99&gt;J8)*(I$3:I$99="P"))+1,IF(M8="P",SUMPRODUCT((O$3:O$99&lt;&gt;"")*(P$3:P$99="")*(G$3:G$99=G8)*(I$3:I$99="P"))+SUMPRODUCT((P$3:P$99&lt;&gt;"")*(G$3:G$99=G8)*(I$3:I$99="P"))+SUMPRODUCT((N$3:N$99&lt;&gt;"")*(G$3:G$99=G8)*(I$3:I$99="P"))+SUMPRODUCT((P$3:P$99="")*(O$3:O$99="")*(N$3:N$99="")*(M$3:M$99="P")*(G$3:G$99=G8)*(J$3:J$99&gt;J8)*(I$3:I$99="P"))+IF(H8="L5",SUMPRODUCT((P$3:P$99="")*(O$3:O$99="")*(N$3:N$99="")*(M$3:M$99="P")*(G$3:G$99=G8)*(J$3:J$99&lt;J8)*(H$3:H$99&lt;&gt;H8)*(I$3:I$99="P")),-1*SUMPRODUCT((P$3:P$99="")*(O$3:O$99="")*(N$3:N$99="")*(M$3:M$99="P")*(G$3:G$99=G8)*(J$3:J$99&gt;J8)*(H$3:H$99="L5")*(I$3:I$99="P")))+1,"")))))</f>
        <v>6</v>
      </c>
      <c r="B8" s="1" cm="1">
        <f t="array" ref="B8">IF(P8&lt;&gt;"",SUMPRODUCT((P$3:P$99&lt;&gt;"")*(G$3:G$99=G8)*(J$3:J$99&gt;J8))+1,IF(O8&lt;&gt;"",SUMPRODUCT((O$3:O$99&lt;&gt;"")*(P$3:P$99="")*(G$3:G$99=G8)*(J$3:J$99&gt;J8))+SUMPRODUCT((P$3:P$99&lt;&gt;"")*(G$3:G$99=G8))+1,IF(N8&lt;&gt;"",SUMPRODUCT((N$3:N$99&lt;&gt;"")*(G$3:G$99=G8)*(J$3:J$99&gt;J8))+1,IF(M8="P",SUMPRODUCT((O$3:O$99&lt;&gt;"")*(P$3:P$99="")*(G$3:G$99=G8))+SUMPRODUCT((P$3:P$99&lt;&gt;"")*(G$3:G$99=G8))+SUMPRODUCT((N$3:N$99&lt;&gt;"")*(G$3:G$99=G8))+SUMPRODUCT((P$3:P$99="")*(O$3:O$99="")*(N$3:N$99="")*(M$3:M$99="P")*(G$3:G$99=G8)*(J$3:J$99&gt;J8))+IF(H8="L5",SUMPRODUCT((P$3:P$99="")*(O$3:O$99="")*(N$3:N$99="")*(M$3:M$99="P")*(G$3:G$99=G8)*(J$3:J$99&lt;J8)*(H$3:H$99&lt;&gt;H8)),-1*SUMPRODUCT((P$3:P$99="")*(O$3:O$99="")*(N$3:N$99="")*(M$3:M$99="P")*(G$3:G$99=G8)*(J$3:J$99&gt;J8)*(H$3:H$99="L5")))+1,""))))</f>
        <v>8</v>
      </c>
      <c r="C8" s="36" t="s">
        <v>225</v>
      </c>
      <c r="D8" s="36" t="str">
        <f>IF(E8="","",VLOOKUP(E8,'Coaching Points'!A:B,2,0))</f>
        <v>QC</v>
      </c>
      <c r="E8" s="36" t="s">
        <v>3</v>
      </c>
      <c r="F8" s="35">
        <v>2006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74</v>
      </c>
      <c r="I8" s="43" t="s">
        <v>567</v>
      </c>
      <c r="J8" s="4">
        <f>R8+S8+IF(OR(H8="Junior",H8="Senior"),0.0002,IF(OR(H8="L7",H8="L6"),0.0001,0))+MAX(X8,Z8)*0.0000001</f>
        <v>102.00020252</v>
      </c>
      <c r="K8" s="3" t="str">
        <f>IF(G8="Not Age Eligible","",IF(MAX(T8,V8,X8,Z8)&gt;=LOOKUP(G8,'Qualifying Scores'!$A$4:$A$7,'Qualifying Scores'!$F$4:$F$7),"P",""))</f>
        <v>P</v>
      </c>
      <c r="L8" s="3" t="str">
        <f>IF(G8="Not Age Eligible","",IF(MAX(U8,W8,Y8,AA8)&gt;=LOOKUP(G8,'Qualifying Scores'!$A$10:$A$13,'Qualifying Scores'!$F$10:$F$13),"P",""))</f>
        <v>P</v>
      </c>
      <c r="M8" s="3" t="str">
        <f>IF(G8="Not Age Eligible","",IF(OR(AND(T8&gt;=LOOKUP(G8,'Qualifying Scores'!$A$4:$A$7,'Qualifying Scores'!$F$4:$F$7),U8&gt;=LOOKUP(G8,'Qualifying Scores'!$A$10:$A$13,'Qualifying Scores'!$F$10:$F$13)),AND(X8&gt;=LOOKUP(G8,'Qualifying Scores'!$A$4:$A$7,'Qualifying Scores'!$F$4:$F$7),Y8&gt;=LOOKUP(G8,'Qualifying Scores'!$A$10:$A$13,'Qualifying Scores'!$F$10:$F$13)),AND(V8&gt;=LOOKUP(G8,'Qualifying Scores'!$A$4:$A$7,'Qualifying Scores'!$F$4:$F$7),W8&gt;=LOOKUP(G8,'Qualifying Scores'!$A$10:$A$13,'Qualifying Scores'!$F$10:$F$13)),AND(Z8&gt;=LOOKUP(G8,'Qualifying Scores'!$A$4:$A$7,'Qualifying Scores'!$F$4:$F$7),AA8&gt;=LOOKUP(G8,'Qualifying Scores'!$A$10:$A$13,'Qualifying Scores'!$F$10:$F$13))),"P",""))</f>
        <v>P</v>
      </c>
      <c r="Q8" s="1" t="str">
        <f>IF(A8&lt;5,IF(_xlfn.MAXIFS(A:A,G:G,G8)&gt;3,5-A8,_xlfn.MAXIFS(A:A,G:G,G8)+1-A8),"")</f>
        <v/>
      </c>
      <c r="R8" s="4">
        <f>MAX(T8,X8)</f>
        <v>51</v>
      </c>
      <c r="S8" s="4">
        <f>IF(R8=T8,MAX(V8,X8,Z8),IF(R8=X8,MAX(T8,V8,Z8),0))</f>
        <v>51</v>
      </c>
      <c r="T8" s="33">
        <v>51</v>
      </c>
      <c r="U8" s="40">
        <v>15.2</v>
      </c>
      <c r="V8" s="34">
        <v>51</v>
      </c>
      <c r="W8" s="40">
        <v>15.2</v>
      </c>
      <c r="X8" s="33">
        <v>25.2</v>
      </c>
      <c r="Y8" s="40">
        <v>7.6</v>
      </c>
      <c r="Z8" s="34"/>
      <c r="AA8" s="37"/>
    </row>
    <row r="9" spans="1:27" x14ac:dyDescent="0.2">
      <c r="A9" s="1" cm="1">
        <f t="array" ref="A9">IF(I9="","",IF(P9&lt;&gt;"",SUMPRODUCT((P$3:P$99&lt;&gt;"")*(G$3:G$99=G9)*(J$3:J$99&gt;J9)*(I$3:I$99="P"))+1,IF(O9&lt;&gt;"",SUMPRODUCT((O$3:O$99&lt;&gt;"")*(P$3:P$99="")*(G$3:G$99=G9)*(J$3:J$99&gt;J9)*(I$3:I$99="P"))+SUMPRODUCT((P$3:P$99&lt;&gt;"")*(G$3:G$99=G9)*(I$3:I$99="P"))+1,IF(N9&lt;&gt;"",SUMPRODUCT((N$3:N$99&lt;&gt;"")*(G$3:G$99=G9)*(J$3:J$99&gt;J9)*(I$3:I$99="P"))+1,IF(M9="P",SUMPRODUCT((O$3:O$99&lt;&gt;"")*(P$3:P$99="")*(G$3:G$99=G9)*(I$3:I$99="P"))+SUMPRODUCT((P$3:P$99&lt;&gt;"")*(G$3:G$99=G9)*(I$3:I$99="P"))+SUMPRODUCT((N$3:N$99&lt;&gt;"")*(G$3:G$99=G9)*(I$3:I$99="P"))+SUMPRODUCT((P$3:P$99="")*(O$3:O$99="")*(N$3:N$99="")*(M$3:M$99="P")*(G$3:G$99=G9)*(J$3:J$99&gt;J9)*(I$3:I$99="P"))+IF(H9="L5",SUMPRODUCT((P$3:P$99="")*(O$3:O$99="")*(N$3:N$99="")*(M$3:M$99="P")*(G$3:G$99=G9)*(J$3:J$99&lt;J9)*(H$3:H$99&lt;&gt;H9)*(I$3:I$99="P")),-1*SUMPRODUCT((P$3:P$99="")*(O$3:O$99="")*(N$3:N$99="")*(M$3:M$99="P")*(G$3:G$99=G9)*(J$3:J$99&gt;J9)*(H$3:H$99="L5")*(I$3:I$99="P")))+1,"")))))</f>
        <v>7</v>
      </c>
      <c r="B9" s="1" cm="1">
        <f t="array" ref="B9">IF(P9&lt;&gt;"",SUMPRODUCT((P$3:P$99&lt;&gt;"")*(G$3:G$99=G9)*(J$3:J$99&gt;J9))+1,IF(O9&lt;&gt;"",SUMPRODUCT((O$3:O$99&lt;&gt;"")*(P$3:P$99="")*(G$3:G$99=G9)*(J$3:J$99&gt;J9))+SUMPRODUCT((P$3:P$99&lt;&gt;"")*(G$3:G$99=G9))+1,IF(N9&lt;&gt;"",SUMPRODUCT((N$3:N$99&lt;&gt;"")*(G$3:G$99=G9)*(J$3:J$99&gt;J9))+1,IF(M9="P",SUMPRODUCT((O$3:O$99&lt;&gt;"")*(P$3:P$99="")*(G$3:G$99=G9))+SUMPRODUCT((P$3:P$99&lt;&gt;"")*(G$3:G$99=G9))+SUMPRODUCT((N$3:N$99&lt;&gt;"")*(G$3:G$99=G9))+SUMPRODUCT((P$3:P$99="")*(O$3:O$99="")*(N$3:N$99="")*(M$3:M$99="P")*(G$3:G$99=G9)*(J$3:J$99&gt;J9))+IF(H9="L5",SUMPRODUCT((P$3:P$99="")*(O$3:O$99="")*(N$3:N$99="")*(M$3:M$99="P")*(G$3:G$99=G9)*(J$3:J$99&lt;J9)*(H$3:H$99&lt;&gt;H9)),-1*SUMPRODUCT((P$3:P$99="")*(O$3:O$99="")*(N$3:N$99="")*(M$3:M$99="P")*(G$3:G$99=G9)*(J$3:J$99&gt;J9)*(H$3:H$99="L5")))+1,""))))</f>
        <v>9</v>
      </c>
      <c r="C9" s="36" t="s">
        <v>97</v>
      </c>
      <c r="D9" s="36" t="str">
        <f>IF(E9="","",VLOOKUP(E9,'Coaching Points'!A:B,2,0))</f>
        <v>MB</v>
      </c>
      <c r="E9" s="36" t="s">
        <v>69</v>
      </c>
      <c r="F9" s="35">
        <v>2005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74</v>
      </c>
      <c r="I9" s="43" t="s">
        <v>567</v>
      </c>
      <c r="J9" s="4">
        <f>R9+S9+IF(OR(H9="Junior",H9="Senior"),0.0002,IF(OR(H9="L7",H9="L6"),0.0001,0))+MAX(X9,Z9)*0.0000001</f>
        <v>101.90020510000001</v>
      </c>
      <c r="K9" s="3" t="str">
        <f>IF(G9="Not Age Eligible","",IF(MAX(T9,V9,X9,Z9)&gt;=LOOKUP(G9,'Qualifying Scores'!$A$4:$A$7,'Qualifying Scores'!$F$4:$F$7),"P",""))</f>
        <v>P</v>
      </c>
      <c r="L9" s="3" t="str">
        <f>IF(G9="Not Age Eligible","",IF(MAX(U9,W9,Y9,AA9)&gt;=LOOKUP(G9,'Qualifying Scores'!$A$10:$A$13,'Qualifying Scores'!$F$10:$F$13),"P",""))</f>
        <v>P</v>
      </c>
      <c r="M9" s="3" t="str">
        <f>IF(G9="Not Age Eligible","",IF(OR(AND(T9&gt;=LOOKUP(G9,'Qualifying Scores'!$A$4:$A$7,'Qualifying Scores'!$F$4:$F$7),U9&gt;=LOOKUP(G9,'Qualifying Scores'!$A$10:$A$13,'Qualifying Scores'!$F$10:$F$13)),AND(X9&gt;=LOOKUP(G9,'Qualifying Scores'!$A$4:$A$7,'Qualifying Scores'!$F$4:$F$7),Y9&gt;=LOOKUP(G9,'Qualifying Scores'!$A$10:$A$13,'Qualifying Scores'!$F$10:$F$13)),AND(V9&gt;=LOOKUP(G9,'Qualifying Scores'!$A$4:$A$7,'Qualifying Scores'!$F$4:$F$7),W9&gt;=LOOKUP(G9,'Qualifying Scores'!$A$10:$A$13,'Qualifying Scores'!$F$10:$F$13)),AND(Z9&gt;=LOOKUP(G9,'Qualifying Scores'!$A$4:$A$7,'Qualifying Scores'!$F$4:$F$7),AA9&gt;=LOOKUP(G9,'Qualifying Scores'!$A$10:$A$13,'Qualifying Scores'!$F$10:$F$13))),"P",""))</f>
        <v>P</v>
      </c>
      <c r="Q9" s="1" t="str">
        <f>IF(A9&lt;5,IF(_xlfn.MAXIFS(A:A,G:G,G9)&gt;3,5-A9,_xlfn.MAXIFS(A:A,G:G,G9)+1-A9),"")</f>
        <v/>
      </c>
      <c r="R9" s="4">
        <f>MAX(T9,X9)</f>
        <v>50.9</v>
      </c>
      <c r="S9" s="4">
        <f>IF(R9=T9,MAX(V9,X9,Z9),IF(R9=X9,MAX(T9,V9,Z9),0))</f>
        <v>51</v>
      </c>
      <c r="T9" s="33">
        <v>48.4</v>
      </c>
      <c r="U9" s="40">
        <v>12.4</v>
      </c>
      <c r="V9" s="34">
        <v>49.8</v>
      </c>
      <c r="W9" s="40">
        <v>13.2</v>
      </c>
      <c r="X9" s="33">
        <v>50.9</v>
      </c>
      <c r="Y9" s="40">
        <v>14</v>
      </c>
      <c r="Z9" s="34">
        <v>51</v>
      </c>
      <c r="AA9" s="37">
        <v>14</v>
      </c>
    </row>
    <row r="10" spans="1:27" x14ac:dyDescent="0.2">
      <c r="A10" s="1" cm="1">
        <f t="array" ref="A10">IF(I10="","",IF(P10&lt;&gt;"",SUMPRODUCT((P$3:P$99&lt;&gt;"")*(G$3:G$99=G10)*(J$3:J$99&gt;J10)*(I$3:I$99="P"))+1,IF(O10&lt;&gt;"",SUMPRODUCT((O$3:O$99&lt;&gt;"")*(P$3:P$99="")*(G$3:G$99=G10)*(J$3:J$99&gt;J10)*(I$3:I$99="P"))+SUMPRODUCT((P$3:P$99&lt;&gt;"")*(G$3:G$99=G10)*(I$3:I$99="P"))+1,IF(N10&lt;&gt;"",SUMPRODUCT((N$3:N$99&lt;&gt;"")*(G$3:G$99=G10)*(J$3:J$99&gt;J10)*(I$3:I$99="P"))+1,IF(M10="P",SUMPRODUCT((O$3:O$99&lt;&gt;"")*(P$3:P$99="")*(G$3:G$99=G10)*(I$3:I$99="P"))+SUMPRODUCT((P$3:P$99&lt;&gt;"")*(G$3:G$99=G10)*(I$3:I$99="P"))+SUMPRODUCT((N$3:N$99&lt;&gt;"")*(G$3:G$99=G10)*(I$3:I$99="P"))+SUMPRODUCT((P$3:P$99="")*(O$3:O$99="")*(N$3:N$99="")*(M$3:M$99="P")*(G$3:G$99=G10)*(J$3:J$99&gt;J10)*(I$3:I$99="P"))+IF(H10="L5",SUMPRODUCT((P$3:P$99="")*(O$3:O$99="")*(N$3:N$99="")*(M$3:M$99="P")*(G$3:G$99=G10)*(J$3:J$99&lt;J10)*(H$3:H$99&lt;&gt;H10)*(I$3:I$99="P")),-1*SUMPRODUCT((P$3:P$99="")*(O$3:O$99="")*(N$3:N$99="")*(M$3:M$99="P")*(G$3:G$99=G10)*(J$3:J$99&gt;J10)*(H$3:H$99="L5")*(I$3:I$99="P")))+1,"")))))</f>
        <v>8</v>
      </c>
      <c r="B10" s="1" cm="1">
        <f t="array" ref="B10">IF(P10&lt;&gt;"",SUMPRODUCT((P$3:P$99&lt;&gt;"")*(G$3:G$99=G10)*(J$3:J$99&gt;J10))+1,IF(O10&lt;&gt;"",SUMPRODUCT((O$3:O$99&lt;&gt;"")*(P$3:P$99="")*(G$3:G$99=G10)*(J$3:J$99&gt;J10))+SUMPRODUCT((P$3:P$99&lt;&gt;"")*(G$3:G$99=G10))+1,IF(N10&lt;&gt;"",SUMPRODUCT((N$3:N$99&lt;&gt;"")*(G$3:G$99=G10)*(J$3:J$99&gt;J10))+1,IF(M10="P",SUMPRODUCT((O$3:O$99&lt;&gt;"")*(P$3:P$99="")*(G$3:G$99=G10))+SUMPRODUCT((P$3:P$99&lt;&gt;"")*(G$3:G$99=G10))+SUMPRODUCT((N$3:N$99&lt;&gt;"")*(G$3:G$99=G10))+SUMPRODUCT((P$3:P$99="")*(O$3:O$99="")*(N$3:N$99="")*(M$3:M$99="P")*(G$3:G$99=G10)*(J$3:J$99&gt;J10))+IF(H10="L5",SUMPRODUCT((P$3:P$99="")*(O$3:O$99="")*(N$3:N$99="")*(M$3:M$99="P")*(G$3:G$99=G10)*(J$3:J$99&lt;J10)*(H$3:H$99&lt;&gt;H10)),-1*SUMPRODUCT((P$3:P$99="")*(O$3:O$99="")*(N$3:N$99="")*(M$3:M$99="P")*(G$3:G$99=G10)*(J$3:J$99&gt;J10)*(H$3:H$99="L5")))+1,""))))</f>
        <v>10</v>
      </c>
      <c r="C10" s="36" t="s">
        <v>112</v>
      </c>
      <c r="D10" s="36" t="str">
        <f>IF(E10="","",VLOOKUP(E10,'Coaching Points'!A:B,2,0))</f>
        <v>QC</v>
      </c>
      <c r="E10" s="36" t="s">
        <v>3</v>
      </c>
      <c r="F10" s="35">
        <v>2004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68</v>
      </c>
      <c r="I10" s="43" t="s">
        <v>567</v>
      </c>
      <c r="J10" s="4">
        <f>R10+S10+IF(OR(H10="Junior",H10="Senior"),0.0002,IF(OR(H10="L7",H10="L6"),0.0001,0))+MAX(X10,Z10)*0.0000001</f>
        <v>100.0001</v>
      </c>
      <c r="K10" s="3" t="str">
        <f>IF(G10="Not Age Eligible","",IF(MAX(T10,V10,X10,Z10)&gt;=LOOKUP(G10,'Qualifying Scores'!$A$4:$A$7,'Qualifying Scores'!$F$4:$F$7),"P",""))</f>
        <v>P</v>
      </c>
      <c r="L10" s="3" t="str">
        <f>IF(G10="Not Age Eligible","",IF(MAX(U10,W10,Y10,AA10)&gt;=LOOKUP(G10,'Qualifying Scores'!$A$10:$A$13,'Qualifying Scores'!$F$10:$F$13),"P",""))</f>
        <v>P</v>
      </c>
      <c r="M10" s="3" t="str">
        <f>IF(G10="Not Age Eligible","",IF(OR(AND(T10&gt;=LOOKUP(G10,'Qualifying Scores'!$A$4:$A$7,'Qualifying Scores'!$F$4:$F$7),U10&gt;=LOOKUP(G10,'Qualifying Scores'!$A$10:$A$13,'Qualifying Scores'!$F$10:$F$13)),AND(X10&gt;=LOOKUP(G10,'Qualifying Scores'!$A$4:$A$7,'Qualifying Scores'!$F$4:$F$7),Y10&gt;=LOOKUP(G10,'Qualifying Scores'!$A$10:$A$13,'Qualifying Scores'!$F$10:$F$13)),AND(V10&gt;=LOOKUP(G10,'Qualifying Scores'!$A$4:$A$7,'Qualifying Scores'!$F$4:$F$7),W10&gt;=LOOKUP(G10,'Qualifying Scores'!$A$10:$A$13,'Qualifying Scores'!$F$10:$F$13)),AND(Z10&gt;=LOOKUP(G10,'Qualifying Scores'!$A$4:$A$7,'Qualifying Scores'!$F$4:$F$7),AA10&gt;=LOOKUP(G10,'Qualifying Scores'!$A$10:$A$13,'Qualifying Scores'!$F$10:$F$13))),"P",""))</f>
        <v>P</v>
      </c>
      <c r="Q10" s="1" t="str">
        <f>IF(A10&lt;5,IF(_xlfn.MAXIFS(A:A,G:G,G10)&gt;3,5-A10,_xlfn.MAXIFS(A:A,G:G,G10)+1-A10),"")</f>
        <v/>
      </c>
      <c r="R10" s="4">
        <f>MAX(T10,X10)</f>
        <v>49.7</v>
      </c>
      <c r="S10" s="4">
        <f>IF(R10=T10,MAX(V10,X10,Z10),IF(R10=X10,MAX(T10,V10,Z10),0))</f>
        <v>50.3</v>
      </c>
      <c r="T10" s="33">
        <v>49.7</v>
      </c>
      <c r="U10" s="40">
        <v>12.4</v>
      </c>
      <c r="V10" s="34">
        <v>50.3</v>
      </c>
      <c r="W10" s="40">
        <v>12.4</v>
      </c>
      <c r="X10" s="33"/>
      <c r="Y10" s="40"/>
      <c r="Z10" s="34"/>
      <c r="AA10" s="37"/>
    </row>
    <row r="11" spans="1:27" x14ac:dyDescent="0.2">
      <c r="A11" s="1" cm="1">
        <f t="array" ref="A11">IF(I11="","",IF(P11&lt;&gt;"",SUMPRODUCT((P$3:P$99&lt;&gt;"")*(G$3:G$99=G11)*(J$3:J$99&gt;J11)*(I$3:I$99="P"))+1,IF(O11&lt;&gt;"",SUMPRODUCT((O$3:O$99&lt;&gt;"")*(P$3:P$99="")*(G$3:G$99=G11)*(J$3:J$99&gt;J11)*(I$3:I$99="P"))+SUMPRODUCT((P$3:P$99&lt;&gt;"")*(G$3:G$99=G11)*(I$3:I$99="P"))+1,IF(N11&lt;&gt;"",SUMPRODUCT((N$3:N$99&lt;&gt;"")*(G$3:G$99=G11)*(J$3:J$99&gt;J11)*(I$3:I$99="P"))+1,IF(M11="P",SUMPRODUCT((O$3:O$99&lt;&gt;"")*(P$3:P$99="")*(G$3:G$99=G11)*(I$3:I$99="P"))+SUMPRODUCT((P$3:P$99&lt;&gt;"")*(G$3:G$99=G11)*(I$3:I$99="P"))+SUMPRODUCT((N$3:N$99&lt;&gt;"")*(G$3:G$99=G11)*(I$3:I$99="P"))+SUMPRODUCT((P$3:P$99="")*(O$3:O$99="")*(N$3:N$99="")*(M$3:M$99="P")*(G$3:G$99=G11)*(J$3:J$99&gt;J11)*(I$3:I$99="P"))+IF(H11="L5",SUMPRODUCT((P$3:P$99="")*(O$3:O$99="")*(N$3:N$99="")*(M$3:M$99="P")*(G$3:G$99=G11)*(J$3:J$99&lt;J11)*(H$3:H$99&lt;&gt;H11)*(I$3:I$99="P")),-1*SUMPRODUCT((P$3:P$99="")*(O$3:O$99="")*(N$3:N$99="")*(M$3:M$99="P")*(G$3:G$99=G11)*(J$3:J$99&gt;J11)*(H$3:H$99="L5")*(I$3:I$99="P")))+1,"")))))</f>
        <v>9</v>
      </c>
      <c r="B11" s="1" cm="1">
        <f t="array" ref="B11">IF(P11&lt;&gt;"",SUMPRODUCT((P$3:P$99&lt;&gt;"")*(G$3:G$99=G11)*(J$3:J$99&gt;J11))+1,IF(O11&lt;&gt;"",SUMPRODUCT((O$3:O$99&lt;&gt;"")*(P$3:P$99="")*(G$3:G$99=G11)*(J$3:J$99&gt;J11))+SUMPRODUCT((P$3:P$99&lt;&gt;"")*(G$3:G$99=G11))+1,IF(N11&lt;&gt;"",SUMPRODUCT((N$3:N$99&lt;&gt;"")*(G$3:G$99=G11)*(J$3:J$99&gt;J11))+1,IF(M11="P",SUMPRODUCT((O$3:O$99&lt;&gt;"")*(P$3:P$99="")*(G$3:G$99=G11))+SUMPRODUCT((P$3:P$99&lt;&gt;"")*(G$3:G$99=G11))+SUMPRODUCT((N$3:N$99&lt;&gt;"")*(G$3:G$99=G11))+SUMPRODUCT((P$3:P$99="")*(O$3:O$99="")*(N$3:N$99="")*(M$3:M$99="P")*(G$3:G$99=G11)*(J$3:J$99&gt;J11))+IF(H11="L5",SUMPRODUCT((P$3:P$99="")*(O$3:O$99="")*(N$3:N$99="")*(M$3:M$99="P")*(G$3:G$99=G11)*(J$3:J$99&lt;J11)*(H$3:H$99&lt;&gt;H11)),-1*SUMPRODUCT((P$3:P$99="")*(O$3:O$99="")*(N$3:N$99="")*(M$3:M$99="P")*(G$3:G$99=G11)*(J$3:J$99&gt;J11)*(H$3:H$99="L5")))+1,""))))</f>
        <v>11</v>
      </c>
      <c r="C11" s="36" t="s">
        <v>107</v>
      </c>
      <c r="D11" s="36" t="str">
        <f>IF(E11="","",VLOOKUP(E11,'Coaching Points'!A:B,2,0))</f>
        <v>ON</v>
      </c>
      <c r="E11" s="36" t="s">
        <v>73</v>
      </c>
      <c r="F11" s="35">
        <v>2005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74</v>
      </c>
      <c r="I11" s="43" t="s">
        <v>567</v>
      </c>
      <c r="J11" s="4">
        <f>R11+S11+IF(OR(H11="Junior",H11="Senior"),0.0002,IF(OR(H11="L7",H11="L6"),0.0001,0))+MAX(X11,Z11)*0.0000001</f>
        <v>99.900205040000017</v>
      </c>
      <c r="K11" s="3" t="str">
        <f>IF(G11="Not Age Eligible","",IF(MAX(T11,V11,X11,Z11)&gt;=LOOKUP(G11,'Qualifying Scores'!$A$4:$A$7,'Qualifying Scores'!$F$4:$F$7),"P",""))</f>
        <v>P</v>
      </c>
      <c r="L11" s="3" t="str">
        <f>IF(G11="Not Age Eligible","",IF(MAX(U11,W11,Y11,AA11)&gt;=LOOKUP(G11,'Qualifying Scores'!$A$10:$A$13,'Qualifying Scores'!$F$10:$F$13),"P",""))</f>
        <v>P</v>
      </c>
      <c r="M11" s="3" t="str">
        <f>IF(G11="Not Age Eligible","",IF(OR(AND(T11&gt;=LOOKUP(G11,'Qualifying Scores'!$A$4:$A$7,'Qualifying Scores'!$F$4:$F$7),U11&gt;=LOOKUP(G11,'Qualifying Scores'!$A$10:$A$13,'Qualifying Scores'!$F$10:$F$13)),AND(X11&gt;=LOOKUP(G11,'Qualifying Scores'!$A$4:$A$7,'Qualifying Scores'!$F$4:$F$7),Y11&gt;=LOOKUP(G11,'Qualifying Scores'!$A$10:$A$13,'Qualifying Scores'!$F$10:$F$13)),AND(V11&gt;=LOOKUP(G11,'Qualifying Scores'!$A$4:$A$7,'Qualifying Scores'!$F$4:$F$7),W11&gt;=LOOKUP(G11,'Qualifying Scores'!$A$10:$A$13,'Qualifying Scores'!$F$10:$F$13)),AND(Z11&gt;=LOOKUP(G11,'Qualifying Scores'!$A$4:$A$7,'Qualifying Scores'!$F$4:$F$7),AA11&gt;=LOOKUP(G11,'Qualifying Scores'!$A$10:$A$13,'Qualifying Scores'!$F$10:$F$13))),"P",""))</f>
        <v>P</v>
      </c>
      <c r="Q11" s="1" t="str">
        <f>IF(A11&lt;5,IF(_xlfn.MAXIFS(A:A,G:G,G11)&gt;3,5-A11,_xlfn.MAXIFS(A:A,G:G,G11)+1-A11),"")</f>
        <v/>
      </c>
      <c r="R11" s="4">
        <f>MAX(T11,X11)</f>
        <v>49.5</v>
      </c>
      <c r="S11" s="4">
        <f>IF(R11=T11,MAX(V11,X11,Z11),IF(R11=X11,MAX(T11,V11,Z11),0))</f>
        <v>50.4</v>
      </c>
      <c r="T11" s="33">
        <v>24.2</v>
      </c>
      <c r="U11" s="40">
        <v>6</v>
      </c>
      <c r="V11" s="34"/>
      <c r="W11" s="40"/>
      <c r="X11" s="33">
        <v>49.5</v>
      </c>
      <c r="Y11" s="40">
        <v>12.4</v>
      </c>
      <c r="Z11" s="34">
        <v>50.4</v>
      </c>
      <c r="AA11" s="37">
        <v>13.2</v>
      </c>
    </row>
    <row r="12" spans="1:27" x14ac:dyDescent="0.2">
      <c r="A12" s="1" cm="1">
        <f t="array" ref="A12">IF(I12="","",IF(P12&lt;&gt;"",SUMPRODUCT((P$3:P$99&lt;&gt;"")*(G$3:G$99=G12)*(J$3:J$99&gt;J12)*(I$3:I$99="P"))+1,IF(O12&lt;&gt;"",SUMPRODUCT((O$3:O$99&lt;&gt;"")*(P$3:P$99="")*(G$3:G$99=G12)*(J$3:J$99&gt;J12)*(I$3:I$99="P"))+SUMPRODUCT((P$3:P$99&lt;&gt;"")*(G$3:G$99=G12)*(I$3:I$99="P"))+1,IF(N12&lt;&gt;"",SUMPRODUCT((N$3:N$99&lt;&gt;"")*(G$3:G$99=G12)*(J$3:J$99&gt;J12)*(I$3:I$99="P"))+1,IF(M12="P",SUMPRODUCT((O$3:O$99&lt;&gt;"")*(P$3:P$99="")*(G$3:G$99=G12)*(I$3:I$99="P"))+SUMPRODUCT((P$3:P$99&lt;&gt;"")*(G$3:G$99=G12)*(I$3:I$99="P"))+SUMPRODUCT((N$3:N$99&lt;&gt;"")*(G$3:G$99=G12)*(I$3:I$99="P"))+SUMPRODUCT((P$3:P$99="")*(O$3:O$99="")*(N$3:N$99="")*(M$3:M$99="P")*(G$3:G$99=G12)*(J$3:J$99&gt;J12)*(I$3:I$99="P"))+IF(H12="L5",SUMPRODUCT((P$3:P$99="")*(O$3:O$99="")*(N$3:N$99="")*(M$3:M$99="P")*(G$3:G$99=G12)*(J$3:J$99&lt;J12)*(H$3:H$99&lt;&gt;H12)*(I$3:I$99="P")),-1*SUMPRODUCT((P$3:P$99="")*(O$3:O$99="")*(N$3:N$99="")*(M$3:M$99="P")*(G$3:G$99=G12)*(J$3:J$99&gt;J12)*(H$3:H$99="L5")*(I$3:I$99="P")))+1,"")))))</f>
        <v>10</v>
      </c>
      <c r="B12" s="1" cm="1">
        <f t="array" ref="B12">IF(P12&lt;&gt;"",SUMPRODUCT((P$3:P$99&lt;&gt;"")*(G$3:G$99=G12)*(J$3:J$99&gt;J12))+1,IF(O12&lt;&gt;"",SUMPRODUCT((O$3:O$99&lt;&gt;"")*(P$3:P$99="")*(G$3:G$99=G12)*(J$3:J$99&gt;J12))+SUMPRODUCT((P$3:P$99&lt;&gt;"")*(G$3:G$99=G12))+1,IF(N12&lt;&gt;"",SUMPRODUCT((N$3:N$99&lt;&gt;"")*(G$3:G$99=G12)*(J$3:J$99&gt;J12))+1,IF(M12="P",SUMPRODUCT((O$3:O$99&lt;&gt;"")*(P$3:P$99="")*(G$3:G$99=G12))+SUMPRODUCT((P$3:P$99&lt;&gt;"")*(G$3:G$99=G12))+SUMPRODUCT((N$3:N$99&lt;&gt;"")*(G$3:G$99=G12))+SUMPRODUCT((P$3:P$99="")*(O$3:O$99="")*(N$3:N$99="")*(M$3:M$99="P")*(G$3:G$99=G12)*(J$3:J$99&gt;J12))+IF(H12="L5",SUMPRODUCT((P$3:P$99="")*(O$3:O$99="")*(N$3:N$99="")*(M$3:M$99="P")*(G$3:G$99=G12)*(J$3:J$99&lt;J12)*(H$3:H$99&lt;&gt;H12)),-1*SUMPRODUCT((P$3:P$99="")*(O$3:O$99="")*(N$3:N$99="")*(M$3:M$99="P")*(G$3:G$99=G12)*(J$3:J$99&gt;J12)*(H$3:H$99="L5")))+1,""))))</f>
        <v>12</v>
      </c>
      <c r="C12" s="36" t="s">
        <v>75</v>
      </c>
      <c r="D12" s="36" t="str">
        <f>IF(E12="","",VLOOKUP(E12,'Coaching Points'!A:B,2,0))</f>
        <v>ON</v>
      </c>
      <c r="E12" s="36" t="s">
        <v>71</v>
      </c>
      <c r="F12" s="35">
        <v>2006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 t="s">
        <v>567</v>
      </c>
      <c r="J12" s="4">
        <f>R12+S12+IF(OR(H12="Junior",H12="Senior"),0.0002,IF(OR(H12="L7",H12="L6"),0.0001,0))+MAX(X12,Z12)*0.0000001</f>
        <v>99.600105020000001</v>
      </c>
      <c r="K12" s="3" t="str">
        <f>IF(G12="Not Age Eligible","",IF(MAX(T12,V12,X12,Z12)&gt;=LOOKUP(G12,'Qualifying Scores'!$A$4:$A$7,'Qualifying Scores'!$F$4:$F$7),"P",""))</f>
        <v>P</v>
      </c>
      <c r="L12" s="3" t="str">
        <f>IF(G12="Not Age Eligible","",IF(MAX(U12,W12,Y12,AA12)&gt;=LOOKUP(G12,'Qualifying Scores'!$A$10:$A$13,'Qualifying Scores'!$F$10:$F$13),"P",""))</f>
        <v>P</v>
      </c>
      <c r="M12" s="3" t="str">
        <f>IF(G12="Not Age Eligible","",IF(OR(AND(T12&gt;=LOOKUP(G12,'Qualifying Scores'!$A$4:$A$7,'Qualifying Scores'!$F$4:$F$7),U12&gt;=LOOKUP(G12,'Qualifying Scores'!$A$10:$A$13,'Qualifying Scores'!$F$10:$F$13)),AND(X12&gt;=LOOKUP(G12,'Qualifying Scores'!$A$4:$A$7,'Qualifying Scores'!$F$4:$F$7),Y12&gt;=LOOKUP(G12,'Qualifying Scores'!$A$10:$A$13,'Qualifying Scores'!$F$10:$F$13)),AND(V12&gt;=LOOKUP(G12,'Qualifying Scores'!$A$4:$A$7,'Qualifying Scores'!$F$4:$F$7),W12&gt;=LOOKUP(G12,'Qualifying Scores'!$A$10:$A$13,'Qualifying Scores'!$F$10:$F$13)),AND(Z12&gt;=LOOKUP(G12,'Qualifying Scores'!$A$4:$A$7,'Qualifying Scores'!$F$4:$F$7),AA12&gt;=LOOKUP(G12,'Qualifying Scores'!$A$10:$A$13,'Qualifying Scores'!$F$10:$F$13))),"P",""))</f>
        <v>P</v>
      </c>
      <c r="Q12" s="1" t="str">
        <f>IF(A12&lt;5,IF(_xlfn.MAXIFS(A:A,G:G,G12)&gt;3,5-A12,_xlfn.MAXIFS(A:A,G:G,G12)+1-A12),"")</f>
        <v/>
      </c>
      <c r="R12" s="4">
        <f>MAX(T12,X12)</f>
        <v>49.4</v>
      </c>
      <c r="S12" s="4">
        <f>IF(R12=T12,MAX(V12,X12,Z12),IF(R12=X12,MAX(T12,V12,Z12),0))</f>
        <v>50.2</v>
      </c>
      <c r="T12" s="33">
        <v>40.1</v>
      </c>
      <c r="U12" s="40">
        <v>3.5</v>
      </c>
      <c r="V12" s="34">
        <v>45.6</v>
      </c>
      <c r="W12" s="40">
        <v>9.6000000000000014</v>
      </c>
      <c r="X12" s="33">
        <v>49.4</v>
      </c>
      <c r="Y12" s="40">
        <v>12.8</v>
      </c>
      <c r="Z12" s="34">
        <v>50.2</v>
      </c>
      <c r="AA12" s="37">
        <v>12.8</v>
      </c>
    </row>
    <row r="13" spans="1:27" x14ac:dyDescent="0.2">
      <c r="A13" s="1" cm="1">
        <f t="array" ref="A13">IF(I13="","",IF(P13&lt;&gt;"",SUMPRODUCT((P$3:P$99&lt;&gt;"")*(G$3:G$99=G13)*(J$3:J$99&gt;J13)*(I$3:I$99="P"))+1,IF(O13&lt;&gt;"",SUMPRODUCT((O$3:O$99&lt;&gt;"")*(P$3:P$99="")*(G$3:G$99=G13)*(J$3:J$99&gt;J13)*(I$3:I$99="P"))+SUMPRODUCT((P$3:P$99&lt;&gt;"")*(G$3:G$99=G13)*(I$3:I$99="P"))+1,IF(N13&lt;&gt;"",SUMPRODUCT((N$3:N$99&lt;&gt;"")*(G$3:G$99=G13)*(J$3:J$99&gt;J13)*(I$3:I$99="P"))+1,IF(M13="P",SUMPRODUCT((O$3:O$99&lt;&gt;"")*(P$3:P$99="")*(G$3:G$99=G13)*(I$3:I$99="P"))+SUMPRODUCT((P$3:P$99&lt;&gt;"")*(G$3:G$99=G13)*(I$3:I$99="P"))+SUMPRODUCT((N$3:N$99&lt;&gt;"")*(G$3:G$99=G13)*(I$3:I$99="P"))+SUMPRODUCT((P$3:P$99="")*(O$3:O$99="")*(N$3:N$99="")*(M$3:M$99="P")*(G$3:G$99=G13)*(J$3:J$99&gt;J13)*(I$3:I$99="P"))+IF(H13="L5",SUMPRODUCT((P$3:P$99="")*(O$3:O$99="")*(N$3:N$99="")*(M$3:M$99="P")*(G$3:G$99=G13)*(J$3:J$99&lt;J13)*(H$3:H$99&lt;&gt;H13)*(I$3:I$99="P")),-1*SUMPRODUCT((P$3:P$99="")*(O$3:O$99="")*(N$3:N$99="")*(M$3:M$99="P")*(G$3:G$99=G13)*(J$3:J$99&gt;J13)*(H$3:H$99="L5")*(I$3:I$99="P")))+1,"")))))</f>
        <v>11</v>
      </c>
      <c r="B13" s="1" cm="1">
        <f t="array" ref="B13">IF(P13&lt;&gt;"",SUMPRODUCT((P$3:P$99&lt;&gt;"")*(G$3:G$99=G13)*(J$3:J$99&gt;J13))+1,IF(O13&lt;&gt;"",SUMPRODUCT((O$3:O$99&lt;&gt;"")*(P$3:P$99="")*(G$3:G$99=G13)*(J$3:J$99&gt;J13))+SUMPRODUCT((P$3:P$99&lt;&gt;"")*(G$3:G$99=G13))+1,IF(N13&lt;&gt;"",SUMPRODUCT((N$3:N$99&lt;&gt;"")*(G$3:G$99=G13)*(J$3:J$99&gt;J13))+1,IF(M13="P",SUMPRODUCT((O$3:O$99&lt;&gt;"")*(P$3:P$99="")*(G$3:G$99=G13))+SUMPRODUCT((P$3:P$99&lt;&gt;"")*(G$3:G$99=G13))+SUMPRODUCT((N$3:N$99&lt;&gt;"")*(G$3:G$99=G13))+SUMPRODUCT((P$3:P$99="")*(O$3:O$99="")*(N$3:N$99="")*(M$3:M$99="P")*(G$3:G$99=G13)*(J$3:J$99&gt;J13))+IF(H13="L5",SUMPRODUCT((P$3:P$99="")*(O$3:O$99="")*(N$3:N$99="")*(M$3:M$99="P")*(G$3:G$99=G13)*(J$3:J$99&lt;J13)*(H$3:H$99&lt;&gt;H13)),-1*SUMPRODUCT((P$3:P$99="")*(O$3:O$99="")*(N$3:N$99="")*(M$3:M$99="P")*(G$3:G$99=G13)*(J$3:J$99&gt;J13)*(H$3:H$99="L5")))+1,""))))</f>
        <v>15</v>
      </c>
      <c r="C13" s="36" t="s">
        <v>90</v>
      </c>
      <c r="D13" s="36" t="str">
        <f>IF(E13="","",VLOOKUP(E13,'Coaching Points'!A:B,2,0))</f>
        <v>ON</v>
      </c>
      <c r="E13" s="36" t="s">
        <v>47</v>
      </c>
      <c r="F13" s="35">
        <v>2006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 t="s">
        <v>567</v>
      </c>
      <c r="J13" s="4">
        <f>R13+S13+IF(OR(H13="Junior",H13="Senior"),0.0002,IF(OR(H13="L7",H13="L6"),0.0001,0))+MAX(X13,Z13)*0.0000001</f>
        <v>98.80010498</v>
      </c>
      <c r="K13" s="3" t="str">
        <f>IF(G13="Not Age Eligible","",IF(MAX(T13,V13,X13,Z13)&gt;=LOOKUP(G13,'Qualifying Scores'!$A$4:$A$7,'Qualifying Scores'!$F$4:$F$7),"P",""))</f>
        <v>P</v>
      </c>
      <c r="L13" s="3" t="str">
        <f>IF(G13="Not Age Eligible","",IF(MAX(U13,W13,Y13,AA13)&gt;=LOOKUP(G13,'Qualifying Scores'!$A$10:$A$13,'Qualifying Scores'!$F$10:$F$13),"P",""))</f>
        <v>P</v>
      </c>
      <c r="M13" s="3" t="str">
        <f>IF(G13="Not Age Eligible","",IF(OR(AND(T13&gt;=LOOKUP(G13,'Qualifying Scores'!$A$4:$A$7,'Qualifying Scores'!$F$4:$F$7),U13&gt;=LOOKUP(G13,'Qualifying Scores'!$A$10:$A$13,'Qualifying Scores'!$F$10:$F$13)),AND(X13&gt;=LOOKUP(G13,'Qualifying Scores'!$A$4:$A$7,'Qualifying Scores'!$F$4:$F$7),Y13&gt;=LOOKUP(G13,'Qualifying Scores'!$A$10:$A$13,'Qualifying Scores'!$F$10:$F$13)),AND(V13&gt;=LOOKUP(G13,'Qualifying Scores'!$A$4:$A$7,'Qualifying Scores'!$F$4:$F$7),W13&gt;=LOOKUP(G13,'Qualifying Scores'!$A$10:$A$13,'Qualifying Scores'!$F$10:$F$13)),AND(Z13&gt;=LOOKUP(G13,'Qualifying Scores'!$A$4:$A$7,'Qualifying Scores'!$F$4:$F$7),AA13&gt;=LOOKUP(G13,'Qualifying Scores'!$A$10:$A$13,'Qualifying Scores'!$F$10:$F$13))),"P",""))</f>
        <v>P</v>
      </c>
      <c r="Q13" s="1" t="str">
        <f>IF(A13&lt;5,IF(_xlfn.MAXIFS(A:A,G:G,G13)&gt;3,5-A13,_xlfn.MAXIFS(A:A,G:G,G13)+1-A13),"")</f>
        <v/>
      </c>
      <c r="R13" s="4">
        <f>MAX(T13,X13)</f>
        <v>49</v>
      </c>
      <c r="S13" s="4">
        <f>IF(R13=T13,MAX(V13,X13,Z13),IF(R13=X13,MAX(T13,V13,Z13),0))</f>
        <v>49.8</v>
      </c>
      <c r="T13" s="33">
        <v>49</v>
      </c>
      <c r="U13" s="40">
        <v>12</v>
      </c>
      <c r="V13" s="34">
        <v>47.1</v>
      </c>
      <c r="W13" s="40">
        <v>11.6</v>
      </c>
      <c r="X13" s="33">
        <v>48.7</v>
      </c>
      <c r="Y13" s="40">
        <v>13.2</v>
      </c>
      <c r="Z13" s="34">
        <v>49.8</v>
      </c>
      <c r="AA13" s="37">
        <v>14</v>
      </c>
    </row>
    <row r="14" spans="1:27" x14ac:dyDescent="0.2">
      <c r="A14" s="1" cm="1">
        <f t="array" ref="A14">IF(I14="","",IF(P14&lt;&gt;"",SUMPRODUCT((P$3:P$99&lt;&gt;"")*(G$3:G$99=G14)*(J$3:J$99&gt;J14)*(I$3:I$99="P"))+1,IF(O14&lt;&gt;"",SUMPRODUCT((O$3:O$99&lt;&gt;"")*(P$3:P$99="")*(G$3:G$99=G14)*(J$3:J$99&gt;J14)*(I$3:I$99="P"))+SUMPRODUCT((P$3:P$99&lt;&gt;"")*(G$3:G$99=G14)*(I$3:I$99="P"))+1,IF(N14&lt;&gt;"",SUMPRODUCT((N$3:N$99&lt;&gt;"")*(G$3:G$99=G14)*(J$3:J$99&gt;J14)*(I$3:I$99="P"))+1,IF(M14="P",SUMPRODUCT((O$3:O$99&lt;&gt;"")*(P$3:P$99="")*(G$3:G$99=G14)*(I$3:I$99="P"))+SUMPRODUCT((P$3:P$99&lt;&gt;"")*(G$3:G$99=G14)*(I$3:I$99="P"))+SUMPRODUCT((N$3:N$99&lt;&gt;"")*(G$3:G$99=G14)*(I$3:I$99="P"))+SUMPRODUCT((P$3:P$99="")*(O$3:O$99="")*(N$3:N$99="")*(M$3:M$99="P")*(G$3:G$99=G14)*(J$3:J$99&gt;J14)*(I$3:I$99="P"))+IF(H14="L5",SUMPRODUCT((P$3:P$99="")*(O$3:O$99="")*(N$3:N$99="")*(M$3:M$99="P")*(G$3:G$99=G14)*(J$3:J$99&lt;J14)*(H$3:H$99&lt;&gt;H14)*(I$3:I$99="P")),-1*SUMPRODUCT((P$3:P$99="")*(O$3:O$99="")*(N$3:N$99="")*(M$3:M$99="P")*(G$3:G$99=G14)*(J$3:J$99&gt;J14)*(H$3:H$99="L5")*(I$3:I$99="P")))+1,"")))))</f>
        <v>12</v>
      </c>
      <c r="B14" s="1" cm="1">
        <f t="array" ref="B14">IF(P14&lt;&gt;"",SUMPRODUCT((P$3:P$99&lt;&gt;"")*(G$3:G$99=G14)*(J$3:J$99&gt;J14))+1,IF(O14&lt;&gt;"",SUMPRODUCT((O$3:O$99&lt;&gt;"")*(P$3:P$99="")*(G$3:G$99=G14)*(J$3:J$99&gt;J14))+SUMPRODUCT((P$3:P$99&lt;&gt;"")*(G$3:G$99=G14))+1,IF(N14&lt;&gt;"",SUMPRODUCT((N$3:N$99&lt;&gt;"")*(G$3:G$99=G14)*(J$3:J$99&gt;J14))+1,IF(M14="P",SUMPRODUCT((O$3:O$99&lt;&gt;"")*(P$3:P$99="")*(G$3:G$99=G14))+SUMPRODUCT((P$3:P$99&lt;&gt;"")*(G$3:G$99=G14))+SUMPRODUCT((N$3:N$99&lt;&gt;"")*(G$3:G$99=G14))+SUMPRODUCT((P$3:P$99="")*(O$3:O$99="")*(N$3:N$99="")*(M$3:M$99="P")*(G$3:G$99=G14)*(J$3:J$99&gt;J14))+IF(H14="L5",SUMPRODUCT((P$3:P$99="")*(O$3:O$99="")*(N$3:N$99="")*(M$3:M$99="P")*(G$3:G$99=G14)*(J$3:J$99&lt;J14)*(H$3:H$99&lt;&gt;H14)),-1*SUMPRODUCT((P$3:P$99="")*(O$3:O$99="")*(N$3:N$99="")*(M$3:M$99="P")*(G$3:G$99=G14)*(J$3:J$99&gt;J14)*(H$3:H$99="L5")))+1,""))))</f>
        <v>17</v>
      </c>
      <c r="C14" s="36" t="s">
        <v>226</v>
      </c>
      <c r="D14" s="36" t="str">
        <f>IF(E14="","",VLOOKUP(E14,'Coaching Points'!A:B,2,0))</f>
        <v>QC</v>
      </c>
      <c r="E14" s="36" t="s">
        <v>284</v>
      </c>
      <c r="F14" s="35">
        <v>2004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68</v>
      </c>
      <c r="I14" s="43" t="s">
        <v>567</v>
      </c>
      <c r="J14" s="4">
        <f>R14+S14+IF(OR(H14="Junior",H14="Senior"),0.0002,IF(OR(H14="L7",H14="L6"),0.0001,0))+MAX(X14,Z14)*0.0000001</f>
        <v>96.200104850000002</v>
      </c>
      <c r="K14" s="3" t="str">
        <f>IF(G14="Not Age Eligible","",IF(MAX(T14,V14,X14,Z14)&gt;=LOOKUP(G14,'Qualifying Scores'!$A$4:$A$7,'Qualifying Scores'!$F$4:$F$7),"P",""))</f>
        <v>P</v>
      </c>
      <c r="L14" s="3" t="str">
        <f>IF(G14="Not Age Eligible","",IF(MAX(U14,W14,Y14,AA14)&gt;=LOOKUP(G14,'Qualifying Scores'!$A$10:$A$13,'Qualifying Scores'!$F$10:$F$13),"P",""))</f>
        <v>P</v>
      </c>
      <c r="M14" s="3" t="str">
        <f>IF(G14="Not Age Eligible","",IF(OR(AND(T14&gt;=LOOKUP(G14,'Qualifying Scores'!$A$4:$A$7,'Qualifying Scores'!$F$4:$F$7),U14&gt;=LOOKUP(G14,'Qualifying Scores'!$A$10:$A$13,'Qualifying Scores'!$F$10:$F$13)),AND(X14&gt;=LOOKUP(G14,'Qualifying Scores'!$A$4:$A$7,'Qualifying Scores'!$F$4:$F$7),Y14&gt;=LOOKUP(G14,'Qualifying Scores'!$A$10:$A$13,'Qualifying Scores'!$F$10:$F$13)),AND(V14&gt;=LOOKUP(G14,'Qualifying Scores'!$A$4:$A$7,'Qualifying Scores'!$F$4:$F$7),W14&gt;=LOOKUP(G14,'Qualifying Scores'!$A$10:$A$13,'Qualifying Scores'!$F$10:$F$13)),AND(Z14&gt;=LOOKUP(G14,'Qualifying Scores'!$A$4:$A$7,'Qualifying Scores'!$F$4:$F$7),AA14&gt;=LOOKUP(G14,'Qualifying Scores'!$A$10:$A$13,'Qualifying Scores'!$F$10:$F$13))),"P",""))</f>
        <v>P</v>
      </c>
      <c r="Q14" s="1" t="str">
        <f>IF(A14&lt;5,IF(_xlfn.MAXIFS(A:A,G:G,G14)&gt;3,5-A14,_xlfn.MAXIFS(A:A,G:G,G14)+1-A14),"")</f>
        <v/>
      </c>
      <c r="R14" s="4">
        <f>MAX(T14,X14)</f>
        <v>48.5</v>
      </c>
      <c r="S14" s="4">
        <f>IF(R14=T14,MAX(V14,X14,Z14),IF(R14=X14,MAX(T14,V14,Z14),0))</f>
        <v>47.7</v>
      </c>
      <c r="T14" s="33">
        <v>44.1</v>
      </c>
      <c r="U14" s="40">
        <v>6.6</v>
      </c>
      <c r="V14" s="34">
        <v>44.7</v>
      </c>
      <c r="W14" s="40">
        <v>8.3000000000000007</v>
      </c>
      <c r="X14" s="33">
        <v>48.5</v>
      </c>
      <c r="Y14" s="40">
        <v>12.8</v>
      </c>
      <c r="Z14" s="34">
        <v>47.7</v>
      </c>
      <c r="AA14" s="37">
        <v>13.2</v>
      </c>
    </row>
    <row r="15" spans="1:27" x14ac:dyDescent="0.2">
      <c r="A15" s="1" cm="1">
        <f t="array" ref="A15">IF(I15="","",IF(P15&lt;&gt;"",SUMPRODUCT((P$3:P$99&lt;&gt;"")*(G$3:G$99=G15)*(J$3:J$99&gt;J15)*(I$3:I$99="P"))+1,IF(O15&lt;&gt;"",SUMPRODUCT((O$3:O$99&lt;&gt;"")*(P$3:P$99="")*(G$3:G$99=G15)*(J$3:J$99&gt;J15)*(I$3:I$99="P"))+SUMPRODUCT((P$3:P$99&lt;&gt;"")*(G$3:G$99=G15)*(I$3:I$99="P"))+1,IF(N15&lt;&gt;"",SUMPRODUCT((N$3:N$99&lt;&gt;"")*(G$3:G$99=G15)*(J$3:J$99&gt;J15)*(I$3:I$99="P"))+1,IF(M15="P",SUMPRODUCT((O$3:O$99&lt;&gt;"")*(P$3:P$99="")*(G$3:G$99=G15)*(I$3:I$99="P"))+SUMPRODUCT((P$3:P$99&lt;&gt;"")*(G$3:G$99=G15)*(I$3:I$99="P"))+SUMPRODUCT((N$3:N$99&lt;&gt;"")*(G$3:G$99=G15)*(I$3:I$99="P"))+SUMPRODUCT((P$3:P$99="")*(O$3:O$99="")*(N$3:N$99="")*(M$3:M$99="P")*(G$3:G$99=G15)*(J$3:J$99&gt;J15)*(I$3:I$99="P"))+IF(H15="L5",SUMPRODUCT((P$3:P$99="")*(O$3:O$99="")*(N$3:N$99="")*(M$3:M$99="P")*(G$3:G$99=G15)*(J$3:J$99&lt;J15)*(H$3:H$99&lt;&gt;H15)*(I$3:I$99="P")),-1*SUMPRODUCT((P$3:P$99="")*(O$3:O$99="")*(N$3:N$99="")*(M$3:M$99="P")*(G$3:G$99=G15)*(J$3:J$99&gt;J15)*(H$3:H$99="L5")*(I$3:I$99="P")))+1,"")))))</f>
        <v>13</v>
      </c>
      <c r="B15" s="1" cm="1">
        <f t="array" ref="B15">IF(P15&lt;&gt;"",SUMPRODUCT((P$3:P$99&lt;&gt;"")*(G$3:G$99=G15)*(J$3:J$99&gt;J15))+1,IF(O15&lt;&gt;"",SUMPRODUCT((O$3:O$99&lt;&gt;"")*(P$3:P$99="")*(G$3:G$99=G15)*(J$3:J$99&gt;J15))+SUMPRODUCT((P$3:P$99&lt;&gt;"")*(G$3:G$99=G15))+1,IF(N15&lt;&gt;"",SUMPRODUCT((N$3:N$99&lt;&gt;"")*(G$3:G$99=G15)*(J$3:J$99&gt;J15))+1,IF(M15="P",SUMPRODUCT((O$3:O$99&lt;&gt;"")*(P$3:P$99="")*(G$3:G$99=G15))+SUMPRODUCT((P$3:P$99&lt;&gt;"")*(G$3:G$99=G15))+SUMPRODUCT((N$3:N$99&lt;&gt;"")*(G$3:G$99=G15))+SUMPRODUCT((P$3:P$99="")*(O$3:O$99="")*(N$3:N$99="")*(M$3:M$99="P")*(G$3:G$99=G15)*(J$3:J$99&gt;J15))+IF(H15="L5",SUMPRODUCT((P$3:P$99="")*(O$3:O$99="")*(N$3:N$99="")*(M$3:M$99="P")*(G$3:G$99=G15)*(J$3:J$99&lt;J15)*(H$3:H$99&lt;&gt;H15)),-1*SUMPRODUCT((P$3:P$99="")*(O$3:O$99="")*(N$3:N$99="")*(M$3:M$99="P")*(G$3:G$99=G15)*(J$3:J$99&gt;J15)*(H$3:H$99="L5")))+1,""))))</f>
        <v>18</v>
      </c>
      <c r="C15" s="36" t="s">
        <v>114</v>
      </c>
      <c r="D15" s="36" t="str">
        <f>IF(E15="","",VLOOKUP(E15,'Coaching Points'!A:B,2,0))</f>
        <v>QC</v>
      </c>
      <c r="E15" s="36" t="s">
        <v>3</v>
      </c>
      <c r="F15" s="35">
        <v>2005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74</v>
      </c>
      <c r="I15" s="43" t="s">
        <v>567</v>
      </c>
      <c r="J15" s="4">
        <f>R15+S15+IF(OR(H15="Junior",H15="Senior"),0.0002,IF(OR(H15="L7",H15="L6"),0.0001,0))+MAX(X15,Z15)*0.0000001</f>
        <v>95.400200000000012</v>
      </c>
      <c r="K15" s="3" t="str">
        <f>IF(G15="Not Age Eligible","",IF(MAX(T15,V15,X15,Z15)&gt;=LOOKUP(G15,'Qualifying Scores'!$A$4:$A$7,'Qualifying Scores'!$F$4:$F$7),"P",""))</f>
        <v>P</v>
      </c>
      <c r="L15" s="3" t="str">
        <f>IF(G15="Not Age Eligible","",IF(MAX(U15,W15,Y15,AA15)&gt;=LOOKUP(G15,'Qualifying Scores'!$A$10:$A$13,'Qualifying Scores'!$F$10:$F$13),"P",""))</f>
        <v>P</v>
      </c>
      <c r="M15" s="3" t="str">
        <f>IF(G15="Not Age Eligible","",IF(OR(AND(T15&gt;=LOOKUP(G15,'Qualifying Scores'!$A$4:$A$7,'Qualifying Scores'!$F$4:$F$7),U15&gt;=LOOKUP(G15,'Qualifying Scores'!$A$10:$A$13,'Qualifying Scores'!$F$10:$F$13)),AND(X15&gt;=LOOKUP(G15,'Qualifying Scores'!$A$4:$A$7,'Qualifying Scores'!$F$4:$F$7),Y15&gt;=LOOKUP(G15,'Qualifying Scores'!$A$10:$A$13,'Qualifying Scores'!$F$10:$F$13)),AND(V15&gt;=LOOKUP(G15,'Qualifying Scores'!$A$4:$A$7,'Qualifying Scores'!$F$4:$F$7),W15&gt;=LOOKUP(G15,'Qualifying Scores'!$A$10:$A$13,'Qualifying Scores'!$F$10:$F$13)),AND(Z15&gt;=LOOKUP(G15,'Qualifying Scores'!$A$4:$A$7,'Qualifying Scores'!$F$4:$F$7),AA15&gt;=LOOKUP(G15,'Qualifying Scores'!$A$10:$A$13,'Qualifying Scores'!$F$10:$F$13))),"P",""))</f>
        <v>P</v>
      </c>
      <c r="Q15" s="1" t="str">
        <f>IF(A15&lt;5,IF(_xlfn.MAXIFS(A:A,G:G,G15)&gt;3,5-A15,_xlfn.MAXIFS(A:A,G:G,G15)+1-A15),"")</f>
        <v/>
      </c>
      <c r="R15" s="4">
        <f>MAX(T15,X15)</f>
        <v>49.5</v>
      </c>
      <c r="S15" s="4">
        <f>IF(R15=T15,MAX(V15,X15,Z15),IF(R15=X15,MAX(T15,V15,Z15),0))</f>
        <v>45.9</v>
      </c>
      <c r="T15" s="33">
        <v>49.5</v>
      </c>
      <c r="U15" s="40">
        <v>12.399999999999999</v>
      </c>
      <c r="V15" s="34">
        <v>45.9</v>
      </c>
      <c r="W15" s="40">
        <v>10.8</v>
      </c>
      <c r="X15" s="33"/>
      <c r="Y15" s="40"/>
      <c r="Z15" s="34"/>
      <c r="AA15" s="37"/>
    </row>
    <row r="16" spans="1:27" x14ac:dyDescent="0.2">
      <c r="A16" s="1" cm="1">
        <f t="array" ref="A16">IF(I16="","",IF(P16&lt;&gt;"",SUMPRODUCT((P$3:P$99&lt;&gt;"")*(G$3:G$99=G16)*(J$3:J$99&gt;J16)*(I$3:I$99="P"))+1,IF(O16&lt;&gt;"",SUMPRODUCT((O$3:O$99&lt;&gt;"")*(P$3:P$99="")*(G$3:G$99=G16)*(J$3:J$99&gt;J16)*(I$3:I$99="P"))+SUMPRODUCT((P$3:P$99&lt;&gt;"")*(G$3:G$99=G16)*(I$3:I$99="P"))+1,IF(N16&lt;&gt;"",SUMPRODUCT((N$3:N$99&lt;&gt;"")*(G$3:G$99=G16)*(J$3:J$99&gt;J16)*(I$3:I$99="P"))+1,IF(M16="P",SUMPRODUCT((O$3:O$99&lt;&gt;"")*(P$3:P$99="")*(G$3:G$99=G16)*(I$3:I$99="P"))+SUMPRODUCT((P$3:P$99&lt;&gt;"")*(G$3:G$99=G16)*(I$3:I$99="P"))+SUMPRODUCT((N$3:N$99&lt;&gt;"")*(G$3:G$99=G16)*(I$3:I$99="P"))+SUMPRODUCT((P$3:P$99="")*(O$3:O$99="")*(N$3:N$99="")*(M$3:M$99="P")*(G$3:G$99=G16)*(J$3:J$99&gt;J16)*(I$3:I$99="P"))+IF(H16="L5",SUMPRODUCT((P$3:P$99="")*(O$3:O$99="")*(N$3:N$99="")*(M$3:M$99="P")*(G$3:G$99=G16)*(J$3:J$99&lt;J16)*(H$3:H$99&lt;&gt;H16)*(I$3:I$99="P")),-1*SUMPRODUCT((P$3:P$99="")*(O$3:O$99="")*(N$3:N$99="")*(M$3:M$99="P")*(G$3:G$99=G16)*(J$3:J$99&gt;J16)*(H$3:H$99="L5")*(I$3:I$99="P")))+1,"")))))</f>
        <v>14</v>
      </c>
      <c r="B16" s="1" cm="1">
        <f t="array" ref="B16">IF(P16&lt;&gt;"",SUMPRODUCT((P$3:P$99&lt;&gt;"")*(G$3:G$99=G16)*(J$3:J$99&gt;J16))+1,IF(O16&lt;&gt;"",SUMPRODUCT((O$3:O$99&lt;&gt;"")*(P$3:P$99="")*(G$3:G$99=G16)*(J$3:J$99&gt;J16))+SUMPRODUCT((P$3:P$99&lt;&gt;"")*(G$3:G$99=G16))+1,IF(N16&lt;&gt;"",SUMPRODUCT((N$3:N$99&lt;&gt;"")*(G$3:G$99=G16)*(J$3:J$99&gt;J16))+1,IF(M16="P",SUMPRODUCT((O$3:O$99&lt;&gt;"")*(P$3:P$99="")*(G$3:G$99=G16))+SUMPRODUCT((P$3:P$99&lt;&gt;"")*(G$3:G$99=G16))+SUMPRODUCT((N$3:N$99&lt;&gt;"")*(G$3:G$99=G16))+SUMPRODUCT((P$3:P$99="")*(O$3:O$99="")*(N$3:N$99="")*(M$3:M$99="P")*(G$3:G$99=G16)*(J$3:J$99&gt;J16))+IF(H16="L5",SUMPRODUCT((P$3:P$99="")*(O$3:O$99="")*(N$3:N$99="")*(M$3:M$99="P")*(G$3:G$99=G16)*(J$3:J$99&lt;J16)*(H$3:H$99&lt;&gt;H16)),-1*SUMPRODUCT((P$3:P$99="")*(O$3:O$99="")*(N$3:N$99="")*(M$3:M$99="P")*(G$3:G$99=G16)*(J$3:J$99&gt;J16)*(H$3:H$99="L5")))+1,""))))</f>
        <v>19</v>
      </c>
      <c r="C16" s="36" t="s">
        <v>344</v>
      </c>
      <c r="D16" s="36" t="str">
        <f>IF(E16="","",VLOOKUP(E16,'Coaching Points'!A:B,2,0))</f>
        <v>BC</v>
      </c>
      <c r="E16" s="36" t="s">
        <v>41</v>
      </c>
      <c r="F16" s="35">
        <v>2005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68</v>
      </c>
      <c r="I16" s="43" t="s">
        <v>567</v>
      </c>
      <c r="J16" s="4">
        <f>R16+S16+IF(OR(H16="Junior",H16="Senior"),0.0002,IF(OR(H16="L7",H16="L6"),0.0001,0))+MAX(X16,Z16)*0.0000001</f>
        <v>94.10010484</v>
      </c>
      <c r="K16" s="3" t="str">
        <f>IF(G16="Not Age Eligible","",IF(MAX(T16,V16,X16,Z16)&gt;=LOOKUP(G16,'Qualifying Scores'!$A$4:$A$7,'Qualifying Scores'!$F$4:$F$7),"P",""))</f>
        <v>P</v>
      </c>
      <c r="L16" s="3" t="str">
        <f>IF(G16="Not Age Eligible","",IF(MAX(U16,W16,Y16,AA16)&gt;=LOOKUP(G16,'Qualifying Scores'!$A$10:$A$13,'Qualifying Scores'!$F$10:$F$13),"P",""))</f>
        <v>P</v>
      </c>
      <c r="M16" s="3" t="str">
        <f>IF(G16="Not Age Eligible","",IF(OR(AND(T16&gt;=LOOKUP(G16,'Qualifying Scores'!$A$4:$A$7,'Qualifying Scores'!$F$4:$F$7),U16&gt;=LOOKUP(G16,'Qualifying Scores'!$A$10:$A$13,'Qualifying Scores'!$F$10:$F$13)),AND(X16&gt;=LOOKUP(G16,'Qualifying Scores'!$A$4:$A$7,'Qualifying Scores'!$F$4:$F$7),Y16&gt;=LOOKUP(G16,'Qualifying Scores'!$A$10:$A$13,'Qualifying Scores'!$F$10:$F$13)),AND(V16&gt;=LOOKUP(G16,'Qualifying Scores'!$A$4:$A$7,'Qualifying Scores'!$F$4:$F$7),W16&gt;=LOOKUP(G16,'Qualifying Scores'!$A$10:$A$13,'Qualifying Scores'!$F$10:$F$13)),AND(Z16&gt;=LOOKUP(G16,'Qualifying Scores'!$A$4:$A$7,'Qualifying Scores'!$F$4:$F$7),AA16&gt;=LOOKUP(G16,'Qualifying Scores'!$A$10:$A$13,'Qualifying Scores'!$F$10:$F$13))),"P",""))</f>
        <v>P</v>
      </c>
      <c r="Q16" s="1" t="str">
        <f>IF(A16&lt;5,IF(_xlfn.MAXIFS(A:A,G:G,G16)&gt;3,5-A16,_xlfn.MAXIFS(A:A,G:G,G16)+1-A16),"")</f>
        <v/>
      </c>
      <c r="R16" s="4">
        <f>MAX(T16,X16)</f>
        <v>48.4</v>
      </c>
      <c r="S16" s="4">
        <f>IF(R16=T16,MAX(V16,X16,Z16),IF(R16=X16,MAX(T16,V16,Z16),0))</f>
        <v>45.7</v>
      </c>
      <c r="T16" s="33">
        <v>45.7</v>
      </c>
      <c r="U16" s="40">
        <v>8.8000000000000007</v>
      </c>
      <c r="V16" s="34">
        <v>44</v>
      </c>
      <c r="W16" s="40">
        <v>6.9</v>
      </c>
      <c r="X16" s="33">
        <v>48.4</v>
      </c>
      <c r="Y16" s="40">
        <v>13.3</v>
      </c>
      <c r="Z16" s="34">
        <v>39.9</v>
      </c>
      <c r="AA16" s="37">
        <v>5.1999999999999993</v>
      </c>
    </row>
    <row r="17" spans="1:27" x14ac:dyDescent="0.2">
      <c r="A17" s="1" cm="1">
        <f t="array" ref="A17">IF(I17="","",IF(P17&lt;&gt;"",SUMPRODUCT((P$3:P$99&lt;&gt;"")*(G$3:G$99=G17)*(J$3:J$99&gt;J17)*(I$3:I$99="P"))+1,IF(O17&lt;&gt;"",SUMPRODUCT((O$3:O$99&lt;&gt;"")*(P$3:P$99="")*(G$3:G$99=G17)*(J$3:J$99&gt;J17)*(I$3:I$99="P"))+SUMPRODUCT((P$3:P$99&lt;&gt;"")*(G$3:G$99=G17)*(I$3:I$99="P"))+1,IF(N17&lt;&gt;"",SUMPRODUCT((N$3:N$99&lt;&gt;"")*(G$3:G$99=G17)*(J$3:J$99&gt;J17)*(I$3:I$99="P"))+1,IF(M17="P",SUMPRODUCT((O$3:O$99&lt;&gt;"")*(P$3:P$99="")*(G$3:G$99=G17)*(I$3:I$99="P"))+SUMPRODUCT((P$3:P$99&lt;&gt;"")*(G$3:G$99=G17)*(I$3:I$99="P"))+SUMPRODUCT((N$3:N$99&lt;&gt;"")*(G$3:G$99=G17)*(I$3:I$99="P"))+SUMPRODUCT((P$3:P$99="")*(O$3:O$99="")*(N$3:N$99="")*(M$3:M$99="P")*(G$3:G$99=G17)*(J$3:J$99&gt;J17)*(I$3:I$99="P"))+IF(H17="L5",SUMPRODUCT((P$3:P$99="")*(O$3:O$99="")*(N$3:N$99="")*(M$3:M$99="P")*(G$3:G$99=G17)*(J$3:J$99&lt;J17)*(H$3:H$99&lt;&gt;H17)*(I$3:I$99="P")),-1*SUMPRODUCT((P$3:P$99="")*(O$3:O$99="")*(N$3:N$99="")*(M$3:M$99="P")*(G$3:G$99=G17)*(J$3:J$99&gt;J17)*(H$3:H$99="L5")*(I$3:I$99="P")))+1,"")))))</f>
        <v>15</v>
      </c>
      <c r="B17" s="1" cm="1">
        <f t="array" ref="B17">IF(P17&lt;&gt;"",SUMPRODUCT((P$3:P$99&lt;&gt;"")*(G$3:G$99=G17)*(J$3:J$99&gt;J17))+1,IF(O17&lt;&gt;"",SUMPRODUCT((O$3:O$99&lt;&gt;"")*(P$3:P$99="")*(G$3:G$99=G17)*(J$3:J$99&gt;J17))+SUMPRODUCT((P$3:P$99&lt;&gt;"")*(G$3:G$99=G17))+1,IF(N17&lt;&gt;"",SUMPRODUCT((N$3:N$99&lt;&gt;"")*(G$3:G$99=G17)*(J$3:J$99&gt;J17))+1,IF(M17="P",SUMPRODUCT((O$3:O$99&lt;&gt;"")*(P$3:P$99="")*(G$3:G$99=G17))+SUMPRODUCT((P$3:P$99&lt;&gt;"")*(G$3:G$99=G17))+SUMPRODUCT((N$3:N$99&lt;&gt;"")*(G$3:G$99=G17))+SUMPRODUCT((P$3:P$99="")*(O$3:O$99="")*(N$3:N$99="")*(M$3:M$99="P")*(G$3:G$99=G17)*(J$3:J$99&gt;J17))+IF(H17="L5",SUMPRODUCT((P$3:P$99="")*(O$3:O$99="")*(N$3:N$99="")*(M$3:M$99="P")*(G$3:G$99=G17)*(J$3:J$99&lt;J17)*(H$3:H$99&lt;&gt;H17)),-1*SUMPRODUCT((P$3:P$99="")*(O$3:O$99="")*(N$3:N$99="")*(M$3:M$99="P")*(G$3:G$99=G17)*(J$3:J$99&gt;J17)*(H$3:H$99="L5")))+1,""))))</f>
        <v>21</v>
      </c>
      <c r="C17" s="36" t="s">
        <v>108</v>
      </c>
      <c r="D17" s="36" t="str">
        <f>IF(E17="","",VLOOKUP(E17,'Coaching Points'!A:B,2,0))</f>
        <v>BC</v>
      </c>
      <c r="E17" s="36" t="s">
        <v>41</v>
      </c>
      <c r="F17" s="35">
        <v>2005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74</v>
      </c>
      <c r="I17" s="43" t="s">
        <v>567</v>
      </c>
      <c r="J17" s="4">
        <f>R17+S17+IF(OR(H17="Junior",H17="Senior"),0.0002,IF(OR(H17="L7",H17="L6"),0.0001,0))+MAX(X17,Z17)*0.0000001</f>
        <v>68.100201839999997</v>
      </c>
      <c r="K17" s="3" t="str">
        <f>IF(G17="Not Age Eligible","",IF(MAX(T17,V17,X17,Z17)&gt;=LOOKUP(G17,'Qualifying Scores'!$A$4:$A$7,'Qualifying Scores'!$F$4:$F$7),"P",""))</f>
        <v>P</v>
      </c>
      <c r="L17" s="3" t="str">
        <f>IF(G17="Not Age Eligible","",IF(MAX(U17,W17,Y17,AA17)&gt;=LOOKUP(G17,'Qualifying Scores'!$A$10:$A$13,'Qualifying Scores'!$F$10:$F$13),"P",""))</f>
        <v>P</v>
      </c>
      <c r="M17" s="3" t="str">
        <f>IF(G17="Not Age Eligible","",IF(OR(AND(T17&gt;=LOOKUP(G17,'Qualifying Scores'!$A$4:$A$7,'Qualifying Scores'!$F$4:$F$7),U17&gt;=LOOKUP(G17,'Qualifying Scores'!$A$10:$A$13,'Qualifying Scores'!$F$10:$F$13)),AND(X17&gt;=LOOKUP(G17,'Qualifying Scores'!$A$4:$A$7,'Qualifying Scores'!$F$4:$F$7),Y17&gt;=LOOKUP(G17,'Qualifying Scores'!$A$10:$A$13,'Qualifying Scores'!$F$10:$F$13)),AND(V17&gt;=LOOKUP(G17,'Qualifying Scores'!$A$4:$A$7,'Qualifying Scores'!$F$4:$F$7),W17&gt;=LOOKUP(G17,'Qualifying Scores'!$A$10:$A$13,'Qualifying Scores'!$F$10:$F$13)),AND(Z17&gt;=LOOKUP(G17,'Qualifying Scores'!$A$4:$A$7,'Qualifying Scores'!$F$4:$F$7),AA17&gt;=LOOKUP(G17,'Qualifying Scores'!$A$10:$A$13,'Qualifying Scores'!$F$10:$F$13))),"P",""))</f>
        <v>P</v>
      </c>
      <c r="Q17" s="1" t="str">
        <f>IF(A17&lt;5,IF(_xlfn.MAXIFS(A:A,G:G,G17)&gt;3,5-A17,_xlfn.MAXIFS(A:A,G:G,G17)+1-A17),"")</f>
        <v/>
      </c>
      <c r="R17" s="4">
        <f>MAX(T17,X17)</f>
        <v>49.7</v>
      </c>
      <c r="S17" s="4">
        <f>IF(R17=T17,MAX(V17,X17,Z17),IF(R17=X17,MAX(T17,V17,Z17),0))</f>
        <v>18.399999999999999</v>
      </c>
      <c r="T17" s="33">
        <v>49.7</v>
      </c>
      <c r="U17" s="40">
        <v>14</v>
      </c>
      <c r="V17" s="34"/>
      <c r="W17" s="40"/>
      <c r="X17" s="33">
        <v>18.399999999999999</v>
      </c>
      <c r="Y17" s="40">
        <v>3.4</v>
      </c>
      <c r="Z17" s="34"/>
      <c r="AA17" s="37"/>
    </row>
    <row r="18" spans="1:27" x14ac:dyDescent="0.2">
      <c r="A18" s="1" t="str" cm="1">
        <f t="array" ref="A18">IF(I18="","",IF(P18&lt;&gt;"",SUMPRODUCT((P$3:P$99&lt;&gt;"")*(G$3:G$99=G18)*(J$3:J$99&gt;J18)*(I$3:I$99="P"))+1,IF(O18&lt;&gt;"",SUMPRODUCT((O$3:O$99&lt;&gt;"")*(P$3:P$99="")*(G$3:G$99=G18)*(J$3:J$99&gt;J18)*(I$3:I$99="P"))+SUMPRODUCT((P$3:P$99&lt;&gt;"")*(G$3:G$99=G18)*(I$3:I$99="P"))+1,IF(N18&lt;&gt;"",SUMPRODUCT((N$3:N$99&lt;&gt;"")*(G$3:G$99=G18)*(J$3:J$99&gt;J18)*(I$3:I$99="P"))+1,IF(M18="P",SUMPRODUCT((O$3:O$99&lt;&gt;"")*(P$3:P$99="")*(G$3:G$99=G18)*(I$3:I$99="P"))+SUMPRODUCT((P$3:P$99&lt;&gt;"")*(G$3:G$99=G18)*(I$3:I$99="P"))+SUMPRODUCT((N$3:N$99&lt;&gt;"")*(G$3:G$99=G18)*(I$3:I$99="P"))+SUMPRODUCT((P$3:P$99="")*(O$3:O$99="")*(N$3:N$99="")*(M$3:M$99="P")*(G$3:G$99=G18)*(J$3:J$99&gt;J18)*(I$3:I$99="P"))+IF(H18="L5",SUMPRODUCT((P$3:P$99="")*(O$3:O$99="")*(N$3:N$99="")*(M$3:M$99="P")*(G$3:G$99=G18)*(J$3:J$99&lt;J18)*(H$3:H$99&lt;&gt;H18)*(I$3:I$99="P")),-1*SUMPRODUCT((P$3:P$99="")*(O$3:O$99="")*(N$3:N$99="")*(M$3:M$99="P")*(G$3:G$99=G18)*(J$3:J$99&gt;J18)*(H$3:H$99="L5")*(I$3:I$99="P")))+1,"")))))</f>
        <v/>
      </c>
      <c r="B18" s="1" cm="1">
        <f t="array" ref="B18">IF(P18&lt;&gt;"",SUMPRODUCT((P$3:P$99&lt;&gt;"")*(G$3:G$99=G18)*(J$3:J$99&gt;J18))+1,IF(O18&lt;&gt;"",SUMPRODUCT((O$3:O$99&lt;&gt;"")*(P$3:P$99="")*(G$3:G$99=G18)*(J$3:J$99&gt;J18))+SUMPRODUCT((P$3:P$99&lt;&gt;"")*(G$3:G$99=G18))+1,IF(N18&lt;&gt;"",SUMPRODUCT((N$3:N$99&lt;&gt;"")*(G$3:G$99=G18)*(J$3:J$99&gt;J18))+1,IF(M18="P",SUMPRODUCT((O$3:O$99&lt;&gt;"")*(P$3:P$99="")*(G$3:G$99=G18))+SUMPRODUCT((P$3:P$99&lt;&gt;"")*(G$3:G$99=G18))+SUMPRODUCT((N$3:N$99&lt;&gt;"")*(G$3:G$99=G18))+SUMPRODUCT((P$3:P$99="")*(O$3:O$99="")*(N$3:N$99="")*(M$3:M$99="P")*(G$3:G$99=G18)*(J$3:J$99&gt;J18))+IF(H18="L5",SUMPRODUCT((P$3:P$99="")*(O$3:O$99="")*(N$3:N$99="")*(M$3:M$99="P")*(G$3:G$99=G18)*(J$3:J$99&lt;J18)*(H$3:H$99&lt;&gt;H18)),-1*SUMPRODUCT((P$3:P$99="")*(O$3:O$99="")*(N$3:N$99="")*(M$3:M$99="P")*(G$3:G$99=G18)*(J$3:J$99&gt;J18)*(H$3:H$99="L5")))+1,""))))</f>
        <v>1</v>
      </c>
      <c r="C18" s="36" t="s">
        <v>233</v>
      </c>
      <c r="D18" s="36" t="str">
        <f>IF(E18="","",VLOOKUP(E18,'Coaching Points'!A:B,2,0))</f>
        <v>BC</v>
      </c>
      <c r="E18" s="36" t="s">
        <v>61</v>
      </c>
      <c r="F18" s="35">
        <v>2003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74</v>
      </c>
      <c r="I18" s="43"/>
      <c r="J18" s="4">
        <f>R18+S18+IF(OR(H18="Junior",H18="Senior"),0.0002,IF(OR(H18="L7",H18="L6"),0.0001,0))+MAX(X18,Z18)*0.0000001</f>
        <v>119.90020605000001</v>
      </c>
      <c r="K18" s="3" t="str">
        <f>IF(G18="Not Age Eligible","",IF(MAX(T18,V18,X18,Z18)&gt;=LOOKUP(G18,'Qualifying Scores'!$A$4:$A$7,'Qualifying Scores'!$F$4:$F$7),"P",""))</f>
        <v>P</v>
      </c>
      <c r="L18" s="3" t="str">
        <f>IF(G18="Not Age Eligible","",IF(MAX(U18,W18,Y18,AA18)&gt;=LOOKUP(G18,'Qualifying Scores'!$A$10:$A$13,'Qualifying Scores'!$F$10:$F$13),"P",""))</f>
        <v>P</v>
      </c>
      <c r="M18" s="3" t="str">
        <f>IF(G18="Not Age Eligible","",IF(OR(AND(T18&gt;=LOOKUP(G18,'Qualifying Scores'!$A$4:$A$7,'Qualifying Scores'!$F$4:$F$7),U18&gt;=LOOKUP(G18,'Qualifying Scores'!$A$10:$A$13,'Qualifying Scores'!$F$10:$F$13)),AND(X18&gt;=LOOKUP(G18,'Qualifying Scores'!$A$4:$A$7,'Qualifying Scores'!$F$4:$F$7),Y18&gt;=LOOKUP(G18,'Qualifying Scores'!$A$10:$A$13,'Qualifying Scores'!$F$10:$F$13)),AND(V18&gt;=LOOKUP(G18,'Qualifying Scores'!$A$4:$A$7,'Qualifying Scores'!$F$4:$F$7),W18&gt;=LOOKUP(G18,'Qualifying Scores'!$A$10:$A$13,'Qualifying Scores'!$F$10:$F$13)),AND(Z18&gt;=LOOKUP(G18,'Qualifying Scores'!$A$4:$A$7,'Qualifying Scores'!$F$4:$F$7),AA18&gt;=LOOKUP(G18,'Qualifying Scores'!$A$10:$A$13,'Qualifying Scores'!$F$10:$F$13))),"P",""))</f>
        <v>P</v>
      </c>
      <c r="O18" s="39">
        <v>1</v>
      </c>
      <c r="P18" s="39">
        <v>1</v>
      </c>
      <c r="Q18" s="1" t="str">
        <f>IF(A18&lt;5,IF(_xlfn.MAXIFS(A:A,G:G,G18)&gt;3,5-A18,_xlfn.MAXIFS(A:A,G:G,G18)+1-A18),"")</f>
        <v/>
      </c>
      <c r="R18" s="4">
        <f>MAX(T18,X18)</f>
        <v>60.5</v>
      </c>
      <c r="S18" s="4">
        <f>IF(R18=T18,MAX(V18,X18,Z18),IF(R18=X18,MAX(T18,V18,Z18),0))</f>
        <v>59.4</v>
      </c>
      <c r="T18" s="33">
        <v>58.7</v>
      </c>
      <c r="U18" s="40">
        <v>20.8</v>
      </c>
      <c r="V18" s="34">
        <v>58.8</v>
      </c>
      <c r="W18" s="40">
        <v>20.8</v>
      </c>
      <c r="X18" s="33">
        <v>60.5</v>
      </c>
      <c r="Y18" s="40">
        <v>21.1</v>
      </c>
      <c r="Z18" s="34">
        <v>59.4</v>
      </c>
      <c r="AA18" s="37">
        <v>22.7</v>
      </c>
    </row>
    <row r="19" spans="1:27" x14ac:dyDescent="0.2">
      <c r="A19" s="1" t="str" cm="1">
        <f t="array" ref="A19">IF(I19="","",IF(P19&lt;&gt;"",SUMPRODUCT((P$3:P$99&lt;&gt;"")*(G$3:G$99=G19)*(J$3:J$99&gt;J19)*(I$3:I$99="P"))+1,IF(O19&lt;&gt;"",SUMPRODUCT((O$3:O$99&lt;&gt;"")*(P$3:P$99="")*(G$3:G$99=G19)*(J$3:J$99&gt;J19)*(I$3:I$99="P"))+SUMPRODUCT((P$3:P$99&lt;&gt;"")*(G$3:G$99=G19)*(I$3:I$99="P"))+1,IF(N19&lt;&gt;"",SUMPRODUCT((N$3:N$99&lt;&gt;"")*(G$3:G$99=G19)*(J$3:J$99&gt;J19)*(I$3:I$99="P"))+1,IF(M19="P",SUMPRODUCT((O$3:O$99&lt;&gt;"")*(P$3:P$99="")*(G$3:G$99=G19)*(I$3:I$99="P"))+SUMPRODUCT((P$3:P$99&lt;&gt;"")*(G$3:G$99=G19)*(I$3:I$99="P"))+SUMPRODUCT((N$3:N$99&lt;&gt;"")*(G$3:G$99=G19)*(I$3:I$99="P"))+SUMPRODUCT((P$3:P$99="")*(O$3:O$99="")*(N$3:N$99="")*(M$3:M$99="P")*(G$3:G$99=G19)*(J$3:J$99&gt;J19)*(I$3:I$99="P"))+IF(H19="L5",SUMPRODUCT((P$3:P$99="")*(O$3:O$99="")*(N$3:N$99="")*(M$3:M$99="P")*(G$3:G$99=G19)*(J$3:J$99&lt;J19)*(H$3:H$99&lt;&gt;H19)*(I$3:I$99="P")),-1*SUMPRODUCT((P$3:P$99="")*(O$3:O$99="")*(N$3:N$99="")*(M$3:M$99="P")*(G$3:G$99=G19)*(J$3:J$99&gt;J19)*(H$3:H$99="L5")*(I$3:I$99="P")))+1,"")))))</f>
        <v/>
      </c>
      <c r="B19" s="1" cm="1">
        <f t="array" ref="B19">IF(P19&lt;&gt;"",SUMPRODUCT((P$3:P$99&lt;&gt;"")*(G$3:G$99=G19)*(J$3:J$99&gt;J19))+1,IF(O19&lt;&gt;"",SUMPRODUCT((O$3:O$99&lt;&gt;"")*(P$3:P$99="")*(G$3:G$99=G19)*(J$3:J$99&gt;J19))+SUMPRODUCT((P$3:P$99&lt;&gt;"")*(G$3:G$99=G19))+1,IF(N19&lt;&gt;"",SUMPRODUCT((N$3:N$99&lt;&gt;"")*(G$3:G$99=G19)*(J$3:J$99&gt;J19))+1,IF(M19="P",SUMPRODUCT((O$3:O$99&lt;&gt;"")*(P$3:P$99="")*(G$3:G$99=G19))+SUMPRODUCT((P$3:P$99&lt;&gt;"")*(G$3:G$99=G19))+SUMPRODUCT((N$3:N$99&lt;&gt;"")*(G$3:G$99=G19))+SUMPRODUCT((P$3:P$99="")*(O$3:O$99="")*(N$3:N$99="")*(M$3:M$99="P")*(G$3:G$99=G19)*(J$3:J$99&gt;J19))+IF(H19="L5",SUMPRODUCT((P$3:P$99="")*(O$3:O$99="")*(N$3:N$99="")*(M$3:M$99="P")*(G$3:G$99=G19)*(J$3:J$99&lt;J19)*(H$3:H$99&lt;&gt;H19)),-1*SUMPRODUCT((P$3:P$99="")*(O$3:O$99="")*(N$3:N$99="")*(M$3:M$99="P")*(G$3:G$99=G19)*(J$3:J$99&gt;J19)*(H$3:H$99="L5")))+1,""))))</f>
        <v>6</v>
      </c>
      <c r="C19" s="36" t="s">
        <v>520</v>
      </c>
      <c r="D19" s="36" t="str">
        <f>IF(E19="","",VLOOKUP(E19,'Coaching Points'!A:B,2,0))</f>
        <v>ON</v>
      </c>
      <c r="E19" s="36" t="s">
        <v>47</v>
      </c>
      <c r="F19" s="35">
        <v>2003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74</v>
      </c>
      <c r="I19" s="43"/>
      <c r="J19" s="4">
        <f>R19+S19+IF(OR(H19="Junior",H19="Senior"),0.0002,IF(OR(H19="L7",H19="L6"),0.0001,0))+MAX(X19,Z19)*0.0000001</f>
        <v>51.20020512</v>
      </c>
      <c r="K19" s="3" t="str">
        <f>IF(G19="Not Age Eligible","",IF(MAX(T19,V19,X19,Z19)&gt;=LOOKUP(G19,'Qualifying Scores'!$A$4:$A$7,'Qualifying Scores'!$F$4:$F$7),"P",""))</f>
        <v>P</v>
      </c>
      <c r="L19" s="3" t="str">
        <f>IF(G19="Not Age Eligible","",IF(MAX(U19,W19,Y19,AA19)&gt;=LOOKUP(G19,'Qualifying Scores'!$A$10:$A$13,'Qualifying Scores'!$F$10:$F$13),"P",""))</f>
        <v>P</v>
      </c>
      <c r="M19" s="3" t="str">
        <f>IF(G19="Not Age Eligible","",IF(OR(AND(T19&gt;=LOOKUP(G19,'Qualifying Scores'!$A$4:$A$7,'Qualifying Scores'!$F$4:$F$7),U19&gt;=LOOKUP(G19,'Qualifying Scores'!$A$10:$A$13,'Qualifying Scores'!$F$10:$F$13)),AND(X19&gt;=LOOKUP(G19,'Qualifying Scores'!$A$4:$A$7,'Qualifying Scores'!$F$4:$F$7),Y19&gt;=LOOKUP(G19,'Qualifying Scores'!$A$10:$A$13,'Qualifying Scores'!$F$10:$F$13)),AND(V19&gt;=LOOKUP(G19,'Qualifying Scores'!$A$4:$A$7,'Qualifying Scores'!$F$4:$F$7),W19&gt;=LOOKUP(G19,'Qualifying Scores'!$A$10:$A$13,'Qualifying Scores'!$F$10:$F$13)),AND(Z19&gt;=LOOKUP(G19,'Qualifying Scores'!$A$4:$A$7,'Qualifying Scores'!$F$4:$F$7),AA19&gt;=LOOKUP(G19,'Qualifying Scores'!$A$10:$A$13,'Qualifying Scores'!$F$10:$F$13))),"P",""))</f>
        <v>P</v>
      </c>
      <c r="O19" s="39">
        <v>2</v>
      </c>
      <c r="P19" s="39">
        <v>2</v>
      </c>
      <c r="Q19" s="1" t="str">
        <f>IF(A19&lt;5,IF(_xlfn.MAXIFS(A:A,G:G,G19)&gt;3,5-A19,_xlfn.MAXIFS(A:A,G:G,G19)+1-A19),"")</f>
        <v/>
      </c>
      <c r="R19" s="4">
        <f>MAX(T19,X19)</f>
        <v>51.2</v>
      </c>
      <c r="S19" s="4">
        <f>IF(R19=T19,MAX(V19,X19,Z19),IF(R19=X19,MAX(T19,V19,Z19),0))</f>
        <v>0</v>
      </c>
      <c r="T19" s="33"/>
      <c r="U19" s="40"/>
      <c r="V19" s="34"/>
      <c r="W19" s="40"/>
      <c r="X19" s="33">
        <v>51.2</v>
      </c>
      <c r="Y19" s="40">
        <v>14</v>
      </c>
      <c r="Z19" s="34"/>
      <c r="AA19" s="37"/>
    </row>
    <row r="20" spans="1:27" x14ac:dyDescent="0.2">
      <c r="A20" s="1" t="str" cm="1">
        <f t="array" ref="A20">IF(I20="","",IF(P20&lt;&gt;"",SUMPRODUCT((P$3:P$99&lt;&gt;"")*(G$3:G$99=G20)*(J$3:J$99&gt;J20)*(I$3:I$99="P"))+1,IF(O20&lt;&gt;"",SUMPRODUCT((O$3:O$99&lt;&gt;"")*(P$3:P$99="")*(G$3:G$99=G20)*(J$3:J$99&gt;J20)*(I$3:I$99="P"))+SUMPRODUCT((P$3:P$99&lt;&gt;"")*(G$3:G$99=G20)*(I$3:I$99="P"))+1,IF(N20&lt;&gt;"",SUMPRODUCT((N$3:N$99&lt;&gt;"")*(G$3:G$99=G20)*(J$3:J$99&gt;J20)*(I$3:I$99="P"))+1,IF(M20="P",SUMPRODUCT((O$3:O$99&lt;&gt;"")*(P$3:P$99="")*(G$3:G$99=G20)*(I$3:I$99="P"))+SUMPRODUCT((P$3:P$99&lt;&gt;"")*(G$3:G$99=G20)*(I$3:I$99="P"))+SUMPRODUCT((N$3:N$99&lt;&gt;"")*(G$3:G$99=G20)*(I$3:I$99="P"))+SUMPRODUCT((P$3:P$99="")*(O$3:O$99="")*(N$3:N$99="")*(M$3:M$99="P")*(G$3:G$99=G20)*(J$3:J$99&gt;J20)*(I$3:I$99="P"))+IF(H20="L5",SUMPRODUCT((P$3:P$99="")*(O$3:O$99="")*(N$3:N$99="")*(M$3:M$99="P")*(G$3:G$99=G20)*(J$3:J$99&lt;J20)*(H$3:H$99&lt;&gt;H20)*(I$3:I$99="P")),-1*SUMPRODUCT((P$3:P$99="")*(O$3:O$99="")*(N$3:N$99="")*(M$3:M$99="P")*(G$3:G$99=G20)*(J$3:J$99&gt;J20)*(H$3:H$99="L5")*(I$3:I$99="P")))+1,"")))))</f>
        <v/>
      </c>
      <c r="B20" s="1" cm="1">
        <f t="array" ref="B20">IF(P20&lt;&gt;"",SUMPRODUCT((P$3:P$99&lt;&gt;"")*(G$3:G$99=G20)*(J$3:J$99&gt;J20))+1,IF(O20&lt;&gt;"",SUMPRODUCT((O$3:O$99&lt;&gt;"")*(P$3:P$99="")*(G$3:G$99=G20)*(J$3:J$99&gt;J20))+SUMPRODUCT((P$3:P$99&lt;&gt;"")*(G$3:G$99=G20))+1,IF(N20&lt;&gt;"",SUMPRODUCT((N$3:N$99&lt;&gt;"")*(G$3:G$99=G20)*(J$3:J$99&gt;J20))+1,IF(M20="P",SUMPRODUCT((O$3:O$99&lt;&gt;"")*(P$3:P$99="")*(G$3:G$99=G20))+SUMPRODUCT((P$3:P$99&lt;&gt;"")*(G$3:G$99=G20))+SUMPRODUCT((N$3:N$99&lt;&gt;"")*(G$3:G$99=G20))+SUMPRODUCT((P$3:P$99="")*(O$3:O$99="")*(N$3:N$99="")*(M$3:M$99="P")*(G$3:G$99=G20)*(J$3:J$99&gt;J20))+IF(H20="L5",SUMPRODUCT((P$3:P$99="")*(O$3:O$99="")*(N$3:N$99="")*(M$3:M$99="P")*(G$3:G$99=G20)*(J$3:J$99&lt;J20)*(H$3:H$99&lt;&gt;H20)),-1*SUMPRODUCT((P$3:P$99="")*(O$3:O$99="")*(N$3:N$99="")*(M$3:M$99="P")*(G$3:G$99=G20)*(J$3:J$99&gt;J20)*(H$3:H$99="L5")))+1,""))))</f>
        <v>13</v>
      </c>
      <c r="C20" s="36" t="s">
        <v>172</v>
      </c>
      <c r="D20" s="36" t="str">
        <f>IF(E20="","",VLOOKUP(E20,'Coaching Points'!A:B,2,0))</f>
        <v>AB</v>
      </c>
      <c r="E20" s="36" t="s">
        <v>29</v>
      </c>
      <c r="F20" s="35">
        <v>2005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68</v>
      </c>
      <c r="I20" s="43"/>
      <c r="J20" s="4">
        <f>R20+S20+IF(OR(H20="Junior",H20="Senior"),0.0002,IF(OR(H20="L7",H20="L6"),0.0001,0))+MAX(X20,Z20)*0.0000001</f>
        <v>99.00010497000001</v>
      </c>
      <c r="K20" s="3" t="str">
        <f>IF(G20="Not Age Eligible","",IF(MAX(T20,V20,X20,Z20)&gt;=LOOKUP(G20,'Qualifying Scores'!$A$4:$A$7,'Qualifying Scores'!$F$4:$F$7),"P",""))</f>
        <v>P</v>
      </c>
      <c r="L20" s="3" t="str">
        <f>IF(G20="Not Age Eligible","",IF(MAX(U20,W20,Y20,AA20)&gt;=LOOKUP(G20,'Qualifying Scores'!$A$10:$A$13,'Qualifying Scores'!$F$10:$F$13),"P",""))</f>
        <v>P</v>
      </c>
      <c r="M20" s="3" t="str">
        <f>IF(G20="Not Age Eligible","",IF(OR(AND(T20&gt;=LOOKUP(G20,'Qualifying Scores'!$A$4:$A$7,'Qualifying Scores'!$F$4:$F$7),U20&gt;=LOOKUP(G20,'Qualifying Scores'!$A$10:$A$13,'Qualifying Scores'!$F$10:$F$13)),AND(X20&gt;=LOOKUP(G20,'Qualifying Scores'!$A$4:$A$7,'Qualifying Scores'!$F$4:$F$7),Y20&gt;=LOOKUP(G20,'Qualifying Scores'!$A$10:$A$13,'Qualifying Scores'!$F$10:$F$13)),AND(V20&gt;=LOOKUP(G20,'Qualifying Scores'!$A$4:$A$7,'Qualifying Scores'!$F$4:$F$7),W20&gt;=LOOKUP(G20,'Qualifying Scores'!$A$10:$A$13,'Qualifying Scores'!$F$10:$F$13)),AND(Z20&gt;=LOOKUP(G20,'Qualifying Scores'!$A$4:$A$7,'Qualifying Scores'!$F$4:$F$7),AA20&gt;=LOOKUP(G20,'Qualifying Scores'!$A$10:$A$13,'Qualifying Scores'!$F$10:$F$13))),"P",""))</f>
        <v>P</v>
      </c>
      <c r="Q20" s="1" t="str">
        <f>IF(A20&lt;5,IF(_xlfn.MAXIFS(A:A,G:G,G20)&gt;3,5-A20,_xlfn.MAXIFS(A:A,G:G,G20)+1-A20),"")</f>
        <v/>
      </c>
      <c r="R20" s="4">
        <f>MAX(T20,X20)</f>
        <v>49.7</v>
      </c>
      <c r="S20" s="4">
        <f>IF(R20=T20,MAX(V20,X20,Z20),IF(R20=X20,MAX(T20,V20,Z20),0))</f>
        <v>49.3</v>
      </c>
      <c r="T20" s="33">
        <v>48.5</v>
      </c>
      <c r="U20" s="40">
        <v>13.3</v>
      </c>
      <c r="V20" s="34">
        <v>49.3</v>
      </c>
      <c r="W20" s="40">
        <v>13.3</v>
      </c>
      <c r="X20" s="33">
        <v>49.7</v>
      </c>
      <c r="Y20" s="40">
        <v>14.1</v>
      </c>
      <c r="Z20" s="34">
        <v>49.1</v>
      </c>
      <c r="AA20" s="37">
        <v>14.1</v>
      </c>
    </row>
    <row r="21" spans="1:27" x14ac:dyDescent="0.2">
      <c r="A21" s="1" t="str" cm="1">
        <f t="array" ref="A21">IF(I21="","",IF(P21&lt;&gt;"",SUMPRODUCT((P$3:P$99&lt;&gt;"")*(G$3:G$99=G21)*(J$3:J$99&gt;J21)*(I$3:I$99="P"))+1,IF(O21&lt;&gt;"",SUMPRODUCT((O$3:O$99&lt;&gt;"")*(P$3:P$99="")*(G$3:G$99=G21)*(J$3:J$99&gt;J21)*(I$3:I$99="P"))+SUMPRODUCT((P$3:P$99&lt;&gt;"")*(G$3:G$99=G21)*(I$3:I$99="P"))+1,IF(N21&lt;&gt;"",SUMPRODUCT((N$3:N$99&lt;&gt;"")*(G$3:G$99=G21)*(J$3:J$99&gt;J21)*(I$3:I$99="P"))+1,IF(M21="P",SUMPRODUCT((O$3:O$99&lt;&gt;"")*(P$3:P$99="")*(G$3:G$99=G21)*(I$3:I$99="P"))+SUMPRODUCT((P$3:P$99&lt;&gt;"")*(G$3:G$99=G21)*(I$3:I$99="P"))+SUMPRODUCT((N$3:N$99&lt;&gt;"")*(G$3:G$99=G21)*(I$3:I$99="P"))+SUMPRODUCT((P$3:P$99="")*(O$3:O$99="")*(N$3:N$99="")*(M$3:M$99="P")*(G$3:G$99=G21)*(J$3:J$99&gt;J21)*(I$3:I$99="P"))+IF(H21="L5",SUMPRODUCT((P$3:P$99="")*(O$3:O$99="")*(N$3:N$99="")*(M$3:M$99="P")*(G$3:G$99=G21)*(J$3:J$99&lt;J21)*(H$3:H$99&lt;&gt;H21)*(I$3:I$99="P")),-1*SUMPRODUCT((P$3:P$99="")*(O$3:O$99="")*(N$3:N$99="")*(M$3:M$99="P")*(G$3:G$99=G21)*(J$3:J$99&gt;J21)*(H$3:H$99="L5")*(I$3:I$99="P")))+1,"")))))</f>
        <v/>
      </c>
      <c r="B21" s="1" cm="1">
        <f t="array" ref="B21">IF(P21&lt;&gt;"",SUMPRODUCT((P$3:P$99&lt;&gt;"")*(G$3:G$99=G21)*(J$3:J$99&gt;J21))+1,IF(O21&lt;&gt;"",SUMPRODUCT((O$3:O$99&lt;&gt;"")*(P$3:P$99="")*(G$3:G$99=G21)*(J$3:J$99&gt;J21))+SUMPRODUCT((P$3:P$99&lt;&gt;"")*(G$3:G$99=G21))+1,IF(N21&lt;&gt;"",SUMPRODUCT((N$3:N$99&lt;&gt;"")*(G$3:G$99=G21)*(J$3:J$99&gt;J21))+1,IF(M21="P",SUMPRODUCT((O$3:O$99&lt;&gt;"")*(P$3:P$99="")*(G$3:G$99=G21))+SUMPRODUCT((P$3:P$99&lt;&gt;"")*(G$3:G$99=G21))+SUMPRODUCT((N$3:N$99&lt;&gt;"")*(G$3:G$99=G21))+SUMPRODUCT((P$3:P$99="")*(O$3:O$99="")*(N$3:N$99="")*(M$3:M$99="P")*(G$3:G$99=G21)*(J$3:J$99&gt;J21))+IF(H21="L5",SUMPRODUCT((P$3:P$99="")*(O$3:O$99="")*(N$3:N$99="")*(M$3:M$99="P")*(G$3:G$99=G21)*(J$3:J$99&lt;J21)*(H$3:H$99&lt;&gt;H21)),-1*SUMPRODUCT((P$3:P$99="")*(O$3:O$99="")*(N$3:N$99="")*(M$3:M$99="P")*(G$3:G$99=G21)*(J$3:J$99&gt;J21)*(H$3:H$99="L5")))+1,""))))</f>
        <v>14</v>
      </c>
      <c r="C21" s="36" t="s">
        <v>292</v>
      </c>
      <c r="D21" s="36" t="str">
        <f>IF(E21="","",VLOOKUP(E21,'Coaching Points'!A:B,2,0))</f>
        <v>QC</v>
      </c>
      <c r="E21" s="36" t="s">
        <v>202</v>
      </c>
      <c r="F21" s="35">
        <v>2003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68</v>
      </c>
      <c r="I21" s="43"/>
      <c r="J21" s="4">
        <f>R21+S21+IF(OR(H21="Junior",H21="Senior"),0.0002,IF(OR(H21="L7",H21="L6"),0.0001,0))+MAX(X21,Z21)*0.0000001</f>
        <v>99.00010494</v>
      </c>
      <c r="K21" s="3" t="str">
        <f>IF(G21="Not Age Eligible","",IF(MAX(T21,V21,X21,Z21)&gt;=LOOKUP(G21,'Qualifying Scores'!$A$4:$A$7,'Qualifying Scores'!$F$4:$F$7),"P",""))</f>
        <v>P</v>
      </c>
      <c r="L21" s="3" t="str">
        <f>IF(G21="Not Age Eligible","",IF(MAX(U21,W21,Y21,AA21)&gt;=LOOKUP(G21,'Qualifying Scores'!$A$10:$A$13,'Qualifying Scores'!$F$10:$F$13),"P",""))</f>
        <v>P</v>
      </c>
      <c r="M21" s="3" t="str">
        <f>IF(G21="Not Age Eligible","",IF(OR(AND(T21&gt;=LOOKUP(G21,'Qualifying Scores'!$A$4:$A$7,'Qualifying Scores'!$F$4:$F$7),U21&gt;=LOOKUP(G21,'Qualifying Scores'!$A$10:$A$13,'Qualifying Scores'!$F$10:$F$13)),AND(X21&gt;=LOOKUP(G21,'Qualifying Scores'!$A$4:$A$7,'Qualifying Scores'!$F$4:$F$7),Y21&gt;=LOOKUP(G21,'Qualifying Scores'!$A$10:$A$13,'Qualifying Scores'!$F$10:$F$13)),AND(V21&gt;=LOOKUP(G21,'Qualifying Scores'!$A$4:$A$7,'Qualifying Scores'!$F$4:$F$7),W21&gt;=LOOKUP(G21,'Qualifying Scores'!$A$10:$A$13,'Qualifying Scores'!$F$10:$F$13)),AND(Z21&gt;=LOOKUP(G21,'Qualifying Scores'!$A$4:$A$7,'Qualifying Scores'!$F$4:$F$7),AA21&gt;=LOOKUP(G21,'Qualifying Scores'!$A$10:$A$13,'Qualifying Scores'!$F$10:$F$13))),"P",""))</f>
        <v>P</v>
      </c>
      <c r="Q21" s="1" t="str">
        <f>IF(A21&lt;5,IF(_xlfn.MAXIFS(A:A,G:G,G21)&gt;3,5-A21,_xlfn.MAXIFS(A:A,G:G,G21)+1-A21),"")</f>
        <v/>
      </c>
      <c r="R21" s="4">
        <f>MAX(T21,X21)</f>
        <v>49.4</v>
      </c>
      <c r="S21" s="4">
        <f>IF(R21=T21,MAX(V21,X21,Z21),IF(R21=X21,MAX(T21,V21,Z21),0))</f>
        <v>49.6</v>
      </c>
      <c r="T21" s="33">
        <v>43.3</v>
      </c>
      <c r="U21" s="40">
        <v>7.1999999999999993</v>
      </c>
      <c r="V21" s="34">
        <v>49.6</v>
      </c>
      <c r="W21" s="40">
        <v>11.6</v>
      </c>
      <c r="X21" s="33">
        <v>49.4</v>
      </c>
      <c r="Y21" s="40">
        <v>11.6</v>
      </c>
      <c r="Z21" s="34">
        <v>49.4</v>
      </c>
      <c r="AA21" s="37">
        <v>10.8</v>
      </c>
    </row>
    <row r="22" spans="1:27" x14ac:dyDescent="0.2">
      <c r="A22" s="1" t="str" cm="1">
        <f t="array" ref="A22">IF(I22="","",IF(P22&lt;&gt;"",SUMPRODUCT((P$3:P$99&lt;&gt;"")*(G$3:G$99=G22)*(J$3:J$99&gt;J22)*(I$3:I$99="P"))+1,IF(O22&lt;&gt;"",SUMPRODUCT((O$3:O$99&lt;&gt;"")*(P$3:P$99="")*(G$3:G$99=G22)*(J$3:J$99&gt;J22)*(I$3:I$99="P"))+SUMPRODUCT((P$3:P$99&lt;&gt;"")*(G$3:G$99=G22)*(I$3:I$99="P"))+1,IF(N22&lt;&gt;"",SUMPRODUCT((N$3:N$99&lt;&gt;"")*(G$3:G$99=G22)*(J$3:J$99&gt;J22)*(I$3:I$99="P"))+1,IF(M22="P",SUMPRODUCT((O$3:O$99&lt;&gt;"")*(P$3:P$99="")*(G$3:G$99=G22)*(I$3:I$99="P"))+SUMPRODUCT((P$3:P$99&lt;&gt;"")*(G$3:G$99=G22)*(I$3:I$99="P"))+SUMPRODUCT((N$3:N$99&lt;&gt;"")*(G$3:G$99=G22)*(I$3:I$99="P"))+SUMPRODUCT((P$3:P$99="")*(O$3:O$99="")*(N$3:N$99="")*(M$3:M$99="P")*(G$3:G$99=G22)*(J$3:J$99&gt;J22)*(I$3:I$99="P"))+IF(H22="L5",SUMPRODUCT((P$3:P$99="")*(O$3:O$99="")*(N$3:N$99="")*(M$3:M$99="P")*(G$3:G$99=G22)*(J$3:J$99&lt;J22)*(H$3:H$99&lt;&gt;H22)*(I$3:I$99="P")),-1*SUMPRODUCT((P$3:P$99="")*(O$3:O$99="")*(N$3:N$99="")*(M$3:M$99="P")*(G$3:G$99=G22)*(J$3:J$99&gt;J22)*(H$3:H$99="L5")*(I$3:I$99="P")))+1,"")))))</f>
        <v/>
      </c>
      <c r="B22" s="1" cm="1">
        <f t="array" ref="B22">IF(P22&lt;&gt;"",SUMPRODUCT((P$3:P$99&lt;&gt;"")*(G$3:G$99=G22)*(J$3:J$99&gt;J22))+1,IF(O22&lt;&gt;"",SUMPRODUCT((O$3:O$99&lt;&gt;"")*(P$3:P$99="")*(G$3:G$99=G22)*(J$3:J$99&gt;J22))+SUMPRODUCT((P$3:P$99&lt;&gt;"")*(G$3:G$99=G22))+1,IF(N22&lt;&gt;"",SUMPRODUCT((N$3:N$99&lt;&gt;"")*(G$3:G$99=G22)*(J$3:J$99&gt;J22))+1,IF(M22="P",SUMPRODUCT((O$3:O$99&lt;&gt;"")*(P$3:P$99="")*(G$3:G$99=G22))+SUMPRODUCT((P$3:P$99&lt;&gt;"")*(G$3:G$99=G22))+SUMPRODUCT((N$3:N$99&lt;&gt;"")*(G$3:G$99=G22))+SUMPRODUCT((P$3:P$99="")*(O$3:O$99="")*(N$3:N$99="")*(M$3:M$99="P")*(G$3:G$99=G22)*(J$3:J$99&gt;J22))+IF(H22="L5",SUMPRODUCT((P$3:P$99="")*(O$3:O$99="")*(N$3:N$99="")*(M$3:M$99="P")*(G$3:G$99=G22)*(J$3:J$99&lt;J22)*(H$3:H$99&lt;&gt;H22)),-1*SUMPRODUCT((P$3:P$99="")*(O$3:O$99="")*(N$3:N$99="")*(M$3:M$99="P")*(G$3:G$99=G22)*(J$3:J$99&gt;J22)*(H$3:H$99="L5")))+1,""))))</f>
        <v>16</v>
      </c>
      <c r="C22" s="36" t="s">
        <v>216</v>
      </c>
      <c r="D22" s="36" t="str">
        <f>IF(E22="","",VLOOKUP(E22,'Coaching Points'!A:B,2,0))</f>
        <v>BC</v>
      </c>
      <c r="E22" s="36" t="s">
        <v>282</v>
      </c>
      <c r="F22" s="35">
        <v>2006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68</v>
      </c>
      <c r="I22" s="43"/>
      <c r="J22" s="4">
        <f>R22+S22+IF(OR(H22="Junior",H22="Senior"),0.0002,IF(OR(H22="L7",H22="L6"),0.0001,0))+MAX(X22,Z22)*0.0000001</f>
        <v>96.50010485</v>
      </c>
      <c r="K22" s="3" t="str">
        <f>IF(G22="Not Age Eligible","",IF(MAX(T22,V22,X22,Z22)&gt;=LOOKUP(G22,'Qualifying Scores'!$A$4:$A$7,'Qualifying Scores'!$F$4:$F$7),"P",""))</f>
        <v>P</v>
      </c>
      <c r="L22" s="3" t="str">
        <f>IF(G22="Not Age Eligible","",IF(MAX(U22,W22,Y22,AA22)&gt;=LOOKUP(G22,'Qualifying Scores'!$A$10:$A$13,'Qualifying Scores'!$F$10:$F$13),"P",""))</f>
        <v>P</v>
      </c>
      <c r="M22" s="3" t="str">
        <f>IF(G22="Not Age Eligible","",IF(OR(AND(T22&gt;=LOOKUP(G22,'Qualifying Scores'!$A$4:$A$7,'Qualifying Scores'!$F$4:$F$7),U22&gt;=LOOKUP(G22,'Qualifying Scores'!$A$10:$A$13,'Qualifying Scores'!$F$10:$F$13)),AND(X22&gt;=LOOKUP(G22,'Qualifying Scores'!$A$4:$A$7,'Qualifying Scores'!$F$4:$F$7),Y22&gt;=LOOKUP(G22,'Qualifying Scores'!$A$10:$A$13,'Qualifying Scores'!$F$10:$F$13)),AND(V22&gt;=LOOKUP(G22,'Qualifying Scores'!$A$4:$A$7,'Qualifying Scores'!$F$4:$F$7),W22&gt;=LOOKUP(G22,'Qualifying Scores'!$A$10:$A$13,'Qualifying Scores'!$F$10:$F$13)),AND(Z22&gt;=LOOKUP(G22,'Qualifying Scores'!$A$4:$A$7,'Qualifying Scores'!$F$4:$F$7),AA22&gt;=LOOKUP(G22,'Qualifying Scores'!$A$10:$A$13,'Qualifying Scores'!$F$10:$F$13))),"P",""))</f>
        <v>P</v>
      </c>
      <c r="Q22" s="1" t="str">
        <f>IF(A22&lt;5,IF(_xlfn.MAXIFS(A:A,G:G,G22)&gt;3,5-A22,_xlfn.MAXIFS(A:A,G:G,G22)+1-A22),"")</f>
        <v/>
      </c>
      <c r="R22" s="4">
        <f>MAX(T22,X22)</f>
        <v>48.5</v>
      </c>
      <c r="S22" s="4">
        <f>IF(R22=T22,MAX(V22,X22,Z22),IF(R22=X22,MAX(T22,V22,Z22),0))</f>
        <v>48</v>
      </c>
      <c r="T22" s="33">
        <v>44.1</v>
      </c>
      <c r="U22" s="40">
        <v>7.8</v>
      </c>
      <c r="V22" s="34">
        <v>40.799999999999997</v>
      </c>
      <c r="W22" s="40">
        <v>5.9</v>
      </c>
      <c r="X22" s="33">
        <v>48.5</v>
      </c>
      <c r="Y22" s="40">
        <v>14.1</v>
      </c>
      <c r="Z22" s="34">
        <v>48</v>
      </c>
      <c r="AA22" s="37">
        <v>14.100000000000001</v>
      </c>
    </row>
    <row r="23" spans="1:27" x14ac:dyDescent="0.2">
      <c r="A23" s="1" t="str" cm="1">
        <f t="array" ref="A23">IF(I23="","",IF(P23&lt;&gt;"",SUMPRODUCT((P$3:P$99&lt;&gt;"")*(G$3:G$99=G23)*(J$3:J$99&gt;J23)*(I$3:I$99="P"))+1,IF(O23&lt;&gt;"",SUMPRODUCT((O$3:O$99&lt;&gt;"")*(P$3:P$99="")*(G$3:G$99=G23)*(J$3:J$99&gt;J23)*(I$3:I$99="P"))+SUMPRODUCT((P$3:P$99&lt;&gt;"")*(G$3:G$99=G23)*(I$3:I$99="P"))+1,IF(N23&lt;&gt;"",SUMPRODUCT((N$3:N$99&lt;&gt;"")*(G$3:G$99=G23)*(J$3:J$99&gt;J23)*(I$3:I$99="P"))+1,IF(M23="P",SUMPRODUCT((O$3:O$99&lt;&gt;"")*(P$3:P$99="")*(G$3:G$99=G23)*(I$3:I$99="P"))+SUMPRODUCT((P$3:P$99&lt;&gt;"")*(G$3:G$99=G23)*(I$3:I$99="P"))+SUMPRODUCT((N$3:N$99&lt;&gt;"")*(G$3:G$99=G23)*(I$3:I$99="P"))+SUMPRODUCT((P$3:P$99="")*(O$3:O$99="")*(N$3:N$99="")*(M$3:M$99="P")*(G$3:G$99=G23)*(J$3:J$99&gt;J23)*(I$3:I$99="P"))+IF(H23="L5",SUMPRODUCT((P$3:P$99="")*(O$3:O$99="")*(N$3:N$99="")*(M$3:M$99="P")*(G$3:G$99=G23)*(J$3:J$99&lt;J23)*(H$3:H$99&lt;&gt;H23)*(I$3:I$99="P")),-1*SUMPRODUCT((P$3:P$99="")*(O$3:O$99="")*(N$3:N$99="")*(M$3:M$99="P")*(G$3:G$99=G23)*(J$3:J$99&gt;J23)*(H$3:H$99="L5")*(I$3:I$99="P")))+1,"")))))</f>
        <v/>
      </c>
      <c r="B23" s="1" cm="1">
        <f t="array" ref="B23">IF(P23&lt;&gt;"",SUMPRODUCT((P$3:P$99&lt;&gt;"")*(G$3:G$99=G23)*(J$3:J$99&gt;J23))+1,IF(O23&lt;&gt;"",SUMPRODUCT((O$3:O$99&lt;&gt;"")*(P$3:P$99="")*(G$3:G$99=G23)*(J$3:J$99&gt;J23))+SUMPRODUCT((P$3:P$99&lt;&gt;"")*(G$3:G$99=G23))+1,IF(N23&lt;&gt;"",SUMPRODUCT((N$3:N$99&lt;&gt;"")*(G$3:G$99=G23)*(J$3:J$99&gt;J23))+1,IF(M23="P",SUMPRODUCT((O$3:O$99&lt;&gt;"")*(P$3:P$99="")*(G$3:G$99=G23))+SUMPRODUCT((P$3:P$99&lt;&gt;"")*(G$3:G$99=G23))+SUMPRODUCT((N$3:N$99&lt;&gt;"")*(G$3:G$99=G23))+SUMPRODUCT((P$3:P$99="")*(O$3:O$99="")*(N$3:N$99="")*(M$3:M$99="P")*(G$3:G$99=G23)*(J$3:J$99&gt;J23))+IF(H23="L5",SUMPRODUCT((P$3:P$99="")*(O$3:O$99="")*(N$3:N$99="")*(M$3:M$99="P")*(G$3:G$99=G23)*(J$3:J$99&lt;J23)*(H$3:H$99&lt;&gt;H23)),-1*SUMPRODUCT((P$3:P$99="")*(O$3:O$99="")*(N$3:N$99="")*(M$3:M$99="P")*(G$3:G$99=G23)*(J$3:J$99&gt;J23)*(H$3:H$99="L5")))+1,""))))</f>
        <v>20</v>
      </c>
      <c r="C23" s="36" t="s">
        <v>278</v>
      </c>
      <c r="D23" s="36" t="str">
        <f>IF(E23="","",VLOOKUP(E23,'Coaching Points'!A:B,2,0))</f>
        <v>AB</v>
      </c>
      <c r="E23" s="36" t="s">
        <v>29</v>
      </c>
      <c r="F23" s="35">
        <v>2002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74</v>
      </c>
      <c r="I23" s="43"/>
      <c r="J23" s="4">
        <f>R23+S23+IF(OR(H23="Junior",H23="Senior"),0.0002,IF(OR(H23="L7",H23="L6"),0.0001,0))+MAX(X23,Z23)*0.0000001</f>
        <v>73.200204880000001</v>
      </c>
      <c r="K23" s="3" t="str">
        <f>IF(G23="Not Age Eligible","",IF(MAX(T23,V23,X23,Z23)&gt;=LOOKUP(G23,'Qualifying Scores'!$A$4:$A$7,'Qualifying Scores'!$F$4:$F$7),"P",""))</f>
        <v>P</v>
      </c>
      <c r="L23" s="3" t="str">
        <f>IF(G23="Not Age Eligible","",IF(MAX(U23,W23,Y23,AA23)&gt;=LOOKUP(G23,'Qualifying Scores'!$A$10:$A$13,'Qualifying Scores'!$F$10:$F$13),"P",""))</f>
        <v>P</v>
      </c>
      <c r="M23" s="3" t="str">
        <f>IF(G23="Not Age Eligible","",IF(OR(AND(T23&gt;=LOOKUP(G23,'Qualifying Scores'!$A$4:$A$7,'Qualifying Scores'!$F$4:$F$7),U23&gt;=LOOKUP(G23,'Qualifying Scores'!$A$10:$A$13,'Qualifying Scores'!$F$10:$F$13)),AND(X23&gt;=LOOKUP(G23,'Qualifying Scores'!$A$4:$A$7,'Qualifying Scores'!$F$4:$F$7),Y23&gt;=LOOKUP(G23,'Qualifying Scores'!$A$10:$A$13,'Qualifying Scores'!$F$10:$F$13)),AND(V23&gt;=LOOKUP(G23,'Qualifying Scores'!$A$4:$A$7,'Qualifying Scores'!$F$4:$F$7),W23&gt;=LOOKUP(G23,'Qualifying Scores'!$A$10:$A$13,'Qualifying Scores'!$F$10:$F$13)),AND(Z23&gt;=LOOKUP(G23,'Qualifying Scores'!$A$4:$A$7,'Qualifying Scores'!$F$4:$F$7),AA23&gt;=LOOKUP(G23,'Qualifying Scores'!$A$10:$A$13,'Qualifying Scores'!$F$10:$F$13))),"P",""))</f>
        <v>P</v>
      </c>
      <c r="Q23" s="1" t="str">
        <f>IF(A23&lt;5,IF(_xlfn.MAXIFS(A:A,G:G,G23)&gt;3,5-A23,_xlfn.MAXIFS(A:A,G:G,G23)+1-A23),"")</f>
        <v/>
      </c>
      <c r="R23" s="4">
        <f>MAX(T23,X23)</f>
        <v>48.8</v>
      </c>
      <c r="S23" s="4">
        <f>IF(R23=T23,MAX(V23,X23,Z23),IF(R23=X23,MAX(T23,V23,Z23),0))</f>
        <v>24.4</v>
      </c>
      <c r="T23" s="33">
        <v>24.4</v>
      </c>
      <c r="U23" s="40">
        <v>6</v>
      </c>
      <c r="V23" s="34"/>
      <c r="W23" s="40"/>
      <c r="X23" s="33">
        <v>48.8</v>
      </c>
      <c r="Y23" s="40">
        <v>13.2</v>
      </c>
      <c r="Z23" s="34"/>
      <c r="AA23" s="37"/>
    </row>
    <row r="24" spans="1:27" x14ac:dyDescent="0.2">
      <c r="A24" s="1" t="str" cm="1">
        <f t="array" ref="A24">IF(I24="","",IF(P24&lt;&gt;"",SUMPRODUCT((P$3:P$99&lt;&gt;"")*(G$3:G$99=G24)*(J$3:J$99&gt;J24)*(I$3:I$99="P"))+1,IF(O24&lt;&gt;"",SUMPRODUCT((O$3:O$99&lt;&gt;"")*(P$3:P$99="")*(G$3:G$99=G24)*(J$3:J$99&gt;J24)*(I$3:I$99="P"))+SUMPRODUCT((P$3:P$99&lt;&gt;"")*(G$3:G$99=G24)*(I$3:I$99="P"))+1,IF(N24&lt;&gt;"",SUMPRODUCT((N$3:N$99&lt;&gt;"")*(G$3:G$99=G24)*(J$3:J$99&gt;J24)*(I$3:I$99="P"))+1,IF(M24="P",SUMPRODUCT((O$3:O$99&lt;&gt;"")*(P$3:P$99="")*(G$3:G$99=G24)*(I$3:I$99="P"))+SUMPRODUCT((P$3:P$99&lt;&gt;"")*(G$3:G$99=G24)*(I$3:I$99="P"))+SUMPRODUCT((N$3:N$99&lt;&gt;"")*(G$3:G$99=G24)*(I$3:I$99="P"))+SUMPRODUCT((P$3:P$99="")*(O$3:O$99="")*(N$3:N$99="")*(M$3:M$99="P")*(G$3:G$99=G24)*(J$3:J$99&gt;J24)*(I$3:I$99="P"))+IF(H24="L5",SUMPRODUCT((P$3:P$99="")*(O$3:O$99="")*(N$3:N$99="")*(M$3:M$99="P")*(G$3:G$99=G24)*(J$3:J$99&lt;J24)*(H$3:H$99&lt;&gt;H24)*(I$3:I$99="P")),-1*SUMPRODUCT((P$3:P$99="")*(O$3:O$99="")*(N$3:N$99="")*(M$3:M$99="P")*(G$3:G$99=G24)*(J$3:J$99&gt;J24)*(H$3:H$99="L5")*(I$3:I$99="P")))+1,"")))))</f>
        <v/>
      </c>
      <c r="B24" s="1" t="str" cm="1">
        <f t="array" ref="B24">IF(P24&lt;&gt;"",SUMPRODUCT((P$3:P$99&lt;&gt;"")*(G$3:G$99=G24)*(J$3:J$99&gt;J24))+1,IF(O24&lt;&gt;"",SUMPRODUCT((O$3:O$99&lt;&gt;"")*(P$3:P$99="")*(G$3:G$99=G24)*(J$3:J$99&gt;J24))+SUMPRODUCT((P$3:P$99&lt;&gt;"")*(G$3:G$99=G24))+1,IF(N24&lt;&gt;"",SUMPRODUCT((N$3:N$99&lt;&gt;"")*(G$3:G$99=G24)*(J$3:J$99&gt;J24))+1,IF(M24="P",SUMPRODUCT((O$3:O$99&lt;&gt;"")*(P$3:P$99="")*(G$3:G$99=G24))+SUMPRODUCT((P$3:P$99&lt;&gt;"")*(G$3:G$99=G24))+SUMPRODUCT((N$3:N$99&lt;&gt;"")*(G$3:G$99=G24))+SUMPRODUCT((P$3:P$99="")*(O$3:O$99="")*(N$3:N$99="")*(M$3:M$99="P")*(G$3:G$99=G24)*(J$3:J$99&gt;J24))+IF(H24="L5",SUMPRODUCT((P$3:P$99="")*(O$3:O$99="")*(N$3:N$99="")*(M$3:M$99="P")*(G$3:G$99=G24)*(J$3:J$99&lt;J24)*(H$3:H$99&lt;&gt;H24)),-1*SUMPRODUCT((P$3:P$99="")*(O$3:O$99="")*(N$3:N$99="")*(M$3:M$99="P")*(G$3:G$99=G24)*(J$3:J$99&gt;J24)*(H$3:H$99="L5")))+1,""))))</f>
        <v/>
      </c>
      <c r="C24" s="36" t="s">
        <v>99</v>
      </c>
      <c r="D24" s="36" t="str">
        <f>IF(E24="","",VLOOKUP(E24,'Coaching Points'!A:B,2,0))</f>
        <v>ON</v>
      </c>
      <c r="E24" s="36" t="s">
        <v>100</v>
      </c>
      <c r="F24" s="35">
        <v>2003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68</v>
      </c>
      <c r="I24" s="43"/>
      <c r="J24" s="4">
        <f>R24+S24+IF(OR(H24="Junior",H24="Senior"),0.0002,IF(OR(H24="L7",H24="L6"),0.0001,0))+MAX(X24,Z24)*0.0000001</f>
        <v>94.600104729999998</v>
      </c>
      <c r="K24" s="3" t="str">
        <f>IF(G24="Not Age Eligible","",IF(MAX(T24,V24,X24,Z24)&gt;=LOOKUP(G24,'Qualifying Scores'!$A$4:$A$7,'Qualifying Scores'!$F$4:$F$7),"P",""))</f>
        <v/>
      </c>
      <c r="L24" s="3" t="str">
        <f>IF(G24="Not Age Eligible","",IF(MAX(U24,W24,Y24,AA24)&gt;=LOOKUP(G24,'Qualifying Scores'!$A$10:$A$13,'Qualifying Scores'!$F$10:$F$13),"P",""))</f>
        <v/>
      </c>
      <c r="M24" s="3" t="str">
        <f>IF(G24="Not Age Eligible","",IF(OR(AND(T24&gt;=LOOKUP(G24,'Qualifying Scores'!$A$4:$A$7,'Qualifying Scores'!$F$4:$F$7),U24&gt;=LOOKUP(G24,'Qualifying Scores'!$A$10:$A$13,'Qualifying Scores'!$F$10:$F$13)),AND(X24&gt;=LOOKUP(G24,'Qualifying Scores'!$A$4:$A$7,'Qualifying Scores'!$F$4:$F$7),Y24&gt;=LOOKUP(G24,'Qualifying Scores'!$A$10:$A$13,'Qualifying Scores'!$F$10:$F$13)),AND(V24&gt;=LOOKUP(G24,'Qualifying Scores'!$A$4:$A$7,'Qualifying Scores'!$F$4:$F$7),W24&gt;=LOOKUP(G24,'Qualifying Scores'!$A$10:$A$13,'Qualifying Scores'!$F$10:$F$13)),AND(Z24&gt;=LOOKUP(G24,'Qualifying Scores'!$A$4:$A$7,'Qualifying Scores'!$F$4:$F$7),AA24&gt;=LOOKUP(G24,'Qualifying Scores'!$A$10:$A$13,'Qualifying Scores'!$F$10:$F$13))),"P",""))</f>
        <v/>
      </c>
      <c r="Q24" s="1" t="str">
        <f>IF(A24&lt;5,IF(_xlfn.MAXIFS(A:A,G:G,G24)&gt;3,5-A24,_xlfn.MAXIFS(A:A,G:G,G24)+1-A24),"")</f>
        <v/>
      </c>
      <c r="R24" s="4">
        <f>MAX(T24,X24)</f>
        <v>47.1</v>
      </c>
      <c r="S24" s="4">
        <f>IF(R24=T24,MAX(V24,X24,Z24),IF(R24=X24,MAX(T24,V24,Z24),0))</f>
        <v>47.5</v>
      </c>
      <c r="T24" s="33">
        <v>47.1</v>
      </c>
      <c r="U24" s="40">
        <v>10.4</v>
      </c>
      <c r="V24" s="34">
        <v>47.5</v>
      </c>
      <c r="W24" s="40">
        <v>10.4</v>
      </c>
      <c r="X24" s="33">
        <v>46</v>
      </c>
      <c r="Y24" s="40">
        <v>9.6</v>
      </c>
      <c r="Z24" s="34">
        <v>47.3</v>
      </c>
      <c r="AA24" s="37">
        <v>10.4</v>
      </c>
    </row>
    <row r="25" spans="1:27" x14ac:dyDescent="0.2">
      <c r="A25" s="1" t="str" cm="1">
        <f t="array" ref="A25">IF(I25="","",IF(P25&lt;&gt;"",SUMPRODUCT((P$3:P$99&lt;&gt;"")*(G$3:G$99=G25)*(J$3:J$99&gt;J25)*(I$3:I$99="P"))+1,IF(O25&lt;&gt;"",SUMPRODUCT((O$3:O$99&lt;&gt;"")*(P$3:P$99="")*(G$3:G$99=G25)*(J$3:J$99&gt;J25)*(I$3:I$99="P"))+SUMPRODUCT((P$3:P$99&lt;&gt;"")*(G$3:G$99=G25)*(I$3:I$99="P"))+1,IF(N25&lt;&gt;"",SUMPRODUCT((N$3:N$99&lt;&gt;"")*(G$3:G$99=G25)*(J$3:J$99&gt;J25)*(I$3:I$99="P"))+1,IF(M25="P",SUMPRODUCT((O$3:O$99&lt;&gt;"")*(P$3:P$99="")*(G$3:G$99=G25)*(I$3:I$99="P"))+SUMPRODUCT((P$3:P$99&lt;&gt;"")*(G$3:G$99=G25)*(I$3:I$99="P"))+SUMPRODUCT((N$3:N$99&lt;&gt;"")*(G$3:G$99=G25)*(I$3:I$99="P"))+SUMPRODUCT((P$3:P$99="")*(O$3:O$99="")*(N$3:N$99="")*(M$3:M$99="P")*(G$3:G$99=G25)*(J$3:J$99&gt;J25)*(I$3:I$99="P"))+IF(H25="L5",SUMPRODUCT((P$3:P$99="")*(O$3:O$99="")*(N$3:N$99="")*(M$3:M$99="P")*(G$3:G$99=G25)*(J$3:J$99&lt;J25)*(H$3:H$99&lt;&gt;H25)*(I$3:I$99="P")),-1*SUMPRODUCT((P$3:P$99="")*(O$3:O$99="")*(N$3:N$99="")*(M$3:M$99="P")*(G$3:G$99=G25)*(J$3:J$99&gt;J25)*(H$3:H$99="L5")*(I$3:I$99="P")))+1,"")))))</f>
        <v/>
      </c>
      <c r="B25" s="1" t="str" cm="1">
        <f t="array" ref="B25">IF(P25&lt;&gt;"",SUMPRODUCT((P$3:P$99&lt;&gt;"")*(G$3:G$99=G25)*(J$3:J$99&gt;J25))+1,IF(O25&lt;&gt;"",SUMPRODUCT((O$3:O$99&lt;&gt;"")*(P$3:P$99="")*(G$3:G$99=G25)*(J$3:J$99&gt;J25))+SUMPRODUCT((P$3:P$99&lt;&gt;"")*(G$3:G$99=G25))+1,IF(N25&lt;&gt;"",SUMPRODUCT((N$3:N$99&lt;&gt;"")*(G$3:G$99=G25)*(J$3:J$99&gt;J25))+1,IF(M25="P",SUMPRODUCT((O$3:O$99&lt;&gt;"")*(P$3:P$99="")*(G$3:G$99=G25))+SUMPRODUCT((P$3:P$99&lt;&gt;"")*(G$3:G$99=G25))+SUMPRODUCT((N$3:N$99&lt;&gt;"")*(G$3:G$99=G25))+SUMPRODUCT((P$3:P$99="")*(O$3:O$99="")*(N$3:N$99="")*(M$3:M$99="P")*(G$3:G$99=G25)*(J$3:J$99&gt;J25))+IF(H25="L5",SUMPRODUCT((P$3:P$99="")*(O$3:O$99="")*(N$3:N$99="")*(M$3:M$99="P")*(G$3:G$99=G25)*(J$3:J$99&lt;J25)*(H$3:H$99&lt;&gt;H25)),-1*SUMPRODUCT((P$3:P$99="")*(O$3:O$99="")*(N$3:N$99="")*(M$3:M$99="P")*(G$3:G$99=G25)*(J$3:J$99&gt;J25)*(H$3:H$99="L5")))+1,""))))</f>
        <v/>
      </c>
      <c r="C25" s="36" t="s">
        <v>227</v>
      </c>
      <c r="D25" s="36" t="str">
        <f>IF(E25="","",VLOOKUP(E25,'Coaching Points'!A:B,2,0))</f>
        <v>QC</v>
      </c>
      <c r="E25" s="36" t="s">
        <v>202</v>
      </c>
      <c r="F25" s="35">
        <v>2002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68</v>
      </c>
      <c r="I25" s="43"/>
      <c r="J25" s="4">
        <f>R25+S25+IF(OR(H25="Junior",H25="Senior"),0.0002,IF(OR(H25="L7",H25="L6"),0.0001,0))+MAX(X25,Z25)*0.0000001</f>
        <v>94.600104720000004</v>
      </c>
      <c r="K25" s="3" t="str">
        <f>IF(G25="Not Age Eligible","",IF(MAX(T25,V25,X25,Z25)&gt;=LOOKUP(G25,'Qualifying Scores'!$A$4:$A$7,'Qualifying Scores'!$F$4:$F$7),"P",""))</f>
        <v/>
      </c>
      <c r="L25" s="3" t="str">
        <f>IF(G25="Not Age Eligible","",IF(MAX(U25,W25,Y25,AA25)&gt;=LOOKUP(G25,'Qualifying Scores'!$A$10:$A$13,'Qualifying Scores'!$F$10:$F$13),"P",""))</f>
        <v/>
      </c>
      <c r="M25" s="3" t="str">
        <f>IF(G25="Not Age Eligible","",IF(OR(AND(T25&gt;=LOOKUP(G25,'Qualifying Scores'!$A$4:$A$7,'Qualifying Scores'!$F$4:$F$7),U25&gt;=LOOKUP(G25,'Qualifying Scores'!$A$10:$A$13,'Qualifying Scores'!$F$10:$F$13)),AND(X25&gt;=LOOKUP(G25,'Qualifying Scores'!$A$4:$A$7,'Qualifying Scores'!$F$4:$F$7),Y25&gt;=LOOKUP(G25,'Qualifying Scores'!$A$10:$A$13,'Qualifying Scores'!$F$10:$F$13)),AND(V25&gt;=LOOKUP(G25,'Qualifying Scores'!$A$4:$A$7,'Qualifying Scores'!$F$4:$F$7),W25&gt;=LOOKUP(G25,'Qualifying Scores'!$A$10:$A$13,'Qualifying Scores'!$F$10:$F$13)),AND(Z25&gt;=LOOKUP(G25,'Qualifying Scores'!$A$4:$A$7,'Qualifying Scores'!$F$4:$F$7),AA25&gt;=LOOKUP(G25,'Qualifying Scores'!$A$10:$A$13,'Qualifying Scores'!$F$10:$F$13))),"P",""))</f>
        <v/>
      </c>
      <c r="Q25" s="1" t="str">
        <f>IF(A25&lt;5,IF(_xlfn.MAXIFS(A:A,G:G,G25)&gt;3,5-A25,_xlfn.MAXIFS(A:A,G:G,G25)+1-A25),"")</f>
        <v/>
      </c>
      <c r="R25" s="4">
        <f>MAX(T25,X25)</f>
        <v>47.4</v>
      </c>
      <c r="S25" s="4">
        <f>IF(R25=T25,MAX(V25,X25,Z25),IF(R25=X25,MAX(T25,V25,Z25),0))</f>
        <v>47.2</v>
      </c>
      <c r="T25" s="33">
        <v>47.4</v>
      </c>
      <c r="U25" s="40">
        <v>9.6000000000000014</v>
      </c>
      <c r="V25" s="34"/>
      <c r="W25" s="40"/>
      <c r="X25" s="33">
        <v>47.2</v>
      </c>
      <c r="Y25" s="40">
        <v>9.6</v>
      </c>
      <c r="Z25" s="34"/>
      <c r="AA25" s="37"/>
    </row>
    <row r="26" spans="1:27" x14ac:dyDescent="0.2">
      <c r="A26" s="1" t="str" cm="1">
        <f t="array" ref="A26">IF(I26="","",IF(P26&lt;&gt;"",SUMPRODUCT((P$3:P$99&lt;&gt;"")*(G$3:G$99=G26)*(J$3:J$99&gt;J26)*(I$3:I$99="P"))+1,IF(O26&lt;&gt;"",SUMPRODUCT((O$3:O$99&lt;&gt;"")*(P$3:P$99="")*(G$3:G$99=G26)*(J$3:J$99&gt;J26)*(I$3:I$99="P"))+SUMPRODUCT((P$3:P$99&lt;&gt;"")*(G$3:G$99=G26)*(I$3:I$99="P"))+1,IF(N26&lt;&gt;"",SUMPRODUCT((N$3:N$99&lt;&gt;"")*(G$3:G$99=G26)*(J$3:J$99&gt;J26)*(I$3:I$99="P"))+1,IF(M26="P",SUMPRODUCT((O$3:O$99&lt;&gt;"")*(P$3:P$99="")*(G$3:G$99=G26)*(I$3:I$99="P"))+SUMPRODUCT((P$3:P$99&lt;&gt;"")*(G$3:G$99=G26)*(I$3:I$99="P"))+SUMPRODUCT((N$3:N$99&lt;&gt;"")*(G$3:G$99=G26)*(I$3:I$99="P"))+SUMPRODUCT((P$3:P$99="")*(O$3:O$99="")*(N$3:N$99="")*(M$3:M$99="P")*(G$3:G$99=G26)*(J$3:J$99&gt;J26)*(I$3:I$99="P"))+IF(H26="L5",SUMPRODUCT((P$3:P$99="")*(O$3:O$99="")*(N$3:N$99="")*(M$3:M$99="P")*(G$3:G$99=G26)*(J$3:J$99&lt;J26)*(H$3:H$99&lt;&gt;H26)*(I$3:I$99="P")),-1*SUMPRODUCT((P$3:P$99="")*(O$3:O$99="")*(N$3:N$99="")*(M$3:M$99="P")*(G$3:G$99=G26)*(J$3:J$99&gt;J26)*(H$3:H$99="L5")*(I$3:I$99="P")))+1,"")))))</f>
        <v/>
      </c>
      <c r="B26" s="1" t="str" cm="1">
        <f t="array" ref="B26">IF(P26&lt;&gt;"",SUMPRODUCT((P$3:P$99&lt;&gt;"")*(G$3:G$99=G26)*(J$3:J$99&gt;J26))+1,IF(O26&lt;&gt;"",SUMPRODUCT((O$3:O$99&lt;&gt;"")*(P$3:P$99="")*(G$3:G$99=G26)*(J$3:J$99&gt;J26))+SUMPRODUCT((P$3:P$99&lt;&gt;"")*(G$3:G$99=G26))+1,IF(N26&lt;&gt;"",SUMPRODUCT((N$3:N$99&lt;&gt;"")*(G$3:G$99=G26)*(J$3:J$99&gt;J26))+1,IF(M26="P",SUMPRODUCT((O$3:O$99&lt;&gt;"")*(P$3:P$99="")*(G$3:G$99=G26))+SUMPRODUCT((P$3:P$99&lt;&gt;"")*(G$3:G$99=G26))+SUMPRODUCT((N$3:N$99&lt;&gt;"")*(G$3:G$99=G26))+SUMPRODUCT((P$3:P$99="")*(O$3:O$99="")*(N$3:N$99="")*(M$3:M$99="P")*(G$3:G$99=G26)*(J$3:J$99&gt;J26))+IF(H26="L5",SUMPRODUCT((P$3:P$99="")*(O$3:O$99="")*(N$3:N$99="")*(M$3:M$99="P")*(G$3:G$99=G26)*(J$3:J$99&lt;J26)*(H$3:H$99&lt;&gt;H26)),-1*SUMPRODUCT((P$3:P$99="")*(O$3:O$99="")*(N$3:N$99="")*(M$3:M$99="P")*(G$3:G$99=G26)*(J$3:J$99&gt;J26)*(H$3:H$99="L5")))+1,""))))</f>
        <v/>
      </c>
      <c r="C26" s="36" t="s">
        <v>219</v>
      </c>
      <c r="D26" s="36" t="str">
        <f>IF(E26="","",VLOOKUP(E26,'Coaching Points'!A:B,2,0))</f>
        <v>ON</v>
      </c>
      <c r="E26" s="36" t="s">
        <v>47</v>
      </c>
      <c r="F26" s="35">
        <v>2006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68</v>
      </c>
      <c r="I26" s="43" t="s">
        <v>567</v>
      </c>
      <c r="J26" s="4">
        <f>R26+S26+IF(OR(H26="Junior",H26="Senior"),0.0002,IF(OR(H26="L7",H26="L6"),0.0001,0))+MAX(X26,Z26)*0.0000001</f>
        <v>93.200104750000008</v>
      </c>
      <c r="K26" s="3" t="str">
        <f>IF(G26="Not Age Eligible","",IF(MAX(T26,V26,X26,Z26)&gt;=LOOKUP(G26,'Qualifying Scores'!$A$4:$A$7,'Qualifying Scores'!$F$4:$F$7),"P",""))</f>
        <v/>
      </c>
      <c r="L26" s="3" t="str">
        <f>IF(G26="Not Age Eligible","",IF(MAX(U26,W26,Y26,AA26)&gt;=LOOKUP(G26,'Qualifying Scores'!$A$10:$A$13,'Qualifying Scores'!$F$10:$F$13),"P",""))</f>
        <v/>
      </c>
      <c r="M26" s="3" t="str">
        <f>IF(G26="Not Age Eligible","",IF(OR(AND(T26&gt;=LOOKUP(G26,'Qualifying Scores'!$A$4:$A$7,'Qualifying Scores'!$F$4:$F$7),U26&gt;=LOOKUP(G26,'Qualifying Scores'!$A$10:$A$13,'Qualifying Scores'!$F$10:$F$13)),AND(X26&gt;=LOOKUP(G26,'Qualifying Scores'!$A$4:$A$7,'Qualifying Scores'!$F$4:$F$7),Y26&gt;=LOOKUP(G26,'Qualifying Scores'!$A$10:$A$13,'Qualifying Scores'!$F$10:$F$13)),AND(V26&gt;=LOOKUP(G26,'Qualifying Scores'!$A$4:$A$7,'Qualifying Scores'!$F$4:$F$7),W26&gt;=LOOKUP(G26,'Qualifying Scores'!$A$10:$A$13,'Qualifying Scores'!$F$10:$F$13)),AND(Z26&gt;=LOOKUP(G26,'Qualifying Scores'!$A$4:$A$7,'Qualifying Scores'!$F$4:$F$7),AA26&gt;=LOOKUP(G26,'Qualifying Scores'!$A$10:$A$13,'Qualifying Scores'!$F$10:$F$13))),"P",""))</f>
        <v/>
      </c>
      <c r="Q26" s="1" t="str">
        <f>IF(A26&lt;5,IF(_xlfn.MAXIFS(A:A,G:G,G26)&gt;3,5-A26,_xlfn.MAXIFS(A:A,G:G,G26)+1-A26),"")</f>
        <v/>
      </c>
      <c r="R26" s="4">
        <f>MAX(T26,X26)</f>
        <v>45.7</v>
      </c>
      <c r="S26" s="4">
        <f>IF(R26=T26,MAX(V26,X26,Z26),IF(R26=X26,MAX(T26,V26,Z26),0))</f>
        <v>47.5</v>
      </c>
      <c r="T26" s="33">
        <v>44.1</v>
      </c>
      <c r="U26" s="40">
        <v>7.9</v>
      </c>
      <c r="V26" s="34">
        <v>44.1</v>
      </c>
      <c r="W26" s="40">
        <v>7</v>
      </c>
      <c r="X26" s="33">
        <v>45.7</v>
      </c>
      <c r="Y26" s="40">
        <v>10.8</v>
      </c>
      <c r="Z26" s="34">
        <v>47.5</v>
      </c>
      <c r="AA26" s="37">
        <v>10.4</v>
      </c>
    </row>
    <row r="27" spans="1:27" x14ac:dyDescent="0.2">
      <c r="A27" s="1" t="str" cm="1">
        <f t="array" ref="A27">IF(I27="","",IF(P27&lt;&gt;"",SUMPRODUCT((P$3:P$99&lt;&gt;"")*(G$3:G$99=G27)*(J$3:J$99&gt;J27)*(I$3:I$99="P"))+1,IF(O27&lt;&gt;"",SUMPRODUCT((O$3:O$99&lt;&gt;"")*(P$3:P$99="")*(G$3:G$99=G27)*(J$3:J$99&gt;J27)*(I$3:I$99="P"))+SUMPRODUCT((P$3:P$99&lt;&gt;"")*(G$3:G$99=G27)*(I$3:I$99="P"))+1,IF(N27&lt;&gt;"",SUMPRODUCT((N$3:N$99&lt;&gt;"")*(G$3:G$99=G27)*(J$3:J$99&gt;J27)*(I$3:I$99="P"))+1,IF(M27="P",SUMPRODUCT((O$3:O$99&lt;&gt;"")*(P$3:P$99="")*(G$3:G$99=G27)*(I$3:I$99="P"))+SUMPRODUCT((P$3:P$99&lt;&gt;"")*(G$3:G$99=G27)*(I$3:I$99="P"))+SUMPRODUCT((N$3:N$99&lt;&gt;"")*(G$3:G$99=G27)*(I$3:I$99="P"))+SUMPRODUCT((P$3:P$99="")*(O$3:O$99="")*(N$3:N$99="")*(M$3:M$99="P")*(G$3:G$99=G27)*(J$3:J$99&gt;J27)*(I$3:I$99="P"))+IF(H27="L5",SUMPRODUCT((P$3:P$99="")*(O$3:O$99="")*(N$3:N$99="")*(M$3:M$99="P")*(G$3:G$99=G27)*(J$3:J$99&lt;J27)*(H$3:H$99&lt;&gt;H27)*(I$3:I$99="P")),-1*SUMPRODUCT((P$3:P$99="")*(O$3:O$99="")*(N$3:N$99="")*(M$3:M$99="P")*(G$3:G$99=G27)*(J$3:J$99&gt;J27)*(H$3:H$99="L5")*(I$3:I$99="P")))+1,"")))))</f>
        <v/>
      </c>
      <c r="B27" s="1" t="str" cm="1">
        <f t="array" ref="B27">IF(P27&lt;&gt;"",SUMPRODUCT((P$3:P$99&lt;&gt;"")*(G$3:G$99=G27)*(J$3:J$99&gt;J27))+1,IF(O27&lt;&gt;"",SUMPRODUCT((O$3:O$99&lt;&gt;"")*(P$3:P$99="")*(G$3:G$99=G27)*(J$3:J$99&gt;J27))+SUMPRODUCT((P$3:P$99&lt;&gt;"")*(G$3:G$99=G27))+1,IF(N27&lt;&gt;"",SUMPRODUCT((N$3:N$99&lt;&gt;"")*(G$3:G$99=G27)*(J$3:J$99&gt;J27))+1,IF(M27="P",SUMPRODUCT((O$3:O$99&lt;&gt;"")*(P$3:P$99="")*(G$3:G$99=G27))+SUMPRODUCT((P$3:P$99&lt;&gt;"")*(G$3:G$99=G27))+SUMPRODUCT((N$3:N$99&lt;&gt;"")*(G$3:G$99=G27))+SUMPRODUCT((P$3:P$99="")*(O$3:O$99="")*(N$3:N$99="")*(M$3:M$99="P")*(G$3:G$99=G27)*(J$3:J$99&gt;J27))+IF(H27="L5",SUMPRODUCT((P$3:P$99="")*(O$3:O$99="")*(N$3:N$99="")*(M$3:M$99="P")*(G$3:G$99=G27)*(J$3:J$99&lt;J27)*(H$3:H$99&lt;&gt;H27)),-1*SUMPRODUCT((P$3:P$99="")*(O$3:O$99="")*(N$3:N$99="")*(M$3:M$99="P")*(G$3:G$99=G27)*(J$3:J$99&gt;J27)*(H$3:H$99="L5")))+1,""))))</f>
        <v/>
      </c>
      <c r="C27" s="36" t="s">
        <v>98</v>
      </c>
      <c r="D27" s="36" t="str">
        <f>IF(E27="","",VLOOKUP(E27,'Coaching Points'!A:B,2,0))</f>
        <v>BC</v>
      </c>
      <c r="E27" s="36" t="s">
        <v>62</v>
      </c>
      <c r="F27" s="35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68</v>
      </c>
      <c r="I27" s="43"/>
      <c r="J27" s="4">
        <f>R27+S27+IF(OR(H27="Junior",H27="Senior"),0.0002,IF(OR(H27="L7",H27="L6"),0.0001,0))+MAX(X27,Z27)*0.0000001</f>
        <v>90.800104300000015</v>
      </c>
      <c r="K27" s="3" t="str">
        <f>IF(G27="Not Age Eligible","",IF(MAX(T27,V27,X27,Z27)&gt;=LOOKUP(G27,'Qualifying Scores'!$A$4:$A$7,'Qualifying Scores'!$F$4:$F$7),"P",""))</f>
        <v/>
      </c>
      <c r="L27" s="3" t="str">
        <f>IF(G27="Not Age Eligible","",IF(MAX(U27,W27,Y27,AA27)&gt;=LOOKUP(G27,'Qualifying Scores'!$A$10:$A$13,'Qualifying Scores'!$F$10:$F$13),"P",""))</f>
        <v/>
      </c>
      <c r="M27" s="3" t="str">
        <f>IF(G27="Not Age Eligible","",IF(OR(AND(T27&gt;=LOOKUP(G27,'Qualifying Scores'!$A$4:$A$7,'Qualifying Scores'!$F$4:$F$7),U27&gt;=LOOKUP(G27,'Qualifying Scores'!$A$10:$A$13,'Qualifying Scores'!$F$10:$F$13)),AND(X27&gt;=LOOKUP(G27,'Qualifying Scores'!$A$4:$A$7,'Qualifying Scores'!$F$4:$F$7),Y27&gt;=LOOKUP(G27,'Qualifying Scores'!$A$10:$A$13,'Qualifying Scores'!$F$10:$F$13)),AND(V27&gt;=LOOKUP(G27,'Qualifying Scores'!$A$4:$A$7,'Qualifying Scores'!$F$4:$F$7),W27&gt;=LOOKUP(G27,'Qualifying Scores'!$A$10:$A$13,'Qualifying Scores'!$F$10:$F$13)),AND(Z27&gt;=LOOKUP(G27,'Qualifying Scores'!$A$4:$A$7,'Qualifying Scores'!$F$4:$F$7),AA27&gt;=LOOKUP(G27,'Qualifying Scores'!$A$10:$A$13,'Qualifying Scores'!$F$10:$F$13))),"P",""))</f>
        <v/>
      </c>
      <c r="Q27" s="1" t="str">
        <f>IF(A27&lt;5,IF(_xlfn.MAXIFS(A:A,G:G,G27)&gt;3,5-A27,_xlfn.MAXIFS(A:A,G:G,G27)+1-A27),"")</f>
        <v/>
      </c>
      <c r="R27" s="4">
        <f>MAX(T27,X27)</f>
        <v>45.6</v>
      </c>
      <c r="S27" s="4">
        <f>IF(R27=T27,MAX(V27,X27,Z27),IF(R27=X27,MAX(T27,V27,Z27),0))</f>
        <v>45.2</v>
      </c>
      <c r="T27" s="33">
        <v>45.6</v>
      </c>
      <c r="U27" s="40">
        <v>10.4</v>
      </c>
      <c r="V27" s="34">
        <v>45.2</v>
      </c>
      <c r="W27" s="40">
        <v>10.4</v>
      </c>
      <c r="X27" s="33">
        <v>43</v>
      </c>
      <c r="Y27" s="40">
        <v>7.6</v>
      </c>
      <c r="Z27" s="34"/>
      <c r="AA27" s="37"/>
    </row>
    <row r="28" spans="1:27" x14ac:dyDescent="0.2">
      <c r="A28" s="1" t="str" cm="1">
        <f t="array" ref="A28">IF(I28="","",IF(P28&lt;&gt;"",SUMPRODUCT((P$3:P$99&lt;&gt;"")*(G$3:G$99=G28)*(J$3:J$99&gt;J28)*(I$3:I$99="P"))+1,IF(O28&lt;&gt;"",SUMPRODUCT((O$3:O$99&lt;&gt;"")*(P$3:P$99="")*(G$3:G$99=G28)*(J$3:J$99&gt;J28)*(I$3:I$99="P"))+SUMPRODUCT((P$3:P$99&lt;&gt;"")*(G$3:G$99=G28)*(I$3:I$99="P"))+1,IF(N28&lt;&gt;"",SUMPRODUCT((N$3:N$99&lt;&gt;"")*(G$3:G$99=G28)*(J$3:J$99&gt;J28)*(I$3:I$99="P"))+1,IF(M28="P",SUMPRODUCT((O$3:O$99&lt;&gt;"")*(P$3:P$99="")*(G$3:G$99=G28)*(I$3:I$99="P"))+SUMPRODUCT((P$3:P$99&lt;&gt;"")*(G$3:G$99=G28)*(I$3:I$99="P"))+SUMPRODUCT((N$3:N$99&lt;&gt;"")*(G$3:G$99=G28)*(I$3:I$99="P"))+SUMPRODUCT((P$3:P$99="")*(O$3:O$99="")*(N$3:N$99="")*(M$3:M$99="P")*(G$3:G$99=G28)*(J$3:J$99&gt;J28)*(I$3:I$99="P"))+IF(H28="L5",SUMPRODUCT((P$3:P$99="")*(O$3:O$99="")*(N$3:N$99="")*(M$3:M$99="P")*(G$3:G$99=G28)*(J$3:J$99&lt;J28)*(H$3:H$99&lt;&gt;H28)*(I$3:I$99="P")),-1*SUMPRODUCT((P$3:P$99="")*(O$3:O$99="")*(N$3:N$99="")*(M$3:M$99="P")*(G$3:G$99=G28)*(J$3:J$99&gt;J28)*(H$3:H$99="L5")*(I$3:I$99="P")))+1,"")))))</f>
        <v/>
      </c>
      <c r="B28" s="1" t="str" cm="1">
        <f t="array" ref="B28">IF(P28&lt;&gt;"",SUMPRODUCT((P$3:P$99&lt;&gt;"")*(G$3:G$99=G28)*(J$3:J$99&gt;J28))+1,IF(O28&lt;&gt;"",SUMPRODUCT((O$3:O$99&lt;&gt;"")*(P$3:P$99="")*(G$3:G$99=G28)*(J$3:J$99&gt;J28))+SUMPRODUCT((P$3:P$99&lt;&gt;"")*(G$3:G$99=G28))+1,IF(N28&lt;&gt;"",SUMPRODUCT((N$3:N$99&lt;&gt;"")*(G$3:G$99=G28)*(J$3:J$99&gt;J28))+1,IF(M28="P",SUMPRODUCT((O$3:O$99&lt;&gt;"")*(P$3:P$99="")*(G$3:G$99=G28))+SUMPRODUCT((P$3:P$99&lt;&gt;"")*(G$3:G$99=G28))+SUMPRODUCT((N$3:N$99&lt;&gt;"")*(G$3:G$99=G28))+SUMPRODUCT((P$3:P$99="")*(O$3:O$99="")*(N$3:N$99="")*(M$3:M$99="P")*(G$3:G$99=G28)*(J$3:J$99&gt;J28))+IF(H28="L5",SUMPRODUCT((P$3:P$99="")*(O$3:O$99="")*(N$3:N$99="")*(M$3:M$99="P")*(G$3:G$99=G28)*(J$3:J$99&lt;J28)*(H$3:H$99&lt;&gt;H28)),-1*SUMPRODUCT((P$3:P$99="")*(O$3:O$99="")*(N$3:N$99="")*(M$3:M$99="P")*(G$3:G$99=G28)*(J$3:J$99&gt;J28)*(H$3:H$99="L5")))+1,""))))</f>
        <v/>
      </c>
      <c r="C28" s="36" t="s">
        <v>231</v>
      </c>
      <c r="D28" s="36" t="str">
        <f>IF(E28="","",VLOOKUP(E28,'Coaching Points'!A:B,2,0))</f>
        <v>ON</v>
      </c>
      <c r="E28" s="36" t="s">
        <v>291</v>
      </c>
      <c r="F28" s="35">
        <v>2002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66</v>
      </c>
      <c r="I28" s="43"/>
      <c r="J28" s="4">
        <f>R28+S28+IF(OR(H28="Junior",H28="Senior"),0.0002,IF(OR(H28="L7",H28="L6"),0.0001,0))+MAX(X28,Z28)*0.0000001</f>
        <v>90.100004509999991</v>
      </c>
      <c r="K28" s="3" t="str">
        <f>IF(G28="Not Age Eligible","",IF(MAX(T28,V28,X28,Z28)&gt;=LOOKUP(G28,'Qualifying Scores'!$A$4:$A$7,'Qualifying Scores'!$F$4:$F$7),"P",""))</f>
        <v/>
      </c>
      <c r="L28" s="3" t="str">
        <f>IF(G28="Not Age Eligible","",IF(MAX(U28,W28,Y28,AA28)&gt;=LOOKUP(G28,'Qualifying Scores'!$A$10:$A$13,'Qualifying Scores'!$F$10:$F$13),"P",""))</f>
        <v/>
      </c>
      <c r="M28" s="3" t="str">
        <f>IF(G28="Not Age Eligible","",IF(OR(AND(T28&gt;=LOOKUP(G28,'Qualifying Scores'!$A$4:$A$7,'Qualifying Scores'!$F$4:$F$7),U28&gt;=LOOKUP(G28,'Qualifying Scores'!$A$10:$A$13,'Qualifying Scores'!$F$10:$F$13)),AND(X28&gt;=LOOKUP(G28,'Qualifying Scores'!$A$4:$A$7,'Qualifying Scores'!$F$4:$F$7),Y28&gt;=LOOKUP(G28,'Qualifying Scores'!$A$10:$A$13,'Qualifying Scores'!$F$10:$F$13)),AND(V28&gt;=LOOKUP(G28,'Qualifying Scores'!$A$4:$A$7,'Qualifying Scores'!$F$4:$F$7),W28&gt;=LOOKUP(G28,'Qualifying Scores'!$A$10:$A$13,'Qualifying Scores'!$F$10:$F$13)),AND(Z28&gt;=LOOKUP(G28,'Qualifying Scores'!$A$4:$A$7,'Qualifying Scores'!$F$4:$F$7),AA28&gt;=LOOKUP(G28,'Qualifying Scores'!$A$10:$A$13,'Qualifying Scores'!$F$10:$F$13))),"P",""))</f>
        <v/>
      </c>
      <c r="Q28" s="1" t="str">
        <f>IF(A28&lt;5,IF(_xlfn.MAXIFS(A:A,G:G,G28)&gt;3,5-A28,_xlfn.MAXIFS(A:A,G:G,G28)+1-A28),"")</f>
        <v/>
      </c>
      <c r="R28" s="4">
        <f>MAX(T28,X28)</f>
        <v>45.1</v>
      </c>
      <c r="S28" s="4">
        <f>IF(R28=T28,MAX(V28,X28,Z28),IF(R28=X28,MAX(T28,V28,Z28),0))</f>
        <v>45</v>
      </c>
      <c r="T28" s="33"/>
      <c r="U28" s="40"/>
      <c r="V28" s="34"/>
      <c r="W28" s="40"/>
      <c r="X28" s="33">
        <v>45.1</v>
      </c>
      <c r="Y28" s="40">
        <v>7.9</v>
      </c>
      <c r="Z28" s="34">
        <v>45</v>
      </c>
      <c r="AA28" s="37">
        <v>7</v>
      </c>
    </row>
    <row r="29" spans="1:27" x14ac:dyDescent="0.2">
      <c r="A29" s="1" t="str" cm="1">
        <f t="array" ref="A29">IF(I29="","",IF(P29&lt;&gt;"",SUMPRODUCT((P$3:P$99&lt;&gt;"")*(G$3:G$99=G29)*(J$3:J$99&gt;J29)*(I$3:I$99="P"))+1,IF(O29&lt;&gt;"",SUMPRODUCT((O$3:O$99&lt;&gt;"")*(P$3:P$99="")*(G$3:G$99=G29)*(J$3:J$99&gt;J29)*(I$3:I$99="P"))+SUMPRODUCT((P$3:P$99&lt;&gt;"")*(G$3:G$99=G29)*(I$3:I$99="P"))+1,IF(N29&lt;&gt;"",SUMPRODUCT((N$3:N$99&lt;&gt;"")*(G$3:G$99=G29)*(J$3:J$99&gt;J29)*(I$3:I$99="P"))+1,IF(M29="P",SUMPRODUCT((O$3:O$99&lt;&gt;"")*(P$3:P$99="")*(G$3:G$99=G29)*(I$3:I$99="P"))+SUMPRODUCT((P$3:P$99&lt;&gt;"")*(G$3:G$99=G29)*(I$3:I$99="P"))+SUMPRODUCT((N$3:N$99&lt;&gt;"")*(G$3:G$99=G29)*(I$3:I$99="P"))+SUMPRODUCT((P$3:P$99="")*(O$3:O$99="")*(N$3:N$99="")*(M$3:M$99="P")*(G$3:G$99=G29)*(J$3:J$99&gt;J29)*(I$3:I$99="P"))+IF(H29="L5",SUMPRODUCT((P$3:P$99="")*(O$3:O$99="")*(N$3:N$99="")*(M$3:M$99="P")*(G$3:G$99=G29)*(J$3:J$99&lt;J29)*(H$3:H$99&lt;&gt;H29)*(I$3:I$99="P")),-1*SUMPRODUCT((P$3:P$99="")*(O$3:O$99="")*(N$3:N$99="")*(M$3:M$99="P")*(G$3:G$99=G29)*(J$3:J$99&gt;J29)*(H$3:H$99="L5")*(I$3:I$99="P")))+1,"")))))</f>
        <v/>
      </c>
      <c r="B29" s="1" t="str" cm="1">
        <f t="array" ref="B29">IF(P29&lt;&gt;"",SUMPRODUCT((P$3:P$99&lt;&gt;"")*(G$3:G$99=G29)*(J$3:J$99&gt;J29))+1,IF(O29&lt;&gt;"",SUMPRODUCT((O$3:O$99&lt;&gt;"")*(P$3:P$99="")*(G$3:G$99=G29)*(J$3:J$99&gt;J29))+SUMPRODUCT((P$3:P$99&lt;&gt;"")*(G$3:G$99=G29))+1,IF(N29&lt;&gt;"",SUMPRODUCT((N$3:N$99&lt;&gt;"")*(G$3:G$99=G29)*(J$3:J$99&gt;J29))+1,IF(M29="P",SUMPRODUCT((O$3:O$99&lt;&gt;"")*(P$3:P$99="")*(G$3:G$99=G29))+SUMPRODUCT((P$3:P$99&lt;&gt;"")*(G$3:G$99=G29))+SUMPRODUCT((N$3:N$99&lt;&gt;"")*(G$3:G$99=G29))+SUMPRODUCT((P$3:P$99="")*(O$3:O$99="")*(N$3:N$99="")*(M$3:M$99="P")*(G$3:G$99=G29)*(J$3:J$99&gt;J29))+IF(H29="L5",SUMPRODUCT((P$3:P$99="")*(O$3:O$99="")*(N$3:N$99="")*(M$3:M$99="P")*(G$3:G$99=G29)*(J$3:J$99&lt;J29)*(H$3:H$99&lt;&gt;H29)),-1*SUMPRODUCT((P$3:P$99="")*(O$3:O$99="")*(N$3:N$99="")*(M$3:M$99="P")*(G$3:G$99=G29)*(J$3:J$99&gt;J29)*(H$3:H$99="L5")))+1,""))))</f>
        <v/>
      </c>
      <c r="C29" s="36" t="s">
        <v>228</v>
      </c>
      <c r="D29" s="36" t="str">
        <f>IF(E29="","",VLOOKUP(E29,'Coaching Points'!A:B,2,0))</f>
        <v>QC</v>
      </c>
      <c r="E29" s="36" t="s">
        <v>96</v>
      </c>
      <c r="F29" s="35">
        <v>2005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/>
      <c r="J29" s="4">
        <f>R29+S29+IF(OR(H29="Junior",H29="Senior"),0.0002,IF(OR(H29="L7",H29="L6"),0.0001,0))+MAX(X29,Z29)*0.0000001</f>
        <v>89.200004469999996</v>
      </c>
      <c r="K29" s="3" t="str">
        <f>IF(G29="Not Age Eligible","",IF(MAX(T29,V29,X29,Z29)&gt;=LOOKUP(G29,'Qualifying Scores'!$A$4:$A$7,'Qualifying Scores'!$F$4:$F$7),"P",""))</f>
        <v/>
      </c>
      <c r="L29" s="3" t="str">
        <f>IF(G29="Not Age Eligible","",IF(MAX(U29,W29,Y29,AA29)&gt;=LOOKUP(G29,'Qualifying Scores'!$A$10:$A$13,'Qualifying Scores'!$F$10:$F$13),"P",""))</f>
        <v/>
      </c>
      <c r="M29" s="3" t="str">
        <f>IF(G29="Not Age Eligible","",IF(OR(AND(T29&gt;=LOOKUP(G29,'Qualifying Scores'!$A$4:$A$7,'Qualifying Scores'!$F$4:$F$7),U29&gt;=LOOKUP(G29,'Qualifying Scores'!$A$10:$A$13,'Qualifying Scores'!$F$10:$F$13)),AND(X29&gt;=LOOKUP(G29,'Qualifying Scores'!$A$4:$A$7,'Qualifying Scores'!$F$4:$F$7),Y29&gt;=LOOKUP(G29,'Qualifying Scores'!$A$10:$A$13,'Qualifying Scores'!$F$10:$F$13)),AND(V29&gt;=LOOKUP(G29,'Qualifying Scores'!$A$4:$A$7,'Qualifying Scores'!$F$4:$F$7),W29&gt;=LOOKUP(G29,'Qualifying Scores'!$A$10:$A$13,'Qualifying Scores'!$F$10:$F$13)),AND(Z29&gt;=LOOKUP(G29,'Qualifying Scores'!$A$4:$A$7,'Qualifying Scores'!$F$4:$F$7),AA29&gt;=LOOKUP(G29,'Qualifying Scores'!$A$10:$A$13,'Qualifying Scores'!$F$10:$F$13))),"P",""))</f>
        <v/>
      </c>
      <c r="Q29" s="1" t="str">
        <f>IF(A29&lt;5,IF(_xlfn.MAXIFS(A:A,G:G,G29)&gt;3,5-A29,_xlfn.MAXIFS(A:A,G:G,G29)+1-A29),"")</f>
        <v/>
      </c>
      <c r="R29" s="4">
        <f>MAX(T29,X29)</f>
        <v>44.7</v>
      </c>
      <c r="S29" s="4">
        <f>IF(R29=T29,MAX(V29,X29,Z29),IF(R29=X29,MAX(T29,V29,Z29),0))</f>
        <v>44.5</v>
      </c>
      <c r="T29" s="33">
        <v>42.6</v>
      </c>
      <c r="U29" s="40">
        <v>4.8000000000000007</v>
      </c>
      <c r="V29" s="34"/>
      <c r="W29" s="40"/>
      <c r="X29" s="33">
        <v>44.7</v>
      </c>
      <c r="Y29" s="40">
        <v>7.3000000000000007</v>
      </c>
      <c r="Z29" s="34">
        <v>44.5</v>
      </c>
      <c r="AA29" s="37">
        <v>6.8</v>
      </c>
    </row>
    <row r="30" spans="1:27" x14ac:dyDescent="0.2">
      <c r="A30" s="1" t="str" cm="1">
        <f t="array" ref="A30">IF(I30="","",IF(P30&lt;&gt;"",SUMPRODUCT((P$3:P$99&lt;&gt;"")*(G$3:G$99=G30)*(J$3:J$99&gt;J30)*(I$3:I$99="P"))+1,IF(O30&lt;&gt;"",SUMPRODUCT((O$3:O$99&lt;&gt;"")*(P$3:P$99="")*(G$3:G$99=G30)*(J$3:J$99&gt;J30)*(I$3:I$99="P"))+SUMPRODUCT((P$3:P$99&lt;&gt;"")*(G$3:G$99=G30)*(I$3:I$99="P"))+1,IF(N30&lt;&gt;"",SUMPRODUCT((N$3:N$99&lt;&gt;"")*(G$3:G$99=G30)*(J$3:J$99&gt;J30)*(I$3:I$99="P"))+1,IF(M30="P",SUMPRODUCT((O$3:O$99&lt;&gt;"")*(P$3:P$99="")*(G$3:G$99=G30)*(I$3:I$99="P"))+SUMPRODUCT((P$3:P$99&lt;&gt;"")*(G$3:G$99=G30)*(I$3:I$99="P"))+SUMPRODUCT((N$3:N$99&lt;&gt;"")*(G$3:G$99=G30)*(I$3:I$99="P"))+SUMPRODUCT((P$3:P$99="")*(O$3:O$99="")*(N$3:N$99="")*(M$3:M$99="P")*(G$3:G$99=G30)*(J$3:J$99&gt;J30)*(I$3:I$99="P"))+IF(H30="L5",SUMPRODUCT((P$3:P$99="")*(O$3:O$99="")*(N$3:N$99="")*(M$3:M$99="P")*(G$3:G$99=G30)*(J$3:J$99&lt;J30)*(H$3:H$99&lt;&gt;H30)*(I$3:I$99="P")),-1*SUMPRODUCT((P$3:P$99="")*(O$3:O$99="")*(N$3:N$99="")*(M$3:M$99="P")*(G$3:G$99=G30)*(J$3:J$99&gt;J30)*(H$3:H$99="L5")*(I$3:I$99="P")))+1,"")))))</f>
        <v/>
      </c>
      <c r="B30" s="1" t="str" cm="1">
        <f t="array" ref="B30">IF(P30&lt;&gt;"",SUMPRODUCT((P$3:P$99&lt;&gt;"")*(G$3:G$99=G30)*(J$3:J$99&gt;J30))+1,IF(O30&lt;&gt;"",SUMPRODUCT((O$3:O$99&lt;&gt;"")*(P$3:P$99="")*(G$3:G$99=G30)*(J$3:J$99&gt;J30))+SUMPRODUCT((P$3:P$99&lt;&gt;"")*(G$3:G$99=G30))+1,IF(N30&lt;&gt;"",SUMPRODUCT((N$3:N$99&lt;&gt;"")*(G$3:G$99=G30)*(J$3:J$99&gt;J30))+1,IF(M30="P",SUMPRODUCT((O$3:O$99&lt;&gt;"")*(P$3:P$99="")*(G$3:G$99=G30))+SUMPRODUCT((P$3:P$99&lt;&gt;"")*(G$3:G$99=G30))+SUMPRODUCT((N$3:N$99&lt;&gt;"")*(G$3:G$99=G30))+SUMPRODUCT((P$3:P$99="")*(O$3:O$99="")*(N$3:N$99="")*(M$3:M$99="P")*(G$3:G$99=G30)*(J$3:J$99&gt;J30))+IF(H30="L5",SUMPRODUCT((P$3:P$99="")*(O$3:O$99="")*(N$3:N$99="")*(M$3:M$99="P")*(G$3:G$99=G30)*(J$3:J$99&lt;J30)*(H$3:H$99&lt;&gt;H30)),-1*SUMPRODUCT((P$3:P$99="")*(O$3:O$99="")*(N$3:N$99="")*(M$3:M$99="P")*(G$3:G$99=G30)*(J$3:J$99&gt;J30)*(H$3:H$99="L5")))+1,""))))</f>
        <v/>
      </c>
      <c r="C30" s="36" t="s">
        <v>501</v>
      </c>
      <c r="D30" s="36" t="str">
        <f>IF(E30="","",VLOOKUP(E30,'Coaching Points'!A:B,2,0))</f>
        <v>BC</v>
      </c>
      <c r="E30" s="36" t="s">
        <v>37</v>
      </c>
      <c r="F30" s="35">
        <v>2002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68</v>
      </c>
      <c r="I30" s="43"/>
      <c r="J30" s="4">
        <f>R30+S30+IF(OR(H30="Junior",H30="Senior"),0.0002,IF(OR(H30="L7",H30="L6"),0.0001,0))+MAX(X30,Z30)*0.0000001</f>
        <v>88.900104520000014</v>
      </c>
      <c r="K30" s="3" t="str">
        <f>IF(G30="Not Age Eligible","",IF(MAX(T30,V30,X30,Z30)&gt;=LOOKUP(G30,'Qualifying Scores'!$A$4:$A$7,'Qualifying Scores'!$F$4:$F$7),"P",""))</f>
        <v/>
      </c>
      <c r="L30" s="3" t="str">
        <f>IF(G30="Not Age Eligible","",IF(MAX(U30,W30,Y30,AA30)&gt;=LOOKUP(G30,'Qualifying Scores'!$A$10:$A$13,'Qualifying Scores'!$F$10:$F$13),"P",""))</f>
        <v/>
      </c>
      <c r="M30" s="3" t="str">
        <f>IF(G30="Not Age Eligible","",IF(OR(AND(T30&gt;=LOOKUP(G30,'Qualifying Scores'!$A$4:$A$7,'Qualifying Scores'!$F$4:$F$7),U30&gt;=LOOKUP(G30,'Qualifying Scores'!$A$10:$A$13,'Qualifying Scores'!$F$10:$F$13)),AND(X30&gt;=LOOKUP(G30,'Qualifying Scores'!$A$4:$A$7,'Qualifying Scores'!$F$4:$F$7),Y30&gt;=LOOKUP(G30,'Qualifying Scores'!$A$10:$A$13,'Qualifying Scores'!$F$10:$F$13)),AND(V30&gt;=LOOKUP(G30,'Qualifying Scores'!$A$4:$A$7,'Qualifying Scores'!$F$4:$F$7),W30&gt;=LOOKUP(G30,'Qualifying Scores'!$A$10:$A$13,'Qualifying Scores'!$F$10:$F$13)),AND(Z30&gt;=LOOKUP(G30,'Qualifying Scores'!$A$4:$A$7,'Qualifying Scores'!$F$4:$F$7),AA30&gt;=LOOKUP(G30,'Qualifying Scores'!$A$10:$A$13,'Qualifying Scores'!$F$10:$F$13))),"P",""))</f>
        <v/>
      </c>
      <c r="Q30" s="1" t="str">
        <f>IF(A30&lt;5,IF(_xlfn.MAXIFS(A:A,G:G,G30)&gt;3,5-A30,_xlfn.MAXIFS(A:A,G:G,G30)+1-A30),"")</f>
        <v/>
      </c>
      <c r="R30" s="4">
        <f>MAX(T30,X30)</f>
        <v>45.2</v>
      </c>
      <c r="S30" s="4">
        <f>IF(R30=T30,MAX(V30,X30,Z30),IF(R30=X30,MAX(T30,V30,Z30),0))</f>
        <v>43.7</v>
      </c>
      <c r="T30" s="33"/>
      <c r="U30" s="40"/>
      <c r="V30" s="34"/>
      <c r="W30" s="40"/>
      <c r="X30" s="33">
        <v>45.2</v>
      </c>
      <c r="Y30" s="40">
        <v>9.6000000000000014</v>
      </c>
      <c r="Z30" s="34">
        <v>43.7</v>
      </c>
      <c r="AA30" s="37">
        <v>8.8000000000000007</v>
      </c>
    </row>
    <row r="31" spans="1:27" x14ac:dyDescent="0.2">
      <c r="A31" s="1" t="str" cm="1">
        <f t="array" ref="A31">IF(I31="","",IF(P31&lt;&gt;"",SUMPRODUCT((P$3:P$99&lt;&gt;"")*(G$3:G$99=G31)*(J$3:J$99&gt;J31)*(I$3:I$99="P"))+1,IF(O31&lt;&gt;"",SUMPRODUCT((O$3:O$99&lt;&gt;"")*(P$3:P$99="")*(G$3:G$99=G31)*(J$3:J$99&gt;J31)*(I$3:I$99="P"))+SUMPRODUCT((P$3:P$99&lt;&gt;"")*(G$3:G$99=G31)*(I$3:I$99="P"))+1,IF(N31&lt;&gt;"",SUMPRODUCT((N$3:N$99&lt;&gt;"")*(G$3:G$99=G31)*(J$3:J$99&gt;J31)*(I$3:I$99="P"))+1,IF(M31="P",SUMPRODUCT((O$3:O$99&lt;&gt;"")*(P$3:P$99="")*(G$3:G$99=G31)*(I$3:I$99="P"))+SUMPRODUCT((P$3:P$99&lt;&gt;"")*(G$3:G$99=G31)*(I$3:I$99="P"))+SUMPRODUCT((N$3:N$99&lt;&gt;"")*(G$3:G$99=G31)*(I$3:I$99="P"))+SUMPRODUCT((P$3:P$99="")*(O$3:O$99="")*(N$3:N$99="")*(M$3:M$99="P")*(G$3:G$99=G31)*(J$3:J$99&gt;J31)*(I$3:I$99="P"))+IF(H31="L5",SUMPRODUCT((P$3:P$99="")*(O$3:O$99="")*(N$3:N$99="")*(M$3:M$99="P")*(G$3:G$99=G31)*(J$3:J$99&lt;J31)*(H$3:H$99&lt;&gt;H31)*(I$3:I$99="P")),-1*SUMPRODUCT((P$3:P$99="")*(O$3:O$99="")*(N$3:N$99="")*(M$3:M$99="P")*(G$3:G$99=G31)*(J$3:J$99&gt;J31)*(H$3:H$99="L5")*(I$3:I$99="P")))+1,"")))))</f>
        <v/>
      </c>
      <c r="B31" s="1" t="str" cm="1">
        <f t="array" ref="B31">IF(P31&lt;&gt;"",SUMPRODUCT((P$3:P$99&lt;&gt;"")*(G$3:G$99=G31)*(J$3:J$99&gt;J31))+1,IF(O31&lt;&gt;"",SUMPRODUCT((O$3:O$99&lt;&gt;"")*(P$3:P$99="")*(G$3:G$99=G31)*(J$3:J$99&gt;J31))+SUMPRODUCT((P$3:P$99&lt;&gt;"")*(G$3:G$99=G31))+1,IF(N31&lt;&gt;"",SUMPRODUCT((N$3:N$99&lt;&gt;"")*(G$3:G$99=G31)*(J$3:J$99&gt;J31))+1,IF(M31="P",SUMPRODUCT((O$3:O$99&lt;&gt;"")*(P$3:P$99="")*(G$3:G$99=G31))+SUMPRODUCT((P$3:P$99&lt;&gt;"")*(G$3:G$99=G31))+SUMPRODUCT((N$3:N$99&lt;&gt;"")*(G$3:G$99=G31))+SUMPRODUCT((P$3:P$99="")*(O$3:O$99="")*(N$3:N$99="")*(M$3:M$99="P")*(G$3:G$99=G31)*(J$3:J$99&gt;J31))+IF(H31="L5",SUMPRODUCT((P$3:P$99="")*(O$3:O$99="")*(N$3:N$99="")*(M$3:M$99="P")*(G$3:G$99=G31)*(J$3:J$99&lt;J31)*(H$3:H$99&lt;&gt;H31)),-1*SUMPRODUCT((P$3:P$99="")*(O$3:O$99="")*(N$3:N$99="")*(M$3:M$99="P")*(G$3:G$99=G31)*(J$3:J$99&gt;J31)*(H$3:H$99="L5")))+1,""))))</f>
        <v/>
      </c>
      <c r="C31" s="36" t="s">
        <v>345</v>
      </c>
      <c r="D31" s="36" t="str">
        <f>IF(E31="","",VLOOKUP(E31,'Coaching Points'!A:B,2,0))</f>
        <v>QC</v>
      </c>
      <c r="E31" s="36" t="s">
        <v>96</v>
      </c>
      <c r="F31" s="35">
        <v>2006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>R31+S31+IF(OR(H31="Junior",H31="Senior"),0.0002,IF(OR(H31="L7",H31="L6"),0.0001,0))+MAX(X31,Z31)*0.0000001</f>
        <v>88.700004509999999</v>
      </c>
      <c r="K31" s="3" t="str">
        <f>IF(G31="Not Age Eligible","",IF(MAX(T31,V31,X31,Z31)&gt;=LOOKUP(G31,'Qualifying Scores'!$A$4:$A$7,'Qualifying Scores'!$F$4:$F$7),"P",""))</f>
        <v/>
      </c>
      <c r="L31" s="3" t="str">
        <f>IF(G31="Not Age Eligible","",IF(MAX(U31,W31,Y31,AA31)&gt;=LOOKUP(G31,'Qualifying Scores'!$A$10:$A$13,'Qualifying Scores'!$F$10:$F$13),"P",""))</f>
        <v/>
      </c>
      <c r="M31" s="3" t="str">
        <f>IF(G31="Not Age Eligible","",IF(OR(AND(T31&gt;=LOOKUP(G31,'Qualifying Scores'!$A$4:$A$7,'Qualifying Scores'!$F$4:$F$7),U31&gt;=LOOKUP(G31,'Qualifying Scores'!$A$10:$A$13,'Qualifying Scores'!$F$10:$F$13)),AND(X31&gt;=LOOKUP(G31,'Qualifying Scores'!$A$4:$A$7,'Qualifying Scores'!$F$4:$F$7),Y31&gt;=LOOKUP(G31,'Qualifying Scores'!$A$10:$A$13,'Qualifying Scores'!$F$10:$F$13)),AND(V31&gt;=LOOKUP(G31,'Qualifying Scores'!$A$4:$A$7,'Qualifying Scores'!$F$4:$F$7),W31&gt;=LOOKUP(G31,'Qualifying Scores'!$A$10:$A$13,'Qualifying Scores'!$F$10:$F$13)),AND(Z31&gt;=LOOKUP(G31,'Qualifying Scores'!$A$4:$A$7,'Qualifying Scores'!$F$4:$F$7),AA31&gt;=LOOKUP(G31,'Qualifying Scores'!$A$10:$A$13,'Qualifying Scores'!$F$10:$F$13))),"P",""))</f>
        <v/>
      </c>
      <c r="Q31" s="1" t="str">
        <f>IF(A31&lt;5,IF(_xlfn.MAXIFS(A:A,G:G,G31)&gt;3,5-A31,_xlfn.MAXIFS(A:A,G:G,G31)+1-A31),"")</f>
        <v/>
      </c>
      <c r="R31" s="4">
        <f>MAX(T31,X31)</f>
        <v>45.1</v>
      </c>
      <c r="S31" s="4">
        <f>IF(R31=T31,MAX(V31,X31,Z31),IF(R31=X31,MAX(T31,V31,Z31),0))</f>
        <v>43.6</v>
      </c>
      <c r="T31" s="33">
        <v>43.6</v>
      </c>
      <c r="U31" s="40">
        <v>6.2</v>
      </c>
      <c r="V31" s="34"/>
      <c r="W31" s="40"/>
      <c r="X31" s="33">
        <v>45.1</v>
      </c>
      <c r="Y31" s="40">
        <v>7.8000000000000007</v>
      </c>
      <c r="Z31" s="34">
        <v>43.3</v>
      </c>
      <c r="AA31" s="37">
        <v>7.2</v>
      </c>
    </row>
    <row r="32" spans="1:27" x14ac:dyDescent="0.2">
      <c r="A32" s="1" t="str" cm="1">
        <f t="array" ref="A32">IF(I32="","",IF(P32&lt;&gt;"",SUMPRODUCT((P$3:P$99&lt;&gt;"")*(G$3:G$99=G32)*(J$3:J$99&gt;J32)*(I$3:I$99="P"))+1,IF(O32&lt;&gt;"",SUMPRODUCT((O$3:O$99&lt;&gt;"")*(P$3:P$99="")*(G$3:G$99=G32)*(J$3:J$99&gt;J32)*(I$3:I$99="P"))+SUMPRODUCT((P$3:P$99&lt;&gt;"")*(G$3:G$99=G32)*(I$3:I$99="P"))+1,IF(N32&lt;&gt;"",SUMPRODUCT((N$3:N$99&lt;&gt;"")*(G$3:G$99=G32)*(J$3:J$99&gt;J32)*(I$3:I$99="P"))+1,IF(M32="P",SUMPRODUCT((O$3:O$99&lt;&gt;"")*(P$3:P$99="")*(G$3:G$99=G32)*(I$3:I$99="P"))+SUMPRODUCT((P$3:P$99&lt;&gt;"")*(G$3:G$99=G32)*(I$3:I$99="P"))+SUMPRODUCT((N$3:N$99&lt;&gt;"")*(G$3:G$99=G32)*(I$3:I$99="P"))+SUMPRODUCT((P$3:P$99="")*(O$3:O$99="")*(N$3:N$99="")*(M$3:M$99="P")*(G$3:G$99=G32)*(J$3:J$99&gt;J32)*(I$3:I$99="P"))+IF(H32="L5",SUMPRODUCT((P$3:P$99="")*(O$3:O$99="")*(N$3:N$99="")*(M$3:M$99="P")*(G$3:G$99=G32)*(J$3:J$99&lt;J32)*(H$3:H$99&lt;&gt;H32)*(I$3:I$99="P")),-1*SUMPRODUCT((P$3:P$99="")*(O$3:O$99="")*(N$3:N$99="")*(M$3:M$99="P")*(G$3:G$99=G32)*(J$3:J$99&gt;J32)*(H$3:H$99="L5")*(I$3:I$99="P")))+1,"")))))</f>
        <v/>
      </c>
      <c r="B32" s="1" t="str" cm="1">
        <f t="array" ref="B32">IF(P32&lt;&gt;"",SUMPRODUCT((P$3:P$99&lt;&gt;"")*(G$3:G$99=G32)*(J$3:J$99&gt;J32))+1,IF(O32&lt;&gt;"",SUMPRODUCT((O$3:O$99&lt;&gt;"")*(P$3:P$99="")*(G$3:G$99=G32)*(J$3:J$99&gt;J32))+SUMPRODUCT((P$3:P$99&lt;&gt;"")*(G$3:G$99=G32))+1,IF(N32&lt;&gt;"",SUMPRODUCT((N$3:N$99&lt;&gt;"")*(G$3:G$99=G32)*(J$3:J$99&gt;J32))+1,IF(M32="P",SUMPRODUCT((O$3:O$99&lt;&gt;"")*(P$3:P$99="")*(G$3:G$99=G32))+SUMPRODUCT((P$3:P$99&lt;&gt;"")*(G$3:G$99=G32))+SUMPRODUCT((N$3:N$99&lt;&gt;"")*(G$3:G$99=G32))+SUMPRODUCT((P$3:P$99="")*(O$3:O$99="")*(N$3:N$99="")*(M$3:M$99="P")*(G$3:G$99=G32)*(J$3:J$99&gt;J32))+IF(H32="L5",SUMPRODUCT((P$3:P$99="")*(O$3:O$99="")*(N$3:N$99="")*(M$3:M$99="P")*(G$3:G$99=G32)*(J$3:J$99&lt;J32)*(H$3:H$99&lt;&gt;H32)),-1*SUMPRODUCT((P$3:P$99="")*(O$3:O$99="")*(N$3:N$99="")*(M$3:M$99="P")*(G$3:G$99=G32)*(J$3:J$99&gt;J32)*(H$3:H$99="L5")))+1,""))))</f>
        <v/>
      </c>
      <c r="C32" s="36" t="s">
        <v>91</v>
      </c>
      <c r="D32" s="36" t="str">
        <f>IF(E32="","",VLOOKUP(E32,'Coaching Points'!A:B,2,0))</f>
        <v>ON</v>
      </c>
      <c r="E32" s="36" t="s">
        <v>47</v>
      </c>
      <c r="F32" s="35">
        <v>2006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66</v>
      </c>
      <c r="I32" s="43" t="s">
        <v>567</v>
      </c>
      <c r="J32" s="4">
        <f>R32+S32+IF(OR(H32="Junior",H32="Senior"),0.0002,IF(OR(H32="L7",H32="L6"),0.0001,0))+MAX(X32,Z32)*0.0000001</f>
        <v>88.400004420000002</v>
      </c>
      <c r="K32" s="3" t="str">
        <f>IF(G32="Not Age Eligible","",IF(MAX(T32,V32,X32,Z32)&gt;=LOOKUP(G32,'Qualifying Scores'!$A$4:$A$7,'Qualifying Scores'!$F$4:$F$7),"P",""))</f>
        <v/>
      </c>
      <c r="L32" s="3" t="str">
        <f>IF(G32="Not Age Eligible","",IF(MAX(U32,W32,Y32,AA32)&gt;=LOOKUP(G32,'Qualifying Scores'!$A$10:$A$13,'Qualifying Scores'!$F$10:$F$13),"P",""))</f>
        <v/>
      </c>
      <c r="M32" s="3" t="str">
        <f>IF(G32="Not Age Eligible","",IF(OR(AND(T32&gt;=LOOKUP(G32,'Qualifying Scores'!$A$4:$A$7,'Qualifying Scores'!$F$4:$F$7),U32&gt;=LOOKUP(G32,'Qualifying Scores'!$A$10:$A$13,'Qualifying Scores'!$F$10:$F$13)),AND(X32&gt;=LOOKUP(G32,'Qualifying Scores'!$A$4:$A$7,'Qualifying Scores'!$F$4:$F$7),Y32&gt;=LOOKUP(G32,'Qualifying Scores'!$A$10:$A$13,'Qualifying Scores'!$F$10:$F$13)),AND(V32&gt;=LOOKUP(G32,'Qualifying Scores'!$A$4:$A$7,'Qualifying Scores'!$F$4:$F$7),W32&gt;=LOOKUP(G32,'Qualifying Scores'!$A$10:$A$13,'Qualifying Scores'!$F$10:$F$13)),AND(Z32&gt;=LOOKUP(G32,'Qualifying Scores'!$A$4:$A$7,'Qualifying Scores'!$F$4:$F$7),AA32&gt;=LOOKUP(G32,'Qualifying Scores'!$A$10:$A$13,'Qualifying Scores'!$F$10:$F$13))),"P",""))</f>
        <v/>
      </c>
      <c r="Q32" s="1" t="str">
        <f>IF(A32&lt;5,IF(_xlfn.MAXIFS(A:A,G:G,G32)&gt;3,5-A32,_xlfn.MAXIFS(A:A,G:G,G32)+1-A32),"")</f>
        <v/>
      </c>
      <c r="R32" s="4">
        <f>MAX(T32,X32)</f>
        <v>44.2</v>
      </c>
      <c r="S32" s="4">
        <f>IF(R32=T32,MAX(V32,X32,Z32),IF(R32=X32,MAX(T32,V32,Z32),0))</f>
        <v>44.2</v>
      </c>
      <c r="T32" s="33">
        <v>44.1</v>
      </c>
      <c r="U32" s="40">
        <v>8</v>
      </c>
      <c r="V32" s="34">
        <v>43.4</v>
      </c>
      <c r="W32" s="40">
        <v>6.8</v>
      </c>
      <c r="X32" s="33">
        <v>44.2</v>
      </c>
      <c r="Y32" s="40">
        <v>7.9</v>
      </c>
      <c r="Z32" s="34">
        <v>44.2</v>
      </c>
      <c r="AA32" s="37">
        <v>7</v>
      </c>
    </row>
    <row r="33" spans="1:27" x14ac:dyDescent="0.2">
      <c r="A33" s="1" t="str" cm="1">
        <f t="array" ref="A33">IF(I33="","",IF(P33&lt;&gt;"",SUMPRODUCT((P$3:P$99&lt;&gt;"")*(G$3:G$99=G33)*(J$3:J$99&gt;J33)*(I$3:I$99="P"))+1,IF(O33&lt;&gt;"",SUMPRODUCT((O$3:O$99&lt;&gt;"")*(P$3:P$99="")*(G$3:G$99=G33)*(J$3:J$99&gt;J33)*(I$3:I$99="P"))+SUMPRODUCT((P$3:P$99&lt;&gt;"")*(G$3:G$99=G33)*(I$3:I$99="P"))+1,IF(N33&lt;&gt;"",SUMPRODUCT((N$3:N$99&lt;&gt;"")*(G$3:G$99=G33)*(J$3:J$99&gt;J33)*(I$3:I$99="P"))+1,IF(M33="P",SUMPRODUCT((O$3:O$99&lt;&gt;"")*(P$3:P$99="")*(G$3:G$99=G33)*(I$3:I$99="P"))+SUMPRODUCT((P$3:P$99&lt;&gt;"")*(G$3:G$99=G33)*(I$3:I$99="P"))+SUMPRODUCT((N$3:N$99&lt;&gt;"")*(G$3:G$99=G33)*(I$3:I$99="P"))+SUMPRODUCT((P$3:P$99="")*(O$3:O$99="")*(N$3:N$99="")*(M$3:M$99="P")*(G$3:G$99=G33)*(J$3:J$99&gt;J33)*(I$3:I$99="P"))+IF(H33="L5",SUMPRODUCT((P$3:P$99="")*(O$3:O$99="")*(N$3:N$99="")*(M$3:M$99="P")*(G$3:G$99=G33)*(J$3:J$99&lt;J33)*(H$3:H$99&lt;&gt;H33)*(I$3:I$99="P")),-1*SUMPRODUCT((P$3:P$99="")*(O$3:O$99="")*(N$3:N$99="")*(M$3:M$99="P")*(G$3:G$99=G33)*(J$3:J$99&gt;J33)*(H$3:H$99="L5")*(I$3:I$99="P")))+1,"")))))</f>
        <v/>
      </c>
      <c r="B33" s="1" t="str" cm="1">
        <f t="array" ref="B33">IF(P33&lt;&gt;"",SUMPRODUCT((P$3:P$99&lt;&gt;"")*(G$3:G$99=G33)*(J$3:J$99&gt;J33))+1,IF(O33&lt;&gt;"",SUMPRODUCT((O$3:O$99&lt;&gt;"")*(P$3:P$99="")*(G$3:G$99=G33)*(J$3:J$99&gt;J33))+SUMPRODUCT((P$3:P$99&lt;&gt;"")*(G$3:G$99=G33))+1,IF(N33&lt;&gt;"",SUMPRODUCT((N$3:N$99&lt;&gt;"")*(G$3:G$99=G33)*(J$3:J$99&gt;J33))+1,IF(M33="P",SUMPRODUCT((O$3:O$99&lt;&gt;"")*(P$3:P$99="")*(G$3:G$99=G33))+SUMPRODUCT((P$3:P$99&lt;&gt;"")*(G$3:G$99=G33))+SUMPRODUCT((N$3:N$99&lt;&gt;"")*(G$3:G$99=G33))+SUMPRODUCT((P$3:P$99="")*(O$3:O$99="")*(N$3:N$99="")*(M$3:M$99="P")*(G$3:G$99=G33)*(J$3:J$99&gt;J33))+IF(H33="L5",SUMPRODUCT((P$3:P$99="")*(O$3:O$99="")*(N$3:N$99="")*(M$3:M$99="P")*(G$3:G$99=G33)*(J$3:J$99&lt;J33)*(H$3:H$99&lt;&gt;H33)),-1*SUMPRODUCT((P$3:P$99="")*(O$3:O$99="")*(N$3:N$99="")*(M$3:M$99="P")*(G$3:G$99=G33)*(J$3:J$99&gt;J33)*(H$3:H$99="L5")))+1,""))))</f>
        <v/>
      </c>
      <c r="C33" s="36" t="s">
        <v>498</v>
      </c>
      <c r="D33" s="36" t="str">
        <f>IF(E33="","",VLOOKUP(E33,'Coaching Points'!A:B,2,0))</f>
        <v>ON</v>
      </c>
      <c r="E33" s="36" t="s">
        <v>290</v>
      </c>
      <c r="F33" s="35">
        <v>2006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66</v>
      </c>
      <c r="I33" s="43"/>
      <c r="J33" s="4">
        <f>R33+S33+IF(OR(H33="Junior",H33="Senior"),0.0002,IF(OR(H33="L7",H33="L6"),0.0001,0))+MAX(X33,Z33)*0.0000001</f>
        <v>88.000004419999996</v>
      </c>
      <c r="K33" s="3" t="str">
        <f>IF(G33="Not Age Eligible","",IF(MAX(T33,V33,X33,Z33)&gt;=LOOKUP(G33,'Qualifying Scores'!$A$4:$A$7,'Qualifying Scores'!$F$4:$F$7),"P",""))</f>
        <v/>
      </c>
      <c r="L33" s="3" t="str">
        <f>IF(G33="Not Age Eligible","",IF(MAX(U33,W33,Y33,AA33)&gt;=LOOKUP(G33,'Qualifying Scores'!$A$10:$A$13,'Qualifying Scores'!$F$10:$F$13),"P",""))</f>
        <v/>
      </c>
      <c r="M33" s="3" t="str">
        <f>IF(G33="Not Age Eligible","",IF(OR(AND(T33&gt;=LOOKUP(G33,'Qualifying Scores'!$A$4:$A$7,'Qualifying Scores'!$F$4:$F$7),U33&gt;=LOOKUP(G33,'Qualifying Scores'!$A$10:$A$13,'Qualifying Scores'!$F$10:$F$13)),AND(X33&gt;=LOOKUP(G33,'Qualifying Scores'!$A$4:$A$7,'Qualifying Scores'!$F$4:$F$7),Y33&gt;=LOOKUP(G33,'Qualifying Scores'!$A$10:$A$13,'Qualifying Scores'!$F$10:$F$13)),AND(V33&gt;=LOOKUP(G33,'Qualifying Scores'!$A$4:$A$7,'Qualifying Scores'!$F$4:$F$7),W33&gt;=LOOKUP(G33,'Qualifying Scores'!$A$10:$A$13,'Qualifying Scores'!$F$10:$F$13)),AND(Z33&gt;=LOOKUP(G33,'Qualifying Scores'!$A$4:$A$7,'Qualifying Scores'!$F$4:$F$7),AA33&gt;=LOOKUP(G33,'Qualifying Scores'!$A$10:$A$13,'Qualifying Scores'!$F$10:$F$13))),"P",""))</f>
        <v/>
      </c>
      <c r="Q33" s="1" t="str">
        <f>IF(A33&lt;5,IF(_xlfn.MAXIFS(A:A,G:G,G33)&gt;3,5-A33,_xlfn.MAXIFS(A:A,G:G,G33)+1-A33),"")</f>
        <v/>
      </c>
      <c r="R33" s="4">
        <f>MAX(T33,X33)</f>
        <v>44.2</v>
      </c>
      <c r="S33" s="4">
        <f>IF(R33=T33,MAX(V33,X33,Z33),IF(R33=X33,MAX(T33,V33,Z33),0))</f>
        <v>43.8</v>
      </c>
      <c r="T33" s="33"/>
      <c r="U33" s="40"/>
      <c r="V33" s="34"/>
      <c r="W33" s="40"/>
      <c r="X33" s="33">
        <v>44.2</v>
      </c>
      <c r="Y33" s="40">
        <v>6.7</v>
      </c>
      <c r="Z33" s="34">
        <v>43.8</v>
      </c>
      <c r="AA33" s="37">
        <v>6.1</v>
      </c>
    </row>
    <row r="34" spans="1:27" x14ac:dyDescent="0.2">
      <c r="A34" s="1" t="str" cm="1">
        <f t="array" ref="A34">IF(I34="","",IF(P34&lt;&gt;"",SUMPRODUCT((P$3:P$99&lt;&gt;"")*(G$3:G$99=G34)*(J$3:J$99&gt;J34)*(I$3:I$99="P"))+1,IF(O34&lt;&gt;"",SUMPRODUCT((O$3:O$99&lt;&gt;"")*(P$3:P$99="")*(G$3:G$99=G34)*(J$3:J$99&gt;J34)*(I$3:I$99="P"))+SUMPRODUCT((P$3:P$99&lt;&gt;"")*(G$3:G$99=G34)*(I$3:I$99="P"))+1,IF(N34&lt;&gt;"",SUMPRODUCT((N$3:N$99&lt;&gt;"")*(G$3:G$99=G34)*(J$3:J$99&gt;J34)*(I$3:I$99="P"))+1,IF(M34="P",SUMPRODUCT((O$3:O$99&lt;&gt;"")*(P$3:P$99="")*(G$3:G$99=G34)*(I$3:I$99="P"))+SUMPRODUCT((P$3:P$99&lt;&gt;"")*(G$3:G$99=G34)*(I$3:I$99="P"))+SUMPRODUCT((N$3:N$99&lt;&gt;"")*(G$3:G$99=G34)*(I$3:I$99="P"))+SUMPRODUCT((P$3:P$99="")*(O$3:O$99="")*(N$3:N$99="")*(M$3:M$99="P")*(G$3:G$99=G34)*(J$3:J$99&gt;J34)*(I$3:I$99="P"))+IF(H34="L5",SUMPRODUCT((P$3:P$99="")*(O$3:O$99="")*(N$3:N$99="")*(M$3:M$99="P")*(G$3:G$99=G34)*(J$3:J$99&lt;J34)*(H$3:H$99&lt;&gt;H34)*(I$3:I$99="P")),-1*SUMPRODUCT((P$3:P$99="")*(O$3:O$99="")*(N$3:N$99="")*(M$3:M$99="P")*(G$3:G$99=G34)*(J$3:J$99&gt;J34)*(H$3:H$99="L5")*(I$3:I$99="P")))+1,"")))))</f>
        <v/>
      </c>
      <c r="B34" s="1" t="str" cm="1">
        <f t="array" ref="B34">IF(P34&lt;&gt;"",SUMPRODUCT((P$3:P$99&lt;&gt;"")*(G$3:G$99=G34)*(J$3:J$99&gt;J34))+1,IF(O34&lt;&gt;"",SUMPRODUCT((O$3:O$99&lt;&gt;"")*(P$3:P$99="")*(G$3:G$99=G34)*(J$3:J$99&gt;J34))+SUMPRODUCT((P$3:P$99&lt;&gt;"")*(G$3:G$99=G34))+1,IF(N34&lt;&gt;"",SUMPRODUCT((N$3:N$99&lt;&gt;"")*(G$3:G$99=G34)*(J$3:J$99&gt;J34))+1,IF(M34="P",SUMPRODUCT((O$3:O$99&lt;&gt;"")*(P$3:P$99="")*(G$3:G$99=G34))+SUMPRODUCT((P$3:P$99&lt;&gt;"")*(G$3:G$99=G34))+SUMPRODUCT((N$3:N$99&lt;&gt;"")*(G$3:G$99=G34))+SUMPRODUCT((P$3:P$99="")*(O$3:O$99="")*(N$3:N$99="")*(M$3:M$99="P")*(G$3:G$99=G34)*(J$3:J$99&gt;J34))+IF(H34="L5",SUMPRODUCT((P$3:P$99="")*(O$3:O$99="")*(N$3:N$99="")*(M$3:M$99="P")*(G$3:G$99=G34)*(J$3:J$99&lt;J34)*(H$3:H$99&lt;&gt;H34)),-1*SUMPRODUCT((P$3:P$99="")*(O$3:O$99="")*(N$3:N$99="")*(M$3:M$99="P")*(G$3:G$99=G34)*(J$3:J$99&gt;J34)*(H$3:H$99="L5")))+1,""))))</f>
        <v/>
      </c>
      <c r="C34" s="36" t="s">
        <v>223</v>
      </c>
      <c r="D34" s="36" t="str">
        <f>IF(E34="","",VLOOKUP(E34,'Coaching Points'!A:B,2,0))</f>
        <v>ON</v>
      </c>
      <c r="E34" s="36" t="s">
        <v>73</v>
      </c>
      <c r="F34" s="35">
        <v>2006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66</v>
      </c>
      <c r="I34" s="43"/>
      <c r="J34" s="4">
        <f>R34+S34+IF(OR(H34="Junior",H34="Senior"),0.0002,IF(OR(H34="L7",H34="L6"),0.0001,0))+MAX(X34,Z34)*0.0000001</f>
        <v>87.800004410000014</v>
      </c>
      <c r="K34" s="3" t="str">
        <f>IF(G34="Not Age Eligible","",IF(MAX(T34,V34,X34,Z34)&gt;=LOOKUP(G34,'Qualifying Scores'!$A$4:$A$7,'Qualifying Scores'!$F$4:$F$7),"P",""))</f>
        <v/>
      </c>
      <c r="L34" s="3" t="str">
        <f>IF(G34="Not Age Eligible","",IF(MAX(U34,W34,Y34,AA34)&gt;=LOOKUP(G34,'Qualifying Scores'!$A$10:$A$13,'Qualifying Scores'!$F$10:$F$13),"P",""))</f>
        <v/>
      </c>
      <c r="M34" s="3" t="str">
        <f>IF(G34="Not Age Eligible","",IF(OR(AND(T34&gt;=LOOKUP(G34,'Qualifying Scores'!$A$4:$A$7,'Qualifying Scores'!$F$4:$F$7),U34&gt;=LOOKUP(G34,'Qualifying Scores'!$A$10:$A$13,'Qualifying Scores'!$F$10:$F$13)),AND(X34&gt;=LOOKUP(G34,'Qualifying Scores'!$A$4:$A$7,'Qualifying Scores'!$F$4:$F$7),Y34&gt;=LOOKUP(G34,'Qualifying Scores'!$A$10:$A$13,'Qualifying Scores'!$F$10:$F$13)),AND(V34&gt;=LOOKUP(G34,'Qualifying Scores'!$A$4:$A$7,'Qualifying Scores'!$F$4:$F$7),W34&gt;=LOOKUP(G34,'Qualifying Scores'!$A$10:$A$13,'Qualifying Scores'!$F$10:$F$13)),AND(Z34&gt;=LOOKUP(G34,'Qualifying Scores'!$A$4:$A$7,'Qualifying Scores'!$F$4:$F$7),AA34&gt;=LOOKUP(G34,'Qualifying Scores'!$A$10:$A$13,'Qualifying Scores'!$F$10:$F$13))),"P",""))</f>
        <v/>
      </c>
      <c r="Q34" s="1" t="str">
        <f>IF(A34&lt;5,IF(_xlfn.MAXIFS(A:A,G:G,G34)&gt;3,5-A34,_xlfn.MAXIFS(A:A,G:G,G34)+1-A34),"")</f>
        <v/>
      </c>
      <c r="R34" s="4">
        <f>MAX(T34,X34)</f>
        <v>44.1</v>
      </c>
      <c r="S34" s="4">
        <f>IF(R34=T34,MAX(V34,X34,Z34),IF(R34=X34,MAX(T34,V34,Z34),0))</f>
        <v>43.7</v>
      </c>
      <c r="T34" s="33">
        <v>42.5</v>
      </c>
      <c r="U34" s="40">
        <v>6.2</v>
      </c>
      <c r="V34" s="34">
        <v>40.1</v>
      </c>
      <c r="W34" s="40">
        <v>4</v>
      </c>
      <c r="X34" s="33">
        <v>44.1</v>
      </c>
      <c r="Y34" s="40">
        <v>6.9</v>
      </c>
      <c r="Z34" s="34">
        <v>43.7</v>
      </c>
      <c r="AA34" s="37">
        <v>7.3000000000000007</v>
      </c>
    </row>
    <row r="35" spans="1:27" x14ac:dyDescent="0.2">
      <c r="A35" s="1" t="str" cm="1">
        <f t="array" ref="A35">IF(I35="","",IF(P35&lt;&gt;"",SUMPRODUCT((P$3:P$99&lt;&gt;"")*(G$3:G$99=G35)*(J$3:J$99&gt;J35)*(I$3:I$99="P"))+1,IF(O35&lt;&gt;"",SUMPRODUCT((O$3:O$99&lt;&gt;"")*(P$3:P$99="")*(G$3:G$99=G35)*(J$3:J$99&gt;J35)*(I$3:I$99="P"))+SUMPRODUCT((P$3:P$99&lt;&gt;"")*(G$3:G$99=G35)*(I$3:I$99="P"))+1,IF(N35&lt;&gt;"",SUMPRODUCT((N$3:N$99&lt;&gt;"")*(G$3:G$99=G35)*(J$3:J$99&gt;J35)*(I$3:I$99="P"))+1,IF(M35="P",SUMPRODUCT((O$3:O$99&lt;&gt;"")*(P$3:P$99="")*(G$3:G$99=G35)*(I$3:I$99="P"))+SUMPRODUCT((P$3:P$99&lt;&gt;"")*(G$3:G$99=G35)*(I$3:I$99="P"))+SUMPRODUCT((N$3:N$99&lt;&gt;"")*(G$3:G$99=G35)*(I$3:I$99="P"))+SUMPRODUCT((P$3:P$99="")*(O$3:O$99="")*(N$3:N$99="")*(M$3:M$99="P")*(G$3:G$99=G35)*(J$3:J$99&gt;J35)*(I$3:I$99="P"))+IF(H35="L5",SUMPRODUCT((P$3:P$99="")*(O$3:O$99="")*(N$3:N$99="")*(M$3:M$99="P")*(G$3:G$99=G35)*(J$3:J$99&lt;J35)*(H$3:H$99&lt;&gt;H35)*(I$3:I$99="P")),-1*SUMPRODUCT((P$3:P$99="")*(O$3:O$99="")*(N$3:N$99="")*(M$3:M$99="P")*(G$3:G$99=G35)*(J$3:J$99&gt;J35)*(H$3:H$99="L5")*(I$3:I$99="P")))+1,"")))))</f>
        <v/>
      </c>
      <c r="B35" s="1" t="str" cm="1">
        <f t="array" ref="B35">IF(P35&lt;&gt;"",SUMPRODUCT((P$3:P$99&lt;&gt;"")*(G$3:G$99=G35)*(J$3:J$99&gt;J35))+1,IF(O35&lt;&gt;"",SUMPRODUCT((O$3:O$99&lt;&gt;"")*(P$3:P$99="")*(G$3:G$99=G35)*(J$3:J$99&gt;J35))+SUMPRODUCT((P$3:P$99&lt;&gt;"")*(G$3:G$99=G35))+1,IF(N35&lt;&gt;"",SUMPRODUCT((N$3:N$99&lt;&gt;"")*(G$3:G$99=G35)*(J$3:J$99&gt;J35))+1,IF(M35="P",SUMPRODUCT((O$3:O$99&lt;&gt;"")*(P$3:P$99="")*(G$3:G$99=G35))+SUMPRODUCT((P$3:P$99&lt;&gt;"")*(G$3:G$99=G35))+SUMPRODUCT((N$3:N$99&lt;&gt;"")*(G$3:G$99=G35))+SUMPRODUCT((P$3:P$99="")*(O$3:O$99="")*(N$3:N$99="")*(M$3:M$99="P")*(G$3:G$99=G35)*(J$3:J$99&gt;J35))+IF(H35="L5",SUMPRODUCT((P$3:P$99="")*(O$3:O$99="")*(N$3:N$99="")*(M$3:M$99="P")*(G$3:G$99=G35)*(J$3:J$99&lt;J35)*(H$3:H$99&lt;&gt;H35)),-1*SUMPRODUCT((P$3:P$99="")*(O$3:O$99="")*(N$3:N$99="")*(M$3:M$99="P")*(G$3:G$99=G35)*(J$3:J$99&gt;J35)*(H$3:H$99="L5")))+1,""))))</f>
        <v/>
      </c>
      <c r="C35" s="36" t="s">
        <v>433</v>
      </c>
      <c r="D35" s="36" t="str">
        <f>IF(E35="","",VLOOKUP(E35,'Coaching Points'!A:B,2,0))</f>
        <v>BC</v>
      </c>
      <c r="E35" s="36" t="s">
        <v>434</v>
      </c>
      <c r="F35" s="35">
        <v>2005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66</v>
      </c>
      <c r="I35" s="43"/>
      <c r="J35" s="4">
        <f>R35+S35+IF(OR(H35="Junior",H35="Senior"),0.0002,IF(OR(H35="L7",H35="L6"),0.0001,0))+MAX(X35,Z35)*0.0000001</f>
        <v>87.200004399999997</v>
      </c>
      <c r="K35" s="3" t="str">
        <f>IF(G35="Not Age Eligible","",IF(MAX(T35,V35,X35,Z35)&gt;=LOOKUP(G35,'Qualifying Scores'!$A$4:$A$7,'Qualifying Scores'!$F$4:$F$7),"P",""))</f>
        <v/>
      </c>
      <c r="L35" s="3" t="str">
        <f>IF(G35="Not Age Eligible","",IF(MAX(U35,W35,Y35,AA35)&gt;=LOOKUP(G35,'Qualifying Scores'!$A$10:$A$13,'Qualifying Scores'!$F$10:$F$13),"P",""))</f>
        <v/>
      </c>
      <c r="M35" s="3" t="str">
        <f>IF(G35="Not Age Eligible","",IF(OR(AND(T35&gt;=LOOKUP(G35,'Qualifying Scores'!$A$4:$A$7,'Qualifying Scores'!$F$4:$F$7),U35&gt;=LOOKUP(G35,'Qualifying Scores'!$A$10:$A$13,'Qualifying Scores'!$F$10:$F$13)),AND(X35&gt;=LOOKUP(G35,'Qualifying Scores'!$A$4:$A$7,'Qualifying Scores'!$F$4:$F$7),Y35&gt;=LOOKUP(G35,'Qualifying Scores'!$A$10:$A$13,'Qualifying Scores'!$F$10:$F$13)),AND(V35&gt;=LOOKUP(G35,'Qualifying Scores'!$A$4:$A$7,'Qualifying Scores'!$F$4:$F$7),W35&gt;=LOOKUP(G35,'Qualifying Scores'!$A$10:$A$13,'Qualifying Scores'!$F$10:$F$13)),AND(Z35&gt;=LOOKUP(G35,'Qualifying Scores'!$A$4:$A$7,'Qualifying Scores'!$F$4:$F$7),AA35&gt;=LOOKUP(G35,'Qualifying Scores'!$A$10:$A$13,'Qualifying Scores'!$F$10:$F$13))),"P",""))</f>
        <v/>
      </c>
      <c r="Q35" s="1" t="str">
        <f>IF(A35&lt;5,IF(_xlfn.MAXIFS(A:A,G:G,G35)&gt;3,5-A35,_xlfn.MAXIFS(A:A,G:G,G35)+1-A35),"")</f>
        <v/>
      </c>
      <c r="R35" s="4">
        <f>MAX(T35,X35)</f>
        <v>44</v>
      </c>
      <c r="S35" s="4">
        <f>IF(R35=T35,MAX(V35,X35,Z35),IF(R35=X35,MAX(T35,V35,Z35),0))</f>
        <v>43.2</v>
      </c>
      <c r="T35" s="33"/>
      <c r="U35" s="40"/>
      <c r="V35" s="34"/>
      <c r="W35" s="40"/>
      <c r="X35" s="33">
        <v>44</v>
      </c>
      <c r="Y35" s="40">
        <v>6.6</v>
      </c>
      <c r="Z35" s="34">
        <v>43.2</v>
      </c>
      <c r="AA35" s="37">
        <v>6.5</v>
      </c>
    </row>
    <row r="36" spans="1:27" x14ac:dyDescent="0.2">
      <c r="A36" s="1" t="str" cm="1">
        <f t="array" ref="A36">IF(I36="","",IF(P36&lt;&gt;"",SUMPRODUCT((P$3:P$99&lt;&gt;"")*(G$3:G$99=G36)*(J$3:J$99&gt;J36)*(I$3:I$99="P"))+1,IF(O36&lt;&gt;"",SUMPRODUCT((O$3:O$99&lt;&gt;"")*(P$3:P$99="")*(G$3:G$99=G36)*(J$3:J$99&gt;J36)*(I$3:I$99="P"))+SUMPRODUCT((P$3:P$99&lt;&gt;"")*(G$3:G$99=G36)*(I$3:I$99="P"))+1,IF(N36&lt;&gt;"",SUMPRODUCT((N$3:N$99&lt;&gt;"")*(G$3:G$99=G36)*(J$3:J$99&gt;J36)*(I$3:I$99="P"))+1,IF(M36="P",SUMPRODUCT((O$3:O$99&lt;&gt;"")*(P$3:P$99="")*(G$3:G$99=G36)*(I$3:I$99="P"))+SUMPRODUCT((P$3:P$99&lt;&gt;"")*(G$3:G$99=G36)*(I$3:I$99="P"))+SUMPRODUCT((N$3:N$99&lt;&gt;"")*(G$3:G$99=G36)*(I$3:I$99="P"))+SUMPRODUCT((P$3:P$99="")*(O$3:O$99="")*(N$3:N$99="")*(M$3:M$99="P")*(G$3:G$99=G36)*(J$3:J$99&gt;J36)*(I$3:I$99="P"))+IF(H36="L5",SUMPRODUCT((P$3:P$99="")*(O$3:O$99="")*(N$3:N$99="")*(M$3:M$99="P")*(G$3:G$99=G36)*(J$3:J$99&lt;J36)*(H$3:H$99&lt;&gt;H36)*(I$3:I$99="P")),-1*SUMPRODUCT((P$3:P$99="")*(O$3:O$99="")*(N$3:N$99="")*(M$3:M$99="P")*(G$3:G$99=G36)*(J$3:J$99&gt;J36)*(H$3:H$99="L5")*(I$3:I$99="P")))+1,"")))))</f>
        <v/>
      </c>
      <c r="B36" s="1" t="str" cm="1">
        <f t="array" ref="B36">IF(P36&lt;&gt;"",SUMPRODUCT((P$3:P$99&lt;&gt;"")*(G$3:G$99=G36)*(J$3:J$99&gt;J36))+1,IF(O36&lt;&gt;"",SUMPRODUCT((O$3:O$99&lt;&gt;"")*(P$3:P$99="")*(G$3:G$99=G36)*(J$3:J$99&gt;J36))+SUMPRODUCT((P$3:P$99&lt;&gt;"")*(G$3:G$99=G36))+1,IF(N36&lt;&gt;"",SUMPRODUCT((N$3:N$99&lt;&gt;"")*(G$3:G$99=G36)*(J$3:J$99&gt;J36))+1,IF(M36="P",SUMPRODUCT((O$3:O$99&lt;&gt;"")*(P$3:P$99="")*(G$3:G$99=G36))+SUMPRODUCT((P$3:P$99&lt;&gt;"")*(G$3:G$99=G36))+SUMPRODUCT((N$3:N$99&lt;&gt;"")*(G$3:G$99=G36))+SUMPRODUCT((P$3:P$99="")*(O$3:O$99="")*(N$3:N$99="")*(M$3:M$99="P")*(G$3:G$99=G36)*(J$3:J$99&gt;J36))+IF(H36="L5",SUMPRODUCT((P$3:P$99="")*(O$3:O$99="")*(N$3:N$99="")*(M$3:M$99="P")*(G$3:G$99=G36)*(J$3:J$99&lt;J36)*(H$3:H$99&lt;&gt;H36)),-1*SUMPRODUCT((P$3:P$99="")*(O$3:O$99="")*(N$3:N$99="")*(M$3:M$99="P")*(G$3:G$99=G36)*(J$3:J$99&gt;J36)*(H$3:H$99="L5")))+1,""))))</f>
        <v/>
      </c>
      <c r="C36" s="36" t="s">
        <v>424</v>
      </c>
      <c r="D36" s="36" t="str">
        <f>IF(E36="","",VLOOKUP(E36,'Coaching Points'!A:B,2,0))</f>
        <v>ON</v>
      </c>
      <c r="E36" s="36" t="s">
        <v>113</v>
      </c>
      <c r="F36" s="35">
        <v>2005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66</v>
      </c>
      <c r="I36" s="43"/>
      <c r="J36" s="4">
        <f>R36+S36+IF(OR(H36="Junior",H36="Senior"),0.0002,IF(OR(H36="L7",H36="L6"),0.0001,0))+MAX(X36,Z36)*0.0000001</f>
        <v>86.900004460000005</v>
      </c>
      <c r="K36" s="3" t="str">
        <f>IF(G36="Not Age Eligible","",IF(MAX(T36,V36,X36,Z36)&gt;=LOOKUP(G36,'Qualifying Scores'!$A$4:$A$7,'Qualifying Scores'!$F$4:$F$7),"P",""))</f>
        <v/>
      </c>
      <c r="L36" s="3" t="str">
        <f>IF(G36="Not Age Eligible","",IF(MAX(U36,W36,Y36,AA36)&gt;=LOOKUP(G36,'Qualifying Scores'!$A$10:$A$13,'Qualifying Scores'!$F$10:$F$13),"P",""))</f>
        <v/>
      </c>
      <c r="M36" s="3" t="str">
        <f>IF(G36="Not Age Eligible","",IF(OR(AND(T36&gt;=LOOKUP(G36,'Qualifying Scores'!$A$4:$A$7,'Qualifying Scores'!$F$4:$F$7),U36&gt;=LOOKUP(G36,'Qualifying Scores'!$A$10:$A$13,'Qualifying Scores'!$F$10:$F$13)),AND(X36&gt;=LOOKUP(G36,'Qualifying Scores'!$A$4:$A$7,'Qualifying Scores'!$F$4:$F$7),Y36&gt;=LOOKUP(G36,'Qualifying Scores'!$A$10:$A$13,'Qualifying Scores'!$F$10:$F$13)),AND(V36&gt;=LOOKUP(G36,'Qualifying Scores'!$A$4:$A$7,'Qualifying Scores'!$F$4:$F$7),W36&gt;=LOOKUP(G36,'Qualifying Scores'!$A$10:$A$13,'Qualifying Scores'!$F$10:$F$13)),AND(Z36&gt;=LOOKUP(G36,'Qualifying Scores'!$A$4:$A$7,'Qualifying Scores'!$F$4:$F$7),AA36&gt;=LOOKUP(G36,'Qualifying Scores'!$A$10:$A$13,'Qualifying Scores'!$F$10:$F$13))),"P",""))</f>
        <v/>
      </c>
      <c r="Q36" s="1" t="str">
        <f>IF(A36&lt;5,IF(_xlfn.MAXIFS(A:A,G:G,G36)&gt;3,5-A36,_xlfn.MAXIFS(A:A,G:G,G36)+1-A36),"")</f>
        <v/>
      </c>
      <c r="R36" s="4">
        <f>MAX(T36,X36)</f>
        <v>44.6</v>
      </c>
      <c r="S36" s="4">
        <f>IF(R36=T36,MAX(V36,X36,Z36),IF(R36=X36,MAX(T36,V36,Z36),0))</f>
        <v>42.3</v>
      </c>
      <c r="T36" s="33"/>
      <c r="U36" s="40"/>
      <c r="V36" s="34"/>
      <c r="W36" s="40"/>
      <c r="X36" s="33">
        <v>44.6</v>
      </c>
      <c r="Y36" s="40">
        <v>8.8000000000000007</v>
      </c>
      <c r="Z36" s="34">
        <v>42.3</v>
      </c>
      <c r="AA36" s="37">
        <v>6.9</v>
      </c>
    </row>
    <row r="37" spans="1:27" x14ac:dyDescent="0.2">
      <c r="A37" s="1" t="str" cm="1">
        <f t="array" ref="A37">IF(I37="","",IF(P37&lt;&gt;"",SUMPRODUCT((P$3:P$99&lt;&gt;"")*(G$3:G$99=G37)*(J$3:J$99&gt;J37)*(I$3:I$99="P"))+1,IF(O37&lt;&gt;"",SUMPRODUCT((O$3:O$99&lt;&gt;"")*(P$3:P$99="")*(G$3:G$99=G37)*(J$3:J$99&gt;J37)*(I$3:I$99="P"))+SUMPRODUCT((P$3:P$99&lt;&gt;"")*(G$3:G$99=G37)*(I$3:I$99="P"))+1,IF(N37&lt;&gt;"",SUMPRODUCT((N$3:N$99&lt;&gt;"")*(G$3:G$99=G37)*(J$3:J$99&gt;J37)*(I$3:I$99="P"))+1,IF(M37="P",SUMPRODUCT((O$3:O$99&lt;&gt;"")*(P$3:P$99="")*(G$3:G$99=G37)*(I$3:I$99="P"))+SUMPRODUCT((P$3:P$99&lt;&gt;"")*(G$3:G$99=G37)*(I$3:I$99="P"))+SUMPRODUCT((N$3:N$99&lt;&gt;"")*(G$3:G$99=G37)*(I$3:I$99="P"))+SUMPRODUCT((P$3:P$99="")*(O$3:O$99="")*(N$3:N$99="")*(M$3:M$99="P")*(G$3:G$99=G37)*(J$3:J$99&gt;J37)*(I$3:I$99="P"))+IF(H37="L5",SUMPRODUCT((P$3:P$99="")*(O$3:O$99="")*(N$3:N$99="")*(M$3:M$99="P")*(G$3:G$99=G37)*(J$3:J$99&lt;J37)*(H$3:H$99&lt;&gt;H37)*(I$3:I$99="P")),-1*SUMPRODUCT((P$3:P$99="")*(O$3:O$99="")*(N$3:N$99="")*(M$3:M$99="P")*(G$3:G$99=G37)*(J$3:J$99&gt;J37)*(H$3:H$99="L5")*(I$3:I$99="P")))+1,"")))))</f>
        <v/>
      </c>
      <c r="B37" s="1" t="str" cm="1">
        <f t="array" ref="B37">IF(P37&lt;&gt;"",SUMPRODUCT((P$3:P$99&lt;&gt;"")*(G$3:G$99=G37)*(J$3:J$99&gt;J37))+1,IF(O37&lt;&gt;"",SUMPRODUCT((O$3:O$99&lt;&gt;"")*(P$3:P$99="")*(G$3:G$99=G37)*(J$3:J$99&gt;J37))+SUMPRODUCT((P$3:P$99&lt;&gt;"")*(G$3:G$99=G37))+1,IF(N37&lt;&gt;"",SUMPRODUCT((N$3:N$99&lt;&gt;"")*(G$3:G$99=G37)*(J$3:J$99&gt;J37))+1,IF(M37="P",SUMPRODUCT((O$3:O$99&lt;&gt;"")*(P$3:P$99="")*(G$3:G$99=G37))+SUMPRODUCT((P$3:P$99&lt;&gt;"")*(G$3:G$99=G37))+SUMPRODUCT((N$3:N$99&lt;&gt;"")*(G$3:G$99=G37))+SUMPRODUCT((P$3:P$99="")*(O$3:O$99="")*(N$3:N$99="")*(M$3:M$99="P")*(G$3:G$99=G37)*(J$3:J$99&gt;J37))+IF(H37="L5",SUMPRODUCT((P$3:P$99="")*(O$3:O$99="")*(N$3:N$99="")*(M$3:M$99="P")*(G$3:G$99=G37)*(J$3:J$99&lt;J37)*(H$3:H$99&lt;&gt;H37)),-1*SUMPRODUCT((P$3:P$99="")*(O$3:O$99="")*(N$3:N$99="")*(M$3:M$99="P")*(G$3:G$99=G37)*(J$3:J$99&gt;J37)*(H$3:H$99="L5")))+1,""))))</f>
        <v/>
      </c>
      <c r="C37" s="36" t="s">
        <v>95</v>
      </c>
      <c r="D37" s="36" t="str">
        <f>IF(E37="","",VLOOKUP(E37,'Coaching Points'!A:B,2,0))</f>
        <v>QC</v>
      </c>
      <c r="E37" s="36" t="s">
        <v>96</v>
      </c>
      <c r="F37" s="35">
        <v>2004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66</v>
      </c>
      <c r="I37" s="43"/>
      <c r="J37" s="4">
        <f>R37+S37+IF(OR(H37="Junior",H37="Senior"),0.0002,IF(OR(H37="L7",H37="L6"),0.0001,0))+MAX(X37,Z37)*0.0000001</f>
        <v>86.70000435</v>
      </c>
      <c r="K37" s="3" t="str">
        <f>IF(G37="Not Age Eligible","",IF(MAX(T37,V37,X37,Z37)&gt;=LOOKUP(G37,'Qualifying Scores'!$A$4:$A$7,'Qualifying Scores'!$F$4:$F$7),"P",""))</f>
        <v/>
      </c>
      <c r="L37" s="3" t="str">
        <f>IF(G37="Not Age Eligible","",IF(MAX(U37,W37,Y37,AA37)&gt;=LOOKUP(G37,'Qualifying Scores'!$A$10:$A$13,'Qualifying Scores'!$F$10:$F$13),"P",""))</f>
        <v/>
      </c>
      <c r="M37" s="3" t="str">
        <f>IF(G37="Not Age Eligible","",IF(OR(AND(T37&gt;=LOOKUP(G37,'Qualifying Scores'!$A$4:$A$7,'Qualifying Scores'!$F$4:$F$7),U37&gt;=LOOKUP(G37,'Qualifying Scores'!$A$10:$A$13,'Qualifying Scores'!$F$10:$F$13)),AND(X37&gt;=LOOKUP(G37,'Qualifying Scores'!$A$4:$A$7,'Qualifying Scores'!$F$4:$F$7),Y37&gt;=LOOKUP(G37,'Qualifying Scores'!$A$10:$A$13,'Qualifying Scores'!$F$10:$F$13)),AND(V37&gt;=LOOKUP(G37,'Qualifying Scores'!$A$4:$A$7,'Qualifying Scores'!$F$4:$F$7),W37&gt;=LOOKUP(G37,'Qualifying Scores'!$A$10:$A$13,'Qualifying Scores'!$F$10:$F$13)),AND(Z37&gt;=LOOKUP(G37,'Qualifying Scores'!$A$4:$A$7,'Qualifying Scores'!$F$4:$F$7),AA37&gt;=LOOKUP(G37,'Qualifying Scores'!$A$10:$A$13,'Qualifying Scores'!$F$10:$F$13))),"P",""))</f>
        <v/>
      </c>
      <c r="Q37" s="1" t="str">
        <f>IF(A37&lt;5,IF(_xlfn.MAXIFS(A:A,G:G,G37)&gt;3,5-A37,_xlfn.MAXIFS(A:A,G:G,G37)+1-A37),"")</f>
        <v/>
      </c>
      <c r="R37" s="4">
        <f>MAX(T37,X37)</f>
        <v>43.5</v>
      </c>
      <c r="S37" s="4">
        <f>IF(R37=T37,MAX(V37,X37,Z37),IF(R37=X37,MAX(T37,V37,Z37),0))</f>
        <v>43.2</v>
      </c>
      <c r="T37" s="33">
        <v>42.8</v>
      </c>
      <c r="U37" s="40">
        <v>5.4</v>
      </c>
      <c r="V37" s="34"/>
      <c r="W37" s="40"/>
      <c r="X37" s="33">
        <v>43.5</v>
      </c>
      <c r="Y37" s="40">
        <v>6.5</v>
      </c>
      <c r="Z37" s="34">
        <v>43.2</v>
      </c>
      <c r="AA37" s="37">
        <v>6.4</v>
      </c>
    </row>
    <row r="38" spans="1:27" x14ac:dyDescent="0.2">
      <c r="A38" s="1" t="str" cm="1">
        <f t="array" ref="A38">IF(I38="","",IF(P38&lt;&gt;"",SUMPRODUCT((P$3:P$99&lt;&gt;"")*(G$3:G$99=G38)*(J$3:J$99&gt;J38)*(I$3:I$99="P"))+1,IF(O38&lt;&gt;"",SUMPRODUCT((O$3:O$99&lt;&gt;"")*(P$3:P$99="")*(G$3:G$99=G38)*(J$3:J$99&gt;J38)*(I$3:I$99="P"))+SUMPRODUCT((P$3:P$99&lt;&gt;"")*(G$3:G$99=G38)*(I$3:I$99="P"))+1,IF(N38&lt;&gt;"",SUMPRODUCT((N$3:N$99&lt;&gt;"")*(G$3:G$99=G38)*(J$3:J$99&gt;J38)*(I$3:I$99="P"))+1,IF(M38="P",SUMPRODUCT((O$3:O$99&lt;&gt;"")*(P$3:P$99="")*(G$3:G$99=G38)*(I$3:I$99="P"))+SUMPRODUCT((P$3:P$99&lt;&gt;"")*(G$3:G$99=G38)*(I$3:I$99="P"))+SUMPRODUCT((N$3:N$99&lt;&gt;"")*(G$3:G$99=G38)*(I$3:I$99="P"))+SUMPRODUCT((P$3:P$99="")*(O$3:O$99="")*(N$3:N$99="")*(M$3:M$99="P")*(G$3:G$99=G38)*(J$3:J$99&gt;J38)*(I$3:I$99="P"))+IF(H38="L5",SUMPRODUCT((P$3:P$99="")*(O$3:O$99="")*(N$3:N$99="")*(M$3:M$99="P")*(G$3:G$99=G38)*(J$3:J$99&lt;J38)*(H$3:H$99&lt;&gt;H38)*(I$3:I$99="P")),-1*SUMPRODUCT((P$3:P$99="")*(O$3:O$99="")*(N$3:N$99="")*(M$3:M$99="P")*(G$3:G$99=G38)*(J$3:J$99&gt;J38)*(H$3:H$99="L5")*(I$3:I$99="P")))+1,"")))))</f>
        <v/>
      </c>
      <c r="B38" s="1" t="str" cm="1">
        <f t="array" ref="B38">IF(P38&lt;&gt;"",SUMPRODUCT((P$3:P$99&lt;&gt;"")*(G$3:G$99=G38)*(J$3:J$99&gt;J38))+1,IF(O38&lt;&gt;"",SUMPRODUCT((O$3:O$99&lt;&gt;"")*(P$3:P$99="")*(G$3:G$99=G38)*(J$3:J$99&gt;J38))+SUMPRODUCT((P$3:P$99&lt;&gt;"")*(G$3:G$99=G38))+1,IF(N38&lt;&gt;"",SUMPRODUCT((N$3:N$99&lt;&gt;"")*(G$3:G$99=G38)*(J$3:J$99&gt;J38))+1,IF(M38="P",SUMPRODUCT((O$3:O$99&lt;&gt;"")*(P$3:P$99="")*(G$3:G$99=G38))+SUMPRODUCT((P$3:P$99&lt;&gt;"")*(G$3:G$99=G38))+SUMPRODUCT((N$3:N$99&lt;&gt;"")*(G$3:G$99=G38))+SUMPRODUCT((P$3:P$99="")*(O$3:O$99="")*(N$3:N$99="")*(M$3:M$99="P")*(G$3:G$99=G38)*(J$3:J$99&gt;J38))+IF(H38="L5",SUMPRODUCT((P$3:P$99="")*(O$3:O$99="")*(N$3:N$99="")*(M$3:M$99="P")*(G$3:G$99=G38)*(J$3:J$99&lt;J38)*(H$3:H$99&lt;&gt;H38)),-1*SUMPRODUCT((P$3:P$99="")*(O$3:O$99="")*(N$3:N$99="")*(M$3:M$99="P")*(G$3:G$99=G38)*(J$3:J$99&gt;J38)*(H$3:H$99="L5")))+1,""))))</f>
        <v/>
      </c>
      <c r="C38" s="36" t="s">
        <v>321</v>
      </c>
      <c r="D38" s="36" t="str">
        <f>IF(E38="","",VLOOKUP(E38,'Coaching Points'!A:B,2,0))</f>
        <v>AB</v>
      </c>
      <c r="E38" s="36" t="s">
        <v>64</v>
      </c>
      <c r="F38" s="35">
        <v>2006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66</v>
      </c>
      <c r="I38" s="43"/>
      <c r="J38" s="4">
        <f>R38+S38+IF(OR(H38="Junior",H38="Senior"),0.0002,IF(OR(H38="L7",H38="L6"),0.0001,0))+MAX(X38,Z38)*0.0000001</f>
        <v>85.800004370000011</v>
      </c>
      <c r="K38" s="3" t="str">
        <f>IF(G38="Not Age Eligible","",IF(MAX(T38,V38,X38,Z38)&gt;=LOOKUP(G38,'Qualifying Scores'!$A$4:$A$7,'Qualifying Scores'!$F$4:$F$7),"P",""))</f>
        <v/>
      </c>
      <c r="L38" s="3" t="str">
        <f>IF(G38="Not Age Eligible","",IF(MAX(U38,W38,Y38,AA38)&gt;=LOOKUP(G38,'Qualifying Scores'!$A$10:$A$13,'Qualifying Scores'!$F$10:$F$13),"P",""))</f>
        <v/>
      </c>
      <c r="M38" s="3" t="str">
        <f>IF(G38="Not Age Eligible","",IF(OR(AND(T38&gt;=LOOKUP(G38,'Qualifying Scores'!$A$4:$A$7,'Qualifying Scores'!$F$4:$F$7),U38&gt;=LOOKUP(G38,'Qualifying Scores'!$A$10:$A$13,'Qualifying Scores'!$F$10:$F$13)),AND(X38&gt;=LOOKUP(G38,'Qualifying Scores'!$A$4:$A$7,'Qualifying Scores'!$F$4:$F$7),Y38&gt;=LOOKUP(G38,'Qualifying Scores'!$A$10:$A$13,'Qualifying Scores'!$F$10:$F$13)),AND(V38&gt;=LOOKUP(G38,'Qualifying Scores'!$A$4:$A$7,'Qualifying Scores'!$F$4:$F$7),W38&gt;=LOOKUP(G38,'Qualifying Scores'!$A$10:$A$13,'Qualifying Scores'!$F$10:$F$13)),AND(Z38&gt;=LOOKUP(G38,'Qualifying Scores'!$A$4:$A$7,'Qualifying Scores'!$F$4:$F$7),AA38&gt;=LOOKUP(G38,'Qualifying Scores'!$A$10:$A$13,'Qualifying Scores'!$F$10:$F$13))),"P",""))</f>
        <v/>
      </c>
      <c r="Q38" s="1" t="str">
        <f>IF(A38&lt;5,IF(_xlfn.MAXIFS(A:A,G:G,G38)&gt;3,5-A38,_xlfn.MAXIFS(A:A,G:G,G38)+1-A38),"")</f>
        <v/>
      </c>
      <c r="R38" s="4">
        <f>MAX(T38,X38)</f>
        <v>43.7</v>
      </c>
      <c r="S38" s="4">
        <f>IF(R38=T38,MAX(V38,X38,Z38),IF(R38=X38,MAX(T38,V38,Z38),0))</f>
        <v>42.1</v>
      </c>
      <c r="T38" s="33">
        <v>42.1</v>
      </c>
      <c r="U38" s="40">
        <v>6</v>
      </c>
      <c r="V38" s="34"/>
      <c r="W38" s="40"/>
      <c r="X38" s="33">
        <v>43.7</v>
      </c>
      <c r="Y38" s="40">
        <v>7.8000000000000007</v>
      </c>
      <c r="Z38" s="34">
        <v>42</v>
      </c>
      <c r="AA38" s="37">
        <v>6</v>
      </c>
    </row>
    <row r="39" spans="1:27" x14ac:dyDescent="0.2">
      <c r="A39" s="1" t="str" cm="1">
        <f t="array" ref="A39">IF(I39="","",IF(P39&lt;&gt;"",SUMPRODUCT((P$3:P$99&lt;&gt;"")*(G$3:G$99=G39)*(J$3:J$99&gt;J39)*(I$3:I$99="P"))+1,IF(O39&lt;&gt;"",SUMPRODUCT((O$3:O$99&lt;&gt;"")*(P$3:P$99="")*(G$3:G$99=G39)*(J$3:J$99&gt;J39)*(I$3:I$99="P"))+SUMPRODUCT((P$3:P$99&lt;&gt;"")*(G$3:G$99=G39)*(I$3:I$99="P"))+1,IF(N39&lt;&gt;"",SUMPRODUCT((N$3:N$99&lt;&gt;"")*(G$3:G$99=G39)*(J$3:J$99&gt;J39)*(I$3:I$99="P"))+1,IF(M39="P",SUMPRODUCT((O$3:O$99&lt;&gt;"")*(P$3:P$99="")*(G$3:G$99=G39)*(I$3:I$99="P"))+SUMPRODUCT((P$3:P$99&lt;&gt;"")*(G$3:G$99=G39)*(I$3:I$99="P"))+SUMPRODUCT((N$3:N$99&lt;&gt;"")*(G$3:G$99=G39)*(I$3:I$99="P"))+SUMPRODUCT((P$3:P$99="")*(O$3:O$99="")*(N$3:N$99="")*(M$3:M$99="P")*(G$3:G$99=G39)*(J$3:J$99&gt;J39)*(I$3:I$99="P"))+IF(H39="L5",SUMPRODUCT((P$3:P$99="")*(O$3:O$99="")*(N$3:N$99="")*(M$3:M$99="P")*(G$3:G$99=G39)*(J$3:J$99&lt;J39)*(H$3:H$99&lt;&gt;H39)*(I$3:I$99="P")),-1*SUMPRODUCT((P$3:P$99="")*(O$3:O$99="")*(N$3:N$99="")*(M$3:M$99="P")*(G$3:G$99=G39)*(J$3:J$99&gt;J39)*(H$3:H$99="L5")*(I$3:I$99="P")))+1,"")))))</f>
        <v/>
      </c>
      <c r="B39" s="1" t="str" cm="1">
        <f t="array" ref="B39">IF(P39&lt;&gt;"",SUMPRODUCT((P$3:P$99&lt;&gt;"")*(G$3:G$99=G39)*(J$3:J$99&gt;J39))+1,IF(O39&lt;&gt;"",SUMPRODUCT((O$3:O$99&lt;&gt;"")*(P$3:P$99="")*(G$3:G$99=G39)*(J$3:J$99&gt;J39))+SUMPRODUCT((P$3:P$99&lt;&gt;"")*(G$3:G$99=G39))+1,IF(N39&lt;&gt;"",SUMPRODUCT((N$3:N$99&lt;&gt;"")*(G$3:G$99=G39)*(J$3:J$99&gt;J39))+1,IF(M39="P",SUMPRODUCT((O$3:O$99&lt;&gt;"")*(P$3:P$99="")*(G$3:G$99=G39))+SUMPRODUCT((P$3:P$99&lt;&gt;"")*(G$3:G$99=G39))+SUMPRODUCT((N$3:N$99&lt;&gt;"")*(G$3:G$99=G39))+SUMPRODUCT((P$3:P$99="")*(O$3:O$99="")*(N$3:N$99="")*(M$3:M$99="P")*(G$3:G$99=G39)*(J$3:J$99&gt;J39))+IF(H39="L5",SUMPRODUCT((P$3:P$99="")*(O$3:O$99="")*(N$3:N$99="")*(M$3:M$99="P")*(G$3:G$99=G39)*(J$3:J$99&lt;J39)*(H$3:H$99&lt;&gt;H39)),-1*SUMPRODUCT((P$3:P$99="")*(O$3:O$99="")*(N$3:N$99="")*(M$3:M$99="P")*(G$3:G$99=G39)*(J$3:J$99&gt;J39)*(H$3:H$99="L5")))+1,""))))</f>
        <v/>
      </c>
      <c r="C39" s="36" t="s">
        <v>318</v>
      </c>
      <c r="D39" s="36" t="str">
        <f>IF(E39="","",VLOOKUP(E39,'Coaching Points'!A:B,2,0))</f>
        <v>ON</v>
      </c>
      <c r="E39" s="36" t="s">
        <v>113</v>
      </c>
      <c r="F39" s="35">
        <v>2005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66</v>
      </c>
      <c r="I39" s="43"/>
      <c r="J39" s="4">
        <f>R39+S39+IF(OR(H39="Junior",H39="Senior"),0.0002,IF(OR(H39="L7",H39="L6"),0.0001,0))+MAX(X39,Z39)*0.0000001</f>
        <v>84.7</v>
      </c>
      <c r="K39" s="3" t="str">
        <f>IF(G39="Not Age Eligible","",IF(MAX(T39,V39,X39,Z39)&gt;=LOOKUP(G39,'Qualifying Scores'!$A$4:$A$7,'Qualifying Scores'!$F$4:$F$7),"P",""))</f>
        <v/>
      </c>
      <c r="L39" s="3" t="str">
        <f>IF(G39="Not Age Eligible","",IF(MAX(U39,W39,Y39,AA39)&gt;=LOOKUP(G39,'Qualifying Scores'!$A$10:$A$13,'Qualifying Scores'!$F$10:$F$13),"P",""))</f>
        <v/>
      </c>
      <c r="M39" s="3" t="str">
        <f>IF(G39="Not Age Eligible","",IF(OR(AND(T39&gt;=LOOKUP(G39,'Qualifying Scores'!$A$4:$A$7,'Qualifying Scores'!$F$4:$F$7),U39&gt;=LOOKUP(G39,'Qualifying Scores'!$A$10:$A$13,'Qualifying Scores'!$F$10:$F$13)),AND(X39&gt;=LOOKUP(G39,'Qualifying Scores'!$A$4:$A$7,'Qualifying Scores'!$F$4:$F$7),Y39&gt;=LOOKUP(G39,'Qualifying Scores'!$A$10:$A$13,'Qualifying Scores'!$F$10:$F$13)),AND(V39&gt;=LOOKUP(G39,'Qualifying Scores'!$A$4:$A$7,'Qualifying Scores'!$F$4:$F$7),W39&gt;=LOOKUP(G39,'Qualifying Scores'!$A$10:$A$13,'Qualifying Scores'!$F$10:$F$13)),AND(Z39&gt;=LOOKUP(G39,'Qualifying Scores'!$A$4:$A$7,'Qualifying Scores'!$F$4:$F$7),AA39&gt;=LOOKUP(G39,'Qualifying Scores'!$A$10:$A$13,'Qualifying Scores'!$F$10:$F$13))),"P",""))</f>
        <v/>
      </c>
      <c r="Q39" s="1" t="str">
        <f>IF(A39&lt;5,IF(_xlfn.MAXIFS(A:A,G:G,G39)&gt;3,5-A39,_xlfn.MAXIFS(A:A,G:G,G39)+1-A39),"")</f>
        <v/>
      </c>
      <c r="R39" s="4">
        <f>MAX(T39,X39)</f>
        <v>43</v>
      </c>
      <c r="S39" s="4">
        <f>IF(R39=T39,MAX(V39,X39,Z39),IF(R39=X39,MAX(T39,V39,Z39),0))</f>
        <v>41.7</v>
      </c>
      <c r="T39" s="33">
        <v>43</v>
      </c>
      <c r="U39" s="40">
        <v>5.8000000000000007</v>
      </c>
      <c r="V39" s="34">
        <v>41.7</v>
      </c>
      <c r="W39" s="40">
        <v>6</v>
      </c>
      <c r="X39" s="33"/>
      <c r="Y39" s="40"/>
      <c r="Z39" s="34"/>
      <c r="AA39" s="37"/>
    </row>
    <row r="40" spans="1:27" x14ac:dyDescent="0.2">
      <c r="A40" s="1" t="str" cm="1">
        <f t="array" ref="A40">IF(I40="","",IF(P40&lt;&gt;"",SUMPRODUCT((P$3:P$99&lt;&gt;"")*(G$3:G$99=G40)*(J$3:J$99&gt;J40)*(I$3:I$99="P"))+1,IF(O40&lt;&gt;"",SUMPRODUCT((O$3:O$99&lt;&gt;"")*(P$3:P$99="")*(G$3:G$99=G40)*(J$3:J$99&gt;J40)*(I$3:I$99="P"))+SUMPRODUCT((P$3:P$99&lt;&gt;"")*(G$3:G$99=G40)*(I$3:I$99="P"))+1,IF(N40&lt;&gt;"",SUMPRODUCT((N$3:N$99&lt;&gt;"")*(G$3:G$99=G40)*(J$3:J$99&gt;J40)*(I$3:I$99="P"))+1,IF(M40="P",SUMPRODUCT((O$3:O$99&lt;&gt;"")*(P$3:P$99="")*(G$3:G$99=G40)*(I$3:I$99="P"))+SUMPRODUCT((P$3:P$99&lt;&gt;"")*(G$3:G$99=G40)*(I$3:I$99="P"))+SUMPRODUCT((N$3:N$99&lt;&gt;"")*(G$3:G$99=G40)*(I$3:I$99="P"))+SUMPRODUCT((P$3:P$99="")*(O$3:O$99="")*(N$3:N$99="")*(M$3:M$99="P")*(G$3:G$99=G40)*(J$3:J$99&gt;J40)*(I$3:I$99="P"))+IF(H40="L5",SUMPRODUCT((P$3:P$99="")*(O$3:O$99="")*(N$3:N$99="")*(M$3:M$99="P")*(G$3:G$99=G40)*(J$3:J$99&lt;J40)*(H$3:H$99&lt;&gt;H40)*(I$3:I$99="P")),-1*SUMPRODUCT((P$3:P$99="")*(O$3:O$99="")*(N$3:N$99="")*(M$3:M$99="P")*(G$3:G$99=G40)*(J$3:J$99&gt;J40)*(H$3:H$99="L5")*(I$3:I$99="P")))+1,"")))))</f>
        <v/>
      </c>
      <c r="B40" s="1" t="str" cm="1">
        <f t="array" ref="B40">IF(P40&lt;&gt;"",SUMPRODUCT((P$3:P$99&lt;&gt;"")*(G$3:G$99=G40)*(J$3:J$99&gt;J40))+1,IF(O40&lt;&gt;"",SUMPRODUCT((O$3:O$99&lt;&gt;"")*(P$3:P$99="")*(G$3:G$99=G40)*(J$3:J$99&gt;J40))+SUMPRODUCT((P$3:P$99&lt;&gt;"")*(G$3:G$99=G40))+1,IF(N40&lt;&gt;"",SUMPRODUCT((N$3:N$99&lt;&gt;"")*(G$3:G$99=G40)*(J$3:J$99&gt;J40))+1,IF(M40="P",SUMPRODUCT((O$3:O$99&lt;&gt;"")*(P$3:P$99="")*(G$3:G$99=G40))+SUMPRODUCT((P$3:P$99&lt;&gt;"")*(G$3:G$99=G40))+SUMPRODUCT((N$3:N$99&lt;&gt;"")*(G$3:G$99=G40))+SUMPRODUCT((P$3:P$99="")*(O$3:O$99="")*(N$3:N$99="")*(M$3:M$99="P")*(G$3:G$99=G40)*(J$3:J$99&gt;J40))+IF(H40="L5",SUMPRODUCT((P$3:P$99="")*(O$3:O$99="")*(N$3:N$99="")*(M$3:M$99="P")*(G$3:G$99=G40)*(J$3:J$99&lt;J40)*(H$3:H$99&lt;&gt;H40)),-1*SUMPRODUCT((P$3:P$99="")*(O$3:O$99="")*(N$3:N$99="")*(M$3:M$99="P")*(G$3:G$99=G40)*(J$3:J$99&gt;J40)*(H$3:H$99="L5")))+1,""))))</f>
        <v/>
      </c>
      <c r="C40" s="36" t="s">
        <v>224</v>
      </c>
      <c r="D40" s="36" t="str">
        <f>IF(E40="","",VLOOKUP(E40,'Coaching Points'!A:B,2,0))</f>
        <v>ON</v>
      </c>
      <c r="E40" s="36" t="s">
        <v>283</v>
      </c>
      <c r="F40" s="35">
        <v>2006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66</v>
      </c>
      <c r="I40" s="43"/>
      <c r="J40" s="4">
        <f>R40+S40+IF(OR(H40="Junior",H40="Senior"),0.0002,IF(OR(H40="L7",H40="L6"),0.0001,0))+MAX(X40,Z40)*0.0000001</f>
        <v>82.600004189999993</v>
      </c>
      <c r="K40" s="3" t="str">
        <f>IF(G40="Not Age Eligible","",IF(MAX(T40,V40,X40,Z40)&gt;=LOOKUP(G40,'Qualifying Scores'!$A$4:$A$7,'Qualifying Scores'!$F$4:$F$7),"P",""))</f>
        <v/>
      </c>
      <c r="L40" s="3" t="str">
        <f>IF(G40="Not Age Eligible","",IF(MAX(U40,W40,Y40,AA40)&gt;=LOOKUP(G40,'Qualifying Scores'!$A$10:$A$13,'Qualifying Scores'!$F$10:$F$13),"P",""))</f>
        <v/>
      </c>
      <c r="M40" s="3" t="str">
        <f>IF(G40="Not Age Eligible","",IF(OR(AND(T40&gt;=LOOKUP(G40,'Qualifying Scores'!$A$4:$A$7,'Qualifying Scores'!$F$4:$F$7),U40&gt;=LOOKUP(G40,'Qualifying Scores'!$A$10:$A$13,'Qualifying Scores'!$F$10:$F$13)),AND(X40&gt;=LOOKUP(G40,'Qualifying Scores'!$A$4:$A$7,'Qualifying Scores'!$F$4:$F$7),Y40&gt;=LOOKUP(G40,'Qualifying Scores'!$A$10:$A$13,'Qualifying Scores'!$F$10:$F$13)),AND(V40&gt;=LOOKUP(G40,'Qualifying Scores'!$A$4:$A$7,'Qualifying Scores'!$F$4:$F$7),W40&gt;=LOOKUP(G40,'Qualifying Scores'!$A$10:$A$13,'Qualifying Scores'!$F$10:$F$13)),AND(Z40&gt;=LOOKUP(G40,'Qualifying Scores'!$A$4:$A$7,'Qualifying Scores'!$F$4:$F$7),AA40&gt;=LOOKUP(G40,'Qualifying Scores'!$A$10:$A$13,'Qualifying Scores'!$F$10:$F$13))),"P",""))</f>
        <v/>
      </c>
      <c r="Q40" s="1" t="str">
        <f>IF(A40&lt;5,IF(_xlfn.MAXIFS(A:A,G:G,G40)&gt;3,5-A40,_xlfn.MAXIFS(A:A,G:G,G40)+1-A40),"")</f>
        <v/>
      </c>
      <c r="R40" s="4">
        <f>MAX(T40,X40)</f>
        <v>41.9</v>
      </c>
      <c r="S40" s="4">
        <f>IF(R40=T40,MAX(V40,X40,Z40),IF(R40=X40,MAX(T40,V40,Z40),0))</f>
        <v>40.700000000000003</v>
      </c>
      <c r="T40" s="33">
        <v>40.700000000000003</v>
      </c>
      <c r="U40" s="40">
        <v>4.7</v>
      </c>
      <c r="V40" s="34"/>
      <c r="W40" s="40"/>
      <c r="X40" s="33">
        <v>41.9</v>
      </c>
      <c r="Y40" s="40">
        <v>6</v>
      </c>
      <c r="Z40" s="34"/>
      <c r="AA40" s="37"/>
    </row>
    <row r="41" spans="1:27" x14ac:dyDescent="0.2">
      <c r="A41" s="1" t="str" cm="1">
        <f t="array" ref="A41">IF(I41="","",IF(P41&lt;&gt;"",SUMPRODUCT((P$3:P$99&lt;&gt;"")*(G$3:G$99=G41)*(J$3:J$99&gt;J41)*(I$3:I$99="P"))+1,IF(O41&lt;&gt;"",SUMPRODUCT((O$3:O$99&lt;&gt;"")*(P$3:P$99="")*(G$3:G$99=G41)*(J$3:J$99&gt;J41)*(I$3:I$99="P"))+SUMPRODUCT((P$3:P$99&lt;&gt;"")*(G$3:G$99=G41)*(I$3:I$99="P"))+1,IF(N41&lt;&gt;"",SUMPRODUCT((N$3:N$99&lt;&gt;"")*(G$3:G$99=G41)*(J$3:J$99&gt;J41)*(I$3:I$99="P"))+1,IF(M41="P",SUMPRODUCT((O$3:O$99&lt;&gt;"")*(P$3:P$99="")*(G$3:G$99=G41)*(I$3:I$99="P"))+SUMPRODUCT((P$3:P$99&lt;&gt;"")*(G$3:G$99=G41)*(I$3:I$99="P"))+SUMPRODUCT((N$3:N$99&lt;&gt;"")*(G$3:G$99=G41)*(I$3:I$99="P"))+SUMPRODUCT((P$3:P$99="")*(O$3:O$99="")*(N$3:N$99="")*(M$3:M$99="P")*(G$3:G$99=G41)*(J$3:J$99&gt;J41)*(I$3:I$99="P"))+IF(H41="L5",SUMPRODUCT((P$3:P$99="")*(O$3:O$99="")*(N$3:N$99="")*(M$3:M$99="P")*(G$3:G$99=G41)*(J$3:J$99&lt;J41)*(H$3:H$99&lt;&gt;H41)*(I$3:I$99="P")),-1*SUMPRODUCT((P$3:P$99="")*(O$3:O$99="")*(N$3:N$99="")*(M$3:M$99="P")*(G$3:G$99=G41)*(J$3:J$99&gt;J41)*(H$3:H$99="L5")*(I$3:I$99="P")))+1,"")))))</f>
        <v/>
      </c>
      <c r="B41" s="1" t="str" cm="1">
        <f t="array" ref="B41">IF(P41&lt;&gt;"",SUMPRODUCT((P$3:P$99&lt;&gt;"")*(G$3:G$99=G41)*(J$3:J$99&gt;J41))+1,IF(O41&lt;&gt;"",SUMPRODUCT((O$3:O$99&lt;&gt;"")*(P$3:P$99="")*(G$3:G$99=G41)*(J$3:J$99&gt;J41))+SUMPRODUCT((P$3:P$99&lt;&gt;"")*(G$3:G$99=G41))+1,IF(N41&lt;&gt;"",SUMPRODUCT((N$3:N$99&lt;&gt;"")*(G$3:G$99=G41)*(J$3:J$99&gt;J41))+1,IF(M41="P",SUMPRODUCT((O$3:O$99&lt;&gt;"")*(P$3:P$99="")*(G$3:G$99=G41))+SUMPRODUCT((P$3:P$99&lt;&gt;"")*(G$3:G$99=G41))+SUMPRODUCT((N$3:N$99&lt;&gt;"")*(G$3:G$99=G41))+SUMPRODUCT((P$3:P$99="")*(O$3:O$99="")*(N$3:N$99="")*(M$3:M$99="P")*(G$3:G$99=G41)*(J$3:J$99&gt;J41))+IF(H41="L5",SUMPRODUCT((P$3:P$99="")*(O$3:O$99="")*(N$3:N$99="")*(M$3:M$99="P")*(G$3:G$99=G41)*(J$3:J$99&lt;J41)*(H$3:H$99&lt;&gt;H41)),-1*SUMPRODUCT((P$3:P$99="")*(O$3:O$99="")*(N$3:N$99="")*(M$3:M$99="P")*(G$3:G$99=G41)*(J$3:J$99&gt;J41)*(H$3:H$99="L5")))+1,""))))</f>
        <v/>
      </c>
      <c r="C41" s="36" t="s">
        <v>93</v>
      </c>
      <c r="D41" s="36" t="str">
        <f>IF(E41="","",VLOOKUP(E41,'Coaching Points'!A:B,2,0))</f>
        <v>AB</v>
      </c>
      <c r="E41" s="36" t="s">
        <v>70</v>
      </c>
      <c r="F41" s="35">
        <v>2005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68</v>
      </c>
      <c r="I41" s="43"/>
      <c r="J41" s="4">
        <f>R41+S41+IF(OR(H41="Junior",H41="Senior"),0.0002,IF(OR(H41="L7",H41="L6"),0.0001,0))+MAX(X41,Z41)*0.0000001</f>
        <v>78.700104289999999</v>
      </c>
      <c r="K41" s="3" t="str">
        <f>IF(G41="Not Age Eligible","",IF(MAX(T41,V41,X41,Z41)&gt;=LOOKUP(G41,'Qualifying Scores'!$A$4:$A$7,'Qualifying Scores'!$F$4:$F$7),"P",""))</f>
        <v/>
      </c>
      <c r="L41" s="3" t="str">
        <f>IF(G41="Not Age Eligible","",IF(MAX(U41,W41,Y41,AA41)&gt;=LOOKUP(G41,'Qualifying Scores'!$A$10:$A$13,'Qualifying Scores'!$F$10:$F$13),"P",""))</f>
        <v/>
      </c>
      <c r="M41" s="3" t="str">
        <f>IF(G41="Not Age Eligible","",IF(OR(AND(T41&gt;=LOOKUP(G41,'Qualifying Scores'!$A$4:$A$7,'Qualifying Scores'!$F$4:$F$7),U41&gt;=LOOKUP(G41,'Qualifying Scores'!$A$10:$A$13,'Qualifying Scores'!$F$10:$F$13)),AND(X41&gt;=LOOKUP(G41,'Qualifying Scores'!$A$4:$A$7,'Qualifying Scores'!$F$4:$F$7),Y41&gt;=LOOKUP(G41,'Qualifying Scores'!$A$10:$A$13,'Qualifying Scores'!$F$10:$F$13)),AND(V41&gt;=LOOKUP(G41,'Qualifying Scores'!$A$4:$A$7,'Qualifying Scores'!$F$4:$F$7),W41&gt;=LOOKUP(G41,'Qualifying Scores'!$A$10:$A$13,'Qualifying Scores'!$F$10:$F$13)),AND(Z41&gt;=LOOKUP(G41,'Qualifying Scores'!$A$4:$A$7,'Qualifying Scores'!$F$4:$F$7),AA41&gt;=LOOKUP(G41,'Qualifying Scores'!$A$10:$A$13,'Qualifying Scores'!$F$10:$F$13))),"P",""))</f>
        <v/>
      </c>
      <c r="Q41" s="1" t="str">
        <f>IF(A41&lt;5,IF(_xlfn.MAXIFS(A:A,G:G,G41)&gt;3,5-A41,_xlfn.MAXIFS(A:A,G:G,G41)+1-A41),"")</f>
        <v/>
      </c>
      <c r="R41" s="4">
        <f>MAX(T41,X41)</f>
        <v>42.9</v>
      </c>
      <c r="S41" s="4">
        <f>IF(R41=T41,MAX(V41,X41,Z41),IF(R41=X41,MAX(T41,V41,Z41),0))</f>
        <v>35.799999999999997</v>
      </c>
      <c r="T41" s="33">
        <v>35.799999999999997</v>
      </c>
      <c r="U41" s="40">
        <v>6.1</v>
      </c>
      <c r="V41" s="34"/>
      <c r="W41" s="40"/>
      <c r="X41" s="33">
        <v>42.9</v>
      </c>
      <c r="Y41" s="40">
        <v>7.6</v>
      </c>
      <c r="Z41" s="34"/>
      <c r="AA41" s="37"/>
    </row>
    <row r="42" spans="1:27" x14ac:dyDescent="0.2">
      <c r="A42" s="1" t="str" cm="1">
        <f t="array" ref="A42">IF(I42="","",IF(P42&lt;&gt;"",SUMPRODUCT((P$3:P$99&lt;&gt;"")*(G$3:G$99=G42)*(J$3:J$99&gt;J42)*(I$3:I$99="P"))+1,IF(O42&lt;&gt;"",SUMPRODUCT((O$3:O$99&lt;&gt;"")*(P$3:P$99="")*(G$3:G$99=G42)*(J$3:J$99&gt;J42)*(I$3:I$99="P"))+SUMPRODUCT((P$3:P$99&lt;&gt;"")*(G$3:G$99=G42)*(I$3:I$99="P"))+1,IF(N42&lt;&gt;"",SUMPRODUCT((N$3:N$99&lt;&gt;"")*(G$3:G$99=G42)*(J$3:J$99&gt;J42)*(I$3:I$99="P"))+1,IF(M42="P",SUMPRODUCT((O$3:O$99&lt;&gt;"")*(P$3:P$99="")*(G$3:G$99=G42)*(I$3:I$99="P"))+SUMPRODUCT((P$3:P$99&lt;&gt;"")*(G$3:G$99=G42)*(I$3:I$99="P"))+SUMPRODUCT((N$3:N$99&lt;&gt;"")*(G$3:G$99=G42)*(I$3:I$99="P"))+SUMPRODUCT((P$3:P$99="")*(O$3:O$99="")*(N$3:N$99="")*(M$3:M$99="P")*(G$3:G$99=G42)*(J$3:J$99&gt;J42)*(I$3:I$99="P"))+IF(H42="L5",SUMPRODUCT((P$3:P$99="")*(O$3:O$99="")*(N$3:N$99="")*(M$3:M$99="P")*(G$3:G$99=G42)*(J$3:J$99&lt;J42)*(H$3:H$99&lt;&gt;H42)*(I$3:I$99="P")),-1*SUMPRODUCT((P$3:P$99="")*(O$3:O$99="")*(N$3:N$99="")*(M$3:M$99="P")*(G$3:G$99=G42)*(J$3:J$99&gt;J42)*(H$3:H$99="L5")*(I$3:I$99="P")))+1,"")))))</f>
        <v/>
      </c>
      <c r="B42" s="1" t="str" cm="1">
        <f t="array" ref="B42">IF(P42&lt;&gt;"",SUMPRODUCT((P$3:P$99&lt;&gt;"")*(G$3:G$99=G42)*(J$3:J$99&gt;J42))+1,IF(O42&lt;&gt;"",SUMPRODUCT((O$3:O$99&lt;&gt;"")*(P$3:P$99="")*(G$3:G$99=G42)*(J$3:J$99&gt;J42))+SUMPRODUCT((P$3:P$99&lt;&gt;"")*(G$3:G$99=G42))+1,IF(N42&lt;&gt;"",SUMPRODUCT((N$3:N$99&lt;&gt;"")*(G$3:G$99=G42)*(J$3:J$99&gt;J42))+1,IF(M42="P",SUMPRODUCT((O$3:O$99&lt;&gt;"")*(P$3:P$99="")*(G$3:G$99=G42))+SUMPRODUCT((P$3:P$99&lt;&gt;"")*(G$3:G$99=G42))+SUMPRODUCT((N$3:N$99&lt;&gt;"")*(G$3:G$99=G42))+SUMPRODUCT((P$3:P$99="")*(O$3:O$99="")*(N$3:N$99="")*(M$3:M$99="P")*(G$3:G$99=G42)*(J$3:J$99&gt;J42))+IF(H42="L5",SUMPRODUCT((P$3:P$99="")*(O$3:O$99="")*(N$3:N$99="")*(M$3:M$99="P")*(G$3:G$99=G42)*(J$3:J$99&lt;J42)*(H$3:H$99&lt;&gt;H42)),-1*SUMPRODUCT((P$3:P$99="")*(O$3:O$99="")*(N$3:N$99="")*(M$3:M$99="P")*(G$3:G$99=G42)*(J$3:J$99&gt;J42)*(H$3:H$99="L5")))+1,""))))</f>
        <v/>
      </c>
      <c r="C42" s="36" t="s">
        <v>169</v>
      </c>
      <c r="D42" s="36" t="str">
        <f>IF(E42="","",VLOOKUP(E42,'Coaching Points'!A:B,2,0))</f>
        <v>AB</v>
      </c>
      <c r="E42" s="36" t="s">
        <v>64</v>
      </c>
      <c r="F42" s="35">
        <v>2004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74</v>
      </c>
      <c r="I42" s="43" t="s">
        <v>567</v>
      </c>
      <c r="J42" s="4">
        <f>R42+S42+IF(OR(H42="Junior",H42="Senior"),0.0002,IF(OR(H42="L7",H42="L6"),0.0001,0))+MAX(X42,Z42)*0.0000001</f>
        <v>72.900202650000011</v>
      </c>
      <c r="K42" s="3" t="str">
        <f>IF(G42="Not Age Eligible","",IF(MAX(T42,V42,X42,Z42)&gt;=LOOKUP(G42,'Qualifying Scores'!$A$4:$A$7,'Qualifying Scores'!$F$4:$F$7),"P",""))</f>
        <v/>
      </c>
      <c r="L42" s="3" t="str">
        <f>IF(G42="Not Age Eligible","",IF(MAX(U42,W42,Y42,AA42)&gt;=LOOKUP(G42,'Qualifying Scores'!$A$10:$A$13,'Qualifying Scores'!$F$10:$F$13),"P",""))</f>
        <v/>
      </c>
      <c r="M42" s="3" t="str">
        <f>IF(G42="Not Age Eligible","",IF(OR(AND(T42&gt;=LOOKUP(G42,'Qualifying Scores'!$A$4:$A$7,'Qualifying Scores'!$F$4:$F$7),U42&gt;=LOOKUP(G42,'Qualifying Scores'!$A$10:$A$13,'Qualifying Scores'!$F$10:$F$13)),AND(X42&gt;=LOOKUP(G42,'Qualifying Scores'!$A$4:$A$7,'Qualifying Scores'!$F$4:$F$7),Y42&gt;=LOOKUP(G42,'Qualifying Scores'!$A$10:$A$13,'Qualifying Scores'!$F$10:$F$13)),AND(V42&gt;=LOOKUP(G42,'Qualifying Scores'!$A$4:$A$7,'Qualifying Scores'!$F$4:$F$7),W42&gt;=LOOKUP(G42,'Qualifying Scores'!$A$10:$A$13,'Qualifying Scores'!$F$10:$F$13)),AND(Z42&gt;=LOOKUP(G42,'Qualifying Scores'!$A$4:$A$7,'Qualifying Scores'!$F$4:$F$7),AA42&gt;=LOOKUP(G42,'Qualifying Scores'!$A$10:$A$13,'Qualifying Scores'!$F$10:$F$13))),"P",""))</f>
        <v/>
      </c>
      <c r="Q42" s="1" t="str">
        <f>IF(A42&lt;5,IF(_xlfn.MAXIFS(A:A,G:G,G42)&gt;3,5-A42,_xlfn.MAXIFS(A:A,G:G,G42)+1-A42),"")</f>
        <v/>
      </c>
      <c r="R42" s="4">
        <f>MAX(T42,X42)</f>
        <v>46.4</v>
      </c>
      <c r="S42" s="4">
        <f>IF(R42=T42,MAX(V42,X42,Z42),IF(R42=X42,MAX(T42,V42,Z42),0))</f>
        <v>26.5</v>
      </c>
      <c r="T42" s="33">
        <v>46.4</v>
      </c>
      <c r="U42" s="40">
        <v>10.4</v>
      </c>
      <c r="V42" s="34"/>
      <c r="W42" s="40"/>
      <c r="X42" s="33">
        <v>26.5</v>
      </c>
      <c r="Y42" s="40">
        <v>9.1999999999999993</v>
      </c>
      <c r="Z42" s="34"/>
      <c r="AA42" s="37"/>
    </row>
    <row r="43" spans="1:27" x14ac:dyDescent="0.2">
      <c r="A43" s="1" t="str" cm="1">
        <f t="array" ref="A43">IF(I43="","",IF(P43&lt;&gt;"",SUMPRODUCT((P$3:P$99&lt;&gt;"")*(G$3:G$99=G43)*(J$3:J$99&gt;J43)*(I$3:I$99="P"))+1,IF(O43&lt;&gt;"",SUMPRODUCT((O$3:O$99&lt;&gt;"")*(P$3:P$99="")*(G$3:G$99=G43)*(J$3:J$99&gt;J43)*(I$3:I$99="P"))+SUMPRODUCT((P$3:P$99&lt;&gt;"")*(G$3:G$99=G43)*(I$3:I$99="P"))+1,IF(N43&lt;&gt;"",SUMPRODUCT((N$3:N$99&lt;&gt;"")*(G$3:G$99=G43)*(J$3:J$99&gt;J43)*(I$3:I$99="P"))+1,IF(M43="P",SUMPRODUCT((O$3:O$99&lt;&gt;"")*(P$3:P$99="")*(G$3:G$99=G43)*(I$3:I$99="P"))+SUMPRODUCT((P$3:P$99&lt;&gt;"")*(G$3:G$99=G43)*(I$3:I$99="P"))+SUMPRODUCT((N$3:N$99&lt;&gt;"")*(G$3:G$99=G43)*(I$3:I$99="P"))+SUMPRODUCT((P$3:P$99="")*(O$3:O$99="")*(N$3:N$99="")*(M$3:M$99="P")*(G$3:G$99=G43)*(J$3:J$99&gt;J43)*(I$3:I$99="P"))+IF(H43="L5",SUMPRODUCT((P$3:P$99="")*(O$3:O$99="")*(N$3:N$99="")*(M$3:M$99="P")*(G$3:G$99=G43)*(J$3:J$99&lt;J43)*(H$3:H$99&lt;&gt;H43)*(I$3:I$99="P")),-1*SUMPRODUCT((P$3:P$99="")*(O$3:O$99="")*(N$3:N$99="")*(M$3:M$99="P")*(G$3:G$99=G43)*(J$3:J$99&gt;J43)*(H$3:H$99="L5")*(I$3:I$99="P")))+1,"")))))</f>
        <v/>
      </c>
      <c r="B43" s="1" t="str" cm="1">
        <f t="array" ref="B43">IF(P43&lt;&gt;"",SUMPRODUCT((P$3:P$99&lt;&gt;"")*(G$3:G$99=G43)*(J$3:J$99&gt;J43))+1,IF(O43&lt;&gt;"",SUMPRODUCT((O$3:O$99&lt;&gt;"")*(P$3:P$99="")*(G$3:G$99=G43)*(J$3:J$99&gt;J43))+SUMPRODUCT((P$3:P$99&lt;&gt;"")*(G$3:G$99=G43))+1,IF(N43&lt;&gt;"",SUMPRODUCT((N$3:N$99&lt;&gt;"")*(G$3:G$99=G43)*(J$3:J$99&gt;J43))+1,IF(M43="P",SUMPRODUCT((O$3:O$99&lt;&gt;"")*(P$3:P$99="")*(G$3:G$99=G43))+SUMPRODUCT((P$3:P$99&lt;&gt;"")*(G$3:G$99=G43))+SUMPRODUCT((N$3:N$99&lt;&gt;"")*(G$3:G$99=G43))+SUMPRODUCT((P$3:P$99="")*(O$3:O$99="")*(N$3:N$99="")*(M$3:M$99="P")*(G$3:G$99=G43)*(J$3:J$99&gt;J43))+IF(H43="L5",SUMPRODUCT((P$3:P$99="")*(O$3:O$99="")*(N$3:N$99="")*(M$3:M$99="P")*(G$3:G$99=G43)*(J$3:J$99&lt;J43)*(H$3:H$99&lt;&gt;H43)),-1*SUMPRODUCT((P$3:P$99="")*(O$3:O$99="")*(N$3:N$99="")*(M$3:M$99="P")*(G$3:G$99=G43)*(J$3:J$99&gt;J43)*(H$3:H$99="L5")))+1,""))))</f>
        <v/>
      </c>
      <c r="C43" s="36" t="s">
        <v>317</v>
      </c>
      <c r="D43" s="36" t="str">
        <f>IF(E43="","",VLOOKUP(E43,'Coaching Points'!A:B,2,0))</f>
        <v>AB</v>
      </c>
      <c r="E43" s="36" t="s">
        <v>29</v>
      </c>
      <c r="F43" s="35">
        <v>2005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68</v>
      </c>
      <c r="I43" s="43" t="s">
        <v>567</v>
      </c>
      <c r="J43" s="4">
        <f>R43+S43+IF(OR(H43="Junior",H43="Senior"),0.0002,IF(OR(H43="L7",H43="L6"),0.0001,0))+MAX(X43,Z43)*0.0000001</f>
        <v>65.400104320000011</v>
      </c>
      <c r="K43" s="3" t="str">
        <f>IF(G43="Not Age Eligible","",IF(MAX(T43,V43,X43,Z43)&gt;=LOOKUP(G43,'Qualifying Scores'!$A$4:$A$7,'Qualifying Scores'!$F$4:$F$7),"P",""))</f>
        <v/>
      </c>
      <c r="L43" s="3" t="str">
        <f>IF(G43="Not Age Eligible","",IF(MAX(U43,W43,Y43,AA43)&gt;=LOOKUP(G43,'Qualifying Scores'!$A$10:$A$13,'Qualifying Scores'!$F$10:$F$13),"P",""))</f>
        <v/>
      </c>
      <c r="M43" s="3" t="str">
        <f>IF(G43="Not Age Eligible","",IF(OR(AND(T43&gt;=LOOKUP(G43,'Qualifying Scores'!$A$4:$A$7,'Qualifying Scores'!$F$4:$F$7),U43&gt;=LOOKUP(G43,'Qualifying Scores'!$A$10:$A$13,'Qualifying Scores'!$F$10:$F$13)),AND(X43&gt;=LOOKUP(G43,'Qualifying Scores'!$A$4:$A$7,'Qualifying Scores'!$F$4:$F$7),Y43&gt;=LOOKUP(G43,'Qualifying Scores'!$A$10:$A$13,'Qualifying Scores'!$F$10:$F$13)),AND(V43&gt;=LOOKUP(G43,'Qualifying Scores'!$A$4:$A$7,'Qualifying Scores'!$F$4:$F$7),W43&gt;=LOOKUP(G43,'Qualifying Scores'!$A$10:$A$13,'Qualifying Scores'!$F$10:$F$13)),AND(Z43&gt;=LOOKUP(G43,'Qualifying Scores'!$A$4:$A$7,'Qualifying Scores'!$F$4:$F$7),AA43&gt;=LOOKUP(G43,'Qualifying Scores'!$A$10:$A$13,'Qualifying Scores'!$F$10:$F$13))),"P",""))</f>
        <v/>
      </c>
      <c r="Q43" s="1" t="str">
        <f>IF(A43&lt;5,IF(_xlfn.MAXIFS(A:A,G:G,G43)&gt;3,5-A43,_xlfn.MAXIFS(A:A,G:G,G43)+1-A43),"")</f>
        <v/>
      </c>
      <c r="R43" s="4">
        <f>MAX(T43,X43)</f>
        <v>43.2</v>
      </c>
      <c r="S43" s="4">
        <f>IF(R43=T43,MAX(V43,X43,Z43),IF(R43=X43,MAX(T43,V43,Z43),0))</f>
        <v>22.2</v>
      </c>
      <c r="T43" s="33">
        <v>22.2</v>
      </c>
      <c r="U43" s="40">
        <v>4.4000000000000004</v>
      </c>
      <c r="V43" s="34"/>
      <c r="W43" s="40"/>
      <c r="X43" s="33">
        <v>43.2</v>
      </c>
      <c r="Y43" s="40">
        <v>8</v>
      </c>
      <c r="Z43" s="34"/>
      <c r="AA43" s="37"/>
    </row>
    <row r="44" spans="1:27" x14ac:dyDescent="0.2">
      <c r="A44" s="1" t="str" cm="1">
        <f t="array" ref="A44">IF(I44="","",IF(P44&lt;&gt;"",SUMPRODUCT((P$3:P$99&lt;&gt;"")*(G$3:G$99=G44)*(J$3:J$99&gt;J44)*(I$3:I$99="P"))+1,IF(O44&lt;&gt;"",SUMPRODUCT((O$3:O$99&lt;&gt;"")*(P$3:P$99="")*(G$3:G$99=G44)*(J$3:J$99&gt;J44)*(I$3:I$99="P"))+SUMPRODUCT((P$3:P$99&lt;&gt;"")*(G$3:G$99=G44)*(I$3:I$99="P"))+1,IF(N44&lt;&gt;"",SUMPRODUCT((N$3:N$99&lt;&gt;"")*(G$3:G$99=G44)*(J$3:J$99&gt;J44)*(I$3:I$99="P"))+1,IF(M44="P",SUMPRODUCT((O$3:O$99&lt;&gt;"")*(P$3:P$99="")*(G$3:G$99=G44)*(I$3:I$99="P"))+SUMPRODUCT((P$3:P$99&lt;&gt;"")*(G$3:G$99=G44)*(I$3:I$99="P"))+SUMPRODUCT((N$3:N$99&lt;&gt;"")*(G$3:G$99=G44)*(I$3:I$99="P"))+SUMPRODUCT((P$3:P$99="")*(O$3:O$99="")*(N$3:N$99="")*(M$3:M$99="P")*(G$3:G$99=G44)*(J$3:J$99&gt;J44)*(I$3:I$99="P"))+IF(H44="L5",SUMPRODUCT((P$3:P$99="")*(O$3:O$99="")*(N$3:N$99="")*(M$3:M$99="P")*(G$3:G$99=G44)*(J$3:J$99&lt;J44)*(H$3:H$99&lt;&gt;H44)*(I$3:I$99="P")),-1*SUMPRODUCT((P$3:P$99="")*(O$3:O$99="")*(N$3:N$99="")*(M$3:M$99="P")*(G$3:G$99=G44)*(J$3:J$99&gt;J44)*(H$3:H$99="L5")*(I$3:I$99="P")))+1,"")))))</f>
        <v/>
      </c>
      <c r="B44" s="1" t="str" cm="1">
        <f t="array" ref="B44">IF(P44&lt;&gt;"",SUMPRODUCT((P$3:P$99&lt;&gt;"")*(G$3:G$99=G44)*(J$3:J$99&gt;J44))+1,IF(O44&lt;&gt;"",SUMPRODUCT((O$3:O$99&lt;&gt;"")*(P$3:P$99="")*(G$3:G$99=G44)*(J$3:J$99&gt;J44))+SUMPRODUCT((P$3:P$99&lt;&gt;"")*(G$3:G$99=G44))+1,IF(N44&lt;&gt;"",SUMPRODUCT((N$3:N$99&lt;&gt;"")*(G$3:G$99=G44)*(J$3:J$99&gt;J44))+1,IF(M44="P",SUMPRODUCT((O$3:O$99&lt;&gt;"")*(P$3:P$99="")*(G$3:G$99=G44))+SUMPRODUCT((P$3:P$99&lt;&gt;"")*(G$3:G$99=G44))+SUMPRODUCT((N$3:N$99&lt;&gt;"")*(G$3:G$99=G44))+SUMPRODUCT((P$3:P$99="")*(O$3:O$99="")*(N$3:N$99="")*(M$3:M$99="P")*(G$3:G$99=G44)*(J$3:J$99&gt;J44))+IF(H44="L5",SUMPRODUCT((P$3:P$99="")*(O$3:O$99="")*(N$3:N$99="")*(M$3:M$99="P")*(G$3:G$99=G44)*(J$3:J$99&lt;J44)*(H$3:H$99&lt;&gt;H44)),-1*SUMPRODUCT((P$3:P$99="")*(O$3:O$99="")*(N$3:N$99="")*(M$3:M$99="P")*(G$3:G$99=G44)*(J$3:J$99&gt;J44)*(H$3:H$99="L5")))+1,""))))</f>
        <v/>
      </c>
      <c r="C44" s="36" t="s">
        <v>220</v>
      </c>
      <c r="D44" s="36" t="str">
        <f>IF(E44="","",VLOOKUP(E44,'Coaching Points'!A:B,2,0))</f>
        <v>NB</v>
      </c>
      <c r="E44" s="36" t="s">
        <v>48</v>
      </c>
      <c r="F44" s="35">
        <v>2006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66</v>
      </c>
      <c r="I44" s="43"/>
      <c r="J44" s="4">
        <f>R44+S44+IF(OR(H44="Junior",H44="Senior"),0.0002,IF(OR(H44="L7",H44="L6"),0.0001,0))+MAX(X44,Z44)*0.0000001</f>
        <v>64.900000000000006</v>
      </c>
      <c r="K44" s="3" t="str">
        <f>IF(G44="Not Age Eligible","",IF(MAX(T44,V44,X44,Z44)&gt;=LOOKUP(G44,'Qualifying Scores'!$A$4:$A$7,'Qualifying Scores'!$F$4:$F$7),"P",""))</f>
        <v/>
      </c>
      <c r="L44" s="3" t="str">
        <f>IF(G44="Not Age Eligible","",IF(MAX(U44,W44,Y44,AA44)&gt;=LOOKUP(G44,'Qualifying Scores'!$A$10:$A$13,'Qualifying Scores'!$F$10:$F$13),"P",""))</f>
        <v/>
      </c>
      <c r="M44" s="3" t="str">
        <f>IF(G44="Not Age Eligible","",IF(OR(AND(T44&gt;=LOOKUP(G44,'Qualifying Scores'!$A$4:$A$7,'Qualifying Scores'!$F$4:$F$7),U44&gt;=LOOKUP(G44,'Qualifying Scores'!$A$10:$A$13,'Qualifying Scores'!$F$10:$F$13)),AND(X44&gt;=LOOKUP(G44,'Qualifying Scores'!$A$4:$A$7,'Qualifying Scores'!$F$4:$F$7),Y44&gt;=LOOKUP(G44,'Qualifying Scores'!$A$10:$A$13,'Qualifying Scores'!$F$10:$F$13)),AND(V44&gt;=LOOKUP(G44,'Qualifying Scores'!$A$4:$A$7,'Qualifying Scores'!$F$4:$F$7),W44&gt;=LOOKUP(G44,'Qualifying Scores'!$A$10:$A$13,'Qualifying Scores'!$F$10:$F$13)),AND(Z44&gt;=LOOKUP(G44,'Qualifying Scores'!$A$4:$A$7,'Qualifying Scores'!$F$4:$F$7),AA44&gt;=LOOKUP(G44,'Qualifying Scores'!$A$10:$A$13,'Qualifying Scores'!$F$10:$F$13))),"P",""))</f>
        <v/>
      </c>
      <c r="Q44" s="1" t="str">
        <f>IF(A44&lt;5,IF(_xlfn.MAXIFS(A:A,G:G,G44)&gt;3,5-A44,_xlfn.MAXIFS(A:A,G:G,G44)+1-A44),"")</f>
        <v/>
      </c>
      <c r="R44" s="4">
        <f>MAX(T44,X44)</f>
        <v>42.7</v>
      </c>
      <c r="S44" s="4">
        <f>IF(R44=T44,MAX(V44,X44,Z44),IF(R44=X44,MAX(T44,V44,Z44),0))</f>
        <v>22.2</v>
      </c>
      <c r="T44" s="33">
        <v>42.7</v>
      </c>
      <c r="U44" s="40">
        <v>6.6</v>
      </c>
      <c r="V44" s="34">
        <v>22.2</v>
      </c>
      <c r="W44" s="40">
        <v>3.3</v>
      </c>
      <c r="X44" s="33"/>
      <c r="Y44" s="40"/>
      <c r="Z44" s="34"/>
      <c r="AA44" s="37"/>
    </row>
    <row r="45" spans="1:27" x14ac:dyDescent="0.2">
      <c r="A45" s="1" t="str" cm="1">
        <f t="array" ref="A45">IF(I45="","",IF(P45&lt;&gt;"",SUMPRODUCT((P$3:P$99&lt;&gt;"")*(G$3:G$99=G45)*(J$3:J$99&gt;J45)*(I$3:I$99="P"))+1,IF(O45&lt;&gt;"",SUMPRODUCT((O$3:O$99&lt;&gt;"")*(P$3:P$99="")*(G$3:G$99=G45)*(J$3:J$99&gt;J45)*(I$3:I$99="P"))+SUMPRODUCT((P$3:P$99&lt;&gt;"")*(G$3:G$99=G45)*(I$3:I$99="P"))+1,IF(N45&lt;&gt;"",SUMPRODUCT((N$3:N$99&lt;&gt;"")*(G$3:G$99=G45)*(J$3:J$99&gt;J45)*(I$3:I$99="P"))+1,IF(M45="P",SUMPRODUCT((O$3:O$99&lt;&gt;"")*(P$3:P$99="")*(G$3:G$99=G45)*(I$3:I$99="P"))+SUMPRODUCT((P$3:P$99&lt;&gt;"")*(G$3:G$99=G45)*(I$3:I$99="P"))+SUMPRODUCT((N$3:N$99&lt;&gt;"")*(G$3:G$99=G45)*(I$3:I$99="P"))+SUMPRODUCT((P$3:P$99="")*(O$3:O$99="")*(N$3:N$99="")*(M$3:M$99="P")*(G$3:G$99=G45)*(J$3:J$99&gt;J45)*(I$3:I$99="P"))+IF(H45="L5",SUMPRODUCT((P$3:P$99="")*(O$3:O$99="")*(N$3:N$99="")*(M$3:M$99="P")*(G$3:G$99=G45)*(J$3:J$99&lt;J45)*(H$3:H$99&lt;&gt;H45)*(I$3:I$99="P")),-1*SUMPRODUCT((P$3:P$99="")*(O$3:O$99="")*(N$3:N$99="")*(M$3:M$99="P")*(G$3:G$99=G45)*(J$3:J$99&gt;J45)*(H$3:H$99="L5")*(I$3:I$99="P")))+1,"")))))</f>
        <v/>
      </c>
      <c r="B45" s="1" t="str" cm="1">
        <f t="array" ref="B45">IF(P45&lt;&gt;"",SUMPRODUCT((P$3:P$99&lt;&gt;"")*(G$3:G$99=G45)*(J$3:J$99&gt;J45))+1,IF(O45&lt;&gt;"",SUMPRODUCT((O$3:O$99&lt;&gt;"")*(P$3:P$99="")*(G$3:G$99=G45)*(J$3:J$99&gt;J45))+SUMPRODUCT((P$3:P$99&lt;&gt;"")*(G$3:G$99=G45))+1,IF(N45&lt;&gt;"",SUMPRODUCT((N$3:N$99&lt;&gt;"")*(G$3:G$99=G45)*(J$3:J$99&gt;J45))+1,IF(M45="P",SUMPRODUCT((O$3:O$99&lt;&gt;"")*(P$3:P$99="")*(G$3:G$99=G45))+SUMPRODUCT((P$3:P$99&lt;&gt;"")*(G$3:G$99=G45))+SUMPRODUCT((N$3:N$99&lt;&gt;"")*(G$3:G$99=G45))+SUMPRODUCT((P$3:P$99="")*(O$3:O$99="")*(N$3:N$99="")*(M$3:M$99="P")*(G$3:G$99=G45)*(J$3:J$99&gt;J45))+IF(H45="L5",SUMPRODUCT((P$3:P$99="")*(O$3:O$99="")*(N$3:N$99="")*(M$3:M$99="P")*(G$3:G$99=G45)*(J$3:J$99&lt;J45)*(H$3:H$99&lt;&gt;H45)),-1*SUMPRODUCT((P$3:P$99="")*(O$3:O$99="")*(N$3:N$99="")*(M$3:M$99="P")*(G$3:G$99=G45)*(J$3:J$99&gt;J45)*(H$3:H$99="L5")))+1,""))))</f>
        <v/>
      </c>
      <c r="C45" s="36" t="s">
        <v>168</v>
      </c>
      <c r="D45" s="36" t="str">
        <f>IF(E45="","",VLOOKUP(E45,'Coaching Points'!A:B,2,0))</f>
        <v>AB</v>
      </c>
      <c r="E45" s="36" t="s">
        <v>64</v>
      </c>
      <c r="F45" s="35">
        <v>2005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66</v>
      </c>
      <c r="I45" s="43"/>
      <c r="J45" s="4">
        <f>R45+S45+IF(OR(H45="Junior",H45="Senior"),0.0002,IF(OR(H45="L7",H45="L6"),0.0001,0))+MAX(X45,Z45)*0.0000001</f>
        <v>60.900004110000005</v>
      </c>
      <c r="K45" s="3" t="str">
        <f>IF(G45="Not Age Eligible","",IF(MAX(T45,V45,X45,Z45)&gt;=LOOKUP(G45,'Qualifying Scores'!$A$4:$A$7,'Qualifying Scores'!$F$4:$F$7),"P",""))</f>
        <v/>
      </c>
      <c r="L45" s="3" t="str">
        <f>IF(G45="Not Age Eligible","",IF(MAX(U45,W45,Y45,AA45)&gt;=LOOKUP(G45,'Qualifying Scores'!$A$10:$A$13,'Qualifying Scores'!$F$10:$F$13),"P",""))</f>
        <v/>
      </c>
      <c r="M45" s="3" t="str">
        <f>IF(G45="Not Age Eligible","",IF(OR(AND(T45&gt;=LOOKUP(G45,'Qualifying Scores'!$A$4:$A$7,'Qualifying Scores'!$F$4:$F$7),U45&gt;=LOOKUP(G45,'Qualifying Scores'!$A$10:$A$13,'Qualifying Scores'!$F$10:$F$13)),AND(X45&gt;=LOOKUP(G45,'Qualifying Scores'!$A$4:$A$7,'Qualifying Scores'!$F$4:$F$7),Y45&gt;=LOOKUP(G45,'Qualifying Scores'!$A$10:$A$13,'Qualifying Scores'!$F$10:$F$13)),AND(V45&gt;=LOOKUP(G45,'Qualifying Scores'!$A$4:$A$7,'Qualifying Scores'!$F$4:$F$7),W45&gt;=LOOKUP(G45,'Qualifying Scores'!$A$10:$A$13,'Qualifying Scores'!$F$10:$F$13)),AND(Z45&gt;=LOOKUP(G45,'Qualifying Scores'!$A$4:$A$7,'Qualifying Scores'!$F$4:$F$7),AA45&gt;=LOOKUP(G45,'Qualifying Scores'!$A$10:$A$13,'Qualifying Scores'!$F$10:$F$13))),"P",""))</f>
        <v/>
      </c>
      <c r="Q45" s="1" t="str">
        <f>IF(A45&lt;5,IF(_xlfn.MAXIFS(A:A,G:G,G45)&gt;3,5-A45,_xlfn.MAXIFS(A:A,G:G,G45)+1-A45),"")</f>
        <v/>
      </c>
      <c r="R45" s="4">
        <f>MAX(T45,X45)</f>
        <v>41.1</v>
      </c>
      <c r="S45" s="4">
        <f>IF(R45=T45,MAX(V45,X45,Z45),IF(R45=X45,MAX(T45,V45,Z45),0))</f>
        <v>19.8</v>
      </c>
      <c r="T45" s="33">
        <v>19.8</v>
      </c>
      <c r="U45" s="40">
        <v>2.1</v>
      </c>
      <c r="V45" s="34"/>
      <c r="W45" s="40"/>
      <c r="X45" s="33">
        <v>41.1</v>
      </c>
      <c r="Y45" s="40">
        <v>4.8000000000000007</v>
      </c>
      <c r="Z45" s="34"/>
      <c r="AA45" s="37"/>
    </row>
    <row r="46" spans="1:27" x14ac:dyDescent="0.2">
      <c r="A46" s="1" t="str" cm="1">
        <f t="array" ref="A46">IF(I46="","",IF(P46&lt;&gt;"",SUMPRODUCT((P$3:P$99&lt;&gt;"")*(G$3:G$99=G46)*(J$3:J$99&gt;J46)*(I$3:I$99="P"))+1,IF(O46&lt;&gt;"",SUMPRODUCT((O$3:O$99&lt;&gt;"")*(P$3:P$99="")*(G$3:G$99=G46)*(J$3:J$99&gt;J46)*(I$3:I$99="P"))+SUMPRODUCT((P$3:P$99&lt;&gt;"")*(G$3:G$99=G46)*(I$3:I$99="P"))+1,IF(N46&lt;&gt;"",SUMPRODUCT((N$3:N$99&lt;&gt;"")*(G$3:G$99=G46)*(J$3:J$99&gt;J46)*(I$3:I$99="P"))+1,IF(M46="P",SUMPRODUCT((O$3:O$99&lt;&gt;"")*(P$3:P$99="")*(G$3:G$99=G46)*(I$3:I$99="P"))+SUMPRODUCT((P$3:P$99&lt;&gt;"")*(G$3:G$99=G46)*(I$3:I$99="P"))+SUMPRODUCT((N$3:N$99&lt;&gt;"")*(G$3:G$99=G46)*(I$3:I$99="P"))+SUMPRODUCT((P$3:P$99="")*(O$3:O$99="")*(N$3:N$99="")*(M$3:M$99="P")*(G$3:G$99=G46)*(J$3:J$99&gt;J46)*(I$3:I$99="P"))+IF(H46="L5",SUMPRODUCT((P$3:P$99="")*(O$3:O$99="")*(N$3:N$99="")*(M$3:M$99="P")*(G$3:G$99=G46)*(J$3:J$99&lt;J46)*(H$3:H$99&lt;&gt;H46)*(I$3:I$99="P")),-1*SUMPRODUCT((P$3:P$99="")*(O$3:O$99="")*(N$3:N$99="")*(M$3:M$99="P")*(G$3:G$99=G46)*(J$3:J$99&gt;J46)*(H$3:H$99="L5")*(I$3:I$99="P")))+1,"")))))</f>
        <v/>
      </c>
      <c r="B46" s="1" t="str" cm="1">
        <f t="array" ref="B46">IF(P46&lt;&gt;"",SUMPRODUCT((P$3:P$99&lt;&gt;"")*(G$3:G$99=G46)*(J$3:J$99&gt;J46))+1,IF(O46&lt;&gt;"",SUMPRODUCT((O$3:O$99&lt;&gt;"")*(P$3:P$99="")*(G$3:G$99=G46)*(J$3:J$99&gt;J46))+SUMPRODUCT((P$3:P$99&lt;&gt;"")*(G$3:G$99=G46))+1,IF(N46&lt;&gt;"",SUMPRODUCT((N$3:N$99&lt;&gt;"")*(G$3:G$99=G46)*(J$3:J$99&gt;J46))+1,IF(M46="P",SUMPRODUCT((O$3:O$99&lt;&gt;"")*(P$3:P$99="")*(G$3:G$99=G46))+SUMPRODUCT((P$3:P$99&lt;&gt;"")*(G$3:G$99=G46))+SUMPRODUCT((N$3:N$99&lt;&gt;"")*(G$3:G$99=G46))+SUMPRODUCT((P$3:P$99="")*(O$3:O$99="")*(N$3:N$99="")*(M$3:M$99="P")*(G$3:G$99=G46)*(J$3:J$99&gt;J46))+IF(H46="L5",SUMPRODUCT((P$3:P$99="")*(O$3:O$99="")*(N$3:N$99="")*(M$3:M$99="P")*(G$3:G$99=G46)*(J$3:J$99&lt;J46)*(H$3:H$99&lt;&gt;H46)),-1*SUMPRODUCT((P$3:P$99="")*(O$3:O$99="")*(N$3:N$99="")*(M$3:M$99="P")*(G$3:G$99=G46)*(J$3:J$99&gt;J46)*(H$3:H$99="L5")))+1,""))))</f>
        <v/>
      </c>
      <c r="C46" s="36" t="s">
        <v>435</v>
      </c>
      <c r="D46" s="36" t="str">
        <f>IF(E46="","",VLOOKUP(E46,'Coaching Points'!A:B,2,0))</f>
        <v>BC</v>
      </c>
      <c r="E46" s="36" t="s">
        <v>37</v>
      </c>
      <c r="F46" s="35">
        <v>2002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74</v>
      </c>
      <c r="I46" s="43"/>
      <c r="J46" s="4">
        <f>R46+S46+IF(OR(H46="Junior",H46="Senior"),0.0002,IF(OR(H46="L7",H46="L6"),0.0001,0))+MAX(X46,Z46)*0.0000001</f>
        <v>46.000204599999996</v>
      </c>
      <c r="K46" s="3" t="str">
        <f>IF(G46="Not Age Eligible","",IF(MAX(T46,V46,X46,Z46)&gt;=LOOKUP(G46,'Qualifying Scores'!$A$4:$A$7,'Qualifying Scores'!$F$4:$F$7),"P",""))</f>
        <v/>
      </c>
      <c r="L46" s="3" t="str">
        <f>IF(G46="Not Age Eligible","",IF(MAX(U46,W46,Y46,AA46)&gt;=LOOKUP(G46,'Qualifying Scores'!$A$10:$A$13,'Qualifying Scores'!$F$10:$F$13),"P",""))</f>
        <v>P</v>
      </c>
      <c r="M46" s="3" t="str">
        <f>IF(G46="Not Age Eligible","",IF(OR(AND(T46&gt;=LOOKUP(G46,'Qualifying Scores'!$A$4:$A$7,'Qualifying Scores'!$F$4:$F$7),U46&gt;=LOOKUP(G46,'Qualifying Scores'!$A$10:$A$13,'Qualifying Scores'!$F$10:$F$13)),AND(X46&gt;=LOOKUP(G46,'Qualifying Scores'!$A$4:$A$7,'Qualifying Scores'!$F$4:$F$7),Y46&gt;=LOOKUP(G46,'Qualifying Scores'!$A$10:$A$13,'Qualifying Scores'!$F$10:$F$13)),AND(V46&gt;=LOOKUP(G46,'Qualifying Scores'!$A$4:$A$7,'Qualifying Scores'!$F$4:$F$7),W46&gt;=LOOKUP(G46,'Qualifying Scores'!$A$10:$A$13,'Qualifying Scores'!$F$10:$F$13)),AND(Z46&gt;=LOOKUP(G46,'Qualifying Scores'!$A$4:$A$7,'Qualifying Scores'!$F$4:$F$7),AA46&gt;=LOOKUP(G46,'Qualifying Scores'!$A$10:$A$13,'Qualifying Scores'!$F$10:$F$13))),"P",""))</f>
        <v/>
      </c>
      <c r="Q46" s="1" t="str">
        <f>IF(A46&lt;5,IF(_xlfn.MAXIFS(A:A,G:G,G46)&gt;3,5-A46,_xlfn.MAXIFS(A:A,G:G,G46)+1-A46),"")</f>
        <v/>
      </c>
      <c r="R46" s="4">
        <f>MAX(T46,X46)</f>
        <v>46</v>
      </c>
      <c r="S46" s="4">
        <f>IF(R46=T46,MAX(V46,X46,Z46),IF(R46=X46,MAX(T46,V46,Z46),0))</f>
        <v>0</v>
      </c>
      <c r="T46" s="33"/>
      <c r="U46" s="40"/>
      <c r="V46" s="34"/>
      <c r="W46" s="40"/>
      <c r="X46" s="33">
        <v>46</v>
      </c>
      <c r="Y46" s="40">
        <v>12.4</v>
      </c>
      <c r="Z46" s="34"/>
      <c r="AA46" s="37"/>
    </row>
    <row r="47" spans="1:27" x14ac:dyDescent="0.2">
      <c r="A47" s="1" t="str" cm="1">
        <f t="array" ref="A47">IF(I47="","",IF(P47&lt;&gt;"",SUMPRODUCT((P$3:P$99&lt;&gt;"")*(G$3:G$99=G47)*(J$3:J$99&gt;J47)*(I$3:I$99="P"))+1,IF(O47&lt;&gt;"",SUMPRODUCT((O$3:O$99&lt;&gt;"")*(P$3:P$99="")*(G$3:G$99=G47)*(J$3:J$99&gt;J47)*(I$3:I$99="P"))+SUMPRODUCT((P$3:P$99&lt;&gt;"")*(G$3:G$99=G47)*(I$3:I$99="P"))+1,IF(N47&lt;&gt;"",SUMPRODUCT((N$3:N$99&lt;&gt;"")*(G$3:G$99=G47)*(J$3:J$99&gt;J47)*(I$3:I$99="P"))+1,IF(M47="P",SUMPRODUCT((O$3:O$99&lt;&gt;"")*(P$3:P$99="")*(G$3:G$99=G47)*(I$3:I$99="P"))+SUMPRODUCT((P$3:P$99&lt;&gt;"")*(G$3:G$99=G47)*(I$3:I$99="P"))+SUMPRODUCT((N$3:N$99&lt;&gt;"")*(G$3:G$99=G47)*(I$3:I$99="P"))+SUMPRODUCT((P$3:P$99="")*(O$3:O$99="")*(N$3:N$99="")*(M$3:M$99="P")*(G$3:G$99=G47)*(J$3:J$99&gt;J47)*(I$3:I$99="P"))+IF(H47="L5",SUMPRODUCT((P$3:P$99="")*(O$3:O$99="")*(N$3:N$99="")*(M$3:M$99="P")*(G$3:G$99=G47)*(J$3:J$99&lt;J47)*(H$3:H$99&lt;&gt;H47)*(I$3:I$99="P")),-1*SUMPRODUCT((P$3:P$99="")*(O$3:O$99="")*(N$3:N$99="")*(M$3:M$99="P")*(G$3:G$99=G47)*(J$3:J$99&gt;J47)*(H$3:H$99="L5")*(I$3:I$99="P")))+1,"")))))</f>
        <v/>
      </c>
      <c r="B47" s="1" t="str" cm="1">
        <f t="array" ref="B47">IF(P47&lt;&gt;"",SUMPRODUCT((P$3:P$99&lt;&gt;"")*(G$3:G$99=G47)*(J$3:J$99&gt;J47))+1,IF(O47&lt;&gt;"",SUMPRODUCT((O$3:O$99&lt;&gt;"")*(P$3:P$99="")*(G$3:G$99=G47)*(J$3:J$99&gt;J47))+SUMPRODUCT((P$3:P$99&lt;&gt;"")*(G$3:G$99=G47))+1,IF(N47&lt;&gt;"",SUMPRODUCT((N$3:N$99&lt;&gt;"")*(G$3:G$99=G47)*(J$3:J$99&gt;J47))+1,IF(M47="P",SUMPRODUCT((O$3:O$99&lt;&gt;"")*(P$3:P$99="")*(G$3:G$99=G47))+SUMPRODUCT((P$3:P$99&lt;&gt;"")*(G$3:G$99=G47))+SUMPRODUCT((N$3:N$99&lt;&gt;"")*(G$3:G$99=G47))+SUMPRODUCT((P$3:P$99="")*(O$3:O$99="")*(N$3:N$99="")*(M$3:M$99="P")*(G$3:G$99=G47)*(J$3:J$99&gt;J47))+IF(H47="L5",SUMPRODUCT((P$3:P$99="")*(O$3:O$99="")*(N$3:N$99="")*(M$3:M$99="P")*(G$3:G$99=G47)*(J$3:J$99&lt;J47)*(H$3:H$99&lt;&gt;H47)),-1*SUMPRODUCT((P$3:P$99="")*(O$3:O$99="")*(N$3:N$99="")*(M$3:M$99="P")*(G$3:G$99=G47)*(J$3:J$99&gt;J47)*(H$3:H$99="L5")))+1,""))))</f>
        <v/>
      </c>
      <c r="C47" s="36" t="s">
        <v>430</v>
      </c>
      <c r="D47" s="36" t="str">
        <f>IF(E47="","",VLOOKUP(E47,'Coaching Points'!A:B,2,0))</f>
        <v>AB</v>
      </c>
      <c r="E47" s="36" t="s">
        <v>64</v>
      </c>
      <c r="F47" s="35">
        <v>2004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68</v>
      </c>
      <c r="I47" s="43"/>
      <c r="J47" s="4">
        <f>R47+S47+IF(OR(H47="Junior",H47="Senior"),0.0002,IF(OR(H47="L7",H47="L6"),0.0001,0))+MAX(X47,Z47)*0.0000001</f>
        <v>44.40010444</v>
      </c>
      <c r="K47" s="3" t="str">
        <f>IF(G47="Not Age Eligible","",IF(MAX(T47,V47,X47,Z47)&gt;=LOOKUP(G47,'Qualifying Scores'!$A$4:$A$7,'Qualifying Scores'!$F$4:$F$7),"P",""))</f>
        <v/>
      </c>
      <c r="L47" s="3" t="str">
        <f>IF(G47="Not Age Eligible","",IF(MAX(U47,W47,Y47,AA47)&gt;=LOOKUP(G47,'Qualifying Scores'!$A$10:$A$13,'Qualifying Scores'!$F$10:$F$13),"P",""))</f>
        <v/>
      </c>
      <c r="M47" s="3" t="str">
        <f>IF(G47="Not Age Eligible","",IF(OR(AND(T47&gt;=LOOKUP(G47,'Qualifying Scores'!$A$4:$A$7,'Qualifying Scores'!$F$4:$F$7),U47&gt;=LOOKUP(G47,'Qualifying Scores'!$A$10:$A$13,'Qualifying Scores'!$F$10:$F$13)),AND(X47&gt;=LOOKUP(G47,'Qualifying Scores'!$A$4:$A$7,'Qualifying Scores'!$F$4:$F$7),Y47&gt;=LOOKUP(G47,'Qualifying Scores'!$A$10:$A$13,'Qualifying Scores'!$F$10:$F$13)),AND(V47&gt;=LOOKUP(G47,'Qualifying Scores'!$A$4:$A$7,'Qualifying Scores'!$F$4:$F$7),W47&gt;=LOOKUP(G47,'Qualifying Scores'!$A$10:$A$13,'Qualifying Scores'!$F$10:$F$13)),AND(Z47&gt;=LOOKUP(G47,'Qualifying Scores'!$A$4:$A$7,'Qualifying Scores'!$F$4:$F$7),AA47&gt;=LOOKUP(G47,'Qualifying Scores'!$A$10:$A$13,'Qualifying Scores'!$F$10:$F$13))),"P",""))</f>
        <v/>
      </c>
      <c r="Q47" s="1" t="str">
        <f>IF(A47&lt;5,IF(_xlfn.MAXIFS(A:A,G:G,G47)&gt;3,5-A47,_xlfn.MAXIFS(A:A,G:G,G47)+1-A47),"")</f>
        <v/>
      </c>
      <c r="R47" s="4">
        <f>MAX(T47,X47)</f>
        <v>44.4</v>
      </c>
      <c r="S47" s="4">
        <f>IF(R47=T47,MAX(V47,X47,Z47),IF(R47=X47,MAX(T47,V47,Z47),0))</f>
        <v>0</v>
      </c>
      <c r="T47" s="33"/>
      <c r="U47" s="40"/>
      <c r="V47" s="34"/>
      <c r="W47" s="40"/>
      <c r="X47" s="33">
        <v>44.4</v>
      </c>
      <c r="Y47" s="40">
        <v>9.8999999999999986</v>
      </c>
      <c r="Z47" s="34"/>
      <c r="AA47" s="37"/>
    </row>
    <row r="48" spans="1:27" x14ac:dyDescent="0.2">
      <c r="A48" s="1" t="str" cm="1">
        <f t="array" ref="A48">IF(I48="","",IF(P48&lt;&gt;"",SUMPRODUCT((P$3:P$99&lt;&gt;"")*(G$3:G$99=G48)*(J$3:J$99&gt;J48)*(I$3:I$99="P"))+1,IF(O48&lt;&gt;"",SUMPRODUCT((O$3:O$99&lt;&gt;"")*(P$3:P$99="")*(G$3:G$99=G48)*(J$3:J$99&gt;J48)*(I$3:I$99="P"))+SUMPRODUCT((P$3:P$99&lt;&gt;"")*(G$3:G$99=G48)*(I$3:I$99="P"))+1,IF(N48&lt;&gt;"",SUMPRODUCT((N$3:N$99&lt;&gt;"")*(G$3:G$99=G48)*(J$3:J$99&gt;J48)*(I$3:I$99="P"))+1,IF(M48="P",SUMPRODUCT((O$3:O$99&lt;&gt;"")*(P$3:P$99="")*(G$3:G$99=G48)*(I$3:I$99="P"))+SUMPRODUCT((P$3:P$99&lt;&gt;"")*(G$3:G$99=G48)*(I$3:I$99="P"))+SUMPRODUCT((N$3:N$99&lt;&gt;"")*(G$3:G$99=G48)*(I$3:I$99="P"))+SUMPRODUCT((P$3:P$99="")*(O$3:O$99="")*(N$3:N$99="")*(M$3:M$99="P")*(G$3:G$99=G48)*(J$3:J$99&gt;J48)*(I$3:I$99="P"))+IF(H48="L5",SUMPRODUCT((P$3:P$99="")*(O$3:O$99="")*(N$3:N$99="")*(M$3:M$99="P")*(G$3:G$99=G48)*(J$3:J$99&lt;J48)*(H$3:H$99&lt;&gt;H48)*(I$3:I$99="P")),-1*SUMPRODUCT((P$3:P$99="")*(O$3:O$99="")*(N$3:N$99="")*(M$3:M$99="P")*(G$3:G$99=G48)*(J$3:J$99&gt;J48)*(H$3:H$99="L5")*(I$3:I$99="P")))+1,"")))))</f>
        <v/>
      </c>
      <c r="B48" s="1" t="str" cm="1">
        <f t="array" ref="B48">IF(P48&lt;&gt;"",SUMPRODUCT((P$3:P$99&lt;&gt;"")*(G$3:G$99=G48)*(J$3:J$99&gt;J48))+1,IF(O48&lt;&gt;"",SUMPRODUCT((O$3:O$99&lt;&gt;"")*(P$3:P$99="")*(G$3:G$99=G48)*(J$3:J$99&gt;J48))+SUMPRODUCT((P$3:P$99&lt;&gt;"")*(G$3:G$99=G48))+1,IF(N48&lt;&gt;"",SUMPRODUCT((N$3:N$99&lt;&gt;"")*(G$3:G$99=G48)*(J$3:J$99&gt;J48))+1,IF(M48="P",SUMPRODUCT((O$3:O$99&lt;&gt;"")*(P$3:P$99="")*(G$3:G$99=G48))+SUMPRODUCT((P$3:P$99&lt;&gt;"")*(G$3:G$99=G48))+SUMPRODUCT((N$3:N$99&lt;&gt;"")*(G$3:G$99=G48))+SUMPRODUCT((P$3:P$99="")*(O$3:O$99="")*(N$3:N$99="")*(M$3:M$99="P")*(G$3:G$99=G48)*(J$3:J$99&gt;J48))+IF(H48="L5",SUMPRODUCT((P$3:P$99="")*(O$3:O$99="")*(N$3:N$99="")*(M$3:M$99="P")*(G$3:G$99=G48)*(J$3:J$99&lt;J48)*(H$3:H$99&lt;&gt;H48)),-1*SUMPRODUCT((P$3:P$99="")*(O$3:O$99="")*(N$3:N$99="")*(M$3:M$99="P")*(G$3:G$99=G48)*(J$3:J$99&gt;J48)*(H$3:H$99="L5")))+1,""))))</f>
        <v/>
      </c>
      <c r="C48" s="36" t="s">
        <v>427</v>
      </c>
      <c r="D48" s="36" t="str">
        <f>IF(E48="","",VLOOKUP(E48,'Coaching Points'!A:B,2,0))</f>
        <v>AB</v>
      </c>
      <c r="E48" s="36" t="s">
        <v>309</v>
      </c>
      <c r="F48" s="35">
        <v>2006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66</v>
      </c>
      <c r="I48" s="43"/>
      <c r="J48" s="4">
        <f>R48+S48+IF(OR(H48="Junior",H48="Senior"),0.0002,IF(OR(H48="L7",H48="L6"),0.0001,0))+MAX(X48,Z48)*0.0000001</f>
        <v>43.30000433</v>
      </c>
      <c r="K48" s="3" t="str">
        <f>IF(G48="Not Age Eligible","",IF(MAX(T48,V48,X48,Z48)&gt;=LOOKUP(G48,'Qualifying Scores'!$A$4:$A$7,'Qualifying Scores'!$F$4:$F$7),"P",""))</f>
        <v/>
      </c>
      <c r="L48" s="3" t="str">
        <f>IF(G48="Not Age Eligible","",IF(MAX(U48,W48,Y48,AA48)&gt;=LOOKUP(G48,'Qualifying Scores'!$A$10:$A$13,'Qualifying Scores'!$F$10:$F$13),"P",""))</f>
        <v/>
      </c>
      <c r="M48" s="3" t="str">
        <f>IF(G48="Not Age Eligible","",IF(OR(AND(T48&gt;=LOOKUP(G48,'Qualifying Scores'!$A$4:$A$7,'Qualifying Scores'!$F$4:$F$7),U48&gt;=LOOKUP(G48,'Qualifying Scores'!$A$10:$A$13,'Qualifying Scores'!$F$10:$F$13)),AND(X48&gt;=LOOKUP(G48,'Qualifying Scores'!$A$4:$A$7,'Qualifying Scores'!$F$4:$F$7),Y48&gt;=LOOKUP(G48,'Qualifying Scores'!$A$10:$A$13,'Qualifying Scores'!$F$10:$F$13)),AND(V48&gt;=LOOKUP(G48,'Qualifying Scores'!$A$4:$A$7,'Qualifying Scores'!$F$4:$F$7),W48&gt;=LOOKUP(G48,'Qualifying Scores'!$A$10:$A$13,'Qualifying Scores'!$F$10:$F$13)),AND(Z48&gt;=LOOKUP(G48,'Qualifying Scores'!$A$4:$A$7,'Qualifying Scores'!$F$4:$F$7),AA48&gt;=LOOKUP(G48,'Qualifying Scores'!$A$10:$A$13,'Qualifying Scores'!$F$10:$F$13))),"P",""))</f>
        <v/>
      </c>
      <c r="Q48" s="1" t="str">
        <f>IF(A48&lt;5,IF(_xlfn.MAXIFS(A:A,G:G,G48)&gt;3,5-A48,_xlfn.MAXIFS(A:A,G:G,G48)+1-A48),"")</f>
        <v/>
      </c>
      <c r="R48" s="4">
        <f>MAX(T48,X48)</f>
        <v>43.3</v>
      </c>
      <c r="S48" s="4">
        <f>IF(R48=T48,MAX(V48,X48,Z48),IF(R48=X48,MAX(T48,V48,Z48),0))</f>
        <v>0</v>
      </c>
      <c r="T48" s="33"/>
      <c r="U48" s="40"/>
      <c r="V48" s="34"/>
      <c r="W48" s="40"/>
      <c r="X48" s="33">
        <v>43.3</v>
      </c>
      <c r="Y48" s="40">
        <v>6.3000000000000007</v>
      </c>
      <c r="Z48" s="34"/>
      <c r="AA48" s="37"/>
    </row>
    <row r="49" spans="1:27" x14ac:dyDescent="0.2">
      <c r="A49" s="1" t="str" cm="1">
        <f t="array" ref="A49">IF(I49="","",IF(P49&lt;&gt;"",SUMPRODUCT((P$3:P$99&lt;&gt;"")*(G$3:G$99=G49)*(J$3:J$99&gt;J49)*(I$3:I$99="P"))+1,IF(O49&lt;&gt;"",SUMPRODUCT((O$3:O$99&lt;&gt;"")*(P$3:P$99="")*(G$3:G$99=G49)*(J$3:J$99&gt;J49)*(I$3:I$99="P"))+SUMPRODUCT((P$3:P$99&lt;&gt;"")*(G$3:G$99=G49)*(I$3:I$99="P"))+1,IF(N49&lt;&gt;"",SUMPRODUCT((N$3:N$99&lt;&gt;"")*(G$3:G$99=G49)*(J$3:J$99&gt;J49)*(I$3:I$99="P"))+1,IF(M49="P",SUMPRODUCT((O$3:O$99&lt;&gt;"")*(P$3:P$99="")*(G$3:G$99=G49)*(I$3:I$99="P"))+SUMPRODUCT((P$3:P$99&lt;&gt;"")*(G$3:G$99=G49)*(I$3:I$99="P"))+SUMPRODUCT((N$3:N$99&lt;&gt;"")*(G$3:G$99=G49)*(I$3:I$99="P"))+SUMPRODUCT((P$3:P$99="")*(O$3:O$99="")*(N$3:N$99="")*(M$3:M$99="P")*(G$3:G$99=G49)*(J$3:J$99&gt;J49)*(I$3:I$99="P"))+IF(H49="L5",SUMPRODUCT((P$3:P$99="")*(O$3:O$99="")*(N$3:N$99="")*(M$3:M$99="P")*(G$3:G$99=G49)*(J$3:J$99&lt;J49)*(H$3:H$99&lt;&gt;H49)*(I$3:I$99="P")),-1*SUMPRODUCT((P$3:P$99="")*(O$3:O$99="")*(N$3:N$99="")*(M$3:M$99="P")*(G$3:G$99=G49)*(J$3:J$99&gt;J49)*(H$3:H$99="L5")*(I$3:I$99="P")))+1,"")))))</f>
        <v/>
      </c>
      <c r="B49" s="1" t="str" cm="1">
        <f t="array" ref="B49">IF(P49&lt;&gt;"",SUMPRODUCT((P$3:P$99&lt;&gt;"")*(G$3:G$99=G49)*(J$3:J$99&gt;J49))+1,IF(O49&lt;&gt;"",SUMPRODUCT((O$3:O$99&lt;&gt;"")*(P$3:P$99="")*(G$3:G$99=G49)*(J$3:J$99&gt;J49))+SUMPRODUCT((P$3:P$99&lt;&gt;"")*(G$3:G$99=G49))+1,IF(N49&lt;&gt;"",SUMPRODUCT((N$3:N$99&lt;&gt;"")*(G$3:G$99=G49)*(J$3:J$99&gt;J49))+1,IF(M49="P",SUMPRODUCT((O$3:O$99&lt;&gt;"")*(P$3:P$99="")*(G$3:G$99=G49))+SUMPRODUCT((P$3:P$99&lt;&gt;"")*(G$3:G$99=G49))+SUMPRODUCT((N$3:N$99&lt;&gt;"")*(G$3:G$99=G49))+SUMPRODUCT((P$3:P$99="")*(O$3:O$99="")*(N$3:N$99="")*(M$3:M$99="P")*(G$3:G$99=G49)*(J$3:J$99&gt;J49))+IF(H49="L5",SUMPRODUCT((P$3:P$99="")*(O$3:O$99="")*(N$3:N$99="")*(M$3:M$99="P")*(G$3:G$99=G49)*(J$3:J$99&lt;J49)*(H$3:H$99&lt;&gt;H49)),-1*SUMPRODUCT((P$3:P$99="")*(O$3:O$99="")*(N$3:N$99="")*(M$3:M$99="P")*(G$3:G$99=G49)*(J$3:J$99&gt;J49)*(H$3:H$99="L5")))+1,""))))</f>
        <v/>
      </c>
      <c r="C49" s="36" t="s">
        <v>431</v>
      </c>
      <c r="D49" s="36" t="str">
        <f>IF(E49="","",VLOOKUP(E49,'Coaching Points'!A:B,2,0))</f>
        <v>QC</v>
      </c>
      <c r="E49" s="36" t="s">
        <v>96</v>
      </c>
      <c r="F49" s="35">
        <v>2006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66</v>
      </c>
      <c r="I49" s="43"/>
      <c r="J49" s="4">
        <f>R49+S49+IF(OR(H49="Junior",H49="Senior"),0.0002,IF(OR(H49="L7",H49="L6"),0.0001,0))+MAX(X49,Z49)*0.0000001</f>
        <v>43.100004310000003</v>
      </c>
      <c r="K49" s="3" t="str">
        <f>IF(G49="Not Age Eligible","",IF(MAX(T49,V49,X49,Z49)&gt;=LOOKUP(G49,'Qualifying Scores'!$A$4:$A$7,'Qualifying Scores'!$F$4:$F$7),"P",""))</f>
        <v/>
      </c>
      <c r="L49" s="3" t="str">
        <f>IF(G49="Not Age Eligible","",IF(MAX(U49,W49,Y49,AA49)&gt;=LOOKUP(G49,'Qualifying Scores'!$A$10:$A$13,'Qualifying Scores'!$F$10:$F$13),"P",""))</f>
        <v/>
      </c>
      <c r="M49" s="3" t="str">
        <f>IF(G49="Not Age Eligible","",IF(OR(AND(T49&gt;=LOOKUP(G49,'Qualifying Scores'!$A$4:$A$7,'Qualifying Scores'!$F$4:$F$7),U49&gt;=LOOKUP(G49,'Qualifying Scores'!$A$10:$A$13,'Qualifying Scores'!$F$10:$F$13)),AND(X49&gt;=LOOKUP(G49,'Qualifying Scores'!$A$4:$A$7,'Qualifying Scores'!$F$4:$F$7),Y49&gt;=LOOKUP(G49,'Qualifying Scores'!$A$10:$A$13,'Qualifying Scores'!$F$10:$F$13)),AND(V49&gt;=LOOKUP(G49,'Qualifying Scores'!$A$4:$A$7,'Qualifying Scores'!$F$4:$F$7),W49&gt;=LOOKUP(G49,'Qualifying Scores'!$A$10:$A$13,'Qualifying Scores'!$F$10:$F$13)),AND(Z49&gt;=LOOKUP(G49,'Qualifying Scores'!$A$4:$A$7,'Qualifying Scores'!$F$4:$F$7),AA49&gt;=LOOKUP(G49,'Qualifying Scores'!$A$10:$A$13,'Qualifying Scores'!$F$10:$F$13))),"P",""))</f>
        <v/>
      </c>
      <c r="Q49" s="1" t="str">
        <f>IF(A49&lt;5,IF(_xlfn.MAXIFS(A:A,G:G,G49)&gt;3,5-A49,_xlfn.MAXIFS(A:A,G:G,G49)+1-A49),"")</f>
        <v/>
      </c>
      <c r="R49" s="4">
        <f>MAX(T49,X49)</f>
        <v>43.1</v>
      </c>
      <c r="S49" s="4">
        <f>IF(R49=T49,MAX(V49,X49,Z49),IF(R49=X49,MAX(T49,V49,Z49),0))</f>
        <v>0</v>
      </c>
      <c r="T49" s="33"/>
      <c r="U49" s="40"/>
      <c r="V49" s="34"/>
      <c r="W49" s="40"/>
      <c r="X49" s="33">
        <v>43.1</v>
      </c>
      <c r="Y49" s="40">
        <v>6.5</v>
      </c>
      <c r="Z49" s="34"/>
      <c r="AA49" s="37"/>
    </row>
    <row r="50" spans="1:27" x14ac:dyDescent="0.2">
      <c r="A50" s="1" t="str" cm="1">
        <f t="array" ref="A50">IF(I50="","",IF(P50&lt;&gt;"",SUMPRODUCT((P$3:P$99&lt;&gt;"")*(G$3:G$99=G50)*(J$3:J$99&gt;J50)*(I$3:I$99="P"))+1,IF(O50&lt;&gt;"",SUMPRODUCT((O$3:O$99&lt;&gt;"")*(P$3:P$99="")*(G$3:G$99=G50)*(J$3:J$99&gt;J50)*(I$3:I$99="P"))+SUMPRODUCT((P$3:P$99&lt;&gt;"")*(G$3:G$99=G50)*(I$3:I$99="P"))+1,IF(N50&lt;&gt;"",SUMPRODUCT((N$3:N$99&lt;&gt;"")*(G$3:G$99=G50)*(J$3:J$99&gt;J50)*(I$3:I$99="P"))+1,IF(M50="P",SUMPRODUCT((O$3:O$99&lt;&gt;"")*(P$3:P$99="")*(G$3:G$99=G50)*(I$3:I$99="P"))+SUMPRODUCT((P$3:P$99&lt;&gt;"")*(G$3:G$99=G50)*(I$3:I$99="P"))+SUMPRODUCT((N$3:N$99&lt;&gt;"")*(G$3:G$99=G50)*(I$3:I$99="P"))+SUMPRODUCT((P$3:P$99="")*(O$3:O$99="")*(N$3:N$99="")*(M$3:M$99="P")*(G$3:G$99=G50)*(J$3:J$99&gt;J50)*(I$3:I$99="P"))+IF(H50="L5",SUMPRODUCT((P$3:P$99="")*(O$3:O$99="")*(N$3:N$99="")*(M$3:M$99="P")*(G$3:G$99=G50)*(J$3:J$99&lt;J50)*(H$3:H$99&lt;&gt;H50)*(I$3:I$99="P")),-1*SUMPRODUCT((P$3:P$99="")*(O$3:O$99="")*(N$3:N$99="")*(M$3:M$99="P")*(G$3:G$99=G50)*(J$3:J$99&gt;J50)*(H$3:H$99="L5")*(I$3:I$99="P")))+1,"")))))</f>
        <v/>
      </c>
      <c r="B50" s="1" t="str" cm="1">
        <f t="array" ref="B50">IF(P50&lt;&gt;"",SUMPRODUCT((P$3:P$99&lt;&gt;"")*(G$3:G$99=G50)*(J$3:J$99&gt;J50))+1,IF(O50&lt;&gt;"",SUMPRODUCT((O$3:O$99&lt;&gt;"")*(P$3:P$99="")*(G$3:G$99=G50)*(J$3:J$99&gt;J50))+SUMPRODUCT((P$3:P$99&lt;&gt;"")*(G$3:G$99=G50))+1,IF(N50&lt;&gt;"",SUMPRODUCT((N$3:N$99&lt;&gt;"")*(G$3:G$99=G50)*(J$3:J$99&gt;J50))+1,IF(M50="P",SUMPRODUCT((O$3:O$99&lt;&gt;"")*(P$3:P$99="")*(G$3:G$99=G50))+SUMPRODUCT((P$3:P$99&lt;&gt;"")*(G$3:G$99=G50))+SUMPRODUCT((N$3:N$99&lt;&gt;"")*(G$3:G$99=G50))+SUMPRODUCT((P$3:P$99="")*(O$3:O$99="")*(N$3:N$99="")*(M$3:M$99="P")*(G$3:G$99=G50)*(J$3:J$99&gt;J50))+IF(H50="L5",SUMPRODUCT((P$3:P$99="")*(O$3:O$99="")*(N$3:N$99="")*(M$3:M$99="P")*(G$3:G$99=G50)*(J$3:J$99&lt;J50)*(H$3:H$99&lt;&gt;H50)),-1*SUMPRODUCT((P$3:P$99="")*(O$3:O$99="")*(N$3:N$99="")*(M$3:M$99="P")*(G$3:G$99=G50)*(J$3:J$99&gt;J50)*(H$3:H$99="L5")))+1,""))))</f>
        <v/>
      </c>
      <c r="C50" s="36" t="s">
        <v>432</v>
      </c>
      <c r="D50" s="36" t="str">
        <f>IF(E50="","",VLOOKUP(E50,'Coaching Points'!A:B,2,0))</f>
        <v>BC</v>
      </c>
      <c r="E50" s="36" t="s">
        <v>62</v>
      </c>
      <c r="F50" s="35">
        <v>2006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66</v>
      </c>
      <c r="I50" s="43"/>
      <c r="J50" s="4">
        <f>R50+S50+IF(OR(H50="Junior",H50="Senior"),0.0002,IF(OR(H50="L7",H50="L6"),0.0001,0))+MAX(X50,Z50)*0.0000001</f>
        <v>42.000004199999999</v>
      </c>
      <c r="K50" s="3" t="str">
        <f>IF(G50="Not Age Eligible","",IF(MAX(T50,V50,X50,Z50)&gt;=LOOKUP(G50,'Qualifying Scores'!$A$4:$A$7,'Qualifying Scores'!$F$4:$F$7),"P",""))</f>
        <v/>
      </c>
      <c r="L50" s="3" t="str">
        <f>IF(G50="Not Age Eligible","",IF(MAX(U50,W50,Y50,AA50)&gt;=LOOKUP(G50,'Qualifying Scores'!$A$10:$A$13,'Qualifying Scores'!$F$10:$F$13),"P",""))</f>
        <v/>
      </c>
      <c r="M50" s="3" t="str">
        <f>IF(G50="Not Age Eligible","",IF(OR(AND(T50&gt;=LOOKUP(G50,'Qualifying Scores'!$A$4:$A$7,'Qualifying Scores'!$F$4:$F$7),U50&gt;=LOOKUP(G50,'Qualifying Scores'!$A$10:$A$13,'Qualifying Scores'!$F$10:$F$13)),AND(X50&gt;=LOOKUP(G50,'Qualifying Scores'!$A$4:$A$7,'Qualifying Scores'!$F$4:$F$7),Y50&gt;=LOOKUP(G50,'Qualifying Scores'!$A$10:$A$13,'Qualifying Scores'!$F$10:$F$13)),AND(V50&gt;=LOOKUP(G50,'Qualifying Scores'!$A$4:$A$7,'Qualifying Scores'!$F$4:$F$7),W50&gt;=LOOKUP(G50,'Qualifying Scores'!$A$10:$A$13,'Qualifying Scores'!$F$10:$F$13)),AND(Z50&gt;=LOOKUP(G50,'Qualifying Scores'!$A$4:$A$7,'Qualifying Scores'!$F$4:$F$7),AA50&gt;=LOOKUP(G50,'Qualifying Scores'!$A$10:$A$13,'Qualifying Scores'!$F$10:$F$13))),"P",""))</f>
        <v/>
      </c>
      <c r="Q50" s="1" t="str">
        <f>IF(A50&lt;5,IF(_xlfn.MAXIFS(A:A,G:G,G50)&gt;3,5-A50,_xlfn.MAXIFS(A:A,G:G,G50)+1-A50),"")</f>
        <v/>
      </c>
      <c r="R50" s="4">
        <f>MAX(T50,X50)</f>
        <v>42</v>
      </c>
      <c r="S50" s="4">
        <f>IF(R50=T50,MAX(V50,X50,Z50),IF(R50=X50,MAX(T50,V50,Z50),0))</f>
        <v>0</v>
      </c>
      <c r="T50" s="33"/>
      <c r="U50" s="40"/>
      <c r="V50" s="34"/>
      <c r="W50" s="40"/>
      <c r="X50" s="33">
        <v>42</v>
      </c>
      <c r="Y50" s="40">
        <v>5.9</v>
      </c>
      <c r="Z50" s="34"/>
      <c r="AA50" s="37"/>
    </row>
    <row r="51" spans="1:27" x14ac:dyDescent="0.2">
      <c r="A51" s="1" t="str" cm="1">
        <f t="array" ref="A51">IF(I51="","",IF(P51&lt;&gt;"",SUMPRODUCT((P$3:P$99&lt;&gt;"")*(G$3:G$99=G51)*(J$3:J$99&gt;J51)*(I$3:I$99="P"))+1,IF(O51&lt;&gt;"",SUMPRODUCT((O$3:O$99&lt;&gt;"")*(P$3:P$99="")*(G$3:G$99=G51)*(J$3:J$99&gt;J51)*(I$3:I$99="P"))+SUMPRODUCT((P$3:P$99&lt;&gt;"")*(G$3:G$99=G51)*(I$3:I$99="P"))+1,IF(N51&lt;&gt;"",SUMPRODUCT((N$3:N$99&lt;&gt;"")*(G$3:G$99=G51)*(J$3:J$99&gt;J51)*(I$3:I$99="P"))+1,IF(M51="P",SUMPRODUCT((O$3:O$99&lt;&gt;"")*(P$3:P$99="")*(G$3:G$99=G51)*(I$3:I$99="P"))+SUMPRODUCT((P$3:P$99&lt;&gt;"")*(G$3:G$99=G51)*(I$3:I$99="P"))+SUMPRODUCT((N$3:N$99&lt;&gt;"")*(G$3:G$99=G51)*(I$3:I$99="P"))+SUMPRODUCT((P$3:P$99="")*(O$3:O$99="")*(N$3:N$99="")*(M$3:M$99="P")*(G$3:G$99=G51)*(J$3:J$99&gt;J51)*(I$3:I$99="P"))+IF(H51="L5",SUMPRODUCT((P$3:P$99="")*(O$3:O$99="")*(N$3:N$99="")*(M$3:M$99="P")*(G$3:G$99=G51)*(J$3:J$99&lt;J51)*(H$3:H$99&lt;&gt;H51)*(I$3:I$99="P")),-1*SUMPRODUCT((P$3:P$99="")*(O$3:O$99="")*(N$3:N$99="")*(M$3:M$99="P")*(G$3:G$99=G51)*(J$3:J$99&gt;J51)*(H$3:H$99="L5")*(I$3:I$99="P")))+1,"")))))</f>
        <v/>
      </c>
      <c r="B51" s="1" t="str" cm="1">
        <f t="array" ref="B51">IF(P51&lt;&gt;"",SUMPRODUCT((P$3:P$99&lt;&gt;"")*(G$3:G$99=G51)*(J$3:J$99&gt;J51))+1,IF(O51&lt;&gt;"",SUMPRODUCT((O$3:O$99&lt;&gt;"")*(P$3:P$99="")*(G$3:G$99=G51)*(J$3:J$99&gt;J51))+SUMPRODUCT((P$3:P$99&lt;&gt;"")*(G$3:G$99=G51))+1,IF(N51&lt;&gt;"",SUMPRODUCT((N$3:N$99&lt;&gt;"")*(G$3:G$99=G51)*(J$3:J$99&gt;J51))+1,IF(M51="P",SUMPRODUCT((O$3:O$99&lt;&gt;"")*(P$3:P$99="")*(G$3:G$99=G51))+SUMPRODUCT((P$3:P$99&lt;&gt;"")*(G$3:G$99=G51))+SUMPRODUCT((N$3:N$99&lt;&gt;"")*(G$3:G$99=G51))+SUMPRODUCT((P$3:P$99="")*(O$3:O$99="")*(N$3:N$99="")*(M$3:M$99="P")*(G$3:G$99=G51)*(J$3:J$99&gt;J51))+IF(H51="L5",SUMPRODUCT((P$3:P$99="")*(O$3:O$99="")*(N$3:N$99="")*(M$3:M$99="P")*(G$3:G$99=G51)*(J$3:J$99&lt;J51)*(H$3:H$99&lt;&gt;H51)),-1*SUMPRODUCT((P$3:P$99="")*(O$3:O$99="")*(N$3:N$99="")*(M$3:M$99="P")*(G$3:G$99=G51)*(J$3:J$99&gt;J51)*(H$3:H$99="L5")))+1,""))))</f>
        <v/>
      </c>
      <c r="C51" s="36" t="s">
        <v>499</v>
      </c>
      <c r="D51" s="36" t="str">
        <f>IF(E51="","",VLOOKUP(E51,'Coaching Points'!A:B,2,0))</f>
        <v>BC</v>
      </c>
      <c r="E51" s="36" t="s">
        <v>439</v>
      </c>
      <c r="F51" s="35">
        <v>2005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66</v>
      </c>
      <c r="I51" s="43"/>
      <c r="J51" s="4">
        <f>R51+S51+IF(OR(H51="Junior",H51="Senior"),0.0002,IF(OR(H51="L7",H51="L6"),0.0001,0))+MAX(X51,Z51)*0.0000001</f>
        <v>41.900004189999997</v>
      </c>
      <c r="K51" s="3" t="str">
        <f>IF(G51="Not Age Eligible","",IF(MAX(T51,V51,X51,Z51)&gt;=LOOKUP(G51,'Qualifying Scores'!$A$4:$A$7,'Qualifying Scores'!$F$4:$F$7),"P",""))</f>
        <v/>
      </c>
      <c r="L51" s="3" t="str">
        <f>IF(G51="Not Age Eligible","",IF(MAX(U51,W51,Y51,AA51)&gt;=LOOKUP(G51,'Qualifying Scores'!$A$10:$A$13,'Qualifying Scores'!$F$10:$F$13),"P",""))</f>
        <v/>
      </c>
      <c r="M51" s="3" t="str">
        <f>IF(G51="Not Age Eligible","",IF(OR(AND(T51&gt;=LOOKUP(G51,'Qualifying Scores'!$A$4:$A$7,'Qualifying Scores'!$F$4:$F$7),U51&gt;=LOOKUP(G51,'Qualifying Scores'!$A$10:$A$13,'Qualifying Scores'!$F$10:$F$13)),AND(X51&gt;=LOOKUP(G51,'Qualifying Scores'!$A$4:$A$7,'Qualifying Scores'!$F$4:$F$7),Y51&gt;=LOOKUP(G51,'Qualifying Scores'!$A$10:$A$13,'Qualifying Scores'!$F$10:$F$13)),AND(V51&gt;=LOOKUP(G51,'Qualifying Scores'!$A$4:$A$7,'Qualifying Scores'!$F$4:$F$7),W51&gt;=LOOKUP(G51,'Qualifying Scores'!$A$10:$A$13,'Qualifying Scores'!$F$10:$F$13)),AND(Z51&gt;=LOOKUP(G51,'Qualifying Scores'!$A$4:$A$7,'Qualifying Scores'!$F$4:$F$7),AA51&gt;=LOOKUP(G51,'Qualifying Scores'!$A$10:$A$13,'Qualifying Scores'!$F$10:$F$13))),"P",""))</f>
        <v/>
      </c>
      <c r="Q51" s="1" t="str">
        <f>IF(A51&lt;5,IF(_xlfn.MAXIFS(A:A,G:G,G51)&gt;3,5-A51,_xlfn.MAXIFS(A:A,G:G,G51)+1-A51),"")</f>
        <v/>
      </c>
      <c r="R51" s="4">
        <f>MAX(T51,X51)</f>
        <v>41.9</v>
      </c>
      <c r="S51" s="4">
        <f>IF(R51=T51,MAX(V51,X51,Z51),IF(R51=X51,MAX(T51,V51,Z51),0))</f>
        <v>0</v>
      </c>
      <c r="T51" s="33"/>
      <c r="U51" s="40"/>
      <c r="V51" s="34"/>
      <c r="W51" s="40"/>
      <c r="X51" s="33">
        <v>41.9</v>
      </c>
      <c r="Y51" s="40">
        <v>5.7</v>
      </c>
      <c r="Z51" s="34"/>
      <c r="AA51" s="37"/>
    </row>
    <row r="52" spans="1:27" x14ac:dyDescent="0.2">
      <c r="A52" s="1" t="str" cm="1">
        <f t="array" ref="A52">IF(I52="","",IF(P52&lt;&gt;"",SUMPRODUCT((P$3:P$99&lt;&gt;"")*(G$3:G$99=G52)*(J$3:J$99&gt;J52)*(I$3:I$99="P"))+1,IF(O52&lt;&gt;"",SUMPRODUCT((O$3:O$99&lt;&gt;"")*(P$3:P$99="")*(G$3:G$99=G52)*(J$3:J$99&gt;J52)*(I$3:I$99="P"))+SUMPRODUCT((P$3:P$99&lt;&gt;"")*(G$3:G$99=G52)*(I$3:I$99="P"))+1,IF(N52&lt;&gt;"",SUMPRODUCT((N$3:N$99&lt;&gt;"")*(G$3:G$99=G52)*(J$3:J$99&gt;J52)*(I$3:I$99="P"))+1,IF(M52="P",SUMPRODUCT((O$3:O$99&lt;&gt;"")*(P$3:P$99="")*(G$3:G$99=G52)*(I$3:I$99="P"))+SUMPRODUCT((P$3:P$99&lt;&gt;"")*(G$3:G$99=G52)*(I$3:I$99="P"))+SUMPRODUCT((N$3:N$99&lt;&gt;"")*(G$3:G$99=G52)*(I$3:I$99="P"))+SUMPRODUCT((P$3:P$99="")*(O$3:O$99="")*(N$3:N$99="")*(M$3:M$99="P")*(G$3:G$99=G52)*(J$3:J$99&gt;J52)*(I$3:I$99="P"))+IF(H52="L5",SUMPRODUCT((P$3:P$99="")*(O$3:O$99="")*(N$3:N$99="")*(M$3:M$99="P")*(G$3:G$99=G52)*(J$3:J$99&lt;J52)*(H$3:H$99&lt;&gt;H52)*(I$3:I$99="P")),-1*SUMPRODUCT((P$3:P$99="")*(O$3:O$99="")*(N$3:N$99="")*(M$3:M$99="P")*(G$3:G$99=G52)*(J$3:J$99&gt;J52)*(H$3:H$99="L5")*(I$3:I$99="P")))+1,"")))))</f>
        <v/>
      </c>
      <c r="B52" s="1" t="str" cm="1">
        <f t="array" ref="B52">IF(P52&lt;&gt;"",SUMPRODUCT((P$3:P$99&lt;&gt;"")*(G$3:G$99=G52)*(J$3:J$99&gt;J52))+1,IF(O52&lt;&gt;"",SUMPRODUCT((O$3:O$99&lt;&gt;"")*(P$3:P$99="")*(G$3:G$99=G52)*(J$3:J$99&gt;J52))+SUMPRODUCT((P$3:P$99&lt;&gt;"")*(G$3:G$99=G52))+1,IF(N52&lt;&gt;"",SUMPRODUCT((N$3:N$99&lt;&gt;"")*(G$3:G$99=G52)*(J$3:J$99&gt;J52))+1,IF(M52="P",SUMPRODUCT((O$3:O$99&lt;&gt;"")*(P$3:P$99="")*(G$3:G$99=G52))+SUMPRODUCT((P$3:P$99&lt;&gt;"")*(G$3:G$99=G52))+SUMPRODUCT((N$3:N$99&lt;&gt;"")*(G$3:G$99=G52))+SUMPRODUCT((P$3:P$99="")*(O$3:O$99="")*(N$3:N$99="")*(M$3:M$99="P")*(G$3:G$99=G52)*(J$3:J$99&gt;J52))+IF(H52="L5",SUMPRODUCT((P$3:P$99="")*(O$3:O$99="")*(N$3:N$99="")*(M$3:M$99="P")*(G$3:G$99=G52)*(J$3:J$99&lt;J52)*(H$3:H$99&lt;&gt;H52)),-1*SUMPRODUCT((P$3:P$99="")*(O$3:O$99="")*(N$3:N$99="")*(M$3:M$99="P")*(G$3:G$99=G52)*(J$3:J$99&gt;J52)*(H$3:H$99="L5")))+1,""))))</f>
        <v/>
      </c>
      <c r="C52" s="36" t="s">
        <v>230</v>
      </c>
      <c r="D52" s="36" t="str">
        <f>IF(E52="","",VLOOKUP(E52,'Coaching Points'!A:B,2,0))</f>
        <v>BC</v>
      </c>
      <c r="E52" s="36" t="s">
        <v>439</v>
      </c>
      <c r="F52" s="35">
        <v>2005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9" t="s">
        <v>66</v>
      </c>
      <c r="I52" s="43"/>
      <c r="J52" s="4">
        <f>R52+S52+IF(OR(H52="Junior",H52="Senior"),0.0002,IF(OR(H52="L7",H52="L6"),0.0001,0))+MAX(X52,Z52)*0.0000001</f>
        <v>40.700000000000003</v>
      </c>
      <c r="K52" s="3" t="str">
        <f>IF(G52="Not Age Eligible","",IF(MAX(T52,V52,X52,Z52)&gt;=LOOKUP(G52,'Qualifying Scores'!$A$4:$A$7,'Qualifying Scores'!$F$4:$F$7),"P",""))</f>
        <v/>
      </c>
      <c r="L52" s="3" t="str">
        <f>IF(G52="Not Age Eligible","",IF(MAX(U52,W52,Y52,AA52)&gt;=LOOKUP(G52,'Qualifying Scores'!$A$10:$A$13,'Qualifying Scores'!$F$10:$F$13),"P",""))</f>
        <v/>
      </c>
      <c r="M52" s="3" t="str">
        <f>IF(G52="Not Age Eligible","",IF(OR(AND(T52&gt;=LOOKUP(G52,'Qualifying Scores'!$A$4:$A$7,'Qualifying Scores'!$F$4:$F$7),U52&gt;=LOOKUP(G52,'Qualifying Scores'!$A$10:$A$13,'Qualifying Scores'!$F$10:$F$13)),AND(X52&gt;=LOOKUP(G52,'Qualifying Scores'!$A$4:$A$7,'Qualifying Scores'!$F$4:$F$7),Y52&gt;=LOOKUP(G52,'Qualifying Scores'!$A$10:$A$13,'Qualifying Scores'!$F$10:$F$13)),AND(V52&gt;=LOOKUP(G52,'Qualifying Scores'!$A$4:$A$7,'Qualifying Scores'!$F$4:$F$7),W52&gt;=LOOKUP(G52,'Qualifying Scores'!$A$10:$A$13,'Qualifying Scores'!$F$10:$F$13)),AND(Z52&gt;=LOOKUP(G52,'Qualifying Scores'!$A$4:$A$7,'Qualifying Scores'!$F$4:$F$7),AA52&gt;=LOOKUP(G52,'Qualifying Scores'!$A$10:$A$13,'Qualifying Scores'!$F$10:$F$13))),"P",""))</f>
        <v/>
      </c>
      <c r="Q52" s="1" t="str">
        <f>IF(A52&lt;5,IF(_xlfn.MAXIFS(A:A,G:G,G52)&gt;3,5-A52,_xlfn.MAXIFS(A:A,G:G,G52)+1-A52),"")</f>
        <v/>
      </c>
      <c r="R52" s="4">
        <f>MAX(T52,X52)</f>
        <v>40.700000000000003</v>
      </c>
      <c r="S52" s="4">
        <f>IF(R52=T52,MAX(V52,X52,Z52),IF(R52=X52,MAX(T52,V52,Z52),0))</f>
        <v>0</v>
      </c>
      <c r="T52" s="33">
        <v>40.700000000000003</v>
      </c>
      <c r="U52" s="40">
        <v>4.9000000000000004</v>
      </c>
      <c r="V52" s="34"/>
      <c r="W52" s="40"/>
      <c r="X52" s="33"/>
      <c r="Y52" s="40"/>
      <c r="Z52" s="34"/>
      <c r="AA52" s="37"/>
    </row>
    <row r="53" spans="1:27" x14ac:dyDescent="0.2">
      <c r="A53" s="1" t="str" cm="1">
        <f t="array" ref="A53">IF(I53="","",IF(P53&lt;&gt;"",SUMPRODUCT((P$3:P$99&lt;&gt;"")*(G$3:G$99=G53)*(J$3:J$99&gt;J53)*(I$3:I$99="P"))+1,IF(O53&lt;&gt;"",SUMPRODUCT((O$3:O$99&lt;&gt;"")*(P$3:P$99="")*(G$3:G$99=G53)*(J$3:J$99&gt;J53)*(I$3:I$99="P"))+SUMPRODUCT((P$3:P$99&lt;&gt;"")*(G$3:G$99=G53)*(I$3:I$99="P"))+1,IF(N53&lt;&gt;"",SUMPRODUCT((N$3:N$99&lt;&gt;"")*(G$3:G$99=G53)*(J$3:J$99&gt;J53)*(I$3:I$99="P"))+1,IF(M53="P",SUMPRODUCT((O$3:O$99&lt;&gt;"")*(P$3:P$99="")*(G$3:G$99=G53)*(I$3:I$99="P"))+SUMPRODUCT((P$3:P$99&lt;&gt;"")*(G$3:G$99=G53)*(I$3:I$99="P"))+SUMPRODUCT((N$3:N$99&lt;&gt;"")*(G$3:G$99=G53)*(I$3:I$99="P"))+SUMPRODUCT((P$3:P$99="")*(O$3:O$99="")*(N$3:N$99="")*(M$3:M$99="P")*(G$3:G$99=G53)*(J$3:J$99&gt;J53)*(I$3:I$99="P"))+IF(H53="L5",SUMPRODUCT((P$3:P$99="")*(O$3:O$99="")*(N$3:N$99="")*(M$3:M$99="P")*(G$3:G$99=G53)*(J$3:J$99&lt;J53)*(H$3:H$99&lt;&gt;H53)*(I$3:I$99="P")),-1*SUMPRODUCT((P$3:P$99="")*(O$3:O$99="")*(N$3:N$99="")*(M$3:M$99="P")*(G$3:G$99=G53)*(J$3:J$99&gt;J53)*(H$3:H$99="L5")*(I$3:I$99="P")))+1,"")))))</f>
        <v/>
      </c>
      <c r="B53" s="1" t="str" cm="1">
        <f t="array" ref="B53">IF(P53&lt;&gt;"",SUMPRODUCT((P$3:P$99&lt;&gt;"")*(G$3:G$99=G53)*(J$3:J$99&gt;J53))+1,IF(O53&lt;&gt;"",SUMPRODUCT((O$3:O$99&lt;&gt;"")*(P$3:P$99="")*(G$3:G$99=G53)*(J$3:J$99&gt;J53))+SUMPRODUCT((P$3:P$99&lt;&gt;"")*(G$3:G$99=G53))+1,IF(N53&lt;&gt;"",SUMPRODUCT((N$3:N$99&lt;&gt;"")*(G$3:G$99=G53)*(J$3:J$99&gt;J53))+1,IF(M53="P",SUMPRODUCT((O$3:O$99&lt;&gt;"")*(P$3:P$99="")*(G$3:G$99=G53))+SUMPRODUCT((P$3:P$99&lt;&gt;"")*(G$3:G$99=G53))+SUMPRODUCT((N$3:N$99&lt;&gt;"")*(G$3:G$99=G53))+SUMPRODUCT((P$3:P$99="")*(O$3:O$99="")*(N$3:N$99="")*(M$3:M$99="P")*(G$3:G$99=G53)*(J$3:J$99&gt;J53))+IF(H53="L5",SUMPRODUCT((P$3:P$99="")*(O$3:O$99="")*(N$3:N$99="")*(M$3:M$99="P")*(G$3:G$99=G53)*(J$3:J$99&lt;J53)*(H$3:H$99&lt;&gt;H53)),-1*SUMPRODUCT((P$3:P$99="")*(O$3:O$99="")*(N$3:N$99="")*(M$3:M$99="P")*(G$3:G$99=G53)*(J$3:J$99&gt;J53)*(H$3:H$99="L5")))+1,""))))</f>
        <v/>
      </c>
      <c r="C53" s="36" t="s">
        <v>500</v>
      </c>
      <c r="D53" s="36" t="str">
        <f>IF(E53="","",VLOOKUP(E53,'Coaching Points'!A:B,2,0))</f>
        <v>ON</v>
      </c>
      <c r="E53" s="36" t="s">
        <v>47</v>
      </c>
      <c r="F53" s="35">
        <v>2006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9" t="s">
        <v>66</v>
      </c>
      <c r="I53" s="43"/>
      <c r="J53" s="4">
        <f>R53+S53+IF(OR(H53="Junior",H53="Senior"),0.0002,IF(OR(H53="L7",H53="L6"),0.0001,0))+MAX(X53,Z53)*0.0000001</f>
        <v>39.900003990000002</v>
      </c>
      <c r="K53" s="3" t="str">
        <f>IF(G53="Not Age Eligible","",IF(MAX(T53,V53,X53,Z53)&gt;=LOOKUP(G53,'Qualifying Scores'!$A$4:$A$7,'Qualifying Scores'!$F$4:$F$7),"P",""))</f>
        <v/>
      </c>
      <c r="L53" s="3" t="str">
        <f>IF(G53="Not Age Eligible","",IF(MAX(U53,W53,Y53,AA53)&gt;=LOOKUP(G53,'Qualifying Scores'!$A$10:$A$13,'Qualifying Scores'!$F$10:$F$13),"P",""))</f>
        <v/>
      </c>
      <c r="M53" s="3" t="str">
        <f>IF(G53="Not Age Eligible","",IF(OR(AND(T53&gt;=LOOKUP(G53,'Qualifying Scores'!$A$4:$A$7,'Qualifying Scores'!$F$4:$F$7),U53&gt;=LOOKUP(G53,'Qualifying Scores'!$A$10:$A$13,'Qualifying Scores'!$F$10:$F$13)),AND(X53&gt;=LOOKUP(G53,'Qualifying Scores'!$A$4:$A$7,'Qualifying Scores'!$F$4:$F$7),Y53&gt;=LOOKUP(G53,'Qualifying Scores'!$A$10:$A$13,'Qualifying Scores'!$F$10:$F$13)),AND(V53&gt;=LOOKUP(G53,'Qualifying Scores'!$A$4:$A$7,'Qualifying Scores'!$F$4:$F$7),W53&gt;=LOOKUP(G53,'Qualifying Scores'!$A$10:$A$13,'Qualifying Scores'!$F$10:$F$13)),AND(Z53&gt;=LOOKUP(G53,'Qualifying Scores'!$A$4:$A$7,'Qualifying Scores'!$F$4:$F$7),AA53&gt;=LOOKUP(G53,'Qualifying Scores'!$A$10:$A$13,'Qualifying Scores'!$F$10:$F$13))),"P",""))</f>
        <v/>
      </c>
      <c r="Q53" s="1" t="str">
        <f>IF(A53&lt;5,IF(_xlfn.MAXIFS(A:A,G:G,G53)&gt;3,5-A53,_xlfn.MAXIFS(A:A,G:G,G53)+1-A53),"")</f>
        <v/>
      </c>
      <c r="R53" s="4">
        <f>MAX(T53,X53)</f>
        <v>39.9</v>
      </c>
      <c r="S53" s="4">
        <f>IF(R53=T53,MAX(V53,X53,Z53),IF(R53=X53,MAX(T53,V53,Z53),0))</f>
        <v>0</v>
      </c>
      <c r="T53" s="33"/>
      <c r="U53" s="40"/>
      <c r="V53" s="34"/>
      <c r="W53" s="40"/>
      <c r="X53" s="33">
        <v>39.9</v>
      </c>
      <c r="Y53" s="40">
        <v>3.9000000000000004</v>
      </c>
      <c r="Z53" s="34"/>
      <c r="AA53" s="37"/>
    </row>
    <row r="54" spans="1:27" x14ac:dyDescent="0.2">
      <c r="A54" s="1" t="str" cm="1">
        <f t="array" ref="A54">IF(I54="","",IF(P54&lt;&gt;"",SUMPRODUCT((P$3:P$99&lt;&gt;"")*(G$3:G$99=G54)*(J$3:J$99&gt;J54)*(I$3:I$99="P"))+1,IF(O54&lt;&gt;"",SUMPRODUCT((O$3:O$99&lt;&gt;"")*(P$3:P$99="")*(G$3:G$99=G54)*(J$3:J$99&gt;J54)*(I$3:I$99="P"))+SUMPRODUCT((P$3:P$99&lt;&gt;"")*(G$3:G$99=G54)*(I$3:I$99="P"))+1,IF(N54&lt;&gt;"",SUMPRODUCT((N$3:N$99&lt;&gt;"")*(G$3:G$99=G54)*(J$3:J$99&gt;J54)*(I$3:I$99="P"))+1,IF(M54="P",SUMPRODUCT((O$3:O$99&lt;&gt;"")*(P$3:P$99="")*(G$3:G$99=G54)*(I$3:I$99="P"))+SUMPRODUCT((P$3:P$99&lt;&gt;"")*(G$3:G$99=G54)*(I$3:I$99="P"))+SUMPRODUCT((N$3:N$99&lt;&gt;"")*(G$3:G$99=G54)*(I$3:I$99="P"))+SUMPRODUCT((P$3:P$99="")*(O$3:O$99="")*(N$3:N$99="")*(M$3:M$99="P")*(G$3:G$99=G54)*(J$3:J$99&gt;J54)*(I$3:I$99="P"))+IF(H54="L5",SUMPRODUCT((P$3:P$99="")*(O$3:O$99="")*(N$3:N$99="")*(M$3:M$99="P")*(G$3:G$99=G54)*(J$3:J$99&lt;J54)*(H$3:H$99&lt;&gt;H54)*(I$3:I$99="P")),-1*SUMPRODUCT((P$3:P$99="")*(O$3:O$99="")*(N$3:N$99="")*(M$3:M$99="P")*(G$3:G$99=G54)*(J$3:J$99&gt;J54)*(H$3:H$99="L5")*(I$3:I$99="P")))+1,"")))))</f>
        <v/>
      </c>
      <c r="B54" s="1" t="str" cm="1">
        <f t="array" ref="B54">IF(P54&lt;&gt;"",SUMPRODUCT((P$3:P$99&lt;&gt;"")*(G$3:G$99=G54)*(J$3:J$99&gt;J54))+1,IF(O54&lt;&gt;"",SUMPRODUCT((O$3:O$99&lt;&gt;"")*(P$3:P$99="")*(G$3:G$99=G54)*(J$3:J$99&gt;J54))+SUMPRODUCT((P$3:P$99&lt;&gt;"")*(G$3:G$99=G54))+1,IF(N54&lt;&gt;"",SUMPRODUCT((N$3:N$99&lt;&gt;"")*(G$3:G$99=G54)*(J$3:J$99&gt;J54))+1,IF(M54="P",SUMPRODUCT((O$3:O$99&lt;&gt;"")*(P$3:P$99="")*(G$3:G$99=G54))+SUMPRODUCT((P$3:P$99&lt;&gt;"")*(G$3:G$99=G54))+SUMPRODUCT((N$3:N$99&lt;&gt;"")*(G$3:G$99=G54))+SUMPRODUCT((P$3:P$99="")*(O$3:O$99="")*(N$3:N$99="")*(M$3:M$99="P")*(G$3:G$99=G54)*(J$3:J$99&gt;J54))+IF(H54="L5",SUMPRODUCT((P$3:P$99="")*(O$3:O$99="")*(N$3:N$99="")*(M$3:M$99="P")*(G$3:G$99=G54)*(J$3:J$99&lt;J54)*(H$3:H$99&lt;&gt;H54)),-1*SUMPRODUCT((P$3:P$99="")*(O$3:O$99="")*(N$3:N$99="")*(M$3:M$99="P")*(G$3:G$99=G54)*(J$3:J$99&gt;J54)*(H$3:H$99="L5")))+1,""))))</f>
        <v/>
      </c>
      <c r="C54" s="36" t="s">
        <v>429</v>
      </c>
      <c r="D54" s="36" t="str">
        <f>IF(E54="","",VLOOKUP(E54,'Coaching Points'!A:B,2,0))</f>
        <v>BC</v>
      </c>
      <c r="E54" s="36" t="s">
        <v>37</v>
      </c>
      <c r="F54" s="35">
        <v>2004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9" t="s">
        <v>68</v>
      </c>
      <c r="I54" s="43"/>
      <c r="J54" s="4">
        <f>R54+S54+IF(OR(H54="Junior",H54="Senior"),0.0002,IF(OR(H54="L7",H54="L6"),0.0001,0))+MAX(X54,Z54)*0.0000001</f>
        <v>38.600103860000004</v>
      </c>
      <c r="K54" s="3" t="str">
        <f>IF(G54="Not Age Eligible","",IF(MAX(T54,V54,X54,Z54)&gt;=LOOKUP(G54,'Qualifying Scores'!$A$4:$A$7,'Qualifying Scores'!$F$4:$F$7),"P",""))</f>
        <v/>
      </c>
      <c r="L54" s="3" t="str">
        <f>IF(G54="Not Age Eligible","",IF(MAX(U54,W54,Y54,AA54)&gt;=LOOKUP(G54,'Qualifying Scores'!$A$10:$A$13,'Qualifying Scores'!$F$10:$F$13),"P",""))</f>
        <v/>
      </c>
      <c r="M54" s="3" t="str">
        <f>IF(G54="Not Age Eligible","",IF(OR(AND(T54&gt;=LOOKUP(G54,'Qualifying Scores'!$A$4:$A$7,'Qualifying Scores'!$F$4:$F$7),U54&gt;=LOOKUP(G54,'Qualifying Scores'!$A$10:$A$13,'Qualifying Scores'!$F$10:$F$13)),AND(X54&gt;=LOOKUP(G54,'Qualifying Scores'!$A$4:$A$7,'Qualifying Scores'!$F$4:$F$7),Y54&gt;=LOOKUP(G54,'Qualifying Scores'!$A$10:$A$13,'Qualifying Scores'!$F$10:$F$13)),AND(V54&gt;=LOOKUP(G54,'Qualifying Scores'!$A$4:$A$7,'Qualifying Scores'!$F$4:$F$7),W54&gt;=LOOKUP(G54,'Qualifying Scores'!$A$10:$A$13,'Qualifying Scores'!$F$10:$F$13)),AND(Z54&gt;=LOOKUP(G54,'Qualifying Scores'!$A$4:$A$7,'Qualifying Scores'!$F$4:$F$7),AA54&gt;=LOOKUP(G54,'Qualifying Scores'!$A$10:$A$13,'Qualifying Scores'!$F$10:$F$13))),"P",""))</f>
        <v/>
      </c>
      <c r="Q54" s="1" t="str">
        <f>IF(A54&lt;5,IF(_xlfn.MAXIFS(A:A,G:G,G54)&gt;3,5-A54,_xlfn.MAXIFS(A:A,G:G,G54)+1-A54),"")</f>
        <v/>
      </c>
      <c r="R54" s="4">
        <f>MAX(T54,X54)</f>
        <v>38.6</v>
      </c>
      <c r="S54" s="4">
        <f>IF(R54=T54,MAX(V54,X54,Z54),IF(R54=X54,MAX(T54,V54,Z54),0))</f>
        <v>0</v>
      </c>
      <c r="T54" s="33"/>
      <c r="U54" s="40"/>
      <c r="V54" s="34"/>
      <c r="W54" s="40"/>
      <c r="X54" s="33">
        <v>38.6</v>
      </c>
      <c r="Y54" s="40">
        <v>5.2</v>
      </c>
      <c r="Z54" s="34"/>
      <c r="AA54" s="37"/>
    </row>
    <row r="55" spans="1:27" x14ac:dyDescent="0.2">
      <c r="A55" s="1" t="str" cm="1">
        <f t="array" ref="A55">IF(I55="","",IF(P55&lt;&gt;"",SUMPRODUCT((P$3:P$99&lt;&gt;"")*(G$3:G$99=G55)*(J$3:J$99&gt;J55)*(I$3:I$99="P"))+1,IF(O55&lt;&gt;"",SUMPRODUCT((O$3:O$99&lt;&gt;"")*(P$3:P$99="")*(G$3:G$99=G55)*(J$3:J$99&gt;J55)*(I$3:I$99="P"))+SUMPRODUCT((P$3:P$99&lt;&gt;"")*(G$3:G$99=G55)*(I$3:I$99="P"))+1,IF(N55&lt;&gt;"",SUMPRODUCT((N$3:N$99&lt;&gt;"")*(G$3:G$99=G55)*(J$3:J$99&gt;J55)*(I$3:I$99="P"))+1,IF(M55="P",SUMPRODUCT((O$3:O$99&lt;&gt;"")*(P$3:P$99="")*(G$3:G$99=G55)*(I$3:I$99="P"))+SUMPRODUCT((P$3:P$99&lt;&gt;"")*(G$3:G$99=G55)*(I$3:I$99="P"))+SUMPRODUCT((N$3:N$99&lt;&gt;"")*(G$3:G$99=G55)*(I$3:I$99="P"))+SUMPRODUCT((P$3:P$99="")*(O$3:O$99="")*(N$3:N$99="")*(M$3:M$99="P")*(G$3:G$99=G55)*(J$3:J$99&gt;J55)*(I$3:I$99="P"))+IF(H55="L5",SUMPRODUCT((P$3:P$99="")*(O$3:O$99="")*(N$3:N$99="")*(M$3:M$99="P")*(G$3:G$99=G55)*(J$3:J$99&lt;J55)*(H$3:H$99&lt;&gt;H55)*(I$3:I$99="P")),-1*SUMPRODUCT((P$3:P$99="")*(O$3:O$99="")*(N$3:N$99="")*(M$3:M$99="P")*(G$3:G$99=G55)*(J$3:J$99&gt;J55)*(H$3:H$99="L5")*(I$3:I$99="P")))+1,"")))))</f>
        <v/>
      </c>
      <c r="B55" s="1" t="str" cm="1">
        <f t="array" ref="B55">IF(P55&lt;&gt;"",SUMPRODUCT((P$3:P$99&lt;&gt;"")*(G$3:G$99=G55)*(J$3:J$99&gt;J55))+1,IF(O55&lt;&gt;"",SUMPRODUCT((O$3:O$99&lt;&gt;"")*(P$3:P$99="")*(G$3:G$99=G55)*(J$3:J$99&gt;J55))+SUMPRODUCT((P$3:P$99&lt;&gt;"")*(G$3:G$99=G55))+1,IF(N55&lt;&gt;"",SUMPRODUCT((N$3:N$99&lt;&gt;"")*(G$3:G$99=G55)*(J$3:J$99&gt;J55))+1,IF(M55="P",SUMPRODUCT((O$3:O$99&lt;&gt;"")*(P$3:P$99="")*(G$3:G$99=G55))+SUMPRODUCT((P$3:P$99&lt;&gt;"")*(G$3:G$99=G55))+SUMPRODUCT((N$3:N$99&lt;&gt;"")*(G$3:G$99=G55))+SUMPRODUCT((P$3:P$99="")*(O$3:O$99="")*(N$3:N$99="")*(M$3:M$99="P")*(G$3:G$99=G55)*(J$3:J$99&gt;J55))+IF(H55="L5",SUMPRODUCT((P$3:P$99="")*(O$3:O$99="")*(N$3:N$99="")*(M$3:M$99="P")*(G$3:G$99=G55)*(J$3:J$99&lt;J55)*(H$3:H$99&lt;&gt;H55)),-1*SUMPRODUCT((P$3:P$99="")*(O$3:O$99="")*(N$3:N$99="")*(M$3:M$99="P")*(G$3:G$99=G55)*(J$3:J$99&gt;J55)*(H$3:H$99="L5")))+1,""))))</f>
        <v/>
      </c>
      <c r="C55" s="36" t="s">
        <v>437</v>
      </c>
      <c r="D55" s="36" t="str">
        <f>IF(E55="","",VLOOKUP(E55,'Coaching Points'!A:B,2,0))</f>
        <v>BC</v>
      </c>
      <c r="E55" s="36" t="s">
        <v>46</v>
      </c>
      <c r="F55" s="35">
        <v>2003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9" t="s">
        <v>68</v>
      </c>
      <c r="I55" s="43"/>
      <c r="J55" s="4">
        <f>R55+S55+IF(OR(H55="Junior",H55="Senior"),0.0002,IF(OR(H55="L7",H55="L6"),0.0001,0))+MAX(X55,Z55)*0.0000001</f>
        <v>38.20010382000001</v>
      </c>
      <c r="K55" s="3" t="str">
        <f>IF(G55="Not Age Eligible","",IF(MAX(T55,V55,X55,Z55)&gt;=LOOKUP(G55,'Qualifying Scores'!$A$4:$A$7,'Qualifying Scores'!$F$4:$F$7),"P",""))</f>
        <v/>
      </c>
      <c r="L55" s="3" t="str">
        <f>IF(G55="Not Age Eligible","",IF(MAX(U55,W55,Y55,AA55)&gt;=LOOKUP(G55,'Qualifying Scores'!$A$10:$A$13,'Qualifying Scores'!$F$10:$F$13),"P",""))</f>
        <v/>
      </c>
      <c r="M55" s="3" t="str">
        <f>IF(G55="Not Age Eligible","",IF(OR(AND(T55&gt;=LOOKUP(G55,'Qualifying Scores'!$A$4:$A$7,'Qualifying Scores'!$F$4:$F$7),U55&gt;=LOOKUP(G55,'Qualifying Scores'!$A$10:$A$13,'Qualifying Scores'!$F$10:$F$13)),AND(X55&gt;=LOOKUP(G55,'Qualifying Scores'!$A$4:$A$7,'Qualifying Scores'!$F$4:$F$7),Y55&gt;=LOOKUP(G55,'Qualifying Scores'!$A$10:$A$13,'Qualifying Scores'!$F$10:$F$13)),AND(V55&gt;=LOOKUP(G55,'Qualifying Scores'!$A$4:$A$7,'Qualifying Scores'!$F$4:$F$7),W55&gt;=LOOKUP(G55,'Qualifying Scores'!$A$10:$A$13,'Qualifying Scores'!$F$10:$F$13)),AND(Z55&gt;=LOOKUP(G55,'Qualifying Scores'!$A$4:$A$7,'Qualifying Scores'!$F$4:$F$7),AA55&gt;=LOOKUP(G55,'Qualifying Scores'!$A$10:$A$13,'Qualifying Scores'!$F$10:$F$13))),"P",""))</f>
        <v/>
      </c>
      <c r="Q55" s="1" t="str">
        <f>IF(A55&lt;5,IF(_xlfn.MAXIFS(A:A,G:G,G55)&gt;3,5-A55,_xlfn.MAXIFS(A:A,G:G,G55)+1-A55),"")</f>
        <v/>
      </c>
      <c r="R55" s="4">
        <f>MAX(T55,X55)</f>
        <v>38.200000000000003</v>
      </c>
      <c r="S55" s="4">
        <f>IF(R55=T55,MAX(V55,X55,Z55),IF(R55=X55,MAX(T55,V55,Z55),0))</f>
        <v>0</v>
      </c>
      <c r="T55" s="33"/>
      <c r="U55" s="40"/>
      <c r="V55" s="34"/>
      <c r="W55" s="40"/>
      <c r="X55" s="33">
        <v>38.200000000000003</v>
      </c>
      <c r="Y55" s="40">
        <v>5.2</v>
      </c>
      <c r="Z55" s="34"/>
      <c r="AA55" s="37"/>
    </row>
    <row r="56" spans="1:27" x14ac:dyDescent="0.2">
      <c r="A56" s="1" t="str" cm="1">
        <f t="array" ref="A56">IF(I56="","",IF(P56&lt;&gt;"",SUMPRODUCT((P$3:P$99&lt;&gt;"")*(G$3:G$99=G56)*(J$3:J$99&gt;J56)*(I$3:I$99="P"))+1,IF(O56&lt;&gt;"",SUMPRODUCT((O$3:O$99&lt;&gt;"")*(P$3:P$99="")*(G$3:G$99=G56)*(J$3:J$99&gt;J56)*(I$3:I$99="P"))+SUMPRODUCT((P$3:P$99&lt;&gt;"")*(G$3:G$99=G56)*(I$3:I$99="P"))+1,IF(N56&lt;&gt;"",SUMPRODUCT((N$3:N$99&lt;&gt;"")*(G$3:G$99=G56)*(J$3:J$99&gt;J56)*(I$3:I$99="P"))+1,IF(M56="P",SUMPRODUCT((O$3:O$99&lt;&gt;"")*(P$3:P$99="")*(G$3:G$99=G56)*(I$3:I$99="P"))+SUMPRODUCT((P$3:P$99&lt;&gt;"")*(G$3:G$99=G56)*(I$3:I$99="P"))+SUMPRODUCT((N$3:N$99&lt;&gt;"")*(G$3:G$99=G56)*(I$3:I$99="P"))+SUMPRODUCT((P$3:P$99="")*(O$3:O$99="")*(N$3:N$99="")*(M$3:M$99="P")*(G$3:G$99=G56)*(J$3:J$99&gt;J56)*(I$3:I$99="P"))+IF(H56="L5",SUMPRODUCT((P$3:P$99="")*(O$3:O$99="")*(N$3:N$99="")*(M$3:M$99="P")*(G$3:G$99=G56)*(J$3:J$99&lt;J56)*(H$3:H$99&lt;&gt;H56)*(I$3:I$99="P")),-1*SUMPRODUCT((P$3:P$99="")*(O$3:O$99="")*(N$3:N$99="")*(M$3:M$99="P")*(G$3:G$99=G56)*(J$3:J$99&gt;J56)*(H$3:H$99="L5")*(I$3:I$99="P")))+1,"")))))</f>
        <v/>
      </c>
      <c r="B56" s="1" t="str" cm="1">
        <f t="array" ref="B56">IF(P56&lt;&gt;"",SUMPRODUCT((P$3:P$99&lt;&gt;"")*(G$3:G$99=G56)*(J$3:J$99&gt;J56))+1,IF(O56&lt;&gt;"",SUMPRODUCT((O$3:O$99&lt;&gt;"")*(P$3:P$99="")*(G$3:G$99=G56)*(J$3:J$99&gt;J56))+SUMPRODUCT((P$3:P$99&lt;&gt;"")*(G$3:G$99=G56))+1,IF(N56&lt;&gt;"",SUMPRODUCT((N$3:N$99&lt;&gt;"")*(G$3:G$99=G56)*(J$3:J$99&gt;J56))+1,IF(M56="P",SUMPRODUCT((O$3:O$99&lt;&gt;"")*(P$3:P$99="")*(G$3:G$99=G56))+SUMPRODUCT((P$3:P$99&lt;&gt;"")*(G$3:G$99=G56))+SUMPRODUCT((N$3:N$99&lt;&gt;"")*(G$3:G$99=G56))+SUMPRODUCT((P$3:P$99="")*(O$3:O$99="")*(N$3:N$99="")*(M$3:M$99="P")*(G$3:G$99=G56)*(J$3:J$99&gt;J56))+IF(H56="L5",SUMPRODUCT((P$3:P$99="")*(O$3:O$99="")*(N$3:N$99="")*(M$3:M$99="P")*(G$3:G$99=G56)*(J$3:J$99&lt;J56)*(H$3:H$99&lt;&gt;H56)),-1*SUMPRODUCT((P$3:P$99="")*(O$3:O$99="")*(N$3:N$99="")*(M$3:M$99="P")*(G$3:G$99=G56)*(J$3:J$99&gt;J56)*(H$3:H$99="L5")))+1,""))))</f>
        <v/>
      </c>
      <c r="C56" s="36" t="s">
        <v>111</v>
      </c>
      <c r="D56" s="36" t="str">
        <f>IF(E56="","",VLOOKUP(E56,'Coaching Points'!A:B,2,0))</f>
        <v>BC</v>
      </c>
      <c r="E56" s="36" t="s">
        <v>46</v>
      </c>
      <c r="F56" s="35">
        <v>2005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9" t="s">
        <v>68</v>
      </c>
      <c r="I56" s="43"/>
      <c r="J56" s="4">
        <f>R56+S56+IF(OR(H56="Junior",H56="Senior"),0.0002,IF(OR(H56="L7",H56="L6"),0.0001,0))+MAX(X56,Z56)*0.0000001</f>
        <v>24.0001</v>
      </c>
      <c r="K56" s="3" t="str">
        <f>IF(G56="Not Age Eligible","",IF(MAX(T56,V56,X56,Z56)&gt;=LOOKUP(G56,'Qualifying Scores'!$A$4:$A$7,'Qualifying Scores'!$F$4:$F$7),"P",""))</f>
        <v/>
      </c>
      <c r="L56" s="3" t="str">
        <f>IF(G56="Not Age Eligible","",IF(MAX(U56,W56,Y56,AA56)&gt;=LOOKUP(G56,'Qualifying Scores'!$A$10:$A$13,'Qualifying Scores'!$F$10:$F$13),"P",""))</f>
        <v/>
      </c>
      <c r="M56" s="3" t="str">
        <f>IF(G56="Not Age Eligible","",IF(OR(AND(T56&gt;=LOOKUP(G56,'Qualifying Scores'!$A$4:$A$7,'Qualifying Scores'!$F$4:$F$7),U56&gt;=LOOKUP(G56,'Qualifying Scores'!$A$10:$A$13,'Qualifying Scores'!$F$10:$F$13)),AND(X56&gt;=LOOKUP(G56,'Qualifying Scores'!$A$4:$A$7,'Qualifying Scores'!$F$4:$F$7),Y56&gt;=LOOKUP(G56,'Qualifying Scores'!$A$10:$A$13,'Qualifying Scores'!$F$10:$F$13)),AND(V56&gt;=LOOKUP(G56,'Qualifying Scores'!$A$4:$A$7,'Qualifying Scores'!$F$4:$F$7),W56&gt;=LOOKUP(G56,'Qualifying Scores'!$A$10:$A$13,'Qualifying Scores'!$F$10:$F$13)),AND(Z56&gt;=LOOKUP(G56,'Qualifying Scores'!$A$4:$A$7,'Qualifying Scores'!$F$4:$F$7),AA56&gt;=LOOKUP(G56,'Qualifying Scores'!$A$10:$A$13,'Qualifying Scores'!$F$10:$F$13))),"P",""))</f>
        <v/>
      </c>
      <c r="Q56" s="1" t="str">
        <f>IF(A56&lt;5,IF(_xlfn.MAXIFS(A:A,G:G,G56)&gt;3,5-A56,_xlfn.MAXIFS(A:A,G:G,G56)+1-A56),"")</f>
        <v/>
      </c>
      <c r="R56" s="4">
        <f>MAX(T56,X56)</f>
        <v>24</v>
      </c>
      <c r="S56" s="4">
        <f>IF(R56=T56,MAX(V56,X56,Z56),IF(R56=X56,MAX(T56,V56,Z56),0))</f>
        <v>0</v>
      </c>
      <c r="T56" s="33">
        <v>24</v>
      </c>
      <c r="U56" s="40">
        <v>6.8</v>
      </c>
      <c r="V56" s="34"/>
      <c r="W56" s="40"/>
      <c r="X56" s="33"/>
      <c r="Y56" s="40"/>
      <c r="Z56" s="34"/>
      <c r="AA56" s="37"/>
    </row>
    <row r="57" spans="1:27" x14ac:dyDescent="0.2">
      <c r="A57" s="1" t="str" cm="1">
        <f t="array" ref="A57">IF(I57="","",IF(P57&lt;&gt;"",SUMPRODUCT((P$3:P$99&lt;&gt;"")*(G$3:G$99=G57)*(J$3:J$99&gt;J57)*(I$3:I$99="P"))+1,IF(O57&lt;&gt;"",SUMPRODUCT((O$3:O$99&lt;&gt;"")*(P$3:P$99="")*(G$3:G$99=G57)*(J$3:J$99&gt;J57)*(I$3:I$99="P"))+SUMPRODUCT((P$3:P$99&lt;&gt;"")*(G$3:G$99=G57)*(I$3:I$99="P"))+1,IF(N57&lt;&gt;"",SUMPRODUCT((N$3:N$99&lt;&gt;"")*(G$3:G$99=G57)*(J$3:J$99&gt;J57)*(I$3:I$99="P"))+1,IF(M57="P",SUMPRODUCT((O$3:O$99&lt;&gt;"")*(P$3:P$99="")*(G$3:G$99=G57)*(I$3:I$99="P"))+SUMPRODUCT((P$3:P$99&lt;&gt;"")*(G$3:G$99=G57)*(I$3:I$99="P"))+SUMPRODUCT((N$3:N$99&lt;&gt;"")*(G$3:G$99=G57)*(I$3:I$99="P"))+SUMPRODUCT((P$3:P$99="")*(O$3:O$99="")*(N$3:N$99="")*(M$3:M$99="P")*(G$3:G$99=G57)*(J$3:J$99&gt;J57)*(I$3:I$99="P"))+IF(H57="L5",SUMPRODUCT((P$3:P$99="")*(O$3:O$99="")*(N$3:N$99="")*(M$3:M$99="P")*(G$3:G$99=G57)*(J$3:J$99&lt;J57)*(H$3:H$99&lt;&gt;H57)*(I$3:I$99="P")),-1*SUMPRODUCT((P$3:P$99="")*(O$3:O$99="")*(N$3:N$99="")*(M$3:M$99="P")*(G$3:G$99=G57)*(J$3:J$99&gt;J57)*(H$3:H$99="L5")*(I$3:I$99="P")))+1,"")))))</f>
        <v/>
      </c>
      <c r="B57" s="1" t="str" cm="1">
        <f t="array" ref="B57">IF(P57&lt;&gt;"",SUMPRODUCT((P$3:P$99&lt;&gt;"")*(G$3:G$99=G57)*(J$3:J$99&gt;J57))+1,IF(O57&lt;&gt;"",SUMPRODUCT((O$3:O$99&lt;&gt;"")*(P$3:P$99="")*(G$3:G$99=G57)*(J$3:J$99&gt;J57))+SUMPRODUCT((P$3:P$99&lt;&gt;"")*(G$3:G$99=G57))+1,IF(N57&lt;&gt;"",SUMPRODUCT((N$3:N$99&lt;&gt;"")*(G$3:G$99=G57)*(J$3:J$99&gt;J57))+1,IF(M57="P",SUMPRODUCT((O$3:O$99&lt;&gt;"")*(P$3:P$99="")*(G$3:G$99=G57))+SUMPRODUCT((P$3:P$99&lt;&gt;"")*(G$3:G$99=G57))+SUMPRODUCT((N$3:N$99&lt;&gt;"")*(G$3:G$99=G57))+SUMPRODUCT((P$3:P$99="")*(O$3:O$99="")*(N$3:N$99="")*(M$3:M$99="P")*(G$3:G$99=G57)*(J$3:J$99&gt;J57))+IF(H57="L5",SUMPRODUCT((P$3:P$99="")*(O$3:O$99="")*(N$3:N$99="")*(M$3:M$99="P")*(G$3:G$99=G57)*(J$3:J$99&lt;J57)*(H$3:H$99&lt;&gt;H57)),-1*SUMPRODUCT((P$3:P$99="")*(O$3:O$99="")*(N$3:N$99="")*(M$3:M$99="P")*(G$3:G$99=G57)*(J$3:J$99&gt;J57)*(H$3:H$99="L5")))+1,""))))</f>
        <v/>
      </c>
      <c r="C57" s="36" t="s">
        <v>423</v>
      </c>
      <c r="D57" s="36" t="str">
        <f>IF(E57="","",VLOOKUP(E57,'Coaching Points'!A:B,2,0))</f>
        <v>AB</v>
      </c>
      <c r="E57" s="36" t="s">
        <v>64</v>
      </c>
      <c r="F57" s="35">
        <v>2004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17-21</v>
      </c>
      <c r="H57" s="39" t="s">
        <v>68</v>
      </c>
      <c r="I57" s="43"/>
      <c r="J57" s="4">
        <f>R57+S57+IF(OR(H57="Junior",H57="Senior"),0.0002,IF(OR(H57="L7",H57="L6"),0.0001,0))+MAX(X57,Z57)*0.0000001</f>
        <v>19.800101980000001</v>
      </c>
      <c r="K57" s="3" t="str">
        <f>IF(G57="Not Age Eligible","",IF(MAX(T57,V57,X57,Z57)&gt;=LOOKUP(G57,'Qualifying Scores'!$A$4:$A$7,'Qualifying Scores'!$F$4:$F$7),"P",""))</f>
        <v/>
      </c>
      <c r="L57" s="3" t="str">
        <f>IF(G57="Not Age Eligible","",IF(MAX(U57,W57,Y57,AA57)&gt;=LOOKUP(G57,'Qualifying Scores'!$A$10:$A$13,'Qualifying Scores'!$F$10:$F$13),"P",""))</f>
        <v/>
      </c>
      <c r="M57" s="3" t="str">
        <f>IF(G57="Not Age Eligible","",IF(OR(AND(T57&gt;=LOOKUP(G57,'Qualifying Scores'!$A$4:$A$7,'Qualifying Scores'!$F$4:$F$7),U57&gt;=LOOKUP(G57,'Qualifying Scores'!$A$10:$A$13,'Qualifying Scores'!$F$10:$F$13)),AND(X57&gt;=LOOKUP(G57,'Qualifying Scores'!$A$4:$A$7,'Qualifying Scores'!$F$4:$F$7),Y57&gt;=LOOKUP(G57,'Qualifying Scores'!$A$10:$A$13,'Qualifying Scores'!$F$10:$F$13)),AND(V57&gt;=LOOKUP(G57,'Qualifying Scores'!$A$4:$A$7,'Qualifying Scores'!$F$4:$F$7),W57&gt;=LOOKUP(G57,'Qualifying Scores'!$A$10:$A$13,'Qualifying Scores'!$F$10:$F$13)),AND(Z57&gt;=LOOKUP(G57,'Qualifying Scores'!$A$4:$A$7,'Qualifying Scores'!$F$4:$F$7),AA57&gt;=LOOKUP(G57,'Qualifying Scores'!$A$10:$A$13,'Qualifying Scores'!$F$10:$F$13))),"P",""))</f>
        <v/>
      </c>
      <c r="Q57" s="1" t="str">
        <f>IF(A57&lt;5,IF(_xlfn.MAXIFS(A:A,G:G,G57)&gt;3,5-A57,_xlfn.MAXIFS(A:A,G:G,G57)+1-A57),"")</f>
        <v/>
      </c>
      <c r="R57" s="4">
        <f>MAX(T57,X57)</f>
        <v>19.8</v>
      </c>
      <c r="S57" s="4">
        <f>IF(R57=T57,MAX(V57,X57,Z57),IF(R57=X57,MAX(T57,V57,Z57),0))</f>
        <v>0</v>
      </c>
      <c r="T57" s="33"/>
      <c r="U57" s="40"/>
      <c r="V57" s="34"/>
      <c r="W57" s="40"/>
      <c r="X57" s="33">
        <v>19.8</v>
      </c>
      <c r="Y57" s="40">
        <v>2.4</v>
      </c>
      <c r="Z57" s="34"/>
      <c r="AA57" s="37"/>
    </row>
    <row r="58" spans="1:27" x14ac:dyDescent="0.2">
      <c r="A58" s="1" t="str" cm="1">
        <f t="array" ref="A58">IF(I58="","",IF(P58&lt;&gt;"",SUMPRODUCT((P$3:P$99&lt;&gt;"")*(G$3:G$99=G58)*(J$3:J$99&gt;J58)*(I$3:I$99="P"))+1,IF(O58&lt;&gt;"",SUMPRODUCT((O$3:O$99&lt;&gt;"")*(P$3:P$99="")*(G$3:G$99=G58)*(J$3:J$99&gt;J58)*(I$3:I$99="P"))+SUMPRODUCT((P$3:P$99&lt;&gt;"")*(G$3:G$99=G58)*(I$3:I$99="P"))+1,IF(N58&lt;&gt;"",SUMPRODUCT((N$3:N$99&lt;&gt;"")*(G$3:G$99=G58)*(J$3:J$99&gt;J58)*(I$3:I$99="P"))+1,IF(M58="P",SUMPRODUCT((O$3:O$99&lt;&gt;"")*(P$3:P$99="")*(G$3:G$99=G58)*(I$3:I$99="P"))+SUMPRODUCT((P$3:P$99&lt;&gt;"")*(G$3:G$99=G58)*(I$3:I$99="P"))+SUMPRODUCT((N$3:N$99&lt;&gt;"")*(G$3:G$99=G58)*(I$3:I$99="P"))+SUMPRODUCT((P$3:P$99="")*(O$3:O$99="")*(N$3:N$99="")*(M$3:M$99="P")*(G$3:G$99=G58)*(J$3:J$99&gt;J58)*(I$3:I$99="P"))+IF(H58="L5",SUMPRODUCT((P$3:P$99="")*(O$3:O$99="")*(N$3:N$99="")*(M$3:M$99="P")*(G$3:G$99=G58)*(J$3:J$99&lt;J58)*(H$3:H$99&lt;&gt;H58)*(I$3:I$99="P")),-1*SUMPRODUCT((P$3:P$99="")*(O$3:O$99="")*(N$3:N$99="")*(M$3:M$99="P")*(G$3:G$99=G58)*(J$3:J$99&gt;J58)*(H$3:H$99="L5")*(I$3:I$99="P")))+1,"")))))</f>
        <v/>
      </c>
      <c r="B58" s="1" t="str" cm="1">
        <f t="array" ref="B58">IF(P58&lt;&gt;"",SUMPRODUCT((P$3:P$99&lt;&gt;"")*(G$3:G$99=G58)*(J$3:J$99&gt;J58))+1,IF(O58&lt;&gt;"",SUMPRODUCT((O$3:O$99&lt;&gt;"")*(P$3:P$99="")*(G$3:G$99=G58)*(J$3:J$99&gt;J58))+SUMPRODUCT((P$3:P$99&lt;&gt;"")*(G$3:G$99=G58))+1,IF(N58&lt;&gt;"",SUMPRODUCT((N$3:N$99&lt;&gt;"")*(G$3:G$99=G58)*(J$3:J$99&gt;J58))+1,IF(M58="P",SUMPRODUCT((O$3:O$99&lt;&gt;"")*(P$3:P$99="")*(G$3:G$99=G58))+SUMPRODUCT((P$3:P$99&lt;&gt;"")*(G$3:G$99=G58))+SUMPRODUCT((N$3:N$99&lt;&gt;"")*(G$3:G$99=G58))+SUMPRODUCT((P$3:P$99="")*(O$3:O$99="")*(N$3:N$99="")*(M$3:M$99="P")*(G$3:G$99=G58)*(J$3:J$99&gt;J58))+IF(H58="L5",SUMPRODUCT((P$3:P$99="")*(O$3:O$99="")*(N$3:N$99="")*(M$3:M$99="P")*(G$3:G$99=G58)*(J$3:J$99&lt;J58)*(H$3:H$99&lt;&gt;H58)),-1*SUMPRODUCT((P$3:P$99="")*(O$3:O$99="")*(N$3:N$99="")*(M$3:M$99="P")*(G$3:G$99=G58)*(J$3:J$99&gt;J58)*(H$3:H$99="L5")))+1,""))))</f>
        <v/>
      </c>
      <c r="C58" s="36" t="s">
        <v>221</v>
      </c>
      <c r="D58" s="36" t="str">
        <f>IF(E58="","",VLOOKUP(E58,'Coaching Points'!A:B,2,0))</f>
        <v>AB</v>
      </c>
      <c r="E58" s="36" t="s">
        <v>29</v>
      </c>
      <c r="F58" s="35">
        <v>2006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17-21</v>
      </c>
      <c r="H58" s="39" t="s">
        <v>68</v>
      </c>
      <c r="I58" s="43"/>
      <c r="J58" s="4">
        <f>R58+S58+IF(OR(H58="Junior",H58="Senior"),0.0002,IF(OR(H58="L7",H58="L6"),0.0001,0))+MAX(X58,Z58)*0.0000001</f>
        <v>19.8001</v>
      </c>
      <c r="K58" s="3" t="str">
        <f>IF(G58="Not Age Eligible","",IF(MAX(T58,V58,X58,Z58)&gt;=LOOKUP(G58,'Qualifying Scores'!$A$4:$A$7,'Qualifying Scores'!$F$4:$F$7),"P",""))</f>
        <v/>
      </c>
      <c r="L58" s="3" t="str">
        <f>IF(G58="Not Age Eligible","",IF(MAX(U58,W58,Y58,AA58)&gt;=LOOKUP(G58,'Qualifying Scores'!$A$10:$A$13,'Qualifying Scores'!$F$10:$F$13),"P",""))</f>
        <v/>
      </c>
      <c r="M58" s="3" t="str">
        <f>IF(G58="Not Age Eligible","",IF(OR(AND(T58&gt;=LOOKUP(G58,'Qualifying Scores'!$A$4:$A$7,'Qualifying Scores'!$F$4:$F$7),U58&gt;=LOOKUP(G58,'Qualifying Scores'!$A$10:$A$13,'Qualifying Scores'!$F$10:$F$13)),AND(X58&gt;=LOOKUP(G58,'Qualifying Scores'!$A$4:$A$7,'Qualifying Scores'!$F$4:$F$7),Y58&gt;=LOOKUP(G58,'Qualifying Scores'!$A$10:$A$13,'Qualifying Scores'!$F$10:$F$13)),AND(V58&gt;=LOOKUP(G58,'Qualifying Scores'!$A$4:$A$7,'Qualifying Scores'!$F$4:$F$7),W58&gt;=LOOKUP(G58,'Qualifying Scores'!$A$10:$A$13,'Qualifying Scores'!$F$10:$F$13)),AND(Z58&gt;=LOOKUP(G58,'Qualifying Scores'!$A$4:$A$7,'Qualifying Scores'!$F$4:$F$7),AA58&gt;=LOOKUP(G58,'Qualifying Scores'!$A$10:$A$13,'Qualifying Scores'!$F$10:$F$13))),"P",""))</f>
        <v/>
      </c>
      <c r="Q58" s="1" t="str">
        <f>IF(A58&lt;5,IF(_xlfn.MAXIFS(A:A,G:G,G58)&gt;3,5-A58,_xlfn.MAXIFS(A:A,G:G,G58)+1-A58),"")</f>
        <v/>
      </c>
      <c r="R58" s="4">
        <f>MAX(T58,X58)</f>
        <v>19.8</v>
      </c>
      <c r="S58" s="4">
        <f>IF(R58=T58,MAX(V58,X58,Z58),IF(R58=X58,MAX(T58,V58,Z58),0))</f>
        <v>0</v>
      </c>
      <c r="T58" s="33">
        <v>19.8</v>
      </c>
      <c r="U58" s="40">
        <v>2.4</v>
      </c>
      <c r="V58" s="34"/>
      <c r="W58" s="40"/>
      <c r="X58" s="33"/>
      <c r="Y58" s="40"/>
      <c r="Z58" s="34"/>
      <c r="AA58" s="37"/>
    </row>
    <row r="59" spans="1:27" x14ac:dyDescent="0.2">
      <c r="A59" s="1" cm="1">
        <f t="array" ref="A59">IF(I59="","",IF(P59&lt;&gt;"",SUMPRODUCT((P$3:P$99&lt;&gt;"")*(G$3:G$99=G59)*(J$3:J$99&gt;J59)*(I$3:I$99="P"))+1,IF(O59&lt;&gt;"",SUMPRODUCT((O$3:O$99&lt;&gt;"")*(P$3:P$99="")*(G$3:G$99=G59)*(J$3:J$99&gt;J59)*(I$3:I$99="P"))+SUMPRODUCT((P$3:P$99&lt;&gt;"")*(G$3:G$99=G59)*(I$3:I$99="P"))+1,IF(N59&lt;&gt;"",SUMPRODUCT((N$3:N$99&lt;&gt;"")*(G$3:G$99=G59)*(J$3:J$99&gt;J59)*(I$3:I$99="P"))+1,IF(M59="P",SUMPRODUCT((O$3:O$99&lt;&gt;"")*(P$3:P$99="")*(G$3:G$99=G59)*(I$3:I$99="P"))+SUMPRODUCT((P$3:P$99&lt;&gt;"")*(G$3:G$99=G59)*(I$3:I$99="P"))+SUMPRODUCT((N$3:N$99&lt;&gt;"")*(G$3:G$99=G59)*(I$3:I$99="P"))+SUMPRODUCT((P$3:P$99="")*(O$3:O$99="")*(N$3:N$99="")*(M$3:M$99="P")*(G$3:G$99=G59)*(J$3:J$99&gt;J59)*(I$3:I$99="P"))+IF(H59="L5",SUMPRODUCT((P$3:P$99="")*(O$3:O$99="")*(N$3:N$99="")*(M$3:M$99="P")*(G$3:G$99=G59)*(J$3:J$99&lt;J59)*(H$3:H$99&lt;&gt;H59)*(I$3:I$99="P")),-1*SUMPRODUCT((P$3:P$99="")*(O$3:O$99="")*(N$3:N$99="")*(M$3:M$99="P")*(G$3:G$99=G59)*(J$3:J$99&gt;J59)*(H$3:H$99="L5")*(I$3:I$99="P")))+1,"")))))</f>
        <v>1</v>
      </c>
      <c r="B59" s="1" cm="1">
        <f t="array" ref="B59">IF(P59&lt;&gt;"",SUMPRODUCT((P$3:P$99&lt;&gt;"")*(G$3:G$99=G59)*(J$3:J$99&gt;J59))+1,IF(O59&lt;&gt;"",SUMPRODUCT((O$3:O$99&lt;&gt;"")*(P$3:P$99="")*(G$3:G$99=G59)*(J$3:J$99&gt;J59))+SUMPRODUCT((P$3:P$99&lt;&gt;"")*(G$3:G$99=G59))+1,IF(N59&lt;&gt;"",SUMPRODUCT((N$3:N$99&lt;&gt;"")*(G$3:G$99=G59)*(J$3:J$99&gt;J59))+1,IF(M59="P",SUMPRODUCT((O$3:O$99&lt;&gt;"")*(P$3:P$99="")*(G$3:G$99=G59))+SUMPRODUCT((P$3:P$99&lt;&gt;"")*(G$3:G$99=G59))+SUMPRODUCT((N$3:N$99&lt;&gt;"")*(G$3:G$99=G59))+SUMPRODUCT((P$3:P$99="")*(O$3:O$99="")*(N$3:N$99="")*(M$3:M$99="P")*(G$3:G$99=G59)*(J$3:J$99&gt;J59))+IF(H59="L5",SUMPRODUCT((P$3:P$99="")*(O$3:O$99="")*(N$3:N$99="")*(M$3:M$99="P")*(G$3:G$99=G59)*(J$3:J$99&lt;J59)*(H$3:H$99&lt;&gt;H59)),-1*SUMPRODUCT((P$3:P$99="")*(O$3:O$99="")*(N$3:N$99="")*(M$3:M$99="P")*(G$3:G$99=G59)*(J$3:J$99&gt;J59)*(H$3:H$99="L5")))+1,""))))</f>
        <v>1</v>
      </c>
      <c r="C59" s="36" t="s">
        <v>86</v>
      </c>
      <c r="D59" s="36" t="str">
        <f>IF(E59="","",VLOOKUP(E59,'Coaching Points'!A:B,2,0))</f>
        <v>BC</v>
      </c>
      <c r="E59" s="36" t="s">
        <v>72</v>
      </c>
      <c r="F59" s="35">
        <v>2007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9" t="s">
        <v>65</v>
      </c>
      <c r="I59" s="43" t="s">
        <v>567</v>
      </c>
      <c r="J59" s="4">
        <f>R59+S59+IF(OR(H59="Junior",H59="Senior"),0.0002,IF(OR(H59="L7",H59="L6"),0.0001,0))+MAX(X59,Z59)*0.0000001</f>
        <v>101.00020518000001</v>
      </c>
      <c r="K59" s="3" t="str">
        <f>IF(G59="Not Age Eligible","",IF(MAX(T59,V59,X59,Z59)&gt;=LOOKUP(G59,'Qualifying Scores'!$A$4:$A$7,'Qualifying Scores'!$F$4:$F$7),"P",""))</f>
        <v>P</v>
      </c>
      <c r="L59" s="3" t="str">
        <f>IF(G59="Not Age Eligible","",IF(MAX(U59,W59,Y59,AA59)&gt;=LOOKUP(G59,'Qualifying Scores'!$A$10:$A$13,'Qualifying Scores'!$F$10:$F$13),"P",""))</f>
        <v>P</v>
      </c>
      <c r="M59" s="3" t="str">
        <f>IF(G59="Not Age Eligible","",IF(OR(AND(T59&gt;=LOOKUP(G59,'Qualifying Scores'!$A$4:$A$7,'Qualifying Scores'!$F$4:$F$7),U59&gt;=LOOKUP(G59,'Qualifying Scores'!$A$10:$A$13,'Qualifying Scores'!$F$10:$F$13)),AND(X59&gt;=LOOKUP(G59,'Qualifying Scores'!$A$4:$A$7,'Qualifying Scores'!$F$4:$F$7),Y59&gt;=LOOKUP(G59,'Qualifying Scores'!$A$10:$A$13,'Qualifying Scores'!$F$10:$F$13)),AND(V59&gt;=LOOKUP(G59,'Qualifying Scores'!$A$4:$A$7,'Qualifying Scores'!$F$4:$F$7),W59&gt;=LOOKUP(G59,'Qualifying Scores'!$A$10:$A$13,'Qualifying Scores'!$F$10:$F$13)),AND(Z59&gt;=LOOKUP(G59,'Qualifying Scores'!$A$4:$A$7,'Qualifying Scores'!$F$4:$F$7),AA59&gt;=LOOKUP(G59,'Qualifying Scores'!$A$10:$A$13,'Qualifying Scores'!$F$10:$F$13))),"P",""))</f>
        <v>P</v>
      </c>
      <c r="N59" s="39">
        <v>1</v>
      </c>
      <c r="Q59" s="1">
        <f>IF(A59&lt;5,IF(_xlfn.MAXIFS(A:A,G:G,G59)&gt;3,5-A59,_xlfn.MAXIFS(A:A,G:G,G59)+1-A59),"")</f>
        <v>4</v>
      </c>
      <c r="R59" s="4">
        <f>MAX(T59,X59)</f>
        <v>51.8</v>
      </c>
      <c r="S59" s="4">
        <f>IF(R59=T59,MAX(V59,X59,Z59),IF(R59=X59,MAX(T59,V59,Z59),0))</f>
        <v>49.2</v>
      </c>
      <c r="T59" s="33">
        <v>26.2</v>
      </c>
      <c r="U59" s="40">
        <v>7.6</v>
      </c>
      <c r="V59" s="34">
        <v>45.8</v>
      </c>
      <c r="W59" s="40">
        <v>10.8</v>
      </c>
      <c r="X59" s="33">
        <v>51.8</v>
      </c>
      <c r="Y59" s="40">
        <v>13.600000000000001</v>
      </c>
      <c r="Z59" s="34">
        <v>49.2</v>
      </c>
      <c r="AA59" s="37">
        <v>12.4</v>
      </c>
    </row>
    <row r="60" spans="1:27" x14ac:dyDescent="0.2">
      <c r="A60" s="1" cm="1">
        <f t="array" ref="A60">IF(I60="","",IF(P60&lt;&gt;"",SUMPRODUCT((P$3:P$99&lt;&gt;"")*(G$3:G$99=G60)*(J$3:J$99&gt;J60)*(I$3:I$99="P"))+1,IF(O60&lt;&gt;"",SUMPRODUCT((O$3:O$99&lt;&gt;"")*(P$3:P$99="")*(G$3:G$99=G60)*(J$3:J$99&gt;J60)*(I$3:I$99="P"))+SUMPRODUCT((P$3:P$99&lt;&gt;"")*(G$3:G$99=G60)*(I$3:I$99="P"))+1,IF(N60&lt;&gt;"",SUMPRODUCT((N$3:N$99&lt;&gt;"")*(G$3:G$99=G60)*(J$3:J$99&gt;J60)*(I$3:I$99="P"))+1,IF(M60="P",SUMPRODUCT((O$3:O$99&lt;&gt;"")*(P$3:P$99="")*(G$3:G$99=G60)*(I$3:I$99="P"))+SUMPRODUCT((P$3:P$99&lt;&gt;"")*(G$3:G$99=G60)*(I$3:I$99="P"))+SUMPRODUCT((N$3:N$99&lt;&gt;"")*(G$3:G$99=G60)*(I$3:I$99="P"))+SUMPRODUCT((P$3:P$99="")*(O$3:O$99="")*(N$3:N$99="")*(M$3:M$99="P")*(G$3:G$99=G60)*(J$3:J$99&gt;J60)*(I$3:I$99="P"))+IF(H60="L5",SUMPRODUCT((P$3:P$99="")*(O$3:O$99="")*(N$3:N$99="")*(M$3:M$99="P")*(G$3:G$99=G60)*(J$3:J$99&lt;J60)*(H$3:H$99&lt;&gt;H60)*(I$3:I$99="P")),-1*SUMPRODUCT((P$3:P$99="")*(O$3:O$99="")*(N$3:N$99="")*(M$3:M$99="P")*(G$3:G$99=G60)*(J$3:J$99&gt;J60)*(H$3:H$99="L5")*(I$3:I$99="P")))+1,"")))))</f>
        <v>2</v>
      </c>
      <c r="B60" s="1" cm="1">
        <f t="array" ref="B60">IF(P60&lt;&gt;"",SUMPRODUCT((P$3:P$99&lt;&gt;"")*(G$3:G$99=G60)*(J$3:J$99&gt;J60))+1,IF(O60&lt;&gt;"",SUMPRODUCT((O$3:O$99&lt;&gt;"")*(P$3:P$99="")*(G$3:G$99=G60)*(J$3:J$99&gt;J60))+SUMPRODUCT((P$3:P$99&lt;&gt;"")*(G$3:G$99=G60))+1,IF(N60&lt;&gt;"",SUMPRODUCT((N$3:N$99&lt;&gt;"")*(G$3:G$99=G60)*(J$3:J$99&gt;J60))+1,IF(M60="P",SUMPRODUCT((O$3:O$99&lt;&gt;"")*(P$3:P$99="")*(G$3:G$99=G60))+SUMPRODUCT((P$3:P$99&lt;&gt;"")*(G$3:G$99=G60))+SUMPRODUCT((N$3:N$99&lt;&gt;"")*(G$3:G$99=G60))+SUMPRODUCT((P$3:P$99="")*(O$3:O$99="")*(N$3:N$99="")*(M$3:M$99="P")*(G$3:G$99=G60)*(J$3:J$99&gt;J60))+IF(H60="L5",SUMPRODUCT((P$3:P$99="")*(O$3:O$99="")*(N$3:N$99="")*(M$3:M$99="P")*(G$3:G$99=G60)*(J$3:J$99&lt;J60)*(H$3:H$99&lt;&gt;H60)),-1*SUMPRODUCT((P$3:P$99="")*(O$3:O$99="")*(N$3:N$99="")*(M$3:M$99="P")*(G$3:G$99=G60)*(J$3:J$99&gt;J60)*(H$3:H$99="L5")))+1,""))))</f>
        <v>2</v>
      </c>
      <c r="C60" s="36" t="s">
        <v>82</v>
      </c>
      <c r="D60" s="36" t="str">
        <f>IF(E60="","",VLOOKUP(E60,'Coaching Points'!A:B,2,0))</f>
        <v>AB</v>
      </c>
      <c r="E60" s="36" t="s">
        <v>64</v>
      </c>
      <c r="F60" s="35">
        <v>2008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9" t="s">
        <v>65</v>
      </c>
      <c r="I60" s="43" t="s">
        <v>567</v>
      </c>
      <c r="J60" s="4">
        <f>R60+S60+IF(OR(H60="Junior",H60="Senior"),0.0002,IF(OR(H60="L7",H60="L6"),0.0001,0))+MAX(X60,Z60)*0.0000001</f>
        <v>99.700205029999992</v>
      </c>
      <c r="K60" s="3" t="str">
        <f>IF(G60="Not Age Eligible","",IF(MAX(T60,V60,X60,Z60)&gt;=LOOKUP(G60,'Qualifying Scores'!$A$4:$A$7,'Qualifying Scores'!$F$4:$F$7),"P",""))</f>
        <v>P</v>
      </c>
      <c r="L60" s="3" t="str">
        <f>IF(G60="Not Age Eligible","",IF(MAX(U60,W60,Y60,AA60)&gt;=LOOKUP(G60,'Qualifying Scores'!$A$10:$A$13,'Qualifying Scores'!$F$10:$F$13),"P",""))</f>
        <v>P</v>
      </c>
      <c r="M60" s="3" t="str">
        <f>IF(G60="Not Age Eligible","",IF(OR(AND(T60&gt;=LOOKUP(G60,'Qualifying Scores'!$A$4:$A$7,'Qualifying Scores'!$F$4:$F$7),U60&gt;=LOOKUP(G60,'Qualifying Scores'!$A$10:$A$13,'Qualifying Scores'!$F$10:$F$13)),AND(X60&gt;=LOOKUP(G60,'Qualifying Scores'!$A$4:$A$7,'Qualifying Scores'!$F$4:$F$7),Y60&gt;=LOOKUP(G60,'Qualifying Scores'!$A$10:$A$13,'Qualifying Scores'!$F$10:$F$13)),AND(V60&gt;=LOOKUP(G60,'Qualifying Scores'!$A$4:$A$7,'Qualifying Scores'!$F$4:$F$7),W60&gt;=LOOKUP(G60,'Qualifying Scores'!$A$10:$A$13,'Qualifying Scores'!$F$10:$F$13)),AND(Z60&gt;=LOOKUP(G60,'Qualifying Scores'!$A$4:$A$7,'Qualifying Scores'!$F$4:$F$7),AA60&gt;=LOOKUP(G60,'Qualifying Scores'!$A$10:$A$13,'Qualifying Scores'!$F$10:$F$13))),"P",""))</f>
        <v>P</v>
      </c>
      <c r="N60" s="39">
        <v>4</v>
      </c>
      <c r="Q60" s="1">
        <f>IF(A60&lt;5,IF(_xlfn.MAXIFS(A:A,G:G,G60)&gt;3,5-A60,_xlfn.MAXIFS(A:A,G:G,G60)+1-A60),"")</f>
        <v>3</v>
      </c>
      <c r="R60" s="4">
        <f>MAX(T60,X60)</f>
        <v>49.4</v>
      </c>
      <c r="S60" s="4">
        <f>IF(R60=T60,MAX(V60,X60,Z60),IF(R60=X60,MAX(T60,V60,Z60),0))</f>
        <v>50.3</v>
      </c>
      <c r="T60" s="33">
        <v>49.4</v>
      </c>
      <c r="U60" s="40">
        <v>13.2</v>
      </c>
      <c r="V60" s="34">
        <v>49.3</v>
      </c>
      <c r="W60" s="40">
        <v>13.2</v>
      </c>
      <c r="X60" s="33">
        <v>41.8</v>
      </c>
      <c r="Y60" s="40">
        <v>6.8</v>
      </c>
      <c r="Z60" s="34">
        <v>50.3</v>
      </c>
      <c r="AA60" s="37">
        <v>14</v>
      </c>
    </row>
    <row r="61" spans="1:27" x14ac:dyDescent="0.2">
      <c r="A61" s="1" cm="1">
        <f t="array" ref="A61">IF(I61="","",IF(P61&lt;&gt;"",SUMPRODUCT((P$3:P$99&lt;&gt;"")*(G$3:G$99=G61)*(J$3:J$99&gt;J61)*(I$3:I$99="P"))+1,IF(O61&lt;&gt;"",SUMPRODUCT((O$3:O$99&lt;&gt;"")*(P$3:P$99="")*(G$3:G$99=G61)*(J$3:J$99&gt;J61)*(I$3:I$99="P"))+SUMPRODUCT((P$3:P$99&lt;&gt;"")*(G$3:G$99=G61)*(I$3:I$99="P"))+1,IF(N61&lt;&gt;"",SUMPRODUCT((N$3:N$99&lt;&gt;"")*(G$3:G$99=G61)*(J$3:J$99&gt;J61)*(I$3:I$99="P"))+1,IF(M61="P",SUMPRODUCT((O$3:O$99&lt;&gt;"")*(P$3:P$99="")*(G$3:G$99=G61)*(I$3:I$99="P"))+SUMPRODUCT((P$3:P$99&lt;&gt;"")*(G$3:G$99=G61)*(I$3:I$99="P"))+SUMPRODUCT((N$3:N$99&lt;&gt;"")*(G$3:G$99=G61)*(I$3:I$99="P"))+SUMPRODUCT((P$3:P$99="")*(O$3:O$99="")*(N$3:N$99="")*(M$3:M$99="P")*(G$3:G$99=G61)*(J$3:J$99&gt;J61)*(I$3:I$99="P"))+IF(H61="L5",SUMPRODUCT((P$3:P$99="")*(O$3:O$99="")*(N$3:N$99="")*(M$3:M$99="P")*(G$3:G$99=G61)*(J$3:J$99&lt;J61)*(H$3:H$99&lt;&gt;H61)*(I$3:I$99="P")),-1*SUMPRODUCT((P$3:P$99="")*(O$3:O$99="")*(N$3:N$99="")*(M$3:M$99="P")*(G$3:G$99=G61)*(J$3:J$99&gt;J61)*(H$3:H$99="L5")*(I$3:I$99="P")))+1,"")))))</f>
        <v>3</v>
      </c>
      <c r="B61" s="1" cm="1">
        <f t="array" ref="B61">IF(P61&lt;&gt;"",SUMPRODUCT((P$3:P$99&lt;&gt;"")*(G$3:G$99=G61)*(J$3:J$99&gt;J61))+1,IF(O61&lt;&gt;"",SUMPRODUCT((O$3:O$99&lt;&gt;"")*(P$3:P$99="")*(G$3:G$99=G61)*(J$3:J$99&gt;J61))+SUMPRODUCT((P$3:P$99&lt;&gt;"")*(G$3:G$99=G61))+1,IF(N61&lt;&gt;"",SUMPRODUCT((N$3:N$99&lt;&gt;"")*(G$3:G$99=G61)*(J$3:J$99&gt;J61))+1,IF(M61="P",SUMPRODUCT((O$3:O$99&lt;&gt;"")*(P$3:P$99="")*(G$3:G$99=G61))+SUMPRODUCT((P$3:P$99&lt;&gt;"")*(G$3:G$99=G61))+SUMPRODUCT((N$3:N$99&lt;&gt;"")*(G$3:G$99=G61))+SUMPRODUCT((P$3:P$99="")*(O$3:O$99="")*(N$3:N$99="")*(M$3:M$99="P")*(G$3:G$99=G61)*(J$3:J$99&gt;J61))+IF(H61="L5",SUMPRODUCT((P$3:P$99="")*(O$3:O$99="")*(N$3:N$99="")*(M$3:M$99="P")*(G$3:G$99=G61)*(J$3:J$99&lt;J61)*(H$3:H$99&lt;&gt;H61)),-1*SUMPRODUCT((P$3:P$99="")*(O$3:O$99="")*(N$3:N$99="")*(M$3:M$99="P")*(G$3:G$99=G61)*(J$3:J$99&gt;J61)*(H$3:H$99="L5")))+1,""))))</f>
        <v>3</v>
      </c>
      <c r="C61" s="36" t="s">
        <v>276</v>
      </c>
      <c r="D61" s="36" t="str">
        <f>IF(E61="","",VLOOKUP(E61,'Coaching Points'!A:B,2,0))</f>
        <v>AB</v>
      </c>
      <c r="E61" s="36" t="s">
        <v>64</v>
      </c>
      <c r="F61" s="35">
        <v>2007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9" t="s">
        <v>65</v>
      </c>
      <c r="I61" s="43" t="s">
        <v>567</v>
      </c>
      <c r="J61" s="4">
        <f>R61+S61+IF(OR(H61="Junior",H61="Senior"),0.0002,IF(OR(H61="L7",H61="L6"),0.0001,0))+MAX(X61,Z61)*0.0000001</f>
        <v>99.700205010000005</v>
      </c>
      <c r="K61" s="3" t="str">
        <f>IF(G61="Not Age Eligible","",IF(MAX(T61,V61,X61,Z61)&gt;=LOOKUP(G61,'Qualifying Scores'!$A$4:$A$7,'Qualifying Scores'!$F$4:$F$7),"P",""))</f>
        <v>P</v>
      </c>
      <c r="L61" s="3" t="str">
        <f>IF(G61="Not Age Eligible","",IF(MAX(U61,W61,Y61,AA61)&gt;=LOOKUP(G61,'Qualifying Scores'!$A$10:$A$13,'Qualifying Scores'!$F$10:$F$13),"P",""))</f>
        <v>P</v>
      </c>
      <c r="M61" s="3" t="str">
        <f>IF(G61="Not Age Eligible","",IF(OR(AND(T61&gt;=LOOKUP(G61,'Qualifying Scores'!$A$4:$A$7,'Qualifying Scores'!$F$4:$F$7),U61&gt;=LOOKUP(G61,'Qualifying Scores'!$A$10:$A$13,'Qualifying Scores'!$F$10:$F$13)),AND(X61&gt;=LOOKUP(G61,'Qualifying Scores'!$A$4:$A$7,'Qualifying Scores'!$F$4:$F$7),Y61&gt;=LOOKUP(G61,'Qualifying Scores'!$A$10:$A$13,'Qualifying Scores'!$F$10:$F$13)),AND(V61&gt;=LOOKUP(G61,'Qualifying Scores'!$A$4:$A$7,'Qualifying Scores'!$F$4:$F$7),W61&gt;=LOOKUP(G61,'Qualifying Scores'!$A$10:$A$13,'Qualifying Scores'!$F$10:$F$13)),AND(Z61&gt;=LOOKUP(G61,'Qualifying Scores'!$A$4:$A$7,'Qualifying Scores'!$F$4:$F$7),AA61&gt;=LOOKUP(G61,'Qualifying Scores'!$A$10:$A$13,'Qualifying Scores'!$F$10:$F$13))),"P",""))</f>
        <v>P</v>
      </c>
      <c r="N61" s="39">
        <v>3</v>
      </c>
      <c r="Q61" s="1">
        <f>IF(A61&lt;5,IF(_xlfn.MAXIFS(A:A,G:G,G61)&gt;3,5-A61,_xlfn.MAXIFS(A:A,G:G,G61)+1-A61),"")</f>
        <v>2</v>
      </c>
      <c r="R61" s="4">
        <f>MAX(T61,X61)</f>
        <v>49.6</v>
      </c>
      <c r="S61" s="4">
        <f>IF(R61=T61,MAX(V61,X61,Z61),IF(R61=X61,MAX(T61,V61,Z61),0))</f>
        <v>50.1</v>
      </c>
      <c r="T61" s="33">
        <v>47.5</v>
      </c>
      <c r="U61" s="40">
        <v>10.4</v>
      </c>
      <c r="V61" s="34">
        <v>45.9</v>
      </c>
      <c r="W61" s="40">
        <v>9.5</v>
      </c>
      <c r="X61" s="33">
        <v>49.6</v>
      </c>
      <c r="Y61" s="40">
        <v>14.399999999999999</v>
      </c>
      <c r="Z61" s="34">
        <v>50.1</v>
      </c>
      <c r="AA61" s="37">
        <v>14.399999999999999</v>
      </c>
    </row>
    <row r="62" spans="1:27" x14ac:dyDescent="0.2">
      <c r="A62" s="1" cm="1">
        <f t="array" ref="A62">IF(I62="","",IF(P62&lt;&gt;"",SUMPRODUCT((P$3:P$99&lt;&gt;"")*(G$3:G$99=G62)*(J$3:J$99&gt;J62)*(I$3:I$99="P"))+1,IF(O62&lt;&gt;"",SUMPRODUCT((O$3:O$99&lt;&gt;"")*(P$3:P$99="")*(G$3:G$99=G62)*(J$3:J$99&gt;J62)*(I$3:I$99="P"))+SUMPRODUCT((P$3:P$99&lt;&gt;"")*(G$3:G$99=G62)*(I$3:I$99="P"))+1,IF(N62&lt;&gt;"",SUMPRODUCT((N$3:N$99&lt;&gt;"")*(G$3:G$99=G62)*(J$3:J$99&gt;J62)*(I$3:I$99="P"))+1,IF(M62="P",SUMPRODUCT((O$3:O$99&lt;&gt;"")*(P$3:P$99="")*(G$3:G$99=G62)*(I$3:I$99="P"))+SUMPRODUCT((P$3:P$99&lt;&gt;"")*(G$3:G$99=G62)*(I$3:I$99="P"))+SUMPRODUCT((N$3:N$99&lt;&gt;"")*(G$3:G$99=G62)*(I$3:I$99="P"))+SUMPRODUCT((P$3:P$99="")*(O$3:O$99="")*(N$3:N$99="")*(M$3:M$99="P")*(G$3:G$99=G62)*(J$3:J$99&gt;J62)*(I$3:I$99="P"))+IF(H62="L5",SUMPRODUCT((P$3:P$99="")*(O$3:O$99="")*(N$3:N$99="")*(M$3:M$99="P")*(G$3:G$99=G62)*(J$3:J$99&lt;J62)*(H$3:H$99&lt;&gt;H62)*(I$3:I$99="P")),-1*SUMPRODUCT((P$3:P$99="")*(O$3:O$99="")*(N$3:N$99="")*(M$3:M$99="P")*(G$3:G$99=G62)*(J$3:J$99&gt;J62)*(H$3:H$99="L5")*(I$3:I$99="P")))+1,"")))))</f>
        <v>4</v>
      </c>
      <c r="B62" s="1" cm="1">
        <f t="array" ref="B62">IF(P62&lt;&gt;"",SUMPRODUCT((P$3:P$99&lt;&gt;"")*(G$3:G$99=G62)*(J$3:J$99&gt;J62))+1,IF(O62&lt;&gt;"",SUMPRODUCT((O$3:O$99&lt;&gt;"")*(P$3:P$99="")*(G$3:G$99=G62)*(J$3:J$99&gt;J62))+SUMPRODUCT((P$3:P$99&lt;&gt;"")*(G$3:G$99=G62))+1,IF(N62&lt;&gt;"",SUMPRODUCT((N$3:N$99&lt;&gt;"")*(G$3:G$99=G62)*(J$3:J$99&gt;J62))+1,IF(M62="P",SUMPRODUCT((O$3:O$99&lt;&gt;"")*(P$3:P$99="")*(G$3:G$99=G62))+SUMPRODUCT((P$3:P$99&lt;&gt;"")*(G$3:G$99=G62))+SUMPRODUCT((N$3:N$99&lt;&gt;"")*(G$3:G$99=G62))+SUMPRODUCT((P$3:P$99="")*(O$3:O$99="")*(N$3:N$99="")*(M$3:M$99="P")*(G$3:G$99=G62)*(J$3:J$99&gt;J62))+IF(H62="L5",SUMPRODUCT((P$3:P$99="")*(O$3:O$99="")*(N$3:N$99="")*(M$3:M$99="P")*(G$3:G$99=G62)*(J$3:J$99&lt;J62)*(H$3:H$99&lt;&gt;H62)),-1*SUMPRODUCT((P$3:P$99="")*(O$3:O$99="")*(N$3:N$99="")*(M$3:M$99="P")*(G$3:G$99=G62)*(J$3:J$99&gt;J62)*(H$3:H$99="L5")))+1,""))))</f>
        <v>4</v>
      </c>
      <c r="C62" s="36" t="s">
        <v>213</v>
      </c>
      <c r="D62" s="36" t="str">
        <f>IF(E62="","",VLOOKUP(E62,'Coaching Points'!A:B,2,0))</f>
        <v>AB</v>
      </c>
      <c r="E62" s="36" t="s">
        <v>40</v>
      </c>
      <c r="F62" s="35">
        <v>2007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9" t="s">
        <v>65</v>
      </c>
      <c r="I62" s="43" t="s">
        <v>567</v>
      </c>
      <c r="J62" s="4">
        <f>R62+S62+IF(OR(H62="Junior",H62="Senior"),0.0002,IF(OR(H62="L7",H62="L6"),0.0001,0))+MAX(X62,Z62)*0.0000001</f>
        <v>98.900204940000009</v>
      </c>
      <c r="K62" s="3" t="str">
        <f>IF(G62="Not Age Eligible","",IF(MAX(T62,V62,X62,Z62)&gt;=LOOKUP(G62,'Qualifying Scores'!$A$4:$A$7,'Qualifying Scores'!$F$4:$F$7),"P",""))</f>
        <v>P</v>
      </c>
      <c r="L62" s="3" t="str">
        <f>IF(G62="Not Age Eligible","",IF(MAX(U62,W62,Y62,AA62)&gt;=LOOKUP(G62,'Qualifying Scores'!$A$10:$A$13,'Qualifying Scores'!$F$10:$F$13),"P",""))</f>
        <v>P</v>
      </c>
      <c r="M62" s="3" t="str">
        <f>IF(G62="Not Age Eligible","",IF(OR(AND(T62&gt;=LOOKUP(G62,'Qualifying Scores'!$A$4:$A$7,'Qualifying Scores'!$F$4:$F$7),U62&gt;=LOOKUP(G62,'Qualifying Scores'!$A$10:$A$13,'Qualifying Scores'!$F$10:$F$13)),AND(X62&gt;=LOOKUP(G62,'Qualifying Scores'!$A$4:$A$7,'Qualifying Scores'!$F$4:$F$7),Y62&gt;=LOOKUP(G62,'Qualifying Scores'!$A$10:$A$13,'Qualifying Scores'!$F$10:$F$13)),AND(V62&gt;=LOOKUP(G62,'Qualifying Scores'!$A$4:$A$7,'Qualifying Scores'!$F$4:$F$7),W62&gt;=LOOKUP(G62,'Qualifying Scores'!$A$10:$A$13,'Qualifying Scores'!$F$10:$F$13)),AND(Z62&gt;=LOOKUP(G62,'Qualifying Scores'!$A$4:$A$7,'Qualifying Scores'!$F$4:$F$7),AA62&gt;=LOOKUP(G62,'Qualifying Scores'!$A$10:$A$13,'Qualifying Scores'!$F$10:$F$13))),"P",""))</f>
        <v>P</v>
      </c>
      <c r="N62" s="39">
        <v>2</v>
      </c>
      <c r="Q62" s="1">
        <f>IF(A62&lt;5,IF(_xlfn.MAXIFS(A:A,G:G,G62)&gt;3,5-A62,_xlfn.MAXIFS(A:A,G:G,G62)+1-A62),"")</f>
        <v>1</v>
      </c>
      <c r="R62" s="4">
        <f>MAX(T62,X62)</f>
        <v>49.5</v>
      </c>
      <c r="S62" s="4">
        <f>IF(R62=T62,MAX(V62,X62,Z62),IF(R62=X62,MAX(T62,V62,Z62),0))</f>
        <v>49.4</v>
      </c>
      <c r="T62" s="33">
        <v>49.5</v>
      </c>
      <c r="U62" s="40">
        <v>12</v>
      </c>
      <c r="V62" s="34">
        <v>48.7</v>
      </c>
      <c r="W62" s="40">
        <v>12</v>
      </c>
      <c r="X62" s="33">
        <v>49.4</v>
      </c>
      <c r="Y62" s="40">
        <v>12.8</v>
      </c>
      <c r="Z62" s="34">
        <v>47.4</v>
      </c>
      <c r="AA62" s="37">
        <v>11.600000000000001</v>
      </c>
    </row>
    <row r="63" spans="1:27" x14ac:dyDescent="0.2">
      <c r="A63" s="1" cm="1">
        <f t="array" ref="A63">IF(I63="","",IF(P63&lt;&gt;"",SUMPRODUCT((P$3:P$99&lt;&gt;"")*(G$3:G$99=G63)*(J$3:J$99&gt;J63)*(I$3:I$99="P"))+1,IF(O63&lt;&gt;"",SUMPRODUCT((O$3:O$99&lt;&gt;"")*(P$3:P$99="")*(G$3:G$99=G63)*(J$3:J$99&gt;J63)*(I$3:I$99="P"))+SUMPRODUCT((P$3:P$99&lt;&gt;"")*(G$3:G$99=G63)*(I$3:I$99="P"))+1,IF(N63&lt;&gt;"",SUMPRODUCT((N$3:N$99&lt;&gt;"")*(G$3:G$99=G63)*(J$3:J$99&gt;J63)*(I$3:I$99="P"))+1,IF(M63="P",SUMPRODUCT((O$3:O$99&lt;&gt;"")*(P$3:P$99="")*(G$3:G$99=G63)*(I$3:I$99="P"))+SUMPRODUCT((P$3:P$99&lt;&gt;"")*(G$3:G$99=G63)*(I$3:I$99="P"))+SUMPRODUCT((N$3:N$99&lt;&gt;"")*(G$3:G$99=G63)*(I$3:I$99="P"))+SUMPRODUCT((P$3:P$99="")*(O$3:O$99="")*(N$3:N$99="")*(M$3:M$99="P")*(G$3:G$99=G63)*(J$3:J$99&gt;J63)*(I$3:I$99="P"))+IF(H63="L5",SUMPRODUCT((P$3:P$99="")*(O$3:O$99="")*(N$3:N$99="")*(M$3:M$99="P")*(G$3:G$99=G63)*(J$3:J$99&lt;J63)*(H$3:H$99&lt;&gt;H63)*(I$3:I$99="P")),-1*SUMPRODUCT((P$3:P$99="")*(O$3:O$99="")*(N$3:N$99="")*(M$3:M$99="P")*(G$3:G$99=G63)*(J$3:J$99&gt;J63)*(H$3:H$99="L5")*(I$3:I$99="P")))+1,"")))))</f>
        <v>5</v>
      </c>
      <c r="B63" s="1" cm="1">
        <f t="array" ref="B63">IF(P63&lt;&gt;"",SUMPRODUCT((P$3:P$99&lt;&gt;"")*(G$3:G$99=G63)*(J$3:J$99&gt;J63))+1,IF(O63&lt;&gt;"",SUMPRODUCT((O$3:O$99&lt;&gt;"")*(P$3:P$99="")*(G$3:G$99=G63)*(J$3:J$99&gt;J63))+SUMPRODUCT((P$3:P$99&lt;&gt;"")*(G$3:G$99=G63))+1,IF(N63&lt;&gt;"",SUMPRODUCT((N$3:N$99&lt;&gt;"")*(G$3:G$99=G63)*(J$3:J$99&gt;J63))+1,IF(M63="P",SUMPRODUCT((O$3:O$99&lt;&gt;"")*(P$3:P$99="")*(G$3:G$99=G63))+SUMPRODUCT((P$3:P$99&lt;&gt;"")*(G$3:G$99=G63))+SUMPRODUCT((N$3:N$99&lt;&gt;"")*(G$3:G$99=G63))+SUMPRODUCT((P$3:P$99="")*(O$3:O$99="")*(N$3:N$99="")*(M$3:M$99="P")*(G$3:G$99=G63)*(J$3:J$99&gt;J63))+IF(H63="L5",SUMPRODUCT((P$3:P$99="")*(O$3:O$99="")*(N$3:N$99="")*(M$3:M$99="P")*(G$3:G$99=G63)*(J$3:J$99&lt;J63)*(H$3:H$99&lt;&gt;H63)),-1*SUMPRODUCT((P$3:P$99="")*(O$3:O$99="")*(N$3:N$99="")*(M$3:M$99="P")*(G$3:G$99=G63)*(J$3:J$99&gt;J63)*(H$3:H$99="L5")))+1,""))))</f>
        <v>5</v>
      </c>
      <c r="C63" s="36" t="s">
        <v>89</v>
      </c>
      <c r="D63" s="36" t="str">
        <f>IF(E63="","",VLOOKUP(E63,'Coaching Points'!A:B,2,0))</f>
        <v>BC</v>
      </c>
      <c r="E63" s="36" t="s">
        <v>62</v>
      </c>
      <c r="F63" s="35">
        <v>2007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9" t="s">
        <v>65</v>
      </c>
      <c r="I63" s="43" t="s">
        <v>567</v>
      </c>
      <c r="J63" s="4">
        <f>R63+S63+IF(OR(H63="Junior",H63="Senior"),0.0002,IF(OR(H63="L7",H63="L6"),0.0001,0))+MAX(X63,Z63)*0.0000001</f>
        <v>98.300204960000016</v>
      </c>
      <c r="K63" s="3" t="str">
        <f>IF(G63="Not Age Eligible","",IF(MAX(T63,V63,X63,Z63)&gt;=LOOKUP(G63,'Qualifying Scores'!$A$4:$A$7,'Qualifying Scores'!$F$4:$F$7),"P",""))</f>
        <v>P</v>
      </c>
      <c r="L63" s="3" t="str">
        <f>IF(G63="Not Age Eligible","",IF(MAX(U63,W63,Y63,AA63)&gt;=LOOKUP(G63,'Qualifying Scores'!$A$10:$A$13,'Qualifying Scores'!$F$10:$F$13),"P",""))</f>
        <v>P</v>
      </c>
      <c r="M63" s="3" t="str">
        <f>IF(G63="Not Age Eligible","",IF(OR(AND(T63&gt;=LOOKUP(G63,'Qualifying Scores'!$A$4:$A$7,'Qualifying Scores'!$F$4:$F$7),U63&gt;=LOOKUP(G63,'Qualifying Scores'!$A$10:$A$13,'Qualifying Scores'!$F$10:$F$13)),AND(X63&gt;=LOOKUP(G63,'Qualifying Scores'!$A$4:$A$7,'Qualifying Scores'!$F$4:$F$7),Y63&gt;=LOOKUP(G63,'Qualifying Scores'!$A$10:$A$13,'Qualifying Scores'!$F$10:$F$13)),AND(V63&gt;=LOOKUP(G63,'Qualifying Scores'!$A$4:$A$7,'Qualifying Scores'!$F$4:$F$7),W63&gt;=LOOKUP(G63,'Qualifying Scores'!$A$10:$A$13,'Qualifying Scores'!$F$10:$F$13)),AND(Z63&gt;=LOOKUP(G63,'Qualifying Scores'!$A$4:$A$7,'Qualifying Scores'!$F$4:$F$7),AA63&gt;=LOOKUP(G63,'Qualifying Scores'!$A$10:$A$13,'Qualifying Scores'!$F$10:$F$13))),"P",""))</f>
        <v>P</v>
      </c>
      <c r="Q63" s="1" t="str">
        <f>IF(A63&lt;5,IF(_xlfn.MAXIFS(A:A,G:G,G63)&gt;3,5-A63,_xlfn.MAXIFS(A:A,G:G,G63)+1-A63),"")</f>
        <v/>
      </c>
      <c r="R63" s="4">
        <f>MAX(T63,X63)</f>
        <v>48.7</v>
      </c>
      <c r="S63" s="4">
        <f>IF(R63=T63,MAX(V63,X63,Z63),IF(R63=X63,MAX(T63,V63,Z63),0))</f>
        <v>49.6</v>
      </c>
      <c r="T63" s="33">
        <v>45.7</v>
      </c>
      <c r="U63" s="40">
        <v>10</v>
      </c>
      <c r="V63" s="34">
        <v>45.7</v>
      </c>
      <c r="W63" s="40">
        <v>9.1</v>
      </c>
      <c r="X63" s="33">
        <v>48.7</v>
      </c>
      <c r="Y63" s="40">
        <v>13.3</v>
      </c>
      <c r="Z63" s="34">
        <v>49.6</v>
      </c>
      <c r="AA63" s="37">
        <v>12</v>
      </c>
    </row>
    <row r="64" spans="1:27" x14ac:dyDescent="0.2">
      <c r="A64" s="1" cm="1">
        <f t="array" ref="A64">IF(I64="","",IF(P64&lt;&gt;"",SUMPRODUCT((P$3:P$99&lt;&gt;"")*(G$3:G$99=G64)*(J$3:J$99&gt;J64)*(I$3:I$99="P"))+1,IF(O64&lt;&gt;"",SUMPRODUCT((O$3:O$99&lt;&gt;"")*(P$3:P$99="")*(G$3:G$99=G64)*(J$3:J$99&gt;J64)*(I$3:I$99="P"))+SUMPRODUCT((P$3:P$99&lt;&gt;"")*(G$3:G$99=G64)*(I$3:I$99="P"))+1,IF(N64&lt;&gt;"",SUMPRODUCT((N$3:N$99&lt;&gt;"")*(G$3:G$99=G64)*(J$3:J$99&gt;J64)*(I$3:I$99="P"))+1,IF(M64="P",SUMPRODUCT((O$3:O$99&lt;&gt;"")*(P$3:P$99="")*(G$3:G$99=G64)*(I$3:I$99="P"))+SUMPRODUCT((P$3:P$99&lt;&gt;"")*(G$3:G$99=G64)*(I$3:I$99="P"))+SUMPRODUCT((N$3:N$99&lt;&gt;"")*(G$3:G$99=G64)*(I$3:I$99="P"))+SUMPRODUCT((P$3:P$99="")*(O$3:O$99="")*(N$3:N$99="")*(M$3:M$99="P")*(G$3:G$99=G64)*(J$3:J$99&gt;J64)*(I$3:I$99="P"))+IF(H64="L5",SUMPRODUCT((P$3:P$99="")*(O$3:O$99="")*(N$3:N$99="")*(M$3:M$99="P")*(G$3:G$99=G64)*(J$3:J$99&lt;J64)*(H$3:H$99&lt;&gt;H64)*(I$3:I$99="P")),-1*SUMPRODUCT((P$3:P$99="")*(O$3:O$99="")*(N$3:N$99="")*(M$3:M$99="P")*(G$3:G$99=G64)*(J$3:J$99&gt;J64)*(H$3:H$99="L5")*(I$3:I$99="P")))+1,"")))))</f>
        <v>6</v>
      </c>
      <c r="B64" s="1" cm="1">
        <f t="array" ref="B64">IF(P64&lt;&gt;"",SUMPRODUCT((P$3:P$99&lt;&gt;"")*(G$3:G$99=G64)*(J$3:J$99&gt;J64))+1,IF(O64&lt;&gt;"",SUMPRODUCT((O$3:O$99&lt;&gt;"")*(P$3:P$99="")*(G$3:G$99=G64)*(J$3:J$99&gt;J64))+SUMPRODUCT((P$3:P$99&lt;&gt;"")*(G$3:G$99=G64))+1,IF(N64&lt;&gt;"",SUMPRODUCT((N$3:N$99&lt;&gt;"")*(G$3:G$99=G64)*(J$3:J$99&gt;J64))+1,IF(M64="P",SUMPRODUCT((O$3:O$99&lt;&gt;"")*(P$3:P$99="")*(G$3:G$99=G64))+SUMPRODUCT((P$3:P$99&lt;&gt;"")*(G$3:G$99=G64))+SUMPRODUCT((N$3:N$99&lt;&gt;"")*(G$3:G$99=G64))+SUMPRODUCT((P$3:P$99="")*(O$3:O$99="")*(N$3:N$99="")*(M$3:M$99="P")*(G$3:G$99=G64)*(J$3:J$99&gt;J64))+IF(H64="L5",SUMPRODUCT((P$3:P$99="")*(O$3:O$99="")*(N$3:N$99="")*(M$3:M$99="P")*(G$3:G$99=G64)*(J$3:J$99&lt;J64)*(H$3:H$99&lt;&gt;H64)),-1*SUMPRODUCT((P$3:P$99="")*(O$3:O$99="")*(N$3:N$99="")*(M$3:M$99="P")*(G$3:G$99=G64)*(J$3:J$99&gt;J64)*(H$3:H$99="L5")))+1,""))))</f>
        <v>6</v>
      </c>
      <c r="C64" s="36" t="s">
        <v>102</v>
      </c>
      <c r="D64" s="36" t="str">
        <f>IF(E64="","",VLOOKUP(E64,'Coaching Points'!A:B,2,0))</f>
        <v>BC</v>
      </c>
      <c r="E64" s="36" t="s">
        <v>62</v>
      </c>
      <c r="F64" s="35">
        <v>2007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65</v>
      </c>
      <c r="I64" s="43" t="s">
        <v>567</v>
      </c>
      <c r="J64" s="4">
        <f>R64+S64+IF(OR(H64="Junior",H64="Senior"),0.0002,IF(OR(H64="L7",H64="L6"),0.0001,0))+MAX(X64,Z64)*0.0000001</f>
        <v>95.300204520000023</v>
      </c>
      <c r="K64" s="3" t="str">
        <f>IF(G64="Not Age Eligible","",IF(MAX(T64,V64,X64,Z64)&gt;=LOOKUP(G64,'Qualifying Scores'!$A$4:$A$7,'Qualifying Scores'!$F$4:$F$7),"P",""))</f>
        <v>P</v>
      </c>
      <c r="L64" s="3" t="str">
        <f>IF(G64="Not Age Eligible","",IF(MAX(U64,W64,Y64,AA64)&gt;=LOOKUP(G64,'Qualifying Scores'!$A$10:$A$13,'Qualifying Scores'!$F$10:$F$13),"P",""))</f>
        <v>P</v>
      </c>
      <c r="M64" s="3" t="str">
        <f>IF(G64="Not Age Eligible","",IF(OR(AND(T64&gt;=LOOKUP(G64,'Qualifying Scores'!$A$4:$A$7,'Qualifying Scores'!$F$4:$F$7),U64&gt;=LOOKUP(G64,'Qualifying Scores'!$A$10:$A$13,'Qualifying Scores'!$F$10:$F$13)),AND(X64&gt;=LOOKUP(G64,'Qualifying Scores'!$A$4:$A$7,'Qualifying Scores'!$F$4:$F$7),Y64&gt;=LOOKUP(G64,'Qualifying Scores'!$A$10:$A$13,'Qualifying Scores'!$F$10:$F$13)),AND(V64&gt;=LOOKUP(G64,'Qualifying Scores'!$A$4:$A$7,'Qualifying Scores'!$F$4:$F$7),W64&gt;=LOOKUP(G64,'Qualifying Scores'!$A$10:$A$13,'Qualifying Scores'!$F$10:$F$13)),AND(Z64&gt;=LOOKUP(G64,'Qualifying Scores'!$A$4:$A$7,'Qualifying Scores'!$F$4:$F$7),AA64&gt;=LOOKUP(G64,'Qualifying Scores'!$A$10:$A$13,'Qualifying Scores'!$F$10:$F$13))),"P",""))</f>
        <v>P</v>
      </c>
      <c r="Q64" s="1" t="str">
        <f>IF(A64&lt;5,IF(_xlfn.MAXIFS(A:A,G:G,G64)&gt;3,5-A64,_xlfn.MAXIFS(A:A,G:G,G64)+1-A64),"")</f>
        <v/>
      </c>
      <c r="R64" s="4">
        <f>MAX(T64,X64)</f>
        <v>48.2</v>
      </c>
      <c r="S64" s="4">
        <f>IF(R64=T64,MAX(V64,X64,Z64),IF(R64=X64,MAX(T64,V64,Z64),0))</f>
        <v>47.1</v>
      </c>
      <c r="T64" s="33">
        <v>48.2</v>
      </c>
      <c r="U64" s="40">
        <v>11.6</v>
      </c>
      <c r="V64" s="34">
        <v>47.1</v>
      </c>
      <c r="W64" s="40">
        <v>11.6</v>
      </c>
      <c r="X64" s="33">
        <v>43.6</v>
      </c>
      <c r="Y64" s="40">
        <v>8.8000000000000007</v>
      </c>
      <c r="Z64" s="34">
        <v>45.2</v>
      </c>
      <c r="AA64" s="37">
        <v>11.6</v>
      </c>
    </row>
    <row r="65" spans="1:27" x14ac:dyDescent="0.2">
      <c r="A65" s="1" cm="1">
        <f t="array" ref="A65">IF(I65="","",IF(P65&lt;&gt;"",SUMPRODUCT((P$3:P$99&lt;&gt;"")*(G$3:G$99=G65)*(J$3:J$99&gt;J65)*(I$3:I$99="P"))+1,IF(O65&lt;&gt;"",SUMPRODUCT((O$3:O$99&lt;&gt;"")*(P$3:P$99="")*(G$3:G$99=G65)*(J$3:J$99&gt;J65)*(I$3:I$99="P"))+SUMPRODUCT((P$3:P$99&lt;&gt;"")*(G$3:G$99=G65)*(I$3:I$99="P"))+1,IF(N65&lt;&gt;"",SUMPRODUCT((N$3:N$99&lt;&gt;"")*(G$3:G$99=G65)*(J$3:J$99&gt;J65)*(I$3:I$99="P"))+1,IF(M65="P",SUMPRODUCT((O$3:O$99&lt;&gt;"")*(P$3:P$99="")*(G$3:G$99=G65)*(I$3:I$99="P"))+SUMPRODUCT((P$3:P$99&lt;&gt;"")*(G$3:G$99=G65)*(I$3:I$99="P"))+SUMPRODUCT((N$3:N$99&lt;&gt;"")*(G$3:G$99=G65)*(I$3:I$99="P"))+SUMPRODUCT((P$3:P$99="")*(O$3:O$99="")*(N$3:N$99="")*(M$3:M$99="P")*(G$3:G$99=G65)*(J$3:J$99&gt;J65)*(I$3:I$99="P"))+IF(H65="L5",SUMPRODUCT((P$3:P$99="")*(O$3:O$99="")*(N$3:N$99="")*(M$3:M$99="P")*(G$3:G$99=G65)*(J$3:J$99&lt;J65)*(H$3:H$99&lt;&gt;H65)*(I$3:I$99="P")),-1*SUMPRODUCT((P$3:P$99="")*(O$3:O$99="")*(N$3:N$99="")*(M$3:M$99="P")*(G$3:G$99=G65)*(J$3:J$99&gt;J65)*(H$3:H$99="L5")*(I$3:I$99="P")))+1,"")))))</f>
        <v>7</v>
      </c>
      <c r="B65" s="1" cm="1">
        <f t="array" ref="B65">IF(P65&lt;&gt;"",SUMPRODUCT((P$3:P$99&lt;&gt;"")*(G$3:G$99=G65)*(J$3:J$99&gt;J65))+1,IF(O65&lt;&gt;"",SUMPRODUCT((O$3:O$99&lt;&gt;"")*(P$3:P$99="")*(G$3:G$99=G65)*(J$3:J$99&gt;J65))+SUMPRODUCT((P$3:P$99&lt;&gt;"")*(G$3:G$99=G65))+1,IF(N65&lt;&gt;"",SUMPRODUCT((N$3:N$99&lt;&gt;"")*(G$3:G$99=G65)*(J$3:J$99&gt;J65))+1,IF(M65="P",SUMPRODUCT((O$3:O$99&lt;&gt;"")*(P$3:P$99="")*(G$3:G$99=G65))+SUMPRODUCT((P$3:P$99&lt;&gt;"")*(G$3:G$99=G65))+SUMPRODUCT((N$3:N$99&lt;&gt;"")*(G$3:G$99=G65))+SUMPRODUCT((P$3:P$99="")*(O$3:O$99="")*(N$3:N$99="")*(M$3:M$99="P")*(G$3:G$99=G65)*(J$3:J$99&gt;J65))+IF(H65="L5",SUMPRODUCT((P$3:P$99="")*(O$3:O$99="")*(N$3:N$99="")*(M$3:M$99="P")*(G$3:G$99=G65)*(J$3:J$99&lt;J65)*(H$3:H$99&lt;&gt;H65)),-1*SUMPRODUCT((P$3:P$99="")*(O$3:O$99="")*(N$3:N$99="")*(M$3:M$99="P")*(G$3:G$99=G65)*(J$3:J$99&gt;J65)*(H$3:H$99="L5")))+1,""))))</f>
        <v>7</v>
      </c>
      <c r="C65" s="36" t="s">
        <v>438</v>
      </c>
      <c r="D65" s="36" t="str">
        <f>IF(E65="","",VLOOKUP(E65,'Coaching Points'!A:B,2,0))</f>
        <v>AB</v>
      </c>
      <c r="E65" s="36" t="s">
        <v>29</v>
      </c>
      <c r="F65" s="35">
        <v>2007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65</v>
      </c>
      <c r="I65" s="43" t="s">
        <v>567</v>
      </c>
      <c r="J65" s="4">
        <f>R65+S65+IF(OR(H65="Junior",H65="Senior"),0.0002,IF(OR(H65="L7",H65="L6"),0.0001,0))+MAX(X65,Z65)*0.0000001</f>
        <v>93.600204809999994</v>
      </c>
      <c r="K65" s="3" t="str">
        <f>IF(G65="Not Age Eligible","",IF(MAX(T65,V65,X65,Z65)&gt;=LOOKUP(G65,'Qualifying Scores'!$A$4:$A$7,'Qualifying Scores'!$F$4:$F$7),"P",""))</f>
        <v>P</v>
      </c>
      <c r="L65" s="3" t="str">
        <f>IF(G65="Not Age Eligible","",IF(MAX(U65,W65,Y65,AA65)&gt;=LOOKUP(G65,'Qualifying Scores'!$A$10:$A$13,'Qualifying Scores'!$F$10:$F$13),"P",""))</f>
        <v>P</v>
      </c>
      <c r="M65" s="3" t="str">
        <f>IF(G65="Not Age Eligible","",IF(OR(AND(T65&gt;=LOOKUP(G65,'Qualifying Scores'!$A$4:$A$7,'Qualifying Scores'!$F$4:$F$7),U65&gt;=LOOKUP(G65,'Qualifying Scores'!$A$10:$A$13,'Qualifying Scores'!$F$10:$F$13)),AND(X65&gt;=LOOKUP(G65,'Qualifying Scores'!$A$4:$A$7,'Qualifying Scores'!$F$4:$F$7),Y65&gt;=LOOKUP(G65,'Qualifying Scores'!$A$10:$A$13,'Qualifying Scores'!$F$10:$F$13)),AND(V65&gt;=LOOKUP(G65,'Qualifying Scores'!$A$4:$A$7,'Qualifying Scores'!$F$4:$F$7),W65&gt;=LOOKUP(G65,'Qualifying Scores'!$A$10:$A$13,'Qualifying Scores'!$F$10:$F$13)),AND(Z65&gt;=LOOKUP(G65,'Qualifying Scores'!$A$4:$A$7,'Qualifying Scores'!$F$4:$F$7),AA65&gt;=LOOKUP(G65,'Qualifying Scores'!$A$10:$A$13,'Qualifying Scores'!$F$10:$F$13))),"P",""))</f>
        <v>P</v>
      </c>
      <c r="Q65" s="1" t="str">
        <f>IF(A65&lt;5,IF(_xlfn.MAXIFS(A:A,G:G,G65)&gt;3,5-A65,_xlfn.MAXIFS(A:A,G:G,G65)+1-A65),"")</f>
        <v/>
      </c>
      <c r="R65" s="4">
        <f>MAX(T65,X65)</f>
        <v>45.5</v>
      </c>
      <c r="S65" s="4">
        <f>IF(R65=T65,MAX(V65,X65,Z65),IF(R65=X65,MAX(T65,V65,Z65),0))</f>
        <v>48.1</v>
      </c>
      <c r="T65" s="33"/>
      <c r="U65" s="40"/>
      <c r="V65" s="34"/>
      <c r="W65" s="40"/>
      <c r="X65" s="33">
        <v>45.5</v>
      </c>
      <c r="Y65" s="40">
        <v>12.4</v>
      </c>
      <c r="Z65" s="34">
        <v>48.1</v>
      </c>
      <c r="AA65" s="37">
        <v>13.2</v>
      </c>
    </row>
    <row r="66" spans="1:27" x14ac:dyDescent="0.2">
      <c r="A66" s="1" cm="1">
        <f t="array" ref="A66">IF(I66="","",IF(P66&lt;&gt;"",SUMPRODUCT((P$3:P$99&lt;&gt;"")*(G$3:G$99=G66)*(J$3:J$99&gt;J66)*(I$3:I$99="P"))+1,IF(O66&lt;&gt;"",SUMPRODUCT((O$3:O$99&lt;&gt;"")*(P$3:P$99="")*(G$3:G$99=G66)*(J$3:J$99&gt;J66)*(I$3:I$99="P"))+SUMPRODUCT((P$3:P$99&lt;&gt;"")*(G$3:G$99=G66)*(I$3:I$99="P"))+1,IF(N66&lt;&gt;"",SUMPRODUCT((N$3:N$99&lt;&gt;"")*(G$3:G$99=G66)*(J$3:J$99&gt;J66)*(I$3:I$99="P"))+1,IF(M66="P",SUMPRODUCT((O$3:O$99&lt;&gt;"")*(P$3:P$99="")*(G$3:G$99=G66)*(I$3:I$99="P"))+SUMPRODUCT((P$3:P$99&lt;&gt;"")*(G$3:G$99=G66)*(I$3:I$99="P"))+SUMPRODUCT((N$3:N$99&lt;&gt;"")*(G$3:G$99=G66)*(I$3:I$99="P"))+SUMPRODUCT((P$3:P$99="")*(O$3:O$99="")*(N$3:N$99="")*(M$3:M$99="P")*(G$3:G$99=G66)*(J$3:J$99&gt;J66)*(I$3:I$99="P"))+IF(H66="L5",SUMPRODUCT((P$3:P$99="")*(O$3:O$99="")*(N$3:N$99="")*(M$3:M$99="P")*(G$3:G$99=G66)*(J$3:J$99&lt;J66)*(H$3:H$99&lt;&gt;H66)*(I$3:I$99="P")),-1*SUMPRODUCT((P$3:P$99="")*(O$3:O$99="")*(N$3:N$99="")*(M$3:M$99="P")*(G$3:G$99=G66)*(J$3:J$99&gt;J66)*(H$3:H$99="L5")*(I$3:I$99="P")))+1,"")))))</f>
        <v>8</v>
      </c>
      <c r="B66" s="1" cm="1">
        <f t="array" ref="B66">IF(P66&lt;&gt;"",SUMPRODUCT((P$3:P$99&lt;&gt;"")*(G$3:G$99=G66)*(J$3:J$99&gt;J66))+1,IF(O66&lt;&gt;"",SUMPRODUCT((O$3:O$99&lt;&gt;"")*(P$3:P$99="")*(G$3:G$99=G66)*(J$3:J$99&gt;J66))+SUMPRODUCT((P$3:P$99&lt;&gt;"")*(G$3:G$99=G66))+1,IF(N66&lt;&gt;"",SUMPRODUCT((N$3:N$99&lt;&gt;"")*(G$3:G$99=G66)*(J$3:J$99&gt;J66))+1,IF(M66="P",SUMPRODUCT((O$3:O$99&lt;&gt;"")*(P$3:P$99="")*(G$3:G$99=G66))+SUMPRODUCT((P$3:P$99&lt;&gt;"")*(G$3:G$99=G66))+SUMPRODUCT((N$3:N$99&lt;&gt;"")*(G$3:G$99=G66))+SUMPRODUCT((P$3:P$99="")*(O$3:O$99="")*(N$3:N$99="")*(M$3:M$99="P")*(G$3:G$99=G66)*(J$3:J$99&gt;J66))+IF(H66="L5",SUMPRODUCT((P$3:P$99="")*(O$3:O$99="")*(N$3:N$99="")*(M$3:M$99="P")*(G$3:G$99=G66)*(J$3:J$99&lt;J66)*(H$3:H$99&lt;&gt;H66)),-1*SUMPRODUCT((P$3:P$99="")*(O$3:O$99="")*(N$3:N$99="")*(M$3:M$99="P")*(G$3:G$99=G66)*(J$3:J$99&gt;J66)*(H$3:H$99="L5")))+1,""))))</f>
        <v>8</v>
      </c>
      <c r="C66" s="36" t="s">
        <v>214</v>
      </c>
      <c r="D66" s="36" t="str">
        <f>IF(E66="","",VLOOKUP(E66,'Coaching Points'!A:B,2,0))</f>
        <v>NS</v>
      </c>
      <c r="E66" s="36" t="s">
        <v>134</v>
      </c>
      <c r="F66" s="35">
        <v>2008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9" t="s">
        <v>67</v>
      </c>
      <c r="I66" s="43" t="s">
        <v>567</v>
      </c>
      <c r="J66" s="4">
        <f>R66+S66+IF(OR(H66="Junior",H66="Senior"),0.0002,IF(OR(H66="L7",H66="L6"),0.0001,0))+MAX(X66,Z66)*0.0000001</f>
        <v>93.000104780000001</v>
      </c>
      <c r="K66" s="3" t="str">
        <f>IF(G66="Not Age Eligible","",IF(MAX(T66,V66,X66,Z66)&gt;=LOOKUP(G66,'Qualifying Scores'!$A$4:$A$7,'Qualifying Scores'!$F$4:$F$7),"P",""))</f>
        <v>P</v>
      </c>
      <c r="L66" s="3" t="str">
        <f>IF(G66="Not Age Eligible","",IF(MAX(U66,W66,Y66,AA66)&gt;=LOOKUP(G66,'Qualifying Scores'!$A$10:$A$13,'Qualifying Scores'!$F$10:$F$13),"P",""))</f>
        <v>P</v>
      </c>
      <c r="M66" s="3" t="str">
        <f>IF(G66="Not Age Eligible","",IF(OR(AND(T66&gt;=LOOKUP(G66,'Qualifying Scores'!$A$4:$A$7,'Qualifying Scores'!$F$4:$F$7),U66&gt;=LOOKUP(G66,'Qualifying Scores'!$A$10:$A$13,'Qualifying Scores'!$F$10:$F$13)),AND(X66&gt;=LOOKUP(G66,'Qualifying Scores'!$A$4:$A$7,'Qualifying Scores'!$F$4:$F$7),Y66&gt;=LOOKUP(G66,'Qualifying Scores'!$A$10:$A$13,'Qualifying Scores'!$F$10:$F$13)),AND(V66&gt;=LOOKUP(G66,'Qualifying Scores'!$A$4:$A$7,'Qualifying Scores'!$F$4:$F$7),W66&gt;=LOOKUP(G66,'Qualifying Scores'!$A$10:$A$13,'Qualifying Scores'!$F$10:$F$13)),AND(Z66&gt;=LOOKUP(G66,'Qualifying Scores'!$A$4:$A$7,'Qualifying Scores'!$F$4:$F$7),AA66&gt;=LOOKUP(G66,'Qualifying Scores'!$A$10:$A$13,'Qualifying Scores'!$F$10:$F$13))),"P",""))</f>
        <v>P</v>
      </c>
      <c r="Q66" s="1" t="str">
        <f>IF(A66&lt;5,IF(_xlfn.MAXIFS(A:A,G:G,G66)&gt;3,5-A66,_xlfn.MAXIFS(A:A,G:G,G66)+1-A66),"")</f>
        <v/>
      </c>
      <c r="R66" s="4">
        <f>MAX(T66,X66)</f>
        <v>47.8</v>
      </c>
      <c r="S66" s="4">
        <f>IF(R66=T66,MAX(V66,X66,Z66),IF(R66=X66,MAX(T66,V66,Z66),0))</f>
        <v>45.2</v>
      </c>
      <c r="T66" s="33">
        <v>42.3</v>
      </c>
      <c r="U66" s="40">
        <v>7.1</v>
      </c>
      <c r="V66" s="34">
        <v>43.2</v>
      </c>
      <c r="W66" s="40">
        <v>7.5</v>
      </c>
      <c r="X66" s="33">
        <v>47.8</v>
      </c>
      <c r="Y66" s="40">
        <v>11.2</v>
      </c>
      <c r="Z66" s="34">
        <v>45.2</v>
      </c>
      <c r="AA66" s="37">
        <v>9.6000000000000014</v>
      </c>
    </row>
    <row r="67" spans="1:27" x14ac:dyDescent="0.2">
      <c r="A67" s="1" t="str" cm="1">
        <f t="array" ref="A67">IF(I67="","",IF(P67&lt;&gt;"",SUMPRODUCT((P$3:P$99&lt;&gt;"")*(G$3:G$99=G67)*(J$3:J$99&gt;J67)*(I$3:I$99="P"))+1,IF(O67&lt;&gt;"",SUMPRODUCT((O$3:O$99&lt;&gt;"")*(P$3:P$99="")*(G$3:G$99=G67)*(J$3:J$99&gt;J67)*(I$3:I$99="P"))+SUMPRODUCT((P$3:P$99&lt;&gt;"")*(G$3:G$99=G67)*(I$3:I$99="P"))+1,IF(N67&lt;&gt;"",SUMPRODUCT((N$3:N$99&lt;&gt;"")*(G$3:G$99=G67)*(J$3:J$99&gt;J67)*(I$3:I$99="P"))+1,IF(M67="P",SUMPRODUCT((O$3:O$99&lt;&gt;"")*(P$3:P$99="")*(G$3:G$99=G67)*(I$3:I$99="P"))+SUMPRODUCT((P$3:P$99&lt;&gt;"")*(G$3:G$99=G67)*(I$3:I$99="P"))+SUMPRODUCT((N$3:N$99&lt;&gt;"")*(G$3:G$99=G67)*(I$3:I$99="P"))+SUMPRODUCT((P$3:P$99="")*(O$3:O$99="")*(N$3:N$99="")*(M$3:M$99="P")*(G$3:G$99=G67)*(J$3:J$99&gt;J67)*(I$3:I$99="P"))+IF(H67="L5",SUMPRODUCT((P$3:P$99="")*(O$3:O$99="")*(N$3:N$99="")*(M$3:M$99="P")*(G$3:G$99=G67)*(J$3:J$99&lt;J67)*(H$3:H$99&lt;&gt;H67)*(I$3:I$99="P")),-1*SUMPRODUCT((P$3:P$99="")*(O$3:O$99="")*(N$3:N$99="")*(M$3:M$99="P")*(G$3:G$99=G67)*(J$3:J$99&gt;J67)*(H$3:H$99="L5")*(I$3:I$99="P")))+1,"")))))</f>
        <v/>
      </c>
      <c r="B67" s="1" cm="1">
        <f t="array" ref="B67">IF(P67&lt;&gt;"",SUMPRODUCT((P$3:P$99&lt;&gt;"")*(G$3:G$99=G67)*(J$3:J$99&gt;J67))+1,IF(O67&lt;&gt;"",SUMPRODUCT((O$3:O$99&lt;&gt;"")*(P$3:P$99="")*(G$3:G$99=G67)*(J$3:J$99&gt;J67))+SUMPRODUCT((P$3:P$99&lt;&gt;"")*(G$3:G$99=G67))+1,IF(N67&lt;&gt;"",SUMPRODUCT((N$3:N$99&lt;&gt;"")*(G$3:G$99=G67)*(J$3:J$99&gt;J67))+1,IF(M67="P",SUMPRODUCT((O$3:O$99&lt;&gt;"")*(P$3:P$99="")*(G$3:G$99=G67))+SUMPRODUCT((P$3:P$99&lt;&gt;"")*(G$3:G$99=G67))+SUMPRODUCT((N$3:N$99&lt;&gt;"")*(G$3:G$99=G67))+SUMPRODUCT((P$3:P$99="")*(O$3:O$99="")*(N$3:N$99="")*(M$3:M$99="P")*(G$3:G$99=G67)*(J$3:J$99&gt;J67))+IF(H67="L5",SUMPRODUCT((P$3:P$99="")*(O$3:O$99="")*(N$3:N$99="")*(M$3:M$99="P")*(G$3:G$99=G67)*(J$3:J$99&lt;J67)*(H$3:H$99&lt;&gt;H67)),-1*SUMPRODUCT((P$3:P$99="")*(O$3:O$99="")*(N$3:N$99="")*(M$3:M$99="P")*(G$3:G$99=G67)*(J$3:J$99&gt;J67)*(H$3:H$99="L5")))+1,""))))</f>
        <v>9</v>
      </c>
      <c r="C67" s="36" t="s">
        <v>261</v>
      </c>
      <c r="D67" s="36" t="str">
        <f>IF(E67="","",VLOOKUP(E67,'Coaching Points'!A:B,2,0))</f>
        <v>BC</v>
      </c>
      <c r="E67" s="36" t="s">
        <v>41</v>
      </c>
      <c r="F67" s="35">
        <v>2008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9" t="s">
        <v>67</v>
      </c>
      <c r="I67" s="43"/>
      <c r="J67" s="4">
        <f>R67+S67+IF(OR(H67="Junior",H67="Senior"),0.0002,IF(OR(H67="L7",H67="L6"),0.0001,0))+MAX(X67,Z67)*0.0000001</f>
        <v>91.500104750000006</v>
      </c>
      <c r="K67" s="3" t="str">
        <f>IF(G67="Not Age Eligible","",IF(MAX(T67,V67,X67,Z67)&gt;=LOOKUP(G67,'Qualifying Scores'!$A$4:$A$7,'Qualifying Scores'!$F$4:$F$7),"P",""))</f>
        <v>P</v>
      </c>
      <c r="L67" s="3" t="str">
        <f>IF(G67="Not Age Eligible","",IF(MAX(U67,W67,Y67,AA67)&gt;=LOOKUP(G67,'Qualifying Scores'!$A$10:$A$13,'Qualifying Scores'!$F$10:$F$13),"P",""))</f>
        <v>P</v>
      </c>
      <c r="M67" s="3" t="str">
        <f>IF(G67="Not Age Eligible","",IF(OR(AND(T67&gt;=LOOKUP(G67,'Qualifying Scores'!$A$4:$A$7,'Qualifying Scores'!$F$4:$F$7),U67&gt;=LOOKUP(G67,'Qualifying Scores'!$A$10:$A$13,'Qualifying Scores'!$F$10:$F$13)),AND(X67&gt;=LOOKUP(G67,'Qualifying Scores'!$A$4:$A$7,'Qualifying Scores'!$F$4:$F$7),Y67&gt;=LOOKUP(G67,'Qualifying Scores'!$A$10:$A$13,'Qualifying Scores'!$F$10:$F$13)),AND(V67&gt;=LOOKUP(G67,'Qualifying Scores'!$A$4:$A$7,'Qualifying Scores'!$F$4:$F$7),W67&gt;=LOOKUP(G67,'Qualifying Scores'!$A$10:$A$13,'Qualifying Scores'!$F$10:$F$13)),AND(Z67&gt;=LOOKUP(G67,'Qualifying Scores'!$A$4:$A$7,'Qualifying Scores'!$F$4:$F$7),AA67&gt;=LOOKUP(G67,'Qualifying Scores'!$A$10:$A$13,'Qualifying Scores'!$F$10:$F$13))),"P",""))</f>
        <v>P</v>
      </c>
      <c r="Q67" s="1" t="str">
        <f>IF(A67&lt;5,IF(_xlfn.MAXIFS(A:A,G:G,G67)&gt;3,5-A67,_xlfn.MAXIFS(A:A,G:G,G67)+1-A67),"")</f>
        <v/>
      </c>
      <c r="R67" s="4">
        <f>MAX(T67,X67)</f>
        <v>47.5</v>
      </c>
      <c r="S67" s="4">
        <f>IF(R67=T67,MAX(V67,X67,Z67),IF(R67=X67,MAX(T67,V67,Z67),0))</f>
        <v>44</v>
      </c>
      <c r="T67" s="33">
        <v>44</v>
      </c>
      <c r="U67" s="40">
        <v>7.9</v>
      </c>
      <c r="V67" s="34">
        <v>42</v>
      </c>
      <c r="W67" s="40">
        <v>6.6999999999999993</v>
      </c>
      <c r="X67" s="33">
        <v>47.5</v>
      </c>
      <c r="Y67" s="40">
        <v>11.6</v>
      </c>
      <c r="Z67" s="34">
        <v>43.5</v>
      </c>
      <c r="AA67" s="37">
        <v>8.9</v>
      </c>
    </row>
    <row r="68" spans="1:27" x14ac:dyDescent="0.2">
      <c r="A68" s="1" t="str" cm="1">
        <f t="array" ref="A68">IF(I68="","",IF(P68&lt;&gt;"",SUMPRODUCT((P$3:P$99&lt;&gt;"")*(G$3:G$99=G68)*(J$3:J$99&gt;J68)*(I$3:I$99="P"))+1,IF(O68&lt;&gt;"",SUMPRODUCT((O$3:O$99&lt;&gt;"")*(P$3:P$99="")*(G$3:G$99=G68)*(J$3:J$99&gt;J68)*(I$3:I$99="P"))+SUMPRODUCT((P$3:P$99&lt;&gt;"")*(G$3:G$99=G68)*(I$3:I$99="P"))+1,IF(N68&lt;&gt;"",SUMPRODUCT((N$3:N$99&lt;&gt;"")*(G$3:G$99=G68)*(J$3:J$99&gt;J68)*(I$3:I$99="P"))+1,IF(M68="P",SUMPRODUCT((O$3:O$99&lt;&gt;"")*(P$3:P$99="")*(G$3:G$99=G68)*(I$3:I$99="P"))+SUMPRODUCT((P$3:P$99&lt;&gt;"")*(G$3:G$99=G68)*(I$3:I$99="P"))+SUMPRODUCT((N$3:N$99&lt;&gt;"")*(G$3:G$99=G68)*(I$3:I$99="P"))+SUMPRODUCT((P$3:P$99="")*(O$3:O$99="")*(N$3:N$99="")*(M$3:M$99="P")*(G$3:G$99=G68)*(J$3:J$99&gt;J68)*(I$3:I$99="P"))+IF(H68="L5",SUMPRODUCT((P$3:P$99="")*(O$3:O$99="")*(N$3:N$99="")*(M$3:M$99="P")*(G$3:G$99=G68)*(J$3:J$99&lt;J68)*(H$3:H$99&lt;&gt;H68)*(I$3:I$99="P")),-1*SUMPRODUCT((P$3:P$99="")*(O$3:O$99="")*(N$3:N$99="")*(M$3:M$99="P")*(G$3:G$99=G68)*(J$3:J$99&gt;J68)*(H$3:H$99="L5")*(I$3:I$99="P")))+1,"")))))</f>
        <v/>
      </c>
      <c r="B68" s="1" t="str" cm="1">
        <f t="array" ref="B68">IF(P68&lt;&gt;"",SUMPRODUCT((P$3:P$99&lt;&gt;"")*(G$3:G$99=G68)*(J$3:J$99&gt;J68))+1,IF(O68&lt;&gt;"",SUMPRODUCT((O$3:O$99&lt;&gt;"")*(P$3:P$99="")*(G$3:G$99=G68)*(J$3:J$99&gt;J68))+SUMPRODUCT((P$3:P$99&lt;&gt;"")*(G$3:G$99=G68))+1,IF(N68&lt;&gt;"",SUMPRODUCT((N$3:N$99&lt;&gt;"")*(G$3:G$99=G68)*(J$3:J$99&gt;J68))+1,IF(M68="P",SUMPRODUCT((O$3:O$99&lt;&gt;"")*(P$3:P$99="")*(G$3:G$99=G68))+SUMPRODUCT((P$3:P$99&lt;&gt;"")*(G$3:G$99=G68))+SUMPRODUCT((N$3:N$99&lt;&gt;"")*(G$3:G$99=G68))+SUMPRODUCT((P$3:P$99="")*(O$3:O$99="")*(N$3:N$99="")*(M$3:M$99="P")*(G$3:G$99=G68)*(J$3:J$99&gt;J68))+IF(H68="L5",SUMPRODUCT((P$3:P$99="")*(O$3:O$99="")*(N$3:N$99="")*(M$3:M$99="P")*(G$3:G$99=G68)*(J$3:J$99&lt;J68)*(H$3:H$99&lt;&gt;H68)),-1*SUMPRODUCT((P$3:P$99="")*(O$3:O$99="")*(N$3:N$99="")*(M$3:M$99="P")*(G$3:G$99=G68)*(J$3:J$99&gt;J68)*(H$3:H$99="L5")))+1,""))))</f>
        <v/>
      </c>
      <c r="C68" s="36" t="s">
        <v>163</v>
      </c>
      <c r="D68" s="36" t="str">
        <f>IF(E68="","",VLOOKUP(E68,'Coaching Points'!A:B,2,0))</f>
        <v>AB</v>
      </c>
      <c r="E68" s="36" t="s">
        <v>64</v>
      </c>
      <c r="F68" s="35">
        <v>2008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9" t="s">
        <v>67</v>
      </c>
      <c r="I68" s="43" t="s">
        <v>567</v>
      </c>
      <c r="J68" s="4">
        <f>R68+S68+IF(OR(H68="Junior",H68="Senior"),0.0002,IF(OR(H68="L7",H68="L6"),0.0001,0))+MAX(X68,Z68)*0.0000001</f>
        <v>92.300104630000007</v>
      </c>
      <c r="K68" s="3" t="str">
        <f>IF(G68="Not Age Eligible","",IF(MAX(T68,V68,X68,Z68)&gt;=LOOKUP(G68,'Qualifying Scores'!$A$4:$A$7,'Qualifying Scores'!$F$4:$F$7),"P",""))</f>
        <v/>
      </c>
      <c r="L68" s="3" t="str">
        <f>IF(G68="Not Age Eligible","",IF(MAX(U68,W68,Y68,AA68)&gt;=LOOKUP(G68,'Qualifying Scores'!$A$10:$A$13,'Qualifying Scores'!$F$10:$F$13),"P",""))</f>
        <v/>
      </c>
      <c r="M68" s="3" t="str">
        <f>IF(G68="Not Age Eligible","",IF(OR(AND(T68&gt;=LOOKUP(G68,'Qualifying Scores'!$A$4:$A$7,'Qualifying Scores'!$F$4:$F$7),U68&gt;=LOOKUP(G68,'Qualifying Scores'!$A$10:$A$13,'Qualifying Scores'!$F$10:$F$13)),AND(X68&gt;=LOOKUP(G68,'Qualifying Scores'!$A$4:$A$7,'Qualifying Scores'!$F$4:$F$7),Y68&gt;=LOOKUP(G68,'Qualifying Scores'!$A$10:$A$13,'Qualifying Scores'!$F$10:$F$13)),AND(V68&gt;=LOOKUP(G68,'Qualifying Scores'!$A$4:$A$7,'Qualifying Scores'!$F$4:$F$7),W68&gt;=LOOKUP(G68,'Qualifying Scores'!$A$10:$A$13,'Qualifying Scores'!$F$10:$F$13)),AND(Z68&gt;=LOOKUP(G68,'Qualifying Scores'!$A$4:$A$7,'Qualifying Scores'!$F$4:$F$7),AA68&gt;=LOOKUP(G68,'Qualifying Scores'!$A$10:$A$13,'Qualifying Scores'!$F$10:$F$13))),"P",""))</f>
        <v/>
      </c>
      <c r="Q68" s="1" t="str">
        <f>IF(A68&lt;5,IF(_xlfn.MAXIFS(A:A,G:G,G68)&gt;3,5-A68,_xlfn.MAXIFS(A:A,G:G,G68)+1-A68),"")</f>
        <v/>
      </c>
      <c r="R68" s="4">
        <f>MAX(T68,X68)</f>
        <v>46.3</v>
      </c>
      <c r="S68" s="4">
        <f>IF(R68=T68,MAX(V68,X68,Z68),IF(R68=X68,MAX(T68,V68,Z68),0))</f>
        <v>46</v>
      </c>
      <c r="T68" s="33">
        <v>46</v>
      </c>
      <c r="U68" s="40">
        <v>8.3000000000000007</v>
      </c>
      <c r="V68" s="34">
        <v>43.4</v>
      </c>
      <c r="W68" s="40">
        <v>7.4</v>
      </c>
      <c r="X68" s="33">
        <v>46.3</v>
      </c>
      <c r="Y68" s="40">
        <v>8.3000000000000007</v>
      </c>
      <c r="Z68" s="34">
        <v>44.2</v>
      </c>
      <c r="AA68" s="37">
        <v>7.4</v>
      </c>
    </row>
    <row r="69" spans="1:27" x14ac:dyDescent="0.2">
      <c r="A69" s="1" t="str" cm="1">
        <f t="array" ref="A69">IF(I69="","",IF(P69&lt;&gt;"",SUMPRODUCT((P$3:P$99&lt;&gt;"")*(G$3:G$99=G69)*(J$3:J$99&gt;J69)*(I$3:I$99="P"))+1,IF(O69&lt;&gt;"",SUMPRODUCT((O$3:O$99&lt;&gt;"")*(P$3:P$99="")*(G$3:G$99=G69)*(J$3:J$99&gt;J69)*(I$3:I$99="P"))+SUMPRODUCT((P$3:P$99&lt;&gt;"")*(G$3:G$99=G69)*(I$3:I$99="P"))+1,IF(N69&lt;&gt;"",SUMPRODUCT((N$3:N$99&lt;&gt;"")*(G$3:G$99=G69)*(J$3:J$99&gt;J69)*(I$3:I$99="P"))+1,IF(M69="P",SUMPRODUCT((O$3:O$99&lt;&gt;"")*(P$3:P$99="")*(G$3:G$99=G69)*(I$3:I$99="P"))+SUMPRODUCT((P$3:P$99&lt;&gt;"")*(G$3:G$99=G69)*(I$3:I$99="P"))+SUMPRODUCT((N$3:N$99&lt;&gt;"")*(G$3:G$99=G69)*(I$3:I$99="P"))+SUMPRODUCT((P$3:P$99="")*(O$3:O$99="")*(N$3:N$99="")*(M$3:M$99="P")*(G$3:G$99=G69)*(J$3:J$99&gt;J69)*(I$3:I$99="P"))+IF(H69="L5",SUMPRODUCT((P$3:P$99="")*(O$3:O$99="")*(N$3:N$99="")*(M$3:M$99="P")*(G$3:G$99=G69)*(J$3:J$99&lt;J69)*(H$3:H$99&lt;&gt;H69)*(I$3:I$99="P")),-1*SUMPRODUCT((P$3:P$99="")*(O$3:O$99="")*(N$3:N$99="")*(M$3:M$99="P")*(G$3:G$99=G69)*(J$3:J$99&gt;J69)*(H$3:H$99="L5")*(I$3:I$99="P")))+1,"")))))</f>
        <v/>
      </c>
      <c r="B69" s="1" t="str" cm="1">
        <f t="array" ref="B69">IF(P69&lt;&gt;"",SUMPRODUCT((P$3:P$99&lt;&gt;"")*(G$3:G$99=G69)*(J$3:J$99&gt;J69))+1,IF(O69&lt;&gt;"",SUMPRODUCT((O$3:O$99&lt;&gt;"")*(P$3:P$99="")*(G$3:G$99=G69)*(J$3:J$99&gt;J69))+SUMPRODUCT((P$3:P$99&lt;&gt;"")*(G$3:G$99=G69))+1,IF(N69&lt;&gt;"",SUMPRODUCT((N$3:N$99&lt;&gt;"")*(G$3:G$99=G69)*(J$3:J$99&gt;J69))+1,IF(M69="P",SUMPRODUCT((O$3:O$99&lt;&gt;"")*(P$3:P$99="")*(G$3:G$99=G69))+SUMPRODUCT((P$3:P$99&lt;&gt;"")*(G$3:G$99=G69))+SUMPRODUCT((N$3:N$99&lt;&gt;"")*(G$3:G$99=G69))+SUMPRODUCT((P$3:P$99="")*(O$3:O$99="")*(N$3:N$99="")*(M$3:M$99="P")*(G$3:G$99=G69)*(J$3:J$99&gt;J69))+IF(H69="L5",SUMPRODUCT((P$3:P$99="")*(O$3:O$99="")*(N$3:N$99="")*(M$3:M$99="P")*(G$3:G$99=G69)*(J$3:J$99&lt;J69)*(H$3:H$99&lt;&gt;H69)),-1*SUMPRODUCT((P$3:P$99="")*(O$3:O$99="")*(N$3:N$99="")*(M$3:M$99="P")*(G$3:G$99=G69)*(J$3:J$99&gt;J69)*(H$3:H$99="L5")))+1,""))))</f>
        <v/>
      </c>
      <c r="C69" s="36" t="s">
        <v>80</v>
      </c>
      <c r="D69" s="36" t="s">
        <v>195</v>
      </c>
      <c r="E69" s="36" t="s">
        <v>70</v>
      </c>
      <c r="F69" s="35">
        <v>2008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9" t="s">
        <v>67</v>
      </c>
      <c r="I69" s="43"/>
      <c r="J69" s="4">
        <f>R69+S69+IF(OR(H69="Junior",H69="Senior"),0.0002,IF(OR(H69="L7",H69="L6"),0.0001,0))+MAX(X69,Z69)*0.0000001</f>
        <v>91.700099999999992</v>
      </c>
      <c r="K69" s="3" t="str">
        <f>IF(G69="Not Age Eligible","",IF(MAX(T69,V69,X69,Z69)&gt;=LOOKUP(G69,'Qualifying Scores'!$A$4:$A$7,'Qualifying Scores'!$F$4:$F$7),"P",""))</f>
        <v/>
      </c>
      <c r="L69" s="3" t="str">
        <f>IF(G69="Not Age Eligible","",IF(MAX(U69,W69,Y69,AA69)&gt;=LOOKUP(G69,'Qualifying Scores'!$A$10:$A$13,'Qualifying Scores'!$F$10:$F$13),"P",""))</f>
        <v/>
      </c>
      <c r="M69" s="3" t="str">
        <f>IF(G69="Not Age Eligible","",IF(OR(AND(T69&gt;=LOOKUP(G69,'Qualifying Scores'!$A$4:$A$7,'Qualifying Scores'!$F$4:$F$7),U69&gt;=LOOKUP(G69,'Qualifying Scores'!$A$10:$A$13,'Qualifying Scores'!$F$10:$F$13)),AND(X69&gt;=LOOKUP(G69,'Qualifying Scores'!$A$4:$A$7,'Qualifying Scores'!$F$4:$F$7),Y69&gt;=LOOKUP(G69,'Qualifying Scores'!$A$10:$A$13,'Qualifying Scores'!$F$10:$F$13)),AND(V69&gt;=LOOKUP(G69,'Qualifying Scores'!$A$4:$A$7,'Qualifying Scores'!$F$4:$F$7),W69&gt;=LOOKUP(G69,'Qualifying Scores'!$A$10:$A$13,'Qualifying Scores'!$F$10:$F$13)),AND(Z69&gt;=LOOKUP(G69,'Qualifying Scores'!$A$4:$A$7,'Qualifying Scores'!$F$4:$F$7),AA69&gt;=LOOKUP(G69,'Qualifying Scores'!$A$10:$A$13,'Qualifying Scores'!$F$10:$F$13))),"P",""))</f>
        <v/>
      </c>
      <c r="Q69" s="1" t="str">
        <f>IF(A69&lt;5,IF(_xlfn.MAXIFS(A:A,G:G,G69)&gt;3,5-A69,_xlfn.MAXIFS(A:A,G:G,G69)+1-A69),"")</f>
        <v/>
      </c>
      <c r="R69" s="4">
        <f>MAX(T69,X69)</f>
        <v>46.4</v>
      </c>
      <c r="S69" s="4">
        <f>IF(R69=T69,MAX(V69,X69,Z69),IF(R69=X69,MAX(T69,V69,Z69),0))</f>
        <v>45.3</v>
      </c>
      <c r="T69" s="33">
        <v>46.4</v>
      </c>
      <c r="U69" s="40">
        <v>9.5</v>
      </c>
      <c r="V69" s="34">
        <v>45.3</v>
      </c>
      <c r="W69" s="40">
        <v>8.6999999999999993</v>
      </c>
      <c r="X69" s="33"/>
      <c r="Y69" s="40"/>
      <c r="Z69" s="34"/>
      <c r="AA69" s="37"/>
    </row>
    <row r="70" spans="1:27" x14ac:dyDescent="0.2">
      <c r="A70" s="1" t="str" cm="1">
        <f t="array" ref="A70">IF(I70="","",IF(P70&lt;&gt;"",SUMPRODUCT((P$3:P$99&lt;&gt;"")*(G$3:G$99=G70)*(J$3:J$99&gt;J70)*(I$3:I$99="P"))+1,IF(O70&lt;&gt;"",SUMPRODUCT((O$3:O$99&lt;&gt;"")*(P$3:P$99="")*(G$3:G$99=G70)*(J$3:J$99&gt;J70)*(I$3:I$99="P"))+SUMPRODUCT((P$3:P$99&lt;&gt;"")*(G$3:G$99=G70)*(I$3:I$99="P"))+1,IF(N70&lt;&gt;"",SUMPRODUCT((N$3:N$99&lt;&gt;"")*(G$3:G$99=G70)*(J$3:J$99&gt;J70)*(I$3:I$99="P"))+1,IF(M70="P",SUMPRODUCT((O$3:O$99&lt;&gt;"")*(P$3:P$99="")*(G$3:G$99=G70)*(I$3:I$99="P"))+SUMPRODUCT((P$3:P$99&lt;&gt;"")*(G$3:G$99=G70)*(I$3:I$99="P"))+SUMPRODUCT((N$3:N$99&lt;&gt;"")*(G$3:G$99=G70)*(I$3:I$99="P"))+SUMPRODUCT((P$3:P$99="")*(O$3:O$99="")*(N$3:N$99="")*(M$3:M$99="P")*(G$3:G$99=G70)*(J$3:J$99&gt;J70)*(I$3:I$99="P"))+IF(H70="L5",SUMPRODUCT((P$3:P$99="")*(O$3:O$99="")*(N$3:N$99="")*(M$3:M$99="P")*(G$3:G$99=G70)*(J$3:J$99&lt;J70)*(H$3:H$99&lt;&gt;H70)*(I$3:I$99="P")),-1*SUMPRODUCT((P$3:P$99="")*(O$3:O$99="")*(N$3:N$99="")*(M$3:M$99="P")*(G$3:G$99=G70)*(J$3:J$99&gt;J70)*(H$3:H$99="L5")*(I$3:I$99="P")))+1,"")))))</f>
        <v/>
      </c>
      <c r="B70" s="1" t="str" cm="1">
        <f t="array" ref="B70">IF(P70&lt;&gt;"",SUMPRODUCT((P$3:P$99&lt;&gt;"")*(G$3:G$99=G70)*(J$3:J$99&gt;J70))+1,IF(O70&lt;&gt;"",SUMPRODUCT((O$3:O$99&lt;&gt;"")*(P$3:P$99="")*(G$3:G$99=G70)*(J$3:J$99&gt;J70))+SUMPRODUCT((P$3:P$99&lt;&gt;"")*(G$3:G$99=G70))+1,IF(N70&lt;&gt;"",SUMPRODUCT((N$3:N$99&lt;&gt;"")*(G$3:G$99=G70)*(J$3:J$99&gt;J70))+1,IF(M70="P",SUMPRODUCT((O$3:O$99&lt;&gt;"")*(P$3:P$99="")*(G$3:G$99=G70))+SUMPRODUCT((P$3:P$99&lt;&gt;"")*(G$3:G$99=G70))+SUMPRODUCT((N$3:N$99&lt;&gt;"")*(G$3:G$99=G70))+SUMPRODUCT((P$3:P$99="")*(O$3:O$99="")*(N$3:N$99="")*(M$3:M$99="P")*(G$3:G$99=G70)*(J$3:J$99&gt;J70))+IF(H70="L5",SUMPRODUCT((P$3:P$99="")*(O$3:O$99="")*(N$3:N$99="")*(M$3:M$99="P")*(G$3:G$99=G70)*(J$3:J$99&lt;J70)*(H$3:H$99&lt;&gt;H70)),-1*SUMPRODUCT((P$3:P$99="")*(O$3:O$99="")*(N$3:N$99="")*(M$3:M$99="P")*(G$3:G$99=G70)*(J$3:J$99&gt;J70)*(H$3:H$99="L5")))+1,""))))</f>
        <v/>
      </c>
      <c r="C70" s="36" t="s">
        <v>263</v>
      </c>
      <c r="D70" s="36" t="str">
        <f>IF(E70="","",VLOOKUP(E70,'Coaching Points'!A:B,2,0))</f>
        <v>MB</v>
      </c>
      <c r="E70" s="36" t="s">
        <v>69</v>
      </c>
      <c r="F70" s="35">
        <v>2007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9" t="s">
        <v>67</v>
      </c>
      <c r="I70" s="43"/>
      <c r="J70" s="4">
        <f>R70+S70+IF(OR(H70="Junior",H70="Senior"),0.0002,IF(OR(H70="L7",H70="L6"),0.0001,0))+MAX(X70,Z70)*0.0000001</f>
        <v>91.400104640000009</v>
      </c>
      <c r="K70" s="3" t="str">
        <f>IF(G70="Not Age Eligible","",IF(MAX(T70,V70,X70,Z70)&gt;=LOOKUP(G70,'Qualifying Scores'!$A$4:$A$7,'Qualifying Scores'!$F$4:$F$7),"P",""))</f>
        <v/>
      </c>
      <c r="L70" s="3" t="str">
        <f>IF(G70="Not Age Eligible","",IF(MAX(U70,W70,Y70,AA70)&gt;=LOOKUP(G70,'Qualifying Scores'!$A$10:$A$13,'Qualifying Scores'!$F$10:$F$13),"P",""))</f>
        <v>P</v>
      </c>
      <c r="M70" s="3" t="str">
        <f>IF(G70="Not Age Eligible","",IF(OR(AND(T70&gt;=LOOKUP(G70,'Qualifying Scores'!$A$4:$A$7,'Qualifying Scores'!$F$4:$F$7),U70&gt;=LOOKUP(G70,'Qualifying Scores'!$A$10:$A$13,'Qualifying Scores'!$F$10:$F$13)),AND(X70&gt;=LOOKUP(G70,'Qualifying Scores'!$A$4:$A$7,'Qualifying Scores'!$F$4:$F$7),Y70&gt;=LOOKUP(G70,'Qualifying Scores'!$A$10:$A$13,'Qualifying Scores'!$F$10:$F$13)),AND(V70&gt;=LOOKUP(G70,'Qualifying Scores'!$A$4:$A$7,'Qualifying Scores'!$F$4:$F$7),W70&gt;=LOOKUP(G70,'Qualifying Scores'!$A$10:$A$13,'Qualifying Scores'!$F$10:$F$13)),AND(Z70&gt;=LOOKUP(G70,'Qualifying Scores'!$A$4:$A$7,'Qualifying Scores'!$F$4:$F$7),AA70&gt;=LOOKUP(G70,'Qualifying Scores'!$A$10:$A$13,'Qualifying Scores'!$F$10:$F$13))),"P",""))</f>
        <v/>
      </c>
      <c r="Q70" s="1" t="str">
        <f>IF(A70&lt;5,IF(_xlfn.MAXIFS(A:A,G:G,G70)&gt;3,5-A70,_xlfn.MAXIFS(A:A,G:G,G70)+1-A70),"")</f>
        <v/>
      </c>
      <c r="R70" s="4">
        <f>MAX(T70,X70)</f>
        <v>46.4</v>
      </c>
      <c r="S70" s="4">
        <f>IF(R70=T70,MAX(V70,X70,Z70),IF(R70=X70,MAX(T70,V70,Z70),0))</f>
        <v>45</v>
      </c>
      <c r="T70" s="33">
        <v>45</v>
      </c>
      <c r="U70" s="40">
        <v>8.1000000000000014</v>
      </c>
      <c r="V70" s="34">
        <v>43.6</v>
      </c>
      <c r="W70" s="40">
        <v>5.8000000000000007</v>
      </c>
      <c r="X70" s="33">
        <v>46.4</v>
      </c>
      <c r="Y70" s="40">
        <v>10.8</v>
      </c>
      <c r="Z70" s="34">
        <v>40.5</v>
      </c>
      <c r="AA70" s="37">
        <v>5.6000000000000005</v>
      </c>
    </row>
    <row r="71" spans="1:27" x14ac:dyDescent="0.2">
      <c r="A71" s="1" t="str" cm="1">
        <f t="array" ref="A71">IF(I71="","",IF(P71&lt;&gt;"",SUMPRODUCT((P$3:P$99&lt;&gt;"")*(G$3:G$99=G71)*(J$3:J$99&gt;J71)*(I$3:I$99="P"))+1,IF(O71&lt;&gt;"",SUMPRODUCT((O$3:O$99&lt;&gt;"")*(P$3:P$99="")*(G$3:G$99=G71)*(J$3:J$99&gt;J71)*(I$3:I$99="P"))+SUMPRODUCT((P$3:P$99&lt;&gt;"")*(G$3:G$99=G71)*(I$3:I$99="P"))+1,IF(N71&lt;&gt;"",SUMPRODUCT((N$3:N$99&lt;&gt;"")*(G$3:G$99=G71)*(J$3:J$99&gt;J71)*(I$3:I$99="P"))+1,IF(M71="P",SUMPRODUCT((O$3:O$99&lt;&gt;"")*(P$3:P$99="")*(G$3:G$99=G71)*(I$3:I$99="P"))+SUMPRODUCT((P$3:P$99&lt;&gt;"")*(G$3:G$99=G71)*(I$3:I$99="P"))+SUMPRODUCT((N$3:N$99&lt;&gt;"")*(G$3:G$99=G71)*(I$3:I$99="P"))+SUMPRODUCT((P$3:P$99="")*(O$3:O$99="")*(N$3:N$99="")*(M$3:M$99="P")*(G$3:G$99=G71)*(J$3:J$99&gt;J71)*(I$3:I$99="P"))+IF(H71="L5",SUMPRODUCT((P$3:P$99="")*(O$3:O$99="")*(N$3:N$99="")*(M$3:M$99="P")*(G$3:G$99=G71)*(J$3:J$99&lt;J71)*(H$3:H$99&lt;&gt;H71)*(I$3:I$99="P")),-1*SUMPRODUCT((P$3:P$99="")*(O$3:O$99="")*(N$3:N$99="")*(M$3:M$99="P")*(G$3:G$99=G71)*(J$3:J$99&gt;J71)*(H$3:H$99="L5")*(I$3:I$99="P")))+1,"")))))</f>
        <v/>
      </c>
      <c r="B71" s="1" t="str" cm="1">
        <f t="array" ref="B71">IF(P71&lt;&gt;"",SUMPRODUCT((P$3:P$99&lt;&gt;"")*(G$3:G$99=G71)*(J$3:J$99&gt;J71))+1,IF(O71&lt;&gt;"",SUMPRODUCT((O$3:O$99&lt;&gt;"")*(P$3:P$99="")*(G$3:G$99=G71)*(J$3:J$99&gt;J71))+SUMPRODUCT((P$3:P$99&lt;&gt;"")*(G$3:G$99=G71))+1,IF(N71&lt;&gt;"",SUMPRODUCT((N$3:N$99&lt;&gt;"")*(G$3:G$99=G71)*(J$3:J$99&gt;J71))+1,IF(M71="P",SUMPRODUCT((O$3:O$99&lt;&gt;"")*(P$3:P$99="")*(G$3:G$99=G71))+SUMPRODUCT((P$3:P$99&lt;&gt;"")*(G$3:G$99=G71))+SUMPRODUCT((N$3:N$99&lt;&gt;"")*(G$3:G$99=G71))+SUMPRODUCT((P$3:P$99="")*(O$3:O$99="")*(N$3:N$99="")*(M$3:M$99="P")*(G$3:G$99=G71)*(J$3:J$99&gt;J71))+IF(H71="L5",SUMPRODUCT((P$3:P$99="")*(O$3:O$99="")*(N$3:N$99="")*(M$3:M$99="P")*(G$3:G$99=G71)*(J$3:J$99&lt;J71)*(H$3:H$99&lt;&gt;H71)),-1*SUMPRODUCT((P$3:P$99="")*(O$3:O$99="")*(N$3:N$99="")*(M$3:M$99="P")*(G$3:G$99=G71)*(J$3:J$99&gt;J71)*(H$3:H$99="L5")))+1,""))))</f>
        <v/>
      </c>
      <c r="C71" s="36" t="s">
        <v>497</v>
      </c>
      <c r="D71" s="36" t="str">
        <f>IF(E71="","",VLOOKUP(E71,'Coaching Points'!A:B,2,0))</f>
        <v>BC</v>
      </c>
      <c r="E71" s="36" t="s">
        <v>439</v>
      </c>
      <c r="F71" s="35">
        <v>2007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9" t="s">
        <v>67</v>
      </c>
      <c r="I71" s="43"/>
      <c r="J71" s="4">
        <f>R71+S71+IF(OR(H71="Junior",H71="Senior"),0.0002,IF(OR(H71="L7",H71="L6"),0.0001,0))+MAX(X71,Z71)*0.0000001</f>
        <v>90.200104620000005</v>
      </c>
      <c r="K71" s="3" t="str">
        <f>IF(G71="Not Age Eligible","",IF(MAX(T71,V71,X71,Z71)&gt;=LOOKUP(G71,'Qualifying Scores'!$A$4:$A$7,'Qualifying Scores'!$F$4:$F$7),"P",""))</f>
        <v/>
      </c>
      <c r="L71" s="3" t="str">
        <f>IF(G71="Not Age Eligible","",IF(MAX(U71,W71,Y71,AA71)&gt;=LOOKUP(G71,'Qualifying Scores'!$A$10:$A$13,'Qualifying Scores'!$F$10:$F$13),"P",""))</f>
        <v>P</v>
      </c>
      <c r="M71" s="3" t="str">
        <f>IF(G71="Not Age Eligible","",IF(OR(AND(T71&gt;=LOOKUP(G71,'Qualifying Scores'!$A$4:$A$7,'Qualifying Scores'!$F$4:$F$7),U71&gt;=LOOKUP(G71,'Qualifying Scores'!$A$10:$A$13,'Qualifying Scores'!$F$10:$F$13)),AND(X71&gt;=LOOKUP(G71,'Qualifying Scores'!$A$4:$A$7,'Qualifying Scores'!$F$4:$F$7),Y71&gt;=LOOKUP(G71,'Qualifying Scores'!$A$10:$A$13,'Qualifying Scores'!$F$10:$F$13)),AND(V71&gt;=LOOKUP(G71,'Qualifying Scores'!$A$4:$A$7,'Qualifying Scores'!$F$4:$F$7),W71&gt;=LOOKUP(G71,'Qualifying Scores'!$A$10:$A$13,'Qualifying Scores'!$F$10:$F$13)),AND(Z71&gt;=LOOKUP(G71,'Qualifying Scores'!$A$4:$A$7,'Qualifying Scores'!$F$4:$F$7),AA71&gt;=LOOKUP(G71,'Qualifying Scores'!$A$10:$A$13,'Qualifying Scores'!$F$10:$F$13))),"P",""))</f>
        <v/>
      </c>
      <c r="Q71" s="1" t="str">
        <f>IF(A71&lt;5,IF(_xlfn.MAXIFS(A:A,G:G,G71)&gt;3,5-A71,_xlfn.MAXIFS(A:A,G:G,G71)+1-A71),"")</f>
        <v/>
      </c>
      <c r="R71" s="4">
        <f>MAX(T71,X71)</f>
        <v>46.2</v>
      </c>
      <c r="S71" s="4">
        <f>IF(R71=T71,MAX(V71,X71,Z71),IF(R71=X71,MAX(T71,V71,Z71),0))</f>
        <v>44</v>
      </c>
      <c r="T71" s="33"/>
      <c r="U71" s="40"/>
      <c r="V71" s="34"/>
      <c r="W71" s="40"/>
      <c r="X71" s="33">
        <v>46.2</v>
      </c>
      <c r="Y71" s="40">
        <v>11.2</v>
      </c>
      <c r="Z71" s="34">
        <v>44</v>
      </c>
      <c r="AA71" s="37">
        <v>7.8</v>
      </c>
    </row>
    <row r="72" spans="1:27" x14ac:dyDescent="0.2">
      <c r="A72" s="1" t="str" cm="1">
        <f t="array" ref="A72">IF(I72="","",IF(P72&lt;&gt;"",SUMPRODUCT((P$3:P$99&lt;&gt;"")*(G$3:G$99=G72)*(J$3:J$99&gt;J72)*(I$3:I$99="P"))+1,IF(O72&lt;&gt;"",SUMPRODUCT((O$3:O$99&lt;&gt;"")*(P$3:P$99="")*(G$3:G$99=G72)*(J$3:J$99&gt;J72)*(I$3:I$99="P"))+SUMPRODUCT((P$3:P$99&lt;&gt;"")*(G$3:G$99=G72)*(I$3:I$99="P"))+1,IF(N72&lt;&gt;"",SUMPRODUCT((N$3:N$99&lt;&gt;"")*(G$3:G$99=G72)*(J$3:J$99&gt;J72)*(I$3:I$99="P"))+1,IF(M72="P",SUMPRODUCT((O$3:O$99&lt;&gt;"")*(P$3:P$99="")*(G$3:G$99=G72)*(I$3:I$99="P"))+SUMPRODUCT((P$3:P$99&lt;&gt;"")*(G$3:G$99=G72)*(I$3:I$99="P"))+SUMPRODUCT((N$3:N$99&lt;&gt;"")*(G$3:G$99=G72)*(I$3:I$99="P"))+SUMPRODUCT((P$3:P$99="")*(O$3:O$99="")*(N$3:N$99="")*(M$3:M$99="P")*(G$3:G$99=G72)*(J$3:J$99&gt;J72)*(I$3:I$99="P"))+IF(H72="L5",SUMPRODUCT((P$3:P$99="")*(O$3:O$99="")*(N$3:N$99="")*(M$3:M$99="P")*(G$3:G$99=G72)*(J$3:J$99&lt;J72)*(H$3:H$99&lt;&gt;H72)*(I$3:I$99="P")),-1*SUMPRODUCT((P$3:P$99="")*(O$3:O$99="")*(N$3:N$99="")*(M$3:M$99="P")*(G$3:G$99=G72)*(J$3:J$99&gt;J72)*(H$3:H$99="L5")*(I$3:I$99="P")))+1,"")))))</f>
        <v/>
      </c>
      <c r="B72" s="1" t="str" cm="1">
        <f t="array" ref="B72">IF(P72&lt;&gt;"",SUMPRODUCT((P$3:P$99&lt;&gt;"")*(G$3:G$99=G72)*(J$3:J$99&gt;J72))+1,IF(O72&lt;&gt;"",SUMPRODUCT((O$3:O$99&lt;&gt;"")*(P$3:P$99="")*(G$3:G$99=G72)*(J$3:J$99&gt;J72))+SUMPRODUCT((P$3:P$99&lt;&gt;"")*(G$3:G$99=G72))+1,IF(N72&lt;&gt;"",SUMPRODUCT((N$3:N$99&lt;&gt;"")*(G$3:G$99=G72)*(J$3:J$99&gt;J72))+1,IF(M72="P",SUMPRODUCT((O$3:O$99&lt;&gt;"")*(P$3:P$99="")*(G$3:G$99=G72))+SUMPRODUCT((P$3:P$99&lt;&gt;"")*(G$3:G$99=G72))+SUMPRODUCT((N$3:N$99&lt;&gt;"")*(G$3:G$99=G72))+SUMPRODUCT((P$3:P$99="")*(O$3:O$99="")*(N$3:N$99="")*(M$3:M$99="P")*(G$3:G$99=G72)*(J$3:J$99&gt;J72))+IF(H72="L5",SUMPRODUCT((P$3:P$99="")*(O$3:O$99="")*(N$3:N$99="")*(M$3:M$99="P")*(G$3:G$99=G72)*(J$3:J$99&lt;J72)*(H$3:H$99&lt;&gt;H72)),-1*SUMPRODUCT((P$3:P$99="")*(O$3:O$99="")*(N$3:N$99="")*(M$3:M$99="P")*(G$3:G$99=G72)*(J$3:J$99&gt;J72)*(H$3:H$99="L5")))+1,""))))</f>
        <v/>
      </c>
      <c r="C72" s="36" t="s">
        <v>222</v>
      </c>
      <c r="D72" s="36" t="str">
        <f>IF(E72="","",VLOOKUP(E72,'Coaching Points'!A:B,2,0))</f>
        <v>SK</v>
      </c>
      <c r="E72" s="36" t="s">
        <v>60</v>
      </c>
      <c r="F72" s="35">
        <v>2007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9" t="s">
        <v>67</v>
      </c>
      <c r="I72" s="43"/>
      <c r="J72" s="4">
        <f>R72+S72+IF(OR(H72="Junior",H72="Senior"),0.0002,IF(OR(H72="L7",H72="L6"),0.0001,0))+MAX(X72,Z72)*0.0000001</f>
        <v>89.800104520000019</v>
      </c>
      <c r="K72" s="3" t="str">
        <f>IF(G72="Not Age Eligible","",IF(MAX(T72,V72,X72,Z72)&gt;=LOOKUP(G72,'Qualifying Scores'!$A$4:$A$7,'Qualifying Scores'!$F$4:$F$7),"P",""))</f>
        <v/>
      </c>
      <c r="L72" s="3" t="str">
        <f>IF(G72="Not Age Eligible","",IF(MAX(U72,W72,Y72,AA72)&gt;=LOOKUP(G72,'Qualifying Scores'!$A$10:$A$13,'Qualifying Scores'!$F$10:$F$13),"P",""))</f>
        <v/>
      </c>
      <c r="M72" s="3" t="str">
        <f>IF(G72="Not Age Eligible","",IF(OR(AND(T72&gt;=LOOKUP(G72,'Qualifying Scores'!$A$4:$A$7,'Qualifying Scores'!$F$4:$F$7),U72&gt;=LOOKUP(G72,'Qualifying Scores'!$A$10:$A$13,'Qualifying Scores'!$F$10:$F$13)),AND(X72&gt;=LOOKUP(G72,'Qualifying Scores'!$A$4:$A$7,'Qualifying Scores'!$F$4:$F$7),Y72&gt;=LOOKUP(G72,'Qualifying Scores'!$A$10:$A$13,'Qualifying Scores'!$F$10:$F$13)),AND(V72&gt;=LOOKUP(G72,'Qualifying Scores'!$A$4:$A$7,'Qualifying Scores'!$F$4:$F$7),W72&gt;=LOOKUP(G72,'Qualifying Scores'!$A$10:$A$13,'Qualifying Scores'!$F$10:$F$13)),AND(Z72&gt;=LOOKUP(G72,'Qualifying Scores'!$A$4:$A$7,'Qualifying Scores'!$F$4:$F$7),AA72&gt;=LOOKUP(G72,'Qualifying Scores'!$A$10:$A$13,'Qualifying Scores'!$F$10:$F$13))),"P",""))</f>
        <v/>
      </c>
      <c r="Q72" s="1" t="str">
        <f>IF(A72&lt;5,IF(_xlfn.MAXIFS(A:A,G:G,G72)&gt;3,5-A72,_xlfn.MAXIFS(A:A,G:G,G72)+1-A72),"")</f>
        <v/>
      </c>
      <c r="R72" s="4">
        <f>MAX(T72,X72)</f>
        <v>45.2</v>
      </c>
      <c r="S72" s="4">
        <f>IF(R72=T72,MAX(V72,X72,Z72),IF(R72=X72,MAX(T72,V72,Z72),0))</f>
        <v>44.6</v>
      </c>
      <c r="T72" s="33">
        <v>44</v>
      </c>
      <c r="U72" s="40">
        <v>7.1</v>
      </c>
      <c r="V72" s="34">
        <v>44.2</v>
      </c>
      <c r="W72" s="40">
        <v>7.2</v>
      </c>
      <c r="X72" s="33">
        <v>45.2</v>
      </c>
      <c r="Y72" s="40">
        <v>9.6</v>
      </c>
      <c r="Z72" s="34">
        <v>44.6</v>
      </c>
      <c r="AA72" s="37">
        <v>7.7</v>
      </c>
    </row>
    <row r="73" spans="1:27" x14ac:dyDescent="0.2">
      <c r="A73" s="1" t="str" cm="1">
        <f t="array" ref="A73">IF(I73="","",IF(P73&lt;&gt;"",SUMPRODUCT((P$3:P$99&lt;&gt;"")*(G$3:G$99=G73)*(J$3:J$99&gt;J73)*(I$3:I$99="P"))+1,IF(O73&lt;&gt;"",SUMPRODUCT((O$3:O$99&lt;&gt;"")*(P$3:P$99="")*(G$3:G$99=G73)*(J$3:J$99&gt;J73)*(I$3:I$99="P"))+SUMPRODUCT((P$3:P$99&lt;&gt;"")*(G$3:G$99=G73)*(I$3:I$99="P"))+1,IF(N73&lt;&gt;"",SUMPRODUCT((N$3:N$99&lt;&gt;"")*(G$3:G$99=G73)*(J$3:J$99&gt;J73)*(I$3:I$99="P"))+1,IF(M73="P",SUMPRODUCT((O$3:O$99&lt;&gt;"")*(P$3:P$99="")*(G$3:G$99=G73)*(I$3:I$99="P"))+SUMPRODUCT((P$3:P$99&lt;&gt;"")*(G$3:G$99=G73)*(I$3:I$99="P"))+SUMPRODUCT((N$3:N$99&lt;&gt;"")*(G$3:G$99=G73)*(I$3:I$99="P"))+SUMPRODUCT((P$3:P$99="")*(O$3:O$99="")*(N$3:N$99="")*(M$3:M$99="P")*(G$3:G$99=G73)*(J$3:J$99&gt;J73)*(I$3:I$99="P"))+IF(H73="L5",SUMPRODUCT((P$3:P$99="")*(O$3:O$99="")*(N$3:N$99="")*(M$3:M$99="P")*(G$3:G$99=G73)*(J$3:J$99&lt;J73)*(H$3:H$99&lt;&gt;H73)*(I$3:I$99="P")),-1*SUMPRODUCT((P$3:P$99="")*(O$3:O$99="")*(N$3:N$99="")*(M$3:M$99="P")*(G$3:G$99=G73)*(J$3:J$99&gt;J73)*(H$3:H$99="L5")*(I$3:I$99="P")))+1,"")))))</f>
        <v/>
      </c>
      <c r="B73" s="1" t="str" cm="1">
        <f t="array" ref="B73">IF(P73&lt;&gt;"",SUMPRODUCT((P$3:P$99&lt;&gt;"")*(G$3:G$99=G73)*(J$3:J$99&gt;J73))+1,IF(O73&lt;&gt;"",SUMPRODUCT((O$3:O$99&lt;&gt;"")*(P$3:P$99="")*(G$3:G$99=G73)*(J$3:J$99&gt;J73))+SUMPRODUCT((P$3:P$99&lt;&gt;"")*(G$3:G$99=G73))+1,IF(N73&lt;&gt;"",SUMPRODUCT((N$3:N$99&lt;&gt;"")*(G$3:G$99=G73)*(J$3:J$99&gt;J73))+1,IF(M73="P",SUMPRODUCT((O$3:O$99&lt;&gt;"")*(P$3:P$99="")*(G$3:G$99=G73))+SUMPRODUCT((P$3:P$99&lt;&gt;"")*(G$3:G$99=G73))+SUMPRODUCT((N$3:N$99&lt;&gt;"")*(G$3:G$99=G73))+SUMPRODUCT((P$3:P$99="")*(O$3:O$99="")*(N$3:N$99="")*(M$3:M$99="P")*(G$3:G$99=G73)*(J$3:J$99&gt;J73))+IF(H73="L5",SUMPRODUCT((P$3:P$99="")*(O$3:O$99="")*(N$3:N$99="")*(M$3:M$99="P")*(G$3:G$99=G73)*(J$3:J$99&lt;J73)*(H$3:H$99&lt;&gt;H73)),-1*SUMPRODUCT((P$3:P$99="")*(O$3:O$99="")*(N$3:N$99="")*(M$3:M$99="P")*(G$3:G$99=G73)*(J$3:J$99&gt;J73)*(H$3:H$99="L5")))+1,""))))</f>
        <v/>
      </c>
      <c r="C73" s="36" t="s">
        <v>81</v>
      </c>
      <c r="D73" s="36" t="str">
        <f>IF(E73="","",VLOOKUP(E73,'Coaching Points'!A:B,2,0))</f>
        <v>ON</v>
      </c>
      <c r="E73" s="36" t="s">
        <v>47</v>
      </c>
      <c r="F73" s="35">
        <v>2008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9" t="s">
        <v>67</v>
      </c>
      <c r="I73" s="43" t="s">
        <v>567</v>
      </c>
      <c r="J73" s="4">
        <f>R73+S73+IF(OR(H73="Junior",H73="Senior"),0.0002,IF(OR(H73="L7",H73="L6"),0.0001,0))+MAX(X73,Z73)*0.0000001</f>
        <v>89.700104489999987</v>
      </c>
      <c r="K73" s="3" t="str">
        <f>IF(G73="Not Age Eligible","",IF(MAX(T73,V73,X73,Z73)&gt;=LOOKUP(G73,'Qualifying Scores'!$A$4:$A$7,'Qualifying Scores'!$F$4:$F$7),"P",""))</f>
        <v/>
      </c>
      <c r="L73" s="3" t="str">
        <f>IF(G73="Not Age Eligible","",IF(MAX(U73,W73,Y73,AA73)&gt;=LOOKUP(G73,'Qualifying Scores'!$A$10:$A$13,'Qualifying Scores'!$F$10:$F$13),"P",""))</f>
        <v/>
      </c>
      <c r="M73" s="3" t="str">
        <f>IF(G73="Not Age Eligible","",IF(OR(AND(T73&gt;=LOOKUP(G73,'Qualifying Scores'!$A$4:$A$7,'Qualifying Scores'!$F$4:$F$7),U73&gt;=LOOKUP(G73,'Qualifying Scores'!$A$10:$A$13,'Qualifying Scores'!$F$10:$F$13)),AND(X73&gt;=LOOKUP(G73,'Qualifying Scores'!$A$4:$A$7,'Qualifying Scores'!$F$4:$F$7),Y73&gt;=LOOKUP(G73,'Qualifying Scores'!$A$10:$A$13,'Qualifying Scores'!$F$10:$F$13)),AND(V73&gt;=LOOKUP(G73,'Qualifying Scores'!$A$4:$A$7,'Qualifying Scores'!$F$4:$F$7),W73&gt;=LOOKUP(G73,'Qualifying Scores'!$A$10:$A$13,'Qualifying Scores'!$F$10:$F$13)),AND(Z73&gt;=LOOKUP(G73,'Qualifying Scores'!$A$4:$A$7,'Qualifying Scores'!$F$4:$F$7),AA73&gt;=LOOKUP(G73,'Qualifying Scores'!$A$10:$A$13,'Qualifying Scores'!$F$10:$F$13))),"P",""))</f>
        <v/>
      </c>
      <c r="Q73" s="1" t="str">
        <f>IF(A73&lt;5,IF(_xlfn.MAXIFS(A:A,G:G,G73)&gt;3,5-A73,_xlfn.MAXIFS(A:A,G:G,G73)+1-A73),"")</f>
        <v/>
      </c>
      <c r="R73" s="4">
        <f>MAX(T73,X73)</f>
        <v>44.8</v>
      </c>
      <c r="S73" s="4">
        <f>IF(R73=T73,MAX(V73,X73,Z73),IF(R73=X73,MAX(T73,V73,Z73),0))</f>
        <v>44.9</v>
      </c>
      <c r="T73" s="33">
        <v>44.8</v>
      </c>
      <c r="U73" s="40">
        <v>7.1</v>
      </c>
      <c r="V73" s="34">
        <v>44.2</v>
      </c>
      <c r="W73" s="40">
        <v>6.9</v>
      </c>
      <c r="X73" s="33">
        <v>44.6</v>
      </c>
      <c r="Y73" s="40">
        <v>8.8000000000000007</v>
      </c>
      <c r="Z73" s="34">
        <v>44.9</v>
      </c>
      <c r="AA73" s="37">
        <v>7.1</v>
      </c>
    </row>
    <row r="74" spans="1:27" x14ac:dyDescent="0.2">
      <c r="A74" s="1" t="str" cm="1">
        <f t="array" ref="A74">IF(I74="","",IF(P74&lt;&gt;"",SUMPRODUCT((P$3:P$99&lt;&gt;"")*(G$3:G$99=G74)*(J$3:J$99&gt;J74)*(I$3:I$99="P"))+1,IF(O74&lt;&gt;"",SUMPRODUCT((O$3:O$99&lt;&gt;"")*(P$3:P$99="")*(G$3:G$99=G74)*(J$3:J$99&gt;J74)*(I$3:I$99="P"))+SUMPRODUCT((P$3:P$99&lt;&gt;"")*(G$3:G$99=G74)*(I$3:I$99="P"))+1,IF(N74&lt;&gt;"",SUMPRODUCT((N$3:N$99&lt;&gt;"")*(G$3:G$99=G74)*(J$3:J$99&gt;J74)*(I$3:I$99="P"))+1,IF(M74="P",SUMPRODUCT((O$3:O$99&lt;&gt;"")*(P$3:P$99="")*(G$3:G$99=G74)*(I$3:I$99="P"))+SUMPRODUCT((P$3:P$99&lt;&gt;"")*(G$3:G$99=G74)*(I$3:I$99="P"))+SUMPRODUCT((N$3:N$99&lt;&gt;"")*(G$3:G$99=G74)*(I$3:I$99="P"))+SUMPRODUCT((P$3:P$99="")*(O$3:O$99="")*(N$3:N$99="")*(M$3:M$99="P")*(G$3:G$99=G74)*(J$3:J$99&gt;J74)*(I$3:I$99="P"))+IF(H74="L5",SUMPRODUCT((P$3:P$99="")*(O$3:O$99="")*(N$3:N$99="")*(M$3:M$99="P")*(G$3:G$99=G74)*(J$3:J$99&lt;J74)*(H$3:H$99&lt;&gt;H74)*(I$3:I$99="P")),-1*SUMPRODUCT((P$3:P$99="")*(O$3:O$99="")*(N$3:N$99="")*(M$3:M$99="P")*(G$3:G$99=G74)*(J$3:J$99&gt;J74)*(H$3:H$99="L5")*(I$3:I$99="P")))+1,"")))))</f>
        <v/>
      </c>
      <c r="B74" s="1" t="str" cm="1">
        <f t="array" ref="B74">IF(P74&lt;&gt;"",SUMPRODUCT((P$3:P$99&lt;&gt;"")*(G$3:G$99=G74)*(J$3:J$99&gt;J74))+1,IF(O74&lt;&gt;"",SUMPRODUCT((O$3:O$99&lt;&gt;"")*(P$3:P$99="")*(G$3:G$99=G74)*(J$3:J$99&gt;J74))+SUMPRODUCT((P$3:P$99&lt;&gt;"")*(G$3:G$99=G74))+1,IF(N74&lt;&gt;"",SUMPRODUCT((N$3:N$99&lt;&gt;"")*(G$3:G$99=G74)*(J$3:J$99&gt;J74))+1,IF(M74="P",SUMPRODUCT((O$3:O$99&lt;&gt;"")*(P$3:P$99="")*(G$3:G$99=G74))+SUMPRODUCT((P$3:P$99&lt;&gt;"")*(G$3:G$99=G74))+SUMPRODUCT((N$3:N$99&lt;&gt;"")*(G$3:G$99=G74))+SUMPRODUCT((P$3:P$99="")*(O$3:O$99="")*(N$3:N$99="")*(M$3:M$99="P")*(G$3:G$99=G74)*(J$3:J$99&gt;J74))+IF(H74="L5",SUMPRODUCT((P$3:P$99="")*(O$3:O$99="")*(N$3:N$99="")*(M$3:M$99="P")*(G$3:G$99=G74)*(J$3:J$99&lt;J74)*(H$3:H$99&lt;&gt;H74)),-1*SUMPRODUCT((P$3:P$99="")*(O$3:O$99="")*(N$3:N$99="")*(M$3:M$99="P")*(G$3:G$99=G74)*(J$3:J$99&gt;J74)*(H$3:H$99="L5")))+1,""))))</f>
        <v/>
      </c>
      <c r="C74" s="36" t="s">
        <v>516</v>
      </c>
      <c r="D74" s="36" t="str">
        <f>IF(E74="","",VLOOKUP(E74,'Coaching Points'!A:B,2,0))</f>
        <v>SK</v>
      </c>
      <c r="E74" s="36" t="s">
        <v>566</v>
      </c>
      <c r="F74" s="35">
        <v>2008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9" t="s">
        <v>66</v>
      </c>
      <c r="I74" s="43"/>
      <c r="J74" s="4">
        <f>R74+S74+IF(OR(H74="Junior",H74="Senior"),0.0002,IF(OR(H74="L7",H74="L6"),0.0001,0))+MAX(X74,Z74)*0.0000001</f>
        <v>89.300004529999995</v>
      </c>
      <c r="K74" s="3" t="str">
        <f>IF(G74="Not Age Eligible","",IF(MAX(T74,V74,X74,Z74)&gt;=LOOKUP(G74,'Qualifying Scores'!$A$4:$A$7,'Qualifying Scores'!$F$4:$F$7),"P",""))</f>
        <v/>
      </c>
      <c r="L74" s="3" t="str">
        <f>IF(G74="Not Age Eligible","",IF(MAX(U74,W74,Y74,AA74)&gt;=LOOKUP(G74,'Qualifying Scores'!$A$10:$A$13,'Qualifying Scores'!$F$10:$F$13),"P",""))</f>
        <v/>
      </c>
      <c r="M74" s="3" t="str">
        <f>IF(G74="Not Age Eligible","",IF(OR(AND(T74&gt;=LOOKUP(G74,'Qualifying Scores'!$A$4:$A$7,'Qualifying Scores'!$F$4:$F$7),U74&gt;=LOOKUP(G74,'Qualifying Scores'!$A$10:$A$13,'Qualifying Scores'!$F$10:$F$13)),AND(X74&gt;=LOOKUP(G74,'Qualifying Scores'!$A$4:$A$7,'Qualifying Scores'!$F$4:$F$7),Y74&gt;=LOOKUP(G74,'Qualifying Scores'!$A$10:$A$13,'Qualifying Scores'!$F$10:$F$13)),AND(V74&gt;=LOOKUP(G74,'Qualifying Scores'!$A$4:$A$7,'Qualifying Scores'!$F$4:$F$7),W74&gt;=LOOKUP(G74,'Qualifying Scores'!$A$10:$A$13,'Qualifying Scores'!$F$10:$F$13)),AND(Z74&gt;=LOOKUP(G74,'Qualifying Scores'!$A$4:$A$7,'Qualifying Scores'!$F$4:$F$7),AA74&gt;=LOOKUP(G74,'Qualifying Scores'!$A$10:$A$13,'Qualifying Scores'!$F$10:$F$13))),"P",""))</f>
        <v/>
      </c>
      <c r="Q74" s="1" t="str">
        <f>IF(A74&lt;5,IF(_xlfn.MAXIFS(A:A,G:G,G74)&gt;3,5-A74,_xlfn.MAXIFS(A:A,G:G,G74)+1-A74),"")</f>
        <v/>
      </c>
      <c r="R74" s="4">
        <f>MAX(T74,X74)</f>
        <v>44</v>
      </c>
      <c r="S74" s="4">
        <f>IF(R74=T74,MAX(V74,X74,Z74),IF(R74=X74,MAX(T74,V74,Z74),0))</f>
        <v>45.3</v>
      </c>
      <c r="T74" s="33"/>
      <c r="U74" s="40"/>
      <c r="V74" s="34"/>
      <c r="W74" s="40"/>
      <c r="X74" s="33">
        <v>44</v>
      </c>
      <c r="Y74" s="40">
        <v>7.7</v>
      </c>
      <c r="Z74" s="34">
        <v>45.3</v>
      </c>
      <c r="AA74" s="37">
        <v>7.1</v>
      </c>
    </row>
    <row r="75" spans="1:27" x14ac:dyDescent="0.2">
      <c r="A75" s="1" t="str" cm="1">
        <f t="array" ref="A75">IF(I75="","",IF(P75&lt;&gt;"",SUMPRODUCT((P$3:P$99&lt;&gt;"")*(G$3:G$99=G75)*(J$3:J$99&gt;J75)*(I$3:I$99="P"))+1,IF(O75&lt;&gt;"",SUMPRODUCT((O$3:O$99&lt;&gt;"")*(P$3:P$99="")*(G$3:G$99=G75)*(J$3:J$99&gt;J75)*(I$3:I$99="P"))+SUMPRODUCT((P$3:P$99&lt;&gt;"")*(G$3:G$99=G75)*(I$3:I$99="P"))+1,IF(N75&lt;&gt;"",SUMPRODUCT((N$3:N$99&lt;&gt;"")*(G$3:G$99=G75)*(J$3:J$99&gt;J75)*(I$3:I$99="P"))+1,IF(M75="P",SUMPRODUCT((O$3:O$99&lt;&gt;"")*(P$3:P$99="")*(G$3:G$99=G75)*(I$3:I$99="P"))+SUMPRODUCT((P$3:P$99&lt;&gt;"")*(G$3:G$99=G75)*(I$3:I$99="P"))+SUMPRODUCT((N$3:N$99&lt;&gt;"")*(G$3:G$99=G75)*(I$3:I$99="P"))+SUMPRODUCT((P$3:P$99="")*(O$3:O$99="")*(N$3:N$99="")*(M$3:M$99="P")*(G$3:G$99=G75)*(J$3:J$99&gt;J75)*(I$3:I$99="P"))+IF(H75="L5",SUMPRODUCT((P$3:P$99="")*(O$3:O$99="")*(N$3:N$99="")*(M$3:M$99="P")*(G$3:G$99=G75)*(J$3:J$99&lt;J75)*(H$3:H$99&lt;&gt;H75)*(I$3:I$99="P")),-1*SUMPRODUCT((P$3:P$99="")*(O$3:O$99="")*(N$3:N$99="")*(M$3:M$99="P")*(G$3:G$99=G75)*(J$3:J$99&gt;J75)*(H$3:H$99="L5")*(I$3:I$99="P")))+1,"")))))</f>
        <v/>
      </c>
      <c r="B75" s="1" t="str" cm="1">
        <f t="array" ref="B75">IF(P75&lt;&gt;"",SUMPRODUCT((P$3:P$99&lt;&gt;"")*(G$3:G$99=G75)*(J$3:J$99&gt;J75))+1,IF(O75&lt;&gt;"",SUMPRODUCT((O$3:O$99&lt;&gt;"")*(P$3:P$99="")*(G$3:G$99=G75)*(J$3:J$99&gt;J75))+SUMPRODUCT((P$3:P$99&lt;&gt;"")*(G$3:G$99=G75))+1,IF(N75&lt;&gt;"",SUMPRODUCT((N$3:N$99&lt;&gt;"")*(G$3:G$99=G75)*(J$3:J$99&gt;J75))+1,IF(M75="P",SUMPRODUCT((O$3:O$99&lt;&gt;"")*(P$3:P$99="")*(G$3:G$99=G75))+SUMPRODUCT((P$3:P$99&lt;&gt;"")*(G$3:G$99=G75))+SUMPRODUCT((N$3:N$99&lt;&gt;"")*(G$3:G$99=G75))+SUMPRODUCT((P$3:P$99="")*(O$3:O$99="")*(N$3:N$99="")*(M$3:M$99="P")*(G$3:G$99=G75)*(J$3:J$99&gt;J75))+IF(H75="L5",SUMPRODUCT((P$3:P$99="")*(O$3:O$99="")*(N$3:N$99="")*(M$3:M$99="P")*(G$3:G$99=G75)*(J$3:J$99&lt;J75)*(H$3:H$99&lt;&gt;H75)),-1*SUMPRODUCT((P$3:P$99="")*(O$3:O$99="")*(N$3:N$99="")*(M$3:M$99="P")*(G$3:G$99=G75)*(J$3:J$99&gt;J75)*(H$3:H$99="L5")))+1,""))))</f>
        <v/>
      </c>
      <c r="C75" s="36" t="s">
        <v>217</v>
      </c>
      <c r="D75" s="36" t="str">
        <f>IF(E75="","",VLOOKUP(E75,'Coaching Points'!A:B,2,0))</f>
        <v>ON</v>
      </c>
      <c r="E75" s="36" t="s">
        <v>283</v>
      </c>
      <c r="F75" s="35">
        <v>2007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9" t="s">
        <v>66</v>
      </c>
      <c r="I75" s="43"/>
      <c r="J75" s="4">
        <f>R75+S75+IF(OR(H75="Junior",H75="Senior"),0.0002,IF(OR(H75="L7",H75="L6"),0.0001,0))+MAX(X75,Z75)*0.0000001</f>
        <v>88.900004540000012</v>
      </c>
      <c r="K75" s="3" t="str">
        <f>IF(G75="Not Age Eligible","",IF(MAX(T75,V75,X75,Z75)&gt;=LOOKUP(G75,'Qualifying Scores'!$A$4:$A$7,'Qualifying Scores'!$F$4:$F$7),"P",""))</f>
        <v/>
      </c>
      <c r="L75" s="3" t="str">
        <f>IF(G75="Not Age Eligible","",IF(MAX(U75,W75,Y75,AA75)&gt;=LOOKUP(G75,'Qualifying Scores'!$A$10:$A$13,'Qualifying Scores'!$F$10:$F$13),"P",""))</f>
        <v/>
      </c>
      <c r="M75" s="3" t="str">
        <f>IF(G75="Not Age Eligible","",IF(OR(AND(T75&gt;=LOOKUP(G75,'Qualifying Scores'!$A$4:$A$7,'Qualifying Scores'!$F$4:$F$7),U75&gt;=LOOKUP(G75,'Qualifying Scores'!$A$10:$A$13,'Qualifying Scores'!$F$10:$F$13)),AND(X75&gt;=LOOKUP(G75,'Qualifying Scores'!$A$4:$A$7,'Qualifying Scores'!$F$4:$F$7),Y75&gt;=LOOKUP(G75,'Qualifying Scores'!$A$10:$A$13,'Qualifying Scores'!$F$10:$F$13)),AND(V75&gt;=LOOKUP(G75,'Qualifying Scores'!$A$4:$A$7,'Qualifying Scores'!$F$4:$F$7),W75&gt;=LOOKUP(G75,'Qualifying Scores'!$A$10:$A$13,'Qualifying Scores'!$F$10:$F$13)),AND(Z75&gt;=LOOKUP(G75,'Qualifying Scores'!$A$4:$A$7,'Qualifying Scores'!$F$4:$F$7),AA75&gt;=LOOKUP(G75,'Qualifying Scores'!$A$10:$A$13,'Qualifying Scores'!$F$10:$F$13))),"P",""))</f>
        <v/>
      </c>
      <c r="Q75" s="1" t="str">
        <f>IF(A75&lt;5,IF(_xlfn.MAXIFS(A:A,G:G,G75)&gt;3,5-A75,_xlfn.MAXIFS(A:A,G:G,G75)+1-A75),"")</f>
        <v/>
      </c>
      <c r="R75" s="4">
        <f>MAX(T75,X75)</f>
        <v>45.4</v>
      </c>
      <c r="S75" s="4">
        <f>IF(R75=T75,MAX(V75,X75,Z75),IF(R75=X75,MAX(T75,V75,Z75),0))</f>
        <v>43.5</v>
      </c>
      <c r="T75" s="33">
        <v>41.9</v>
      </c>
      <c r="U75" s="40">
        <v>6.4</v>
      </c>
      <c r="V75" s="34">
        <v>42.9</v>
      </c>
      <c r="W75" s="40">
        <v>6.1</v>
      </c>
      <c r="X75" s="33">
        <v>45.4</v>
      </c>
      <c r="Y75" s="40">
        <v>7.8</v>
      </c>
      <c r="Z75" s="34">
        <v>43.5</v>
      </c>
      <c r="AA75" s="37">
        <v>6.3000000000000007</v>
      </c>
    </row>
    <row r="76" spans="1:27" x14ac:dyDescent="0.2">
      <c r="A76" s="1" t="str" cm="1">
        <f t="array" ref="A76">IF(I76="","",IF(P76&lt;&gt;"",SUMPRODUCT((P$3:P$99&lt;&gt;"")*(G$3:G$99=G76)*(J$3:J$99&gt;J76)*(I$3:I$99="P"))+1,IF(O76&lt;&gt;"",SUMPRODUCT((O$3:O$99&lt;&gt;"")*(P$3:P$99="")*(G$3:G$99=G76)*(J$3:J$99&gt;J76)*(I$3:I$99="P"))+SUMPRODUCT((P$3:P$99&lt;&gt;"")*(G$3:G$99=G76)*(I$3:I$99="P"))+1,IF(N76&lt;&gt;"",SUMPRODUCT((N$3:N$99&lt;&gt;"")*(G$3:G$99=G76)*(J$3:J$99&gt;J76)*(I$3:I$99="P"))+1,IF(M76="P",SUMPRODUCT((O$3:O$99&lt;&gt;"")*(P$3:P$99="")*(G$3:G$99=G76)*(I$3:I$99="P"))+SUMPRODUCT((P$3:P$99&lt;&gt;"")*(G$3:G$99=G76)*(I$3:I$99="P"))+SUMPRODUCT((N$3:N$99&lt;&gt;"")*(G$3:G$99=G76)*(I$3:I$99="P"))+SUMPRODUCT((P$3:P$99="")*(O$3:O$99="")*(N$3:N$99="")*(M$3:M$99="P")*(G$3:G$99=G76)*(J$3:J$99&gt;J76)*(I$3:I$99="P"))+IF(H76="L5",SUMPRODUCT((P$3:P$99="")*(O$3:O$99="")*(N$3:N$99="")*(M$3:M$99="P")*(G$3:G$99=G76)*(J$3:J$99&lt;J76)*(H$3:H$99&lt;&gt;H76)*(I$3:I$99="P")),-1*SUMPRODUCT((P$3:P$99="")*(O$3:O$99="")*(N$3:N$99="")*(M$3:M$99="P")*(G$3:G$99=G76)*(J$3:J$99&gt;J76)*(H$3:H$99="L5")*(I$3:I$99="P")))+1,"")))))</f>
        <v/>
      </c>
      <c r="B76" s="1" t="str" cm="1">
        <f t="array" ref="B76">IF(P76&lt;&gt;"",SUMPRODUCT((P$3:P$99&lt;&gt;"")*(G$3:G$99=G76)*(J$3:J$99&gt;J76))+1,IF(O76&lt;&gt;"",SUMPRODUCT((O$3:O$99&lt;&gt;"")*(P$3:P$99="")*(G$3:G$99=G76)*(J$3:J$99&gt;J76))+SUMPRODUCT((P$3:P$99&lt;&gt;"")*(G$3:G$99=G76))+1,IF(N76&lt;&gt;"",SUMPRODUCT((N$3:N$99&lt;&gt;"")*(G$3:G$99=G76)*(J$3:J$99&gt;J76))+1,IF(M76="P",SUMPRODUCT((O$3:O$99&lt;&gt;"")*(P$3:P$99="")*(G$3:G$99=G76))+SUMPRODUCT((P$3:P$99&lt;&gt;"")*(G$3:G$99=G76))+SUMPRODUCT((N$3:N$99&lt;&gt;"")*(G$3:G$99=G76))+SUMPRODUCT((P$3:P$99="")*(O$3:O$99="")*(N$3:N$99="")*(M$3:M$99="P")*(G$3:G$99=G76)*(J$3:J$99&gt;J76))+IF(H76="L5",SUMPRODUCT((P$3:P$99="")*(O$3:O$99="")*(N$3:N$99="")*(M$3:M$99="P")*(G$3:G$99=G76)*(J$3:J$99&lt;J76)*(H$3:H$99&lt;&gt;H76)),-1*SUMPRODUCT((P$3:P$99="")*(O$3:O$99="")*(N$3:N$99="")*(M$3:M$99="P")*(G$3:G$99=G76)*(J$3:J$99&gt;J76)*(H$3:H$99="L5")))+1,""))))</f>
        <v/>
      </c>
      <c r="C76" s="36" t="s">
        <v>79</v>
      </c>
      <c r="D76" s="36" t="str">
        <f>IF(E76="","",VLOOKUP(E76,'Coaching Points'!A:B,2,0))</f>
        <v>ON</v>
      </c>
      <c r="E76" s="36" t="s">
        <v>47</v>
      </c>
      <c r="F76" s="35">
        <v>2008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9" t="s">
        <v>67</v>
      </c>
      <c r="I76" s="43" t="s">
        <v>567</v>
      </c>
      <c r="J76" s="4">
        <f>R76+S76+IF(OR(H76="Junior",H76="Senior"),0.0002,IF(OR(H76="L7",H76="L6"),0.0001,0))+MAX(X76,Z76)*0.0000001</f>
        <v>88.500104280000002</v>
      </c>
      <c r="K76" s="3" t="str">
        <f>IF(G76="Not Age Eligible","",IF(MAX(T76,V76,X76,Z76)&gt;=LOOKUP(G76,'Qualifying Scores'!$A$4:$A$7,'Qualifying Scores'!$F$4:$F$7),"P",""))</f>
        <v/>
      </c>
      <c r="L76" s="3" t="str">
        <f>IF(G76="Not Age Eligible","",IF(MAX(U76,W76,Y76,AA76)&gt;=LOOKUP(G76,'Qualifying Scores'!$A$10:$A$13,'Qualifying Scores'!$F$10:$F$13),"P",""))</f>
        <v/>
      </c>
      <c r="M76" s="3" t="str">
        <f>IF(G76="Not Age Eligible","",IF(OR(AND(T76&gt;=LOOKUP(G76,'Qualifying Scores'!$A$4:$A$7,'Qualifying Scores'!$F$4:$F$7),U76&gt;=LOOKUP(G76,'Qualifying Scores'!$A$10:$A$13,'Qualifying Scores'!$F$10:$F$13)),AND(X76&gt;=LOOKUP(G76,'Qualifying Scores'!$A$4:$A$7,'Qualifying Scores'!$F$4:$F$7),Y76&gt;=LOOKUP(G76,'Qualifying Scores'!$A$10:$A$13,'Qualifying Scores'!$F$10:$F$13)),AND(V76&gt;=LOOKUP(G76,'Qualifying Scores'!$A$4:$A$7,'Qualifying Scores'!$F$4:$F$7),W76&gt;=LOOKUP(G76,'Qualifying Scores'!$A$10:$A$13,'Qualifying Scores'!$F$10:$F$13)),AND(Z76&gt;=LOOKUP(G76,'Qualifying Scores'!$A$4:$A$7,'Qualifying Scores'!$F$4:$F$7),AA76&gt;=LOOKUP(G76,'Qualifying Scores'!$A$10:$A$13,'Qualifying Scores'!$F$10:$F$13))),"P",""))</f>
        <v/>
      </c>
      <c r="Q76" s="1" t="str">
        <f>IF(A76&lt;5,IF(_xlfn.MAXIFS(A:A,G:G,G76)&gt;3,5-A76,_xlfn.MAXIFS(A:A,G:G,G76)+1-A76),"")</f>
        <v/>
      </c>
      <c r="R76" s="4">
        <f>MAX(T76,X76)</f>
        <v>45.6</v>
      </c>
      <c r="S76" s="4">
        <f>IF(R76=T76,MAX(V76,X76,Z76),IF(R76=X76,MAX(T76,V76,Z76),0))</f>
        <v>42.9</v>
      </c>
      <c r="T76" s="33">
        <v>45.6</v>
      </c>
      <c r="U76" s="40">
        <v>7.9</v>
      </c>
      <c r="V76" s="34">
        <v>42.9</v>
      </c>
      <c r="W76" s="40">
        <v>7</v>
      </c>
      <c r="X76" s="33">
        <v>41.2</v>
      </c>
      <c r="Y76" s="40">
        <v>7.2</v>
      </c>
      <c r="Z76" s="34">
        <v>42.8</v>
      </c>
      <c r="AA76" s="37">
        <v>7.1</v>
      </c>
    </row>
    <row r="77" spans="1:27" x14ac:dyDescent="0.2">
      <c r="A77" s="1" t="str" cm="1">
        <f t="array" ref="A77">IF(I77="","",IF(P77&lt;&gt;"",SUMPRODUCT((P$3:P$99&lt;&gt;"")*(G$3:G$99=G77)*(J$3:J$99&gt;J77)*(I$3:I$99="P"))+1,IF(O77&lt;&gt;"",SUMPRODUCT((O$3:O$99&lt;&gt;"")*(P$3:P$99="")*(G$3:G$99=G77)*(J$3:J$99&gt;J77)*(I$3:I$99="P"))+SUMPRODUCT((P$3:P$99&lt;&gt;"")*(G$3:G$99=G77)*(I$3:I$99="P"))+1,IF(N77&lt;&gt;"",SUMPRODUCT((N$3:N$99&lt;&gt;"")*(G$3:G$99=G77)*(J$3:J$99&gt;J77)*(I$3:I$99="P"))+1,IF(M77="P",SUMPRODUCT((O$3:O$99&lt;&gt;"")*(P$3:P$99="")*(G$3:G$99=G77)*(I$3:I$99="P"))+SUMPRODUCT((P$3:P$99&lt;&gt;"")*(G$3:G$99=G77)*(I$3:I$99="P"))+SUMPRODUCT((N$3:N$99&lt;&gt;"")*(G$3:G$99=G77)*(I$3:I$99="P"))+SUMPRODUCT((P$3:P$99="")*(O$3:O$99="")*(N$3:N$99="")*(M$3:M$99="P")*(G$3:G$99=G77)*(J$3:J$99&gt;J77)*(I$3:I$99="P"))+IF(H77="L5",SUMPRODUCT((P$3:P$99="")*(O$3:O$99="")*(N$3:N$99="")*(M$3:M$99="P")*(G$3:G$99=G77)*(J$3:J$99&lt;J77)*(H$3:H$99&lt;&gt;H77)*(I$3:I$99="P")),-1*SUMPRODUCT((P$3:P$99="")*(O$3:O$99="")*(N$3:N$99="")*(M$3:M$99="P")*(G$3:G$99=G77)*(J$3:J$99&gt;J77)*(H$3:H$99="L5")*(I$3:I$99="P")))+1,"")))))</f>
        <v/>
      </c>
      <c r="B77" s="1" t="str" cm="1">
        <f t="array" ref="B77">IF(P77&lt;&gt;"",SUMPRODUCT((P$3:P$99&lt;&gt;"")*(G$3:G$99=G77)*(J$3:J$99&gt;J77))+1,IF(O77&lt;&gt;"",SUMPRODUCT((O$3:O$99&lt;&gt;"")*(P$3:P$99="")*(G$3:G$99=G77)*(J$3:J$99&gt;J77))+SUMPRODUCT((P$3:P$99&lt;&gt;"")*(G$3:G$99=G77))+1,IF(N77&lt;&gt;"",SUMPRODUCT((N$3:N$99&lt;&gt;"")*(G$3:G$99=G77)*(J$3:J$99&gt;J77))+1,IF(M77="P",SUMPRODUCT((O$3:O$99&lt;&gt;"")*(P$3:P$99="")*(G$3:G$99=G77))+SUMPRODUCT((P$3:P$99&lt;&gt;"")*(G$3:G$99=G77))+SUMPRODUCT((N$3:N$99&lt;&gt;"")*(G$3:G$99=G77))+SUMPRODUCT((P$3:P$99="")*(O$3:O$99="")*(N$3:N$99="")*(M$3:M$99="P")*(G$3:G$99=G77)*(J$3:J$99&gt;J77))+IF(H77="L5",SUMPRODUCT((P$3:P$99="")*(O$3:O$99="")*(N$3:N$99="")*(M$3:M$99="P")*(G$3:G$99=G77)*(J$3:J$99&lt;J77)*(H$3:H$99&lt;&gt;H77)),-1*SUMPRODUCT((P$3:P$99="")*(O$3:O$99="")*(N$3:N$99="")*(M$3:M$99="P")*(G$3:G$99=G77)*(J$3:J$99&gt;J77)*(H$3:H$99="L5")))+1,""))))</f>
        <v/>
      </c>
      <c r="C77" s="36" t="s">
        <v>315</v>
      </c>
      <c r="D77" s="36" t="str">
        <f>IF(E77="","",VLOOKUP(E77,'Coaching Points'!A:B,2,0))</f>
        <v>BC</v>
      </c>
      <c r="E77" s="36" t="s">
        <v>282</v>
      </c>
      <c r="F77" s="35">
        <v>2007</v>
      </c>
      <c r="G77" s="1" t="str">
        <f>IF('Qualifying Scores'!$B$1-F77&gt;21,"Not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9" t="s">
        <v>66</v>
      </c>
      <c r="I77" s="43"/>
      <c r="J77" s="4">
        <f>R77+S77+IF(OR(H77="Junior",H77="Senior"),0.0002,IF(OR(H77="L7",H77="L6"),0.0001,0))+MAX(X77,Z77)*0.0000001</f>
        <v>87.700004429999993</v>
      </c>
      <c r="K77" s="3" t="str">
        <f>IF(G77="Not Age Eligible","",IF(MAX(T77,V77,X77,Z77)&gt;=LOOKUP(G77,'Qualifying Scores'!$A$4:$A$7,'Qualifying Scores'!$F$4:$F$7),"P",""))</f>
        <v/>
      </c>
      <c r="L77" s="3" t="str">
        <f>IF(G77="Not Age Eligible","",IF(MAX(U77,W77,Y77,AA77)&gt;=LOOKUP(G77,'Qualifying Scores'!$A$10:$A$13,'Qualifying Scores'!$F$10:$F$13),"P",""))</f>
        <v/>
      </c>
      <c r="M77" s="3" t="str">
        <f>IF(G77="Not Age Eligible","",IF(OR(AND(T77&gt;=LOOKUP(G77,'Qualifying Scores'!$A$4:$A$7,'Qualifying Scores'!$F$4:$F$7),U77&gt;=LOOKUP(G77,'Qualifying Scores'!$A$10:$A$13,'Qualifying Scores'!$F$10:$F$13)),AND(X77&gt;=LOOKUP(G77,'Qualifying Scores'!$A$4:$A$7,'Qualifying Scores'!$F$4:$F$7),Y77&gt;=LOOKUP(G77,'Qualifying Scores'!$A$10:$A$13,'Qualifying Scores'!$F$10:$F$13)),AND(V77&gt;=LOOKUP(G77,'Qualifying Scores'!$A$4:$A$7,'Qualifying Scores'!$F$4:$F$7),W77&gt;=LOOKUP(G77,'Qualifying Scores'!$A$10:$A$13,'Qualifying Scores'!$F$10:$F$13)),AND(Z77&gt;=LOOKUP(G77,'Qualifying Scores'!$A$4:$A$7,'Qualifying Scores'!$F$4:$F$7),AA77&gt;=LOOKUP(G77,'Qualifying Scores'!$A$10:$A$13,'Qualifying Scores'!$F$10:$F$13))),"P",""))</f>
        <v/>
      </c>
      <c r="Q77" s="1" t="str">
        <f>IF(A77&lt;5,IF(_xlfn.MAXIFS(A:A,G:G,G77)&gt;3,5-A77,_xlfn.MAXIFS(A:A,G:G,G77)+1-A77),"")</f>
        <v/>
      </c>
      <c r="R77" s="4">
        <f>MAX(T77,X77)</f>
        <v>44.3</v>
      </c>
      <c r="S77" s="4">
        <f>IF(R77=T77,MAX(V77,X77,Z77),IF(R77=X77,MAX(T77,V77,Z77),0))</f>
        <v>43.4</v>
      </c>
      <c r="T77" s="33">
        <v>38.6</v>
      </c>
      <c r="U77" s="40">
        <v>3.3000000000000003</v>
      </c>
      <c r="V77" s="34">
        <v>40</v>
      </c>
      <c r="W77" s="40">
        <v>4.0999999999999996</v>
      </c>
      <c r="X77" s="33">
        <v>44.3</v>
      </c>
      <c r="Y77" s="40">
        <v>6.9</v>
      </c>
      <c r="Z77" s="34">
        <v>43.4</v>
      </c>
      <c r="AA77" s="37">
        <v>7.2</v>
      </c>
    </row>
    <row r="78" spans="1:27" x14ac:dyDescent="0.2">
      <c r="A78" s="1" t="str" cm="1">
        <f t="array" ref="A78">IF(I78="","",IF(P78&lt;&gt;"",SUMPRODUCT((P$3:P$99&lt;&gt;"")*(G$3:G$99=G78)*(J$3:J$99&gt;J78)*(I$3:I$99="P"))+1,IF(O78&lt;&gt;"",SUMPRODUCT((O$3:O$99&lt;&gt;"")*(P$3:P$99="")*(G$3:G$99=G78)*(J$3:J$99&gt;J78)*(I$3:I$99="P"))+SUMPRODUCT((P$3:P$99&lt;&gt;"")*(G$3:G$99=G78)*(I$3:I$99="P"))+1,IF(N78&lt;&gt;"",SUMPRODUCT((N$3:N$99&lt;&gt;"")*(G$3:G$99=G78)*(J$3:J$99&gt;J78)*(I$3:I$99="P"))+1,IF(M78="P",SUMPRODUCT((O$3:O$99&lt;&gt;"")*(P$3:P$99="")*(G$3:G$99=G78)*(I$3:I$99="P"))+SUMPRODUCT((P$3:P$99&lt;&gt;"")*(G$3:G$99=G78)*(I$3:I$99="P"))+SUMPRODUCT((N$3:N$99&lt;&gt;"")*(G$3:G$99=G78)*(I$3:I$99="P"))+SUMPRODUCT((P$3:P$99="")*(O$3:O$99="")*(N$3:N$99="")*(M$3:M$99="P")*(G$3:G$99=G78)*(J$3:J$99&gt;J78)*(I$3:I$99="P"))+IF(H78="L5",SUMPRODUCT((P$3:P$99="")*(O$3:O$99="")*(N$3:N$99="")*(M$3:M$99="P")*(G$3:G$99=G78)*(J$3:J$99&lt;J78)*(H$3:H$99&lt;&gt;H78)*(I$3:I$99="P")),-1*SUMPRODUCT((P$3:P$99="")*(O$3:O$99="")*(N$3:N$99="")*(M$3:M$99="P")*(G$3:G$99=G78)*(J$3:J$99&gt;J78)*(H$3:H$99="L5")*(I$3:I$99="P")))+1,"")))))</f>
        <v/>
      </c>
      <c r="B78" s="1" t="str" cm="1">
        <f t="array" ref="B78">IF(P78&lt;&gt;"",SUMPRODUCT((P$3:P$99&lt;&gt;"")*(G$3:G$99=G78)*(J$3:J$99&gt;J78))+1,IF(O78&lt;&gt;"",SUMPRODUCT((O$3:O$99&lt;&gt;"")*(P$3:P$99="")*(G$3:G$99=G78)*(J$3:J$99&gt;J78))+SUMPRODUCT((P$3:P$99&lt;&gt;"")*(G$3:G$99=G78))+1,IF(N78&lt;&gt;"",SUMPRODUCT((N$3:N$99&lt;&gt;"")*(G$3:G$99=G78)*(J$3:J$99&gt;J78))+1,IF(M78="P",SUMPRODUCT((O$3:O$99&lt;&gt;"")*(P$3:P$99="")*(G$3:G$99=G78))+SUMPRODUCT((P$3:P$99&lt;&gt;"")*(G$3:G$99=G78))+SUMPRODUCT((N$3:N$99&lt;&gt;"")*(G$3:G$99=G78))+SUMPRODUCT((P$3:P$99="")*(O$3:O$99="")*(N$3:N$99="")*(M$3:M$99="P")*(G$3:G$99=G78)*(J$3:J$99&gt;J78))+IF(H78="L5",SUMPRODUCT((P$3:P$99="")*(O$3:O$99="")*(N$3:N$99="")*(M$3:M$99="P")*(G$3:G$99=G78)*(J$3:J$99&lt;J78)*(H$3:H$99&lt;&gt;H78)),-1*SUMPRODUCT((P$3:P$99="")*(O$3:O$99="")*(N$3:N$99="")*(M$3:M$99="P")*(G$3:G$99=G78)*(J$3:J$99&gt;J78)*(H$3:H$99="L5")))+1,""))))</f>
        <v/>
      </c>
      <c r="C78" s="36" t="s">
        <v>486</v>
      </c>
      <c r="D78" s="36" t="str">
        <f>IF(E78="","",VLOOKUP(E78,'Coaching Points'!A:B,2,0))</f>
        <v>ON</v>
      </c>
      <c r="E78" s="36" t="s">
        <v>47</v>
      </c>
      <c r="F78" s="35">
        <v>2008</v>
      </c>
      <c r="G78" s="1" t="str">
        <f>IF('Qualifying Scores'!$B$1-F78&gt;21,"Not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9" t="s">
        <v>66</v>
      </c>
      <c r="I78" s="43" t="s">
        <v>567</v>
      </c>
      <c r="J78" s="4">
        <f>R78+S78+IF(OR(H78="Junior",H78="Senior"),0.0002,IF(OR(H78="L7",H78="L6"),0.0001,0))+MAX(X78,Z78)*0.0000001</f>
        <v>87.600004459999994</v>
      </c>
      <c r="K78" s="3" t="str">
        <f>IF(G78="Not Age Eligible","",IF(MAX(T78,V78,X78,Z78)&gt;=LOOKUP(G78,'Qualifying Scores'!$A$4:$A$7,'Qualifying Scores'!$F$4:$F$7),"P",""))</f>
        <v/>
      </c>
      <c r="L78" s="3" t="str">
        <f>IF(G78="Not Age Eligible","",IF(MAX(U78,W78,Y78,AA78)&gt;=LOOKUP(G78,'Qualifying Scores'!$A$10:$A$13,'Qualifying Scores'!$F$10:$F$13),"P",""))</f>
        <v/>
      </c>
      <c r="M78" s="3" t="str">
        <f>IF(G78="Not Age Eligible","",IF(OR(AND(T78&gt;=LOOKUP(G78,'Qualifying Scores'!$A$4:$A$7,'Qualifying Scores'!$F$4:$F$7),U78&gt;=LOOKUP(G78,'Qualifying Scores'!$A$10:$A$13,'Qualifying Scores'!$F$10:$F$13)),AND(X78&gt;=LOOKUP(G78,'Qualifying Scores'!$A$4:$A$7,'Qualifying Scores'!$F$4:$F$7),Y78&gt;=LOOKUP(G78,'Qualifying Scores'!$A$10:$A$13,'Qualifying Scores'!$F$10:$F$13)),AND(V78&gt;=LOOKUP(G78,'Qualifying Scores'!$A$4:$A$7,'Qualifying Scores'!$F$4:$F$7),W78&gt;=LOOKUP(G78,'Qualifying Scores'!$A$10:$A$13,'Qualifying Scores'!$F$10:$F$13)),AND(Z78&gt;=LOOKUP(G78,'Qualifying Scores'!$A$4:$A$7,'Qualifying Scores'!$F$4:$F$7),AA78&gt;=LOOKUP(G78,'Qualifying Scores'!$A$10:$A$13,'Qualifying Scores'!$F$10:$F$13))),"P",""))</f>
        <v/>
      </c>
      <c r="Q78" s="1" t="str">
        <f>IF(A78&lt;5,IF(_xlfn.MAXIFS(A:A,G:G,G78)&gt;3,5-A78,_xlfn.MAXIFS(A:A,G:G,G78)+1-A78),"")</f>
        <v/>
      </c>
      <c r="R78" s="4">
        <f>MAX(T78,X78)</f>
        <v>43</v>
      </c>
      <c r="S78" s="4">
        <f>IF(R78=T78,MAX(V78,X78,Z78),IF(R78=X78,MAX(T78,V78,Z78),0))</f>
        <v>44.6</v>
      </c>
      <c r="T78" s="33"/>
      <c r="U78" s="40"/>
      <c r="V78" s="34"/>
      <c r="W78" s="40"/>
      <c r="X78" s="33">
        <v>43</v>
      </c>
      <c r="Y78" s="40">
        <v>6.3000000000000007</v>
      </c>
      <c r="Z78" s="34">
        <v>44.6</v>
      </c>
      <c r="AA78" s="37">
        <v>6.6999999999999993</v>
      </c>
    </row>
    <row r="79" spans="1:27" x14ac:dyDescent="0.2">
      <c r="A79" s="1" t="str" cm="1">
        <f t="array" ref="A79">IF(I79="","",IF(P79&lt;&gt;"",SUMPRODUCT((P$3:P$99&lt;&gt;"")*(G$3:G$99=G79)*(J$3:J$99&gt;J79)*(I$3:I$99="P"))+1,IF(O79&lt;&gt;"",SUMPRODUCT((O$3:O$99&lt;&gt;"")*(P$3:P$99="")*(G$3:G$99=G79)*(J$3:J$99&gt;J79)*(I$3:I$99="P"))+SUMPRODUCT((P$3:P$99&lt;&gt;"")*(G$3:G$99=G79)*(I$3:I$99="P"))+1,IF(N79&lt;&gt;"",SUMPRODUCT((N$3:N$99&lt;&gt;"")*(G$3:G$99=G79)*(J$3:J$99&gt;J79)*(I$3:I$99="P"))+1,IF(M79="P",SUMPRODUCT((O$3:O$99&lt;&gt;"")*(P$3:P$99="")*(G$3:G$99=G79)*(I$3:I$99="P"))+SUMPRODUCT((P$3:P$99&lt;&gt;"")*(G$3:G$99=G79)*(I$3:I$99="P"))+SUMPRODUCT((N$3:N$99&lt;&gt;"")*(G$3:G$99=G79)*(I$3:I$99="P"))+SUMPRODUCT((P$3:P$99="")*(O$3:O$99="")*(N$3:N$99="")*(M$3:M$99="P")*(G$3:G$99=G79)*(J$3:J$99&gt;J79)*(I$3:I$99="P"))+IF(H79="L5",SUMPRODUCT((P$3:P$99="")*(O$3:O$99="")*(N$3:N$99="")*(M$3:M$99="P")*(G$3:G$99=G79)*(J$3:J$99&lt;J79)*(H$3:H$99&lt;&gt;H79)*(I$3:I$99="P")),-1*SUMPRODUCT((P$3:P$99="")*(O$3:O$99="")*(N$3:N$99="")*(M$3:M$99="P")*(G$3:G$99=G79)*(J$3:J$99&gt;J79)*(H$3:H$99="L5")*(I$3:I$99="P")))+1,"")))))</f>
        <v/>
      </c>
      <c r="B79" s="1" t="str" cm="1">
        <f t="array" ref="B79">IF(P79&lt;&gt;"",SUMPRODUCT((P$3:P$99&lt;&gt;"")*(G$3:G$99=G79)*(J$3:J$99&gt;J79))+1,IF(O79&lt;&gt;"",SUMPRODUCT((O$3:O$99&lt;&gt;"")*(P$3:P$99="")*(G$3:G$99=G79)*(J$3:J$99&gt;J79))+SUMPRODUCT((P$3:P$99&lt;&gt;"")*(G$3:G$99=G79))+1,IF(N79&lt;&gt;"",SUMPRODUCT((N$3:N$99&lt;&gt;"")*(G$3:G$99=G79)*(J$3:J$99&gt;J79))+1,IF(M79="P",SUMPRODUCT((O$3:O$99&lt;&gt;"")*(P$3:P$99="")*(G$3:G$99=G79))+SUMPRODUCT((P$3:P$99&lt;&gt;"")*(G$3:G$99=G79))+SUMPRODUCT((N$3:N$99&lt;&gt;"")*(G$3:G$99=G79))+SUMPRODUCT((P$3:P$99="")*(O$3:O$99="")*(N$3:N$99="")*(M$3:M$99="P")*(G$3:G$99=G79)*(J$3:J$99&gt;J79))+IF(H79="L5",SUMPRODUCT((P$3:P$99="")*(O$3:O$99="")*(N$3:N$99="")*(M$3:M$99="P")*(G$3:G$99=G79)*(J$3:J$99&lt;J79)*(H$3:H$99&lt;&gt;H79)),-1*SUMPRODUCT((P$3:P$99="")*(O$3:O$99="")*(N$3:N$99="")*(M$3:M$99="P")*(G$3:G$99=G79)*(J$3:J$99&gt;J79)*(H$3:H$99="L5")))+1,""))))</f>
        <v/>
      </c>
      <c r="C79" s="36" t="s">
        <v>487</v>
      </c>
      <c r="D79" s="36" t="str">
        <f>IF(E79="","",VLOOKUP(E79,'Coaching Points'!A:B,2,0))</f>
        <v>QC</v>
      </c>
      <c r="E79" s="36" t="s">
        <v>96</v>
      </c>
      <c r="F79" s="35">
        <v>2008</v>
      </c>
      <c r="G79" s="1" t="str">
        <f>IF('Qualifying Scores'!$B$1-F79&gt;21,"Not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9" t="s">
        <v>66</v>
      </c>
      <c r="I79" s="43"/>
      <c r="J79" s="4">
        <f>R79+S79+IF(OR(H79="Junior",H79="Senior"),0.0002,IF(OR(H79="L7",H79="L6"),0.0001,0))+MAX(X79,Z79)*0.0000001</f>
        <v>87.200004379999982</v>
      </c>
      <c r="K79" s="3" t="str">
        <f>IF(G79="Not Age Eligible","",IF(MAX(T79,V79,X79,Z79)&gt;=LOOKUP(G79,'Qualifying Scores'!$A$4:$A$7,'Qualifying Scores'!$F$4:$F$7),"P",""))</f>
        <v/>
      </c>
      <c r="L79" s="3" t="str">
        <f>IF(G79="Not Age Eligible","",IF(MAX(U79,W79,Y79,AA79)&gt;=LOOKUP(G79,'Qualifying Scores'!$A$10:$A$13,'Qualifying Scores'!$F$10:$F$13),"P",""))</f>
        <v/>
      </c>
      <c r="M79" s="3" t="str">
        <f>IF(G79="Not Age Eligible","",IF(OR(AND(T79&gt;=LOOKUP(G79,'Qualifying Scores'!$A$4:$A$7,'Qualifying Scores'!$F$4:$F$7),U79&gt;=LOOKUP(G79,'Qualifying Scores'!$A$10:$A$13,'Qualifying Scores'!$F$10:$F$13)),AND(X79&gt;=LOOKUP(G79,'Qualifying Scores'!$A$4:$A$7,'Qualifying Scores'!$F$4:$F$7),Y79&gt;=LOOKUP(G79,'Qualifying Scores'!$A$10:$A$13,'Qualifying Scores'!$F$10:$F$13)),AND(V79&gt;=LOOKUP(G79,'Qualifying Scores'!$A$4:$A$7,'Qualifying Scores'!$F$4:$F$7),W79&gt;=LOOKUP(G79,'Qualifying Scores'!$A$10:$A$13,'Qualifying Scores'!$F$10:$F$13)),AND(Z79&gt;=LOOKUP(G79,'Qualifying Scores'!$A$4:$A$7,'Qualifying Scores'!$F$4:$F$7),AA79&gt;=LOOKUP(G79,'Qualifying Scores'!$A$10:$A$13,'Qualifying Scores'!$F$10:$F$13))),"P",""))</f>
        <v/>
      </c>
      <c r="Q79" s="1" t="str">
        <f>IF(A79&lt;5,IF(_xlfn.MAXIFS(A:A,G:G,G79)&gt;3,5-A79,_xlfn.MAXIFS(A:A,G:G,G79)+1-A79),"")</f>
        <v/>
      </c>
      <c r="R79" s="4">
        <f>MAX(T79,X79)</f>
        <v>43.4</v>
      </c>
      <c r="S79" s="4">
        <f>IF(R79=T79,MAX(V79,X79,Z79),IF(R79=X79,MAX(T79,V79,Z79),0))</f>
        <v>43.8</v>
      </c>
      <c r="T79" s="33"/>
      <c r="U79" s="40"/>
      <c r="V79" s="34"/>
      <c r="W79" s="40"/>
      <c r="X79" s="33">
        <v>43.4</v>
      </c>
      <c r="Y79" s="40">
        <v>6</v>
      </c>
      <c r="Z79" s="34">
        <v>43.8</v>
      </c>
      <c r="AA79" s="37">
        <v>6.1</v>
      </c>
    </row>
    <row r="80" spans="1:27" x14ac:dyDescent="0.2">
      <c r="A80" s="1" t="str" cm="1">
        <f t="array" ref="A80">IF(I80="","",IF(P80&lt;&gt;"",SUMPRODUCT((P$3:P$99&lt;&gt;"")*(G$3:G$99=G80)*(J$3:J$99&gt;J80)*(I$3:I$99="P"))+1,IF(O80&lt;&gt;"",SUMPRODUCT((O$3:O$99&lt;&gt;"")*(P$3:P$99="")*(G$3:G$99=G80)*(J$3:J$99&gt;J80)*(I$3:I$99="P"))+SUMPRODUCT((P$3:P$99&lt;&gt;"")*(G$3:G$99=G80)*(I$3:I$99="P"))+1,IF(N80&lt;&gt;"",SUMPRODUCT((N$3:N$99&lt;&gt;"")*(G$3:G$99=G80)*(J$3:J$99&gt;J80)*(I$3:I$99="P"))+1,IF(M80="P",SUMPRODUCT((O$3:O$99&lt;&gt;"")*(P$3:P$99="")*(G$3:G$99=G80)*(I$3:I$99="P"))+SUMPRODUCT((P$3:P$99&lt;&gt;"")*(G$3:G$99=G80)*(I$3:I$99="P"))+SUMPRODUCT((N$3:N$99&lt;&gt;"")*(G$3:G$99=G80)*(I$3:I$99="P"))+SUMPRODUCT((P$3:P$99="")*(O$3:O$99="")*(N$3:N$99="")*(M$3:M$99="P")*(G$3:G$99=G80)*(J$3:J$99&gt;J80)*(I$3:I$99="P"))+IF(H80="L5",SUMPRODUCT((P$3:P$99="")*(O$3:O$99="")*(N$3:N$99="")*(M$3:M$99="P")*(G$3:G$99=G80)*(J$3:J$99&lt;J80)*(H$3:H$99&lt;&gt;H80)*(I$3:I$99="P")),-1*SUMPRODUCT((P$3:P$99="")*(O$3:O$99="")*(N$3:N$99="")*(M$3:M$99="P")*(G$3:G$99=G80)*(J$3:J$99&gt;J80)*(H$3:H$99="L5")*(I$3:I$99="P")))+1,"")))))</f>
        <v/>
      </c>
      <c r="B80" s="1" t="str" cm="1">
        <f t="array" ref="B80">IF(P80&lt;&gt;"",SUMPRODUCT((P$3:P$99&lt;&gt;"")*(G$3:G$99=G80)*(J$3:J$99&gt;J80))+1,IF(O80&lt;&gt;"",SUMPRODUCT((O$3:O$99&lt;&gt;"")*(P$3:P$99="")*(G$3:G$99=G80)*(J$3:J$99&gt;J80))+SUMPRODUCT((P$3:P$99&lt;&gt;"")*(G$3:G$99=G80))+1,IF(N80&lt;&gt;"",SUMPRODUCT((N$3:N$99&lt;&gt;"")*(G$3:G$99=G80)*(J$3:J$99&gt;J80))+1,IF(M80="P",SUMPRODUCT((O$3:O$99&lt;&gt;"")*(P$3:P$99="")*(G$3:G$99=G80))+SUMPRODUCT((P$3:P$99&lt;&gt;"")*(G$3:G$99=G80))+SUMPRODUCT((N$3:N$99&lt;&gt;"")*(G$3:G$99=G80))+SUMPRODUCT((P$3:P$99="")*(O$3:O$99="")*(N$3:N$99="")*(M$3:M$99="P")*(G$3:G$99=G80)*(J$3:J$99&gt;J80))+IF(H80="L5",SUMPRODUCT((P$3:P$99="")*(O$3:O$99="")*(N$3:N$99="")*(M$3:M$99="P")*(G$3:G$99=G80)*(J$3:J$99&lt;J80)*(H$3:H$99&lt;&gt;H80)),-1*SUMPRODUCT((P$3:P$99="")*(O$3:O$99="")*(N$3:N$99="")*(M$3:M$99="P")*(G$3:G$99=G80)*(J$3:J$99&gt;J80)*(H$3:H$99="L5")))+1,""))))</f>
        <v/>
      </c>
      <c r="C80" s="36" t="s">
        <v>488</v>
      </c>
      <c r="D80" s="36" t="str">
        <f>IF(E80="","",VLOOKUP(E80,'Coaching Points'!A:B,2,0))</f>
        <v>AB</v>
      </c>
      <c r="E80" s="36" t="s">
        <v>64</v>
      </c>
      <c r="F80" s="35">
        <v>2007</v>
      </c>
      <c r="G80" s="1" t="str">
        <f>IF('Qualifying Scores'!$B$1-F80&gt;21,"Not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9" t="s">
        <v>66</v>
      </c>
      <c r="I80" s="43"/>
      <c r="J80" s="4">
        <f>R80+S80+IF(OR(H80="Junior",H80="Senior"),0.0002,IF(OR(H80="L7",H80="L6"),0.0001,0))+MAX(X80,Z80)*0.0000001</f>
        <v>87.000004399999995</v>
      </c>
      <c r="K80" s="3" t="str">
        <f>IF(G80="Not Age Eligible","",IF(MAX(T80,V80,X80,Z80)&gt;=LOOKUP(G80,'Qualifying Scores'!$A$4:$A$7,'Qualifying Scores'!$F$4:$F$7),"P",""))</f>
        <v/>
      </c>
      <c r="L80" s="3" t="str">
        <f>IF(G80="Not Age Eligible","",IF(MAX(U80,W80,Y80,AA80)&gt;=LOOKUP(G80,'Qualifying Scores'!$A$10:$A$13,'Qualifying Scores'!$F$10:$F$13),"P",""))</f>
        <v/>
      </c>
      <c r="M80" s="3" t="str">
        <f>IF(G80="Not Age Eligible","",IF(OR(AND(T80&gt;=LOOKUP(G80,'Qualifying Scores'!$A$4:$A$7,'Qualifying Scores'!$F$4:$F$7),U80&gt;=LOOKUP(G80,'Qualifying Scores'!$A$10:$A$13,'Qualifying Scores'!$F$10:$F$13)),AND(X80&gt;=LOOKUP(G80,'Qualifying Scores'!$A$4:$A$7,'Qualifying Scores'!$F$4:$F$7),Y80&gt;=LOOKUP(G80,'Qualifying Scores'!$A$10:$A$13,'Qualifying Scores'!$F$10:$F$13)),AND(V80&gt;=LOOKUP(G80,'Qualifying Scores'!$A$4:$A$7,'Qualifying Scores'!$F$4:$F$7),W80&gt;=LOOKUP(G80,'Qualifying Scores'!$A$10:$A$13,'Qualifying Scores'!$F$10:$F$13)),AND(Z80&gt;=LOOKUP(G80,'Qualifying Scores'!$A$4:$A$7,'Qualifying Scores'!$F$4:$F$7),AA80&gt;=LOOKUP(G80,'Qualifying Scores'!$A$10:$A$13,'Qualifying Scores'!$F$10:$F$13))),"P",""))</f>
        <v/>
      </c>
      <c r="Q80" s="1" t="str">
        <f>IF(A80&lt;5,IF(_xlfn.MAXIFS(A:A,G:G,G80)&gt;3,5-A80,_xlfn.MAXIFS(A:A,G:G,G80)+1-A80),"")</f>
        <v/>
      </c>
      <c r="R80" s="4">
        <f>MAX(T80,X80)</f>
        <v>43</v>
      </c>
      <c r="S80" s="4">
        <f>IF(R80=T80,MAX(V80,X80,Z80),IF(R80=X80,MAX(T80,V80,Z80),0))</f>
        <v>44</v>
      </c>
      <c r="T80" s="33"/>
      <c r="U80" s="40"/>
      <c r="V80" s="34"/>
      <c r="W80" s="40"/>
      <c r="X80" s="33">
        <v>43</v>
      </c>
      <c r="Y80" s="40">
        <v>8</v>
      </c>
      <c r="Z80" s="34">
        <v>44</v>
      </c>
      <c r="AA80" s="37">
        <v>6.6999999999999993</v>
      </c>
    </row>
    <row r="81" spans="1:27" x14ac:dyDescent="0.2">
      <c r="A81" s="1" t="str" cm="1">
        <f t="array" ref="A81">IF(I81="","",IF(P81&lt;&gt;"",SUMPRODUCT((P$3:P$99&lt;&gt;"")*(G$3:G$99=G81)*(J$3:J$99&gt;J81)*(I$3:I$99="P"))+1,IF(O81&lt;&gt;"",SUMPRODUCT((O$3:O$99&lt;&gt;"")*(P$3:P$99="")*(G$3:G$99=G81)*(J$3:J$99&gt;J81)*(I$3:I$99="P"))+SUMPRODUCT((P$3:P$99&lt;&gt;"")*(G$3:G$99=G81)*(I$3:I$99="P"))+1,IF(N81&lt;&gt;"",SUMPRODUCT((N$3:N$99&lt;&gt;"")*(G$3:G$99=G81)*(J$3:J$99&gt;J81)*(I$3:I$99="P"))+1,IF(M81="P",SUMPRODUCT((O$3:O$99&lt;&gt;"")*(P$3:P$99="")*(G$3:G$99=G81)*(I$3:I$99="P"))+SUMPRODUCT((P$3:P$99&lt;&gt;"")*(G$3:G$99=G81)*(I$3:I$99="P"))+SUMPRODUCT((N$3:N$99&lt;&gt;"")*(G$3:G$99=G81)*(I$3:I$99="P"))+SUMPRODUCT((P$3:P$99="")*(O$3:O$99="")*(N$3:N$99="")*(M$3:M$99="P")*(G$3:G$99=G81)*(J$3:J$99&gt;J81)*(I$3:I$99="P"))+IF(H81="L5",SUMPRODUCT((P$3:P$99="")*(O$3:O$99="")*(N$3:N$99="")*(M$3:M$99="P")*(G$3:G$99=G81)*(J$3:J$99&lt;J81)*(H$3:H$99&lt;&gt;H81)*(I$3:I$99="P")),-1*SUMPRODUCT((P$3:P$99="")*(O$3:O$99="")*(N$3:N$99="")*(M$3:M$99="P")*(G$3:G$99=G81)*(J$3:J$99&gt;J81)*(H$3:H$99="L5")*(I$3:I$99="P")))+1,"")))))</f>
        <v/>
      </c>
      <c r="B81" s="1" t="str" cm="1">
        <f t="array" ref="B81">IF(P81&lt;&gt;"",SUMPRODUCT((P$3:P$99&lt;&gt;"")*(G$3:G$99=G81)*(J$3:J$99&gt;J81))+1,IF(O81&lt;&gt;"",SUMPRODUCT((O$3:O$99&lt;&gt;"")*(P$3:P$99="")*(G$3:G$99=G81)*(J$3:J$99&gt;J81))+SUMPRODUCT((P$3:P$99&lt;&gt;"")*(G$3:G$99=G81))+1,IF(N81&lt;&gt;"",SUMPRODUCT((N$3:N$99&lt;&gt;"")*(G$3:G$99=G81)*(J$3:J$99&gt;J81))+1,IF(M81="P",SUMPRODUCT((O$3:O$99&lt;&gt;"")*(P$3:P$99="")*(G$3:G$99=G81))+SUMPRODUCT((P$3:P$99&lt;&gt;"")*(G$3:G$99=G81))+SUMPRODUCT((N$3:N$99&lt;&gt;"")*(G$3:G$99=G81))+SUMPRODUCT((P$3:P$99="")*(O$3:O$99="")*(N$3:N$99="")*(M$3:M$99="P")*(G$3:G$99=G81)*(J$3:J$99&gt;J81))+IF(H81="L5",SUMPRODUCT((P$3:P$99="")*(O$3:O$99="")*(N$3:N$99="")*(M$3:M$99="P")*(G$3:G$99=G81)*(J$3:J$99&lt;J81)*(H$3:H$99&lt;&gt;H81)),-1*SUMPRODUCT((P$3:P$99="")*(O$3:O$99="")*(N$3:N$99="")*(M$3:M$99="P")*(G$3:G$99=G81)*(J$3:J$99&gt;J81)*(H$3:H$99="L5")))+1,""))))</f>
        <v/>
      </c>
      <c r="C81" s="36" t="s">
        <v>489</v>
      </c>
      <c r="D81" s="36" t="str">
        <f>IF(E81="","",VLOOKUP(E81,'Coaching Points'!A:B,2,0))</f>
        <v>BC</v>
      </c>
      <c r="E81" s="36" t="s">
        <v>41</v>
      </c>
      <c r="F81" s="35">
        <v>2008</v>
      </c>
      <c r="G81" s="1" t="str">
        <f>IF('Qualifying Scores'!$B$1-F81&gt;21,"Not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9" t="s">
        <v>66</v>
      </c>
      <c r="I81" s="43"/>
      <c r="J81" s="4">
        <f>R81+S81+IF(OR(H81="Junior",H81="Senior"),0.0002,IF(OR(H81="L7",H81="L6"),0.0001,0))+MAX(X81,Z81)*0.0000001</f>
        <v>86.600004379999987</v>
      </c>
      <c r="K81" s="3" t="str">
        <f>IF(G81="Not Age Eligible","",IF(MAX(T81,V81,X81,Z81)&gt;=LOOKUP(G81,'Qualifying Scores'!$A$4:$A$7,'Qualifying Scores'!$F$4:$F$7),"P",""))</f>
        <v/>
      </c>
      <c r="L81" s="3" t="str">
        <f>IF(G81="Not Age Eligible","",IF(MAX(U81,W81,Y81,AA81)&gt;=LOOKUP(G81,'Qualifying Scores'!$A$10:$A$13,'Qualifying Scores'!$F$10:$F$13),"P",""))</f>
        <v/>
      </c>
      <c r="M81" s="3" t="str">
        <f>IF(G81="Not Age Eligible","",IF(OR(AND(T81&gt;=LOOKUP(G81,'Qualifying Scores'!$A$4:$A$7,'Qualifying Scores'!$F$4:$F$7),U81&gt;=LOOKUP(G81,'Qualifying Scores'!$A$10:$A$13,'Qualifying Scores'!$F$10:$F$13)),AND(X81&gt;=LOOKUP(G81,'Qualifying Scores'!$A$4:$A$7,'Qualifying Scores'!$F$4:$F$7),Y81&gt;=LOOKUP(G81,'Qualifying Scores'!$A$10:$A$13,'Qualifying Scores'!$F$10:$F$13)),AND(V81&gt;=LOOKUP(G81,'Qualifying Scores'!$A$4:$A$7,'Qualifying Scores'!$F$4:$F$7),W81&gt;=LOOKUP(G81,'Qualifying Scores'!$A$10:$A$13,'Qualifying Scores'!$F$10:$F$13)),AND(Z81&gt;=LOOKUP(G81,'Qualifying Scores'!$A$4:$A$7,'Qualifying Scores'!$F$4:$F$7),AA81&gt;=LOOKUP(G81,'Qualifying Scores'!$A$10:$A$13,'Qualifying Scores'!$F$10:$F$13))),"P",""))</f>
        <v/>
      </c>
      <c r="Q81" s="1" t="str">
        <f>IF(A81&lt;5,IF(_xlfn.MAXIFS(A:A,G:G,G81)&gt;3,5-A81,_xlfn.MAXIFS(A:A,G:G,G81)+1-A81),"")</f>
        <v/>
      </c>
      <c r="R81" s="4">
        <f>MAX(T81,X81)</f>
        <v>43.8</v>
      </c>
      <c r="S81" s="4">
        <f>IF(R81=T81,MAX(V81,X81,Z81),IF(R81=X81,MAX(T81,V81,Z81),0))</f>
        <v>42.8</v>
      </c>
      <c r="T81" s="33"/>
      <c r="U81" s="40"/>
      <c r="V81" s="34"/>
      <c r="W81" s="40"/>
      <c r="X81" s="33">
        <v>43.8</v>
      </c>
      <c r="Y81" s="40">
        <v>8</v>
      </c>
      <c r="Z81" s="34">
        <v>42.8</v>
      </c>
      <c r="AA81" s="37">
        <v>6.6999999999999993</v>
      </c>
    </row>
    <row r="82" spans="1:27" x14ac:dyDescent="0.2">
      <c r="A82" s="1" t="str" cm="1">
        <f t="array" ref="A82">IF(I82="","",IF(P82&lt;&gt;"",SUMPRODUCT((P$3:P$99&lt;&gt;"")*(G$3:G$99=G82)*(J$3:J$99&gt;J82)*(I$3:I$99="P"))+1,IF(O82&lt;&gt;"",SUMPRODUCT((O$3:O$99&lt;&gt;"")*(P$3:P$99="")*(G$3:G$99=G82)*(J$3:J$99&gt;J82)*(I$3:I$99="P"))+SUMPRODUCT((P$3:P$99&lt;&gt;"")*(G$3:G$99=G82)*(I$3:I$99="P"))+1,IF(N82&lt;&gt;"",SUMPRODUCT((N$3:N$99&lt;&gt;"")*(G$3:G$99=G82)*(J$3:J$99&gt;J82)*(I$3:I$99="P"))+1,IF(M82="P",SUMPRODUCT((O$3:O$99&lt;&gt;"")*(P$3:P$99="")*(G$3:G$99=G82)*(I$3:I$99="P"))+SUMPRODUCT((P$3:P$99&lt;&gt;"")*(G$3:G$99=G82)*(I$3:I$99="P"))+SUMPRODUCT((N$3:N$99&lt;&gt;"")*(G$3:G$99=G82)*(I$3:I$99="P"))+SUMPRODUCT((P$3:P$99="")*(O$3:O$99="")*(N$3:N$99="")*(M$3:M$99="P")*(G$3:G$99=G82)*(J$3:J$99&gt;J82)*(I$3:I$99="P"))+IF(H82="L5",SUMPRODUCT((P$3:P$99="")*(O$3:O$99="")*(N$3:N$99="")*(M$3:M$99="P")*(G$3:G$99=G82)*(J$3:J$99&lt;J82)*(H$3:H$99&lt;&gt;H82)*(I$3:I$99="P")),-1*SUMPRODUCT((P$3:P$99="")*(O$3:O$99="")*(N$3:N$99="")*(M$3:M$99="P")*(G$3:G$99=G82)*(J$3:J$99&gt;J82)*(H$3:H$99="L5")*(I$3:I$99="P")))+1,"")))))</f>
        <v/>
      </c>
      <c r="B82" s="1" t="str" cm="1">
        <f t="array" ref="B82">IF(P82&lt;&gt;"",SUMPRODUCT((P$3:P$99&lt;&gt;"")*(G$3:G$99=G82)*(J$3:J$99&gt;J82))+1,IF(O82&lt;&gt;"",SUMPRODUCT((O$3:O$99&lt;&gt;"")*(P$3:P$99="")*(G$3:G$99=G82)*(J$3:J$99&gt;J82))+SUMPRODUCT((P$3:P$99&lt;&gt;"")*(G$3:G$99=G82))+1,IF(N82&lt;&gt;"",SUMPRODUCT((N$3:N$99&lt;&gt;"")*(G$3:G$99=G82)*(J$3:J$99&gt;J82))+1,IF(M82="P",SUMPRODUCT((O$3:O$99&lt;&gt;"")*(P$3:P$99="")*(G$3:G$99=G82))+SUMPRODUCT((P$3:P$99&lt;&gt;"")*(G$3:G$99=G82))+SUMPRODUCT((N$3:N$99&lt;&gt;"")*(G$3:G$99=G82))+SUMPRODUCT((P$3:P$99="")*(O$3:O$99="")*(N$3:N$99="")*(M$3:M$99="P")*(G$3:G$99=G82)*(J$3:J$99&gt;J82))+IF(H82="L5",SUMPRODUCT((P$3:P$99="")*(O$3:O$99="")*(N$3:N$99="")*(M$3:M$99="P")*(G$3:G$99=G82)*(J$3:J$99&lt;J82)*(H$3:H$99&lt;&gt;H82)),-1*SUMPRODUCT((P$3:P$99="")*(O$3:O$99="")*(N$3:N$99="")*(M$3:M$99="P")*(G$3:G$99=G82)*(J$3:J$99&gt;J82)*(H$3:H$99="L5")))+1,""))))</f>
        <v/>
      </c>
      <c r="C82" s="36" t="s">
        <v>490</v>
      </c>
      <c r="D82" s="36" t="str">
        <f>IF(E82="","",VLOOKUP(E82,'Coaching Points'!A:B,2,0))</f>
        <v>AB</v>
      </c>
      <c r="E82" s="36" t="s">
        <v>29</v>
      </c>
      <c r="F82" s="35">
        <v>2008</v>
      </c>
      <c r="G82" s="1" t="str">
        <f>IF('Qualifying Scores'!$B$1-F82&gt;21,"Not Age Eligible",IF('Qualifying Scores'!$B$1-F82&gt;16,"17-21",IF('Qualifying Scores'!$B$1-F82&gt;14,"15-16",IF('Qualifying Scores'!$B$1-F82&gt;12,"13-14",IF('Qualifying Scores'!$B$1-F82&gt;10,"11-12","Not Age Eligible")))))</f>
        <v>15-16</v>
      </c>
      <c r="H82" s="39" t="s">
        <v>66</v>
      </c>
      <c r="I82" s="43"/>
      <c r="J82" s="4">
        <f>R82+S82+IF(OR(H82="Junior",H82="Senior"),0.0002,IF(OR(H82="L7",H82="L6"),0.0001,0))+MAX(X82,Z82)*0.0000001</f>
        <v>84.300004279999996</v>
      </c>
      <c r="K82" s="3" t="str">
        <f>IF(G82="Not Age Eligible","",IF(MAX(T82,V82,X82,Z82)&gt;=LOOKUP(G82,'Qualifying Scores'!$A$4:$A$7,'Qualifying Scores'!$F$4:$F$7),"P",""))</f>
        <v/>
      </c>
      <c r="L82" s="3" t="str">
        <f>IF(G82="Not Age Eligible","",IF(MAX(U82,W82,Y82,AA82)&gt;=LOOKUP(G82,'Qualifying Scores'!$A$10:$A$13,'Qualifying Scores'!$F$10:$F$13),"P",""))</f>
        <v/>
      </c>
      <c r="M82" s="3" t="str">
        <f>IF(G82="Not Age Eligible","",IF(OR(AND(T82&gt;=LOOKUP(G82,'Qualifying Scores'!$A$4:$A$7,'Qualifying Scores'!$F$4:$F$7),U82&gt;=LOOKUP(G82,'Qualifying Scores'!$A$10:$A$13,'Qualifying Scores'!$F$10:$F$13)),AND(X82&gt;=LOOKUP(G82,'Qualifying Scores'!$A$4:$A$7,'Qualifying Scores'!$F$4:$F$7),Y82&gt;=LOOKUP(G82,'Qualifying Scores'!$A$10:$A$13,'Qualifying Scores'!$F$10:$F$13)),AND(V82&gt;=LOOKUP(G82,'Qualifying Scores'!$A$4:$A$7,'Qualifying Scores'!$F$4:$F$7),W82&gt;=LOOKUP(G82,'Qualifying Scores'!$A$10:$A$13,'Qualifying Scores'!$F$10:$F$13)),AND(Z82&gt;=LOOKUP(G82,'Qualifying Scores'!$A$4:$A$7,'Qualifying Scores'!$F$4:$F$7),AA82&gt;=LOOKUP(G82,'Qualifying Scores'!$A$10:$A$13,'Qualifying Scores'!$F$10:$F$13))),"P",""))</f>
        <v/>
      </c>
      <c r="Q82" s="1" t="str">
        <f>IF(A82&lt;5,IF(_xlfn.MAXIFS(A:A,G:G,G82)&gt;3,5-A82,_xlfn.MAXIFS(A:A,G:G,G82)+1-A82),"")</f>
        <v/>
      </c>
      <c r="R82" s="4">
        <f>MAX(T82,X82)</f>
        <v>42.8</v>
      </c>
      <c r="S82" s="4">
        <f>IF(R82=T82,MAX(V82,X82,Z82),IF(R82=X82,MAX(T82,V82,Z82),0))</f>
        <v>41.5</v>
      </c>
      <c r="T82" s="33"/>
      <c r="U82" s="40"/>
      <c r="V82" s="34"/>
      <c r="W82" s="40"/>
      <c r="X82" s="33">
        <v>42.8</v>
      </c>
      <c r="Y82" s="40">
        <v>6.3000000000000007</v>
      </c>
      <c r="Z82" s="34">
        <v>41.5</v>
      </c>
      <c r="AA82" s="37">
        <v>5.7</v>
      </c>
    </row>
    <row r="83" spans="1:27" x14ac:dyDescent="0.2">
      <c r="A83" s="1" t="str" cm="1">
        <f t="array" ref="A83">IF(I83="","",IF(P83&lt;&gt;"",SUMPRODUCT((P$3:P$99&lt;&gt;"")*(G$3:G$99=G83)*(J$3:J$99&gt;J83)*(I$3:I$99="P"))+1,IF(O83&lt;&gt;"",SUMPRODUCT((O$3:O$99&lt;&gt;"")*(P$3:P$99="")*(G$3:G$99=G83)*(J$3:J$99&gt;J83)*(I$3:I$99="P"))+SUMPRODUCT((P$3:P$99&lt;&gt;"")*(G$3:G$99=G83)*(I$3:I$99="P"))+1,IF(N83&lt;&gt;"",SUMPRODUCT((N$3:N$99&lt;&gt;"")*(G$3:G$99=G83)*(J$3:J$99&gt;J83)*(I$3:I$99="P"))+1,IF(M83="P",SUMPRODUCT((O$3:O$99&lt;&gt;"")*(P$3:P$99="")*(G$3:G$99=G83)*(I$3:I$99="P"))+SUMPRODUCT((P$3:P$99&lt;&gt;"")*(G$3:G$99=G83)*(I$3:I$99="P"))+SUMPRODUCT((N$3:N$99&lt;&gt;"")*(G$3:G$99=G83)*(I$3:I$99="P"))+SUMPRODUCT((P$3:P$99="")*(O$3:O$99="")*(N$3:N$99="")*(M$3:M$99="P")*(G$3:G$99=G83)*(J$3:J$99&gt;J83)*(I$3:I$99="P"))+IF(H83="L5",SUMPRODUCT((P$3:P$99="")*(O$3:O$99="")*(N$3:N$99="")*(M$3:M$99="P")*(G$3:G$99=G83)*(J$3:J$99&lt;J83)*(H$3:H$99&lt;&gt;H83)*(I$3:I$99="P")),-1*SUMPRODUCT((P$3:P$99="")*(O$3:O$99="")*(N$3:N$99="")*(M$3:M$99="P")*(G$3:G$99=G83)*(J$3:J$99&gt;J83)*(H$3:H$99="L5")*(I$3:I$99="P")))+1,"")))))</f>
        <v/>
      </c>
      <c r="B83" s="1" t="str" cm="1">
        <f t="array" ref="B83">IF(P83&lt;&gt;"",SUMPRODUCT((P$3:P$99&lt;&gt;"")*(G$3:G$99=G83)*(J$3:J$99&gt;J83))+1,IF(O83&lt;&gt;"",SUMPRODUCT((O$3:O$99&lt;&gt;"")*(P$3:P$99="")*(G$3:G$99=G83)*(J$3:J$99&gt;J83))+SUMPRODUCT((P$3:P$99&lt;&gt;"")*(G$3:G$99=G83))+1,IF(N83&lt;&gt;"",SUMPRODUCT((N$3:N$99&lt;&gt;"")*(G$3:G$99=G83)*(J$3:J$99&gt;J83))+1,IF(M83="P",SUMPRODUCT((O$3:O$99&lt;&gt;"")*(P$3:P$99="")*(G$3:G$99=G83))+SUMPRODUCT((P$3:P$99&lt;&gt;"")*(G$3:G$99=G83))+SUMPRODUCT((N$3:N$99&lt;&gt;"")*(G$3:G$99=G83))+SUMPRODUCT((P$3:P$99="")*(O$3:O$99="")*(N$3:N$99="")*(M$3:M$99="P")*(G$3:G$99=G83)*(J$3:J$99&gt;J83))+IF(H83="L5",SUMPRODUCT((P$3:P$99="")*(O$3:O$99="")*(N$3:N$99="")*(M$3:M$99="P")*(G$3:G$99=G83)*(J$3:J$99&lt;J83)*(H$3:H$99&lt;&gt;H83)),-1*SUMPRODUCT((P$3:P$99="")*(O$3:O$99="")*(N$3:N$99="")*(M$3:M$99="P")*(G$3:G$99=G83)*(J$3:J$99&gt;J83)*(H$3:H$99="L5")))+1,""))))</f>
        <v/>
      </c>
      <c r="C83" s="36" t="s">
        <v>491</v>
      </c>
      <c r="D83" s="36" t="str">
        <f>IF(E83="","",VLOOKUP(E83,'Coaching Points'!A:B,2,0))</f>
        <v>AB</v>
      </c>
      <c r="E83" s="36" t="s">
        <v>58</v>
      </c>
      <c r="F83" s="35">
        <v>2008</v>
      </c>
      <c r="G83" s="1" t="str">
        <f>IF('Qualifying Scores'!$B$1-F83&gt;21,"Not Age Eligible",IF('Qualifying Scores'!$B$1-F83&gt;16,"17-21",IF('Qualifying Scores'!$B$1-F83&gt;14,"15-16",IF('Qualifying Scores'!$B$1-F83&gt;12,"13-14",IF('Qualifying Scores'!$B$1-F83&gt;10,"11-12","Not Age Eligible")))))</f>
        <v>15-16</v>
      </c>
      <c r="H83" s="39" t="s">
        <v>66</v>
      </c>
      <c r="I83" s="43" t="s">
        <v>567</v>
      </c>
      <c r="J83" s="4">
        <f>R83+S83+IF(OR(H83="Junior",H83="Senior"),0.0002,IF(OR(H83="L7",H83="L6"),0.0001,0))+MAX(X83,Z83)*0.0000001</f>
        <v>83.400004469999999</v>
      </c>
      <c r="K83" s="3" t="str">
        <f>IF(G83="Not Age Eligible","",IF(MAX(T83,V83,X83,Z83)&gt;=LOOKUP(G83,'Qualifying Scores'!$A$4:$A$7,'Qualifying Scores'!$F$4:$F$7),"P",""))</f>
        <v/>
      </c>
      <c r="L83" s="3" t="str">
        <f>IF(G83="Not Age Eligible","",IF(MAX(U83,W83,Y83,AA83)&gt;=LOOKUP(G83,'Qualifying Scores'!$A$10:$A$13,'Qualifying Scores'!$F$10:$F$13),"P",""))</f>
        <v/>
      </c>
      <c r="M83" s="3" t="str">
        <f>IF(G83="Not Age Eligible","",IF(OR(AND(T83&gt;=LOOKUP(G83,'Qualifying Scores'!$A$4:$A$7,'Qualifying Scores'!$F$4:$F$7),U83&gt;=LOOKUP(G83,'Qualifying Scores'!$A$10:$A$13,'Qualifying Scores'!$F$10:$F$13)),AND(X83&gt;=LOOKUP(G83,'Qualifying Scores'!$A$4:$A$7,'Qualifying Scores'!$F$4:$F$7),Y83&gt;=LOOKUP(G83,'Qualifying Scores'!$A$10:$A$13,'Qualifying Scores'!$F$10:$F$13)),AND(V83&gt;=LOOKUP(G83,'Qualifying Scores'!$A$4:$A$7,'Qualifying Scores'!$F$4:$F$7),W83&gt;=LOOKUP(G83,'Qualifying Scores'!$A$10:$A$13,'Qualifying Scores'!$F$10:$F$13)),AND(Z83&gt;=LOOKUP(G83,'Qualifying Scores'!$A$4:$A$7,'Qualifying Scores'!$F$4:$F$7),AA83&gt;=LOOKUP(G83,'Qualifying Scores'!$A$10:$A$13,'Qualifying Scores'!$F$10:$F$13))),"P",""))</f>
        <v/>
      </c>
      <c r="Q83" s="1" t="str">
        <f>IF(A83&lt;5,IF(_xlfn.MAXIFS(A:A,G:G,G83)&gt;3,5-A83,_xlfn.MAXIFS(A:A,G:G,G83)+1-A83),"")</f>
        <v/>
      </c>
      <c r="R83" s="4">
        <f>MAX(T83,X83)</f>
        <v>44.7</v>
      </c>
      <c r="S83" s="4">
        <f>IF(R83=T83,MAX(V83,X83,Z83),IF(R83=X83,MAX(T83,V83,Z83),0))</f>
        <v>38.700000000000003</v>
      </c>
      <c r="T83" s="33"/>
      <c r="U83" s="40"/>
      <c r="V83" s="34"/>
      <c r="W83" s="40"/>
      <c r="X83" s="33">
        <v>44.7</v>
      </c>
      <c r="Y83" s="40">
        <v>8.4</v>
      </c>
      <c r="Z83" s="34">
        <v>38.700000000000003</v>
      </c>
      <c r="AA83" s="37">
        <v>4.3</v>
      </c>
    </row>
    <row r="84" spans="1:27" x14ac:dyDescent="0.2">
      <c r="A84" s="1" t="str" cm="1">
        <f t="array" ref="A84">IF(I84="","",IF(P84&lt;&gt;"",SUMPRODUCT((P$3:P$99&lt;&gt;"")*(G$3:G$99=G84)*(J$3:J$99&gt;J84)*(I$3:I$99="P"))+1,IF(O84&lt;&gt;"",SUMPRODUCT((O$3:O$99&lt;&gt;"")*(P$3:P$99="")*(G$3:G$99=G84)*(J$3:J$99&gt;J84)*(I$3:I$99="P"))+SUMPRODUCT((P$3:P$99&lt;&gt;"")*(G$3:G$99=G84)*(I$3:I$99="P"))+1,IF(N84&lt;&gt;"",SUMPRODUCT((N$3:N$99&lt;&gt;"")*(G$3:G$99=G84)*(J$3:J$99&gt;J84)*(I$3:I$99="P"))+1,IF(M84="P",SUMPRODUCT((O$3:O$99&lt;&gt;"")*(P$3:P$99="")*(G$3:G$99=G84)*(I$3:I$99="P"))+SUMPRODUCT((P$3:P$99&lt;&gt;"")*(G$3:G$99=G84)*(I$3:I$99="P"))+SUMPRODUCT((N$3:N$99&lt;&gt;"")*(G$3:G$99=G84)*(I$3:I$99="P"))+SUMPRODUCT((P$3:P$99="")*(O$3:O$99="")*(N$3:N$99="")*(M$3:M$99="P")*(G$3:G$99=G84)*(J$3:J$99&gt;J84)*(I$3:I$99="P"))+IF(H84="L5",SUMPRODUCT((P$3:P$99="")*(O$3:O$99="")*(N$3:N$99="")*(M$3:M$99="P")*(G$3:G$99=G84)*(J$3:J$99&lt;J84)*(H$3:H$99&lt;&gt;H84)*(I$3:I$99="P")),-1*SUMPRODUCT((P$3:P$99="")*(O$3:O$99="")*(N$3:N$99="")*(M$3:M$99="P")*(G$3:G$99=G84)*(J$3:J$99&gt;J84)*(H$3:H$99="L5")*(I$3:I$99="P")))+1,"")))))</f>
        <v/>
      </c>
      <c r="B84" s="1" t="str" cm="1">
        <f t="array" ref="B84">IF(P84&lt;&gt;"",SUMPRODUCT((P$3:P$99&lt;&gt;"")*(G$3:G$99=G84)*(J$3:J$99&gt;J84))+1,IF(O84&lt;&gt;"",SUMPRODUCT((O$3:O$99&lt;&gt;"")*(P$3:P$99="")*(G$3:G$99=G84)*(J$3:J$99&gt;J84))+SUMPRODUCT((P$3:P$99&lt;&gt;"")*(G$3:G$99=G84))+1,IF(N84&lt;&gt;"",SUMPRODUCT((N$3:N$99&lt;&gt;"")*(G$3:G$99=G84)*(J$3:J$99&gt;J84))+1,IF(M84="P",SUMPRODUCT((O$3:O$99&lt;&gt;"")*(P$3:P$99="")*(G$3:G$99=G84))+SUMPRODUCT((P$3:P$99&lt;&gt;"")*(G$3:G$99=G84))+SUMPRODUCT((N$3:N$99&lt;&gt;"")*(G$3:G$99=G84))+SUMPRODUCT((P$3:P$99="")*(O$3:O$99="")*(N$3:N$99="")*(M$3:M$99="P")*(G$3:G$99=G84)*(J$3:J$99&gt;J84))+IF(H84="L5",SUMPRODUCT((P$3:P$99="")*(O$3:O$99="")*(N$3:N$99="")*(M$3:M$99="P")*(G$3:G$99=G84)*(J$3:J$99&lt;J84)*(H$3:H$99&lt;&gt;H84)),-1*SUMPRODUCT((P$3:P$99="")*(O$3:O$99="")*(N$3:N$99="")*(M$3:M$99="P")*(G$3:G$99=G84)*(J$3:J$99&gt;J84)*(H$3:H$99="L5")))+1,""))))</f>
        <v/>
      </c>
      <c r="C84" s="36" t="s">
        <v>492</v>
      </c>
      <c r="D84" s="36" t="str">
        <f>IF(E84="","",VLOOKUP(E84,'Coaching Points'!A:B,2,0))</f>
        <v>AB</v>
      </c>
      <c r="E84" s="36" t="s">
        <v>420</v>
      </c>
      <c r="F84" s="35">
        <v>2008</v>
      </c>
      <c r="G84" s="1" t="str">
        <f>IF('Qualifying Scores'!$B$1-F84&gt;21,"Not Age Eligible",IF('Qualifying Scores'!$B$1-F84&gt;16,"17-21",IF('Qualifying Scores'!$B$1-F84&gt;14,"15-16",IF('Qualifying Scores'!$B$1-F84&gt;12,"13-14",IF('Qualifying Scores'!$B$1-F84&gt;10,"11-12","Not Age Eligible")))))</f>
        <v>15-16</v>
      </c>
      <c r="H84" s="39" t="s">
        <v>66</v>
      </c>
      <c r="I84" s="43"/>
      <c r="J84" s="4">
        <f>R84+S84+IF(OR(H84="Junior",H84="Senior"),0.0002,IF(OR(H84="L7",H84="L6"),0.0001,0))+MAX(X84,Z84)*0.0000001</f>
        <v>80.300004189999996</v>
      </c>
      <c r="K84" s="3" t="str">
        <f>IF(G84="Not Age Eligible","",IF(MAX(T84,V84,X84,Z84)&gt;=LOOKUP(G84,'Qualifying Scores'!$A$4:$A$7,'Qualifying Scores'!$F$4:$F$7),"P",""))</f>
        <v/>
      </c>
      <c r="L84" s="3" t="str">
        <f>IF(G84="Not Age Eligible","",IF(MAX(U84,W84,Y84,AA84)&gt;=LOOKUP(G84,'Qualifying Scores'!$A$10:$A$13,'Qualifying Scores'!$F$10:$F$13),"P",""))</f>
        <v/>
      </c>
      <c r="M84" s="3" t="str">
        <f>IF(G84="Not Age Eligible","",IF(OR(AND(T84&gt;=LOOKUP(G84,'Qualifying Scores'!$A$4:$A$7,'Qualifying Scores'!$F$4:$F$7),U84&gt;=LOOKUP(G84,'Qualifying Scores'!$A$10:$A$13,'Qualifying Scores'!$F$10:$F$13)),AND(X84&gt;=LOOKUP(G84,'Qualifying Scores'!$A$4:$A$7,'Qualifying Scores'!$F$4:$F$7),Y84&gt;=LOOKUP(G84,'Qualifying Scores'!$A$10:$A$13,'Qualifying Scores'!$F$10:$F$13)),AND(V84&gt;=LOOKUP(G84,'Qualifying Scores'!$A$4:$A$7,'Qualifying Scores'!$F$4:$F$7),W84&gt;=LOOKUP(G84,'Qualifying Scores'!$A$10:$A$13,'Qualifying Scores'!$F$10:$F$13)),AND(Z84&gt;=LOOKUP(G84,'Qualifying Scores'!$A$4:$A$7,'Qualifying Scores'!$F$4:$F$7),AA84&gt;=LOOKUP(G84,'Qualifying Scores'!$A$10:$A$13,'Qualifying Scores'!$F$10:$F$13))),"P",""))</f>
        <v/>
      </c>
      <c r="Q84" s="1" t="str">
        <f>IF(A84&lt;5,IF(_xlfn.MAXIFS(A:A,G:G,G84)&gt;3,5-A84,_xlfn.MAXIFS(A:A,G:G,G84)+1-A84),"")</f>
        <v/>
      </c>
      <c r="R84" s="4">
        <f>MAX(T84,X84)</f>
        <v>41.9</v>
      </c>
      <c r="S84" s="4">
        <f>IF(R84=T84,MAX(V84,X84,Z84),IF(R84=X84,MAX(T84,V84,Z84),0))</f>
        <v>38.4</v>
      </c>
      <c r="T84" s="33"/>
      <c r="U84" s="40"/>
      <c r="V84" s="34"/>
      <c r="W84" s="40"/>
      <c r="X84" s="33">
        <v>41.9</v>
      </c>
      <c r="Y84" s="40">
        <v>5.8000000000000007</v>
      </c>
      <c r="Z84" s="34">
        <v>38.4</v>
      </c>
      <c r="AA84" s="37">
        <v>2.9</v>
      </c>
    </row>
    <row r="85" spans="1:27" x14ac:dyDescent="0.2">
      <c r="A85" s="1" t="str" cm="1">
        <f t="array" ref="A85">IF(I85="","",IF(P85&lt;&gt;"",SUMPRODUCT((P$3:P$99&lt;&gt;"")*(G$3:G$99=G85)*(J$3:J$99&gt;J85)*(I$3:I$99="P"))+1,IF(O85&lt;&gt;"",SUMPRODUCT((O$3:O$99&lt;&gt;"")*(P$3:P$99="")*(G$3:G$99=G85)*(J$3:J$99&gt;J85)*(I$3:I$99="P"))+SUMPRODUCT((P$3:P$99&lt;&gt;"")*(G$3:G$99=G85)*(I$3:I$99="P"))+1,IF(N85&lt;&gt;"",SUMPRODUCT((N$3:N$99&lt;&gt;"")*(G$3:G$99=G85)*(J$3:J$99&gt;J85)*(I$3:I$99="P"))+1,IF(M85="P",SUMPRODUCT((O$3:O$99&lt;&gt;"")*(P$3:P$99="")*(G$3:G$99=G85)*(I$3:I$99="P"))+SUMPRODUCT((P$3:P$99&lt;&gt;"")*(G$3:G$99=G85)*(I$3:I$99="P"))+SUMPRODUCT((N$3:N$99&lt;&gt;"")*(G$3:G$99=G85)*(I$3:I$99="P"))+SUMPRODUCT((P$3:P$99="")*(O$3:O$99="")*(N$3:N$99="")*(M$3:M$99="P")*(G$3:G$99=G85)*(J$3:J$99&gt;J85)*(I$3:I$99="P"))+IF(H85="L5",SUMPRODUCT((P$3:P$99="")*(O$3:O$99="")*(N$3:N$99="")*(M$3:M$99="P")*(G$3:G$99=G85)*(J$3:J$99&lt;J85)*(H$3:H$99&lt;&gt;H85)*(I$3:I$99="P")),-1*SUMPRODUCT((P$3:P$99="")*(O$3:O$99="")*(N$3:N$99="")*(M$3:M$99="P")*(G$3:G$99=G85)*(J$3:J$99&gt;J85)*(H$3:H$99="L5")*(I$3:I$99="P")))+1,"")))))</f>
        <v/>
      </c>
      <c r="B85" s="1" t="str" cm="1">
        <f t="array" ref="B85">IF(P85&lt;&gt;"",SUMPRODUCT((P$3:P$99&lt;&gt;"")*(G$3:G$99=G85)*(J$3:J$99&gt;J85))+1,IF(O85&lt;&gt;"",SUMPRODUCT((O$3:O$99&lt;&gt;"")*(P$3:P$99="")*(G$3:G$99=G85)*(J$3:J$99&gt;J85))+SUMPRODUCT((P$3:P$99&lt;&gt;"")*(G$3:G$99=G85))+1,IF(N85&lt;&gt;"",SUMPRODUCT((N$3:N$99&lt;&gt;"")*(G$3:G$99=G85)*(J$3:J$99&gt;J85))+1,IF(M85="P",SUMPRODUCT((O$3:O$99&lt;&gt;"")*(P$3:P$99="")*(G$3:G$99=G85))+SUMPRODUCT((P$3:P$99&lt;&gt;"")*(G$3:G$99=G85))+SUMPRODUCT((N$3:N$99&lt;&gt;"")*(G$3:G$99=G85))+SUMPRODUCT((P$3:P$99="")*(O$3:O$99="")*(N$3:N$99="")*(M$3:M$99="P")*(G$3:G$99=G85)*(J$3:J$99&gt;J85))+IF(H85="L5",SUMPRODUCT((P$3:P$99="")*(O$3:O$99="")*(N$3:N$99="")*(M$3:M$99="P")*(G$3:G$99=G85)*(J$3:J$99&lt;J85)*(H$3:H$99&lt;&gt;H85)),-1*SUMPRODUCT((P$3:P$99="")*(O$3:O$99="")*(N$3:N$99="")*(M$3:M$99="P")*(G$3:G$99=G85)*(J$3:J$99&gt;J85)*(H$3:H$99="L5")))+1,""))))</f>
        <v/>
      </c>
      <c r="C85" s="36" t="s">
        <v>517</v>
      </c>
      <c r="D85" s="36" t="str">
        <f>IF(E85="","",VLOOKUP(E85,'Coaching Points'!A:B,2,0))</f>
        <v>BC</v>
      </c>
      <c r="E85" s="36" t="s">
        <v>61</v>
      </c>
      <c r="F85" s="35">
        <v>2008</v>
      </c>
      <c r="G85" s="1" t="str">
        <f>IF('Qualifying Scores'!$B$1-F85&gt;21,"Not Age Eligible",IF('Qualifying Scores'!$B$1-F85&gt;16,"17-21",IF('Qualifying Scores'!$B$1-F85&gt;14,"15-16",IF('Qualifying Scores'!$B$1-F85&gt;12,"13-14",IF('Qualifying Scores'!$B$1-F85&gt;10,"11-12","Not Age Eligible")))))</f>
        <v>15-16</v>
      </c>
      <c r="H85" s="39" t="s">
        <v>66</v>
      </c>
      <c r="I85" s="43"/>
      <c r="J85" s="4">
        <f>R85+S85+IF(OR(H85="Junior",H85="Senior"),0.0002,IF(OR(H85="L7",H85="L6"),0.0001,0))+MAX(X85,Z85)*0.0000001</f>
        <v>20.300002030000002</v>
      </c>
      <c r="K85" s="3" t="str">
        <f>IF(G85="Not Age Eligible","",IF(MAX(T85,V85,X85,Z85)&gt;=LOOKUP(G85,'Qualifying Scores'!$A$4:$A$7,'Qualifying Scores'!$F$4:$F$7),"P",""))</f>
        <v/>
      </c>
      <c r="L85" s="3" t="str">
        <f>IF(G85="Not Age Eligible","",IF(MAX(U85,W85,Y85,AA85)&gt;=LOOKUP(G85,'Qualifying Scores'!$A$10:$A$13,'Qualifying Scores'!$F$10:$F$13),"P",""))</f>
        <v/>
      </c>
      <c r="M85" s="3" t="str">
        <f>IF(G85="Not Age Eligible","",IF(OR(AND(T85&gt;=LOOKUP(G85,'Qualifying Scores'!$A$4:$A$7,'Qualifying Scores'!$F$4:$F$7),U85&gt;=LOOKUP(G85,'Qualifying Scores'!$A$10:$A$13,'Qualifying Scores'!$F$10:$F$13)),AND(X85&gt;=LOOKUP(G85,'Qualifying Scores'!$A$4:$A$7,'Qualifying Scores'!$F$4:$F$7),Y85&gt;=LOOKUP(G85,'Qualifying Scores'!$A$10:$A$13,'Qualifying Scores'!$F$10:$F$13)),AND(V85&gt;=LOOKUP(G85,'Qualifying Scores'!$A$4:$A$7,'Qualifying Scores'!$F$4:$F$7),W85&gt;=LOOKUP(G85,'Qualifying Scores'!$A$10:$A$13,'Qualifying Scores'!$F$10:$F$13)),AND(Z85&gt;=LOOKUP(G85,'Qualifying Scores'!$A$4:$A$7,'Qualifying Scores'!$F$4:$F$7),AA85&gt;=LOOKUP(G85,'Qualifying Scores'!$A$10:$A$13,'Qualifying Scores'!$F$10:$F$13))),"P",""))</f>
        <v/>
      </c>
      <c r="Q85" s="1" t="str">
        <f>IF(A85&lt;5,IF(_xlfn.MAXIFS(A:A,G:G,G85)&gt;3,5-A85,_xlfn.MAXIFS(A:A,G:G,G85)+1-A85),"")</f>
        <v/>
      </c>
      <c r="R85" s="4">
        <f>MAX(T85,X85)</f>
        <v>20.3</v>
      </c>
      <c r="S85" s="4">
        <f>IF(R85=T85,MAX(V85,X85,Z85),IF(R85=X85,MAX(T85,V85,Z85),0))</f>
        <v>0</v>
      </c>
      <c r="T85" s="33"/>
      <c r="U85" s="40"/>
      <c r="V85" s="34"/>
      <c r="W85" s="40"/>
      <c r="X85" s="33">
        <v>20.3</v>
      </c>
      <c r="Y85" s="40">
        <v>2.6</v>
      </c>
      <c r="Z85" s="34"/>
      <c r="AA85" s="37"/>
    </row>
    <row r="86" spans="1:27" x14ac:dyDescent="0.2">
      <c r="A86" s="1" t="str" cm="1">
        <f t="array" ref="A86">IF(I86="","",IF(P86&lt;&gt;"",SUMPRODUCT((P$3:P$99&lt;&gt;"")*(G$3:G$99=G86)*(J$3:J$99&gt;J86)*(I$3:I$99="P"))+1,IF(O86&lt;&gt;"",SUMPRODUCT((O$3:O$99&lt;&gt;"")*(P$3:P$99="")*(G$3:G$99=G86)*(J$3:J$99&gt;J86)*(I$3:I$99="P"))+SUMPRODUCT((P$3:P$99&lt;&gt;"")*(G$3:G$99=G86)*(I$3:I$99="P"))+1,IF(N86&lt;&gt;"",SUMPRODUCT((N$3:N$99&lt;&gt;"")*(G$3:G$99=G86)*(J$3:J$99&gt;J86)*(I$3:I$99="P"))+1,IF(M86="P",SUMPRODUCT((O$3:O$99&lt;&gt;"")*(P$3:P$99="")*(G$3:G$99=G86)*(I$3:I$99="P"))+SUMPRODUCT((P$3:P$99&lt;&gt;"")*(G$3:G$99=G86)*(I$3:I$99="P"))+SUMPRODUCT((N$3:N$99&lt;&gt;"")*(G$3:G$99=G86)*(I$3:I$99="P"))+SUMPRODUCT((P$3:P$99="")*(O$3:O$99="")*(N$3:N$99="")*(M$3:M$99="P")*(G$3:G$99=G86)*(J$3:J$99&gt;J86)*(I$3:I$99="P"))+IF(H86="L5",SUMPRODUCT((P$3:P$99="")*(O$3:O$99="")*(N$3:N$99="")*(M$3:M$99="P")*(G$3:G$99=G86)*(J$3:J$99&lt;J86)*(H$3:H$99&lt;&gt;H86)*(I$3:I$99="P")),-1*SUMPRODUCT((P$3:P$99="")*(O$3:O$99="")*(N$3:N$99="")*(M$3:M$99="P")*(G$3:G$99=G86)*(J$3:J$99&gt;J86)*(H$3:H$99="L5")*(I$3:I$99="P")))+1,"")))))</f>
        <v/>
      </c>
      <c r="B86" s="1" t="str" cm="1">
        <f t="array" ref="B86">IF(P86&lt;&gt;"",SUMPRODUCT((P$3:P$99&lt;&gt;"")*(G$3:G$99=G86)*(J$3:J$99&gt;J86))+1,IF(O86&lt;&gt;"",SUMPRODUCT((O$3:O$99&lt;&gt;"")*(P$3:P$99="")*(G$3:G$99=G86)*(J$3:J$99&gt;J86))+SUMPRODUCT((P$3:P$99&lt;&gt;"")*(G$3:G$99=G86))+1,IF(N86&lt;&gt;"",SUMPRODUCT((N$3:N$99&lt;&gt;"")*(G$3:G$99=G86)*(J$3:J$99&gt;J86))+1,IF(M86="P",SUMPRODUCT((O$3:O$99&lt;&gt;"")*(P$3:P$99="")*(G$3:G$99=G86))+SUMPRODUCT((P$3:P$99&lt;&gt;"")*(G$3:G$99=G86))+SUMPRODUCT((N$3:N$99&lt;&gt;"")*(G$3:G$99=G86))+SUMPRODUCT((P$3:P$99="")*(O$3:O$99="")*(N$3:N$99="")*(M$3:M$99="P")*(G$3:G$99=G86)*(J$3:J$99&gt;J86))+IF(H86="L5",SUMPRODUCT((P$3:P$99="")*(O$3:O$99="")*(N$3:N$99="")*(M$3:M$99="P")*(G$3:G$99=G86)*(J$3:J$99&lt;J86)*(H$3:H$99&lt;&gt;H86)),-1*SUMPRODUCT((P$3:P$99="")*(O$3:O$99="")*(N$3:N$99="")*(M$3:M$99="P")*(G$3:G$99=G86)*(J$3:J$99&gt;J86)*(H$3:H$99="L5")))+1,""))))</f>
        <v/>
      </c>
      <c r="C86" s="36" t="s">
        <v>518</v>
      </c>
      <c r="D86" s="36" t="str">
        <f>IF(E86="","",VLOOKUP(E86,'Coaching Points'!A:B,2,0))</f>
        <v>ON</v>
      </c>
      <c r="E86" s="36" t="s">
        <v>311</v>
      </c>
      <c r="F86" s="35">
        <v>2007</v>
      </c>
      <c r="G86" s="1" t="str">
        <f>IF('Qualifying Scores'!$B$1-F86&gt;21,"Not Age Eligible",IF('Qualifying Scores'!$B$1-F86&gt;16,"17-21",IF('Qualifying Scores'!$B$1-F86&gt;14,"15-16",IF('Qualifying Scores'!$B$1-F86&gt;12,"13-14",IF('Qualifying Scores'!$B$1-F86&gt;10,"11-12","Not Age Eligible")))))</f>
        <v>15-16</v>
      </c>
      <c r="H86" s="39" t="s">
        <v>66</v>
      </c>
      <c r="I86" s="43"/>
      <c r="J86" s="4">
        <f>R86+S86+IF(OR(H86="Junior",H86="Senior"),0.0002,IF(OR(H86="L7",H86="L6"),0.0001,0))+MAX(X86,Z86)*0.0000001</f>
        <v>20.000001999999999</v>
      </c>
      <c r="K86" s="3" t="str">
        <f>IF(G86="Not Age Eligible","",IF(MAX(T86,V86,X86,Z86)&gt;=LOOKUP(G86,'Qualifying Scores'!$A$4:$A$7,'Qualifying Scores'!$F$4:$F$7),"P",""))</f>
        <v/>
      </c>
      <c r="L86" s="3" t="str">
        <f>IF(G86="Not Age Eligible","",IF(MAX(U86,W86,Y86,AA86)&gt;=LOOKUP(G86,'Qualifying Scores'!$A$10:$A$13,'Qualifying Scores'!$F$10:$F$13),"P",""))</f>
        <v/>
      </c>
      <c r="M86" s="3" t="str">
        <f>IF(G86="Not Age Eligible","",IF(OR(AND(T86&gt;=LOOKUP(G86,'Qualifying Scores'!$A$4:$A$7,'Qualifying Scores'!$F$4:$F$7),U86&gt;=LOOKUP(G86,'Qualifying Scores'!$A$10:$A$13,'Qualifying Scores'!$F$10:$F$13)),AND(X86&gt;=LOOKUP(G86,'Qualifying Scores'!$A$4:$A$7,'Qualifying Scores'!$F$4:$F$7),Y86&gt;=LOOKUP(G86,'Qualifying Scores'!$A$10:$A$13,'Qualifying Scores'!$F$10:$F$13)),AND(V86&gt;=LOOKUP(G86,'Qualifying Scores'!$A$4:$A$7,'Qualifying Scores'!$F$4:$F$7),W86&gt;=LOOKUP(G86,'Qualifying Scores'!$A$10:$A$13,'Qualifying Scores'!$F$10:$F$13)),AND(Z86&gt;=LOOKUP(G86,'Qualifying Scores'!$A$4:$A$7,'Qualifying Scores'!$F$4:$F$7),AA86&gt;=LOOKUP(G86,'Qualifying Scores'!$A$10:$A$13,'Qualifying Scores'!$F$10:$F$13))),"P",""))</f>
        <v/>
      </c>
      <c r="Q86" s="1" t="str">
        <f>IF(A86&lt;5,IF(_xlfn.MAXIFS(A:A,G:G,G86)&gt;3,5-A86,_xlfn.MAXIFS(A:A,G:G,G86)+1-A86),"")</f>
        <v/>
      </c>
      <c r="R86" s="4">
        <f>MAX(T86,X86)</f>
        <v>20</v>
      </c>
      <c r="S86" s="4">
        <f>IF(R86=T86,MAX(V86,X86,Z86),IF(R86=X86,MAX(T86,V86,Z86),0))</f>
        <v>0</v>
      </c>
      <c r="T86" s="33"/>
      <c r="U86" s="40"/>
      <c r="V86" s="34"/>
      <c r="W86" s="40"/>
      <c r="X86" s="33">
        <v>20</v>
      </c>
      <c r="Y86" s="40">
        <v>3</v>
      </c>
      <c r="Z86" s="34"/>
      <c r="AA86" s="37"/>
    </row>
    <row r="87" spans="1:27" x14ac:dyDescent="0.2">
      <c r="A87" s="1" cm="1">
        <f t="array" ref="A87">IF(I87="","",IF(P87&lt;&gt;"",SUMPRODUCT((P$3:P$99&lt;&gt;"")*(G$3:G$99=G87)*(J$3:J$99&gt;J87)*(I$3:I$99="P"))+1,IF(O87&lt;&gt;"",SUMPRODUCT((O$3:O$99&lt;&gt;"")*(P$3:P$99="")*(G$3:G$99=G87)*(J$3:J$99&gt;J87)*(I$3:I$99="P"))+SUMPRODUCT((P$3:P$99&lt;&gt;"")*(G$3:G$99=G87)*(I$3:I$99="P"))+1,IF(N87&lt;&gt;"",SUMPRODUCT((N$3:N$99&lt;&gt;"")*(G$3:G$99=G87)*(J$3:J$99&gt;J87)*(I$3:I$99="P"))+1,IF(M87="P",SUMPRODUCT((O$3:O$99&lt;&gt;"")*(P$3:P$99="")*(G$3:G$99=G87)*(I$3:I$99="P"))+SUMPRODUCT((P$3:P$99&lt;&gt;"")*(G$3:G$99=G87)*(I$3:I$99="P"))+SUMPRODUCT((N$3:N$99&lt;&gt;"")*(G$3:G$99=G87)*(I$3:I$99="P"))+SUMPRODUCT((P$3:P$99="")*(O$3:O$99="")*(N$3:N$99="")*(M$3:M$99="P")*(G$3:G$99=G87)*(J$3:J$99&gt;J87)*(I$3:I$99="P"))+IF(H87="L5",SUMPRODUCT((P$3:P$99="")*(O$3:O$99="")*(N$3:N$99="")*(M$3:M$99="P")*(G$3:G$99=G87)*(J$3:J$99&lt;J87)*(H$3:H$99&lt;&gt;H87)*(I$3:I$99="P")),-1*SUMPRODUCT((P$3:P$99="")*(O$3:O$99="")*(N$3:N$99="")*(M$3:M$99="P")*(G$3:G$99=G87)*(J$3:J$99&gt;J87)*(H$3:H$99="L5")*(I$3:I$99="P")))+1,"")))))</f>
        <v>1</v>
      </c>
      <c r="B87" s="1" cm="1">
        <f t="array" ref="B87">IF(P87&lt;&gt;"",SUMPRODUCT((P$3:P$99&lt;&gt;"")*(G$3:G$99=G87)*(J$3:J$99&gt;J87))+1,IF(O87&lt;&gt;"",SUMPRODUCT((O$3:O$99&lt;&gt;"")*(P$3:P$99="")*(G$3:G$99=G87)*(J$3:J$99&gt;J87))+SUMPRODUCT((P$3:P$99&lt;&gt;"")*(G$3:G$99=G87))+1,IF(N87&lt;&gt;"",SUMPRODUCT((N$3:N$99&lt;&gt;"")*(G$3:G$99=G87)*(J$3:J$99&gt;J87))+1,IF(M87="P",SUMPRODUCT((O$3:O$99&lt;&gt;"")*(P$3:P$99="")*(G$3:G$99=G87))+SUMPRODUCT((P$3:P$99&lt;&gt;"")*(G$3:G$99=G87))+SUMPRODUCT((N$3:N$99&lt;&gt;"")*(G$3:G$99=G87))+SUMPRODUCT((P$3:P$99="")*(O$3:O$99="")*(N$3:N$99="")*(M$3:M$99="P")*(G$3:G$99=G87)*(J$3:J$99&gt;J87))+IF(H87="L5",SUMPRODUCT((P$3:P$99="")*(O$3:O$99="")*(N$3:N$99="")*(M$3:M$99="P")*(G$3:G$99=G87)*(J$3:J$99&lt;J87)*(H$3:H$99&lt;&gt;H87)),-1*SUMPRODUCT((P$3:P$99="")*(O$3:O$99="")*(N$3:N$99="")*(M$3:M$99="P")*(G$3:G$99=G87)*(J$3:J$99&gt;J87)*(H$3:H$99="L5")))+1,""))))</f>
        <v>1</v>
      </c>
      <c r="C87" s="36" t="s">
        <v>78</v>
      </c>
      <c r="D87" s="36" t="str">
        <f>IF(E87="","",VLOOKUP(E87,'Coaching Points'!A:B,2,0))</f>
        <v>SK</v>
      </c>
      <c r="E87" s="36" t="s">
        <v>60</v>
      </c>
      <c r="F87" s="35">
        <v>2009</v>
      </c>
      <c r="G87" s="1" t="str">
        <f>IF('Qualifying Scores'!$B$1-F87&gt;21,"Not Age Eligible",IF('Qualifying Scores'!$B$1-F87&gt;16,"17-21",IF('Qualifying Scores'!$B$1-F87&gt;14,"15-16",IF('Qualifying Scores'!$B$1-F87&gt;12,"13-14",IF('Qualifying Scores'!$B$1-F87&gt;10,"11-12","Not Age Eligible")))))</f>
        <v>13-14</v>
      </c>
      <c r="H87" s="39" t="s">
        <v>65</v>
      </c>
      <c r="I87" s="43" t="s">
        <v>567</v>
      </c>
      <c r="J87" s="4">
        <f>R87+S87+IF(OR(H87="Junior",H87="Senior"),0.0002,IF(OR(H87="L7",H87="L6"),0.0001,0))+MAX(X87,Z87)*0.0000001</f>
        <v>98.600204939999998</v>
      </c>
      <c r="K87" s="3" t="str">
        <f>IF(G87="Not Age Eligible","",IF(MAX(T87,V87,X87,Z87)&gt;=LOOKUP(G87,'Qualifying Scores'!$A$4:$A$7,'Qualifying Scores'!$F$4:$F$7),"P",""))</f>
        <v>P</v>
      </c>
      <c r="L87" s="3" t="str">
        <f>IF(G87="Not Age Eligible","",IF(MAX(U87,W87,Y87,AA87)&gt;=LOOKUP(G87,'Qualifying Scores'!$A$10:$A$13,'Qualifying Scores'!$F$10:$F$13),"P",""))</f>
        <v>P</v>
      </c>
      <c r="M87" s="3" t="str">
        <f>IF(G87="Not Age Eligible","",IF(OR(AND(T87&gt;=LOOKUP(G87,'Qualifying Scores'!$A$4:$A$7,'Qualifying Scores'!$F$4:$F$7),U87&gt;=LOOKUP(G87,'Qualifying Scores'!$A$10:$A$13,'Qualifying Scores'!$F$10:$F$13)),AND(X87&gt;=LOOKUP(G87,'Qualifying Scores'!$A$4:$A$7,'Qualifying Scores'!$F$4:$F$7),Y87&gt;=LOOKUP(G87,'Qualifying Scores'!$A$10:$A$13,'Qualifying Scores'!$F$10:$F$13)),AND(V87&gt;=LOOKUP(G87,'Qualifying Scores'!$A$4:$A$7,'Qualifying Scores'!$F$4:$F$7),W87&gt;=LOOKUP(G87,'Qualifying Scores'!$A$10:$A$13,'Qualifying Scores'!$F$10:$F$13)),AND(Z87&gt;=LOOKUP(G87,'Qualifying Scores'!$A$4:$A$7,'Qualifying Scores'!$F$4:$F$7),AA87&gt;=LOOKUP(G87,'Qualifying Scores'!$A$10:$A$13,'Qualifying Scores'!$F$10:$F$13))),"P",""))</f>
        <v>P</v>
      </c>
      <c r="Q87" s="1">
        <f>IF(A87&lt;5,IF(_xlfn.MAXIFS(A:A,G:G,G87)&gt;3,5-A87,_xlfn.MAXIFS(A:A,G:G,G87)+1-A87),"")</f>
        <v>1</v>
      </c>
      <c r="R87" s="4">
        <f>MAX(T87,X87)</f>
        <v>49.4</v>
      </c>
      <c r="S87" s="4">
        <f>IF(R87=T87,MAX(V87,X87,Z87),IF(R87=X87,MAX(T87,V87,Z87),0))</f>
        <v>49.2</v>
      </c>
      <c r="T87" s="33">
        <v>46.6</v>
      </c>
      <c r="U87" s="40">
        <v>10.4</v>
      </c>
      <c r="V87" s="34">
        <v>45.4</v>
      </c>
      <c r="W87" s="40">
        <v>9.1999999999999993</v>
      </c>
      <c r="X87" s="33">
        <v>49.4</v>
      </c>
      <c r="Y87" s="40">
        <v>11.6</v>
      </c>
      <c r="Z87" s="34">
        <v>49.2</v>
      </c>
      <c r="AA87" s="37">
        <v>11.6</v>
      </c>
    </row>
    <row r="88" spans="1:27" x14ac:dyDescent="0.2">
      <c r="A88" s="1" t="str" cm="1">
        <f t="array" ref="A88">IF(I88="","",IF(P88&lt;&gt;"",SUMPRODUCT((P$3:P$99&lt;&gt;"")*(G$3:G$99=G88)*(J$3:J$99&gt;J88)*(I$3:I$99="P"))+1,IF(O88&lt;&gt;"",SUMPRODUCT((O$3:O$99&lt;&gt;"")*(P$3:P$99="")*(G$3:G$99=G88)*(J$3:J$99&gt;J88)*(I$3:I$99="P"))+SUMPRODUCT((P$3:P$99&lt;&gt;"")*(G$3:G$99=G88)*(I$3:I$99="P"))+1,IF(N88&lt;&gt;"",SUMPRODUCT((N$3:N$99&lt;&gt;"")*(G$3:G$99=G88)*(J$3:J$99&gt;J88)*(I$3:I$99="P"))+1,IF(M88="P",SUMPRODUCT((O$3:O$99&lt;&gt;"")*(P$3:P$99="")*(G$3:G$99=G88)*(I$3:I$99="P"))+SUMPRODUCT((P$3:P$99&lt;&gt;"")*(G$3:G$99=G88)*(I$3:I$99="P"))+SUMPRODUCT((N$3:N$99&lt;&gt;"")*(G$3:G$99=G88)*(I$3:I$99="P"))+SUMPRODUCT((P$3:P$99="")*(O$3:O$99="")*(N$3:N$99="")*(M$3:M$99="P")*(G$3:G$99=G88)*(J$3:J$99&gt;J88)*(I$3:I$99="P"))+IF(H88="L5",SUMPRODUCT((P$3:P$99="")*(O$3:O$99="")*(N$3:N$99="")*(M$3:M$99="P")*(G$3:G$99=G88)*(J$3:J$99&lt;J88)*(H$3:H$99&lt;&gt;H88)*(I$3:I$99="P")),-1*SUMPRODUCT((P$3:P$99="")*(O$3:O$99="")*(N$3:N$99="")*(M$3:M$99="P")*(G$3:G$99=G88)*(J$3:J$99&gt;J88)*(H$3:H$99="L5")*(I$3:I$99="P")))+1,"")))))</f>
        <v/>
      </c>
      <c r="B88" s="1" t="str" cm="1">
        <f t="array" ref="B88">IF(P88&lt;&gt;"",SUMPRODUCT((P$3:P$99&lt;&gt;"")*(G$3:G$99=G88)*(J$3:J$99&gt;J88))+1,IF(O88&lt;&gt;"",SUMPRODUCT((O$3:O$99&lt;&gt;"")*(P$3:P$99="")*(G$3:G$99=G88)*(J$3:J$99&gt;J88))+SUMPRODUCT((P$3:P$99&lt;&gt;"")*(G$3:G$99=G88))+1,IF(N88&lt;&gt;"",SUMPRODUCT((N$3:N$99&lt;&gt;"")*(G$3:G$99=G88)*(J$3:J$99&gt;J88))+1,IF(M88="P",SUMPRODUCT((O$3:O$99&lt;&gt;"")*(P$3:P$99="")*(G$3:G$99=G88))+SUMPRODUCT((P$3:P$99&lt;&gt;"")*(G$3:G$99=G88))+SUMPRODUCT((N$3:N$99&lt;&gt;"")*(G$3:G$99=G88))+SUMPRODUCT((P$3:P$99="")*(O$3:O$99="")*(N$3:N$99="")*(M$3:M$99="P")*(G$3:G$99=G88)*(J$3:J$99&gt;J88))+IF(H88="L5",SUMPRODUCT((P$3:P$99="")*(O$3:O$99="")*(N$3:N$99="")*(M$3:M$99="P")*(G$3:G$99=G88)*(J$3:J$99&lt;J88)*(H$3:H$99&lt;&gt;H88)),-1*SUMPRODUCT((P$3:P$99="")*(O$3:O$99="")*(N$3:N$99="")*(M$3:M$99="P")*(G$3:G$99=G88)*(J$3:J$99&gt;J88)*(H$3:H$99="L5")))+1,""))))</f>
        <v/>
      </c>
      <c r="C88" s="36" t="s">
        <v>322</v>
      </c>
      <c r="D88" s="36" t="str">
        <f>IF(E88="","",VLOOKUP(E88,'Coaching Points'!A:B,2,0))</f>
        <v>NS</v>
      </c>
      <c r="E88" s="36" t="s">
        <v>134</v>
      </c>
      <c r="F88" s="35">
        <v>2010</v>
      </c>
      <c r="G88" s="1" t="str">
        <f>IF('Qualifying Scores'!$B$1-F88&gt;21,"Not Age Eligible",IF('Qualifying Scores'!$B$1-F88&gt;16,"17-21",IF('Qualifying Scores'!$B$1-F88&gt;14,"15-16",IF('Qualifying Scores'!$B$1-F88&gt;12,"13-14",IF('Qualifying Scores'!$B$1-F88&gt;10,"11-12","Not Age Eligible")))))</f>
        <v>13-14</v>
      </c>
      <c r="H88" s="39" t="s">
        <v>66</v>
      </c>
      <c r="I88" s="43" t="s">
        <v>567</v>
      </c>
      <c r="J88" s="4">
        <f>R88+S88+IF(OR(H88="Junior",H88="Senior"),0.0002,IF(OR(H88="L7",H88="L6"),0.0001,0))+MAX(X88,Z88)*0.0000001</f>
        <v>89.40000452000001</v>
      </c>
      <c r="K88" s="3" t="str">
        <f>IF(G88="Not Age Eligible","",IF(MAX(T88,V88,X88,Z88)&gt;=LOOKUP(G88,'Qualifying Scores'!$A$4:$A$7,'Qualifying Scores'!$F$4:$F$7),"P",""))</f>
        <v/>
      </c>
      <c r="L88" s="3" t="str">
        <f>IF(G88="Not Age Eligible","",IF(MAX(U88,W88,Y88,AA88)&gt;=LOOKUP(G88,'Qualifying Scores'!$A$10:$A$13,'Qualifying Scores'!$F$10:$F$13),"P",""))</f>
        <v>P</v>
      </c>
      <c r="M88" s="3" t="str">
        <f>IF(G88="Not Age Eligible","",IF(OR(AND(T88&gt;=LOOKUP(G88,'Qualifying Scores'!$A$4:$A$7,'Qualifying Scores'!$F$4:$F$7),U88&gt;=LOOKUP(G88,'Qualifying Scores'!$A$10:$A$13,'Qualifying Scores'!$F$10:$F$13)),AND(X88&gt;=LOOKUP(G88,'Qualifying Scores'!$A$4:$A$7,'Qualifying Scores'!$F$4:$F$7),Y88&gt;=LOOKUP(G88,'Qualifying Scores'!$A$10:$A$13,'Qualifying Scores'!$F$10:$F$13)),AND(V88&gt;=LOOKUP(G88,'Qualifying Scores'!$A$4:$A$7,'Qualifying Scores'!$F$4:$F$7),W88&gt;=LOOKUP(G88,'Qualifying Scores'!$A$10:$A$13,'Qualifying Scores'!$F$10:$F$13)),AND(Z88&gt;=LOOKUP(G88,'Qualifying Scores'!$A$4:$A$7,'Qualifying Scores'!$F$4:$F$7),AA88&gt;=LOOKUP(G88,'Qualifying Scores'!$A$10:$A$13,'Qualifying Scores'!$F$10:$F$13))),"P",""))</f>
        <v/>
      </c>
      <c r="Q88" s="1" t="str">
        <f>IF(A88&lt;5,IF(_xlfn.MAXIFS(A:A,G:G,G88)&gt;3,5-A88,_xlfn.MAXIFS(A:A,G:G,G88)+1-A88),"")</f>
        <v/>
      </c>
      <c r="R88" s="4">
        <f>MAX(T88,X88)</f>
        <v>45.2</v>
      </c>
      <c r="S88" s="4">
        <f>IF(R88=T88,MAX(V88,X88,Z88),IF(R88=X88,MAX(T88,V88,Z88),0))</f>
        <v>44.2</v>
      </c>
      <c r="T88" s="33">
        <v>38.5</v>
      </c>
      <c r="U88" s="40">
        <v>3.4000000000000004</v>
      </c>
      <c r="V88" s="34">
        <v>43</v>
      </c>
      <c r="W88" s="40">
        <v>6.3</v>
      </c>
      <c r="X88" s="33">
        <v>45.2</v>
      </c>
      <c r="Y88" s="40">
        <v>8.1000000000000014</v>
      </c>
      <c r="Z88" s="34">
        <v>44.2</v>
      </c>
      <c r="AA88" s="37">
        <v>6.1</v>
      </c>
    </row>
    <row r="89" spans="1:27" x14ac:dyDescent="0.2">
      <c r="A89" s="1" t="str" cm="1">
        <f t="array" ref="A89">IF(I89="","",IF(P89&lt;&gt;"",SUMPRODUCT((P$3:P$99&lt;&gt;"")*(G$3:G$99=G89)*(J$3:J$99&gt;J89)*(I$3:I$99="P"))+1,IF(O89&lt;&gt;"",SUMPRODUCT((O$3:O$99&lt;&gt;"")*(P$3:P$99="")*(G$3:G$99=G89)*(J$3:J$99&gt;J89)*(I$3:I$99="P"))+SUMPRODUCT((P$3:P$99&lt;&gt;"")*(G$3:G$99=G89)*(I$3:I$99="P"))+1,IF(N89&lt;&gt;"",SUMPRODUCT((N$3:N$99&lt;&gt;"")*(G$3:G$99=G89)*(J$3:J$99&gt;J89)*(I$3:I$99="P"))+1,IF(M89="P",SUMPRODUCT((O$3:O$99&lt;&gt;"")*(P$3:P$99="")*(G$3:G$99=G89)*(I$3:I$99="P"))+SUMPRODUCT((P$3:P$99&lt;&gt;"")*(G$3:G$99=G89)*(I$3:I$99="P"))+SUMPRODUCT((N$3:N$99&lt;&gt;"")*(G$3:G$99=G89)*(I$3:I$99="P"))+SUMPRODUCT((P$3:P$99="")*(O$3:O$99="")*(N$3:N$99="")*(M$3:M$99="P")*(G$3:G$99=G89)*(J$3:J$99&gt;J89)*(I$3:I$99="P"))+IF(H89="L5",SUMPRODUCT((P$3:P$99="")*(O$3:O$99="")*(N$3:N$99="")*(M$3:M$99="P")*(G$3:G$99=G89)*(J$3:J$99&lt;J89)*(H$3:H$99&lt;&gt;H89)*(I$3:I$99="P")),-1*SUMPRODUCT((P$3:P$99="")*(O$3:O$99="")*(N$3:N$99="")*(M$3:M$99="P")*(G$3:G$99=G89)*(J$3:J$99&gt;J89)*(H$3:H$99="L5")*(I$3:I$99="P")))+1,"")))))</f>
        <v/>
      </c>
      <c r="B89" s="1" t="str" cm="1">
        <f t="array" ref="B89">IF(P89&lt;&gt;"",SUMPRODUCT((P$3:P$99&lt;&gt;"")*(G$3:G$99=G89)*(J$3:J$99&gt;J89))+1,IF(O89&lt;&gt;"",SUMPRODUCT((O$3:O$99&lt;&gt;"")*(P$3:P$99="")*(G$3:G$99=G89)*(J$3:J$99&gt;J89))+SUMPRODUCT((P$3:P$99&lt;&gt;"")*(G$3:G$99=G89))+1,IF(N89&lt;&gt;"",SUMPRODUCT((N$3:N$99&lt;&gt;"")*(G$3:G$99=G89)*(J$3:J$99&gt;J89))+1,IF(M89="P",SUMPRODUCT((O$3:O$99&lt;&gt;"")*(P$3:P$99="")*(G$3:G$99=G89))+SUMPRODUCT((P$3:P$99&lt;&gt;"")*(G$3:G$99=G89))+SUMPRODUCT((N$3:N$99&lt;&gt;"")*(G$3:G$99=G89))+SUMPRODUCT((P$3:P$99="")*(O$3:O$99="")*(N$3:N$99="")*(M$3:M$99="P")*(G$3:G$99=G89)*(J$3:J$99&gt;J89))+IF(H89="L5",SUMPRODUCT((P$3:P$99="")*(O$3:O$99="")*(N$3:N$99="")*(M$3:M$99="P")*(G$3:G$99=G89)*(J$3:J$99&lt;J89)*(H$3:H$99&lt;&gt;H89)),-1*SUMPRODUCT((P$3:P$99="")*(O$3:O$99="")*(N$3:N$99="")*(M$3:M$99="P")*(G$3:G$99=G89)*(J$3:J$99&gt;J89)*(H$3:H$99="L5")))+1,""))))</f>
        <v/>
      </c>
      <c r="C89" s="36" t="s">
        <v>324</v>
      </c>
      <c r="D89" s="36" t="str">
        <f>IF(E89="","",VLOOKUP(E89,'Coaching Points'!A:B,2,0))</f>
        <v>NS</v>
      </c>
      <c r="E89" s="36" t="s">
        <v>287</v>
      </c>
      <c r="F89" s="35">
        <v>2009</v>
      </c>
      <c r="G89" s="1" t="str">
        <f>IF('Qualifying Scores'!$B$1-F89&gt;21,"Not Age Eligible",IF('Qualifying Scores'!$B$1-F89&gt;16,"17-21",IF('Qualifying Scores'!$B$1-F89&gt;14,"15-16",IF('Qualifying Scores'!$B$1-F89&gt;12,"13-14",IF('Qualifying Scores'!$B$1-F89&gt;10,"11-12","Not Age Eligible")))))</f>
        <v>13-14</v>
      </c>
      <c r="H89" s="39" t="s">
        <v>66</v>
      </c>
      <c r="I89" s="43" t="s">
        <v>567</v>
      </c>
      <c r="J89" s="4">
        <f>R89+S89+IF(OR(H89="Junior",H89="Senior"),0.0002,IF(OR(H89="L7",H89="L6"),0.0001,0))+MAX(X89,Z89)*0.0000001</f>
        <v>88.200004429999993</v>
      </c>
      <c r="K89" s="3" t="str">
        <f>IF(G89="Not Age Eligible","",IF(MAX(T89,V89,X89,Z89)&gt;=LOOKUP(G89,'Qualifying Scores'!$A$4:$A$7,'Qualifying Scores'!$F$4:$F$7),"P",""))</f>
        <v/>
      </c>
      <c r="L89" s="3" t="str">
        <f>IF(G89="Not Age Eligible","",IF(MAX(U89,W89,Y89,AA89)&gt;=LOOKUP(G89,'Qualifying Scores'!$A$10:$A$13,'Qualifying Scores'!$F$10:$F$13),"P",""))</f>
        <v>P</v>
      </c>
      <c r="M89" s="3" t="str">
        <f>IF(G89="Not Age Eligible","",IF(OR(AND(T89&gt;=LOOKUP(G89,'Qualifying Scores'!$A$4:$A$7,'Qualifying Scores'!$F$4:$F$7),U89&gt;=LOOKUP(G89,'Qualifying Scores'!$A$10:$A$13,'Qualifying Scores'!$F$10:$F$13)),AND(X89&gt;=LOOKUP(G89,'Qualifying Scores'!$A$4:$A$7,'Qualifying Scores'!$F$4:$F$7),Y89&gt;=LOOKUP(G89,'Qualifying Scores'!$A$10:$A$13,'Qualifying Scores'!$F$10:$F$13)),AND(V89&gt;=LOOKUP(G89,'Qualifying Scores'!$A$4:$A$7,'Qualifying Scores'!$F$4:$F$7),W89&gt;=LOOKUP(G89,'Qualifying Scores'!$A$10:$A$13,'Qualifying Scores'!$F$10:$F$13)),AND(Z89&gt;=LOOKUP(G89,'Qualifying Scores'!$A$4:$A$7,'Qualifying Scores'!$F$4:$F$7),AA89&gt;=LOOKUP(G89,'Qualifying Scores'!$A$10:$A$13,'Qualifying Scores'!$F$10:$F$13))),"P",""))</f>
        <v/>
      </c>
      <c r="Q89" s="1" t="str">
        <f>IF(A89&lt;5,IF(_xlfn.MAXIFS(A:A,G:G,G89)&gt;3,5-A89,_xlfn.MAXIFS(A:A,G:G,G89)+1-A89),"")</f>
        <v/>
      </c>
      <c r="R89" s="4">
        <f>MAX(T89,X89)</f>
        <v>43.9</v>
      </c>
      <c r="S89" s="4">
        <f>IF(R89=T89,MAX(V89,X89,Z89),IF(R89=X89,MAX(T89,V89,Z89),0))</f>
        <v>44.3</v>
      </c>
      <c r="T89" s="33">
        <v>42.4</v>
      </c>
      <c r="U89" s="40">
        <v>6.1</v>
      </c>
      <c r="V89" s="34">
        <v>41.4</v>
      </c>
      <c r="W89" s="40">
        <v>7.8000000000000007</v>
      </c>
      <c r="X89" s="33">
        <v>43.9</v>
      </c>
      <c r="Y89" s="40">
        <v>7.9</v>
      </c>
      <c r="Z89" s="34">
        <v>44.3</v>
      </c>
      <c r="AA89" s="37">
        <v>6.5</v>
      </c>
    </row>
    <row r="90" spans="1:27" x14ac:dyDescent="0.2">
      <c r="A90" s="1" t="str" cm="1">
        <f t="array" ref="A90">IF(I90="","",IF(P90&lt;&gt;"",SUMPRODUCT((P$3:P$99&lt;&gt;"")*(G$3:G$99=G90)*(J$3:J$99&gt;J90)*(I$3:I$99="P"))+1,IF(O90&lt;&gt;"",SUMPRODUCT((O$3:O$99&lt;&gt;"")*(P$3:P$99="")*(G$3:G$99=G90)*(J$3:J$99&gt;J90)*(I$3:I$99="P"))+SUMPRODUCT((P$3:P$99&lt;&gt;"")*(G$3:G$99=G90)*(I$3:I$99="P"))+1,IF(N90&lt;&gt;"",SUMPRODUCT((N$3:N$99&lt;&gt;"")*(G$3:G$99=G90)*(J$3:J$99&gt;J90)*(I$3:I$99="P"))+1,IF(M90="P",SUMPRODUCT((O$3:O$99&lt;&gt;"")*(P$3:P$99="")*(G$3:G$99=G90)*(I$3:I$99="P"))+SUMPRODUCT((P$3:P$99&lt;&gt;"")*(G$3:G$99=G90)*(I$3:I$99="P"))+SUMPRODUCT((N$3:N$99&lt;&gt;"")*(G$3:G$99=G90)*(I$3:I$99="P"))+SUMPRODUCT((P$3:P$99="")*(O$3:O$99="")*(N$3:N$99="")*(M$3:M$99="P")*(G$3:G$99=G90)*(J$3:J$99&gt;J90)*(I$3:I$99="P"))+IF(H90="L5",SUMPRODUCT((P$3:P$99="")*(O$3:O$99="")*(N$3:N$99="")*(M$3:M$99="P")*(G$3:G$99=G90)*(J$3:J$99&lt;J90)*(H$3:H$99&lt;&gt;H90)*(I$3:I$99="P")),-1*SUMPRODUCT((P$3:P$99="")*(O$3:O$99="")*(N$3:N$99="")*(M$3:M$99="P")*(G$3:G$99=G90)*(J$3:J$99&gt;J90)*(H$3:H$99="L5")*(I$3:I$99="P")))+1,"")))))</f>
        <v/>
      </c>
      <c r="B90" s="1" t="str" cm="1">
        <f t="array" ref="B90">IF(P90&lt;&gt;"",SUMPRODUCT((P$3:P$99&lt;&gt;"")*(G$3:G$99=G90)*(J$3:J$99&gt;J90))+1,IF(O90&lt;&gt;"",SUMPRODUCT((O$3:O$99&lt;&gt;"")*(P$3:P$99="")*(G$3:G$99=G90)*(J$3:J$99&gt;J90))+SUMPRODUCT((P$3:P$99&lt;&gt;"")*(G$3:G$99=G90))+1,IF(N90&lt;&gt;"",SUMPRODUCT((N$3:N$99&lt;&gt;"")*(G$3:G$99=G90)*(J$3:J$99&gt;J90))+1,IF(M90="P",SUMPRODUCT((O$3:O$99&lt;&gt;"")*(P$3:P$99="")*(G$3:G$99=G90))+SUMPRODUCT((P$3:P$99&lt;&gt;"")*(G$3:G$99=G90))+SUMPRODUCT((N$3:N$99&lt;&gt;"")*(G$3:G$99=G90))+SUMPRODUCT((P$3:P$99="")*(O$3:O$99="")*(N$3:N$99="")*(M$3:M$99="P")*(G$3:G$99=G90)*(J$3:J$99&gt;J90))+IF(H90="L5",SUMPRODUCT((P$3:P$99="")*(O$3:O$99="")*(N$3:N$99="")*(M$3:M$99="P")*(G$3:G$99=G90)*(J$3:J$99&lt;J90)*(H$3:H$99&lt;&gt;H90)),-1*SUMPRODUCT((P$3:P$99="")*(O$3:O$99="")*(N$3:N$99="")*(M$3:M$99="P")*(G$3:G$99=G90)*(J$3:J$99&gt;J90)*(H$3:H$99="L5")))+1,""))))</f>
        <v/>
      </c>
      <c r="C90" s="36" t="s">
        <v>511</v>
      </c>
      <c r="D90" s="36" t="str">
        <f>IF(E90="","",VLOOKUP(E90,'Coaching Points'!A:B,2,0))</f>
        <v>BC</v>
      </c>
      <c r="E90" s="36" t="s">
        <v>41</v>
      </c>
      <c r="F90" s="35">
        <v>2010</v>
      </c>
      <c r="G90" s="1" t="str">
        <f>IF('Qualifying Scores'!$B$1-F90&gt;21,"Not Age Eligible",IF('Qualifying Scores'!$B$1-F90&gt;16,"17-21",IF('Qualifying Scores'!$B$1-F90&gt;14,"15-16",IF('Qualifying Scores'!$B$1-F90&gt;12,"13-14",IF('Qualifying Scores'!$B$1-F90&gt;10,"11-12","Not Age Eligible")))))</f>
        <v>13-14</v>
      </c>
      <c r="H90" s="39" t="s">
        <v>66</v>
      </c>
      <c r="I90" s="43"/>
      <c r="J90" s="4">
        <f>R90+S90+IF(OR(H90="Junior",H90="Senior"),0.0002,IF(OR(H90="L7",H90="L6"),0.0001,0))+MAX(X90,Z90)*0.0000001</f>
        <v>87.10000436</v>
      </c>
      <c r="K90" s="3" t="str">
        <f>IF(G90="Not Age Eligible","",IF(MAX(T90,V90,X90,Z90)&gt;=LOOKUP(G90,'Qualifying Scores'!$A$4:$A$7,'Qualifying Scores'!$F$4:$F$7),"P",""))</f>
        <v/>
      </c>
      <c r="L90" s="3" t="str">
        <f>IF(G90="Not Age Eligible","",IF(MAX(U90,W90,Y90,AA90)&gt;=LOOKUP(G90,'Qualifying Scores'!$A$10:$A$13,'Qualifying Scores'!$F$10:$F$13),"P",""))</f>
        <v/>
      </c>
      <c r="M90" s="3" t="str">
        <f>IF(G90="Not Age Eligible","",IF(OR(AND(T90&gt;=LOOKUP(G90,'Qualifying Scores'!$A$4:$A$7,'Qualifying Scores'!$F$4:$F$7),U90&gt;=LOOKUP(G90,'Qualifying Scores'!$A$10:$A$13,'Qualifying Scores'!$F$10:$F$13)),AND(X90&gt;=LOOKUP(G90,'Qualifying Scores'!$A$4:$A$7,'Qualifying Scores'!$F$4:$F$7),Y90&gt;=LOOKUP(G90,'Qualifying Scores'!$A$10:$A$13,'Qualifying Scores'!$F$10:$F$13)),AND(V90&gt;=LOOKUP(G90,'Qualifying Scores'!$A$4:$A$7,'Qualifying Scores'!$F$4:$F$7),W90&gt;=LOOKUP(G90,'Qualifying Scores'!$A$10:$A$13,'Qualifying Scores'!$F$10:$F$13)),AND(Z90&gt;=LOOKUP(G90,'Qualifying Scores'!$A$4:$A$7,'Qualifying Scores'!$F$4:$F$7),AA90&gt;=LOOKUP(G90,'Qualifying Scores'!$A$10:$A$13,'Qualifying Scores'!$F$10:$F$13))),"P",""))</f>
        <v/>
      </c>
      <c r="Q90" s="1" t="str">
        <f>IF(A90&lt;5,IF(_xlfn.MAXIFS(A:A,G:G,G90)&gt;3,5-A90,_xlfn.MAXIFS(A:A,G:G,G90)+1-A90),"")</f>
        <v/>
      </c>
      <c r="R90" s="4">
        <f>MAX(T90,X90)</f>
        <v>43.6</v>
      </c>
      <c r="S90" s="4">
        <f>IF(R90=T90,MAX(V90,X90,Z90),IF(R90=X90,MAX(T90,V90,Z90),0))</f>
        <v>43.5</v>
      </c>
      <c r="T90" s="33"/>
      <c r="U90" s="40"/>
      <c r="V90" s="34"/>
      <c r="W90" s="40"/>
      <c r="X90" s="33">
        <v>43.6</v>
      </c>
      <c r="Y90" s="40">
        <v>6.5</v>
      </c>
      <c r="Z90" s="34">
        <v>43.5</v>
      </c>
      <c r="AA90" s="37">
        <v>6.4</v>
      </c>
    </row>
    <row r="91" spans="1:27" x14ac:dyDescent="0.2">
      <c r="A91" s="1" t="str" cm="1">
        <f t="array" ref="A91">IF(I91="","",IF(P91&lt;&gt;"",SUMPRODUCT((P$3:P$99&lt;&gt;"")*(G$3:G$99=G91)*(J$3:J$99&gt;J91)*(I$3:I$99="P"))+1,IF(O91&lt;&gt;"",SUMPRODUCT((O$3:O$99&lt;&gt;"")*(P$3:P$99="")*(G$3:G$99=G91)*(J$3:J$99&gt;J91)*(I$3:I$99="P"))+SUMPRODUCT((P$3:P$99&lt;&gt;"")*(G$3:G$99=G91)*(I$3:I$99="P"))+1,IF(N91&lt;&gt;"",SUMPRODUCT((N$3:N$99&lt;&gt;"")*(G$3:G$99=G91)*(J$3:J$99&gt;J91)*(I$3:I$99="P"))+1,IF(M91="P",SUMPRODUCT((O$3:O$99&lt;&gt;"")*(P$3:P$99="")*(G$3:G$99=G91)*(I$3:I$99="P"))+SUMPRODUCT((P$3:P$99&lt;&gt;"")*(G$3:G$99=G91)*(I$3:I$99="P"))+SUMPRODUCT((N$3:N$99&lt;&gt;"")*(G$3:G$99=G91)*(I$3:I$99="P"))+SUMPRODUCT((P$3:P$99="")*(O$3:O$99="")*(N$3:N$99="")*(M$3:M$99="P")*(G$3:G$99=G91)*(J$3:J$99&gt;J91)*(I$3:I$99="P"))+IF(H91="L5",SUMPRODUCT((P$3:P$99="")*(O$3:O$99="")*(N$3:N$99="")*(M$3:M$99="P")*(G$3:G$99=G91)*(J$3:J$99&lt;J91)*(H$3:H$99&lt;&gt;H91)*(I$3:I$99="P")),-1*SUMPRODUCT((P$3:P$99="")*(O$3:O$99="")*(N$3:N$99="")*(M$3:M$99="P")*(G$3:G$99=G91)*(J$3:J$99&gt;J91)*(H$3:H$99="L5")*(I$3:I$99="P")))+1,"")))))</f>
        <v/>
      </c>
      <c r="B91" s="1" t="str" cm="1">
        <f t="array" ref="B91">IF(P91&lt;&gt;"",SUMPRODUCT((P$3:P$99&lt;&gt;"")*(G$3:G$99=G91)*(J$3:J$99&gt;J91))+1,IF(O91&lt;&gt;"",SUMPRODUCT((O$3:O$99&lt;&gt;"")*(P$3:P$99="")*(G$3:G$99=G91)*(J$3:J$99&gt;J91))+SUMPRODUCT((P$3:P$99&lt;&gt;"")*(G$3:G$99=G91))+1,IF(N91&lt;&gt;"",SUMPRODUCT((N$3:N$99&lt;&gt;"")*(G$3:G$99=G91)*(J$3:J$99&gt;J91))+1,IF(M91="P",SUMPRODUCT((O$3:O$99&lt;&gt;"")*(P$3:P$99="")*(G$3:G$99=G91))+SUMPRODUCT((P$3:P$99&lt;&gt;"")*(G$3:G$99=G91))+SUMPRODUCT((N$3:N$99&lt;&gt;"")*(G$3:G$99=G91))+SUMPRODUCT((P$3:P$99="")*(O$3:O$99="")*(N$3:N$99="")*(M$3:M$99="P")*(G$3:G$99=G91)*(J$3:J$99&gt;J91))+IF(H91="L5",SUMPRODUCT((P$3:P$99="")*(O$3:O$99="")*(N$3:N$99="")*(M$3:M$99="P")*(G$3:G$99=G91)*(J$3:J$99&lt;J91)*(H$3:H$99&lt;&gt;H91)),-1*SUMPRODUCT((P$3:P$99="")*(O$3:O$99="")*(N$3:N$99="")*(M$3:M$99="P")*(G$3:G$99=G91)*(J$3:J$99&gt;J91)*(H$3:H$99="L5")))+1,""))))</f>
        <v/>
      </c>
      <c r="C91" s="36" t="s">
        <v>512</v>
      </c>
      <c r="D91" s="36" t="str">
        <f>IF(E91="","",VLOOKUP(E91,'Coaching Points'!A:B,2,0))</f>
        <v>AB</v>
      </c>
      <c r="E91" s="36" t="s">
        <v>29</v>
      </c>
      <c r="F91" s="35">
        <v>2009</v>
      </c>
      <c r="G91" s="1" t="str">
        <f>IF('Qualifying Scores'!$B$1-F91&gt;21,"Not Age Eligible",IF('Qualifying Scores'!$B$1-F91&gt;16,"17-21",IF('Qualifying Scores'!$B$1-F91&gt;14,"15-16",IF('Qualifying Scores'!$B$1-F91&gt;12,"13-14",IF('Qualifying Scores'!$B$1-F91&gt;10,"11-12","Not Age Eligible")))))</f>
        <v>13-14</v>
      </c>
      <c r="H91" s="39" t="s">
        <v>66</v>
      </c>
      <c r="I91" s="43" t="s">
        <v>567</v>
      </c>
      <c r="J91" s="4">
        <f>R91+S91+IF(OR(H91="Junior",H91="Senior"),0.0002,IF(OR(H91="L7",H91="L6"),0.0001,0))+MAX(X91,Z91)*0.0000001</f>
        <v>86.700004339999992</v>
      </c>
      <c r="K91" s="3" t="str">
        <f>IF(G91="Not Age Eligible","",IF(MAX(T91,V91,X91,Z91)&gt;=LOOKUP(G91,'Qualifying Scores'!$A$4:$A$7,'Qualifying Scores'!$F$4:$F$7),"P",""))</f>
        <v/>
      </c>
      <c r="L91" s="3" t="str">
        <f>IF(G91="Not Age Eligible","",IF(MAX(U91,W91,Y91,AA91)&gt;=LOOKUP(G91,'Qualifying Scores'!$A$10:$A$13,'Qualifying Scores'!$F$10:$F$13),"P",""))</f>
        <v/>
      </c>
      <c r="M91" s="3" t="str">
        <f>IF(G91="Not Age Eligible","",IF(OR(AND(T91&gt;=LOOKUP(G91,'Qualifying Scores'!$A$4:$A$7,'Qualifying Scores'!$F$4:$F$7),U91&gt;=LOOKUP(G91,'Qualifying Scores'!$A$10:$A$13,'Qualifying Scores'!$F$10:$F$13)),AND(X91&gt;=LOOKUP(G91,'Qualifying Scores'!$A$4:$A$7,'Qualifying Scores'!$F$4:$F$7),Y91&gt;=LOOKUP(G91,'Qualifying Scores'!$A$10:$A$13,'Qualifying Scores'!$F$10:$F$13)),AND(V91&gt;=LOOKUP(G91,'Qualifying Scores'!$A$4:$A$7,'Qualifying Scores'!$F$4:$F$7),W91&gt;=LOOKUP(G91,'Qualifying Scores'!$A$10:$A$13,'Qualifying Scores'!$F$10:$F$13)),AND(Z91&gt;=LOOKUP(G91,'Qualifying Scores'!$A$4:$A$7,'Qualifying Scores'!$F$4:$F$7),AA91&gt;=LOOKUP(G91,'Qualifying Scores'!$A$10:$A$13,'Qualifying Scores'!$F$10:$F$13))),"P",""))</f>
        <v/>
      </c>
      <c r="Q91" s="1" t="str">
        <f>IF(A91&lt;5,IF(_xlfn.MAXIFS(A:A,G:G,G91)&gt;3,5-A91,_xlfn.MAXIFS(A:A,G:G,G91)+1-A91),"")</f>
        <v/>
      </c>
      <c r="R91" s="4">
        <f>MAX(T91,X91)</f>
        <v>43.3</v>
      </c>
      <c r="S91" s="4">
        <f>IF(R91=T91,MAX(V91,X91,Z91),IF(R91=X91,MAX(T91,V91,Z91),0))</f>
        <v>43.4</v>
      </c>
      <c r="T91" s="33"/>
      <c r="U91" s="40"/>
      <c r="V91" s="34"/>
      <c r="W91" s="40"/>
      <c r="X91" s="33">
        <v>43.3</v>
      </c>
      <c r="Y91" s="40">
        <v>6.3000000000000007</v>
      </c>
      <c r="Z91" s="34">
        <v>43.4</v>
      </c>
      <c r="AA91" s="37">
        <v>6.3</v>
      </c>
    </row>
    <row r="92" spans="1:27" x14ac:dyDescent="0.2">
      <c r="A92" s="1" t="str" cm="1">
        <f t="array" ref="A92">IF(I92="","",IF(P92&lt;&gt;"",SUMPRODUCT((P$3:P$99&lt;&gt;"")*(G$3:G$99=G92)*(J$3:J$99&gt;J92)*(I$3:I$99="P"))+1,IF(O92&lt;&gt;"",SUMPRODUCT((O$3:O$99&lt;&gt;"")*(P$3:P$99="")*(G$3:G$99=G92)*(J$3:J$99&gt;J92)*(I$3:I$99="P"))+SUMPRODUCT((P$3:P$99&lt;&gt;"")*(G$3:G$99=G92)*(I$3:I$99="P"))+1,IF(N92&lt;&gt;"",SUMPRODUCT((N$3:N$99&lt;&gt;"")*(G$3:G$99=G92)*(J$3:J$99&gt;J92)*(I$3:I$99="P"))+1,IF(M92="P",SUMPRODUCT((O$3:O$99&lt;&gt;"")*(P$3:P$99="")*(G$3:G$99=G92)*(I$3:I$99="P"))+SUMPRODUCT((P$3:P$99&lt;&gt;"")*(G$3:G$99=G92)*(I$3:I$99="P"))+SUMPRODUCT((N$3:N$99&lt;&gt;"")*(G$3:G$99=G92)*(I$3:I$99="P"))+SUMPRODUCT((P$3:P$99="")*(O$3:O$99="")*(N$3:N$99="")*(M$3:M$99="P")*(G$3:G$99=G92)*(J$3:J$99&gt;J92)*(I$3:I$99="P"))+IF(H92="L5",SUMPRODUCT((P$3:P$99="")*(O$3:O$99="")*(N$3:N$99="")*(M$3:M$99="P")*(G$3:G$99=G92)*(J$3:J$99&lt;J92)*(H$3:H$99&lt;&gt;H92)*(I$3:I$99="P")),-1*SUMPRODUCT((P$3:P$99="")*(O$3:O$99="")*(N$3:N$99="")*(M$3:M$99="P")*(G$3:G$99=G92)*(J$3:J$99&gt;J92)*(H$3:H$99="L5")*(I$3:I$99="P")))+1,"")))))</f>
        <v/>
      </c>
      <c r="B92" s="1" t="str" cm="1">
        <f t="array" ref="B92">IF(P92&lt;&gt;"",SUMPRODUCT((P$3:P$99&lt;&gt;"")*(G$3:G$99=G92)*(J$3:J$99&gt;J92))+1,IF(O92&lt;&gt;"",SUMPRODUCT((O$3:O$99&lt;&gt;"")*(P$3:P$99="")*(G$3:G$99=G92)*(J$3:J$99&gt;J92))+SUMPRODUCT((P$3:P$99&lt;&gt;"")*(G$3:G$99=G92))+1,IF(N92&lt;&gt;"",SUMPRODUCT((N$3:N$99&lt;&gt;"")*(G$3:G$99=G92)*(J$3:J$99&gt;J92))+1,IF(M92="P",SUMPRODUCT((O$3:O$99&lt;&gt;"")*(P$3:P$99="")*(G$3:G$99=G92))+SUMPRODUCT((P$3:P$99&lt;&gt;"")*(G$3:G$99=G92))+SUMPRODUCT((N$3:N$99&lt;&gt;"")*(G$3:G$99=G92))+SUMPRODUCT((P$3:P$99="")*(O$3:O$99="")*(N$3:N$99="")*(M$3:M$99="P")*(G$3:G$99=G92)*(J$3:J$99&gt;J92))+IF(H92="L5",SUMPRODUCT((P$3:P$99="")*(O$3:O$99="")*(N$3:N$99="")*(M$3:M$99="P")*(G$3:G$99=G92)*(J$3:J$99&lt;J92)*(H$3:H$99&lt;&gt;H92)),-1*SUMPRODUCT((P$3:P$99="")*(O$3:O$99="")*(N$3:N$99="")*(M$3:M$99="P")*(G$3:G$99=G92)*(J$3:J$99&gt;J92)*(H$3:H$99="L5")))+1,""))))</f>
        <v/>
      </c>
      <c r="C92" s="36" t="s">
        <v>346</v>
      </c>
      <c r="D92" s="36" t="str">
        <f>IF(E92="","",VLOOKUP(E92,'Coaching Points'!A:B,2,0))</f>
        <v>BC</v>
      </c>
      <c r="E92" s="36" t="s">
        <v>41</v>
      </c>
      <c r="F92" s="35">
        <v>2010</v>
      </c>
      <c r="G92" s="1" t="str">
        <f>IF('Qualifying Scores'!$B$1-F92&gt;21,"Not Age Eligible",IF('Qualifying Scores'!$B$1-F92&gt;16,"17-21",IF('Qualifying Scores'!$B$1-F92&gt;14,"15-16",IF('Qualifying Scores'!$B$1-F92&gt;12,"13-14",IF('Qualifying Scores'!$B$1-F92&gt;10,"11-12","Not Age Eligible")))))</f>
        <v>13-14</v>
      </c>
      <c r="H92" s="39" t="s">
        <v>66</v>
      </c>
      <c r="I92" s="43"/>
      <c r="J92" s="4">
        <f>R92+S92+IF(OR(H92="Junior",H92="Senior"),0.0002,IF(OR(H92="L7",H92="L6"),0.0001,0))+MAX(X92,Z92)*0.0000001</f>
        <v>85.800004149999992</v>
      </c>
      <c r="K92" s="3" t="str">
        <f>IF(G92="Not Age Eligible","",IF(MAX(T92,V92,X92,Z92)&gt;=LOOKUP(G92,'Qualifying Scores'!$A$4:$A$7,'Qualifying Scores'!$F$4:$F$7),"P",""))</f>
        <v/>
      </c>
      <c r="L92" s="3" t="str">
        <f>IF(G92="Not Age Eligible","",IF(MAX(U92,W92,Y92,AA92)&gt;=LOOKUP(G92,'Qualifying Scores'!$A$10:$A$13,'Qualifying Scores'!$F$10:$F$13),"P",""))</f>
        <v>P</v>
      </c>
      <c r="M92" s="3" t="str">
        <f>IF(G92="Not Age Eligible","",IF(OR(AND(T92&gt;=LOOKUP(G92,'Qualifying Scores'!$A$4:$A$7,'Qualifying Scores'!$F$4:$F$7),U92&gt;=LOOKUP(G92,'Qualifying Scores'!$A$10:$A$13,'Qualifying Scores'!$F$10:$F$13)),AND(X92&gt;=LOOKUP(G92,'Qualifying Scores'!$A$4:$A$7,'Qualifying Scores'!$F$4:$F$7),Y92&gt;=LOOKUP(G92,'Qualifying Scores'!$A$10:$A$13,'Qualifying Scores'!$F$10:$F$13)),AND(V92&gt;=LOOKUP(G92,'Qualifying Scores'!$A$4:$A$7,'Qualifying Scores'!$F$4:$F$7),W92&gt;=LOOKUP(G92,'Qualifying Scores'!$A$10:$A$13,'Qualifying Scores'!$F$10:$F$13)),AND(Z92&gt;=LOOKUP(G92,'Qualifying Scores'!$A$4:$A$7,'Qualifying Scores'!$F$4:$F$7),AA92&gt;=LOOKUP(G92,'Qualifying Scores'!$A$10:$A$13,'Qualifying Scores'!$F$10:$F$13))),"P",""))</f>
        <v/>
      </c>
      <c r="Q92" s="1" t="str">
        <f>IF(A92&lt;5,IF(_xlfn.MAXIFS(A:A,G:G,G92)&gt;3,5-A92,_xlfn.MAXIFS(A:A,G:G,G92)+1-A92),"")</f>
        <v/>
      </c>
      <c r="R92" s="4">
        <f>MAX(T92,X92)</f>
        <v>44.3</v>
      </c>
      <c r="S92" s="4">
        <f>IF(R92=T92,MAX(V92,X92,Z92),IF(R92=X92,MAX(T92,V92,Z92),0))</f>
        <v>41.5</v>
      </c>
      <c r="T92" s="33">
        <v>44.3</v>
      </c>
      <c r="U92" s="40">
        <v>7.1</v>
      </c>
      <c r="V92" s="34">
        <v>36.799999999999997</v>
      </c>
      <c r="W92" s="40">
        <v>3.9</v>
      </c>
      <c r="X92" s="33">
        <v>41.5</v>
      </c>
      <c r="Y92" s="40">
        <v>8</v>
      </c>
      <c r="Z92" s="34">
        <v>38.6</v>
      </c>
      <c r="AA92" s="37">
        <v>2.6</v>
      </c>
    </row>
    <row r="93" spans="1:27" x14ac:dyDescent="0.2">
      <c r="A93" s="1" t="str" cm="1">
        <f t="array" ref="A93">IF(I93="","",IF(P93&lt;&gt;"",SUMPRODUCT((P$3:P$99&lt;&gt;"")*(G$3:G$99=G93)*(J$3:J$99&gt;J93)*(I$3:I$99="P"))+1,IF(O93&lt;&gt;"",SUMPRODUCT((O$3:O$99&lt;&gt;"")*(P$3:P$99="")*(G$3:G$99=G93)*(J$3:J$99&gt;J93)*(I$3:I$99="P"))+SUMPRODUCT((P$3:P$99&lt;&gt;"")*(G$3:G$99=G93)*(I$3:I$99="P"))+1,IF(N93&lt;&gt;"",SUMPRODUCT((N$3:N$99&lt;&gt;"")*(G$3:G$99=G93)*(J$3:J$99&gt;J93)*(I$3:I$99="P"))+1,IF(M93="P",SUMPRODUCT((O$3:O$99&lt;&gt;"")*(P$3:P$99="")*(G$3:G$99=G93)*(I$3:I$99="P"))+SUMPRODUCT((P$3:P$99&lt;&gt;"")*(G$3:G$99=G93)*(I$3:I$99="P"))+SUMPRODUCT((N$3:N$99&lt;&gt;"")*(G$3:G$99=G93)*(I$3:I$99="P"))+SUMPRODUCT((P$3:P$99="")*(O$3:O$99="")*(N$3:N$99="")*(M$3:M$99="P")*(G$3:G$99=G93)*(J$3:J$99&gt;J93)*(I$3:I$99="P"))+IF(H93="L5",SUMPRODUCT((P$3:P$99="")*(O$3:O$99="")*(N$3:N$99="")*(M$3:M$99="P")*(G$3:G$99=G93)*(J$3:J$99&lt;J93)*(H$3:H$99&lt;&gt;H93)*(I$3:I$99="P")),-1*SUMPRODUCT((P$3:P$99="")*(O$3:O$99="")*(N$3:N$99="")*(M$3:M$99="P")*(G$3:G$99=G93)*(J$3:J$99&gt;J93)*(H$3:H$99="L5")*(I$3:I$99="P")))+1,"")))))</f>
        <v/>
      </c>
      <c r="B93" s="1" t="str" cm="1">
        <f t="array" ref="B93">IF(P93&lt;&gt;"",SUMPRODUCT((P$3:P$99&lt;&gt;"")*(G$3:G$99=G93)*(J$3:J$99&gt;J93))+1,IF(O93&lt;&gt;"",SUMPRODUCT((O$3:O$99&lt;&gt;"")*(P$3:P$99="")*(G$3:G$99=G93)*(J$3:J$99&gt;J93))+SUMPRODUCT((P$3:P$99&lt;&gt;"")*(G$3:G$99=G93))+1,IF(N93&lt;&gt;"",SUMPRODUCT((N$3:N$99&lt;&gt;"")*(G$3:G$99=G93)*(J$3:J$99&gt;J93))+1,IF(M93="P",SUMPRODUCT((O$3:O$99&lt;&gt;"")*(P$3:P$99="")*(G$3:G$99=G93))+SUMPRODUCT((P$3:P$99&lt;&gt;"")*(G$3:G$99=G93))+SUMPRODUCT((N$3:N$99&lt;&gt;"")*(G$3:G$99=G93))+SUMPRODUCT((P$3:P$99="")*(O$3:O$99="")*(N$3:N$99="")*(M$3:M$99="P")*(G$3:G$99=G93)*(J$3:J$99&gt;J93))+IF(H93="L5",SUMPRODUCT((P$3:P$99="")*(O$3:O$99="")*(N$3:N$99="")*(M$3:M$99="P")*(G$3:G$99=G93)*(J$3:J$99&lt;J93)*(H$3:H$99&lt;&gt;H93)),-1*SUMPRODUCT((P$3:P$99="")*(O$3:O$99="")*(N$3:N$99="")*(M$3:M$99="P")*(G$3:G$99=G93)*(J$3:J$99&gt;J93)*(H$3:H$99="L5")))+1,""))))</f>
        <v/>
      </c>
      <c r="C93" s="36" t="s">
        <v>262</v>
      </c>
      <c r="D93" s="36" t="str">
        <f>IF(E93="","",VLOOKUP(E93,'Coaching Points'!A:B,2,0))</f>
        <v>BC</v>
      </c>
      <c r="E93" s="36" t="s">
        <v>41</v>
      </c>
      <c r="F93" s="35">
        <v>2009</v>
      </c>
      <c r="G93" s="1" t="str">
        <f>IF('Qualifying Scores'!$B$1-F93&gt;21,"Not Age Eligible",IF('Qualifying Scores'!$B$1-F93&gt;16,"17-21",IF('Qualifying Scores'!$B$1-F93&gt;14,"15-16",IF('Qualifying Scores'!$B$1-F93&gt;12,"13-14",IF('Qualifying Scores'!$B$1-F93&gt;10,"11-12","Not Age Eligible")))))</f>
        <v>13-14</v>
      </c>
      <c r="H93" s="39" t="s">
        <v>66</v>
      </c>
      <c r="I93" s="43"/>
      <c r="J93" s="4">
        <f>R93+S93+IF(OR(H93="Junior",H93="Senior"),0.0002,IF(OR(H93="L7",H93="L6"),0.0001,0))+MAX(X93,Z93)*0.0000001</f>
        <v>85.000004369999999</v>
      </c>
      <c r="K93" s="3" t="str">
        <f>IF(G93="Not Age Eligible","",IF(MAX(T93,V93,X93,Z93)&gt;=LOOKUP(G93,'Qualifying Scores'!$A$4:$A$7,'Qualifying Scores'!$F$4:$F$7),"P",""))</f>
        <v/>
      </c>
      <c r="L93" s="3" t="str">
        <f>IF(G93="Not Age Eligible","",IF(MAX(U93,W93,Y93,AA93)&gt;=LOOKUP(G93,'Qualifying Scores'!$A$10:$A$13,'Qualifying Scores'!$F$10:$F$13),"P",""))</f>
        <v/>
      </c>
      <c r="M93" s="3" t="str">
        <f>IF(G93="Not Age Eligible","",IF(OR(AND(T93&gt;=LOOKUP(G93,'Qualifying Scores'!$A$4:$A$7,'Qualifying Scores'!$F$4:$F$7),U93&gt;=LOOKUP(G93,'Qualifying Scores'!$A$10:$A$13,'Qualifying Scores'!$F$10:$F$13)),AND(X93&gt;=LOOKUP(G93,'Qualifying Scores'!$A$4:$A$7,'Qualifying Scores'!$F$4:$F$7),Y93&gt;=LOOKUP(G93,'Qualifying Scores'!$A$10:$A$13,'Qualifying Scores'!$F$10:$F$13)),AND(V93&gt;=LOOKUP(G93,'Qualifying Scores'!$A$4:$A$7,'Qualifying Scores'!$F$4:$F$7),W93&gt;=LOOKUP(G93,'Qualifying Scores'!$A$10:$A$13,'Qualifying Scores'!$F$10:$F$13)),AND(Z93&gt;=LOOKUP(G93,'Qualifying Scores'!$A$4:$A$7,'Qualifying Scores'!$F$4:$F$7),AA93&gt;=LOOKUP(G93,'Qualifying Scores'!$A$10:$A$13,'Qualifying Scores'!$F$10:$F$13))),"P",""))</f>
        <v/>
      </c>
      <c r="Q93" s="1" t="str">
        <f>IF(A93&lt;5,IF(_xlfn.MAXIFS(A:A,G:G,G93)&gt;3,5-A93,_xlfn.MAXIFS(A:A,G:G,G93)+1-A93),"")</f>
        <v/>
      </c>
      <c r="R93" s="4">
        <f>MAX(T93,X93)</f>
        <v>41.3</v>
      </c>
      <c r="S93" s="4">
        <f>IF(R93=T93,MAX(V93,X93,Z93),IF(R93=X93,MAX(T93,V93,Z93),0))</f>
        <v>43.7</v>
      </c>
      <c r="T93" s="33">
        <v>40.1</v>
      </c>
      <c r="U93" s="40">
        <v>4.7</v>
      </c>
      <c r="V93" s="34">
        <v>42.5</v>
      </c>
      <c r="W93" s="40">
        <v>5.0999999999999996</v>
      </c>
      <c r="X93" s="33">
        <v>41.3</v>
      </c>
      <c r="Y93" s="40">
        <v>6</v>
      </c>
      <c r="Z93" s="34">
        <v>43.7</v>
      </c>
      <c r="AA93" s="37">
        <v>6.1</v>
      </c>
    </row>
    <row r="94" spans="1:27" x14ac:dyDescent="0.2">
      <c r="A94" s="1" t="str" cm="1">
        <f t="array" ref="A94">IF(I94="","",IF(P94&lt;&gt;"",SUMPRODUCT((P$3:P$99&lt;&gt;"")*(G$3:G$99=G94)*(J$3:J$99&gt;J94)*(I$3:I$99="P"))+1,IF(O94&lt;&gt;"",SUMPRODUCT((O$3:O$99&lt;&gt;"")*(P$3:P$99="")*(G$3:G$99=G94)*(J$3:J$99&gt;J94)*(I$3:I$99="P"))+SUMPRODUCT((P$3:P$99&lt;&gt;"")*(G$3:G$99=G94)*(I$3:I$99="P"))+1,IF(N94&lt;&gt;"",SUMPRODUCT((N$3:N$99&lt;&gt;"")*(G$3:G$99=G94)*(J$3:J$99&gt;J94)*(I$3:I$99="P"))+1,IF(M94="P",SUMPRODUCT((O$3:O$99&lt;&gt;"")*(P$3:P$99="")*(G$3:G$99=G94)*(I$3:I$99="P"))+SUMPRODUCT((P$3:P$99&lt;&gt;"")*(G$3:G$99=G94)*(I$3:I$99="P"))+SUMPRODUCT((N$3:N$99&lt;&gt;"")*(G$3:G$99=G94)*(I$3:I$99="P"))+SUMPRODUCT((P$3:P$99="")*(O$3:O$99="")*(N$3:N$99="")*(M$3:M$99="P")*(G$3:G$99=G94)*(J$3:J$99&gt;J94)*(I$3:I$99="P"))+IF(H94="L5",SUMPRODUCT((P$3:P$99="")*(O$3:O$99="")*(N$3:N$99="")*(M$3:M$99="P")*(G$3:G$99=G94)*(J$3:J$99&lt;J94)*(H$3:H$99&lt;&gt;H94)*(I$3:I$99="P")),-1*SUMPRODUCT((P$3:P$99="")*(O$3:O$99="")*(N$3:N$99="")*(M$3:M$99="P")*(G$3:G$99=G94)*(J$3:J$99&gt;J94)*(H$3:H$99="L5")*(I$3:I$99="P")))+1,"")))))</f>
        <v/>
      </c>
      <c r="B94" s="1" t="str" cm="1">
        <f t="array" ref="B94">IF(P94&lt;&gt;"",SUMPRODUCT((P$3:P$99&lt;&gt;"")*(G$3:G$99=G94)*(J$3:J$99&gt;J94))+1,IF(O94&lt;&gt;"",SUMPRODUCT((O$3:O$99&lt;&gt;"")*(P$3:P$99="")*(G$3:G$99=G94)*(J$3:J$99&gt;J94))+SUMPRODUCT((P$3:P$99&lt;&gt;"")*(G$3:G$99=G94))+1,IF(N94&lt;&gt;"",SUMPRODUCT((N$3:N$99&lt;&gt;"")*(G$3:G$99=G94)*(J$3:J$99&gt;J94))+1,IF(M94="P",SUMPRODUCT((O$3:O$99&lt;&gt;"")*(P$3:P$99="")*(G$3:G$99=G94))+SUMPRODUCT((P$3:P$99&lt;&gt;"")*(G$3:G$99=G94))+SUMPRODUCT((N$3:N$99&lt;&gt;"")*(G$3:G$99=G94))+SUMPRODUCT((P$3:P$99="")*(O$3:O$99="")*(N$3:N$99="")*(M$3:M$99="P")*(G$3:G$99=G94)*(J$3:J$99&gt;J94))+IF(H94="L5",SUMPRODUCT((P$3:P$99="")*(O$3:O$99="")*(N$3:N$99="")*(M$3:M$99="P")*(G$3:G$99=G94)*(J$3:J$99&lt;J94)*(H$3:H$99&lt;&gt;H94)),-1*SUMPRODUCT((P$3:P$99="")*(O$3:O$99="")*(N$3:N$99="")*(M$3:M$99="P")*(G$3:G$99=G94)*(J$3:J$99&gt;J94)*(H$3:H$99="L5")))+1,""))))</f>
        <v/>
      </c>
      <c r="C94" s="36" t="s">
        <v>347</v>
      </c>
      <c r="D94" s="36" t="str">
        <f>IF(E94="","",VLOOKUP(E94,'Coaching Points'!A:B,2,0))</f>
        <v>BC</v>
      </c>
      <c r="E94" s="36" t="s">
        <v>41</v>
      </c>
      <c r="F94" s="35">
        <v>2009</v>
      </c>
      <c r="G94" s="1" t="str">
        <f>IF('Qualifying Scores'!$B$1-F94&gt;21,"Not Age Eligible",IF('Qualifying Scores'!$B$1-F94&gt;16,"17-21",IF('Qualifying Scores'!$B$1-F94&gt;14,"15-16",IF('Qualifying Scores'!$B$1-F94&gt;12,"13-14",IF('Qualifying Scores'!$B$1-F94&gt;10,"11-12","Not Age Eligible")))))</f>
        <v>13-14</v>
      </c>
      <c r="H94" s="39" t="s">
        <v>66</v>
      </c>
      <c r="I94" s="43"/>
      <c r="J94" s="4">
        <f>R94+S94+IF(OR(H94="Junior",H94="Senior"),0.0002,IF(OR(H94="L7",H94="L6"),0.0001,0))+MAX(X94,Z94)*0.0000001</f>
        <v>83.900004210000006</v>
      </c>
      <c r="K94" s="3" t="str">
        <f>IF(G94="Not Age Eligible","",IF(MAX(T94,V94,X94,Z94)&gt;=LOOKUP(G94,'Qualifying Scores'!$A$4:$A$7,'Qualifying Scores'!$F$4:$F$7),"P",""))</f>
        <v/>
      </c>
      <c r="L94" s="3" t="str">
        <f>IF(G94="Not Age Eligible","",IF(MAX(U94,W94,Y94,AA94)&gt;=LOOKUP(G94,'Qualifying Scores'!$A$10:$A$13,'Qualifying Scores'!$F$10:$F$13),"P",""))</f>
        <v/>
      </c>
      <c r="M94" s="3" t="str">
        <f>IF(G94="Not Age Eligible","",IF(OR(AND(T94&gt;=LOOKUP(G94,'Qualifying Scores'!$A$4:$A$7,'Qualifying Scores'!$F$4:$F$7),U94&gt;=LOOKUP(G94,'Qualifying Scores'!$A$10:$A$13,'Qualifying Scores'!$F$10:$F$13)),AND(X94&gt;=LOOKUP(G94,'Qualifying Scores'!$A$4:$A$7,'Qualifying Scores'!$F$4:$F$7),Y94&gt;=LOOKUP(G94,'Qualifying Scores'!$A$10:$A$13,'Qualifying Scores'!$F$10:$F$13)),AND(V94&gt;=LOOKUP(G94,'Qualifying Scores'!$A$4:$A$7,'Qualifying Scores'!$F$4:$F$7),W94&gt;=LOOKUP(G94,'Qualifying Scores'!$A$10:$A$13,'Qualifying Scores'!$F$10:$F$13)),AND(Z94&gt;=LOOKUP(G94,'Qualifying Scores'!$A$4:$A$7,'Qualifying Scores'!$F$4:$F$7),AA94&gt;=LOOKUP(G94,'Qualifying Scores'!$A$10:$A$13,'Qualifying Scores'!$F$10:$F$13))),"P",""))</f>
        <v/>
      </c>
      <c r="Q94" s="1" t="str">
        <f>IF(A94&lt;5,IF(_xlfn.MAXIFS(A:A,G:G,G94)&gt;3,5-A94,_xlfn.MAXIFS(A:A,G:G,G94)+1-A94),"")</f>
        <v/>
      </c>
      <c r="R94" s="4">
        <f>MAX(T94,X94)</f>
        <v>42.1</v>
      </c>
      <c r="S94" s="4">
        <f>IF(R94=T94,MAX(V94,X94,Z94),IF(R94=X94,MAX(T94,V94,Z94),0))</f>
        <v>41.8</v>
      </c>
      <c r="T94" s="33">
        <v>41.8</v>
      </c>
      <c r="U94" s="40">
        <v>7.1</v>
      </c>
      <c r="V94" s="34">
        <v>20.7</v>
      </c>
      <c r="W94" s="40">
        <v>2.7</v>
      </c>
      <c r="X94" s="33">
        <v>42.1</v>
      </c>
      <c r="Y94" s="40">
        <v>6.5</v>
      </c>
      <c r="Z94" s="34">
        <v>38.299999999999997</v>
      </c>
      <c r="AA94" s="37">
        <v>2.9</v>
      </c>
    </row>
    <row r="95" spans="1:27" x14ac:dyDescent="0.2">
      <c r="A95" s="1" t="str" cm="1">
        <f t="array" ref="A95">IF(I95="","",IF(P95&lt;&gt;"",SUMPRODUCT((P$3:P$99&lt;&gt;"")*(G$3:G$99=G95)*(J$3:J$99&gt;J95)*(I$3:I$99="P"))+1,IF(O95&lt;&gt;"",SUMPRODUCT((O$3:O$99&lt;&gt;"")*(P$3:P$99="")*(G$3:G$99=G95)*(J$3:J$99&gt;J95)*(I$3:I$99="P"))+SUMPRODUCT((P$3:P$99&lt;&gt;"")*(G$3:G$99=G95)*(I$3:I$99="P"))+1,IF(N95&lt;&gt;"",SUMPRODUCT((N$3:N$99&lt;&gt;"")*(G$3:G$99=G95)*(J$3:J$99&gt;J95)*(I$3:I$99="P"))+1,IF(M95="P",SUMPRODUCT((O$3:O$99&lt;&gt;"")*(P$3:P$99="")*(G$3:G$99=G95)*(I$3:I$99="P"))+SUMPRODUCT((P$3:P$99&lt;&gt;"")*(G$3:G$99=G95)*(I$3:I$99="P"))+SUMPRODUCT((N$3:N$99&lt;&gt;"")*(G$3:G$99=G95)*(I$3:I$99="P"))+SUMPRODUCT((P$3:P$99="")*(O$3:O$99="")*(N$3:N$99="")*(M$3:M$99="P")*(G$3:G$99=G95)*(J$3:J$99&gt;J95)*(I$3:I$99="P"))+IF(H95="L5",SUMPRODUCT((P$3:P$99="")*(O$3:O$99="")*(N$3:N$99="")*(M$3:M$99="P")*(G$3:G$99=G95)*(J$3:J$99&lt;J95)*(H$3:H$99&lt;&gt;H95)*(I$3:I$99="P")),-1*SUMPRODUCT((P$3:P$99="")*(O$3:O$99="")*(N$3:N$99="")*(M$3:M$99="P")*(G$3:G$99=G95)*(J$3:J$99&gt;J95)*(H$3:H$99="L5")*(I$3:I$99="P")))+1,"")))))</f>
        <v/>
      </c>
      <c r="B95" s="1" t="str" cm="1">
        <f t="array" ref="B95">IF(P95&lt;&gt;"",SUMPRODUCT((P$3:P$99&lt;&gt;"")*(G$3:G$99=G95)*(J$3:J$99&gt;J95))+1,IF(O95&lt;&gt;"",SUMPRODUCT((O$3:O$99&lt;&gt;"")*(P$3:P$99="")*(G$3:G$99=G95)*(J$3:J$99&gt;J95))+SUMPRODUCT((P$3:P$99&lt;&gt;"")*(G$3:G$99=G95))+1,IF(N95&lt;&gt;"",SUMPRODUCT((N$3:N$99&lt;&gt;"")*(G$3:G$99=G95)*(J$3:J$99&gt;J95))+1,IF(M95="P",SUMPRODUCT((O$3:O$99&lt;&gt;"")*(P$3:P$99="")*(G$3:G$99=G95))+SUMPRODUCT((P$3:P$99&lt;&gt;"")*(G$3:G$99=G95))+SUMPRODUCT((N$3:N$99&lt;&gt;"")*(G$3:G$99=G95))+SUMPRODUCT((P$3:P$99="")*(O$3:O$99="")*(N$3:N$99="")*(M$3:M$99="P")*(G$3:G$99=G95)*(J$3:J$99&gt;J95))+IF(H95="L5",SUMPRODUCT((P$3:P$99="")*(O$3:O$99="")*(N$3:N$99="")*(M$3:M$99="P")*(G$3:G$99=G95)*(J$3:J$99&lt;J95)*(H$3:H$99&lt;&gt;H95)),-1*SUMPRODUCT((P$3:P$99="")*(O$3:O$99="")*(N$3:N$99="")*(M$3:M$99="P")*(G$3:G$99=G95)*(J$3:J$99&gt;J95)*(H$3:H$99="L5")))+1,""))))</f>
        <v/>
      </c>
      <c r="C95" s="36" t="s">
        <v>513</v>
      </c>
      <c r="D95" s="36" t="str">
        <f>IF(E95="","",VLOOKUP(E95,'Coaching Points'!A:B,2,0))</f>
        <v>BC</v>
      </c>
      <c r="E95" s="36" t="s">
        <v>288</v>
      </c>
      <c r="F95" s="35">
        <v>2009</v>
      </c>
      <c r="G95" s="1" t="str">
        <f>IF('Qualifying Scores'!$B$1-F95&gt;21,"Not Age Eligible",IF('Qualifying Scores'!$B$1-F95&gt;16,"17-21",IF('Qualifying Scores'!$B$1-F95&gt;14,"15-16",IF('Qualifying Scores'!$B$1-F95&gt;12,"13-14",IF('Qualifying Scores'!$B$1-F95&gt;10,"11-12","Not Age Eligible")))))</f>
        <v>13-14</v>
      </c>
      <c r="H95" s="39" t="s">
        <v>66</v>
      </c>
      <c r="I95" s="43"/>
      <c r="J95" s="4">
        <f>R95+S95+IF(OR(H95="Junior",H95="Senior"),0.0002,IF(OR(H95="L7",H95="L6"),0.0001,0))+MAX(X95,Z95)*0.0000001</f>
        <v>83.300004310000006</v>
      </c>
      <c r="K95" s="3" t="str">
        <f>IF(G95="Not Age Eligible","",IF(MAX(T95,V95,X95,Z95)&gt;=LOOKUP(G95,'Qualifying Scores'!$A$4:$A$7,'Qualifying Scores'!$F$4:$F$7),"P",""))</f>
        <v/>
      </c>
      <c r="L95" s="3" t="str">
        <f>IF(G95="Not Age Eligible","",IF(MAX(U95,W95,Y95,AA95)&gt;=LOOKUP(G95,'Qualifying Scores'!$A$10:$A$13,'Qualifying Scores'!$F$10:$F$13),"P",""))</f>
        <v/>
      </c>
      <c r="M95" s="3" t="str">
        <f>IF(G95="Not Age Eligible","",IF(OR(AND(T95&gt;=LOOKUP(G95,'Qualifying Scores'!$A$4:$A$7,'Qualifying Scores'!$F$4:$F$7),U95&gt;=LOOKUP(G95,'Qualifying Scores'!$A$10:$A$13,'Qualifying Scores'!$F$10:$F$13)),AND(X95&gt;=LOOKUP(G95,'Qualifying Scores'!$A$4:$A$7,'Qualifying Scores'!$F$4:$F$7),Y95&gt;=LOOKUP(G95,'Qualifying Scores'!$A$10:$A$13,'Qualifying Scores'!$F$10:$F$13)),AND(V95&gt;=LOOKUP(G95,'Qualifying Scores'!$A$4:$A$7,'Qualifying Scores'!$F$4:$F$7),W95&gt;=LOOKUP(G95,'Qualifying Scores'!$A$10:$A$13,'Qualifying Scores'!$F$10:$F$13)),AND(Z95&gt;=LOOKUP(G95,'Qualifying Scores'!$A$4:$A$7,'Qualifying Scores'!$F$4:$F$7),AA95&gt;=LOOKUP(G95,'Qualifying Scores'!$A$10:$A$13,'Qualifying Scores'!$F$10:$F$13))),"P",""))</f>
        <v/>
      </c>
      <c r="Q95" s="1" t="str">
        <f>IF(A95&lt;5,IF(_xlfn.MAXIFS(A:A,G:G,G95)&gt;3,5-A95,_xlfn.MAXIFS(A:A,G:G,G95)+1-A95),"")</f>
        <v/>
      </c>
      <c r="R95" s="4">
        <f>MAX(T95,X95)</f>
        <v>43.1</v>
      </c>
      <c r="S95" s="4">
        <f>IF(R95=T95,MAX(V95,X95,Z95),IF(R95=X95,MAX(T95,V95,Z95),0))</f>
        <v>40.200000000000003</v>
      </c>
      <c r="T95" s="33"/>
      <c r="U95" s="40"/>
      <c r="V95" s="34"/>
      <c r="W95" s="40"/>
      <c r="X95" s="33">
        <v>43.1</v>
      </c>
      <c r="Y95" s="40">
        <v>6.4</v>
      </c>
      <c r="Z95" s="34">
        <v>40.200000000000003</v>
      </c>
      <c r="AA95" s="37">
        <v>5</v>
      </c>
    </row>
    <row r="96" spans="1:27" x14ac:dyDescent="0.2">
      <c r="A96" s="1" t="str" cm="1">
        <f t="array" ref="A96">IF(I96="","",IF(P96&lt;&gt;"",SUMPRODUCT((P$3:P$99&lt;&gt;"")*(G$3:G$99=G96)*(J$3:J$99&gt;J96)*(I$3:I$99="P"))+1,IF(O96&lt;&gt;"",SUMPRODUCT((O$3:O$99&lt;&gt;"")*(P$3:P$99="")*(G$3:G$99=G96)*(J$3:J$99&gt;J96)*(I$3:I$99="P"))+SUMPRODUCT((P$3:P$99&lt;&gt;"")*(G$3:G$99=G96)*(I$3:I$99="P"))+1,IF(N96&lt;&gt;"",SUMPRODUCT((N$3:N$99&lt;&gt;"")*(G$3:G$99=G96)*(J$3:J$99&gt;J96)*(I$3:I$99="P"))+1,IF(M96="P",SUMPRODUCT((O$3:O$99&lt;&gt;"")*(P$3:P$99="")*(G$3:G$99=G96)*(I$3:I$99="P"))+SUMPRODUCT((P$3:P$99&lt;&gt;"")*(G$3:G$99=G96)*(I$3:I$99="P"))+SUMPRODUCT((N$3:N$99&lt;&gt;"")*(G$3:G$99=G96)*(I$3:I$99="P"))+SUMPRODUCT((P$3:P$99="")*(O$3:O$99="")*(N$3:N$99="")*(M$3:M$99="P")*(G$3:G$99=G96)*(J$3:J$99&gt;J96)*(I$3:I$99="P"))+IF(H96="L5",SUMPRODUCT((P$3:P$99="")*(O$3:O$99="")*(N$3:N$99="")*(M$3:M$99="P")*(G$3:G$99=G96)*(J$3:J$99&lt;J96)*(H$3:H$99&lt;&gt;H96)*(I$3:I$99="P")),-1*SUMPRODUCT((P$3:P$99="")*(O$3:O$99="")*(N$3:N$99="")*(M$3:M$99="P")*(G$3:G$99=G96)*(J$3:J$99&gt;J96)*(H$3:H$99="L5")*(I$3:I$99="P")))+1,"")))))</f>
        <v/>
      </c>
      <c r="B96" s="1" t="str" cm="1">
        <f t="array" ref="B96">IF(P96&lt;&gt;"",SUMPRODUCT((P$3:P$99&lt;&gt;"")*(G$3:G$99=G96)*(J$3:J$99&gt;J96))+1,IF(O96&lt;&gt;"",SUMPRODUCT((O$3:O$99&lt;&gt;"")*(P$3:P$99="")*(G$3:G$99=G96)*(J$3:J$99&gt;J96))+SUMPRODUCT((P$3:P$99&lt;&gt;"")*(G$3:G$99=G96))+1,IF(N96&lt;&gt;"",SUMPRODUCT((N$3:N$99&lt;&gt;"")*(G$3:G$99=G96)*(J$3:J$99&gt;J96))+1,IF(M96="P",SUMPRODUCT((O$3:O$99&lt;&gt;"")*(P$3:P$99="")*(G$3:G$99=G96))+SUMPRODUCT((P$3:P$99&lt;&gt;"")*(G$3:G$99=G96))+SUMPRODUCT((N$3:N$99&lt;&gt;"")*(G$3:G$99=G96))+SUMPRODUCT((P$3:P$99="")*(O$3:O$99="")*(N$3:N$99="")*(M$3:M$99="P")*(G$3:G$99=G96)*(J$3:J$99&gt;J96))+IF(H96="L5",SUMPRODUCT((P$3:P$99="")*(O$3:O$99="")*(N$3:N$99="")*(M$3:M$99="P")*(G$3:G$99=G96)*(J$3:J$99&lt;J96)*(H$3:H$99&lt;&gt;H96)),-1*SUMPRODUCT((P$3:P$99="")*(O$3:O$99="")*(N$3:N$99="")*(M$3:M$99="P")*(G$3:G$99=G96)*(J$3:J$99&gt;J96)*(H$3:H$99="L5")))+1,""))))</f>
        <v/>
      </c>
      <c r="C96" s="36" t="s">
        <v>514</v>
      </c>
      <c r="D96" s="36" t="str">
        <f>IF(E96="","",VLOOKUP(E96,'Coaching Points'!A:B,2,0))</f>
        <v>AB</v>
      </c>
      <c r="E96" s="36" t="s">
        <v>63</v>
      </c>
      <c r="F96" s="35">
        <v>2010</v>
      </c>
      <c r="G96" s="1" t="str">
        <f>IF('Qualifying Scores'!$B$1-F96&gt;21,"Not Age Eligible",IF('Qualifying Scores'!$B$1-F96&gt;16,"17-21",IF('Qualifying Scores'!$B$1-F96&gt;14,"15-16",IF('Qualifying Scores'!$B$1-F96&gt;12,"13-14",IF('Qualifying Scores'!$B$1-F96&gt;10,"11-12","Not Age Eligible")))))</f>
        <v>13-14</v>
      </c>
      <c r="H96" s="39" t="s">
        <v>66</v>
      </c>
      <c r="I96" s="43"/>
      <c r="J96" s="4">
        <f>R96+S96+IF(OR(H96="Junior",H96="Senior"),0.0002,IF(OR(H96="L7",H96="L6"),0.0001,0))+MAX(X96,Z96)*0.0000001</f>
        <v>82.300004120000011</v>
      </c>
      <c r="K96" s="3" t="str">
        <f>IF(G96="Not Age Eligible","",IF(MAX(T96,V96,X96,Z96)&gt;=LOOKUP(G96,'Qualifying Scores'!$A$4:$A$7,'Qualifying Scores'!$F$4:$F$7),"P",""))</f>
        <v/>
      </c>
      <c r="L96" s="3" t="str">
        <f>IF(G96="Not Age Eligible","",IF(MAX(U96,W96,Y96,AA96)&gt;=LOOKUP(G96,'Qualifying Scores'!$A$10:$A$13,'Qualifying Scores'!$F$10:$F$13),"P",""))</f>
        <v/>
      </c>
      <c r="M96" s="3" t="str">
        <f>IF(G96="Not Age Eligible","",IF(OR(AND(T96&gt;=LOOKUP(G96,'Qualifying Scores'!$A$4:$A$7,'Qualifying Scores'!$F$4:$F$7),U96&gt;=LOOKUP(G96,'Qualifying Scores'!$A$10:$A$13,'Qualifying Scores'!$F$10:$F$13)),AND(X96&gt;=LOOKUP(G96,'Qualifying Scores'!$A$4:$A$7,'Qualifying Scores'!$F$4:$F$7),Y96&gt;=LOOKUP(G96,'Qualifying Scores'!$A$10:$A$13,'Qualifying Scores'!$F$10:$F$13)),AND(V96&gt;=LOOKUP(G96,'Qualifying Scores'!$A$4:$A$7,'Qualifying Scores'!$F$4:$F$7),W96&gt;=LOOKUP(G96,'Qualifying Scores'!$A$10:$A$13,'Qualifying Scores'!$F$10:$F$13)),AND(Z96&gt;=LOOKUP(G96,'Qualifying Scores'!$A$4:$A$7,'Qualifying Scores'!$F$4:$F$7),AA96&gt;=LOOKUP(G96,'Qualifying Scores'!$A$10:$A$13,'Qualifying Scores'!$F$10:$F$13))),"P",""))</f>
        <v/>
      </c>
      <c r="Q96" s="1" t="str">
        <f>IF(A96&lt;5,IF(_xlfn.MAXIFS(A:A,G:G,G96)&gt;3,5-A96,_xlfn.MAXIFS(A:A,G:G,G96)+1-A96),"")</f>
        <v/>
      </c>
      <c r="R96" s="4">
        <f>MAX(T96,X96)</f>
        <v>41.1</v>
      </c>
      <c r="S96" s="4">
        <f>IF(R96=T96,MAX(V96,X96,Z96),IF(R96=X96,MAX(T96,V96,Z96),0))</f>
        <v>41.2</v>
      </c>
      <c r="T96" s="33"/>
      <c r="U96" s="40"/>
      <c r="V96" s="34"/>
      <c r="W96" s="40"/>
      <c r="X96" s="33">
        <v>41.1</v>
      </c>
      <c r="Y96" s="40">
        <v>4.9000000000000004</v>
      </c>
      <c r="Z96" s="34">
        <v>41.2</v>
      </c>
      <c r="AA96" s="37">
        <v>4.2</v>
      </c>
    </row>
    <row r="97" spans="1:27" x14ac:dyDescent="0.2">
      <c r="A97" s="1" t="str" cm="1">
        <f t="array" ref="A97">IF(I97="","",IF(P97&lt;&gt;"",SUMPRODUCT((P$3:P$99&lt;&gt;"")*(G$3:G$99=G97)*(J$3:J$99&gt;J97)*(I$3:I$99="P"))+1,IF(O97&lt;&gt;"",SUMPRODUCT((O$3:O$99&lt;&gt;"")*(P$3:P$99="")*(G$3:G$99=G97)*(J$3:J$99&gt;J97)*(I$3:I$99="P"))+SUMPRODUCT((P$3:P$99&lt;&gt;"")*(G$3:G$99=G97)*(I$3:I$99="P"))+1,IF(N97&lt;&gt;"",SUMPRODUCT((N$3:N$99&lt;&gt;"")*(G$3:G$99=G97)*(J$3:J$99&gt;J97)*(I$3:I$99="P"))+1,IF(M97="P",SUMPRODUCT((O$3:O$99&lt;&gt;"")*(P$3:P$99="")*(G$3:G$99=G97)*(I$3:I$99="P"))+SUMPRODUCT((P$3:P$99&lt;&gt;"")*(G$3:G$99=G97)*(I$3:I$99="P"))+SUMPRODUCT((N$3:N$99&lt;&gt;"")*(G$3:G$99=G97)*(I$3:I$99="P"))+SUMPRODUCT((P$3:P$99="")*(O$3:O$99="")*(N$3:N$99="")*(M$3:M$99="P")*(G$3:G$99=G97)*(J$3:J$99&gt;J97)*(I$3:I$99="P"))+IF(H97="L5",SUMPRODUCT((P$3:P$99="")*(O$3:O$99="")*(N$3:N$99="")*(M$3:M$99="P")*(G$3:G$99=G97)*(J$3:J$99&lt;J97)*(H$3:H$99&lt;&gt;H97)*(I$3:I$99="P")),-1*SUMPRODUCT((P$3:P$99="")*(O$3:O$99="")*(N$3:N$99="")*(M$3:M$99="P")*(G$3:G$99=G97)*(J$3:J$99&gt;J97)*(H$3:H$99="L5")*(I$3:I$99="P")))+1,"")))))</f>
        <v/>
      </c>
      <c r="B97" s="1" t="str" cm="1">
        <f t="array" ref="B97">IF(P97&lt;&gt;"",SUMPRODUCT((P$3:P$99&lt;&gt;"")*(G$3:G$99=G97)*(J$3:J$99&gt;J97))+1,IF(O97&lt;&gt;"",SUMPRODUCT((O$3:O$99&lt;&gt;"")*(P$3:P$99="")*(G$3:G$99=G97)*(J$3:J$99&gt;J97))+SUMPRODUCT((P$3:P$99&lt;&gt;"")*(G$3:G$99=G97))+1,IF(N97&lt;&gt;"",SUMPRODUCT((N$3:N$99&lt;&gt;"")*(G$3:G$99=G97)*(J$3:J$99&gt;J97))+1,IF(M97="P",SUMPRODUCT((O$3:O$99&lt;&gt;"")*(P$3:P$99="")*(G$3:G$99=G97))+SUMPRODUCT((P$3:P$99&lt;&gt;"")*(G$3:G$99=G97))+SUMPRODUCT((N$3:N$99&lt;&gt;"")*(G$3:G$99=G97))+SUMPRODUCT((P$3:P$99="")*(O$3:O$99="")*(N$3:N$99="")*(M$3:M$99="P")*(G$3:G$99=G97)*(J$3:J$99&gt;J97))+IF(H97="L5",SUMPRODUCT((P$3:P$99="")*(O$3:O$99="")*(N$3:N$99="")*(M$3:M$99="P")*(G$3:G$99=G97)*(J$3:J$99&lt;J97)*(H$3:H$99&lt;&gt;H97)),-1*SUMPRODUCT((P$3:P$99="")*(O$3:O$99="")*(N$3:N$99="")*(M$3:M$99="P")*(G$3:G$99=G97)*(J$3:J$99&gt;J97)*(H$3:H$99="L5")))+1,""))))</f>
        <v/>
      </c>
      <c r="C97" s="36" t="s">
        <v>323</v>
      </c>
      <c r="D97" s="36" t="str">
        <f>IF(E97="","",VLOOKUP(E97,'Coaching Points'!A:B,2,0))</f>
        <v>BC</v>
      </c>
      <c r="E97" s="36" t="s">
        <v>439</v>
      </c>
      <c r="F97" s="35">
        <v>2011</v>
      </c>
      <c r="G97" s="1" t="str">
        <f>IF('Qualifying Scores'!$B$1-F97&gt;21,"Not Age Eligible",IF('Qualifying Scores'!$B$1-F97&gt;16,"17-21",IF('Qualifying Scores'!$B$1-F97&gt;14,"15-16",IF('Qualifying Scores'!$B$1-F97&gt;12,"13-14",IF('Qualifying Scores'!$B$1-F97&gt;10,"11-12","Not Age Eligible")))))</f>
        <v>11-12</v>
      </c>
      <c r="H97" s="39" t="s">
        <v>66</v>
      </c>
      <c r="I97" s="43"/>
      <c r="J97" s="4">
        <f>R97+S97+IF(OR(H97="Junior",H97="Senior"),0.0002,IF(OR(H97="L7",H97="L6"),0.0001,0))+MAX(X97,Z97)*0.0000001</f>
        <v>85.300004290000004</v>
      </c>
      <c r="K97" s="3" t="str">
        <f>IF(G97="Not Age Eligible","",IF(MAX(T97,V97,X97,Z97)&gt;=LOOKUP(G97,'Qualifying Scores'!$A$4:$A$7,'Qualifying Scores'!$F$4:$F$7),"P",""))</f>
        <v/>
      </c>
      <c r="L97" s="3" t="str">
        <f>IF(G97="Not Age Eligible","",IF(MAX(U97,W97,Y97,AA97)&gt;=LOOKUP(G97,'Qualifying Scores'!$A$10:$A$13,'Qualifying Scores'!$F$10:$F$13),"P",""))</f>
        <v>P</v>
      </c>
      <c r="M97" s="3" t="str">
        <f>IF(G97="Not Age Eligible","",IF(OR(AND(T97&gt;=LOOKUP(G97,'Qualifying Scores'!$A$4:$A$7,'Qualifying Scores'!$F$4:$F$7),U97&gt;=LOOKUP(G97,'Qualifying Scores'!$A$10:$A$13,'Qualifying Scores'!$F$10:$F$13)),AND(X97&gt;=LOOKUP(G97,'Qualifying Scores'!$A$4:$A$7,'Qualifying Scores'!$F$4:$F$7),Y97&gt;=LOOKUP(G97,'Qualifying Scores'!$A$10:$A$13,'Qualifying Scores'!$F$10:$F$13)),AND(V97&gt;=LOOKUP(G97,'Qualifying Scores'!$A$4:$A$7,'Qualifying Scores'!$F$4:$F$7),W97&gt;=LOOKUP(G97,'Qualifying Scores'!$A$10:$A$13,'Qualifying Scores'!$F$10:$F$13)),AND(Z97&gt;=LOOKUP(G97,'Qualifying Scores'!$A$4:$A$7,'Qualifying Scores'!$F$4:$F$7),AA97&gt;=LOOKUP(G97,'Qualifying Scores'!$A$10:$A$13,'Qualifying Scores'!$F$10:$F$13))),"P",""))</f>
        <v/>
      </c>
      <c r="Q97" s="1" t="str">
        <f>IF(A97&lt;5,IF(_xlfn.MAXIFS(A:A,G:G,G97)&gt;3,5-A97,_xlfn.MAXIFS(A:A,G:G,G97)+1-A97),"")</f>
        <v/>
      </c>
      <c r="R97" s="4">
        <f>MAX(T97,X97)</f>
        <v>42.4</v>
      </c>
      <c r="S97" s="4">
        <f>IF(R97=T97,MAX(V97,X97,Z97),IF(R97=X97,MAX(T97,V97,Z97),0))</f>
        <v>42.9</v>
      </c>
      <c r="T97" s="33">
        <v>42.1</v>
      </c>
      <c r="U97" s="40">
        <v>4.8000000000000007</v>
      </c>
      <c r="V97" s="34">
        <v>36.299999999999997</v>
      </c>
      <c r="W97" s="40">
        <v>4.2</v>
      </c>
      <c r="X97" s="33">
        <v>42.4</v>
      </c>
      <c r="Y97" s="40">
        <v>6.1</v>
      </c>
      <c r="Z97" s="34">
        <v>42.9</v>
      </c>
      <c r="AA97" s="37">
        <v>6</v>
      </c>
    </row>
    <row r="98" spans="1:27" x14ac:dyDescent="0.2">
      <c r="A98" s="1" t="str" cm="1">
        <f t="array" ref="A98">IF(I98="","",IF(P98&lt;&gt;"",SUMPRODUCT((P$3:P$99&lt;&gt;"")*(G$3:G$99=G98)*(J$3:J$99&gt;J98)*(I$3:I$99="P"))+1,IF(O98&lt;&gt;"",SUMPRODUCT((O$3:O$99&lt;&gt;"")*(P$3:P$99="")*(G$3:G$99=G98)*(J$3:J$99&gt;J98)*(I$3:I$99="P"))+SUMPRODUCT((P$3:P$99&lt;&gt;"")*(G$3:G$99=G98)*(I$3:I$99="P"))+1,IF(N98&lt;&gt;"",SUMPRODUCT((N$3:N$99&lt;&gt;"")*(G$3:G$99=G98)*(J$3:J$99&gt;J98)*(I$3:I$99="P"))+1,IF(M98="P",SUMPRODUCT((O$3:O$99&lt;&gt;"")*(P$3:P$99="")*(G$3:G$99=G98)*(I$3:I$99="P"))+SUMPRODUCT((P$3:P$99&lt;&gt;"")*(G$3:G$99=G98)*(I$3:I$99="P"))+SUMPRODUCT((N$3:N$99&lt;&gt;"")*(G$3:G$99=G98)*(I$3:I$99="P"))+SUMPRODUCT((P$3:P$99="")*(O$3:O$99="")*(N$3:N$99="")*(M$3:M$99="P")*(G$3:G$99=G98)*(J$3:J$99&gt;J98)*(I$3:I$99="P"))+IF(H98="L5",SUMPRODUCT((P$3:P$99="")*(O$3:O$99="")*(N$3:N$99="")*(M$3:M$99="P")*(G$3:G$99=G98)*(J$3:J$99&lt;J98)*(H$3:H$99&lt;&gt;H98)*(I$3:I$99="P")),-1*SUMPRODUCT((P$3:P$99="")*(O$3:O$99="")*(N$3:N$99="")*(M$3:M$99="P")*(G$3:G$99=G98)*(J$3:J$99&gt;J98)*(H$3:H$99="L5")*(I$3:I$99="P")))+1,"")))))</f>
        <v/>
      </c>
      <c r="B98" s="1" t="str" cm="1">
        <f t="array" ref="B98">IF(P98&lt;&gt;"",SUMPRODUCT((P$3:P$99&lt;&gt;"")*(G$3:G$99=G98)*(J$3:J$99&gt;J98))+1,IF(O98&lt;&gt;"",SUMPRODUCT((O$3:O$99&lt;&gt;"")*(P$3:P$99="")*(G$3:G$99=G98)*(J$3:J$99&gt;J98))+SUMPRODUCT((P$3:P$99&lt;&gt;"")*(G$3:G$99=G98))+1,IF(N98&lt;&gt;"",SUMPRODUCT((N$3:N$99&lt;&gt;"")*(G$3:G$99=G98)*(J$3:J$99&gt;J98))+1,IF(M98="P",SUMPRODUCT((O$3:O$99&lt;&gt;"")*(P$3:P$99="")*(G$3:G$99=G98))+SUMPRODUCT((P$3:P$99&lt;&gt;"")*(G$3:G$99=G98))+SUMPRODUCT((N$3:N$99&lt;&gt;"")*(G$3:G$99=G98))+SUMPRODUCT((P$3:P$99="")*(O$3:O$99="")*(N$3:N$99="")*(M$3:M$99="P")*(G$3:G$99=G98)*(J$3:J$99&gt;J98))+IF(H98="L5",SUMPRODUCT((P$3:P$99="")*(O$3:O$99="")*(N$3:N$99="")*(M$3:M$99="P")*(G$3:G$99=G98)*(J$3:J$99&lt;J98)*(H$3:H$99&lt;&gt;H98)),-1*SUMPRODUCT((P$3:P$99="")*(O$3:O$99="")*(N$3:N$99="")*(M$3:M$99="P")*(G$3:G$99=G98)*(J$3:J$99&gt;J98)*(H$3:H$99="L5")))+1,""))))</f>
        <v/>
      </c>
      <c r="C98" s="36" t="s">
        <v>515</v>
      </c>
      <c r="D98" s="36" t="str">
        <f>IF(E98="","",VLOOKUP(E98,'Coaching Points'!A:B,2,0))</f>
        <v>BC</v>
      </c>
      <c r="E98" s="36" t="s">
        <v>41</v>
      </c>
      <c r="F98" s="35">
        <v>2012</v>
      </c>
      <c r="G98" s="1" t="str">
        <f>IF('Qualifying Scores'!$B$1-F98&gt;21,"Not Age Eligible",IF('Qualifying Scores'!$B$1-F98&gt;16,"17-21",IF('Qualifying Scores'!$B$1-F98&gt;14,"15-16",IF('Qualifying Scores'!$B$1-F98&gt;12,"13-14",IF('Qualifying Scores'!$B$1-F98&gt;10,"11-12","Not Age Eligible")))))</f>
        <v>11-12</v>
      </c>
      <c r="H98" s="39" t="s">
        <v>66</v>
      </c>
      <c r="I98" s="43"/>
      <c r="J98" s="4">
        <f>R98+S98+IF(OR(H98="Junior",H98="Senior"),0.0002,IF(OR(H98="L7",H98="L6"),0.0001,0))+MAX(X98,Z98)*0.0000001</f>
        <v>38.600003860000001</v>
      </c>
      <c r="K98" s="3" t="str">
        <f>IF(G98="Not Age Eligible","",IF(MAX(T98,V98,X98,Z98)&gt;=LOOKUP(G98,'Qualifying Scores'!$A$4:$A$7,'Qualifying Scores'!$F$4:$F$7),"P",""))</f>
        <v/>
      </c>
      <c r="L98" s="3" t="str">
        <f>IF(G98="Not Age Eligible","",IF(MAX(U98,W98,Y98,AA98)&gt;=LOOKUP(G98,'Qualifying Scores'!$A$10:$A$13,'Qualifying Scores'!$F$10:$F$13),"P",""))</f>
        <v/>
      </c>
      <c r="M98" s="3" t="str">
        <f>IF(G98="Not Age Eligible","",IF(OR(AND(T98&gt;=LOOKUP(G98,'Qualifying Scores'!$A$4:$A$7,'Qualifying Scores'!$F$4:$F$7),U98&gt;=LOOKUP(G98,'Qualifying Scores'!$A$10:$A$13,'Qualifying Scores'!$F$10:$F$13)),AND(X98&gt;=LOOKUP(G98,'Qualifying Scores'!$A$4:$A$7,'Qualifying Scores'!$F$4:$F$7),Y98&gt;=LOOKUP(G98,'Qualifying Scores'!$A$10:$A$13,'Qualifying Scores'!$F$10:$F$13)),AND(V98&gt;=LOOKUP(G98,'Qualifying Scores'!$A$4:$A$7,'Qualifying Scores'!$F$4:$F$7),W98&gt;=LOOKUP(G98,'Qualifying Scores'!$A$10:$A$13,'Qualifying Scores'!$F$10:$F$13)),AND(Z98&gt;=LOOKUP(G98,'Qualifying Scores'!$A$4:$A$7,'Qualifying Scores'!$F$4:$F$7),AA98&gt;=LOOKUP(G98,'Qualifying Scores'!$A$10:$A$13,'Qualifying Scores'!$F$10:$F$13))),"P",""))</f>
        <v/>
      </c>
      <c r="Q98" s="1" t="str">
        <f>IF(A98&lt;5,IF(_xlfn.MAXIFS(A:A,G:G,G98)&gt;3,5-A98,_xlfn.MAXIFS(A:A,G:G,G98)+1-A98),"")</f>
        <v/>
      </c>
      <c r="R98" s="4">
        <f>MAX(T98,X98)</f>
        <v>38.6</v>
      </c>
      <c r="S98" s="4">
        <f>IF(R98=T98,MAX(V98,X98,Z98),IF(R98=X98,MAX(T98,V98,Z98),0))</f>
        <v>0</v>
      </c>
      <c r="T98" s="33"/>
      <c r="U98" s="40"/>
      <c r="V98" s="34"/>
      <c r="W98" s="40"/>
      <c r="X98" s="33">
        <v>38.6</v>
      </c>
      <c r="Y98" s="40">
        <v>4.5</v>
      </c>
      <c r="Z98" s="34"/>
      <c r="AA98" s="37"/>
    </row>
    <row r="99" spans="1:27" x14ac:dyDescent="0.2">
      <c r="B99" s="1"/>
      <c r="G99" s="1"/>
      <c r="H99" s="39"/>
      <c r="I99" s="43"/>
      <c r="J99" s="4"/>
      <c r="K99" s="3"/>
      <c r="L99" s="3"/>
      <c r="R99" s="4"/>
      <c r="S99" s="4"/>
      <c r="T99" s="33"/>
      <c r="U99" s="40"/>
      <c r="V99" s="34"/>
      <c r="W99" s="40"/>
      <c r="X99" s="33"/>
      <c r="Y99" s="40"/>
      <c r="Z99" s="34"/>
      <c r="AA99" s="37"/>
    </row>
    <row r="100" spans="1:27" x14ac:dyDescent="0.2">
      <c r="B100" s="1"/>
      <c r="G100" s="1"/>
      <c r="H100" s="39"/>
      <c r="I100" s="43"/>
      <c r="J100" s="4"/>
      <c r="K100" s="3"/>
      <c r="L100" s="3"/>
      <c r="R100" s="4"/>
      <c r="S100" s="4"/>
      <c r="T100" s="33"/>
      <c r="U100" s="40"/>
      <c r="V100" s="34"/>
      <c r="W100" s="40"/>
      <c r="X100" s="33"/>
      <c r="Y100" s="40"/>
      <c r="Z100" s="34"/>
      <c r="AA100" s="37"/>
    </row>
    <row r="101" spans="1:27" x14ac:dyDescent="0.2">
      <c r="B101" s="1"/>
      <c r="G101" s="1"/>
      <c r="H101" s="39"/>
      <c r="I101" s="43"/>
      <c r="J101" s="4"/>
      <c r="K101" s="3"/>
      <c r="L101" s="3"/>
      <c r="R101" s="4"/>
      <c r="S101" s="4"/>
      <c r="T101" s="33"/>
      <c r="U101" s="40"/>
      <c r="V101" s="34"/>
      <c r="W101" s="40"/>
      <c r="X101" s="33"/>
      <c r="Y101" s="40"/>
      <c r="Z101" s="34"/>
      <c r="AA101" s="37"/>
    </row>
    <row r="102" spans="1:27" x14ac:dyDescent="0.2">
      <c r="B102" s="1"/>
      <c r="G102" s="1"/>
      <c r="H102" s="39"/>
      <c r="I102" s="43"/>
      <c r="J102" s="4"/>
      <c r="K102" s="3"/>
      <c r="L102" s="3"/>
      <c r="R102" s="4"/>
      <c r="S102" s="4"/>
      <c r="T102" s="33"/>
      <c r="U102" s="40"/>
      <c r="V102" s="34"/>
      <c r="W102" s="40"/>
      <c r="X102" s="33"/>
      <c r="Y102" s="40"/>
      <c r="Z102" s="34"/>
      <c r="AA102" s="37"/>
    </row>
    <row r="103" spans="1:27" x14ac:dyDescent="0.2">
      <c r="B103" s="1"/>
      <c r="G103" s="1"/>
      <c r="H103" s="39"/>
      <c r="I103" s="43"/>
      <c r="J103" s="4"/>
      <c r="K103" s="3"/>
      <c r="L103" s="3"/>
      <c r="R103" s="4"/>
      <c r="S103" s="4"/>
      <c r="T103" s="33"/>
      <c r="U103" s="40"/>
      <c r="V103" s="34"/>
      <c r="W103" s="40"/>
      <c r="X103" s="33"/>
      <c r="Y103" s="40"/>
      <c r="Z103" s="34"/>
      <c r="AA103" s="37"/>
    </row>
    <row r="104" spans="1:27" x14ac:dyDescent="0.2">
      <c r="B104" s="1"/>
      <c r="G104" s="1"/>
      <c r="H104" s="39"/>
      <c r="I104" s="43"/>
      <c r="J104" s="4"/>
      <c r="K104" s="3"/>
      <c r="L104" s="3"/>
      <c r="R104" s="4"/>
      <c r="S104" s="4"/>
      <c r="T104" s="33"/>
      <c r="U104" s="40"/>
      <c r="V104" s="34"/>
      <c r="W104" s="40"/>
      <c r="X104" s="33"/>
      <c r="Y104" s="40"/>
      <c r="Z104" s="34"/>
      <c r="AA104" s="37"/>
    </row>
    <row r="105" spans="1:27" x14ac:dyDescent="0.2">
      <c r="B105" s="1"/>
      <c r="G105" s="1"/>
      <c r="H105" s="39"/>
      <c r="I105" s="43"/>
      <c r="J105" s="4"/>
      <c r="K105" s="3"/>
      <c r="L105" s="3"/>
      <c r="R105" s="4"/>
      <c r="S105" s="4"/>
      <c r="T105" s="33"/>
      <c r="U105" s="40"/>
      <c r="V105" s="34"/>
      <c r="W105" s="40"/>
      <c r="X105" s="33"/>
      <c r="Y105" s="40"/>
      <c r="Z105" s="34"/>
      <c r="AA105" s="37"/>
    </row>
    <row r="106" spans="1:27" x14ac:dyDescent="0.2">
      <c r="B106" s="1"/>
      <c r="G106" s="1"/>
      <c r="H106" s="39"/>
      <c r="I106" s="43"/>
      <c r="J106" s="4"/>
      <c r="K106" s="3"/>
      <c r="L106" s="3"/>
      <c r="R106" s="4"/>
      <c r="S106" s="4"/>
      <c r="T106" s="33"/>
      <c r="U106" s="40"/>
      <c r="V106" s="34"/>
      <c r="W106" s="40"/>
      <c r="X106" s="33"/>
      <c r="Y106" s="40"/>
      <c r="Z106" s="34"/>
      <c r="AA106" s="37"/>
    </row>
    <row r="107" spans="1:27" x14ac:dyDescent="0.2">
      <c r="B107" s="1"/>
      <c r="G107" s="1"/>
      <c r="H107" s="39"/>
      <c r="I107" s="43"/>
      <c r="J107" s="4"/>
      <c r="K107" s="3"/>
      <c r="L107" s="3"/>
      <c r="R107" s="4"/>
      <c r="S107" s="4"/>
      <c r="T107" s="33"/>
      <c r="U107" s="40"/>
      <c r="V107" s="34"/>
      <c r="W107" s="40"/>
      <c r="X107" s="33"/>
      <c r="Y107" s="40"/>
      <c r="Z107" s="34"/>
      <c r="AA107" s="37"/>
    </row>
    <row r="108" spans="1:27" x14ac:dyDescent="0.2">
      <c r="B108" s="1"/>
      <c r="G108" s="1"/>
      <c r="H108" s="39"/>
      <c r="I108" s="43"/>
      <c r="J108" s="4"/>
      <c r="K108" s="3"/>
      <c r="L108" s="3"/>
      <c r="R108" s="4"/>
      <c r="S108" s="4"/>
      <c r="T108" s="33"/>
      <c r="U108" s="40"/>
      <c r="V108" s="34"/>
      <c r="W108" s="40"/>
      <c r="X108" s="33"/>
      <c r="Y108" s="40"/>
      <c r="Z108" s="34"/>
      <c r="AA108" s="37"/>
    </row>
    <row r="109" spans="1:27" x14ac:dyDescent="0.2">
      <c r="B109" s="1"/>
      <c r="G109" s="1"/>
      <c r="H109" s="39"/>
      <c r="I109" s="43"/>
      <c r="J109" s="4"/>
      <c r="K109" s="3"/>
      <c r="L109" s="3"/>
      <c r="R109" s="4"/>
      <c r="S109" s="4"/>
      <c r="T109" s="33"/>
      <c r="U109" s="40"/>
      <c r="V109" s="34"/>
      <c r="W109" s="40"/>
      <c r="X109" s="33"/>
      <c r="Y109" s="40"/>
      <c r="Z109" s="34"/>
      <c r="AA109" s="37"/>
    </row>
    <row r="110" spans="1:27" x14ac:dyDescent="0.2">
      <c r="B110" s="1"/>
      <c r="G110" s="1"/>
      <c r="H110" s="39"/>
      <c r="I110" s="43"/>
      <c r="J110" s="4"/>
      <c r="K110" s="3"/>
      <c r="L110" s="3"/>
      <c r="R110" s="4"/>
      <c r="S110" s="4"/>
      <c r="T110" s="33"/>
      <c r="U110" s="40"/>
      <c r="V110" s="34"/>
      <c r="W110" s="40"/>
      <c r="X110" s="33"/>
      <c r="Y110" s="40"/>
      <c r="Z110" s="34"/>
      <c r="AA110" s="37"/>
    </row>
    <row r="111" spans="1:27" x14ac:dyDescent="0.2">
      <c r="B111" s="1"/>
      <c r="G111" s="1"/>
      <c r="H111" s="39"/>
      <c r="I111" s="43"/>
      <c r="J111" s="4"/>
      <c r="K111" s="3"/>
      <c r="L111" s="3"/>
      <c r="R111" s="4"/>
      <c r="S111" s="4"/>
      <c r="T111" s="33"/>
      <c r="U111" s="40"/>
      <c r="V111" s="34"/>
      <c r="W111" s="40"/>
      <c r="X111" s="33"/>
      <c r="Y111" s="40"/>
      <c r="Z111" s="34"/>
      <c r="AA111" s="37"/>
    </row>
    <row r="112" spans="1:27" x14ac:dyDescent="0.2">
      <c r="B112" s="1"/>
      <c r="G112" s="1"/>
      <c r="H112" s="39"/>
      <c r="I112" s="43"/>
      <c r="J112" s="4"/>
      <c r="K112" s="3"/>
      <c r="L112" s="3"/>
      <c r="R112" s="4"/>
      <c r="S112" s="4"/>
      <c r="T112" s="33"/>
      <c r="U112" s="40"/>
      <c r="V112" s="34"/>
      <c r="W112" s="40"/>
      <c r="X112" s="33"/>
      <c r="Y112" s="40"/>
      <c r="Z112" s="34"/>
      <c r="AA112" s="37"/>
    </row>
    <row r="113" spans="2:27" x14ac:dyDescent="0.2">
      <c r="B113" s="1"/>
      <c r="G113" s="1"/>
      <c r="H113" s="39"/>
      <c r="I113" s="43"/>
      <c r="J113" s="4"/>
      <c r="K113" s="3"/>
      <c r="L113" s="3"/>
      <c r="R113" s="4"/>
      <c r="S113" s="4"/>
      <c r="T113" s="33"/>
      <c r="U113" s="40"/>
      <c r="V113" s="34"/>
      <c r="W113" s="40"/>
      <c r="X113" s="33"/>
      <c r="Y113" s="40"/>
      <c r="Z113" s="34"/>
      <c r="AA113" s="37"/>
    </row>
    <row r="114" spans="2:27" x14ac:dyDescent="0.2">
      <c r="B114" s="1"/>
      <c r="G114" s="1"/>
      <c r="H114" s="39"/>
      <c r="I114" s="43"/>
      <c r="J114" s="4"/>
      <c r="K114" s="3"/>
      <c r="L114" s="3"/>
      <c r="R114" s="4"/>
      <c r="S114" s="4"/>
      <c r="T114" s="33"/>
      <c r="U114" s="40"/>
      <c r="V114" s="34"/>
      <c r="W114" s="40"/>
      <c r="X114" s="33"/>
      <c r="Y114" s="40"/>
      <c r="Z114" s="34"/>
      <c r="AA114" s="37"/>
    </row>
    <row r="115" spans="2:27" x14ac:dyDescent="0.2">
      <c r="B115" s="1"/>
      <c r="G115" s="1"/>
      <c r="H115" s="39"/>
      <c r="I115" s="43"/>
      <c r="J115" s="4"/>
      <c r="K115" s="3"/>
      <c r="L115" s="3"/>
      <c r="R115" s="4"/>
      <c r="S115" s="4"/>
      <c r="T115" s="33"/>
      <c r="U115" s="40"/>
      <c r="V115" s="34"/>
      <c r="W115" s="40"/>
      <c r="X115" s="33"/>
      <c r="Y115" s="40"/>
      <c r="Z115" s="34"/>
      <c r="AA115" s="37"/>
    </row>
    <row r="116" spans="2:27" x14ac:dyDescent="0.2">
      <c r="B116" s="1"/>
      <c r="G116" s="1"/>
      <c r="H116" s="39"/>
      <c r="I116" s="43"/>
      <c r="J116" s="4"/>
      <c r="K116" s="3"/>
      <c r="L116" s="3"/>
      <c r="R116" s="4"/>
      <c r="S116" s="4"/>
      <c r="T116" s="33"/>
      <c r="U116" s="40"/>
      <c r="V116" s="34"/>
      <c r="W116" s="40"/>
      <c r="X116" s="33"/>
      <c r="Y116" s="40"/>
      <c r="Z116" s="34"/>
      <c r="AA116" s="37"/>
    </row>
    <row r="117" spans="2:27" x14ac:dyDescent="0.2">
      <c r="B117" s="1"/>
      <c r="G117" s="1"/>
      <c r="H117" s="39"/>
      <c r="I117" s="43"/>
      <c r="J117" s="4"/>
      <c r="K117" s="3"/>
      <c r="L117" s="3"/>
      <c r="R117" s="4"/>
      <c r="S117" s="4"/>
      <c r="T117" s="33"/>
      <c r="U117" s="40"/>
      <c r="V117" s="34"/>
      <c r="W117" s="40"/>
      <c r="X117" s="33"/>
      <c r="Y117" s="40"/>
      <c r="Z117" s="34"/>
      <c r="AA117" s="37"/>
    </row>
    <row r="118" spans="2:27" x14ac:dyDescent="0.2">
      <c r="B118" s="1"/>
      <c r="G118" s="1"/>
      <c r="H118" s="39"/>
      <c r="I118" s="43"/>
      <c r="J118" s="4"/>
      <c r="K118" s="3"/>
      <c r="L118" s="3"/>
      <c r="R118" s="4"/>
      <c r="S118" s="4"/>
      <c r="T118" s="33"/>
      <c r="U118" s="40"/>
      <c r="V118" s="34"/>
      <c r="W118" s="40"/>
      <c r="X118" s="33"/>
      <c r="Y118" s="40"/>
      <c r="Z118" s="34"/>
      <c r="AA118" s="37"/>
    </row>
    <row r="119" spans="2:27" x14ac:dyDescent="0.2">
      <c r="B119" s="1"/>
      <c r="G119" s="1"/>
      <c r="H119" s="39"/>
      <c r="I119" s="43"/>
      <c r="J119" s="4"/>
      <c r="K119" s="3"/>
      <c r="L119" s="3"/>
      <c r="R119" s="4"/>
      <c r="S119" s="4"/>
      <c r="T119" s="33"/>
      <c r="U119" s="40"/>
      <c r="V119" s="34"/>
      <c r="W119" s="40"/>
      <c r="X119" s="33"/>
      <c r="Y119" s="40"/>
      <c r="Z119" s="34"/>
      <c r="AA119" s="37"/>
    </row>
    <row r="120" spans="2:27" x14ac:dyDescent="0.2">
      <c r="B120" s="1"/>
      <c r="G120" s="1"/>
      <c r="H120" s="39"/>
      <c r="I120" s="43"/>
      <c r="J120" s="4"/>
      <c r="K120" s="3"/>
      <c r="L120" s="3"/>
      <c r="R120" s="4"/>
      <c r="S120" s="4"/>
      <c r="T120" s="33"/>
      <c r="U120" s="40"/>
      <c r="V120" s="34"/>
      <c r="W120" s="40"/>
      <c r="X120" s="33"/>
      <c r="Y120" s="40"/>
      <c r="Z120" s="34"/>
      <c r="AA120" s="37"/>
    </row>
    <row r="121" spans="2:27" x14ac:dyDescent="0.2">
      <c r="B121" s="1"/>
      <c r="G121" s="1"/>
      <c r="H121" s="39"/>
      <c r="I121" s="43"/>
      <c r="J121" s="4"/>
      <c r="K121" s="3"/>
      <c r="L121" s="3"/>
      <c r="R121" s="4"/>
      <c r="S121" s="4"/>
      <c r="T121" s="33"/>
      <c r="U121" s="40"/>
      <c r="V121" s="34"/>
      <c r="W121" s="40"/>
      <c r="X121" s="33"/>
      <c r="Y121" s="40"/>
      <c r="Z121" s="34"/>
      <c r="AA121" s="37"/>
    </row>
  </sheetData>
  <sheetProtection sheet="1" formatCells="0" formatColumns="0" formatRows="0"/>
  <autoFilter ref="A1:AA2" xr:uid="{00000000-0001-0000-0600-000000000000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3:AA98">
      <sortCondition descending="1" ref="G1:G99"/>
    </sortState>
  </autoFilter>
  <mergeCells count="21">
    <mergeCell ref="A1:A2"/>
    <mergeCell ref="Q1:Q2"/>
    <mergeCell ref="R1:R2"/>
    <mergeCell ref="S1:S2"/>
    <mergeCell ref="T1:W1"/>
    <mergeCell ref="X1:AA1"/>
    <mergeCell ref="P1:P2"/>
    <mergeCell ref="B1:B2"/>
    <mergeCell ref="C1:C2"/>
    <mergeCell ref="D1:D2"/>
    <mergeCell ref="E1:E2"/>
    <mergeCell ref="F1:F2"/>
    <mergeCell ref="O1:O2"/>
    <mergeCell ref="N1:N2"/>
    <mergeCell ref="G1:G2"/>
    <mergeCell ref="J1:J2"/>
    <mergeCell ref="K1:K2"/>
    <mergeCell ref="L1:L2"/>
    <mergeCell ref="M1:M2"/>
    <mergeCell ref="I1:I2"/>
    <mergeCell ref="H1:H2"/>
  </mergeCells>
  <phoneticPr fontId="13" type="noConversion"/>
  <conditionalFormatting sqref="A1:XFD1048576">
    <cfRule type="expression" dxfId="31" priority="25">
      <formula>IF($G1="17-21",1,0)</formula>
    </cfRule>
    <cfRule type="expression" dxfId="30" priority="26">
      <formula>IF($G1="15-16",1,0)</formula>
    </cfRule>
    <cfRule type="expression" dxfId="29" priority="27">
      <formula>IF($G1="13-14",1,0)</formula>
    </cfRule>
    <cfRule type="expression" dxfId="28" priority="2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F5433-B5EB-6740-A07B-8D9F0DC750A7}">
  <sheetPr codeName="Sheet12"/>
  <dimension ref="A1:AA267"/>
  <sheetViews>
    <sheetView zoomScaleNormal="100" workbookViewId="0">
      <pane xSplit="5" ySplit="2" topLeftCell="F3" activePane="bottomRight" state="frozen"/>
      <selection activeCell="I34" sqref="I34"/>
      <selection pane="topRight" activeCell="I34" sqref="I34"/>
      <selection pane="bottomLeft" activeCell="I34" sqref="I34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33203125" style="36" bestFit="1" customWidth="1"/>
    <col min="4" max="4" width="8.6640625" style="36" bestFit="1" customWidth="1"/>
    <col min="5" max="5" width="18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ht="16" customHeight="1" x14ac:dyDescent="0.2">
      <c r="A1" s="73" t="s">
        <v>208</v>
      </c>
      <c r="B1" s="73" t="s">
        <v>207</v>
      </c>
      <c r="C1" s="67" t="s">
        <v>0</v>
      </c>
      <c r="D1" s="67" t="s">
        <v>1</v>
      </c>
      <c r="E1" s="69" t="s">
        <v>2</v>
      </c>
      <c r="F1" s="71" t="s">
        <v>4</v>
      </c>
      <c r="G1" s="67" t="s">
        <v>5</v>
      </c>
      <c r="H1" s="67" t="s">
        <v>56</v>
      </c>
      <c r="I1" s="67" t="s">
        <v>42</v>
      </c>
      <c r="J1" s="76" t="s">
        <v>13</v>
      </c>
      <c r="K1" s="67" t="s">
        <v>9</v>
      </c>
      <c r="L1" s="67" t="s">
        <v>10</v>
      </c>
      <c r="M1" s="67" t="s">
        <v>33</v>
      </c>
      <c r="N1" s="67" t="s">
        <v>12</v>
      </c>
      <c r="O1" s="67" t="s">
        <v>49</v>
      </c>
      <c r="P1" s="67" t="s">
        <v>11</v>
      </c>
      <c r="Q1" s="67" t="s">
        <v>206</v>
      </c>
      <c r="R1" s="73" t="s">
        <v>371</v>
      </c>
      <c r="S1" s="67" t="s">
        <v>372</v>
      </c>
      <c r="T1" s="75" t="s">
        <v>44</v>
      </c>
      <c r="U1" s="75"/>
      <c r="V1" s="75"/>
      <c r="W1" s="75"/>
      <c r="X1" s="75" t="s">
        <v>43</v>
      </c>
      <c r="Y1" s="75"/>
      <c r="Z1" s="75"/>
      <c r="AA1" s="75"/>
    </row>
    <row r="2" spans="1:27" s="7" customFormat="1" ht="17" thickBot="1" x14ac:dyDescent="0.25">
      <c r="A2" s="74"/>
      <c r="B2" s="74"/>
      <c r="C2" s="68"/>
      <c r="D2" s="68"/>
      <c r="E2" s="70"/>
      <c r="F2" s="72"/>
      <c r="G2" s="68"/>
      <c r="H2" s="68"/>
      <c r="I2" s="68"/>
      <c r="J2" s="77"/>
      <c r="K2" s="68"/>
      <c r="L2" s="68"/>
      <c r="M2" s="68"/>
      <c r="N2" s="68"/>
      <c r="O2" s="68"/>
      <c r="P2" s="68"/>
      <c r="Q2" s="68"/>
      <c r="R2" s="74"/>
      <c r="S2" s="68"/>
      <c r="T2" s="8" t="s">
        <v>54</v>
      </c>
      <c r="U2" s="7" t="s">
        <v>55</v>
      </c>
      <c r="V2" s="7" t="s">
        <v>6</v>
      </c>
      <c r="W2" s="7" t="s">
        <v>8</v>
      </c>
      <c r="X2" s="8" t="s">
        <v>54</v>
      </c>
      <c r="Y2" s="7" t="s">
        <v>55</v>
      </c>
      <c r="Z2" s="7" t="s">
        <v>6</v>
      </c>
      <c r="AA2" s="7" t="s">
        <v>8</v>
      </c>
    </row>
    <row r="3" spans="1:27" ht="17" thickTop="1" x14ac:dyDescent="0.2">
      <c r="A3" s="1" cm="1">
        <f t="array" ref="A3">IF(I3="","",IF(P3&lt;&gt;"",SUMPRODUCT((P$3:P$105&lt;&gt;"")*(G$3:G$105=G3)*(J$3:J$105&gt;J3)*(I$3:I$105="P"))+1,IF(O3&lt;&gt;"",SUMPRODUCT((O$3:O$105&lt;&gt;"")*(P$3:P$105="")*(G$3:G$105=G3)*(J$3:J$105&gt;J3)*(I$3:I$105="P"))+SUMPRODUCT((P$3:P$105&lt;&gt;"")*(G$3:G$105=G3)*(I$3:I$105="P"))+1,IF(N3&lt;&gt;"",SUMPRODUCT((N$3:N$105&lt;&gt;"")*(G$3:G$105=G3)*(J$3:J$105&gt;J3)*(I$3:I$105="P"))+1,IF(M3="P",SUMPRODUCT((O$3:O$105&lt;&gt;"")*(P$3:P$105="")*(G$3:G$105=G3)*(I$3:I$105="P"))+SUMPRODUCT((P$3:P$105&lt;&gt;"")*(G$3:G$105=G3)*(I$3:I$105="P"))+SUMPRODUCT((N$3:N$105&lt;&gt;"")*(G$3:G$105=G3)*(I$3:I$105="P"))+SUMPRODUCT((P$3:P$105="")*(O$3:O$105="")*(N$3:N$105="")*(M$3:M$105="P")*(G$3:G$105=G3)*(J$3:J$105&gt;J3)*(I$3:I$105="P"))+IF(H3="L5",SUMPRODUCT((P$3:P$105="")*(O$3:O$105="")*(N$3:N$105="")*(M$3:M$105="P")*(G$3:G$105=G3)*(J$3:J$105&lt;J3)*(H$3:H$105&lt;&gt;H3)*(I$3:I$105="P")),-1*SUMPRODUCT((P$3:P$105="")*(O$3:O$105="")*(N$3:N$105="")*(M$3:M$105="P")*(G$3:G$105=G3)*(J$3:J$105&gt;J3)*(H$3:H$105="L5")*(I$3:I$105="P")))+1,"")))))</f>
        <v>1</v>
      </c>
      <c r="B3" s="1" cm="1">
        <f t="array" ref="B3">IF(P3&lt;&gt;"",SUMPRODUCT((P$3:P$105&lt;&gt;"")*(G$3:G$105=G3)*(J$3:J$105&gt;J3))+1,IF(O3&lt;&gt;"",SUMPRODUCT((O$3:O$105&lt;&gt;"")*(P$3:P$105="")*(G$3:G$105=G3)*(J$3:J$105&gt;J3))+SUMPRODUCT((P$3:P$105&lt;&gt;"")*(G$3:G$105=G3))+1,IF(N3&lt;&gt;"",SUMPRODUCT((N$3:N$105&lt;&gt;"")*(G$3:G$105=G3)*(J$3:J$105&gt;J3))+1,IF(M3="P",SUMPRODUCT((O$3:O$105&lt;&gt;"")*(P$3:P$105="")*(G$3:G$105=G3))+SUMPRODUCT((P$3:P$105&lt;&gt;"")*(G$3:G$105=G3))+SUMPRODUCT((N$3:N$105&lt;&gt;"")*(G$3:G$105=G3))+SUMPRODUCT((P$3:P$105="")*(O$3:O$105="")*(N$3:N$105="")*(M$3:M$105="P")*(G$3:G$105=G3)*(J$3:J$105&gt;J3))+IF(H3="L5",SUMPRODUCT((P$3:P$105="")*(O$3:O$105="")*(N$3:N$105="")*(M$3:M$105="P")*(G$3:G$105=G3)*(J$3:J$105&lt;J3)*(H$3:H$105&lt;&gt;H3)),-1*SUMPRODUCT((P$3:P$105="")*(O$3:O$105="")*(N$3:N$105="")*(M$3:M$105="P")*(G$3:G$105=G3)*(J$3:J$105&gt;J3)*(H$3:H$105="L5")))+1,""))))</f>
        <v>2</v>
      </c>
      <c r="C3" s="36" t="s">
        <v>359</v>
      </c>
      <c r="D3" s="36" t="str">
        <f>IF(E3="","",VLOOKUP(E3,'Coaching Points'!A:B,2,0))</f>
        <v>AB</v>
      </c>
      <c r="E3" s="36" t="s">
        <v>29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 t="s">
        <v>567</v>
      </c>
      <c r="J3" s="4">
        <f>R3+S3+IF(OR(H3="Junior",H3="Senior"),0.0002,IF(OR(H3="L7",H3="L6"),0.0001,0))+MAX(X3,Z3)*0.0000001</f>
        <v>99.200204929999998</v>
      </c>
      <c r="K3" s="3" t="str">
        <f>IF(G3="Not Age Eligible","",IF(MAX(T3,V3,X3,Z3)&gt;=LOOKUP(G3,'Qualifying Scores'!$A$4:$A$7,'Qualifying Scores'!$G$4:$G$7),"P",""))</f>
        <v>P</v>
      </c>
      <c r="L3" s="3" t="str">
        <f>IF(G3="Not Age Eligible","",IF(MAX(U3,W3,Y3,AA3)&gt;=LOOKUP(G3,'Qualifying Scores'!$A$10:$A$13,'Qualifying Scores'!$G$10:$G$13),"P",""))</f>
        <v>P</v>
      </c>
      <c r="M3" s="3" t="str">
        <f>IF(G3="Not Age Eligible","",IF(OR(AND(T3&gt;=LOOKUP(G3,'Qualifying Scores'!$A$4:$A$7,'Qualifying Scores'!$G$4:$G$7),U3&gt;=LOOKUP(G3,'Qualifying Scores'!$A$10:$A$13,'Qualifying Scores'!$G$10:$G$13)),AND(X3&gt;=LOOKUP(G3,'Qualifying Scores'!$A$4:$A$7,'Qualifying Scores'!$G$4:$G$7),Y3&gt;=LOOKUP(G3,'Qualifying Scores'!$A$10:$A$13,'Qualifying Scores'!$G$10:$G$13)),AND(V3&gt;=LOOKUP(G3,'Qualifying Scores'!$A$4:$A$7,'Qualifying Scores'!$G$4:$G$7),W3&gt;=LOOKUP(G3,'Qualifying Scores'!$A$10:$A$13,'Qualifying Scores'!$G$10:$G$13)),AND(Z3&gt;=LOOKUP(G3,'Qualifying Scores'!$A$4:$A$7,'Qualifying Scores'!$G$4:$G$7),AA3&gt;=LOOKUP(G3,'Qualifying Scores'!$A$10:$A$13,'Qualifying Scores'!$G$10:$G$13))),"P",""))</f>
        <v>P</v>
      </c>
      <c r="O3" s="39">
        <v>2</v>
      </c>
      <c r="P3" s="39">
        <v>4</v>
      </c>
      <c r="Q3" s="1">
        <f>IF(A3&lt;5,IF(_xlfn.MAXIFS(A:A,G:G,G3)&gt;3,5-A3,_xlfn.MAXIFS(A:A,G:G,G3)+1-A3),"")</f>
        <v>4</v>
      </c>
      <c r="R3" s="4">
        <f>MAX(T3,X3)</f>
        <v>49.9</v>
      </c>
      <c r="S3" s="4">
        <f>IF(R3=T3,MAX(V3,X3,Z3),IF(R3=X3,MAX(T3,V3,Z3),0))</f>
        <v>49.3</v>
      </c>
      <c r="T3" s="33">
        <v>49.9</v>
      </c>
      <c r="U3" s="40">
        <v>12.4</v>
      </c>
      <c r="V3" s="34">
        <v>49.2</v>
      </c>
      <c r="W3" s="40">
        <v>12.4</v>
      </c>
      <c r="X3" s="33">
        <v>49.3</v>
      </c>
      <c r="Y3" s="40">
        <v>12.4</v>
      </c>
      <c r="Z3" s="34">
        <v>42.4</v>
      </c>
      <c r="AA3" s="37">
        <v>9.3000000000000007</v>
      </c>
    </row>
    <row r="4" spans="1:27" x14ac:dyDescent="0.2">
      <c r="A4" s="1" cm="1">
        <f t="array" ref="A4">IF(I4="","",IF(P4&lt;&gt;"",SUMPRODUCT((P$3:P$105&lt;&gt;"")*(G$3:G$105=G4)*(J$3:J$105&gt;J4)*(I$3:I$105="P"))+1,IF(O4&lt;&gt;"",SUMPRODUCT((O$3:O$105&lt;&gt;"")*(P$3:P$105="")*(G$3:G$105=G4)*(J$3:J$105&gt;J4)*(I$3:I$105="P"))+SUMPRODUCT((P$3:P$105&lt;&gt;"")*(G$3:G$105=G4)*(I$3:I$105="P"))+1,IF(N4&lt;&gt;"",SUMPRODUCT((N$3:N$105&lt;&gt;"")*(G$3:G$105=G4)*(J$3:J$105&gt;J4)*(I$3:I$105="P"))+1,IF(M4="P",SUMPRODUCT((O$3:O$105&lt;&gt;"")*(P$3:P$105="")*(G$3:G$105=G4)*(I$3:I$105="P"))+SUMPRODUCT((P$3:P$105&lt;&gt;"")*(G$3:G$105=G4)*(I$3:I$105="P"))+SUMPRODUCT((N$3:N$105&lt;&gt;"")*(G$3:G$105=G4)*(I$3:I$105="P"))+SUMPRODUCT((P$3:P$105="")*(O$3:O$105="")*(N$3:N$105="")*(M$3:M$105="P")*(G$3:G$105=G4)*(J$3:J$105&gt;J4)*(I$3:I$105="P"))+IF(H4="L5",SUMPRODUCT((P$3:P$105="")*(O$3:O$105="")*(N$3:N$105="")*(M$3:M$105="P")*(G$3:G$105=G4)*(J$3:J$105&lt;J4)*(H$3:H$105&lt;&gt;H4)*(I$3:I$105="P")),-1*SUMPRODUCT((P$3:P$105="")*(O$3:O$105="")*(N$3:N$105="")*(M$3:M$105="P")*(G$3:G$105=G4)*(J$3:J$105&gt;J4)*(H$3:H$105="L5")*(I$3:I$105="P")))+1,"")))))</f>
        <v>2</v>
      </c>
      <c r="B4" s="1" cm="1">
        <f t="array" ref="B4">IF(P4&lt;&gt;"",SUMPRODUCT((P$3:P$105&lt;&gt;"")*(G$3:G$105=G4)*(J$3:J$105&gt;J4))+1,IF(O4&lt;&gt;"",SUMPRODUCT((O$3:O$105&lt;&gt;"")*(P$3:P$105="")*(G$3:G$105=G4)*(J$3:J$105&gt;J4))+SUMPRODUCT((P$3:P$105&lt;&gt;"")*(G$3:G$105=G4))+1,IF(N4&lt;&gt;"",SUMPRODUCT((N$3:N$105&lt;&gt;"")*(G$3:G$105=G4)*(J$3:J$105&gt;J4))+1,IF(M4="P",SUMPRODUCT((O$3:O$105&lt;&gt;"")*(P$3:P$105="")*(G$3:G$105=G4))+SUMPRODUCT((P$3:P$105&lt;&gt;"")*(G$3:G$105=G4))+SUMPRODUCT((N$3:N$105&lt;&gt;"")*(G$3:G$105=G4))+SUMPRODUCT((P$3:P$105="")*(O$3:O$105="")*(N$3:N$105="")*(M$3:M$105="P")*(G$3:G$105=G4)*(J$3:J$105&gt;J4))+IF(H4="L5",SUMPRODUCT((P$3:P$105="")*(O$3:O$105="")*(N$3:N$105="")*(M$3:M$105="P")*(G$3:G$105=G4)*(J$3:J$105&lt;J4)*(H$3:H$105&lt;&gt;H4)),-1*SUMPRODUCT((P$3:P$105="")*(O$3:O$105="")*(N$3:N$105="")*(M$3:M$105="P")*(G$3:G$105=G4)*(J$3:J$105&gt;J4)*(H$3:H$105="L5")))+1,""))))</f>
        <v>3</v>
      </c>
      <c r="C4" s="36" t="s">
        <v>159</v>
      </c>
      <c r="D4" s="36" t="str">
        <f>IF(E4="","",VLOOKUP(E4,'Coaching Points'!A:B,2,0))</f>
        <v>BC</v>
      </c>
      <c r="E4" s="36" t="s">
        <v>41</v>
      </c>
      <c r="F4" s="35">
        <v>2004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 t="s">
        <v>567</v>
      </c>
      <c r="J4" s="4">
        <f>R4+S4+IF(OR(H4="Junior",H4="Senior"),0.0002,IF(OR(H4="L7",H4="L6"),0.0001,0))+MAX(X4,Z4)*0.0000001</f>
        <v>95.700204710000008</v>
      </c>
      <c r="K4" s="3" t="str">
        <f>IF(G4="Not Age Eligible","",IF(MAX(T4,V4,X4,Z4)&gt;=LOOKUP(G4,'Qualifying Scores'!$A$4:$A$7,'Qualifying Scores'!$G$4:$G$7),"P",""))</f>
        <v>P</v>
      </c>
      <c r="L4" s="3" t="str">
        <f>IF(G4="Not Age Eligible","",IF(MAX(U4,W4,Y4,AA4)&gt;=LOOKUP(G4,'Qualifying Scores'!$A$10:$A$13,'Qualifying Scores'!$G$10:$G$13),"P",""))</f>
        <v>P</v>
      </c>
      <c r="M4" s="3" t="str">
        <f>IF(G4="Not Age Eligible","",IF(OR(AND(T4&gt;=LOOKUP(G4,'Qualifying Scores'!$A$4:$A$7,'Qualifying Scores'!$G$4:$G$7),U4&gt;=LOOKUP(G4,'Qualifying Scores'!$A$10:$A$13,'Qualifying Scores'!$G$10:$G$13)),AND(X4&gt;=LOOKUP(G4,'Qualifying Scores'!$A$4:$A$7,'Qualifying Scores'!$G$4:$G$7),Y4&gt;=LOOKUP(G4,'Qualifying Scores'!$A$10:$A$13,'Qualifying Scores'!$G$10:$G$13)),AND(V4&gt;=LOOKUP(G4,'Qualifying Scores'!$A$4:$A$7,'Qualifying Scores'!$G$4:$G$7),W4&gt;=LOOKUP(G4,'Qualifying Scores'!$A$10:$A$13,'Qualifying Scores'!$G$10:$G$13)),AND(Z4&gt;=LOOKUP(G4,'Qualifying Scores'!$A$4:$A$7,'Qualifying Scores'!$G$4:$G$7),AA4&gt;=LOOKUP(G4,'Qualifying Scores'!$A$10:$A$13,'Qualifying Scores'!$G$10:$G$13))),"P",""))</f>
        <v>P</v>
      </c>
      <c r="O4" s="39">
        <v>3</v>
      </c>
      <c r="P4" s="39">
        <v>7</v>
      </c>
      <c r="Q4" s="1">
        <f>IF(A4&lt;5,IF(_xlfn.MAXIFS(A:A,G:G,G4)&gt;3,5-A4,_xlfn.MAXIFS(A:A,G:G,G4)+1-A4),"")</f>
        <v>3</v>
      </c>
      <c r="R4" s="4">
        <f>MAX(T4,X4)</f>
        <v>48.6</v>
      </c>
      <c r="S4" s="4">
        <f>IF(R4=T4,MAX(V4,X4,Z4),IF(R4=X4,MAX(T4,V4,Z4),0))</f>
        <v>47.1</v>
      </c>
      <c r="T4" s="33">
        <v>48.6</v>
      </c>
      <c r="U4" s="40">
        <v>11.6</v>
      </c>
      <c r="V4" s="34">
        <v>47.1</v>
      </c>
      <c r="W4" s="40">
        <v>11.2</v>
      </c>
      <c r="X4" s="33">
        <v>47.1</v>
      </c>
      <c r="Y4" s="40">
        <v>11.600000000000001</v>
      </c>
      <c r="Z4" s="34">
        <v>44.4</v>
      </c>
      <c r="AA4" s="37">
        <v>8.8000000000000007</v>
      </c>
    </row>
    <row r="5" spans="1:27" x14ac:dyDescent="0.2">
      <c r="A5" s="1" cm="1">
        <f t="array" ref="A5">IF(I5="","",IF(P5&lt;&gt;"",SUMPRODUCT((P$3:P$105&lt;&gt;"")*(G$3:G$105=G5)*(J$3:J$105&gt;J5)*(I$3:I$105="P"))+1,IF(O5&lt;&gt;"",SUMPRODUCT((O$3:O$105&lt;&gt;"")*(P$3:P$105="")*(G$3:G$105=G5)*(J$3:J$105&gt;J5)*(I$3:I$105="P"))+SUMPRODUCT((P$3:P$105&lt;&gt;"")*(G$3:G$105=G5)*(I$3:I$105="P"))+1,IF(N5&lt;&gt;"",SUMPRODUCT((N$3:N$105&lt;&gt;"")*(G$3:G$105=G5)*(J$3:J$105&gt;J5)*(I$3:I$105="P"))+1,IF(M5="P",SUMPRODUCT((O$3:O$105&lt;&gt;"")*(P$3:P$105="")*(G$3:G$105=G5)*(I$3:I$105="P"))+SUMPRODUCT((P$3:P$105&lt;&gt;"")*(G$3:G$105=G5)*(I$3:I$105="P"))+SUMPRODUCT((N$3:N$105&lt;&gt;"")*(G$3:G$105=G5)*(I$3:I$105="P"))+SUMPRODUCT((P$3:P$105="")*(O$3:O$105="")*(N$3:N$105="")*(M$3:M$105="P")*(G$3:G$105=G5)*(J$3:J$105&gt;J5)*(I$3:I$105="P"))+IF(H5="L5",SUMPRODUCT((P$3:P$105="")*(O$3:O$105="")*(N$3:N$105="")*(M$3:M$105="P")*(G$3:G$105=G5)*(J$3:J$105&lt;J5)*(H$3:H$105&lt;&gt;H5)*(I$3:I$105="P")),-1*SUMPRODUCT((P$3:P$105="")*(O$3:O$105="")*(N$3:N$105="")*(M$3:M$105="P")*(G$3:G$105=G5)*(J$3:J$105&gt;J5)*(H$3:H$105="L5")*(I$3:I$105="P")))+1,"")))))</f>
        <v>3</v>
      </c>
      <c r="B5" s="1" cm="1">
        <f t="array" ref="B5">IF(P5&lt;&gt;"",SUMPRODUCT((P$3:P$105&lt;&gt;"")*(G$3:G$105=G5)*(J$3:J$105&gt;J5))+1,IF(O5&lt;&gt;"",SUMPRODUCT((O$3:O$105&lt;&gt;"")*(P$3:P$105="")*(G$3:G$105=G5)*(J$3:J$105&gt;J5))+SUMPRODUCT((P$3:P$105&lt;&gt;"")*(G$3:G$105=G5))+1,IF(N5&lt;&gt;"",SUMPRODUCT((N$3:N$105&lt;&gt;"")*(G$3:G$105=G5)*(J$3:J$105&gt;J5))+1,IF(M5="P",SUMPRODUCT((O$3:O$105&lt;&gt;"")*(P$3:P$105="")*(G$3:G$105=G5))+SUMPRODUCT((P$3:P$105&lt;&gt;"")*(G$3:G$105=G5))+SUMPRODUCT((N$3:N$105&lt;&gt;"")*(G$3:G$105=G5))+SUMPRODUCT((P$3:P$105="")*(O$3:O$105="")*(N$3:N$105="")*(M$3:M$105="P")*(G$3:G$105=G5)*(J$3:J$105&gt;J5))+IF(H5="L5",SUMPRODUCT((P$3:P$105="")*(O$3:O$105="")*(N$3:N$105="")*(M$3:M$105="P")*(G$3:G$105=G5)*(J$3:J$105&lt;J5)*(H$3:H$105&lt;&gt;H5)),-1*SUMPRODUCT((P$3:P$105="")*(O$3:O$105="")*(N$3:N$105="")*(M$3:M$105="P")*(G$3:G$105=G5)*(J$3:J$105&gt;J5)*(H$3:H$105="L5")))+1,""))))</f>
        <v>4</v>
      </c>
      <c r="C5" s="36" t="s">
        <v>360</v>
      </c>
      <c r="D5" s="36" t="str">
        <f>IF(E5="","",VLOOKUP(E5,'Coaching Points'!A:B,2,0))</f>
        <v>QC</v>
      </c>
      <c r="E5" s="36" t="s">
        <v>289</v>
      </c>
      <c r="F5" s="35">
        <v>2002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 t="s">
        <v>567</v>
      </c>
      <c r="J5" s="4">
        <f>R5+S5+IF(OR(H5="Junior",H5="Senior"),0.0002,IF(OR(H5="L7",H5="L6"),0.0001,0))+MAX(X5,Z5)*0.0000001</f>
        <v>95.000204780000004</v>
      </c>
      <c r="K5" s="3" t="str">
        <f>IF(G5="Not Age Eligible","",IF(MAX(T5,V5,X5,Z5)&gt;=LOOKUP(G5,'Qualifying Scores'!$A$4:$A$7,'Qualifying Scores'!$G$4:$G$7),"P",""))</f>
        <v>P</v>
      </c>
      <c r="L5" s="3" t="str">
        <f>IF(G5="Not Age Eligible","",IF(MAX(U5,W5,Y5,AA5)&gt;=LOOKUP(G5,'Qualifying Scores'!$A$10:$A$13,'Qualifying Scores'!$G$10:$G$13),"P",""))</f>
        <v>P</v>
      </c>
      <c r="M5" s="3" t="str">
        <f>IF(G5="Not Age Eligible","",IF(OR(AND(T5&gt;=LOOKUP(G5,'Qualifying Scores'!$A$4:$A$7,'Qualifying Scores'!$G$4:$G$7),U5&gt;=LOOKUP(G5,'Qualifying Scores'!$A$10:$A$13,'Qualifying Scores'!$G$10:$G$13)),AND(X5&gt;=LOOKUP(G5,'Qualifying Scores'!$A$4:$A$7,'Qualifying Scores'!$G$4:$G$7),Y5&gt;=LOOKUP(G5,'Qualifying Scores'!$A$10:$A$13,'Qualifying Scores'!$G$10:$G$13)),AND(V5&gt;=LOOKUP(G5,'Qualifying Scores'!$A$4:$A$7,'Qualifying Scores'!$G$4:$G$7),W5&gt;=LOOKUP(G5,'Qualifying Scores'!$A$10:$A$13,'Qualifying Scores'!$G$10:$G$13)),AND(Z5&gt;=LOOKUP(G5,'Qualifying Scores'!$A$4:$A$7,'Qualifying Scores'!$G$4:$G$7),AA5&gt;=LOOKUP(G5,'Qualifying Scores'!$A$10:$A$13,'Qualifying Scores'!$G$10:$G$13))),"P",""))</f>
        <v>P</v>
      </c>
      <c r="O5" s="39">
        <v>4</v>
      </c>
      <c r="Q5" s="1">
        <f>IF(A5&lt;5,IF(_xlfn.MAXIFS(A:A,G:G,G5)&gt;3,5-A5,_xlfn.MAXIFS(A:A,G:G,G5)+1-A5),"")</f>
        <v>2</v>
      </c>
      <c r="R5" s="4">
        <f>MAX(T5,X5)</f>
        <v>47.2</v>
      </c>
      <c r="S5" s="4">
        <f>IF(R5=T5,MAX(V5,X5,Z5),IF(R5=X5,MAX(T5,V5,Z5),0))</f>
        <v>47.8</v>
      </c>
      <c r="T5" s="33">
        <v>47</v>
      </c>
      <c r="U5" s="40">
        <v>10.8</v>
      </c>
      <c r="V5" s="34">
        <v>23.2</v>
      </c>
      <c r="W5" s="40">
        <v>5.2</v>
      </c>
      <c r="X5" s="33">
        <v>47.2</v>
      </c>
      <c r="Y5" s="40">
        <v>10</v>
      </c>
      <c r="Z5" s="34">
        <v>47.8</v>
      </c>
      <c r="AA5" s="37">
        <v>10.8</v>
      </c>
    </row>
    <row r="6" spans="1:27" x14ac:dyDescent="0.2">
      <c r="A6" s="1" cm="1">
        <f t="array" ref="A6">IF(I6="","",IF(P6&lt;&gt;"",SUMPRODUCT((P$3:P$105&lt;&gt;"")*(G$3:G$105=G6)*(J$3:J$105&gt;J6)*(I$3:I$105="P"))+1,IF(O6&lt;&gt;"",SUMPRODUCT((O$3:O$105&lt;&gt;"")*(P$3:P$105="")*(G$3:G$105=G6)*(J$3:J$105&gt;J6)*(I$3:I$105="P"))+SUMPRODUCT((P$3:P$105&lt;&gt;"")*(G$3:G$105=G6)*(I$3:I$105="P"))+1,IF(N6&lt;&gt;"",SUMPRODUCT((N$3:N$105&lt;&gt;"")*(G$3:G$105=G6)*(J$3:J$105&gt;J6)*(I$3:I$105="P"))+1,IF(M6="P",SUMPRODUCT((O$3:O$105&lt;&gt;"")*(P$3:P$105="")*(G$3:G$105=G6)*(I$3:I$105="P"))+SUMPRODUCT((P$3:P$105&lt;&gt;"")*(G$3:G$105=G6)*(I$3:I$105="P"))+SUMPRODUCT((N$3:N$105&lt;&gt;"")*(G$3:G$105=G6)*(I$3:I$105="P"))+SUMPRODUCT((P$3:P$105="")*(O$3:O$105="")*(N$3:N$105="")*(M$3:M$105="P")*(G$3:G$105=G6)*(J$3:J$105&gt;J6)*(I$3:I$105="P"))+IF(H6="L5",SUMPRODUCT((P$3:P$105="")*(O$3:O$105="")*(N$3:N$105="")*(M$3:M$105="P")*(G$3:G$105=G6)*(J$3:J$105&lt;J6)*(H$3:H$105&lt;&gt;H6)*(I$3:I$105="P")),-1*SUMPRODUCT((P$3:P$105="")*(O$3:O$105="")*(N$3:N$105="")*(M$3:M$105="P")*(G$3:G$105=G6)*(J$3:J$105&gt;J6)*(H$3:H$105="L5")*(I$3:I$105="P")))+1,"")))))</f>
        <v>4</v>
      </c>
      <c r="B6" s="1" cm="1">
        <f t="array" ref="B6">IF(P6&lt;&gt;"",SUMPRODUCT((P$3:P$105&lt;&gt;"")*(G$3:G$105=G6)*(J$3:J$105&gt;J6))+1,IF(O6&lt;&gt;"",SUMPRODUCT((O$3:O$105&lt;&gt;"")*(P$3:P$105="")*(G$3:G$105=G6)*(J$3:J$105&gt;J6))+SUMPRODUCT((P$3:P$105&lt;&gt;"")*(G$3:G$105=G6))+1,IF(N6&lt;&gt;"",SUMPRODUCT((N$3:N$105&lt;&gt;"")*(G$3:G$105=G6)*(J$3:J$105&gt;J6))+1,IF(M6="P",SUMPRODUCT((O$3:O$105&lt;&gt;"")*(P$3:P$105="")*(G$3:G$105=G6))+SUMPRODUCT((P$3:P$105&lt;&gt;"")*(G$3:G$105=G6))+SUMPRODUCT((N$3:N$105&lt;&gt;"")*(G$3:G$105=G6))+SUMPRODUCT((P$3:P$105="")*(O$3:O$105="")*(N$3:N$105="")*(M$3:M$105="P")*(G$3:G$105=G6)*(J$3:J$105&gt;J6))+IF(H6="L5",SUMPRODUCT((P$3:P$105="")*(O$3:O$105="")*(N$3:N$105="")*(M$3:M$105="P")*(G$3:G$105=G6)*(J$3:J$105&lt;J6)*(H$3:H$105&lt;&gt;H6)),-1*SUMPRODUCT((P$3:P$105="")*(O$3:O$105="")*(N$3:N$105="")*(M$3:M$105="P")*(G$3:G$105=G6)*(J$3:J$105&gt;J6)*(H$3:H$105="L5")))+1,""))))</f>
        <v>5</v>
      </c>
      <c r="C6" s="36" t="s">
        <v>356</v>
      </c>
      <c r="D6" s="36" t="str">
        <f>IF(E6="","",VLOOKUP(E6,'Coaching Points'!A:B,2,0))</f>
        <v>AB</v>
      </c>
      <c r="E6" s="36" t="s">
        <v>63</v>
      </c>
      <c r="F6" s="35">
        <v>2005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68</v>
      </c>
      <c r="I6" s="43" t="s">
        <v>567</v>
      </c>
      <c r="J6" s="4">
        <f>R6+S6+IF(OR(H6="Junior",H6="Senior"),0.0002,IF(OR(H6="L7",H6="L6"),0.0001,0))+MAX(X6,Z6)*0.0000001</f>
        <v>94.500104730000004</v>
      </c>
      <c r="K6" s="3" t="str">
        <f>IF(G6="Not Age Eligible","",IF(MAX(T6,V6,X6,Z6)&gt;=LOOKUP(G6,'Qualifying Scores'!$A$4:$A$7,'Qualifying Scores'!$G$4:$G$7),"P",""))</f>
        <v>P</v>
      </c>
      <c r="L6" s="3" t="str">
        <f>IF(G6="Not Age Eligible","",IF(MAX(U6,W6,Y6,AA6)&gt;=LOOKUP(G6,'Qualifying Scores'!$A$10:$A$13,'Qualifying Scores'!$G$10:$G$13),"P",""))</f>
        <v>P</v>
      </c>
      <c r="M6" s="3" t="str">
        <f>IF(G6="Not Age Eligible","",IF(OR(AND(T6&gt;=LOOKUP(G6,'Qualifying Scores'!$A$4:$A$7,'Qualifying Scores'!$G$4:$G$7),U6&gt;=LOOKUP(G6,'Qualifying Scores'!$A$10:$A$13,'Qualifying Scores'!$G$10:$G$13)),AND(X6&gt;=LOOKUP(G6,'Qualifying Scores'!$A$4:$A$7,'Qualifying Scores'!$G$4:$G$7),Y6&gt;=LOOKUP(G6,'Qualifying Scores'!$A$10:$A$13,'Qualifying Scores'!$G$10:$G$13)),AND(V6&gt;=LOOKUP(G6,'Qualifying Scores'!$A$4:$A$7,'Qualifying Scores'!$G$4:$G$7),W6&gt;=LOOKUP(G6,'Qualifying Scores'!$A$10:$A$13,'Qualifying Scores'!$G$10:$G$13)),AND(Z6&gt;=LOOKUP(G6,'Qualifying Scores'!$A$4:$A$7,'Qualifying Scores'!$G$4:$G$7),AA6&gt;=LOOKUP(G6,'Qualifying Scores'!$A$10:$A$13,'Qualifying Scores'!$G$10:$G$13))),"P",""))</f>
        <v>P</v>
      </c>
      <c r="Q6" s="1">
        <f>IF(A6&lt;5,IF(_xlfn.MAXIFS(A:A,G:G,G6)&gt;3,5-A6,_xlfn.MAXIFS(A:A,G:G,G6)+1-A6),"")</f>
        <v>1</v>
      </c>
      <c r="R6" s="4">
        <f>MAX(T6,X6)</f>
        <v>47.2</v>
      </c>
      <c r="S6" s="4">
        <f>IF(R6=T6,MAX(V6,X6,Z6),IF(R6=X6,MAX(T6,V6,Z6),0))</f>
        <v>47.3</v>
      </c>
      <c r="T6" s="33">
        <v>47</v>
      </c>
      <c r="U6" s="40">
        <v>10.4</v>
      </c>
      <c r="V6" s="34">
        <v>46.1</v>
      </c>
      <c r="W6" s="40">
        <v>10.4</v>
      </c>
      <c r="X6" s="33">
        <v>47.2</v>
      </c>
      <c r="Y6" s="40">
        <v>11.6</v>
      </c>
      <c r="Z6" s="34">
        <v>47.3</v>
      </c>
      <c r="AA6" s="37">
        <v>11.6</v>
      </c>
    </row>
    <row r="7" spans="1:27" x14ac:dyDescent="0.2">
      <c r="A7" s="1" cm="1">
        <f t="array" ref="A7">IF(I7="","",IF(P7&lt;&gt;"",SUMPRODUCT((P$3:P$105&lt;&gt;"")*(G$3:G$105=G7)*(J$3:J$105&gt;J7)*(I$3:I$105="P"))+1,IF(O7&lt;&gt;"",SUMPRODUCT((O$3:O$105&lt;&gt;"")*(P$3:P$105="")*(G$3:G$105=G7)*(J$3:J$105&gt;J7)*(I$3:I$105="P"))+SUMPRODUCT((P$3:P$105&lt;&gt;"")*(G$3:G$105=G7)*(I$3:I$105="P"))+1,IF(N7&lt;&gt;"",SUMPRODUCT((N$3:N$105&lt;&gt;"")*(G$3:G$105=G7)*(J$3:J$105&gt;J7)*(I$3:I$105="P"))+1,IF(M7="P",SUMPRODUCT((O$3:O$105&lt;&gt;"")*(P$3:P$105="")*(G$3:G$105=G7)*(I$3:I$105="P"))+SUMPRODUCT((P$3:P$105&lt;&gt;"")*(G$3:G$105=G7)*(I$3:I$105="P"))+SUMPRODUCT((N$3:N$105&lt;&gt;"")*(G$3:G$105=G7)*(I$3:I$105="P"))+SUMPRODUCT((P$3:P$105="")*(O$3:O$105="")*(N$3:N$105="")*(M$3:M$105="P")*(G$3:G$105=G7)*(J$3:J$105&gt;J7)*(I$3:I$105="P"))+IF(H7="L5",SUMPRODUCT((P$3:P$105="")*(O$3:O$105="")*(N$3:N$105="")*(M$3:M$105="P")*(G$3:G$105=G7)*(J$3:J$105&lt;J7)*(H$3:H$105&lt;&gt;H7)*(I$3:I$105="P")),-1*SUMPRODUCT((P$3:P$105="")*(O$3:O$105="")*(N$3:N$105="")*(M$3:M$105="P")*(G$3:G$105=G7)*(J$3:J$105&gt;J7)*(H$3:H$105="L5")*(I$3:I$105="P")))+1,"")))))</f>
        <v>5</v>
      </c>
      <c r="B7" s="1" cm="1">
        <f t="array" ref="B7">IF(P7&lt;&gt;"",SUMPRODUCT((P$3:P$105&lt;&gt;"")*(G$3:G$105=G7)*(J$3:J$105&gt;J7))+1,IF(O7&lt;&gt;"",SUMPRODUCT((O$3:O$105&lt;&gt;"")*(P$3:P$105="")*(G$3:G$105=G7)*(J$3:J$105&gt;J7))+SUMPRODUCT((P$3:P$105&lt;&gt;"")*(G$3:G$105=G7))+1,IF(N7&lt;&gt;"",SUMPRODUCT((N$3:N$105&lt;&gt;"")*(G$3:G$105=G7)*(J$3:J$105&gt;J7))+1,IF(M7="P",SUMPRODUCT((O$3:O$105&lt;&gt;"")*(P$3:P$105="")*(G$3:G$105=G7))+SUMPRODUCT((P$3:P$105&lt;&gt;"")*(G$3:G$105=G7))+SUMPRODUCT((N$3:N$105&lt;&gt;"")*(G$3:G$105=G7))+SUMPRODUCT((P$3:P$105="")*(O$3:O$105="")*(N$3:N$105="")*(M$3:M$105="P")*(G$3:G$105=G7)*(J$3:J$105&gt;J7))+IF(H7="L5",SUMPRODUCT((P$3:P$105="")*(O$3:O$105="")*(N$3:N$105="")*(M$3:M$105="P")*(G$3:G$105=G7)*(J$3:J$105&lt;J7)*(H$3:H$105&lt;&gt;H7)),-1*SUMPRODUCT((P$3:P$105="")*(O$3:O$105="")*(N$3:N$105="")*(M$3:M$105="P")*(G$3:G$105=G7)*(J$3:J$105&gt;J7)*(H$3:H$105="L5")))+1,""))))</f>
        <v>6</v>
      </c>
      <c r="C7" s="36" t="s">
        <v>350</v>
      </c>
      <c r="D7" s="36" t="str">
        <f>IF(E7="","",VLOOKUP(E7,'Coaching Points'!A:B,2,0))</f>
        <v>BC</v>
      </c>
      <c r="E7" s="36" t="s">
        <v>41</v>
      </c>
      <c r="F7" s="35">
        <v>2005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68</v>
      </c>
      <c r="I7" s="43" t="s">
        <v>567</v>
      </c>
      <c r="J7" s="4">
        <f>R7+S7+IF(OR(H7="Junior",H7="Senior"),0.0002,IF(OR(H7="L7",H7="L6"),0.0001,0))+MAX(X7,Z7)*0.0000001</f>
        <v>92.400104660000011</v>
      </c>
      <c r="K7" s="3" t="str">
        <f>IF(G7="Not Age Eligible","",IF(MAX(T7,V7,X7,Z7)&gt;=LOOKUP(G7,'Qualifying Scores'!$A$4:$A$7,'Qualifying Scores'!$G$4:$G$7),"P",""))</f>
        <v>P</v>
      </c>
      <c r="L7" s="3" t="str">
        <f>IF(G7="Not Age Eligible","",IF(MAX(U7,W7,Y7,AA7)&gt;=LOOKUP(G7,'Qualifying Scores'!$A$10:$A$13,'Qualifying Scores'!$G$10:$G$13),"P",""))</f>
        <v>P</v>
      </c>
      <c r="M7" s="3" t="str">
        <f>IF(G7="Not Age Eligible","",IF(OR(AND(T7&gt;=LOOKUP(G7,'Qualifying Scores'!$A$4:$A$7,'Qualifying Scores'!$G$4:$G$7),U7&gt;=LOOKUP(G7,'Qualifying Scores'!$A$10:$A$13,'Qualifying Scores'!$G$10:$G$13)),AND(X7&gt;=LOOKUP(G7,'Qualifying Scores'!$A$4:$A$7,'Qualifying Scores'!$G$4:$G$7),Y7&gt;=LOOKUP(G7,'Qualifying Scores'!$A$10:$A$13,'Qualifying Scores'!$G$10:$G$13)),AND(V7&gt;=LOOKUP(G7,'Qualifying Scores'!$A$4:$A$7,'Qualifying Scores'!$G$4:$G$7),W7&gt;=LOOKUP(G7,'Qualifying Scores'!$A$10:$A$13,'Qualifying Scores'!$G$10:$G$13)),AND(Z7&gt;=LOOKUP(G7,'Qualifying Scores'!$A$4:$A$7,'Qualifying Scores'!$G$4:$G$7),AA7&gt;=LOOKUP(G7,'Qualifying Scores'!$A$10:$A$13,'Qualifying Scores'!$G$10:$G$13))),"P",""))</f>
        <v>P</v>
      </c>
      <c r="Q7" s="1" t="str">
        <f>IF(A7&lt;5,IF(_xlfn.MAXIFS(A:A,G:G,G7)&gt;3,5-A7,_xlfn.MAXIFS(A:A,G:G,G7)+1-A7),"")</f>
        <v/>
      </c>
      <c r="R7" s="4">
        <f>MAX(T7,X7)</f>
        <v>46.6</v>
      </c>
      <c r="S7" s="4">
        <f>IF(R7=T7,MAX(V7,X7,Z7),IF(R7=X7,MAX(T7,V7,Z7),0))</f>
        <v>45.8</v>
      </c>
      <c r="T7" s="33">
        <v>40.5</v>
      </c>
      <c r="U7" s="40">
        <v>5.1000000000000005</v>
      </c>
      <c r="V7" s="34"/>
      <c r="W7" s="40"/>
      <c r="X7" s="33">
        <v>46.6</v>
      </c>
      <c r="Y7" s="40">
        <v>10.4</v>
      </c>
      <c r="Z7" s="34">
        <v>45.8</v>
      </c>
      <c r="AA7" s="37">
        <v>10.8</v>
      </c>
    </row>
    <row r="8" spans="1:27" x14ac:dyDescent="0.2">
      <c r="A8" s="1" cm="1">
        <f t="array" ref="A8">IF(I8="","",IF(P8&lt;&gt;"",SUMPRODUCT((P$3:P$105&lt;&gt;"")*(G$3:G$105=G8)*(J$3:J$105&gt;J8)*(I$3:I$105="P"))+1,IF(O8&lt;&gt;"",SUMPRODUCT((O$3:O$105&lt;&gt;"")*(P$3:P$105="")*(G$3:G$105=G8)*(J$3:J$105&gt;J8)*(I$3:I$105="P"))+SUMPRODUCT((P$3:P$105&lt;&gt;"")*(G$3:G$105=G8)*(I$3:I$105="P"))+1,IF(N8&lt;&gt;"",SUMPRODUCT((N$3:N$105&lt;&gt;"")*(G$3:G$105=G8)*(J$3:J$105&gt;J8)*(I$3:I$105="P"))+1,IF(M8="P",SUMPRODUCT((O$3:O$105&lt;&gt;"")*(P$3:P$105="")*(G$3:G$105=G8)*(I$3:I$105="P"))+SUMPRODUCT((P$3:P$105&lt;&gt;"")*(G$3:G$105=G8)*(I$3:I$105="P"))+SUMPRODUCT((N$3:N$105&lt;&gt;"")*(G$3:G$105=G8)*(I$3:I$105="P"))+SUMPRODUCT((P$3:P$105="")*(O$3:O$105="")*(N$3:N$105="")*(M$3:M$105="P")*(G$3:G$105=G8)*(J$3:J$105&gt;J8)*(I$3:I$105="P"))+IF(H8="L5",SUMPRODUCT((P$3:P$105="")*(O$3:O$105="")*(N$3:N$105="")*(M$3:M$105="P")*(G$3:G$105=G8)*(J$3:J$105&lt;J8)*(H$3:H$105&lt;&gt;H8)*(I$3:I$105="P")),-1*SUMPRODUCT((P$3:P$105="")*(O$3:O$105="")*(N$3:N$105="")*(M$3:M$105="P")*(G$3:G$105=G8)*(J$3:J$105&gt;J8)*(H$3:H$105="L5")*(I$3:I$105="P")))+1,"")))))</f>
        <v>6</v>
      </c>
      <c r="B8" s="1" cm="1">
        <f t="array" ref="B8">IF(P8&lt;&gt;"",SUMPRODUCT((P$3:P$105&lt;&gt;"")*(G$3:G$105=G8)*(J$3:J$105&gt;J8))+1,IF(O8&lt;&gt;"",SUMPRODUCT((O$3:O$105&lt;&gt;"")*(P$3:P$105="")*(G$3:G$105=G8)*(J$3:J$105&gt;J8))+SUMPRODUCT((P$3:P$105&lt;&gt;"")*(G$3:G$105=G8))+1,IF(N8&lt;&gt;"",SUMPRODUCT((N$3:N$105&lt;&gt;"")*(G$3:G$105=G8)*(J$3:J$105&gt;J8))+1,IF(M8="P",SUMPRODUCT((O$3:O$105&lt;&gt;"")*(P$3:P$105="")*(G$3:G$105=G8))+SUMPRODUCT((P$3:P$105&lt;&gt;"")*(G$3:G$105=G8))+SUMPRODUCT((N$3:N$105&lt;&gt;"")*(G$3:G$105=G8))+SUMPRODUCT((P$3:P$105="")*(O$3:O$105="")*(N$3:N$105="")*(M$3:M$105="P")*(G$3:G$105=G8)*(J$3:J$105&gt;J8))+IF(H8="L5",SUMPRODUCT((P$3:P$105="")*(O$3:O$105="")*(N$3:N$105="")*(M$3:M$105="P")*(G$3:G$105=G8)*(J$3:J$105&lt;J8)*(H$3:H$105&lt;&gt;H8)),-1*SUMPRODUCT((P$3:P$105="")*(O$3:O$105="")*(N$3:N$105="")*(M$3:M$105="P")*(G$3:G$105=G8)*(J$3:J$105&gt;J8)*(H$3:H$105="L5")))+1,""))))</f>
        <v>7</v>
      </c>
      <c r="C8" s="36" t="s">
        <v>174</v>
      </c>
      <c r="D8" s="36" t="str">
        <f>IF(E8="","",VLOOKUP(E8,'Coaching Points'!A:B,2,0))</f>
        <v>AB</v>
      </c>
      <c r="E8" s="36" t="s">
        <v>58</v>
      </c>
      <c r="F8" s="35">
        <v>2006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74</v>
      </c>
      <c r="I8" s="43" t="s">
        <v>567</v>
      </c>
      <c r="J8" s="4">
        <f>R8+S8+IF(OR(H8="Junior",H8="Senior"),0.0002,IF(OR(H8="L7",H8="L6"),0.0001,0))+MAX(X8,Z8)*0.0000001</f>
        <v>91.600204660000003</v>
      </c>
      <c r="K8" s="3" t="str">
        <f>IF(G8="Not Age Eligible","",IF(MAX(T8,V8,X8,Z8)&gt;=LOOKUP(G8,'Qualifying Scores'!$A$4:$A$7,'Qualifying Scores'!$G$4:$G$7),"P",""))</f>
        <v>P</v>
      </c>
      <c r="L8" s="3" t="str">
        <f>IF(G8="Not Age Eligible","",IF(MAX(U8,W8,Y8,AA8)&gt;=LOOKUP(G8,'Qualifying Scores'!$A$10:$A$13,'Qualifying Scores'!$G$10:$G$13),"P",""))</f>
        <v>P</v>
      </c>
      <c r="M8" s="3" t="str">
        <f>IF(G8="Not Age Eligible","",IF(OR(AND(T8&gt;=LOOKUP(G8,'Qualifying Scores'!$A$4:$A$7,'Qualifying Scores'!$G$4:$G$7),U8&gt;=LOOKUP(G8,'Qualifying Scores'!$A$10:$A$13,'Qualifying Scores'!$G$10:$G$13)),AND(X8&gt;=LOOKUP(G8,'Qualifying Scores'!$A$4:$A$7,'Qualifying Scores'!$G$4:$G$7),Y8&gt;=LOOKUP(G8,'Qualifying Scores'!$A$10:$A$13,'Qualifying Scores'!$G$10:$G$13)),AND(V8&gt;=LOOKUP(G8,'Qualifying Scores'!$A$4:$A$7,'Qualifying Scores'!$G$4:$G$7),W8&gt;=LOOKUP(G8,'Qualifying Scores'!$A$10:$A$13,'Qualifying Scores'!$G$10:$G$13)),AND(Z8&gt;=LOOKUP(G8,'Qualifying Scores'!$A$4:$A$7,'Qualifying Scores'!$G$4:$G$7),AA8&gt;=LOOKUP(G8,'Qualifying Scores'!$A$10:$A$13,'Qualifying Scores'!$G$10:$G$13))),"P",""))</f>
        <v>P</v>
      </c>
      <c r="Q8" s="1" t="str">
        <f>IF(A8&lt;5,IF(_xlfn.MAXIFS(A:A,G:G,G8)&gt;3,5-A8,_xlfn.MAXIFS(A:A,G:G,G8)+1-A8),"")</f>
        <v/>
      </c>
      <c r="R8" s="4">
        <f>MAX(T8,X8)</f>
        <v>46.6</v>
      </c>
      <c r="S8" s="4">
        <f>IF(R8=T8,MAX(V8,X8,Z8),IF(R8=X8,MAX(T8,V8,Z8),0))</f>
        <v>45</v>
      </c>
      <c r="T8" s="33"/>
      <c r="U8" s="40"/>
      <c r="V8" s="34"/>
      <c r="W8" s="40"/>
      <c r="X8" s="33">
        <v>46.6</v>
      </c>
      <c r="Y8" s="40">
        <v>11.6</v>
      </c>
      <c r="Z8" s="34">
        <v>45</v>
      </c>
      <c r="AA8" s="37">
        <v>10</v>
      </c>
    </row>
    <row r="9" spans="1:27" x14ac:dyDescent="0.2">
      <c r="A9" s="1" t="str" cm="1">
        <f t="array" ref="A9">IF(I9="","",IF(P9&lt;&gt;"",SUMPRODUCT((P$3:P$105&lt;&gt;"")*(G$3:G$105=G9)*(J$3:J$105&gt;J9)*(I$3:I$105="P"))+1,IF(O9&lt;&gt;"",SUMPRODUCT((O$3:O$105&lt;&gt;"")*(P$3:P$105="")*(G$3:G$105=G9)*(J$3:J$105&gt;J9)*(I$3:I$105="P"))+SUMPRODUCT((P$3:P$105&lt;&gt;"")*(G$3:G$105=G9)*(I$3:I$105="P"))+1,IF(N9&lt;&gt;"",SUMPRODUCT((N$3:N$105&lt;&gt;"")*(G$3:G$105=G9)*(J$3:J$105&gt;J9)*(I$3:I$105="P"))+1,IF(M9="P",SUMPRODUCT((O$3:O$105&lt;&gt;"")*(P$3:P$105="")*(G$3:G$105=G9)*(I$3:I$105="P"))+SUMPRODUCT((P$3:P$105&lt;&gt;"")*(G$3:G$105=G9)*(I$3:I$105="P"))+SUMPRODUCT((N$3:N$105&lt;&gt;"")*(G$3:G$105=G9)*(I$3:I$105="P"))+SUMPRODUCT((P$3:P$105="")*(O$3:O$105="")*(N$3:N$105="")*(M$3:M$105="P")*(G$3:G$105=G9)*(J$3:J$105&gt;J9)*(I$3:I$105="P"))+IF(H9="L5",SUMPRODUCT((P$3:P$105="")*(O$3:O$105="")*(N$3:N$105="")*(M$3:M$105="P")*(G$3:G$105=G9)*(J$3:J$105&lt;J9)*(H$3:H$105&lt;&gt;H9)*(I$3:I$105="P")),-1*SUMPRODUCT((P$3:P$105="")*(O$3:O$105="")*(N$3:N$105="")*(M$3:M$105="P")*(G$3:G$105=G9)*(J$3:J$105&gt;J9)*(H$3:H$105="L5")*(I$3:I$105="P")))+1,"")))))</f>
        <v/>
      </c>
      <c r="B9" s="1" cm="1">
        <f t="array" ref="B9">IF(P9&lt;&gt;"",SUMPRODUCT((P$3:P$105&lt;&gt;"")*(G$3:G$105=G9)*(J$3:J$105&gt;J9))+1,IF(O9&lt;&gt;"",SUMPRODUCT((O$3:O$105&lt;&gt;"")*(P$3:P$105="")*(G$3:G$105=G9)*(J$3:J$105&gt;J9))+SUMPRODUCT((P$3:P$105&lt;&gt;"")*(G$3:G$105=G9))+1,IF(N9&lt;&gt;"",SUMPRODUCT((N$3:N$105&lt;&gt;"")*(G$3:G$105=G9)*(J$3:J$105&gt;J9))+1,IF(M9="P",SUMPRODUCT((O$3:O$105&lt;&gt;"")*(P$3:P$105="")*(G$3:G$105=G9))+SUMPRODUCT((P$3:P$105&lt;&gt;"")*(G$3:G$105=G9))+SUMPRODUCT((N$3:N$105&lt;&gt;"")*(G$3:G$105=G9))+SUMPRODUCT((P$3:P$105="")*(O$3:O$105="")*(N$3:N$105="")*(M$3:M$105="P")*(G$3:G$105=G9)*(J$3:J$105&gt;J9))+IF(H9="L5",SUMPRODUCT((P$3:P$105="")*(O$3:O$105="")*(N$3:N$105="")*(M$3:M$105="P")*(G$3:G$105=G9)*(J$3:J$105&lt;J9)*(H$3:H$105&lt;&gt;H9)),-1*SUMPRODUCT((P$3:P$105="")*(O$3:O$105="")*(N$3:N$105="")*(M$3:M$105="P")*(G$3:G$105=G9)*(J$3:J$105&gt;J9)*(H$3:H$105="L5")))+1,""))))</f>
        <v>1</v>
      </c>
      <c r="C9" s="36" t="s">
        <v>358</v>
      </c>
      <c r="D9" s="36" t="str">
        <f>IF(E9="","",VLOOKUP(E9,'Coaching Points'!A:B,2,0))</f>
        <v>SK</v>
      </c>
      <c r="E9" s="36" t="s">
        <v>45</v>
      </c>
      <c r="F9" s="35">
        <v>2002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74</v>
      </c>
      <c r="I9" s="43"/>
      <c r="J9" s="4">
        <f>R9+S9+IF(OR(H9="Junior",H9="Senior"),0.0002,IF(OR(H9="L7",H9="L6"),0.0001,0))+MAX(X9,Z9)*0.0000001</f>
        <v>100.50020486000001</v>
      </c>
      <c r="K9" s="3" t="str">
        <f>IF(G9="Not Age Eligible","",IF(MAX(T9,V9,X9,Z9)&gt;=LOOKUP(G9,'Qualifying Scores'!$A$4:$A$7,'Qualifying Scores'!$G$4:$G$7),"P",""))</f>
        <v>P</v>
      </c>
      <c r="L9" s="3" t="str">
        <f>IF(G9="Not Age Eligible","",IF(MAX(U9,W9,Y9,AA9)&gt;=LOOKUP(G9,'Qualifying Scores'!$A$10:$A$13,'Qualifying Scores'!$G$10:$G$13),"P",""))</f>
        <v>P</v>
      </c>
      <c r="M9" s="3" t="str">
        <f>IF(G9="Not Age Eligible","",IF(OR(AND(T9&gt;=LOOKUP(G9,'Qualifying Scores'!$A$4:$A$7,'Qualifying Scores'!$G$4:$G$7),U9&gt;=LOOKUP(G9,'Qualifying Scores'!$A$10:$A$13,'Qualifying Scores'!$G$10:$G$13)),AND(X9&gt;=LOOKUP(G9,'Qualifying Scores'!$A$4:$A$7,'Qualifying Scores'!$G$4:$G$7),Y9&gt;=LOOKUP(G9,'Qualifying Scores'!$A$10:$A$13,'Qualifying Scores'!$G$10:$G$13)),AND(V9&gt;=LOOKUP(G9,'Qualifying Scores'!$A$4:$A$7,'Qualifying Scores'!$G$4:$G$7),W9&gt;=LOOKUP(G9,'Qualifying Scores'!$A$10:$A$13,'Qualifying Scores'!$G$10:$G$13)),AND(Z9&gt;=LOOKUP(G9,'Qualifying Scores'!$A$4:$A$7,'Qualifying Scores'!$G$4:$G$7),AA9&gt;=LOOKUP(G9,'Qualifying Scores'!$A$10:$A$13,'Qualifying Scores'!$G$10:$G$13))),"P",""))</f>
        <v>P</v>
      </c>
      <c r="O9" s="39">
        <v>1</v>
      </c>
      <c r="P9" s="39">
        <v>2</v>
      </c>
      <c r="Q9" s="1" t="str">
        <f>IF(A9&lt;5,IF(_xlfn.MAXIFS(A:A,G:G,G9)&gt;3,5-A9,_xlfn.MAXIFS(A:A,G:G,G9)+1-A9),"")</f>
        <v/>
      </c>
      <c r="R9" s="4">
        <f>MAX(T9,X9)</f>
        <v>50.5</v>
      </c>
      <c r="S9" s="4">
        <f>IF(R9=T9,MAX(V9,X9,Z9),IF(R9=X9,MAX(T9,V9,Z9),0))</f>
        <v>50</v>
      </c>
      <c r="T9" s="33">
        <v>50.5</v>
      </c>
      <c r="U9" s="40">
        <v>13.2</v>
      </c>
      <c r="V9" s="34">
        <v>50</v>
      </c>
      <c r="W9" s="40">
        <v>13.2</v>
      </c>
      <c r="X9" s="33">
        <v>48.2</v>
      </c>
      <c r="Y9" s="40">
        <v>11.6</v>
      </c>
      <c r="Z9" s="34">
        <v>48.6</v>
      </c>
      <c r="AA9" s="37">
        <v>11.6</v>
      </c>
    </row>
    <row r="10" spans="1:27" x14ac:dyDescent="0.2">
      <c r="A10" s="1" t="str" cm="1">
        <f t="array" ref="A10">IF(I10="","",IF(P10&lt;&gt;"",SUMPRODUCT((P$3:P$105&lt;&gt;"")*(G$3:G$105=G10)*(J$3:J$105&gt;J10)*(I$3:I$105="P"))+1,IF(O10&lt;&gt;"",SUMPRODUCT((O$3:O$105&lt;&gt;"")*(P$3:P$105="")*(G$3:G$105=G10)*(J$3:J$105&gt;J10)*(I$3:I$105="P"))+SUMPRODUCT((P$3:P$105&lt;&gt;"")*(G$3:G$105=G10)*(I$3:I$105="P"))+1,IF(N10&lt;&gt;"",SUMPRODUCT((N$3:N$105&lt;&gt;"")*(G$3:G$105=G10)*(J$3:J$105&gt;J10)*(I$3:I$105="P"))+1,IF(M10="P",SUMPRODUCT((O$3:O$105&lt;&gt;"")*(P$3:P$105="")*(G$3:G$105=G10)*(I$3:I$105="P"))+SUMPRODUCT((P$3:P$105&lt;&gt;"")*(G$3:G$105=G10)*(I$3:I$105="P"))+SUMPRODUCT((N$3:N$105&lt;&gt;"")*(G$3:G$105=G10)*(I$3:I$105="P"))+SUMPRODUCT((P$3:P$105="")*(O$3:O$105="")*(N$3:N$105="")*(M$3:M$105="P")*(G$3:G$105=G10)*(J$3:J$105&gt;J10)*(I$3:I$105="P"))+IF(H10="L5",SUMPRODUCT((P$3:P$105="")*(O$3:O$105="")*(N$3:N$105="")*(M$3:M$105="P")*(G$3:G$105=G10)*(J$3:J$105&lt;J10)*(H$3:H$105&lt;&gt;H10)*(I$3:I$105="P")),-1*SUMPRODUCT((P$3:P$105="")*(O$3:O$105="")*(N$3:N$105="")*(M$3:M$105="P")*(G$3:G$105=G10)*(J$3:J$105&gt;J10)*(H$3:H$105="L5")*(I$3:I$105="P")))+1,"")))))</f>
        <v/>
      </c>
      <c r="B10" s="1" t="str" cm="1">
        <f t="array" ref="B10">IF(P10&lt;&gt;"",SUMPRODUCT((P$3:P$105&lt;&gt;"")*(G$3:G$105=G10)*(J$3:J$105&gt;J10))+1,IF(O10&lt;&gt;"",SUMPRODUCT((O$3:O$105&lt;&gt;"")*(P$3:P$105="")*(G$3:G$105=G10)*(J$3:J$105&gt;J10))+SUMPRODUCT((P$3:P$105&lt;&gt;"")*(G$3:G$105=G10))+1,IF(N10&lt;&gt;"",SUMPRODUCT((N$3:N$105&lt;&gt;"")*(G$3:G$105=G10)*(J$3:J$105&gt;J10))+1,IF(M10="P",SUMPRODUCT((O$3:O$105&lt;&gt;"")*(P$3:P$105="")*(G$3:G$105=G10))+SUMPRODUCT((P$3:P$105&lt;&gt;"")*(G$3:G$105=G10))+SUMPRODUCT((N$3:N$105&lt;&gt;"")*(G$3:G$105=G10))+SUMPRODUCT((P$3:P$105="")*(O$3:O$105="")*(N$3:N$105="")*(M$3:M$105="P")*(G$3:G$105=G10)*(J$3:J$105&gt;J10))+IF(H10="L5",SUMPRODUCT((P$3:P$105="")*(O$3:O$105="")*(N$3:N$105="")*(M$3:M$105="P")*(G$3:G$105=G10)*(J$3:J$105&lt;J10)*(H$3:H$105&lt;&gt;H10)),-1*SUMPRODUCT((P$3:P$105="")*(O$3:O$105="")*(N$3:N$105="")*(M$3:M$105="P")*(G$3:G$105=G10)*(J$3:J$105&gt;J10)*(H$3:H$105="L5")))+1,""))))</f>
        <v/>
      </c>
      <c r="C10" s="36" t="s">
        <v>155</v>
      </c>
      <c r="D10" s="36" t="str">
        <f>IF(E10="","",VLOOKUP(E10,'Coaching Points'!A:B,2,0))</f>
        <v>AB</v>
      </c>
      <c r="E10" s="36" t="s">
        <v>29</v>
      </c>
      <c r="F10" s="35">
        <v>2005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68</v>
      </c>
      <c r="I10" s="43"/>
      <c r="J10" s="4">
        <f>R10+S10+IF(OR(H10="Junior",H10="Senior"),0.0002,IF(OR(H10="L7",H10="L6"),0.0001,0))+MAX(X10,Z10)*0.0000001</f>
        <v>89.900104510000006</v>
      </c>
      <c r="K10" s="3" t="str">
        <f>IF(G10="Not Age Eligible","",IF(MAX(T10,V10,X10,Z10)&gt;=LOOKUP(G10,'Qualifying Scores'!$A$4:$A$7,'Qualifying Scores'!$G$4:$G$7),"P",""))</f>
        <v/>
      </c>
      <c r="L10" s="3" t="str">
        <f>IF(G10="Not Age Eligible","",IF(MAX(U10,W10,Y10,AA10)&gt;=LOOKUP(G10,'Qualifying Scores'!$A$10:$A$13,'Qualifying Scores'!$G$10:$G$13),"P",""))</f>
        <v/>
      </c>
      <c r="M10" s="3" t="str">
        <f>IF(G10="Not Age Eligible","",IF(OR(AND(T10&gt;=LOOKUP(G10,'Qualifying Scores'!$A$4:$A$7,'Qualifying Scores'!$G$4:$G$7),U10&gt;=LOOKUP(G10,'Qualifying Scores'!$A$10:$A$13,'Qualifying Scores'!$G$10:$G$13)),AND(X10&gt;=LOOKUP(G10,'Qualifying Scores'!$A$4:$A$7,'Qualifying Scores'!$G$4:$G$7),Y10&gt;=LOOKUP(G10,'Qualifying Scores'!$A$10:$A$13,'Qualifying Scores'!$G$10:$G$13)),AND(V10&gt;=LOOKUP(G10,'Qualifying Scores'!$A$4:$A$7,'Qualifying Scores'!$G$4:$G$7),W10&gt;=LOOKUP(G10,'Qualifying Scores'!$A$10:$A$13,'Qualifying Scores'!$G$10:$G$13)),AND(Z10&gt;=LOOKUP(G10,'Qualifying Scores'!$A$4:$A$7,'Qualifying Scores'!$G$4:$G$7),AA10&gt;=LOOKUP(G10,'Qualifying Scores'!$A$10:$A$13,'Qualifying Scores'!$G$10:$G$13))),"P",""))</f>
        <v/>
      </c>
      <c r="Q10" s="1" t="str">
        <f>IF(A10&lt;5,IF(_xlfn.MAXIFS(A:A,G:G,G10)&gt;3,5-A10,_xlfn.MAXIFS(A:A,G:G,G10)+1-A10),"")</f>
        <v/>
      </c>
      <c r="R10" s="4">
        <f>MAX(T10,X10)</f>
        <v>45.1</v>
      </c>
      <c r="S10" s="4">
        <f>IF(R10=T10,MAX(V10,X10,Z10),IF(R10=X10,MAX(T10,V10,Z10),0))</f>
        <v>44.8</v>
      </c>
      <c r="T10" s="33">
        <v>44.7</v>
      </c>
      <c r="U10" s="40">
        <v>8.3000000000000007</v>
      </c>
      <c r="V10" s="34">
        <v>44.8</v>
      </c>
      <c r="W10" s="40">
        <v>8.3000000000000007</v>
      </c>
      <c r="X10" s="33">
        <v>45.1</v>
      </c>
      <c r="Y10" s="40">
        <v>7.1</v>
      </c>
      <c r="Z10" s="34"/>
      <c r="AA10" s="37"/>
    </row>
    <row r="11" spans="1:27" x14ac:dyDescent="0.2">
      <c r="A11" s="1" t="str" cm="1">
        <f t="array" ref="A11">IF(I11="","",IF(P11&lt;&gt;"",SUMPRODUCT((P$3:P$105&lt;&gt;"")*(G$3:G$105=G11)*(J$3:J$105&gt;J11)*(I$3:I$105="P"))+1,IF(O11&lt;&gt;"",SUMPRODUCT((O$3:O$105&lt;&gt;"")*(P$3:P$105="")*(G$3:G$105=G11)*(J$3:J$105&gt;J11)*(I$3:I$105="P"))+SUMPRODUCT((P$3:P$105&lt;&gt;"")*(G$3:G$105=G11)*(I$3:I$105="P"))+1,IF(N11&lt;&gt;"",SUMPRODUCT((N$3:N$105&lt;&gt;"")*(G$3:G$105=G11)*(J$3:J$105&gt;J11)*(I$3:I$105="P"))+1,IF(M11="P",SUMPRODUCT((O$3:O$105&lt;&gt;"")*(P$3:P$105="")*(G$3:G$105=G11)*(I$3:I$105="P"))+SUMPRODUCT((P$3:P$105&lt;&gt;"")*(G$3:G$105=G11)*(I$3:I$105="P"))+SUMPRODUCT((N$3:N$105&lt;&gt;"")*(G$3:G$105=G11)*(I$3:I$105="P"))+SUMPRODUCT((P$3:P$105="")*(O$3:O$105="")*(N$3:N$105="")*(M$3:M$105="P")*(G$3:G$105=G11)*(J$3:J$105&gt;J11)*(I$3:I$105="P"))+IF(H11="L5",SUMPRODUCT((P$3:P$105="")*(O$3:O$105="")*(N$3:N$105="")*(M$3:M$105="P")*(G$3:G$105=G11)*(J$3:J$105&lt;J11)*(H$3:H$105&lt;&gt;H11)*(I$3:I$105="P")),-1*SUMPRODUCT((P$3:P$105="")*(O$3:O$105="")*(N$3:N$105="")*(M$3:M$105="P")*(G$3:G$105=G11)*(J$3:J$105&gt;J11)*(H$3:H$105="L5")*(I$3:I$105="P")))+1,"")))))</f>
        <v/>
      </c>
      <c r="B11" s="1" t="str" cm="1">
        <f t="array" ref="B11">IF(P11&lt;&gt;"",SUMPRODUCT((P$3:P$105&lt;&gt;"")*(G$3:G$105=G11)*(J$3:J$105&gt;J11))+1,IF(O11&lt;&gt;"",SUMPRODUCT((O$3:O$105&lt;&gt;"")*(P$3:P$105="")*(G$3:G$105=G11)*(J$3:J$105&gt;J11))+SUMPRODUCT((P$3:P$105&lt;&gt;"")*(G$3:G$105=G11))+1,IF(N11&lt;&gt;"",SUMPRODUCT((N$3:N$105&lt;&gt;"")*(G$3:G$105=G11)*(J$3:J$105&gt;J11))+1,IF(M11="P",SUMPRODUCT((O$3:O$105&lt;&gt;"")*(P$3:P$105="")*(G$3:G$105=G11))+SUMPRODUCT((P$3:P$105&lt;&gt;"")*(G$3:G$105=G11))+SUMPRODUCT((N$3:N$105&lt;&gt;"")*(G$3:G$105=G11))+SUMPRODUCT((P$3:P$105="")*(O$3:O$105="")*(N$3:N$105="")*(M$3:M$105="P")*(G$3:G$105=G11)*(J$3:J$105&gt;J11))+IF(H11="L5",SUMPRODUCT((P$3:P$105="")*(O$3:O$105="")*(N$3:N$105="")*(M$3:M$105="P")*(G$3:G$105=G11)*(J$3:J$105&lt;J11)*(H$3:H$105&lt;&gt;H11)),-1*SUMPRODUCT((P$3:P$105="")*(O$3:O$105="")*(N$3:N$105="")*(M$3:M$105="P")*(G$3:G$105=G11)*(J$3:J$105&gt;J11)*(H$3:H$105="L5")))+1,""))))</f>
        <v/>
      </c>
      <c r="C11" s="36" t="s">
        <v>147</v>
      </c>
      <c r="D11" s="36" t="str">
        <f>IF(E11="","",VLOOKUP(E11,'Coaching Points'!A:B,2,0))</f>
        <v>SK</v>
      </c>
      <c r="E11" s="36" t="s">
        <v>45</v>
      </c>
      <c r="F11" s="35">
        <v>2003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68</v>
      </c>
      <c r="I11" s="43" t="s">
        <v>567</v>
      </c>
      <c r="J11" s="4">
        <f>R11+S11+IF(OR(H11="Junior",H11="Senior"),0.0002,IF(OR(H11="L7",H11="L6"),0.0001,0))+MAX(X11,Z11)*0.0000001</f>
        <v>89.900104000000013</v>
      </c>
      <c r="K11" s="3" t="str">
        <f>IF(G11="Not Age Eligible","",IF(MAX(T11,V11,X11,Z11)&gt;=LOOKUP(G11,'Qualifying Scores'!$A$4:$A$7,'Qualifying Scores'!$G$4:$G$7),"P",""))</f>
        <v/>
      </c>
      <c r="L11" s="3" t="str">
        <f>IF(G11="Not Age Eligible","",IF(MAX(U11,W11,Y11,AA11)&gt;=LOOKUP(G11,'Qualifying Scores'!$A$10:$A$13,'Qualifying Scores'!$G$10:$G$13),"P",""))</f>
        <v>P</v>
      </c>
      <c r="M11" s="3" t="str">
        <f>IF(G11="Not Age Eligible","",IF(OR(AND(T11&gt;=LOOKUP(G11,'Qualifying Scores'!$A$4:$A$7,'Qualifying Scores'!$G$4:$G$7),U11&gt;=LOOKUP(G11,'Qualifying Scores'!$A$10:$A$13,'Qualifying Scores'!$G$10:$G$13)),AND(X11&gt;=LOOKUP(G11,'Qualifying Scores'!$A$4:$A$7,'Qualifying Scores'!$G$4:$G$7),Y11&gt;=LOOKUP(G11,'Qualifying Scores'!$A$10:$A$13,'Qualifying Scores'!$G$10:$G$13)),AND(V11&gt;=LOOKUP(G11,'Qualifying Scores'!$A$4:$A$7,'Qualifying Scores'!$G$4:$G$7),W11&gt;=LOOKUP(G11,'Qualifying Scores'!$A$10:$A$13,'Qualifying Scores'!$G$10:$G$13)),AND(Z11&gt;=LOOKUP(G11,'Qualifying Scores'!$A$4:$A$7,'Qualifying Scores'!$G$4:$G$7),AA11&gt;=LOOKUP(G11,'Qualifying Scores'!$A$10:$A$13,'Qualifying Scores'!$G$10:$G$13))),"P",""))</f>
        <v/>
      </c>
      <c r="Q11" s="1" t="str">
        <f>IF(A11&lt;5,IF(_xlfn.MAXIFS(A:A,G:G,G11)&gt;3,5-A11,_xlfn.MAXIFS(A:A,G:G,G11)+1-A11),"")</f>
        <v/>
      </c>
      <c r="R11" s="4">
        <f>MAX(T11,X11)</f>
        <v>45.3</v>
      </c>
      <c r="S11" s="4">
        <f>IF(R11=T11,MAX(V11,X11,Z11),IF(R11=X11,MAX(T11,V11,Z11),0))</f>
        <v>44.6</v>
      </c>
      <c r="T11" s="33">
        <v>45.3</v>
      </c>
      <c r="U11" s="40">
        <v>10.4</v>
      </c>
      <c r="V11" s="34">
        <v>44.6</v>
      </c>
      <c r="W11" s="40">
        <v>10.4</v>
      </c>
      <c r="X11" s="33">
        <v>40</v>
      </c>
      <c r="Y11" s="40">
        <v>5.1999999999999993</v>
      </c>
      <c r="Z11" s="34"/>
      <c r="AA11" s="37"/>
    </row>
    <row r="12" spans="1:27" x14ac:dyDescent="0.2">
      <c r="A12" s="1" t="str" cm="1">
        <f t="array" ref="A12">IF(I12="","",IF(P12&lt;&gt;"",SUMPRODUCT((P$3:P$105&lt;&gt;"")*(G$3:G$105=G12)*(J$3:J$105&gt;J12)*(I$3:I$105="P"))+1,IF(O12&lt;&gt;"",SUMPRODUCT((O$3:O$105&lt;&gt;"")*(P$3:P$105="")*(G$3:G$105=G12)*(J$3:J$105&gt;J12)*(I$3:I$105="P"))+SUMPRODUCT((P$3:P$105&lt;&gt;"")*(G$3:G$105=G12)*(I$3:I$105="P"))+1,IF(N12&lt;&gt;"",SUMPRODUCT((N$3:N$105&lt;&gt;"")*(G$3:G$105=G12)*(J$3:J$105&gt;J12)*(I$3:I$105="P"))+1,IF(M12="P",SUMPRODUCT((O$3:O$105&lt;&gt;"")*(P$3:P$105="")*(G$3:G$105=G12)*(I$3:I$105="P"))+SUMPRODUCT((P$3:P$105&lt;&gt;"")*(G$3:G$105=G12)*(I$3:I$105="P"))+SUMPRODUCT((N$3:N$105&lt;&gt;"")*(G$3:G$105=G12)*(I$3:I$105="P"))+SUMPRODUCT((P$3:P$105="")*(O$3:O$105="")*(N$3:N$105="")*(M$3:M$105="P")*(G$3:G$105=G12)*(J$3:J$105&gt;J12)*(I$3:I$105="P"))+IF(H12="L5",SUMPRODUCT((P$3:P$105="")*(O$3:O$105="")*(N$3:N$105="")*(M$3:M$105="P")*(G$3:G$105=G12)*(J$3:J$105&lt;J12)*(H$3:H$105&lt;&gt;H12)*(I$3:I$105="P")),-1*SUMPRODUCT((P$3:P$105="")*(O$3:O$105="")*(N$3:N$105="")*(M$3:M$105="P")*(G$3:G$105=G12)*(J$3:J$105&gt;J12)*(H$3:H$105="L5")*(I$3:I$105="P")))+1,"")))))</f>
        <v/>
      </c>
      <c r="B12" s="1" t="str" cm="1">
        <f t="array" ref="B12">IF(P12&lt;&gt;"",SUMPRODUCT((P$3:P$105&lt;&gt;"")*(G$3:G$105=G12)*(J$3:J$105&gt;J12))+1,IF(O12&lt;&gt;"",SUMPRODUCT((O$3:O$105&lt;&gt;"")*(P$3:P$105="")*(G$3:G$105=G12)*(J$3:J$105&gt;J12))+SUMPRODUCT((P$3:P$105&lt;&gt;"")*(G$3:G$105=G12))+1,IF(N12&lt;&gt;"",SUMPRODUCT((N$3:N$105&lt;&gt;"")*(G$3:G$105=G12)*(J$3:J$105&gt;J12))+1,IF(M12="P",SUMPRODUCT((O$3:O$105&lt;&gt;"")*(P$3:P$105="")*(G$3:G$105=G12))+SUMPRODUCT((P$3:P$105&lt;&gt;"")*(G$3:G$105=G12))+SUMPRODUCT((N$3:N$105&lt;&gt;"")*(G$3:G$105=G12))+SUMPRODUCT((P$3:P$105="")*(O$3:O$105="")*(N$3:N$105="")*(M$3:M$105="P")*(G$3:G$105=G12)*(J$3:J$105&gt;J12))+IF(H12="L5",SUMPRODUCT((P$3:P$105="")*(O$3:O$105="")*(N$3:N$105="")*(M$3:M$105="P")*(G$3:G$105=G12)*(J$3:J$105&lt;J12)*(H$3:H$105&lt;&gt;H12)),-1*SUMPRODUCT((P$3:P$105="")*(O$3:O$105="")*(N$3:N$105="")*(M$3:M$105="P")*(G$3:G$105=G12)*(J$3:J$105&gt;J12)*(H$3:H$105="L5")))+1,""))))</f>
        <v/>
      </c>
      <c r="C12" s="36" t="s">
        <v>126</v>
      </c>
      <c r="D12" s="36" t="str">
        <f>IF(E12="","",VLOOKUP(E12,'Coaching Points'!A:B,2,0))</f>
        <v>SK</v>
      </c>
      <c r="E12" s="36" t="s">
        <v>45</v>
      </c>
      <c r="F12" s="35">
        <v>2006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/>
      <c r="J12" s="4">
        <f>R12+S12+IF(OR(H12="Junior",H12="Senior"),0.0002,IF(OR(H12="L7",H12="L6"),0.0001,0))+MAX(X12,Z12)*0.0000001</f>
        <v>89.100104489999993</v>
      </c>
      <c r="K12" s="3" t="str">
        <f>IF(G12="Not Age Eligible","",IF(MAX(T12,V12,X12,Z12)&gt;=LOOKUP(G12,'Qualifying Scores'!$A$4:$A$7,'Qualifying Scores'!$G$4:$G$7),"P",""))</f>
        <v/>
      </c>
      <c r="L12" s="3" t="str">
        <f>IF(G12="Not Age Eligible","",IF(MAX(U12,W12,Y12,AA12)&gt;=LOOKUP(G12,'Qualifying Scores'!$A$10:$A$13,'Qualifying Scores'!$G$10:$G$13),"P",""))</f>
        <v/>
      </c>
      <c r="M12" s="3" t="str">
        <f>IF(G12="Not Age Eligible","",IF(OR(AND(T12&gt;=LOOKUP(G12,'Qualifying Scores'!$A$4:$A$7,'Qualifying Scores'!$G$4:$G$7),U12&gt;=LOOKUP(G12,'Qualifying Scores'!$A$10:$A$13,'Qualifying Scores'!$G$10:$G$13)),AND(X12&gt;=LOOKUP(G12,'Qualifying Scores'!$A$4:$A$7,'Qualifying Scores'!$G$4:$G$7),Y12&gt;=LOOKUP(G12,'Qualifying Scores'!$A$10:$A$13,'Qualifying Scores'!$G$10:$G$13)),AND(V12&gt;=LOOKUP(G12,'Qualifying Scores'!$A$4:$A$7,'Qualifying Scores'!$G$4:$G$7),W12&gt;=LOOKUP(G12,'Qualifying Scores'!$A$10:$A$13,'Qualifying Scores'!$G$10:$G$13)),AND(Z12&gt;=LOOKUP(G12,'Qualifying Scores'!$A$4:$A$7,'Qualifying Scores'!$G$4:$G$7),AA12&gt;=LOOKUP(G12,'Qualifying Scores'!$A$10:$A$13,'Qualifying Scores'!$G$10:$G$13))),"P",""))</f>
        <v/>
      </c>
      <c r="Q12" s="1" t="str">
        <f>IF(A12&lt;5,IF(_xlfn.MAXIFS(A:A,G:G,G12)&gt;3,5-A12,_xlfn.MAXIFS(A:A,G:G,G12)+1-A12),"")</f>
        <v/>
      </c>
      <c r="R12" s="4">
        <f>MAX(T12,X12)</f>
        <v>44.2</v>
      </c>
      <c r="S12" s="4">
        <f>IF(R12=T12,MAX(V12,X12,Z12),IF(R12=X12,MAX(T12,V12,Z12),0))</f>
        <v>44.9</v>
      </c>
      <c r="T12" s="33">
        <v>43.3</v>
      </c>
      <c r="U12" s="40">
        <v>7.1</v>
      </c>
      <c r="V12" s="34">
        <v>44.3</v>
      </c>
      <c r="W12" s="40">
        <v>7.1</v>
      </c>
      <c r="X12" s="33">
        <v>44.2</v>
      </c>
      <c r="Y12" s="40">
        <v>7.1</v>
      </c>
      <c r="Z12" s="34">
        <v>44.9</v>
      </c>
      <c r="AA12" s="37">
        <v>7.2</v>
      </c>
    </row>
    <row r="13" spans="1:27" x14ac:dyDescent="0.2">
      <c r="A13" s="1" t="str" cm="1">
        <f t="array" ref="A13">IF(I13="","",IF(P13&lt;&gt;"",SUMPRODUCT((P$3:P$105&lt;&gt;"")*(G$3:G$105=G13)*(J$3:J$105&gt;J13)*(I$3:I$105="P"))+1,IF(O13&lt;&gt;"",SUMPRODUCT((O$3:O$105&lt;&gt;"")*(P$3:P$105="")*(G$3:G$105=G13)*(J$3:J$105&gt;J13)*(I$3:I$105="P"))+SUMPRODUCT((P$3:P$105&lt;&gt;"")*(G$3:G$105=G13)*(I$3:I$105="P"))+1,IF(N13&lt;&gt;"",SUMPRODUCT((N$3:N$105&lt;&gt;"")*(G$3:G$105=G13)*(J$3:J$105&gt;J13)*(I$3:I$105="P"))+1,IF(M13="P",SUMPRODUCT((O$3:O$105&lt;&gt;"")*(P$3:P$105="")*(G$3:G$105=G13)*(I$3:I$105="P"))+SUMPRODUCT((P$3:P$105&lt;&gt;"")*(G$3:G$105=G13)*(I$3:I$105="P"))+SUMPRODUCT((N$3:N$105&lt;&gt;"")*(G$3:G$105=G13)*(I$3:I$105="P"))+SUMPRODUCT((P$3:P$105="")*(O$3:O$105="")*(N$3:N$105="")*(M$3:M$105="P")*(G$3:G$105=G13)*(J$3:J$105&gt;J13)*(I$3:I$105="P"))+IF(H13="L5",SUMPRODUCT((P$3:P$105="")*(O$3:O$105="")*(N$3:N$105="")*(M$3:M$105="P")*(G$3:G$105=G13)*(J$3:J$105&lt;J13)*(H$3:H$105&lt;&gt;H13)*(I$3:I$105="P")),-1*SUMPRODUCT((P$3:P$105="")*(O$3:O$105="")*(N$3:N$105="")*(M$3:M$105="P")*(G$3:G$105=G13)*(J$3:J$105&gt;J13)*(H$3:H$105="L5")*(I$3:I$105="P")))+1,"")))))</f>
        <v/>
      </c>
      <c r="B13" s="1" t="str" cm="1">
        <f t="array" ref="B13">IF(P13&lt;&gt;"",SUMPRODUCT((P$3:P$105&lt;&gt;"")*(G$3:G$105=G13)*(J$3:J$105&gt;J13))+1,IF(O13&lt;&gt;"",SUMPRODUCT((O$3:O$105&lt;&gt;"")*(P$3:P$105="")*(G$3:G$105=G13)*(J$3:J$105&gt;J13))+SUMPRODUCT((P$3:P$105&lt;&gt;"")*(G$3:G$105=G13))+1,IF(N13&lt;&gt;"",SUMPRODUCT((N$3:N$105&lt;&gt;"")*(G$3:G$105=G13)*(J$3:J$105&gt;J13))+1,IF(M13="P",SUMPRODUCT((O$3:O$105&lt;&gt;"")*(P$3:P$105="")*(G$3:G$105=G13))+SUMPRODUCT((P$3:P$105&lt;&gt;"")*(G$3:G$105=G13))+SUMPRODUCT((N$3:N$105&lt;&gt;"")*(G$3:G$105=G13))+SUMPRODUCT((P$3:P$105="")*(O$3:O$105="")*(N$3:N$105="")*(M$3:M$105="P")*(G$3:G$105=G13)*(J$3:J$105&gt;J13))+IF(H13="L5",SUMPRODUCT((P$3:P$105="")*(O$3:O$105="")*(N$3:N$105="")*(M$3:M$105="P")*(G$3:G$105=G13)*(J$3:J$105&lt;J13)*(H$3:H$105&lt;&gt;H13)),-1*SUMPRODUCT((P$3:P$105="")*(O$3:O$105="")*(N$3:N$105="")*(M$3:M$105="P")*(G$3:G$105=G13)*(J$3:J$105&gt;J13)*(H$3:H$105="L5")))+1,""))))</f>
        <v/>
      </c>
      <c r="C13" s="36" t="s">
        <v>181</v>
      </c>
      <c r="D13" s="36" t="str">
        <f>IF(E13="","",VLOOKUP(E13,'Coaching Points'!A:B,2,0))</f>
        <v>SK</v>
      </c>
      <c r="E13" s="36" t="s">
        <v>45</v>
      </c>
      <c r="F13" s="35">
        <v>2005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 t="s">
        <v>567</v>
      </c>
      <c r="J13" s="4">
        <f>R13+S13+IF(OR(H13="Junior",H13="Senior"),0.0002,IF(OR(H13="L7",H13="L6"),0.0001,0))+MAX(X13,Z13)*0.0000001</f>
        <v>88.400104350000007</v>
      </c>
      <c r="K13" s="3" t="str">
        <f>IF(G13="Not Age Eligible","",IF(MAX(T13,V13,X13,Z13)&gt;=LOOKUP(G13,'Qualifying Scores'!$A$4:$A$7,'Qualifying Scores'!$G$4:$G$7),"P",""))</f>
        <v/>
      </c>
      <c r="L13" s="3" t="str">
        <f>IF(G13="Not Age Eligible","",IF(MAX(U13,W13,Y13,AA13)&gt;=LOOKUP(G13,'Qualifying Scores'!$A$10:$A$13,'Qualifying Scores'!$G$10:$G$13),"P",""))</f>
        <v>P</v>
      </c>
      <c r="M13" s="3" t="str">
        <f>IF(G13="Not Age Eligible","",IF(OR(AND(T13&gt;=LOOKUP(G13,'Qualifying Scores'!$A$4:$A$7,'Qualifying Scores'!$G$4:$G$7),U13&gt;=LOOKUP(G13,'Qualifying Scores'!$A$10:$A$13,'Qualifying Scores'!$G$10:$G$13)),AND(X13&gt;=LOOKUP(G13,'Qualifying Scores'!$A$4:$A$7,'Qualifying Scores'!$G$4:$G$7),Y13&gt;=LOOKUP(G13,'Qualifying Scores'!$A$10:$A$13,'Qualifying Scores'!$G$10:$G$13)),AND(V13&gt;=LOOKUP(G13,'Qualifying Scores'!$A$4:$A$7,'Qualifying Scores'!$G$4:$G$7),W13&gt;=LOOKUP(G13,'Qualifying Scores'!$A$10:$A$13,'Qualifying Scores'!$G$10:$G$13)),AND(Z13&gt;=LOOKUP(G13,'Qualifying Scores'!$A$4:$A$7,'Qualifying Scores'!$G$4:$G$7),AA13&gt;=LOOKUP(G13,'Qualifying Scores'!$A$10:$A$13,'Qualifying Scores'!$G$10:$G$13))),"P",""))</f>
        <v/>
      </c>
      <c r="Q13" s="1" t="str">
        <f>IF(A13&lt;5,IF(_xlfn.MAXIFS(A:A,G:G,G13)&gt;3,5-A13,_xlfn.MAXIFS(A:A,G:G,G13)+1-A13),"")</f>
        <v/>
      </c>
      <c r="R13" s="4">
        <f>MAX(T13,X13)</f>
        <v>43.5</v>
      </c>
      <c r="S13" s="4">
        <f>IF(R13=T13,MAX(V13,X13,Z13),IF(R13=X13,MAX(T13,V13,Z13),0))</f>
        <v>44.9</v>
      </c>
      <c r="T13" s="33">
        <v>41.5</v>
      </c>
      <c r="U13" s="40">
        <v>8.4</v>
      </c>
      <c r="V13" s="34">
        <v>44.9</v>
      </c>
      <c r="W13" s="40">
        <v>8.4</v>
      </c>
      <c r="X13" s="33">
        <v>43.5</v>
      </c>
      <c r="Y13" s="40">
        <v>10.4</v>
      </c>
      <c r="Z13" s="34">
        <v>42.1</v>
      </c>
      <c r="AA13" s="37">
        <v>8.6999999999999993</v>
      </c>
    </row>
    <row r="14" spans="1:27" x14ac:dyDescent="0.2">
      <c r="A14" s="1" t="str" cm="1">
        <f t="array" ref="A14">IF(I14="","",IF(P14&lt;&gt;"",SUMPRODUCT((P$3:P$105&lt;&gt;"")*(G$3:G$105=G14)*(J$3:J$105&gt;J14)*(I$3:I$105="P"))+1,IF(O14&lt;&gt;"",SUMPRODUCT((O$3:O$105&lt;&gt;"")*(P$3:P$105="")*(G$3:G$105=G14)*(J$3:J$105&gt;J14)*(I$3:I$105="P"))+SUMPRODUCT((P$3:P$105&lt;&gt;"")*(G$3:G$105=G14)*(I$3:I$105="P"))+1,IF(N14&lt;&gt;"",SUMPRODUCT((N$3:N$105&lt;&gt;"")*(G$3:G$105=G14)*(J$3:J$105&gt;J14)*(I$3:I$105="P"))+1,IF(M14="P",SUMPRODUCT((O$3:O$105&lt;&gt;"")*(P$3:P$105="")*(G$3:G$105=G14)*(I$3:I$105="P"))+SUMPRODUCT((P$3:P$105&lt;&gt;"")*(G$3:G$105=G14)*(I$3:I$105="P"))+SUMPRODUCT((N$3:N$105&lt;&gt;"")*(G$3:G$105=G14)*(I$3:I$105="P"))+SUMPRODUCT((P$3:P$105="")*(O$3:O$105="")*(N$3:N$105="")*(M$3:M$105="P")*(G$3:G$105=G14)*(J$3:J$105&gt;J14)*(I$3:I$105="P"))+IF(H14="L5",SUMPRODUCT((P$3:P$105="")*(O$3:O$105="")*(N$3:N$105="")*(M$3:M$105="P")*(G$3:G$105=G14)*(J$3:J$105&lt;J14)*(H$3:H$105&lt;&gt;H14)*(I$3:I$105="P")),-1*SUMPRODUCT((P$3:P$105="")*(O$3:O$105="")*(N$3:N$105="")*(M$3:M$105="P")*(G$3:G$105=G14)*(J$3:J$105&gt;J14)*(H$3:H$105="L5")*(I$3:I$105="P")))+1,"")))))</f>
        <v/>
      </c>
      <c r="B14" s="1" t="str" cm="1">
        <f t="array" ref="B14">IF(P14&lt;&gt;"",SUMPRODUCT((P$3:P$105&lt;&gt;"")*(G$3:G$105=G14)*(J$3:J$105&gt;J14))+1,IF(O14&lt;&gt;"",SUMPRODUCT((O$3:O$105&lt;&gt;"")*(P$3:P$105="")*(G$3:G$105=G14)*(J$3:J$105&gt;J14))+SUMPRODUCT((P$3:P$105&lt;&gt;"")*(G$3:G$105=G14))+1,IF(N14&lt;&gt;"",SUMPRODUCT((N$3:N$105&lt;&gt;"")*(G$3:G$105=G14)*(J$3:J$105&gt;J14))+1,IF(M14="P",SUMPRODUCT((O$3:O$105&lt;&gt;"")*(P$3:P$105="")*(G$3:G$105=G14))+SUMPRODUCT((P$3:P$105&lt;&gt;"")*(G$3:G$105=G14))+SUMPRODUCT((N$3:N$105&lt;&gt;"")*(G$3:G$105=G14))+SUMPRODUCT((P$3:P$105="")*(O$3:O$105="")*(N$3:N$105="")*(M$3:M$105="P")*(G$3:G$105=G14)*(J$3:J$105&gt;J14))+IF(H14="L5",SUMPRODUCT((P$3:P$105="")*(O$3:O$105="")*(N$3:N$105="")*(M$3:M$105="P")*(G$3:G$105=G14)*(J$3:J$105&lt;J14)*(H$3:H$105&lt;&gt;H14)),-1*SUMPRODUCT((P$3:P$105="")*(O$3:O$105="")*(N$3:N$105="")*(M$3:M$105="P")*(G$3:G$105=G14)*(J$3:J$105&gt;J14)*(H$3:H$105="L5")))+1,""))))</f>
        <v/>
      </c>
      <c r="C14" s="36" t="s">
        <v>186</v>
      </c>
      <c r="D14" s="36" t="str">
        <f>IF(E14="","",VLOOKUP(E14,'Coaching Points'!A:B,2,0))</f>
        <v>BC</v>
      </c>
      <c r="E14" s="36" t="s">
        <v>41</v>
      </c>
      <c r="F14" s="35">
        <v>2003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74</v>
      </c>
      <c r="I14" s="43"/>
      <c r="J14" s="4">
        <f>R14+S14+IF(OR(H14="Junior",H14="Senior"),0.0002,IF(OR(H14="L7",H14="L6"),0.0001,0))+MAX(X14,Z14)*0.0000001</f>
        <v>87.400204450000018</v>
      </c>
      <c r="K14" s="3" t="str">
        <f>IF(G14="Not Age Eligible","",IF(MAX(T14,V14,X14,Z14)&gt;=LOOKUP(G14,'Qualifying Scores'!$A$4:$A$7,'Qualifying Scores'!$G$4:$G$7),"P",""))</f>
        <v/>
      </c>
      <c r="L14" s="3" t="str">
        <f>IF(G14="Not Age Eligible","",IF(MAX(U14,W14,Y14,AA14)&gt;=LOOKUP(G14,'Qualifying Scores'!$A$10:$A$13,'Qualifying Scores'!$G$10:$G$13),"P",""))</f>
        <v>P</v>
      </c>
      <c r="M14" s="3" t="str">
        <f>IF(G14="Not Age Eligible","",IF(OR(AND(T14&gt;=LOOKUP(G14,'Qualifying Scores'!$A$4:$A$7,'Qualifying Scores'!$G$4:$G$7),U14&gt;=LOOKUP(G14,'Qualifying Scores'!$A$10:$A$13,'Qualifying Scores'!$G$10:$G$13)),AND(X14&gt;=LOOKUP(G14,'Qualifying Scores'!$A$4:$A$7,'Qualifying Scores'!$G$4:$G$7),Y14&gt;=LOOKUP(G14,'Qualifying Scores'!$A$10:$A$13,'Qualifying Scores'!$G$10:$G$13)),AND(V14&gt;=LOOKUP(G14,'Qualifying Scores'!$A$4:$A$7,'Qualifying Scores'!$G$4:$G$7),W14&gt;=LOOKUP(G14,'Qualifying Scores'!$A$10:$A$13,'Qualifying Scores'!$G$10:$G$13)),AND(Z14&gt;=LOOKUP(G14,'Qualifying Scores'!$A$4:$A$7,'Qualifying Scores'!$G$4:$G$7),AA14&gt;=LOOKUP(G14,'Qualifying Scores'!$A$10:$A$13,'Qualifying Scores'!$G$10:$G$13))),"P",""))</f>
        <v/>
      </c>
      <c r="Q14" s="1" t="str">
        <f>IF(A14&lt;5,IF(_xlfn.MAXIFS(A:A,G:G,G14)&gt;3,5-A14,_xlfn.MAXIFS(A:A,G:G,G14)+1-A14),"")</f>
        <v/>
      </c>
      <c r="R14" s="4">
        <f>MAX(T14,X14)</f>
        <v>44.5</v>
      </c>
      <c r="S14" s="4">
        <f>IF(R14=T14,MAX(V14,X14,Z14),IF(R14=X14,MAX(T14,V14,Z14),0))</f>
        <v>42.9</v>
      </c>
      <c r="T14" s="33">
        <v>42.9</v>
      </c>
      <c r="U14" s="40">
        <v>8.5</v>
      </c>
      <c r="V14" s="34"/>
      <c r="W14" s="40"/>
      <c r="X14" s="33">
        <v>44.5</v>
      </c>
      <c r="Y14" s="40">
        <v>11.6</v>
      </c>
      <c r="Z14" s="34"/>
      <c r="AA14" s="37"/>
    </row>
    <row r="15" spans="1:27" x14ac:dyDescent="0.2">
      <c r="A15" s="1" t="str" cm="1">
        <f t="array" ref="A15">IF(I15="","",IF(P15&lt;&gt;"",SUMPRODUCT((P$3:P$105&lt;&gt;"")*(G$3:G$105=G15)*(J$3:J$105&gt;J15)*(I$3:I$105="P"))+1,IF(O15&lt;&gt;"",SUMPRODUCT((O$3:O$105&lt;&gt;"")*(P$3:P$105="")*(G$3:G$105=G15)*(J$3:J$105&gt;J15)*(I$3:I$105="P"))+SUMPRODUCT((P$3:P$105&lt;&gt;"")*(G$3:G$105=G15)*(I$3:I$105="P"))+1,IF(N15&lt;&gt;"",SUMPRODUCT((N$3:N$105&lt;&gt;"")*(G$3:G$105=G15)*(J$3:J$105&gt;J15)*(I$3:I$105="P"))+1,IF(M15="P",SUMPRODUCT((O$3:O$105&lt;&gt;"")*(P$3:P$105="")*(G$3:G$105=G15)*(I$3:I$105="P"))+SUMPRODUCT((P$3:P$105&lt;&gt;"")*(G$3:G$105=G15)*(I$3:I$105="P"))+SUMPRODUCT((N$3:N$105&lt;&gt;"")*(G$3:G$105=G15)*(I$3:I$105="P"))+SUMPRODUCT((P$3:P$105="")*(O$3:O$105="")*(N$3:N$105="")*(M$3:M$105="P")*(G$3:G$105=G15)*(J$3:J$105&gt;J15)*(I$3:I$105="P"))+IF(H15="L5",SUMPRODUCT((P$3:P$105="")*(O$3:O$105="")*(N$3:N$105="")*(M$3:M$105="P")*(G$3:G$105=G15)*(J$3:J$105&lt;J15)*(H$3:H$105&lt;&gt;H15)*(I$3:I$105="P")),-1*SUMPRODUCT((P$3:P$105="")*(O$3:O$105="")*(N$3:N$105="")*(M$3:M$105="P")*(G$3:G$105=G15)*(J$3:J$105&gt;J15)*(H$3:H$105="L5")*(I$3:I$105="P")))+1,"")))))</f>
        <v/>
      </c>
      <c r="B15" s="1" t="str" cm="1">
        <f t="array" ref="B15">IF(P15&lt;&gt;"",SUMPRODUCT((P$3:P$105&lt;&gt;"")*(G$3:G$105=G15)*(J$3:J$105&gt;J15))+1,IF(O15&lt;&gt;"",SUMPRODUCT((O$3:O$105&lt;&gt;"")*(P$3:P$105="")*(G$3:G$105=G15)*(J$3:J$105&gt;J15))+SUMPRODUCT((P$3:P$105&lt;&gt;"")*(G$3:G$105=G15))+1,IF(N15&lt;&gt;"",SUMPRODUCT((N$3:N$105&lt;&gt;"")*(G$3:G$105=G15)*(J$3:J$105&gt;J15))+1,IF(M15="P",SUMPRODUCT((O$3:O$105&lt;&gt;"")*(P$3:P$105="")*(G$3:G$105=G15))+SUMPRODUCT((P$3:P$105&lt;&gt;"")*(G$3:G$105=G15))+SUMPRODUCT((N$3:N$105&lt;&gt;"")*(G$3:G$105=G15))+SUMPRODUCT((P$3:P$105="")*(O$3:O$105="")*(N$3:N$105="")*(M$3:M$105="P")*(G$3:G$105=G15)*(J$3:J$105&gt;J15))+IF(H15="L5",SUMPRODUCT((P$3:P$105="")*(O$3:O$105="")*(N$3:N$105="")*(M$3:M$105="P")*(G$3:G$105=G15)*(J$3:J$105&lt;J15)*(H$3:H$105&lt;&gt;H15)),-1*SUMPRODUCT((P$3:P$105="")*(O$3:O$105="")*(N$3:N$105="")*(M$3:M$105="P")*(G$3:G$105=G15)*(J$3:J$105&gt;J15)*(H$3:H$105="L5")))+1,""))))</f>
        <v/>
      </c>
      <c r="C15" s="36" t="s">
        <v>296</v>
      </c>
      <c r="D15" s="36" t="str">
        <f>IF(E15="","",VLOOKUP(E15,'Coaching Points'!A:B,2,0))</f>
        <v>BC</v>
      </c>
      <c r="E15" s="36" t="s">
        <v>46</v>
      </c>
      <c r="F15" s="35">
        <v>2002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68</v>
      </c>
      <c r="I15" s="43" t="s">
        <v>567</v>
      </c>
      <c r="J15" s="4">
        <f>R15+S15+IF(OR(H15="Junior",H15="Senior"),0.0002,IF(OR(H15="L7",H15="L6"),0.0001,0))+MAX(X15,Z15)*0.0000001</f>
        <v>86.8001</v>
      </c>
      <c r="K15" s="3" t="str">
        <f>IF(G15="Not Age Eligible","",IF(MAX(T15,V15,X15,Z15)&gt;=LOOKUP(G15,'Qualifying Scores'!$A$4:$A$7,'Qualifying Scores'!$G$4:$G$7),"P",""))</f>
        <v/>
      </c>
      <c r="L15" s="3" t="str">
        <f>IF(G15="Not Age Eligible","",IF(MAX(U15,W15,Y15,AA15)&gt;=LOOKUP(G15,'Qualifying Scores'!$A$10:$A$13,'Qualifying Scores'!$G$10:$G$13),"P",""))</f>
        <v/>
      </c>
      <c r="M15" s="3" t="str">
        <f>IF(G15="Not Age Eligible","",IF(OR(AND(T15&gt;=LOOKUP(G15,'Qualifying Scores'!$A$4:$A$7,'Qualifying Scores'!$G$4:$G$7),U15&gt;=LOOKUP(G15,'Qualifying Scores'!$A$10:$A$13,'Qualifying Scores'!$G$10:$G$13)),AND(X15&gt;=LOOKUP(G15,'Qualifying Scores'!$A$4:$A$7,'Qualifying Scores'!$G$4:$G$7),Y15&gt;=LOOKUP(G15,'Qualifying Scores'!$A$10:$A$13,'Qualifying Scores'!$G$10:$G$13)),AND(V15&gt;=LOOKUP(G15,'Qualifying Scores'!$A$4:$A$7,'Qualifying Scores'!$G$4:$G$7),W15&gt;=LOOKUP(G15,'Qualifying Scores'!$A$10:$A$13,'Qualifying Scores'!$G$10:$G$13)),AND(Z15&gt;=LOOKUP(G15,'Qualifying Scores'!$A$4:$A$7,'Qualifying Scores'!$G$4:$G$7),AA15&gt;=LOOKUP(G15,'Qualifying Scores'!$A$10:$A$13,'Qualifying Scores'!$G$10:$G$13))),"P",""))</f>
        <v/>
      </c>
      <c r="Q15" s="1" t="str">
        <f>IF(A15&lt;5,IF(_xlfn.MAXIFS(A:A,G:G,G15)&gt;3,5-A15,_xlfn.MAXIFS(A:A,G:G,G15)+1-A15),"")</f>
        <v/>
      </c>
      <c r="R15" s="4">
        <f>MAX(T15,X15)</f>
        <v>43</v>
      </c>
      <c r="S15" s="4">
        <f>IF(R15=T15,MAX(V15,X15,Z15),IF(R15=X15,MAX(T15,V15,Z15),0))</f>
        <v>43.8</v>
      </c>
      <c r="T15" s="33">
        <v>43</v>
      </c>
      <c r="U15" s="40">
        <v>6.3000000000000007</v>
      </c>
      <c r="V15" s="34">
        <v>43.8</v>
      </c>
      <c r="W15" s="40">
        <v>6.3000000000000007</v>
      </c>
      <c r="X15" s="33"/>
      <c r="Y15" s="40"/>
      <c r="Z15" s="34"/>
      <c r="AA15" s="37"/>
    </row>
    <row r="16" spans="1:27" x14ac:dyDescent="0.2">
      <c r="A16" s="1" t="str" cm="1">
        <f t="array" ref="A16">IF(I16="","",IF(P16&lt;&gt;"",SUMPRODUCT((P$3:P$105&lt;&gt;"")*(G$3:G$105=G16)*(J$3:J$105&gt;J16)*(I$3:I$105="P"))+1,IF(O16&lt;&gt;"",SUMPRODUCT((O$3:O$105&lt;&gt;"")*(P$3:P$105="")*(G$3:G$105=G16)*(J$3:J$105&gt;J16)*(I$3:I$105="P"))+SUMPRODUCT((P$3:P$105&lt;&gt;"")*(G$3:G$105=G16)*(I$3:I$105="P"))+1,IF(N16&lt;&gt;"",SUMPRODUCT((N$3:N$105&lt;&gt;"")*(G$3:G$105=G16)*(J$3:J$105&gt;J16)*(I$3:I$105="P"))+1,IF(M16="P",SUMPRODUCT((O$3:O$105&lt;&gt;"")*(P$3:P$105="")*(G$3:G$105=G16)*(I$3:I$105="P"))+SUMPRODUCT((P$3:P$105&lt;&gt;"")*(G$3:G$105=G16)*(I$3:I$105="P"))+SUMPRODUCT((N$3:N$105&lt;&gt;"")*(G$3:G$105=G16)*(I$3:I$105="P"))+SUMPRODUCT((P$3:P$105="")*(O$3:O$105="")*(N$3:N$105="")*(M$3:M$105="P")*(G$3:G$105=G16)*(J$3:J$105&gt;J16)*(I$3:I$105="P"))+IF(H16="L5",SUMPRODUCT((P$3:P$105="")*(O$3:O$105="")*(N$3:N$105="")*(M$3:M$105="P")*(G$3:G$105=G16)*(J$3:J$105&lt;J16)*(H$3:H$105&lt;&gt;H16)*(I$3:I$105="P")),-1*SUMPRODUCT((P$3:P$105="")*(O$3:O$105="")*(N$3:N$105="")*(M$3:M$105="P")*(G$3:G$105=G16)*(J$3:J$105&gt;J16)*(H$3:H$105="L5")*(I$3:I$105="P")))+1,"")))))</f>
        <v/>
      </c>
      <c r="B16" s="1" t="str" cm="1">
        <f t="array" ref="B16">IF(P16&lt;&gt;"",SUMPRODUCT((P$3:P$105&lt;&gt;"")*(G$3:G$105=G16)*(J$3:J$105&gt;J16))+1,IF(O16&lt;&gt;"",SUMPRODUCT((O$3:O$105&lt;&gt;"")*(P$3:P$105="")*(G$3:G$105=G16)*(J$3:J$105&gt;J16))+SUMPRODUCT((P$3:P$105&lt;&gt;"")*(G$3:G$105=G16))+1,IF(N16&lt;&gt;"",SUMPRODUCT((N$3:N$105&lt;&gt;"")*(G$3:G$105=G16)*(J$3:J$105&gt;J16))+1,IF(M16="P",SUMPRODUCT((O$3:O$105&lt;&gt;"")*(P$3:P$105="")*(G$3:G$105=G16))+SUMPRODUCT((P$3:P$105&lt;&gt;"")*(G$3:G$105=G16))+SUMPRODUCT((N$3:N$105&lt;&gt;"")*(G$3:G$105=G16))+SUMPRODUCT((P$3:P$105="")*(O$3:O$105="")*(N$3:N$105="")*(M$3:M$105="P")*(G$3:G$105=G16)*(J$3:J$105&gt;J16))+IF(H16="L5",SUMPRODUCT((P$3:P$105="")*(O$3:O$105="")*(N$3:N$105="")*(M$3:M$105="P")*(G$3:G$105=G16)*(J$3:J$105&lt;J16)*(H$3:H$105&lt;&gt;H16)),-1*SUMPRODUCT((P$3:P$105="")*(O$3:O$105="")*(N$3:N$105="")*(M$3:M$105="P")*(G$3:G$105=G16)*(J$3:J$105&gt;J16)*(H$3:H$105="L5")))+1,""))))</f>
        <v/>
      </c>
      <c r="C16" s="36" t="s">
        <v>146</v>
      </c>
      <c r="D16" s="36" t="str">
        <f>IF(E16="","",VLOOKUP(E16,'Coaching Points'!A:B,2,0))</f>
        <v>BC</v>
      </c>
      <c r="E16" s="36" t="s">
        <v>46</v>
      </c>
      <c r="F16" s="35">
        <v>2005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68</v>
      </c>
      <c r="I16" s="43"/>
      <c r="J16" s="4">
        <f>R16+S16+IF(OR(H16="Junior",H16="Senior"),0.0002,IF(OR(H16="L7",H16="L6"),0.0001,0))+MAX(X16,Z16)*0.0000001</f>
        <v>86.30010436000002</v>
      </c>
      <c r="K16" s="3" t="str">
        <f>IF(G16="Not Age Eligible","",IF(MAX(T16,V16,X16,Z16)&gt;=LOOKUP(G16,'Qualifying Scores'!$A$4:$A$7,'Qualifying Scores'!$G$4:$G$7),"P",""))</f>
        <v/>
      </c>
      <c r="L16" s="3" t="str">
        <f>IF(G16="Not Age Eligible","",IF(MAX(U16,W16,Y16,AA16)&gt;=LOOKUP(G16,'Qualifying Scores'!$A$10:$A$13,'Qualifying Scores'!$G$10:$G$13),"P",""))</f>
        <v/>
      </c>
      <c r="M16" s="3" t="str">
        <f>IF(G16="Not Age Eligible","",IF(OR(AND(T16&gt;=LOOKUP(G16,'Qualifying Scores'!$A$4:$A$7,'Qualifying Scores'!$G$4:$G$7),U16&gt;=LOOKUP(G16,'Qualifying Scores'!$A$10:$A$13,'Qualifying Scores'!$G$10:$G$13)),AND(X16&gt;=LOOKUP(G16,'Qualifying Scores'!$A$4:$A$7,'Qualifying Scores'!$G$4:$G$7),Y16&gt;=LOOKUP(G16,'Qualifying Scores'!$A$10:$A$13,'Qualifying Scores'!$G$10:$G$13)),AND(V16&gt;=LOOKUP(G16,'Qualifying Scores'!$A$4:$A$7,'Qualifying Scores'!$G$4:$G$7),W16&gt;=LOOKUP(G16,'Qualifying Scores'!$A$10:$A$13,'Qualifying Scores'!$G$10:$G$13)),AND(Z16&gt;=LOOKUP(G16,'Qualifying Scores'!$A$4:$A$7,'Qualifying Scores'!$G$4:$G$7),AA16&gt;=LOOKUP(G16,'Qualifying Scores'!$A$10:$A$13,'Qualifying Scores'!$G$10:$G$13))),"P",""))</f>
        <v/>
      </c>
      <c r="Q16" s="1" t="str">
        <f>IF(A16&lt;5,IF(_xlfn.MAXIFS(A:A,G:G,G16)&gt;3,5-A16,_xlfn.MAXIFS(A:A,G:G,G16)+1-A16),"")</f>
        <v/>
      </c>
      <c r="R16" s="4">
        <f>MAX(T16,X16)</f>
        <v>43.6</v>
      </c>
      <c r="S16" s="4">
        <f>IF(R16=T16,MAX(V16,X16,Z16),IF(R16=X16,MAX(T16,V16,Z16),0))</f>
        <v>42.7</v>
      </c>
      <c r="T16" s="33">
        <v>41.6</v>
      </c>
      <c r="U16" s="40">
        <v>6</v>
      </c>
      <c r="V16" s="34">
        <v>42.7</v>
      </c>
      <c r="W16" s="40">
        <v>6.3000000000000007</v>
      </c>
      <c r="X16" s="33">
        <v>43.6</v>
      </c>
      <c r="Y16" s="40">
        <v>7.5</v>
      </c>
      <c r="Z16" s="34">
        <v>42</v>
      </c>
      <c r="AA16" s="37">
        <v>7.2</v>
      </c>
    </row>
    <row r="17" spans="1:27" x14ac:dyDescent="0.2">
      <c r="A17" s="1" t="str" cm="1">
        <f t="array" ref="A17">IF(I17="","",IF(P17&lt;&gt;"",SUMPRODUCT((P$3:P$105&lt;&gt;"")*(G$3:G$105=G17)*(J$3:J$105&gt;J17)*(I$3:I$105="P"))+1,IF(O17&lt;&gt;"",SUMPRODUCT((O$3:O$105&lt;&gt;"")*(P$3:P$105="")*(G$3:G$105=G17)*(J$3:J$105&gt;J17)*(I$3:I$105="P"))+SUMPRODUCT((P$3:P$105&lt;&gt;"")*(G$3:G$105=G17)*(I$3:I$105="P"))+1,IF(N17&lt;&gt;"",SUMPRODUCT((N$3:N$105&lt;&gt;"")*(G$3:G$105=G17)*(J$3:J$105&gt;J17)*(I$3:I$105="P"))+1,IF(M17="P",SUMPRODUCT((O$3:O$105&lt;&gt;"")*(P$3:P$105="")*(G$3:G$105=G17)*(I$3:I$105="P"))+SUMPRODUCT((P$3:P$105&lt;&gt;"")*(G$3:G$105=G17)*(I$3:I$105="P"))+SUMPRODUCT((N$3:N$105&lt;&gt;"")*(G$3:G$105=G17)*(I$3:I$105="P"))+SUMPRODUCT((P$3:P$105="")*(O$3:O$105="")*(N$3:N$105="")*(M$3:M$105="P")*(G$3:G$105=G17)*(J$3:J$105&gt;J17)*(I$3:I$105="P"))+IF(H17="L5",SUMPRODUCT((P$3:P$105="")*(O$3:O$105="")*(N$3:N$105="")*(M$3:M$105="P")*(G$3:G$105=G17)*(J$3:J$105&lt;J17)*(H$3:H$105&lt;&gt;H17)*(I$3:I$105="P")),-1*SUMPRODUCT((P$3:P$105="")*(O$3:O$105="")*(N$3:N$105="")*(M$3:M$105="P")*(G$3:G$105=G17)*(J$3:J$105&gt;J17)*(H$3:H$105="L5")*(I$3:I$105="P")))+1,"")))))</f>
        <v/>
      </c>
      <c r="B17" s="1" t="str" cm="1">
        <f t="array" ref="B17">IF(P17&lt;&gt;"",SUMPRODUCT((P$3:P$105&lt;&gt;"")*(G$3:G$105=G17)*(J$3:J$105&gt;J17))+1,IF(O17&lt;&gt;"",SUMPRODUCT((O$3:O$105&lt;&gt;"")*(P$3:P$105="")*(G$3:G$105=G17)*(J$3:J$105&gt;J17))+SUMPRODUCT((P$3:P$105&lt;&gt;"")*(G$3:G$105=G17))+1,IF(N17&lt;&gt;"",SUMPRODUCT((N$3:N$105&lt;&gt;"")*(G$3:G$105=G17)*(J$3:J$105&gt;J17))+1,IF(M17="P",SUMPRODUCT((O$3:O$105&lt;&gt;"")*(P$3:P$105="")*(G$3:G$105=G17))+SUMPRODUCT((P$3:P$105&lt;&gt;"")*(G$3:G$105=G17))+SUMPRODUCT((N$3:N$105&lt;&gt;"")*(G$3:G$105=G17))+SUMPRODUCT((P$3:P$105="")*(O$3:O$105="")*(N$3:N$105="")*(M$3:M$105="P")*(G$3:G$105=G17)*(J$3:J$105&gt;J17))+IF(H17="L5",SUMPRODUCT((P$3:P$105="")*(O$3:O$105="")*(N$3:N$105="")*(M$3:M$105="P")*(G$3:G$105=G17)*(J$3:J$105&lt;J17)*(H$3:H$105&lt;&gt;H17)),-1*SUMPRODUCT((P$3:P$105="")*(O$3:O$105="")*(N$3:N$105="")*(M$3:M$105="P")*(G$3:G$105=G17)*(J$3:J$105&gt;J17)*(H$3:H$105="L5")))+1,""))))</f>
        <v/>
      </c>
      <c r="C17" s="36" t="s">
        <v>123</v>
      </c>
      <c r="D17" s="36" t="str">
        <f>IF(E17="","",VLOOKUP(E17,'Coaching Points'!A:B,2,0))</f>
        <v>SK</v>
      </c>
      <c r="E17" s="36" t="s">
        <v>60</v>
      </c>
      <c r="F17" s="35">
        <v>2006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68</v>
      </c>
      <c r="I17" s="43"/>
      <c r="J17" s="4">
        <f>R17+S17+IF(OR(H17="Junior",H17="Senior"),0.0002,IF(OR(H17="L7",H17="L6"),0.0001,0))+MAX(X17,Z17)*0.0000001</f>
        <v>86.200104360000012</v>
      </c>
      <c r="K17" s="3" t="str">
        <f>IF(G17="Not Age Eligible","",IF(MAX(T17,V17,X17,Z17)&gt;=LOOKUP(G17,'Qualifying Scores'!$A$4:$A$7,'Qualifying Scores'!$G$4:$G$7),"P",""))</f>
        <v/>
      </c>
      <c r="L17" s="3" t="str">
        <f>IF(G17="Not Age Eligible","",IF(MAX(U17,W17,Y17,AA17)&gt;=LOOKUP(G17,'Qualifying Scores'!$A$10:$A$13,'Qualifying Scores'!$G$10:$G$13),"P",""))</f>
        <v/>
      </c>
      <c r="M17" s="3" t="str">
        <f>IF(G17="Not Age Eligible","",IF(OR(AND(T17&gt;=LOOKUP(G17,'Qualifying Scores'!$A$4:$A$7,'Qualifying Scores'!$G$4:$G$7),U17&gt;=LOOKUP(G17,'Qualifying Scores'!$A$10:$A$13,'Qualifying Scores'!$G$10:$G$13)),AND(X17&gt;=LOOKUP(G17,'Qualifying Scores'!$A$4:$A$7,'Qualifying Scores'!$G$4:$G$7),Y17&gt;=LOOKUP(G17,'Qualifying Scores'!$A$10:$A$13,'Qualifying Scores'!$G$10:$G$13)),AND(V17&gt;=LOOKUP(G17,'Qualifying Scores'!$A$4:$A$7,'Qualifying Scores'!$G$4:$G$7),W17&gt;=LOOKUP(G17,'Qualifying Scores'!$A$10:$A$13,'Qualifying Scores'!$G$10:$G$13)),AND(Z17&gt;=LOOKUP(G17,'Qualifying Scores'!$A$4:$A$7,'Qualifying Scores'!$G$4:$G$7),AA17&gt;=LOOKUP(G17,'Qualifying Scores'!$A$10:$A$13,'Qualifying Scores'!$G$10:$G$13))),"P",""))</f>
        <v/>
      </c>
      <c r="Q17" s="1" t="str">
        <f>IF(A17&lt;5,IF(_xlfn.MAXIFS(A:A,G:G,G17)&gt;3,5-A17,_xlfn.MAXIFS(A:A,G:G,G17)+1-A17),"")</f>
        <v/>
      </c>
      <c r="R17" s="4">
        <f>MAX(T17,X17)</f>
        <v>42.6</v>
      </c>
      <c r="S17" s="4">
        <f>IF(R17=T17,MAX(V17,X17,Z17),IF(R17=X17,MAX(T17,V17,Z17),0))</f>
        <v>43.6</v>
      </c>
      <c r="T17" s="33"/>
      <c r="U17" s="40"/>
      <c r="V17" s="34"/>
      <c r="W17" s="40"/>
      <c r="X17" s="33">
        <v>42.6</v>
      </c>
      <c r="Y17" s="40">
        <v>6.3000000000000007</v>
      </c>
      <c r="Z17" s="34">
        <v>43.6</v>
      </c>
      <c r="AA17" s="37">
        <v>6.5</v>
      </c>
    </row>
    <row r="18" spans="1:27" x14ac:dyDescent="0.2">
      <c r="A18" s="1" t="str" cm="1">
        <f t="array" ref="A18">IF(I18="","",IF(P18&lt;&gt;"",SUMPRODUCT((P$3:P$105&lt;&gt;"")*(G$3:G$105=G18)*(J$3:J$105&gt;J18)*(I$3:I$105="P"))+1,IF(O18&lt;&gt;"",SUMPRODUCT((O$3:O$105&lt;&gt;"")*(P$3:P$105="")*(G$3:G$105=G18)*(J$3:J$105&gt;J18)*(I$3:I$105="P"))+SUMPRODUCT((P$3:P$105&lt;&gt;"")*(G$3:G$105=G18)*(I$3:I$105="P"))+1,IF(N18&lt;&gt;"",SUMPRODUCT((N$3:N$105&lt;&gt;"")*(G$3:G$105=G18)*(J$3:J$105&gt;J18)*(I$3:I$105="P"))+1,IF(M18="P",SUMPRODUCT((O$3:O$105&lt;&gt;"")*(P$3:P$105="")*(G$3:G$105=G18)*(I$3:I$105="P"))+SUMPRODUCT((P$3:P$105&lt;&gt;"")*(G$3:G$105=G18)*(I$3:I$105="P"))+SUMPRODUCT((N$3:N$105&lt;&gt;"")*(G$3:G$105=G18)*(I$3:I$105="P"))+SUMPRODUCT((P$3:P$105="")*(O$3:O$105="")*(N$3:N$105="")*(M$3:M$105="P")*(G$3:G$105=G18)*(J$3:J$105&gt;J18)*(I$3:I$105="P"))+IF(H18="L5",SUMPRODUCT((P$3:P$105="")*(O$3:O$105="")*(N$3:N$105="")*(M$3:M$105="P")*(G$3:G$105=G18)*(J$3:J$105&lt;J18)*(H$3:H$105&lt;&gt;H18)*(I$3:I$105="P")),-1*SUMPRODUCT((P$3:P$105="")*(O$3:O$105="")*(N$3:N$105="")*(M$3:M$105="P")*(G$3:G$105=G18)*(J$3:J$105&gt;J18)*(H$3:H$105="L5")*(I$3:I$105="P")))+1,"")))))</f>
        <v/>
      </c>
      <c r="B18" s="1" t="str" cm="1">
        <f t="array" ref="B18">IF(P18&lt;&gt;"",SUMPRODUCT((P$3:P$105&lt;&gt;"")*(G$3:G$105=G18)*(J$3:J$105&gt;J18))+1,IF(O18&lt;&gt;"",SUMPRODUCT((O$3:O$105&lt;&gt;"")*(P$3:P$105="")*(G$3:G$105=G18)*(J$3:J$105&gt;J18))+SUMPRODUCT((P$3:P$105&lt;&gt;"")*(G$3:G$105=G18))+1,IF(N18&lt;&gt;"",SUMPRODUCT((N$3:N$105&lt;&gt;"")*(G$3:G$105=G18)*(J$3:J$105&gt;J18))+1,IF(M18="P",SUMPRODUCT((O$3:O$105&lt;&gt;"")*(P$3:P$105="")*(G$3:G$105=G18))+SUMPRODUCT((P$3:P$105&lt;&gt;"")*(G$3:G$105=G18))+SUMPRODUCT((N$3:N$105&lt;&gt;"")*(G$3:G$105=G18))+SUMPRODUCT((P$3:P$105="")*(O$3:O$105="")*(N$3:N$105="")*(M$3:M$105="P")*(G$3:G$105=G18)*(J$3:J$105&gt;J18))+IF(H18="L5",SUMPRODUCT((P$3:P$105="")*(O$3:O$105="")*(N$3:N$105="")*(M$3:M$105="P")*(G$3:G$105=G18)*(J$3:J$105&lt;J18)*(H$3:H$105&lt;&gt;H18)),-1*SUMPRODUCT((P$3:P$105="")*(O$3:O$105="")*(N$3:N$105="")*(M$3:M$105="P")*(G$3:G$105=G18)*(J$3:J$105&gt;J18)*(H$3:H$105="L5")))+1,""))))</f>
        <v/>
      </c>
      <c r="C18" s="36" t="s">
        <v>298</v>
      </c>
      <c r="D18" s="36" t="str">
        <f>IF(E18="","",VLOOKUP(E18,'Coaching Points'!A:B,2,0))</f>
        <v>QC</v>
      </c>
      <c r="E18" s="36" t="s">
        <v>84</v>
      </c>
      <c r="F18" s="35">
        <v>2006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66</v>
      </c>
      <c r="I18" s="43"/>
      <c r="J18" s="4">
        <f>R18+S18+IF(OR(H18="Junior",H18="Senior"),0.0002,IF(OR(H18="L7",H18="L6"),0.0001,0))+MAX(X18,Z18)*0.0000001</f>
        <v>86.200004149999998</v>
      </c>
      <c r="K18" s="3" t="str">
        <f>IF(G18="Not Age Eligible","",IF(MAX(T18,V18,X18,Z18)&gt;=LOOKUP(G18,'Qualifying Scores'!$A$4:$A$7,'Qualifying Scores'!$G$4:$G$7),"P",""))</f>
        <v/>
      </c>
      <c r="L18" s="3" t="str">
        <f>IF(G18="Not Age Eligible","",IF(MAX(U18,W18,Y18,AA18)&gt;=LOOKUP(G18,'Qualifying Scores'!$A$10:$A$13,'Qualifying Scores'!$G$10:$G$13),"P",""))</f>
        <v/>
      </c>
      <c r="M18" s="3" t="str">
        <f>IF(G18="Not Age Eligible","",IF(OR(AND(T18&gt;=LOOKUP(G18,'Qualifying Scores'!$A$4:$A$7,'Qualifying Scores'!$G$4:$G$7),U18&gt;=LOOKUP(G18,'Qualifying Scores'!$A$10:$A$13,'Qualifying Scores'!$G$10:$G$13)),AND(X18&gt;=LOOKUP(G18,'Qualifying Scores'!$A$4:$A$7,'Qualifying Scores'!$G$4:$G$7),Y18&gt;=LOOKUP(G18,'Qualifying Scores'!$A$10:$A$13,'Qualifying Scores'!$G$10:$G$13)),AND(V18&gt;=LOOKUP(G18,'Qualifying Scores'!$A$4:$A$7,'Qualifying Scores'!$G$4:$G$7),W18&gt;=LOOKUP(G18,'Qualifying Scores'!$A$10:$A$13,'Qualifying Scores'!$G$10:$G$13)),AND(Z18&gt;=LOOKUP(G18,'Qualifying Scores'!$A$4:$A$7,'Qualifying Scores'!$G$4:$G$7),AA18&gt;=LOOKUP(G18,'Qualifying Scores'!$A$10:$A$13,'Qualifying Scores'!$G$10:$G$13))),"P",""))</f>
        <v/>
      </c>
      <c r="Q18" s="1" t="str">
        <f>IF(A18&lt;5,IF(_xlfn.MAXIFS(A:A,G:G,G18)&gt;3,5-A18,_xlfn.MAXIFS(A:A,G:G,G18)+1-A18),"")</f>
        <v/>
      </c>
      <c r="R18" s="4">
        <f>MAX(T18,X18)</f>
        <v>42.6</v>
      </c>
      <c r="S18" s="4">
        <f>IF(R18=T18,MAX(V18,X18,Z18),IF(R18=X18,MAX(T18,V18,Z18),0))</f>
        <v>43.6</v>
      </c>
      <c r="T18" s="33">
        <v>42.6</v>
      </c>
      <c r="U18" s="40">
        <v>4.8000000000000007</v>
      </c>
      <c r="V18" s="34">
        <v>43.6</v>
      </c>
      <c r="W18" s="40">
        <v>6.3</v>
      </c>
      <c r="X18" s="33">
        <v>41.5</v>
      </c>
      <c r="Y18" s="40">
        <v>4.8000000000000007</v>
      </c>
      <c r="Z18" s="34"/>
      <c r="AA18" s="37"/>
    </row>
    <row r="19" spans="1:27" x14ac:dyDescent="0.2">
      <c r="A19" s="1" t="str" cm="1">
        <f t="array" ref="A19">IF(I19="","",IF(P19&lt;&gt;"",SUMPRODUCT((P$3:P$105&lt;&gt;"")*(G$3:G$105=G19)*(J$3:J$105&gt;J19)*(I$3:I$105="P"))+1,IF(O19&lt;&gt;"",SUMPRODUCT((O$3:O$105&lt;&gt;"")*(P$3:P$105="")*(G$3:G$105=G19)*(J$3:J$105&gt;J19)*(I$3:I$105="P"))+SUMPRODUCT((P$3:P$105&lt;&gt;"")*(G$3:G$105=G19)*(I$3:I$105="P"))+1,IF(N19&lt;&gt;"",SUMPRODUCT((N$3:N$105&lt;&gt;"")*(G$3:G$105=G19)*(J$3:J$105&gt;J19)*(I$3:I$105="P"))+1,IF(M19="P",SUMPRODUCT((O$3:O$105&lt;&gt;"")*(P$3:P$105="")*(G$3:G$105=G19)*(I$3:I$105="P"))+SUMPRODUCT((P$3:P$105&lt;&gt;"")*(G$3:G$105=G19)*(I$3:I$105="P"))+SUMPRODUCT((N$3:N$105&lt;&gt;"")*(G$3:G$105=G19)*(I$3:I$105="P"))+SUMPRODUCT((P$3:P$105="")*(O$3:O$105="")*(N$3:N$105="")*(M$3:M$105="P")*(G$3:G$105=G19)*(J$3:J$105&gt;J19)*(I$3:I$105="P"))+IF(H19="L5",SUMPRODUCT((P$3:P$105="")*(O$3:O$105="")*(N$3:N$105="")*(M$3:M$105="P")*(G$3:G$105=G19)*(J$3:J$105&lt;J19)*(H$3:H$105&lt;&gt;H19)*(I$3:I$105="P")),-1*SUMPRODUCT((P$3:P$105="")*(O$3:O$105="")*(N$3:N$105="")*(M$3:M$105="P")*(G$3:G$105=G19)*(J$3:J$105&gt;J19)*(H$3:H$105="L5")*(I$3:I$105="P")))+1,"")))))</f>
        <v/>
      </c>
      <c r="B19" s="1" t="str" cm="1">
        <f t="array" ref="B19">IF(P19&lt;&gt;"",SUMPRODUCT((P$3:P$105&lt;&gt;"")*(G$3:G$105=G19)*(J$3:J$105&gt;J19))+1,IF(O19&lt;&gt;"",SUMPRODUCT((O$3:O$105&lt;&gt;"")*(P$3:P$105="")*(G$3:G$105=G19)*(J$3:J$105&gt;J19))+SUMPRODUCT((P$3:P$105&lt;&gt;"")*(G$3:G$105=G19))+1,IF(N19&lt;&gt;"",SUMPRODUCT((N$3:N$105&lt;&gt;"")*(G$3:G$105=G19)*(J$3:J$105&gt;J19))+1,IF(M19="P",SUMPRODUCT((O$3:O$105&lt;&gt;"")*(P$3:P$105="")*(G$3:G$105=G19))+SUMPRODUCT((P$3:P$105&lt;&gt;"")*(G$3:G$105=G19))+SUMPRODUCT((N$3:N$105&lt;&gt;"")*(G$3:G$105=G19))+SUMPRODUCT((P$3:P$105="")*(O$3:O$105="")*(N$3:N$105="")*(M$3:M$105="P")*(G$3:G$105=G19)*(J$3:J$105&gt;J19))+IF(H19="L5",SUMPRODUCT((P$3:P$105="")*(O$3:O$105="")*(N$3:N$105="")*(M$3:M$105="P")*(G$3:G$105=G19)*(J$3:J$105&lt;J19)*(H$3:H$105&lt;&gt;H19)),-1*SUMPRODUCT((P$3:P$105="")*(O$3:O$105="")*(N$3:N$105="")*(M$3:M$105="P")*(G$3:G$105=G19)*(J$3:J$105&gt;J19)*(H$3:H$105="L5")))+1,""))))</f>
        <v/>
      </c>
      <c r="C19" s="36" t="s">
        <v>143</v>
      </c>
      <c r="D19" s="36" t="str">
        <f>IF(E19="","",VLOOKUP(E19,'Coaching Points'!A:B,2,0))</f>
        <v>BC</v>
      </c>
      <c r="E19" s="36" t="s">
        <v>61</v>
      </c>
      <c r="F19" s="35">
        <v>2003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66</v>
      </c>
      <c r="I19" s="43"/>
      <c r="J19" s="4">
        <f>R19+S19+IF(OR(H19="Junior",H19="Senior"),0.0002,IF(OR(H19="L7",H19="L6"),0.0001,0))+MAX(X19,Z19)*0.0000001</f>
        <v>86.000004320000002</v>
      </c>
      <c r="K19" s="3" t="str">
        <f>IF(G19="Not Age Eligible","",IF(MAX(T19,V19,X19,Z19)&gt;=LOOKUP(G19,'Qualifying Scores'!$A$4:$A$7,'Qualifying Scores'!$G$4:$G$7),"P",""))</f>
        <v/>
      </c>
      <c r="L19" s="3" t="str">
        <f>IF(G19="Not Age Eligible","",IF(MAX(U19,W19,Y19,AA19)&gt;=LOOKUP(G19,'Qualifying Scores'!$A$10:$A$13,'Qualifying Scores'!$G$10:$G$13),"P",""))</f>
        <v/>
      </c>
      <c r="M19" s="3" t="str">
        <f>IF(G19="Not Age Eligible","",IF(OR(AND(T19&gt;=LOOKUP(G19,'Qualifying Scores'!$A$4:$A$7,'Qualifying Scores'!$G$4:$G$7),U19&gt;=LOOKUP(G19,'Qualifying Scores'!$A$10:$A$13,'Qualifying Scores'!$G$10:$G$13)),AND(X19&gt;=LOOKUP(G19,'Qualifying Scores'!$A$4:$A$7,'Qualifying Scores'!$G$4:$G$7),Y19&gt;=LOOKUP(G19,'Qualifying Scores'!$A$10:$A$13,'Qualifying Scores'!$G$10:$G$13)),AND(V19&gt;=LOOKUP(G19,'Qualifying Scores'!$A$4:$A$7,'Qualifying Scores'!$G$4:$G$7),W19&gt;=LOOKUP(G19,'Qualifying Scores'!$A$10:$A$13,'Qualifying Scores'!$G$10:$G$13)),AND(Z19&gt;=LOOKUP(G19,'Qualifying Scores'!$A$4:$A$7,'Qualifying Scores'!$G$4:$G$7),AA19&gt;=LOOKUP(G19,'Qualifying Scores'!$A$10:$A$13,'Qualifying Scores'!$G$10:$G$13))),"P",""))</f>
        <v/>
      </c>
      <c r="Q19" s="1" t="str">
        <f>IF(A19&lt;5,IF(_xlfn.MAXIFS(A:A,G:G,G19)&gt;3,5-A19,_xlfn.MAXIFS(A:A,G:G,G19)+1-A19),"")</f>
        <v/>
      </c>
      <c r="R19" s="4">
        <f>MAX(T19,X19)</f>
        <v>43.2</v>
      </c>
      <c r="S19" s="4">
        <f>IF(R19=T19,MAX(V19,X19,Z19),IF(R19=X19,MAX(T19,V19,Z19),0))</f>
        <v>42.8</v>
      </c>
      <c r="T19" s="33">
        <v>42.6</v>
      </c>
      <c r="U19" s="40">
        <v>5.8000000000000007</v>
      </c>
      <c r="V19" s="34">
        <v>41.6</v>
      </c>
      <c r="W19" s="40">
        <v>5.6</v>
      </c>
      <c r="X19" s="33">
        <v>43.2</v>
      </c>
      <c r="Y19" s="40">
        <v>6</v>
      </c>
      <c r="Z19" s="34">
        <v>42.8</v>
      </c>
      <c r="AA19" s="37">
        <v>6.1</v>
      </c>
    </row>
    <row r="20" spans="1:27" x14ac:dyDescent="0.2">
      <c r="A20" s="1" t="str" cm="1">
        <f t="array" ref="A20">IF(I20="","",IF(P20&lt;&gt;"",SUMPRODUCT((P$3:P$105&lt;&gt;"")*(G$3:G$105=G20)*(J$3:J$105&gt;J20)*(I$3:I$105="P"))+1,IF(O20&lt;&gt;"",SUMPRODUCT((O$3:O$105&lt;&gt;"")*(P$3:P$105="")*(G$3:G$105=G20)*(J$3:J$105&gt;J20)*(I$3:I$105="P"))+SUMPRODUCT((P$3:P$105&lt;&gt;"")*(G$3:G$105=G20)*(I$3:I$105="P"))+1,IF(N20&lt;&gt;"",SUMPRODUCT((N$3:N$105&lt;&gt;"")*(G$3:G$105=G20)*(J$3:J$105&gt;J20)*(I$3:I$105="P"))+1,IF(M20="P",SUMPRODUCT((O$3:O$105&lt;&gt;"")*(P$3:P$105="")*(G$3:G$105=G20)*(I$3:I$105="P"))+SUMPRODUCT((P$3:P$105&lt;&gt;"")*(G$3:G$105=G20)*(I$3:I$105="P"))+SUMPRODUCT((N$3:N$105&lt;&gt;"")*(G$3:G$105=G20)*(I$3:I$105="P"))+SUMPRODUCT((P$3:P$105="")*(O$3:O$105="")*(N$3:N$105="")*(M$3:M$105="P")*(G$3:G$105=G20)*(J$3:J$105&gt;J20)*(I$3:I$105="P"))+IF(H20="L5",SUMPRODUCT((P$3:P$105="")*(O$3:O$105="")*(N$3:N$105="")*(M$3:M$105="P")*(G$3:G$105=G20)*(J$3:J$105&lt;J20)*(H$3:H$105&lt;&gt;H20)*(I$3:I$105="P")),-1*SUMPRODUCT((P$3:P$105="")*(O$3:O$105="")*(N$3:N$105="")*(M$3:M$105="P")*(G$3:G$105=G20)*(J$3:J$105&gt;J20)*(H$3:H$105="L5")*(I$3:I$105="P")))+1,"")))))</f>
        <v/>
      </c>
      <c r="B20" s="1" t="str" cm="1">
        <f t="array" ref="B20">IF(P20&lt;&gt;"",SUMPRODUCT((P$3:P$105&lt;&gt;"")*(G$3:G$105=G20)*(J$3:J$105&gt;J20))+1,IF(O20&lt;&gt;"",SUMPRODUCT((O$3:O$105&lt;&gt;"")*(P$3:P$105="")*(G$3:G$105=G20)*(J$3:J$105&gt;J20))+SUMPRODUCT((P$3:P$105&lt;&gt;"")*(G$3:G$105=G20))+1,IF(N20&lt;&gt;"",SUMPRODUCT((N$3:N$105&lt;&gt;"")*(G$3:G$105=G20)*(J$3:J$105&gt;J20))+1,IF(M20="P",SUMPRODUCT((O$3:O$105&lt;&gt;"")*(P$3:P$105="")*(G$3:G$105=G20))+SUMPRODUCT((P$3:P$105&lt;&gt;"")*(G$3:G$105=G20))+SUMPRODUCT((N$3:N$105&lt;&gt;"")*(G$3:G$105=G20))+SUMPRODUCT((P$3:P$105="")*(O$3:O$105="")*(N$3:N$105="")*(M$3:M$105="P")*(G$3:G$105=G20)*(J$3:J$105&gt;J20))+IF(H20="L5",SUMPRODUCT((P$3:P$105="")*(O$3:O$105="")*(N$3:N$105="")*(M$3:M$105="P")*(G$3:G$105=G20)*(J$3:J$105&lt;J20)*(H$3:H$105&lt;&gt;H20)),-1*SUMPRODUCT((P$3:P$105="")*(O$3:O$105="")*(N$3:N$105="")*(M$3:M$105="P")*(G$3:G$105=G20)*(J$3:J$105&gt;J20)*(H$3:H$105="L5")))+1,""))))</f>
        <v/>
      </c>
      <c r="C20" s="36" t="s">
        <v>130</v>
      </c>
      <c r="D20" s="36" t="str">
        <f>IF(E20="","",VLOOKUP(E20,'Coaching Points'!A:B,2,0))</f>
        <v>BC</v>
      </c>
      <c r="E20" s="36" t="s">
        <v>57</v>
      </c>
      <c r="F20" s="35">
        <v>2006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66</v>
      </c>
      <c r="I20" s="43"/>
      <c r="J20" s="4">
        <f>R20+S20+IF(OR(H20="Junior",H20="Senior"),0.0002,IF(OR(H20="L7",H20="L6"),0.0001,0))+MAX(X20,Z20)*0.0000001</f>
        <v>85.900004260000003</v>
      </c>
      <c r="K20" s="3" t="str">
        <f>IF(G20="Not Age Eligible","",IF(MAX(T20,V20,X20,Z20)&gt;=LOOKUP(G20,'Qualifying Scores'!$A$4:$A$7,'Qualifying Scores'!$G$4:$G$7),"P",""))</f>
        <v/>
      </c>
      <c r="L20" s="3" t="str">
        <f>IF(G20="Not Age Eligible","",IF(MAX(U20,W20,Y20,AA20)&gt;=LOOKUP(G20,'Qualifying Scores'!$A$10:$A$13,'Qualifying Scores'!$G$10:$G$13),"P",""))</f>
        <v/>
      </c>
      <c r="M20" s="3" t="str">
        <f>IF(G20="Not Age Eligible","",IF(OR(AND(T20&gt;=LOOKUP(G20,'Qualifying Scores'!$A$4:$A$7,'Qualifying Scores'!$G$4:$G$7),U20&gt;=LOOKUP(G20,'Qualifying Scores'!$A$10:$A$13,'Qualifying Scores'!$G$10:$G$13)),AND(X20&gt;=LOOKUP(G20,'Qualifying Scores'!$A$4:$A$7,'Qualifying Scores'!$G$4:$G$7),Y20&gt;=LOOKUP(G20,'Qualifying Scores'!$A$10:$A$13,'Qualifying Scores'!$G$10:$G$13)),AND(V20&gt;=LOOKUP(G20,'Qualifying Scores'!$A$4:$A$7,'Qualifying Scores'!$G$4:$G$7),W20&gt;=LOOKUP(G20,'Qualifying Scores'!$A$10:$A$13,'Qualifying Scores'!$G$10:$G$13)),AND(Z20&gt;=LOOKUP(G20,'Qualifying Scores'!$A$4:$A$7,'Qualifying Scores'!$G$4:$G$7),AA20&gt;=LOOKUP(G20,'Qualifying Scores'!$A$10:$A$13,'Qualifying Scores'!$G$10:$G$13))),"P",""))</f>
        <v/>
      </c>
      <c r="Q20" s="1" t="str">
        <f>IF(A20&lt;5,IF(_xlfn.MAXIFS(A:A,G:G,G20)&gt;3,5-A20,_xlfn.MAXIFS(A:A,G:G,G20)+1-A20),"")</f>
        <v/>
      </c>
      <c r="R20" s="4">
        <f>MAX(T20,X20)</f>
        <v>43.3</v>
      </c>
      <c r="S20" s="4">
        <f>IF(R20=T20,MAX(V20,X20,Z20),IF(R20=X20,MAX(T20,V20,Z20),0))</f>
        <v>42.6</v>
      </c>
      <c r="T20" s="33">
        <v>43.3</v>
      </c>
      <c r="U20" s="40">
        <v>6.3000000000000007</v>
      </c>
      <c r="V20" s="34">
        <v>40.1</v>
      </c>
      <c r="W20" s="40">
        <v>4.0999999999999996</v>
      </c>
      <c r="X20" s="33">
        <v>42.6</v>
      </c>
      <c r="Y20" s="40">
        <v>6</v>
      </c>
      <c r="Z20" s="34"/>
      <c r="AA20" s="37"/>
    </row>
    <row r="21" spans="1:27" x14ac:dyDescent="0.2">
      <c r="A21" s="1" t="str" cm="1">
        <f t="array" ref="A21">IF(I21="","",IF(P21&lt;&gt;"",SUMPRODUCT((P$3:P$105&lt;&gt;"")*(G$3:G$105=G21)*(J$3:J$105&gt;J21)*(I$3:I$105="P"))+1,IF(O21&lt;&gt;"",SUMPRODUCT((O$3:O$105&lt;&gt;"")*(P$3:P$105="")*(G$3:G$105=G21)*(J$3:J$105&gt;J21)*(I$3:I$105="P"))+SUMPRODUCT((P$3:P$105&lt;&gt;"")*(G$3:G$105=G21)*(I$3:I$105="P"))+1,IF(N21&lt;&gt;"",SUMPRODUCT((N$3:N$105&lt;&gt;"")*(G$3:G$105=G21)*(J$3:J$105&gt;J21)*(I$3:I$105="P"))+1,IF(M21="P",SUMPRODUCT((O$3:O$105&lt;&gt;"")*(P$3:P$105="")*(G$3:G$105=G21)*(I$3:I$105="P"))+SUMPRODUCT((P$3:P$105&lt;&gt;"")*(G$3:G$105=G21)*(I$3:I$105="P"))+SUMPRODUCT((N$3:N$105&lt;&gt;"")*(G$3:G$105=G21)*(I$3:I$105="P"))+SUMPRODUCT((P$3:P$105="")*(O$3:O$105="")*(N$3:N$105="")*(M$3:M$105="P")*(G$3:G$105=G21)*(J$3:J$105&gt;J21)*(I$3:I$105="P"))+IF(H21="L5",SUMPRODUCT((P$3:P$105="")*(O$3:O$105="")*(N$3:N$105="")*(M$3:M$105="P")*(G$3:G$105=G21)*(J$3:J$105&lt;J21)*(H$3:H$105&lt;&gt;H21)*(I$3:I$105="P")),-1*SUMPRODUCT((P$3:P$105="")*(O$3:O$105="")*(N$3:N$105="")*(M$3:M$105="P")*(G$3:G$105=G21)*(J$3:J$105&gt;J21)*(H$3:H$105="L5")*(I$3:I$105="P")))+1,"")))))</f>
        <v/>
      </c>
      <c r="B21" s="1" t="str" cm="1">
        <f t="array" ref="B21">IF(P21&lt;&gt;"",SUMPRODUCT((P$3:P$105&lt;&gt;"")*(G$3:G$105=G21)*(J$3:J$105&gt;J21))+1,IF(O21&lt;&gt;"",SUMPRODUCT((O$3:O$105&lt;&gt;"")*(P$3:P$105="")*(G$3:G$105=G21)*(J$3:J$105&gt;J21))+SUMPRODUCT((P$3:P$105&lt;&gt;"")*(G$3:G$105=G21))+1,IF(N21&lt;&gt;"",SUMPRODUCT((N$3:N$105&lt;&gt;"")*(G$3:G$105=G21)*(J$3:J$105&gt;J21))+1,IF(M21="P",SUMPRODUCT((O$3:O$105&lt;&gt;"")*(P$3:P$105="")*(G$3:G$105=G21))+SUMPRODUCT((P$3:P$105&lt;&gt;"")*(G$3:G$105=G21))+SUMPRODUCT((N$3:N$105&lt;&gt;"")*(G$3:G$105=G21))+SUMPRODUCT((P$3:P$105="")*(O$3:O$105="")*(N$3:N$105="")*(M$3:M$105="P")*(G$3:G$105=G21)*(J$3:J$105&gt;J21))+IF(H21="L5",SUMPRODUCT((P$3:P$105="")*(O$3:O$105="")*(N$3:N$105="")*(M$3:M$105="P")*(G$3:G$105=G21)*(J$3:J$105&lt;J21)*(H$3:H$105&lt;&gt;H21)),-1*SUMPRODUCT((P$3:P$105="")*(O$3:O$105="")*(N$3:N$105="")*(M$3:M$105="P")*(G$3:G$105=G21)*(J$3:J$105&gt;J21)*(H$3:H$105="L5")))+1,""))))</f>
        <v/>
      </c>
      <c r="C21" s="36" t="s">
        <v>351</v>
      </c>
      <c r="D21" s="36" t="str">
        <f>IF(E21="","",VLOOKUP(E21,'Coaching Points'!A:B,2,0))</f>
        <v>BC</v>
      </c>
      <c r="E21" s="36" t="s">
        <v>41</v>
      </c>
      <c r="F21" s="35">
        <v>2004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66</v>
      </c>
      <c r="I21" s="43"/>
      <c r="J21" s="4">
        <f>R21+S21+IF(OR(H21="Junior",H21="Senior"),0.0002,IF(OR(H21="L7",H21="L6"),0.0001,0))+MAX(X21,Z21)*0.0000001</f>
        <v>85.600004339999998</v>
      </c>
      <c r="K21" s="3" t="str">
        <f>IF(G21="Not Age Eligible","",IF(MAX(T21,V21,X21,Z21)&gt;=LOOKUP(G21,'Qualifying Scores'!$A$4:$A$7,'Qualifying Scores'!$G$4:$G$7),"P",""))</f>
        <v/>
      </c>
      <c r="L21" s="3" t="str">
        <f>IF(G21="Not Age Eligible","",IF(MAX(U21,W21,Y21,AA21)&gt;=LOOKUP(G21,'Qualifying Scores'!$A$10:$A$13,'Qualifying Scores'!$G$10:$G$13),"P",""))</f>
        <v/>
      </c>
      <c r="M21" s="3" t="str">
        <f>IF(G21="Not Age Eligible","",IF(OR(AND(T21&gt;=LOOKUP(G21,'Qualifying Scores'!$A$4:$A$7,'Qualifying Scores'!$G$4:$G$7),U21&gt;=LOOKUP(G21,'Qualifying Scores'!$A$10:$A$13,'Qualifying Scores'!$G$10:$G$13)),AND(X21&gt;=LOOKUP(G21,'Qualifying Scores'!$A$4:$A$7,'Qualifying Scores'!$G$4:$G$7),Y21&gt;=LOOKUP(G21,'Qualifying Scores'!$A$10:$A$13,'Qualifying Scores'!$G$10:$G$13)),AND(V21&gt;=LOOKUP(G21,'Qualifying Scores'!$A$4:$A$7,'Qualifying Scores'!$G$4:$G$7),W21&gt;=LOOKUP(G21,'Qualifying Scores'!$A$10:$A$13,'Qualifying Scores'!$G$10:$G$13)),AND(Z21&gt;=LOOKUP(G21,'Qualifying Scores'!$A$4:$A$7,'Qualifying Scores'!$G$4:$G$7),AA21&gt;=LOOKUP(G21,'Qualifying Scores'!$A$10:$A$13,'Qualifying Scores'!$G$10:$G$13))),"P",""))</f>
        <v/>
      </c>
      <c r="Q21" s="1" t="str">
        <f>IF(A21&lt;5,IF(_xlfn.MAXIFS(A:A,G:G,G21)&gt;3,5-A21,_xlfn.MAXIFS(A:A,G:G,G21)+1-A21),"")</f>
        <v/>
      </c>
      <c r="R21" s="4">
        <f>MAX(T21,X21)</f>
        <v>43.4</v>
      </c>
      <c r="S21" s="4">
        <f>IF(R21=T21,MAX(V21,X21,Z21),IF(R21=X21,MAX(T21,V21,Z21),0))</f>
        <v>42.2</v>
      </c>
      <c r="T21" s="33">
        <v>41</v>
      </c>
      <c r="U21" s="40">
        <v>5.8000000000000007</v>
      </c>
      <c r="V21" s="34"/>
      <c r="W21" s="40"/>
      <c r="X21" s="33">
        <v>43.4</v>
      </c>
      <c r="Y21" s="40">
        <v>6.5</v>
      </c>
      <c r="Z21" s="34">
        <v>42.2</v>
      </c>
      <c r="AA21" s="37">
        <v>6.4</v>
      </c>
    </row>
    <row r="22" spans="1:27" x14ac:dyDescent="0.2">
      <c r="A22" s="1" t="str" cm="1">
        <f t="array" ref="A22">IF(I22="","",IF(P22&lt;&gt;"",SUMPRODUCT((P$3:P$105&lt;&gt;"")*(G$3:G$105=G22)*(J$3:J$105&gt;J22)*(I$3:I$105="P"))+1,IF(O22&lt;&gt;"",SUMPRODUCT((O$3:O$105&lt;&gt;"")*(P$3:P$105="")*(G$3:G$105=G22)*(J$3:J$105&gt;J22)*(I$3:I$105="P"))+SUMPRODUCT((P$3:P$105&lt;&gt;"")*(G$3:G$105=G22)*(I$3:I$105="P"))+1,IF(N22&lt;&gt;"",SUMPRODUCT((N$3:N$105&lt;&gt;"")*(G$3:G$105=G22)*(J$3:J$105&gt;J22)*(I$3:I$105="P"))+1,IF(M22="P",SUMPRODUCT((O$3:O$105&lt;&gt;"")*(P$3:P$105="")*(G$3:G$105=G22)*(I$3:I$105="P"))+SUMPRODUCT((P$3:P$105&lt;&gt;"")*(G$3:G$105=G22)*(I$3:I$105="P"))+SUMPRODUCT((N$3:N$105&lt;&gt;"")*(G$3:G$105=G22)*(I$3:I$105="P"))+SUMPRODUCT((P$3:P$105="")*(O$3:O$105="")*(N$3:N$105="")*(M$3:M$105="P")*(G$3:G$105=G22)*(J$3:J$105&gt;J22)*(I$3:I$105="P"))+IF(H22="L5",SUMPRODUCT((P$3:P$105="")*(O$3:O$105="")*(N$3:N$105="")*(M$3:M$105="P")*(G$3:G$105=G22)*(J$3:J$105&lt;J22)*(H$3:H$105&lt;&gt;H22)*(I$3:I$105="P")),-1*SUMPRODUCT((P$3:P$105="")*(O$3:O$105="")*(N$3:N$105="")*(M$3:M$105="P")*(G$3:G$105=G22)*(J$3:J$105&gt;J22)*(H$3:H$105="L5")*(I$3:I$105="P")))+1,"")))))</f>
        <v/>
      </c>
      <c r="B22" s="1" t="str" cm="1">
        <f t="array" ref="B22">IF(P22&lt;&gt;"",SUMPRODUCT((P$3:P$105&lt;&gt;"")*(G$3:G$105=G22)*(J$3:J$105&gt;J22))+1,IF(O22&lt;&gt;"",SUMPRODUCT((O$3:O$105&lt;&gt;"")*(P$3:P$105="")*(G$3:G$105=G22)*(J$3:J$105&gt;J22))+SUMPRODUCT((P$3:P$105&lt;&gt;"")*(G$3:G$105=G22))+1,IF(N22&lt;&gt;"",SUMPRODUCT((N$3:N$105&lt;&gt;"")*(G$3:G$105=G22)*(J$3:J$105&gt;J22))+1,IF(M22="P",SUMPRODUCT((O$3:O$105&lt;&gt;"")*(P$3:P$105="")*(G$3:G$105=G22))+SUMPRODUCT((P$3:P$105&lt;&gt;"")*(G$3:G$105=G22))+SUMPRODUCT((N$3:N$105&lt;&gt;"")*(G$3:G$105=G22))+SUMPRODUCT((P$3:P$105="")*(O$3:O$105="")*(N$3:N$105="")*(M$3:M$105="P")*(G$3:G$105=G22)*(J$3:J$105&gt;J22))+IF(H22="L5",SUMPRODUCT((P$3:P$105="")*(O$3:O$105="")*(N$3:N$105="")*(M$3:M$105="P")*(G$3:G$105=G22)*(J$3:J$105&lt;J22)*(H$3:H$105&lt;&gt;H22)),-1*SUMPRODUCT((P$3:P$105="")*(O$3:O$105="")*(N$3:N$105="")*(M$3:M$105="P")*(G$3:G$105=G22)*(J$3:J$105&gt;J22)*(H$3:H$105="L5")))+1,""))))</f>
        <v/>
      </c>
      <c r="C22" s="36" t="s">
        <v>297</v>
      </c>
      <c r="D22" s="36" t="str">
        <f>IF(E22="","",VLOOKUP(E22,'Coaching Points'!A:B,2,0))</f>
        <v>QC</v>
      </c>
      <c r="E22" s="36" t="s">
        <v>202</v>
      </c>
      <c r="F22" s="35">
        <v>2005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66</v>
      </c>
      <c r="I22" s="43"/>
      <c r="J22" s="4">
        <f>R22+S22+IF(OR(H22="Junior",H22="Senior"),0.0002,IF(OR(H22="L7",H22="L6"),0.0001,0))+MAX(X22,Z22)*0.0000001</f>
        <v>85.500004290000007</v>
      </c>
      <c r="K22" s="3" t="str">
        <f>IF(G22="Not Age Eligible","",IF(MAX(T22,V22,X22,Z22)&gt;=LOOKUP(G22,'Qualifying Scores'!$A$4:$A$7,'Qualifying Scores'!$G$4:$G$7),"P",""))</f>
        <v/>
      </c>
      <c r="L22" s="3" t="str">
        <f>IF(G22="Not Age Eligible","",IF(MAX(U22,W22,Y22,AA22)&gt;=LOOKUP(G22,'Qualifying Scores'!$A$10:$A$13,'Qualifying Scores'!$G$10:$G$13),"P",""))</f>
        <v/>
      </c>
      <c r="M22" s="3" t="str">
        <f>IF(G22="Not Age Eligible","",IF(OR(AND(T22&gt;=LOOKUP(G22,'Qualifying Scores'!$A$4:$A$7,'Qualifying Scores'!$G$4:$G$7),U22&gt;=LOOKUP(G22,'Qualifying Scores'!$A$10:$A$13,'Qualifying Scores'!$G$10:$G$13)),AND(X22&gt;=LOOKUP(G22,'Qualifying Scores'!$A$4:$A$7,'Qualifying Scores'!$G$4:$G$7),Y22&gt;=LOOKUP(G22,'Qualifying Scores'!$A$10:$A$13,'Qualifying Scores'!$G$10:$G$13)),AND(V22&gt;=LOOKUP(G22,'Qualifying Scores'!$A$4:$A$7,'Qualifying Scores'!$G$4:$G$7),W22&gt;=LOOKUP(G22,'Qualifying Scores'!$A$10:$A$13,'Qualifying Scores'!$G$10:$G$13)),AND(Z22&gt;=LOOKUP(G22,'Qualifying Scores'!$A$4:$A$7,'Qualifying Scores'!$G$4:$G$7),AA22&gt;=LOOKUP(G22,'Qualifying Scores'!$A$10:$A$13,'Qualifying Scores'!$G$10:$G$13))),"P",""))</f>
        <v/>
      </c>
      <c r="Q22" s="1" t="str">
        <f>IF(A22&lt;5,IF(_xlfn.MAXIFS(A:A,G:G,G22)&gt;3,5-A22,_xlfn.MAXIFS(A:A,G:G,G22)+1-A22),"")</f>
        <v/>
      </c>
      <c r="R22" s="4">
        <f>MAX(T22,X22)</f>
        <v>42.9</v>
      </c>
      <c r="S22" s="4">
        <f>IF(R22=T22,MAX(V22,X22,Z22),IF(R22=X22,MAX(T22,V22,Z22),0))</f>
        <v>42.6</v>
      </c>
      <c r="T22" s="33">
        <v>42.6</v>
      </c>
      <c r="U22" s="40">
        <v>5</v>
      </c>
      <c r="V22" s="34">
        <v>37</v>
      </c>
      <c r="W22" s="40">
        <v>4</v>
      </c>
      <c r="X22" s="33">
        <v>42.9</v>
      </c>
      <c r="Y22" s="40">
        <v>5.6</v>
      </c>
      <c r="Z22" s="34">
        <v>39.200000000000003</v>
      </c>
      <c r="AA22" s="37">
        <v>2.8</v>
      </c>
    </row>
    <row r="23" spans="1:27" x14ac:dyDescent="0.2">
      <c r="A23" s="1" t="str" cm="1">
        <f t="array" ref="A23">IF(I23="","",IF(P23&lt;&gt;"",SUMPRODUCT((P$3:P$105&lt;&gt;"")*(G$3:G$105=G23)*(J$3:J$105&gt;J23)*(I$3:I$105="P"))+1,IF(O23&lt;&gt;"",SUMPRODUCT((O$3:O$105&lt;&gt;"")*(P$3:P$105="")*(G$3:G$105=G23)*(J$3:J$105&gt;J23)*(I$3:I$105="P"))+SUMPRODUCT((P$3:P$105&lt;&gt;"")*(G$3:G$105=G23)*(I$3:I$105="P"))+1,IF(N23&lt;&gt;"",SUMPRODUCT((N$3:N$105&lt;&gt;"")*(G$3:G$105=G23)*(J$3:J$105&gt;J23)*(I$3:I$105="P"))+1,IF(M23="P",SUMPRODUCT((O$3:O$105&lt;&gt;"")*(P$3:P$105="")*(G$3:G$105=G23)*(I$3:I$105="P"))+SUMPRODUCT((P$3:P$105&lt;&gt;"")*(G$3:G$105=G23)*(I$3:I$105="P"))+SUMPRODUCT((N$3:N$105&lt;&gt;"")*(G$3:G$105=G23)*(I$3:I$105="P"))+SUMPRODUCT((P$3:P$105="")*(O$3:O$105="")*(N$3:N$105="")*(M$3:M$105="P")*(G$3:G$105=G23)*(J$3:J$105&gt;J23)*(I$3:I$105="P"))+IF(H23="L5",SUMPRODUCT((P$3:P$105="")*(O$3:O$105="")*(N$3:N$105="")*(M$3:M$105="P")*(G$3:G$105=G23)*(J$3:J$105&lt;J23)*(H$3:H$105&lt;&gt;H23)*(I$3:I$105="P")),-1*SUMPRODUCT((P$3:P$105="")*(O$3:O$105="")*(N$3:N$105="")*(M$3:M$105="P")*(G$3:G$105=G23)*(J$3:J$105&gt;J23)*(H$3:H$105="L5")*(I$3:I$105="P")))+1,"")))))</f>
        <v/>
      </c>
      <c r="B23" s="1" t="str" cm="1">
        <f t="array" ref="B23">IF(P23&lt;&gt;"",SUMPRODUCT((P$3:P$105&lt;&gt;"")*(G$3:G$105=G23)*(J$3:J$105&gt;J23))+1,IF(O23&lt;&gt;"",SUMPRODUCT((O$3:O$105&lt;&gt;"")*(P$3:P$105="")*(G$3:G$105=G23)*(J$3:J$105&gt;J23))+SUMPRODUCT((P$3:P$105&lt;&gt;"")*(G$3:G$105=G23))+1,IF(N23&lt;&gt;"",SUMPRODUCT((N$3:N$105&lt;&gt;"")*(G$3:G$105=G23)*(J$3:J$105&gt;J23))+1,IF(M23="P",SUMPRODUCT((O$3:O$105&lt;&gt;"")*(P$3:P$105="")*(G$3:G$105=G23))+SUMPRODUCT((P$3:P$105&lt;&gt;"")*(G$3:G$105=G23))+SUMPRODUCT((N$3:N$105&lt;&gt;"")*(G$3:G$105=G23))+SUMPRODUCT((P$3:P$105="")*(O$3:O$105="")*(N$3:N$105="")*(M$3:M$105="P")*(G$3:G$105=G23)*(J$3:J$105&gt;J23))+IF(H23="L5",SUMPRODUCT((P$3:P$105="")*(O$3:O$105="")*(N$3:N$105="")*(M$3:M$105="P")*(G$3:G$105=G23)*(J$3:J$105&lt;J23)*(H$3:H$105&lt;&gt;H23)),-1*SUMPRODUCT((P$3:P$105="")*(O$3:O$105="")*(N$3:N$105="")*(M$3:M$105="P")*(G$3:G$105=G23)*(J$3:J$105&gt;J23)*(H$3:H$105="L5")))+1,""))))</f>
        <v/>
      </c>
      <c r="C23" s="36" t="s">
        <v>129</v>
      </c>
      <c r="D23" s="36" t="str">
        <f>IF(E23="","",VLOOKUP(E23,'Coaching Points'!A:B,2,0))</f>
        <v>ON</v>
      </c>
      <c r="E23" s="36" t="s">
        <v>47</v>
      </c>
      <c r="F23" s="35">
        <v>2006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66</v>
      </c>
      <c r="I23" s="43" t="s">
        <v>567</v>
      </c>
      <c r="J23" s="4">
        <f>R23+S23+IF(OR(H23="Junior",H23="Senior"),0.0002,IF(OR(H23="L7",H23="L6"),0.0001,0))+MAX(X23,Z23)*0.0000001</f>
        <v>85.40000431</v>
      </c>
      <c r="K23" s="3" t="str">
        <f>IF(G23="Not Age Eligible","",IF(MAX(T23,V23,X23,Z23)&gt;=LOOKUP(G23,'Qualifying Scores'!$A$4:$A$7,'Qualifying Scores'!$G$4:$G$7),"P",""))</f>
        <v/>
      </c>
      <c r="L23" s="3" t="str">
        <f>IF(G23="Not Age Eligible","",IF(MAX(U23,W23,Y23,AA23)&gt;=LOOKUP(G23,'Qualifying Scores'!$A$10:$A$13,'Qualifying Scores'!$G$10:$G$13),"P",""))</f>
        <v/>
      </c>
      <c r="M23" s="3" t="str">
        <f>IF(G23="Not Age Eligible","",IF(OR(AND(T23&gt;=LOOKUP(G23,'Qualifying Scores'!$A$4:$A$7,'Qualifying Scores'!$G$4:$G$7),U23&gt;=LOOKUP(G23,'Qualifying Scores'!$A$10:$A$13,'Qualifying Scores'!$G$10:$G$13)),AND(X23&gt;=LOOKUP(G23,'Qualifying Scores'!$A$4:$A$7,'Qualifying Scores'!$G$4:$G$7),Y23&gt;=LOOKUP(G23,'Qualifying Scores'!$A$10:$A$13,'Qualifying Scores'!$G$10:$G$13)),AND(V23&gt;=LOOKUP(G23,'Qualifying Scores'!$A$4:$A$7,'Qualifying Scores'!$G$4:$G$7),W23&gt;=LOOKUP(G23,'Qualifying Scores'!$A$10:$A$13,'Qualifying Scores'!$G$10:$G$13)),AND(Z23&gt;=LOOKUP(G23,'Qualifying Scores'!$A$4:$A$7,'Qualifying Scores'!$G$4:$G$7),AA23&gt;=LOOKUP(G23,'Qualifying Scores'!$A$10:$A$13,'Qualifying Scores'!$G$10:$G$13))),"P",""))</f>
        <v/>
      </c>
      <c r="Q23" s="1" t="str">
        <f>IF(A23&lt;5,IF(_xlfn.MAXIFS(A:A,G:G,G23)&gt;3,5-A23,_xlfn.MAXIFS(A:A,G:G,G23)+1-A23),"")</f>
        <v/>
      </c>
      <c r="R23" s="4">
        <f>MAX(T23,X23)</f>
        <v>43.1</v>
      </c>
      <c r="S23" s="4">
        <f>IF(R23=T23,MAX(V23,X23,Z23),IF(R23=X23,MAX(T23,V23,Z23),0))</f>
        <v>42.3</v>
      </c>
      <c r="T23" s="33">
        <v>42.3</v>
      </c>
      <c r="U23" s="40">
        <v>4.9000000000000004</v>
      </c>
      <c r="V23" s="34">
        <v>41.4</v>
      </c>
      <c r="W23" s="40">
        <v>4.2</v>
      </c>
      <c r="X23" s="33">
        <v>43.1</v>
      </c>
      <c r="Y23" s="40">
        <v>5.4</v>
      </c>
      <c r="Z23" s="34">
        <v>37.5</v>
      </c>
      <c r="AA23" s="37">
        <v>3.4000000000000004</v>
      </c>
    </row>
    <row r="24" spans="1:27" x14ac:dyDescent="0.2">
      <c r="A24" s="1" t="str" cm="1">
        <f t="array" ref="A24">IF(I24="","",IF(P24&lt;&gt;"",SUMPRODUCT((P$3:P$105&lt;&gt;"")*(G$3:G$105=G24)*(J$3:J$105&gt;J24)*(I$3:I$105="P"))+1,IF(O24&lt;&gt;"",SUMPRODUCT((O$3:O$105&lt;&gt;"")*(P$3:P$105="")*(G$3:G$105=G24)*(J$3:J$105&gt;J24)*(I$3:I$105="P"))+SUMPRODUCT((P$3:P$105&lt;&gt;"")*(G$3:G$105=G24)*(I$3:I$105="P"))+1,IF(N24&lt;&gt;"",SUMPRODUCT((N$3:N$105&lt;&gt;"")*(G$3:G$105=G24)*(J$3:J$105&gt;J24)*(I$3:I$105="P"))+1,IF(M24="P",SUMPRODUCT((O$3:O$105&lt;&gt;"")*(P$3:P$105="")*(G$3:G$105=G24)*(I$3:I$105="P"))+SUMPRODUCT((P$3:P$105&lt;&gt;"")*(G$3:G$105=G24)*(I$3:I$105="P"))+SUMPRODUCT((N$3:N$105&lt;&gt;"")*(G$3:G$105=G24)*(I$3:I$105="P"))+SUMPRODUCT((P$3:P$105="")*(O$3:O$105="")*(N$3:N$105="")*(M$3:M$105="P")*(G$3:G$105=G24)*(J$3:J$105&gt;J24)*(I$3:I$105="P"))+IF(H24="L5",SUMPRODUCT((P$3:P$105="")*(O$3:O$105="")*(N$3:N$105="")*(M$3:M$105="P")*(G$3:G$105=G24)*(J$3:J$105&lt;J24)*(H$3:H$105&lt;&gt;H24)*(I$3:I$105="P")),-1*SUMPRODUCT((P$3:P$105="")*(O$3:O$105="")*(N$3:N$105="")*(M$3:M$105="P")*(G$3:G$105=G24)*(J$3:J$105&gt;J24)*(H$3:H$105="L5")*(I$3:I$105="P")))+1,"")))))</f>
        <v/>
      </c>
      <c r="B24" s="1" t="str" cm="1">
        <f t="array" ref="B24">IF(P24&lt;&gt;"",SUMPRODUCT((P$3:P$105&lt;&gt;"")*(G$3:G$105=G24)*(J$3:J$105&gt;J24))+1,IF(O24&lt;&gt;"",SUMPRODUCT((O$3:O$105&lt;&gt;"")*(P$3:P$105="")*(G$3:G$105=G24)*(J$3:J$105&gt;J24))+SUMPRODUCT((P$3:P$105&lt;&gt;"")*(G$3:G$105=G24))+1,IF(N24&lt;&gt;"",SUMPRODUCT((N$3:N$105&lt;&gt;"")*(G$3:G$105=G24)*(J$3:J$105&gt;J24))+1,IF(M24="P",SUMPRODUCT((O$3:O$105&lt;&gt;"")*(P$3:P$105="")*(G$3:G$105=G24))+SUMPRODUCT((P$3:P$105&lt;&gt;"")*(G$3:G$105=G24))+SUMPRODUCT((N$3:N$105&lt;&gt;"")*(G$3:G$105=G24))+SUMPRODUCT((P$3:P$105="")*(O$3:O$105="")*(N$3:N$105="")*(M$3:M$105="P")*(G$3:G$105=G24)*(J$3:J$105&gt;J24))+IF(H24="L5",SUMPRODUCT((P$3:P$105="")*(O$3:O$105="")*(N$3:N$105="")*(M$3:M$105="P")*(G$3:G$105=G24)*(J$3:J$105&lt;J24)*(H$3:H$105&lt;&gt;H24)),-1*SUMPRODUCT((P$3:P$105="")*(O$3:O$105="")*(N$3:N$105="")*(M$3:M$105="P")*(G$3:G$105=G24)*(J$3:J$105&gt;J24)*(H$3:H$105="L5")))+1,""))))</f>
        <v/>
      </c>
      <c r="C24" s="36" t="s">
        <v>503</v>
      </c>
      <c r="D24" s="36" t="str">
        <f>IF(E24="","",VLOOKUP(E24,'Coaching Points'!A:B,2,0))</f>
        <v>BC</v>
      </c>
      <c r="E24" s="36" t="s">
        <v>46</v>
      </c>
      <c r="F24" s="35">
        <v>2003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66</v>
      </c>
      <c r="I24" s="43"/>
      <c r="J24" s="4">
        <f>R24+S24+IF(OR(H24="Junior",H24="Senior"),0.0002,IF(OR(H24="L7",H24="L6"),0.0001,0))+MAX(X24,Z24)*0.0000001</f>
        <v>85.200004329999985</v>
      </c>
      <c r="K24" s="3" t="str">
        <f>IF(G24="Not Age Eligible","",IF(MAX(T24,V24,X24,Z24)&gt;=LOOKUP(G24,'Qualifying Scores'!$A$4:$A$7,'Qualifying Scores'!$G$4:$G$7),"P",""))</f>
        <v/>
      </c>
      <c r="L24" s="3" t="str">
        <f>IF(G24="Not Age Eligible","",IF(MAX(U24,W24,Y24,AA24)&gt;=LOOKUP(G24,'Qualifying Scores'!$A$10:$A$13,'Qualifying Scores'!$G$10:$G$13),"P",""))</f>
        <v/>
      </c>
      <c r="M24" s="3" t="str">
        <f>IF(G24="Not Age Eligible","",IF(OR(AND(T24&gt;=LOOKUP(G24,'Qualifying Scores'!$A$4:$A$7,'Qualifying Scores'!$G$4:$G$7),U24&gt;=LOOKUP(G24,'Qualifying Scores'!$A$10:$A$13,'Qualifying Scores'!$G$10:$G$13)),AND(X24&gt;=LOOKUP(G24,'Qualifying Scores'!$A$4:$A$7,'Qualifying Scores'!$G$4:$G$7),Y24&gt;=LOOKUP(G24,'Qualifying Scores'!$A$10:$A$13,'Qualifying Scores'!$G$10:$G$13)),AND(V24&gt;=LOOKUP(G24,'Qualifying Scores'!$A$4:$A$7,'Qualifying Scores'!$G$4:$G$7),W24&gt;=LOOKUP(G24,'Qualifying Scores'!$A$10:$A$13,'Qualifying Scores'!$G$10:$G$13)),AND(Z24&gt;=LOOKUP(G24,'Qualifying Scores'!$A$4:$A$7,'Qualifying Scores'!$G$4:$G$7),AA24&gt;=LOOKUP(G24,'Qualifying Scores'!$A$10:$A$13,'Qualifying Scores'!$G$10:$G$13))),"P",""))</f>
        <v/>
      </c>
      <c r="Q24" s="1" t="str">
        <f>IF(A24&lt;5,IF(_xlfn.MAXIFS(A:A,G:G,G24)&gt;3,5-A24,_xlfn.MAXIFS(A:A,G:G,G24)+1-A24),"")</f>
        <v/>
      </c>
      <c r="R24" s="4">
        <f>MAX(T24,X24)</f>
        <v>43.3</v>
      </c>
      <c r="S24" s="4">
        <f>IF(R24=T24,MAX(V24,X24,Z24),IF(R24=X24,MAX(T24,V24,Z24),0))</f>
        <v>41.9</v>
      </c>
      <c r="T24" s="33"/>
      <c r="U24" s="40"/>
      <c r="V24" s="34"/>
      <c r="W24" s="40"/>
      <c r="X24" s="33">
        <v>43.3</v>
      </c>
      <c r="Y24" s="40">
        <v>6.3000000000000007</v>
      </c>
      <c r="Z24" s="34">
        <v>41.9</v>
      </c>
      <c r="AA24" s="37">
        <v>5.2</v>
      </c>
    </row>
    <row r="25" spans="1:27" x14ac:dyDescent="0.2">
      <c r="A25" s="1" t="str" cm="1">
        <f t="array" ref="A25">IF(I25="","",IF(P25&lt;&gt;"",SUMPRODUCT((P$3:P$105&lt;&gt;"")*(G$3:G$105=G25)*(J$3:J$105&gt;J25)*(I$3:I$105="P"))+1,IF(O25&lt;&gt;"",SUMPRODUCT((O$3:O$105&lt;&gt;"")*(P$3:P$105="")*(G$3:G$105=G25)*(J$3:J$105&gt;J25)*(I$3:I$105="P"))+SUMPRODUCT((P$3:P$105&lt;&gt;"")*(G$3:G$105=G25)*(I$3:I$105="P"))+1,IF(N25&lt;&gt;"",SUMPRODUCT((N$3:N$105&lt;&gt;"")*(G$3:G$105=G25)*(J$3:J$105&gt;J25)*(I$3:I$105="P"))+1,IF(M25="P",SUMPRODUCT((O$3:O$105&lt;&gt;"")*(P$3:P$105="")*(G$3:G$105=G25)*(I$3:I$105="P"))+SUMPRODUCT((P$3:P$105&lt;&gt;"")*(G$3:G$105=G25)*(I$3:I$105="P"))+SUMPRODUCT((N$3:N$105&lt;&gt;"")*(G$3:G$105=G25)*(I$3:I$105="P"))+SUMPRODUCT((P$3:P$105="")*(O$3:O$105="")*(N$3:N$105="")*(M$3:M$105="P")*(G$3:G$105=G25)*(J$3:J$105&gt;J25)*(I$3:I$105="P"))+IF(H25="L5",SUMPRODUCT((P$3:P$105="")*(O$3:O$105="")*(N$3:N$105="")*(M$3:M$105="P")*(G$3:G$105=G25)*(J$3:J$105&lt;J25)*(H$3:H$105&lt;&gt;H25)*(I$3:I$105="P")),-1*SUMPRODUCT((P$3:P$105="")*(O$3:O$105="")*(N$3:N$105="")*(M$3:M$105="P")*(G$3:G$105=G25)*(J$3:J$105&gt;J25)*(H$3:H$105="L5")*(I$3:I$105="P")))+1,"")))))</f>
        <v/>
      </c>
      <c r="B25" s="1" t="str" cm="1">
        <f t="array" ref="B25">IF(P25&lt;&gt;"",SUMPRODUCT((P$3:P$105&lt;&gt;"")*(G$3:G$105=G25)*(J$3:J$105&gt;J25))+1,IF(O25&lt;&gt;"",SUMPRODUCT((O$3:O$105&lt;&gt;"")*(P$3:P$105="")*(G$3:G$105=G25)*(J$3:J$105&gt;J25))+SUMPRODUCT((P$3:P$105&lt;&gt;"")*(G$3:G$105=G25))+1,IF(N25&lt;&gt;"",SUMPRODUCT((N$3:N$105&lt;&gt;"")*(G$3:G$105=G25)*(J$3:J$105&gt;J25))+1,IF(M25="P",SUMPRODUCT((O$3:O$105&lt;&gt;"")*(P$3:P$105="")*(G$3:G$105=G25))+SUMPRODUCT((P$3:P$105&lt;&gt;"")*(G$3:G$105=G25))+SUMPRODUCT((N$3:N$105&lt;&gt;"")*(G$3:G$105=G25))+SUMPRODUCT((P$3:P$105="")*(O$3:O$105="")*(N$3:N$105="")*(M$3:M$105="P")*(G$3:G$105=G25)*(J$3:J$105&gt;J25))+IF(H25="L5",SUMPRODUCT((P$3:P$105="")*(O$3:O$105="")*(N$3:N$105="")*(M$3:M$105="P")*(G$3:G$105=G25)*(J$3:J$105&lt;J25)*(H$3:H$105&lt;&gt;H25)),-1*SUMPRODUCT((P$3:P$105="")*(O$3:O$105="")*(N$3:N$105="")*(M$3:M$105="P")*(G$3:G$105=G25)*(J$3:J$105&gt;J25)*(H$3:H$105="L5")))+1,""))))</f>
        <v/>
      </c>
      <c r="C25" s="36" t="s">
        <v>357</v>
      </c>
      <c r="D25" s="36" t="str">
        <f>IF(E25="","",VLOOKUP(E25,'Coaching Points'!A:B,2,0))</f>
        <v>BC</v>
      </c>
      <c r="E25" s="36" t="s">
        <v>282</v>
      </c>
      <c r="F25" s="35">
        <v>2006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68</v>
      </c>
      <c r="I25" s="43" t="s">
        <v>567</v>
      </c>
      <c r="J25" s="4">
        <f>R25+S25+IF(OR(H25="Junior",H25="Senior"),0.0002,IF(OR(H25="L7",H25="L6"),0.0001,0))+MAX(X25,Z25)*0.0000001</f>
        <v>85.100104329999994</v>
      </c>
      <c r="K25" s="3" t="str">
        <f>IF(G25="Not Age Eligible","",IF(MAX(T25,V25,X25,Z25)&gt;=LOOKUP(G25,'Qualifying Scores'!$A$4:$A$7,'Qualifying Scores'!$G$4:$G$7),"P",""))</f>
        <v/>
      </c>
      <c r="L25" s="3" t="str">
        <f>IF(G25="Not Age Eligible","",IF(MAX(U25,W25,Y25,AA25)&gt;=LOOKUP(G25,'Qualifying Scores'!$A$10:$A$13,'Qualifying Scores'!$G$10:$G$13),"P",""))</f>
        <v/>
      </c>
      <c r="M25" s="3" t="str">
        <f>IF(G25="Not Age Eligible","",IF(OR(AND(T25&gt;=LOOKUP(G25,'Qualifying Scores'!$A$4:$A$7,'Qualifying Scores'!$G$4:$G$7),U25&gt;=LOOKUP(G25,'Qualifying Scores'!$A$10:$A$13,'Qualifying Scores'!$G$10:$G$13)),AND(X25&gt;=LOOKUP(G25,'Qualifying Scores'!$A$4:$A$7,'Qualifying Scores'!$G$4:$G$7),Y25&gt;=LOOKUP(G25,'Qualifying Scores'!$A$10:$A$13,'Qualifying Scores'!$G$10:$G$13)),AND(V25&gt;=LOOKUP(G25,'Qualifying Scores'!$A$4:$A$7,'Qualifying Scores'!$G$4:$G$7),W25&gt;=LOOKUP(G25,'Qualifying Scores'!$A$10:$A$13,'Qualifying Scores'!$G$10:$G$13)),AND(Z25&gt;=LOOKUP(G25,'Qualifying Scores'!$A$4:$A$7,'Qualifying Scores'!$G$4:$G$7),AA25&gt;=LOOKUP(G25,'Qualifying Scores'!$A$10:$A$13,'Qualifying Scores'!$G$10:$G$13))),"P",""))</f>
        <v/>
      </c>
      <c r="Q25" s="1" t="str">
        <f>IF(A25&lt;5,IF(_xlfn.MAXIFS(A:A,G:G,G25)&gt;3,5-A25,_xlfn.MAXIFS(A:A,G:G,G25)+1-A25),"")</f>
        <v/>
      </c>
      <c r="R25" s="4">
        <f>MAX(T25,X25)</f>
        <v>41.8</v>
      </c>
      <c r="S25" s="4">
        <f>IF(R25=T25,MAX(V25,X25,Z25),IF(R25=X25,MAX(T25,V25,Z25),0))</f>
        <v>43.3</v>
      </c>
      <c r="T25" s="33">
        <v>23.9</v>
      </c>
      <c r="U25" s="40">
        <v>5.2</v>
      </c>
      <c r="V25" s="34"/>
      <c r="W25" s="40"/>
      <c r="X25" s="33">
        <v>41.8</v>
      </c>
      <c r="Y25" s="40">
        <v>7.6</v>
      </c>
      <c r="Z25" s="34">
        <v>43.3</v>
      </c>
      <c r="AA25" s="37">
        <v>7.2</v>
      </c>
    </row>
    <row r="26" spans="1:27" x14ac:dyDescent="0.2">
      <c r="A26" s="1" t="str" cm="1">
        <f t="array" ref="A26">IF(I26="","",IF(P26&lt;&gt;"",SUMPRODUCT((P$3:P$105&lt;&gt;"")*(G$3:G$105=G26)*(J$3:J$105&gt;J26)*(I$3:I$105="P"))+1,IF(O26&lt;&gt;"",SUMPRODUCT((O$3:O$105&lt;&gt;"")*(P$3:P$105="")*(G$3:G$105=G26)*(J$3:J$105&gt;J26)*(I$3:I$105="P"))+SUMPRODUCT((P$3:P$105&lt;&gt;"")*(G$3:G$105=G26)*(I$3:I$105="P"))+1,IF(N26&lt;&gt;"",SUMPRODUCT((N$3:N$105&lt;&gt;"")*(G$3:G$105=G26)*(J$3:J$105&gt;J26)*(I$3:I$105="P"))+1,IF(M26="P",SUMPRODUCT((O$3:O$105&lt;&gt;"")*(P$3:P$105="")*(G$3:G$105=G26)*(I$3:I$105="P"))+SUMPRODUCT((P$3:P$105&lt;&gt;"")*(G$3:G$105=G26)*(I$3:I$105="P"))+SUMPRODUCT((N$3:N$105&lt;&gt;"")*(G$3:G$105=G26)*(I$3:I$105="P"))+SUMPRODUCT((P$3:P$105="")*(O$3:O$105="")*(N$3:N$105="")*(M$3:M$105="P")*(G$3:G$105=G26)*(J$3:J$105&gt;J26)*(I$3:I$105="P"))+IF(H26="L5",SUMPRODUCT((P$3:P$105="")*(O$3:O$105="")*(N$3:N$105="")*(M$3:M$105="P")*(G$3:G$105=G26)*(J$3:J$105&lt;J26)*(H$3:H$105&lt;&gt;H26)*(I$3:I$105="P")),-1*SUMPRODUCT((P$3:P$105="")*(O$3:O$105="")*(N$3:N$105="")*(M$3:M$105="P")*(G$3:G$105=G26)*(J$3:J$105&gt;J26)*(H$3:H$105="L5")*(I$3:I$105="P")))+1,"")))))</f>
        <v/>
      </c>
      <c r="B26" s="1" t="str" cm="1">
        <f t="array" ref="B26">IF(P26&lt;&gt;"",SUMPRODUCT((P$3:P$105&lt;&gt;"")*(G$3:G$105=G26)*(J$3:J$105&gt;J26))+1,IF(O26&lt;&gt;"",SUMPRODUCT((O$3:O$105&lt;&gt;"")*(P$3:P$105="")*(G$3:G$105=G26)*(J$3:J$105&gt;J26))+SUMPRODUCT((P$3:P$105&lt;&gt;"")*(G$3:G$105=G26))+1,IF(N26&lt;&gt;"",SUMPRODUCT((N$3:N$105&lt;&gt;"")*(G$3:G$105=G26)*(J$3:J$105&gt;J26))+1,IF(M26="P",SUMPRODUCT((O$3:O$105&lt;&gt;"")*(P$3:P$105="")*(G$3:G$105=G26))+SUMPRODUCT((P$3:P$105&lt;&gt;"")*(G$3:G$105=G26))+SUMPRODUCT((N$3:N$105&lt;&gt;"")*(G$3:G$105=G26))+SUMPRODUCT((P$3:P$105="")*(O$3:O$105="")*(N$3:N$105="")*(M$3:M$105="P")*(G$3:G$105=G26)*(J$3:J$105&gt;J26))+IF(H26="L5",SUMPRODUCT((P$3:P$105="")*(O$3:O$105="")*(N$3:N$105="")*(M$3:M$105="P")*(G$3:G$105=G26)*(J$3:J$105&lt;J26)*(H$3:H$105&lt;&gt;H26)),-1*SUMPRODUCT((P$3:P$105="")*(O$3:O$105="")*(N$3:N$105="")*(M$3:M$105="P")*(G$3:G$105=G26)*(J$3:J$105&gt;J26)*(H$3:H$105="L5")))+1,""))))</f>
        <v/>
      </c>
      <c r="C26" s="36" t="s">
        <v>185</v>
      </c>
      <c r="D26" s="36" t="str">
        <f>IF(E26="","",VLOOKUP(E26,'Coaching Points'!A:B,2,0))</f>
        <v>SK</v>
      </c>
      <c r="E26" s="36" t="s">
        <v>60</v>
      </c>
      <c r="F26" s="35">
        <v>2004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66</v>
      </c>
      <c r="I26" s="43"/>
      <c r="J26" s="4">
        <f>R26+S26+IF(OR(H26="Junior",H26="Senior"),0.0002,IF(OR(H26="L7",H26="L6"),0.0001,0))+MAX(X26,Z26)*0.0000001</f>
        <v>85.000004300000001</v>
      </c>
      <c r="K26" s="3" t="str">
        <f>IF(G26="Not Age Eligible","",IF(MAX(T26,V26,X26,Z26)&gt;=LOOKUP(G26,'Qualifying Scores'!$A$4:$A$7,'Qualifying Scores'!$G$4:$G$7),"P",""))</f>
        <v/>
      </c>
      <c r="L26" s="3" t="str">
        <f>IF(G26="Not Age Eligible","",IF(MAX(U26,W26,Y26,AA26)&gt;=LOOKUP(G26,'Qualifying Scores'!$A$10:$A$13,'Qualifying Scores'!$G$10:$G$13),"P",""))</f>
        <v/>
      </c>
      <c r="M26" s="3" t="str">
        <f>IF(G26="Not Age Eligible","",IF(OR(AND(T26&gt;=LOOKUP(G26,'Qualifying Scores'!$A$4:$A$7,'Qualifying Scores'!$G$4:$G$7),U26&gt;=LOOKUP(G26,'Qualifying Scores'!$A$10:$A$13,'Qualifying Scores'!$G$10:$G$13)),AND(X26&gt;=LOOKUP(G26,'Qualifying Scores'!$A$4:$A$7,'Qualifying Scores'!$G$4:$G$7),Y26&gt;=LOOKUP(G26,'Qualifying Scores'!$A$10:$A$13,'Qualifying Scores'!$G$10:$G$13)),AND(V26&gt;=LOOKUP(G26,'Qualifying Scores'!$A$4:$A$7,'Qualifying Scores'!$G$4:$G$7),W26&gt;=LOOKUP(G26,'Qualifying Scores'!$A$10:$A$13,'Qualifying Scores'!$G$10:$G$13)),AND(Z26&gt;=LOOKUP(G26,'Qualifying Scores'!$A$4:$A$7,'Qualifying Scores'!$G$4:$G$7),AA26&gt;=LOOKUP(G26,'Qualifying Scores'!$A$10:$A$13,'Qualifying Scores'!$G$10:$G$13))),"P",""))</f>
        <v/>
      </c>
      <c r="Q26" s="1" t="str">
        <f>IF(A26&lt;5,IF(_xlfn.MAXIFS(A:A,G:G,G26)&gt;3,5-A26,_xlfn.MAXIFS(A:A,G:G,G26)+1-A26),"")</f>
        <v/>
      </c>
      <c r="R26" s="4">
        <f>MAX(T26,X26)</f>
        <v>43</v>
      </c>
      <c r="S26" s="4">
        <f>IF(R26=T26,MAX(V26,X26,Z26),IF(R26=X26,MAX(T26,V26,Z26),0))</f>
        <v>42</v>
      </c>
      <c r="T26" s="33">
        <v>41.7</v>
      </c>
      <c r="U26" s="40">
        <v>4.8000000000000007</v>
      </c>
      <c r="V26" s="34"/>
      <c r="W26" s="40"/>
      <c r="X26" s="33">
        <v>43</v>
      </c>
      <c r="Y26" s="40">
        <v>5.8000000000000007</v>
      </c>
      <c r="Z26" s="34">
        <v>42</v>
      </c>
      <c r="AA26" s="37">
        <v>5.6</v>
      </c>
    </row>
    <row r="27" spans="1:27" x14ac:dyDescent="0.2">
      <c r="A27" s="1" t="str" cm="1">
        <f t="array" ref="A27">IF(I27="","",IF(P27&lt;&gt;"",SUMPRODUCT((P$3:P$105&lt;&gt;"")*(G$3:G$105=G27)*(J$3:J$105&gt;J27)*(I$3:I$105="P"))+1,IF(O27&lt;&gt;"",SUMPRODUCT((O$3:O$105&lt;&gt;"")*(P$3:P$105="")*(G$3:G$105=G27)*(J$3:J$105&gt;J27)*(I$3:I$105="P"))+SUMPRODUCT((P$3:P$105&lt;&gt;"")*(G$3:G$105=G27)*(I$3:I$105="P"))+1,IF(N27&lt;&gt;"",SUMPRODUCT((N$3:N$105&lt;&gt;"")*(G$3:G$105=G27)*(J$3:J$105&gt;J27)*(I$3:I$105="P"))+1,IF(M27="P",SUMPRODUCT((O$3:O$105&lt;&gt;"")*(P$3:P$105="")*(G$3:G$105=G27)*(I$3:I$105="P"))+SUMPRODUCT((P$3:P$105&lt;&gt;"")*(G$3:G$105=G27)*(I$3:I$105="P"))+SUMPRODUCT((N$3:N$105&lt;&gt;"")*(G$3:G$105=G27)*(I$3:I$105="P"))+SUMPRODUCT((P$3:P$105="")*(O$3:O$105="")*(N$3:N$105="")*(M$3:M$105="P")*(G$3:G$105=G27)*(J$3:J$105&gt;J27)*(I$3:I$105="P"))+IF(H27="L5",SUMPRODUCT((P$3:P$105="")*(O$3:O$105="")*(N$3:N$105="")*(M$3:M$105="P")*(G$3:G$105=G27)*(J$3:J$105&lt;J27)*(H$3:H$105&lt;&gt;H27)*(I$3:I$105="P")),-1*SUMPRODUCT((P$3:P$105="")*(O$3:O$105="")*(N$3:N$105="")*(M$3:M$105="P")*(G$3:G$105=G27)*(J$3:J$105&gt;J27)*(H$3:H$105="L5")*(I$3:I$105="P")))+1,"")))))</f>
        <v/>
      </c>
      <c r="B27" s="1" t="str" cm="1">
        <f t="array" ref="B27">IF(P27&lt;&gt;"",SUMPRODUCT((P$3:P$105&lt;&gt;"")*(G$3:G$105=G27)*(J$3:J$105&gt;J27))+1,IF(O27&lt;&gt;"",SUMPRODUCT((O$3:O$105&lt;&gt;"")*(P$3:P$105="")*(G$3:G$105=G27)*(J$3:J$105&gt;J27))+SUMPRODUCT((P$3:P$105&lt;&gt;"")*(G$3:G$105=G27))+1,IF(N27&lt;&gt;"",SUMPRODUCT((N$3:N$105&lt;&gt;"")*(G$3:G$105=G27)*(J$3:J$105&gt;J27))+1,IF(M27="P",SUMPRODUCT((O$3:O$105&lt;&gt;"")*(P$3:P$105="")*(G$3:G$105=G27))+SUMPRODUCT((P$3:P$105&lt;&gt;"")*(G$3:G$105=G27))+SUMPRODUCT((N$3:N$105&lt;&gt;"")*(G$3:G$105=G27))+SUMPRODUCT((P$3:P$105="")*(O$3:O$105="")*(N$3:N$105="")*(M$3:M$105="P")*(G$3:G$105=G27)*(J$3:J$105&gt;J27))+IF(H27="L5",SUMPRODUCT((P$3:P$105="")*(O$3:O$105="")*(N$3:N$105="")*(M$3:M$105="P")*(G$3:G$105=G27)*(J$3:J$105&lt;J27)*(H$3:H$105&lt;&gt;H27)),-1*SUMPRODUCT((P$3:P$105="")*(O$3:O$105="")*(N$3:N$105="")*(M$3:M$105="P")*(G$3:G$105=G27)*(J$3:J$105&gt;J27)*(H$3:H$105="L5")))+1,""))))</f>
        <v/>
      </c>
      <c r="C27" s="36" t="s">
        <v>189</v>
      </c>
      <c r="D27" s="36" t="str">
        <f>IF(E27="","",VLOOKUP(E27,'Coaching Points'!A:B,2,0))</f>
        <v>SK</v>
      </c>
      <c r="E27" s="36" t="s">
        <v>60</v>
      </c>
      <c r="F27" s="35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66</v>
      </c>
      <c r="I27" s="43"/>
      <c r="J27" s="4">
        <f>R27+S27+IF(OR(H27="Junior",H27="Senior"),0.0002,IF(OR(H27="L7",H27="L6"),0.0001,0))+MAX(X27,Z27)*0.0000001</f>
        <v>84.9</v>
      </c>
      <c r="K27" s="3" t="str">
        <f>IF(G27="Not Age Eligible","",IF(MAX(T27,V27,X27,Z27)&gt;=LOOKUP(G27,'Qualifying Scores'!$A$4:$A$7,'Qualifying Scores'!$G$4:$G$7),"P",""))</f>
        <v/>
      </c>
      <c r="L27" s="3" t="str">
        <f>IF(G27="Not Age Eligible","",IF(MAX(U27,W27,Y27,AA27)&gt;=LOOKUP(G27,'Qualifying Scores'!$A$10:$A$13,'Qualifying Scores'!$G$10:$G$13),"P",""))</f>
        <v/>
      </c>
      <c r="M27" s="3" t="str">
        <f>IF(G27="Not Age Eligible","",IF(OR(AND(T27&gt;=LOOKUP(G27,'Qualifying Scores'!$A$4:$A$7,'Qualifying Scores'!$G$4:$G$7),U27&gt;=LOOKUP(G27,'Qualifying Scores'!$A$10:$A$13,'Qualifying Scores'!$G$10:$G$13)),AND(X27&gt;=LOOKUP(G27,'Qualifying Scores'!$A$4:$A$7,'Qualifying Scores'!$G$4:$G$7),Y27&gt;=LOOKUP(G27,'Qualifying Scores'!$A$10:$A$13,'Qualifying Scores'!$G$10:$G$13)),AND(V27&gt;=LOOKUP(G27,'Qualifying Scores'!$A$4:$A$7,'Qualifying Scores'!$G$4:$G$7),W27&gt;=LOOKUP(G27,'Qualifying Scores'!$A$10:$A$13,'Qualifying Scores'!$G$10:$G$13)),AND(Z27&gt;=LOOKUP(G27,'Qualifying Scores'!$A$4:$A$7,'Qualifying Scores'!$G$4:$G$7),AA27&gt;=LOOKUP(G27,'Qualifying Scores'!$A$10:$A$13,'Qualifying Scores'!$G$10:$G$13))),"P",""))</f>
        <v/>
      </c>
      <c r="Q27" s="1" t="str">
        <f>IF(A27&lt;5,IF(_xlfn.MAXIFS(A:A,G:G,G27)&gt;3,5-A27,_xlfn.MAXIFS(A:A,G:G,G27)+1-A27),"")</f>
        <v/>
      </c>
      <c r="R27" s="4">
        <f>MAX(T27,X27)</f>
        <v>42.3</v>
      </c>
      <c r="S27" s="4">
        <f>IF(R27=T27,MAX(V27,X27,Z27),IF(R27=X27,MAX(T27,V27,Z27),0))</f>
        <v>42.6</v>
      </c>
      <c r="T27" s="33">
        <v>42.3</v>
      </c>
      <c r="U27" s="40">
        <v>5.6</v>
      </c>
      <c r="V27" s="34">
        <v>42.6</v>
      </c>
      <c r="W27" s="40">
        <v>6.3000000000000007</v>
      </c>
      <c r="X27" s="33"/>
      <c r="Y27" s="40"/>
      <c r="Z27" s="34"/>
      <c r="AA27" s="37"/>
    </row>
    <row r="28" spans="1:27" x14ac:dyDescent="0.2">
      <c r="A28" s="1" t="str" cm="1">
        <f t="array" ref="A28">IF(I28="","",IF(P28&lt;&gt;"",SUMPRODUCT((P$3:P$105&lt;&gt;"")*(G$3:G$105=G28)*(J$3:J$105&gt;J28)*(I$3:I$105="P"))+1,IF(O28&lt;&gt;"",SUMPRODUCT((O$3:O$105&lt;&gt;"")*(P$3:P$105="")*(G$3:G$105=G28)*(J$3:J$105&gt;J28)*(I$3:I$105="P"))+SUMPRODUCT((P$3:P$105&lt;&gt;"")*(G$3:G$105=G28)*(I$3:I$105="P"))+1,IF(N28&lt;&gt;"",SUMPRODUCT((N$3:N$105&lt;&gt;"")*(G$3:G$105=G28)*(J$3:J$105&gt;J28)*(I$3:I$105="P"))+1,IF(M28="P",SUMPRODUCT((O$3:O$105&lt;&gt;"")*(P$3:P$105="")*(G$3:G$105=G28)*(I$3:I$105="P"))+SUMPRODUCT((P$3:P$105&lt;&gt;"")*(G$3:G$105=G28)*(I$3:I$105="P"))+SUMPRODUCT((N$3:N$105&lt;&gt;"")*(G$3:G$105=G28)*(I$3:I$105="P"))+SUMPRODUCT((P$3:P$105="")*(O$3:O$105="")*(N$3:N$105="")*(M$3:M$105="P")*(G$3:G$105=G28)*(J$3:J$105&gt;J28)*(I$3:I$105="P"))+IF(H28="L5",SUMPRODUCT((P$3:P$105="")*(O$3:O$105="")*(N$3:N$105="")*(M$3:M$105="P")*(G$3:G$105=G28)*(J$3:J$105&lt;J28)*(H$3:H$105&lt;&gt;H28)*(I$3:I$105="P")),-1*SUMPRODUCT((P$3:P$105="")*(O$3:O$105="")*(N$3:N$105="")*(M$3:M$105="P")*(G$3:G$105=G28)*(J$3:J$105&gt;J28)*(H$3:H$105="L5")*(I$3:I$105="P")))+1,"")))))</f>
        <v/>
      </c>
      <c r="B28" s="1" t="str" cm="1">
        <f t="array" ref="B28">IF(P28&lt;&gt;"",SUMPRODUCT((P$3:P$105&lt;&gt;"")*(G$3:G$105=G28)*(J$3:J$105&gt;J28))+1,IF(O28&lt;&gt;"",SUMPRODUCT((O$3:O$105&lt;&gt;"")*(P$3:P$105="")*(G$3:G$105=G28)*(J$3:J$105&gt;J28))+SUMPRODUCT((P$3:P$105&lt;&gt;"")*(G$3:G$105=G28))+1,IF(N28&lt;&gt;"",SUMPRODUCT((N$3:N$105&lt;&gt;"")*(G$3:G$105=G28)*(J$3:J$105&gt;J28))+1,IF(M28="P",SUMPRODUCT((O$3:O$105&lt;&gt;"")*(P$3:P$105="")*(G$3:G$105=G28))+SUMPRODUCT((P$3:P$105&lt;&gt;"")*(G$3:G$105=G28))+SUMPRODUCT((N$3:N$105&lt;&gt;"")*(G$3:G$105=G28))+SUMPRODUCT((P$3:P$105="")*(O$3:O$105="")*(N$3:N$105="")*(M$3:M$105="P")*(G$3:G$105=G28)*(J$3:J$105&gt;J28))+IF(H28="L5",SUMPRODUCT((P$3:P$105="")*(O$3:O$105="")*(N$3:N$105="")*(M$3:M$105="P")*(G$3:G$105=G28)*(J$3:J$105&lt;J28)*(H$3:H$105&lt;&gt;H28)),-1*SUMPRODUCT((P$3:P$105="")*(O$3:O$105="")*(N$3:N$105="")*(M$3:M$105="P")*(G$3:G$105=G28)*(J$3:J$105&gt;J28)*(H$3:H$105="L5")))+1,""))))</f>
        <v/>
      </c>
      <c r="C28" s="36" t="s">
        <v>249</v>
      </c>
      <c r="D28" s="36" t="str">
        <f>IF(E28="","",VLOOKUP(E28,'Coaching Points'!A:B,2,0))</f>
        <v>ON</v>
      </c>
      <c r="E28" s="36" t="s">
        <v>100</v>
      </c>
      <c r="F28" s="35">
        <v>2002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68</v>
      </c>
      <c r="I28" s="43"/>
      <c r="J28" s="4">
        <f>R28+S28+IF(OR(H28="Junior",H28="Senior"),0.0002,IF(OR(H28="L7",H28="L6"),0.0001,0))+MAX(X28,Z28)*0.0000001</f>
        <v>84.800104349999998</v>
      </c>
      <c r="K28" s="3" t="str">
        <f>IF(G28="Not Age Eligible","",IF(MAX(T28,V28,X28,Z28)&gt;=LOOKUP(G28,'Qualifying Scores'!$A$4:$A$7,'Qualifying Scores'!$G$4:$G$7),"P",""))</f>
        <v/>
      </c>
      <c r="L28" s="3" t="str">
        <f>IF(G28="Not Age Eligible","",IF(MAX(U28,W28,Y28,AA28)&gt;=LOOKUP(G28,'Qualifying Scores'!$A$10:$A$13,'Qualifying Scores'!$G$10:$G$13),"P",""))</f>
        <v>P</v>
      </c>
      <c r="M28" s="3" t="str">
        <f>IF(G28="Not Age Eligible","",IF(OR(AND(T28&gt;=LOOKUP(G28,'Qualifying Scores'!$A$4:$A$7,'Qualifying Scores'!$G$4:$G$7),U28&gt;=LOOKUP(G28,'Qualifying Scores'!$A$10:$A$13,'Qualifying Scores'!$G$10:$G$13)),AND(X28&gt;=LOOKUP(G28,'Qualifying Scores'!$A$4:$A$7,'Qualifying Scores'!$G$4:$G$7),Y28&gt;=LOOKUP(G28,'Qualifying Scores'!$A$10:$A$13,'Qualifying Scores'!$G$10:$G$13)),AND(V28&gt;=LOOKUP(G28,'Qualifying Scores'!$A$4:$A$7,'Qualifying Scores'!$G$4:$G$7),W28&gt;=LOOKUP(G28,'Qualifying Scores'!$A$10:$A$13,'Qualifying Scores'!$G$10:$G$13)),AND(Z28&gt;=LOOKUP(G28,'Qualifying Scores'!$A$4:$A$7,'Qualifying Scores'!$G$4:$G$7),AA28&gt;=LOOKUP(G28,'Qualifying Scores'!$A$10:$A$13,'Qualifying Scores'!$G$10:$G$13))),"P",""))</f>
        <v/>
      </c>
      <c r="Q28" s="1" t="str">
        <f>IF(A28&lt;5,IF(_xlfn.MAXIFS(A:A,G:G,G28)&gt;3,5-A28,_xlfn.MAXIFS(A:A,G:G,G28)+1-A28),"")</f>
        <v/>
      </c>
      <c r="R28" s="4">
        <f>MAX(T28,X28)</f>
        <v>43.5</v>
      </c>
      <c r="S28" s="4">
        <f>IF(R28=T28,MAX(V28,X28,Z28),IF(R28=X28,MAX(T28,V28,Z28),0))</f>
        <v>41.3</v>
      </c>
      <c r="T28" s="33"/>
      <c r="U28" s="40"/>
      <c r="V28" s="34"/>
      <c r="W28" s="40"/>
      <c r="X28" s="33">
        <v>43.5</v>
      </c>
      <c r="Y28" s="40">
        <v>10</v>
      </c>
      <c r="Z28" s="34">
        <v>41.3</v>
      </c>
      <c r="AA28" s="37">
        <v>5.5</v>
      </c>
    </row>
    <row r="29" spans="1:27" x14ac:dyDescent="0.2">
      <c r="A29" s="1" t="str" cm="1">
        <f t="array" ref="A29">IF(I29="","",IF(P29&lt;&gt;"",SUMPRODUCT((P$3:P$105&lt;&gt;"")*(G$3:G$105=G29)*(J$3:J$105&gt;J29)*(I$3:I$105="P"))+1,IF(O29&lt;&gt;"",SUMPRODUCT((O$3:O$105&lt;&gt;"")*(P$3:P$105="")*(G$3:G$105=G29)*(J$3:J$105&gt;J29)*(I$3:I$105="P"))+SUMPRODUCT((P$3:P$105&lt;&gt;"")*(G$3:G$105=G29)*(I$3:I$105="P"))+1,IF(N29&lt;&gt;"",SUMPRODUCT((N$3:N$105&lt;&gt;"")*(G$3:G$105=G29)*(J$3:J$105&gt;J29)*(I$3:I$105="P"))+1,IF(M29="P",SUMPRODUCT((O$3:O$105&lt;&gt;"")*(P$3:P$105="")*(G$3:G$105=G29)*(I$3:I$105="P"))+SUMPRODUCT((P$3:P$105&lt;&gt;"")*(G$3:G$105=G29)*(I$3:I$105="P"))+SUMPRODUCT((N$3:N$105&lt;&gt;"")*(G$3:G$105=G29)*(I$3:I$105="P"))+SUMPRODUCT((P$3:P$105="")*(O$3:O$105="")*(N$3:N$105="")*(M$3:M$105="P")*(G$3:G$105=G29)*(J$3:J$105&gt;J29)*(I$3:I$105="P"))+IF(H29="L5",SUMPRODUCT((P$3:P$105="")*(O$3:O$105="")*(N$3:N$105="")*(M$3:M$105="P")*(G$3:G$105=G29)*(J$3:J$105&lt;J29)*(H$3:H$105&lt;&gt;H29)*(I$3:I$105="P")),-1*SUMPRODUCT((P$3:P$105="")*(O$3:O$105="")*(N$3:N$105="")*(M$3:M$105="P")*(G$3:G$105=G29)*(J$3:J$105&gt;J29)*(H$3:H$105="L5")*(I$3:I$105="P")))+1,"")))))</f>
        <v/>
      </c>
      <c r="B29" s="1" t="str" cm="1">
        <f t="array" ref="B29">IF(P29&lt;&gt;"",SUMPRODUCT((P$3:P$105&lt;&gt;"")*(G$3:G$105=G29)*(J$3:J$105&gt;J29))+1,IF(O29&lt;&gt;"",SUMPRODUCT((O$3:O$105&lt;&gt;"")*(P$3:P$105="")*(G$3:G$105=G29)*(J$3:J$105&gt;J29))+SUMPRODUCT((P$3:P$105&lt;&gt;"")*(G$3:G$105=G29))+1,IF(N29&lt;&gt;"",SUMPRODUCT((N$3:N$105&lt;&gt;"")*(G$3:G$105=G29)*(J$3:J$105&gt;J29))+1,IF(M29="P",SUMPRODUCT((O$3:O$105&lt;&gt;"")*(P$3:P$105="")*(G$3:G$105=G29))+SUMPRODUCT((P$3:P$105&lt;&gt;"")*(G$3:G$105=G29))+SUMPRODUCT((N$3:N$105&lt;&gt;"")*(G$3:G$105=G29))+SUMPRODUCT((P$3:P$105="")*(O$3:O$105="")*(N$3:N$105="")*(M$3:M$105="P")*(G$3:G$105=G29)*(J$3:J$105&gt;J29))+IF(H29="L5",SUMPRODUCT((P$3:P$105="")*(O$3:O$105="")*(N$3:N$105="")*(M$3:M$105="P")*(G$3:G$105=G29)*(J$3:J$105&lt;J29)*(H$3:H$105&lt;&gt;H29)),-1*SUMPRODUCT((P$3:P$105="")*(O$3:O$105="")*(N$3:N$105="")*(M$3:M$105="P")*(G$3:G$105=G29)*(J$3:J$105&gt;J29)*(H$3:H$105="L5")))+1,""))))</f>
        <v/>
      </c>
      <c r="C29" s="36" t="s">
        <v>504</v>
      </c>
      <c r="D29" s="36" t="str">
        <f>IF(E29="","",VLOOKUP(E29,'Coaching Points'!A:B,2,0))</f>
        <v>SK</v>
      </c>
      <c r="E29" s="36" t="s">
        <v>45</v>
      </c>
      <c r="F29" s="35">
        <v>2005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/>
      <c r="J29" s="4">
        <f>R29+S29+IF(OR(H29="Junior",H29="Senior"),0.0002,IF(OR(H29="L7",H29="L6"),0.0001,0))+MAX(X29,Z29)*0.0000001</f>
        <v>84.60000436</v>
      </c>
      <c r="K29" s="3" t="str">
        <f>IF(G29="Not Age Eligible","",IF(MAX(T29,V29,X29,Z29)&gt;=LOOKUP(G29,'Qualifying Scores'!$A$4:$A$7,'Qualifying Scores'!$G$4:$G$7),"P",""))</f>
        <v/>
      </c>
      <c r="L29" s="3" t="str">
        <f>IF(G29="Not Age Eligible","",IF(MAX(U29,W29,Y29,AA29)&gt;=LOOKUP(G29,'Qualifying Scores'!$A$10:$A$13,'Qualifying Scores'!$G$10:$G$13),"P",""))</f>
        <v/>
      </c>
      <c r="M29" s="3" t="str">
        <f>IF(G29="Not Age Eligible","",IF(OR(AND(T29&gt;=LOOKUP(G29,'Qualifying Scores'!$A$4:$A$7,'Qualifying Scores'!$G$4:$G$7),U29&gt;=LOOKUP(G29,'Qualifying Scores'!$A$10:$A$13,'Qualifying Scores'!$G$10:$G$13)),AND(X29&gt;=LOOKUP(G29,'Qualifying Scores'!$A$4:$A$7,'Qualifying Scores'!$G$4:$G$7),Y29&gt;=LOOKUP(G29,'Qualifying Scores'!$A$10:$A$13,'Qualifying Scores'!$G$10:$G$13)),AND(V29&gt;=LOOKUP(G29,'Qualifying Scores'!$A$4:$A$7,'Qualifying Scores'!$G$4:$G$7),W29&gt;=LOOKUP(G29,'Qualifying Scores'!$A$10:$A$13,'Qualifying Scores'!$G$10:$G$13)),AND(Z29&gt;=LOOKUP(G29,'Qualifying Scores'!$A$4:$A$7,'Qualifying Scores'!$G$4:$G$7),AA29&gt;=LOOKUP(G29,'Qualifying Scores'!$A$10:$A$13,'Qualifying Scores'!$G$10:$G$13))),"P",""))</f>
        <v/>
      </c>
      <c r="Q29" s="1" t="str">
        <f>IF(A29&lt;5,IF(_xlfn.MAXIFS(A:A,G:G,G29)&gt;3,5-A29,_xlfn.MAXIFS(A:A,G:G,G29)+1-A29),"")</f>
        <v/>
      </c>
      <c r="R29" s="4">
        <f>MAX(T29,X29)</f>
        <v>43.6</v>
      </c>
      <c r="S29" s="4">
        <f>IF(R29=T29,MAX(V29,X29,Z29),IF(R29=X29,MAX(T29,V29,Z29),0))</f>
        <v>41</v>
      </c>
      <c r="T29" s="33"/>
      <c r="U29" s="40"/>
      <c r="V29" s="34"/>
      <c r="W29" s="40"/>
      <c r="X29" s="33">
        <v>43.6</v>
      </c>
      <c r="Y29" s="40">
        <v>6.3000000000000007</v>
      </c>
      <c r="Z29" s="34">
        <v>41</v>
      </c>
      <c r="AA29" s="37">
        <v>5.6</v>
      </c>
    </row>
    <row r="30" spans="1:27" x14ac:dyDescent="0.2">
      <c r="A30" s="1" t="str" cm="1">
        <f t="array" ref="A30">IF(I30="","",IF(P30&lt;&gt;"",SUMPRODUCT((P$3:P$105&lt;&gt;"")*(G$3:G$105=G30)*(J$3:J$105&gt;J30)*(I$3:I$105="P"))+1,IF(O30&lt;&gt;"",SUMPRODUCT((O$3:O$105&lt;&gt;"")*(P$3:P$105="")*(G$3:G$105=G30)*(J$3:J$105&gt;J30)*(I$3:I$105="P"))+SUMPRODUCT((P$3:P$105&lt;&gt;"")*(G$3:G$105=G30)*(I$3:I$105="P"))+1,IF(N30&lt;&gt;"",SUMPRODUCT((N$3:N$105&lt;&gt;"")*(G$3:G$105=G30)*(J$3:J$105&gt;J30)*(I$3:I$105="P"))+1,IF(M30="P",SUMPRODUCT((O$3:O$105&lt;&gt;"")*(P$3:P$105="")*(G$3:G$105=G30)*(I$3:I$105="P"))+SUMPRODUCT((P$3:P$105&lt;&gt;"")*(G$3:G$105=G30)*(I$3:I$105="P"))+SUMPRODUCT((N$3:N$105&lt;&gt;"")*(G$3:G$105=G30)*(I$3:I$105="P"))+SUMPRODUCT((P$3:P$105="")*(O$3:O$105="")*(N$3:N$105="")*(M$3:M$105="P")*(G$3:G$105=G30)*(J$3:J$105&gt;J30)*(I$3:I$105="P"))+IF(H30="L5",SUMPRODUCT((P$3:P$105="")*(O$3:O$105="")*(N$3:N$105="")*(M$3:M$105="P")*(G$3:G$105=G30)*(J$3:J$105&lt;J30)*(H$3:H$105&lt;&gt;H30)*(I$3:I$105="P")),-1*SUMPRODUCT((P$3:P$105="")*(O$3:O$105="")*(N$3:N$105="")*(M$3:M$105="P")*(G$3:G$105=G30)*(J$3:J$105&gt;J30)*(H$3:H$105="L5")*(I$3:I$105="P")))+1,"")))))</f>
        <v/>
      </c>
      <c r="B30" s="1" t="str" cm="1">
        <f t="array" ref="B30">IF(P30&lt;&gt;"",SUMPRODUCT((P$3:P$105&lt;&gt;"")*(G$3:G$105=G30)*(J$3:J$105&gt;J30))+1,IF(O30&lt;&gt;"",SUMPRODUCT((O$3:O$105&lt;&gt;"")*(P$3:P$105="")*(G$3:G$105=G30)*(J$3:J$105&gt;J30))+SUMPRODUCT((P$3:P$105&lt;&gt;"")*(G$3:G$105=G30))+1,IF(N30&lt;&gt;"",SUMPRODUCT((N$3:N$105&lt;&gt;"")*(G$3:G$105=G30)*(J$3:J$105&gt;J30))+1,IF(M30="P",SUMPRODUCT((O$3:O$105&lt;&gt;"")*(P$3:P$105="")*(G$3:G$105=G30))+SUMPRODUCT((P$3:P$105&lt;&gt;"")*(G$3:G$105=G30))+SUMPRODUCT((N$3:N$105&lt;&gt;"")*(G$3:G$105=G30))+SUMPRODUCT((P$3:P$105="")*(O$3:O$105="")*(N$3:N$105="")*(M$3:M$105="P")*(G$3:G$105=G30)*(J$3:J$105&gt;J30))+IF(H30="L5",SUMPRODUCT((P$3:P$105="")*(O$3:O$105="")*(N$3:N$105="")*(M$3:M$105="P")*(G$3:G$105=G30)*(J$3:J$105&lt;J30)*(H$3:H$105&lt;&gt;H30)),-1*SUMPRODUCT((P$3:P$105="")*(O$3:O$105="")*(N$3:N$105="")*(M$3:M$105="P")*(G$3:G$105=G30)*(J$3:J$105&gt;J30)*(H$3:H$105="L5")))+1,""))))</f>
        <v/>
      </c>
      <c r="C30" s="36" t="s">
        <v>352</v>
      </c>
      <c r="D30" s="36" t="str">
        <f>IF(E30="","",VLOOKUP(E30,'Coaching Points'!A:B,2,0))</f>
        <v>ON</v>
      </c>
      <c r="E30" s="36" t="s">
        <v>47</v>
      </c>
      <c r="F30" s="35">
        <v>2003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66</v>
      </c>
      <c r="I30" s="43"/>
      <c r="J30" s="4">
        <f>R30+S30+IF(OR(H30="Junior",H30="Senior"),0.0002,IF(OR(H30="L7",H30="L6"),0.0001,0))+MAX(X30,Z30)*0.0000001</f>
        <v>84.500004270000005</v>
      </c>
      <c r="K30" s="3" t="str">
        <f>IF(G30="Not Age Eligible","",IF(MAX(T30,V30,X30,Z30)&gt;=LOOKUP(G30,'Qualifying Scores'!$A$4:$A$7,'Qualifying Scores'!$G$4:$G$7),"P",""))</f>
        <v/>
      </c>
      <c r="L30" s="3" t="str">
        <f>IF(G30="Not Age Eligible","",IF(MAX(U30,W30,Y30,AA30)&gt;=LOOKUP(G30,'Qualifying Scores'!$A$10:$A$13,'Qualifying Scores'!$G$10:$G$13),"P",""))</f>
        <v/>
      </c>
      <c r="M30" s="3" t="str">
        <f>IF(G30="Not Age Eligible","",IF(OR(AND(T30&gt;=LOOKUP(G30,'Qualifying Scores'!$A$4:$A$7,'Qualifying Scores'!$G$4:$G$7),U30&gt;=LOOKUP(G30,'Qualifying Scores'!$A$10:$A$13,'Qualifying Scores'!$G$10:$G$13)),AND(X30&gt;=LOOKUP(G30,'Qualifying Scores'!$A$4:$A$7,'Qualifying Scores'!$G$4:$G$7),Y30&gt;=LOOKUP(G30,'Qualifying Scores'!$A$10:$A$13,'Qualifying Scores'!$G$10:$G$13)),AND(V30&gt;=LOOKUP(G30,'Qualifying Scores'!$A$4:$A$7,'Qualifying Scores'!$G$4:$G$7),W30&gt;=LOOKUP(G30,'Qualifying Scores'!$A$10:$A$13,'Qualifying Scores'!$G$10:$G$13)),AND(Z30&gt;=LOOKUP(G30,'Qualifying Scores'!$A$4:$A$7,'Qualifying Scores'!$G$4:$G$7),AA30&gt;=LOOKUP(G30,'Qualifying Scores'!$A$10:$A$13,'Qualifying Scores'!$G$10:$G$13))),"P",""))</f>
        <v/>
      </c>
      <c r="Q30" s="1" t="str">
        <f>IF(A30&lt;5,IF(_xlfn.MAXIFS(A:A,G:G,G30)&gt;3,5-A30,_xlfn.MAXIFS(A:A,G:G,G30)+1-A30),"")</f>
        <v/>
      </c>
      <c r="R30" s="4">
        <f>MAX(T30,X30)</f>
        <v>42.7</v>
      </c>
      <c r="S30" s="4">
        <f>IF(R30=T30,MAX(V30,X30,Z30),IF(R30=X30,MAX(T30,V30,Z30),0))</f>
        <v>41.8</v>
      </c>
      <c r="T30" s="33">
        <v>41.8</v>
      </c>
      <c r="U30" s="40">
        <v>5.8000000000000007</v>
      </c>
      <c r="V30" s="34"/>
      <c r="W30" s="40"/>
      <c r="X30" s="33">
        <v>42.7</v>
      </c>
      <c r="Y30" s="40">
        <v>5.8000000000000007</v>
      </c>
      <c r="Z30" s="34"/>
      <c r="AA30" s="37"/>
    </row>
    <row r="31" spans="1:27" x14ac:dyDescent="0.2">
      <c r="A31" s="1" t="str" cm="1">
        <f t="array" ref="A31">IF(I31="","",IF(P31&lt;&gt;"",SUMPRODUCT((P$3:P$105&lt;&gt;"")*(G$3:G$105=G31)*(J$3:J$105&gt;J31)*(I$3:I$105="P"))+1,IF(O31&lt;&gt;"",SUMPRODUCT((O$3:O$105&lt;&gt;"")*(P$3:P$105="")*(G$3:G$105=G31)*(J$3:J$105&gt;J31)*(I$3:I$105="P"))+SUMPRODUCT((P$3:P$105&lt;&gt;"")*(G$3:G$105=G31)*(I$3:I$105="P"))+1,IF(N31&lt;&gt;"",SUMPRODUCT((N$3:N$105&lt;&gt;"")*(G$3:G$105=G31)*(J$3:J$105&gt;J31)*(I$3:I$105="P"))+1,IF(M31="P",SUMPRODUCT((O$3:O$105&lt;&gt;"")*(P$3:P$105="")*(G$3:G$105=G31)*(I$3:I$105="P"))+SUMPRODUCT((P$3:P$105&lt;&gt;"")*(G$3:G$105=G31)*(I$3:I$105="P"))+SUMPRODUCT((N$3:N$105&lt;&gt;"")*(G$3:G$105=G31)*(I$3:I$105="P"))+SUMPRODUCT((P$3:P$105="")*(O$3:O$105="")*(N$3:N$105="")*(M$3:M$105="P")*(G$3:G$105=G31)*(J$3:J$105&gt;J31)*(I$3:I$105="P"))+IF(H31="L5",SUMPRODUCT((P$3:P$105="")*(O$3:O$105="")*(N$3:N$105="")*(M$3:M$105="P")*(G$3:G$105=G31)*(J$3:J$105&lt;J31)*(H$3:H$105&lt;&gt;H31)*(I$3:I$105="P")),-1*SUMPRODUCT((P$3:P$105="")*(O$3:O$105="")*(N$3:N$105="")*(M$3:M$105="P")*(G$3:G$105=G31)*(J$3:J$105&gt;J31)*(H$3:H$105="L5")*(I$3:I$105="P")))+1,"")))))</f>
        <v/>
      </c>
      <c r="B31" s="1" t="str" cm="1">
        <f t="array" ref="B31">IF(P31&lt;&gt;"",SUMPRODUCT((P$3:P$105&lt;&gt;"")*(G$3:G$105=G31)*(J$3:J$105&gt;J31))+1,IF(O31&lt;&gt;"",SUMPRODUCT((O$3:O$105&lt;&gt;"")*(P$3:P$105="")*(G$3:G$105=G31)*(J$3:J$105&gt;J31))+SUMPRODUCT((P$3:P$105&lt;&gt;"")*(G$3:G$105=G31))+1,IF(N31&lt;&gt;"",SUMPRODUCT((N$3:N$105&lt;&gt;"")*(G$3:G$105=G31)*(J$3:J$105&gt;J31))+1,IF(M31="P",SUMPRODUCT((O$3:O$105&lt;&gt;"")*(P$3:P$105="")*(G$3:G$105=G31))+SUMPRODUCT((P$3:P$105&lt;&gt;"")*(G$3:G$105=G31))+SUMPRODUCT((N$3:N$105&lt;&gt;"")*(G$3:G$105=G31))+SUMPRODUCT((P$3:P$105="")*(O$3:O$105="")*(N$3:N$105="")*(M$3:M$105="P")*(G$3:G$105=G31)*(J$3:J$105&gt;J31))+IF(H31="L5",SUMPRODUCT((P$3:P$105="")*(O$3:O$105="")*(N$3:N$105="")*(M$3:M$105="P")*(G$3:G$105=G31)*(J$3:J$105&lt;J31)*(H$3:H$105&lt;&gt;H31)),-1*SUMPRODUCT((P$3:P$105="")*(O$3:O$105="")*(N$3:N$105="")*(M$3:M$105="P")*(G$3:G$105=G31)*(J$3:J$105&gt;J31)*(H$3:H$105="L5")))+1,""))))</f>
        <v/>
      </c>
      <c r="C31" s="36" t="s">
        <v>270</v>
      </c>
      <c r="D31" s="36" t="str">
        <f>IF(E31="","",VLOOKUP(E31,'Coaching Points'!A:B,2,0))</f>
        <v>BC</v>
      </c>
      <c r="E31" s="36" t="s">
        <v>72</v>
      </c>
      <c r="F31" s="35">
        <v>2005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>R31+S31+IF(OR(H31="Junior",H31="Senior"),0.0002,IF(OR(H31="L7",H31="L6"),0.0001,0))+MAX(X31,Z31)*0.0000001</f>
        <v>84.500004180000005</v>
      </c>
      <c r="K31" s="3" t="str">
        <f>IF(G31="Not Age Eligible","",IF(MAX(T31,V31,X31,Z31)&gt;=LOOKUP(G31,'Qualifying Scores'!$A$4:$A$7,'Qualifying Scores'!$G$4:$G$7),"P",""))</f>
        <v/>
      </c>
      <c r="L31" s="3" t="str">
        <f>IF(G31="Not Age Eligible","",IF(MAX(U31,W31,Y31,AA31)&gt;=LOOKUP(G31,'Qualifying Scores'!$A$10:$A$13,'Qualifying Scores'!$G$10:$G$13),"P",""))</f>
        <v/>
      </c>
      <c r="M31" s="3" t="str">
        <f>IF(G31="Not Age Eligible","",IF(OR(AND(T31&gt;=LOOKUP(G31,'Qualifying Scores'!$A$4:$A$7,'Qualifying Scores'!$G$4:$G$7),U31&gt;=LOOKUP(G31,'Qualifying Scores'!$A$10:$A$13,'Qualifying Scores'!$G$10:$G$13)),AND(X31&gt;=LOOKUP(G31,'Qualifying Scores'!$A$4:$A$7,'Qualifying Scores'!$G$4:$G$7),Y31&gt;=LOOKUP(G31,'Qualifying Scores'!$A$10:$A$13,'Qualifying Scores'!$G$10:$G$13)),AND(V31&gt;=LOOKUP(G31,'Qualifying Scores'!$A$4:$A$7,'Qualifying Scores'!$G$4:$G$7),W31&gt;=LOOKUP(G31,'Qualifying Scores'!$A$10:$A$13,'Qualifying Scores'!$G$10:$G$13)),AND(Z31&gt;=LOOKUP(G31,'Qualifying Scores'!$A$4:$A$7,'Qualifying Scores'!$G$4:$G$7),AA31&gt;=LOOKUP(G31,'Qualifying Scores'!$A$10:$A$13,'Qualifying Scores'!$G$10:$G$13))),"P",""))</f>
        <v/>
      </c>
      <c r="Q31" s="1" t="str">
        <f>IF(A31&lt;5,IF(_xlfn.MAXIFS(A:A,G:G,G31)&gt;3,5-A31,_xlfn.MAXIFS(A:A,G:G,G31)+1-A31),"")</f>
        <v/>
      </c>
      <c r="R31" s="4">
        <f>MAX(T31,X31)</f>
        <v>42.7</v>
      </c>
      <c r="S31" s="4">
        <f>IF(R31=T31,MAX(V31,X31,Z31),IF(R31=X31,MAX(T31,V31,Z31),0))</f>
        <v>41.8</v>
      </c>
      <c r="T31" s="33">
        <v>42.7</v>
      </c>
      <c r="U31" s="40">
        <v>6.1</v>
      </c>
      <c r="V31" s="34">
        <v>40.200000000000003</v>
      </c>
      <c r="W31" s="40">
        <v>6</v>
      </c>
      <c r="X31" s="33">
        <v>41.8</v>
      </c>
      <c r="Y31" s="40">
        <v>6</v>
      </c>
      <c r="Z31" s="34"/>
      <c r="AA31" s="37"/>
    </row>
    <row r="32" spans="1:27" x14ac:dyDescent="0.2">
      <c r="A32" s="1" t="str" cm="1">
        <f t="array" ref="A32">IF(I32="","",IF(P32&lt;&gt;"",SUMPRODUCT((P$3:P$105&lt;&gt;"")*(G$3:G$105=G32)*(J$3:J$105&gt;J32)*(I$3:I$105="P"))+1,IF(O32&lt;&gt;"",SUMPRODUCT((O$3:O$105&lt;&gt;"")*(P$3:P$105="")*(G$3:G$105=G32)*(J$3:J$105&gt;J32)*(I$3:I$105="P"))+SUMPRODUCT((P$3:P$105&lt;&gt;"")*(G$3:G$105=G32)*(I$3:I$105="P"))+1,IF(N32&lt;&gt;"",SUMPRODUCT((N$3:N$105&lt;&gt;"")*(G$3:G$105=G32)*(J$3:J$105&gt;J32)*(I$3:I$105="P"))+1,IF(M32="P",SUMPRODUCT((O$3:O$105&lt;&gt;"")*(P$3:P$105="")*(G$3:G$105=G32)*(I$3:I$105="P"))+SUMPRODUCT((P$3:P$105&lt;&gt;"")*(G$3:G$105=G32)*(I$3:I$105="P"))+SUMPRODUCT((N$3:N$105&lt;&gt;"")*(G$3:G$105=G32)*(I$3:I$105="P"))+SUMPRODUCT((P$3:P$105="")*(O$3:O$105="")*(N$3:N$105="")*(M$3:M$105="P")*(G$3:G$105=G32)*(J$3:J$105&gt;J32)*(I$3:I$105="P"))+IF(H32="L5",SUMPRODUCT((P$3:P$105="")*(O$3:O$105="")*(N$3:N$105="")*(M$3:M$105="P")*(G$3:G$105=G32)*(J$3:J$105&lt;J32)*(H$3:H$105&lt;&gt;H32)*(I$3:I$105="P")),-1*SUMPRODUCT((P$3:P$105="")*(O$3:O$105="")*(N$3:N$105="")*(M$3:M$105="P")*(G$3:G$105=G32)*(J$3:J$105&gt;J32)*(H$3:H$105="L5")*(I$3:I$105="P")))+1,"")))))</f>
        <v/>
      </c>
      <c r="B32" s="1" t="str" cm="1">
        <f t="array" ref="B32">IF(P32&lt;&gt;"",SUMPRODUCT((P$3:P$105&lt;&gt;"")*(G$3:G$105=G32)*(J$3:J$105&gt;J32))+1,IF(O32&lt;&gt;"",SUMPRODUCT((O$3:O$105&lt;&gt;"")*(P$3:P$105="")*(G$3:G$105=G32)*(J$3:J$105&gt;J32))+SUMPRODUCT((P$3:P$105&lt;&gt;"")*(G$3:G$105=G32))+1,IF(N32&lt;&gt;"",SUMPRODUCT((N$3:N$105&lt;&gt;"")*(G$3:G$105=G32)*(J$3:J$105&gt;J32))+1,IF(M32="P",SUMPRODUCT((O$3:O$105&lt;&gt;"")*(P$3:P$105="")*(G$3:G$105=G32))+SUMPRODUCT((P$3:P$105&lt;&gt;"")*(G$3:G$105=G32))+SUMPRODUCT((N$3:N$105&lt;&gt;"")*(G$3:G$105=G32))+SUMPRODUCT((P$3:P$105="")*(O$3:O$105="")*(N$3:N$105="")*(M$3:M$105="P")*(G$3:G$105=G32)*(J$3:J$105&gt;J32))+IF(H32="L5",SUMPRODUCT((P$3:P$105="")*(O$3:O$105="")*(N$3:N$105="")*(M$3:M$105="P")*(G$3:G$105=G32)*(J$3:J$105&lt;J32)*(H$3:H$105&lt;&gt;H32)),-1*SUMPRODUCT((P$3:P$105="")*(O$3:O$105="")*(N$3:N$105="")*(M$3:M$105="P")*(G$3:G$105=G32)*(J$3:J$105&gt;J32)*(H$3:H$105="L5")))+1,""))))</f>
        <v/>
      </c>
      <c r="C32" s="36" t="s">
        <v>183</v>
      </c>
      <c r="D32" s="36" t="str">
        <f>IF(E32="","",VLOOKUP(E32,'Coaching Points'!A:B,2,0))</f>
        <v>AB</v>
      </c>
      <c r="E32" s="36" t="s">
        <v>63</v>
      </c>
      <c r="F32" s="35">
        <v>2002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68</v>
      </c>
      <c r="I32" s="43" t="s">
        <v>567</v>
      </c>
      <c r="J32" s="4">
        <f>R32+S32+IF(OR(H32="Junior",H32="Senior"),0.0002,IF(OR(H32="L7",H32="L6"),0.0001,0))+MAX(X32,Z32)*0.0000001</f>
        <v>84.200104090000011</v>
      </c>
      <c r="K32" s="3" t="str">
        <f>IF(G32="Not Age Eligible","",IF(MAX(T32,V32,X32,Z32)&gt;=LOOKUP(G32,'Qualifying Scores'!$A$4:$A$7,'Qualifying Scores'!$G$4:$G$7),"P",""))</f>
        <v/>
      </c>
      <c r="L32" s="3" t="str">
        <f>IF(G32="Not Age Eligible","",IF(MAX(U32,W32,Y32,AA32)&gt;=LOOKUP(G32,'Qualifying Scores'!$A$10:$A$13,'Qualifying Scores'!$G$10:$G$13),"P",""))</f>
        <v/>
      </c>
      <c r="M32" s="3" t="str">
        <f>IF(G32="Not Age Eligible","",IF(OR(AND(T32&gt;=LOOKUP(G32,'Qualifying Scores'!$A$4:$A$7,'Qualifying Scores'!$G$4:$G$7),U32&gt;=LOOKUP(G32,'Qualifying Scores'!$A$10:$A$13,'Qualifying Scores'!$G$10:$G$13)),AND(X32&gt;=LOOKUP(G32,'Qualifying Scores'!$A$4:$A$7,'Qualifying Scores'!$G$4:$G$7),Y32&gt;=LOOKUP(G32,'Qualifying Scores'!$A$10:$A$13,'Qualifying Scores'!$G$10:$G$13)),AND(V32&gt;=LOOKUP(G32,'Qualifying Scores'!$A$4:$A$7,'Qualifying Scores'!$G$4:$G$7),W32&gt;=LOOKUP(G32,'Qualifying Scores'!$A$10:$A$13,'Qualifying Scores'!$G$10:$G$13)),AND(Z32&gt;=LOOKUP(G32,'Qualifying Scores'!$A$4:$A$7,'Qualifying Scores'!$G$4:$G$7),AA32&gt;=LOOKUP(G32,'Qualifying Scores'!$A$10:$A$13,'Qualifying Scores'!$G$10:$G$13))),"P",""))</f>
        <v/>
      </c>
      <c r="Q32" s="1" t="str">
        <f>IF(A32&lt;5,IF(_xlfn.MAXIFS(A:A,G:G,G32)&gt;3,5-A32,_xlfn.MAXIFS(A:A,G:G,G32)+1-A32),"")</f>
        <v/>
      </c>
      <c r="R32" s="4">
        <f>MAX(T32,X32)</f>
        <v>42.5</v>
      </c>
      <c r="S32" s="4">
        <f>IF(R32=T32,MAX(V32,X32,Z32),IF(R32=X32,MAX(T32,V32,Z32),0))</f>
        <v>41.7</v>
      </c>
      <c r="T32" s="33">
        <v>42.5</v>
      </c>
      <c r="U32" s="40">
        <v>6.2</v>
      </c>
      <c r="V32" s="34">
        <v>41.7</v>
      </c>
      <c r="W32" s="40">
        <v>5.7</v>
      </c>
      <c r="X32" s="33">
        <v>40.9</v>
      </c>
      <c r="Y32" s="40">
        <v>6.2</v>
      </c>
      <c r="Z32" s="34"/>
      <c r="AA32" s="37"/>
    </row>
    <row r="33" spans="1:27" x14ac:dyDescent="0.2">
      <c r="A33" s="1" t="str" cm="1">
        <f t="array" ref="A33">IF(I33="","",IF(P33&lt;&gt;"",SUMPRODUCT((P$3:P$105&lt;&gt;"")*(G$3:G$105=G33)*(J$3:J$105&gt;J33)*(I$3:I$105="P"))+1,IF(O33&lt;&gt;"",SUMPRODUCT((O$3:O$105&lt;&gt;"")*(P$3:P$105="")*(G$3:G$105=G33)*(J$3:J$105&gt;J33)*(I$3:I$105="P"))+SUMPRODUCT((P$3:P$105&lt;&gt;"")*(G$3:G$105=G33)*(I$3:I$105="P"))+1,IF(N33&lt;&gt;"",SUMPRODUCT((N$3:N$105&lt;&gt;"")*(G$3:G$105=G33)*(J$3:J$105&gt;J33)*(I$3:I$105="P"))+1,IF(M33="P",SUMPRODUCT((O$3:O$105&lt;&gt;"")*(P$3:P$105="")*(G$3:G$105=G33)*(I$3:I$105="P"))+SUMPRODUCT((P$3:P$105&lt;&gt;"")*(G$3:G$105=G33)*(I$3:I$105="P"))+SUMPRODUCT((N$3:N$105&lt;&gt;"")*(G$3:G$105=G33)*(I$3:I$105="P"))+SUMPRODUCT((P$3:P$105="")*(O$3:O$105="")*(N$3:N$105="")*(M$3:M$105="P")*(G$3:G$105=G33)*(J$3:J$105&gt;J33)*(I$3:I$105="P"))+IF(H33="L5",SUMPRODUCT((P$3:P$105="")*(O$3:O$105="")*(N$3:N$105="")*(M$3:M$105="P")*(G$3:G$105=G33)*(J$3:J$105&lt;J33)*(H$3:H$105&lt;&gt;H33)*(I$3:I$105="P")),-1*SUMPRODUCT((P$3:P$105="")*(O$3:O$105="")*(N$3:N$105="")*(M$3:M$105="P")*(G$3:G$105=G33)*(J$3:J$105&gt;J33)*(H$3:H$105="L5")*(I$3:I$105="P")))+1,"")))))</f>
        <v/>
      </c>
      <c r="B33" s="1" t="str" cm="1">
        <f t="array" ref="B33">IF(P33&lt;&gt;"",SUMPRODUCT((P$3:P$105&lt;&gt;"")*(G$3:G$105=G33)*(J$3:J$105&gt;J33))+1,IF(O33&lt;&gt;"",SUMPRODUCT((O$3:O$105&lt;&gt;"")*(P$3:P$105="")*(G$3:G$105=G33)*(J$3:J$105&gt;J33))+SUMPRODUCT((P$3:P$105&lt;&gt;"")*(G$3:G$105=G33))+1,IF(N33&lt;&gt;"",SUMPRODUCT((N$3:N$105&lt;&gt;"")*(G$3:G$105=G33)*(J$3:J$105&gt;J33))+1,IF(M33="P",SUMPRODUCT((O$3:O$105&lt;&gt;"")*(P$3:P$105="")*(G$3:G$105=G33))+SUMPRODUCT((P$3:P$105&lt;&gt;"")*(G$3:G$105=G33))+SUMPRODUCT((N$3:N$105&lt;&gt;"")*(G$3:G$105=G33))+SUMPRODUCT((P$3:P$105="")*(O$3:O$105="")*(N$3:N$105="")*(M$3:M$105="P")*(G$3:G$105=G33)*(J$3:J$105&gt;J33))+IF(H33="L5",SUMPRODUCT((P$3:P$105="")*(O$3:O$105="")*(N$3:N$105="")*(M$3:M$105="P")*(G$3:G$105=G33)*(J$3:J$105&lt;J33)*(H$3:H$105&lt;&gt;H33)),-1*SUMPRODUCT((P$3:P$105="")*(O$3:O$105="")*(N$3:N$105="")*(M$3:M$105="P")*(G$3:G$105=G33)*(J$3:J$105&gt;J33)*(H$3:H$105="L5")))+1,""))))</f>
        <v/>
      </c>
      <c r="C33" s="36" t="s">
        <v>505</v>
      </c>
      <c r="D33" s="36" t="str">
        <f>IF(E33="","",VLOOKUP(E33,'Coaching Points'!A:B,2,0))</f>
        <v>AB</v>
      </c>
      <c r="E33" s="36" t="s">
        <v>63</v>
      </c>
      <c r="F33" s="35">
        <v>2006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66</v>
      </c>
      <c r="I33" s="43"/>
      <c r="J33" s="4">
        <f>R33+S33+IF(OR(H33="Junior",H33="Senior"),0.0002,IF(OR(H33="L7",H33="L6"),0.0001,0))+MAX(X33,Z33)*0.0000001</f>
        <v>83.900004379999999</v>
      </c>
      <c r="K33" s="3" t="str">
        <f>IF(G33="Not Age Eligible","",IF(MAX(T33,V33,X33,Z33)&gt;=LOOKUP(G33,'Qualifying Scores'!$A$4:$A$7,'Qualifying Scores'!$G$4:$G$7),"P",""))</f>
        <v/>
      </c>
      <c r="L33" s="3" t="str">
        <f>IF(G33="Not Age Eligible","",IF(MAX(U33,W33,Y33,AA33)&gt;=LOOKUP(G33,'Qualifying Scores'!$A$10:$A$13,'Qualifying Scores'!$G$10:$G$13),"P",""))</f>
        <v/>
      </c>
      <c r="M33" s="3" t="str">
        <f>IF(G33="Not Age Eligible","",IF(OR(AND(T33&gt;=LOOKUP(G33,'Qualifying Scores'!$A$4:$A$7,'Qualifying Scores'!$G$4:$G$7),U33&gt;=LOOKUP(G33,'Qualifying Scores'!$A$10:$A$13,'Qualifying Scores'!$G$10:$G$13)),AND(X33&gt;=LOOKUP(G33,'Qualifying Scores'!$A$4:$A$7,'Qualifying Scores'!$G$4:$G$7),Y33&gt;=LOOKUP(G33,'Qualifying Scores'!$A$10:$A$13,'Qualifying Scores'!$G$10:$G$13)),AND(V33&gt;=LOOKUP(G33,'Qualifying Scores'!$A$4:$A$7,'Qualifying Scores'!$G$4:$G$7),W33&gt;=LOOKUP(G33,'Qualifying Scores'!$A$10:$A$13,'Qualifying Scores'!$G$10:$G$13)),AND(Z33&gt;=LOOKUP(G33,'Qualifying Scores'!$A$4:$A$7,'Qualifying Scores'!$G$4:$G$7),AA33&gt;=LOOKUP(G33,'Qualifying Scores'!$A$10:$A$13,'Qualifying Scores'!$G$10:$G$13))),"P",""))</f>
        <v/>
      </c>
      <c r="Q33" s="1" t="str">
        <f>IF(A33&lt;5,IF(_xlfn.MAXIFS(A:A,G:G,G33)&gt;3,5-A33,_xlfn.MAXIFS(A:A,G:G,G33)+1-A33),"")</f>
        <v/>
      </c>
      <c r="R33" s="4">
        <f>MAX(T33,X33)</f>
        <v>43.8</v>
      </c>
      <c r="S33" s="4">
        <f>IF(R33=T33,MAX(V33,X33,Z33),IF(R33=X33,MAX(T33,V33,Z33),0))</f>
        <v>40.1</v>
      </c>
      <c r="T33" s="33"/>
      <c r="U33" s="40"/>
      <c r="V33" s="34"/>
      <c r="W33" s="40"/>
      <c r="X33" s="33">
        <v>43.8</v>
      </c>
      <c r="Y33" s="40">
        <v>6.7</v>
      </c>
      <c r="Z33" s="34">
        <v>40.1</v>
      </c>
      <c r="AA33" s="37">
        <v>6</v>
      </c>
    </row>
    <row r="34" spans="1:27" x14ac:dyDescent="0.2">
      <c r="A34" s="1" t="str" cm="1">
        <f t="array" ref="A34">IF(I34="","",IF(P34&lt;&gt;"",SUMPRODUCT((P$3:P$105&lt;&gt;"")*(G$3:G$105=G34)*(J$3:J$105&gt;J34)*(I$3:I$105="P"))+1,IF(O34&lt;&gt;"",SUMPRODUCT((O$3:O$105&lt;&gt;"")*(P$3:P$105="")*(G$3:G$105=G34)*(J$3:J$105&gt;J34)*(I$3:I$105="P"))+SUMPRODUCT((P$3:P$105&lt;&gt;"")*(G$3:G$105=G34)*(I$3:I$105="P"))+1,IF(N34&lt;&gt;"",SUMPRODUCT((N$3:N$105&lt;&gt;"")*(G$3:G$105=G34)*(J$3:J$105&gt;J34)*(I$3:I$105="P"))+1,IF(M34="P",SUMPRODUCT((O$3:O$105&lt;&gt;"")*(P$3:P$105="")*(G$3:G$105=G34)*(I$3:I$105="P"))+SUMPRODUCT((P$3:P$105&lt;&gt;"")*(G$3:G$105=G34)*(I$3:I$105="P"))+SUMPRODUCT((N$3:N$105&lt;&gt;"")*(G$3:G$105=G34)*(I$3:I$105="P"))+SUMPRODUCT((P$3:P$105="")*(O$3:O$105="")*(N$3:N$105="")*(M$3:M$105="P")*(G$3:G$105=G34)*(J$3:J$105&gt;J34)*(I$3:I$105="P"))+IF(H34="L5",SUMPRODUCT((P$3:P$105="")*(O$3:O$105="")*(N$3:N$105="")*(M$3:M$105="P")*(G$3:G$105=G34)*(J$3:J$105&lt;J34)*(H$3:H$105&lt;&gt;H34)*(I$3:I$105="P")),-1*SUMPRODUCT((P$3:P$105="")*(O$3:O$105="")*(N$3:N$105="")*(M$3:M$105="P")*(G$3:G$105=G34)*(J$3:J$105&gt;J34)*(H$3:H$105="L5")*(I$3:I$105="P")))+1,"")))))</f>
        <v/>
      </c>
      <c r="B34" s="1" t="str" cm="1">
        <f t="array" ref="B34">IF(P34&lt;&gt;"",SUMPRODUCT((P$3:P$105&lt;&gt;"")*(G$3:G$105=G34)*(J$3:J$105&gt;J34))+1,IF(O34&lt;&gt;"",SUMPRODUCT((O$3:O$105&lt;&gt;"")*(P$3:P$105="")*(G$3:G$105=G34)*(J$3:J$105&gt;J34))+SUMPRODUCT((P$3:P$105&lt;&gt;"")*(G$3:G$105=G34))+1,IF(N34&lt;&gt;"",SUMPRODUCT((N$3:N$105&lt;&gt;"")*(G$3:G$105=G34)*(J$3:J$105&gt;J34))+1,IF(M34="P",SUMPRODUCT((O$3:O$105&lt;&gt;"")*(P$3:P$105="")*(G$3:G$105=G34))+SUMPRODUCT((P$3:P$105&lt;&gt;"")*(G$3:G$105=G34))+SUMPRODUCT((N$3:N$105&lt;&gt;"")*(G$3:G$105=G34))+SUMPRODUCT((P$3:P$105="")*(O$3:O$105="")*(N$3:N$105="")*(M$3:M$105="P")*(G$3:G$105=G34)*(J$3:J$105&gt;J34))+IF(H34="L5",SUMPRODUCT((P$3:P$105="")*(O$3:O$105="")*(N$3:N$105="")*(M$3:M$105="P")*(G$3:G$105=G34)*(J$3:J$105&lt;J34)*(H$3:H$105&lt;&gt;H34)),-1*SUMPRODUCT((P$3:P$105="")*(O$3:O$105="")*(N$3:N$105="")*(M$3:M$105="P")*(G$3:G$105=G34)*(J$3:J$105&gt;J34)*(H$3:H$105="L5")))+1,""))))</f>
        <v/>
      </c>
      <c r="C34" s="36" t="s">
        <v>142</v>
      </c>
      <c r="D34" s="36" t="str">
        <f>IF(E34="","",VLOOKUP(E34,'Coaching Points'!A:B,2,0))</f>
        <v>QC</v>
      </c>
      <c r="E34" s="36" t="s">
        <v>289</v>
      </c>
      <c r="F34" s="35">
        <v>2004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66</v>
      </c>
      <c r="I34" s="43"/>
      <c r="J34" s="4">
        <f>R34+S34+IF(OR(H34="Junior",H34="Senior"),0.0002,IF(OR(H34="L7",H34="L6"),0.0001,0))+MAX(X34,Z34)*0.0000001</f>
        <v>83.900004280000005</v>
      </c>
      <c r="K34" s="3" t="str">
        <f>IF(G34="Not Age Eligible","",IF(MAX(T34,V34,X34,Z34)&gt;=LOOKUP(G34,'Qualifying Scores'!$A$4:$A$7,'Qualifying Scores'!$G$4:$G$7),"P",""))</f>
        <v/>
      </c>
      <c r="L34" s="3" t="str">
        <f>IF(G34="Not Age Eligible","",IF(MAX(U34,W34,Y34,AA34)&gt;=LOOKUP(G34,'Qualifying Scores'!$A$10:$A$13,'Qualifying Scores'!$G$10:$G$13),"P",""))</f>
        <v/>
      </c>
      <c r="M34" s="3" t="str">
        <f>IF(G34="Not Age Eligible","",IF(OR(AND(T34&gt;=LOOKUP(G34,'Qualifying Scores'!$A$4:$A$7,'Qualifying Scores'!$G$4:$G$7),U34&gt;=LOOKUP(G34,'Qualifying Scores'!$A$10:$A$13,'Qualifying Scores'!$G$10:$G$13)),AND(X34&gt;=LOOKUP(G34,'Qualifying Scores'!$A$4:$A$7,'Qualifying Scores'!$G$4:$G$7),Y34&gt;=LOOKUP(G34,'Qualifying Scores'!$A$10:$A$13,'Qualifying Scores'!$G$10:$G$13)),AND(V34&gt;=LOOKUP(G34,'Qualifying Scores'!$A$4:$A$7,'Qualifying Scores'!$G$4:$G$7),W34&gt;=LOOKUP(G34,'Qualifying Scores'!$A$10:$A$13,'Qualifying Scores'!$G$10:$G$13)),AND(Z34&gt;=LOOKUP(G34,'Qualifying Scores'!$A$4:$A$7,'Qualifying Scores'!$G$4:$G$7),AA34&gt;=LOOKUP(G34,'Qualifying Scores'!$A$10:$A$13,'Qualifying Scores'!$G$10:$G$13))),"P",""))</f>
        <v/>
      </c>
      <c r="Q34" s="1" t="str">
        <f>IF(A34&lt;5,IF(_xlfn.MAXIFS(A:A,G:G,G34)&gt;3,5-A34,_xlfn.MAXIFS(A:A,G:G,G34)+1-A34),"")</f>
        <v/>
      </c>
      <c r="R34" s="4">
        <f>MAX(T34,X34)</f>
        <v>42.8</v>
      </c>
      <c r="S34" s="4">
        <f>IF(R34=T34,MAX(V34,X34,Z34),IF(R34=X34,MAX(T34,V34,Z34),0))</f>
        <v>41.1</v>
      </c>
      <c r="T34" s="33">
        <v>41.1</v>
      </c>
      <c r="U34" s="40">
        <v>4.9000000000000004</v>
      </c>
      <c r="V34" s="34"/>
      <c r="W34" s="40"/>
      <c r="X34" s="33">
        <v>42.8</v>
      </c>
      <c r="Y34" s="40">
        <v>5.6</v>
      </c>
      <c r="Z34" s="34"/>
      <c r="AA34" s="37"/>
    </row>
    <row r="35" spans="1:27" x14ac:dyDescent="0.2">
      <c r="A35" s="1" t="str" cm="1">
        <f t="array" ref="A35">IF(I35="","",IF(P35&lt;&gt;"",SUMPRODUCT((P$3:P$105&lt;&gt;"")*(G$3:G$105=G35)*(J$3:J$105&gt;J35)*(I$3:I$105="P"))+1,IF(O35&lt;&gt;"",SUMPRODUCT((O$3:O$105&lt;&gt;"")*(P$3:P$105="")*(G$3:G$105=G35)*(J$3:J$105&gt;J35)*(I$3:I$105="P"))+SUMPRODUCT((P$3:P$105&lt;&gt;"")*(G$3:G$105=G35)*(I$3:I$105="P"))+1,IF(N35&lt;&gt;"",SUMPRODUCT((N$3:N$105&lt;&gt;"")*(G$3:G$105=G35)*(J$3:J$105&gt;J35)*(I$3:I$105="P"))+1,IF(M35="P",SUMPRODUCT((O$3:O$105&lt;&gt;"")*(P$3:P$105="")*(G$3:G$105=G35)*(I$3:I$105="P"))+SUMPRODUCT((P$3:P$105&lt;&gt;"")*(G$3:G$105=G35)*(I$3:I$105="P"))+SUMPRODUCT((N$3:N$105&lt;&gt;"")*(G$3:G$105=G35)*(I$3:I$105="P"))+SUMPRODUCT((P$3:P$105="")*(O$3:O$105="")*(N$3:N$105="")*(M$3:M$105="P")*(G$3:G$105=G35)*(J$3:J$105&gt;J35)*(I$3:I$105="P"))+IF(H35="L5",SUMPRODUCT((P$3:P$105="")*(O$3:O$105="")*(N$3:N$105="")*(M$3:M$105="P")*(G$3:G$105=G35)*(J$3:J$105&lt;J35)*(H$3:H$105&lt;&gt;H35)*(I$3:I$105="P")),-1*SUMPRODUCT((P$3:P$105="")*(O$3:O$105="")*(N$3:N$105="")*(M$3:M$105="P")*(G$3:G$105=G35)*(J$3:J$105&gt;J35)*(H$3:H$105="L5")*(I$3:I$105="P")))+1,"")))))</f>
        <v/>
      </c>
      <c r="B35" s="1" t="str" cm="1">
        <f t="array" ref="B35">IF(P35&lt;&gt;"",SUMPRODUCT((P$3:P$105&lt;&gt;"")*(G$3:G$105=G35)*(J$3:J$105&gt;J35))+1,IF(O35&lt;&gt;"",SUMPRODUCT((O$3:O$105&lt;&gt;"")*(P$3:P$105="")*(G$3:G$105=G35)*(J$3:J$105&gt;J35))+SUMPRODUCT((P$3:P$105&lt;&gt;"")*(G$3:G$105=G35))+1,IF(N35&lt;&gt;"",SUMPRODUCT((N$3:N$105&lt;&gt;"")*(G$3:G$105=G35)*(J$3:J$105&gt;J35))+1,IF(M35="P",SUMPRODUCT((O$3:O$105&lt;&gt;"")*(P$3:P$105="")*(G$3:G$105=G35))+SUMPRODUCT((P$3:P$105&lt;&gt;"")*(G$3:G$105=G35))+SUMPRODUCT((N$3:N$105&lt;&gt;"")*(G$3:G$105=G35))+SUMPRODUCT((P$3:P$105="")*(O$3:O$105="")*(N$3:N$105="")*(M$3:M$105="P")*(G$3:G$105=G35)*(J$3:J$105&gt;J35))+IF(H35="L5",SUMPRODUCT((P$3:P$105="")*(O$3:O$105="")*(N$3:N$105="")*(M$3:M$105="P")*(G$3:G$105=G35)*(J$3:J$105&lt;J35)*(H$3:H$105&lt;&gt;H35)),-1*SUMPRODUCT((P$3:P$105="")*(O$3:O$105="")*(N$3:N$105="")*(M$3:M$105="P")*(G$3:G$105=G35)*(J$3:J$105&gt;J35)*(H$3:H$105="L5")))+1,""))))</f>
        <v/>
      </c>
      <c r="C35" s="36" t="s">
        <v>349</v>
      </c>
      <c r="D35" s="36" t="str">
        <f>IF(E35="","",VLOOKUP(E35,'Coaching Points'!A:B,2,0))</f>
        <v>AB</v>
      </c>
      <c r="E35" s="36" t="s">
        <v>63</v>
      </c>
      <c r="F35" s="35">
        <v>2005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66</v>
      </c>
      <c r="I35" s="43"/>
      <c r="J35" s="4">
        <f>R35+S35+IF(OR(H35="Junior",H35="Senior"),0.0002,IF(OR(H35="L7",H35="L6"),0.0001,0))+MAX(X35,Z35)*0.0000001</f>
        <v>83.500003989999996</v>
      </c>
      <c r="K35" s="3" t="str">
        <f>IF(G35="Not Age Eligible","",IF(MAX(T35,V35,X35,Z35)&gt;=LOOKUP(G35,'Qualifying Scores'!$A$4:$A$7,'Qualifying Scores'!$G$4:$G$7),"P",""))</f>
        <v/>
      </c>
      <c r="L35" s="3" t="str">
        <f>IF(G35="Not Age Eligible","",IF(MAX(U35,W35,Y35,AA35)&gt;=LOOKUP(G35,'Qualifying Scores'!$A$10:$A$13,'Qualifying Scores'!$G$10:$G$13),"P",""))</f>
        <v/>
      </c>
      <c r="M35" s="3" t="str">
        <f>IF(G35="Not Age Eligible","",IF(OR(AND(T35&gt;=LOOKUP(G35,'Qualifying Scores'!$A$4:$A$7,'Qualifying Scores'!$G$4:$G$7),U35&gt;=LOOKUP(G35,'Qualifying Scores'!$A$10:$A$13,'Qualifying Scores'!$G$10:$G$13)),AND(X35&gt;=LOOKUP(G35,'Qualifying Scores'!$A$4:$A$7,'Qualifying Scores'!$G$4:$G$7),Y35&gt;=LOOKUP(G35,'Qualifying Scores'!$A$10:$A$13,'Qualifying Scores'!$G$10:$G$13)),AND(V35&gt;=LOOKUP(G35,'Qualifying Scores'!$A$4:$A$7,'Qualifying Scores'!$G$4:$G$7),W35&gt;=LOOKUP(G35,'Qualifying Scores'!$A$10:$A$13,'Qualifying Scores'!$G$10:$G$13)),AND(Z35&gt;=LOOKUP(G35,'Qualifying Scores'!$A$4:$A$7,'Qualifying Scores'!$G$4:$G$7),AA35&gt;=LOOKUP(G35,'Qualifying Scores'!$A$10:$A$13,'Qualifying Scores'!$G$10:$G$13))),"P",""))</f>
        <v/>
      </c>
      <c r="Q35" s="1" t="str">
        <f>IF(A35&lt;5,IF(_xlfn.MAXIFS(A:A,G:G,G35)&gt;3,5-A35,_xlfn.MAXIFS(A:A,G:G,G35)+1-A35),"")</f>
        <v/>
      </c>
      <c r="R35" s="4">
        <f>MAX(T35,X35)</f>
        <v>42.2</v>
      </c>
      <c r="S35" s="4">
        <f>IF(R35=T35,MAX(V35,X35,Z35),IF(R35=X35,MAX(T35,V35,Z35),0))</f>
        <v>41.3</v>
      </c>
      <c r="T35" s="33">
        <v>42.2</v>
      </c>
      <c r="U35" s="40">
        <v>6</v>
      </c>
      <c r="V35" s="34">
        <v>41.3</v>
      </c>
      <c r="W35" s="40">
        <v>5.8</v>
      </c>
      <c r="X35" s="33">
        <v>39.9</v>
      </c>
      <c r="Y35" s="40">
        <v>4</v>
      </c>
      <c r="Z35" s="34"/>
      <c r="AA35" s="37"/>
    </row>
    <row r="36" spans="1:27" x14ac:dyDescent="0.2">
      <c r="A36" s="1" t="str" cm="1">
        <f t="array" ref="A36">IF(I36="","",IF(P36&lt;&gt;"",SUMPRODUCT((P$3:P$105&lt;&gt;"")*(G$3:G$105=G36)*(J$3:J$105&gt;J36)*(I$3:I$105="P"))+1,IF(O36&lt;&gt;"",SUMPRODUCT((O$3:O$105&lt;&gt;"")*(P$3:P$105="")*(G$3:G$105=G36)*(J$3:J$105&gt;J36)*(I$3:I$105="P"))+SUMPRODUCT((P$3:P$105&lt;&gt;"")*(G$3:G$105=G36)*(I$3:I$105="P"))+1,IF(N36&lt;&gt;"",SUMPRODUCT((N$3:N$105&lt;&gt;"")*(G$3:G$105=G36)*(J$3:J$105&gt;J36)*(I$3:I$105="P"))+1,IF(M36="P",SUMPRODUCT((O$3:O$105&lt;&gt;"")*(P$3:P$105="")*(G$3:G$105=G36)*(I$3:I$105="P"))+SUMPRODUCT((P$3:P$105&lt;&gt;"")*(G$3:G$105=G36)*(I$3:I$105="P"))+SUMPRODUCT((N$3:N$105&lt;&gt;"")*(G$3:G$105=G36)*(I$3:I$105="P"))+SUMPRODUCT((P$3:P$105="")*(O$3:O$105="")*(N$3:N$105="")*(M$3:M$105="P")*(G$3:G$105=G36)*(J$3:J$105&gt;J36)*(I$3:I$105="P"))+IF(H36="L5",SUMPRODUCT((P$3:P$105="")*(O$3:O$105="")*(N$3:N$105="")*(M$3:M$105="P")*(G$3:G$105=G36)*(J$3:J$105&lt;J36)*(H$3:H$105&lt;&gt;H36)*(I$3:I$105="P")),-1*SUMPRODUCT((P$3:P$105="")*(O$3:O$105="")*(N$3:N$105="")*(M$3:M$105="P")*(G$3:G$105=G36)*(J$3:J$105&gt;J36)*(H$3:H$105="L5")*(I$3:I$105="P")))+1,"")))))</f>
        <v/>
      </c>
      <c r="B36" s="1" t="str" cm="1">
        <f t="array" ref="B36">IF(P36&lt;&gt;"",SUMPRODUCT((P$3:P$105&lt;&gt;"")*(G$3:G$105=G36)*(J$3:J$105&gt;J36))+1,IF(O36&lt;&gt;"",SUMPRODUCT((O$3:O$105&lt;&gt;"")*(P$3:P$105="")*(G$3:G$105=G36)*(J$3:J$105&gt;J36))+SUMPRODUCT((P$3:P$105&lt;&gt;"")*(G$3:G$105=G36))+1,IF(N36&lt;&gt;"",SUMPRODUCT((N$3:N$105&lt;&gt;"")*(G$3:G$105=G36)*(J$3:J$105&gt;J36))+1,IF(M36="P",SUMPRODUCT((O$3:O$105&lt;&gt;"")*(P$3:P$105="")*(G$3:G$105=G36))+SUMPRODUCT((P$3:P$105&lt;&gt;"")*(G$3:G$105=G36))+SUMPRODUCT((N$3:N$105&lt;&gt;"")*(G$3:G$105=G36))+SUMPRODUCT((P$3:P$105="")*(O$3:O$105="")*(N$3:N$105="")*(M$3:M$105="P")*(G$3:G$105=G36)*(J$3:J$105&gt;J36))+IF(H36="L5",SUMPRODUCT((P$3:P$105="")*(O$3:O$105="")*(N$3:N$105="")*(M$3:M$105="P")*(G$3:G$105=G36)*(J$3:J$105&lt;J36)*(H$3:H$105&lt;&gt;H36)),-1*SUMPRODUCT((P$3:P$105="")*(O$3:O$105="")*(N$3:N$105="")*(M$3:M$105="P")*(G$3:G$105=G36)*(J$3:J$105&gt;J36)*(H$3:H$105="L5")))+1,""))))</f>
        <v/>
      </c>
      <c r="C36" s="36" t="s">
        <v>137</v>
      </c>
      <c r="D36" s="36" t="str">
        <f>IF(E36="","",VLOOKUP(E36,'Coaching Points'!A:B,2,0))</f>
        <v>BC</v>
      </c>
      <c r="E36" s="36" t="s">
        <v>46</v>
      </c>
      <c r="F36" s="35">
        <v>2004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68</v>
      </c>
      <c r="I36" s="43" t="s">
        <v>567</v>
      </c>
      <c r="J36" s="4">
        <f>R36+S36+IF(OR(H36="Junior",H36="Senior"),0.0002,IF(OR(H36="L7",H36="L6"),0.0001,0))+MAX(X36,Z36)*0.0000001</f>
        <v>82.000104260000001</v>
      </c>
      <c r="K36" s="3" t="str">
        <f>IF(G36="Not Age Eligible","",IF(MAX(T36,V36,X36,Z36)&gt;=LOOKUP(G36,'Qualifying Scores'!$A$4:$A$7,'Qualifying Scores'!$G$4:$G$7),"P",""))</f>
        <v/>
      </c>
      <c r="L36" s="3" t="str">
        <f>IF(G36="Not Age Eligible","",IF(MAX(U36,W36,Y36,AA36)&gt;=LOOKUP(G36,'Qualifying Scores'!$A$10:$A$13,'Qualifying Scores'!$G$10:$G$13),"P",""))</f>
        <v/>
      </c>
      <c r="M36" s="3" t="str">
        <f>IF(G36="Not Age Eligible","",IF(OR(AND(T36&gt;=LOOKUP(G36,'Qualifying Scores'!$A$4:$A$7,'Qualifying Scores'!$G$4:$G$7),U36&gt;=LOOKUP(G36,'Qualifying Scores'!$A$10:$A$13,'Qualifying Scores'!$G$10:$G$13)),AND(X36&gt;=LOOKUP(G36,'Qualifying Scores'!$A$4:$A$7,'Qualifying Scores'!$G$4:$G$7),Y36&gt;=LOOKUP(G36,'Qualifying Scores'!$A$10:$A$13,'Qualifying Scores'!$G$10:$G$13)),AND(V36&gt;=LOOKUP(G36,'Qualifying Scores'!$A$4:$A$7,'Qualifying Scores'!$G$4:$G$7),W36&gt;=LOOKUP(G36,'Qualifying Scores'!$A$10:$A$13,'Qualifying Scores'!$G$10:$G$13)),AND(Z36&gt;=LOOKUP(G36,'Qualifying Scores'!$A$4:$A$7,'Qualifying Scores'!$G$4:$G$7),AA36&gt;=LOOKUP(G36,'Qualifying Scores'!$A$10:$A$13,'Qualifying Scores'!$G$10:$G$13))),"P",""))</f>
        <v/>
      </c>
      <c r="Q36" s="1" t="str">
        <f>IF(A36&lt;5,IF(_xlfn.MAXIFS(A:A,G:G,G36)&gt;3,5-A36,_xlfn.MAXIFS(A:A,G:G,G36)+1-A36),"")</f>
        <v/>
      </c>
      <c r="R36" s="4">
        <f>MAX(T36,X36)</f>
        <v>42.6</v>
      </c>
      <c r="S36" s="4">
        <f>IF(R36=T36,MAX(V36,X36,Z36),IF(R36=X36,MAX(T36,V36,Z36),0))</f>
        <v>39.4</v>
      </c>
      <c r="T36" s="33">
        <v>39.4</v>
      </c>
      <c r="U36" s="40">
        <v>4.8</v>
      </c>
      <c r="V36" s="34"/>
      <c r="W36" s="40"/>
      <c r="X36" s="33">
        <v>42.6</v>
      </c>
      <c r="Y36" s="40">
        <v>6.3000000000000007</v>
      </c>
      <c r="Z36" s="34"/>
      <c r="AA36" s="37"/>
    </row>
    <row r="37" spans="1:27" x14ac:dyDescent="0.2">
      <c r="A37" s="1" t="str" cm="1">
        <f t="array" ref="A37">IF(I37="","",IF(P37&lt;&gt;"",SUMPRODUCT((P$3:P$105&lt;&gt;"")*(G$3:G$105=G37)*(J$3:J$105&gt;J37)*(I$3:I$105="P"))+1,IF(O37&lt;&gt;"",SUMPRODUCT((O$3:O$105&lt;&gt;"")*(P$3:P$105="")*(G$3:G$105=G37)*(J$3:J$105&gt;J37)*(I$3:I$105="P"))+SUMPRODUCT((P$3:P$105&lt;&gt;"")*(G$3:G$105=G37)*(I$3:I$105="P"))+1,IF(N37&lt;&gt;"",SUMPRODUCT((N$3:N$105&lt;&gt;"")*(G$3:G$105=G37)*(J$3:J$105&gt;J37)*(I$3:I$105="P"))+1,IF(M37="P",SUMPRODUCT((O$3:O$105&lt;&gt;"")*(P$3:P$105="")*(G$3:G$105=G37)*(I$3:I$105="P"))+SUMPRODUCT((P$3:P$105&lt;&gt;"")*(G$3:G$105=G37)*(I$3:I$105="P"))+SUMPRODUCT((N$3:N$105&lt;&gt;"")*(G$3:G$105=G37)*(I$3:I$105="P"))+SUMPRODUCT((P$3:P$105="")*(O$3:O$105="")*(N$3:N$105="")*(M$3:M$105="P")*(G$3:G$105=G37)*(J$3:J$105&gt;J37)*(I$3:I$105="P"))+IF(H37="L5",SUMPRODUCT((P$3:P$105="")*(O$3:O$105="")*(N$3:N$105="")*(M$3:M$105="P")*(G$3:G$105=G37)*(J$3:J$105&lt;J37)*(H$3:H$105&lt;&gt;H37)*(I$3:I$105="P")),-1*SUMPRODUCT((P$3:P$105="")*(O$3:O$105="")*(N$3:N$105="")*(M$3:M$105="P")*(G$3:G$105=G37)*(J$3:J$105&gt;J37)*(H$3:H$105="L5")*(I$3:I$105="P")))+1,"")))))</f>
        <v/>
      </c>
      <c r="B37" s="1" t="str" cm="1">
        <f t="array" ref="B37">IF(P37&lt;&gt;"",SUMPRODUCT((P$3:P$105&lt;&gt;"")*(G$3:G$105=G37)*(J$3:J$105&gt;J37))+1,IF(O37&lt;&gt;"",SUMPRODUCT((O$3:O$105&lt;&gt;"")*(P$3:P$105="")*(G$3:G$105=G37)*(J$3:J$105&gt;J37))+SUMPRODUCT((P$3:P$105&lt;&gt;"")*(G$3:G$105=G37))+1,IF(N37&lt;&gt;"",SUMPRODUCT((N$3:N$105&lt;&gt;"")*(G$3:G$105=G37)*(J$3:J$105&gt;J37))+1,IF(M37="P",SUMPRODUCT((O$3:O$105&lt;&gt;"")*(P$3:P$105="")*(G$3:G$105=G37))+SUMPRODUCT((P$3:P$105&lt;&gt;"")*(G$3:G$105=G37))+SUMPRODUCT((N$3:N$105&lt;&gt;"")*(G$3:G$105=G37))+SUMPRODUCT((P$3:P$105="")*(O$3:O$105="")*(N$3:N$105="")*(M$3:M$105="P")*(G$3:G$105=G37)*(J$3:J$105&gt;J37))+IF(H37="L5",SUMPRODUCT((P$3:P$105="")*(O$3:O$105="")*(N$3:N$105="")*(M$3:M$105="P")*(G$3:G$105=G37)*(J$3:J$105&lt;J37)*(H$3:H$105&lt;&gt;H37)),-1*SUMPRODUCT((P$3:P$105="")*(O$3:O$105="")*(N$3:N$105="")*(M$3:M$105="P")*(G$3:G$105=G37)*(J$3:J$105&gt;J37)*(H$3:H$105="L5")))+1,""))))</f>
        <v/>
      </c>
      <c r="C37" s="36" t="s">
        <v>178</v>
      </c>
      <c r="D37" s="36" t="str">
        <f>IF(E37="","",VLOOKUP(E37,'Coaching Points'!A:B,2,0))</f>
        <v>AB</v>
      </c>
      <c r="E37" s="36" t="s">
        <v>29</v>
      </c>
      <c r="F37" s="35">
        <v>2006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66</v>
      </c>
      <c r="I37" s="43"/>
      <c r="J37" s="4">
        <f>R37+S37+IF(OR(H37="Junior",H37="Senior"),0.0002,IF(OR(H37="L7",H37="L6"),0.0001,0))+MAX(X37,Z37)*0.0000001</f>
        <v>82</v>
      </c>
      <c r="K37" s="3" t="str">
        <f>IF(G37="Not Age Eligible","",IF(MAX(T37,V37,X37,Z37)&gt;=LOOKUP(G37,'Qualifying Scores'!$A$4:$A$7,'Qualifying Scores'!$G$4:$G$7),"P",""))</f>
        <v/>
      </c>
      <c r="L37" s="3" t="str">
        <f>IF(G37="Not Age Eligible","",IF(MAX(U37,W37,Y37,AA37)&gt;=LOOKUP(G37,'Qualifying Scores'!$A$10:$A$13,'Qualifying Scores'!$G$10:$G$13),"P",""))</f>
        <v/>
      </c>
      <c r="M37" s="3" t="str">
        <f>IF(G37="Not Age Eligible","",IF(OR(AND(T37&gt;=LOOKUP(G37,'Qualifying Scores'!$A$4:$A$7,'Qualifying Scores'!$G$4:$G$7),U37&gt;=LOOKUP(G37,'Qualifying Scores'!$A$10:$A$13,'Qualifying Scores'!$G$10:$G$13)),AND(X37&gt;=LOOKUP(G37,'Qualifying Scores'!$A$4:$A$7,'Qualifying Scores'!$G$4:$G$7),Y37&gt;=LOOKUP(G37,'Qualifying Scores'!$A$10:$A$13,'Qualifying Scores'!$G$10:$G$13)),AND(V37&gt;=LOOKUP(G37,'Qualifying Scores'!$A$4:$A$7,'Qualifying Scores'!$G$4:$G$7),W37&gt;=LOOKUP(G37,'Qualifying Scores'!$A$10:$A$13,'Qualifying Scores'!$G$10:$G$13)),AND(Z37&gt;=LOOKUP(G37,'Qualifying Scores'!$A$4:$A$7,'Qualifying Scores'!$G$4:$G$7),AA37&gt;=LOOKUP(G37,'Qualifying Scores'!$A$10:$A$13,'Qualifying Scores'!$G$10:$G$13))),"P",""))</f>
        <v/>
      </c>
      <c r="Q37" s="1" t="str">
        <f>IF(A37&lt;5,IF(_xlfn.MAXIFS(A:A,G:G,G37)&gt;3,5-A37,_xlfn.MAXIFS(A:A,G:G,G37)+1-A37),"")</f>
        <v/>
      </c>
      <c r="R37" s="4">
        <f>MAX(T37,X37)</f>
        <v>42.7</v>
      </c>
      <c r="S37" s="4">
        <f>IF(R37=T37,MAX(V37,X37,Z37),IF(R37=X37,MAX(T37,V37,Z37),0))</f>
        <v>39.299999999999997</v>
      </c>
      <c r="T37" s="33">
        <v>42.7</v>
      </c>
      <c r="U37" s="40">
        <v>5.8000000000000007</v>
      </c>
      <c r="V37" s="34">
        <v>39.299999999999997</v>
      </c>
      <c r="W37" s="40">
        <v>3.4000000000000004</v>
      </c>
      <c r="X37" s="33"/>
      <c r="Y37" s="40"/>
      <c r="Z37" s="34"/>
      <c r="AA37" s="37"/>
    </row>
    <row r="38" spans="1:27" x14ac:dyDescent="0.2">
      <c r="A38" s="1" t="str" cm="1">
        <f t="array" ref="A38">IF(I38="","",IF(P38&lt;&gt;"",SUMPRODUCT((P$3:P$105&lt;&gt;"")*(G$3:G$105=G38)*(J$3:J$105&gt;J38)*(I$3:I$105="P"))+1,IF(O38&lt;&gt;"",SUMPRODUCT((O$3:O$105&lt;&gt;"")*(P$3:P$105="")*(G$3:G$105=G38)*(J$3:J$105&gt;J38)*(I$3:I$105="P"))+SUMPRODUCT((P$3:P$105&lt;&gt;"")*(G$3:G$105=G38)*(I$3:I$105="P"))+1,IF(N38&lt;&gt;"",SUMPRODUCT((N$3:N$105&lt;&gt;"")*(G$3:G$105=G38)*(J$3:J$105&gt;J38)*(I$3:I$105="P"))+1,IF(M38="P",SUMPRODUCT((O$3:O$105&lt;&gt;"")*(P$3:P$105="")*(G$3:G$105=G38)*(I$3:I$105="P"))+SUMPRODUCT((P$3:P$105&lt;&gt;"")*(G$3:G$105=G38)*(I$3:I$105="P"))+SUMPRODUCT((N$3:N$105&lt;&gt;"")*(G$3:G$105=G38)*(I$3:I$105="P"))+SUMPRODUCT((P$3:P$105="")*(O$3:O$105="")*(N$3:N$105="")*(M$3:M$105="P")*(G$3:G$105=G38)*(J$3:J$105&gt;J38)*(I$3:I$105="P"))+IF(H38="L5",SUMPRODUCT((P$3:P$105="")*(O$3:O$105="")*(N$3:N$105="")*(M$3:M$105="P")*(G$3:G$105=G38)*(J$3:J$105&lt;J38)*(H$3:H$105&lt;&gt;H38)*(I$3:I$105="P")),-1*SUMPRODUCT((P$3:P$105="")*(O$3:O$105="")*(N$3:N$105="")*(M$3:M$105="P")*(G$3:G$105=G38)*(J$3:J$105&gt;J38)*(H$3:H$105="L5")*(I$3:I$105="P")))+1,"")))))</f>
        <v/>
      </c>
      <c r="B38" s="1" t="str" cm="1">
        <f t="array" ref="B38">IF(P38&lt;&gt;"",SUMPRODUCT((P$3:P$105&lt;&gt;"")*(G$3:G$105=G38)*(J$3:J$105&gt;J38))+1,IF(O38&lt;&gt;"",SUMPRODUCT((O$3:O$105&lt;&gt;"")*(P$3:P$105="")*(G$3:G$105=G38)*(J$3:J$105&gt;J38))+SUMPRODUCT((P$3:P$105&lt;&gt;"")*(G$3:G$105=G38))+1,IF(N38&lt;&gt;"",SUMPRODUCT((N$3:N$105&lt;&gt;"")*(G$3:G$105=G38)*(J$3:J$105&gt;J38))+1,IF(M38="P",SUMPRODUCT((O$3:O$105&lt;&gt;"")*(P$3:P$105="")*(G$3:G$105=G38))+SUMPRODUCT((P$3:P$105&lt;&gt;"")*(G$3:G$105=G38))+SUMPRODUCT((N$3:N$105&lt;&gt;"")*(G$3:G$105=G38))+SUMPRODUCT((P$3:P$105="")*(O$3:O$105="")*(N$3:N$105="")*(M$3:M$105="P")*(G$3:G$105=G38)*(J$3:J$105&gt;J38))+IF(H38="L5",SUMPRODUCT((P$3:P$105="")*(O$3:O$105="")*(N$3:N$105="")*(M$3:M$105="P")*(G$3:G$105=G38)*(J$3:J$105&lt;J38)*(H$3:H$105&lt;&gt;H38)),-1*SUMPRODUCT((P$3:P$105="")*(O$3:O$105="")*(N$3:N$105="")*(M$3:M$105="P")*(G$3:G$105=G38)*(J$3:J$105&gt;J38)*(H$3:H$105="L5")))+1,""))))</f>
        <v/>
      </c>
      <c r="C38" s="36" t="s">
        <v>128</v>
      </c>
      <c r="D38" s="36" t="str">
        <f>IF(E38="","",VLOOKUP(E38,'Coaching Points'!A:B,2,0))</f>
        <v>AB</v>
      </c>
      <c r="E38" s="36" t="s">
        <v>29</v>
      </c>
      <c r="F38" s="35">
        <v>2006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66</v>
      </c>
      <c r="I38" s="43"/>
      <c r="J38" s="4">
        <f>R38+S38+IF(OR(H38="Junior",H38="Senior"),0.0002,IF(OR(H38="L7",H38="L6"),0.0001,0))+MAX(X38,Z38)*0.0000001</f>
        <v>81.599999999999994</v>
      </c>
      <c r="K38" s="3" t="str">
        <f>IF(G38="Not Age Eligible","",IF(MAX(T38,V38,X38,Z38)&gt;=LOOKUP(G38,'Qualifying Scores'!$A$4:$A$7,'Qualifying Scores'!$G$4:$G$7),"P",""))</f>
        <v/>
      </c>
      <c r="L38" s="3" t="str">
        <f>IF(G38="Not Age Eligible","",IF(MAX(U38,W38,Y38,AA38)&gt;=LOOKUP(G38,'Qualifying Scores'!$A$10:$A$13,'Qualifying Scores'!$G$10:$G$13),"P",""))</f>
        <v/>
      </c>
      <c r="M38" s="3" t="str">
        <f>IF(G38="Not Age Eligible","",IF(OR(AND(T38&gt;=LOOKUP(G38,'Qualifying Scores'!$A$4:$A$7,'Qualifying Scores'!$G$4:$G$7),U38&gt;=LOOKUP(G38,'Qualifying Scores'!$A$10:$A$13,'Qualifying Scores'!$G$10:$G$13)),AND(X38&gt;=LOOKUP(G38,'Qualifying Scores'!$A$4:$A$7,'Qualifying Scores'!$G$4:$G$7),Y38&gt;=LOOKUP(G38,'Qualifying Scores'!$A$10:$A$13,'Qualifying Scores'!$G$10:$G$13)),AND(V38&gt;=LOOKUP(G38,'Qualifying Scores'!$A$4:$A$7,'Qualifying Scores'!$G$4:$G$7),W38&gt;=LOOKUP(G38,'Qualifying Scores'!$A$10:$A$13,'Qualifying Scores'!$G$10:$G$13)),AND(Z38&gt;=LOOKUP(G38,'Qualifying Scores'!$A$4:$A$7,'Qualifying Scores'!$G$4:$G$7),AA38&gt;=LOOKUP(G38,'Qualifying Scores'!$A$10:$A$13,'Qualifying Scores'!$G$10:$G$13))),"P",""))</f>
        <v/>
      </c>
      <c r="Q38" s="1" t="str">
        <f>IF(A38&lt;5,IF(_xlfn.MAXIFS(A:A,G:G,G38)&gt;3,5-A38,_xlfn.MAXIFS(A:A,G:G,G38)+1-A38),"")</f>
        <v/>
      </c>
      <c r="R38" s="4">
        <f>MAX(T38,X38)</f>
        <v>43.1</v>
      </c>
      <c r="S38" s="4">
        <f>IF(R38=T38,MAX(V38,X38,Z38),IF(R38=X38,MAX(T38,V38,Z38),0))</f>
        <v>38.5</v>
      </c>
      <c r="T38" s="33">
        <v>43.1</v>
      </c>
      <c r="U38" s="40">
        <v>6.6</v>
      </c>
      <c r="V38" s="34">
        <v>38.5</v>
      </c>
      <c r="W38" s="40">
        <v>3.9000000000000004</v>
      </c>
      <c r="X38" s="33"/>
      <c r="Y38" s="40"/>
      <c r="Z38" s="34"/>
      <c r="AA38" s="37"/>
    </row>
    <row r="39" spans="1:27" x14ac:dyDescent="0.2">
      <c r="A39" s="1" t="str" cm="1">
        <f t="array" ref="A39">IF(I39="","",IF(P39&lt;&gt;"",SUMPRODUCT((P$3:P$105&lt;&gt;"")*(G$3:G$105=G39)*(J$3:J$105&gt;J39)*(I$3:I$105="P"))+1,IF(O39&lt;&gt;"",SUMPRODUCT((O$3:O$105&lt;&gt;"")*(P$3:P$105="")*(G$3:G$105=G39)*(J$3:J$105&gt;J39)*(I$3:I$105="P"))+SUMPRODUCT((P$3:P$105&lt;&gt;"")*(G$3:G$105=G39)*(I$3:I$105="P"))+1,IF(N39&lt;&gt;"",SUMPRODUCT((N$3:N$105&lt;&gt;"")*(G$3:G$105=G39)*(J$3:J$105&gt;J39)*(I$3:I$105="P"))+1,IF(M39="P",SUMPRODUCT((O$3:O$105&lt;&gt;"")*(P$3:P$105="")*(G$3:G$105=G39)*(I$3:I$105="P"))+SUMPRODUCT((P$3:P$105&lt;&gt;"")*(G$3:G$105=G39)*(I$3:I$105="P"))+SUMPRODUCT((N$3:N$105&lt;&gt;"")*(G$3:G$105=G39)*(I$3:I$105="P"))+SUMPRODUCT((P$3:P$105="")*(O$3:O$105="")*(N$3:N$105="")*(M$3:M$105="P")*(G$3:G$105=G39)*(J$3:J$105&gt;J39)*(I$3:I$105="P"))+IF(H39="L5",SUMPRODUCT((P$3:P$105="")*(O$3:O$105="")*(N$3:N$105="")*(M$3:M$105="P")*(G$3:G$105=G39)*(J$3:J$105&lt;J39)*(H$3:H$105&lt;&gt;H39)*(I$3:I$105="P")),-1*SUMPRODUCT((P$3:P$105="")*(O$3:O$105="")*(N$3:N$105="")*(M$3:M$105="P")*(G$3:G$105=G39)*(J$3:J$105&gt;J39)*(H$3:H$105="L5")*(I$3:I$105="P")))+1,"")))))</f>
        <v/>
      </c>
      <c r="B39" s="1" t="str" cm="1">
        <f t="array" ref="B39">IF(P39&lt;&gt;"",SUMPRODUCT((P$3:P$105&lt;&gt;"")*(G$3:G$105=G39)*(J$3:J$105&gt;J39))+1,IF(O39&lt;&gt;"",SUMPRODUCT((O$3:O$105&lt;&gt;"")*(P$3:P$105="")*(G$3:G$105=G39)*(J$3:J$105&gt;J39))+SUMPRODUCT((P$3:P$105&lt;&gt;"")*(G$3:G$105=G39))+1,IF(N39&lt;&gt;"",SUMPRODUCT((N$3:N$105&lt;&gt;"")*(G$3:G$105=G39)*(J$3:J$105&gt;J39))+1,IF(M39="P",SUMPRODUCT((O$3:O$105&lt;&gt;"")*(P$3:P$105="")*(G$3:G$105=G39))+SUMPRODUCT((P$3:P$105&lt;&gt;"")*(G$3:G$105=G39))+SUMPRODUCT((N$3:N$105&lt;&gt;"")*(G$3:G$105=G39))+SUMPRODUCT((P$3:P$105="")*(O$3:O$105="")*(N$3:N$105="")*(M$3:M$105="P")*(G$3:G$105=G39)*(J$3:J$105&gt;J39))+IF(H39="L5",SUMPRODUCT((P$3:P$105="")*(O$3:O$105="")*(N$3:N$105="")*(M$3:M$105="P")*(G$3:G$105=G39)*(J$3:J$105&lt;J39)*(H$3:H$105&lt;&gt;H39)),-1*SUMPRODUCT((P$3:P$105="")*(O$3:O$105="")*(N$3:N$105="")*(M$3:M$105="P")*(G$3:G$105=G39)*(J$3:J$105&gt;J39)*(H$3:H$105="L5")))+1,""))))</f>
        <v/>
      </c>
      <c r="C39" s="36" t="s">
        <v>157</v>
      </c>
      <c r="D39" s="36" t="str">
        <f>IF(E39="","",VLOOKUP(E39,'Coaching Points'!A:B,2,0))</f>
        <v>AB</v>
      </c>
      <c r="E39" s="36" t="s">
        <v>29</v>
      </c>
      <c r="F39" s="35">
        <v>2004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68</v>
      </c>
      <c r="I39" s="43"/>
      <c r="J39" s="4">
        <f>R39+S39+IF(OR(H39="Junior",H39="Senior"),0.0002,IF(OR(H39="L7",H39="L6"),0.0001,0))+MAX(X39,Z39)*0.0000001</f>
        <v>80.900103730000012</v>
      </c>
      <c r="K39" s="3" t="str">
        <f>IF(G39="Not Age Eligible","",IF(MAX(T39,V39,X39,Z39)&gt;=LOOKUP(G39,'Qualifying Scores'!$A$4:$A$7,'Qualifying Scores'!$G$4:$G$7),"P",""))</f>
        <v/>
      </c>
      <c r="L39" s="3" t="str">
        <f>IF(G39="Not Age Eligible","",IF(MAX(U39,W39,Y39,AA39)&gt;=LOOKUP(G39,'Qualifying Scores'!$A$10:$A$13,'Qualifying Scores'!$G$10:$G$13),"P",""))</f>
        <v/>
      </c>
      <c r="M39" s="3" t="str">
        <f>IF(G39="Not Age Eligible","",IF(OR(AND(T39&gt;=LOOKUP(G39,'Qualifying Scores'!$A$4:$A$7,'Qualifying Scores'!$G$4:$G$7),U39&gt;=LOOKUP(G39,'Qualifying Scores'!$A$10:$A$13,'Qualifying Scores'!$G$10:$G$13)),AND(X39&gt;=LOOKUP(G39,'Qualifying Scores'!$A$4:$A$7,'Qualifying Scores'!$G$4:$G$7),Y39&gt;=LOOKUP(G39,'Qualifying Scores'!$A$10:$A$13,'Qualifying Scores'!$G$10:$G$13)),AND(V39&gt;=LOOKUP(G39,'Qualifying Scores'!$A$4:$A$7,'Qualifying Scores'!$G$4:$G$7),W39&gt;=LOOKUP(G39,'Qualifying Scores'!$A$10:$A$13,'Qualifying Scores'!$G$10:$G$13)),AND(Z39&gt;=LOOKUP(G39,'Qualifying Scores'!$A$4:$A$7,'Qualifying Scores'!$G$4:$G$7),AA39&gt;=LOOKUP(G39,'Qualifying Scores'!$A$10:$A$13,'Qualifying Scores'!$G$10:$G$13))),"P",""))</f>
        <v/>
      </c>
      <c r="Q39" s="1" t="str">
        <f>IF(A39&lt;5,IF(_xlfn.MAXIFS(A:A,G:G,G39)&gt;3,5-A39,_xlfn.MAXIFS(A:A,G:G,G39)+1-A39),"")</f>
        <v/>
      </c>
      <c r="R39" s="4">
        <f>MAX(T39,X39)</f>
        <v>39.700000000000003</v>
      </c>
      <c r="S39" s="4">
        <f>IF(R39=T39,MAX(V39,X39,Z39),IF(R39=X39,MAX(T39,V39,Z39),0))</f>
        <v>41.2</v>
      </c>
      <c r="T39" s="33">
        <v>39.700000000000003</v>
      </c>
      <c r="U39" s="40">
        <v>3.9000000000000004</v>
      </c>
      <c r="V39" s="34">
        <v>41.2</v>
      </c>
      <c r="W39" s="40">
        <v>6.3000000000000007</v>
      </c>
      <c r="X39" s="33">
        <v>37.299999999999997</v>
      </c>
      <c r="Y39" s="40">
        <v>1.9</v>
      </c>
      <c r="Z39" s="34"/>
      <c r="AA39" s="37"/>
    </row>
    <row r="40" spans="1:27" x14ac:dyDescent="0.2">
      <c r="A40" s="1" t="str" cm="1">
        <f t="array" ref="A40">IF(I40="","",IF(P40&lt;&gt;"",SUMPRODUCT((P$3:P$105&lt;&gt;"")*(G$3:G$105=G40)*(J$3:J$105&gt;J40)*(I$3:I$105="P"))+1,IF(O40&lt;&gt;"",SUMPRODUCT((O$3:O$105&lt;&gt;"")*(P$3:P$105="")*(G$3:G$105=G40)*(J$3:J$105&gt;J40)*(I$3:I$105="P"))+SUMPRODUCT((P$3:P$105&lt;&gt;"")*(G$3:G$105=G40)*(I$3:I$105="P"))+1,IF(N40&lt;&gt;"",SUMPRODUCT((N$3:N$105&lt;&gt;"")*(G$3:G$105=G40)*(J$3:J$105&gt;J40)*(I$3:I$105="P"))+1,IF(M40="P",SUMPRODUCT((O$3:O$105&lt;&gt;"")*(P$3:P$105="")*(G$3:G$105=G40)*(I$3:I$105="P"))+SUMPRODUCT((P$3:P$105&lt;&gt;"")*(G$3:G$105=G40)*(I$3:I$105="P"))+SUMPRODUCT((N$3:N$105&lt;&gt;"")*(G$3:G$105=G40)*(I$3:I$105="P"))+SUMPRODUCT((P$3:P$105="")*(O$3:O$105="")*(N$3:N$105="")*(M$3:M$105="P")*(G$3:G$105=G40)*(J$3:J$105&gt;J40)*(I$3:I$105="P"))+IF(H40="L5",SUMPRODUCT((P$3:P$105="")*(O$3:O$105="")*(N$3:N$105="")*(M$3:M$105="P")*(G$3:G$105=G40)*(J$3:J$105&lt;J40)*(H$3:H$105&lt;&gt;H40)*(I$3:I$105="P")),-1*SUMPRODUCT((P$3:P$105="")*(O$3:O$105="")*(N$3:N$105="")*(M$3:M$105="P")*(G$3:G$105=G40)*(J$3:J$105&gt;J40)*(H$3:H$105="L5")*(I$3:I$105="P")))+1,"")))))</f>
        <v/>
      </c>
      <c r="B40" s="1" t="str" cm="1">
        <f t="array" ref="B40">IF(P40&lt;&gt;"",SUMPRODUCT((P$3:P$105&lt;&gt;"")*(G$3:G$105=G40)*(J$3:J$105&gt;J40))+1,IF(O40&lt;&gt;"",SUMPRODUCT((O$3:O$105&lt;&gt;"")*(P$3:P$105="")*(G$3:G$105=G40)*(J$3:J$105&gt;J40))+SUMPRODUCT((P$3:P$105&lt;&gt;"")*(G$3:G$105=G40))+1,IF(N40&lt;&gt;"",SUMPRODUCT((N$3:N$105&lt;&gt;"")*(G$3:G$105=G40)*(J$3:J$105&gt;J40))+1,IF(M40="P",SUMPRODUCT((O$3:O$105&lt;&gt;"")*(P$3:P$105="")*(G$3:G$105=G40))+SUMPRODUCT((P$3:P$105&lt;&gt;"")*(G$3:G$105=G40))+SUMPRODUCT((N$3:N$105&lt;&gt;"")*(G$3:G$105=G40))+SUMPRODUCT((P$3:P$105="")*(O$3:O$105="")*(N$3:N$105="")*(M$3:M$105="P")*(G$3:G$105=G40)*(J$3:J$105&gt;J40))+IF(H40="L5",SUMPRODUCT((P$3:P$105="")*(O$3:O$105="")*(N$3:N$105="")*(M$3:M$105="P")*(G$3:G$105=G40)*(J$3:J$105&lt;J40)*(H$3:H$105&lt;&gt;H40)),-1*SUMPRODUCT((P$3:P$105="")*(O$3:O$105="")*(N$3:N$105="")*(M$3:M$105="P")*(G$3:G$105=G40)*(J$3:J$105&gt;J40)*(H$3:H$105="L5")))+1,""))))</f>
        <v/>
      </c>
      <c r="C40" s="36" t="s">
        <v>449</v>
      </c>
      <c r="D40" s="36" t="str">
        <f>IF(E40="","",VLOOKUP(E40,'Coaching Points'!A:B,2,0))</f>
        <v>BC</v>
      </c>
      <c r="E40" s="36" t="s">
        <v>46</v>
      </c>
      <c r="F40" s="35">
        <v>2006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66</v>
      </c>
      <c r="I40" s="43"/>
      <c r="J40" s="4">
        <f>R40+S40+IF(OR(H40="Junior",H40="Senior"),0.0002,IF(OR(H40="L7",H40="L6"),0.0001,0))+MAX(X40,Z40)*0.0000001</f>
        <v>79.100004279999993</v>
      </c>
      <c r="K40" s="3" t="str">
        <f>IF(G40="Not Age Eligible","",IF(MAX(T40,V40,X40,Z40)&gt;=LOOKUP(G40,'Qualifying Scores'!$A$4:$A$7,'Qualifying Scores'!$G$4:$G$7),"P",""))</f>
        <v/>
      </c>
      <c r="L40" s="3" t="str">
        <f>IF(G40="Not Age Eligible","",IF(MAX(U40,W40,Y40,AA40)&gt;=LOOKUP(G40,'Qualifying Scores'!$A$10:$A$13,'Qualifying Scores'!$G$10:$G$13),"P",""))</f>
        <v/>
      </c>
      <c r="M40" s="3" t="str">
        <f>IF(G40="Not Age Eligible","",IF(OR(AND(T40&gt;=LOOKUP(G40,'Qualifying Scores'!$A$4:$A$7,'Qualifying Scores'!$G$4:$G$7),U40&gt;=LOOKUP(G40,'Qualifying Scores'!$A$10:$A$13,'Qualifying Scores'!$G$10:$G$13)),AND(X40&gt;=LOOKUP(G40,'Qualifying Scores'!$A$4:$A$7,'Qualifying Scores'!$G$4:$G$7),Y40&gt;=LOOKUP(G40,'Qualifying Scores'!$A$10:$A$13,'Qualifying Scores'!$G$10:$G$13)),AND(V40&gt;=LOOKUP(G40,'Qualifying Scores'!$A$4:$A$7,'Qualifying Scores'!$G$4:$G$7),W40&gt;=LOOKUP(G40,'Qualifying Scores'!$A$10:$A$13,'Qualifying Scores'!$G$10:$G$13)),AND(Z40&gt;=LOOKUP(G40,'Qualifying Scores'!$A$4:$A$7,'Qualifying Scores'!$G$4:$G$7),AA40&gt;=LOOKUP(G40,'Qualifying Scores'!$A$10:$A$13,'Qualifying Scores'!$G$10:$G$13))),"P",""))</f>
        <v/>
      </c>
      <c r="Q40" s="1" t="str">
        <f>IF(A40&lt;5,IF(_xlfn.MAXIFS(A:A,G:G,G40)&gt;3,5-A40,_xlfn.MAXIFS(A:A,G:G,G40)+1-A40),"")</f>
        <v/>
      </c>
      <c r="R40" s="4">
        <f>MAX(T40,X40)</f>
        <v>42.8</v>
      </c>
      <c r="S40" s="4">
        <f>IF(R40=T40,MAX(V40,X40,Z40),IF(R40=X40,MAX(T40,V40,Z40),0))</f>
        <v>36.299999999999997</v>
      </c>
      <c r="T40" s="33"/>
      <c r="U40" s="40"/>
      <c r="V40" s="34"/>
      <c r="W40" s="40"/>
      <c r="X40" s="33">
        <v>42.8</v>
      </c>
      <c r="Y40" s="40">
        <v>6.8</v>
      </c>
      <c r="Z40" s="34">
        <v>36.299999999999997</v>
      </c>
      <c r="AA40" s="37">
        <v>3.3000000000000003</v>
      </c>
    </row>
    <row r="41" spans="1:27" x14ac:dyDescent="0.2">
      <c r="A41" s="1" t="str" cm="1">
        <f t="array" ref="A41">IF(I41="","",IF(P41&lt;&gt;"",SUMPRODUCT((P$3:P$105&lt;&gt;"")*(G$3:G$105=G41)*(J$3:J$105&gt;J41)*(I$3:I$105="P"))+1,IF(O41&lt;&gt;"",SUMPRODUCT((O$3:O$105&lt;&gt;"")*(P$3:P$105="")*(G$3:G$105=G41)*(J$3:J$105&gt;J41)*(I$3:I$105="P"))+SUMPRODUCT((P$3:P$105&lt;&gt;"")*(G$3:G$105=G41)*(I$3:I$105="P"))+1,IF(N41&lt;&gt;"",SUMPRODUCT((N$3:N$105&lt;&gt;"")*(G$3:G$105=G41)*(J$3:J$105&gt;J41)*(I$3:I$105="P"))+1,IF(M41="P",SUMPRODUCT((O$3:O$105&lt;&gt;"")*(P$3:P$105="")*(G$3:G$105=G41)*(I$3:I$105="P"))+SUMPRODUCT((P$3:P$105&lt;&gt;"")*(G$3:G$105=G41)*(I$3:I$105="P"))+SUMPRODUCT((N$3:N$105&lt;&gt;"")*(G$3:G$105=G41)*(I$3:I$105="P"))+SUMPRODUCT((P$3:P$105="")*(O$3:O$105="")*(N$3:N$105="")*(M$3:M$105="P")*(G$3:G$105=G41)*(J$3:J$105&gt;J41)*(I$3:I$105="P"))+IF(H41="L5",SUMPRODUCT((P$3:P$105="")*(O$3:O$105="")*(N$3:N$105="")*(M$3:M$105="P")*(G$3:G$105=G41)*(J$3:J$105&lt;J41)*(H$3:H$105&lt;&gt;H41)*(I$3:I$105="P")),-1*SUMPRODUCT((P$3:P$105="")*(O$3:O$105="")*(N$3:N$105="")*(M$3:M$105="P")*(G$3:G$105=G41)*(J$3:J$105&gt;J41)*(H$3:H$105="L5")*(I$3:I$105="P")))+1,"")))))</f>
        <v/>
      </c>
      <c r="B41" s="1" t="str" cm="1">
        <f t="array" ref="B41">IF(P41&lt;&gt;"",SUMPRODUCT((P$3:P$105&lt;&gt;"")*(G$3:G$105=G41)*(J$3:J$105&gt;J41))+1,IF(O41&lt;&gt;"",SUMPRODUCT((O$3:O$105&lt;&gt;"")*(P$3:P$105="")*(G$3:G$105=G41)*(J$3:J$105&gt;J41))+SUMPRODUCT((P$3:P$105&lt;&gt;"")*(G$3:G$105=G41))+1,IF(N41&lt;&gt;"",SUMPRODUCT((N$3:N$105&lt;&gt;"")*(G$3:G$105=G41)*(J$3:J$105&gt;J41))+1,IF(M41="P",SUMPRODUCT((O$3:O$105&lt;&gt;"")*(P$3:P$105="")*(G$3:G$105=G41))+SUMPRODUCT((P$3:P$105&lt;&gt;"")*(G$3:G$105=G41))+SUMPRODUCT((N$3:N$105&lt;&gt;"")*(G$3:G$105=G41))+SUMPRODUCT((P$3:P$105="")*(O$3:O$105="")*(N$3:N$105="")*(M$3:M$105="P")*(G$3:G$105=G41)*(J$3:J$105&gt;J41))+IF(H41="L5",SUMPRODUCT((P$3:P$105="")*(O$3:O$105="")*(N$3:N$105="")*(M$3:M$105="P")*(G$3:G$105=G41)*(J$3:J$105&lt;J41)*(H$3:H$105&lt;&gt;H41)),-1*SUMPRODUCT((P$3:P$105="")*(O$3:O$105="")*(N$3:N$105="")*(M$3:M$105="P")*(G$3:G$105=G41)*(J$3:J$105&gt;J41)*(H$3:H$105="L5")))+1,""))))</f>
        <v/>
      </c>
      <c r="C41" s="36" t="s">
        <v>245</v>
      </c>
      <c r="D41" s="36" t="str">
        <f>IF(E41="","",VLOOKUP(E41,'Coaching Points'!A:B,2,0))</f>
        <v>AB</v>
      </c>
      <c r="E41" s="36" t="s">
        <v>63</v>
      </c>
      <c r="F41" s="35">
        <v>2003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68</v>
      </c>
      <c r="I41" s="43"/>
      <c r="J41" s="4">
        <f>R41+S41+IF(OR(H41="Junior",H41="Senior"),0.0002,IF(OR(H41="L7",H41="L6"),0.0001,0))+MAX(X41,Z41)*0.0000001</f>
        <v>78.700104100000004</v>
      </c>
      <c r="K41" s="3" t="str">
        <f>IF(G41="Not Age Eligible","",IF(MAX(T41,V41,X41,Z41)&gt;=LOOKUP(G41,'Qualifying Scores'!$A$4:$A$7,'Qualifying Scores'!$G$4:$G$7),"P",""))</f>
        <v/>
      </c>
      <c r="L41" s="3" t="str">
        <f>IF(G41="Not Age Eligible","",IF(MAX(U41,W41,Y41,AA41)&gt;=LOOKUP(G41,'Qualifying Scores'!$A$10:$A$13,'Qualifying Scores'!$G$10:$G$13),"P",""))</f>
        <v/>
      </c>
      <c r="M41" s="3" t="str">
        <f>IF(G41="Not Age Eligible","",IF(OR(AND(T41&gt;=LOOKUP(G41,'Qualifying Scores'!$A$4:$A$7,'Qualifying Scores'!$G$4:$G$7),U41&gt;=LOOKUP(G41,'Qualifying Scores'!$A$10:$A$13,'Qualifying Scores'!$G$10:$G$13)),AND(X41&gt;=LOOKUP(G41,'Qualifying Scores'!$A$4:$A$7,'Qualifying Scores'!$G$4:$G$7),Y41&gt;=LOOKUP(G41,'Qualifying Scores'!$A$10:$A$13,'Qualifying Scores'!$G$10:$G$13)),AND(V41&gt;=LOOKUP(G41,'Qualifying Scores'!$A$4:$A$7,'Qualifying Scores'!$G$4:$G$7),W41&gt;=LOOKUP(G41,'Qualifying Scores'!$A$10:$A$13,'Qualifying Scores'!$G$10:$G$13)),AND(Z41&gt;=LOOKUP(G41,'Qualifying Scores'!$A$4:$A$7,'Qualifying Scores'!$G$4:$G$7),AA41&gt;=LOOKUP(G41,'Qualifying Scores'!$A$10:$A$13,'Qualifying Scores'!$G$10:$G$13))),"P",""))</f>
        <v/>
      </c>
      <c r="Q41" s="1" t="str">
        <f>IF(A41&lt;5,IF(_xlfn.MAXIFS(A:A,G:G,G41)&gt;3,5-A41,_xlfn.MAXIFS(A:A,G:G,G41)+1-A41),"")</f>
        <v/>
      </c>
      <c r="R41" s="4">
        <f>MAX(T41,X41)</f>
        <v>41</v>
      </c>
      <c r="S41" s="4">
        <f>IF(R41=T41,MAX(V41,X41,Z41),IF(R41=X41,MAX(T41,V41,Z41),0))</f>
        <v>37.700000000000003</v>
      </c>
      <c r="T41" s="33">
        <v>37.700000000000003</v>
      </c>
      <c r="U41" s="40">
        <v>3.3000000000000003</v>
      </c>
      <c r="V41" s="34"/>
      <c r="W41" s="40"/>
      <c r="X41" s="33">
        <v>41</v>
      </c>
      <c r="Y41" s="40">
        <v>5.5</v>
      </c>
      <c r="Z41" s="34"/>
      <c r="AA41" s="37"/>
    </row>
    <row r="42" spans="1:27" x14ac:dyDescent="0.2">
      <c r="A42" s="1" t="str" cm="1">
        <f t="array" ref="A42">IF(I42="","",IF(P42&lt;&gt;"",SUMPRODUCT((P$3:P$105&lt;&gt;"")*(G$3:G$105=G42)*(J$3:J$105&gt;J42)*(I$3:I$105="P"))+1,IF(O42&lt;&gt;"",SUMPRODUCT((O$3:O$105&lt;&gt;"")*(P$3:P$105="")*(G$3:G$105=G42)*(J$3:J$105&gt;J42)*(I$3:I$105="P"))+SUMPRODUCT((P$3:P$105&lt;&gt;"")*(G$3:G$105=G42)*(I$3:I$105="P"))+1,IF(N42&lt;&gt;"",SUMPRODUCT((N$3:N$105&lt;&gt;"")*(G$3:G$105=G42)*(J$3:J$105&gt;J42)*(I$3:I$105="P"))+1,IF(M42="P",SUMPRODUCT((O$3:O$105&lt;&gt;"")*(P$3:P$105="")*(G$3:G$105=G42)*(I$3:I$105="P"))+SUMPRODUCT((P$3:P$105&lt;&gt;"")*(G$3:G$105=G42)*(I$3:I$105="P"))+SUMPRODUCT((N$3:N$105&lt;&gt;"")*(G$3:G$105=G42)*(I$3:I$105="P"))+SUMPRODUCT((P$3:P$105="")*(O$3:O$105="")*(N$3:N$105="")*(M$3:M$105="P")*(G$3:G$105=G42)*(J$3:J$105&gt;J42)*(I$3:I$105="P"))+IF(H42="L5",SUMPRODUCT((P$3:P$105="")*(O$3:O$105="")*(N$3:N$105="")*(M$3:M$105="P")*(G$3:G$105=G42)*(J$3:J$105&lt;J42)*(H$3:H$105&lt;&gt;H42)*(I$3:I$105="P")),-1*SUMPRODUCT((P$3:P$105="")*(O$3:O$105="")*(N$3:N$105="")*(M$3:M$105="P")*(G$3:G$105=G42)*(J$3:J$105&gt;J42)*(H$3:H$105="L5")*(I$3:I$105="P")))+1,"")))))</f>
        <v/>
      </c>
      <c r="B42" s="1" t="str" cm="1">
        <f t="array" ref="B42">IF(P42&lt;&gt;"",SUMPRODUCT((P$3:P$105&lt;&gt;"")*(G$3:G$105=G42)*(J$3:J$105&gt;J42))+1,IF(O42&lt;&gt;"",SUMPRODUCT((O$3:O$105&lt;&gt;"")*(P$3:P$105="")*(G$3:G$105=G42)*(J$3:J$105&gt;J42))+SUMPRODUCT((P$3:P$105&lt;&gt;"")*(G$3:G$105=G42))+1,IF(N42&lt;&gt;"",SUMPRODUCT((N$3:N$105&lt;&gt;"")*(G$3:G$105=G42)*(J$3:J$105&gt;J42))+1,IF(M42="P",SUMPRODUCT((O$3:O$105&lt;&gt;"")*(P$3:P$105="")*(G$3:G$105=G42))+SUMPRODUCT((P$3:P$105&lt;&gt;"")*(G$3:G$105=G42))+SUMPRODUCT((N$3:N$105&lt;&gt;"")*(G$3:G$105=G42))+SUMPRODUCT((P$3:P$105="")*(O$3:O$105="")*(N$3:N$105="")*(M$3:M$105="P")*(G$3:G$105=G42)*(J$3:J$105&gt;J42))+IF(H42="L5",SUMPRODUCT((P$3:P$105="")*(O$3:O$105="")*(N$3:N$105="")*(M$3:M$105="P")*(G$3:G$105=G42)*(J$3:J$105&lt;J42)*(H$3:H$105&lt;&gt;H42)),-1*SUMPRODUCT((P$3:P$105="")*(O$3:O$105="")*(N$3:N$105="")*(M$3:M$105="P")*(G$3:G$105=G42)*(J$3:J$105&gt;J42)*(H$3:H$105="L5")))+1,""))))</f>
        <v/>
      </c>
      <c r="C42" s="36" t="s">
        <v>267</v>
      </c>
      <c r="D42" s="36" t="str">
        <f>IF(E42="","",VLOOKUP(E42,'Coaching Points'!A:B,2,0))</f>
        <v>AB</v>
      </c>
      <c r="E42" s="36" t="s">
        <v>63</v>
      </c>
      <c r="F42" s="35">
        <v>2005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66</v>
      </c>
      <c r="I42" s="43"/>
      <c r="J42" s="4">
        <f>R42+S42+IF(OR(H42="Junior",H42="Senior"),0.0002,IF(OR(H42="L7",H42="L6"),0.0001,0))+MAX(X42,Z42)*0.0000001</f>
        <v>78.600004089999999</v>
      </c>
      <c r="K42" s="3" t="str">
        <f>IF(G42="Not Age Eligible","",IF(MAX(T42,V42,X42,Z42)&gt;=LOOKUP(G42,'Qualifying Scores'!$A$4:$A$7,'Qualifying Scores'!$G$4:$G$7),"P",""))</f>
        <v/>
      </c>
      <c r="L42" s="3" t="str">
        <f>IF(G42="Not Age Eligible","",IF(MAX(U42,W42,Y42,AA42)&gt;=LOOKUP(G42,'Qualifying Scores'!$A$10:$A$13,'Qualifying Scores'!$G$10:$G$13),"P",""))</f>
        <v/>
      </c>
      <c r="M42" s="3" t="str">
        <f>IF(G42="Not Age Eligible","",IF(OR(AND(T42&gt;=LOOKUP(G42,'Qualifying Scores'!$A$4:$A$7,'Qualifying Scores'!$G$4:$G$7),U42&gt;=LOOKUP(G42,'Qualifying Scores'!$A$10:$A$13,'Qualifying Scores'!$G$10:$G$13)),AND(X42&gt;=LOOKUP(G42,'Qualifying Scores'!$A$4:$A$7,'Qualifying Scores'!$G$4:$G$7),Y42&gt;=LOOKUP(G42,'Qualifying Scores'!$A$10:$A$13,'Qualifying Scores'!$G$10:$G$13)),AND(V42&gt;=LOOKUP(G42,'Qualifying Scores'!$A$4:$A$7,'Qualifying Scores'!$G$4:$G$7),W42&gt;=LOOKUP(G42,'Qualifying Scores'!$A$10:$A$13,'Qualifying Scores'!$G$10:$G$13)),AND(Z42&gt;=LOOKUP(G42,'Qualifying Scores'!$A$4:$A$7,'Qualifying Scores'!$G$4:$G$7),AA42&gt;=LOOKUP(G42,'Qualifying Scores'!$A$10:$A$13,'Qualifying Scores'!$G$10:$G$13))),"P",""))</f>
        <v/>
      </c>
      <c r="Q42" s="1" t="str">
        <f>IF(A42&lt;5,IF(_xlfn.MAXIFS(A:A,G:G,G42)&gt;3,5-A42,_xlfn.MAXIFS(A:A,G:G,G42)+1-A42),"")</f>
        <v/>
      </c>
      <c r="R42" s="4">
        <f>MAX(T42,X42)</f>
        <v>40.9</v>
      </c>
      <c r="S42" s="4">
        <f>IF(R42=T42,MAX(V42,X42,Z42),IF(R42=X42,MAX(T42,V42,Z42),0))</f>
        <v>37.700000000000003</v>
      </c>
      <c r="T42" s="33">
        <v>37.700000000000003</v>
      </c>
      <c r="U42" s="40">
        <v>3.9000000000000004</v>
      </c>
      <c r="V42" s="34"/>
      <c r="W42" s="40"/>
      <c r="X42" s="33">
        <v>40.9</v>
      </c>
      <c r="Y42" s="40">
        <v>5.8000000000000007</v>
      </c>
      <c r="Z42" s="34"/>
      <c r="AA42" s="37"/>
    </row>
    <row r="43" spans="1:27" x14ac:dyDescent="0.2">
      <c r="A43" s="1" t="str" cm="1">
        <f t="array" ref="A43">IF(I43="","",IF(P43&lt;&gt;"",SUMPRODUCT((P$3:P$105&lt;&gt;"")*(G$3:G$105=G43)*(J$3:J$105&gt;J43)*(I$3:I$105="P"))+1,IF(O43&lt;&gt;"",SUMPRODUCT((O$3:O$105&lt;&gt;"")*(P$3:P$105="")*(G$3:G$105=G43)*(J$3:J$105&gt;J43)*(I$3:I$105="P"))+SUMPRODUCT((P$3:P$105&lt;&gt;"")*(G$3:G$105=G43)*(I$3:I$105="P"))+1,IF(N43&lt;&gt;"",SUMPRODUCT((N$3:N$105&lt;&gt;"")*(G$3:G$105=G43)*(J$3:J$105&gt;J43)*(I$3:I$105="P"))+1,IF(M43="P",SUMPRODUCT((O$3:O$105&lt;&gt;"")*(P$3:P$105="")*(G$3:G$105=G43)*(I$3:I$105="P"))+SUMPRODUCT((P$3:P$105&lt;&gt;"")*(G$3:G$105=G43)*(I$3:I$105="P"))+SUMPRODUCT((N$3:N$105&lt;&gt;"")*(G$3:G$105=G43)*(I$3:I$105="P"))+SUMPRODUCT((P$3:P$105="")*(O$3:O$105="")*(N$3:N$105="")*(M$3:M$105="P")*(G$3:G$105=G43)*(J$3:J$105&gt;J43)*(I$3:I$105="P"))+IF(H43="L5",SUMPRODUCT((P$3:P$105="")*(O$3:O$105="")*(N$3:N$105="")*(M$3:M$105="P")*(G$3:G$105=G43)*(J$3:J$105&lt;J43)*(H$3:H$105&lt;&gt;H43)*(I$3:I$105="P")),-1*SUMPRODUCT((P$3:P$105="")*(O$3:O$105="")*(N$3:N$105="")*(M$3:M$105="P")*(G$3:G$105=G43)*(J$3:J$105&gt;J43)*(H$3:H$105="L5")*(I$3:I$105="P")))+1,"")))))</f>
        <v/>
      </c>
      <c r="B43" s="1" t="str" cm="1">
        <f t="array" ref="B43">IF(P43&lt;&gt;"",SUMPRODUCT((P$3:P$105&lt;&gt;"")*(G$3:G$105=G43)*(J$3:J$105&gt;J43))+1,IF(O43&lt;&gt;"",SUMPRODUCT((O$3:O$105&lt;&gt;"")*(P$3:P$105="")*(G$3:G$105=G43)*(J$3:J$105&gt;J43))+SUMPRODUCT((P$3:P$105&lt;&gt;"")*(G$3:G$105=G43))+1,IF(N43&lt;&gt;"",SUMPRODUCT((N$3:N$105&lt;&gt;"")*(G$3:G$105=G43)*(J$3:J$105&gt;J43))+1,IF(M43="P",SUMPRODUCT((O$3:O$105&lt;&gt;"")*(P$3:P$105="")*(G$3:G$105=G43))+SUMPRODUCT((P$3:P$105&lt;&gt;"")*(G$3:G$105=G43))+SUMPRODUCT((N$3:N$105&lt;&gt;"")*(G$3:G$105=G43))+SUMPRODUCT((P$3:P$105="")*(O$3:O$105="")*(N$3:N$105="")*(M$3:M$105="P")*(G$3:G$105=G43)*(J$3:J$105&gt;J43))+IF(H43="L5",SUMPRODUCT((P$3:P$105="")*(O$3:O$105="")*(N$3:N$105="")*(M$3:M$105="P")*(G$3:G$105=G43)*(J$3:J$105&lt;J43)*(H$3:H$105&lt;&gt;H43)),-1*SUMPRODUCT((P$3:P$105="")*(O$3:O$105="")*(N$3:N$105="")*(M$3:M$105="P")*(G$3:G$105=G43)*(J$3:J$105&gt;J43)*(H$3:H$105="L5")))+1,""))))</f>
        <v/>
      </c>
      <c r="C43" s="36" t="s">
        <v>266</v>
      </c>
      <c r="D43" s="36" t="str">
        <f>IF(E43="","",VLOOKUP(E43,'Coaching Points'!A:B,2,0))</f>
        <v>AB</v>
      </c>
      <c r="E43" s="36" t="s">
        <v>63</v>
      </c>
      <c r="F43" s="35">
        <v>2003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66</v>
      </c>
      <c r="I43" s="43"/>
      <c r="J43" s="4">
        <f>R43+S43+IF(OR(H43="Junior",H43="Senior"),0.0002,IF(OR(H43="L7",H43="L6"),0.0001,0))+MAX(X43,Z43)*0.0000001</f>
        <v>62.000004169999997</v>
      </c>
      <c r="K43" s="3" t="str">
        <f>IF(G43="Not Age Eligible","",IF(MAX(T43,V43,X43,Z43)&gt;=LOOKUP(G43,'Qualifying Scores'!$A$4:$A$7,'Qualifying Scores'!$G$4:$G$7),"P",""))</f>
        <v/>
      </c>
      <c r="L43" s="3" t="str">
        <f>IF(G43="Not Age Eligible","",IF(MAX(U43,W43,Y43,AA43)&gt;=LOOKUP(G43,'Qualifying Scores'!$A$10:$A$13,'Qualifying Scores'!$G$10:$G$13),"P",""))</f>
        <v/>
      </c>
      <c r="M43" s="3" t="str">
        <f>IF(G43="Not Age Eligible","",IF(OR(AND(T43&gt;=LOOKUP(G43,'Qualifying Scores'!$A$4:$A$7,'Qualifying Scores'!$G$4:$G$7),U43&gt;=LOOKUP(G43,'Qualifying Scores'!$A$10:$A$13,'Qualifying Scores'!$G$10:$G$13)),AND(X43&gt;=LOOKUP(G43,'Qualifying Scores'!$A$4:$A$7,'Qualifying Scores'!$G$4:$G$7),Y43&gt;=LOOKUP(G43,'Qualifying Scores'!$A$10:$A$13,'Qualifying Scores'!$G$10:$G$13)),AND(V43&gt;=LOOKUP(G43,'Qualifying Scores'!$A$4:$A$7,'Qualifying Scores'!$G$4:$G$7),W43&gt;=LOOKUP(G43,'Qualifying Scores'!$A$10:$A$13,'Qualifying Scores'!$G$10:$G$13)),AND(Z43&gt;=LOOKUP(G43,'Qualifying Scores'!$A$4:$A$7,'Qualifying Scores'!$G$4:$G$7),AA43&gt;=LOOKUP(G43,'Qualifying Scores'!$A$10:$A$13,'Qualifying Scores'!$G$10:$G$13))),"P",""))</f>
        <v/>
      </c>
      <c r="Q43" s="1" t="str">
        <f>IF(A43&lt;5,IF(_xlfn.MAXIFS(A:A,G:G,G43)&gt;3,5-A43,_xlfn.MAXIFS(A:A,G:G,G43)+1-A43),"")</f>
        <v/>
      </c>
      <c r="R43" s="4">
        <f>MAX(T43,X43)</f>
        <v>41.7</v>
      </c>
      <c r="S43" s="4">
        <f>IF(R43=T43,MAX(V43,X43,Z43),IF(R43=X43,MAX(T43,V43,Z43),0))</f>
        <v>20.3</v>
      </c>
      <c r="T43" s="33">
        <v>20.3</v>
      </c>
      <c r="U43" s="40">
        <v>2.7</v>
      </c>
      <c r="V43" s="34"/>
      <c r="W43" s="40"/>
      <c r="X43" s="33">
        <v>41.7</v>
      </c>
      <c r="Y43" s="40">
        <v>7</v>
      </c>
      <c r="Z43" s="34"/>
      <c r="AA43" s="37"/>
    </row>
    <row r="44" spans="1:27" x14ac:dyDescent="0.2">
      <c r="A44" s="1" t="str" cm="1">
        <f t="array" ref="A44">IF(I44="","",IF(P44&lt;&gt;"",SUMPRODUCT((P$3:P$105&lt;&gt;"")*(G$3:G$105=G44)*(J$3:J$105&gt;J44)*(I$3:I$105="P"))+1,IF(O44&lt;&gt;"",SUMPRODUCT((O$3:O$105&lt;&gt;"")*(P$3:P$105="")*(G$3:G$105=G44)*(J$3:J$105&gt;J44)*(I$3:I$105="P"))+SUMPRODUCT((P$3:P$105&lt;&gt;"")*(G$3:G$105=G44)*(I$3:I$105="P"))+1,IF(N44&lt;&gt;"",SUMPRODUCT((N$3:N$105&lt;&gt;"")*(G$3:G$105=G44)*(J$3:J$105&gt;J44)*(I$3:I$105="P"))+1,IF(M44="P",SUMPRODUCT((O$3:O$105&lt;&gt;"")*(P$3:P$105="")*(G$3:G$105=G44)*(I$3:I$105="P"))+SUMPRODUCT((P$3:P$105&lt;&gt;"")*(G$3:G$105=G44)*(I$3:I$105="P"))+SUMPRODUCT((N$3:N$105&lt;&gt;"")*(G$3:G$105=G44)*(I$3:I$105="P"))+SUMPRODUCT((P$3:P$105="")*(O$3:O$105="")*(N$3:N$105="")*(M$3:M$105="P")*(G$3:G$105=G44)*(J$3:J$105&gt;J44)*(I$3:I$105="P"))+IF(H44="L5",SUMPRODUCT((P$3:P$105="")*(O$3:O$105="")*(N$3:N$105="")*(M$3:M$105="P")*(G$3:G$105=G44)*(J$3:J$105&lt;J44)*(H$3:H$105&lt;&gt;H44)*(I$3:I$105="P")),-1*SUMPRODUCT((P$3:P$105="")*(O$3:O$105="")*(N$3:N$105="")*(M$3:M$105="P")*(G$3:G$105=G44)*(J$3:J$105&gt;J44)*(H$3:H$105="L5")*(I$3:I$105="P")))+1,"")))))</f>
        <v/>
      </c>
      <c r="B44" s="1" t="str" cm="1">
        <f t="array" ref="B44">IF(P44&lt;&gt;"",SUMPRODUCT((P$3:P$105&lt;&gt;"")*(G$3:G$105=G44)*(J$3:J$105&gt;J44))+1,IF(O44&lt;&gt;"",SUMPRODUCT((O$3:O$105&lt;&gt;"")*(P$3:P$105="")*(G$3:G$105=G44)*(J$3:J$105&gt;J44))+SUMPRODUCT((P$3:P$105&lt;&gt;"")*(G$3:G$105=G44))+1,IF(N44&lt;&gt;"",SUMPRODUCT((N$3:N$105&lt;&gt;"")*(G$3:G$105=G44)*(J$3:J$105&gt;J44))+1,IF(M44="P",SUMPRODUCT((O$3:O$105&lt;&gt;"")*(P$3:P$105="")*(G$3:G$105=G44))+SUMPRODUCT((P$3:P$105&lt;&gt;"")*(G$3:G$105=G44))+SUMPRODUCT((N$3:N$105&lt;&gt;"")*(G$3:G$105=G44))+SUMPRODUCT((P$3:P$105="")*(O$3:O$105="")*(N$3:N$105="")*(M$3:M$105="P")*(G$3:G$105=G44)*(J$3:J$105&gt;J44))+IF(H44="L5",SUMPRODUCT((P$3:P$105="")*(O$3:O$105="")*(N$3:N$105="")*(M$3:M$105="P")*(G$3:G$105=G44)*(J$3:J$105&lt;J44)*(H$3:H$105&lt;&gt;H44)),-1*SUMPRODUCT((P$3:P$105="")*(O$3:O$105="")*(N$3:N$105="")*(M$3:M$105="P")*(G$3:G$105=G44)*(J$3:J$105&gt;J44)*(H$3:H$105="L5")))+1,""))))</f>
        <v/>
      </c>
      <c r="C44" s="36" t="s">
        <v>506</v>
      </c>
      <c r="D44" s="36" t="str">
        <f>IF(E44="","",VLOOKUP(E44,'Coaching Points'!A:B,2,0))</f>
        <v>AB</v>
      </c>
      <c r="E44" s="36" t="s">
        <v>58</v>
      </c>
      <c r="F44" s="35">
        <v>2006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66</v>
      </c>
      <c r="I44" s="43"/>
      <c r="J44" s="4">
        <f>R44+S44+IF(OR(H44="Junior",H44="Senior"),0.0002,IF(OR(H44="L7",H44="L6"),0.0001,0))+MAX(X44,Z44)*0.0000001</f>
        <v>42.700004270000001</v>
      </c>
      <c r="K44" s="3" t="str">
        <f>IF(G44="Not Age Eligible","",IF(MAX(T44,V44,X44,Z44)&gt;=LOOKUP(G44,'Qualifying Scores'!$A$4:$A$7,'Qualifying Scores'!$G$4:$G$7),"P",""))</f>
        <v/>
      </c>
      <c r="L44" s="3" t="str">
        <f>IF(G44="Not Age Eligible","",IF(MAX(U44,W44,Y44,AA44)&gt;=LOOKUP(G44,'Qualifying Scores'!$A$10:$A$13,'Qualifying Scores'!$G$10:$G$13),"P",""))</f>
        <v/>
      </c>
      <c r="M44" s="3" t="str">
        <f>IF(G44="Not Age Eligible","",IF(OR(AND(T44&gt;=LOOKUP(G44,'Qualifying Scores'!$A$4:$A$7,'Qualifying Scores'!$G$4:$G$7),U44&gt;=LOOKUP(G44,'Qualifying Scores'!$A$10:$A$13,'Qualifying Scores'!$G$10:$G$13)),AND(X44&gt;=LOOKUP(G44,'Qualifying Scores'!$A$4:$A$7,'Qualifying Scores'!$G$4:$G$7),Y44&gt;=LOOKUP(G44,'Qualifying Scores'!$A$10:$A$13,'Qualifying Scores'!$G$10:$G$13)),AND(V44&gt;=LOOKUP(G44,'Qualifying Scores'!$A$4:$A$7,'Qualifying Scores'!$G$4:$G$7),W44&gt;=LOOKUP(G44,'Qualifying Scores'!$A$10:$A$13,'Qualifying Scores'!$G$10:$G$13)),AND(Z44&gt;=LOOKUP(G44,'Qualifying Scores'!$A$4:$A$7,'Qualifying Scores'!$G$4:$G$7),AA44&gt;=LOOKUP(G44,'Qualifying Scores'!$A$10:$A$13,'Qualifying Scores'!$G$10:$G$13))),"P",""))</f>
        <v/>
      </c>
      <c r="Q44" s="1" t="str">
        <f>IF(A44&lt;5,IF(_xlfn.MAXIFS(A:A,G:G,G44)&gt;3,5-A44,_xlfn.MAXIFS(A:A,G:G,G44)+1-A44),"")</f>
        <v/>
      </c>
      <c r="R44" s="4">
        <f>MAX(T44,X44)</f>
        <v>42.7</v>
      </c>
      <c r="S44" s="4">
        <f>IF(R44=T44,MAX(V44,X44,Z44),IF(R44=X44,MAX(T44,V44,Z44),0))</f>
        <v>0</v>
      </c>
      <c r="T44" s="33"/>
      <c r="U44" s="40"/>
      <c r="V44" s="34"/>
      <c r="W44" s="40"/>
      <c r="X44" s="33">
        <v>42.7</v>
      </c>
      <c r="Y44" s="40">
        <v>6.1</v>
      </c>
      <c r="Z44" s="34"/>
      <c r="AA44" s="37"/>
    </row>
    <row r="45" spans="1:27" x14ac:dyDescent="0.2">
      <c r="A45" s="1" t="str" cm="1">
        <f t="array" ref="A45">IF(I45="","",IF(P45&lt;&gt;"",SUMPRODUCT((P$3:P$105&lt;&gt;"")*(G$3:G$105=G45)*(J$3:J$105&gt;J45)*(I$3:I$105="P"))+1,IF(O45&lt;&gt;"",SUMPRODUCT((O$3:O$105&lt;&gt;"")*(P$3:P$105="")*(G$3:G$105=G45)*(J$3:J$105&gt;J45)*(I$3:I$105="P"))+SUMPRODUCT((P$3:P$105&lt;&gt;"")*(G$3:G$105=G45)*(I$3:I$105="P"))+1,IF(N45&lt;&gt;"",SUMPRODUCT((N$3:N$105&lt;&gt;"")*(G$3:G$105=G45)*(J$3:J$105&gt;J45)*(I$3:I$105="P"))+1,IF(M45="P",SUMPRODUCT((O$3:O$105&lt;&gt;"")*(P$3:P$105="")*(G$3:G$105=G45)*(I$3:I$105="P"))+SUMPRODUCT((P$3:P$105&lt;&gt;"")*(G$3:G$105=G45)*(I$3:I$105="P"))+SUMPRODUCT((N$3:N$105&lt;&gt;"")*(G$3:G$105=G45)*(I$3:I$105="P"))+SUMPRODUCT((P$3:P$105="")*(O$3:O$105="")*(N$3:N$105="")*(M$3:M$105="P")*(G$3:G$105=G45)*(J$3:J$105&gt;J45)*(I$3:I$105="P"))+IF(H45="L5",SUMPRODUCT((P$3:P$105="")*(O$3:O$105="")*(N$3:N$105="")*(M$3:M$105="P")*(G$3:G$105=G45)*(J$3:J$105&lt;J45)*(H$3:H$105&lt;&gt;H45)*(I$3:I$105="P")),-1*SUMPRODUCT((P$3:P$105="")*(O$3:O$105="")*(N$3:N$105="")*(M$3:M$105="P")*(G$3:G$105=G45)*(J$3:J$105&gt;J45)*(H$3:H$105="L5")*(I$3:I$105="P")))+1,"")))))</f>
        <v/>
      </c>
      <c r="B45" s="1" t="str" cm="1">
        <f t="array" ref="B45">IF(P45&lt;&gt;"",SUMPRODUCT((P$3:P$105&lt;&gt;"")*(G$3:G$105=G45)*(J$3:J$105&gt;J45))+1,IF(O45&lt;&gt;"",SUMPRODUCT((O$3:O$105&lt;&gt;"")*(P$3:P$105="")*(G$3:G$105=G45)*(J$3:J$105&gt;J45))+SUMPRODUCT((P$3:P$105&lt;&gt;"")*(G$3:G$105=G45))+1,IF(N45&lt;&gt;"",SUMPRODUCT((N$3:N$105&lt;&gt;"")*(G$3:G$105=G45)*(J$3:J$105&gt;J45))+1,IF(M45="P",SUMPRODUCT((O$3:O$105&lt;&gt;"")*(P$3:P$105="")*(G$3:G$105=G45))+SUMPRODUCT((P$3:P$105&lt;&gt;"")*(G$3:G$105=G45))+SUMPRODUCT((N$3:N$105&lt;&gt;"")*(G$3:G$105=G45))+SUMPRODUCT((P$3:P$105="")*(O$3:O$105="")*(N$3:N$105="")*(M$3:M$105="P")*(G$3:G$105=G45)*(J$3:J$105&gt;J45))+IF(H45="L5",SUMPRODUCT((P$3:P$105="")*(O$3:O$105="")*(N$3:N$105="")*(M$3:M$105="P")*(G$3:G$105=G45)*(J$3:J$105&lt;J45)*(H$3:H$105&lt;&gt;H45)),-1*SUMPRODUCT((P$3:P$105="")*(O$3:O$105="")*(N$3:N$105="")*(M$3:M$105="P")*(G$3:G$105=G45)*(J$3:J$105&gt;J45)*(H$3:H$105="L5")))+1,""))))</f>
        <v/>
      </c>
      <c r="C45" s="36" t="s">
        <v>507</v>
      </c>
      <c r="D45" s="36" t="str">
        <f>IF(E45="","",VLOOKUP(E45,'Coaching Points'!A:B,2,0))</f>
        <v>AB</v>
      </c>
      <c r="E45" s="36" t="s">
        <v>421</v>
      </c>
      <c r="F45" s="35">
        <v>2006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66</v>
      </c>
      <c r="I45" s="43"/>
      <c r="J45" s="4">
        <f>R45+S45+IF(OR(H45="Junior",H45="Senior"),0.0002,IF(OR(H45="L7",H45="L6"),0.0001,0))+MAX(X45,Z45)*0.0000001</f>
        <v>42.700004270000001</v>
      </c>
      <c r="K45" s="3" t="str">
        <f>IF(G45="Not Age Eligible","",IF(MAX(T45,V45,X45,Z45)&gt;=LOOKUP(G45,'Qualifying Scores'!$A$4:$A$7,'Qualifying Scores'!$G$4:$G$7),"P",""))</f>
        <v/>
      </c>
      <c r="L45" s="3" t="str">
        <f>IF(G45="Not Age Eligible","",IF(MAX(U45,W45,Y45,AA45)&gt;=LOOKUP(G45,'Qualifying Scores'!$A$10:$A$13,'Qualifying Scores'!$G$10:$G$13),"P",""))</f>
        <v/>
      </c>
      <c r="M45" s="3" t="str">
        <f>IF(G45="Not Age Eligible","",IF(OR(AND(T45&gt;=LOOKUP(G45,'Qualifying Scores'!$A$4:$A$7,'Qualifying Scores'!$G$4:$G$7),U45&gt;=LOOKUP(G45,'Qualifying Scores'!$A$10:$A$13,'Qualifying Scores'!$G$10:$G$13)),AND(X45&gt;=LOOKUP(G45,'Qualifying Scores'!$A$4:$A$7,'Qualifying Scores'!$G$4:$G$7),Y45&gt;=LOOKUP(G45,'Qualifying Scores'!$A$10:$A$13,'Qualifying Scores'!$G$10:$G$13)),AND(V45&gt;=LOOKUP(G45,'Qualifying Scores'!$A$4:$A$7,'Qualifying Scores'!$G$4:$G$7),W45&gt;=LOOKUP(G45,'Qualifying Scores'!$A$10:$A$13,'Qualifying Scores'!$G$10:$G$13)),AND(Z45&gt;=LOOKUP(G45,'Qualifying Scores'!$A$4:$A$7,'Qualifying Scores'!$G$4:$G$7),AA45&gt;=LOOKUP(G45,'Qualifying Scores'!$A$10:$A$13,'Qualifying Scores'!$G$10:$G$13))),"P",""))</f>
        <v/>
      </c>
      <c r="Q45" s="1" t="str">
        <f>IF(A45&lt;5,IF(_xlfn.MAXIFS(A:A,G:G,G45)&gt;3,5-A45,_xlfn.MAXIFS(A:A,G:G,G45)+1-A45),"")</f>
        <v/>
      </c>
      <c r="R45" s="4">
        <f>MAX(T45,X45)</f>
        <v>42.7</v>
      </c>
      <c r="S45" s="4">
        <f>IF(R45=T45,MAX(V45,X45,Z45),IF(R45=X45,MAX(T45,V45,Z45),0))</f>
        <v>0</v>
      </c>
      <c r="T45" s="33"/>
      <c r="U45" s="40"/>
      <c r="V45" s="34"/>
      <c r="W45" s="40"/>
      <c r="X45" s="33">
        <v>42.7</v>
      </c>
      <c r="Y45" s="40">
        <v>6.3000000000000007</v>
      </c>
      <c r="Z45" s="34"/>
      <c r="AA45" s="37"/>
    </row>
    <row r="46" spans="1:27" x14ac:dyDescent="0.2">
      <c r="A46" s="1" t="str" cm="1">
        <f t="array" ref="A46">IF(I46="","",IF(P46&lt;&gt;"",SUMPRODUCT((P$3:P$105&lt;&gt;"")*(G$3:G$105=G46)*(J$3:J$105&gt;J46)*(I$3:I$105="P"))+1,IF(O46&lt;&gt;"",SUMPRODUCT((O$3:O$105&lt;&gt;"")*(P$3:P$105="")*(G$3:G$105=G46)*(J$3:J$105&gt;J46)*(I$3:I$105="P"))+SUMPRODUCT((P$3:P$105&lt;&gt;"")*(G$3:G$105=G46)*(I$3:I$105="P"))+1,IF(N46&lt;&gt;"",SUMPRODUCT((N$3:N$105&lt;&gt;"")*(G$3:G$105=G46)*(J$3:J$105&gt;J46)*(I$3:I$105="P"))+1,IF(M46="P",SUMPRODUCT((O$3:O$105&lt;&gt;"")*(P$3:P$105="")*(G$3:G$105=G46)*(I$3:I$105="P"))+SUMPRODUCT((P$3:P$105&lt;&gt;"")*(G$3:G$105=G46)*(I$3:I$105="P"))+SUMPRODUCT((N$3:N$105&lt;&gt;"")*(G$3:G$105=G46)*(I$3:I$105="P"))+SUMPRODUCT((P$3:P$105="")*(O$3:O$105="")*(N$3:N$105="")*(M$3:M$105="P")*(G$3:G$105=G46)*(J$3:J$105&gt;J46)*(I$3:I$105="P"))+IF(H46="L5",SUMPRODUCT((P$3:P$105="")*(O$3:O$105="")*(N$3:N$105="")*(M$3:M$105="P")*(G$3:G$105=G46)*(J$3:J$105&lt;J46)*(H$3:H$105&lt;&gt;H46)*(I$3:I$105="P")),-1*SUMPRODUCT((P$3:P$105="")*(O$3:O$105="")*(N$3:N$105="")*(M$3:M$105="P")*(G$3:G$105=G46)*(J$3:J$105&gt;J46)*(H$3:H$105="L5")*(I$3:I$105="P")))+1,"")))))</f>
        <v/>
      </c>
      <c r="B46" s="1" t="str" cm="1">
        <f t="array" ref="B46">IF(P46&lt;&gt;"",SUMPRODUCT((P$3:P$105&lt;&gt;"")*(G$3:G$105=G46)*(J$3:J$105&gt;J46))+1,IF(O46&lt;&gt;"",SUMPRODUCT((O$3:O$105&lt;&gt;"")*(P$3:P$105="")*(G$3:G$105=G46)*(J$3:J$105&gt;J46))+SUMPRODUCT((P$3:P$105&lt;&gt;"")*(G$3:G$105=G46))+1,IF(N46&lt;&gt;"",SUMPRODUCT((N$3:N$105&lt;&gt;"")*(G$3:G$105=G46)*(J$3:J$105&gt;J46))+1,IF(M46="P",SUMPRODUCT((O$3:O$105&lt;&gt;"")*(P$3:P$105="")*(G$3:G$105=G46))+SUMPRODUCT((P$3:P$105&lt;&gt;"")*(G$3:G$105=G46))+SUMPRODUCT((N$3:N$105&lt;&gt;"")*(G$3:G$105=G46))+SUMPRODUCT((P$3:P$105="")*(O$3:O$105="")*(N$3:N$105="")*(M$3:M$105="P")*(G$3:G$105=G46)*(J$3:J$105&gt;J46))+IF(H46="L5",SUMPRODUCT((P$3:P$105="")*(O$3:O$105="")*(N$3:N$105="")*(M$3:M$105="P")*(G$3:G$105=G46)*(J$3:J$105&lt;J46)*(H$3:H$105&lt;&gt;H46)),-1*SUMPRODUCT((P$3:P$105="")*(O$3:O$105="")*(N$3:N$105="")*(M$3:M$105="P")*(G$3:G$105=G46)*(J$3:J$105&gt;J46)*(H$3:H$105="L5")))+1,""))))</f>
        <v/>
      </c>
      <c r="C46" s="36" t="s">
        <v>180</v>
      </c>
      <c r="D46" s="36" t="str">
        <f>IF(E46="","",VLOOKUP(E46,'Coaching Points'!A:B,2,0))</f>
        <v>SK</v>
      </c>
      <c r="E46" s="36" t="s">
        <v>60</v>
      </c>
      <c r="F46" s="35">
        <v>2005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66</v>
      </c>
      <c r="I46" s="43"/>
      <c r="J46" s="4">
        <f>R46+S46+IF(OR(H46="Junior",H46="Senior"),0.0002,IF(OR(H46="L7",H46="L6"),0.0001,0))+MAX(X46,Z46)*0.0000001</f>
        <v>42.500004250000003</v>
      </c>
      <c r="K46" s="3" t="str">
        <f>IF(G46="Not Age Eligible","",IF(MAX(T46,V46,X46,Z46)&gt;=LOOKUP(G46,'Qualifying Scores'!$A$4:$A$7,'Qualifying Scores'!$G$4:$G$7),"P",""))</f>
        <v/>
      </c>
      <c r="L46" s="3" t="str">
        <f>IF(G46="Not Age Eligible","",IF(MAX(U46,W46,Y46,AA46)&gt;=LOOKUP(G46,'Qualifying Scores'!$A$10:$A$13,'Qualifying Scores'!$G$10:$G$13),"P",""))</f>
        <v/>
      </c>
      <c r="M46" s="3" t="str">
        <f>IF(G46="Not Age Eligible","",IF(OR(AND(T46&gt;=LOOKUP(G46,'Qualifying Scores'!$A$4:$A$7,'Qualifying Scores'!$G$4:$G$7),U46&gt;=LOOKUP(G46,'Qualifying Scores'!$A$10:$A$13,'Qualifying Scores'!$G$10:$G$13)),AND(X46&gt;=LOOKUP(G46,'Qualifying Scores'!$A$4:$A$7,'Qualifying Scores'!$G$4:$G$7),Y46&gt;=LOOKUP(G46,'Qualifying Scores'!$A$10:$A$13,'Qualifying Scores'!$G$10:$G$13)),AND(V46&gt;=LOOKUP(G46,'Qualifying Scores'!$A$4:$A$7,'Qualifying Scores'!$G$4:$G$7),W46&gt;=LOOKUP(G46,'Qualifying Scores'!$A$10:$A$13,'Qualifying Scores'!$G$10:$G$13)),AND(Z46&gt;=LOOKUP(G46,'Qualifying Scores'!$A$4:$A$7,'Qualifying Scores'!$G$4:$G$7),AA46&gt;=LOOKUP(G46,'Qualifying Scores'!$A$10:$A$13,'Qualifying Scores'!$G$10:$G$13))),"P",""))</f>
        <v/>
      </c>
      <c r="Q46" s="1" t="str">
        <f>IF(A46&lt;5,IF(_xlfn.MAXIFS(A:A,G:G,G46)&gt;3,5-A46,_xlfn.MAXIFS(A:A,G:G,G46)+1-A46),"")</f>
        <v/>
      </c>
      <c r="R46" s="4">
        <f>MAX(T46,X46)</f>
        <v>42.5</v>
      </c>
      <c r="S46" s="4">
        <f>IF(R46=T46,MAX(V46,X46,Z46),IF(R46=X46,MAX(T46,V46,Z46),0))</f>
        <v>0</v>
      </c>
      <c r="T46" s="33"/>
      <c r="U46" s="40"/>
      <c r="V46" s="34"/>
      <c r="W46" s="40"/>
      <c r="X46" s="33">
        <v>42.5</v>
      </c>
      <c r="Y46" s="40">
        <v>6.3000000000000007</v>
      </c>
      <c r="Z46" s="34"/>
      <c r="AA46" s="37"/>
    </row>
    <row r="47" spans="1:27" x14ac:dyDescent="0.2">
      <c r="A47" s="1" t="str" cm="1">
        <f t="array" ref="A47">IF(I47="","",IF(P47&lt;&gt;"",SUMPRODUCT((P$3:P$105&lt;&gt;"")*(G$3:G$105=G47)*(J$3:J$105&gt;J47)*(I$3:I$105="P"))+1,IF(O47&lt;&gt;"",SUMPRODUCT((O$3:O$105&lt;&gt;"")*(P$3:P$105="")*(G$3:G$105=G47)*(J$3:J$105&gt;J47)*(I$3:I$105="P"))+SUMPRODUCT((P$3:P$105&lt;&gt;"")*(G$3:G$105=G47)*(I$3:I$105="P"))+1,IF(N47&lt;&gt;"",SUMPRODUCT((N$3:N$105&lt;&gt;"")*(G$3:G$105=G47)*(J$3:J$105&gt;J47)*(I$3:I$105="P"))+1,IF(M47="P",SUMPRODUCT((O$3:O$105&lt;&gt;"")*(P$3:P$105="")*(G$3:G$105=G47)*(I$3:I$105="P"))+SUMPRODUCT((P$3:P$105&lt;&gt;"")*(G$3:G$105=G47)*(I$3:I$105="P"))+SUMPRODUCT((N$3:N$105&lt;&gt;"")*(G$3:G$105=G47)*(I$3:I$105="P"))+SUMPRODUCT((P$3:P$105="")*(O$3:O$105="")*(N$3:N$105="")*(M$3:M$105="P")*(G$3:G$105=G47)*(J$3:J$105&gt;J47)*(I$3:I$105="P"))+IF(H47="L5",SUMPRODUCT((P$3:P$105="")*(O$3:O$105="")*(N$3:N$105="")*(M$3:M$105="P")*(G$3:G$105=G47)*(J$3:J$105&lt;J47)*(H$3:H$105&lt;&gt;H47)*(I$3:I$105="P")),-1*SUMPRODUCT((P$3:P$105="")*(O$3:O$105="")*(N$3:N$105="")*(M$3:M$105="P")*(G$3:G$105=G47)*(J$3:J$105&gt;J47)*(H$3:H$105="L5")*(I$3:I$105="P")))+1,"")))))</f>
        <v/>
      </c>
      <c r="B47" s="1" t="str" cm="1">
        <f t="array" ref="B47">IF(P47&lt;&gt;"",SUMPRODUCT((P$3:P$105&lt;&gt;"")*(G$3:G$105=G47)*(J$3:J$105&gt;J47))+1,IF(O47&lt;&gt;"",SUMPRODUCT((O$3:O$105&lt;&gt;"")*(P$3:P$105="")*(G$3:G$105=G47)*(J$3:J$105&gt;J47))+SUMPRODUCT((P$3:P$105&lt;&gt;"")*(G$3:G$105=G47))+1,IF(N47&lt;&gt;"",SUMPRODUCT((N$3:N$105&lt;&gt;"")*(G$3:G$105=G47)*(J$3:J$105&gt;J47))+1,IF(M47="P",SUMPRODUCT((O$3:O$105&lt;&gt;"")*(P$3:P$105="")*(G$3:G$105=G47))+SUMPRODUCT((P$3:P$105&lt;&gt;"")*(G$3:G$105=G47))+SUMPRODUCT((N$3:N$105&lt;&gt;"")*(G$3:G$105=G47))+SUMPRODUCT((P$3:P$105="")*(O$3:O$105="")*(N$3:N$105="")*(M$3:M$105="P")*(G$3:G$105=G47)*(J$3:J$105&gt;J47))+IF(H47="L5",SUMPRODUCT((P$3:P$105="")*(O$3:O$105="")*(N$3:N$105="")*(M$3:M$105="P")*(G$3:G$105=G47)*(J$3:J$105&lt;J47)*(H$3:H$105&lt;&gt;H47)),-1*SUMPRODUCT((P$3:P$105="")*(O$3:O$105="")*(N$3:N$105="")*(M$3:M$105="P")*(G$3:G$105=G47)*(J$3:J$105&gt;J47)*(H$3:H$105="L5")))+1,""))))</f>
        <v/>
      </c>
      <c r="C47" s="36" t="s">
        <v>508</v>
      </c>
      <c r="D47" s="36" t="str">
        <f>IF(E47="","",VLOOKUP(E47,'Coaching Points'!A:B,2,0))</f>
        <v>MB</v>
      </c>
      <c r="E47" s="36" t="s">
        <v>561</v>
      </c>
      <c r="F47" s="35">
        <v>2004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66</v>
      </c>
      <c r="I47" s="43"/>
      <c r="J47" s="4">
        <f>R47+S47+IF(OR(H47="Junior",H47="Senior"),0.0002,IF(OR(H47="L7",H47="L6"),0.0001,0))+MAX(X47,Z47)*0.0000001</f>
        <v>42.300004229999999</v>
      </c>
      <c r="K47" s="3" t="str">
        <f>IF(G47="Not Age Eligible","",IF(MAX(T47,V47,X47,Z47)&gt;=LOOKUP(G47,'Qualifying Scores'!$A$4:$A$7,'Qualifying Scores'!$G$4:$G$7),"P",""))</f>
        <v/>
      </c>
      <c r="L47" s="3" t="str">
        <f>IF(G47="Not Age Eligible","",IF(MAX(U47,W47,Y47,AA47)&gt;=LOOKUP(G47,'Qualifying Scores'!$A$10:$A$13,'Qualifying Scores'!$G$10:$G$13),"P",""))</f>
        <v/>
      </c>
      <c r="M47" s="3" t="str">
        <f>IF(G47="Not Age Eligible","",IF(OR(AND(T47&gt;=LOOKUP(G47,'Qualifying Scores'!$A$4:$A$7,'Qualifying Scores'!$G$4:$G$7),U47&gt;=LOOKUP(G47,'Qualifying Scores'!$A$10:$A$13,'Qualifying Scores'!$G$10:$G$13)),AND(X47&gt;=LOOKUP(G47,'Qualifying Scores'!$A$4:$A$7,'Qualifying Scores'!$G$4:$G$7),Y47&gt;=LOOKUP(G47,'Qualifying Scores'!$A$10:$A$13,'Qualifying Scores'!$G$10:$G$13)),AND(V47&gt;=LOOKUP(G47,'Qualifying Scores'!$A$4:$A$7,'Qualifying Scores'!$G$4:$G$7),W47&gt;=LOOKUP(G47,'Qualifying Scores'!$A$10:$A$13,'Qualifying Scores'!$G$10:$G$13)),AND(Z47&gt;=LOOKUP(G47,'Qualifying Scores'!$A$4:$A$7,'Qualifying Scores'!$G$4:$G$7),AA47&gt;=LOOKUP(G47,'Qualifying Scores'!$A$10:$A$13,'Qualifying Scores'!$G$10:$G$13))),"P",""))</f>
        <v/>
      </c>
      <c r="Q47" s="1" t="str">
        <f>IF(A47&lt;5,IF(_xlfn.MAXIFS(A:A,G:G,G47)&gt;3,5-A47,_xlfn.MAXIFS(A:A,G:G,G47)+1-A47),"")</f>
        <v/>
      </c>
      <c r="R47" s="4">
        <f>MAX(T47,X47)</f>
        <v>42.3</v>
      </c>
      <c r="S47" s="4">
        <f>IF(R47=T47,MAX(V47,X47,Z47),IF(R47=X47,MAX(T47,V47,Z47),0))</f>
        <v>0</v>
      </c>
      <c r="T47" s="33"/>
      <c r="U47" s="40"/>
      <c r="V47" s="34"/>
      <c r="W47" s="40"/>
      <c r="X47" s="33">
        <v>42.3</v>
      </c>
      <c r="Y47" s="40">
        <v>5.7</v>
      </c>
      <c r="Z47" s="34"/>
      <c r="AA47" s="37"/>
    </row>
    <row r="48" spans="1:27" x14ac:dyDescent="0.2">
      <c r="A48" s="1" t="str" cm="1">
        <f t="array" ref="A48">IF(I48="","",IF(P48&lt;&gt;"",SUMPRODUCT((P$3:P$105&lt;&gt;"")*(G$3:G$105=G48)*(J$3:J$105&gt;J48)*(I$3:I$105="P"))+1,IF(O48&lt;&gt;"",SUMPRODUCT((O$3:O$105&lt;&gt;"")*(P$3:P$105="")*(G$3:G$105=G48)*(J$3:J$105&gt;J48)*(I$3:I$105="P"))+SUMPRODUCT((P$3:P$105&lt;&gt;"")*(G$3:G$105=G48)*(I$3:I$105="P"))+1,IF(N48&lt;&gt;"",SUMPRODUCT((N$3:N$105&lt;&gt;"")*(G$3:G$105=G48)*(J$3:J$105&gt;J48)*(I$3:I$105="P"))+1,IF(M48="P",SUMPRODUCT((O$3:O$105&lt;&gt;"")*(P$3:P$105="")*(G$3:G$105=G48)*(I$3:I$105="P"))+SUMPRODUCT((P$3:P$105&lt;&gt;"")*(G$3:G$105=G48)*(I$3:I$105="P"))+SUMPRODUCT((N$3:N$105&lt;&gt;"")*(G$3:G$105=G48)*(I$3:I$105="P"))+SUMPRODUCT((P$3:P$105="")*(O$3:O$105="")*(N$3:N$105="")*(M$3:M$105="P")*(G$3:G$105=G48)*(J$3:J$105&gt;J48)*(I$3:I$105="P"))+IF(H48="L5",SUMPRODUCT((P$3:P$105="")*(O$3:O$105="")*(N$3:N$105="")*(M$3:M$105="P")*(G$3:G$105=G48)*(J$3:J$105&lt;J48)*(H$3:H$105&lt;&gt;H48)*(I$3:I$105="P")),-1*SUMPRODUCT((P$3:P$105="")*(O$3:O$105="")*(N$3:N$105="")*(M$3:M$105="P")*(G$3:G$105=G48)*(J$3:J$105&gt;J48)*(H$3:H$105="L5")*(I$3:I$105="P")))+1,"")))))</f>
        <v/>
      </c>
      <c r="B48" s="1" t="str" cm="1">
        <f t="array" ref="B48">IF(P48&lt;&gt;"",SUMPRODUCT((P$3:P$105&lt;&gt;"")*(G$3:G$105=G48)*(J$3:J$105&gt;J48))+1,IF(O48&lt;&gt;"",SUMPRODUCT((O$3:O$105&lt;&gt;"")*(P$3:P$105="")*(G$3:G$105=G48)*(J$3:J$105&gt;J48))+SUMPRODUCT((P$3:P$105&lt;&gt;"")*(G$3:G$105=G48))+1,IF(N48&lt;&gt;"",SUMPRODUCT((N$3:N$105&lt;&gt;"")*(G$3:G$105=G48)*(J$3:J$105&gt;J48))+1,IF(M48="P",SUMPRODUCT((O$3:O$105&lt;&gt;"")*(P$3:P$105="")*(G$3:G$105=G48))+SUMPRODUCT((P$3:P$105&lt;&gt;"")*(G$3:G$105=G48))+SUMPRODUCT((N$3:N$105&lt;&gt;"")*(G$3:G$105=G48))+SUMPRODUCT((P$3:P$105="")*(O$3:O$105="")*(N$3:N$105="")*(M$3:M$105="P")*(G$3:G$105=G48)*(J$3:J$105&gt;J48))+IF(H48="L5",SUMPRODUCT((P$3:P$105="")*(O$3:O$105="")*(N$3:N$105="")*(M$3:M$105="P")*(G$3:G$105=G48)*(J$3:J$105&lt;J48)*(H$3:H$105&lt;&gt;H48)),-1*SUMPRODUCT((P$3:P$105="")*(O$3:O$105="")*(N$3:N$105="")*(M$3:M$105="P")*(G$3:G$105=G48)*(J$3:J$105&gt;J48)*(H$3:H$105="L5")))+1,""))))</f>
        <v/>
      </c>
      <c r="C48" s="36" t="s">
        <v>459</v>
      </c>
      <c r="D48" s="36" t="str">
        <f>IF(E48="","",VLOOKUP(E48,'Coaching Points'!A:B,2,0))</f>
        <v>ON</v>
      </c>
      <c r="E48" s="36" t="s">
        <v>47</v>
      </c>
      <c r="F48" s="35">
        <v>2006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66</v>
      </c>
      <c r="I48" s="43" t="s">
        <v>567</v>
      </c>
      <c r="J48" s="4">
        <f>R48+S48+IF(OR(H48="Junior",H48="Senior"),0.0002,IF(OR(H48="L7",H48="L6"),0.0001,0))+MAX(X48,Z48)*0.0000001</f>
        <v>42.300004229999999</v>
      </c>
      <c r="K48" s="3" t="str">
        <f>IF(G48="Not Age Eligible","",IF(MAX(T48,V48,X48,Z48)&gt;=LOOKUP(G48,'Qualifying Scores'!$A$4:$A$7,'Qualifying Scores'!$G$4:$G$7),"P",""))</f>
        <v/>
      </c>
      <c r="L48" s="3" t="str">
        <f>IF(G48="Not Age Eligible","",IF(MAX(U48,W48,Y48,AA48)&gt;=LOOKUP(G48,'Qualifying Scores'!$A$10:$A$13,'Qualifying Scores'!$G$10:$G$13),"P",""))</f>
        <v/>
      </c>
      <c r="M48" s="3" t="str">
        <f>IF(G48="Not Age Eligible","",IF(OR(AND(T48&gt;=LOOKUP(G48,'Qualifying Scores'!$A$4:$A$7,'Qualifying Scores'!$G$4:$G$7),U48&gt;=LOOKUP(G48,'Qualifying Scores'!$A$10:$A$13,'Qualifying Scores'!$G$10:$G$13)),AND(X48&gt;=LOOKUP(G48,'Qualifying Scores'!$A$4:$A$7,'Qualifying Scores'!$G$4:$G$7),Y48&gt;=LOOKUP(G48,'Qualifying Scores'!$A$10:$A$13,'Qualifying Scores'!$G$10:$G$13)),AND(V48&gt;=LOOKUP(G48,'Qualifying Scores'!$A$4:$A$7,'Qualifying Scores'!$G$4:$G$7),W48&gt;=LOOKUP(G48,'Qualifying Scores'!$A$10:$A$13,'Qualifying Scores'!$G$10:$G$13)),AND(Z48&gt;=LOOKUP(G48,'Qualifying Scores'!$A$4:$A$7,'Qualifying Scores'!$G$4:$G$7),AA48&gt;=LOOKUP(G48,'Qualifying Scores'!$A$10:$A$13,'Qualifying Scores'!$G$10:$G$13))),"P",""))</f>
        <v/>
      </c>
      <c r="Q48" s="1" t="str">
        <f>IF(A48&lt;5,IF(_xlfn.MAXIFS(A:A,G:G,G48)&gt;3,5-A48,_xlfn.MAXIFS(A:A,G:G,G48)+1-A48),"")</f>
        <v/>
      </c>
      <c r="R48" s="4">
        <f>MAX(T48,X48)</f>
        <v>42.3</v>
      </c>
      <c r="S48" s="4">
        <f>IF(R48=T48,MAX(V48,X48,Z48),IF(R48=X48,MAX(T48,V48,Z48),0))</f>
        <v>0</v>
      </c>
      <c r="T48" s="33"/>
      <c r="U48" s="40"/>
      <c r="V48" s="34"/>
      <c r="W48" s="40"/>
      <c r="X48" s="33">
        <v>42.3</v>
      </c>
      <c r="Y48" s="40">
        <v>5.8000000000000007</v>
      </c>
      <c r="Z48" s="34"/>
      <c r="AA48" s="37"/>
    </row>
    <row r="49" spans="1:27" x14ac:dyDescent="0.2">
      <c r="A49" s="1" t="str" cm="1">
        <f t="array" ref="A49">IF(I49="","",IF(P49&lt;&gt;"",SUMPRODUCT((P$3:P$105&lt;&gt;"")*(G$3:G$105=G49)*(J$3:J$105&gt;J49)*(I$3:I$105="P"))+1,IF(O49&lt;&gt;"",SUMPRODUCT((O$3:O$105&lt;&gt;"")*(P$3:P$105="")*(G$3:G$105=G49)*(J$3:J$105&gt;J49)*(I$3:I$105="P"))+SUMPRODUCT((P$3:P$105&lt;&gt;"")*(G$3:G$105=G49)*(I$3:I$105="P"))+1,IF(N49&lt;&gt;"",SUMPRODUCT((N$3:N$105&lt;&gt;"")*(G$3:G$105=G49)*(J$3:J$105&gt;J49)*(I$3:I$105="P"))+1,IF(M49="P",SUMPRODUCT((O$3:O$105&lt;&gt;"")*(P$3:P$105="")*(G$3:G$105=G49)*(I$3:I$105="P"))+SUMPRODUCT((P$3:P$105&lt;&gt;"")*(G$3:G$105=G49)*(I$3:I$105="P"))+SUMPRODUCT((N$3:N$105&lt;&gt;"")*(G$3:G$105=G49)*(I$3:I$105="P"))+SUMPRODUCT((P$3:P$105="")*(O$3:O$105="")*(N$3:N$105="")*(M$3:M$105="P")*(G$3:G$105=G49)*(J$3:J$105&gt;J49)*(I$3:I$105="P"))+IF(H49="L5",SUMPRODUCT((P$3:P$105="")*(O$3:O$105="")*(N$3:N$105="")*(M$3:M$105="P")*(G$3:G$105=G49)*(J$3:J$105&lt;J49)*(H$3:H$105&lt;&gt;H49)*(I$3:I$105="P")),-1*SUMPRODUCT((P$3:P$105="")*(O$3:O$105="")*(N$3:N$105="")*(M$3:M$105="P")*(G$3:G$105=G49)*(J$3:J$105&gt;J49)*(H$3:H$105="L5")*(I$3:I$105="P")))+1,"")))))</f>
        <v/>
      </c>
      <c r="B49" s="1" t="str" cm="1">
        <f t="array" ref="B49">IF(P49&lt;&gt;"",SUMPRODUCT((P$3:P$105&lt;&gt;"")*(G$3:G$105=G49)*(J$3:J$105&gt;J49))+1,IF(O49&lt;&gt;"",SUMPRODUCT((O$3:O$105&lt;&gt;"")*(P$3:P$105="")*(G$3:G$105=G49)*(J$3:J$105&gt;J49))+SUMPRODUCT((P$3:P$105&lt;&gt;"")*(G$3:G$105=G49))+1,IF(N49&lt;&gt;"",SUMPRODUCT((N$3:N$105&lt;&gt;"")*(G$3:G$105=G49)*(J$3:J$105&gt;J49))+1,IF(M49="P",SUMPRODUCT((O$3:O$105&lt;&gt;"")*(P$3:P$105="")*(G$3:G$105=G49))+SUMPRODUCT((P$3:P$105&lt;&gt;"")*(G$3:G$105=G49))+SUMPRODUCT((N$3:N$105&lt;&gt;"")*(G$3:G$105=G49))+SUMPRODUCT((P$3:P$105="")*(O$3:O$105="")*(N$3:N$105="")*(M$3:M$105="P")*(G$3:G$105=G49)*(J$3:J$105&gt;J49))+IF(H49="L5",SUMPRODUCT((P$3:P$105="")*(O$3:O$105="")*(N$3:N$105="")*(M$3:M$105="P")*(G$3:G$105=G49)*(J$3:J$105&lt;J49)*(H$3:H$105&lt;&gt;H49)),-1*SUMPRODUCT((P$3:P$105="")*(O$3:O$105="")*(N$3:N$105="")*(M$3:M$105="P")*(G$3:G$105=G49)*(J$3:J$105&gt;J49)*(H$3:H$105="L5")))+1,""))))</f>
        <v/>
      </c>
      <c r="C49" s="36" t="s">
        <v>458</v>
      </c>
      <c r="D49" s="36" t="str">
        <f>IF(E49="","",VLOOKUP(E49,'Coaching Points'!A:B,2,0))</f>
        <v>AB</v>
      </c>
      <c r="E49" s="36" t="s">
        <v>421</v>
      </c>
      <c r="F49" s="35">
        <v>2006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66</v>
      </c>
      <c r="I49" s="43"/>
      <c r="J49" s="4">
        <f>R49+S49+IF(OR(H49="Junior",H49="Senior"),0.0002,IF(OR(H49="L7",H49="L6"),0.0001,0))+MAX(X49,Z49)*0.0000001</f>
        <v>42.200004220000004</v>
      </c>
      <c r="K49" s="3" t="str">
        <f>IF(G49="Not Age Eligible","",IF(MAX(T49,V49,X49,Z49)&gt;=LOOKUP(G49,'Qualifying Scores'!$A$4:$A$7,'Qualifying Scores'!$G$4:$G$7),"P",""))</f>
        <v/>
      </c>
      <c r="L49" s="3" t="str">
        <f>IF(G49="Not Age Eligible","",IF(MAX(U49,W49,Y49,AA49)&gt;=LOOKUP(G49,'Qualifying Scores'!$A$10:$A$13,'Qualifying Scores'!$G$10:$G$13),"P",""))</f>
        <v/>
      </c>
      <c r="M49" s="3" t="str">
        <f>IF(G49="Not Age Eligible","",IF(OR(AND(T49&gt;=LOOKUP(G49,'Qualifying Scores'!$A$4:$A$7,'Qualifying Scores'!$G$4:$G$7),U49&gt;=LOOKUP(G49,'Qualifying Scores'!$A$10:$A$13,'Qualifying Scores'!$G$10:$G$13)),AND(X49&gt;=LOOKUP(G49,'Qualifying Scores'!$A$4:$A$7,'Qualifying Scores'!$G$4:$G$7),Y49&gt;=LOOKUP(G49,'Qualifying Scores'!$A$10:$A$13,'Qualifying Scores'!$G$10:$G$13)),AND(V49&gt;=LOOKUP(G49,'Qualifying Scores'!$A$4:$A$7,'Qualifying Scores'!$G$4:$G$7),W49&gt;=LOOKUP(G49,'Qualifying Scores'!$A$10:$A$13,'Qualifying Scores'!$G$10:$G$13)),AND(Z49&gt;=LOOKUP(G49,'Qualifying Scores'!$A$4:$A$7,'Qualifying Scores'!$G$4:$G$7),AA49&gt;=LOOKUP(G49,'Qualifying Scores'!$A$10:$A$13,'Qualifying Scores'!$G$10:$G$13))),"P",""))</f>
        <v/>
      </c>
      <c r="Q49" s="1" t="str">
        <f>IF(A49&lt;5,IF(_xlfn.MAXIFS(A:A,G:G,G49)&gt;3,5-A49,_xlfn.MAXIFS(A:A,G:G,G49)+1-A49),"")</f>
        <v/>
      </c>
      <c r="R49" s="4">
        <f>MAX(T49,X49)</f>
        <v>42.2</v>
      </c>
      <c r="S49" s="4">
        <f>IF(R49=T49,MAX(V49,X49,Z49),IF(R49=X49,MAX(T49,V49,Z49),0))</f>
        <v>0</v>
      </c>
      <c r="T49" s="33"/>
      <c r="U49" s="40"/>
      <c r="V49" s="34"/>
      <c r="W49" s="40"/>
      <c r="X49" s="33">
        <v>42.2</v>
      </c>
      <c r="Y49" s="40">
        <v>5.9</v>
      </c>
      <c r="Z49" s="34"/>
      <c r="AA49" s="37"/>
    </row>
    <row r="50" spans="1:27" x14ac:dyDescent="0.2">
      <c r="A50" s="1" t="str" cm="1">
        <f t="array" ref="A50">IF(I50="","",IF(P50&lt;&gt;"",SUMPRODUCT((P$3:P$105&lt;&gt;"")*(G$3:G$105=G50)*(J$3:J$105&gt;J50)*(I$3:I$105="P"))+1,IF(O50&lt;&gt;"",SUMPRODUCT((O$3:O$105&lt;&gt;"")*(P$3:P$105="")*(G$3:G$105=G50)*(J$3:J$105&gt;J50)*(I$3:I$105="P"))+SUMPRODUCT((P$3:P$105&lt;&gt;"")*(G$3:G$105=G50)*(I$3:I$105="P"))+1,IF(N50&lt;&gt;"",SUMPRODUCT((N$3:N$105&lt;&gt;"")*(G$3:G$105=G50)*(J$3:J$105&gt;J50)*(I$3:I$105="P"))+1,IF(M50="P",SUMPRODUCT((O$3:O$105&lt;&gt;"")*(P$3:P$105="")*(G$3:G$105=G50)*(I$3:I$105="P"))+SUMPRODUCT((P$3:P$105&lt;&gt;"")*(G$3:G$105=G50)*(I$3:I$105="P"))+SUMPRODUCT((N$3:N$105&lt;&gt;"")*(G$3:G$105=G50)*(I$3:I$105="P"))+SUMPRODUCT((P$3:P$105="")*(O$3:O$105="")*(N$3:N$105="")*(M$3:M$105="P")*(G$3:G$105=G50)*(J$3:J$105&gt;J50)*(I$3:I$105="P"))+IF(H50="L5",SUMPRODUCT((P$3:P$105="")*(O$3:O$105="")*(N$3:N$105="")*(M$3:M$105="P")*(G$3:G$105=G50)*(J$3:J$105&lt;J50)*(H$3:H$105&lt;&gt;H50)*(I$3:I$105="P")),-1*SUMPRODUCT((P$3:P$105="")*(O$3:O$105="")*(N$3:N$105="")*(M$3:M$105="P")*(G$3:G$105=G50)*(J$3:J$105&gt;J50)*(H$3:H$105="L5")*(I$3:I$105="P")))+1,"")))))</f>
        <v/>
      </c>
      <c r="B50" s="1" t="str" cm="1">
        <f t="array" ref="B50">IF(P50&lt;&gt;"",SUMPRODUCT((P$3:P$105&lt;&gt;"")*(G$3:G$105=G50)*(J$3:J$105&gt;J50))+1,IF(O50&lt;&gt;"",SUMPRODUCT((O$3:O$105&lt;&gt;"")*(P$3:P$105="")*(G$3:G$105=G50)*(J$3:J$105&gt;J50))+SUMPRODUCT((P$3:P$105&lt;&gt;"")*(G$3:G$105=G50))+1,IF(N50&lt;&gt;"",SUMPRODUCT((N$3:N$105&lt;&gt;"")*(G$3:G$105=G50)*(J$3:J$105&gt;J50))+1,IF(M50="P",SUMPRODUCT((O$3:O$105&lt;&gt;"")*(P$3:P$105="")*(G$3:G$105=G50))+SUMPRODUCT((P$3:P$105&lt;&gt;"")*(G$3:G$105=G50))+SUMPRODUCT((N$3:N$105&lt;&gt;"")*(G$3:G$105=G50))+SUMPRODUCT((P$3:P$105="")*(O$3:O$105="")*(N$3:N$105="")*(M$3:M$105="P")*(G$3:G$105=G50)*(J$3:J$105&gt;J50))+IF(H50="L5",SUMPRODUCT((P$3:P$105="")*(O$3:O$105="")*(N$3:N$105="")*(M$3:M$105="P")*(G$3:G$105=G50)*(J$3:J$105&lt;J50)*(H$3:H$105&lt;&gt;H50)),-1*SUMPRODUCT((P$3:P$105="")*(O$3:O$105="")*(N$3:N$105="")*(M$3:M$105="P")*(G$3:G$105=G50)*(J$3:J$105&gt;J50)*(H$3:H$105="L5")))+1,""))))</f>
        <v/>
      </c>
      <c r="C50" s="36" t="s">
        <v>454</v>
      </c>
      <c r="D50" s="36" t="str">
        <f>IF(E50="","",VLOOKUP(E50,'Coaching Points'!A:B,2,0))</f>
        <v>ON</v>
      </c>
      <c r="E50" s="36" t="s">
        <v>426</v>
      </c>
      <c r="F50" s="35">
        <v>2006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66</v>
      </c>
      <c r="I50" s="43"/>
      <c r="J50" s="4">
        <f>R50+S50+IF(OR(H50="Junior",H50="Senior"),0.0002,IF(OR(H50="L7",H50="L6"),0.0001,0))+MAX(X50,Z50)*0.0000001</f>
        <v>42.200004220000004</v>
      </c>
      <c r="K50" s="3" t="str">
        <f>IF(G50="Not Age Eligible","",IF(MAX(T50,V50,X50,Z50)&gt;=LOOKUP(G50,'Qualifying Scores'!$A$4:$A$7,'Qualifying Scores'!$G$4:$G$7),"P",""))</f>
        <v/>
      </c>
      <c r="L50" s="3" t="str">
        <f>IF(G50="Not Age Eligible","",IF(MAX(U50,W50,Y50,AA50)&gt;=LOOKUP(G50,'Qualifying Scores'!$A$10:$A$13,'Qualifying Scores'!$G$10:$G$13),"P",""))</f>
        <v/>
      </c>
      <c r="M50" s="3" t="str">
        <f>IF(G50="Not Age Eligible","",IF(OR(AND(T50&gt;=LOOKUP(G50,'Qualifying Scores'!$A$4:$A$7,'Qualifying Scores'!$G$4:$G$7),U50&gt;=LOOKUP(G50,'Qualifying Scores'!$A$10:$A$13,'Qualifying Scores'!$G$10:$G$13)),AND(X50&gt;=LOOKUP(G50,'Qualifying Scores'!$A$4:$A$7,'Qualifying Scores'!$G$4:$G$7),Y50&gt;=LOOKUP(G50,'Qualifying Scores'!$A$10:$A$13,'Qualifying Scores'!$G$10:$G$13)),AND(V50&gt;=LOOKUP(G50,'Qualifying Scores'!$A$4:$A$7,'Qualifying Scores'!$G$4:$G$7),W50&gt;=LOOKUP(G50,'Qualifying Scores'!$A$10:$A$13,'Qualifying Scores'!$G$10:$G$13)),AND(Z50&gt;=LOOKUP(G50,'Qualifying Scores'!$A$4:$A$7,'Qualifying Scores'!$G$4:$G$7),AA50&gt;=LOOKUP(G50,'Qualifying Scores'!$A$10:$A$13,'Qualifying Scores'!$G$10:$G$13))),"P",""))</f>
        <v/>
      </c>
      <c r="Q50" s="1" t="str">
        <f>IF(A50&lt;5,IF(_xlfn.MAXIFS(A:A,G:G,G50)&gt;3,5-A50,_xlfn.MAXIFS(A:A,G:G,G50)+1-A50),"")</f>
        <v/>
      </c>
      <c r="R50" s="4">
        <f>MAX(T50,X50)</f>
        <v>42.2</v>
      </c>
      <c r="S50" s="4">
        <f>IF(R50=T50,MAX(V50,X50,Z50),IF(R50=X50,MAX(T50,V50,Z50),0))</f>
        <v>0</v>
      </c>
      <c r="T50" s="33"/>
      <c r="U50" s="40"/>
      <c r="V50" s="34"/>
      <c r="W50" s="40"/>
      <c r="X50" s="33">
        <v>42.2</v>
      </c>
      <c r="Y50" s="40">
        <v>6.3000000000000007</v>
      </c>
      <c r="Z50" s="34"/>
      <c r="AA50" s="37"/>
    </row>
    <row r="51" spans="1:27" x14ac:dyDescent="0.2">
      <c r="A51" s="1" t="str" cm="1">
        <f t="array" ref="A51">IF(I51="","",IF(P51&lt;&gt;"",SUMPRODUCT((P$3:P$105&lt;&gt;"")*(G$3:G$105=G51)*(J$3:J$105&gt;J51)*(I$3:I$105="P"))+1,IF(O51&lt;&gt;"",SUMPRODUCT((O$3:O$105&lt;&gt;"")*(P$3:P$105="")*(G$3:G$105=G51)*(J$3:J$105&gt;J51)*(I$3:I$105="P"))+SUMPRODUCT((P$3:P$105&lt;&gt;"")*(G$3:G$105=G51)*(I$3:I$105="P"))+1,IF(N51&lt;&gt;"",SUMPRODUCT((N$3:N$105&lt;&gt;"")*(G$3:G$105=G51)*(J$3:J$105&gt;J51)*(I$3:I$105="P"))+1,IF(M51="P",SUMPRODUCT((O$3:O$105&lt;&gt;"")*(P$3:P$105="")*(G$3:G$105=G51)*(I$3:I$105="P"))+SUMPRODUCT((P$3:P$105&lt;&gt;"")*(G$3:G$105=G51)*(I$3:I$105="P"))+SUMPRODUCT((N$3:N$105&lt;&gt;"")*(G$3:G$105=G51)*(I$3:I$105="P"))+SUMPRODUCT((P$3:P$105="")*(O$3:O$105="")*(N$3:N$105="")*(M$3:M$105="P")*(G$3:G$105=G51)*(J$3:J$105&gt;J51)*(I$3:I$105="P"))+IF(H51="L5",SUMPRODUCT((P$3:P$105="")*(O$3:O$105="")*(N$3:N$105="")*(M$3:M$105="P")*(G$3:G$105=G51)*(J$3:J$105&lt;J51)*(H$3:H$105&lt;&gt;H51)*(I$3:I$105="P")),-1*SUMPRODUCT((P$3:P$105="")*(O$3:O$105="")*(N$3:N$105="")*(M$3:M$105="P")*(G$3:G$105=G51)*(J$3:J$105&gt;J51)*(H$3:H$105="L5")*(I$3:I$105="P")))+1,"")))))</f>
        <v/>
      </c>
      <c r="B51" s="1" t="str" cm="1">
        <f t="array" ref="B51">IF(P51&lt;&gt;"",SUMPRODUCT((P$3:P$105&lt;&gt;"")*(G$3:G$105=G51)*(J$3:J$105&gt;J51))+1,IF(O51&lt;&gt;"",SUMPRODUCT((O$3:O$105&lt;&gt;"")*(P$3:P$105="")*(G$3:G$105=G51)*(J$3:J$105&gt;J51))+SUMPRODUCT((P$3:P$105&lt;&gt;"")*(G$3:G$105=G51))+1,IF(N51&lt;&gt;"",SUMPRODUCT((N$3:N$105&lt;&gt;"")*(G$3:G$105=G51)*(J$3:J$105&gt;J51))+1,IF(M51="P",SUMPRODUCT((O$3:O$105&lt;&gt;"")*(P$3:P$105="")*(G$3:G$105=G51))+SUMPRODUCT((P$3:P$105&lt;&gt;"")*(G$3:G$105=G51))+SUMPRODUCT((N$3:N$105&lt;&gt;"")*(G$3:G$105=G51))+SUMPRODUCT((P$3:P$105="")*(O$3:O$105="")*(N$3:N$105="")*(M$3:M$105="P")*(G$3:G$105=G51)*(J$3:J$105&gt;J51))+IF(H51="L5",SUMPRODUCT((P$3:P$105="")*(O$3:O$105="")*(N$3:N$105="")*(M$3:M$105="P")*(G$3:G$105=G51)*(J$3:J$105&lt;J51)*(H$3:H$105&lt;&gt;H51)),-1*SUMPRODUCT((P$3:P$105="")*(O$3:O$105="")*(N$3:N$105="")*(M$3:M$105="P")*(G$3:G$105=G51)*(J$3:J$105&gt;J51)*(H$3:H$105="L5")))+1,""))))</f>
        <v/>
      </c>
      <c r="C51" s="36" t="s">
        <v>248</v>
      </c>
      <c r="D51" s="36" t="str">
        <f>IF(E51="","",VLOOKUP(E51,'Coaching Points'!A:B,2,0))</f>
        <v>AB</v>
      </c>
      <c r="E51" s="36" t="s">
        <v>63</v>
      </c>
      <c r="F51" s="35">
        <v>2005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68</v>
      </c>
      <c r="I51" s="43"/>
      <c r="J51" s="4">
        <f>R51+S51+IF(OR(H51="Junior",H51="Senior"),0.0002,IF(OR(H51="L7",H51="L6"),0.0001,0))+MAX(X51,Z51)*0.0000001</f>
        <v>41.900100000000002</v>
      </c>
      <c r="K51" s="3" t="str">
        <f>IF(G51="Not Age Eligible","",IF(MAX(T51,V51,X51,Z51)&gt;=LOOKUP(G51,'Qualifying Scores'!$A$4:$A$7,'Qualifying Scores'!$G$4:$G$7),"P",""))</f>
        <v/>
      </c>
      <c r="L51" s="3" t="str">
        <f>IF(G51="Not Age Eligible","",IF(MAX(U51,W51,Y51,AA51)&gt;=LOOKUP(G51,'Qualifying Scores'!$A$10:$A$13,'Qualifying Scores'!$G$10:$G$13),"P",""))</f>
        <v/>
      </c>
      <c r="M51" s="3" t="str">
        <f>IF(G51="Not Age Eligible","",IF(OR(AND(T51&gt;=LOOKUP(G51,'Qualifying Scores'!$A$4:$A$7,'Qualifying Scores'!$G$4:$G$7),U51&gt;=LOOKUP(G51,'Qualifying Scores'!$A$10:$A$13,'Qualifying Scores'!$G$10:$G$13)),AND(X51&gt;=LOOKUP(G51,'Qualifying Scores'!$A$4:$A$7,'Qualifying Scores'!$G$4:$G$7),Y51&gt;=LOOKUP(G51,'Qualifying Scores'!$A$10:$A$13,'Qualifying Scores'!$G$10:$G$13)),AND(V51&gt;=LOOKUP(G51,'Qualifying Scores'!$A$4:$A$7,'Qualifying Scores'!$G$4:$G$7),W51&gt;=LOOKUP(G51,'Qualifying Scores'!$A$10:$A$13,'Qualifying Scores'!$G$10:$G$13)),AND(Z51&gt;=LOOKUP(G51,'Qualifying Scores'!$A$4:$A$7,'Qualifying Scores'!$G$4:$G$7),AA51&gt;=LOOKUP(G51,'Qualifying Scores'!$A$10:$A$13,'Qualifying Scores'!$G$10:$G$13))),"P",""))</f>
        <v/>
      </c>
      <c r="Q51" s="1" t="str">
        <f>IF(A51&lt;5,IF(_xlfn.MAXIFS(A:A,G:G,G51)&gt;3,5-A51,_xlfn.MAXIFS(A:A,G:G,G51)+1-A51),"")</f>
        <v/>
      </c>
      <c r="R51" s="4">
        <f>MAX(T51,X51)</f>
        <v>41.9</v>
      </c>
      <c r="S51" s="4">
        <f>IF(R51=T51,MAX(V51,X51,Z51),IF(R51=X51,MAX(T51,V51,Z51),0))</f>
        <v>0</v>
      </c>
      <c r="T51" s="33">
        <v>41.9</v>
      </c>
      <c r="U51" s="40">
        <v>6.5</v>
      </c>
      <c r="V51" s="34"/>
      <c r="W51" s="40"/>
      <c r="X51" s="33"/>
      <c r="Y51" s="40"/>
      <c r="Z51" s="34"/>
      <c r="AA51" s="37"/>
    </row>
    <row r="52" spans="1:27" x14ac:dyDescent="0.2">
      <c r="A52" s="1" t="str" cm="1">
        <f t="array" ref="A52">IF(I52="","",IF(P52&lt;&gt;"",SUMPRODUCT((P$3:P$105&lt;&gt;"")*(G$3:G$105=G52)*(J$3:J$105&gt;J52)*(I$3:I$105="P"))+1,IF(O52&lt;&gt;"",SUMPRODUCT((O$3:O$105&lt;&gt;"")*(P$3:P$105="")*(G$3:G$105=G52)*(J$3:J$105&gt;J52)*(I$3:I$105="P"))+SUMPRODUCT((P$3:P$105&lt;&gt;"")*(G$3:G$105=G52)*(I$3:I$105="P"))+1,IF(N52&lt;&gt;"",SUMPRODUCT((N$3:N$105&lt;&gt;"")*(G$3:G$105=G52)*(J$3:J$105&gt;J52)*(I$3:I$105="P"))+1,IF(M52="P",SUMPRODUCT((O$3:O$105&lt;&gt;"")*(P$3:P$105="")*(G$3:G$105=G52)*(I$3:I$105="P"))+SUMPRODUCT((P$3:P$105&lt;&gt;"")*(G$3:G$105=G52)*(I$3:I$105="P"))+SUMPRODUCT((N$3:N$105&lt;&gt;"")*(G$3:G$105=G52)*(I$3:I$105="P"))+SUMPRODUCT((P$3:P$105="")*(O$3:O$105="")*(N$3:N$105="")*(M$3:M$105="P")*(G$3:G$105=G52)*(J$3:J$105&gt;J52)*(I$3:I$105="P"))+IF(H52="L5",SUMPRODUCT((P$3:P$105="")*(O$3:O$105="")*(N$3:N$105="")*(M$3:M$105="P")*(G$3:G$105=G52)*(J$3:J$105&lt;J52)*(H$3:H$105&lt;&gt;H52)*(I$3:I$105="P")),-1*SUMPRODUCT((P$3:P$105="")*(O$3:O$105="")*(N$3:N$105="")*(M$3:M$105="P")*(G$3:G$105=G52)*(J$3:J$105&gt;J52)*(H$3:H$105="L5")*(I$3:I$105="P")))+1,"")))))</f>
        <v/>
      </c>
      <c r="B52" s="1" t="str" cm="1">
        <f t="array" ref="B52">IF(P52&lt;&gt;"",SUMPRODUCT((P$3:P$105&lt;&gt;"")*(G$3:G$105=G52)*(J$3:J$105&gt;J52))+1,IF(O52&lt;&gt;"",SUMPRODUCT((O$3:O$105&lt;&gt;"")*(P$3:P$105="")*(G$3:G$105=G52)*(J$3:J$105&gt;J52))+SUMPRODUCT((P$3:P$105&lt;&gt;"")*(G$3:G$105=G52))+1,IF(N52&lt;&gt;"",SUMPRODUCT((N$3:N$105&lt;&gt;"")*(G$3:G$105=G52)*(J$3:J$105&gt;J52))+1,IF(M52="P",SUMPRODUCT((O$3:O$105&lt;&gt;"")*(P$3:P$105="")*(G$3:G$105=G52))+SUMPRODUCT((P$3:P$105&lt;&gt;"")*(G$3:G$105=G52))+SUMPRODUCT((N$3:N$105&lt;&gt;"")*(G$3:G$105=G52))+SUMPRODUCT((P$3:P$105="")*(O$3:O$105="")*(N$3:N$105="")*(M$3:M$105="P")*(G$3:G$105=G52)*(J$3:J$105&gt;J52))+IF(H52="L5",SUMPRODUCT((P$3:P$105="")*(O$3:O$105="")*(N$3:N$105="")*(M$3:M$105="P")*(G$3:G$105=G52)*(J$3:J$105&lt;J52)*(H$3:H$105&lt;&gt;H52)),-1*SUMPRODUCT((P$3:P$105="")*(O$3:O$105="")*(N$3:N$105="")*(M$3:M$105="P")*(G$3:G$105=G52)*(J$3:J$105&gt;J52)*(H$3:H$105="L5")))+1,""))))</f>
        <v/>
      </c>
      <c r="C52" s="36" t="s">
        <v>509</v>
      </c>
      <c r="D52" s="36" t="str">
        <f>IF(E52="","",VLOOKUP(E52,'Coaching Points'!A:B,2,0))</f>
        <v>ON</v>
      </c>
      <c r="E52" s="36" t="s">
        <v>47</v>
      </c>
      <c r="F52" s="35">
        <v>2004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9" t="s">
        <v>66</v>
      </c>
      <c r="I52" s="43"/>
      <c r="J52" s="4">
        <f>R52+S52+IF(OR(H52="Junior",H52="Senior"),0.0002,IF(OR(H52="L7",H52="L6"),0.0001,0))+MAX(X52,Z52)*0.0000001</f>
        <v>41.600004160000005</v>
      </c>
      <c r="K52" s="3" t="str">
        <f>IF(G52="Not Age Eligible","",IF(MAX(T52,V52,X52,Z52)&gt;=LOOKUP(G52,'Qualifying Scores'!$A$4:$A$7,'Qualifying Scores'!$G$4:$G$7),"P",""))</f>
        <v/>
      </c>
      <c r="L52" s="3" t="str">
        <f>IF(G52="Not Age Eligible","",IF(MAX(U52,W52,Y52,AA52)&gt;=LOOKUP(G52,'Qualifying Scores'!$A$10:$A$13,'Qualifying Scores'!$G$10:$G$13),"P",""))</f>
        <v/>
      </c>
      <c r="M52" s="3" t="str">
        <f>IF(G52="Not Age Eligible","",IF(OR(AND(T52&gt;=LOOKUP(G52,'Qualifying Scores'!$A$4:$A$7,'Qualifying Scores'!$G$4:$G$7),U52&gt;=LOOKUP(G52,'Qualifying Scores'!$A$10:$A$13,'Qualifying Scores'!$G$10:$G$13)),AND(X52&gt;=LOOKUP(G52,'Qualifying Scores'!$A$4:$A$7,'Qualifying Scores'!$G$4:$G$7),Y52&gt;=LOOKUP(G52,'Qualifying Scores'!$A$10:$A$13,'Qualifying Scores'!$G$10:$G$13)),AND(V52&gt;=LOOKUP(G52,'Qualifying Scores'!$A$4:$A$7,'Qualifying Scores'!$G$4:$G$7),W52&gt;=LOOKUP(G52,'Qualifying Scores'!$A$10:$A$13,'Qualifying Scores'!$G$10:$G$13)),AND(Z52&gt;=LOOKUP(G52,'Qualifying Scores'!$A$4:$A$7,'Qualifying Scores'!$G$4:$G$7),AA52&gt;=LOOKUP(G52,'Qualifying Scores'!$A$10:$A$13,'Qualifying Scores'!$G$10:$G$13))),"P",""))</f>
        <v/>
      </c>
      <c r="Q52" s="1" t="str">
        <f>IF(A52&lt;5,IF(_xlfn.MAXIFS(A:A,G:G,G52)&gt;3,5-A52,_xlfn.MAXIFS(A:A,G:G,G52)+1-A52),"")</f>
        <v/>
      </c>
      <c r="R52" s="4">
        <f>MAX(T52,X52)</f>
        <v>41.6</v>
      </c>
      <c r="S52" s="4">
        <f>IF(R52=T52,MAX(V52,X52,Z52),IF(R52=X52,MAX(T52,V52,Z52),0))</f>
        <v>0</v>
      </c>
      <c r="T52" s="33"/>
      <c r="U52" s="40"/>
      <c r="V52" s="34"/>
      <c r="W52" s="40"/>
      <c r="X52" s="33">
        <v>41.6</v>
      </c>
      <c r="Y52" s="40">
        <v>4.9000000000000004</v>
      </c>
      <c r="Z52" s="34"/>
      <c r="AA52" s="37"/>
    </row>
    <row r="53" spans="1:27" x14ac:dyDescent="0.2">
      <c r="A53" s="1" t="str" cm="1">
        <f t="array" ref="A53">IF(I53="","",IF(P53&lt;&gt;"",SUMPRODUCT((P$3:P$105&lt;&gt;"")*(G$3:G$105=G53)*(J$3:J$105&gt;J53)*(I$3:I$105="P"))+1,IF(O53&lt;&gt;"",SUMPRODUCT((O$3:O$105&lt;&gt;"")*(P$3:P$105="")*(G$3:G$105=G53)*(J$3:J$105&gt;J53)*(I$3:I$105="P"))+SUMPRODUCT((P$3:P$105&lt;&gt;"")*(G$3:G$105=G53)*(I$3:I$105="P"))+1,IF(N53&lt;&gt;"",SUMPRODUCT((N$3:N$105&lt;&gt;"")*(G$3:G$105=G53)*(J$3:J$105&gt;J53)*(I$3:I$105="P"))+1,IF(M53="P",SUMPRODUCT((O$3:O$105&lt;&gt;"")*(P$3:P$105="")*(G$3:G$105=G53)*(I$3:I$105="P"))+SUMPRODUCT((P$3:P$105&lt;&gt;"")*(G$3:G$105=G53)*(I$3:I$105="P"))+SUMPRODUCT((N$3:N$105&lt;&gt;"")*(G$3:G$105=G53)*(I$3:I$105="P"))+SUMPRODUCT((P$3:P$105="")*(O$3:O$105="")*(N$3:N$105="")*(M$3:M$105="P")*(G$3:G$105=G53)*(J$3:J$105&gt;J53)*(I$3:I$105="P"))+IF(H53="L5",SUMPRODUCT((P$3:P$105="")*(O$3:O$105="")*(N$3:N$105="")*(M$3:M$105="P")*(G$3:G$105=G53)*(J$3:J$105&lt;J53)*(H$3:H$105&lt;&gt;H53)*(I$3:I$105="P")),-1*SUMPRODUCT((P$3:P$105="")*(O$3:O$105="")*(N$3:N$105="")*(M$3:M$105="P")*(G$3:G$105=G53)*(J$3:J$105&gt;J53)*(H$3:H$105="L5")*(I$3:I$105="P")))+1,"")))))</f>
        <v/>
      </c>
      <c r="B53" s="1" t="str" cm="1">
        <f t="array" ref="B53">IF(P53&lt;&gt;"",SUMPRODUCT((P$3:P$105&lt;&gt;"")*(G$3:G$105=G53)*(J$3:J$105&gt;J53))+1,IF(O53&lt;&gt;"",SUMPRODUCT((O$3:O$105&lt;&gt;"")*(P$3:P$105="")*(G$3:G$105=G53)*(J$3:J$105&gt;J53))+SUMPRODUCT((P$3:P$105&lt;&gt;"")*(G$3:G$105=G53))+1,IF(N53&lt;&gt;"",SUMPRODUCT((N$3:N$105&lt;&gt;"")*(G$3:G$105=G53)*(J$3:J$105&gt;J53))+1,IF(M53="P",SUMPRODUCT((O$3:O$105&lt;&gt;"")*(P$3:P$105="")*(G$3:G$105=G53))+SUMPRODUCT((P$3:P$105&lt;&gt;"")*(G$3:G$105=G53))+SUMPRODUCT((N$3:N$105&lt;&gt;"")*(G$3:G$105=G53))+SUMPRODUCT((P$3:P$105="")*(O$3:O$105="")*(N$3:N$105="")*(M$3:M$105="P")*(G$3:G$105=G53)*(J$3:J$105&gt;J53))+IF(H53="L5",SUMPRODUCT((P$3:P$105="")*(O$3:O$105="")*(N$3:N$105="")*(M$3:M$105="P")*(G$3:G$105=G53)*(J$3:J$105&lt;J53)*(H$3:H$105&lt;&gt;H53)),-1*SUMPRODUCT((P$3:P$105="")*(O$3:O$105="")*(N$3:N$105="")*(M$3:M$105="P")*(G$3:G$105=G53)*(J$3:J$105&gt;J53)*(H$3:H$105="L5")))+1,""))))</f>
        <v/>
      </c>
      <c r="C53" s="36" t="s">
        <v>139</v>
      </c>
      <c r="D53" s="36" t="str">
        <f>IF(E53="","",VLOOKUP(E53,'Coaching Points'!A:B,2,0))</f>
        <v>BC</v>
      </c>
      <c r="E53" s="36" t="s">
        <v>46</v>
      </c>
      <c r="F53" s="35">
        <v>2005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9" t="s">
        <v>66</v>
      </c>
      <c r="I53" s="43"/>
      <c r="J53" s="4">
        <f>R53+S53+IF(OR(H53="Junior",H53="Senior"),0.0002,IF(OR(H53="L7",H53="L6"),0.0001,0))+MAX(X53,Z53)*0.0000001</f>
        <v>41.4</v>
      </c>
      <c r="K53" s="3" t="str">
        <f>IF(G53="Not Age Eligible","",IF(MAX(T53,V53,X53,Z53)&gt;=LOOKUP(G53,'Qualifying Scores'!$A$4:$A$7,'Qualifying Scores'!$G$4:$G$7),"P",""))</f>
        <v/>
      </c>
      <c r="L53" s="3" t="str">
        <f>IF(G53="Not Age Eligible","",IF(MAX(U53,W53,Y53,AA53)&gt;=LOOKUP(G53,'Qualifying Scores'!$A$10:$A$13,'Qualifying Scores'!$G$10:$G$13),"P",""))</f>
        <v/>
      </c>
      <c r="M53" s="3" t="str">
        <f>IF(G53="Not Age Eligible","",IF(OR(AND(T53&gt;=LOOKUP(G53,'Qualifying Scores'!$A$4:$A$7,'Qualifying Scores'!$G$4:$G$7),U53&gt;=LOOKUP(G53,'Qualifying Scores'!$A$10:$A$13,'Qualifying Scores'!$G$10:$G$13)),AND(X53&gt;=LOOKUP(G53,'Qualifying Scores'!$A$4:$A$7,'Qualifying Scores'!$G$4:$G$7),Y53&gt;=LOOKUP(G53,'Qualifying Scores'!$A$10:$A$13,'Qualifying Scores'!$G$10:$G$13)),AND(V53&gt;=LOOKUP(G53,'Qualifying Scores'!$A$4:$A$7,'Qualifying Scores'!$G$4:$G$7),W53&gt;=LOOKUP(G53,'Qualifying Scores'!$A$10:$A$13,'Qualifying Scores'!$G$10:$G$13)),AND(Z53&gt;=LOOKUP(G53,'Qualifying Scores'!$A$4:$A$7,'Qualifying Scores'!$G$4:$G$7),AA53&gt;=LOOKUP(G53,'Qualifying Scores'!$A$10:$A$13,'Qualifying Scores'!$G$10:$G$13))),"P",""))</f>
        <v/>
      </c>
      <c r="Q53" s="1" t="str">
        <f>IF(A53&lt;5,IF(_xlfn.MAXIFS(A:A,G:G,G53)&gt;3,5-A53,_xlfn.MAXIFS(A:A,G:G,G53)+1-A53),"")</f>
        <v/>
      </c>
      <c r="R53" s="4">
        <f>MAX(T53,X53)</f>
        <v>41.4</v>
      </c>
      <c r="S53" s="4">
        <f>IF(R53=T53,MAX(V53,X53,Z53),IF(R53=X53,MAX(T53,V53,Z53),0))</f>
        <v>0</v>
      </c>
      <c r="T53" s="33">
        <v>41.4</v>
      </c>
      <c r="U53" s="40">
        <v>4.8000000000000007</v>
      </c>
      <c r="V53" s="34"/>
      <c r="W53" s="40"/>
      <c r="X53" s="33"/>
      <c r="Y53" s="40"/>
      <c r="Z53" s="34"/>
      <c r="AA53" s="37"/>
    </row>
    <row r="54" spans="1:27" x14ac:dyDescent="0.2">
      <c r="A54" s="1" t="str" cm="1">
        <f t="array" ref="A54">IF(I54="","",IF(P54&lt;&gt;"",SUMPRODUCT((P$3:P$105&lt;&gt;"")*(G$3:G$105=G54)*(J$3:J$105&gt;J54)*(I$3:I$105="P"))+1,IF(O54&lt;&gt;"",SUMPRODUCT((O$3:O$105&lt;&gt;"")*(P$3:P$105="")*(G$3:G$105=G54)*(J$3:J$105&gt;J54)*(I$3:I$105="P"))+SUMPRODUCT((P$3:P$105&lt;&gt;"")*(G$3:G$105=G54)*(I$3:I$105="P"))+1,IF(N54&lt;&gt;"",SUMPRODUCT((N$3:N$105&lt;&gt;"")*(G$3:G$105=G54)*(J$3:J$105&gt;J54)*(I$3:I$105="P"))+1,IF(M54="P",SUMPRODUCT((O$3:O$105&lt;&gt;"")*(P$3:P$105="")*(G$3:G$105=G54)*(I$3:I$105="P"))+SUMPRODUCT((P$3:P$105&lt;&gt;"")*(G$3:G$105=G54)*(I$3:I$105="P"))+SUMPRODUCT((N$3:N$105&lt;&gt;"")*(G$3:G$105=G54)*(I$3:I$105="P"))+SUMPRODUCT((P$3:P$105="")*(O$3:O$105="")*(N$3:N$105="")*(M$3:M$105="P")*(G$3:G$105=G54)*(J$3:J$105&gt;J54)*(I$3:I$105="P"))+IF(H54="L5",SUMPRODUCT((P$3:P$105="")*(O$3:O$105="")*(N$3:N$105="")*(M$3:M$105="P")*(G$3:G$105=G54)*(J$3:J$105&lt;J54)*(H$3:H$105&lt;&gt;H54)*(I$3:I$105="P")),-1*SUMPRODUCT((P$3:P$105="")*(O$3:O$105="")*(N$3:N$105="")*(M$3:M$105="P")*(G$3:G$105=G54)*(J$3:J$105&gt;J54)*(H$3:H$105="L5")*(I$3:I$105="P")))+1,"")))))</f>
        <v/>
      </c>
      <c r="B54" s="1" t="str" cm="1">
        <f t="array" ref="B54">IF(P54&lt;&gt;"",SUMPRODUCT((P$3:P$105&lt;&gt;"")*(G$3:G$105=G54)*(J$3:J$105&gt;J54))+1,IF(O54&lt;&gt;"",SUMPRODUCT((O$3:O$105&lt;&gt;"")*(P$3:P$105="")*(G$3:G$105=G54)*(J$3:J$105&gt;J54))+SUMPRODUCT((P$3:P$105&lt;&gt;"")*(G$3:G$105=G54))+1,IF(N54&lt;&gt;"",SUMPRODUCT((N$3:N$105&lt;&gt;"")*(G$3:G$105=G54)*(J$3:J$105&gt;J54))+1,IF(M54="P",SUMPRODUCT((O$3:O$105&lt;&gt;"")*(P$3:P$105="")*(G$3:G$105=G54))+SUMPRODUCT((P$3:P$105&lt;&gt;"")*(G$3:G$105=G54))+SUMPRODUCT((N$3:N$105&lt;&gt;"")*(G$3:G$105=G54))+SUMPRODUCT((P$3:P$105="")*(O$3:O$105="")*(N$3:N$105="")*(M$3:M$105="P")*(G$3:G$105=G54)*(J$3:J$105&gt;J54))+IF(H54="L5",SUMPRODUCT((P$3:P$105="")*(O$3:O$105="")*(N$3:N$105="")*(M$3:M$105="P")*(G$3:G$105=G54)*(J$3:J$105&lt;J54)*(H$3:H$105&lt;&gt;H54)),-1*SUMPRODUCT((P$3:P$105="")*(O$3:O$105="")*(N$3:N$105="")*(M$3:M$105="P")*(G$3:G$105=G54)*(J$3:J$105&gt;J54)*(H$3:H$105="L5")))+1,""))))</f>
        <v/>
      </c>
      <c r="C54" s="36" t="s">
        <v>450</v>
      </c>
      <c r="D54" s="36" t="str">
        <f>IF(E54="","",VLOOKUP(E54,'Coaching Points'!A:B,2,0))</f>
        <v>BC</v>
      </c>
      <c r="E54" s="36" t="s">
        <v>37</v>
      </c>
      <c r="F54" s="35">
        <v>2005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9" t="s">
        <v>66</v>
      </c>
      <c r="I54" s="43"/>
      <c r="J54" s="4">
        <f>R54+S54+IF(OR(H54="Junior",H54="Senior"),0.0002,IF(OR(H54="L7",H54="L6"),0.0001,0))+MAX(X54,Z54)*0.0000001</f>
        <v>41.10000411</v>
      </c>
      <c r="K54" s="3" t="str">
        <f>IF(G54="Not Age Eligible","",IF(MAX(T54,V54,X54,Z54)&gt;=LOOKUP(G54,'Qualifying Scores'!$A$4:$A$7,'Qualifying Scores'!$G$4:$G$7),"P",""))</f>
        <v/>
      </c>
      <c r="L54" s="3" t="str">
        <f>IF(G54="Not Age Eligible","",IF(MAX(U54,W54,Y54,AA54)&gt;=LOOKUP(G54,'Qualifying Scores'!$A$10:$A$13,'Qualifying Scores'!$G$10:$G$13),"P",""))</f>
        <v/>
      </c>
      <c r="M54" s="3" t="str">
        <f>IF(G54="Not Age Eligible","",IF(OR(AND(T54&gt;=LOOKUP(G54,'Qualifying Scores'!$A$4:$A$7,'Qualifying Scores'!$G$4:$G$7),U54&gt;=LOOKUP(G54,'Qualifying Scores'!$A$10:$A$13,'Qualifying Scores'!$G$10:$G$13)),AND(X54&gt;=LOOKUP(G54,'Qualifying Scores'!$A$4:$A$7,'Qualifying Scores'!$G$4:$G$7),Y54&gt;=LOOKUP(G54,'Qualifying Scores'!$A$10:$A$13,'Qualifying Scores'!$G$10:$G$13)),AND(V54&gt;=LOOKUP(G54,'Qualifying Scores'!$A$4:$A$7,'Qualifying Scores'!$G$4:$G$7),W54&gt;=LOOKUP(G54,'Qualifying Scores'!$A$10:$A$13,'Qualifying Scores'!$G$10:$G$13)),AND(Z54&gt;=LOOKUP(G54,'Qualifying Scores'!$A$4:$A$7,'Qualifying Scores'!$G$4:$G$7),AA54&gt;=LOOKUP(G54,'Qualifying Scores'!$A$10:$A$13,'Qualifying Scores'!$G$10:$G$13))),"P",""))</f>
        <v/>
      </c>
      <c r="Q54" s="1" t="str">
        <f>IF(A54&lt;5,IF(_xlfn.MAXIFS(A:A,G:G,G54)&gt;3,5-A54,_xlfn.MAXIFS(A:A,G:G,G54)+1-A54),"")</f>
        <v/>
      </c>
      <c r="R54" s="4">
        <f>MAX(T54,X54)</f>
        <v>41.1</v>
      </c>
      <c r="S54" s="4">
        <f>IF(R54=T54,MAX(V54,X54,Z54),IF(R54=X54,MAX(T54,V54,Z54),0))</f>
        <v>0</v>
      </c>
      <c r="T54" s="33"/>
      <c r="U54" s="40"/>
      <c r="V54" s="34"/>
      <c r="W54" s="40"/>
      <c r="X54" s="33">
        <v>41.1</v>
      </c>
      <c r="Y54" s="40">
        <v>5.6</v>
      </c>
      <c r="Z54" s="34"/>
      <c r="AA54" s="37"/>
    </row>
    <row r="55" spans="1:27" x14ac:dyDescent="0.2">
      <c r="A55" s="1" t="str" cm="1">
        <f t="array" ref="A55">IF(I55="","",IF(P55&lt;&gt;"",SUMPRODUCT((P$3:P$105&lt;&gt;"")*(G$3:G$105=G55)*(J$3:J$105&gt;J55)*(I$3:I$105="P"))+1,IF(O55&lt;&gt;"",SUMPRODUCT((O$3:O$105&lt;&gt;"")*(P$3:P$105="")*(G$3:G$105=G55)*(J$3:J$105&gt;J55)*(I$3:I$105="P"))+SUMPRODUCT((P$3:P$105&lt;&gt;"")*(G$3:G$105=G55)*(I$3:I$105="P"))+1,IF(N55&lt;&gt;"",SUMPRODUCT((N$3:N$105&lt;&gt;"")*(G$3:G$105=G55)*(J$3:J$105&gt;J55)*(I$3:I$105="P"))+1,IF(M55="P",SUMPRODUCT((O$3:O$105&lt;&gt;"")*(P$3:P$105="")*(G$3:G$105=G55)*(I$3:I$105="P"))+SUMPRODUCT((P$3:P$105&lt;&gt;"")*(G$3:G$105=G55)*(I$3:I$105="P"))+SUMPRODUCT((N$3:N$105&lt;&gt;"")*(G$3:G$105=G55)*(I$3:I$105="P"))+SUMPRODUCT((P$3:P$105="")*(O$3:O$105="")*(N$3:N$105="")*(M$3:M$105="P")*(G$3:G$105=G55)*(J$3:J$105&gt;J55)*(I$3:I$105="P"))+IF(H55="L5",SUMPRODUCT((P$3:P$105="")*(O$3:O$105="")*(N$3:N$105="")*(M$3:M$105="P")*(G$3:G$105=G55)*(J$3:J$105&lt;J55)*(H$3:H$105&lt;&gt;H55)*(I$3:I$105="P")),-1*SUMPRODUCT((P$3:P$105="")*(O$3:O$105="")*(N$3:N$105="")*(M$3:M$105="P")*(G$3:G$105=G55)*(J$3:J$105&gt;J55)*(H$3:H$105="L5")*(I$3:I$105="P")))+1,"")))))</f>
        <v/>
      </c>
      <c r="B55" s="1" t="str" cm="1">
        <f t="array" ref="B55">IF(P55&lt;&gt;"",SUMPRODUCT((P$3:P$105&lt;&gt;"")*(G$3:G$105=G55)*(J$3:J$105&gt;J55))+1,IF(O55&lt;&gt;"",SUMPRODUCT((O$3:O$105&lt;&gt;"")*(P$3:P$105="")*(G$3:G$105=G55)*(J$3:J$105&gt;J55))+SUMPRODUCT((P$3:P$105&lt;&gt;"")*(G$3:G$105=G55))+1,IF(N55&lt;&gt;"",SUMPRODUCT((N$3:N$105&lt;&gt;"")*(G$3:G$105=G55)*(J$3:J$105&gt;J55))+1,IF(M55="P",SUMPRODUCT((O$3:O$105&lt;&gt;"")*(P$3:P$105="")*(G$3:G$105=G55))+SUMPRODUCT((P$3:P$105&lt;&gt;"")*(G$3:G$105=G55))+SUMPRODUCT((N$3:N$105&lt;&gt;"")*(G$3:G$105=G55))+SUMPRODUCT((P$3:P$105="")*(O$3:O$105="")*(N$3:N$105="")*(M$3:M$105="P")*(G$3:G$105=G55)*(J$3:J$105&gt;J55))+IF(H55="L5",SUMPRODUCT((P$3:P$105="")*(O$3:O$105="")*(N$3:N$105="")*(M$3:M$105="P")*(G$3:G$105=G55)*(J$3:J$105&lt;J55)*(H$3:H$105&lt;&gt;H55)),-1*SUMPRODUCT((P$3:P$105="")*(O$3:O$105="")*(N$3:N$105="")*(M$3:M$105="P")*(G$3:G$105=G55)*(J$3:J$105&gt;J55)*(H$3:H$105="L5")))+1,""))))</f>
        <v/>
      </c>
      <c r="C55" s="36" t="s">
        <v>493</v>
      </c>
      <c r="D55" s="36" t="str">
        <f>IF(E55="","",VLOOKUP(E55,'Coaching Points'!A:B,2,0))</f>
        <v>BC</v>
      </c>
      <c r="E55" s="36" t="s">
        <v>41</v>
      </c>
      <c r="F55" s="35">
        <v>2005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9" t="s">
        <v>66</v>
      </c>
      <c r="I55" s="43"/>
      <c r="J55" s="4">
        <f>R55+S55+IF(OR(H55="Junior",H55="Senior"),0.0002,IF(OR(H55="L7",H55="L6"),0.0001,0))+MAX(X55,Z55)*0.0000001</f>
        <v>40.500004050000001</v>
      </c>
      <c r="K55" s="3" t="str">
        <f>IF(G55="Not Age Eligible","",IF(MAX(T55,V55,X55,Z55)&gt;=LOOKUP(G55,'Qualifying Scores'!$A$4:$A$7,'Qualifying Scores'!$G$4:$G$7),"P",""))</f>
        <v/>
      </c>
      <c r="L55" s="3" t="str">
        <f>IF(G55="Not Age Eligible","",IF(MAX(U55,W55,Y55,AA55)&gt;=LOOKUP(G55,'Qualifying Scores'!$A$10:$A$13,'Qualifying Scores'!$G$10:$G$13),"P",""))</f>
        <v/>
      </c>
      <c r="M55" s="3" t="str">
        <f>IF(G55="Not Age Eligible","",IF(OR(AND(T55&gt;=LOOKUP(G55,'Qualifying Scores'!$A$4:$A$7,'Qualifying Scores'!$G$4:$G$7),U55&gt;=LOOKUP(G55,'Qualifying Scores'!$A$10:$A$13,'Qualifying Scores'!$G$10:$G$13)),AND(X55&gt;=LOOKUP(G55,'Qualifying Scores'!$A$4:$A$7,'Qualifying Scores'!$G$4:$G$7),Y55&gt;=LOOKUP(G55,'Qualifying Scores'!$A$10:$A$13,'Qualifying Scores'!$G$10:$G$13)),AND(V55&gt;=LOOKUP(G55,'Qualifying Scores'!$A$4:$A$7,'Qualifying Scores'!$G$4:$G$7),W55&gt;=LOOKUP(G55,'Qualifying Scores'!$A$10:$A$13,'Qualifying Scores'!$G$10:$G$13)),AND(Z55&gt;=LOOKUP(G55,'Qualifying Scores'!$A$4:$A$7,'Qualifying Scores'!$G$4:$G$7),AA55&gt;=LOOKUP(G55,'Qualifying Scores'!$A$10:$A$13,'Qualifying Scores'!$G$10:$G$13))),"P",""))</f>
        <v/>
      </c>
      <c r="Q55" s="1" t="str">
        <f>IF(A55&lt;5,IF(_xlfn.MAXIFS(A:A,G:G,G55)&gt;3,5-A55,_xlfn.MAXIFS(A:A,G:G,G55)+1-A55),"")</f>
        <v/>
      </c>
      <c r="R55" s="4">
        <f>MAX(T55,X55)</f>
        <v>40.5</v>
      </c>
      <c r="S55" s="4">
        <f>IF(R55=T55,MAX(V55,X55,Z55),IF(R55=X55,MAX(T55,V55,Z55),0))</f>
        <v>0</v>
      </c>
      <c r="T55" s="33"/>
      <c r="U55" s="40"/>
      <c r="V55" s="34"/>
      <c r="W55" s="40"/>
      <c r="X55" s="33">
        <v>40.5</v>
      </c>
      <c r="Y55" s="40">
        <v>6.3000000000000007</v>
      </c>
      <c r="Z55" s="34"/>
      <c r="AA55" s="37"/>
    </row>
    <row r="56" spans="1:27" x14ac:dyDescent="0.2">
      <c r="A56" s="1" t="str" cm="1">
        <f t="array" ref="A56">IF(I56="","",IF(P56&lt;&gt;"",SUMPRODUCT((P$3:P$105&lt;&gt;"")*(G$3:G$105=G56)*(J$3:J$105&gt;J56)*(I$3:I$105="P"))+1,IF(O56&lt;&gt;"",SUMPRODUCT((O$3:O$105&lt;&gt;"")*(P$3:P$105="")*(G$3:G$105=G56)*(J$3:J$105&gt;J56)*(I$3:I$105="P"))+SUMPRODUCT((P$3:P$105&lt;&gt;"")*(G$3:G$105=G56)*(I$3:I$105="P"))+1,IF(N56&lt;&gt;"",SUMPRODUCT((N$3:N$105&lt;&gt;"")*(G$3:G$105=G56)*(J$3:J$105&gt;J56)*(I$3:I$105="P"))+1,IF(M56="P",SUMPRODUCT((O$3:O$105&lt;&gt;"")*(P$3:P$105="")*(G$3:G$105=G56)*(I$3:I$105="P"))+SUMPRODUCT((P$3:P$105&lt;&gt;"")*(G$3:G$105=G56)*(I$3:I$105="P"))+SUMPRODUCT((N$3:N$105&lt;&gt;"")*(G$3:G$105=G56)*(I$3:I$105="P"))+SUMPRODUCT((P$3:P$105="")*(O$3:O$105="")*(N$3:N$105="")*(M$3:M$105="P")*(G$3:G$105=G56)*(J$3:J$105&gt;J56)*(I$3:I$105="P"))+IF(H56="L5",SUMPRODUCT((P$3:P$105="")*(O$3:O$105="")*(N$3:N$105="")*(M$3:M$105="P")*(G$3:G$105=G56)*(J$3:J$105&lt;J56)*(H$3:H$105&lt;&gt;H56)*(I$3:I$105="P")),-1*SUMPRODUCT((P$3:P$105="")*(O$3:O$105="")*(N$3:N$105="")*(M$3:M$105="P")*(G$3:G$105=G56)*(J$3:J$105&gt;J56)*(H$3:H$105="L5")*(I$3:I$105="P")))+1,"")))))</f>
        <v/>
      </c>
      <c r="B56" s="1" t="str" cm="1">
        <f t="array" ref="B56">IF(P56&lt;&gt;"",SUMPRODUCT((P$3:P$105&lt;&gt;"")*(G$3:G$105=G56)*(J$3:J$105&gt;J56))+1,IF(O56&lt;&gt;"",SUMPRODUCT((O$3:O$105&lt;&gt;"")*(P$3:P$105="")*(G$3:G$105=G56)*(J$3:J$105&gt;J56))+SUMPRODUCT((P$3:P$105&lt;&gt;"")*(G$3:G$105=G56))+1,IF(N56&lt;&gt;"",SUMPRODUCT((N$3:N$105&lt;&gt;"")*(G$3:G$105=G56)*(J$3:J$105&gt;J56))+1,IF(M56="P",SUMPRODUCT((O$3:O$105&lt;&gt;"")*(P$3:P$105="")*(G$3:G$105=G56))+SUMPRODUCT((P$3:P$105&lt;&gt;"")*(G$3:G$105=G56))+SUMPRODUCT((N$3:N$105&lt;&gt;"")*(G$3:G$105=G56))+SUMPRODUCT((P$3:P$105="")*(O$3:O$105="")*(N$3:N$105="")*(M$3:M$105="P")*(G$3:G$105=G56)*(J$3:J$105&gt;J56))+IF(H56="L5",SUMPRODUCT((P$3:P$105="")*(O$3:O$105="")*(N$3:N$105="")*(M$3:M$105="P")*(G$3:G$105=G56)*(J$3:J$105&lt;J56)*(H$3:H$105&lt;&gt;H56)),-1*SUMPRODUCT((P$3:P$105="")*(O$3:O$105="")*(N$3:N$105="")*(M$3:M$105="P")*(G$3:G$105=G56)*(J$3:J$105&gt;J56)*(H$3:H$105="L5")))+1,""))))</f>
        <v/>
      </c>
      <c r="C56" s="36" t="s">
        <v>494</v>
      </c>
      <c r="D56" s="36" t="str">
        <f>IF(E56="","",VLOOKUP(E56,'Coaching Points'!A:B,2,0))</f>
        <v>NS</v>
      </c>
      <c r="E56" s="36" t="s">
        <v>502</v>
      </c>
      <c r="F56" s="35">
        <v>2006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9" t="s">
        <v>66</v>
      </c>
      <c r="I56" s="43"/>
      <c r="J56" s="4">
        <f>R56+S56+IF(OR(H56="Junior",H56="Senior"),0.0002,IF(OR(H56="L7",H56="L6"),0.0001,0))+MAX(X56,Z56)*0.0000001</f>
        <v>39.700003970000004</v>
      </c>
      <c r="K56" s="3" t="str">
        <f>IF(G56="Not Age Eligible","",IF(MAX(T56,V56,X56,Z56)&gt;=LOOKUP(G56,'Qualifying Scores'!$A$4:$A$7,'Qualifying Scores'!$G$4:$G$7),"P",""))</f>
        <v/>
      </c>
      <c r="L56" s="3" t="str">
        <f>IF(G56="Not Age Eligible","",IF(MAX(U56,W56,Y56,AA56)&gt;=LOOKUP(G56,'Qualifying Scores'!$A$10:$A$13,'Qualifying Scores'!$G$10:$G$13),"P",""))</f>
        <v/>
      </c>
      <c r="M56" s="3" t="str">
        <f>IF(G56="Not Age Eligible","",IF(OR(AND(T56&gt;=LOOKUP(G56,'Qualifying Scores'!$A$4:$A$7,'Qualifying Scores'!$G$4:$G$7),U56&gt;=LOOKUP(G56,'Qualifying Scores'!$A$10:$A$13,'Qualifying Scores'!$G$10:$G$13)),AND(X56&gt;=LOOKUP(G56,'Qualifying Scores'!$A$4:$A$7,'Qualifying Scores'!$G$4:$G$7),Y56&gt;=LOOKUP(G56,'Qualifying Scores'!$A$10:$A$13,'Qualifying Scores'!$G$10:$G$13)),AND(V56&gt;=LOOKUP(G56,'Qualifying Scores'!$A$4:$A$7,'Qualifying Scores'!$G$4:$G$7),W56&gt;=LOOKUP(G56,'Qualifying Scores'!$A$10:$A$13,'Qualifying Scores'!$G$10:$G$13)),AND(Z56&gt;=LOOKUP(G56,'Qualifying Scores'!$A$4:$A$7,'Qualifying Scores'!$G$4:$G$7),AA56&gt;=LOOKUP(G56,'Qualifying Scores'!$A$10:$A$13,'Qualifying Scores'!$G$10:$G$13))),"P",""))</f>
        <v/>
      </c>
      <c r="Q56" s="1" t="str">
        <f>IF(A56&lt;5,IF(_xlfn.MAXIFS(A:A,G:G,G56)&gt;3,5-A56,_xlfn.MAXIFS(A:A,G:G,G56)+1-A56),"")</f>
        <v/>
      </c>
      <c r="R56" s="4">
        <f>MAX(T56,X56)</f>
        <v>39.700000000000003</v>
      </c>
      <c r="S56" s="4">
        <f>IF(R56=T56,MAX(V56,X56,Z56),IF(R56=X56,MAX(T56,V56,Z56),0))</f>
        <v>0</v>
      </c>
      <c r="T56" s="33"/>
      <c r="U56" s="40"/>
      <c r="V56" s="34"/>
      <c r="W56" s="40"/>
      <c r="X56" s="33">
        <v>39.700000000000003</v>
      </c>
      <c r="Y56" s="40">
        <v>4.3</v>
      </c>
      <c r="Z56" s="34"/>
      <c r="AA56" s="37"/>
    </row>
    <row r="57" spans="1:27" x14ac:dyDescent="0.2">
      <c r="A57" s="1" t="str" cm="1">
        <f t="array" ref="A57">IF(I57="","",IF(P57&lt;&gt;"",SUMPRODUCT((P$3:P$105&lt;&gt;"")*(G$3:G$105=G57)*(J$3:J$105&gt;J57)*(I$3:I$105="P"))+1,IF(O57&lt;&gt;"",SUMPRODUCT((O$3:O$105&lt;&gt;"")*(P$3:P$105="")*(G$3:G$105=G57)*(J$3:J$105&gt;J57)*(I$3:I$105="P"))+SUMPRODUCT((P$3:P$105&lt;&gt;"")*(G$3:G$105=G57)*(I$3:I$105="P"))+1,IF(N57&lt;&gt;"",SUMPRODUCT((N$3:N$105&lt;&gt;"")*(G$3:G$105=G57)*(J$3:J$105&gt;J57)*(I$3:I$105="P"))+1,IF(M57="P",SUMPRODUCT((O$3:O$105&lt;&gt;"")*(P$3:P$105="")*(G$3:G$105=G57)*(I$3:I$105="P"))+SUMPRODUCT((P$3:P$105&lt;&gt;"")*(G$3:G$105=G57)*(I$3:I$105="P"))+SUMPRODUCT((N$3:N$105&lt;&gt;"")*(G$3:G$105=G57)*(I$3:I$105="P"))+SUMPRODUCT((P$3:P$105="")*(O$3:O$105="")*(N$3:N$105="")*(M$3:M$105="P")*(G$3:G$105=G57)*(J$3:J$105&gt;J57)*(I$3:I$105="P"))+IF(H57="L5",SUMPRODUCT((P$3:P$105="")*(O$3:O$105="")*(N$3:N$105="")*(M$3:M$105="P")*(G$3:G$105=G57)*(J$3:J$105&lt;J57)*(H$3:H$105&lt;&gt;H57)*(I$3:I$105="P")),-1*SUMPRODUCT((P$3:P$105="")*(O$3:O$105="")*(N$3:N$105="")*(M$3:M$105="P")*(G$3:G$105=G57)*(J$3:J$105&gt;J57)*(H$3:H$105="L5")*(I$3:I$105="P")))+1,"")))))</f>
        <v/>
      </c>
      <c r="B57" s="1" t="str" cm="1">
        <f t="array" ref="B57">IF(P57&lt;&gt;"",SUMPRODUCT((P$3:P$105&lt;&gt;"")*(G$3:G$105=G57)*(J$3:J$105&gt;J57))+1,IF(O57&lt;&gt;"",SUMPRODUCT((O$3:O$105&lt;&gt;"")*(P$3:P$105="")*(G$3:G$105=G57)*(J$3:J$105&gt;J57))+SUMPRODUCT((P$3:P$105&lt;&gt;"")*(G$3:G$105=G57))+1,IF(N57&lt;&gt;"",SUMPRODUCT((N$3:N$105&lt;&gt;"")*(G$3:G$105=G57)*(J$3:J$105&gt;J57))+1,IF(M57="P",SUMPRODUCT((O$3:O$105&lt;&gt;"")*(P$3:P$105="")*(G$3:G$105=G57))+SUMPRODUCT((P$3:P$105&lt;&gt;"")*(G$3:G$105=G57))+SUMPRODUCT((N$3:N$105&lt;&gt;"")*(G$3:G$105=G57))+SUMPRODUCT((P$3:P$105="")*(O$3:O$105="")*(N$3:N$105="")*(M$3:M$105="P")*(G$3:G$105=G57)*(J$3:J$105&gt;J57))+IF(H57="L5",SUMPRODUCT((P$3:P$105="")*(O$3:O$105="")*(N$3:N$105="")*(M$3:M$105="P")*(G$3:G$105=G57)*(J$3:J$105&lt;J57)*(H$3:H$105&lt;&gt;H57)),-1*SUMPRODUCT((P$3:P$105="")*(O$3:O$105="")*(N$3:N$105="")*(M$3:M$105="P")*(G$3:G$105=G57)*(J$3:J$105&gt;J57)*(H$3:H$105="L5")))+1,""))))</f>
        <v/>
      </c>
      <c r="C57" s="36" t="s">
        <v>456</v>
      </c>
      <c r="D57" s="36" t="str">
        <f>IF(E57="","",VLOOKUP(E57,'Coaching Points'!A:B,2,0))</f>
        <v>BC</v>
      </c>
      <c r="E57" s="36" t="s">
        <v>37</v>
      </c>
      <c r="F57" s="35">
        <v>2006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17-21</v>
      </c>
      <c r="H57" s="39" t="s">
        <v>66</v>
      </c>
      <c r="I57" s="43"/>
      <c r="J57" s="4">
        <f>R57+S57+IF(OR(H57="Junior",H57="Senior"),0.0002,IF(OR(H57="L7",H57="L6"),0.0001,0))+MAX(X57,Z57)*0.0000001</f>
        <v>39.700003970000004</v>
      </c>
      <c r="K57" s="3" t="str">
        <f>IF(G57="Not Age Eligible","",IF(MAX(T57,V57,X57,Z57)&gt;=LOOKUP(G57,'Qualifying Scores'!$A$4:$A$7,'Qualifying Scores'!$G$4:$G$7),"P",""))</f>
        <v/>
      </c>
      <c r="L57" s="3" t="str">
        <f>IF(G57="Not Age Eligible","",IF(MAX(U57,W57,Y57,AA57)&gt;=LOOKUP(G57,'Qualifying Scores'!$A$10:$A$13,'Qualifying Scores'!$G$10:$G$13),"P",""))</f>
        <v/>
      </c>
      <c r="M57" s="3" t="str">
        <f>IF(G57="Not Age Eligible","",IF(OR(AND(T57&gt;=LOOKUP(G57,'Qualifying Scores'!$A$4:$A$7,'Qualifying Scores'!$G$4:$G$7),U57&gt;=LOOKUP(G57,'Qualifying Scores'!$A$10:$A$13,'Qualifying Scores'!$G$10:$G$13)),AND(X57&gt;=LOOKUP(G57,'Qualifying Scores'!$A$4:$A$7,'Qualifying Scores'!$G$4:$G$7),Y57&gt;=LOOKUP(G57,'Qualifying Scores'!$A$10:$A$13,'Qualifying Scores'!$G$10:$G$13)),AND(V57&gt;=LOOKUP(G57,'Qualifying Scores'!$A$4:$A$7,'Qualifying Scores'!$G$4:$G$7),W57&gt;=LOOKUP(G57,'Qualifying Scores'!$A$10:$A$13,'Qualifying Scores'!$G$10:$G$13)),AND(Z57&gt;=LOOKUP(G57,'Qualifying Scores'!$A$4:$A$7,'Qualifying Scores'!$G$4:$G$7),AA57&gt;=LOOKUP(G57,'Qualifying Scores'!$A$10:$A$13,'Qualifying Scores'!$G$10:$G$13))),"P",""))</f>
        <v/>
      </c>
      <c r="Q57" s="1" t="str">
        <f>IF(A57&lt;5,IF(_xlfn.MAXIFS(A:A,G:G,G57)&gt;3,5-A57,_xlfn.MAXIFS(A:A,G:G,G57)+1-A57),"")</f>
        <v/>
      </c>
      <c r="R57" s="4">
        <f>MAX(T57,X57)</f>
        <v>39.700000000000003</v>
      </c>
      <c r="S57" s="4">
        <f>IF(R57=T57,MAX(V57,X57,Z57),IF(R57=X57,MAX(T57,V57,Z57),0))</f>
        <v>0</v>
      </c>
      <c r="T57" s="33"/>
      <c r="U57" s="40"/>
      <c r="V57" s="34"/>
      <c r="W57" s="40"/>
      <c r="X57" s="33">
        <v>39.700000000000003</v>
      </c>
      <c r="Y57" s="40">
        <v>3.9000000000000004</v>
      </c>
      <c r="Z57" s="34"/>
      <c r="AA57" s="37"/>
    </row>
    <row r="58" spans="1:27" x14ac:dyDescent="0.2">
      <c r="A58" s="1" t="str" cm="1">
        <f t="array" ref="A58">IF(I58="","",IF(P58&lt;&gt;"",SUMPRODUCT((P$3:P$105&lt;&gt;"")*(G$3:G$105=G58)*(J$3:J$105&gt;J58)*(I$3:I$105="P"))+1,IF(O58&lt;&gt;"",SUMPRODUCT((O$3:O$105&lt;&gt;"")*(P$3:P$105="")*(G$3:G$105=G58)*(J$3:J$105&gt;J58)*(I$3:I$105="P"))+SUMPRODUCT((P$3:P$105&lt;&gt;"")*(G$3:G$105=G58)*(I$3:I$105="P"))+1,IF(N58&lt;&gt;"",SUMPRODUCT((N$3:N$105&lt;&gt;"")*(G$3:G$105=G58)*(J$3:J$105&gt;J58)*(I$3:I$105="P"))+1,IF(M58="P",SUMPRODUCT((O$3:O$105&lt;&gt;"")*(P$3:P$105="")*(G$3:G$105=G58)*(I$3:I$105="P"))+SUMPRODUCT((P$3:P$105&lt;&gt;"")*(G$3:G$105=G58)*(I$3:I$105="P"))+SUMPRODUCT((N$3:N$105&lt;&gt;"")*(G$3:G$105=G58)*(I$3:I$105="P"))+SUMPRODUCT((P$3:P$105="")*(O$3:O$105="")*(N$3:N$105="")*(M$3:M$105="P")*(G$3:G$105=G58)*(J$3:J$105&gt;J58)*(I$3:I$105="P"))+IF(H58="L5",SUMPRODUCT((P$3:P$105="")*(O$3:O$105="")*(N$3:N$105="")*(M$3:M$105="P")*(G$3:G$105=G58)*(J$3:J$105&lt;J58)*(H$3:H$105&lt;&gt;H58)*(I$3:I$105="P")),-1*SUMPRODUCT((P$3:P$105="")*(O$3:O$105="")*(N$3:N$105="")*(M$3:M$105="P")*(G$3:G$105=G58)*(J$3:J$105&gt;J58)*(H$3:H$105="L5")*(I$3:I$105="P")))+1,"")))))</f>
        <v/>
      </c>
      <c r="B58" s="1" t="str" cm="1">
        <f t="array" ref="B58">IF(P58&lt;&gt;"",SUMPRODUCT((P$3:P$105&lt;&gt;"")*(G$3:G$105=G58)*(J$3:J$105&gt;J58))+1,IF(O58&lt;&gt;"",SUMPRODUCT((O$3:O$105&lt;&gt;"")*(P$3:P$105="")*(G$3:G$105=G58)*(J$3:J$105&gt;J58))+SUMPRODUCT((P$3:P$105&lt;&gt;"")*(G$3:G$105=G58))+1,IF(N58&lt;&gt;"",SUMPRODUCT((N$3:N$105&lt;&gt;"")*(G$3:G$105=G58)*(J$3:J$105&gt;J58))+1,IF(M58="P",SUMPRODUCT((O$3:O$105&lt;&gt;"")*(P$3:P$105="")*(G$3:G$105=G58))+SUMPRODUCT((P$3:P$105&lt;&gt;"")*(G$3:G$105=G58))+SUMPRODUCT((N$3:N$105&lt;&gt;"")*(G$3:G$105=G58))+SUMPRODUCT((P$3:P$105="")*(O$3:O$105="")*(N$3:N$105="")*(M$3:M$105="P")*(G$3:G$105=G58)*(J$3:J$105&gt;J58))+IF(H58="L5",SUMPRODUCT((P$3:P$105="")*(O$3:O$105="")*(N$3:N$105="")*(M$3:M$105="P")*(G$3:G$105=G58)*(J$3:J$105&lt;J58)*(H$3:H$105&lt;&gt;H58)),-1*SUMPRODUCT((P$3:P$105="")*(O$3:O$105="")*(N$3:N$105="")*(M$3:M$105="P")*(G$3:G$105=G58)*(J$3:J$105&gt;J58)*(H$3:H$105="L5")))+1,""))))</f>
        <v/>
      </c>
      <c r="C58" s="36" t="s">
        <v>246</v>
      </c>
      <c r="D58" s="36" t="str">
        <f>IF(E58="","",VLOOKUP(E58,'Coaching Points'!A:B,2,0))</f>
        <v>BC</v>
      </c>
      <c r="E58" s="36" t="s">
        <v>41</v>
      </c>
      <c r="F58" s="35">
        <v>2004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17-21</v>
      </c>
      <c r="H58" s="39" t="s">
        <v>66</v>
      </c>
      <c r="I58" s="43"/>
      <c r="J58" s="4">
        <f>R58+S58+IF(OR(H58="Junior",H58="Senior"),0.0002,IF(OR(H58="L7",H58="L6"),0.0001,0))+MAX(X58,Z58)*0.0000001</f>
        <v>39.200000000000003</v>
      </c>
      <c r="K58" s="3" t="str">
        <f>IF(G58="Not Age Eligible","",IF(MAX(T58,V58,X58,Z58)&gt;=LOOKUP(G58,'Qualifying Scores'!$A$4:$A$7,'Qualifying Scores'!$G$4:$G$7),"P",""))</f>
        <v/>
      </c>
      <c r="L58" s="3" t="str">
        <f>IF(G58="Not Age Eligible","",IF(MAX(U58,W58,Y58,AA58)&gt;=LOOKUP(G58,'Qualifying Scores'!$A$10:$A$13,'Qualifying Scores'!$G$10:$G$13),"P",""))</f>
        <v/>
      </c>
      <c r="M58" s="3" t="str">
        <f>IF(G58="Not Age Eligible","",IF(OR(AND(T58&gt;=LOOKUP(G58,'Qualifying Scores'!$A$4:$A$7,'Qualifying Scores'!$G$4:$G$7),U58&gt;=LOOKUP(G58,'Qualifying Scores'!$A$10:$A$13,'Qualifying Scores'!$G$10:$G$13)),AND(X58&gt;=LOOKUP(G58,'Qualifying Scores'!$A$4:$A$7,'Qualifying Scores'!$G$4:$G$7),Y58&gt;=LOOKUP(G58,'Qualifying Scores'!$A$10:$A$13,'Qualifying Scores'!$G$10:$G$13)),AND(V58&gt;=LOOKUP(G58,'Qualifying Scores'!$A$4:$A$7,'Qualifying Scores'!$G$4:$G$7),W58&gt;=LOOKUP(G58,'Qualifying Scores'!$A$10:$A$13,'Qualifying Scores'!$G$10:$G$13)),AND(Z58&gt;=LOOKUP(G58,'Qualifying Scores'!$A$4:$A$7,'Qualifying Scores'!$G$4:$G$7),AA58&gt;=LOOKUP(G58,'Qualifying Scores'!$A$10:$A$13,'Qualifying Scores'!$G$10:$G$13))),"P",""))</f>
        <v/>
      </c>
      <c r="Q58" s="1" t="str">
        <f>IF(A58&lt;5,IF(_xlfn.MAXIFS(A:A,G:G,G58)&gt;3,5-A58,_xlfn.MAXIFS(A:A,G:G,G58)+1-A58),"")</f>
        <v/>
      </c>
      <c r="R58" s="4">
        <f>MAX(T58,X58)</f>
        <v>39.200000000000003</v>
      </c>
      <c r="S58" s="4">
        <f>IF(R58=T58,MAX(V58,X58,Z58),IF(R58=X58,MAX(T58,V58,Z58),0))</f>
        <v>0</v>
      </c>
      <c r="T58" s="33">
        <v>39.200000000000003</v>
      </c>
      <c r="U58" s="40">
        <v>4.3000000000000007</v>
      </c>
      <c r="V58" s="34"/>
      <c r="W58" s="40"/>
      <c r="X58" s="33"/>
      <c r="Y58" s="40"/>
      <c r="Z58" s="34"/>
      <c r="AA58" s="37"/>
    </row>
    <row r="59" spans="1:27" x14ac:dyDescent="0.2">
      <c r="A59" s="1" t="str" cm="1">
        <f t="array" ref="A59">IF(I59="","",IF(P59&lt;&gt;"",SUMPRODUCT((P$3:P$105&lt;&gt;"")*(G$3:G$105=G59)*(J$3:J$105&gt;J59)*(I$3:I$105="P"))+1,IF(O59&lt;&gt;"",SUMPRODUCT((O$3:O$105&lt;&gt;"")*(P$3:P$105="")*(G$3:G$105=G59)*(J$3:J$105&gt;J59)*(I$3:I$105="P"))+SUMPRODUCT((P$3:P$105&lt;&gt;"")*(G$3:G$105=G59)*(I$3:I$105="P"))+1,IF(N59&lt;&gt;"",SUMPRODUCT((N$3:N$105&lt;&gt;"")*(G$3:G$105=G59)*(J$3:J$105&gt;J59)*(I$3:I$105="P"))+1,IF(M59="P",SUMPRODUCT((O$3:O$105&lt;&gt;"")*(P$3:P$105="")*(G$3:G$105=G59)*(I$3:I$105="P"))+SUMPRODUCT((P$3:P$105&lt;&gt;"")*(G$3:G$105=G59)*(I$3:I$105="P"))+SUMPRODUCT((N$3:N$105&lt;&gt;"")*(G$3:G$105=G59)*(I$3:I$105="P"))+SUMPRODUCT((P$3:P$105="")*(O$3:O$105="")*(N$3:N$105="")*(M$3:M$105="P")*(G$3:G$105=G59)*(J$3:J$105&gt;J59)*(I$3:I$105="P"))+IF(H59="L5",SUMPRODUCT((P$3:P$105="")*(O$3:O$105="")*(N$3:N$105="")*(M$3:M$105="P")*(G$3:G$105=G59)*(J$3:J$105&lt;J59)*(H$3:H$105&lt;&gt;H59)*(I$3:I$105="P")),-1*SUMPRODUCT((P$3:P$105="")*(O$3:O$105="")*(N$3:N$105="")*(M$3:M$105="P")*(G$3:G$105=G59)*(J$3:J$105&gt;J59)*(H$3:H$105="L5")*(I$3:I$105="P")))+1,"")))))</f>
        <v/>
      </c>
      <c r="B59" s="1" t="str" cm="1">
        <f t="array" ref="B59">IF(P59&lt;&gt;"",SUMPRODUCT((P$3:P$105&lt;&gt;"")*(G$3:G$105=G59)*(J$3:J$105&gt;J59))+1,IF(O59&lt;&gt;"",SUMPRODUCT((O$3:O$105&lt;&gt;"")*(P$3:P$105="")*(G$3:G$105=G59)*(J$3:J$105&gt;J59))+SUMPRODUCT((P$3:P$105&lt;&gt;"")*(G$3:G$105=G59))+1,IF(N59&lt;&gt;"",SUMPRODUCT((N$3:N$105&lt;&gt;"")*(G$3:G$105=G59)*(J$3:J$105&gt;J59))+1,IF(M59="P",SUMPRODUCT((O$3:O$105&lt;&gt;"")*(P$3:P$105="")*(G$3:G$105=G59))+SUMPRODUCT((P$3:P$105&lt;&gt;"")*(G$3:G$105=G59))+SUMPRODUCT((N$3:N$105&lt;&gt;"")*(G$3:G$105=G59))+SUMPRODUCT((P$3:P$105="")*(O$3:O$105="")*(N$3:N$105="")*(M$3:M$105="P")*(G$3:G$105=G59)*(J$3:J$105&gt;J59))+IF(H59="L5",SUMPRODUCT((P$3:P$105="")*(O$3:O$105="")*(N$3:N$105="")*(M$3:M$105="P")*(G$3:G$105=G59)*(J$3:J$105&lt;J59)*(H$3:H$105&lt;&gt;H59)),-1*SUMPRODUCT((P$3:P$105="")*(O$3:O$105="")*(N$3:N$105="")*(M$3:M$105="P")*(G$3:G$105=G59)*(J$3:J$105&gt;J59)*(H$3:H$105="L5")))+1,""))))</f>
        <v/>
      </c>
      <c r="C59" s="36" t="s">
        <v>295</v>
      </c>
      <c r="D59" s="36" t="str">
        <f>IF(E59="","",VLOOKUP(E59,'Coaching Points'!A:B,2,0))</f>
        <v>AB</v>
      </c>
      <c r="E59" s="36" t="s">
        <v>58</v>
      </c>
      <c r="F59" s="35">
        <v>2006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17-21</v>
      </c>
      <c r="H59" s="39" t="s">
        <v>66</v>
      </c>
      <c r="I59" s="43"/>
      <c r="J59" s="4">
        <f>R59+S59+IF(OR(H59="Junior",H59="Senior"),0.0002,IF(OR(H59="L7",H59="L6"),0.0001,0))+MAX(X59,Z59)*0.0000001</f>
        <v>37.700000000000003</v>
      </c>
      <c r="K59" s="3" t="str">
        <f>IF(G59="Not Age Eligible","",IF(MAX(T59,V59,X59,Z59)&gt;=LOOKUP(G59,'Qualifying Scores'!$A$4:$A$7,'Qualifying Scores'!$G$4:$G$7),"P",""))</f>
        <v/>
      </c>
      <c r="L59" s="3" t="str">
        <f>IF(G59="Not Age Eligible","",IF(MAX(U59,W59,Y59,AA59)&gt;=LOOKUP(G59,'Qualifying Scores'!$A$10:$A$13,'Qualifying Scores'!$G$10:$G$13),"P",""))</f>
        <v/>
      </c>
      <c r="M59" s="3" t="str">
        <f>IF(G59="Not Age Eligible","",IF(OR(AND(T59&gt;=LOOKUP(G59,'Qualifying Scores'!$A$4:$A$7,'Qualifying Scores'!$G$4:$G$7),U59&gt;=LOOKUP(G59,'Qualifying Scores'!$A$10:$A$13,'Qualifying Scores'!$G$10:$G$13)),AND(X59&gt;=LOOKUP(G59,'Qualifying Scores'!$A$4:$A$7,'Qualifying Scores'!$G$4:$G$7),Y59&gt;=LOOKUP(G59,'Qualifying Scores'!$A$10:$A$13,'Qualifying Scores'!$G$10:$G$13)),AND(V59&gt;=LOOKUP(G59,'Qualifying Scores'!$A$4:$A$7,'Qualifying Scores'!$G$4:$G$7),W59&gt;=LOOKUP(G59,'Qualifying Scores'!$A$10:$A$13,'Qualifying Scores'!$G$10:$G$13)),AND(Z59&gt;=LOOKUP(G59,'Qualifying Scores'!$A$4:$A$7,'Qualifying Scores'!$G$4:$G$7),AA59&gt;=LOOKUP(G59,'Qualifying Scores'!$A$10:$A$13,'Qualifying Scores'!$G$10:$G$13))),"P",""))</f>
        <v/>
      </c>
      <c r="Q59" s="1" t="str">
        <f>IF(A59&lt;5,IF(_xlfn.MAXIFS(A:A,G:G,G59)&gt;3,5-A59,_xlfn.MAXIFS(A:A,G:G,G59)+1-A59),"")</f>
        <v/>
      </c>
      <c r="R59" s="4">
        <f>MAX(T59,X59)</f>
        <v>37.700000000000003</v>
      </c>
      <c r="S59" s="4">
        <f>IF(R59=T59,MAX(V59,X59,Z59),IF(R59=X59,MAX(T59,V59,Z59),0))</f>
        <v>0</v>
      </c>
      <c r="T59" s="33">
        <v>37.700000000000003</v>
      </c>
      <c r="U59" s="40">
        <v>3.7</v>
      </c>
      <c r="V59" s="34"/>
      <c r="W59" s="40"/>
      <c r="X59" s="33"/>
      <c r="Y59" s="40"/>
      <c r="Z59" s="34"/>
      <c r="AA59" s="37"/>
    </row>
    <row r="60" spans="1:27" x14ac:dyDescent="0.2">
      <c r="A60" s="1" cm="1">
        <f t="array" ref="A60">IF(I60="","",IF(P60&lt;&gt;"",SUMPRODUCT((P$3:P$105&lt;&gt;"")*(G$3:G$105=G60)*(J$3:J$105&gt;J60)*(I$3:I$105="P"))+1,IF(O60&lt;&gt;"",SUMPRODUCT((O$3:O$105&lt;&gt;"")*(P$3:P$105="")*(G$3:G$105=G60)*(J$3:J$105&gt;J60)*(I$3:I$105="P"))+SUMPRODUCT((P$3:P$105&lt;&gt;"")*(G$3:G$105=G60)*(I$3:I$105="P"))+1,IF(N60&lt;&gt;"",SUMPRODUCT((N$3:N$105&lt;&gt;"")*(G$3:G$105=G60)*(J$3:J$105&gt;J60)*(I$3:I$105="P"))+1,IF(M60="P",SUMPRODUCT((O$3:O$105&lt;&gt;"")*(P$3:P$105="")*(G$3:G$105=G60)*(I$3:I$105="P"))+SUMPRODUCT((P$3:P$105&lt;&gt;"")*(G$3:G$105=G60)*(I$3:I$105="P"))+SUMPRODUCT((N$3:N$105&lt;&gt;"")*(G$3:G$105=G60)*(I$3:I$105="P"))+SUMPRODUCT((P$3:P$105="")*(O$3:O$105="")*(N$3:N$105="")*(M$3:M$105="P")*(G$3:G$105=G60)*(J$3:J$105&gt;J60)*(I$3:I$105="P"))+IF(H60="L5",SUMPRODUCT((P$3:P$105="")*(O$3:O$105="")*(N$3:N$105="")*(M$3:M$105="P")*(G$3:G$105=G60)*(J$3:J$105&lt;J60)*(H$3:H$105&lt;&gt;H60)*(I$3:I$105="P")),-1*SUMPRODUCT((P$3:P$105="")*(O$3:O$105="")*(N$3:N$105="")*(M$3:M$105="P")*(G$3:G$105=G60)*(J$3:J$105&gt;J60)*(H$3:H$105="L5")*(I$3:I$105="P")))+1,"")))))</f>
        <v>1</v>
      </c>
      <c r="B60" s="1" cm="1">
        <f t="array" ref="B60">IF(P60&lt;&gt;"",SUMPRODUCT((P$3:P$105&lt;&gt;"")*(G$3:G$105=G60)*(J$3:J$105&gt;J60))+1,IF(O60&lt;&gt;"",SUMPRODUCT((O$3:O$105&lt;&gt;"")*(P$3:P$105="")*(G$3:G$105=G60)*(J$3:J$105&gt;J60))+SUMPRODUCT((P$3:P$105&lt;&gt;"")*(G$3:G$105=G60))+1,IF(N60&lt;&gt;"",SUMPRODUCT((N$3:N$105&lt;&gt;"")*(G$3:G$105=G60)*(J$3:J$105&gt;J60))+1,IF(M60="P",SUMPRODUCT((O$3:O$105&lt;&gt;"")*(P$3:P$105="")*(G$3:G$105=G60))+SUMPRODUCT((P$3:P$105&lt;&gt;"")*(G$3:G$105=G60))+SUMPRODUCT((N$3:N$105&lt;&gt;"")*(G$3:G$105=G60))+SUMPRODUCT((P$3:P$105="")*(O$3:O$105="")*(N$3:N$105="")*(M$3:M$105="P")*(G$3:G$105=G60)*(J$3:J$105&gt;J60))+IF(H60="L5",SUMPRODUCT((P$3:P$105="")*(O$3:O$105="")*(N$3:N$105="")*(M$3:M$105="P")*(G$3:G$105=G60)*(J$3:J$105&lt;J60)*(H$3:H$105&lt;&gt;H60)),-1*SUMPRODUCT((P$3:P$105="")*(O$3:O$105="")*(N$3:N$105="")*(M$3:M$105="P")*(G$3:G$105=G60)*(J$3:J$105&gt;J60)*(H$3:H$105="L5")))+1,""))))</f>
        <v>1</v>
      </c>
      <c r="C60" s="36" t="s">
        <v>153</v>
      </c>
      <c r="D60" s="36" t="str">
        <f>IF(E60="","",VLOOKUP(E60,'Coaching Points'!A:B,2,0))</f>
        <v>BC</v>
      </c>
      <c r="E60" s="36" t="s">
        <v>46</v>
      </c>
      <c r="F60" s="35">
        <v>2007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9" t="s">
        <v>65</v>
      </c>
      <c r="I60" s="43" t="s">
        <v>567</v>
      </c>
      <c r="J60" s="4">
        <f>R60+S60+IF(OR(H60="Junior",H60="Senior"),0.0002,IF(OR(H60="L7",H60="L6"),0.0001,0))+MAX(X60,Z60)*0.0000001</f>
        <v>97.800204930000007</v>
      </c>
      <c r="K60" s="3" t="str">
        <f>IF(G60="Not Age Eligible","",IF(MAX(T60,V60,X60,Z60)&gt;=LOOKUP(G60,'Qualifying Scores'!$A$4:$A$7,'Qualifying Scores'!$G$4:$G$7),"P",""))</f>
        <v>P</v>
      </c>
      <c r="L60" s="3" t="str">
        <f>IF(G60="Not Age Eligible","",IF(MAX(U60,W60,Y60,AA60)&gt;=LOOKUP(G60,'Qualifying Scores'!$A$10:$A$13,'Qualifying Scores'!$G$10:$G$13),"P",""))</f>
        <v>P</v>
      </c>
      <c r="M60" s="3" t="str">
        <f>IF(G60="Not Age Eligible","",IF(OR(AND(T60&gt;=LOOKUP(G60,'Qualifying Scores'!$A$4:$A$7,'Qualifying Scores'!$G$4:$G$7),U60&gt;=LOOKUP(G60,'Qualifying Scores'!$A$10:$A$13,'Qualifying Scores'!$G$10:$G$13)),AND(X60&gt;=LOOKUP(G60,'Qualifying Scores'!$A$4:$A$7,'Qualifying Scores'!$G$4:$G$7),Y60&gt;=LOOKUP(G60,'Qualifying Scores'!$A$10:$A$13,'Qualifying Scores'!$G$10:$G$13)),AND(V60&gt;=LOOKUP(G60,'Qualifying Scores'!$A$4:$A$7,'Qualifying Scores'!$G$4:$G$7),W60&gt;=LOOKUP(G60,'Qualifying Scores'!$A$10:$A$13,'Qualifying Scores'!$G$10:$G$13)),AND(Z60&gt;=LOOKUP(G60,'Qualifying Scores'!$A$4:$A$7,'Qualifying Scores'!$G$4:$G$7),AA60&gt;=LOOKUP(G60,'Qualifying Scores'!$A$10:$A$13,'Qualifying Scores'!$G$10:$G$13))),"P",""))</f>
        <v>P</v>
      </c>
      <c r="N60" s="39">
        <v>2</v>
      </c>
      <c r="Q60" s="1">
        <f>IF(A60&lt;5,IF(_xlfn.MAXIFS(A:A,G:G,G60)&gt;3,5-A60,_xlfn.MAXIFS(A:A,G:G,G60)+1-A60),"")</f>
        <v>3</v>
      </c>
      <c r="R60" s="4">
        <f>MAX(T60,X60)</f>
        <v>49.3</v>
      </c>
      <c r="S60" s="4">
        <f>IF(R60=T60,MAX(V60,X60,Z60),IF(R60=X60,MAX(T60,V60,Z60),0))</f>
        <v>48.5</v>
      </c>
      <c r="T60" s="33">
        <v>48.2</v>
      </c>
      <c r="U60" s="40">
        <v>10.4</v>
      </c>
      <c r="V60" s="34">
        <v>47.8</v>
      </c>
      <c r="W60" s="40">
        <v>11.6</v>
      </c>
      <c r="X60" s="33">
        <v>49.3</v>
      </c>
      <c r="Y60" s="40">
        <v>12.4</v>
      </c>
      <c r="Z60" s="34">
        <v>48.5</v>
      </c>
      <c r="AA60" s="37">
        <v>11.6</v>
      </c>
    </row>
    <row r="61" spans="1:27" x14ac:dyDescent="0.2">
      <c r="A61" s="1" cm="1">
        <f t="array" ref="A61">IF(I61="","",IF(P61&lt;&gt;"",SUMPRODUCT((P$3:P$105&lt;&gt;"")*(G$3:G$105=G61)*(J$3:J$105&gt;J61)*(I$3:I$105="P"))+1,IF(O61&lt;&gt;"",SUMPRODUCT((O$3:O$105&lt;&gt;"")*(P$3:P$105="")*(G$3:G$105=G61)*(J$3:J$105&gt;J61)*(I$3:I$105="P"))+SUMPRODUCT((P$3:P$105&lt;&gt;"")*(G$3:G$105=G61)*(I$3:I$105="P"))+1,IF(N61&lt;&gt;"",SUMPRODUCT((N$3:N$105&lt;&gt;"")*(G$3:G$105=G61)*(J$3:J$105&gt;J61)*(I$3:I$105="P"))+1,IF(M61="P",SUMPRODUCT((O$3:O$105&lt;&gt;"")*(P$3:P$105="")*(G$3:G$105=G61)*(I$3:I$105="P"))+SUMPRODUCT((P$3:P$105&lt;&gt;"")*(G$3:G$105=G61)*(I$3:I$105="P"))+SUMPRODUCT((N$3:N$105&lt;&gt;"")*(G$3:G$105=G61)*(I$3:I$105="P"))+SUMPRODUCT((P$3:P$105="")*(O$3:O$105="")*(N$3:N$105="")*(M$3:M$105="P")*(G$3:G$105=G61)*(J$3:J$105&gt;J61)*(I$3:I$105="P"))+IF(H61="L5",SUMPRODUCT((P$3:P$105="")*(O$3:O$105="")*(N$3:N$105="")*(M$3:M$105="P")*(G$3:G$105=G61)*(J$3:J$105&lt;J61)*(H$3:H$105&lt;&gt;H61)*(I$3:I$105="P")),-1*SUMPRODUCT((P$3:P$105="")*(O$3:O$105="")*(N$3:N$105="")*(M$3:M$105="P")*(G$3:G$105=G61)*(J$3:J$105&gt;J61)*(H$3:H$105="L5")*(I$3:I$105="P")))+1,"")))))</f>
        <v>2</v>
      </c>
      <c r="B61" s="1" cm="1">
        <f t="array" ref="B61">IF(P61&lt;&gt;"",SUMPRODUCT((P$3:P$105&lt;&gt;"")*(G$3:G$105=G61)*(J$3:J$105&gt;J61))+1,IF(O61&lt;&gt;"",SUMPRODUCT((O$3:O$105&lt;&gt;"")*(P$3:P$105="")*(G$3:G$105=G61)*(J$3:J$105&gt;J61))+SUMPRODUCT((P$3:P$105&lt;&gt;"")*(G$3:G$105=G61))+1,IF(N61&lt;&gt;"",SUMPRODUCT((N$3:N$105&lt;&gt;"")*(G$3:G$105=G61)*(J$3:J$105&gt;J61))+1,IF(M61="P",SUMPRODUCT((O$3:O$105&lt;&gt;"")*(P$3:P$105="")*(G$3:G$105=G61))+SUMPRODUCT((P$3:P$105&lt;&gt;"")*(G$3:G$105=G61))+SUMPRODUCT((N$3:N$105&lt;&gt;"")*(G$3:G$105=G61))+SUMPRODUCT((P$3:P$105="")*(O$3:O$105="")*(N$3:N$105="")*(M$3:M$105="P")*(G$3:G$105=G61)*(J$3:J$105&gt;J61))+IF(H61="L5",SUMPRODUCT((P$3:P$105="")*(O$3:O$105="")*(N$3:N$105="")*(M$3:M$105="P")*(G$3:G$105=G61)*(J$3:J$105&lt;J61)*(H$3:H$105&lt;&gt;H61)),-1*SUMPRODUCT((P$3:P$105="")*(O$3:O$105="")*(N$3:N$105="")*(M$3:M$105="P")*(G$3:G$105=G61)*(J$3:J$105&gt;J61)*(H$3:H$105="L5")))+1,""))))</f>
        <v>2</v>
      </c>
      <c r="C61" s="36" t="s">
        <v>119</v>
      </c>
      <c r="D61" s="36" t="str">
        <f>IF(E61="","",VLOOKUP(E61,'Coaching Points'!A:B,2,0))</f>
        <v>BC</v>
      </c>
      <c r="E61" s="36" t="s">
        <v>46</v>
      </c>
      <c r="F61" s="35">
        <v>2008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9" t="s">
        <v>65</v>
      </c>
      <c r="I61" s="43" t="s">
        <v>567</v>
      </c>
      <c r="J61" s="4">
        <f>R61+S61+IF(OR(H61="Junior",H61="Senior"),0.0002,IF(OR(H61="L7",H61="L6"),0.0001,0))+MAX(X61,Z61)*0.0000001</f>
        <v>94.700204760000005</v>
      </c>
      <c r="K61" s="3" t="str">
        <f>IF(G61="Not Age Eligible","",IF(MAX(T61,V61,X61,Z61)&gt;=LOOKUP(G61,'Qualifying Scores'!$A$4:$A$7,'Qualifying Scores'!$G$4:$G$7),"P",""))</f>
        <v>P</v>
      </c>
      <c r="L61" s="3" t="str">
        <f>IF(G61="Not Age Eligible","",IF(MAX(U61,W61,Y61,AA61)&gt;=LOOKUP(G61,'Qualifying Scores'!$A$10:$A$13,'Qualifying Scores'!$G$10:$G$13),"P",""))</f>
        <v>P</v>
      </c>
      <c r="M61" s="3" t="str">
        <f>IF(G61="Not Age Eligible","",IF(OR(AND(T61&gt;=LOOKUP(G61,'Qualifying Scores'!$A$4:$A$7,'Qualifying Scores'!$G$4:$G$7),U61&gt;=LOOKUP(G61,'Qualifying Scores'!$A$10:$A$13,'Qualifying Scores'!$G$10:$G$13)),AND(X61&gt;=LOOKUP(G61,'Qualifying Scores'!$A$4:$A$7,'Qualifying Scores'!$G$4:$G$7),Y61&gt;=LOOKUP(G61,'Qualifying Scores'!$A$10:$A$13,'Qualifying Scores'!$G$10:$G$13)),AND(V61&gt;=LOOKUP(G61,'Qualifying Scores'!$A$4:$A$7,'Qualifying Scores'!$G$4:$G$7),W61&gt;=LOOKUP(G61,'Qualifying Scores'!$A$10:$A$13,'Qualifying Scores'!$G$10:$G$13)),AND(Z61&gt;=LOOKUP(G61,'Qualifying Scores'!$A$4:$A$7,'Qualifying Scores'!$G$4:$G$7),AA61&gt;=LOOKUP(G61,'Qualifying Scores'!$A$10:$A$13,'Qualifying Scores'!$G$10:$G$13))),"P",""))</f>
        <v>P</v>
      </c>
      <c r="N61" s="39">
        <v>3</v>
      </c>
      <c r="Q61" s="1">
        <f>IF(A61&lt;5,IF(_xlfn.MAXIFS(A:A,G:G,G61)&gt;3,5-A61,_xlfn.MAXIFS(A:A,G:G,G61)+1-A61),"")</f>
        <v>2</v>
      </c>
      <c r="R61" s="4">
        <f>MAX(T61,X61)</f>
        <v>47.1</v>
      </c>
      <c r="S61" s="4">
        <f>IF(R61=T61,MAX(V61,X61,Z61),IF(R61=X61,MAX(T61,V61,Z61),0))</f>
        <v>47.6</v>
      </c>
      <c r="T61" s="33">
        <v>47.1</v>
      </c>
      <c r="U61" s="40">
        <v>10.4</v>
      </c>
      <c r="V61" s="34">
        <v>46.3</v>
      </c>
      <c r="W61" s="40">
        <v>11.2</v>
      </c>
      <c r="X61" s="33">
        <v>23.8</v>
      </c>
      <c r="Y61" s="40">
        <v>6</v>
      </c>
      <c r="Z61" s="34">
        <v>47.6</v>
      </c>
      <c r="AA61" s="37">
        <v>11.2</v>
      </c>
    </row>
    <row r="62" spans="1:27" x14ac:dyDescent="0.2">
      <c r="A62" s="1" cm="1">
        <f t="array" ref="A62">IF(I62="","",IF(P62&lt;&gt;"",SUMPRODUCT((P$3:P$105&lt;&gt;"")*(G$3:G$105=G62)*(J$3:J$105&gt;J62)*(I$3:I$105="P"))+1,IF(O62&lt;&gt;"",SUMPRODUCT((O$3:O$105&lt;&gt;"")*(P$3:P$105="")*(G$3:G$105=G62)*(J$3:J$105&gt;J62)*(I$3:I$105="P"))+SUMPRODUCT((P$3:P$105&lt;&gt;"")*(G$3:G$105=G62)*(I$3:I$105="P"))+1,IF(N62&lt;&gt;"",SUMPRODUCT((N$3:N$105&lt;&gt;"")*(G$3:G$105=G62)*(J$3:J$105&gt;J62)*(I$3:I$105="P"))+1,IF(M62="P",SUMPRODUCT((O$3:O$105&lt;&gt;"")*(P$3:P$105="")*(G$3:G$105=G62)*(I$3:I$105="P"))+SUMPRODUCT((P$3:P$105&lt;&gt;"")*(G$3:G$105=G62)*(I$3:I$105="P"))+SUMPRODUCT((N$3:N$105&lt;&gt;"")*(G$3:G$105=G62)*(I$3:I$105="P"))+SUMPRODUCT((P$3:P$105="")*(O$3:O$105="")*(N$3:N$105="")*(M$3:M$105="P")*(G$3:G$105=G62)*(J$3:J$105&gt;J62)*(I$3:I$105="P"))+IF(H62="L5",SUMPRODUCT((P$3:P$105="")*(O$3:O$105="")*(N$3:N$105="")*(M$3:M$105="P")*(G$3:G$105=G62)*(J$3:J$105&lt;J62)*(H$3:H$105&lt;&gt;H62)*(I$3:I$105="P")),-1*SUMPRODUCT((P$3:P$105="")*(O$3:O$105="")*(N$3:N$105="")*(M$3:M$105="P")*(G$3:G$105=G62)*(J$3:J$105&gt;J62)*(H$3:H$105="L5")*(I$3:I$105="P")))+1,"")))))</f>
        <v>3</v>
      </c>
      <c r="B62" s="1" cm="1">
        <f t="array" ref="B62">IF(P62&lt;&gt;"",SUMPRODUCT((P$3:P$105&lt;&gt;"")*(G$3:G$105=G62)*(J$3:J$105&gt;J62))+1,IF(O62&lt;&gt;"",SUMPRODUCT((O$3:O$105&lt;&gt;"")*(P$3:P$105="")*(G$3:G$105=G62)*(J$3:J$105&gt;J62))+SUMPRODUCT((P$3:P$105&lt;&gt;"")*(G$3:G$105=G62))+1,IF(N62&lt;&gt;"",SUMPRODUCT((N$3:N$105&lt;&gt;"")*(G$3:G$105=G62)*(J$3:J$105&gt;J62))+1,IF(M62="P",SUMPRODUCT((O$3:O$105&lt;&gt;"")*(P$3:P$105="")*(G$3:G$105=G62))+SUMPRODUCT((P$3:P$105&lt;&gt;"")*(G$3:G$105=G62))+SUMPRODUCT((N$3:N$105&lt;&gt;"")*(G$3:G$105=G62))+SUMPRODUCT((P$3:P$105="")*(O$3:O$105="")*(N$3:N$105="")*(M$3:M$105="P")*(G$3:G$105=G62)*(J$3:J$105&gt;J62))+IF(H62="L5",SUMPRODUCT((P$3:P$105="")*(O$3:O$105="")*(N$3:N$105="")*(M$3:M$105="P")*(G$3:G$105=G62)*(J$3:J$105&lt;J62)*(H$3:H$105&lt;&gt;H62)),-1*SUMPRODUCT((P$3:P$105="")*(O$3:O$105="")*(N$3:N$105="")*(M$3:M$105="P")*(G$3:G$105=G62)*(J$3:J$105&gt;J62)*(H$3:H$105="L5")))+1,""))))</f>
        <v>3</v>
      </c>
      <c r="C62" s="36" t="s">
        <v>301</v>
      </c>
      <c r="D62" s="36" t="str">
        <f>IF(E62="","",VLOOKUP(E62,'Coaching Points'!A:B,2,0))</f>
        <v>BC</v>
      </c>
      <c r="E62" s="36" t="s">
        <v>57</v>
      </c>
      <c r="F62" s="35">
        <v>2008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9" t="s">
        <v>67</v>
      </c>
      <c r="I62" s="43" t="s">
        <v>567</v>
      </c>
      <c r="J62" s="4">
        <f>R62+S62+IF(OR(H62="Junior",H62="Senior"),0.0002,IF(OR(H62="L7",H62="L6"),0.0001,0))+MAX(X62,Z62)*0.0000001</f>
        <v>90.20010456</v>
      </c>
      <c r="K62" s="3" t="str">
        <f>IF(G62="Not Age Eligible","",IF(MAX(T62,V62,X62,Z62)&gt;=LOOKUP(G62,'Qualifying Scores'!$A$4:$A$7,'Qualifying Scores'!$G$4:$G$7),"P",""))</f>
        <v>P</v>
      </c>
      <c r="L62" s="3" t="str">
        <f>IF(G62="Not Age Eligible","",IF(MAX(U62,W62,Y62,AA62)&gt;=LOOKUP(G62,'Qualifying Scores'!$A$10:$A$13,'Qualifying Scores'!$G$10:$G$13),"P",""))</f>
        <v>P</v>
      </c>
      <c r="M62" s="3" t="str">
        <f>IF(G62="Not Age Eligible","",IF(OR(AND(T62&gt;=LOOKUP(G62,'Qualifying Scores'!$A$4:$A$7,'Qualifying Scores'!$G$4:$G$7),U62&gt;=LOOKUP(G62,'Qualifying Scores'!$A$10:$A$13,'Qualifying Scores'!$G$10:$G$13)),AND(X62&gt;=LOOKUP(G62,'Qualifying Scores'!$A$4:$A$7,'Qualifying Scores'!$G$4:$G$7),Y62&gt;=LOOKUP(G62,'Qualifying Scores'!$A$10:$A$13,'Qualifying Scores'!$G$10:$G$13)),AND(V62&gt;=LOOKUP(G62,'Qualifying Scores'!$A$4:$A$7,'Qualifying Scores'!$G$4:$G$7),W62&gt;=LOOKUP(G62,'Qualifying Scores'!$A$10:$A$13,'Qualifying Scores'!$G$10:$G$13)),AND(Z62&gt;=LOOKUP(G62,'Qualifying Scores'!$A$4:$A$7,'Qualifying Scores'!$G$4:$G$7),AA62&gt;=LOOKUP(G62,'Qualifying Scores'!$A$10:$A$13,'Qualifying Scores'!$G$10:$G$13))),"P",""))</f>
        <v>P</v>
      </c>
      <c r="Q62" s="1">
        <f>IF(A62&lt;5,IF(_xlfn.MAXIFS(A:A,G:G,G62)&gt;3,5-A62,_xlfn.MAXIFS(A:A,G:G,G62)+1-A62),"")</f>
        <v>1</v>
      </c>
      <c r="R62" s="4">
        <f>MAX(T62,X62)</f>
        <v>44.6</v>
      </c>
      <c r="S62" s="4">
        <f>IF(R62=T62,MAX(V62,X62,Z62),IF(R62=X62,MAX(T62,V62,Z62),0))</f>
        <v>45.6</v>
      </c>
      <c r="T62" s="33">
        <v>43.5</v>
      </c>
      <c r="U62" s="40">
        <v>6.1</v>
      </c>
      <c r="V62" s="34">
        <v>42.7</v>
      </c>
      <c r="W62" s="40">
        <v>6.2</v>
      </c>
      <c r="X62" s="33">
        <v>44.6</v>
      </c>
      <c r="Y62" s="40">
        <v>8.8000000000000007</v>
      </c>
      <c r="Z62" s="34">
        <v>45.6</v>
      </c>
      <c r="AA62" s="37">
        <v>8.1999999999999993</v>
      </c>
    </row>
    <row r="63" spans="1:27" x14ac:dyDescent="0.2">
      <c r="A63" s="1" t="str" cm="1">
        <f t="array" ref="A63">IF(I63="","",IF(P63&lt;&gt;"",SUMPRODUCT((P$3:P$105&lt;&gt;"")*(G$3:G$105=G63)*(J$3:J$105&gt;J63)*(I$3:I$105="P"))+1,IF(O63&lt;&gt;"",SUMPRODUCT((O$3:O$105&lt;&gt;"")*(P$3:P$105="")*(G$3:G$105=G63)*(J$3:J$105&gt;J63)*(I$3:I$105="P"))+SUMPRODUCT((P$3:P$105&lt;&gt;"")*(G$3:G$105=G63)*(I$3:I$105="P"))+1,IF(N63&lt;&gt;"",SUMPRODUCT((N$3:N$105&lt;&gt;"")*(G$3:G$105=G63)*(J$3:J$105&gt;J63)*(I$3:I$105="P"))+1,IF(M63="P",SUMPRODUCT((O$3:O$105&lt;&gt;"")*(P$3:P$105="")*(G$3:G$105=G63)*(I$3:I$105="P"))+SUMPRODUCT((P$3:P$105&lt;&gt;"")*(G$3:G$105=G63)*(I$3:I$105="P"))+SUMPRODUCT((N$3:N$105&lt;&gt;"")*(G$3:G$105=G63)*(I$3:I$105="P"))+SUMPRODUCT((P$3:P$105="")*(O$3:O$105="")*(N$3:N$105="")*(M$3:M$105="P")*(G$3:G$105=G63)*(J$3:J$105&gt;J63)*(I$3:I$105="P"))+IF(H63="L5",SUMPRODUCT((P$3:P$105="")*(O$3:O$105="")*(N$3:N$105="")*(M$3:M$105="P")*(G$3:G$105=G63)*(J$3:J$105&lt;J63)*(H$3:H$105&lt;&gt;H63)*(I$3:I$105="P")),-1*SUMPRODUCT((P$3:P$105="")*(O$3:O$105="")*(N$3:N$105="")*(M$3:M$105="P")*(G$3:G$105=G63)*(J$3:J$105&gt;J63)*(H$3:H$105="L5")*(I$3:I$105="P")))+1,"")))))</f>
        <v/>
      </c>
      <c r="B63" s="1" t="str" cm="1">
        <f t="array" ref="B63">IF(P63&lt;&gt;"",SUMPRODUCT((P$3:P$105&lt;&gt;"")*(G$3:G$105=G63)*(J$3:J$105&gt;J63))+1,IF(O63&lt;&gt;"",SUMPRODUCT((O$3:O$105&lt;&gt;"")*(P$3:P$105="")*(G$3:G$105=G63)*(J$3:J$105&gt;J63))+SUMPRODUCT((P$3:P$105&lt;&gt;"")*(G$3:G$105=G63))+1,IF(N63&lt;&gt;"",SUMPRODUCT((N$3:N$105&lt;&gt;"")*(G$3:G$105=G63)*(J$3:J$105&gt;J63))+1,IF(M63="P",SUMPRODUCT((O$3:O$105&lt;&gt;"")*(P$3:P$105="")*(G$3:G$105=G63))+SUMPRODUCT((P$3:P$105&lt;&gt;"")*(G$3:G$105=G63))+SUMPRODUCT((N$3:N$105&lt;&gt;"")*(G$3:G$105=G63))+SUMPRODUCT((P$3:P$105="")*(O$3:O$105="")*(N$3:N$105="")*(M$3:M$105="P")*(G$3:G$105=G63)*(J$3:J$105&gt;J63))+IF(H63="L5",SUMPRODUCT((P$3:P$105="")*(O$3:O$105="")*(N$3:N$105="")*(M$3:M$105="P")*(G$3:G$105=G63)*(J$3:J$105&lt;J63)*(H$3:H$105&lt;&gt;H63)),-1*SUMPRODUCT((P$3:P$105="")*(O$3:O$105="")*(N$3:N$105="")*(M$3:M$105="P")*(G$3:G$105=G63)*(J$3:J$105&gt;J63)*(H$3:H$105="L5")))+1,""))))</f>
        <v/>
      </c>
      <c r="C63" s="36" t="s">
        <v>117</v>
      </c>
      <c r="D63" s="36" t="str">
        <f>IF(E63="","",VLOOKUP(E63,'Coaching Points'!A:B,2,0))</f>
        <v>AB</v>
      </c>
      <c r="E63" s="36" t="s">
        <v>64</v>
      </c>
      <c r="F63" s="35">
        <v>2008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9" t="s">
        <v>67</v>
      </c>
      <c r="I63" s="43" t="s">
        <v>567</v>
      </c>
      <c r="J63" s="4">
        <f>R63+S63+IF(OR(H63="Junior",H63="Senior"),0.0002,IF(OR(H63="L7",H63="L6"),0.0001,0))+MAX(X63,Z63)*0.0000001</f>
        <v>89.700104500000009</v>
      </c>
      <c r="K63" s="3" t="str">
        <f>IF(G63="Not Age Eligible","",IF(MAX(T63,V63,X63,Z63)&gt;=LOOKUP(G63,'Qualifying Scores'!$A$4:$A$7,'Qualifying Scores'!$G$4:$G$7),"P",""))</f>
        <v/>
      </c>
      <c r="L63" s="3" t="str">
        <f>IF(G63="Not Age Eligible","",IF(MAX(U63,W63,Y63,AA63)&gt;=LOOKUP(G63,'Qualifying Scores'!$A$10:$A$13,'Qualifying Scores'!$G$10:$G$13),"P",""))</f>
        <v/>
      </c>
      <c r="M63" s="3" t="str">
        <f>IF(G63="Not Age Eligible","",IF(OR(AND(T63&gt;=LOOKUP(G63,'Qualifying Scores'!$A$4:$A$7,'Qualifying Scores'!$G$4:$G$7),U63&gt;=LOOKUP(G63,'Qualifying Scores'!$A$10:$A$13,'Qualifying Scores'!$G$10:$G$13)),AND(X63&gt;=LOOKUP(G63,'Qualifying Scores'!$A$4:$A$7,'Qualifying Scores'!$G$4:$G$7),Y63&gt;=LOOKUP(G63,'Qualifying Scores'!$A$10:$A$13,'Qualifying Scores'!$G$10:$G$13)),AND(V63&gt;=LOOKUP(G63,'Qualifying Scores'!$A$4:$A$7,'Qualifying Scores'!$G$4:$G$7),W63&gt;=LOOKUP(G63,'Qualifying Scores'!$A$10:$A$13,'Qualifying Scores'!$G$10:$G$13)),AND(Z63&gt;=LOOKUP(G63,'Qualifying Scores'!$A$4:$A$7,'Qualifying Scores'!$G$4:$G$7),AA63&gt;=LOOKUP(G63,'Qualifying Scores'!$A$10:$A$13,'Qualifying Scores'!$G$10:$G$13))),"P",""))</f>
        <v/>
      </c>
      <c r="Q63" s="1" t="str">
        <f>IF(A63&lt;5,IF(_xlfn.MAXIFS(A:A,G:G,G63)&gt;3,5-A63,_xlfn.MAXIFS(A:A,G:G,G63)+1-A63),"")</f>
        <v/>
      </c>
      <c r="R63" s="4">
        <f>MAX(T63,X63)</f>
        <v>44.7</v>
      </c>
      <c r="S63" s="4">
        <f>IF(R63=T63,MAX(V63,X63,Z63),IF(R63=X63,MAX(T63,V63,Z63),0))</f>
        <v>45</v>
      </c>
      <c r="T63" s="33">
        <v>43.5</v>
      </c>
      <c r="U63" s="40">
        <v>6.4</v>
      </c>
      <c r="V63" s="34">
        <v>41.2</v>
      </c>
      <c r="W63" s="40">
        <v>4.7</v>
      </c>
      <c r="X63" s="33">
        <v>44.7</v>
      </c>
      <c r="Y63" s="40">
        <v>7.8000000000000007</v>
      </c>
      <c r="Z63" s="34">
        <v>45</v>
      </c>
      <c r="AA63" s="37">
        <v>7.1</v>
      </c>
    </row>
    <row r="64" spans="1:27" x14ac:dyDescent="0.2">
      <c r="A64" s="1" t="str" cm="1">
        <f t="array" ref="A64">IF(I64="","",IF(P64&lt;&gt;"",SUMPRODUCT((P$3:P$105&lt;&gt;"")*(G$3:G$105=G64)*(J$3:J$105&gt;J64)*(I$3:I$105="P"))+1,IF(O64&lt;&gt;"",SUMPRODUCT((O$3:O$105&lt;&gt;"")*(P$3:P$105="")*(G$3:G$105=G64)*(J$3:J$105&gt;J64)*(I$3:I$105="P"))+SUMPRODUCT((P$3:P$105&lt;&gt;"")*(G$3:G$105=G64)*(I$3:I$105="P"))+1,IF(N64&lt;&gt;"",SUMPRODUCT((N$3:N$105&lt;&gt;"")*(G$3:G$105=G64)*(J$3:J$105&gt;J64)*(I$3:I$105="P"))+1,IF(M64="P",SUMPRODUCT((O$3:O$105&lt;&gt;"")*(P$3:P$105="")*(G$3:G$105=G64)*(I$3:I$105="P"))+SUMPRODUCT((P$3:P$105&lt;&gt;"")*(G$3:G$105=G64)*(I$3:I$105="P"))+SUMPRODUCT((N$3:N$105&lt;&gt;"")*(G$3:G$105=G64)*(I$3:I$105="P"))+SUMPRODUCT((P$3:P$105="")*(O$3:O$105="")*(N$3:N$105="")*(M$3:M$105="P")*(G$3:G$105=G64)*(J$3:J$105&gt;J64)*(I$3:I$105="P"))+IF(H64="L5",SUMPRODUCT((P$3:P$105="")*(O$3:O$105="")*(N$3:N$105="")*(M$3:M$105="P")*(G$3:G$105=G64)*(J$3:J$105&lt;J64)*(H$3:H$105&lt;&gt;H64)*(I$3:I$105="P")),-1*SUMPRODUCT((P$3:P$105="")*(O$3:O$105="")*(N$3:N$105="")*(M$3:M$105="P")*(G$3:G$105=G64)*(J$3:J$105&gt;J64)*(H$3:H$105="L5")*(I$3:I$105="P")))+1,"")))))</f>
        <v/>
      </c>
      <c r="B64" s="1" t="str" cm="1">
        <f t="array" ref="B64">IF(P64&lt;&gt;"",SUMPRODUCT((P$3:P$105&lt;&gt;"")*(G$3:G$105=G64)*(J$3:J$105&gt;J64))+1,IF(O64&lt;&gt;"",SUMPRODUCT((O$3:O$105&lt;&gt;"")*(P$3:P$105="")*(G$3:G$105=G64)*(J$3:J$105&gt;J64))+SUMPRODUCT((P$3:P$105&lt;&gt;"")*(G$3:G$105=G64))+1,IF(N64&lt;&gt;"",SUMPRODUCT((N$3:N$105&lt;&gt;"")*(G$3:G$105=G64)*(J$3:J$105&gt;J64))+1,IF(M64="P",SUMPRODUCT((O$3:O$105&lt;&gt;"")*(P$3:P$105="")*(G$3:G$105=G64))+SUMPRODUCT((P$3:P$105&lt;&gt;"")*(G$3:G$105=G64))+SUMPRODUCT((N$3:N$105&lt;&gt;"")*(G$3:G$105=G64))+SUMPRODUCT((P$3:P$105="")*(O$3:O$105="")*(N$3:N$105="")*(M$3:M$105="P")*(G$3:G$105=G64)*(J$3:J$105&gt;J64))+IF(H64="L5",SUMPRODUCT((P$3:P$105="")*(O$3:O$105="")*(N$3:N$105="")*(M$3:M$105="P")*(G$3:G$105=G64)*(J$3:J$105&lt;J64)*(H$3:H$105&lt;&gt;H64)),-1*SUMPRODUCT((P$3:P$105="")*(O$3:O$105="")*(N$3:N$105="")*(M$3:M$105="P")*(G$3:G$105=G64)*(J$3:J$105&gt;J64)*(H$3:H$105="L5")))+1,""))))</f>
        <v/>
      </c>
      <c r="C64" s="36" t="s">
        <v>120</v>
      </c>
      <c r="D64" s="36" t="str">
        <f>IF(E64="","",VLOOKUP(E64,'Coaching Points'!A:B,2,0))</f>
        <v>AB</v>
      </c>
      <c r="E64" s="36" t="s">
        <v>29</v>
      </c>
      <c r="F64" s="35">
        <v>2007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67</v>
      </c>
      <c r="I64" s="43" t="s">
        <v>567</v>
      </c>
      <c r="J64" s="4">
        <f>R64+S64+IF(OR(H64="Junior",H64="Senior"),0.0002,IF(OR(H64="L7",H64="L6"),0.0001,0))+MAX(X64,Z64)*0.0000001</f>
        <v>89.400104520000014</v>
      </c>
      <c r="K64" s="3" t="str">
        <f>IF(G64="Not Age Eligible","",IF(MAX(T64,V64,X64,Z64)&gt;=LOOKUP(G64,'Qualifying Scores'!$A$4:$A$7,'Qualifying Scores'!$G$4:$G$7),"P",""))</f>
        <v/>
      </c>
      <c r="L64" s="3" t="str">
        <f>IF(G64="Not Age Eligible","",IF(MAX(U64,W64,Y64,AA64)&gt;=LOOKUP(G64,'Qualifying Scores'!$A$10:$A$13,'Qualifying Scores'!$G$10:$G$13),"P",""))</f>
        <v>P</v>
      </c>
      <c r="M64" s="3" t="str">
        <f>IF(G64="Not Age Eligible","",IF(OR(AND(T64&gt;=LOOKUP(G64,'Qualifying Scores'!$A$4:$A$7,'Qualifying Scores'!$G$4:$G$7),U64&gt;=LOOKUP(G64,'Qualifying Scores'!$A$10:$A$13,'Qualifying Scores'!$G$10:$G$13)),AND(X64&gt;=LOOKUP(G64,'Qualifying Scores'!$A$4:$A$7,'Qualifying Scores'!$G$4:$G$7),Y64&gt;=LOOKUP(G64,'Qualifying Scores'!$A$10:$A$13,'Qualifying Scores'!$G$10:$G$13)),AND(V64&gt;=LOOKUP(G64,'Qualifying Scores'!$A$4:$A$7,'Qualifying Scores'!$G$4:$G$7),W64&gt;=LOOKUP(G64,'Qualifying Scores'!$A$10:$A$13,'Qualifying Scores'!$G$10:$G$13)),AND(Z64&gt;=LOOKUP(G64,'Qualifying Scores'!$A$4:$A$7,'Qualifying Scores'!$G$4:$G$7),AA64&gt;=LOOKUP(G64,'Qualifying Scores'!$A$10:$A$13,'Qualifying Scores'!$G$10:$G$13))),"P",""))</f>
        <v/>
      </c>
      <c r="Q64" s="1" t="str">
        <f>IF(A64&lt;5,IF(_xlfn.MAXIFS(A:A,G:G,G64)&gt;3,5-A64,_xlfn.MAXIFS(A:A,G:G,G64)+1-A64),"")</f>
        <v/>
      </c>
      <c r="R64" s="4">
        <f>MAX(T64,X64)</f>
        <v>45.2</v>
      </c>
      <c r="S64" s="4">
        <f>IF(R64=T64,MAX(V64,X64,Z64),IF(R64=X64,MAX(T64,V64,Z64),0))</f>
        <v>44.2</v>
      </c>
      <c r="T64" s="33">
        <v>44.1</v>
      </c>
      <c r="U64" s="40">
        <v>8.4</v>
      </c>
      <c r="V64" s="34">
        <v>44.2</v>
      </c>
      <c r="W64" s="40">
        <v>8.1000000000000014</v>
      </c>
      <c r="X64" s="33">
        <v>45.2</v>
      </c>
      <c r="Y64" s="40">
        <v>10</v>
      </c>
      <c r="Z64" s="34">
        <v>42.2</v>
      </c>
      <c r="AA64" s="37">
        <v>6.6999999999999993</v>
      </c>
    </row>
    <row r="65" spans="1:27" x14ac:dyDescent="0.2">
      <c r="A65" s="1" t="str" cm="1">
        <f t="array" ref="A65">IF(I65="","",IF(P65&lt;&gt;"",SUMPRODUCT((P$3:P$105&lt;&gt;"")*(G$3:G$105=G65)*(J$3:J$105&gt;J65)*(I$3:I$105="P"))+1,IF(O65&lt;&gt;"",SUMPRODUCT((O$3:O$105&lt;&gt;"")*(P$3:P$105="")*(G$3:G$105=G65)*(J$3:J$105&gt;J65)*(I$3:I$105="P"))+SUMPRODUCT((P$3:P$105&lt;&gt;"")*(G$3:G$105=G65)*(I$3:I$105="P"))+1,IF(N65&lt;&gt;"",SUMPRODUCT((N$3:N$105&lt;&gt;"")*(G$3:G$105=G65)*(J$3:J$105&gt;J65)*(I$3:I$105="P"))+1,IF(M65="P",SUMPRODUCT((O$3:O$105&lt;&gt;"")*(P$3:P$105="")*(G$3:G$105=G65)*(I$3:I$105="P"))+SUMPRODUCT((P$3:P$105&lt;&gt;"")*(G$3:G$105=G65)*(I$3:I$105="P"))+SUMPRODUCT((N$3:N$105&lt;&gt;"")*(G$3:G$105=G65)*(I$3:I$105="P"))+SUMPRODUCT((P$3:P$105="")*(O$3:O$105="")*(N$3:N$105="")*(M$3:M$105="P")*(G$3:G$105=G65)*(J$3:J$105&gt;J65)*(I$3:I$105="P"))+IF(H65="L5",SUMPRODUCT((P$3:P$105="")*(O$3:O$105="")*(N$3:N$105="")*(M$3:M$105="P")*(G$3:G$105=G65)*(J$3:J$105&lt;J65)*(H$3:H$105&lt;&gt;H65)*(I$3:I$105="P")),-1*SUMPRODUCT((P$3:P$105="")*(O$3:O$105="")*(N$3:N$105="")*(M$3:M$105="P")*(G$3:G$105=G65)*(J$3:J$105&gt;J65)*(H$3:H$105="L5")*(I$3:I$105="P")))+1,"")))))</f>
        <v/>
      </c>
      <c r="B65" s="1" t="str" cm="1">
        <f t="array" ref="B65">IF(P65&lt;&gt;"",SUMPRODUCT((P$3:P$105&lt;&gt;"")*(G$3:G$105=G65)*(J$3:J$105&gt;J65))+1,IF(O65&lt;&gt;"",SUMPRODUCT((O$3:O$105&lt;&gt;"")*(P$3:P$105="")*(G$3:G$105=G65)*(J$3:J$105&gt;J65))+SUMPRODUCT((P$3:P$105&lt;&gt;"")*(G$3:G$105=G65))+1,IF(N65&lt;&gt;"",SUMPRODUCT((N$3:N$105&lt;&gt;"")*(G$3:G$105=G65)*(J$3:J$105&gt;J65))+1,IF(M65="P",SUMPRODUCT((O$3:O$105&lt;&gt;"")*(P$3:P$105="")*(G$3:G$105=G65))+SUMPRODUCT((P$3:P$105&lt;&gt;"")*(G$3:G$105=G65))+SUMPRODUCT((N$3:N$105&lt;&gt;"")*(G$3:G$105=G65))+SUMPRODUCT((P$3:P$105="")*(O$3:O$105="")*(N$3:N$105="")*(M$3:M$105="P")*(G$3:G$105=G65)*(J$3:J$105&gt;J65))+IF(H65="L5",SUMPRODUCT((P$3:P$105="")*(O$3:O$105="")*(N$3:N$105="")*(M$3:M$105="P")*(G$3:G$105=G65)*(J$3:J$105&lt;J65)*(H$3:H$105&lt;&gt;H65)),-1*SUMPRODUCT((P$3:P$105="")*(O$3:O$105="")*(N$3:N$105="")*(M$3:M$105="P")*(G$3:G$105=G65)*(J$3:J$105&gt;J65)*(H$3:H$105="L5")))+1,""))))</f>
        <v/>
      </c>
      <c r="C65" s="36" t="s">
        <v>303</v>
      </c>
      <c r="D65" s="36" t="str">
        <f>IF(E65="","",VLOOKUP(E65,'Coaching Points'!A:B,2,0))</f>
        <v>AB</v>
      </c>
      <c r="E65" s="36" t="s">
        <v>40</v>
      </c>
      <c r="F65" s="35">
        <v>2008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66</v>
      </c>
      <c r="I65" s="43"/>
      <c r="J65" s="4">
        <f>R65+S65+IF(OR(H65="Junior",H65="Senior"),0.0002,IF(OR(H65="L7",H65="L6"),0.0001,0))+MAX(X65,Z65)*0.0000001</f>
        <v>88.200004419999999</v>
      </c>
      <c r="K65" s="3" t="str">
        <f>IF(G65="Not Age Eligible","",IF(MAX(T65,V65,X65,Z65)&gt;=LOOKUP(G65,'Qualifying Scores'!$A$4:$A$7,'Qualifying Scores'!$G$4:$G$7),"P",""))</f>
        <v/>
      </c>
      <c r="L65" s="3" t="str">
        <f>IF(G65="Not Age Eligible","",IF(MAX(U65,W65,Y65,AA65)&gt;=LOOKUP(G65,'Qualifying Scores'!$A$10:$A$13,'Qualifying Scores'!$G$10:$G$13),"P",""))</f>
        <v>P</v>
      </c>
      <c r="M65" s="3" t="str">
        <f>IF(G65="Not Age Eligible","",IF(OR(AND(T65&gt;=LOOKUP(G65,'Qualifying Scores'!$A$4:$A$7,'Qualifying Scores'!$G$4:$G$7),U65&gt;=LOOKUP(G65,'Qualifying Scores'!$A$10:$A$13,'Qualifying Scores'!$G$10:$G$13)),AND(X65&gt;=LOOKUP(G65,'Qualifying Scores'!$A$4:$A$7,'Qualifying Scores'!$G$4:$G$7),Y65&gt;=LOOKUP(G65,'Qualifying Scores'!$A$10:$A$13,'Qualifying Scores'!$G$10:$G$13)),AND(V65&gt;=LOOKUP(G65,'Qualifying Scores'!$A$4:$A$7,'Qualifying Scores'!$G$4:$G$7),W65&gt;=LOOKUP(G65,'Qualifying Scores'!$A$10:$A$13,'Qualifying Scores'!$G$10:$G$13)),AND(Z65&gt;=LOOKUP(G65,'Qualifying Scores'!$A$4:$A$7,'Qualifying Scores'!$G$4:$G$7),AA65&gt;=LOOKUP(G65,'Qualifying Scores'!$A$10:$A$13,'Qualifying Scores'!$G$10:$G$13))),"P",""))</f>
        <v/>
      </c>
      <c r="Q65" s="1" t="str">
        <f>IF(A65&lt;5,IF(_xlfn.MAXIFS(A:A,G:G,G65)&gt;3,5-A65,_xlfn.MAXIFS(A:A,G:G,G65)+1-A65),"")</f>
        <v/>
      </c>
      <c r="R65" s="4">
        <f>MAX(T65,X65)</f>
        <v>44.2</v>
      </c>
      <c r="S65" s="4">
        <f>IF(R65=T65,MAX(V65,X65,Z65),IF(R65=X65,MAX(T65,V65,Z65),0))</f>
        <v>44</v>
      </c>
      <c r="T65" s="33">
        <v>41.6</v>
      </c>
      <c r="U65" s="40">
        <v>4.8000000000000007</v>
      </c>
      <c r="V65" s="34">
        <v>41</v>
      </c>
      <c r="W65" s="40">
        <v>5.6999999999999993</v>
      </c>
      <c r="X65" s="33">
        <v>44.2</v>
      </c>
      <c r="Y65" s="40">
        <v>8</v>
      </c>
      <c r="Z65" s="34">
        <v>44</v>
      </c>
      <c r="AA65" s="37">
        <v>6.5</v>
      </c>
    </row>
    <row r="66" spans="1:27" x14ac:dyDescent="0.2">
      <c r="A66" s="1" t="str" cm="1">
        <f t="array" ref="A66">IF(I66="","",IF(P66&lt;&gt;"",SUMPRODUCT((P$3:P$105&lt;&gt;"")*(G$3:G$105=G66)*(J$3:J$105&gt;J66)*(I$3:I$105="P"))+1,IF(O66&lt;&gt;"",SUMPRODUCT((O$3:O$105&lt;&gt;"")*(P$3:P$105="")*(G$3:G$105=G66)*(J$3:J$105&gt;J66)*(I$3:I$105="P"))+SUMPRODUCT((P$3:P$105&lt;&gt;"")*(G$3:G$105=G66)*(I$3:I$105="P"))+1,IF(N66&lt;&gt;"",SUMPRODUCT((N$3:N$105&lt;&gt;"")*(G$3:G$105=G66)*(J$3:J$105&gt;J66)*(I$3:I$105="P"))+1,IF(M66="P",SUMPRODUCT((O$3:O$105&lt;&gt;"")*(P$3:P$105="")*(G$3:G$105=G66)*(I$3:I$105="P"))+SUMPRODUCT((P$3:P$105&lt;&gt;"")*(G$3:G$105=G66)*(I$3:I$105="P"))+SUMPRODUCT((N$3:N$105&lt;&gt;"")*(G$3:G$105=G66)*(I$3:I$105="P"))+SUMPRODUCT((P$3:P$105="")*(O$3:O$105="")*(N$3:N$105="")*(M$3:M$105="P")*(G$3:G$105=G66)*(J$3:J$105&gt;J66)*(I$3:I$105="P"))+IF(H66="L5",SUMPRODUCT((P$3:P$105="")*(O$3:O$105="")*(N$3:N$105="")*(M$3:M$105="P")*(G$3:G$105=G66)*(J$3:J$105&lt;J66)*(H$3:H$105&lt;&gt;H66)*(I$3:I$105="P")),-1*SUMPRODUCT((P$3:P$105="")*(O$3:O$105="")*(N$3:N$105="")*(M$3:M$105="P")*(G$3:G$105=G66)*(J$3:J$105&gt;J66)*(H$3:H$105="L5")*(I$3:I$105="P")))+1,"")))))</f>
        <v/>
      </c>
      <c r="B66" s="1" t="str" cm="1">
        <f t="array" ref="B66">IF(P66&lt;&gt;"",SUMPRODUCT((P$3:P$105&lt;&gt;"")*(G$3:G$105=G66)*(J$3:J$105&gt;J66))+1,IF(O66&lt;&gt;"",SUMPRODUCT((O$3:O$105&lt;&gt;"")*(P$3:P$105="")*(G$3:G$105=G66)*(J$3:J$105&gt;J66))+SUMPRODUCT((P$3:P$105&lt;&gt;"")*(G$3:G$105=G66))+1,IF(N66&lt;&gt;"",SUMPRODUCT((N$3:N$105&lt;&gt;"")*(G$3:G$105=G66)*(J$3:J$105&gt;J66))+1,IF(M66="P",SUMPRODUCT((O$3:O$105&lt;&gt;"")*(P$3:P$105="")*(G$3:G$105=G66))+SUMPRODUCT((P$3:P$105&lt;&gt;"")*(G$3:G$105=G66))+SUMPRODUCT((N$3:N$105&lt;&gt;"")*(G$3:G$105=G66))+SUMPRODUCT((P$3:P$105="")*(O$3:O$105="")*(N$3:N$105="")*(M$3:M$105="P")*(G$3:G$105=G66)*(J$3:J$105&gt;J66))+IF(H66="L5",SUMPRODUCT((P$3:P$105="")*(O$3:O$105="")*(N$3:N$105="")*(M$3:M$105="P")*(G$3:G$105=G66)*(J$3:J$105&lt;J66)*(H$3:H$105&lt;&gt;H66)),-1*SUMPRODUCT((P$3:P$105="")*(O$3:O$105="")*(N$3:N$105="")*(M$3:M$105="P")*(G$3:G$105=G66)*(J$3:J$105&gt;J66)*(H$3:H$105="L5")))+1,""))))</f>
        <v/>
      </c>
      <c r="C66" s="36" t="s">
        <v>152</v>
      </c>
      <c r="D66" s="36" t="s">
        <v>195</v>
      </c>
      <c r="E66" s="36" t="s">
        <v>45</v>
      </c>
      <c r="F66" s="35">
        <v>2007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9" t="s">
        <v>67</v>
      </c>
      <c r="I66" s="43" t="s">
        <v>567</v>
      </c>
      <c r="J66" s="4">
        <f>R66+S66+IF(OR(H66="Junior",H66="Senior"),0.0002,IF(OR(H66="L7",H66="L6"),0.0001,0))+MAX(X66,Z66)*0.0000001</f>
        <v>88.100104430000002</v>
      </c>
      <c r="K66" s="3" t="str">
        <f>IF(G66="Not Age Eligible","",IF(MAX(T66,V66,X66,Z66)&gt;=LOOKUP(G66,'Qualifying Scores'!$A$4:$A$7,'Qualifying Scores'!$G$4:$G$7),"P",""))</f>
        <v/>
      </c>
      <c r="L66" s="3" t="str">
        <f>IF(G66="Not Age Eligible","",IF(MAX(U66,W66,Y66,AA66)&gt;=LOOKUP(G66,'Qualifying Scores'!$A$10:$A$13,'Qualifying Scores'!$G$10:$G$13),"P",""))</f>
        <v/>
      </c>
      <c r="M66" s="3" t="str">
        <f>IF(G66="Not Age Eligible","",IF(OR(AND(T66&gt;=LOOKUP(G66,'Qualifying Scores'!$A$4:$A$7,'Qualifying Scores'!$G$4:$G$7),U66&gt;=LOOKUP(G66,'Qualifying Scores'!$A$10:$A$13,'Qualifying Scores'!$G$10:$G$13)),AND(X66&gt;=LOOKUP(G66,'Qualifying Scores'!$A$4:$A$7,'Qualifying Scores'!$G$4:$G$7),Y66&gt;=LOOKUP(G66,'Qualifying Scores'!$A$10:$A$13,'Qualifying Scores'!$G$10:$G$13)),AND(V66&gt;=LOOKUP(G66,'Qualifying Scores'!$A$4:$A$7,'Qualifying Scores'!$G$4:$G$7),W66&gt;=LOOKUP(G66,'Qualifying Scores'!$A$10:$A$13,'Qualifying Scores'!$G$10:$G$13)),AND(Z66&gt;=LOOKUP(G66,'Qualifying Scores'!$A$4:$A$7,'Qualifying Scores'!$G$4:$G$7),AA66&gt;=LOOKUP(G66,'Qualifying Scores'!$A$10:$A$13,'Qualifying Scores'!$G$10:$G$13))),"P",""))</f>
        <v/>
      </c>
      <c r="Q66" s="1" t="str">
        <f>IF(A66&lt;5,IF(_xlfn.MAXIFS(A:A,G:G,G66)&gt;3,5-A66,_xlfn.MAXIFS(A:A,G:G,G66)+1-A66),"")</f>
        <v/>
      </c>
      <c r="R66" s="4">
        <f>MAX(T66,X66)</f>
        <v>43.8</v>
      </c>
      <c r="S66" s="4">
        <f>IF(R66=T66,MAX(V66,X66,Z66),IF(R66=X66,MAX(T66,V66,Z66),0))</f>
        <v>44.3</v>
      </c>
      <c r="T66" s="33">
        <v>43.3</v>
      </c>
      <c r="U66" s="40">
        <v>6.3000000000000007</v>
      </c>
      <c r="V66" s="34">
        <v>37.9</v>
      </c>
      <c r="W66" s="40">
        <v>4</v>
      </c>
      <c r="X66" s="33">
        <v>43.8</v>
      </c>
      <c r="Y66" s="40">
        <v>6.3000000000000007</v>
      </c>
      <c r="Z66" s="34">
        <v>44.3</v>
      </c>
      <c r="AA66" s="37">
        <v>6.8</v>
      </c>
    </row>
    <row r="67" spans="1:27" x14ac:dyDescent="0.2">
      <c r="A67" s="1" t="str" cm="1">
        <f t="array" ref="A67">IF(I67="","",IF(P67&lt;&gt;"",SUMPRODUCT((P$3:P$105&lt;&gt;"")*(G$3:G$105=G67)*(J$3:J$105&gt;J67)*(I$3:I$105="P"))+1,IF(O67&lt;&gt;"",SUMPRODUCT((O$3:O$105&lt;&gt;"")*(P$3:P$105="")*(G$3:G$105=G67)*(J$3:J$105&gt;J67)*(I$3:I$105="P"))+SUMPRODUCT((P$3:P$105&lt;&gt;"")*(G$3:G$105=G67)*(I$3:I$105="P"))+1,IF(N67&lt;&gt;"",SUMPRODUCT((N$3:N$105&lt;&gt;"")*(G$3:G$105=G67)*(J$3:J$105&gt;J67)*(I$3:I$105="P"))+1,IF(M67="P",SUMPRODUCT((O$3:O$105&lt;&gt;"")*(P$3:P$105="")*(G$3:G$105=G67)*(I$3:I$105="P"))+SUMPRODUCT((P$3:P$105&lt;&gt;"")*(G$3:G$105=G67)*(I$3:I$105="P"))+SUMPRODUCT((N$3:N$105&lt;&gt;"")*(G$3:G$105=G67)*(I$3:I$105="P"))+SUMPRODUCT((P$3:P$105="")*(O$3:O$105="")*(N$3:N$105="")*(M$3:M$105="P")*(G$3:G$105=G67)*(J$3:J$105&gt;J67)*(I$3:I$105="P"))+IF(H67="L5",SUMPRODUCT((P$3:P$105="")*(O$3:O$105="")*(N$3:N$105="")*(M$3:M$105="P")*(G$3:G$105=G67)*(J$3:J$105&lt;J67)*(H$3:H$105&lt;&gt;H67)*(I$3:I$105="P")),-1*SUMPRODUCT((P$3:P$105="")*(O$3:O$105="")*(N$3:N$105="")*(M$3:M$105="P")*(G$3:G$105=G67)*(J$3:J$105&gt;J67)*(H$3:H$105="L5")*(I$3:I$105="P")))+1,"")))))</f>
        <v/>
      </c>
      <c r="B67" s="1" t="str" cm="1">
        <f t="array" ref="B67">IF(P67&lt;&gt;"",SUMPRODUCT((P$3:P$105&lt;&gt;"")*(G$3:G$105=G67)*(J$3:J$105&gt;J67))+1,IF(O67&lt;&gt;"",SUMPRODUCT((O$3:O$105&lt;&gt;"")*(P$3:P$105="")*(G$3:G$105=G67)*(J$3:J$105&gt;J67))+SUMPRODUCT((P$3:P$105&lt;&gt;"")*(G$3:G$105=G67))+1,IF(N67&lt;&gt;"",SUMPRODUCT((N$3:N$105&lt;&gt;"")*(G$3:G$105=G67)*(J$3:J$105&gt;J67))+1,IF(M67="P",SUMPRODUCT((O$3:O$105&lt;&gt;"")*(P$3:P$105="")*(G$3:G$105=G67))+SUMPRODUCT((P$3:P$105&lt;&gt;"")*(G$3:G$105=G67))+SUMPRODUCT((N$3:N$105&lt;&gt;"")*(G$3:G$105=G67))+SUMPRODUCT((P$3:P$105="")*(O$3:O$105="")*(N$3:N$105="")*(M$3:M$105="P")*(G$3:G$105=G67)*(J$3:J$105&gt;J67))+IF(H67="L5",SUMPRODUCT((P$3:P$105="")*(O$3:O$105="")*(N$3:N$105="")*(M$3:M$105="P")*(G$3:G$105=G67)*(J$3:J$105&lt;J67)*(H$3:H$105&lt;&gt;H67)),-1*SUMPRODUCT((P$3:P$105="")*(O$3:O$105="")*(N$3:N$105="")*(M$3:M$105="P")*(G$3:G$105=G67)*(J$3:J$105&gt;J67)*(H$3:H$105="L5")))+1,""))))</f>
        <v/>
      </c>
      <c r="C67" s="36" t="s">
        <v>562</v>
      </c>
      <c r="D67" s="36" t="str">
        <f>IF(E67="","",VLOOKUP(E67,'Coaching Points'!A:B,2,0))</f>
        <v>AB</v>
      </c>
      <c r="E67" s="36" t="s">
        <v>309</v>
      </c>
      <c r="F67" s="35">
        <v>2007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9" t="s">
        <v>66</v>
      </c>
      <c r="I67" s="43"/>
      <c r="J67" s="4">
        <f>R67+S67+IF(OR(H67="Junior",H67="Senior"),0.0002,IF(OR(H67="L7",H67="L6"),0.0001,0))+MAX(X67,Z67)*0.0000001</f>
        <v>87.400004370000005</v>
      </c>
      <c r="K67" s="3" t="str">
        <f>IF(G67="Not Age Eligible","",IF(MAX(T67,V67,X67,Z67)&gt;=LOOKUP(G67,'Qualifying Scores'!$A$4:$A$7,'Qualifying Scores'!$G$4:$G$7),"P",""))</f>
        <v/>
      </c>
      <c r="L67" s="3" t="str">
        <f>IF(G67="Not Age Eligible","",IF(MAX(U67,W67,Y67,AA67)&gt;=LOOKUP(G67,'Qualifying Scores'!$A$10:$A$13,'Qualifying Scores'!$G$10:$G$13),"P",""))</f>
        <v/>
      </c>
      <c r="M67" s="3" t="str">
        <f>IF(G67="Not Age Eligible","",IF(OR(AND(T67&gt;=LOOKUP(G67,'Qualifying Scores'!$A$4:$A$7,'Qualifying Scores'!$G$4:$G$7),U67&gt;=LOOKUP(G67,'Qualifying Scores'!$A$10:$A$13,'Qualifying Scores'!$G$10:$G$13)),AND(X67&gt;=LOOKUP(G67,'Qualifying Scores'!$A$4:$A$7,'Qualifying Scores'!$G$4:$G$7),Y67&gt;=LOOKUP(G67,'Qualifying Scores'!$A$10:$A$13,'Qualifying Scores'!$G$10:$G$13)),AND(V67&gt;=LOOKUP(G67,'Qualifying Scores'!$A$4:$A$7,'Qualifying Scores'!$G$4:$G$7),W67&gt;=LOOKUP(G67,'Qualifying Scores'!$A$10:$A$13,'Qualifying Scores'!$G$10:$G$13)),AND(Z67&gt;=LOOKUP(G67,'Qualifying Scores'!$A$4:$A$7,'Qualifying Scores'!$G$4:$G$7),AA67&gt;=LOOKUP(G67,'Qualifying Scores'!$A$10:$A$13,'Qualifying Scores'!$G$10:$G$13))),"P",""))</f>
        <v/>
      </c>
      <c r="Q67" s="1" t="str">
        <f>IF(A67&lt;5,IF(_xlfn.MAXIFS(A:A,G:G,G67)&gt;3,5-A67,_xlfn.MAXIFS(A:A,G:G,G67)+1-A67),"")</f>
        <v/>
      </c>
      <c r="R67" s="4">
        <f>MAX(T67,X67)</f>
        <v>43.7</v>
      </c>
      <c r="S67" s="4">
        <f>IF(R67=T67,MAX(V67,X67,Z67),IF(R67=X67,MAX(T67,V67,Z67),0))</f>
        <v>43.7</v>
      </c>
      <c r="T67" s="33"/>
      <c r="U67" s="40"/>
      <c r="V67" s="34"/>
      <c r="W67" s="40"/>
      <c r="X67" s="33">
        <v>43.7</v>
      </c>
      <c r="Y67" s="40">
        <v>6.3000000000000007</v>
      </c>
      <c r="Z67" s="34">
        <v>43.7</v>
      </c>
      <c r="AA67" s="37">
        <v>6.6999999999999993</v>
      </c>
    </row>
    <row r="68" spans="1:27" x14ac:dyDescent="0.2">
      <c r="A68" s="1" t="str" cm="1">
        <f t="array" ref="A68">IF(I68="","",IF(P68&lt;&gt;"",SUMPRODUCT((P$3:P$105&lt;&gt;"")*(G$3:G$105=G68)*(J$3:J$105&gt;J68)*(I$3:I$105="P"))+1,IF(O68&lt;&gt;"",SUMPRODUCT((O$3:O$105&lt;&gt;"")*(P$3:P$105="")*(G$3:G$105=G68)*(J$3:J$105&gt;J68)*(I$3:I$105="P"))+SUMPRODUCT((P$3:P$105&lt;&gt;"")*(G$3:G$105=G68)*(I$3:I$105="P"))+1,IF(N68&lt;&gt;"",SUMPRODUCT((N$3:N$105&lt;&gt;"")*(G$3:G$105=G68)*(J$3:J$105&gt;J68)*(I$3:I$105="P"))+1,IF(M68="P",SUMPRODUCT((O$3:O$105&lt;&gt;"")*(P$3:P$105="")*(G$3:G$105=G68)*(I$3:I$105="P"))+SUMPRODUCT((P$3:P$105&lt;&gt;"")*(G$3:G$105=G68)*(I$3:I$105="P"))+SUMPRODUCT((N$3:N$105&lt;&gt;"")*(G$3:G$105=G68)*(I$3:I$105="P"))+SUMPRODUCT((P$3:P$105="")*(O$3:O$105="")*(N$3:N$105="")*(M$3:M$105="P")*(G$3:G$105=G68)*(J$3:J$105&gt;J68)*(I$3:I$105="P"))+IF(H68="L5",SUMPRODUCT((P$3:P$105="")*(O$3:O$105="")*(N$3:N$105="")*(M$3:M$105="P")*(G$3:G$105=G68)*(J$3:J$105&lt;J68)*(H$3:H$105&lt;&gt;H68)*(I$3:I$105="P")),-1*SUMPRODUCT((P$3:P$105="")*(O$3:O$105="")*(N$3:N$105="")*(M$3:M$105="P")*(G$3:G$105=G68)*(J$3:J$105&gt;J68)*(H$3:H$105="L5")*(I$3:I$105="P")))+1,"")))))</f>
        <v/>
      </c>
      <c r="B68" s="1" t="str" cm="1">
        <f t="array" ref="B68">IF(P68&lt;&gt;"",SUMPRODUCT((P$3:P$105&lt;&gt;"")*(G$3:G$105=G68)*(J$3:J$105&gt;J68))+1,IF(O68&lt;&gt;"",SUMPRODUCT((O$3:O$105&lt;&gt;"")*(P$3:P$105="")*(G$3:G$105=G68)*(J$3:J$105&gt;J68))+SUMPRODUCT((P$3:P$105&lt;&gt;"")*(G$3:G$105=G68))+1,IF(N68&lt;&gt;"",SUMPRODUCT((N$3:N$105&lt;&gt;"")*(G$3:G$105=G68)*(J$3:J$105&gt;J68))+1,IF(M68="P",SUMPRODUCT((O$3:O$105&lt;&gt;"")*(P$3:P$105="")*(G$3:G$105=G68))+SUMPRODUCT((P$3:P$105&lt;&gt;"")*(G$3:G$105=G68))+SUMPRODUCT((N$3:N$105&lt;&gt;"")*(G$3:G$105=G68))+SUMPRODUCT((P$3:P$105="")*(O$3:O$105="")*(N$3:N$105="")*(M$3:M$105="P")*(G$3:G$105=G68)*(J$3:J$105&gt;J68))+IF(H68="L5",SUMPRODUCT((P$3:P$105="")*(O$3:O$105="")*(N$3:N$105="")*(M$3:M$105="P")*(G$3:G$105=G68)*(J$3:J$105&lt;J68)*(H$3:H$105&lt;&gt;H68)),-1*SUMPRODUCT((P$3:P$105="")*(O$3:O$105="")*(N$3:N$105="")*(M$3:M$105="P")*(G$3:G$105=G68)*(J$3:J$105&gt;J68)*(H$3:H$105="L5")))+1,""))))</f>
        <v/>
      </c>
      <c r="C68" s="36" t="s">
        <v>462</v>
      </c>
      <c r="D68" s="36" t="str">
        <f>IF(E68="","",VLOOKUP(E68,'Coaching Points'!A:B,2,0))</f>
        <v>QC</v>
      </c>
      <c r="E68" s="36" t="s">
        <v>96</v>
      </c>
      <c r="F68" s="35">
        <v>2008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9" t="s">
        <v>66</v>
      </c>
      <c r="I68" s="43" t="s">
        <v>567</v>
      </c>
      <c r="J68" s="4">
        <f>R68+S68+IF(OR(H68="Junior",H68="Senior"),0.0002,IF(OR(H68="L7",H68="L6"),0.0001,0))+MAX(X68,Z68)*0.0000001</f>
        <v>87.300004370000011</v>
      </c>
      <c r="K68" s="3" t="str">
        <f>IF(G68="Not Age Eligible","",IF(MAX(T68,V68,X68,Z68)&gt;=LOOKUP(G68,'Qualifying Scores'!$A$4:$A$7,'Qualifying Scores'!$G$4:$G$7),"P",""))</f>
        <v/>
      </c>
      <c r="L68" s="3" t="str">
        <f>IF(G68="Not Age Eligible","",IF(MAX(U68,W68,Y68,AA68)&gt;=LOOKUP(G68,'Qualifying Scores'!$A$10:$A$13,'Qualifying Scores'!$G$10:$G$13),"P",""))</f>
        <v/>
      </c>
      <c r="M68" s="3" t="str">
        <f>IF(G68="Not Age Eligible","",IF(OR(AND(T68&gt;=LOOKUP(G68,'Qualifying Scores'!$A$4:$A$7,'Qualifying Scores'!$G$4:$G$7),U68&gt;=LOOKUP(G68,'Qualifying Scores'!$A$10:$A$13,'Qualifying Scores'!$G$10:$G$13)),AND(X68&gt;=LOOKUP(G68,'Qualifying Scores'!$A$4:$A$7,'Qualifying Scores'!$G$4:$G$7),Y68&gt;=LOOKUP(G68,'Qualifying Scores'!$A$10:$A$13,'Qualifying Scores'!$G$10:$G$13)),AND(V68&gt;=LOOKUP(G68,'Qualifying Scores'!$A$4:$A$7,'Qualifying Scores'!$G$4:$G$7),W68&gt;=LOOKUP(G68,'Qualifying Scores'!$A$10:$A$13,'Qualifying Scores'!$G$10:$G$13)),AND(Z68&gt;=LOOKUP(G68,'Qualifying Scores'!$A$4:$A$7,'Qualifying Scores'!$G$4:$G$7),AA68&gt;=LOOKUP(G68,'Qualifying Scores'!$A$10:$A$13,'Qualifying Scores'!$G$10:$G$13))),"P",""))</f>
        <v/>
      </c>
      <c r="Q68" s="1" t="str">
        <f>IF(A68&lt;5,IF(_xlfn.MAXIFS(A:A,G:G,G68)&gt;3,5-A68,_xlfn.MAXIFS(A:A,G:G,G68)+1-A68),"")</f>
        <v/>
      </c>
      <c r="R68" s="4">
        <f>MAX(T68,X68)</f>
        <v>43.6</v>
      </c>
      <c r="S68" s="4">
        <f>IF(R68=T68,MAX(V68,X68,Z68),IF(R68=X68,MAX(T68,V68,Z68),0))</f>
        <v>43.7</v>
      </c>
      <c r="T68" s="33"/>
      <c r="U68" s="40"/>
      <c r="V68" s="34"/>
      <c r="W68" s="40"/>
      <c r="X68" s="33">
        <v>43.6</v>
      </c>
      <c r="Y68" s="40">
        <v>6</v>
      </c>
      <c r="Z68" s="34">
        <v>43.7</v>
      </c>
      <c r="AA68" s="37">
        <v>5.0999999999999996</v>
      </c>
    </row>
    <row r="69" spans="1:27" x14ac:dyDescent="0.2">
      <c r="A69" s="1" t="str" cm="1">
        <f t="array" ref="A69">IF(I69="","",IF(P69&lt;&gt;"",SUMPRODUCT((P$3:P$105&lt;&gt;"")*(G$3:G$105=G69)*(J$3:J$105&gt;J69)*(I$3:I$105="P"))+1,IF(O69&lt;&gt;"",SUMPRODUCT((O$3:O$105&lt;&gt;"")*(P$3:P$105="")*(G$3:G$105=G69)*(J$3:J$105&gt;J69)*(I$3:I$105="P"))+SUMPRODUCT((P$3:P$105&lt;&gt;"")*(G$3:G$105=G69)*(I$3:I$105="P"))+1,IF(N69&lt;&gt;"",SUMPRODUCT((N$3:N$105&lt;&gt;"")*(G$3:G$105=G69)*(J$3:J$105&gt;J69)*(I$3:I$105="P"))+1,IF(M69="P",SUMPRODUCT((O$3:O$105&lt;&gt;"")*(P$3:P$105="")*(G$3:G$105=G69)*(I$3:I$105="P"))+SUMPRODUCT((P$3:P$105&lt;&gt;"")*(G$3:G$105=G69)*(I$3:I$105="P"))+SUMPRODUCT((N$3:N$105&lt;&gt;"")*(G$3:G$105=G69)*(I$3:I$105="P"))+SUMPRODUCT((P$3:P$105="")*(O$3:O$105="")*(N$3:N$105="")*(M$3:M$105="P")*(G$3:G$105=G69)*(J$3:J$105&gt;J69)*(I$3:I$105="P"))+IF(H69="L5",SUMPRODUCT((P$3:P$105="")*(O$3:O$105="")*(N$3:N$105="")*(M$3:M$105="P")*(G$3:G$105=G69)*(J$3:J$105&lt;J69)*(H$3:H$105&lt;&gt;H69)*(I$3:I$105="P")),-1*SUMPRODUCT((P$3:P$105="")*(O$3:O$105="")*(N$3:N$105="")*(M$3:M$105="P")*(G$3:G$105=G69)*(J$3:J$105&gt;J69)*(H$3:H$105="L5")*(I$3:I$105="P")))+1,"")))))</f>
        <v/>
      </c>
      <c r="B69" s="1" t="str" cm="1">
        <f t="array" ref="B69">IF(P69&lt;&gt;"",SUMPRODUCT((P$3:P$105&lt;&gt;"")*(G$3:G$105=G69)*(J$3:J$105&gt;J69))+1,IF(O69&lt;&gt;"",SUMPRODUCT((O$3:O$105&lt;&gt;"")*(P$3:P$105="")*(G$3:G$105=G69)*(J$3:J$105&gt;J69))+SUMPRODUCT((P$3:P$105&lt;&gt;"")*(G$3:G$105=G69))+1,IF(N69&lt;&gt;"",SUMPRODUCT((N$3:N$105&lt;&gt;"")*(G$3:G$105=G69)*(J$3:J$105&gt;J69))+1,IF(M69="P",SUMPRODUCT((O$3:O$105&lt;&gt;"")*(P$3:P$105="")*(G$3:G$105=G69))+SUMPRODUCT((P$3:P$105&lt;&gt;"")*(G$3:G$105=G69))+SUMPRODUCT((N$3:N$105&lt;&gt;"")*(G$3:G$105=G69))+SUMPRODUCT((P$3:P$105="")*(O$3:O$105="")*(N$3:N$105="")*(M$3:M$105="P")*(G$3:G$105=G69)*(J$3:J$105&gt;J69))+IF(H69="L5",SUMPRODUCT((P$3:P$105="")*(O$3:O$105="")*(N$3:N$105="")*(M$3:M$105="P")*(G$3:G$105=G69)*(J$3:J$105&lt;J69)*(H$3:H$105&lt;&gt;H69)),-1*SUMPRODUCT((P$3:P$105="")*(O$3:O$105="")*(N$3:N$105="")*(M$3:M$105="P")*(G$3:G$105=G69)*(J$3:J$105&gt;J69)*(H$3:H$105="L5")))+1,""))))</f>
        <v/>
      </c>
      <c r="C69" s="36" t="s">
        <v>235</v>
      </c>
      <c r="D69" s="36" t="str">
        <f>IF(E69="","",VLOOKUP(E69,'Coaching Points'!A:B,2,0))</f>
        <v>AB</v>
      </c>
      <c r="E69" s="36" t="s">
        <v>58</v>
      </c>
      <c r="F69" s="35">
        <v>2008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9" t="s">
        <v>67</v>
      </c>
      <c r="I69" s="43" t="s">
        <v>567</v>
      </c>
      <c r="J69" s="4">
        <f>R69+S69+IF(OR(H69="Junior",H69="Senior"),0.0002,IF(OR(H69="L7",H69="L6"),0.0001,0))+MAX(X69,Z69)*0.0000001</f>
        <v>87.100103849999996</v>
      </c>
      <c r="K69" s="3" t="str">
        <f>IF(G69="Not Age Eligible","",IF(MAX(T69,V69,X69,Z69)&gt;=LOOKUP(G69,'Qualifying Scores'!$A$4:$A$7,'Qualifying Scores'!$G$4:$G$7),"P",""))</f>
        <v/>
      </c>
      <c r="L69" s="3" t="str">
        <f>IF(G69="Not Age Eligible","",IF(MAX(U69,W69,Y69,AA69)&gt;=LOOKUP(G69,'Qualifying Scores'!$A$10:$A$13,'Qualifying Scores'!$G$10:$G$13),"P",""))</f>
        <v/>
      </c>
      <c r="M69" s="3" t="str">
        <f>IF(G69="Not Age Eligible","",IF(OR(AND(T69&gt;=LOOKUP(G69,'Qualifying Scores'!$A$4:$A$7,'Qualifying Scores'!$G$4:$G$7),U69&gt;=LOOKUP(G69,'Qualifying Scores'!$A$10:$A$13,'Qualifying Scores'!$G$10:$G$13)),AND(X69&gt;=LOOKUP(G69,'Qualifying Scores'!$A$4:$A$7,'Qualifying Scores'!$G$4:$G$7),Y69&gt;=LOOKUP(G69,'Qualifying Scores'!$A$10:$A$13,'Qualifying Scores'!$G$10:$G$13)),AND(V69&gt;=LOOKUP(G69,'Qualifying Scores'!$A$4:$A$7,'Qualifying Scores'!$G$4:$G$7),W69&gt;=LOOKUP(G69,'Qualifying Scores'!$A$10:$A$13,'Qualifying Scores'!$G$10:$G$13)),AND(Z69&gt;=LOOKUP(G69,'Qualifying Scores'!$A$4:$A$7,'Qualifying Scores'!$G$4:$G$7),AA69&gt;=LOOKUP(G69,'Qualifying Scores'!$A$10:$A$13,'Qualifying Scores'!$G$10:$G$13))),"P",""))</f>
        <v/>
      </c>
      <c r="Q69" s="1" t="str">
        <f>IF(A69&lt;5,IF(_xlfn.MAXIFS(A:A,G:G,G69)&gt;3,5-A69,_xlfn.MAXIFS(A:A,G:G,G69)+1-A69),"")</f>
        <v/>
      </c>
      <c r="R69" s="4">
        <f>MAX(T69,X69)</f>
        <v>43.1</v>
      </c>
      <c r="S69" s="4">
        <f>IF(R69=T69,MAX(V69,X69,Z69),IF(R69=X69,MAX(T69,V69,Z69),0))</f>
        <v>44</v>
      </c>
      <c r="T69" s="33">
        <v>43.1</v>
      </c>
      <c r="U69" s="40">
        <v>6.8</v>
      </c>
      <c r="V69" s="34">
        <v>44</v>
      </c>
      <c r="W69" s="40">
        <v>6.6</v>
      </c>
      <c r="X69" s="33">
        <v>38.5</v>
      </c>
      <c r="Y69" s="40">
        <v>3.5999999999999996</v>
      </c>
      <c r="Z69" s="34"/>
      <c r="AA69" s="37"/>
    </row>
    <row r="70" spans="1:27" x14ac:dyDescent="0.2">
      <c r="A70" s="1" t="str" cm="1">
        <f t="array" ref="A70">IF(I70="","",IF(P70&lt;&gt;"",SUMPRODUCT((P$3:P$105&lt;&gt;"")*(G$3:G$105=G70)*(J$3:J$105&gt;J70)*(I$3:I$105="P"))+1,IF(O70&lt;&gt;"",SUMPRODUCT((O$3:O$105&lt;&gt;"")*(P$3:P$105="")*(G$3:G$105=G70)*(J$3:J$105&gt;J70)*(I$3:I$105="P"))+SUMPRODUCT((P$3:P$105&lt;&gt;"")*(G$3:G$105=G70)*(I$3:I$105="P"))+1,IF(N70&lt;&gt;"",SUMPRODUCT((N$3:N$105&lt;&gt;"")*(G$3:G$105=G70)*(J$3:J$105&gt;J70)*(I$3:I$105="P"))+1,IF(M70="P",SUMPRODUCT((O$3:O$105&lt;&gt;"")*(P$3:P$105="")*(G$3:G$105=G70)*(I$3:I$105="P"))+SUMPRODUCT((P$3:P$105&lt;&gt;"")*(G$3:G$105=G70)*(I$3:I$105="P"))+SUMPRODUCT((N$3:N$105&lt;&gt;"")*(G$3:G$105=G70)*(I$3:I$105="P"))+SUMPRODUCT((P$3:P$105="")*(O$3:O$105="")*(N$3:N$105="")*(M$3:M$105="P")*(G$3:G$105=G70)*(J$3:J$105&gt;J70)*(I$3:I$105="P"))+IF(H70="L5",SUMPRODUCT((P$3:P$105="")*(O$3:O$105="")*(N$3:N$105="")*(M$3:M$105="P")*(G$3:G$105=G70)*(J$3:J$105&lt;J70)*(H$3:H$105&lt;&gt;H70)*(I$3:I$105="P")),-1*SUMPRODUCT((P$3:P$105="")*(O$3:O$105="")*(N$3:N$105="")*(M$3:M$105="P")*(G$3:G$105=G70)*(J$3:J$105&gt;J70)*(H$3:H$105="L5")*(I$3:I$105="P")))+1,"")))))</f>
        <v/>
      </c>
      <c r="B70" s="1" t="str" cm="1">
        <f t="array" ref="B70">IF(P70&lt;&gt;"",SUMPRODUCT((P$3:P$105&lt;&gt;"")*(G$3:G$105=G70)*(J$3:J$105&gt;J70))+1,IF(O70&lt;&gt;"",SUMPRODUCT((O$3:O$105&lt;&gt;"")*(P$3:P$105="")*(G$3:G$105=G70)*(J$3:J$105&gt;J70))+SUMPRODUCT((P$3:P$105&lt;&gt;"")*(G$3:G$105=G70))+1,IF(N70&lt;&gt;"",SUMPRODUCT((N$3:N$105&lt;&gt;"")*(G$3:G$105=G70)*(J$3:J$105&gt;J70))+1,IF(M70="P",SUMPRODUCT((O$3:O$105&lt;&gt;"")*(P$3:P$105="")*(G$3:G$105=G70))+SUMPRODUCT((P$3:P$105&lt;&gt;"")*(G$3:G$105=G70))+SUMPRODUCT((N$3:N$105&lt;&gt;"")*(G$3:G$105=G70))+SUMPRODUCT((P$3:P$105="")*(O$3:O$105="")*(N$3:N$105="")*(M$3:M$105="P")*(G$3:G$105=G70)*(J$3:J$105&gt;J70))+IF(H70="L5",SUMPRODUCT((P$3:P$105="")*(O$3:O$105="")*(N$3:N$105="")*(M$3:M$105="P")*(G$3:G$105=G70)*(J$3:J$105&lt;J70)*(H$3:H$105&lt;&gt;H70)),-1*SUMPRODUCT((P$3:P$105="")*(O$3:O$105="")*(N$3:N$105="")*(M$3:M$105="P")*(G$3:G$105=G70)*(J$3:J$105&gt;J70)*(H$3:H$105="L5")))+1,""))))</f>
        <v/>
      </c>
      <c r="C70" s="36" t="s">
        <v>469</v>
      </c>
      <c r="D70" s="36" t="str">
        <f>IF(E70="","",VLOOKUP(E70,'Coaching Points'!A:B,2,0))</f>
        <v>ON</v>
      </c>
      <c r="E70" s="36" t="s">
        <v>47</v>
      </c>
      <c r="F70" s="35">
        <v>2008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9" t="s">
        <v>66</v>
      </c>
      <c r="I70" s="43"/>
      <c r="J70" s="4">
        <f>R70+S70+IF(OR(H70="Junior",H70="Senior"),0.0002,IF(OR(H70="L7",H70="L6"),0.0001,0))+MAX(X70,Z70)*0.0000001</f>
        <v>86.700004379999982</v>
      </c>
      <c r="K70" s="3" t="str">
        <f>IF(G70="Not Age Eligible","",IF(MAX(T70,V70,X70,Z70)&gt;=LOOKUP(G70,'Qualifying Scores'!$A$4:$A$7,'Qualifying Scores'!$G$4:$G$7),"P",""))</f>
        <v/>
      </c>
      <c r="L70" s="3" t="str">
        <f>IF(G70="Not Age Eligible","",IF(MAX(U70,W70,Y70,AA70)&gt;=LOOKUP(G70,'Qualifying Scores'!$A$10:$A$13,'Qualifying Scores'!$G$10:$G$13),"P",""))</f>
        <v/>
      </c>
      <c r="M70" s="3" t="str">
        <f>IF(G70="Not Age Eligible","",IF(OR(AND(T70&gt;=LOOKUP(G70,'Qualifying Scores'!$A$4:$A$7,'Qualifying Scores'!$G$4:$G$7),U70&gt;=LOOKUP(G70,'Qualifying Scores'!$A$10:$A$13,'Qualifying Scores'!$G$10:$G$13)),AND(X70&gt;=LOOKUP(G70,'Qualifying Scores'!$A$4:$A$7,'Qualifying Scores'!$G$4:$G$7),Y70&gt;=LOOKUP(G70,'Qualifying Scores'!$A$10:$A$13,'Qualifying Scores'!$G$10:$G$13)),AND(V70&gt;=LOOKUP(G70,'Qualifying Scores'!$A$4:$A$7,'Qualifying Scores'!$G$4:$G$7),W70&gt;=LOOKUP(G70,'Qualifying Scores'!$A$10:$A$13,'Qualifying Scores'!$G$10:$G$13)),AND(Z70&gt;=LOOKUP(G70,'Qualifying Scores'!$A$4:$A$7,'Qualifying Scores'!$G$4:$G$7),AA70&gt;=LOOKUP(G70,'Qualifying Scores'!$A$10:$A$13,'Qualifying Scores'!$G$10:$G$13))),"P",""))</f>
        <v/>
      </c>
      <c r="Q70" s="1" t="str">
        <f>IF(A70&lt;5,IF(_xlfn.MAXIFS(A:A,G:G,G70)&gt;3,5-A70,_xlfn.MAXIFS(A:A,G:G,G70)+1-A70),"")</f>
        <v/>
      </c>
      <c r="R70" s="4">
        <f>MAX(T70,X70)</f>
        <v>43.8</v>
      </c>
      <c r="S70" s="4">
        <f>IF(R70=T70,MAX(V70,X70,Z70),IF(R70=X70,MAX(T70,V70,Z70),0))</f>
        <v>42.9</v>
      </c>
      <c r="T70" s="33"/>
      <c r="U70" s="40"/>
      <c r="V70" s="34"/>
      <c r="W70" s="40"/>
      <c r="X70" s="33">
        <v>43.8</v>
      </c>
      <c r="Y70" s="40">
        <v>6.6</v>
      </c>
      <c r="Z70" s="34">
        <v>42.9</v>
      </c>
      <c r="AA70" s="37">
        <v>5.7</v>
      </c>
    </row>
    <row r="71" spans="1:27" x14ac:dyDescent="0.2">
      <c r="A71" s="1" t="str" cm="1">
        <f t="array" ref="A71">IF(I71="","",IF(P71&lt;&gt;"",SUMPRODUCT((P$3:P$105&lt;&gt;"")*(G$3:G$105=G71)*(J$3:J$105&gt;J71)*(I$3:I$105="P"))+1,IF(O71&lt;&gt;"",SUMPRODUCT((O$3:O$105&lt;&gt;"")*(P$3:P$105="")*(G$3:G$105=G71)*(J$3:J$105&gt;J71)*(I$3:I$105="P"))+SUMPRODUCT((P$3:P$105&lt;&gt;"")*(G$3:G$105=G71)*(I$3:I$105="P"))+1,IF(N71&lt;&gt;"",SUMPRODUCT((N$3:N$105&lt;&gt;"")*(G$3:G$105=G71)*(J$3:J$105&gt;J71)*(I$3:I$105="P"))+1,IF(M71="P",SUMPRODUCT((O$3:O$105&lt;&gt;"")*(P$3:P$105="")*(G$3:G$105=G71)*(I$3:I$105="P"))+SUMPRODUCT((P$3:P$105&lt;&gt;"")*(G$3:G$105=G71)*(I$3:I$105="P"))+SUMPRODUCT((N$3:N$105&lt;&gt;"")*(G$3:G$105=G71)*(I$3:I$105="P"))+SUMPRODUCT((P$3:P$105="")*(O$3:O$105="")*(N$3:N$105="")*(M$3:M$105="P")*(G$3:G$105=G71)*(J$3:J$105&gt;J71)*(I$3:I$105="P"))+IF(H71="L5",SUMPRODUCT((P$3:P$105="")*(O$3:O$105="")*(N$3:N$105="")*(M$3:M$105="P")*(G$3:G$105=G71)*(J$3:J$105&lt;J71)*(H$3:H$105&lt;&gt;H71)*(I$3:I$105="P")),-1*SUMPRODUCT((P$3:P$105="")*(O$3:O$105="")*(N$3:N$105="")*(M$3:M$105="P")*(G$3:G$105=G71)*(J$3:J$105&gt;J71)*(H$3:H$105="L5")*(I$3:I$105="P")))+1,"")))))</f>
        <v/>
      </c>
      <c r="B71" s="1" t="str" cm="1">
        <f t="array" ref="B71">IF(P71&lt;&gt;"",SUMPRODUCT((P$3:P$105&lt;&gt;"")*(G$3:G$105=G71)*(J$3:J$105&gt;J71))+1,IF(O71&lt;&gt;"",SUMPRODUCT((O$3:O$105&lt;&gt;"")*(P$3:P$105="")*(G$3:G$105=G71)*(J$3:J$105&gt;J71))+SUMPRODUCT((P$3:P$105&lt;&gt;"")*(G$3:G$105=G71))+1,IF(N71&lt;&gt;"",SUMPRODUCT((N$3:N$105&lt;&gt;"")*(G$3:G$105=G71)*(J$3:J$105&gt;J71))+1,IF(M71="P",SUMPRODUCT((O$3:O$105&lt;&gt;"")*(P$3:P$105="")*(G$3:G$105=G71))+SUMPRODUCT((P$3:P$105&lt;&gt;"")*(G$3:G$105=G71))+SUMPRODUCT((N$3:N$105&lt;&gt;"")*(G$3:G$105=G71))+SUMPRODUCT((P$3:P$105="")*(O$3:O$105="")*(N$3:N$105="")*(M$3:M$105="P")*(G$3:G$105=G71)*(J$3:J$105&gt;J71))+IF(H71="L5",SUMPRODUCT((P$3:P$105="")*(O$3:O$105="")*(N$3:N$105="")*(M$3:M$105="P")*(G$3:G$105=G71)*(J$3:J$105&lt;J71)*(H$3:H$105&lt;&gt;H71)),-1*SUMPRODUCT((P$3:P$105="")*(O$3:O$105="")*(N$3:N$105="")*(M$3:M$105="P")*(G$3:G$105=G71)*(J$3:J$105&gt;J71)*(H$3:H$105="L5")))+1,""))))</f>
        <v/>
      </c>
      <c r="C71" s="36" t="s">
        <v>268</v>
      </c>
      <c r="D71" s="36" t="str">
        <f>IF(E71="","",VLOOKUP(E71,'Coaching Points'!A:B,2,0))</f>
        <v>AB</v>
      </c>
      <c r="E71" s="36" t="s">
        <v>58</v>
      </c>
      <c r="F71" s="35">
        <v>2008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9" t="s">
        <v>67</v>
      </c>
      <c r="I71" s="43"/>
      <c r="J71" s="4">
        <f>R71+S71+IF(OR(H71="Junior",H71="Senior"),0.0002,IF(OR(H71="L7",H71="L6"),0.0001,0))+MAX(X71,Z71)*0.0000001</f>
        <v>86.600103770000004</v>
      </c>
      <c r="K71" s="3" t="str">
        <f>IF(G71="Not Age Eligible","",IF(MAX(T71,V71,X71,Z71)&gt;=LOOKUP(G71,'Qualifying Scores'!$A$4:$A$7,'Qualifying Scores'!$G$4:$G$7),"P",""))</f>
        <v/>
      </c>
      <c r="L71" s="3" t="str">
        <f>IF(G71="Not Age Eligible","",IF(MAX(U71,W71,Y71,AA71)&gt;=LOOKUP(G71,'Qualifying Scores'!$A$10:$A$13,'Qualifying Scores'!$G$10:$G$13),"P",""))</f>
        <v/>
      </c>
      <c r="M71" s="3" t="str">
        <f>IF(G71="Not Age Eligible","",IF(OR(AND(T71&gt;=LOOKUP(G71,'Qualifying Scores'!$A$4:$A$7,'Qualifying Scores'!$G$4:$G$7),U71&gt;=LOOKUP(G71,'Qualifying Scores'!$A$10:$A$13,'Qualifying Scores'!$G$10:$G$13)),AND(X71&gt;=LOOKUP(G71,'Qualifying Scores'!$A$4:$A$7,'Qualifying Scores'!$G$4:$G$7),Y71&gt;=LOOKUP(G71,'Qualifying Scores'!$A$10:$A$13,'Qualifying Scores'!$G$10:$G$13)),AND(V71&gt;=LOOKUP(G71,'Qualifying Scores'!$A$4:$A$7,'Qualifying Scores'!$G$4:$G$7),W71&gt;=LOOKUP(G71,'Qualifying Scores'!$A$10:$A$13,'Qualifying Scores'!$G$10:$G$13)),AND(Z71&gt;=LOOKUP(G71,'Qualifying Scores'!$A$4:$A$7,'Qualifying Scores'!$G$4:$G$7),AA71&gt;=LOOKUP(G71,'Qualifying Scores'!$A$10:$A$13,'Qualifying Scores'!$G$10:$G$13))),"P",""))</f>
        <v/>
      </c>
      <c r="Q71" s="1" t="str">
        <f>IF(A71&lt;5,IF(_xlfn.MAXIFS(A:A,G:G,G71)&gt;3,5-A71,_xlfn.MAXIFS(A:A,G:G,G71)+1-A71),"")</f>
        <v/>
      </c>
      <c r="R71" s="4">
        <f>MAX(T71,X71)</f>
        <v>43.4</v>
      </c>
      <c r="S71" s="4">
        <f>IF(R71=T71,MAX(V71,X71,Z71),IF(R71=X71,MAX(T71,V71,Z71),0))</f>
        <v>43.2</v>
      </c>
      <c r="T71" s="33">
        <v>43.4</v>
      </c>
      <c r="U71" s="40">
        <v>6.6</v>
      </c>
      <c r="V71" s="34">
        <v>43.2</v>
      </c>
      <c r="W71" s="40">
        <v>6.5</v>
      </c>
      <c r="X71" s="33">
        <v>37.700000000000003</v>
      </c>
      <c r="Y71" s="40">
        <v>3.0999999999999996</v>
      </c>
      <c r="Z71" s="34"/>
      <c r="AA71" s="37"/>
    </row>
    <row r="72" spans="1:27" x14ac:dyDescent="0.2">
      <c r="A72" s="1" t="str" cm="1">
        <f t="array" ref="A72">IF(I72="","",IF(P72&lt;&gt;"",SUMPRODUCT((P$3:P$105&lt;&gt;"")*(G$3:G$105=G72)*(J$3:J$105&gt;J72)*(I$3:I$105="P"))+1,IF(O72&lt;&gt;"",SUMPRODUCT((O$3:O$105&lt;&gt;"")*(P$3:P$105="")*(G$3:G$105=G72)*(J$3:J$105&gt;J72)*(I$3:I$105="P"))+SUMPRODUCT((P$3:P$105&lt;&gt;"")*(G$3:G$105=G72)*(I$3:I$105="P"))+1,IF(N72&lt;&gt;"",SUMPRODUCT((N$3:N$105&lt;&gt;"")*(G$3:G$105=G72)*(J$3:J$105&gt;J72)*(I$3:I$105="P"))+1,IF(M72="P",SUMPRODUCT((O$3:O$105&lt;&gt;"")*(P$3:P$105="")*(G$3:G$105=G72)*(I$3:I$105="P"))+SUMPRODUCT((P$3:P$105&lt;&gt;"")*(G$3:G$105=G72)*(I$3:I$105="P"))+SUMPRODUCT((N$3:N$105&lt;&gt;"")*(G$3:G$105=G72)*(I$3:I$105="P"))+SUMPRODUCT((P$3:P$105="")*(O$3:O$105="")*(N$3:N$105="")*(M$3:M$105="P")*(G$3:G$105=G72)*(J$3:J$105&gt;J72)*(I$3:I$105="P"))+IF(H72="L5",SUMPRODUCT((P$3:P$105="")*(O$3:O$105="")*(N$3:N$105="")*(M$3:M$105="P")*(G$3:G$105=G72)*(J$3:J$105&lt;J72)*(H$3:H$105&lt;&gt;H72)*(I$3:I$105="P")),-1*SUMPRODUCT((P$3:P$105="")*(O$3:O$105="")*(N$3:N$105="")*(M$3:M$105="P")*(G$3:G$105=G72)*(J$3:J$105&gt;J72)*(H$3:H$105="L5")*(I$3:I$105="P")))+1,"")))))</f>
        <v/>
      </c>
      <c r="B72" s="1" t="str" cm="1">
        <f t="array" ref="B72">IF(P72&lt;&gt;"",SUMPRODUCT((P$3:P$105&lt;&gt;"")*(G$3:G$105=G72)*(J$3:J$105&gt;J72))+1,IF(O72&lt;&gt;"",SUMPRODUCT((O$3:O$105&lt;&gt;"")*(P$3:P$105="")*(G$3:G$105=G72)*(J$3:J$105&gt;J72))+SUMPRODUCT((P$3:P$105&lt;&gt;"")*(G$3:G$105=G72))+1,IF(N72&lt;&gt;"",SUMPRODUCT((N$3:N$105&lt;&gt;"")*(G$3:G$105=G72)*(J$3:J$105&gt;J72))+1,IF(M72="P",SUMPRODUCT((O$3:O$105&lt;&gt;"")*(P$3:P$105="")*(G$3:G$105=G72))+SUMPRODUCT((P$3:P$105&lt;&gt;"")*(G$3:G$105=G72))+SUMPRODUCT((N$3:N$105&lt;&gt;"")*(G$3:G$105=G72))+SUMPRODUCT((P$3:P$105="")*(O$3:O$105="")*(N$3:N$105="")*(M$3:M$105="P")*(G$3:G$105=G72)*(J$3:J$105&gt;J72))+IF(H72="L5",SUMPRODUCT((P$3:P$105="")*(O$3:O$105="")*(N$3:N$105="")*(M$3:M$105="P")*(G$3:G$105=G72)*(J$3:J$105&lt;J72)*(H$3:H$105&lt;&gt;H72)),-1*SUMPRODUCT((P$3:P$105="")*(O$3:O$105="")*(N$3:N$105="")*(M$3:M$105="P")*(G$3:G$105=G72)*(J$3:J$105&gt;J72)*(H$3:H$105="L5")))+1,""))))</f>
        <v/>
      </c>
      <c r="C72" s="36" t="s">
        <v>149</v>
      </c>
      <c r="D72" s="36" t="str">
        <f>IF(E72="","",VLOOKUP(E72,'Coaching Points'!A:B,2,0))</f>
        <v>QC</v>
      </c>
      <c r="E72" s="36" t="s">
        <v>59</v>
      </c>
      <c r="F72" s="35">
        <v>2008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9" t="s">
        <v>66</v>
      </c>
      <c r="I72" s="43"/>
      <c r="J72" s="4">
        <f>R72+S72+IF(OR(H72="Junior",H72="Senior"),0.0002,IF(OR(H72="L7",H72="L6"),0.0001,0))+MAX(X72,Z72)*0.0000001</f>
        <v>86.40000185000001</v>
      </c>
      <c r="K72" s="3" t="str">
        <f>IF(G72="Not Age Eligible","",IF(MAX(T72,V72,X72,Z72)&gt;=LOOKUP(G72,'Qualifying Scores'!$A$4:$A$7,'Qualifying Scores'!$G$4:$G$7),"P",""))</f>
        <v/>
      </c>
      <c r="L72" s="3" t="str">
        <f>IF(G72="Not Age Eligible","",IF(MAX(U72,W72,Y72,AA72)&gt;=LOOKUP(G72,'Qualifying Scores'!$A$10:$A$13,'Qualifying Scores'!$G$10:$G$13),"P",""))</f>
        <v/>
      </c>
      <c r="M72" s="3" t="str">
        <f>IF(G72="Not Age Eligible","",IF(OR(AND(T72&gt;=LOOKUP(G72,'Qualifying Scores'!$A$4:$A$7,'Qualifying Scores'!$G$4:$G$7),U72&gt;=LOOKUP(G72,'Qualifying Scores'!$A$10:$A$13,'Qualifying Scores'!$G$10:$G$13)),AND(X72&gt;=LOOKUP(G72,'Qualifying Scores'!$A$4:$A$7,'Qualifying Scores'!$G$4:$G$7),Y72&gt;=LOOKUP(G72,'Qualifying Scores'!$A$10:$A$13,'Qualifying Scores'!$G$10:$G$13)),AND(V72&gt;=LOOKUP(G72,'Qualifying Scores'!$A$4:$A$7,'Qualifying Scores'!$G$4:$G$7),W72&gt;=LOOKUP(G72,'Qualifying Scores'!$A$10:$A$13,'Qualifying Scores'!$G$10:$G$13)),AND(Z72&gt;=LOOKUP(G72,'Qualifying Scores'!$A$4:$A$7,'Qualifying Scores'!$G$4:$G$7),AA72&gt;=LOOKUP(G72,'Qualifying Scores'!$A$10:$A$13,'Qualifying Scores'!$G$10:$G$13))),"P",""))</f>
        <v/>
      </c>
      <c r="Q72" s="1" t="str">
        <f>IF(A72&lt;5,IF(_xlfn.MAXIFS(A:A,G:G,G72)&gt;3,5-A72,_xlfn.MAXIFS(A:A,G:G,G72)+1-A72),"")</f>
        <v/>
      </c>
      <c r="R72" s="4">
        <f>MAX(T72,X72)</f>
        <v>43.5</v>
      </c>
      <c r="S72" s="4">
        <f>IF(R72=T72,MAX(V72,X72,Z72),IF(R72=X72,MAX(T72,V72,Z72),0))</f>
        <v>42.9</v>
      </c>
      <c r="T72" s="33">
        <v>43.5</v>
      </c>
      <c r="U72" s="40">
        <v>6.4</v>
      </c>
      <c r="V72" s="34">
        <v>42.9</v>
      </c>
      <c r="W72" s="40">
        <v>5.4</v>
      </c>
      <c r="X72" s="33">
        <v>18.5</v>
      </c>
      <c r="Y72" s="40">
        <v>0.7</v>
      </c>
      <c r="Z72" s="34"/>
      <c r="AA72" s="37"/>
    </row>
    <row r="73" spans="1:27" x14ac:dyDescent="0.2">
      <c r="A73" s="1" t="str" cm="1">
        <f t="array" ref="A73">IF(I73="","",IF(P73&lt;&gt;"",SUMPRODUCT((P$3:P$105&lt;&gt;"")*(G$3:G$105=G73)*(J$3:J$105&gt;J73)*(I$3:I$105="P"))+1,IF(O73&lt;&gt;"",SUMPRODUCT((O$3:O$105&lt;&gt;"")*(P$3:P$105="")*(G$3:G$105=G73)*(J$3:J$105&gt;J73)*(I$3:I$105="P"))+SUMPRODUCT((P$3:P$105&lt;&gt;"")*(G$3:G$105=G73)*(I$3:I$105="P"))+1,IF(N73&lt;&gt;"",SUMPRODUCT((N$3:N$105&lt;&gt;"")*(G$3:G$105=G73)*(J$3:J$105&gt;J73)*(I$3:I$105="P"))+1,IF(M73="P",SUMPRODUCT((O$3:O$105&lt;&gt;"")*(P$3:P$105="")*(G$3:G$105=G73)*(I$3:I$105="P"))+SUMPRODUCT((P$3:P$105&lt;&gt;"")*(G$3:G$105=G73)*(I$3:I$105="P"))+SUMPRODUCT((N$3:N$105&lt;&gt;"")*(G$3:G$105=G73)*(I$3:I$105="P"))+SUMPRODUCT((P$3:P$105="")*(O$3:O$105="")*(N$3:N$105="")*(M$3:M$105="P")*(G$3:G$105=G73)*(J$3:J$105&gt;J73)*(I$3:I$105="P"))+IF(H73="L5",SUMPRODUCT((P$3:P$105="")*(O$3:O$105="")*(N$3:N$105="")*(M$3:M$105="P")*(G$3:G$105=G73)*(J$3:J$105&lt;J73)*(H$3:H$105&lt;&gt;H73)*(I$3:I$105="P")),-1*SUMPRODUCT((P$3:P$105="")*(O$3:O$105="")*(N$3:N$105="")*(M$3:M$105="P")*(G$3:G$105=G73)*(J$3:J$105&gt;J73)*(H$3:H$105="L5")*(I$3:I$105="P")))+1,"")))))</f>
        <v/>
      </c>
      <c r="B73" s="1" t="str" cm="1">
        <f t="array" ref="B73">IF(P73&lt;&gt;"",SUMPRODUCT((P$3:P$105&lt;&gt;"")*(G$3:G$105=G73)*(J$3:J$105&gt;J73))+1,IF(O73&lt;&gt;"",SUMPRODUCT((O$3:O$105&lt;&gt;"")*(P$3:P$105="")*(G$3:G$105=G73)*(J$3:J$105&gt;J73))+SUMPRODUCT((P$3:P$105&lt;&gt;"")*(G$3:G$105=G73))+1,IF(N73&lt;&gt;"",SUMPRODUCT((N$3:N$105&lt;&gt;"")*(G$3:G$105=G73)*(J$3:J$105&gt;J73))+1,IF(M73="P",SUMPRODUCT((O$3:O$105&lt;&gt;"")*(P$3:P$105="")*(G$3:G$105=G73))+SUMPRODUCT((P$3:P$105&lt;&gt;"")*(G$3:G$105=G73))+SUMPRODUCT((N$3:N$105&lt;&gt;"")*(G$3:G$105=G73))+SUMPRODUCT((P$3:P$105="")*(O$3:O$105="")*(N$3:N$105="")*(M$3:M$105="P")*(G$3:G$105=G73)*(J$3:J$105&gt;J73))+IF(H73="L5",SUMPRODUCT((P$3:P$105="")*(O$3:O$105="")*(N$3:N$105="")*(M$3:M$105="P")*(G$3:G$105=G73)*(J$3:J$105&lt;J73)*(H$3:H$105&lt;&gt;H73)),-1*SUMPRODUCT((P$3:P$105="")*(O$3:O$105="")*(N$3:N$105="")*(M$3:M$105="P")*(G$3:G$105=G73)*(J$3:J$105&gt;J73)*(H$3:H$105="L5")))+1,""))))</f>
        <v/>
      </c>
      <c r="C73" s="36" t="s">
        <v>354</v>
      </c>
      <c r="D73" s="36" t="s">
        <v>193</v>
      </c>
      <c r="E73" s="36" t="s">
        <v>60</v>
      </c>
      <c r="F73" s="35">
        <v>2007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9" t="s">
        <v>66</v>
      </c>
      <c r="I73" s="43"/>
      <c r="J73" s="4">
        <f>R73+S73+IF(OR(H73="Junior",H73="Senior"),0.0002,IF(OR(H73="L7",H73="L6"),0.0001,0))+MAX(X73,Z73)*0.0000001</f>
        <v>85.90000434000001</v>
      </c>
      <c r="K73" s="3" t="str">
        <f>IF(G73="Not Age Eligible","",IF(MAX(T73,V73,X73,Z73)&gt;=LOOKUP(G73,'Qualifying Scores'!$A$4:$A$7,'Qualifying Scores'!$G$4:$G$7),"P",""))</f>
        <v/>
      </c>
      <c r="L73" s="3" t="str">
        <f>IF(G73="Not Age Eligible","",IF(MAX(U73,W73,Y73,AA73)&gt;=LOOKUP(G73,'Qualifying Scores'!$A$10:$A$13,'Qualifying Scores'!$G$10:$G$13),"P",""))</f>
        <v/>
      </c>
      <c r="M73" s="3" t="str">
        <f>IF(G73="Not Age Eligible","",IF(OR(AND(T73&gt;=LOOKUP(G73,'Qualifying Scores'!$A$4:$A$7,'Qualifying Scores'!$G$4:$G$7),U73&gt;=LOOKUP(G73,'Qualifying Scores'!$A$10:$A$13,'Qualifying Scores'!$G$10:$G$13)),AND(X73&gt;=LOOKUP(G73,'Qualifying Scores'!$A$4:$A$7,'Qualifying Scores'!$G$4:$G$7),Y73&gt;=LOOKUP(G73,'Qualifying Scores'!$A$10:$A$13,'Qualifying Scores'!$G$10:$G$13)),AND(V73&gt;=LOOKUP(G73,'Qualifying Scores'!$A$4:$A$7,'Qualifying Scores'!$G$4:$G$7),W73&gt;=LOOKUP(G73,'Qualifying Scores'!$A$10:$A$13,'Qualifying Scores'!$G$10:$G$13)),AND(Z73&gt;=LOOKUP(G73,'Qualifying Scores'!$A$4:$A$7,'Qualifying Scores'!$G$4:$G$7),AA73&gt;=LOOKUP(G73,'Qualifying Scores'!$A$10:$A$13,'Qualifying Scores'!$G$10:$G$13))),"P",""))</f>
        <v/>
      </c>
      <c r="Q73" s="1" t="str">
        <f>IF(A73&lt;5,IF(_xlfn.MAXIFS(A:A,G:G,G73)&gt;3,5-A73,_xlfn.MAXIFS(A:A,G:G,G73)+1-A73),"")</f>
        <v/>
      </c>
      <c r="R73" s="4">
        <f>MAX(T73,X73)</f>
        <v>42.5</v>
      </c>
      <c r="S73" s="4">
        <f>IF(R73=T73,MAX(V73,X73,Z73),IF(R73=X73,MAX(T73,V73,Z73),0))</f>
        <v>43.4</v>
      </c>
      <c r="T73" s="33">
        <v>39.9</v>
      </c>
      <c r="U73" s="40">
        <v>3.9000000000000004</v>
      </c>
      <c r="V73" s="34"/>
      <c r="W73" s="40"/>
      <c r="X73" s="33">
        <v>42.5</v>
      </c>
      <c r="Y73" s="40">
        <v>6</v>
      </c>
      <c r="Z73" s="34">
        <v>43.4</v>
      </c>
      <c r="AA73" s="37">
        <v>6.4</v>
      </c>
    </row>
    <row r="74" spans="1:27" x14ac:dyDescent="0.2">
      <c r="A74" s="1" t="str" cm="1">
        <f t="array" ref="A74">IF(I74="","",IF(P74&lt;&gt;"",SUMPRODUCT((P$3:P$105&lt;&gt;"")*(G$3:G$105=G74)*(J$3:J$105&gt;J74)*(I$3:I$105="P"))+1,IF(O74&lt;&gt;"",SUMPRODUCT((O$3:O$105&lt;&gt;"")*(P$3:P$105="")*(G$3:G$105=G74)*(J$3:J$105&gt;J74)*(I$3:I$105="P"))+SUMPRODUCT((P$3:P$105&lt;&gt;"")*(G$3:G$105=G74)*(I$3:I$105="P"))+1,IF(N74&lt;&gt;"",SUMPRODUCT((N$3:N$105&lt;&gt;"")*(G$3:G$105=G74)*(J$3:J$105&gt;J74)*(I$3:I$105="P"))+1,IF(M74="P",SUMPRODUCT((O$3:O$105&lt;&gt;"")*(P$3:P$105="")*(G$3:G$105=G74)*(I$3:I$105="P"))+SUMPRODUCT((P$3:P$105&lt;&gt;"")*(G$3:G$105=G74)*(I$3:I$105="P"))+SUMPRODUCT((N$3:N$105&lt;&gt;"")*(G$3:G$105=G74)*(I$3:I$105="P"))+SUMPRODUCT((P$3:P$105="")*(O$3:O$105="")*(N$3:N$105="")*(M$3:M$105="P")*(G$3:G$105=G74)*(J$3:J$105&gt;J74)*(I$3:I$105="P"))+IF(H74="L5",SUMPRODUCT((P$3:P$105="")*(O$3:O$105="")*(N$3:N$105="")*(M$3:M$105="P")*(G$3:G$105=G74)*(J$3:J$105&lt;J74)*(H$3:H$105&lt;&gt;H74)*(I$3:I$105="P")),-1*SUMPRODUCT((P$3:P$105="")*(O$3:O$105="")*(N$3:N$105="")*(M$3:M$105="P")*(G$3:G$105=G74)*(J$3:J$105&gt;J74)*(H$3:H$105="L5")*(I$3:I$105="P")))+1,"")))))</f>
        <v/>
      </c>
      <c r="B74" s="1" t="str" cm="1">
        <f t="array" ref="B74">IF(P74&lt;&gt;"",SUMPRODUCT((P$3:P$105&lt;&gt;"")*(G$3:G$105=G74)*(J$3:J$105&gt;J74))+1,IF(O74&lt;&gt;"",SUMPRODUCT((O$3:O$105&lt;&gt;"")*(P$3:P$105="")*(G$3:G$105=G74)*(J$3:J$105&gt;J74))+SUMPRODUCT((P$3:P$105&lt;&gt;"")*(G$3:G$105=G74))+1,IF(N74&lt;&gt;"",SUMPRODUCT((N$3:N$105&lt;&gt;"")*(G$3:G$105=G74)*(J$3:J$105&gt;J74))+1,IF(M74="P",SUMPRODUCT((O$3:O$105&lt;&gt;"")*(P$3:P$105="")*(G$3:G$105=G74))+SUMPRODUCT((P$3:P$105&lt;&gt;"")*(G$3:G$105=G74))+SUMPRODUCT((N$3:N$105&lt;&gt;"")*(G$3:G$105=G74))+SUMPRODUCT((P$3:P$105="")*(O$3:O$105="")*(N$3:N$105="")*(M$3:M$105="P")*(G$3:G$105=G74)*(J$3:J$105&gt;J74))+IF(H74="L5",SUMPRODUCT((P$3:P$105="")*(O$3:O$105="")*(N$3:N$105="")*(M$3:M$105="P")*(G$3:G$105=G74)*(J$3:J$105&lt;J74)*(H$3:H$105&lt;&gt;H74)),-1*SUMPRODUCT((P$3:P$105="")*(O$3:O$105="")*(N$3:N$105="")*(M$3:M$105="P")*(G$3:G$105=G74)*(J$3:J$105&gt;J74)*(H$3:H$105="L5")))+1,""))))</f>
        <v/>
      </c>
      <c r="C74" s="36" t="s">
        <v>177</v>
      </c>
      <c r="D74" s="36" t="s">
        <v>194</v>
      </c>
      <c r="E74" s="36" t="s">
        <v>57</v>
      </c>
      <c r="F74" s="35">
        <v>2007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9" t="s">
        <v>66</v>
      </c>
      <c r="I74" s="43"/>
      <c r="J74" s="4">
        <f>R74+S74+IF(OR(H74="Junior",H74="Senior"),0.0002,IF(OR(H74="L7",H74="L6"),0.0001,0))+MAX(X74,Z74)*0.0000001</f>
        <v>85.300004370000011</v>
      </c>
      <c r="K74" s="3" t="str">
        <f>IF(G74="Not Age Eligible","",IF(MAX(T74,V74,X74,Z74)&gt;=LOOKUP(G74,'Qualifying Scores'!$A$4:$A$7,'Qualifying Scores'!$G$4:$G$7),"P",""))</f>
        <v/>
      </c>
      <c r="L74" s="3" t="str">
        <f>IF(G74="Not Age Eligible","",IF(MAX(U74,W74,Y74,AA74)&gt;=LOOKUP(G74,'Qualifying Scores'!$A$10:$A$13,'Qualifying Scores'!$G$10:$G$13),"P",""))</f>
        <v/>
      </c>
      <c r="M74" s="3" t="str">
        <f>IF(G74="Not Age Eligible","",IF(OR(AND(T74&gt;=LOOKUP(G74,'Qualifying Scores'!$A$4:$A$7,'Qualifying Scores'!$G$4:$G$7),U74&gt;=LOOKUP(G74,'Qualifying Scores'!$A$10:$A$13,'Qualifying Scores'!$G$10:$G$13)),AND(X74&gt;=LOOKUP(G74,'Qualifying Scores'!$A$4:$A$7,'Qualifying Scores'!$G$4:$G$7),Y74&gt;=LOOKUP(G74,'Qualifying Scores'!$A$10:$A$13,'Qualifying Scores'!$G$10:$G$13)),AND(V74&gt;=LOOKUP(G74,'Qualifying Scores'!$A$4:$A$7,'Qualifying Scores'!$G$4:$G$7),W74&gt;=LOOKUP(G74,'Qualifying Scores'!$A$10:$A$13,'Qualifying Scores'!$G$10:$G$13)),AND(Z74&gt;=LOOKUP(G74,'Qualifying Scores'!$A$4:$A$7,'Qualifying Scores'!$G$4:$G$7),AA74&gt;=LOOKUP(G74,'Qualifying Scores'!$A$10:$A$13,'Qualifying Scores'!$G$10:$G$13))),"P",""))</f>
        <v/>
      </c>
      <c r="Q74" s="1" t="str">
        <f>IF(A74&lt;5,IF(_xlfn.MAXIFS(A:A,G:G,G74)&gt;3,5-A74,_xlfn.MAXIFS(A:A,G:G,G74)+1-A74),"")</f>
        <v/>
      </c>
      <c r="R74" s="4">
        <f>MAX(T74,X74)</f>
        <v>43.7</v>
      </c>
      <c r="S74" s="4">
        <f>IF(R74=T74,MAX(V74,X74,Z74),IF(R74=X74,MAX(T74,V74,Z74),0))</f>
        <v>41.6</v>
      </c>
      <c r="T74" s="33">
        <v>40.799999999999997</v>
      </c>
      <c r="U74" s="40">
        <v>4.9000000000000004</v>
      </c>
      <c r="V74" s="34"/>
      <c r="W74" s="40"/>
      <c r="X74" s="33">
        <v>43.7</v>
      </c>
      <c r="Y74" s="40">
        <v>6.7</v>
      </c>
      <c r="Z74" s="34">
        <v>41.6</v>
      </c>
      <c r="AA74" s="37">
        <v>4.8</v>
      </c>
    </row>
    <row r="75" spans="1:27" x14ac:dyDescent="0.2">
      <c r="A75" s="1" t="str" cm="1">
        <f t="array" ref="A75">IF(I75="","",IF(P75&lt;&gt;"",SUMPRODUCT((P$3:P$105&lt;&gt;"")*(G$3:G$105=G75)*(J$3:J$105&gt;J75)*(I$3:I$105="P"))+1,IF(O75&lt;&gt;"",SUMPRODUCT((O$3:O$105&lt;&gt;"")*(P$3:P$105="")*(G$3:G$105=G75)*(J$3:J$105&gt;J75)*(I$3:I$105="P"))+SUMPRODUCT((P$3:P$105&lt;&gt;"")*(G$3:G$105=G75)*(I$3:I$105="P"))+1,IF(N75&lt;&gt;"",SUMPRODUCT((N$3:N$105&lt;&gt;"")*(G$3:G$105=G75)*(J$3:J$105&gt;J75)*(I$3:I$105="P"))+1,IF(M75="P",SUMPRODUCT((O$3:O$105&lt;&gt;"")*(P$3:P$105="")*(G$3:G$105=G75)*(I$3:I$105="P"))+SUMPRODUCT((P$3:P$105&lt;&gt;"")*(G$3:G$105=G75)*(I$3:I$105="P"))+SUMPRODUCT((N$3:N$105&lt;&gt;"")*(G$3:G$105=G75)*(I$3:I$105="P"))+SUMPRODUCT((P$3:P$105="")*(O$3:O$105="")*(N$3:N$105="")*(M$3:M$105="P")*(G$3:G$105=G75)*(J$3:J$105&gt;J75)*(I$3:I$105="P"))+IF(H75="L5",SUMPRODUCT((P$3:P$105="")*(O$3:O$105="")*(N$3:N$105="")*(M$3:M$105="P")*(G$3:G$105=G75)*(J$3:J$105&lt;J75)*(H$3:H$105&lt;&gt;H75)*(I$3:I$105="P")),-1*SUMPRODUCT((P$3:P$105="")*(O$3:O$105="")*(N$3:N$105="")*(M$3:M$105="P")*(G$3:G$105=G75)*(J$3:J$105&gt;J75)*(H$3:H$105="L5")*(I$3:I$105="P")))+1,"")))))</f>
        <v/>
      </c>
      <c r="B75" s="1" t="str" cm="1">
        <f t="array" ref="B75">IF(P75&lt;&gt;"",SUMPRODUCT((P$3:P$105&lt;&gt;"")*(G$3:G$105=G75)*(J$3:J$105&gt;J75))+1,IF(O75&lt;&gt;"",SUMPRODUCT((O$3:O$105&lt;&gt;"")*(P$3:P$105="")*(G$3:G$105=G75)*(J$3:J$105&gt;J75))+SUMPRODUCT((P$3:P$105&lt;&gt;"")*(G$3:G$105=G75))+1,IF(N75&lt;&gt;"",SUMPRODUCT((N$3:N$105&lt;&gt;"")*(G$3:G$105=G75)*(J$3:J$105&gt;J75))+1,IF(M75="P",SUMPRODUCT((O$3:O$105&lt;&gt;"")*(P$3:P$105="")*(G$3:G$105=G75))+SUMPRODUCT((P$3:P$105&lt;&gt;"")*(G$3:G$105=G75))+SUMPRODUCT((N$3:N$105&lt;&gt;"")*(G$3:G$105=G75))+SUMPRODUCT((P$3:P$105="")*(O$3:O$105="")*(N$3:N$105="")*(M$3:M$105="P")*(G$3:G$105=G75)*(J$3:J$105&gt;J75))+IF(H75="L5",SUMPRODUCT((P$3:P$105="")*(O$3:O$105="")*(N$3:N$105="")*(M$3:M$105="P")*(G$3:G$105=G75)*(J$3:J$105&lt;J75)*(H$3:H$105&lt;&gt;H75)),-1*SUMPRODUCT((P$3:P$105="")*(O$3:O$105="")*(N$3:N$105="")*(M$3:M$105="P")*(G$3:G$105=G75)*(J$3:J$105&gt;J75)*(H$3:H$105="L5")))+1,""))))</f>
        <v/>
      </c>
      <c r="C75" s="36" t="s">
        <v>237</v>
      </c>
      <c r="D75" s="36" t="s">
        <v>196</v>
      </c>
      <c r="E75" s="36" t="s">
        <v>58</v>
      </c>
      <c r="F75" s="35">
        <v>2008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9" t="s">
        <v>67</v>
      </c>
      <c r="I75" s="43"/>
      <c r="J75" s="4">
        <f>R75+S75+IF(OR(H75="Junior",H75="Senior"),0.0002,IF(OR(H75="L7",H75="L6"),0.0001,0))+MAX(X75,Z75)*0.0000001</f>
        <v>85.000104309999998</v>
      </c>
      <c r="K75" s="3" t="str">
        <f>IF(G75="Not Age Eligible","",IF(MAX(T75,V75,X75,Z75)&gt;=LOOKUP(G75,'Qualifying Scores'!$A$4:$A$7,'Qualifying Scores'!$G$4:$G$7),"P",""))</f>
        <v/>
      </c>
      <c r="L75" s="3" t="str">
        <f>IF(G75="Not Age Eligible","",IF(MAX(U75,W75,Y75,AA75)&gt;=LOOKUP(G75,'Qualifying Scores'!$A$10:$A$13,'Qualifying Scores'!$G$10:$G$13),"P",""))</f>
        <v/>
      </c>
      <c r="M75" s="3" t="str">
        <f>IF(G75="Not Age Eligible","",IF(OR(AND(T75&gt;=LOOKUP(G75,'Qualifying Scores'!$A$4:$A$7,'Qualifying Scores'!$G$4:$G$7),U75&gt;=LOOKUP(G75,'Qualifying Scores'!$A$10:$A$13,'Qualifying Scores'!$G$10:$G$13)),AND(X75&gt;=LOOKUP(G75,'Qualifying Scores'!$A$4:$A$7,'Qualifying Scores'!$G$4:$G$7),Y75&gt;=LOOKUP(G75,'Qualifying Scores'!$A$10:$A$13,'Qualifying Scores'!$G$10:$G$13)),AND(V75&gt;=LOOKUP(G75,'Qualifying Scores'!$A$4:$A$7,'Qualifying Scores'!$G$4:$G$7),W75&gt;=LOOKUP(G75,'Qualifying Scores'!$A$10:$A$13,'Qualifying Scores'!$G$10:$G$13)),AND(Z75&gt;=LOOKUP(G75,'Qualifying Scores'!$A$4:$A$7,'Qualifying Scores'!$G$4:$G$7),AA75&gt;=LOOKUP(G75,'Qualifying Scores'!$A$10:$A$13,'Qualifying Scores'!$G$10:$G$13))),"P",""))</f>
        <v/>
      </c>
      <c r="Q75" s="1" t="str">
        <f>IF(A75&lt;5,IF(_xlfn.MAXIFS(A:A,G:G,G75)&gt;3,5-A75,_xlfn.MAXIFS(A:A,G:G,G75)+1-A75),"")</f>
        <v/>
      </c>
      <c r="R75" s="4">
        <f>MAX(T75,X75)</f>
        <v>43.1</v>
      </c>
      <c r="S75" s="4">
        <f>IF(R75=T75,MAX(V75,X75,Z75),IF(R75=X75,MAX(T75,V75,Z75),0))</f>
        <v>41.9</v>
      </c>
      <c r="T75" s="33">
        <v>41.9</v>
      </c>
      <c r="U75" s="40">
        <v>6.5</v>
      </c>
      <c r="V75" s="34">
        <v>39.5</v>
      </c>
      <c r="W75" s="40">
        <v>3.8</v>
      </c>
      <c r="X75" s="33">
        <v>43.1</v>
      </c>
      <c r="Y75" s="40">
        <v>7.3000000000000007</v>
      </c>
      <c r="Z75" s="34">
        <v>40.700000000000003</v>
      </c>
      <c r="AA75" s="37">
        <v>6.5</v>
      </c>
    </row>
    <row r="76" spans="1:27" x14ac:dyDescent="0.2">
      <c r="A76" s="1" t="str" cm="1">
        <f t="array" ref="A76">IF(I76="","",IF(P76&lt;&gt;"",SUMPRODUCT((P$3:P$105&lt;&gt;"")*(G$3:G$105=G76)*(J$3:J$105&gt;J76)*(I$3:I$105="P"))+1,IF(O76&lt;&gt;"",SUMPRODUCT((O$3:O$105&lt;&gt;"")*(P$3:P$105="")*(G$3:G$105=G76)*(J$3:J$105&gt;J76)*(I$3:I$105="P"))+SUMPRODUCT((P$3:P$105&lt;&gt;"")*(G$3:G$105=G76)*(I$3:I$105="P"))+1,IF(N76&lt;&gt;"",SUMPRODUCT((N$3:N$105&lt;&gt;"")*(G$3:G$105=G76)*(J$3:J$105&gt;J76)*(I$3:I$105="P"))+1,IF(M76="P",SUMPRODUCT((O$3:O$105&lt;&gt;"")*(P$3:P$105="")*(G$3:G$105=G76)*(I$3:I$105="P"))+SUMPRODUCT((P$3:P$105&lt;&gt;"")*(G$3:G$105=G76)*(I$3:I$105="P"))+SUMPRODUCT((N$3:N$105&lt;&gt;"")*(G$3:G$105=G76)*(I$3:I$105="P"))+SUMPRODUCT((P$3:P$105="")*(O$3:O$105="")*(N$3:N$105="")*(M$3:M$105="P")*(G$3:G$105=G76)*(J$3:J$105&gt;J76)*(I$3:I$105="P"))+IF(H76="L5",SUMPRODUCT((P$3:P$105="")*(O$3:O$105="")*(N$3:N$105="")*(M$3:M$105="P")*(G$3:G$105=G76)*(J$3:J$105&lt;J76)*(H$3:H$105&lt;&gt;H76)*(I$3:I$105="P")),-1*SUMPRODUCT((P$3:P$105="")*(O$3:O$105="")*(N$3:N$105="")*(M$3:M$105="P")*(G$3:G$105=G76)*(J$3:J$105&gt;J76)*(H$3:H$105="L5")*(I$3:I$105="P")))+1,"")))))</f>
        <v/>
      </c>
      <c r="B76" s="1" t="str" cm="1">
        <f t="array" ref="B76">IF(P76&lt;&gt;"",SUMPRODUCT((P$3:P$105&lt;&gt;"")*(G$3:G$105=G76)*(J$3:J$105&gt;J76))+1,IF(O76&lt;&gt;"",SUMPRODUCT((O$3:O$105&lt;&gt;"")*(P$3:P$105="")*(G$3:G$105=G76)*(J$3:J$105&gt;J76))+SUMPRODUCT((P$3:P$105&lt;&gt;"")*(G$3:G$105=G76))+1,IF(N76&lt;&gt;"",SUMPRODUCT((N$3:N$105&lt;&gt;"")*(G$3:G$105=G76)*(J$3:J$105&gt;J76))+1,IF(M76="P",SUMPRODUCT((O$3:O$105&lt;&gt;"")*(P$3:P$105="")*(G$3:G$105=G76))+SUMPRODUCT((P$3:P$105&lt;&gt;"")*(G$3:G$105=G76))+SUMPRODUCT((N$3:N$105&lt;&gt;"")*(G$3:G$105=G76))+SUMPRODUCT((P$3:P$105="")*(O$3:O$105="")*(N$3:N$105="")*(M$3:M$105="P")*(G$3:G$105=G76)*(J$3:J$105&gt;J76))+IF(H76="L5",SUMPRODUCT((P$3:P$105="")*(O$3:O$105="")*(N$3:N$105="")*(M$3:M$105="P")*(G$3:G$105=G76)*(J$3:J$105&lt;J76)*(H$3:H$105&lt;&gt;H76)),-1*SUMPRODUCT((P$3:P$105="")*(O$3:O$105="")*(N$3:N$105="")*(M$3:M$105="P")*(G$3:G$105=G76)*(J$3:J$105&gt;J76)*(H$3:H$105="L5")))+1,""))))</f>
        <v/>
      </c>
      <c r="C76" s="36" t="s">
        <v>474</v>
      </c>
      <c r="D76" s="36" t="str">
        <f>IF(E76="","",VLOOKUP(E76,'Coaching Points'!A:B,2,0))</f>
        <v>SK</v>
      </c>
      <c r="E76" s="36" t="s">
        <v>60</v>
      </c>
      <c r="F76" s="35">
        <v>2008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9" t="s">
        <v>66</v>
      </c>
      <c r="I76" s="43"/>
      <c r="J76" s="4">
        <f>R76+S76+IF(OR(H76="Junior",H76="Senior"),0.0002,IF(OR(H76="L7",H76="L6"),0.0001,0))+MAX(X76,Z76)*0.0000001</f>
        <v>84.000004309999994</v>
      </c>
      <c r="K76" s="3" t="str">
        <f>IF(G76="Not Age Eligible","",IF(MAX(T76,V76,X76,Z76)&gt;=LOOKUP(G76,'Qualifying Scores'!$A$4:$A$7,'Qualifying Scores'!$G$4:$G$7),"P",""))</f>
        <v/>
      </c>
      <c r="L76" s="3" t="str">
        <f>IF(G76="Not Age Eligible","",IF(MAX(U76,W76,Y76,AA76)&gt;=LOOKUP(G76,'Qualifying Scores'!$A$10:$A$13,'Qualifying Scores'!$G$10:$G$13),"P",""))</f>
        <v/>
      </c>
      <c r="M76" s="3" t="str">
        <f>IF(G76="Not Age Eligible","",IF(OR(AND(T76&gt;=LOOKUP(G76,'Qualifying Scores'!$A$4:$A$7,'Qualifying Scores'!$G$4:$G$7),U76&gt;=LOOKUP(G76,'Qualifying Scores'!$A$10:$A$13,'Qualifying Scores'!$G$10:$G$13)),AND(X76&gt;=LOOKUP(G76,'Qualifying Scores'!$A$4:$A$7,'Qualifying Scores'!$G$4:$G$7),Y76&gt;=LOOKUP(G76,'Qualifying Scores'!$A$10:$A$13,'Qualifying Scores'!$G$10:$G$13)),AND(V76&gt;=LOOKUP(G76,'Qualifying Scores'!$A$4:$A$7,'Qualifying Scores'!$G$4:$G$7),W76&gt;=LOOKUP(G76,'Qualifying Scores'!$A$10:$A$13,'Qualifying Scores'!$G$10:$G$13)),AND(Z76&gt;=LOOKUP(G76,'Qualifying Scores'!$A$4:$A$7,'Qualifying Scores'!$G$4:$G$7),AA76&gt;=LOOKUP(G76,'Qualifying Scores'!$A$10:$A$13,'Qualifying Scores'!$G$10:$G$13))),"P",""))</f>
        <v/>
      </c>
      <c r="Q76" s="1" t="str">
        <f>IF(A76&lt;5,IF(_xlfn.MAXIFS(A:A,G:G,G76)&gt;3,5-A76,_xlfn.MAXIFS(A:A,G:G,G76)+1-A76),"")</f>
        <v/>
      </c>
      <c r="R76" s="4">
        <f>MAX(T76,X76)</f>
        <v>43.1</v>
      </c>
      <c r="S76" s="4">
        <f>IF(R76=T76,MAX(V76,X76,Z76),IF(R76=X76,MAX(T76,V76,Z76),0))</f>
        <v>40.9</v>
      </c>
      <c r="T76" s="33"/>
      <c r="U76" s="40"/>
      <c r="V76" s="34"/>
      <c r="W76" s="40"/>
      <c r="X76" s="33">
        <v>43.1</v>
      </c>
      <c r="Y76" s="40">
        <v>6.3000000000000007</v>
      </c>
      <c r="Z76" s="34">
        <v>40.9</v>
      </c>
      <c r="AA76" s="37">
        <v>4.3000000000000007</v>
      </c>
    </row>
    <row r="77" spans="1:27" x14ac:dyDescent="0.2">
      <c r="A77" s="1" t="str" cm="1">
        <f t="array" ref="A77">IF(I77="","",IF(P77&lt;&gt;"",SUMPRODUCT((P$3:P$105&lt;&gt;"")*(G$3:G$105=G77)*(J$3:J$105&gt;J77)*(I$3:I$105="P"))+1,IF(O77&lt;&gt;"",SUMPRODUCT((O$3:O$105&lt;&gt;"")*(P$3:P$105="")*(G$3:G$105=G77)*(J$3:J$105&gt;J77)*(I$3:I$105="P"))+SUMPRODUCT((P$3:P$105&lt;&gt;"")*(G$3:G$105=G77)*(I$3:I$105="P"))+1,IF(N77&lt;&gt;"",SUMPRODUCT((N$3:N$105&lt;&gt;"")*(G$3:G$105=G77)*(J$3:J$105&gt;J77)*(I$3:I$105="P"))+1,IF(M77="P",SUMPRODUCT((O$3:O$105&lt;&gt;"")*(P$3:P$105="")*(G$3:G$105=G77)*(I$3:I$105="P"))+SUMPRODUCT((P$3:P$105&lt;&gt;"")*(G$3:G$105=G77)*(I$3:I$105="P"))+SUMPRODUCT((N$3:N$105&lt;&gt;"")*(G$3:G$105=G77)*(I$3:I$105="P"))+SUMPRODUCT((P$3:P$105="")*(O$3:O$105="")*(N$3:N$105="")*(M$3:M$105="P")*(G$3:G$105=G77)*(J$3:J$105&gt;J77)*(I$3:I$105="P"))+IF(H77="L5",SUMPRODUCT((P$3:P$105="")*(O$3:O$105="")*(N$3:N$105="")*(M$3:M$105="P")*(G$3:G$105=G77)*(J$3:J$105&lt;J77)*(H$3:H$105&lt;&gt;H77)*(I$3:I$105="P")),-1*SUMPRODUCT((P$3:P$105="")*(O$3:O$105="")*(N$3:N$105="")*(M$3:M$105="P")*(G$3:G$105=G77)*(J$3:J$105&gt;J77)*(H$3:H$105="L5")*(I$3:I$105="P")))+1,"")))))</f>
        <v/>
      </c>
      <c r="B77" s="1" t="str" cm="1">
        <f t="array" ref="B77">IF(P77&lt;&gt;"",SUMPRODUCT((P$3:P$105&lt;&gt;"")*(G$3:G$105=G77)*(J$3:J$105&gt;J77))+1,IF(O77&lt;&gt;"",SUMPRODUCT((O$3:O$105&lt;&gt;"")*(P$3:P$105="")*(G$3:G$105=G77)*(J$3:J$105&gt;J77))+SUMPRODUCT((P$3:P$105&lt;&gt;"")*(G$3:G$105=G77))+1,IF(N77&lt;&gt;"",SUMPRODUCT((N$3:N$105&lt;&gt;"")*(G$3:G$105=G77)*(J$3:J$105&gt;J77))+1,IF(M77="P",SUMPRODUCT((O$3:O$105&lt;&gt;"")*(P$3:P$105="")*(G$3:G$105=G77))+SUMPRODUCT((P$3:P$105&lt;&gt;"")*(G$3:G$105=G77))+SUMPRODUCT((N$3:N$105&lt;&gt;"")*(G$3:G$105=G77))+SUMPRODUCT((P$3:P$105="")*(O$3:O$105="")*(N$3:N$105="")*(M$3:M$105="P")*(G$3:G$105=G77)*(J$3:J$105&gt;J77))+IF(H77="L5",SUMPRODUCT((P$3:P$105="")*(O$3:O$105="")*(N$3:N$105="")*(M$3:M$105="P")*(G$3:G$105=G77)*(J$3:J$105&lt;J77)*(H$3:H$105&lt;&gt;H77)),-1*SUMPRODUCT((P$3:P$105="")*(O$3:O$105="")*(N$3:N$105="")*(M$3:M$105="P")*(G$3:G$105=G77)*(J$3:J$105&gt;J77)*(H$3:H$105="L5")))+1,""))))</f>
        <v/>
      </c>
      <c r="C77" s="36" t="s">
        <v>353</v>
      </c>
      <c r="D77" s="36" t="str">
        <f>IF(E77="","",VLOOKUP(E77,'Coaching Points'!A:B,2,0))</f>
        <v>ON</v>
      </c>
      <c r="E77" s="36" t="s">
        <v>47</v>
      </c>
      <c r="F77" s="35">
        <v>2007</v>
      </c>
      <c r="G77" s="1" t="str">
        <f>IF('Qualifying Scores'!$B$1-F77&gt;21,"Not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9" t="s">
        <v>66</v>
      </c>
      <c r="I77" s="43"/>
      <c r="J77" s="4">
        <f>R77+S77+IF(OR(H77="Junior",H77="Senior"),0.0002,IF(OR(H77="L7",H77="L6"),0.0001,0))+MAX(X77,Z77)*0.0000001</f>
        <v>83.80000403999999</v>
      </c>
      <c r="K77" s="3" t="str">
        <f>IF(G77="Not Age Eligible","",IF(MAX(T77,V77,X77,Z77)&gt;=LOOKUP(G77,'Qualifying Scores'!$A$4:$A$7,'Qualifying Scores'!$G$4:$G$7),"P",""))</f>
        <v/>
      </c>
      <c r="L77" s="3" t="str">
        <f>IF(G77="Not Age Eligible","",IF(MAX(U77,W77,Y77,AA77)&gt;=LOOKUP(G77,'Qualifying Scores'!$A$10:$A$13,'Qualifying Scores'!$G$10:$G$13),"P",""))</f>
        <v/>
      </c>
      <c r="M77" s="3" t="str">
        <f>IF(G77="Not Age Eligible","",IF(OR(AND(T77&gt;=LOOKUP(G77,'Qualifying Scores'!$A$4:$A$7,'Qualifying Scores'!$G$4:$G$7),U77&gt;=LOOKUP(G77,'Qualifying Scores'!$A$10:$A$13,'Qualifying Scores'!$G$10:$G$13)),AND(X77&gt;=LOOKUP(G77,'Qualifying Scores'!$A$4:$A$7,'Qualifying Scores'!$G$4:$G$7),Y77&gt;=LOOKUP(G77,'Qualifying Scores'!$A$10:$A$13,'Qualifying Scores'!$G$10:$G$13)),AND(V77&gt;=LOOKUP(G77,'Qualifying Scores'!$A$4:$A$7,'Qualifying Scores'!$G$4:$G$7),W77&gt;=LOOKUP(G77,'Qualifying Scores'!$A$10:$A$13,'Qualifying Scores'!$G$10:$G$13)),AND(Z77&gt;=LOOKUP(G77,'Qualifying Scores'!$A$4:$A$7,'Qualifying Scores'!$G$4:$G$7),AA77&gt;=LOOKUP(G77,'Qualifying Scores'!$A$10:$A$13,'Qualifying Scores'!$G$10:$G$13))),"P",""))</f>
        <v/>
      </c>
      <c r="Q77" s="1" t="str">
        <f>IF(A77&lt;5,IF(_xlfn.MAXIFS(A:A,G:G,G77)&gt;3,5-A77,_xlfn.MAXIFS(A:A,G:G,G77)+1-A77),"")</f>
        <v/>
      </c>
      <c r="R77" s="4">
        <f>MAX(T77,X77)</f>
        <v>42.3</v>
      </c>
      <c r="S77" s="4">
        <f>IF(R77=T77,MAX(V77,X77,Z77),IF(R77=X77,MAX(T77,V77,Z77),0))</f>
        <v>41.5</v>
      </c>
      <c r="T77" s="33">
        <v>42.3</v>
      </c>
      <c r="U77" s="40">
        <v>4.9000000000000004</v>
      </c>
      <c r="V77" s="34">
        <v>41.5</v>
      </c>
      <c r="W77" s="40">
        <v>4</v>
      </c>
      <c r="X77" s="33">
        <v>40.4</v>
      </c>
      <c r="Y77" s="40">
        <v>4.9000000000000004</v>
      </c>
      <c r="Z77" s="34"/>
      <c r="AA77" s="37"/>
    </row>
    <row r="78" spans="1:27" x14ac:dyDescent="0.2">
      <c r="A78" s="1" t="str" cm="1">
        <f t="array" ref="A78">IF(I78="","",IF(P78&lt;&gt;"",SUMPRODUCT((P$3:P$105&lt;&gt;"")*(G$3:G$105=G78)*(J$3:J$105&gt;J78)*(I$3:I$105="P"))+1,IF(O78&lt;&gt;"",SUMPRODUCT((O$3:O$105&lt;&gt;"")*(P$3:P$105="")*(G$3:G$105=G78)*(J$3:J$105&gt;J78)*(I$3:I$105="P"))+SUMPRODUCT((P$3:P$105&lt;&gt;"")*(G$3:G$105=G78)*(I$3:I$105="P"))+1,IF(N78&lt;&gt;"",SUMPRODUCT((N$3:N$105&lt;&gt;"")*(G$3:G$105=G78)*(J$3:J$105&gt;J78)*(I$3:I$105="P"))+1,IF(M78="P",SUMPRODUCT((O$3:O$105&lt;&gt;"")*(P$3:P$105="")*(G$3:G$105=G78)*(I$3:I$105="P"))+SUMPRODUCT((P$3:P$105&lt;&gt;"")*(G$3:G$105=G78)*(I$3:I$105="P"))+SUMPRODUCT((N$3:N$105&lt;&gt;"")*(G$3:G$105=G78)*(I$3:I$105="P"))+SUMPRODUCT((P$3:P$105="")*(O$3:O$105="")*(N$3:N$105="")*(M$3:M$105="P")*(G$3:G$105=G78)*(J$3:J$105&gt;J78)*(I$3:I$105="P"))+IF(H78="L5",SUMPRODUCT((P$3:P$105="")*(O$3:O$105="")*(N$3:N$105="")*(M$3:M$105="P")*(G$3:G$105=G78)*(J$3:J$105&lt;J78)*(H$3:H$105&lt;&gt;H78)*(I$3:I$105="P")),-1*SUMPRODUCT((P$3:P$105="")*(O$3:O$105="")*(N$3:N$105="")*(M$3:M$105="P")*(G$3:G$105=G78)*(J$3:J$105&gt;J78)*(H$3:H$105="L5")*(I$3:I$105="P")))+1,"")))))</f>
        <v/>
      </c>
      <c r="B78" s="1" t="str" cm="1">
        <f t="array" ref="B78">IF(P78&lt;&gt;"",SUMPRODUCT((P$3:P$105&lt;&gt;"")*(G$3:G$105=G78)*(J$3:J$105&gt;J78))+1,IF(O78&lt;&gt;"",SUMPRODUCT((O$3:O$105&lt;&gt;"")*(P$3:P$105="")*(G$3:G$105=G78)*(J$3:J$105&gt;J78))+SUMPRODUCT((P$3:P$105&lt;&gt;"")*(G$3:G$105=G78))+1,IF(N78&lt;&gt;"",SUMPRODUCT((N$3:N$105&lt;&gt;"")*(G$3:G$105=G78)*(J$3:J$105&gt;J78))+1,IF(M78="P",SUMPRODUCT((O$3:O$105&lt;&gt;"")*(P$3:P$105="")*(G$3:G$105=G78))+SUMPRODUCT((P$3:P$105&lt;&gt;"")*(G$3:G$105=G78))+SUMPRODUCT((N$3:N$105&lt;&gt;"")*(G$3:G$105=G78))+SUMPRODUCT((P$3:P$105="")*(O$3:O$105="")*(N$3:N$105="")*(M$3:M$105="P")*(G$3:G$105=G78)*(J$3:J$105&gt;J78))+IF(H78="L5",SUMPRODUCT((P$3:P$105="")*(O$3:O$105="")*(N$3:N$105="")*(M$3:M$105="P")*(G$3:G$105=G78)*(J$3:J$105&lt;J78)*(H$3:H$105&lt;&gt;H78)),-1*SUMPRODUCT((P$3:P$105="")*(O$3:O$105="")*(N$3:N$105="")*(M$3:M$105="P")*(G$3:G$105=G78)*(J$3:J$105&gt;J78)*(H$3:H$105="L5")))+1,""))))</f>
        <v/>
      </c>
      <c r="C78" s="36" t="s">
        <v>563</v>
      </c>
      <c r="D78" s="36" t="str">
        <f>IF(E78="","",VLOOKUP(E78,'Coaching Points'!A:B,2,0))</f>
        <v>BC</v>
      </c>
      <c r="E78" s="36" t="s">
        <v>282</v>
      </c>
      <c r="F78" s="35">
        <v>2007</v>
      </c>
      <c r="G78" s="1" t="str">
        <f>IF('Qualifying Scores'!$B$1-F78&gt;21,"Not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9" t="s">
        <v>66</v>
      </c>
      <c r="I78" s="43"/>
      <c r="J78" s="4">
        <f>R78+S78+IF(OR(H78="Junior",H78="Senior"),0.0002,IF(OR(H78="L7",H78="L6"),0.0001,0))+MAX(X78,Z78)*0.0000001</f>
        <v>83.000004349999998</v>
      </c>
      <c r="K78" s="3" t="str">
        <f>IF(G78="Not Age Eligible","",IF(MAX(T78,V78,X78,Z78)&gt;=LOOKUP(G78,'Qualifying Scores'!$A$4:$A$7,'Qualifying Scores'!$G$4:$G$7),"P",""))</f>
        <v/>
      </c>
      <c r="L78" s="3" t="str">
        <f>IF(G78="Not Age Eligible","",IF(MAX(U78,W78,Y78,AA78)&gt;=LOOKUP(G78,'Qualifying Scores'!$A$10:$A$13,'Qualifying Scores'!$G$10:$G$13),"P",""))</f>
        <v/>
      </c>
      <c r="M78" s="3" t="str">
        <f>IF(G78="Not Age Eligible","",IF(OR(AND(T78&gt;=LOOKUP(G78,'Qualifying Scores'!$A$4:$A$7,'Qualifying Scores'!$G$4:$G$7),U78&gt;=LOOKUP(G78,'Qualifying Scores'!$A$10:$A$13,'Qualifying Scores'!$G$10:$G$13)),AND(X78&gt;=LOOKUP(G78,'Qualifying Scores'!$A$4:$A$7,'Qualifying Scores'!$G$4:$G$7),Y78&gt;=LOOKUP(G78,'Qualifying Scores'!$A$10:$A$13,'Qualifying Scores'!$G$10:$G$13)),AND(V78&gt;=LOOKUP(G78,'Qualifying Scores'!$A$4:$A$7,'Qualifying Scores'!$G$4:$G$7),W78&gt;=LOOKUP(G78,'Qualifying Scores'!$A$10:$A$13,'Qualifying Scores'!$G$10:$G$13)),AND(Z78&gt;=LOOKUP(G78,'Qualifying Scores'!$A$4:$A$7,'Qualifying Scores'!$G$4:$G$7),AA78&gt;=LOOKUP(G78,'Qualifying Scores'!$A$10:$A$13,'Qualifying Scores'!$G$10:$G$13))),"P",""))</f>
        <v/>
      </c>
      <c r="Q78" s="1" t="str">
        <f>IF(A78&lt;5,IF(_xlfn.MAXIFS(A:A,G:G,G78)&gt;3,5-A78,_xlfn.MAXIFS(A:A,G:G,G78)+1-A78),"")</f>
        <v/>
      </c>
      <c r="R78" s="4">
        <f>MAX(T78,X78)</f>
        <v>43.5</v>
      </c>
      <c r="S78" s="4">
        <f>IF(R78=T78,MAX(V78,X78,Z78),IF(R78=X78,MAX(T78,V78,Z78),0))</f>
        <v>39.5</v>
      </c>
      <c r="T78" s="33"/>
      <c r="U78" s="40"/>
      <c r="V78" s="34"/>
      <c r="W78" s="40"/>
      <c r="X78" s="33">
        <v>43.5</v>
      </c>
      <c r="Y78" s="40">
        <v>6.2</v>
      </c>
      <c r="Z78" s="34">
        <v>39.5</v>
      </c>
      <c r="AA78" s="37">
        <v>4</v>
      </c>
    </row>
    <row r="79" spans="1:27" x14ac:dyDescent="0.2">
      <c r="A79" s="1" t="str" cm="1">
        <f t="array" ref="A79">IF(I79="","",IF(P79&lt;&gt;"",SUMPRODUCT((P$3:P$105&lt;&gt;"")*(G$3:G$105=G79)*(J$3:J$105&gt;J79)*(I$3:I$105="P"))+1,IF(O79&lt;&gt;"",SUMPRODUCT((O$3:O$105&lt;&gt;"")*(P$3:P$105="")*(G$3:G$105=G79)*(J$3:J$105&gt;J79)*(I$3:I$105="P"))+SUMPRODUCT((P$3:P$105&lt;&gt;"")*(G$3:G$105=G79)*(I$3:I$105="P"))+1,IF(N79&lt;&gt;"",SUMPRODUCT((N$3:N$105&lt;&gt;"")*(G$3:G$105=G79)*(J$3:J$105&gt;J79)*(I$3:I$105="P"))+1,IF(M79="P",SUMPRODUCT((O$3:O$105&lt;&gt;"")*(P$3:P$105="")*(G$3:G$105=G79)*(I$3:I$105="P"))+SUMPRODUCT((P$3:P$105&lt;&gt;"")*(G$3:G$105=G79)*(I$3:I$105="P"))+SUMPRODUCT((N$3:N$105&lt;&gt;"")*(G$3:G$105=G79)*(I$3:I$105="P"))+SUMPRODUCT((P$3:P$105="")*(O$3:O$105="")*(N$3:N$105="")*(M$3:M$105="P")*(G$3:G$105=G79)*(J$3:J$105&gt;J79)*(I$3:I$105="P"))+IF(H79="L5",SUMPRODUCT((P$3:P$105="")*(O$3:O$105="")*(N$3:N$105="")*(M$3:M$105="P")*(G$3:G$105=G79)*(J$3:J$105&lt;J79)*(H$3:H$105&lt;&gt;H79)*(I$3:I$105="P")),-1*SUMPRODUCT((P$3:P$105="")*(O$3:O$105="")*(N$3:N$105="")*(M$3:M$105="P")*(G$3:G$105=G79)*(J$3:J$105&gt;J79)*(H$3:H$105="L5")*(I$3:I$105="P")))+1,"")))))</f>
        <v/>
      </c>
      <c r="B79" s="1" t="str" cm="1">
        <f t="array" ref="B79">IF(P79&lt;&gt;"",SUMPRODUCT((P$3:P$105&lt;&gt;"")*(G$3:G$105=G79)*(J$3:J$105&gt;J79))+1,IF(O79&lt;&gt;"",SUMPRODUCT((O$3:O$105&lt;&gt;"")*(P$3:P$105="")*(G$3:G$105=G79)*(J$3:J$105&gt;J79))+SUMPRODUCT((P$3:P$105&lt;&gt;"")*(G$3:G$105=G79))+1,IF(N79&lt;&gt;"",SUMPRODUCT((N$3:N$105&lt;&gt;"")*(G$3:G$105=G79)*(J$3:J$105&gt;J79))+1,IF(M79="P",SUMPRODUCT((O$3:O$105&lt;&gt;"")*(P$3:P$105="")*(G$3:G$105=G79))+SUMPRODUCT((P$3:P$105&lt;&gt;"")*(G$3:G$105=G79))+SUMPRODUCT((N$3:N$105&lt;&gt;"")*(G$3:G$105=G79))+SUMPRODUCT((P$3:P$105="")*(O$3:O$105="")*(N$3:N$105="")*(M$3:M$105="P")*(G$3:G$105=G79)*(J$3:J$105&gt;J79))+IF(H79="L5",SUMPRODUCT((P$3:P$105="")*(O$3:O$105="")*(N$3:N$105="")*(M$3:M$105="P")*(G$3:G$105=G79)*(J$3:J$105&lt;J79)*(H$3:H$105&lt;&gt;H79)),-1*SUMPRODUCT((P$3:P$105="")*(O$3:O$105="")*(N$3:N$105="")*(M$3:M$105="P")*(G$3:G$105=G79)*(J$3:J$105&gt;J79)*(H$3:H$105="L5")))+1,""))))</f>
        <v/>
      </c>
      <c r="C79" s="36" t="s">
        <v>300</v>
      </c>
      <c r="D79" s="36" t="str">
        <f>IF(E79="","",VLOOKUP(E79,'Coaching Points'!A:B,2,0))</f>
        <v>AB</v>
      </c>
      <c r="E79" s="36" t="s">
        <v>29</v>
      </c>
      <c r="F79" s="35">
        <v>2007</v>
      </c>
      <c r="G79" s="1" t="str">
        <f>IF('Qualifying Scores'!$B$1-F79&gt;21,"Not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9" t="s">
        <v>66</v>
      </c>
      <c r="I79" s="43" t="s">
        <v>567</v>
      </c>
      <c r="J79" s="4">
        <f>R79+S79+IF(OR(H79="Junior",H79="Senior"),0.0002,IF(OR(H79="L7",H79="L6"),0.0001,0))+MAX(X79,Z79)*0.0000001</f>
        <v>83.00000412</v>
      </c>
      <c r="K79" s="3" t="str">
        <f>IF(G79="Not Age Eligible","",IF(MAX(T79,V79,X79,Z79)&gt;=LOOKUP(G79,'Qualifying Scores'!$A$4:$A$7,'Qualifying Scores'!$G$4:$G$7),"P",""))</f>
        <v/>
      </c>
      <c r="L79" s="3" t="str">
        <f>IF(G79="Not Age Eligible","",IF(MAX(U79,W79,Y79,AA79)&gt;=LOOKUP(G79,'Qualifying Scores'!$A$10:$A$13,'Qualifying Scores'!$G$10:$G$13),"P",""))</f>
        <v/>
      </c>
      <c r="M79" s="3" t="str">
        <f>IF(G79="Not Age Eligible","",IF(OR(AND(T79&gt;=LOOKUP(G79,'Qualifying Scores'!$A$4:$A$7,'Qualifying Scores'!$G$4:$G$7),U79&gt;=LOOKUP(G79,'Qualifying Scores'!$A$10:$A$13,'Qualifying Scores'!$G$10:$G$13)),AND(X79&gt;=LOOKUP(G79,'Qualifying Scores'!$A$4:$A$7,'Qualifying Scores'!$G$4:$G$7),Y79&gt;=LOOKUP(G79,'Qualifying Scores'!$A$10:$A$13,'Qualifying Scores'!$G$10:$G$13)),AND(V79&gt;=LOOKUP(G79,'Qualifying Scores'!$A$4:$A$7,'Qualifying Scores'!$G$4:$G$7),W79&gt;=LOOKUP(G79,'Qualifying Scores'!$A$10:$A$13,'Qualifying Scores'!$G$10:$G$13)),AND(Z79&gt;=LOOKUP(G79,'Qualifying Scores'!$A$4:$A$7,'Qualifying Scores'!$G$4:$G$7),AA79&gt;=LOOKUP(G79,'Qualifying Scores'!$A$10:$A$13,'Qualifying Scores'!$G$10:$G$13))),"P",""))</f>
        <v/>
      </c>
      <c r="Q79" s="1" t="str">
        <f>IF(A79&lt;5,IF(_xlfn.MAXIFS(A:A,G:G,G79)&gt;3,5-A79,_xlfn.MAXIFS(A:A,G:G,G79)+1-A79),"")</f>
        <v/>
      </c>
      <c r="R79" s="4">
        <f>MAX(T79,X79)</f>
        <v>41.8</v>
      </c>
      <c r="S79" s="4">
        <f>IF(R79=T79,MAX(V79,X79,Z79),IF(R79=X79,MAX(T79,V79,Z79),0))</f>
        <v>41.2</v>
      </c>
      <c r="T79" s="33">
        <v>41.8</v>
      </c>
      <c r="U79" s="40">
        <v>4.8000000000000007</v>
      </c>
      <c r="V79" s="34">
        <v>39.700000000000003</v>
      </c>
      <c r="W79" s="40">
        <v>5</v>
      </c>
      <c r="X79" s="33">
        <v>41.2</v>
      </c>
      <c r="Y79" s="40">
        <v>6.3000000000000007</v>
      </c>
      <c r="Z79" s="34">
        <v>40.799999999999997</v>
      </c>
      <c r="AA79" s="37">
        <v>5.6999999999999993</v>
      </c>
    </row>
    <row r="80" spans="1:27" x14ac:dyDescent="0.2">
      <c r="A80" s="1" t="str" cm="1">
        <f t="array" ref="A80">IF(I80="","",IF(P80&lt;&gt;"",SUMPRODUCT((P$3:P$105&lt;&gt;"")*(G$3:G$105=G80)*(J$3:J$105&gt;J80)*(I$3:I$105="P"))+1,IF(O80&lt;&gt;"",SUMPRODUCT((O$3:O$105&lt;&gt;"")*(P$3:P$105="")*(G$3:G$105=G80)*(J$3:J$105&gt;J80)*(I$3:I$105="P"))+SUMPRODUCT((P$3:P$105&lt;&gt;"")*(G$3:G$105=G80)*(I$3:I$105="P"))+1,IF(N80&lt;&gt;"",SUMPRODUCT((N$3:N$105&lt;&gt;"")*(G$3:G$105=G80)*(J$3:J$105&gt;J80)*(I$3:I$105="P"))+1,IF(M80="P",SUMPRODUCT((O$3:O$105&lt;&gt;"")*(P$3:P$105="")*(G$3:G$105=G80)*(I$3:I$105="P"))+SUMPRODUCT((P$3:P$105&lt;&gt;"")*(G$3:G$105=G80)*(I$3:I$105="P"))+SUMPRODUCT((N$3:N$105&lt;&gt;"")*(G$3:G$105=G80)*(I$3:I$105="P"))+SUMPRODUCT((P$3:P$105="")*(O$3:O$105="")*(N$3:N$105="")*(M$3:M$105="P")*(G$3:G$105=G80)*(J$3:J$105&gt;J80)*(I$3:I$105="P"))+IF(H80="L5",SUMPRODUCT((P$3:P$105="")*(O$3:O$105="")*(N$3:N$105="")*(M$3:M$105="P")*(G$3:G$105=G80)*(J$3:J$105&lt;J80)*(H$3:H$105&lt;&gt;H80)*(I$3:I$105="P")),-1*SUMPRODUCT((P$3:P$105="")*(O$3:O$105="")*(N$3:N$105="")*(M$3:M$105="P")*(G$3:G$105=G80)*(J$3:J$105&gt;J80)*(H$3:H$105="L5")*(I$3:I$105="P")))+1,"")))))</f>
        <v/>
      </c>
      <c r="B80" s="1" t="str" cm="1">
        <f t="array" ref="B80">IF(P80&lt;&gt;"",SUMPRODUCT((P$3:P$105&lt;&gt;"")*(G$3:G$105=G80)*(J$3:J$105&gt;J80))+1,IF(O80&lt;&gt;"",SUMPRODUCT((O$3:O$105&lt;&gt;"")*(P$3:P$105="")*(G$3:G$105=G80)*(J$3:J$105&gt;J80))+SUMPRODUCT((P$3:P$105&lt;&gt;"")*(G$3:G$105=G80))+1,IF(N80&lt;&gt;"",SUMPRODUCT((N$3:N$105&lt;&gt;"")*(G$3:G$105=G80)*(J$3:J$105&gt;J80))+1,IF(M80="P",SUMPRODUCT((O$3:O$105&lt;&gt;"")*(P$3:P$105="")*(G$3:G$105=G80))+SUMPRODUCT((P$3:P$105&lt;&gt;"")*(G$3:G$105=G80))+SUMPRODUCT((N$3:N$105&lt;&gt;"")*(G$3:G$105=G80))+SUMPRODUCT((P$3:P$105="")*(O$3:O$105="")*(N$3:N$105="")*(M$3:M$105="P")*(G$3:G$105=G80)*(J$3:J$105&gt;J80))+IF(H80="L5",SUMPRODUCT((P$3:P$105="")*(O$3:O$105="")*(N$3:N$105="")*(M$3:M$105="P")*(G$3:G$105=G80)*(J$3:J$105&lt;J80)*(H$3:H$105&lt;&gt;H80)),-1*SUMPRODUCT((P$3:P$105="")*(O$3:O$105="")*(N$3:N$105="")*(M$3:M$105="P")*(G$3:G$105=G80)*(J$3:J$105&gt;J80)*(H$3:H$105="L5")))+1,""))))</f>
        <v/>
      </c>
      <c r="C80" s="36" t="s">
        <v>302</v>
      </c>
      <c r="D80" s="36" t="s">
        <v>197</v>
      </c>
      <c r="E80" s="36" t="s">
        <v>58</v>
      </c>
      <c r="F80" s="35">
        <v>2008</v>
      </c>
      <c r="G80" s="1" t="str">
        <f>IF('Qualifying Scores'!$B$1-F80&gt;21,"Not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9" t="s">
        <v>66</v>
      </c>
      <c r="I80" s="43" t="s">
        <v>567</v>
      </c>
      <c r="J80" s="4">
        <f>R80+S80+IF(OR(H80="Junior",H80="Senior"),0.0002,IF(OR(H80="L7",H80="L6"),0.0001,0))+MAX(X80,Z80)*0.0000001</f>
        <v>81.800003910000015</v>
      </c>
      <c r="K80" s="3" t="str">
        <f>IF(G80="Not Age Eligible","",IF(MAX(T80,V80,X80,Z80)&gt;=LOOKUP(G80,'Qualifying Scores'!$A$4:$A$7,'Qualifying Scores'!$G$4:$G$7),"P",""))</f>
        <v/>
      </c>
      <c r="L80" s="3" t="str">
        <f>IF(G80="Not Age Eligible","",IF(MAX(U80,W80,Y80,AA80)&gt;=LOOKUP(G80,'Qualifying Scores'!$A$10:$A$13,'Qualifying Scores'!$G$10:$G$13),"P",""))</f>
        <v/>
      </c>
      <c r="M80" s="3" t="str">
        <f>IF(G80="Not Age Eligible","",IF(OR(AND(T80&gt;=LOOKUP(G80,'Qualifying Scores'!$A$4:$A$7,'Qualifying Scores'!$G$4:$G$7),U80&gt;=LOOKUP(G80,'Qualifying Scores'!$A$10:$A$13,'Qualifying Scores'!$G$10:$G$13)),AND(X80&gt;=LOOKUP(G80,'Qualifying Scores'!$A$4:$A$7,'Qualifying Scores'!$G$4:$G$7),Y80&gt;=LOOKUP(G80,'Qualifying Scores'!$A$10:$A$13,'Qualifying Scores'!$G$10:$G$13)),AND(V80&gt;=LOOKUP(G80,'Qualifying Scores'!$A$4:$A$7,'Qualifying Scores'!$G$4:$G$7),W80&gt;=LOOKUP(G80,'Qualifying Scores'!$A$10:$A$13,'Qualifying Scores'!$G$10:$G$13)),AND(Z80&gt;=LOOKUP(G80,'Qualifying Scores'!$A$4:$A$7,'Qualifying Scores'!$G$4:$G$7),AA80&gt;=LOOKUP(G80,'Qualifying Scores'!$A$10:$A$13,'Qualifying Scores'!$G$10:$G$13))),"P",""))</f>
        <v/>
      </c>
      <c r="Q80" s="1" t="str">
        <f>IF(A80&lt;5,IF(_xlfn.MAXIFS(A:A,G:G,G80)&gt;3,5-A80,_xlfn.MAXIFS(A:A,G:G,G80)+1-A80),"")</f>
        <v/>
      </c>
      <c r="R80" s="4">
        <f>MAX(T80,X80)</f>
        <v>42.7</v>
      </c>
      <c r="S80" s="4">
        <f>IF(R80=T80,MAX(V80,X80,Z80),IF(R80=X80,MAX(T80,V80,Z80),0))</f>
        <v>39.1</v>
      </c>
      <c r="T80" s="33">
        <v>42.7</v>
      </c>
      <c r="U80" s="40">
        <v>6.3000000000000007</v>
      </c>
      <c r="V80" s="34">
        <v>38</v>
      </c>
      <c r="W80" s="40">
        <v>4</v>
      </c>
      <c r="X80" s="33">
        <v>39.1</v>
      </c>
      <c r="Y80" s="40">
        <v>4.5</v>
      </c>
      <c r="Z80" s="34"/>
      <c r="AA80" s="37"/>
    </row>
    <row r="81" spans="1:27" x14ac:dyDescent="0.2">
      <c r="A81" s="1" t="str" cm="1">
        <f t="array" ref="A81">IF(I81="","",IF(P81&lt;&gt;"",SUMPRODUCT((P$3:P$105&lt;&gt;"")*(G$3:G$105=G81)*(J$3:J$105&gt;J81)*(I$3:I$105="P"))+1,IF(O81&lt;&gt;"",SUMPRODUCT((O$3:O$105&lt;&gt;"")*(P$3:P$105="")*(G$3:G$105=G81)*(J$3:J$105&gt;J81)*(I$3:I$105="P"))+SUMPRODUCT((P$3:P$105&lt;&gt;"")*(G$3:G$105=G81)*(I$3:I$105="P"))+1,IF(N81&lt;&gt;"",SUMPRODUCT((N$3:N$105&lt;&gt;"")*(G$3:G$105=G81)*(J$3:J$105&gt;J81)*(I$3:I$105="P"))+1,IF(M81="P",SUMPRODUCT((O$3:O$105&lt;&gt;"")*(P$3:P$105="")*(G$3:G$105=G81)*(I$3:I$105="P"))+SUMPRODUCT((P$3:P$105&lt;&gt;"")*(G$3:G$105=G81)*(I$3:I$105="P"))+SUMPRODUCT((N$3:N$105&lt;&gt;"")*(G$3:G$105=G81)*(I$3:I$105="P"))+SUMPRODUCT((P$3:P$105="")*(O$3:O$105="")*(N$3:N$105="")*(M$3:M$105="P")*(G$3:G$105=G81)*(J$3:J$105&gt;J81)*(I$3:I$105="P"))+IF(H81="L5",SUMPRODUCT((P$3:P$105="")*(O$3:O$105="")*(N$3:N$105="")*(M$3:M$105="P")*(G$3:G$105=G81)*(J$3:J$105&lt;J81)*(H$3:H$105&lt;&gt;H81)*(I$3:I$105="P")),-1*SUMPRODUCT((P$3:P$105="")*(O$3:O$105="")*(N$3:N$105="")*(M$3:M$105="P")*(G$3:G$105=G81)*(J$3:J$105&gt;J81)*(H$3:H$105="L5")*(I$3:I$105="P")))+1,"")))))</f>
        <v/>
      </c>
      <c r="B81" s="1" t="str" cm="1">
        <f t="array" ref="B81">IF(P81&lt;&gt;"",SUMPRODUCT((P$3:P$105&lt;&gt;"")*(G$3:G$105=G81)*(J$3:J$105&gt;J81))+1,IF(O81&lt;&gt;"",SUMPRODUCT((O$3:O$105&lt;&gt;"")*(P$3:P$105="")*(G$3:G$105=G81)*(J$3:J$105&gt;J81))+SUMPRODUCT((P$3:P$105&lt;&gt;"")*(G$3:G$105=G81))+1,IF(N81&lt;&gt;"",SUMPRODUCT((N$3:N$105&lt;&gt;"")*(G$3:G$105=G81)*(J$3:J$105&gt;J81))+1,IF(M81="P",SUMPRODUCT((O$3:O$105&lt;&gt;"")*(P$3:P$105="")*(G$3:G$105=G81))+SUMPRODUCT((P$3:P$105&lt;&gt;"")*(G$3:G$105=G81))+SUMPRODUCT((N$3:N$105&lt;&gt;"")*(G$3:G$105=G81))+SUMPRODUCT((P$3:P$105="")*(O$3:O$105="")*(N$3:N$105="")*(M$3:M$105="P")*(G$3:G$105=G81)*(J$3:J$105&gt;J81))+IF(H81="L5",SUMPRODUCT((P$3:P$105="")*(O$3:O$105="")*(N$3:N$105="")*(M$3:M$105="P")*(G$3:G$105=G81)*(J$3:J$105&lt;J81)*(H$3:H$105&lt;&gt;H81)),-1*SUMPRODUCT((P$3:P$105="")*(O$3:O$105="")*(N$3:N$105="")*(M$3:M$105="P")*(G$3:G$105=G81)*(J$3:J$105&gt;J81)*(H$3:H$105="L5")))+1,""))))</f>
        <v/>
      </c>
      <c r="C81" s="36" t="s">
        <v>240</v>
      </c>
      <c r="D81" s="36" t="s">
        <v>193</v>
      </c>
      <c r="E81" s="36" t="s">
        <v>62</v>
      </c>
      <c r="F81" s="35">
        <v>2007</v>
      </c>
      <c r="G81" s="1" t="str">
        <f>IF('Qualifying Scores'!$B$1-F81&gt;21,"Not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9" t="s">
        <v>66</v>
      </c>
      <c r="I81" s="43"/>
      <c r="J81" s="4">
        <f>R81+S81+IF(OR(H81="Junior",H81="Senior"),0.0002,IF(OR(H81="L7",H81="L6"),0.0001,0))+MAX(X81,Z81)*0.0000001</f>
        <v>81.000004029999999</v>
      </c>
      <c r="K81" s="3" t="str">
        <f>IF(G81="Not Age Eligible","",IF(MAX(T81,V81,X81,Z81)&gt;=LOOKUP(G81,'Qualifying Scores'!$A$4:$A$7,'Qualifying Scores'!$G$4:$G$7),"P",""))</f>
        <v/>
      </c>
      <c r="L81" s="3" t="str">
        <f>IF(G81="Not Age Eligible","",IF(MAX(U81,W81,Y81,AA81)&gt;=LOOKUP(G81,'Qualifying Scores'!$A$10:$A$13,'Qualifying Scores'!$G$10:$G$13),"P",""))</f>
        <v/>
      </c>
      <c r="M81" s="3" t="str">
        <f>IF(G81="Not Age Eligible","",IF(OR(AND(T81&gt;=LOOKUP(G81,'Qualifying Scores'!$A$4:$A$7,'Qualifying Scores'!$G$4:$G$7),U81&gt;=LOOKUP(G81,'Qualifying Scores'!$A$10:$A$13,'Qualifying Scores'!$G$10:$G$13)),AND(X81&gt;=LOOKUP(G81,'Qualifying Scores'!$A$4:$A$7,'Qualifying Scores'!$G$4:$G$7),Y81&gt;=LOOKUP(G81,'Qualifying Scores'!$A$10:$A$13,'Qualifying Scores'!$G$10:$G$13)),AND(V81&gt;=LOOKUP(G81,'Qualifying Scores'!$A$4:$A$7,'Qualifying Scores'!$G$4:$G$7),W81&gt;=LOOKUP(G81,'Qualifying Scores'!$A$10:$A$13,'Qualifying Scores'!$G$10:$G$13)),AND(Z81&gt;=LOOKUP(G81,'Qualifying Scores'!$A$4:$A$7,'Qualifying Scores'!$G$4:$G$7),AA81&gt;=LOOKUP(G81,'Qualifying Scores'!$A$10:$A$13,'Qualifying Scores'!$G$10:$G$13))),"P",""))</f>
        <v/>
      </c>
      <c r="Q81" s="1" t="str">
        <f>IF(A81&lt;5,IF(_xlfn.MAXIFS(A:A,G:G,G81)&gt;3,5-A81,_xlfn.MAXIFS(A:A,G:G,G81)+1-A81),"")</f>
        <v/>
      </c>
      <c r="R81" s="4">
        <f>MAX(T81,X81)</f>
        <v>40.700000000000003</v>
      </c>
      <c r="S81" s="4">
        <f>IF(R81=T81,MAX(V81,X81,Z81),IF(R81=X81,MAX(T81,V81,Z81),0))</f>
        <v>40.299999999999997</v>
      </c>
      <c r="T81" s="33">
        <v>40.700000000000003</v>
      </c>
      <c r="U81" s="40">
        <v>5.5</v>
      </c>
      <c r="V81" s="34"/>
      <c r="W81" s="40"/>
      <c r="X81" s="33">
        <v>40.299999999999997</v>
      </c>
      <c r="Y81" s="40">
        <v>2.9</v>
      </c>
      <c r="Z81" s="34"/>
      <c r="AA81" s="37"/>
    </row>
    <row r="82" spans="1:27" x14ac:dyDescent="0.2">
      <c r="A82" s="1" t="str" cm="1">
        <f t="array" ref="A82">IF(I82="","",IF(P82&lt;&gt;"",SUMPRODUCT((P$3:P$105&lt;&gt;"")*(G$3:G$105=G82)*(J$3:J$105&gt;J82)*(I$3:I$105="P"))+1,IF(O82&lt;&gt;"",SUMPRODUCT((O$3:O$105&lt;&gt;"")*(P$3:P$105="")*(G$3:G$105=G82)*(J$3:J$105&gt;J82)*(I$3:I$105="P"))+SUMPRODUCT((P$3:P$105&lt;&gt;"")*(G$3:G$105=G82)*(I$3:I$105="P"))+1,IF(N82&lt;&gt;"",SUMPRODUCT((N$3:N$105&lt;&gt;"")*(G$3:G$105=G82)*(J$3:J$105&gt;J82)*(I$3:I$105="P"))+1,IF(M82="P",SUMPRODUCT((O$3:O$105&lt;&gt;"")*(P$3:P$105="")*(G$3:G$105=G82)*(I$3:I$105="P"))+SUMPRODUCT((P$3:P$105&lt;&gt;"")*(G$3:G$105=G82)*(I$3:I$105="P"))+SUMPRODUCT((N$3:N$105&lt;&gt;"")*(G$3:G$105=G82)*(I$3:I$105="P"))+SUMPRODUCT((P$3:P$105="")*(O$3:O$105="")*(N$3:N$105="")*(M$3:M$105="P")*(G$3:G$105=G82)*(J$3:J$105&gt;J82)*(I$3:I$105="P"))+IF(H82="L5",SUMPRODUCT((P$3:P$105="")*(O$3:O$105="")*(N$3:N$105="")*(M$3:M$105="P")*(G$3:G$105=G82)*(J$3:J$105&lt;J82)*(H$3:H$105&lt;&gt;H82)*(I$3:I$105="P")),-1*SUMPRODUCT((P$3:P$105="")*(O$3:O$105="")*(N$3:N$105="")*(M$3:M$105="P")*(G$3:G$105=G82)*(J$3:J$105&gt;J82)*(H$3:H$105="L5")*(I$3:I$105="P")))+1,"")))))</f>
        <v/>
      </c>
      <c r="B82" s="1" t="str" cm="1">
        <f t="array" ref="B82">IF(P82&lt;&gt;"",SUMPRODUCT((P$3:P$105&lt;&gt;"")*(G$3:G$105=G82)*(J$3:J$105&gt;J82))+1,IF(O82&lt;&gt;"",SUMPRODUCT((O$3:O$105&lt;&gt;"")*(P$3:P$105="")*(G$3:G$105=G82)*(J$3:J$105&gt;J82))+SUMPRODUCT((P$3:P$105&lt;&gt;"")*(G$3:G$105=G82))+1,IF(N82&lt;&gt;"",SUMPRODUCT((N$3:N$105&lt;&gt;"")*(G$3:G$105=G82)*(J$3:J$105&gt;J82))+1,IF(M82="P",SUMPRODUCT((O$3:O$105&lt;&gt;"")*(P$3:P$105="")*(G$3:G$105=G82))+SUMPRODUCT((P$3:P$105&lt;&gt;"")*(G$3:G$105=G82))+SUMPRODUCT((N$3:N$105&lt;&gt;"")*(G$3:G$105=G82))+SUMPRODUCT((P$3:P$105="")*(O$3:O$105="")*(N$3:N$105="")*(M$3:M$105="P")*(G$3:G$105=G82)*(J$3:J$105&gt;J82))+IF(H82="L5",SUMPRODUCT((P$3:P$105="")*(O$3:O$105="")*(N$3:N$105="")*(M$3:M$105="P")*(G$3:G$105=G82)*(J$3:J$105&lt;J82)*(H$3:H$105&lt;&gt;H82)),-1*SUMPRODUCT((P$3:P$105="")*(O$3:O$105="")*(N$3:N$105="")*(M$3:M$105="P")*(G$3:G$105=G82)*(J$3:J$105&gt;J82)*(H$3:H$105="L5")))+1,""))))</f>
        <v/>
      </c>
      <c r="C82" s="36" t="s">
        <v>264</v>
      </c>
      <c r="D82" s="36" t="s">
        <v>193</v>
      </c>
      <c r="E82" s="36" t="s">
        <v>62</v>
      </c>
      <c r="F82" s="35">
        <v>2007</v>
      </c>
      <c r="G82" s="1" t="str">
        <f>IF('Qualifying Scores'!$B$1-F82&gt;21,"Not Age Eligible",IF('Qualifying Scores'!$B$1-F82&gt;16,"17-21",IF('Qualifying Scores'!$B$1-F82&gt;14,"15-16",IF('Qualifying Scores'!$B$1-F82&gt;12,"13-14",IF('Qualifying Scores'!$B$1-F82&gt;10,"11-12","Not Age Eligible")))))</f>
        <v>15-16</v>
      </c>
      <c r="H82" s="39" t="s">
        <v>66</v>
      </c>
      <c r="I82" s="43"/>
      <c r="J82" s="4">
        <f>R82+S82+IF(OR(H82="Junior",H82="Senior"),0.0002,IF(OR(H82="L7",H82="L6"),0.0001,0))+MAX(X82,Z82)*0.0000001</f>
        <v>81.000003899999996</v>
      </c>
      <c r="K82" s="3" t="str">
        <f>IF(G82="Not Age Eligible","",IF(MAX(T82,V82,X82,Z82)&gt;=LOOKUP(G82,'Qualifying Scores'!$A$4:$A$7,'Qualifying Scores'!$G$4:$G$7),"P",""))</f>
        <v/>
      </c>
      <c r="L82" s="3" t="str">
        <f>IF(G82="Not Age Eligible","",IF(MAX(U82,W82,Y82,AA82)&gt;=LOOKUP(G82,'Qualifying Scores'!$A$10:$A$13,'Qualifying Scores'!$G$10:$G$13),"P",""))</f>
        <v/>
      </c>
      <c r="M82" s="3" t="str">
        <f>IF(G82="Not Age Eligible","",IF(OR(AND(T82&gt;=LOOKUP(G82,'Qualifying Scores'!$A$4:$A$7,'Qualifying Scores'!$G$4:$G$7),U82&gt;=LOOKUP(G82,'Qualifying Scores'!$A$10:$A$13,'Qualifying Scores'!$G$10:$G$13)),AND(X82&gt;=LOOKUP(G82,'Qualifying Scores'!$A$4:$A$7,'Qualifying Scores'!$G$4:$G$7),Y82&gt;=LOOKUP(G82,'Qualifying Scores'!$A$10:$A$13,'Qualifying Scores'!$G$10:$G$13)),AND(V82&gt;=LOOKUP(G82,'Qualifying Scores'!$A$4:$A$7,'Qualifying Scores'!$G$4:$G$7),W82&gt;=LOOKUP(G82,'Qualifying Scores'!$A$10:$A$13,'Qualifying Scores'!$G$10:$G$13)),AND(Z82&gt;=LOOKUP(G82,'Qualifying Scores'!$A$4:$A$7,'Qualifying Scores'!$G$4:$G$7),AA82&gt;=LOOKUP(G82,'Qualifying Scores'!$A$10:$A$13,'Qualifying Scores'!$G$10:$G$13))),"P",""))</f>
        <v/>
      </c>
      <c r="Q82" s="1" t="str">
        <f>IF(A82&lt;5,IF(_xlfn.MAXIFS(A:A,G:G,G82)&gt;3,5-A82,_xlfn.MAXIFS(A:A,G:G,G82)+1-A82),"")</f>
        <v/>
      </c>
      <c r="R82" s="4">
        <f>MAX(T82,X82)</f>
        <v>42</v>
      </c>
      <c r="S82" s="4">
        <f>IF(R82=T82,MAX(V82,X82,Z82),IF(R82=X82,MAX(T82,V82,Z82),0))</f>
        <v>39</v>
      </c>
      <c r="T82" s="33">
        <v>42</v>
      </c>
      <c r="U82" s="40">
        <v>5.8000000000000007</v>
      </c>
      <c r="V82" s="34">
        <v>34.9</v>
      </c>
      <c r="W82" s="40">
        <v>3.9000000000000004</v>
      </c>
      <c r="X82" s="33">
        <v>39</v>
      </c>
      <c r="Y82" s="40">
        <v>3.4000000000000004</v>
      </c>
      <c r="Z82" s="34"/>
      <c r="AA82" s="37"/>
    </row>
    <row r="83" spans="1:27" x14ac:dyDescent="0.2">
      <c r="A83" s="1" t="str" cm="1">
        <f t="array" ref="A83">IF(I83="","",IF(P83&lt;&gt;"",SUMPRODUCT((P$3:P$105&lt;&gt;"")*(G$3:G$105=G83)*(J$3:J$105&gt;J83)*(I$3:I$105="P"))+1,IF(O83&lt;&gt;"",SUMPRODUCT((O$3:O$105&lt;&gt;"")*(P$3:P$105="")*(G$3:G$105=G83)*(J$3:J$105&gt;J83)*(I$3:I$105="P"))+SUMPRODUCT((P$3:P$105&lt;&gt;"")*(G$3:G$105=G83)*(I$3:I$105="P"))+1,IF(N83&lt;&gt;"",SUMPRODUCT((N$3:N$105&lt;&gt;"")*(G$3:G$105=G83)*(J$3:J$105&gt;J83)*(I$3:I$105="P"))+1,IF(M83="P",SUMPRODUCT((O$3:O$105&lt;&gt;"")*(P$3:P$105="")*(G$3:G$105=G83)*(I$3:I$105="P"))+SUMPRODUCT((P$3:P$105&lt;&gt;"")*(G$3:G$105=G83)*(I$3:I$105="P"))+SUMPRODUCT((N$3:N$105&lt;&gt;"")*(G$3:G$105=G83)*(I$3:I$105="P"))+SUMPRODUCT((P$3:P$105="")*(O$3:O$105="")*(N$3:N$105="")*(M$3:M$105="P")*(G$3:G$105=G83)*(J$3:J$105&gt;J83)*(I$3:I$105="P"))+IF(H83="L5",SUMPRODUCT((P$3:P$105="")*(O$3:O$105="")*(N$3:N$105="")*(M$3:M$105="P")*(G$3:G$105=G83)*(J$3:J$105&lt;J83)*(H$3:H$105&lt;&gt;H83)*(I$3:I$105="P")),-1*SUMPRODUCT((P$3:P$105="")*(O$3:O$105="")*(N$3:N$105="")*(M$3:M$105="P")*(G$3:G$105=G83)*(J$3:J$105&gt;J83)*(H$3:H$105="L5")*(I$3:I$105="P")))+1,"")))))</f>
        <v/>
      </c>
      <c r="B83" s="1" t="str" cm="1">
        <f t="array" ref="B83">IF(P83&lt;&gt;"",SUMPRODUCT((P$3:P$105&lt;&gt;"")*(G$3:G$105=G83)*(J$3:J$105&gt;J83))+1,IF(O83&lt;&gt;"",SUMPRODUCT((O$3:O$105&lt;&gt;"")*(P$3:P$105="")*(G$3:G$105=G83)*(J$3:J$105&gt;J83))+SUMPRODUCT((P$3:P$105&lt;&gt;"")*(G$3:G$105=G83))+1,IF(N83&lt;&gt;"",SUMPRODUCT((N$3:N$105&lt;&gt;"")*(G$3:G$105=G83)*(J$3:J$105&gt;J83))+1,IF(M83="P",SUMPRODUCT((O$3:O$105&lt;&gt;"")*(P$3:P$105="")*(G$3:G$105=G83))+SUMPRODUCT((P$3:P$105&lt;&gt;"")*(G$3:G$105=G83))+SUMPRODUCT((N$3:N$105&lt;&gt;"")*(G$3:G$105=G83))+SUMPRODUCT((P$3:P$105="")*(O$3:O$105="")*(N$3:N$105="")*(M$3:M$105="P")*(G$3:G$105=G83)*(J$3:J$105&gt;J83))+IF(H83="L5",SUMPRODUCT((P$3:P$105="")*(O$3:O$105="")*(N$3:N$105="")*(M$3:M$105="P")*(G$3:G$105=G83)*(J$3:J$105&lt;J83)*(H$3:H$105&lt;&gt;H83)),-1*SUMPRODUCT((P$3:P$105="")*(O$3:O$105="")*(N$3:N$105="")*(M$3:M$105="P")*(G$3:G$105=G83)*(J$3:J$105&gt;J83)*(H$3:H$105="L5")))+1,""))))</f>
        <v/>
      </c>
      <c r="C83" s="36" t="s">
        <v>239</v>
      </c>
      <c r="D83" s="36" t="s">
        <v>193</v>
      </c>
      <c r="E83" s="36" t="s">
        <v>288</v>
      </c>
      <c r="F83" s="35">
        <v>2007</v>
      </c>
      <c r="G83" s="1" t="str">
        <f>IF('Qualifying Scores'!$B$1-F83&gt;21,"Not Age Eligible",IF('Qualifying Scores'!$B$1-F83&gt;16,"17-21",IF('Qualifying Scores'!$B$1-F83&gt;14,"15-16",IF('Qualifying Scores'!$B$1-F83&gt;12,"13-14",IF('Qualifying Scores'!$B$1-F83&gt;10,"11-12","Not Age Eligible")))))</f>
        <v>15-16</v>
      </c>
      <c r="H83" s="39" t="s">
        <v>66</v>
      </c>
      <c r="I83" s="43"/>
      <c r="J83" s="4">
        <f>R83+S83+IF(OR(H83="Junior",H83="Senior"),0.0002,IF(OR(H83="L7",H83="L6"),0.0001,0))+MAX(X83,Z83)*0.0000001</f>
        <v>80.90000409000001</v>
      </c>
      <c r="K83" s="3" t="str">
        <f>IF(G83="Not Age Eligible","",IF(MAX(T83,V83,X83,Z83)&gt;=LOOKUP(G83,'Qualifying Scores'!$A$4:$A$7,'Qualifying Scores'!$G$4:$G$7),"P",""))</f>
        <v/>
      </c>
      <c r="L83" s="3" t="str">
        <f>IF(G83="Not Age Eligible","",IF(MAX(U83,W83,Y83,AA83)&gt;=LOOKUP(G83,'Qualifying Scores'!$A$10:$A$13,'Qualifying Scores'!$G$10:$G$13),"P",""))</f>
        <v/>
      </c>
      <c r="M83" s="3" t="str">
        <f>IF(G83="Not Age Eligible","",IF(OR(AND(T83&gt;=LOOKUP(G83,'Qualifying Scores'!$A$4:$A$7,'Qualifying Scores'!$G$4:$G$7),U83&gt;=LOOKUP(G83,'Qualifying Scores'!$A$10:$A$13,'Qualifying Scores'!$G$10:$G$13)),AND(X83&gt;=LOOKUP(G83,'Qualifying Scores'!$A$4:$A$7,'Qualifying Scores'!$G$4:$G$7),Y83&gt;=LOOKUP(G83,'Qualifying Scores'!$A$10:$A$13,'Qualifying Scores'!$G$10:$G$13)),AND(V83&gt;=LOOKUP(G83,'Qualifying Scores'!$A$4:$A$7,'Qualifying Scores'!$G$4:$G$7),W83&gt;=LOOKUP(G83,'Qualifying Scores'!$A$10:$A$13,'Qualifying Scores'!$G$10:$G$13)),AND(Z83&gt;=LOOKUP(G83,'Qualifying Scores'!$A$4:$A$7,'Qualifying Scores'!$G$4:$G$7),AA83&gt;=LOOKUP(G83,'Qualifying Scores'!$A$10:$A$13,'Qualifying Scores'!$G$10:$G$13))),"P",""))</f>
        <v/>
      </c>
      <c r="Q83" s="1" t="str">
        <f>IF(A83&lt;5,IF(_xlfn.MAXIFS(A:A,G:G,G83)&gt;3,5-A83,_xlfn.MAXIFS(A:A,G:G,G83)+1-A83),"")</f>
        <v/>
      </c>
      <c r="R83" s="4">
        <f>MAX(T83,X83)</f>
        <v>40.9</v>
      </c>
      <c r="S83" s="4">
        <f>IF(R83=T83,MAX(V83,X83,Z83),IF(R83=X83,MAX(T83,V83,Z83),0))</f>
        <v>40</v>
      </c>
      <c r="T83" s="33">
        <v>40</v>
      </c>
      <c r="U83" s="40">
        <v>3.9000000000000004</v>
      </c>
      <c r="V83" s="34"/>
      <c r="W83" s="40"/>
      <c r="X83" s="33">
        <v>40.9</v>
      </c>
      <c r="Y83" s="40">
        <v>4.8000000000000007</v>
      </c>
      <c r="Z83" s="34"/>
      <c r="AA83" s="37"/>
    </row>
    <row r="84" spans="1:27" x14ac:dyDescent="0.2">
      <c r="A84" s="1" t="str" cm="1">
        <f t="array" ref="A84">IF(I84="","",IF(P84&lt;&gt;"",SUMPRODUCT((P$3:P$105&lt;&gt;"")*(G$3:G$105=G84)*(J$3:J$105&gt;J84)*(I$3:I$105="P"))+1,IF(O84&lt;&gt;"",SUMPRODUCT((O$3:O$105&lt;&gt;"")*(P$3:P$105="")*(G$3:G$105=G84)*(J$3:J$105&gt;J84)*(I$3:I$105="P"))+SUMPRODUCT((P$3:P$105&lt;&gt;"")*(G$3:G$105=G84)*(I$3:I$105="P"))+1,IF(N84&lt;&gt;"",SUMPRODUCT((N$3:N$105&lt;&gt;"")*(G$3:G$105=G84)*(J$3:J$105&gt;J84)*(I$3:I$105="P"))+1,IF(M84="P",SUMPRODUCT((O$3:O$105&lt;&gt;"")*(P$3:P$105="")*(G$3:G$105=G84)*(I$3:I$105="P"))+SUMPRODUCT((P$3:P$105&lt;&gt;"")*(G$3:G$105=G84)*(I$3:I$105="P"))+SUMPRODUCT((N$3:N$105&lt;&gt;"")*(G$3:G$105=G84)*(I$3:I$105="P"))+SUMPRODUCT((P$3:P$105="")*(O$3:O$105="")*(N$3:N$105="")*(M$3:M$105="P")*(G$3:G$105=G84)*(J$3:J$105&gt;J84)*(I$3:I$105="P"))+IF(H84="L5",SUMPRODUCT((P$3:P$105="")*(O$3:O$105="")*(N$3:N$105="")*(M$3:M$105="P")*(G$3:G$105=G84)*(J$3:J$105&lt;J84)*(H$3:H$105&lt;&gt;H84)*(I$3:I$105="P")),-1*SUMPRODUCT((P$3:P$105="")*(O$3:O$105="")*(N$3:N$105="")*(M$3:M$105="P")*(G$3:G$105=G84)*(J$3:J$105&gt;J84)*(H$3:H$105="L5")*(I$3:I$105="P")))+1,"")))))</f>
        <v/>
      </c>
      <c r="B84" s="1" t="str" cm="1">
        <f t="array" ref="B84">IF(P84&lt;&gt;"",SUMPRODUCT((P$3:P$105&lt;&gt;"")*(G$3:G$105=G84)*(J$3:J$105&gt;J84))+1,IF(O84&lt;&gt;"",SUMPRODUCT((O$3:O$105&lt;&gt;"")*(P$3:P$105="")*(G$3:G$105=G84)*(J$3:J$105&gt;J84))+SUMPRODUCT((P$3:P$105&lt;&gt;"")*(G$3:G$105=G84))+1,IF(N84&lt;&gt;"",SUMPRODUCT((N$3:N$105&lt;&gt;"")*(G$3:G$105=G84)*(J$3:J$105&gt;J84))+1,IF(M84="P",SUMPRODUCT((O$3:O$105&lt;&gt;"")*(P$3:P$105="")*(G$3:G$105=G84))+SUMPRODUCT((P$3:P$105&lt;&gt;"")*(G$3:G$105=G84))+SUMPRODUCT((N$3:N$105&lt;&gt;"")*(G$3:G$105=G84))+SUMPRODUCT((P$3:P$105="")*(O$3:O$105="")*(N$3:N$105="")*(M$3:M$105="P")*(G$3:G$105=G84)*(J$3:J$105&gt;J84))+IF(H84="L5",SUMPRODUCT((P$3:P$105="")*(O$3:O$105="")*(N$3:N$105="")*(M$3:M$105="P")*(G$3:G$105=G84)*(J$3:J$105&lt;J84)*(H$3:H$105&lt;&gt;H84)),-1*SUMPRODUCT((P$3:P$105="")*(O$3:O$105="")*(N$3:N$105="")*(M$3:M$105="P")*(G$3:G$105=G84)*(J$3:J$105&gt;J84)*(H$3:H$105="L5")))+1,""))))</f>
        <v/>
      </c>
      <c r="C84" s="36" t="s">
        <v>265</v>
      </c>
      <c r="D84" s="36" t="str">
        <f>IF(E84="","",VLOOKUP(E84,'Coaching Points'!A:B,2,0))</f>
        <v>ON</v>
      </c>
      <c r="E84" s="36" t="s">
        <v>47</v>
      </c>
      <c r="F84" s="35">
        <v>2007</v>
      </c>
      <c r="G84" s="1" t="str">
        <f>IF('Qualifying Scores'!$B$1-F84&gt;21,"Not Age Eligible",IF('Qualifying Scores'!$B$1-F84&gt;16,"17-21",IF('Qualifying Scores'!$B$1-F84&gt;14,"15-16",IF('Qualifying Scores'!$B$1-F84&gt;12,"13-14",IF('Qualifying Scores'!$B$1-F84&gt;10,"11-12","Not Age Eligible")))))</f>
        <v>15-16</v>
      </c>
      <c r="H84" s="39" t="s">
        <v>66</v>
      </c>
      <c r="I84" s="43"/>
      <c r="J84" s="4">
        <f>R84+S84+IF(OR(H84="Junior",H84="Senior"),0.0002,IF(OR(H84="L7",H84="L6"),0.0001,0))+MAX(X84,Z84)*0.0000001</f>
        <v>78.100003919999992</v>
      </c>
      <c r="K84" s="3" t="str">
        <f>IF(G84="Not Age Eligible","",IF(MAX(T84,V84,X84,Z84)&gt;=LOOKUP(G84,'Qualifying Scores'!$A$4:$A$7,'Qualifying Scores'!$G$4:$G$7),"P",""))</f>
        <v/>
      </c>
      <c r="L84" s="3" t="str">
        <f>IF(G84="Not Age Eligible","",IF(MAX(U84,W84,Y84,AA84)&gt;=LOOKUP(G84,'Qualifying Scores'!$A$10:$A$13,'Qualifying Scores'!$G$10:$G$13),"P",""))</f>
        <v/>
      </c>
      <c r="M84" s="3" t="str">
        <f>IF(G84="Not Age Eligible","",IF(OR(AND(T84&gt;=LOOKUP(G84,'Qualifying Scores'!$A$4:$A$7,'Qualifying Scores'!$G$4:$G$7),U84&gt;=LOOKUP(G84,'Qualifying Scores'!$A$10:$A$13,'Qualifying Scores'!$G$10:$G$13)),AND(X84&gt;=LOOKUP(G84,'Qualifying Scores'!$A$4:$A$7,'Qualifying Scores'!$G$4:$G$7),Y84&gt;=LOOKUP(G84,'Qualifying Scores'!$A$10:$A$13,'Qualifying Scores'!$G$10:$G$13)),AND(V84&gt;=LOOKUP(G84,'Qualifying Scores'!$A$4:$A$7,'Qualifying Scores'!$G$4:$G$7),W84&gt;=LOOKUP(G84,'Qualifying Scores'!$A$10:$A$13,'Qualifying Scores'!$G$10:$G$13)),AND(Z84&gt;=LOOKUP(G84,'Qualifying Scores'!$A$4:$A$7,'Qualifying Scores'!$G$4:$G$7),AA84&gt;=LOOKUP(G84,'Qualifying Scores'!$A$10:$A$13,'Qualifying Scores'!$G$10:$G$13))),"P",""))</f>
        <v/>
      </c>
      <c r="Q84" s="1" t="str">
        <f>IF(A84&lt;5,IF(_xlfn.MAXIFS(A:A,G:G,G84)&gt;3,5-A84,_xlfn.MAXIFS(A:A,G:G,G84)+1-A84),"")</f>
        <v/>
      </c>
      <c r="R84" s="4">
        <f>MAX(T84,X84)</f>
        <v>39.200000000000003</v>
      </c>
      <c r="S84" s="4">
        <f>IF(R84=T84,MAX(V84,X84,Z84),IF(R84=X84,MAX(T84,V84,Z84),0))</f>
        <v>38.9</v>
      </c>
      <c r="T84" s="33">
        <v>38.9</v>
      </c>
      <c r="U84" s="40">
        <v>3.4000000000000004</v>
      </c>
      <c r="V84" s="34"/>
      <c r="W84" s="40"/>
      <c r="X84" s="33">
        <v>39.200000000000003</v>
      </c>
      <c r="Y84" s="40">
        <v>3.8</v>
      </c>
      <c r="Z84" s="34"/>
      <c r="AA84" s="37"/>
    </row>
    <row r="85" spans="1:27" x14ac:dyDescent="0.2">
      <c r="A85" s="1" t="str" cm="1">
        <f t="array" ref="A85">IF(I85="","",IF(P85&lt;&gt;"",SUMPRODUCT((P$3:P$105&lt;&gt;"")*(G$3:G$105=G85)*(J$3:J$105&gt;J85)*(I$3:I$105="P"))+1,IF(O85&lt;&gt;"",SUMPRODUCT((O$3:O$105&lt;&gt;"")*(P$3:P$105="")*(G$3:G$105=G85)*(J$3:J$105&gt;J85)*(I$3:I$105="P"))+SUMPRODUCT((P$3:P$105&lt;&gt;"")*(G$3:G$105=G85)*(I$3:I$105="P"))+1,IF(N85&lt;&gt;"",SUMPRODUCT((N$3:N$105&lt;&gt;"")*(G$3:G$105=G85)*(J$3:J$105&gt;J85)*(I$3:I$105="P"))+1,IF(M85="P",SUMPRODUCT((O$3:O$105&lt;&gt;"")*(P$3:P$105="")*(G$3:G$105=G85)*(I$3:I$105="P"))+SUMPRODUCT((P$3:P$105&lt;&gt;"")*(G$3:G$105=G85)*(I$3:I$105="P"))+SUMPRODUCT((N$3:N$105&lt;&gt;"")*(G$3:G$105=G85)*(I$3:I$105="P"))+SUMPRODUCT((P$3:P$105="")*(O$3:O$105="")*(N$3:N$105="")*(M$3:M$105="P")*(G$3:G$105=G85)*(J$3:J$105&gt;J85)*(I$3:I$105="P"))+IF(H85="L5",SUMPRODUCT((P$3:P$105="")*(O$3:O$105="")*(N$3:N$105="")*(M$3:M$105="P")*(G$3:G$105=G85)*(J$3:J$105&lt;J85)*(H$3:H$105&lt;&gt;H85)*(I$3:I$105="P")),-1*SUMPRODUCT((P$3:P$105="")*(O$3:O$105="")*(N$3:N$105="")*(M$3:M$105="P")*(G$3:G$105=G85)*(J$3:J$105&gt;J85)*(H$3:H$105="L5")*(I$3:I$105="P")))+1,"")))))</f>
        <v/>
      </c>
      <c r="B85" s="1" t="str" cm="1">
        <f t="array" ref="B85">IF(P85&lt;&gt;"",SUMPRODUCT((P$3:P$105&lt;&gt;"")*(G$3:G$105=G85)*(J$3:J$105&gt;J85))+1,IF(O85&lt;&gt;"",SUMPRODUCT((O$3:O$105&lt;&gt;"")*(P$3:P$105="")*(G$3:G$105=G85)*(J$3:J$105&gt;J85))+SUMPRODUCT((P$3:P$105&lt;&gt;"")*(G$3:G$105=G85))+1,IF(N85&lt;&gt;"",SUMPRODUCT((N$3:N$105&lt;&gt;"")*(G$3:G$105=G85)*(J$3:J$105&gt;J85))+1,IF(M85="P",SUMPRODUCT((O$3:O$105&lt;&gt;"")*(P$3:P$105="")*(G$3:G$105=G85))+SUMPRODUCT((P$3:P$105&lt;&gt;"")*(G$3:G$105=G85))+SUMPRODUCT((N$3:N$105&lt;&gt;"")*(G$3:G$105=G85))+SUMPRODUCT((P$3:P$105="")*(O$3:O$105="")*(N$3:N$105="")*(M$3:M$105="P")*(G$3:G$105=G85)*(J$3:J$105&gt;J85))+IF(H85="L5",SUMPRODUCT((P$3:P$105="")*(O$3:O$105="")*(N$3:N$105="")*(M$3:M$105="P")*(G$3:G$105=G85)*(J$3:J$105&lt;J85)*(H$3:H$105&lt;&gt;H85)),-1*SUMPRODUCT((P$3:P$105="")*(O$3:O$105="")*(N$3:N$105="")*(M$3:M$105="P")*(G$3:G$105=G85)*(J$3:J$105&gt;J85)*(H$3:H$105="L5")))+1,""))))</f>
        <v/>
      </c>
      <c r="C85" s="36" t="s">
        <v>564</v>
      </c>
      <c r="D85" s="36" t="str">
        <f>IF(E85="","",VLOOKUP(E85,'Coaching Points'!A:B,2,0))</f>
        <v>ON</v>
      </c>
      <c r="E85" s="36" t="s">
        <v>47</v>
      </c>
      <c r="F85" s="35">
        <v>2007</v>
      </c>
      <c r="G85" s="1" t="str">
        <f>IF('Qualifying Scores'!$B$1-F85&gt;21,"Not Age Eligible",IF('Qualifying Scores'!$B$1-F85&gt;16,"17-21",IF('Qualifying Scores'!$B$1-F85&gt;14,"15-16",IF('Qualifying Scores'!$B$1-F85&gt;12,"13-14",IF('Qualifying Scores'!$B$1-F85&gt;10,"11-12","Not Age Eligible")))))</f>
        <v>15-16</v>
      </c>
      <c r="H85" s="39" t="s">
        <v>66</v>
      </c>
      <c r="I85" s="43"/>
      <c r="J85" s="4">
        <f>R85+S85+IF(OR(H85="Junior",H85="Senior"),0.0002,IF(OR(H85="L7",H85="L6"),0.0001,0))+MAX(X85,Z85)*0.0000001</f>
        <v>62.00000421</v>
      </c>
      <c r="K85" s="3" t="str">
        <f>IF(G85="Not Age Eligible","",IF(MAX(T85,V85,X85,Z85)&gt;=LOOKUP(G85,'Qualifying Scores'!$A$4:$A$7,'Qualifying Scores'!$G$4:$G$7),"P",""))</f>
        <v/>
      </c>
      <c r="L85" s="3" t="str">
        <f>IF(G85="Not Age Eligible","",IF(MAX(U85,W85,Y85,AA85)&gt;=LOOKUP(G85,'Qualifying Scores'!$A$10:$A$13,'Qualifying Scores'!$G$10:$G$13),"P",""))</f>
        <v/>
      </c>
      <c r="M85" s="3" t="str">
        <f>IF(G85="Not Age Eligible","",IF(OR(AND(T85&gt;=LOOKUP(G85,'Qualifying Scores'!$A$4:$A$7,'Qualifying Scores'!$G$4:$G$7),U85&gt;=LOOKUP(G85,'Qualifying Scores'!$A$10:$A$13,'Qualifying Scores'!$G$10:$G$13)),AND(X85&gt;=LOOKUP(G85,'Qualifying Scores'!$A$4:$A$7,'Qualifying Scores'!$G$4:$G$7),Y85&gt;=LOOKUP(G85,'Qualifying Scores'!$A$10:$A$13,'Qualifying Scores'!$G$10:$G$13)),AND(V85&gt;=LOOKUP(G85,'Qualifying Scores'!$A$4:$A$7,'Qualifying Scores'!$G$4:$G$7),W85&gt;=LOOKUP(G85,'Qualifying Scores'!$A$10:$A$13,'Qualifying Scores'!$G$10:$G$13)),AND(Z85&gt;=LOOKUP(G85,'Qualifying Scores'!$A$4:$A$7,'Qualifying Scores'!$G$4:$G$7),AA85&gt;=LOOKUP(G85,'Qualifying Scores'!$A$10:$A$13,'Qualifying Scores'!$G$10:$G$13))),"P",""))</f>
        <v/>
      </c>
      <c r="Q85" s="1" t="str">
        <f>IF(A85&lt;5,IF(_xlfn.MAXIFS(A:A,G:G,G85)&gt;3,5-A85,_xlfn.MAXIFS(A:A,G:G,G85)+1-A85),"")</f>
        <v/>
      </c>
      <c r="R85" s="4">
        <f>MAX(T85,X85)</f>
        <v>42.1</v>
      </c>
      <c r="S85" s="4">
        <f>IF(R85=T85,MAX(V85,X85,Z85),IF(R85=X85,MAX(T85,V85,Z85),0))</f>
        <v>19.899999999999999</v>
      </c>
      <c r="T85" s="33"/>
      <c r="U85" s="40"/>
      <c r="V85" s="34"/>
      <c r="W85" s="40"/>
      <c r="X85" s="33">
        <v>42.1</v>
      </c>
      <c r="Y85" s="40">
        <v>4.9000000000000004</v>
      </c>
      <c r="Z85" s="34">
        <v>19.899999999999999</v>
      </c>
      <c r="AA85" s="37">
        <v>2.1</v>
      </c>
    </row>
    <row r="86" spans="1:27" x14ac:dyDescent="0.2">
      <c r="A86" s="1" t="str" cm="1">
        <f t="array" ref="A86">IF(I86="","",IF(P86&lt;&gt;"",SUMPRODUCT((P$3:P$105&lt;&gt;"")*(G$3:G$105=G86)*(J$3:J$105&gt;J86)*(I$3:I$105="P"))+1,IF(O86&lt;&gt;"",SUMPRODUCT((O$3:O$105&lt;&gt;"")*(P$3:P$105="")*(G$3:G$105=G86)*(J$3:J$105&gt;J86)*(I$3:I$105="P"))+SUMPRODUCT((P$3:P$105&lt;&gt;"")*(G$3:G$105=G86)*(I$3:I$105="P"))+1,IF(N86&lt;&gt;"",SUMPRODUCT((N$3:N$105&lt;&gt;"")*(G$3:G$105=G86)*(J$3:J$105&gt;J86)*(I$3:I$105="P"))+1,IF(M86="P",SUMPRODUCT((O$3:O$105&lt;&gt;"")*(P$3:P$105="")*(G$3:G$105=G86)*(I$3:I$105="P"))+SUMPRODUCT((P$3:P$105&lt;&gt;"")*(G$3:G$105=G86)*(I$3:I$105="P"))+SUMPRODUCT((N$3:N$105&lt;&gt;"")*(G$3:G$105=G86)*(I$3:I$105="P"))+SUMPRODUCT((P$3:P$105="")*(O$3:O$105="")*(N$3:N$105="")*(M$3:M$105="P")*(G$3:G$105=G86)*(J$3:J$105&gt;J86)*(I$3:I$105="P"))+IF(H86="L5",SUMPRODUCT((P$3:P$105="")*(O$3:O$105="")*(N$3:N$105="")*(M$3:M$105="P")*(G$3:G$105=G86)*(J$3:J$105&lt;J86)*(H$3:H$105&lt;&gt;H86)*(I$3:I$105="P")),-1*SUMPRODUCT((P$3:P$105="")*(O$3:O$105="")*(N$3:N$105="")*(M$3:M$105="P")*(G$3:G$105=G86)*(J$3:J$105&gt;J86)*(H$3:H$105="L5")*(I$3:I$105="P")))+1,"")))))</f>
        <v/>
      </c>
      <c r="B86" s="1" t="str" cm="1">
        <f t="array" ref="B86">IF(P86&lt;&gt;"",SUMPRODUCT((P$3:P$105&lt;&gt;"")*(G$3:G$105=G86)*(J$3:J$105&gt;J86))+1,IF(O86&lt;&gt;"",SUMPRODUCT((O$3:O$105&lt;&gt;"")*(P$3:P$105="")*(G$3:G$105=G86)*(J$3:J$105&gt;J86))+SUMPRODUCT((P$3:P$105&lt;&gt;"")*(G$3:G$105=G86))+1,IF(N86&lt;&gt;"",SUMPRODUCT((N$3:N$105&lt;&gt;"")*(G$3:G$105=G86)*(J$3:J$105&gt;J86))+1,IF(M86="P",SUMPRODUCT((O$3:O$105&lt;&gt;"")*(P$3:P$105="")*(G$3:G$105=G86))+SUMPRODUCT((P$3:P$105&lt;&gt;"")*(G$3:G$105=G86))+SUMPRODUCT((N$3:N$105&lt;&gt;"")*(G$3:G$105=G86))+SUMPRODUCT((P$3:P$105="")*(O$3:O$105="")*(N$3:N$105="")*(M$3:M$105="P")*(G$3:G$105=G86)*(J$3:J$105&gt;J86))+IF(H86="L5",SUMPRODUCT((P$3:P$105="")*(O$3:O$105="")*(N$3:N$105="")*(M$3:M$105="P")*(G$3:G$105=G86)*(J$3:J$105&lt;J86)*(H$3:H$105&lt;&gt;H86)),-1*SUMPRODUCT((P$3:P$105="")*(O$3:O$105="")*(N$3:N$105="")*(M$3:M$105="P")*(G$3:G$105=G86)*(J$3:J$105&gt;J86)*(H$3:H$105="L5")))+1,""))))</f>
        <v/>
      </c>
      <c r="C86" s="36" t="s">
        <v>471</v>
      </c>
      <c r="D86" s="36" t="str">
        <f>IF(E86="","",VLOOKUP(E86,'Coaching Points'!A:B,2,0))</f>
        <v>BC</v>
      </c>
      <c r="E86" s="36" t="s">
        <v>41</v>
      </c>
      <c r="F86" s="35">
        <v>2007</v>
      </c>
      <c r="G86" s="1" t="str">
        <f>IF('Qualifying Scores'!$B$1-F86&gt;21,"Not Age Eligible",IF('Qualifying Scores'!$B$1-F86&gt;16,"17-21",IF('Qualifying Scores'!$B$1-F86&gt;14,"15-16",IF('Qualifying Scores'!$B$1-F86&gt;12,"13-14",IF('Qualifying Scores'!$B$1-F86&gt;10,"11-12","Not Age Eligible")))))</f>
        <v>15-16</v>
      </c>
      <c r="H86" s="39" t="s">
        <v>67</v>
      </c>
      <c r="I86" s="43"/>
      <c r="J86" s="4">
        <f>R86+S86+IF(OR(H86="Junior",H86="Senior"),0.0002,IF(OR(H86="L7",H86="L6"),0.0001,0))+MAX(X86,Z86)*0.0000001</f>
        <v>44.600104460000004</v>
      </c>
      <c r="K86" s="3" t="str">
        <f>IF(G86="Not Age Eligible","",IF(MAX(T86,V86,X86,Z86)&gt;=LOOKUP(G86,'Qualifying Scores'!$A$4:$A$7,'Qualifying Scores'!$G$4:$G$7),"P",""))</f>
        <v/>
      </c>
      <c r="L86" s="3" t="str">
        <f>IF(G86="Not Age Eligible","",IF(MAX(U86,W86,Y86,AA86)&gt;=LOOKUP(G86,'Qualifying Scores'!$A$10:$A$13,'Qualifying Scores'!$G$10:$G$13),"P",""))</f>
        <v>P</v>
      </c>
      <c r="M86" s="3" t="str">
        <f>IF(G86="Not Age Eligible","",IF(OR(AND(T86&gt;=LOOKUP(G86,'Qualifying Scores'!$A$4:$A$7,'Qualifying Scores'!$G$4:$G$7),U86&gt;=LOOKUP(G86,'Qualifying Scores'!$A$10:$A$13,'Qualifying Scores'!$G$10:$G$13)),AND(X86&gt;=LOOKUP(G86,'Qualifying Scores'!$A$4:$A$7,'Qualifying Scores'!$G$4:$G$7),Y86&gt;=LOOKUP(G86,'Qualifying Scores'!$A$10:$A$13,'Qualifying Scores'!$G$10:$G$13)),AND(V86&gt;=LOOKUP(G86,'Qualifying Scores'!$A$4:$A$7,'Qualifying Scores'!$G$4:$G$7),W86&gt;=LOOKUP(G86,'Qualifying Scores'!$A$10:$A$13,'Qualifying Scores'!$G$10:$G$13)),AND(Z86&gt;=LOOKUP(G86,'Qualifying Scores'!$A$4:$A$7,'Qualifying Scores'!$G$4:$G$7),AA86&gt;=LOOKUP(G86,'Qualifying Scores'!$A$10:$A$13,'Qualifying Scores'!$G$10:$G$13))),"P",""))</f>
        <v/>
      </c>
      <c r="Q86" s="1" t="str">
        <f>IF(A86&lt;5,IF(_xlfn.MAXIFS(A:A,G:G,G86)&gt;3,5-A86,_xlfn.MAXIFS(A:A,G:G,G86)+1-A86),"")</f>
        <v/>
      </c>
      <c r="R86" s="4">
        <f>MAX(T86,X86)</f>
        <v>44.6</v>
      </c>
      <c r="S86" s="4">
        <f>IF(R86=T86,MAX(V86,X86,Z86),IF(R86=X86,MAX(T86,V86,Z86),0))</f>
        <v>0</v>
      </c>
      <c r="T86" s="33"/>
      <c r="U86" s="40"/>
      <c r="V86" s="34"/>
      <c r="W86" s="40"/>
      <c r="X86" s="33">
        <v>44.6</v>
      </c>
      <c r="Y86" s="40">
        <v>9.5</v>
      </c>
      <c r="Z86" s="34"/>
      <c r="AA86" s="37"/>
    </row>
    <row r="87" spans="1:27" x14ac:dyDescent="0.2">
      <c r="A87" s="1" t="str" cm="1">
        <f t="array" ref="A87">IF(I87="","",IF(P87&lt;&gt;"",SUMPRODUCT((P$3:P$105&lt;&gt;"")*(G$3:G$105=G87)*(J$3:J$105&gt;J87)*(I$3:I$105="P"))+1,IF(O87&lt;&gt;"",SUMPRODUCT((O$3:O$105&lt;&gt;"")*(P$3:P$105="")*(G$3:G$105=G87)*(J$3:J$105&gt;J87)*(I$3:I$105="P"))+SUMPRODUCT((P$3:P$105&lt;&gt;"")*(G$3:G$105=G87)*(I$3:I$105="P"))+1,IF(N87&lt;&gt;"",SUMPRODUCT((N$3:N$105&lt;&gt;"")*(G$3:G$105=G87)*(J$3:J$105&gt;J87)*(I$3:I$105="P"))+1,IF(M87="P",SUMPRODUCT((O$3:O$105&lt;&gt;"")*(P$3:P$105="")*(G$3:G$105=G87)*(I$3:I$105="P"))+SUMPRODUCT((P$3:P$105&lt;&gt;"")*(G$3:G$105=G87)*(I$3:I$105="P"))+SUMPRODUCT((N$3:N$105&lt;&gt;"")*(G$3:G$105=G87)*(I$3:I$105="P"))+SUMPRODUCT((P$3:P$105="")*(O$3:O$105="")*(N$3:N$105="")*(M$3:M$105="P")*(G$3:G$105=G87)*(J$3:J$105&gt;J87)*(I$3:I$105="P"))+IF(H87="L5",SUMPRODUCT((P$3:P$105="")*(O$3:O$105="")*(N$3:N$105="")*(M$3:M$105="P")*(G$3:G$105=G87)*(J$3:J$105&lt;J87)*(H$3:H$105&lt;&gt;H87)*(I$3:I$105="P")),-1*SUMPRODUCT((P$3:P$105="")*(O$3:O$105="")*(N$3:N$105="")*(M$3:M$105="P")*(G$3:G$105=G87)*(J$3:J$105&gt;J87)*(H$3:H$105="L5")*(I$3:I$105="P")))+1,"")))))</f>
        <v/>
      </c>
      <c r="B87" s="1" t="str" cm="1">
        <f t="array" ref="B87">IF(P87&lt;&gt;"",SUMPRODUCT((P$3:P$105&lt;&gt;"")*(G$3:G$105=G87)*(J$3:J$105&gt;J87))+1,IF(O87&lt;&gt;"",SUMPRODUCT((O$3:O$105&lt;&gt;"")*(P$3:P$105="")*(G$3:G$105=G87)*(J$3:J$105&gt;J87))+SUMPRODUCT((P$3:P$105&lt;&gt;"")*(G$3:G$105=G87))+1,IF(N87&lt;&gt;"",SUMPRODUCT((N$3:N$105&lt;&gt;"")*(G$3:G$105=G87)*(J$3:J$105&gt;J87))+1,IF(M87="P",SUMPRODUCT((O$3:O$105&lt;&gt;"")*(P$3:P$105="")*(G$3:G$105=G87))+SUMPRODUCT((P$3:P$105&lt;&gt;"")*(G$3:G$105=G87))+SUMPRODUCT((N$3:N$105&lt;&gt;"")*(G$3:G$105=G87))+SUMPRODUCT((P$3:P$105="")*(O$3:O$105="")*(N$3:N$105="")*(M$3:M$105="P")*(G$3:G$105=G87)*(J$3:J$105&gt;J87))+IF(H87="L5",SUMPRODUCT((P$3:P$105="")*(O$3:O$105="")*(N$3:N$105="")*(M$3:M$105="P")*(G$3:G$105=G87)*(J$3:J$105&lt;J87)*(H$3:H$105&lt;&gt;H87)),-1*SUMPRODUCT((P$3:P$105="")*(O$3:O$105="")*(N$3:N$105="")*(M$3:M$105="P")*(G$3:G$105=G87)*(J$3:J$105&gt;J87)*(H$3:H$105="L5")))+1,""))))</f>
        <v/>
      </c>
      <c r="C87" s="36" t="s">
        <v>552</v>
      </c>
      <c r="D87" s="36" t="str">
        <f>IF(E87="","",VLOOKUP(E87,'Coaching Points'!A:B,2,0))</f>
        <v>AB</v>
      </c>
      <c r="E87" s="36" t="s">
        <v>63</v>
      </c>
      <c r="F87" s="35">
        <v>2008</v>
      </c>
      <c r="G87" s="1" t="str">
        <f>IF('Qualifying Scores'!$B$1-F87&gt;21,"Not Age Eligible",IF('Qualifying Scores'!$B$1-F87&gt;16,"17-21",IF('Qualifying Scores'!$B$1-F87&gt;14,"15-16",IF('Qualifying Scores'!$B$1-F87&gt;12,"13-14",IF('Qualifying Scores'!$B$1-F87&gt;10,"11-12","Not Age Eligible")))))</f>
        <v>15-16</v>
      </c>
      <c r="H87" s="39" t="s">
        <v>66</v>
      </c>
      <c r="I87" s="43"/>
      <c r="J87" s="4">
        <f>R87+S87+IF(OR(H87="Junior",H87="Senior"),0.0002,IF(OR(H87="L7",H87="L6"),0.0001,0))+MAX(X87,Z87)*0.0000001</f>
        <v>40.600004060000003</v>
      </c>
      <c r="K87" s="3" t="str">
        <f>IF(G87="Not Age Eligible","",IF(MAX(T87,V87,X87,Z87)&gt;=LOOKUP(G87,'Qualifying Scores'!$A$4:$A$7,'Qualifying Scores'!$G$4:$G$7),"P",""))</f>
        <v/>
      </c>
      <c r="L87" s="3" t="str">
        <f>IF(G87="Not Age Eligible","",IF(MAX(U87,W87,Y87,AA87)&gt;=LOOKUP(G87,'Qualifying Scores'!$A$10:$A$13,'Qualifying Scores'!$G$10:$G$13),"P",""))</f>
        <v/>
      </c>
      <c r="M87" s="3" t="str">
        <f>IF(G87="Not Age Eligible","",IF(OR(AND(T87&gt;=LOOKUP(G87,'Qualifying Scores'!$A$4:$A$7,'Qualifying Scores'!$G$4:$G$7),U87&gt;=LOOKUP(G87,'Qualifying Scores'!$A$10:$A$13,'Qualifying Scores'!$G$10:$G$13)),AND(X87&gt;=LOOKUP(G87,'Qualifying Scores'!$A$4:$A$7,'Qualifying Scores'!$G$4:$G$7),Y87&gt;=LOOKUP(G87,'Qualifying Scores'!$A$10:$A$13,'Qualifying Scores'!$G$10:$G$13)),AND(V87&gt;=LOOKUP(G87,'Qualifying Scores'!$A$4:$A$7,'Qualifying Scores'!$G$4:$G$7),W87&gt;=LOOKUP(G87,'Qualifying Scores'!$A$10:$A$13,'Qualifying Scores'!$G$10:$G$13)),AND(Z87&gt;=LOOKUP(G87,'Qualifying Scores'!$A$4:$A$7,'Qualifying Scores'!$G$4:$G$7),AA87&gt;=LOOKUP(G87,'Qualifying Scores'!$A$10:$A$13,'Qualifying Scores'!$G$10:$G$13))),"P",""))</f>
        <v/>
      </c>
      <c r="Q87" s="1" t="str">
        <f>IF(A87&lt;5,IF(_xlfn.MAXIFS(A:A,G:G,G87)&gt;3,5-A87,_xlfn.MAXIFS(A:A,G:G,G87)+1-A87),"")</f>
        <v/>
      </c>
      <c r="R87" s="4">
        <f>MAX(T87,X87)</f>
        <v>40.6</v>
      </c>
      <c r="S87" s="4">
        <f>IF(R87=T87,MAX(V87,X87,Z87),IF(R87=X87,MAX(T87,V87,Z87),0))</f>
        <v>0</v>
      </c>
      <c r="T87" s="33"/>
      <c r="U87" s="40"/>
      <c r="V87" s="34"/>
      <c r="W87" s="40"/>
      <c r="X87" s="33">
        <v>40.6</v>
      </c>
      <c r="Y87" s="40">
        <v>4.4000000000000004</v>
      </c>
      <c r="Z87" s="34"/>
      <c r="AA87" s="37"/>
    </row>
    <row r="88" spans="1:27" x14ac:dyDescent="0.2">
      <c r="A88" s="1" t="str" cm="1">
        <f t="array" ref="A88">IF(I88="","",IF(P88&lt;&gt;"",SUMPRODUCT((P$3:P$105&lt;&gt;"")*(G$3:G$105=G88)*(J$3:J$105&gt;J88)*(I$3:I$105="P"))+1,IF(O88&lt;&gt;"",SUMPRODUCT((O$3:O$105&lt;&gt;"")*(P$3:P$105="")*(G$3:G$105=G88)*(J$3:J$105&gt;J88)*(I$3:I$105="P"))+SUMPRODUCT((P$3:P$105&lt;&gt;"")*(G$3:G$105=G88)*(I$3:I$105="P"))+1,IF(N88&lt;&gt;"",SUMPRODUCT((N$3:N$105&lt;&gt;"")*(G$3:G$105=G88)*(J$3:J$105&gt;J88)*(I$3:I$105="P"))+1,IF(M88="P",SUMPRODUCT((O$3:O$105&lt;&gt;"")*(P$3:P$105="")*(G$3:G$105=G88)*(I$3:I$105="P"))+SUMPRODUCT((P$3:P$105&lt;&gt;"")*(G$3:G$105=G88)*(I$3:I$105="P"))+SUMPRODUCT((N$3:N$105&lt;&gt;"")*(G$3:G$105=G88)*(I$3:I$105="P"))+SUMPRODUCT((P$3:P$105="")*(O$3:O$105="")*(N$3:N$105="")*(M$3:M$105="P")*(G$3:G$105=G88)*(J$3:J$105&gt;J88)*(I$3:I$105="P"))+IF(H88="L5",SUMPRODUCT((P$3:P$105="")*(O$3:O$105="")*(N$3:N$105="")*(M$3:M$105="P")*(G$3:G$105=G88)*(J$3:J$105&lt;J88)*(H$3:H$105&lt;&gt;H88)*(I$3:I$105="P")),-1*SUMPRODUCT((P$3:P$105="")*(O$3:O$105="")*(N$3:N$105="")*(M$3:M$105="P")*(G$3:G$105=G88)*(J$3:J$105&gt;J88)*(H$3:H$105="L5")*(I$3:I$105="P")))+1,"")))))</f>
        <v/>
      </c>
      <c r="B88" s="1" t="str" cm="1">
        <f t="array" ref="B88">IF(P88&lt;&gt;"",SUMPRODUCT((P$3:P$105&lt;&gt;"")*(G$3:G$105=G88)*(J$3:J$105&gt;J88))+1,IF(O88&lt;&gt;"",SUMPRODUCT((O$3:O$105&lt;&gt;"")*(P$3:P$105="")*(G$3:G$105=G88)*(J$3:J$105&gt;J88))+SUMPRODUCT((P$3:P$105&lt;&gt;"")*(G$3:G$105=G88))+1,IF(N88&lt;&gt;"",SUMPRODUCT((N$3:N$105&lt;&gt;"")*(G$3:G$105=G88)*(J$3:J$105&gt;J88))+1,IF(M88="P",SUMPRODUCT((O$3:O$105&lt;&gt;"")*(P$3:P$105="")*(G$3:G$105=G88))+SUMPRODUCT((P$3:P$105&lt;&gt;"")*(G$3:G$105=G88))+SUMPRODUCT((N$3:N$105&lt;&gt;"")*(G$3:G$105=G88))+SUMPRODUCT((P$3:P$105="")*(O$3:O$105="")*(N$3:N$105="")*(M$3:M$105="P")*(G$3:G$105=G88)*(J$3:J$105&gt;J88))+IF(H88="L5",SUMPRODUCT((P$3:P$105="")*(O$3:O$105="")*(N$3:N$105="")*(M$3:M$105="P")*(G$3:G$105=G88)*(J$3:J$105&lt;J88)*(H$3:H$105&lt;&gt;H88)),-1*SUMPRODUCT((P$3:P$105="")*(O$3:O$105="")*(N$3:N$105="")*(M$3:M$105="P")*(G$3:G$105=G88)*(J$3:J$105&gt;J88)*(H$3:H$105="L5")))+1,""))))</f>
        <v/>
      </c>
      <c r="C88" s="36" t="s">
        <v>553</v>
      </c>
      <c r="D88" s="36" t="str">
        <f>IF(E88="","",VLOOKUP(E88,'Coaching Points'!A:B,2,0))</f>
        <v>AB</v>
      </c>
      <c r="E88" s="36" t="s">
        <v>421</v>
      </c>
      <c r="F88" s="35">
        <v>2007</v>
      </c>
      <c r="G88" s="1" t="str">
        <f>IF('Qualifying Scores'!$B$1-F88&gt;21,"Not Age Eligible",IF('Qualifying Scores'!$B$1-F88&gt;16,"17-21",IF('Qualifying Scores'!$B$1-F88&gt;14,"15-16",IF('Qualifying Scores'!$B$1-F88&gt;12,"13-14",IF('Qualifying Scores'!$B$1-F88&gt;10,"11-12","Not Age Eligible")))))</f>
        <v>15-16</v>
      </c>
      <c r="H88" s="39" t="s">
        <v>66</v>
      </c>
      <c r="I88" s="43"/>
      <c r="J88" s="4">
        <f>R88+S88+IF(OR(H88="Junior",H88="Senior"),0.0002,IF(OR(H88="L7",H88="L6"),0.0001,0))+MAX(X88,Z88)*0.0000001</f>
        <v>38.800003879999998</v>
      </c>
      <c r="K88" s="3" t="str">
        <f>IF(G88="Not Age Eligible","",IF(MAX(T88,V88,X88,Z88)&gt;=LOOKUP(G88,'Qualifying Scores'!$A$4:$A$7,'Qualifying Scores'!$G$4:$G$7),"P",""))</f>
        <v/>
      </c>
      <c r="L88" s="3" t="str">
        <f>IF(G88="Not Age Eligible","",IF(MAX(U88,W88,Y88,AA88)&gt;=LOOKUP(G88,'Qualifying Scores'!$A$10:$A$13,'Qualifying Scores'!$G$10:$G$13),"P",""))</f>
        <v/>
      </c>
      <c r="M88" s="3" t="str">
        <f>IF(G88="Not Age Eligible","",IF(OR(AND(T88&gt;=LOOKUP(G88,'Qualifying Scores'!$A$4:$A$7,'Qualifying Scores'!$G$4:$G$7),U88&gt;=LOOKUP(G88,'Qualifying Scores'!$A$10:$A$13,'Qualifying Scores'!$G$10:$G$13)),AND(X88&gt;=LOOKUP(G88,'Qualifying Scores'!$A$4:$A$7,'Qualifying Scores'!$G$4:$G$7),Y88&gt;=LOOKUP(G88,'Qualifying Scores'!$A$10:$A$13,'Qualifying Scores'!$G$10:$G$13)),AND(V88&gt;=LOOKUP(G88,'Qualifying Scores'!$A$4:$A$7,'Qualifying Scores'!$G$4:$G$7),W88&gt;=LOOKUP(G88,'Qualifying Scores'!$A$10:$A$13,'Qualifying Scores'!$G$10:$G$13)),AND(Z88&gt;=LOOKUP(G88,'Qualifying Scores'!$A$4:$A$7,'Qualifying Scores'!$G$4:$G$7),AA88&gt;=LOOKUP(G88,'Qualifying Scores'!$A$10:$A$13,'Qualifying Scores'!$G$10:$G$13))),"P",""))</f>
        <v/>
      </c>
      <c r="Q88" s="1" t="str">
        <f>IF(A88&lt;5,IF(_xlfn.MAXIFS(A:A,G:G,G88)&gt;3,5-A88,_xlfn.MAXIFS(A:A,G:G,G88)+1-A88),"")</f>
        <v/>
      </c>
      <c r="R88" s="4">
        <f>MAX(T88,X88)</f>
        <v>38.799999999999997</v>
      </c>
      <c r="S88" s="4">
        <f>IF(R88=T88,MAX(V88,X88,Z88),IF(R88=X88,MAX(T88,V88,Z88),0))</f>
        <v>0</v>
      </c>
      <c r="T88" s="33"/>
      <c r="U88" s="40"/>
      <c r="V88" s="34"/>
      <c r="W88" s="40"/>
      <c r="X88" s="33">
        <v>38.799999999999997</v>
      </c>
      <c r="Y88" s="40">
        <v>3.4000000000000004</v>
      </c>
      <c r="Z88" s="34"/>
      <c r="AA88" s="37"/>
    </row>
    <row r="89" spans="1:27" x14ac:dyDescent="0.2">
      <c r="A89" s="1" t="str" cm="1">
        <f t="array" ref="A89">IF(I89="","",IF(P89&lt;&gt;"",SUMPRODUCT((P$3:P$105&lt;&gt;"")*(G$3:G$105=G89)*(J$3:J$105&gt;J89)*(I$3:I$105="P"))+1,IF(O89&lt;&gt;"",SUMPRODUCT((O$3:O$105&lt;&gt;"")*(P$3:P$105="")*(G$3:G$105=G89)*(J$3:J$105&gt;J89)*(I$3:I$105="P"))+SUMPRODUCT((P$3:P$105&lt;&gt;"")*(G$3:G$105=G89)*(I$3:I$105="P"))+1,IF(N89&lt;&gt;"",SUMPRODUCT((N$3:N$105&lt;&gt;"")*(G$3:G$105=G89)*(J$3:J$105&gt;J89)*(I$3:I$105="P"))+1,IF(M89="P",SUMPRODUCT((O$3:O$105&lt;&gt;"")*(P$3:P$105="")*(G$3:G$105=G89)*(I$3:I$105="P"))+SUMPRODUCT((P$3:P$105&lt;&gt;"")*(G$3:G$105=G89)*(I$3:I$105="P"))+SUMPRODUCT((N$3:N$105&lt;&gt;"")*(G$3:G$105=G89)*(I$3:I$105="P"))+SUMPRODUCT((P$3:P$105="")*(O$3:O$105="")*(N$3:N$105="")*(M$3:M$105="P")*(G$3:G$105=G89)*(J$3:J$105&gt;J89)*(I$3:I$105="P"))+IF(H89="L5",SUMPRODUCT((P$3:P$105="")*(O$3:O$105="")*(N$3:N$105="")*(M$3:M$105="P")*(G$3:G$105=G89)*(J$3:J$105&lt;J89)*(H$3:H$105&lt;&gt;H89)*(I$3:I$105="P")),-1*SUMPRODUCT((P$3:P$105="")*(O$3:O$105="")*(N$3:N$105="")*(M$3:M$105="P")*(G$3:G$105=G89)*(J$3:J$105&gt;J89)*(H$3:H$105="L5")*(I$3:I$105="P")))+1,"")))))</f>
        <v/>
      </c>
      <c r="B89" s="1" t="str" cm="1">
        <f t="array" ref="B89">IF(P89&lt;&gt;"",SUMPRODUCT((P$3:P$105&lt;&gt;"")*(G$3:G$105=G89)*(J$3:J$105&gt;J89))+1,IF(O89&lt;&gt;"",SUMPRODUCT((O$3:O$105&lt;&gt;"")*(P$3:P$105="")*(G$3:G$105=G89)*(J$3:J$105&gt;J89))+SUMPRODUCT((P$3:P$105&lt;&gt;"")*(G$3:G$105=G89))+1,IF(N89&lt;&gt;"",SUMPRODUCT((N$3:N$105&lt;&gt;"")*(G$3:G$105=G89)*(J$3:J$105&gt;J89))+1,IF(M89="P",SUMPRODUCT((O$3:O$105&lt;&gt;"")*(P$3:P$105="")*(G$3:G$105=G89))+SUMPRODUCT((P$3:P$105&lt;&gt;"")*(G$3:G$105=G89))+SUMPRODUCT((N$3:N$105&lt;&gt;"")*(G$3:G$105=G89))+SUMPRODUCT((P$3:P$105="")*(O$3:O$105="")*(N$3:N$105="")*(M$3:M$105="P")*(G$3:G$105=G89)*(J$3:J$105&gt;J89))+IF(H89="L5",SUMPRODUCT((P$3:P$105="")*(O$3:O$105="")*(N$3:N$105="")*(M$3:M$105="P")*(G$3:G$105=G89)*(J$3:J$105&lt;J89)*(H$3:H$105&lt;&gt;H89)),-1*SUMPRODUCT((P$3:P$105="")*(O$3:O$105="")*(N$3:N$105="")*(M$3:M$105="P")*(G$3:G$105=G89)*(J$3:J$105&gt;J89)*(H$3:H$105="L5")))+1,""))))</f>
        <v/>
      </c>
      <c r="C89" s="36" t="s">
        <v>466</v>
      </c>
      <c r="D89" s="36" t="str">
        <f>IF(E89="","",VLOOKUP(E89,'Coaching Points'!A:B,2,0))</f>
        <v>QC</v>
      </c>
      <c r="E89" s="36" t="s">
        <v>96</v>
      </c>
      <c r="F89" s="35">
        <v>2008</v>
      </c>
      <c r="G89" s="1" t="str">
        <f>IF('Qualifying Scores'!$B$1-F89&gt;21,"Not Age Eligible",IF('Qualifying Scores'!$B$1-F89&gt;16,"17-21",IF('Qualifying Scores'!$B$1-F89&gt;14,"15-16",IF('Qualifying Scores'!$B$1-F89&gt;12,"13-14",IF('Qualifying Scores'!$B$1-F89&gt;10,"11-12","Not Age Eligible")))))</f>
        <v>15-16</v>
      </c>
      <c r="H89" s="39" t="s">
        <v>66</v>
      </c>
      <c r="I89" s="43"/>
      <c r="J89" s="4">
        <f>R89+S89+IF(OR(H89="Junior",H89="Senior"),0.0002,IF(OR(H89="L7",H89="L6"),0.0001,0))+MAX(X89,Z89)*0.0000001</f>
        <v>37.700003770000002</v>
      </c>
      <c r="K89" s="3" t="str">
        <f>IF(G89="Not Age Eligible","",IF(MAX(T89,V89,X89,Z89)&gt;=LOOKUP(G89,'Qualifying Scores'!$A$4:$A$7,'Qualifying Scores'!$G$4:$G$7),"P",""))</f>
        <v/>
      </c>
      <c r="L89" s="3" t="str">
        <f>IF(G89="Not Age Eligible","",IF(MAX(U89,W89,Y89,AA89)&gt;=LOOKUP(G89,'Qualifying Scores'!$A$10:$A$13,'Qualifying Scores'!$G$10:$G$13),"P",""))</f>
        <v/>
      </c>
      <c r="M89" s="3" t="str">
        <f>IF(G89="Not Age Eligible","",IF(OR(AND(T89&gt;=LOOKUP(G89,'Qualifying Scores'!$A$4:$A$7,'Qualifying Scores'!$G$4:$G$7),U89&gt;=LOOKUP(G89,'Qualifying Scores'!$A$10:$A$13,'Qualifying Scores'!$G$10:$G$13)),AND(X89&gt;=LOOKUP(G89,'Qualifying Scores'!$A$4:$A$7,'Qualifying Scores'!$G$4:$G$7),Y89&gt;=LOOKUP(G89,'Qualifying Scores'!$A$10:$A$13,'Qualifying Scores'!$G$10:$G$13)),AND(V89&gt;=LOOKUP(G89,'Qualifying Scores'!$A$4:$A$7,'Qualifying Scores'!$G$4:$G$7),W89&gt;=LOOKUP(G89,'Qualifying Scores'!$A$10:$A$13,'Qualifying Scores'!$G$10:$G$13)),AND(Z89&gt;=LOOKUP(G89,'Qualifying Scores'!$A$4:$A$7,'Qualifying Scores'!$G$4:$G$7),AA89&gt;=LOOKUP(G89,'Qualifying Scores'!$A$10:$A$13,'Qualifying Scores'!$G$10:$G$13))),"P",""))</f>
        <v/>
      </c>
      <c r="Q89" s="1" t="str">
        <f>IF(A89&lt;5,IF(_xlfn.MAXIFS(A:A,G:G,G89)&gt;3,5-A89,_xlfn.MAXIFS(A:A,G:G,G89)+1-A89),"")</f>
        <v/>
      </c>
      <c r="R89" s="4">
        <f>MAX(T89,X89)</f>
        <v>37.700000000000003</v>
      </c>
      <c r="S89" s="4">
        <f>IF(R89=T89,MAX(V89,X89,Z89),IF(R89=X89,MAX(T89,V89,Z89),0))</f>
        <v>0</v>
      </c>
      <c r="T89" s="33"/>
      <c r="U89" s="40"/>
      <c r="V89" s="34"/>
      <c r="W89" s="40"/>
      <c r="X89" s="33">
        <v>37.700000000000003</v>
      </c>
      <c r="Y89" s="40">
        <v>3.7</v>
      </c>
      <c r="Z89" s="34"/>
      <c r="AA89" s="37"/>
    </row>
    <row r="90" spans="1:27" x14ac:dyDescent="0.2">
      <c r="A90" s="1" t="str" cm="1">
        <f t="array" ref="A90">IF(I90="","",IF(P90&lt;&gt;"",SUMPRODUCT((P$3:P$105&lt;&gt;"")*(G$3:G$105=G90)*(J$3:J$105&gt;J90)*(I$3:I$105="P"))+1,IF(O90&lt;&gt;"",SUMPRODUCT((O$3:O$105&lt;&gt;"")*(P$3:P$105="")*(G$3:G$105=G90)*(J$3:J$105&gt;J90)*(I$3:I$105="P"))+SUMPRODUCT((P$3:P$105&lt;&gt;"")*(G$3:G$105=G90)*(I$3:I$105="P"))+1,IF(N90&lt;&gt;"",SUMPRODUCT((N$3:N$105&lt;&gt;"")*(G$3:G$105=G90)*(J$3:J$105&gt;J90)*(I$3:I$105="P"))+1,IF(M90="P",SUMPRODUCT((O$3:O$105&lt;&gt;"")*(P$3:P$105="")*(G$3:G$105=G90)*(I$3:I$105="P"))+SUMPRODUCT((P$3:P$105&lt;&gt;"")*(G$3:G$105=G90)*(I$3:I$105="P"))+SUMPRODUCT((N$3:N$105&lt;&gt;"")*(G$3:G$105=G90)*(I$3:I$105="P"))+SUMPRODUCT((P$3:P$105="")*(O$3:O$105="")*(N$3:N$105="")*(M$3:M$105="P")*(G$3:G$105=G90)*(J$3:J$105&gt;J90)*(I$3:I$105="P"))+IF(H90="L5",SUMPRODUCT((P$3:P$105="")*(O$3:O$105="")*(N$3:N$105="")*(M$3:M$105="P")*(G$3:G$105=G90)*(J$3:J$105&lt;J90)*(H$3:H$105&lt;&gt;H90)*(I$3:I$105="P")),-1*SUMPRODUCT((P$3:P$105="")*(O$3:O$105="")*(N$3:N$105="")*(M$3:M$105="P")*(G$3:G$105=G90)*(J$3:J$105&gt;J90)*(H$3:H$105="L5")*(I$3:I$105="P")))+1,"")))))</f>
        <v/>
      </c>
      <c r="B90" s="1" t="str" cm="1">
        <f t="array" ref="B90">IF(P90&lt;&gt;"",SUMPRODUCT((P$3:P$105&lt;&gt;"")*(G$3:G$105=G90)*(J$3:J$105&gt;J90))+1,IF(O90&lt;&gt;"",SUMPRODUCT((O$3:O$105&lt;&gt;"")*(P$3:P$105="")*(G$3:G$105=G90)*(J$3:J$105&gt;J90))+SUMPRODUCT((P$3:P$105&lt;&gt;"")*(G$3:G$105=G90))+1,IF(N90&lt;&gt;"",SUMPRODUCT((N$3:N$105&lt;&gt;"")*(G$3:G$105=G90)*(J$3:J$105&gt;J90))+1,IF(M90="P",SUMPRODUCT((O$3:O$105&lt;&gt;"")*(P$3:P$105="")*(G$3:G$105=G90))+SUMPRODUCT((P$3:P$105&lt;&gt;"")*(G$3:G$105=G90))+SUMPRODUCT((N$3:N$105&lt;&gt;"")*(G$3:G$105=G90))+SUMPRODUCT((P$3:P$105="")*(O$3:O$105="")*(N$3:N$105="")*(M$3:M$105="P")*(G$3:G$105=G90)*(J$3:J$105&gt;J90))+IF(H90="L5",SUMPRODUCT((P$3:P$105="")*(O$3:O$105="")*(N$3:N$105="")*(M$3:M$105="P")*(G$3:G$105=G90)*(J$3:J$105&lt;J90)*(H$3:H$105&lt;&gt;H90)),-1*SUMPRODUCT((P$3:P$105="")*(O$3:O$105="")*(N$3:N$105="")*(M$3:M$105="P")*(G$3:G$105=G90)*(J$3:J$105&gt;J90)*(H$3:H$105="L5")))+1,""))))</f>
        <v/>
      </c>
      <c r="C90" s="36" t="s">
        <v>565</v>
      </c>
      <c r="D90" s="36" t="str">
        <f>IF(E90="","",VLOOKUP(E90,'Coaching Points'!A:B,2,0))</f>
        <v>BC</v>
      </c>
      <c r="E90" s="36" t="s">
        <v>41</v>
      </c>
      <c r="F90" s="35">
        <v>2008</v>
      </c>
      <c r="G90" s="1" t="str">
        <f>IF('Qualifying Scores'!$B$1-F90&gt;21,"Not Age Eligible",IF('Qualifying Scores'!$B$1-F90&gt;16,"17-21",IF('Qualifying Scores'!$B$1-F90&gt;14,"15-16",IF('Qualifying Scores'!$B$1-F90&gt;12,"13-14",IF('Qualifying Scores'!$B$1-F90&gt;10,"11-12","Not Age Eligible")))))</f>
        <v>15-16</v>
      </c>
      <c r="H90" s="39" t="s">
        <v>66</v>
      </c>
      <c r="I90" s="43"/>
      <c r="J90" s="4">
        <f>R90+S90+IF(OR(H90="Junior",H90="Senior"),0.0002,IF(OR(H90="L7",H90="L6"),0.0001,0))+MAX(X90,Z90)*0.0000001</f>
        <v>37.100003710000003</v>
      </c>
      <c r="K90" s="3" t="str">
        <f>IF(G90="Not Age Eligible","",IF(MAX(T90,V90,X90,Z90)&gt;=LOOKUP(G90,'Qualifying Scores'!$A$4:$A$7,'Qualifying Scores'!$G$4:$G$7),"P",""))</f>
        <v/>
      </c>
      <c r="L90" s="3" t="str">
        <f>IF(G90="Not Age Eligible","",IF(MAX(U90,W90,Y90,AA90)&gt;=LOOKUP(G90,'Qualifying Scores'!$A$10:$A$13,'Qualifying Scores'!$G$10:$G$13),"P",""))</f>
        <v/>
      </c>
      <c r="M90" s="3" t="str">
        <f>IF(G90="Not Age Eligible","",IF(OR(AND(T90&gt;=LOOKUP(G90,'Qualifying Scores'!$A$4:$A$7,'Qualifying Scores'!$G$4:$G$7),U90&gt;=LOOKUP(G90,'Qualifying Scores'!$A$10:$A$13,'Qualifying Scores'!$G$10:$G$13)),AND(X90&gt;=LOOKUP(G90,'Qualifying Scores'!$A$4:$A$7,'Qualifying Scores'!$G$4:$G$7),Y90&gt;=LOOKUP(G90,'Qualifying Scores'!$A$10:$A$13,'Qualifying Scores'!$G$10:$G$13)),AND(V90&gt;=LOOKUP(G90,'Qualifying Scores'!$A$4:$A$7,'Qualifying Scores'!$G$4:$G$7),W90&gt;=LOOKUP(G90,'Qualifying Scores'!$A$10:$A$13,'Qualifying Scores'!$G$10:$G$13)),AND(Z90&gt;=LOOKUP(G90,'Qualifying Scores'!$A$4:$A$7,'Qualifying Scores'!$G$4:$G$7),AA90&gt;=LOOKUP(G90,'Qualifying Scores'!$A$10:$A$13,'Qualifying Scores'!$G$10:$G$13))),"P",""))</f>
        <v/>
      </c>
      <c r="Q90" s="1" t="str">
        <f>IF(A90&lt;5,IF(_xlfn.MAXIFS(A:A,G:G,G90)&gt;3,5-A90,_xlfn.MAXIFS(A:A,G:G,G90)+1-A90),"")</f>
        <v/>
      </c>
      <c r="R90" s="4">
        <f>MAX(T90,X90)</f>
        <v>37.1</v>
      </c>
      <c r="S90" s="4">
        <f>IF(R90=T90,MAX(V90,X90,Z90),IF(R90=X90,MAX(T90,V90,Z90),0))</f>
        <v>0</v>
      </c>
      <c r="T90" s="33"/>
      <c r="U90" s="40"/>
      <c r="V90" s="34"/>
      <c r="W90" s="40"/>
      <c r="X90" s="33">
        <v>37.1</v>
      </c>
      <c r="Y90" s="40">
        <v>2.9000000000000004</v>
      </c>
      <c r="Z90" s="34"/>
      <c r="AA90" s="37"/>
    </row>
    <row r="91" spans="1:27" x14ac:dyDescent="0.2">
      <c r="A91" s="1" cm="1">
        <f t="array" ref="A91">IF(I91="","",IF(P91&lt;&gt;"",SUMPRODUCT((P$3:P$105&lt;&gt;"")*(G$3:G$105=G91)*(J$3:J$105&gt;J91)*(I$3:I$105="P"))+1,IF(O91&lt;&gt;"",SUMPRODUCT((O$3:O$105&lt;&gt;"")*(P$3:P$105="")*(G$3:G$105=G91)*(J$3:J$105&gt;J91)*(I$3:I$105="P"))+SUMPRODUCT((P$3:P$105&lt;&gt;"")*(G$3:G$105=G91)*(I$3:I$105="P"))+1,IF(N91&lt;&gt;"",SUMPRODUCT((N$3:N$105&lt;&gt;"")*(G$3:G$105=G91)*(J$3:J$105&gt;J91)*(I$3:I$105="P"))+1,IF(M91="P",SUMPRODUCT((O$3:O$105&lt;&gt;"")*(P$3:P$105="")*(G$3:G$105=G91)*(I$3:I$105="P"))+SUMPRODUCT((P$3:P$105&lt;&gt;"")*(G$3:G$105=G91)*(I$3:I$105="P"))+SUMPRODUCT((N$3:N$105&lt;&gt;"")*(G$3:G$105=G91)*(I$3:I$105="P"))+SUMPRODUCT((P$3:P$105="")*(O$3:O$105="")*(N$3:N$105="")*(M$3:M$105="P")*(G$3:G$105=G91)*(J$3:J$105&gt;J91)*(I$3:I$105="P"))+IF(H91="L5",SUMPRODUCT((P$3:P$105="")*(O$3:O$105="")*(N$3:N$105="")*(M$3:M$105="P")*(G$3:G$105=G91)*(J$3:J$105&lt;J91)*(H$3:H$105&lt;&gt;H91)*(I$3:I$105="P")),-1*SUMPRODUCT((P$3:P$105="")*(O$3:O$105="")*(N$3:N$105="")*(M$3:M$105="P")*(G$3:G$105=G91)*(J$3:J$105&gt;J91)*(H$3:H$105="L5")*(I$3:I$105="P")))+1,"")))))</f>
        <v>1</v>
      </c>
      <c r="B91" s="1" cm="1">
        <f t="array" ref="B91">IF(P91&lt;&gt;"",SUMPRODUCT((P$3:P$105&lt;&gt;"")*(G$3:G$105=G91)*(J$3:J$105&gt;J91))+1,IF(O91&lt;&gt;"",SUMPRODUCT((O$3:O$105&lt;&gt;"")*(P$3:P$105="")*(G$3:G$105=G91)*(J$3:J$105&gt;J91))+SUMPRODUCT((P$3:P$105&lt;&gt;"")*(G$3:G$105=G91))+1,IF(N91&lt;&gt;"",SUMPRODUCT((N$3:N$105&lt;&gt;"")*(G$3:G$105=G91)*(J$3:J$105&gt;J91))+1,IF(M91="P",SUMPRODUCT((O$3:O$105&lt;&gt;"")*(P$3:P$105="")*(G$3:G$105=G91))+SUMPRODUCT((P$3:P$105&lt;&gt;"")*(G$3:G$105=G91))+SUMPRODUCT((N$3:N$105&lt;&gt;"")*(G$3:G$105=G91))+SUMPRODUCT((P$3:P$105="")*(O$3:O$105="")*(N$3:N$105="")*(M$3:M$105="P")*(G$3:G$105=G91)*(J$3:J$105&gt;J91))+IF(H91="L5",SUMPRODUCT((P$3:P$105="")*(O$3:O$105="")*(N$3:N$105="")*(M$3:M$105="P")*(G$3:G$105=G91)*(J$3:J$105&lt;J91)*(H$3:H$105&lt;&gt;H91)),-1*SUMPRODUCT((P$3:P$105="")*(O$3:O$105="")*(N$3:N$105="")*(M$3:M$105="P")*(G$3:G$105=G91)*(J$3:J$105&gt;J91)*(H$3:H$105="L5")))+1,""))))</f>
        <v>1</v>
      </c>
      <c r="C91" s="36" t="s">
        <v>148</v>
      </c>
      <c r="D91" s="36" t="str">
        <f>IF(E91="","",VLOOKUP(E91,'Coaching Points'!A:B,2,0))</f>
        <v>BC</v>
      </c>
      <c r="E91" s="36" t="s">
        <v>41</v>
      </c>
      <c r="F91" s="35">
        <v>2009</v>
      </c>
      <c r="G91" s="1" t="str">
        <f>IF('Qualifying Scores'!$B$1-F91&gt;21,"Not Age Eligible",IF('Qualifying Scores'!$B$1-F91&gt;16,"17-21",IF('Qualifying Scores'!$B$1-F91&gt;14,"15-16",IF('Qualifying Scores'!$B$1-F91&gt;12,"13-14",IF('Qualifying Scores'!$B$1-F91&gt;10,"11-12","Not Age Eligible")))))</f>
        <v>13-14</v>
      </c>
      <c r="H91" s="39" t="s">
        <v>65</v>
      </c>
      <c r="I91" s="43" t="s">
        <v>567</v>
      </c>
      <c r="J91" s="4">
        <f>R91+S91+IF(OR(H91="Junior",H91="Senior"),0.0002,IF(OR(H91="L7",H91="L6"),0.0001,0))+MAX(X91,Z91)*0.0000001</f>
        <v>101.40020511000002</v>
      </c>
      <c r="K91" s="3" t="str">
        <f>IF(G91="Not Age Eligible","",IF(MAX(T91,V91,X91,Z91)&gt;=LOOKUP(G91,'Qualifying Scores'!$A$4:$A$7,'Qualifying Scores'!$G$4:$G$7),"P",""))</f>
        <v>P</v>
      </c>
      <c r="L91" s="3" t="str">
        <f>IF(G91="Not Age Eligible","",IF(MAX(U91,W91,Y91,AA91)&gt;=LOOKUP(G91,'Qualifying Scores'!$A$10:$A$13,'Qualifying Scores'!$G$10:$G$13),"P",""))</f>
        <v>P</v>
      </c>
      <c r="M91" s="3" t="str">
        <f>IF(G91="Not Age Eligible","",IF(OR(AND(T91&gt;=LOOKUP(G91,'Qualifying Scores'!$A$4:$A$7,'Qualifying Scores'!$G$4:$G$7),U91&gt;=LOOKUP(G91,'Qualifying Scores'!$A$10:$A$13,'Qualifying Scores'!$G$10:$G$13)),AND(X91&gt;=LOOKUP(G91,'Qualifying Scores'!$A$4:$A$7,'Qualifying Scores'!$G$4:$G$7),Y91&gt;=LOOKUP(G91,'Qualifying Scores'!$A$10:$A$13,'Qualifying Scores'!$G$10:$G$13)),AND(V91&gt;=LOOKUP(G91,'Qualifying Scores'!$A$4:$A$7,'Qualifying Scores'!$G$4:$G$7),W91&gt;=LOOKUP(G91,'Qualifying Scores'!$A$10:$A$13,'Qualifying Scores'!$G$10:$G$13)),AND(Z91&gt;=LOOKUP(G91,'Qualifying Scores'!$A$4:$A$7,'Qualifying Scores'!$G$4:$G$7),AA91&gt;=LOOKUP(G91,'Qualifying Scores'!$A$10:$A$13,'Qualifying Scores'!$G$10:$G$13))),"P",""))</f>
        <v>P</v>
      </c>
      <c r="N91" s="39">
        <v>1</v>
      </c>
      <c r="Q91" s="1">
        <f>IF(A91&lt;5,IF(_xlfn.MAXIFS(A:A,G:G,G91)&gt;3,5-A91,_xlfn.MAXIFS(A:A,G:G,G91)+1-A91),"")</f>
        <v>4</v>
      </c>
      <c r="R91" s="4">
        <f>MAX(T91,X91)</f>
        <v>51.1</v>
      </c>
      <c r="S91" s="4">
        <f>IF(R91=T91,MAX(V91,X91,Z91),IF(R91=X91,MAX(T91,V91,Z91),0))</f>
        <v>50.3</v>
      </c>
      <c r="T91" s="33">
        <v>48.9</v>
      </c>
      <c r="U91" s="40">
        <v>11.6</v>
      </c>
      <c r="V91" s="34"/>
      <c r="W91" s="40"/>
      <c r="X91" s="33">
        <v>51.1</v>
      </c>
      <c r="Y91" s="40">
        <v>13.2</v>
      </c>
      <c r="Z91" s="34">
        <v>50.3</v>
      </c>
      <c r="AA91" s="37">
        <v>13.2</v>
      </c>
    </row>
    <row r="92" spans="1:27" x14ac:dyDescent="0.2">
      <c r="A92" s="1" cm="1">
        <f t="array" ref="A92">IF(I92="","",IF(P92&lt;&gt;"",SUMPRODUCT((P$3:P$105&lt;&gt;"")*(G$3:G$105=G92)*(J$3:J$105&gt;J92)*(I$3:I$105="P"))+1,IF(O92&lt;&gt;"",SUMPRODUCT((O$3:O$105&lt;&gt;"")*(P$3:P$105="")*(G$3:G$105=G92)*(J$3:J$105&gt;J92)*(I$3:I$105="P"))+SUMPRODUCT((P$3:P$105&lt;&gt;"")*(G$3:G$105=G92)*(I$3:I$105="P"))+1,IF(N92&lt;&gt;"",SUMPRODUCT((N$3:N$105&lt;&gt;"")*(G$3:G$105=G92)*(J$3:J$105&gt;J92)*(I$3:I$105="P"))+1,IF(M92="P",SUMPRODUCT((O$3:O$105&lt;&gt;"")*(P$3:P$105="")*(G$3:G$105=G92)*(I$3:I$105="P"))+SUMPRODUCT((P$3:P$105&lt;&gt;"")*(G$3:G$105=G92)*(I$3:I$105="P"))+SUMPRODUCT((N$3:N$105&lt;&gt;"")*(G$3:G$105=G92)*(I$3:I$105="P"))+SUMPRODUCT((P$3:P$105="")*(O$3:O$105="")*(N$3:N$105="")*(M$3:M$105="P")*(G$3:G$105=G92)*(J$3:J$105&gt;J92)*(I$3:I$105="P"))+IF(H92="L5",SUMPRODUCT((P$3:P$105="")*(O$3:O$105="")*(N$3:N$105="")*(M$3:M$105="P")*(G$3:G$105=G92)*(J$3:J$105&lt;J92)*(H$3:H$105&lt;&gt;H92)*(I$3:I$105="P")),-1*SUMPRODUCT((P$3:P$105="")*(O$3:O$105="")*(N$3:N$105="")*(M$3:M$105="P")*(G$3:G$105=G92)*(J$3:J$105&gt;J92)*(H$3:H$105="L5")*(I$3:I$105="P")))+1,"")))))</f>
        <v>2</v>
      </c>
      <c r="B92" s="1" cm="1">
        <f t="array" ref="B92">IF(P92&lt;&gt;"",SUMPRODUCT((P$3:P$105&lt;&gt;"")*(G$3:G$105=G92)*(J$3:J$105&gt;J92))+1,IF(O92&lt;&gt;"",SUMPRODUCT((O$3:O$105&lt;&gt;"")*(P$3:P$105="")*(G$3:G$105=G92)*(J$3:J$105&gt;J92))+SUMPRODUCT((P$3:P$105&lt;&gt;"")*(G$3:G$105=G92))+1,IF(N92&lt;&gt;"",SUMPRODUCT((N$3:N$105&lt;&gt;"")*(G$3:G$105=G92)*(J$3:J$105&gt;J92))+1,IF(M92="P",SUMPRODUCT((O$3:O$105&lt;&gt;"")*(P$3:P$105="")*(G$3:G$105=G92))+SUMPRODUCT((P$3:P$105&lt;&gt;"")*(G$3:G$105=G92))+SUMPRODUCT((N$3:N$105&lt;&gt;"")*(G$3:G$105=G92))+SUMPRODUCT((P$3:P$105="")*(O$3:O$105="")*(N$3:N$105="")*(M$3:M$105="P")*(G$3:G$105=G92)*(J$3:J$105&gt;J92))+IF(H92="L5",SUMPRODUCT((P$3:P$105="")*(O$3:O$105="")*(N$3:N$105="")*(M$3:M$105="P")*(G$3:G$105=G92)*(J$3:J$105&lt;J92)*(H$3:H$105&lt;&gt;H92)),-1*SUMPRODUCT((P$3:P$105="")*(O$3:O$105="")*(N$3:N$105="")*(M$3:M$105="P")*(G$3:G$105=G92)*(J$3:J$105&gt;J92)*(H$3:H$105="L5")))+1,""))))</f>
        <v>2</v>
      </c>
      <c r="C92" s="36" t="s">
        <v>118</v>
      </c>
      <c r="D92" s="36" t="str">
        <f>IF(E92="","",VLOOKUP(E92,'Coaching Points'!A:B,2,0))</f>
        <v>BC</v>
      </c>
      <c r="E92" s="36" t="s">
        <v>41</v>
      </c>
      <c r="F92" s="35">
        <v>2009</v>
      </c>
      <c r="G92" s="1" t="str">
        <f>IF('Qualifying Scores'!$B$1-F92&gt;21,"Not Age Eligible",IF('Qualifying Scores'!$B$1-F92&gt;16,"17-21",IF('Qualifying Scores'!$B$1-F92&gt;14,"15-16",IF('Qualifying Scores'!$B$1-F92&gt;12,"13-14",IF('Qualifying Scores'!$B$1-F92&gt;10,"11-12","Not Age Eligible")))))</f>
        <v>13-14</v>
      </c>
      <c r="H92" s="39" t="s">
        <v>67</v>
      </c>
      <c r="I92" s="43" t="s">
        <v>567</v>
      </c>
      <c r="J92" s="4">
        <f>R92+S92+IF(OR(H92="Junior",H92="Senior"),0.0002,IF(OR(H92="L7",H92="L6"),0.0001,0))+MAX(X92,Z92)*0.0000001</f>
        <v>92.000104660000005</v>
      </c>
      <c r="K92" s="3" t="str">
        <f>IF(G92="Not Age Eligible","",IF(MAX(T92,V92,X92,Z92)&gt;=LOOKUP(G92,'Qualifying Scores'!$A$4:$A$7,'Qualifying Scores'!$G$4:$G$7),"P",""))</f>
        <v>P</v>
      </c>
      <c r="L92" s="3" t="str">
        <f>IF(G92="Not Age Eligible","",IF(MAX(U92,W92,Y92,AA92)&gt;=LOOKUP(G92,'Qualifying Scores'!$A$10:$A$13,'Qualifying Scores'!$G$10:$G$13),"P",""))</f>
        <v>P</v>
      </c>
      <c r="M92" s="3" t="str">
        <f>IF(G92="Not Age Eligible","",IF(OR(AND(T92&gt;=LOOKUP(G92,'Qualifying Scores'!$A$4:$A$7,'Qualifying Scores'!$G$4:$G$7),U92&gt;=LOOKUP(G92,'Qualifying Scores'!$A$10:$A$13,'Qualifying Scores'!$G$10:$G$13)),AND(X92&gt;=LOOKUP(G92,'Qualifying Scores'!$A$4:$A$7,'Qualifying Scores'!$G$4:$G$7),Y92&gt;=LOOKUP(G92,'Qualifying Scores'!$A$10:$A$13,'Qualifying Scores'!$G$10:$G$13)),AND(V92&gt;=LOOKUP(G92,'Qualifying Scores'!$A$4:$A$7,'Qualifying Scores'!$G$4:$G$7),W92&gt;=LOOKUP(G92,'Qualifying Scores'!$A$10:$A$13,'Qualifying Scores'!$G$10:$G$13)),AND(Z92&gt;=LOOKUP(G92,'Qualifying Scores'!$A$4:$A$7,'Qualifying Scores'!$G$4:$G$7),AA92&gt;=LOOKUP(G92,'Qualifying Scores'!$A$10:$A$13,'Qualifying Scores'!$G$10:$G$13))),"P",""))</f>
        <v>P</v>
      </c>
      <c r="Q92" s="1">
        <f>IF(A92&lt;5,IF(_xlfn.MAXIFS(A:A,G:G,G92)&gt;3,5-A92,_xlfn.MAXIFS(A:A,G:G,G92)+1-A92),"")</f>
        <v>3</v>
      </c>
      <c r="R92" s="4">
        <f>MAX(T92,X92)</f>
        <v>46.6</v>
      </c>
      <c r="S92" s="4">
        <f>IF(R92=T92,MAX(V92,X92,Z92),IF(R92=X92,MAX(T92,V92,Z92),0))</f>
        <v>45.4</v>
      </c>
      <c r="T92" s="33">
        <v>45.4</v>
      </c>
      <c r="U92" s="40">
        <v>8.3000000000000007</v>
      </c>
      <c r="V92" s="34">
        <v>45.3</v>
      </c>
      <c r="W92" s="40">
        <v>8.1999999999999993</v>
      </c>
      <c r="X92" s="33">
        <v>46.6</v>
      </c>
      <c r="Y92" s="40">
        <v>10.4</v>
      </c>
      <c r="Z92" s="34">
        <v>44</v>
      </c>
      <c r="AA92" s="37">
        <v>6.9</v>
      </c>
    </row>
    <row r="93" spans="1:27" x14ac:dyDescent="0.2">
      <c r="A93" s="1" cm="1">
        <f t="array" ref="A93">IF(I93="","",IF(P93&lt;&gt;"",SUMPRODUCT((P$3:P$105&lt;&gt;"")*(G$3:G$105=G93)*(J$3:J$105&gt;J93)*(I$3:I$105="P"))+1,IF(O93&lt;&gt;"",SUMPRODUCT((O$3:O$105&lt;&gt;"")*(P$3:P$105="")*(G$3:G$105=G93)*(J$3:J$105&gt;J93)*(I$3:I$105="P"))+SUMPRODUCT((P$3:P$105&lt;&gt;"")*(G$3:G$105=G93)*(I$3:I$105="P"))+1,IF(N93&lt;&gt;"",SUMPRODUCT((N$3:N$105&lt;&gt;"")*(G$3:G$105=G93)*(J$3:J$105&gt;J93)*(I$3:I$105="P"))+1,IF(M93="P",SUMPRODUCT((O$3:O$105&lt;&gt;"")*(P$3:P$105="")*(G$3:G$105=G93)*(I$3:I$105="P"))+SUMPRODUCT((P$3:P$105&lt;&gt;"")*(G$3:G$105=G93)*(I$3:I$105="P"))+SUMPRODUCT((N$3:N$105&lt;&gt;"")*(G$3:G$105=G93)*(I$3:I$105="P"))+SUMPRODUCT((P$3:P$105="")*(O$3:O$105="")*(N$3:N$105="")*(M$3:M$105="P")*(G$3:G$105=G93)*(J$3:J$105&gt;J93)*(I$3:I$105="P"))+IF(H93="L5",SUMPRODUCT((P$3:P$105="")*(O$3:O$105="")*(N$3:N$105="")*(M$3:M$105="P")*(G$3:G$105=G93)*(J$3:J$105&lt;J93)*(H$3:H$105&lt;&gt;H93)*(I$3:I$105="P")),-1*SUMPRODUCT((P$3:P$105="")*(O$3:O$105="")*(N$3:N$105="")*(M$3:M$105="P")*(G$3:G$105=G93)*(J$3:J$105&gt;J93)*(H$3:H$105="L5")*(I$3:I$105="P")))+1,"")))))</f>
        <v>3</v>
      </c>
      <c r="B93" s="1" cm="1">
        <f t="array" ref="B93">IF(P93&lt;&gt;"",SUMPRODUCT((P$3:P$105&lt;&gt;"")*(G$3:G$105=G93)*(J$3:J$105&gt;J93))+1,IF(O93&lt;&gt;"",SUMPRODUCT((O$3:O$105&lt;&gt;"")*(P$3:P$105="")*(G$3:G$105=G93)*(J$3:J$105&gt;J93))+SUMPRODUCT((P$3:P$105&lt;&gt;"")*(G$3:G$105=G93))+1,IF(N93&lt;&gt;"",SUMPRODUCT((N$3:N$105&lt;&gt;"")*(G$3:G$105=G93)*(J$3:J$105&gt;J93))+1,IF(M93="P",SUMPRODUCT((O$3:O$105&lt;&gt;"")*(P$3:P$105="")*(G$3:G$105=G93))+SUMPRODUCT((P$3:P$105&lt;&gt;"")*(G$3:G$105=G93))+SUMPRODUCT((N$3:N$105&lt;&gt;"")*(G$3:G$105=G93))+SUMPRODUCT((P$3:P$105="")*(O$3:O$105="")*(N$3:N$105="")*(M$3:M$105="P")*(G$3:G$105=G93)*(J$3:J$105&gt;J93))+IF(H93="L5",SUMPRODUCT((P$3:P$105="")*(O$3:O$105="")*(N$3:N$105="")*(M$3:M$105="P")*(G$3:G$105=G93)*(J$3:J$105&lt;J93)*(H$3:H$105&lt;&gt;H93)),-1*SUMPRODUCT((P$3:P$105="")*(O$3:O$105="")*(N$3:N$105="")*(M$3:M$105="P")*(G$3:G$105=G93)*(J$3:J$105&gt;J93)*(H$3:H$105="L5")))+1,""))))</f>
        <v>3</v>
      </c>
      <c r="C93" s="36" t="s">
        <v>236</v>
      </c>
      <c r="D93" s="36" t="str">
        <f>IF(E93="","",VLOOKUP(E93,'Coaching Points'!A:B,2,0))</f>
        <v>BC</v>
      </c>
      <c r="E93" s="36" t="s">
        <v>41</v>
      </c>
      <c r="F93" s="35">
        <v>2009</v>
      </c>
      <c r="G93" s="1" t="str">
        <f>IF('Qualifying Scores'!$B$1-F93&gt;21,"Not Age Eligible",IF('Qualifying Scores'!$B$1-F93&gt;16,"17-21",IF('Qualifying Scores'!$B$1-F93&gt;14,"15-16",IF('Qualifying Scores'!$B$1-F93&gt;12,"13-14",IF('Qualifying Scores'!$B$1-F93&gt;10,"11-12","Not Age Eligible")))))</f>
        <v>13-14</v>
      </c>
      <c r="H93" s="39" t="s">
        <v>67</v>
      </c>
      <c r="I93" s="43" t="s">
        <v>567</v>
      </c>
      <c r="J93" s="4">
        <f>R93+S93+IF(OR(H93="Junior",H93="Senior"),0.0002,IF(OR(H93="L7",H93="L6"),0.0001,0))+MAX(X93,Z93)*0.0000001</f>
        <v>91.000104640000004</v>
      </c>
      <c r="K93" s="3" t="str">
        <f>IF(G93="Not Age Eligible","",IF(MAX(T93,V93,X93,Z93)&gt;=LOOKUP(G93,'Qualifying Scores'!$A$4:$A$7,'Qualifying Scores'!$G$4:$G$7),"P",""))</f>
        <v>P</v>
      </c>
      <c r="L93" s="3" t="str">
        <f>IF(G93="Not Age Eligible","",IF(MAX(U93,W93,Y93,AA93)&gt;=LOOKUP(G93,'Qualifying Scores'!$A$10:$A$13,'Qualifying Scores'!$G$10:$G$13),"P",""))</f>
        <v>P</v>
      </c>
      <c r="M93" s="3" t="str">
        <f>IF(G93="Not Age Eligible","",IF(OR(AND(T93&gt;=LOOKUP(G93,'Qualifying Scores'!$A$4:$A$7,'Qualifying Scores'!$G$4:$G$7),U93&gt;=LOOKUP(G93,'Qualifying Scores'!$A$10:$A$13,'Qualifying Scores'!$G$10:$G$13)),AND(X93&gt;=LOOKUP(G93,'Qualifying Scores'!$A$4:$A$7,'Qualifying Scores'!$G$4:$G$7),Y93&gt;=LOOKUP(G93,'Qualifying Scores'!$A$10:$A$13,'Qualifying Scores'!$G$10:$G$13)),AND(V93&gt;=LOOKUP(G93,'Qualifying Scores'!$A$4:$A$7,'Qualifying Scores'!$G$4:$G$7),W93&gt;=LOOKUP(G93,'Qualifying Scores'!$A$10:$A$13,'Qualifying Scores'!$G$10:$G$13)),AND(Z93&gt;=LOOKUP(G93,'Qualifying Scores'!$A$4:$A$7,'Qualifying Scores'!$G$4:$G$7),AA93&gt;=LOOKUP(G93,'Qualifying Scores'!$A$10:$A$13,'Qualifying Scores'!$G$10:$G$13))),"P",""))</f>
        <v>P</v>
      </c>
      <c r="Q93" s="1">
        <f>IF(A93&lt;5,IF(_xlfn.MAXIFS(A:A,G:G,G93)&gt;3,5-A93,_xlfn.MAXIFS(A:A,G:G,G93)+1-A93),"")</f>
        <v>2</v>
      </c>
      <c r="R93" s="4">
        <f>MAX(T93,X93)</f>
        <v>46.4</v>
      </c>
      <c r="S93" s="4">
        <f>IF(R93=T93,MAX(V93,X93,Z93),IF(R93=X93,MAX(T93,V93,Z93),0))</f>
        <v>44.6</v>
      </c>
      <c r="T93" s="33">
        <v>43.8</v>
      </c>
      <c r="U93" s="40">
        <v>6.9</v>
      </c>
      <c r="V93" s="34">
        <v>20.9</v>
      </c>
      <c r="W93" s="40">
        <v>2.7</v>
      </c>
      <c r="X93" s="33">
        <v>46.4</v>
      </c>
      <c r="Y93" s="40">
        <v>9.6</v>
      </c>
      <c r="Z93" s="34">
        <v>44.6</v>
      </c>
      <c r="AA93" s="37">
        <v>7.2</v>
      </c>
    </row>
    <row r="94" spans="1:27" x14ac:dyDescent="0.2">
      <c r="A94" s="1" cm="1">
        <f t="array" ref="A94">IF(I94="","",IF(P94&lt;&gt;"",SUMPRODUCT((P$3:P$105&lt;&gt;"")*(G$3:G$105=G94)*(J$3:J$105&gt;J94)*(I$3:I$105="P"))+1,IF(O94&lt;&gt;"",SUMPRODUCT((O$3:O$105&lt;&gt;"")*(P$3:P$105="")*(G$3:G$105=G94)*(J$3:J$105&gt;J94)*(I$3:I$105="P"))+SUMPRODUCT((P$3:P$105&lt;&gt;"")*(G$3:G$105=G94)*(I$3:I$105="P"))+1,IF(N94&lt;&gt;"",SUMPRODUCT((N$3:N$105&lt;&gt;"")*(G$3:G$105=G94)*(J$3:J$105&gt;J94)*(I$3:I$105="P"))+1,IF(M94="P",SUMPRODUCT((O$3:O$105&lt;&gt;"")*(P$3:P$105="")*(G$3:G$105=G94)*(I$3:I$105="P"))+SUMPRODUCT((P$3:P$105&lt;&gt;"")*(G$3:G$105=G94)*(I$3:I$105="P"))+SUMPRODUCT((N$3:N$105&lt;&gt;"")*(G$3:G$105=G94)*(I$3:I$105="P"))+SUMPRODUCT((P$3:P$105="")*(O$3:O$105="")*(N$3:N$105="")*(M$3:M$105="P")*(G$3:G$105=G94)*(J$3:J$105&gt;J94)*(I$3:I$105="P"))+IF(H94="L5",SUMPRODUCT((P$3:P$105="")*(O$3:O$105="")*(N$3:N$105="")*(M$3:M$105="P")*(G$3:G$105=G94)*(J$3:J$105&lt;J94)*(H$3:H$105&lt;&gt;H94)*(I$3:I$105="P")),-1*SUMPRODUCT((P$3:P$105="")*(O$3:O$105="")*(N$3:N$105="")*(M$3:M$105="P")*(G$3:G$105=G94)*(J$3:J$105&gt;J94)*(H$3:H$105="L5")*(I$3:I$105="P")))+1,"")))))</f>
        <v>4</v>
      </c>
      <c r="B94" s="1" cm="1">
        <f t="array" ref="B94">IF(P94&lt;&gt;"",SUMPRODUCT((P$3:P$105&lt;&gt;"")*(G$3:G$105=G94)*(J$3:J$105&gt;J94))+1,IF(O94&lt;&gt;"",SUMPRODUCT((O$3:O$105&lt;&gt;"")*(P$3:P$105="")*(G$3:G$105=G94)*(J$3:J$105&gt;J94))+SUMPRODUCT((P$3:P$105&lt;&gt;"")*(G$3:G$105=G94))+1,IF(N94&lt;&gt;"",SUMPRODUCT((N$3:N$105&lt;&gt;"")*(G$3:G$105=G94)*(J$3:J$105&gt;J94))+1,IF(M94="P",SUMPRODUCT((O$3:O$105&lt;&gt;"")*(P$3:P$105="")*(G$3:G$105=G94))+SUMPRODUCT((P$3:P$105&lt;&gt;"")*(G$3:G$105=G94))+SUMPRODUCT((N$3:N$105&lt;&gt;"")*(G$3:G$105=G94))+SUMPRODUCT((P$3:P$105="")*(O$3:O$105="")*(N$3:N$105="")*(M$3:M$105="P")*(G$3:G$105=G94)*(J$3:J$105&gt;J94))+IF(H94="L5",SUMPRODUCT((P$3:P$105="")*(O$3:O$105="")*(N$3:N$105="")*(M$3:M$105="P")*(G$3:G$105=G94)*(J$3:J$105&lt;J94)*(H$3:H$105&lt;&gt;H94)),-1*SUMPRODUCT((P$3:P$105="")*(O$3:O$105="")*(N$3:N$105="")*(M$3:M$105="P")*(G$3:G$105=G94)*(J$3:J$105&gt;J94)*(H$3:H$105="L5")))+1,""))))</f>
        <v>4</v>
      </c>
      <c r="C94" s="36" t="s">
        <v>305</v>
      </c>
      <c r="D94" s="36" t="str">
        <f>IF(E94="","",VLOOKUP(E94,'Coaching Points'!A:B,2,0))</f>
        <v>AB</v>
      </c>
      <c r="E94" s="36" t="s">
        <v>29</v>
      </c>
      <c r="F94" s="35">
        <v>2009</v>
      </c>
      <c r="G94" s="1" t="str">
        <f>IF('Qualifying Scores'!$B$1-F94&gt;21,"Not Age Eligible",IF('Qualifying Scores'!$B$1-F94&gt;16,"17-21",IF('Qualifying Scores'!$B$1-F94&gt;14,"15-16",IF('Qualifying Scores'!$B$1-F94&gt;12,"13-14",IF('Qualifying Scores'!$B$1-F94&gt;10,"11-12","Not Age Eligible")))))</f>
        <v>13-14</v>
      </c>
      <c r="H94" s="39" t="s">
        <v>66</v>
      </c>
      <c r="I94" s="43" t="s">
        <v>567</v>
      </c>
      <c r="J94" s="4">
        <f>R94+S94+IF(OR(H94="Junior",H94="Senior"),0.0002,IF(OR(H94="L7",H94="L6"),0.0001,0))+MAX(X94,Z94)*0.0000001</f>
        <v>87.100004339999998</v>
      </c>
      <c r="K94" s="3" t="str">
        <f>IF(G94="Not Age Eligible","",IF(MAX(T94,V94,X94,Z94)&gt;=LOOKUP(G94,'Qualifying Scores'!$A$4:$A$7,'Qualifying Scores'!$G$4:$G$7),"P",""))</f>
        <v>P</v>
      </c>
      <c r="L94" s="3" t="str">
        <f>IF(G94="Not Age Eligible","",IF(MAX(U94,W94,Y94,AA94)&gt;=LOOKUP(G94,'Qualifying Scores'!$A$10:$A$13,'Qualifying Scores'!$G$10:$G$13),"P",""))</f>
        <v>P</v>
      </c>
      <c r="M94" s="3" t="str">
        <f>IF(G94="Not Age Eligible","",IF(OR(AND(T94&gt;=LOOKUP(G94,'Qualifying Scores'!$A$4:$A$7,'Qualifying Scores'!$G$4:$G$7),U94&gt;=LOOKUP(G94,'Qualifying Scores'!$A$10:$A$13,'Qualifying Scores'!$G$10:$G$13)),AND(X94&gt;=LOOKUP(G94,'Qualifying Scores'!$A$4:$A$7,'Qualifying Scores'!$G$4:$G$7),Y94&gt;=LOOKUP(G94,'Qualifying Scores'!$A$10:$A$13,'Qualifying Scores'!$G$10:$G$13)),AND(V94&gt;=LOOKUP(G94,'Qualifying Scores'!$A$4:$A$7,'Qualifying Scores'!$G$4:$G$7),W94&gt;=LOOKUP(G94,'Qualifying Scores'!$A$10:$A$13,'Qualifying Scores'!$G$10:$G$13)),AND(Z94&gt;=LOOKUP(G94,'Qualifying Scores'!$A$4:$A$7,'Qualifying Scores'!$G$4:$G$7),AA94&gt;=LOOKUP(G94,'Qualifying Scores'!$A$10:$A$13,'Qualifying Scores'!$G$10:$G$13))),"P",""))</f>
        <v>P</v>
      </c>
      <c r="Q94" s="1">
        <f>IF(A94&lt;5,IF(_xlfn.MAXIFS(A:A,G:G,G94)&gt;3,5-A94,_xlfn.MAXIFS(A:A,G:G,G94)+1-A94),"")</f>
        <v>1</v>
      </c>
      <c r="R94" s="4">
        <f>MAX(T94,X94)</f>
        <v>43.7</v>
      </c>
      <c r="S94" s="4">
        <f>IF(R94=T94,MAX(V94,X94,Z94),IF(R94=X94,MAX(T94,V94,Z94),0))</f>
        <v>43.4</v>
      </c>
      <c r="T94" s="33">
        <v>43.7</v>
      </c>
      <c r="U94" s="40">
        <v>6.3000000000000007</v>
      </c>
      <c r="V94" s="34">
        <v>41.3</v>
      </c>
      <c r="W94" s="40">
        <v>4.3000000000000007</v>
      </c>
      <c r="X94" s="33">
        <v>43.4</v>
      </c>
      <c r="Y94" s="40">
        <v>6.3000000000000007</v>
      </c>
      <c r="Z94" s="34">
        <v>41.5</v>
      </c>
      <c r="AA94" s="37">
        <v>4.3000000000000007</v>
      </c>
    </row>
    <row r="95" spans="1:27" x14ac:dyDescent="0.2">
      <c r="A95" s="1" t="str" cm="1">
        <f t="array" ref="A95">IF(I95="","",IF(P95&lt;&gt;"",SUMPRODUCT((P$3:P$105&lt;&gt;"")*(G$3:G$105=G95)*(J$3:J$105&gt;J95)*(I$3:I$105="P"))+1,IF(O95&lt;&gt;"",SUMPRODUCT((O$3:O$105&lt;&gt;"")*(P$3:P$105="")*(G$3:G$105=G95)*(J$3:J$105&gt;J95)*(I$3:I$105="P"))+SUMPRODUCT((P$3:P$105&lt;&gt;"")*(G$3:G$105=G95)*(I$3:I$105="P"))+1,IF(N95&lt;&gt;"",SUMPRODUCT((N$3:N$105&lt;&gt;"")*(G$3:G$105=G95)*(J$3:J$105&gt;J95)*(I$3:I$105="P"))+1,IF(M95="P",SUMPRODUCT((O$3:O$105&lt;&gt;"")*(P$3:P$105="")*(G$3:G$105=G95)*(I$3:I$105="P"))+SUMPRODUCT((P$3:P$105&lt;&gt;"")*(G$3:G$105=G95)*(I$3:I$105="P"))+SUMPRODUCT((N$3:N$105&lt;&gt;"")*(G$3:G$105=G95)*(I$3:I$105="P"))+SUMPRODUCT((P$3:P$105="")*(O$3:O$105="")*(N$3:N$105="")*(M$3:M$105="P")*(G$3:G$105=G95)*(J$3:J$105&gt;J95)*(I$3:I$105="P"))+IF(H95="L5",SUMPRODUCT((P$3:P$105="")*(O$3:O$105="")*(N$3:N$105="")*(M$3:M$105="P")*(G$3:G$105=G95)*(J$3:J$105&lt;J95)*(H$3:H$105&lt;&gt;H95)*(I$3:I$105="P")),-1*SUMPRODUCT((P$3:P$105="")*(O$3:O$105="")*(N$3:N$105="")*(M$3:M$105="P")*(G$3:G$105=G95)*(J$3:J$105&gt;J95)*(H$3:H$105="L5")*(I$3:I$105="P")))+1,"")))))</f>
        <v/>
      </c>
      <c r="B95" s="1" t="str" cm="1">
        <f t="array" ref="B95">IF(P95&lt;&gt;"",SUMPRODUCT((P$3:P$105&lt;&gt;"")*(G$3:G$105=G95)*(J$3:J$105&gt;J95))+1,IF(O95&lt;&gt;"",SUMPRODUCT((O$3:O$105&lt;&gt;"")*(P$3:P$105="")*(G$3:G$105=G95)*(J$3:J$105&gt;J95))+SUMPRODUCT((P$3:P$105&lt;&gt;"")*(G$3:G$105=G95))+1,IF(N95&lt;&gt;"",SUMPRODUCT((N$3:N$105&lt;&gt;"")*(G$3:G$105=G95)*(J$3:J$105&gt;J95))+1,IF(M95="P",SUMPRODUCT((O$3:O$105&lt;&gt;"")*(P$3:P$105="")*(G$3:G$105=G95))+SUMPRODUCT((P$3:P$105&lt;&gt;"")*(G$3:G$105=G95))+SUMPRODUCT((N$3:N$105&lt;&gt;"")*(G$3:G$105=G95))+SUMPRODUCT((P$3:P$105="")*(O$3:O$105="")*(N$3:N$105="")*(M$3:M$105="P")*(G$3:G$105=G95)*(J$3:J$105&gt;J95))+IF(H95="L5",SUMPRODUCT((P$3:P$105="")*(O$3:O$105="")*(N$3:N$105="")*(M$3:M$105="P")*(G$3:G$105=G95)*(J$3:J$105&lt;J95)*(H$3:H$105&lt;&gt;H95)),-1*SUMPRODUCT((P$3:P$105="")*(O$3:O$105="")*(N$3:N$105="")*(M$3:M$105="P")*(G$3:G$105=G95)*(J$3:J$105&gt;J95)*(H$3:H$105="L5")))+1,""))))</f>
        <v/>
      </c>
      <c r="C95" s="36" t="s">
        <v>238</v>
      </c>
      <c r="D95" s="36" t="s">
        <v>195</v>
      </c>
      <c r="E95" s="36" t="s">
        <v>96</v>
      </c>
      <c r="F95" s="35">
        <v>2009</v>
      </c>
      <c r="G95" s="1" t="str">
        <f>IF('Qualifying Scores'!$B$1-F95&gt;21,"Not Age Eligible",IF('Qualifying Scores'!$B$1-F95&gt;16,"17-21",IF('Qualifying Scores'!$B$1-F95&gt;14,"15-16",IF('Qualifying Scores'!$B$1-F95&gt;12,"13-14",IF('Qualifying Scores'!$B$1-F95&gt;10,"11-12","Not Age Eligible")))))</f>
        <v>13-14</v>
      </c>
      <c r="H95" s="39" t="s">
        <v>67</v>
      </c>
      <c r="I95" s="43" t="s">
        <v>567</v>
      </c>
      <c r="J95" s="4">
        <f>R95+S95+IF(OR(H95="Junior",H95="Senior"),0.0002,IF(OR(H95="L7",H95="L6"),0.0001,0))+MAX(X95,Z95)*0.0000001</f>
        <v>86.500104149999999</v>
      </c>
      <c r="K95" s="3" t="str">
        <f>IF(G95="Not Age Eligible","",IF(MAX(T95,V95,X95,Z95)&gt;=LOOKUP(G95,'Qualifying Scores'!$A$4:$A$7,'Qualifying Scores'!$G$4:$G$7),"P",""))</f>
        <v>P</v>
      </c>
      <c r="L95" s="3" t="str">
        <f>IF(G95="Not Age Eligible","",IF(MAX(U95,W95,Y95,AA95)&gt;=LOOKUP(G95,'Qualifying Scores'!$A$10:$A$13,'Qualifying Scores'!$G$10:$G$13),"P",""))</f>
        <v>P</v>
      </c>
      <c r="M95" s="3" t="str">
        <f>IF(G95="Not Age Eligible","",IF(OR(AND(T95&gt;=LOOKUP(G95,'Qualifying Scores'!$A$4:$A$7,'Qualifying Scores'!$G$4:$G$7),U95&gt;=LOOKUP(G95,'Qualifying Scores'!$A$10:$A$13,'Qualifying Scores'!$G$10:$G$13)),AND(X95&gt;=LOOKUP(G95,'Qualifying Scores'!$A$4:$A$7,'Qualifying Scores'!$G$4:$G$7),Y95&gt;=LOOKUP(G95,'Qualifying Scores'!$A$10:$A$13,'Qualifying Scores'!$G$10:$G$13)),AND(V95&gt;=LOOKUP(G95,'Qualifying Scores'!$A$4:$A$7,'Qualifying Scores'!$G$4:$G$7),W95&gt;=LOOKUP(G95,'Qualifying Scores'!$A$10:$A$13,'Qualifying Scores'!$G$10:$G$13)),AND(Z95&gt;=LOOKUP(G95,'Qualifying Scores'!$A$4:$A$7,'Qualifying Scores'!$G$4:$G$7),AA95&gt;=LOOKUP(G95,'Qualifying Scores'!$A$10:$A$13,'Qualifying Scores'!$G$10:$G$13))),"P",""))</f>
        <v/>
      </c>
      <c r="Q95" s="1" t="str">
        <f>IF(A95&lt;5,IF(_xlfn.MAXIFS(A:A,G:G,G95)&gt;3,5-A95,_xlfn.MAXIFS(A:A,G:G,G95)+1-A95),"")</f>
        <v/>
      </c>
      <c r="R95" s="4">
        <f>MAX(T95,X95)</f>
        <v>43.8</v>
      </c>
      <c r="S95" s="4">
        <f>IF(R95=T95,MAX(V95,X95,Z95),IF(R95=X95,MAX(T95,V95,Z95),0))</f>
        <v>42.7</v>
      </c>
      <c r="T95" s="33">
        <v>43.8</v>
      </c>
      <c r="U95" s="40">
        <v>6.1</v>
      </c>
      <c r="V95" s="34">
        <v>42.7</v>
      </c>
      <c r="W95" s="40">
        <v>6.5</v>
      </c>
      <c r="X95" s="33">
        <v>41.5</v>
      </c>
      <c r="Y95" s="40">
        <v>6.6</v>
      </c>
      <c r="Z95" s="34">
        <v>40.1</v>
      </c>
      <c r="AA95" s="37">
        <v>3.7</v>
      </c>
    </row>
    <row r="96" spans="1:27" x14ac:dyDescent="0.2">
      <c r="A96" s="1" t="str" cm="1">
        <f t="array" ref="A96">IF(I96="","",IF(P96&lt;&gt;"",SUMPRODUCT((P$3:P$105&lt;&gt;"")*(G$3:G$105=G96)*(J$3:J$105&gt;J96)*(I$3:I$105="P"))+1,IF(O96&lt;&gt;"",SUMPRODUCT((O$3:O$105&lt;&gt;"")*(P$3:P$105="")*(G$3:G$105=G96)*(J$3:J$105&gt;J96)*(I$3:I$105="P"))+SUMPRODUCT((P$3:P$105&lt;&gt;"")*(G$3:G$105=G96)*(I$3:I$105="P"))+1,IF(N96&lt;&gt;"",SUMPRODUCT((N$3:N$105&lt;&gt;"")*(G$3:G$105=G96)*(J$3:J$105&gt;J96)*(I$3:I$105="P"))+1,IF(M96="P",SUMPRODUCT((O$3:O$105&lt;&gt;"")*(P$3:P$105="")*(G$3:G$105=G96)*(I$3:I$105="P"))+SUMPRODUCT((P$3:P$105&lt;&gt;"")*(G$3:G$105=G96)*(I$3:I$105="P"))+SUMPRODUCT((N$3:N$105&lt;&gt;"")*(G$3:G$105=G96)*(I$3:I$105="P"))+SUMPRODUCT((P$3:P$105="")*(O$3:O$105="")*(N$3:N$105="")*(M$3:M$105="P")*(G$3:G$105=G96)*(J$3:J$105&gt;J96)*(I$3:I$105="P"))+IF(H96="L5",SUMPRODUCT((P$3:P$105="")*(O$3:O$105="")*(N$3:N$105="")*(M$3:M$105="P")*(G$3:G$105=G96)*(J$3:J$105&lt;J96)*(H$3:H$105&lt;&gt;H96)*(I$3:I$105="P")),-1*SUMPRODUCT((P$3:P$105="")*(O$3:O$105="")*(N$3:N$105="")*(M$3:M$105="P")*(G$3:G$105=G96)*(J$3:J$105&gt;J96)*(H$3:H$105="L5")*(I$3:I$105="P")))+1,"")))))</f>
        <v/>
      </c>
      <c r="B96" s="1" t="str" cm="1">
        <f t="array" ref="B96">IF(P96&lt;&gt;"",SUMPRODUCT((P$3:P$105&lt;&gt;"")*(G$3:G$105=G96)*(J$3:J$105&gt;J96))+1,IF(O96&lt;&gt;"",SUMPRODUCT((O$3:O$105&lt;&gt;"")*(P$3:P$105="")*(G$3:G$105=G96)*(J$3:J$105&gt;J96))+SUMPRODUCT((P$3:P$105&lt;&gt;"")*(G$3:G$105=G96))+1,IF(N96&lt;&gt;"",SUMPRODUCT((N$3:N$105&lt;&gt;"")*(G$3:G$105=G96)*(J$3:J$105&gt;J96))+1,IF(M96="P",SUMPRODUCT((O$3:O$105&lt;&gt;"")*(P$3:P$105="")*(G$3:G$105=G96))+SUMPRODUCT((P$3:P$105&lt;&gt;"")*(G$3:G$105=G96))+SUMPRODUCT((N$3:N$105&lt;&gt;"")*(G$3:G$105=G96))+SUMPRODUCT((P$3:P$105="")*(O$3:O$105="")*(N$3:N$105="")*(M$3:M$105="P")*(G$3:G$105=G96)*(J$3:J$105&gt;J96))+IF(H96="L5",SUMPRODUCT((P$3:P$105="")*(O$3:O$105="")*(N$3:N$105="")*(M$3:M$105="P")*(G$3:G$105=G96)*(J$3:J$105&lt;J96)*(H$3:H$105&lt;&gt;H96)),-1*SUMPRODUCT((P$3:P$105="")*(O$3:O$105="")*(N$3:N$105="")*(M$3:M$105="P")*(G$3:G$105=G96)*(J$3:J$105&gt;J96)*(H$3:H$105="L5")))+1,""))))</f>
        <v/>
      </c>
      <c r="C96" s="36" t="s">
        <v>355</v>
      </c>
      <c r="D96" s="36" t="str">
        <f>IF(E96="","",VLOOKUP(E96,'Coaching Points'!A:B,2,0))</f>
        <v>AB</v>
      </c>
      <c r="E96" s="36" t="s">
        <v>29</v>
      </c>
      <c r="F96" s="35">
        <v>2009</v>
      </c>
      <c r="G96" s="1" t="str">
        <f>IF('Qualifying Scores'!$B$1-F96&gt;21,"Not Age Eligible",IF('Qualifying Scores'!$B$1-F96&gt;16,"17-21",IF('Qualifying Scores'!$B$1-F96&gt;14,"15-16",IF('Qualifying Scores'!$B$1-F96&gt;12,"13-14",IF('Qualifying Scores'!$B$1-F96&gt;10,"11-12","Not Age Eligible")))))</f>
        <v>13-14</v>
      </c>
      <c r="H96" s="39" t="s">
        <v>67</v>
      </c>
      <c r="I96" s="43" t="s">
        <v>567</v>
      </c>
      <c r="J96" s="4">
        <f>R96+S96+IF(OR(H96="Junior",H96="Senior"),0.0002,IF(OR(H96="L7",H96="L6"),0.0001,0))+MAX(X96,Z96)*0.0000001</f>
        <v>85.70010425000001</v>
      </c>
      <c r="K96" s="3" t="str">
        <f>IF(G96="Not Age Eligible","",IF(MAX(T96,V96,X96,Z96)&gt;=LOOKUP(G96,'Qualifying Scores'!$A$4:$A$7,'Qualifying Scores'!$G$4:$G$7),"P",""))</f>
        <v/>
      </c>
      <c r="L96" s="3" t="str">
        <f>IF(G96="Not Age Eligible","",IF(MAX(U96,W96,Y96,AA96)&gt;=LOOKUP(G96,'Qualifying Scores'!$A$10:$A$13,'Qualifying Scores'!$G$10:$G$13),"P",""))</f>
        <v>P</v>
      </c>
      <c r="M96" s="3" t="str">
        <f>IF(G96="Not Age Eligible","",IF(OR(AND(T96&gt;=LOOKUP(G96,'Qualifying Scores'!$A$4:$A$7,'Qualifying Scores'!$G$4:$G$7),U96&gt;=LOOKUP(G96,'Qualifying Scores'!$A$10:$A$13,'Qualifying Scores'!$G$10:$G$13)),AND(X96&gt;=LOOKUP(G96,'Qualifying Scores'!$A$4:$A$7,'Qualifying Scores'!$G$4:$G$7),Y96&gt;=LOOKUP(G96,'Qualifying Scores'!$A$10:$A$13,'Qualifying Scores'!$G$10:$G$13)),AND(V96&gt;=LOOKUP(G96,'Qualifying Scores'!$A$4:$A$7,'Qualifying Scores'!$G$4:$G$7),W96&gt;=LOOKUP(G96,'Qualifying Scores'!$A$10:$A$13,'Qualifying Scores'!$G$10:$G$13)),AND(Z96&gt;=LOOKUP(G96,'Qualifying Scores'!$A$4:$A$7,'Qualifying Scores'!$G$4:$G$7),AA96&gt;=LOOKUP(G96,'Qualifying Scores'!$A$10:$A$13,'Qualifying Scores'!$G$10:$G$13))),"P",""))</f>
        <v/>
      </c>
      <c r="Q96" s="1" t="str">
        <f>IF(A96&lt;5,IF(_xlfn.MAXIFS(A:A,G:G,G96)&gt;3,5-A96,_xlfn.MAXIFS(A:A,G:G,G96)+1-A96),"")</f>
        <v/>
      </c>
      <c r="R96" s="4">
        <f>MAX(T96,X96)</f>
        <v>43.2</v>
      </c>
      <c r="S96" s="4">
        <f>IF(R96=T96,MAX(V96,X96,Z96),IF(R96=X96,MAX(T96,V96,Z96),0))</f>
        <v>42.5</v>
      </c>
      <c r="T96" s="33">
        <v>43.2</v>
      </c>
      <c r="U96" s="40">
        <v>6.6</v>
      </c>
      <c r="V96" s="34">
        <v>41.4</v>
      </c>
      <c r="W96" s="40">
        <v>5.4</v>
      </c>
      <c r="X96" s="33">
        <v>42.5</v>
      </c>
      <c r="Y96" s="40">
        <v>6.5</v>
      </c>
      <c r="Z96" s="34">
        <v>42.1</v>
      </c>
      <c r="AA96" s="37">
        <v>6.5</v>
      </c>
    </row>
    <row r="97" spans="1:27" x14ac:dyDescent="0.2">
      <c r="A97" s="1" t="str" cm="1">
        <f t="array" ref="A97">IF(I97="","",IF(P97&lt;&gt;"",SUMPRODUCT((P$3:P$105&lt;&gt;"")*(G$3:G$105=G97)*(J$3:J$105&gt;J97)*(I$3:I$105="P"))+1,IF(O97&lt;&gt;"",SUMPRODUCT((O$3:O$105&lt;&gt;"")*(P$3:P$105="")*(G$3:G$105=G97)*(J$3:J$105&gt;J97)*(I$3:I$105="P"))+SUMPRODUCT((P$3:P$105&lt;&gt;"")*(G$3:G$105=G97)*(I$3:I$105="P"))+1,IF(N97&lt;&gt;"",SUMPRODUCT((N$3:N$105&lt;&gt;"")*(G$3:G$105=G97)*(J$3:J$105&gt;J97)*(I$3:I$105="P"))+1,IF(M97="P",SUMPRODUCT((O$3:O$105&lt;&gt;"")*(P$3:P$105="")*(G$3:G$105=G97)*(I$3:I$105="P"))+SUMPRODUCT((P$3:P$105&lt;&gt;"")*(G$3:G$105=G97)*(I$3:I$105="P"))+SUMPRODUCT((N$3:N$105&lt;&gt;"")*(G$3:G$105=G97)*(I$3:I$105="P"))+SUMPRODUCT((P$3:P$105="")*(O$3:O$105="")*(N$3:N$105="")*(M$3:M$105="P")*(G$3:G$105=G97)*(J$3:J$105&gt;J97)*(I$3:I$105="P"))+IF(H97="L5",SUMPRODUCT((P$3:P$105="")*(O$3:O$105="")*(N$3:N$105="")*(M$3:M$105="P")*(G$3:G$105=G97)*(J$3:J$105&lt;J97)*(H$3:H$105&lt;&gt;H97)*(I$3:I$105="P")),-1*SUMPRODUCT((P$3:P$105="")*(O$3:O$105="")*(N$3:N$105="")*(M$3:M$105="P")*(G$3:G$105=G97)*(J$3:J$105&gt;J97)*(H$3:H$105="L5")*(I$3:I$105="P")))+1,"")))))</f>
        <v/>
      </c>
      <c r="B97" s="1" t="str" cm="1">
        <f t="array" ref="B97">IF(P97&lt;&gt;"",SUMPRODUCT((P$3:P$105&lt;&gt;"")*(G$3:G$105=G97)*(J$3:J$105&gt;J97))+1,IF(O97&lt;&gt;"",SUMPRODUCT((O$3:O$105&lt;&gt;"")*(P$3:P$105="")*(G$3:G$105=G97)*(J$3:J$105&gt;J97))+SUMPRODUCT((P$3:P$105&lt;&gt;"")*(G$3:G$105=G97))+1,IF(N97&lt;&gt;"",SUMPRODUCT((N$3:N$105&lt;&gt;"")*(G$3:G$105=G97)*(J$3:J$105&gt;J97))+1,IF(M97="P",SUMPRODUCT((O$3:O$105&lt;&gt;"")*(P$3:P$105="")*(G$3:G$105=G97))+SUMPRODUCT((P$3:P$105&lt;&gt;"")*(G$3:G$105=G97))+SUMPRODUCT((N$3:N$105&lt;&gt;"")*(G$3:G$105=G97))+SUMPRODUCT((P$3:P$105="")*(O$3:O$105="")*(N$3:N$105="")*(M$3:M$105="P")*(G$3:G$105=G97)*(J$3:J$105&gt;J97))+IF(H97="L5",SUMPRODUCT((P$3:P$105="")*(O$3:O$105="")*(N$3:N$105="")*(M$3:M$105="P")*(G$3:G$105=G97)*(J$3:J$105&lt;J97)*(H$3:H$105&lt;&gt;H97)),-1*SUMPRODUCT((P$3:P$105="")*(O$3:O$105="")*(N$3:N$105="")*(M$3:M$105="P")*(G$3:G$105=G97)*(J$3:J$105&gt;J97)*(H$3:H$105="L5")))+1,""))))</f>
        <v/>
      </c>
      <c r="C97" s="36" t="s">
        <v>495</v>
      </c>
      <c r="D97" s="36" t="str">
        <f>IF(E97="","",VLOOKUP(E97,'Coaching Points'!A:B,2,0))</f>
        <v>BC</v>
      </c>
      <c r="E97" s="36" t="s">
        <v>41</v>
      </c>
      <c r="F97" s="35">
        <v>2010</v>
      </c>
      <c r="G97" s="1" t="str">
        <f>IF('Qualifying Scores'!$B$1-F97&gt;21,"Not Age Eligible",IF('Qualifying Scores'!$B$1-F97&gt;16,"17-21",IF('Qualifying Scores'!$B$1-F97&gt;14,"15-16",IF('Qualifying Scores'!$B$1-F97&gt;12,"13-14",IF('Qualifying Scores'!$B$1-F97&gt;10,"11-12","Not Age Eligible")))))</f>
        <v>13-14</v>
      </c>
      <c r="H97" s="39" t="s">
        <v>66</v>
      </c>
      <c r="I97" s="43"/>
      <c r="J97" s="4">
        <f>R97+S97+IF(OR(H97="Junior",H97="Senior"),0.0002,IF(OR(H97="L7",H97="L6"),0.0001,0))+MAX(X97,Z97)*0.0000001</f>
        <v>85.000004309999994</v>
      </c>
      <c r="K97" s="3" t="str">
        <f>IF(G97="Not Age Eligible","",IF(MAX(T97,V97,X97,Z97)&gt;=LOOKUP(G97,'Qualifying Scores'!$A$4:$A$7,'Qualifying Scores'!$G$4:$G$7),"P",""))</f>
        <v/>
      </c>
      <c r="L97" s="3" t="str">
        <f>IF(G97="Not Age Eligible","",IF(MAX(U97,W97,Y97,AA97)&gt;=LOOKUP(G97,'Qualifying Scores'!$A$10:$A$13,'Qualifying Scores'!$G$10:$G$13),"P",""))</f>
        <v/>
      </c>
      <c r="M97" s="3" t="str">
        <f>IF(G97="Not Age Eligible","",IF(OR(AND(T97&gt;=LOOKUP(G97,'Qualifying Scores'!$A$4:$A$7,'Qualifying Scores'!$G$4:$G$7),U97&gt;=LOOKUP(G97,'Qualifying Scores'!$A$10:$A$13,'Qualifying Scores'!$G$10:$G$13)),AND(X97&gt;=LOOKUP(G97,'Qualifying Scores'!$A$4:$A$7,'Qualifying Scores'!$G$4:$G$7),Y97&gt;=LOOKUP(G97,'Qualifying Scores'!$A$10:$A$13,'Qualifying Scores'!$G$10:$G$13)),AND(V97&gt;=LOOKUP(G97,'Qualifying Scores'!$A$4:$A$7,'Qualifying Scores'!$G$4:$G$7),W97&gt;=LOOKUP(G97,'Qualifying Scores'!$A$10:$A$13,'Qualifying Scores'!$G$10:$G$13)),AND(Z97&gt;=LOOKUP(G97,'Qualifying Scores'!$A$4:$A$7,'Qualifying Scores'!$G$4:$G$7),AA97&gt;=LOOKUP(G97,'Qualifying Scores'!$A$10:$A$13,'Qualifying Scores'!$G$10:$G$13))),"P",""))</f>
        <v/>
      </c>
      <c r="Q97" s="1" t="str">
        <f>IF(A97&lt;5,IF(_xlfn.MAXIFS(A:A,G:G,G97)&gt;3,5-A97,_xlfn.MAXIFS(A:A,G:G,G97)+1-A97),"")</f>
        <v/>
      </c>
      <c r="R97" s="4">
        <f>MAX(T97,X97)</f>
        <v>43.1</v>
      </c>
      <c r="S97" s="4">
        <f>IF(R97=T97,MAX(V97,X97,Z97),IF(R97=X97,MAX(T97,V97,Z97),0))</f>
        <v>41.9</v>
      </c>
      <c r="T97" s="33"/>
      <c r="U97" s="40"/>
      <c r="V97" s="34"/>
      <c r="W97" s="40"/>
      <c r="X97" s="33">
        <v>43.1</v>
      </c>
      <c r="Y97" s="40">
        <v>5.5</v>
      </c>
      <c r="Z97" s="34">
        <v>41.9</v>
      </c>
      <c r="AA97" s="37">
        <v>5.9</v>
      </c>
    </row>
    <row r="98" spans="1:27" x14ac:dyDescent="0.2">
      <c r="A98" s="1" t="str" cm="1">
        <f t="array" ref="A98">IF(I98="","",IF(P98&lt;&gt;"",SUMPRODUCT((P$3:P$105&lt;&gt;"")*(G$3:G$105=G98)*(J$3:J$105&gt;J98)*(I$3:I$105="P"))+1,IF(O98&lt;&gt;"",SUMPRODUCT((O$3:O$105&lt;&gt;"")*(P$3:P$105="")*(G$3:G$105=G98)*(J$3:J$105&gt;J98)*(I$3:I$105="P"))+SUMPRODUCT((P$3:P$105&lt;&gt;"")*(G$3:G$105=G98)*(I$3:I$105="P"))+1,IF(N98&lt;&gt;"",SUMPRODUCT((N$3:N$105&lt;&gt;"")*(G$3:G$105=G98)*(J$3:J$105&gt;J98)*(I$3:I$105="P"))+1,IF(M98="P",SUMPRODUCT((O$3:O$105&lt;&gt;"")*(P$3:P$105="")*(G$3:G$105=G98)*(I$3:I$105="P"))+SUMPRODUCT((P$3:P$105&lt;&gt;"")*(G$3:G$105=G98)*(I$3:I$105="P"))+SUMPRODUCT((N$3:N$105&lt;&gt;"")*(G$3:G$105=G98)*(I$3:I$105="P"))+SUMPRODUCT((P$3:P$105="")*(O$3:O$105="")*(N$3:N$105="")*(M$3:M$105="P")*(G$3:G$105=G98)*(J$3:J$105&gt;J98)*(I$3:I$105="P"))+IF(H98="L5",SUMPRODUCT((P$3:P$105="")*(O$3:O$105="")*(N$3:N$105="")*(M$3:M$105="P")*(G$3:G$105=G98)*(J$3:J$105&lt;J98)*(H$3:H$105&lt;&gt;H98)*(I$3:I$105="P")),-1*SUMPRODUCT((P$3:P$105="")*(O$3:O$105="")*(N$3:N$105="")*(M$3:M$105="P")*(G$3:G$105=G98)*(J$3:J$105&gt;J98)*(H$3:H$105="L5")*(I$3:I$105="P")))+1,"")))))</f>
        <v/>
      </c>
      <c r="B98" s="1" t="str" cm="1">
        <f t="array" ref="B98">IF(P98&lt;&gt;"",SUMPRODUCT((P$3:P$105&lt;&gt;"")*(G$3:G$105=G98)*(J$3:J$105&gt;J98))+1,IF(O98&lt;&gt;"",SUMPRODUCT((O$3:O$105&lt;&gt;"")*(P$3:P$105="")*(G$3:G$105=G98)*(J$3:J$105&gt;J98))+SUMPRODUCT((P$3:P$105&lt;&gt;"")*(G$3:G$105=G98))+1,IF(N98&lt;&gt;"",SUMPRODUCT((N$3:N$105&lt;&gt;"")*(G$3:G$105=G98)*(J$3:J$105&gt;J98))+1,IF(M98="P",SUMPRODUCT((O$3:O$105&lt;&gt;"")*(P$3:P$105="")*(G$3:G$105=G98))+SUMPRODUCT((P$3:P$105&lt;&gt;"")*(G$3:G$105=G98))+SUMPRODUCT((N$3:N$105&lt;&gt;"")*(G$3:G$105=G98))+SUMPRODUCT((P$3:P$105="")*(O$3:O$105="")*(N$3:N$105="")*(M$3:M$105="P")*(G$3:G$105=G98)*(J$3:J$105&gt;J98))+IF(H98="L5",SUMPRODUCT((P$3:P$105="")*(O$3:O$105="")*(N$3:N$105="")*(M$3:M$105="P")*(G$3:G$105=G98)*(J$3:J$105&lt;J98)*(H$3:H$105&lt;&gt;H98)),-1*SUMPRODUCT((P$3:P$105="")*(O$3:O$105="")*(N$3:N$105="")*(M$3:M$105="P")*(G$3:G$105=G98)*(J$3:J$105&gt;J98)*(H$3:H$105="L5")))+1,""))))</f>
        <v/>
      </c>
      <c r="C98" s="36" t="s">
        <v>496</v>
      </c>
      <c r="D98" s="36" t="str">
        <f>IF(E98="","",VLOOKUP(E98,'Coaching Points'!A:B,2,0))</f>
        <v>SK</v>
      </c>
      <c r="E98" s="36" t="s">
        <v>60</v>
      </c>
      <c r="F98" s="35">
        <v>2009</v>
      </c>
      <c r="G98" s="1" t="str">
        <f>IF('Qualifying Scores'!$B$1-F98&gt;21,"Not Age Eligible",IF('Qualifying Scores'!$B$1-F98&gt;16,"17-21",IF('Qualifying Scores'!$B$1-F98&gt;14,"15-16",IF('Qualifying Scores'!$B$1-F98&gt;12,"13-14",IF('Qualifying Scores'!$B$1-F98&gt;10,"11-12","Not Age Eligible")))))</f>
        <v>13-14</v>
      </c>
      <c r="H98" s="39" t="s">
        <v>66</v>
      </c>
      <c r="I98" s="43"/>
      <c r="J98" s="4">
        <f>R98+S98+IF(OR(H98="Junior",H98="Senior"),0.0002,IF(OR(H98="L7",H98="L6"),0.0001,0))+MAX(X98,Z98)*0.0000001</f>
        <v>83.300004299999998</v>
      </c>
      <c r="K98" s="3" t="str">
        <f>IF(G98="Not Age Eligible","",IF(MAX(T98,V98,X98,Z98)&gt;=LOOKUP(G98,'Qualifying Scores'!$A$4:$A$7,'Qualifying Scores'!$G$4:$G$7),"P",""))</f>
        <v/>
      </c>
      <c r="L98" s="3" t="str">
        <f>IF(G98="Not Age Eligible","",IF(MAX(U98,W98,Y98,AA98)&gt;=LOOKUP(G98,'Qualifying Scores'!$A$10:$A$13,'Qualifying Scores'!$G$10:$G$13),"P",""))</f>
        <v>P</v>
      </c>
      <c r="M98" s="3" t="str">
        <f>IF(G98="Not Age Eligible","",IF(OR(AND(T98&gt;=LOOKUP(G98,'Qualifying Scores'!$A$4:$A$7,'Qualifying Scores'!$G$4:$G$7),U98&gt;=LOOKUP(G98,'Qualifying Scores'!$A$10:$A$13,'Qualifying Scores'!$G$10:$G$13)),AND(X98&gt;=LOOKUP(G98,'Qualifying Scores'!$A$4:$A$7,'Qualifying Scores'!$G$4:$G$7),Y98&gt;=LOOKUP(G98,'Qualifying Scores'!$A$10:$A$13,'Qualifying Scores'!$G$10:$G$13)),AND(V98&gt;=LOOKUP(G98,'Qualifying Scores'!$A$4:$A$7,'Qualifying Scores'!$G$4:$G$7),W98&gt;=LOOKUP(G98,'Qualifying Scores'!$A$10:$A$13,'Qualifying Scores'!$G$10:$G$13)),AND(Z98&gt;=LOOKUP(G98,'Qualifying Scores'!$A$4:$A$7,'Qualifying Scores'!$G$4:$G$7),AA98&gt;=LOOKUP(G98,'Qualifying Scores'!$A$10:$A$13,'Qualifying Scores'!$G$10:$G$13))),"P",""))</f>
        <v/>
      </c>
      <c r="Q98" s="1" t="str">
        <f>IF(A98&lt;5,IF(_xlfn.MAXIFS(A:A,G:G,G98)&gt;3,5-A98,_xlfn.MAXIFS(A:A,G:G,G98)+1-A98),"")</f>
        <v/>
      </c>
      <c r="R98" s="4">
        <f>MAX(T98,X98)</f>
        <v>43</v>
      </c>
      <c r="S98" s="4">
        <f>IF(R98=T98,MAX(V98,X98,Z98),IF(R98=X98,MAX(T98,V98,Z98),0))</f>
        <v>40.299999999999997</v>
      </c>
      <c r="T98" s="33"/>
      <c r="U98" s="40"/>
      <c r="V98" s="34"/>
      <c r="W98" s="40"/>
      <c r="X98" s="33">
        <v>43</v>
      </c>
      <c r="Y98" s="40">
        <v>5.7</v>
      </c>
      <c r="Z98" s="34">
        <v>40.299999999999997</v>
      </c>
      <c r="AA98" s="37">
        <v>6.4</v>
      </c>
    </row>
    <row r="99" spans="1:27" x14ac:dyDescent="0.2">
      <c r="A99" s="1" t="str" cm="1">
        <f t="array" ref="A99">IF(I99="","",IF(P99&lt;&gt;"",SUMPRODUCT((P$3:P$105&lt;&gt;"")*(G$3:G$105=G99)*(J$3:J$105&gt;J99)*(I$3:I$105="P"))+1,IF(O99&lt;&gt;"",SUMPRODUCT((O$3:O$105&lt;&gt;"")*(P$3:P$105="")*(G$3:G$105=G99)*(J$3:J$105&gt;J99)*(I$3:I$105="P"))+SUMPRODUCT((P$3:P$105&lt;&gt;"")*(G$3:G$105=G99)*(I$3:I$105="P"))+1,IF(N99&lt;&gt;"",SUMPRODUCT((N$3:N$105&lt;&gt;"")*(G$3:G$105=G99)*(J$3:J$105&gt;J99)*(I$3:I$105="P"))+1,IF(M99="P",SUMPRODUCT((O$3:O$105&lt;&gt;"")*(P$3:P$105="")*(G$3:G$105=G99)*(I$3:I$105="P"))+SUMPRODUCT((P$3:P$105&lt;&gt;"")*(G$3:G$105=G99)*(I$3:I$105="P"))+SUMPRODUCT((N$3:N$105&lt;&gt;"")*(G$3:G$105=G99)*(I$3:I$105="P"))+SUMPRODUCT((P$3:P$105="")*(O$3:O$105="")*(N$3:N$105="")*(M$3:M$105="P")*(G$3:G$105=G99)*(J$3:J$105&gt;J99)*(I$3:I$105="P"))+IF(H99="L5",SUMPRODUCT((P$3:P$105="")*(O$3:O$105="")*(N$3:N$105="")*(M$3:M$105="P")*(G$3:G$105=G99)*(J$3:J$105&lt;J99)*(H$3:H$105&lt;&gt;H99)*(I$3:I$105="P")),-1*SUMPRODUCT((P$3:P$105="")*(O$3:O$105="")*(N$3:N$105="")*(M$3:M$105="P")*(G$3:G$105=G99)*(J$3:J$105&gt;J99)*(H$3:H$105="L5")*(I$3:I$105="P")))+1,"")))))</f>
        <v/>
      </c>
      <c r="B99" s="1" t="str" cm="1">
        <f t="array" ref="B99">IF(P99&lt;&gt;"",SUMPRODUCT((P$3:P$105&lt;&gt;"")*(G$3:G$105=G99)*(J$3:J$105&gt;J99))+1,IF(O99&lt;&gt;"",SUMPRODUCT((O$3:O$105&lt;&gt;"")*(P$3:P$105="")*(G$3:G$105=G99)*(J$3:J$105&gt;J99))+SUMPRODUCT((P$3:P$105&lt;&gt;"")*(G$3:G$105=G99))+1,IF(N99&lt;&gt;"",SUMPRODUCT((N$3:N$105&lt;&gt;"")*(G$3:G$105=G99)*(J$3:J$105&gt;J99))+1,IF(M99="P",SUMPRODUCT((O$3:O$105&lt;&gt;"")*(P$3:P$105="")*(G$3:G$105=G99))+SUMPRODUCT((P$3:P$105&lt;&gt;"")*(G$3:G$105=G99))+SUMPRODUCT((N$3:N$105&lt;&gt;"")*(G$3:G$105=G99))+SUMPRODUCT((P$3:P$105="")*(O$3:O$105="")*(N$3:N$105="")*(M$3:M$105="P")*(G$3:G$105=G99)*(J$3:J$105&gt;J99))+IF(H99="L5",SUMPRODUCT((P$3:P$105="")*(O$3:O$105="")*(N$3:N$105="")*(M$3:M$105="P")*(G$3:G$105=G99)*(J$3:J$105&lt;J99)*(H$3:H$105&lt;&gt;H99)),-1*SUMPRODUCT((P$3:P$105="")*(O$3:O$105="")*(N$3:N$105="")*(M$3:M$105="P")*(G$3:G$105=G99)*(J$3:J$105&gt;J99)*(H$3:H$105="L5")))+1,""))))</f>
        <v/>
      </c>
      <c r="C99" s="36" t="s">
        <v>482</v>
      </c>
      <c r="D99" s="36" t="str">
        <f>IF(E99="","",VLOOKUP(E99,'Coaching Points'!A:B,2,0))</f>
        <v>ON</v>
      </c>
      <c r="E99" s="36" t="s">
        <v>283</v>
      </c>
      <c r="F99" s="35">
        <v>2009</v>
      </c>
      <c r="G99" s="1" t="str">
        <f>IF('Qualifying Scores'!$B$1-F99&gt;21,"Not Age Eligible",IF('Qualifying Scores'!$B$1-F99&gt;16,"17-21",IF('Qualifying Scores'!$B$1-F99&gt;14,"15-16",IF('Qualifying Scores'!$B$1-F99&gt;12,"13-14",IF('Qualifying Scores'!$B$1-F99&gt;10,"11-12","Not Age Eligible")))))</f>
        <v>13-14</v>
      </c>
      <c r="H99" s="39" t="s">
        <v>66</v>
      </c>
      <c r="I99" s="43"/>
      <c r="J99" s="4">
        <f>R99+S99+IF(OR(H99="Junior",H99="Senior"),0.0002,IF(OR(H99="L7",H99="L6"),0.0001,0))+MAX(X99,Z99)*0.0000001</f>
        <v>82.500004329999996</v>
      </c>
      <c r="K99" s="3" t="str">
        <f>IF(G99="Not Age Eligible","",IF(MAX(T99,V99,X99,Z99)&gt;=LOOKUP(G99,'Qualifying Scores'!$A$4:$A$7,'Qualifying Scores'!$G$4:$G$7),"P",""))</f>
        <v/>
      </c>
      <c r="L99" s="3" t="str">
        <f>IF(G99="Not Age Eligible","",IF(MAX(U99,W99,Y99,AA99)&gt;=LOOKUP(G99,'Qualifying Scores'!$A$10:$A$13,'Qualifying Scores'!$G$10:$G$13),"P",""))</f>
        <v/>
      </c>
      <c r="M99" s="3" t="str">
        <f>IF(G99="Not Age Eligible","",IF(OR(AND(T99&gt;=LOOKUP(G99,'Qualifying Scores'!$A$4:$A$7,'Qualifying Scores'!$G$4:$G$7),U99&gt;=LOOKUP(G99,'Qualifying Scores'!$A$10:$A$13,'Qualifying Scores'!$G$10:$G$13)),AND(X99&gt;=LOOKUP(G99,'Qualifying Scores'!$A$4:$A$7,'Qualifying Scores'!$G$4:$G$7),Y99&gt;=LOOKUP(G99,'Qualifying Scores'!$A$10:$A$13,'Qualifying Scores'!$G$10:$G$13)),AND(V99&gt;=LOOKUP(G99,'Qualifying Scores'!$A$4:$A$7,'Qualifying Scores'!$G$4:$G$7),W99&gt;=LOOKUP(G99,'Qualifying Scores'!$A$10:$A$13,'Qualifying Scores'!$G$10:$G$13)),AND(Z99&gt;=LOOKUP(G99,'Qualifying Scores'!$A$4:$A$7,'Qualifying Scores'!$G$4:$G$7),AA99&gt;=LOOKUP(G99,'Qualifying Scores'!$A$10:$A$13,'Qualifying Scores'!$G$10:$G$13))),"P",""))</f>
        <v/>
      </c>
      <c r="Q99" s="1" t="str">
        <f>IF(A99&lt;5,IF(_xlfn.MAXIFS(A:A,G:G,G99)&gt;3,5-A99,_xlfn.MAXIFS(A:A,G:G,G99)+1-A99),"")</f>
        <v/>
      </c>
      <c r="R99" s="4">
        <f>MAX(T99,X99)</f>
        <v>43.3</v>
      </c>
      <c r="S99" s="4">
        <f>IF(R99=T99,MAX(V99,X99,Z99),IF(R99=X99,MAX(T99,V99,Z99),0))</f>
        <v>39.200000000000003</v>
      </c>
      <c r="T99" s="33"/>
      <c r="U99" s="40"/>
      <c r="V99" s="34"/>
      <c r="W99" s="40"/>
      <c r="X99" s="33">
        <v>43.3</v>
      </c>
      <c r="Y99" s="40">
        <v>5.7</v>
      </c>
      <c r="Z99" s="34">
        <v>39.200000000000003</v>
      </c>
      <c r="AA99" s="37">
        <v>3.2</v>
      </c>
    </row>
    <row r="100" spans="1:27" x14ac:dyDescent="0.2">
      <c r="A100" s="1" t="str" cm="1">
        <f t="array" ref="A100">IF(I100="","",IF(P100&lt;&gt;"",SUMPRODUCT((P$3:P$105&lt;&gt;"")*(G$3:G$105=G100)*(J$3:J$105&gt;J100)*(I$3:I$105="P"))+1,IF(O100&lt;&gt;"",SUMPRODUCT((O$3:O$105&lt;&gt;"")*(P$3:P$105="")*(G$3:G$105=G100)*(J$3:J$105&gt;J100)*(I$3:I$105="P"))+SUMPRODUCT((P$3:P$105&lt;&gt;"")*(G$3:G$105=G100)*(I$3:I$105="P"))+1,IF(N100&lt;&gt;"",SUMPRODUCT((N$3:N$105&lt;&gt;"")*(G$3:G$105=G100)*(J$3:J$105&gt;J100)*(I$3:I$105="P"))+1,IF(M100="P",SUMPRODUCT((O$3:O$105&lt;&gt;"")*(P$3:P$105="")*(G$3:G$105=G100)*(I$3:I$105="P"))+SUMPRODUCT((P$3:P$105&lt;&gt;"")*(G$3:G$105=G100)*(I$3:I$105="P"))+SUMPRODUCT((N$3:N$105&lt;&gt;"")*(G$3:G$105=G100)*(I$3:I$105="P"))+SUMPRODUCT((P$3:P$105="")*(O$3:O$105="")*(N$3:N$105="")*(M$3:M$105="P")*(G$3:G$105=G100)*(J$3:J$105&gt;J100)*(I$3:I$105="P"))+IF(H100="L5",SUMPRODUCT((P$3:P$105="")*(O$3:O$105="")*(N$3:N$105="")*(M$3:M$105="P")*(G$3:G$105=G100)*(J$3:J$105&lt;J100)*(H$3:H$105&lt;&gt;H100)*(I$3:I$105="P")),-1*SUMPRODUCT((P$3:P$105="")*(O$3:O$105="")*(N$3:N$105="")*(M$3:M$105="P")*(G$3:G$105=G100)*(J$3:J$105&gt;J100)*(H$3:H$105="L5")*(I$3:I$105="P")))+1,"")))))</f>
        <v/>
      </c>
      <c r="B100" s="1" t="str" cm="1">
        <f t="array" ref="B100">IF(P100&lt;&gt;"",SUMPRODUCT((P$3:P$105&lt;&gt;"")*(G$3:G$105=G100)*(J$3:J$105&gt;J100))+1,IF(O100&lt;&gt;"",SUMPRODUCT((O$3:O$105&lt;&gt;"")*(P$3:P$105="")*(G$3:G$105=G100)*(J$3:J$105&gt;J100))+SUMPRODUCT((P$3:P$105&lt;&gt;"")*(G$3:G$105=G100))+1,IF(N100&lt;&gt;"",SUMPRODUCT((N$3:N$105&lt;&gt;"")*(G$3:G$105=G100)*(J$3:J$105&gt;J100))+1,IF(M100="P",SUMPRODUCT((O$3:O$105&lt;&gt;"")*(P$3:P$105="")*(G$3:G$105=G100))+SUMPRODUCT((P$3:P$105&lt;&gt;"")*(G$3:G$105=G100))+SUMPRODUCT((N$3:N$105&lt;&gt;"")*(G$3:G$105=G100))+SUMPRODUCT((P$3:P$105="")*(O$3:O$105="")*(N$3:N$105="")*(M$3:M$105="P")*(G$3:G$105=G100)*(J$3:J$105&gt;J100))+IF(H100="L5",SUMPRODUCT((P$3:P$105="")*(O$3:O$105="")*(N$3:N$105="")*(M$3:M$105="P")*(G$3:G$105=G100)*(J$3:J$105&lt;J100)*(H$3:H$105&lt;&gt;H100)),-1*SUMPRODUCT((P$3:P$105="")*(O$3:O$105="")*(N$3:N$105="")*(M$3:M$105="P")*(G$3:G$105=G100)*(J$3:J$105&gt;J100)*(H$3:H$105="L5")))+1,""))))</f>
        <v/>
      </c>
      <c r="C100" s="36" t="s">
        <v>306</v>
      </c>
      <c r="D100" s="36" t="str">
        <f>IF(E100="","",VLOOKUP(E100,'Coaching Points'!A:B,2,0))</f>
        <v>AB</v>
      </c>
      <c r="E100" s="36" t="s">
        <v>40</v>
      </c>
      <c r="F100" s="35">
        <v>2010</v>
      </c>
      <c r="G100" s="1" t="str">
        <f>IF('Qualifying Scores'!$B$1-F100&gt;21,"Not Age Eligible",IF('Qualifying Scores'!$B$1-F100&gt;16,"17-21",IF('Qualifying Scores'!$B$1-F100&gt;14,"15-16",IF('Qualifying Scores'!$B$1-F100&gt;12,"13-14",IF('Qualifying Scores'!$B$1-F100&gt;10,"11-12","Not Age Eligible")))))</f>
        <v>13-14</v>
      </c>
      <c r="H100" s="39" t="s">
        <v>67</v>
      </c>
      <c r="I100" s="43"/>
      <c r="J100" s="4">
        <f>R100+S100+IF(OR(H100="Junior",H100="Senior"),0.0002,IF(OR(H100="L7",H100="L6"),0.0001,0))+MAX(X100,Z100)*0.0000001</f>
        <v>82.000101889999996</v>
      </c>
      <c r="K100" s="3" t="str">
        <f>IF(G100="Not Age Eligible","",IF(MAX(T100,V100,X100,Z100)&gt;=LOOKUP(G100,'Qualifying Scores'!$A$4:$A$7,'Qualifying Scores'!$G$4:$G$7),"P",""))</f>
        <v/>
      </c>
      <c r="L100" s="3" t="str">
        <f>IF(G100="Not Age Eligible","",IF(MAX(U100,W100,Y100,AA100)&gt;=LOOKUP(G100,'Qualifying Scores'!$A$10:$A$13,'Qualifying Scores'!$G$10:$G$13),"P",""))</f>
        <v/>
      </c>
      <c r="M100" s="3" t="str">
        <f>IF(G100="Not Age Eligible","",IF(OR(AND(T100&gt;=LOOKUP(G100,'Qualifying Scores'!$A$4:$A$7,'Qualifying Scores'!$G$4:$G$7),U100&gt;=LOOKUP(G100,'Qualifying Scores'!$A$10:$A$13,'Qualifying Scores'!$G$10:$G$13)),AND(X100&gt;=LOOKUP(G100,'Qualifying Scores'!$A$4:$A$7,'Qualifying Scores'!$G$4:$G$7),Y100&gt;=LOOKUP(G100,'Qualifying Scores'!$A$10:$A$13,'Qualifying Scores'!$G$10:$G$13)),AND(V100&gt;=LOOKUP(G100,'Qualifying Scores'!$A$4:$A$7,'Qualifying Scores'!$G$4:$G$7),W100&gt;=LOOKUP(G100,'Qualifying Scores'!$A$10:$A$13,'Qualifying Scores'!$G$10:$G$13)),AND(Z100&gt;=LOOKUP(G100,'Qualifying Scores'!$A$4:$A$7,'Qualifying Scores'!$G$4:$G$7),AA100&gt;=LOOKUP(G100,'Qualifying Scores'!$A$10:$A$13,'Qualifying Scores'!$G$10:$G$13))),"P",""))</f>
        <v/>
      </c>
      <c r="Q100" s="1" t="str">
        <f>IF(A100&lt;5,IF(_xlfn.MAXIFS(A:A,G:G,G100)&gt;3,5-A100,_xlfn.MAXIFS(A:A,G:G,G100)+1-A100),"")</f>
        <v/>
      </c>
      <c r="R100" s="4">
        <f>MAX(T100,X100)</f>
        <v>38.9</v>
      </c>
      <c r="S100" s="4">
        <f>IF(R100=T100,MAX(V100,X100,Z100),IF(R100=X100,MAX(T100,V100,Z100),0))</f>
        <v>43.1</v>
      </c>
      <c r="T100" s="33">
        <v>38.9</v>
      </c>
      <c r="U100" s="40">
        <v>3.2</v>
      </c>
      <c r="V100" s="34">
        <v>43.1</v>
      </c>
      <c r="W100" s="40">
        <v>6.1</v>
      </c>
      <c r="X100" s="33">
        <v>18.899999999999999</v>
      </c>
      <c r="Y100" s="40">
        <v>3.2</v>
      </c>
      <c r="Z100" s="34"/>
      <c r="AA100" s="37"/>
    </row>
    <row r="101" spans="1:27" x14ac:dyDescent="0.2">
      <c r="A101" s="1" t="str" cm="1">
        <f t="array" ref="A101">IF(I101="","",IF(P101&lt;&gt;"",SUMPRODUCT((P$3:P$105&lt;&gt;"")*(G$3:G$105=G101)*(J$3:J$105&gt;J101)*(I$3:I$105="P"))+1,IF(O101&lt;&gt;"",SUMPRODUCT((O$3:O$105&lt;&gt;"")*(P$3:P$105="")*(G$3:G$105=G101)*(J$3:J$105&gt;J101)*(I$3:I$105="P"))+SUMPRODUCT((P$3:P$105&lt;&gt;"")*(G$3:G$105=G101)*(I$3:I$105="P"))+1,IF(N101&lt;&gt;"",SUMPRODUCT((N$3:N$105&lt;&gt;"")*(G$3:G$105=G101)*(J$3:J$105&gt;J101)*(I$3:I$105="P"))+1,IF(M101="P",SUMPRODUCT((O$3:O$105&lt;&gt;"")*(P$3:P$105="")*(G$3:G$105=G101)*(I$3:I$105="P"))+SUMPRODUCT((P$3:P$105&lt;&gt;"")*(G$3:G$105=G101)*(I$3:I$105="P"))+SUMPRODUCT((N$3:N$105&lt;&gt;"")*(G$3:G$105=G101)*(I$3:I$105="P"))+SUMPRODUCT((P$3:P$105="")*(O$3:O$105="")*(N$3:N$105="")*(M$3:M$105="P")*(G$3:G$105=G101)*(J$3:J$105&gt;J101)*(I$3:I$105="P"))+IF(H101="L5",SUMPRODUCT((P$3:P$105="")*(O$3:O$105="")*(N$3:N$105="")*(M$3:M$105="P")*(G$3:G$105=G101)*(J$3:J$105&lt;J101)*(H$3:H$105&lt;&gt;H101)*(I$3:I$105="P")),-1*SUMPRODUCT((P$3:P$105="")*(O$3:O$105="")*(N$3:N$105="")*(M$3:M$105="P")*(G$3:G$105=G101)*(J$3:J$105&gt;J101)*(H$3:H$105="L5")*(I$3:I$105="P")))+1,"")))))</f>
        <v/>
      </c>
      <c r="B101" s="1" t="str" cm="1">
        <f t="array" ref="B101">IF(P101&lt;&gt;"",SUMPRODUCT((P$3:P$105&lt;&gt;"")*(G$3:G$105=G101)*(J$3:J$105&gt;J101))+1,IF(O101&lt;&gt;"",SUMPRODUCT((O$3:O$105&lt;&gt;"")*(P$3:P$105="")*(G$3:G$105=G101)*(J$3:J$105&gt;J101))+SUMPRODUCT((P$3:P$105&lt;&gt;"")*(G$3:G$105=G101))+1,IF(N101&lt;&gt;"",SUMPRODUCT((N$3:N$105&lt;&gt;"")*(G$3:G$105=G101)*(J$3:J$105&gt;J101))+1,IF(M101="P",SUMPRODUCT((O$3:O$105&lt;&gt;"")*(P$3:P$105="")*(G$3:G$105=G101))+SUMPRODUCT((P$3:P$105&lt;&gt;"")*(G$3:G$105=G101))+SUMPRODUCT((N$3:N$105&lt;&gt;"")*(G$3:G$105=G101))+SUMPRODUCT((P$3:P$105="")*(O$3:O$105="")*(N$3:N$105="")*(M$3:M$105="P")*(G$3:G$105=G101)*(J$3:J$105&gt;J101))+IF(H101="L5",SUMPRODUCT((P$3:P$105="")*(O$3:O$105="")*(N$3:N$105="")*(M$3:M$105="P")*(G$3:G$105=G101)*(J$3:J$105&lt;J101)*(H$3:H$105&lt;&gt;H101)),-1*SUMPRODUCT((P$3:P$105="")*(O$3:O$105="")*(N$3:N$105="")*(M$3:M$105="P")*(G$3:G$105=G101)*(J$3:J$105&gt;J101)*(H$3:H$105="L5")))+1,""))))</f>
        <v/>
      </c>
      <c r="C101" s="36" t="s">
        <v>479</v>
      </c>
      <c r="D101" s="36" t="str">
        <f>IF(E101="","",VLOOKUP(E101,'Coaching Points'!A:B,2,0))</f>
        <v>AB</v>
      </c>
      <c r="E101" s="36" t="s">
        <v>29</v>
      </c>
      <c r="F101" s="35">
        <v>2009</v>
      </c>
      <c r="G101" s="1" t="str">
        <f>IF('Qualifying Scores'!$B$1-F101&gt;21,"Not Age Eligible",IF('Qualifying Scores'!$B$1-F101&gt;16,"17-21",IF('Qualifying Scores'!$B$1-F101&gt;14,"15-16",IF('Qualifying Scores'!$B$1-F101&gt;12,"13-14",IF('Qualifying Scores'!$B$1-F101&gt;10,"11-12","Not Age Eligible")))))</f>
        <v>13-14</v>
      </c>
      <c r="H101" s="39" t="s">
        <v>66</v>
      </c>
      <c r="I101" s="43"/>
      <c r="J101" s="4">
        <f>R101+S101+IF(OR(H101="Junior",H101="Senior"),0.0002,IF(OR(H101="L7",H101="L6"),0.0001,0))+MAX(X101,Z101)*0.0000001</f>
        <v>81.200004120000003</v>
      </c>
      <c r="K101" s="3" t="str">
        <f>IF(G101="Not Age Eligible","",IF(MAX(T101,V101,X101,Z101)&gt;=LOOKUP(G101,'Qualifying Scores'!$A$4:$A$7,'Qualifying Scores'!$G$4:$G$7),"P",""))</f>
        <v/>
      </c>
      <c r="L101" s="3" t="str">
        <f>IF(G101="Not Age Eligible","",IF(MAX(U101,W101,Y101,AA101)&gt;=LOOKUP(G101,'Qualifying Scores'!$A$10:$A$13,'Qualifying Scores'!$G$10:$G$13),"P",""))</f>
        <v/>
      </c>
      <c r="M101" s="3" t="str">
        <f>IF(G101="Not Age Eligible","",IF(OR(AND(T101&gt;=LOOKUP(G101,'Qualifying Scores'!$A$4:$A$7,'Qualifying Scores'!$G$4:$G$7),U101&gt;=LOOKUP(G101,'Qualifying Scores'!$A$10:$A$13,'Qualifying Scores'!$G$10:$G$13)),AND(X101&gt;=LOOKUP(G101,'Qualifying Scores'!$A$4:$A$7,'Qualifying Scores'!$G$4:$G$7),Y101&gt;=LOOKUP(G101,'Qualifying Scores'!$A$10:$A$13,'Qualifying Scores'!$G$10:$G$13)),AND(V101&gt;=LOOKUP(G101,'Qualifying Scores'!$A$4:$A$7,'Qualifying Scores'!$G$4:$G$7),W101&gt;=LOOKUP(G101,'Qualifying Scores'!$A$10:$A$13,'Qualifying Scores'!$G$10:$G$13)),AND(Z101&gt;=LOOKUP(G101,'Qualifying Scores'!$A$4:$A$7,'Qualifying Scores'!$G$4:$G$7),AA101&gt;=LOOKUP(G101,'Qualifying Scores'!$A$10:$A$13,'Qualifying Scores'!$G$10:$G$13))),"P",""))</f>
        <v/>
      </c>
      <c r="Q101" s="1" t="str">
        <f>IF(A101&lt;5,IF(_xlfn.MAXIFS(A:A,G:G,G101)&gt;3,5-A101,_xlfn.MAXIFS(A:A,G:G,G101)+1-A101),"")</f>
        <v/>
      </c>
      <c r="R101" s="4">
        <f>MAX(T101,X101)</f>
        <v>41.2</v>
      </c>
      <c r="S101" s="4">
        <f>IF(R101=T101,MAX(V101,X101,Z101),IF(R101=X101,MAX(T101,V101,Z101),0))</f>
        <v>40</v>
      </c>
      <c r="T101" s="33"/>
      <c r="U101" s="40"/>
      <c r="V101" s="34"/>
      <c r="W101" s="40"/>
      <c r="X101" s="33">
        <v>41.2</v>
      </c>
      <c r="Y101" s="40">
        <v>4.8000000000000007</v>
      </c>
      <c r="Z101" s="34">
        <v>40</v>
      </c>
      <c r="AA101" s="37">
        <v>4.3000000000000007</v>
      </c>
    </row>
    <row r="102" spans="1:27" x14ac:dyDescent="0.2">
      <c r="A102" s="1" t="str" cm="1">
        <f t="array" ref="A102">IF(I102="","",IF(P102&lt;&gt;"",SUMPRODUCT((P$3:P$105&lt;&gt;"")*(G$3:G$105=G102)*(J$3:J$105&gt;J102)*(I$3:I$105="P"))+1,IF(O102&lt;&gt;"",SUMPRODUCT((O$3:O$105&lt;&gt;"")*(P$3:P$105="")*(G$3:G$105=G102)*(J$3:J$105&gt;J102)*(I$3:I$105="P"))+SUMPRODUCT((P$3:P$105&lt;&gt;"")*(G$3:G$105=G102)*(I$3:I$105="P"))+1,IF(N102&lt;&gt;"",SUMPRODUCT((N$3:N$105&lt;&gt;"")*(G$3:G$105=G102)*(J$3:J$105&gt;J102)*(I$3:I$105="P"))+1,IF(M102="P",SUMPRODUCT((O$3:O$105&lt;&gt;"")*(P$3:P$105="")*(G$3:G$105=G102)*(I$3:I$105="P"))+SUMPRODUCT((P$3:P$105&lt;&gt;"")*(G$3:G$105=G102)*(I$3:I$105="P"))+SUMPRODUCT((N$3:N$105&lt;&gt;"")*(G$3:G$105=G102)*(I$3:I$105="P"))+SUMPRODUCT((P$3:P$105="")*(O$3:O$105="")*(N$3:N$105="")*(M$3:M$105="P")*(G$3:G$105=G102)*(J$3:J$105&gt;J102)*(I$3:I$105="P"))+IF(H102="L5",SUMPRODUCT((P$3:P$105="")*(O$3:O$105="")*(N$3:N$105="")*(M$3:M$105="P")*(G$3:G$105=G102)*(J$3:J$105&lt;J102)*(H$3:H$105&lt;&gt;H102)*(I$3:I$105="P")),-1*SUMPRODUCT((P$3:P$105="")*(O$3:O$105="")*(N$3:N$105="")*(M$3:M$105="P")*(G$3:G$105=G102)*(J$3:J$105&gt;J102)*(H$3:H$105="L5")*(I$3:I$105="P")))+1,"")))))</f>
        <v/>
      </c>
      <c r="B102" s="1" t="str" cm="1">
        <f t="array" ref="B102">IF(P102&lt;&gt;"",SUMPRODUCT((P$3:P$105&lt;&gt;"")*(G$3:G$105=G102)*(J$3:J$105&gt;J102))+1,IF(O102&lt;&gt;"",SUMPRODUCT((O$3:O$105&lt;&gt;"")*(P$3:P$105="")*(G$3:G$105=G102)*(J$3:J$105&gt;J102))+SUMPRODUCT((P$3:P$105&lt;&gt;"")*(G$3:G$105=G102))+1,IF(N102&lt;&gt;"",SUMPRODUCT((N$3:N$105&lt;&gt;"")*(G$3:G$105=G102)*(J$3:J$105&gt;J102))+1,IF(M102="P",SUMPRODUCT((O$3:O$105&lt;&gt;"")*(P$3:P$105="")*(G$3:G$105=G102))+SUMPRODUCT((P$3:P$105&lt;&gt;"")*(G$3:G$105=G102))+SUMPRODUCT((N$3:N$105&lt;&gt;"")*(G$3:G$105=G102))+SUMPRODUCT((P$3:P$105="")*(O$3:O$105="")*(N$3:N$105="")*(M$3:M$105="P")*(G$3:G$105=G102)*(J$3:J$105&gt;J102))+IF(H102="L5",SUMPRODUCT((P$3:P$105="")*(O$3:O$105="")*(N$3:N$105="")*(M$3:M$105="P")*(G$3:G$105=G102)*(J$3:J$105&lt;J102)*(H$3:H$105&lt;&gt;H102)),-1*SUMPRODUCT((P$3:P$105="")*(O$3:O$105="")*(N$3:N$105="")*(M$3:M$105="P")*(G$3:G$105=G102)*(J$3:J$105&gt;J102)*(H$3:H$105="L5")))+1,""))))</f>
        <v/>
      </c>
      <c r="C102" s="36" t="s">
        <v>307</v>
      </c>
      <c r="D102" s="36" t="str">
        <f>IF(E102="","",VLOOKUP(E102,'Coaching Points'!A:B,2,0))</f>
        <v>AB</v>
      </c>
      <c r="E102" s="36" t="s">
        <v>40</v>
      </c>
      <c r="F102" s="35">
        <v>2009</v>
      </c>
      <c r="G102" s="1" t="str">
        <f>IF('Qualifying Scores'!$B$1-F102&gt;21,"Not Age Eligible",IF('Qualifying Scores'!$B$1-F102&gt;16,"17-21",IF('Qualifying Scores'!$B$1-F102&gt;14,"15-16",IF('Qualifying Scores'!$B$1-F102&gt;12,"13-14",IF('Qualifying Scores'!$B$1-F102&gt;10,"11-12","Not Age Eligible")))))</f>
        <v>13-14</v>
      </c>
      <c r="H102" s="39" t="s">
        <v>66</v>
      </c>
      <c r="I102" s="43"/>
      <c r="J102" s="4">
        <f>R102+S102+IF(OR(H102="Junior",H102="Senior"),0.0002,IF(OR(H102="L7",H102="L6"),0.0001,0))+MAX(X102,Z102)*0.0000001</f>
        <v>80.60000414999999</v>
      </c>
      <c r="K102" s="3" t="str">
        <f>IF(G102="Not Age Eligible","",IF(MAX(T102,V102,X102,Z102)&gt;=LOOKUP(G102,'Qualifying Scores'!$A$4:$A$7,'Qualifying Scores'!$G$4:$G$7),"P",""))</f>
        <v/>
      </c>
      <c r="L102" s="3" t="str">
        <f>IF(G102="Not Age Eligible","",IF(MAX(U102,W102,Y102,AA102)&gt;=LOOKUP(G102,'Qualifying Scores'!$A$10:$A$13,'Qualifying Scores'!$G$10:$G$13),"P",""))</f>
        <v>P</v>
      </c>
      <c r="M102" s="3" t="str">
        <f>IF(G102="Not Age Eligible","",IF(OR(AND(T102&gt;=LOOKUP(G102,'Qualifying Scores'!$A$4:$A$7,'Qualifying Scores'!$G$4:$G$7),U102&gt;=LOOKUP(G102,'Qualifying Scores'!$A$10:$A$13,'Qualifying Scores'!$G$10:$G$13)),AND(X102&gt;=LOOKUP(G102,'Qualifying Scores'!$A$4:$A$7,'Qualifying Scores'!$G$4:$G$7),Y102&gt;=LOOKUP(G102,'Qualifying Scores'!$A$10:$A$13,'Qualifying Scores'!$G$10:$G$13)),AND(V102&gt;=LOOKUP(G102,'Qualifying Scores'!$A$4:$A$7,'Qualifying Scores'!$G$4:$G$7),W102&gt;=LOOKUP(G102,'Qualifying Scores'!$A$10:$A$13,'Qualifying Scores'!$G$10:$G$13)),AND(Z102&gt;=LOOKUP(G102,'Qualifying Scores'!$A$4:$A$7,'Qualifying Scores'!$G$4:$G$7),AA102&gt;=LOOKUP(G102,'Qualifying Scores'!$A$10:$A$13,'Qualifying Scores'!$G$10:$G$13))),"P",""))</f>
        <v/>
      </c>
      <c r="Q102" s="1" t="str">
        <f>IF(A102&lt;5,IF(_xlfn.MAXIFS(A:A,G:G,G102)&gt;3,5-A102,_xlfn.MAXIFS(A:A,G:G,G102)+1-A102),"")</f>
        <v/>
      </c>
      <c r="R102" s="4">
        <f>MAX(T102,X102)</f>
        <v>41.5</v>
      </c>
      <c r="S102" s="4">
        <f>IF(R102=T102,MAX(V102,X102,Z102),IF(R102=X102,MAX(T102,V102,Z102),0))</f>
        <v>39.1</v>
      </c>
      <c r="T102" s="33">
        <v>39.1</v>
      </c>
      <c r="U102" s="40">
        <v>3.4000000000000004</v>
      </c>
      <c r="V102" s="34">
        <v>38.6</v>
      </c>
      <c r="W102" s="40">
        <v>4</v>
      </c>
      <c r="X102" s="33">
        <v>41.5</v>
      </c>
      <c r="Y102" s="40">
        <v>6.3000000000000007</v>
      </c>
      <c r="Z102" s="34">
        <v>38.799999999999997</v>
      </c>
      <c r="AA102" s="37">
        <v>3.8</v>
      </c>
    </row>
    <row r="103" spans="1:27" x14ac:dyDescent="0.2">
      <c r="A103" s="1" t="str" cm="1">
        <f t="array" ref="A103">IF(I103="","",IF(P103&lt;&gt;"",SUMPRODUCT((P$3:P$105&lt;&gt;"")*(G$3:G$105=G103)*(J$3:J$105&gt;J103)*(I$3:I$105="P"))+1,IF(O103&lt;&gt;"",SUMPRODUCT((O$3:O$105&lt;&gt;"")*(P$3:P$105="")*(G$3:G$105=G103)*(J$3:J$105&gt;J103)*(I$3:I$105="P"))+SUMPRODUCT((P$3:P$105&lt;&gt;"")*(G$3:G$105=G103)*(I$3:I$105="P"))+1,IF(N103&lt;&gt;"",SUMPRODUCT((N$3:N$105&lt;&gt;"")*(G$3:G$105=G103)*(J$3:J$105&gt;J103)*(I$3:I$105="P"))+1,IF(M103="P",SUMPRODUCT((O$3:O$105&lt;&gt;"")*(P$3:P$105="")*(G$3:G$105=G103)*(I$3:I$105="P"))+SUMPRODUCT((P$3:P$105&lt;&gt;"")*(G$3:G$105=G103)*(I$3:I$105="P"))+SUMPRODUCT((N$3:N$105&lt;&gt;"")*(G$3:G$105=G103)*(I$3:I$105="P"))+SUMPRODUCT((P$3:P$105="")*(O$3:O$105="")*(N$3:N$105="")*(M$3:M$105="P")*(G$3:G$105=G103)*(J$3:J$105&gt;J103)*(I$3:I$105="P"))+IF(H103="L5",SUMPRODUCT((P$3:P$105="")*(O$3:O$105="")*(N$3:N$105="")*(M$3:M$105="P")*(G$3:G$105=G103)*(J$3:J$105&lt;J103)*(H$3:H$105&lt;&gt;H103)*(I$3:I$105="P")),-1*SUMPRODUCT((P$3:P$105="")*(O$3:O$105="")*(N$3:N$105="")*(M$3:M$105="P")*(G$3:G$105=G103)*(J$3:J$105&gt;J103)*(H$3:H$105="L5")*(I$3:I$105="P")))+1,"")))))</f>
        <v/>
      </c>
      <c r="B103" s="1" t="str" cm="1">
        <f t="array" ref="B103">IF(P103&lt;&gt;"",SUMPRODUCT((P$3:P$105&lt;&gt;"")*(G$3:G$105=G103)*(J$3:J$105&gt;J103))+1,IF(O103&lt;&gt;"",SUMPRODUCT((O$3:O$105&lt;&gt;"")*(P$3:P$105="")*(G$3:G$105=G103)*(J$3:J$105&gt;J103))+SUMPRODUCT((P$3:P$105&lt;&gt;"")*(G$3:G$105=G103))+1,IF(N103&lt;&gt;"",SUMPRODUCT((N$3:N$105&lt;&gt;"")*(G$3:G$105=G103)*(J$3:J$105&gt;J103))+1,IF(M103="P",SUMPRODUCT((O$3:O$105&lt;&gt;"")*(P$3:P$105="")*(G$3:G$105=G103))+SUMPRODUCT((P$3:P$105&lt;&gt;"")*(G$3:G$105=G103))+SUMPRODUCT((N$3:N$105&lt;&gt;"")*(G$3:G$105=G103))+SUMPRODUCT((P$3:P$105="")*(O$3:O$105="")*(N$3:N$105="")*(M$3:M$105="P")*(G$3:G$105=G103)*(J$3:J$105&gt;J103))+IF(H103="L5",SUMPRODUCT((P$3:P$105="")*(O$3:O$105="")*(N$3:N$105="")*(M$3:M$105="P")*(G$3:G$105=G103)*(J$3:J$105&lt;J103)*(H$3:H$105&lt;&gt;H103)),-1*SUMPRODUCT((P$3:P$105="")*(O$3:O$105="")*(N$3:N$105="")*(M$3:M$105="P")*(G$3:G$105=G103)*(J$3:J$105&gt;J103)*(H$3:H$105="L5")))+1,""))))</f>
        <v/>
      </c>
      <c r="C103" s="36" t="s">
        <v>481</v>
      </c>
      <c r="D103" s="36" t="str">
        <f>IF(E103="","",VLOOKUP(E103,'Coaching Points'!A:B,2,0))</f>
        <v>BC</v>
      </c>
      <c r="E103" s="36" t="s">
        <v>37</v>
      </c>
      <c r="F103" s="35">
        <v>2010</v>
      </c>
      <c r="G103" s="1" t="str">
        <f>IF('Qualifying Scores'!$B$1-F103&gt;21,"Not Age Eligible",IF('Qualifying Scores'!$B$1-F103&gt;16,"17-21",IF('Qualifying Scores'!$B$1-F103&gt;14,"15-16",IF('Qualifying Scores'!$B$1-F103&gt;12,"13-14",IF('Qualifying Scores'!$B$1-F103&gt;10,"11-12","Not Age Eligible")))))</f>
        <v>13-14</v>
      </c>
      <c r="H103" s="39" t="s">
        <v>66</v>
      </c>
      <c r="I103" s="43"/>
      <c r="J103" s="4">
        <f>R103+S103+IF(OR(H103="Junior",H103="Senior"),0.0002,IF(OR(H103="L7",H103="L6"),0.0001,0))+MAX(X103,Z103)*0.0000001</f>
        <v>80.200004079999985</v>
      </c>
      <c r="K103" s="3" t="str">
        <f>IF(G103="Not Age Eligible","",IF(MAX(T103,V103,X103,Z103)&gt;=LOOKUP(G103,'Qualifying Scores'!$A$4:$A$7,'Qualifying Scores'!$G$4:$G$7),"P",""))</f>
        <v/>
      </c>
      <c r="L103" s="3" t="str">
        <f>IF(G103="Not Age Eligible","",IF(MAX(U103,W103,Y103,AA103)&gt;=LOOKUP(G103,'Qualifying Scores'!$A$10:$A$13,'Qualifying Scores'!$G$10:$G$13),"P",""))</f>
        <v/>
      </c>
      <c r="M103" s="3" t="str">
        <f>IF(G103="Not Age Eligible","",IF(OR(AND(T103&gt;=LOOKUP(G103,'Qualifying Scores'!$A$4:$A$7,'Qualifying Scores'!$G$4:$G$7),U103&gt;=LOOKUP(G103,'Qualifying Scores'!$A$10:$A$13,'Qualifying Scores'!$G$10:$G$13)),AND(X103&gt;=LOOKUP(G103,'Qualifying Scores'!$A$4:$A$7,'Qualifying Scores'!$G$4:$G$7),Y103&gt;=LOOKUP(G103,'Qualifying Scores'!$A$10:$A$13,'Qualifying Scores'!$G$10:$G$13)),AND(V103&gt;=LOOKUP(G103,'Qualifying Scores'!$A$4:$A$7,'Qualifying Scores'!$G$4:$G$7),W103&gt;=LOOKUP(G103,'Qualifying Scores'!$A$10:$A$13,'Qualifying Scores'!$G$10:$G$13)),AND(Z103&gt;=LOOKUP(G103,'Qualifying Scores'!$A$4:$A$7,'Qualifying Scores'!$G$4:$G$7),AA103&gt;=LOOKUP(G103,'Qualifying Scores'!$A$10:$A$13,'Qualifying Scores'!$G$10:$G$13))),"P",""))</f>
        <v/>
      </c>
      <c r="Q103" s="1" t="str">
        <f>IF(A103&lt;5,IF(_xlfn.MAXIFS(A:A,G:G,G103)&gt;3,5-A103,_xlfn.MAXIFS(A:A,G:G,G103)+1-A103),"")</f>
        <v/>
      </c>
      <c r="R103" s="4">
        <f>MAX(T103,X103)</f>
        <v>39.4</v>
      </c>
      <c r="S103" s="4">
        <f>IF(R103=T103,MAX(V103,X103,Z103),IF(R103=X103,MAX(T103,V103,Z103),0))</f>
        <v>40.799999999999997</v>
      </c>
      <c r="T103" s="33"/>
      <c r="U103" s="40"/>
      <c r="V103" s="34"/>
      <c r="W103" s="40"/>
      <c r="X103" s="33">
        <v>39.4</v>
      </c>
      <c r="Y103" s="40">
        <v>4.8000000000000007</v>
      </c>
      <c r="Z103" s="34">
        <v>40.799999999999997</v>
      </c>
      <c r="AA103" s="37">
        <v>5</v>
      </c>
    </row>
    <row r="104" spans="1:27" x14ac:dyDescent="0.2">
      <c r="A104" s="1" t="str" cm="1">
        <f t="array" ref="A104">IF(I104="","",IF(P104&lt;&gt;"",SUMPRODUCT((P$3:P$105&lt;&gt;"")*(G$3:G$105=G104)*(J$3:J$105&gt;J104)*(I$3:I$105="P"))+1,IF(O104&lt;&gt;"",SUMPRODUCT((O$3:O$105&lt;&gt;"")*(P$3:P$105="")*(G$3:G$105=G104)*(J$3:J$105&gt;J104)*(I$3:I$105="P"))+SUMPRODUCT((P$3:P$105&lt;&gt;"")*(G$3:G$105=G104)*(I$3:I$105="P"))+1,IF(N104&lt;&gt;"",SUMPRODUCT((N$3:N$105&lt;&gt;"")*(G$3:G$105=G104)*(J$3:J$105&gt;J104)*(I$3:I$105="P"))+1,IF(M104="P",SUMPRODUCT((O$3:O$105&lt;&gt;"")*(P$3:P$105="")*(G$3:G$105=G104)*(I$3:I$105="P"))+SUMPRODUCT((P$3:P$105&lt;&gt;"")*(G$3:G$105=G104)*(I$3:I$105="P"))+SUMPRODUCT((N$3:N$105&lt;&gt;"")*(G$3:G$105=G104)*(I$3:I$105="P"))+SUMPRODUCT((P$3:P$105="")*(O$3:O$105="")*(N$3:N$105="")*(M$3:M$105="P")*(G$3:G$105=G104)*(J$3:J$105&gt;J104)*(I$3:I$105="P"))+IF(H104="L5",SUMPRODUCT((P$3:P$105="")*(O$3:O$105="")*(N$3:N$105="")*(M$3:M$105="P")*(G$3:G$105=G104)*(J$3:J$105&lt;J104)*(H$3:H$105&lt;&gt;H104)*(I$3:I$105="P")),-1*SUMPRODUCT((P$3:P$105="")*(O$3:O$105="")*(N$3:N$105="")*(M$3:M$105="P")*(G$3:G$105=G104)*(J$3:J$105&gt;J104)*(H$3:H$105="L5")*(I$3:I$105="P")))+1,"")))))</f>
        <v/>
      </c>
      <c r="B104" s="1" t="str" cm="1">
        <f t="array" ref="B104">IF(P104&lt;&gt;"",SUMPRODUCT((P$3:P$105&lt;&gt;"")*(G$3:G$105=G104)*(J$3:J$105&gt;J104))+1,IF(O104&lt;&gt;"",SUMPRODUCT((O$3:O$105&lt;&gt;"")*(P$3:P$105="")*(G$3:G$105=G104)*(J$3:J$105&gt;J104))+SUMPRODUCT((P$3:P$105&lt;&gt;"")*(G$3:G$105=G104))+1,IF(N104&lt;&gt;"",SUMPRODUCT((N$3:N$105&lt;&gt;"")*(G$3:G$105=G104)*(J$3:J$105&gt;J104))+1,IF(M104="P",SUMPRODUCT((O$3:O$105&lt;&gt;"")*(P$3:P$105="")*(G$3:G$105=G104))+SUMPRODUCT((P$3:P$105&lt;&gt;"")*(G$3:G$105=G104))+SUMPRODUCT((N$3:N$105&lt;&gt;"")*(G$3:G$105=G104))+SUMPRODUCT((P$3:P$105="")*(O$3:O$105="")*(N$3:N$105="")*(M$3:M$105="P")*(G$3:G$105=G104)*(J$3:J$105&gt;J104))+IF(H104="L5",SUMPRODUCT((P$3:P$105="")*(O$3:O$105="")*(N$3:N$105="")*(M$3:M$105="P")*(G$3:G$105=G104)*(J$3:J$105&lt;J104)*(H$3:H$105&lt;&gt;H104)),-1*SUMPRODUCT((P$3:P$105="")*(O$3:O$105="")*(N$3:N$105="")*(M$3:M$105="P")*(G$3:G$105=G104)*(J$3:J$105&gt;J104)*(H$3:H$105="L5")))+1,""))))</f>
        <v/>
      </c>
      <c r="C104" s="36" t="s">
        <v>510</v>
      </c>
      <c r="D104" s="36" t="str">
        <f>IF(E104="","",VLOOKUP(E104,'Coaching Points'!A:B,2,0))</f>
        <v>BC</v>
      </c>
      <c r="E104" s="36" t="s">
        <v>41</v>
      </c>
      <c r="F104" s="35">
        <v>2011</v>
      </c>
      <c r="G104" s="1" t="str">
        <f>IF('Qualifying Scores'!$B$1-F104&gt;21,"Not Age Eligible",IF('Qualifying Scores'!$B$1-F104&gt;16,"17-21",IF('Qualifying Scores'!$B$1-F104&gt;14,"15-16",IF('Qualifying Scores'!$B$1-F104&gt;12,"13-14",IF('Qualifying Scores'!$B$1-F104&gt;10,"11-12","Not Age Eligible")))))</f>
        <v>11-12</v>
      </c>
      <c r="H104" s="39" t="s">
        <v>66</v>
      </c>
      <c r="I104" s="43"/>
      <c r="J104" s="4">
        <f>R104+S104+IF(OR(H104="Junior",H104="Senior"),0.0002,IF(OR(H104="L7",H104="L6"),0.0001,0))+MAX(X104,Z104)*0.0000001</f>
        <v>78.100003919999992</v>
      </c>
      <c r="K104" s="3" t="str">
        <f>IF(G104="Not Age Eligible","",IF(MAX(T104,V104,X104,Z104)&gt;=LOOKUP(G104,'Qualifying Scores'!$A$4:$A$7,'Qualifying Scores'!$G$4:$G$7),"P",""))</f>
        <v/>
      </c>
      <c r="L104" s="3" t="str">
        <f>IF(G104="Not Age Eligible","",IF(MAX(U104,W104,Y104,AA104)&gt;=LOOKUP(G104,'Qualifying Scores'!$A$10:$A$13,'Qualifying Scores'!$G$10:$G$13),"P",""))</f>
        <v/>
      </c>
      <c r="M104" s="3" t="str">
        <f>IF(G104="Not Age Eligible","",IF(OR(AND(T104&gt;=LOOKUP(G104,'Qualifying Scores'!$A$4:$A$7,'Qualifying Scores'!$G$4:$G$7),U104&gt;=LOOKUP(G104,'Qualifying Scores'!$A$10:$A$13,'Qualifying Scores'!$G$10:$G$13)),AND(X104&gt;=LOOKUP(G104,'Qualifying Scores'!$A$4:$A$7,'Qualifying Scores'!$G$4:$G$7),Y104&gt;=LOOKUP(G104,'Qualifying Scores'!$A$10:$A$13,'Qualifying Scores'!$G$10:$G$13)),AND(V104&gt;=LOOKUP(G104,'Qualifying Scores'!$A$4:$A$7,'Qualifying Scores'!$G$4:$G$7),W104&gt;=LOOKUP(G104,'Qualifying Scores'!$A$10:$A$13,'Qualifying Scores'!$G$10:$G$13)),AND(Z104&gt;=LOOKUP(G104,'Qualifying Scores'!$A$4:$A$7,'Qualifying Scores'!$G$4:$G$7),AA104&gt;=LOOKUP(G104,'Qualifying Scores'!$A$10:$A$13,'Qualifying Scores'!$G$10:$G$13))),"P",""))</f>
        <v/>
      </c>
      <c r="Q104" s="1" t="str">
        <f>IF(A104&lt;5,IF(_xlfn.MAXIFS(A:A,G:G,G104)&gt;3,5-A104,_xlfn.MAXIFS(A:A,G:G,G104)+1-A104),"")</f>
        <v/>
      </c>
      <c r="R104" s="4">
        <f>MAX(T104,X104)</f>
        <v>38.9</v>
      </c>
      <c r="S104" s="4">
        <f>IF(R104=T104,MAX(V104,X104,Z104),IF(R104=X104,MAX(T104,V104,Z104),0))</f>
        <v>39.200000000000003</v>
      </c>
      <c r="T104" s="33"/>
      <c r="U104" s="40"/>
      <c r="V104" s="34"/>
      <c r="W104" s="40"/>
      <c r="X104" s="33">
        <v>38.9</v>
      </c>
      <c r="Y104" s="40">
        <v>3.4000000000000004</v>
      </c>
      <c r="Z104" s="34">
        <v>39.200000000000003</v>
      </c>
      <c r="AA104" s="37">
        <v>2.8</v>
      </c>
    </row>
    <row r="105" spans="1:27" x14ac:dyDescent="0.2">
      <c r="B105" s="1"/>
      <c r="G105" s="1"/>
      <c r="H105" s="39"/>
      <c r="I105" s="43"/>
      <c r="J105" s="4"/>
      <c r="K105" s="3"/>
      <c r="L105" s="3"/>
      <c r="R105" s="4"/>
      <c r="S105" s="4"/>
      <c r="T105" s="33"/>
      <c r="U105" s="40"/>
      <c r="V105" s="34"/>
      <c r="W105" s="40"/>
      <c r="X105" s="33"/>
      <c r="Y105" s="40"/>
      <c r="Z105" s="34"/>
      <c r="AA105" s="37"/>
    </row>
    <row r="106" spans="1:27" x14ac:dyDescent="0.2">
      <c r="B106" s="1"/>
      <c r="G106" s="1"/>
      <c r="H106" s="39"/>
      <c r="I106" s="43"/>
      <c r="J106" s="4"/>
      <c r="K106" s="3"/>
      <c r="L106" s="3"/>
      <c r="R106" s="4"/>
      <c r="S106" s="4"/>
      <c r="T106" s="33"/>
      <c r="U106" s="40"/>
      <c r="V106" s="34"/>
      <c r="W106" s="40"/>
      <c r="X106" s="33"/>
      <c r="Y106" s="40"/>
      <c r="Z106" s="34"/>
      <c r="AA106" s="37"/>
    </row>
    <row r="107" spans="1:27" x14ac:dyDescent="0.2">
      <c r="B107" s="1"/>
      <c r="G107" s="1"/>
      <c r="H107" s="39"/>
      <c r="I107" s="43"/>
      <c r="J107" s="4"/>
      <c r="K107" s="3"/>
      <c r="L107" s="3"/>
      <c r="R107" s="4"/>
      <c r="S107" s="4"/>
      <c r="T107" s="33"/>
      <c r="U107" s="40"/>
      <c r="V107" s="34"/>
      <c r="W107" s="40"/>
      <c r="X107" s="33"/>
      <c r="Y107" s="40"/>
      <c r="Z107" s="34"/>
      <c r="AA107" s="37"/>
    </row>
    <row r="108" spans="1:27" x14ac:dyDescent="0.2">
      <c r="B108" s="1"/>
      <c r="G108" s="1"/>
      <c r="H108" s="39"/>
      <c r="I108" s="43"/>
      <c r="J108" s="4"/>
      <c r="K108" s="3"/>
      <c r="L108" s="3"/>
      <c r="R108" s="4"/>
      <c r="S108" s="4"/>
      <c r="T108" s="33"/>
      <c r="U108" s="40"/>
      <c r="V108" s="34"/>
      <c r="W108" s="40"/>
      <c r="X108" s="33"/>
      <c r="Y108" s="40"/>
      <c r="Z108" s="34"/>
      <c r="AA108" s="37"/>
    </row>
    <row r="109" spans="1:27" x14ac:dyDescent="0.2">
      <c r="B109" s="1"/>
      <c r="G109" s="1"/>
      <c r="H109" s="39"/>
      <c r="I109" s="43"/>
      <c r="J109" s="4"/>
      <c r="K109" s="3"/>
      <c r="L109" s="3"/>
      <c r="R109" s="4"/>
      <c r="S109" s="4"/>
      <c r="T109" s="33"/>
      <c r="U109" s="40"/>
      <c r="V109" s="34"/>
      <c r="W109" s="40"/>
      <c r="X109" s="33"/>
      <c r="Y109" s="40"/>
      <c r="Z109" s="34"/>
      <c r="AA109" s="37"/>
    </row>
    <row r="110" spans="1:27" x14ac:dyDescent="0.2">
      <c r="B110" s="1"/>
      <c r="G110" s="1"/>
      <c r="H110" s="39"/>
      <c r="I110" s="43"/>
      <c r="J110" s="4"/>
      <c r="K110" s="3"/>
      <c r="L110" s="3"/>
      <c r="R110" s="4"/>
      <c r="S110" s="4"/>
      <c r="T110" s="33"/>
      <c r="U110" s="40"/>
      <c r="V110" s="34"/>
      <c r="W110" s="40"/>
      <c r="X110" s="33"/>
      <c r="Y110" s="40"/>
      <c r="Z110" s="34"/>
      <c r="AA110" s="37"/>
    </row>
    <row r="111" spans="1:27" x14ac:dyDescent="0.2">
      <c r="B111" s="1"/>
      <c r="G111" s="1"/>
      <c r="H111" s="39"/>
      <c r="I111" s="43"/>
      <c r="J111" s="4"/>
      <c r="K111" s="3"/>
      <c r="L111" s="3"/>
      <c r="R111" s="4"/>
      <c r="S111" s="4"/>
      <c r="T111" s="33"/>
      <c r="U111" s="40"/>
      <c r="V111" s="34"/>
      <c r="W111" s="40"/>
      <c r="X111" s="33"/>
      <c r="Y111" s="40"/>
      <c r="Z111" s="34"/>
      <c r="AA111" s="37"/>
    </row>
    <row r="112" spans="1:27" x14ac:dyDescent="0.2">
      <c r="B112" s="1"/>
      <c r="G112" s="1"/>
      <c r="H112" s="39"/>
      <c r="I112" s="43"/>
      <c r="J112" s="4"/>
      <c r="K112" s="3"/>
      <c r="L112" s="3"/>
      <c r="R112" s="4"/>
      <c r="S112" s="4"/>
      <c r="T112" s="33"/>
      <c r="U112" s="40"/>
      <c r="V112" s="34"/>
      <c r="W112" s="40"/>
      <c r="X112" s="33"/>
      <c r="Y112" s="40"/>
      <c r="Z112" s="34"/>
      <c r="AA112" s="37"/>
    </row>
    <row r="113" spans="2:27" x14ac:dyDescent="0.2">
      <c r="B113" s="1"/>
      <c r="G113" s="1"/>
      <c r="H113" s="39"/>
      <c r="I113" s="43"/>
      <c r="J113" s="4"/>
      <c r="K113" s="3"/>
      <c r="L113" s="3"/>
      <c r="R113" s="4"/>
      <c r="S113" s="4"/>
      <c r="T113" s="33"/>
      <c r="U113" s="40"/>
      <c r="V113" s="34"/>
      <c r="W113" s="40"/>
      <c r="X113" s="33"/>
      <c r="Y113" s="40"/>
      <c r="Z113" s="34"/>
      <c r="AA113" s="37"/>
    </row>
    <row r="114" spans="2:27" x14ac:dyDescent="0.2">
      <c r="B114" s="1"/>
      <c r="G114" s="1"/>
      <c r="H114" s="39"/>
      <c r="I114" s="43"/>
      <c r="J114" s="4"/>
      <c r="K114" s="3"/>
      <c r="L114" s="3"/>
      <c r="R114" s="4"/>
      <c r="S114" s="4"/>
      <c r="T114" s="33"/>
      <c r="U114" s="40"/>
      <c r="V114" s="34"/>
      <c r="W114" s="40"/>
      <c r="X114" s="33"/>
      <c r="Y114" s="40"/>
      <c r="Z114" s="34"/>
      <c r="AA114" s="37"/>
    </row>
    <row r="115" spans="2:27" x14ac:dyDescent="0.2">
      <c r="B115" s="1"/>
      <c r="G115" s="1"/>
      <c r="H115" s="39"/>
      <c r="I115" s="43"/>
      <c r="J115" s="4"/>
      <c r="K115" s="3"/>
      <c r="L115" s="3"/>
      <c r="R115" s="4"/>
      <c r="S115" s="4"/>
      <c r="T115" s="33"/>
      <c r="U115" s="40"/>
      <c r="V115" s="34"/>
      <c r="W115" s="40"/>
      <c r="X115" s="33"/>
      <c r="Y115" s="40"/>
      <c r="Z115" s="34"/>
      <c r="AA115" s="37"/>
    </row>
    <row r="116" spans="2:27" x14ac:dyDescent="0.2">
      <c r="B116" s="1"/>
      <c r="G116" s="1"/>
      <c r="H116" s="39"/>
      <c r="I116" s="43"/>
      <c r="J116" s="4"/>
      <c r="K116" s="3"/>
      <c r="L116" s="3"/>
      <c r="R116" s="4"/>
      <c r="S116" s="4"/>
      <c r="T116" s="33"/>
      <c r="U116" s="40"/>
      <c r="V116" s="34"/>
      <c r="W116" s="40"/>
      <c r="X116" s="33"/>
      <c r="Y116" s="40"/>
      <c r="Z116" s="34"/>
      <c r="AA116" s="37"/>
    </row>
    <row r="117" spans="2:27" x14ac:dyDescent="0.2">
      <c r="B117" s="1"/>
      <c r="G117" s="1"/>
      <c r="H117" s="39"/>
      <c r="I117" s="43"/>
      <c r="J117" s="4"/>
      <c r="K117" s="3"/>
      <c r="L117" s="3"/>
      <c r="R117" s="4"/>
      <c r="S117" s="4"/>
      <c r="T117" s="33"/>
      <c r="U117" s="40"/>
      <c r="V117" s="34"/>
      <c r="W117" s="40"/>
      <c r="X117" s="33"/>
      <c r="Y117" s="40"/>
      <c r="Z117" s="34"/>
      <c r="AA117" s="37"/>
    </row>
    <row r="118" spans="2:27" x14ac:dyDescent="0.2">
      <c r="B118" s="1"/>
      <c r="G118" s="1"/>
      <c r="H118" s="39"/>
      <c r="I118" s="43"/>
      <c r="J118" s="4"/>
      <c r="K118" s="3"/>
      <c r="L118" s="3"/>
      <c r="R118" s="4"/>
      <c r="S118" s="4"/>
      <c r="T118" s="33"/>
      <c r="U118" s="40"/>
      <c r="V118" s="34"/>
      <c r="W118" s="40"/>
      <c r="X118" s="33"/>
      <c r="Y118" s="40"/>
      <c r="Z118" s="34"/>
      <c r="AA118" s="37"/>
    </row>
    <row r="119" spans="2:27" x14ac:dyDescent="0.2">
      <c r="B119" s="1"/>
      <c r="G119" s="1"/>
      <c r="H119" s="39"/>
      <c r="I119" s="43"/>
      <c r="J119" s="4"/>
      <c r="K119" s="3"/>
      <c r="L119" s="3"/>
      <c r="R119" s="4"/>
      <c r="S119" s="4"/>
      <c r="T119" s="33"/>
      <c r="U119" s="40"/>
      <c r="V119" s="34"/>
      <c r="W119" s="40"/>
      <c r="X119" s="33"/>
      <c r="Y119" s="40"/>
      <c r="Z119" s="34"/>
      <c r="AA119" s="37"/>
    </row>
    <row r="120" spans="2:27" x14ac:dyDescent="0.2">
      <c r="B120" s="1"/>
      <c r="G120" s="1"/>
      <c r="H120" s="39"/>
      <c r="I120" s="43"/>
      <c r="J120" s="4"/>
      <c r="K120" s="3"/>
      <c r="L120" s="3"/>
      <c r="R120" s="4"/>
      <c r="S120" s="4"/>
      <c r="T120" s="33"/>
      <c r="U120" s="40"/>
      <c r="V120" s="34"/>
      <c r="W120" s="40"/>
      <c r="X120" s="33"/>
      <c r="Y120" s="40"/>
      <c r="Z120" s="34"/>
      <c r="AA120" s="37"/>
    </row>
    <row r="121" spans="2:27" x14ac:dyDescent="0.2">
      <c r="B121" s="1"/>
      <c r="G121" s="1"/>
      <c r="H121" s="39"/>
      <c r="I121" s="43"/>
      <c r="J121" s="4"/>
      <c r="K121" s="3"/>
      <c r="L121" s="3"/>
      <c r="R121" s="4"/>
      <c r="S121" s="4"/>
      <c r="T121" s="33"/>
      <c r="U121" s="40"/>
      <c r="V121" s="34"/>
      <c r="W121" s="40"/>
      <c r="X121" s="33"/>
      <c r="Y121" s="40"/>
      <c r="Z121" s="34"/>
      <c r="AA121" s="37"/>
    </row>
    <row r="122" spans="2:27" x14ac:dyDescent="0.2">
      <c r="B122" s="1"/>
      <c r="G122" s="1"/>
      <c r="H122" s="39"/>
      <c r="I122" s="43"/>
      <c r="J122" s="4"/>
      <c r="K122" s="3"/>
      <c r="L122" s="3"/>
      <c r="R122" s="4"/>
      <c r="S122" s="4"/>
      <c r="T122" s="33"/>
      <c r="U122" s="40"/>
      <c r="V122" s="34"/>
      <c r="W122" s="40"/>
      <c r="X122" s="33"/>
      <c r="Y122" s="40"/>
      <c r="Z122" s="34"/>
      <c r="AA122" s="37"/>
    </row>
    <row r="123" spans="2:27" x14ac:dyDescent="0.2">
      <c r="B123" s="1"/>
      <c r="G123" s="1"/>
      <c r="H123" s="39"/>
      <c r="I123" s="43"/>
      <c r="J123" s="4"/>
      <c r="K123" s="3"/>
      <c r="L123" s="3"/>
      <c r="R123" s="4"/>
      <c r="S123" s="4"/>
      <c r="T123" s="33"/>
      <c r="U123" s="40"/>
      <c r="V123" s="34"/>
      <c r="W123" s="40"/>
      <c r="X123" s="33"/>
      <c r="Y123" s="40"/>
      <c r="Z123" s="34"/>
      <c r="AA123" s="37"/>
    </row>
    <row r="124" spans="2:27" x14ac:dyDescent="0.2">
      <c r="B124" s="1"/>
      <c r="G124" s="1"/>
      <c r="H124" s="39"/>
      <c r="I124" s="43"/>
      <c r="J124" s="4"/>
      <c r="K124" s="3"/>
      <c r="L124" s="3"/>
      <c r="R124" s="4"/>
      <c r="S124" s="4"/>
      <c r="T124" s="33"/>
      <c r="U124" s="40"/>
      <c r="V124" s="34"/>
      <c r="W124" s="40"/>
      <c r="X124" s="33"/>
      <c r="Y124" s="40"/>
      <c r="Z124" s="34"/>
      <c r="AA124" s="37"/>
    </row>
    <row r="125" spans="2:27" x14ac:dyDescent="0.2">
      <c r="B125" s="1"/>
      <c r="G125" s="1"/>
      <c r="H125" s="39"/>
      <c r="I125" s="43"/>
      <c r="J125" s="4"/>
      <c r="K125" s="3"/>
      <c r="L125" s="3"/>
      <c r="R125" s="4"/>
      <c r="S125" s="4"/>
      <c r="T125" s="33"/>
      <c r="U125" s="40"/>
      <c r="V125" s="34"/>
      <c r="W125" s="40"/>
      <c r="X125" s="33"/>
      <c r="Y125" s="40"/>
      <c r="Z125" s="34"/>
      <c r="AA125" s="37"/>
    </row>
    <row r="126" spans="2:27" x14ac:dyDescent="0.2">
      <c r="B126" s="1"/>
      <c r="G126" s="1"/>
      <c r="H126" s="39"/>
      <c r="I126" s="43"/>
      <c r="J126" s="4"/>
      <c r="K126" s="3"/>
      <c r="L126" s="3"/>
      <c r="R126" s="4"/>
      <c r="S126" s="4"/>
      <c r="T126" s="33"/>
      <c r="U126" s="40"/>
      <c r="V126" s="34"/>
      <c r="W126" s="40"/>
      <c r="X126" s="33"/>
      <c r="Y126" s="40"/>
      <c r="Z126" s="34"/>
      <c r="AA126" s="37"/>
    </row>
    <row r="127" spans="2:27" x14ac:dyDescent="0.2">
      <c r="B127" s="1"/>
      <c r="G127" s="1"/>
      <c r="H127" s="39"/>
      <c r="I127" s="43"/>
      <c r="J127" s="4"/>
      <c r="K127" s="3"/>
      <c r="L127" s="3"/>
      <c r="R127" s="4"/>
      <c r="S127" s="4"/>
      <c r="T127" s="33"/>
      <c r="U127" s="40"/>
      <c r="V127" s="34"/>
      <c r="W127" s="40"/>
      <c r="X127" s="33"/>
      <c r="Y127" s="40"/>
      <c r="Z127" s="34"/>
      <c r="AA127" s="37"/>
    </row>
    <row r="128" spans="2:27" x14ac:dyDescent="0.2">
      <c r="B128" s="1"/>
      <c r="G128" s="1"/>
      <c r="H128" s="39"/>
      <c r="I128" s="43"/>
      <c r="J128" s="4"/>
      <c r="K128" s="3"/>
      <c r="L128" s="3"/>
      <c r="R128" s="4"/>
      <c r="S128" s="4"/>
      <c r="T128" s="33"/>
      <c r="U128" s="40"/>
      <c r="V128" s="34"/>
      <c r="W128" s="40"/>
      <c r="X128" s="33"/>
      <c r="Y128" s="40"/>
      <c r="Z128" s="34"/>
      <c r="AA128" s="37"/>
    </row>
    <row r="129" spans="2:27" x14ac:dyDescent="0.2">
      <c r="B129" s="1"/>
      <c r="G129" s="1"/>
      <c r="H129" s="39"/>
      <c r="I129" s="43"/>
      <c r="J129" s="4"/>
      <c r="K129" s="3"/>
      <c r="L129" s="3"/>
      <c r="R129" s="4"/>
      <c r="S129" s="4"/>
      <c r="T129" s="33"/>
      <c r="U129" s="40"/>
      <c r="V129" s="34"/>
      <c r="W129" s="40"/>
      <c r="X129" s="33"/>
      <c r="Y129" s="40"/>
      <c r="Z129" s="34"/>
      <c r="AA129" s="37"/>
    </row>
    <row r="130" spans="2:27" x14ac:dyDescent="0.2">
      <c r="B130" s="1"/>
      <c r="G130" s="1"/>
      <c r="H130" s="39"/>
      <c r="I130" s="43"/>
      <c r="J130" s="4"/>
      <c r="K130" s="3"/>
      <c r="L130" s="3"/>
      <c r="R130" s="4"/>
      <c r="S130" s="4"/>
      <c r="T130" s="33"/>
      <c r="U130" s="40"/>
      <c r="V130" s="34"/>
      <c r="W130" s="40"/>
      <c r="X130" s="33"/>
      <c r="Y130" s="40"/>
      <c r="Z130" s="34"/>
      <c r="AA130" s="37"/>
    </row>
    <row r="131" spans="2:27" x14ac:dyDescent="0.2">
      <c r="B131" s="1"/>
      <c r="G131" s="1"/>
      <c r="H131" s="39"/>
      <c r="I131" s="43"/>
      <c r="J131" s="4"/>
      <c r="K131" s="3"/>
      <c r="L131" s="3"/>
      <c r="R131" s="4"/>
      <c r="S131" s="4"/>
      <c r="T131" s="33"/>
      <c r="U131" s="40"/>
      <c r="V131" s="34"/>
      <c r="W131" s="40"/>
      <c r="X131" s="33"/>
      <c r="Y131" s="40"/>
      <c r="Z131" s="34"/>
      <c r="AA131" s="37"/>
    </row>
    <row r="132" spans="2:27" x14ac:dyDescent="0.2">
      <c r="B132" s="1"/>
      <c r="G132" s="1"/>
      <c r="H132" s="39"/>
      <c r="I132" s="43"/>
      <c r="J132" s="4"/>
      <c r="K132" s="3"/>
      <c r="L132" s="3"/>
      <c r="R132" s="4"/>
      <c r="S132" s="4"/>
      <c r="T132" s="33"/>
      <c r="U132" s="40"/>
      <c r="V132" s="34"/>
      <c r="W132" s="40"/>
      <c r="X132" s="33"/>
      <c r="Y132" s="40"/>
      <c r="Z132" s="34"/>
      <c r="AA132" s="37"/>
    </row>
    <row r="133" spans="2:27" x14ac:dyDescent="0.2">
      <c r="B133" s="1"/>
      <c r="G133" s="1"/>
      <c r="H133" s="39"/>
      <c r="I133" s="43"/>
      <c r="J133" s="4"/>
      <c r="K133" s="3"/>
      <c r="L133" s="3"/>
      <c r="R133" s="4"/>
      <c r="S133" s="4"/>
      <c r="T133" s="33"/>
      <c r="U133" s="40"/>
      <c r="V133" s="34"/>
      <c r="W133" s="40"/>
      <c r="X133" s="33"/>
      <c r="Y133" s="40"/>
      <c r="Z133" s="34"/>
      <c r="AA133" s="37"/>
    </row>
    <row r="134" spans="2:27" x14ac:dyDescent="0.2">
      <c r="B134" s="1"/>
      <c r="G134" s="1"/>
      <c r="H134" s="39"/>
      <c r="I134" s="43"/>
      <c r="J134" s="4"/>
      <c r="K134" s="3"/>
      <c r="L134" s="3"/>
      <c r="R134" s="4"/>
      <c r="S134" s="4"/>
      <c r="T134" s="33"/>
      <c r="U134" s="40"/>
      <c r="V134" s="34"/>
      <c r="W134" s="40"/>
      <c r="X134" s="33"/>
      <c r="Y134" s="40"/>
      <c r="Z134" s="34"/>
      <c r="AA134" s="37"/>
    </row>
    <row r="135" spans="2:27" x14ac:dyDescent="0.2">
      <c r="B135" s="1"/>
      <c r="G135" s="1"/>
      <c r="H135" s="39"/>
      <c r="I135" s="43"/>
      <c r="J135" s="4"/>
      <c r="K135" s="3"/>
      <c r="L135" s="3"/>
      <c r="R135" s="4"/>
      <c r="S135" s="4"/>
      <c r="T135" s="33"/>
      <c r="U135" s="40"/>
      <c r="V135" s="34"/>
      <c r="W135" s="40"/>
      <c r="X135" s="33"/>
      <c r="Y135" s="40"/>
      <c r="Z135" s="34"/>
      <c r="AA135" s="37"/>
    </row>
    <row r="136" spans="2:27" x14ac:dyDescent="0.2">
      <c r="B136" s="1"/>
      <c r="G136" s="1"/>
      <c r="H136" s="39"/>
      <c r="I136" s="43"/>
      <c r="J136" s="4"/>
      <c r="K136" s="3"/>
      <c r="L136" s="3"/>
      <c r="R136" s="4"/>
      <c r="S136" s="4"/>
      <c r="T136" s="33"/>
      <c r="U136" s="40"/>
      <c r="V136" s="34"/>
      <c r="W136" s="40"/>
      <c r="X136" s="33"/>
      <c r="Y136" s="40"/>
      <c r="Z136" s="34"/>
      <c r="AA136" s="37"/>
    </row>
    <row r="137" spans="2:27" x14ac:dyDescent="0.2">
      <c r="B137" s="1"/>
      <c r="G137" s="1"/>
      <c r="H137" s="39"/>
      <c r="I137" s="43"/>
      <c r="J137" s="4"/>
      <c r="K137" s="3"/>
      <c r="L137" s="3"/>
      <c r="R137" s="4"/>
      <c r="S137" s="4"/>
      <c r="T137" s="33"/>
      <c r="U137" s="40"/>
      <c r="V137" s="34"/>
      <c r="W137" s="40"/>
      <c r="X137" s="33"/>
      <c r="Y137" s="40"/>
      <c r="Z137" s="34"/>
      <c r="AA137" s="37"/>
    </row>
    <row r="138" spans="2:27" x14ac:dyDescent="0.2">
      <c r="B138" s="1"/>
      <c r="G138" s="1"/>
      <c r="H138" s="39"/>
      <c r="I138" s="43"/>
      <c r="J138" s="4"/>
      <c r="K138" s="3"/>
      <c r="L138" s="3"/>
      <c r="R138" s="4"/>
      <c r="S138" s="4"/>
      <c r="T138" s="33"/>
      <c r="U138" s="40"/>
      <c r="V138" s="34"/>
      <c r="W138" s="40"/>
      <c r="X138" s="33"/>
      <c r="Y138" s="40"/>
      <c r="Z138" s="34"/>
      <c r="AA138" s="37"/>
    </row>
    <row r="139" spans="2:27" x14ac:dyDescent="0.2">
      <c r="B139" s="1"/>
      <c r="G139" s="1"/>
      <c r="H139" s="39"/>
      <c r="I139" s="43"/>
      <c r="J139" s="4"/>
      <c r="K139" s="3"/>
      <c r="L139" s="3"/>
      <c r="R139" s="4"/>
      <c r="S139" s="4"/>
      <c r="T139" s="33"/>
      <c r="U139" s="40"/>
      <c r="V139" s="34"/>
      <c r="W139" s="40"/>
      <c r="X139" s="33"/>
      <c r="Y139" s="40"/>
      <c r="Z139" s="34"/>
      <c r="AA139" s="37"/>
    </row>
    <row r="140" spans="2:27" x14ac:dyDescent="0.2">
      <c r="B140" s="1"/>
      <c r="G140" s="1"/>
      <c r="H140" s="39"/>
      <c r="I140" s="43"/>
      <c r="J140" s="4"/>
      <c r="K140" s="3"/>
      <c r="L140" s="3"/>
      <c r="R140" s="4"/>
      <c r="S140" s="4"/>
      <c r="T140" s="33"/>
      <c r="U140" s="40"/>
      <c r="V140" s="34"/>
      <c r="W140" s="40"/>
      <c r="X140" s="33"/>
      <c r="Y140" s="40"/>
      <c r="Z140" s="34"/>
      <c r="AA140" s="37"/>
    </row>
    <row r="141" spans="2:27" x14ac:dyDescent="0.2">
      <c r="B141" s="1"/>
      <c r="G141" s="1"/>
      <c r="H141" s="39"/>
      <c r="I141" s="43"/>
      <c r="J141" s="4"/>
      <c r="K141" s="3"/>
      <c r="L141" s="3"/>
      <c r="R141" s="4"/>
      <c r="S141" s="4"/>
      <c r="T141" s="33"/>
      <c r="U141" s="40"/>
      <c r="V141" s="34"/>
      <c r="W141" s="40"/>
      <c r="X141" s="33"/>
      <c r="Y141" s="40"/>
      <c r="Z141" s="34"/>
      <c r="AA141" s="37"/>
    </row>
    <row r="142" spans="2:27" x14ac:dyDescent="0.2">
      <c r="B142" s="1"/>
      <c r="G142" s="1"/>
      <c r="H142" s="39"/>
      <c r="I142" s="43"/>
      <c r="J142" s="4"/>
      <c r="K142" s="3"/>
      <c r="L142" s="3"/>
      <c r="R142" s="4"/>
      <c r="S142" s="4"/>
      <c r="T142" s="33"/>
      <c r="U142" s="40"/>
      <c r="V142" s="34"/>
      <c r="W142" s="40"/>
      <c r="X142" s="33"/>
      <c r="Y142" s="40"/>
      <c r="Z142" s="34"/>
      <c r="AA142" s="37"/>
    </row>
    <row r="143" spans="2:27" x14ac:dyDescent="0.2">
      <c r="B143" s="1"/>
      <c r="G143" s="1"/>
      <c r="H143" s="39"/>
      <c r="I143" s="43"/>
      <c r="J143" s="4"/>
      <c r="K143" s="3"/>
      <c r="L143" s="3"/>
      <c r="R143" s="4"/>
      <c r="S143" s="4"/>
      <c r="T143" s="33"/>
      <c r="U143" s="40"/>
      <c r="V143" s="34"/>
      <c r="W143" s="40"/>
      <c r="X143" s="33"/>
      <c r="Y143" s="40"/>
      <c r="Z143" s="34"/>
      <c r="AA143" s="37"/>
    </row>
    <row r="144" spans="2:27" x14ac:dyDescent="0.2">
      <c r="B144" s="1"/>
      <c r="G144" s="1"/>
      <c r="H144" s="39"/>
      <c r="I144" s="43"/>
      <c r="J144" s="4"/>
      <c r="K144" s="3"/>
      <c r="L144" s="3"/>
      <c r="R144" s="4"/>
      <c r="S144" s="4"/>
      <c r="T144" s="33"/>
      <c r="U144" s="40"/>
      <c r="V144" s="34"/>
      <c r="W144" s="40"/>
      <c r="X144" s="33"/>
      <c r="Y144" s="40"/>
      <c r="Z144" s="34"/>
      <c r="AA144" s="37"/>
    </row>
    <row r="145" spans="2:27" x14ac:dyDescent="0.2">
      <c r="B145" s="1"/>
      <c r="G145" s="1"/>
      <c r="H145" s="39"/>
      <c r="I145" s="43"/>
      <c r="J145" s="4"/>
      <c r="K145" s="3"/>
      <c r="L145" s="3"/>
      <c r="R145" s="4"/>
      <c r="S145" s="4"/>
      <c r="T145" s="33"/>
      <c r="U145" s="40"/>
      <c r="V145" s="34"/>
      <c r="W145" s="40"/>
      <c r="X145" s="33"/>
      <c r="Y145" s="40"/>
      <c r="Z145" s="34"/>
      <c r="AA145" s="37"/>
    </row>
    <row r="146" spans="2:27" x14ac:dyDescent="0.2">
      <c r="B146" s="1"/>
      <c r="G146" s="1"/>
      <c r="H146" s="39"/>
      <c r="I146" s="43"/>
      <c r="J146" s="4"/>
      <c r="K146" s="3"/>
      <c r="L146" s="3"/>
      <c r="R146" s="4"/>
      <c r="S146" s="4"/>
      <c r="T146" s="33"/>
      <c r="U146" s="40"/>
      <c r="V146" s="34"/>
      <c r="W146" s="40"/>
      <c r="X146" s="33"/>
      <c r="Y146" s="40"/>
      <c r="Z146" s="34"/>
      <c r="AA146" s="37"/>
    </row>
    <row r="147" spans="2:27" x14ac:dyDescent="0.2">
      <c r="B147" s="1"/>
      <c r="G147" s="1"/>
      <c r="H147" s="39"/>
      <c r="I147" s="43"/>
      <c r="J147" s="4"/>
      <c r="K147" s="3"/>
      <c r="L147" s="3"/>
      <c r="R147" s="4"/>
      <c r="S147" s="4"/>
      <c r="T147" s="33"/>
      <c r="U147" s="40"/>
      <c r="V147" s="34"/>
      <c r="W147" s="40"/>
      <c r="X147" s="33"/>
      <c r="Y147" s="40"/>
      <c r="Z147" s="34"/>
      <c r="AA147" s="37"/>
    </row>
    <row r="148" spans="2:27" x14ac:dyDescent="0.2">
      <c r="B148" s="1"/>
      <c r="G148" s="1"/>
      <c r="H148" s="39"/>
      <c r="I148" s="43"/>
      <c r="J148" s="4"/>
      <c r="K148" s="3"/>
      <c r="L148" s="3"/>
      <c r="R148" s="4"/>
      <c r="S148" s="4"/>
      <c r="T148" s="33"/>
      <c r="U148" s="40"/>
      <c r="V148" s="34"/>
      <c r="W148" s="40"/>
      <c r="X148" s="33"/>
      <c r="Y148" s="40"/>
      <c r="Z148" s="34"/>
      <c r="AA148" s="37"/>
    </row>
    <row r="149" spans="2:27" x14ac:dyDescent="0.2">
      <c r="B149" s="1"/>
      <c r="G149" s="1"/>
      <c r="H149" s="39"/>
      <c r="I149" s="43"/>
      <c r="J149" s="4"/>
      <c r="K149" s="3"/>
      <c r="L149" s="3"/>
      <c r="R149" s="4"/>
      <c r="S149" s="4"/>
      <c r="T149" s="33"/>
      <c r="U149" s="40"/>
      <c r="V149" s="34"/>
      <c r="W149" s="40"/>
      <c r="X149" s="33"/>
      <c r="Y149" s="40"/>
      <c r="Z149" s="34"/>
      <c r="AA149" s="37"/>
    </row>
    <row r="150" spans="2:27" x14ac:dyDescent="0.2">
      <c r="B150" s="1"/>
      <c r="G150" s="1"/>
      <c r="H150" s="39"/>
      <c r="I150" s="43"/>
      <c r="J150" s="4"/>
      <c r="K150" s="3"/>
      <c r="L150" s="3"/>
      <c r="R150" s="4"/>
      <c r="S150" s="4"/>
      <c r="T150" s="33"/>
      <c r="U150" s="40"/>
      <c r="V150" s="34"/>
      <c r="W150" s="40"/>
      <c r="X150" s="33"/>
      <c r="Y150" s="40"/>
      <c r="Z150" s="34"/>
      <c r="AA150" s="37"/>
    </row>
    <row r="151" spans="2:27" x14ac:dyDescent="0.2">
      <c r="B151" s="1"/>
      <c r="G151" s="1"/>
      <c r="H151" s="39"/>
      <c r="I151" s="43"/>
      <c r="J151" s="4"/>
      <c r="K151" s="3"/>
      <c r="L151" s="3"/>
      <c r="R151" s="4"/>
      <c r="S151" s="4"/>
      <c r="T151" s="33"/>
      <c r="U151" s="40"/>
      <c r="V151" s="34"/>
      <c r="W151" s="40"/>
      <c r="X151" s="33"/>
      <c r="Y151" s="40"/>
      <c r="Z151" s="34"/>
      <c r="AA151" s="37"/>
    </row>
    <row r="152" spans="2:27" x14ac:dyDescent="0.2">
      <c r="B152" s="1"/>
      <c r="G152" s="1"/>
      <c r="H152" s="39"/>
      <c r="I152" s="43"/>
      <c r="J152" s="4"/>
      <c r="K152" s="3"/>
      <c r="L152" s="3"/>
      <c r="R152" s="4"/>
      <c r="S152" s="4"/>
      <c r="T152" s="33"/>
      <c r="U152" s="40"/>
      <c r="V152" s="34"/>
      <c r="W152" s="40"/>
      <c r="X152" s="33"/>
      <c r="Y152" s="40"/>
      <c r="Z152" s="34"/>
      <c r="AA152" s="37"/>
    </row>
    <row r="153" spans="2:27" x14ac:dyDescent="0.2">
      <c r="B153" s="1"/>
      <c r="G153" s="1"/>
      <c r="H153" s="39"/>
      <c r="I153" s="43"/>
      <c r="J153" s="4"/>
      <c r="K153" s="3"/>
      <c r="L153" s="3"/>
      <c r="R153" s="4"/>
      <c r="S153" s="4"/>
      <c r="T153" s="33"/>
      <c r="U153" s="40"/>
      <c r="V153" s="34"/>
      <c r="W153" s="40"/>
      <c r="X153" s="33"/>
      <c r="Y153" s="40"/>
      <c r="Z153" s="34"/>
      <c r="AA153" s="37"/>
    </row>
    <row r="154" spans="2:27" x14ac:dyDescent="0.2">
      <c r="B154" s="1"/>
      <c r="G154" s="1"/>
      <c r="H154" s="39"/>
      <c r="I154" s="43"/>
      <c r="J154" s="4"/>
      <c r="K154" s="3"/>
      <c r="L154" s="3"/>
      <c r="R154" s="4"/>
      <c r="S154" s="4"/>
      <c r="T154" s="33"/>
      <c r="U154" s="40"/>
      <c r="V154" s="34"/>
      <c r="W154" s="40"/>
      <c r="X154" s="33"/>
      <c r="Y154" s="40"/>
      <c r="Z154" s="34"/>
      <c r="AA154" s="37"/>
    </row>
    <row r="155" spans="2:27" x14ac:dyDescent="0.2">
      <c r="B155" s="1"/>
      <c r="G155" s="1"/>
      <c r="H155" s="39"/>
      <c r="I155" s="43"/>
      <c r="J155" s="4"/>
      <c r="K155" s="3"/>
      <c r="L155" s="3"/>
      <c r="R155" s="4"/>
      <c r="S155" s="4"/>
      <c r="T155" s="33"/>
      <c r="U155" s="40"/>
      <c r="V155" s="34"/>
      <c r="W155" s="40"/>
      <c r="X155" s="33"/>
      <c r="Y155" s="40"/>
      <c r="Z155" s="34"/>
      <c r="AA155" s="37"/>
    </row>
    <row r="156" spans="2:27" x14ac:dyDescent="0.2">
      <c r="B156" s="1"/>
      <c r="G156" s="1"/>
      <c r="H156" s="39"/>
      <c r="I156" s="43"/>
      <c r="J156" s="4"/>
      <c r="K156" s="3"/>
      <c r="L156" s="3"/>
      <c r="R156" s="4"/>
      <c r="S156" s="4"/>
      <c r="T156" s="33"/>
      <c r="U156" s="40"/>
      <c r="V156" s="34"/>
      <c r="W156" s="40"/>
      <c r="X156" s="33"/>
      <c r="Y156" s="40"/>
      <c r="Z156" s="34"/>
      <c r="AA156" s="37"/>
    </row>
    <row r="157" spans="2:27" x14ac:dyDescent="0.2">
      <c r="B157" s="1"/>
      <c r="G157" s="1"/>
      <c r="H157" s="39"/>
      <c r="I157" s="43"/>
      <c r="J157" s="4"/>
      <c r="K157" s="3"/>
      <c r="L157" s="3"/>
      <c r="R157" s="4"/>
      <c r="S157" s="4"/>
      <c r="T157" s="33"/>
      <c r="U157" s="40"/>
      <c r="V157" s="34"/>
      <c r="W157" s="40"/>
      <c r="X157" s="33"/>
      <c r="Y157" s="40"/>
      <c r="Z157" s="34"/>
      <c r="AA157" s="37"/>
    </row>
    <row r="158" spans="2:27" x14ac:dyDescent="0.2">
      <c r="B158" s="1"/>
      <c r="G158" s="1"/>
      <c r="H158" s="39"/>
      <c r="I158" s="43"/>
      <c r="J158" s="4"/>
      <c r="K158" s="3"/>
      <c r="L158" s="3"/>
      <c r="R158" s="4"/>
      <c r="S158" s="4"/>
      <c r="T158" s="33"/>
      <c r="U158" s="40"/>
      <c r="V158" s="34"/>
      <c r="W158" s="40"/>
      <c r="X158" s="33"/>
      <c r="Y158" s="40"/>
      <c r="Z158" s="34"/>
      <c r="AA158" s="37"/>
    </row>
    <row r="159" spans="2:27" x14ac:dyDescent="0.2">
      <c r="B159" s="1"/>
      <c r="G159" s="1"/>
      <c r="H159" s="39"/>
      <c r="I159" s="43"/>
      <c r="J159" s="4"/>
      <c r="K159" s="3"/>
      <c r="L159" s="3"/>
      <c r="R159" s="4"/>
      <c r="S159" s="4"/>
      <c r="T159" s="33"/>
      <c r="U159" s="40"/>
      <c r="V159" s="34"/>
      <c r="W159" s="40"/>
      <c r="X159" s="33"/>
      <c r="Y159" s="40"/>
      <c r="Z159" s="34"/>
      <c r="AA159" s="37"/>
    </row>
    <row r="160" spans="2:27" x14ac:dyDescent="0.2">
      <c r="B160" s="1"/>
      <c r="G160" s="1"/>
      <c r="H160" s="39"/>
      <c r="I160" s="43"/>
      <c r="J160" s="4"/>
      <c r="K160" s="3"/>
      <c r="L160" s="3"/>
      <c r="R160" s="4"/>
      <c r="S160" s="4"/>
      <c r="T160" s="33"/>
      <c r="U160" s="40"/>
      <c r="V160" s="34"/>
      <c r="W160" s="40"/>
      <c r="X160" s="33"/>
      <c r="Y160" s="40"/>
      <c r="Z160" s="34"/>
      <c r="AA160" s="37"/>
    </row>
    <row r="161" spans="2:27" x14ac:dyDescent="0.2">
      <c r="B161" s="1"/>
      <c r="G161" s="1"/>
      <c r="H161" s="39"/>
      <c r="I161" s="43"/>
      <c r="J161" s="4"/>
      <c r="K161" s="3"/>
      <c r="L161" s="3"/>
      <c r="R161" s="4"/>
      <c r="S161" s="4"/>
      <c r="T161" s="33"/>
      <c r="U161" s="40"/>
      <c r="V161" s="34"/>
      <c r="W161" s="40"/>
      <c r="X161" s="33"/>
      <c r="Y161" s="40"/>
      <c r="Z161" s="34"/>
      <c r="AA161" s="37"/>
    </row>
    <row r="162" spans="2:27" x14ac:dyDescent="0.2">
      <c r="B162" s="1"/>
      <c r="G162" s="1"/>
      <c r="H162" s="39"/>
      <c r="I162" s="43"/>
      <c r="J162" s="4"/>
      <c r="K162" s="3"/>
      <c r="L162" s="3"/>
      <c r="R162" s="4"/>
      <c r="S162" s="4"/>
      <c r="T162" s="33"/>
      <c r="U162" s="40"/>
      <c r="V162" s="34"/>
      <c r="W162" s="40"/>
      <c r="X162" s="33"/>
      <c r="Y162" s="40"/>
      <c r="Z162" s="34"/>
      <c r="AA162" s="37"/>
    </row>
    <row r="163" spans="2:27" x14ac:dyDescent="0.2">
      <c r="B163" s="1"/>
      <c r="G163" s="1"/>
      <c r="H163" s="39"/>
      <c r="I163" s="43"/>
      <c r="J163" s="4"/>
      <c r="K163" s="3"/>
      <c r="L163" s="3"/>
      <c r="R163" s="4"/>
      <c r="S163" s="4"/>
      <c r="T163" s="33"/>
      <c r="U163" s="40"/>
      <c r="V163" s="34"/>
      <c r="W163" s="40"/>
      <c r="X163" s="33"/>
      <c r="Y163" s="40"/>
      <c r="Z163" s="34"/>
      <c r="AA163" s="37"/>
    </row>
    <row r="164" spans="2:27" x14ac:dyDescent="0.2">
      <c r="B164" s="1"/>
      <c r="G164" s="1"/>
      <c r="H164" s="39"/>
      <c r="I164" s="43"/>
      <c r="J164" s="4"/>
      <c r="K164" s="3"/>
      <c r="L164" s="3"/>
      <c r="R164" s="4"/>
      <c r="S164" s="4"/>
      <c r="T164" s="33"/>
      <c r="U164" s="40"/>
      <c r="V164" s="34"/>
      <c r="W164" s="40"/>
      <c r="X164" s="33"/>
      <c r="Y164" s="40"/>
      <c r="Z164" s="34"/>
      <c r="AA164" s="37"/>
    </row>
    <row r="165" spans="2:27" x14ac:dyDescent="0.2">
      <c r="B165" s="1"/>
      <c r="G165" s="1"/>
      <c r="H165" s="39"/>
      <c r="I165" s="43"/>
      <c r="J165" s="4"/>
      <c r="K165" s="3"/>
      <c r="L165" s="3"/>
      <c r="R165" s="4"/>
      <c r="S165" s="4"/>
      <c r="T165" s="33"/>
      <c r="U165" s="40"/>
      <c r="V165" s="34"/>
      <c r="W165" s="40"/>
      <c r="X165" s="33"/>
      <c r="Y165" s="40"/>
      <c r="Z165" s="34"/>
      <c r="AA165" s="37"/>
    </row>
    <row r="166" spans="2:27" x14ac:dyDescent="0.2">
      <c r="B166" s="1"/>
      <c r="G166" s="1"/>
      <c r="H166" s="39"/>
      <c r="I166" s="43"/>
      <c r="J166" s="4"/>
      <c r="K166" s="3"/>
      <c r="L166" s="3"/>
      <c r="R166" s="4"/>
      <c r="S166" s="4"/>
      <c r="T166" s="33"/>
      <c r="U166" s="40"/>
      <c r="V166" s="34"/>
      <c r="W166" s="40"/>
      <c r="X166" s="33"/>
      <c r="Y166" s="40"/>
      <c r="Z166" s="34"/>
      <c r="AA166" s="37"/>
    </row>
    <row r="167" spans="2:27" x14ac:dyDescent="0.2">
      <c r="B167" s="1"/>
      <c r="G167" s="1"/>
      <c r="H167" s="39"/>
      <c r="I167" s="43"/>
      <c r="J167" s="4"/>
      <c r="K167" s="3"/>
      <c r="L167" s="3"/>
      <c r="R167" s="4"/>
      <c r="S167" s="4"/>
      <c r="T167" s="33"/>
      <c r="U167" s="40"/>
      <c r="V167" s="34"/>
      <c r="W167" s="40"/>
      <c r="X167" s="33"/>
      <c r="Y167" s="40"/>
      <c r="Z167" s="34"/>
      <c r="AA167" s="37"/>
    </row>
    <row r="168" spans="2:27" x14ac:dyDescent="0.2">
      <c r="B168" s="1"/>
      <c r="G168" s="1"/>
      <c r="H168" s="39"/>
      <c r="I168" s="43"/>
      <c r="J168" s="4"/>
      <c r="K168" s="3"/>
      <c r="L168" s="3"/>
      <c r="R168" s="4"/>
      <c r="S168" s="4"/>
      <c r="T168" s="33"/>
      <c r="U168" s="40"/>
      <c r="V168" s="34"/>
      <c r="W168" s="40"/>
      <c r="X168" s="33"/>
      <c r="Y168" s="40"/>
      <c r="Z168" s="34"/>
      <c r="AA168" s="37"/>
    </row>
    <row r="169" spans="2:27" x14ac:dyDescent="0.2">
      <c r="B169" s="1"/>
      <c r="G169" s="1"/>
      <c r="H169" s="39"/>
      <c r="I169" s="43"/>
      <c r="J169" s="4"/>
      <c r="K169" s="3"/>
      <c r="L169" s="3"/>
      <c r="R169" s="4"/>
      <c r="S169" s="4"/>
      <c r="T169" s="33"/>
      <c r="U169" s="40"/>
      <c r="V169" s="34"/>
      <c r="W169" s="40"/>
      <c r="X169" s="33"/>
      <c r="Y169" s="40"/>
      <c r="Z169" s="34"/>
      <c r="AA169" s="37"/>
    </row>
    <row r="170" spans="2:27" x14ac:dyDescent="0.2">
      <c r="B170" s="1"/>
      <c r="G170" s="1"/>
      <c r="H170" s="39"/>
      <c r="I170" s="43"/>
      <c r="J170" s="4"/>
      <c r="K170" s="3"/>
      <c r="L170" s="3"/>
      <c r="R170" s="4"/>
      <c r="S170" s="4"/>
      <c r="T170" s="33"/>
      <c r="U170" s="40"/>
      <c r="V170" s="34"/>
      <c r="W170" s="40"/>
      <c r="X170" s="33"/>
      <c r="Y170" s="40"/>
      <c r="Z170" s="34"/>
      <c r="AA170" s="37"/>
    </row>
    <row r="171" spans="2:27" x14ac:dyDescent="0.2">
      <c r="B171" s="1"/>
      <c r="G171" s="1"/>
      <c r="H171" s="39"/>
      <c r="I171" s="43"/>
      <c r="J171" s="4"/>
      <c r="K171" s="3"/>
      <c r="L171" s="3"/>
      <c r="R171" s="4"/>
      <c r="S171" s="4"/>
      <c r="T171" s="33"/>
      <c r="U171" s="40"/>
      <c r="V171" s="34"/>
      <c r="W171" s="40"/>
      <c r="X171" s="33"/>
      <c r="Y171" s="40"/>
      <c r="Z171" s="34"/>
      <c r="AA171" s="37"/>
    </row>
    <row r="172" spans="2:27" x14ac:dyDescent="0.2">
      <c r="B172" s="1"/>
      <c r="G172" s="1"/>
      <c r="H172" s="39"/>
      <c r="I172" s="43"/>
      <c r="J172" s="4"/>
      <c r="K172" s="3"/>
      <c r="L172" s="3"/>
      <c r="R172" s="4"/>
      <c r="S172" s="4"/>
      <c r="T172" s="33"/>
      <c r="U172" s="40"/>
      <c r="V172" s="34"/>
      <c r="W172" s="40"/>
      <c r="X172" s="33"/>
      <c r="Y172" s="40"/>
      <c r="Z172" s="34"/>
      <c r="AA172" s="37"/>
    </row>
    <row r="173" spans="2:27" x14ac:dyDescent="0.2">
      <c r="B173" s="1"/>
      <c r="G173" s="1"/>
      <c r="H173" s="39"/>
      <c r="I173" s="43"/>
      <c r="J173" s="4"/>
      <c r="K173" s="3"/>
      <c r="L173" s="3"/>
      <c r="R173" s="4"/>
      <c r="S173" s="4"/>
      <c r="T173" s="33"/>
      <c r="U173" s="40"/>
      <c r="V173" s="34"/>
      <c r="W173" s="40"/>
      <c r="X173" s="33"/>
      <c r="Y173" s="40"/>
      <c r="Z173" s="34"/>
      <c r="AA173" s="37"/>
    </row>
    <row r="174" spans="2:27" x14ac:dyDescent="0.2">
      <c r="B174" s="1"/>
      <c r="G174" s="1"/>
      <c r="H174" s="39"/>
      <c r="I174" s="43"/>
      <c r="J174" s="4"/>
      <c r="K174" s="3"/>
      <c r="L174" s="3"/>
      <c r="R174" s="4"/>
      <c r="S174" s="4"/>
      <c r="T174" s="33"/>
      <c r="U174" s="40"/>
      <c r="V174" s="34"/>
      <c r="W174" s="40"/>
      <c r="X174" s="33"/>
      <c r="Y174" s="40"/>
      <c r="Z174" s="34"/>
      <c r="AA174" s="37"/>
    </row>
    <row r="175" spans="2:27" x14ac:dyDescent="0.2">
      <c r="B175" s="1"/>
      <c r="G175" s="1"/>
      <c r="H175" s="39"/>
      <c r="I175" s="43"/>
      <c r="J175" s="4"/>
      <c r="K175" s="3"/>
      <c r="L175" s="3"/>
      <c r="R175" s="4"/>
      <c r="S175" s="4"/>
      <c r="T175" s="33"/>
      <c r="U175" s="40"/>
      <c r="V175" s="34"/>
      <c r="W175" s="40"/>
      <c r="X175" s="33"/>
      <c r="Y175" s="40"/>
      <c r="Z175" s="34"/>
      <c r="AA175" s="37"/>
    </row>
    <row r="176" spans="2:27" x14ac:dyDescent="0.2">
      <c r="B176" s="1"/>
      <c r="G176" s="1"/>
      <c r="H176" s="39"/>
      <c r="I176" s="43"/>
      <c r="J176" s="4"/>
      <c r="K176" s="3"/>
      <c r="L176" s="3"/>
      <c r="R176" s="4"/>
      <c r="S176" s="4"/>
      <c r="T176" s="33"/>
      <c r="U176" s="40"/>
      <c r="V176" s="34"/>
      <c r="W176" s="40"/>
      <c r="X176" s="33"/>
      <c r="Y176" s="40"/>
      <c r="Z176" s="34"/>
      <c r="AA176" s="37"/>
    </row>
    <row r="177" spans="2:27" x14ac:dyDescent="0.2">
      <c r="B177" s="1"/>
      <c r="G177" s="1"/>
      <c r="H177" s="39"/>
      <c r="I177" s="43"/>
      <c r="J177" s="4"/>
      <c r="K177" s="3"/>
      <c r="L177" s="3"/>
      <c r="R177" s="4"/>
      <c r="S177" s="4"/>
      <c r="T177" s="33"/>
      <c r="U177" s="40"/>
      <c r="V177" s="34"/>
      <c r="W177" s="40"/>
      <c r="X177" s="33"/>
      <c r="Y177" s="40"/>
      <c r="Z177" s="34"/>
      <c r="AA177" s="37"/>
    </row>
    <row r="178" spans="2:27" x14ac:dyDescent="0.2">
      <c r="B178" s="1"/>
      <c r="G178" s="1"/>
      <c r="H178" s="39"/>
      <c r="I178" s="43"/>
      <c r="J178" s="4"/>
      <c r="K178" s="3"/>
      <c r="L178" s="3"/>
      <c r="R178" s="4"/>
      <c r="S178" s="4"/>
      <c r="T178" s="33"/>
      <c r="U178" s="40"/>
      <c r="V178" s="34"/>
      <c r="W178" s="40"/>
      <c r="X178" s="33"/>
      <c r="Y178" s="40"/>
      <c r="Z178" s="34"/>
      <c r="AA178" s="37"/>
    </row>
    <row r="179" spans="2:27" x14ac:dyDescent="0.2">
      <c r="B179" s="1"/>
      <c r="G179" s="1"/>
      <c r="H179" s="39"/>
      <c r="I179" s="43"/>
      <c r="J179" s="4"/>
      <c r="K179" s="3"/>
      <c r="L179" s="3"/>
      <c r="R179" s="4"/>
      <c r="S179" s="4"/>
      <c r="T179" s="33"/>
      <c r="U179" s="40"/>
      <c r="V179" s="34"/>
      <c r="W179" s="40"/>
      <c r="X179" s="33"/>
      <c r="Y179" s="40"/>
      <c r="Z179" s="34"/>
      <c r="AA179" s="37"/>
    </row>
    <row r="180" spans="2:27" x14ac:dyDescent="0.2">
      <c r="B180" s="1"/>
      <c r="G180" s="1"/>
      <c r="H180" s="39"/>
      <c r="I180" s="43"/>
      <c r="J180" s="4"/>
      <c r="K180" s="3"/>
      <c r="L180" s="3"/>
      <c r="R180" s="4"/>
      <c r="S180" s="4"/>
      <c r="T180" s="33"/>
      <c r="U180" s="40"/>
      <c r="V180" s="34"/>
      <c r="W180" s="40"/>
      <c r="X180" s="33"/>
      <c r="Y180" s="40"/>
      <c r="Z180" s="34"/>
      <c r="AA180" s="37"/>
    </row>
    <row r="181" spans="2:27" x14ac:dyDescent="0.2">
      <c r="B181" s="1"/>
      <c r="G181" s="1"/>
      <c r="H181" s="39"/>
      <c r="I181" s="43"/>
      <c r="J181" s="4"/>
      <c r="K181" s="3"/>
      <c r="L181" s="3"/>
      <c r="R181" s="4"/>
      <c r="S181" s="4"/>
      <c r="T181" s="33"/>
      <c r="U181" s="40"/>
      <c r="V181" s="34"/>
      <c r="W181" s="40"/>
      <c r="X181" s="33"/>
      <c r="Y181" s="40"/>
      <c r="Z181" s="34"/>
      <c r="AA181" s="37"/>
    </row>
    <row r="182" spans="2:27" x14ac:dyDescent="0.2">
      <c r="B182" s="1"/>
      <c r="G182" s="1"/>
      <c r="H182" s="39"/>
      <c r="I182" s="43"/>
      <c r="J182" s="4"/>
      <c r="K182" s="3"/>
      <c r="L182" s="3"/>
      <c r="R182" s="4"/>
      <c r="S182" s="4"/>
      <c r="T182" s="33"/>
      <c r="U182" s="40"/>
      <c r="V182" s="34"/>
      <c r="W182" s="40"/>
      <c r="X182" s="33"/>
      <c r="Y182" s="40"/>
      <c r="Z182" s="34"/>
      <c r="AA182" s="37"/>
    </row>
    <row r="183" spans="2:27" x14ac:dyDescent="0.2">
      <c r="B183" s="1"/>
      <c r="G183" s="1"/>
      <c r="H183" s="39"/>
      <c r="I183" s="43"/>
      <c r="J183" s="4"/>
      <c r="K183" s="3"/>
      <c r="L183" s="3"/>
      <c r="R183" s="4"/>
      <c r="S183" s="4"/>
      <c r="T183" s="33"/>
      <c r="U183" s="40"/>
      <c r="V183" s="34"/>
      <c r="W183" s="40"/>
      <c r="X183" s="33"/>
      <c r="Y183" s="40"/>
      <c r="Z183" s="34"/>
      <c r="AA183" s="37"/>
    </row>
    <row r="184" spans="2:27" x14ac:dyDescent="0.2">
      <c r="B184" s="1"/>
      <c r="G184" s="1"/>
      <c r="H184" s="39"/>
      <c r="I184" s="43"/>
      <c r="J184" s="4"/>
      <c r="K184" s="3"/>
      <c r="L184" s="3"/>
      <c r="R184" s="4"/>
      <c r="S184" s="4"/>
      <c r="T184" s="33"/>
      <c r="U184" s="40"/>
      <c r="V184" s="34"/>
      <c r="W184" s="40"/>
      <c r="X184" s="33"/>
      <c r="Y184" s="40"/>
      <c r="Z184" s="34"/>
      <c r="AA184" s="37"/>
    </row>
    <row r="185" spans="2:27" x14ac:dyDescent="0.2">
      <c r="B185" s="1"/>
      <c r="G185" s="1"/>
      <c r="H185" s="39"/>
      <c r="I185" s="43"/>
      <c r="J185" s="4"/>
      <c r="K185" s="3"/>
      <c r="L185" s="3"/>
      <c r="R185" s="4"/>
      <c r="S185" s="4"/>
      <c r="T185" s="33"/>
      <c r="U185" s="40"/>
      <c r="V185" s="34"/>
      <c r="W185" s="40"/>
      <c r="X185" s="33"/>
      <c r="Y185" s="40"/>
      <c r="Z185" s="34"/>
      <c r="AA185" s="37"/>
    </row>
    <row r="186" spans="2:27" x14ac:dyDescent="0.2">
      <c r="B186" s="1"/>
      <c r="G186" s="1"/>
      <c r="H186" s="39"/>
      <c r="I186" s="43"/>
      <c r="J186" s="4"/>
      <c r="K186" s="3"/>
      <c r="L186" s="3"/>
      <c r="R186" s="4"/>
      <c r="S186" s="4"/>
      <c r="T186" s="33"/>
      <c r="U186" s="40"/>
      <c r="V186" s="34"/>
      <c r="W186" s="40"/>
      <c r="X186" s="33"/>
      <c r="Y186" s="40"/>
      <c r="Z186" s="34"/>
      <c r="AA186" s="37"/>
    </row>
    <row r="187" spans="2:27" x14ac:dyDescent="0.2">
      <c r="B187" s="1"/>
      <c r="G187" s="1"/>
      <c r="H187" s="39"/>
      <c r="I187" s="43"/>
      <c r="J187" s="4"/>
      <c r="K187" s="3"/>
      <c r="L187" s="3"/>
      <c r="R187" s="4"/>
      <c r="S187" s="4"/>
      <c r="T187" s="33"/>
      <c r="U187" s="40"/>
      <c r="V187" s="34"/>
      <c r="W187" s="40"/>
      <c r="X187" s="33"/>
      <c r="Y187" s="40"/>
      <c r="Z187" s="34"/>
      <c r="AA187" s="37"/>
    </row>
    <row r="188" spans="2:27" x14ac:dyDescent="0.2">
      <c r="B188" s="1"/>
      <c r="G188" s="1"/>
      <c r="H188" s="39"/>
      <c r="I188" s="43"/>
      <c r="J188" s="4"/>
      <c r="K188" s="3"/>
      <c r="L188" s="3"/>
      <c r="R188" s="4"/>
      <c r="S188" s="4"/>
      <c r="T188" s="33"/>
      <c r="U188" s="40"/>
      <c r="V188" s="34"/>
      <c r="W188" s="40"/>
      <c r="X188" s="33"/>
      <c r="Y188" s="40"/>
      <c r="Z188" s="34"/>
      <c r="AA188" s="37"/>
    </row>
    <row r="189" spans="2:27" x14ac:dyDescent="0.2">
      <c r="B189" s="1"/>
      <c r="G189" s="1"/>
      <c r="H189" s="39"/>
      <c r="I189" s="43"/>
      <c r="J189" s="4"/>
      <c r="K189" s="3"/>
      <c r="L189" s="3"/>
      <c r="R189" s="4"/>
      <c r="S189" s="4"/>
      <c r="T189" s="33"/>
      <c r="U189" s="40"/>
      <c r="V189" s="34"/>
      <c r="W189" s="40"/>
      <c r="X189" s="33"/>
      <c r="Y189" s="40"/>
      <c r="Z189" s="34"/>
      <c r="AA189" s="37"/>
    </row>
    <row r="190" spans="2:27" x14ac:dyDescent="0.2">
      <c r="B190" s="1"/>
      <c r="G190" s="1"/>
      <c r="H190" s="39"/>
      <c r="I190" s="43"/>
      <c r="J190" s="4"/>
      <c r="K190" s="3"/>
      <c r="L190" s="3"/>
      <c r="R190" s="4"/>
      <c r="S190" s="4"/>
      <c r="T190" s="33"/>
      <c r="U190" s="40"/>
      <c r="V190" s="34"/>
      <c r="W190" s="40"/>
      <c r="X190" s="33"/>
      <c r="Y190" s="40"/>
      <c r="Z190" s="34"/>
      <c r="AA190" s="37"/>
    </row>
    <row r="191" spans="2:27" x14ac:dyDescent="0.2">
      <c r="B191" s="1"/>
      <c r="G191" s="1"/>
      <c r="H191" s="39"/>
      <c r="I191" s="43"/>
      <c r="J191" s="4"/>
      <c r="K191" s="3"/>
      <c r="L191" s="3"/>
      <c r="R191" s="4"/>
      <c r="S191" s="4"/>
      <c r="T191" s="33"/>
      <c r="U191" s="40"/>
      <c r="V191" s="34"/>
      <c r="W191" s="40"/>
      <c r="X191" s="33"/>
      <c r="Y191" s="40"/>
      <c r="Z191" s="34"/>
      <c r="AA191" s="37"/>
    </row>
    <row r="192" spans="2:27" x14ac:dyDescent="0.2">
      <c r="B192" s="1"/>
      <c r="G192" s="1"/>
      <c r="H192" s="39"/>
      <c r="I192" s="43"/>
      <c r="J192" s="4"/>
      <c r="K192" s="3"/>
      <c r="L192" s="3"/>
      <c r="R192" s="4"/>
      <c r="S192" s="4"/>
      <c r="T192" s="33"/>
      <c r="U192" s="40"/>
      <c r="V192" s="34"/>
      <c r="W192" s="40"/>
      <c r="X192" s="33"/>
      <c r="Y192" s="40"/>
      <c r="Z192" s="34"/>
      <c r="AA192" s="37"/>
    </row>
    <row r="193" spans="2:27" x14ac:dyDescent="0.2">
      <c r="B193" s="1"/>
      <c r="G193" s="1"/>
      <c r="H193" s="39"/>
      <c r="I193" s="43"/>
      <c r="J193" s="4"/>
      <c r="K193" s="3"/>
      <c r="L193" s="3"/>
      <c r="R193" s="4"/>
      <c r="S193" s="4"/>
      <c r="T193" s="33"/>
      <c r="U193" s="40"/>
      <c r="V193" s="34"/>
      <c r="W193" s="40"/>
      <c r="X193" s="33"/>
      <c r="Y193" s="40"/>
      <c r="Z193" s="34"/>
      <c r="AA193" s="37"/>
    </row>
    <row r="194" spans="2:27" x14ac:dyDescent="0.2">
      <c r="B194" s="1"/>
      <c r="G194" s="1"/>
      <c r="H194" s="39"/>
      <c r="I194" s="43"/>
      <c r="J194" s="4"/>
      <c r="K194" s="3"/>
      <c r="L194" s="3"/>
      <c r="R194" s="4"/>
      <c r="S194" s="4"/>
      <c r="T194" s="33"/>
      <c r="U194" s="40"/>
      <c r="V194" s="34"/>
      <c r="W194" s="40"/>
      <c r="X194" s="33"/>
      <c r="Y194" s="40"/>
      <c r="Z194" s="34"/>
      <c r="AA194" s="37"/>
    </row>
    <row r="195" spans="2:27" x14ac:dyDescent="0.2">
      <c r="B195" s="1"/>
      <c r="G195" s="1"/>
      <c r="H195" s="39"/>
      <c r="I195" s="43"/>
      <c r="J195" s="4"/>
      <c r="K195" s="3"/>
      <c r="L195" s="3"/>
      <c r="R195" s="4"/>
      <c r="S195" s="4"/>
      <c r="T195" s="33"/>
      <c r="U195" s="40"/>
      <c r="V195" s="34"/>
      <c r="W195" s="40"/>
      <c r="X195" s="33"/>
      <c r="Y195" s="40"/>
      <c r="Z195" s="34"/>
      <c r="AA195" s="37"/>
    </row>
    <row r="196" spans="2:27" x14ac:dyDescent="0.2">
      <c r="B196" s="1"/>
      <c r="G196" s="1"/>
      <c r="H196" s="39"/>
      <c r="I196" s="43"/>
      <c r="J196" s="4"/>
      <c r="K196" s="3"/>
      <c r="L196" s="3"/>
      <c r="R196" s="4"/>
      <c r="S196" s="4"/>
      <c r="T196" s="33"/>
      <c r="U196" s="40"/>
      <c r="V196" s="34"/>
      <c r="W196" s="40"/>
      <c r="X196" s="33"/>
      <c r="Y196" s="40"/>
      <c r="Z196" s="34"/>
      <c r="AA196" s="37"/>
    </row>
    <row r="197" spans="2:27" x14ac:dyDescent="0.2">
      <c r="B197" s="1"/>
      <c r="G197" s="1"/>
      <c r="H197" s="39"/>
      <c r="I197" s="43"/>
      <c r="J197" s="4"/>
      <c r="K197" s="3"/>
      <c r="L197" s="3"/>
      <c r="R197" s="4"/>
      <c r="S197" s="4"/>
      <c r="T197" s="33"/>
      <c r="U197" s="40"/>
      <c r="V197" s="34"/>
      <c r="W197" s="40"/>
      <c r="X197" s="33"/>
      <c r="Y197" s="40"/>
      <c r="Z197" s="34"/>
      <c r="AA197" s="37"/>
    </row>
    <row r="198" spans="2:27" x14ac:dyDescent="0.2">
      <c r="B198" s="1"/>
      <c r="G198" s="1"/>
      <c r="H198" s="39"/>
      <c r="I198" s="43"/>
      <c r="J198" s="4"/>
      <c r="K198" s="3"/>
      <c r="L198" s="3"/>
      <c r="R198" s="4"/>
      <c r="S198" s="4"/>
      <c r="T198" s="33"/>
      <c r="U198" s="40"/>
      <c r="V198" s="34"/>
      <c r="W198" s="40"/>
      <c r="X198" s="33"/>
      <c r="Y198" s="40"/>
      <c r="Z198" s="34"/>
      <c r="AA198" s="37"/>
    </row>
    <row r="199" spans="2:27" x14ac:dyDescent="0.2">
      <c r="B199" s="1"/>
      <c r="G199" s="1"/>
      <c r="H199" s="39"/>
      <c r="I199" s="43"/>
      <c r="J199" s="4"/>
      <c r="K199" s="3"/>
      <c r="L199" s="3"/>
      <c r="R199" s="4"/>
      <c r="S199" s="4"/>
      <c r="T199" s="33"/>
      <c r="U199" s="40"/>
      <c r="V199" s="34"/>
      <c r="W199" s="40"/>
      <c r="X199" s="33"/>
      <c r="Y199" s="40"/>
      <c r="Z199" s="34"/>
      <c r="AA199" s="37"/>
    </row>
    <row r="200" spans="2:27" x14ac:dyDescent="0.2">
      <c r="B200" s="1"/>
      <c r="G200" s="1"/>
      <c r="H200" s="39"/>
      <c r="I200" s="43"/>
      <c r="J200" s="4"/>
      <c r="K200" s="3"/>
      <c r="L200" s="3"/>
      <c r="R200" s="4"/>
      <c r="S200" s="4"/>
      <c r="T200" s="33"/>
      <c r="U200" s="40"/>
      <c r="V200" s="34"/>
      <c r="W200" s="40"/>
      <c r="X200" s="33"/>
      <c r="Y200" s="40"/>
      <c r="Z200" s="34"/>
      <c r="AA200" s="37"/>
    </row>
    <row r="201" spans="2:27" x14ac:dyDescent="0.2">
      <c r="B201" s="1"/>
      <c r="G201" s="1"/>
      <c r="H201" s="39"/>
      <c r="I201" s="43"/>
      <c r="J201" s="4"/>
      <c r="K201" s="3"/>
      <c r="L201" s="3"/>
      <c r="R201" s="4"/>
      <c r="S201" s="4"/>
      <c r="T201" s="33"/>
      <c r="U201" s="40"/>
      <c r="V201" s="34"/>
      <c r="W201" s="40"/>
      <c r="X201" s="33"/>
      <c r="Y201" s="40"/>
      <c r="Z201" s="34"/>
      <c r="AA201" s="37"/>
    </row>
    <row r="202" spans="2:27" x14ac:dyDescent="0.2">
      <c r="B202" s="1"/>
      <c r="G202" s="1"/>
      <c r="H202" s="39"/>
      <c r="I202" s="43"/>
      <c r="J202" s="4"/>
      <c r="K202" s="3"/>
      <c r="L202" s="3"/>
      <c r="R202" s="4"/>
      <c r="S202" s="4"/>
      <c r="T202" s="33"/>
      <c r="U202" s="40"/>
      <c r="V202" s="34"/>
      <c r="W202" s="40"/>
      <c r="X202" s="33"/>
      <c r="Y202" s="40"/>
      <c r="Z202" s="34"/>
      <c r="AA202" s="37"/>
    </row>
    <row r="203" spans="2:27" x14ac:dyDescent="0.2">
      <c r="B203" s="1"/>
      <c r="G203" s="1"/>
      <c r="H203" s="39"/>
      <c r="I203" s="43"/>
      <c r="J203" s="4"/>
      <c r="K203" s="3"/>
      <c r="L203" s="3"/>
      <c r="R203" s="4"/>
      <c r="S203" s="4"/>
      <c r="T203" s="33"/>
      <c r="U203" s="40"/>
      <c r="V203" s="34"/>
      <c r="W203" s="40"/>
      <c r="X203" s="33"/>
      <c r="Y203" s="40"/>
      <c r="Z203" s="34"/>
      <c r="AA203" s="37"/>
    </row>
    <row r="204" spans="2:27" x14ac:dyDescent="0.2">
      <c r="B204" s="1"/>
      <c r="G204" s="1"/>
      <c r="H204" s="39"/>
      <c r="I204" s="43"/>
      <c r="J204" s="4"/>
      <c r="K204" s="3"/>
      <c r="L204" s="3"/>
      <c r="R204" s="4"/>
      <c r="S204" s="4"/>
      <c r="T204" s="33"/>
      <c r="U204" s="40"/>
      <c r="V204" s="34"/>
      <c r="W204" s="40"/>
      <c r="X204" s="33"/>
      <c r="Y204" s="40"/>
      <c r="Z204" s="34"/>
      <c r="AA204" s="37"/>
    </row>
    <row r="205" spans="2:27" x14ac:dyDescent="0.2">
      <c r="B205" s="1"/>
      <c r="G205" s="1"/>
      <c r="H205" s="39"/>
      <c r="I205" s="43"/>
      <c r="J205" s="4"/>
      <c r="K205" s="3"/>
      <c r="L205" s="3"/>
      <c r="R205" s="4"/>
      <c r="S205" s="4"/>
      <c r="T205" s="33"/>
      <c r="U205" s="40"/>
      <c r="V205" s="34"/>
      <c r="W205" s="40"/>
      <c r="X205" s="33"/>
      <c r="Y205" s="40"/>
      <c r="Z205" s="34"/>
      <c r="AA205" s="37"/>
    </row>
    <row r="206" spans="2:27" x14ac:dyDescent="0.2">
      <c r="B206" s="1"/>
      <c r="G206" s="1"/>
      <c r="H206" s="39"/>
      <c r="I206" s="43"/>
      <c r="J206" s="4"/>
      <c r="K206" s="3"/>
      <c r="L206" s="3"/>
      <c r="R206" s="4"/>
      <c r="S206" s="4"/>
      <c r="T206" s="33"/>
      <c r="U206" s="40"/>
      <c r="V206" s="34"/>
      <c r="W206" s="40"/>
      <c r="X206" s="33"/>
      <c r="Y206" s="40"/>
      <c r="Z206" s="34"/>
      <c r="AA206" s="37"/>
    </row>
    <row r="207" spans="2:27" x14ac:dyDescent="0.2">
      <c r="B207" s="1"/>
      <c r="G207" s="1"/>
      <c r="H207" s="39"/>
      <c r="I207" s="43"/>
      <c r="J207" s="4"/>
      <c r="K207" s="3"/>
      <c r="L207" s="3"/>
      <c r="R207" s="4"/>
      <c r="S207" s="4"/>
      <c r="T207" s="33"/>
      <c r="U207" s="40"/>
      <c r="V207" s="34"/>
      <c r="W207" s="40"/>
      <c r="X207" s="33"/>
      <c r="Y207" s="40"/>
      <c r="Z207" s="34"/>
      <c r="AA207" s="37"/>
    </row>
    <row r="208" spans="2:27" x14ac:dyDescent="0.2">
      <c r="B208" s="1"/>
      <c r="G208" s="1"/>
      <c r="H208" s="39"/>
      <c r="I208" s="43"/>
      <c r="J208" s="4"/>
      <c r="K208" s="3"/>
      <c r="L208" s="3"/>
      <c r="R208" s="4"/>
      <c r="S208" s="4"/>
      <c r="T208" s="33"/>
      <c r="U208" s="40"/>
      <c r="V208" s="34"/>
      <c r="W208" s="40"/>
      <c r="X208" s="33"/>
      <c r="Y208" s="40"/>
      <c r="Z208" s="34"/>
      <c r="AA208" s="37"/>
    </row>
    <row r="209" spans="2:27" x14ac:dyDescent="0.2">
      <c r="B209" s="1"/>
      <c r="G209" s="1"/>
      <c r="H209" s="39"/>
      <c r="I209" s="43"/>
      <c r="J209" s="4"/>
      <c r="K209" s="3"/>
      <c r="L209" s="3"/>
      <c r="R209" s="4"/>
      <c r="S209" s="4"/>
      <c r="T209" s="33"/>
      <c r="U209" s="40"/>
      <c r="V209" s="34"/>
      <c r="W209" s="40"/>
      <c r="X209" s="33"/>
      <c r="Y209" s="40"/>
      <c r="Z209" s="34"/>
      <c r="AA209" s="37"/>
    </row>
    <row r="210" spans="2:27" x14ac:dyDescent="0.2">
      <c r="B210" s="1"/>
      <c r="G210" s="1"/>
      <c r="H210" s="39"/>
      <c r="I210" s="43"/>
      <c r="J210" s="4"/>
      <c r="K210" s="3"/>
      <c r="L210" s="3"/>
      <c r="R210" s="4"/>
      <c r="S210" s="4"/>
      <c r="T210" s="33"/>
      <c r="U210" s="40"/>
      <c r="V210" s="34"/>
      <c r="W210" s="40"/>
      <c r="X210" s="33"/>
      <c r="Y210" s="40"/>
      <c r="Z210" s="34"/>
      <c r="AA210" s="37"/>
    </row>
    <row r="211" spans="2:27" x14ac:dyDescent="0.2">
      <c r="B211" s="1"/>
      <c r="G211" s="1"/>
      <c r="H211" s="39"/>
      <c r="I211" s="43"/>
      <c r="J211" s="4"/>
      <c r="K211" s="3"/>
      <c r="L211" s="3"/>
      <c r="R211" s="4"/>
      <c r="S211" s="4"/>
      <c r="T211" s="33"/>
      <c r="U211" s="40"/>
      <c r="V211" s="34"/>
      <c r="W211" s="40"/>
      <c r="X211" s="33"/>
      <c r="Y211" s="40"/>
      <c r="Z211" s="34"/>
      <c r="AA211" s="37"/>
    </row>
    <row r="212" spans="2:27" x14ac:dyDescent="0.2">
      <c r="B212" s="1"/>
      <c r="G212" s="1"/>
      <c r="H212" s="39"/>
      <c r="I212" s="43"/>
      <c r="J212" s="4"/>
      <c r="K212" s="3"/>
      <c r="L212" s="3"/>
      <c r="R212" s="4"/>
      <c r="S212" s="4"/>
      <c r="T212" s="33"/>
      <c r="U212" s="40"/>
      <c r="V212" s="34"/>
      <c r="W212" s="40"/>
      <c r="X212" s="33"/>
      <c r="Y212" s="40"/>
      <c r="Z212" s="34"/>
      <c r="AA212" s="37"/>
    </row>
    <row r="213" spans="2:27" x14ac:dyDescent="0.2">
      <c r="B213" s="1"/>
      <c r="G213" s="1"/>
      <c r="H213" s="39"/>
      <c r="I213" s="43"/>
      <c r="J213" s="4"/>
      <c r="K213" s="3"/>
      <c r="L213" s="3"/>
      <c r="R213" s="4"/>
      <c r="S213" s="4"/>
      <c r="T213" s="33"/>
      <c r="U213" s="40"/>
      <c r="V213" s="34"/>
      <c r="W213" s="40"/>
      <c r="X213" s="33"/>
      <c r="Y213" s="40"/>
      <c r="Z213" s="34"/>
      <c r="AA213" s="37"/>
    </row>
    <row r="214" spans="2:27" x14ac:dyDescent="0.2">
      <c r="B214" s="1"/>
      <c r="G214" s="1"/>
      <c r="H214" s="39"/>
      <c r="I214" s="43"/>
      <c r="J214" s="4"/>
      <c r="K214" s="3"/>
      <c r="L214" s="3"/>
      <c r="R214" s="4"/>
      <c r="S214" s="4"/>
      <c r="T214" s="33"/>
      <c r="U214" s="40"/>
      <c r="V214" s="34"/>
      <c r="W214" s="40"/>
      <c r="X214" s="33"/>
      <c r="Y214" s="40"/>
      <c r="Z214" s="34"/>
      <c r="AA214" s="37"/>
    </row>
    <row r="215" spans="2:27" x14ac:dyDescent="0.2">
      <c r="B215" s="1"/>
      <c r="G215" s="1"/>
      <c r="H215" s="39"/>
      <c r="I215" s="43"/>
      <c r="J215" s="4"/>
      <c r="K215" s="3"/>
      <c r="L215" s="3"/>
      <c r="R215" s="4"/>
      <c r="S215" s="4"/>
      <c r="T215" s="33"/>
      <c r="U215" s="40"/>
      <c r="V215" s="34"/>
      <c r="W215" s="40"/>
      <c r="X215" s="33"/>
      <c r="Y215" s="40"/>
      <c r="Z215" s="34"/>
      <c r="AA215" s="37"/>
    </row>
    <row r="216" spans="2:27" x14ac:dyDescent="0.2">
      <c r="B216" s="1"/>
      <c r="G216" s="1"/>
      <c r="H216" s="39"/>
      <c r="I216" s="43"/>
      <c r="J216" s="4"/>
      <c r="K216" s="3"/>
      <c r="L216" s="3"/>
      <c r="R216" s="4"/>
      <c r="S216" s="4"/>
      <c r="T216" s="33"/>
      <c r="U216" s="40"/>
      <c r="V216" s="34"/>
      <c r="W216" s="40"/>
      <c r="X216" s="33"/>
      <c r="Y216" s="40"/>
      <c r="Z216" s="34"/>
      <c r="AA216" s="37"/>
    </row>
    <row r="217" spans="2:27" x14ac:dyDescent="0.2">
      <c r="B217" s="1"/>
      <c r="G217" s="1"/>
      <c r="H217" s="39"/>
      <c r="I217" s="43"/>
      <c r="J217" s="4"/>
      <c r="K217" s="3"/>
      <c r="L217" s="3"/>
      <c r="R217" s="4"/>
      <c r="S217" s="4"/>
      <c r="T217" s="33"/>
      <c r="U217" s="40"/>
      <c r="V217" s="34"/>
      <c r="W217" s="40"/>
      <c r="X217" s="33"/>
      <c r="Y217" s="40"/>
      <c r="Z217" s="34"/>
      <c r="AA217" s="37"/>
    </row>
    <row r="218" spans="2:27" x14ac:dyDescent="0.2">
      <c r="B218" s="1"/>
      <c r="G218" s="1"/>
      <c r="H218" s="39"/>
      <c r="I218" s="43"/>
      <c r="J218" s="4"/>
      <c r="K218" s="3"/>
      <c r="L218" s="3"/>
      <c r="R218" s="4"/>
      <c r="S218" s="4"/>
      <c r="T218" s="33"/>
      <c r="U218" s="40"/>
      <c r="V218" s="34"/>
      <c r="W218" s="40"/>
      <c r="X218" s="33"/>
      <c r="Y218" s="40"/>
      <c r="Z218" s="34"/>
      <c r="AA218" s="37"/>
    </row>
    <row r="219" spans="2:27" x14ac:dyDescent="0.2">
      <c r="B219" s="1"/>
      <c r="G219" s="1"/>
      <c r="H219" s="39"/>
      <c r="I219" s="43"/>
      <c r="J219" s="4"/>
      <c r="K219" s="3"/>
      <c r="L219" s="3"/>
      <c r="R219" s="4"/>
      <c r="S219" s="4"/>
      <c r="T219" s="33"/>
      <c r="U219" s="40"/>
      <c r="V219" s="34"/>
      <c r="W219" s="40"/>
      <c r="X219" s="33"/>
      <c r="Y219" s="40"/>
      <c r="Z219" s="34"/>
      <c r="AA219" s="37"/>
    </row>
    <row r="220" spans="2:27" x14ac:dyDescent="0.2">
      <c r="B220" s="1"/>
      <c r="G220" s="1"/>
      <c r="H220" s="39"/>
      <c r="I220" s="43"/>
      <c r="J220" s="4"/>
      <c r="K220" s="3"/>
      <c r="L220" s="3"/>
      <c r="R220" s="4"/>
      <c r="S220" s="4"/>
      <c r="T220" s="33"/>
      <c r="U220" s="40"/>
      <c r="V220" s="34"/>
      <c r="W220" s="40"/>
      <c r="X220" s="33"/>
      <c r="Y220" s="40"/>
      <c r="Z220" s="34"/>
      <c r="AA220" s="37"/>
    </row>
    <row r="221" spans="2:27" x14ac:dyDescent="0.2">
      <c r="B221" s="1"/>
      <c r="G221" s="1"/>
      <c r="H221" s="39"/>
      <c r="I221" s="43"/>
      <c r="J221" s="4"/>
      <c r="K221" s="3"/>
      <c r="L221" s="3"/>
      <c r="R221" s="4"/>
      <c r="S221" s="4"/>
      <c r="T221" s="33"/>
      <c r="U221" s="40"/>
      <c r="V221" s="34"/>
      <c r="W221" s="40"/>
      <c r="X221" s="33"/>
      <c r="Y221" s="40"/>
      <c r="Z221" s="34"/>
      <c r="AA221" s="37"/>
    </row>
    <row r="222" spans="2:27" x14ac:dyDescent="0.2">
      <c r="B222" s="1"/>
      <c r="G222" s="1"/>
      <c r="H222" s="39"/>
      <c r="I222" s="43"/>
      <c r="J222" s="4"/>
      <c r="K222" s="3"/>
      <c r="L222" s="3"/>
      <c r="R222" s="4"/>
      <c r="S222" s="4"/>
      <c r="T222" s="33"/>
      <c r="U222" s="40"/>
      <c r="V222" s="34"/>
      <c r="W222" s="40"/>
      <c r="X222" s="33"/>
      <c r="Y222" s="40"/>
      <c r="Z222" s="34"/>
      <c r="AA222" s="37"/>
    </row>
    <row r="223" spans="2:27" x14ac:dyDescent="0.2">
      <c r="B223" s="1"/>
      <c r="G223" s="1"/>
      <c r="H223" s="39"/>
      <c r="I223" s="43"/>
      <c r="J223" s="4"/>
      <c r="K223" s="3"/>
      <c r="L223" s="3"/>
      <c r="R223" s="4"/>
      <c r="S223" s="4"/>
      <c r="T223" s="33"/>
      <c r="U223" s="40"/>
      <c r="V223" s="34"/>
      <c r="W223" s="40"/>
      <c r="X223" s="33"/>
      <c r="Y223" s="40"/>
      <c r="Z223" s="34"/>
      <c r="AA223" s="37"/>
    </row>
    <row r="224" spans="2:27" x14ac:dyDescent="0.2">
      <c r="B224" s="1"/>
      <c r="G224" s="1"/>
      <c r="H224" s="39"/>
      <c r="I224" s="43"/>
      <c r="J224" s="4"/>
      <c r="K224" s="3"/>
      <c r="L224" s="3"/>
      <c r="R224" s="4"/>
      <c r="S224" s="4"/>
      <c r="T224" s="33"/>
      <c r="U224" s="40"/>
      <c r="V224" s="34"/>
      <c r="W224" s="40"/>
      <c r="X224" s="33"/>
      <c r="Y224" s="40"/>
      <c r="Z224" s="34"/>
      <c r="AA224" s="37"/>
    </row>
    <row r="225" spans="2:27" x14ac:dyDescent="0.2">
      <c r="B225" s="1"/>
      <c r="G225" s="1"/>
      <c r="H225" s="39"/>
      <c r="I225" s="43"/>
      <c r="J225" s="4"/>
      <c r="K225" s="3"/>
      <c r="L225" s="3"/>
      <c r="R225" s="4"/>
      <c r="S225" s="4"/>
      <c r="T225" s="33"/>
      <c r="U225" s="40"/>
      <c r="V225" s="34"/>
      <c r="W225" s="40"/>
      <c r="X225" s="33"/>
      <c r="Y225" s="40"/>
      <c r="Z225" s="34"/>
      <c r="AA225" s="37"/>
    </row>
    <row r="226" spans="2:27" x14ac:dyDescent="0.2">
      <c r="B226" s="1"/>
      <c r="G226" s="1"/>
      <c r="H226" s="39"/>
      <c r="I226" s="43"/>
      <c r="J226" s="4"/>
      <c r="K226" s="3"/>
      <c r="L226" s="3"/>
      <c r="R226" s="4"/>
      <c r="S226" s="4"/>
      <c r="T226" s="33"/>
      <c r="U226" s="40"/>
      <c r="V226" s="34"/>
      <c r="W226" s="40"/>
      <c r="X226" s="33"/>
      <c r="Y226" s="40"/>
      <c r="Z226" s="34"/>
      <c r="AA226" s="37"/>
    </row>
    <row r="227" spans="2:27" x14ac:dyDescent="0.2">
      <c r="B227" s="1"/>
      <c r="G227" s="1"/>
      <c r="H227" s="39"/>
      <c r="I227" s="43"/>
      <c r="J227" s="4"/>
      <c r="K227" s="3"/>
      <c r="L227" s="3"/>
      <c r="R227" s="4"/>
      <c r="S227" s="4"/>
      <c r="T227" s="33"/>
      <c r="U227" s="40"/>
      <c r="V227" s="34"/>
      <c r="W227" s="40"/>
      <c r="X227" s="33"/>
      <c r="Y227" s="40"/>
      <c r="Z227" s="34"/>
      <c r="AA227" s="37"/>
    </row>
    <row r="228" spans="2:27" x14ac:dyDescent="0.2">
      <c r="B228" s="1"/>
      <c r="G228" s="1"/>
      <c r="H228" s="39"/>
      <c r="I228" s="43"/>
      <c r="J228" s="4"/>
      <c r="K228" s="3"/>
      <c r="L228" s="3"/>
      <c r="R228" s="4"/>
      <c r="S228" s="4"/>
      <c r="T228" s="33"/>
      <c r="U228" s="40"/>
      <c r="V228" s="34"/>
      <c r="W228" s="40"/>
      <c r="X228" s="33"/>
      <c r="Y228" s="40"/>
      <c r="Z228" s="34"/>
      <c r="AA228" s="37"/>
    </row>
    <row r="229" spans="2:27" x14ac:dyDescent="0.2">
      <c r="B229" s="1"/>
      <c r="G229" s="1"/>
      <c r="H229" s="39"/>
      <c r="I229" s="43"/>
      <c r="J229" s="4"/>
      <c r="K229" s="3"/>
      <c r="L229" s="3"/>
      <c r="R229" s="4"/>
      <c r="S229" s="4"/>
      <c r="T229" s="33"/>
      <c r="U229" s="40"/>
      <c r="V229" s="34"/>
      <c r="W229" s="40"/>
      <c r="X229" s="33"/>
      <c r="Y229" s="40"/>
      <c r="Z229" s="34"/>
      <c r="AA229" s="37"/>
    </row>
    <row r="230" spans="2:27" x14ac:dyDescent="0.2">
      <c r="B230" s="1"/>
      <c r="G230" s="1"/>
      <c r="H230" s="39"/>
      <c r="I230" s="43"/>
      <c r="J230" s="4"/>
      <c r="K230" s="3"/>
      <c r="L230" s="3"/>
      <c r="R230" s="4"/>
      <c r="S230" s="4"/>
      <c r="T230" s="33"/>
      <c r="U230" s="40"/>
      <c r="V230" s="34"/>
      <c r="W230" s="40"/>
      <c r="X230" s="33"/>
      <c r="Y230" s="40"/>
      <c r="Z230" s="34"/>
      <c r="AA230" s="37"/>
    </row>
    <row r="231" spans="2:27" x14ac:dyDescent="0.2">
      <c r="B231" s="1"/>
      <c r="G231" s="1"/>
      <c r="H231" s="39"/>
      <c r="I231" s="43"/>
      <c r="J231" s="4"/>
      <c r="K231" s="3"/>
      <c r="L231" s="3"/>
      <c r="R231" s="4"/>
      <c r="S231" s="4"/>
      <c r="T231" s="33"/>
      <c r="U231" s="40"/>
      <c r="V231" s="34"/>
      <c r="W231" s="40"/>
      <c r="X231" s="33"/>
      <c r="Y231" s="40"/>
      <c r="Z231" s="34"/>
      <c r="AA231" s="37"/>
    </row>
    <row r="232" spans="2:27" x14ac:dyDescent="0.2">
      <c r="B232" s="1"/>
      <c r="G232" s="1"/>
      <c r="H232" s="39"/>
      <c r="I232" s="43"/>
      <c r="J232" s="4"/>
      <c r="K232" s="3"/>
      <c r="L232" s="3"/>
      <c r="R232" s="4"/>
      <c r="S232" s="4"/>
      <c r="T232" s="33"/>
      <c r="U232" s="40"/>
      <c r="V232" s="34"/>
      <c r="W232" s="40"/>
      <c r="X232" s="33"/>
      <c r="Y232" s="40"/>
      <c r="Z232" s="34"/>
      <c r="AA232" s="37"/>
    </row>
    <row r="233" spans="2:27" x14ac:dyDescent="0.2">
      <c r="B233" s="1"/>
      <c r="G233" s="1"/>
      <c r="H233" s="39"/>
      <c r="I233" s="43"/>
      <c r="J233" s="4"/>
      <c r="K233" s="3"/>
      <c r="L233" s="3"/>
      <c r="R233" s="4"/>
      <c r="S233" s="4"/>
      <c r="T233" s="33"/>
      <c r="U233" s="40"/>
      <c r="V233" s="34"/>
      <c r="W233" s="40"/>
      <c r="X233" s="33"/>
      <c r="Y233" s="40"/>
      <c r="Z233" s="34"/>
      <c r="AA233" s="37"/>
    </row>
    <row r="234" spans="2:27" x14ac:dyDescent="0.2">
      <c r="B234" s="1"/>
      <c r="G234" s="1"/>
      <c r="H234" s="39"/>
      <c r="I234" s="43"/>
      <c r="J234" s="4"/>
      <c r="K234" s="3"/>
      <c r="L234" s="3"/>
      <c r="R234" s="4"/>
      <c r="S234" s="4"/>
      <c r="T234" s="33"/>
      <c r="U234" s="40"/>
      <c r="V234" s="34"/>
      <c r="W234" s="40"/>
      <c r="X234" s="33"/>
      <c r="Y234" s="40"/>
      <c r="Z234" s="34"/>
      <c r="AA234" s="37"/>
    </row>
    <row r="235" spans="2:27" x14ac:dyDescent="0.2">
      <c r="B235" s="1"/>
      <c r="G235" s="1"/>
      <c r="H235" s="39"/>
      <c r="I235" s="43"/>
      <c r="J235" s="4"/>
      <c r="K235" s="3"/>
      <c r="L235" s="3"/>
      <c r="R235" s="4"/>
      <c r="S235" s="4"/>
      <c r="T235" s="33"/>
      <c r="U235" s="40"/>
      <c r="V235" s="34"/>
      <c r="W235" s="40"/>
      <c r="X235" s="33"/>
      <c r="Y235" s="40"/>
      <c r="Z235" s="34"/>
      <c r="AA235" s="37"/>
    </row>
    <row r="236" spans="2:27" x14ac:dyDescent="0.2">
      <c r="B236" s="1"/>
      <c r="G236" s="1"/>
      <c r="H236" s="39"/>
      <c r="I236" s="43"/>
      <c r="J236" s="4"/>
      <c r="K236" s="3"/>
      <c r="L236" s="3"/>
      <c r="R236" s="4"/>
      <c r="S236" s="4"/>
      <c r="T236" s="33"/>
      <c r="U236" s="40"/>
      <c r="V236" s="34"/>
      <c r="W236" s="40"/>
      <c r="X236" s="33"/>
      <c r="Y236" s="40"/>
      <c r="Z236" s="34"/>
      <c r="AA236" s="37"/>
    </row>
    <row r="237" spans="2:27" x14ac:dyDescent="0.2">
      <c r="B237" s="1"/>
      <c r="G237" s="1"/>
      <c r="H237" s="39"/>
      <c r="I237" s="43"/>
      <c r="J237" s="4"/>
      <c r="K237" s="3"/>
      <c r="L237" s="3"/>
      <c r="R237" s="4"/>
      <c r="S237" s="4"/>
      <c r="T237" s="33"/>
      <c r="U237" s="40"/>
      <c r="V237" s="34"/>
      <c r="W237" s="40"/>
      <c r="X237" s="33"/>
      <c r="Y237" s="40"/>
      <c r="Z237" s="34"/>
      <c r="AA237" s="37"/>
    </row>
    <row r="238" spans="2:27" x14ac:dyDescent="0.2">
      <c r="B238" s="1"/>
      <c r="G238" s="1"/>
      <c r="H238" s="39"/>
      <c r="I238" s="43"/>
      <c r="J238" s="4"/>
      <c r="K238" s="3"/>
      <c r="L238" s="3"/>
      <c r="R238" s="4"/>
      <c r="S238" s="4"/>
      <c r="T238" s="33"/>
      <c r="U238" s="40"/>
      <c r="V238" s="34"/>
      <c r="W238" s="40"/>
      <c r="X238" s="33"/>
      <c r="Y238" s="40"/>
      <c r="Z238" s="34"/>
      <c r="AA238" s="37"/>
    </row>
    <row r="239" spans="2:27" x14ac:dyDescent="0.2">
      <c r="B239" s="1"/>
      <c r="G239" s="1"/>
      <c r="H239" s="39"/>
      <c r="I239" s="43"/>
      <c r="J239" s="4"/>
      <c r="K239" s="3"/>
      <c r="L239" s="3"/>
      <c r="R239" s="4"/>
      <c r="S239" s="4"/>
      <c r="T239" s="33"/>
      <c r="U239" s="40"/>
      <c r="V239" s="34"/>
      <c r="W239" s="40"/>
      <c r="X239" s="33"/>
      <c r="Y239" s="40"/>
      <c r="Z239" s="34"/>
      <c r="AA239" s="37"/>
    </row>
    <row r="240" spans="2:27" x14ac:dyDescent="0.2">
      <c r="B240" s="1"/>
      <c r="G240" s="1"/>
      <c r="H240" s="39"/>
      <c r="I240" s="43"/>
      <c r="J240" s="4"/>
      <c r="K240" s="3"/>
      <c r="L240" s="3"/>
      <c r="R240" s="4"/>
      <c r="S240" s="4"/>
      <c r="T240" s="33"/>
      <c r="U240" s="40"/>
      <c r="V240" s="34"/>
      <c r="W240" s="40"/>
      <c r="X240" s="33"/>
      <c r="Y240" s="40"/>
      <c r="Z240" s="34"/>
      <c r="AA240" s="37"/>
    </row>
    <row r="241" spans="2:27" x14ac:dyDescent="0.2">
      <c r="B241" s="1"/>
      <c r="G241" s="1"/>
      <c r="H241" s="39"/>
      <c r="I241" s="43"/>
      <c r="J241" s="4"/>
      <c r="K241" s="3"/>
      <c r="L241" s="3"/>
      <c r="R241" s="4"/>
      <c r="S241" s="4"/>
      <c r="T241" s="33"/>
      <c r="U241" s="40"/>
      <c r="V241" s="34"/>
      <c r="W241" s="40"/>
      <c r="X241" s="33"/>
      <c r="Y241" s="40"/>
      <c r="Z241" s="34"/>
      <c r="AA241" s="37"/>
    </row>
    <row r="242" spans="2:27" x14ac:dyDescent="0.2">
      <c r="B242" s="1"/>
      <c r="G242" s="1"/>
      <c r="H242" s="39"/>
      <c r="I242" s="43"/>
      <c r="J242" s="4"/>
      <c r="K242" s="3"/>
      <c r="L242" s="3"/>
      <c r="R242" s="4"/>
      <c r="S242" s="4"/>
      <c r="T242" s="33"/>
      <c r="U242" s="40"/>
      <c r="V242" s="34"/>
      <c r="W242" s="40"/>
      <c r="X242" s="33"/>
      <c r="Y242" s="40"/>
      <c r="Z242" s="34"/>
      <c r="AA242" s="37"/>
    </row>
    <row r="243" spans="2:27" x14ac:dyDescent="0.2">
      <c r="B243" s="1"/>
      <c r="G243" s="1"/>
      <c r="H243" s="39"/>
      <c r="I243" s="43"/>
      <c r="J243" s="4"/>
      <c r="K243" s="3"/>
      <c r="L243" s="3"/>
      <c r="R243" s="4"/>
      <c r="S243" s="4"/>
      <c r="T243" s="33"/>
      <c r="U243" s="40"/>
      <c r="V243" s="34"/>
      <c r="W243" s="40"/>
      <c r="X243" s="33"/>
      <c r="Y243" s="40"/>
      <c r="Z243" s="34"/>
      <c r="AA243" s="37"/>
    </row>
    <row r="244" spans="2:27" x14ac:dyDescent="0.2">
      <c r="B244" s="1"/>
      <c r="G244" s="1"/>
      <c r="H244" s="39"/>
      <c r="I244" s="43"/>
      <c r="J244" s="4"/>
      <c r="K244" s="3"/>
      <c r="L244" s="3"/>
      <c r="R244" s="4"/>
      <c r="S244" s="4"/>
      <c r="T244" s="33"/>
      <c r="U244" s="40"/>
      <c r="V244" s="34"/>
      <c r="W244" s="40"/>
      <c r="X244" s="33"/>
      <c r="Y244" s="40"/>
      <c r="Z244" s="34"/>
      <c r="AA244" s="37"/>
    </row>
    <row r="245" spans="2:27" x14ac:dyDescent="0.2">
      <c r="B245" s="1"/>
      <c r="G245" s="1"/>
      <c r="H245" s="39"/>
      <c r="I245" s="43"/>
      <c r="J245" s="4"/>
      <c r="K245" s="3"/>
      <c r="L245" s="3"/>
      <c r="R245" s="4"/>
      <c r="S245" s="4"/>
      <c r="T245" s="33"/>
      <c r="U245" s="40"/>
      <c r="V245" s="34"/>
      <c r="W245" s="40"/>
      <c r="X245" s="33"/>
      <c r="Y245" s="40"/>
      <c r="Z245" s="34"/>
      <c r="AA245" s="37"/>
    </row>
    <row r="246" spans="2:27" x14ac:dyDescent="0.2">
      <c r="B246" s="1"/>
      <c r="G246" s="1"/>
      <c r="H246" s="39"/>
      <c r="I246" s="43"/>
      <c r="J246" s="4"/>
      <c r="K246" s="3"/>
      <c r="L246" s="3"/>
      <c r="R246" s="4"/>
      <c r="S246" s="4"/>
      <c r="T246" s="33"/>
      <c r="U246" s="40"/>
      <c r="V246" s="34"/>
      <c r="W246" s="40"/>
      <c r="X246" s="33"/>
      <c r="Y246" s="40"/>
      <c r="Z246" s="34"/>
      <c r="AA246" s="37"/>
    </row>
    <row r="247" spans="2:27" x14ac:dyDescent="0.2">
      <c r="B247" s="1"/>
      <c r="G247" s="1"/>
      <c r="H247" s="39"/>
      <c r="I247" s="43"/>
      <c r="J247" s="4"/>
      <c r="K247" s="3"/>
      <c r="L247" s="3"/>
      <c r="R247" s="4"/>
      <c r="S247" s="4"/>
      <c r="T247" s="33"/>
      <c r="U247" s="40"/>
      <c r="V247" s="34"/>
      <c r="W247" s="40"/>
      <c r="X247" s="33"/>
      <c r="Y247" s="40"/>
      <c r="Z247" s="34"/>
      <c r="AA247" s="37"/>
    </row>
    <row r="248" spans="2:27" x14ac:dyDescent="0.2">
      <c r="B248" s="1"/>
      <c r="G248" s="1"/>
      <c r="H248" s="39"/>
      <c r="I248" s="43"/>
      <c r="J248" s="4"/>
      <c r="K248" s="3"/>
      <c r="L248" s="3"/>
      <c r="R248" s="4"/>
      <c r="S248" s="4"/>
      <c r="T248" s="33"/>
      <c r="U248" s="40"/>
      <c r="V248" s="34"/>
      <c r="W248" s="40"/>
      <c r="X248" s="33"/>
      <c r="Y248" s="40"/>
      <c r="Z248" s="34"/>
      <c r="AA248" s="37"/>
    </row>
    <row r="249" spans="2:27" x14ac:dyDescent="0.2">
      <c r="B249" s="1"/>
      <c r="G249" s="1"/>
      <c r="H249" s="39"/>
      <c r="I249" s="43"/>
      <c r="J249" s="4"/>
      <c r="K249" s="3"/>
      <c r="L249" s="3"/>
      <c r="R249" s="4"/>
      <c r="S249" s="4"/>
      <c r="T249" s="33"/>
      <c r="U249" s="40"/>
      <c r="V249" s="34"/>
      <c r="W249" s="40"/>
      <c r="X249" s="33"/>
      <c r="Y249" s="40"/>
      <c r="Z249" s="34"/>
      <c r="AA249" s="37"/>
    </row>
    <row r="250" spans="2:27" x14ac:dyDescent="0.2">
      <c r="B250" s="1"/>
      <c r="G250" s="1"/>
      <c r="H250" s="39"/>
      <c r="I250" s="43"/>
      <c r="J250" s="4"/>
      <c r="K250" s="3"/>
      <c r="L250" s="3"/>
      <c r="R250" s="4"/>
      <c r="S250" s="4"/>
      <c r="T250" s="33"/>
      <c r="U250" s="40"/>
      <c r="V250" s="34"/>
      <c r="W250" s="40"/>
      <c r="X250" s="33"/>
      <c r="Y250" s="40"/>
      <c r="Z250" s="34"/>
      <c r="AA250" s="37"/>
    </row>
    <row r="251" spans="2:27" x14ac:dyDescent="0.2">
      <c r="B251" s="1"/>
      <c r="G251" s="1"/>
      <c r="H251" s="39"/>
      <c r="I251" s="43"/>
      <c r="J251" s="4"/>
      <c r="K251" s="3"/>
      <c r="L251" s="3"/>
      <c r="R251" s="4"/>
      <c r="S251" s="4"/>
      <c r="T251" s="33"/>
      <c r="U251" s="40"/>
      <c r="V251" s="34"/>
      <c r="W251" s="40"/>
      <c r="X251" s="33"/>
      <c r="Y251" s="40"/>
      <c r="Z251" s="34"/>
      <c r="AA251" s="37"/>
    </row>
    <row r="252" spans="2:27" x14ac:dyDescent="0.2">
      <c r="B252" s="1"/>
      <c r="G252" s="1"/>
      <c r="H252" s="39"/>
      <c r="I252" s="43"/>
      <c r="J252" s="4"/>
      <c r="K252" s="3"/>
      <c r="L252" s="3"/>
      <c r="R252" s="4"/>
      <c r="S252" s="4"/>
      <c r="T252" s="33"/>
      <c r="U252" s="40"/>
      <c r="V252" s="34"/>
      <c r="W252" s="40"/>
      <c r="X252" s="33"/>
      <c r="Y252" s="40"/>
      <c r="Z252" s="34"/>
      <c r="AA252" s="37"/>
    </row>
    <row r="253" spans="2:27" x14ac:dyDescent="0.2">
      <c r="B253" s="1"/>
      <c r="G253" s="1"/>
      <c r="H253" s="39"/>
      <c r="I253" s="43"/>
      <c r="J253" s="4"/>
      <c r="K253" s="3"/>
      <c r="L253" s="3"/>
      <c r="R253" s="4"/>
      <c r="S253" s="4"/>
      <c r="T253" s="33"/>
      <c r="U253" s="40"/>
      <c r="V253" s="34"/>
      <c r="W253" s="40"/>
      <c r="X253" s="33"/>
      <c r="Y253" s="40"/>
      <c r="Z253" s="34"/>
      <c r="AA253" s="37"/>
    </row>
    <row r="254" spans="2:27" x14ac:dyDescent="0.2">
      <c r="B254" s="1"/>
      <c r="G254" s="1"/>
      <c r="H254" s="39"/>
      <c r="I254" s="43"/>
      <c r="J254" s="4"/>
      <c r="K254" s="3"/>
      <c r="L254" s="3"/>
      <c r="R254" s="4"/>
      <c r="S254" s="4"/>
      <c r="T254" s="33"/>
      <c r="U254" s="40"/>
      <c r="V254" s="34"/>
      <c r="W254" s="40"/>
      <c r="X254" s="33"/>
      <c r="Y254" s="40"/>
      <c r="Z254" s="34"/>
      <c r="AA254" s="37"/>
    </row>
    <row r="255" spans="2:27" x14ac:dyDescent="0.2">
      <c r="B255" s="1"/>
      <c r="G255" s="1"/>
      <c r="H255" s="39"/>
      <c r="I255" s="43"/>
      <c r="J255" s="4"/>
      <c r="K255" s="3"/>
      <c r="L255" s="3"/>
      <c r="R255" s="4"/>
      <c r="S255" s="4"/>
      <c r="T255" s="33"/>
      <c r="U255" s="40"/>
      <c r="V255" s="34"/>
      <c r="W255" s="40"/>
      <c r="X255" s="33"/>
      <c r="Y255" s="40"/>
      <c r="Z255" s="34"/>
      <c r="AA255" s="37"/>
    </row>
    <row r="256" spans="2:27" x14ac:dyDescent="0.2">
      <c r="B256" s="1"/>
      <c r="G256" s="1"/>
      <c r="H256" s="39"/>
      <c r="I256" s="43"/>
      <c r="J256" s="4"/>
      <c r="K256" s="3"/>
      <c r="L256" s="3"/>
      <c r="R256" s="4"/>
      <c r="S256" s="4"/>
      <c r="T256" s="33"/>
      <c r="U256" s="40"/>
      <c r="V256" s="34"/>
      <c r="W256" s="40"/>
      <c r="X256" s="33"/>
      <c r="Y256" s="40"/>
      <c r="Z256" s="34"/>
      <c r="AA256" s="37"/>
    </row>
    <row r="257" spans="2:27" x14ac:dyDescent="0.2">
      <c r="B257" s="1"/>
      <c r="G257" s="1"/>
      <c r="H257" s="39"/>
      <c r="I257" s="43"/>
      <c r="J257" s="4"/>
      <c r="K257" s="3"/>
      <c r="L257" s="3"/>
      <c r="R257" s="4"/>
      <c r="S257" s="4"/>
      <c r="T257" s="33"/>
      <c r="U257" s="40"/>
      <c r="V257" s="34"/>
      <c r="W257" s="40"/>
      <c r="X257" s="33"/>
      <c r="Y257" s="40"/>
      <c r="Z257" s="34"/>
      <c r="AA257" s="37"/>
    </row>
    <row r="258" spans="2:27" x14ac:dyDescent="0.2">
      <c r="B258" s="1"/>
      <c r="G258" s="1"/>
      <c r="H258" s="39"/>
      <c r="I258" s="43"/>
      <c r="J258" s="4"/>
      <c r="K258" s="3"/>
      <c r="L258" s="3"/>
      <c r="R258" s="4"/>
      <c r="S258" s="4"/>
      <c r="T258" s="33"/>
      <c r="U258" s="40"/>
      <c r="V258" s="34"/>
      <c r="W258" s="40"/>
      <c r="X258" s="33"/>
      <c r="Y258" s="40"/>
      <c r="Z258" s="34"/>
      <c r="AA258" s="37"/>
    </row>
    <row r="259" spans="2:27" x14ac:dyDescent="0.2">
      <c r="B259" s="1"/>
      <c r="G259" s="1"/>
      <c r="H259" s="39"/>
      <c r="I259" s="43"/>
      <c r="J259" s="4"/>
      <c r="K259" s="3"/>
      <c r="L259" s="3"/>
      <c r="R259" s="4"/>
      <c r="S259" s="4"/>
      <c r="T259" s="33"/>
      <c r="U259" s="40"/>
      <c r="V259" s="34"/>
      <c r="W259" s="40"/>
      <c r="X259" s="33"/>
      <c r="Y259" s="40"/>
      <c r="Z259" s="34"/>
      <c r="AA259" s="37"/>
    </row>
    <row r="260" spans="2:27" x14ac:dyDescent="0.2">
      <c r="B260" s="1"/>
      <c r="G260" s="1"/>
      <c r="H260" s="39"/>
      <c r="I260" s="43"/>
      <c r="J260" s="4"/>
      <c r="K260" s="3"/>
      <c r="L260" s="3"/>
      <c r="R260" s="4"/>
      <c r="S260" s="4"/>
      <c r="T260" s="33"/>
      <c r="U260" s="40"/>
      <c r="V260" s="34"/>
      <c r="W260" s="40"/>
      <c r="X260" s="33"/>
      <c r="Y260" s="40"/>
      <c r="Z260" s="34"/>
      <c r="AA260" s="37"/>
    </row>
    <row r="261" spans="2:27" x14ac:dyDescent="0.2">
      <c r="B261" s="1"/>
      <c r="G261" s="1"/>
      <c r="H261" s="39"/>
      <c r="I261" s="43"/>
      <c r="J261" s="4"/>
      <c r="K261" s="3"/>
      <c r="L261" s="3"/>
      <c r="R261" s="4"/>
      <c r="S261" s="4"/>
      <c r="T261" s="33"/>
      <c r="U261" s="40"/>
      <c r="V261" s="34"/>
      <c r="W261" s="40"/>
      <c r="X261" s="33"/>
      <c r="Y261" s="40"/>
      <c r="Z261" s="34"/>
      <c r="AA261" s="37"/>
    </row>
    <row r="262" spans="2:27" x14ac:dyDescent="0.2">
      <c r="B262" s="1"/>
      <c r="G262" s="1"/>
      <c r="H262" s="39"/>
      <c r="I262" s="43"/>
      <c r="J262" s="4"/>
      <c r="K262" s="3"/>
      <c r="L262" s="3"/>
      <c r="R262" s="4"/>
      <c r="S262" s="4"/>
      <c r="T262" s="33"/>
      <c r="U262" s="40"/>
      <c r="V262" s="34"/>
      <c r="W262" s="40"/>
      <c r="X262" s="33"/>
      <c r="Y262" s="40"/>
      <c r="Z262" s="34"/>
      <c r="AA262" s="37"/>
    </row>
    <row r="263" spans="2:27" x14ac:dyDescent="0.2">
      <c r="B263" s="1"/>
      <c r="G263" s="1"/>
      <c r="H263" s="39"/>
      <c r="I263" s="43"/>
      <c r="J263" s="4"/>
      <c r="K263" s="3"/>
      <c r="L263" s="3"/>
      <c r="R263" s="4"/>
      <c r="S263" s="4"/>
      <c r="T263" s="33"/>
      <c r="U263" s="40"/>
      <c r="V263" s="34"/>
      <c r="W263" s="40"/>
      <c r="X263" s="33"/>
      <c r="Y263" s="40"/>
      <c r="Z263" s="34"/>
      <c r="AA263" s="37"/>
    </row>
    <row r="264" spans="2:27" x14ac:dyDescent="0.2">
      <c r="B264" s="1"/>
      <c r="G264" s="1"/>
      <c r="H264" s="39"/>
      <c r="I264" s="43"/>
      <c r="J264" s="4"/>
      <c r="K264" s="3"/>
      <c r="L264" s="3"/>
      <c r="R264" s="4"/>
      <c r="S264" s="4"/>
      <c r="T264" s="33"/>
      <c r="U264" s="40"/>
      <c r="V264" s="34"/>
      <c r="W264" s="40"/>
      <c r="X264" s="33"/>
      <c r="Y264" s="40"/>
      <c r="Z264" s="34"/>
      <c r="AA264" s="37"/>
    </row>
    <row r="265" spans="2:27" x14ac:dyDescent="0.2">
      <c r="B265" s="1"/>
      <c r="G265" s="1"/>
      <c r="H265" s="39"/>
      <c r="I265" s="43"/>
      <c r="J265" s="4"/>
      <c r="K265" s="3"/>
      <c r="L265" s="3"/>
      <c r="R265" s="4"/>
      <c r="S265" s="4"/>
      <c r="T265" s="33"/>
      <c r="U265" s="40"/>
      <c r="V265" s="34"/>
      <c r="W265" s="40"/>
      <c r="X265" s="33"/>
      <c r="Y265" s="40"/>
      <c r="Z265" s="34"/>
      <c r="AA265" s="37"/>
    </row>
    <row r="266" spans="2:27" x14ac:dyDescent="0.2">
      <c r="B266" s="1"/>
      <c r="G266" s="1"/>
      <c r="H266" s="39"/>
      <c r="I266" s="43"/>
      <c r="J266" s="4"/>
      <c r="K266" s="3"/>
      <c r="L266" s="3"/>
      <c r="R266" s="4"/>
      <c r="S266" s="4"/>
      <c r="T266" s="33"/>
      <c r="U266" s="40"/>
      <c r="V266" s="34"/>
      <c r="W266" s="40"/>
      <c r="X266" s="33"/>
      <c r="Y266" s="40"/>
      <c r="Z266" s="34"/>
      <c r="AA266" s="37"/>
    </row>
    <row r="267" spans="2:27" x14ac:dyDescent="0.2">
      <c r="B267" s="1"/>
      <c r="G267" s="1"/>
      <c r="H267" s="39"/>
      <c r="I267" s="43"/>
      <c r="J267" s="4"/>
      <c r="K267" s="3"/>
      <c r="L267" s="3"/>
      <c r="R267" s="4"/>
      <c r="S267" s="4"/>
      <c r="T267" s="33"/>
      <c r="U267" s="40"/>
      <c r="V267" s="34"/>
      <c r="W267" s="40"/>
      <c r="X267" s="33"/>
      <c r="Y267" s="40"/>
      <c r="Z267" s="34"/>
      <c r="AA267" s="37"/>
    </row>
  </sheetData>
  <sheetProtection sheet="1" formatCells="0" formatColumns="0" formatRows="0"/>
  <autoFilter ref="A1:AA2" xr:uid="{79EF5433-B5EB-6740-A07B-8D9F0DC750A7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3:AA104">
      <sortCondition descending="1" ref="G1:G105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</mergeCells>
  <phoneticPr fontId="13" type="noConversion"/>
  <conditionalFormatting sqref="A1:Q2 T1:XFD2 A3:XFD1048576">
    <cfRule type="expression" dxfId="27" priority="25">
      <formula>IF($G1="17-21",1,0)</formula>
    </cfRule>
    <cfRule type="expression" dxfId="26" priority="26">
      <formula>IF($G1="15-16",1,0)</formula>
    </cfRule>
    <cfRule type="expression" dxfId="25" priority="27">
      <formula>IF($G1="13-14",1,0)</formula>
    </cfRule>
    <cfRule type="expression" dxfId="24" priority="28">
      <formula>IF($G1="11-12",1,0)</formula>
    </cfRule>
  </conditionalFormatting>
  <conditionalFormatting sqref="R1:S2">
    <cfRule type="expression" dxfId="23" priority="5">
      <formula>IF($G1="17-21",1,0)</formula>
    </cfRule>
    <cfRule type="expression" dxfId="22" priority="6">
      <formula>IF($G1="15-16",1,0)</formula>
    </cfRule>
    <cfRule type="expression" dxfId="21" priority="7">
      <formula>IF($G1="13-14",1,0)</formula>
    </cfRule>
    <cfRule type="expression" dxfId="20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7F0-85F9-F24E-8BEE-DE9ABCFFCB08}">
  <sheetPr codeName="Sheet13"/>
  <dimension ref="A1:AA64"/>
  <sheetViews>
    <sheetView zoomScaleNormal="100" workbookViewId="0">
      <pane xSplit="5" ySplit="2" topLeftCell="F3" activePane="bottomRight" state="frozen"/>
      <selection activeCell="I47" sqref="I47"/>
      <selection pane="topRight" activeCell="I47" sqref="I47"/>
      <selection pane="bottomLeft" activeCell="I47" sqref="I47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19.6640625" style="36" bestFit="1" customWidth="1"/>
    <col min="4" max="4" width="8.6640625" style="36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ht="16" customHeight="1" x14ac:dyDescent="0.2">
      <c r="A1" s="73" t="s">
        <v>208</v>
      </c>
      <c r="B1" s="73" t="s">
        <v>207</v>
      </c>
      <c r="C1" s="67" t="s">
        <v>0</v>
      </c>
      <c r="D1" s="67" t="s">
        <v>1</v>
      </c>
      <c r="E1" s="69" t="s">
        <v>2</v>
      </c>
      <c r="F1" s="71" t="s">
        <v>4</v>
      </c>
      <c r="G1" s="67" t="s">
        <v>5</v>
      </c>
      <c r="H1" s="67" t="s">
        <v>56</v>
      </c>
      <c r="I1" s="67" t="s">
        <v>42</v>
      </c>
      <c r="J1" s="76" t="s">
        <v>13</v>
      </c>
      <c r="K1" s="67" t="s">
        <v>9</v>
      </c>
      <c r="L1" s="67" t="s">
        <v>10</v>
      </c>
      <c r="M1" s="67" t="s">
        <v>33</v>
      </c>
      <c r="N1" s="67" t="s">
        <v>12</v>
      </c>
      <c r="O1" s="67" t="s">
        <v>49</v>
      </c>
      <c r="P1" s="67" t="s">
        <v>11</v>
      </c>
      <c r="Q1" s="67" t="s">
        <v>206</v>
      </c>
      <c r="R1" s="73" t="s">
        <v>371</v>
      </c>
      <c r="S1" s="67" t="s">
        <v>372</v>
      </c>
      <c r="T1" s="75" t="s">
        <v>44</v>
      </c>
      <c r="U1" s="75"/>
      <c r="V1" s="75"/>
      <c r="W1" s="75"/>
      <c r="X1" s="75" t="s">
        <v>43</v>
      </c>
      <c r="Y1" s="75"/>
      <c r="Z1" s="75"/>
      <c r="AA1" s="75"/>
    </row>
    <row r="2" spans="1:27" s="7" customFormat="1" ht="17" thickBot="1" x14ac:dyDescent="0.25">
      <c r="A2" s="74"/>
      <c r="B2" s="74"/>
      <c r="C2" s="68"/>
      <c r="D2" s="68"/>
      <c r="E2" s="70"/>
      <c r="F2" s="72"/>
      <c r="G2" s="68"/>
      <c r="H2" s="68"/>
      <c r="I2" s="68"/>
      <c r="J2" s="77"/>
      <c r="K2" s="68"/>
      <c r="L2" s="68"/>
      <c r="M2" s="68"/>
      <c r="N2" s="68"/>
      <c r="O2" s="68"/>
      <c r="P2" s="68"/>
      <c r="Q2" s="68"/>
      <c r="R2" s="74"/>
      <c r="S2" s="68"/>
      <c r="T2" s="8" t="s">
        <v>54</v>
      </c>
      <c r="U2" s="7" t="s">
        <v>55</v>
      </c>
      <c r="V2" s="7" t="s">
        <v>6</v>
      </c>
      <c r="W2" s="7" t="s">
        <v>8</v>
      </c>
      <c r="X2" s="8" t="s">
        <v>54</v>
      </c>
      <c r="Y2" s="7" t="s">
        <v>55</v>
      </c>
      <c r="Z2" s="7" t="s">
        <v>6</v>
      </c>
      <c r="AA2" s="7" t="s">
        <v>8</v>
      </c>
    </row>
    <row r="3" spans="1:27" ht="17" thickTop="1" x14ac:dyDescent="0.2">
      <c r="A3" s="1" cm="1">
        <f t="array" ref="A3">IF(I3="","",IF(P3&lt;&gt;"",SUMPRODUCT((P$3:P$50&lt;&gt;"")*(G$3:G$50=G3)*(J$3:J$50&gt;J3)*(I$3:I$50="P"))+1,IF(O3&lt;&gt;"",SUMPRODUCT((O$3:O$50&lt;&gt;"")*(P$3:P$50="")*(G$3:G$50=G3)*(J$3:J$50&gt;J3)*(I$3:I$50="P"))+SUMPRODUCT((P$3:P$50&lt;&gt;"")*(G$3:G$50=G3)*(I$3:I$50="P"))+1,IF(N3&lt;&gt;"",SUMPRODUCT((N$3:N$50&lt;&gt;"")*(G$3:G$50=G3)*(J$3:J$50&gt;J3)*(I$3:I$50="P"))+1,IF(M3="P",SUMPRODUCT((O$3:O$50&lt;&gt;"")*(P$3:P$50="")*(G$3:G$50=G3)*(I$3:I$50="P"))+SUMPRODUCT((P$3:P$50&lt;&gt;"")*(G$3:G$50=G3)*(I$3:I$50="P"))+SUMPRODUCT((N$3:N$50&lt;&gt;"")*(G$3:G$50=G3)*(I$3:I$50="P"))+SUMPRODUCT((P$3:P$50="")*(O$3:O$50="")*(N$3:N$50="")*(M$3:M$50="P")*(G$3:G$50=G3)*(J$3:J$50&gt;J3)*(I$3:I$50="P"))+IF(H3="L5",SUMPRODUCT((P$3:P$50="")*(O$3:O$50="")*(N$3:N$50="")*(M$3:M$50="P")*(G$3:G$50=G3)*(J$3:J$50&lt;J3)*(H$3:H$50&lt;&gt;H3)*(I$3:I$50="P")),-1*SUMPRODUCT((P$3:P$50="")*(O$3:O$50="")*(N$3:N$50="")*(M$3:M$50="P")*(G$3:G$50=G3)*(J$3:J$50&gt;J3)*(H$3:H$50="L5")*(I$3:I$50="P")))+1,"")))))</f>
        <v>1</v>
      </c>
      <c r="B3" s="1" cm="1">
        <f t="array" ref="B3">IF(P3&lt;&gt;"",SUMPRODUCT((P$3:P$50&lt;&gt;"")*(G$3:G$50=G3)*(J$3:J$50&gt;J3))+1,IF(O3&lt;&gt;"",SUMPRODUCT((O$3:O$50&lt;&gt;"")*(P$3:P$50="")*(G$3:G$50=G3)*(J$3:J$50&gt;J3))+SUMPRODUCT((P$3:P$50&lt;&gt;"")*(G$3:G$50=G3))+1,IF(N3&lt;&gt;"",SUMPRODUCT((N$3:N$50&lt;&gt;"")*(G$3:G$50=G3)*(J$3:J$50&gt;J3))+1,IF(M3="P",SUMPRODUCT((O$3:O$50&lt;&gt;"")*(P$3:P$50="")*(G$3:G$50=G3))+SUMPRODUCT((P$3:P$50&lt;&gt;"")*(G$3:G$50=G3))+SUMPRODUCT((N$3:N$50&lt;&gt;"")*(G$3:G$50=G3))+SUMPRODUCT((P$3:P$50="")*(O$3:O$50="")*(N$3:N$50="")*(M$3:M$50="P")*(G$3:G$50=G3)*(J$3:J$50&gt;J3))+IF(H3="L5",SUMPRODUCT((P$3:P$50="")*(O$3:O$50="")*(N$3:N$50="")*(M$3:M$50="P")*(G$3:G$50=G3)*(J$3:J$50&lt;J3)*(H$3:H$50&lt;&gt;H3)),-1*SUMPRODUCT((P$3:P$50="")*(O$3:O$50="")*(N$3:N$50="")*(M$3:M$50="P")*(G$3:G$50=G3)*(J$3:J$50&gt;J3)*(H$3:H$50="L5")))+1,""))))</f>
        <v>3</v>
      </c>
      <c r="C3" s="36" t="s">
        <v>279</v>
      </c>
      <c r="D3" s="36" t="str">
        <f>IF(E3="","",VLOOKUP(E3,'Coaching Points'!A:B,2,0))</f>
        <v>ON</v>
      </c>
      <c r="E3" s="36" t="s">
        <v>162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 t="s">
        <v>567</v>
      </c>
      <c r="J3" s="4">
        <f>R3+S3+IF(OR(H3="Junior",H3="Senior"),0.0002,IF(OR(H3="L7",H3="L6"),0.0001,0))+MAX(X3,Z3)*0.0000001</f>
        <v>93.900204820000013</v>
      </c>
      <c r="K3" s="3" t="str">
        <f>IF(G3="Not Age Eligible","",IF(MAX(T3,V3,X3,Z3)&gt;=LOOKUP(G3,'Qualifying Scores'!$A$4:$A$7,'Qualifying Scores'!$H$4:$H$7),"P",""))</f>
        <v>P</v>
      </c>
      <c r="L3" s="3" t="str">
        <f>IF(G3="Not Age Eligible","",IF(MAX(U3,W3,Y3,AA3)&gt;=LOOKUP(G3,'Qualifying Scores'!$A$10:$A$13,'Qualifying Scores'!$H$10:$H$13),"P",""))</f>
        <v>P</v>
      </c>
      <c r="M3" s="3" t="str">
        <f>IF(G3="Not Age Eligible","",IF(OR(AND(T3&gt;=LOOKUP(G3,'Qualifying Scores'!$A$4:$A$7,'Qualifying Scores'!$H$4:$H$7),U3&gt;=LOOKUP(G3,'Qualifying Scores'!$A$10:$A$13,'Qualifying Scores'!$H$10:$H$13)),AND(X3&gt;=LOOKUP(G3,'Qualifying Scores'!$A$4:$A$7,'Qualifying Scores'!$H$4:$H$7),Y3&gt;=LOOKUP(G3,'Qualifying Scores'!$A$10:$A$13,'Qualifying Scores'!$H$10:$H$13)),AND(V3&gt;=LOOKUP(G3,'Qualifying Scores'!$A$4:$A$7,'Qualifying Scores'!$H$4:$H$7),W3&gt;=LOOKUP(G3,'Qualifying Scores'!$A$10:$A$13,'Qualifying Scores'!$H$10:$H$13)),AND(Z3&gt;=LOOKUP(G3,'Qualifying Scores'!$A$4:$A$7,'Qualifying Scores'!$H$4:$H$7),AA3&gt;=LOOKUP(G3,'Qualifying Scores'!$A$10:$A$13,'Qualifying Scores'!$H$10:$H$13))),"P",""))</f>
        <v>P</v>
      </c>
      <c r="O3" s="39">
        <v>4</v>
      </c>
      <c r="P3" s="39">
        <v>4</v>
      </c>
      <c r="Q3" s="1">
        <f>IF(A3&lt;5,IF(_xlfn.MAXIFS(A:A,G:G,G3)&gt;3,5-A3,_xlfn.MAXIFS(A:A,G:G,G3)+1-A3),"")</f>
        <v>4</v>
      </c>
      <c r="R3" s="4">
        <f>MAX(T3,X3)</f>
        <v>45.7</v>
      </c>
      <c r="S3" s="4">
        <f>IF(R3=T3,MAX(V3,X3,Z3),IF(R3=X3,MAX(T3,V3,Z3),0))</f>
        <v>48.2</v>
      </c>
      <c r="T3" s="33">
        <v>45.7</v>
      </c>
      <c r="U3" s="40">
        <v>11.1</v>
      </c>
      <c r="V3" s="34">
        <v>42.6</v>
      </c>
      <c r="W3" s="40">
        <v>9.1999999999999993</v>
      </c>
      <c r="X3" s="33">
        <v>43</v>
      </c>
      <c r="Y3" s="40">
        <v>10.9</v>
      </c>
      <c r="Z3" s="34">
        <v>48.2</v>
      </c>
      <c r="AA3" s="37">
        <v>12</v>
      </c>
    </row>
    <row r="4" spans="1:27" x14ac:dyDescent="0.2">
      <c r="A4" s="1" cm="1">
        <f t="array" ref="A4">IF(I4="","",IF(P4&lt;&gt;"",SUMPRODUCT((P$3:P$50&lt;&gt;"")*(G$3:G$50=G4)*(J$3:J$50&gt;J4)*(I$3:I$50="P"))+1,IF(O4&lt;&gt;"",SUMPRODUCT((O$3:O$50&lt;&gt;"")*(P$3:P$50="")*(G$3:G$50=G4)*(J$3:J$50&gt;J4)*(I$3:I$50="P"))+SUMPRODUCT((P$3:P$50&lt;&gt;"")*(G$3:G$50=G4)*(I$3:I$50="P"))+1,IF(N4&lt;&gt;"",SUMPRODUCT((N$3:N$50&lt;&gt;"")*(G$3:G$50=G4)*(J$3:J$50&gt;J4)*(I$3:I$50="P"))+1,IF(M4="P",SUMPRODUCT((O$3:O$50&lt;&gt;"")*(P$3:P$50="")*(G$3:G$50=G4)*(I$3:I$50="P"))+SUMPRODUCT((P$3:P$50&lt;&gt;"")*(G$3:G$50=G4)*(I$3:I$50="P"))+SUMPRODUCT((N$3:N$50&lt;&gt;"")*(G$3:G$50=G4)*(I$3:I$50="P"))+SUMPRODUCT((P$3:P$50="")*(O$3:O$50="")*(N$3:N$50="")*(M$3:M$50="P")*(G$3:G$50=G4)*(J$3:J$50&gt;J4)*(I$3:I$50="P"))+IF(H4="L5",SUMPRODUCT((P$3:P$50="")*(O$3:O$50="")*(N$3:N$50="")*(M$3:M$50="P")*(G$3:G$50=G4)*(J$3:J$50&lt;J4)*(H$3:H$50&lt;&gt;H4)*(I$3:I$50="P")),-1*SUMPRODUCT((P$3:P$50="")*(O$3:O$50="")*(N$3:N$50="")*(M$3:M$50="P")*(G$3:G$50=G4)*(J$3:J$50&gt;J4)*(H$3:H$50="L5")*(I$3:I$50="P")))+1,"")))))</f>
        <v>2</v>
      </c>
      <c r="B4" s="1" cm="1">
        <f t="array" ref="B4">IF(P4&lt;&gt;"",SUMPRODUCT((P$3:P$50&lt;&gt;"")*(G$3:G$50=G4)*(J$3:J$50&gt;J4))+1,IF(O4&lt;&gt;"",SUMPRODUCT((O$3:O$50&lt;&gt;"")*(P$3:P$50="")*(G$3:G$50=G4)*(J$3:J$50&gt;J4))+SUMPRODUCT((P$3:P$50&lt;&gt;"")*(G$3:G$50=G4))+1,IF(N4&lt;&gt;"",SUMPRODUCT((N$3:N$50&lt;&gt;"")*(G$3:G$50=G4)*(J$3:J$50&gt;J4))+1,IF(M4="P",SUMPRODUCT((O$3:O$50&lt;&gt;"")*(P$3:P$50="")*(G$3:G$50=G4))+SUMPRODUCT((P$3:P$50&lt;&gt;"")*(G$3:G$50=G4))+SUMPRODUCT((N$3:N$50&lt;&gt;"")*(G$3:G$50=G4))+SUMPRODUCT((P$3:P$50="")*(O$3:O$50="")*(N$3:N$50="")*(M$3:M$50="P")*(G$3:G$50=G4)*(J$3:J$50&gt;J4))+IF(H4="L5",SUMPRODUCT((P$3:P$50="")*(O$3:O$50="")*(N$3:N$50="")*(M$3:M$50="P")*(G$3:G$50=G4)*(J$3:J$50&lt;J4)*(H$3:H$50&lt;&gt;H4)),-1*SUMPRODUCT((P$3:P$50="")*(O$3:O$50="")*(N$3:N$50="")*(M$3:M$50="P")*(G$3:G$50=G4)*(J$3:J$50&gt;J4)*(H$3:H$50="L5")))+1,""))))</f>
        <v>4</v>
      </c>
      <c r="C4" s="36" t="s">
        <v>537</v>
      </c>
      <c r="D4" s="36" t="str">
        <f>IF(E4="","",VLOOKUP(E4,'Coaching Points'!A:B,2,0))</f>
        <v>AB</v>
      </c>
      <c r="E4" s="36" t="s">
        <v>64</v>
      </c>
      <c r="F4" s="35">
        <v>2003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 t="s">
        <v>567</v>
      </c>
      <c r="J4" s="4">
        <f>R4+S4+IF(OR(H4="Junior",H4="Senior"),0.0002,IF(OR(H4="L7",H4="L6"),0.0001,0))+MAX(X4,Z4)*0.0000001</f>
        <v>92.500204660000009</v>
      </c>
      <c r="K4" s="3" t="str">
        <f>IF(G4="Not Age Eligible","",IF(MAX(T4,V4,X4,Z4)&gt;=LOOKUP(G4,'Qualifying Scores'!$A$4:$A$7,'Qualifying Scores'!$H$4:$H$7),"P",""))</f>
        <v>P</v>
      </c>
      <c r="L4" s="3" t="str">
        <f>IF(G4="Not Age Eligible","",IF(MAX(U4,W4,Y4,AA4)&gt;=LOOKUP(G4,'Qualifying Scores'!$A$10:$A$13,'Qualifying Scores'!$H$10:$H$13),"P",""))</f>
        <v>P</v>
      </c>
      <c r="M4" s="3" t="str">
        <f>IF(G4="Not Age Eligible","",IF(OR(AND(T4&gt;=LOOKUP(G4,'Qualifying Scores'!$A$4:$A$7,'Qualifying Scores'!$H$4:$H$7),U4&gt;=LOOKUP(G4,'Qualifying Scores'!$A$10:$A$13,'Qualifying Scores'!$H$10:$H$13)),AND(X4&gt;=LOOKUP(G4,'Qualifying Scores'!$A$4:$A$7,'Qualifying Scores'!$H$4:$H$7),Y4&gt;=LOOKUP(G4,'Qualifying Scores'!$A$10:$A$13,'Qualifying Scores'!$H$10:$H$13)),AND(V4&gt;=LOOKUP(G4,'Qualifying Scores'!$A$4:$A$7,'Qualifying Scores'!$H$4:$H$7),W4&gt;=LOOKUP(G4,'Qualifying Scores'!$A$10:$A$13,'Qualifying Scores'!$H$10:$H$13)),AND(Z4&gt;=LOOKUP(G4,'Qualifying Scores'!$A$4:$A$7,'Qualifying Scores'!$H$4:$H$7),AA4&gt;=LOOKUP(G4,'Qualifying Scores'!$A$10:$A$13,'Qualifying Scores'!$H$10:$H$13))),"P",""))</f>
        <v>P</v>
      </c>
      <c r="P4" s="39">
        <v>5</v>
      </c>
      <c r="Q4" s="1">
        <f>IF(A4&lt;5,IF(_xlfn.MAXIFS(A:A,G:G,G4)&gt;3,5-A4,_xlfn.MAXIFS(A:A,G:G,G4)+1-A4),"")</f>
        <v>3</v>
      </c>
      <c r="R4" s="4">
        <f>MAX(T4,X4)</f>
        <v>45.9</v>
      </c>
      <c r="S4" s="4">
        <f>IF(R4=T4,MAX(V4,X4,Z4),IF(R4=X4,MAX(T4,V4,Z4),0))</f>
        <v>46.6</v>
      </c>
      <c r="T4" s="33"/>
      <c r="U4" s="40"/>
      <c r="V4" s="34"/>
      <c r="W4" s="40"/>
      <c r="X4" s="33">
        <v>45.9</v>
      </c>
      <c r="Y4" s="40">
        <v>11</v>
      </c>
      <c r="Z4" s="34">
        <v>46.6</v>
      </c>
      <c r="AA4" s="37">
        <v>11.6</v>
      </c>
    </row>
    <row r="5" spans="1:27" x14ac:dyDescent="0.2">
      <c r="A5" s="1" cm="1">
        <f t="array" ref="A5">IF(I5="","",IF(P5&lt;&gt;"",SUMPRODUCT((P$3:P$50&lt;&gt;"")*(G$3:G$50=G5)*(J$3:J$50&gt;J5)*(I$3:I$50="P"))+1,IF(O5&lt;&gt;"",SUMPRODUCT((O$3:O$50&lt;&gt;"")*(P$3:P$50="")*(G$3:G$50=G5)*(J$3:J$50&gt;J5)*(I$3:I$50="P"))+SUMPRODUCT((P$3:P$50&lt;&gt;"")*(G$3:G$50=G5)*(I$3:I$50="P"))+1,IF(N5&lt;&gt;"",SUMPRODUCT((N$3:N$50&lt;&gt;"")*(G$3:G$50=G5)*(J$3:J$50&gt;J5)*(I$3:I$50="P"))+1,IF(M5="P",SUMPRODUCT((O$3:O$50&lt;&gt;"")*(P$3:P$50="")*(G$3:G$50=G5)*(I$3:I$50="P"))+SUMPRODUCT((P$3:P$50&lt;&gt;"")*(G$3:G$50=G5)*(I$3:I$50="P"))+SUMPRODUCT((N$3:N$50&lt;&gt;"")*(G$3:G$50=G5)*(I$3:I$50="P"))+SUMPRODUCT((P$3:P$50="")*(O$3:O$50="")*(N$3:N$50="")*(M$3:M$50="P")*(G$3:G$50=G5)*(J$3:J$50&gt;J5)*(I$3:I$50="P"))+IF(H5="L5",SUMPRODUCT((P$3:P$50="")*(O$3:O$50="")*(N$3:N$50="")*(M$3:M$50="P")*(G$3:G$50=G5)*(J$3:J$50&lt;J5)*(H$3:H$50&lt;&gt;H5)*(I$3:I$50="P")),-1*SUMPRODUCT((P$3:P$50="")*(O$3:O$50="")*(N$3:N$50="")*(M$3:M$50="P")*(G$3:G$50=G5)*(J$3:J$50&gt;J5)*(H$3:H$50="L5")*(I$3:I$50="P")))+1,"")))))</f>
        <v>3</v>
      </c>
      <c r="B5" s="1" cm="1">
        <f t="array" ref="B5">IF(P5&lt;&gt;"",SUMPRODUCT((P$3:P$50&lt;&gt;"")*(G$3:G$50=G5)*(J$3:J$50&gt;J5))+1,IF(O5&lt;&gt;"",SUMPRODUCT((O$3:O$50&lt;&gt;"")*(P$3:P$50="")*(G$3:G$50=G5)*(J$3:J$50&gt;J5))+SUMPRODUCT((P$3:P$50&lt;&gt;"")*(G$3:G$50=G5))+1,IF(N5&lt;&gt;"",SUMPRODUCT((N$3:N$50&lt;&gt;"")*(G$3:G$50=G5)*(J$3:J$50&gt;J5))+1,IF(M5="P",SUMPRODUCT((O$3:O$50&lt;&gt;"")*(P$3:P$50="")*(G$3:G$50=G5))+SUMPRODUCT((P$3:P$50&lt;&gt;"")*(G$3:G$50=G5))+SUMPRODUCT((N$3:N$50&lt;&gt;"")*(G$3:G$50=G5))+SUMPRODUCT((P$3:P$50="")*(O$3:O$50="")*(N$3:N$50="")*(M$3:M$50="P")*(G$3:G$50=G5)*(J$3:J$50&gt;J5))+IF(H5="L5",SUMPRODUCT((P$3:P$50="")*(O$3:O$50="")*(N$3:N$50="")*(M$3:M$50="P")*(G$3:G$50=G5)*(J$3:J$50&lt;J5)*(H$3:H$50&lt;&gt;H5)),-1*SUMPRODUCT((P$3:P$50="")*(O$3:O$50="")*(N$3:N$50="")*(M$3:M$50="P")*(G$3:G$50=G5)*(J$3:J$50&gt;J5)*(H$3:H$50="L5")))+1,""))))</f>
        <v>6</v>
      </c>
      <c r="C5" s="36" t="s">
        <v>536</v>
      </c>
      <c r="D5" s="36" t="str">
        <f>IF(E5="","",VLOOKUP(E5,'Coaching Points'!A:B,2,0))</f>
        <v>QC</v>
      </c>
      <c r="E5" s="36" t="s">
        <v>3</v>
      </c>
      <c r="F5" s="35">
        <v>2006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68</v>
      </c>
      <c r="I5" s="43" t="s">
        <v>567</v>
      </c>
      <c r="J5" s="4">
        <f>R5+S5+IF(OR(H5="Junior",H5="Senior"),0.0002,IF(OR(H5="L7",H5="L6"),0.0001,0))+MAX(X5,Z5)*0.0000001</f>
        <v>92.300104700000006</v>
      </c>
      <c r="K5" s="3" t="str">
        <f>IF(G5="Not Age Eligible","",IF(MAX(T5,V5,X5,Z5)&gt;=LOOKUP(G5,'Qualifying Scores'!$A$4:$A$7,'Qualifying Scores'!$H$4:$H$7),"P",""))</f>
        <v>P</v>
      </c>
      <c r="L5" s="3" t="str">
        <f>IF(G5="Not Age Eligible","",IF(MAX(U5,W5,Y5,AA5)&gt;=LOOKUP(G5,'Qualifying Scores'!$A$10:$A$13,'Qualifying Scores'!$H$10:$H$13),"P",""))</f>
        <v>P</v>
      </c>
      <c r="M5" s="3" t="str">
        <f>IF(G5="Not Age Eligible","",IF(OR(AND(T5&gt;=LOOKUP(G5,'Qualifying Scores'!$A$4:$A$7,'Qualifying Scores'!$H$4:$H$7),U5&gt;=LOOKUP(G5,'Qualifying Scores'!$A$10:$A$13,'Qualifying Scores'!$H$10:$H$13)),AND(X5&gt;=LOOKUP(G5,'Qualifying Scores'!$A$4:$A$7,'Qualifying Scores'!$H$4:$H$7),Y5&gt;=LOOKUP(G5,'Qualifying Scores'!$A$10:$A$13,'Qualifying Scores'!$H$10:$H$13)),AND(V5&gt;=LOOKUP(G5,'Qualifying Scores'!$A$4:$A$7,'Qualifying Scores'!$H$4:$H$7),W5&gt;=LOOKUP(G5,'Qualifying Scores'!$A$10:$A$13,'Qualifying Scores'!$H$10:$H$13)),AND(Z5&gt;=LOOKUP(G5,'Qualifying Scores'!$A$4:$A$7,'Qualifying Scores'!$H$4:$H$7),AA5&gt;=LOOKUP(G5,'Qualifying Scores'!$A$10:$A$13,'Qualifying Scores'!$H$10:$H$13))),"P",""))</f>
        <v>P</v>
      </c>
      <c r="Q5" s="1">
        <f>IF(A5&lt;5,IF(_xlfn.MAXIFS(A:A,G:G,G5)&gt;3,5-A5,_xlfn.MAXIFS(A:A,G:G,G5)+1-A5),"")</f>
        <v>2</v>
      </c>
      <c r="R5" s="4">
        <f>MAX(T5,X5)</f>
        <v>45.3</v>
      </c>
      <c r="S5" s="4">
        <f>IF(R5=T5,MAX(V5,X5,Z5),IF(R5=X5,MAX(T5,V5,Z5),0))</f>
        <v>47</v>
      </c>
      <c r="T5" s="33"/>
      <c r="U5" s="40"/>
      <c r="V5" s="34"/>
      <c r="W5" s="40"/>
      <c r="X5" s="33">
        <v>45.3</v>
      </c>
      <c r="Y5" s="40">
        <v>10.6</v>
      </c>
      <c r="Z5" s="34">
        <v>47</v>
      </c>
      <c r="AA5" s="37">
        <v>10.6</v>
      </c>
    </row>
    <row r="6" spans="1:27" x14ac:dyDescent="0.2">
      <c r="A6" s="1" cm="1">
        <f t="array" ref="A6">IF(I6="","",IF(P6&lt;&gt;"",SUMPRODUCT((P$3:P$50&lt;&gt;"")*(G$3:G$50=G6)*(J$3:J$50&gt;J6)*(I$3:I$50="P"))+1,IF(O6&lt;&gt;"",SUMPRODUCT((O$3:O$50&lt;&gt;"")*(P$3:P$50="")*(G$3:G$50=G6)*(J$3:J$50&gt;J6)*(I$3:I$50="P"))+SUMPRODUCT((P$3:P$50&lt;&gt;"")*(G$3:G$50=G6)*(I$3:I$50="P"))+1,IF(N6&lt;&gt;"",SUMPRODUCT((N$3:N$50&lt;&gt;"")*(G$3:G$50=G6)*(J$3:J$50&gt;J6)*(I$3:I$50="P"))+1,IF(M6="P",SUMPRODUCT((O$3:O$50&lt;&gt;"")*(P$3:P$50="")*(G$3:G$50=G6)*(I$3:I$50="P"))+SUMPRODUCT((P$3:P$50&lt;&gt;"")*(G$3:G$50=G6)*(I$3:I$50="P"))+SUMPRODUCT((N$3:N$50&lt;&gt;"")*(G$3:G$50=G6)*(I$3:I$50="P"))+SUMPRODUCT((P$3:P$50="")*(O$3:O$50="")*(N$3:N$50="")*(M$3:M$50="P")*(G$3:G$50=G6)*(J$3:J$50&gt;J6)*(I$3:I$50="P"))+IF(H6="L5",SUMPRODUCT((P$3:P$50="")*(O$3:O$50="")*(N$3:N$50="")*(M$3:M$50="P")*(G$3:G$50=G6)*(J$3:J$50&lt;J6)*(H$3:H$50&lt;&gt;H6)*(I$3:I$50="P")),-1*SUMPRODUCT((P$3:P$50="")*(O$3:O$50="")*(N$3:N$50="")*(M$3:M$50="P")*(G$3:G$50=G6)*(J$3:J$50&gt;J6)*(H$3:H$50="L5")*(I$3:I$50="P")))+1,"")))))</f>
        <v>4</v>
      </c>
      <c r="B6" s="1" cm="1">
        <f t="array" ref="B6">IF(P6&lt;&gt;"",SUMPRODUCT((P$3:P$50&lt;&gt;"")*(G$3:G$50=G6)*(J$3:J$50&gt;J6))+1,IF(O6&lt;&gt;"",SUMPRODUCT((O$3:O$50&lt;&gt;"")*(P$3:P$50="")*(G$3:G$50=G6)*(J$3:J$50&gt;J6))+SUMPRODUCT((P$3:P$50&lt;&gt;"")*(G$3:G$50=G6))+1,IF(N6&lt;&gt;"",SUMPRODUCT((N$3:N$50&lt;&gt;"")*(G$3:G$50=G6)*(J$3:J$50&gt;J6))+1,IF(M6="P",SUMPRODUCT((O$3:O$50&lt;&gt;"")*(P$3:P$50="")*(G$3:G$50=G6))+SUMPRODUCT((P$3:P$50&lt;&gt;"")*(G$3:G$50=G6))+SUMPRODUCT((N$3:N$50&lt;&gt;"")*(G$3:G$50=G6))+SUMPRODUCT((P$3:P$50="")*(O$3:O$50="")*(N$3:N$50="")*(M$3:M$50="P")*(G$3:G$50=G6)*(J$3:J$50&gt;J6))+IF(H6="L5",SUMPRODUCT((P$3:P$50="")*(O$3:O$50="")*(N$3:N$50="")*(M$3:M$50="P")*(G$3:G$50=G6)*(J$3:J$50&lt;J6)*(H$3:H$50&lt;&gt;H6)),-1*SUMPRODUCT((P$3:P$50="")*(O$3:O$50="")*(N$3:N$50="")*(M$3:M$50="P")*(G$3:G$50=G6)*(J$3:J$50&gt;J6)*(H$3:H$50="L5")))+1,""))))</f>
        <v>7</v>
      </c>
      <c r="C6" s="36" t="s">
        <v>169</v>
      </c>
      <c r="D6" s="36" t="str">
        <f>IF(E6="","",VLOOKUP(E6,'Coaching Points'!A:B,2,0))</f>
        <v>AB</v>
      </c>
      <c r="E6" s="36" t="s">
        <v>64</v>
      </c>
      <c r="F6" s="35">
        <v>2004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74</v>
      </c>
      <c r="I6" s="43" t="s">
        <v>567</v>
      </c>
      <c r="J6" s="4">
        <f>R6+S6+IF(OR(H6="Junior",H6="Senior"),0.0002,IF(OR(H6="L7",H6="L6"),0.0001,0))+MAX(X6,Z6)*0.0000001</f>
        <v>91.300204610000023</v>
      </c>
      <c r="K6" s="3" t="str">
        <f>IF(G6="Not Age Eligible","",IF(MAX(T6,V6,X6,Z6)&gt;=LOOKUP(G6,'Qualifying Scores'!$A$4:$A$7,'Qualifying Scores'!$H$4:$H$7),"P",""))</f>
        <v>P</v>
      </c>
      <c r="L6" s="3" t="str">
        <f>IF(G6="Not Age Eligible","",IF(MAX(U6,W6,Y6,AA6)&gt;=LOOKUP(G6,'Qualifying Scores'!$A$10:$A$13,'Qualifying Scores'!$H$10:$H$13),"P",""))</f>
        <v>P</v>
      </c>
      <c r="M6" s="3" t="str">
        <f>IF(G6="Not Age Eligible","",IF(OR(AND(T6&gt;=LOOKUP(G6,'Qualifying Scores'!$A$4:$A$7,'Qualifying Scores'!$H$4:$H$7),U6&gt;=LOOKUP(G6,'Qualifying Scores'!$A$10:$A$13,'Qualifying Scores'!$H$10:$H$13)),AND(X6&gt;=LOOKUP(G6,'Qualifying Scores'!$A$4:$A$7,'Qualifying Scores'!$H$4:$H$7),Y6&gt;=LOOKUP(G6,'Qualifying Scores'!$A$10:$A$13,'Qualifying Scores'!$H$10:$H$13)),AND(V6&gt;=LOOKUP(G6,'Qualifying Scores'!$A$4:$A$7,'Qualifying Scores'!$H$4:$H$7),W6&gt;=LOOKUP(G6,'Qualifying Scores'!$A$10:$A$13,'Qualifying Scores'!$H$10:$H$13)),AND(Z6&gt;=LOOKUP(G6,'Qualifying Scores'!$A$4:$A$7,'Qualifying Scores'!$H$4:$H$7),AA6&gt;=LOOKUP(G6,'Qualifying Scores'!$A$10:$A$13,'Qualifying Scores'!$H$10:$H$13))),"P",""))</f>
        <v>P</v>
      </c>
      <c r="Q6" s="1">
        <f>IF(A6&lt;5,IF(_xlfn.MAXIFS(A:A,G:G,G6)&gt;3,5-A6,_xlfn.MAXIFS(A:A,G:G,G6)+1-A6),"")</f>
        <v>1</v>
      </c>
      <c r="R6" s="4">
        <f>MAX(T6,X6)</f>
        <v>45.2</v>
      </c>
      <c r="S6" s="4">
        <f>IF(R6=T6,MAX(V6,X6,Z6),IF(R6=X6,MAX(T6,V6,Z6),0))</f>
        <v>46.1</v>
      </c>
      <c r="T6" s="33">
        <v>45.2</v>
      </c>
      <c r="U6" s="40">
        <v>12.3</v>
      </c>
      <c r="V6" s="34">
        <v>38.299999999999997</v>
      </c>
      <c r="W6" s="40">
        <v>9</v>
      </c>
      <c r="X6" s="33">
        <v>41.3</v>
      </c>
      <c r="Y6" s="40">
        <v>9.1999999999999993</v>
      </c>
      <c r="Z6" s="34">
        <v>46.1</v>
      </c>
      <c r="AA6" s="37">
        <v>11.9</v>
      </c>
    </row>
    <row r="7" spans="1:27" x14ac:dyDescent="0.2">
      <c r="A7" s="1" cm="1">
        <f t="array" ref="A7">IF(I7="","",IF(P7&lt;&gt;"",SUMPRODUCT((P$3:P$50&lt;&gt;"")*(G$3:G$50=G7)*(J$3:J$50&gt;J7)*(I$3:I$50="P"))+1,IF(O7&lt;&gt;"",SUMPRODUCT((O$3:O$50&lt;&gt;"")*(P$3:P$50="")*(G$3:G$50=G7)*(J$3:J$50&gt;J7)*(I$3:I$50="P"))+SUMPRODUCT((P$3:P$50&lt;&gt;"")*(G$3:G$50=G7)*(I$3:I$50="P"))+1,IF(N7&lt;&gt;"",SUMPRODUCT((N$3:N$50&lt;&gt;"")*(G$3:G$50=G7)*(J$3:J$50&gt;J7)*(I$3:I$50="P"))+1,IF(M7="P",SUMPRODUCT((O$3:O$50&lt;&gt;"")*(P$3:P$50="")*(G$3:G$50=G7)*(I$3:I$50="P"))+SUMPRODUCT((P$3:P$50&lt;&gt;"")*(G$3:G$50=G7)*(I$3:I$50="P"))+SUMPRODUCT((N$3:N$50&lt;&gt;"")*(G$3:G$50=G7)*(I$3:I$50="P"))+SUMPRODUCT((P$3:P$50="")*(O$3:O$50="")*(N$3:N$50="")*(M$3:M$50="P")*(G$3:G$50=G7)*(J$3:J$50&gt;J7)*(I$3:I$50="P"))+IF(H7="L5",SUMPRODUCT((P$3:P$50="")*(O$3:O$50="")*(N$3:N$50="")*(M$3:M$50="P")*(G$3:G$50=G7)*(J$3:J$50&lt;J7)*(H$3:H$50&lt;&gt;H7)*(I$3:I$50="P")),-1*SUMPRODUCT((P$3:P$50="")*(O$3:O$50="")*(N$3:N$50="")*(M$3:M$50="P")*(G$3:G$50=G7)*(J$3:J$50&gt;J7)*(H$3:H$50="L5")*(I$3:I$50="P")))+1,"")))))</f>
        <v>5</v>
      </c>
      <c r="B7" s="1" cm="1">
        <f t="array" ref="B7">IF(P7&lt;&gt;"",SUMPRODUCT((P$3:P$50&lt;&gt;"")*(G$3:G$50=G7)*(J$3:J$50&gt;J7))+1,IF(O7&lt;&gt;"",SUMPRODUCT((O$3:O$50&lt;&gt;"")*(P$3:P$50="")*(G$3:G$50=G7)*(J$3:J$50&gt;J7))+SUMPRODUCT((P$3:P$50&lt;&gt;"")*(G$3:G$50=G7))+1,IF(N7&lt;&gt;"",SUMPRODUCT((N$3:N$50&lt;&gt;"")*(G$3:G$50=G7)*(J$3:J$50&gt;J7))+1,IF(M7="P",SUMPRODUCT((O$3:O$50&lt;&gt;"")*(P$3:P$50="")*(G$3:G$50=G7))+SUMPRODUCT((P$3:P$50&lt;&gt;"")*(G$3:G$50=G7))+SUMPRODUCT((N$3:N$50&lt;&gt;"")*(G$3:G$50=G7))+SUMPRODUCT((P$3:P$50="")*(O$3:O$50="")*(N$3:N$50="")*(M$3:M$50="P")*(G$3:G$50=G7)*(J$3:J$50&gt;J7))+IF(H7="L5",SUMPRODUCT((P$3:P$50="")*(O$3:O$50="")*(N$3:N$50="")*(M$3:M$50="P")*(G$3:G$50=G7)*(J$3:J$50&lt;J7)*(H$3:H$50&lt;&gt;H7)),-1*SUMPRODUCT((P$3:P$50="")*(O$3:O$50="")*(N$3:N$50="")*(M$3:M$50="P")*(G$3:G$50=G7)*(J$3:J$50&gt;J7)*(H$3:H$50="L5")))+1,""))))</f>
        <v>8</v>
      </c>
      <c r="C7" s="36" t="s">
        <v>171</v>
      </c>
      <c r="D7" s="36" t="str">
        <f>IF(E7="","",VLOOKUP(E7,'Coaching Points'!A:B,2,0))</f>
        <v>AB</v>
      </c>
      <c r="E7" s="36" t="s">
        <v>64</v>
      </c>
      <c r="F7" s="35">
        <v>2004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68</v>
      </c>
      <c r="I7" s="43" t="s">
        <v>567</v>
      </c>
      <c r="J7" s="4">
        <f>R7+S7+IF(OR(H7="Junior",H7="Senior"),0.0002,IF(OR(H7="L7",H7="L6"),0.0001,0))+MAX(X7,Z7)*0.0000001</f>
        <v>89.100104590000001</v>
      </c>
      <c r="K7" s="3" t="str">
        <f>IF(G7="Not Age Eligible","",IF(MAX(T7,V7,X7,Z7)&gt;=LOOKUP(G7,'Qualifying Scores'!$A$4:$A$7,'Qualifying Scores'!$H$4:$H$7),"P",""))</f>
        <v>P</v>
      </c>
      <c r="L7" s="3" t="str">
        <f>IF(G7="Not Age Eligible","",IF(MAX(U7,W7,Y7,AA7)&gt;=LOOKUP(G7,'Qualifying Scores'!$A$10:$A$13,'Qualifying Scores'!$H$10:$H$13),"P",""))</f>
        <v>P</v>
      </c>
      <c r="M7" s="3" t="str">
        <f>IF(G7="Not Age Eligible","",IF(OR(AND(T7&gt;=LOOKUP(G7,'Qualifying Scores'!$A$4:$A$7,'Qualifying Scores'!$H$4:$H$7),U7&gt;=LOOKUP(G7,'Qualifying Scores'!$A$10:$A$13,'Qualifying Scores'!$H$10:$H$13)),AND(X7&gt;=LOOKUP(G7,'Qualifying Scores'!$A$4:$A$7,'Qualifying Scores'!$H$4:$H$7),Y7&gt;=LOOKUP(G7,'Qualifying Scores'!$A$10:$A$13,'Qualifying Scores'!$H$10:$H$13)),AND(V7&gt;=LOOKUP(G7,'Qualifying Scores'!$A$4:$A$7,'Qualifying Scores'!$H$4:$H$7),W7&gt;=LOOKUP(G7,'Qualifying Scores'!$A$10:$A$13,'Qualifying Scores'!$H$10:$H$13)),AND(Z7&gt;=LOOKUP(G7,'Qualifying Scores'!$A$4:$A$7,'Qualifying Scores'!$H$4:$H$7),AA7&gt;=LOOKUP(G7,'Qualifying Scores'!$A$10:$A$13,'Qualifying Scores'!$H$10:$H$13))),"P",""))</f>
        <v>P</v>
      </c>
      <c r="Q7" s="1" t="str">
        <f>IF(A7&lt;5,IF(_xlfn.MAXIFS(A:A,G:G,G7)&gt;3,5-A7,_xlfn.MAXIFS(A:A,G:G,G7)+1-A7),"")</f>
        <v/>
      </c>
      <c r="R7" s="4">
        <f>MAX(T7,X7)</f>
        <v>43.2</v>
      </c>
      <c r="S7" s="4">
        <f>IF(R7=T7,MAX(V7,X7,Z7),IF(R7=X7,MAX(T7,V7,Z7),0))</f>
        <v>45.9</v>
      </c>
      <c r="T7" s="33">
        <v>41.4</v>
      </c>
      <c r="U7" s="40">
        <v>9.3999999999999986</v>
      </c>
      <c r="V7" s="34">
        <v>43.9</v>
      </c>
      <c r="W7" s="40">
        <v>10.1</v>
      </c>
      <c r="X7" s="33">
        <v>43.2</v>
      </c>
      <c r="Y7" s="40">
        <v>10.8</v>
      </c>
      <c r="Z7" s="34">
        <v>45.9</v>
      </c>
      <c r="AA7" s="37">
        <v>11.5</v>
      </c>
    </row>
    <row r="8" spans="1:27" x14ac:dyDescent="0.2">
      <c r="A8" s="1" cm="1">
        <f t="array" ref="A8">IF(I8="","",IF(P8&lt;&gt;"",SUMPRODUCT((P$3:P$50&lt;&gt;"")*(G$3:G$50=G8)*(J$3:J$50&gt;J8)*(I$3:I$50="P"))+1,IF(O8&lt;&gt;"",SUMPRODUCT((O$3:O$50&lt;&gt;"")*(P$3:P$50="")*(G$3:G$50=G8)*(J$3:J$50&gt;J8)*(I$3:I$50="P"))+SUMPRODUCT((P$3:P$50&lt;&gt;"")*(G$3:G$50=G8)*(I$3:I$50="P"))+1,IF(N8&lt;&gt;"",SUMPRODUCT((N$3:N$50&lt;&gt;"")*(G$3:G$50=G8)*(J$3:J$50&gt;J8)*(I$3:I$50="P"))+1,IF(M8="P",SUMPRODUCT((O$3:O$50&lt;&gt;"")*(P$3:P$50="")*(G$3:G$50=G8)*(I$3:I$50="P"))+SUMPRODUCT((P$3:P$50&lt;&gt;"")*(G$3:G$50=G8)*(I$3:I$50="P"))+SUMPRODUCT((N$3:N$50&lt;&gt;"")*(G$3:G$50=G8)*(I$3:I$50="P"))+SUMPRODUCT((P$3:P$50="")*(O$3:O$50="")*(N$3:N$50="")*(M$3:M$50="P")*(G$3:G$50=G8)*(J$3:J$50&gt;J8)*(I$3:I$50="P"))+IF(H8="L5",SUMPRODUCT((P$3:P$50="")*(O$3:O$50="")*(N$3:N$50="")*(M$3:M$50="P")*(G$3:G$50=G8)*(J$3:J$50&lt;J8)*(H$3:H$50&lt;&gt;H8)*(I$3:I$50="P")),-1*SUMPRODUCT((P$3:P$50="")*(O$3:O$50="")*(N$3:N$50="")*(M$3:M$50="P")*(G$3:G$50=G8)*(J$3:J$50&gt;J8)*(H$3:H$50="L5")*(I$3:I$50="P")))+1,"")))))</f>
        <v>6</v>
      </c>
      <c r="B8" s="1" cm="1">
        <f t="array" ref="B8">IF(P8&lt;&gt;"",SUMPRODUCT((P$3:P$50&lt;&gt;"")*(G$3:G$50=G8)*(J$3:J$50&gt;J8))+1,IF(O8&lt;&gt;"",SUMPRODUCT((O$3:O$50&lt;&gt;"")*(P$3:P$50="")*(G$3:G$50=G8)*(J$3:J$50&gt;J8))+SUMPRODUCT((P$3:P$50&lt;&gt;"")*(G$3:G$50=G8))+1,IF(N8&lt;&gt;"",SUMPRODUCT((N$3:N$50&lt;&gt;"")*(G$3:G$50=G8)*(J$3:J$50&gt;J8))+1,IF(M8="P",SUMPRODUCT((O$3:O$50&lt;&gt;"")*(P$3:P$50="")*(G$3:G$50=G8))+SUMPRODUCT((P$3:P$50&lt;&gt;"")*(G$3:G$50=G8))+SUMPRODUCT((N$3:N$50&lt;&gt;"")*(G$3:G$50=G8))+SUMPRODUCT((P$3:P$50="")*(O$3:O$50="")*(N$3:N$50="")*(M$3:M$50="P")*(G$3:G$50=G8)*(J$3:J$50&gt;J8))+IF(H8="L5",SUMPRODUCT((P$3:P$50="")*(O$3:O$50="")*(N$3:N$50="")*(M$3:M$50="P")*(G$3:G$50=G8)*(J$3:J$50&lt;J8)*(H$3:H$50&lt;&gt;H8)),-1*SUMPRODUCT((P$3:P$50="")*(O$3:O$50="")*(N$3:N$50="")*(M$3:M$50="P")*(G$3:G$50=G8)*(J$3:J$50&gt;J8)*(H$3:H$50="L5")))+1,""))))</f>
        <v>9</v>
      </c>
      <c r="C8" s="36" t="s">
        <v>170</v>
      </c>
      <c r="D8" s="36" t="str">
        <f>IF(E8="","",VLOOKUP(E8,'Coaching Points'!A:B,2,0))</f>
        <v>AB</v>
      </c>
      <c r="E8" s="36" t="s">
        <v>64</v>
      </c>
      <c r="F8" s="35">
        <v>2003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68</v>
      </c>
      <c r="I8" s="43" t="s">
        <v>567</v>
      </c>
      <c r="J8" s="4">
        <f>R8+S8+IF(OR(H8="Junior",H8="Senior"),0.0002,IF(OR(H8="L7",H8="L6"),0.0001,0))+MAX(X8,Z8)*0.0000001</f>
        <v>88.600104540000004</v>
      </c>
      <c r="K8" s="3" t="str">
        <f>IF(G8="Not Age Eligible","",IF(MAX(T8,V8,X8,Z8)&gt;=LOOKUP(G8,'Qualifying Scores'!$A$4:$A$7,'Qualifying Scores'!$H$4:$H$7),"P",""))</f>
        <v>P</v>
      </c>
      <c r="L8" s="3" t="str">
        <f>IF(G8="Not Age Eligible","",IF(MAX(U8,W8,Y8,AA8)&gt;=LOOKUP(G8,'Qualifying Scores'!$A$10:$A$13,'Qualifying Scores'!$H$10:$H$13),"P",""))</f>
        <v>P</v>
      </c>
      <c r="M8" s="3" t="str">
        <f>IF(G8="Not Age Eligible","",IF(OR(AND(T8&gt;=LOOKUP(G8,'Qualifying Scores'!$A$4:$A$7,'Qualifying Scores'!$H$4:$H$7),U8&gt;=LOOKUP(G8,'Qualifying Scores'!$A$10:$A$13,'Qualifying Scores'!$H$10:$H$13)),AND(X8&gt;=LOOKUP(G8,'Qualifying Scores'!$A$4:$A$7,'Qualifying Scores'!$H$4:$H$7),Y8&gt;=LOOKUP(G8,'Qualifying Scores'!$A$10:$A$13,'Qualifying Scores'!$H$10:$H$13)),AND(V8&gt;=LOOKUP(G8,'Qualifying Scores'!$A$4:$A$7,'Qualifying Scores'!$H$4:$H$7),W8&gt;=LOOKUP(G8,'Qualifying Scores'!$A$10:$A$13,'Qualifying Scores'!$H$10:$H$13)),AND(Z8&gt;=LOOKUP(G8,'Qualifying Scores'!$A$4:$A$7,'Qualifying Scores'!$H$4:$H$7),AA8&gt;=LOOKUP(G8,'Qualifying Scores'!$A$10:$A$13,'Qualifying Scores'!$H$10:$H$13))),"P",""))</f>
        <v>P</v>
      </c>
      <c r="Q8" s="1" t="str">
        <f>IF(A8&lt;5,IF(_xlfn.MAXIFS(A:A,G:G,G8)&gt;3,5-A8,_xlfn.MAXIFS(A:A,G:G,G8)+1-A8),"")</f>
        <v/>
      </c>
      <c r="R8" s="4">
        <f>MAX(T8,X8)</f>
        <v>45.4</v>
      </c>
      <c r="S8" s="4">
        <f>IF(R8=T8,MAX(V8,X8,Z8),IF(R8=X8,MAX(T8,V8,Z8),0))</f>
        <v>43.2</v>
      </c>
      <c r="T8" s="33">
        <v>42.5</v>
      </c>
      <c r="U8" s="40">
        <v>11.5</v>
      </c>
      <c r="V8" s="34">
        <v>43.2</v>
      </c>
      <c r="W8" s="40">
        <v>10.9</v>
      </c>
      <c r="X8" s="33">
        <v>45.4</v>
      </c>
      <c r="Y8" s="40">
        <v>12.3</v>
      </c>
      <c r="Z8" s="34">
        <v>42.4</v>
      </c>
      <c r="AA8" s="37">
        <v>10.399999999999999</v>
      </c>
    </row>
    <row r="9" spans="1:27" x14ac:dyDescent="0.2">
      <c r="A9" s="1" cm="1">
        <f t="array" ref="A9">IF(I9="","",IF(P9&lt;&gt;"",SUMPRODUCT((P$3:P$50&lt;&gt;"")*(G$3:G$50=G9)*(J$3:J$50&gt;J9)*(I$3:I$50="P"))+1,IF(O9&lt;&gt;"",SUMPRODUCT((O$3:O$50&lt;&gt;"")*(P$3:P$50="")*(G$3:G$50=G9)*(J$3:J$50&gt;J9)*(I$3:I$50="P"))+SUMPRODUCT((P$3:P$50&lt;&gt;"")*(G$3:G$50=G9)*(I$3:I$50="P"))+1,IF(N9&lt;&gt;"",SUMPRODUCT((N$3:N$50&lt;&gt;"")*(G$3:G$50=G9)*(J$3:J$50&gt;J9)*(I$3:I$50="P"))+1,IF(M9="P",SUMPRODUCT((O$3:O$50&lt;&gt;"")*(P$3:P$50="")*(G$3:G$50=G9)*(I$3:I$50="P"))+SUMPRODUCT((P$3:P$50&lt;&gt;"")*(G$3:G$50=G9)*(I$3:I$50="P"))+SUMPRODUCT((N$3:N$50&lt;&gt;"")*(G$3:G$50=G9)*(I$3:I$50="P"))+SUMPRODUCT((P$3:P$50="")*(O$3:O$50="")*(N$3:N$50="")*(M$3:M$50="P")*(G$3:G$50=G9)*(J$3:J$50&gt;J9)*(I$3:I$50="P"))+IF(H9="L5",SUMPRODUCT((P$3:P$50="")*(O$3:O$50="")*(N$3:N$50="")*(M$3:M$50="P")*(G$3:G$50=G9)*(J$3:J$50&lt;J9)*(H$3:H$50&lt;&gt;H9)*(I$3:I$50="P")),-1*SUMPRODUCT((P$3:P$50="")*(O$3:O$50="")*(N$3:N$50="")*(M$3:M$50="P")*(G$3:G$50=G9)*(J$3:J$50&gt;J9)*(H$3:H$50="L5")*(I$3:I$50="P")))+1,"")))))</f>
        <v>7</v>
      </c>
      <c r="B9" s="1" cm="1">
        <f t="array" ref="B9">IF(P9&lt;&gt;"",SUMPRODUCT((P$3:P$50&lt;&gt;"")*(G$3:G$50=G9)*(J$3:J$50&gt;J9))+1,IF(O9&lt;&gt;"",SUMPRODUCT((O$3:O$50&lt;&gt;"")*(P$3:P$50="")*(G$3:G$50=G9)*(J$3:J$50&gt;J9))+SUMPRODUCT((P$3:P$50&lt;&gt;"")*(G$3:G$50=G9))+1,IF(N9&lt;&gt;"",SUMPRODUCT((N$3:N$50&lt;&gt;"")*(G$3:G$50=G9)*(J$3:J$50&gt;J9))+1,IF(M9="P",SUMPRODUCT((O$3:O$50&lt;&gt;"")*(P$3:P$50="")*(G$3:G$50=G9))+SUMPRODUCT((P$3:P$50&lt;&gt;"")*(G$3:G$50=G9))+SUMPRODUCT((N$3:N$50&lt;&gt;"")*(G$3:G$50=G9))+SUMPRODUCT((P$3:P$50="")*(O$3:O$50="")*(N$3:N$50="")*(M$3:M$50="P")*(G$3:G$50=G9)*(J$3:J$50&gt;J9))+IF(H9="L5",SUMPRODUCT((P$3:P$50="")*(O$3:O$50="")*(N$3:N$50="")*(M$3:M$50="P")*(G$3:G$50=G9)*(J$3:J$50&lt;J9)*(H$3:H$50&lt;&gt;H9)),-1*SUMPRODUCT((P$3:P$50="")*(O$3:O$50="")*(N$3:N$50="")*(M$3:M$50="P")*(G$3:G$50=G9)*(J$3:J$50&gt;J9)*(H$3:H$50="L5")))+1,""))))</f>
        <v>10</v>
      </c>
      <c r="C9" s="36" t="s">
        <v>225</v>
      </c>
      <c r="D9" s="36" t="str">
        <f>IF(E9="","",VLOOKUP(E9,'Coaching Points'!A:B,2,0))</f>
        <v>QC</v>
      </c>
      <c r="E9" s="36" t="s">
        <v>3</v>
      </c>
      <c r="F9" s="35">
        <v>2006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68</v>
      </c>
      <c r="I9" s="43" t="s">
        <v>567</v>
      </c>
      <c r="J9" s="4">
        <f>R9+S9+IF(OR(H9="Junior",H9="Senior"),0.0002,IF(OR(H9="L7",H9="L6"),0.0001,0))+MAX(X9,Z9)*0.0000001</f>
        <v>88.200104410000009</v>
      </c>
      <c r="K9" s="3" t="str">
        <f>IF(G9="Not Age Eligible","",IF(MAX(T9,V9,X9,Z9)&gt;=LOOKUP(G9,'Qualifying Scores'!$A$4:$A$7,'Qualifying Scores'!$H$4:$H$7),"P",""))</f>
        <v>P</v>
      </c>
      <c r="L9" s="3" t="str">
        <f>IF(G9="Not Age Eligible","",IF(MAX(U9,W9,Y9,AA9)&gt;=LOOKUP(G9,'Qualifying Scores'!$A$10:$A$13,'Qualifying Scores'!$H$10:$H$13),"P",""))</f>
        <v>P</v>
      </c>
      <c r="M9" s="3" t="str">
        <f>IF(G9="Not Age Eligible","",IF(OR(AND(T9&gt;=LOOKUP(G9,'Qualifying Scores'!$A$4:$A$7,'Qualifying Scores'!$H$4:$H$7),U9&gt;=LOOKUP(G9,'Qualifying Scores'!$A$10:$A$13,'Qualifying Scores'!$H$10:$H$13)),AND(X9&gt;=LOOKUP(G9,'Qualifying Scores'!$A$4:$A$7,'Qualifying Scores'!$H$4:$H$7),Y9&gt;=LOOKUP(G9,'Qualifying Scores'!$A$10:$A$13,'Qualifying Scores'!$H$10:$H$13)),AND(V9&gt;=LOOKUP(G9,'Qualifying Scores'!$A$4:$A$7,'Qualifying Scores'!$H$4:$H$7),W9&gt;=LOOKUP(G9,'Qualifying Scores'!$A$10:$A$13,'Qualifying Scores'!$H$10:$H$13)),AND(Z9&gt;=LOOKUP(G9,'Qualifying Scores'!$A$4:$A$7,'Qualifying Scores'!$H$4:$H$7),AA9&gt;=LOOKUP(G9,'Qualifying Scores'!$A$10:$A$13,'Qualifying Scores'!$H$10:$H$13))),"P",""))</f>
        <v>P</v>
      </c>
      <c r="Q9" s="1" t="str">
        <f>IF(A9&lt;5,IF(_xlfn.MAXIFS(A:A,G:G,G9)&gt;3,5-A9,_xlfn.MAXIFS(A:A,G:G,G9)+1-A9),"")</f>
        <v/>
      </c>
      <c r="R9" s="4">
        <f>MAX(T9,X9)</f>
        <v>44.1</v>
      </c>
      <c r="S9" s="4">
        <f>IF(R9=T9,MAX(V9,X9,Z9),IF(R9=X9,MAX(T9,V9,Z9),0))</f>
        <v>44.1</v>
      </c>
      <c r="T9" s="33">
        <v>41</v>
      </c>
      <c r="U9" s="40">
        <v>8.5</v>
      </c>
      <c r="V9" s="34">
        <v>44.1</v>
      </c>
      <c r="W9" s="40">
        <v>10.1</v>
      </c>
      <c r="X9" s="33">
        <v>44.1</v>
      </c>
      <c r="Y9" s="40">
        <v>9.3999999999999986</v>
      </c>
      <c r="Z9" s="34">
        <v>43.7</v>
      </c>
      <c r="AA9" s="37">
        <v>9.3999999999999986</v>
      </c>
    </row>
    <row r="10" spans="1:27" x14ac:dyDescent="0.2">
      <c r="A10" s="1" t="str" cm="1">
        <f t="array" ref="A10">IF(I10="","",IF(P10&lt;&gt;"",SUMPRODUCT((P$3:P$50&lt;&gt;"")*(G$3:G$50=G10)*(J$3:J$50&gt;J10)*(I$3:I$50="P"))+1,IF(O10&lt;&gt;"",SUMPRODUCT((O$3:O$50&lt;&gt;"")*(P$3:P$50="")*(G$3:G$50=G10)*(J$3:J$50&gt;J10)*(I$3:I$50="P"))+SUMPRODUCT((P$3:P$50&lt;&gt;"")*(G$3:G$50=G10)*(I$3:I$50="P"))+1,IF(N10&lt;&gt;"",SUMPRODUCT((N$3:N$50&lt;&gt;"")*(G$3:G$50=G10)*(J$3:J$50&gt;J10)*(I$3:I$50="P"))+1,IF(M10="P",SUMPRODUCT((O$3:O$50&lt;&gt;"")*(P$3:P$50="")*(G$3:G$50=G10)*(I$3:I$50="P"))+SUMPRODUCT((P$3:P$50&lt;&gt;"")*(G$3:G$50=G10)*(I$3:I$50="P"))+SUMPRODUCT((N$3:N$50&lt;&gt;"")*(G$3:G$50=G10)*(I$3:I$50="P"))+SUMPRODUCT((P$3:P$50="")*(O$3:O$50="")*(N$3:N$50="")*(M$3:M$50="P")*(G$3:G$50=G10)*(J$3:J$50&gt;J10)*(I$3:I$50="P"))+IF(H10="L5",SUMPRODUCT((P$3:P$50="")*(O$3:O$50="")*(N$3:N$50="")*(M$3:M$50="P")*(G$3:G$50=G10)*(J$3:J$50&lt;J10)*(H$3:H$50&lt;&gt;H10)*(I$3:I$50="P")),-1*SUMPRODUCT((P$3:P$50="")*(O$3:O$50="")*(N$3:N$50="")*(M$3:M$50="P")*(G$3:G$50=G10)*(J$3:J$50&gt;J10)*(H$3:H$50="L5")*(I$3:I$50="P")))+1,"")))))</f>
        <v/>
      </c>
      <c r="B10" s="1" cm="1">
        <f t="array" ref="B10">IF(P10&lt;&gt;"",SUMPRODUCT((P$3:P$50&lt;&gt;"")*(G$3:G$50=G10)*(J$3:J$50&gt;J10))+1,IF(O10&lt;&gt;"",SUMPRODUCT((O$3:O$50&lt;&gt;"")*(P$3:P$50="")*(G$3:G$50=G10)*(J$3:J$50&gt;J10))+SUMPRODUCT((P$3:P$50&lt;&gt;"")*(G$3:G$50=G10))+1,IF(N10&lt;&gt;"",SUMPRODUCT((N$3:N$50&lt;&gt;"")*(G$3:G$50=G10)*(J$3:J$50&gt;J10))+1,IF(M10="P",SUMPRODUCT((O$3:O$50&lt;&gt;"")*(P$3:P$50="")*(G$3:G$50=G10))+SUMPRODUCT((P$3:P$50&lt;&gt;"")*(G$3:G$50=G10))+SUMPRODUCT((N$3:N$50&lt;&gt;"")*(G$3:G$50=G10))+SUMPRODUCT((P$3:P$50="")*(O$3:O$50="")*(N$3:N$50="")*(M$3:M$50="P")*(G$3:G$50=G10)*(J$3:J$50&gt;J10))+IF(H10="L5",SUMPRODUCT((P$3:P$50="")*(O$3:O$50="")*(N$3:N$50="")*(M$3:M$50="P")*(G$3:G$50=G10)*(J$3:J$50&lt;J10)*(H$3:H$50&lt;&gt;H10)),-1*SUMPRODUCT((P$3:P$50="")*(O$3:O$50="")*(N$3:N$50="")*(M$3:M$50="P")*(G$3:G$50=G10)*(J$3:J$50&gt;J10)*(H$3:H$50="L5")))+1,""))))</f>
        <v>1</v>
      </c>
      <c r="C10" s="36" t="s">
        <v>173</v>
      </c>
      <c r="D10" s="36" t="str">
        <f>IF(E10="","",VLOOKUP(E10,'Coaching Points'!A:B,2,0))</f>
        <v>ON</v>
      </c>
      <c r="E10" s="36" t="s">
        <v>162</v>
      </c>
      <c r="F10" s="35">
        <v>2003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74</v>
      </c>
      <c r="I10" s="43"/>
      <c r="J10" s="4">
        <f>R10+S10+IF(OR(H10="Junior",H10="Senior"),0.0002,IF(OR(H10="L7",H10="L6"),0.0001,0))+MAX(X10,Z10)*0.0000001</f>
        <v>105.00020533</v>
      </c>
      <c r="K10" s="3" t="str">
        <f>IF(G10="Not Age Eligible","",IF(MAX(T10,V10,X10,Z10)&gt;=LOOKUP(G10,'Qualifying Scores'!$A$4:$A$7,'Qualifying Scores'!$H$4:$H$7),"P",""))</f>
        <v>P</v>
      </c>
      <c r="L10" s="3" t="str">
        <f>IF(G10="Not Age Eligible","",IF(MAX(U10,W10,Y10,AA10)&gt;=LOOKUP(G10,'Qualifying Scores'!$A$10:$A$13,'Qualifying Scores'!$H$10:$H$13),"P",""))</f>
        <v>P</v>
      </c>
      <c r="M10" s="3" t="str">
        <f>IF(G10="Not Age Eligible","",IF(OR(AND(T10&gt;=LOOKUP(G10,'Qualifying Scores'!$A$4:$A$7,'Qualifying Scores'!$H$4:$H$7),U10&gt;=LOOKUP(G10,'Qualifying Scores'!$A$10:$A$13,'Qualifying Scores'!$H$10:$H$13)),AND(X10&gt;=LOOKUP(G10,'Qualifying Scores'!$A$4:$A$7,'Qualifying Scores'!$H$4:$H$7),Y10&gt;=LOOKUP(G10,'Qualifying Scores'!$A$10:$A$13,'Qualifying Scores'!$H$10:$H$13)),AND(V10&gt;=LOOKUP(G10,'Qualifying Scores'!$A$4:$A$7,'Qualifying Scores'!$H$4:$H$7),W10&gt;=LOOKUP(G10,'Qualifying Scores'!$A$10:$A$13,'Qualifying Scores'!$H$10:$H$13)),AND(Z10&gt;=LOOKUP(G10,'Qualifying Scores'!$A$4:$A$7,'Qualifying Scores'!$H$4:$H$7),AA10&gt;=LOOKUP(G10,'Qualifying Scores'!$A$10:$A$13,'Qualifying Scores'!$H$10:$H$13))),"P",""))</f>
        <v>P</v>
      </c>
      <c r="O10" s="39">
        <v>1</v>
      </c>
      <c r="P10" s="39">
        <v>1</v>
      </c>
      <c r="Q10" s="1" t="str">
        <f>IF(A10&lt;5,IF(_xlfn.MAXIFS(A:A,G:G,G10)&gt;3,5-A10,_xlfn.MAXIFS(A:A,G:G,G10)+1-A10),"")</f>
        <v/>
      </c>
      <c r="R10" s="4">
        <f>MAX(T10,X10)</f>
        <v>51.6</v>
      </c>
      <c r="S10" s="4">
        <f>IF(R10=T10,MAX(V10,X10,Z10),IF(R10=X10,MAX(T10,V10,Z10),0))</f>
        <v>53.4</v>
      </c>
      <c r="T10" s="33">
        <v>51.6</v>
      </c>
      <c r="U10" s="40">
        <v>14.6</v>
      </c>
      <c r="V10" s="34">
        <v>53.4</v>
      </c>
      <c r="W10" s="40">
        <v>15.8</v>
      </c>
      <c r="X10" s="33">
        <v>51.4</v>
      </c>
      <c r="Y10" s="40">
        <v>16.200000000000003</v>
      </c>
      <c r="Z10" s="34">
        <v>53.3</v>
      </c>
      <c r="AA10" s="37">
        <v>15.8</v>
      </c>
    </row>
    <row r="11" spans="1:27" x14ac:dyDescent="0.2">
      <c r="A11" s="1" t="str" cm="1">
        <f t="array" ref="A11">IF(I11="","",IF(P11&lt;&gt;"",SUMPRODUCT((P$3:P$50&lt;&gt;"")*(G$3:G$50=G11)*(J$3:J$50&gt;J11)*(I$3:I$50="P"))+1,IF(O11&lt;&gt;"",SUMPRODUCT((O$3:O$50&lt;&gt;"")*(P$3:P$50="")*(G$3:G$50=G11)*(J$3:J$50&gt;J11)*(I$3:I$50="P"))+SUMPRODUCT((P$3:P$50&lt;&gt;"")*(G$3:G$50=G11)*(I$3:I$50="P"))+1,IF(N11&lt;&gt;"",SUMPRODUCT((N$3:N$50&lt;&gt;"")*(G$3:G$50=G11)*(J$3:J$50&gt;J11)*(I$3:I$50="P"))+1,IF(M11="P",SUMPRODUCT((O$3:O$50&lt;&gt;"")*(P$3:P$50="")*(G$3:G$50=G11)*(I$3:I$50="P"))+SUMPRODUCT((P$3:P$50&lt;&gt;"")*(G$3:G$50=G11)*(I$3:I$50="P"))+SUMPRODUCT((N$3:N$50&lt;&gt;"")*(G$3:G$50=G11)*(I$3:I$50="P"))+SUMPRODUCT((P$3:P$50="")*(O$3:O$50="")*(N$3:N$50="")*(M$3:M$50="P")*(G$3:G$50=G11)*(J$3:J$50&gt;J11)*(I$3:I$50="P"))+IF(H11="L5",SUMPRODUCT((P$3:P$50="")*(O$3:O$50="")*(N$3:N$50="")*(M$3:M$50="P")*(G$3:G$50=G11)*(J$3:J$50&lt;J11)*(H$3:H$50&lt;&gt;H11)*(I$3:I$50="P")),-1*SUMPRODUCT((P$3:P$50="")*(O$3:O$50="")*(N$3:N$50="")*(M$3:M$50="P")*(G$3:G$50=G11)*(J$3:J$50&gt;J11)*(H$3:H$50="L5")*(I$3:I$50="P")))+1,"")))))</f>
        <v/>
      </c>
      <c r="B11" s="1" cm="1">
        <f t="array" ref="B11">IF(P11&lt;&gt;"",SUMPRODUCT((P$3:P$50&lt;&gt;"")*(G$3:G$50=G11)*(J$3:J$50&gt;J11))+1,IF(O11&lt;&gt;"",SUMPRODUCT((O$3:O$50&lt;&gt;"")*(P$3:P$50="")*(G$3:G$50=G11)*(J$3:J$50&gt;J11))+SUMPRODUCT((P$3:P$50&lt;&gt;"")*(G$3:G$50=G11))+1,IF(N11&lt;&gt;"",SUMPRODUCT((N$3:N$50&lt;&gt;"")*(G$3:G$50=G11)*(J$3:J$50&gt;J11))+1,IF(M11="P",SUMPRODUCT((O$3:O$50&lt;&gt;"")*(P$3:P$50="")*(G$3:G$50=G11))+SUMPRODUCT((P$3:P$50&lt;&gt;"")*(G$3:G$50=G11))+SUMPRODUCT((N$3:N$50&lt;&gt;"")*(G$3:G$50=G11))+SUMPRODUCT((P$3:P$50="")*(O$3:O$50="")*(N$3:N$50="")*(M$3:M$50="P")*(G$3:G$50=G11)*(J$3:J$50&gt;J11))+IF(H11="L5",SUMPRODUCT((P$3:P$50="")*(O$3:O$50="")*(N$3:N$50="")*(M$3:M$50="P")*(G$3:G$50=G11)*(J$3:J$50&lt;J11)*(H$3:H$50&lt;&gt;H11)),-1*SUMPRODUCT((P$3:P$50="")*(O$3:O$50="")*(N$3:N$50="")*(M$3:M$50="P")*(G$3:G$50=G11)*(J$3:J$50&gt;J11)*(H$3:H$50="L5")))+1,""))))</f>
        <v>2</v>
      </c>
      <c r="C11" s="36" t="s">
        <v>161</v>
      </c>
      <c r="D11" s="36" t="str">
        <f>IF(E11="","",VLOOKUP(E11,'Coaching Points'!A:B,2,0))</f>
        <v>ON</v>
      </c>
      <c r="E11" s="36" t="s">
        <v>162</v>
      </c>
      <c r="F11" s="35">
        <v>2006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74</v>
      </c>
      <c r="I11" s="43"/>
      <c r="J11" s="4">
        <f>R11+S11+IF(OR(H11="Junior",H11="Senior"),0.0002,IF(OR(H11="L7",H11="L6"),0.0001,0))+MAX(X11,Z11)*0.0000001</f>
        <v>101.70020510000001</v>
      </c>
      <c r="K11" s="3" t="str">
        <f>IF(G11="Not Age Eligible","",IF(MAX(T11,V11,X11,Z11)&gt;=LOOKUP(G11,'Qualifying Scores'!$A$4:$A$7,'Qualifying Scores'!$H$4:$H$7),"P",""))</f>
        <v>P</v>
      </c>
      <c r="L11" s="3" t="str">
        <f>IF(G11="Not Age Eligible","",IF(MAX(U11,W11,Y11,AA11)&gt;=LOOKUP(G11,'Qualifying Scores'!$A$10:$A$13,'Qualifying Scores'!$H$10:$H$13),"P",""))</f>
        <v>P</v>
      </c>
      <c r="M11" s="3" t="str">
        <f>IF(G11="Not Age Eligible","",IF(OR(AND(T11&gt;=LOOKUP(G11,'Qualifying Scores'!$A$4:$A$7,'Qualifying Scores'!$H$4:$H$7),U11&gt;=LOOKUP(G11,'Qualifying Scores'!$A$10:$A$13,'Qualifying Scores'!$H$10:$H$13)),AND(X11&gt;=LOOKUP(G11,'Qualifying Scores'!$A$4:$A$7,'Qualifying Scores'!$H$4:$H$7),Y11&gt;=LOOKUP(G11,'Qualifying Scores'!$A$10:$A$13,'Qualifying Scores'!$H$10:$H$13)),AND(V11&gt;=LOOKUP(G11,'Qualifying Scores'!$A$4:$A$7,'Qualifying Scores'!$H$4:$H$7),W11&gt;=LOOKUP(G11,'Qualifying Scores'!$A$10:$A$13,'Qualifying Scores'!$H$10:$H$13)),AND(Z11&gt;=LOOKUP(G11,'Qualifying Scores'!$A$4:$A$7,'Qualifying Scores'!$H$4:$H$7),AA11&gt;=LOOKUP(G11,'Qualifying Scores'!$A$10:$A$13,'Qualifying Scores'!$H$10:$H$13))),"P",""))</f>
        <v>P</v>
      </c>
      <c r="O11" s="39">
        <v>2</v>
      </c>
      <c r="P11" s="39">
        <v>2</v>
      </c>
      <c r="Q11" s="1" t="str">
        <f>IF(A11&lt;5,IF(_xlfn.MAXIFS(A:A,G:G,G11)&gt;3,5-A11,_xlfn.MAXIFS(A:A,G:G,G11)+1-A11),"")</f>
        <v/>
      </c>
      <c r="R11" s="4">
        <f>MAX(T11,X11)</f>
        <v>51</v>
      </c>
      <c r="S11" s="4">
        <f>IF(R11=T11,MAX(V11,X11,Z11),IF(R11=X11,MAX(T11,V11,Z11),0))</f>
        <v>50.7</v>
      </c>
      <c r="T11" s="33">
        <v>45.6</v>
      </c>
      <c r="U11" s="40">
        <v>10.199999999999999</v>
      </c>
      <c r="V11" s="34">
        <v>50.7</v>
      </c>
      <c r="W11" s="40">
        <v>13.8</v>
      </c>
      <c r="X11" s="33">
        <v>51</v>
      </c>
      <c r="Y11" s="40">
        <v>15.8</v>
      </c>
      <c r="Z11" s="34">
        <v>49.7</v>
      </c>
      <c r="AA11" s="37">
        <v>14.7</v>
      </c>
    </row>
    <row r="12" spans="1:27" x14ac:dyDescent="0.2">
      <c r="A12" s="1" t="str" cm="1">
        <f t="array" ref="A12">IF(I12="","",IF(P12&lt;&gt;"",SUMPRODUCT((P$3:P$50&lt;&gt;"")*(G$3:G$50=G12)*(J$3:J$50&gt;J12)*(I$3:I$50="P"))+1,IF(O12&lt;&gt;"",SUMPRODUCT((O$3:O$50&lt;&gt;"")*(P$3:P$50="")*(G$3:G$50=G12)*(J$3:J$50&gt;J12)*(I$3:I$50="P"))+SUMPRODUCT((P$3:P$50&lt;&gt;"")*(G$3:G$50=G12)*(I$3:I$50="P"))+1,IF(N12&lt;&gt;"",SUMPRODUCT((N$3:N$50&lt;&gt;"")*(G$3:G$50=G12)*(J$3:J$50&gt;J12)*(I$3:I$50="P"))+1,IF(M12="P",SUMPRODUCT((O$3:O$50&lt;&gt;"")*(P$3:P$50="")*(G$3:G$50=G12)*(I$3:I$50="P"))+SUMPRODUCT((P$3:P$50&lt;&gt;"")*(G$3:G$50=G12)*(I$3:I$50="P"))+SUMPRODUCT((N$3:N$50&lt;&gt;"")*(G$3:G$50=G12)*(I$3:I$50="P"))+SUMPRODUCT((P$3:P$50="")*(O$3:O$50="")*(N$3:N$50="")*(M$3:M$50="P")*(G$3:G$50=G12)*(J$3:J$50&gt;J12)*(I$3:I$50="P"))+IF(H12="L5",SUMPRODUCT((P$3:P$50="")*(O$3:O$50="")*(N$3:N$50="")*(M$3:M$50="P")*(G$3:G$50=G12)*(J$3:J$50&lt;J12)*(H$3:H$50&lt;&gt;H12)*(I$3:I$50="P")),-1*SUMPRODUCT((P$3:P$50="")*(O$3:O$50="")*(N$3:N$50="")*(M$3:M$50="P")*(G$3:G$50=G12)*(J$3:J$50&gt;J12)*(H$3:H$50="L5")*(I$3:I$50="P")))+1,"")))))</f>
        <v/>
      </c>
      <c r="B12" s="1" cm="1">
        <f t="array" ref="B12">IF(P12&lt;&gt;"",SUMPRODUCT((P$3:P$50&lt;&gt;"")*(G$3:G$50=G12)*(J$3:J$50&gt;J12))+1,IF(O12&lt;&gt;"",SUMPRODUCT((O$3:O$50&lt;&gt;"")*(P$3:P$50="")*(G$3:G$50=G12)*(J$3:J$50&gt;J12))+SUMPRODUCT((P$3:P$50&lt;&gt;"")*(G$3:G$50=G12))+1,IF(N12&lt;&gt;"",SUMPRODUCT((N$3:N$50&lt;&gt;"")*(G$3:G$50=G12)*(J$3:J$50&gt;J12))+1,IF(M12="P",SUMPRODUCT((O$3:O$50&lt;&gt;"")*(P$3:P$50="")*(G$3:G$50=G12))+SUMPRODUCT((P$3:P$50&lt;&gt;"")*(G$3:G$50=G12))+SUMPRODUCT((N$3:N$50&lt;&gt;"")*(G$3:G$50=G12))+SUMPRODUCT((P$3:P$50="")*(O$3:O$50="")*(N$3:N$50="")*(M$3:M$50="P")*(G$3:G$50=G12)*(J$3:J$50&gt;J12))+IF(H12="L5",SUMPRODUCT((P$3:P$50="")*(O$3:O$50="")*(N$3:N$50="")*(M$3:M$50="P")*(G$3:G$50=G12)*(J$3:J$50&lt;J12)*(H$3:H$50&lt;&gt;H12)),-1*SUMPRODUCT((P$3:P$50="")*(O$3:O$50="")*(N$3:N$50="")*(M$3:M$50="P")*(G$3:G$50=G12)*(J$3:J$50&gt;J12)*(H$3:H$50="L5")))+1,""))))</f>
        <v>5</v>
      </c>
      <c r="C12" s="36" t="s">
        <v>278</v>
      </c>
      <c r="D12" s="36" t="str">
        <f>IF(E12="","",VLOOKUP(E12,'Coaching Points'!A:B,2,0))</f>
        <v>AB</v>
      </c>
      <c r="E12" s="36" t="s">
        <v>29</v>
      </c>
      <c r="F12" s="35">
        <v>2002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74</v>
      </c>
      <c r="I12" s="43"/>
      <c r="J12" s="4">
        <f>R12+S12+IF(OR(H12="Junior",H12="Senior"),0.0002,IF(OR(H12="L7",H12="L6"),0.0001,0))+MAX(X12,Z12)*0.0000001</f>
        <v>92.000204610000011</v>
      </c>
      <c r="K12" s="3" t="str">
        <f>IF(G12="Not Age Eligible","",IF(MAX(T12,V12,X12,Z12)&gt;=LOOKUP(G12,'Qualifying Scores'!$A$4:$A$7,'Qualifying Scores'!$H$4:$H$7),"P",""))</f>
        <v>P</v>
      </c>
      <c r="L12" s="3" t="str">
        <f>IF(G12="Not Age Eligible","",IF(MAX(U12,W12,Y12,AA12)&gt;=LOOKUP(G12,'Qualifying Scores'!$A$10:$A$13,'Qualifying Scores'!$H$10:$H$13),"P",""))</f>
        <v>P</v>
      </c>
      <c r="M12" s="3" t="str">
        <f>IF(G12="Not Age Eligible","",IF(OR(AND(T12&gt;=LOOKUP(G12,'Qualifying Scores'!$A$4:$A$7,'Qualifying Scores'!$H$4:$H$7),U12&gt;=LOOKUP(G12,'Qualifying Scores'!$A$10:$A$13,'Qualifying Scores'!$H$10:$H$13)),AND(X12&gt;=LOOKUP(G12,'Qualifying Scores'!$A$4:$A$7,'Qualifying Scores'!$H$4:$H$7),Y12&gt;=LOOKUP(G12,'Qualifying Scores'!$A$10:$A$13,'Qualifying Scores'!$H$10:$H$13)),AND(V12&gt;=LOOKUP(G12,'Qualifying Scores'!$A$4:$A$7,'Qualifying Scores'!$H$4:$H$7),W12&gt;=LOOKUP(G12,'Qualifying Scores'!$A$10:$A$13,'Qualifying Scores'!$H$10:$H$13)),AND(Z12&gt;=LOOKUP(G12,'Qualifying Scores'!$A$4:$A$7,'Qualifying Scores'!$H$4:$H$7),AA12&gt;=LOOKUP(G12,'Qualifying Scores'!$A$10:$A$13,'Qualifying Scores'!$H$10:$H$13))),"P",""))</f>
        <v>P</v>
      </c>
      <c r="O12" s="39">
        <v>3</v>
      </c>
      <c r="P12" s="39">
        <v>3</v>
      </c>
      <c r="Q12" s="1" t="str">
        <f>IF(A12&lt;5,IF(_xlfn.MAXIFS(A:A,G:G,G12)&gt;3,5-A12,_xlfn.MAXIFS(A:A,G:G,G12)+1-A12),"")</f>
        <v/>
      </c>
      <c r="R12" s="4">
        <f>MAX(T12,X12)</f>
        <v>45.9</v>
      </c>
      <c r="S12" s="4">
        <f>IF(R12=T12,MAX(V12,X12,Z12),IF(R12=X12,MAX(T12,V12,Z12),0))</f>
        <v>46.1</v>
      </c>
      <c r="T12" s="33">
        <v>45.9</v>
      </c>
      <c r="U12" s="40">
        <v>11.600000000000001</v>
      </c>
      <c r="V12" s="34">
        <v>44.6</v>
      </c>
      <c r="W12" s="40">
        <v>9.6</v>
      </c>
      <c r="X12" s="33">
        <v>45.9</v>
      </c>
      <c r="Y12" s="40">
        <v>11.600000000000001</v>
      </c>
      <c r="Z12" s="34">
        <v>46.1</v>
      </c>
      <c r="AA12" s="37">
        <v>12.2</v>
      </c>
    </row>
    <row r="13" spans="1:27" x14ac:dyDescent="0.2">
      <c r="A13" s="1" t="str" cm="1">
        <f t="array" ref="A13">IF(I13="","",IF(P13&lt;&gt;"",SUMPRODUCT((P$3:P$50&lt;&gt;"")*(G$3:G$50=G13)*(J$3:J$50&gt;J13)*(I$3:I$50="P"))+1,IF(O13&lt;&gt;"",SUMPRODUCT((O$3:O$50&lt;&gt;"")*(P$3:P$50="")*(G$3:G$50=G13)*(J$3:J$50&gt;J13)*(I$3:I$50="P"))+SUMPRODUCT((P$3:P$50&lt;&gt;"")*(G$3:G$50=G13)*(I$3:I$50="P"))+1,IF(N13&lt;&gt;"",SUMPRODUCT((N$3:N$50&lt;&gt;"")*(G$3:G$50=G13)*(J$3:J$50&gt;J13)*(I$3:I$50="P"))+1,IF(M13="P",SUMPRODUCT((O$3:O$50&lt;&gt;"")*(P$3:P$50="")*(G$3:G$50=G13)*(I$3:I$50="P"))+SUMPRODUCT((P$3:P$50&lt;&gt;"")*(G$3:G$50=G13)*(I$3:I$50="P"))+SUMPRODUCT((N$3:N$50&lt;&gt;"")*(G$3:G$50=G13)*(I$3:I$50="P"))+SUMPRODUCT((P$3:P$50="")*(O$3:O$50="")*(N$3:N$50="")*(M$3:M$50="P")*(G$3:G$50=G13)*(J$3:J$50&gt;J13)*(I$3:I$50="P"))+IF(H13="L5",SUMPRODUCT((P$3:P$50="")*(O$3:O$50="")*(N$3:N$50="")*(M$3:M$50="P")*(G$3:G$50=G13)*(J$3:J$50&lt;J13)*(H$3:H$50&lt;&gt;H13)*(I$3:I$50="P")),-1*SUMPRODUCT((P$3:P$50="")*(O$3:O$50="")*(N$3:N$50="")*(M$3:M$50="P")*(G$3:G$50=G13)*(J$3:J$50&gt;J13)*(H$3:H$50="L5")*(I$3:I$50="P")))+1,"")))))</f>
        <v/>
      </c>
      <c r="B13" s="1" t="str" cm="1">
        <f t="array" ref="B13">IF(P13&lt;&gt;"",SUMPRODUCT((P$3:P$50&lt;&gt;"")*(G$3:G$50=G13)*(J$3:J$50&gt;J13))+1,IF(O13&lt;&gt;"",SUMPRODUCT((O$3:O$50&lt;&gt;"")*(P$3:P$50="")*(G$3:G$50=G13)*(J$3:J$50&gt;J13))+SUMPRODUCT((P$3:P$50&lt;&gt;"")*(G$3:G$50=G13))+1,IF(N13&lt;&gt;"",SUMPRODUCT((N$3:N$50&lt;&gt;"")*(G$3:G$50=G13)*(J$3:J$50&gt;J13))+1,IF(M13="P",SUMPRODUCT((O$3:O$50&lt;&gt;"")*(P$3:P$50="")*(G$3:G$50=G13))+SUMPRODUCT((P$3:P$50&lt;&gt;"")*(G$3:G$50=G13))+SUMPRODUCT((N$3:N$50&lt;&gt;"")*(G$3:G$50=G13))+SUMPRODUCT((P$3:P$50="")*(O$3:O$50="")*(N$3:N$50="")*(M$3:M$50="P")*(G$3:G$50=G13)*(J$3:J$50&gt;J13))+IF(H13="L5",SUMPRODUCT((P$3:P$50="")*(O$3:O$50="")*(N$3:N$50="")*(M$3:M$50="P")*(G$3:G$50=G13)*(J$3:J$50&lt;J13)*(H$3:H$50&lt;&gt;H13)),-1*SUMPRODUCT((P$3:P$50="")*(O$3:O$50="")*(N$3:N$50="")*(M$3:M$50="P")*(G$3:G$50=G13)*(J$3:J$50&gt;J13)*(H$3:H$50="L5")))+1,""))))</f>
        <v/>
      </c>
      <c r="C13" s="36" t="s">
        <v>97</v>
      </c>
      <c r="D13" s="36" t="str">
        <f>IF(E13="","",VLOOKUP(E13,'Coaching Points'!A:B,2,0))</f>
        <v>MB</v>
      </c>
      <c r="E13" s="36" t="s">
        <v>69</v>
      </c>
      <c r="F13" s="35">
        <v>2005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 t="s">
        <v>567</v>
      </c>
      <c r="J13" s="4">
        <f>R13+S13+IF(OR(H13="Junior",H13="Senior"),0.0002,IF(OR(H13="L7",H13="L6"),0.0001,0))+MAX(X13,Z13)*0.0000001</f>
        <v>85.700104350000004</v>
      </c>
      <c r="K13" s="3" t="str">
        <f>IF(G13="Not Age Eligible","",IF(MAX(T13,V13,X13,Z13)&gt;=LOOKUP(G13,'Qualifying Scores'!$A$4:$A$7,'Qualifying Scores'!$H$4:$H$7),"P",""))</f>
        <v/>
      </c>
      <c r="L13" s="3" t="str">
        <f>IF(G13="Not Age Eligible","",IF(MAX(U13,W13,Y13,AA13)&gt;=LOOKUP(G13,'Qualifying Scores'!$A$10:$A$13,'Qualifying Scores'!$H$10:$H$13),"P",""))</f>
        <v/>
      </c>
      <c r="M13" s="3" t="str">
        <f>IF(G13="Not Age Eligible","",IF(OR(AND(T13&gt;=LOOKUP(G13,'Qualifying Scores'!$A$4:$A$7,'Qualifying Scores'!$H$4:$H$7),U13&gt;=LOOKUP(G13,'Qualifying Scores'!$A$10:$A$13,'Qualifying Scores'!$H$10:$H$13)),AND(X13&gt;=LOOKUP(G13,'Qualifying Scores'!$A$4:$A$7,'Qualifying Scores'!$H$4:$H$7),Y13&gt;=LOOKUP(G13,'Qualifying Scores'!$A$10:$A$13,'Qualifying Scores'!$H$10:$H$13)),AND(V13&gt;=LOOKUP(G13,'Qualifying Scores'!$A$4:$A$7,'Qualifying Scores'!$H$4:$H$7),W13&gt;=LOOKUP(G13,'Qualifying Scores'!$A$10:$A$13,'Qualifying Scores'!$H$10:$H$13)),AND(Z13&gt;=LOOKUP(G13,'Qualifying Scores'!$A$4:$A$7,'Qualifying Scores'!$H$4:$H$7),AA13&gt;=LOOKUP(G13,'Qualifying Scores'!$A$10:$A$13,'Qualifying Scores'!$H$10:$H$13))),"P",""))</f>
        <v/>
      </c>
      <c r="Q13" s="1" t="str">
        <f>IF(A13&lt;5,IF(_xlfn.MAXIFS(A:A,G:G,G13)&gt;3,5-A13,_xlfn.MAXIFS(A:A,G:G,G13)+1-A13),"")</f>
        <v/>
      </c>
      <c r="R13" s="4">
        <f>MAX(T13,X13)</f>
        <v>42.2</v>
      </c>
      <c r="S13" s="4">
        <f>IF(R13=T13,MAX(V13,X13,Z13),IF(R13=X13,MAX(T13,V13,Z13),0))</f>
        <v>43.5</v>
      </c>
      <c r="T13" s="33">
        <v>42.2</v>
      </c>
      <c r="U13" s="40">
        <v>7.8999999999999995</v>
      </c>
      <c r="V13" s="34">
        <v>42.1</v>
      </c>
      <c r="W13" s="40">
        <v>7.3</v>
      </c>
      <c r="X13" s="33">
        <v>42</v>
      </c>
      <c r="Y13" s="40">
        <v>8.5</v>
      </c>
      <c r="Z13" s="34">
        <v>43.5</v>
      </c>
      <c r="AA13" s="37">
        <v>8.5</v>
      </c>
    </row>
    <row r="14" spans="1:27" x14ac:dyDescent="0.2">
      <c r="A14" s="1" t="str" cm="1">
        <f t="array" ref="A14">IF(I14="","",IF(P14&lt;&gt;"",SUMPRODUCT((P$3:P$50&lt;&gt;"")*(G$3:G$50=G14)*(J$3:J$50&gt;J14)*(I$3:I$50="P"))+1,IF(O14&lt;&gt;"",SUMPRODUCT((O$3:O$50&lt;&gt;"")*(P$3:P$50="")*(G$3:G$50=G14)*(J$3:J$50&gt;J14)*(I$3:I$50="P"))+SUMPRODUCT((P$3:P$50&lt;&gt;"")*(G$3:G$50=G14)*(I$3:I$50="P"))+1,IF(N14&lt;&gt;"",SUMPRODUCT((N$3:N$50&lt;&gt;"")*(G$3:G$50=G14)*(J$3:J$50&gt;J14)*(I$3:I$50="P"))+1,IF(M14="P",SUMPRODUCT((O$3:O$50&lt;&gt;"")*(P$3:P$50="")*(G$3:G$50=G14)*(I$3:I$50="P"))+SUMPRODUCT((P$3:P$50&lt;&gt;"")*(G$3:G$50=G14)*(I$3:I$50="P"))+SUMPRODUCT((N$3:N$50&lt;&gt;"")*(G$3:G$50=G14)*(I$3:I$50="P"))+SUMPRODUCT((P$3:P$50="")*(O$3:O$50="")*(N$3:N$50="")*(M$3:M$50="P")*(G$3:G$50=G14)*(J$3:J$50&gt;J14)*(I$3:I$50="P"))+IF(H14="L5",SUMPRODUCT((P$3:P$50="")*(O$3:O$50="")*(N$3:N$50="")*(M$3:M$50="P")*(G$3:G$50=G14)*(J$3:J$50&lt;J14)*(H$3:H$50&lt;&gt;H14)*(I$3:I$50="P")),-1*SUMPRODUCT((P$3:P$50="")*(O$3:O$50="")*(N$3:N$50="")*(M$3:M$50="P")*(G$3:G$50=G14)*(J$3:J$50&gt;J14)*(H$3:H$50="L5")*(I$3:I$50="P")))+1,"")))))</f>
        <v/>
      </c>
      <c r="B14" s="1" t="str" cm="1">
        <f t="array" ref="B14">IF(P14&lt;&gt;"",SUMPRODUCT((P$3:P$50&lt;&gt;"")*(G$3:G$50=G14)*(J$3:J$50&gt;J14))+1,IF(O14&lt;&gt;"",SUMPRODUCT((O$3:O$50&lt;&gt;"")*(P$3:P$50="")*(G$3:G$50=G14)*(J$3:J$50&gt;J14))+SUMPRODUCT((P$3:P$50&lt;&gt;"")*(G$3:G$50=G14))+1,IF(N14&lt;&gt;"",SUMPRODUCT((N$3:N$50&lt;&gt;"")*(G$3:G$50=G14)*(J$3:J$50&gt;J14))+1,IF(M14="P",SUMPRODUCT((O$3:O$50&lt;&gt;"")*(P$3:P$50="")*(G$3:G$50=G14))+SUMPRODUCT((P$3:P$50&lt;&gt;"")*(G$3:G$50=G14))+SUMPRODUCT((N$3:N$50&lt;&gt;"")*(G$3:G$50=G14))+SUMPRODUCT((P$3:P$50="")*(O$3:O$50="")*(N$3:N$50="")*(M$3:M$50="P")*(G$3:G$50=G14)*(J$3:J$50&gt;J14))+IF(H14="L5",SUMPRODUCT((P$3:P$50="")*(O$3:O$50="")*(N$3:N$50="")*(M$3:M$50="P")*(G$3:G$50=G14)*(J$3:J$50&lt;J14)*(H$3:H$50&lt;&gt;H14)),-1*SUMPRODUCT((P$3:P$50="")*(O$3:O$50="")*(N$3:N$50="")*(M$3:M$50="P")*(G$3:G$50=G14)*(J$3:J$50&gt;J14)*(H$3:H$50="L5")))+1,""))))</f>
        <v/>
      </c>
      <c r="C14" s="36" t="s">
        <v>498</v>
      </c>
      <c r="D14" s="36" t="str">
        <f>IF(E14="","",VLOOKUP(E14,'Coaching Points'!A:B,2,0))</f>
        <v>ON</v>
      </c>
      <c r="E14" s="36" t="s">
        <v>290</v>
      </c>
      <c r="F14" s="35">
        <v>2006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68</v>
      </c>
      <c r="I14" s="43"/>
      <c r="J14" s="4">
        <f>R14+S14+IF(OR(H14="Junior",H14="Senior"),0.0002,IF(OR(H14="L7",H14="L6"),0.0001,0))+MAX(X14,Z14)*0.0000001</f>
        <v>85.60010432</v>
      </c>
      <c r="K14" s="3" t="str">
        <f>IF(G14="Not Age Eligible","",IF(MAX(T14,V14,X14,Z14)&gt;=LOOKUP(G14,'Qualifying Scores'!$A$4:$A$7,'Qualifying Scores'!$H$4:$H$7),"P",""))</f>
        <v/>
      </c>
      <c r="L14" s="3" t="str">
        <f>IF(G14="Not Age Eligible","",IF(MAX(U14,W14,Y14,AA14)&gt;=LOOKUP(G14,'Qualifying Scores'!$A$10:$A$13,'Qualifying Scores'!$H$10:$H$13),"P",""))</f>
        <v>P</v>
      </c>
      <c r="M14" s="3" t="str">
        <f>IF(G14="Not Age Eligible","",IF(OR(AND(T14&gt;=LOOKUP(G14,'Qualifying Scores'!$A$4:$A$7,'Qualifying Scores'!$H$4:$H$7),U14&gt;=LOOKUP(G14,'Qualifying Scores'!$A$10:$A$13,'Qualifying Scores'!$H$10:$H$13)),AND(X14&gt;=LOOKUP(G14,'Qualifying Scores'!$A$4:$A$7,'Qualifying Scores'!$H$4:$H$7),Y14&gt;=LOOKUP(G14,'Qualifying Scores'!$A$10:$A$13,'Qualifying Scores'!$H$10:$H$13)),AND(V14&gt;=LOOKUP(G14,'Qualifying Scores'!$A$4:$A$7,'Qualifying Scores'!$H$4:$H$7),W14&gt;=LOOKUP(G14,'Qualifying Scores'!$A$10:$A$13,'Qualifying Scores'!$H$10:$H$13)),AND(Z14&gt;=LOOKUP(G14,'Qualifying Scores'!$A$4:$A$7,'Qualifying Scores'!$H$4:$H$7),AA14&gt;=LOOKUP(G14,'Qualifying Scores'!$A$10:$A$13,'Qualifying Scores'!$H$10:$H$13))),"P",""))</f>
        <v/>
      </c>
      <c r="Q14" s="1" t="str">
        <f>IF(A14&lt;5,IF(_xlfn.MAXIFS(A:A,G:G,G14)&gt;3,5-A14,_xlfn.MAXIFS(A:A,G:G,G14)+1-A14),"")</f>
        <v/>
      </c>
      <c r="R14" s="4">
        <f>MAX(T14,X14)</f>
        <v>42.4</v>
      </c>
      <c r="S14" s="4">
        <f>IF(R14=T14,MAX(V14,X14,Z14),IF(R14=X14,MAX(T14,V14,Z14),0))</f>
        <v>43.2</v>
      </c>
      <c r="T14" s="33"/>
      <c r="U14" s="40"/>
      <c r="V14" s="34"/>
      <c r="W14" s="40"/>
      <c r="X14" s="33">
        <v>42.4</v>
      </c>
      <c r="Y14" s="40">
        <v>9.6000000000000014</v>
      </c>
      <c r="Z14" s="34">
        <v>43.2</v>
      </c>
      <c r="AA14" s="37">
        <v>9.6000000000000014</v>
      </c>
    </row>
    <row r="15" spans="1:27" x14ac:dyDescent="0.2">
      <c r="A15" s="1" t="str" cm="1">
        <f t="array" ref="A15">IF(I15="","",IF(P15&lt;&gt;"",SUMPRODUCT((P$3:P$50&lt;&gt;"")*(G$3:G$50=G15)*(J$3:J$50&gt;J15)*(I$3:I$50="P"))+1,IF(O15&lt;&gt;"",SUMPRODUCT((O$3:O$50&lt;&gt;"")*(P$3:P$50="")*(G$3:G$50=G15)*(J$3:J$50&gt;J15)*(I$3:I$50="P"))+SUMPRODUCT((P$3:P$50&lt;&gt;"")*(G$3:G$50=G15)*(I$3:I$50="P"))+1,IF(N15&lt;&gt;"",SUMPRODUCT((N$3:N$50&lt;&gt;"")*(G$3:G$50=G15)*(J$3:J$50&gt;J15)*(I$3:I$50="P"))+1,IF(M15="P",SUMPRODUCT((O$3:O$50&lt;&gt;"")*(P$3:P$50="")*(G$3:G$50=G15)*(I$3:I$50="P"))+SUMPRODUCT((P$3:P$50&lt;&gt;"")*(G$3:G$50=G15)*(I$3:I$50="P"))+SUMPRODUCT((N$3:N$50&lt;&gt;"")*(G$3:G$50=G15)*(I$3:I$50="P"))+SUMPRODUCT((P$3:P$50="")*(O$3:O$50="")*(N$3:N$50="")*(M$3:M$50="P")*(G$3:G$50=G15)*(J$3:J$50&gt;J15)*(I$3:I$50="P"))+IF(H15="L5",SUMPRODUCT((P$3:P$50="")*(O$3:O$50="")*(N$3:N$50="")*(M$3:M$50="P")*(G$3:G$50=G15)*(J$3:J$50&lt;J15)*(H$3:H$50&lt;&gt;H15)*(I$3:I$50="P")),-1*SUMPRODUCT((P$3:P$50="")*(O$3:O$50="")*(N$3:N$50="")*(M$3:M$50="P")*(G$3:G$50=G15)*(J$3:J$50&gt;J15)*(H$3:H$50="L5")*(I$3:I$50="P")))+1,"")))))</f>
        <v/>
      </c>
      <c r="B15" s="1" t="str" cm="1">
        <f t="array" ref="B15">IF(P15&lt;&gt;"",SUMPRODUCT((P$3:P$50&lt;&gt;"")*(G$3:G$50=G15)*(J$3:J$50&gt;J15))+1,IF(O15&lt;&gt;"",SUMPRODUCT((O$3:O$50&lt;&gt;"")*(P$3:P$50="")*(G$3:G$50=G15)*(J$3:J$50&gt;J15))+SUMPRODUCT((P$3:P$50&lt;&gt;"")*(G$3:G$50=G15))+1,IF(N15&lt;&gt;"",SUMPRODUCT((N$3:N$50&lt;&gt;"")*(G$3:G$50=G15)*(J$3:J$50&gt;J15))+1,IF(M15="P",SUMPRODUCT((O$3:O$50&lt;&gt;"")*(P$3:P$50="")*(G$3:G$50=G15))+SUMPRODUCT((P$3:P$50&lt;&gt;"")*(G$3:G$50=G15))+SUMPRODUCT((N$3:N$50&lt;&gt;"")*(G$3:G$50=G15))+SUMPRODUCT((P$3:P$50="")*(O$3:O$50="")*(N$3:N$50="")*(M$3:M$50="P")*(G$3:G$50=G15)*(J$3:J$50&gt;J15))+IF(H15="L5",SUMPRODUCT((P$3:P$50="")*(O$3:O$50="")*(N$3:N$50="")*(M$3:M$50="P")*(G$3:G$50=G15)*(J$3:J$50&lt;J15)*(H$3:H$50&lt;&gt;H15)),-1*SUMPRODUCT((P$3:P$50="")*(O$3:O$50="")*(N$3:N$50="")*(M$3:M$50="P")*(G$3:G$50=G15)*(J$3:J$50&gt;J15)*(H$3:H$50="L5")))+1,""))))</f>
        <v/>
      </c>
      <c r="C15" s="36" t="s">
        <v>519</v>
      </c>
      <c r="D15" s="36" t="str">
        <f>IF(E15="","",VLOOKUP(E15,'Coaching Points'!A:B,2,0))</f>
        <v>MB</v>
      </c>
      <c r="E15" s="36" t="s">
        <v>561</v>
      </c>
      <c r="F15" s="35">
        <v>2002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68</v>
      </c>
      <c r="I15" s="43" t="s">
        <v>567</v>
      </c>
      <c r="J15" s="4">
        <f>R15+S15+IF(OR(H15="Junior",H15="Senior"),0.0002,IF(OR(H15="L7",H15="L6"),0.0001,0))+MAX(X15,Z15)*0.0000001</f>
        <v>83.600104369999997</v>
      </c>
      <c r="K15" s="3" t="str">
        <f>IF(G15="Not Age Eligible","",IF(MAX(T15,V15,X15,Z15)&gt;=LOOKUP(G15,'Qualifying Scores'!$A$4:$A$7,'Qualifying Scores'!$H$4:$H$7),"P",""))</f>
        <v/>
      </c>
      <c r="L15" s="3" t="str">
        <f>IF(G15="Not Age Eligible","",IF(MAX(U15,W15,Y15,AA15)&gt;=LOOKUP(G15,'Qualifying Scores'!$A$10:$A$13,'Qualifying Scores'!$H$10:$H$13),"P",""))</f>
        <v>P</v>
      </c>
      <c r="M15" s="3" t="str">
        <f>IF(G15="Not Age Eligible","",IF(OR(AND(T15&gt;=LOOKUP(G15,'Qualifying Scores'!$A$4:$A$7,'Qualifying Scores'!$H$4:$H$7),U15&gt;=LOOKUP(G15,'Qualifying Scores'!$A$10:$A$13,'Qualifying Scores'!$H$10:$H$13)),AND(X15&gt;=LOOKUP(G15,'Qualifying Scores'!$A$4:$A$7,'Qualifying Scores'!$H$4:$H$7),Y15&gt;=LOOKUP(G15,'Qualifying Scores'!$A$10:$A$13,'Qualifying Scores'!$H$10:$H$13)),AND(V15&gt;=LOOKUP(G15,'Qualifying Scores'!$A$4:$A$7,'Qualifying Scores'!$H$4:$H$7),W15&gt;=LOOKUP(G15,'Qualifying Scores'!$A$10:$A$13,'Qualifying Scores'!$H$10:$H$13)),AND(Z15&gt;=LOOKUP(G15,'Qualifying Scores'!$A$4:$A$7,'Qualifying Scores'!$H$4:$H$7),AA15&gt;=LOOKUP(G15,'Qualifying Scores'!$A$10:$A$13,'Qualifying Scores'!$H$10:$H$13))),"P",""))</f>
        <v/>
      </c>
      <c r="Q15" s="1" t="str">
        <f>IF(A15&lt;5,IF(_xlfn.MAXIFS(A:A,G:G,G15)&gt;3,5-A15,_xlfn.MAXIFS(A:A,G:G,G15)+1-A15),"")</f>
        <v/>
      </c>
      <c r="R15" s="4">
        <f>MAX(T15,X15)</f>
        <v>39.9</v>
      </c>
      <c r="S15" s="4">
        <f>IF(R15=T15,MAX(V15,X15,Z15),IF(R15=X15,MAX(T15,V15,Z15),0))</f>
        <v>43.7</v>
      </c>
      <c r="T15" s="33"/>
      <c r="U15" s="40"/>
      <c r="V15" s="34"/>
      <c r="W15" s="40"/>
      <c r="X15" s="33">
        <v>39.9</v>
      </c>
      <c r="Y15" s="40">
        <v>7.3999999999999995</v>
      </c>
      <c r="Z15" s="34">
        <v>43.7</v>
      </c>
      <c r="AA15" s="37">
        <v>10.1</v>
      </c>
    </row>
    <row r="16" spans="1:27" x14ac:dyDescent="0.2">
      <c r="A16" s="1" t="str" cm="1">
        <f t="array" ref="A16">IF(I16="","",IF(P16&lt;&gt;"",SUMPRODUCT((P$3:P$50&lt;&gt;"")*(G$3:G$50=G16)*(J$3:J$50&gt;J16)*(I$3:I$50="P"))+1,IF(O16&lt;&gt;"",SUMPRODUCT((O$3:O$50&lt;&gt;"")*(P$3:P$50="")*(G$3:G$50=G16)*(J$3:J$50&gt;J16)*(I$3:I$50="P"))+SUMPRODUCT((P$3:P$50&lt;&gt;"")*(G$3:G$50=G16)*(I$3:I$50="P"))+1,IF(N16&lt;&gt;"",SUMPRODUCT((N$3:N$50&lt;&gt;"")*(G$3:G$50=G16)*(J$3:J$50&gt;J16)*(I$3:I$50="P"))+1,IF(M16="P",SUMPRODUCT((O$3:O$50&lt;&gt;"")*(P$3:P$50="")*(G$3:G$50=G16)*(I$3:I$50="P"))+SUMPRODUCT((P$3:P$50&lt;&gt;"")*(G$3:G$50=G16)*(I$3:I$50="P"))+SUMPRODUCT((N$3:N$50&lt;&gt;"")*(G$3:G$50=G16)*(I$3:I$50="P"))+SUMPRODUCT((P$3:P$50="")*(O$3:O$50="")*(N$3:N$50="")*(M$3:M$50="P")*(G$3:G$50=G16)*(J$3:J$50&gt;J16)*(I$3:I$50="P"))+IF(H16="L5",SUMPRODUCT((P$3:P$50="")*(O$3:O$50="")*(N$3:N$50="")*(M$3:M$50="P")*(G$3:G$50=G16)*(J$3:J$50&lt;J16)*(H$3:H$50&lt;&gt;H16)*(I$3:I$50="P")),-1*SUMPRODUCT((P$3:P$50="")*(O$3:O$50="")*(N$3:N$50="")*(M$3:M$50="P")*(G$3:G$50=G16)*(J$3:J$50&gt;J16)*(H$3:H$50="L5")*(I$3:I$50="P")))+1,"")))))</f>
        <v/>
      </c>
      <c r="B16" s="1" t="str" cm="1">
        <f t="array" ref="B16">IF(P16&lt;&gt;"",SUMPRODUCT((P$3:P$50&lt;&gt;"")*(G$3:G$50=G16)*(J$3:J$50&gt;J16))+1,IF(O16&lt;&gt;"",SUMPRODUCT((O$3:O$50&lt;&gt;"")*(P$3:P$50="")*(G$3:G$50=G16)*(J$3:J$50&gt;J16))+SUMPRODUCT((P$3:P$50&lt;&gt;"")*(G$3:G$50=G16))+1,IF(N16&lt;&gt;"",SUMPRODUCT((N$3:N$50&lt;&gt;"")*(G$3:G$50=G16)*(J$3:J$50&gt;J16))+1,IF(M16="P",SUMPRODUCT((O$3:O$50&lt;&gt;"")*(P$3:P$50="")*(G$3:G$50=G16))+SUMPRODUCT((P$3:P$50&lt;&gt;"")*(G$3:G$50=G16))+SUMPRODUCT((N$3:N$50&lt;&gt;"")*(G$3:G$50=G16))+SUMPRODUCT((P$3:P$50="")*(O$3:O$50="")*(N$3:N$50="")*(M$3:M$50="P")*(G$3:G$50=G16)*(J$3:J$50&gt;J16))+IF(H16="L5",SUMPRODUCT((P$3:P$50="")*(O$3:O$50="")*(N$3:N$50="")*(M$3:M$50="P")*(G$3:G$50=G16)*(J$3:J$50&lt;J16)*(H$3:H$50&lt;&gt;H16)),-1*SUMPRODUCT((P$3:P$50="")*(O$3:O$50="")*(N$3:N$50="")*(M$3:M$50="P")*(G$3:G$50=G16)*(J$3:J$50&gt;J16)*(H$3:H$50="L5")))+1,""))))</f>
        <v/>
      </c>
      <c r="C16" s="36" t="s">
        <v>164</v>
      </c>
      <c r="D16" s="36" t="str">
        <f>IF(E16="","",VLOOKUP(E16,'Coaching Points'!A:B,2,0))</f>
        <v>QC</v>
      </c>
      <c r="E16" s="36" t="s">
        <v>202</v>
      </c>
      <c r="F16" s="35">
        <v>2006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66</v>
      </c>
      <c r="I16" s="43"/>
      <c r="J16" s="4">
        <f>R16+S16+IF(OR(H16="Junior",H16="Senior"),0.0002,IF(OR(H16="L7",H16="L6"),0.0001,0))+MAX(X16,Z16)*0.0000001</f>
        <v>82.900004150000001</v>
      </c>
      <c r="K16" s="3" t="str">
        <f>IF(G16="Not Age Eligible","",IF(MAX(T16,V16,X16,Z16)&gt;=LOOKUP(G16,'Qualifying Scores'!$A$4:$A$7,'Qualifying Scores'!$H$4:$H$7),"P",""))</f>
        <v/>
      </c>
      <c r="L16" s="3" t="str">
        <f>IF(G16="Not Age Eligible","",IF(MAX(U16,W16,Y16,AA16)&gt;=LOOKUP(G16,'Qualifying Scores'!$A$10:$A$13,'Qualifying Scores'!$H$10:$H$13),"P",""))</f>
        <v/>
      </c>
      <c r="M16" s="3" t="str">
        <f>IF(G16="Not Age Eligible","",IF(OR(AND(T16&gt;=LOOKUP(G16,'Qualifying Scores'!$A$4:$A$7,'Qualifying Scores'!$H$4:$H$7),U16&gt;=LOOKUP(G16,'Qualifying Scores'!$A$10:$A$13,'Qualifying Scores'!$H$10:$H$13)),AND(X16&gt;=LOOKUP(G16,'Qualifying Scores'!$A$4:$A$7,'Qualifying Scores'!$H$4:$H$7),Y16&gt;=LOOKUP(G16,'Qualifying Scores'!$A$10:$A$13,'Qualifying Scores'!$H$10:$H$13)),AND(V16&gt;=LOOKUP(G16,'Qualifying Scores'!$A$4:$A$7,'Qualifying Scores'!$H$4:$H$7),W16&gt;=LOOKUP(G16,'Qualifying Scores'!$A$10:$A$13,'Qualifying Scores'!$H$10:$H$13)),AND(Z16&gt;=LOOKUP(G16,'Qualifying Scores'!$A$4:$A$7,'Qualifying Scores'!$H$4:$H$7),AA16&gt;=LOOKUP(G16,'Qualifying Scores'!$A$10:$A$13,'Qualifying Scores'!$H$10:$H$13))),"P",""))</f>
        <v/>
      </c>
      <c r="Q16" s="1" t="str">
        <f>IF(A16&lt;5,IF(_xlfn.MAXIFS(A:A,G:G,G16)&gt;3,5-A16,_xlfn.MAXIFS(A:A,G:G,G16)+1-A16),"")</f>
        <v/>
      </c>
      <c r="R16" s="4">
        <f>MAX(T16,X16)</f>
        <v>40.799999999999997</v>
      </c>
      <c r="S16" s="4">
        <f>IF(R16=T16,MAX(V16,X16,Z16),IF(R16=X16,MAX(T16,V16,Z16),0))</f>
        <v>42.1</v>
      </c>
      <c r="T16" s="33">
        <v>40.799999999999997</v>
      </c>
      <c r="U16" s="40">
        <v>6</v>
      </c>
      <c r="V16" s="34">
        <v>42.1</v>
      </c>
      <c r="W16" s="40">
        <v>6</v>
      </c>
      <c r="X16" s="33">
        <v>39.6</v>
      </c>
      <c r="Y16" s="40">
        <v>7.1</v>
      </c>
      <c r="Z16" s="34">
        <v>41.5</v>
      </c>
      <c r="AA16" s="37">
        <v>7.8</v>
      </c>
    </row>
    <row r="17" spans="1:27" x14ac:dyDescent="0.2">
      <c r="A17" s="1" t="str" cm="1">
        <f t="array" ref="A17">IF(I17="","",IF(P17&lt;&gt;"",SUMPRODUCT((P$3:P$50&lt;&gt;"")*(G$3:G$50=G17)*(J$3:J$50&gt;J17)*(I$3:I$50="P"))+1,IF(O17&lt;&gt;"",SUMPRODUCT((O$3:O$50&lt;&gt;"")*(P$3:P$50="")*(G$3:G$50=G17)*(J$3:J$50&gt;J17)*(I$3:I$50="P"))+SUMPRODUCT((P$3:P$50&lt;&gt;"")*(G$3:G$50=G17)*(I$3:I$50="P"))+1,IF(N17&lt;&gt;"",SUMPRODUCT((N$3:N$50&lt;&gt;"")*(G$3:G$50=G17)*(J$3:J$50&gt;J17)*(I$3:I$50="P"))+1,IF(M17="P",SUMPRODUCT((O$3:O$50&lt;&gt;"")*(P$3:P$50="")*(G$3:G$50=G17)*(I$3:I$50="P"))+SUMPRODUCT((P$3:P$50&lt;&gt;"")*(G$3:G$50=G17)*(I$3:I$50="P"))+SUMPRODUCT((N$3:N$50&lt;&gt;"")*(G$3:G$50=G17)*(I$3:I$50="P"))+SUMPRODUCT((P$3:P$50="")*(O$3:O$50="")*(N$3:N$50="")*(M$3:M$50="P")*(G$3:G$50=G17)*(J$3:J$50&gt;J17)*(I$3:I$50="P"))+IF(H17="L5",SUMPRODUCT((P$3:P$50="")*(O$3:O$50="")*(N$3:N$50="")*(M$3:M$50="P")*(G$3:G$50=G17)*(J$3:J$50&lt;J17)*(H$3:H$50&lt;&gt;H17)*(I$3:I$50="P")),-1*SUMPRODUCT((P$3:P$50="")*(O$3:O$50="")*(N$3:N$50="")*(M$3:M$50="P")*(G$3:G$50=G17)*(J$3:J$50&gt;J17)*(H$3:H$50="L5")*(I$3:I$50="P")))+1,"")))))</f>
        <v/>
      </c>
      <c r="B17" s="1" t="str" cm="1">
        <f t="array" ref="B17">IF(P17&lt;&gt;"",SUMPRODUCT((P$3:P$50&lt;&gt;"")*(G$3:G$50=G17)*(J$3:J$50&gt;J17))+1,IF(O17&lt;&gt;"",SUMPRODUCT((O$3:O$50&lt;&gt;"")*(P$3:P$50="")*(G$3:G$50=G17)*(J$3:J$50&gt;J17))+SUMPRODUCT((P$3:P$50&lt;&gt;"")*(G$3:G$50=G17))+1,IF(N17&lt;&gt;"",SUMPRODUCT((N$3:N$50&lt;&gt;"")*(G$3:G$50=G17)*(J$3:J$50&gt;J17))+1,IF(M17="P",SUMPRODUCT((O$3:O$50&lt;&gt;"")*(P$3:P$50="")*(G$3:G$50=G17))+SUMPRODUCT((P$3:P$50&lt;&gt;"")*(G$3:G$50=G17))+SUMPRODUCT((N$3:N$50&lt;&gt;"")*(G$3:G$50=G17))+SUMPRODUCT((P$3:P$50="")*(O$3:O$50="")*(N$3:N$50="")*(M$3:M$50="P")*(G$3:G$50=G17)*(J$3:J$50&gt;J17))+IF(H17="L5",SUMPRODUCT((P$3:P$50="")*(O$3:O$50="")*(N$3:N$50="")*(M$3:M$50="P")*(G$3:G$50=G17)*(J$3:J$50&lt;J17)*(H$3:H$50&lt;&gt;H17)),-1*SUMPRODUCT((P$3:P$50="")*(O$3:O$50="")*(N$3:N$50="")*(M$3:M$50="P")*(G$3:G$50=G17)*(J$3:J$50&gt;J17)*(H$3:H$50="L5")))+1,""))))</f>
        <v/>
      </c>
      <c r="C17" s="36" t="s">
        <v>165</v>
      </c>
      <c r="D17" s="36" t="str">
        <f>IF(E17="","",VLOOKUP(E17,'Coaching Points'!A:B,2,0))</f>
        <v>QC</v>
      </c>
      <c r="E17" s="36" t="s">
        <v>312</v>
      </c>
      <c r="F17" s="35">
        <v>2003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66</v>
      </c>
      <c r="I17" s="43"/>
      <c r="J17" s="4">
        <f>R17+S17+IF(OR(H17="Junior",H17="Senior"),0.0002,IF(OR(H17="L7",H17="L6"),0.0001,0))+MAX(X17,Z17)*0.0000001</f>
        <v>82.400004160000009</v>
      </c>
      <c r="K17" s="3" t="str">
        <f>IF(G17="Not Age Eligible","",IF(MAX(T17,V17,X17,Z17)&gt;=LOOKUP(G17,'Qualifying Scores'!$A$4:$A$7,'Qualifying Scores'!$H$4:$H$7),"P",""))</f>
        <v/>
      </c>
      <c r="L17" s="3" t="str">
        <f>IF(G17="Not Age Eligible","",IF(MAX(U17,W17,Y17,AA17)&gt;=LOOKUP(G17,'Qualifying Scores'!$A$10:$A$13,'Qualifying Scores'!$H$10:$H$13),"P",""))</f>
        <v/>
      </c>
      <c r="M17" s="3" t="str">
        <f>IF(G17="Not Age Eligible","",IF(OR(AND(T17&gt;=LOOKUP(G17,'Qualifying Scores'!$A$4:$A$7,'Qualifying Scores'!$H$4:$H$7),U17&gt;=LOOKUP(G17,'Qualifying Scores'!$A$10:$A$13,'Qualifying Scores'!$H$10:$H$13)),AND(X17&gt;=LOOKUP(G17,'Qualifying Scores'!$A$4:$A$7,'Qualifying Scores'!$H$4:$H$7),Y17&gt;=LOOKUP(G17,'Qualifying Scores'!$A$10:$A$13,'Qualifying Scores'!$H$10:$H$13)),AND(V17&gt;=LOOKUP(G17,'Qualifying Scores'!$A$4:$A$7,'Qualifying Scores'!$H$4:$H$7),W17&gt;=LOOKUP(G17,'Qualifying Scores'!$A$10:$A$13,'Qualifying Scores'!$H$10:$H$13)),AND(Z17&gt;=LOOKUP(G17,'Qualifying Scores'!$A$4:$A$7,'Qualifying Scores'!$H$4:$H$7),AA17&gt;=LOOKUP(G17,'Qualifying Scores'!$A$10:$A$13,'Qualifying Scores'!$H$10:$H$13))),"P",""))</f>
        <v/>
      </c>
      <c r="Q17" s="1" t="str">
        <f>IF(A17&lt;5,IF(_xlfn.MAXIFS(A:A,G:G,G17)&gt;3,5-A17,_xlfn.MAXIFS(A:A,G:G,G17)+1-A17),"")</f>
        <v/>
      </c>
      <c r="R17" s="4">
        <f>MAX(T17,X17)</f>
        <v>40.799999999999997</v>
      </c>
      <c r="S17" s="4">
        <f>IF(R17=T17,MAX(V17,X17,Z17),IF(R17=X17,MAX(T17,V17,Z17),0))</f>
        <v>41.6</v>
      </c>
      <c r="T17" s="33">
        <v>38.700000000000003</v>
      </c>
      <c r="U17" s="40">
        <v>5.6999999999999993</v>
      </c>
      <c r="V17" s="34">
        <v>40.6</v>
      </c>
      <c r="W17" s="40">
        <v>6.4</v>
      </c>
      <c r="X17" s="33">
        <v>40.799999999999997</v>
      </c>
      <c r="Y17" s="40">
        <v>7.1</v>
      </c>
      <c r="Z17" s="34">
        <v>41.6</v>
      </c>
      <c r="AA17" s="37">
        <v>6.4</v>
      </c>
    </row>
    <row r="18" spans="1:27" x14ac:dyDescent="0.2">
      <c r="A18" s="1" t="str" cm="1">
        <f t="array" ref="A18">IF(I18="","",IF(P18&lt;&gt;"",SUMPRODUCT((P$3:P$50&lt;&gt;"")*(G$3:G$50=G18)*(J$3:J$50&gt;J18)*(I$3:I$50="P"))+1,IF(O18&lt;&gt;"",SUMPRODUCT((O$3:O$50&lt;&gt;"")*(P$3:P$50="")*(G$3:G$50=G18)*(J$3:J$50&gt;J18)*(I$3:I$50="P"))+SUMPRODUCT((P$3:P$50&lt;&gt;"")*(G$3:G$50=G18)*(I$3:I$50="P"))+1,IF(N18&lt;&gt;"",SUMPRODUCT((N$3:N$50&lt;&gt;"")*(G$3:G$50=G18)*(J$3:J$50&gt;J18)*(I$3:I$50="P"))+1,IF(M18="P",SUMPRODUCT((O$3:O$50&lt;&gt;"")*(P$3:P$50="")*(G$3:G$50=G18)*(I$3:I$50="P"))+SUMPRODUCT((P$3:P$50&lt;&gt;"")*(G$3:G$50=G18)*(I$3:I$50="P"))+SUMPRODUCT((N$3:N$50&lt;&gt;"")*(G$3:G$50=G18)*(I$3:I$50="P"))+SUMPRODUCT((P$3:P$50="")*(O$3:O$50="")*(N$3:N$50="")*(M$3:M$50="P")*(G$3:G$50=G18)*(J$3:J$50&gt;J18)*(I$3:I$50="P"))+IF(H18="L5",SUMPRODUCT((P$3:P$50="")*(O$3:O$50="")*(N$3:N$50="")*(M$3:M$50="P")*(G$3:G$50=G18)*(J$3:J$50&lt;J18)*(H$3:H$50&lt;&gt;H18)*(I$3:I$50="P")),-1*SUMPRODUCT((P$3:P$50="")*(O$3:O$50="")*(N$3:N$50="")*(M$3:M$50="P")*(G$3:G$50=G18)*(J$3:J$50&gt;J18)*(H$3:H$50="L5")*(I$3:I$50="P")))+1,"")))))</f>
        <v/>
      </c>
      <c r="B18" s="1" t="str" cm="1">
        <f t="array" ref="B18">IF(P18&lt;&gt;"",SUMPRODUCT((P$3:P$50&lt;&gt;"")*(G$3:G$50=G18)*(J$3:J$50&gt;J18))+1,IF(O18&lt;&gt;"",SUMPRODUCT((O$3:O$50&lt;&gt;"")*(P$3:P$50="")*(G$3:G$50=G18)*(J$3:J$50&gt;J18))+SUMPRODUCT((P$3:P$50&lt;&gt;"")*(G$3:G$50=G18))+1,IF(N18&lt;&gt;"",SUMPRODUCT((N$3:N$50&lt;&gt;"")*(G$3:G$50=G18)*(J$3:J$50&gt;J18))+1,IF(M18="P",SUMPRODUCT((O$3:O$50&lt;&gt;"")*(P$3:P$50="")*(G$3:G$50=G18))+SUMPRODUCT((P$3:P$50&lt;&gt;"")*(G$3:G$50=G18))+SUMPRODUCT((N$3:N$50&lt;&gt;"")*(G$3:G$50=G18))+SUMPRODUCT((P$3:P$50="")*(O$3:O$50="")*(N$3:N$50="")*(M$3:M$50="P")*(G$3:G$50=G18)*(J$3:J$50&gt;J18))+IF(H18="L5",SUMPRODUCT((P$3:P$50="")*(O$3:O$50="")*(N$3:N$50="")*(M$3:M$50="P")*(G$3:G$50=G18)*(J$3:J$50&lt;J18)*(H$3:H$50&lt;&gt;H18)),-1*SUMPRODUCT((P$3:P$50="")*(O$3:O$50="")*(N$3:N$50="")*(M$3:M$50="P")*(G$3:G$50=G18)*(J$3:J$50&gt;J18)*(H$3:H$50="L5")))+1,""))))</f>
        <v/>
      </c>
      <c r="C18" s="36" t="s">
        <v>166</v>
      </c>
      <c r="D18" s="36" t="str">
        <f>IF(E18="","",VLOOKUP(E18,'Coaching Points'!A:B,2,0))</f>
        <v>ON</v>
      </c>
      <c r="E18" s="36" t="s">
        <v>167</v>
      </c>
      <c r="F18" s="35">
        <v>2005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66</v>
      </c>
      <c r="I18" s="43"/>
      <c r="J18" s="4">
        <f>R18+S18+IF(OR(H18="Junior",H18="Senior"),0.0002,IF(OR(H18="L7",H18="L6"),0.0001,0))+MAX(X18,Z18)*0.0000001</f>
        <v>81.500004099999998</v>
      </c>
      <c r="K18" s="3" t="str">
        <f>IF(G18="Not Age Eligible","",IF(MAX(T18,V18,X18,Z18)&gt;=LOOKUP(G18,'Qualifying Scores'!$A$4:$A$7,'Qualifying Scores'!$H$4:$H$7),"P",""))</f>
        <v/>
      </c>
      <c r="L18" s="3" t="str">
        <f>IF(G18="Not Age Eligible","",IF(MAX(U18,W18,Y18,AA18)&gt;=LOOKUP(G18,'Qualifying Scores'!$A$10:$A$13,'Qualifying Scores'!$H$10:$H$13),"P",""))</f>
        <v/>
      </c>
      <c r="M18" s="3" t="str">
        <f>IF(G18="Not Age Eligible","",IF(OR(AND(T18&gt;=LOOKUP(G18,'Qualifying Scores'!$A$4:$A$7,'Qualifying Scores'!$H$4:$H$7),U18&gt;=LOOKUP(G18,'Qualifying Scores'!$A$10:$A$13,'Qualifying Scores'!$H$10:$H$13)),AND(X18&gt;=LOOKUP(G18,'Qualifying Scores'!$A$4:$A$7,'Qualifying Scores'!$H$4:$H$7),Y18&gt;=LOOKUP(G18,'Qualifying Scores'!$A$10:$A$13,'Qualifying Scores'!$H$10:$H$13)),AND(V18&gt;=LOOKUP(G18,'Qualifying Scores'!$A$4:$A$7,'Qualifying Scores'!$H$4:$H$7),W18&gt;=LOOKUP(G18,'Qualifying Scores'!$A$10:$A$13,'Qualifying Scores'!$H$10:$H$13)),AND(Z18&gt;=LOOKUP(G18,'Qualifying Scores'!$A$4:$A$7,'Qualifying Scores'!$H$4:$H$7),AA18&gt;=LOOKUP(G18,'Qualifying Scores'!$A$10:$A$13,'Qualifying Scores'!$H$10:$H$13))),"P",""))</f>
        <v/>
      </c>
      <c r="Q18" s="1" t="str">
        <f>IF(A18&lt;5,IF(_xlfn.MAXIFS(A:A,G:G,G18)&gt;3,5-A18,_xlfn.MAXIFS(A:A,G:G,G18)+1-A18),"")</f>
        <v/>
      </c>
      <c r="R18" s="4">
        <f>MAX(T18,X18)</f>
        <v>39.799999999999997</v>
      </c>
      <c r="S18" s="4">
        <f>IF(R18=T18,MAX(V18,X18,Z18),IF(R18=X18,MAX(T18,V18,Z18),0))</f>
        <v>41.7</v>
      </c>
      <c r="T18" s="33">
        <v>39.799999999999997</v>
      </c>
      <c r="U18" s="40">
        <v>5.3000000000000007</v>
      </c>
      <c r="V18" s="34">
        <v>41.7</v>
      </c>
      <c r="W18" s="40">
        <v>6.6</v>
      </c>
      <c r="X18" s="33">
        <v>39.4</v>
      </c>
      <c r="Y18" s="40">
        <v>5.3000000000000007</v>
      </c>
      <c r="Z18" s="34">
        <v>41</v>
      </c>
      <c r="AA18" s="37">
        <v>6.6</v>
      </c>
    </row>
    <row r="19" spans="1:27" x14ac:dyDescent="0.2">
      <c r="A19" s="1" t="str" cm="1">
        <f t="array" ref="A19">IF(I19="","",IF(P19&lt;&gt;"",SUMPRODUCT((P$3:P$50&lt;&gt;"")*(G$3:G$50=G19)*(J$3:J$50&gt;J19)*(I$3:I$50="P"))+1,IF(O19&lt;&gt;"",SUMPRODUCT((O$3:O$50&lt;&gt;"")*(P$3:P$50="")*(G$3:G$50=G19)*(J$3:J$50&gt;J19)*(I$3:I$50="P"))+SUMPRODUCT((P$3:P$50&lt;&gt;"")*(G$3:G$50=G19)*(I$3:I$50="P"))+1,IF(N19&lt;&gt;"",SUMPRODUCT((N$3:N$50&lt;&gt;"")*(G$3:G$50=G19)*(J$3:J$50&gt;J19)*(I$3:I$50="P"))+1,IF(M19="P",SUMPRODUCT((O$3:O$50&lt;&gt;"")*(P$3:P$50="")*(G$3:G$50=G19)*(I$3:I$50="P"))+SUMPRODUCT((P$3:P$50&lt;&gt;"")*(G$3:G$50=G19)*(I$3:I$50="P"))+SUMPRODUCT((N$3:N$50&lt;&gt;"")*(G$3:G$50=G19)*(I$3:I$50="P"))+SUMPRODUCT((P$3:P$50="")*(O$3:O$50="")*(N$3:N$50="")*(M$3:M$50="P")*(G$3:G$50=G19)*(J$3:J$50&gt;J19)*(I$3:I$50="P"))+IF(H19="L5",SUMPRODUCT((P$3:P$50="")*(O$3:O$50="")*(N$3:N$50="")*(M$3:M$50="P")*(G$3:G$50=G19)*(J$3:J$50&lt;J19)*(H$3:H$50&lt;&gt;H19)*(I$3:I$50="P")),-1*SUMPRODUCT((P$3:P$50="")*(O$3:O$50="")*(N$3:N$50="")*(M$3:M$50="P")*(G$3:G$50=G19)*(J$3:J$50&gt;J19)*(H$3:H$50="L5")*(I$3:I$50="P")))+1,"")))))</f>
        <v/>
      </c>
      <c r="B19" s="1" t="str" cm="1">
        <f t="array" ref="B19">IF(P19&lt;&gt;"",SUMPRODUCT((P$3:P$50&lt;&gt;"")*(G$3:G$50=G19)*(J$3:J$50&gt;J19))+1,IF(O19&lt;&gt;"",SUMPRODUCT((O$3:O$50&lt;&gt;"")*(P$3:P$50="")*(G$3:G$50=G19)*(J$3:J$50&gt;J19))+SUMPRODUCT((P$3:P$50&lt;&gt;"")*(G$3:G$50=G19))+1,IF(N19&lt;&gt;"",SUMPRODUCT((N$3:N$50&lt;&gt;"")*(G$3:G$50=G19)*(J$3:J$50&gt;J19))+1,IF(M19="P",SUMPRODUCT((O$3:O$50&lt;&gt;"")*(P$3:P$50="")*(G$3:G$50=G19))+SUMPRODUCT((P$3:P$50&lt;&gt;"")*(G$3:G$50=G19))+SUMPRODUCT((N$3:N$50&lt;&gt;"")*(G$3:G$50=G19))+SUMPRODUCT((P$3:P$50="")*(O$3:O$50="")*(N$3:N$50="")*(M$3:M$50="P")*(G$3:G$50=G19)*(J$3:J$50&gt;J19))+IF(H19="L5",SUMPRODUCT((P$3:P$50="")*(O$3:O$50="")*(N$3:N$50="")*(M$3:M$50="P")*(G$3:G$50=G19)*(J$3:J$50&lt;J19)*(H$3:H$50&lt;&gt;H19)),-1*SUMPRODUCT((P$3:P$50="")*(O$3:O$50="")*(N$3:N$50="")*(M$3:M$50="P")*(G$3:G$50=G19)*(J$3:J$50&gt;J19)*(H$3:H$50="L5")))+1,""))))</f>
        <v/>
      </c>
      <c r="C19" s="36" t="s">
        <v>172</v>
      </c>
      <c r="D19" s="36" t="str">
        <f>IF(E19="","",VLOOKUP(E19,'Coaching Points'!A:B,2,0))</f>
        <v>AB</v>
      </c>
      <c r="E19" s="36" t="s">
        <v>29</v>
      </c>
      <c r="F19" s="35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68</v>
      </c>
      <c r="I19" s="43"/>
      <c r="J19" s="4">
        <f>R19+S19+IF(OR(H19="Junior",H19="Senior"),0.0002,IF(OR(H19="L7",H19="L6"),0.0001,0))+MAX(X19,Z19)*0.0000001</f>
        <v>81.000104160000006</v>
      </c>
      <c r="K19" s="3" t="str">
        <f>IF(G19="Not Age Eligible","",IF(MAX(T19,V19,X19,Z19)&gt;=LOOKUP(G19,'Qualifying Scores'!$A$4:$A$7,'Qualifying Scores'!$H$4:$H$7),"P",""))</f>
        <v/>
      </c>
      <c r="L19" s="3" t="str">
        <f>IF(G19="Not Age Eligible","",IF(MAX(U19,W19,Y19,AA19)&gt;=LOOKUP(G19,'Qualifying Scores'!$A$10:$A$13,'Qualifying Scores'!$H$10:$H$13),"P",""))</f>
        <v>P</v>
      </c>
      <c r="M19" s="3" t="str">
        <f>IF(G19="Not Age Eligible","",IF(OR(AND(T19&gt;=LOOKUP(G19,'Qualifying Scores'!$A$4:$A$7,'Qualifying Scores'!$H$4:$H$7),U19&gt;=LOOKUP(G19,'Qualifying Scores'!$A$10:$A$13,'Qualifying Scores'!$H$10:$H$13)),AND(X19&gt;=LOOKUP(G19,'Qualifying Scores'!$A$4:$A$7,'Qualifying Scores'!$H$4:$H$7),Y19&gt;=LOOKUP(G19,'Qualifying Scores'!$A$10:$A$13,'Qualifying Scores'!$H$10:$H$13)),AND(V19&gt;=LOOKUP(G19,'Qualifying Scores'!$A$4:$A$7,'Qualifying Scores'!$H$4:$H$7),W19&gt;=LOOKUP(G19,'Qualifying Scores'!$A$10:$A$13,'Qualifying Scores'!$H$10:$H$13)),AND(Z19&gt;=LOOKUP(G19,'Qualifying Scores'!$A$4:$A$7,'Qualifying Scores'!$H$4:$H$7),AA19&gt;=LOOKUP(G19,'Qualifying Scores'!$A$10:$A$13,'Qualifying Scores'!$H$10:$H$13))),"P",""))</f>
        <v/>
      </c>
      <c r="Q19" s="1" t="str">
        <f>IF(A19&lt;5,IF(_xlfn.MAXIFS(A:A,G:G,G19)&gt;3,5-A19,_xlfn.MAXIFS(A:A,G:G,G19)+1-A19),"")</f>
        <v/>
      </c>
      <c r="R19" s="4">
        <f>MAX(T19,X19)</f>
        <v>41.6</v>
      </c>
      <c r="S19" s="4">
        <f>IF(R19=T19,MAX(V19,X19,Z19),IF(R19=X19,MAX(T19,V19,Z19),0))</f>
        <v>39.4</v>
      </c>
      <c r="T19" s="33">
        <v>32.4</v>
      </c>
      <c r="U19" s="40">
        <v>5.4</v>
      </c>
      <c r="V19" s="34">
        <v>39.4</v>
      </c>
      <c r="W19" s="40">
        <v>8.1</v>
      </c>
      <c r="X19" s="33">
        <v>41.6</v>
      </c>
      <c r="Y19" s="40">
        <v>10.3</v>
      </c>
      <c r="Z19" s="34">
        <v>38.96</v>
      </c>
      <c r="AA19" s="37">
        <v>7.6999999999999993</v>
      </c>
    </row>
    <row r="20" spans="1:27" x14ac:dyDescent="0.2">
      <c r="A20" s="1" t="str" cm="1">
        <f t="array" ref="A20">IF(I20="","",IF(P20&lt;&gt;"",SUMPRODUCT((P$3:P$50&lt;&gt;"")*(G$3:G$50=G20)*(J$3:J$50&gt;J20)*(I$3:I$50="P"))+1,IF(O20&lt;&gt;"",SUMPRODUCT((O$3:O$50&lt;&gt;"")*(P$3:P$50="")*(G$3:G$50=G20)*(J$3:J$50&gt;J20)*(I$3:I$50="P"))+SUMPRODUCT((P$3:P$50&lt;&gt;"")*(G$3:G$50=G20)*(I$3:I$50="P"))+1,IF(N20&lt;&gt;"",SUMPRODUCT((N$3:N$50&lt;&gt;"")*(G$3:G$50=G20)*(J$3:J$50&gt;J20)*(I$3:I$50="P"))+1,IF(M20="P",SUMPRODUCT((O$3:O$50&lt;&gt;"")*(P$3:P$50="")*(G$3:G$50=G20)*(I$3:I$50="P"))+SUMPRODUCT((P$3:P$50&lt;&gt;"")*(G$3:G$50=G20)*(I$3:I$50="P"))+SUMPRODUCT((N$3:N$50&lt;&gt;"")*(G$3:G$50=G20)*(I$3:I$50="P"))+SUMPRODUCT((P$3:P$50="")*(O$3:O$50="")*(N$3:N$50="")*(M$3:M$50="P")*(G$3:G$50=G20)*(J$3:J$50&gt;J20)*(I$3:I$50="P"))+IF(H20="L5",SUMPRODUCT((P$3:P$50="")*(O$3:O$50="")*(N$3:N$50="")*(M$3:M$50="P")*(G$3:G$50=G20)*(J$3:J$50&lt;J20)*(H$3:H$50&lt;&gt;H20)*(I$3:I$50="P")),-1*SUMPRODUCT((P$3:P$50="")*(O$3:O$50="")*(N$3:N$50="")*(M$3:M$50="P")*(G$3:G$50=G20)*(J$3:J$50&gt;J20)*(H$3:H$50="L5")*(I$3:I$50="P")))+1,"")))))</f>
        <v/>
      </c>
      <c r="B20" s="1" t="str" cm="1">
        <f t="array" ref="B20">IF(P20&lt;&gt;"",SUMPRODUCT((P$3:P$50&lt;&gt;"")*(G$3:G$50=G20)*(J$3:J$50&gt;J20))+1,IF(O20&lt;&gt;"",SUMPRODUCT((O$3:O$50&lt;&gt;"")*(P$3:P$50="")*(G$3:G$50=G20)*(J$3:J$50&gt;J20))+SUMPRODUCT((P$3:P$50&lt;&gt;"")*(G$3:G$50=G20))+1,IF(N20&lt;&gt;"",SUMPRODUCT((N$3:N$50&lt;&gt;"")*(G$3:G$50=G20)*(J$3:J$50&gt;J20))+1,IF(M20="P",SUMPRODUCT((O$3:O$50&lt;&gt;"")*(P$3:P$50="")*(G$3:G$50=G20))+SUMPRODUCT((P$3:P$50&lt;&gt;"")*(G$3:G$50=G20))+SUMPRODUCT((N$3:N$50&lt;&gt;"")*(G$3:G$50=G20))+SUMPRODUCT((P$3:P$50="")*(O$3:O$50="")*(N$3:N$50="")*(M$3:M$50="P")*(G$3:G$50=G20)*(J$3:J$50&gt;J20))+IF(H20="L5",SUMPRODUCT((P$3:P$50="")*(O$3:O$50="")*(N$3:N$50="")*(M$3:M$50="P")*(G$3:G$50=G20)*(J$3:J$50&lt;J20)*(H$3:H$50&lt;&gt;H20)),-1*SUMPRODUCT((P$3:P$50="")*(O$3:O$50="")*(N$3:N$50="")*(M$3:M$50="P")*(G$3:G$50=G20)*(J$3:J$50&gt;J20)*(H$3:H$50="L5")))+1,""))))</f>
        <v/>
      </c>
      <c r="C20" s="36" t="s">
        <v>317</v>
      </c>
      <c r="D20" s="36" t="str">
        <f>IF(E20="","",VLOOKUP(E20,'Coaching Points'!A:B,2,0))</f>
        <v>AB</v>
      </c>
      <c r="E20" s="36" t="s">
        <v>29</v>
      </c>
      <c r="F20" s="35">
        <v>2005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68</v>
      </c>
      <c r="I20" s="43" t="s">
        <v>567</v>
      </c>
      <c r="J20" s="4">
        <f>R20+S20+IF(OR(H20="Junior",H20="Senior"),0.0002,IF(OR(H20="L7",H20="L6"),0.0001,0))+MAX(X20,Z20)*0.0000001</f>
        <v>79.50010417</v>
      </c>
      <c r="K20" s="3" t="str">
        <f>IF(G20="Not Age Eligible","",IF(MAX(T20,V20,X20,Z20)&gt;=LOOKUP(G20,'Qualifying Scores'!$A$4:$A$7,'Qualifying Scores'!$H$4:$H$7),"P",""))</f>
        <v/>
      </c>
      <c r="L20" s="3" t="str">
        <f>IF(G20="Not Age Eligible","",IF(MAX(U20,W20,Y20,AA20)&gt;=LOOKUP(G20,'Qualifying Scores'!$A$10:$A$13,'Qualifying Scores'!$H$10:$H$13),"P",""))</f>
        <v>P</v>
      </c>
      <c r="M20" s="3" t="str">
        <f>IF(G20="Not Age Eligible","",IF(OR(AND(T20&gt;=LOOKUP(G20,'Qualifying Scores'!$A$4:$A$7,'Qualifying Scores'!$H$4:$H$7),U20&gt;=LOOKUP(G20,'Qualifying Scores'!$A$10:$A$13,'Qualifying Scores'!$H$10:$H$13)),AND(X20&gt;=LOOKUP(G20,'Qualifying Scores'!$A$4:$A$7,'Qualifying Scores'!$H$4:$H$7),Y20&gt;=LOOKUP(G20,'Qualifying Scores'!$A$10:$A$13,'Qualifying Scores'!$H$10:$H$13)),AND(V20&gt;=LOOKUP(G20,'Qualifying Scores'!$A$4:$A$7,'Qualifying Scores'!$H$4:$H$7),W20&gt;=LOOKUP(G20,'Qualifying Scores'!$A$10:$A$13,'Qualifying Scores'!$H$10:$H$13)),AND(Z20&gt;=LOOKUP(G20,'Qualifying Scores'!$A$4:$A$7,'Qualifying Scores'!$H$4:$H$7),AA20&gt;=LOOKUP(G20,'Qualifying Scores'!$A$10:$A$13,'Qualifying Scores'!$H$10:$H$13))),"P",""))</f>
        <v/>
      </c>
      <c r="Q20" s="1" t="str">
        <f>IF(A20&lt;5,IF(_xlfn.MAXIFS(A:A,G:G,G20)&gt;3,5-A20,_xlfn.MAXIFS(A:A,G:G,G20)+1-A20),"")</f>
        <v/>
      </c>
      <c r="R20" s="4">
        <f>MAX(T20,X20)</f>
        <v>37.799999999999997</v>
      </c>
      <c r="S20" s="4">
        <f>IF(R20=T20,MAX(V20,X20,Z20),IF(R20=X20,MAX(T20,V20,Z20),0))</f>
        <v>41.7</v>
      </c>
      <c r="T20" s="33">
        <v>32.9</v>
      </c>
      <c r="U20" s="40">
        <v>6</v>
      </c>
      <c r="V20" s="34">
        <v>39.299999999999997</v>
      </c>
      <c r="W20" s="40">
        <v>7.1</v>
      </c>
      <c r="X20" s="33">
        <v>37.799999999999997</v>
      </c>
      <c r="Y20" s="40">
        <v>7.1999999999999993</v>
      </c>
      <c r="Z20" s="34">
        <v>41.7</v>
      </c>
      <c r="AA20" s="37">
        <v>10.1</v>
      </c>
    </row>
    <row r="21" spans="1:27" x14ac:dyDescent="0.2">
      <c r="A21" s="1" t="str" cm="1">
        <f t="array" ref="A21">IF(I21="","",IF(P21&lt;&gt;"",SUMPRODUCT((P$3:P$50&lt;&gt;"")*(G$3:G$50=G21)*(J$3:J$50&gt;J21)*(I$3:I$50="P"))+1,IF(O21&lt;&gt;"",SUMPRODUCT((O$3:O$50&lt;&gt;"")*(P$3:P$50="")*(G$3:G$50=G21)*(J$3:J$50&gt;J21)*(I$3:I$50="P"))+SUMPRODUCT((P$3:P$50&lt;&gt;"")*(G$3:G$50=G21)*(I$3:I$50="P"))+1,IF(N21&lt;&gt;"",SUMPRODUCT((N$3:N$50&lt;&gt;"")*(G$3:G$50=G21)*(J$3:J$50&gt;J21)*(I$3:I$50="P"))+1,IF(M21="P",SUMPRODUCT((O$3:O$50&lt;&gt;"")*(P$3:P$50="")*(G$3:G$50=G21)*(I$3:I$50="P"))+SUMPRODUCT((P$3:P$50&lt;&gt;"")*(G$3:G$50=G21)*(I$3:I$50="P"))+SUMPRODUCT((N$3:N$50&lt;&gt;"")*(G$3:G$50=G21)*(I$3:I$50="P"))+SUMPRODUCT((P$3:P$50="")*(O$3:O$50="")*(N$3:N$50="")*(M$3:M$50="P")*(G$3:G$50=G21)*(J$3:J$50&gt;J21)*(I$3:I$50="P"))+IF(H21="L5",SUMPRODUCT((P$3:P$50="")*(O$3:O$50="")*(N$3:N$50="")*(M$3:M$50="P")*(G$3:G$50=G21)*(J$3:J$50&lt;J21)*(H$3:H$50&lt;&gt;H21)*(I$3:I$50="P")),-1*SUMPRODUCT((P$3:P$50="")*(O$3:O$50="")*(N$3:N$50="")*(M$3:M$50="P")*(G$3:G$50=G21)*(J$3:J$50&gt;J21)*(H$3:H$50="L5")*(I$3:I$50="P")))+1,"")))))</f>
        <v/>
      </c>
      <c r="B21" s="1" t="str" cm="1">
        <f t="array" ref="B21">IF(P21&lt;&gt;"",SUMPRODUCT((P$3:P$50&lt;&gt;"")*(G$3:G$50=G21)*(J$3:J$50&gt;J21))+1,IF(O21&lt;&gt;"",SUMPRODUCT((O$3:O$50&lt;&gt;"")*(P$3:P$50="")*(G$3:G$50=G21)*(J$3:J$50&gt;J21))+SUMPRODUCT((P$3:P$50&lt;&gt;"")*(G$3:G$50=G21))+1,IF(N21&lt;&gt;"",SUMPRODUCT((N$3:N$50&lt;&gt;"")*(G$3:G$50=G21)*(J$3:J$50&gt;J21))+1,IF(M21="P",SUMPRODUCT((O$3:O$50&lt;&gt;"")*(P$3:P$50="")*(G$3:G$50=G21))+SUMPRODUCT((P$3:P$50&lt;&gt;"")*(G$3:G$50=G21))+SUMPRODUCT((N$3:N$50&lt;&gt;"")*(G$3:G$50=G21))+SUMPRODUCT((P$3:P$50="")*(O$3:O$50="")*(N$3:N$50="")*(M$3:M$50="P")*(G$3:G$50=G21)*(J$3:J$50&gt;J21))+IF(H21="L5",SUMPRODUCT((P$3:P$50="")*(O$3:O$50="")*(N$3:N$50="")*(M$3:M$50="P")*(G$3:G$50=G21)*(J$3:J$50&lt;J21)*(H$3:H$50&lt;&gt;H21)),-1*SUMPRODUCT((P$3:P$50="")*(O$3:O$50="")*(N$3:N$50="")*(M$3:M$50="P")*(G$3:G$50=G21)*(J$3:J$50&gt;J21)*(H$3:H$50="L5")))+1,""))))</f>
        <v/>
      </c>
      <c r="C21" s="36" t="s">
        <v>168</v>
      </c>
      <c r="D21" s="36" t="str">
        <f>IF(E21="","",VLOOKUP(E21,'Coaching Points'!A:B,2,0))</f>
        <v>AB</v>
      </c>
      <c r="E21" s="36" t="s">
        <v>64</v>
      </c>
      <c r="F21" s="35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66</v>
      </c>
      <c r="I21" s="43"/>
      <c r="J21" s="4">
        <f>R21+S21+IF(OR(H21="Junior",H21="Senior"),0.0002,IF(OR(H21="L7",H21="L6"),0.0001,0))+MAX(X21,Z21)*0.0000001</f>
        <v>79.300003939999996</v>
      </c>
      <c r="K21" s="3" t="str">
        <f>IF(G21="Not Age Eligible","",IF(MAX(T21,V21,X21,Z21)&gt;=LOOKUP(G21,'Qualifying Scores'!$A$4:$A$7,'Qualifying Scores'!$H$4:$H$7),"P",""))</f>
        <v/>
      </c>
      <c r="L21" s="3" t="str">
        <f>IF(G21="Not Age Eligible","",IF(MAX(U21,W21,Y21,AA21)&gt;=LOOKUP(G21,'Qualifying Scores'!$A$10:$A$13,'Qualifying Scores'!$H$10:$H$13),"P",""))</f>
        <v/>
      </c>
      <c r="M21" s="3" t="str">
        <f>IF(G21="Not Age Eligible","",IF(OR(AND(T21&gt;=LOOKUP(G21,'Qualifying Scores'!$A$4:$A$7,'Qualifying Scores'!$H$4:$H$7),U21&gt;=LOOKUP(G21,'Qualifying Scores'!$A$10:$A$13,'Qualifying Scores'!$H$10:$H$13)),AND(X21&gt;=LOOKUP(G21,'Qualifying Scores'!$A$4:$A$7,'Qualifying Scores'!$H$4:$H$7),Y21&gt;=LOOKUP(G21,'Qualifying Scores'!$A$10:$A$13,'Qualifying Scores'!$H$10:$H$13)),AND(V21&gt;=LOOKUP(G21,'Qualifying Scores'!$A$4:$A$7,'Qualifying Scores'!$H$4:$H$7),W21&gt;=LOOKUP(G21,'Qualifying Scores'!$A$10:$A$13,'Qualifying Scores'!$H$10:$H$13)),AND(Z21&gt;=LOOKUP(G21,'Qualifying Scores'!$A$4:$A$7,'Qualifying Scores'!$H$4:$H$7),AA21&gt;=LOOKUP(G21,'Qualifying Scores'!$A$10:$A$13,'Qualifying Scores'!$H$10:$H$13))),"P",""))</f>
        <v/>
      </c>
      <c r="Q21" s="1" t="str">
        <f>IF(A21&lt;5,IF(_xlfn.MAXIFS(A:A,G:G,G21)&gt;3,5-A21,_xlfn.MAXIFS(A:A,G:G,G21)+1-A21),"")</f>
        <v/>
      </c>
      <c r="R21" s="4">
        <f>MAX(T21,X21)</f>
        <v>39.4</v>
      </c>
      <c r="S21" s="4">
        <f>IF(R21=T21,MAX(V21,X21,Z21),IF(R21=X21,MAX(T21,V21,Z21),0))</f>
        <v>39.9</v>
      </c>
      <c r="T21" s="33">
        <v>35.799999999999997</v>
      </c>
      <c r="U21" s="40">
        <v>4.4000000000000004</v>
      </c>
      <c r="V21" s="34">
        <v>39.9</v>
      </c>
      <c r="W21" s="40">
        <v>6.4</v>
      </c>
      <c r="X21" s="33">
        <v>39.4</v>
      </c>
      <c r="Y21" s="40">
        <v>7.8</v>
      </c>
      <c r="Z21" s="34">
        <v>39.200000000000003</v>
      </c>
      <c r="AA21" s="37">
        <v>7.8</v>
      </c>
    </row>
    <row r="22" spans="1:27" x14ac:dyDescent="0.2">
      <c r="A22" s="1" t="str" cm="1">
        <f t="array" ref="A22">IF(I22="","",IF(P22&lt;&gt;"",SUMPRODUCT((P$3:P$50&lt;&gt;"")*(G$3:G$50=G22)*(J$3:J$50&gt;J22)*(I$3:I$50="P"))+1,IF(O22&lt;&gt;"",SUMPRODUCT((O$3:O$50&lt;&gt;"")*(P$3:P$50="")*(G$3:G$50=G22)*(J$3:J$50&gt;J22)*(I$3:I$50="P"))+SUMPRODUCT((P$3:P$50&lt;&gt;"")*(G$3:G$50=G22)*(I$3:I$50="P"))+1,IF(N22&lt;&gt;"",SUMPRODUCT((N$3:N$50&lt;&gt;"")*(G$3:G$50=G22)*(J$3:J$50&gt;J22)*(I$3:I$50="P"))+1,IF(M22="P",SUMPRODUCT((O$3:O$50&lt;&gt;"")*(P$3:P$50="")*(G$3:G$50=G22)*(I$3:I$50="P"))+SUMPRODUCT((P$3:P$50&lt;&gt;"")*(G$3:G$50=G22)*(I$3:I$50="P"))+SUMPRODUCT((N$3:N$50&lt;&gt;"")*(G$3:G$50=G22)*(I$3:I$50="P"))+SUMPRODUCT((P$3:P$50="")*(O$3:O$50="")*(N$3:N$50="")*(M$3:M$50="P")*(G$3:G$50=G22)*(J$3:J$50&gt;J22)*(I$3:I$50="P"))+IF(H22="L5",SUMPRODUCT((P$3:P$50="")*(O$3:O$50="")*(N$3:N$50="")*(M$3:M$50="P")*(G$3:G$50=G22)*(J$3:J$50&lt;J22)*(H$3:H$50&lt;&gt;H22)*(I$3:I$50="P")),-1*SUMPRODUCT((P$3:P$50="")*(O$3:O$50="")*(N$3:N$50="")*(M$3:M$50="P")*(G$3:G$50=G22)*(J$3:J$50&gt;J22)*(H$3:H$50="L5")*(I$3:I$50="P")))+1,"")))))</f>
        <v/>
      </c>
      <c r="B22" s="1" t="str" cm="1">
        <f t="array" ref="B22">IF(P22&lt;&gt;"",SUMPRODUCT((P$3:P$50&lt;&gt;"")*(G$3:G$50=G22)*(J$3:J$50&gt;J22))+1,IF(O22&lt;&gt;"",SUMPRODUCT((O$3:O$50&lt;&gt;"")*(P$3:P$50="")*(G$3:G$50=G22)*(J$3:J$50&gt;J22))+SUMPRODUCT((P$3:P$50&lt;&gt;"")*(G$3:G$50=G22))+1,IF(N22&lt;&gt;"",SUMPRODUCT((N$3:N$50&lt;&gt;"")*(G$3:G$50=G22)*(J$3:J$50&gt;J22))+1,IF(M22="P",SUMPRODUCT((O$3:O$50&lt;&gt;"")*(P$3:P$50="")*(G$3:G$50=G22))+SUMPRODUCT((P$3:P$50&lt;&gt;"")*(G$3:G$50=G22))+SUMPRODUCT((N$3:N$50&lt;&gt;"")*(G$3:G$50=G22))+SUMPRODUCT((P$3:P$50="")*(O$3:O$50="")*(N$3:N$50="")*(M$3:M$50="P")*(G$3:G$50=G22)*(J$3:J$50&gt;J22))+IF(H22="L5",SUMPRODUCT((P$3:P$50="")*(O$3:O$50="")*(N$3:N$50="")*(M$3:M$50="P")*(G$3:G$50=G22)*(J$3:J$50&lt;J22)*(H$3:H$50&lt;&gt;H22)),-1*SUMPRODUCT((P$3:P$50="")*(O$3:O$50="")*(N$3:N$50="")*(M$3:M$50="P")*(G$3:G$50=G22)*(J$3:J$50&gt;J22)*(H$3:H$50="L5")))+1,""))))</f>
        <v/>
      </c>
      <c r="C22" s="36" t="s">
        <v>344</v>
      </c>
      <c r="D22" s="36" t="str">
        <f>IF(E22="","",VLOOKUP(E22,'Coaching Points'!A:B,2,0))</f>
        <v>BC</v>
      </c>
      <c r="E22" s="36" t="s">
        <v>41</v>
      </c>
      <c r="F22" s="35">
        <v>2005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68</v>
      </c>
      <c r="I22" s="43" t="s">
        <v>567</v>
      </c>
      <c r="J22" s="4">
        <f>R22+S22+IF(OR(H22="Junior",H22="Senior"),0.0002,IF(OR(H22="L7",H22="L6"),0.0001,0))+MAX(X22,Z22)*0.0000001</f>
        <v>79.20010323999999</v>
      </c>
      <c r="K22" s="3" t="str">
        <f>IF(G22="Not Age Eligible","",IF(MAX(T22,V22,X22,Z22)&gt;=LOOKUP(G22,'Qualifying Scores'!$A$4:$A$7,'Qualifying Scores'!$H$4:$H$7),"P",""))</f>
        <v/>
      </c>
      <c r="L22" s="3" t="str">
        <f>IF(G22="Not Age Eligible","",IF(MAX(U22,W22,Y22,AA22)&gt;=LOOKUP(G22,'Qualifying Scores'!$A$10:$A$13,'Qualifying Scores'!$H$10:$H$13),"P",""))</f>
        <v/>
      </c>
      <c r="M22" s="3" t="str">
        <f>IF(G22="Not Age Eligible","",IF(OR(AND(T22&gt;=LOOKUP(G22,'Qualifying Scores'!$A$4:$A$7,'Qualifying Scores'!$H$4:$H$7),U22&gt;=LOOKUP(G22,'Qualifying Scores'!$A$10:$A$13,'Qualifying Scores'!$H$10:$H$13)),AND(X22&gt;=LOOKUP(G22,'Qualifying Scores'!$A$4:$A$7,'Qualifying Scores'!$H$4:$H$7),Y22&gt;=LOOKUP(G22,'Qualifying Scores'!$A$10:$A$13,'Qualifying Scores'!$H$10:$H$13)),AND(V22&gt;=LOOKUP(G22,'Qualifying Scores'!$A$4:$A$7,'Qualifying Scores'!$H$4:$H$7),W22&gt;=LOOKUP(G22,'Qualifying Scores'!$A$10:$A$13,'Qualifying Scores'!$H$10:$H$13)),AND(Z22&gt;=LOOKUP(G22,'Qualifying Scores'!$A$4:$A$7,'Qualifying Scores'!$H$4:$H$7),AA22&gt;=LOOKUP(G22,'Qualifying Scores'!$A$10:$A$13,'Qualifying Scores'!$H$10:$H$13))),"P",""))</f>
        <v/>
      </c>
      <c r="Q22" s="1" t="str">
        <f>IF(A22&lt;5,IF(_xlfn.MAXIFS(A:A,G:G,G22)&gt;3,5-A22,_xlfn.MAXIFS(A:A,G:G,G22)+1-A22),"")</f>
        <v/>
      </c>
      <c r="R22" s="4">
        <f>MAX(T22,X22)</f>
        <v>38.799999999999997</v>
      </c>
      <c r="S22" s="4">
        <f>IF(R22=T22,MAX(V22,X22,Z22),IF(R22=X22,MAX(T22,V22,Z22),0))</f>
        <v>40.4</v>
      </c>
      <c r="T22" s="33">
        <v>38.799999999999997</v>
      </c>
      <c r="U22" s="40">
        <v>7.3</v>
      </c>
      <c r="V22" s="34">
        <v>40.4</v>
      </c>
      <c r="W22" s="40">
        <v>7.5</v>
      </c>
      <c r="X22" s="33">
        <v>32.4</v>
      </c>
      <c r="Y22" s="40">
        <v>7.1</v>
      </c>
      <c r="Z22" s="34"/>
      <c r="AA22" s="37"/>
    </row>
    <row r="23" spans="1:27" x14ac:dyDescent="0.2">
      <c r="A23" s="1" t="str" cm="1">
        <f t="array" ref="A23">IF(I23="","",IF(P23&lt;&gt;"",SUMPRODUCT((P$3:P$50&lt;&gt;"")*(G$3:G$50=G23)*(J$3:J$50&gt;J23)*(I$3:I$50="P"))+1,IF(O23&lt;&gt;"",SUMPRODUCT((O$3:O$50&lt;&gt;"")*(P$3:P$50="")*(G$3:G$50=G23)*(J$3:J$50&gt;J23)*(I$3:I$50="P"))+SUMPRODUCT((P$3:P$50&lt;&gt;"")*(G$3:G$50=G23)*(I$3:I$50="P"))+1,IF(N23&lt;&gt;"",SUMPRODUCT((N$3:N$50&lt;&gt;"")*(G$3:G$50=G23)*(J$3:J$50&gt;J23)*(I$3:I$50="P"))+1,IF(M23="P",SUMPRODUCT((O$3:O$50&lt;&gt;"")*(P$3:P$50="")*(G$3:G$50=G23)*(I$3:I$50="P"))+SUMPRODUCT((P$3:P$50&lt;&gt;"")*(G$3:G$50=G23)*(I$3:I$50="P"))+SUMPRODUCT((N$3:N$50&lt;&gt;"")*(G$3:G$50=G23)*(I$3:I$50="P"))+SUMPRODUCT((P$3:P$50="")*(O$3:O$50="")*(N$3:N$50="")*(M$3:M$50="P")*(G$3:G$50=G23)*(J$3:J$50&gt;J23)*(I$3:I$50="P"))+IF(H23="L5",SUMPRODUCT((P$3:P$50="")*(O$3:O$50="")*(N$3:N$50="")*(M$3:M$50="P")*(G$3:G$50=G23)*(J$3:J$50&lt;J23)*(H$3:H$50&lt;&gt;H23)*(I$3:I$50="P")),-1*SUMPRODUCT((P$3:P$50="")*(O$3:O$50="")*(N$3:N$50="")*(M$3:M$50="P")*(G$3:G$50=G23)*(J$3:J$50&gt;J23)*(H$3:H$50="L5")*(I$3:I$50="P")))+1,"")))))</f>
        <v/>
      </c>
      <c r="B23" s="1" t="str" cm="1">
        <f t="array" ref="B23">IF(P23&lt;&gt;"",SUMPRODUCT((P$3:P$50&lt;&gt;"")*(G$3:G$50=G23)*(J$3:J$50&gt;J23))+1,IF(O23&lt;&gt;"",SUMPRODUCT((O$3:O$50&lt;&gt;"")*(P$3:P$50="")*(G$3:G$50=G23)*(J$3:J$50&gt;J23))+SUMPRODUCT((P$3:P$50&lt;&gt;"")*(G$3:G$50=G23))+1,IF(N23&lt;&gt;"",SUMPRODUCT((N$3:N$50&lt;&gt;"")*(G$3:G$50=G23)*(J$3:J$50&gt;J23))+1,IF(M23="P",SUMPRODUCT((O$3:O$50&lt;&gt;"")*(P$3:P$50="")*(G$3:G$50=G23))+SUMPRODUCT((P$3:P$50&lt;&gt;"")*(G$3:G$50=G23))+SUMPRODUCT((N$3:N$50&lt;&gt;"")*(G$3:G$50=G23))+SUMPRODUCT((P$3:P$50="")*(O$3:O$50="")*(N$3:N$50="")*(M$3:M$50="P")*(G$3:G$50=G23)*(J$3:J$50&gt;J23))+IF(H23="L5",SUMPRODUCT((P$3:P$50="")*(O$3:O$50="")*(N$3:N$50="")*(M$3:M$50="P")*(G$3:G$50=G23)*(J$3:J$50&lt;J23)*(H$3:H$50&lt;&gt;H23)),-1*SUMPRODUCT((P$3:P$50="")*(O$3:O$50="")*(N$3:N$50="")*(M$3:M$50="P")*(G$3:G$50=G23)*(J$3:J$50&gt;J23)*(H$3:H$50="L5")))+1,""))))</f>
        <v/>
      </c>
      <c r="C23" s="36" t="s">
        <v>275</v>
      </c>
      <c r="D23" s="36" t="str">
        <f>IF(E23="","",VLOOKUP(E23,'Coaching Points'!A:B,2,0))</f>
        <v>ON</v>
      </c>
      <c r="E23" s="36" t="s">
        <v>290</v>
      </c>
      <c r="F23" s="35">
        <v>2006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66</v>
      </c>
      <c r="I23" s="43"/>
      <c r="J23" s="4">
        <f>R23+S23+IF(OR(H23="Junior",H23="Senior"),0.0002,IF(OR(H23="L7",H23="L6"),0.0001,0))+MAX(X23,Z23)*0.0000001</f>
        <v>78.900004080000002</v>
      </c>
      <c r="K23" s="3" t="str">
        <f>IF(G23="Not Age Eligible","",IF(MAX(T23,V23,X23,Z23)&gt;=LOOKUP(G23,'Qualifying Scores'!$A$4:$A$7,'Qualifying Scores'!$H$4:$H$7),"P",""))</f>
        <v/>
      </c>
      <c r="L23" s="3" t="str">
        <f>IF(G23="Not Age Eligible","",IF(MAX(U23,W23,Y23,AA23)&gt;=LOOKUP(G23,'Qualifying Scores'!$A$10:$A$13,'Qualifying Scores'!$H$10:$H$13),"P",""))</f>
        <v/>
      </c>
      <c r="M23" s="3" t="str">
        <f>IF(G23="Not Age Eligible","",IF(OR(AND(T23&gt;=LOOKUP(G23,'Qualifying Scores'!$A$4:$A$7,'Qualifying Scores'!$H$4:$H$7),U23&gt;=LOOKUP(G23,'Qualifying Scores'!$A$10:$A$13,'Qualifying Scores'!$H$10:$H$13)),AND(X23&gt;=LOOKUP(G23,'Qualifying Scores'!$A$4:$A$7,'Qualifying Scores'!$H$4:$H$7),Y23&gt;=LOOKUP(G23,'Qualifying Scores'!$A$10:$A$13,'Qualifying Scores'!$H$10:$H$13)),AND(V23&gt;=LOOKUP(G23,'Qualifying Scores'!$A$4:$A$7,'Qualifying Scores'!$H$4:$H$7),W23&gt;=LOOKUP(G23,'Qualifying Scores'!$A$10:$A$13,'Qualifying Scores'!$H$10:$H$13)),AND(Z23&gt;=LOOKUP(G23,'Qualifying Scores'!$A$4:$A$7,'Qualifying Scores'!$H$4:$H$7),AA23&gt;=LOOKUP(G23,'Qualifying Scores'!$A$10:$A$13,'Qualifying Scores'!$H$10:$H$13))),"P",""))</f>
        <v/>
      </c>
      <c r="Q23" s="1" t="str">
        <f>IF(A23&lt;5,IF(_xlfn.MAXIFS(A:A,G:G,G23)&gt;3,5-A23,_xlfn.MAXIFS(A:A,G:G,G23)+1-A23),"")</f>
        <v/>
      </c>
      <c r="R23" s="4">
        <f>MAX(T23,X23)</f>
        <v>38.1</v>
      </c>
      <c r="S23" s="4">
        <f>IF(R23=T23,MAX(V23,X23,Z23),IF(R23=X23,MAX(T23,V23,Z23),0))</f>
        <v>40.799999999999997</v>
      </c>
      <c r="T23" s="33">
        <v>35.700000000000003</v>
      </c>
      <c r="U23" s="40">
        <v>7.8</v>
      </c>
      <c r="V23" s="34">
        <v>37.6</v>
      </c>
      <c r="W23" s="40">
        <v>5.8</v>
      </c>
      <c r="X23" s="33">
        <v>38.1</v>
      </c>
      <c r="Y23" s="40">
        <v>5.8</v>
      </c>
      <c r="Z23" s="34">
        <v>40.799999999999997</v>
      </c>
      <c r="AA23" s="37">
        <v>7.8</v>
      </c>
    </row>
    <row r="24" spans="1:27" x14ac:dyDescent="0.2">
      <c r="A24" s="1" t="str" cm="1">
        <f t="array" ref="A24">IF(I24="","",IF(P24&lt;&gt;"",SUMPRODUCT((P$3:P$50&lt;&gt;"")*(G$3:G$50=G24)*(J$3:J$50&gt;J24)*(I$3:I$50="P"))+1,IF(O24&lt;&gt;"",SUMPRODUCT((O$3:O$50&lt;&gt;"")*(P$3:P$50="")*(G$3:G$50=G24)*(J$3:J$50&gt;J24)*(I$3:I$50="P"))+SUMPRODUCT((P$3:P$50&lt;&gt;"")*(G$3:G$50=G24)*(I$3:I$50="P"))+1,IF(N24&lt;&gt;"",SUMPRODUCT((N$3:N$50&lt;&gt;"")*(G$3:G$50=G24)*(J$3:J$50&gt;J24)*(I$3:I$50="P"))+1,IF(M24="P",SUMPRODUCT((O$3:O$50&lt;&gt;"")*(P$3:P$50="")*(G$3:G$50=G24)*(I$3:I$50="P"))+SUMPRODUCT((P$3:P$50&lt;&gt;"")*(G$3:G$50=G24)*(I$3:I$50="P"))+SUMPRODUCT((N$3:N$50&lt;&gt;"")*(G$3:G$50=G24)*(I$3:I$50="P"))+SUMPRODUCT((P$3:P$50="")*(O$3:O$50="")*(N$3:N$50="")*(M$3:M$50="P")*(G$3:G$50=G24)*(J$3:J$50&gt;J24)*(I$3:I$50="P"))+IF(H24="L5",SUMPRODUCT((P$3:P$50="")*(O$3:O$50="")*(N$3:N$50="")*(M$3:M$50="P")*(G$3:G$50=G24)*(J$3:J$50&lt;J24)*(H$3:H$50&lt;&gt;H24)*(I$3:I$50="P")),-1*SUMPRODUCT((P$3:P$50="")*(O$3:O$50="")*(N$3:N$50="")*(M$3:M$50="P")*(G$3:G$50=G24)*(J$3:J$50&gt;J24)*(H$3:H$50="L5")*(I$3:I$50="P")))+1,"")))))</f>
        <v/>
      </c>
      <c r="B24" s="1" t="str" cm="1">
        <f t="array" ref="B24">IF(P24&lt;&gt;"",SUMPRODUCT((P$3:P$50&lt;&gt;"")*(G$3:G$50=G24)*(J$3:J$50&gt;J24))+1,IF(O24&lt;&gt;"",SUMPRODUCT((O$3:O$50&lt;&gt;"")*(P$3:P$50="")*(G$3:G$50=G24)*(J$3:J$50&gt;J24))+SUMPRODUCT((P$3:P$50&lt;&gt;"")*(G$3:G$50=G24))+1,IF(N24&lt;&gt;"",SUMPRODUCT((N$3:N$50&lt;&gt;"")*(G$3:G$50=G24)*(J$3:J$50&gt;J24))+1,IF(M24="P",SUMPRODUCT((O$3:O$50&lt;&gt;"")*(P$3:P$50="")*(G$3:G$50=G24))+SUMPRODUCT((P$3:P$50&lt;&gt;"")*(G$3:G$50=G24))+SUMPRODUCT((N$3:N$50&lt;&gt;"")*(G$3:G$50=G24))+SUMPRODUCT((P$3:P$50="")*(O$3:O$50="")*(N$3:N$50="")*(M$3:M$50="P")*(G$3:G$50=G24)*(J$3:J$50&gt;J24))+IF(H24="L5",SUMPRODUCT((P$3:P$50="")*(O$3:O$50="")*(N$3:N$50="")*(M$3:M$50="P")*(G$3:G$50=G24)*(J$3:J$50&lt;J24)*(H$3:H$50&lt;&gt;H24)),-1*SUMPRODUCT((P$3:P$50="")*(O$3:O$50="")*(N$3:N$50="")*(M$3:M$50="P")*(G$3:G$50=G24)*(J$3:J$50&gt;J24)*(H$3:H$50="L5")))+1,""))))</f>
        <v/>
      </c>
      <c r="C24" s="36" t="s">
        <v>108</v>
      </c>
      <c r="D24" s="36" t="str">
        <f>IF(E24="","",VLOOKUP(E24,'Coaching Points'!A:B,2,0))</f>
        <v>BC</v>
      </c>
      <c r="E24" s="36" t="s">
        <v>41</v>
      </c>
      <c r="F24" s="35">
        <v>2005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66</v>
      </c>
      <c r="I24" s="43" t="s">
        <v>567</v>
      </c>
      <c r="J24" s="4">
        <f>R24+S24+IF(OR(H24="Junior",H24="Senior"),0.0002,IF(OR(H24="L7",H24="L6"),0.0001,0))+MAX(X24,Z24)*0.0000001</f>
        <v>77.10000389999999</v>
      </c>
      <c r="K24" s="3" t="str">
        <f>IF(G24="Not Age Eligible","",IF(MAX(T24,V24,X24,Z24)&gt;=LOOKUP(G24,'Qualifying Scores'!$A$4:$A$7,'Qualifying Scores'!$H$4:$H$7),"P",""))</f>
        <v/>
      </c>
      <c r="L24" s="3" t="str">
        <f>IF(G24="Not Age Eligible","",IF(MAX(U24,W24,Y24,AA24)&gt;=LOOKUP(G24,'Qualifying Scores'!$A$10:$A$13,'Qualifying Scores'!$H$10:$H$13),"P",""))</f>
        <v/>
      </c>
      <c r="M24" s="3" t="str">
        <f>IF(G24="Not Age Eligible","",IF(OR(AND(T24&gt;=LOOKUP(G24,'Qualifying Scores'!$A$4:$A$7,'Qualifying Scores'!$H$4:$H$7),U24&gt;=LOOKUP(G24,'Qualifying Scores'!$A$10:$A$13,'Qualifying Scores'!$H$10:$H$13)),AND(X24&gt;=LOOKUP(G24,'Qualifying Scores'!$A$4:$A$7,'Qualifying Scores'!$H$4:$H$7),Y24&gt;=LOOKUP(G24,'Qualifying Scores'!$A$10:$A$13,'Qualifying Scores'!$H$10:$H$13)),AND(V24&gt;=LOOKUP(G24,'Qualifying Scores'!$A$4:$A$7,'Qualifying Scores'!$H$4:$H$7),W24&gt;=LOOKUP(G24,'Qualifying Scores'!$A$10:$A$13,'Qualifying Scores'!$H$10:$H$13)),AND(Z24&gt;=LOOKUP(G24,'Qualifying Scores'!$A$4:$A$7,'Qualifying Scores'!$H$4:$H$7),AA24&gt;=LOOKUP(G24,'Qualifying Scores'!$A$10:$A$13,'Qualifying Scores'!$H$10:$H$13))),"P",""))</f>
        <v/>
      </c>
      <c r="Q24" s="1" t="str">
        <f>IF(A24&lt;5,IF(_xlfn.MAXIFS(A:A,G:G,G24)&gt;3,5-A24,_xlfn.MAXIFS(A:A,G:G,G24)+1-A24),"")</f>
        <v/>
      </c>
      <c r="R24" s="4">
        <f>MAX(T24,X24)</f>
        <v>38.1</v>
      </c>
      <c r="S24" s="4">
        <f>IF(R24=T24,MAX(V24,X24,Z24),IF(R24=X24,MAX(T24,V24,Z24),0))</f>
        <v>39</v>
      </c>
      <c r="T24" s="33"/>
      <c r="U24" s="40"/>
      <c r="V24" s="34"/>
      <c r="W24" s="40"/>
      <c r="X24" s="33">
        <v>38.1</v>
      </c>
      <c r="Y24" s="40">
        <v>6.4</v>
      </c>
      <c r="Z24" s="34">
        <v>39</v>
      </c>
      <c r="AA24" s="37">
        <v>7.3</v>
      </c>
    </row>
    <row r="25" spans="1:27" x14ac:dyDescent="0.2">
      <c r="A25" s="1" t="str" cm="1">
        <f t="array" ref="A25">IF(I25="","",IF(P25&lt;&gt;"",SUMPRODUCT((P$3:P$50&lt;&gt;"")*(G$3:G$50=G25)*(J$3:J$50&gt;J25)*(I$3:I$50="P"))+1,IF(O25&lt;&gt;"",SUMPRODUCT((O$3:O$50&lt;&gt;"")*(P$3:P$50="")*(G$3:G$50=G25)*(J$3:J$50&gt;J25)*(I$3:I$50="P"))+SUMPRODUCT((P$3:P$50&lt;&gt;"")*(G$3:G$50=G25)*(I$3:I$50="P"))+1,IF(N25&lt;&gt;"",SUMPRODUCT((N$3:N$50&lt;&gt;"")*(G$3:G$50=G25)*(J$3:J$50&gt;J25)*(I$3:I$50="P"))+1,IF(M25="P",SUMPRODUCT((O$3:O$50&lt;&gt;"")*(P$3:P$50="")*(G$3:G$50=G25)*(I$3:I$50="P"))+SUMPRODUCT((P$3:P$50&lt;&gt;"")*(G$3:G$50=G25)*(I$3:I$50="P"))+SUMPRODUCT((N$3:N$50&lt;&gt;"")*(G$3:G$50=G25)*(I$3:I$50="P"))+SUMPRODUCT((P$3:P$50="")*(O$3:O$50="")*(N$3:N$50="")*(M$3:M$50="P")*(G$3:G$50=G25)*(J$3:J$50&gt;J25)*(I$3:I$50="P"))+IF(H25="L5",SUMPRODUCT((P$3:P$50="")*(O$3:O$50="")*(N$3:N$50="")*(M$3:M$50="P")*(G$3:G$50=G25)*(J$3:J$50&lt;J25)*(H$3:H$50&lt;&gt;H25)*(I$3:I$50="P")),-1*SUMPRODUCT((P$3:P$50="")*(O$3:O$50="")*(N$3:N$50="")*(M$3:M$50="P")*(G$3:G$50=G25)*(J$3:J$50&gt;J25)*(H$3:H$50="L5")*(I$3:I$50="P")))+1,"")))))</f>
        <v/>
      </c>
      <c r="B25" s="1" t="str" cm="1">
        <f t="array" ref="B25">IF(P25&lt;&gt;"",SUMPRODUCT((P$3:P$50&lt;&gt;"")*(G$3:G$50=G25)*(J$3:J$50&gt;J25))+1,IF(O25&lt;&gt;"",SUMPRODUCT((O$3:O$50&lt;&gt;"")*(P$3:P$50="")*(G$3:G$50=G25)*(J$3:J$50&gt;J25))+SUMPRODUCT((P$3:P$50&lt;&gt;"")*(G$3:G$50=G25))+1,IF(N25&lt;&gt;"",SUMPRODUCT((N$3:N$50&lt;&gt;"")*(G$3:G$50=G25)*(J$3:J$50&gt;J25))+1,IF(M25="P",SUMPRODUCT((O$3:O$50&lt;&gt;"")*(P$3:P$50="")*(G$3:G$50=G25))+SUMPRODUCT((P$3:P$50&lt;&gt;"")*(G$3:G$50=G25))+SUMPRODUCT((N$3:N$50&lt;&gt;"")*(G$3:G$50=G25))+SUMPRODUCT((P$3:P$50="")*(O$3:O$50="")*(N$3:N$50="")*(M$3:M$50="P")*(G$3:G$50=G25)*(J$3:J$50&gt;J25))+IF(H25="L5",SUMPRODUCT((P$3:P$50="")*(O$3:O$50="")*(N$3:N$50="")*(M$3:M$50="P")*(G$3:G$50=G25)*(J$3:J$50&lt;J25)*(H$3:H$50&lt;&gt;H25)),-1*SUMPRODUCT((P$3:P$50="")*(O$3:O$50="")*(N$3:N$50="")*(M$3:M$50="P")*(G$3:G$50=G25)*(J$3:J$50&gt;J25)*(H$3:H$50="L5")))+1,""))))</f>
        <v/>
      </c>
      <c r="C25" s="36" t="s">
        <v>277</v>
      </c>
      <c r="D25" s="36" t="str">
        <f>IF(E25="","",VLOOKUP(E25,'Coaching Points'!A:B,2,0))</f>
        <v>QC</v>
      </c>
      <c r="E25" s="36" t="s">
        <v>3</v>
      </c>
      <c r="F25" s="35">
        <v>2005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66</v>
      </c>
      <c r="I25" s="43"/>
      <c r="J25" s="4">
        <f>R25+S25+IF(OR(H25="Junior",H25="Senior"),0.0002,IF(OR(H25="L7",H25="L6"),0.0001,0))+MAX(X25,Z25)*0.0000001</f>
        <v>76.3</v>
      </c>
      <c r="K25" s="3" t="str">
        <f>IF(G25="Not Age Eligible","",IF(MAX(T25,V25,X25,Z25)&gt;=LOOKUP(G25,'Qualifying Scores'!$A$4:$A$7,'Qualifying Scores'!$H$4:$H$7),"P",""))</f>
        <v/>
      </c>
      <c r="L25" s="3" t="str">
        <f>IF(G25="Not Age Eligible","",IF(MAX(U25,W25,Y25,AA25)&gt;=LOOKUP(G25,'Qualifying Scores'!$A$10:$A$13,'Qualifying Scores'!$H$10:$H$13),"P",""))</f>
        <v/>
      </c>
      <c r="M25" s="3" t="str">
        <f>IF(G25="Not Age Eligible","",IF(OR(AND(T25&gt;=LOOKUP(G25,'Qualifying Scores'!$A$4:$A$7,'Qualifying Scores'!$H$4:$H$7),U25&gt;=LOOKUP(G25,'Qualifying Scores'!$A$10:$A$13,'Qualifying Scores'!$H$10:$H$13)),AND(X25&gt;=LOOKUP(G25,'Qualifying Scores'!$A$4:$A$7,'Qualifying Scores'!$H$4:$H$7),Y25&gt;=LOOKUP(G25,'Qualifying Scores'!$A$10:$A$13,'Qualifying Scores'!$H$10:$H$13)),AND(V25&gt;=LOOKUP(G25,'Qualifying Scores'!$A$4:$A$7,'Qualifying Scores'!$H$4:$H$7),W25&gt;=LOOKUP(G25,'Qualifying Scores'!$A$10:$A$13,'Qualifying Scores'!$H$10:$H$13)),AND(Z25&gt;=LOOKUP(G25,'Qualifying Scores'!$A$4:$A$7,'Qualifying Scores'!$H$4:$H$7),AA25&gt;=LOOKUP(G25,'Qualifying Scores'!$A$10:$A$13,'Qualifying Scores'!$H$10:$H$13))),"P",""))</f>
        <v/>
      </c>
      <c r="Q25" s="1" t="str">
        <f>IF(A25&lt;5,IF(_xlfn.MAXIFS(A:A,G:G,G25)&gt;3,5-A25,_xlfn.MAXIFS(A:A,G:G,G25)+1-A25),"")</f>
        <v/>
      </c>
      <c r="R25" s="4">
        <f>MAX(T25,X25)</f>
        <v>38.799999999999997</v>
      </c>
      <c r="S25" s="4">
        <f>IF(R25=T25,MAX(V25,X25,Z25),IF(R25=X25,MAX(T25,V25,Z25),0))</f>
        <v>37.5</v>
      </c>
      <c r="T25" s="33">
        <v>38.799999999999997</v>
      </c>
      <c r="U25" s="40">
        <v>5.5</v>
      </c>
      <c r="V25" s="34">
        <v>37.5</v>
      </c>
      <c r="W25" s="40">
        <v>6.7</v>
      </c>
      <c r="X25" s="33"/>
      <c r="Y25" s="40"/>
      <c r="Z25" s="34"/>
      <c r="AA25" s="37"/>
    </row>
    <row r="26" spans="1:27" x14ac:dyDescent="0.2">
      <c r="A26" s="1" t="str" cm="1">
        <f t="array" ref="A26">IF(I26="","",IF(P26&lt;&gt;"",SUMPRODUCT((P$3:P$50&lt;&gt;"")*(G$3:G$50=G26)*(J$3:J$50&gt;J26)*(I$3:I$50="P"))+1,IF(O26&lt;&gt;"",SUMPRODUCT((O$3:O$50&lt;&gt;"")*(P$3:P$50="")*(G$3:G$50=G26)*(J$3:J$50&gt;J26)*(I$3:I$50="P"))+SUMPRODUCT((P$3:P$50&lt;&gt;"")*(G$3:G$50=G26)*(I$3:I$50="P"))+1,IF(N26&lt;&gt;"",SUMPRODUCT((N$3:N$50&lt;&gt;"")*(G$3:G$50=G26)*(J$3:J$50&gt;J26)*(I$3:I$50="P"))+1,IF(M26="P",SUMPRODUCT((O$3:O$50&lt;&gt;"")*(P$3:P$50="")*(G$3:G$50=G26)*(I$3:I$50="P"))+SUMPRODUCT((P$3:P$50&lt;&gt;"")*(G$3:G$50=G26)*(I$3:I$50="P"))+SUMPRODUCT((N$3:N$50&lt;&gt;"")*(G$3:G$50=G26)*(I$3:I$50="P"))+SUMPRODUCT((P$3:P$50="")*(O$3:O$50="")*(N$3:N$50="")*(M$3:M$50="P")*(G$3:G$50=G26)*(J$3:J$50&gt;J26)*(I$3:I$50="P"))+IF(H26="L5",SUMPRODUCT((P$3:P$50="")*(O$3:O$50="")*(N$3:N$50="")*(M$3:M$50="P")*(G$3:G$50=G26)*(J$3:J$50&lt;J26)*(H$3:H$50&lt;&gt;H26)*(I$3:I$50="P")),-1*SUMPRODUCT((P$3:P$50="")*(O$3:O$50="")*(N$3:N$50="")*(M$3:M$50="P")*(G$3:G$50=G26)*(J$3:J$50&gt;J26)*(H$3:H$50="L5")*(I$3:I$50="P")))+1,"")))))</f>
        <v/>
      </c>
      <c r="B26" s="1" t="str" cm="1">
        <f t="array" ref="B26">IF(P26&lt;&gt;"",SUMPRODUCT((P$3:P$50&lt;&gt;"")*(G$3:G$50=G26)*(J$3:J$50&gt;J26))+1,IF(O26&lt;&gt;"",SUMPRODUCT((O$3:O$50&lt;&gt;"")*(P$3:P$50="")*(G$3:G$50=G26)*(J$3:J$50&gt;J26))+SUMPRODUCT((P$3:P$50&lt;&gt;"")*(G$3:G$50=G26))+1,IF(N26&lt;&gt;"",SUMPRODUCT((N$3:N$50&lt;&gt;"")*(G$3:G$50=G26)*(J$3:J$50&gt;J26))+1,IF(M26="P",SUMPRODUCT((O$3:O$50&lt;&gt;"")*(P$3:P$50="")*(G$3:G$50=G26))+SUMPRODUCT((P$3:P$50&lt;&gt;"")*(G$3:G$50=G26))+SUMPRODUCT((N$3:N$50&lt;&gt;"")*(G$3:G$50=G26))+SUMPRODUCT((P$3:P$50="")*(O$3:O$50="")*(N$3:N$50="")*(M$3:M$50="P")*(G$3:G$50=G26)*(J$3:J$50&gt;J26))+IF(H26="L5",SUMPRODUCT((P$3:P$50="")*(O$3:O$50="")*(N$3:N$50="")*(M$3:M$50="P")*(G$3:G$50=G26)*(J$3:J$50&lt;J26)*(H$3:H$50&lt;&gt;H26)),-1*SUMPRODUCT((P$3:P$50="")*(O$3:O$50="")*(N$3:N$50="")*(M$3:M$50="P")*(G$3:G$50=G26)*(J$3:J$50&gt;J26)*(H$3:H$50="L5")))+1,""))))</f>
        <v/>
      </c>
      <c r="C26" s="36" t="s">
        <v>427</v>
      </c>
      <c r="D26" s="36" t="str">
        <f>IF(E26="","",VLOOKUP(E26,'Coaching Points'!A:B,2,0))</f>
        <v>AB</v>
      </c>
      <c r="E26" s="36" t="s">
        <v>309</v>
      </c>
      <c r="F26" s="35">
        <v>2006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66</v>
      </c>
      <c r="I26" s="43"/>
      <c r="J26" s="4">
        <f>R26+S26+IF(OR(H26="Junior",H26="Senior"),0.0002,IF(OR(H26="L7",H26="L6"),0.0001,0))+MAX(X26,Z26)*0.0000001</f>
        <v>75.900003860000012</v>
      </c>
      <c r="K26" s="3" t="str">
        <f>IF(G26="Not Age Eligible","",IF(MAX(T26,V26,X26,Z26)&gt;=LOOKUP(G26,'Qualifying Scores'!$A$4:$A$7,'Qualifying Scores'!$H$4:$H$7),"P",""))</f>
        <v/>
      </c>
      <c r="L26" s="3" t="str">
        <f>IF(G26="Not Age Eligible","",IF(MAX(U26,W26,Y26,AA26)&gt;=LOOKUP(G26,'Qualifying Scores'!$A$10:$A$13,'Qualifying Scores'!$H$10:$H$13),"P",""))</f>
        <v/>
      </c>
      <c r="M26" s="3" t="str">
        <f>IF(G26="Not Age Eligible","",IF(OR(AND(T26&gt;=LOOKUP(G26,'Qualifying Scores'!$A$4:$A$7,'Qualifying Scores'!$H$4:$H$7),U26&gt;=LOOKUP(G26,'Qualifying Scores'!$A$10:$A$13,'Qualifying Scores'!$H$10:$H$13)),AND(X26&gt;=LOOKUP(G26,'Qualifying Scores'!$A$4:$A$7,'Qualifying Scores'!$H$4:$H$7),Y26&gt;=LOOKUP(G26,'Qualifying Scores'!$A$10:$A$13,'Qualifying Scores'!$H$10:$H$13)),AND(V26&gt;=LOOKUP(G26,'Qualifying Scores'!$A$4:$A$7,'Qualifying Scores'!$H$4:$H$7),W26&gt;=LOOKUP(G26,'Qualifying Scores'!$A$10:$A$13,'Qualifying Scores'!$H$10:$H$13)),AND(Z26&gt;=LOOKUP(G26,'Qualifying Scores'!$A$4:$A$7,'Qualifying Scores'!$H$4:$H$7),AA26&gt;=LOOKUP(G26,'Qualifying Scores'!$A$10:$A$13,'Qualifying Scores'!$H$10:$H$13))),"P",""))</f>
        <v/>
      </c>
      <c r="Q26" s="1" t="str">
        <f>IF(A26&lt;5,IF(_xlfn.MAXIFS(A:A,G:G,G26)&gt;3,5-A26,_xlfn.MAXIFS(A:A,G:G,G26)+1-A26),"")</f>
        <v/>
      </c>
      <c r="R26" s="4">
        <f>MAX(T26,X26)</f>
        <v>37.299999999999997</v>
      </c>
      <c r="S26" s="4">
        <f>IF(R26=T26,MAX(V26,X26,Z26),IF(R26=X26,MAX(T26,V26,Z26),0))</f>
        <v>38.6</v>
      </c>
      <c r="T26" s="33"/>
      <c r="U26" s="40"/>
      <c r="V26" s="34"/>
      <c r="W26" s="40"/>
      <c r="X26" s="33">
        <v>37.299999999999997</v>
      </c>
      <c r="Y26" s="40">
        <v>5</v>
      </c>
      <c r="Z26" s="34">
        <v>38.6</v>
      </c>
      <c r="AA26" s="37">
        <v>5.3</v>
      </c>
    </row>
    <row r="27" spans="1:27" x14ac:dyDescent="0.2">
      <c r="A27" s="1" t="str" cm="1">
        <f t="array" ref="A27">IF(I27="","",IF(P27&lt;&gt;"",SUMPRODUCT((P$3:P$50&lt;&gt;"")*(G$3:G$50=G27)*(J$3:J$50&gt;J27)*(I$3:I$50="P"))+1,IF(O27&lt;&gt;"",SUMPRODUCT((O$3:O$50&lt;&gt;"")*(P$3:P$50="")*(G$3:G$50=G27)*(J$3:J$50&gt;J27)*(I$3:I$50="P"))+SUMPRODUCT((P$3:P$50&lt;&gt;"")*(G$3:G$50=G27)*(I$3:I$50="P"))+1,IF(N27&lt;&gt;"",SUMPRODUCT((N$3:N$50&lt;&gt;"")*(G$3:G$50=G27)*(J$3:J$50&gt;J27)*(I$3:I$50="P"))+1,IF(M27="P",SUMPRODUCT((O$3:O$50&lt;&gt;"")*(P$3:P$50="")*(G$3:G$50=G27)*(I$3:I$50="P"))+SUMPRODUCT((P$3:P$50&lt;&gt;"")*(G$3:G$50=G27)*(I$3:I$50="P"))+SUMPRODUCT((N$3:N$50&lt;&gt;"")*(G$3:G$50=G27)*(I$3:I$50="P"))+SUMPRODUCT((P$3:P$50="")*(O$3:O$50="")*(N$3:N$50="")*(M$3:M$50="P")*(G$3:G$50=G27)*(J$3:J$50&gt;J27)*(I$3:I$50="P"))+IF(H27="L5",SUMPRODUCT((P$3:P$50="")*(O$3:O$50="")*(N$3:N$50="")*(M$3:M$50="P")*(G$3:G$50=G27)*(J$3:J$50&lt;J27)*(H$3:H$50&lt;&gt;H27)*(I$3:I$50="P")),-1*SUMPRODUCT((P$3:P$50="")*(O$3:O$50="")*(N$3:N$50="")*(M$3:M$50="P")*(G$3:G$50=G27)*(J$3:J$50&gt;J27)*(H$3:H$50="L5")*(I$3:I$50="P")))+1,"")))))</f>
        <v/>
      </c>
      <c r="B27" s="1" t="str" cm="1">
        <f t="array" ref="B27">IF(P27&lt;&gt;"",SUMPRODUCT((P$3:P$50&lt;&gt;"")*(G$3:G$50=G27)*(J$3:J$50&gt;J27))+1,IF(O27&lt;&gt;"",SUMPRODUCT((O$3:O$50&lt;&gt;"")*(P$3:P$50="")*(G$3:G$50=G27)*(J$3:J$50&gt;J27))+SUMPRODUCT((P$3:P$50&lt;&gt;"")*(G$3:G$50=G27))+1,IF(N27&lt;&gt;"",SUMPRODUCT((N$3:N$50&lt;&gt;"")*(G$3:G$50=G27)*(J$3:J$50&gt;J27))+1,IF(M27="P",SUMPRODUCT((O$3:O$50&lt;&gt;"")*(P$3:P$50="")*(G$3:G$50=G27))+SUMPRODUCT((P$3:P$50&lt;&gt;"")*(G$3:G$50=G27))+SUMPRODUCT((N$3:N$50&lt;&gt;"")*(G$3:G$50=G27))+SUMPRODUCT((P$3:P$50="")*(O$3:O$50="")*(N$3:N$50="")*(M$3:M$50="P")*(G$3:G$50=G27)*(J$3:J$50&gt;J27))+IF(H27="L5",SUMPRODUCT((P$3:P$50="")*(O$3:O$50="")*(N$3:N$50="")*(M$3:M$50="P")*(G$3:G$50=G27)*(J$3:J$50&lt;J27)*(H$3:H$50&lt;&gt;H27)),-1*SUMPRODUCT((P$3:P$50="")*(O$3:O$50="")*(N$3:N$50="")*(M$3:M$50="P")*(G$3:G$50=G27)*(J$3:J$50&gt;J27)*(H$3:H$50="L5")))+1,""))))</f>
        <v/>
      </c>
      <c r="C27" s="36" t="s">
        <v>321</v>
      </c>
      <c r="D27" s="36" t="str">
        <f>IF(E27="","",VLOOKUP(E27,'Coaching Points'!A:B,2,0))</f>
        <v>AB</v>
      </c>
      <c r="E27" s="36" t="s">
        <v>64</v>
      </c>
      <c r="F27" s="35">
        <v>2006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66</v>
      </c>
      <c r="I27" s="43"/>
      <c r="J27" s="4">
        <f>R27+S27+IF(OR(H27="Junior",H27="Senior"),0.0002,IF(OR(H27="L7",H27="L6"),0.0001,0))+MAX(X27,Z27)*0.0000001</f>
        <v>71.400003699999999</v>
      </c>
      <c r="K27" s="3" t="str">
        <f>IF(G27="Not Age Eligible","",IF(MAX(T27,V27,X27,Z27)&gt;=LOOKUP(G27,'Qualifying Scores'!$A$4:$A$7,'Qualifying Scores'!$H$4:$H$7),"P",""))</f>
        <v/>
      </c>
      <c r="L27" s="3" t="str">
        <f>IF(G27="Not Age Eligible","",IF(MAX(U27,W27,Y27,AA27)&gt;=LOOKUP(G27,'Qualifying Scores'!$A$10:$A$13,'Qualifying Scores'!$H$10:$H$13),"P",""))</f>
        <v/>
      </c>
      <c r="M27" s="3" t="str">
        <f>IF(G27="Not Age Eligible","",IF(OR(AND(T27&gt;=LOOKUP(G27,'Qualifying Scores'!$A$4:$A$7,'Qualifying Scores'!$H$4:$H$7),U27&gt;=LOOKUP(G27,'Qualifying Scores'!$A$10:$A$13,'Qualifying Scores'!$H$10:$H$13)),AND(X27&gt;=LOOKUP(G27,'Qualifying Scores'!$A$4:$A$7,'Qualifying Scores'!$H$4:$H$7),Y27&gt;=LOOKUP(G27,'Qualifying Scores'!$A$10:$A$13,'Qualifying Scores'!$H$10:$H$13)),AND(V27&gt;=LOOKUP(G27,'Qualifying Scores'!$A$4:$A$7,'Qualifying Scores'!$H$4:$H$7),W27&gt;=LOOKUP(G27,'Qualifying Scores'!$A$10:$A$13,'Qualifying Scores'!$H$10:$H$13)),AND(Z27&gt;=LOOKUP(G27,'Qualifying Scores'!$A$4:$A$7,'Qualifying Scores'!$H$4:$H$7),AA27&gt;=LOOKUP(G27,'Qualifying Scores'!$A$10:$A$13,'Qualifying Scores'!$H$10:$H$13))),"P",""))</f>
        <v/>
      </c>
      <c r="Q27" s="1" t="str">
        <f>IF(A27&lt;5,IF(_xlfn.MAXIFS(A:A,G:G,G27)&gt;3,5-A27,_xlfn.MAXIFS(A:A,G:G,G27)+1-A27),"")</f>
        <v/>
      </c>
      <c r="R27" s="4">
        <f>MAX(T27,X27)</f>
        <v>37</v>
      </c>
      <c r="S27" s="4">
        <f>IF(R27=T27,MAX(V27,X27,Z27),IF(R27=X27,MAX(T27,V27,Z27),0))</f>
        <v>34.4</v>
      </c>
      <c r="T27" s="33">
        <v>32.1</v>
      </c>
      <c r="U27" s="40">
        <v>3.9000000000000004</v>
      </c>
      <c r="V27" s="34"/>
      <c r="W27" s="40"/>
      <c r="X27" s="33">
        <v>37</v>
      </c>
      <c r="Y27" s="40">
        <v>5.7</v>
      </c>
      <c r="Z27" s="34">
        <v>34.4</v>
      </c>
      <c r="AA27" s="37">
        <v>4.4000000000000004</v>
      </c>
    </row>
    <row r="28" spans="1:27" x14ac:dyDescent="0.2">
      <c r="A28" s="1" t="str" cm="1">
        <f t="array" ref="A28">IF(I28="","",IF(P28&lt;&gt;"",SUMPRODUCT((P$3:P$50&lt;&gt;"")*(G$3:G$50=G28)*(J$3:J$50&gt;J28)*(I$3:I$50="P"))+1,IF(O28&lt;&gt;"",SUMPRODUCT((O$3:O$50&lt;&gt;"")*(P$3:P$50="")*(G$3:G$50=G28)*(J$3:J$50&gt;J28)*(I$3:I$50="P"))+SUMPRODUCT((P$3:P$50&lt;&gt;"")*(G$3:G$50=G28)*(I$3:I$50="P"))+1,IF(N28&lt;&gt;"",SUMPRODUCT((N$3:N$50&lt;&gt;"")*(G$3:G$50=G28)*(J$3:J$50&gt;J28)*(I$3:I$50="P"))+1,IF(M28="P",SUMPRODUCT((O$3:O$50&lt;&gt;"")*(P$3:P$50="")*(G$3:G$50=G28)*(I$3:I$50="P"))+SUMPRODUCT((P$3:P$50&lt;&gt;"")*(G$3:G$50=G28)*(I$3:I$50="P"))+SUMPRODUCT((N$3:N$50&lt;&gt;"")*(G$3:G$50=G28)*(I$3:I$50="P"))+SUMPRODUCT((P$3:P$50="")*(O$3:O$50="")*(N$3:N$50="")*(M$3:M$50="P")*(G$3:G$50=G28)*(J$3:J$50&gt;J28)*(I$3:I$50="P"))+IF(H28="L5",SUMPRODUCT((P$3:P$50="")*(O$3:O$50="")*(N$3:N$50="")*(M$3:M$50="P")*(G$3:G$50=G28)*(J$3:J$50&lt;J28)*(H$3:H$50&lt;&gt;H28)*(I$3:I$50="P")),-1*SUMPRODUCT((P$3:P$50="")*(O$3:O$50="")*(N$3:N$50="")*(M$3:M$50="P")*(G$3:G$50=G28)*(J$3:J$50&gt;J28)*(H$3:H$50="L5")*(I$3:I$50="P")))+1,"")))))</f>
        <v/>
      </c>
      <c r="B28" s="1" t="str" cm="1">
        <f t="array" ref="B28">IF(P28&lt;&gt;"",SUMPRODUCT((P$3:P$50&lt;&gt;"")*(G$3:G$50=G28)*(J$3:J$50&gt;J28))+1,IF(O28&lt;&gt;"",SUMPRODUCT((O$3:O$50&lt;&gt;"")*(P$3:P$50="")*(G$3:G$50=G28)*(J$3:J$50&gt;J28))+SUMPRODUCT((P$3:P$50&lt;&gt;"")*(G$3:G$50=G28))+1,IF(N28&lt;&gt;"",SUMPRODUCT((N$3:N$50&lt;&gt;"")*(G$3:G$50=G28)*(J$3:J$50&gt;J28))+1,IF(M28="P",SUMPRODUCT((O$3:O$50&lt;&gt;"")*(P$3:P$50="")*(G$3:G$50=G28))+SUMPRODUCT((P$3:P$50&lt;&gt;"")*(G$3:G$50=G28))+SUMPRODUCT((N$3:N$50&lt;&gt;"")*(G$3:G$50=G28))+SUMPRODUCT((P$3:P$50="")*(O$3:O$50="")*(N$3:N$50="")*(M$3:M$50="P")*(G$3:G$50=G28)*(J$3:J$50&gt;J28))+IF(H28="L5",SUMPRODUCT((P$3:P$50="")*(O$3:O$50="")*(N$3:N$50="")*(M$3:M$50="P")*(G$3:G$50=G28)*(J$3:J$50&lt;J28)*(H$3:H$50&lt;&gt;H28)),-1*SUMPRODUCT((P$3:P$50="")*(O$3:O$50="")*(N$3:N$50="")*(M$3:M$50="P")*(G$3:G$50=G28)*(J$3:J$50&gt;J28)*(H$3:H$50="L5")))+1,""))))</f>
        <v/>
      </c>
      <c r="C28" s="36" t="s">
        <v>430</v>
      </c>
      <c r="D28" s="36" t="str">
        <f>IF(E28="","",VLOOKUP(E28,'Coaching Points'!A:B,2,0))</f>
        <v>AB</v>
      </c>
      <c r="E28" s="36" t="s">
        <v>64</v>
      </c>
      <c r="F28" s="35">
        <v>2004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66</v>
      </c>
      <c r="I28" s="43"/>
      <c r="J28" s="4">
        <f>R28+S28+IF(OR(H28="Junior",H28="Senior"),0.0002,IF(OR(H28="L7",H28="L6"),0.0001,0))+MAX(X28,Z28)*0.0000001</f>
        <v>69.700003529999989</v>
      </c>
      <c r="K28" s="3" t="str">
        <f>IF(G28="Not Age Eligible","",IF(MAX(T28,V28,X28,Z28)&gt;=LOOKUP(G28,'Qualifying Scores'!$A$4:$A$7,'Qualifying Scores'!$H$4:$H$7),"P",""))</f>
        <v/>
      </c>
      <c r="L28" s="3" t="str">
        <f>IF(G28="Not Age Eligible","",IF(MAX(U28,W28,Y28,AA28)&gt;=LOOKUP(G28,'Qualifying Scores'!$A$10:$A$13,'Qualifying Scores'!$H$10:$H$13),"P",""))</f>
        <v/>
      </c>
      <c r="M28" s="3" t="str">
        <f>IF(G28="Not Age Eligible","",IF(OR(AND(T28&gt;=LOOKUP(G28,'Qualifying Scores'!$A$4:$A$7,'Qualifying Scores'!$H$4:$H$7),U28&gt;=LOOKUP(G28,'Qualifying Scores'!$A$10:$A$13,'Qualifying Scores'!$H$10:$H$13)),AND(X28&gt;=LOOKUP(G28,'Qualifying Scores'!$A$4:$A$7,'Qualifying Scores'!$H$4:$H$7),Y28&gt;=LOOKUP(G28,'Qualifying Scores'!$A$10:$A$13,'Qualifying Scores'!$H$10:$H$13)),AND(V28&gt;=LOOKUP(G28,'Qualifying Scores'!$A$4:$A$7,'Qualifying Scores'!$H$4:$H$7),W28&gt;=LOOKUP(G28,'Qualifying Scores'!$A$10:$A$13,'Qualifying Scores'!$H$10:$H$13)),AND(Z28&gt;=LOOKUP(G28,'Qualifying Scores'!$A$4:$A$7,'Qualifying Scores'!$H$4:$H$7),AA28&gt;=LOOKUP(G28,'Qualifying Scores'!$A$10:$A$13,'Qualifying Scores'!$H$10:$H$13))),"P",""))</f>
        <v/>
      </c>
      <c r="Q28" s="1" t="str">
        <f>IF(A28&lt;5,IF(_xlfn.MAXIFS(A:A,G:G,G28)&gt;3,5-A28,_xlfn.MAXIFS(A:A,G:G,G28)+1-A28),"")</f>
        <v/>
      </c>
      <c r="R28" s="4">
        <f>MAX(T28,X28)</f>
        <v>34.4</v>
      </c>
      <c r="S28" s="4">
        <f>IF(R28=T28,MAX(V28,X28,Z28),IF(R28=X28,MAX(T28,V28,Z28),0))</f>
        <v>35.299999999999997</v>
      </c>
      <c r="T28" s="33"/>
      <c r="U28" s="40"/>
      <c r="V28" s="34"/>
      <c r="W28" s="40"/>
      <c r="X28" s="33">
        <v>34.4</v>
      </c>
      <c r="Y28" s="40">
        <v>6.6</v>
      </c>
      <c r="Z28" s="34">
        <v>35.299999999999997</v>
      </c>
      <c r="AA28" s="37">
        <v>7.8</v>
      </c>
    </row>
    <row r="29" spans="1:27" x14ac:dyDescent="0.2">
      <c r="A29" s="1" t="str" cm="1">
        <f t="array" ref="A29">IF(I29="","",IF(P29&lt;&gt;"",SUMPRODUCT((P$3:P$50&lt;&gt;"")*(G$3:G$50=G29)*(J$3:J$50&gt;J29)*(I$3:I$50="P"))+1,IF(O29&lt;&gt;"",SUMPRODUCT((O$3:O$50&lt;&gt;"")*(P$3:P$50="")*(G$3:G$50=G29)*(J$3:J$50&gt;J29)*(I$3:I$50="P"))+SUMPRODUCT((P$3:P$50&lt;&gt;"")*(G$3:G$50=G29)*(I$3:I$50="P"))+1,IF(N29&lt;&gt;"",SUMPRODUCT((N$3:N$50&lt;&gt;"")*(G$3:G$50=G29)*(J$3:J$50&gt;J29)*(I$3:I$50="P"))+1,IF(M29="P",SUMPRODUCT((O$3:O$50&lt;&gt;"")*(P$3:P$50="")*(G$3:G$50=G29)*(I$3:I$50="P"))+SUMPRODUCT((P$3:P$50&lt;&gt;"")*(G$3:G$50=G29)*(I$3:I$50="P"))+SUMPRODUCT((N$3:N$50&lt;&gt;"")*(G$3:G$50=G29)*(I$3:I$50="P"))+SUMPRODUCT((P$3:P$50="")*(O$3:O$50="")*(N$3:N$50="")*(M$3:M$50="P")*(G$3:G$50=G29)*(J$3:J$50&gt;J29)*(I$3:I$50="P"))+IF(H29="L5",SUMPRODUCT((P$3:P$50="")*(O$3:O$50="")*(N$3:N$50="")*(M$3:M$50="P")*(G$3:G$50=G29)*(J$3:J$50&lt;J29)*(H$3:H$50&lt;&gt;H29)*(I$3:I$50="P")),-1*SUMPRODUCT((P$3:P$50="")*(O$3:O$50="")*(N$3:N$50="")*(M$3:M$50="P")*(G$3:G$50=G29)*(J$3:J$50&gt;J29)*(H$3:H$50="L5")*(I$3:I$50="P")))+1,"")))))</f>
        <v/>
      </c>
      <c r="B29" s="1" t="str" cm="1">
        <f t="array" ref="B29">IF(P29&lt;&gt;"",SUMPRODUCT((P$3:P$50&lt;&gt;"")*(G$3:G$50=G29)*(J$3:J$50&gt;J29))+1,IF(O29&lt;&gt;"",SUMPRODUCT((O$3:O$50&lt;&gt;"")*(P$3:P$50="")*(G$3:G$50=G29)*(J$3:J$50&gt;J29))+SUMPRODUCT((P$3:P$50&lt;&gt;"")*(G$3:G$50=G29))+1,IF(N29&lt;&gt;"",SUMPRODUCT((N$3:N$50&lt;&gt;"")*(G$3:G$50=G29)*(J$3:J$50&gt;J29))+1,IF(M29="P",SUMPRODUCT((O$3:O$50&lt;&gt;"")*(P$3:P$50="")*(G$3:G$50=G29))+SUMPRODUCT((P$3:P$50&lt;&gt;"")*(G$3:G$50=G29))+SUMPRODUCT((N$3:N$50&lt;&gt;"")*(G$3:G$50=G29))+SUMPRODUCT((P$3:P$50="")*(O$3:O$50="")*(N$3:N$50="")*(M$3:M$50="P")*(G$3:G$50=G29)*(J$3:J$50&gt;J29))+IF(H29="L5",SUMPRODUCT((P$3:P$50="")*(O$3:O$50="")*(N$3:N$50="")*(M$3:M$50="P")*(G$3:G$50=G29)*(J$3:J$50&lt;J29)*(H$3:H$50&lt;&gt;H29)),-1*SUMPRODUCT((P$3:P$50="")*(O$3:O$50="")*(N$3:N$50="")*(M$3:M$50="P")*(G$3:G$50=G29)*(J$3:J$50&gt;J29)*(H$3:H$50="L5")))+1,""))))</f>
        <v/>
      </c>
      <c r="C29" s="36" t="s">
        <v>522</v>
      </c>
      <c r="D29" s="36" t="str">
        <f>IF(E29="","",VLOOKUP(E29,'Coaching Points'!A:B,2,0))</f>
        <v>QC</v>
      </c>
      <c r="E29" s="36" t="s">
        <v>84</v>
      </c>
      <c r="F29" s="35">
        <v>2006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/>
      <c r="J29" s="4">
        <f>R29+S29+IF(OR(H29="Junior",H29="Senior"),0.0002,IF(OR(H29="L7",H29="L6"),0.0001,0))+MAX(X29,Z29)*0.0000001</f>
        <v>33.700003370000005</v>
      </c>
      <c r="K29" s="3" t="str">
        <f>IF(G29="Not Age Eligible","",IF(MAX(T29,V29,X29,Z29)&gt;=LOOKUP(G29,'Qualifying Scores'!$A$4:$A$7,'Qualifying Scores'!$H$4:$H$7),"P",""))</f>
        <v/>
      </c>
      <c r="L29" s="3" t="str">
        <f>IF(G29="Not Age Eligible","",IF(MAX(U29,W29,Y29,AA29)&gt;=LOOKUP(G29,'Qualifying Scores'!$A$10:$A$13,'Qualifying Scores'!$H$10:$H$13),"P",""))</f>
        <v/>
      </c>
      <c r="M29" s="3" t="str">
        <f>IF(G29="Not Age Eligible","",IF(OR(AND(T29&gt;=LOOKUP(G29,'Qualifying Scores'!$A$4:$A$7,'Qualifying Scores'!$H$4:$H$7),U29&gt;=LOOKUP(G29,'Qualifying Scores'!$A$10:$A$13,'Qualifying Scores'!$H$10:$H$13)),AND(X29&gt;=LOOKUP(G29,'Qualifying Scores'!$A$4:$A$7,'Qualifying Scores'!$H$4:$H$7),Y29&gt;=LOOKUP(G29,'Qualifying Scores'!$A$10:$A$13,'Qualifying Scores'!$H$10:$H$13)),AND(V29&gt;=LOOKUP(G29,'Qualifying Scores'!$A$4:$A$7,'Qualifying Scores'!$H$4:$H$7),W29&gt;=LOOKUP(G29,'Qualifying Scores'!$A$10:$A$13,'Qualifying Scores'!$H$10:$H$13)),AND(Z29&gt;=LOOKUP(G29,'Qualifying Scores'!$A$4:$A$7,'Qualifying Scores'!$H$4:$H$7),AA29&gt;=LOOKUP(G29,'Qualifying Scores'!$A$10:$A$13,'Qualifying Scores'!$H$10:$H$13))),"P",""))</f>
        <v/>
      </c>
      <c r="Q29" s="1" t="str">
        <f>IF(A29&lt;5,IF(_xlfn.MAXIFS(A:A,G:G,G29)&gt;3,5-A29,_xlfn.MAXIFS(A:A,G:G,G29)+1-A29),"")</f>
        <v/>
      </c>
      <c r="R29" s="4">
        <f>MAX(T29,X29)</f>
        <v>33.700000000000003</v>
      </c>
      <c r="S29" s="4">
        <f>IF(R29=T29,MAX(V29,X29,Z29),IF(R29=X29,MAX(T29,V29,Z29),0))</f>
        <v>0</v>
      </c>
      <c r="T29" s="33"/>
      <c r="U29" s="40"/>
      <c r="V29" s="34"/>
      <c r="W29" s="40"/>
      <c r="X29" s="33">
        <v>33.700000000000003</v>
      </c>
      <c r="Y29" s="40">
        <v>2.2999999999999998</v>
      </c>
      <c r="Z29" s="34"/>
      <c r="AA29" s="37"/>
    </row>
    <row r="30" spans="1:27" x14ac:dyDescent="0.2">
      <c r="A30" s="1" t="str" cm="1">
        <f t="array" ref="A30">IF(I30="","",IF(P30&lt;&gt;"",SUMPRODUCT((P$3:P$50&lt;&gt;"")*(G$3:G$50=G30)*(J$3:J$50&gt;J30)*(I$3:I$50="P"))+1,IF(O30&lt;&gt;"",SUMPRODUCT((O$3:O$50&lt;&gt;"")*(P$3:P$50="")*(G$3:G$50=G30)*(J$3:J$50&gt;J30)*(I$3:I$50="P"))+SUMPRODUCT((P$3:P$50&lt;&gt;"")*(G$3:G$50=G30)*(I$3:I$50="P"))+1,IF(N30&lt;&gt;"",SUMPRODUCT((N$3:N$50&lt;&gt;"")*(G$3:G$50=G30)*(J$3:J$50&gt;J30)*(I$3:I$50="P"))+1,IF(M30="P",SUMPRODUCT((O$3:O$50&lt;&gt;"")*(P$3:P$50="")*(G$3:G$50=G30)*(I$3:I$50="P"))+SUMPRODUCT((P$3:P$50&lt;&gt;"")*(G$3:G$50=G30)*(I$3:I$50="P"))+SUMPRODUCT((N$3:N$50&lt;&gt;"")*(G$3:G$50=G30)*(I$3:I$50="P"))+SUMPRODUCT((P$3:P$50="")*(O$3:O$50="")*(N$3:N$50="")*(M$3:M$50="P")*(G$3:G$50=G30)*(J$3:J$50&gt;J30)*(I$3:I$50="P"))+IF(H30="L5",SUMPRODUCT((P$3:P$50="")*(O$3:O$50="")*(N$3:N$50="")*(M$3:M$50="P")*(G$3:G$50=G30)*(J$3:J$50&lt;J30)*(H$3:H$50&lt;&gt;H30)*(I$3:I$50="P")),-1*SUMPRODUCT((P$3:P$50="")*(O$3:O$50="")*(N$3:N$50="")*(M$3:M$50="P")*(G$3:G$50=G30)*(J$3:J$50&gt;J30)*(H$3:H$50="L5")*(I$3:I$50="P")))+1,"")))))</f>
        <v/>
      </c>
      <c r="B30" s="1" t="str" cm="1">
        <f t="array" ref="B30">IF(P30&lt;&gt;"",SUMPRODUCT((P$3:P$50&lt;&gt;"")*(G$3:G$50=G30)*(J$3:J$50&gt;J30))+1,IF(O30&lt;&gt;"",SUMPRODUCT((O$3:O$50&lt;&gt;"")*(P$3:P$50="")*(G$3:G$50=G30)*(J$3:J$50&gt;J30))+SUMPRODUCT((P$3:P$50&lt;&gt;"")*(G$3:G$50=G30))+1,IF(N30&lt;&gt;"",SUMPRODUCT((N$3:N$50&lt;&gt;"")*(G$3:G$50=G30)*(J$3:J$50&gt;J30))+1,IF(M30="P",SUMPRODUCT((O$3:O$50&lt;&gt;"")*(P$3:P$50="")*(G$3:G$50=G30))+SUMPRODUCT((P$3:P$50&lt;&gt;"")*(G$3:G$50=G30))+SUMPRODUCT((N$3:N$50&lt;&gt;"")*(G$3:G$50=G30))+SUMPRODUCT((P$3:P$50="")*(O$3:O$50="")*(N$3:N$50="")*(M$3:M$50="P")*(G$3:G$50=G30)*(J$3:J$50&gt;J30))+IF(H30="L5",SUMPRODUCT((P$3:P$50="")*(O$3:O$50="")*(N$3:N$50="")*(M$3:M$50="P")*(G$3:G$50=G30)*(J$3:J$50&lt;J30)*(H$3:H$50&lt;&gt;H30)),-1*SUMPRODUCT((P$3:P$50="")*(O$3:O$50="")*(N$3:N$50="")*(M$3:M$50="P")*(G$3:G$50=G30)*(J$3:J$50&gt;J30)*(H$3:H$50="L5")))+1,""))))</f>
        <v/>
      </c>
      <c r="C30" s="36" t="s">
        <v>499</v>
      </c>
      <c r="D30" s="36" t="str">
        <f>IF(E30="","",VLOOKUP(E30,'Coaching Points'!A:B,2,0))</f>
        <v>BC</v>
      </c>
      <c r="E30" s="36" t="s">
        <v>439</v>
      </c>
      <c r="F30" s="35">
        <v>2005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66</v>
      </c>
      <c r="I30" s="43"/>
      <c r="J30" s="4">
        <f>R30+S30+IF(OR(H30="Junior",H30="Senior"),0.0002,IF(OR(H30="L7",H30="L6"),0.0001,0))+MAX(X30,Z30)*0.0000001</f>
        <v>32.900003290000001</v>
      </c>
      <c r="K30" s="3" t="str">
        <f>IF(G30="Not Age Eligible","",IF(MAX(T30,V30,X30,Z30)&gt;=LOOKUP(G30,'Qualifying Scores'!$A$4:$A$7,'Qualifying Scores'!$H$4:$H$7),"P",""))</f>
        <v/>
      </c>
      <c r="L30" s="3" t="str">
        <f>IF(G30="Not Age Eligible","",IF(MAX(U30,W30,Y30,AA30)&gt;=LOOKUP(G30,'Qualifying Scores'!$A$10:$A$13,'Qualifying Scores'!$H$10:$H$13),"P",""))</f>
        <v/>
      </c>
      <c r="M30" s="3" t="str">
        <f>IF(G30="Not Age Eligible","",IF(OR(AND(T30&gt;=LOOKUP(G30,'Qualifying Scores'!$A$4:$A$7,'Qualifying Scores'!$H$4:$H$7),U30&gt;=LOOKUP(G30,'Qualifying Scores'!$A$10:$A$13,'Qualifying Scores'!$H$10:$H$13)),AND(X30&gt;=LOOKUP(G30,'Qualifying Scores'!$A$4:$A$7,'Qualifying Scores'!$H$4:$H$7),Y30&gt;=LOOKUP(G30,'Qualifying Scores'!$A$10:$A$13,'Qualifying Scores'!$H$10:$H$13)),AND(V30&gt;=LOOKUP(G30,'Qualifying Scores'!$A$4:$A$7,'Qualifying Scores'!$H$4:$H$7),W30&gt;=LOOKUP(G30,'Qualifying Scores'!$A$10:$A$13,'Qualifying Scores'!$H$10:$H$13)),AND(Z30&gt;=LOOKUP(G30,'Qualifying Scores'!$A$4:$A$7,'Qualifying Scores'!$H$4:$H$7),AA30&gt;=LOOKUP(G30,'Qualifying Scores'!$A$10:$A$13,'Qualifying Scores'!$H$10:$H$13))),"P",""))</f>
        <v/>
      </c>
      <c r="Q30" s="1" t="str">
        <f>IF(A30&lt;5,IF(_xlfn.MAXIFS(A:A,G:G,G30)&gt;3,5-A30,_xlfn.MAXIFS(A:A,G:G,G30)+1-A30),"")</f>
        <v/>
      </c>
      <c r="R30" s="4">
        <f>MAX(T30,X30)</f>
        <v>32.9</v>
      </c>
      <c r="S30" s="4">
        <f>IF(R30=T30,MAX(V30,X30,Z30),IF(R30=X30,MAX(T30,V30,Z30),0))</f>
        <v>0</v>
      </c>
      <c r="T30" s="33"/>
      <c r="U30" s="40"/>
      <c r="V30" s="34"/>
      <c r="W30" s="40"/>
      <c r="X30" s="33">
        <v>32.9</v>
      </c>
      <c r="Y30" s="40">
        <v>3.5999999999999996</v>
      </c>
      <c r="Z30" s="34"/>
      <c r="AA30" s="37"/>
    </row>
    <row r="31" spans="1:27" x14ac:dyDescent="0.2">
      <c r="A31" s="1" t="str" cm="1">
        <f t="array" ref="A31">IF(I31="","",IF(P31&lt;&gt;"",SUMPRODUCT((P$3:P$50&lt;&gt;"")*(G$3:G$50=G31)*(J$3:J$50&gt;J31)*(I$3:I$50="P"))+1,IF(O31&lt;&gt;"",SUMPRODUCT((O$3:O$50&lt;&gt;"")*(P$3:P$50="")*(G$3:G$50=G31)*(J$3:J$50&gt;J31)*(I$3:I$50="P"))+SUMPRODUCT((P$3:P$50&lt;&gt;"")*(G$3:G$50=G31)*(I$3:I$50="P"))+1,IF(N31&lt;&gt;"",SUMPRODUCT((N$3:N$50&lt;&gt;"")*(G$3:G$50=G31)*(J$3:J$50&gt;J31)*(I$3:I$50="P"))+1,IF(M31="P",SUMPRODUCT((O$3:O$50&lt;&gt;"")*(P$3:P$50="")*(G$3:G$50=G31)*(I$3:I$50="P"))+SUMPRODUCT((P$3:P$50&lt;&gt;"")*(G$3:G$50=G31)*(I$3:I$50="P"))+SUMPRODUCT((N$3:N$50&lt;&gt;"")*(G$3:G$50=G31)*(I$3:I$50="P"))+SUMPRODUCT((P$3:P$50="")*(O$3:O$50="")*(N$3:N$50="")*(M$3:M$50="P")*(G$3:G$50=G31)*(J$3:J$50&gt;J31)*(I$3:I$50="P"))+IF(H31="L5",SUMPRODUCT((P$3:P$50="")*(O$3:O$50="")*(N$3:N$50="")*(M$3:M$50="P")*(G$3:G$50=G31)*(J$3:J$50&lt;J31)*(H$3:H$50&lt;&gt;H31)*(I$3:I$50="P")),-1*SUMPRODUCT((P$3:P$50="")*(O$3:O$50="")*(N$3:N$50="")*(M$3:M$50="P")*(G$3:G$50=G31)*(J$3:J$50&gt;J31)*(H$3:H$50="L5")*(I$3:I$50="P")))+1,"")))))</f>
        <v/>
      </c>
      <c r="B31" s="1" t="str" cm="1">
        <f t="array" ref="B31">IF(P31&lt;&gt;"",SUMPRODUCT((P$3:P$50&lt;&gt;"")*(G$3:G$50=G31)*(J$3:J$50&gt;J31))+1,IF(O31&lt;&gt;"",SUMPRODUCT((O$3:O$50&lt;&gt;"")*(P$3:P$50="")*(G$3:G$50=G31)*(J$3:J$50&gt;J31))+SUMPRODUCT((P$3:P$50&lt;&gt;"")*(G$3:G$50=G31))+1,IF(N31&lt;&gt;"",SUMPRODUCT((N$3:N$50&lt;&gt;"")*(G$3:G$50=G31)*(J$3:J$50&gt;J31))+1,IF(M31="P",SUMPRODUCT((O$3:O$50&lt;&gt;"")*(P$3:P$50="")*(G$3:G$50=G31))+SUMPRODUCT((P$3:P$50&lt;&gt;"")*(G$3:G$50=G31))+SUMPRODUCT((N$3:N$50&lt;&gt;"")*(G$3:G$50=G31))+SUMPRODUCT((P$3:P$50="")*(O$3:O$50="")*(N$3:N$50="")*(M$3:M$50="P")*(G$3:G$50=G31)*(J$3:J$50&gt;J31))+IF(H31="L5",SUMPRODUCT((P$3:P$50="")*(O$3:O$50="")*(N$3:N$50="")*(M$3:M$50="P")*(G$3:G$50=G31)*(J$3:J$50&lt;J31)*(H$3:H$50&lt;&gt;H31)),-1*SUMPRODUCT((P$3:P$50="")*(O$3:O$50="")*(N$3:N$50="")*(M$3:M$50="P")*(G$3:G$50=G31)*(J$3:J$50&gt;J31)*(H$3:H$50="L5")))+1,""))))</f>
        <v/>
      </c>
      <c r="C31" s="36" t="s">
        <v>523</v>
      </c>
      <c r="D31" s="36" t="str">
        <f>IF(E31="","",VLOOKUP(E31,'Coaching Points'!A:B,2,0))</f>
        <v>ON</v>
      </c>
      <c r="E31" s="36" t="s">
        <v>313</v>
      </c>
      <c r="F31" s="35">
        <v>2005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>R31+S31+IF(OR(H31="Junior",H31="Senior"),0.0002,IF(OR(H31="L7",H31="L6"),0.0001,0))+MAX(X31,Z31)*0.0000001</f>
        <v>32.900003290000001</v>
      </c>
      <c r="K31" s="3" t="str">
        <f>IF(G31="Not Age Eligible","",IF(MAX(T31,V31,X31,Z31)&gt;=LOOKUP(G31,'Qualifying Scores'!$A$4:$A$7,'Qualifying Scores'!$H$4:$H$7),"P",""))</f>
        <v/>
      </c>
      <c r="L31" s="3" t="str">
        <f>IF(G31="Not Age Eligible","",IF(MAX(U31,W31,Y31,AA31)&gt;=LOOKUP(G31,'Qualifying Scores'!$A$10:$A$13,'Qualifying Scores'!$H$10:$H$13),"P",""))</f>
        <v/>
      </c>
      <c r="M31" s="3" t="str">
        <f>IF(G31="Not Age Eligible","",IF(OR(AND(T31&gt;=LOOKUP(G31,'Qualifying Scores'!$A$4:$A$7,'Qualifying Scores'!$H$4:$H$7),U31&gt;=LOOKUP(G31,'Qualifying Scores'!$A$10:$A$13,'Qualifying Scores'!$H$10:$H$13)),AND(X31&gt;=LOOKUP(G31,'Qualifying Scores'!$A$4:$A$7,'Qualifying Scores'!$H$4:$H$7),Y31&gt;=LOOKUP(G31,'Qualifying Scores'!$A$10:$A$13,'Qualifying Scores'!$H$10:$H$13)),AND(V31&gt;=LOOKUP(G31,'Qualifying Scores'!$A$4:$A$7,'Qualifying Scores'!$H$4:$H$7),W31&gt;=LOOKUP(G31,'Qualifying Scores'!$A$10:$A$13,'Qualifying Scores'!$H$10:$H$13)),AND(Z31&gt;=LOOKUP(G31,'Qualifying Scores'!$A$4:$A$7,'Qualifying Scores'!$H$4:$H$7),AA31&gt;=LOOKUP(G31,'Qualifying Scores'!$A$10:$A$13,'Qualifying Scores'!$H$10:$H$13))),"P",""))</f>
        <v/>
      </c>
      <c r="Q31" s="1" t="str">
        <f>IF(A31&lt;5,IF(_xlfn.MAXIFS(A:A,G:G,G31)&gt;3,5-A31,_xlfn.MAXIFS(A:A,G:G,G31)+1-A31),"")</f>
        <v/>
      </c>
      <c r="R31" s="4">
        <f>MAX(T31,X31)</f>
        <v>32.9</v>
      </c>
      <c r="S31" s="4">
        <f>IF(R31=T31,MAX(V31,X31,Z31),IF(R31=X31,MAX(T31,V31,Z31),0))</f>
        <v>0</v>
      </c>
      <c r="T31" s="33"/>
      <c r="U31" s="40"/>
      <c r="V31" s="34"/>
      <c r="W31" s="40"/>
      <c r="X31" s="33">
        <v>32.9</v>
      </c>
      <c r="Y31" s="40">
        <v>3.6</v>
      </c>
      <c r="Z31" s="34"/>
      <c r="AA31" s="37"/>
    </row>
    <row r="32" spans="1:27" x14ac:dyDescent="0.2">
      <c r="A32" s="1" cm="1">
        <f t="array" ref="A32">IF(I32="","",IF(P32&lt;&gt;"",SUMPRODUCT((P$3:P$50&lt;&gt;"")*(G$3:G$50=G32)*(J$3:J$50&gt;J32)*(I$3:I$50="P"))+1,IF(O32&lt;&gt;"",SUMPRODUCT((O$3:O$50&lt;&gt;"")*(P$3:P$50="")*(G$3:G$50=G32)*(J$3:J$50&gt;J32)*(I$3:I$50="P"))+SUMPRODUCT((P$3:P$50&lt;&gt;"")*(G$3:G$50=G32)*(I$3:I$50="P"))+1,IF(N32&lt;&gt;"",SUMPRODUCT((N$3:N$50&lt;&gt;"")*(G$3:G$50=G32)*(J$3:J$50&gt;J32)*(I$3:I$50="P"))+1,IF(M32="P",SUMPRODUCT((O$3:O$50&lt;&gt;"")*(P$3:P$50="")*(G$3:G$50=G32)*(I$3:I$50="P"))+SUMPRODUCT((P$3:P$50&lt;&gt;"")*(G$3:G$50=G32)*(I$3:I$50="P"))+SUMPRODUCT((N$3:N$50&lt;&gt;"")*(G$3:G$50=G32)*(I$3:I$50="P"))+SUMPRODUCT((P$3:P$50="")*(O$3:O$50="")*(N$3:N$50="")*(M$3:M$50="P")*(G$3:G$50=G32)*(J$3:J$50&gt;J32)*(I$3:I$50="P"))+IF(H32="L5",SUMPRODUCT((P$3:P$50="")*(O$3:O$50="")*(N$3:N$50="")*(M$3:M$50="P")*(G$3:G$50=G32)*(J$3:J$50&lt;J32)*(H$3:H$50&lt;&gt;H32)*(I$3:I$50="P")),-1*SUMPRODUCT((P$3:P$50="")*(O$3:O$50="")*(N$3:N$50="")*(M$3:M$50="P")*(G$3:G$50=G32)*(J$3:J$50&gt;J32)*(H$3:H$50="L5")*(I$3:I$50="P")))+1,"")))))</f>
        <v>1</v>
      </c>
      <c r="B32" s="1" cm="1">
        <f t="array" ref="B32">IF(P32&lt;&gt;"",SUMPRODUCT((P$3:P$50&lt;&gt;"")*(G$3:G$50=G32)*(J$3:J$50&gt;J32))+1,IF(O32&lt;&gt;"",SUMPRODUCT((O$3:O$50&lt;&gt;"")*(P$3:P$50="")*(G$3:G$50=G32)*(J$3:J$50&gt;J32))+SUMPRODUCT((P$3:P$50&lt;&gt;"")*(G$3:G$50=G32))+1,IF(N32&lt;&gt;"",SUMPRODUCT((N$3:N$50&lt;&gt;"")*(G$3:G$50=G32)*(J$3:J$50&gt;J32))+1,IF(M32="P",SUMPRODUCT((O$3:O$50&lt;&gt;"")*(P$3:P$50="")*(G$3:G$50=G32))+SUMPRODUCT((P$3:P$50&lt;&gt;"")*(G$3:G$50=G32))+SUMPRODUCT((N$3:N$50&lt;&gt;"")*(G$3:G$50=G32))+SUMPRODUCT((P$3:P$50="")*(O$3:O$50="")*(N$3:N$50="")*(M$3:M$50="P")*(G$3:G$50=G32)*(J$3:J$50&gt;J32))+IF(H32="L5",SUMPRODUCT((P$3:P$50="")*(O$3:O$50="")*(N$3:N$50="")*(M$3:M$50="P")*(G$3:G$50=G32)*(J$3:J$50&lt;J32)*(H$3:H$50&lt;&gt;H32)),-1*SUMPRODUCT((P$3:P$50="")*(O$3:O$50="")*(N$3:N$50="")*(M$3:M$50="P")*(G$3:G$50=G32)*(J$3:J$50&gt;J32)*(H$3:H$50="L5")))+1,""))))</f>
        <v>1</v>
      </c>
      <c r="C32" s="36" t="s">
        <v>274</v>
      </c>
      <c r="D32" s="36" t="str">
        <f>IF(E32="","",VLOOKUP(E32,'Coaching Points'!A:B,2,0))</f>
        <v>ON</v>
      </c>
      <c r="E32" s="36" t="s">
        <v>291</v>
      </c>
      <c r="F32" s="35">
        <v>2008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15-16</v>
      </c>
      <c r="H32" s="39" t="s">
        <v>65</v>
      </c>
      <c r="I32" s="43" t="s">
        <v>567</v>
      </c>
      <c r="J32" s="4">
        <f>R32+S32+IF(OR(H32="Junior",H32="Senior"),0.0002,IF(OR(H32="L7",H32="L6"),0.0001,0))+MAX(X32,Z32)*0.0000001</f>
        <v>87.600204379999994</v>
      </c>
      <c r="K32" s="3" t="str">
        <f>IF(G32="Not Age Eligible","",IF(MAX(T32,V32,X32,Z32)&gt;=LOOKUP(G32,'Qualifying Scores'!$A$4:$A$7,'Qualifying Scores'!$H$4:$H$7),"P",""))</f>
        <v>P</v>
      </c>
      <c r="L32" s="3" t="str">
        <f>IF(G32="Not Age Eligible","",IF(MAX(U32,W32,Y32,AA32)&gt;=LOOKUP(G32,'Qualifying Scores'!$A$10:$A$13,'Qualifying Scores'!$H$10:$H$13),"P",""))</f>
        <v>P</v>
      </c>
      <c r="M32" s="3" t="str">
        <f>IF(G32="Not Age Eligible","",IF(OR(AND(T32&gt;=LOOKUP(G32,'Qualifying Scores'!$A$4:$A$7,'Qualifying Scores'!$H$4:$H$7),U32&gt;=LOOKUP(G32,'Qualifying Scores'!$A$10:$A$13,'Qualifying Scores'!$H$10:$H$13)),AND(X32&gt;=LOOKUP(G32,'Qualifying Scores'!$A$4:$A$7,'Qualifying Scores'!$H$4:$H$7),Y32&gt;=LOOKUP(G32,'Qualifying Scores'!$A$10:$A$13,'Qualifying Scores'!$H$10:$H$13)),AND(V32&gt;=LOOKUP(G32,'Qualifying Scores'!$A$4:$A$7,'Qualifying Scores'!$H$4:$H$7),W32&gt;=LOOKUP(G32,'Qualifying Scores'!$A$10:$A$13,'Qualifying Scores'!$H$10:$H$13)),AND(Z32&gt;=LOOKUP(G32,'Qualifying Scores'!$A$4:$A$7,'Qualifying Scores'!$H$4:$H$7),AA32&gt;=LOOKUP(G32,'Qualifying Scores'!$A$10:$A$13,'Qualifying Scores'!$H$10:$H$13))),"P",""))</f>
        <v>P</v>
      </c>
      <c r="N32" s="39">
        <v>1</v>
      </c>
      <c r="Q32" s="1">
        <f>IF(A32&lt;5,IF(_xlfn.MAXIFS(A:A,G:G,G32)&gt;3,5-A32,_xlfn.MAXIFS(A:A,G:G,G32)+1-A32),"")</f>
        <v>3</v>
      </c>
      <c r="R32" s="4">
        <f>MAX(T32,X32)</f>
        <v>43.2</v>
      </c>
      <c r="S32" s="4">
        <f>IF(R32=T32,MAX(V32,X32,Z32),IF(R32=X32,MAX(T32,V32,Z32),0))</f>
        <v>44.4</v>
      </c>
      <c r="T32" s="33">
        <v>43.2</v>
      </c>
      <c r="U32" s="40">
        <v>10.1</v>
      </c>
      <c r="V32" s="34">
        <v>44.4</v>
      </c>
      <c r="W32" s="40">
        <v>9.8000000000000007</v>
      </c>
      <c r="X32" s="33">
        <v>41.9</v>
      </c>
      <c r="Y32" s="40">
        <v>10.8</v>
      </c>
      <c r="Z32" s="34">
        <v>43.8</v>
      </c>
      <c r="AA32" s="37">
        <v>10.8</v>
      </c>
    </row>
    <row r="33" spans="1:27" x14ac:dyDescent="0.2">
      <c r="A33" s="1" cm="1">
        <f t="array" ref="A33">IF(I33="","",IF(P33&lt;&gt;"",SUMPRODUCT((P$3:P$50&lt;&gt;"")*(G$3:G$50=G33)*(J$3:J$50&gt;J33)*(I$3:I$50="P"))+1,IF(O33&lt;&gt;"",SUMPRODUCT((O$3:O$50&lt;&gt;"")*(P$3:P$50="")*(G$3:G$50=G33)*(J$3:J$50&gt;J33)*(I$3:I$50="P"))+SUMPRODUCT((P$3:P$50&lt;&gt;"")*(G$3:G$50=G33)*(I$3:I$50="P"))+1,IF(N33&lt;&gt;"",SUMPRODUCT((N$3:N$50&lt;&gt;"")*(G$3:G$50=G33)*(J$3:J$50&gt;J33)*(I$3:I$50="P"))+1,IF(M33="P",SUMPRODUCT((O$3:O$50&lt;&gt;"")*(P$3:P$50="")*(G$3:G$50=G33)*(I$3:I$50="P"))+SUMPRODUCT((P$3:P$50&lt;&gt;"")*(G$3:G$50=G33)*(I$3:I$50="P"))+SUMPRODUCT((N$3:N$50&lt;&gt;"")*(G$3:G$50=G33)*(I$3:I$50="P"))+SUMPRODUCT((P$3:P$50="")*(O$3:O$50="")*(N$3:N$50="")*(M$3:M$50="P")*(G$3:G$50=G33)*(J$3:J$50&gt;J33)*(I$3:I$50="P"))+IF(H33="L5",SUMPRODUCT((P$3:P$50="")*(O$3:O$50="")*(N$3:N$50="")*(M$3:M$50="P")*(G$3:G$50=G33)*(J$3:J$50&lt;J33)*(H$3:H$50&lt;&gt;H33)*(I$3:I$50="P")),-1*SUMPRODUCT((P$3:P$50="")*(O$3:O$50="")*(N$3:N$50="")*(M$3:M$50="P")*(G$3:G$50=G33)*(J$3:J$50&gt;J33)*(H$3:H$50="L5")*(I$3:I$50="P")))+1,"")))))</f>
        <v>2</v>
      </c>
      <c r="B33" s="1" cm="1">
        <f t="array" ref="B33">IF(P33&lt;&gt;"",SUMPRODUCT((P$3:P$50&lt;&gt;"")*(G$3:G$50=G33)*(J$3:J$50&gt;J33))+1,IF(O33&lt;&gt;"",SUMPRODUCT((O$3:O$50&lt;&gt;"")*(P$3:P$50="")*(G$3:G$50=G33)*(J$3:J$50&gt;J33))+SUMPRODUCT((P$3:P$50&lt;&gt;"")*(G$3:G$50=G33))+1,IF(N33&lt;&gt;"",SUMPRODUCT((N$3:N$50&lt;&gt;"")*(G$3:G$50=G33)*(J$3:J$50&gt;J33))+1,IF(M33="P",SUMPRODUCT((O$3:O$50&lt;&gt;"")*(P$3:P$50="")*(G$3:G$50=G33))+SUMPRODUCT((P$3:P$50&lt;&gt;"")*(G$3:G$50=G33))+SUMPRODUCT((N$3:N$50&lt;&gt;"")*(G$3:G$50=G33))+SUMPRODUCT((P$3:P$50="")*(O$3:O$50="")*(N$3:N$50="")*(M$3:M$50="P")*(G$3:G$50=G33)*(J$3:J$50&gt;J33))+IF(H33="L5",SUMPRODUCT((P$3:P$50="")*(O$3:O$50="")*(N$3:N$50="")*(M$3:M$50="P")*(G$3:G$50=G33)*(J$3:J$50&lt;J33)*(H$3:H$50&lt;&gt;H33)),-1*SUMPRODUCT((P$3:P$50="")*(O$3:O$50="")*(N$3:N$50="")*(M$3:M$50="P")*(G$3:G$50=G33)*(J$3:J$50&gt;J33)*(H$3:H$50="L5")))+1,""))))</f>
        <v>2</v>
      </c>
      <c r="C33" s="36" t="s">
        <v>163</v>
      </c>
      <c r="D33" s="36" t="str">
        <f>IF(E33="","",VLOOKUP(E33,'Coaching Points'!A:B,2,0))</f>
        <v>AB</v>
      </c>
      <c r="E33" s="36" t="s">
        <v>64</v>
      </c>
      <c r="F33" s="35">
        <v>2008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15-16</v>
      </c>
      <c r="H33" s="39" t="s">
        <v>65</v>
      </c>
      <c r="I33" s="43" t="s">
        <v>567</v>
      </c>
      <c r="J33" s="4">
        <f>R33+S33+IF(OR(H33="Junior",H33="Senior"),0.0002,IF(OR(H33="L7",H33="L6"),0.0001,0))+MAX(X33,Z33)*0.0000001</f>
        <v>84.100204360000006</v>
      </c>
      <c r="K33" s="3" t="str">
        <f>IF(G33="Not Age Eligible","",IF(MAX(T33,V33,X33,Z33)&gt;=LOOKUP(G33,'Qualifying Scores'!$A$4:$A$7,'Qualifying Scores'!$H$4:$H$7),"P",""))</f>
        <v>P</v>
      </c>
      <c r="L33" s="3" t="str">
        <f>IF(G33="Not Age Eligible","",IF(MAX(U33,W33,Y33,AA33)&gt;=LOOKUP(G33,'Qualifying Scores'!$A$10:$A$13,'Qualifying Scores'!$H$10:$H$13),"P",""))</f>
        <v>P</v>
      </c>
      <c r="M33" s="3" t="str">
        <f>IF(G33="Not Age Eligible","",IF(OR(AND(T33&gt;=LOOKUP(G33,'Qualifying Scores'!$A$4:$A$7,'Qualifying Scores'!$H$4:$H$7),U33&gt;=LOOKUP(G33,'Qualifying Scores'!$A$10:$A$13,'Qualifying Scores'!$H$10:$H$13)),AND(X33&gt;=LOOKUP(G33,'Qualifying Scores'!$A$4:$A$7,'Qualifying Scores'!$H$4:$H$7),Y33&gt;=LOOKUP(G33,'Qualifying Scores'!$A$10:$A$13,'Qualifying Scores'!$H$10:$H$13)),AND(V33&gt;=LOOKUP(G33,'Qualifying Scores'!$A$4:$A$7,'Qualifying Scores'!$H$4:$H$7),W33&gt;=LOOKUP(G33,'Qualifying Scores'!$A$10:$A$13,'Qualifying Scores'!$H$10:$H$13)),AND(Z33&gt;=LOOKUP(G33,'Qualifying Scores'!$A$4:$A$7,'Qualifying Scores'!$H$4:$H$7),AA33&gt;=LOOKUP(G33,'Qualifying Scores'!$A$10:$A$13,'Qualifying Scores'!$H$10:$H$13))),"P",""))</f>
        <v>P</v>
      </c>
      <c r="N33" s="39">
        <v>2</v>
      </c>
      <c r="Q33" s="1">
        <f>IF(A33&lt;5,IF(_xlfn.MAXIFS(A:A,G:G,G33)&gt;3,5-A33,_xlfn.MAXIFS(A:A,G:G,G33)+1-A33),"")</f>
        <v>2</v>
      </c>
      <c r="R33" s="4">
        <f>MAX(T33,X33)</f>
        <v>40.5</v>
      </c>
      <c r="S33" s="4">
        <f>IF(R33=T33,MAX(V33,X33,Z33),IF(R33=X33,MAX(T33,V33,Z33),0))</f>
        <v>43.6</v>
      </c>
      <c r="T33" s="33">
        <v>40.4</v>
      </c>
      <c r="U33" s="40">
        <v>10.1</v>
      </c>
      <c r="V33" s="34">
        <v>41.6</v>
      </c>
      <c r="W33" s="40">
        <v>9.1999999999999993</v>
      </c>
      <c r="X33" s="33">
        <v>40.5</v>
      </c>
      <c r="Y33" s="40">
        <v>9.1</v>
      </c>
      <c r="Z33" s="34">
        <v>43.6</v>
      </c>
      <c r="AA33" s="37">
        <v>10.1</v>
      </c>
    </row>
    <row r="34" spans="1:27" x14ac:dyDescent="0.2">
      <c r="A34" s="1" cm="1">
        <f t="array" ref="A34">IF(I34="","",IF(P34&lt;&gt;"",SUMPRODUCT((P$3:P$50&lt;&gt;"")*(G$3:G$50=G34)*(J$3:J$50&gt;J34)*(I$3:I$50="P"))+1,IF(O34&lt;&gt;"",SUMPRODUCT((O$3:O$50&lt;&gt;"")*(P$3:P$50="")*(G$3:G$50=G34)*(J$3:J$50&gt;J34)*(I$3:I$50="P"))+SUMPRODUCT((P$3:P$50&lt;&gt;"")*(G$3:G$50=G34)*(I$3:I$50="P"))+1,IF(N34&lt;&gt;"",SUMPRODUCT((N$3:N$50&lt;&gt;"")*(G$3:G$50=G34)*(J$3:J$50&gt;J34)*(I$3:I$50="P"))+1,IF(M34="P",SUMPRODUCT((O$3:O$50&lt;&gt;"")*(P$3:P$50="")*(G$3:G$50=G34)*(I$3:I$50="P"))+SUMPRODUCT((P$3:P$50&lt;&gt;"")*(G$3:G$50=G34)*(I$3:I$50="P"))+SUMPRODUCT((N$3:N$50&lt;&gt;"")*(G$3:G$50=G34)*(I$3:I$50="P"))+SUMPRODUCT((P$3:P$50="")*(O$3:O$50="")*(N$3:N$50="")*(M$3:M$50="P")*(G$3:G$50=G34)*(J$3:J$50&gt;J34)*(I$3:I$50="P"))+IF(H34="L5",SUMPRODUCT((P$3:P$50="")*(O$3:O$50="")*(N$3:N$50="")*(M$3:M$50="P")*(G$3:G$50=G34)*(J$3:J$50&lt;J34)*(H$3:H$50&lt;&gt;H34)*(I$3:I$50="P")),-1*SUMPRODUCT((P$3:P$50="")*(O$3:O$50="")*(N$3:N$50="")*(M$3:M$50="P")*(G$3:G$50=G34)*(J$3:J$50&gt;J34)*(H$3:H$50="L5")*(I$3:I$50="P")))+1,"")))))</f>
        <v>3</v>
      </c>
      <c r="B34" s="1" cm="1">
        <f t="array" ref="B34">IF(P34&lt;&gt;"",SUMPRODUCT((P$3:P$50&lt;&gt;"")*(G$3:G$50=G34)*(J$3:J$50&gt;J34))+1,IF(O34&lt;&gt;"",SUMPRODUCT((O$3:O$50&lt;&gt;"")*(P$3:P$50="")*(G$3:G$50=G34)*(J$3:J$50&gt;J34))+SUMPRODUCT((P$3:P$50&lt;&gt;"")*(G$3:G$50=G34))+1,IF(N34&lt;&gt;"",SUMPRODUCT((N$3:N$50&lt;&gt;"")*(G$3:G$50=G34)*(J$3:J$50&gt;J34))+1,IF(M34="P",SUMPRODUCT((O$3:O$50&lt;&gt;"")*(P$3:P$50="")*(G$3:G$50=G34))+SUMPRODUCT((P$3:P$50&lt;&gt;"")*(G$3:G$50=G34))+SUMPRODUCT((N$3:N$50&lt;&gt;"")*(G$3:G$50=G34))+SUMPRODUCT((P$3:P$50="")*(O$3:O$50="")*(N$3:N$50="")*(M$3:M$50="P")*(G$3:G$50=G34)*(J$3:J$50&gt;J34))+IF(H34="L5",SUMPRODUCT((P$3:P$50="")*(O$3:O$50="")*(N$3:N$50="")*(M$3:M$50="P")*(G$3:G$50=G34)*(J$3:J$50&lt;J34)*(H$3:H$50&lt;&gt;H34)),-1*SUMPRODUCT((P$3:P$50="")*(O$3:O$50="")*(N$3:N$50="")*(M$3:M$50="P")*(G$3:G$50=G34)*(J$3:J$50&gt;J34)*(H$3:H$50="L5")))+1,""))))</f>
        <v>3</v>
      </c>
      <c r="C34" s="36" t="s">
        <v>81</v>
      </c>
      <c r="D34" s="36" t="str">
        <f>IF(E34="","",VLOOKUP(E34,'Coaching Points'!A:B,2,0))</f>
        <v>ON</v>
      </c>
      <c r="E34" s="36" t="s">
        <v>47</v>
      </c>
      <c r="F34" s="35">
        <v>2008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15-16</v>
      </c>
      <c r="H34" s="39" t="s">
        <v>67</v>
      </c>
      <c r="I34" s="43" t="s">
        <v>567</v>
      </c>
      <c r="J34" s="4">
        <f>R34+S34+IF(OR(H34="Junior",H34="Senior"),0.0002,IF(OR(H34="L7",H34="L6"),0.0001,0))+MAX(X34,Z34)*0.0000001</f>
        <v>88.500104469999997</v>
      </c>
      <c r="K34" s="3" t="str">
        <f>IF(G34="Not Age Eligible","",IF(MAX(T34,V34,X34,Z34)&gt;=LOOKUP(G34,'Qualifying Scores'!$A$4:$A$7,'Qualifying Scores'!$H$4:$H$7),"P",""))</f>
        <v>P</v>
      </c>
      <c r="L34" s="3" t="str">
        <f>IF(G34="Not Age Eligible","",IF(MAX(U34,W34,Y34,AA34)&gt;=LOOKUP(G34,'Qualifying Scores'!$A$10:$A$13,'Qualifying Scores'!$H$10:$H$13),"P",""))</f>
        <v>P</v>
      </c>
      <c r="M34" s="3" t="str">
        <f>IF(G34="Not Age Eligible","",IF(OR(AND(T34&gt;=LOOKUP(G34,'Qualifying Scores'!$A$4:$A$7,'Qualifying Scores'!$H$4:$H$7),U34&gt;=LOOKUP(G34,'Qualifying Scores'!$A$10:$A$13,'Qualifying Scores'!$H$10:$H$13)),AND(X34&gt;=LOOKUP(G34,'Qualifying Scores'!$A$4:$A$7,'Qualifying Scores'!$H$4:$H$7),Y34&gt;=LOOKUP(G34,'Qualifying Scores'!$A$10:$A$13,'Qualifying Scores'!$H$10:$H$13)),AND(V34&gt;=LOOKUP(G34,'Qualifying Scores'!$A$4:$A$7,'Qualifying Scores'!$H$4:$H$7),W34&gt;=LOOKUP(G34,'Qualifying Scores'!$A$10:$A$13,'Qualifying Scores'!$H$10:$H$13)),AND(Z34&gt;=LOOKUP(G34,'Qualifying Scores'!$A$4:$A$7,'Qualifying Scores'!$H$4:$H$7),AA34&gt;=LOOKUP(G34,'Qualifying Scores'!$A$10:$A$13,'Qualifying Scores'!$H$10:$H$13))),"P",""))</f>
        <v>P</v>
      </c>
      <c r="Q34" s="1">
        <f>IF(A34&lt;5,IF(_xlfn.MAXIFS(A:A,G:G,G34)&gt;3,5-A34,_xlfn.MAXIFS(A:A,G:G,G34)+1-A34),"")</f>
        <v>1</v>
      </c>
      <c r="R34" s="4">
        <f>MAX(T34,X34)</f>
        <v>43.8</v>
      </c>
      <c r="S34" s="4">
        <f>IF(R34=T34,MAX(V34,X34,Z34),IF(R34=X34,MAX(T34,V34,Z34),0))</f>
        <v>44.7</v>
      </c>
      <c r="T34" s="33">
        <v>41.8</v>
      </c>
      <c r="U34" s="40">
        <v>8.6999999999999993</v>
      </c>
      <c r="V34" s="34">
        <v>43.3</v>
      </c>
      <c r="W34" s="40">
        <v>8.6999999999999993</v>
      </c>
      <c r="X34" s="33">
        <v>43.8</v>
      </c>
      <c r="Y34" s="40">
        <v>9.1</v>
      </c>
      <c r="Z34" s="34">
        <v>44.7</v>
      </c>
      <c r="AA34" s="37">
        <v>9.1</v>
      </c>
    </row>
    <row r="35" spans="1:27" x14ac:dyDescent="0.2">
      <c r="A35" s="1" t="str" cm="1">
        <f t="array" ref="A35">IF(I35="","",IF(P35&lt;&gt;"",SUMPRODUCT((P$3:P$50&lt;&gt;"")*(G$3:G$50=G35)*(J$3:J$50&gt;J35)*(I$3:I$50="P"))+1,IF(O35&lt;&gt;"",SUMPRODUCT((O$3:O$50&lt;&gt;"")*(P$3:P$50="")*(G$3:G$50=G35)*(J$3:J$50&gt;J35)*(I$3:I$50="P"))+SUMPRODUCT((P$3:P$50&lt;&gt;"")*(G$3:G$50=G35)*(I$3:I$50="P"))+1,IF(N35&lt;&gt;"",SUMPRODUCT((N$3:N$50&lt;&gt;"")*(G$3:G$50=G35)*(J$3:J$50&gt;J35)*(I$3:I$50="P"))+1,IF(M35="P",SUMPRODUCT((O$3:O$50&lt;&gt;"")*(P$3:P$50="")*(G$3:G$50=G35)*(I$3:I$50="P"))+SUMPRODUCT((P$3:P$50&lt;&gt;"")*(G$3:G$50=G35)*(I$3:I$50="P"))+SUMPRODUCT((N$3:N$50&lt;&gt;"")*(G$3:G$50=G35)*(I$3:I$50="P"))+SUMPRODUCT((P$3:P$50="")*(O$3:O$50="")*(N$3:N$50="")*(M$3:M$50="P")*(G$3:G$50=G35)*(J$3:J$50&gt;J35)*(I$3:I$50="P"))+IF(H35="L5",SUMPRODUCT((P$3:P$50="")*(O$3:O$50="")*(N$3:N$50="")*(M$3:M$50="P")*(G$3:G$50=G35)*(J$3:J$50&lt;J35)*(H$3:H$50&lt;&gt;H35)*(I$3:I$50="P")),-1*SUMPRODUCT((P$3:P$50="")*(O$3:O$50="")*(N$3:N$50="")*(M$3:M$50="P")*(G$3:G$50=G35)*(J$3:J$50&gt;J35)*(H$3:H$50="L5")*(I$3:I$50="P")))+1,"")))))</f>
        <v/>
      </c>
      <c r="B35" s="1" t="str" cm="1">
        <f t="array" ref="B35">IF(P35&lt;&gt;"",SUMPRODUCT((P$3:P$50&lt;&gt;"")*(G$3:G$50=G35)*(J$3:J$50&gt;J35))+1,IF(O35&lt;&gt;"",SUMPRODUCT((O$3:O$50&lt;&gt;"")*(P$3:P$50="")*(G$3:G$50=G35)*(J$3:J$50&gt;J35))+SUMPRODUCT((P$3:P$50&lt;&gt;"")*(G$3:G$50=G35))+1,IF(N35&lt;&gt;"",SUMPRODUCT((N$3:N$50&lt;&gt;"")*(G$3:G$50=G35)*(J$3:J$50&gt;J35))+1,IF(M35="P",SUMPRODUCT((O$3:O$50&lt;&gt;"")*(P$3:P$50="")*(G$3:G$50=G35))+SUMPRODUCT((P$3:P$50&lt;&gt;"")*(G$3:G$50=G35))+SUMPRODUCT((N$3:N$50&lt;&gt;"")*(G$3:G$50=G35))+SUMPRODUCT((P$3:P$50="")*(O$3:O$50="")*(N$3:N$50="")*(M$3:M$50="P")*(G$3:G$50=G35)*(J$3:J$50&gt;J35))+IF(H35="L5",SUMPRODUCT((P$3:P$50="")*(O$3:O$50="")*(N$3:N$50="")*(M$3:M$50="P")*(G$3:G$50=G35)*(J$3:J$50&lt;J35)*(H$3:H$50&lt;&gt;H35)),-1*SUMPRODUCT((P$3:P$50="")*(O$3:O$50="")*(N$3:N$50="")*(M$3:M$50="P")*(G$3:G$50=G35)*(J$3:J$50&gt;J35)*(H$3:H$50="L5")))+1,""))))</f>
        <v/>
      </c>
      <c r="C35" s="36" t="s">
        <v>86</v>
      </c>
      <c r="D35" s="36" t="str">
        <f>IF(E35="","",VLOOKUP(E35,'Coaching Points'!A:B,2,0))</f>
        <v>BC</v>
      </c>
      <c r="E35" s="36" t="s">
        <v>72</v>
      </c>
      <c r="F35" s="35">
        <v>2007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15-16</v>
      </c>
      <c r="H35" s="39" t="s">
        <v>65</v>
      </c>
      <c r="I35" s="43" t="s">
        <v>567</v>
      </c>
      <c r="J35" s="4">
        <f>R35+S35+IF(OR(H35="Junior",H35="Senior"),0.0002,IF(OR(H35="L7",H35="L6"),0.0001,0))+MAX(X35,Z35)*0.0000001</f>
        <v>84.900203930000018</v>
      </c>
      <c r="K35" s="3" t="str">
        <f>IF(G35="Not Age Eligible","",IF(MAX(T35,V35,X35,Z35)&gt;=LOOKUP(G35,'Qualifying Scores'!$A$4:$A$7,'Qualifying Scores'!$H$4:$H$7),"P",""))</f>
        <v/>
      </c>
      <c r="L35" s="3" t="str">
        <f>IF(G35="Not Age Eligible","",IF(MAX(U35,W35,Y35,AA35)&gt;=LOOKUP(G35,'Qualifying Scores'!$A$10:$A$13,'Qualifying Scores'!$H$10:$H$13),"P",""))</f>
        <v>P</v>
      </c>
      <c r="M35" s="3" t="str">
        <f>IF(G35="Not Age Eligible","",IF(OR(AND(T35&gt;=LOOKUP(G35,'Qualifying Scores'!$A$4:$A$7,'Qualifying Scores'!$H$4:$H$7),U35&gt;=LOOKUP(G35,'Qualifying Scores'!$A$10:$A$13,'Qualifying Scores'!$H$10:$H$13)),AND(X35&gt;=LOOKUP(G35,'Qualifying Scores'!$A$4:$A$7,'Qualifying Scores'!$H$4:$H$7),Y35&gt;=LOOKUP(G35,'Qualifying Scores'!$A$10:$A$13,'Qualifying Scores'!$H$10:$H$13)),AND(V35&gt;=LOOKUP(G35,'Qualifying Scores'!$A$4:$A$7,'Qualifying Scores'!$H$4:$H$7),W35&gt;=LOOKUP(G35,'Qualifying Scores'!$A$10:$A$13,'Qualifying Scores'!$H$10:$H$13)),AND(Z35&gt;=LOOKUP(G35,'Qualifying Scores'!$A$4:$A$7,'Qualifying Scores'!$H$4:$H$7),AA35&gt;=LOOKUP(G35,'Qualifying Scores'!$A$10:$A$13,'Qualifying Scores'!$H$10:$H$13))),"P",""))</f>
        <v/>
      </c>
      <c r="Q35" s="1" t="str">
        <f>IF(A35&lt;5,IF(_xlfn.MAXIFS(A:A,G:G,G35)&gt;3,5-A35,_xlfn.MAXIFS(A:A,G:G,G35)+1-A35),"")</f>
        <v/>
      </c>
      <c r="R35" s="4">
        <f>MAX(T35,X35)</f>
        <v>41.9</v>
      </c>
      <c r="S35" s="4">
        <f>IF(R35=T35,MAX(V35,X35,Z35),IF(R35=X35,MAX(T35,V35,Z35),0))</f>
        <v>43</v>
      </c>
      <c r="T35" s="33">
        <v>41.9</v>
      </c>
      <c r="U35" s="40">
        <v>8.6999999999999993</v>
      </c>
      <c r="V35" s="34">
        <v>43</v>
      </c>
      <c r="W35" s="40">
        <v>8.6999999999999993</v>
      </c>
      <c r="X35" s="33">
        <v>39.299999999999997</v>
      </c>
      <c r="Y35" s="40">
        <v>7</v>
      </c>
      <c r="Z35" s="34">
        <v>38.9</v>
      </c>
      <c r="AA35" s="37">
        <v>7.5</v>
      </c>
    </row>
    <row r="36" spans="1:27" x14ac:dyDescent="0.2">
      <c r="A36" s="1" t="str" cm="1">
        <f t="array" ref="A36">IF(I36="","",IF(P36&lt;&gt;"",SUMPRODUCT((P$3:P$50&lt;&gt;"")*(G$3:G$50=G36)*(J$3:J$50&gt;J36)*(I$3:I$50="P"))+1,IF(O36&lt;&gt;"",SUMPRODUCT((O$3:O$50&lt;&gt;"")*(P$3:P$50="")*(G$3:G$50=G36)*(J$3:J$50&gt;J36)*(I$3:I$50="P"))+SUMPRODUCT((P$3:P$50&lt;&gt;"")*(G$3:G$50=G36)*(I$3:I$50="P"))+1,IF(N36&lt;&gt;"",SUMPRODUCT((N$3:N$50&lt;&gt;"")*(G$3:G$50=G36)*(J$3:J$50&gt;J36)*(I$3:I$50="P"))+1,IF(M36="P",SUMPRODUCT((O$3:O$50&lt;&gt;"")*(P$3:P$50="")*(G$3:G$50=G36)*(I$3:I$50="P"))+SUMPRODUCT((P$3:P$50&lt;&gt;"")*(G$3:G$50=G36)*(I$3:I$50="P"))+SUMPRODUCT((N$3:N$50&lt;&gt;"")*(G$3:G$50=G36)*(I$3:I$50="P"))+SUMPRODUCT((P$3:P$50="")*(O$3:O$50="")*(N$3:N$50="")*(M$3:M$50="P")*(G$3:G$50=G36)*(J$3:J$50&gt;J36)*(I$3:I$50="P"))+IF(H36="L5",SUMPRODUCT((P$3:P$50="")*(O$3:O$50="")*(N$3:N$50="")*(M$3:M$50="P")*(G$3:G$50=G36)*(J$3:J$50&lt;J36)*(H$3:H$50&lt;&gt;H36)*(I$3:I$50="P")),-1*SUMPRODUCT((P$3:P$50="")*(O$3:O$50="")*(N$3:N$50="")*(M$3:M$50="P")*(G$3:G$50=G36)*(J$3:J$50&gt;J36)*(H$3:H$50="L5")*(I$3:I$50="P")))+1,"")))))</f>
        <v/>
      </c>
      <c r="B36" s="1" t="str" cm="1">
        <f t="array" ref="B36">IF(P36&lt;&gt;"",SUMPRODUCT((P$3:P$50&lt;&gt;"")*(G$3:G$50=G36)*(J$3:J$50&gt;J36))+1,IF(O36&lt;&gt;"",SUMPRODUCT((O$3:O$50&lt;&gt;"")*(P$3:P$50="")*(G$3:G$50=G36)*(J$3:J$50&gt;J36))+SUMPRODUCT((P$3:P$50&lt;&gt;"")*(G$3:G$50=G36))+1,IF(N36&lt;&gt;"",SUMPRODUCT((N$3:N$50&lt;&gt;"")*(G$3:G$50=G36)*(J$3:J$50&gt;J36))+1,IF(M36="P",SUMPRODUCT((O$3:O$50&lt;&gt;"")*(P$3:P$50="")*(G$3:G$50=G36))+SUMPRODUCT((P$3:P$50&lt;&gt;"")*(G$3:G$50=G36))+SUMPRODUCT((N$3:N$50&lt;&gt;"")*(G$3:G$50=G36))+SUMPRODUCT((P$3:P$50="")*(O$3:O$50="")*(N$3:N$50="")*(M$3:M$50="P")*(G$3:G$50=G36)*(J$3:J$50&gt;J36))+IF(H36="L5",SUMPRODUCT((P$3:P$50="")*(O$3:O$50="")*(N$3:N$50="")*(M$3:M$50="P")*(G$3:G$50=G36)*(J$3:J$50&lt;J36)*(H$3:H$50&lt;&gt;H36)),-1*SUMPRODUCT((P$3:P$50="")*(O$3:O$50="")*(N$3:N$50="")*(M$3:M$50="P")*(G$3:G$50=G36)*(J$3:J$50&gt;J36)*(H$3:H$50="L5")))+1,""))))</f>
        <v/>
      </c>
      <c r="C36" s="36" t="s">
        <v>82</v>
      </c>
      <c r="D36" s="36" t="str">
        <f>IF(E36="","",VLOOKUP(E36,'Coaching Points'!A:B,2,0))</f>
        <v>AB</v>
      </c>
      <c r="E36" s="36" t="s">
        <v>64</v>
      </c>
      <c r="F36" s="35">
        <v>2008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15-16</v>
      </c>
      <c r="H36" s="39" t="s">
        <v>67</v>
      </c>
      <c r="I36" s="43" t="s">
        <v>567</v>
      </c>
      <c r="J36" s="4">
        <f>R36+S36+IF(OR(H36="Junior",H36="Senior"),0.0002,IF(OR(H36="L7",H36="L6"),0.0001,0))+MAX(X36,Z36)*0.0000001</f>
        <v>81.000104149999999</v>
      </c>
      <c r="K36" s="3" t="str">
        <f>IF(G36="Not Age Eligible","",IF(MAX(T36,V36,X36,Z36)&gt;=LOOKUP(G36,'Qualifying Scores'!$A$4:$A$7,'Qualifying Scores'!$H$4:$H$7),"P",""))</f>
        <v/>
      </c>
      <c r="L36" s="3" t="str">
        <f>IF(G36="Not Age Eligible","",IF(MAX(U36,W36,Y36,AA36)&gt;=LOOKUP(G36,'Qualifying Scores'!$A$10:$A$13,'Qualifying Scores'!$H$10:$H$13),"P",""))</f>
        <v>P</v>
      </c>
      <c r="M36" s="3" t="str">
        <f>IF(G36="Not Age Eligible","",IF(OR(AND(T36&gt;=LOOKUP(G36,'Qualifying Scores'!$A$4:$A$7,'Qualifying Scores'!$H$4:$H$7),U36&gt;=LOOKUP(G36,'Qualifying Scores'!$A$10:$A$13,'Qualifying Scores'!$H$10:$H$13)),AND(X36&gt;=LOOKUP(G36,'Qualifying Scores'!$A$4:$A$7,'Qualifying Scores'!$H$4:$H$7),Y36&gt;=LOOKUP(G36,'Qualifying Scores'!$A$10:$A$13,'Qualifying Scores'!$H$10:$H$13)),AND(V36&gt;=LOOKUP(G36,'Qualifying Scores'!$A$4:$A$7,'Qualifying Scores'!$H$4:$H$7),W36&gt;=LOOKUP(G36,'Qualifying Scores'!$A$10:$A$13,'Qualifying Scores'!$H$10:$H$13)),AND(Z36&gt;=LOOKUP(G36,'Qualifying Scores'!$A$4:$A$7,'Qualifying Scores'!$H$4:$H$7),AA36&gt;=LOOKUP(G36,'Qualifying Scores'!$A$10:$A$13,'Qualifying Scores'!$H$10:$H$13))),"P",""))</f>
        <v/>
      </c>
      <c r="Q36" s="1" t="str">
        <f>IF(A36&lt;5,IF(_xlfn.MAXIFS(A:A,G:G,G36)&gt;3,5-A36,_xlfn.MAXIFS(A:A,G:G,G36)+1-A36),"")</f>
        <v/>
      </c>
      <c r="R36" s="4">
        <f>MAX(T36,X36)</f>
        <v>41.5</v>
      </c>
      <c r="S36" s="4">
        <f>IF(R36=T36,MAX(V36,X36,Z36),IF(R36=X36,MAX(T36,V36,Z36),0))</f>
        <v>39.5</v>
      </c>
      <c r="T36" s="33">
        <v>36.299999999999997</v>
      </c>
      <c r="U36" s="40">
        <v>8.5</v>
      </c>
      <c r="V36" s="34">
        <v>37.799999999999997</v>
      </c>
      <c r="W36" s="40">
        <v>8.5</v>
      </c>
      <c r="X36" s="33">
        <v>41.5</v>
      </c>
      <c r="Y36" s="40">
        <v>8.6999999999999993</v>
      </c>
      <c r="Z36" s="34">
        <v>39.5</v>
      </c>
      <c r="AA36" s="37">
        <v>7.3</v>
      </c>
    </row>
    <row r="37" spans="1:27" x14ac:dyDescent="0.2">
      <c r="A37" s="1" t="str" cm="1">
        <f t="array" ref="A37">IF(I37="","",IF(P37&lt;&gt;"",SUMPRODUCT((P$3:P$50&lt;&gt;"")*(G$3:G$50=G37)*(J$3:J$50&gt;J37)*(I$3:I$50="P"))+1,IF(O37&lt;&gt;"",SUMPRODUCT((O$3:O$50&lt;&gt;"")*(P$3:P$50="")*(G$3:G$50=G37)*(J$3:J$50&gt;J37)*(I$3:I$50="P"))+SUMPRODUCT((P$3:P$50&lt;&gt;"")*(G$3:G$50=G37)*(I$3:I$50="P"))+1,IF(N37&lt;&gt;"",SUMPRODUCT((N$3:N$50&lt;&gt;"")*(G$3:G$50=G37)*(J$3:J$50&gt;J37)*(I$3:I$50="P"))+1,IF(M37="P",SUMPRODUCT((O$3:O$50&lt;&gt;"")*(P$3:P$50="")*(G$3:G$50=G37)*(I$3:I$50="P"))+SUMPRODUCT((P$3:P$50&lt;&gt;"")*(G$3:G$50=G37)*(I$3:I$50="P"))+SUMPRODUCT((N$3:N$50&lt;&gt;"")*(G$3:G$50=G37)*(I$3:I$50="P"))+SUMPRODUCT((P$3:P$50="")*(O$3:O$50="")*(N$3:N$50="")*(M$3:M$50="P")*(G$3:G$50=G37)*(J$3:J$50&gt;J37)*(I$3:I$50="P"))+IF(H37="L5",SUMPRODUCT((P$3:P$50="")*(O$3:O$50="")*(N$3:N$50="")*(M$3:M$50="P")*(G$3:G$50=G37)*(J$3:J$50&lt;J37)*(H$3:H$50&lt;&gt;H37)*(I$3:I$50="P")),-1*SUMPRODUCT((P$3:P$50="")*(O$3:O$50="")*(N$3:N$50="")*(M$3:M$50="P")*(G$3:G$50=G37)*(J$3:J$50&gt;J37)*(H$3:H$50="L5")*(I$3:I$50="P")))+1,"")))))</f>
        <v/>
      </c>
      <c r="B37" s="1" t="str" cm="1">
        <f t="array" ref="B37">IF(P37&lt;&gt;"",SUMPRODUCT((P$3:P$50&lt;&gt;"")*(G$3:G$50=G37)*(J$3:J$50&gt;J37))+1,IF(O37&lt;&gt;"",SUMPRODUCT((O$3:O$50&lt;&gt;"")*(P$3:P$50="")*(G$3:G$50=G37)*(J$3:J$50&gt;J37))+SUMPRODUCT((P$3:P$50&lt;&gt;"")*(G$3:G$50=G37))+1,IF(N37&lt;&gt;"",SUMPRODUCT((N$3:N$50&lt;&gt;"")*(G$3:G$50=G37)*(J$3:J$50&gt;J37))+1,IF(M37="P",SUMPRODUCT((O$3:O$50&lt;&gt;"")*(P$3:P$50="")*(G$3:G$50=G37))+SUMPRODUCT((P$3:P$50&lt;&gt;"")*(G$3:G$50=G37))+SUMPRODUCT((N$3:N$50&lt;&gt;"")*(G$3:G$50=G37))+SUMPRODUCT((P$3:P$50="")*(O$3:O$50="")*(N$3:N$50="")*(M$3:M$50="P")*(G$3:G$50=G37)*(J$3:J$50&gt;J37))+IF(H37="L5",SUMPRODUCT((P$3:P$50="")*(O$3:O$50="")*(N$3:N$50="")*(M$3:M$50="P")*(G$3:G$50=G37)*(J$3:J$50&lt;J37)*(H$3:H$50&lt;&gt;H37)),-1*SUMPRODUCT((P$3:P$50="")*(O$3:O$50="")*(N$3:N$50="")*(M$3:M$50="P")*(G$3:G$50=G37)*(J$3:J$50&gt;J37)*(H$3:H$50="L5")))+1,""))))</f>
        <v/>
      </c>
      <c r="C37" s="36" t="s">
        <v>361</v>
      </c>
      <c r="D37" s="36" t="str">
        <f>IF(E37="","",VLOOKUP(E37,'Coaching Points'!A:B,2,0))</f>
        <v>ON</v>
      </c>
      <c r="E37" s="36" t="s">
        <v>175</v>
      </c>
      <c r="F37" s="35">
        <v>2007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15-16</v>
      </c>
      <c r="H37" s="39" t="s">
        <v>66</v>
      </c>
      <c r="I37" s="43" t="s">
        <v>567</v>
      </c>
      <c r="J37" s="4">
        <f>R37+S37+IF(OR(H37="Junior",H37="Senior"),0.0002,IF(OR(H37="L7",H37="L6"),0.0001,0))+MAX(X37,Z37)*0.0000001</f>
        <v>80.100004119999994</v>
      </c>
      <c r="K37" s="3" t="str">
        <f>IF(G37="Not Age Eligible","",IF(MAX(T37,V37,X37,Z37)&gt;=LOOKUP(G37,'Qualifying Scores'!$A$4:$A$7,'Qualifying Scores'!$H$4:$H$7),"P",""))</f>
        <v/>
      </c>
      <c r="L37" s="3" t="str">
        <f>IF(G37="Not Age Eligible","",IF(MAX(U37,W37,Y37,AA37)&gt;=LOOKUP(G37,'Qualifying Scores'!$A$10:$A$13,'Qualifying Scores'!$H$10:$H$13),"P",""))</f>
        <v/>
      </c>
      <c r="M37" s="3" t="str">
        <f>IF(G37="Not Age Eligible","",IF(OR(AND(T37&gt;=LOOKUP(G37,'Qualifying Scores'!$A$4:$A$7,'Qualifying Scores'!$H$4:$H$7),U37&gt;=LOOKUP(G37,'Qualifying Scores'!$A$10:$A$13,'Qualifying Scores'!$H$10:$H$13)),AND(X37&gt;=LOOKUP(G37,'Qualifying Scores'!$A$4:$A$7,'Qualifying Scores'!$H$4:$H$7),Y37&gt;=LOOKUP(G37,'Qualifying Scores'!$A$10:$A$13,'Qualifying Scores'!$H$10:$H$13)),AND(V37&gt;=LOOKUP(G37,'Qualifying Scores'!$A$4:$A$7,'Qualifying Scores'!$H$4:$H$7),W37&gt;=LOOKUP(G37,'Qualifying Scores'!$A$10:$A$13,'Qualifying Scores'!$H$10:$H$13)),AND(Z37&gt;=LOOKUP(G37,'Qualifying Scores'!$A$4:$A$7,'Qualifying Scores'!$H$4:$H$7),AA37&gt;=LOOKUP(G37,'Qualifying Scores'!$A$10:$A$13,'Qualifying Scores'!$H$10:$H$13))),"P",""))</f>
        <v/>
      </c>
      <c r="Q37" s="1" t="str">
        <f>IF(A37&lt;5,IF(_xlfn.MAXIFS(A:A,G:G,G37)&gt;3,5-A37,_xlfn.MAXIFS(A:A,G:G,G37)+1-A37),"")</f>
        <v/>
      </c>
      <c r="R37" s="4">
        <f>MAX(T37,X37)</f>
        <v>38.9</v>
      </c>
      <c r="S37" s="4">
        <f>IF(R37=T37,MAX(V37,X37,Z37),IF(R37=X37,MAX(T37,V37,Z37),0))</f>
        <v>41.2</v>
      </c>
      <c r="T37" s="33">
        <v>38.9</v>
      </c>
      <c r="U37" s="40">
        <v>6.6</v>
      </c>
      <c r="V37" s="34">
        <v>40</v>
      </c>
      <c r="W37" s="40">
        <v>6.6</v>
      </c>
      <c r="X37" s="33">
        <v>36.799999999999997</v>
      </c>
      <c r="Y37" s="40">
        <v>5.9</v>
      </c>
      <c r="Z37" s="34">
        <v>41.2</v>
      </c>
      <c r="AA37" s="37">
        <v>7.8</v>
      </c>
    </row>
    <row r="38" spans="1:27" x14ac:dyDescent="0.2">
      <c r="A38" s="1" t="str" cm="1">
        <f t="array" ref="A38">IF(I38="","",IF(P38&lt;&gt;"",SUMPRODUCT((P$3:P$50&lt;&gt;"")*(G$3:G$50=G38)*(J$3:J$50&gt;J38)*(I$3:I$50="P"))+1,IF(O38&lt;&gt;"",SUMPRODUCT((O$3:O$50&lt;&gt;"")*(P$3:P$50="")*(G$3:G$50=G38)*(J$3:J$50&gt;J38)*(I$3:I$50="P"))+SUMPRODUCT((P$3:P$50&lt;&gt;"")*(G$3:G$50=G38)*(I$3:I$50="P"))+1,IF(N38&lt;&gt;"",SUMPRODUCT((N$3:N$50&lt;&gt;"")*(G$3:G$50=G38)*(J$3:J$50&gt;J38)*(I$3:I$50="P"))+1,IF(M38="P",SUMPRODUCT((O$3:O$50&lt;&gt;"")*(P$3:P$50="")*(G$3:G$50=G38)*(I$3:I$50="P"))+SUMPRODUCT((P$3:P$50&lt;&gt;"")*(G$3:G$50=G38)*(I$3:I$50="P"))+SUMPRODUCT((N$3:N$50&lt;&gt;"")*(G$3:G$50=G38)*(I$3:I$50="P"))+SUMPRODUCT((P$3:P$50="")*(O$3:O$50="")*(N$3:N$50="")*(M$3:M$50="P")*(G$3:G$50=G38)*(J$3:J$50&gt;J38)*(I$3:I$50="P"))+IF(H38="L5",SUMPRODUCT((P$3:P$50="")*(O$3:O$50="")*(N$3:N$50="")*(M$3:M$50="P")*(G$3:G$50=G38)*(J$3:J$50&lt;J38)*(H$3:H$50&lt;&gt;H38)*(I$3:I$50="P")),-1*SUMPRODUCT((P$3:P$50="")*(O$3:O$50="")*(N$3:N$50="")*(M$3:M$50="P")*(G$3:G$50=G38)*(J$3:J$50&gt;J38)*(H$3:H$50="L5")*(I$3:I$50="P")))+1,"")))))</f>
        <v/>
      </c>
      <c r="B38" s="1" t="str" cm="1">
        <f t="array" ref="B38">IF(P38&lt;&gt;"",SUMPRODUCT((P$3:P$50&lt;&gt;"")*(G$3:G$50=G38)*(J$3:J$50&gt;J38))+1,IF(O38&lt;&gt;"",SUMPRODUCT((O$3:O$50&lt;&gt;"")*(P$3:P$50="")*(G$3:G$50=G38)*(J$3:J$50&gt;J38))+SUMPRODUCT((P$3:P$50&lt;&gt;"")*(G$3:G$50=G38))+1,IF(N38&lt;&gt;"",SUMPRODUCT((N$3:N$50&lt;&gt;"")*(G$3:G$50=G38)*(J$3:J$50&gt;J38))+1,IF(M38="P",SUMPRODUCT((O$3:O$50&lt;&gt;"")*(P$3:P$50="")*(G$3:G$50=G38))+SUMPRODUCT((P$3:P$50&lt;&gt;"")*(G$3:G$50=G38))+SUMPRODUCT((N$3:N$50&lt;&gt;"")*(G$3:G$50=G38))+SUMPRODUCT((P$3:P$50="")*(O$3:O$50="")*(N$3:N$50="")*(M$3:M$50="P")*(G$3:G$50=G38)*(J$3:J$50&gt;J38))+IF(H38="L5",SUMPRODUCT((P$3:P$50="")*(O$3:O$50="")*(N$3:N$50="")*(M$3:M$50="P")*(G$3:G$50=G38)*(J$3:J$50&lt;J38)*(H$3:H$50&lt;&gt;H38)),-1*SUMPRODUCT((P$3:P$50="")*(O$3:O$50="")*(N$3:N$50="")*(M$3:M$50="P")*(G$3:G$50=G38)*(J$3:J$50&gt;J38)*(H$3:H$50="L5")))+1,""))))</f>
        <v/>
      </c>
      <c r="C38" s="36" t="s">
        <v>521</v>
      </c>
      <c r="D38" s="36" t="str">
        <f>IF(E38="","",VLOOKUP(E38,'Coaching Points'!A:B,2,0))</f>
        <v>ON</v>
      </c>
      <c r="E38" s="36" t="s">
        <v>290</v>
      </c>
      <c r="F38" s="35">
        <v>2007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15-16</v>
      </c>
      <c r="H38" s="39" t="s">
        <v>66</v>
      </c>
      <c r="I38" s="43"/>
      <c r="J38" s="4">
        <f>R38+S38+IF(OR(H38="Junior",H38="Senior"),0.0002,IF(OR(H38="L7",H38="L6"),0.0001,0))+MAX(X38,Z38)*0.0000001</f>
        <v>76.80000398</v>
      </c>
      <c r="K38" s="3" t="str">
        <f>IF(G38="Not Age Eligible","",IF(MAX(T38,V38,X38,Z38)&gt;=LOOKUP(G38,'Qualifying Scores'!$A$4:$A$7,'Qualifying Scores'!$H$4:$H$7),"P",""))</f>
        <v/>
      </c>
      <c r="L38" s="3" t="str">
        <f>IF(G38="Not Age Eligible","",IF(MAX(U38,W38,Y38,AA38)&gt;=LOOKUP(G38,'Qualifying Scores'!$A$10:$A$13,'Qualifying Scores'!$H$10:$H$13),"P",""))</f>
        <v/>
      </c>
      <c r="M38" s="3" t="str">
        <f>IF(G38="Not Age Eligible","",IF(OR(AND(T38&gt;=LOOKUP(G38,'Qualifying Scores'!$A$4:$A$7,'Qualifying Scores'!$H$4:$H$7),U38&gt;=LOOKUP(G38,'Qualifying Scores'!$A$10:$A$13,'Qualifying Scores'!$H$10:$H$13)),AND(X38&gt;=LOOKUP(G38,'Qualifying Scores'!$A$4:$A$7,'Qualifying Scores'!$H$4:$H$7),Y38&gt;=LOOKUP(G38,'Qualifying Scores'!$A$10:$A$13,'Qualifying Scores'!$H$10:$H$13)),AND(V38&gt;=LOOKUP(G38,'Qualifying Scores'!$A$4:$A$7,'Qualifying Scores'!$H$4:$H$7),W38&gt;=LOOKUP(G38,'Qualifying Scores'!$A$10:$A$13,'Qualifying Scores'!$H$10:$H$13)),AND(Z38&gt;=LOOKUP(G38,'Qualifying Scores'!$A$4:$A$7,'Qualifying Scores'!$H$4:$H$7),AA38&gt;=LOOKUP(G38,'Qualifying Scores'!$A$10:$A$13,'Qualifying Scores'!$H$10:$H$13))),"P",""))</f>
        <v/>
      </c>
      <c r="Q38" s="1" t="str">
        <f>IF(A38&lt;5,IF(_xlfn.MAXIFS(A:A,G:G,G38)&gt;3,5-A38,_xlfn.MAXIFS(A:A,G:G,G38)+1-A38),"")</f>
        <v/>
      </c>
      <c r="R38" s="4">
        <f>MAX(T38,X38)</f>
        <v>37</v>
      </c>
      <c r="S38" s="4">
        <f>IF(R38=T38,MAX(V38,X38,Z38),IF(R38=X38,MAX(T38,V38,Z38),0))</f>
        <v>39.799999999999997</v>
      </c>
      <c r="T38" s="33"/>
      <c r="U38" s="40"/>
      <c r="V38" s="34"/>
      <c r="W38" s="40"/>
      <c r="X38" s="33">
        <v>37</v>
      </c>
      <c r="Y38" s="40">
        <v>6</v>
      </c>
      <c r="Z38" s="34">
        <v>39.799999999999997</v>
      </c>
      <c r="AA38" s="37">
        <v>6.2</v>
      </c>
    </row>
    <row r="39" spans="1:27" x14ac:dyDescent="0.2">
      <c r="A39" s="1" t="str" cm="1">
        <f t="array" ref="A39">IF(I39="","",IF(P39&lt;&gt;"",SUMPRODUCT((P$3:P$50&lt;&gt;"")*(G$3:G$50=G39)*(J$3:J$50&gt;J39)*(I$3:I$50="P"))+1,IF(O39&lt;&gt;"",SUMPRODUCT((O$3:O$50&lt;&gt;"")*(P$3:P$50="")*(G$3:G$50=G39)*(J$3:J$50&gt;J39)*(I$3:I$50="P"))+SUMPRODUCT((P$3:P$50&lt;&gt;"")*(G$3:G$50=G39)*(I$3:I$50="P"))+1,IF(N39&lt;&gt;"",SUMPRODUCT((N$3:N$50&lt;&gt;"")*(G$3:G$50=G39)*(J$3:J$50&gt;J39)*(I$3:I$50="P"))+1,IF(M39="P",SUMPRODUCT((O$3:O$50&lt;&gt;"")*(P$3:P$50="")*(G$3:G$50=G39)*(I$3:I$50="P"))+SUMPRODUCT((P$3:P$50&lt;&gt;"")*(G$3:G$50=G39)*(I$3:I$50="P"))+SUMPRODUCT((N$3:N$50&lt;&gt;"")*(G$3:G$50=G39)*(I$3:I$50="P"))+SUMPRODUCT((P$3:P$50="")*(O$3:O$50="")*(N$3:N$50="")*(M$3:M$50="P")*(G$3:G$50=G39)*(J$3:J$50&gt;J39)*(I$3:I$50="P"))+IF(H39="L5",SUMPRODUCT((P$3:P$50="")*(O$3:O$50="")*(N$3:N$50="")*(M$3:M$50="P")*(G$3:G$50=G39)*(J$3:J$50&lt;J39)*(H$3:H$50&lt;&gt;H39)*(I$3:I$50="P")),-1*SUMPRODUCT((P$3:P$50="")*(O$3:O$50="")*(N$3:N$50="")*(M$3:M$50="P")*(G$3:G$50=G39)*(J$3:J$50&gt;J39)*(H$3:H$50="L5")*(I$3:I$50="P")))+1,"")))))</f>
        <v/>
      </c>
      <c r="B39" s="1" t="str" cm="1">
        <f t="array" ref="B39">IF(P39&lt;&gt;"",SUMPRODUCT((P$3:P$50&lt;&gt;"")*(G$3:G$50=G39)*(J$3:J$50&gt;J39))+1,IF(O39&lt;&gt;"",SUMPRODUCT((O$3:O$50&lt;&gt;"")*(P$3:P$50="")*(G$3:G$50=G39)*(J$3:J$50&gt;J39))+SUMPRODUCT((P$3:P$50&lt;&gt;"")*(G$3:G$50=G39))+1,IF(N39&lt;&gt;"",SUMPRODUCT((N$3:N$50&lt;&gt;"")*(G$3:G$50=G39)*(J$3:J$50&gt;J39))+1,IF(M39="P",SUMPRODUCT((O$3:O$50&lt;&gt;"")*(P$3:P$50="")*(G$3:G$50=G39))+SUMPRODUCT((P$3:P$50&lt;&gt;"")*(G$3:G$50=G39))+SUMPRODUCT((N$3:N$50&lt;&gt;"")*(G$3:G$50=G39))+SUMPRODUCT((P$3:P$50="")*(O$3:O$50="")*(N$3:N$50="")*(M$3:M$50="P")*(G$3:G$50=G39)*(J$3:J$50&gt;J39))+IF(H39="L5",SUMPRODUCT((P$3:P$50="")*(O$3:O$50="")*(N$3:N$50="")*(M$3:M$50="P")*(G$3:G$50=G39)*(J$3:J$50&lt;J39)*(H$3:H$50&lt;&gt;H39)),-1*SUMPRODUCT((P$3:P$50="")*(O$3:O$50="")*(N$3:N$50="")*(M$3:M$50="P")*(G$3:G$50=G39)*(J$3:J$50&gt;J39)*(H$3:H$50="L5")))+1,""))))</f>
        <v/>
      </c>
      <c r="C39" s="36" t="s">
        <v>497</v>
      </c>
      <c r="D39" s="36" t="str">
        <f>IF(E39="","",VLOOKUP(E39,'Coaching Points'!A:B,2,0))</f>
        <v>BC</v>
      </c>
      <c r="E39" s="36" t="s">
        <v>439</v>
      </c>
      <c r="F39" s="35">
        <v>2007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15-16</v>
      </c>
      <c r="H39" s="39" t="s">
        <v>66</v>
      </c>
      <c r="I39" s="43"/>
      <c r="J39" s="4">
        <f>R39+S39+IF(OR(H39="Junior",H39="Senior"),0.0002,IF(OR(H39="L7",H39="L6"),0.0001,0))+MAX(X39,Z39)*0.0000001</f>
        <v>75.000003770000006</v>
      </c>
      <c r="K39" s="3" t="str">
        <f>IF(G39="Not Age Eligible","",IF(MAX(T39,V39,X39,Z39)&gt;=LOOKUP(G39,'Qualifying Scores'!$A$4:$A$7,'Qualifying Scores'!$H$4:$H$7),"P",""))</f>
        <v/>
      </c>
      <c r="L39" s="3" t="str">
        <f>IF(G39="Not Age Eligible","",IF(MAX(U39,W39,Y39,AA39)&gt;=LOOKUP(G39,'Qualifying Scores'!$A$10:$A$13,'Qualifying Scores'!$H$10:$H$13),"P",""))</f>
        <v/>
      </c>
      <c r="M39" s="3" t="str">
        <f>IF(G39="Not Age Eligible","",IF(OR(AND(T39&gt;=LOOKUP(G39,'Qualifying Scores'!$A$4:$A$7,'Qualifying Scores'!$H$4:$H$7),U39&gt;=LOOKUP(G39,'Qualifying Scores'!$A$10:$A$13,'Qualifying Scores'!$H$10:$H$13)),AND(X39&gt;=LOOKUP(G39,'Qualifying Scores'!$A$4:$A$7,'Qualifying Scores'!$H$4:$H$7),Y39&gt;=LOOKUP(G39,'Qualifying Scores'!$A$10:$A$13,'Qualifying Scores'!$H$10:$H$13)),AND(V39&gt;=LOOKUP(G39,'Qualifying Scores'!$A$4:$A$7,'Qualifying Scores'!$H$4:$H$7),W39&gt;=LOOKUP(G39,'Qualifying Scores'!$A$10:$A$13,'Qualifying Scores'!$H$10:$H$13)),AND(Z39&gt;=LOOKUP(G39,'Qualifying Scores'!$A$4:$A$7,'Qualifying Scores'!$H$4:$H$7),AA39&gt;=LOOKUP(G39,'Qualifying Scores'!$A$10:$A$13,'Qualifying Scores'!$H$10:$H$13))),"P",""))</f>
        <v/>
      </c>
      <c r="Q39" s="1" t="str">
        <f>IF(A39&lt;5,IF(_xlfn.MAXIFS(A:A,G:G,G39)&gt;3,5-A39,_xlfn.MAXIFS(A:A,G:G,G39)+1-A39),"")</f>
        <v/>
      </c>
      <c r="R39" s="4">
        <f>MAX(T39,X39)</f>
        <v>37.700000000000003</v>
      </c>
      <c r="S39" s="4">
        <f>IF(R39=T39,MAX(V39,X39,Z39),IF(R39=X39,MAX(T39,V39,Z39),0))</f>
        <v>37.299999999999997</v>
      </c>
      <c r="T39" s="33"/>
      <c r="U39" s="40"/>
      <c r="V39" s="34"/>
      <c r="W39" s="40"/>
      <c r="X39" s="33">
        <v>37.700000000000003</v>
      </c>
      <c r="Y39" s="40">
        <v>6.6</v>
      </c>
      <c r="Z39" s="34">
        <v>37.299999999999997</v>
      </c>
      <c r="AA39" s="37">
        <v>6.9</v>
      </c>
    </row>
    <row r="40" spans="1:27" x14ac:dyDescent="0.2">
      <c r="A40" s="1" t="str" cm="1">
        <f t="array" ref="A40">IF(I40="","",IF(P40&lt;&gt;"",SUMPRODUCT((P$3:P$50&lt;&gt;"")*(G$3:G$50=G40)*(J$3:J$50&gt;J40)*(I$3:I$50="P"))+1,IF(O40&lt;&gt;"",SUMPRODUCT((O$3:O$50&lt;&gt;"")*(P$3:P$50="")*(G$3:G$50=G40)*(J$3:J$50&gt;J40)*(I$3:I$50="P"))+SUMPRODUCT((P$3:P$50&lt;&gt;"")*(G$3:G$50=G40)*(I$3:I$50="P"))+1,IF(N40&lt;&gt;"",SUMPRODUCT((N$3:N$50&lt;&gt;"")*(G$3:G$50=G40)*(J$3:J$50&gt;J40)*(I$3:I$50="P"))+1,IF(M40="P",SUMPRODUCT((O$3:O$50&lt;&gt;"")*(P$3:P$50="")*(G$3:G$50=G40)*(I$3:I$50="P"))+SUMPRODUCT((P$3:P$50&lt;&gt;"")*(G$3:G$50=G40)*(I$3:I$50="P"))+SUMPRODUCT((N$3:N$50&lt;&gt;"")*(G$3:G$50=G40)*(I$3:I$50="P"))+SUMPRODUCT((P$3:P$50="")*(O$3:O$50="")*(N$3:N$50="")*(M$3:M$50="P")*(G$3:G$50=G40)*(J$3:J$50&gt;J40)*(I$3:I$50="P"))+IF(H40="L5",SUMPRODUCT((P$3:P$50="")*(O$3:O$50="")*(N$3:N$50="")*(M$3:M$50="P")*(G$3:G$50=G40)*(J$3:J$50&lt;J40)*(H$3:H$50&lt;&gt;H40)*(I$3:I$50="P")),-1*SUMPRODUCT((P$3:P$50="")*(O$3:O$50="")*(N$3:N$50="")*(M$3:M$50="P")*(G$3:G$50=G40)*(J$3:J$50&gt;J40)*(H$3:H$50="L5")*(I$3:I$50="P")))+1,"")))))</f>
        <v/>
      </c>
      <c r="B40" s="1" t="str" cm="1">
        <f t="array" ref="B40">IF(P40&lt;&gt;"",SUMPRODUCT((P$3:P$50&lt;&gt;"")*(G$3:G$50=G40)*(J$3:J$50&gt;J40))+1,IF(O40&lt;&gt;"",SUMPRODUCT((O$3:O$50&lt;&gt;"")*(P$3:P$50="")*(G$3:G$50=G40)*(J$3:J$50&gt;J40))+SUMPRODUCT((P$3:P$50&lt;&gt;"")*(G$3:G$50=G40))+1,IF(N40&lt;&gt;"",SUMPRODUCT((N$3:N$50&lt;&gt;"")*(G$3:G$50=G40)*(J$3:J$50&gt;J40))+1,IF(M40="P",SUMPRODUCT((O$3:O$50&lt;&gt;"")*(P$3:P$50="")*(G$3:G$50=G40))+SUMPRODUCT((P$3:P$50&lt;&gt;"")*(G$3:G$50=G40))+SUMPRODUCT((N$3:N$50&lt;&gt;"")*(G$3:G$50=G40))+SUMPRODUCT((P$3:P$50="")*(O$3:O$50="")*(N$3:N$50="")*(M$3:M$50="P")*(G$3:G$50=G40)*(J$3:J$50&gt;J40))+IF(H40="L5",SUMPRODUCT((P$3:P$50="")*(O$3:O$50="")*(N$3:N$50="")*(M$3:M$50="P")*(G$3:G$50=G40)*(J$3:J$50&lt;J40)*(H$3:H$50&lt;&gt;H40)),-1*SUMPRODUCT((P$3:P$50="")*(O$3:O$50="")*(N$3:N$50="")*(M$3:M$50="P")*(G$3:G$50=G40)*(J$3:J$50&gt;J40)*(H$3:H$50="L5")))+1,""))))</f>
        <v/>
      </c>
      <c r="C40" s="36" t="s">
        <v>516</v>
      </c>
      <c r="D40" s="36" t="str">
        <f>IF(E40="","",VLOOKUP(E40,'Coaching Points'!A:B,2,0))</f>
        <v>SK</v>
      </c>
      <c r="E40" s="36" t="s">
        <v>566</v>
      </c>
      <c r="F40" s="35">
        <v>2008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15-16</v>
      </c>
      <c r="H40" s="39" t="s">
        <v>66</v>
      </c>
      <c r="I40" s="43"/>
      <c r="J40" s="4">
        <f>R40+S40+IF(OR(H40="Junior",H40="Senior"),0.0002,IF(OR(H40="L7",H40="L6"),0.0001,0))+MAX(X40,Z40)*0.0000001</f>
        <v>74.900003850000004</v>
      </c>
      <c r="K40" s="3" t="str">
        <f>IF(G40="Not Age Eligible","",IF(MAX(T40,V40,X40,Z40)&gt;=LOOKUP(G40,'Qualifying Scores'!$A$4:$A$7,'Qualifying Scores'!$H$4:$H$7),"P",""))</f>
        <v/>
      </c>
      <c r="L40" s="3" t="str">
        <f>IF(G40="Not Age Eligible","",IF(MAX(U40,W40,Y40,AA40)&gt;=LOOKUP(G40,'Qualifying Scores'!$A$10:$A$13,'Qualifying Scores'!$H$10:$H$13),"P",""))</f>
        <v/>
      </c>
      <c r="M40" s="3" t="str">
        <f>IF(G40="Not Age Eligible","",IF(OR(AND(T40&gt;=LOOKUP(G40,'Qualifying Scores'!$A$4:$A$7,'Qualifying Scores'!$H$4:$H$7),U40&gt;=LOOKUP(G40,'Qualifying Scores'!$A$10:$A$13,'Qualifying Scores'!$H$10:$H$13)),AND(X40&gt;=LOOKUP(G40,'Qualifying Scores'!$A$4:$A$7,'Qualifying Scores'!$H$4:$H$7),Y40&gt;=LOOKUP(G40,'Qualifying Scores'!$A$10:$A$13,'Qualifying Scores'!$H$10:$H$13)),AND(V40&gt;=LOOKUP(G40,'Qualifying Scores'!$A$4:$A$7,'Qualifying Scores'!$H$4:$H$7),W40&gt;=LOOKUP(G40,'Qualifying Scores'!$A$10:$A$13,'Qualifying Scores'!$H$10:$H$13)),AND(Z40&gt;=LOOKUP(G40,'Qualifying Scores'!$A$4:$A$7,'Qualifying Scores'!$H$4:$H$7),AA40&gt;=LOOKUP(G40,'Qualifying Scores'!$A$10:$A$13,'Qualifying Scores'!$H$10:$H$13))),"P",""))</f>
        <v/>
      </c>
      <c r="Q40" s="1" t="str">
        <f>IF(A40&lt;5,IF(_xlfn.MAXIFS(A:A,G:G,G40)&gt;3,5-A40,_xlfn.MAXIFS(A:A,G:G,G40)+1-A40),"")</f>
        <v/>
      </c>
      <c r="R40" s="4">
        <f>MAX(T40,X40)</f>
        <v>38.5</v>
      </c>
      <c r="S40" s="4">
        <f>IF(R40=T40,MAX(V40,X40,Z40),IF(R40=X40,MAX(T40,V40,Z40),0))</f>
        <v>36.4</v>
      </c>
      <c r="T40" s="33"/>
      <c r="U40" s="40"/>
      <c r="V40" s="34"/>
      <c r="W40" s="40"/>
      <c r="X40" s="33">
        <v>38.5</v>
      </c>
      <c r="Y40" s="40">
        <v>5</v>
      </c>
      <c r="Z40" s="34">
        <v>36.4</v>
      </c>
      <c r="AA40" s="37">
        <v>3.9</v>
      </c>
    </row>
    <row r="41" spans="1:27" x14ac:dyDescent="0.2">
      <c r="A41" s="1" t="str" cm="1">
        <f t="array" ref="A41">IF(I41="","",IF(P41&lt;&gt;"",SUMPRODUCT((P$3:P$50&lt;&gt;"")*(G$3:G$50=G41)*(J$3:J$50&gt;J41)*(I$3:I$50="P"))+1,IF(O41&lt;&gt;"",SUMPRODUCT((O$3:O$50&lt;&gt;"")*(P$3:P$50="")*(G$3:G$50=G41)*(J$3:J$50&gt;J41)*(I$3:I$50="P"))+SUMPRODUCT((P$3:P$50&lt;&gt;"")*(G$3:G$50=G41)*(I$3:I$50="P"))+1,IF(N41&lt;&gt;"",SUMPRODUCT((N$3:N$50&lt;&gt;"")*(G$3:G$50=G41)*(J$3:J$50&gt;J41)*(I$3:I$50="P"))+1,IF(M41="P",SUMPRODUCT((O$3:O$50&lt;&gt;"")*(P$3:P$50="")*(G$3:G$50=G41)*(I$3:I$50="P"))+SUMPRODUCT((P$3:P$50&lt;&gt;"")*(G$3:G$50=G41)*(I$3:I$50="P"))+SUMPRODUCT((N$3:N$50&lt;&gt;"")*(G$3:G$50=G41)*(I$3:I$50="P"))+SUMPRODUCT((P$3:P$50="")*(O$3:O$50="")*(N$3:N$50="")*(M$3:M$50="P")*(G$3:G$50=G41)*(J$3:J$50&gt;J41)*(I$3:I$50="P"))+IF(H41="L5",SUMPRODUCT((P$3:P$50="")*(O$3:O$50="")*(N$3:N$50="")*(M$3:M$50="P")*(G$3:G$50=G41)*(J$3:J$50&lt;J41)*(H$3:H$50&lt;&gt;H41)*(I$3:I$50="P")),-1*SUMPRODUCT((P$3:P$50="")*(O$3:O$50="")*(N$3:N$50="")*(M$3:M$50="P")*(G$3:G$50=G41)*(J$3:J$50&gt;J41)*(H$3:H$50="L5")*(I$3:I$50="P")))+1,"")))))</f>
        <v/>
      </c>
      <c r="B41" s="1" t="str" cm="1">
        <f t="array" ref="B41">IF(P41&lt;&gt;"",SUMPRODUCT((P$3:P$50&lt;&gt;"")*(G$3:G$50=G41)*(J$3:J$50&gt;J41))+1,IF(O41&lt;&gt;"",SUMPRODUCT((O$3:O$50&lt;&gt;"")*(P$3:P$50="")*(G$3:G$50=G41)*(J$3:J$50&gt;J41))+SUMPRODUCT((P$3:P$50&lt;&gt;"")*(G$3:G$50=G41))+1,IF(N41&lt;&gt;"",SUMPRODUCT((N$3:N$50&lt;&gt;"")*(G$3:G$50=G41)*(J$3:J$50&gt;J41))+1,IF(M41="P",SUMPRODUCT((O$3:O$50&lt;&gt;"")*(P$3:P$50="")*(G$3:G$50=G41))+SUMPRODUCT((P$3:P$50&lt;&gt;"")*(G$3:G$50=G41))+SUMPRODUCT((N$3:N$50&lt;&gt;"")*(G$3:G$50=G41))+SUMPRODUCT((P$3:P$50="")*(O$3:O$50="")*(N$3:N$50="")*(M$3:M$50="P")*(G$3:G$50=G41)*(J$3:J$50&gt;J41))+IF(H41="L5",SUMPRODUCT((P$3:P$50="")*(O$3:O$50="")*(N$3:N$50="")*(M$3:M$50="P")*(G$3:G$50=G41)*(J$3:J$50&lt;J41)*(H$3:H$50&lt;&gt;H41)),-1*SUMPRODUCT((P$3:P$50="")*(O$3:O$50="")*(N$3:N$50="")*(M$3:M$50="P")*(G$3:G$50=G41)*(J$3:J$50&gt;J41)*(H$3:H$50="L5")))+1,""))))</f>
        <v/>
      </c>
      <c r="C41" s="36" t="s">
        <v>276</v>
      </c>
      <c r="D41" s="36" t="str">
        <f>IF(E41="","",VLOOKUP(E41,'Coaching Points'!A:B,2,0))</f>
        <v>AB</v>
      </c>
      <c r="E41" s="36" t="s">
        <v>64</v>
      </c>
      <c r="F41" s="35">
        <v>2007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15-16</v>
      </c>
      <c r="H41" s="39" t="s">
        <v>66</v>
      </c>
      <c r="I41" s="43" t="s">
        <v>567</v>
      </c>
      <c r="J41" s="4">
        <f>R41+S41+IF(OR(H41="Junior",H41="Senior"),0.0002,IF(OR(H41="L7",H41="L6"),0.0001,0))+MAX(X41,Z41)*0.0000001</f>
        <v>74.40000366000001</v>
      </c>
      <c r="K41" s="3" t="str">
        <f>IF(G41="Not Age Eligible","",IF(MAX(T41,V41,X41,Z41)&gt;=LOOKUP(G41,'Qualifying Scores'!$A$4:$A$7,'Qualifying Scores'!$H$4:$H$7),"P",""))</f>
        <v/>
      </c>
      <c r="L41" s="3" t="str">
        <f>IF(G41="Not Age Eligible","",IF(MAX(U41,W41,Y41,AA41)&gt;=LOOKUP(G41,'Qualifying Scores'!$A$10:$A$13,'Qualifying Scores'!$H$10:$H$13),"P",""))</f>
        <v/>
      </c>
      <c r="M41" s="3" t="str">
        <f>IF(G41="Not Age Eligible","",IF(OR(AND(T41&gt;=LOOKUP(G41,'Qualifying Scores'!$A$4:$A$7,'Qualifying Scores'!$H$4:$H$7),U41&gt;=LOOKUP(G41,'Qualifying Scores'!$A$10:$A$13,'Qualifying Scores'!$H$10:$H$13)),AND(X41&gt;=LOOKUP(G41,'Qualifying Scores'!$A$4:$A$7,'Qualifying Scores'!$H$4:$H$7),Y41&gt;=LOOKUP(G41,'Qualifying Scores'!$A$10:$A$13,'Qualifying Scores'!$H$10:$H$13)),AND(V41&gt;=LOOKUP(G41,'Qualifying Scores'!$A$4:$A$7,'Qualifying Scores'!$H$4:$H$7),W41&gt;=LOOKUP(G41,'Qualifying Scores'!$A$10:$A$13,'Qualifying Scores'!$H$10:$H$13)),AND(Z41&gt;=LOOKUP(G41,'Qualifying Scores'!$A$4:$A$7,'Qualifying Scores'!$H$4:$H$7),AA41&gt;=LOOKUP(G41,'Qualifying Scores'!$A$10:$A$13,'Qualifying Scores'!$H$10:$H$13))),"P",""))</f>
        <v/>
      </c>
      <c r="Q41" s="1" t="str">
        <f>IF(A41&lt;5,IF(_xlfn.MAXIFS(A:A,G:G,G41)&gt;3,5-A41,_xlfn.MAXIFS(A:A,G:G,G41)+1-A41),"")</f>
        <v/>
      </c>
      <c r="R41" s="4">
        <f>MAX(T41,X41)</f>
        <v>37.799999999999997</v>
      </c>
      <c r="S41" s="4">
        <f>IF(R41=T41,MAX(V41,X41,Z41),IF(R41=X41,MAX(T41,V41,Z41),0))</f>
        <v>36.6</v>
      </c>
      <c r="T41" s="33">
        <v>37.799999999999997</v>
      </c>
      <c r="U41" s="40">
        <v>6.5</v>
      </c>
      <c r="V41" s="34">
        <v>35.799999999999997</v>
      </c>
      <c r="W41" s="40">
        <v>4.5</v>
      </c>
      <c r="X41" s="33">
        <v>34.700000000000003</v>
      </c>
      <c r="Y41" s="40">
        <v>5.8</v>
      </c>
      <c r="Z41" s="34">
        <v>36.6</v>
      </c>
      <c r="AA41" s="37">
        <v>5.0999999999999996</v>
      </c>
    </row>
    <row r="42" spans="1:27" x14ac:dyDescent="0.2">
      <c r="A42" s="1" t="str" cm="1">
        <f t="array" ref="A42">IF(I42="","",IF(P42&lt;&gt;"",SUMPRODUCT((P$3:P$50&lt;&gt;"")*(G$3:G$50=G42)*(J$3:J$50&gt;J42)*(I$3:I$50="P"))+1,IF(O42&lt;&gt;"",SUMPRODUCT((O$3:O$50&lt;&gt;"")*(P$3:P$50="")*(G$3:G$50=G42)*(J$3:J$50&gt;J42)*(I$3:I$50="P"))+SUMPRODUCT((P$3:P$50&lt;&gt;"")*(G$3:G$50=G42)*(I$3:I$50="P"))+1,IF(N42&lt;&gt;"",SUMPRODUCT((N$3:N$50&lt;&gt;"")*(G$3:G$50=G42)*(J$3:J$50&gt;J42)*(I$3:I$50="P"))+1,IF(M42="P",SUMPRODUCT((O$3:O$50&lt;&gt;"")*(P$3:P$50="")*(G$3:G$50=G42)*(I$3:I$50="P"))+SUMPRODUCT((P$3:P$50&lt;&gt;"")*(G$3:G$50=G42)*(I$3:I$50="P"))+SUMPRODUCT((N$3:N$50&lt;&gt;"")*(G$3:G$50=G42)*(I$3:I$50="P"))+SUMPRODUCT((P$3:P$50="")*(O$3:O$50="")*(N$3:N$50="")*(M$3:M$50="P")*(G$3:G$50=G42)*(J$3:J$50&gt;J42)*(I$3:I$50="P"))+IF(H42="L5",SUMPRODUCT((P$3:P$50="")*(O$3:O$50="")*(N$3:N$50="")*(M$3:M$50="P")*(G$3:G$50=G42)*(J$3:J$50&lt;J42)*(H$3:H$50&lt;&gt;H42)*(I$3:I$50="P")),-1*SUMPRODUCT((P$3:P$50="")*(O$3:O$50="")*(N$3:N$50="")*(M$3:M$50="P")*(G$3:G$50=G42)*(J$3:J$50&gt;J42)*(H$3:H$50="L5")*(I$3:I$50="P")))+1,"")))))</f>
        <v/>
      </c>
      <c r="B42" s="1" t="str" cm="1">
        <f t="array" ref="B42">IF(P42&lt;&gt;"",SUMPRODUCT((P$3:P$50&lt;&gt;"")*(G$3:G$50=G42)*(J$3:J$50&gt;J42))+1,IF(O42&lt;&gt;"",SUMPRODUCT((O$3:O$50&lt;&gt;"")*(P$3:P$50="")*(G$3:G$50=G42)*(J$3:J$50&gt;J42))+SUMPRODUCT((P$3:P$50&lt;&gt;"")*(G$3:G$50=G42))+1,IF(N42&lt;&gt;"",SUMPRODUCT((N$3:N$50&lt;&gt;"")*(G$3:G$50=G42)*(J$3:J$50&gt;J42))+1,IF(M42="P",SUMPRODUCT((O$3:O$50&lt;&gt;"")*(P$3:P$50="")*(G$3:G$50=G42))+SUMPRODUCT((P$3:P$50&lt;&gt;"")*(G$3:G$50=G42))+SUMPRODUCT((N$3:N$50&lt;&gt;"")*(G$3:G$50=G42))+SUMPRODUCT((P$3:P$50="")*(O$3:O$50="")*(N$3:N$50="")*(M$3:M$50="P")*(G$3:G$50=G42)*(J$3:J$50&gt;J42))+IF(H42="L5",SUMPRODUCT((P$3:P$50="")*(O$3:O$50="")*(N$3:N$50="")*(M$3:M$50="P")*(G$3:G$50=G42)*(J$3:J$50&lt;J42)*(H$3:H$50&lt;&gt;H42)),-1*SUMPRODUCT((P$3:P$50="")*(O$3:O$50="")*(N$3:N$50="")*(M$3:M$50="P")*(G$3:G$50=G42)*(J$3:J$50&gt;J42)*(H$3:H$50="L5")))+1,""))))</f>
        <v/>
      </c>
      <c r="C42" s="36" t="s">
        <v>263</v>
      </c>
      <c r="D42" s="36" t="str">
        <f>IF(E42="","",VLOOKUP(E42,'Coaching Points'!A:B,2,0))</f>
        <v>MB</v>
      </c>
      <c r="E42" s="36" t="s">
        <v>69</v>
      </c>
      <c r="F42" s="35">
        <v>2007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15-16</v>
      </c>
      <c r="H42" s="39" t="s">
        <v>66</v>
      </c>
      <c r="I42" s="43"/>
      <c r="J42" s="4">
        <f>R42+S42+IF(OR(H42="Junior",H42="Senior"),0.0002,IF(OR(H42="L7",H42="L6"),0.0001,0))+MAX(X42,Z42)*0.0000001</f>
        <v>73.000003800000002</v>
      </c>
      <c r="K42" s="3" t="str">
        <f>IF(G42="Not Age Eligible","",IF(MAX(T42,V42,X42,Z42)&gt;=LOOKUP(G42,'Qualifying Scores'!$A$4:$A$7,'Qualifying Scores'!$H$4:$H$7),"P",""))</f>
        <v/>
      </c>
      <c r="L42" s="3" t="str">
        <f>IF(G42="Not Age Eligible","",IF(MAX(U42,W42,Y42,AA42)&gt;=LOOKUP(G42,'Qualifying Scores'!$A$10:$A$13,'Qualifying Scores'!$H$10:$H$13),"P",""))</f>
        <v/>
      </c>
      <c r="M42" s="3" t="str">
        <f>IF(G42="Not Age Eligible","",IF(OR(AND(T42&gt;=LOOKUP(G42,'Qualifying Scores'!$A$4:$A$7,'Qualifying Scores'!$H$4:$H$7),U42&gt;=LOOKUP(G42,'Qualifying Scores'!$A$10:$A$13,'Qualifying Scores'!$H$10:$H$13)),AND(X42&gt;=LOOKUP(G42,'Qualifying Scores'!$A$4:$A$7,'Qualifying Scores'!$H$4:$H$7),Y42&gt;=LOOKUP(G42,'Qualifying Scores'!$A$10:$A$13,'Qualifying Scores'!$H$10:$H$13)),AND(V42&gt;=LOOKUP(G42,'Qualifying Scores'!$A$4:$A$7,'Qualifying Scores'!$H$4:$H$7),W42&gt;=LOOKUP(G42,'Qualifying Scores'!$A$10:$A$13,'Qualifying Scores'!$H$10:$H$13)),AND(Z42&gt;=LOOKUP(G42,'Qualifying Scores'!$A$4:$A$7,'Qualifying Scores'!$H$4:$H$7),AA42&gt;=LOOKUP(G42,'Qualifying Scores'!$A$10:$A$13,'Qualifying Scores'!$H$10:$H$13))),"P",""))</f>
        <v/>
      </c>
      <c r="Q42" s="1" t="str">
        <f>IF(A42&lt;5,IF(_xlfn.MAXIFS(A:A,G:G,G42)&gt;3,5-A42,_xlfn.MAXIFS(A:A,G:G,G42)+1-A42),"")</f>
        <v/>
      </c>
      <c r="R42" s="4">
        <f>MAX(T42,X42)</f>
        <v>35</v>
      </c>
      <c r="S42" s="4">
        <f>IF(R42=T42,MAX(V42,X42,Z42),IF(R42=X42,MAX(T42,V42,Z42),0))</f>
        <v>38</v>
      </c>
      <c r="T42" s="33"/>
      <c r="U42" s="40"/>
      <c r="V42" s="34"/>
      <c r="W42" s="40"/>
      <c r="X42" s="33">
        <v>35</v>
      </c>
      <c r="Y42" s="40">
        <v>4</v>
      </c>
      <c r="Z42" s="34">
        <v>38</v>
      </c>
      <c r="AA42" s="37">
        <v>5.7</v>
      </c>
    </row>
    <row r="43" spans="1:27" x14ac:dyDescent="0.2">
      <c r="A43" s="1" t="str" cm="1">
        <f t="array" ref="A43">IF(I43="","",IF(P43&lt;&gt;"",SUMPRODUCT((P$3:P$50&lt;&gt;"")*(G$3:G$50=G43)*(J$3:J$50&gt;J43)*(I$3:I$50="P"))+1,IF(O43&lt;&gt;"",SUMPRODUCT((O$3:O$50&lt;&gt;"")*(P$3:P$50="")*(G$3:G$50=G43)*(J$3:J$50&gt;J43)*(I$3:I$50="P"))+SUMPRODUCT((P$3:P$50&lt;&gt;"")*(G$3:G$50=G43)*(I$3:I$50="P"))+1,IF(N43&lt;&gt;"",SUMPRODUCT((N$3:N$50&lt;&gt;"")*(G$3:G$50=G43)*(J$3:J$50&gt;J43)*(I$3:I$50="P"))+1,IF(M43="P",SUMPRODUCT((O$3:O$50&lt;&gt;"")*(P$3:P$50="")*(G$3:G$50=G43)*(I$3:I$50="P"))+SUMPRODUCT((P$3:P$50&lt;&gt;"")*(G$3:G$50=G43)*(I$3:I$50="P"))+SUMPRODUCT((N$3:N$50&lt;&gt;"")*(G$3:G$50=G43)*(I$3:I$50="P"))+SUMPRODUCT((P$3:P$50="")*(O$3:O$50="")*(N$3:N$50="")*(M$3:M$50="P")*(G$3:G$50=G43)*(J$3:J$50&gt;J43)*(I$3:I$50="P"))+IF(H43="L5",SUMPRODUCT((P$3:P$50="")*(O$3:O$50="")*(N$3:N$50="")*(M$3:M$50="P")*(G$3:G$50=G43)*(J$3:J$50&lt;J43)*(H$3:H$50&lt;&gt;H43)*(I$3:I$50="P")),-1*SUMPRODUCT((P$3:P$50="")*(O$3:O$50="")*(N$3:N$50="")*(M$3:M$50="P")*(G$3:G$50=G43)*(J$3:J$50&gt;J43)*(H$3:H$50="L5")*(I$3:I$50="P")))+1,"")))))</f>
        <v/>
      </c>
      <c r="B43" s="1" t="str" cm="1">
        <f t="array" ref="B43">IF(P43&lt;&gt;"",SUMPRODUCT((P$3:P$50&lt;&gt;"")*(G$3:G$50=G43)*(J$3:J$50&gt;J43))+1,IF(O43&lt;&gt;"",SUMPRODUCT((O$3:O$50&lt;&gt;"")*(P$3:P$50="")*(G$3:G$50=G43)*(J$3:J$50&gt;J43))+SUMPRODUCT((P$3:P$50&lt;&gt;"")*(G$3:G$50=G43))+1,IF(N43&lt;&gt;"",SUMPRODUCT((N$3:N$50&lt;&gt;"")*(G$3:G$50=G43)*(J$3:J$50&gt;J43))+1,IF(M43="P",SUMPRODUCT((O$3:O$50&lt;&gt;"")*(P$3:P$50="")*(G$3:G$50=G43))+SUMPRODUCT((P$3:P$50&lt;&gt;"")*(G$3:G$50=G43))+SUMPRODUCT((N$3:N$50&lt;&gt;"")*(G$3:G$50=G43))+SUMPRODUCT((P$3:P$50="")*(O$3:O$50="")*(N$3:N$50="")*(M$3:M$50="P")*(G$3:G$50=G43)*(J$3:J$50&gt;J43))+IF(H43="L5",SUMPRODUCT((P$3:P$50="")*(O$3:O$50="")*(N$3:N$50="")*(M$3:M$50="P")*(G$3:G$50=G43)*(J$3:J$50&lt;J43)*(H$3:H$50&lt;&gt;H43)),-1*SUMPRODUCT((P$3:P$50="")*(O$3:O$50="")*(N$3:N$50="")*(M$3:M$50="P")*(G$3:G$50=G43)*(J$3:J$50&gt;J43)*(H$3:H$50="L5")))+1,""))))</f>
        <v/>
      </c>
      <c r="C43" s="36" t="s">
        <v>490</v>
      </c>
      <c r="D43" s="36" t="str">
        <f>IF(E43="","",VLOOKUP(E43,'Coaching Points'!A:B,2,0))</f>
        <v>AB</v>
      </c>
      <c r="E43" s="36" t="s">
        <v>29</v>
      </c>
      <c r="F43" s="35">
        <v>2008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15-16</v>
      </c>
      <c r="H43" s="39" t="s">
        <v>66</v>
      </c>
      <c r="I43" s="43"/>
      <c r="J43" s="4">
        <f>R43+S43+IF(OR(H43="Junior",H43="Senior"),0.0002,IF(OR(H43="L7",H43="L6"),0.0001,0))+MAX(X43,Z43)*0.0000001</f>
        <v>72.800003670000009</v>
      </c>
      <c r="K43" s="3" t="str">
        <f>IF(G43="Not Age Eligible","",IF(MAX(T43,V43,X43,Z43)&gt;=LOOKUP(G43,'Qualifying Scores'!$A$4:$A$7,'Qualifying Scores'!$H$4:$H$7),"P",""))</f>
        <v/>
      </c>
      <c r="L43" s="3" t="str">
        <f>IF(G43="Not Age Eligible","",IF(MAX(U43,W43,Y43,AA43)&gt;=LOOKUP(G43,'Qualifying Scores'!$A$10:$A$13,'Qualifying Scores'!$H$10:$H$13),"P",""))</f>
        <v/>
      </c>
      <c r="M43" s="3" t="str">
        <f>IF(G43="Not Age Eligible","",IF(OR(AND(T43&gt;=LOOKUP(G43,'Qualifying Scores'!$A$4:$A$7,'Qualifying Scores'!$H$4:$H$7),U43&gt;=LOOKUP(G43,'Qualifying Scores'!$A$10:$A$13,'Qualifying Scores'!$H$10:$H$13)),AND(X43&gt;=LOOKUP(G43,'Qualifying Scores'!$A$4:$A$7,'Qualifying Scores'!$H$4:$H$7),Y43&gt;=LOOKUP(G43,'Qualifying Scores'!$A$10:$A$13,'Qualifying Scores'!$H$10:$H$13)),AND(V43&gt;=LOOKUP(G43,'Qualifying Scores'!$A$4:$A$7,'Qualifying Scores'!$H$4:$H$7),W43&gt;=LOOKUP(G43,'Qualifying Scores'!$A$10:$A$13,'Qualifying Scores'!$H$10:$H$13)),AND(Z43&gt;=LOOKUP(G43,'Qualifying Scores'!$A$4:$A$7,'Qualifying Scores'!$H$4:$H$7),AA43&gt;=LOOKUP(G43,'Qualifying Scores'!$A$10:$A$13,'Qualifying Scores'!$H$10:$H$13))),"P",""))</f>
        <v/>
      </c>
      <c r="Q43" s="1" t="str">
        <f>IF(A43&lt;5,IF(_xlfn.MAXIFS(A:A,G:G,G43)&gt;3,5-A43,_xlfn.MAXIFS(A:A,G:G,G43)+1-A43),"")</f>
        <v/>
      </c>
      <c r="R43" s="4">
        <f>MAX(T43,X43)</f>
        <v>36.700000000000003</v>
      </c>
      <c r="S43" s="4">
        <f>IF(R43=T43,MAX(V43,X43,Z43),IF(R43=X43,MAX(T43,V43,Z43),0))</f>
        <v>36.1</v>
      </c>
      <c r="T43" s="33"/>
      <c r="U43" s="40"/>
      <c r="V43" s="34"/>
      <c r="W43" s="40"/>
      <c r="X43" s="33">
        <v>36.700000000000003</v>
      </c>
      <c r="Y43" s="40">
        <v>5.3000000000000007</v>
      </c>
      <c r="Z43" s="34">
        <v>36.1</v>
      </c>
      <c r="AA43" s="37">
        <v>3.9000000000000004</v>
      </c>
    </row>
    <row r="44" spans="1:27" x14ac:dyDescent="0.2">
      <c r="A44" s="1" t="str" cm="1">
        <f t="array" ref="A44">IF(I44="","",IF(P44&lt;&gt;"",SUMPRODUCT((P$3:P$50&lt;&gt;"")*(G$3:G$50=G44)*(J$3:J$50&gt;J44)*(I$3:I$50="P"))+1,IF(O44&lt;&gt;"",SUMPRODUCT((O$3:O$50&lt;&gt;"")*(P$3:P$50="")*(G$3:G$50=G44)*(J$3:J$50&gt;J44)*(I$3:I$50="P"))+SUMPRODUCT((P$3:P$50&lt;&gt;"")*(G$3:G$50=G44)*(I$3:I$50="P"))+1,IF(N44&lt;&gt;"",SUMPRODUCT((N$3:N$50&lt;&gt;"")*(G$3:G$50=G44)*(J$3:J$50&gt;J44)*(I$3:I$50="P"))+1,IF(M44="P",SUMPRODUCT((O$3:O$50&lt;&gt;"")*(P$3:P$50="")*(G$3:G$50=G44)*(I$3:I$50="P"))+SUMPRODUCT((P$3:P$50&lt;&gt;"")*(G$3:G$50=G44)*(I$3:I$50="P"))+SUMPRODUCT((N$3:N$50&lt;&gt;"")*(G$3:G$50=G44)*(I$3:I$50="P"))+SUMPRODUCT((P$3:P$50="")*(O$3:O$50="")*(N$3:N$50="")*(M$3:M$50="P")*(G$3:G$50=G44)*(J$3:J$50&gt;J44)*(I$3:I$50="P"))+IF(H44="L5",SUMPRODUCT((P$3:P$50="")*(O$3:O$50="")*(N$3:N$50="")*(M$3:M$50="P")*(G$3:G$50=G44)*(J$3:J$50&lt;J44)*(H$3:H$50&lt;&gt;H44)*(I$3:I$50="P")),-1*SUMPRODUCT((P$3:P$50="")*(O$3:O$50="")*(N$3:N$50="")*(M$3:M$50="P")*(G$3:G$50=G44)*(J$3:J$50&gt;J44)*(H$3:H$50="L5")*(I$3:I$50="P")))+1,"")))))</f>
        <v/>
      </c>
      <c r="B44" s="1" t="str" cm="1">
        <f t="array" ref="B44">IF(P44&lt;&gt;"",SUMPRODUCT((P$3:P$50&lt;&gt;"")*(G$3:G$50=G44)*(J$3:J$50&gt;J44))+1,IF(O44&lt;&gt;"",SUMPRODUCT((O$3:O$50&lt;&gt;"")*(P$3:P$50="")*(G$3:G$50=G44)*(J$3:J$50&gt;J44))+SUMPRODUCT((P$3:P$50&lt;&gt;"")*(G$3:G$50=G44))+1,IF(N44&lt;&gt;"",SUMPRODUCT((N$3:N$50&lt;&gt;"")*(G$3:G$50=G44)*(J$3:J$50&gt;J44))+1,IF(M44="P",SUMPRODUCT((O$3:O$50&lt;&gt;"")*(P$3:P$50="")*(G$3:G$50=G44))+SUMPRODUCT((P$3:P$50&lt;&gt;"")*(G$3:G$50=G44))+SUMPRODUCT((N$3:N$50&lt;&gt;"")*(G$3:G$50=G44))+SUMPRODUCT((P$3:P$50="")*(O$3:O$50="")*(N$3:N$50="")*(M$3:M$50="P")*(G$3:G$50=G44)*(J$3:J$50&gt;J44))+IF(H44="L5",SUMPRODUCT((P$3:P$50="")*(O$3:O$50="")*(N$3:N$50="")*(M$3:M$50="P")*(G$3:G$50=G44)*(J$3:J$50&lt;J44)*(H$3:H$50&lt;&gt;H44)),-1*SUMPRODUCT((P$3:P$50="")*(O$3:O$50="")*(N$3:N$50="")*(M$3:M$50="P")*(G$3:G$50=G44)*(J$3:J$50&gt;J44)*(H$3:H$50="L5")))+1,""))))</f>
        <v/>
      </c>
      <c r="C44" s="36" t="s">
        <v>80</v>
      </c>
      <c r="D44" s="36" t="str">
        <f>IF(E44="","",VLOOKUP(E44,'Coaching Points'!A:B,2,0))</f>
        <v>AB</v>
      </c>
      <c r="E44" s="36" t="s">
        <v>70</v>
      </c>
      <c r="F44" s="35">
        <v>2008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15-16</v>
      </c>
      <c r="H44" s="39" t="s">
        <v>66</v>
      </c>
      <c r="I44" s="43"/>
      <c r="J44" s="4">
        <f>R44+S44+IF(OR(H44="Junior",H44="Senior"),0.0002,IF(OR(H44="L7",H44="L6"),0.0001,0))+MAX(X44,Z44)*0.0000001</f>
        <v>72.7</v>
      </c>
      <c r="K44" s="3" t="str">
        <f>IF(G44="Not Age Eligible","",IF(MAX(T44,V44,X44,Z44)&gt;=LOOKUP(G44,'Qualifying Scores'!$A$4:$A$7,'Qualifying Scores'!$H$4:$H$7),"P",""))</f>
        <v/>
      </c>
      <c r="L44" s="3" t="str">
        <f>IF(G44="Not Age Eligible","",IF(MAX(U44,W44,Y44,AA44)&gt;=LOOKUP(G44,'Qualifying Scores'!$A$10:$A$13,'Qualifying Scores'!$H$10:$H$13),"P",""))</f>
        <v/>
      </c>
      <c r="M44" s="3" t="str">
        <f>IF(G44="Not Age Eligible","",IF(OR(AND(T44&gt;=LOOKUP(G44,'Qualifying Scores'!$A$4:$A$7,'Qualifying Scores'!$H$4:$H$7),U44&gt;=LOOKUP(G44,'Qualifying Scores'!$A$10:$A$13,'Qualifying Scores'!$H$10:$H$13)),AND(X44&gt;=LOOKUP(G44,'Qualifying Scores'!$A$4:$A$7,'Qualifying Scores'!$H$4:$H$7),Y44&gt;=LOOKUP(G44,'Qualifying Scores'!$A$10:$A$13,'Qualifying Scores'!$H$10:$H$13)),AND(V44&gt;=LOOKUP(G44,'Qualifying Scores'!$A$4:$A$7,'Qualifying Scores'!$H$4:$H$7),W44&gt;=LOOKUP(G44,'Qualifying Scores'!$A$10:$A$13,'Qualifying Scores'!$H$10:$H$13)),AND(Z44&gt;=LOOKUP(G44,'Qualifying Scores'!$A$4:$A$7,'Qualifying Scores'!$H$4:$H$7),AA44&gt;=LOOKUP(G44,'Qualifying Scores'!$A$10:$A$13,'Qualifying Scores'!$H$10:$H$13))),"P",""))</f>
        <v/>
      </c>
      <c r="Q44" s="1" t="str">
        <f>IF(A44&lt;5,IF(_xlfn.MAXIFS(A:A,G:G,G44)&gt;3,5-A44,_xlfn.MAXIFS(A:A,G:G,G44)+1-A44),"")</f>
        <v/>
      </c>
      <c r="R44" s="4">
        <f>MAX(T44,X44)</f>
        <v>34.200000000000003</v>
      </c>
      <c r="S44" s="4">
        <f>IF(R44=T44,MAX(V44,X44,Z44),IF(R44=X44,MAX(T44,V44,Z44),0))</f>
        <v>38.5</v>
      </c>
      <c r="T44" s="33">
        <v>34.200000000000003</v>
      </c>
      <c r="U44" s="40">
        <v>5.9</v>
      </c>
      <c r="V44" s="34">
        <v>38.5</v>
      </c>
      <c r="W44" s="40">
        <v>5.9</v>
      </c>
      <c r="X44" s="33"/>
      <c r="Y44" s="40"/>
      <c r="Z44" s="34"/>
      <c r="AA44" s="37"/>
    </row>
    <row r="45" spans="1:27" x14ac:dyDescent="0.2">
      <c r="A45" s="1" t="str" cm="1">
        <f t="array" ref="A45">IF(I45="","",IF(P45&lt;&gt;"",SUMPRODUCT((P$3:P$50&lt;&gt;"")*(G$3:G$50=G45)*(J$3:J$50&gt;J45)*(I$3:I$50="P"))+1,IF(O45&lt;&gt;"",SUMPRODUCT((O$3:O$50&lt;&gt;"")*(P$3:P$50="")*(G$3:G$50=G45)*(J$3:J$50&gt;J45)*(I$3:I$50="P"))+SUMPRODUCT((P$3:P$50&lt;&gt;"")*(G$3:G$50=G45)*(I$3:I$50="P"))+1,IF(N45&lt;&gt;"",SUMPRODUCT((N$3:N$50&lt;&gt;"")*(G$3:G$50=G45)*(J$3:J$50&gt;J45)*(I$3:I$50="P"))+1,IF(M45="P",SUMPRODUCT((O$3:O$50&lt;&gt;"")*(P$3:P$50="")*(G$3:G$50=G45)*(I$3:I$50="P"))+SUMPRODUCT((P$3:P$50&lt;&gt;"")*(G$3:G$50=G45)*(I$3:I$50="P"))+SUMPRODUCT((N$3:N$50&lt;&gt;"")*(G$3:G$50=G45)*(I$3:I$50="P"))+SUMPRODUCT((P$3:P$50="")*(O$3:O$50="")*(N$3:N$50="")*(M$3:M$50="P")*(G$3:G$50=G45)*(J$3:J$50&gt;J45)*(I$3:I$50="P"))+IF(H45="L5",SUMPRODUCT((P$3:P$50="")*(O$3:O$50="")*(N$3:N$50="")*(M$3:M$50="P")*(G$3:G$50=G45)*(J$3:J$50&lt;J45)*(H$3:H$50&lt;&gt;H45)*(I$3:I$50="P")),-1*SUMPRODUCT((P$3:P$50="")*(O$3:O$50="")*(N$3:N$50="")*(M$3:M$50="P")*(G$3:G$50=G45)*(J$3:J$50&gt;J45)*(H$3:H$50="L5")*(I$3:I$50="P")))+1,"")))))</f>
        <v/>
      </c>
      <c r="B45" s="1" t="str" cm="1">
        <f t="array" ref="B45">IF(P45&lt;&gt;"",SUMPRODUCT((P$3:P$50&lt;&gt;"")*(G$3:G$50=G45)*(J$3:J$50&gt;J45))+1,IF(O45&lt;&gt;"",SUMPRODUCT((O$3:O$50&lt;&gt;"")*(P$3:P$50="")*(G$3:G$50=G45)*(J$3:J$50&gt;J45))+SUMPRODUCT((P$3:P$50&lt;&gt;"")*(G$3:G$50=G45))+1,IF(N45&lt;&gt;"",SUMPRODUCT((N$3:N$50&lt;&gt;"")*(G$3:G$50=G45)*(J$3:J$50&gt;J45))+1,IF(M45="P",SUMPRODUCT((O$3:O$50&lt;&gt;"")*(P$3:P$50="")*(G$3:G$50=G45))+SUMPRODUCT((P$3:P$50&lt;&gt;"")*(G$3:G$50=G45))+SUMPRODUCT((N$3:N$50&lt;&gt;"")*(G$3:G$50=G45))+SUMPRODUCT((P$3:P$50="")*(O$3:O$50="")*(N$3:N$50="")*(M$3:M$50="P")*(G$3:G$50=G45)*(J$3:J$50&gt;J45))+IF(H45="L5",SUMPRODUCT((P$3:P$50="")*(O$3:O$50="")*(N$3:N$50="")*(M$3:M$50="P")*(G$3:G$50=G45)*(J$3:J$50&lt;J45)*(H$3:H$50&lt;&gt;H45)),-1*SUMPRODUCT((P$3:P$50="")*(O$3:O$50="")*(N$3:N$50="")*(M$3:M$50="P")*(G$3:G$50=G45)*(J$3:J$50&gt;J45)*(H$3:H$50="L5")))+1,""))))</f>
        <v/>
      </c>
      <c r="C45" s="36" t="s">
        <v>535</v>
      </c>
      <c r="D45" s="36" t="str">
        <f>IF(E45="","",VLOOKUP(E45,'Coaching Points'!A:B,2,0))</f>
        <v>ON</v>
      </c>
      <c r="E45" s="36" t="s">
        <v>167</v>
      </c>
      <c r="F45" s="35">
        <v>2010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13-14</v>
      </c>
      <c r="H45" s="39" t="s">
        <v>66</v>
      </c>
      <c r="I45" s="43"/>
      <c r="J45" s="4">
        <f>R45+S45+IF(OR(H45="Junior",H45="Senior"),0.0002,IF(OR(H45="L7",H45="L6"),0.0001,0))+MAX(X45,Z45)*0.0000001</f>
        <v>69.40000375000001</v>
      </c>
      <c r="K45" s="3" t="str">
        <f>IF(G45="Not Age Eligible","",IF(MAX(T45,V45,X45,Z45)&gt;=LOOKUP(G45,'Qualifying Scores'!$A$4:$A$7,'Qualifying Scores'!$H$4:$H$7),"P",""))</f>
        <v/>
      </c>
      <c r="L45" s="3" t="str">
        <f>IF(G45="Not Age Eligible","",IF(MAX(U45,W45,Y45,AA45)&gt;=LOOKUP(G45,'Qualifying Scores'!$A$10:$A$13,'Qualifying Scores'!$H$10:$H$13),"P",""))</f>
        <v/>
      </c>
      <c r="M45" s="3" t="str">
        <f>IF(G45="Not Age Eligible","",IF(OR(AND(T45&gt;=LOOKUP(G45,'Qualifying Scores'!$A$4:$A$7,'Qualifying Scores'!$H$4:$H$7),U45&gt;=LOOKUP(G45,'Qualifying Scores'!$A$10:$A$13,'Qualifying Scores'!$H$10:$H$13)),AND(X45&gt;=LOOKUP(G45,'Qualifying Scores'!$A$4:$A$7,'Qualifying Scores'!$H$4:$H$7),Y45&gt;=LOOKUP(G45,'Qualifying Scores'!$A$10:$A$13,'Qualifying Scores'!$H$10:$H$13)),AND(V45&gt;=LOOKUP(G45,'Qualifying Scores'!$A$4:$A$7,'Qualifying Scores'!$H$4:$H$7),W45&gt;=LOOKUP(G45,'Qualifying Scores'!$A$10:$A$13,'Qualifying Scores'!$H$10:$H$13)),AND(Z45&gt;=LOOKUP(G45,'Qualifying Scores'!$A$4:$A$7,'Qualifying Scores'!$H$4:$H$7),AA45&gt;=LOOKUP(G45,'Qualifying Scores'!$A$10:$A$13,'Qualifying Scores'!$H$10:$H$13))),"P",""))</f>
        <v/>
      </c>
      <c r="Q45" s="1" t="str">
        <f>IF(A45&lt;5,IF(_xlfn.MAXIFS(A:A,G:G,G45)&gt;3,5-A45,_xlfn.MAXIFS(A:A,G:G,G45)+1-A45),"")</f>
        <v/>
      </c>
      <c r="R45" s="4">
        <f>MAX(T45,X45)</f>
        <v>37.5</v>
      </c>
      <c r="S45" s="4">
        <f>IF(R45=T45,MAX(V45,X45,Z45),IF(R45=X45,MAX(T45,V45,Z45),0))</f>
        <v>31.9</v>
      </c>
      <c r="T45" s="33"/>
      <c r="U45" s="40"/>
      <c r="V45" s="34"/>
      <c r="W45" s="40"/>
      <c r="X45" s="33">
        <v>37.5</v>
      </c>
      <c r="Y45" s="40">
        <v>4.2</v>
      </c>
      <c r="Z45" s="34">
        <v>31.9</v>
      </c>
      <c r="AA45" s="37">
        <v>3.3</v>
      </c>
    </row>
    <row r="46" spans="1:27" x14ac:dyDescent="0.2">
      <c r="A46" s="1" t="str" cm="1">
        <f t="array" ref="A46">IF(I46="","",IF(P46&lt;&gt;"",SUMPRODUCT((P$3:P$50&lt;&gt;"")*(G$3:G$50=G46)*(J$3:J$50&gt;J46)*(I$3:I$50="P"))+1,IF(O46&lt;&gt;"",SUMPRODUCT((O$3:O$50&lt;&gt;"")*(P$3:P$50="")*(G$3:G$50=G46)*(J$3:J$50&gt;J46)*(I$3:I$50="P"))+SUMPRODUCT((P$3:P$50&lt;&gt;"")*(G$3:G$50=G46)*(I$3:I$50="P"))+1,IF(N46&lt;&gt;"",SUMPRODUCT((N$3:N$50&lt;&gt;"")*(G$3:G$50=G46)*(J$3:J$50&gt;J46)*(I$3:I$50="P"))+1,IF(M46="P",SUMPRODUCT((O$3:O$50&lt;&gt;"")*(P$3:P$50="")*(G$3:G$50=G46)*(I$3:I$50="P"))+SUMPRODUCT((P$3:P$50&lt;&gt;"")*(G$3:G$50=G46)*(I$3:I$50="P"))+SUMPRODUCT((N$3:N$50&lt;&gt;"")*(G$3:G$50=G46)*(I$3:I$50="P"))+SUMPRODUCT((P$3:P$50="")*(O$3:O$50="")*(N$3:N$50="")*(M$3:M$50="P")*(G$3:G$50=G46)*(J$3:J$50&gt;J46)*(I$3:I$50="P"))+IF(H46="L5",SUMPRODUCT((P$3:P$50="")*(O$3:O$50="")*(N$3:N$50="")*(M$3:M$50="P")*(G$3:G$50=G46)*(J$3:J$50&lt;J46)*(H$3:H$50&lt;&gt;H46)*(I$3:I$50="P")),-1*SUMPRODUCT((P$3:P$50="")*(O$3:O$50="")*(N$3:N$50="")*(M$3:M$50="P")*(G$3:G$50=G46)*(J$3:J$50&gt;J46)*(H$3:H$50="L5")*(I$3:I$50="P")))+1,"")))))</f>
        <v/>
      </c>
      <c r="B46" s="1" t="str" cm="1">
        <f t="array" ref="B46">IF(P46&lt;&gt;"",SUMPRODUCT((P$3:P$50&lt;&gt;"")*(G$3:G$50=G46)*(J$3:J$50&gt;J46))+1,IF(O46&lt;&gt;"",SUMPRODUCT((O$3:O$50&lt;&gt;"")*(P$3:P$50="")*(G$3:G$50=G46)*(J$3:J$50&gt;J46))+SUMPRODUCT((P$3:P$50&lt;&gt;"")*(G$3:G$50=G46))+1,IF(N46&lt;&gt;"",SUMPRODUCT((N$3:N$50&lt;&gt;"")*(G$3:G$50=G46)*(J$3:J$50&gt;J46))+1,IF(M46="P",SUMPRODUCT((O$3:O$50&lt;&gt;"")*(P$3:P$50="")*(G$3:G$50=G46))+SUMPRODUCT((P$3:P$50&lt;&gt;"")*(G$3:G$50=G46))+SUMPRODUCT((N$3:N$50&lt;&gt;"")*(G$3:G$50=G46))+SUMPRODUCT((P$3:P$50="")*(O$3:O$50="")*(N$3:N$50="")*(M$3:M$50="P")*(G$3:G$50=G46)*(J$3:J$50&gt;J46))+IF(H46="L5",SUMPRODUCT((P$3:P$50="")*(O$3:O$50="")*(N$3:N$50="")*(M$3:M$50="P")*(G$3:G$50=G46)*(J$3:J$50&lt;J46)*(H$3:H$50&lt;&gt;H46)),-1*SUMPRODUCT((P$3:P$50="")*(O$3:O$50="")*(N$3:N$50="")*(M$3:M$50="P")*(G$3:G$50=G46)*(J$3:J$50&gt;J46)*(H$3:H$50="L5")))+1,""))))</f>
        <v/>
      </c>
      <c r="C46" s="36" t="s">
        <v>78</v>
      </c>
      <c r="D46" s="36" t="str">
        <f>IF(E46="","",VLOOKUP(E46,'Coaching Points'!A:B,2,0))</f>
        <v>SK</v>
      </c>
      <c r="E46" s="36" t="s">
        <v>60</v>
      </c>
      <c r="F46" s="35">
        <v>2009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13-14</v>
      </c>
      <c r="H46" s="39" t="s">
        <v>66</v>
      </c>
      <c r="I46" s="43" t="s">
        <v>567</v>
      </c>
      <c r="J46" s="4">
        <f>R46+S46+IF(OR(H46="Junior",H46="Senior"),0.0002,IF(OR(H46="L7",H46="L6"),0.0001,0))+MAX(X46,Z46)*0.0000001</f>
        <v>27.80000278</v>
      </c>
      <c r="K46" s="3" t="str">
        <f>IF(G46="Not Age Eligible","",IF(MAX(T46,V46,X46,Z46)&gt;=LOOKUP(G46,'Qualifying Scores'!$A$4:$A$7,'Qualifying Scores'!$H$4:$H$7),"P",""))</f>
        <v/>
      </c>
      <c r="L46" s="3" t="str">
        <f>IF(G46="Not Age Eligible","",IF(MAX(U46,W46,Y46,AA46)&gt;=LOOKUP(G46,'Qualifying Scores'!$A$10:$A$13,'Qualifying Scores'!$H$10:$H$13),"P",""))</f>
        <v/>
      </c>
      <c r="M46" s="3" t="str">
        <f>IF(G46="Not Age Eligible","",IF(OR(AND(T46&gt;=LOOKUP(G46,'Qualifying Scores'!$A$4:$A$7,'Qualifying Scores'!$H$4:$H$7),U46&gt;=LOOKUP(G46,'Qualifying Scores'!$A$10:$A$13,'Qualifying Scores'!$H$10:$H$13)),AND(X46&gt;=LOOKUP(G46,'Qualifying Scores'!$A$4:$A$7,'Qualifying Scores'!$H$4:$H$7),Y46&gt;=LOOKUP(G46,'Qualifying Scores'!$A$10:$A$13,'Qualifying Scores'!$H$10:$H$13)),AND(V46&gt;=LOOKUP(G46,'Qualifying Scores'!$A$4:$A$7,'Qualifying Scores'!$H$4:$H$7),W46&gt;=LOOKUP(G46,'Qualifying Scores'!$A$10:$A$13,'Qualifying Scores'!$H$10:$H$13)),AND(Z46&gt;=LOOKUP(G46,'Qualifying Scores'!$A$4:$A$7,'Qualifying Scores'!$H$4:$H$7),AA46&gt;=LOOKUP(G46,'Qualifying Scores'!$A$10:$A$13,'Qualifying Scores'!$H$10:$H$13))),"P",""))</f>
        <v/>
      </c>
      <c r="Q46" s="1" t="str">
        <f>IF(A46&lt;5,IF(_xlfn.MAXIFS(A:A,G:G,G46)&gt;3,5-A46,_xlfn.MAXIFS(A:A,G:G,G46)+1-A46),"")</f>
        <v/>
      </c>
      <c r="R46" s="4">
        <f>MAX(T46,X46)</f>
        <v>27.8</v>
      </c>
      <c r="S46" s="4">
        <f>IF(R46=T46,MAX(V46,X46,Z46),IF(R46=X46,MAX(T46,V46,Z46),0))</f>
        <v>0</v>
      </c>
      <c r="T46" s="33"/>
      <c r="U46" s="40"/>
      <c r="V46" s="34"/>
      <c r="W46" s="40"/>
      <c r="X46" s="33">
        <v>27.8</v>
      </c>
      <c r="Y46" s="40">
        <v>3.4</v>
      </c>
      <c r="Z46" s="34"/>
      <c r="AA46" s="37"/>
    </row>
    <row r="47" spans="1:27" x14ac:dyDescent="0.2">
      <c r="A47" s="1" t="str" cm="1">
        <f t="array" ref="A47">IF(I47="","",IF(P47&lt;&gt;"",SUMPRODUCT((P$3:P$50&lt;&gt;"")*(G$3:G$50=G47)*(J$3:J$50&gt;J47)*(I$3:I$50="P"))+1,IF(O47&lt;&gt;"",SUMPRODUCT((O$3:O$50&lt;&gt;"")*(P$3:P$50="")*(G$3:G$50=G47)*(J$3:J$50&gt;J47)*(I$3:I$50="P"))+SUMPRODUCT((P$3:P$50&lt;&gt;"")*(G$3:G$50=G47)*(I$3:I$50="P"))+1,IF(N47&lt;&gt;"",SUMPRODUCT((N$3:N$50&lt;&gt;"")*(G$3:G$50=G47)*(J$3:J$50&gt;J47)*(I$3:I$50="P"))+1,IF(M47="P",SUMPRODUCT((O$3:O$50&lt;&gt;"")*(P$3:P$50="")*(G$3:G$50=G47)*(I$3:I$50="P"))+SUMPRODUCT((P$3:P$50&lt;&gt;"")*(G$3:G$50=G47)*(I$3:I$50="P"))+SUMPRODUCT((N$3:N$50&lt;&gt;"")*(G$3:G$50=G47)*(I$3:I$50="P"))+SUMPRODUCT((P$3:P$50="")*(O$3:O$50="")*(N$3:N$50="")*(M$3:M$50="P")*(G$3:G$50=G47)*(J$3:J$50&gt;J47)*(I$3:I$50="P"))+IF(H47="L5",SUMPRODUCT((P$3:P$50="")*(O$3:O$50="")*(N$3:N$50="")*(M$3:M$50="P")*(G$3:G$50=G47)*(J$3:J$50&lt;J47)*(H$3:H$50&lt;&gt;H47)*(I$3:I$50="P")),-1*SUMPRODUCT((P$3:P$50="")*(O$3:O$50="")*(N$3:N$50="")*(M$3:M$50="P")*(G$3:G$50=G47)*(J$3:J$50&gt;J47)*(H$3:H$50="L5")*(I$3:I$50="P")))+1,"")))))</f>
        <v/>
      </c>
      <c r="B47" s="1" t="str" cm="1">
        <f t="array" ref="B47">IF(P47&lt;&gt;"",SUMPRODUCT((P$3:P$50&lt;&gt;"")*(G$3:G$50=G47)*(J$3:J$50&gt;J47))+1,IF(O47&lt;&gt;"",SUMPRODUCT((O$3:O$50&lt;&gt;"")*(P$3:P$50="")*(G$3:G$50=G47)*(J$3:J$50&gt;J47))+SUMPRODUCT((P$3:P$50&lt;&gt;"")*(G$3:G$50=G47))+1,IF(N47&lt;&gt;"",SUMPRODUCT((N$3:N$50&lt;&gt;"")*(G$3:G$50=G47)*(J$3:J$50&gt;J47))+1,IF(M47="P",SUMPRODUCT((O$3:O$50&lt;&gt;"")*(P$3:P$50="")*(G$3:G$50=G47))+SUMPRODUCT((P$3:P$50&lt;&gt;"")*(G$3:G$50=G47))+SUMPRODUCT((N$3:N$50&lt;&gt;"")*(G$3:G$50=G47))+SUMPRODUCT((P$3:P$50="")*(O$3:O$50="")*(N$3:N$50="")*(M$3:M$50="P")*(G$3:G$50=G47)*(J$3:J$50&gt;J47))+IF(H47="L5",SUMPRODUCT((P$3:P$50="")*(O$3:O$50="")*(N$3:N$50="")*(M$3:M$50="P")*(G$3:G$50=G47)*(J$3:J$50&lt;J47)*(H$3:H$50&lt;&gt;H47)),-1*SUMPRODUCT((P$3:P$50="")*(O$3:O$50="")*(N$3:N$50="")*(M$3:M$50="P")*(G$3:G$50=G47)*(J$3:J$50&gt;J47)*(H$3:H$50="L5")))+1,""))))</f>
        <v/>
      </c>
      <c r="C47" s="36" t="s">
        <v>524</v>
      </c>
      <c r="D47" s="36" t="str">
        <f>IF(E47="","",VLOOKUP(E47,'Coaching Points'!A:B,2,0))</f>
        <v>BC</v>
      </c>
      <c r="E47" s="36" t="s">
        <v>62</v>
      </c>
      <c r="F47" s="35">
        <v>2012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11-12</v>
      </c>
      <c r="H47" s="39" t="s">
        <v>66</v>
      </c>
      <c r="I47" s="43"/>
      <c r="J47" s="4">
        <f>R47+S47+IF(OR(H47="Junior",H47="Senior"),0.0002,IF(OR(H47="L7",H47="L6"),0.0001,0))+MAX(X47,Z47)*0.0000001</f>
        <v>74.900003960000006</v>
      </c>
      <c r="K47" s="3" t="str">
        <f>IF(G47="Not Age Eligible","",IF(MAX(T47,V47,X47,Z47)&gt;=LOOKUP(G47,'Qualifying Scores'!$A$4:$A$7,'Qualifying Scores'!$H$4:$H$7),"P",""))</f>
        <v>P</v>
      </c>
      <c r="L47" s="3" t="str">
        <f>IF(G47="Not Age Eligible","",IF(MAX(U47,W47,Y47,AA47)&gt;=LOOKUP(G47,'Qualifying Scores'!$A$10:$A$13,'Qualifying Scores'!$H$10:$H$13),"P",""))</f>
        <v/>
      </c>
      <c r="M47" s="3" t="str">
        <f>IF(G47="Not Age Eligible","",IF(OR(AND(T47&gt;=LOOKUP(G47,'Qualifying Scores'!$A$4:$A$7,'Qualifying Scores'!$H$4:$H$7),U47&gt;=LOOKUP(G47,'Qualifying Scores'!$A$10:$A$13,'Qualifying Scores'!$H$10:$H$13)),AND(X47&gt;=LOOKUP(G47,'Qualifying Scores'!$A$4:$A$7,'Qualifying Scores'!$H$4:$H$7),Y47&gt;=LOOKUP(G47,'Qualifying Scores'!$A$10:$A$13,'Qualifying Scores'!$H$10:$H$13)),AND(V47&gt;=LOOKUP(G47,'Qualifying Scores'!$A$4:$A$7,'Qualifying Scores'!$H$4:$H$7),W47&gt;=LOOKUP(G47,'Qualifying Scores'!$A$10:$A$13,'Qualifying Scores'!$H$10:$H$13)),AND(Z47&gt;=LOOKUP(G47,'Qualifying Scores'!$A$4:$A$7,'Qualifying Scores'!$H$4:$H$7),AA47&gt;=LOOKUP(G47,'Qualifying Scores'!$A$10:$A$13,'Qualifying Scores'!$H$10:$H$13))),"P",""))</f>
        <v/>
      </c>
      <c r="Q47" s="1" t="str">
        <f>IF(A47&lt;5,IF(_xlfn.MAXIFS(A:A,G:G,G47)&gt;3,5-A47,_xlfn.MAXIFS(A:A,G:G,G47)+1-A47),"")</f>
        <v/>
      </c>
      <c r="R47" s="4">
        <f>MAX(T47,X47)</f>
        <v>35.299999999999997</v>
      </c>
      <c r="S47" s="4">
        <f>IF(R47=T47,MAX(V47,X47,Z47),IF(R47=X47,MAX(T47,V47,Z47),0))</f>
        <v>39.6</v>
      </c>
      <c r="T47" s="33"/>
      <c r="U47" s="40"/>
      <c r="V47" s="34"/>
      <c r="W47" s="40"/>
      <c r="X47" s="33">
        <v>35.299999999999997</v>
      </c>
      <c r="Y47" s="40">
        <v>4.4000000000000004</v>
      </c>
      <c r="Z47" s="34">
        <v>39.6</v>
      </c>
      <c r="AA47" s="37">
        <v>5.3</v>
      </c>
    </row>
    <row r="48" spans="1:27" x14ac:dyDescent="0.2">
      <c r="A48" s="1" t="str" cm="1">
        <f t="array" ref="A48">IF(I48="","",IF(P48&lt;&gt;"",SUMPRODUCT((P$3:P$50&lt;&gt;"")*(G$3:G$50=G48)*(J$3:J$50&gt;J48)*(I$3:I$50="P"))+1,IF(O48&lt;&gt;"",SUMPRODUCT((O$3:O$50&lt;&gt;"")*(P$3:P$50="")*(G$3:G$50=G48)*(J$3:J$50&gt;J48)*(I$3:I$50="P"))+SUMPRODUCT((P$3:P$50&lt;&gt;"")*(G$3:G$50=G48)*(I$3:I$50="P"))+1,IF(N48&lt;&gt;"",SUMPRODUCT((N$3:N$50&lt;&gt;"")*(G$3:G$50=G48)*(J$3:J$50&gt;J48)*(I$3:I$50="P"))+1,IF(M48="P",SUMPRODUCT((O$3:O$50&lt;&gt;"")*(P$3:P$50="")*(G$3:G$50=G48)*(I$3:I$50="P"))+SUMPRODUCT((P$3:P$50&lt;&gt;"")*(G$3:G$50=G48)*(I$3:I$50="P"))+SUMPRODUCT((N$3:N$50&lt;&gt;"")*(G$3:G$50=G48)*(I$3:I$50="P"))+SUMPRODUCT((P$3:P$50="")*(O$3:O$50="")*(N$3:N$50="")*(M$3:M$50="P")*(G$3:G$50=G48)*(J$3:J$50&gt;J48)*(I$3:I$50="P"))+IF(H48="L5",SUMPRODUCT((P$3:P$50="")*(O$3:O$50="")*(N$3:N$50="")*(M$3:M$50="P")*(G$3:G$50=G48)*(J$3:J$50&lt;J48)*(H$3:H$50&lt;&gt;H48)*(I$3:I$50="P")),-1*SUMPRODUCT((P$3:P$50="")*(O$3:O$50="")*(N$3:N$50="")*(M$3:M$50="P")*(G$3:G$50=G48)*(J$3:J$50&gt;J48)*(H$3:H$50="L5")*(I$3:I$50="P")))+1,"")))))</f>
        <v/>
      </c>
      <c r="B48" s="1" t="str" cm="1">
        <f t="array" ref="B48">IF(P48&lt;&gt;"",SUMPRODUCT((P$3:P$50&lt;&gt;"")*(G$3:G$50=G48)*(J$3:J$50&gt;J48))+1,IF(O48&lt;&gt;"",SUMPRODUCT((O$3:O$50&lt;&gt;"")*(P$3:P$50="")*(G$3:G$50=G48)*(J$3:J$50&gt;J48))+SUMPRODUCT((P$3:P$50&lt;&gt;"")*(G$3:G$50=G48))+1,IF(N48&lt;&gt;"",SUMPRODUCT((N$3:N$50&lt;&gt;"")*(G$3:G$50=G48)*(J$3:J$50&gt;J48))+1,IF(M48="P",SUMPRODUCT((O$3:O$50&lt;&gt;"")*(P$3:P$50="")*(G$3:G$50=G48))+SUMPRODUCT((P$3:P$50&lt;&gt;"")*(G$3:G$50=G48))+SUMPRODUCT((N$3:N$50&lt;&gt;"")*(G$3:G$50=G48))+SUMPRODUCT((P$3:P$50="")*(O$3:O$50="")*(N$3:N$50="")*(M$3:M$50="P")*(G$3:G$50=G48)*(J$3:J$50&gt;J48))+IF(H48="L5",SUMPRODUCT((P$3:P$50="")*(O$3:O$50="")*(N$3:N$50="")*(M$3:M$50="P")*(G$3:G$50=G48)*(J$3:J$50&lt;J48)*(H$3:H$50&lt;&gt;H48)),-1*SUMPRODUCT((P$3:P$50="")*(O$3:O$50="")*(N$3:N$50="")*(M$3:M$50="P")*(G$3:G$50=G48)*(J$3:J$50&gt;J48)*(H$3:H$50="L5")))+1,""))))</f>
        <v/>
      </c>
      <c r="C48" s="36" t="s">
        <v>525</v>
      </c>
      <c r="D48" s="36" t="str">
        <f>IF(E48="","",VLOOKUP(E48,'Coaching Points'!A:B,2,0))</f>
        <v>ON</v>
      </c>
      <c r="E48" s="36" t="s">
        <v>175</v>
      </c>
      <c r="F48" s="35">
        <v>2011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11-12</v>
      </c>
      <c r="H48" s="39" t="s">
        <v>66</v>
      </c>
      <c r="I48" s="43"/>
      <c r="J48" s="4">
        <f>R48+S48+IF(OR(H48="Junior",H48="Senior"),0.0002,IF(OR(H48="L7",H48="L6"),0.0001,0))+MAX(X48,Z48)*0.0000001</f>
        <v>74.500003789999994</v>
      </c>
      <c r="K48" s="3" t="str">
        <f>IF(G48="Not Age Eligible","",IF(MAX(T48,V48,X48,Z48)&gt;=LOOKUP(G48,'Qualifying Scores'!$A$4:$A$7,'Qualifying Scores'!$H$4:$H$7),"P",""))</f>
        <v/>
      </c>
      <c r="L48" s="3" t="str">
        <f>IF(G48="Not Age Eligible","",IF(MAX(U48,W48,Y48,AA48)&gt;=LOOKUP(G48,'Qualifying Scores'!$A$10:$A$13,'Qualifying Scores'!$H$10:$H$13),"P",""))</f>
        <v/>
      </c>
      <c r="M48" s="3" t="str">
        <f>IF(G48="Not Age Eligible","",IF(OR(AND(T48&gt;=LOOKUP(G48,'Qualifying Scores'!$A$4:$A$7,'Qualifying Scores'!$H$4:$H$7),U48&gt;=LOOKUP(G48,'Qualifying Scores'!$A$10:$A$13,'Qualifying Scores'!$H$10:$H$13)),AND(X48&gt;=LOOKUP(G48,'Qualifying Scores'!$A$4:$A$7,'Qualifying Scores'!$H$4:$H$7),Y48&gt;=LOOKUP(G48,'Qualifying Scores'!$A$10:$A$13,'Qualifying Scores'!$H$10:$H$13)),AND(V48&gt;=LOOKUP(G48,'Qualifying Scores'!$A$4:$A$7,'Qualifying Scores'!$H$4:$H$7),W48&gt;=LOOKUP(G48,'Qualifying Scores'!$A$10:$A$13,'Qualifying Scores'!$H$10:$H$13)),AND(Z48&gt;=LOOKUP(G48,'Qualifying Scores'!$A$4:$A$7,'Qualifying Scores'!$H$4:$H$7),AA48&gt;=LOOKUP(G48,'Qualifying Scores'!$A$10:$A$13,'Qualifying Scores'!$H$10:$H$13))),"P",""))</f>
        <v/>
      </c>
      <c r="Q48" s="1" t="str">
        <f>IF(A48&lt;5,IF(_xlfn.MAXIFS(A:A,G:G,G48)&gt;3,5-A48,_xlfn.MAXIFS(A:A,G:G,G48)+1-A48),"")</f>
        <v/>
      </c>
      <c r="R48" s="4">
        <f>MAX(T48,X48)</f>
        <v>36.6</v>
      </c>
      <c r="S48" s="4">
        <f>IF(R48=T48,MAX(V48,X48,Z48),IF(R48=X48,MAX(T48,V48,Z48),0))</f>
        <v>37.9</v>
      </c>
      <c r="T48" s="33"/>
      <c r="U48" s="40"/>
      <c r="V48" s="34"/>
      <c r="W48" s="40"/>
      <c r="X48" s="33">
        <v>36.6</v>
      </c>
      <c r="Y48" s="40">
        <v>4.4000000000000004</v>
      </c>
      <c r="Z48" s="34">
        <v>37.9</v>
      </c>
      <c r="AA48" s="37">
        <v>4.4000000000000004</v>
      </c>
    </row>
    <row r="49" spans="1:27" x14ac:dyDescent="0.2">
      <c r="A49" s="1" t="str" cm="1">
        <f t="array" ref="A49">IF(I49="","",IF(P49&lt;&gt;"",SUMPRODUCT((P$3:P$50&lt;&gt;"")*(G$3:G$50=G49)*(J$3:J$50&gt;J49)*(I$3:I$50="P"))+1,IF(O49&lt;&gt;"",SUMPRODUCT((O$3:O$50&lt;&gt;"")*(P$3:P$50="")*(G$3:G$50=G49)*(J$3:J$50&gt;J49)*(I$3:I$50="P"))+SUMPRODUCT((P$3:P$50&lt;&gt;"")*(G$3:G$50=G49)*(I$3:I$50="P"))+1,IF(N49&lt;&gt;"",SUMPRODUCT((N$3:N$50&lt;&gt;"")*(G$3:G$50=G49)*(J$3:J$50&gt;J49)*(I$3:I$50="P"))+1,IF(M49="P",SUMPRODUCT((O$3:O$50&lt;&gt;"")*(P$3:P$50="")*(G$3:G$50=G49)*(I$3:I$50="P"))+SUMPRODUCT((P$3:P$50&lt;&gt;"")*(G$3:G$50=G49)*(I$3:I$50="P"))+SUMPRODUCT((N$3:N$50&lt;&gt;"")*(G$3:G$50=G49)*(I$3:I$50="P"))+SUMPRODUCT((P$3:P$50="")*(O$3:O$50="")*(N$3:N$50="")*(M$3:M$50="P")*(G$3:G$50=G49)*(J$3:J$50&gt;J49)*(I$3:I$50="P"))+IF(H49="L5",SUMPRODUCT((P$3:P$50="")*(O$3:O$50="")*(N$3:N$50="")*(M$3:M$50="P")*(G$3:G$50=G49)*(J$3:J$50&lt;J49)*(H$3:H$50&lt;&gt;H49)*(I$3:I$50="P")),-1*SUMPRODUCT((P$3:P$50="")*(O$3:O$50="")*(N$3:N$50="")*(M$3:M$50="P")*(G$3:G$50=G49)*(J$3:J$50&gt;J49)*(H$3:H$50="L5")*(I$3:I$50="P")))+1,"")))))</f>
        <v/>
      </c>
      <c r="B49" s="1" t="str" cm="1">
        <f t="array" ref="B49">IF(P49&lt;&gt;"",SUMPRODUCT((P$3:P$50&lt;&gt;"")*(G$3:G$50=G49)*(J$3:J$50&gt;J49))+1,IF(O49&lt;&gt;"",SUMPRODUCT((O$3:O$50&lt;&gt;"")*(P$3:P$50="")*(G$3:G$50=G49)*(J$3:J$50&gt;J49))+SUMPRODUCT((P$3:P$50&lt;&gt;"")*(G$3:G$50=G49))+1,IF(N49&lt;&gt;"",SUMPRODUCT((N$3:N$50&lt;&gt;"")*(G$3:G$50=G49)*(J$3:J$50&gt;J49))+1,IF(M49="P",SUMPRODUCT((O$3:O$50&lt;&gt;"")*(P$3:P$50="")*(G$3:G$50=G49))+SUMPRODUCT((P$3:P$50&lt;&gt;"")*(G$3:G$50=G49))+SUMPRODUCT((N$3:N$50&lt;&gt;"")*(G$3:G$50=G49))+SUMPRODUCT((P$3:P$50="")*(O$3:O$50="")*(N$3:N$50="")*(M$3:M$50="P")*(G$3:G$50=G49)*(J$3:J$50&gt;J49))+IF(H49="L5",SUMPRODUCT((P$3:P$50="")*(O$3:O$50="")*(N$3:N$50="")*(M$3:M$50="P")*(G$3:G$50=G49)*(J$3:J$50&lt;J49)*(H$3:H$50&lt;&gt;H49)),-1*SUMPRODUCT((P$3:P$50="")*(O$3:O$50="")*(N$3:N$50="")*(M$3:M$50="P")*(G$3:G$50=G49)*(J$3:J$50&gt;J49)*(H$3:H$50="L5")))+1,""))))</f>
        <v/>
      </c>
      <c r="C49" s="36" t="s">
        <v>323</v>
      </c>
      <c r="D49" s="36" t="str">
        <f>IF(E49="","",VLOOKUP(E49,'Coaching Points'!A:B,2,0))</f>
        <v>BC</v>
      </c>
      <c r="E49" s="36" t="s">
        <v>439</v>
      </c>
      <c r="F49" s="35">
        <v>2011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11-12</v>
      </c>
      <c r="H49" s="39" t="s">
        <v>66</v>
      </c>
      <c r="I49" s="43"/>
      <c r="J49" s="4">
        <f>R49+S49+IF(OR(H49="Junior",H49="Senior"),0.0002,IF(OR(H49="L7",H49="L6"),0.0001,0))+MAX(X49,Z49)*0.0000001</f>
        <v>71.800003610000005</v>
      </c>
      <c r="K49" s="3" t="str">
        <f>IF(G49="Not Age Eligible","",IF(MAX(T49,V49,X49,Z49)&gt;=LOOKUP(G49,'Qualifying Scores'!$A$4:$A$7,'Qualifying Scores'!$H$4:$H$7),"P",""))</f>
        <v/>
      </c>
      <c r="L49" s="3" t="str">
        <f>IF(G49="Not Age Eligible","",IF(MAX(U49,W49,Y49,AA49)&gt;=LOOKUP(G49,'Qualifying Scores'!$A$10:$A$13,'Qualifying Scores'!$H$10:$H$13),"P",""))</f>
        <v/>
      </c>
      <c r="M49" s="3" t="str">
        <f>IF(G49="Not Age Eligible","",IF(OR(AND(T49&gt;=LOOKUP(G49,'Qualifying Scores'!$A$4:$A$7,'Qualifying Scores'!$H$4:$H$7),U49&gt;=LOOKUP(G49,'Qualifying Scores'!$A$10:$A$13,'Qualifying Scores'!$H$10:$H$13)),AND(X49&gt;=LOOKUP(G49,'Qualifying Scores'!$A$4:$A$7,'Qualifying Scores'!$H$4:$H$7),Y49&gt;=LOOKUP(G49,'Qualifying Scores'!$A$10:$A$13,'Qualifying Scores'!$H$10:$H$13)),AND(V49&gt;=LOOKUP(G49,'Qualifying Scores'!$A$4:$A$7,'Qualifying Scores'!$H$4:$H$7),W49&gt;=LOOKUP(G49,'Qualifying Scores'!$A$10:$A$13,'Qualifying Scores'!$H$10:$H$13)),AND(Z49&gt;=LOOKUP(G49,'Qualifying Scores'!$A$4:$A$7,'Qualifying Scores'!$H$4:$H$7),AA49&gt;=LOOKUP(G49,'Qualifying Scores'!$A$10:$A$13,'Qualifying Scores'!$H$10:$H$13))),"P",""))</f>
        <v/>
      </c>
      <c r="Q49" s="1" t="str">
        <f>IF(A49&lt;5,IF(_xlfn.MAXIFS(A:A,G:G,G49)&gt;3,5-A49,_xlfn.MAXIFS(A:A,G:G,G49)+1-A49),"")</f>
        <v/>
      </c>
      <c r="R49" s="4">
        <f>MAX(T49,X49)</f>
        <v>36.1</v>
      </c>
      <c r="S49" s="4">
        <f>IF(R49=T49,MAX(V49,X49,Z49),IF(R49=X49,MAX(T49,V49,Z49),0))</f>
        <v>35.700000000000003</v>
      </c>
      <c r="T49" s="33"/>
      <c r="U49" s="40"/>
      <c r="V49" s="34"/>
      <c r="W49" s="40"/>
      <c r="X49" s="33">
        <v>36.1</v>
      </c>
      <c r="Y49" s="40">
        <v>5.3</v>
      </c>
      <c r="Z49" s="34">
        <v>35.700000000000003</v>
      </c>
      <c r="AA49" s="37">
        <v>4.2</v>
      </c>
    </row>
    <row r="50" spans="1:27" x14ac:dyDescent="0.2">
      <c r="B50" s="1"/>
      <c r="G50" s="1"/>
      <c r="H50" s="39"/>
      <c r="I50" s="43"/>
      <c r="J50" s="4"/>
      <c r="K50" s="3"/>
      <c r="L50" s="3"/>
      <c r="R50" s="4"/>
      <c r="S50" s="4"/>
      <c r="T50" s="33"/>
      <c r="U50" s="40"/>
      <c r="V50" s="34"/>
      <c r="W50" s="40"/>
      <c r="X50" s="33"/>
      <c r="Y50" s="40"/>
      <c r="Z50" s="34"/>
      <c r="AA50" s="37"/>
    </row>
    <row r="51" spans="1:27" x14ac:dyDescent="0.2">
      <c r="B51" s="1"/>
      <c r="G51" s="1"/>
      <c r="H51" s="39"/>
      <c r="I51" s="43"/>
      <c r="J51" s="4"/>
      <c r="K51" s="3"/>
      <c r="L51" s="3"/>
      <c r="R51" s="4"/>
      <c r="S51" s="4"/>
      <c r="T51" s="33"/>
      <c r="U51" s="40"/>
      <c r="V51" s="34"/>
      <c r="W51" s="40"/>
      <c r="X51" s="33"/>
      <c r="Y51" s="40"/>
      <c r="Z51" s="34"/>
      <c r="AA51" s="37"/>
    </row>
    <row r="52" spans="1:27" x14ac:dyDescent="0.2">
      <c r="B52" s="1"/>
      <c r="G52" s="1"/>
      <c r="H52" s="39"/>
      <c r="I52" s="43"/>
      <c r="J52" s="4"/>
      <c r="K52" s="3"/>
      <c r="L52" s="3"/>
      <c r="R52" s="4"/>
      <c r="S52" s="4"/>
      <c r="T52" s="33"/>
      <c r="U52" s="40"/>
      <c r="V52" s="34"/>
      <c r="W52" s="40"/>
      <c r="X52" s="33"/>
      <c r="Y52" s="40"/>
      <c r="Z52" s="34"/>
      <c r="AA52" s="37"/>
    </row>
    <row r="53" spans="1:27" x14ac:dyDescent="0.2">
      <c r="B53" s="1"/>
      <c r="G53" s="1"/>
      <c r="H53" s="39"/>
      <c r="I53" s="43"/>
      <c r="J53" s="4"/>
      <c r="K53" s="3"/>
      <c r="L53" s="3"/>
      <c r="R53" s="4"/>
      <c r="S53" s="4"/>
      <c r="T53" s="33"/>
      <c r="U53" s="40"/>
      <c r="V53" s="34"/>
      <c r="W53" s="40"/>
      <c r="X53" s="33"/>
      <c r="Y53" s="40"/>
      <c r="Z53" s="34"/>
      <c r="AA53" s="37"/>
    </row>
    <row r="54" spans="1:27" x14ac:dyDescent="0.2">
      <c r="B54" s="1"/>
      <c r="G54" s="1"/>
      <c r="H54" s="39"/>
      <c r="I54" s="43"/>
      <c r="J54" s="4"/>
      <c r="K54" s="3"/>
      <c r="L54" s="3"/>
      <c r="R54" s="4"/>
      <c r="S54" s="4"/>
      <c r="T54" s="33"/>
      <c r="U54" s="40"/>
      <c r="V54" s="34"/>
      <c r="W54" s="40"/>
      <c r="X54" s="33"/>
      <c r="Y54" s="40"/>
      <c r="Z54" s="34"/>
      <c r="AA54" s="37"/>
    </row>
    <row r="55" spans="1:27" x14ac:dyDescent="0.2">
      <c r="B55" s="1"/>
      <c r="G55" s="1"/>
      <c r="H55" s="39"/>
      <c r="I55" s="43"/>
      <c r="J55" s="4"/>
      <c r="K55" s="3"/>
      <c r="L55" s="3"/>
      <c r="R55" s="4"/>
      <c r="S55" s="4"/>
      <c r="T55" s="33"/>
      <c r="U55" s="40"/>
      <c r="V55" s="34"/>
      <c r="W55" s="40"/>
      <c r="X55" s="33"/>
      <c r="Y55" s="40"/>
      <c r="Z55" s="34"/>
      <c r="AA55" s="37"/>
    </row>
    <row r="56" spans="1:27" x14ac:dyDescent="0.2">
      <c r="B56" s="1"/>
      <c r="G56" s="1"/>
      <c r="H56" s="39"/>
      <c r="I56" s="43"/>
      <c r="J56" s="4"/>
      <c r="K56" s="3"/>
      <c r="L56" s="3"/>
      <c r="R56" s="4"/>
      <c r="S56" s="4"/>
      <c r="T56" s="33"/>
      <c r="U56" s="40"/>
      <c r="V56" s="34"/>
      <c r="W56" s="40"/>
      <c r="X56" s="33"/>
      <c r="Y56" s="40"/>
      <c r="Z56" s="34"/>
      <c r="AA56" s="37"/>
    </row>
    <row r="57" spans="1:27" x14ac:dyDescent="0.2">
      <c r="B57" s="1"/>
      <c r="G57" s="1"/>
      <c r="H57" s="39"/>
      <c r="I57" s="43"/>
      <c r="J57" s="4"/>
      <c r="K57" s="3"/>
      <c r="L57" s="3"/>
      <c r="R57" s="4"/>
      <c r="S57" s="4"/>
      <c r="T57" s="33"/>
      <c r="U57" s="40"/>
      <c r="V57" s="34"/>
      <c r="W57" s="40"/>
      <c r="X57" s="33"/>
      <c r="Y57" s="40"/>
      <c r="Z57" s="34"/>
      <c r="AA57" s="37"/>
    </row>
    <row r="58" spans="1:27" x14ac:dyDescent="0.2">
      <c r="B58" s="1"/>
      <c r="G58" s="1"/>
      <c r="H58" s="39"/>
      <c r="I58" s="43"/>
      <c r="J58" s="4"/>
      <c r="K58" s="3"/>
      <c r="L58" s="3"/>
      <c r="R58" s="4"/>
      <c r="S58" s="4"/>
      <c r="T58" s="33"/>
      <c r="U58" s="40"/>
      <c r="V58" s="34"/>
      <c r="W58" s="40"/>
      <c r="X58" s="33"/>
      <c r="Y58" s="40"/>
      <c r="Z58" s="34"/>
      <c r="AA58" s="37"/>
    </row>
    <row r="59" spans="1:27" x14ac:dyDescent="0.2">
      <c r="B59" s="1"/>
      <c r="G59" s="1"/>
      <c r="H59" s="39"/>
      <c r="I59" s="43"/>
      <c r="J59" s="4"/>
      <c r="K59" s="3"/>
      <c r="L59" s="3"/>
      <c r="R59" s="4"/>
      <c r="S59" s="4"/>
      <c r="T59" s="33"/>
      <c r="U59" s="40"/>
      <c r="V59" s="34"/>
      <c r="W59" s="40"/>
      <c r="X59" s="33"/>
      <c r="Y59" s="40"/>
      <c r="Z59" s="34"/>
      <c r="AA59" s="37"/>
    </row>
    <row r="60" spans="1:27" x14ac:dyDescent="0.2">
      <c r="B60" s="1"/>
      <c r="G60" s="1"/>
      <c r="H60" s="39"/>
      <c r="I60" s="43"/>
      <c r="J60" s="4"/>
      <c r="K60" s="3"/>
      <c r="L60" s="3"/>
      <c r="R60" s="4"/>
      <c r="S60" s="4"/>
      <c r="T60" s="33"/>
      <c r="U60" s="40"/>
      <c r="V60" s="34"/>
      <c r="W60" s="40"/>
      <c r="X60" s="33"/>
      <c r="Y60" s="40"/>
      <c r="Z60" s="34"/>
      <c r="AA60" s="37"/>
    </row>
    <row r="61" spans="1:27" x14ac:dyDescent="0.2">
      <c r="B61" s="1"/>
      <c r="G61" s="1"/>
      <c r="H61" s="39"/>
      <c r="I61" s="43"/>
      <c r="J61" s="4"/>
      <c r="K61" s="3"/>
      <c r="L61" s="3"/>
      <c r="R61" s="4"/>
      <c r="S61" s="4"/>
      <c r="T61" s="33"/>
      <c r="U61" s="40"/>
      <c r="V61" s="34"/>
      <c r="W61" s="40"/>
      <c r="X61" s="33"/>
      <c r="Y61" s="40"/>
      <c r="Z61" s="34"/>
      <c r="AA61" s="37"/>
    </row>
    <row r="62" spans="1:27" x14ac:dyDescent="0.2">
      <c r="R62" s="4"/>
      <c r="S62" s="4"/>
      <c r="T62" s="33"/>
      <c r="U62" s="40"/>
      <c r="V62" s="34"/>
      <c r="W62" s="40"/>
      <c r="X62" s="33"/>
      <c r="Y62" s="40"/>
      <c r="Z62" s="34"/>
      <c r="AA62" s="37"/>
    </row>
    <row r="63" spans="1:27" x14ac:dyDescent="0.2">
      <c r="R63" s="4"/>
      <c r="S63" s="4"/>
      <c r="T63" s="33"/>
      <c r="U63" s="40"/>
      <c r="V63" s="34"/>
      <c r="W63" s="40"/>
      <c r="X63" s="33"/>
      <c r="Y63" s="40"/>
      <c r="Z63" s="34"/>
      <c r="AA63" s="37"/>
    </row>
    <row r="64" spans="1:27" x14ac:dyDescent="0.2">
      <c r="R64" s="4"/>
      <c r="S64" s="4"/>
      <c r="T64" s="33"/>
      <c r="U64" s="40"/>
      <c r="V64" s="34"/>
      <c r="W64" s="40"/>
      <c r="X64" s="33"/>
      <c r="Y64" s="40"/>
      <c r="Z64" s="34"/>
      <c r="AA64" s="37"/>
    </row>
  </sheetData>
  <sheetProtection sheet="1" formatCells="0" formatColumns="0" formatRows="0"/>
  <autoFilter ref="A1:AA2" xr:uid="{CE1BC7F0-85F9-F24E-8BEE-DE9ABCFFCB08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3:AA49">
      <sortCondition descending="1" ref="G1:G50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</mergeCells>
  <phoneticPr fontId="13" type="noConversion"/>
  <conditionalFormatting sqref="A1:Q2 T1:XFD2 A3:XFD1048576">
    <cfRule type="expression" dxfId="19" priority="25">
      <formula>IF($G1="17-21",1,0)</formula>
    </cfRule>
    <cfRule type="expression" dxfId="18" priority="26">
      <formula>IF($G1="15-16",1,0)</formula>
    </cfRule>
    <cfRule type="expression" dxfId="17" priority="27">
      <formula>IF($G1="13-14",1,0)</formula>
    </cfRule>
    <cfRule type="expression" dxfId="16" priority="28">
      <formula>IF($G1="11-12",1,0)</formula>
    </cfRule>
  </conditionalFormatting>
  <conditionalFormatting sqref="R1:S2">
    <cfRule type="expression" dxfId="15" priority="5">
      <formula>IF($G1="17-21",1,0)</formula>
    </cfRule>
    <cfRule type="expression" dxfId="14" priority="6">
      <formula>IF($G1="15-16",1,0)</formula>
    </cfRule>
    <cfRule type="expression" dxfId="13" priority="7">
      <formula>IF($G1="13-14",1,0)</formula>
    </cfRule>
    <cfRule type="expression" dxfId="12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FAB1D-0CE4-F64D-ABB9-2F0ADAEF3696}">
  <sheetPr codeName="Sheet14"/>
  <dimension ref="A1:AA76"/>
  <sheetViews>
    <sheetView zoomScaleNormal="100" workbookViewId="0">
      <pane xSplit="5" ySplit="2" topLeftCell="F3" activePane="bottomRight" state="frozen"/>
      <selection activeCell="I61" sqref="I61"/>
      <selection pane="topRight" activeCell="I61" sqref="I61"/>
      <selection pane="bottomLeft" activeCell="I61" sqref="I61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5" style="36" bestFit="1" customWidth="1"/>
    <col min="4" max="4" width="8.6640625" style="36" bestFit="1" customWidth="1"/>
    <col min="5" max="5" width="18.832031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ht="16" customHeight="1" x14ac:dyDescent="0.2">
      <c r="A1" s="73" t="s">
        <v>208</v>
      </c>
      <c r="B1" s="73" t="s">
        <v>207</v>
      </c>
      <c r="C1" s="67" t="s">
        <v>0</v>
      </c>
      <c r="D1" s="67" t="s">
        <v>1</v>
      </c>
      <c r="E1" s="69" t="s">
        <v>2</v>
      </c>
      <c r="F1" s="71" t="s">
        <v>4</v>
      </c>
      <c r="G1" s="67" t="s">
        <v>5</v>
      </c>
      <c r="H1" s="67" t="s">
        <v>56</v>
      </c>
      <c r="I1" s="67" t="s">
        <v>42</v>
      </c>
      <c r="J1" s="76" t="s">
        <v>13</v>
      </c>
      <c r="K1" s="67" t="s">
        <v>9</v>
      </c>
      <c r="L1" s="67" t="s">
        <v>10</v>
      </c>
      <c r="M1" s="67" t="s">
        <v>33</v>
      </c>
      <c r="N1" s="67" t="s">
        <v>12</v>
      </c>
      <c r="O1" s="67" t="s">
        <v>49</v>
      </c>
      <c r="P1" s="67" t="s">
        <v>11</v>
      </c>
      <c r="Q1" s="67" t="s">
        <v>206</v>
      </c>
      <c r="R1" s="73" t="s">
        <v>371</v>
      </c>
      <c r="S1" s="67" t="s">
        <v>372</v>
      </c>
      <c r="T1" s="75" t="s">
        <v>44</v>
      </c>
      <c r="U1" s="75"/>
      <c r="V1" s="75"/>
      <c r="W1" s="75"/>
      <c r="X1" s="75" t="s">
        <v>43</v>
      </c>
      <c r="Y1" s="75"/>
      <c r="Z1" s="75"/>
      <c r="AA1" s="75"/>
    </row>
    <row r="2" spans="1:27" s="7" customFormat="1" ht="17" thickBot="1" x14ac:dyDescent="0.25">
      <c r="A2" s="74"/>
      <c r="B2" s="74"/>
      <c r="C2" s="68"/>
      <c r="D2" s="68"/>
      <c r="E2" s="70"/>
      <c r="F2" s="72"/>
      <c r="G2" s="68"/>
      <c r="H2" s="68"/>
      <c r="I2" s="68"/>
      <c r="J2" s="77"/>
      <c r="K2" s="68"/>
      <c r="L2" s="68"/>
      <c r="M2" s="68"/>
      <c r="N2" s="68"/>
      <c r="O2" s="68"/>
      <c r="P2" s="68"/>
      <c r="Q2" s="68"/>
      <c r="R2" s="74"/>
      <c r="S2" s="68"/>
      <c r="T2" s="8" t="s">
        <v>54</v>
      </c>
      <c r="U2" s="7" t="s">
        <v>55</v>
      </c>
      <c r="V2" s="7" t="s">
        <v>6</v>
      </c>
      <c r="W2" s="7" t="s">
        <v>8</v>
      </c>
      <c r="X2" s="8" t="s">
        <v>54</v>
      </c>
      <c r="Y2" s="7" t="s">
        <v>55</v>
      </c>
      <c r="Z2" s="7" t="s">
        <v>6</v>
      </c>
      <c r="AA2" s="7" t="s">
        <v>8</v>
      </c>
    </row>
    <row r="3" spans="1:27" ht="17" thickTop="1" x14ac:dyDescent="0.2">
      <c r="A3" s="1" cm="1">
        <f t="array" ref="A3">IF(I3="","",IF(P3&lt;&gt;"",SUMPRODUCT((P$3:P$77&lt;&gt;"")*(G$3:G$77=G3)*(J$3:J$77&gt;J3)*(I$3:I$77="P"))+1,IF(O3&lt;&gt;"",SUMPRODUCT((O$3:O$77&lt;&gt;"")*(P$3:P$77="")*(G$3:G$77=G3)*(J$3:J$77&gt;J3)*(I$3:I$77="P"))+SUMPRODUCT((P$3:P$77&lt;&gt;"")*(G$3:G$77=G3)*(I$3:I$77="P"))+1,IF(N3&lt;&gt;"",SUMPRODUCT((N$3:N$77&lt;&gt;"")*(G$3:G$77=G3)*(J$3:J$77&gt;J3)*(I$3:I$77="P"))+1,IF(M3="P",SUMPRODUCT((O$3:O$77&lt;&gt;"")*(P$3:P$77="")*(G$3:G$77=G3)*(I$3:I$77="P"))+SUMPRODUCT((P$3:P$77&lt;&gt;"")*(G$3:G$77=G3)*(I$3:I$77="P"))+SUMPRODUCT((N$3:N$77&lt;&gt;"")*(G$3:G$77=G3)*(I$3:I$77="P"))+SUMPRODUCT((P$3:P$77="")*(O$3:O$77="")*(N$3:N$77="")*(M$3:M$77="P")*(G$3:G$77=G3)*(J$3:J$77&gt;J3)*(I$3:I$77="P"))+IF(H3="L5",SUMPRODUCT((P$3:P$77="")*(O$3:O$77="")*(N$3:N$77="")*(M$3:M$77="P")*(G$3:G$77=G3)*(J$3:J$77&lt;J3)*(H$3:H$77&lt;&gt;H3)*(I$3:I$77="P")),-1*SUMPRODUCT((P$3:P$77="")*(O$3:O$77="")*(N$3:N$77="")*(M$3:M$77="P")*(G$3:G$77=G3)*(J$3:J$77&gt;J3)*(H$3:H$77="L5")*(I$3:I$77="P")))+1,"")))))</f>
        <v>1</v>
      </c>
      <c r="B3" s="1" cm="1">
        <f t="array" ref="B3">IF(P3&lt;&gt;"",SUMPRODUCT((P$3:P$77&lt;&gt;"")*(G$3:G$77=G3)*(J$3:J$77&gt;J3))+1,IF(O3&lt;&gt;"",SUMPRODUCT((O$3:O$77&lt;&gt;"")*(P$3:P$77="")*(G$3:G$77=G3)*(J$3:J$77&gt;J3))+SUMPRODUCT((P$3:P$77&lt;&gt;"")*(G$3:G$77=G3))+1,IF(N3&lt;&gt;"",SUMPRODUCT((N$3:N$77&lt;&gt;"")*(G$3:G$77=G3)*(J$3:J$77&gt;J3))+1,IF(M3="P",SUMPRODUCT((O$3:O$77&lt;&gt;"")*(P$3:P$77="")*(G$3:G$77=G3))+SUMPRODUCT((P$3:P$77&lt;&gt;"")*(G$3:G$77=G3))+SUMPRODUCT((N$3:N$77&lt;&gt;"")*(G$3:G$77=G3))+SUMPRODUCT((P$3:P$77="")*(O$3:O$77="")*(N$3:N$77="")*(M$3:M$77="P")*(G$3:G$77=G3)*(J$3:J$77&gt;J3))+IF(H3="L5",SUMPRODUCT((P$3:P$77="")*(O$3:O$77="")*(N$3:N$77="")*(M$3:M$77="P")*(G$3:G$77=G3)*(J$3:J$77&lt;J3)*(H$3:H$77&lt;&gt;H3)),-1*SUMPRODUCT((P$3:P$77="")*(O$3:O$77="")*(N$3:N$77="")*(M$3:M$77="P")*(G$3:G$77=G3)*(J$3:J$77&gt;J3)*(H$3:H$77="L5")))+1,""))))</f>
        <v>1</v>
      </c>
      <c r="C3" s="36" t="s">
        <v>192</v>
      </c>
      <c r="D3" s="36" t="str">
        <f>IF(E3="","",VLOOKUP(E3,'Coaching Points'!A:B,2,0))</f>
        <v>BC</v>
      </c>
      <c r="E3" s="36" t="s">
        <v>72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 t="s">
        <v>567</v>
      </c>
      <c r="J3" s="4">
        <f>R3+S3+IF(OR(H3="Junior",H3="Senior"),0.0002,IF(OR(H3="L7",H3="L6"),0.0001,0))+MAX(X3,Z3)*0.0000001</f>
        <v>90.100204540000007</v>
      </c>
      <c r="K3" s="3" t="str">
        <f>IF(G3="Not Age Eligible","",IF(MAX(T3,V3,X3,Z3)&gt;=LOOKUP(G3,'Qualifying Scores'!$A$4:$A$7,'Qualifying Scores'!$I$4:$I$7),"P",""))</f>
        <v>P</v>
      </c>
      <c r="L3" s="3" t="str">
        <f>IF(G3="Not Age Eligible","",IF(MAX(U3,W3,Y3,AA3)&gt;=LOOKUP(G3,'Qualifying Scores'!$A$10:$A$13,'Qualifying Scores'!$I$10:$I$13),"P",""))</f>
        <v>P</v>
      </c>
      <c r="M3" s="3" t="str">
        <f>IF(G3="Not Age Eligible","",IF(OR(AND(T3&gt;=LOOKUP(G3,'Qualifying Scores'!$A$4:$A$7,'Qualifying Scores'!$I$4:$I$7),U3&gt;=LOOKUP(G3,'Qualifying Scores'!$A$10:$A$13,'Qualifying Scores'!$I$10:$I$13)),AND(X3&gt;=LOOKUP(G3,'Qualifying Scores'!$A$4:$A$7,'Qualifying Scores'!$I$4:$I$7),Y3&gt;=LOOKUP(G3,'Qualifying Scores'!$A$10:$A$13,'Qualifying Scores'!$I$10:$I$13)),AND(V3&gt;=LOOKUP(G3,'Qualifying Scores'!$A$4:$A$7,'Qualifying Scores'!$I$4:$I$7),W3&gt;=LOOKUP(G3,'Qualifying Scores'!$A$10:$A$13,'Qualifying Scores'!$I$10:$I$13)),AND(Z3&gt;=LOOKUP(G3,'Qualifying Scores'!$A$4:$A$7,'Qualifying Scores'!$I$4:$I$7),AA3&gt;=LOOKUP(G3,'Qualifying Scores'!$A$10:$A$13,'Qualifying Scores'!$I$10:$I$13))),"P",""))</f>
        <v>P</v>
      </c>
      <c r="O3" s="39">
        <v>1</v>
      </c>
      <c r="P3" s="39">
        <v>1</v>
      </c>
      <c r="Q3" s="1">
        <f>IF(A3&lt;5,IF(_xlfn.MAXIFS(A:A,G:G,G3)&gt;3,5-A3,_xlfn.MAXIFS(A:A,G:G,G3)+1-A3),"")</f>
        <v>4</v>
      </c>
      <c r="R3" s="4">
        <f>MAX(T3,X3)</f>
        <v>44.7</v>
      </c>
      <c r="S3" s="4">
        <f>IF(R3=T3,MAX(V3,X3,Z3),IF(R3=X3,MAX(T3,V3,Z3),0))</f>
        <v>45.4</v>
      </c>
      <c r="T3" s="33">
        <v>43.4</v>
      </c>
      <c r="U3" s="40">
        <v>8.1999999999999993</v>
      </c>
      <c r="V3" s="34">
        <v>42</v>
      </c>
      <c r="W3" s="40">
        <v>9.1</v>
      </c>
      <c r="X3" s="33">
        <v>44.7</v>
      </c>
      <c r="Y3" s="40">
        <v>10.199999999999999</v>
      </c>
      <c r="Z3" s="34">
        <v>45.4</v>
      </c>
      <c r="AA3" s="37">
        <v>10.199999999999999</v>
      </c>
    </row>
    <row r="4" spans="1:27" x14ac:dyDescent="0.2">
      <c r="A4" s="1" cm="1">
        <f t="array" ref="A4">IF(I4="","",IF(P4&lt;&gt;"",SUMPRODUCT((P$3:P$45&lt;&gt;"")*(G$3:G$45=G4)*(J$3:J$45&gt;J4)*(I$3:I$45="P"))+1,IF(O4&lt;&gt;"",SUMPRODUCT((O$3:O$45&lt;&gt;"")*(P$3:P$45="")*(G$3:G$45=G4)*(J$3:J$45&gt;J4)*(I$3:I$45="P"))+SUMPRODUCT((P$3:P$45&lt;&gt;"")*(G$3:G$45=G4)*(I$3:I$45="P"))+1,IF(N4&lt;&gt;"",SUMPRODUCT((N$3:N$45&lt;&gt;"")*(G$3:G$45=G4)*(J$3:J$45&gt;J4)*(I$3:I$45="P"))+1,IF(M4="P",SUMPRODUCT((O$3:O$45&lt;&gt;"")*(P$3:P$45="")*(G$3:G$45=G4)*(I$3:I$45="P"))+SUMPRODUCT((P$3:P$45&lt;&gt;"")*(G$3:G$45=G4)*(I$3:I$45="P"))+SUMPRODUCT((N$3:N$45&lt;&gt;"")*(G$3:G$45=G4)*(I$3:I$45="P"))+SUMPRODUCT((P$3:P$45="")*(O$3:O$45="")*(N$3:N$45="")*(M$3:M$45="P")*(G$3:G$45=G4)*(J$3:J$45&gt;J4)*(I$3:I$45="P"))+IF(H4="L5",SUMPRODUCT((P$3:P$45="")*(O$3:O$45="")*(N$3:N$45="")*(M$3:M$45="P")*(G$3:G$45=G4)*(J$3:J$45&lt;J4)*(H$3:H$45&lt;&gt;H4)*(I$3:I$45="P")),-1*SUMPRODUCT((P$3:P$45="")*(O$3:O$45="")*(N$3:N$45="")*(M$3:M$45="P")*(G$3:G$45=G4)*(J$3:J$45&gt;J4)*(H$3:H$45="L5")*(I$3:I$45="P")))+1,"")))))</f>
        <v>2</v>
      </c>
      <c r="B4" s="1" cm="1">
        <f t="array" ref="B4">IF(P4&lt;&gt;"",SUMPRODUCT((P$3:P$77&lt;&gt;"")*(G$3:G$77=G4)*(J$3:J$77&gt;J4))+1,IF(O4&lt;&gt;"",SUMPRODUCT((O$3:O$77&lt;&gt;"")*(P$3:P$77="")*(G$3:G$77=G4)*(J$3:J$77&gt;J4))+SUMPRODUCT((P$3:P$77&lt;&gt;"")*(G$3:G$77=G4))+1,IF(N4&lt;&gt;"",SUMPRODUCT((N$3:N$77&lt;&gt;"")*(G$3:G$77=G4)*(J$3:J$77&gt;J4))+1,IF(M4="P",SUMPRODUCT((O$3:O$77&lt;&gt;"")*(P$3:P$77="")*(G$3:G$77=G4))+SUMPRODUCT((P$3:P$77&lt;&gt;"")*(G$3:G$77=G4))+SUMPRODUCT((N$3:N$77&lt;&gt;"")*(G$3:G$77=G4))+SUMPRODUCT((P$3:P$77="")*(O$3:O$77="")*(N$3:N$77="")*(M$3:M$77="P")*(G$3:G$77=G4)*(J$3:J$77&gt;J4))+IF(H4="L5",SUMPRODUCT((P$3:P$77="")*(O$3:O$77="")*(N$3:N$77="")*(M$3:M$77="P")*(G$3:G$77=G4)*(J$3:J$77&lt;J4)*(H$3:H$77&lt;&gt;H4)),-1*SUMPRODUCT((P$3:P$77="")*(O$3:O$77="")*(N$3:N$77="")*(M$3:M$77="P")*(G$3:G$77=G4)*(J$3:J$77&gt;J4)*(H$3:H$77="L5")))+1,""))))</f>
        <v>2</v>
      </c>
      <c r="C4" s="36" t="s">
        <v>187</v>
      </c>
      <c r="D4" s="36" t="str">
        <f>IF(E4="","",VLOOKUP(E4,'Coaching Points'!A:B,2,0))</f>
        <v>AB</v>
      </c>
      <c r="E4" s="36" t="s">
        <v>29</v>
      </c>
      <c r="F4" s="35">
        <v>2003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 t="s">
        <v>567</v>
      </c>
      <c r="J4" s="4">
        <f>R4+S4+IF(OR(H4="Junior",H4="Senior"),0.0002,IF(OR(H4="L7",H4="L6"),0.0001,0))+MAX(X4,Z4)*0.0000001</f>
        <v>90.000204530000005</v>
      </c>
      <c r="K4" s="3" t="str">
        <f>IF(G4="Not Age Eligible","",IF(MAX(T4,V4,X4,Z4)&gt;=LOOKUP(G4,'Qualifying Scores'!$A$4:$A$7,'Qualifying Scores'!$I$4:$I$7),"P",""))</f>
        <v>P</v>
      </c>
      <c r="L4" s="3" t="str">
        <f>IF(G4="Not Age Eligible","",IF(MAX(U4,W4,Y4,AA4)&gt;=LOOKUP(G4,'Qualifying Scores'!$A$10:$A$13,'Qualifying Scores'!$I$10:$I$13),"P",""))</f>
        <v>P</v>
      </c>
      <c r="M4" s="3" t="str">
        <f>IF(G4="Not Age Eligible","",IF(OR(AND(T4&gt;=LOOKUP(G4,'Qualifying Scores'!$A$4:$A$7,'Qualifying Scores'!$I$4:$I$7),U4&gt;=LOOKUP(G4,'Qualifying Scores'!$A$10:$A$13,'Qualifying Scores'!$I$10:$I$13)),AND(X4&gt;=LOOKUP(G4,'Qualifying Scores'!$A$4:$A$7,'Qualifying Scores'!$I$4:$I$7),Y4&gt;=LOOKUP(G4,'Qualifying Scores'!$A$10:$A$13,'Qualifying Scores'!$I$10:$I$13)),AND(V4&gt;=LOOKUP(G4,'Qualifying Scores'!$A$4:$A$7,'Qualifying Scores'!$I$4:$I$7),W4&gt;=LOOKUP(G4,'Qualifying Scores'!$A$10:$A$13,'Qualifying Scores'!$I$10:$I$13)),AND(Z4&gt;=LOOKUP(G4,'Qualifying Scores'!$A$4:$A$7,'Qualifying Scores'!$I$4:$I$7),AA4&gt;=LOOKUP(G4,'Qualifying Scores'!$A$10:$A$13,'Qualifying Scores'!$I$10:$I$13))),"P",""))</f>
        <v>P</v>
      </c>
      <c r="O4" s="39">
        <v>2</v>
      </c>
      <c r="P4" s="39">
        <v>2</v>
      </c>
      <c r="Q4" s="1">
        <f>IF(A4&lt;5,IF(_xlfn.MAXIFS(A:A,G:G,G4)&gt;3,5-A4,_xlfn.MAXIFS(A:A,G:G,G4)+1-A4),"")</f>
        <v>3</v>
      </c>
      <c r="R4" s="4">
        <f>MAX(T4,X4)</f>
        <v>44.7</v>
      </c>
      <c r="S4" s="4">
        <f>IF(R4=T4,MAX(V4,X4,Z4),IF(R4=X4,MAX(T4,V4,Z4),0))</f>
        <v>45.3</v>
      </c>
      <c r="T4" s="33">
        <v>40.799999999999997</v>
      </c>
      <c r="U4" s="40">
        <v>6.5</v>
      </c>
      <c r="V4" s="34">
        <v>39.6</v>
      </c>
      <c r="W4" s="40">
        <v>5.8</v>
      </c>
      <c r="X4" s="33">
        <v>44.7</v>
      </c>
      <c r="Y4" s="40">
        <v>9.1</v>
      </c>
      <c r="Z4" s="34">
        <v>45.3</v>
      </c>
      <c r="AA4" s="37">
        <v>9.3999999999999986</v>
      </c>
    </row>
    <row r="5" spans="1:27" x14ac:dyDescent="0.2">
      <c r="A5" s="1" cm="1">
        <f t="array" ref="A5">IF(I5="","",IF(P5&lt;&gt;"",SUMPRODUCT((P$3:P$45&lt;&gt;"")*(G$3:G$45=G5)*(J$3:J$45&gt;J5)*(I$3:I$45="P"))+1,IF(O5&lt;&gt;"",SUMPRODUCT((O$3:O$45&lt;&gt;"")*(P$3:P$45="")*(G$3:G$45=G5)*(J$3:J$45&gt;J5)*(I$3:I$45="P"))+SUMPRODUCT((P$3:P$45&lt;&gt;"")*(G$3:G$45=G5)*(I$3:I$45="P"))+1,IF(N5&lt;&gt;"",SUMPRODUCT((N$3:N$45&lt;&gt;"")*(G$3:G$45=G5)*(J$3:J$45&gt;J5)*(I$3:I$45="P"))+1,IF(M5="P",SUMPRODUCT((O$3:O$45&lt;&gt;"")*(P$3:P$45="")*(G$3:G$45=G5)*(I$3:I$45="P"))+SUMPRODUCT((P$3:P$45&lt;&gt;"")*(G$3:G$45=G5)*(I$3:I$45="P"))+SUMPRODUCT((N$3:N$45&lt;&gt;"")*(G$3:G$45=G5)*(I$3:I$45="P"))+SUMPRODUCT((P$3:P$45="")*(O$3:O$45="")*(N$3:N$45="")*(M$3:M$45="P")*(G$3:G$45=G5)*(J$3:J$45&gt;J5)*(I$3:I$45="P"))+IF(H5="L5",SUMPRODUCT((P$3:P$45="")*(O$3:O$45="")*(N$3:N$45="")*(M$3:M$45="P")*(G$3:G$45=G5)*(J$3:J$45&lt;J5)*(H$3:H$45&lt;&gt;H5)*(I$3:I$45="P")),-1*SUMPRODUCT((P$3:P$45="")*(O$3:O$45="")*(N$3:N$45="")*(M$3:M$45="P")*(G$3:G$45=G5)*(J$3:J$45&gt;J5)*(H$3:H$45="L5")*(I$3:I$45="P")))+1,"")))))</f>
        <v>3</v>
      </c>
      <c r="B5" s="1" cm="1">
        <f t="array" ref="B5">IF(P5&lt;&gt;"",SUMPRODUCT((P$3:P$77&lt;&gt;"")*(G$3:G$77=G5)*(J$3:J$77&gt;J5))+1,IF(O5&lt;&gt;"",SUMPRODUCT((O$3:O$77&lt;&gt;"")*(P$3:P$77="")*(G$3:G$77=G5)*(J$3:J$77&gt;J5))+SUMPRODUCT((P$3:P$77&lt;&gt;"")*(G$3:G$77=G5))+1,IF(N5&lt;&gt;"",SUMPRODUCT((N$3:N$77&lt;&gt;"")*(G$3:G$77=G5)*(J$3:J$77&gt;J5))+1,IF(M5="P",SUMPRODUCT((O$3:O$77&lt;&gt;"")*(P$3:P$77="")*(G$3:G$77=G5))+SUMPRODUCT((P$3:P$77&lt;&gt;"")*(G$3:G$77=G5))+SUMPRODUCT((N$3:N$77&lt;&gt;"")*(G$3:G$77=G5))+SUMPRODUCT((P$3:P$77="")*(O$3:O$77="")*(N$3:N$77="")*(M$3:M$77="P")*(G$3:G$77=G5)*(J$3:J$77&gt;J5))+IF(H5="L5",SUMPRODUCT((P$3:P$77="")*(O$3:O$77="")*(N$3:N$77="")*(M$3:M$77="P")*(G$3:G$77=G5)*(J$3:J$77&lt;J5)*(H$3:H$77&lt;&gt;H5)),-1*SUMPRODUCT((P$3:P$77="")*(O$3:O$77="")*(N$3:N$77="")*(M$3:M$77="P")*(G$3:G$77=G5)*(J$3:J$77&gt;J5)*(H$3:H$77="L5")))+1,""))))</f>
        <v>3</v>
      </c>
      <c r="C5" s="36" t="s">
        <v>273</v>
      </c>
      <c r="D5" s="36" t="str">
        <f>IF(E5="","",VLOOKUP(E5,'Coaching Points'!A:B,2,0))</f>
        <v>AB</v>
      </c>
      <c r="E5" s="36" t="s">
        <v>29</v>
      </c>
      <c r="F5" s="35">
        <v>2003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 t="s">
        <v>567</v>
      </c>
      <c r="J5" s="4">
        <f>R5+S5+IF(OR(H5="Junior",H5="Senior"),0.0002,IF(OR(H5="L7",H5="L6"),0.0001,0))+MAX(X5,Z5)*0.0000001</f>
        <v>87.500204460000006</v>
      </c>
      <c r="K5" s="3" t="str">
        <f>IF(G5="Not Age Eligible","",IF(MAX(T5,V5,X5,Z5)&gt;=LOOKUP(G5,'Qualifying Scores'!$A$4:$A$7,'Qualifying Scores'!$I$4:$I$7),"P",""))</f>
        <v>P</v>
      </c>
      <c r="L5" s="3" t="str">
        <f>IF(G5="Not Age Eligible","",IF(MAX(U5,W5,Y5,AA5)&gt;=LOOKUP(G5,'Qualifying Scores'!$A$10:$A$13,'Qualifying Scores'!$I$10:$I$13),"P",""))</f>
        <v>P</v>
      </c>
      <c r="M5" s="3" t="str">
        <f>IF(G5="Not Age Eligible","",IF(OR(AND(T5&gt;=LOOKUP(G5,'Qualifying Scores'!$A$4:$A$7,'Qualifying Scores'!$I$4:$I$7),U5&gt;=LOOKUP(G5,'Qualifying Scores'!$A$10:$A$13,'Qualifying Scores'!$I$10:$I$13)),AND(X5&gt;=LOOKUP(G5,'Qualifying Scores'!$A$4:$A$7,'Qualifying Scores'!$I$4:$I$7),Y5&gt;=LOOKUP(G5,'Qualifying Scores'!$A$10:$A$13,'Qualifying Scores'!$I$10:$I$13)),AND(V5&gt;=LOOKUP(G5,'Qualifying Scores'!$A$4:$A$7,'Qualifying Scores'!$I$4:$I$7),W5&gt;=LOOKUP(G5,'Qualifying Scores'!$A$10:$A$13,'Qualifying Scores'!$I$10:$I$13)),AND(Z5&gt;=LOOKUP(G5,'Qualifying Scores'!$A$4:$A$7,'Qualifying Scores'!$I$4:$I$7),AA5&gt;=LOOKUP(G5,'Qualifying Scores'!$A$10:$A$13,'Qualifying Scores'!$I$10:$I$13))),"P",""))</f>
        <v>P</v>
      </c>
      <c r="O5" s="39">
        <v>3</v>
      </c>
      <c r="P5" s="39">
        <v>3</v>
      </c>
      <c r="Q5" s="1">
        <f>IF(A5&lt;5,IF(_xlfn.MAXIFS(A:A,G:G,G5)&gt;3,5-A5,_xlfn.MAXIFS(A:A,G:G,G5)+1-A5),"")</f>
        <v>2</v>
      </c>
      <c r="R5" s="4">
        <f>MAX(T5,X5)</f>
        <v>42.9</v>
      </c>
      <c r="S5" s="4">
        <f>IF(R5=T5,MAX(V5,X5,Z5),IF(R5=X5,MAX(T5,V5,Z5),0))</f>
        <v>44.6</v>
      </c>
      <c r="T5" s="33">
        <v>39.9</v>
      </c>
      <c r="U5" s="40">
        <v>5.8</v>
      </c>
      <c r="V5" s="34">
        <v>42.8</v>
      </c>
      <c r="W5" s="40">
        <v>7.3</v>
      </c>
      <c r="X5" s="33">
        <v>42.9</v>
      </c>
      <c r="Y5" s="40">
        <v>8.8999999999999986</v>
      </c>
      <c r="Z5" s="34">
        <v>44.6</v>
      </c>
      <c r="AA5" s="37">
        <v>8.8999999999999986</v>
      </c>
    </row>
    <row r="6" spans="1:27" x14ac:dyDescent="0.2">
      <c r="A6" s="1" cm="1">
        <f t="array" ref="A6">IF(I6="","",IF(P6&lt;&gt;"",SUMPRODUCT((P$3:P$45&lt;&gt;"")*(G$3:G$45=G6)*(J$3:J$45&gt;J6)*(I$3:I$45="P"))+1,IF(O6&lt;&gt;"",SUMPRODUCT((O$3:O$45&lt;&gt;"")*(P$3:P$45="")*(G$3:G$45=G6)*(J$3:J$45&gt;J6)*(I$3:I$45="P"))+SUMPRODUCT((P$3:P$45&lt;&gt;"")*(G$3:G$45=G6)*(I$3:I$45="P"))+1,IF(N6&lt;&gt;"",SUMPRODUCT((N$3:N$45&lt;&gt;"")*(G$3:G$45=G6)*(J$3:J$45&gt;J6)*(I$3:I$45="P"))+1,IF(M6="P",SUMPRODUCT((O$3:O$45&lt;&gt;"")*(P$3:P$45="")*(G$3:G$45=G6)*(I$3:I$45="P"))+SUMPRODUCT((P$3:P$45&lt;&gt;"")*(G$3:G$45=G6)*(I$3:I$45="P"))+SUMPRODUCT((N$3:N$45&lt;&gt;"")*(G$3:G$45=G6)*(I$3:I$45="P"))+SUMPRODUCT((P$3:P$45="")*(O$3:O$45="")*(N$3:N$45="")*(M$3:M$45="P")*(G$3:G$45=G6)*(J$3:J$45&gt;J6)*(I$3:I$45="P"))+IF(H6="L5",SUMPRODUCT((P$3:P$45="")*(O$3:O$45="")*(N$3:N$45="")*(M$3:M$45="P")*(G$3:G$45=G6)*(J$3:J$45&lt;J6)*(H$3:H$45&lt;&gt;H6)*(I$3:I$45="P")),-1*SUMPRODUCT((P$3:P$45="")*(O$3:O$45="")*(N$3:N$45="")*(M$3:M$45="P")*(G$3:G$45=G6)*(J$3:J$45&gt;J6)*(H$3:H$45="L5")*(I$3:I$45="P")))+1,"")))))</f>
        <v>4</v>
      </c>
      <c r="B6" s="1" cm="1">
        <f t="array" ref="B6">IF(P6&lt;&gt;"",SUMPRODUCT((P$3:P$77&lt;&gt;"")*(G$3:G$77=G6)*(J$3:J$77&gt;J6))+1,IF(O6&lt;&gt;"",SUMPRODUCT((O$3:O$77&lt;&gt;"")*(P$3:P$77="")*(G$3:G$77=G6)*(J$3:J$77&gt;J6))+SUMPRODUCT((P$3:P$77&lt;&gt;"")*(G$3:G$77=G6))+1,IF(N6&lt;&gt;"",SUMPRODUCT((N$3:N$77&lt;&gt;"")*(G$3:G$77=G6)*(J$3:J$77&gt;J6))+1,IF(M6="P",SUMPRODUCT((O$3:O$77&lt;&gt;"")*(P$3:P$77="")*(G$3:G$77=G6))+SUMPRODUCT((P$3:P$77&lt;&gt;"")*(G$3:G$77=G6))+SUMPRODUCT((N$3:N$77&lt;&gt;"")*(G$3:G$77=G6))+SUMPRODUCT((P$3:P$77="")*(O$3:O$77="")*(N$3:N$77="")*(M$3:M$77="P")*(G$3:G$77=G6)*(J$3:J$77&gt;J6))+IF(H6="L5",SUMPRODUCT((P$3:P$77="")*(O$3:O$77="")*(N$3:N$77="")*(M$3:M$77="P")*(G$3:G$77=G6)*(J$3:J$77&lt;J6)*(H$3:H$77&lt;&gt;H6)),-1*SUMPRODUCT((P$3:P$77="")*(O$3:O$77="")*(N$3:N$77="")*(M$3:M$77="P")*(G$3:G$77=G6)*(J$3:J$77&gt;J6)*(H$3:H$77="L5")))+1,""))))</f>
        <v>4</v>
      </c>
      <c r="C6" s="36" t="s">
        <v>174</v>
      </c>
      <c r="D6" s="36" t="str">
        <f>IF(E6="","",VLOOKUP(E6,'Coaching Points'!A:B,2,0))</f>
        <v>AB</v>
      </c>
      <c r="E6" s="36" t="s">
        <v>58</v>
      </c>
      <c r="F6" s="35">
        <v>2006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74</v>
      </c>
      <c r="I6" s="43" t="s">
        <v>567</v>
      </c>
      <c r="J6" s="4">
        <f>R6+S6+IF(OR(H6="Junior",H6="Senior"),0.0002,IF(OR(H6="L7",H6="L6"),0.0001,0))+MAX(X6,Z6)*0.0000001</f>
        <v>86.900204340000016</v>
      </c>
      <c r="K6" s="3" t="str">
        <f>IF(G6="Not Age Eligible","",IF(MAX(T6,V6,X6,Z6)&gt;=LOOKUP(G6,'Qualifying Scores'!$A$4:$A$7,'Qualifying Scores'!$I$4:$I$7),"P",""))</f>
        <v>P</v>
      </c>
      <c r="L6" s="3" t="str">
        <f>IF(G6="Not Age Eligible","",IF(MAX(U6,W6,Y6,AA6)&gt;=LOOKUP(G6,'Qualifying Scores'!$A$10:$A$13,'Qualifying Scores'!$I$10:$I$13),"P",""))</f>
        <v>P</v>
      </c>
      <c r="M6" s="3" t="str">
        <f>IF(G6="Not Age Eligible","",IF(OR(AND(T6&gt;=LOOKUP(G6,'Qualifying Scores'!$A$4:$A$7,'Qualifying Scores'!$I$4:$I$7),U6&gt;=LOOKUP(G6,'Qualifying Scores'!$A$10:$A$13,'Qualifying Scores'!$I$10:$I$13)),AND(X6&gt;=LOOKUP(G6,'Qualifying Scores'!$A$4:$A$7,'Qualifying Scores'!$I$4:$I$7),Y6&gt;=LOOKUP(G6,'Qualifying Scores'!$A$10:$A$13,'Qualifying Scores'!$I$10:$I$13)),AND(V6&gt;=LOOKUP(G6,'Qualifying Scores'!$A$4:$A$7,'Qualifying Scores'!$I$4:$I$7),W6&gt;=LOOKUP(G6,'Qualifying Scores'!$A$10:$A$13,'Qualifying Scores'!$I$10:$I$13)),AND(Z6&gt;=LOOKUP(G6,'Qualifying Scores'!$A$4:$A$7,'Qualifying Scores'!$I$4:$I$7),AA6&gt;=LOOKUP(G6,'Qualifying Scores'!$A$10:$A$13,'Qualifying Scores'!$I$10:$I$13))),"P",""))</f>
        <v>P</v>
      </c>
      <c r="O6" s="39">
        <v>4</v>
      </c>
      <c r="P6" s="39">
        <v>4</v>
      </c>
      <c r="Q6" s="1">
        <f>IF(A6&lt;5,IF(_xlfn.MAXIFS(A:A,G:G,G6)&gt;3,5-A6,_xlfn.MAXIFS(A:A,G:G,G6)+1-A6),"")</f>
        <v>1</v>
      </c>
      <c r="R6" s="4">
        <f>MAX(T6,X6)</f>
        <v>43.5</v>
      </c>
      <c r="S6" s="4">
        <f>IF(R6=T6,MAX(V6,X6,Z6),IF(R6=X6,MAX(T6,V6,Z6),0))</f>
        <v>43.4</v>
      </c>
      <c r="T6" s="33">
        <v>43.5</v>
      </c>
      <c r="U6" s="40">
        <v>9.3999999999999986</v>
      </c>
      <c r="V6" s="34">
        <v>43.2</v>
      </c>
      <c r="W6" s="40">
        <v>8.6999999999999993</v>
      </c>
      <c r="X6" s="33">
        <v>43.4</v>
      </c>
      <c r="Y6" s="40">
        <v>9.1</v>
      </c>
      <c r="Z6" s="34">
        <v>42.2</v>
      </c>
      <c r="AA6" s="37">
        <v>7.6</v>
      </c>
    </row>
    <row r="7" spans="1:27" x14ac:dyDescent="0.2">
      <c r="A7" s="1" cm="1">
        <f t="array" ref="A7">IF(I7="","",IF(P7&lt;&gt;"",SUMPRODUCT((P$3:P$45&lt;&gt;"")*(G$3:G$45=G7)*(J$3:J$45&gt;J7)*(I$3:I$45="P"))+1,IF(O7&lt;&gt;"",SUMPRODUCT((O$3:O$45&lt;&gt;"")*(P$3:P$45="")*(G$3:G$45=G7)*(J$3:J$45&gt;J7)*(I$3:I$45="P"))+SUMPRODUCT((P$3:P$45&lt;&gt;"")*(G$3:G$45=G7)*(I$3:I$45="P"))+1,IF(N7&lt;&gt;"",SUMPRODUCT((N$3:N$45&lt;&gt;"")*(G$3:G$45=G7)*(J$3:J$45&gt;J7)*(I$3:I$45="P"))+1,IF(M7="P",SUMPRODUCT((O$3:O$45&lt;&gt;"")*(P$3:P$45="")*(G$3:G$45=G7)*(I$3:I$45="P"))+SUMPRODUCT((P$3:P$45&lt;&gt;"")*(G$3:G$45=G7)*(I$3:I$45="P"))+SUMPRODUCT((N$3:N$45&lt;&gt;"")*(G$3:G$45=G7)*(I$3:I$45="P"))+SUMPRODUCT((P$3:P$45="")*(O$3:O$45="")*(N$3:N$45="")*(M$3:M$45="P")*(G$3:G$45=G7)*(J$3:J$45&gt;J7)*(I$3:I$45="P"))+IF(H7="L5",SUMPRODUCT((P$3:P$45="")*(O$3:O$45="")*(N$3:N$45="")*(M$3:M$45="P")*(G$3:G$45=G7)*(J$3:J$45&lt;J7)*(H$3:H$45&lt;&gt;H7)*(I$3:I$45="P")),-1*SUMPRODUCT((P$3:P$45="")*(O$3:O$45="")*(N$3:N$45="")*(M$3:M$45="P")*(G$3:G$45=G7)*(J$3:J$45&gt;J7)*(H$3:H$45="L5")*(I$3:I$45="P")))+1,"")))))</f>
        <v>5</v>
      </c>
      <c r="B7" s="1" cm="1">
        <f t="array" ref="B7">IF(P7&lt;&gt;"",SUMPRODUCT((P$3:P$77&lt;&gt;"")*(G$3:G$77=G7)*(J$3:J$77&gt;J7))+1,IF(O7&lt;&gt;"",SUMPRODUCT((O$3:O$77&lt;&gt;"")*(P$3:P$77="")*(G$3:G$77=G7)*(J$3:J$77&gt;J7))+SUMPRODUCT((P$3:P$77&lt;&gt;"")*(G$3:G$77=G7))+1,IF(N7&lt;&gt;"",SUMPRODUCT((N$3:N$77&lt;&gt;"")*(G$3:G$77=G7)*(J$3:J$77&gt;J7))+1,IF(M7="P",SUMPRODUCT((O$3:O$77&lt;&gt;"")*(P$3:P$77="")*(G$3:G$77=G7))+SUMPRODUCT((P$3:P$77&lt;&gt;"")*(G$3:G$77=G7))+SUMPRODUCT((N$3:N$77&lt;&gt;"")*(G$3:G$77=G7))+SUMPRODUCT((P$3:P$77="")*(O$3:O$77="")*(N$3:N$77="")*(M$3:M$77="P")*(G$3:G$77=G7)*(J$3:J$77&gt;J7))+IF(H7="L5",SUMPRODUCT((P$3:P$77="")*(O$3:O$77="")*(N$3:N$77="")*(M$3:M$77="P")*(G$3:G$77=G7)*(J$3:J$77&lt;J7)*(H$3:H$77&lt;&gt;H7)),-1*SUMPRODUCT((P$3:P$77="")*(O$3:O$77="")*(N$3:N$77="")*(M$3:M$77="P")*(G$3:G$77=G7)*(J$3:J$77&gt;J7)*(H$3:H$77="L5")))+1,""))))</f>
        <v>5</v>
      </c>
      <c r="C7" s="36" t="s">
        <v>556</v>
      </c>
      <c r="D7" s="36" t="str">
        <f>IF(E7="","",VLOOKUP(E7,'Coaching Points'!A:B,2,0))</f>
        <v>AB</v>
      </c>
      <c r="E7" s="36" t="s">
        <v>64</v>
      </c>
      <c r="F7" s="35">
        <v>2002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68</v>
      </c>
      <c r="I7" s="43" t="s">
        <v>567</v>
      </c>
      <c r="J7" s="4">
        <f>R7+S7+IF(OR(H7="Junior",H7="Senior"),0.0002,IF(OR(H7="L7",H7="L6"),0.0001,0))+MAX(X7,Z7)*0.0000001</f>
        <v>86.600104340000001</v>
      </c>
      <c r="K7" s="3" t="str">
        <f>IF(G7="Not Age Eligible","",IF(MAX(T7,V7,X7,Z7)&gt;=LOOKUP(G7,'Qualifying Scores'!$A$4:$A$7,'Qualifying Scores'!$I$4:$I$7),"P",""))</f>
        <v>P</v>
      </c>
      <c r="L7" s="3" t="str">
        <f>IF(G7="Not Age Eligible","",IF(MAX(U7,W7,Y7,AA7)&gt;=LOOKUP(G7,'Qualifying Scores'!$A$10:$A$13,'Qualifying Scores'!$I$10:$I$13),"P",""))</f>
        <v>P</v>
      </c>
      <c r="M7" s="3" t="str">
        <f>IF(G7="Not Age Eligible","",IF(OR(AND(T7&gt;=LOOKUP(G7,'Qualifying Scores'!$A$4:$A$7,'Qualifying Scores'!$I$4:$I$7),U7&gt;=LOOKUP(G7,'Qualifying Scores'!$A$10:$A$13,'Qualifying Scores'!$I$10:$I$13)),AND(X7&gt;=LOOKUP(G7,'Qualifying Scores'!$A$4:$A$7,'Qualifying Scores'!$I$4:$I$7),Y7&gt;=LOOKUP(G7,'Qualifying Scores'!$A$10:$A$13,'Qualifying Scores'!$I$10:$I$13)),AND(V7&gt;=LOOKUP(G7,'Qualifying Scores'!$A$4:$A$7,'Qualifying Scores'!$I$4:$I$7),W7&gt;=LOOKUP(G7,'Qualifying Scores'!$A$10:$A$13,'Qualifying Scores'!$I$10:$I$13)),AND(Z7&gt;=LOOKUP(G7,'Qualifying Scores'!$A$4:$A$7,'Qualifying Scores'!$I$4:$I$7),AA7&gt;=LOOKUP(G7,'Qualifying Scores'!$A$10:$A$13,'Qualifying Scores'!$I$10:$I$13))),"P",""))</f>
        <v>P</v>
      </c>
      <c r="Q7" s="1" t="str">
        <f>IF(A7&lt;5,IF(_xlfn.MAXIFS(A:A,G:G,G7)&gt;3,5-A7,_xlfn.MAXIFS(A:A,G:G,G7)+1-A7),"")</f>
        <v/>
      </c>
      <c r="R7" s="4">
        <f>MAX(T7,X7)</f>
        <v>43.2</v>
      </c>
      <c r="S7" s="4">
        <f>IF(R7=T7,MAX(V7,X7,Z7),IF(R7=X7,MAX(T7,V7,Z7),0))</f>
        <v>43.4</v>
      </c>
      <c r="T7" s="33"/>
      <c r="U7" s="40"/>
      <c r="V7" s="34"/>
      <c r="W7" s="40"/>
      <c r="X7" s="33">
        <v>43.2</v>
      </c>
      <c r="Y7" s="40">
        <v>8</v>
      </c>
      <c r="Z7" s="34">
        <v>43.4</v>
      </c>
      <c r="AA7" s="37">
        <v>8</v>
      </c>
    </row>
    <row r="8" spans="1:27" x14ac:dyDescent="0.2">
      <c r="A8" s="1" cm="1">
        <f t="array" ref="A8">IF(I8="","",IF(P8&lt;&gt;"",SUMPRODUCT((P$3:P$45&lt;&gt;"")*(G$3:G$45=G8)*(J$3:J$45&gt;J8)*(I$3:I$45="P"))+1,IF(O8&lt;&gt;"",SUMPRODUCT((O$3:O$45&lt;&gt;"")*(P$3:P$45="")*(G$3:G$45=G8)*(J$3:J$45&gt;J8)*(I$3:I$45="P"))+SUMPRODUCT((P$3:P$45&lt;&gt;"")*(G$3:G$45=G8)*(I$3:I$45="P"))+1,IF(N8&lt;&gt;"",SUMPRODUCT((N$3:N$45&lt;&gt;"")*(G$3:G$45=G8)*(J$3:J$45&gt;J8)*(I$3:I$45="P"))+1,IF(M8="P",SUMPRODUCT((O$3:O$45&lt;&gt;"")*(P$3:P$45="")*(G$3:G$45=G8)*(I$3:I$45="P"))+SUMPRODUCT((P$3:P$45&lt;&gt;"")*(G$3:G$45=G8)*(I$3:I$45="P"))+SUMPRODUCT((N$3:N$45&lt;&gt;"")*(G$3:G$45=G8)*(I$3:I$45="P"))+SUMPRODUCT((P$3:P$45="")*(O$3:O$45="")*(N$3:N$45="")*(M$3:M$45="P")*(G$3:G$45=G8)*(J$3:J$45&gt;J8)*(I$3:I$45="P"))+IF(H8="L5",SUMPRODUCT((P$3:P$45="")*(O$3:O$45="")*(N$3:N$45="")*(M$3:M$45="P")*(G$3:G$45=G8)*(J$3:J$45&lt;J8)*(H$3:H$45&lt;&gt;H8)*(I$3:I$45="P")),-1*SUMPRODUCT((P$3:P$45="")*(O$3:O$45="")*(N$3:N$45="")*(M$3:M$45="P")*(G$3:G$45=G8)*(J$3:J$45&gt;J8)*(H$3:H$45="L5")*(I$3:I$45="P")))+1,"")))))</f>
        <v>6</v>
      </c>
      <c r="B8" s="1" cm="1">
        <f t="array" ref="B8">IF(P8&lt;&gt;"",SUMPRODUCT((P$3:P$77&lt;&gt;"")*(G$3:G$77=G8)*(J$3:J$77&gt;J8))+1,IF(O8&lt;&gt;"",SUMPRODUCT((O$3:O$77&lt;&gt;"")*(P$3:P$77="")*(G$3:G$77=G8)*(J$3:J$77&gt;J8))+SUMPRODUCT((P$3:P$77&lt;&gt;"")*(G$3:G$77=G8))+1,IF(N8&lt;&gt;"",SUMPRODUCT((N$3:N$77&lt;&gt;"")*(G$3:G$77=G8)*(J$3:J$77&gt;J8))+1,IF(M8="P",SUMPRODUCT((O$3:O$77&lt;&gt;"")*(P$3:P$77="")*(G$3:G$77=G8))+SUMPRODUCT((P$3:P$77&lt;&gt;"")*(G$3:G$77=G8))+SUMPRODUCT((N$3:N$77&lt;&gt;"")*(G$3:G$77=G8))+SUMPRODUCT((P$3:P$77="")*(O$3:O$77="")*(N$3:N$77="")*(M$3:M$77="P")*(G$3:G$77=G8)*(J$3:J$77&gt;J8))+IF(H8="L5",SUMPRODUCT((P$3:P$77="")*(O$3:O$77="")*(N$3:N$77="")*(M$3:M$77="P")*(G$3:G$77=G8)*(J$3:J$77&lt;J8)*(H$3:H$77&lt;&gt;H8)),-1*SUMPRODUCT((P$3:P$77="")*(O$3:O$77="")*(N$3:N$77="")*(M$3:M$77="P")*(G$3:G$77=G8)*(J$3:J$77&gt;J8)*(H$3:H$77="L5")))+1,""))))</f>
        <v>6</v>
      </c>
      <c r="C8" s="36" t="s">
        <v>190</v>
      </c>
      <c r="D8" s="36" t="str">
        <f>IF(E8="","",VLOOKUP(E8,'Coaching Points'!A:B,2,0))</f>
        <v>ON</v>
      </c>
      <c r="E8" s="36" t="s">
        <v>167</v>
      </c>
      <c r="F8" s="35">
        <v>2004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74</v>
      </c>
      <c r="I8" s="43" t="s">
        <v>567</v>
      </c>
      <c r="J8" s="4">
        <f>R8+S8+IF(OR(H8="Junior",H8="Senior"),0.0002,IF(OR(H8="L7",H8="L6"),0.0001,0))+MAX(X8,Z8)*0.0000001</f>
        <v>85.600204349999998</v>
      </c>
      <c r="K8" s="3" t="str">
        <f>IF(G8="Not Age Eligible","",IF(MAX(T8,V8,X8,Z8)&gt;=LOOKUP(G8,'Qualifying Scores'!$A$4:$A$7,'Qualifying Scores'!$I$4:$I$7),"P",""))</f>
        <v>P</v>
      </c>
      <c r="L8" s="3" t="str">
        <f>IF(G8="Not Age Eligible","",IF(MAX(U8,W8,Y8,AA8)&gt;=LOOKUP(G8,'Qualifying Scores'!$A$10:$A$13,'Qualifying Scores'!$I$10:$I$13),"P",""))</f>
        <v>P</v>
      </c>
      <c r="M8" s="3" t="str">
        <f>IF(G8="Not Age Eligible","",IF(OR(AND(T8&gt;=LOOKUP(G8,'Qualifying Scores'!$A$4:$A$7,'Qualifying Scores'!$I$4:$I$7),U8&gt;=LOOKUP(G8,'Qualifying Scores'!$A$10:$A$13,'Qualifying Scores'!$I$10:$I$13)),AND(X8&gt;=LOOKUP(G8,'Qualifying Scores'!$A$4:$A$7,'Qualifying Scores'!$I$4:$I$7),Y8&gt;=LOOKUP(G8,'Qualifying Scores'!$A$10:$A$13,'Qualifying Scores'!$I$10:$I$13)),AND(V8&gt;=LOOKUP(G8,'Qualifying Scores'!$A$4:$A$7,'Qualifying Scores'!$I$4:$I$7),W8&gt;=LOOKUP(G8,'Qualifying Scores'!$A$10:$A$13,'Qualifying Scores'!$I$10:$I$13)),AND(Z8&gt;=LOOKUP(G8,'Qualifying Scores'!$A$4:$A$7,'Qualifying Scores'!$I$4:$I$7),AA8&gt;=LOOKUP(G8,'Qualifying Scores'!$A$10:$A$13,'Qualifying Scores'!$I$10:$I$13))),"P",""))</f>
        <v>P</v>
      </c>
      <c r="Q8" s="1" t="str">
        <f>IF(A8&lt;5,IF(_xlfn.MAXIFS(A:A,G:G,G8)&gt;3,5-A8,_xlfn.MAXIFS(A:A,G:G,G8)+1-A8),"")</f>
        <v/>
      </c>
      <c r="R8" s="4">
        <f>MAX(T8,X8)</f>
        <v>42.1</v>
      </c>
      <c r="S8" s="4">
        <f>IF(R8=T8,MAX(V8,X8,Z8),IF(R8=X8,MAX(T8,V8,Z8),0))</f>
        <v>43.5</v>
      </c>
      <c r="T8" s="33">
        <v>41.2</v>
      </c>
      <c r="U8" s="40">
        <v>7.6999999999999993</v>
      </c>
      <c r="V8" s="34">
        <v>43.3</v>
      </c>
      <c r="W8" s="40">
        <v>8</v>
      </c>
      <c r="X8" s="33">
        <v>42.1</v>
      </c>
      <c r="Y8" s="40">
        <v>8.3999999999999986</v>
      </c>
      <c r="Z8" s="34">
        <v>43.5</v>
      </c>
      <c r="AA8" s="37">
        <v>8.3999999999999986</v>
      </c>
    </row>
    <row r="9" spans="1:27" x14ac:dyDescent="0.2">
      <c r="A9" s="1" cm="1">
        <f t="array" ref="A9">IF(I9="","",IF(P9&lt;&gt;"",SUMPRODUCT((P$3:P$45&lt;&gt;"")*(G$3:G$45=G9)*(J$3:J$45&gt;J9)*(I$3:I$45="P"))+1,IF(O9&lt;&gt;"",SUMPRODUCT((O$3:O$45&lt;&gt;"")*(P$3:P$45="")*(G$3:G$45=G9)*(J$3:J$45&gt;J9)*(I$3:I$45="P"))+SUMPRODUCT((P$3:P$45&lt;&gt;"")*(G$3:G$45=G9)*(I$3:I$45="P"))+1,IF(N9&lt;&gt;"",SUMPRODUCT((N$3:N$45&lt;&gt;"")*(G$3:G$45=G9)*(J$3:J$45&gt;J9)*(I$3:I$45="P"))+1,IF(M9="P",SUMPRODUCT((O$3:O$45&lt;&gt;"")*(P$3:P$45="")*(G$3:G$45=G9)*(I$3:I$45="P"))+SUMPRODUCT((P$3:P$45&lt;&gt;"")*(G$3:G$45=G9)*(I$3:I$45="P"))+SUMPRODUCT((N$3:N$45&lt;&gt;"")*(G$3:G$45=G9)*(I$3:I$45="P"))+SUMPRODUCT((P$3:P$45="")*(O$3:O$45="")*(N$3:N$45="")*(M$3:M$45="P")*(G$3:G$45=G9)*(J$3:J$45&gt;J9)*(I$3:I$45="P"))+IF(H9="L5",SUMPRODUCT((P$3:P$45="")*(O$3:O$45="")*(N$3:N$45="")*(M$3:M$45="P")*(G$3:G$45=G9)*(J$3:J$45&lt;J9)*(H$3:H$45&lt;&gt;H9)*(I$3:I$45="P")),-1*SUMPRODUCT((P$3:P$45="")*(O$3:O$45="")*(N$3:N$45="")*(M$3:M$45="P")*(G$3:G$45=G9)*(J$3:J$45&gt;J9)*(H$3:H$45="L5")*(I$3:I$45="P")))+1,"")))))</f>
        <v>7</v>
      </c>
      <c r="B9" s="1" cm="1">
        <f t="array" ref="B9">IF(P9&lt;&gt;"",SUMPRODUCT((P$3:P$77&lt;&gt;"")*(G$3:G$77=G9)*(J$3:J$77&gt;J9))+1,IF(O9&lt;&gt;"",SUMPRODUCT((O$3:O$77&lt;&gt;"")*(P$3:P$77="")*(G$3:G$77=G9)*(J$3:J$77&gt;J9))+SUMPRODUCT((P$3:P$77&lt;&gt;"")*(G$3:G$77=G9))+1,IF(N9&lt;&gt;"",SUMPRODUCT((N$3:N$77&lt;&gt;"")*(G$3:G$77=G9)*(J$3:J$77&gt;J9))+1,IF(M9="P",SUMPRODUCT((O$3:O$77&lt;&gt;"")*(P$3:P$77="")*(G$3:G$77=G9))+SUMPRODUCT((P$3:P$77&lt;&gt;"")*(G$3:G$77=G9))+SUMPRODUCT((N$3:N$77&lt;&gt;"")*(G$3:G$77=G9))+SUMPRODUCT((P$3:P$77="")*(O$3:O$77="")*(N$3:N$77="")*(M$3:M$77="P")*(G$3:G$77=G9)*(J$3:J$77&gt;J9))+IF(H9="L5",SUMPRODUCT((P$3:P$77="")*(O$3:O$77="")*(N$3:N$77="")*(M$3:M$77="P")*(G$3:G$77=G9)*(J$3:J$77&lt;J9)*(H$3:H$77&lt;&gt;H9)),-1*SUMPRODUCT((P$3:P$77="")*(O$3:O$77="")*(N$3:N$77="")*(M$3:M$77="P")*(G$3:G$77=G9)*(J$3:J$77&gt;J9)*(H$3:H$77="L5")))+1,""))))</f>
        <v>7</v>
      </c>
      <c r="C9" s="36" t="s">
        <v>159</v>
      </c>
      <c r="D9" s="36" t="str">
        <f>IF(E9="","",VLOOKUP(E9,'Coaching Points'!A:B,2,0))</f>
        <v>BC</v>
      </c>
      <c r="E9" s="36" t="s">
        <v>41</v>
      </c>
      <c r="F9" s="35">
        <v>2004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74</v>
      </c>
      <c r="I9" s="43" t="s">
        <v>567</v>
      </c>
      <c r="J9" s="4">
        <f>R9+S9+IF(OR(H9="Junior",H9="Senior"),0.0002,IF(OR(H9="L7",H9="L6"),0.0001,0))+MAX(X9,Z9)*0.0000001</f>
        <v>81.500204280000005</v>
      </c>
      <c r="K9" s="3" t="str">
        <f>IF(G9="Not Age Eligible","",IF(MAX(T9,V9,X9,Z9)&gt;=LOOKUP(G9,'Qualifying Scores'!$A$4:$A$7,'Qualifying Scores'!$I$4:$I$7),"P",""))</f>
        <v>P</v>
      </c>
      <c r="L9" s="3" t="str">
        <f>IF(G9="Not Age Eligible","",IF(MAX(U9,W9,Y9,AA9)&gt;=LOOKUP(G9,'Qualifying Scores'!$A$10:$A$13,'Qualifying Scores'!$I$10:$I$13),"P",""))</f>
        <v>P</v>
      </c>
      <c r="M9" s="3" t="str">
        <f>IF(G9="Not Age Eligible","",IF(OR(AND(T9&gt;=LOOKUP(G9,'Qualifying Scores'!$A$4:$A$7,'Qualifying Scores'!$I$4:$I$7),U9&gt;=LOOKUP(G9,'Qualifying Scores'!$A$10:$A$13,'Qualifying Scores'!$I$10:$I$13)),AND(X9&gt;=LOOKUP(G9,'Qualifying Scores'!$A$4:$A$7,'Qualifying Scores'!$I$4:$I$7),Y9&gt;=LOOKUP(G9,'Qualifying Scores'!$A$10:$A$13,'Qualifying Scores'!$I$10:$I$13)),AND(V9&gt;=LOOKUP(G9,'Qualifying Scores'!$A$4:$A$7,'Qualifying Scores'!$I$4:$I$7),W9&gt;=LOOKUP(G9,'Qualifying Scores'!$A$10:$A$13,'Qualifying Scores'!$I$10:$I$13)),AND(Z9&gt;=LOOKUP(G9,'Qualifying Scores'!$A$4:$A$7,'Qualifying Scores'!$I$4:$I$7),AA9&gt;=LOOKUP(G9,'Qualifying Scores'!$A$10:$A$13,'Qualifying Scores'!$I$10:$I$13))),"P",""))</f>
        <v>P</v>
      </c>
      <c r="Q9" s="1" t="str">
        <f>IF(A9&lt;5,IF(_xlfn.MAXIFS(A:A,G:G,G9)&gt;3,5-A9,_xlfn.MAXIFS(A:A,G:G,G9)+1-A9),"")</f>
        <v/>
      </c>
      <c r="R9" s="4">
        <f>MAX(T9,X9)</f>
        <v>38.700000000000003</v>
      </c>
      <c r="S9" s="4">
        <f>IF(R9=T9,MAX(V9,X9,Z9),IF(R9=X9,MAX(T9,V9,Z9),0))</f>
        <v>42.8</v>
      </c>
      <c r="T9" s="33">
        <v>37.5</v>
      </c>
      <c r="U9" s="40">
        <v>8</v>
      </c>
      <c r="V9" s="34">
        <v>42.2</v>
      </c>
      <c r="W9" s="40">
        <v>8.3999999999999986</v>
      </c>
      <c r="X9" s="33">
        <v>38.700000000000003</v>
      </c>
      <c r="Y9" s="40">
        <v>8.6999999999999993</v>
      </c>
      <c r="Z9" s="34">
        <v>42.8</v>
      </c>
      <c r="AA9" s="37">
        <v>10.1</v>
      </c>
    </row>
    <row r="10" spans="1:27" x14ac:dyDescent="0.2">
      <c r="A10" s="1" cm="1">
        <f t="array" ref="A10">IF(I10="","",IF(P10&lt;&gt;"",SUMPRODUCT((P$3:P$45&lt;&gt;"")*(G$3:G$45=G10)*(J$3:J$45&gt;J10)*(I$3:I$45="P"))+1,IF(O10&lt;&gt;"",SUMPRODUCT((O$3:O$45&lt;&gt;"")*(P$3:P$45="")*(G$3:G$45=G10)*(J$3:J$45&gt;J10)*(I$3:I$45="P"))+SUMPRODUCT((P$3:P$45&lt;&gt;"")*(G$3:G$45=G10)*(I$3:I$45="P"))+1,IF(N10&lt;&gt;"",SUMPRODUCT((N$3:N$45&lt;&gt;"")*(G$3:G$45=G10)*(J$3:J$45&gt;J10)*(I$3:I$45="P"))+1,IF(M10="P",SUMPRODUCT((O$3:O$45&lt;&gt;"")*(P$3:P$45="")*(G$3:G$45=G10)*(I$3:I$45="P"))+SUMPRODUCT((P$3:P$45&lt;&gt;"")*(G$3:G$45=G10)*(I$3:I$45="P"))+SUMPRODUCT((N$3:N$45&lt;&gt;"")*(G$3:G$45=G10)*(I$3:I$45="P"))+SUMPRODUCT((P$3:P$45="")*(O$3:O$45="")*(N$3:N$45="")*(M$3:M$45="P")*(G$3:G$45=G10)*(J$3:J$45&gt;J10)*(I$3:I$45="P"))+IF(H10="L5",SUMPRODUCT((P$3:P$45="")*(O$3:O$45="")*(N$3:N$45="")*(M$3:M$45="P")*(G$3:G$45=G10)*(J$3:J$45&lt;J10)*(H$3:H$45&lt;&gt;H10)*(I$3:I$45="P")),-1*SUMPRODUCT((P$3:P$45="")*(O$3:O$45="")*(N$3:N$45="")*(M$3:M$45="P")*(G$3:G$45=G10)*(J$3:J$45&gt;J10)*(H$3:H$45="L5")*(I$3:I$45="P")))+1,"")))))</f>
        <v>8</v>
      </c>
      <c r="B10" s="1" cm="1">
        <f t="array" ref="B10">IF(P10&lt;&gt;"",SUMPRODUCT((P$3:P$77&lt;&gt;"")*(G$3:G$77=G10)*(J$3:J$77&gt;J10))+1,IF(O10&lt;&gt;"",SUMPRODUCT((O$3:O$77&lt;&gt;"")*(P$3:P$77="")*(G$3:G$77=G10)*(J$3:J$77&gt;J10))+SUMPRODUCT((P$3:P$77&lt;&gt;"")*(G$3:G$77=G10))+1,IF(N10&lt;&gt;"",SUMPRODUCT((N$3:N$77&lt;&gt;"")*(G$3:G$77=G10)*(J$3:J$77&gt;J10))+1,IF(M10="P",SUMPRODUCT((O$3:O$77&lt;&gt;"")*(P$3:P$77="")*(G$3:G$77=G10))+SUMPRODUCT((P$3:P$77&lt;&gt;"")*(G$3:G$77=G10))+SUMPRODUCT((N$3:N$77&lt;&gt;"")*(G$3:G$77=G10))+SUMPRODUCT((P$3:P$77="")*(O$3:O$77="")*(N$3:N$77="")*(M$3:M$77="P")*(G$3:G$77=G10)*(J$3:J$77&gt;J10))+IF(H10="L5",SUMPRODUCT((P$3:P$77="")*(O$3:O$77="")*(N$3:N$77="")*(M$3:M$77="P")*(G$3:G$77=G10)*(J$3:J$77&lt;J10)*(H$3:H$77&lt;&gt;H10)),-1*SUMPRODUCT((P$3:P$77="")*(O$3:O$77="")*(N$3:N$77="")*(M$3:M$77="P")*(G$3:G$77=G10)*(J$3:J$77&gt;J10)*(H$3:H$77="L5")))+1,""))))</f>
        <v>8</v>
      </c>
      <c r="C10" s="36" t="s">
        <v>356</v>
      </c>
      <c r="D10" s="36" t="str">
        <f>IF(E10="","",VLOOKUP(E10,'Coaching Points'!A:B,2,0))</f>
        <v>AB</v>
      </c>
      <c r="E10" s="36" t="s">
        <v>63</v>
      </c>
      <c r="F10" s="35">
        <v>2005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68</v>
      </c>
      <c r="I10" s="43" t="s">
        <v>567</v>
      </c>
      <c r="J10" s="4">
        <f>R10+S10+IF(OR(H10="Junior",H10="Senior"),0.0002,IF(OR(H10="L7",H10="L6"),0.0001,0))+MAX(X10,Z10)*0.0000001</f>
        <v>79.900104220000003</v>
      </c>
      <c r="K10" s="3" t="str">
        <f>IF(G10="Not Age Eligible","",IF(MAX(T10,V10,X10,Z10)&gt;=LOOKUP(G10,'Qualifying Scores'!$A$4:$A$7,'Qualifying Scores'!$I$4:$I$7),"P",""))</f>
        <v>P</v>
      </c>
      <c r="L10" s="3" t="str">
        <f>IF(G10="Not Age Eligible","",IF(MAX(U10,W10,Y10,AA10)&gt;=LOOKUP(G10,'Qualifying Scores'!$A$10:$A$13,'Qualifying Scores'!$I$10:$I$13),"P",""))</f>
        <v>P</v>
      </c>
      <c r="M10" s="3" t="str">
        <f>IF(G10="Not Age Eligible","",IF(OR(AND(T10&gt;=LOOKUP(G10,'Qualifying Scores'!$A$4:$A$7,'Qualifying Scores'!$I$4:$I$7),U10&gt;=LOOKUP(G10,'Qualifying Scores'!$A$10:$A$13,'Qualifying Scores'!$I$10:$I$13)),AND(X10&gt;=LOOKUP(G10,'Qualifying Scores'!$A$4:$A$7,'Qualifying Scores'!$I$4:$I$7),Y10&gt;=LOOKUP(G10,'Qualifying Scores'!$A$10:$A$13,'Qualifying Scores'!$I$10:$I$13)),AND(V10&gt;=LOOKUP(G10,'Qualifying Scores'!$A$4:$A$7,'Qualifying Scores'!$I$4:$I$7),W10&gt;=LOOKUP(G10,'Qualifying Scores'!$A$10:$A$13,'Qualifying Scores'!$I$10:$I$13)),AND(Z10&gt;=LOOKUP(G10,'Qualifying Scores'!$A$4:$A$7,'Qualifying Scores'!$I$4:$I$7),AA10&gt;=LOOKUP(G10,'Qualifying Scores'!$A$10:$A$13,'Qualifying Scores'!$I$10:$I$13))),"P",""))</f>
        <v>P</v>
      </c>
      <c r="Q10" s="1" t="str">
        <f>IF(A10&lt;5,IF(_xlfn.MAXIFS(A:A,G:G,G10)&gt;3,5-A10,_xlfn.MAXIFS(A:A,G:G,G10)+1-A10),"")</f>
        <v/>
      </c>
      <c r="R10" s="4">
        <f>MAX(T10,X10)</f>
        <v>37.6</v>
      </c>
      <c r="S10" s="4">
        <f>IF(R10=T10,MAX(V10,X10,Z10),IF(R10=X10,MAX(T10,V10,Z10),0))</f>
        <v>42.3</v>
      </c>
      <c r="T10" s="33">
        <v>31.8</v>
      </c>
      <c r="U10" s="40">
        <v>3.4000000000000004</v>
      </c>
      <c r="V10" s="34">
        <v>42.3</v>
      </c>
      <c r="W10" s="40">
        <v>8</v>
      </c>
      <c r="X10" s="33">
        <v>37.6</v>
      </c>
      <c r="Y10" s="40">
        <v>5.8000000000000007</v>
      </c>
      <c r="Z10" s="34">
        <v>42.2</v>
      </c>
      <c r="AA10" s="37">
        <v>8</v>
      </c>
    </row>
    <row r="11" spans="1:27" x14ac:dyDescent="0.2">
      <c r="A11" s="1" t="str" cm="1">
        <f t="array" ref="A11">IF(I11="","",IF(P11&lt;&gt;"",SUMPRODUCT((P$3:P$45&lt;&gt;"")*(G$3:G$45=G11)*(J$3:J$45&gt;J11)*(I$3:I$45="P"))+1,IF(O11&lt;&gt;"",SUMPRODUCT((O$3:O$45&lt;&gt;"")*(P$3:P$45="")*(G$3:G$45=G11)*(J$3:J$45&gt;J11)*(I$3:I$45="P"))+SUMPRODUCT((P$3:P$45&lt;&gt;"")*(G$3:G$45=G11)*(I$3:I$45="P"))+1,IF(N11&lt;&gt;"",SUMPRODUCT((N$3:N$45&lt;&gt;"")*(G$3:G$45=G11)*(J$3:J$45&gt;J11)*(I$3:I$45="P"))+1,IF(M11="P",SUMPRODUCT((O$3:O$45&lt;&gt;"")*(P$3:P$45="")*(G$3:G$45=G11)*(I$3:I$45="P"))+SUMPRODUCT((P$3:P$45&lt;&gt;"")*(G$3:G$45=G11)*(I$3:I$45="P"))+SUMPRODUCT((N$3:N$45&lt;&gt;"")*(G$3:G$45=G11)*(I$3:I$45="P"))+SUMPRODUCT((P$3:P$45="")*(O$3:O$45="")*(N$3:N$45="")*(M$3:M$45="P")*(G$3:G$45=G11)*(J$3:J$45&gt;J11)*(I$3:I$45="P"))+IF(H11="L5",SUMPRODUCT((P$3:P$45="")*(O$3:O$45="")*(N$3:N$45="")*(M$3:M$45="P")*(G$3:G$45=G11)*(J$3:J$45&lt;J11)*(H$3:H$45&lt;&gt;H11)*(I$3:I$45="P")),-1*SUMPRODUCT((P$3:P$45="")*(O$3:O$45="")*(N$3:N$45="")*(M$3:M$45="P")*(G$3:G$45=G11)*(J$3:J$45&gt;J11)*(H$3:H$45="L5")*(I$3:I$45="P")))+1,"")))))</f>
        <v/>
      </c>
      <c r="B11" s="1" t="str" cm="1">
        <f t="array" ref="B11">IF(P11&lt;&gt;"",SUMPRODUCT((P$3:P$77&lt;&gt;"")*(G$3:G$77=G11)*(J$3:J$77&gt;J11))+1,IF(O11&lt;&gt;"",SUMPRODUCT((O$3:O$77&lt;&gt;"")*(P$3:P$77="")*(G$3:G$77=G11)*(J$3:J$77&gt;J11))+SUMPRODUCT((P$3:P$77&lt;&gt;"")*(G$3:G$77=G11))+1,IF(N11&lt;&gt;"",SUMPRODUCT((N$3:N$77&lt;&gt;"")*(G$3:G$77=G11)*(J$3:J$77&gt;J11))+1,IF(M11="P",SUMPRODUCT((O$3:O$77&lt;&gt;"")*(P$3:P$77="")*(G$3:G$77=G11))+SUMPRODUCT((P$3:P$77&lt;&gt;"")*(G$3:G$77=G11))+SUMPRODUCT((N$3:N$77&lt;&gt;"")*(G$3:G$77=G11))+SUMPRODUCT((P$3:P$77="")*(O$3:O$77="")*(N$3:N$77="")*(M$3:M$77="P")*(G$3:G$77=G11)*(J$3:J$77&gt;J11))+IF(H11="L5",SUMPRODUCT((P$3:P$77="")*(O$3:O$77="")*(N$3:N$77="")*(M$3:M$77="P")*(G$3:G$77=G11)*(J$3:J$77&lt;J11)*(H$3:H$77&lt;&gt;H11)),-1*SUMPRODUCT((P$3:P$77="")*(O$3:O$77="")*(N$3:N$77="")*(M$3:M$77="P")*(G$3:G$77=G11)*(J$3:J$77&gt;J11)*(H$3:H$77="L5")))+1,""))))</f>
        <v/>
      </c>
      <c r="C11" s="36" t="s">
        <v>188</v>
      </c>
      <c r="D11" s="36" t="str">
        <f>IF(E11="","",VLOOKUP(E11,'Coaching Points'!A:B,2,0))</f>
        <v>QC</v>
      </c>
      <c r="E11" s="36" t="s">
        <v>202</v>
      </c>
      <c r="F11" s="35">
        <v>2005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68</v>
      </c>
      <c r="I11" s="43"/>
      <c r="J11" s="4">
        <f>R11+S11+IF(OR(H11="Junior",H11="Senior"),0.0002,IF(OR(H11="L7",H11="L6"),0.0001,0))+MAX(X11,Z11)*0.0000001</f>
        <v>82.500104239999999</v>
      </c>
      <c r="K11" s="3" t="str">
        <f>IF(G11="Not Age Eligible","",IF(MAX(T11,V11,X11,Z11)&gt;=LOOKUP(G11,'Qualifying Scores'!$A$4:$A$7,'Qualifying Scores'!$I$4:$I$7),"P",""))</f>
        <v>P</v>
      </c>
      <c r="L11" s="3" t="str">
        <f>IF(G11="Not Age Eligible","",IF(MAX(U11,W11,Y11,AA11)&gt;=LOOKUP(G11,'Qualifying Scores'!$A$10:$A$13,'Qualifying Scores'!$I$10:$I$13),"P",""))</f>
        <v/>
      </c>
      <c r="M11" s="3" t="str">
        <f>IF(G11="Not Age Eligible","",IF(OR(AND(T11&gt;=LOOKUP(G11,'Qualifying Scores'!$A$4:$A$7,'Qualifying Scores'!$I$4:$I$7),U11&gt;=LOOKUP(G11,'Qualifying Scores'!$A$10:$A$13,'Qualifying Scores'!$I$10:$I$13)),AND(X11&gt;=LOOKUP(G11,'Qualifying Scores'!$A$4:$A$7,'Qualifying Scores'!$I$4:$I$7),Y11&gt;=LOOKUP(G11,'Qualifying Scores'!$A$10:$A$13,'Qualifying Scores'!$I$10:$I$13)),AND(V11&gt;=LOOKUP(G11,'Qualifying Scores'!$A$4:$A$7,'Qualifying Scores'!$I$4:$I$7),W11&gt;=LOOKUP(G11,'Qualifying Scores'!$A$10:$A$13,'Qualifying Scores'!$I$10:$I$13)),AND(Z11&gt;=LOOKUP(G11,'Qualifying Scores'!$A$4:$A$7,'Qualifying Scores'!$I$4:$I$7),AA11&gt;=LOOKUP(G11,'Qualifying Scores'!$A$10:$A$13,'Qualifying Scores'!$I$10:$I$13))),"P",""))</f>
        <v/>
      </c>
      <c r="Q11" s="1" t="str">
        <f>IF(A11&lt;5,IF(_xlfn.MAXIFS(A:A,G:G,G11)&gt;3,5-A11,_xlfn.MAXIFS(A:A,G:G,G11)+1-A11),"")</f>
        <v/>
      </c>
      <c r="R11" s="4">
        <f>MAX(T11,X11)</f>
        <v>40.1</v>
      </c>
      <c r="S11" s="4">
        <f>IF(R11=T11,MAX(V11,X11,Z11),IF(R11=X11,MAX(T11,V11,Z11),0))</f>
        <v>42.4</v>
      </c>
      <c r="T11" s="33">
        <v>37.86</v>
      </c>
      <c r="U11" s="40">
        <v>4.4000000000000004</v>
      </c>
      <c r="V11" s="34">
        <v>40.9</v>
      </c>
      <c r="W11" s="40">
        <v>6.4</v>
      </c>
      <c r="X11" s="33">
        <v>40.1</v>
      </c>
      <c r="Y11" s="40">
        <v>7.1</v>
      </c>
      <c r="Z11" s="34">
        <v>42.4</v>
      </c>
      <c r="AA11" s="37">
        <v>7.8</v>
      </c>
    </row>
    <row r="12" spans="1:27" x14ac:dyDescent="0.2">
      <c r="A12" s="1" t="str" cm="1">
        <f t="array" ref="A12">IF(I12="","",IF(P12&lt;&gt;"",SUMPRODUCT((P$3:P$45&lt;&gt;"")*(G$3:G$45=G12)*(J$3:J$45&gt;J12)*(I$3:I$45="P"))+1,IF(O12&lt;&gt;"",SUMPRODUCT((O$3:O$45&lt;&gt;"")*(P$3:P$45="")*(G$3:G$45=G12)*(J$3:J$45&gt;J12)*(I$3:I$45="P"))+SUMPRODUCT((P$3:P$45&lt;&gt;"")*(G$3:G$45=G12)*(I$3:I$45="P"))+1,IF(N12&lt;&gt;"",SUMPRODUCT((N$3:N$45&lt;&gt;"")*(G$3:G$45=G12)*(J$3:J$45&gt;J12)*(I$3:I$45="P"))+1,IF(M12="P",SUMPRODUCT((O$3:O$45&lt;&gt;"")*(P$3:P$45="")*(G$3:G$45=G12)*(I$3:I$45="P"))+SUMPRODUCT((P$3:P$45&lt;&gt;"")*(G$3:G$45=G12)*(I$3:I$45="P"))+SUMPRODUCT((N$3:N$45&lt;&gt;"")*(G$3:G$45=G12)*(I$3:I$45="P"))+SUMPRODUCT((P$3:P$45="")*(O$3:O$45="")*(N$3:N$45="")*(M$3:M$45="P")*(G$3:G$45=G12)*(J$3:J$45&gt;J12)*(I$3:I$45="P"))+IF(H12="L5",SUMPRODUCT((P$3:P$45="")*(O$3:O$45="")*(N$3:N$45="")*(M$3:M$45="P")*(G$3:G$45=G12)*(J$3:J$45&lt;J12)*(H$3:H$45&lt;&gt;H12)*(I$3:I$45="P")),-1*SUMPRODUCT((P$3:P$45="")*(O$3:O$45="")*(N$3:N$45="")*(M$3:M$45="P")*(G$3:G$45=G12)*(J$3:J$45&gt;J12)*(H$3:H$45="L5")*(I$3:I$45="P")))+1,"")))))</f>
        <v/>
      </c>
      <c r="B12" s="1" t="str" cm="1">
        <f t="array" ref="B12">IF(P12&lt;&gt;"",SUMPRODUCT((P$3:P$77&lt;&gt;"")*(G$3:G$77=G12)*(J$3:J$77&gt;J12))+1,IF(O12&lt;&gt;"",SUMPRODUCT((O$3:O$77&lt;&gt;"")*(P$3:P$77="")*(G$3:G$77=G12)*(J$3:J$77&gt;J12))+SUMPRODUCT((P$3:P$77&lt;&gt;"")*(G$3:G$77=G12))+1,IF(N12&lt;&gt;"",SUMPRODUCT((N$3:N$77&lt;&gt;"")*(G$3:G$77=G12)*(J$3:J$77&gt;J12))+1,IF(M12="P",SUMPRODUCT((O$3:O$77&lt;&gt;"")*(P$3:P$77="")*(G$3:G$77=G12))+SUMPRODUCT((P$3:P$77&lt;&gt;"")*(G$3:G$77=G12))+SUMPRODUCT((N$3:N$77&lt;&gt;"")*(G$3:G$77=G12))+SUMPRODUCT((P$3:P$77="")*(O$3:O$77="")*(N$3:N$77="")*(M$3:M$77="P")*(G$3:G$77=G12)*(J$3:J$77&gt;J12))+IF(H12="L5",SUMPRODUCT((P$3:P$77="")*(O$3:O$77="")*(N$3:N$77="")*(M$3:M$77="P")*(G$3:G$77=G12)*(J$3:J$77&lt;J12)*(H$3:H$77&lt;&gt;H12)),-1*SUMPRODUCT((P$3:P$77="")*(O$3:O$77="")*(N$3:N$77="")*(M$3:M$77="P")*(G$3:G$77=G12)*(J$3:J$77&gt;J12)*(H$3:H$77="L5")))+1,""))))</f>
        <v/>
      </c>
      <c r="C12" s="36" t="s">
        <v>191</v>
      </c>
      <c r="D12" s="36" t="str">
        <f>IF(E12="","",VLOOKUP(E12,'Coaching Points'!A:B,2,0))</f>
        <v>ON</v>
      </c>
      <c r="E12" s="36" t="s">
        <v>47</v>
      </c>
      <c r="F12" s="35">
        <v>2004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 t="s">
        <v>567</v>
      </c>
      <c r="J12" s="4">
        <f>R12+S12+IF(OR(H12="Junior",H12="Senior"),0.0002,IF(OR(H12="L7",H12="L6"),0.0001,0))+MAX(X12,Z12)*0.0000001</f>
        <v>82.100104090000002</v>
      </c>
      <c r="K12" s="3" t="str">
        <f>IF(G12="Not Age Eligible","",IF(MAX(T12,V12,X12,Z12)&gt;=LOOKUP(G12,'Qualifying Scores'!$A$4:$A$7,'Qualifying Scores'!$I$4:$I$7),"P",""))</f>
        <v/>
      </c>
      <c r="L12" s="3" t="str">
        <f>IF(G12="Not Age Eligible","",IF(MAX(U12,W12,Y12,AA12)&gt;=LOOKUP(G12,'Qualifying Scores'!$A$10:$A$13,'Qualifying Scores'!$I$10:$I$13),"P",""))</f>
        <v>P</v>
      </c>
      <c r="M12" s="3" t="str">
        <f>IF(G12="Not Age Eligible","",IF(OR(AND(T12&gt;=LOOKUP(G12,'Qualifying Scores'!$A$4:$A$7,'Qualifying Scores'!$I$4:$I$7),U12&gt;=LOOKUP(G12,'Qualifying Scores'!$A$10:$A$13,'Qualifying Scores'!$I$10:$I$13)),AND(X12&gt;=LOOKUP(G12,'Qualifying Scores'!$A$4:$A$7,'Qualifying Scores'!$I$4:$I$7),Y12&gt;=LOOKUP(G12,'Qualifying Scores'!$A$10:$A$13,'Qualifying Scores'!$I$10:$I$13)),AND(V12&gt;=LOOKUP(G12,'Qualifying Scores'!$A$4:$A$7,'Qualifying Scores'!$I$4:$I$7),W12&gt;=LOOKUP(G12,'Qualifying Scores'!$A$10:$A$13,'Qualifying Scores'!$I$10:$I$13)),AND(Z12&gt;=LOOKUP(G12,'Qualifying Scores'!$A$4:$A$7,'Qualifying Scores'!$I$4:$I$7),AA12&gt;=LOOKUP(G12,'Qualifying Scores'!$A$10:$A$13,'Qualifying Scores'!$I$10:$I$13))),"P",""))</f>
        <v/>
      </c>
      <c r="Q12" s="1" t="str">
        <f>IF(A12&lt;5,IF(_xlfn.MAXIFS(A:A,G:G,G12)&gt;3,5-A12,_xlfn.MAXIFS(A:A,G:G,G12)+1-A12),"")</f>
        <v/>
      </c>
      <c r="R12" s="4">
        <f>MAX(T12,X12)</f>
        <v>40.9</v>
      </c>
      <c r="S12" s="4">
        <f>IF(R12=T12,MAX(V12,X12,Z12),IF(R12=X12,MAX(T12,V12,Z12),0))</f>
        <v>41.2</v>
      </c>
      <c r="T12" s="33">
        <v>40.299999999999997</v>
      </c>
      <c r="U12" s="40">
        <v>7.1</v>
      </c>
      <c r="V12" s="34">
        <v>41.2</v>
      </c>
      <c r="W12" s="40">
        <v>7.1</v>
      </c>
      <c r="X12" s="33">
        <v>40.9</v>
      </c>
      <c r="Y12" s="40">
        <v>8</v>
      </c>
      <c r="Z12" s="34">
        <v>38.700000000000003</v>
      </c>
      <c r="AA12" s="37">
        <v>5.8</v>
      </c>
    </row>
    <row r="13" spans="1:27" x14ac:dyDescent="0.2">
      <c r="A13" s="1" t="str" cm="1">
        <f t="array" ref="A13">IF(I13="","",IF(P13&lt;&gt;"",SUMPRODUCT((P$3:P$45&lt;&gt;"")*(G$3:G$45=G13)*(J$3:J$45&gt;J13)*(I$3:I$45="P"))+1,IF(O13&lt;&gt;"",SUMPRODUCT((O$3:O$45&lt;&gt;"")*(P$3:P$45="")*(G$3:G$45=G13)*(J$3:J$45&gt;J13)*(I$3:I$45="P"))+SUMPRODUCT((P$3:P$45&lt;&gt;"")*(G$3:G$45=G13)*(I$3:I$45="P"))+1,IF(N13&lt;&gt;"",SUMPRODUCT((N$3:N$45&lt;&gt;"")*(G$3:G$45=G13)*(J$3:J$45&gt;J13)*(I$3:I$45="P"))+1,IF(M13="P",SUMPRODUCT((O$3:O$45&lt;&gt;"")*(P$3:P$45="")*(G$3:G$45=G13)*(I$3:I$45="P"))+SUMPRODUCT((P$3:P$45&lt;&gt;"")*(G$3:G$45=G13)*(I$3:I$45="P"))+SUMPRODUCT((N$3:N$45&lt;&gt;"")*(G$3:G$45=G13)*(I$3:I$45="P"))+SUMPRODUCT((P$3:P$45="")*(O$3:O$45="")*(N$3:N$45="")*(M$3:M$45="P")*(G$3:G$45=G13)*(J$3:J$45&gt;J13)*(I$3:I$45="P"))+IF(H13="L5",SUMPRODUCT((P$3:P$45="")*(O$3:O$45="")*(N$3:N$45="")*(M$3:M$45="P")*(G$3:G$45=G13)*(J$3:J$45&lt;J13)*(H$3:H$45&lt;&gt;H13)*(I$3:I$45="P")),-1*SUMPRODUCT((P$3:P$45="")*(O$3:O$45="")*(N$3:N$45="")*(M$3:M$45="P")*(G$3:G$45=G13)*(J$3:J$45&gt;J13)*(H$3:H$45="L5")*(I$3:I$45="P")))+1,"")))))</f>
        <v/>
      </c>
      <c r="B13" s="1" t="str" cm="1">
        <f t="array" ref="B13">IF(P13&lt;&gt;"",SUMPRODUCT((P$3:P$77&lt;&gt;"")*(G$3:G$77=G13)*(J$3:J$77&gt;J13))+1,IF(O13&lt;&gt;"",SUMPRODUCT((O$3:O$77&lt;&gt;"")*(P$3:P$77="")*(G$3:G$77=G13)*(J$3:J$77&gt;J13))+SUMPRODUCT((P$3:P$77&lt;&gt;"")*(G$3:G$77=G13))+1,IF(N13&lt;&gt;"",SUMPRODUCT((N$3:N$77&lt;&gt;"")*(G$3:G$77=G13)*(J$3:J$77&gt;J13))+1,IF(M13="P",SUMPRODUCT((O$3:O$77&lt;&gt;"")*(P$3:P$77="")*(G$3:G$77=G13))+SUMPRODUCT((P$3:P$77&lt;&gt;"")*(G$3:G$77=G13))+SUMPRODUCT((N$3:N$77&lt;&gt;"")*(G$3:G$77=G13))+SUMPRODUCT((P$3:P$77="")*(O$3:O$77="")*(N$3:N$77="")*(M$3:M$77="P")*(G$3:G$77=G13)*(J$3:J$77&gt;J13))+IF(H13="L5",SUMPRODUCT((P$3:P$77="")*(O$3:O$77="")*(N$3:N$77="")*(M$3:M$77="P")*(G$3:G$77=G13)*(J$3:J$77&lt;J13)*(H$3:H$77&lt;&gt;H13)),-1*SUMPRODUCT((P$3:P$77="")*(O$3:O$77="")*(N$3:N$77="")*(M$3:M$77="P")*(G$3:G$77=G13)*(J$3:J$77&gt;J13)*(H$3:H$77="L5")))+1,""))))</f>
        <v/>
      </c>
      <c r="C13" s="36" t="s">
        <v>184</v>
      </c>
      <c r="D13" s="36" t="str">
        <f>IF(E13="","",VLOOKUP(E13,'Coaching Points'!A:B,2,0))</f>
        <v>ON</v>
      </c>
      <c r="E13" s="36" t="s">
        <v>47</v>
      </c>
      <c r="F13" s="35">
        <v>2004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 t="s">
        <v>567</v>
      </c>
      <c r="J13" s="4">
        <f>R13+S13+IF(OR(H13="Junior",H13="Senior"),0.0002,IF(OR(H13="L7",H13="L6"),0.0001,0))+MAX(X13,Z13)*0.0000001</f>
        <v>80.50010417</v>
      </c>
      <c r="K13" s="3" t="str">
        <f>IF(G13="Not Age Eligible","",IF(MAX(T13,V13,X13,Z13)&gt;=LOOKUP(G13,'Qualifying Scores'!$A$4:$A$7,'Qualifying Scores'!$I$4:$I$7),"P",""))</f>
        <v/>
      </c>
      <c r="L13" s="3" t="str">
        <f>IF(G13="Not Age Eligible","",IF(MAX(U13,W13,Y13,AA13)&gt;=LOOKUP(G13,'Qualifying Scores'!$A$10:$A$13,'Qualifying Scores'!$I$10:$I$13),"P",""))</f>
        <v>P</v>
      </c>
      <c r="M13" s="3" t="str">
        <f>IF(G13="Not Age Eligible","",IF(OR(AND(T13&gt;=LOOKUP(G13,'Qualifying Scores'!$A$4:$A$7,'Qualifying Scores'!$I$4:$I$7),U13&gt;=LOOKUP(G13,'Qualifying Scores'!$A$10:$A$13,'Qualifying Scores'!$I$10:$I$13)),AND(X13&gt;=LOOKUP(G13,'Qualifying Scores'!$A$4:$A$7,'Qualifying Scores'!$I$4:$I$7),Y13&gt;=LOOKUP(G13,'Qualifying Scores'!$A$10:$A$13,'Qualifying Scores'!$I$10:$I$13)),AND(V13&gt;=LOOKUP(G13,'Qualifying Scores'!$A$4:$A$7,'Qualifying Scores'!$I$4:$I$7),W13&gt;=LOOKUP(G13,'Qualifying Scores'!$A$10:$A$13,'Qualifying Scores'!$I$10:$I$13)),AND(Z13&gt;=LOOKUP(G13,'Qualifying Scores'!$A$4:$A$7,'Qualifying Scores'!$I$4:$I$7),AA13&gt;=LOOKUP(G13,'Qualifying Scores'!$A$10:$A$13,'Qualifying Scores'!$I$10:$I$13))),"P",""))</f>
        <v/>
      </c>
      <c r="Q13" s="1" t="str">
        <f>IF(A13&lt;5,IF(_xlfn.MAXIFS(A:A,G:G,G13)&gt;3,5-A13,_xlfn.MAXIFS(A:A,G:G,G13)+1-A13),"")</f>
        <v/>
      </c>
      <c r="R13" s="4">
        <f>MAX(T13,X13)</f>
        <v>41.7</v>
      </c>
      <c r="S13" s="4">
        <f>IF(R13=T13,MAX(V13,X13,Z13),IF(R13=X13,MAX(T13,V13,Z13),0))</f>
        <v>38.799999999999997</v>
      </c>
      <c r="T13" s="33">
        <v>38.799999999999997</v>
      </c>
      <c r="U13" s="40">
        <v>6.1999999999999993</v>
      </c>
      <c r="V13" s="34">
        <v>37</v>
      </c>
      <c r="W13" s="40">
        <v>6.1999999999999993</v>
      </c>
      <c r="X13" s="33">
        <v>41.7</v>
      </c>
      <c r="Y13" s="40">
        <v>8</v>
      </c>
      <c r="Z13" s="34">
        <v>38.1</v>
      </c>
      <c r="AA13" s="37">
        <v>5.8</v>
      </c>
    </row>
    <row r="14" spans="1:27" x14ac:dyDescent="0.2">
      <c r="A14" s="1" t="str" cm="1">
        <f t="array" ref="A14">IF(I14="","",IF(P14&lt;&gt;"",SUMPRODUCT((P$3:P$45&lt;&gt;"")*(G$3:G$45=G14)*(J$3:J$45&gt;J14)*(I$3:I$45="P"))+1,IF(O14&lt;&gt;"",SUMPRODUCT((O$3:O$45&lt;&gt;"")*(P$3:P$45="")*(G$3:G$45=G14)*(J$3:J$45&gt;J14)*(I$3:I$45="P"))+SUMPRODUCT((P$3:P$45&lt;&gt;"")*(G$3:G$45=G14)*(I$3:I$45="P"))+1,IF(N14&lt;&gt;"",SUMPRODUCT((N$3:N$45&lt;&gt;"")*(G$3:G$45=G14)*(J$3:J$45&gt;J14)*(I$3:I$45="P"))+1,IF(M14="P",SUMPRODUCT((O$3:O$45&lt;&gt;"")*(P$3:P$45="")*(G$3:G$45=G14)*(I$3:I$45="P"))+SUMPRODUCT((P$3:P$45&lt;&gt;"")*(G$3:G$45=G14)*(I$3:I$45="P"))+SUMPRODUCT((N$3:N$45&lt;&gt;"")*(G$3:G$45=G14)*(I$3:I$45="P"))+SUMPRODUCT((P$3:P$45="")*(O$3:O$45="")*(N$3:N$45="")*(M$3:M$45="P")*(G$3:G$45=G14)*(J$3:J$45&gt;J14)*(I$3:I$45="P"))+IF(H14="L5",SUMPRODUCT((P$3:P$45="")*(O$3:O$45="")*(N$3:N$45="")*(M$3:M$45="P")*(G$3:G$45=G14)*(J$3:J$45&lt;J14)*(H$3:H$45&lt;&gt;H14)*(I$3:I$45="P")),-1*SUMPRODUCT((P$3:P$45="")*(O$3:O$45="")*(N$3:N$45="")*(M$3:M$45="P")*(G$3:G$45=G14)*(J$3:J$45&gt;J14)*(H$3:H$45="L5")*(I$3:I$45="P")))+1,"")))))</f>
        <v/>
      </c>
      <c r="B14" s="1" t="str" cm="1">
        <f t="array" ref="B14">IF(P14&lt;&gt;"",SUMPRODUCT((P$3:P$77&lt;&gt;"")*(G$3:G$77=G14)*(J$3:J$77&gt;J14))+1,IF(O14&lt;&gt;"",SUMPRODUCT((O$3:O$77&lt;&gt;"")*(P$3:P$77="")*(G$3:G$77=G14)*(J$3:J$77&gt;J14))+SUMPRODUCT((P$3:P$77&lt;&gt;"")*(G$3:G$77=G14))+1,IF(N14&lt;&gt;"",SUMPRODUCT((N$3:N$77&lt;&gt;"")*(G$3:G$77=G14)*(J$3:J$77&gt;J14))+1,IF(M14="P",SUMPRODUCT((O$3:O$77&lt;&gt;"")*(P$3:P$77="")*(G$3:G$77=G14))+SUMPRODUCT((P$3:P$77&lt;&gt;"")*(G$3:G$77=G14))+SUMPRODUCT((N$3:N$77&lt;&gt;"")*(G$3:G$77=G14))+SUMPRODUCT((P$3:P$77="")*(O$3:O$77="")*(N$3:N$77="")*(M$3:M$77="P")*(G$3:G$77=G14)*(J$3:J$77&gt;J14))+IF(H14="L5",SUMPRODUCT((P$3:P$77="")*(O$3:O$77="")*(N$3:N$77="")*(M$3:M$77="P")*(G$3:G$77=G14)*(J$3:J$77&lt;J14)*(H$3:H$77&lt;&gt;H14)),-1*SUMPRODUCT((P$3:P$77="")*(O$3:O$77="")*(N$3:N$77="")*(M$3:M$77="P")*(G$3:G$77=G14)*(J$3:J$77&gt;J14)*(H$3:H$77="L5")))+1,""))))</f>
        <v/>
      </c>
      <c r="C14" s="36" t="s">
        <v>179</v>
      </c>
      <c r="D14" s="36" t="str">
        <f>IF(E14="","",VLOOKUP(E14,'Coaching Points'!A:B,2,0))</f>
        <v>ON</v>
      </c>
      <c r="E14" s="36" t="s">
        <v>290</v>
      </c>
      <c r="F14" s="35">
        <v>2005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66</v>
      </c>
      <c r="I14" s="43"/>
      <c r="J14" s="4">
        <f>R14+S14+IF(OR(H14="Junior",H14="Senior"),0.0002,IF(OR(H14="L7",H14="L6"),0.0001,0))+MAX(X14,Z14)*0.0000001</f>
        <v>80.100004049999995</v>
      </c>
      <c r="K14" s="3" t="str">
        <f>IF(G14="Not Age Eligible","",IF(MAX(T14,V14,X14,Z14)&gt;=LOOKUP(G14,'Qualifying Scores'!$A$4:$A$7,'Qualifying Scores'!$I$4:$I$7),"P",""))</f>
        <v/>
      </c>
      <c r="L14" s="3" t="str">
        <f>IF(G14="Not Age Eligible","",IF(MAX(U14,W14,Y14,AA14)&gt;=LOOKUP(G14,'Qualifying Scores'!$A$10:$A$13,'Qualifying Scores'!$I$10:$I$13),"P",""))</f>
        <v/>
      </c>
      <c r="M14" s="3" t="str">
        <f>IF(G14="Not Age Eligible","",IF(OR(AND(T14&gt;=LOOKUP(G14,'Qualifying Scores'!$A$4:$A$7,'Qualifying Scores'!$I$4:$I$7),U14&gt;=LOOKUP(G14,'Qualifying Scores'!$A$10:$A$13,'Qualifying Scores'!$I$10:$I$13)),AND(X14&gt;=LOOKUP(G14,'Qualifying Scores'!$A$4:$A$7,'Qualifying Scores'!$I$4:$I$7),Y14&gt;=LOOKUP(G14,'Qualifying Scores'!$A$10:$A$13,'Qualifying Scores'!$I$10:$I$13)),AND(V14&gt;=LOOKUP(G14,'Qualifying Scores'!$A$4:$A$7,'Qualifying Scores'!$I$4:$I$7),W14&gt;=LOOKUP(G14,'Qualifying Scores'!$A$10:$A$13,'Qualifying Scores'!$I$10:$I$13)),AND(Z14&gt;=LOOKUP(G14,'Qualifying Scores'!$A$4:$A$7,'Qualifying Scores'!$I$4:$I$7),AA14&gt;=LOOKUP(G14,'Qualifying Scores'!$A$10:$A$13,'Qualifying Scores'!$I$10:$I$13))),"P",""))</f>
        <v/>
      </c>
      <c r="Q14" s="1" t="str">
        <f>IF(A14&lt;5,IF(_xlfn.MAXIFS(A:A,G:G,G14)&gt;3,5-A14,_xlfn.MAXIFS(A:A,G:G,G14)+1-A14),"")</f>
        <v/>
      </c>
      <c r="R14" s="4">
        <f>MAX(T14,X14)</f>
        <v>40.5</v>
      </c>
      <c r="S14" s="4">
        <f>IF(R14=T14,MAX(V14,X14,Z14),IF(R14=X14,MAX(T14,V14,Z14),0))</f>
        <v>39.6</v>
      </c>
      <c r="T14" s="33">
        <v>39</v>
      </c>
      <c r="U14" s="40">
        <v>6.6</v>
      </c>
      <c r="V14" s="34"/>
      <c r="W14" s="40"/>
      <c r="X14" s="33">
        <v>40.5</v>
      </c>
      <c r="Y14" s="40">
        <v>6.6</v>
      </c>
      <c r="Z14" s="34">
        <v>39.6</v>
      </c>
      <c r="AA14" s="37">
        <v>6.8</v>
      </c>
    </row>
    <row r="15" spans="1:27" x14ac:dyDescent="0.2">
      <c r="A15" s="1" t="str" cm="1">
        <f t="array" ref="A15">IF(I15="","",IF(P15&lt;&gt;"",SUMPRODUCT((P$3:P$45&lt;&gt;"")*(G$3:G$45=G15)*(J$3:J$45&gt;J15)*(I$3:I$45="P"))+1,IF(O15&lt;&gt;"",SUMPRODUCT((O$3:O$45&lt;&gt;"")*(P$3:P$45="")*(G$3:G$45=G15)*(J$3:J$45&gt;J15)*(I$3:I$45="P"))+SUMPRODUCT((P$3:P$45&lt;&gt;"")*(G$3:G$45=G15)*(I$3:I$45="P"))+1,IF(N15&lt;&gt;"",SUMPRODUCT((N$3:N$45&lt;&gt;"")*(G$3:G$45=G15)*(J$3:J$45&gt;J15)*(I$3:I$45="P"))+1,IF(M15="P",SUMPRODUCT((O$3:O$45&lt;&gt;"")*(P$3:P$45="")*(G$3:G$45=G15)*(I$3:I$45="P"))+SUMPRODUCT((P$3:P$45&lt;&gt;"")*(G$3:G$45=G15)*(I$3:I$45="P"))+SUMPRODUCT((N$3:N$45&lt;&gt;"")*(G$3:G$45=G15)*(I$3:I$45="P"))+SUMPRODUCT((P$3:P$45="")*(O$3:O$45="")*(N$3:N$45="")*(M$3:M$45="P")*(G$3:G$45=G15)*(J$3:J$45&gt;J15)*(I$3:I$45="P"))+IF(H15="L5",SUMPRODUCT((P$3:P$45="")*(O$3:O$45="")*(N$3:N$45="")*(M$3:M$45="P")*(G$3:G$45=G15)*(J$3:J$45&lt;J15)*(H$3:H$45&lt;&gt;H15)*(I$3:I$45="P")),-1*SUMPRODUCT((P$3:P$45="")*(O$3:O$45="")*(N$3:N$45="")*(M$3:M$45="P")*(G$3:G$45=G15)*(J$3:J$45&gt;J15)*(H$3:H$45="L5")*(I$3:I$45="P")))+1,"")))))</f>
        <v/>
      </c>
      <c r="B15" s="1" t="str" cm="1">
        <f t="array" ref="B15">IF(P15&lt;&gt;"",SUMPRODUCT((P$3:P$77&lt;&gt;"")*(G$3:G$77=G15)*(J$3:J$77&gt;J15))+1,IF(O15&lt;&gt;"",SUMPRODUCT((O$3:O$77&lt;&gt;"")*(P$3:P$77="")*(G$3:G$77=G15)*(J$3:J$77&gt;J15))+SUMPRODUCT((P$3:P$77&lt;&gt;"")*(G$3:G$77=G15))+1,IF(N15&lt;&gt;"",SUMPRODUCT((N$3:N$77&lt;&gt;"")*(G$3:G$77=G15)*(J$3:J$77&gt;J15))+1,IF(M15="P",SUMPRODUCT((O$3:O$77&lt;&gt;"")*(P$3:P$77="")*(G$3:G$77=G15))+SUMPRODUCT((P$3:P$77&lt;&gt;"")*(G$3:G$77=G15))+SUMPRODUCT((N$3:N$77&lt;&gt;"")*(G$3:G$77=G15))+SUMPRODUCT((P$3:P$77="")*(O$3:O$77="")*(N$3:N$77="")*(M$3:M$77="P")*(G$3:G$77=G15)*(J$3:J$77&gt;J15))+IF(H15="L5",SUMPRODUCT((P$3:P$77="")*(O$3:O$77="")*(N$3:N$77="")*(M$3:M$77="P")*(G$3:G$77=G15)*(J$3:J$77&lt;J15)*(H$3:H$77&lt;&gt;H15)),-1*SUMPRODUCT((P$3:P$77="")*(O$3:O$77="")*(N$3:N$77="")*(M$3:M$77="P")*(G$3:G$77=G15)*(J$3:J$77&gt;J15)*(H$3:H$77="L5")))+1,""))))</f>
        <v/>
      </c>
      <c r="C15" s="36" t="s">
        <v>538</v>
      </c>
      <c r="D15" s="36" t="str">
        <f>IF(E15="","",VLOOKUP(E15,'Coaching Points'!A:B,2,0))</f>
        <v>ON</v>
      </c>
      <c r="E15" s="36" t="s">
        <v>167</v>
      </c>
      <c r="F15" s="35">
        <v>2003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66</v>
      </c>
      <c r="I15" s="43" t="s">
        <v>567</v>
      </c>
      <c r="J15" s="4">
        <f>R15+S15+IF(OR(H15="Junior",H15="Senior"),0.0002,IF(OR(H15="L7",H15="L6"),0.0001,0))+MAX(X15,Z15)*0.0000001</f>
        <v>80.100004039999988</v>
      </c>
      <c r="K15" s="3" t="str">
        <f>IF(G15="Not Age Eligible","",IF(MAX(T15,V15,X15,Z15)&gt;=LOOKUP(G15,'Qualifying Scores'!$A$4:$A$7,'Qualifying Scores'!$I$4:$I$7),"P",""))</f>
        <v/>
      </c>
      <c r="L15" s="3" t="str">
        <f>IF(G15="Not Age Eligible","",IF(MAX(U15,W15,Y15,AA15)&gt;=LOOKUP(G15,'Qualifying Scores'!$A$10:$A$13,'Qualifying Scores'!$I$10:$I$13),"P",""))</f>
        <v/>
      </c>
      <c r="M15" s="3" t="str">
        <f>IF(G15="Not Age Eligible","",IF(OR(AND(T15&gt;=LOOKUP(G15,'Qualifying Scores'!$A$4:$A$7,'Qualifying Scores'!$I$4:$I$7),U15&gt;=LOOKUP(G15,'Qualifying Scores'!$A$10:$A$13,'Qualifying Scores'!$I$10:$I$13)),AND(X15&gt;=LOOKUP(G15,'Qualifying Scores'!$A$4:$A$7,'Qualifying Scores'!$I$4:$I$7),Y15&gt;=LOOKUP(G15,'Qualifying Scores'!$A$10:$A$13,'Qualifying Scores'!$I$10:$I$13)),AND(V15&gt;=LOOKUP(G15,'Qualifying Scores'!$A$4:$A$7,'Qualifying Scores'!$I$4:$I$7),W15&gt;=LOOKUP(G15,'Qualifying Scores'!$A$10:$A$13,'Qualifying Scores'!$I$10:$I$13)),AND(Z15&gt;=LOOKUP(G15,'Qualifying Scores'!$A$4:$A$7,'Qualifying Scores'!$I$4:$I$7),AA15&gt;=LOOKUP(G15,'Qualifying Scores'!$A$10:$A$13,'Qualifying Scores'!$I$10:$I$13))),"P",""))</f>
        <v/>
      </c>
      <c r="Q15" s="1" t="str">
        <f>IF(A15&lt;5,IF(_xlfn.MAXIFS(A:A,G:G,G15)&gt;3,5-A15,_xlfn.MAXIFS(A:A,G:G,G15)+1-A15),"")</f>
        <v/>
      </c>
      <c r="R15" s="4">
        <f>MAX(T15,X15)</f>
        <v>39.700000000000003</v>
      </c>
      <c r="S15" s="4">
        <f>IF(R15=T15,MAX(V15,X15,Z15),IF(R15=X15,MAX(T15,V15,Z15),0))</f>
        <v>40.4</v>
      </c>
      <c r="T15" s="33"/>
      <c r="U15" s="40"/>
      <c r="V15" s="34"/>
      <c r="W15" s="40"/>
      <c r="X15" s="33">
        <v>39.700000000000003</v>
      </c>
      <c r="Y15" s="40">
        <v>6.2</v>
      </c>
      <c r="Z15" s="34">
        <v>40.4</v>
      </c>
      <c r="AA15" s="37">
        <v>6.2</v>
      </c>
    </row>
    <row r="16" spans="1:27" x14ac:dyDescent="0.2">
      <c r="A16" s="1" t="str" cm="1">
        <f t="array" ref="A16">IF(I16="","",IF(P16&lt;&gt;"",SUMPRODUCT((P$3:P$45&lt;&gt;"")*(G$3:G$45=G16)*(J$3:J$45&gt;J16)*(I$3:I$45="P"))+1,IF(O16&lt;&gt;"",SUMPRODUCT((O$3:O$45&lt;&gt;"")*(P$3:P$45="")*(G$3:G$45=G16)*(J$3:J$45&gt;J16)*(I$3:I$45="P"))+SUMPRODUCT((P$3:P$45&lt;&gt;"")*(G$3:G$45=G16)*(I$3:I$45="P"))+1,IF(N16&lt;&gt;"",SUMPRODUCT((N$3:N$45&lt;&gt;"")*(G$3:G$45=G16)*(J$3:J$45&gt;J16)*(I$3:I$45="P"))+1,IF(M16="P",SUMPRODUCT((O$3:O$45&lt;&gt;"")*(P$3:P$45="")*(G$3:G$45=G16)*(I$3:I$45="P"))+SUMPRODUCT((P$3:P$45&lt;&gt;"")*(G$3:G$45=G16)*(I$3:I$45="P"))+SUMPRODUCT((N$3:N$45&lt;&gt;"")*(G$3:G$45=G16)*(I$3:I$45="P"))+SUMPRODUCT((P$3:P$45="")*(O$3:O$45="")*(N$3:N$45="")*(M$3:M$45="P")*(G$3:G$45=G16)*(J$3:J$45&gt;J16)*(I$3:I$45="P"))+IF(H16="L5",SUMPRODUCT((P$3:P$45="")*(O$3:O$45="")*(N$3:N$45="")*(M$3:M$45="P")*(G$3:G$45=G16)*(J$3:J$45&lt;J16)*(H$3:H$45&lt;&gt;H16)*(I$3:I$45="P")),-1*SUMPRODUCT((P$3:P$45="")*(O$3:O$45="")*(N$3:N$45="")*(M$3:M$45="P")*(G$3:G$45=G16)*(J$3:J$45&gt;J16)*(H$3:H$45="L5")*(I$3:I$45="P")))+1,"")))))</f>
        <v/>
      </c>
      <c r="B16" s="1" t="str" cm="1">
        <f t="array" ref="B16">IF(P16&lt;&gt;"",SUMPRODUCT((P$3:P$77&lt;&gt;"")*(G$3:G$77=G16)*(J$3:J$77&gt;J16))+1,IF(O16&lt;&gt;"",SUMPRODUCT((O$3:O$77&lt;&gt;"")*(P$3:P$77="")*(G$3:G$77=G16)*(J$3:J$77&gt;J16))+SUMPRODUCT((P$3:P$77&lt;&gt;"")*(G$3:G$77=G16))+1,IF(N16&lt;&gt;"",SUMPRODUCT((N$3:N$77&lt;&gt;"")*(G$3:G$77=G16)*(J$3:J$77&gt;J16))+1,IF(M16="P",SUMPRODUCT((O$3:O$77&lt;&gt;"")*(P$3:P$77="")*(G$3:G$77=G16))+SUMPRODUCT((P$3:P$77&lt;&gt;"")*(G$3:G$77=G16))+SUMPRODUCT((N$3:N$77&lt;&gt;"")*(G$3:G$77=G16))+SUMPRODUCT((P$3:P$77="")*(O$3:O$77="")*(N$3:N$77="")*(M$3:M$77="P")*(G$3:G$77=G16)*(J$3:J$77&gt;J16))+IF(H16="L5",SUMPRODUCT((P$3:P$77="")*(O$3:O$77="")*(N$3:N$77="")*(M$3:M$77="P")*(G$3:G$77=G16)*(J$3:J$77&lt;J16)*(H$3:H$77&lt;&gt;H16)),-1*SUMPRODUCT((P$3:P$77="")*(O$3:O$77="")*(N$3:N$77="")*(M$3:M$77="P")*(G$3:G$77=G16)*(J$3:J$77&gt;J16)*(H$3:H$77="L5")))+1,""))))</f>
        <v/>
      </c>
      <c r="C16" s="36" t="s">
        <v>363</v>
      </c>
      <c r="D16" s="36" t="str">
        <f>IF(E16="","",VLOOKUP(E16,'Coaching Points'!A:B,2,0))</f>
        <v>QC</v>
      </c>
      <c r="E16" s="36" t="s">
        <v>312</v>
      </c>
      <c r="F16" s="35">
        <v>2006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66</v>
      </c>
      <c r="I16" s="43"/>
      <c r="J16" s="4">
        <f>R16+S16+IF(OR(H16="Junior",H16="Senior"),0.0002,IF(OR(H16="L7",H16="L6"),0.0001,0))+MAX(X16,Z16)*0.0000001</f>
        <v>79.900004010000004</v>
      </c>
      <c r="K16" s="3" t="str">
        <f>IF(G16="Not Age Eligible","",IF(MAX(T16,V16,X16,Z16)&gt;=LOOKUP(G16,'Qualifying Scores'!$A$4:$A$7,'Qualifying Scores'!$I$4:$I$7),"P",""))</f>
        <v/>
      </c>
      <c r="L16" s="3" t="str">
        <f>IF(G16="Not Age Eligible","",IF(MAX(U16,W16,Y16,AA16)&gt;=LOOKUP(G16,'Qualifying Scores'!$A$10:$A$13,'Qualifying Scores'!$I$10:$I$13),"P",""))</f>
        <v/>
      </c>
      <c r="M16" s="3" t="str">
        <f>IF(G16="Not Age Eligible","",IF(OR(AND(T16&gt;=LOOKUP(G16,'Qualifying Scores'!$A$4:$A$7,'Qualifying Scores'!$I$4:$I$7),U16&gt;=LOOKUP(G16,'Qualifying Scores'!$A$10:$A$13,'Qualifying Scores'!$I$10:$I$13)),AND(X16&gt;=LOOKUP(G16,'Qualifying Scores'!$A$4:$A$7,'Qualifying Scores'!$I$4:$I$7),Y16&gt;=LOOKUP(G16,'Qualifying Scores'!$A$10:$A$13,'Qualifying Scores'!$I$10:$I$13)),AND(V16&gt;=LOOKUP(G16,'Qualifying Scores'!$A$4:$A$7,'Qualifying Scores'!$I$4:$I$7),W16&gt;=LOOKUP(G16,'Qualifying Scores'!$A$10:$A$13,'Qualifying Scores'!$I$10:$I$13)),AND(Z16&gt;=LOOKUP(G16,'Qualifying Scores'!$A$4:$A$7,'Qualifying Scores'!$I$4:$I$7),AA16&gt;=LOOKUP(G16,'Qualifying Scores'!$A$10:$A$13,'Qualifying Scores'!$I$10:$I$13))),"P",""))</f>
        <v/>
      </c>
      <c r="Q16" s="1" t="str">
        <f>IF(A16&lt;5,IF(_xlfn.MAXIFS(A:A,G:G,G16)&gt;3,5-A16,_xlfn.MAXIFS(A:A,G:G,G16)+1-A16),"")</f>
        <v/>
      </c>
      <c r="R16" s="4">
        <f>MAX(T16,X16)</f>
        <v>39.799999999999997</v>
      </c>
      <c r="S16" s="4">
        <f>IF(R16=T16,MAX(V16,X16,Z16),IF(R16=X16,MAX(T16,V16,Z16),0))</f>
        <v>40.1</v>
      </c>
      <c r="T16" s="33">
        <v>38</v>
      </c>
      <c r="U16" s="40">
        <v>6</v>
      </c>
      <c r="V16" s="34">
        <v>37.1</v>
      </c>
      <c r="W16" s="40">
        <v>6</v>
      </c>
      <c r="X16" s="33">
        <v>39.799999999999997</v>
      </c>
      <c r="Y16" s="40">
        <v>6</v>
      </c>
      <c r="Z16" s="34">
        <v>40.1</v>
      </c>
      <c r="AA16" s="37">
        <v>6</v>
      </c>
    </row>
    <row r="17" spans="1:27" x14ac:dyDescent="0.2">
      <c r="A17" s="1" t="str" cm="1">
        <f t="array" ref="A17">IF(I17="","",IF(P17&lt;&gt;"",SUMPRODUCT((P$3:P$45&lt;&gt;"")*(G$3:G$45=G17)*(J$3:J$45&gt;J17)*(I$3:I$45="P"))+1,IF(O17&lt;&gt;"",SUMPRODUCT((O$3:O$45&lt;&gt;"")*(P$3:P$45="")*(G$3:G$45=G17)*(J$3:J$45&gt;J17)*(I$3:I$45="P"))+SUMPRODUCT((P$3:P$45&lt;&gt;"")*(G$3:G$45=G17)*(I$3:I$45="P"))+1,IF(N17&lt;&gt;"",SUMPRODUCT((N$3:N$45&lt;&gt;"")*(G$3:G$45=G17)*(J$3:J$45&gt;J17)*(I$3:I$45="P"))+1,IF(M17="P",SUMPRODUCT((O$3:O$45&lt;&gt;"")*(P$3:P$45="")*(G$3:G$45=G17)*(I$3:I$45="P"))+SUMPRODUCT((P$3:P$45&lt;&gt;"")*(G$3:G$45=G17)*(I$3:I$45="P"))+SUMPRODUCT((N$3:N$45&lt;&gt;"")*(G$3:G$45=G17)*(I$3:I$45="P"))+SUMPRODUCT((P$3:P$45="")*(O$3:O$45="")*(N$3:N$45="")*(M$3:M$45="P")*(G$3:G$45=G17)*(J$3:J$45&gt;J17)*(I$3:I$45="P"))+IF(H17="L5",SUMPRODUCT((P$3:P$45="")*(O$3:O$45="")*(N$3:N$45="")*(M$3:M$45="P")*(G$3:G$45=G17)*(J$3:J$45&lt;J17)*(H$3:H$45&lt;&gt;H17)*(I$3:I$45="P")),-1*SUMPRODUCT((P$3:P$45="")*(O$3:O$45="")*(N$3:N$45="")*(M$3:M$45="P")*(G$3:G$45=G17)*(J$3:J$45&gt;J17)*(H$3:H$45="L5")*(I$3:I$45="P")))+1,"")))))</f>
        <v/>
      </c>
      <c r="B17" s="1" t="str" cm="1">
        <f t="array" ref="B17">IF(P17&lt;&gt;"",SUMPRODUCT((P$3:P$77&lt;&gt;"")*(G$3:G$77=G17)*(J$3:J$77&gt;J17))+1,IF(O17&lt;&gt;"",SUMPRODUCT((O$3:O$77&lt;&gt;"")*(P$3:P$77="")*(G$3:G$77=G17)*(J$3:J$77&gt;J17))+SUMPRODUCT((P$3:P$77&lt;&gt;"")*(G$3:G$77=G17))+1,IF(N17&lt;&gt;"",SUMPRODUCT((N$3:N$77&lt;&gt;"")*(G$3:G$77=G17)*(J$3:J$77&gt;J17))+1,IF(M17="P",SUMPRODUCT((O$3:O$77&lt;&gt;"")*(P$3:P$77="")*(G$3:G$77=G17))+SUMPRODUCT((P$3:P$77&lt;&gt;"")*(G$3:G$77=G17))+SUMPRODUCT((N$3:N$77&lt;&gt;"")*(G$3:G$77=G17))+SUMPRODUCT((P$3:P$77="")*(O$3:O$77="")*(N$3:N$77="")*(M$3:M$77="P")*(G$3:G$77=G17)*(J$3:J$77&gt;J17))+IF(H17="L5",SUMPRODUCT((P$3:P$77="")*(O$3:O$77="")*(N$3:N$77="")*(M$3:M$77="P")*(G$3:G$77=G17)*(J$3:J$77&lt;J17)*(H$3:H$77&lt;&gt;H17)),-1*SUMPRODUCT((P$3:P$77="")*(O$3:O$77="")*(N$3:N$77="")*(M$3:M$77="P")*(G$3:G$77=G17)*(J$3:J$77&gt;J17)*(H$3:H$77="L5")))+1,""))))</f>
        <v/>
      </c>
      <c r="C17" s="36" t="s">
        <v>182</v>
      </c>
      <c r="D17" s="36" t="str">
        <f>IF(E17="","",VLOOKUP(E17,'Coaching Points'!A:B,2,0))</f>
        <v>ON</v>
      </c>
      <c r="E17" s="36" t="s">
        <v>47</v>
      </c>
      <c r="F17" s="35">
        <v>2005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68</v>
      </c>
      <c r="I17" s="43" t="s">
        <v>567</v>
      </c>
      <c r="J17" s="4">
        <f>R17+S17+IF(OR(H17="Junior",H17="Senior"),0.0002,IF(OR(H17="L7",H17="L6"),0.0001,0))+MAX(X17,Z17)*0.0000001</f>
        <v>79.400103980000011</v>
      </c>
      <c r="K17" s="3" t="str">
        <f>IF(G17="Not Age Eligible","",IF(MAX(T17,V17,X17,Z17)&gt;=LOOKUP(G17,'Qualifying Scores'!$A$4:$A$7,'Qualifying Scores'!$I$4:$I$7),"P",""))</f>
        <v/>
      </c>
      <c r="L17" s="3" t="str">
        <f>IF(G17="Not Age Eligible","",IF(MAX(U17,W17,Y17,AA17)&gt;=LOOKUP(G17,'Qualifying Scores'!$A$10:$A$13,'Qualifying Scores'!$I$10:$I$13),"P",""))</f>
        <v>P</v>
      </c>
      <c r="M17" s="3" t="str">
        <f>IF(G17="Not Age Eligible","",IF(OR(AND(T17&gt;=LOOKUP(G17,'Qualifying Scores'!$A$4:$A$7,'Qualifying Scores'!$I$4:$I$7),U17&gt;=LOOKUP(G17,'Qualifying Scores'!$A$10:$A$13,'Qualifying Scores'!$I$10:$I$13)),AND(X17&gt;=LOOKUP(G17,'Qualifying Scores'!$A$4:$A$7,'Qualifying Scores'!$I$4:$I$7),Y17&gt;=LOOKUP(G17,'Qualifying Scores'!$A$10:$A$13,'Qualifying Scores'!$I$10:$I$13)),AND(V17&gt;=LOOKUP(G17,'Qualifying Scores'!$A$4:$A$7,'Qualifying Scores'!$I$4:$I$7),W17&gt;=LOOKUP(G17,'Qualifying Scores'!$A$10:$A$13,'Qualifying Scores'!$I$10:$I$13)),AND(Z17&gt;=LOOKUP(G17,'Qualifying Scores'!$A$4:$A$7,'Qualifying Scores'!$I$4:$I$7),AA17&gt;=LOOKUP(G17,'Qualifying Scores'!$A$10:$A$13,'Qualifying Scores'!$I$10:$I$13))),"P",""))</f>
        <v/>
      </c>
      <c r="Q17" s="1" t="str">
        <f>IF(A17&lt;5,IF(_xlfn.MAXIFS(A:A,G:G,G17)&gt;3,5-A17,_xlfn.MAXIFS(A:A,G:G,G17)+1-A17),"")</f>
        <v/>
      </c>
      <c r="R17" s="4">
        <f>MAX(T17,X17)</f>
        <v>39.799999999999997</v>
      </c>
      <c r="S17" s="4">
        <f>IF(R17=T17,MAX(V17,X17,Z17),IF(R17=X17,MAX(T17,V17,Z17),0))</f>
        <v>39.6</v>
      </c>
      <c r="T17" s="33">
        <v>39.6</v>
      </c>
      <c r="U17" s="40">
        <v>6.6</v>
      </c>
      <c r="V17" s="34">
        <v>39.5</v>
      </c>
      <c r="W17" s="40">
        <v>6.6</v>
      </c>
      <c r="X17" s="33">
        <v>39.799999999999997</v>
      </c>
      <c r="Y17" s="40">
        <v>8</v>
      </c>
      <c r="Z17" s="34">
        <v>39.299999999999997</v>
      </c>
      <c r="AA17" s="37">
        <v>6.7</v>
      </c>
    </row>
    <row r="18" spans="1:27" x14ac:dyDescent="0.2">
      <c r="A18" s="1" t="str" cm="1">
        <f t="array" ref="A18">IF(I18="","",IF(P18&lt;&gt;"",SUMPRODUCT((P$3:P$45&lt;&gt;"")*(G$3:G$45=G18)*(J$3:J$45&gt;J18)*(I$3:I$45="P"))+1,IF(O18&lt;&gt;"",SUMPRODUCT((O$3:O$45&lt;&gt;"")*(P$3:P$45="")*(G$3:G$45=G18)*(J$3:J$45&gt;J18)*(I$3:I$45="P"))+SUMPRODUCT((P$3:P$45&lt;&gt;"")*(G$3:G$45=G18)*(I$3:I$45="P"))+1,IF(N18&lt;&gt;"",SUMPRODUCT((N$3:N$45&lt;&gt;"")*(G$3:G$45=G18)*(J$3:J$45&gt;J18)*(I$3:I$45="P"))+1,IF(M18="P",SUMPRODUCT((O$3:O$45&lt;&gt;"")*(P$3:P$45="")*(G$3:G$45=G18)*(I$3:I$45="P"))+SUMPRODUCT((P$3:P$45&lt;&gt;"")*(G$3:G$45=G18)*(I$3:I$45="P"))+SUMPRODUCT((N$3:N$45&lt;&gt;"")*(G$3:G$45=G18)*(I$3:I$45="P"))+SUMPRODUCT((P$3:P$45="")*(O$3:O$45="")*(N$3:N$45="")*(M$3:M$45="P")*(G$3:G$45=G18)*(J$3:J$45&gt;J18)*(I$3:I$45="P"))+IF(H18="L5",SUMPRODUCT((P$3:P$45="")*(O$3:O$45="")*(N$3:N$45="")*(M$3:M$45="P")*(G$3:G$45=G18)*(J$3:J$45&lt;J18)*(H$3:H$45&lt;&gt;H18)*(I$3:I$45="P")),-1*SUMPRODUCT((P$3:P$45="")*(O$3:O$45="")*(N$3:N$45="")*(M$3:M$45="P")*(G$3:G$45=G18)*(J$3:J$45&gt;J18)*(H$3:H$45="L5")*(I$3:I$45="P")))+1,"")))))</f>
        <v/>
      </c>
      <c r="B18" s="1" t="str" cm="1">
        <f t="array" ref="B18">IF(P18&lt;&gt;"",SUMPRODUCT((P$3:P$77&lt;&gt;"")*(G$3:G$77=G18)*(J$3:J$77&gt;J18))+1,IF(O18&lt;&gt;"",SUMPRODUCT((O$3:O$77&lt;&gt;"")*(P$3:P$77="")*(G$3:G$77=G18)*(J$3:J$77&gt;J18))+SUMPRODUCT((P$3:P$77&lt;&gt;"")*(G$3:G$77=G18))+1,IF(N18&lt;&gt;"",SUMPRODUCT((N$3:N$77&lt;&gt;"")*(G$3:G$77=G18)*(J$3:J$77&gt;J18))+1,IF(M18="P",SUMPRODUCT((O$3:O$77&lt;&gt;"")*(P$3:P$77="")*(G$3:G$77=G18))+SUMPRODUCT((P$3:P$77&lt;&gt;"")*(G$3:G$77=G18))+SUMPRODUCT((N$3:N$77&lt;&gt;"")*(G$3:G$77=G18))+SUMPRODUCT((P$3:P$77="")*(O$3:O$77="")*(N$3:N$77="")*(M$3:M$77="P")*(G$3:G$77=G18)*(J$3:J$77&gt;J18))+IF(H18="L5",SUMPRODUCT((P$3:P$77="")*(O$3:O$77="")*(N$3:N$77="")*(M$3:M$77="P")*(G$3:G$77=G18)*(J$3:J$77&lt;J18)*(H$3:H$77&lt;&gt;H18)),-1*SUMPRODUCT((P$3:P$77="")*(O$3:O$77="")*(N$3:N$77="")*(M$3:M$77="P")*(G$3:G$77=G18)*(J$3:J$77&gt;J18)*(H$3:H$77="L5")))+1,""))))</f>
        <v/>
      </c>
      <c r="C18" s="36" t="s">
        <v>362</v>
      </c>
      <c r="D18" s="36" t="str">
        <f>IF(E18="","",VLOOKUP(E18,'Coaching Points'!A:B,2,0))</f>
        <v>ON</v>
      </c>
      <c r="E18" s="36" t="s">
        <v>162</v>
      </c>
      <c r="F18" s="35">
        <v>2006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66</v>
      </c>
      <c r="I18" s="43"/>
      <c r="J18" s="4">
        <f>R18+S18+IF(OR(H18="Junior",H18="Senior"),0.0002,IF(OR(H18="L7",H18="L6"),0.0001,0))+MAX(X18,Z18)*0.0000001</f>
        <v>78.400003930000011</v>
      </c>
      <c r="K18" s="3" t="str">
        <f>IF(G18="Not Age Eligible","",IF(MAX(T18,V18,X18,Z18)&gt;=LOOKUP(G18,'Qualifying Scores'!$A$4:$A$7,'Qualifying Scores'!$I$4:$I$7),"P",""))</f>
        <v/>
      </c>
      <c r="L18" s="3" t="str">
        <f>IF(G18="Not Age Eligible","",IF(MAX(U18,W18,Y18,AA18)&gt;=LOOKUP(G18,'Qualifying Scores'!$A$10:$A$13,'Qualifying Scores'!$I$10:$I$13),"P",""))</f>
        <v/>
      </c>
      <c r="M18" s="3" t="str">
        <f>IF(G18="Not Age Eligible","",IF(OR(AND(T18&gt;=LOOKUP(G18,'Qualifying Scores'!$A$4:$A$7,'Qualifying Scores'!$I$4:$I$7),U18&gt;=LOOKUP(G18,'Qualifying Scores'!$A$10:$A$13,'Qualifying Scores'!$I$10:$I$13)),AND(X18&gt;=LOOKUP(G18,'Qualifying Scores'!$A$4:$A$7,'Qualifying Scores'!$I$4:$I$7),Y18&gt;=LOOKUP(G18,'Qualifying Scores'!$A$10:$A$13,'Qualifying Scores'!$I$10:$I$13)),AND(V18&gt;=LOOKUP(G18,'Qualifying Scores'!$A$4:$A$7,'Qualifying Scores'!$I$4:$I$7),W18&gt;=LOOKUP(G18,'Qualifying Scores'!$A$10:$A$13,'Qualifying Scores'!$I$10:$I$13)),AND(Z18&gt;=LOOKUP(G18,'Qualifying Scores'!$A$4:$A$7,'Qualifying Scores'!$I$4:$I$7),AA18&gt;=LOOKUP(G18,'Qualifying Scores'!$A$10:$A$13,'Qualifying Scores'!$I$10:$I$13))),"P",""))</f>
        <v/>
      </c>
      <c r="Q18" s="1" t="str">
        <f>IF(A18&lt;5,IF(_xlfn.MAXIFS(A:A,G:G,G18)&gt;3,5-A18,_xlfn.MAXIFS(A:A,G:G,G18)+1-A18),"")</f>
        <v/>
      </c>
      <c r="R18" s="4">
        <f>MAX(T18,X18)</f>
        <v>39.1</v>
      </c>
      <c r="S18" s="4">
        <f>IF(R18=T18,MAX(V18,X18,Z18),IF(R18=X18,MAX(T18,V18,Z18),0))</f>
        <v>39.299999999999997</v>
      </c>
      <c r="T18" s="33">
        <v>39.1</v>
      </c>
      <c r="U18" s="40">
        <v>4.4000000000000004</v>
      </c>
      <c r="V18" s="34">
        <v>39</v>
      </c>
      <c r="W18" s="40">
        <v>4.4000000000000004</v>
      </c>
      <c r="X18" s="33">
        <v>38.1</v>
      </c>
      <c r="Y18" s="40">
        <v>4.4000000000000004</v>
      </c>
      <c r="Z18" s="34">
        <v>39.299999999999997</v>
      </c>
      <c r="AA18" s="37">
        <v>4.4000000000000004</v>
      </c>
    </row>
    <row r="19" spans="1:27" x14ac:dyDescent="0.2">
      <c r="A19" s="1" t="str" cm="1">
        <f t="array" ref="A19">IF(I19="","",IF(P19&lt;&gt;"",SUMPRODUCT((P$3:P$45&lt;&gt;"")*(G$3:G$45=G19)*(J$3:J$45&gt;J19)*(I$3:I$45="P"))+1,IF(O19&lt;&gt;"",SUMPRODUCT((O$3:O$45&lt;&gt;"")*(P$3:P$45="")*(G$3:G$45=G19)*(J$3:J$45&gt;J19)*(I$3:I$45="P"))+SUMPRODUCT((P$3:P$45&lt;&gt;"")*(G$3:G$45=G19)*(I$3:I$45="P"))+1,IF(N19&lt;&gt;"",SUMPRODUCT((N$3:N$45&lt;&gt;"")*(G$3:G$45=G19)*(J$3:J$45&gt;J19)*(I$3:I$45="P"))+1,IF(M19="P",SUMPRODUCT((O$3:O$45&lt;&gt;"")*(P$3:P$45="")*(G$3:G$45=G19)*(I$3:I$45="P"))+SUMPRODUCT((P$3:P$45&lt;&gt;"")*(G$3:G$45=G19)*(I$3:I$45="P"))+SUMPRODUCT((N$3:N$45&lt;&gt;"")*(G$3:G$45=G19)*(I$3:I$45="P"))+SUMPRODUCT((P$3:P$45="")*(O$3:O$45="")*(N$3:N$45="")*(M$3:M$45="P")*(G$3:G$45=G19)*(J$3:J$45&gt;J19)*(I$3:I$45="P"))+IF(H19="L5",SUMPRODUCT((P$3:P$45="")*(O$3:O$45="")*(N$3:N$45="")*(M$3:M$45="P")*(G$3:G$45=G19)*(J$3:J$45&lt;J19)*(H$3:H$45&lt;&gt;H19)*(I$3:I$45="P")),-1*SUMPRODUCT((P$3:P$45="")*(O$3:O$45="")*(N$3:N$45="")*(M$3:M$45="P")*(G$3:G$45=G19)*(J$3:J$45&gt;J19)*(H$3:H$45="L5")*(I$3:I$45="P")))+1,"")))))</f>
        <v/>
      </c>
      <c r="B19" s="1" t="str" cm="1">
        <f t="array" ref="B19">IF(P19&lt;&gt;"",SUMPRODUCT((P$3:P$77&lt;&gt;"")*(G$3:G$77=G19)*(J$3:J$77&gt;J19))+1,IF(O19&lt;&gt;"",SUMPRODUCT((O$3:O$77&lt;&gt;"")*(P$3:P$77="")*(G$3:G$77=G19)*(J$3:J$77&gt;J19))+SUMPRODUCT((P$3:P$77&lt;&gt;"")*(G$3:G$77=G19))+1,IF(N19&lt;&gt;"",SUMPRODUCT((N$3:N$77&lt;&gt;"")*(G$3:G$77=G19)*(J$3:J$77&gt;J19))+1,IF(M19="P",SUMPRODUCT((O$3:O$77&lt;&gt;"")*(P$3:P$77="")*(G$3:G$77=G19))+SUMPRODUCT((P$3:P$77&lt;&gt;"")*(G$3:G$77=G19))+SUMPRODUCT((N$3:N$77&lt;&gt;"")*(G$3:G$77=G19))+SUMPRODUCT((P$3:P$77="")*(O$3:O$77="")*(N$3:N$77="")*(M$3:M$77="P")*(G$3:G$77=G19)*(J$3:J$77&gt;J19))+IF(H19="L5",SUMPRODUCT((P$3:P$77="")*(O$3:O$77="")*(N$3:N$77="")*(M$3:M$77="P")*(G$3:G$77=G19)*(J$3:J$77&lt;J19)*(H$3:H$77&lt;&gt;H19)),-1*SUMPRODUCT((P$3:P$77="")*(O$3:O$77="")*(N$3:N$77="")*(M$3:M$77="P")*(G$3:G$77=G19)*(J$3:J$77&gt;J19)*(H$3:H$77="L5")))+1,""))))</f>
        <v/>
      </c>
      <c r="C19" s="36" t="s">
        <v>504</v>
      </c>
      <c r="D19" s="36" t="str">
        <f>IF(E19="","",VLOOKUP(E19,'Coaching Points'!A:B,2,0))</f>
        <v>SK</v>
      </c>
      <c r="E19" s="36" t="s">
        <v>45</v>
      </c>
      <c r="F19" s="35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66</v>
      </c>
      <c r="I19" s="43"/>
      <c r="J19" s="4">
        <f>R19+S19+IF(OR(H19="Junior",H19="Senior"),0.0002,IF(OR(H19="L7",H19="L6"),0.0001,0))+MAX(X19,Z19)*0.0000001</f>
        <v>78.400003930000011</v>
      </c>
      <c r="K19" s="3" t="str">
        <f>IF(G19="Not Age Eligible","",IF(MAX(T19,V19,X19,Z19)&gt;=LOOKUP(G19,'Qualifying Scores'!$A$4:$A$7,'Qualifying Scores'!$I$4:$I$7),"P",""))</f>
        <v/>
      </c>
      <c r="L19" s="3" t="str">
        <f>IF(G19="Not Age Eligible","",IF(MAX(U19,W19,Y19,AA19)&gt;=LOOKUP(G19,'Qualifying Scores'!$A$10:$A$13,'Qualifying Scores'!$I$10:$I$13),"P",""))</f>
        <v/>
      </c>
      <c r="M19" s="3" t="str">
        <f>IF(G19="Not Age Eligible","",IF(OR(AND(T19&gt;=LOOKUP(G19,'Qualifying Scores'!$A$4:$A$7,'Qualifying Scores'!$I$4:$I$7),U19&gt;=LOOKUP(G19,'Qualifying Scores'!$A$10:$A$13,'Qualifying Scores'!$I$10:$I$13)),AND(X19&gt;=LOOKUP(G19,'Qualifying Scores'!$A$4:$A$7,'Qualifying Scores'!$I$4:$I$7),Y19&gt;=LOOKUP(G19,'Qualifying Scores'!$A$10:$A$13,'Qualifying Scores'!$I$10:$I$13)),AND(V19&gt;=LOOKUP(G19,'Qualifying Scores'!$A$4:$A$7,'Qualifying Scores'!$I$4:$I$7),W19&gt;=LOOKUP(G19,'Qualifying Scores'!$A$10:$A$13,'Qualifying Scores'!$I$10:$I$13)),AND(Z19&gt;=LOOKUP(G19,'Qualifying Scores'!$A$4:$A$7,'Qualifying Scores'!$I$4:$I$7),AA19&gt;=LOOKUP(G19,'Qualifying Scores'!$A$10:$A$13,'Qualifying Scores'!$I$10:$I$13))),"P",""))</f>
        <v/>
      </c>
      <c r="Q19" s="1" t="str">
        <f>IF(A19&lt;5,IF(_xlfn.MAXIFS(A:A,G:G,G19)&gt;3,5-A19,_xlfn.MAXIFS(A:A,G:G,G19)+1-A19),"")</f>
        <v/>
      </c>
      <c r="R19" s="4">
        <f>MAX(T19,X19)</f>
        <v>39.1</v>
      </c>
      <c r="S19" s="4">
        <f>IF(R19=T19,MAX(V19,X19,Z19),IF(R19=X19,MAX(T19,V19,Z19),0))</f>
        <v>39.299999999999997</v>
      </c>
      <c r="T19" s="33"/>
      <c r="U19" s="40"/>
      <c r="V19" s="34"/>
      <c r="W19" s="40"/>
      <c r="X19" s="33">
        <v>39.1</v>
      </c>
      <c r="Y19" s="40">
        <v>5.0999999999999996</v>
      </c>
      <c r="Z19" s="34">
        <v>39.299999999999997</v>
      </c>
      <c r="AA19" s="37">
        <v>5.0999999999999996</v>
      </c>
    </row>
    <row r="20" spans="1:27" x14ac:dyDescent="0.2">
      <c r="A20" s="1" t="str" cm="1">
        <f t="array" ref="A20">IF(I20="","",IF(P20&lt;&gt;"",SUMPRODUCT((P$3:P$45&lt;&gt;"")*(G$3:G$45=G20)*(J$3:J$45&gt;J20)*(I$3:I$45="P"))+1,IF(O20&lt;&gt;"",SUMPRODUCT((O$3:O$45&lt;&gt;"")*(P$3:P$45="")*(G$3:G$45=G20)*(J$3:J$45&gt;J20)*(I$3:I$45="P"))+SUMPRODUCT((P$3:P$45&lt;&gt;"")*(G$3:G$45=G20)*(I$3:I$45="P"))+1,IF(N20&lt;&gt;"",SUMPRODUCT((N$3:N$45&lt;&gt;"")*(G$3:G$45=G20)*(J$3:J$45&gt;J20)*(I$3:I$45="P"))+1,IF(M20="P",SUMPRODUCT((O$3:O$45&lt;&gt;"")*(P$3:P$45="")*(G$3:G$45=G20)*(I$3:I$45="P"))+SUMPRODUCT((P$3:P$45&lt;&gt;"")*(G$3:G$45=G20)*(I$3:I$45="P"))+SUMPRODUCT((N$3:N$45&lt;&gt;"")*(G$3:G$45=G20)*(I$3:I$45="P"))+SUMPRODUCT((P$3:P$45="")*(O$3:O$45="")*(N$3:N$45="")*(M$3:M$45="P")*(G$3:G$45=G20)*(J$3:J$45&gt;J20)*(I$3:I$45="P"))+IF(H20="L5",SUMPRODUCT((P$3:P$45="")*(O$3:O$45="")*(N$3:N$45="")*(M$3:M$45="P")*(G$3:G$45=G20)*(J$3:J$45&lt;J20)*(H$3:H$45&lt;&gt;H20)*(I$3:I$45="P")),-1*SUMPRODUCT((P$3:P$45="")*(O$3:O$45="")*(N$3:N$45="")*(M$3:M$45="P")*(G$3:G$45=G20)*(J$3:J$45&gt;J20)*(H$3:H$45="L5")*(I$3:I$45="P")))+1,"")))))</f>
        <v/>
      </c>
      <c r="B20" s="1" t="str" cm="1">
        <f t="array" ref="B20">IF(P20&lt;&gt;"",SUMPRODUCT((P$3:P$77&lt;&gt;"")*(G$3:G$77=G20)*(J$3:J$77&gt;J20))+1,IF(O20&lt;&gt;"",SUMPRODUCT((O$3:O$77&lt;&gt;"")*(P$3:P$77="")*(G$3:G$77=G20)*(J$3:J$77&gt;J20))+SUMPRODUCT((P$3:P$77&lt;&gt;"")*(G$3:G$77=G20))+1,IF(N20&lt;&gt;"",SUMPRODUCT((N$3:N$77&lt;&gt;"")*(G$3:G$77=G20)*(J$3:J$77&gt;J20))+1,IF(M20="P",SUMPRODUCT((O$3:O$77&lt;&gt;"")*(P$3:P$77="")*(G$3:G$77=G20))+SUMPRODUCT((P$3:P$77&lt;&gt;"")*(G$3:G$77=G20))+SUMPRODUCT((N$3:N$77&lt;&gt;"")*(G$3:G$77=G20))+SUMPRODUCT((P$3:P$77="")*(O$3:O$77="")*(N$3:N$77="")*(M$3:M$77="P")*(G$3:G$77=G20)*(J$3:J$77&gt;J20))+IF(H20="L5",SUMPRODUCT((P$3:P$77="")*(O$3:O$77="")*(N$3:N$77="")*(M$3:M$77="P")*(G$3:G$77=G20)*(J$3:J$77&lt;J20)*(H$3:H$77&lt;&gt;H20)),-1*SUMPRODUCT((P$3:P$77="")*(O$3:O$77="")*(N$3:N$77="")*(M$3:M$77="P")*(G$3:G$77=G20)*(J$3:J$77&gt;J20)*(H$3:H$77="L5")))+1,""))))</f>
        <v/>
      </c>
      <c r="C20" s="36" t="s">
        <v>272</v>
      </c>
      <c r="D20" s="36" t="str">
        <f>IF(E20="","",VLOOKUP(E20,'Coaching Points'!A:B,2,0))</f>
        <v>QC</v>
      </c>
      <c r="E20" s="36" t="s">
        <v>77</v>
      </c>
      <c r="F20" s="35">
        <v>2003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66</v>
      </c>
      <c r="I20" s="43"/>
      <c r="J20" s="4">
        <f>R20+S20+IF(OR(H20="Junior",H20="Senior"),0.0002,IF(OR(H20="L7",H20="L6"),0.0001,0))+MAX(X20,Z20)*0.0000001</f>
        <v>76.900003860000012</v>
      </c>
      <c r="K20" s="3" t="str">
        <f>IF(G20="Not Age Eligible","",IF(MAX(T20,V20,X20,Z20)&gt;=LOOKUP(G20,'Qualifying Scores'!$A$4:$A$7,'Qualifying Scores'!$I$4:$I$7),"P",""))</f>
        <v/>
      </c>
      <c r="L20" s="3" t="str">
        <f>IF(G20="Not Age Eligible","",IF(MAX(U20,W20,Y20,AA20)&gt;=LOOKUP(G20,'Qualifying Scores'!$A$10:$A$13,'Qualifying Scores'!$I$10:$I$13),"P",""))</f>
        <v/>
      </c>
      <c r="M20" s="3" t="str">
        <f>IF(G20="Not Age Eligible","",IF(OR(AND(T20&gt;=LOOKUP(G20,'Qualifying Scores'!$A$4:$A$7,'Qualifying Scores'!$I$4:$I$7),U20&gt;=LOOKUP(G20,'Qualifying Scores'!$A$10:$A$13,'Qualifying Scores'!$I$10:$I$13)),AND(X20&gt;=LOOKUP(G20,'Qualifying Scores'!$A$4:$A$7,'Qualifying Scores'!$I$4:$I$7),Y20&gt;=LOOKUP(G20,'Qualifying Scores'!$A$10:$A$13,'Qualifying Scores'!$I$10:$I$13)),AND(V20&gt;=LOOKUP(G20,'Qualifying Scores'!$A$4:$A$7,'Qualifying Scores'!$I$4:$I$7),W20&gt;=LOOKUP(G20,'Qualifying Scores'!$A$10:$A$13,'Qualifying Scores'!$I$10:$I$13)),AND(Z20&gt;=LOOKUP(G20,'Qualifying Scores'!$A$4:$A$7,'Qualifying Scores'!$I$4:$I$7),AA20&gt;=LOOKUP(G20,'Qualifying Scores'!$A$10:$A$13,'Qualifying Scores'!$I$10:$I$13))),"P",""))</f>
        <v/>
      </c>
      <c r="Q20" s="1" t="str">
        <f>IF(A20&lt;5,IF(_xlfn.MAXIFS(A:A,G:G,G20)&gt;3,5-A20,_xlfn.MAXIFS(A:A,G:G,G20)+1-A20),"")</f>
        <v/>
      </c>
      <c r="R20" s="4">
        <f>MAX(T20,X20)</f>
        <v>38.299999999999997</v>
      </c>
      <c r="S20" s="4">
        <f>IF(R20=T20,MAX(V20,X20,Z20),IF(R20=X20,MAX(T20,V20,Z20),0))</f>
        <v>38.6</v>
      </c>
      <c r="T20" s="33">
        <v>38.299999999999997</v>
      </c>
      <c r="U20" s="40">
        <v>4.4000000000000004</v>
      </c>
      <c r="V20" s="34">
        <v>38.299999999999997</v>
      </c>
      <c r="W20" s="40">
        <v>4.4000000000000004</v>
      </c>
      <c r="X20" s="33">
        <v>37.4</v>
      </c>
      <c r="Y20" s="40">
        <v>5.4</v>
      </c>
      <c r="Z20" s="34">
        <v>38.6</v>
      </c>
      <c r="AA20" s="37">
        <v>5.2</v>
      </c>
    </row>
    <row r="21" spans="1:27" x14ac:dyDescent="0.2">
      <c r="A21" s="1" t="str" cm="1">
        <f t="array" ref="A21">IF(I21="","",IF(P21&lt;&gt;"",SUMPRODUCT((P$3:P$45&lt;&gt;"")*(G$3:G$45=G21)*(J$3:J$45&gt;J21)*(I$3:I$45="P"))+1,IF(O21&lt;&gt;"",SUMPRODUCT((O$3:O$45&lt;&gt;"")*(P$3:P$45="")*(G$3:G$45=G21)*(J$3:J$45&gt;J21)*(I$3:I$45="P"))+SUMPRODUCT((P$3:P$45&lt;&gt;"")*(G$3:G$45=G21)*(I$3:I$45="P"))+1,IF(N21&lt;&gt;"",SUMPRODUCT((N$3:N$45&lt;&gt;"")*(G$3:G$45=G21)*(J$3:J$45&gt;J21)*(I$3:I$45="P"))+1,IF(M21="P",SUMPRODUCT((O$3:O$45&lt;&gt;"")*(P$3:P$45="")*(G$3:G$45=G21)*(I$3:I$45="P"))+SUMPRODUCT((P$3:P$45&lt;&gt;"")*(G$3:G$45=G21)*(I$3:I$45="P"))+SUMPRODUCT((N$3:N$45&lt;&gt;"")*(G$3:G$45=G21)*(I$3:I$45="P"))+SUMPRODUCT((P$3:P$45="")*(O$3:O$45="")*(N$3:N$45="")*(M$3:M$45="P")*(G$3:G$45=G21)*(J$3:J$45&gt;J21)*(I$3:I$45="P"))+IF(H21="L5",SUMPRODUCT((P$3:P$45="")*(O$3:O$45="")*(N$3:N$45="")*(M$3:M$45="P")*(G$3:G$45=G21)*(J$3:J$45&lt;J21)*(H$3:H$45&lt;&gt;H21)*(I$3:I$45="P")),-1*SUMPRODUCT((P$3:P$45="")*(O$3:O$45="")*(N$3:N$45="")*(M$3:M$45="P")*(G$3:G$45=G21)*(J$3:J$45&gt;J21)*(H$3:H$45="L5")*(I$3:I$45="P")))+1,"")))))</f>
        <v/>
      </c>
      <c r="B21" s="1" t="str" cm="1">
        <f t="array" ref="B21">IF(P21&lt;&gt;"",SUMPRODUCT((P$3:P$77&lt;&gt;"")*(G$3:G$77=G21)*(J$3:J$77&gt;J21))+1,IF(O21&lt;&gt;"",SUMPRODUCT((O$3:O$77&lt;&gt;"")*(P$3:P$77="")*(G$3:G$77=G21)*(J$3:J$77&gt;J21))+SUMPRODUCT((P$3:P$77&lt;&gt;"")*(G$3:G$77=G21))+1,IF(N21&lt;&gt;"",SUMPRODUCT((N$3:N$77&lt;&gt;"")*(G$3:G$77=G21)*(J$3:J$77&gt;J21))+1,IF(M21="P",SUMPRODUCT((O$3:O$77&lt;&gt;"")*(P$3:P$77="")*(G$3:G$77=G21))+SUMPRODUCT((P$3:P$77&lt;&gt;"")*(G$3:G$77=G21))+SUMPRODUCT((N$3:N$77&lt;&gt;"")*(G$3:G$77=G21))+SUMPRODUCT((P$3:P$77="")*(O$3:O$77="")*(N$3:N$77="")*(M$3:M$77="P")*(G$3:G$77=G21)*(J$3:J$77&gt;J21))+IF(H21="L5",SUMPRODUCT((P$3:P$77="")*(O$3:O$77="")*(N$3:N$77="")*(M$3:M$77="P")*(G$3:G$77=G21)*(J$3:J$77&lt;J21)*(H$3:H$77&lt;&gt;H21)),-1*SUMPRODUCT((P$3:P$77="")*(O$3:O$77="")*(N$3:N$77="")*(M$3:M$77="P")*(G$3:G$77=G21)*(J$3:J$77&gt;J21)*(H$3:H$77="L5")))+1,""))))</f>
        <v/>
      </c>
      <c r="C21" s="36" t="s">
        <v>180</v>
      </c>
      <c r="D21" s="36" t="str">
        <f>IF(E21="","",VLOOKUP(E21,'Coaching Points'!A:B,2,0))</f>
        <v>SK</v>
      </c>
      <c r="E21" s="36" t="s">
        <v>60</v>
      </c>
      <c r="F21" s="35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66</v>
      </c>
      <c r="I21" s="43"/>
      <c r="J21" s="4">
        <f>R21+S21+IF(OR(H21="Junior",H21="Senior"),0.0002,IF(OR(H21="L7",H21="L6"),0.0001,0))+MAX(X21,Z21)*0.0000001</f>
        <v>76.80000364</v>
      </c>
      <c r="K21" s="3" t="str">
        <f>IF(G21="Not Age Eligible","",IF(MAX(T21,V21,X21,Z21)&gt;=LOOKUP(G21,'Qualifying Scores'!$A$4:$A$7,'Qualifying Scores'!$I$4:$I$7),"P",""))</f>
        <v/>
      </c>
      <c r="L21" s="3" t="str">
        <f>IF(G21="Not Age Eligible","",IF(MAX(U21,W21,Y21,AA21)&gt;=LOOKUP(G21,'Qualifying Scores'!$A$10:$A$13,'Qualifying Scores'!$I$10:$I$13),"P",""))</f>
        <v/>
      </c>
      <c r="M21" s="3" t="str">
        <f>IF(G21="Not Age Eligible","",IF(OR(AND(T21&gt;=LOOKUP(G21,'Qualifying Scores'!$A$4:$A$7,'Qualifying Scores'!$I$4:$I$7),U21&gt;=LOOKUP(G21,'Qualifying Scores'!$A$10:$A$13,'Qualifying Scores'!$I$10:$I$13)),AND(X21&gt;=LOOKUP(G21,'Qualifying Scores'!$A$4:$A$7,'Qualifying Scores'!$I$4:$I$7),Y21&gt;=LOOKUP(G21,'Qualifying Scores'!$A$10:$A$13,'Qualifying Scores'!$I$10:$I$13)),AND(V21&gt;=LOOKUP(G21,'Qualifying Scores'!$A$4:$A$7,'Qualifying Scores'!$I$4:$I$7),W21&gt;=LOOKUP(G21,'Qualifying Scores'!$A$10:$A$13,'Qualifying Scores'!$I$10:$I$13)),AND(Z21&gt;=LOOKUP(G21,'Qualifying Scores'!$A$4:$A$7,'Qualifying Scores'!$I$4:$I$7),AA21&gt;=LOOKUP(G21,'Qualifying Scores'!$A$10:$A$13,'Qualifying Scores'!$I$10:$I$13))),"P",""))</f>
        <v/>
      </c>
      <c r="Q21" s="1" t="str">
        <f>IF(A21&lt;5,IF(_xlfn.MAXIFS(A:A,G:G,G21)&gt;3,5-A21,_xlfn.MAXIFS(A:A,G:G,G21)+1-A21),"")</f>
        <v/>
      </c>
      <c r="R21" s="4">
        <f>MAX(T21,X21)</f>
        <v>38.299999999999997</v>
      </c>
      <c r="S21" s="4">
        <f>IF(R21=T21,MAX(V21,X21,Z21),IF(R21=X21,MAX(T21,V21,Z21),0))</f>
        <v>38.5</v>
      </c>
      <c r="T21" s="33">
        <v>38.299999999999997</v>
      </c>
      <c r="U21" s="40">
        <v>5.3</v>
      </c>
      <c r="V21" s="34">
        <v>38.5</v>
      </c>
      <c r="W21" s="40">
        <v>5.3</v>
      </c>
      <c r="X21" s="33">
        <v>36.4</v>
      </c>
      <c r="Y21" s="40">
        <v>4</v>
      </c>
      <c r="Z21" s="34"/>
      <c r="AA21" s="37"/>
    </row>
    <row r="22" spans="1:27" x14ac:dyDescent="0.2">
      <c r="A22" s="1" t="str" cm="1">
        <f t="array" ref="A22">IF(I22="","",IF(P22&lt;&gt;"",SUMPRODUCT((P$3:P$45&lt;&gt;"")*(G$3:G$45=G22)*(J$3:J$45&gt;J22)*(I$3:I$45="P"))+1,IF(O22&lt;&gt;"",SUMPRODUCT((O$3:O$45&lt;&gt;"")*(P$3:P$45="")*(G$3:G$45=G22)*(J$3:J$45&gt;J22)*(I$3:I$45="P"))+SUMPRODUCT((P$3:P$45&lt;&gt;"")*(G$3:G$45=G22)*(I$3:I$45="P"))+1,IF(N22&lt;&gt;"",SUMPRODUCT((N$3:N$45&lt;&gt;"")*(G$3:G$45=G22)*(J$3:J$45&gt;J22)*(I$3:I$45="P"))+1,IF(M22="P",SUMPRODUCT((O$3:O$45&lt;&gt;"")*(P$3:P$45="")*(G$3:G$45=G22)*(I$3:I$45="P"))+SUMPRODUCT((P$3:P$45&lt;&gt;"")*(G$3:G$45=G22)*(I$3:I$45="P"))+SUMPRODUCT((N$3:N$45&lt;&gt;"")*(G$3:G$45=G22)*(I$3:I$45="P"))+SUMPRODUCT((P$3:P$45="")*(O$3:O$45="")*(N$3:N$45="")*(M$3:M$45="P")*(G$3:G$45=G22)*(J$3:J$45&gt;J22)*(I$3:I$45="P"))+IF(H22="L5",SUMPRODUCT((P$3:P$45="")*(O$3:O$45="")*(N$3:N$45="")*(M$3:M$45="P")*(G$3:G$45=G22)*(J$3:J$45&lt;J22)*(H$3:H$45&lt;&gt;H22)*(I$3:I$45="P")),-1*SUMPRODUCT((P$3:P$45="")*(O$3:O$45="")*(N$3:N$45="")*(M$3:M$45="P")*(G$3:G$45=G22)*(J$3:J$45&gt;J22)*(H$3:H$45="L5")*(I$3:I$45="P")))+1,"")))))</f>
        <v/>
      </c>
      <c r="B22" s="1" t="str" cm="1">
        <f t="array" ref="B22">IF(P22&lt;&gt;"",SUMPRODUCT((P$3:P$77&lt;&gt;"")*(G$3:G$77=G22)*(J$3:J$77&gt;J22))+1,IF(O22&lt;&gt;"",SUMPRODUCT((O$3:O$77&lt;&gt;"")*(P$3:P$77="")*(G$3:G$77=G22)*(J$3:J$77&gt;J22))+SUMPRODUCT((P$3:P$77&lt;&gt;"")*(G$3:G$77=G22))+1,IF(N22&lt;&gt;"",SUMPRODUCT((N$3:N$77&lt;&gt;"")*(G$3:G$77=G22)*(J$3:J$77&gt;J22))+1,IF(M22="P",SUMPRODUCT((O$3:O$77&lt;&gt;"")*(P$3:P$77="")*(G$3:G$77=G22))+SUMPRODUCT((P$3:P$77&lt;&gt;"")*(G$3:G$77=G22))+SUMPRODUCT((N$3:N$77&lt;&gt;"")*(G$3:G$77=G22))+SUMPRODUCT((P$3:P$77="")*(O$3:O$77="")*(N$3:N$77="")*(M$3:M$77="P")*(G$3:G$77=G22)*(J$3:J$77&gt;J22))+IF(H22="L5",SUMPRODUCT((P$3:P$77="")*(O$3:O$77="")*(N$3:N$77="")*(M$3:M$77="P")*(G$3:G$77=G22)*(J$3:J$77&lt;J22)*(H$3:H$77&lt;&gt;H22)),-1*SUMPRODUCT((P$3:P$77="")*(O$3:O$77="")*(N$3:N$77="")*(M$3:M$77="P")*(G$3:G$77=G22)*(J$3:J$77&gt;J22)*(H$3:H$77="L5")))+1,""))))</f>
        <v/>
      </c>
      <c r="C22" s="36" t="s">
        <v>156</v>
      </c>
      <c r="D22" s="36" t="str">
        <f>IF(E22="","",VLOOKUP(E22,'Coaching Points'!A:B,2,0))</f>
        <v>AB</v>
      </c>
      <c r="E22" s="36" t="s">
        <v>29</v>
      </c>
      <c r="F22" s="35">
        <v>2004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66</v>
      </c>
      <c r="I22" s="43" t="s">
        <v>567</v>
      </c>
      <c r="J22" s="4">
        <f>R22+S22+IF(OR(H22="Junior",H22="Senior"),0.0002,IF(OR(H22="L7",H22="L6"),0.0001,0))+MAX(X22,Z22)*0.0000001</f>
        <v>75</v>
      </c>
      <c r="K22" s="3" t="str">
        <f>IF(G22="Not Age Eligible","",IF(MAX(T22,V22,X22,Z22)&gt;=LOOKUP(G22,'Qualifying Scores'!$A$4:$A$7,'Qualifying Scores'!$I$4:$I$7),"P",""))</f>
        <v/>
      </c>
      <c r="L22" s="3" t="str">
        <f>IF(G22="Not Age Eligible","",IF(MAX(U22,W22,Y22,AA22)&gt;=LOOKUP(G22,'Qualifying Scores'!$A$10:$A$13,'Qualifying Scores'!$I$10:$I$13),"P",""))</f>
        <v/>
      </c>
      <c r="M22" s="3" t="str">
        <f>IF(G22="Not Age Eligible","",IF(OR(AND(T22&gt;=LOOKUP(G22,'Qualifying Scores'!$A$4:$A$7,'Qualifying Scores'!$I$4:$I$7),U22&gt;=LOOKUP(G22,'Qualifying Scores'!$A$10:$A$13,'Qualifying Scores'!$I$10:$I$13)),AND(X22&gt;=LOOKUP(G22,'Qualifying Scores'!$A$4:$A$7,'Qualifying Scores'!$I$4:$I$7),Y22&gt;=LOOKUP(G22,'Qualifying Scores'!$A$10:$A$13,'Qualifying Scores'!$I$10:$I$13)),AND(V22&gt;=LOOKUP(G22,'Qualifying Scores'!$A$4:$A$7,'Qualifying Scores'!$I$4:$I$7),W22&gt;=LOOKUP(G22,'Qualifying Scores'!$A$10:$A$13,'Qualifying Scores'!$I$10:$I$13)),AND(Z22&gt;=LOOKUP(G22,'Qualifying Scores'!$A$4:$A$7,'Qualifying Scores'!$I$4:$I$7),AA22&gt;=LOOKUP(G22,'Qualifying Scores'!$A$10:$A$13,'Qualifying Scores'!$I$10:$I$13))),"P",""))</f>
        <v/>
      </c>
      <c r="Q22" s="1" t="str">
        <f>IF(A22&lt;5,IF(_xlfn.MAXIFS(A:A,G:G,G22)&gt;3,5-A22,_xlfn.MAXIFS(A:A,G:G,G22)+1-A22),"")</f>
        <v/>
      </c>
      <c r="R22" s="4">
        <f>MAX(T22,X22)</f>
        <v>37.299999999999997</v>
      </c>
      <c r="S22" s="4">
        <f>IF(R22=T22,MAX(V22,X22,Z22),IF(R22=X22,MAX(T22,V22,Z22),0))</f>
        <v>37.700000000000003</v>
      </c>
      <c r="T22" s="33">
        <v>37.299999999999997</v>
      </c>
      <c r="U22" s="40">
        <v>5.0999999999999996</v>
      </c>
      <c r="V22" s="34">
        <v>37.700000000000003</v>
      </c>
      <c r="W22" s="40">
        <v>5.0999999999999996</v>
      </c>
      <c r="X22" s="33"/>
      <c r="Y22" s="40"/>
      <c r="Z22" s="34"/>
      <c r="AA22" s="37"/>
    </row>
    <row r="23" spans="1:27" x14ac:dyDescent="0.2">
      <c r="A23" s="1" t="str" cm="1">
        <f t="array" ref="A23">IF(I23="","",IF(P23&lt;&gt;"",SUMPRODUCT((P$3:P$45&lt;&gt;"")*(G$3:G$45=G23)*(J$3:J$45&gt;J23)*(I$3:I$45="P"))+1,IF(O23&lt;&gt;"",SUMPRODUCT((O$3:O$45&lt;&gt;"")*(P$3:P$45="")*(G$3:G$45=G23)*(J$3:J$45&gt;J23)*(I$3:I$45="P"))+SUMPRODUCT((P$3:P$45&lt;&gt;"")*(G$3:G$45=G23)*(I$3:I$45="P"))+1,IF(N23&lt;&gt;"",SUMPRODUCT((N$3:N$45&lt;&gt;"")*(G$3:G$45=G23)*(J$3:J$45&gt;J23)*(I$3:I$45="P"))+1,IF(M23="P",SUMPRODUCT((O$3:O$45&lt;&gt;"")*(P$3:P$45="")*(G$3:G$45=G23)*(I$3:I$45="P"))+SUMPRODUCT((P$3:P$45&lt;&gt;"")*(G$3:G$45=G23)*(I$3:I$45="P"))+SUMPRODUCT((N$3:N$45&lt;&gt;"")*(G$3:G$45=G23)*(I$3:I$45="P"))+SUMPRODUCT((P$3:P$45="")*(O$3:O$45="")*(N$3:N$45="")*(M$3:M$45="P")*(G$3:G$45=G23)*(J$3:J$45&gt;J23)*(I$3:I$45="P"))+IF(H23="L5",SUMPRODUCT((P$3:P$45="")*(O$3:O$45="")*(N$3:N$45="")*(M$3:M$45="P")*(G$3:G$45=G23)*(J$3:J$45&lt;J23)*(H$3:H$45&lt;&gt;H23)*(I$3:I$45="P")),-1*SUMPRODUCT((P$3:P$45="")*(O$3:O$45="")*(N$3:N$45="")*(M$3:M$45="P")*(G$3:G$45=G23)*(J$3:J$45&gt;J23)*(H$3:H$45="L5")*(I$3:I$45="P")))+1,"")))))</f>
        <v/>
      </c>
      <c r="B23" s="1" t="str" cm="1">
        <f t="array" ref="B23">IF(P23&lt;&gt;"",SUMPRODUCT((P$3:P$77&lt;&gt;"")*(G$3:G$77=G23)*(J$3:J$77&gt;J23))+1,IF(O23&lt;&gt;"",SUMPRODUCT((O$3:O$77&lt;&gt;"")*(P$3:P$77="")*(G$3:G$77=G23)*(J$3:J$77&gt;J23))+SUMPRODUCT((P$3:P$77&lt;&gt;"")*(G$3:G$77=G23))+1,IF(N23&lt;&gt;"",SUMPRODUCT((N$3:N$77&lt;&gt;"")*(G$3:G$77=G23)*(J$3:J$77&gt;J23))+1,IF(M23="P",SUMPRODUCT((O$3:O$77&lt;&gt;"")*(P$3:P$77="")*(G$3:G$77=G23))+SUMPRODUCT((P$3:P$77&lt;&gt;"")*(G$3:G$77=G23))+SUMPRODUCT((N$3:N$77&lt;&gt;"")*(G$3:G$77=G23))+SUMPRODUCT((P$3:P$77="")*(O$3:O$77="")*(N$3:N$77="")*(M$3:M$77="P")*(G$3:G$77=G23)*(J$3:J$77&gt;J23))+IF(H23="L5",SUMPRODUCT((P$3:P$77="")*(O$3:O$77="")*(N$3:N$77="")*(M$3:M$77="P")*(G$3:G$77=G23)*(J$3:J$77&lt;J23)*(H$3:H$77&lt;&gt;H23)),-1*SUMPRODUCT((P$3:P$77="")*(O$3:O$77="")*(N$3:N$77="")*(M$3:M$77="P")*(G$3:G$77=G23)*(J$3:J$77&gt;J23)*(H$3:H$77="L5")))+1,""))))</f>
        <v/>
      </c>
      <c r="C23" s="36" t="s">
        <v>181</v>
      </c>
      <c r="D23" s="36" t="str">
        <f>IF(E23="","",VLOOKUP(E23,'Coaching Points'!A:B,2,0))</f>
        <v>SK</v>
      </c>
      <c r="E23" s="36" t="s">
        <v>45</v>
      </c>
      <c r="F23" s="35">
        <v>2005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66</v>
      </c>
      <c r="I23" s="43" t="s">
        <v>567</v>
      </c>
      <c r="J23" s="4">
        <f>R23+S23+IF(OR(H23="Junior",H23="Senior"),0.0002,IF(OR(H23="L7",H23="L6"),0.0001,0))+MAX(X23,Z23)*0.0000001</f>
        <v>74.100003520000001</v>
      </c>
      <c r="K23" s="3" t="str">
        <f>IF(G23="Not Age Eligible","",IF(MAX(T23,V23,X23,Z23)&gt;=LOOKUP(G23,'Qualifying Scores'!$A$4:$A$7,'Qualifying Scores'!$I$4:$I$7),"P",""))</f>
        <v/>
      </c>
      <c r="L23" s="3" t="str">
        <f>IF(G23="Not Age Eligible","",IF(MAX(U23,W23,Y23,AA23)&gt;=LOOKUP(G23,'Qualifying Scores'!$A$10:$A$13,'Qualifying Scores'!$I$10:$I$13),"P",""))</f>
        <v/>
      </c>
      <c r="M23" s="3" t="str">
        <f>IF(G23="Not Age Eligible","",IF(OR(AND(T23&gt;=LOOKUP(G23,'Qualifying Scores'!$A$4:$A$7,'Qualifying Scores'!$I$4:$I$7),U23&gt;=LOOKUP(G23,'Qualifying Scores'!$A$10:$A$13,'Qualifying Scores'!$I$10:$I$13)),AND(X23&gt;=LOOKUP(G23,'Qualifying Scores'!$A$4:$A$7,'Qualifying Scores'!$I$4:$I$7),Y23&gt;=LOOKUP(G23,'Qualifying Scores'!$A$10:$A$13,'Qualifying Scores'!$I$10:$I$13)),AND(V23&gt;=LOOKUP(G23,'Qualifying Scores'!$A$4:$A$7,'Qualifying Scores'!$I$4:$I$7),W23&gt;=LOOKUP(G23,'Qualifying Scores'!$A$10:$A$13,'Qualifying Scores'!$I$10:$I$13)),AND(Z23&gt;=LOOKUP(G23,'Qualifying Scores'!$A$4:$A$7,'Qualifying Scores'!$I$4:$I$7),AA23&gt;=LOOKUP(G23,'Qualifying Scores'!$A$10:$A$13,'Qualifying Scores'!$I$10:$I$13))),"P",""))</f>
        <v/>
      </c>
      <c r="Q23" s="1" t="str">
        <f>IF(A23&lt;5,IF(_xlfn.MAXIFS(A:A,G:G,G23)&gt;3,5-A23,_xlfn.MAXIFS(A:A,G:G,G23)+1-A23),"")</f>
        <v/>
      </c>
      <c r="R23" s="4">
        <f>MAX(T23,X23)</f>
        <v>37</v>
      </c>
      <c r="S23" s="4">
        <f>IF(R23=T23,MAX(V23,X23,Z23),IF(R23=X23,MAX(T23,V23,Z23),0))</f>
        <v>37.1</v>
      </c>
      <c r="T23" s="33">
        <v>37</v>
      </c>
      <c r="U23" s="40">
        <v>4.8</v>
      </c>
      <c r="V23" s="34">
        <v>37.1</v>
      </c>
      <c r="W23" s="40">
        <v>4.8</v>
      </c>
      <c r="X23" s="33">
        <v>35.200000000000003</v>
      </c>
      <c r="Y23" s="40">
        <v>4.8</v>
      </c>
      <c r="Z23" s="34"/>
      <c r="AA23" s="37"/>
    </row>
    <row r="24" spans="1:27" x14ac:dyDescent="0.2">
      <c r="A24" s="1" t="str" cm="1">
        <f t="array" ref="A24">IF(I24="","",IF(P24&lt;&gt;"",SUMPRODUCT((P$3:P$45&lt;&gt;"")*(G$3:G$45=G24)*(J$3:J$45&gt;J24)*(I$3:I$45="P"))+1,IF(O24&lt;&gt;"",SUMPRODUCT((O$3:O$45&lt;&gt;"")*(P$3:P$45="")*(G$3:G$45=G24)*(J$3:J$45&gt;J24)*(I$3:I$45="P"))+SUMPRODUCT((P$3:P$45&lt;&gt;"")*(G$3:G$45=G24)*(I$3:I$45="P"))+1,IF(N24&lt;&gt;"",SUMPRODUCT((N$3:N$45&lt;&gt;"")*(G$3:G$45=G24)*(J$3:J$45&gt;J24)*(I$3:I$45="P"))+1,IF(M24="P",SUMPRODUCT((O$3:O$45&lt;&gt;"")*(P$3:P$45="")*(G$3:G$45=G24)*(I$3:I$45="P"))+SUMPRODUCT((P$3:P$45&lt;&gt;"")*(G$3:G$45=G24)*(I$3:I$45="P"))+SUMPRODUCT((N$3:N$45&lt;&gt;"")*(G$3:G$45=G24)*(I$3:I$45="P"))+SUMPRODUCT((P$3:P$45="")*(O$3:O$45="")*(N$3:N$45="")*(M$3:M$45="P")*(G$3:G$45=G24)*(J$3:J$45&gt;J24)*(I$3:I$45="P"))+IF(H24="L5",SUMPRODUCT((P$3:P$45="")*(O$3:O$45="")*(N$3:N$45="")*(M$3:M$45="P")*(G$3:G$45=G24)*(J$3:J$45&lt;J24)*(H$3:H$45&lt;&gt;H24)*(I$3:I$45="P")),-1*SUMPRODUCT((P$3:P$45="")*(O$3:O$45="")*(N$3:N$45="")*(M$3:M$45="P")*(G$3:G$45=G24)*(J$3:J$45&gt;J24)*(H$3:H$45="L5")*(I$3:I$45="P")))+1,"")))))</f>
        <v/>
      </c>
      <c r="B24" s="1" t="str" cm="1">
        <f t="array" ref="B24">IF(P24&lt;&gt;"",SUMPRODUCT((P$3:P$77&lt;&gt;"")*(G$3:G$77=G24)*(J$3:J$77&gt;J24))+1,IF(O24&lt;&gt;"",SUMPRODUCT((O$3:O$77&lt;&gt;"")*(P$3:P$77="")*(G$3:G$77=G24)*(J$3:J$77&gt;J24))+SUMPRODUCT((P$3:P$77&lt;&gt;"")*(G$3:G$77=G24))+1,IF(N24&lt;&gt;"",SUMPRODUCT((N$3:N$77&lt;&gt;"")*(G$3:G$77=G24)*(J$3:J$77&gt;J24))+1,IF(M24="P",SUMPRODUCT((O$3:O$77&lt;&gt;"")*(P$3:P$77="")*(G$3:G$77=G24))+SUMPRODUCT((P$3:P$77&lt;&gt;"")*(G$3:G$77=G24))+SUMPRODUCT((N$3:N$77&lt;&gt;"")*(G$3:G$77=G24))+SUMPRODUCT((P$3:P$77="")*(O$3:O$77="")*(N$3:N$77="")*(M$3:M$77="P")*(G$3:G$77=G24)*(J$3:J$77&gt;J24))+IF(H24="L5",SUMPRODUCT((P$3:P$77="")*(O$3:O$77="")*(N$3:N$77="")*(M$3:M$77="P")*(G$3:G$77=G24)*(J$3:J$77&lt;J24)*(H$3:H$77&lt;&gt;H24)),-1*SUMPRODUCT((P$3:P$77="")*(O$3:O$77="")*(N$3:N$77="")*(M$3:M$77="P")*(G$3:G$77=G24)*(J$3:J$77&gt;J24)*(H$3:H$77="L5")))+1,""))))</f>
        <v/>
      </c>
      <c r="C24" s="36" t="s">
        <v>144</v>
      </c>
      <c r="D24" s="36" t="str">
        <f>IF(E24="","",VLOOKUP(E24,'Coaching Points'!A:B,2,0))</f>
        <v>AB</v>
      </c>
      <c r="E24" s="36" t="s">
        <v>29</v>
      </c>
      <c r="F24" s="35">
        <v>2004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66</v>
      </c>
      <c r="I24" s="43"/>
      <c r="J24" s="4">
        <f>R24+S24+IF(OR(H24="Junior",H24="Senior"),0.0002,IF(OR(H24="L7",H24="L6"),0.0001,0))+MAX(X24,Z24)*0.0000001</f>
        <v>73.300003680000003</v>
      </c>
      <c r="K24" s="3" t="str">
        <f>IF(G24="Not Age Eligible","",IF(MAX(T24,V24,X24,Z24)&gt;=LOOKUP(G24,'Qualifying Scores'!$A$4:$A$7,'Qualifying Scores'!$I$4:$I$7),"P",""))</f>
        <v/>
      </c>
      <c r="L24" s="3" t="str">
        <f>IF(G24="Not Age Eligible","",IF(MAX(U24,W24,Y24,AA24)&gt;=LOOKUP(G24,'Qualifying Scores'!$A$10:$A$13,'Qualifying Scores'!$I$10:$I$13),"P",""))</f>
        <v/>
      </c>
      <c r="M24" s="3" t="str">
        <f>IF(G24="Not Age Eligible","",IF(OR(AND(T24&gt;=LOOKUP(G24,'Qualifying Scores'!$A$4:$A$7,'Qualifying Scores'!$I$4:$I$7),U24&gt;=LOOKUP(G24,'Qualifying Scores'!$A$10:$A$13,'Qualifying Scores'!$I$10:$I$13)),AND(X24&gt;=LOOKUP(G24,'Qualifying Scores'!$A$4:$A$7,'Qualifying Scores'!$I$4:$I$7),Y24&gt;=LOOKUP(G24,'Qualifying Scores'!$A$10:$A$13,'Qualifying Scores'!$I$10:$I$13)),AND(V24&gt;=LOOKUP(G24,'Qualifying Scores'!$A$4:$A$7,'Qualifying Scores'!$I$4:$I$7),W24&gt;=LOOKUP(G24,'Qualifying Scores'!$A$10:$A$13,'Qualifying Scores'!$I$10:$I$13)),AND(Z24&gt;=LOOKUP(G24,'Qualifying Scores'!$A$4:$A$7,'Qualifying Scores'!$I$4:$I$7),AA24&gt;=LOOKUP(G24,'Qualifying Scores'!$A$10:$A$13,'Qualifying Scores'!$I$10:$I$13))),"P",""))</f>
        <v/>
      </c>
      <c r="Q24" s="1" t="str">
        <f>IF(A24&lt;5,IF(_xlfn.MAXIFS(A:A,G:G,G24)&gt;3,5-A24,_xlfn.MAXIFS(A:A,G:G,G24)+1-A24),"")</f>
        <v/>
      </c>
      <c r="R24" s="4">
        <f>MAX(T24,X24)</f>
        <v>36.799999999999997</v>
      </c>
      <c r="S24" s="4">
        <f>IF(R24=T24,MAX(V24,X24,Z24),IF(R24=X24,MAX(T24,V24,Z24),0))</f>
        <v>36.5</v>
      </c>
      <c r="T24" s="33">
        <v>36.5</v>
      </c>
      <c r="U24" s="40">
        <v>5.3</v>
      </c>
      <c r="V24" s="34"/>
      <c r="W24" s="40"/>
      <c r="X24" s="33">
        <v>36.799999999999997</v>
      </c>
      <c r="Y24" s="40">
        <v>6.5</v>
      </c>
      <c r="Z24" s="34"/>
      <c r="AA24" s="37"/>
    </row>
    <row r="25" spans="1:27" x14ac:dyDescent="0.2">
      <c r="A25" s="1" t="str" cm="1">
        <f t="array" ref="A25">IF(I25="","",IF(P25&lt;&gt;"",SUMPRODUCT((P$3:P$45&lt;&gt;"")*(G$3:G$45=G25)*(J$3:J$45&gt;J25)*(I$3:I$45="P"))+1,IF(O25&lt;&gt;"",SUMPRODUCT((O$3:O$45&lt;&gt;"")*(P$3:P$45="")*(G$3:G$45=G25)*(J$3:J$45&gt;J25)*(I$3:I$45="P"))+SUMPRODUCT((P$3:P$45&lt;&gt;"")*(G$3:G$45=G25)*(I$3:I$45="P"))+1,IF(N25&lt;&gt;"",SUMPRODUCT((N$3:N$45&lt;&gt;"")*(G$3:G$45=G25)*(J$3:J$45&gt;J25)*(I$3:I$45="P"))+1,IF(M25="P",SUMPRODUCT((O$3:O$45&lt;&gt;"")*(P$3:P$45="")*(G$3:G$45=G25)*(I$3:I$45="P"))+SUMPRODUCT((P$3:P$45&lt;&gt;"")*(G$3:G$45=G25)*(I$3:I$45="P"))+SUMPRODUCT((N$3:N$45&lt;&gt;"")*(G$3:G$45=G25)*(I$3:I$45="P"))+SUMPRODUCT((P$3:P$45="")*(O$3:O$45="")*(N$3:N$45="")*(M$3:M$45="P")*(G$3:G$45=G25)*(J$3:J$45&gt;J25)*(I$3:I$45="P"))+IF(H25="L5",SUMPRODUCT((P$3:P$45="")*(O$3:O$45="")*(N$3:N$45="")*(M$3:M$45="P")*(G$3:G$45=G25)*(J$3:J$45&lt;J25)*(H$3:H$45&lt;&gt;H25)*(I$3:I$45="P")),-1*SUMPRODUCT((P$3:P$45="")*(O$3:O$45="")*(N$3:N$45="")*(M$3:M$45="P")*(G$3:G$45=G25)*(J$3:J$45&gt;J25)*(H$3:H$45="L5")*(I$3:I$45="P")))+1,"")))))</f>
        <v/>
      </c>
      <c r="B25" s="1" t="str" cm="1">
        <f t="array" ref="B25">IF(P25&lt;&gt;"",SUMPRODUCT((P$3:P$77&lt;&gt;"")*(G$3:G$77=G25)*(J$3:J$77&gt;J25))+1,IF(O25&lt;&gt;"",SUMPRODUCT((O$3:O$77&lt;&gt;"")*(P$3:P$77="")*(G$3:G$77=G25)*(J$3:J$77&gt;J25))+SUMPRODUCT((P$3:P$77&lt;&gt;"")*(G$3:G$77=G25))+1,IF(N25&lt;&gt;"",SUMPRODUCT((N$3:N$77&lt;&gt;"")*(G$3:G$77=G25)*(J$3:J$77&gt;J25))+1,IF(M25="P",SUMPRODUCT((O$3:O$77&lt;&gt;"")*(P$3:P$77="")*(G$3:G$77=G25))+SUMPRODUCT((P$3:P$77&lt;&gt;"")*(G$3:G$77=G25))+SUMPRODUCT((N$3:N$77&lt;&gt;"")*(G$3:G$77=G25))+SUMPRODUCT((P$3:P$77="")*(O$3:O$77="")*(N$3:N$77="")*(M$3:M$77="P")*(G$3:G$77=G25)*(J$3:J$77&gt;J25))+IF(H25="L5",SUMPRODUCT((P$3:P$77="")*(O$3:O$77="")*(N$3:N$77="")*(M$3:M$77="P")*(G$3:G$77=G25)*(J$3:J$77&lt;J25)*(H$3:H$77&lt;&gt;H25)),-1*SUMPRODUCT((P$3:P$77="")*(O$3:O$77="")*(N$3:N$77="")*(M$3:M$77="P")*(G$3:G$77=G25)*(J$3:J$77&gt;J25)*(H$3:H$77="L5")))+1,""))))</f>
        <v/>
      </c>
      <c r="C25" s="36" t="s">
        <v>539</v>
      </c>
      <c r="D25" s="36" t="str">
        <f>IF(E25="","",VLOOKUP(E25,'Coaching Points'!A:B,2,0))</f>
        <v>QC</v>
      </c>
      <c r="E25" s="36" t="s">
        <v>84</v>
      </c>
      <c r="F25" s="35">
        <v>2003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66</v>
      </c>
      <c r="I25" s="43"/>
      <c r="J25" s="4">
        <f>R25+S25+IF(OR(H25="Junior",H25="Senior"),0.0002,IF(OR(H25="L7",H25="L6"),0.0001,0))+MAX(X25,Z25)*0.0000001</f>
        <v>73.200003820000006</v>
      </c>
      <c r="K25" s="3" t="str">
        <f>IF(G25="Not Age Eligible","",IF(MAX(T25,V25,X25,Z25)&gt;=LOOKUP(G25,'Qualifying Scores'!$A$4:$A$7,'Qualifying Scores'!$I$4:$I$7),"P",""))</f>
        <v/>
      </c>
      <c r="L25" s="3" t="str">
        <f>IF(G25="Not Age Eligible","",IF(MAX(U25,W25,Y25,AA25)&gt;=LOOKUP(G25,'Qualifying Scores'!$A$10:$A$13,'Qualifying Scores'!$I$10:$I$13),"P",""))</f>
        <v/>
      </c>
      <c r="M25" s="3" t="str">
        <f>IF(G25="Not Age Eligible","",IF(OR(AND(T25&gt;=LOOKUP(G25,'Qualifying Scores'!$A$4:$A$7,'Qualifying Scores'!$I$4:$I$7),U25&gt;=LOOKUP(G25,'Qualifying Scores'!$A$10:$A$13,'Qualifying Scores'!$I$10:$I$13)),AND(X25&gt;=LOOKUP(G25,'Qualifying Scores'!$A$4:$A$7,'Qualifying Scores'!$I$4:$I$7),Y25&gt;=LOOKUP(G25,'Qualifying Scores'!$A$10:$A$13,'Qualifying Scores'!$I$10:$I$13)),AND(V25&gt;=LOOKUP(G25,'Qualifying Scores'!$A$4:$A$7,'Qualifying Scores'!$I$4:$I$7),W25&gt;=LOOKUP(G25,'Qualifying Scores'!$A$10:$A$13,'Qualifying Scores'!$I$10:$I$13)),AND(Z25&gt;=LOOKUP(G25,'Qualifying Scores'!$A$4:$A$7,'Qualifying Scores'!$I$4:$I$7),AA25&gt;=LOOKUP(G25,'Qualifying Scores'!$A$10:$A$13,'Qualifying Scores'!$I$10:$I$13))),"P",""))</f>
        <v/>
      </c>
      <c r="Q25" s="1" t="str">
        <f>IF(A25&lt;5,IF(_xlfn.MAXIFS(A:A,G:G,G25)&gt;3,5-A25,_xlfn.MAXIFS(A:A,G:G,G25)+1-A25),"")</f>
        <v/>
      </c>
      <c r="R25" s="4">
        <f>MAX(T25,X25)</f>
        <v>38.200000000000003</v>
      </c>
      <c r="S25" s="4">
        <f>IF(R25=T25,MAX(V25,X25,Z25),IF(R25=X25,MAX(T25,V25,Z25),0))</f>
        <v>35</v>
      </c>
      <c r="T25" s="33"/>
      <c r="U25" s="40"/>
      <c r="V25" s="34"/>
      <c r="W25" s="40"/>
      <c r="X25" s="33">
        <v>38.200000000000003</v>
      </c>
      <c r="Y25" s="40">
        <v>4.5</v>
      </c>
      <c r="Z25" s="34">
        <v>35</v>
      </c>
      <c r="AA25" s="37">
        <v>3.2</v>
      </c>
    </row>
    <row r="26" spans="1:27" x14ac:dyDescent="0.2">
      <c r="A26" s="1" t="str" cm="1">
        <f t="array" ref="A26">IF(I26="","",IF(P26&lt;&gt;"",SUMPRODUCT((P$3:P$45&lt;&gt;"")*(G$3:G$45=G26)*(J$3:J$45&gt;J26)*(I$3:I$45="P"))+1,IF(O26&lt;&gt;"",SUMPRODUCT((O$3:O$45&lt;&gt;"")*(P$3:P$45="")*(G$3:G$45=G26)*(J$3:J$45&gt;J26)*(I$3:I$45="P"))+SUMPRODUCT((P$3:P$45&lt;&gt;"")*(G$3:G$45=G26)*(I$3:I$45="P"))+1,IF(N26&lt;&gt;"",SUMPRODUCT((N$3:N$45&lt;&gt;"")*(G$3:G$45=G26)*(J$3:J$45&gt;J26)*(I$3:I$45="P"))+1,IF(M26="P",SUMPRODUCT((O$3:O$45&lt;&gt;"")*(P$3:P$45="")*(G$3:G$45=G26)*(I$3:I$45="P"))+SUMPRODUCT((P$3:P$45&lt;&gt;"")*(G$3:G$45=G26)*(I$3:I$45="P"))+SUMPRODUCT((N$3:N$45&lt;&gt;"")*(G$3:G$45=G26)*(I$3:I$45="P"))+SUMPRODUCT((P$3:P$45="")*(O$3:O$45="")*(N$3:N$45="")*(M$3:M$45="P")*(G$3:G$45=G26)*(J$3:J$45&gt;J26)*(I$3:I$45="P"))+IF(H26="L5",SUMPRODUCT((P$3:P$45="")*(O$3:O$45="")*(N$3:N$45="")*(M$3:M$45="P")*(G$3:G$45=G26)*(J$3:J$45&lt;J26)*(H$3:H$45&lt;&gt;H26)*(I$3:I$45="P")),-1*SUMPRODUCT((P$3:P$45="")*(O$3:O$45="")*(N$3:N$45="")*(M$3:M$45="P")*(G$3:G$45=G26)*(J$3:J$45&gt;J26)*(H$3:H$45="L5")*(I$3:I$45="P")))+1,"")))))</f>
        <v/>
      </c>
      <c r="B26" s="1" t="str" cm="1">
        <f t="array" ref="B26">IF(P26&lt;&gt;"",SUMPRODUCT((P$3:P$77&lt;&gt;"")*(G$3:G$77=G26)*(J$3:J$77&gt;J26))+1,IF(O26&lt;&gt;"",SUMPRODUCT((O$3:O$77&lt;&gt;"")*(P$3:P$77="")*(G$3:G$77=G26)*(J$3:J$77&gt;J26))+SUMPRODUCT((P$3:P$77&lt;&gt;"")*(G$3:G$77=G26))+1,IF(N26&lt;&gt;"",SUMPRODUCT((N$3:N$77&lt;&gt;"")*(G$3:G$77=G26)*(J$3:J$77&gt;J26))+1,IF(M26="P",SUMPRODUCT((O$3:O$77&lt;&gt;"")*(P$3:P$77="")*(G$3:G$77=G26))+SUMPRODUCT((P$3:P$77&lt;&gt;"")*(G$3:G$77=G26))+SUMPRODUCT((N$3:N$77&lt;&gt;"")*(G$3:G$77=G26))+SUMPRODUCT((P$3:P$77="")*(O$3:O$77="")*(N$3:N$77="")*(M$3:M$77="P")*(G$3:G$77=G26)*(J$3:J$77&gt;J26))+IF(H26="L5",SUMPRODUCT((P$3:P$77="")*(O$3:O$77="")*(N$3:N$77="")*(M$3:M$77="P")*(G$3:G$77=G26)*(J$3:J$77&lt;J26)*(H$3:H$77&lt;&gt;H26)),-1*SUMPRODUCT((P$3:P$77="")*(O$3:O$77="")*(N$3:N$77="")*(M$3:M$77="P")*(G$3:G$77=G26)*(J$3:J$77&gt;J26)*(H$3:H$77="L5")))+1,""))))</f>
        <v/>
      </c>
      <c r="C26" s="36" t="s">
        <v>183</v>
      </c>
      <c r="D26" s="36" t="str">
        <f>IF(E26="","",VLOOKUP(E26,'Coaching Points'!A:B,2,0))</f>
        <v>AB</v>
      </c>
      <c r="E26" s="36" t="s">
        <v>63</v>
      </c>
      <c r="F26" s="35">
        <v>2002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66</v>
      </c>
      <c r="I26" s="43" t="s">
        <v>567</v>
      </c>
      <c r="J26" s="4">
        <f>R26+S26+IF(OR(H26="Junior",H26="Senior"),0.0002,IF(OR(H26="L7",H26="L6"),0.0001,0))+MAX(X26,Z26)*0.0000001</f>
        <v>72.80000376000001</v>
      </c>
      <c r="K26" s="3" t="str">
        <f>IF(G26="Not Age Eligible","",IF(MAX(T26,V26,X26,Z26)&gt;=LOOKUP(G26,'Qualifying Scores'!$A$4:$A$7,'Qualifying Scores'!$I$4:$I$7),"P",""))</f>
        <v/>
      </c>
      <c r="L26" s="3" t="str">
        <f>IF(G26="Not Age Eligible","",IF(MAX(U26,W26,Y26,AA26)&gt;=LOOKUP(G26,'Qualifying Scores'!$A$10:$A$13,'Qualifying Scores'!$I$10:$I$13),"P",""))</f>
        <v/>
      </c>
      <c r="M26" s="3" t="str">
        <f>IF(G26="Not Age Eligible","",IF(OR(AND(T26&gt;=LOOKUP(G26,'Qualifying Scores'!$A$4:$A$7,'Qualifying Scores'!$I$4:$I$7),U26&gt;=LOOKUP(G26,'Qualifying Scores'!$A$10:$A$13,'Qualifying Scores'!$I$10:$I$13)),AND(X26&gt;=LOOKUP(G26,'Qualifying Scores'!$A$4:$A$7,'Qualifying Scores'!$I$4:$I$7),Y26&gt;=LOOKUP(G26,'Qualifying Scores'!$A$10:$A$13,'Qualifying Scores'!$I$10:$I$13)),AND(V26&gt;=LOOKUP(G26,'Qualifying Scores'!$A$4:$A$7,'Qualifying Scores'!$I$4:$I$7),W26&gt;=LOOKUP(G26,'Qualifying Scores'!$A$10:$A$13,'Qualifying Scores'!$I$10:$I$13)),AND(Z26&gt;=LOOKUP(G26,'Qualifying Scores'!$A$4:$A$7,'Qualifying Scores'!$I$4:$I$7),AA26&gt;=LOOKUP(G26,'Qualifying Scores'!$A$10:$A$13,'Qualifying Scores'!$I$10:$I$13))),"P",""))</f>
        <v/>
      </c>
      <c r="Q26" s="1" t="str">
        <f>IF(A26&lt;5,IF(_xlfn.MAXIFS(A:A,G:G,G26)&gt;3,5-A26,_xlfn.MAXIFS(A:A,G:G,G26)+1-A26),"")</f>
        <v/>
      </c>
      <c r="R26" s="4">
        <f>MAX(T26,X26)</f>
        <v>37.6</v>
      </c>
      <c r="S26" s="4">
        <f>IF(R26=T26,MAX(V26,X26,Z26),IF(R26=X26,MAX(T26,V26,Z26),0))</f>
        <v>35.200000000000003</v>
      </c>
      <c r="T26" s="33">
        <v>34.799999999999997</v>
      </c>
      <c r="U26" s="40">
        <v>5.0999999999999996</v>
      </c>
      <c r="V26" s="34"/>
      <c r="W26" s="40"/>
      <c r="X26" s="33">
        <v>37.6</v>
      </c>
      <c r="Y26" s="40">
        <v>5.3</v>
      </c>
      <c r="Z26" s="34">
        <v>35.200000000000003</v>
      </c>
      <c r="AA26" s="37">
        <v>4.2</v>
      </c>
    </row>
    <row r="27" spans="1:27" x14ac:dyDescent="0.2">
      <c r="A27" s="1" t="str" cm="1">
        <f t="array" ref="A27">IF(I27="","",IF(P27&lt;&gt;"",SUMPRODUCT((P$3:P$45&lt;&gt;"")*(G$3:G$45=G27)*(J$3:J$45&gt;J27)*(I$3:I$45="P"))+1,IF(O27&lt;&gt;"",SUMPRODUCT((O$3:O$45&lt;&gt;"")*(P$3:P$45="")*(G$3:G$45=G27)*(J$3:J$45&gt;J27)*(I$3:I$45="P"))+SUMPRODUCT((P$3:P$45&lt;&gt;"")*(G$3:G$45=G27)*(I$3:I$45="P"))+1,IF(N27&lt;&gt;"",SUMPRODUCT((N$3:N$45&lt;&gt;"")*(G$3:G$45=G27)*(J$3:J$45&gt;J27)*(I$3:I$45="P"))+1,IF(M27="P",SUMPRODUCT((O$3:O$45&lt;&gt;"")*(P$3:P$45="")*(G$3:G$45=G27)*(I$3:I$45="P"))+SUMPRODUCT((P$3:P$45&lt;&gt;"")*(G$3:G$45=G27)*(I$3:I$45="P"))+SUMPRODUCT((N$3:N$45&lt;&gt;"")*(G$3:G$45=G27)*(I$3:I$45="P"))+SUMPRODUCT((P$3:P$45="")*(O$3:O$45="")*(N$3:N$45="")*(M$3:M$45="P")*(G$3:G$45=G27)*(J$3:J$45&gt;J27)*(I$3:I$45="P"))+IF(H27="L5",SUMPRODUCT((P$3:P$45="")*(O$3:O$45="")*(N$3:N$45="")*(M$3:M$45="P")*(G$3:G$45=G27)*(J$3:J$45&lt;J27)*(H$3:H$45&lt;&gt;H27)*(I$3:I$45="P")),-1*SUMPRODUCT((P$3:P$45="")*(O$3:O$45="")*(N$3:N$45="")*(M$3:M$45="P")*(G$3:G$45=G27)*(J$3:J$45&gt;J27)*(H$3:H$45="L5")*(I$3:I$45="P")))+1,"")))))</f>
        <v/>
      </c>
      <c r="B27" s="1" t="str" cm="1">
        <f t="array" ref="B27">IF(P27&lt;&gt;"",SUMPRODUCT((P$3:P$77&lt;&gt;"")*(G$3:G$77=G27)*(J$3:J$77&gt;J27))+1,IF(O27&lt;&gt;"",SUMPRODUCT((O$3:O$77&lt;&gt;"")*(P$3:P$77="")*(G$3:G$77=G27)*(J$3:J$77&gt;J27))+SUMPRODUCT((P$3:P$77&lt;&gt;"")*(G$3:G$77=G27))+1,IF(N27&lt;&gt;"",SUMPRODUCT((N$3:N$77&lt;&gt;"")*(G$3:G$77=G27)*(J$3:J$77&gt;J27))+1,IF(M27="P",SUMPRODUCT((O$3:O$77&lt;&gt;"")*(P$3:P$77="")*(G$3:G$77=G27))+SUMPRODUCT((P$3:P$77&lt;&gt;"")*(G$3:G$77=G27))+SUMPRODUCT((N$3:N$77&lt;&gt;"")*(G$3:G$77=G27))+SUMPRODUCT((P$3:P$77="")*(O$3:O$77="")*(N$3:N$77="")*(M$3:M$77="P")*(G$3:G$77=G27)*(J$3:J$77&gt;J27))+IF(H27="L5",SUMPRODUCT((P$3:P$77="")*(O$3:O$77="")*(N$3:N$77="")*(M$3:M$77="P")*(G$3:G$77=G27)*(J$3:J$77&lt;J27)*(H$3:H$77&lt;&gt;H27)),-1*SUMPRODUCT((P$3:P$77="")*(O$3:O$77="")*(N$3:N$77="")*(M$3:M$77="P")*(G$3:G$77=G27)*(J$3:J$77&gt;J27)*(H$3:H$77="L5")))+1,""))))</f>
        <v/>
      </c>
      <c r="C27" s="36" t="s">
        <v>155</v>
      </c>
      <c r="D27" s="36" t="str">
        <f>IF(E27="","",VLOOKUP(E27,'Coaching Points'!A:B,2,0))</f>
        <v>AB</v>
      </c>
      <c r="E27" s="36" t="s">
        <v>29</v>
      </c>
      <c r="F27" s="35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68</v>
      </c>
      <c r="I27" s="43"/>
      <c r="J27" s="4">
        <f>R27+S27+IF(OR(H27="Junior",H27="Senior"),0.0002,IF(OR(H27="L7",H27="L6"),0.0001,0))+MAX(X27,Z27)*0.0000001</f>
        <v>72.600099999999998</v>
      </c>
      <c r="K27" s="3" t="str">
        <f>IF(G27="Not Age Eligible","",IF(MAX(T27,V27,X27,Z27)&gt;=LOOKUP(G27,'Qualifying Scores'!$A$4:$A$7,'Qualifying Scores'!$I$4:$I$7),"P",""))</f>
        <v/>
      </c>
      <c r="L27" s="3" t="str">
        <f>IF(G27="Not Age Eligible","",IF(MAX(U27,W27,Y27,AA27)&gt;=LOOKUP(G27,'Qualifying Scores'!$A$10:$A$13,'Qualifying Scores'!$I$10:$I$13),"P",""))</f>
        <v/>
      </c>
      <c r="M27" s="3" t="str">
        <f>IF(G27="Not Age Eligible","",IF(OR(AND(T27&gt;=LOOKUP(G27,'Qualifying Scores'!$A$4:$A$7,'Qualifying Scores'!$I$4:$I$7),U27&gt;=LOOKUP(G27,'Qualifying Scores'!$A$10:$A$13,'Qualifying Scores'!$I$10:$I$13)),AND(X27&gt;=LOOKUP(G27,'Qualifying Scores'!$A$4:$A$7,'Qualifying Scores'!$I$4:$I$7),Y27&gt;=LOOKUP(G27,'Qualifying Scores'!$A$10:$A$13,'Qualifying Scores'!$I$10:$I$13)),AND(V27&gt;=LOOKUP(G27,'Qualifying Scores'!$A$4:$A$7,'Qualifying Scores'!$I$4:$I$7),W27&gt;=LOOKUP(G27,'Qualifying Scores'!$A$10:$A$13,'Qualifying Scores'!$I$10:$I$13)),AND(Z27&gt;=LOOKUP(G27,'Qualifying Scores'!$A$4:$A$7,'Qualifying Scores'!$I$4:$I$7),AA27&gt;=LOOKUP(G27,'Qualifying Scores'!$A$10:$A$13,'Qualifying Scores'!$I$10:$I$13))),"P",""))</f>
        <v/>
      </c>
      <c r="Q27" s="1" t="str">
        <f>IF(A27&lt;5,IF(_xlfn.MAXIFS(A:A,G:G,G27)&gt;3,5-A27,_xlfn.MAXIFS(A:A,G:G,G27)+1-A27),"")</f>
        <v/>
      </c>
      <c r="R27" s="4">
        <f>MAX(T27,X27)</f>
        <v>35.700000000000003</v>
      </c>
      <c r="S27" s="4">
        <f>IF(R27=T27,MAX(V27,X27,Z27),IF(R27=X27,MAX(T27,V27,Z27),0))</f>
        <v>36.9</v>
      </c>
      <c r="T27" s="33">
        <v>35.700000000000003</v>
      </c>
      <c r="U27" s="40">
        <v>4.4000000000000004</v>
      </c>
      <c r="V27" s="34">
        <v>36.9</v>
      </c>
      <c r="W27" s="40">
        <v>4.4000000000000004</v>
      </c>
      <c r="X27" s="33"/>
      <c r="Y27" s="40"/>
      <c r="Z27" s="34"/>
      <c r="AA27" s="37"/>
    </row>
    <row r="28" spans="1:27" x14ac:dyDescent="0.2">
      <c r="A28" s="1" t="str" cm="1">
        <f t="array" ref="A28">IF(I28="","",IF(P28&lt;&gt;"",SUMPRODUCT((P$3:P$45&lt;&gt;"")*(G$3:G$45=G28)*(J$3:J$45&gt;J28)*(I$3:I$45="P"))+1,IF(O28&lt;&gt;"",SUMPRODUCT((O$3:O$45&lt;&gt;"")*(P$3:P$45="")*(G$3:G$45=G28)*(J$3:J$45&gt;J28)*(I$3:I$45="P"))+SUMPRODUCT((P$3:P$45&lt;&gt;"")*(G$3:G$45=G28)*(I$3:I$45="P"))+1,IF(N28&lt;&gt;"",SUMPRODUCT((N$3:N$45&lt;&gt;"")*(G$3:G$45=G28)*(J$3:J$45&gt;J28)*(I$3:I$45="P"))+1,IF(M28="P",SUMPRODUCT((O$3:O$45&lt;&gt;"")*(P$3:P$45="")*(G$3:G$45=G28)*(I$3:I$45="P"))+SUMPRODUCT((P$3:P$45&lt;&gt;"")*(G$3:G$45=G28)*(I$3:I$45="P"))+SUMPRODUCT((N$3:N$45&lt;&gt;"")*(G$3:G$45=G28)*(I$3:I$45="P"))+SUMPRODUCT((P$3:P$45="")*(O$3:O$45="")*(N$3:N$45="")*(M$3:M$45="P")*(G$3:G$45=G28)*(J$3:J$45&gt;J28)*(I$3:I$45="P"))+IF(H28="L5",SUMPRODUCT((P$3:P$45="")*(O$3:O$45="")*(N$3:N$45="")*(M$3:M$45="P")*(G$3:G$45=G28)*(J$3:J$45&lt;J28)*(H$3:H$45&lt;&gt;H28)*(I$3:I$45="P")),-1*SUMPRODUCT((P$3:P$45="")*(O$3:O$45="")*(N$3:N$45="")*(M$3:M$45="P")*(G$3:G$45=G28)*(J$3:J$45&gt;J28)*(H$3:H$45="L5")*(I$3:I$45="P")))+1,"")))))</f>
        <v/>
      </c>
      <c r="B28" s="1" t="str" cm="1">
        <f t="array" ref="B28">IF(P28&lt;&gt;"",SUMPRODUCT((P$3:P$77&lt;&gt;"")*(G$3:G$77=G28)*(J$3:J$77&gt;J28))+1,IF(O28&lt;&gt;"",SUMPRODUCT((O$3:O$77&lt;&gt;"")*(P$3:P$77="")*(G$3:G$77=G28)*(J$3:J$77&gt;J28))+SUMPRODUCT((P$3:P$77&lt;&gt;"")*(G$3:G$77=G28))+1,IF(N28&lt;&gt;"",SUMPRODUCT((N$3:N$77&lt;&gt;"")*(G$3:G$77=G28)*(J$3:J$77&gt;J28))+1,IF(M28="P",SUMPRODUCT((O$3:O$77&lt;&gt;"")*(P$3:P$77="")*(G$3:G$77=G28))+SUMPRODUCT((P$3:P$77&lt;&gt;"")*(G$3:G$77=G28))+SUMPRODUCT((N$3:N$77&lt;&gt;"")*(G$3:G$77=G28))+SUMPRODUCT((P$3:P$77="")*(O$3:O$77="")*(N$3:N$77="")*(M$3:M$77="P")*(G$3:G$77=G28)*(J$3:J$77&gt;J28))+IF(H28="L5",SUMPRODUCT((P$3:P$77="")*(O$3:O$77="")*(N$3:N$77="")*(M$3:M$77="P")*(G$3:G$77=G28)*(J$3:J$77&lt;J28)*(H$3:H$77&lt;&gt;H28)),-1*SUMPRODUCT((P$3:P$77="")*(O$3:O$77="")*(N$3:N$77="")*(M$3:M$77="P")*(G$3:G$77=G28)*(J$3:J$77&gt;J28)*(H$3:H$77="L5")))+1,""))))</f>
        <v/>
      </c>
      <c r="C28" s="36" t="s">
        <v>186</v>
      </c>
      <c r="D28" s="36" t="str">
        <f>IF(E28="","",VLOOKUP(E28,'Coaching Points'!A:B,2,0))</f>
        <v>BC</v>
      </c>
      <c r="E28" s="36" t="s">
        <v>41</v>
      </c>
      <c r="F28" s="35">
        <v>2003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68</v>
      </c>
      <c r="I28" s="43"/>
      <c r="J28" s="4">
        <f>R28+S28+IF(OR(H28="Junior",H28="Senior"),0.0002,IF(OR(H28="L7",H28="L6"),0.0001,0))+MAX(X28,Z28)*0.0000001</f>
        <v>72.200104010000004</v>
      </c>
      <c r="K28" s="3" t="str">
        <f>IF(G28="Not Age Eligible","",IF(MAX(T28,V28,X28,Z28)&gt;=LOOKUP(G28,'Qualifying Scores'!$A$4:$A$7,'Qualifying Scores'!$I$4:$I$7),"P",""))</f>
        <v/>
      </c>
      <c r="L28" s="3" t="str">
        <f>IF(G28="Not Age Eligible","",IF(MAX(U28,W28,Y28,AA28)&gt;=LOOKUP(G28,'Qualifying Scores'!$A$10:$A$13,'Qualifying Scores'!$I$10:$I$13),"P",""))</f>
        <v>P</v>
      </c>
      <c r="M28" s="3" t="str">
        <f>IF(G28="Not Age Eligible","",IF(OR(AND(T28&gt;=LOOKUP(G28,'Qualifying Scores'!$A$4:$A$7,'Qualifying Scores'!$I$4:$I$7),U28&gt;=LOOKUP(G28,'Qualifying Scores'!$A$10:$A$13,'Qualifying Scores'!$I$10:$I$13)),AND(X28&gt;=LOOKUP(G28,'Qualifying Scores'!$A$4:$A$7,'Qualifying Scores'!$I$4:$I$7),Y28&gt;=LOOKUP(G28,'Qualifying Scores'!$A$10:$A$13,'Qualifying Scores'!$I$10:$I$13)),AND(V28&gt;=LOOKUP(G28,'Qualifying Scores'!$A$4:$A$7,'Qualifying Scores'!$I$4:$I$7),W28&gt;=LOOKUP(G28,'Qualifying Scores'!$A$10:$A$13,'Qualifying Scores'!$I$10:$I$13)),AND(Z28&gt;=LOOKUP(G28,'Qualifying Scores'!$A$4:$A$7,'Qualifying Scores'!$I$4:$I$7),AA28&gt;=LOOKUP(G28,'Qualifying Scores'!$A$10:$A$13,'Qualifying Scores'!$I$10:$I$13))),"P",""))</f>
        <v/>
      </c>
      <c r="Q28" s="1" t="str">
        <f>IF(A28&lt;5,IF(_xlfn.MAXIFS(A:A,G:G,G28)&gt;3,5-A28,_xlfn.MAXIFS(A:A,G:G,G28)+1-A28),"")</f>
        <v/>
      </c>
      <c r="R28" s="4">
        <f>MAX(T28,X28)</f>
        <v>40.1</v>
      </c>
      <c r="S28" s="4">
        <f>IF(R28=T28,MAX(V28,X28,Z28),IF(R28=X28,MAX(T28,V28,Z28),0))</f>
        <v>32.1</v>
      </c>
      <c r="T28" s="33">
        <v>32.1</v>
      </c>
      <c r="U28" s="40">
        <v>3.7</v>
      </c>
      <c r="V28" s="34"/>
      <c r="W28" s="40"/>
      <c r="X28" s="33">
        <v>40.1</v>
      </c>
      <c r="Y28" s="40">
        <v>8</v>
      </c>
      <c r="Z28" s="34"/>
      <c r="AA28" s="37"/>
    </row>
    <row r="29" spans="1:27" x14ac:dyDescent="0.2">
      <c r="A29" s="1" t="str" cm="1">
        <f t="array" ref="A29">IF(I29="","",IF(P29&lt;&gt;"",SUMPRODUCT((P$3:P$45&lt;&gt;"")*(G$3:G$45=G29)*(J$3:J$45&gt;J29)*(I$3:I$45="P"))+1,IF(O29&lt;&gt;"",SUMPRODUCT((O$3:O$45&lt;&gt;"")*(P$3:P$45="")*(G$3:G$45=G29)*(J$3:J$45&gt;J29)*(I$3:I$45="P"))+SUMPRODUCT((P$3:P$45&lt;&gt;"")*(G$3:G$45=G29)*(I$3:I$45="P"))+1,IF(N29&lt;&gt;"",SUMPRODUCT((N$3:N$45&lt;&gt;"")*(G$3:G$45=G29)*(J$3:J$45&gt;J29)*(I$3:I$45="P"))+1,IF(M29="P",SUMPRODUCT((O$3:O$45&lt;&gt;"")*(P$3:P$45="")*(G$3:G$45=G29)*(I$3:I$45="P"))+SUMPRODUCT((P$3:P$45&lt;&gt;"")*(G$3:G$45=G29)*(I$3:I$45="P"))+SUMPRODUCT((N$3:N$45&lt;&gt;"")*(G$3:G$45=G29)*(I$3:I$45="P"))+SUMPRODUCT((P$3:P$45="")*(O$3:O$45="")*(N$3:N$45="")*(M$3:M$45="P")*(G$3:G$45=G29)*(J$3:J$45&gt;J29)*(I$3:I$45="P"))+IF(H29="L5",SUMPRODUCT((P$3:P$45="")*(O$3:O$45="")*(N$3:N$45="")*(M$3:M$45="P")*(G$3:G$45=G29)*(J$3:J$45&lt;J29)*(H$3:H$45&lt;&gt;H29)*(I$3:I$45="P")),-1*SUMPRODUCT((P$3:P$45="")*(O$3:O$45="")*(N$3:N$45="")*(M$3:M$45="P")*(G$3:G$45=G29)*(J$3:J$45&gt;J29)*(H$3:H$45="L5")*(I$3:I$45="P")))+1,"")))))</f>
        <v/>
      </c>
      <c r="B29" s="1" t="str" cm="1">
        <f t="array" ref="B29">IF(P29&lt;&gt;"",SUMPRODUCT((P$3:P$77&lt;&gt;"")*(G$3:G$77=G29)*(J$3:J$77&gt;J29))+1,IF(O29&lt;&gt;"",SUMPRODUCT((O$3:O$77&lt;&gt;"")*(P$3:P$77="")*(G$3:G$77=G29)*(J$3:J$77&gt;J29))+SUMPRODUCT((P$3:P$77&lt;&gt;"")*(G$3:G$77=G29))+1,IF(N29&lt;&gt;"",SUMPRODUCT((N$3:N$77&lt;&gt;"")*(G$3:G$77=G29)*(J$3:J$77&gt;J29))+1,IF(M29="P",SUMPRODUCT((O$3:O$77&lt;&gt;"")*(P$3:P$77="")*(G$3:G$77=G29))+SUMPRODUCT((P$3:P$77&lt;&gt;"")*(G$3:G$77=G29))+SUMPRODUCT((N$3:N$77&lt;&gt;"")*(G$3:G$77=G29))+SUMPRODUCT((P$3:P$77="")*(O$3:O$77="")*(N$3:N$77="")*(M$3:M$77="P")*(G$3:G$77=G29)*(J$3:J$77&gt;J29))+IF(H29="L5",SUMPRODUCT((P$3:P$77="")*(O$3:O$77="")*(N$3:N$77="")*(M$3:M$77="P")*(G$3:G$77=G29)*(J$3:J$77&lt;J29)*(H$3:H$77&lt;&gt;H29)),-1*SUMPRODUCT((P$3:P$77="")*(O$3:O$77="")*(N$3:N$77="")*(M$3:M$77="P")*(G$3:G$77=G29)*(J$3:J$77&gt;J29)*(H$3:H$77="L5")))+1,""))))</f>
        <v/>
      </c>
      <c r="C29" s="36" t="s">
        <v>270</v>
      </c>
      <c r="D29" s="36" t="str">
        <f>IF(E29="","",VLOOKUP(E29,'Coaching Points'!A:B,2,0))</f>
        <v>BC</v>
      </c>
      <c r="E29" s="36" t="s">
        <v>72</v>
      </c>
      <c r="F29" s="35">
        <v>2005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/>
      <c r="J29" s="4">
        <f>R29+S29+IF(OR(H29="Junior",H29="Senior"),0.0002,IF(OR(H29="L7",H29="L6"),0.0001,0))+MAX(X29,Z29)*0.0000001</f>
        <v>70.900003740000002</v>
      </c>
      <c r="K29" s="3" t="str">
        <f>IF(G29="Not Age Eligible","",IF(MAX(T29,V29,X29,Z29)&gt;=LOOKUP(G29,'Qualifying Scores'!$A$4:$A$7,'Qualifying Scores'!$I$4:$I$7),"P",""))</f>
        <v/>
      </c>
      <c r="L29" s="3" t="str">
        <f>IF(G29="Not Age Eligible","",IF(MAX(U29,W29,Y29,AA29)&gt;=LOOKUP(G29,'Qualifying Scores'!$A$10:$A$13,'Qualifying Scores'!$I$10:$I$13),"P",""))</f>
        <v/>
      </c>
      <c r="M29" s="3" t="str">
        <f>IF(G29="Not Age Eligible","",IF(OR(AND(T29&gt;=LOOKUP(G29,'Qualifying Scores'!$A$4:$A$7,'Qualifying Scores'!$I$4:$I$7),U29&gt;=LOOKUP(G29,'Qualifying Scores'!$A$10:$A$13,'Qualifying Scores'!$I$10:$I$13)),AND(X29&gt;=LOOKUP(G29,'Qualifying Scores'!$A$4:$A$7,'Qualifying Scores'!$I$4:$I$7),Y29&gt;=LOOKUP(G29,'Qualifying Scores'!$A$10:$A$13,'Qualifying Scores'!$I$10:$I$13)),AND(V29&gt;=LOOKUP(G29,'Qualifying Scores'!$A$4:$A$7,'Qualifying Scores'!$I$4:$I$7),W29&gt;=LOOKUP(G29,'Qualifying Scores'!$A$10:$A$13,'Qualifying Scores'!$I$10:$I$13)),AND(Z29&gt;=LOOKUP(G29,'Qualifying Scores'!$A$4:$A$7,'Qualifying Scores'!$I$4:$I$7),AA29&gt;=LOOKUP(G29,'Qualifying Scores'!$A$10:$A$13,'Qualifying Scores'!$I$10:$I$13))),"P",""))</f>
        <v/>
      </c>
      <c r="Q29" s="1" t="str">
        <f>IF(A29&lt;5,IF(_xlfn.MAXIFS(A:A,G:G,G29)&gt;3,5-A29,_xlfn.MAXIFS(A:A,G:G,G29)+1-A29),"")</f>
        <v/>
      </c>
      <c r="R29" s="4">
        <f>MAX(T29,X29)</f>
        <v>37.4</v>
      </c>
      <c r="S29" s="4">
        <f>IF(R29=T29,MAX(V29,X29,Z29),IF(R29=X29,MAX(T29,V29,Z29),0))</f>
        <v>33.5</v>
      </c>
      <c r="T29" s="33">
        <v>33.5</v>
      </c>
      <c r="U29" s="40">
        <v>3.3</v>
      </c>
      <c r="V29" s="34"/>
      <c r="W29" s="40"/>
      <c r="X29" s="33">
        <v>37.4</v>
      </c>
      <c r="Y29" s="40">
        <v>4.4000000000000004</v>
      </c>
      <c r="Z29" s="34"/>
      <c r="AA29" s="37"/>
    </row>
    <row r="30" spans="1:27" x14ac:dyDescent="0.2">
      <c r="A30" s="1" t="str" cm="1">
        <f t="array" ref="A30">IF(I30="","",IF(P30&lt;&gt;"",SUMPRODUCT((P$3:P$45&lt;&gt;"")*(G$3:G$45=G30)*(J$3:J$45&gt;J30)*(I$3:I$45="P"))+1,IF(O30&lt;&gt;"",SUMPRODUCT((O$3:O$45&lt;&gt;"")*(P$3:P$45="")*(G$3:G$45=G30)*(J$3:J$45&gt;J30)*(I$3:I$45="P"))+SUMPRODUCT((P$3:P$45&lt;&gt;"")*(G$3:G$45=G30)*(I$3:I$45="P"))+1,IF(N30&lt;&gt;"",SUMPRODUCT((N$3:N$45&lt;&gt;"")*(G$3:G$45=G30)*(J$3:J$45&gt;J30)*(I$3:I$45="P"))+1,IF(M30="P",SUMPRODUCT((O$3:O$45&lt;&gt;"")*(P$3:P$45="")*(G$3:G$45=G30)*(I$3:I$45="P"))+SUMPRODUCT((P$3:P$45&lt;&gt;"")*(G$3:G$45=G30)*(I$3:I$45="P"))+SUMPRODUCT((N$3:N$45&lt;&gt;"")*(G$3:G$45=G30)*(I$3:I$45="P"))+SUMPRODUCT((P$3:P$45="")*(O$3:O$45="")*(N$3:N$45="")*(M$3:M$45="P")*(G$3:G$45=G30)*(J$3:J$45&gt;J30)*(I$3:I$45="P"))+IF(H30="L5",SUMPRODUCT((P$3:P$45="")*(O$3:O$45="")*(N$3:N$45="")*(M$3:M$45="P")*(G$3:G$45=G30)*(J$3:J$45&lt;J30)*(H$3:H$45&lt;&gt;H30)*(I$3:I$45="P")),-1*SUMPRODUCT((P$3:P$45="")*(O$3:O$45="")*(N$3:N$45="")*(M$3:M$45="P")*(G$3:G$45=G30)*(J$3:J$45&gt;J30)*(H$3:H$45="L5")*(I$3:I$45="P")))+1,"")))))</f>
        <v/>
      </c>
      <c r="B30" s="1" t="str" cm="1">
        <f t="array" ref="B30">IF(P30&lt;&gt;"",SUMPRODUCT((P$3:P$77&lt;&gt;"")*(G$3:G$77=G30)*(J$3:J$77&gt;J30))+1,IF(O30&lt;&gt;"",SUMPRODUCT((O$3:O$77&lt;&gt;"")*(P$3:P$77="")*(G$3:G$77=G30)*(J$3:J$77&gt;J30))+SUMPRODUCT((P$3:P$77&lt;&gt;"")*(G$3:G$77=G30))+1,IF(N30&lt;&gt;"",SUMPRODUCT((N$3:N$77&lt;&gt;"")*(G$3:G$77=G30)*(J$3:J$77&gt;J30))+1,IF(M30="P",SUMPRODUCT((O$3:O$77&lt;&gt;"")*(P$3:P$77="")*(G$3:G$77=G30))+SUMPRODUCT((P$3:P$77&lt;&gt;"")*(G$3:G$77=G30))+SUMPRODUCT((N$3:N$77&lt;&gt;"")*(G$3:G$77=G30))+SUMPRODUCT((P$3:P$77="")*(O$3:O$77="")*(N$3:N$77="")*(M$3:M$77="P")*(G$3:G$77=G30)*(J$3:J$77&gt;J30))+IF(H30="L5",SUMPRODUCT((P$3:P$77="")*(O$3:O$77="")*(N$3:N$77="")*(M$3:M$77="P")*(G$3:G$77=G30)*(J$3:J$77&lt;J30)*(H$3:H$77&lt;&gt;H30)),-1*SUMPRODUCT((P$3:P$77="")*(O$3:O$77="")*(N$3:N$77="")*(M$3:M$77="P")*(G$3:G$77=G30)*(J$3:J$77&gt;J30)*(H$3:H$77="L5")))+1,""))))</f>
        <v/>
      </c>
      <c r="C30" s="36" t="s">
        <v>185</v>
      </c>
      <c r="D30" s="36" t="str">
        <f>IF(E30="","",VLOOKUP(E30,'Coaching Points'!A:B,2,0))</f>
        <v>SK</v>
      </c>
      <c r="E30" s="36" t="s">
        <v>60</v>
      </c>
      <c r="F30" s="35">
        <v>2004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66</v>
      </c>
      <c r="I30" s="43"/>
      <c r="J30" s="4">
        <f>R30+S30+IF(OR(H30="Junior",H30="Senior"),0.0002,IF(OR(H30="L7",H30="L6"),0.0001,0))+MAX(X30,Z30)*0.0000001</f>
        <v>70.400003490000003</v>
      </c>
      <c r="K30" s="3" t="str">
        <f>IF(G30="Not Age Eligible","",IF(MAX(T30,V30,X30,Z30)&gt;=LOOKUP(G30,'Qualifying Scores'!$A$4:$A$7,'Qualifying Scores'!$I$4:$I$7),"P",""))</f>
        <v/>
      </c>
      <c r="L30" s="3" t="str">
        <f>IF(G30="Not Age Eligible","",IF(MAX(U30,W30,Y30,AA30)&gt;=LOOKUP(G30,'Qualifying Scores'!$A$10:$A$13,'Qualifying Scores'!$I$10:$I$13),"P",""))</f>
        <v/>
      </c>
      <c r="M30" s="3" t="str">
        <f>IF(G30="Not Age Eligible","",IF(OR(AND(T30&gt;=LOOKUP(G30,'Qualifying Scores'!$A$4:$A$7,'Qualifying Scores'!$I$4:$I$7),U30&gt;=LOOKUP(G30,'Qualifying Scores'!$A$10:$A$13,'Qualifying Scores'!$I$10:$I$13)),AND(X30&gt;=LOOKUP(G30,'Qualifying Scores'!$A$4:$A$7,'Qualifying Scores'!$I$4:$I$7),Y30&gt;=LOOKUP(G30,'Qualifying Scores'!$A$10:$A$13,'Qualifying Scores'!$I$10:$I$13)),AND(V30&gt;=LOOKUP(G30,'Qualifying Scores'!$A$4:$A$7,'Qualifying Scores'!$I$4:$I$7),W30&gt;=LOOKUP(G30,'Qualifying Scores'!$A$10:$A$13,'Qualifying Scores'!$I$10:$I$13)),AND(Z30&gt;=LOOKUP(G30,'Qualifying Scores'!$A$4:$A$7,'Qualifying Scores'!$I$4:$I$7),AA30&gt;=LOOKUP(G30,'Qualifying Scores'!$A$10:$A$13,'Qualifying Scores'!$I$10:$I$13))),"P",""))</f>
        <v/>
      </c>
      <c r="Q30" s="1" t="str">
        <f>IF(A30&lt;5,IF(_xlfn.MAXIFS(A:A,G:G,G30)&gt;3,5-A30,_xlfn.MAXIFS(A:A,G:G,G30)+1-A30),"")</f>
        <v/>
      </c>
      <c r="R30" s="4">
        <f>MAX(T30,X30)</f>
        <v>35.5</v>
      </c>
      <c r="S30" s="4">
        <f>IF(R30=T30,MAX(V30,X30,Z30),IF(R30=X30,MAX(T30,V30,Z30),0))</f>
        <v>34.9</v>
      </c>
      <c r="T30" s="33">
        <v>35.5</v>
      </c>
      <c r="U30" s="40">
        <v>4.4000000000000004</v>
      </c>
      <c r="V30" s="34"/>
      <c r="W30" s="40"/>
      <c r="X30" s="33">
        <v>34.9</v>
      </c>
      <c r="Y30" s="40">
        <v>3.5</v>
      </c>
      <c r="Z30" s="34"/>
      <c r="AA30" s="37"/>
    </row>
    <row r="31" spans="1:27" x14ac:dyDescent="0.2">
      <c r="A31" s="1" t="str" cm="1">
        <f t="array" ref="A31">IF(I31="","",IF(P31&lt;&gt;"",SUMPRODUCT((P$3:P$45&lt;&gt;"")*(G$3:G$45=G31)*(J$3:J$45&gt;J31)*(I$3:I$45="P"))+1,IF(O31&lt;&gt;"",SUMPRODUCT((O$3:O$45&lt;&gt;"")*(P$3:P$45="")*(G$3:G$45=G31)*(J$3:J$45&gt;J31)*(I$3:I$45="P"))+SUMPRODUCT((P$3:P$45&lt;&gt;"")*(G$3:G$45=G31)*(I$3:I$45="P"))+1,IF(N31&lt;&gt;"",SUMPRODUCT((N$3:N$45&lt;&gt;"")*(G$3:G$45=G31)*(J$3:J$45&gt;J31)*(I$3:I$45="P"))+1,IF(M31="P",SUMPRODUCT((O$3:O$45&lt;&gt;"")*(P$3:P$45="")*(G$3:G$45=G31)*(I$3:I$45="P"))+SUMPRODUCT((P$3:P$45&lt;&gt;"")*(G$3:G$45=G31)*(I$3:I$45="P"))+SUMPRODUCT((N$3:N$45&lt;&gt;"")*(G$3:G$45=G31)*(I$3:I$45="P"))+SUMPRODUCT((P$3:P$45="")*(O$3:O$45="")*(N$3:N$45="")*(M$3:M$45="P")*(G$3:G$45=G31)*(J$3:J$45&gt;J31)*(I$3:I$45="P"))+IF(H31="L5",SUMPRODUCT((P$3:P$45="")*(O$3:O$45="")*(N$3:N$45="")*(M$3:M$45="P")*(G$3:G$45=G31)*(J$3:J$45&lt;J31)*(H$3:H$45&lt;&gt;H31)*(I$3:I$45="P")),-1*SUMPRODUCT((P$3:P$45="")*(O$3:O$45="")*(N$3:N$45="")*(M$3:M$45="P")*(G$3:G$45=G31)*(J$3:J$45&gt;J31)*(H$3:H$45="L5")*(I$3:I$45="P")))+1,"")))))</f>
        <v/>
      </c>
      <c r="B31" s="1" t="str" cm="1">
        <f t="array" ref="B31">IF(P31&lt;&gt;"",SUMPRODUCT((P$3:P$77&lt;&gt;"")*(G$3:G$77=G31)*(J$3:J$77&gt;J31))+1,IF(O31&lt;&gt;"",SUMPRODUCT((O$3:O$77&lt;&gt;"")*(P$3:P$77="")*(G$3:G$77=G31)*(J$3:J$77&gt;J31))+SUMPRODUCT((P$3:P$77&lt;&gt;"")*(G$3:G$77=G31))+1,IF(N31&lt;&gt;"",SUMPRODUCT((N$3:N$77&lt;&gt;"")*(G$3:G$77=G31)*(J$3:J$77&gt;J31))+1,IF(M31="P",SUMPRODUCT((O$3:O$77&lt;&gt;"")*(P$3:P$77="")*(G$3:G$77=G31))+SUMPRODUCT((P$3:P$77&lt;&gt;"")*(G$3:G$77=G31))+SUMPRODUCT((N$3:N$77&lt;&gt;"")*(G$3:G$77=G31))+SUMPRODUCT((P$3:P$77="")*(O$3:O$77="")*(N$3:N$77="")*(M$3:M$77="P")*(G$3:G$77=G31)*(J$3:J$77&gt;J31))+IF(H31="L5",SUMPRODUCT((P$3:P$77="")*(O$3:O$77="")*(N$3:N$77="")*(M$3:M$77="P")*(G$3:G$77=G31)*(J$3:J$77&lt;J31)*(H$3:H$77&lt;&gt;H31)),-1*SUMPRODUCT((P$3:P$77="")*(O$3:O$77="")*(N$3:N$77="")*(M$3:M$77="P")*(G$3:G$77=G31)*(J$3:J$77&gt;J31)*(H$3:H$77="L5")))+1,""))))</f>
        <v/>
      </c>
      <c r="C31" s="36" t="s">
        <v>157</v>
      </c>
      <c r="D31" s="36" t="str">
        <f>IF(E31="","",VLOOKUP(E31,'Coaching Points'!A:B,2,0))</f>
        <v>AB</v>
      </c>
      <c r="E31" s="36" t="s">
        <v>29</v>
      </c>
      <c r="F31" s="35">
        <v>2004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>R31+S31+IF(OR(H31="Junior",H31="Senior"),0.0002,IF(OR(H31="L7",H31="L6"),0.0001,0))+MAX(X31,Z31)*0.0000001</f>
        <v>69.600003609999987</v>
      </c>
      <c r="K31" s="3" t="str">
        <f>IF(G31="Not Age Eligible","",IF(MAX(T31,V31,X31,Z31)&gt;=LOOKUP(G31,'Qualifying Scores'!$A$4:$A$7,'Qualifying Scores'!$I$4:$I$7),"P",""))</f>
        <v/>
      </c>
      <c r="L31" s="3" t="str">
        <f>IF(G31="Not Age Eligible","",IF(MAX(U31,W31,Y31,AA31)&gt;=LOOKUP(G31,'Qualifying Scores'!$A$10:$A$13,'Qualifying Scores'!$I$10:$I$13),"P",""))</f>
        <v/>
      </c>
      <c r="M31" s="3" t="str">
        <f>IF(G31="Not Age Eligible","",IF(OR(AND(T31&gt;=LOOKUP(G31,'Qualifying Scores'!$A$4:$A$7,'Qualifying Scores'!$I$4:$I$7),U31&gt;=LOOKUP(G31,'Qualifying Scores'!$A$10:$A$13,'Qualifying Scores'!$I$10:$I$13)),AND(X31&gt;=LOOKUP(G31,'Qualifying Scores'!$A$4:$A$7,'Qualifying Scores'!$I$4:$I$7),Y31&gt;=LOOKUP(G31,'Qualifying Scores'!$A$10:$A$13,'Qualifying Scores'!$I$10:$I$13)),AND(V31&gt;=LOOKUP(G31,'Qualifying Scores'!$A$4:$A$7,'Qualifying Scores'!$I$4:$I$7),W31&gt;=LOOKUP(G31,'Qualifying Scores'!$A$10:$A$13,'Qualifying Scores'!$I$10:$I$13)),AND(Z31&gt;=LOOKUP(G31,'Qualifying Scores'!$A$4:$A$7,'Qualifying Scores'!$I$4:$I$7),AA31&gt;=LOOKUP(G31,'Qualifying Scores'!$A$10:$A$13,'Qualifying Scores'!$I$10:$I$13))),"P",""))</f>
        <v/>
      </c>
      <c r="Q31" s="1" t="str">
        <f>IF(A31&lt;5,IF(_xlfn.MAXIFS(A:A,G:G,G31)&gt;3,5-A31,_xlfn.MAXIFS(A:A,G:G,G31)+1-A31),"")</f>
        <v/>
      </c>
      <c r="R31" s="4">
        <f>MAX(T31,X31)</f>
        <v>36.1</v>
      </c>
      <c r="S31" s="4">
        <f>IF(R31=T31,MAX(V31,X31,Z31),IF(R31=X31,MAX(T31,V31,Z31),0))</f>
        <v>33.5</v>
      </c>
      <c r="T31" s="33">
        <v>33.5</v>
      </c>
      <c r="U31" s="40">
        <v>3.3</v>
      </c>
      <c r="V31" s="34"/>
      <c r="W31" s="40"/>
      <c r="X31" s="33">
        <v>36.1</v>
      </c>
      <c r="Y31" s="40">
        <v>4.9000000000000004</v>
      </c>
      <c r="Z31" s="34"/>
      <c r="AA31" s="37"/>
    </row>
    <row r="32" spans="1:27" x14ac:dyDescent="0.2">
      <c r="A32" s="1" t="str" cm="1">
        <f t="array" ref="A32">IF(I32="","",IF(P32&lt;&gt;"",SUMPRODUCT((P$3:P$45&lt;&gt;"")*(G$3:G$45=G32)*(J$3:J$45&gt;J32)*(I$3:I$45="P"))+1,IF(O32&lt;&gt;"",SUMPRODUCT((O$3:O$45&lt;&gt;"")*(P$3:P$45="")*(G$3:G$45=G32)*(J$3:J$45&gt;J32)*(I$3:I$45="P"))+SUMPRODUCT((P$3:P$45&lt;&gt;"")*(G$3:G$45=G32)*(I$3:I$45="P"))+1,IF(N32&lt;&gt;"",SUMPRODUCT((N$3:N$45&lt;&gt;"")*(G$3:G$45=G32)*(J$3:J$45&gt;J32)*(I$3:I$45="P"))+1,IF(M32="P",SUMPRODUCT((O$3:O$45&lt;&gt;"")*(P$3:P$45="")*(G$3:G$45=G32)*(I$3:I$45="P"))+SUMPRODUCT((P$3:P$45&lt;&gt;"")*(G$3:G$45=G32)*(I$3:I$45="P"))+SUMPRODUCT((N$3:N$45&lt;&gt;"")*(G$3:G$45=G32)*(I$3:I$45="P"))+SUMPRODUCT((P$3:P$45="")*(O$3:O$45="")*(N$3:N$45="")*(M$3:M$45="P")*(G$3:G$45=G32)*(J$3:J$45&gt;J32)*(I$3:I$45="P"))+IF(H32="L5",SUMPRODUCT((P$3:P$45="")*(O$3:O$45="")*(N$3:N$45="")*(M$3:M$45="P")*(G$3:G$45=G32)*(J$3:J$45&lt;J32)*(H$3:H$45&lt;&gt;H32)*(I$3:I$45="P")),-1*SUMPRODUCT((P$3:P$45="")*(O$3:O$45="")*(N$3:N$45="")*(M$3:M$45="P")*(G$3:G$45=G32)*(J$3:J$45&gt;J32)*(H$3:H$45="L5")*(I$3:I$45="P")))+1,"")))))</f>
        <v/>
      </c>
      <c r="B32" s="1" t="str" cm="1">
        <f t="array" ref="B32">IF(P32&lt;&gt;"",SUMPRODUCT((P$3:P$77&lt;&gt;"")*(G$3:G$77=G32)*(J$3:J$77&gt;J32))+1,IF(O32&lt;&gt;"",SUMPRODUCT((O$3:O$77&lt;&gt;"")*(P$3:P$77="")*(G$3:G$77=G32)*(J$3:J$77&gt;J32))+SUMPRODUCT((P$3:P$77&lt;&gt;"")*(G$3:G$77=G32))+1,IF(N32&lt;&gt;"",SUMPRODUCT((N$3:N$77&lt;&gt;"")*(G$3:G$77=G32)*(J$3:J$77&gt;J32))+1,IF(M32="P",SUMPRODUCT((O$3:O$77&lt;&gt;"")*(P$3:P$77="")*(G$3:G$77=G32))+SUMPRODUCT((P$3:P$77&lt;&gt;"")*(G$3:G$77=G32))+SUMPRODUCT((N$3:N$77&lt;&gt;"")*(G$3:G$77=G32))+SUMPRODUCT((P$3:P$77="")*(O$3:O$77="")*(N$3:N$77="")*(M$3:M$77="P")*(G$3:G$77=G32)*(J$3:J$77&gt;J32))+IF(H32="L5",SUMPRODUCT((P$3:P$77="")*(O$3:O$77="")*(N$3:N$77="")*(M$3:M$77="P")*(G$3:G$77=G32)*(J$3:J$77&lt;J32)*(H$3:H$77&lt;&gt;H32)),-1*SUMPRODUCT((P$3:P$77="")*(O$3:O$77="")*(N$3:N$77="")*(M$3:M$77="P")*(G$3:G$77=G32)*(J$3:J$77&gt;J32)*(H$3:H$77="L5")))+1,""))))</f>
        <v/>
      </c>
      <c r="C32" s="36" t="s">
        <v>557</v>
      </c>
      <c r="D32" s="36" t="str">
        <f>IF(E32="","",VLOOKUP(E32,'Coaching Points'!A:B,2,0))</f>
        <v>ON</v>
      </c>
      <c r="E32" s="36" t="s">
        <v>162</v>
      </c>
      <c r="F32" s="35">
        <v>2003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68</v>
      </c>
      <c r="I32" s="43" t="s">
        <v>567</v>
      </c>
      <c r="J32" s="4">
        <f>R32+S32+IF(OR(H32="Junior",H32="Senior"),0.0002,IF(OR(H32="L7",H32="L6"),0.0001,0))+MAX(X32,Z32)*0.0000001</f>
        <v>65.060103636000008</v>
      </c>
      <c r="K32" s="3" t="str">
        <f>IF(G32="Not Age Eligible","",IF(MAX(T32,V32,X32,Z32)&gt;=LOOKUP(G32,'Qualifying Scores'!$A$4:$A$7,'Qualifying Scores'!$I$4:$I$7),"P",""))</f>
        <v/>
      </c>
      <c r="L32" s="3" t="str">
        <f>IF(G32="Not Age Eligible","",IF(MAX(U32,W32,Y32,AA32)&gt;=LOOKUP(G32,'Qualifying Scores'!$A$10:$A$13,'Qualifying Scores'!$I$10:$I$13),"P",""))</f>
        <v/>
      </c>
      <c r="M32" s="3" t="str">
        <f>IF(G32="Not Age Eligible","",IF(OR(AND(T32&gt;=LOOKUP(G32,'Qualifying Scores'!$A$4:$A$7,'Qualifying Scores'!$I$4:$I$7),U32&gt;=LOOKUP(G32,'Qualifying Scores'!$A$10:$A$13,'Qualifying Scores'!$I$10:$I$13)),AND(X32&gt;=LOOKUP(G32,'Qualifying Scores'!$A$4:$A$7,'Qualifying Scores'!$I$4:$I$7),Y32&gt;=LOOKUP(G32,'Qualifying Scores'!$A$10:$A$13,'Qualifying Scores'!$I$10:$I$13)),AND(V32&gt;=LOOKUP(G32,'Qualifying Scores'!$A$4:$A$7,'Qualifying Scores'!$I$4:$I$7),W32&gt;=LOOKUP(G32,'Qualifying Scores'!$A$10:$A$13,'Qualifying Scores'!$I$10:$I$13)),AND(Z32&gt;=LOOKUP(G32,'Qualifying Scores'!$A$4:$A$7,'Qualifying Scores'!$I$4:$I$7),AA32&gt;=LOOKUP(G32,'Qualifying Scores'!$A$10:$A$13,'Qualifying Scores'!$I$10:$I$13))),"P",""))</f>
        <v/>
      </c>
      <c r="Q32" s="1" t="str">
        <f>IF(A32&lt;5,IF(_xlfn.MAXIFS(A:A,G:G,G32)&gt;3,5-A32,_xlfn.MAXIFS(A:A,G:G,G32)+1-A32),"")</f>
        <v/>
      </c>
      <c r="R32" s="4">
        <f>MAX(T32,X32)</f>
        <v>36.36</v>
      </c>
      <c r="S32" s="4">
        <f>IF(R32=T32,MAX(V32,X32,Z32),IF(R32=X32,MAX(T32,V32,Z32),0))</f>
        <v>28.7</v>
      </c>
      <c r="T32" s="33"/>
      <c r="U32" s="40"/>
      <c r="V32" s="34"/>
      <c r="W32" s="40"/>
      <c r="X32" s="33">
        <v>36.36</v>
      </c>
      <c r="Y32" s="40">
        <v>4.7</v>
      </c>
      <c r="Z32" s="34">
        <v>28.7</v>
      </c>
      <c r="AA32" s="37">
        <v>3.9</v>
      </c>
    </row>
    <row r="33" spans="1:27" x14ac:dyDescent="0.2">
      <c r="A33" s="1" t="str" cm="1">
        <f t="array" ref="A33">IF(I33="","",IF(P33&lt;&gt;"",SUMPRODUCT((P$3:P$45&lt;&gt;"")*(G$3:G$45=G33)*(J$3:J$45&gt;J33)*(I$3:I$45="P"))+1,IF(O33&lt;&gt;"",SUMPRODUCT((O$3:O$45&lt;&gt;"")*(P$3:P$45="")*(G$3:G$45=G33)*(J$3:J$45&gt;J33)*(I$3:I$45="P"))+SUMPRODUCT((P$3:P$45&lt;&gt;"")*(G$3:G$45=G33)*(I$3:I$45="P"))+1,IF(N33&lt;&gt;"",SUMPRODUCT((N$3:N$45&lt;&gt;"")*(G$3:G$45=G33)*(J$3:J$45&gt;J33)*(I$3:I$45="P"))+1,IF(M33="P",SUMPRODUCT((O$3:O$45&lt;&gt;"")*(P$3:P$45="")*(G$3:G$45=G33)*(I$3:I$45="P"))+SUMPRODUCT((P$3:P$45&lt;&gt;"")*(G$3:G$45=G33)*(I$3:I$45="P"))+SUMPRODUCT((N$3:N$45&lt;&gt;"")*(G$3:G$45=G33)*(I$3:I$45="P"))+SUMPRODUCT((P$3:P$45="")*(O$3:O$45="")*(N$3:N$45="")*(M$3:M$45="P")*(G$3:G$45=G33)*(J$3:J$45&gt;J33)*(I$3:I$45="P"))+IF(H33="L5",SUMPRODUCT((P$3:P$45="")*(O$3:O$45="")*(N$3:N$45="")*(M$3:M$45="P")*(G$3:G$45=G33)*(J$3:J$45&lt;J33)*(H$3:H$45&lt;&gt;H33)*(I$3:I$45="P")),-1*SUMPRODUCT((P$3:P$45="")*(O$3:O$45="")*(N$3:N$45="")*(M$3:M$45="P")*(G$3:G$45=G33)*(J$3:J$45&gt;J33)*(H$3:H$45="L5")*(I$3:I$45="P")))+1,"")))))</f>
        <v/>
      </c>
      <c r="B33" s="1" t="str" cm="1">
        <f t="array" ref="B33">IF(P33&lt;&gt;"",SUMPRODUCT((P$3:P$77&lt;&gt;"")*(G$3:G$77=G33)*(J$3:J$77&gt;J33))+1,IF(O33&lt;&gt;"",SUMPRODUCT((O$3:O$77&lt;&gt;"")*(P$3:P$77="")*(G$3:G$77=G33)*(J$3:J$77&gt;J33))+SUMPRODUCT((P$3:P$77&lt;&gt;"")*(G$3:G$77=G33))+1,IF(N33&lt;&gt;"",SUMPRODUCT((N$3:N$77&lt;&gt;"")*(G$3:G$77=G33)*(J$3:J$77&gt;J33))+1,IF(M33="P",SUMPRODUCT((O$3:O$77&lt;&gt;"")*(P$3:P$77="")*(G$3:G$77=G33))+SUMPRODUCT((P$3:P$77&lt;&gt;"")*(G$3:G$77=G33))+SUMPRODUCT((N$3:N$77&lt;&gt;"")*(G$3:G$77=G33))+SUMPRODUCT((P$3:P$77="")*(O$3:O$77="")*(N$3:N$77="")*(M$3:M$77="P")*(G$3:G$77=G33)*(J$3:J$77&gt;J33))+IF(H33="L5",SUMPRODUCT((P$3:P$77="")*(O$3:O$77="")*(N$3:N$77="")*(M$3:M$77="P")*(G$3:G$77=G33)*(J$3:J$77&lt;J33)*(H$3:H$77&lt;&gt;H33)),-1*SUMPRODUCT((P$3:P$77="")*(O$3:O$77="")*(N$3:N$77="")*(M$3:M$77="P")*(G$3:G$77=G33)*(J$3:J$77&gt;J33)*(H$3:H$77="L5")))+1,""))))</f>
        <v/>
      </c>
      <c r="C33" s="36" t="s">
        <v>364</v>
      </c>
      <c r="D33" s="36" t="str">
        <f>IF(E33="","",VLOOKUP(E33,'Coaching Points'!A:B,2,0))</f>
        <v>AB</v>
      </c>
      <c r="E33" s="36" t="s">
        <v>58</v>
      </c>
      <c r="F33" s="35">
        <v>2004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66</v>
      </c>
      <c r="I33" s="43" t="s">
        <v>567</v>
      </c>
      <c r="J33" s="4">
        <f>R33+S33+IF(OR(H33="Junior",H33="Senior"),0.0002,IF(OR(H33="L7",H33="L6"),0.0001,0))+MAX(X33,Z33)*0.0000001</f>
        <v>64.500003640000003</v>
      </c>
      <c r="K33" s="3" t="str">
        <f>IF(G33="Not Age Eligible","",IF(MAX(T33,V33,X33,Z33)&gt;=LOOKUP(G33,'Qualifying Scores'!$A$4:$A$7,'Qualifying Scores'!$I$4:$I$7),"P",""))</f>
        <v/>
      </c>
      <c r="L33" s="3" t="str">
        <f>IF(G33="Not Age Eligible","",IF(MAX(U33,W33,Y33,AA33)&gt;=LOOKUP(G33,'Qualifying Scores'!$A$10:$A$13,'Qualifying Scores'!$I$10:$I$13),"P",""))</f>
        <v/>
      </c>
      <c r="M33" s="3" t="str">
        <f>IF(G33="Not Age Eligible","",IF(OR(AND(T33&gt;=LOOKUP(G33,'Qualifying Scores'!$A$4:$A$7,'Qualifying Scores'!$I$4:$I$7),U33&gt;=LOOKUP(G33,'Qualifying Scores'!$A$10:$A$13,'Qualifying Scores'!$I$10:$I$13)),AND(X33&gt;=LOOKUP(G33,'Qualifying Scores'!$A$4:$A$7,'Qualifying Scores'!$I$4:$I$7),Y33&gt;=LOOKUP(G33,'Qualifying Scores'!$A$10:$A$13,'Qualifying Scores'!$I$10:$I$13)),AND(V33&gt;=LOOKUP(G33,'Qualifying Scores'!$A$4:$A$7,'Qualifying Scores'!$I$4:$I$7),W33&gt;=LOOKUP(G33,'Qualifying Scores'!$A$10:$A$13,'Qualifying Scores'!$I$10:$I$13)),AND(Z33&gt;=LOOKUP(G33,'Qualifying Scores'!$A$4:$A$7,'Qualifying Scores'!$I$4:$I$7),AA33&gt;=LOOKUP(G33,'Qualifying Scores'!$A$10:$A$13,'Qualifying Scores'!$I$10:$I$13))),"P",""))</f>
        <v/>
      </c>
      <c r="Q33" s="1" t="str">
        <f>IF(A33&lt;5,IF(_xlfn.MAXIFS(A:A,G:G,G33)&gt;3,5-A33,_xlfn.MAXIFS(A:A,G:G,G33)+1-A33),"")</f>
        <v/>
      </c>
      <c r="R33" s="4">
        <f>MAX(T33,X33)</f>
        <v>36.4</v>
      </c>
      <c r="S33" s="4">
        <f>IF(R33=T33,MAX(V33,X33,Z33),IF(R33=X33,MAX(T33,V33,Z33),0))</f>
        <v>28.1</v>
      </c>
      <c r="T33" s="33">
        <v>28.1</v>
      </c>
      <c r="U33" s="40">
        <v>3.6</v>
      </c>
      <c r="V33" s="34"/>
      <c r="W33" s="40"/>
      <c r="X33" s="33">
        <v>36.4</v>
      </c>
      <c r="Y33" s="40">
        <v>6.1999999999999993</v>
      </c>
      <c r="Z33" s="34"/>
      <c r="AA33" s="37"/>
    </row>
    <row r="34" spans="1:27" x14ac:dyDescent="0.2">
      <c r="A34" s="1" t="str" cm="1">
        <f t="array" ref="A34">IF(I34="","",IF(P34&lt;&gt;"",SUMPRODUCT((P$3:P$45&lt;&gt;"")*(G$3:G$45=G34)*(J$3:J$45&gt;J34)*(I$3:I$45="P"))+1,IF(O34&lt;&gt;"",SUMPRODUCT((O$3:O$45&lt;&gt;"")*(P$3:P$45="")*(G$3:G$45=G34)*(J$3:J$45&gt;J34)*(I$3:I$45="P"))+SUMPRODUCT((P$3:P$45&lt;&gt;"")*(G$3:G$45=G34)*(I$3:I$45="P"))+1,IF(N34&lt;&gt;"",SUMPRODUCT((N$3:N$45&lt;&gt;"")*(G$3:G$45=G34)*(J$3:J$45&gt;J34)*(I$3:I$45="P"))+1,IF(M34="P",SUMPRODUCT((O$3:O$45&lt;&gt;"")*(P$3:P$45="")*(G$3:G$45=G34)*(I$3:I$45="P"))+SUMPRODUCT((P$3:P$45&lt;&gt;"")*(G$3:G$45=G34)*(I$3:I$45="P"))+SUMPRODUCT((N$3:N$45&lt;&gt;"")*(G$3:G$45=G34)*(I$3:I$45="P"))+SUMPRODUCT((P$3:P$45="")*(O$3:O$45="")*(N$3:N$45="")*(M$3:M$45="P")*(G$3:G$45=G34)*(J$3:J$45&gt;J34)*(I$3:I$45="P"))+IF(H34="L5",SUMPRODUCT((P$3:P$45="")*(O$3:O$45="")*(N$3:N$45="")*(M$3:M$45="P")*(G$3:G$45=G34)*(J$3:J$45&lt;J34)*(H$3:H$45&lt;&gt;H34)*(I$3:I$45="P")),-1*SUMPRODUCT((P$3:P$45="")*(O$3:O$45="")*(N$3:N$45="")*(M$3:M$45="P")*(G$3:G$45=G34)*(J$3:J$45&gt;J34)*(H$3:H$45="L5")*(I$3:I$45="P")))+1,"")))))</f>
        <v/>
      </c>
      <c r="B34" s="1" t="str" cm="1">
        <f t="array" ref="B34">IF(P34&lt;&gt;"",SUMPRODUCT((P$3:P$77&lt;&gt;"")*(G$3:G$77=G34)*(J$3:J$77&gt;J34))+1,IF(O34&lt;&gt;"",SUMPRODUCT((O$3:O$77&lt;&gt;"")*(P$3:P$77="")*(G$3:G$77=G34)*(J$3:J$77&gt;J34))+SUMPRODUCT((P$3:P$77&lt;&gt;"")*(G$3:G$77=G34))+1,IF(N34&lt;&gt;"",SUMPRODUCT((N$3:N$77&lt;&gt;"")*(G$3:G$77=G34)*(J$3:J$77&gt;J34))+1,IF(M34="P",SUMPRODUCT((O$3:O$77&lt;&gt;"")*(P$3:P$77="")*(G$3:G$77=G34))+SUMPRODUCT((P$3:P$77&lt;&gt;"")*(G$3:G$77=G34))+SUMPRODUCT((N$3:N$77&lt;&gt;"")*(G$3:G$77=G34))+SUMPRODUCT((P$3:P$77="")*(O$3:O$77="")*(N$3:N$77="")*(M$3:M$77="P")*(G$3:G$77=G34)*(J$3:J$77&gt;J34))+IF(H34="L5",SUMPRODUCT((P$3:P$77="")*(O$3:O$77="")*(N$3:N$77="")*(M$3:M$77="P")*(G$3:G$77=G34)*(J$3:J$77&lt;J34)*(H$3:H$77&lt;&gt;H34)),-1*SUMPRODUCT((P$3:P$77="")*(O$3:O$77="")*(N$3:N$77="")*(M$3:M$77="P")*(G$3:G$77=G34)*(J$3:J$77&gt;J34)*(H$3:H$77="L5")))+1,""))))</f>
        <v/>
      </c>
      <c r="C34" s="36" t="s">
        <v>137</v>
      </c>
      <c r="D34" s="36" t="str">
        <f>IF(E34="","",VLOOKUP(E34,'Coaching Points'!A:B,2,0))</f>
        <v>BC</v>
      </c>
      <c r="E34" s="36" t="s">
        <v>46</v>
      </c>
      <c r="F34" s="35">
        <v>2004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66</v>
      </c>
      <c r="I34" s="43" t="s">
        <v>567</v>
      </c>
      <c r="J34" s="4">
        <f>R34+S34+IF(OR(H34="Junior",H34="Senior"),0.0002,IF(OR(H34="L7",H34="L6"),0.0001,0))+MAX(X34,Z34)*0.0000001</f>
        <v>62.900003270000006</v>
      </c>
      <c r="K34" s="3" t="str">
        <f>IF(G34="Not Age Eligible","",IF(MAX(T34,V34,X34,Z34)&gt;=LOOKUP(G34,'Qualifying Scores'!$A$4:$A$7,'Qualifying Scores'!$I$4:$I$7),"P",""))</f>
        <v/>
      </c>
      <c r="L34" s="3" t="str">
        <f>IF(G34="Not Age Eligible","",IF(MAX(U34,W34,Y34,AA34)&gt;=LOOKUP(G34,'Qualifying Scores'!$A$10:$A$13,'Qualifying Scores'!$I$10:$I$13),"P",""))</f>
        <v/>
      </c>
      <c r="M34" s="3" t="str">
        <f>IF(G34="Not Age Eligible","",IF(OR(AND(T34&gt;=LOOKUP(G34,'Qualifying Scores'!$A$4:$A$7,'Qualifying Scores'!$I$4:$I$7),U34&gt;=LOOKUP(G34,'Qualifying Scores'!$A$10:$A$13,'Qualifying Scores'!$I$10:$I$13)),AND(X34&gt;=LOOKUP(G34,'Qualifying Scores'!$A$4:$A$7,'Qualifying Scores'!$I$4:$I$7),Y34&gt;=LOOKUP(G34,'Qualifying Scores'!$A$10:$A$13,'Qualifying Scores'!$I$10:$I$13)),AND(V34&gt;=LOOKUP(G34,'Qualifying Scores'!$A$4:$A$7,'Qualifying Scores'!$I$4:$I$7),W34&gt;=LOOKUP(G34,'Qualifying Scores'!$A$10:$A$13,'Qualifying Scores'!$I$10:$I$13)),AND(Z34&gt;=LOOKUP(G34,'Qualifying Scores'!$A$4:$A$7,'Qualifying Scores'!$I$4:$I$7),AA34&gt;=LOOKUP(G34,'Qualifying Scores'!$A$10:$A$13,'Qualifying Scores'!$I$10:$I$13))),"P",""))</f>
        <v/>
      </c>
      <c r="Q34" s="1" t="str">
        <f>IF(A34&lt;5,IF(_xlfn.MAXIFS(A:A,G:G,G34)&gt;3,5-A34,_xlfn.MAXIFS(A:A,G:G,G34)+1-A34),"")</f>
        <v/>
      </c>
      <c r="R34" s="4">
        <f>MAX(T34,X34)</f>
        <v>32.700000000000003</v>
      </c>
      <c r="S34" s="4">
        <f>IF(R34=T34,MAX(V34,X34,Z34),IF(R34=X34,MAX(T34,V34,Z34),0))</f>
        <v>30.2</v>
      </c>
      <c r="T34" s="33">
        <v>30.2</v>
      </c>
      <c r="U34" s="40">
        <v>3.8</v>
      </c>
      <c r="V34" s="34"/>
      <c r="W34" s="40"/>
      <c r="X34" s="33">
        <v>32.700000000000003</v>
      </c>
      <c r="Y34" s="40">
        <v>3.8</v>
      </c>
      <c r="Z34" s="34"/>
      <c r="AA34" s="37"/>
    </row>
    <row r="35" spans="1:27" x14ac:dyDescent="0.2">
      <c r="A35" s="1" t="str" cm="1">
        <f t="array" ref="A35">IF(I35="","",IF(P35&lt;&gt;"",SUMPRODUCT((P$3:P$45&lt;&gt;"")*(G$3:G$45=G35)*(J$3:J$45&gt;J35)*(I$3:I$45="P"))+1,IF(O35&lt;&gt;"",SUMPRODUCT((O$3:O$45&lt;&gt;"")*(P$3:P$45="")*(G$3:G$45=G35)*(J$3:J$45&gt;J35)*(I$3:I$45="P"))+SUMPRODUCT((P$3:P$45&lt;&gt;"")*(G$3:G$45=G35)*(I$3:I$45="P"))+1,IF(N35&lt;&gt;"",SUMPRODUCT((N$3:N$45&lt;&gt;"")*(G$3:G$45=G35)*(J$3:J$45&gt;J35)*(I$3:I$45="P"))+1,IF(M35="P",SUMPRODUCT((O$3:O$45&lt;&gt;"")*(P$3:P$45="")*(G$3:G$45=G35)*(I$3:I$45="P"))+SUMPRODUCT((P$3:P$45&lt;&gt;"")*(G$3:G$45=G35)*(I$3:I$45="P"))+SUMPRODUCT((N$3:N$45&lt;&gt;"")*(G$3:G$45=G35)*(I$3:I$45="P"))+SUMPRODUCT((P$3:P$45="")*(O$3:O$45="")*(N$3:N$45="")*(M$3:M$45="P")*(G$3:G$45=G35)*(J$3:J$45&gt;J35)*(I$3:I$45="P"))+IF(H35="L5",SUMPRODUCT((P$3:P$45="")*(O$3:O$45="")*(N$3:N$45="")*(M$3:M$45="P")*(G$3:G$45=G35)*(J$3:J$45&lt;J35)*(H$3:H$45&lt;&gt;H35)*(I$3:I$45="P")),-1*SUMPRODUCT((P$3:P$45="")*(O$3:O$45="")*(N$3:N$45="")*(M$3:M$45="P")*(G$3:G$45=G35)*(J$3:J$45&gt;J35)*(H$3:H$45="L5")*(I$3:I$45="P")))+1,"")))))</f>
        <v/>
      </c>
      <c r="B35" s="1" t="str" cm="1">
        <f t="array" ref="B35">IF(P35&lt;&gt;"",SUMPRODUCT((P$3:P$77&lt;&gt;"")*(G$3:G$77=G35)*(J$3:J$77&gt;J35))+1,IF(O35&lt;&gt;"",SUMPRODUCT((O$3:O$77&lt;&gt;"")*(P$3:P$77="")*(G$3:G$77=G35)*(J$3:J$77&gt;J35))+SUMPRODUCT((P$3:P$77&lt;&gt;"")*(G$3:G$77=G35))+1,IF(N35&lt;&gt;"",SUMPRODUCT((N$3:N$77&lt;&gt;"")*(G$3:G$77=G35)*(J$3:J$77&gt;J35))+1,IF(M35="P",SUMPRODUCT((O$3:O$77&lt;&gt;"")*(P$3:P$77="")*(G$3:G$77=G35))+SUMPRODUCT((P$3:P$77&lt;&gt;"")*(G$3:G$77=G35))+SUMPRODUCT((N$3:N$77&lt;&gt;"")*(G$3:G$77=G35))+SUMPRODUCT((P$3:P$77="")*(O$3:O$77="")*(N$3:N$77="")*(M$3:M$77="P")*(G$3:G$77=G35)*(J$3:J$77&gt;J35))+IF(H35="L5",SUMPRODUCT((P$3:P$77="")*(O$3:O$77="")*(N$3:N$77="")*(M$3:M$77="P")*(G$3:G$77=G35)*(J$3:J$77&lt;J35)*(H$3:H$77&lt;&gt;H35)),-1*SUMPRODUCT((P$3:P$77="")*(O$3:O$77="")*(N$3:N$77="")*(M$3:M$77="P")*(G$3:G$77=G35)*(J$3:J$77&gt;J35)*(H$3:H$77="L5")))+1,""))))</f>
        <v/>
      </c>
      <c r="C35" s="36" t="s">
        <v>267</v>
      </c>
      <c r="D35" s="36" t="str">
        <f>IF(E35="","",VLOOKUP(E35,'Coaching Points'!A:B,2,0))</f>
        <v>AB</v>
      </c>
      <c r="E35" s="36" t="s">
        <v>63</v>
      </c>
      <c r="F35" s="35">
        <v>2005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66</v>
      </c>
      <c r="I35" s="43"/>
      <c r="J35" s="4">
        <f>R35+S35+IF(OR(H35="Junior",H35="Senior"),0.0002,IF(OR(H35="L7",H35="L6"),0.0001,0))+MAX(X35,Z35)*0.0000001</f>
        <v>61.300003349999997</v>
      </c>
      <c r="K35" s="3" t="str">
        <f>IF(G35="Not Age Eligible","",IF(MAX(T35,V35,X35,Z35)&gt;=LOOKUP(G35,'Qualifying Scores'!$A$4:$A$7,'Qualifying Scores'!$I$4:$I$7),"P",""))</f>
        <v/>
      </c>
      <c r="L35" s="3" t="str">
        <f>IF(G35="Not Age Eligible","",IF(MAX(U35,W35,Y35,AA35)&gt;=LOOKUP(G35,'Qualifying Scores'!$A$10:$A$13,'Qualifying Scores'!$I$10:$I$13),"P",""))</f>
        <v/>
      </c>
      <c r="M35" s="3" t="str">
        <f>IF(G35="Not Age Eligible","",IF(OR(AND(T35&gt;=LOOKUP(G35,'Qualifying Scores'!$A$4:$A$7,'Qualifying Scores'!$I$4:$I$7),U35&gt;=LOOKUP(G35,'Qualifying Scores'!$A$10:$A$13,'Qualifying Scores'!$I$10:$I$13)),AND(X35&gt;=LOOKUP(G35,'Qualifying Scores'!$A$4:$A$7,'Qualifying Scores'!$I$4:$I$7),Y35&gt;=LOOKUP(G35,'Qualifying Scores'!$A$10:$A$13,'Qualifying Scores'!$I$10:$I$13)),AND(V35&gt;=LOOKUP(G35,'Qualifying Scores'!$A$4:$A$7,'Qualifying Scores'!$I$4:$I$7),W35&gt;=LOOKUP(G35,'Qualifying Scores'!$A$10:$A$13,'Qualifying Scores'!$I$10:$I$13)),AND(Z35&gt;=LOOKUP(G35,'Qualifying Scores'!$A$4:$A$7,'Qualifying Scores'!$I$4:$I$7),AA35&gt;=LOOKUP(G35,'Qualifying Scores'!$A$10:$A$13,'Qualifying Scores'!$I$10:$I$13))),"P",""))</f>
        <v/>
      </c>
      <c r="Q35" s="1" t="str">
        <f>IF(A35&lt;5,IF(_xlfn.MAXIFS(A:A,G:G,G35)&gt;3,5-A35,_xlfn.MAXIFS(A:A,G:G,G35)+1-A35),"")</f>
        <v/>
      </c>
      <c r="R35" s="4">
        <f>MAX(T35,X35)</f>
        <v>33.5</v>
      </c>
      <c r="S35" s="4">
        <f>IF(R35=T35,MAX(V35,X35,Z35),IF(R35=X35,MAX(T35,V35,Z35),0))</f>
        <v>27.8</v>
      </c>
      <c r="T35" s="33">
        <v>27.8</v>
      </c>
      <c r="U35" s="40">
        <v>2.7</v>
      </c>
      <c r="V35" s="34"/>
      <c r="W35" s="40"/>
      <c r="X35" s="33">
        <v>33.5</v>
      </c>
      <c r="Y35" s="40">
        <v>2.6</v>
      </c>
      <c r="Z35" s="34"/>
      <c r="AA35" s="37"/>
    </row>
    <row r="36" spans="1:27" x14ac:dyDescent="0.2">
      <c r="A36" s="1" t="str" cm="1">
        <f t="array" ref="A36">IF(I36="","",IF(P36&lt;&gt;"",SUMPRODUCT((P$3:P$45&lt;&gt;"")*(G$3:G$45=G36)*(J$3:J$45&gt;J36)*(I$3:I$45="P"))+1,IF(O36&lt;&gt;"",SUMPRODUCT((O$3:O$45&lt;&gt;"")*(P$3:P$45="")*(G$3:G$45=G36)*(J$3:J$45&gt;J36)*(I$3:I$45="P"))+SUMPRODUCT((P$3:P$45&lt;&gt;"")*(G$3:G$45=G36)*(I$3:I$45="P"))+1,IF(N36&lt;&gt;"",SUMPRODUCT((N$3:N$45&lt;&gt;"")*(G$3:G$45=G36)*(J$3:J$45&gt;J36)*(I$3:I$45="P"))+1,IF(M36="P",SUMPRODUCT((O$3:O$45&lt;&gt;"")*(P$3:P$45="")*(G$3:G$45=G36)*(I$3:I$45="P"))+SUMPRODUCT((P$3:P$45&lt;&gt;"")*(G$3:G$45=G36)*(I$3:I$45="P"))+SUMPRODUCT((N$3:N$45&lt;&gt;"")*(G$3:G$45=G36)*(I$3:I$45="P"))+SUMPRODUCT((P$3:P$45="")*(O$3:O$45="")*(N$3:N$45="")*(M$3:M$45="P")*(G$3:G$45=G36)*(J$3:J$45&gt;J36)*(I$3:I$45="P"))+IF(H36="L5",SUMPRODUCT((P$3:P$45="")*(O$3:O$45="")*(N$3:N$45="")*(M$3:M$45="P")*(G$3:G$45=G36)*(J$3:J$45&lt;J36)*(H$3:H$45&lt;&gt;H36)*(I$3:I$45="P")),-1*SUMPRODUCT((P$3:P$45="")*(O$3:O$45="")*(N$3:N$45="")*(M$3:M$45="P")*(G$3:G$45=G36)*(J$3:J$45&gt;J36)*(H$3:H$45="L5")*(I$3:I$45="P")))+1,"")))))</f>
        <v/>
      </c>
      <c r="B36" s="1" t="str" cm="1">
        <f t="array" ref="B36">IF(P36&lt;&gt;"",SUMPRODUCT((P$3:P$77&lt;&gt;"")*(G$3:G$77=G36)*(J$3:J$77&gt;J36))+1,IF(O36&lt;&gt;"",SUMPRODUCT((O$3:O$77&lt;&gt;"")*(P$3:P$77="")*(G$3:G$77=G36)*(J$3:J$77&gt;J36))+SUMPRODUCT((P$3:P$77&lt;&gt;"")*(G$3:G$77=G36))+1,IF(N36&lt;&gt;"",SUMPRODUCT((N$3:N$77&lt;&gt;"")*(G$3:G$77=G36)*(J$3:J$77&gt;J36))+1,IF(M36="P",SUMPRODUCT((O$3:O$77&lt;&gt;"")*(P$3:P$77="")*(G$3:G$77=G36))+SUMPRODUCT((P$3:P$77&lt;&gt;"")*(G$3:G$77=G36))+SUMPRODUCT((N$3:N$77&lt;&gt;"")*(G$3:G$77=G36))+SUMPRODUCT((P$3:P$77="")*(O$3:O$77="")*(N$3:N$77="")*(M$3:M$77="P")*(G$3:G$77=G36)*(J$3:J$77&gt;J36))+IF(H36="L5",SUMPRODUCT((P$3:P$77="")*(O$3:O$77="")*(N$3:N$77="")*(M$3:M$77="P")*(G$3:G$77=G36)*(J$3:J$77&lt;J36)*(H$3:H$77&lt;&gt;H36)),-1*SUMPRODUCT((P$3:P$77="")*(O$3:O$77="")*(N$3:N$77="")*(M$3:M$77="P")*(G$3:G$77=G36)*(J$3:J$77&gt;J36)*(H$3:H$77="L5")))+1,""))))</f>
        <v/>
      </c>
      <c r="C36" s="36" t="s">
        <v>271</v>
      </c>
      <c r="D36" s="36" t="str">
        <f>IF(E36="","",VLOOKUP(E36,'Coaching Points'!A:B,2,0))</f>
        <v>AB</v>
      </c>
      <c r="E36" s="36" t="s">
        <v>58</v>
      </c>
      <c r="F36" s="35">
        <v>2005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66</v>
      </c>
      <c r="I36" s="43"/>
      <c r="J36" s="4">
        <f>R36+S36+IF(OR(H36="Junior",H36="Senior"),0.0002,IF(OR(H36="L7",H36="L6"),0.0001,0))+MAX(X36,Z36)*0.0000001</f>
        <v>53.500003730000003</v>
      </c>
      <c r="K36" s="3" t="str">
        <f>IF(G36="Not Age Eligible","",IF(MAX(T36,V36,X36,Z36)&gt;=LOOKUP(G36,'Qualifying Scores'!$A$4:$A$7,'Qualifying Scores'!$I$4:$I$7),"P",""))</f>
        <v/>
      </c>
      <c r="L36" s="3" t="str">
        <f>IF(G36="Not Age Eligible","",IF(MAX(U36,W36,Y36,AA36)&gt;=LOOKUP(G36,'Qualifying Scores'!$A$10:$A$13,'Qualifying Scores'!$I$10:$I$13),"P",""))</f>
        <v/>
      </c>
      <c r="M36" s="3" t="str">
        <f>IF(G36="Not Age Eligible","",IF(OR(AND(T36&gt;=LOOKUP(G36,'Qualifying Scores'!$A$4:$A$7,'Qualifying Scores'!$I$4:$I$7),U36&gt;=LOOKUP(G36,'Qualifying Scores'!$A$10:$A$13,'Qualifying Scores'!$I$10:$I$13)),AND(X36&gt;=LOOKUP(G36,'Qualifying Scores'!$A$4:$A$7,'Qualifying Scores'!$I$4:$I$7),Y36&gt;=LOOKUP(G36,'Qualifying Scores'!$A$10:$A$13,'Qualifying Scores'!$I$10:$I$13)),AND(V36&gt;=LOOKUP(G36,'Qualifying Scores'!$A$4:$A$7,'Qualifying Scores'!$I$4:$I$7),W36&gt;=LOOKUP(G36,'Qualifying Scores'!$A$10:$A$13,'Qualifying Scores'!$I$10:$I$13)),AND(Z36&gt;=LOOKUP(G36,'Qualifying Scores'!$A$4:$A$7,'Qualifying Scores'!$I$4:$I$7),AA36&gt;=LOOKUP(G36,'Qualifying Scores'!$A$10:$A$13,'Qualifying Scores'!$I$10:$I$13))),"P",""))</f>
        <v/>
      </c>
      <c r="Q36" s="1" t="str">
        <f>IF(A36&lt;5,IF(_xlfn.MAXIFS(A:A,G:G,G36)&gt;3,5-A36,_xlfn.MAXIFS(A:A,G:G,G36)+1-A36),"")</f>
        <v/>
      </c>
      <c r="R36" s="4">
        <f>MAX(T36,X36)</f>
        <v>37.299999999999997</v>
      </c>
      <c r="S36" s="4">
        <f>IF(R36=T36,MAX(V36,X36,Z36),IF(R36=X36,MAX(T36,V36,Z36),0))</f>
        <v>16.2</v>
      </c>
      <c r="T36" s="33">
        <v>16.2</v>
      </c>
      <c r="U36" s="40">
        <v>1.2</v>
      </c>
      <c r="V36" s="34"/>
      <c r="W36" s="40"/>
      <c r="X36" s="33">
        <v>37.299999999999997</v>
      </c>
      <c r="Y36" s="40">
        <v>6.3</v>
      </c>
      <c r="Z36" s="34"/>
      <c r="AA36" s="37"/>
    </row>
    <row r="37" spans="1:27" x14ac:dyDescent="0.2">
      <c r="A37" s="1" t="str" cm="1">
        <f t="array" ref="A37">IF(I37="","",IF(P37&lt;&gt;"",SUMPRODUCT((P$3:P$45&lt;&gt;"")*(G$3:G$45=G37)*(J$3:J$45&gt;J37)*(I$3:I$45="P"))+1,IF(O37&lt;&gt;"",SUMPRODUCT((O$3:O$45&lt;&gt;"")*(P$3:P$45="")*(G$3:G$45=G37)*(J$3:J$45&gt;J37)*(I$3:I$45="P"))+SUMPRODUCT((P$3:P$45&lt;&gt;"")*(G$3:G$45=G37)*(I$3:I$45="P"))+1,IF(N37&lt;&gt;"",SUMPRODUCT((N$3:N$45&lt;&gt;"")*(G$3:G$45=G37)*(J$3:J$45&gt;J37)*(I$3:I$45="P"))+1,IF(M37="P",SUMPRODUCT((O$3:O$45&lt;&gt;"")*(P$3:P$45="")*(G$3:G$45=G37)*(I$3:I$45="P"))+SUMPRODUCT((P$3:P$45&lt;&gt;"")*(G$3:G$45=G37)*(I$3:I$45="P"))+SUMPRODUCT((N$3:N$45&lt;&gt;"")*(G$3:G$45=G37)*(I$3:I$45="P"))+SUMPRODUCT((P$3:P$45="")*(O$3:O$45="")*(N$3:N$45="")*(M$3:M$45="P")*(G$3:G$45=G37)*(J$3:J$45&gt;J37)*(I$3:I$45="P"))+IF(H37="L5",SUMPRODUCT((P$3:P$45="")*(O$3:O$45="")*(N$3:N$45="")*(M$3:M$45="P")*(G$3:G$45=G37)*(J$3:J$45&lt;J37)*(H$3:H$45&lt;&gt;H37)*(I$3:I$45="P")),-1*SUMPRODUCT((P$3:P$45="")*(O$3:O$45="")*(N$3:N$45="")*(M$3:M$45="P")*(G$3:G$45=G37)*(J$3:J$45&gt;J37)*(H$3:H$45="L5")*(I$3:I$45="P")))+1,"")))))</f>
        <v/>
      </c>
      <c r="B37" s="1" t="str" cm="1">
        <f t="array" ref="B37">IF(P37&lt;&gt;"",SUMPRODUCT((P$3:P$77&lt;&gt;"")*(G$3:G$77=G37)*(J$3:J$77&gt;J37))+1,IF(O37&lt;&gt;"",SUMPRODUCT((O$3:O$77&lt;&gt;"")*(P$3:P$77="")*(G$3:G$77=G37)*(J$3:J$77&gt;J37))+SUMPRODUCT((P$3:P$77&lt;&gt;"")*(G$3:G$77=G37))+1,IF(N37&lt;&gt;"",SUMPRODUCT((N$3:N$77&lt;&gt;"")*(G$3:G$77=G37)*(J$3:J$77&gt;J37))+1,IF(M37="P",SUMPRODUCT((O$3:O$77&lt;&gt;"")*(P$3:P$77="")*(G$3:G$77=G37))+SUMPRODUCT((P$3:P$77&lt;&gt;"")*(G$3:G$77=G37))+SUMPRODUCT((N$3:N$77&lt;&gt;"")*(G$3:G$77=G37))+SUMPRODUCT((P$3:P$77="")*(O$3:O$77="")*(N$3:N$77="")*(M$3:M$77="P")*(G$3:G$77=G37)*(J$3:J$77&gt;J37))+IF(H37="L5",SUMPRODUCT((P$3:P$77="")*(O$3:O$77="")*(N$3:N$77="")*(M$3:M$77="P")*(G$3:G$77=G37)*(J$3:J$77&lt;J37)*(H$3:H$77&lt;&gt;H37)),-1*SUMPRODUCT((P$3:P$77="")*(O$3:O$77="")*(N$3:N$77="")*(M$3:M$77="P")*(G$3:G$77=G37)*(J$3:J$77&gt;J37)*(H$3:H$77="L5")))+1,""))))</f>
        <v/>
      </c>
      <c r="C37" s="36" t="s">
        <v>540</v>
      </c>
      <c r="D37" s="36" t="str">
        <f>IF(E37="","",VLOOKUP(E37,'Coaching Points'!A:B,2,0))</f>
        <v>ON</v>
      </c>
      <c r="E37" s="36" t="s">
        <v>73</v>
      </c>
      <c r="F37" s="35">
        <v>2002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66</v>
      </c>
      <c r="I37" s="43"/>
      <c r="J37" s="4">
        <f>R37+S37+IF(OR(H37="Junior",H37="Senior"),0.0002,IF(OR(H37="L7",H37="L6"),0.0001,0))+MAX(X37,Z37)*0.0000001</f>
        <v>37.30000373</v>
      </c>
      <c r="K37" s="3" t="str">
        <f>IF(G37="Not Age Eligible","",IF(MAX(T37,V37,X37,Z37)&gt;=LOOKUP(G37,'Qualifying Scores'!$A$4:$A$7,'Qualifying Scores'!$I$4:$I$7),"P",""))</f>
        <v/>
      </c>
      <c r="L37" s="3" t="str">
        <f>IF(G37="Not Age Eligible","",IF(MAX(U37,W37,Y37,AA37)&gt;=LOOKUP(G37,'Qualifying Scores'!$A$10:$A$13,'Qualifying Scores'!$I$10:$I$13),"P",""))</f>
        <v/>
      </c>
      <c r="M37" s="3" t="str">
        <f>IF(G37="Not Age Eligible","",IF(OR(AND(T37&gt;=LOOKUP(G37,'Qualifying Scores'!$A$4:$A$7,'Qualifying Scores'!$I$4:$I$7),U37&gt;=LOOKUP(G37,'Qualifying Scores'!$A$10:$A$13,'Qualifying Scores'!$I$10:$I$13)),AND(X37&gt;=LOOKUP(G37,'Qualifying Scores'!$A$4:$A$7,'Qualifying Scores'!$I$4:$I$7),Y37&gt;=LOOKUP(G37,'Qualifying Scores'!$A$10:$A$13,'Qualifying Scores'!$I$10:$I$13)),AND(V37&gt;=LOOKUP(G37,'Qualifying Scores'!$A$4:$A$7,'Qualifying Scores'!$I$4:$I$7),W37&gt;=LOOKUP(G37,'Qualifying Scores'!$A$10:$A$13,'Qualifying Scores'!$I$10:$I$13)),AND(Z37&gt;=LOOKUP(G37,'Qualifying Scores'!$A$4:$A$7,'Qualifying Scores'!$I$4:$I$7),AA37&gt;=LOOKUP(G37,'Qualifying Scores'!$A$10:$A$13,'Qualifying Scores'!$I$10:$I$13))),"P",""))</f>
        <v/>
      </c>
      <c r="Q37" s="1" t="str">
        <f>IF(A37&lt;5,IF(_xlfn.MAXIFS(A:A,G:G,G37)&gt;3,5-A37,_xlfn.MAXIFS(A:A,G:G,G37)+1-A37),"")</f>
        <v/>
      </c>
      <c r="R37" s="4">
        <f>MAX(T37,X37)</f>
        <v>37.299999999999997</v>
      </c>
      <c r="S37" s="4">
        <f>IF(R37=T37,MAX(V37,X37,Z37),IF(R37=X37,MAX(T37,V37,Z37),0))</f>
        <v>0</v>
      </c>
      <c r="T37" s="33"/>
      <c r="U37" s="40"/>
      <c r="V37" s="34"/>
      <c r="W37" s="40"/>
      <c r="X37" s="33">
        <v>37.299999999999997</v>
      </c>
      <c r="Y37" s="40">
        <v>4.4000000000000004</v>
      </c>
      <c r="Z37" s="34"/>
      <c r="AA37" s="37"/>
    </row>
    <row r="38" spans="1:27" x14ac:dyDescent="0.2">
      <c r="A38" s="1" t="str" cm="1">
        <f t="array" ref="A38">IF(I38="","",IF(P38&lt;&gt;"",SUMPRODUCT((P$3:P$45&lt;&gt;"")*(G$3:G$45=G38)*(J$3:J$45&gt;J38)*(I$3:I$45="P"))+1,IF(O38&lt;&gt;"",SUMPRODUCT((O$3:O$45&lt;&gt;"")*(P$3:P$45="")*(G$3:G$45=G38)*(J$3:J$45&gt;J38)*(I$3:I$45="P"))+SUMPRODUCT((P$3:P$45&lt;&gt;"")*(G$3:G$45=G38)*(I$3:I$45="P"))+1,IF(N38&lt;&gt;"",SUMPRODUCT((N$3:N$45&lt;&gt;"")*(G$3:G$45=G38)*(J$3:J$45&gt;J38)*(I$3:I$45="P"))+1,IF(M38="P",SUMPRODUCT((O$3:O$45&lt;&gt;"")*(P$3:P$45="")*(G$3:G$45=G38)*(I$3:I$45="P"))+SUMPRODUCT((P$3:P$45&lt;&gt;"")*(G$3:G$45=G38)*(I$3:I$45="P"))+SUMPRODUCT((N$3:N$45&lt;&gt;"")*(G$3:G$45=G38)*(I$3:I$45="P"))+SUMPRODUCT((P$3:P$45="")*(O$3:O$45="")*(N$3:N$45="")*(M$3:M$45="P")*(G$3:G$45=G38)*(J$3:J$45&gt;J38)*(I$3:I$45="P"))+IF(H38="L5",SUMPRODUCT((P$3:P$45="")*(O$3:O$45="")*(N$3:N$45="")*(M$3:M$45="P")*(G$3:G$45=G38)*(J$3:J$45&lt;J38)*(H$3:H$45&lt;&gt;H38)*(I$3:I$45="P")),-1*SUMPRODUCT((P$3:P$45="")*(O$3:O$45="")*(N$3:N$45="")*(M$3:M$45="P")*(G$3:G$45=G38)*(J$3:J$45&gt;J38)*(H$3:H$45="L5")*(I$3:I$45="P")))+1,"")))))</f>
        <v/>
      </c>
      <c r="B38" s="1" t="str" cm="1">
        <f t="array" ref="B38">IF(P38&lt;&gt;"",SUMPRODUCT((P$3:P$77&lt;&gt;"")*(G$3:G$77=G38)*(J$3:J$77&gt;J38))+1,IF(O38&lt;&gt;"",SUMPRODUCT((O$3:O$77&lt;&gt;"")*(P$3:P$77="")*(G$3:G$77=G38)*(J$3:J$77&gt;J38))+SUMPRODUCT((P$3:P$77&lt;&gt;"")*(G$3:G$77=G38))+1,IF(N38&lt;&gt;"",SUMPRODUCT((N$3:N$77&lt;&gt;"")*(G$3:G$77=G38)*(J$3:J$77&gt;J38))+1,IF(M38="P",SUMPRODUCT((O$3:O$77&lt;&gt;"")*(P$3:P$77="")*(G$3:G$77=G38))+SUMPRODUCT((P$3:P$77&lt;&gt;"")*(G$3:G$77=G38))+SUMPRODUCT((N$3:N$77&lt;&gt;"")*(G$3:G$77=G38))+SUMPRODUCT((P$3:P$77="")*(O$3:O$77="")*(N$3:N$77="")*(M$3:M$77="P")*(G$3:G$77=G38)*(J$3:J$77&gt;J38))+IF(H38="L5",SUMPRODUCT((P$3:P$77="")*(O$3:O$77="")*(N$3:N$77="")*(M$3:M$77="P")*(G$3:G$77=G38)*(J$3:J$77&lt;J38)*(H$3:H$77&lt;&gt;H38)),-1*SUMPRODUCT((P$3:P$77="")*(O$3:O$77="")*(N$3:N$77="")*(M$3:M$77="P")*(G$3:G$77=G38)*(J$3:J$77&gt;J38)*(H$3:H$77="L5")))+1,""))))</f>
        <v/>
      </c>
      <c r="C38" s="36" t="s">
        <v>269</v>
      </c>
      <c r="D38" s="36" t="str">
        <f>IF(E38="","",VLOOKUP(E38,'Coaching Points'!A:B,2,0))</f>
        <v>NS</v>
      </c>
      <c r="E38" s="36" t="s">
        <v>134</v>
      </c>
      <c r="F38" s="35">
        <v>2006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66</v>
      </c>
      <c r="I38" s="43"/>
      <c r="J38" s="4">
        <f>R38+S38+IF(OR(H38="Junior",H38="Senior"),0.0002,IF(OR(H38="L7",H38="L6"),0.0001,0))+MAX(X38,Z38)*0.0000001</f>
        <v>36.799999999999997</v>
      </c>
      <c r="K38" s="3" t="str">
        <f>IF(G38="Not Age Eligible","",IF(MAX(T38,V38,X38,Z38)&gt;=LOOKUP(G38,'Qualifying Scores'!$A$4:$A$7,'Qualifying Scores'!$I$4:$I$7),"P",""))</f>
        <v/>
      </c>
      <c r="L38" s="3" t="str">
        <f>IF(G38="Not Age Eligible","",IF(MAX(U38,W38,Y38,AA38)&gt;=LOOKUP(G38,'Qualifying Scores'!$A$10:$A$13,'Qualifying Scores'!$I$10:$I$13),"P",""))</f>
        <v/>
      </c>
      <c r="M38" s="3" t="str">
        <f>IF(G38="Not Age Eligible","",IF(OR(AND(T38&gt;=LOOKUP(G38,'Qualifying Scores'!$A$4:$A$7,'Qualifying Scores'!$I$4:$I$7),U38&gt;=LOOKUP(G38,'Qualifying Scores'!$A$10:$A$13,'Qualifying Scores'!$I$10:$I$13)),AND(X38&gt;=LOOKUP(G38,'Qualifying Scores'!$A$4:$A$7,'Qualifying Scores'!$I$4:$I$7),Y38&gt;=LOOKUP(G38,'Qualifying Scores'!$A$10:$A$13,'Qualifying Scores'!$I$10:$I$13)),AND(V38&gt;=LOOKUP(G38,'Qualifying Scores'!$A$4:$A$7,'Qualifying Scores'!$I$4:$I$7),W38&gt;=LOOKUP(G38,'Qualifying Scores'!$A$10:$A$13,'Qualifying Scores'!$I$10:$I$13)),AND(Z38&gt;=LOOKUP(G38,'Qualifying Scores'!$A$4:$A$7,'Qualifying Scores'!$I$4:$I$7),AA38&gt;=LOOKUP(G38,'Qualifying Scores'!$A$10:$A$13,'Qualifying Scores'!$I$10:$I$13))),"P",""))</f>
        <v/>
      </c>
      <c r="Q38" s="1" t="str">
        <f>IF(A38&lt;5,IF(_xlfn.MAXIFS(A:A,G:G,G38)&gt;3,5-A38,_xlfn.MAXIFS(A:A,G:G,G38)+1-A38),"")</f>
        <v/>
      </c>
      <c r="R38" s="4">
        <f>MAX(T38,X38)</f>
        <v>36.799999999999997</v>
      </c>
      <c r="S38" s="4">
        <f>IF(R38=T38,MAX(V38,X38,Z38),IF(R38=X38,MAX(T38,V38,Z38),0))</f>
        <v>0</v>
      </c>
      <c r="T38" s="33">
        <v>36.799999999999997</v>
      </c>
      <c r="U38" s="40">
        <v>4.4000000000000004</v>
      </c>
      <c r="V38" s="34"/>
      <c r="W38" s="40"/>
      <c r="X38" s="33"/>
      <c r="Y38" s="40"/>
      <c r="Z38" s="34"/>
      <c r="AA38" s="37"/>
    </row>
    <row r="39" spans="1:27" x14ac:dyDescent="0.2">
      <c r="A39" s="1" t="str" cm="1">
        <f t="array" ref="A39">IF(I39="","",IF(P39&lt;&gt;"",SUMPRODUCT((P$3:P$45&lt;&gt;"")*(G$3:G$45=G39)*(J$3:J$45&gt;J39)*(I$3:I$45="P"))+1,IF(O39&lt;&gt;"",SUMPRODUCT((O$3:O$45&lt;&gt;"")*(P$3:P$45="")*(G$3:G$45=G39)*(J$3:J$45&gt;J39)*(I$3:I$45="P"))+SUMPRODUCT((P$3:P$45&lt;&gt;"")*(G$3:G$45=G39)*(I$3:I$45="P"))+1,IF(N39&lt;&gt;"",SUMPRODUCT((N$3:N$45&lt;&gt;"")*(G$3:G$45=G39)*(J$3:J$45&gt;J39)*(I$3:I$45="P"))+1,IF(M39="P",SUMPRODUCT((O$3:O$45&lt;&gt;"")*(P$3:P$45="")*(G$3:G$45=G39)*(I$3:I$45="P"))+SUMPRODUCT((P$3:P$45&lt;&gt;"")*(G$3:G$45=G39)*(I$3:I$45="P"))+SUMPRODUCT((N$3:N$45&lt;&gt;"")*(G$3:G$45=G39)*(I$3:I$45="P"))+SUMPRODUCT((P$3:P$45="")*(O$3:O$45="")*(N$3:N$45="")*(M$3:M$45="P")*(G$3:G$45=G39)*(J$3:J$45&gt;J39)*(I$3:I$45="P"))+IF(H39="L5",SUMPRODUCT((P$3:P$45="")*(O$3:O$45="")*(N$3:N$45="")*(M$3:M$45="P")*(G$3:G$45=G39)*(J$3:J$45&lt;J39)*(H$3:H$45&lt;&gt;H39)*(I$3:I$45="P")),-1*SUMPRODUCT((P$3:P$45="")*(O$3:O$45="")*(N$3:N$45="")*(M$3:M$45="P")*(G$3:G$45=G39)*(J$3:J$45&gt;J39)*(H$3:H$45="L5")*(I$3:I$45="P")))+1,"")))))</f>
        <v/>
      </c>
      <c r="B39" s="1" t="str" cm="1">
        <f t="array" ref="B39">IF(P39&lt;&gt;"",SUMPRODUCT((P$3:P$77&lt;&gt;"")*(G$3:G$77=G39)*(J$3:J$77&gt;J39))+1,IF(O39&lt;&gt;"",SUMPRODUCT((O$3:O$77&lt;&gt;"")*(P$3:P$77="")*(G$3:G$77=G39)*(J$3:J$77&gt;J39))+SUMPRODUCT((P$3:P$77&lt;&gt;"")*(G$3:G$77=G39))+1,IF(N39&lt;&gt;"",SUMPRODUCT((N$3:N$77&lt;&gt;"")*(G$3:G$77=G39)*(J$3:J$77&gt;J39))+1,IF(M39="P",SUMPRODUCT((O$3:O$77&lt;&gt;"")*(P$3:P$77="")*(G$3:G$77=G39))+SUMPRODUCT((P$3:P$77&lt;&gt;"")*(G$3:G$77=G39))+SUMPRODUCT((N$3:N$77&lt;&gt;"")*(G$3:G$77=G39))+SUMPRODUCT((P$3:P$77="")*(O$3:O$77="")*(N$3:N$77="")*(M$3:M$77="P")*(G$3:G$77=G39)*(J$3:J$77&gt;J39))+IF(H39="L5",SUMPRODUCT((P$3:P$77="")*(O$3:O$77="")*(N$3:N$77="")*(M$3:M$77="P")*(G$3:G$77=G39)*(J$3:J$77&lt;J39)*(H$3:H$77&lt;&gt;H39)),-1*SUMPRODUCT((P$3:P$77="")*(O$3:O$77="")*(N$3:N$77="")*(M$3:M$77="P")*(G$3:G$77=G39)*(J$3:J$77&gt;J39)*(H$3:H$77="L5")))+1,""))))</f>
        <v/>
      </c>
      <c r="C39" s="36" t="s">
        <v>245</v>
      </c>
      <c r="D39" s="36" t="str">
        <f>IF(E39="","",VLOOKUP(E39,'Coaching Points'!A:B,2,0))</f>
        <v>AB</v>
      </c>
      <c r="E39" s="36" t="s">
        <v>63</v>
      </c>
      <c r="F39" s="35">
        <v>2003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66</v>
      </c>
      <c r="I39" s="43"/>
      <c r="J39" s="4">
        <f>R39+S39+IF(OR(H39="Junior",H39="Senior"),0.0002,IF(OR(H39="L7",H39="L6"),0.0001,0))+MAX(X39,Z39)*0.0000001</f>
        <v>36.200003620000004</v>
      </c>
      <c r="K39" s="3" t="str">
        <f>IF(G39="Not Age Eligible","",IF(MAX(T39,V39,X39,Z39)&gt;=LOOKUP(G39,'Qualifying Scores'!$A$4:$A$7,'Qualifying Scores'!$I$4:$I$7),"P",""))</f>
        <v/>
      </c>
      <c r="L39" s="3" t="str">
        <f>IF(G39="Not Age Eligible","",IF(MAX(U39,W39,Y39,AA39)&gt;=LOOKUP(G39,'Qualifying Scores'!$A$10:$A$13,'Qualifying Scores'!$I$10:$I$13),"P",""))</f>
        <v/>
      </c>
      <c r="M39" s="3" t="str">
        <f>IF(G39="Not Age Eligible","",IF(OR(AND(T39&gt;=LOOKUP(G39,'Qualifying Scores'!$A$4:$A$7,'Qualifying Scores'!$I$4:$I$7),U39&gt;=LOOKUP(G39,'Qualifying Scores'!$A$10:$A$13,'Qualifying Scores'!$I$10:$I$13)),AND(X39&gt;=LOOKUP(G39,'Qualifying Scores'!$A$4:$A$7,'Qualifying Scores'!$I$4:$I$7),Y39&gt;=LOOKUP(G39,'Qualifying Scores'!$A$10:$A$13,'Qualifying Scores'!$I$10:$I$13)),AND(V39&gt;=LOOKUP(G39,'Qualifying Scores'!$A$4:$A$7,'Qualifying Scores'!$I$4:$I$7),W39&gt;=LOOKUP(G39,'Qualifying Scores'!$A$10:$A$13,'Qualifying Scores'!$I$10:$I$13)),AND(Z39&gt;=LOOKUP(G39,'Qualifying Scores'!$A$4:$A$7,'Qualifying Scores'!$I$4:$I$7),AA39&gt;=LOOKUP(G39,'Qualifying Scores'!$A$10:$A$13,'Qualifying Scores'!$I$10:$I$13))),"P",""))</f>
        <v/>
      </c>
      <c r="Q39" s="1" t="str">
        <f>IF(A39&lt;5,IF(_xlfn.MAXIFS(A:A,G:G,G39)&gt;3,5-A39,_xlfn.MAXIFS(A:A,G:G,G39)+1-A39),"")</f>
        <v/>
      </c>
      <c r="R39" s="4">
        <f>MAX(T39,X39)</f>
        <v>36.200000000000003</v>
      </c>
      <c r="S39" s="4">
        <f>IF(R39=T39,MAX(V39,X39,Z39),IF(R39=X39,MAX(T39,V39,Z39),0))</f>
        <v>0</v>
      </c>
      <c r="T39" s="33"/>
      <c r="U39" s="40"/>
      <c r="V39" s="34"/>
      <c r="W39" s="40"/>
      <c r="X39" s="33">
        <v>36.200000000000003</v>
      </c>
      <c r="Y39" s="40">
        <v>4.5999999999999996</v>
      </c>
      <c r="Z39" s="34"/>
      <c r="AA39" s="37"/>
    </row>
    <row r="40" spans="1:27" x14ac:dyDescent="0.2">
      <c r="A40" s="1" t="str" cm="1">
        <f t="array" ref="A40">IF(I40="","",IF(P40&lt;&gt;"",SUMPRODUCT((P$3:P$45&lt;&gt;"")*(G$3:G$45=G40)*(J$3:J$45&gt;J40)*(I$3:I$45="P"))+1,IF(O40&lt;&gt;"",SUMPRODUCT((O$3:O$45&lt;&gt;"")*(P$3:P$45="")*(G$3:G$45=G40)*(J$3:J$45&gt;J40)*(I$3:I$45="P"))+SUMPRODUCT((P$3:P$45&lt;&gt;"")*(G$3:G$45=G40)*(I$3:I$45="P"))+1,IF(N40&lt;&gt;"",SUMPRODUCT((N$3:N$45&lt;&gt;"")*(G$3:G$45=G40)*(J$3:J$45&gt;J40)*(I$3:I$45="P"))+1,IF(M40="P",SUMPRODUCT((O$3:O$45&lt;&gt;"")*(P$3:P$45="")*(G$3:G$45=G40)*(I$3:I$45="P"))+SUMPRODUCT((P$3:P$45&lt;&gt;"")*(G$3:G$45=G40)*(I$3:I$45="P"))+SUMPRODUCT((N$3:N$45&lt;&gt;"")*(G$3:G$45=G40)*(I$3:I$45="P"))+SUMPRODUCT((P$3:P$45="")*(O$3:O$45="")*(N$3:N$45="")*(M$3:M$45="P")*(G$3:G$45=G40)*(J$3:J$45&gt;J40)*(I$3:I$45="P"))+IF(H40="L5",SUMPRODUCT((P$3:P$45="")*(O$3:O$45="")*(N$3:N$45="")*(M$3:M$45="P")*(G$3:G$45=G40)*(J$3:J$45&lt;J40)*(H$3:H$45&lt;&gt;H40)*(I$3:I$45="P")),-1*SUMPRODUCT((P$3:P$45="")*(O$3:O$45="")*(N$3:N$45="")*(M$3:M$45="P")*(G$3:G$45=G40)*(J$3:J$45&gt;J40)*(H$3:H$45="L5")*(I$3:I$45="P")))+1,"")))))</f>
        <v/>
      </c>
      <c r="B40" s="1" t="str" cm="1">
        <f t="array" ref="B40">IF(P40&lt;&gt;"",SUMPRODUCT((P$3:P$77&lt;&gt;"")*(G$3:G$77=G40)*(J$3:J$77&gt;J40))+1,IF(O40&lt;&gt;"",SUMPRODUCT((O$3:O$77&lt;&gt;"")*(P$3:P$77="")*(G$3:G$77=G40)*(J$3:J$77&gt;J40))+SUMPRODUCT((P$3:P$77&lt;&gt;"")*(G$3:G$77=G40))+1,IF(N40&lt;&gt;"",SUMPRODUCT((N$3:N$77&lt;&gt;"")*(G$3:G$77=G40)*(J$3:J$77&gt;J40))+1,IF(M40="P",SUMPRODUCT((O$3:O$77&lt;&gt;"")*(P$3:P$77="")*(G$3:G$77=G40))+SUMPRODUCT((P$3:P$77&lt;&gt;"")*(G$3:G$77=G40))+SUMPRODUCT((N$3:N$77&lt;&gt;"")*(G$3:G$77=G40))+SUMPRODUCT((P$3:P$77="")*(O$3:O$77="")*(N$3:N$77="")*(M$3:M$77="P")*(G$3:G$77=G40)*(J$3:J$77&gt;J40))+IF(H40="L5",SUMPRODUCT((P$3:P$77="")*(O$3:O$77="")*(N$3:N$77="")*(M$3:M$77="P")*(G$3:G$77=G40)*(J$3:J$77&lt;J40)*(H$3:H$77&lt;&gt;H40)),-1*SUMPRODUCT((P$3:P$77="")*(O$3:O$77="")*(N$3:N$77="")*(M$3:M$77="P")*(G$3:G$77=G40)*(J$3:J$77&gt;J40)*(H$3:H$77="L5")))+1,""))))</f>
        <v/>
      </c>
      <c r="C40" s="36" t="s">
        <v>541</v>
      </c>
      <c r="D40" s="36" t="str">
        <f>IF(E40="","",VLOOKUP(E40,'Coaching Points'!A:B,2,0))</f>
        <v>NS</v>
      </c>
      <c r="E40" s="36" t="s">
        <v>134</v>
      </c>
      <c r="F40" s="35">
        <v>2005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66</v>
      </c>
      <c r="I40" s="43"/>
      <c r="J40" s="4">
        <f>R40+S40+IF(OR(H40="Junior",H40="Senior"),0.0002,IF(OR(H40="L7",H40="L6"),0.0001,0))+MAX(X40,Z40)*0.0000001</f>
        <v>36.200003620000004</v>
      </c>
      <c r="K40" s="3" t="str">
        <f>IF(G40="Not Age Eligible","",IF(MAX(T40,V40,X40,Z40)&gt;=LOOKUP(G40,'Qualifying Scores'!$A$4:$A$7,'Qualifying Scores'!$I$4:$I$7),"P",""))</f>
        <v/>
      </c>
      <c r="L40" s="3" t="str">
        <f>IF(G40="Not Age Eligible","",IF(MAX(U40,W40,Y40,AA40)&gt;=LOOKUP(G40,'Qualifying Scores'!$A$10:$A$13,'Qualifying Scores'!$I$10:$I$13),"P",""))</f>
        <v/>
      </c>
      <c r="M40" s="3" t="str">
        <f>IF(G40="Not Age Eligible","",IF(OR(AND(T40&gt;=LOOKUP(G40,'Qualifying Scores'!$A$4:$A$7,'Qualifying Scores'!$I$4:$I$7),U40&gt;=LOOKUP(G40,'Qualifying Scores'!$A$10:$A$13,'Qualifying Scores'!$I$10:$I$13)),AND(X40&gt;=LOOKUP(G40,'Qualifying Scores'!$A$4:$A$7,'Qualifying Scores'!$I$4:$I$7),Y40&gt;=LOOKUP(G40,'Qualifying Scores'!$A$10:$A$13,'Qualifying Scores'!$I$10:$I$13)),AND(V40&gt;=LOOKUP(G40,'Qualifying Scores'!$A$4:$A$7,'Qualifying Scores'!$I$4:$I$7),W40&gt;=LOOKUP(G40,'Qualifying Scores'!$A$10:$A$13,'Qualifying Scores'!$I$10:$I$13)),AND(Z40&gt;=LOOKUP(G40,'Qualifying Scores'!$A$4:$A$7,'Qualifying Scores'!$I$4:$I$7),AA40&gt;=LOOKUP(G40,'Qualifying Scores'!$A$10:$A$13,'Qualifying Scores'!$I$10:$I$13))),"P",""))</f>
        <v/>
      </c>
      <c r="Q40" s="1" t="str">
        <f>IF(A40&lt;5,IF(_xlfn.MAXIFS(A:A,G:G,G40)&gt;3,5-A40,_xlfn.MAXIFS(A:A,G:G,G40)+1-A40),"")</f>
        <v/>
      </c>
      <c r="R40" s="4">
        <f>MAX(T40,X40)</f>
        <v>36.200000000000003</v>
      </c>
      <c r="S40" s="4">
        <f>IF(R40=T40,MAX(V40,X40,Z40),IF(R40=X40,MAX(T40,V40,Z40),0))</f>
        <v>0</v>
      </c>
      <c r="T40" s="33"/>
      <c r="U40" s="40"/>
      <c r="V40" s="34"/>
      <c r="W40" s="40"/>
      <c r="X40" s="33">
        <v>36.200000000000003</v>
      </c>
      <c r="Y40" s="40">
        <v>5.8</v>
      </c>
      <c r="Z40" s="34"/>
      <c r="AA40" s="37"/>
    </row>
    <row r="41" spans="1:27" x14ac:dyDescent="0.2">
      <c r="A41" s="1" t="str" cm="1">
        <f t="array" ref="A41">IF(I41="","",IF(P41&lt;&gt;"",SUMPRODUCT((P$3:P$45&lt;&gt;"")*(G$3:G$45=G41)*(J$3:J$45&gt;J41)*(I$3:I$45="P"))+1,IF(O41&lt;&gt;"",SUMPRODUCT((O$3:O$45&lt;&gt;"")*(P$3:P$45="")*(G$3:G$45=G41)*(J$3:J$45&gt;J41)*(I$3:I$45="P"))+SUMPRODUCT((P$3:P$45&lt;&gt;"")*(G$3:G$45=G41)*(I$3:I$45="P"))+1,IF(N41&lt;&gt;"",SUMPRODUCT((N$3:N$45&lt;&gt;"")*(G$3:G$45=G41)*(J$3:J$45&gt;J41)*(I$3:I$45="P"))+1,IF(M41="P",SUMPRODUCT((O$3:O$45&lt;&gt;"")*(P$3:P$45="")*(G$3:G$45=G41)*(I$3:I$45="P"))+SUMPRODUCT((P$3:P$45&lt;&gt;"")*(G$3:G$45=G41)*(I$3:I$45="P"))+SUMPRODUCT((N$3:N$45&lt;&gt;"")*(G$3:G$45=G41)*(I$3:I$45="P"))+SUMPRODUCT((P$3:P$45="")*(O$3:O$45="")*(N$3:N$45="")*(M$3:M$45="P")*(G$3:G$45=G41)*(J$3:J$45&gt;J41)*(I$3:I$45="P"))+IF(H41="L5",SUMPRODUCT((P$3:P$45="")*(O$3:O$45="")*(N$3:N$45="")*(M$3:M$45="P")*(G$3:G$45=G41)*(J$3:J$45&lt;J41)*(H$3:H$45&lt;&gt;H41)*(I$3:I$45="P")),-1*SUMPRODUCT((P$3:P$45="")*(O$3:O$45="")*(N$3:N$45="")*(M$3:M$45="P")*(G$3:G$45=G41)*(J$3:J$45&gt;J41)*(H$3:H$45="L5")*(I$3:I$45="P")))+1,"")))))</f>
        <v/>
      </c>
      <c r="B41" s="1" t="str" cm="1">
        <f t="array" ref="B41">IF(P41&lt;&gt;"",SUMPRODUCT((P$3:P$77&lt;&gt;"")*(G$3:G$77=G41)*(J$3:J$77&gt;J41))+1,IF(O41&lt;&gt;"",SUMPRODUCT((O$3:O$77&lt;&gt;"")*(P$3:P$77="")*(G$3:G$77=G41)*(J$3:J$77&gt;J41))+SUMPRODUCT((P$3:P$77&lt;&gt;"")*(G$3:G$77=G41))+1,IF(N41&lt;&gt;"",SUMPRODUCT((N$3:N$77&lt;&gt;"")*(G$3:G$77=G41)*(J$3:J$77&gt;J41))+1,IF(M41="P",SUMPRODUCT((O$3:O$77&lt;&gt;"")*(P$3:P$77="")*(G$3:G$77=G41))+SUMPRODUCT((P$3:P$77&lt;&gt;"")*(G$3:G$77=G41))+SUMPRODUCT((N$3:N$77&lt;&gt;"")*(G$3:G$77=G41))+SUMPRODUCT((P$3:P$77="")*(O$3:O$77="")*(N$3:N$77="")*(M$3:M$77="P")*(G$3:G$77=G41)*(J$3:J$77&gt;J41))+IF(H41="L5",SUMPRODUCT((P$3:P$77="")*(O$3:O$77="")*(N$3:N$77="")*(M$3:M$77="P")*(G$3:G$77=G41)*(J$3:J$77&lt;J41)*(H$3:H$77&lt;&gt;H41)),-1*SUMPRODUCT((P$3:P$77="")*(O$3:O$77="")*(N$3:N$77="")*(M$3:M$77="P")*(G$3:G$77=G41)*(J$3:J$77&gt;J41)*(H$3:H$77="L5")))+1,""))))</f>
        <v/>
      </c>
      <c r="C41" s="36" t="s">
        <v>349</v>
      </c>
      <c r="D41" s="36" t="str">
        <f>IF(E41="","",VLOOKUP(E41,'Coaching Points'!A:B,2,0))</f>
        <v>AB</v>
      </c>
      <c r="E41" s="36" t="s">
        <v>63</v>
      </c>
      <c r="F41" s="35">
        <v>2005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66</v>
      </c>
      <c r="I41" s="43"/>
      <c r="J41" s="4">
        <f>R41+S41+IF(OR(H41="Junior",H41="Senior"),0.0002,IF(OR(H41="L7",H41="L6"),0.0001,0))+MAX(X41,Z41)*0.0000001</f>
        <v>36.100003610000002</v>
      </c>
      <c r="K41" s="3" t="str">
        <f>IF(G41="Not Age Eligible","",IF(MAX(T41,V41,X41,Z41)&gt;=LOOKUP(G41,'Qualifying Scores'!$A$4:$A$7,'Qualifying Scores'!$I$4:$I$7),"P",""))</f>
        <v/>
      </c>
      <c r="L41" s="3" t="str">
        <f>IF(G41="Not Age Eligible","",IF(MAX(U41,W41,Y41,AA41)&gt;=LOOKUP(G41,'Qualifying Scores'!$A$10:$A$13,'Qualifying Scores'!$I$10:$I$13),"P",""))</f>
        <v/>
      </c>
      <c r="M41" s="3" t="str">
        <f>IF(G41="Not Age Eligible","",IF(OR(AND(T41&gt;=LOOKUP(G41,'Qualifying Scores'!$A$4:$A$7,'Qualifying Scores'!$I$4:$I$7),U41&gt;=LOOKUP(G41,'Qualifying Scores'!$A$10:$A$13,'Qualifying Scores'!$I$10:$I$13)),AND(X41&gt;=LOOKUP(G41,'Qualifying Scores'!$A$4:$A$7,'Qualifying Scores'!$I$4:$I$7),Y41&gt;=LOOKUP(G41,'Qualifying Scores'!$A$10:$A$13,'Qualifying Scores'!$I$10:$I$13)),AND(V41&gt;=LOOKUP(G41,'Qualifying Scores'!$A$4:$A$7,'Qualifying Scores'!$I$4:$I$7),W41&gt;=LOOKUP(G41,'Qualifying Scores'!$A$10:$A$13,'Qualifying Scores'!$I$10:$I$13)),AND(Z41&gt;=LOOKUP(G41,'Qualifying Scores'!$A$4:$A$7,'Qualifying Scores'!$I$4:$I$7),AA41&gt;=LOOKUP(G41,'Qualifying Scores'!$A$10:$A$13,'Qualifying Scores'!$I$10:$I$13))),"P",""))</f>
        <v/>
      </c>
      <c r="Q41" s="1" t="str">
        <f>IF(A41&lt;5,IF(_xlfn.MAXIFS(A:A,G:G,G41)&gt;3,5-A41,_xlfn.MAXIFS(A:A,G:G,G41)+1-A41),"")</f>
        <v/>
      </c>
      <c r="R41" s="4">
        <f>MAX(T41,X41)</f>
        <v>36.1</v>
      </c>
      <c r="S41" s="4">
        <f>IF(R41=T41,MAX(V41,X41,Z41),IF(R41=X41,MAX(T41,V41,Z41),0))</f>
        <v>0</v>
      </c>
      <c r="T41" s="33"/>
      <c r="U41" s="40"/>
      <c r="V41" s="34"/>
      <c r="W41" s="40"/>
      <c r="X41" s="33">
        <v>36.1</v>
      </c>
      <c r="Y41" s="40">
        <v>4.5</v>
      </c>
      <c r="Z41" s="34"/>
      <c r="AA41" s="37"/>
    </row>
    <row r="42" spans="1:27" x14ac:dyDescent="0.2">
      <c r="A42" s="1" t="str" cm="1">
        <f t="array" ref="A42">IF(I42="","",IF(P42&lt;&gt;"",SUMPRODUCT((P$3:P$45&lt;&gt;"")*(G$3:G$45=G42)*(J$3:J$45&gt;J42)*(I$3:I$45="P"))+1,IF(O42&lt;&gt;"",SUMPRODUCT((O$3:O$45&lt;&gt;"")*(P$3:P$45="")*(G$3:G$45=G42)*(J$3:J$45&gt;J42)*(I$3:I$45="P"))+SUMPRODUCT((P$3:P$45&lt;&gt;"")*(G$3:G$45=G42)*(I$3:I$45="P"))+1,IF(N42&lt;&gt;"",SUMPRODUCT((N$3:N$45&lt;&gt;"")*(G$3:G$45=G42)*(J$3:J$45&gt;J42)*(I$3:I$45="P"))+1,IF(M42="P",SUMPRODUCT((O$3:O$45&lt;&gt;"")*(P$3:P$45="")*(G$3:G$45=G42)*(I$3:I$45="P"))+SUMPRODUCT((P$3:P$45&lt;&gt;"")*(G$3:G$45=G42)*(I$3:I$45="P"))+SUMPRODUCT((N$3:N$45&lt;&gt;"")*(G$3:G$45=G42)*(I$3:I$45="P"))+SUMPRODUCT((P$3:P$45="")*(O$3:O$45="")*(N$3:N$45="")*(M$3:M$45="P")*(G$3:G$45=G42)*(J$3:J$45&gt;J42)*(I$3:I$45="P"))+IF(H42="L5",SUMPRODUCT((P$3:P$45="")*(O$3:O$45="")*(N$3:N$45="")*(M$3:M$45="P")*(G$3:G$45=G42)*(J$3:J$45&lt;J42)*(H$3:H$45&lt;&gt;H42)*(I$3:I$45="P")),-1*SUMPRODUCT((P$3:P$45="")*(O$3:O$45="")*(N$3:N$45="")*(M$3:M$45="P")*(G$3:G$45=G42)*(J$3:J$45&gt;J42)*(H$3:H$45="L5")*(I$3:I$45="P")))+1,"")))))</f>
        <v/>
      </c>
      <c r="B42" s="1" t="str" cm="1">
        <f t="array" ref="B42">IF(P42&lt;&gt;"",SUMPRODUCT((P$3:P$77&lt;&gt;"")*(G$3:G$77=G42)*(J$3:J$77&gt;J42))+1,IF(O42&lt;&gt;"",SUMPRODUCT((O$3:O$77&lt;&gt;"")*(P$3:P$77="")*(G$3:G$77=G42)*(J$3:J$77&gt;J42))+SUMPRODUCT((P$3:P$77&lt;&gt;"")*(G$3:G$77=G42))+1,IF(N42&lt;&gt;"",SUMPRODUCT((N$3:N$77&lt;&gt;"")*(G$3:G$77=G42)*(J$3:J$77&gt;J42))+1,IF(M42="P",SUMPRODUCT((O$3:O$77&lt;&gt;"")*(P$3:P$77="")*(G$3:G$77=G42))+SUMPRODUCT((P$3:P$77&lt;&gt;"")*(G$3:G$77=G42))+SUMPRODUCT((N$3:N$77&lt;&gt;"")*(G$3:G$77=G42))+SUMPRODUCT((P$3:P$77="")*(O$3:O$77="")*(N$3:N$77="")*(M$3:M$77="P")*(G$3:G$77=G42)*(J$3:J$77&gt;J42))+IF(H42="L5",SUMPRODUCT((P$3:P$77="")*(O$3:O$77="")*(N$3:N$77="")*(M$3:M$77="P")*(G$3:G$77=G42)*(J$3:J$77&lt;J42)*(H$3:H$77&lt;&gt;H42)),-1*SUMPRODUCT((P$3:P$77="")*(O$3:O$77="")*(N$3:N$77="")*(M$3:M$77="P")*(G$3:G$77=G42)*(J$3:J$77&gt;J42)*(H$3:H$77="L5")))+1,""))))</f>
        <v/>
      </c>
      <c r="C42" s="36" t="s">
        <v>459</v>
      </c>
      <c r="D42" s="36" t="str">
        <f>IF(E42="","",VLOOKUP(E42,'Coaching Points'!A:B,2,0))</f>
        <v>ON</v>
      </c>
      <c r="E42" s="36" t="s">
        <v>47</v>
      </c>
      <c r="F42" s="35">
        <v>2006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66</v>
      </c>
      <c r="I42" s="43" t="s">
        <v>567</v>
      </c>
      <c r="J42" s="4">
        <f>R42+S42+IF(OR(H42="Junior",H42="Senior"),0.0002,IF(OR(H42="L7",H42="L6"),0.0001,0))+MAX(X42,Z42)*0.0000001</f>
        <v>35.900003589999997</v>
      </c>
      <c r="K42" s="3" t="str">
        <f>IF(G42="Not Age Eligible","",IF(MAX(T42,V42,X42,Z42)&gt;=LOOKUP(G42,'Qualifying Scores'!$A$4:$A$7,'Qualifying Scores'!$I$4:$I$7),"P",""))</f>
        <v/>
      </c>
      <c r="L42" s="3" t="str">
        <f>IF(G42="Not Age Eligible","",IF(MAX(U42,W42,Y42,AA42)&gt;=LOOKUP(G42,'Qualifying Scores'!$A$10:$A$13,'Qualifying Scores'!$I$10:$I$13),"P",""))</f>
        <v/>
      </c>
      <c r="M42" s="3" t="str">
        <f>IF(G42="Not Age Eligible","",IF(OR(AND(T42&gt;=LOOKUP(G42,'Qualifying Scores'!$A$4:$A$7,'Qualifying Scores'!$I$4:$I$7),U42&gt;=LOOKUP(G42,'Qualifying Scores'!$A$10:$A$13,'Qualifying Scores'!$I$10:$I$13)),AND(X42&gt;=LOOKUP(G42,'Qualifying Scores'!$A$4:$A$7,'Qualifying Scores'!$I$4:$I$7),Y42&gt;=LOOKUP(G42,'Qualifying Scores'!$A$10:$A$13,'Qualifying Scores'!$I$10:$I$13)),AND(V42&gt;=LOOKUP(G42,'Qualifying Scores'!$A$4:$A$7,'Qualifying Scores'!$I$4:$I$7),W42&gt;=LOOKUP(G42,'Qualifying Scores'!$A$10:$A$13,'Qualifying Scores'!$I$10:$I$13)),AND(Z42&gt;=LOOKUP(G42,'Qualifying Scores'!$A$4:$A$7,'Qualifying Scores'!$I$4:$I$7),AA42&gt;=LOOKUP(G42,'Qualifying Scores'!$A$10:$A$13,'Qualifying Scores'!$I$10:$I$13))),"P",""))</f>
        <v/>
      </c>
      <c r="Q42" s="1" t="str">
        <f>IF(A42&lt;5,IF(_xlfn.MAXIFS(A:A,G:G,G42)&gt;3,5-A42,_xlfn.MAXIFS(A:A,G:G,G42)+1-A42),"")</f>
        <v/>
      </c>
      <c r="R42" s="4">
        <f>MAX(T42,X42)</f>
        <v>35.9</v>
      </c>
      <c r="S42" s="4">
        <f>IF(R42=T42,MAX(V42,X42,Z42),IF(R42=X42,MAX(T42,V42,Z42),0))</f>
        <v>0</v>
      </c>
      <c r="T42" s="33"/>
      <c r="U42" s="40"/>
      <c r="V42" s="34"/>
      <c r="W42" s="40"/>
      <c r="X42" s="33">
        <v>35.9</v>
      </c>
      <c r="Y42" s="40">
        <v>4.4000000000000004</v>
      </c>
      <c r="Z42" s="34"/>
      <c r="AA42" s="37"/>
    </row>
    <row r="43" spans="1:27" x14ac:dyDescent="0.2">
      <c r="A43" s="1" t="str" cm="1">
        <f t="array" ref="A43">IF(I43="","",IF(P43&lt;&gt;"",SUMPRODUCT((P$3:P$45&lt;&gt;"")*(G$3:G$45=G43)*(J$3:J$45&gt;J43)*(I$3:I$45="P"))+1,IF(O43&lt;&gt;"",SUMPRODUCT((O$3:O$45&lt;&gt;"")*(P$3:P$45="")*(G$3:G$45=G43)*(J$3:J$45&gt;J43)*(I$3:I$45="P"))+SUMPRODUCT((P$3:P$45&lt;&gt;"")*(G$3:G$45=G43)*(I$3:I$45="P"))+1,IF(N43&lt;&gt;"",SUMPRODUCT((N$3:N$45&lt;&gt;"")*(G$3:G$45=G43)*(J$3:J$45&gt;J43)*(I$3:I$45="P"))+1,IF(M43="P",SUMPRODUCT((O$3:O$45&lt;&gt;"")*(P$3:P$45="")*(G$3:G$45=G43)*(I$3:I$45="P"))+SUMPRODUCT((P$3:P$45&lt;&gt;"")*(G$3:G$45=G43)*(I$3:I$45="P"))+SUMPRODUCT((N$3:N$45&lt;&gt;"")*(G$3:G$45=G43)*(I$3:I$45="P"))+SUMPRODUCT((P$3:P$45="")*(O$3:O$45="")*(N$3:N$45="")*(M$3:M$45="P")*(G$3:G$45=G43)*(J$3:J$45&gt;J43)*(I$3:I$45="P"))+IF(H43="L5",SUMPRODUCT((P$3:P$45="")*(O$3:O$45="")*(N$3:N$45="")*(M$3:M$45="P")*(G$3:G$45=G43)*(J$3:J$45&lt;J43)*(H$3:H$45&lt;&gt;H43)*(I$3:I$45="P")),-1*SUMPRODUCT((P$3:P$45="")*(O$3:O$45="")*(N$3:N$45="")*(M$3:M$45="P")*(G$3:G$45=G43)*(J$3:J$45&gt;J43)*(H$3:H$45="L5")*(I$3:I$45="P")))+1,"")))))</f>
        <v/>
      </c>
      <c r="B43" s="1" t="str" cm="1">
        <f t="array" ref="B43">IF(P43&lt;&gt;"",SUMPRODUCT((P$3:P$77&lt;&gt;"")*(G$3:G$77=G43)*(J$3:J$77&gt;J43))+1,IF(O43&lt;&gt;"",SUMPRODUCT((O$3:O$77&lt;&gt;"")*(P$3:P$77="")*(G$3:G$77=G43)*(J$3:J$77&gt;J43))+SUMPRODUCT((P$3:P$77&lt;&gt;"")*(G$3:G$77=G43))+1,IF(N43&lt;&gt;"",SUMPRODUCT((N$3:N$77&lt;&gt;"")*(G$3:G$77=G43)*(J$3:J$77&gt;J43))+1,IF(M43="P",SUMPRODUCT((O$3:O$77&lt;&gt;"")*(P$3:P$77="")*(G$3:G$77=G43))+SUMPRODUCT((P$3:P$77&lt;&gt;"")*(G$3:G$77=G43))+SUMPRODUCT((N$3:N$77&lt;&gt;"")*(G$3:G$77=G43))+SUMPRODUCT((P$3:P$77="")*(O$3:O$77="")*(N$3:N$77="")*(M$3:M$77="P")*(G$3:G$77=G43)*(J$3:J$77&gt;J43))+IF(H43="L5",SUMPRODUCT((P$3:P$77="")*(O$3:O$77="")*(N$3:N$77="")*(M$3:M$77="P")*(G$3:G$77=G43)*(J$3:J$77&lt;J43)*(H$3:H$77&lt;&gt;H43)),-1*SUMPRODUCT((P$3:P$77="")*(O$3:O$77="")*(N$3:N$77="")*(M$3:M$77="P")*(G$3:G$77=G43)*(J$3:J$77&gt;J43)*(H$3:H$77="L5")))+1,""))))</f>
        <v/>
      </c>
      <c r="C43" s="36" t="s">
        <v>542</v>
      </c>
      <c r="D43" s="36" t="str">
        <f>IF(E43="","",VLOOKUP(E43,'Coaching Points'!A:B,2,0))</f>
        <v>NS</v>
      </c>
      <c r="E43" s="36" t="s">
        <v>134</v>
      </c>
      <c r="F43" s="35">
        <v>2002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66</v>
      </c>
      <c r="I43" s="43"/>
      <c r="J43" s="4">
        <f>R43+S43+IF(OR(H43="Junior",H43="Senior"),0.0002,IF(OR(H43="L7",H43="L6"),0.0001,0))+MAX(X43,Z43)*0.0000001</f>
        <v>35.200003520000003</v>
      </c>
      <c r="K43" s="3" t="str">
        <f>IF(G43="Not Age Eligible","",IF(MAX(T43,V43,X43,Z43)&gt;=LOOKUP(G43,'Qualifying Scores'!$A$4:$A$7,'Qualifying Scores'!$I$4:$I$7),"P",""))</f>
        <v/>
      </c>
      <c r="L43" s="3" t="str">
        <f>IF(G43="Not Age Eligible","",IF(MAX(U43,W43,Y43,AA43)&gt;=LOOKUP(G43,'Qualifying Scores'!$A$10:$A$13,'Qualifying Scores'!$I$10:$I$13),"P",""))</f>
        <v/>
      </c>
      <c r="M43" s="3" t="str">
        <f>IF(G43="Not Age Eligible","",IF(OR(AND(T43&gt;=LOOKUP(G43,'Qualifying Scores'!$A$4:$A$7,'Qualifying Scores'!$I$4:$I$7),U43&gt;=LOOKUP(G43,'Qualifying Scores'!$A$10:$A$13,'Qualifying Scores'!$I$10:$I$13)),AND(X43&gt;=LOOKUP(G43,'Qualifying Scores'!$A$4:$A$7,'Qualifying Scores'!$I$4:$I$7),Y43&gt;=LOOKUP(G43,'Qualifying Scores'!$A$10:$A$13,'Qualifying Scores'!$I$10:$I$13)),AND(V43&gt;=LOOKUP(G43,'Qualifying Scores'!$A$4:$A$7,'Qualifying Scores'!$I$4:$I$7),W43&gt;=LOOKUP(G43,'Qualifying Scores'!$A$10:$A$13,'Qualifying Scores'!$I$10:$I$13)),AND(Z43&gt;=LOOKUP(G43,'Qualifying Scores'!$A$4:$A$7,'Qualifying Scores'!$I$4:$I$7),AA43&gt;=LOOKUP(G43,'Qualifying Scores'!$A$10:$A$13,'Qualifying Scores'!$I$10:$I$13))),"P",""))</f>
        <v/>
      </c>
      <c r="Q43" s="1" t="str">
        <f>IF(A43&lt;5,IF(_xlfn.MAXIFS(A:A,G:G,G43)&gt;3,5-A43,_xlfn.MAXIFS(A:A,G:G,G43)+1-A43),"")</f>
        <v/>
      </c>
      <c r="R43" s="4">
        <f>MAX(T43,X43)</f>
        <v>35.200000000000003</v>
      </c>
      <c r="S43" s="4">
        <f>IF(R43=T43,MAX(V43,X43,Z43),IF(R43=X43,MAX(T43,V43,Z43),0))</f>
        <v>0</v>
      </c>
      <c r="T43" s="33"/>
      <c r="U43" s="40"/>
      <c r="V43" s="34"/>
      <c r="W43" s="40"/>
      <c r="X43" s="33">
        <v>35.200000000000003</v>
      </c>
      <c r="Y43" s="40">
        <v>4.4000000000000004</v>
      </c>
      <c r="Z43" s="34"/>
      <c r="AA43" s="37"/>
    </row>
    <row r="44" spans="1:27" x14ac:dyDescent="0.2">
      <c r="A44" s="1" t="str" cm="1">
        <f t="array" ref="A44">IF(I44="","",IF(P44&lt;&gt;"",SUMPRODUCT((P$3:P$45&lt;&gt;"")*(G$3:G$45=G44)*(J$3:J$45&gt;J44)*(I$3:I$45="P"))+1,IF(O44&lt;&gt;"",SUMPRODUCT((O$3:O$45&lt;&gt;"")*(P$3:P$45="")*(G$3:G$45=G44)*(J$3:J$45&gt;J44)*(I$3:I$45="P"))+SUMPRODUCT((P$3:P$45&lt;&gt;"")*(G$3:G$45=G44)*(I$3:I$45="P"))+1,IF(N44&lt;&gt;"",SUMPRODUCT((N$3:N$45&lt;&gt;"")*(G$3:G$45=G44)*(J$3:J$45&gt;J44)*(I$3:I$45="P"))+1,IF(M44="P",SUMPRODUCT((O$3:O$45&lt;&gt;"")*(P$3:P$45="")*(G$3:G$45=G44)*(I$3:I$45="P"))+SUMPRODUCT((P$3:P$45&lt;&gt;"")*(G$3:G$45=G44)*(I$3:I$45="P"))+SUMPRODUCT((N$3:N$45&lt;&gt;"")*(G$3:G$45=G44)*(I$3:I$45="P"))+SUMPRODUCT((P$3:P$45="")*(O$3:O$45="")*(N$3:N$45="")*(M$3:M$45="P")*(G$3:G$45=G44)*(J$3:J$45&gt;J44)*(I$3:I$45="P"))+IF(H44="L5",SUMPRODUCT((P$3:P$45="")*(O$3:O$45="")*(N$3:N$45="")*(M$3:M$45="P")*(G$3:G$45=G44)*(J$3:J$45&lt;J44)*(H$3:H$45&lt;&gt;H44)*(I$3:I$45="P")),-1*SUMPRODUCT((P$3:P$45="")*(O$3:O$45="")*(N$3:N$45="")*(M$3:M$45="P")*(G$3:G$45=G44)*(J$3:J$45&gt;J44)*(H$3:H$45="L5")*(I$3:I$45="P")))+1,"")))))</f>
        <v/>
      </c>
      <c r="B44" s="1" t="str" cm="1">
        <f t="array" ref="B44">IF(P44&lt;&gt;"",SUMPRODUCT((P$3:P$77&lt;&gt;"")*(G$3:G$77=G44)*(J$3:J$77&gt;J44))+1,IF(O44&lt;&gt;"",SUMPRODUCT((O$3:O$77&lt;&gt;"")*(P$3:P$77="")*(G$3:G$77=G44)*(J$3:J$77&gt;J44))+SUMPRODUCT((P$3:P$77&lt;&gt;"")*(G$3:G$77=G44))+1,IF(N44&lt;&gt;"",SUMPRODUCT((N$3:N$77&lt;&gt;"")*(G$3:G$77=G44)*(J$3:J$77&gt;J44))+1,IF(M44="P",SUMPRODUCT((O$3:O$77&lt;&gt;"")*(P$3:P$77="")*(G$3:G$77=G44))+SUMPRODUCT((P$3:P$77&lt;&gt;"")*(G$3:G$77=G44))+SUMPRODUCT((N$3:N$77&lt;&gt;"")*(G$3:G$77=G44))+SUMPRODUCT((P$3:P$77="")*(O$3:O$77="")*(N$3:N$77="")*(M$3:M$77="P")*(G$3:G$77=G44)*(J$3:J$77&gt;J44))+IF(H44="L5",SUMPRODUCT((P$3:P$77="")*(O$3:O$77="")*(N$3:N$77="")*(M$3:M$77="P")*(G$3:G$77=G44)*(J$3:J$77&lt;J44)*(H$3:H$77&lt;&gt;H44)),-1*SUMPRODUCT((P$3:P$77="")*(O$3:O$77="")*(N$3:N$77="")*(M$3:M$77="P")*(G$3:G$77=G44)*(J$3:J$77&gt;J44)*(H$3:H$77="L5")))+1,""))))</f>
        <v/>
      </c>
      <c r="C44" s="36" t="s">
        <v>350</v>
      </c>
      <c r="D44" s="36" t="str">
        <f>IF(E44="","",VLOOKUP(E44,'Coaching Points'!A:B,2,0))</f>
        <v>BC</v>
      </c>
      <c r="E44" s="36" t="s">
        <v>41</v>
      </c>
      <c r="F44" s="35">
        <v>2005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66</v>
      </c>
      <c r="I44" s="43" t="s">
        <v>567</v>
      </c>
      <c r="J44" s="4">
        <f>R44+S44+IF(OR(H44="Junior",H44="Senior"),0.0002,IF(OR(H44="L7",H44="L6"),0.0001,0))+MAX(X44,Z44)*0.0000001</f>
        <v>34.000003399999997</v>
      </c>
      <c r="K44" s="3" t="str">
        <f>IF(G44="Not Age Eligible","",IF(MAX(T44,V44,X44,Z44)&gt;=LOOKUP(G44,'Qualifying Scores'!$A$4:$A$7,'Qualifying Scores'!$I$4:$I$7),"P",""))</f>
        <v/>
      </c>
      <c r="L44" s="3" t="str">
        <f>IF(G44="Not Age Eligible","",IF(MAX(U44,W44,Y44,AA44)&gt;=LOOKUP(G44,'Qualifying Scores'!$A$10:$A$13,'Qualifying Scores'!$I$10:$I$13),"P",""))</f>
        <v/>
      </c>
      <c r="M44" s="3" t="str">
        <f>IF(G44="Not Age Eligible","",IF(OR(AND(T44&gt;=LOOKUP(G44,'Qualifying Scores'!$A$4:$A$7,'Qualifying Scores'!$I$4:$I$7),U44&gt;=LOOKUP(G44,'Qualifying Scores'!$A$10:$A$13,'Qualifying Scores'!$I$10:$I$13)),AND(X44&gt;=LOOKUP(G44,'Qualifying Scores'!$A$4:$A$7,'Qualifying Scores'!$I$4:$I$7),Y44&gt;=LOOKUP(G44,'Qualifying Scores'!$A$10:$A$13,'Qualifying Scores'!$I$10:$I$13)),AND(V44&gt;=LOOKUP(G44,'Qualifying Scores'!$A$4:$A$7,'Qualifying Scores'!$I$4:$I$7),W44&gt;=LOOKUP(G44,'Qualifying Scores'!$A$10:$A$13,'Qualifying Scores'!$I$10:$I$13)),AND(Z44&gt;=LOOKUP(G44,'Qualifying Scores'!$A$4:$A$7,'Qualifying Scores'!$I$4:$I$7),AA44&gt;=LOOKUP(G44,'Qualifying Scores'!$A$10:$A$13,'Qualifying Scores'!$I$10:$I$13))),"P",""))</f>
        <v/>
      </c>
      <c r="Q44" s="1" t="str">
        <f>IF(A44&lt;5,IF(_xlfn.MAXIFS(A:A,G:G,G44)&gt;3,5-A44,_xlfn.MAXIFS(A:A,G:G,G44)+1-A44),"")</f>
        <v/>
      </c>
      <c r="R44" s="4">
        <f>MAX(T44,X44)</f>
        <v>34</v>
      </c>
      <c r="S44" s="4">
        <f>IF(R44=T44,MAX(V44,X44,Z44),IF(R44=X44,MAX(T44,V44,Z44),0))</f>
        <v>0</v>
      </c>
      <c r="T44" s="33"/>
      <c r="U44" s="40"/>
      <c r="V44" s="34"/>
      <c r="W44" s="40"/>
      <c r="X44" s="33">
        <v>34</v>
      </c>
      <c r="Y44" s="40">
        <v>4.0999999999999996</v>
      </c>
      <c r="Z44" s="34"/>
      <c r="AA44" s="37"/>
    </row>
    <row r="45" spans="1:27" x14ac:dyDescent="0.2">
      <c r="A45" s="1" t="str" cm="1">
        <f t="array" ref="A45">IF(I45="","",IF(P45&lt;&gt;"",SUMPRODUCT((P$3:P$45&lt;&gt;"")*(G$3:G$45=G45)*(J$3:J$45&gt;J45)*(I$3:I$45="P"))+1,IF(O45&lt;&gt;"",SUMPRODUCT((O$3:O$45&lt;&gt;"")*(P$3:P$45="")*(G$3:G$45=G45)*(J$3:J$45&gt;J45)*(I$3:I$45="P"))+SUMPRODUCT((P$3:P$45&lt;&gt;"")*(G$3:G$45=G45)*(I$3:I$45="P"))+1,IF(N45&lt;&gt;"",SUMPRODUCT((N$3:N$45&lt;&gt;"")*(G$3:G$45=G45)*(J$3:J$45&gt;J45)*(I$3:I$45="P"))+1,IF(M45="P",SUMPRODUCT((O$3:O$45&lt;&gt;"")*(P$3:P$45="")*(G$3:G$45=G45)*(I$3:I$45="P"))+SUMPRODUCT((P$3:P$45&lt;&gt;"")*(G$3:G$45=G45)*(I$3:I$45="P"))+SUMPRODUCT((N$3:N$45&lt;&gt;"")*(G$3:G$45=G45)*(I$3:I$45="P"))+SUMPRODUCT((P$3:P$45="")*(O$3:O$45="")*(N$3:N$45="")*(M$3:M$45="P")*(G$3:G$45=G45)*(J$3:J$45&gt;J45)*(I$3:I$45="P"))+IF(H45="L5",SUMPRODUCT((P$3:P$45="")*(O$3:O$45="")*(N$3:N$45="")*(M$3:M$45="P")*(G$3:G$45=G45)*(J$3:J$45&lt;J45)*(H$3:H$45&lt;&gt;H45)*(I$3:I$45="P")),-1*SUMPRODUCT((P$3:P$45="")*(O$3:O$45="")*(N$3:N$45="")*(M$3:M$45="P")*(G$3:G$45=G45)*(J$3:J$45&gt;J45)*(H$3:H$45="L5")*(I$3:I$45="P")))+1,"")))))</f>
        <v/>
      </c>
      <c r="B45" s="1" t="str" cm="1">
        <f t="array" ref="B45">IF(P45&lt;&gt;"",SUMPRODUCT((P$3:P$77&lt;&gt;"")*(G$3:G$77=G45)*(J$3:J$77&gt;J45))+1,IF(O45&lt;&gt;"",SUMPRODUCT((O$3:O$77&lt;&gt;"")*(P$3:P$77="")*(G$3:G$77=G45)*(J$3:J$77&gt;J45))+SUMPRODUCT((P$3:P$77&lt;&gt;"")*(G$3:G$77=G45))+1,IF(N45&lt;&gt;"",SUMPRODUCT((N$3:N$77&lt;&gt;"")*(G$3:G$77=G45)*(J$3:J$77&gt;J45))+1,IF(M45="P",SUMPRODUCT((O$3:O$77&lt;&gt;"")*(P$3:P$77="")*(G$3:G$77=G45))+SUMPRODUCT((P$3:P$77&lt;&gt;"")*(G$3:G$77=G45))+SUMPRODUCT((N$3:N$77&lt;&gt;"")*(G$3:G$77=G45))+SUMPRODUCT((P$3:P$77="")*(O$3:O$77="")*(N$3:N$77="")*(M$3:M$77="P")*(G$3:G$77=G45)*(J$3:J$77&gt;J45))+IF(H45="L5",SUMPRODUCT((P$3:P$77="")*(O$3:O$77="")*(N$3:N$77="")*(M$3:M$77="P")*(G$3:G$77=G45)*(J$3:J$77&lt;J45)*(H$3:H$77&lt;&gt;H45)),-1*SUMPRODUCT((P$3:P$77="")*(O$3:O$77="")*(N$3:N$77="")*(M$3:M$77="P")*(G$3:G$77=G45)*(J$3:J$77&gt;J45)*(H$3:H$77="L5")))+1,""))))</f>
        <v/>
      </c>
      <c r="C45" s="36" t="s">
        <v>508</v>
      </c>
      <c r="D45" s="36" t="str">
        <f>IF(E45="","",VLOOKUP(E45,'Coaching Points'!A:B,2,0))</f>
        <v>MB</v>
      </c>
      <c r="E45" s="36" t="s">
        <v>561</v>
      </c>
      <c r="F45" s="35">
        <v>2004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66</v>
      </c>
      <c r="I45" s="43"/>
      <c r="J45" s="4">
        <f>R45+S45+IF(OR(H45="Junior",H45="Senior"),0.0002,IF(OR(H45="L7",H45="L6"),0.0001,0))+MAX(X45,Z45)*0.0000001</f>
        <v>33.400003339999998</v>
      </c>
      <c r="K45" s="3" t="str">
        <f>IF(G45="Not Age Eligible","",IF(MAX(T45,V45,X45,Z45)&gt;=LOOKUP(G45,'Qualifying Scores'!$A$4:$A$7,'Qualifying Scores'!$I$4:$I$7),"P",""))</f>
        <v/>
      </c>
      <c r="L45" s="3" t="str">
        <f>IF(G45="Not Age Eligible","",IF(MAX(U45,W45,Y45,AA45)&gt;=LOOKUP(G45,'Qualifying Scores'!$A$10:$A$13,'Qualifying Scores'!$I$10:$I$13),"P",""))</f>
        <v/>
      </c>
      <c r="M45" s="3" t="str">
        <f>IF(G45="Not Age Eligible","",IF(OR(AND(T45&gt;=LOOKUP(G45,'Qualifying Scores'!$A$4:$A$7,'Qualifying Scores'!$I$4:$I$7),U45&gt;=LOOKUP(G45,'Qualifying Scores'!$A$10:$A$13,'Qualifying Scores'!$I$10:$I$13)),AND(X45&gt;=LOOKUP(G45,'Qualifying Scores'!$A$4:$A$7,'Qualifying Scores'!$I$4:$I$7),Y45&gt;=LOOKUP(G45,'Qualifying Scores'!$A$10:$A$13,'Qualifying Scores'!$I$10:$I$13)),AND(V45&gt;=LOOKUP(G45,'Qualifying Scores'!$A$4:$A$7,'Qualifying Scores'!$I$4:$I$7),W45&gt;=LOOKUP(G45,'Qualifying Scores'!$A$10:$A$13,'Qualifying Scores'!$I$10:$I$13)),AND(Z45&gt;=LOOKUP(G45,'Qualifying Scores'!$A$4:$A$7,'Qualifying Scores'!$I$4:$I$7),AA45&gt;=LOOKUP(G45,'Qualifying Scores'!$A$10:$A$13,'Qualifying Scores'!$I$10:$I$13))),"P",""))</f>
        <v/>
      </c>
      <c r="Q45" s="1" t="str">
        <f>IF(A45&lt;5,IF(_xlfn.MAXIFS(A:A,G:G,G45)&gt;3,5-A45,_xlfn.MAXIFS(A:A,G:G,G45)+1-A45),"")</f>
        <v/>
      </c>
      <c r="R45" s="4">
        <f>MAX(T45,X45)</f>
        <v>33.4</v>
      </c>
      <c r="S45" s="4">
        <f>IF(R45=T45,MAX(V45,X45,Z45),IF(R45=X45,MAX(T45,V45,Z45),0))</f>
        <v>0</v>
      </c>
      <c r="T45" s="33"/>
      <c r="U45" s="40"/>
      <c r="V45" s="34"/>
      <c r="W45" s="40"/>
      <c r="X45" s="33">
        <v>33.4</v>
      </c>
      <c r="Y45" s="40">
        <v>3.9000000000000004</v>
      </c>
      <c r="Z45" s="34"/>
      <c r="AA45" s="37"/>
    </row>
    <row r="46" spans="1:27" x14ac:dyDescent="0.2">
      <c r="A46" s="1" t="str" cm="1">
        <f t="array" ref="A46">IF(I46="","",IF(P46&lt;&gt;"",SUMPRODUCT((P$3:P$45&lt;&gt;"")*(G$3:G$45=G46)*(J$3:J$45&gt;J46)*(I$3:I$45="P"))+1,IF(O46&lt;&gt;"",SUMPRODUCT((O$3:O$45&lt;&gt;"")*(P$3:P$45="")*(G$3:G$45=G46)*(J$3:J$45&gt;J46)*(I$3:I$45="P"))+SUMPRODUCT((P$3:P$45&lt;&gt;"")*(G$3:G$45=G46)*(I$3:I$45="P"))+1,IF(N46&lt;&gt;"",SUMPRODUCT((N$3:N$45&lt;&gt;"")*(G$3:G$45=G46)*(J$3:J$45&gt;J46)*(I$3:I$45="P"))+1,IF(M46="P",SUMPRODUCT((O$3:O$45&lt;&gt;"")*(P$3:P$45="")*(G$3:G$45=G46)*(I$3:I$45="P"))+SUMPRODUCT((P$3:P$45&lt;&gt;"")*(G$3:G$45=G46)*(I$3:I$45="P"))+SUMPRODUCT((N$3:N$45&lt;&gt;"")*(G$3:G$45=G46)*(I$3:I$45="P"))+SUMPRODUCT((P$3:P$45="")*(O$3:O$45="")*(N$3:N$45="")*(M$3:M$45="P")*(G$3:G$45=G46)*(J$3:J$45&gt;J46)*(I$3:I$45="P"))+IF(H46="L5",SUMPRODUCT((P$3:P$45="")*(O$3:O$45="")*(N$3:N$45="")*(M$3:M$45="P")*(G$3:G$45=G46)*(J$3:J$45&lt;J46)*(H$3:H$45&lt;&gt;H46)*(I$3:I$45="P")),-1*SUMPRODUCT((P$3:P$45="")*(O$3:O$45="")*(N$3:N$45="")*(M$3:M$45="P")*(G$3:G$45=G46)*(J$3:J$45&gt;J46)*(H$3:H$45="L5")*(I$3:I$45="P")))+1,"")))))</f>
        <v/>
      </c>
      <c r="B46" s="1" t="str" cm="1">
        <f t="array" ref="B46">IF(P46&lt;&gt;"",SUMPRODUCT((P$3:P$77&lt;&gt;"")*(G$3:G$77=G46)*(J$3:J$77&gt;J46))+1,IF(O46&lt;&gt;"",SUMPRODUCT((O$3:O$77&lt;&gt;"")*(P$3:P$77="")*(G$3:G$77=G46)*(J$3:J$77&gt;J46))+SUMPRODUCT((P$3:P$77&lt;&gt;"")*(G$3:G$77=G46))+1,IF(N46&lt;&gt;"",SUMPRODUCT((N$3:N$77&lt;&gt;"")*(G$3:G$77=G46)*(J$3:J$77&gt;J46))+1,IF(M46="P",SUMPRODUCT((O$3:O$77&lt;&gt;"")*(P$3:P$77="")*(G$3:G$77=G46))+SUMPRODUCT((P$3:P$77&lt;&gt;"")*(G$3:G$77=G46))+SUMPRODUCT((N$3:N$77&lt;&gt;"")*(G$3:G$77=G46))+SUMPRODUCT((P$3:P$77="")*(O$3:O$77="")*(N$3:N$77="")*(M$3:M$77="P")*(G$3:G$77=G46)*(J$3:J$77&gt;J46))+IF(H46="L5",SUMPRODUCT((P$3:P$77="")*(O$3:O$77="")*(N$3:N$77="")*(M$3:M$77="P")*(G$3:G$77=G46)*(J$3:J$77&lt;J46)*(H$3:H$77&lt;&gt;H46)),-1*SUMPRODUCT((P$3:P$77="")*(O$3:O$77="")*(N$3:N$77="")*(M$3:M$77="P")*(G$3:G$77=G46)*(J$3:J$77&gt;J46)*(H$3:H$77="L5")))+1,""))))</f>
        <v/>
      </c>
      <c r="C46" s="36" t="s">
        <v>248</v>
      </c>
      <c r="D46" s="36" t="str">
        <f>IF(E46="","",VLOOKUP(E46,'Coaching Points'!A:B,2,0))</f>
        <v>AB</v>
      </c>
      <c r="E46" s="36" t="s">
        <v>63</v>
      </c>
      <c r="F46" s="35">
        <v>2005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66</v>
      </c>
      <c r="I46" s="43"/>
      <c r="J46" s="4">
        <f>R46+S46+IF(OR(H46="Junior",H46="Senior"),0.0002,IF(OR(H46="L7",H46="L6"),0.0001,0))+MAX(X46,Z46)*0.0000001</f>
        <v>32.299999999999997</v>
      </c>
      <c r="K46" s="3" t="str">
        <f>IF(G46="Not Age Eligible","",IF(MAX(T46,V46,X46,Z46)&gt;=LOOKUP(G46,'Qualifying Scores'!$A$4:$A$7,'Qualifying Scores'!$I$4:$I$7),"P",""))</f>
        <v/>
      </c>
      <c r="L46" s="3" t="str">
        <f>IF(G46="Not Age Eligible","",IF(MAX(U46,W46,Y46,AA46)&gt;=LOOKUP(G46,'Qualifying Scores'!$A$10:$A$13,'Qualifying Scores'!$I$10:$I$13),"P",""))</f>
        <v/>
      </c>
      <c r="M46" s="3" t="str">
        <f>IF(G46="Not Age Eligible","",IF(OR(AND(T46&gt;=LOOKUP(G46,'Qualifying Scores'!$A$4:$A$7,'Qualifying Scores'!$I$4:$I$7),U46&gt;=LOOKUP(G46,'Qualifying Scores'!$A$10:$A$13,'Qualifying Scores'!$I$10:$I$13)),AND(X46&gt;=LOOKUP(G46,'Qualifying Scores'!$A$4:$A$7,'Qualifying Scores'!$I$4:$I$7),Y46&gt;=LOOKUP(G46,'Qualifying Scores'!$A$10:$A$13,'Qualifying Scores'!$I$10:$I$13)),AND(V46&gt;=LOOKUP(G46,'Qualifying Scores'!$A$4:$A$7,'Qualifying Scores'!$I$4:$I$7),W46&gt;=LOOKUP(G46,'Qualifying Scores'!$A$10:$A$13,'Qualifying Scores'!$I$10:$I$13)),AND(Z46&gt;=LOOKUP(G46,'Qualifying Scores'!$A$4:$A$7,'Qualifying Scores'!$I$4:$I$7),AA46&gt;=LOOKUP(G46,'Qualifying Scores'!$A$10:$A$13,'Qualifying Scores'!$I$10:$I$13))),"P",""))</f>
        <v/>
      </c>
      <c r="Q46" s="1" t="str">
        <f>IF(A46&lt;5,IF(_xlfn.MAXIFS(A:A,G:G,G46)&gt;3,5-A46,_xlfn.MAXIFS(A:A,G:G,G46)+1-A46),"")</f>
        <v/>
      </c>
      <c r="R46" s="4">
        <f>MAX(T46,X46)</f>
        <v>32.299999999999997</v>
      </c>
      <c r="S46" s="4">
        <f>IF(R46=T46,MAX(V46,X46,Z46),IF(R46=X46,MAX(T46,V46,Z46),0))</f>
        <v>0</v>
      </c>
      <c r="T46" s="33">
        <v>32.299999999999997</v>
      </c>
      <c r="U46" s="40">
        <v>4</v>
      </c>
      <c r="V46" s="34"/>
      <c r="W46" s="40"/>
      <c r="X46" s="33"/>
      <c r="Y46" s="40"/>
      <c r="Z46" s="34"/>
      <c r="AA46" s="37"/>
    </row>
    <row r="47" spans="1:27" x14ac:dyDescent="0.2">
      <c r="A47" s="1" t="str" cm="1">
        <f t="array" ref="A47">IF(I47="","",IF(P47&lt;&gt;"",SUMPRODUCT((P$3:P$45&lt;&gt;"")*(G$3:G$45=G47)*(J$3:J$45&gt;J47)*(I$3:I$45="P"))+1,IF(O47&lt;&gt;"",SUMPRODUCT((O$3:O$45&lt;&gt;"")*(P$3:P$45="")*(G$3:G$45=G47)*(J$3:J$45&gt;J47)*(I$3:I$45="P"))+SUMPRODUCT((P$3:P$45&lt;&gt;"")*(G$3:G$45=G47)*(I$3:I$45="P"))+1,IF(N47&lt;&gt;"",SUMPRODUCT((N$3:N$45&lt;&gt;"")*(G$3:G$45=G47)*(J$3:J$45&gt;J47)*(I$3:I$45="P"))+1,IF(M47="P",SUMPRODUCT((O$3:O$45&lt;&gt;"")*(P$3:P$45="")*(G$3:G$45=G47)*(I$3:I$45="P"))+SUMPRODUCT((P$3:P$45&lt;&gt;"")*(G$3:G$45=G47)*(I$3:I$45="P"))+SUMPRODUCT((N$3:N$45&lt;&gt;"")*(G$3:G$45=G47)*(I$3:I$45="P"))+SUMPRODUCT((P$3:P$45="")*(O$3:O$45="")*(N$3:N$45="")*(M$3:M$45="P")*(G$3:G$45=G47)*(J$3:J$45&gt;J47)*(I$3:I$45="P"))+IF(H47="L5",SUMPRODUCT((P$3:P$45="")*(O$3:O$45="")*(N$3:N$45="")*(M$3:M$45="P")*(G$3:G$45=G47)*(J$3:J$45&lt;J47)*(H$3:H$45&lt;&gt;H47)*(I$3:I$45="P")),-1*SUMPRODUCT((P$3:P$45="")*(O$3:O$45="")*(N$3:N$45="")*(M$3:M$45="P")*(G$3:G$45=G47)*(J$3:J$45&gt;J47)*(H$3:H$45="L5")*(I$3:I$45="P")))+1,"")))))</f>
        <v/>
      </c>
      <c r="B47" s="1" t="str" cm="1">
        <f t="array" ref="B47">IF(P47&lt;&gt;"",SUMPRODUCT((P$3:P$77&lt;&gt;"")*(G$3:G$77=G47)*(J$3:J$77&gt;J47))+1,IF(O47&lt;&gt;"",SUMPRODUCT((O$3:O$77&lt;&gt;"")*(P$3:P$77="")*(G$3:G$77=G47)*(J$3:J$77&gt;J47))+SUMPRODUCT((P$3:P$77&lt;&gt;"")*(G$3:G$77=G47))+1,IF(N47&lt;&gt;"",SUMPRODUCT((N$3:N$77&lt;&gt;"")*(G$3:G$77=G47)*(J$3:J$77&gt;J47))+1,IF(M47="P",SUMPRODUCT((O$3:O$77&lt;&gt;"")*(P$3:P$77="")*(G$3:G$77=G47))+SUMPRODUCT((P$3:P$77&lt;&gt;"")*(G$3:G$77=G47))+SUMPRODUCT((N$3:N$77&lt;&gt;"")*(G$3:G$77=G47))+SUMPRODUCT((P$3:P$77="")*(O$3:O$77="")*(N$3:N$77="")*(M$3:M$77="P")*(G$3:G$77=G47)*(J$3:J$77&gt;J47))+IF(H47="L5",SUMPRODUCT((P$3:P$77="")*(O$3:O$77="")*(N$3:N$77="")*(M$3:M$77="P")*(G$3:G$77=G47)*(J$3:J$77&lt;J47)*(H$3:H$77&lt;&gt;H47)),-1*SUMPRODUCT((P$3:P$77="")*(O$3:O$77="")*(N$3:N$77="")*(M$3:M$77="P")*(G$3:G$77=G47)*(J$3:J$77&gt;J47)*(H$3:H$77="L5")))+1,""))))</f>
        <v/>
      </c>
      <c r="C47" s="36" t="s">
        <v>543</v>
      </c>
      <c r="D47" s="36" t="str">
        <f>IF(E47="","",VLOOKUP(E47,'Coaching Points'!A:B,2,0))</f>
        <v>NS</v>
      </c>
      <c r="E47" s="36" t="s">
        <v>134</v>
      </c>
      <c r="F47" s="35">
        <v>2006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66</v>
      </c>
      <c r="I47" s="43"/>
      <c r="J47" s="4">
        <f>R47+S47+IF(OR(H47="Junior",H47="Senior"),0.0002,IF(OR(H47="L7",H47="L6"),0.0001,0))+MAX(X47,Z47)*0.0000001</f>
        <v>32.200003220000006</v>
      </c>
      <c r="K47" s="3" t="str">
        <f>IF(G47="Not Age Eligible","",IF(MAX(T47,V47,X47,Z47)&gt;=LOOKUP(G47,'Qualifying Scores'!$A$4:$A$7,'Qualifying Scores'!$I$4:$I$7),"P",""))</f>
        <v/>
      </c>
      <c r="L47" s="3" t="str">
        <f>IF(G47="Not Age Eligible","",IF(MAX(U47,W47,Y47,AA47)&gt;=LOOKUP(G47,'Qualifying Scores'!$A$10:$A$13,'Qualifying Scores'!$I$10:$I$13),"P",""))</f>
        <v/>
      </c>
      <c r="M47" s="3" t="str">
        <f>IF(G47="Not Age Eligible","",IF(OR(AND(T47&gt;=LOOKUP(G47,'Qualifying Scores'!$A$4:$A$7,'Qualifying Scores'!$I$4:$I$7),U47&gt;=LOOKUP(G47,'Qualifying Scores'!$A$10:$A$13,'Qualifying Scores'!$I$10:$I$13)),AND(X47&gt;=LOOKUP(G47,'Qualifying Scores'!$A$4:$A$7,'Qualifying Scores'!$I$4:$I$7),Y47&gt;=LOOKUP(G47,'Qualifying Scores'!$A$10:$A$13,'Qualifying Scores'!$I$10:$I$13)),AND(V47&gt;=LOOKUP(G47,'Qualifying Scores'!$A$4:$A$7,'Qualifying Scores'!$I$4:$I$7),W47&gt;=LOOKUP(G47,'Qualifying Scores'!$A$10:$A$13,'Qualifying Scores'!$I$10:$I$13)),AND(Z47&gt;=LOOKUP(G47,'Qualifying Scores'!$A$4:$A$7,'Qualifying Scores'!$I$4:$I$7),AA47&gt;=LOOKUP(G47,'Qualifying Scores'!$A$10:$A$13,'Qualifying Scores'!$I$10:$I$13))),"P",""))</f>
        <v/>
      </c>
      <c r="Q47" s="1" t="str">
        <f>IF(A47&lt;5,IF(_xlfn.MAXIFS(A:A,G:G,G47)&gt;3,5-A47,_xlfn.MAXIFS(A:A,G:G,G47)+1-A47),"")</f>
        <v/>
      </c>
      <c r="R47" s="4">
        <f>MAX(T47,X47)</f>
        <v>32.200000000000003</v>
      </c>
      <c r="S47" s="4">
        <f>IF(R47=T47,MAX(V47,X47,Z47),IF(R47=X47,MAX(T47,V47,Z47),0))</f>
        <v>0</v>
      </c>
      <c r="T47" s="33"/>
      <c r="U47" s="40"/>
      <c r="V47" s="34"/>
      <c r="W47" s="40"/>
      <c r="X47" s="33">
        <v>32.200000000000003</v>
      </c>
      <c r="Y47" s="40">
        <v>3.5</v>
      </c>
      <c r="Z47" s="34"/>
      <c r="AA47" s="37"/>
    </row>
    <row r="48" spans="1:27" x14ac:dyDescent="0.2">
      <c r="A48" s="1" t="str" cm="1">
        <f t="array" ref="A48">IF(I48="","",IF(P48&lt;&gt;"",SUMPRODUCT((P$3:P$45&lt;&gt;"")*(G$3:G$45=G48)*(J$3:J$45&gt;J48)*(I$3:I$45="P"))+1,IF(O48&lt;&gt;"",SUMPRODUCT((O$3:O$45&lt;&gt;"")*(P$3:P$45="")*(G$3:G$45=G48)*(J$3:J$45&gt;J48)*(I$3:I$45="P"))+SUMPRODUCT((P$3:P$45&lt;&gt;"")*(G$3:G$45=G48)*(I$3:I$45="P"))+1,IF(N48&lt;&gt;"",SUMPRODUCT((N$3:N$45&lt;&gt;"")*(G$3:G$45=G48)*(J$3:J$45&gt;J48)*(I$3:I$45="P"))+1,IF(M48="P",SUMPRODUCT((O$3:O$45&lt;&gt;"")*(P$3:P$45="")*(G$3:G$45=G48)*(I$3:I$45="P"))+SUMPRODUCT((P$3:P$45&lt;&gt;"")*(G$3:G$45=G48)*(I$3:I$45="P"))+SUMPRODUCT((N$3:N$45&lt;&gt;"")*(G$3:G$45=G48)*(I$3:I$45="P"))+SUMPRODUCT((P$3:P$45="")*(O$3:O$45="")*(N$3:N$45="")*(M$3:M$45="P")*(G$3:G$45=G48)*(J$3:J$45&gt;J48)*(I$3:I$45="P"))+IF(H48="L5",SUMPRODUCT((P$3:P$45="")*(O$3:O$45="")*(N$3:N$45="")*(M$3:M$45="P")*(G$3:G$45=G48)*(J$3:J$45&lt;J48)*(H$3:H$45&lt;&gt;H48)*(I$3:I$45="P")),-1*SUMPRODUCT((P$3:P$45="")*(O$3:O$45="")*(N$3:N$45="")*(M$3:M$45="P")*(G$3:G$45=G48)*(J$3:J$45&gt;J48)*(H$3:H$45="L5")*(I$3:I$45="P")))+1,"")))))</f>
        <v/>
      </c>
      <c r="B48" s="1" t="str" cm="1">
        <f t="array" ref="B48">IF(P48&lt;&gt;"",SUMPRODUCT((P$3:P$77&lt;&gt;"")*(G$3:G$77=G48)*(J$3:J$77&gt;J48))+1,IF(O48&lt;&gt;"",SUMPRODUCT((O$3:O$77&lt;&gt;"")*(P$3:P$77="")*(G$3:G$77=G48)*(J$3:J$77&gt;J48))+SUMPRODUCT((P$3:P$77&lt;&gt;"")*(G$3:G$77=G48))+1,IF(N48&lt;&gt;"",SUMPRODUCT((N$3:N$77&lt;&gt;"")*(G$3:G$77=G48)*(J$3:J$77&gt;J48))+1,IF(M48="P",SUMPRODUCT((O$3:O$77&lt;&gt;"")*(P$3:P$77="")*(G$3:G$77=G48))+SUMPRODUCT((P$3:P$77&lt;&gt;"")*(G$3:G$77=G48))+SUMPRODUCT((N$3:N$77&lt;&gt;"")*(G$3:G$77=G48))+SUMPRODUCT((P$3:P$77="")*(O$3:O$77="")*(N$3:N$77="")*(M$3:M$77="P")*(G$3:G$77=G48)*(J$3:J$77&gt;J48))+IF(H48="L5",SUMPRODUCT((P$3:P$77="")*(O$3:O$77="")*(N$3:N$77="")*(M$3:M$77="P")*(G$3:G$77=G48)*(J$3:J$77&lt;J48)*(H$3:H$77&lt;&gt;H48)),-1*SUMPRODUCT((P$3:P$77="")*(O$3:O$77="")*(N$3:N$77="")*(M$3:M$77="P")*(G$3:G$77=G48)*(J$3:J$77&gt;J48)*(H$3:H$77="L5")))+1,""))))</f>
        <v/>
      </c>
      <c r="C48" s="36" t="s">
        <v>178</v>
      </c>
      <c r="D48" s="36" t="str">
        <f>IF(E48="","",VLOOKUP(E48,'Coaching Points'!A:B,2,0))</f>
        <v>AB</v>
      </c>
      <c r="E48" s="36" t="s">
        <v>29</v>
      </c>
      <c r="F48" s="35">
        <v>2006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66</v>
      </c>
      <c r="I48" s="43"/>
      <c r="J48" s="4">
        <f>R48+S48+IF(OR(H48="Junior",H48="Senior"),0.0002,IF(OR(H48="L7",H48="L6"),0.0001,0))+MAX(X48,Z48)*0.0000001</f>
        <v>30.5</v>
      </c>
      <c r="K48" s="3" t="str">
        <f>IF(G48="Not Age Eligible","",IF(MAX(T48,V48,X48,Z48)&gt;=LOOKUP(G48,'Qualifying Scores'!$A$4:$A$7,'Qualifying Scores'!$I$4:$I$7),"P",""))</f>
        <v/>
      </c>
      <c r="L48" s="3" t="str">
        <f>IF(G48="Not Age Eligible","",IF(MAX(U48,W48,Y48,AA48)&gt;=LOOKUP(G48,'Qualifying Scores'!$A$10:$A$13,'Qualifying Scores'!$I$10:$I$13),"P",""))</f>
        <v/>
      </c>
      <c r="M48" s="3" t="str">
        <f>IF(G48="Not Age Eligible","",IF(OR(AND(T48&gt;=LOOKUP(G48,'Qualifying Scores'!$A$4:$A$7,'Qualifying Scores'!$I$4:$I$7),U48&gt;=LOOKUP(G48,'Qualifying Scores'!$A$10:$A$13,'Qualifying Scores'!$I$10:$I$13)),AND(X48&gt;=LOOKUP(G48,'Qualifying Scores'!$A$4:$A$7,'Qualifying Scores'!$I$4:$I$7),Y48&gt;=LOOKUP(G48,'Qualifying Scores'!$A$10:$A$13,'Qualifying Scores'!$I$10:$I$13)),AND(V48&gt;=LOOKUP(G48,'Qualifying Scores'!$A$4:$A$7,'Qualifying Scores'!$I$4:$I$7),W48&gt;=LOOKUP(G48,'Qualifying Scores'!$A$10:$A$13,'Qualifying Scores'!$I$10:$I$13)),AND(Z48&gt;=LOOKUP(G48,'Qualifying Scores'!$A$4:$A$7,'Qualifying Scores'!$I$4:$I$7),AA48&gt;=LOOKUP(G48,'Qualifying Scores'!$A$10:$A$13,'Qualifying Scores'!$I$10:$I$13))),"P",""))</f>
        <v/>
      </c>
      <c r="Q48" s="1" t="str">
        <f>IF(A48&lt;5,IF(_xlfn.MAXIFS(A:A,G:G,G48)&gt;3,5-A48,_xlfn.MAXIFS(A:A,G:G,G48)+1-A48),"")</f>
        <v/>
      </c>
      <c r="R48" s="4">
        <f>MAX(T48,X48)</f>
        <v>30.5</v>
      </c>
      <c r="S48" s="4">
        <f>IF(R48=T48,MAX(V48,X48,Z48),IF(R48=X48,MAX(T48,V48,Z48),0))</f>
        <v>0</v>
      </c>
      <c r="T48" s="33">
        <v>30.5</v>
      </c>
      <c r="U48" s="40">
        <v>3.8</v>
      </c>
      <c r="V48" s="34"/>
      <c r="W48" s="40"/>
      <c r="X48" s="33"/>
      <c r="Y48" s="40"/>
      <c r="Z48" s="34"/>
      <c r="AA48" s="37"/>
    </row>
    <row r="49" spans="1:27" x14ac:dyDescent="0.2">
      <c r="A49" s="1" t="str" cm="1">
        <f t="array" ref="A49">IF(I49="","",IF(P49&lt;&gt;"",SUMPRODUCT((P$3:P$45&lt;&gt;"")*(G$3:G$45=G49)*(J$3:J$45&gt;J49)*(I$3:I$45="P"))+1,IF(O49&lt;&gt;"",SUMPRODUCT((O$3:O$45&lt;&gt;"")*(P$3:P$45="")*(G$3:G$45=G49)*(J$3:J$45&gt;J49)*(I$3:I$45="P"))+SUMPRODUCT((P$3:P$45&lt;&gt;"")*(G$3:G$45=G49)*(I$3:I$45="P"))+1,IF(N49&lt;&gt;"",SUMPRODUCT((N$3:N$45&lt;&gt;"")*(G$3:G$45=G49)*(J$3:J$45&gt;J49)*(I$3:I$45="P"))+1,IF(M49="P",SUMPRODUCT((O$3:O$45&lt;&gt;"")*(P$3:P$45="")*(G$3:G$45=G49)*(I$3:I$45="P"))+SUMPRODUCT((P$3:P$45&lt;&gt;"")*(G$3:G$45=G49)*(I$3:I$45="P"))+SUMPRODUCT((N$3:N$45&lt;&gt;"")*(G$3:G$45=G49)*(I$3:I$45="P"))+SUMPRODUCT((P$3:P$45="")*(O$3:O$45="")*(N$3:N$45="")*(M$3:M$45="P")*(G$3:G$45=G49)*(J$3:J$45&gt;J49)*(I$3:I$45="P"))+IF(H49="L5",SUMPRODUCT((P$3:P$45="")*(O$3:O$45="")*(N$3:N$45="")*(M$3:M$45="P")*(G$3:G$45=G49)*(J$3:J$45&lt;J49)*(H$3:H$45&lt;&gt;H49)*(I$3:I$45="P")),-1*SUMPRODUCT((P$3:P$45="")*(O$3:O$45="")*(N$3:N$45="")*(M$3:M$45="P")*(G$3:G$45=G49)*(J$3:J$45&gt;J49)*(H$3:H$45="L5")*(I$3:I$45="P")))+1,"")))))</f>
        <v/>
      </c>
      <c r="B49" s="1" t="str" cm="1">
        <f t="array" ref="B49">IF(P49&lt;&gt;"",SUMPRODUCT((P$3:P$77&lt;&gt;"")*(G$3:G$77=G49)*(J$3:J$77&gt;J49))+1,IF(O49&lt;&gt;"",SUMPRODUCT((O$3:O$77&lt;&gt;"")*(P$3:P$77="")*(G$3:G$77=G49)*(J$3:J$77&gt;J49))+SUMPRODUCT((P$3:P$77&lt;&gt;"")*(G$3:G$77=G49))+1,IF(N49&lt;&gt;"",SUMPRODUCT((N$3:N$77&lt;&gt;"")*(G$3:G$77=G49)*(J$3:J$77&gt;J49))+1,IF(M49="P",SUMPRODUCT((O$3:O$77&lt;&gt;"")*(P$3:P$77="")*(G$3:G$77=G49))+SUMPRODUCT((P$3:P$77&lt;&gt;"")*(G$3:G$77=G49))+SUMPRODUCT((N$3:N$77&lt;&gt;"")*(G$3:G$77=G49))+SUMPRODUCT((P$3:P$77="")*(O$3:O$77="")*(N$3:N$77="")*(M$3:M$77="P")*(G$3:G$77=G49)*(J$3:J$77&gt;J49))+IF(H49="L5",SUMPRODUCT((P$3:P$77="")*(O$3:O$77="")*(N$3:N$77="")*(M$3:M$77="P")*(G$3:G$77=G49)*(J$3:J$77&lt;J49)*(H$3:H$77&lt;&gt;H49)),-1*SUMPRODUCT((P$3:P$77="")*(O$3:O$77="")*(N$3:N$77="")*(M$3:M$77="P")*(G$3:G$77=G49)*(J$3:J$77&gt;J49)*(H$3:H$77="L5")))+1,""))))</f>
        <v/>
      </c>
      <c r="C49" s="36" t="s">
        <v>505</v>
      </c>
      <c r="D49" s="36" t="str">
        <f>IF(E49="","",VLOOKUP(E49,'Coaching Points'!A:B,2,0))</f>
        <v>AB</v>
      </c>
      <c r="E49" s="36" t="s">
        <v>63</v>
      </c>
      <c r="F49" s="35">
        <v>2006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66</v>
      </c>
      <c r="I49" s="43"/>
      <c r="J49" s="4">
        <f>R49+S49+IF(OR(H49="Junior",H49="Senior"),0.0002,IF(OR(H49="L7",H49="L6"),0.0001,0))+MAX(X49,Z49)*0.0000001</f>
        <v>28.700002869999999</v>
      </c>
      <c r="K49" s="3" t="str">
        <f>IF(G49="Not Age Eligible","",IF(MAX(T49,V49,X49,Z49)&gt;=LOOKUP(G49,'Qualifying Scores'!$A$4:$A$7,'Qualifying Scores'!$I$4:$I$7),"P",""))</f>
        <v/>
      </c>
      <c r="L49" s="3" t="str">
        <f>IF(G49="Not Age Eligible","",IF(MAX(U49,W49,Y49,AA49)&gt;=LOOKUP(G49,'Qualifying Scores'!$A$10:$A$13,'Qualifying Scores'!$I$10:$I$13),"P",""))</f>
        <v/>
      </c>
      <c r="M49" s="3" t="str">
        <f>IF(G49="Not Age Eligible","",IF(OR(AND(T49&gt;=LOOKUP(G49,'Qualifying Scores'!$A$4:$A$7,'Qualifying Scores'!$I$4:$I$7),U49&gt;=LOOKUP(G49,'Qualifying Scores'!$A$10:$A$13,'Qualifying Scores'!$I$10:$I$13)),AND(X49&gt;=LOOKUP(G49,'Qualifying Scores'!$A$4:$A$7,'Qualifying Scores'!$I$4:$I$7),Y49&gt;=LOOKUP(G49,'Qualifying Scores'!$A$10:$A$13,'Qualifying Scores'!$I$10:$I$13)),AND(V49&gt;=LOOKUP(G49,'Qualifying Scores'!$A$4:$A$7,'Qualifying Scores'!$I$4:$I$7),W49&gt;=LOOKUP(G49,'Qualifying Scores'!$A$10:$A$13,'Qualifying Scores'!$I$10:$I$13)),AND(Z49&gt;=LOOKUP(G49,'Qualifying Scores'!$A$4:$A$7,'Qualifying Scores'!$I$4:$I$7),AA49&gt;=LOOKUP(G49,'Qualifying Scores'!$A$10:$A$13,'Qualifying Scores'!$I$10:$I$13))),"P",""))</f>
        <v/>
      </c>
      <c r="Q49" s="1" t="str">
        <f>IF(A49&lt;5,IF(_xlfn.MAXIFS(A:A,G:G,G49)&gt;3,5-A49,_xlfn.MAXIFS(A:A,G:G,G49)+1-A49),"")</f>
        <v/>
      </c>
      <c r="R49" s="4">
        <f>MAX(T49,X49)</f>
        <v>28.7</v>
      </c>
      <c r="S49" s="4">
        <f>IF(R49=T49,MAX(V49,X49,Z49),IF(R49=X49,MAX(T49,V49,Z49),0))</f>
        <v>0</v>
      </c>
      <c r="T49" s="33"/>
      <c r="U49" s="40"/>
      <c r="V49" s="34"/>
      <c r="W49" s="40"/>
      <c r="X49" s="33">
        <v>28.7</v>
      </c>
      <c r="Y49" s="40">
        <v>3.1</v>
      </c>
      <c r="Z49" s="34"/>
      <c r="AA49" s="37"/>
    </row>
    <row r="50" spans="1:27" x14ac:dyDescent="0.2">
      <c r="A50" s="1" t="str" cm="1">
        <f t="array" ref="A50">IF(I50="","",IF(P50&lt;&gt;"",SUMPRODUCT((P$3:P$45&lt;&gt;"")*(G$3:G$45=G50)*(J$3:J$45&gt;J50)*(I$3:I$45="P"))+1,IF(O50&lt;&gt;"",SUMPRODUCT((O$3:O$45&lt;&gt;"")*(P$3:P$45="")*(G$3:G$45=G50)*(J$3:J$45&gt;J50)*(I$3:I$45="P"))+SUMPRODUCT((P$3:P$45&lt;&gt;"")*(G$3:G$45=G50)*(I$3:I$45="P"))+1,IF(N50&lt;&gt;"",SUMPRODUCT((N$3:N$45&lt;&gt;"")*(G$3:G$45=G50)*(J$3:J$45&gt;J50)*(I$3:I$45="P"))+1,IF(M50="P",SUMPRODUCT((O$3:O$45&lt;&gt;"")*(P$3:P$45="")*(G$3:G$45=G50)*(I$3:I$45="P"))+SUMPRODUCT((P$3:P$45&lt;&gt;"")*(G$3:G$45=G50)*(I$3:I$45="P"))+SUMPRODUCT((N$3:N$45&lt;&gt;"")*(G$3:G$45=G50)*(I$3:I$45="P"))+SUMPRODUCT((P$3:P$45="")*(O$3:O$45="")*(N$3:N$45="")*(M$3:M$45="P")*(G$3:G$45=G50)*(J$3:J$45&gt;J50)*(I$3:I$45="P"))+IF(H50="L5",SUMPRODUCT((P$3:P$45="")*(O$3:O$45="")*(N$3:N$45="")*(M$3:M$45="P")*(G$3:G$45=G50)*(J$3:J$45&lt;J50)*(H$3:H$45&lt;&gt;H50)*(I$3:I$45="P")),-1*SUMPRODUCT((P$3:P$45="")*(O$3:O$45="")*(N$3:N$45="")*(M$3:M$45="P")*(G$3:G$45=G50)*(J$3:J$45&gt;J50)*(H$3:H$45="L5")*(I$3:I$45="P")))+1,"")))))</f>
        <v/>
      </c>
      <c r="B50" s="1" t="str" cm="1">
        <f t="array" ref="B50">IF(P50&lt;&gt;"",SUMPRODUCT((P$3:P$77&lt;&gt;"")*(G$3:G$77=G50)*(J$3:J$77&gt;J50))+1,IF(O50&lt;&gt;"",SUMPRODUCT((O$3:O$77&lt;&gt;"")*(P$3:P$77="")*(G$3:G$77=G50)*(J$3:J$77&gt;J50))+SUMPRODUCT((P$3:P$77&lt;&gt;"")*(G$3:G$77=G50))+1,IF(N50&lt;&gt;"",SUMPRODUCT((N$3:N$77&lt;&gt;"")*(G$3:G$77=G50)*(J$3:J$77&gt;J50))+1,IF(M50="P",SUMPRODUCT((O$3:O$77&lt;&gt;"")*(P$3:P$77="")*(G$3:G$77=G50))+SUMPRODUCT((P$3:P$77&lt;&gt;"")*(G$3:G$77=G50))+SUMPRODUCT((N$3:N$77&lt;&gt;"")*(G$3:G$77=G50))+SUMPRODUCT((P$3:P$77="")*(O$3:O$77="")*(N$3:N$77="")*(M$3:M$77="P")*(G$3:G$77=G50)*(J$3:J$77&gt;J50))+IF(H50="L5",SUMPRODUCT((P$3:P$77="")*(O$3:O$77="")*(N$3:N$77="")*(M$3:M$77="P")*(G$3:G$77=G50)*(J$3:J$77&lt;J50)*(H$3:H$77&lt;&gt;H50)),-1*SUMPRODUCT((P$3:P$77="")*(O$3:O$77="")*(N$3:N$77="")*(M$3:M$77="P")*(G$3:G$77=G50)*(J$3:J$77&gt;J50)*(H$3:H$77="L5")))+1,""))))</f>
        <v/>
      </c>
      <c r="C50" s="36" t="s">
        <v>128</v>
      </c>
      <c r="D50" s="36" t="str">
        <f>IF(E50="","",VLOOKUP(E50,'Coaching Points'!A:B,2,0))</f>
        <v>AB</v>
      </c>
      <c r="E50" s="36" t="s">
        <v>29</v>
      </c>
      <c r="F50" s="35">
        <v>2006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66</v>
      </c>
      <c r="I50" s="43"/>
      <c r="J50" s="4">
        <f>R50+S50+IF(OR(H50="Junior",H50="Senior"),0.0002,IF(OR(H50="L7",H50="L6"),0.0001,0))+MAX(X50,Z50)*0.0000001</f>
        <v>28.1</v>
      </c>
      <c r="K50" s="3" t="str">
        <f>IF(G50="Not Age Eligible","",IF(MAX(T50,V50,X50,Z50)&gt;=LOOKUP(G50,'Qualifying Scores'!$A$4:$A$7,'Qualifying Scores'!$I$4:$I$7),"P",""))</f>
        <v/>
      </c>
      <c r="L50" s="3" t="str">
        <f>IF(G50="Not Age Eligible","",IF(MAX(U50,W50,Y50,AA50)&gt;=LOOKUP(G50,'Qualifying Scores'!$A$10:$A$13,'Qualifying Scores'!$I$10:$I$13),"P",""))</f>
        <v/>
      </c>
      <c r="M50" s="3" t="str">
        <f>IF(G50="Not Age Eligible","",IF(OR(AND(T50&gt;=LOOKUP(G50,'Qualifying Scores'!$A$4:$A$7,'Qualifying Scores'!$I$4:$I$7),U50&gt;=LOOKUP(G50,'Qualifying Scores'!$A$10:$A$13,'Qualifying Scores'!$I$10:$I$13)),AND(X50&gt;=LOOKUP(G50,'Qualifying Scores'!$A$4:$A$7,'Qualifying Scores'!$I$4:$I$7),Y50&gt;=LOOKUP(G50,'Qualifying Scores'!$A$10:$A$13,'Qualifying Scores'!$I$10:$I$13)),AND(V50&gt;=LOOKUP(G50,'Qualifying Scores'!$A$4:$A$7,'Qualifying Scores'!$I$4:$I$7),W50&gt;=LOOKUP(G50,'Qualifying Scores'!$A$10:$A$13,'Qualifying Scores'!$I$10:$I$13)),AND(Z50&gt;=LOOKUP(G50,'Qualifying Scores'!$A$4:$A$7,'Qualifying Scores'!$I$4:$I$7),AA50&gt;=LOOKUP(G50,'Qualifying Scores'!$A$10:$A$13,'Qualifying Scores'!$I$10:$I$13))),"P",""))</f>
        <v/>
      </c>
      <c r="Q50" s="1" t="str">
        <f>IF(A50&lt;5,IF(_xlfn.MAXIFS(A:A,G:G,G50)&gt;3,5-A50,_xlfn.MAXIFS(A:A,G:G,G50)+1-A50),"")</f>
        <v/>
      </c>
      <c r="R50" s="4">
        <f>MAX(T50,X50)</f>
        <v>28.1</v>
      </c>
      <c r="S50" s="4">
        <f>IF(R50=T50,MAX(V50,X50,Z50),IF(R50=X50,MAX(T50,V50,Z50),0))</f>
        <v>0</v>
      </c>
      <c r="T50" s="33">
        <v>28.1</v>
      </c>
      <c r="U50" s="40">
        <v>2.9000000000000004</v>
      </c>
      <c r="V50" s="34"/>
      <c r="W50" s="40"/>
      <c r="X50" s="33"/>
      <c r="Y50" s="40"/>
      <c r="Z50" s="34"/>
      <c r="AA50" s="37"/>
    </row>
    <row r="51" spans="1:27" x14ac:dyDescent="0.2">
      <c r="A51" s="1" cm="1">
        <f t="array" ref="A51">IF(I51="","",IF(P51&lt;&gt;"",SUMPRODUCT((P$3:P$45&lt;&gt;"")*(G$3:G$45=G51)*(J$3:J$45&gt;J51)*(I$3:I$45="P"))+1,IF(O51&lt;&gt;"",SUMPRODUCT((O$3:O$45&lt;&gt;"")*(P$3:P$45="")*(G$3:G$45=G51)*(J$3:J$45&gt;J51)*(I$3:I$45="P"))+SUMPRODUCT((P$3:P$45&lt;&gt;"")*(G$3:G$45=G51)*(I$3:I$45="P"))+1,IF(N51&lt;&gt;"",SUMPRODUCT((N$3:N$45&lt;&gt;"")*(G$3:G$45=G51)*(J$3:J$45&gt;J51)*(I$3:I$45="P"))+1,IF(M51="P",SUMPRODUCT((O$3:O$45&lt;&gt;"")*(P$3:P$45="")*(G$3:G$45=G51)*(I$3:I$45="P"))+SUMPRODUCT((P$3:P$45&lt;&gt;"")*(G$3:G$45=G51)*(I$3:I$45="P"))+SUMPRODUCT((N$3:N$45&lt;&gt;"")*(G$3:G$45=G51)*(I$3:I$45="P"))+SUMPRODUCT((P$3:P$45="")*(O$3:O$45="")*(N$3:N$45="")*(M$3:M$45="P")*(G$3:G$45=G51)*(J$3:J$45&gt;J51)*(I$3:I$45="P"))+IF(H51="L5",SUMPRODUCT((P$3:P$45="")*(O$3:O$45="")*(N$3:N$45="")*(M$3:M$45="P")*(G$3:G$45=G51)*(J$3:J$45&lt;J51)*(H$3:H$45&lt;&gt;H51)*(I$3:I$45="P")),-1*SUMPRODUCT((P$3:P$45="")*(O$3:O$45="")*(N$3:N$45="")*(M$3:M$45="P")*(G$3:G$45=G51)*(J$3:J$45&gt;J51)*(H$3:H$45="L5")*(I$3:I$45="P")))+1,"")))))</f>
        <v>1</v>
      </c>
      <c r="B51" s="1" cm="1">
        <f t="array" ref="B51">IF(P51&lt;&gt;"",SUMPRODUCT((P$3:P$77&lt;&gt;"")*(G$3:G$77=G51)*(J$3:J$77&gt;J51))+1,IF(O51&lt;&gt;"",SUMPRODUCT((O$3:O$77&lt;&gt;"")*(P$3:P$77="")*(G$3:G$77=G51)*(J$3:J$77&gt;J51))+SUMPRODUCT((P$3:P$77&lt;&gt;"")*(G$3:G$77=G51))+1,IF(N51&lt;&gt;"",SUMPRODUCT((N$3:N$77&lt;&gt;"")*(G$3:G$77=G51)*(J$3:J$77&gt;J51))+1,IF(M51="P",SUMPRODUCT((O$3:O$77&lt;&gt;"")*(P$3:P$77="")*(G$3:G$77=G51))+SUMPRODUCT((P$3:P$77&lt;&gt;"")*(G$3:G$77=G51))+SUMPRODUCT((N$3:N$77&lt;&gt;"")*(G$3:G$77=G51))+SUMPRODUCT((P$3:P$77="")*(O$3:O$77="")*(N$3:N$77="")*(M$3:M$77="P")*(G$3:G$77=G51)*(J$3:J$77&gt;J51))+IF(H51="L5",SUMPRODUCT((P$3:P$77="")*(O$3:O$77="")*(N$3:N$77="")*(M$3:M$77="P")*(G$3:G$77=G51)*(J$3:J$77&lt;J51)*(H$3:H$77&lt;&gt;H51)),-1*SUMPRODUCT((P$3:P$77="")*(O$3:O$77="")*(N$3:N$77="")*(M$3:M$77="P")*(G$3:G$77=G51)*(J$3:J$77&gt;J51)*(H$3:H$77="L5")))+1,""))))</f>
        <v>1</v>
      </c>
      <c r="C51" s="36" t="s">
        <v>366</v>
      </c>
      <c r="D51" s="36" t="str">
        <f>IF(E51="","",VLOOKUP(E51,'Coaching Points'!A:B,2,0))</f>
        <v>ON</v>
      </c>
      <c r="E51" s="36" t="s">
        <v>162</v>
      </c>
      <c r="F51" s="35">
        <v>2007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15-16</v>
      </c>
      <c r="H51" s="39" t="s">
        <v>65</v>
      </c>
      <c r="I51" s="43" t="s">
        <v>567</v>
      </c>
      <c r="J51" s="4">
        <f>R51+S51+IF(OR(H51="Junior",H51="Senior"),0.0002,IF(OR(H51="L7",H51="L6"),0.0001,0))+MAX(X51,Z51)*0.0000001</f>
        <v>83.800204310000012</v>
      </c>
      <c r="K51" s="3" t="str">
        <f>IF(G51="Not Age Eligible","",IF(MAX(T51,V51,X51,Z51)&gt;=LOOKUP(G51,'Qualifying Scores'!$A$4:$A$7,'Qualifying Scores'!$I$4:$I$7),"P",""))</f>
        <v>P</v>
      </c>
      <c r="L51" s="3" t="str">
        <f>IF(G51="Not Age Eligible","",IF(MAX(U51,W51,Y51,AA51)&gt;=LOOKUP(G51,'Qualifying Scores'!$A$10:$A$13,'Qualifying Scores'!$I$10:$I$13),"P",""))</f>
        <v>P</v>
      </c>
      <c r="M51" s="3" t="str">
        <f>IF(G51="Not Age Eligible","",IF(OR(AND(T51&gt;=LOOKUP(G51,'Qualifying Scores'!$A$4:$A$7,'Qualifying Scores'!$I$4:$I$7),U51&gt;=LOOKUP(G51,'Qualifying Scores'!$A$10:$A$13,'Qualifying Scores'!$I$10:$I$13)),AND(X51&gt;=LOOKUP(G51,'Qualifying Scores'!$A$4:$A$7,'Qualifying Scores'!$I$4:$I$7),Y51&gt;=LOOKUP(G51,'Qualifying Scores'!$A$10:$A$13,'Qualifying Scores'!$I$10:$I$13)),AND(V51&gt;=LOOKUP(G51,'Qualifying Scores'!$A$4:$A$7,'Qualifying Scores'!$I$4:$I$7),W51&gt;=LOOKUP(G51,'Qualifying Scores'!$A$10:$A$13,'Qualifying Scores'!$I$10:$I$13)),AND(Z51&gt;=LOOKUP(G51,'Qualifying Scores'!$A$4:$A$7,'Qualifying Scores'!$I$4:$I$7),AA51&gt;=LOOKUP(G51,'Qualifying Scores'!$A$10:$A$13,'Qualifying Scores'!$I$10:$I$13))),"P",""))</f>
        <v>P</v>
      </c>
      <c r="N51" s="39">
        <v>1</v>
      </c>
      <c r="Q51" s="1">
        <f>IF(A51&lt;5,IF(_xlfn.MAXIFS(A:A,G:G,G51)&gt;3,5-A51,_xlfn.MAXIFS(A:A,G:G,G51)+1-A51),"")</f>
        <v>1</v>
      </c>
      <c r="R51" s="4">
        <f>MAX(T51,X51)</f>
        <v>40.700000000000003</v>
      </c>
      <c r="S51" s="4">
        <f>IF(R51=T51,MAX(V51,X51,Z51),IF(R51=X51,MAX(T51,V51,Z51),0))</f>
        <v>43.1</v>
      </c>
      <c r="T51" s="33">
        <v>39.6</v>
      </c>
      <c r="U51" s="40">
        <v>6.6</v>
      </c>
      <c r="V51" s="34">
        <v>39.9</v>
      </c>
      <c r="W51" s="40">
        <v>6.6</v>
      </c>
      <c r="X51" s="33">
        <v>40.700000000000003</v>
      </c>
      <c r="Y51" s="40">
        <v>8</v>
      </c>
      <c r="Z51" s="34">
        <v>43.1</v>
      </c>
      <c r="AA51" s="37">
        <v>8</v>
      </c>
    </row>
    <row r="52" spans="1:27" x14ac:dyDescent="0.2">
      <c r="A52" s="1" t="str" cm="1">
        <f t="array" ref="A52">IF(I52="","",IF(P52&lt;&gt;"",SUMPRODUCT((P$3:P$45&lt;&gt;"")*(G$3:G$45=G52)*(J$3:J$45&gt;J52)*(I$3:I$45="P"))+1,IF(O52&lt;&gt;"",SUMPRODUCT((O$3:O$45&lt;&gt;"")*(P$3:P$45="")*(G$3:G$45=G52)*(J$3:J$45&gt;J52)*(I$3:I$45="P"))+SUMPRODUCT((P$3:P$45&lt;&gt;"")*(G$3:G$45=G52)*(I$3:I$45="P"))+1,IF(N52&lt;&gt;"",SUMPRODUCT((N$3:N$45&lt;&gt;"")*(G$3:G$45=G52)*(J$3:J$45&gt;J52)*(I$3:I$45="P"))+1,IF(M52="P",SUMPRODUCT((O$3:O$45&lt;&gt;"")*(P$3:P$45="")*(G$3:G$45=G52)*(I$3:I$45="P"))+SUMPRODUCT((P$3:P$45&lt;&gt;"")*(G$3:G$45=G52)*(I$3:I$45="P"))+SUMPRODUCT((N$3:N$45&lt;&gt;"")*(G$3:G$45=G52)*(I$3:I$45="P"))+SUMPRODUCT((P$3:P$45="")*(O$3:O$45="")*(N$3:N$45="")*(M$3:M$45="P")*(G$3:G$45=G52)*(J$3:J$45&gt;J52)*(I$3:I$45="P"))+IF(H52="L5",SUMPRODUCT((P$3:P$45="")*(O$3:O$45="")*(N$3:N$45="")*(M$3:M$45="P")*(G$3:G$45=G52)*(J$3:J$45&lt;J52)*(H$3:H$45&lt;&gt;H52)*(I$3:I$45="P")),-1*SUMPRODUCT((P$3:P$45="")*(O$3:O$45="")*(N$3:N$45="")*(M$3:M$45="P")*(G$3:G$45=G52)*(J$3:J$45&gt;J52)*(H$3:H$45="L5")*(I$3:I$45="P")))+1,"")))))</f>
        <v/>
      </c>
      <c r="B52" s="1" t="str" cm="1">
        <f t="array" ref="B52">IF(P52&lt;&gt;"",SUMPRODUCT((P$3:P$77&lt;&gt;"")*(G$3:G$77=G52)*(J$3:J$77&gt;J52))+1,IF(O52&lt;&gt;"",SUMPRODUCT((O$3:O$77&lt;&gt;"")*(P$3:P$77="")*(G$3:G$77=G52)*(J$3:J$77&gt;J52))+SUMPRODUCT((P$3:P$77&lt;&gt;"")*(G$3:G$77=G52))+1,IF(N52&lt;&gt;"",SUMPRODUCT((N$3:N$77&lt;&gt;"")*(G$3:G$77=G52)*(J$3:J$77&gt;J52))+1,IF(M52="P",SUMPRODUCT((O$3:O$77&lt;&gt;"")*(P$3:P$77="")*(G$3:G$77=G52))+SUMPRODUCT((P$3:P$77&lt;&gt;"")*(G$3:G$77=G52))+SUMPRODUCT((N$3:N$77&lt;&gt;"")*(G$3:G$77=G52))+SUMPRODUCT((P$3:P$77="")*(O$3:O$77="")*(N$3:N$77="")*(M$3:M$77="P")*(G$3:G$77=G52)*(J$3:J$77&gt;J52))+IF(H52="L5",SUMPRODUCT((P$3:P$77="")*(O$3:O$77="")*(N$3:N$77="")*(M$3:M$77="P")*(G$3:G$77=G52)*(J$3:J$77&lt;J52)*(H$3:H$77&lt;&gt;H52)),-1*SUMPRODUCT((P$3:P$77="")*(O$3:O$77="")*(N$3:N$77="")*(M$3:M$77="P")*(G$3:G$77=G52)*(J$3:J$77&gt;J52)*(H$3:H$77="L5")))+1,""))))</f>
        <v/>
      </c>
      <c r="C52" s="36" t="s">
        <v>268</v>
      </c>
      <c r="D52" s="36" t="str">
        <f>IF(E52="","",VLOOKUP(E52,'Coaching Points'!A:B,2,0))</f>
        <v>AB</v>
      </c>
      <c r="E52" s="36" t="s">
        <v>58</v>
      </c>
      <c r="F52" s="35">
        <v>2008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9" t="s">
        <v>67</v>
      </c>
      <c r="I52" s="43"/>
      <c r="J52" s="4">
        <f>R52+S52+IF(OR(H52="Junior",H52="Senior"),0.0002,IF(OR(H52="L7",H52="L6"),0.0001,0))+MAX(X52,Z52)*0.0000001</f>
        <v>82.600104139999999</v>
      </c>
      <c r="K52" s="3" t="str">
        <f>IF(G52="Not Age Eligible","",IF(MAX(T52,V52,X52,Z52)&gt;=LOOKUP(G52,'Qualifying Scores'!$A$4:$A$7,'Qualifying Scores'!$I$4:$I$7),"P",""))</f>
        <v/>
      </c>
      <c r="L52" s="3" t="str">
        <f>IF(G52="Not Age Eligible","",IF(MAX(U52,W52,Y52,AA52)&gt;=LOOKUP(G52,'Qualifying Scores'!$A$10:$A$13,'Qualifying Scores'!$I$10:$I$13),"P",""))</f>
        <v>P</v>
      </c>
      <c r="M52" s="3" t="str">
        <f>IF(G52="Not Age Eligible","",IF(OR(AND(T52&gt;=LOOKUP(G52,'Qualifying Scores'!$A$4:$A$7,'Qualifying Scores'!$I$4:$I$7),U52&gt;=LOOKUP(G52,'Qualifying Scores'!$A$10:$A$13,'Qualifying Scores'!$I$10:$I$13)),AND(X52&gt;=LOOKUP(G52,'Qualifying Scores'!$A$4:$A$7,'Qualifying Scores'!$I$4:$I$7),Y52&gt;=LOOKUP(G52,'Qualifying Scores'!$A$10:$A$13,'Qualifying Scores'!$I$10:$I$13)),AND(V52&gt;=LOOKUP(G52,'Qualifying Scores'!$A$4:$A$7,'Qualifying Scores'!$I$4:$I$7),W52&gt;=LOOKUP(G52,'Qualifying Scores'!$A$10:$A$13,'Qualifying Scores'!$I$10:$I$13)),AND(Z52&gt;=LOOKUP(G52,'Qualifying Scores'!$A$4:$A$7,'Qualifying Scores'!$I$4:$I$7),AA52&gt;=LOOKUP(G52,'Qualifying Scores'!$A$10:$A$13,'Qualifying Scores'!$I$10:$I$13))),"P",""))</f>
        <v/>
      </c>
      <c r="Q52" s="1" t="str">
        <f>IF(A52&lt;5,IF(_xlfn.MAXIFS(A:A,G:G,G52)&gt;3,5-A52,_xlfn.MAXIFS(A:A,G:G,G52)+1-A52),"")</f>
        <v/>
      </c>
      <c r="R52" s="4">
        <f>MAX(T52,X52)</f>
        <v>41.4</v>
      </c>
      <c r="S52" s="4">
        <f>IF(R52=T52,MAX(V52,X52,Z52),IF(R52=X52,MAX(T52,V52,Z52),0))</f>
        <v>41.2</v>
      </c>
      <c r="T52" s="33">
        <v>39.5</v>
      </c>
      <c r="U52" s="40">
        <v>7.3</v>
      </c>
      <c r="V52" s="34">
        <v>36.299999999999997</v>
      </c>
      <c r="W52" s="40">
        <v>6.1999999999999993</v>
      </c>
      <c r="X52" s="33">
        <v>41.4</v>
      </c>
      <c r="Y52" s="40">
        <v>8</v>
      </c>
      <c r="Z52" s="34">
        <v>41.2</v>
      </c>
      <c r="AA52" s="37">
        <v>8</v>
      </c>
    </row>
    <row r="53" spans="1:27" x14ac:dyDescent="0.2">
      <c r="A53" s="1" t="str" cm="1">
        <f t="array" ref="A53">IF(I53="","",IF(P53&lt;&gt;"",SUMPRODUCT((P$3:P$45&lt;&gt;"")*(G$3:G$45=G53)*(J$3:J$45&gt;J53)*(I$3:I$45="P"))+1,IF(O53&lt;&gt;"",SUMPRODUCT((O$3:O$45&lt;&gt;"")*(P$3:P$45="")*(G$3:G$45=G53)*(J$3:J$45&gt;J53)*(I$3:I$45="P"))+SUMPRODUCT((P$3:P$45&lt;&gt;"")*(G$3:G$45=G53)*(I$3:I$45="P"))+1,IF(N53&lt;&gt;"",SUMPRODUCT((N$3:N$45&lt;&gt;"")*(G$3:G$45=G53)*(J$3:J$45&gt;J53)*(I$3:I$45="P"))+1,IF(M53="P",SUMPRODUCT((O$3:O$45&lt;&gt;"")*(P$3:P$45="")*(G$3:G$45=G53)*(I$3:I$45="P"))+SUMPRODUCT((P$3:P$45&lt;&gt;"")*(G$3:G$45=G53)*(I$3:I$45="P"))+SUMPRODUCT((N$3:N$45&lt;&gt;"")*(G$3:G$45=G53)*(I$3:I$45="P"))+SUMPRODUCT((P$3:P$45="")*(O$3:O$45="")*(N$3:N$45="")*(M$3:M$45="P")*(G$3:G$45=G53)*(J$3:J$45&gt;J53)*(I$3:I$45="P"))+IF(H53="L5",SUMPRODUCT((P$3:P$45="")*(O$3:O$45="")*(N$3:N$45="")*(M$3:M$45="P")*(G$3:G$45=G53)*(J$3:J$45&lt;J53)*(H$3:H$45&lt;&gt;H53)*(I$3:I$45="P")),-1*SUMPRODUCT((P$3:P$45="")*(O$3:O$45="")*(N$3:N$45="")*(M$3:M$45="P")*(G$3:G$45=G53)*(J$3:J$45&gt;J53)*(H$3:H$45="L5")*(I$3:I$45="P")))+1,"")))))</f>
        <v/>
      </c>
      <c r="B53" s="1" t="str" cm="1">
        <f t="array" ref="B53">IF(P53&lt;&gt;"",SUMPRODUCT((P$3:P$77&lt;&gt;"")*(G$3:G$77=G53)*(J$3:J$77&gt;J53))+1,IF(O53&lt;&gt;"",SUMPRODUCT((O$3:O$77&lt;&gt;"")*(P$3:P$77="")*(G$3:G$77=G53)*(J$3:J$77&gt;J53))+SUMPRODUCT((P$3:P$77&lt;&gt;"")*(G$3:G$77=G53))+1,IF(N53&lt;&gt;"",SUMPRODUCT((N$3:N$77&lt;&gt;"")*(G$3:G$77=G53)*(J$3:J$77&gt;J53))+1,IF(M53="P",SUMPRODUCT((O$3:O$77&lt;&gt;"")*(P$3:P$77="")*(G$3:G$77=G53))+SUMPRODUCT((P$3:P$77&lt;&gt;"")*(G$3:G$77=G53))+SUMPRODUCT((N$3:N$77&lt;&gt;"")*(G$3:G$77=G53))+SUMPRODUCT((P$3:P$77="")*(O$3:O$77="")*(N$3:N$77="")*(M$3:M$77="P")*(G$3:G$77=G53)*(J$3:J$77&gt;J53))+IF(H53="L5",SUMPRODUCT((P$3:P$77="")*(O$3:O$77="")*(N$3:N$77="")*(M$3:M$77="P")*(G$3:G$77=G53)*(J$3:J$77&lt;J53)*(H$3:H$77&lt;&gt;H53)),-1*SUMPRODUCT((P$3:P$77="")*(O$3:O$77="")*(N$3:N$77="")*(M$3:M$77="P")*(G$3:G$77=G53)*(J$3:J$77&gt;J53)*(H$3:H$77="L5")))+1,""))))</f>
        <v/>
      </c>
      <c r="C53" s="36" t="s">
        <v>176</v>
      </c>
      <c r="D53" s="36" t="str">
        <f>IF(E53="","",VLOOKUP(E53,'Coaching Points'!A:B,2,0))</f>
        <v>ON</v>
      </c>
      <c r="E53" s="36" t="s">
        <v>47</v>
      </c>
      <c r="F53" s="35">
        <v>2007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9" t="s">
        <v>67</v>
      </c>
      <c r="I53" s="43"/>
      <c r="J53" s="4">
        <f>R53+S53+IF(OR(H53="Junior",H53="Senior"),0.0002,IF(OR(H53="L7",H53="L6"),0.0001,0))+MAX(X53,Z53)*0.0000001</f>
        <v>80.700104129999986</v>
      </c>
      <c r="K53" s="3" t="str">
        <f>IF(G53="Not Age Eligible","",IF(MAX(T53,V53,X53,Z53)&gt;=LOOKUP(G53,'Qualifying Scores'!$A$4:$A$7,'Qualifying Scores'!$I$4:$I$7),"P",""))</f>
        <v/>
      </c>
      <c r="L53" s="3" t="str">
        <f>IF(G53="Not Age Eligible","",IF(MAX(U53,W53,Y53,AA53)&gt;=LOOKUP(G53,'Qualifying Scores'!$A$10:$A$13,'Qualifying Scores'!$I$10:$I$13),"P",""))</f>
        <v/>
      </c>
      <c r="M53" s="3" t="str">
        <f>IF(G53="Not Age Eligible","",IF(OR(AND(T53&gt;=LOOKUP(G53,'Qualifying Scores'!$A$4:$A$7,'Qualifying Scores'!$I$4:$I$7),U53&gt;=LOOKUP(G53,'Qualifying Scores'!$A$10:$A$13,'Qualifying Scores'!$I$10:$I$13)),AND(X53&gt;=LOOKUP(G53,'Qualifying Scores'!$A$4:$A$7,'Qualifying Scores'!$I$4:$I$7),Y53&gt;=LOOKUP(G53,'Qualifying Scores'!$A$10:$A$13,'Qualifying Scores'!$I$10:$I$13)),AND(V53&gt;=LOOKUP(G53,'Qualifying Scores'!$A$4:$A$7,'Qualifying Scores'!$I$4:$I$7),W53&gt;=LOOKUP(G53,'Qualifying Scores'!$A$10:$A$13,'Qualifying Scores'!$I$10:$I$13)),AND(Z53&gt;=LOOKUP(G53,'Qualifying Scores'!$A$4:$A$7,'Qualifying Scores'!$I$4:$I$7),AA53&gt;=LOOKUP(G53,'Qualifying Scores'!$A$10:$A$13,'Qualifying Scores'!$I$10:$I$13))),"P",""))</f>
        <v/>
      </c>
      <c r="Q53" s="1" t="str">
        <f>IF(A53&lt;5,IF(_xlfn.MAXIFS(A:A,G:G,G53)&gt;3,5-A53,_xlfn.MAXIFS(A:A,G:G,G53)+1-A53),"")</f>
        <v/>
      </c>
      <c r="R53" s="4">
        <f>MAX(T53,X53)</f>
        <v>39.4</v>
      </c>
      <c r="S53" s="4">
        <f>IF(R53=T53,MAX(V53,X53,Z53),IF(R53=X53,MAX(T53,V53,Z53),0))</f>
        <v>41.3</v>
      </c>
      <c r="T53" s="33">
        <v>38.799999999999997</v>
      </c>
      <c r="U53" s="40">
        <v>5.8</v>
      </c>
      <c r="V53" s="34">
        <v>38.9</v>
      </c>
      <c r="W53" s="40">
        <v>5.8</v>
      </c>
      <c r="X53" s="33">
        <v>39.4</v>
      </c>
      <c r="Y53" s="40">
        <v>6.2</v>
      </c>
      <c r="Z53" s="34">
        <v>41.3</v>
      </c>
      <c r="AA53" s="37">
        <v>6</v>
      </c>
    </row>
    <row r="54" spans="1:27" x14ac:dyDescent="0.2">
      <c r="A54" s="1" t="str" cm="1">
        <f t="array" ref="A54">IF(I54="","",IF(P54&lt;&gt;"",SUMPRODUCT((P$3:P$45&lt;&gt;"")*(G$3:G$45=G54)*(J$3:J$45&gt;J54)*(I$3:I$45="P"))+1,IF(O54&lt;&gt;"",SUMPRODUCT((O$3:O$45&lt;&gt;"")*(P$3:P$45="")*(G$3:G$45=G54)*(J$3:J$45&gt;J54)*(I$3:I$45="P"))+SUMPRODUCT((P$3:P$45&lt;&gt;"")*(G$3:G$45=G54)*(I$3:I$45="P"))+1,IF(N54&lt;&gt;"",SUMPRODUCT((N$3:N$45&lt;&gt;"")*(G$3:G$45=G54)*(J$3:J$45&gt;J54)*(I$3:I$45="P"))+1,IF(M54="P",SUMPRODUCT((O$3:O$45&lt;&gt;"")*(P$3:P$45="")*(G$3:G$45=G54)*(I$3:I$45="P"))+SUMPRODUCT((P$3:P$45&lt;&gt;"")*(G$3:G$45=G54)*(I$3:I$45="P"))+SUMPRODUCT((N$3:N$45&lt;&gt;"")*(G$3:G$45=G54)*(I$3:I$45="P"))+SUMPRODUCT((P$3:P$45="")*(O$3:O$45="")*(N$3:N$45="")*(M$3:M$45="P")*(G$3:G$45=G54)*(J$3:J$45&gt;J54)*(I$3:I$45="P"))+IF(H54="L5",SUMPRODUCT((P$3:P$45="")*(O$3:O$45="")*(N$3:N$45="")*(M$3:M$45="P")*(G$3:G$45=G54)*(J$3:J$45&lt;J54)*(H$3:H$45&lt;&gt;H54)*(I$3:I$45="P")),-1*SUMPRODUCT((P$3:P$45="")*(O$3:O$45="")*(N$3:N$45="")*(M$3:M$45="P")*(G$3:G$45=G54)*(J$3:J$45&gt;J54)*(H$3:H$45="L5")*(I$3:I$45="P")))+1,"")))))</f>
        <v/>
      </c>
      <c r="B54" s="1" t="str" cm="1">
        <f t="array" ref="B54">IF(P54&lt;&gt;"",SUMPRODUCT((P$3:P$77&lt;&gt;"")*(G$3:G$77=G54)*(J$3:J$77&gt;J54))+1,IF(O54&lt;&gt;"",SUMPRODUCT((O$3:O$77&lt;&gt;"")*(P$3:P$77="")*(G$3:G$77=G54)*(J$3:J$77&gt;J54))+SUMPRODUCT((P$3:P$77&lt;&gt;"")*(G$3:G$77=G54))+1,IF(N54&lt;&gt;"",SUMPRODUCT((N$3:N$77&lt;&gt;"")*(G$3:G$77=G54)*(J$3:J$77&gt;J54))+1,IF(M54="P",SUMPRODUCT((O$3:O$77&lt;&gt;"")*(P$3:P$77="")*(G$3:G$77=G54))+SUMPRODUCT((P$3:P$77&lt;&gt;"")*(G$3:G$77=G54))+SUMPRODUCT((N$3:N$77&lt;&gt;"")*(G$3:G$77=G54))+SUMPRODUCT((P$3:P$77="")*(O$3:O$77="")*(N$3:N$77="")*(M$3:M$77="P")*(G$3:G$77=G54)*(J$3:J$77&gt;J54))+IF(H54="L5",SUMPRODUCT((P$3:P$77="")*(O$3:O$77="")*(N$3:N$77="")*(M$3:M$77="P")*(G$3:G$77=G54)*(J$3:J$77&lt;J54)*(H$3:H$77&lt;&gt;H54)),-1*SUMPRODUCT((P$3:P$77="")*(O$3:O$77="")*(N$3:N$77="")*(M$3:M$77="P")*(G$3:G$77=G54)*(J$3:J$77&gt;J54)*(H$3:H$77="L5")))+1,""))))</f>
        <v/>
      </c>
      <c r="C54" s="36" t="s">
        <v>549</v>
      </c>
      <c r="D54" s="36" t="str">
        <f>IF(E54="","",VLOOKUP(E54,'Coaching Points'!A:B,2,0))</f>
        <v>ON</v>
      </c>
      <c r="E54" s="36" t="s">
        <v>483</v>
      </c>
      <c r="F54" s="35">
        <v>2008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9" t="s">
        <v>66</v>
      </c>
      <c r="I54" s="43"/>
      <c r="J54" s="4">
        <f>R54+S54+IF(OR(H54="Junior",H54="Senior"),0.0002,IF(OR(H54="L7",H54="L6"),0.0001,0))+MAX(X54,Z54)*0.0000001</f>
        <v>77.800003970000006</v>
      </c>
      <c r="K54" s="3" t="str">
        <f>IF(G54="Not Age Eligible","",IF(MAX(T54,V54,X54,Z54)&gt;=LOOKUP(G54,'Qualifying Scores'!$A$4:$A$7,'Qualifying Scores'!$I$4:$I$7),"P",""))</f>
        <v/>
      </c>
      <c r="L54" s="3" t="str">
        <f>IF(G54="Not Age Eligible","",IF(MAX(U54,W54,Y54,AA54)&gt;=LOOKUP(G54,'Qualifying Scores'!$A$10:$A$13,'Qualifying Scores'!$I$10:$I$13),"P",""))</f>
        <v/>
      </c>
      <c r="M54" s="3" t="str">
        <f>IF(G54="Not Age Eligible","",IF(OR(AND(T54&gt;=LOOKUP(G54,'Qualifying Scores'!$A$4:$A$7,'Qualifying Scores'!$I$4:$I$7),U54&gt;=LOOKUP(G54,'Qualifying Scores'!$A$10:$A$13,'Qualifying Scores'!$I$10:$I$13)),AND(X54&gt;=LOOKUP(G54,'Qualifying Scores'!$A$4:$A$7,'Qualifying Scores'!$I$4:$I$7),Y54&gt;=LOOKUP(G54,'Qualifying Scores'!$A$10:$A$13,'Qualifying Scores'!$I$10:$I$13)),AND(V54&gt;=LOOKUP(G54,'Qualifying Scores'!$A$4:$A$7,'Qualifying Scores'!$I$4:$I$7),W54&gt;=LOOKUP(G54,'Qualifying Scores'!$A$10:$A$13,'Qualifying Scores'!$I$10:$I$13)),AND(Z54&gt;=LOOKUP(G54,'Qualifying Scores'!$A$4:$A$7,'Qualifying Scores'!$I$4:$I$7),AA54&gt;=LOOKUP(G54,'Qualifying Scores'!$A$10:$A$13,'Qualifying Scores'!$I$10:$I$13))),"P",""))</f>
        <v/>
      </c>
      <c r="Q54" s="1" t="str">
        <f>IF(A54&lt;5,IF(_xlfn.MAXIFS(A:A,G:G,G54)&gt;3,5-A54,_xlfn.MAXIFS(A:A,G:G,G54)+1-A54),"")</f>
        <v/>
      </c>
      <c r="R54" s="4">
        <f>MAX(T54,X54)</f>
        <v>38.1</v>
      </c>
      <c r="S54" s="4">
        <f>IF(R54=T54,MAX(V54,X54,Z54),IF(R54=X54,MAX(T54,V54,Z54),0))</f>
        <v>39.700000000000003</v>
      </c>
      <c r="T54" s="33"/>
      <c r="U54" s="40"/>
      <c r="V54" s="34"/>
      <c r="W54" s="40"/>
      <c r="X54" s="33">
        <v>38.1</v>
      </c>
      <c r="Y54" s="40">
        <v>4.4000000000000004</v>
      </c>
      <c r="Z54" s="34">
        <v>39.700000000000003</v>
      </c>
      <c r="AA54" s="37">
        <v>4.4000000000000004</v>
      </c>
    </row>
    <row r="55" spans="1:27" x14ac:dyDescent="0.2">
      <c r="A55" s="1" t="str" cm="1">
        <f t="array" ref="A55">IF(I55="","",IF(P55&lt;&gt;"",SUMPRODUCT((P$3:P$45&lt;&gt;"")*(G$3:G$45=G55)*(J$3:J$45&gt;J55)*(I$3:I$45="P"))+1,IF(O55&lt;&gt;"",SUMPRODUCT((O$3:O$45&lt;&gt;"")*(P$3:P$45="")*(G$3:G$45=G55)*(J$3:J$45&gt;J55)*(I$3:I$45="P"))+SUMPRODUCT((P$3:P$45&lt;&gt;"")*(G$3:G$45=G55)*(I$3:I$45="P"))+1,IF(N55&lt;&gt;"",SUMPRODUCT((N$3:N$45&lt;&gt;"")*(G$3:G$45=G55)*(J$3:J$45&gt;J55)*(I$3:I$45="P"))+1,IF(M55="P",SUMPRODUCT((O$3:O$45&lt;&gt;"")*(P$3:P$45="")*(G$3:G$45=G55)*(I$3:I$45="P"))+SUMPRODUCT((P$3:P$45&lt;&gt;"")*(G$3:G$45=G55)*(I$3:I$45="P"))+SUMPRODUCT((N$3:N$45&lt;&gt;"")*(G$3:G$45=G55)*(I$3:I$45="P"))+SUMPRODUCT((P$3:P$45="")*(O$3:O$45="")*(N$3:N$45="")*(M$3:M$45="P")*(G$3:G$45=G55)*(J$3:J$45&gt;J55)*(I$3:I$45="P"))+IF(H55="L5",SUMPRODUCT((P$3:P$45="")*(O$3:O$45="")*(N$3:N$45="")*(M$3:M$45="P")*(G$3:G$45=G55)*(J$3:J$45&lt;J55)*(H$3:H$45&lt;&gt;H55)*(I$3:I$45="P")),-1*SUMPRODUCT((P$3:P$45="")*(O$3:O$45="")*(N$3:N$45="")*(M$3:M$45="P")*(G$3:G$45=G55)*(J$3:J$45&gt;J55)*(H$3:H$45="L5")*(I$3:I$45="P")))+1,"")))))</f>
        <v/>
      </c>
      <c r="B55" s="1" t="str" cm="1">
        <f t="array" ref="B55">IF(P55&lt;&gt;"",SUMPRODUCT((P$3:P$77&lt;&gt;"")*(G$3:G$77=G55)*(J$3:J$77&gt;J55))+1,IF(O55&lt;&gt;"",SUMPRODUCT((O$3:O$77&lt;&gt;"")*(P$3:P$77="")*(G$3:G$77=G55)*(J$3:J$77&gt;J55))+SUMPRODUCT((P$3:P$77&lt;&gt;"")*(G$3:G$77=G55))+1,IF(N55&lt;&gt;"",SUMPRODUCT((N$3:N$77&lt;&gt;"")*(G$3:G$77=G55)*(J$3:J$77&gt;J55))+1,IF(M55="P",SUMPRODUCT((O$3:O$77&lt;&gt;"")*(P$3:P$77="")*(G$3:G$77=G55))+SUMPRODUCT((P$3:P$77&lt;&gt;"")*(G$3:G$77=G55))+SUMPRODUCT((N$3:N$77&lt;&gt;"")*(G$3:G$77=G55))+SUMPRODUCT((P$3:P$77="")*(O$3:O$77="")*(N$3:N$77="")*(M$3:M$77="P")*(G$3:G$77=G55)*(J$3:J$77&gt;J55))+IF(H55="L5",SUMPRODUCT((P$3:P$77="")*(O$3:O$77="")*(N$3:N$77="")*(M$3:M$77="P")*(G$3:G$77=G55)*(J$3:J$77&lt;J55)*(H$3:H$77&lt;&gt;H55)),-1*SUMPRODUCT((P$3:P$77="")*(O$3:O$77="")*(N$3:N$77="")*(M$3:M$77="P")*(G$3:G$77=G55)*(J$3:J$77&gt;J55)*(H$3:H$77="L5")))+1,""))))</f>
        <v/>
      </c>
      <c r="C55" s="36" t="s">
        <v>177</v>
      </c>
      <c r="D55" s="36" t="str">
        <f>IF(E55="","",VLOOKUP(E55,'Coaching Points'!A:B,2,0))</f>
        <v>BC</v>
      </c>
      <c r="E55" s="36" t="s">
        <v>57</v>
      </c>
      <c r="F55" s="35">
        <v>2007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9" t="s">
        <v>66</v>
      </c>
      <c r="I55" s="43"/>
      <c r="J55" s="4">
        <f>R55+S55+IF(OR(H55="Junior",H55="Senior"),0.0002,IF(OR(H55="L7",H55="L6"),0.0001,0))+MAX(X55,Z55)*0.0000001</f>
        <v>76.300003889999999</v>
      </c>
      <c r="K55" s="3" t="str">
        <f>IF(G55="Not Age Eligible","",IF(MAX(T55,V55,X55,Z55)&gt;=LOOKUP(G55,'Qualifying Scores'!$A$4:$A$7,'Qualifying Scores'!$I$4:$I$7),"P",""))</f>
        <v/>
      </c>
      <c r="L55" s="3" t="str">
        <f>IF(G55="Not Age Eligible","",IF(MAX(U55,W55,Y55,AA55)&gt;=LOOKUP(G55,'Qualifying Scores'!$A$10:$A$13,'Qualifying Scores'!$I$10:$I$13),"P",""))</f>
        <v/>
      </c>
      <c r="M55" s="3" t="str">
        <f>IF(G55="Not Age Eligible","",IF(OR(AND(T55&gt;=LOOKUP(G55,'Qualifying Scores'!$A$4:$A$7,'Qualifying Scores'!$I$4:$I$7),U55&gt;=LOOKUP(G55,'Qualifying Scores'!$A$10:$A$13,'Qualifying Scores'!$I$10:$I$13)),AND(X55&gt;=LOOKUP(G55,'Qualifying Scores'!$A$4:$A$7,'Qualifying Scores'!$I$4:$I$7),Y55&gt;=LOOKUP(G55,'Qualifying Scores'!$A$10:$A$13,'Qualifying Scores'!$I$10:$I$13)),AND(V55&gt;=LOOKUP(G55,'Qualifying Scores'!$A$4:$A$7,'Qualifying Scores'!$I$4:$I$7),W55&gt;=LOOKUP(G55,'Qualifying Scores'!$A$10:$A$13,'Qualifying Scores'!$I$10:$I$13)),AND(Z55&gt;=LOOKUP(G55,'Qualifying Scores'!$A$4:$A$7,'Qualifying Scores'!$I$4:$I$7),AA55&gt;=LOOKUP(G55,'Qualifying Scores'!$A$10:$A$13,'Qualifying Scores'!$I$10:$I$13))),"P",""))</f>
        <v/>
      </c>
      <c r="Q55" s="1" t="str">
        <f>IF(A55&lt;5,IF(_xlfn.MAXIFS(A:A,G:G,G55)&gt;3,5-A55,_xlfn.MAXIFS(A:A,G:G,G55)+1-A55),"")</f>
        <v/>
      </c>
      <c r="R55" s="4">
        <f>MAX(T55,X55)</f>
        <v>37.4</v>
      </c>
      <c r="S55" s="4">
        <f>IF(R55=T55,MAX(V55,X55,Z55),IF(R55=X55,MAX(T55,V55,Z55),0))</f>
        <v>38.9</v>
      </c>
      <c r="T55" s="33">
        <v>37.4</v>
      </c>
      <c r="U55" s="40">
        <v>5</v>
      </c>
      <c r="V55" s="34">
        <v>37.799999999999997</v>
      </c>
      <c r="W55" s="40">
        <v>5</v>
      </c>
      <c r="X55" s="33">
        <v>37</v>
      </c>
      <c r="Y55" s="40">
        <v>5.6</v>
      </c>
      <c r="Z55" s="34">
        <v>38.9</v>
      </c>
      <c r="AA55" s="37">
        <v>6.3</v>
      </c>
    </row>
    <row r="56" spans="1:27" x14ac:dyDescent="0.2">
      <c r="A56" s="1" t="str" cm="1">
        <f t="array" ref="A56">IF(I56="","",IF(P56&lt;&gt;"",SUMPRODUCT((P$3:P$45&lt;&gt;"")*(G$3:G$45=G56)*(J$3:J$45&gt;J56)*(I$3:I$45="P"))+1,IF(O56&lt;&gt;"",SUMPRODUCT((O$3:O$45&lt;&gt;"")*(P$3:P$45="")*(G$3:G$45=G56)*(J$3:J$45&gt;J56)*(I$3:I$45="P"))+SUMPRODUCT((P$3:P$45&lt;&gt;"")*(G$3:G$45=G56)*(I$3:I$45="P"))+1,IF(N56&lt;&gt;"",SUMPRODUCT((N$3:N$45&lt;&gt;"")*(G$3:G$45=G56)*(J$3:J$45&gt;J56)*(I$3:I$45="P"))+1,IF(M56="P",SUMPRODUCT((O$3:O$45&lt;&gt;"")*(P$3:P$45="")*(G$3:G$45=G56)*(I$3:I$45="P"))+SUMPRODUCT((P$3:P$45&lt;&gt;"")*(G$3:G$45=G56)*(I$3:I$45="P"))+SUMPRODUCT((N$3:N$45&lt;&gt;"")*(G$3:G$45=G56)*(I$3:I$45="P"))+SUMPRODUCT((P$3:P$45="")*(O$3:O$45="")*(N$3:N$45="")*(M$3:M$45="P")*(G$3:G$45=G56)*(J$3:J$45&gt;J56)*(I$3:I$45="P"))+IF(H56="L5",SUMPRODUCT((P$3:P$45="")*(O$3:O$45="")*(N$3:N$45="")*(M$3:M$45="P")*(G$3:G$45=G56)*(J$3:J$45&lt;J56)*(H$3:H$45&lt;&gt;H56)*(I$3:I$45="P")),-1*SUMPRODUCT((P$3:P$45="")*(O$3:O$45="")*(N$3:N$45="")*(M$3:M$45="P")*(G$3:G$45=G56)*(J$3:J$45&gt;J56)*(H$3:H$45="L5")*(I$3:I$45="P")))+1,"")))))</f>
        <v/>
      </c>
      <c r="B56" s="1" t="str" cm="1">
        <f t="array" ref="B56">IF(P56&lt;&gt;"",SUMPRODUCT((P$3:P$77&lt;&gt;"")*(G$3:G$77=G56)*(J$3:J$77&gt;J56))+1,IF(O56&lt;&gt;"",SUMPRODUCT((O$3:O$77&lt;&gt;"")*(P$3:P$77="")*(G$3:G$77=G56)*(J$3:J$77&gt;J56))+SUMPRODUCT((P$3:P$77&lt;&gt;"")*(G$3:G$77=G56))+1,IF(N56&lt;&gt;"",SUMPRODUCT((N$3:N$77&lt;&gt;"")*(G$3:G$77=G56)*(J$3:J$77&gt;J56))+1,IF(M56="P",SUMPRODUCT((O$3:O$77&lt;&gt;"")*(P$3:P$77="")*(G$3:G$77=G56))+SUMPRODUCT((P$3:P$77&lt;&gt;"")*(G$3:G$77=G56))+SUMPRODUCT((N$3:N$77&lt;&gt;"")*(G$3:G$77=G56))+SUMPRODUCT((P$3:P$77="")*(O$3:O$77="")*(N$3:N$77="")*(M$3:M$77="P")*(G$3:G$77=G56)*(J$3:J$77&gt;J56))+IF(H56="L5",SUMPRODUCT((P$3:P$77="")*(O$3:O$77="")*(N$3:N$77="")*(M$3:M$77="P")*(G$3:G$77=G56)*(J$3:J$77&lt;J56)*(H$3:H$77&lt;&gt;H56)),-1*SUMPRODUCT((P$3:P$77="")*(O$3:O$77="")*(N$3:N$77="")*(M$3:M$77="P")*(G$3:G$77=G56)*(J$3:J$77&gt;J56)*(H$3:H$77="L5")))+1,""))))</f>
        <v/>
      </c>
      <c r="C56" s="36" t="s">
        <v>120</v>
      </c>
      <c r="D56" s="36" t="str">
        <f>IF(E56="","",VLOOKUP(E56,'Coaching Points'!A:B,2,0))</f>
        <v>AB</v>
      </c>
      <c r="E56" s="36" t="s">
        <v>29</v>
      </c>
      <c r="F56" s="35">
        <v>2007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9" t="s">
        <v>67</v>
      </c>
      <c r="I56" s="43" t="s">
        <v>567</v>
      </c>
      <c r="J56" s="4">
        <f>R56+S56+IF(OR(H56="Junior",H56="Senior"),0.0002,IF(OR(H56="L7",H56="L6"),0.0001,0))+MAX(X56,Z56)*0.0000001</f>
        <v>76.00010395000001</v>
      </c>
      <c r="K56" s="3" t="str">
        <f>IF(G56="Not Age Eligible","",IF(MAX(T56,V56,X56,Z56)&gt;=LOOKUP(G56,'Qualifying Scores'!$A$4:$A$7,'Qualifying Scores'!$I$4:$I$7),"P",""))</f>
        <v/>
      </c>
      <c r="L56" s="3" t="str">
        <f>IF(G56="Not Age Eligible","",IF(MAX(U56,W56,Y56,AA56)&gt;=LOOKUP(G56,'Qualifying Scores'!$A$10:$A$13,'Qualifying Scores'!$I$10:$I$13),"P",""))</f>
        <v/>
      </c>
      <c r="M56" s="3" t="str">
        <f>IF(G56="Not Age Eligible","",IF(OR(AND(T56&gt;=LOOKUP(G56,'Qualifying Scores'!$A$4:$A$7,'Qualifying Scores'!$I$4:$I$7),U56&gt;=LOOKUP(G56,'Qualifying Scores'!$A$10:$A$13,'Qualifying Scores'!$I$10:$I$13)),AND(X56&gt;=LOOKUP(G56,'Qualifying Scores'!$A$4:$A$7,'Qualifying Scores'!$I$4:$I$7),Y56&gt;=LOOKUP(G56,'Qualifying Scores'!$A$10:$A$13,'Qualifying Scores'!$I$10:$I$13)),AND(V56&gt;=LOOKUP(G56,'Qualifying Scores'!$A$4:$A$7,'Qualifying Scores'!$I$4:$I$7),W56&gt;=LOOKUP(G56,'Qualifying Scores'!$A$10:$A$13,'Qualifying Scores'!$I$10:$I$13)),AND(Z56&gt;=LOOKUP(G56,'Qualifying Scores'!$A$4:$A$7,'Qualifying Scores'!$I$4:$I$7),AA56&gt;=LOOKUP(G56,'Qualifying Scores'!$A$10:$A$13,'Qualifying Scores'!$I$10:$I$13))),"P",""))</f>
        <v/>
      </c>
      <c r="Q56" s="1" t="str">
        <f>IF(A56&lt;5,IF(_xlfn.MAXIFS(A:A,G:G,G56)&gt;3,5-A56,_xlfn.MAXIFS(A:A,G:G,G56)+1-A56),"")</f>
        <v/>
      </c>
      <c r="R56" s="4">
        <f>MAX(T56,X56)</f>
        <v>39.5</v>
      </c>
      <c r="S56" s="4">
        <f>IF(R56=T56,MAX(V56,X56,Z56),IF(R56=X56,MAX(T56,V56,Z56),0))</f>
        <v>36.5</v>
      </c>
      <c r="T56" s="33">
        <v>28.8</v>
      </c>
      <c r="U56" s="40">
        <v>2.8</v>
      </c>
      <c r="V56" s="34"/>
      <c r="W56" s="40"/>
      <c r="X56" s="33">
        <v>39.5</v>
      </c>
      <c r="Y56" s="40">
        <v>6</v>
      </c>
      <c r="Z56" s="34">
        <v>36.5</v>
      </c>
      <c r="AA56" s="37">
        <v>4</v>
      </c>
    </row>
    <row r="57" spans="1:27" x14ac:dyDescent="0.2">
      <c r="A57" s="1" t="str" cm="1">
        <f t="array" ref="A57">IF(I57="","",IF(P57&lt;&gt;"",SUMPRODUCT((P$3:P$45&lt;&gt;"")*(G$3:G$45=G57)*(J$3:J$45&gt;J57)*(I$3:I$45="P"))+1,IF(O57&lt;&gt;"",SUMPRODUCT((O$3:O$45&lt;&gt;"")*(P$3:P$45="")*(G$3:G$45=G57)*(J$3:J$45&gt;J57)*(I$3:I$45="P"))+SUMPRODUCT((P$3:P$45&lt;&gt;"")*(G$3:G$45=G57)*(I$3:I$45="P"))+1,IF(N57&lt;&gt;"",SUMPRODUCT((N$3:N$45&lt;&gt;"")*(G$3:G$45=G57)*(J$3:J$45&gt;J57)*(I$3:I$45="P"))+1,IF(M57="P",SUMPRODUCT((O$3:O$45&lt;&gt;"")*(P$3:P$45="")*(G$3:G$45=G57)*(I$3:I$45="P"))+SUMPRODUCT((P$3:P$45&lt;&gt;"")*(G$3:G$45=G57)*(I$3:I$45="P"))+SUMPRODUCT((N$3:N$45&lt;&gt;"")*(G$3:G$45=G57)*(I$3:I$45="P"))+SUMPRODUCT((P$3:P$45="")*(O$3:O$45="")*(N$3:N$45="")*(M$3:M$45="P")*(G$3:G$45=G57)*(J$3:J$45&gt;J57)*(I$3:I$45="P"))+IF(H57="L5",SUMPRODUCT((P$3:P$45="")*(O$3:O$45="")*(N$3:N$45="")*(M$3:M$45="P")*(G$3:G$45=G57)*(J$3:J$45&lt;J57)*(H$3:H$45&lt;&gt;H57)*(I$3:I$45="P")),-1*SUMPRODUCT((P$3:P$45="")*(O$3:O$45="")*(N$3:N$45="")*(M$3:M$45="P")*(G$3:G$45=G57)*(J$3:J$45&gt;J57)*(H$3:H$45="L5")*(I$3:I$45="P")))+1,"")))))</f>
        <v/>
      </c>
      <c r="B57" s="1" t="str" cm="1">
        <f t="array" ref="B57">IF(P57&lt;&gt;"",SUMPRODUCT((P$3:P$77&lt;&gt;"")*(G$3:G$77=G57)*(J$3:J$77&gt;J57))+1,IF(O57&lt;&gt;"",SUMPRODUCT((O$3:O$77&lt;&gt;"")*(P$3:P$77="")*(G$3:G$77=G57)*(J$3:J$77&gt;J57))+SUMPRODUCT((P$3:P$77&lt;&gt;"")*(G$3:G$77=G57))+1,IF(N57&lt;&gt;"",SUMPRODUCT((N$3:N$77&lt;&gt;"")*(G$3:G$77=G57)*(J$3:J$77&gt;J57))+1,IF(M57="P",SUMPRODUCT((O$3:O$77&lt;&gt;"")*(P$3:P$77="")*(G$3:G$77=G57))+SUMPRODUCT((P$3:P$77&lt;&gt;"")*(G$3:G$77=G57))+SUMPRODUCT((N$3:N$77&lt;&gt;"")*(G$3:G$77=G57))+SUMPRODUCT((P$3:P$77="")*(O$3:O$77="")*(N$3:N$77="")*(M$3:M$77="P")*(G$3:G$77=G57)*(J$3:J$77&gt;J57))+IF(H57="L5",SUMPRODUCT((P$3:P$77="")*(O$3:O$77="")*(N$3:N$77="")*(M$3:M$77="P")*(G$3:G$77=G57)*(J$3:J$77&lt;J57)*(H$3:H$77&lt;&gt;H57)),-1*SUMPRODUCT((P$3:P$77="")*(O$3:O$77="")*(N$3:N$77="")*(M$3:M$77="P")*(G$3:G$77=G57)*(J$3:J$77&gt;J57)*(H$3:H$77="L5")))+1,""))))</f>
        <v/>
      </c>
      <c r="C57" s="36" t="s">
        <v>550</v>
      </c>
      <c r="D57" s="36" t="str">
        <f>IF(E57="","",VLOOKUP(E57,'Coaching Points'!A:B,2,0))</f>
        <v>ON</v>
      </c>
      <c r="E57" s="36" t="s">
        <v>558</v>
      </c>
      <c r="F57" s="35">
        <v>2008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9" t="s">
        <v>66</v>
      </c>
      <c r="I57" s="43"/>
      <c r="J57" s="4">
        <f>R57+S57+IF(OR(H57="Junior",H57="Senior"),0.0002,IF(OR(H57="L7",H57="L6"),0.0001,0))+MAX(X57,Z57)*0.0000001</f>
        <v>75.700003809999998</v>
      </c>
      <c r="K57" s="3" t="str">
        <f>IF(G57="Not Age Eligible","",IF(MAX(T57,V57,X57,Z57)&gt;=LOOKUP(G57,'Qualifying Scores'!$A$4:$A$7,'Qualifying Scores'!$I$4:$I$7),"P",""))</f>
        <v/>
      </c>
      <c r="L57" s="3" t="str">
        <f>IF(G57="Not Age Eligible","",IF(MAX(U57,W57,Y57,AA57)&gt;=LOOKUP(G57,'Qualifying Scores'!$A$10:$A$13,'Qualifying Scores'!$I$10:$I$13),"P",""))</f>
        <v/>
      </c>
      <c r="M57" s="3" t="str">
        <f>IF(G57="Not Age Eligible","",IF(OR(AND(T57&gt;=LOOKUP(G57,'Qualifying Scores'!$A$4:$A$7,'Qualifying Scores'!$I$4:$I$7),U57&gt;=LOOKUP(G57,'Qualifying Scores'!$A$10:$A$13,'Qualifying Scores'!$I$10:$I$13)),AND(X57&gt;=LOOKUP(G57,'Qualifying Scores'!$A$4:$A$7,'Qualifying Scores'!$I$4:$I$7),Y57&gt;=LOOKUP(G57,'Qualifying Scores'!$A$10:$A$13,'Qualifying Scores'!$I$10:$I$13)),AND(V57&gt;=LOOKUP(G57,'Qualifying Scores'!$A$4:$A$7,'Qualifying Scores'!$I$4:$I$7),W57&gt;=LOOKUP(G57,'Qualifying Scores'!$A$10:$A$13,'Qualifying Scores'!$I$10:$I$13)),AND(Z57&gt;=LOOKUP(G57,'Qualifying Scores'!$A$4:$A$7,'Qualifying Scores'!$I$4:$I$7),AA57&gt;=LOOKUP(G57,'Qualifying Scores'!$A$10:$A$13,'Qualifying Scores'!$I$10:$I$13))),"P",""))</f>
        <v/>
      </c>
      <c r="Q57" s="1" t="str">
        <f>IF(A57&lt;5,IF(_xlfn.MAXIFS(A:A,G:G,G57)&gt;3,5-A57,_xlfn.MAXIFS(A:A,G:G,G57)+1-A57),"")</f>
        <v/>
      </c>
      <c r="R57" s="4">
        <f>MAX(T57,X57)</f>
        <v>37.6</v>
      </c>
      <c r="S57" s="4">
        <f>IF(R57=T57,MAX(V57,X57,Z57),IF(R57=X57,MAX(T57,V57,Z57),0))</f>
        <v>38.1</v>
      </c>
      <c r="T57" s="33"/>
      <c r="U57" s="40"/>
      <c r="V57" s="34"/>
      <c r="W57" s="40"/>
      <c r="X57" s="33">
        <v>37.6</v>
      </c>
      <c r="Y57" s="40">
        <v>4.5999999999999996</v>
      </c>
      <c r="Z57" s="34">
        <v>38.1</v>
      </c>
      <c r="AA57" s="37">
        <v>4.5999999999999996</v>
      </c>
    </row>
    <row r="58" spans="1:27" x14ac:dyDescent="0.2">
      <c r="A58" s="1" t="str" cm="1">
        <f t="array" ref="A58">IF(I58="","",IF(P58&lt;&gt;"",SUMPRODUCT((P$3:P$45&lt;&gt;"")*(G$3:G$45=G58)*(J$3:J$45&gt;J58)*(I$3:I$45="P"))+1,IF(O58&lt;&gt;"",SUMPRODUCT((O$3:O$45&lt;&gt;"")*(P$3:P$45="")*(G$3:G$45=G58)*(J$3:J$45&gt;J58)*(I$3:I$45="P"))+SUMPRODUCT((P$3:P$45&lt;&gt;"")*(G$3:G$45=G58)*(I$3:I$45="P"))+1,IF(N58&lt;&gt;"",SUMPRODUCT((N$3:N$45&lt;&gt;"")*(G$3:G$45=G58)*(J$3:J$45&gt;J58)*(I$3:I$45="P"))+1,IF(M58="P",SUMPRODUCT((O$3:O$45&lt;&gt;"")*(P$3:P$45="")*(G$3:G$45=G58)*(I$3:I$45="P"))+SUMPRODUCT((P$3:P$45&lt;&gt;"")*(G$3:G$45=G58)*(I$3:I$45="P"))+SUMPRODUCT((N$3:N$45&lt;&gt;"")*(G$3:G$45=G58)*(I$3:I$45="P"))+SUMPRODUCT((P$3:P$45="")*(O$3:O$45="")*(N$3:N$45="")*(M$3:M$45="P")*(G$3:G$45=G58)*(J$3:J$45&gt;J58)*(I$3:I$45="P"))+IF(H58="L5",SUMPRODUCT((P$3:P$45="")*(O$3:O$45="")*(N$3:N$45="")*(M$3:M$45="P")*(G$3:G$45=G58)*(J$3:J$45&lt;J58)*(H$3:H$45&lt;&gt;H58)*(I$3:I$45="P")),-1*SUMPRODUCT((P$3:P$45="")*(O$3:O$45="")*(N$3:N$45="")*(M$3:M$45="P")*(G$3:G$45=G58)*(J$3:J$45&gt;J58)*(H$3:H$45="L5")*(I$3:I$45="P")))+1,"")))))</f>
        <v/>
      </c>
      <c r="B58" s="1" t="str" cm="1">
        <f t="array" ref="B58">IF(P58&lt;&gt;"",SUMPRODUCT((P$3:P$77&lt;&gt;"")*(G$3:G$77=G58)*(J$3:J$77&gt;J58))+1,IF(O58&lt;&gt;"",SUMPRODUCT((O$3:O$77&lt;&gt;"")*(P$3:P$77="")*(G$3:G$77=G58)*(J$3:J$77&gt;J58))+SUMPRODUCT((P$3:P$77&lt;&gt;"")*(G$3:G$77=G58))+1,IF(N58&lt;&gt;"",SUMPRODUCT((N$3:N$77&lt;&gt;"")*(G$3:G$77=G58)*(J$3:J$77&gt;J58))+1,IF(M58="P",SUMPRODUCT((O$3:O$77&lt;&gt;"")*(P$3:P$77="")*(G$3:G$77=G58))+SUMPRODUCT((P$3:P$77&lt;&gt;"")*(G$3:G$77=G58))+SUMPRODUCT((N$3:N$77&lt;&gt;"")*(G$3:G$77=G58))+SUMPRODUCT((P$3:P$77="")*(O$3:O$77="")*(N$3:N$77="")*(M$3:M$77="P")*(G$3:G$77=G58)*(J$3:J$77&gt;J58))+IF(H58="L5",SUMPRODUCT((P$3:P$77="")*(O$3:O$77="")*(N$3:N$77="")*(M$3:M$77="P")*(G$3:G$77=G58)*(J$3:J$77&lt;J58)*(H$3:H$77&lt;&gt;H58)),-1*SUMPRODUCT((P$3:P$77="")*(O$3:O$77="")*(N$3:N$77="")*(M$3:M$77="P")*(G$3:G$77=G58)*(J$3:J$77&gt;J58)*(H$3:H$77="L5")))+1,""))))</f>
        <v/>
      </c>
      <c r="C58" s="36" t="s">
        <v>354</v>
      </c>
      <c r="D58" s="36" t="str">
        <f>IF(E58="","",VLOOKUP(E58,'Coaching Points'!A:B,2,0))</f>
        <v>SK</v>
      </c>
      <c r="E58" s="36" t="s">
        <v>60</v>
      </c>
      <c r="F58" s="35">
        <v>2007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9" t="s">
        <v>66</v>
      </c>
      <c r="I58" s="43"/>
      <c r="J58" s="4">
        <f>R58+S58+IF(OR(H58="Junior",H58="Senior"),0.0002,IF(OR(H58="L7",H58="L6"),0.0001,0))+MAX(X58,Z58)*0.0000001</f>
        <v>75.000003829999997</v>
      </c>
      <c r="K58" s="3" t="str">
        <f>IF(G58="Not Age Eligible","",IF(MAX(T58,V58,X58,Z58)&gt;=LOOKUP(G58,'Qualifying Scores'!$A$4:$A$7,'Qualifying Scores'!$I$4:$I$7),"P",""))</f>
        <v/>
      </c>
      <c r="L58" s="3" t="str">
        <f>IF(G58="Not Age Eligible","",IF(MAX(U58,W58,Y58,AA58)&gt;=LOOKUP(G58,'Qualifying Scores'!$A$10:$A$13,'Qualifying Scores'!$I$10:$I$13),"P",""))</f>
        <v/>
      </c>
      <c r="M58" s="3" t="str">
        <f>IF(G58="Not Age Eligible","",IF(OR(AND(T58&gt;=LOOKUP(G58,'Qualifying Scores'!$A$4:$A$7,'Qualifying Scores'!$I$4:$I$7),U58&gt;=LOOKUP(G58,'Qualifying Scores'!$A$10:$A$13,'Qualifying Scores'!$I$10:$I$13)),AND(X58&gt;=LOOKUP(G58,'Qualifying Scores'!$A$4:$A$7,'Qualifying Scores'!$I$4:$I$7),Y58&gt;=LOOKUP(G58,'Qualifying Scores'!$A$10:$A$13,'Qualifying Scores'!$I$10:$I$13)),AND(V58&gt;=LOOKUP(G58,'Qualifying Scores'!$A$4:$A$7,'Qualifying Scores'!$I$4:$I$7),W58&gt;=LOOKUP(G58,'Qualifying Scores'!$A$10:$A$13,'Qualifying Scores'!$I$10:$I$13)),AND(Z58&gt;=LOOKUP(G58,'Qualifying Scores'!$A$4:$A$7,'Qualifying Scores'!$I$4:$I$7),AA58&gt;=LOOKUP(G58,'Qualifying Scores'!$A$10:$A$13,'Qualifying Scores'!$I$10:$I$13))),"P",""))</f>
        <v/>
      </c>
      <c r="Q58" s="1" t="str">
        <f>IF(A58&lt;5,IF(_xlfn.MAXIFS(A:A,G:G,G58)&gt;3,5-A58,_xlfn.MAXIFS(A:A,G:G,G58)+1-A58),"")</f>
        <v/>
      </c>
      <c r="R58" s="4">
        <f>MAX(T58,X58)</f>
        <v>36.700000000000003</v>
      </c>
      <c r="S58" s="4">
        <f>IF(R58=T58,MAX(V58,X58,Z58),IF(R58=X58,MAX(T58,V58,Z58),0))</f>
        <v>38.299999999999997</v>
      </c>
      <c r="T58" s="33">
        <v>36.700000000000003</v>
      </c>
      <c r="U58" s="40">
        <v>4.8</v>
      </c>
      <c r="V58" s="34">
        <v>35.4</v>
      </c>
      <c r="W58" s="40">
        <v>3.6999999999999997</v>
      </c>
      <c r="X58" s="33">
        <v>35.6</v>
      </c>
      <c r="Y58" s="40">
        <v>4.4000000000000004</v>
      </c>
      <c r="Z58" s="34">
        <v>38.299999999999997</v>
      </c>
      <c r="AA58" s="37">
        <v>4.4000000000000004</v>
      </c>
    </row>
    <row r="59" spans="1:27" x14ac:dyDescent="0.2">
      <c r="A59" s="1" t="str" cm="1">
        <f t="array" ref="A59">IF(I59="","",IF(P59&lt;&gt;"",SUMPRODUCT((P$3:P$45&lt;&gt;"")*(G$3:G$45=G59)*(J$3:J$45&gt;J59)*(I$3:I$45="P"))+1,IF(O59&lt;&gt;"",SUMPRODUCT((O$3:O$45&lt;&gt;"")*(P$3:P$45="")*(G$3:G$45=G59)*(J$3:J$45&gt;J59)*(I$3:I$45="P"))+SUMPRODUCT((P$3:P$45&lt;&gt;"")*(G$3:G$45=G59)*(I$3:I$45="P"))+1,IF(N59&lt;&gt;"",SUMPRODUCT((N$3:N$45&lt;&gt;"")*(G$3:G$45=G59)*(J$3:J$45&gt;J59)*(I$3:I$45="P"))+1,IF(M59="P",SUMPRODUCT((O$3:O$45&lt;&gt;"")*(P$3:P$45="")*(G$3:G$45=G59)*(I$3:I$45="P"))+SUMPRODUCT((P$3:P$45&lt;&gt;"")*(G$3:G$45=G59)*(I$3:I$45="P"))+SUMPRODUCT((N$3:N$45&lt;&gt;"")*(G$3:G$45=G59)*(I$3:I$45="P"))+SUMPRODUCT((P$3:P$45="")*(O$3:O$45="")*(N$3:N$45="")*(M$3:M$45="P")*(G$3:G$45=G59)*(J$3:J$45&gt;J59)*(I$3:I$45="P"))+IF(H59="L5",SUMPRODUCT((P$3:P$45="")*(O$3:O$45="")*(N$3:N$45="")*(M$3:M$45="P")*(G$3:G$45=G59)*(J$3:J$45&lt;J59)*(H$3:H$45&lt;&gt;H59)*(I$3:I$45="P")),-1*SUMPRODUCT((P$3:P$45="")*(O$3:O$45="")*(N$3:N$45="")*(M$3:M$45="P")*(G$3:G$45=G59)*(J$3:J$45&gt;J59)*(H$3:H$45="L5")*(I$3:I$45="P")))+1,"")))))</f>
        <v/>
      </c>
      <c r="B59" s="1" t="str" cm="1">
        <f t="array" ref="B59">IF(P59&lt;&gt;"",SUMPRODUCT((P$3:P$77&lt;&gt;"")*(G$3:G$77=G59)*(J$3:J$77&gt;J59))+1,IF(O59&lt;&gt;"",SUMPRODUCT((O$3:O$77&lt;&gt;"")*(P$3:P$77="")*(G$3:G$77=G59)*(J$3:J$77&gt;J59))+SUMPRODUCT((P$3:P$77&lt;&gt;"")*(G$3:G$77=G59))+1,IF(N59&lt;&gt;"",SUMPRODUCT((N$3:N$77&lt;&gt;"")*(G$3:G$77=G59)*(J$3:J$77&gt;J59))+1,IF(M59="P",SUMPRODUCT((O$3:O$77&lt;&gt;"")*(P$3:P$77="")*(G$3:G$77=G59))+SUMPRODUCT((P$3:P$77&lt;&gt;"")*(G$3:G$77=G59))+SUMPRODUCT((N$3:N$77&lt;&gt;"")*(G$3:G$77=G59))+SUMPRODUCT((P$3:P$77="")*(O$3:O$77="")*(N$3:N$77="")*(M$3:M$77="P")*(G$3:G$77=G59)*(J$3:J$77&gt;J59))+IF(H59="L5",SUMPRODUCT((P$3:P$77="")*(O$3:O$77="")*(N$3:N$77="")*(M$3:M$77="P")*(G$3:G$77=G59)*(J$3:J$77&lt;J59)*(H$3:H$77&lt;&gt;H59)),-1*SUMPRODUCT((P$3:P$77="")*(O$3:O$77="")*(N$3:N$77="")*(M$3:M$77="P")*(G$3:G$77=G59)*(J$3:J$77&gt;J59)*(H$3:H$77="L5")))+1,""))))</f>
        <v/>
      </c>
      <c r="C59" s="36" t="s">
        <v>551</v>
      </c>
      <c r="D59" s="36" t="str">
        <f>IF(E59="","",VLOOKUP(E59,'Coaching Points'!A:B,2,0))</f>
        <v>ON</v>
      </c>
      <c r="E59" s="36" t="s">
        <v>162</v>
      </c>
      <c r="F59" s="35">
        <v>2007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9" t="s">
        <v>66</v>
      </c>
      <c r="I59" s="43"/>
      <c r="J59" s="4">
        <f>R59+S59+IF(OR(H59="Junior",H59="Senior"),0.0002,IF(OR(H59="L7",H59="L6"),0.0001,0))+MAX(X59,Z59)*0.0000001</f>
        <v>74.400003840000011</v>
      </c>
      <c r="K59" s="3" t="str">
        <f>IF(G59="Not Age Eligible","",IF(MAX(T59,V59,X59,Z59)&gt;=LOOKUP(G59,'Qualifying Scores'!$A$4:$A$7,'Qualifying Scores'!$I$4:$I$7),"P",""))</f>
        <v/>
      </c>
      <c r="L59" s="3" t="str">
        <f>IF(G59="Not Age Eligible","",IF(MAX(U59,W59,Y59,AA59)&gt;=LOOKUP(G59,'Qualifying Scores'!$A$10:$A$13,'Qualifying Scores'!$I$10:$I$13),"P",""))</f>
        <v/>
      </c>
      <c r="M59" s="3" t="str">
        <f>IF(G59="Not Age Eligible","",IF(OR(AND(T59&gt;=LOOKUP(G59,'Qualifying Scores'!$A$4:$A$7,'Qualifying Scores'!$I$4:$I$7),U59&gt;=LOOKUP(G59,'Qualifying Scores'!$A$10:$A$13,'Qualifying Scores'!$I$10:$I$13)),AND(X59&gt;=LOOKUP(G59,'Qualifying Scores'!$A$4:$A$7,'Qualifying Scores'!$I$4:$I$7),Y59&gt;=LOOKUP(G59,'Qualifying Scores'!$A$10:$A$13,'Qualifying Scores'!$I$10:$I$13)),AND(V59&gt;=LOOKUP(G59,'Qualifying Scores'!$A$4:$A$7,'Qualifying Scores'!$I$4:$I$7),W59&gt;=LOOKUP(G59,'Qualifying Scores'!$A$10:$A$13,'Qualifying Scores'!$I$10:$I$13)),AND(Z59&gt;=LOOKUP(G59,'Qualifying Scores'!$A$4:$A$7,'Qualifying Scores'!$I$4:$I$7),AA59&gt;=LOOKUP(G59,'Qualifying Scores'!$A$10:$A$13,'Qualifying Scores'!$I$10:$I$13))),"P",""))</f>
        <v/>
      </c>
      <c r="Q59" s="1" t="str">
        <f>IF(A59&lt;5,IF(_xlfn.MAXIFS(A:A,G:G,G59)&gt;3,5-A59,_xlfn.MAXIFS(A:A,G:G,G59)+1-A59),"")</f>
        <v/>
      </c>
      <c r="R59" s="4">
        <f>MAX(T59,X59)</f>
        <v>36</v>
      </c>
      <c r="S59" s="4">
        <f>IF(R59=T59,MAX(V59,X59,Z59),IF(R59=X59,MAX(T59,V59,Z59),0))</f>
        <v>38.4</v>
      </c>
      <c r="T59" s="33"/>
      <c r="U59" s="40"/>
      <c r="V59" s="34"/>
      <c r="W59" s="40"/>
      <c r="X59" s="33">
        <v>36</v>
      </c>
      <c r="Y59" s="40">
        <v>4.2</v>
      </c>
      <c r="Z59" s="34">
        <v>38.4</v>
      </c>
      <c r="AA59" s="37">
        <v>4.3000000000000007</v>
      </c>
    </row>
    <row r="60" spans="1:27" x14ac:dyDescent="0.2">
      <c r="A60" s="1" t="str" cm="1">
        <f t="array" ref="A60">IF(I60="","",IF(P60&lt;&gt;"",SUMPRODUCT((P$3:P$45&lt;&gt;"")*(G$3:G$45=G60)*(J$3:J$45&gt;J60)*(I$3:I$45="P"))+1,IF(O60&lt;&gt;"",SUMPRODUCT((O$3:O$45&lt;&gt;"")*(P$3:P$45="")*(G$3:G$45=G60)*(J$3:J$45&gt;J60)*(I$3:I$45="P"))+SUMPRODUCT((P$3:P$45&lt;&gt;"")*(G$3:G$45=G60)*(I$3:I$45="P"))+1,IF(N60&lt;&gt;"",SUMPRODUCT((N$3:N$45&lt;&gt;"")*(G$3:G$45=G60)*(J$3:J$45&gt;J60)*(I$3:I$45="P"))+1,IF(M60="P",SUMPRODUCT((O$3:O$45&lt;&gt;"")*(P$3:P$45="")*(G$3:G$45=G60)*(I$3:I$45="P"))+SUMPRODUCT((P$3:P$45&lt;&gt;"")*(G$3:G$45=G60)*(I$3:I$45="P"))+SUMPRODUCT((N$3:N$45&lt;&gt;"")*(G$3:G$45=G60)*(I$3:I$45="P"))+SUMPRODUCT((P$3:P$45="")*(O$3:O$45="")*(N$3:N$45="")*(M$3:M$45="P")*(G$3:G$45=G60)*(J$3:J$45&gt;J60)*(I$3:I$45="P"))+IF(H60="L5",SUMPRODUCT((P$3:P$45="")*(O$3:O$45="")*(N$3:N$45="")*(M$3:M$45="P")*(G$3:G$45=G60)*(J$3:J$45&lt;J60)*(H$3:H$45&lt;&gt;H60)*(I$3:I$45="P")),-1*SUMPRODUCT((P$3:P$45="")*(O$3:O$45="")*(N$3:N$45="")*(M$3:M$45="P")*(G$3:G$45=G60)*(J$3:J$45&gt;J60)*(H$3:H$45="L5")*(I$3:I$45="P")))+1,"")))))</f>
        <v/>
      </c>
      <c r="B60" s="1" t="str" cm="1">
        <f t="array" ref="B60">IF(P60&lt;&gt;"",SUMPRODUCT((P$3:P$77&lt;&gt;"")*(G$3:G$77=G60)*(J$3:J$77&gt;J60))+1,IF(O60&lt;&gt;"",SUMPRODUCT((O$3:O$77&lt;&gt;"")*(P$3:P$77="")*(G$3:G$77=G60)*(J$3:J$77&gt;J60))+SUMPRODUCT((P$3:P$77&lt;&gt;"")*(G$3:G$77=G60))+1,IF(N60&lt;&gt;"",SUMPRODUCT((N$3:N$77&lt;&gt;"")*(G$3:G$77=G60)*(J$3:J$77&gt;J60))+1,IF(M60="P",SUMPRODUCT((O$3:O$77&lt;&gt;"")*(P$3:P$77="")*(G$3:G$77=G60))+SUMPRODUCT((P$3:P$77&lt;&gt;"")*(G$3:G$77=G60))+SUMPRODUCT((N$3:N$77&lt;&gt;"")*(G$3:G$77=G60))+SUMPRODUCT((P$3:P$77="")*(O$3:O$77="")*(N$3:N$77="")*(M$3:M$77="P")*(G$3:G$77=G60)*(J$3:J$77&gt;J60))+IF(H60="L5",SUMPRODUCT((P$3:P$77="")*(O$3:O$77="")*(N$3:N$77="")*(M$3:M$77="P")*(G$3:G$77=G60)*(J$3:J$77&lt;J60)*(H$3:H$77&lt;&gt;H60)),-1*SUMPRODUCT((P$3:P$77="")*(O$3:O$77="")*(N$3:N$77="")*(M$3:M$77="P")*(G$3:G$77=G60)*(J$3:J$77&gt;J60)*(H$3:H$77="L5")))+1,""))))</f>
        <v/>
      </c>
      <c r="C60" s="36" t="s">
        <v>552</v>
      </c>
      <c r="D60" s="36" t="str">
        <f>IF(E60="","",VLOOKUP(E60,'Coaching Points'!A:B,2,0))</f>
        <v>AB</v>
      </c>
      <c r="E60" s="36" t="s">
        <v>63</v>
      </c>
      <c r="F60" s="35">
        <v>2008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9" t="s">
        <v>66</v>
      </c>
      <c r="I60" s="43" t="s">
        <v>567</v>
      </c>
      <c r="J60" s="4">
        <f>R60+S60+IF(OR(H60="Junior",H60="Senior"),0.0002,IF(OR(H60="L7",H60="L6"),0.0001,0))+MAX(X60,Z60)*0.0000001</f>
        <v>73.000003849999999</v>
      </c>
      <c r="K60" s="3" t="str">
        <f>IF(G60="Not Age Eligible","",IF(MAX(T60,V60,X60,Z60)&gt;=LOOKUP(G60,'Qualifying Scores'!$A$4:$A$7,'Qualifying Scores'!$I$4:$I$7),"P",""))</f>
        <v/>
      </c>
      <c r="L60" s="3" t="str">
        <f>IF(G60="Not Age Eligible","",IF(MAX(U60,W60,Y60,AA60)&gt;=LOOKUP(G60,'Qualifying Scores'!$A$10:$A$13,'Qualifying Scores'!$I$10:$I$13),"P",""))</f>
        <v/>
      </c>
      <c r="M60" s="3" t="str">
        <f>IF(G60="Not Age Eligible","",IF(OR(AND(T60&gt;=LOOKUP(G60,'Qualifying Scores'!$A$4:$A$7,'Qualifying Scores'!$I$4:$I$7),U60&gt;=LOOKUP(G60,'Qualifying Scores'!$A$10:$A$13,'Qualifying Scores'!$I$10:$I$13)),AND(X60&gt;=LOOKUP(G60,'Qualifying Scores'!$A$4:$A$7,'Qualifying Scores'!$I$4:$I$7),Y60&gt;=LOOKUP(G60,'Qualifying Scores'!$A$10:$A$13,'Qualifying Scores'!$I$10:$I$13)),AND(V60&gt;=LOOKUP(G60,'Qualifying Scores'!$A$4:$A$7,'Qualifying Scores'!$I$4:$I$7),W60&gt;=LOOKUP(G60,'Qualifying Scores'!$A$10:$A$13,'Qualifying Scores'!$I$10:$I$13)),AND(Z60&gt;=LOOKUP(G60,'Qualifying Scores'!$A$4:$A$7,'Qualifying Scores'!$I$4:$I$7),AA60&gt;=LOOKUP(G60,'Qualifying Scores'!$A$10:$A$13,'Qualifying Scores'!$I$10:$I$13))),"P",""))</f>
        <v/>
      </c>
      <c r="Q60" s="1" t="str">
        <f>IF(A60&lt;5,IF(_xlfn.MAXIFS(A:A,G:G,G60)&gt;3,5-A60,_xlfn.MAXIFS(A:A,G:G,G60)+1-A60),"")</f>
        <v/>
      </c>
      <c r="R60" s="4">
        <f>MAX(T60,X60)</f>
        <v>34.5</v>
      </c>
      <c r="S60" s="4">
        <f>IF(R60=T60,MAX(V60,X60,Z60),IF(R60=X60,MAX(T60,V60,Z60),0))</f>
        <v>38.5</v>
      </c>
      <c r="T60" s="33"/>
      <c r="U60" s="40"/>
      <c r="V60" s="34"/>
      <c r="W60" s="40"/>
      <c r="X60" s="33">
        <v>34.5</v>
      </c>
      <c r="Y60" s="40">
        <v>4</v>
      </c>
      <c r="Z60" s="34">
        <v>38.5</v>
      </c>
      <c r="AA60" s="37">
        <v>5.8</v>
      </c>
    </row>
    <row r="61" spans="1:27" x14ac:dyDescent="0.2">
      <c r="A61" s="1" t="str" cm="1">
        <f t="array" ref="A61">IF(I61="","",IF(P61&lt;&gt;"",SUMPRODUCT((P$3:P$45&lt;&gt;"")*(G$3:G$45=G61)*(J$3:J$45&gt;J61)*(I$3:I$45="P"))+1,IF(O61&lt;&gt;"",SUMPRODUCT((O$3:O$45&lt;&gt;"")*(P$3:P$45="")*(G$3:G$45=G61)*(J$3:J$45&gt;J61)*(I$3:I$45="P"))+SUMPRODUCT((P$3:P$45&lt;&gt;"")*(G$3:G$45=G61)*(I$3:I$45="P"))+1,IF(N61&lt;&gt;"",SUMPRODUCT((N$3:N$45&lt;&gt;"")*(G$3:G$45=G61)*(J$3:J$45&gt;J61)*(I$3:I$45="P"))+1,IF(M61="P",SUMPRODUCT((O$3:O$45&lt;&gt;"")*(P$3:P$45="")*(G$3:G$45=G61)*(I$3:I$45="P"))+SUMPRODUCT((P$3:P$45&lt;&gt;"")*(G$3:G$45=G61)*(I$3:I$45="P"))+SUMPRODUCT((N$3:N$45&lt;&gt;"")*(G$3:G$45=G61)*(I$3:I$45="P"))+SUMPRODUCT((P$3:P$45="")*(O$3:O$45="")*(N$3:N$45="")*(M$3:M$45="P")*(G$3:G$45=G61)*(J$3:J$45&gt;J61)*(I$3:I$45="P"))+IF(H61="L5",SUMPRODUCT((P$3:P$45="")*(O$3:O$45="")*(N$3:N$45="")*(M$3:M$45="P")*(G$3:G$45=G61)*(J$3:J$45&lt;J61)*(H$3:H$45&lt;&gt;H61)*(I$3:I$45="P")),-1*SUMPRODUCT((P$3:P$45="")*(O$3:O$45="")*(N$3:N$45="")*(M$3:M$45="P")*(G$3:G$45=G61)*(J$3:J$45&gt;J61)*(H$3:H$45="L5")*(I$3:I$45="P")))+1,"")))))</f>
        <v/>
      </c>
      <c r="B61" s="1" t="str" cm="1">
        <f t="array" ref="B61">IF(P61&lt;&gt;"",SUMPRODUCT((P$3:P$77&lt;&gt;"")*(G$3:G$77=G61)*(J$3:J$77&gt;J61))+1,IF(O61&lt;&gt;"",SUMPRODUCT((O$3:O$77&lt;&gt;"")*(P$3:P$77="")*(G$3:G$77=G61)*(J$3:J$77&gt;J61))+SUMPRODUCT((P$3:P$77&lt;&gt;"")*(G$3:G$77=G61))+1,IF(N61&lt;&gt;"",SUMPRODUCT((N$3:N$77&lt;&gt;"")*(G$3:G$77=G61)*(J$3:J$77&gt;J61))+1,IF(M61="P",SUMPRODUCT((O$3:O$77&lt;&gt;"")*(P$3:P$77="")*(G$3:G$77=G61))+SUMPRODUCT((P$3:P$77&lt;&gt;"")*(G$3:G$77=G61))+SUMPRODUCT((N$3:N$77&lt;&gt;"")*(G$3:G$77=G61))+SUMPRODUCT((P$3:P$77="")*(O$3:O$77="")*(N$3:N$77="")*(M$3:M$77="P")*(G$3:G$77=G61)*(J$3:J$77&gt;J61))+IF(H61="L5",SUMPRODUCT((P$3:P$77="")*(O$3:O$77="")*(N$3:N$77="")*(M$3:M$77="P")*(G$3:G$77=G61)*(J$3:J$77&lt;J61)*(H$3:H$77&lt;&gt;H61)),-1*SUMPRODUCT((P$3:P$77="")*(O$3:O$77="")*(N$3:N$77="")*(M$3:M$77="P")*(G$3:G$77=G61)*(J$3:J$77&gt;J61)*(H$3:H$77="L5")))+1,""))))</f>
        <v/>
      </c>
      <c r="C61" s="36" t="s">
        <v>265</v>
      </c>
      <c r="D61" s="36" t="str">
        <f>IF(E61="","",VLOOKUP(E61,'Coaching Points'!A:B,2,0))</f>
        <v>ON</v>
      </c>
      <c r="E61" s="36" t="s">
        <v>47</v>
      </c>
      <c r="F61" s="35">
        <v>2007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9" t="s">
        <v>66</v>
      </c>
      <c r="I61" s="43"/>
      <c r="J61" s="4">
        <f>R61+S61+IF(OR(H61="Junior",H61="Senior"),0.0002,IF(OR(H61="L7",H61="L6"),0.0001,0))+MAX(X61,Z61)*0.0000001</f>
        <v>71.600003209999997</v>
      </c>
      <c r="K61" s="3" t="str">
        <f>IF(G61="Not Age Eligible","",IF(MAX(T61,V61,X61,Z61)&gt;=LOOKUP(G61,'Qualifying Scores'!$A$4:$A$7,'Qualifying Scores'!$I$4:$I$7),"P",""))</f>
        <v/>
      </c>
      <c r="L61" s="3" t="str">
        <f>IF(G61="Not Age Eligible","",IF(MAX(U61,W61,Y61,AA61)&gt;=LOOKUP(G61,'Qualifying Scores'!$A$10:$A$13,'Qualifying Scores'!$I$10:$I$13),"P",""))</f>
        <v/>
      </c>
      <c r="M61" s="3" t="str">
        <f>IF(G61="Not Age Eligible","",IF(OR(AND(T61&gt;=LOOKUP(G61,'Qualifying Scores'!$A$4:$A$7,'Qualifying Scores'!$I$4:$I$7),U61&gt;=LOOKUP(G61,'Qualifying Scores'!$A$10:$A$13,'Qualifying Scores'!$I$10:$I$13)),AND(X61&gt;=LOOKUP(G61,'Qualifying Scores'!$A$4:$A$7,'Qualifying Scores'!$I$4:$I$7),Y61&gt;=LOOKUP(G61,'Qualifying Scores'!$A$10:$A$13,'Qualifying Scores'!$I$10:$I$13)),AND(V61&gt;=LOOKUP(G61,'Qualifying Scores'!$A$4:$A$7,'Qualifying Scores'!$I$4:$I$7),W61&gt;=LOOKUP(G61,'Qualifying Scores'!$A$10:$A$13,'Qualifying Scores'!$I$10:$I$13)),AND(Z61&gt;=LOOKUP(G61,'Qualifying Scores'!$A$4:$A$7,'Qualifying Scores'!$I$4:$I$7),AA61&gt;=LOOKUP(G61,'Qualifying Scores'!$A$10:$A$13,'Qualifying Scores'!$I$10:$I$13))),"P",""))</f>
        <v/>
      </c>
      <c r="Q61" s="1" t="str">
        <f>IF(A61&lt;5,IF(_xlfn.MAXIFS(A:A,G:G,G61)&gt;3,5-A61,_xlfn.MAXIFS(A:A,G:G,G61)+1-A61),"")</f>
        <v/>
      </c>
      <c r="R61" s="4">
        <f>MAX(T61,X61)</f>
        <v>37.5</v>
      </c>
      <c r="S61" s="4">
        <f>IF(R61=T61,MAX(V61,X61,Z61),IF(R61=X61,MAX(T61,V61,Z61),0))</f>
        <v>34.1</v>
      </c>
      <c r="T61" s="33">
        <v>37.5</v>
      </c>
      <c r="U61" s="40">
        <v>4.4000000000000004</v>
      </c>
      <c r="V61" s="34">
        <v>34.1</v>
      </c>
      <c r="W61" s="40">
        <v>4.2</v>
      </c>
      <c r="X61" s="33">
        <v>32.1</v>
      </c>
      <c r="Y61" s="40">
        <v>3.4000000000000004</v>
      </c>
      <c r="Z61" s="34"/>
      <c r="AA61" s="37"/>
    </row>
    <row r="62" spans="1:27" x14ac:dyDescent="0.2">
      <c r="A62" s="1" t="str" cm="1">
        <f t="array" ref="A62">IF(I62="","",IF(P62&lt;&gt;"",SUMPRODUCT((P$3:P$45&lt;&gt;"")*(G$3:G$45=G62)*(J$3:J$45&gt;J62)*(I$3:I$45="P"))+1,IF(O62&lt;&gt;"",SUMPRODUCT((O$3:O$45&lt;&gt;"")*(P$3:P$45="")*(G$3:G$45=G62)*(J$3:J$45&gt;J62)*(I$3:I$45="P"))+SUMPRODUCT((P$3:P$45&lt;&gt;"")*(G$3:G$45=G62)*(I$3:I$45="P"))+1,IF(N62&lt;&gt;"",SUMPRODUCT((N$3:N$45&lt;&gt;"")*(G$3:G$45=G62)*(J$3:J$45&gt;J62)*(I$3:I$45="P"))+1,IF(M62="P",SUMPRODUCT((O$3:O$45&lt;&gt;"")*(P$3:P$45="")*(G$3:G$45=G62)*(I$3:I$45="P"))+SUMPRODUCT((P$3:P$45&lt;&gt;"")*(G$3:G$45=G62)*(I$3:I$45="P"))+SUMPRODUCT((N$3:N$45&lt;&gt;"")*(G$3:G$45=G62)*(I$3:I$45="P"))+SUMPRODUCT((P$3:P$45="")*(O$3:O$45="")*(N$3:N$45="")*(M$3:M$45="P")*(G$3:G$45=G62)*(J$3:J$45&gt;J62)*(I$3:I$45="P"))+IF(H62="L5",SUMPRODUCT((P$3:P$45="")*(O$3:O$45="")*(N$3:N$45="")*(M$3:M$45="P")*(G$3:G$45=G62)*(J$3:J$45&lt;J62)*(H$3:H$45&lt;&gt;H62)*(I$3:I$45="P")),-1*SUMPRODUCT((P$3:P$45="")*(O$3:O$45="")*(N$3:N$45="")*(M$3:M$45="P")*(G$3:G$45=G62)*(J$3:J$45&gt;J62)*(H$3:H$45="L5")*(I$3:I$45="P")))+1,"")))))</f>
        <v/>
      </c>
      <c r="B62" s="1" t="str" cm="1">
        <f t="array" ref="B62">IF(P62&lt;&gt;"",SUMPRODUCT((P$3:P$77&lt;&gt;"")*(G$3:G$77=G62)*(J$3:J$77&gt;J62))+1,IF(O62&lt;&gt;"",SUMPRODUCT((O$3:O$77&lt;&gt;"")*(P$3:P$77="")*(G$3:G$77=G62)*(J$3:J$77&gt;J62))+SUMPRODUCT((P$3:P$77&lt;&gt;"")*(G$3:G$77=G62))+1,IF(N62&lt;&gt;"",SUMPRODUCT((N$3:N$77&lt;&gt;"")*(G$3:G$77=G62)*(J$3:J$77&gt;J62))+1,IF(M62="P",SUMPRODUCT((O$3:O$77&lt;&gt;"")*(P$3:P$77="")*(G$3:G$77=G62))+SUMPRODUCT((P$3:P$77&lt;&gt;"")*(G$3:G$77=G62))+SUMPRODUCT((N$3:N$77&lt;&gt;"")*(G$3:G$77=G62))+SUMPRODUCT((P$3:P$77="")*(O$3:O$77="")*(N$3:N$77="")*(M$3:M$77="P")*(G$3:G$77=G62)*(J$3:J$77&gt;J62))+IF(H62="L5",SUMPRODUCT((P$3:P$77="")*(O$3:O$77="")*(N$3:N$77="")*(M$3:M$77="P")*(G$3:G$77=G62)*(J$3:J$77&lt;J62)*(H$3:H$77&lt;&gt;H62)),-1*SUMPRODUCT((P$3:P$77="")*(O$3:O$77="")*(N$3:N$77="")*(M$3:M$77="P")*(G$3:G$77=G62)*(J$3:J$77&gt;J62)*(H$3:H$77="L5")))+1,""))))</f>
        <v/>
      </c>
      <c r="C62" s="36" t="s">
        <v>302</v>
      </c>
      <c r="D62" s="36" t="str">
        <f>IF(E62="","",VLOOKUP(E62,'Coaching Points'!A:B,2,0))</f>
        <v>AB</v>
      </c>
      <c r="E62" s="36" t="s">
        <v>58</v>
      </c>
      <c r="F62" s="35">
        <v>2008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9" t="s">
        <v>66</v>
      </c>
      <c r="I62" s="43" t="s">
        <v>567</v>
      </c>
      <c r="J62" s="4">
        <f>R62+S62+IF(OR(H62="Junior",H62="Senior"),0.0002,IF(OR(H62="L7",H62="L6"),0.0001,0))+MAX(X62,Z62)*0.0000001</f>
        <v>66.100003340000001</v>
      </c>
      <c r="K62" s="3" t="str">
        <f>IF(G62="Not Age Eligible","",IF(MAX(T62,V62,X62,Z62)&gt;=LOOKUP(G62,'Qualifying Scores'!$A$4:$A$7,'Qualifying Scores'!$I$4:$I$7),"P",""))</f>
        <v/>
      </c>
      <c r="L62" s="3" t="str">
        <f>IF(G62="Not Age Eligible","",IF(MAX(U62,W62,Y62,AA62)&gt;=LOOKUP(G62,'Qualifying Scores'!$A$10:$A$13,'Qualifying Scores'!$I$10:$I$13),"P",""))</f>
        <v/>
      </c>
      <c r="M62" s="3" t="str">
        <f>IF(G62="Not Age Eligible","",IF(OR(AND(T62&gt;=LOOKUP(G62,'Qualifying Scores'!$A$4:$A$7,'Qualifying Scores'!$I$4:$I$7),U62&gt;=LOOKUP(G62,'Qualifying Scores'!$A$10:$A$13,'Qualifying Scores'!$I$10:$I$13)),AND(X62&gt;=LOOKUP(G62,'Qualifying Scores'!$A$4:$A$7,'Qualifying Scores'!$I$4:$I$7),Y62&gt;=LOOKUP(G62,'Qualifying Scores'!$A$10:$A$13,'Qualifying Scores'!$I$10:$I$13)),AND(V62&gt;=LOOKUP(G62,'Qualifying Scores'!$A$4:$A$7,'Qualifying Scores'!$I$4:$I$7),W62&gt;=LOOKUP(G62,'Qualifying Scores'!$A$10:$A$13,'Qualifying Scores'!$I$10:$I$13)),AND(Z62&gt;=LOOKUP(G62,'Qualifying Scores'!$A$4:$A$7,'Qualifying Scores'!$I$4:$I$7),AA62&gt;=LOOKUP(G62,'Qualifying Scores'!$A$10:$A$13,'Qualifying Scores'!$I$10:$I$13))),"P",""))</f>
        <v/>
      </c>
      <c r="Q62" s="1" t="str">
        <f>IF(A62&lt;5,IF(_xlfn.MAXIFS(A:A,G:G,G62)&gt;3,5-A62,_xlfn.MAXIFS(A:A,G:G,G62)+1-A62),"")</f>
        <v/>
      </c>
      <c r="R62" s="4">
        <f>MAX(T62,X62)</f>
        <v>33.4</v>
      </c>
      <c r="S62" s="4">
        <f>IF(R62=T62,MAX(V62,X62,Z62),IF(R62=X62,MAX(T62,V62,Z62),0))</f>
        <v>32.700000000000003</v>
      </c>
      <c r="T62" s="33"/>
      <c r="U62" s="40"/>
      <c r="V62" s="34"/>
      <c r="W62" s="40"/>
      <c r="X62" s="33">
        <v>33.4</v>
      </c>
      <c r="Y62" s="40">
        <v>4.3</v>
      </c>
      <c r="Z62" s="34">
        <v>32.700000000000003</v>
      </c>
      <c r="AA62" s="37">
        <v>4.3</v>
      </c>
    </row>
    <row r="63" spans="1:27" x14ac:dyDescent="0.2">
      <c r="A63" s="1" t="str" cm="1">
        <f t="array" ref="A63">IF(I63="","",IF(P63&lt;&gt;"",SUMPRODUCT((P$3:P$45&lt;&gt;"")*(G$3:G$45=G63)*(J$3:J$45&gt;J63)*(I$3:I$45="P"))+1,IF(O63&lt;&gt;"",SUMPRODUCT((O$3:O$45&lt;&gt;"")*(P$3:P$45="")*(G$3:G$45=G63)*(J$3:J$45&gt;J63)*(I$3:I$45="P"))+SUMPRODUCT((P$3:P$45&lt;&gt;"")*(G$3:G$45=G63)*(I$3:I$45="P"))+1,IF(N63&lt;&gt;"",SUMPRODUCT((N$3:N$45&lt;&gt;"")*(G$3:G$45=G63)*(J$3:J$45&gt;J63)*(I$3:I$45="P"))+1,IF(M63="P",SUMPRODUCT((O$3:O$45&lt;&gt;"")*(P$3:P$45="")*(G$3:G$45=G63)*(I$3:I$45="P"))+SUMPRODUCT((P$3:P$45&lt;&gt;"")*(G$3:G$45=G63)*(I$3:I$45="P"))+SUMPRODUCT((N$3:N$45&lt;&gt;"")*(G$3:G$45=G63)*(I$3:I$45="P"))+SUMPRODUCT((P$3:P$45="")*(O$3:O$45="")*(N$3:N$45="")*(M$3:M$45="P")*(G$3:G$45=G63)*(J$3:J$45&gt;J63)*(I$3:I$45="P"))+IF(H63="L5",SUMPRODUCT((P$3:P$45="")*(O$3:O$45="")*(N$3:N$45="")*(M$3:M$45="P")*(G$3:G$45=G63)*(J$3:J$45&lt;J63)*(H$3:H$45&lt;&gt;H63)*(I$3:I$45="P")),-1*SUMPRODUCT((P$3:P$45="")*(O$3:O$45="")*(N$3:N$45="")*(M$3:M$45="P")*(G$3:G$45=G63)*(J$3:J$45&gt;J63)*(H$3:H$45="L5")*(I$3:I$45="P")))+1,"")))))</f>
        <v/>
      </c>
      <c r="B63" s="1" t="str" cm="1">
        <f t="array" ref="B63">IF(P63&lt;&gt;"",SUMPRODUCT((P$3:P$77&lt;&gt;"")*(G$3:G$77=G63)*(J$3:J$77&gt;J63))+1,IF(O63&lt;&gt;"",SUMPRODUCT((O$3:O$77&lt;&gt;"")*(P$3:P$77="")*(G$3:G$77=G63)*(J$3:J$77&gt;J63))+SUMPRODUCT((P$3:P$77&lt;&gt;"")*(G$3:G$77=G63))+1,IF(N63&lt;&gt;"",SUMPRODUCT((N$3:N$77&lt;&gt;"")*(G$3:G$77=G63)*(J$3:J$77&gt;J63))+1,IF(M63="P",SUMPRODUCT((O$3:O$77&lt;&gt;"")*(P$3:P$77="")*(G$3:G$77=G63))+SUMPRODUCT((P$3:P$77&lt;&gt;"")*(G$3:G$77=G63))+SUMPRODUCT((N$3:N$77&lt;&gt;"")*(G$3:G$77=G63))+SUMPRODUCT((P$3:P$77="")*(O$3:O$77="")*(N$3:N$77="")*(M$3:M$77="P")*(G$3:G$77=G63)*(J$3:J$77&gt;J63))+IF(H63="L5",SUMPRODUCT((P$3:P$77="")*(O$3:O$77="")*(N$3:N$77="")*(M$3:M$77="P")*(G$3:G$77=G63)*(J$3:J$77&lt;J63)*(H$3:H$77&lt;&gt;H63)),-1*SUMPRODUCT((P$3:P$77="")*(O$3:O$77="")*(N$3:N$77="")*(M$3:M$77="P")*(G$3:G$77=G63)*(J$3:J$77&gt;J63)*(H$3:H$77="L5")))+1,""))))</f>
        <v/>
      </c>
      <c r="C63" s="36" t="s">
        <v>264</v>
      </c>
      <c r="D63" s="36" t="str">
        <f>IF(E63="","",VLOOKUP(E63,'Coaching Points'!A:B,2,0))</f>
        <v>BC</v>
      </c>
      <c r="E63" s="36" t="s">
        <v>62</v>
      </c>
      <c r="F63" s="35">
        <v>2007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9" t="s">
        <v>66</v>
      </c>
      <c r="I63" s="43"/>
      <c r="J63" s="4">
        <f>R63+S63+IF(OR(H63="Junior",H63="Senior"),0.0002,IF(OR(H63="L7",H63="L6"),0.0001,0))+MAX(X63,Z63)*0.0000001</f>
        <v>64.699999999999989</v>
      </c>
      <c r="K63" s="3" t="str">
        <f>IF(G63="Not Age Eligible","",IF(MAX(T63,V63,X63,Z63)&gt;=LOOKUP(G63,'Qualifying Scores'!$A$4:$A$7,'Qualifying Scores'!$I$4:$I$7),"P",""))</f>
        <v/>
      </c>
      <c r="L63" s="3" t="str">
        <f>IF(G63="Not Age Eligible","",IF(MAX(U63,W63,Y63,AA63)&gt;=LOOKUP(G63,'Qualifying Scores'!$A$10:$A$13,'Qualifying Scores'!$I$10:$I$13),"P",""))</f>
        <v/>
      </c>
      <c r="M63" s="3" t="str">
        <f>IF(G63="Not Age Eligible","",IF(OR(AND(T63&gt;=LOOKUP(G63,'Qualifying Scores'!$A$4:$A$7,'Qualifying Scores'!$I$4:$I$7),U63&gt;=LOOKUP(G63,'Qualifying Scores'!$A$10:$A$13,'Qualifying Scores'!$I$10:$I$13)),AND(X63&gt;=LOOKUP(G63,'Qualifying Scores'!$A$4:$A$7,'Qualifying Scores'!$I$4:$I$7),Y63&gt;=LOOKUP(G63,'Qualifying Scores'!$A$10:$A$13,'Qualifying Scores'!$I$10:$I$13)),AND(V63&gt;=LOOKUP(G63,'Qualifying Scores'!$A$4:$A$7,'Qualifying Scores'!$I$4:$I$7),W63&gt;=LOOKUP(G63,'Qualifying Scores'!$A$10:$A$13,'Qualifying Scores'!$I$10:$I$13)),AND(Z63&gt;=LOOKUP(G63,'Qualifying Scores'!$A$4:$A$7,'Qualifying Scores'!$I$4:$I$7),AA63&gt;=LOOKUP(G63,'Qualifying Scores'!$A$10:$A$13,'Qualifying Scores'!$I$10:$I$13))),"P",""))</f>
        <v/>
      </c>
      <c r="Q63" s="1" t="str">
        <f>IF(A63&lt;5,IF(_xlfn.MAXIFS(A:A,G:G,G63)&gt;3,5-A63,_xlfn.MAXIFS(A:A,G:G,G63)+1-A63),"")</f>
        <v/>
      </c>
      <c r="R63" s="4">
        <f>MAX(T63,X63)</f>
        <v>34.799999999999997</v>
      </c>
      <c r="S63" s="4">
        <f>IF(R63=T63,MAX(V63,X63,Z63),IF(R63=X63,MAX(T63,V63,Z63),0))</f>
        <v>29.9</v>
      </c>
      <c r="T63" s="33">
        <v>34.799999999999997</v>
      </c>
      <c r="U63" s="40">
        <v>3.9000000000000004</v>
      </c>
      <c r="V63" s="34">
        <v>29.9</v>
      </c>
      <c r="W63" s="40">
        <v>3.0999999999999996</v>
      </c>
      <c r="X63" s="33"/>
      <c r="Y63" s="40"/>
      <c r="Z63" s="34"/>
      <c r="AA63" s="37"/>
    </row>
    <row r="64" spans="1:27" x14ac:dyDescent="0.2">
      <c r="A64" s="1" t="str" cm="1">
        <f t="array" ref="A64">IF(I64="","",IF(P64&lt;&gt;"",SUMPRODUCT((P$3:P$45&lt;&gt;"")*(G$3:G$45=G64)*(J$3:J$45&gt;J64)*(I$3:I$45="P"))+1,IF(O64&lt;&gt;"",SUMPRODUCT((O$3:O$45&lt;&gt;"")*(P$3:P$45="")*(G$3:G$45=G64)*(J$3:J$45&gt;J64)*(I$3:I$45="P"))+SUMPRODUCT((P$3:P$45&lt;&gt;"")*(G$3:G$45=G64)*(I$3:I$45="P"))+1,IF(N64&lt;&gt;"",SUMPRODUCT((N$3:N$45&lt;&gt;"")*(G$3:G$45=G64)*(J$3:J$45&gt;J64)*(I$3:I$45="P"))+1,IF(M64="P",SUMPRODUCT((O$3:O$45&lt;&gt;"")*(P$3:P$45="")*(G$3:G$45=G64)*(I$3:I$45="P"))+SUMPRODUCT((P$3:P$45&lt;&gt;"")*(G$3:G$45=G64)*(I$3:I$45="P"))+SUMPRODUCT((N$3:N$45&lt;&gt;"")*(G$3:G$45=G64)*(I$3:I$45="P"))+SUMPRODUCT((P$3:P$45="")*(O$3:O$45="")*(N$3:N$45="")*(M$3:M$45="P")*(G$3:G$45=G64)*(J$3:J$45&gt;J64)*(I$3:I$45="P"))+IF(H64="L5",SUMPRODUCT((P$3:P$45="")*(O$3:O$45="")*(N$3:N$45="")*(M$3:M$45="P")*(G$3:G$45=G64)*(J$3:J$45&lt;J64)*(H$3:H$45&lt;&gt;H64)*(I$3:I$45="P")),-1*SUMPRODUCT((P$3:P$45="")*(O$3:O$45="")*(N$3:N$45="")*(M$3:M$45="P")*(G$3:G$45=G64)*(J$3:J$45&gt;J64)*(H$3:H$45="L5")*(I$3:I$45="P")))+1,"")))))</f>
        <v/>
      </c>
      <c r="B64" s="1" t="str" cm="1">
        <f t="array" ref="B64">IF(P64&lt;&gt;"",SUMPRODUCT((P$3:P$77&lt;&gt;"")*(G$3:G$77=G64)*(J$3:J$77&gt;J64))+1,IF(O64&lt;&gt;"",SUMPRODUCT((O$3:O$77&lt;&gt;"")*(P$3:P$77="")*(G$3:G$77=G64)*(J$3:J$77&gt;J64))+SUMPRODUCT((P$3:P$77&lt;&gt;"")*(G$3:G$77=G64))+1,IF(N64&lt;&gt;"",SUMPRODUCT((N$3:N$77&lt;&gt;"")*(G$3:G$77=G64)*(J$3:J$77&gt;J64))+1,IF(M64="P",SUMPRODUCT((O$3:O$77&lt;&gt;"")*(P$3:P$77="")*(G$3:G$77=G64))+SUMPRODUCT((P$3:P$77&lt;&gt;"")*(G$3:G$77=G64))+SUMPRODUCT((N$3:N$77&lt;&gt;"")*(G$3:G$77=G64))+SUMPRODUCT((P$3:P$77="")*(O$3:O$77="")*(N$3:N$77="")*(M$3:M$77="P")*(G$3:G$77=G64)*(J$3:J$77&gt;J64))+IF(H64="L5",SUMPRODUCT((P$3:P$77="")*(O$3:O$77="")*(N$3:N$77="")*(M$3:M$77="P")*(G$3:G$77=G64)*(J$3:J$77&lt;J64)*(H$3:H$77&lt;&gt;H64)),-1*SUMPRODUCT((P$3:P$77="")*(O$3:O$77="")*(N$3:N$77="")*(M$3:M$77="P")*(G$3:G$77=G64)*(J$3:J$77&gt;J64)*(H$3:H$77="L5")))+1,""))))</f>
        <v/>
      </c>
      <c r="C64" s="36" t="s">
        <v>553</v>
      </c>
      <c r="D64" s="36" t="str">
        <f>IF(E64="","",VLOOKUP(E64,'Coaching Points'!A:B,2,0))</f>
        <v>AB</v>
      </c>
      <c r="E64" s="36" t="s">
        <v>421</v>
      </c>
      <c r="F64" s="35">
        <v>2007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66</v>
      </c>
      <c r="I64" s="43"/>
      <c r="J64" s="4">
        <f>R64+S64+IF(OR(H64="Junior",H64="Senior"),0.0002,IF(OR(H64="L7",H64="L6"),0.0001,0))+MAX(X64,Z64)*0.0000001</f>
        <v>32.600003260000001</v>
      </c>
      <c r="K64" s="3" t="str">
        <f>IF(G64="Not Age Eligible","",IF(MAX(T64,V64,X64,Z64)&gt;=LOOKUP(G64,'Qualifying Scores'!$A$4:$A$7,'Qualifying Scores'!$I$4:$I$7),"P",""))</f>
        <v/>
      </c>
      <c r="L64" s="3" t="str">
        <f>IF(G64="Not Age Eligible","",IF(MAX(U64,W64,Y64,AA64)&gt;=LOOKUP(G64,'Qualifying Scores'!$A$10:$A$13,'Qualifying Scores'!$I$10:$I$13),"P",""))</f>
        <v/>
      </c>
      <c r="M64" s="3" t="str">
        <f>IF(G64="Not Age Eligible","",IF(OR(AND(T64&gt;=LOOKUP(G64,'Qualifying Scores'!$A$4:$A$7,'Qualifying Scores'!$I$4:$I$7),U64&gt;=LOOKUP(G64,'Qualifying Scores'!$A$10:$A$13,'Qualifying Scores'!$I$10:$I$13)),AND(X64&gt;=LOOKUP(G64,'Qualifying Scores'!$A$4:$A$7,'Qualifying Scores'!$I$4:$I$7),Y64&gt;=LOOKUP(G64,'Qualifying Scores'!$A$10:$A$13,'Qualifying Scores'!$I$10:$I$13)),AND(V64&gt;=LOOKUP(G64,'Qualifying Scores'!$A$4:$A$7,'Qualifying Scores'!$I$4:$I$7),W64&gt;=LOOKUP(G64,'Qualifying Scores'!$A$10:$A$13,'Qualifying Scores'!$I$10:$I$13)),AND(Z64&gt;=LOOKUP(G64,'Qualifying Scores'!$A$4:$A$7,'Qualifying Scores'!$I$4:$I$7),AA64&gt;=LOOKUP(G64,'Qualifying Scores'!$A$10:$A$13,'Qualifying Scores'!$I$10:$I$13))),"P",""))</f>
        <v/>
      </c>
      <c r="Q64" s="1" t="str">
        <f>IF(A64&lt;5,IF(_xlfn.MAXIFS(A:A,G:G,G64)&gt;3,5-A64,_xlfn.MAXIFS(A:A,G:G,G64)+1-A64),"")</f>
        <v/>
      </c>
      <c r="R64" s="4">
        <f>MAX(T64,X64)</f>
        <v>32.6</v>
      </c>
      <c r="S64" s="4">
        <f>IF(R64=T64,MAX(V64,X64,Z64),IF(R64=X64,MAX(T64,V64,Z64),0))</f>
        <v>0</v>
      </c>
      <c r="T64" s="33"/>
      <c r="U64" s="40"/>
      <c r="V64" s="34"/>
      <c r="W64" s="40"/>
      <c r="X64" s="33">
        <v>32.6</v>
      </c>
      <c r="Y64" s="40">
        <v>5.0999999999999996</v>
      </c>
      <c r="Z64" s="34"/>
      <c r="AA64" s="37"/>
    </row>
    <row r="65" spans="1:27" x14ac:dyDescent="0.2">
      <c r="A65" s="1" t="str" cm="1">
        <f t="array" ref="A65">IF(I65="","",IF(P65&lt;&gt;"",SUMPRODUCT((P$3:P$45&lt;&gt;"")*(G$3:G$45=G65)*(J$3:J$45&gt;J65)*(I$3:I$45="P"))+1,IF(O65&lt;&gt;"",SUMPRODUCT((O$3:O$45&lt;&gt;"")*(P$3:P$45="")*(G$3:G$45=G65)*(J$3:J$45&gt;J65)*(I$3:I$45="P"))+SUMPRODUCT((P$3:P$45&lt;&gt;"")*(G$3:G$45=G65)*(I$3:I$45="P"))+1,IF(N65&lt;&gt;"",SUMPRODUCT((N$3:N$45&lt;&gt;"")*(G$3:G$45=G65)*(J$3:J$45&gt;J65)*(I$3:I$45="P"))+1,IF(M65="P",SUMPRODUCT((O$3:O$45&lt;&gt;"")*(P$3:P$45="")*(G$3:G$45=G65)*(I$3:I$45="P"))+SUMPRODUCT((P$3:P$45&lt;&gt;"")*(G$3:G$45=G65)*(I$3:I$45="P"))+SUMPRODUCT((N$3:N$45&lt;&gt;"")*(G$3:G$45=G65)*(I$3:I$45="P"))+SUMPRODUCT((P$3:P$45="")*(O$3:O$45="")*(N$3:N$45="")*(M$3:M$45="P")*(G$3:G$45=G65)*(J$3:J$45&gt;J65)*(I$3:I$45="P"))+IF(H65="L5",SUMPRODUCT((P$3:P$45="")*(O$3:O$45="")*(N$3:N$45="")*(M$3:M$45="P")*(G$3:G$45=G65)*(J$3:J$45&lt;J65)*(H$3:H$45&lt;&gt;H65)*(I$3:I$45="P")),-1*SUMPRODUCT((P$3:P$45="")*(O$3:O$45="")*(N$3:N$45="")*(M$3:M$45="P")*(G$3:G$45=G65)*(J$3:J$45&gt;J65)*(H$3:H$45="L5")*(I$3:I$45="P")))+1,"")))))</f>
        <v/>
      </c>
      <c r="B65" s="1" t="str" cm="1">
        <f t="array" ref="B65">IF(P65&lt;&gt;"",SUMPRODUCT((P$3:P$77&lt;&gt;"")*(G$3:G$77=G65)*(J$3:J$77&gt;J65))+1,IF(O65&lt;&gt;"",SUMPRODUCT((O$3:O$77&lt;&gt;"")*(P$3:P$77="")*(G$3:G$77=G65)*(J$3:J$77&gt;J65))+SUMPRODUCT((P$3:P$77&lt;&gt;"")*(G$3:G$77=G65))+1,IF(N65&lt;&gt;"",SUMPRODUCT((N$3:N$77&lt;&gt;"")*(G$3:G$77=G65)*(J$3:J$77&gt;J65))+1,IF(M65="P",SUMPRODUCT((O$3:O$77&lt;&gt;"")*(P$3:P$77="")*(G$3:G$77=G65))+SUMPRODUCT((P$3:P$77&lt;&gt;"")*(G$3:G$77=G65))+SUMPRODUCT((N$3:N$77&lt;&gt;"")*(G$3:G$77=G65))+SUMPRODUCT((P$3:P$77="")*(O$3:O$77="")*(N$3:N$77="")*(M$3:M$77="P")*(G$3:G$77=G65)*(J$3:J$77&gt;J65))+IF(H65="L5",SUMPRODUCT((P$3:P$77="")*(O$3:O$77="")*(N$3:N$77="")*(M$3:M$77="P")*(G$3:G$77=G65)*(J$3:J$77&lt;J65)*(H$3:H$77&lt;&gt;H65)),-1*SUMPRODUCT((P$3:P$77="")*(O$3:O$77="")*(N$3:N$77="")*(M$3:M$77="P")*(G$3:G$77=G65)*(J$3:J$77&gt;J65)*(H$3:H$77="L5")))+1,""))))</f>
        <v/>
      </c>
      <c r="C65" s="36" t="s">
        <v>554</v>
      </c>
      <c r="D65" s="36" t="str">
        <f>IF(E65="","",VLOOKUP(E65,'Coaching Points'!A:B,2,0))</f>
        <v>BC</v>
      </c>
      <c r="E65" s="36" t="s">
        <v>41</v>
      </c>
      <c r="F65" s="35">
        <v>2008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66</v>
      </c>
      <c r="I65" s="43"/>
      <c r="J65" s="4">
        <f>R65+S65+IF(OR(H65="Junior",H65="Senior"),0.0002,IF(OR(H65="L7",H65="L6"),0.0001,0))+MAX(X65,Z65)*0.0000001</f>
        <v>29.800002980000002</v>
      </c>
      <c r="K65" s="3" t="str">
        <f>IF(G65="Not Age Eligible","",IF(MAX(T65,V65,X65,Z65)&gt;=LOOKUP(G65,'Qualifying Scores'!$A$4:$A$7,'Qualifying Scores'!$I$4:$I$7),"P",""))</f>
        <v/>
      </c>
      <c r="L65" s="3" t="str">
        <f>IF(G65="Not Age Eligible","",IF(MAX(U65,W65,Y65,AA65)&gt;=LOOKUP(G65,'Qualifying Scores'!$A$10:$A$13,'Qualifying Scores'!$I$10:$I$13),"P",""))</f>
        <v/>
      </c>
      <c r="M65" s="3" t="str">
        <f>IF(G65="Not Age Eligible","",IF(OR(AND(T65&gt;=LOOKUP(G65,'Qualifying Scores'!$A$4:$A$7,'Qualifying Scores'!$I$4:$I$7),U65&gt;=LOOKUP(G65,'Qualifying Scores'!$A$10:$A$13,'Qualifying Scores'!$I$10:$I$13)),AND(X65&gt;=LOOKUP(G65,'Qualifying Scores'!$A$4:$A$7,'Qualifying Scores'!$I$4:$I$7),Y65&gt;=LOOKUP(G65,'Qualifying Scores'!$A$10:$A$13,'Qualifying Scores'!$I$10:$I$13)),AND(V65&gt;=LOOKUP(G65,'Qualifying Scores'!$A$4:$A$7,'Qualifying Scores'!$I$4:$I$7),W65&gt;=LOOKUP(G65,'Qualifying Scores'!$A$10:$A$13,'Qualifying Scores'!$I$10:$I$13)),AND(Z65&gt;=LOOKUP(G65,'Qualifying Scores'!$A$4:$A$7,'Qualifying Scores'!$I$4:$I$7),AA65&gt;=LOOKUP(G65,'Qualifying Scores'!$A$10:$A$13,'Qualifying Scores'!$I$10:$I$13))),"P",""))</f>
        <v/>
      </c>
      <c r="Q65" s="1" t="str">
        <f>IF(A65&lt;5,IF(_xlfn.MAXIFS(A:A,G:G,G65)&gt;3,5-A65,_xlfn.MAXIFS(A:A,G:G,G65)+1-A65),"")</f>
        <v/>
      </c>
      <c r="R65" s="4">
        <f>MAX(T65,X65)</f>
        <v>29.8</v>
      </c>
      <c r="S65" s="4">
        <f>IF(R65=T65,MAX(V65,X65,Z65),IF(R65=X65,MAX(T65,V65,Z65),0))</f>
        <v>0</v>
      </c>
      <c r="T65" s="33"/>
      <c r="U65" s="40"/>
      <c r="V65" s="34"/>
      <c r="W65" s="40"/>
      <c r="X65" s="33">
        <v>29.8</v>
      </c>
      <c r="Y65" s="40">
        <v>4.2</v>
      </c>
      <c r="Z65" s="34"/>
      <c r="AA65" s="37"/>
    </row>
    <row r="66" spans="1:27" x14ac:dyDescent="0.2">
      <c r="A66" s="1" t="str" cm="1">
        <f t="array" ref="A66">IF(I66="","",IF(P66&lt;&gt;"",SUMPRODUCT((P$3:P$45&lt;&gt;"")*(G$3:G$45=G66)*(J$3:J$45&gt;J66)*(I$3:I$45="P"))+1,IF(O66&lt;&gt;"",SUMPRODUCT((O$3:O$45&lt;&gt;"")*(P$3:P$45="")*(G$3:G$45=G66)*(J$3:J$45&gt;J66)*(I$3:I$45="P"))+SUMPRODUCT((P$3:P$45&lt;&gt;"")*(G$3:G$45=G66)*(I$3:I$45="P"))+1,IF(N66&lt;&gt;"",SUMPRODUCT((N$3:N$45&lt;&gt;"")*(G$3:G$45=G66)*(J$3:J$45&gt;J66)*(I$3:I$45="P"))+1,IF(M66="P",SUMPRODUCT((O$3:O$45&lt;&gt;"")*(P$3:P$45="")*(G$3:G$45=G66)*(I$3:I$45="P"))+SUMPRODUCT((P$3:P$45&lt;&gt;"")*(G$3:G$45=G66)*(I$3:I$45="P"))+SUMPRODUCT((N$3:N$45&lt;&gt;"")*(G$3:G$45=G66)*(I$3:I$45="P"))+SUMPRODUCT((P$3:P$45="")*(O$3:O$45="")*(N$3:N$45="")*(M$3:M$45="P")*(G$3:G$45=G66)*(J$3:J$45&gt;J66)*(I$3:I$45="P"))+IF(H66="L5",SUMPRODUCT((P$3:P$45="")*(O$3:O$45="")*(N$3:N$45="")*(M$3:M$45="P")*(G$3:G$45=G66)*(J$3:J$45&lt;J66)*(H$3:H$45&lt;&gt;H66)*(I$3:I$45="P")),-1*SUMPRODUCT((P$3:P$45="")*(O$3:O$45="")*(N$3:N$45="")*(M$3:M$45="P")*(G$3:G$45=G66)*(J$3:J$45&gt;J66)*(H$3:H$45="L5")*(I$3:I$45="P")))+1,"")))))</f>
        <v/>
      </c>
      <c r="B66" s="1" t="str" cm="1">
        <f t="array" ref="B66">IF(P66&lt;&gt;"",SUMPRODUCT((P$3:P$77&lt;&gt;"")*(G$3:G$77=G66)*(J$3:J$77&gt;J66))+1,IF(O66&lt;&gt;"",SUMPRODUCT((O$3:O$77&lt;&gt;"")*(P$3:P$77="")*(G$3:G$77=G66)*(J$3:J$77&gt;J66))+SUMPRODUCT((P$3:P$77&lt;&gt;"")*(G$3:G$77=G66))+1,IF(N66&lt;&gt;"",SUMPRODUCT((N$3:N$77&lt;&gt;"")*(G$3:G$77=G66)*(J$3:J$77&gt;J66))+1,IF(M66="P",SUMPRODUCT((O$3:O$77&lt;&gt;"")*(P$3:P$77="")*(G$3:G$77=G66))+SUMPRODUCT((P$3:P$77&lt;&gt;"")*(G$3:G$77=G66))+SUMPRODUCT((N$3:N$77&lt;&gt;"")*(G$3:G$77=G66))+SUMPRODUCT((P$3:P$77="")*(O$3:O$77="")*(N$3:N$77="")*(M$3:M$77="P")*(G$3:G$77=G66)*(J$3:J$77&gt;J66))+IF(H66="L5",SUMPRODUCT((P$3:P$77="")*(O$3:O$77="")*(N$3:N$77="")*(M$3:M$77="P")*(G$3:G$77=G66)*(J$3:J$77&lt;J66)*(H$3:H$77&lt;&gt;H66)),-1*SUMPRODUCT((P$3:P$77="")*(O$3:O$77="")*(N$3:N$77="")*(M$3:M$77="P")*(G$3:G$77=G66)*(J$3:J$77&gt;J66)*(H$3:H$77="L5")))+1,""))))</f>
        <v/>
      </c>
      <c r="C66" s="36" t="s">
        <v>544</v>
      </c>
      <c r="D66" s="36" t="str">
        <f>IF(E66="","",VLOOKUP(E66,'Coaching Points'!A:B,2,0))</f>
        <v>ON</v>
      </c>
      <c r="E66" s="36" t="s">
        <v>558</v>
      </c>
      <c r="F66" s="35">
        <v>2010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13-14</v>
      </c>
      <c r="H66" s="39" t="s">
        <v>66</v>
      </c>
      <c r="I66" s="43"/>
      <c r="J66" s="4">
        <f>R66+S66+IF(OR(H66="Junior",H66="Senior"),0.0002,IF(OR(H66="L7",H66="L6"),0.0001,0))+MAX(X66,Z66)*0.0000001</f>
        <v>80.200004070000006</v>
      </c>
      <c r="K66" s="3" t="str">
        <f>IF(G66="Not Age Eligible","",IF(MAX(T66,V66,X66,Z66)&gt;=LOOKUP(G66,'Qualifying Scores'!$A$4:$A$7,'Qualifying Scores'!$I$4:$I$7),"P",""))</f>
        <v/>
      </c>
      <c r="L66" s="3" t="str">
        <f>IF(G66="Not Age Eligible","",IF(MAX(U66,W66,Y66,AA66)&gt;=LOOKUP(G66,'Qualifying Scores'!$A$10:$A$13,'Qualifying Scores'!$I$10:$I$13),"P",""))</f>
        <v>P</v>
      </c>
      <c r="M66" s="3" t="str">
        <f>IF(G66="Not Age Eligible","",IF(OR(AND(T66&gt;=LOOKUP(G66,'Qualifying Scores'!$A$4:$A$7,'Qualifying Scores'!$I$4:$I$7),U66&gt;=LOOKUP(G66,'Qualifying Scores'!$A$10:$A$13,'Qualifying Scores'!$I$10:$I$13)),AND(X66&gt;=LOOKUP(G66,'Qualifying Scores'!$A$4:$A$7,'Qualifying Scores'!$I$4:$I$7),Y66&gt;=LOOKUP(G66,'Qualifying Scores'!$A$10:$A$13,'Qualifying Scores'!$I$10:$I$13)),AND(V66&gt;=LOOKUP(G66,'Qualifying Scores'!$A$4:$A$7,'Qualifying Scores'!$I$4:$I$7),W66&gt;=LOOKUP(G66,'Qualifying Scores'!$A$10:$A$13,'Qualifying Scores'!$I$10:$I$13)),AND(Z66&gt;=LOOKUP(G66,'Qualifying Scores'!$A$4:$A$7,'Qualifying Scores'!$I$4:$I$7),AA66&gt;=LOOKUP(G66,'Qualifying Scores'!$A$10:$A$13,'Qualifying Scores'!$I$10:$I$13))),"P",""))</f>
        <v/>
      </c>
      <c r="Q66" s="1" t="str">
        <f>IF(A66&lt;5,IF(_xlfn.MAXIFS(A:A,G:G,G66)&gt;3,5-A66,_xlfn.MAXIFS(A:A,G:G,G66)+1-A66),"")</f>
        <v/>
      </c>
      <c r="R66" s="4">
        <f>MAX(T66,X66)</f>
        <v>39.5</v>
      </c>
      <c r="S66" s="4">
        <f>IF(R66=T66,MAX(V66,X66,Z66),IF(R66=X66,MAX(T66,V66,Z66),0))</f>
        <v>40.700000000000003</v>
      </c>
      <c r="T66" s="33"/>
      <c r="U66" s="40"/>
      <c r="V66" s="34"/>
      <c r="W66" s="40"/>
      <c r="X66" s="33">
        <v>39.5</v>
      </c>
      <c r="Y66" s="40">
        <v>5.2</v>
      </c>
      <c r="Z66" s="34">
        <v>40.700000000000003</v>
      </c>
      <c r="AA66" s="37">
        <v>6.6</v>
      </c>
    </row>
    <row r="67" spans="1:27" x14ac:dyDescent="0.2">
      <c r="A67" s="1" t="str" cm="1">
        <f t="array" ref="A67">IF(I67="","",IF(P67&lt;&gt;"",SUMPRODUCT((P$3:P$45&lt;&gt;"")*(G$3:G$45=G67)*(J$3:J$45&gt;J67)*(I$3:I$45="P"))+1,IF(O67&lt;&gt;"",SUMPRODUCT((O$3:O$45&lt;&gt;"")*(P$3:P$45="")*(G$3:G$45=G67)*(J$3:J$45&gt;J67)*(I$3:I$45="P"))+SUMPRODUCT((P$3:P$45&lt;&gt;"")*(G$3:G$45=G67)*(I$3:I$45="P"))+1,IF(N67&lt;&gt;"",SUMPRODUCT((N$3:N$45&lt;&gt;"")*(G$3:G$45=G67)*(J$3:J$45&gt;J67)*(I$3:I$45="P"))+1,IF(M67="P",SUMPRODUCT((O$3:O$45&lt;&gt;"")*(P$3:P$45="")*(G$3:G$45=G67)*(I$3:I$45="P"))+SUMPRODUCT((P$3:P$45&lt;&gt;"")*(G$3:G$45=G67)*(I$3:I$45="P"))+SUMPRODUCT((N$3:N$45&lt;&gt;"")*(G$3:G$45=G67)*(I$3:I$45="P"))+SUMPRODUCT((P$3:P$45="")*(O$3:O$45="")*(N$3:N$45="")*(M$3:M$45="P")*(G$3:G$45=G67)*(J$3:J$45&gt;J67)*(I$3:I$45="P"))+IF(H67="L5",SUMPRODUCT((P$3:P$45="")*(O$3:O$45="")*(N$3:N$45="")*(M$3:M$45="P")*(G$3:G$45=G67)*(J$3:J$45&lt;J67)*(H$3:H$45&lt;&gt;H67)*(I$3:I$45="P")),-1*SUMPRODUCT((P$3:P$45="")*(O$3:O$45="")*(N$3:N$45="")*(M$3:M$45="P")*(G$3:G$45=G67)*(J$3:J$45&gt;J67)*(H$3:H$45="L5")*(I$3:I$45="P")))+1,"")))))</f>
        <v/>
      </c>
      <c r="B67" s="1" t="str" cm="1">
        <f t="array" ref="B67">IF(P67&lt;&gt;"",SUMPRODUCT((P$3:P$77&lt;&gt;"")*(G$3:G$77=G67)*(J$3:J$77&gt;J67))+1,IF(O67&lt;&gt;"",SUMPRODUCT((O$3:O$77&lt;&gt;"")*(P$3:P$77="")*(G$3:G$77=G67)*(J$3:J$77&gt;J67))+SUMPRODUCT((P$3:P$77&lt;&gt;"")*(G$3:G$77=G67))+1,IF(N67&lt;&gt;"",SUMPRODUCT((N$3:N$77&lt;&gt;"")*(G$3:G$77=G67)*(J$3:J$77&gt;J67))+1,IF(M67="P",SUMPRODUCT((O$3:O$77&lt;&gt;"")*(P$3:P$77="")*(G$3:G$77=G67))+SUMPRODUCT((P$3:P$77&lt;&gt;"")*(G$3:G$77=G67))+SUMPRODUCT((N$3:N$77&lt;&gt;"")*(G$3:G$77=G67))+SUMPRODUCT((P$3:P$77="")*(O$3:O$77="")*(N$3:N$77="")*(M$3:M$77="P")*(G$3:G$77=G67)*(J$3:J$77&gt;J67))+IF(H67="L5",SUMPRODUCT((P$3:P$77="")*(O$3:O$77="")*(N$3:N$77="")*(M$3:M$77="P")*(G$3:G$77=G67)*(J$3:J$77&lt;J67)*(H$3:H$77&lt;&gt;H67)),-1*SUMPRODUCT((P$3:P$77="")*(O$3:O$77="")*(N$3:N$77="")*(M$3:M$77="P")*(G$3:G$77=G67)*(J$3:J$77&gt;J67)*(H$3:H$77="L5")))+1,""))))</f>
        <v/>
      </c>
      <c r="C67" s="36" t="s">
        <v>555</v>
      </c>
      <c r="D67" s="36" t="str">
        <f>IF(E67="","",VLOOKUP(E67,'Coaching Points'!A:B,2,0))</f>
        <v>ON</v>
      </c>
      <c r="E67" s="36" t="s">
        <v>558</v>
      </c>
      <c r="F67" s="35">
        <v>2009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13-14</v>
      </c>
      <c r="H67" s="39" t="s">
        <v>67</v>
      </c>
      <c r="I67" s="43"/>
      <c r="J67" s="4">
        <f>R67+S67+IF(OR(H67="Junior",H67="Senior"),0.0002,IF(OR(H67="L7",H67="L6"),0.0001,0))+MAX(X67,Z67)*0.0000001</f>
        <v>79.800104039999994</v>
      </c>
      <c r="K67" s="3" t="str">
        <f>IF(G67="Not Age Eligible","",IF(MAX(T67,V67,X67,Z67)&gt;=LOOKUP(G67,'Qualifying Scores'!$A$4:$A$7,'Qualifying Scores'!$I$4:$I$7),"P",""))</f>
        <v/>
      </c>
      <c r="L67" s="3" t="str">
        <f>IF(G67="Not Age Eligible","",IF(MAX(U67,W67,Y67,AA67)&gt;=LOOKUP(G67,'Qualifying Scores'!$A$10:$A$13,'Qualifying Scores'!$I$10:$I$13),"P",""))</f>
        <v/>
      </c>
      <c r="M67" s="3" t="str">
        <f>IF(G67="Not Age Eligible","",IF(OR(AND(T67&gt;=LOOKUP(G67,'Qualifying Scores'!$A$4:$A$7,'Qualifying Scores'!$I$4:$I$7),U67&gt;=LOOKUP(G67,'Qualifying Scores'!$A$10:$A$13,'Qualifying Scores'!$I$10:$I$13)),AND(X67&gt;=LOOKUP(G67,'Qualifying Scores'!$A$4:$A$7,'Qualifying Scores'!$I$4:$I$7),Y67&gt;=LOOKUP(G67,'Qualifying Scores'!$A$10:$A$13,'Qualifying Scores'!$I$10:$I$13)),AND(V67&gt;=LOOKUP(G67,'Qualifying Scores'!$A$4:$A$7,'Qualifying Scores'!$I$4:$I$7),W67&gt;=LOOKUP(G67,'Qualifying Scores'!$A$10:$A$13,'Qualifying Scores'!$I$10:$I$13)),AND(Z67&gt;=LOOKUP(G67,'Qualifying Scores'!$A$4:$A$7,'Qualifying Scores'!$I$4:$I$7),AA67&gt;=LOOKUP(G67,'Qualifying Scores'!$A$10:$A$13,'Qualifying Scores'!$I$10:$I$13))),"P",""))</f>
        <v/>
      </c>
      <c r="Q67" s="1" t="str">
        <f>IF(A67&lt;5,IF(_xlfn.MAXIFS(A:A,G:G,G67)&gt;3,5-A67,_xlfn.MAXIFS(A:A,G:G,G67)+1-A67),"")</f>
        <v/>
      </c>
      <c r="R67" s="4">
        <f>MAX(T67,X67)</f>
        <v>40.4</v>
      </c>
      <c r="S67" s="4">
        <f>IF(R67=T67,MAX(V67,X67,Z67),IF(R67=X67,MAX(T67,V67,Z67),0))</f>
        <v>39.4</v>
      </c>
      <c r="T67" s="33"/>
      <c r="U67" s="40"/>
      <c r="V67" s="34"/>
      <c r="W67" s="40"/>
      <c r="X67" s="33">
        <v>40.4</v>
      </c>
      <c r="Y67" s="40">
        <v>6</v>
      </c>
      <c r="Z67" s="34">
        <v>39.4</v>
      </c>
      <c r="AA67" s="37">
        <v>5.0999999999999996</v>
      </c>
    </row>
    <row r="68" spans="1:27" x14ac:dyDescent="0.2">
      <c r="A68" s="1" t="str" cm="1">
        <f t="array" ref="A68">IF(I68="","",IF(P68&lt;&gt;"",SUMPRODUCT((P$3:P$45&lt;&gt;"")*(G$3:G$45=G68)*(J$3:J$45&gt;J68)*(I$3:I$45="P"))+1,IF(O68&lt;&gt;"",SUMPRODUCT((O$3:O$45&lt;&gt;"")*(P$3:P$45="")*(G$3:G$45=G68)*(J$3:J$45&gt;J68)*(I$3:I$45="P"))+SUMPRODUCT((P$3:P$45&lt;&gt;"")*(G$3:G$45=G68)*(I$3:I$45="P"))+1,IF(N68&lt;&gt;"",SUMPRODUCT((N$3:N$45&lt;&gt;"")*(G$3:G$45=G68)*(J$3:J$45&gt;J68)*(I$3:I$45="P"))+1,IF(M68="P",SUMPRODUCT((O$3:O$45&lt;&gt;"")*(P$3:P$45="")*(G$3:G$45=G68)*(I$3:I$45="P"))+SUMPRODUCT((P$3:P$45&lt;&gt;"")*(G$3:G$45=G68)*(I$3:I$45="P"))+SUMPRODUCT((N$3:N$45&lt;&gt;"")*(G$3:G$45=G68)*(I$3:I$45="P"))+SUMPRODUCT((P$3:P$45="")*(O$3:O$45="")*(N$3:N$45="")*(M$3:M$45="P")*(G$3:G$45=G68)*(J$3:J$45&gt;J68)*(I$3:I$45="P"))+IF(H68="L5",SUMPRODUCT((P$3:P$45="")*(O$3:O$45="")*(N$3:N$45="")*(M$3:M$45="P")*(G$3:G$45=G68)*(J$3:J$45&lt;J68)*(H$3:H$45&lt;&gt;H68)*(I$3:I$45="P")),-1*SUMPRODUCT((P$3:P$45="")*(O$3:O$45="")*(N$3:N$45="")*(M$3:M$45="P")*(G$3:G$45=G68)*(J$3:J$45&gt;J68)*(H$3:H$45="L5")*(I$3:I$45="P")))+1,"")))))</f>
        <v/>
      </c>
      <c r="B68" s="1" t="str" cm="1">
        <f t="array" ref="B68">IF(P68&lt;&gt;"",SUMPRODUCT((P$3:P$77&lt;&gt;"")*(G$3:G$77=G68)*(J$3:J$77&gt;J68))+1,IF(O68&lt;&gt;"",SUMPRODUCT((O$3:O$77&lt;&gt;"")*(P$3:P$77="")*(G$3:G$77=G68)*(J$3:J$77&gt;J68))+SUMPRODUCT((P$3:P$77&lt;&gt;"")*(G$3:G$77=G68))+1,IF(N68&lt;&gt;"",SUMPRODUCT((N$3:N$77&lt;&gt;"")*(G$3:G$77=G68)*(J$3:J$77&gt;J68))+1,IF(M68="P",SUMPRODUCT((O$3:O$77&lt;&gt;"")*(P$3:P$77="")*(G$3:G$77=G68))+SUMPRODUCT((P$3:P$77&lt;&gt;"")*(G$3:G$77=G68))+SUMPRODUCT((N$3:N$77&lt;&gt;"")*(G$3:G$77=G68))+SUMPRODUCT((P$3:P$77="")*(O$3:O$77="")*(N$3:N$77="")*(M$3:M$77="P")*(G$3:G$77=G68)*(J$3:J$77&gt;J68))+IF(H68="L5",SUMPRODUCT((P$3:P$77="")*(O$3:O$77="")*(N$3:N$77="")*(M$3:M$77="P")*(G$3:G$77=G68)*(J$3:J$77&lt;J68)*(H$3:H$77&lt;&gt;H68)),-1*SUMPRODUCT((P$3:P$77="")*(O$3:O$77="")*(N$3:N$77="")*(M$3:M$77="P")*(G$3:G$77=G68)*(J$3:J$77&gt;J68)*(H$3:H$77="L5")))+1,""))))</f>
        <v/>
      </c>
      <c r="C68" s="36" t="s">
        <v>365</v>
      </c>
      <c r="D68" s="36" t="str">
        <f>IF(E68="","",VLOOKUP(E68,'Coaching Points'!A:B,2,0))</f>
        <v>ON</v>
      </c>
      <c r="E68" s="36" t="s">
        <v>47</v>
      </c>
      <c r="F68" s="35">
        <v>2009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13-14</v>
      </c>
      <c r="H68" s="39" t="s">
        <v>66</v>
      </c>
      <c r="I68" s="43" t="s">
        <v>567</v>
      </c>
      <c r="J68" s="4">
        <f>R68+S68+IF(OR(H68="Junior",H68="Senior"),0.0002,IF(OR(H68="L7",H68="L6"),0.0001,0))+MAX(X68,Z68)*0.0000001</f>
        <v>77.600003879999988</v>
      </c>
      <c r="K68" s="3" t="str">
        <f>IF(G68="Not Age Eligible","",IF(MAX(T68,V68,X68,Z68)&gt;=LOOKUP(G68,'Qualifying Scores'!$A$4:$A$7,'Qualifying Scores'!$I$4:$I$7),"P",""))</f>
        <v/>
      </c>
      <c r="L68" s="3" t="str">
        <f>IF(G68="Not Age Eligible","",IF(MAX(U68,W68,Y68,AA68)&gt;=LOOKUP(G68,'Qualifying Scores'!$A$10:$A$13,'Qualifying Scores'!$I$10:$I$13),"P",""))</f>
        <v/>
      </c>
      <c r="M68" s="3" t="str">
        <f>IF(G68="Not Age Eligible","",IF(OR(AND(T68&gt;=LOOKUP(G68,'Qualifying Scores'!$A$4:$A$7,'Qualifying Scores'!$I$4:$I$7),U68&gt;=LOOKUP(G68,'Qualifying Scores'!$A$10:$A$13,'Qualifying Scores'!$I$10:$I$13)),AND(X68&gt;=LOOKUP(G68,'Qualifying Scores'!$A$4:$A$7,'Qualifying Scores'!$I$4:$I$7),Y68&gt;=LOOKUP(G68,'Qualifying Scores'!$A$10:$A$13,'Qualifying Scores'!$I$10:$I$13)),AND(V68&gt;=LOOKUP(G68,'Qualifying Scores'!$A$4:$A$7,'Qualifying Scores'!$I$4:$I$7),W68&gt;=LOOKUP(G68,'Qualifying Scores'!$A$10:$A$13,'Qualifying Scores'!$I$10:$I$13)),AND(Z68&gt;=LOOKUP(G68,'Qualifying Scores'!$A$4:$A$7,'Qualifying Scores'!$I$4:$I$7),AA68&gt;=LOOKUP(G68,'Qualifying Scores'!$A$10:$A$13,'Qualifying Scores'!$I$10:$I$13))),"P",""))</f>
        <v/>
      </c>
      <c r="Q68" s="1" t="str">
        <f>IF(A68&lt;5,IF(_xlfn.MAXIFS(A:A,G:G,G68)&gt;3,5-A68,_xlfn.MAXIFS(A:A,G:G,G68)+1-A68),"")</f>
        <v/>
      </c>
      <c r="R68" s="4">
        <f>MAX(T68,X68)</f>
        <v>38.799999999999997</v>
      </c>
      <c r="S68" s="4">
        <f>IF(R68=T68,MAX(V68,X68,Z68),IF(R68=X68,MAX(T68,V68,Z68),0))</f>
        <v>38.799999999999997</v>
      </c>
      <c r="T68" s="33">
        <v>37.700000000000003</v>
      </c>
      <c r="U68" s="40">
        <v>4.3000000000000007</v>
      </c>
      <c r="V68" s="34">
        <v>38.1</v>
      </c>
      <c r="W68" s="40">
        <v>4.6999999999999993</v>
      </c>
      <c r="X68" s="33">
        <v>38.799999999999997</v>
      </c>
      <c r="Y68" s="40">
        <v>4.8</v>
      </c>
      <c r="Z68" s="34">
        <v>38.799999999999997</v>
      </c>
      <c r="AA68" s="37">
        <v>4.4000000000000004</v>
      </c>
    </row>
    <row r="69" spans="1:27" x14ac:dyDescent="0.2">
      <c r="A69" s="1" t="str" cm="1">
        <f t="array" ref="A69">IF(I69="","",IF(P69&lt;&gt;"",SUMPRODUCT((P$3:P$45&lt;&gt;"")*(G$3:G$45=G69)*(J$3:J$45&gt;J69)*(I$3:I$45="P"))+1,IF(O69&lt;&gt;"",SUMPRODUCT((O$3:O$45&lt;&gt;"")*(P$3:P$45="")*(G$3:G$45=G69)*(J$3:J$45&gt;J69)*(I$3:I$45="P"))+SUMPRODUCT((P$3:P$45&lt;&gt;"")*(G$3:G$45=G69)*(I$3:I$45="P"))+1,IF(N69&lt;&gt;"",SUMPRODUCT((N$3:N$45&lt;&gt;"")*(G$3:G$45=G69)*(J$3:J$45&gt;J69)*(I$3:I$45="P"))+1,IF(M69="P",SUMPRODUCT((O$3:O$45&lt;&gt;"")*(P$3:P$45="")*(G$3:G$45=G69)*(I$3:I$45="P"))+SUMPRODUCT((P$3:P$45&lt;&gt;"")*(G$3:G$45=G69)*(I$3:I$45="P"))+SUMPRODUCT((N$3:N$45&lt;&gt;"")*(G$3:G$45=G69)*(I$3:I$45="P"))+SUMPRODUCT((P$3:P$45="")*(O$3:O$45="")*(N$3:N$45="")*(M$3:M$45="P")*(G$3:G$45=G69)*(J$3:J$45&gt;J69)*(I$3:I$45="P"))+IF(H69="L5",SUMPRODUCT((P$3:P$45="")*(O$3:O$45="")*(N$3:N$45="")*(M$3:M$45="P")*(G$3:G$45=G69)*(J$3:J$45&lt;J69)*(H$3:H$45&lt;&gt;H69)*(I$3:I$45="P")),-1*SUMPRODUCT((P$3:P$45="")*(O$3:O$45="")*(N$3:N$45="")*(M$3:M$45="P")*(G$3:G$45=G69)*(J$3:J$45&gt;J69)*(H$3:H$45="L5")*(I$3:I$45="P")))+1,"")))))</f>
        <v/>
      </c>
      <c r="B69" s="1" t="str" cm="1">
        <f t="array" ref="B69">IF(P69&lt;&gt;"",SUMPRODUCT((P$3:P$77&lt;&gt;"")*(G$3:G$77=G69)*(J$3:J$77&gt;J69))+1,IF(O69&lt;&gt;"",SUMPRODUCT((O$3:O$77&lt;&gt;"")*(P$3:P$77="")*(G$3:G$77=G69)*(J$3:J$77&gt;J69))+SUMPRODUCT((P$3:P$77&lt;&gt;"")*(G$3:G$77=G69))+1,IF(N69&lt;&gt;"",SUMPRODUCT((N$3:N$77&lt;&gt;"")*(G$3:G$77=G69)*(J$3:J$77&gt;J69))+1,IF(M69="P",SUMPRODUCT((O$3:O$77&lt;&gt;"")*(P$3:P$77="")*(G$3:G$77=G69))+SUMPRODUCT((P$3:P$77&lt;&gt;"")*(G$3:G$77=G69))+SUMPRODUCT((N$3:N$77&lt;&gt;"")*(G$3:G$77=G69))+SUMPRODUCT((P$3:P$77="")*(O$3:O$77="")*(N$3:N$77="")*(M$3:M$77="P")*(G$3:G$77=G69)*(J$3:J$77&gt;J69))+IF(H69="L5",SUMPRODUCT((P$3:P$77="")*(O$3:O$77="")*(N$3:N$77="")*(M$3:M$77="P")*(G$3:G$77=G69)*(J$3:J$77&lt;J69)*(H$3:H$77&lt;&gt;H69)),-1*SUMPRODUCT((P$3:P$77="")*(O$3:O$77="")*(N$3:N$77="")*(M$3:M$77="P")*(G$3:G$77=G69)*(J$3:J$77&gt;J69)*(H$3:H$77="L5")))+1,""))))</f>
        <v/>
      </c>
      <c r="C69" s="36" t="s">
        <v>545</v>
      </c>
      <c r="D69" s="36" t="str">
        <f>IF(E69="","",VLOOKUP(E69,'Coaching Points'!A:B,2,0))</f>
        <v>ON</v>
      </c>
      <c r="E69" s="36" t="s">
        <v>483</v>
      </c>
      <c r="F69" s="35">
        <v>2009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13-14</v>
      </c>
      <c r="H69" s="39" t="s">
        <v>66</v>
      </c>
      <c r="I69" s="43"/>
      <c r="J69" s="4">
        <f>R69+S69+IF(OR(H69="Junior",H69="Senior"),0.0002,IF(OR(H69="L7",H69="L6"),0.0001,0))+MAX(X69,Z69)*0.0000001</f>
        <v>76.700003899999999</v>
      </c>
      <c r="K69" s="3" t="str">
        <f>IF(G69="Not Age Eligible","",IF(MAX(T69,V69,X69,Z69)&gt;=LOOKUP(G69,'Qualifying Scores'!$A$4:$A$7,'Qualifying Scores'!$I$4:$I$7),"P",""))</f>
        <v/>
      </c>
      <c r="L69" s="3" t="str">
        <f>IF(G69="Not Age Eligible","",IF(MAX(U69,W69,Y69,AA69)&gt;=LOOKUP(G69,'Qualifying Scores'!$A$10:$A$13,'Qualifying Scores'!$I$10:$I$13),"P",""))</f>
        <v/>
      </c>
      <c r="M69" s="3" t="str">
        <f>IF(G69="Not Age Eligible","",IF(OR(AND(T69&gt;=LOOKUP(G69,'Qualifying Scores'!$A$4:$A$7,'Qualifying Scores'!$I$4:$I$7),U69&gt;=LOOKUP(G69,'Qualifying Scores'!$A$10:$A$13,'Qualifying Scores'!$I$10:$I$13)),AND(X69&gt;=LOOKUP(G69,'Qualifying Scores'!$A$4:$A$7,'Qualifying Scores'!$I$4:$I$7),Y69&gt;=LOOKUP(G69,'Qualifying Scores'!$A$10:$A$13,'Qualifying Scores'!$I$10:$I$13)),AND(V69&gt;=LOOKUP(G69,'Qualifying Scores'!$A$4:$A$7,'Qualifying Scores'!$I$4:$I$7),W69&gt;=LOOKUP(G69,'Qualifying Scores'!$A$10:$A$13,'Qualifying Scores'!$I$10:$I$13)),AND(Z69&gt;=LOOKUP(G69,'Qualifying Scores'!$A$4:$A$7,'Qualifying Scores'!$I$4:$I$7),AA69&gt;=LOOKUP(G69,'Qualifying Scores'!$A$10:$A$13,'Qualifying Scores'!$I$10:$I$13))),"P",""))</f>
        <v/>
      </c>
      <c r="Q69" s="1" t="str">
        <f>IF(A69&lt;5,IF(_xlfn.MAXIFS(A:A,G:G,G69)&gt;3,5-A69,_xlfn.MAXIFS(A:A,G:G,G69)+1-A69),"")</f>
        <v/>
      </c>
      <c r="R69" s="4">
        <f>MAX(T69,X69)</f>
        <v>37.700000000000003</v>
      </c>
      <c r="S69" s="4">
        <f>IF(R69=T69,MAX(V69,X69,Z69),IF(R69=X69,MAX(T69,V69,Z69),0))</f>
        <v>39</v>
      </c>
      <c r="T69" s="33"/>
      <c r="U69" s="40"/>
      <c r="V69" s="34"/>
      <c r="W69" s="40"/>
      <c r="X69" s="33">
        <v>37.700000000000003</v>
      </c>
      <c r="Y69" s="40">
        <v>4.5999999999999996</v>
      </c>
      <c r="Z69" s="34">
        <v>39</v>
      </c>
      <c r="AA69" s="37">
        <v>4.5999999999999996</v>
      </c>
    </row>
    <row r="70" spans="1:27" x14ac:dyDescent="0.2">
      <c r="A70" s="1" t="str" cm="1">
        <f t="array" ref="A70">IF(I70="","",IF(P70&lt;&gt;"",SUMPRODUCT((P$3:P$45&lt;&gt;"")*(G$3:G$45=G70)*(J$3:J$45&gt;J70)*(I$3:I$45="P"))+1,IF(O70&lt;&gt;"",SUMPRODUCT((O$3:O$45&lt;&gt;"")*(P$3:P$45="")*(G$3:G$45=G70)*(J$3:J$45&gt;J70)*(I$3:I$45="P"))+SUMPRODUCT((P$3:P$45&lt;&gt;"")*(G$3:G$45=G70)*(I$3:I$45="P"))+1,IF(N70&lt;&gt;"",SUMPRODUCT((N$3:N$45&lt;&gt;"")*(G$3:G$45=G70)*(J$3:J$45&gt;J70)*(I$3:I$45="P"))+1,IF(M70="P",SUMPRODUCT((O$3:O$45&lt;&gt;"")*(P$3:P$45="")*(G$3:G$45=G70)*(I$3:I$45="P"))+SUMPRODUCT((P$3:P$45&lt;&gt;"")*(G$3:G$45=G70)*(I$3:I$45="P"))+SUMPRODUCT((N$3:N$45&lt;&gt;"")*(G$3:G$45=G70)*(I$3:I$45="P"))+SUMPRODUCT((P$3:P$45="")*(O$3:O$45="")*(N$3:N$45="")*(M$3:M$45="P")*(G$3:G$45=G70)*(J$3:J$45&gt;J70)*(I$3:I$45="P"))+IF(H70="L5",SUMPRODUCT((P$3:P$45="")*(O$3:O$45="")*(N$3:N$45="")*(M$3:M$45="P")*(G$3:G$45=G70)*(J$3:J$45&lt;J70)*(H$3:H$45&lt;&gt;H70)*(I$3:I$45="P")),-1*SUMPRODUCT((P$3:P$45="")*(O$3:O$45="")*(N$3:N$45="")*(M$3:M$45="P")*(G$3:G$45=G70)*(J$3:J$45&gt;J70)*(H$3:H$45="L5")*(I$3:I$45="P")))+1,"")))))</f>
        <v/>
      </c>
      <c r="B70" s="1" t="str" cm="1">
        <f t="array" ref="B70">IF(P70&lt;&gt;"",SUMPRODUCT((P$3:P$77&lt;&gt;"")*(G$3:G$77=G70)*(J$3:J$77&gt;J70))+1,IF(O70&lt;&gt;"",SUMPRODUCT((O$3:O$77&lt;&gt;"")*(P$3:P$77="")*(G$3:G$77=G70)*(J$3:J$77&gt;J70))+SUMPRODUCT((P$3:P$77&lt;&gt;"")*(G$3:G$77=G70))+1,IF(N70&lt;&gt;"",SUMPRODUCT((N$3:N$77&lt;&gt;"")*(G$3:G$77=G70)*(J$3:J$77&gt;J70))+1,IF(M70="P",SUMPRODUCT((O$3:O$77&lt;&gt;"")*(P$3:P$77="")*(G$3:G$77=G70))+SUMPRODUCT((P$3:P$77&lt;&gt;"")*(G$3:G$77=G70))+SUMPRODUCT((N$3:N$77&lt;&gt;"")*(G$3:G$77=G70))+SUMPRODUCT((P$3:P$77="")*(O$3:O$77="")*(N$3:N$77="")*(M$3:M$77="P")*(G$3:G$77=G70)*(J$3:J$77&gt;J70))+IF(H70="L5",SUMPRODUCT((P$3:P$77="")*(O$3:O$77="")*(N$3:N$77="")*(M$3:M$77="P")*(G$3:G$77=G70)*(J$3:J$77&lt;J70)*(H$3:H$77&lt;&gt;H70)),-1*SUMPRODUCT((P$3:P$77="")*(O$3:O$77="")*(N$3:N$77="")*(M$3:M$77="P")*(G$3:G$77=G70)*(J$3:J$77&gt;J70)*(H$3:H$77="L5")))+1,""))))</f>
        <v/>
      </c>
      <c r="C70" s="36" t="s">
        <v>546</v>
      </c>
      <c r="D70" s="36" t="str">
        <f>IF(E70="","",VLOOKUP(E70,'Coaching Points'!A:B,2,0))</f>
        <v>ON</v>
      </c>
      <c r="E70" s="36" t="s">
        <v>290</v>
      </c>
      <c r="F70" s="35">
        <v>2009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13-14</v>
      </c>
      <c r="H70" s="39" t="s">
        <v>66</v>
      </c>
      <c r="I70" s="43"/>
      <c r="J70" s="4">
        <f>R70+S70+IF(OR(H70="Junior",H70="Senior"),0.0002,IF(OR(H70="L7",H70="L6"),0.0001,0))+MAX(X70,Z70)*0.0000001</f>
        <v>72.000003770000006</v>
      </c>
      <c r="K70" s="3" t="str">
        <f>IF(G70="Not Age Eligible","",IF(MAX(T70,V70,X70,Z70)&gt;=LOOKUP(G70,'Qualifying Scores'!$A$4:$A$7,'Qualifying Scores'!$I$4:$I$7),"P",""))</f>
        <v/>
      </c>
      <c r="L70" s="3" t="str">
        <f>IF(G70="Not Age Eligible","",IF(MAX(U70,W70,Y70,AA70)&gt;=LOOKUP(G70,'Qualifying Scores'!$A$10:$A$13,'Qualifying Scores'!$I$10:$I$13),"P",""))</f>
        <v/>
      </c>
      <c r="M70" s="3" t="str">
        <f>IF(G70="Not Age Eligible","",IF(OR(AND(T70&gt;=LOOKUP(G70,'Qualifying Scores'!$A$4:$A$7,'Qualifying Scores'!$I$4:$I$7),U70&gt;=LOOKUP(G70,'Qualifying Scores'!$A$10:$A$13,'Qualifying Scores'!$I$10:$I$13)),AND(X70&gt;=LOOKUP(G70,'Qualifying Scores'!$A$4:$A$7,'Qualifying Scores'!$I$4:$I$7),Y70&gt;=LOOKUP(G70,'Qualifying Scores'!$A$10:$A$13,'Qualifying Scores'!$I$10:$I$13)),AND(V70&gt;=LOOKUP(G70,'Qualifying Scores'!$A$4:$A$7,'Qualifying Scores'!$I$4:$I$7),W70&gt;=LOOKUP(G70,'Qualifying Scores'!$A$10:$A$13,'Qualifying Scores'!$I$10:$I$13)),AND(Z70&gt;=LOOKUP(G70,'Qualifying Scores'!$A$4:$A$7,'Qualifying Scores'!$I$4:$I$7),AA70&gt;=LOOKUP(G70,'Qualifying Scores'!$A$10:$A$13,'Qualifying Scores'!$I$10:$I$13))),"P",""))</f>
        <v/>
      </c>
      <c r="Q70" s="1" t="str">
        <f>IF(A70&lt;5,IF(_xlfn.MAXIFS(A:A,G:G,G70)&gt;3,5-A70,_xlfn.MAXIFS(A:A,G:G,G70)+1-A70),"")</f>
        <v/>
      </c>
      <c r="R70" s="4">
        <f>MAX(T70,X70)</f>
        <v>34.299999999999997</v>
      </c>
      <c r="S70" s="4">
        <f>IF(R70=T70,MAX(V70,X70,Z70),IF(R70=X70,MAX(T70,V70,Z70),0))</f>
        <v>37.700000000000003</v>
      </c>
      <c r="T70" s="33"/>
      <c r="U70" s="40"/>
      <c r="V70" s="34"/>
      <c r="W70" s="40"/>
      <c r="X70" s="33">
        <v>34.299999999999997</v>
      </c>
      <c r="Y70" s="40">
        <v>3.3</v>
      </c>
      <c r="Z70" s="34">
        <v>37.700000000000003</v>
      </c>
      <c r="AA70" s="37">
        <v>4.4000000000000004</v>
      </c>
    </row>
    <row r="71" spans="1:27" x14ac:dyDescent="0.2">
      <c r="A71" s="1" t="str" cm="1">
        <f t="array" ref="A71">IF(I71="","",IF(P71&lt;&gt;"",SUMPRODUCT((P$3:P$45&lt;&gt;"")*(G$3:G$45=G71)*(J$3:J$45&gt;J71)*(I$3:I$45="P"))+1,IF(O71&lt;&gt;"",SUMPRODUCT((O$3:O$45&lt;&gt;"")*(P$3:P$45="")*(G$3:G$45=G71)*(J$3:J$45&gt;J71)*(I$3:I$45="P"))+SUMPRODUCT((P$3:P$45&lt;&gt;"")*(G$3:G$45=G71)*(I$3:I$45="P"))+1,IF(N71&lt;&gt;"",SUMPRODUCT((N$3:N$45&lt;&gt;"")*(G$3:G$45=G71)*(J$3:J$45&gt;J71)*(I$3:I$45="P"))+1,IF(M71="P",SUMPRODUCT((O$3:O$45&lt;&gt;"")*(P$3:P$45="")*(G$3:G$45=G71)*(I$3:I$45="P"))+SUMPRODUCT((P$3:P$45&lt;&gt;"")*(G$3:G$45=G71)*(I$3:I$45="P"))+SUMPRODUCT((N$3:N$45&lt;&gt;"")*(G$3:G$45=G71)*(I$3:I$45="P"))+SUMPRODUCT((P$3:P$45="")*(O$3:O$45="")*(N$3:N$45="")*(M$3:M$45="P")*(G$3:G$45=G71)*(J$3:J$45&gt;J71)*(I$3:I$45="P"))+IF(H71="L5",SUMPRODUCT((P$3:P$45="")*(O$3:O$45="")*(N$3:N$45="")*(M$3:M$45="P")*(G$3:G$45=G71)*(J$3:J$45&lt;J71)*(H$3:H$45&lt;&gt;H71)*(I$3:I$45="P")),-1*SUMPRODUCT((P$3:P$45="")*(O$3:O$45="")*(N$3:N$45="")*(M$3:M$45="P")*(G$3:G$45=G71)*(J$3:J$45&gt;J71)*(H$3:H$45="L5")*(I$3:I$45="P")))+1,"")))))</f>
        <v/>
      </c>
      <c r="B71" s="1" t="str" cm="1">
        <f t="array" ref="B71">IF(P71&lt;&gt;"",SUMPRODUCT((P$3:P$77&lt;&gt;"")*(G$3:G$77=G71)*(J$3:J$77&gt;J71))+1,IF(O71&lt;&gt;"",SUMPRODUCT((O$3:O$77&lt;&gt;"")*(P$3:P$77="")*(G$3:G$77=G71)*(J$3:J$77&gt;J71))+SUMPRODUCT((P$3:P$77&lt;&gt;"")*(G$3:G$77=G71))+1,IF(N71&lt;&gt;"",SUMPRODUCT((N$3:N$77&lt;&gt;"")*(G$3:G$77=G71)*(J$3:J$77&gt;J71))+1,IF(M71="P",SUMPRODUCT((O$3:O$77&lt;&gt;"")*(P$3:P$77="")*(G$3:G$77=G71))+SUMPRODUCT((P$3:P$77&lt;&gt;"")*(G$3:G$77=G71))+SUMPRODUCT((N$3:N$77&lt;&gt;"")*(G$3:G$77=G71))+SUMPRODUCT((P$3:P$77="")*(O$3:O$77="")*(N$3:N$77="")*(M$3:M$77="P")*(G$3:G$77=G71)*(J$3:J$77&gt;J71))+IF(H71="L5",SUMPRODUCT((P$3:P$77="")*(O$3:O$77="")*(N$3:N$77="")*(M$3:M$77="P")*(G$3:G$77=G71)*(J$3:J$77&lt;J71)*(H$3:H$77&lt;&gt;H71)),-1*SUMPRODUCT((P$3:P$77="")*(O$3:O$77="")*(N$3:N$77="")*(M$3:M$77="P")*(G$3:G$77=G71)*(J$3:J$77&gt;J71)*(H$3:H$77="L5")))+1,""))))</f>
        <v/>
      </c>
      <c r="C71" s="36" t="s">
        <v>559</v>
      </c>
      <c r="D71" s="36" t="str">
        <f>IF(E71="","",VLOOKUP(E71,'Coaching Points'!A:B,2,0))</f>
        <v>BC</v>
      </c>
      <c r="E71" s="36" t="s">
        <v>61</v>
      </c>
      <c r="F71" s="35">
        <v>2010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13-14</v>
      </c>
      <c r="H71" s="39" t="s">
        <v>66</v>
      </c>
      <c r="I71" s="43"/>
      <c r="J71" s="4">
        <f>R71+S71+IF(OR(H71="Junior",H71="Senior"),0.0002,IF(OR(H71="L7",H71="L6"),0.0001,0))+MAX(X71,Z71)*0.0000001</f>
        <v>71.800003660000016</v>
      </c>
      <c r="K71" s="3" t="str">
        <f>IF(G71="Not Age Eligible","",IF(MAX(T71,V71,X71,Z71)&gt;=LOOKUP(G71,'Qualifying Scores'!$A$4:$A$7,'Qualifying Scores'!$I$4:$I$7),"P",""))</f>
        <v/>
      </c>
      <c r="L71" s="3" t="str">
        <f>IF(G71="Not Age Eligible","",IF(MAX(U71,W71,Y71,AA71)&gt;=LOOKUP(G71,'Qualifying Scores'!$A$10:$A$13,'Qualifying Scores'!$I$10:$I$13),"P",""))</f>
        <v/>
      </c>
      <c r="M71" s="3" t="str">
        <f>IF(G71="Not Age Eligible","",IF(OR(AND(T71&gt;=LOOKUP(G71,'Qualifying Scores'!$A$4:$A$7,'Qualifying Scores'!$I$4:$I$7),U71&gt;=LOOKUP(G71,'Qualifying Scores'!$A$10:$A$13,'Qualifying Scores'!$I$10:$I$13)),AND(X71&gt;=LOOKUP(G71,'Qualifying Scores'!$A$4:$A$7,'Qualifying Scores'!$I$4:$I$7),Y71&gt;=LOOKUP(G71,'Qualifying Scores'!$A$10:$A$13,'Qualifying Scores'!$I$10:$I$13)),AND(V71&gt;=LOOKUP(G71,'Qualifying Scores'!$A$4:$A$7,'Qualifying Scores'!$I$4:$I$7),W71&gt;=LOOKUP(G71,'Qualifying Scores'!$A$10:$A$13,'Qualifying Scores'!$I$10:$I$13)),AND(Z71&gt;=LOOKUP(G71,'Qualifying Scores'!$A$4:$A$7,'Qualifying Scores'!$I$4:$I$7),AA71&gt;=LOOKUP(G71,'Qualifying Scores'!$A$10:$A$13,'Qualifying Scores'!$I$10:$I$13))),"P",""))</f>
        <v/>
      </c>
      <c r="Q71" s="1" t="str">
        <f>IF(A71&lt;5,IF(_xlfn.MAXIFS(A:A,G:G,G71)&gt;3,5-A71,_xlfn.MAXIFS(A:A,G:G,G71)+1-A71),"")</f>
        <v/>
      </c>
      <c r="R71" s="4">
        <f>MAX(T71,X71)</f>
        <v>35.200000000000003</v>
      </c>
      <c r="S71" s="4">
        <f>IF(R71=T71,MAX(V71,X71,Z71),IF(R71=X71,MAX(T71,V71,Z71),0))</f>
        <v>36.6</v>
      </c>
      <c r="T71" s="33"/>
      <c r="U71" s="40"/>
      <c r="V71" s="34"/>
      <c r="W71" s="40"/>
      <c r="X71" s="33">
        <v>35.200000000000003</v>
      </c>
      <c r="Y71" s="40">
        <v>4.8000000000000007</v>
      </c>
      <c r="Z71" s="34">
        <v>36.6</v>
      </c>
      <c r="AA71" s="37">
        <v>4.8000000000000007</v>
      </c>
    </row>
    <row r="72" spans="1:27" x14ac:dyDescent="0.2">
      <c r="A72" s="1" t="str" cm="1">
        <f t="array" ref="A72">IF(I72="","",IF(P72&lt;&gt;"",SUMPRODUCT((P$3:P$45&lt;&gt;"")*(G$3:G$45=G72)*(J$3:J$45&gt;J72)*(I$3:I$45="P"))+1,IF(O72&lt;&gt;"",SUMPRODUCT((O$3:O$45&lt;&gt;"")*(P$3:P$45="")*(G$3:G$45=G72)*(J$3:J$45&gt;J72)*(I$3:I$45="P"))+SUMPRODUCT((P$3:P$45&lt;&gt;"")*(G$3:G$45=G72)*(I$3:I$45="P"))+1,IF(N72&lt;&gt;"",SUMPRODUCT((N$3:N$45&lt;&gt;"")*(G$3:G$45=G72)*(J$3:J$45&gt;J72)*(I$3:I$45="P"))+1,IF(M72="P",SUMPRODUCT((O$3:O$45&lt;&gt;"")*(P$3:P$45="")*(G$3:G$45=G72)*(I$3:I$45="P"))+SUMPRODUCT((P$3:P$45&lt;&gt;"")*(G$3:G$45=G72)*(I$3:I$45="P"))+SUMPRODUCT((N$3:N$45&lt;&gt;"")*(G$3:G$45=G72)*(I$3:I$45="P"))+SUMPRODUCT((P$3:P$45="")*(O$3:O$45="")*(N$3:N$45="")*(M$3:M$45="P")*(G$3:G$45=G72)*(J$3:J$45&gt;J72)*(I$3:I$45="P"))+IF(H72="L5",SUMPRODUCT((P$3:P$45="")*(O$3:O$45="")*(N$3:N$45="")*(M$3:M$45="P")*(G$3:G$45=G72)*(J$3:J$45&lt;J72)*(H$3:H$45&lt;&gt;H72)*(I$3:I$45="P")),-1*SUMPRODUCT((P$3:P$45="")*(O$3:O$45="")*(N$3:N$45="")*(M$3:M$45="P")*(G$3:G$45=G72)*(J$3:J$45&gt;J72)*(H$3:H$45="L5")*(I$3:I$45="P")))+1,"")))))</f>
        <v/>
      </c>
      <c r="B72" s="1" t="str" cm="1">
        <f t="array" ref="B72">IF(P72&lt;&gt;"",SUMPRODUCT((P$3:P$77&lt;&gt;"")*(G$3:G$77=G72)*(J$3:J$77&gt;J72))+1,IF(O72&lt;&gt;"",SUMPRODUCT((O$3:O$77&lt;&gt;"")*(P$3:P$77="")*(G$3:G$77=G72)*(J$3:J$77&gt;J72))+SUMPRODUCT((P$3:P$77&lt;&gt;"")*(G$3:G$77=G72))+1,IF(N72&lt;&gt;"",SUMPRODUCT((N$3:N$77&lt;&gt;"")*(G$3:G$77=G72)*(J$3:J$77&gt;J72))+1,IF(M72="P",SUMPRODUCT((O$3:O$77&lt;&gt;"")*(P$3:P$77="")*(G$3:G$77=G72))+SUMPRODUCT((P$3:P$77&lt;&gt;"")*(G$3:G$77=G72))+SUMPRODUCT((N$3:N$77&lt;&gt;"")*(G$3:G$77=G72))+SUMPRODUCT((P$3:P$77="")*(O$3:O$77="")*(N$3:N$77="")*(M$3:M$77="P")*(G$3:G$77=G72)*(J$3:J$77&gt;J72))+IF(H72="L5",SUMPRODUCT((P$3:P$77="")*(O$3:O$77="")*(N$3:N$77="")*(M$3:M$77="P")*(G$3:G$77=G72)*(J$3:J$77&lt;J72)*(H$3:H$77&lt;&gt;H72)),-1*SUMPRODUCT((P$3:P$77="")*(O$3:O$77="")*(N$3:N$77="")*(M$3:M$77="P")*(G$3:G$77=G72)*(J$3:J$77&gt;J72)*(H$3:H$77="L5")))+1,""))))</f>
        <v/>
      </c>
      <c r="C72" s="36" t="s">
        <v>355</v>
      </c>
      <c r="D72" s="36" t="str">
        <f>IF(E72="","",VLOOKUP(E72,'Coaching Points'!A:B,2,0))</f>
        <v>AB</v>
      </c>
      <c r="E72" s="36" t="s">
        <v>29</v>
      </c>
      <c r="F72" s="35">
        <v>2009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13-14</v>
      </c>
      <c r="H72" s="39" t="s">
        <v>66</v>
      </c>
      <c r="I72" s="43" t="s">
        <v>567</v>
      </c>
      <c r="J72" s="4">
        <f>R72+S72+IF(OR(H72="Junior",H72="Senior"),0.0002,IF(OR(H72="L7",H72="L6"),0.0001,0))+MAX(X72,Z72)*0.0000001</f>
        <v>71.400003740000002</v>
      </c>
      <c r="K72" s="3" t="str">
        <f>IF(G72="Not Age Eligible","",IF(MAX(T72,V72,X72,Z72)&gt;=LOOKUP(G72,'Qualifying Scores'!$A$4:$A$7,'Qualifying Scores'!$I$4:$I$7),"P",""))</f>
        <v/>
      </c>
      <c r="L72" s="3" t="str">
        <f>IF(G72="Not Age Eligible","",IF(MAX(U72,W72,Y72,AA72)&gt;=LOOKUP(G72,'Qualifying Scores'!$A$10:$A$13,'Qualifying Scores'!$I$10:$I$13),"P",""))</f>
        <v/>
      </c>
      <c r="M72" s="3" t="str">
        <f>IF(G72="Not Age Eligible","",IF(OR(AND(T72&gt;=LOOKUP(G72,'Qualifying Scores'!$A$4:$A$7,'Qualifying Scores'!$I$4:$I$7),U72&gt;=LOOKUP(G72,'Qualifying Scores'!$A$10:$A$13,'Qualifying Scores'!$I$10:$I$13)),AND(X72&gt;=LOOKUP(G72,'Qualifying Scores'!$A$4:$A$7,'Qualifying Scores'!$I$4:$I$7),Y72&gt;=LOOKUP(G72,'Qualifying Scores'!$A$10:$A$13,'Qualifying Scores'!$I$10:$I$13)),AND(V72&gt;=LOOKUP(G72,'Qualifying Scores'!$A$4:$A$7,'Qualifying Scores'!$I$4:$I$7),W72&gt;=LOOKUP(G72,'Qualifying Scores'!$A$10:$A$13,'Qualifying Scores'!$I$10:$I$13)),AND(Z72&gt;=LOOKUP(G72,'Qualifying Scores'!$A$4:$A$7,'Qualifying Scores'!$I$4:$I$7),AA72&gt;=LOOKUP(G72,'Qualifying Scores'!$A$10:$A$13,'Qualifying Scores'!$I$10:$I$13))),"P",""))</f>
        <v/>
      </c>
      <c r="Q72" s="1" t="str">
        <f>IF(A72&lt;5,IF(_xlfn.MAXIFS(A:A,G:G,G72)&gt;3,5-A72,_xlfn.MAXIFS(A:A,G:G,G72)+1-A72),"")</f>
        <v/>
      </c>
      <c r="R72" s="4">
        <f>MAX(T72,X72)</f>
        <v>34</v>
      </c>
      <c r="S72" s="4">
        <f>IF(R72=T72,MAX(V72,X72,Z72),IF(R72=X72,MAX(T72,V72,Z72),0))</f>
        <v>37.4</v>
      </c>
      <c r="T72" s="33"/>
      <c r="U72" s="40"/>
      <c r="V72" s="34"/>
      <c r="W72" s="40"/>
      <c r="X72" s="33">
        <v>34</v>
      </c>
      <c r="Y72" s="40">
        <v>3.2</v>
      </c>
      <c r="Z72" s="34">
        <v>37.4</v>
      </c>
      <c r="AA72" s="37">
        <v>4.3000000000000007</v>
      </c>
    </row>
    <row r="73" spans="1:27" x14ac:dyDescent="0.2">
      <c r="A73" s="1" t="str" cm="1">
        <f t="array" ref="A73">IF(I73="","",IF(P73&lt;&gt;"",SUMPRODUCT((P$3:P$45&lt;&gt;"")*(G$3:G$45=G73)*(J$3:J$45&gt;J73)*(I$3:I$45="P"))+1,IF(O73&lt;&gt;"",SUMPRODUCT((O$3:O$45&lt;&gt;"")*(P$3:P$45="")*(G$3:G$45=G73)*(J$3:J$45&gt;J73)*(I$3:I$45="P"))+SUMPRODUCT((P$3:P$45&lt;&gt;"")*(G$3:G$45=G73)*(I$3:I$45="P"))+1,IF(N73&lt;&gt;"",SUMPRODUCT((N$3:N$45&lt;&gt;"")*(G$3:G$45=G73)*(J$3:J$45&gt;J73)*(I$3:I$45="P"))+1,IF(M73="P",SUMPRODUCT((O$3:O$45&lt;&gt;"")*(P$3:P$45="")*(G$3:G$45=G73)*(I$3:I$45="P"))+SUMPRODUCT((P$3:P$45&lt;&gt;"")*(G$3:G$45=G73)*(I$3:I$45="P"))+SUMPRODUCT((N$3:N$45&lt;&gt;"")*(G$3:G$45=G73)*(I$3:I$45="P"))+SUMPRODUCT((P$3:P$45="")*(O$3:O$45="")*(N$3:N$45="")*(M$3:M$45="P")*(G$3:G$45=G73)*(J$3:J$45&gt;J73)*(I$3:I$45="P"))+IF(H73="L5",SUMPRODUCT((P$3:P$45="")*(O$3:O$45="")*(N$3:N$45="")*(M$3:M$45="P")*(G$3:G$45=G73)*(J$3:J$45&lt;J73)*(H$3:H$45&lt;&gt;H73)*(I$3:I$45="P")),-1*SUMPRODUCT((P$3:P$45="")*(O$3:O$45="")*(N$3:N$45="")*(M$3:M$45="P")*(G$3:G$45=G73)*(J$3:J$45&gt;J73)*(H$3:H$45="L5")*(I$3:I$45="P")))+1,"")))))</f>
        <v/>
      </c>
      <c r="B73" s="1" t="str" cm="1">
        <f t="array" ref="B73">IF(P73&lt;&gt;"",SUMPRODUCT((P$3:P$77&lt;&gt;"")*(G$3:G$77=G73)*(J$3:J$77&gt;J73))+1,IF(O73&lt;&gt;"",SUMPRODUCT((O$3:O$77&lt;&gt;"")*(P$3:P$77="")*(G$3:G$77=G73)*(J$3:J$77&gt;J73))+SUMPRODUCT((P$3:P$77&lt;&gt;"")*(G$3:G$77=G73))+1,IF(N73&lt;&gt;"",SUMPRODUCT((N$3:N$77&lt;&gt;"")*(G$3:G$77=G73)*(J$3:J$77&gt;J73))+1,IF(M73="P",SUMPRODUCT((O$3:O$77&lt;&gt;"")*(P$3:P$77="")*(G$3:G$77=G73))+SUMPRODUCT((P$3:P$77&lt;&gt;"")*(G$3:G$77=G73))+SUMPRODUCT((N$3:N$77&lt;&gt;"")*(G$3:G$77=G73))+SUMPRODUCT((P$3:P$77="")*(O$3:O$77="")*(N$3:N$77="")*(M$3:M$77="P")*(G$3:G$77=G73)*(J$3:J$77&gt;J73))+IF(H73="L5",SUMPRODUCT((P$3:P$77="")*(O$3:O$77="")*(N$3:N$77="")*(M$3:M$77="P")*(G$3:G$77=G73)*(J$3:J$77&lt;J73)*(H$3:H$77&lt;&gt;H73)),-1*SUMPRODUCT((P$3:P$77="")*(O$3:O$77="")*(N$3:N$77="")*(M$3:M$77="P")*(G$3:G$77=G73)*(J$3:J$77&gt;J73)*(H$3:H$77="L5")))+1,""))))</f>
        <v/>
      </c>
      <c r="C73" s="36" t="s">
        <v>547</v>
      </c>
      <c r="D73" s="36" t="str">
        <f>IF(E73="","",VLOOKUP(E73,'Coaching Points'!A:B,2,0))</f>
        <v>ON</v>
      </c>
      <c r="E73" s="36" t="s">
        <v>167</v>
      </c>
      <c r="F73" s="35">
        <v>2009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13-14</v>
      </c>
      <c r="H73" s="39" t="s">
        <v>66</v>
      </c>
      <c r="I73" s="43"/>
      <c r="J73" s="4">
        <f>R73+S73+IF(OR(H73="Junior",H73="Senior"),0.0002,IF(OR(H73="L7",H73="L6"),0.0001,0))+MAX(X73,Z73)*0.0000001</f>
        <v>70.800003539999992</v>
      </c>
      <c r="K73" s="3" t="str">
        <f>IF(G73="Not Age Eligible","",IF(MAX(T73,V73,X73,Z73)&gt;=LOOKUP(G73,'Qualifying Scores'!$A$4:$A$7,'Qualifying Scores'!$I$4:$I$7),"P",""))</f>
        <v/>
      </c>
      <c r="L73" s="3" t="str">
        <f>IF(G73="Not Age Eligible","",IF(MAX(U73,W73,Y73,AA73)&gt;=LOOKUP(G73,'Qualifying Scores'!$A$10:$A$13,'Qualifying Scores'!$I$10:$I$13),"P",""))</f>
        <v/>
      </c>
      <c r="M73" s="3" t="str">
        <f>IF(G73="Not Age Eligible","",IF(OR(AND(T73&gt;=LOOKUP(G73,'Qualifying Scores'!$A$4:$A$7,'Qualifying Scores'!$I$4:$I$7),U73&gt;=LOOKUP(G73,'Qualifying Scores'!$A$10:$A$13,'Qualifying Scores'!$I$10:$I$13)),AND(X73&gt;=LOOKUP(G73,'Qualifying Scores'!$A$4:$A$7,'Qualifying Scores'!$I$4:$I$7),Y73&gt;=LOOKUP(G73,'Qualifying Scores'!$A$10:$A$13,'Qualifying Scores'!$I$10:$I$13)),AND(V73&gt;=LOOKUP(G73,'Qualifying Scores'!$A$4:$A$7,'Qualifying Scores'!$I$4:$I$7),W73&gt;=LOOKUP(G73,'Qualifying Scores'!$A$10:$A$13,'Qualifying Scores'!$I$10:$I$13)),AND(Z73&gt;=LOOKUP(G73,'Qualifying Scores'!$A$4:$A$7,'Qualifying Scores'!$I$4:$I$7),AA73&gt;=LOOKUP(G73,'Qualifying Scores'!$A$10:$A$13,'Qualifying Scores'!$I$10:$I$13))),"P",""))</f>
        <v/>
      </c>
      <c r="Q73" s="1" t="str">
        <f>IF(A73&lt;5,IF(_xlfn.MAXIFS(A:A,G:G,G73)&gt;3,5-A73,_xlfn.MAXIFS(A:A,G:G,G73)+1-A73),"")</f>
        <v/>
      </c>
      <c r="R73" s="4">
        <f>MAX(T73,X73)</f>
        <v>35.4</v>
      </c>
      <c r="S73" s="4">
        <f>IF(R73=T73,MAX(V73,X73,Z73),IF(R73=X73,MAX(T73,V73,Z73),0))</f>
        <v>35.4</v>
      </c>
      <c r="T73" s="33"/>
      <c r="U73" s="40"/>
      <c r="V73" s="34"/>
      <c r="W73" s="40"/>
      <c r="X73" s="33">
        <v>35.4</v>
      </c>
      <c r="Y73" s="40">
        <v>3.5</v>
      </c>
      <c r="Z73" s="34">
        <v>35.4</v>
      </c>
      <c r="AA73" s="37">
        <v>4.2</v>
      </c>
    </row>
    <row r="74" spans="1:27" x14ac:dyDescent="0.2">
      <c r="A74" s="1" t="str" cm="1">
        <f t="array" ref="A74">IF(I74="","",IF(P74&lt;&gt;"",SUMPRODUCT((P$3:P$45&lt;&gt;"")*(G$3:G$45=G74)*(J$3:J$45&gt;J74)*(I$3:I$45="P"))+1,IF(O74&lt;&gt;"",SUMPRODUCT((O$3:O$45&lt;&gt;"")*(P$3:P$45="")*(G$3:G$45=G74)*(J$3:J$45&gt;J74)*(I$3:I$45="P"))+SUMPRODUCT((P$3:P$45&lt;&gt;"")*(G$3:G$45=G74)*(I$3:I$45="P"))+1,IF(N74&lt;&gt;"",SUMPRODUCT((N$3:N$45&lt;&gt;"")*(G$3:G$45=G74)*(J$3:J$45&gt;J74)*(I$3:I$45="P"))+1,IF(M74="P",SUMPRODUCT((O$3:O$45&lt;&gt;"")*(P$3:P$45="")*(G$3:G$45=G74)*(I$3:I$45="P"))+SUMPRODUCT((P$3:P$45&lt;&gt;"")*(G$3:G$45=G74)*(I$3:I$45="P"))+SUMPRODUCT((N$3:N$45&lt;&gt;"")*(G$3:G$45=G74)*(I$3:I$45="P"))+SUMPRODUCT((P$3:P$45="")*(O$3:O$45="")*(N$3:N$45="")*(M$3:M$45="P")*(G$3:G$45=G74)*(J$3:J$45&gt;J74)*(I$3:I$45="P"))+IF(H74="L5",SUMPRODUCT((P$3:P$45="")*(O$3:O$45="")*(N$3:N$45="")*(M$3:M$45="P")*(G$3:G$45=G74)*(J$3:J$45&lt;J74)*(H$3:H$45&lt;&gt;H74)*(I$3:I$45="P")),-1*SUMPRODUCT((P$3:P$45="")*(O$3:O$45="")*(N$3:N$45="")*(M$3:M$45="P")*(G$3:G$45=G74)*(J$3:J$45&gt;J74)*(H$3:H$45="L5")*(I$3:I$45="P")))+1,"")))))</f>
        <v/>
      </c>
      <c r="B74" s="1" t="str" cm="1">
        <f t="array" ref="B74">IF(P74&lt;&gt;"",SUMPRODUCT((P$3:P$77&lt;&gt;"")*(G$3:G$77=G74)*(J$3:J$77&gt;J74))+1,IF(O74&lt;&gt;"",SUMPRODUCT((O$3:O$77&lt;&gt;"")*(P$3:P$77="")*(G$3:G$77=G74)*(J$3:J$77&gt;J74))+SUMPRODUCT((P$3:P$77&lt;&gt;"")*(G$3:G$77=G74))+1,IF(N74&lt;&gt;"",SUMPRODUCT((N$3:N$77&lt;&gt;"")*(G$3:G$77=G74)*(J$3:J$77&gt;J74))+1,IF(M74="P",SUMPRODUCT((O$3:O$77&lt;&gt;"")*(P$3:P$77="")*(G$3:G$77=G74))+SUMPRODUCT((P$3:P$77&lt;&gt;"")*(G$3:G$77=G74))+SUMPRODUCT((N$3:N$77&lt;&gt;"")*(G$3:G$77=G74))+SUMPRODUCT((P$3:P$77="")*(O$3:O$77="")*(N$3:N$77="")*(M$3:M$77="P")*(G$3:G$77=G74)*(J$3:J$77&gt;J74))+IF(H74="L5",SUMPRODUCT((P$3:P$77="")*(O$3:O$77="")*(N$3:N$77="")*(M$3:M$77="P")*(G$3:G$77=G74)*(J$3:J$77&lt;J74)*(H$3:H$77&lt;&gt;H74)),-1*SUMPRODUCT((P$3:P$77="")*(O$3:O$77="")*(N$3:N$77="")*(M$3:M$77="P")*(G$3:G$77=G74)*(J$3:J$77&gt;J74)*(H$3:H$77="L5")))+1,""))))</f>
        <v/>
      </c>
      <c r="C74" s="36" t="s">
        <v>236</v>
      </c>
      <c r="D74" s="36" t="str">
        <f>IF(E74="","",VLOOKUP(E74,'Coaching Points'!A:B,2,0))</f>
        <v>BC</v>
      </c>
      <c r="E74" s="36" t="s">
        <v>41</v>
      </c>
      <c r="F74" s="35">
        <v>2009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13-14</v>
      </c>
      <c r="H74" s="39" t="s">
        <v>66</v>
      </c>
      <c r="I74" s="43" t="s">
        <v>567</v>
      </c>
      <c r="J74" s="4">
        <f>R74+S74+IF(OR(H74="Junior",H74="Senior"),0.0002,IF(OR(H74="L7",H74="L6"),0.0001,0))+MAX(X74,Z74)*0.0000001</f>
        <v>68.400003420000004</v>
      </c>
      <c r="K74" s="3" t="str">
        <f>IF(G74="Not Age Eligible","",IF(MAX(T74,V74,X74,Z74)&gt;=LOOKUP(G74,'Qualifying Scores'!$A$4:$A$7,'Qualifying Scores'!$I$4:$I$7),"P",""))</f>
        <v/>
      </c>
      <c r="L74" s="3" t="str">
        <f>IF(G74="Not Age Eligible","",IF(MAX(U74,W74,Y74,AA74)&gt;=LOOKUP(G74,'Qualifying Scores'!$A$10:$A$13,'Qualifying Scores'!$I$10:$I$13),"P",""))</f>
        <v/>
      </c>
      <c r="M74" s="3" t="str">
        <f>IF(G74="Not Age Eligible","",IF(OR(AND(T74&gt;=LOOKUP(G74,'Qualifying Scores'!$A$4:$A$7,'Qualifying Scores'!$I$4:$I$7),U74&gt;=LOOKUP(G74,'Qualifying Scores'!$A$10:$A$13,'Qualifying Scores'!$I$10:$I$13)),AND(X74&gt;=LOOKUP(G74,'Qualifying Scores'!$A$4:$A$7,'Qualifying Scores'!$I$4:$I$7),Y74&gt;=LOOKUP(G74,'Qualifying Scores'!$A$10:$A$13,'Qualifying Scores'!$I$10:$I$13)),AND(V74&gt;=LOOKUP(G74,'Qualifying Scores'!$A$4:$A$7,'Qualifying Scores'!$I$4:$I$7),W74&gt;=LOOKUP(G74,'Qualifying Scores'!$A$10:$A$13,'Qualifying Scores'!$I$10:$I$13)),AND(Z74&gt;=LOOKUP(G74,'Qualifying Scores'!$A$4:$A$7,'Qualifying Scores'!$I$4:$I$7),AA74&gt;=LOOKUP(G74,'Qualifying Scores'!$A$10:$A$13,'Qualifying Scores'!$I$10:$I$13))),"P",""))</f>
        <v/>
      </c>
      <c r="Q74" s="1" t="str">
        <f>IF(A74&lt;5,IF(_xlfn.MAXIFS(A:A,G:G,G74)&gt;3,5-A74,_xlfn.MAXIFS(A:A,G:G,G74)+1-A74),"")</f>
        <v/>
      </c>
      <c r="R74" s="4">
        <f>MAX(T74,X74)</f>
        <v>34.200000000000003</v>
      </c>
      <c r="S74" s="4">
        <f>IF(R74=T74,MAX(V74,X74,Z74),IF(R74=X74,MAX(T74,V74,Z74),0))</f>
        <v>34.200000000000003</v>
      </c>
      <c r="T74" s="33"/>
      <c r="U74" s="40"/>
      <c r="V74" s="34"/>
      <c r="W74" s="40"/>
      <c r="X74" s="33">
        <v>34.200000000000003</v>
      </c>
      <c r="Y74" s="40">
        <v>5.3</v>
      </c>
      <c r="Z74" s="34">
        <v>34.200000000000003</v>
      </c>
      <c r="AA74" s="37">
        <v>5.3</v>
      </c>
    </row>
    <row r="75" spans="1:27" x14ac:dyDescent="0.2">
      <c r="A75" s="1" t="str" cm="1">
        <f t="array" ref="A75">IF(I75="","",IF(P75&lt;&gt;"",SUMPRODUCT((P$3:P$45&lt;&gt;"")*(G$3:G$45=G75)*(J$3:J$45&gt;J75)*(I$3:I$45="P"))+1,IF(O75&lt;&gt;"",SUMPRODUCT((O$3:O$45&lt;&gt;"")*(P$3:P$45="")*(G$3:G$45=G75)*(J$3:J$45&gt;J75)*(I$3:I$45="P"))+SUMPRODUCT((P$3:P$45&lt;&gt;"")*(G$3:G$45=G75)*(I$3:I$45="P"))+1,IF(N75&lt;&gt;"",SUMPRODUCT((N$3:N$45&lt;&gt;"")*(G$3:G$45=G75)*(J$3:J$45&gt;J75)*(I$3:I$45="P"))+1,IF(M75="P",SUMPRODUCT((O$3:O$45&lt;&gt;"")*(P$3:P$45="")*(G$3:G$45=G75)*(I$3:I$45="P"))+SUMPRODUCT((P$3:P$45&lt;&gt;"")*(G$3:G$45=G75)*(I$3:I$45="P"))+SUMPRODUCT((N$3:N$45&lt;&gt;"")*(G$3:G$45=G75)*(I$3:I$45="P"))+SUMPRODUCT((P$3:P$45="")*(O$3:O$45="")*(N$3:N$45="")*(M$3:M$45="P")*(G$3:G$45=G75)*(J$3:J$45&gt;J75)*(I$3:I$45="P"))+IF(H75="L5",SUMPRODUCT((P$3:P$45="")*(O$3:O$45="")*(N$3:N$45="")*(M$3:M$45="P")*(G$3:G$45=G75)*(J$3:J$45&lt;J75)*(H$3:H$45&lt;&gt;H75)*(I$3:I$45="P")),-1*SUMPRODUCT((P$3:P$45="")*(O$3:O$45="")*(N$3:N$45="")*(M$3:M$45="P")*(G$3:G$45=G75)*(J$3:J$45&gt;J75)*(H$3:H$45="L5")*(I$3:I$45="P")))+1,"")))))</f>
        <v/>
      </c>
      <c r="B75" s="1" t="str" cm="1">
        <f t="array" ref="B75">IF(P75&lt;&gt;"",SUMPRODUCT((P$3:P$77&lt;&gt;"")*(G$3:G$77=G75)*(J$3:J$77&gt;J75))+1,IF(O75&lt;&gt;"",SUMPRODUCT((O$3:O$77&lt;&gt;"")*(P$3:P$77="")*(G$3:G$77=G75)*(J$3:J$77&gt;J75))+SUMPRODUCT((P$3:P$77&lt;&gt;"")*(G$3:G$77=G75))+1,IF(N75&lt;&gt;"",SUMPRODUCT((N$3:N$77&lt;&gt;"")*(G$3:G$77=G75)*(J$3:J$77&gt;J75))+1,IF(M75="P",SUMPRODUCT((O$3:O$77&lt;&gt;"")*(P$3:P$77="")*(G$3:G$77=G75))+SUMPRODUCT((P$3:P$77&lt;&gt;"")*(G$3:G$77=G75))+SUMPRODUCT((N$3:N$77&lt;&gt;"")*(G$3:G$77=G75))+SUMPRODUCT((P$3:P$77="")*(O$3:O$77="")*(N$3:N$77="")*(M$3:M$77="P")*(G$3:G$77=G75)*(J$3:J$77&gt;J75))+IF(H75="L5",SUMPRODUCT((P$3:P$77="")*(O$3:O$77="")*(N$3:N$77="")*(M$3:M$77="P")*(G$3:G$77=G75)*(J$3:J$77&lt;J75)*(H$3:H$77&lt;&gt;H75)),-1*SUMPRODUCT((P$3:P$77="")*(O$3:O$77="")*(N$3:N$77="")*(M$3:M$77="P")*(G$3:G$77=G75)*(J$3:J$77&gt;J75)*(H$3:H$77="L5")))+1,""))))</f>
        <v/>
      </c>
      <c r="C75" s="36" t="s">
        <v>305</v>
      </c>
      <c r="D75" s="36" t="str">
        <f>IF(E75="","",VLOOKUP(E75,'Coaching Points'!A:B,2,0))</f>
        <v>AB</v>
      </c>
      <c r="E75" s="36" t="s">
        <v>29</v>
      </c>
      <c r="F75" s="35">
        <v>2009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13-14</v>
      </c>
      <c r="H75" s="39" t="s">
        <v>66</v>
      </c>
      <c r="I75" s="43" t="s">
        <v>567</v>
      </c>
      <c r="J75" s="4">
        <f>R75+S75+IF(OR(H75="Junior",H75="Senior"),0.0002,IF(OR(H75="L7",H75="L6"),0.0001,0))+MAX(X75,Z75)*0.0000001</f>
        <v>68.300003629999992</v>
      </c>
      <c r="K75" s="3" t="str">
        <f>IF(G75="Not Age Eligible","",IF(MAX(T75,V75,X75,Z75)&gt;=LOOKUP(G75,'Qualifying Scores'!$A$4:$A$7,'Qualifying Scores'!$I$4:$I$7),"P",""))</f>
        <v/>
      </c>
      <c r="L75" s="3" t="str">
        <f>IF(G75="Not Age Eligible","",IF(MAX(U75,W75,Y75,AA75)&gt;=LOOKUP(G75,'Qualifying Scores'!$A$10:$A$13,'Qualifying Scores'!$I$10:$I$13),"P",""))</f>
        <v/>
      </c>
      <c r="M75" s="3" t="str">
        <f>IF(G75="Not Age Eligible","",IF(OR(AND(T75&gt;=LOOKUP(G75,'Qualifying Scores'!$A$4:$A$7,'Qualifying Scores'!$I$4:$I$7),U75&gt;=LOOKUP(G75,'Qualifying Scores'!$A$10:$A$13,'Qualifying Scores'!$I$10:$I$13)),AND(X75&gt;=LOOKUP(G75,'Qualifying Scores'!$A$4:$A$7,'Qualifying Scores'!$I$4:$I$7),Y75&gt;=LOOKUP(G75,'Qualifying Scores'!$A$10:$A$13,'Qualifying Scores'!$I$10:$I$13)),AND(V75&gt;=LOOKUP(G75,'Qualifying Scores'!$A$4:$A$7,'Qualifying Scores'!$I$4:$I$7),W75&gt;=LOOKUP(G75,'Qualifying Scores'!$A$10:$A$13,'Qualifying Scores'!$I$10:$I$13)),AND(Z75&gt;=LOOKUP(G75,'Qualifying Scores'!$A$4:$A$7,'Qualifying Scores'!$I$4:$I$7),AA75&gt;=LOOKUP(G75,'Qualifying Scores'!$A$10:$A$13,'Qualifying Scores'!$I$10:$I$13))),"P",""))</f>
        <v/>
      </c>
      <c r="Q75" s="1" t="str">
        <f>IF(A75&lt;5,IF(_xlfn.MAXIFS(A:A,G:G,G75)&gt;3,5-A75,_xlfn.MAXIFS(A:A,G:G,G75)+1-A75),"")</f>
        <v/>
      </c>
      <c r="R75" s="4">
        <f>MAX(T75,X75)</f>
        <v>36.299999999999997</v>
      </c>
      <c r="S75" s="4">
        <f>IF(R75=T75,MAX(V75,X75,Z75),IF(R75=X75,MAX(T75,V75,Z75),0))</f>
        <v>32</v>
      </c>
      <c r="T75" s="33"/>
      <c r="U75" s="40"/>
      <c r="V75" s="34"/>
      <c r="W75" s="40"/>
      <c r="X75" s="33">
        <v>36.299999999999997</v>
      </c>
      <c r="Y75" s="40">
        <v>4.3000000000000007</v>
      </c>
      <c r="Z75" s="34">
        <v>32</v>
      </c>
      <c r="AA75" s="37">
        <v>4.0999999999999996</v>
      </c>
    </row>
    <row r="76" spans="1:27" x14ac:dyDescent="0.2">
      <c r="A76" s="1" t="str" cm="1">
        <f t="array" ref="A76">IF(I76="","",IF(P76&lt;&gt;"",SUMPRODUCT((P$3:P$45&lt;&gt;"")*(G$3:G$45=G76)*(J$3:J$45&gt;J76)*(I$3:I$45="P"))+1,IF(O76&lt;&gt;"",SUMPRODUCT((O$3:O$45&lt;&gt;"")*(P$3:P$45="")*(G$3:G$45=G76)*(J$3:J$45&gt;J76)*(I$3:I$45="P"))+SUMPRODUCT((P$3:P$45&lt;&gt;"")*(G$3:G$45=G76)*(I$3:I$45="P"))+1,IF(N76&lt;&gt;"",SUMPRODUCT((N$3:N$45&lt;&gt;"")*(G$3:G$45=G76)*(J$3:J$45&gt;J76)*(I$3:I$45="P"))+1,IF(M76="P",SUMPRODUCT((O$3:O$45&lt;&gt;"")*(P$3:P$45="")*(G$3:G$45=G76)*(I$3:I$45="P"))+SUMPRODUCT((P$3:P$45&lt;&gt;"")*(G$3:G$45=G76)*(I$3:I$45="P"))+SUMPRODUCT((N$3:N$45&lt;&gt;"")*(G$3:G$45=G76)*(I$3:I$45="P"))+SUMPRODUCT((P$3:P$45="")*(O$3:O$45="")*(N$3:N$45="")*(M$3:M$45="P")*(G$3:G$45=G76)*(J$3:J$45&gt;J76)*(I$3:I$45="P"))+IF(H76="L5",SUMPRODUCT((P$3:P$45="")*(O$3:O$45="")*(N$3:N$45="")*(M$3:M$45="P")*(G$3:G$45=G76)*(J$3:J$45&lt;J76)*(H$3:H$45&lt;&gt;H76)*(I$3:I$45="P")),-1*SUMPRODUCT((P$3:P$45="")*(O$3:O$45="")*(N$3:N$45="")*(M$3:M$45="P")*(G$3:G$45=G76)*(J$3:J$45&gt;J76)*(H$3:H$45="L5")*(I$3:I$45="P")))+1,"")))))</f>
        <v/>
      </c>
      <c r="B76" s="1" t="str" cm="1">
        <f t="array" ref="B76">IF(P76&lt;&gt;"",SUMPRODUCT((P$3:P$77&lt;&gt;"")*(G$3:G$77=G76)*(J$3:J$77&gt;J76))+1,IF(O76&lt;&gt;"",SUMPRODUCT((O$3:O$77&lt;&gt;"")*(P$3:P$77="")*(G$3:G$77=G76)*(J$3:J$77&gt;J76))+SUMPRODUCT((P$3:P$77&lt;&gt;"")*(G$3:G$77=G76))+1,IF(N76&lt;&gt;"",SUMPRODUCT((N$3:N$77&lt;&gt;"")*(G$3:G$77=G76)*(J$3:J$77&gt;J76))+1,IF(M76="P",SUMPRODUCT((O$3:O$77&lt;&gt;"")*(P$3:P$77="")*(G$3:G$77=G76))+SUMPRODUCT((P$3:P$77&lt;&gt;"")*(G$3:G$77=G76))+SUMPRODUCT((N$3:N$77&lt;&gt;"")*(G$3:G$77=G76))+SUMPRODUCT((P$3:P$77="")*(O$3:O$77="")*(N$3:N$77="")*(M$3:M$77="P")*(G$3:G$77=G76)*(J$3:J$77&gt;J76))+IF(H76="L5",SUMPRODUCT((P$3:P$77="")*(O$3:O$77="")*(N$3:N$77="")*(M$3:M$77="P")*(G$3:G$77=G76)*(J$3:J$77&lt;J76)*(H$3:H$77&lt;&gt;H76)),-1*SUMPRODUCT((P$3:P$77="")*(O$3:O$77="")*(N$3:N$77="")*(M$3:M$77="P")*(G$3:G$77=G76)*(J$3:J$77&gt;J76)*(H$3:H$77="L5")))+1,""))))</f>
        <v/>
      </c>
      <c r="C76" s="36" t="s">
        <v>548</v>
      </c>
      <c r="D76" s="36" t="str">
        <f>IF(E76="","",VLOOKUP(E76,'Coaching Points'!A:B,2,0))</f>
        <v>AB</v>
      </c>
      <c r="E76" s="36" t="s">
        <v>58</v>
      </c>
      <c r="F76" s="35">
        <v>2011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11-12</v>
      </c>
      <c r="H76" s="39" t="s">
        <v>66</v>
      </c>
      <c r="I76" s="43" t="s">
        <v>567</v>
      </c>
      <c r="J76" s="4">
        <f>R76+S76+IF(OR(H76="Junior",H76="Senior"),0.0002,IF(OR(H76="L7",H76="L6"),0.0001,0))+MAX(X76,Z76)*0.0000001</f>
        <v>69.600003609999987</v>
      </c>
      <c r="K76" s="3" t="str">
        <f>IF(G76="Not Age Eligible","",IF(MAX(T76,V76,X76,Z76)&gt;=LOOKUP(G76,'Qualifying Scores'!$A$4:$A$7,'Qualifying Scores'!$I$4:$I$7),"P",""))</f>
        <v/>
      </c>
      <c r="L76" s="3" t="str">
        <f>IF(G76="Not Age Eligible","",IF(MAX(U76,W76,Y76,AA76)&gt;=LOOKUP(G76,'Qualifying Scores'!$A$10:$A$13,'Qualifying Scores'!$I$10:$I$13),"P",""))</f>
        <v/>
      </c>
      <c r="M76" s="3" t="str">
        <f>IF(G76="Not Age Eligible","",IF(OR(AND(T76&gt;=LOOKUP(G76,'Qualifying Scores'!$A$4:$A$7,'Qualifying Scores'!$I$4:$I$7),U76&gt;=LOOKUP(G76,'Qualifying Scores'!$A$10:$A$13,'Qualifying Scores'!$I$10:$I$13)),AND(X76&gt;=LOOKUP(G76,'Qualifying Scores'!$A$4:$A$7,'Qualifying Scores'!$I$4:$I$7),Y76&gt;=LOOKUP(G76,'Qualifying Scores'!$A$10:$A$13,'Qualifying Scores'!$I$10:$I$13)),AND(V76&gt;=LOOKUP(G76,'Qualifying Scores'!$A$4:$A$7,'Qualifying Scores'!$I$4:$I$7),W76&gt;=LOOKUP(G76,'Qualifying Scores'!$A$10:$A$13,'Qualifying Scores'!$I$10:$I$13)),AND(Z76&gt;=LOOKUP(G76,'Qualifying Scores'!$A$4:$A$7,'Qualifying Scores'!$I$4:$I$7),AA76&gt;=LOOKUP(G76,'Qualifying Scores'!$A$10:$A$13,'Qualifying Scores'!$I$10:$I$13))),"P",""))</f>
        <v/>
      </c>
      <c r="Q76" s="1" t="str">
        <f>IF(A76&lt;5,IF(_xlfn.MAXIFS(A:A,G:G,G76)&gt;3,5-A76,_xlfn.MAXIFS(A:A,G:G,G76)+1-A76),"")</f>
        <v/>
      </c>
      <c r="R76" s="4">
        <f>MAX(T76,X76)</f>
        <v>33.5</v>
      </c>
      <c r="S76" s="4">
        <f>IF(R76=T76,MAX(V76,X76,Z76),IF(R76=X76,MAX(T76,V76,Z76),0))</f>
        <v>36.1</v>
      </c>
      <c r="T76" s="33"/>
      <c r="U76" s="40"/>
      <c r="V76" s="34"/>
      <c r="W76" s="40"/>
      <c r="X76" s="33">
        <v>33.5</v>
      </c>
      <c r="Y76" s="40">
        <v>4.9000000000000004</v>
      </c>
      <c r="Z76" s="34">
        <v>36.1</v>
      </c>
      <c r="AA76" s="37">
        <v>5</v>
      </c>
    </row>
  </sheetData>
  <sheetProtection sheet="1" formatCells="0" formatColumns="0" formatRows="0"/>
  <autoFilter ref="A1:AA2" xr:uid="{886FAB1D-0CE4-F64D-ABB9-2F0ADAEF3696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3:AA76">
      <sortCondition descending="1" ref="G1:G77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</mergeCells>
  <phoneticPr fontId="13" type="noConversion"/>
  <conditionalFormatting sqref="A1:Q2 T1:XFD2 A77:XFD1048576 AM3:XFD76 A3:AK76">
    <cfRule type="expression" dxfId="11" priority="9">
      <formula>IF($G1="17-21",1,0)</formula>
    </cfRule>
    <cfRule type="expression" dxfId="10" priority="10">
      <formula>IF($G1="15-16",1,0)</formula>
    </cfRule>
    <cfRule type="expression" dxfId="9" priority="11">
      <formula>IF($G1="13-14",1,0)</formula>
    </cfRule>
    <cfRule type="expression" dxfId="8" priority="12">
      <formula>IF($G1="11-12",1,0)</formula>
    </cfRule>
  </conditionalFormatting>
  <conditionalFormatting sqref="R1:S2">
    <cfRule type="expression" dxfId="7" priority="5">
      <formula>IF($G1="17-21",1,0)</formula>
    </cfRule>
    <cfRule type="expression" dxfId="6" priority="6">
      <formula>IF($G1="15-16",1,0)</formula>
    </cfRule>
    <cfRule type="expression" dxfId="5" priority="7">
      <formula>IF($G1="13-14",1,0)</formula>
    </cfRule>
    <cfRule type="expression" dxfId="4" priority="8">
      <formula>IF($G1="11-12",1,0)</formula>
    </cfRule>
  </conditionalFormatting>
  <conditionalFormatting sqref="AL3:AL76">
    <cfRule type="expression" dxfId="3" priority="1">
      <formula>IF($G3="17-21",1,0)</formula>
    </cfRule>
    <cfRule type="expression" dxfId="2" priority="2">
      <formula>IF($G3="15-16",1,0)</formula>
    </cfRule>
    <cfRule type="expression" dxfId="1" priority="3">
      <formula>IF($G3="13-14",1,0)</formula>
    </cfRule>
    <cfRule type="expression" dxfId="0" priority="4">
      <formula>IF($G3="11-12",1,0)</formula>
    </cfRule>
  </conditionalFormatting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Info</vt:lpstr>
      <vt:lpstr>Qualifying Scores</vt:lpstr>
      <vt:lpstr>Coaching Points</vt:lpstr>
      <vt:lpstr>TRA-M</vt:lpstr>
      <vt:lpstr>TRA-W</vt:lpstr>
      <vt:lpstr>SYN-M</vt:lpstr>
      <vt:lpstr>SYN-W</vt:lpstr>
      <vt:lpstr>DMT-M</vt:lpstr>
      <vt:lpstr>DMT-W</vt:lpstr>
      <vt:lpstr>TUM-M</vt:lpstr>
      <vt:lpstr>TUM-W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cp:lastPrinted>2019-08-12T14:12:09Z</cp:lastPrinted>
  <dcterms:created xsi:type="dcterms:W3CDTF">2018-07-26T15:47:06Z</dcterms:created>
  <dcterms:modified xsi:type="dcterms:W3CDTF">2023-08-14T14:07:54Z</dcterms:modified>
</cp:coreProperties>
</file>