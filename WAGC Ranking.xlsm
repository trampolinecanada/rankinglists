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98F9DE5-FCBE-0347-BCB2-44A07FF0EF13}" xr6:coauthVersionLast="47" xr6:coauthVersionMax="47" xr10:uidLastSave="{00000000-0000-0000-0000-000000000000}"/>
  <bookViews>
    <workbookView xWindow="33600" yWindow="-11600" windowWidth="38400" windowHeight="211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19" i="15" a="1"/>
  <c r="A19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75" i="16" l="1" a="1"/>
  <c r="A75" i="16" s="1"/>
  <c r="Q75" i="16" s="1"/>
  <c r="A42" i="16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0" i="6" a="1"/>
  <c r="A20" i="6" s="1"/>
  <c r="A21" i="6" a="1"/>
  <c r="A21" i="6" s="1"/>
  <c r="A22" i="6" a="1"/>
  <c r="A22" i="6" s="1"/>
  <c r="A19" i="6" a="1"/>
  <c r="A19" i="6" s="1"/>
  <c r="Q19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8" i="6" a="1"/>
  <c r="A18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4" i="3" a="1"/>
  <c r="A24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19" i="6"/>
  <c r="G19" i="6"/>
  <c r="K19" i="6" s="1"/>
  <c r="R19" i="6"/>
  <c r="S19" i="6" s="1"/>
  <c r="J19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7" i="3"/>
  <c r="G7" i="3"/>
  <c r="L7" i="3" s="1"/>
  <c r="X7" i="3"/>
  <c r="AE7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6" i="6"/>
  <c r="S16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20" i="6"/>
  <c r="S20" i="6" s="1"/>
  <c r="R24" i="6"/>
  <c r="S24" i="6" s="1"/>
  <c r="R13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8" i="6"/>
  <c r="S18" i="6" s="1"/>
  <c r="R5" i="6"/>
  <c r="S5" i="6" s="1"/>
  <c r="R3" i="6"/>
  <c r="S3" i="6" s="1"/>
  <c r="J3" i="6" s="1"/>
  <c r="R8" i="6"/>
  <c r="S8" i="6" s="1"/>
  <c r="R4" i="6"/>
  <c r="R15" i="6"/>
  <c r="S15" i="6" s="1"/>
  <c r="R23" i="6"/>
  <c r="S23" i="6" s="1"/>
  <c r="R11" i="6"/>
  <c r="S11" i="6" s="1"/>
  <c r="R42" i="6"/>
  <c r="S42" i="6" s="1"/>
  <c r="R17" i="6"/>
  <c r="S17" i="6" s="1"/>
  <c r="J17" i="6" s="1"/>
  <c r="R6" i="6"/>
  <c r="S6" i="6" s="1"/>
  <c r="R14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19" i="6"/>
  <c r="J7" i="6"/>
  <c r="L85" i="6"/>
  <c r="S81" i="6"/>
  <c r="J81" i="6" s="1"/>
  <c r="J79" i="6"/>
  <c r="L74" i="6"/>
  <c r="S95" i="6"/>
  <c r="J95" i="6" s="1"/>
  <c r="L36" i="6"/>
  <c r="L19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7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7" i="3"/>
  <c r="S7" i="3" s="1"/>
  <c r="S56" i="3"/>
  <c r="J56" i="3" s="1"/>
  <c r="R55" i="3"/>
  <c r="M48" i="3"/>
  <c r="L47" i="3"/>
  <c r="R31" i="3"/>
  <c r="S31" i="3" s="1"/>
  <c r="S57" i="3"/>
  <c r="M53" i="3"/>
  <c r="L48" i="3"/>
  <c r="M7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20" i="6"/>
  <c r="J69" i="6"/>
  <c r="J41" i="6"/>
  <c r="J34" i="6"/>
  <c r="J40" i="6"/>
  <c r="J77" i="6"/>
  <c r="J93" i="6"/>
  <c r="J8" i="6"/>
  <c r="J70" i="6"/>
  <c r="J11" i="6"/>
  <c r="J62" i="6"/>
  <c r="J72" i="6"/>
  <c r="J94" i="6"/>
  <c r="J18" i="6"/>
  <c r="J37" i="6"/>
  <c r="J5" i="6"/>
  <c r="J39" i="6"/>
  <c r="J25" i="6"/>
  <c r="J44" i="6"/>
  <c r="J21" i="6"/>
  <c r="J75" i="6"/>
  <c r="J97" i="6"/>
  <c r="J52" i="6"/>
  <c r="J64" i="6"/>
  <c r="J15" i="6"/>
  <c r="J12" i="6"/>
  <c r="J31" i="6"/>
  <c r="J24" i="6"/>
  <c r="J42" i="6"/>
  <c r="J58" i="6"/>
  <c r="S13" i="6"/>
  <c r="J13" i="6" s="1"/>
  <c r="S61" i="6"/>
  <c r="J61" i="6" s="1"/>
  <c r="S89" i="6"/>
  <c r="J89" i="6" s="1"/>
  <c r="J43" i="6"/>
  <c r="S14" i="6"/>
  <c r="J14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6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7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D154" i="2" l="1" a="1"/>
  <c r="D154" i="2" s="1"/>
  <c r="AE71" i="1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3" i="6"/>
  <c r="D12" i="6"/>
  <c r="D27" i="6"/>
  <c r="D22" i="6"/>
  <c r="D41" i="6"/>
  <c r="D56" i="6"/>
  <c r="D58" i="6"/>
  <c r="D25" i="6"/>
  <c r="D60" i="6"/>
  <c r="D62" i="6"/>
  <c r="D64" i="6"/>
  <c r="D59" i="6"/>
  <c r="D18" i="6"/>
  <c r="D5" i="6"/>
  <c r="D3" i="6"/>
  <c r="D8" i="6"/>
  <c r="D4" i="6"/>
  <c r="D15" i="6"/>
  <c r="D23" i="6"/>
  <c r="D11" i="6"/>
  <c r="D42" i="6"/>
  <c r="D17" i="6"/>
  <c r="D6" i="6"/>
  <c r="D77" i="6"/>
  <c r="D61" i="6"/>
  <c r="D63" i="6"/>
  <c r="D72" i="6"/>
  <c r="D68" i="6"/>
  <c r="D87" i="6"/>
  <c r="D10" i="6"/>
  <c r="D9" i="6"/>
  <c r="D21" i="6"/>
  <c r="D20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4" i="6"/>
  <c r="D26" i="6"/>
  <c r="D16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8" i="3"/>
  <c r="D5" i="3"/>
  <c r="D9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8" i="6"/>
  <c r="G18" i="6"/>
  <c r="G13" i="6"/>
  <c r="Q58" i="6"/>
  <c r="G58" i="6"/>
  <c r="G17" i="6"/>
  <c r="G15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9" i="3"/>
  <c r="X9" i="3"/>
  <c r="AE9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8" i="6"/>
  <c r="M12" i="6"/>
  <c r="M62" i="6"/>
  <c r="K58" i="6"/>
  <c r="K40" i="6"/>
  <c r="K41" i="6"/>
  <c r="K23" i="6"/>
  <c r="M22" i="6"/>
  <c r="M3" i="6"/>
  <c r="K15" i="6"/>
  <c r="K8" i="6"/>
  <c r="K77" i="6"/>
  <c r="K5" i="6"/>
  <c r="M27" i="6"/>
  <c r="B27" i="6" s="1" a="1"/>
  <c r="B27" i="6" s="1"/>
  <c r="K13" i="6"/>
  <c r="K59" i="6"/>
  <c r="K6" i="6"/>
  <c r="M17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8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7" i="6"/>
  <c r="M13" i="6"/>
  <c r="L13" i="6"/>
  <c r="L18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5" i="6"/>
  <c r="L17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5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A37" i="13" s="1" a="1"/>
  <c r="A37" i="13" s="1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9" i="3"/>
  <c r="M4" i="3"/>
  <c r="K67" i="3"/>
  <c r="L81" i="3"/>
  <c r="L9" i="3"/>
  <c r="L4" i="3"/>
  <c r="K81" i="3"/>
  <c r="K9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8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8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20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6" i="6"/>
  <c r="G32" i="6"/>
  <c r="G45" i="6"/>
  <c r="G14" i="6"/>
  <c r="G38" i="6"/>
  <c r="G52" i="6"/>
  <c r="G39" i="6"/>
  <c r="G26" i="6"/>
  <c r="G72" i="6"/>
  <c r="G50" i="3"/>
  <c r="A35" i="13" l="1" a="1"/>
  <c r="A35" i="13" s="1"/>
  <c r="A3" i="13" a="1"/>
  <c r="A3" i="13" s="1"/>
  <c r="A36" i="13" a="1"/>
  <c r="A36" i="13" s="1"/>
  <c r="B66" i="14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B27" i="12" a="1"/>
  <c r="B27" i="12" s="1"/>
  <c r="A27" i="12" a="1"/>
  <c r="A27" i="12" s="1"/>
  <c r="R27" i="12" s="1"/>
  <c r="B15" i="12" a="1"/>
  <c r="B15" i="12" s="1"/>
  <c r="A3" i="12" a="1"/>
  <c r="A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8" i="6" a="1"/>
  <c r="B18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9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8" i="3"/>
  <c r="R8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20" i="6"/>
  <c r="M67" i="6"/>
  <c r="L9" i="6"/>
  <c r="M45" i="6"/>
  <c r="B45" i="6" s="1" a="1"/>
  <c r="B45" i="6" s="1"/>
  <c r="L72" i="6"/>
  <c r="M16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0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6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20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4" i="6"/>
  <c r="L89" i="6"/>
  <c r="L63" i="6"/>
  <c r="L60" i="6"/>
  <c r="M39" i="6"/>
  <c r="B39" i="6" s="1" a="1"/>
  <c r="B39" i="6" s="1"/>
  <c r="M43" i="6"/>
  <c r="M61" i="6"/>
  <c r="M9" i="6"/>
  <c r="M4" i="6"/>
  <c r="K52" i="6"/>
  <c r="K16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20" i="6"/>
  <c r="K14" i="6"/>
  <c r="K89" i="6"/>
  <c r="K63" i="6"/>
  <c r="K60" i="6"/>
  <c r="M14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8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8" i="3"/>
  <c r="M78" i="3"/>
  <c r="L68" i="3"/>
  <c r="L52" i="3"/>
  <c r="L37" i="3"/>
  <c r="L104" i="3"/>
  <c r="K33" i="3"/>
  <c r="K8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D220" i="2" l="1" a="1"/>
  <c r="D220" i="2" s="1"/>
  <c r="D218" i="2" a="1"/>
  <c r="D218" i="2" s="1"/>
  <c r="D219" i="2" a="1"/>
  <c r="D219" i="2" s="1"/>
  <c r="D186" i="2" a="1"/>
  <c r="D186" i="2" s="1"/>
  <c r="R4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3" i="12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94" i="14" a="1"/>
  <c r="A94" i="14" s="1"/>
  <c r="A62" i="14" a="1"/>
  <c r="A62" i="14" s="1"/>
  <c r="R35" i="13"/>
  <c r="B125" i="11" a="1"/>
  <c r="B125" i="11" s="1"/>
  <c r="A125" i="11" a="1"/>
  <c r="A125" i="11" s="1"/>
  <c r="Q125" i="11" s="1"/>
  <c r="A7" i="6" a="1"/>
  <c r="A7" i="6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4" i="6" a="1"/>
  <c r="A14" i="6" s="1"/>
  <c r="Q14" i="6" s="1"/>
  <c r="A16" i="6" a="1"/>
  <c r="A16" i="6" s="1"/>
  <c r="A13" i="6" a="1"/>
  <c r="A13" i="6" s="1"/>
  <c r="Q13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5" i="6" a="1"/>
  <c r="A15" i="6" s="1"/>
  <c r="Q15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Q76" i="6" s="1"/>
  <c r="A17" i="6" a="1"/>
  <c r="A17" i="6" s="1"/>
  <c r="Q17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Q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Q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Q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6" i="6" a="1"/>
  <c r="B16" i="6" s="1"/>
  <c r="B87" i="6" a="1"/>
  <c r="B87" i="6" s="1"/>
  <c r="B6" i="6" a="1"/>
  <c r="B6" i="6" s="1"/>
  <c r="B65" i="6" a="1"/>
  <c r="B65" i="6" s="1"/>
  <c r="B17" i="6" a="1"/>
  <c r="B17" i="6" s="1"/>
  <c r="B61" i="6" a="1"/>
  <c r="B61" i="6" s="1"/>
  <c r="B9" i="6" a="1"/>
  <c r="B9" i="6" s="1"/>
  <c r="B66" i="6" a="1"/>
  <c r="B66" i="6" s="1"/>
  <c r="B11" i="6" a="1"/>
  <c r="B11" i="6" s="1"/>
  <c r="B15" i="6" a="1"/>
  <c r="B15" i="6" s="1"/>
  <c r="B14" i="6" a="1"/>
  <c r="B14" i="6" s="1"/>
  <c r="B67" i="6" a="1"/>
  <c r="B67" i="6" s="1"/>
  <c r="B22" i="6" a="1"/>
  <c r="B22" i="6" s="1"/>
  <c r="B7" i="6" a="1"/>
  <c r="B7" i="6" s="1"/>
  <c r="B10" i="6" a="1"/>
  <c r="B10" i="6" s="1"/>
  <c r="B20" i="6" a="1"/>
  <c r="B20" i="6" s="1"/>
  <c r="B13" i="6" a="1"/>
  <c r="B13" i="6" s="1"/>
  <c r="B63" i="6" a="1"/>
  <c r="B63" i="6" s="1"/>
  <c r="B21" i="6" a="1"/>
  <c r="B21" i="6" s="1"/>
  <c r="B12" i="6" a="1"/>
  <c r="B12" i="6" s="1"/>
  <c r="B8" i="6" a="1"/>
  <c r="B8" i="6" s="1"/>
  <c r="B19" i="6" a="1"/>
  <c r="B19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8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31" i="11"/>
  <c r="Q26" i="11"/>
  <c r="Q71" i="11"/>
  <c r="Q73" i="11"/>
  <c r="Q76" i="11"/>
  <c r="Q32" i="11"/>
  <c r="Q38" i="11"/>
  <c r="Q40" i="11"/>
  <c r="Q46" i="11"/>
  <c r="Q128" i="11"/>
  <c r="Q90" i="11"/>
  <c r="Q99" i="11"/>
  <c r="Q56" i="11"/>
  <c r="Q50" i="11"/>
  <c r="Q101" i="11"/>
  <c r="Q21" i="11"/>
  <c r="Q24" i="11"/>
  <c r="Q41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D146" i="2" l="1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7" i="6"/>
  <c r="E20" i="17" s="1"/>
  <c r="F20" i="17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93" i="14"/>
  <c r="Q94" i="14"/>
  <c r="Q61" i="14"/>
  <c r="Q34" i="15"/>
  <c r="G9" i="17" s="1"/>
  <c r="Q5" i="15"/>
  <c r="G15" i="17" s="1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B51" i="3" a="1"/>
  <c r="B51" i="3" s="1"/>
  <c r="B54" i="3" a="1"/>
  <c r="B54" i="3" s="1"/>
  <c r="B52" i="3" a="1"/>
  <c r="B52" i="3" s="1"/>
  <c r="B7" i="3" a="1"/>
  <c r="B7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9" i="3" a="1"/>
  <c r="A9" i="3" s="1"/>
  <c r="Q9" i="3" s="1"/>
  <c r="C36" i="17" s="1"/>
  <c r="A8" i="3" a="1"/>
  <c r="A8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7" i="3" a="1"/>
  <c r="A7" i="3" s="1"/>
  <c r="Q7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8" i="3" a="1"/>
  <c r="B8" i="3" s="1"/>
  <c r="B98" i="3" a="1"/>
  <c r="B98" i="3" s="1"/>
  <c r="B9" i="3" a="1"/>
  <c r="B9" i="3" s="1"/>
  <c r="B3" i="3" a="1"/>
  <c r="B3" i="3" s="1"/>
  <c r="C29" i="17"/>
  <c r="D29" i="17" s="1"/>
  <c r="G14" i="17"/>
  <c r="H14" i="17" s="1"/>
  <c r="G61" i="17"/>
  <c r="H61" i="17" s="1"/>
  <c r="G49" i="17"/>
  <c r="H49" i="17" s="1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Q26" i="14"/>
  <c r="Q68" i="6"/>
  <c r="R36" i="13"/>
  <c r="Q70" i="3"/>
  <c r="Q29" i="11"/>
  <c r="Q18" i="1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Q44" i="6"/>
  <c r="E29" i="17" s="1"/>
  <c r="F29" i="17" s="1"/>
  <c r="Q32" i="6"/>
  <c r="Q61" i="6"/>
  <c r="Q16" i="6"/>
  <c r="Q43" i="6"/>
  <c r="Q16" i="16"/>
  <c r="G57" i="17"/>
  <c r="Q20" i="16"/>
  <c r="G23" i="17" s="1"/>
  <c r="H23" i="17" s="1"/>
  <c r="Q21" i="15"/>
  <c r="Q17" i="15"/>
  <c r="Q22" i="11"/>
  <c r="Q17" i="11"/>
  <c r="D37" i="2" l="1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2" i="17"/>
  <c r="E50" i="17"/>
  <c r="Q6" i="11"/>
  <c r="E10" i="17"/>
  <c r="E19" i="17"/>
  <c r="Q3" i="11"/>
  <c r="Q5" i="11"/>
  <c r="C46" i="17" s="1"/>
  <c r="Q4" i="11"/>
  <c r="C39" i="17" s="1"/>
  <c r="C55" i="17"/>
  <c r="D55" i="17" s="1"/>
  <c r="Q5" i="3"/>
  <c r="C11" i="17" s="1"/>
  <c r="Q3" i="3"/>
  <c r="Q4" i="3"/>
  <c r="C61" i="17" s="1"/>
  <c r="Q6" i="3"/>
  <c r="Q8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H48" i="17" l="1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63" i="17" l="1"/>
  <c r="D14" i="17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<sst xmlns="http://schemas.openxmlformats.org/spreadsheetml/2006/main" count="2828" uniqueCount="569">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</sst>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_xlfn.IFNA(INDEX('TRA-M'!C$3:C$107,MATCH(1,(C2='TRA-M'!A$3:A$107)*(B2='TRA-M'!G$3:G$107),0)),"")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_xlfn.IFNA(INDEX('TRA-M'!C$3:C$107,MATCH(1,(C3='TRA-M'!A$3:A$107)*(B3='TRA-M'!G$3:G$107),0)),"")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_xlfn.IFNA(INDEX('TRA-M'!C$3:C$107,MATCH(1,(C4='TRA-M'!A$3:A$107)*(B4='TRA-M'!G$3:G$107),0)),"")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_xlfn.IFNA(INDEX('TRA-M'!C$3:C$107,MATCH(1,(C5='TRA-M'!A$3:A$107)*(B5='TRA-M'!G$3:G$107),0)),"")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_xlfn.IFNA(INDEX('TRA-M'!C$3:C$107,MATCH(1,(C6='TRA-M'!A$3:A$107)*(B6='TRA-M'!G$3:G$107),0)),"")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_xlfn.IFNA(INDEX('TRA-M'!C$3:C$107,MATCH(1,(C7='TRA-M'!A$3:A$107)*(B7='TRA-M'!G$3:G$107),0)),"")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_xlfn.IFNA(INDEX('TRA-M'!C$3:C$107,MATCH(1,(C8='TRA-M'!A$3:A$107)*(B8='TRA-M'!G$3:G$107),0)),"")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_xlfn.IFNA(INDEX('TRA-M'!C$3:C$107,MATCH(1,(C9='TRA-M'!A$3:A$107)*(B9='TRA-M'!G$3:G$107),0)),"")</f>
        <v/>
      </c>
    </row>
    <row r="10" spans="1:4" x14ac:dyDescent="0.2">
      <c r="A10" s="56" t="str">
        <f t="shared" si="0"/>
        <v>TRA-M</v>
      </c>
      <c r="B10" s="56" t="s">
        <v>17</v>
      </c>
      <c r="C10" s="56">
        <v>1</v>
      </c>
      <c r="D10" s="41" t="str" cm="1">
        <f t="array" ref="D10">_xlfn.IFNA(INDEX('TRA-M'!C$3:C$107,MATCH(1,(C10='TRA-M'!A$3:A$107)*(B10='TRA-M'!G$3:G$107),0)),"")</f>
        <v>REIMCHE, Wilson</v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_xlfn.IFNA(INDEX('TRA-M'!C$3:C$107,MATCH(1,(C11='TRA-M'!A$3:A$107)*(B11='TRA-M'!G$3:G$107),0)),"")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_xlfn.IFNA(INDEX('TRA-M'!C$3:C$107,MATCH(1,(C12='TRA-M'!A$3:A$107)*(B12='TRA-M'!G$3:G$107),0)),"")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_xlfn.IFNA(INDEX('TRA-M'!C$3:C$107,MATCH(1,(C13='TRA-M'!A$3:A$107)*(B13='TRA-M'!G$3:G$107),0)),"")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_xlfn.IFNA(INDEX('TRA-M'!C$3:C$107,MATCH(1,(C14='TRA-M'!A$3:A$107)*(B14='TRA-M'!G$3:G$107),0)),"")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_xlfn.IFNA(INDEX('TRA-M'!C$3:C$107,MATCH(1,(C15='TRA-M'!A$3:A$107)*(B15='TRA-M'!G$3:G$107),0)),"")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_xlfn.IFNA(INDEX('TRA-M'!C$3:C$107,MATCH(1,(C16='TRA-M'!A$3:A$107)*(B16='TRA-M'!G$3:G$107),0)),"")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_xlfn.IFNA(INDEX('TRA-M'!C$3:C$107,MATCH(1,(C17='TRA-M'!A$3:A$107)*(B17='TRA-M'!G$3:G$107),0)),"")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_xlfn.IFNA(INDEX('TRA-M'!C$3:C$107,MATCH(1,(C18='TRA-M'!A$3:A$107)*(B18='TRA-M'!G$3:G$107),0)),"")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_xlfn.IFNA(INDEX('TRA-M'!C$3:C$107,MATCH(1,(C19='TRA-M'!A$3:A$107)*(B19='TRA-M'!G$3:G$107),0)),"")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_xlfn.IFNA(INDEX('TRA-M'!C$3:C$107,MATCH(1,(C20='TRA-M'!A$3:A$107)*(B20='TRA-M'!G$3:G$107),0)),"")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_xlfn.IFNA(INDEX('TRA-M'!C$3:C$107,MATCH(1,(C21='TRA-M'!A$3:A$107)*(B21='TRA-M'!G$3:G$107),0)),"")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_xlfn.IFNA(INDEX('TRA-M'!C$3:C$107,MATCH(1,(C22='TRA-M'!A$3:A$107)*(B22='TRA-M'!G$3:G$107),0)),"")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_xlfn.IFNA(INDEX('TRA-M'!C$3:C$107,MATCH(1,(C23='TRA-M'!A$3:A$107)*(B23='TRA-M'!G$3:G$107),0)),"")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_xlfn.IFNA(INDEX('TRA-M'!C$3:C$107,MATCH(1,(C24='TRA-M'!A$3:A$107)*(B24='TRA-M'!G$3:G$107),0)),"")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_xlfn.IFNA(INDEX('TRA-M'!C$3:C$107,MATCH(1,(C25='TRA-M'!A$3:A$107)*(B25='TRA-M'!G$3:G$107),0)),"")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_xlfn.IFNA(INDEX('TRA-M'!C$3:C$107,MATCH(1,(C26='TRA-M'!A$3:A$107)*(B26='TRA-M'!G$3:G$107),0)),"")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_xlfn.IFNA(INDEX('TRA-M'!C$3:C$107,MATCH(1,(C27='TRA-M'!A$3:A$107)*(B27='TRA-M'!G$3:G$107),0)),"")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_xlfn.IFNA(INDEX('TRA-M'!C$3:C$107,MATCH(1,(C28='TRA-M'!A$3:A$107)*(B28='TRA-M'!G$3:G$107),0)),"")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_xlfn.IFNA(INDEX('TRA-M'!C$3:C$107,MATCH(1,(C29='TRA-M'!A$3:A$107)*(B29='TRA-M'!G$3:G$107),0)),"")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_xlfn.IFNA(INDEX('TRA-M'!C$3:C$107,MATCH(1,(C30='TRA-M'!A$3:A$107)*(B30='TRA-M'!G$3:G$107),0)),"")</f>
        <v>DON, Alexander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_xlfn.IFNA(INDEX('TRA-M'!C$3:C$107,MATCH(1,(C31='TRA-M'!A$3:A$107)*(B31='TRA-M'!G$3:G$107),0)),"")</f>
        <v>LEVASSEUR, Nathan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_xlfn.IFNA(INDEX('TRA-M'!C$3:C$107,MATCH(1,(C32='TRA-M'!A$3:A$107)*(B32='TRA-M'!G$3:G$107),0)),"")</f>
        <v>ZUREK, Nolan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_xlfn.IFNA(INDEX('TRA-M'!C$3:C$107,MATCH(1,(C33='TRA-M'!A$3:A$107)*(B33='TRA-M'!G$3:G$107),0)),"")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_xlfn.IFNA(INDEX('TRA-W'!C$3:C$133,MATCH(1,(C34='TRA-W'!A$3:A$133)*(B34='TRA-W'!G$3:G$133),0)),"")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_xlfn.IFNA(INDEX('TRA-W'!C$3:C$133,MATCH(1,(C35='TRA-W'!A$3:A$133)*(B35='TRA-W'!G$3:G$133),0)),"")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_xlfn.IFNA(INDEX('TRA-W'!C$3:C$133,MATCH(1,(C36='TRA-W'!A$3:A$133)*(B36='TRA-W'!G$3:G$133),0)),"")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_xlfn.IFNA(INDEX('TRA-W'!C$3:C$133,MATCH(1,(C37='TRA-W'!A$3:A$133)*(B37='TRA-W'!G$3:G$133),0)),"")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_xlfn.IFNA(INDEX('TRA-W'!C$3:C$133,MATCH(1,(C38='TRA-W'!A$3:A$133)*(B38='TRA-W'!G$3:G$133),0)),"")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_xlfn.IFNA(INDEX('TRA-W'!C$3:C$133,MATCH(1,(C39='TRA-W'!A$3:A$133)*(B39='TRA-W'!G$3:G$133),0)),"")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_xlfn.IFNA(INDEX('TRA-W'!C$3:C$133,MATCH(1,(C40='TRA-W'!A$3:A$133)*(B40='TRA-W'!G$3:G$133),0)),"")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_xlfn.IFNA(INDEX('TRA-W'!C$3:C$133,MATCH(1,(C41='TRA-W'!A$3:A$133)*(B41='TRA-W'!G$3:G$133),0)),"")</f>
        <v/>
      </c>
    </row>
    <row r="42" spans="1:4" x14ac:dyDescent="0.2">
      <c r="A42" s="57" t="str">
        <f t="shared" si="1"/>
        <v>TRA-W</v>
      </c>
      <c r="B42" s="57" t="s">
        <v>17</v>
      </c>
      <c r="C42" s="57">
        <v>1</v>
      </c>
      <c r="D42" s="42" t="str" cm="1">
        <f t="array" ref="D42">_xlfn.IFNA(INDEX('TRA-W'!C$3:C$133,MATCH(1,(C42='TRA-W'!A$3:A$133)*(B42='TRA-W'!G$3:G$133),0)),"")</f>
        <v>GOOD, Hayden</v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_xlfn.IFNA(INDEX('TRA-W'!C$3:C$133,MATCH(1,(C43='TRA-W'!A$3:A$133)*(B43='TRA-W'!G$3:G$133),0)),"")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_xlfn.IFNA(INDEX('TRA-W'!C$3:C$133,MATCH(1,(C44='TRA-W'!A$3:A$133)*(B44='TRA-W'!G$3:G$133),0)),"")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_xlfn.IFNA(INDEX('TRA-W'!C$3:C$133,MATCH(1,(C45='TRA-W'!A$3:A$133)*(B45='TRA-W'!G$3:G$133),0)),"")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_xlfn.IFNA(INDEX('TRA-W'!C$3:C$133,MATCH(1,(C46='TRA-W'!A$3:A$133)*(B46='TRA-W'!G$3:G$133),0)),"")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_xlfn.IFNA(INDEX('TRA-W'!C$3:C$133,MATCH(1,(C47='TRA-W'!A$3:A$133)*(B47='TRA-W'!G$3:G$133),0)),"")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_xlfn.IFNA(INDEX('TRA-W'!C$3:C$133,MATCH(1,(C48='TRA-W'!A$3:A$133)*(B48='TRA-W'!G$3:G$133),0)),"")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_xlfn.IFNA(INDEX('TRA-W'!C$3:C$133,MATCH(1,(C49='TRA-W'!A$3:A$133)*(B49='TRA-W'!G$3:G$133),0)),"")</f>
        <v/>
      </c>
    </row>
    <row r="50" spans="1:4" x14ac:dyDescent="0.2">
      <c r="A50" s="57" t="str">
        <f t="shared" si="1"/>
        <v>TRA-W</v>
      </c>
      <c r="B50" s="57" t="s">
        <v>19</v>
      </c>
      <c r="C50" s="57">
        <v>1</v>
      </c>
      <c r="D50" s="42" t="str" cm="1">
        <f t="array" ref="D50">_xlfn.IFNA(INDEX('TRA-W'!C$3:C$133,MATCH(1,(C50='TRA-W'!A$3:A$133)*(B50='TRA-W'!G$3:G$133),0)),"")</f>
        <v>CORRIVEAU, Mélina</v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_xlfn.IFNA(INDEX('TRA-W'!C$3:C$133,MATCH(1,(C51='TRA-W'!A$3:A$133)*(B51='TRA-W'!G$3:G$133),0)),"")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_xlfn.IFNA(INDEX('TRA-W'!C$3:C$133,MATCH(1,(C52='TRA-W'!A$3:A$133)*(B52='TRA-W'!G$3:G$133),0)),"")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_xlfn.IFNA(INDEX('TRA-W'!C$3:C$133,MATCH(1,(C53='TRA-W'!A$3:A$133)*(B53='TRA-W'!G$3:G$133),0)),"")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_xlfn.IFNA(INDEX('TRA-W'!C$3:C$133,MATCH(1,(C54='TRA-W'!A$3:A$133)*(B54='TRA-W'!G$3:G$133),0)),"")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_xlfn.IFNA(INDEX('TRA-W'!C$3:C$133,MATCH(1,(C55='TRA-W'!A$3:A$133)*(B55='TRA-W'!G$3:G$133),0)),"")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_xlfn.IFNA(INDEX('TRA-W'!C$3:C$133,MATCH(1,(C56='TRA-W'!A$3:A$133)*(B56='TRA-W'!G$3:G$133),0)),"")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_xlfn.IFNA(INDEX('TRA-W'!C$3:C$133,MATCH(1,(C57='TRA-W'!A$3:A$133)*(B57='TRA-W'!G$3:G$133),0)),"")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_xlfn.IFNA(INDEX('TRA-W'!C$3:C$133,MATCH(1,(C58='TRA-W'!A$3:A$133)*(B58='TRA-W'!G$3:G$133),0)),"")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_xlfn.IFNA(INDEX('TRA-W'!C$3:C$133,MATCH(1,(C59='TRA-W'!A$3:A$133)*(B59='TRA-W'!G$3:G$133),0)),"")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_xlfn.IFNA(INDEX('TRA-W'!C$3:C$133,MATCH(1,(C60='TRA-W'!A$3:A$133)*(B60='TRA-W'!G$3:G$133),0)),"")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_xlfn.IFNA(INDEX('TRA-W'!C$3:C$133,MATCH(1,(C61='TRA-W'!A$3:A$133)*(B61='TRA-W'!G$3:G$133),0)),"")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_xlfn.IFNA(INDEX('TRA-W'!C$3:C$133,MATCH(1,(C62='TRA-W'!A$3:A$133)*(B62='TRA-W'!G$3:G$133),0)),"")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_xlfn.IFNA(INDEX('TRA-W'!C$3:C$133,MATCH(1,(C63='TRA-W'!A$3:A$133)*(B63='TRA-W'!G$3:G$133),0)),"")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_xlfn.IFNA(INDEX('TRA-W'!C$3:C$133,MATCH(1,(C64='TRA-W'!A$3:A$133)*(B64='TRA-W'!G$3:G$133),0)),"")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_xlfn.IFNA(INDEX('TRA-W'!C$3:C$133,MATCH(1,(C65='TRA-W'!A$3:A$133)*(B65='TRA-W'!G$3:G$133),0)),"")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_xlfn.IFNA(INDEX('SYN-M'!C$3:C$31,MATCH(1,(C66='SYN-M'!A$3:A$31)*(B66='SYN-M'!H$3:H$31),0)),"")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_xlfn.IFNA(INDEX('SYN-M'!C$3:C$31,MATCH(1,(C67='SYN-M'!A$3:A$31)*(B67='SYN-M'!H$3:H$31),0)),"")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_xlfn.IFNA(INDEX('SYN-M'!C$3:C$31,MATCH(1,(C68='SYN-M'!A$3:A$31)*(B68='SYN-M'!H$3:H$31),0)),"")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_xlfn.IFNA(INDEX('SYN-M'!C$3:C$31,MATCH(1,(C69='SYN-M'!A$3:A$31)*(B69='SYN-M'!H$3:H$31),0)),"")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_xlfn.IFNA(INDEX('SYN-M'!C$3:C$31,MATCH(1,(C70='SYN-M'!A$3:A$31)*(B70='SYN-M'!H$3:H$31),0)),"")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_xlfn.IFNA(INDEX('SYN-M'!C$3:C$31,MATCH(1,(C71='SYN-M'!A$3:A$31)*(B71='SYN-M'!H$3:H$31),0)),"")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_xlfn.IFNA(INDEX('SYN-M'!C$3:C$31,MATCH(1,(C72='SYN-M'!A$3:A$31)*(B72='SYN-M'!H$3:H$31),0)),"")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_xlfn.IFNA(INDEX('SYN-M'!C$3:C$31,MATCH(1,(C73='SYN-M'!A$3:A$31)*(B73='SYN-M'!H$3:H$31),0)),"")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_xlfn.IFNA(INDEX('SYN-M'!C$3:C$31,MATCH(1,(C74='SYN-M'!A$3:A$31)*(B74='SYN-M'!H$3:H$31),0)),"")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_xlfn.IFNA(INDEX('SYN-M'!C$3:C$31,MATCH(1,(C75='SYN-M'!A$3:A$31)*(B75='SYN-M'!H$3:H$31),0)),"")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_xlfn.IFNA(INDEX('SYN-M'!C$3:C$31,MATCH(1,(C76='SYN-M'!A$3:A$31)*(B76='SYN-M'!H$3:H$31),0)),"")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_xlfn.IFNA(INDEX('SYN-M'!C$3:C$31,MATCH(1,(C77='SYN-M'!A$3:A$31)*(B77='SYN-M'!H$3:H$31),0)),"")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_xlfn.IFNA(INDEX('SYN-M'!C$3:C$31,MATCH(1,(C78='SYN-M'!A$3:A$31)*(B78='SYN-M'!H$3:H$31),0)),"")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_xlfn.IFNA(INDEX('SYN-M'!C$3:C$31,MATCH(1,(C79='SYN-M'!A$3:A$31)*(B79='SYN-M'!H$3:H$31),0)),"")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_xlfn.IFNA(INDEX('SYN-M'!C$3:C$31,MATCH(1,(C80='SYN-M'!A$3:A$31)*(B80='SYN-M'!H$3:H$31),0)),"")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_xlfn.IFNA(INDEX('SYN-M'!C$3:C$31,MATCH(1,(C81='SYN-M'!A$3:A$31)*(B81='SYN-M'!H$3:H$31),0)),"")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_xlfn.IFNA(INDEX('SYN-W'!C$3:C$47,MATCH(1,(C82='SYN-W'!A$3:A$47)*(B82='SYN-W'!H$3:H$47),0)),"")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_xlfn.IFNA(INDEX('SYN-W'!C$3:C$47,MATCH(1,(C83='SYN-W'!A$3:A$47)*(B83='SYN-W'!H$3:H$47),0)),"")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_xlfn.IFNA(INDEX('SYN-W'!C$3:C$47,MATCH(1,(C84='SYN-W'!A$3:A$47)*(B84='SYN-W'!H$3:H$47),0)),"")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_xlfn.IFNA(INDEX('SYN-W'!C$3:C$47,MATCH(1,(C85='SYN-W'!A$3:A$47)*(B85='SYN-W'!H$3:H$47),0)),"")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_xlfn.IFNA(INDEX('SYN-W'!C$3:C$47,MATCH(1,(C86='SYN-W'!A$3:A$47)*(B86='SYN-W'!H$3:H$47),0)),"")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_xlfn.IFNA(INDEX('SYN-W'!C$3:C$47,MATCH(1,(C87='SYN-W'!A$3:A$47)*(B87='SYN-W'!H$3:H$47),0)),"")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_xlfn.IFNA(INDEX('SYN-W'!C$3:C$47,MATCH(1,(C88='SYN-W'!A$3:A$47)*(B88='SYN-W'!H$3:H$47),0)),"")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_xlfn.IFNA(INDEX('SYN-W'!C$3:C$47,MATCH(1,(C89='SYN-W'!A$3:A$47)*(B89='SYN-W'!H$3:H$47),0)),"")</f>
        <v/>
      </c>
    </row>
    <row r="90" spans="1:4" x14ac:dyDescent="0.2">
      <c r="A90" s="57" t="str">
        <f t="shared" si="3"/>
        <v>SYN-W</v>
      </c>
      <c r="B90" s="57" t="s">
        <v>19</v>
      </c>
      <c r="C90" s="57">
        <v>1</v>
      </c>
      <c r="D90" s="42" t="str" cm="1">
        <f t="array" ref="D90">_xlfn.IFNA(INDEX('SYN-W'!C$3:C$47,MATCH(1,(C90='SYN-W'!A$3:A$47)*(B90='SYN-W'!H$3:H$47),0)),"")</f>
        <v>KUZNAK &amp; SCHMIDT</v>
      </c>
    </row>
    <row r="91" spans="1:4" x14ac:dyDescent="0.2">
      <c r="A91" s="57" t="str">
        <f t="shared" si="3"/>
        <v>SYN-W</v>
      </c>
      <c r="B91" s="57" t="s">
        <v>19</v>
      </c>
      <c r="C91" s="57">
        <v>2</v>
      </c>
      <c r="D91" s="42" t="str" cm="1">
        <f t="array" ref="D91">_xlfn.IFNA(INDEX('SYN-W'!C$3:C$47,MATCH(1,(C91='SYN-W'!A$3:A$47)*(B91='SYN-W'!H$3:H$47),0)),"")</f>
        <v>JEAN-LOUIS &amp; WRIGHT</v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_xlfn.IFNA(INDEX('SYN-W'!C$3:C$47,MATCH(1,(C92='SYN-W'!A$3:A$47)*(B92='SYN-W'!H$3:H$47),0)),"")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_xlfn.IFNA(INDEX('SYN-W'!C$3:C$47,MATCH(1,(C93='SYN-W'!A$3:A$47)*(B93='SYN-W'!H$3:H$47),0)),"")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_xlfn.IFNA(INDEX('SYN-W'!C$3:C$47,MATCH(1,(C94='SYN-W'!A$3:A$47)*(B94='SYN-W'!H$3:H$47),0)),"")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_xlfn.IFNA(INDEX('SYN-W'!C$3:C$47,MATCH(1,(C95='SYN-W'!A$3:A$47)*(B95='SYN-W'!H$3:H$47),0)),"")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_xlfn.IFNA(INDEX('SYN-W'!C$3:C$47,MATCH(1,(C96='SYN-W'!A$3:A$47)*(B96='SYN-W'!H$3:H$47),0)),"")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_xlfn.IFNA(INDEX('SYN-W'!C$3:C$47,MATCH(1,(C97='SYN-W'!A$3:A$47)*(B97='SYN-W'!H$3:H$47),0)),"")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_xlfn.IFNA(INDEX('DMT-M'!C$3:C$99,MATCH(1,(C98='DMT-M'!A$3:A$99)*(B98='DMT-M'!G$3:G$99),0)),"")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_xlfn.IFNA(INDEX('DMT-M'!C$3:C$99,MATCH(1,(C99='DMT-M'!A$3:A$99)*(B99='DMT-M'!G$3:G$99),0)),"")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_xlfn.IFNA(INDEX('DMT-M'!C$3:C$99,MATCH(1,(C100='DMT-M'!A$3:A$99)*(B100='DMT-M'!G$3:G$99),0)),"")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_xlfn.IFNA(INDEX('DMT-M'!C$3:C$99,MATCH(1,(C101='DMT-M'!A$3:A$99)*(B101='DMT-M'!G$3:G$99),0)),"")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_xlfn.IFNA(INDEX('DMT-M'!C$3:C$99,MATCH(1,(C102='DMT-M'!A$3:A$99)*(B102='DMT-M'!G$3:G$99),0)),"")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_xlfn.IFNA(INDEX('DMT-M'!C$3:C$99,MATCH(1,(C103='DMT-M'!A$3:A$99)*(B103='DMT-M'!G$3:G$99),0)),"")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_xlfn.IFNA(INDEX('DMT-M'!C$3:C$99,MATCH(1,(C104='DMT-M'!A$3:A$99)*(B104='DMT-M'!G$3:G$99),0)),"")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_xlfn.IFNA(INDEX('DMT-M'!C$3:C$99,MATCH(1,(C105='DMT-M'!A$3:A$99)*(B105='DMT-M'!G$3:G$99),0)),"")</f>
        <v/>
      </c>
    </row>
    <row r="106" spans="1:4" x14ac:dyDescent="0.2">
      <c r="A106" s="56" t="str">
        <f t="shared" si="4"/>
        <v>DMT-M</v>
      </c>
      <c r="B106" s="56" t="s">
        <v>17</v>
      </c>
      <c r="C106" s="56">
        <v>1</v>
      </c>
      <c r="D106" s="41" t="str" cm="1">
        <f t="array" ref="D106">_xlfn.IFNA(INDEX('DMT-M'!C$3:C$99,MATCH(1,(C106='DMT-M'!A$3:A$99)*(B106='DMT-M'!G$3:G$99),0)),"")</f>
        <v>REIMCHE, Wilson</v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_xlfn.IFNA(INDEX('DMT-M'!C$3:C$99,MATCH(1,(C107='DMT-M'!A$3:A$99)*(B107='DMT-M'!G$3:G$99),0)),"")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_xlfn.IFNA(INDEX('DMT-M'!C$3:C$99,MATCH(1,(C108='DMT-M'!A$3:A$99)*(B108='DMT-M'!G$3:G$99),0)),"")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_xlfn.IFNA(INDEX('DMT-M'!C$3:C$99,MATCH(1,(C109='DMT-M'!A$3:A$99)*(B109='DMT-M'!G$3:G$99),0)),"")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_xlfn.IFNA(INDEX('DMT-M'!C$3:C$99,MATCH(1,(C110='DMT-M'!A$3:A$99)*(B110='DMT-M'!G$3:G$99),0)),"")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_xlfn.IFNA(INDEX('DMT-M'!C$3:C$99,MATCH(1,(C111='DMT-M'!A$3:A$99)*(B111='DMT-M'!G$3:G$99),0)),"")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_xlfn.IFNA(INDEX('DMT-M'!C$3:C$99,MATCH(1,(C112='DMT-M'!A$3:A$99)*(B112='DMT-M'!G$3:G$99),0)),"")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_xlfn.IFNA(INDEX('DMT-M'!C$3:C$99,MATCH(1,(C113='DMT-M'!A$3:A$99)*(B113='DMT-M'!G$3:G$99),0)),"")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_xlfn.IFNA(INDEX('DMT-M'!C$3:C$99,MATCH(1,(C114='DMT-M'!A$3:A$99)*(B114='DMT-M'!G$3:G$99),0)),"")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_xlfn.IFNA(INDEX('DMT-M'!C$3:C$99,MATCH(1,(C115='DMT-M'!A$3:A$99)*(B115='DMT-M'!G$3:G$99),0)),"")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_xlfn.IFNA(INDEX('DMT-M'!C$3:C$99,MATCH(1,(C116='DMT-M'!A$3:A$99)*(B116='DMT-M'!G$3:G$99),0)),"")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_xlfn.IFNA(INDEX('DMT-M'!C$3:C$99,MATCH(1,(C117='DMT-M'!A$3:A$99)*(B117='DMT-M'!G$3:G$99),0)),"")</f>
        <v>CYMAN, Cody</v>
      </c>
    </row>
    <row r="118" spans="1:4" x14ac:dyDescent="0.2">
      <c r="A118" s="56" t="str">
        <f t="shared" si="4"/>
        <v>DMT-M</v>
      </c>
      <c r="B118" s="56" t="s">
        <v>19</v>
      </c>
      <c r="C118" s="56">
        <v>5</v>
      </c>
      <c r="D118" s="41" t="str" cm="1">
        <f t="array" ref="D118">_xlfn.IFNA(INDEX('DMT-M'!C$3:C$99,MATCH(1,(C118='DMT-M'!A$3:A$99)*(B118='DMT-M'!G$3:G$99),0)),"")</f>
        <v>ANDERSEN, Travis</v>
      </c>
    </row>
    <row r="119" spans="1:4" x14ac:dyDescent="0.2">
      <c r="A119" s="56" t="str">
        <f t="shared" si="4"/>
        <v>DMT-M</v>
      </c>
      <c r="B119" s="56" t="s">
        <v>19</v>
      </c>
      <c r="C119" s="56">
        <v>6</v>
      </c>
      <c r="D119" s="41" t="str" cm="1">
        <f t="array" ref="D119">_xlfn.IFNA(INDEX('DMT-M'!C$3:C$99,MATCH(1,(C119='DMT-M'!A$3:A$99)*(B119='DMT-M'!G$3:G$99),0)),"")</f>
        <v>SCOTT, Ethan</v>
      </c>
    </row>
    <row r="120" spans="1:4" x14ac:dyDescent="0.2">
      <c r="A120" s="56" t="str">
        <f t="shared" si="4"/>
        <v>DMT-M</v>
      </c>
      <c r="B120" s="56" t="s">
        <v>19</v>
      </c>
      <c r="C120" s="56">
        <v>7</v>
      </c>
      <c r="D120" s="41" t="str" cm="1">
        <f t="array" ref="D120">_xlfn.IFNA(INDEX('DMT-M'!C$3:C$99,MATCH(1,(C120='DMT-M'!A$3:A$99)*(B120='DMT-M'!G$3:G$99),0)),"")</f>
        <v>D'HONDT, Luke</v>
      </c>
    </row>
    <row r="121" spans="1:4" x14ac:dyDescent="0.2">
      <c r="A121" s="56" t="str">
        <f t="shared" si="4"/>
        <v>DMT-M</v>
      </c>
      <c r="B121" s="56" t="s">
        <v>19</v>
      </c>
      <c r="C121" s="56">
        <v>8</v>
      </c>
      <c r="D121" s="41" t="str" cm="1">
        <f t="array" ref="D121">_xlfn.IFNA(INDEX('DMT-M'!C$3:C$99,MATCH(1,(C121='DMT-M'!A$3:A$99)*(B121='DMT-M'!G$3:G$99),0)),"")</f>
        <v>MOORE, Hunter</v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_xlfn.IFNA(INDEX('DMT-M'!C$3:C$99,MATCH(1,(C122='DMT-M'!A$3:A$99)*(B122='DMT-M'!G$3:G$99),0)),"")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_xlfn.IFNA(INDEX('DMT-M'!C$3:C$99,MATCH(1,(C123='DMT-M'!A$3:A$99)*(B123='DMT-M'!G$3:G$99),0)),"")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_xlfn.IFNA(INDEX('DMT-M'!C$3:C$99,MATCH(1,(C124='DMT-M'!A$3:A$99)*(B124='DMT-M'!G$3:G$99),0)),"")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_xlfn.IFNA(INDEX('DMT-M'!C$3:C$99,MATCH(1,(C125='DMT-M'!A$3:A$99)*(B125='DMT-M'!G$3:G$99),0)),"")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_xlfn.IFNA(INDEX('DMT-M'!C$3:C$99,MATCH(1,(C126='DMT-M'!A$3:A$99)*(B126='DMT-M'!G$3:G$99),0)),"")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_xlfn.IFNA(INDEX('DMT-M'!C$3:C$99,MATCH(1,(C127='DMT-M'!A$3:A$99)*(B127='DMT-M'!G$3:G$99),0)),"")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_xlfn.IFNA(INDEX('DMT-M'!C$3:C$99,MATCH(1,(C128='DMT-M'!A$3:A$99)*(B128='DMT-M'!G$3:G$99),0)),"")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_xlfn.IFNA(INDEX('DMT-M'!C$3:C$99,MATCH(1,(C129='DMT-M'!A$3:A$99)*(B129='DMT-M'!G$3:G$99),0)),"")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_xlfn.IFNA(INDEX('DMT-W'!C$3:C$105,MATCH(1,(C130='DMT-W'!A$3:A$105)*(B130='DMT-W'!G$3:G$105),0)),"")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_xlfn.IFNA(INDEX('DMT-W'!C$3:C$105,MATCH(1,(C131='DMT-W'!A$3:A$105)*(B131='DMT-W'!G$3:G$105),0)),"")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_xlfn.IFNA(INDEX('DMT-W'!C$3:C$105,MATCH(1,(C132='DMT-W'!A$3:A$105)*(B132='DMT-W'!G$3:G$105),0)),"")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_xlfn.IFNA(INDEX('DMT-W'!C$3:C$105,MATCH(1,(C133='DMT-W'!A$3:A$105)*(B133='DMT-W'!G$3:G$105),0)),"")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_xlfn.IFNA(INDEX('DMT-W'!C$3:C$105,MATCH(1,(C134='DMT-W'!A$3:A$105)*(B134='DMT-W'!G$3:G$105),0)),"")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_xlfn.IFNA(INDEX('DMT-W'!C$3:C$105,MATCH(1,(C135='DMT-W'!A$3:A$105)*(B135='DMT-W'!G$3:G$105),0)),"")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_xlfn.IFNA(INDEX('DMT-W'!C$3:C$105,MATCH(1,(C136='DMT-W'!A$3:A$105)*(B136='DMT-W'!G$3:G$105),0)),"")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_xlfn.IFNA(INDEX('DMT-W'!C$3:C$105,MATCH(1,(C137='DMT-W'!A$3:A$105)*(B137='DMT-W'!G$3:G$105),0)),"")</f>
        <v/>
      </c>
    </row>
    <row r="138" spans="1:4" x14ac:dyDescent="0.2">
      <c r="A138" s="57" t="str">
        <f t="shared" si="5"/>
        <v>DMT-W</v>
      </c>
      <c r="B138" s="57" t="s">
        <v>17</v>
      </c>
      <c r="C138" s="57">
        <v>1</v>
      </c>
      <c r="D138" s="42" t="str" cm="1">
        <f t="array" ref="D138">_xlfn.IFNA(INDEX('DMT-W'!C$3:C$105,MATCH(1,(C138='DMT-W'!A$3:A$105)*(B138='DMT-W'!G$3:G$105),0)),"")</f>
        <v>LEE-MCMEEKEN, Brooklyn</v>
      </c>
    </row>
    <row r="139" spans="1:4" x14ac:dyDescent="0.2">
      <c r="A139" s="57" t="str">
        <f t="shared" si="5"/>
        <v>DMT-W</v>
      </c>
      <c r="B139" s="57" t="s">
        <v>17</v>
      </c>
      <c r="C139" s="57">
        <v>2</v>
      </c>
      <c r="D139" s="42" t="str" cm="1">
        <f t="array" ref="D139">_xlfn.IFNA(INDEX('DMT-W'!C$3:C$105,MATCH(1,(C139='DMT-W'!A$3:A$105)*(B139='DMT-W'!G$3:G$105),0)),"")</f>
        <v>GOOD, Hayden</v>
      </c>
    </row>
    <row r="140" spans="1:4" x14ac:dyDescent="0.2">
      <c r="A140" s="57" t="str">
        <f t="shared" si="5"/>
        <v>DMT-W</v>
      </c>
      <c r="B140" s="57" t="s">
        <v>17</v>
      </c>
      <c r="C140" s="57">
        <v>3</v>
      </c>
      <c r="D140" s="42" t="str" cm="1">
        <f t="array" ref="D140">_xlfn.IFNA(INDEX('DMT-W'!C$3:C$105,MATCH(1,(C140='DMT-W'!A$3:A$105)*(B140='DMT-W'!G$3:G$105),0)),"")</f>
        <v>JEAN-LOUIS, Jayda</v>
      </c>
    </row>
    <row r="141" spans="1:4" x14ac:dyDescent="0.2">
      <c r="A141" s="57" t="str">
        <f t="shared" si="5"/>
        <v>DMT-W</v>
      </c>
      <c r="B141" s="57" t="s">
        <v>17</v>
      </c>
      <c r="C141" s="57">
        <v>4</v>
      </c>
      <c r="D141" s="42" t="str" cm="1">
        <f t="array" ref="D141">_xlfn.IFNA(INDEX('DMT-W'!C$3:C$105,MATCH(1,(C141='DMT-W'!A$3:A$105)*(B141='DMT-W'!G$3:G$105),0)),"")</f>
        <v>NOVOTNY, Ella</v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_xlfn.IFNA(INDEX('DMT-W'!C$3:C$105,MATCH(1,(C142='DMT-W'!A$3:A$105)*(B142='DMT-W'!G$3:G$105),0)),"")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_xlfn.IFNA(INDEX('DMT-W'!C$3:C$105,MATCH(1,(C143='DMT-W'!A$3:A$105)*(B143='DMT-W'!G$3:G$105),0)),"")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_xlfn.IFNA(INDEX('DMT-W'!C$3:C$105,MATCH(1,(C144='DMT-W'!A$3:A$105)*(B144='DMT-W'!G$3:G$105),0)),"")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_xlfn.IFNA(INDEX('DMT-W'!C$3:C$105,MATCH(1,(C145='DMT-W'!A$3:A$105)*(B145='DMT-W'!G$3:G$105),0)),"")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_xlfn.IFNA(INDEX('DMT-W'!C$3:C$105,MATCH(1,(C146='DMT-W'!A$3:A$105)*(B146='DMT-W'!G$3:G$105),0)),"")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_xlfn.IFNA(INDEX('DMT-W'!C$3:C$105,MATCH(1,(C147='DMT-W'!A$3:A$105)*(B147='DMT-W'!G$3:G$105),0)),"")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_xlfn.IFNA(INDEX('DMT-W'!C$3:C$105,MATCH(1,(C148='DMT-W'!A$3:A$105)*(B148='DMT-W'!G$3:G$105),0)),"")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_xlfn.IFNA(INDEX('DMT-W'!C$3:C$105,MATCH(1,(C149='DMT-W'!A$3:A$105)*(B149='DMT-W'!G$3:G$105),0)),"")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_xlfn.IFNA(INDEX('DMT-W'!C$3:C$105,MATCH(1,(C150='DMT-W'!A$3:A$105)*(B150='DMT-W'!G$3:G$105),0)),"")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_xlfn.IFNA(INDEX('DMT-W'!C$3:C$105,MATCH(1,(C151='DMT-W'!A$3:A$105)*(B151='DMT-W'!G$3:G$105),0)),"")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_xlfn.IFNA(INDEX('DMT-W'!C$3:C$105,MATCH(1,(C152='DMT-W'!A$3:A$105)*(B152='DMT-W'!G$3:G$105),0)),"")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_xlfn.IFNA(INDEX('DMT-W'!C$3:C$105,MATCH(1,(C153='DMT-W'!A$3:A$105)*(B153='DMT-W'!G$3:G$105),0)),"")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_xlfn.IFNA(INDEX('DMT-W'!C$3:C$105,MATCH(1,(C154='DMT-W'!A$3:A$105)*(B154='DMT-W'!G$3:G$105),0)),"")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_xlfn.IFNA(INDEX('DMT-W'!C$3:C$105,MATCH(1,(C155='DMT-W'!A$3:A$105)*(B155='DMT-W'!G$3:G$105),0)),"")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_xlfn.IFNA(INDEX('DMT-W'!C$3:C$105,MATCH(1,(C156='DMT-W'!A$3:A$105)*(B156='DMT-W'!G$3:G$105),0)),"")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_xlfn.IFNA(INDEX('DMT-W'!C$3:C$105,MATCH(1,(C157='DMT-W'!A$3:A$105)*(B157='DMT-W'!G$3:G$105),0)),"")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_xlfn.IFNA(INDEX('DMT-W'!C$3:C$105,MATCH(1,(C158='DMT-W'!A$3:A$105)*(B158='DMT-W'!G$3:G$105),0)),"")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_xlfn.IFNA(INDEX('DMT-W'!C$3:C$105,MATCH(1,(C159='DMT-W'!A$3:A$105)*(B159='DMT-W'!G$3:G$105),0)),"")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_xlfn.IFNA(INDEX('DMT-W'!C$3:C$105,MATCH(1,(C160='DMT-W'!A$3:A$105)*(B160='DMT-W'!G$3:G$105),0)),"")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_xlfn.IFNA(INDEX('DMT-W'!C$3:C$105,MATCH(1,(C161='DMT-W'!A$3:A$105)*(B161='DMT-W'!G$3:G$105),0)),"")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_xlfn.IFNA(INDEX('TUM-M'!C$3:C$50,MATCH(1,(C162='TUM-M'!A$3:A$50)*(B162='TUM-M'!G$3:G$50),0)),"")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_xlfn.IFNA(INDEX('TUM-M'!C$3:C$50,MATCH(1,(C163='TUM-M'!A$3:A$50)*(B163='TUM-M'!G$3:G$50),0)),"")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_xlfn.IFNA(INDEX('TUM-M'!C$3:C$50,MATCH(1,(C164='TUM-M'!A$3:A$50)*(B164='TUM-M'!G$3:G$50),0)),"")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_xlfn.IFNA(INDEX('TUM-M'!C$3:C$50,MATCH(1,(C165='TUM-M'!A$3:A$50)*(B165='TUM-M'!G$3:G$50),0)),"")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_xlfn.IFNA(INDEX('TUM-M'!C$3:C$50,MATCH(1,(C166='TUM-M'!A$3:A$50)*(B166='TUM-M'!G$3:G$50),0)),"")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_xlfn.IFNA(INDEX('TUM-M'!C$3:C$50,MATCH(1,(C167='TUM-M'!A$3:A$50)*(B167='TUM-M'!G$3:G$50),0)),"")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_xlfn.IFNA(INDEX('TUM-M'!C$3:C$50,MATCH(1,(C168='TUM-M'!A$3:A$50)*(B168='TUM-M'!G$3:G$50),0)),"")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_xlfn.IFNA(INDEX('TUM-M'!C$3:C$50,MATCH(1,(C169='TUM-M'!A$3:A$50)*(B169='TUM-M'!G$3:G$50),0)),"")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_xlfn.IFNA(INDEX('TUM-M'!C$3:C$50,MATCH(1,(C170='TUM-M'!A$3:A$50)*(B170='TUM-M'!G$3:G$50),0)),"")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_xlfn.IFNA(INDEX('TUM-M'!C$3:C$50,MATCH(1,(C171='TUM-M'!A$3:A$50)*(B171='TUM-M'!G$3:G$50),0)),"")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_xlfn.IFNA(INDEX('TUM-M'!C$3:C$50,MATCH(1,(C172='TUM-M'!A$3:A$50)*(B172='TUM-M'!G$3:G$50),0)),"")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_xlfn.IFNA(INDEX('TUM-M'!C$3:C$50,MATCH(1,(C173='TUM-M'!A$3:A$50)*(B173='TUM-M'!G$3:G$50),0)),"")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_xlfn.IFNA(INDEX('TUM-M'!C$3:C$50,MATCH(1,(C174='TUM-M'!A$3:A$50)*(B174='TUM-M'!G$3:G$50),0)),"")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_xlfn.IFNA(INDEX('TUM-M'!C$3:C$50,MATCH(1,(C175='TUM-M'!A$3:A$50)*(B175='TUM-M'!G$3:G$50),0)),"")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_xlfn.IFNA(INDEX('TUM-M'!C$3:C$50,MATCH(1,(C176='TUM-M'!A$3:A$50)*(B176='TUM-M'!G$3:G$50),0)),"")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_xlfn.IFNA(INDEX('TUM-M'!C$3:C$50,MATCH(1,(C177='TUM-M'!A$3:A$50)*(B177='TUM-M'!G$3:G$50),0)),"")</f>
        <v/>
      </c>
    </row>
    <row r="178" spans="1:4" x14ac:dyDescent="0.2">
      <c r="A178" s="56" t="str">
        <f t="shared" si="6"/>
        <v>TUM-M</v>
      </c>
      <c r="B178" s="56" t="s">
        <v>19</v>
      </c>
      <c r="C178" s="56">
        <v>1</v>
      </c>
      <c r="D178" s="41" t="str" cm="1">
        <f t="array" ref="D178">_xlfn.IFNA(INDEX('TUM-M'!C$3:C$50,MATCH(1,(C178='TUM-M'!A$3:A$50)*(B178='TUM-M'!G$3:G$50),0)),"")</f>
        <v>LOISELLE, Hector</v>
      </c>
    </row>
    <row r="179" spans="1:4" x14ac:dyDescent="0.2">
      <c r="A179" s="56" t="str">
        <f t="shared" si="6"/>
        <v>TUM-M</v>
      </c>
      <c r="B179" s="56" t="s">
        <v>19</v>
      </c>
      <c r="C179" s="56">
        <v>2</v>
      </c>
      <c r="D179" s="41" t="str" cm="1">
        <f t="array" ref="D179">_xlfn.IFNA(INDEX('TUM-M'!C$3:C$50,MATCH(1,(C179='TUM-M'!A$3:A$50)*(B179='TUM-M'!G$3:G$50),0)),"")</f>
        <v>GIBBS, Gavin</v>
      </c>
    </row>
    <row r="180" spans="1:4" x14ac:dyDescent="0.2">
      <c r="A180" s="56" t="str">
        <f t="shared" si="6"/>
        <v>TUM-M</v>
      </c>
      <c r="B180" s="56" t="s">
        <v>19</v>
      </c>
      <c r="C180" s="56">
        <v>3</v>
      </c>
      <c r="D180" s="41" t="str" cm="1">
        <f t="array" ref="D180">_xlfn.IFNA(INDEX('TUM-M'!C$3:C$50,MATCH(1,(C180='TUM-M'!A$3:A$50)*(B180='TUM-M'!G$3:G$50),0)),"")</f>
        <v>GRAHAM, Andrew</v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_xlfn.IFNA(INDEX('TUM-M'!C$3:C$50,MATCH(1,(C181='TUM-M'!A$3:A$50)*(B181='TUM-M'!G$3:G$50),0)),"")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_xlfn.IFNA(INDEX('TUM-M'!C$3:C$50,MATCH(1,(C182='TUM-M'!A$3:A$50)*(B182='TUM-M'!G$3:G$50),0)),"")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_xlfn.IFNA(INDEX('TUM-M'!C$3:C$50,MATCH(1,(C183='TUM-M'!A$3:A$50)*(B183='TUM-M'!G$3:G$50),0)),"")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_xlfn.IFNA(INDEX('TUM-M'!C$3:C$50,MATCH(1,(C184='TUM-M'!A$3:A$50)*(B184='TUM-M'!G$3:G$50),0)),"")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_xlfn.IFNA(INDEX('TUM-M'!C$3:C$50,MATCH(1,(C185='TUM-M'!A$3:A$50)*(B185='TUM-M'!G$3:G$50),0)),"")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_xlfn.IFNA(INDEX('TUM-M'!C$3:C$50,MATCH(1,(C186='TUM-M'!A$3:A$50)*(B186='TUM-M'!G$3:G$50),0)),"")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_xlfn.IFNA(INDEX('TUM-M'!C$3:C$50,MATCH(1,(C187='TUM-M'!A$3:A$50)*(B187='TUM-M'!G$3:G$50),0)),"")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_xlfn.IFNA(INDEX('TUM-M'!C$3:C$50,MATCH(1,(C188='TUM-M'!A$3:A$50)*(B188='TUM-M'!G$3:G$50),0)),"")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_xlfn.IFNA(INDEX('TUM-M'!C$3:C$50,MATCH(1,(C189='TUM-M'!A$3:A$50)*(B189='TUM-M'!G$3:G$50),0)),"")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_xlfn.IFNA(INDEX('TUM-M'!C$3:C$50,MATCH(1,(C190='TUM-M'!A$3:A$50)*(B190='TUM-M'!G$3:G$50),0)),"")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_xlfn.IFNA(INDEX('TUM-M'!C$3:C$50,MATCH(1,(C191='TUM-M'!A$3:A$50)*(B191='TUM-M'!G$3:G$50),0)),"")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_xlfn.IFNA(INDEX('TUM-M'!C$3:C$50,MATCH(1,(C192='TUM-M'!A$3:A$50)*(B192='TUM-M'!G$3:G$50),0)),"")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_xlfn.IFNA(INDEX('TUM-M'!C$3:C$50,MATCH(1,(C193='TUM-M'!A$3:A$50)*(B193='TUM-M'!G$3:G$50),0)),"")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_xlfn.IFNA(INDEX('TUM-W'!C$3:C$77,MATCH(1,(C194='TUM-W'!A$3:A$77)*(B194='TUM-W'!G$3:G$77),0)),"")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_xlfn.IFNA(INDEX('TUM-W'!C$3:C$77,MATCH(1,(C195='TUM-W'!A$3:A$77)*(B195='TUM-W'!G$3:G$77),0)),"")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_xlfn.IFNA(INDEX('TUM-W'!C$3:C$77,MATCH(1,(C196='TUM-W'!A$3:A$77)*(B196='TUM-W'!G$3:G$77),0)),"")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_xlfn.IFNA(INDEX('TUM-W'!C$3:C$77,MATCH(1,(C197='TUM-W'!A$3:A$77)*(B197='TUM-W'!G$3:G$77),0)),"")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_xlfn.IFNA(INDEX('TUM-W'!C$3:C$77,MATCH(1,(C198='TUM-W'!A$3:A$77)*(B198='TUM-W'!G$3:G$77),0)),"")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_xlfn.IFNA(INDEX('TUM-W'!C$3:C$77,MATCH(1,(C199='TUM-W'!A$3:A$77)*(B199='TUM-W'!G$3:G$77),0)),"")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_xlfn.IFNA(INDEX('TUM-W'!C$3:C$77,MATCH(1,(C200='TUM-W'!A$3:A$77)*(B200='TUM-W'!G$3:G$77),0)),"")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_xlfn.IFNA(INDEX('TUM-W'!C$3:C$77,MATCH(1,(C201='TUM-W'!A$3:A$77)*(B201='TUM-W'!G$3:G$77),0)),"")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_xlfn.IFNA(INDEX('TUM-W'!C$3:C$77,MATCH(1,(C202='TUM-W'!A$3:A$77)*(B202='TUM-W'!G$3:G$77),0)),"")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_xlfn.IFNA(INDEX('TUM-W'!C$3:C$77,MATCH(1,(C203='TUM-W'!A$3:A$77)*(B203='TUM-W'!G$3:G$77),0)),"")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_xlfn.IFNA(INDEX('TUM-W'!C$3:C$77,MATCH(1,(C204='TUM-W'!A$3:A$77)*(B204='TUM-W'!G$3:G$77),0)),"")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_xlfn.IFNA(INDEX('TUM-W'!C$3:C$77,MATCH(1,(C205='TUM-W'!A$3:A$77)*(B205='TUM-W'!G$3:G$77),0)),"")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_xlfn.IFNA(INDEX('TUM-W'!C$3:C$77,MATCH(1,(C206='TUM-W'!A$3:A$77)*(B206='TUM-W'!G$3:G$77),0)),"")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_xlfn.IFNA(INDEX('TUM-W'!C$3:C$77,MATCH(1,(C207='TUM-W'!A$3:A$77)*(B207='TUM-W'!G$3:G$77),0)),"")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_xlfn.IFNA(INDEX('TUM-W'!C$3:C$77,MATCH(1,(C208='TUM-W'!A$3:A$77)*(B208='TUM-W'!G$3:G$77),0)),"")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_xlfn.IFNA(INDEX('TUM-W'!C$3:C$77,MATCH(1,(C209='TUM-W'!A$3:A$77)*(B209='TUM-W'!G$3:G$77),0)),"")</f>
        <v/>
      </c>
    </row>
    <row r="210" spans="1:4" x14ac:dyDescent="0.2">
      <c r="A210" s="57" t="str">
        <f t="shared" si="7"/>
        <v>TUM-W</v>
      </c>
      <c r="B210" s="57" t="s">
        <v>19</v>
      </c>
      <c r="C210" s="57">
        <v>1</v>
      </c>
      <c r="D210" s="42" t="str" cm="1">
        <f t="array" ref="D210">_xlfn.IFNA(INDEX('TUM-W'!C$3:C$77,MATCH(1,(C210='TUM-W'!A$3:A$77)*(B210='TUM-W'!G$3:G$77),0)),"")</f>
        <v>PECK, Rachel</v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_xlfn.IFNA(INDEX('TUM-W'!C$3:C$77,MATCH(1,(C211='TUM-W'!A$3:A$77)*(B211='TUM-W'!G$3:G$77),0)),"")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_xlfn.IFNA(INDEX('TUM-W'!C$3:C$77,MATCH(1,(C212='TUM-W'!A$3:A$77)*(B212='TUM-W'!G$3:G$77),0)),"")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_xlfn.IFNA(INDEX('TUM-W'!C$3:C$77,MATCH(1,(C213='TUM-W'!A$3:A$77)*(B213='TUM-W'!G$3:G$77),0)),"")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_xlfn.IFNA(INDEX('TUM-W'!C$3:C$77,MATCH(1,(C214='TUM-W'!A$3:A$77)*(B214='TUM-W'!G$3:G$77),0)),"")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_xlfn.IFNA(INDEX('TUM-W'!C$3:C$77,MATCH(1,(C215='TUM-W'!A$3:A$77)*(B215='TUM-W'!G$3:G$77),0)),"")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_xlfn.IFNA(INDEX('TUM-W'!C$3:C$77,MATCH(1,(C216='TUM-W'!A$3:A$77)*(B216='TUM-W'!G$3:G$77),0)),"")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_xlfn.IFNA(INDEX('TUM-W'!C$3:C$77,MATCH(1,(C217='TUM-W'!A$3:A$77)*(B217='TUM-W'!G$3:G$77),0)),"")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_xlfn.IFNA(INDEX('TUM-W'!C$3:C$77,MATCH(1,(C218='TUM-W'!A$3:A$77)*(B218='TUM-W'!G$3:G$77),0)),"")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_xlfn.IFNA(INDEX('TUM-W'!C$3:C$77,MATCH(1,(C219='TUM-W'!A$3:A$77)*(B219='TUM-W'!G$3:G$77),0)),"")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_xlfn.IFNA(INDEX('TUM-W'!C$3:C$77,MATCH(1,(C220='TUM-W'!A$3:A$77)*(B220='TUM-W'!G$3:G$77),0)),"")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_xlfn.IFNA(INDEX('TUM-W'!C$3:C$77,MATCH(1,(C221='TUM-W'!A$3:A$77)*(B221='TUM-W'!G$3:G$77),0)),"")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_xlfn.IFNA(INDEX('TUM-W'!C$3:C$77,MATCH(1,(C222='TUM-W'!A$3:A$77)*(B222='TUM-W'!G$3:G$77),0)),"")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_xlfn.IFNA(INDEX('TUM-W'!C$3:C$77,MATCH(1,(C223='TUM-W'!A$3:A$77)*(B223='TUM-W'!G$3:G$77),0)),"")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_xlfn.IFNA(INDEX('TUM-W'!C$3:C$77,MATCH(1,(C224='TUM-W'!A$3:A$77)*(B224='TUM-W'!G$3:G$77),0)),"")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_xlfn.IFNA(INDEX('TUM-W'!C$3:C$77,MATCH(1,(C225='TUM-W'!A$3:A$77)*(B225='TUM-W'!G$3:G$77),0)),"")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45152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7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9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1.5</v>
      </c>
      <c r="D14" s="50">
        <f t="shared" si="0"/>
        <v>8</v>
      </c>
      <c r="E14" s="49">
        <f>SUMIF('DMT-M'!E:E,A14,'DMT-M'!Q:Q)+SUMIF('DMT-W'!E:E,A14,'DMT-W'!Q:Q)</f>
        <v>13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2</v>
      </c>
      <c r="D19" s="50">
        <f t="shared" si="0"/>
        <v>6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4" si="3">IF(C34&gt;0,RANK(C34,C$2:C$64),"")</f>
        <v/>
      </c>
      <c r="E34" s="49">
        <f>SUMIF('DMT-M'!E:E,A34,'DMT-M'!Q:Q)+SUMIF('DMT-W'!E:E,A34,'DMT-W'!Q:Q)</f>
        <v>0</v>
      </c>
      <c r="F34" s="50" t="str">
        <f t="shared" ref="F34:F64" si="4">IF(E34&gt;0,RANK(E34,E$2:E$64),"")</f>
        <v/>
      </c>
      <c r="G34" s="49">
        <f>SUMIF('TUM-M'!E:E,A34,'TUM-M'!Q:Q)+SUMIF('TUM-W'!E:E,A34,'TUM-W'!Q:Q)</f>
        <v>0</v>
      </c>
      <c r="H34" s="50" t="str">
        <f t="shared" ref="H34:H64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9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0.5</v>
      </c>
      <c r="D63" s="50">
        <f t="shared" si="3"/>
        <v>11</v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368</v>
      </c>
      <c r="S1" s="69" t="s">
        <v>367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>IF(A3&lt;5,IF(_xlfn.MAXIFS(A:A,G:G,G3)&gt;3,5-A3,_xlfn.MAXIFS(A:A,G:G,G3)+1-A3),"")</f>
        <v>4</v>
      </c>
      <c r="R3" s="4">
        <f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>IF(A4&lt;5,IF(_xlfn.MAXIFS(A:A,G:G,G4)&gt;3,5-A4,_xlfn.MAXIFS(A:A,G:G,G4)+1-A4),"")</f>
        <v>3</v>
      </c>
      <c r="R4" s="4">
        <f>IF(G4="17-21",MAX(T4,V4,Y4,AA4,AC4,AF4),MAX(X4,AE4))</f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>IF(H4="Senior",MAX(T4,V4),T4+V4)</f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>IF(H4="Senior",MAX(AA4,AC4),AA4+AC4)</f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>IF(H5="Senior",MAX(T5,V5),T5+V5)</f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>IF(H6="Senior",MAX(T6,V6),T6+V6)</f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>IF(H6="Senior",MAX(AA6,AC6),AA6+AC6)</f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t="s">
        <v>422</v>
      </c>
      <c r="D7" s="36" t="str">
        <f>IF(E7="","",VLOOKUP(E7,'Coaching Points'!A:B,2,0))</f>
        <v>ON</v>
      </c>
      <c r="E7" s="36" t="s">
        <v>313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R7+S7+IF(OR(H7="Junior",H7="Senior"),0.0002,IF(OR(H7="L7",H7="L6"),0.0001,0))+IF(G7="17-21",MAX(AA7,AC7,AF7),AE7)*0.0000001</f>
        <v>107.140205397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53.97</v>
      </c>
      <c r="S7" s="4">
        <f>IF(G7="17-21",LARGE(CHOOSE({1,2,3,4,5,6},T7,V7,Y7,AA7,AC7,AF7),2),IF(R7=X7,MAX(Y7,AA7,AC7,AF7),IF(R7=AE7,MAX(AF7,T7,V7,Y7),0)))</f>
        <v>53.17</v>
      </c>
      <c r="T7" s="33">
        <v>51.39</v>
      </c>
      <c r="U7" s="40">
        <v>13.5</v>
      </c>
      <c r="V7" s="34">
        <v>51.78</v>
      </c>
      <c r="W7" s="40">
        <v>14.5</v>
      </c>
      <c r="X7" s="4">
        <f>IF(H7="Senior",MAX(T7,V7),T7+V7)</f>
        <v>51.78</v>
      </c>
      <c r="Y7" s="34">
        <v>53.17</v>
      </c>
      <c r="Z7" s="40">
        <v>14.5</v>
      </c>
      <c r="AA7" s="33">
        <v>17.649999999999999</v>
      </c>
      <c r="AB7" s="40">
        <v>5.5</v>
      </c>
      <c r="AC7" s="34">
        <v>53.97</v>
      </c>
      <c r="AD7" s="40">
        <v>15.6</v>
      </c>
      <c r="AE7" s="4">
        <f>IF(H7="Senior",MAX(AA7,AC7),AA7+AC7)</f>
        <v>53.97</v>
      </c>
      <c r="AF7" s="34">
        <v>17.39</v>
      </c>
      <c r="AG7" s="37">
        <v>5.5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R8+S8+IF(OR(H8="Junior",H8="Senior"),0.0002,IF(OR(H8="L7",H8="L6"),0.0001,0))+IF(G8="17-21",MAX(AA8,AC8,AF8),AE8)*0.0000001</f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>IF(H8="Senior",MAX(T8,V8),T8+V8)</f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>IF(H8="Senior",MAX(AA8,AC8),AA8+AC8)</f>
        <v>49.26</v>
      </c>
      <c r="AF8" s="34">
        <v>15.67</v>
      </c>
      <c r="AG8" s="37">
        <v>4.2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R9+S9+IF(OR(H9="Junior",H9="Senior"),0.0002,IF(OR(H9="L7",H9="L6"),0.0001,0))+IF(G9="17-21",MAX(AA9,AC9,AF9),AE9)*0.0000001</f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>IF(H9="Senior",MAX(T9,V9),T9+V9)</f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>IF(H9="Senior",MAX(AA9,AC9),AA9+AC9)</f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R10+S10+IF(OR(H10="Junior",H10="Senior"),0.0002,IF(OR(H10="L7",H10="L6"),0.0001,0))+IF(G10="17-21",MAX(AA10,AC10,AF10),AE10)*0.0000001</f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>IF(H10="Senior",MAX(T10,V10),T10+V10)</f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>IF(H10="Senior",MAX(AA10,AC10),AA10+AC10)</f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R11+S11+IF(OR(H11="Junior",H11="Senior"),0.0002,IF(OR(H11="L7",H11="L6"),0.0001,0))+IF(G11="17-21",MAX(AA11,AC11,AF11),AE11)*0.0000001</f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>IF(H11="Senior",MAX(AA11,AC11),AA11+AC11)</f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>IF(H12="Senior",MAX(T12,V12),T12+V12)</f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R13+S13+IF(OR(H13="Junior",H13="Senior"),0.0002,IF(OR(H13="L7",H13="L6"),0.0001,0))+IF(G13="17-21",MAX(AA13,AC13,AF13),AE13)*0.0000001</f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>IF(H13="Senior",MAX(T13,V13),T13+V13)</f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>IF(H13="Senior",MAX(AA13,AC13),AA13+AC13)</f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R14+S14+IF(OR(H14="Junior",H14="Senior"),0.0002,IF(OR(H14="L7",H14="L6"),0.0001,0))+IF(G14="17-21",MAX(AA14,AC14,AF14),AE14)*0.0000001</f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>IF(H14="Senior",MAX(T14,V14),T14+V14)</f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>IF(H14="Senior",MAX(AA14,AC14),AA14+AC14)</f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R15+S15+IF(OR(H15="Junior",H15="Senior"),0.0002,IF(OR(H15="L7",H15="L6"),0.0001,0))+IF(G15="17-21",MAX(AA15,AC15,AF15),AE15)*0.0000001</f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>IF(H15="Senior",MAX(T15,V15),T15+V15)</f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R16+S16+IF(OR(H16="Junior",H16="Senior"),0.0002,IF(OR(H16="L7",H16="L6"),0.0001,0))+IF(G16="17-21",MAX(AA16,AC16,AF16),AE16)*0.0000001</f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>IF(H16="Senior",MAX(T16,V16),T16+V16)</f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>IF(H16="Senior",MAX(AA16,AC16),AA16+AC16)</f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>IF(H17="Senior",MAX(T17,V17),T17+V17)</f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>IF(H17="Senior",MAX(AA17,AC17),AA17+AC17)</f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R18+S18+IF(OR(H18="Junior",H18="Senior"),0.0002,IF(OR(H18="L7",H18="L6"),0.0001,0))+IF(G18="17-21",MAX(AA18,AC18,AF18),AE18)*0.0000001</f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>IF(H18="Senior",MAX(T18,V18),T18+V18)</f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>IF(H18="Senior",MAX(AA18,AC18),AA18+AC18)</f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>R19+S19+IF(OR(H19="Junior",H19="Senior"),0.0002,IF(OR(H19="L7",H19="L6"),0.0001,0))+IF(G19="17-21",MAX(AA19,AC19,AF19),AE19)*0.0000001</f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>IF(H19="Senior",MAX(T19,V19),T19+V19)</f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>IF(H19="Senior",MAX(AA19,AC19),AA19+AC19)</f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>IF(H20="Senior",MAX(T20,V20),T20+V20)</f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>IF(H20="Senior",MAX(AA20,AC20),AA20+AC20)</f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>R21+S21+IF(OR(H21="Junior",H21="Senior"),0.0002,IF(OR(H21="L7",H21="L6"),0.0001,0))+IF(G21="17-21",MAX(AA21,AC21,AF21),AE21)*0.0000001</f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>IF(H21="Senior",MAX(T21,V21),T21+V21)</f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>IF(H21="Senior",MAX(AA21,AC21),AA21+AC21)</f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R22+S22+IF(OR(H22="Junior",H22="Senior"),0.0002,IF(OR(H22="L7",H22="L6"),0.0001,0))+IF(G22="17-21",MAX(AA22,AC22,AF22),AE22)*0.0000001</f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>IF(H22="Senior",MAX(AA22,AC22),AA22+AC22)</f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R23+S23+IF(OR(H23="Junior",H23="Senior"),0.0002,IF(OR(H23="L7",H23="L6"),0.0001,0))+IF(G23="17-21",MAX(AA23,AC23,AF23),AE23)*0.0000001</f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>IF(H23="Senior",MAX(T23,V23),T23+V23)</f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>IF(H24="Senior",MAX(T24,V24),T24+V24)</f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>IF(H24="Senior",MAX(AA24,AC24),AA24+AC24)</f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>IF(H25="Senior",MAX(T25,V25),T25+V25)</f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>IF(H25="Senior",MAX(AA25,AC25),AA25+AC25)</f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R26+S26+IF(OR(H26="Junior",H26="Senior"),0.0002,IF(OR(H26="L7",H26="L6"),0.0001,0))+IF(G26="17-21",MAX(AA26,AC26,AF26),AE26)*0.0000001</f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>IF(H26="Senior",MAX(T26,V26),T26+V26)</f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>IF(H26="Senior",MAX(AA26,AC26),AA26+AC26)</f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>IF(H27="Senior",MAX(T27,V27),T27+V27)</f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>IF(H27="Senior",MAX(AA27,AC27),AA27+AC27)</f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>IF(H28="Senior",MAX(T28,V28),T28+V28)</f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>IF(H28="Senior",MAX(AA28,AC28),AA28+AC28)</f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>IF(H29="Senior",MAX(T29,V29),T29+V29)</f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>IF(H29="Senior",MAX(AA29,AC29),AA29+AC29)</f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R30+S30+IF(OR(H30="Junior",H30="Senior"),0.0002,IF(OR(H30="L7",H30="L6"),0.0001,0))+IF(G30="17-21",MAX(AA30,AC30,AF30),AE30)*0.0000001</f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>IF(H30="Senior",MAX(T30,V30),T30+V30)</f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>IF(H30="Senior",MAX(AA30,AC30),AA30+AC30)</f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>IF(H31="Senior",MAX(T31,V31),T31+V31)</f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>IF(H31="Senior",MAX(AA31,AC31),AA31+AC31)</f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>IF(H32="Senior",MAX(T32,V32),T32+V32)</f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>IF(H32="Senior",MAX(AA32,AC32),AA32+AC32)</f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>R33+S33+IF(OR(H33="Junior",H33="Senior"),0.0002,IF(OR(H33="L7",H33="L6"),0.0001,0))+IF(G33="17-21",MAX(AA33,AC33,AF33),AE33)*0.0000001</f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>IF(H33="Senior",MAX(T33,V33),T33+V33)</f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>IF(H33="Senior",MAX(AA33,AC33),AA33+AC33)</f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>R34+S34+IF(OR(H34="Junior",H34="Senior"),0.0002,IF(OR(H34="L7",H34="L6"),0.0001,0))+IF(G34="17-21",MAX(AA34,AC34,AF34),AE34)*0.0000001</f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>IF(H34="Senior",MAX(T34,V34),T34+V34)</f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>IF(H34="Senior",MAX(AA34,AC34),AA34+AC34)</f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>IF(H36="Senior",MAX(AA36,AC36),AA36+AC36)</f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>IF(H37="Senior",MAX(T37,V37),T37+V37)</f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>IF(H37="Senior",MAX(AA37,AC37),AA37+AC37)</f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>IF(H38="Senior",MAX(T38,V38),T38+V38)</f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>IF(H39="Senior",MAX(T39,V39),T39+V39)</f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>IF(H39="Senior",MAX(AA39,AC39),AA39+AC39)</f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>R40+S40+IF(OR(H40="Junior",H40="Senior"),0.0002,IF(OR(H40="L7",H40="L6"),0.0001,0))+IF(G40="17-21",MAX(AA40,AC40,AF40),AE40)*0.0000001</f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>IF(H40="Senior",MAX(T40,V40),T40+V40)</f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>IF(H40="Senior",MAX(AA40,AC40),AA40+AC40)</f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>IF(H41="Senior",MAX(T41,V41),T41+V41)</f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>IF(H41="Senior",MAX(AA41,AC41),AA41+AC41)</f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R42+S42+IF(OR(H42="Junior",H42="Senior"),0.0002,IF(OR(H42="L7",H42="L6"),0.0001,0))+IF(G42="17-21",MAX(AA42,AC42,AF42),AE42)*0.0000001</f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>IF(H42="Senior",MAX(T42,V42),T42+V42)</f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R43+S43+IF(OR(H43="Junior",H43="Senior"),0.0002,IF(OR(H43="L7",H43="L6"),0.0001,0))+IF(G43="17-21",MAX(AA43,AC43,AF43),AE43)*0.0000001</f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>IF(H43="Senior",MAX(T43,V43),T43+V43)</f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>IF(H43="Senior",MAX(AA43,AC43),AA43+AC43)</f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>IF(H44="Senior",MAX(T44,V44),T44+V44)</f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>IF(H44="Senior",MAX(AA44,AC44),AA44+AC44)</f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>IF(H45="Senior",MAX(AA45,AC45),AA45+AC45)</f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>R46+S46+IF(OR(H46="Junior",H46="Senior"),0.0002,IF(OR(H46="L7",H46="L6"),0.0001,0))+IF(G46="17-21",MAX(AA46,AC46,AF46),AE46)*0.0000001</f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>IF(H46="Senior",MAX(AA46,AC46),AA46+AC46)</f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>IF(H47="Senior",MAX(AA47,AC47),AA47+AC47)</f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>IF(H48="Senior",MAX(AA48,AC48),AA48+AC48)</f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>R49+S49+IF(OR(H49="Junior",H49="Senior"),0.0002,IF(OR(H49="L7",H49="L6"),0.0001,0))+IF(G49="17-21",MAX(AA49,AC49,AF49),AE49)*0.0000001</f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>IF(H49="Senior",MAX(T49,V49),T49+V49)</f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>IF(H49="Senior",MAX(AA49,AC49),AA49+AC49)</f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>IF(H50="Senior",MAX(T50,V50),T50+V50)</f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>IF(H50="Senior",MAX(AA50,AC50),AA50+AC50)</f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>IF(H51="Senior",MAX(T51,V51),T51+V51)</f>
        <v>79.81</v>
      </c>
      <c r="Y51" s="34"/>
      <c r="Z51" s="40"/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>IF(H52="Senior",MAX(T52,V52),T52+V52)</f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>IF(H52="Senior",MAX(AA52,AC52),AA52+AC52)</f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>IF(H53="Senior",MAX(AA53,AC53),AA53+AC53)</f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>R54+S54+IF(OR(H54="Junior",H54="Senior"),0.0002,IF(OR(H54="L7",H54="L6"),0.0001,0))+IF(G54="17-21",MAX(AA54,AC54,AF54),AE54)*0.0000001</f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>IF(H54="Senior",MAX(T54,V54),T54+V54)</f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>IF(H54="Senior",MAX(AA54,AC54),AA54+AC54)</f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>IF(H55="Senior",MAX(AA55,AC55),AA55+AC55)</f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>IF(H56="Senior",MAX(AA56,AC56),AA56+AC56)</f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R57+S57+IF(OR(H57="Junior",H57="Senior"),0.0002,IF(OR(H57="L7",H57="L6"),0.0001,0))+IF(G57="17-21",MAX(AA57,AC57,AF57),AE57)*0.0000001</f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>IF(H57="Senior",MAX(AA57,AC57),AA57+AC57)</f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R58+S58+IF(OR(H58="Junior",H58="Senior"),0.0002,IF(OR(H58="L7",H58="L6"),0.0001,0))+IF(G58="17-21",MAX(AA58,AC58,AF58),AE58)*0.0000001</f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>IF(H58="Senior",MAX(T58,V58),T58+V58)</f>
        <v>52.72</v>
      </c>
      <c r="Y58" s="34"/>
      <c r="Z58" s="40"/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>R59+S59+IF(OR(H59="Junior",H59="Senior"),0.0002,IF(OR(H59="L7",H59="L6"),0.0001,0))+IF(G59="17-21",MAX(AA59,AC59,AF59),AE59)*0.0000001</f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>IF(H59="Senior",MAX(AA59,AC59),AA59+AC59)</f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>R60+S60+IF(OR(H60="Junior",H60="Senior"),0.0002,IF(OR(H60="L7",H60="L6"),0.0001,0))+IF(G60="17-21",MAX(AA60,AC60,AF60),AE60)*0.0000001</f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>IF(H60="Senior",MAX(AA60,AC60),AA60+AC60)</f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>IF(H61="Senior",MAX(AA61,AC61),AA61+AC61)</f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R64+S64+IF(OR(H64="Junior",H64="Senior"),0.0002,IF(OR(H64="L7",H64="L6"),0.0001,0))+IF(G64="17-21",MAX(AA64,AC64,AF64),AE64)*0.0000001</f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>IF(A64&lt;5,IF(_xlfn.MAXIFS(A:A,G:G,G64)&gt;3,5-A64,_xlfn.MAXIFS(A:A,G:G,G64)+1-A64),"")</f>
        <v>1</v>
      </c>
      <c r="R64" s="4">
        <f>IF(G64="17-21",MAX(T64,V64,Y64,AA64,AC64,AF64),MAX(X64,AE64))</f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>IF(H64="Senior",MAX(T64,V64),T64+V64)</f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>IF(H64="Senior",MAX(AA64,AC64),AA64+AC64)</f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>R65+S65+IF(OR(H65="Junior",H65="Senior"),0.0002,IF(OR(H65="L7",H65="L6"),0.0001,0))+IF(G65="17-21",MAX(AA65,AC65,AF65),AE65)*0.0000001</f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>IF(H65="Senior",MAX(T65,V65),T65+V65)</f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>IF(H65="Senior",MAX(AA65,AC65),AA65+AC65)</f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>R66+S66+IF(OR(H66="Junior",H66="Senior"),0.0002,IF(OR(H66="L7",H66="L6"),0.0001,0))+IF(G66="17-21",MAX(AA66,AC66,AF66),AE66)*0.0000001</f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>IF(H66="Senior",MAX(T66,V66),T66+V66)</f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>IF(H66="Senior",MAX(AA66,AC66),AA66+AC66)</f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R68+S68+IF(OR(H68="Junior",H68="Senior"),0.0002,IF(OR(H68="L7",H68="L6"),0.0001,0))+IF(G68="17-21",MAX(AA68,AC68,AF68),AE68)*0.0000001</f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>IF(H68="Senior",MAX(T68,V68),T68+V68)</f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>IF(H68="Senior",MAX(AA68,AC68),AA68+AC68)</f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R69+S69+IF(OR(H69="Junior",H69="Senior"),0.0002,IF(OR(H69="L7",H69="L6"),0.0001,0))+IF(G69="17-21",MAX(AA69,AC69,AF69),AE69)*0.0000001</f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>IF(H69="Senior",MAX(T69,V69),T69+V69)</f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>IF(H69="Senior",MAX(AA69,AC69),AA69+AC69)</f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>R70+S70+IF(OR(H70="Junior",H70="Senior"),0.0002,IF(OR(H70="L7",H70="L6"),0.0001,0))+IF(G70="17-21",MAX(AA70,AC70,AF70),AE70)*0.0000001</f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>IF(H70="Senior",MAX(T70,V70),T70+V70)</f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>IF(H70="Senior",MAX(AA70,AC70),AA70+AC70)</f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>R71+S71+IF(OR(H71="Junior",H71="Senior"),0.0002,IF(OR(H71="L7",H71="L6"),0.0001,0))+IF(G71="17-21",MAX(AA71,AC71,AF71),AE71)*0.0000001</f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>IF(H71="Senior",MAX(T71,V71),T71+V71)</f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>IF(H71="Senior",MAX(AA71,AC71),AA71+AC71)</f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>R72+S72+IF(OR(H72="Junior",H72="Senior"),0.0002,IF(OR(H72="L7",H72="L6"),0.0001,0))+IF(G72="17-21",MAX(AA72,AC72,AF72),AE72)*0.0000001</f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>IF(H72="Senior",MAX(T72,V72),T72+V72)</f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>IF(H72="Senior",MAX(AA72,AC72),AA72+AC72)</f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R73+S73+IF(OR(H73="Junior",H73="Senior"),0.0002,IF(OR(H73="L7",H73="L6"),0.0001,0))+IF(G73="17-21",MAX(AA73,AC73,AF73),AE73)*0.0000001</f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>IF(H73="Senior",MAX(AA73,AC73),AA73+AC73)</f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>IF(H74="Senior",MAX(T74,V74),T74+V74)</f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>IF(H74="Senior",MAX(AA74,AC74),AA74+AC74)</f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>R75+S75+IF(OR(H75="Junior",H75="Senior"),0.0002,IF(OR(H75="L7",H75="L6"),0.0001,0))+IF(G75="17-21",MAX(AA75,AC75,AF75),AE75)*0.0000001</f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>IF(H75="Senior",MAX(T75,V75),T75+V75)</f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>IF(H75="Senior",MAX(AA75,AC75),AA75+AC75)</f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>IF(H76="Senior",MAX(T76,V76),T76+V76)</f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>IF(H76="Senior",MAX(AA76,AC76),AA76+AC76)</f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>IF(H77="Senior",MAX(AA77,AC77),AA77+AC77)</f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>R78+S78+IF(OR(H78="Junior",H78="Senior"),0.0002,IF(OR(H78="L7",H78="L6"),0.0001,0))+IF(G78="17-21",MAX(AA78,AC78,AF78),AE78)*0.0000001</f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>IF(H78="Senior",MAX(T78,V78),T78+V78)</f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>IF(H78="Senior",MAX(AA78,AC78),AA78+AC78)</f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R79+S79+IF(OR(H79="Junior",H79="Senior"),0.0002,IF(OR(H79="L7",H79="L6"),0.0001,0))+IF(G79="17-21",MAX(AA79,AC79,AF79),AE79)*0.0000001</f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>IF(H79="Senior",MAX(AA79,AC79),AA79+AC79)</f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>IF(H80="Senior",MAX(AA80,AC80),AA80+AC80)</f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>R81+S81+IF(OR(H81="Junior",H81="Senior"),0.0002,IF(OR(H81="L7",H81="L6"),0.0001,0))+IF(G81="17-21",MAX(AA81,AC81,AF81),AE81)*0.0000001</f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>IF(H81="Senior",MAX(T81,V81),T81+V81)</f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>IF(H81="Senior",MAX(AA81,AC81),AA81+AC81)</f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R82+S82+IF(OR(H82="Junior",H82="Senior"),0.0002,IF(OR(H82="L7",H82="L6"),0.0001,0))+IF(G82="17-21",MAX(AA82,AC82,AF82),AE82)*0.0000001</f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>IF(H82="Senior",MAX(T82,V82),T82+V82)</f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>IF(H82="Senior",MAX(AA82,AC82),AA82+AC82)</f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>R83+S83+IF(OR(H83="Junior",H83="Senior"),0.0002,IF(OR(H83="L7",H83="L6"),0.0001,0))+IF(G83="17-21",MAX(AA83,AC83,AF83),AE83)*0.0000001</f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>IF(H83="Senior",MAX(T83,V83),T83+V83)</f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>IF(H83="Senior",MAX(AA83,AC83),AA83+AC83)</f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>R84+S84+IF(OR(H84="Junior",H84="Senior"),0.0002,IF(OR(H84="L7",H84="L6"),0.0001,0))+IF(G84="17-21",MAX(AA84,AC84,AF84),AE84)*0.0000001</f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>IF(H84="Senior",MAX(T84,V84),T84+V84)</f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>IF(H84="Senior",MAX(AA84,AC84),AA84+AC84)</f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>R85+S85+IF(OR(H85="Junior",H85="Senior"),0.0002,IF(OR(H85="L7",H85="L6"),0.0001,0))+IF(G85="17-21",MAX(AA85,AC85,AF85),AE85)*0.0000001</f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>IF(H85="Senior",MAX(T85,V85),T85+V85)</f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>IF(H85="Senior",MAX(AA85,AC85),AA85+AC85)</f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R86+S86+IF(OR(H86="Junior",H86="Senior"),0.0002,IF(OR(H86="L7",H86="L6"),0.0001,0))+IF(G86="17-21",MAX(AA86,AC86,AF86),AE86)*0.0000001</f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>IF(H86="Senior",MAX(T86,V86),T86+V86)</f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>IF(H86="Senior",MAX(AA86,AC86),AA86+AC86)</f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R87+S87+IF(OR(H87="Junior",H87="Senior"),0.0002,IF(OR(H87="L7",H87="L6"),0.0001,0))+IF(G87="17-21",MAX(AA87,AC87,AF87),AE87)*0.0000001</f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>IF(H87="Senior",MAX(T87,V87),T87+V87)</f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>IF(H87="Senior",MAX(AA87,AC87),AA87+AC87)</f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>R88+S88+IF(OR(H88="Junior",H88="Senior"),0.0002,IF(OR(H88="L7",H88="L6"),0.0001,0))+IF(G88="17-21",MAX(AA88,AC88,AF88),AE88)*0.0000001</f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>IF(H88="Senior",MAX(AA88,AC88),AA88+AC88)</f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>IF(H89="Senior",MAX(T89,V89),T89+V89)</f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>IF(H89="Senior",MAX(AA89,AC89),AA89+AC89)</f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>IF(H90="Senior",MAX(AA90,AC90),AA90+AC90)</f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>R91+S91+IF(OR(H91="Junior",H91="Senior"),0.0002,IF(OR(H91="L7",H91="L6"),0.0001,0))+IF(G91="17-21",MAX(AA91,AC91,AF91),AE91)*0.0000001</f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>IF(H91="Senior",MAX(AA91,AC91),AA91+AC91)</f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>R92+S92+IF(OR(H92="Junior",H92="Senior"),0.0002,IF(OR(H92="L7",H92="L6"),0.0001,0))+IF(G92="17-21",MAX(AA92,AC92,AF92),AE92)*0.0000001</f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>IF(H92="Senior",MAX(T92,V92),T92+V92)</f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>IF(H92="Senior",MAX(AA92,AC92),AA92+AC92)</f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>R93+S93+IF(OR(H93="Junior",H93="Senior"),0.0002,IF(OR(H93="L7",H93="L6"),0.0001,0))+IF(G93="17-21",MAX(AA93,AC93,AF93),AE93)*0.0000001</f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>IF(H93="Senior",MAX(AA93,AC93),AA93+AC93)</f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>R94+S94+IF(OR(H94="Junior",H94="Senior"),0.0002,IF(OR(H94="L7",H94="L6"),0.0001,0))+IF(G94="17-21",MAX(AA94,AC94,AF94),AE94)*0.0000001</f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>IF(H94="Senior",MAX(AA94,AC94),AA94+AC94)</f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>IF(H95="Senior",MAX(T95,V95),T95+V95)</f>
        <v>62.59</v>
      </c>
      <c r="Y95" s="34"/>
      <c r="Z95" s="40"/>
      <c r="AA95" s="33"/>
      <c r="AB95" s="40"/>
      <c r="AC95" s="34"/>
      <c r="AD95" s="40"/>
      <c r="AE95" s="4">
        <f>IF(H95="Senior",MAX(AA95,AC95),AA95+AC95)</f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>IF(H96="Senior",MAX(AA96,AC96),AA96+AC96)</f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>R97+S97+IF(OR(H97="Junior",H97="Senior"),0.0002,IF(OR(H97="L7",H97="L6"),0.0001,0))+IF(G97="17-21",MAX(AA97,AC97,AF97),AE97)*0.0000001</f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>IF(H97="Senior",MAX(AA97,AC97),AA97+AC97)</f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>R98+S98+IF(OR(H98="Junior",H98="Senior"),0.0002,IF(OR(H98="L7",H98="L6"),0.0001,0))+IF(G98="17-21",MAX(AA98,AC98,AF98),AE98)*0.0000001</f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>IF(A98&lt;5,IF(_xlfn.MAXIFS(A:A,G:G,G98)&gt;3,5-A98,_xlfn.MAXIFS(A:A,G:G,G98)+1-A98),"")</f>
        <v>1</v>
      </c>
      <c r="R98" s="4">
        <f>IF(G98="17-21",MAX(T98,V98,Y98,AA98,AC98,AF98),MAX(X98,AE98))</f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>IF(H98="Senior",MAX(T98,V98),T98+V98)</f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>IF(H98="Senior",MAX(AA98,AC98),AA98+AC98)</f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>R100+S100+IF(OR(H100="Junior",H100="Senior"),0.0002,IF(OR(H100="L7",H100="L6"),0.0001,0))+IF(G100="17-21",MAX(AA100,AC100,AF100),AE100)*0.0000001</f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>IF(H100="Senior",MAX(T100,V100),T100+V100)</f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>IF(H100="Senior",MAX(AA100,AC100),AA100+AC100)</f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>R101+S101+IF(OR(H101="Junior",H101="Senior"),0.0002,IF(OR(H101="L7",H101="L6"),0.0001,0))+IF(G101="17-21",MAX(AA101,AC101,AF101),AE101)*0.0000001</f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>IF(H101="Senior",MAX(AA101,AC101),AA101+AC101)</f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>R102+S102+IF(OR(H102="Junior",H102="Senior"),0.0002,IF(OR(H102="L7",H102="L6"),0.0001,0))+IF(G102="17-21",MAX(AA102,AC102,AF102),AE102)*0.0000001</f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>IF(H102="Senior",MAX(AA102,AC102),AA102+AC102)</f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>IF(H103="Senior",MAX(T103,V103),T103+V103)</f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>IF(H103="Senior",MAX(AA103,AC103),AA103+AC103)</f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R104+S104+IF(OR(H104="Junior",H104="Senior"),0.0002,IF(OR(H104="L7",H104="L6"),0.0001,0))+IF(G104="17-21",MAX(AA104,AC104,AF104),AE104)*0.0000001</f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>IF(H104="Senior",MAX(T104,V104),T104+V104)</f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>IF(H104="Senior",MAX(AA104,AC104),AA104+AC104)</f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>IF(H105="Senior",MAX(T105,V105),T105+V105)</f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>IF(H105="Senior",MAX(AA105,AC105),AA105+AC105)</f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>IF(H106="Senior",MAX(AA106,AC106),AA106+AC106)</f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6">
      <sortCondition descending="1" ref="G1:G107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368</v>
      </c>
      <c r="S1" s="69" t="s">
        <v>367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>IF(A3&lt;5,IF(_xlfn.MAXIFS(A:A,G:G,G3)&gt;3,5-A3,_xlfn.MAXIFS(A:A,G:G,G3)+1-A3),"")</f>
        <v>4</v>
      </c>
      <c r="R3" s="4">
        <f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>IF(A4&lt;5,IF(_xlfn.MAXIFS(A:A,G:G,G4)&gt;3,5-A4,_xlfn.MAXIFS(A:A,G:G,G4)+1-A4),"")</f>
        <v>3</v>
      </c>
      <c r="R4" s="4">
        <f>IF(G4="17-21",MAX(T4,V4,Y4,AA4,AC4,AF4),MAX(X4,AE4))</f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>IF(H4="Senior",MAX(T4,V4),T4+V4)</f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>IF(H4="Senior",MAX(AA4,AC4),AA4+AC4)</f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>IF(H5="Senior",MAX(T5,V5),T5+V5)</f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>IF(H5="Senior",MAX(AA5,AC5),AA5+AC5)</f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>IF(H6="Senior",MAX(T6,V6),T6+V6)</f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>IF(H6="Senior",MAX(AA6,AC6),AA6+AC6)</f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R7+S7+IF(OR(H7="Junior",H7="Senior"),0.0002,IF(OR(H7="L7",H7="L6"),0.0001,0))+IF(G7="17-21",MAX(AA7,AC7,AF7),AE7)*0.0000001</f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>IF(A7&lt;5,IF(_xlfn.MAXIFS(A:A,G:G,G7)&gt;3,5-A7,_xlfn.MAXIFS(A:A,G:G,G7)+1-A7),"")</f>
        <v/>
      </c>
      <c r="R7" s="4">
        <f>IF(G7="17-21",MAX(T7,V7,Y7,AA7,AC7,AF7),MAX(X7,AE7))</f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>IF(H7="Senior",MAX(T7,V7),T7+V7)</f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>IF(H7="Senior",MAX(AA7,AC7),AA7+AC7)</f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>R8+S8+IF(OR(H8="Junior",H8="Senior"),0.0002,IF(OR(H8="L7",H8="L6"),0.0001,0))+IF(G8="17-21",MAX(AA8,AC8,AF8),AE8)*0.0000001</f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>IF(H8="Senior",MAX(T8,V8),T8+V8)</f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>IF(H8="Senior",MAX(AA8,AC8),AA8+AC8)</f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R9+S9+IF(OR(H9="Junior",H9="Senior"),0.0002,IF(OR(H9="L7",H9="L6"),0.0001,0))+IF(G9="17-21",MAX(AA9,AC9,AF9),AE9)*0.0000001</f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>IF(H9="Senior",MAX(T9,V9),T9+V9)</f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>IF(H9="Senior",MAX(AA9,AC9),AA9+AC9)</f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R10+S10+IF(OR(H10="Junior",H10="Senior"),0.0002,IF(OR(H10="L7",H10="L6"),0.0001,0))+IF(G10="17-21",MAX(AA10,AC10,AF10),AE10)*0.0000001</f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>IF(H10="Senior",MAX(T10,V10),T10+V10)</f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>IF(H10="Senior",MAX(AA10,AC10),AA10+AC10)</f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R11+S11+IF(OR(H11="Junior",H11="Senior"),0.0002,IF(OR(H11="L7",H11="L6"),0.0001,0))+IF(G11="17-21",MAX(AA11,AC11,AF11),AE11)*0.0000001</f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>IF(H11="Senior",MAX(AA11,AC11),AA11+AC11)</f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>IF(H12="Senior",MAX(T12,V12),T12+V12)</f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>IF(H12="Senior",MAX(AA12,AC12),AA12+AC12)</f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>IF(H13="Senior",MAX(T13,V13),T13+V13)</f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>IF(H13="Senior",MAX(AA13,AC13),AA13+AC13)</f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>IF(H14="Senior",MAX(T14,V14),T14+V14)</f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>IF(H14="Senior",MAX(AA14,AC14),AA14+AC14)</f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R15+S15+IF(OR(H15="Junior",H15="Senior"),0.0002,IF(OR(H15="L7",H15="L6"),0.0001,0))+IF(G15="17-21",MAX(AA15,AC15,AF15),AE15)*0.0000001</f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>IF(H15="Senior",MAX(T15,V15),T15+V15)</f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>IF(H15="Senior",MAX(AA15,AC15),AA15+AC15)</f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R16+S16+IF(OR(H16="Junior",H16="Senior"),0.0002,IF(OR(H16="L7",H16="L6"),0.0001,0))+IF(G16="17-21",MAX(AA16,AC16,AF16),AE16)*0.0000001</f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>IF(H16="Senior",MAX(T16,V16),T16+V16)</f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>IF(H17="Senior",MAX(T17,V17),T17+V17)</f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>IF(H17="Senior",MAX(AA17,AC17),AA17+AC17)</f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R18+S18+IF(OR(H18="Junior",H18="Senior"),0.0002,IF(OR(H18="L7",H18="L6"),0.0001,0))+IF(G18="17-21",MAX(AA18,AC18,AF18),AE18)*0.0000001</f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>IF(H18="Senior",MAX(T18,V18),T18+V18)</f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R19+S19+IF(OR(H19="Junior",H19="Senior"),0.0002,IF(OR(H19="L7",H19="L6"),0.0001,0))+IF(G19="17-21",MAX(AA19,AC19,AF19),AE19)*0.0000001</f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>IF(H19="Senior",MAX(T19,V19),T19+V19)</f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>IF(H19="Senior",MAX(AA19,AC19),AA19+AC19)</f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R20+S20+IF(OR(H20="Junior",H20="Senior"),0.0002,IF(OR(H20="L7",H20="L6"),0.0001,0))+IF(G20="17-21",MAX(AA20,AC20,AF20),AE20)*0.0000001</f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>IF(H20="Senior",MAX(AA20,AC20),AA20+AC20)</f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R21+S21+IF(OR(H21="Junior",H21="Senior"),0.0002,IF(OR(H21="L7",H21="L6"),0.0001,0))+IF(G21="17-21",MAX(AA21,AC21,AF21),AE21)*0.0000001</f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>IF(H21="Senior",MAX(T21,V21),T21+V21)</f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>IF(H21="Senior",MAX(AA21,AC21),AA21+AC21)</f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>IF(H22="Senior",MAX(T22,V22),T22+V22)</f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>IF(H22="Senior",MAX(AA22,AC22),AA22+AC22)</f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>IF(H23="Senior",MAX(AA23,AC23),AA23+AC23)</f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>IF(H24="Senior",MAX(T24,V24),T24+V24)</f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>IF(H24="Senior",MAX(AA24,AC24),AA24+AC24)</f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>IF(H25="Senior",MAX(T25,V25),T25+V25)</f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>IF(H25="Senior",MAX(AA25,AC25),AA25+AC25)</f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>R26+S26+IF(OR(H26="Junior",H26="Senior"),0.0002,IF(OR(H26="L7",H26="L6"),0.0001,0))+IF(G26="17-21",MAX(AA26,AC26,AF26),AE26)*0.0000001</f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>IF(H26="Senior",MAX(T26,V26),T26+V26)</f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>IF(H26="Senior",MAX(AA26,AC26),AA26+AC26)</f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>R27+S27+IF(OR(H27="Junior",H27="Senior"),0.0002,IF(OR(H27="L7",H27="L6"),0.0001,0))+IF(G27="17-21",MAX(AA27,AC27,AF27),AE27)*0.0000001</f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>IF(H27="Senior",MAX(T27,V27),T27+V27)</f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>IF(H27="Senior",MAX(AA27,AC27),AA27+AC27)</f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>R28+S28+IF(OR(H28="Junior",H28="Senior"),0.0002,IF(OR(H28="L7",H28="L6"),0.0001,0))+IF(G28="17-21",MAX(AA28,AC28,AF28),AE28)*0.0000001</f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>IF(H28="Senior",MAX(T28,V28),T28+V28)</f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>IF(H28="Senior",MAX(AA28,AC28),AA28+AC28)</f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>IF(H29="Senior",MAX(T29,V29),T29+V29)</f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>IF(H29="Senior",MAX(AA29,AC29),AA29+AC29)</f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>IF(H30="Senior",MAX(T30,V30),T30+V30)</f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>IF(H30="Senior",MAX(AA30,AC30),AA30+AC30)</f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>IF(H31="Senior",MAX(T31,V31),T31+V31)</f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>IF(H31="Senior",MAX(AA31,AC31),AA31+AC31)</f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>IF(H32="Senior",MAX(T32,V32),T32+V32)</f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>IF(H32="Senior",MAX(AA32,AC32),AA32+AC32)</f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>IF(H33="Senior",MAX(T33,V33),T33+V33)</f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>IF(H33="Senior",MAX(AA33,AC33),AA33+AC33)</f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>IF(H34="Senior",MAX(T34,V34),T34+V34)</f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>IF(H34="Senior",MAX(AA34,AC34),AA34+AC34)</f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>R36+S36+IF(OR(H36="Junior",H36="Senior"),0.0002,IF(OR(H36="L7",H36="L6"),0.0001,0))+IF(G36="17-21",MAX(AA36,AC36,AF36),AE36)*0.0000001</f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>IF(H36="Senior",MAX(T36,V36),T36+V36)</f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>IF(H36="Senior",MAX(AA36,AC36),AA36+AC36)</f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>R37+S37+IF(OR(H37="Junior",H37="Senior"),0.0002,IF(OR(H37="L7",H37="L6"),0.0001,0))+IF(G37="17-21",MAX(AA37,AC37,AF37),AE37)*0.0000001</f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>IF(H37="Senior",MAX(T37,V37),T37+V37)</f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>IF(H37="Senior",MAX(AA37,AC37),AA37+AC37)</f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>IF(H38="Senior",MAX(T38,V38),T38+V38)</f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>IF(H38="Senior",MAX(AA38,AC38),AA38+AC38)</f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>IF(H39="Senior",MAX(T39,V39),T39+V39)</f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>IF(H39="Senior",MAX(AA39,AC39),AA39+AC39)</f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>IF(H40="Senior",MAX(T40,V40),T40+V40)</f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>IF(H40="Senior",MAX(AA40,AC40),AA40+AC40)</f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>IF(H41="Senior",MAX(T41,V41),T41+V41)</f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>IF(H41="Senior",MAX(AA41,AC41),AA41+AC41)</f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R42+S42+IF(OR(H42="Junior",H42="Senior"),0.0002,IF(OR(H42="L7",H42="L6"),0.0001,0))+IF(G42="17-21",MAX(AA42,AC42,AF42),AE42)*0.0000001</f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>IF(H42="Senior",MAX(T42,V42),T42+V42)</f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>IF(H42="Senior",MAX(AA42,AC42),AA42+AC42)</f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>R43+S43+IF(OR(H43="Junior",H43="Senior"),0.0002,IF(OR(H43="L7",H43="L6"),0.0001,0))+IF(G43="17-21",MAX(AA43,AC43,AF43),AE43)*0.0000001</f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>IF(H43="Senior",MAX(T43,V43),T43+V43)</f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>IF(H43="Senior",MAX(AA43,AC43),AA43+AC43)</f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>IF(H44="Senior",MAX(T44,V44),T44+V44)</f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>IF(H44="Senior",MAX(AA44,AC44),AA44+AC44)</f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>IF(H45="Senior",MAX(T45,V45),T45+V45)</f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>IF(H45="Senior",MAX(AA45,AC45),AA45+AC45)</f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R46+S46+IF(OR(H46="Junior",H46="Senior"),0.0002,IF(OR(H46="L7",H46="L6"),0.0001,0))+IF(G46="17-21",MAX(AA46,AC46,AF46),AE46)*0.0000001</f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>IF(H46="Senior",MAX(T46,V46),T46+V46)</f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>IF(H46="Senior",MAX(AA46,AC46),AA46+AC46)</f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>IF(H47="Senior",MAX(AA47,AC47),AA47+AC47)</f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>IF(H48="Senior",MAX(AA48,AC48),AA48+AC48)</f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>IF(H49="Senior",MAX(T49,V49),T49+V49)</f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>IF(H49="Senior",MAX(AA49,AC49),AA49+AC49)</f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>IF(H50="Senior",MAX(T50,V50),T50+V50)</f>
        <v>83.080000000000013</v>
      </c>
      <c r="Y50" s="34"/>
      <c r="Z50" s="40"/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>IF(H51="Senior",MAX(T51,V51),T51+V51)</f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>IF(H51="Senior",MAX(AA51,AC51),AA51+AC51)</f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>IF(H52="Senior",MAX(T52,V52),T52+V52)</f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>IF(H52="Senior",MAX(AA52,AC52),AA52+AC52)</f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>IF(H53="Senior",MAX(AA53,AC53),AA53+AC53)</f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>IF(H54="Senior",MAX(T54,V54),T54+V54)</f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>IF(H54="Senior",MAX(AA54,AC54),AA54+AC54)</f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>IF(H55="Senior",MAX(AA55,AC55),AA55+AC55)</f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>IF(H56="Senior",MAX(T56,V56),T56+V56)</f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>IF(H56="Senior",MAX(AA56,AC56),AA56+AC56)</f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R57+S57+IF(OR(H57="Junior",H57="Senior"),0.0002,IF(OR(H57="L7",H57="L6"),0.0001,0))+IF(G57="17-21",MAX(AA57,AC57,AF57),AE57)*0.0000001</f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>IF(H57="Senior",MAX(AA57,AC57),AA57+AC57)</f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>R58+S58+IF(OR(H58="Junior",H58="Senior"),0.0002,IF(OR(H58="L7",H58="L6"),0.0001,0))+IF(G58="17-21",MAX(AA58,AC58,AF58),AE58)*0.0000001</f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>IF(H58="Senior",MAX(AA58,AC58),AA58+AC58)</f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R59+S59+IF(OR(H59="Junior",H59="Senior"),0.0002,IF(OR(H59="L7",H59="L6"),0.0001,0))+IF(G59="17-21",MAX(AA59,AC59,AF59),AE59)*0.0000001</f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>IF(H59="Senior",MAX(AA59,AC59),AA59+AC59)</f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>R60+S60+IF(OR(H60="Junior",H60="Senior"),0.0002,IF(OR(H60="L7",H60="L6"),0.0001,0))+IF(G60="17-21",MAX(AA60,AC60,AF60),AE60)*0.0000001</f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>IF(H60="Senior",MAX(T60,V60),T60+V60)</f>
        <v>80.430000000000007</v>
      </c>
      <c r="Y60" s="34"/>
      <c r="Z60" s="40"/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>IF(H61="Senior",MAX(AA61,AC61),AA61+AC61)</f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>IF(H62="Senior",MAX(T62,V62),T62+V62)</f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>IF(H62="Senior",MAX(AA62,AC62),AA62+AC62)</f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>IF(H63="Senior",MAX(T63,V63),T63+V63)</f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>IF(H63="Senior",MAX(AA63,AC63),AA63+AC63)</f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>IF(H64="Senior",MAX(T64,V64),T64+V64)</f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>IF(H64="Senior",MAX(AA64,AC64),AA64+AC64)</f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>IF(H65="Senior",MAX(AA65,AC65),AA65+AC65)</f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>R66+S66+IF(OR(H66="Junior",H66="Senior"),0.0002,IF(OR(H66="L7",H66="L6"),0.0001,0))+IF(G66="17-21",MAX(AA66,AC66,AF66),AE66)*0.0000001</f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>IF(H66="Senior",MAX(AA66,AC66),AA66+AC66)</f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>IF(H68="Senior",MAX(T68,V68),T68+V68)</f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>IF(H68="Senior",MAX(AA68,AC68),AA68+AC68)</f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>R69+S69+IF(OR(H69="Junior",H69="Senior"),0.0002,IF(OR(H69="L7",H69="L6"),0.0001,0))+IF(G69="17-21",MAX(AA69,AC69,AF69),AE69)*0.0000001</f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>IF(H69="Senior",MAX(T69,V69),T69+V69)</f>
        <v>74.97999999999999</v>
      </c>
      <c r="Y69" s="34"/>
      <c r="Z69" s="40"/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>R70+S70+IF(OR(H70="Junior",H70="Senior"),0.0002,IF(OR(H70="L7",H70="L6"),0.0001,0))+IF(G70="17-21",MAX(AA70,AC70,AF70),AE70)*0.0000001</f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>IF(H70="Senior",MAX(T70,V70),T70+V70)</f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>IF(H70="Senior",MAX(AA70,AC70),AA70+AC70)</f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>R71+S71+IF(OR(H71="Junior",H71="Senior"),0.0002,IF(OR(H71="L7",H71="L6"),0.0001,0))+IF(G71="17-21",MAX(AA71,AC71,AF71),AE71)*0.0000001</f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>IF(H71="Senior",MAX(T71,V71),T71+V71)</f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>IF(H71="Senior",MAX(AA71,AC71),AA71+AC71)</f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>R72+S72+IF(OR(H72="Junior",H72="Senior"),0.0002,IF(OR(H72="L7",H72="L6"),0.0001,0))+IF(G72="17-21",MAX(AA72,AC72,AF72),AE72)*0.0000001</f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>IF(H72="Senior",MAX(T72,V72),T72+V72)</f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>IF(H72="Senior",MAX(AA72,AC72),AA72+AC72)</f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>R73+S73+IF(OR(H73="Junior",H73="Senior"),0.0002,IF(OR(H73="L7",H73="L6"),0.0001,0))+IF(G73="17-21",MAX(AA73,AC73,AF73),AE73)*0.0000001</f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>IF(H73="Senior",MAX(T73,V73),T73+V73)</f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>IF(H74="Senior",MAX(AA74,AC74),AA74+AC74)</f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>R75+S75+IF(OR(H75="Junior",H75="Senior"),0.0002,IF(OR(H75="L7",H75="L6"),0.0001,0))+IF(G75="17-21",MAX(AA75,AC75,AF75),AE75)*0.0000001</f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>IF(H75="Senior",MAX(AA75,AC75),AA75+AC75)</f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>IF(H76="Senior",MAX(T76,V76),T76+V76)</f>
        <v>53.820000000000007</v>
      </c>
      <c r="Y76" s="34"/>
      <c r="Z76" s="40"/>
      <c r="AA76" s="33"/>
      <c r="AB76" s="40"/>
      <c r="AC76" s="34"/>
      <c r="AD76" s="40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>IF(H77="Senior",MAX(AA77,AC77),AA77+AC77)</f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>R78+S78+IF(OR(H78="Junior",H78="Senior"),0.0002,IF(OR(H78="L7",H78="L6"),0.0001,0))+IF(G78="17-21",MAX(AA78,AC78,AF78),AE78)*0.0000001</f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>IF(H78="Senior",MAX(AA78,AC78),AA78+AC78)</f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>R79+S79+IF(OR(H79="Junior",H79="Senior"),0.0002,IF(OR(H79="L7",H79="L6"),0.0001,0))+IF(G79="17-21",MAX(AA79,AC79,AF79),AE79)*0.0000001</f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>IF(H79="Senior",MAX(T79,V79),T79+V79)</f>
        <v>45.2</v>
      </c>
      <c r="Y79" s="34"/>
      <c r="Z79" s="40"/>
      <c r="AA79" s="33"/>
      <c r="AB79" s="40"/>
      <c r="AC79" s="34"/>
      <c r="AD79" s="40"/>
      <c r="AE79" s="4">
        <f>IF(H79="Senior",MAX(AA79,AC79),AA79+AC79)</f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>IF(H80="Senior",MAX(AA80,AC80),AA80+AC80)</f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>R81+S81+IF(OR(H81="Junior",H81="Senior"),0.0002,IF(OR(H81="L7",H81="L6"),0.0001,0))+IF(G81="17-21",MAX(AA81,AC81,AF81),AE81)*0.0000001</f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>IF(H81="Senior",MAX(T81,V81),T81+V81)</f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>IF(H81="Senior",MAX(AA81,AC81),AA81+AC81)</f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>R82+S82+IF(OR(H82="Junior",H82="Senior"),0.0002,IF(OR(H82="L7",H82="L6"),0.0001,0))+IF(G82="17-21",MAX(AA82,AC82,AF82),AE82)*0.0000001</f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>IF(H82="Senior",MAX(T82,V82),T82+V82)</f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>IF(H82="Senior",MAX(AA82,AC82),AA82+AC82)</f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>R83+S83+IF(OR(H83="Junior",H83="Senior"),0.0002,IF(OR(H83="L7",H83="L6"),0.0001,0))+IF(G83="17-21",MAX(AA83,AC83,AF83),AE83)*0.0000001</f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>IF(H83="Senior",MAX(T83,V83),T83+V83)</f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>IF(H83="Senior",MAX(AA83,AC83),AA83+AC83)</f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>R84+S84+IF(OR(H84="Junior",H84="Senior"),0.0002,IF(OR(H84="L7",H84="L6"),0.0001,0))+IF(G84="17-21",MAX(AA84,AC84,AF84),AE84)*0.0000001</f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>IF(A84&lt;5,IF(_xlfn.MAXIFS(A:A,G:G,G84)&gt;3,5-A84,_xlfn.MAXIFS(A:A,G:G,G84)+1-A84),"")</f>
        <v>1</v>
      </c>
      <c r="R84" s="4">
        <f>IF(G84="17-21",MAX(T84,V84,Y84,AA84,AC84,AF84),MAX(X84,AE84))</f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>IF(H84="Senior",MAX(T84,V84),T84+V84)</f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>IF(H84="Senior",MAX(AA84,AC84),AA84+AC84)</f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>R85+S85+IF(OR(H85="Junior",H85="Senior"),0.0002,IF(OR(H85="L7",H85="L6"),0.0001,0))+IF(G85="17-21",MAX(AA85,AC85,AF85),AE85)*0.0000001</f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>IF(H85="Senior",MAX(T85,V85),T85+V85)</f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>IF(H85="Senior",MAX(AA85,AC85),AA85+AC85)</f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>R86+S86+IF(OR(H86="Junior",H86="Senior"),0.0002,IF(OR(H86="L7",H86="L6"),0.0001,0))+IF(G86="17-21",MAX(AA86,AC86,AF86),AE86)*0.0000001</f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>IF(H86="Senior",MAX(T86,V86),T86+V86)</f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>IF(H86="Senior",MAX(AA86,AC86),AA86+AC86)</f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>R87+S87+IF(OR(H87="Junior",H87="Senior"),0.0002,IF(OR(H87="L7",H87="L6"),0.0001,0))+IF(G87="17-21",MAX(AA87,AC87,AF87),AE87)*0.0000001</f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>IF(H87="Senior",MAX(T87,V87),T87+V87)</f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>IF(H87="Senior",MAX(AA87,AC87),AA87+AC87)</f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>R88+S88+IF(OR(H88="Junior",H88="Senior"),0.0002,IF(OR(H88="L7",H88="L6"),0.0001,0))+IF(G88="17-21",MAX(AA88,AC88,AF88),AE88)*0.0000001</f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>IF(H88="Senior",MAX(T88,V88),T88+V88)</f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>IF(H88="Senior",MAX(AA88,AC88),AA88+AC88)</f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>IF(H89="Senior",MAX(T89,V89),T89+V89)</f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>IF(H89="Senior",MAX(AA89,AC89),AA89+AC89)</f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>IF(H90="Senior",MAX(T90,V90),T90+V90)</f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>IF(H90="Senior",MAX(AA90,AC90),AA90+AC90)</f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>R91+S91+IF(OR(H91="Junior",H91="Senior"),0.0002,IF(OR(H91="L7",H91="L6"),0.0001,0))+IF(G91="17-21",MAX(AA91,AC91,AF91),AE91)*0.0000001</f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>IF(H91="Senior",MAX(T91,V91),T91+V91)</f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>IF(H91="Senior",MAX(AA91,AC91),AA91+AC91)</f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>R92+S92+IF(OR(H92="Junior",H92="Senior"),0.0002,IF(OR(H92="L7",H92="L6"),0.0001,0))+IF(G92="17-21",MAX(AA92,AC92,AF92),AE92)*0.0000001</f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>IF(H92="Senior",MAX(T92,V92),T92+V92)</f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>IF(H92="Senior",MAX(AA92,AC92),AA92+AC92)</f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>R93+S93+IF(OR(H93="Junior",H93="Senior"),0.0002,IF(OR(H93="L7",H93="L6"),0.0001,0))+IF(G93="17-21",MAX(AA93,AC93,AF93),AE93)*0.0000001</f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>IF(H93="Senior",MAX(T93,V93),T93+V93)</f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>IF(H93="Senior",MAX(AA93,AC93),AA93+AC93)</f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>R94+S94+IF(OR(H94="Junior",H94="Senior"),0.0002,IF(OR(H94="L7",H94="L6"),0.0001,0))+IF(G94="17-21",MAX(AA94,AC94,AF94),AE94)*0.0000001</f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>IF(H94="Senior",MAX(T94,V94),T94+V94)</f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>IF(H94="Senior",MAX(AA94,AC94),AA94+AC94)</f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>IF(H95="Senior",MAX(T95,V95),T95+V95)</f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>IF(H95="Senior",MAX(AA95,AC95),AA95+AC95)</f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>IF(H96="Senior",MAX(AA96,AC96),AA96+AC96)</f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>R97+S97+IF(OR(H97="Junior",H97="Senior"),0.0002,IF(OR(H97="L7",H97="L6"),0.0001,0))+IF(G97="17-21",MAX(AA97,AC97,AF97),AE97)*0.0000001</f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>IF(H97="Senior",MAX(AA97,AC97),AA97+AC97)</f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>R98+S98+IF(OR(H98="Junior",H98="Senior"),0.0002,IF(OR(H98="L7",H98="L6"),0.0001,0))+IF(G98="17-21",MAX(AA98,AC98,AF98),AE98)*0.0000001</f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>IF(H98="Senior",MAX(T98,V98),T98+V98)</f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>IF(H98="Senior",MAX(AA98,AC98),AA98+AC98)</f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>R100+S100+IF(OR(H100="Junior",H100="Senior"),0.0002,IF(OR(H100="L7",H100="L6"),0.0001,0))+IF(G100="17-21",MAX(AA100,AC100,AF100),AE100)*0.0000001</f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>IF(H100="Senior",MAX(T100,V100),T100+V100)</f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>IF(H100="Senior",MAX(AA100,AC100),AA100+AC100)</f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>R101+S101+IF(OR(H101="Junior",H101="Senior"),0.0002,IF(OR(H101="L7",H101="L6"),0.0001,0))+IF(G101="17-21",MAX(AA101,AC101,AF101),AE101)*0.0000001</f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>IF(H101="Senior",MAX(T101,V101),T101+V101)</f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>IF(H101="Senior",MAX(AA101,AC101),AA101+AC101)</f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>R102+S102+IF(OR(H102="Junior",H102="Senior"),0.0002,IF(OR(H102="L7",H102="L6"),0.0001,0))+IF(G102="17-21",MAX(AA102,AC102,AF102),AE102)*0.0000001</f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>IF(H102="Senior",MAX(T102,V102),T102+V102)</f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>IF(H102="Senior",MAX(AA102,AC102),AA102+AC102)</f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>IF(H103="Senior",MAX(T103,V103),T103+V103)</f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>IF(H103="Senior",MAX(AA103,AC103),AA103+AC103)</f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>R104+S104+IF(OR(H104="Junior",H104="Senior"),0.0002,IF(OR(H104="L7",H104="L6"),0.0001,0))+IF(G104="17-21",MAX(AA104,AC104,AF104),AE104)*0.0000001</f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>IF(H104="Senior",MAX(T104,V104),T104+V104)</f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>IF(H104="Senior",MAX(AA104,AC104),AA104+AC104)</f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>IF(H105="Senior",MAX(T105,V105),T105+V105)</f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>IF(H105="Senior",MAX(AA105,AC105),AA105+AC105)</f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>IF(H106="Senior",MAX(AA106,AC106),AA106+AC106)</f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>R107+S107+IF(OR(H107="Junior",H107="Senior"),0.0002,IF(OR(H107="L7",H107="L6"),0.0001,0))+IF(G107="17-21",MAX(AA107,AC107,AF107),AE107)*0.0000001</f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>IF(A107&lt;5,IF(_xlfn.MAXIFS(A:A,G:G,G107)&gt;3,5-A107,_xlfn.MAXIFS(A:A,G:G,G107)+1-A107),"")</f>
        <v/>
      </c>
      <c r="R107" s="4">
        <f>IF(G107="17-21",MAX(T107,V107,Y107,AA107,AC107,AF107),MAX(X107,AE107))</f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>IF(H107="Senior",MAX(T107,V107),T107+V107)</f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>IF(H107="Senior",MAX(AA107,AC107),AA107+AC107)</f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>R108+S108+IF(OR(H108="Junior",H108="Senior"),0.0002,IF(OR(H108="L7",H108="L6"),0.0001,0))+IF(G108="17-21",MAX(AA108,AC108,AF108),AE108)*0.0000001</f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>IF(A108&lt;5,IF(_xlfn.MAXIFS(A:A,G:G,G108)&gt;3,5-A108,_xlfn.MAXIFS(A:A,G:G,G108)+1-A108),"")</f>
        <v/>
      </c>
      <c r="R108" s="4">
        <f>IF(G108="17-21",MAX(T108,V108,Y108,AA108,AC108,AF108),MAX(X108,AE108))</f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>IF(H108="Senior",MAX(T108,V108),T108+V108)</f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>IF(H108="Senior",MAX(AA108,AC108),AA108+AC108)</f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>R109+S109+IF(OR(H109="Junior",H109="Senior"),0.0002,IF(OR(H109="L7",H109="L6"),0.0001,0))+IF(G109="17-21",MAX(AA109,AC109,AF109),AE109)*0.0000001</f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>IF(A109&lt;5,IF(_xlfn.MAXIFS(A:A,G:G,G109)&gt;3,5-A109,_xlfn.MAXIFS(A:A,G:G,G109)+1-A109),"")</f>
        <v/>
      </c>
      <c r="R109" s="4">
        <f>IF(G109="17-21",MAX(T109,V109,Y109,AA109,AC109,AF109),MAX(X109,AE109))</f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>IF(H109="Senior",MAX(AA109,AC109),AA109+AC109)</f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>R110+S110+IF(OR(H110="Junior",H110="Senior"),0.0002,IF(OR(H110="L7",H110="L6"),0.0001,0))+IF(G110="17-21",MAX(AA110,AC110,AF110),AE110)*0.0000001</f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>IF(A110&lt;5,IF(_xlfn.MAXIFS(A:A,G:G,G110)&gt;3,5-A110,_xlfn.MAXIFS(A:A,G:G,G110)+1-A110),"")</f>
        <v/>
      </c>
      <c r="R110" s="4">
        <f>IF(G110="17-21",MAX(T110,V110,Y110,AA110,AC110,AF110),MAX(X110,AE110))</f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>IF(H110="Senior",MAX(AA110,AC110),AA110+AC110)</f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>R111+S111+IF(OR(H111="Junior",H111="Senior"),0.0002,IF(OR(H111="L7",H111="L6"),0.0001,0))+IF(G111="17-21",MAX(AA111,AC111,AF111),AE111)*0.0000001</f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>IF(A111&lt;5,IF(_xlfn.MAXIFS(A:A,G:G,G111)&gt;3,5-A111,_xlfn.MAXIFS(A:A,G:G,G111)+1-A111),"")</f>
        <v/>
      </c>
      <c r="R111" s="4">
        <f>IF(G111="17-21",MAX(T111,V111,Y111,AA111,AC111,AF111),MAX(X111,AE111))</f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>IF(H111="Senior",MAX(AA111,AC111),AA111+AC111)</f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>R112+S112+IF(OR(H112="Junior",H112="Senior"),0.0002,IF(OR(H112="L7",H112="L6"),0.0001,0))+IF(G112="17-21",MAX(AA112,AC112,AF112),AE112)*0.0000001</f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>IF(A112&lt;5,IF(_xlfn.MAXIFS(A:A,G:G,G112)&gt;3,5-A112,_xlfn.MAXIFS(A:A,G:G,G112)+1-A112),"")</f>
        <v/>
      </c>
      <c r="R112" s="4">
        <f>IF(G112="17-21",MAX(T112,V112,Y112,AA112,AC112,AF112),MAX(X112,AE112))</f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>IF(H112="Senior",MAX(T112,V112),T112+V112)</f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>IF(H112="Senior",MAX(AA112,AC112),AA112+AC112)</f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>R113+S113+IF(OR(H113="Junior",H113="Senior"),0.0002,IF(OR(H113="L7",H113="L6"),0.0001,0))+IF(G113="17-21",MAX(AA113,AC113,AF113),AE113)*0.0000001</f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>IF(A113&lt;5,IF(_xlfn.MAXIFS(A:A,G:G,G113)&gt;3,5-A113,_xlfn.MAXIFS(A:A,G:G,G113)+1-A113),"")</f>
        <v/>
      </c>
      <c r="R113" s="4">
        <f>IF(G113="17-21",MAX(T113,V113,Y113,AA113,AC113,AF113),MAX(X113,AE113))</f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>IF(H113="Senior",MAX(T113,V113),T113+V113)</f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>IF(H113="Senior",MAX(AA113,AC113),AA113+AC113)</f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>R114+S114+IF(OR(H114="Junior",H114="Senior"),0.0002,IF(OR(H114="L7",H114="L6"),0.0001,0))+IF(G114="17-21",MAX(AA114,AC114,AF114),AE114)*0.0000001</f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>IF(A114&lt;5,IF(_xlfn.MAXIFS(A:A,G:G,G114)&gt;3,5-A114,_xlfn.MAXIFS(A:A,G:G,G114)+1-A114),"")</f>
        <v/>
      </c>
      <c r="R114" s="4">
        <f>IF(G114="17-21",MAX(T114,V114,Y114,AA114,AC114,AF114),MAX(X114,AE114))</f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>IF(H114="Senior",MAX(T114,V114),T114+V114)</f>
        <v>72.47</v>
      </c>
      <c r="Y114" s="34"/>
      <c r="Z114" s="40"/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>R115+S115+IF(OR(H115="Junior",H115="Senior"),0.0002,IF(OR(H115="L7",H115="L6"),0.0001,0))+IF(G115="17-21",MAX(AA115,AC115,AF115),AE115)*0.0000001</f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>IF(A115&lt;5,IF(_xlfn.MAXIFS(A:A,G:G,G115)&gt;3,5-A115,_xlfn.MAXIFS(A:A,G:G,G115)+1-A115),"")</f>
        <v/>
      </c>
      <c r="R115" s="4">
        <f>IF(G115="17-21",MAX(T115,V115,Y115,AA115,AC115,AF115),MAX(X115,AE115))</f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>IF(H115="Senior",MAX(AA115,AC115),AA115+AC115)</f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>R116+S116+IF(OR(H116="Junior",H116="Senior"),0.0002,IF(OR(H116="L7",H116="L6"),0.0001,0))+IF(G116="17-21",MAX(AA116,AC116,AF116),AE116)*0.0000001</f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>IF(A116&lt;5,IF(_xlfn.MAXIFS(A:A,G:G,G116)&gt;3,5-A116,_xlfn.MAXIFS(A:A,G:G,G116)+1-A116),"")</f>
        <v/>
      </c>
      <c r="R116" s="4">
        <f>IF(G116="17-21",MAX(T116,V116,Y116,AA116,AC116,AF116),MAX(X116,AE116))</f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>IF(H116="Senior",MAX(T116,V116),T116+V116)</f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>IF(H116="Senior",MAX(AA116,AC116),AA116+AC116)</f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>R117+S117+IF(OR(H117="Junior",H117="Senior"),0.0002,IF(OR(H117="L7",H117="L6"),0.0001,0))+IF(G117="17-21",MAX(AA117,AC117,AF117),AE117)*0.0000001</f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>IF(A117&lt;5,IF(_xlfn.MAXIFS(A:A,G:G,G117)&gt;3,5-A117,_xlfn.MAXIFS(A:A,G:G,G117)+1-A117),"")</f>
        <v/>
      </c>
      <c r="R117" s="4">
        <f>IF(G117="17-21",MAX(T117,V117,Y117,AA117,AC117,AF117),MAX(X117,AE117))</f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>IF(H117="Senior",MAX(T117,V117),T117+V117)</f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>IF(H117="Senior",MAX(AA117,AC117),AA117+AC117)</f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>R118+S118+IF(OR(H118="Junior",H118="Senior"),0.0002,IF(OR(H118="L7",H118="L6"),0.0001,0))+IF(G118="17-21",MAX(AA118,AC118,AF118),AE118)*0.0000001</f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>IF(A118&lt;5,IF(_xlfn.MAXIFS(A:A,G:G,G118)&gt;3,5-A118,_xlfn.MAXIFS(A:A,G:G,G118)+1-A118),"")</f>
        <v/>
      </c>
      <c r="R118" s="4">
        <f>IF(G118="17-21",MAX(T118,V118,Y118,AA118,AC118,AF118),MAX(X118,AE118))</f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>IF(H118="Senior",MAX(T118,V118),T118+V118)</f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>IF(H118="Senior",MAX(AA118,AC118),AA118+AC118)</f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>R119+S119+IF(OR(H119="Junior",H119="Senior"),0.0002,IF(OR(H119="L7",H119="L6"),0.0001,0))+IF(G119="17-21",MAX(AA119,AC119,AF119),AE119)*0.0000001</f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>IF(A119&lt;5,IF(_xlfn.MAXIFS(A:A,G:G,G119)&gt;3,5-A119,_xlfn.MAXIFS(A:A,G:G,G119)+1-A119),"")</f>
        <v>1</v>
      </c>
      <c r="R119" s="4">
        <f>IF(G119="17-21",MAX(T119,V119,Y119,AA119,AC119,AF119),MAX(X119,AE119))</f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>IF(H119="Senior",MAX(T119,V119),T119+V119)</f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>IF(H119="Senior",MAX(AA119,AC119),AA119+AC119)</f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>R120+S120+IF(OR(H120="Junior",H120="Senior"),0.0002,IF(OR(H120="L7",H120="L6"),0.0001,0))+IF(G120="17-21",MAX(AA120,AC120,AF120),AE120)*0.0000001</f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>IF(A120&lt;5,IF(_xlfn.MAXIFS(A:A,G:G,G120)&gt;3,5-A120,_xlfn.MAXIFS(A:A,G:G,G120)+1-A120),"")</f>
        <v/>
      </c>
      <c r="R120" s="4">
        <f>IF(G120="17-21",MAX(T120,V120,Y120,AA120,AC120,AF120),MAX(X120,AE120))</f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>IF(H120="Senior",MAX(T120,V120),T120+V120)</f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>IF(H120="Senior",MAX(AA120,AC120),AA120+AC120)</f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>R121+S121+IF(OR(H121="Junior",H121="Senior"),0.0002,IF(OR(H121="L7",H121="L6"),0.0001,0))+IF(G121="17-21",MAX(AA121,AC121,AF121),AE121)*0.0000001</f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>IF(A121&lt;5,IF(_xlfn.MAXIFS(A:A,G:G,G121)&gt;3,5-A121,_xlfn.MAXIFS(A:A,G:G,G121)+1-A121),"")</f>
        <v/>
      </c>
      <c r="R121" s="4">
        <f>IF(G121="17-21",MAX(T121,V121,Y121,AA121,AC121,AF121),MAX(X121,AE121))</f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>IF(H121="Senior",MAX(T121,V121),T121+V121)</f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>IF(H121="Senior",MAX(AA121,AC121),AA121+AC121)</f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>R122+S122+IF(OR(H122="Junior",H122="Senior"),0.0002,IF(OR(H122="L7",H122="L6"),0.0001,0))+IF(G122="17-21",MAX(AA122,AC122,AF122),AE122)*0.0000001</f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>IF(A122&lt;5,IF(_xlfn.MAXIFS(A:A,G:G,G122)&gt;3,5-A122,_xlfn.MAXIFS(A:A,G:G,G122)+1-A122),"")</f>
        <v/>
      </c>
      <c r="R122" s="4">
        <f>IF(G122="17-21",MAX(T122,V122,Y122,AA122,AC122,AF122),MAX(X122,AE122))</f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>IF(H122="Senior",MAX(T122,V122),T122+V122)</f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>IF(H122="Senior",MAX(AA122,AC122),AA122+AC122)</f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>R123+S123+IF(OR(H123="Junior",H123="Senior"),0.0002,IF(OR(H123="L7",H123="L6"),0.0001,0))+IF(G123="17-21",MAX(AA123,AC123,AF123),AE123)*0.0000001</f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>IF(A123&lt;5,IF(_xlfn.MAXIFS(A:A,G:G,G123)&gt;3,5-A123,_xlfn.MAXIFS(A:A,G:G,G123)+1-A123),"")</f>
        <v/>
      </c>
      <c r="R123" s="4">
        <f>IF(G123="17-21",MAX(T123,V123,Y123,AA123,AC123,AF123),MAX(X123,AE123))</f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>IF(H123="Senior",MAX(AA123,AC123),AA123+AC123)</f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>R124+S124+IF(OR(H124="Junior",H124="Senior"),0.0002,IF(OR(H124="L7",H124="L6"),0.0001,0))+IF(G124="17-21",MAX(AA124,AC124,AF124),AE124)*0.0000001</f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>IF(A124&lt;5,IF(_xlfn.MAXIFS(A:A,G:G,G124)&gt;3,5-A124,_xlfn.MAXIFS(A:A,G:G,G124)+1-A124),"")</f>
        <v/>
      </c>
      <c r="R124" s="4">
        <f>IF(G124="17-21",MAX(T124,V124,Y124,AA124,AC124,AF124),MAX(X124,AE124))</f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>IF(H124="Senior",MAX(AA124,AC124),AA124+AC124)</f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 t="s">
        <v>567</v>
      </c>
      <c r="J125" s="4">
        <f>R125+S125+IF(OR(H125="Junior",H125="Senior"),0.0002,IF(OR(H125="L7",H125="L6"),0.0001,0))+IF(G125="17-21",MAX(AA125,AC125,AF125),AE125)*0.0000001</f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>IF(A125&lt;5,IF(_xlfn.MAXIFS(A:A,G:G,G125)&gt;3,5-A125,_xlfn.MAXIFS(A:A,G:G,G125)+1-A125),"")</f>
        <v/>
      </c>
      <c r="R125" s="4">
        <f>IF(G125="17-21",MAX(T125,V125,Y125,AA125,AC125,AF125),MAX(X125,AE125))</f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>IF(H125="Senior",MAX(T125,V125),T125+V125)</f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>IF(H125="Senior",MAX(AA125,AC125),AA125+AC125)</f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>R126+S126+IF(OR(H126="Junior",H126="Senior"),0.0002,IF(OR(H126="L7",H126="L6"),0.0001,0))+IF(G126="17-21",MAX(AA126,AC126,AF126),AE126)*0.0000001</f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>IF(A126&lt;5,IF(_xlfn.MAXIFS(A:A,G:G,G126)&gt;3,5-A126,_xlfn.MAXIFS(A:A,G:G,G126)+1-A126),"")</f>
        <v/>
      </c>
      <c r="R126" s="4">
        <f>IF(G126="17-21",MAX(T126,V126,Y126,AA126,AC126,AF126),MAX(X126,AE126))</f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>IF(H126="Senior",MAX(T126,V126),T126+V126)</f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>IF(H126="Senior",MAX(AA126,AC126),AA126+AC126)</f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>R127+S127+IF(OR(H127="Junior",H127="Senior"),0.0002,IF(OR(H127="L7",H127="L6"),0.0001,0))+IF(G127="17-21",MAX(AA127,AC127,AF127),AE127)*0.0000001</f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>IF(A127&lt;5,IF(_xlfn.MAXIFS(A:A,G:G,G127)&gt;3,5-A127,_xlfn.MAXIFS(A:A,G:G,G127)+1-A127),"")</f>
        <v/>
      </c>
      <c r="R127" s="4">
        <f>IF(G127="17-21",MAX(T127,V127,Y127,AA127,AC127,AF127),MAX(X127,AE127))</f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>IF(H127="Senior",MAX(AA127,AC127),AA127+AC127)</f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>R128+S128+IF(OR(H128="Junior",H128="Senior"),0.0002,IF(OR(H128="L7",H128="L6"),0.0001,0))+IF(G128="17-21",MAX(AA128,AC128,AF128),AE128)*0.0000001</f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>IF(A128&lt;5,IF(_xlfn.MAXIFS(A:A,G:G,G128)&gt;3,5-A128,_xlfn.MAXIFS(A:A,G:G,G128)+1-A128),"")</f>
        <v/>
      </c>
      <c r="R128" s="4">
        <f>IF(G128="17-21",MAX(T128,V128,Y128,AA128,AC128,AF128),MAX(X128,AE128))</f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>IF(H128="Senior",MAX(T128,V128),T128+V128)</f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>IF(H128="Senior",MAX(AA128,AC128),AA128+AC128)</f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>R129+S129+IF(OR(H129="Junior",H129="Senior"),0.0002,IF(OR(H129="L7",H129="L6"),0.0001,0))+IF(G129="17-21",MAX(AA129,AC129,AF129),AE129)*0.0000001</f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>IF(A129&lt;5,IF(_xlfn.MAXIFS(A:A,G:G,G129)&gt;3,5-A129,_xlfn.MAXIFS(A:A,G:G,G129)+1-A129),"")</f>
        <v/>
      </c>
      <c r="R129" s="4">
        <f>IF(G129="17-21",MAX(T129,V129,Y129,AA129,AC129,AF129),MAX(X129,AE129))</f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>IF(H129="Senior",MAX(T129,V129),T129+V129)</f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>IF(H129="Senior",MAX(AA129,AC129),AA129+AC129)</f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>R130+S130+IF(OR(H130="Junior",H130="Senior"),0.0002,IF(OR(H130="L7",H130="L6"),0.0001,0))+IF(G130="17-21",MAX(AA130,AC130,AF130),AE130)*0.0000001</f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>IF(A130&lt;5,IF(_xlfn.MAXIFS(A:A,G:G,G130)&gt;3,5-A130,_xlfn.MAXIFS(A:A,G:G,G130)+1-A130),"")</f>
        <v/>
      </c>
      <c r="R130" s="4">
        <f>IF(G130="17-21",MAX(T130,V130,Y130,AA130,AC130,AF130),MAX(X130,AE130))</f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>IF(H130="Senior",MAX(T130,V130),T130+V130)</f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>IF(H130="Senior",MAX(AA130,AC130),AA130+AC130)</f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>R131+S131+IF(OR(H131="Junior",H131="Senior"),0.0002,IF(OR(H131="L7",H131="L6"),0.0001,0))+IF(G131="17-21",MAX(AA131,AC131,AF131),AE131)*0.0000001</f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>IF(A131&lt;5,IF(_xlfn.MAXIFS(A:A,G:G,G131)&gt;3,5-A131,_xlfn.MAXIFS(A:A,G:G,G131)+1-A131),"")</f>
        <v/>
      </c>
      <c r="R131" s="4">
        <f>IF(G131="17-21",MAX(T131,V131,Y131,AA131,AC131,AF131),MAX(X131,AE131))</f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>IF(H131="Senior",MAX(T131,V131),T131+V131)</f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>IF(H131="Senior",MAX(AA131,AC131),AA131+AC131)</f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>R132+S132+IF(OR(H132="Junior",H132="Senior"),0.0002,IF(OR(H132="L7",H132="L6"),0.0001,0))+IF(G132="17-21",MAX(AA132,AC132,AF132),AE132)*0.0000001</f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>IF(A132&lt;5,IF(_xlfn.MAXIFS(A:A,G:G,G132)&gt;3,5-A132,_xlfn.MAXIFS(A:A,G:G,G132)+1-A132),"")</f>
        <v/>
      </c>
      <c r="R132" s="4">
        <f>IF(G132="17-21",MAX(T132,V132,Y132,AA132,AC132,AF132),MAX(X132,AE132))</f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>IF(H132="Senior",MAX(T132,V132),T132+V132)</f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>IF(H132="Senior",MAX(AA132,AC132),AA132+AC132)</f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32">
      <sortCondition descending="1" ref="G1:G133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69" t="s">
        <v>280</v>
      </c>
      <c r="F1" s="74" t="s">
        <v>281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206</v>
      </c>
      <c r="S1" s="67" t="s">
        <v>369</v>
      </c>
      <c r="T1" s="69" t="s">
        <v>370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IF(A3&lt;5,IF(_xlfn.MAXIFS(A:A,H:H,H3)&gt;3,5-A3,_xlfn.MAXIFS(A:A,H:H,H3)+1-A3),"")</f>
        <v>1</v>
      </c>
      <c r="S3" s="4">
        <f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>IF(I4="Senior",MAX(AB4,AD4),AB4+AD4)</f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>IF(I5="Senior",MAX(AB5,AD5),AB5+AD5)</f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>IF(I6="Senior",MAX(U6,W6),U6+W6)</f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>S7+T7+IF(OR(I7="Junior",I7="Senior"),0.0002,IF(OR(I7="L7",I7="L6"),0.0001,0))+MAX(AB7,AD7,AG7)*0.0000001</f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39.72</v>
      </c>
      <c r="AC7" s="40">
        <v>9.6</v>
      </c>
      <c r="AD7" s="34"/>
      <c r="AE7" s="40"/>
      <c r="AF7" s="4">
        <f>IF(I7="Senior",MAX(AB7,AD7),AB7+AD7)</f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>S8+T8+IF(OR(I8="Junior",I8="Senior"),0.0002,IF(OR(I8="L7",I8="L6"),0.0001,0))+MAX(AB8,AD8,AG8)*0.0000001</f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>IF(I8="Senior",MAX(U8,W8),U8+W8)</f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>IF(I8="Senior",MAX(AB8,AD8),AB8+AD8)</f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41.05</v>
      </c>
      <c r="AC9" s="40">
        <v>8.5</v>
      </c>
      <c r="AD9" s="34"/>
      <c r="AE9" s="40"/>
      <c r="AF9" s="4">
        <f>IF(I9="Senior",MAX(AB9,AD9),AB9+AD9)</f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>IF(I10="Senior",MAX(U10,W10),U10+W10)</f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>IF(I10="Senior",MAX(AB10,AD10),AB10+AD10)</f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>S11+T11+IF(OR(I11="Junior",I11="Senior"),0.0002,IF(OR(I11="L7",I11="L6"),0.0001,0))+MAX(AB11,AD11,AG11)*0.0000001</f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>IF(I11="Senior",MAX(AB11,AD11),AB11+AD11)</f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>S12+T12+IF(OR(I12="Junior",I12="Senior"),0.0002,IF(OR(I12="L7",I12="L6"),0.0001,0))+MAX(AB12,AD12,AG12)*0.0000001</f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>IF(I12="Senior",MAX(AB12,AD12),AB12+AD12)</f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>S13+T13+IF(OR(I13="Junior",I13="Senior"),0.0002,IF(OR(I13="L7",I13="L6"),0.0001,0))+MAX(AB13,AD13,AG13)*0.0000001</f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>IF(I13="Senior",MAX(AB13,AD13),AB13+AD13)</f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>S14+T14+IF(OR(I14="Junior",I14="Senior"),0.0002,IF(OR(I14="L7",I14="L6"),0.0001,0))+MAX(AB14,AD14,AG14)*0.0000001</f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>IF(I14="Senior",MAX(U14,W14),U14+W14)</f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>IF(I14="Senior",MAX(AB14,AD14),AB14+AD14)</f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>S15+T15+IF(OR(I15="Junior",I15="Senior"),0.0002,IF(OR(I15="L7",I15="L6"),0.0001,0))+MAX(AB15,AD15,AG15)*0.0000001</f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>IF(I15="Senior",MAX(AB15,AD15),AB15+AD15)</f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>S16+T16+IF(OR(I16="Junior",I16="Senior"),0.0002,IF(OR(I16="L7",I16="L6"),0.0001,0))+MAX(AB16,AD16,AG16)*0.0000001</f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>IF(I16="Senior",MAX(AB16,AD16),AB16+AD16)</f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>S17+T17+IF(OR(I17="Junior",I17="Senior"),0.0002,IF(OR(I17="L7",I17="L6"),0.0001,0))+MAX(AB17,AD17,AG17)*0.0000001</f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>IF(I17="Senior",MAX(U17,W17),U17+W17)</f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>IF(I17="Senior",MAX(AB17,AD17),AB17+AD17)</f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>S18+T18+IF(OR(I18="Junior",I18="Senior"),0.0002,IF(OR(I18="L7",I18="L6"),0.0001,0))+MAX(AB18,AD18,AG18)*0.0000001</f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>IF(I18="Senior",MAX(U18,W18),U18+W18)</f>
        <v>9.4499999999999993</v>
      </c>
      <c r="Z18" s="34"/>
      <c r="AA18" s="40"/>
      <c r="AB18" s="33"/>
      <c r="AC18" s="40"/>
      <c r="AD18" s="34"/>
      <c r="AE18" s="40"/>
      <c r="AF18" s="4">
        <f>IF(I18="Senior",MAX(AB18,AD18),AB18+AD18)</f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>IF(I19="Senior",MAX(AB19,AD19),AB19+AD19)</f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>S20+T20+IF(OR(I20="Junior",I20="Senior"),0.0002,IF(OR(I20="L7",I20="L6"),0.0001,0))+MAX(AB20,AD20,AG20)*0.0000001</f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>IF(I20="Senior",MAX(AB20,AD20),AB20+AD20)</f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>IF(I21="Senior",MAX(U21,W21),U21+W21)</f>
        <v>4.8899999999999997</v>
      </c>
      <c r="Z21" s="34"/>
      <c r="AA21" s="40"/>
      <c r="AB21" s="33"/>
      <c r="AC21" s="40"/>
      <c r="AD21" s="34"/>
      <c r="AE21" s="40"/>
      <c r="AF21" s="4">
        <f>IF(I21="Senior",MAX(AB21,AD21),AB21+AD21)</f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>S23+T23+IF(OR(I23="Junior",I23="Senior"),0.0002,IF(OR(I23="L7",I23="L6"),0.0001,0))+MAX(AB23,AD23,AG23)*0.0000001</f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>IF(I23="Senior",MAX(AB23,AD23),AB23+AD23)</f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>S24+T24+IF(OR(I24="Junior",I24="Senior"),0.0002,IF(OR(I24="L7",I24="L6"),0.0001,0))+MAX(AB24,AD24,AG24)*0.0000001</f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>IF(I24="Senior",MAX(AB24,AD24),AB24+AD24)</f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>S25+T25+IF(OR(I25="Junior",I25="Senior"),0.0002,IF(OR(I25="L7",I25="L6"),0.0001,0))+MAX(AB25,AD25,AG25)*0.0000001</f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>IF(I25="Senior",MAX(AB25,AD25),AB25+AD25)</f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>S26+T26+IF(OR(I26="Junior",I26="Senior"),0.0002,IF(OR(I26="L7",I26="L6"),0.0001,0))+MAX(AB26,AD26,AG26)*0.0000001</f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>IF(I26="Senior",MAX(AB26,AD26),AB26+AD26)</f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>S27+T27+IF(OR(I27="Junior",I27="Senior"),0.0002,IF(OR(I27="L7",I27="L6"),0.0001,0))+MAX(AB27,AD27,AG27)*0.0000001</f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>IF(I27="Senior",MAX(U27,W27),U27+W27)</f>
        <v>16.260000000000002</v>
      </c>
      <c r="Z27" s="34"/>
      <c r="AA27" s="40"/>
      <c r="AB27" s="33"/>
      <c r="AC27" s="40"/>
      <c r="AD27" s="34"/>
      <c r="AE27" s="40"/>
      <c r="AF27" s="4">
        <f>IF(I27="Senior",MAX(AB27,AD27),AB27+AD27)</f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>S28+T28+IF(OR(I28="Junior",I28="Senior"),0.0002,IF(OR(I28="L7",I28="L6"),0.0001,0))+MAX(AB28,AD28,AG28)*0.0000001</f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>IF(I28="Senior",MAX(AB28,AD28),AB28+AD28)</f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>S29+T29+IF(OR(I29="Junior",I29="Senior"),0.0002,IF(OR(I29="L7",I29="L6"),0.0001,0))+MAX(AB29,AD29,AG29)*0.0000001</f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>IF(I29="Senior",MAX(AB29,AD29),AB29+AD29)</f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>S30+T30+IF(OR(I30="Junior",I30="Senior"),0.0002,IF(OR(I30="L7",I30="L6"),0.0001,0))+MAX(AB30,AD30,AG30)*0.0000001</f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>IF(I30="Senior",MAX(AB30,AD30),AB30+AD30)</f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0">
      <sortCondition descending="1" ref="H1:H31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69" t="s">
        <v>280</v>
      </c>
      <c r="F1" s="74" t="s">
        <v>281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206</v>
      </c>
      <c r="S1" s="67" t="s">
        <v>369</v>
      </c>
      <c r="T1" s="69" t="s">
        <v>370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>IF(A3&lt;5,IF(_xlfn.MAXIFS(A:A,H:H,H3)&gt;3,5-A3,_xlfn.MAXIFS(A:A,H:H,H3)+1-A3),"")</f>
        <v>2</v>
      </c>
      <c r="S3" s="4">
        <f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IF(A4&lt;5,IF(_xlfn.MAXIFS(A:A,H:H,H4)&gt;3,5-A4,_xlfn.MAXIFS(A:A,H:H,H4)+1-A4),"")</f>
        <v>1</v>
      </c>
      <c r="S4" s="4">
        <f>MAX(U4,W4,Z4,AB4,AD4,AG4)</f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>IF(I4="Senior",MAX(AB4,AD4),AB4+AD4)</f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>IF(I5="Senior",MAX(U5,W5),U5+W5)</f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>IF(I5="Senior",MAX(AB5,AD5),AB5+AD5)</f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>IF(I6="Senior",MAX(U6,W6),U6+W6)</f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>IF(I6="Senior",MAX(AB6,AD6),AB6+AD6)</f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>S7+T7+IF(OR(I7="Junior",I7="Senior"),0.0002,IF(OR(I7="L7",I7="L6"),0.0001,0))+MAX(AB7,AD7,AG7)*0.0000001</f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42.64</v>
      </c>
      <c r="AC7" s="40">
        <v>7.1</v>
      </c>
      <c r="AD7" s="34"/>
      <c r="AE7" s="40"/>
      <c r="AF7" s="4">
        <f>IF(I7="Senior",MAX(AB7,AD7),AB7+AD7)</f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42.68</v>
      </c>
      <c r="AC8" s="40">
        <v>7.4</v>
      </c>
      <c r="AD8" s="34"/>
      <c r="AE8" s="40"/>
      <c r="AF8" s="4">
        <f>IF(I8="Senior",MAX(AB8,AD8),AB8+AD8)</f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42.96</v>
      </c>
      <c r="AC9" s="40">
        <v>7.6</v>
      </c>
      <c r="AD9" s="34"/>
      <c r="AE9" s="40"/>
      <c r="AF9" s="4">
        <f>IF(I9="Senior",MAX(AB9,AD9),AB9+AD9)</f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>S10+T10+IF(OR(I10="Junior",I10="Senior"),0.0002,IF(OR(I10="L7",I10="L6"),0.0001,0))+MAX(AB10,AD10,AG10)*0.0000001</f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>IF(I10="Senior",MAX(U10,W10),U10+W10)</f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>IF(I10="Senior",MAX(AB10,AD10),AB10+AD10)</f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>S11+T11+IF(OR(I11="Junior",I11="Senior"),0.0002,IF(OR(I11="L7",I11="L6"),0.0001,0))+MAX(AB11,AD11,AG11)*0.0000001</f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>IF(I11="Senior",MAX(U11,W11),U11+W11)</f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>IF(I11="Senior",MAX(AB11,AD11),AB11+AD11)</f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>S12+T12+IF(OR(I12="Junior",I12="Senior"),0.0002,IF(OR(I12="L7",I12="L6"),0.0001,0))+MAX(AB12,AD12,AG12)*0.0000001</f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>IF(I12="Senior",MAX(AB12,AD12),AB12+AD12)</f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>S13+T13+IF(OR(I13="Junior",I13="Senior"),0.0002,IF(OR(I13="L7",I13="L6"),0.0001,0))+MAX(AB13,AD13,AG13)*0.0000001</f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>IF(I13="Senior",MAX(AB13,AD13),AB13+AD13)</f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>S14+T14+IF(OR(I14="Junior",I14="Senior"),0.0002,IF(OR(I14="L7",I14="L6"),0.0001,0))+MAX(AB14,AD14,AG14)*0.0000001</f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>IF(I14="Senior",MAX(AB14,AD14),AB14+AD14)</f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>S15+T15+IF(OR(I15="Junior",I15="Senior"),0.0002,IF(OR(I15="L7",I15="L6"),0.0001,0))+MAX(AB15,AD15,AG15)*0.0000001</f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>IF(I15="Senior",MAX(U15,W15),U15+W15)</f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>IF(I15="Senior",MAX(AB15,AD15),AB15+AD15)</f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>S16+T16+IF(OR(I16="Junior",I16="Senior"),0.0002,IF(OR(I16="L7",I16="L6"),0.0001,0))+MAX(AB16,AD16,AG16)*0.0000001</f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>IF(I16="Senior",MAX(U16,W16),U16+W16)</f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>IF(I16="Senior",MAX(AB16,AD16),AB16+AD16)</f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>S17+T17+IF(OR(I17="Junior",I17="Senior"),0.0002,IF(OR(I17="L7",I17="L6"),0.0001,0))+MAX(AB17,AD17,AG17)*0.0000001</f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>IF(I17="Senior",MAX(U17,W17),U17+W17)</f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>IF(I17="Senior",MAX(AB17,AD17),AB17+AD17)</f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>S18+T18+IF(OR(I18="Junior",I18="Senior"),0.0002,IF(OR(I18="L7",I18="L6"),0.0001,0))+MAX(AB18,AD18,AG18)*0.0000001</f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>IF(I18="Senior",MAX(U18,W18),U18+W18)</f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>IF(I18="Senior",MAX(AB18,AD18),AB18+AD18)</f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>IF(I19="Senior",MAX(AB19,AD19),AB19+AD19)</f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>S20+T20+IF(OR(I20="Junior",I20="Senior"),0.0002,IF(OR(I20="L7",I20="L6"),0.0001,0))+MAX(AB20,AD20,AG20)*0.0000001</f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>IF(I20="Senior",MAX(AB20,AD20),AB20+AD20)</f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>IF(I21="Senior",MAX(AB21,AD21),AB21+AD21)</f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>IF(I22="Senior",MAX(U22,W22),U22+W22)</f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>S23+T23+IF(OR(I23="Junior",I23="Senior"),0.0002,IF(OR(I23="L7",I23="L6"),0.0001,0))+MAX(AB23,AD23,AG23)*0.0000001</f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>IF(I23="Senior",MAX(AB23,AD23),AB23+AD23)</f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>S24+T24+IF(OR(I24="Junior",I24="Senior"),0.0002,IF(OR(I24="L7",I24="L6"),0.0001,0))+MAX(AB24,AD24,AG24)*0.0000001</f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>IF(I24="Senior",MAX(U24,W24),U24+W24)</f>
        <v>33.770000000000003</v>
      </c>
      <c r="Z24" s="34"/>
      <c r="AA24" s="40"/>
      <c r="AB24" s="33"/>
      <c r="AC24" s="40"/>
      <c r="AD24" s="34"/>
      <c r="AE24" s="40"/>
      <c r="AF24" s="4">
        <f>IF(I24="Senior",MAX(AB24,AD24),AB24+AD24)</f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>S25+T25+IF(OR(I25="Junior",I25="Senior"),0.0002,IF(OR(I25="L7",I25="L6"),0.0001,0))+MAX(AB25,AD25,AG25)*0.0000001</f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>IF(I25="Senior",MAX(AB25,AD25),AB25+AD25)</f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>S26+T26+IF(OR(I26="Junior",I26="Senior"),0.0002,IF(OR(I26="L7",I26="L6"),0.0001,0))+MAX(AB26,AD26,AG26)*0.0000001</f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>IF(I26="Senior",MAX(AB26,AD26),AB26+AD26)</f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>S27+T27+IF(OR(I27="Junior",I27="Senior"),0.0002,IF(OR(I27="L7",I27="L6"),0.0001,0))+MAX(AB27,AD27,AG27)*0.0000001</f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>IF(I27="Senior",MAX(AB27,AD27),AB27+AD27)</f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>S28+T28+IF(OR(I28="Junior",I28="Senior"),0.0002,IF(OR(I28="L7",I28="L6"),0.0001,0))+MAX(AB28,AD28,AG28)*0.0000001</f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>IF(I28="Senior",MAX(AB28,AD28),AB28+AD28)</f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>S29+T29+IF(OR(I29="Junior",I29="Senior"),0.0002,IF(OR(I29="L7",I29="L6"),0.0001,0))+MAX(AB29,AD29,AG29)*0.0000001</f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>IF(I29="Senior",MAX(U29,W29),U29+W29)</f>
        <v>17.79</v>
      </c>
      <c r="Z29" s="34"/>
      <c r="AA29" s="40"/>
      <c r="AB29" s="33"/>
      <c r="AC29" s="40"/>
      <c r="AD29" s="34"/>
      <c r="AE29" s="40"/>
      <c r="AF29" s="4">
        <f>IF(I29="Senior",MAX(AB29,AD29),AB29+AD29)</f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>S30+T30+IF(OR(I30="Junior",I30="Senior"),0.0002,IF(OR(I30="L7",I30="L6"),0.0001,0))+MAX(AB30,AD30,AG30)*0.0000001</f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>IF(I30="Senior",MAX(AB30,AD30),AB30+AD30)</f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>S31+T31+IF(OR(I31="Junior",I31="Senior"),0.0002,IF(OR(I31="L7",I31="L6"),0.0001,0))+MAX(AB31,AD31,AG31)*0.0000001</f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>IF(A31&lt;5,IF(_xlfn.MAXIFS(A:A,H:H,H31)&gt;3,5-A31,_xlfn.MAXIFS(A:A,H:H,H31)+1-A31),"")</f>
        <v/>
      </c>
      <c r="S31" s="4">
        <f>MAX(U31,W31,Z31,AB31,AD31,AG31)</f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>IF(I31="Senior",MAX(AB31,AD31),AB31+AD31)</f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>S32+T32+IF(OR(I32="Junior",I32="Senior"),0.0002,IF(OR(I32="L7",I32="L6"),0.0001,0))+MAX(AB32,AD32,AG32)*0.0000001</f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>IF(A32&lt;5,IF(_xlfn.MAXIFS(A:A,H:H,H32)&gt;3,5-A32,_xlfn.MAXIFS(A:A,H:H,H32)+1-A32),"")</f>
        <v/>
      </c>
      <c r="S32" s="4">
        <f>MAX(U32,W32,Z32,AB32,AD32,AG32)</f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>IF(I32="Senior",MAX(AB32,AD32),AB32+AD32)</f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>S33+T33+IF(OR(I33="Junior",I33="Senior"),0.0002,IF(OR(I33="L7",I33="L6"),0.0001,0))+MAX(AB33,AD33,AG33)*0.0000001</f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>IF(A33&lt;5,IF(_xlfn.MAXIFS(A:A,H:H,H33)&gt;3,5-A33,_xlfn.MAXIFS(A:A,H:H,H33)+1-A33),"")</f>
        <v/>
      </c>
      <c r="S33" s="4">
        <f>MAX(U33,W33,Z33,AB33,AD33,AG33)</f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>IF(I33="Senior",MAX(U33,W33),U33+W33)</f>
        <v>4.8499999999999996</v>
      </c>
      <c r="Z33" s="34"/>
      <c r="AA33" s="40"/>
      <c r="AB33" s="33"/>
      <c r="AC33" s="40"/>
      <c r="AD33" s="34"/>
      <c r="AE33" s="40"/>
      <c r="AF33" s="4">
        <f>IF(I33="Senior",MAX(AB33,AD33),AB33+AD33)</f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>S34+T34+IF(OR(I34="Junior",I34="Senior"),0.0002,IF(OR(I34="L7",I34="L6"),0.0001,0))+MAX(AB34,AD34,AG34)*0.0000001</f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>IF(A34&lt;5,IF(_xlfn.MAXIFS(A:A,H:H,H34)&gt;3,5-A34,_xlfn.MAXIFS(A:A,H:H,H34)+1-A34),"")</f>
        <v/>
      </c>
      <c r="S34" s="4">
        <f>MAX(U34,W34,Z34,AB34,AD34,AG34)</f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>IF(I34="Senior",MAX(AB34,AD34),AB34+AD34)</f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>S35+T35+IF(OR(I35="Junior",I35="Senior"),0.0002,IF(OR(I35="L7",I35="L6"),0.0001,0))+MAX(AB35,AD35,AG35)*0.0000001</f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>IF(A35&lt;5,IF(_xlfn.MAXIFS(A:A,H:H,H35)&gt;3,5-A35,_xlfn.MAXIFS(A:A,H:H,H35)+1-A35),"")</f>
        <v>2</v>
      </c>
      <c r="S35" s="4">
        <f>MAX(U35,W35,Z35,AB35,AD35,AG35)</f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>IF(I35="Senior",MAX(U35,W35),U35+W35)</f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>IF(I35="Senior",MAX(AB35,AD35),AB35+AD35)</f>
        <v>44.57</v>
      </c>
      <c r="AG35" s="34">
        <v>17.78</v>
      </c>
      <c r="AH35" s="37">
        <v>4.5999999999999996</v>
      </c>
    </row>
    <row r="36" spans="1:34" x14ac:dyDescent="0.2">
      <c r="A36" s="1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>2</v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 t="s">
        <v>567</v>
      </c>
      <c r="K36" s="4">
        <f>S36+T36+IF(OR(I36="Junior",I36="Senior"),0.0002,IF(OR(I36="L7",I36="L6"),0.0001,0))+MAX(AB36,AD36,AG36)*0.0000001</f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>
        <f>IF(A36&lt;5,IF(_xlfn.MAXIFS(A:A,H:H,H36)&gt;3,5-A36,_xlfn.MAXIFS(A:A,H:H,H36)+1-A36),"")</f>
        <v>1</v>
      </c>
      <c r="S36" s="4">
        <f>MAX(U36,W36,Z36,AB36,AD36,AG36)</f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>IF(I36="Senior",MAX(U36,W36),U36+W36)</f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>IF(I36="Senior",MAX(AB36,AD36),AB36+AD36)</f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 t="s">
        <v>567</v>
      </c>
      <c r="K37" s="4">
        <f>S37+T37+IF(OR(I37="Junior",I37="Senior"),0.0002,IF(OR(I37="L7",I37="L6"),0.0001,0))+MAX(AB37,AD37,AG37)*0.0000001</f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>IF(A37&lt;5,IF(_xlfn.MAXIFS(A:A,H:H,H37)&gt;3,5-A37,_xlfn.MAXIFS(A:A,H:H,H37)+1-A37),"")</f>
        <v/>
      </c>
      <c r="S37" s="4">
        <f>MAX(U37,W37,Z37,AB37,AD37,AG37)</f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>IF(I37="Senior",MAX(U37,W37),U37+W37)</f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>IF(I37="Senior",MAX(AB37,AD37),AB37+AD37)</f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>S38+T38+IF(OR(I38="Junior",I38="Senior"),0.0002,IF(OR(I38="L7",I38="L6"),0.0001,0))+MAX(AB38,AD38,AG38)*0.0000001</f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>IF(A38&lt;5,IF(_xlfn.MAXIFS(A:A,H:H,H38)&gt;3,5-A38,_xlfn.MAXIFS(A:A,H:H,H38)+1-A38),"")</f>
        <v/>
      </c>
      <c r="S38" s="4">
        <f>MAX(U38,W38,Z38,AB38,AD38,AG38)</f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>IF(I38="Senior",MAX(AB38,AD38),AB38+AD38)</f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>S39+T39+IF(OR(I39="Junior",I39="Senior"),0.0002,IF(OR(I39="L7",I39="L6"),0.0001,0))+MAX(AB39,AD39,AG39)*0.0000001</f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>IF(A39&lt;5,IF(_xlfn.MAXIFS(A:A,H:H,H39)&gt;3,5-A39,_xlfn.MAXIFS(A:A,H:H,H39)+1-A39),"")</f>
        <v/>
      </c>
      <c r="S39" s="4">
        <f>MAX(U39,W39,Z39,AB39,AD39,AG39)</f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>IF(I39="Senior",MAX(U39,W39),U39+W39)</f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>IF(I39="Senior",MAX(AB39,AD39),AB39+AD39)</f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>S40+T40+IF(OR(I40="Junior",I40="Senior"),0.0002,IF(OR(I40="L7",I40="L6"),0.0001,0))+MAX(AB40,AD40,AG40)*0.0000001</f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>IF(A40&lt;5,IF(_xlfn.MAXIFS(A:A,H:H,H40)&gt;3,5-A40,_xlfn.MAXIFS(A:A,H:H,H40)+1-A40),"")</f>
        <v/>
      </c>
      <c r="S40" s="4">
        <f>MAX(U40,W40,Z40,AB40,AD40,AG40)</f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>IF(I40="Senior",MAX(U40,W40),U40+W40)</f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>IF(I40="Senior",MAX(AB40,AD40),AB40+AD40)</f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>S41+T41+IF(OR(I41="Junior",I41="Senior"),0.0002,IF(OR(I41="L7",I41="L6"),0.0001,0))+MAX(AB41,AD41,AG41)*0.0000001</f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>IF(A41&lt;5,IF(_xlfn.MAXIFS(A:A,H:H,H41)&gt;3,5-A41,_xlfn.MAXIFS(A:A,H:H,H41)+1-A41),"")</f>
        <v/>
      </c>
      <c r="S41" s="4">
        <f>MAX(U41,W41,Z41,AB41,AD41,AG41)</f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>IF(I41="Senior",MAX(U41,W41),U41+W41)</f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>IF(I41="Senior",MAX(AB41,AD41),AB41+AD41)</f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>S42+T42+IF(OR(I42="Junior",I42="Senior"),0.0002,IF(OR(I42="L7",I42="L6"),0.0001,0))+MAX(AB42,AD42,AG42)*0.0000001</f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>IF(A42&lt;5,IF(_xlfn.MAXIFS(A:A,H:H,H42)&gt;3,5-A42,_xlfn.MAXIFS(A:A,H:H,H42)+1-A42),"")</f>
        <v/>
      </c>
      <c r="S42" s="4">
        <f>MAX(U42,W42,Z42,AB42,AD42,AG42)</f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>IF(I42="Senior",MAX(U42,W42),U42+W42)</f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>IF(I42="Senior",MAX(AB42,AD42),AB42+AD42)</f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>S43+T43+IF(OR(I43="Junior",I43="Senior"),0.0002,IF(OR(I43="L7",I43="L6"),0.0001,0))+MAX(AB43,AD43,AG43)*0.0000001</f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>IF(A43&lt;5,IF(_xlfn.MAXIFS(A:A,H:H,H43)&gt;3,5-A43,_xlfn.MAXIFS(A:A,H:H,H43)+1-A43),"")</f>
        <v/>
      </c>
      <c r="S43" s="4">
        <f>MAX(U43,W43,Z43,AB43,AD43,AG43)</f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>IF(I43="Senior",MAX(U43,W43),U43+W43)</f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>IF(I43="Senior",MAX(AB43,AD43),AB43+AD43)</f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>S44+T44+IF(OR(I44="Junior",I44="Senior"),0.0002,IF(OR(I44="L7",I44="L6"),0.0001,0))+MAX(AB44,AD44,AG44)*0.0000001</f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>IF(A44&lt;5,IF(_xlfn.MAXIFS(A:A,H:H,H44)&gt;3,5-A44,_xlfn.MAXIFS(A:A,H:H,H44)+1-A44),"")</f>
        <v/>
      </c>
      <c r="S44" s="4">
        <f>MAX(U44,W44,Z44,AB44,AD44,AG44)</f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>IF(I44="Senior",MAX(U44,W44),U44+W44)</f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>IF(I44="Senior",MAX(AB44,AD44),AB44+AD44)</f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>S45+T45+IF(OR(I45="Junior",I45="Senior"),0.0002,IF(OR(I45="L7",I45="L6"),0.0001,0))+MAX(AB45,AD45,AG45)*0.0000001</f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>IF(A45&lt;5,IF(_xlfn.MAXIFS(A:A,H:H,H45)&gt;3,5-A45,_xlfn.MAXIFS(A:A,H:H,H45)+1-A45),"")</f>
        <v/>
      </c>
      <c r="S45" s="4">
        <f>MAX(U45,W45,Z45,AB45,AD45,AG45)</f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>IF(I45="Senior",MAX(U45,W45),U45+W45)</f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>IF(I45="Senior",MAX(AB45,AD45),AB45+AD45)</f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>S46+T46+IF(OR(I46="Junior",I46="Senior"),0.0002,IF(OR(I46="L7",I46="L6"),0.0001,0))+MAX(AB46,AD46,AG46)*0.0000001</f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>IF(A46&lt;5,IF(_xlfn.MAXIFS(A:A,H:H,H46)&gt;3,5-A46,_xlfn.MAXIFS(A:A,H:H,H46)+1-A46),"")</f>
        <v/>
      </c>
      <c r="S46" s="4">
        <f>MAX(U46,W46,Z46,AB46,AD46,AG46)</f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>IF(I46="Senior",MAX(U46,W46),U46+W46)</f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>IF(I46="Senior",MAX(AB46,AD46),AB46+AD46)</f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>IF(A3&lt;5,IF(_xlfn.MAXIFS(A:A,G:G,G3)&gt;3,5-A3,_xlfn.MAXIFS(A:A,G:G,G3)+1-A3),"")</f>
        <v>4</v>
      </c>
      <c r="R3" s="4">
        <f>MAX(T3,X3)</f>
        <v>53.6</v>
      </c>
      <c r="S3" s="4">
        <f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>IF(A4&lt;5,IF(_xlfn.MAXIFS(A:A,G:G,G4)&gt;3,5-A4,_xlfn.MAXIFS(A:A,G:G,G4)+1-A4),"")</f>
        <v>3</v>
      </c>
      <c r="R4" s="4">
        <f>MAX(T4,X4)</f>
        <v>51.2</v>
      </c>
      <c r="S4" s="4">
        <f>IF(R4=T4,MAX(V4,X4,Z4),IF(R4=X4,MAX(T4,V4,Z4),0))</f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>IF(A5&lt;5,IF(_xlfn.MAXIFS(A:A,G:G,G5)&gt;3,5-A5,_xlfn.MAXIFS(A:A,G:G,G5)+1-A5),"")</f>
        <v>2</v>
      </c>
      <c r="R5" s="4">
        <f>MAX(T5,X5)</f>
        <v>50</v>
      </c>
      <c r="S5" s="4">
        <f>IF(R5=T5,MAX(V5,X5,Z5),IF(R5=X5,MAX(T5,V5,Z5),0))</f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>IF(A6&lt;5,IF(_xlfn.MAXIFS(A:A,G:G,G6)&gt;3,5-A6,_xlfn.MAXIFS(A:A,G:G,G6)+1-A6),"")</f>
        <v>1</v>
      </c>
      <c r="R6" s="4">
        <f>MAX(T6,X6)</f>
        <v>51.4</v>
      </c>
      <c r="S6" s="4">
        <f>IF(R6=T6,MAX(V6,X6,Z6),IF(R6=X6,MAX(T6,V6,Z6),0))</f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R7+S7+IF(OR(H7="Junior",H7="Senior"),0.0002,IF(OR(H7="L7",H7="L6"),0.0001,0))+MAX(X7,Z7)*0.0000001</f>
        <v>105.70020529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>IF(A7&lt;5,IF(_xlfn.MAXIFS(A:A,G:G,G7)&gt;3,5-A7,_xlfn.MAXIFS(A:A,G:G,G7)+1-A7),"")</f>
        <v/>
      </c>
      <c r="R7" s="4">
        <f>MAX(T7,X7)</f>
        <v>52.9</v>
      </c>
      <c r="S7" s="4">
        <f>IF(R7=T7,MAX(V7,X7,Z7),IF(R7=X7,MAX(T7,V7,Z7),0))</f>
        <v>52.8</v>
      </c>
      <c r="T7" s="33"/>
      <c r="U7" s="40"/>
      <c r="V7" s="34"/>
      <c r="W7" s="40"/>
      <c r="X7" s="33">
        <v>52.9</v>
      </c>
      <c r="Y7" s="40">
        <v>14.8</v>
      </c>
      <c r="Z7" s="34">
        <v>52.8</v>
      </c>
      <c r="AA7" s="37">
        <v>15.2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>IF(A8&lt;5,IF(_xlfn.MAXIFS(A:A,G:G,G8)&gt;3,5-A8,_xlfn.MAXIFS(A:A,G:G,G8)+1-A8),"")</f>
        <v/>
      </c>
      <c r="R8" s="4">
        <f>MAX(T8,X8)</f>
        <v>51</v>
      </c>
      <c r="S8" s="4">
        <f>IF(R8=T8,MAX(V8,X8,Z8),IF(R8=X8,MAX(T8,V8,Z8),0))</f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>MAX(T9,X9)</f>
        <v>50.9</v>
      </c>
      <c r="S9" s="4">
        <f>IF(R9=T9,MAX(V9,X9,Z9),IF(R9=X9,MAX(T9,V9,Z9),0))</f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>MAX(T10,X10)</f>
        <v>49.7</v>
      </c>
      <c r="S10" s="4">
        <f>IF(R10=T10,MAX(V10,X10,Z10),IF(R10=X10,MAX(T10,V10,Z10),0))</f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>R11+S11+IF(OR(H11="Junior",H11="Senior"),0.0002,IF(OR(H11="L7",H11="L6"),0.0001,0))+MAX(X11,Z11)*0.0000001</f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>MAX(T11,X11)</f>
        <v>49.5</v>
      </c>
      <c r="S11" s="4">
        <f>IF(R11=T11,MAX(V11,X11,Z11),IF(R11=X11,MAX(T11,V11,Z11),0))</f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MAX(T12,X12)</f>
        <v>49.4</v>
      </c>
      <c r="S12" s="4">
        <f>IF(R12=T12,MAX(V12,X12,Z12),IF(R12=X12,MAX(T12,V12,Z12),0))</f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15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98.80010498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MAX(T13,X13)</f>
        <v>49</v>
      </c>
      <c r="S13" s="4">
        <f>IF(R13=T13,MAX(V13,X13,Z13),IF(R13=X13,MAX(T13,V13,Z13),0))</f>
        <v>49.8</v>
      </c>
      <c r="T13" s="33">
        <v>49</v>
      </c>
      <c r="U13" s="40">
        <v>12</v>
      </c>
      <c r="V13" s="34">
        <v>47.1</v>
      </c>
      <c r="W13" s="40">
        <v>11.6</v>
      </c>
      <c r="X13" s="33">
        <v>48.7</v>
      </c>
      <c r="Y13" s="40">
        <v>13.2</v>
      </c>
      <c r="Z13" s="34">
        <v>49.8</v>
      </c>
      <c r="AA13" s="37">
        <v>14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17</v>
      </c>
      <c r="C14" s="36" t="s">
        <v>226</v>
      </c>
      <c r="D14" s="36" t="str">
        <f>IF(E14="","",VLOOKUP(E14,'Coaching Points'!A:B,2,0))</f>
        <v>QC</v>
      </c>
      <c r="E14" s="36" t="s">
        <v>284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R14+S14+IF(OR(H14="Junior",H14="Senior"),0.0002,IF(OR(H14="L7",H14="L6"),0.0001,0))+MAX(X14,Z14)*0.0000001</f>
        <v>96.200104850000002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MAX(T14,X14)</f>
        <v>48.5</v>
      </c>
      <c r="S14" s="4">
        <f>IF(R14=T14,MAX(V14,X14,Z14),IF(R14=X14,MAX(T14,V14,Z14),0))</f>
        <v>47.7</v>
      </c>
      <c r="T14" s="33">
        <v>44.1</v>
      </c>
      <c r="U14" s="40">
        <v>6.6</v>
      </c>
      <c r="V14" s="34">
        <v>44.7</v>
      </c>
      <c r="W14" s="40">
        <v>8.3000000000000007</v>
      </c>
      <c r="X14" s="33">
        <v>48.5</v>
      </c>
      <c r="Y14" s="40">
        <v>12.8</v>
      </c>
      <c r="Z14" s="34">
        <v>47.7</v>
      </c>
      <c r="AA14" s="37">
        <v>13.2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18</v>
      </c>
      <c r="C15" s="36" t="s">
        <v>114</v>
      </c>
      <c r="D15" s="36" t="str">
        <f>IF(E15="","",VLOOKUP(E15,'Coaching Points'!A:B,2,0))</f>
        <v>QC</v>
      </c>
      <c r="E15" s="36" t="s">
        <v>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R15+S15+IF(OR(H15="Junior",H15="Senior"),0.0002,IF(OR(H15="L7",H15="L6"),0.0001,0))+MAX(X15,Z15)*0.0000001</f>
        <v>95.400200000000012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MAX(T15,X15)</f>
        <v>49.5</v>
      </c>
      <c r="S15" s="4">
        <f>IF(R15=T15,MAX(V15,X15,Z15),IF(R15=X15,MAX(T15,V15,Z15),0))</f>
        <v>45.9</v>
      </c>
      <c r="T15" s="33">
        <v>49.5</v>
      </c>
      <c r="U15" s="40">
        <v>12.399999999999999</v>
      </c>
      <c r="V15" s="34">
        <v>45.9</v>
      </c>
      <c r="W15" s="40">
        <v>10.8</v>
      </c>
      <c r="X15" s="33"/>
      <c r="Y15" s="40"/>
      <c r="Z15" s="34"/>
      <c r="AA15" s="37"/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19</v>
      </c>
      <c r="C16" s="36" t="s">
        <v>344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R16+S16+IF(OR(H16="Junior",H16="Senior"),0.0002,IF(OR(H16="L7",H16="L6"),0.0001,0))+MAX(X16,Z16)*0.0000001</f>
        <v>94.10010484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MAX(T16,X16)</f>
        <v>48.4</v>
      </c>
      <c r="S16" s="4">
        <f>IF(R16=T16,MAX(V16,X16,Z16),IF(R16=X16,MAX(T16,V16,Z16),0))</f>
        <v>45.7</v>
      </c>
      <c r="T16" s="33">
        <v>45.7</v>
      </c>
      <c r="U16" s="40">
        <v>8.8000000000000007</v>
      </c>
      <c r="V16" s="34">
        <v>44</v>
      </c>
      <c r="W16" s="40">
        <v>6.9</v>
      </c>
      <c r="X16" s="33">
        <v>48.4</v>
      </c>
      <c r="Y16" s="40">
        <v>13.3</v>
      </c>
      <c r="Z16" s="34">
        <v>39.9</v>
      </c>
      <c r="AA16" s="37">
        <v>5.1999999999999993</v>
      </c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21</v>
      </c>
      <c r="C17" s="36" t="s">
        <v>108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74</v>
      </c>
      <c r="I17" s="43" t="s">
        <v>567</v>
      </c>
      <c r="J17" s="4">
        <f>R17+S17+IF(OR(H17="Junior",H17="Senior"),0.0002,IF(OR(H17="L7",H17="L6"),0.0001,0))+MAX(X17,Z17)*0.0000001</f>
        <v>68.100201839999997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MAX(T17,X17)</f>
        <v>49.7</v>
      </c>
      <c r="S17" s="4">
        <f>IF(R17=T17,MAX(V17,X17,Z17),IF(R17=X17,MAX(T17,V17,Z17),0))</f>
        <v>18.399999999999999</v>
      </c>
      <c r="T17" s="33">
        <v>49.7</v>
      </c>
      <c r="U17" s="40">
        <v>14</v>
      </c>
      <c r="V17" s="34"/>
      <c r="W17" s="40"/>
      <c r="X17" s="33">
        <v>18.399999999999999</v>
      </c>
      <c r="Y17" s="40">
        <v>3.4</v>
      </c>
      <c r="Z17" s="34"/>
      <c r="AA17" s="37"/>
    </row>
    <row r="18" spans="1:27" x14ac:dyDescent="0.2">
      <c r="A18" s="1" t="str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/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1</v>
      </c>
      <c r="C18" s="36" t="s">
        <v>233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/>
      <c r="J18" s="4">
        <f>R18+S18+IF(OR(H18="Junior",H18="Senior"),0.0002,IF(OR(H18="L7",H18="L6"),0.0001,0))+MAX(X18,Z18)*0.0000001</f>
        <v>119.90020605000001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O18" s="39">
        <v>1</v>
      </c>
      <c r="P18" s="39">
        <v>1</v>
      </c>
      <c r="Q18" s="1" t="str">
        <f>IF(A18&lt;5,IF(_xlfn.MAXIFS(A:A,G:G,G18)&gt;3,5-A18,_xlfn.MAXIFS(A:A,G:G,G18)+1-A18),"")</f>
        <v/>
      </c>
      <c r="R18" s="4">
        <f>MAX(T18,X18)</f>
        <v>60.5</v>
      </c>
      <c r="S18" s="4">
        <f>IF(R18=T18,MAX(V18,X18,Z18),IF(R18=X18,MAX(T18,V18,Z18),0))</f>
        <v>59.4</v>
      </c>
      <c r="T18" s="33">
        <v>58.7</v>
      </c>
      <c r="U18" s="40">
        <v>20.8</v>
      </c>
      <c r="V18" s="34">
        <v>58.8</v>
      </c>
      <c r="W18" s="40">
        <v>20.8</v>
      </c>
      <c r="X18" s="33">
        <v>60.5</v>
      </c>
      <c r="Y18" s="40">
        <v>21.1</v>
      </c>
      <c r="Z18" s="34">
        <v>59.4</v>
      </c>
      <c r="AA18" s="37">
        <v>22.7</v>
      </c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6</v>
      </c>
      <c r="C19" s="36" t="s">
        <v>520</v>
      </c>
      <c r="D19" s="36" t="str">
        <f>IF(E19="","",VLOOKUP(E19,'Coaching Points'!A:B,2,0))</f>
        <v>ON</v>
      </c>
      <c r="E19" s="36" t="s">
        <v>47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>R19+S19+IF(OR(H19="Junior",H19="Senior"),0.0002,IF(OR(H19="L7",H19="L6"),0.0001,0))+MAX(X19,Z19)*0.0000001</f>
        <v>51.20020512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2</v>
      </c>
      <c r="P19" s="39">
        <v>2</v>
      </c>
      <c r="Q19" s="1" t="str">
        <f>IF(A19&lt;5,IF(_xlfn.MAXIFS(A:A,G:G,G19)&gt;3,5-A19,_xlfn.MAXIFS(A:A,G:G,G19)+1-A19),"")</f>
        <v/>
      </c>
      <c r="R19" s="4">
        <f>MAX(T19,X19)</f>
        <v>51.2</v>
      </c>
      <c r="S19" s="4">
        <f>IF(R19=T19,MAX(V19,X19,Z19),IF(R19=X19,MAX(T19,V19,Z19),0))</f>
        <v>0</v>
      </c>
      <c r="T19" s="33"/>
      <c r="U19" s="40"/>
      <c r="V19" s="34"/>
      <c r="W19" s="40"/>
      <c r="X19" s="33">
        <v>51.2</v>
      </c>
      <c r="Y19" s="40">
        <v>14</v>
      </c>
      <c r="Z19" s="34"/>
      <c r="AA19" s="37"/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13</v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R20+S20+IF(OR(H20="Junior",H20="Senior"),0.0002,IF(OR(H20="L7",H20="L6"),0.0001,0))+MAX(X20,Z20)*0.0000001</f>
        <v>99.00010497000001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>IF(A20&lt;5,IF(_xlfn.MAXIFS(A:A,G:G,G20)&gt;3,5-A20,_xlfn.MAXIFS(A:A,G:G,G20)+1-A20),"")</f>
        <v/>
      </c>
      <c r="R20" s="4">
        <f>MAX(T20,X20)</f>
        <v>49.7</v>
      </c>
      <c r="S20" s="4">
        <f>IF(R20=T20,MAX(V20,X20,Z20),IF(R20=X20,MAX(T20,V20,Z20),0))</f>
        <v>49.3</v>
      </c>
      <c r="T20" s="33">
        <v>48.5</v>
      </c>
      <c r="U20" s="40">
        <v>13.3</v>
      </c>
      <c r="V20" s="34">
        <v>49.3</v>
      </c>
      <c r="W20" s="40">
        <v>13.3</v>
      </c>
      <c r="X20" s="33">
        <v>49.7</v>
      </c>
      <c r="Y20" s="40">
        <v>14.1</v>
      </c>
      <c r="Z20" s="34">
        <v>49.1</v>
      </c>
      <c r="AA20" s="37">
        <v>14.1</v>
      </c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R21+S21+IF(OR(H21="Junior",H21="Senior"),0.0002,IF(OR(H21="L7",H21="L6"),0.0001,0))+MAX(X21,Z21)*0.0000001</f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>IF(A21&lt;5,IF(_xlfn.MAXIFS(A:A,G:G,G21)&gt;3,5-A21,_xlfn.MAXIFS(A:A,G:G,G21)+1-A21),"")</f>
        <v/>
      </c>
      <c r="R21" s="4">
        <f>MAX(T21,X21)</f>
        <v>49.4</v>
      </c>
      <c r="S21" s="4">
        <f>IF(R21=T21,MAX(V21,X21,Z21),IF(R21=X21,MAX(T21,V21,Z21),0))</f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R22+S22+IF(OR(H22="Junior",H22="Senior"),0.0002,IF(OR(H22="L7",H22="L6"),0.0001,0))+MAX(X22,Z22)*0.0000001</f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>IF(A22&lt;5,IF(_xlfn.MAXIFS(A:A,G:G,G22)&gt;3,5-A22,_xlfn.MAXIFS(A:A,G:G,G22)+1-A22),"")</f>
        <v/>
      </c>
      <c r="R22" s="4">
        <f>MAX(T22,X22)</f>
        <v>48.5</v>
      </c>
      <c r="S22" s="4">
        <f>IF(R22=T22,MAX(V22,X22,Z22),IF(R22=X22,MAX(T22,V22,Z22),0))</f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>R23+S23+IF(OR(H23="Junior",H23="Senior"),0.0002,IF(OR(H23="L7",H23="L6"),0.0001,0))+MAX(X23,Z23)*0.0000001</f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>IF(A23&lt;5,IF(_xlfn.MAXIFS(A:A,G:G,G23)&gt;3,5-A23,_xlfn.MAXIFS(A:A,G:G,G23)+1-A23),"")</f>
        <v/>
      </c>
      <c r="R23" s="4">
        <f>MAX(T23,X23)</f>
        <v>48.8</v>
      </c>
      <c r="S23" s="4">
        <f>IF(R23=T23,MAX(V23,X23,Z23),IF(R23=X23,MAX(T23,V23,Z23),0))</f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MAX(T24,X24)</f>
        <v>47.1</v>
      </c>
      <c r="S24" s="4">
        <f>IF(R24=T24,MAX(V24,X24,Z24),IF(R24=X24,MAX(T24,V24,Z24),0))</f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R25+S25+IF(OR(H25="Junior",H25="Senior"),0.0002,IF(OR(H25="L7",H25="L6"),0.0001,0))+MAX(X25,Z25)*0.0000001</f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MAX(T25,X25)</f>
        <v>47.4</v>
      </c>
      <c r="S25" s="4">
        <f>IF(R25=T25,MAX(V25,X25,Z25),IF(R25=X25,MAX(T25,V25,Z25),0))</f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>R26+S26+IF(OR(H26="Junior",H26="Senior"),0.0002,IF(OR(H26="L7",H26="L6"),0.0001,0))+MAX(X26,Z26)*0.0000001</f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MAX(T26,X26)</f>
        <v>45.7</v>
      </c>
      <c r="S26" s="4">
        <f>IF(R26=T26,MAX(V26,X26,Z26),IF(R26=X26,MAX(T26,V26,Z26),0))</f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MAX(T27,X27)</f>
        <v>45.6</v>
      </c>
      <c r="S27" s="4">
        <f>IF(R27=T27,MAX(V27,X27,Z27),IF(R27=X27,MAX(T27,V27,Z27),0))</f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MAX(T28,X28)</f>
        <v>45.1</v>
      </c>
      <c r="S28" s="4">
        <f>IF(R28=T28,MAX(V28,X28,Z28),IF(R28=X28,MAX(T28,V28,Z28),0))</f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MAX(T29,X29)</f>
        <v>44.7</v>
      </c>
      <c r="S29" s="4">
        <f>IF(R29=T29,MAX(V29,X29,Z29),IF(R29=X29,MAX(T29,V29,Z29),0))</f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MAX(T30,X30)</f>
        <v>45.2</v>
      </c>
      <c r="S30" s="4">
        <f>IF(R30=T30,MAX(V30,X30,Z30),IF(R30=X30,MAX(T30,V30,Z30),0))</f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MAX(T31,X31)</f>
        <v>45.1</v>
      </c>
      <c r="S31" s="4">
        <f>IF(R31=T31,MAX(V31,X31,Z31),IF(R31=X31,MAX(T31,V31,Z31),0))</f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>R32+S32+IF(OR(H32="Junior",H32="Senior"),0.0002,IF(OR(H32="L7",H32="L6"),0.0001,0))+MAX(X32,Z32)*0.0000001</f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MAX(T32,X32)</f>
        <v>44.2</v>
      </c>
      <c r="S32" s="4">
        <f>IF(R32=T32,MAX(V32,X32,Z32),IF(R32=X32,MAX(T32,V32,Z32),0))</f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MAX(T33,X33)</f>
        <v>44.2</v>
      </c>
      <c r="S33" s="4">
        <f>IF(R33=T33,MAX(V33,X33,Z33),IF(R33=X33,MAX(T33,V33,Z33),0))</f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MAX(T34,X34)</f>
        <v>44.1</v>
      </c>
      <c r="S34" s="4">
        <f>IF(R34=T34,MAX(V34,X34,Z34),IF(R34=X34,MAX(T34,V34,Z34),0))</f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MAX(T35,X35)</f>
        <v>44</v>
      </c>
      <c r="S35" s="4">
        <f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MAX(T36,X36)</f>
        <v>44.6</v>
      </c>
      <c r="S36" s="4">
        <f>IF(R36=T36,MAX(V36,X36,Z36),IF(R36=X36,MAX(T36,V36,Z36),0))</f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MAX(T37,X37)</f>
        <v>43.5</v>
      </c>
      <c r="S37" s="4">
        <f>IF(R37=T37,MAX(V37,X37,Z37),IF(R37=X37,MAX(T37,V37,Z37),0))</f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MAX(T38,X38)</f>
        <v>43.7</v>
      </c>
      <c r="S38" s="4">
        <f>IF(R38=T38,MAX(V38,X38,Z38),IF(R38=X38,MAX(T38,V38,Z38),0))</f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MAX(T39,X39)</f>
        <v>43</v>
      </c>
      <c r="S39" s="4">
        <f>IF(R39=T39,MAX(V39,X39,Z39),IF(R39=X39,MAX(T39,V39,Z39),0))</f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MAX(T40,X40)</f>
        <v>41.9</v>
      </c>
      <c r="S40" s="4">
        <f>IF(R40=T40,MAX(V40,X40,Z40),IF(R40=X40,MAX(T40,V40,Z40),0))</f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MAX(T41,X41)</f>
        <v>42.9</v>
      </c>
      <c r="S41" s="4">
        <f>IF(R41=T41,MAX(V41,X41,Z41),IF(R41=X41,MAX(T41,V41,Z41),0))</f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>R42+S42+IF(OR(H42="Junior",H42="Senior"),0.0002,IF(OR(H42="L7",H42="L6"),0.0001,0))+MAX(X42,Z42)*0.0000001</f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MAX(T42,X42)</f>
        <v>46.4</v>
      </c>
      <c r="S42" s="4">
        <f>IF(R42=T42,MAX(V42,X42,Z42),IF(R42=X42,MAX(T42,V42,Z42),0))</f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>R43+S43+IF(OR(H43="Junior",H43="Senior"),0.0002,IF(OR(H43="L7",H43="L6"),0.0001,0))+MAX(X43,Z43)*0.0000001</f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MAX(T43,X43)</f>
        <v>43.2</v>
      </c>
      <c r="S43" s="4">
        <f>IF(R43=T43,MAX(V43,X43,Z43),IF(R43=X43,MAX(T43,V43,Z43),0))</f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MAX(T45,X45)</f>
        <v>41.1</v>
      </c>
      <c r="S45" s="4">
        <f>IF(R45=T45,MAX(V45,X45,Z45),IF(R45=X45,MAX(T45,V45,Z45),0))</f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>R46+S46+IF(OR(H46="Junior",H46="Senior"),0.0002,IF(OR(H46="L7",H46="L6"),0.0001,0))+MAX(X46,Z46)*0.0000001</f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MAX(T46,X46)</f>
        <v>46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>R47+S47+IF(OR(H47="Junior",H47="Senior"),0.0002,IF(OR(H47="L7",H47="L6"),0.0001,0))+MAX(X47,Z47)*0.0000001</f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MAX(T47,X47)</f>
        <v>44.4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MAX(T48,X48)</f>
        <v>43.3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MAX(T49,X49)</f>
        <v>43.1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MAX(T50,X50)</f>
        <v>42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R51+S51+IF(OR(H51="Junior",H51="Senior"),0.0002,IF(OR(H51="L7",H51="L6"),0.0001,0))+MAX(X51,Z51)*0.0000001</f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MAX(T52,X52)</f>
        <v>40.700000000000003</v>
      </c>
      <c r="S52" s="4">
        <f>IF(R52=T52,MAX(V52,X52,Z52),IF(R52=X52,MAX(T52,V52,Z52),0))</f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MAX(T53,X53)</f>
        <v>39.9</v>
      </c>
      <c r="S53" s="4">
        <f>IF(R53=T53,MAX(V53,X53,Z53),IF(R53=X53,MAX(T53,V53,Z53),0))</f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>R54+S54+IF(OR(H54="Junior",H54="Senior"),0.0002,IF(OR(H54="L7",H54="L6"),0.0001,0))+MAX(X54,Z54)*0.0000001</f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MAX(T54,X54)</f>
        <v>38.6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>R55+S55+IF(OR(H55="Junior",H55="Senior"),0.0002,IF(OR(H55="L7",H55="L6"),0.0001,0))+MAX(X55,Z55)*0.0000001</f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MAX(T55,X55)</f>
        <v>38.200000000000003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>R56+S56+IF(OR(H56="Junior",H56="Senior"),0.0002,IF(OR(H56="L7",H56="L6"),0.0001,0))+MAX(X56,Z56)*0.0000001</f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MAX(T56,X56)</f>
        <v>24</v>
      </c>
      <c r="S56" s="4">
        <f>IF(R56=T56,MAX(V56,X56,Z56),IF(R56=X56,MAX(T56,V56,Z56),0))</f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R57+S57+IF(OR(H57="Junior",H57="Senior"),0.0002,IF(OR(H57="L7",H57="L6"),0.0001,0))+MAX(X57,Z57)*0.0000001</f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MAX(T57,X57)</f>
        <v>19.8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>R58+S58+IF(OR(H58="Junior",H58="Senior"),0.0002,IF(OR(H58="L7",H58="L6"),0.0001,0))+MAX(X58,Z58)*0.0000001</f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MAX(T58,X58)</f>
        <v>19.8</v>
      </c>
      <c r="S58" s="4">
        <f>IF(R58=T58,MAX(V58,X58,Z58),IF(R58=X58,MAX(T58,V58,Z58),0))</f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>R59+S59+IF(OR(H59="Junior",H59="Senior"),0.0002,IF(OR(H59="L7",H59="L6"),0.0001,0))+MAX(X59,Z59)*0.0000001</f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>IF(A59&lt;5,IF(_xlfn.MAXIFS(A:A,G:G,G59)&gt;3,5-A59,_xlfn.MAXIFS(A:A,G:G,G59)+1-A59),"")</f>
        <v>4</v>
      </c>
      <c r="R59" s="4">
        <f>MAX(T59,X59)</f>
        <v>51.8</v>
      </c>
      <c r="S59" s="4">
        <f>IF(R59=T59,MAX(V59,X59,Z59),IF(R59=X59,MAX(T59,V59,Z59),0))</f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>IF(A60&lt;5,IF(_xlfn.MAXIFS(A:A,G:G,G60)&gt;3,5-A60,_xlfn.MAXIFS(A:A,G:G,G60)+1-A60),"")</f>
        <v>3</v>
      </c>
      <c r="R60" s="4">
        <f>MAX(T60,X60)</f>
        <v>49.4</v>
      </c>
      <c r="S60" s="4">
        <f>IF(R60=T60,MAX(V60,X60,Z60),IF(R60=X60,MAX(T60,V60,Z60),0))</f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49.6</v>
      </c>
      <c r="S61" s="4">
        <f>IF(R61=T61,MAX(V61,X61,Z61),IF(R61=X61,MAX(T61,V61,Z61),0))</f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>R62+S62+IF(OR(H62="Junior",H62="Senior"),0.0002,IF(OR(H62="L7",H62="L6"),0.0001,0))+MAX(X62,Z62)*0.0000001</f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>IF(A62&lt;5,IF(_xlfn.MAXIFS(A:A,G:G,G62)&gt;3,5-A62,_xlfn.MAXIFS(A:A,G:G,G62)+1-A62),"")</f>
        <v>1</v>
      </c>
      <c r="R62" s="4">
        <f>MAX(T62,X62)</f>
        <v>49.5</v>
      </c>
      <c r="S62" s="4">
        <f>IF(R62=T62,MAX(V62,X62,Z62),IF(R62=X62,MAX(T62,V62,Z62),0))</f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>R63+S63+IF(OR(H63="Junior",H63="Senior"),0.0002,IF(OR(H63="L7",H63="L6"),0.0001,0))+MAX(X63,Z63)*0.0000001</f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>IF(A63&lt;5,IF(_xlfn.MAXIFS(A:A,G:G,G63)&gt;3,5-A63,_xlfn.MAXIFS(A:A,G:G,G63)+1-A63),"")</f>
        <v/>
      </c>
      <c r="R63" s="4">
        <f>MAX(T63,X63)</f>
        <v>48.7</v>
      </c>
      <c r="S63" s="4">
        <f>IF(R63=T63,MAX(V63,X63,Z63),IF(R63=X63,MAX(T63,V63,Z63),0))</f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R64+S64+IF(OR(H64="Junior",H64="Senior"),0.0002,IF(OR(H64="L7",H64="L6"),0.0001,0))+MAX(X64,Z64)*0.0000001</f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MAX(T64,X64)</f>
        <v>48.2</v>
      </c>
      <c r="S64" s="4">
        <f>IF(R64=T64,MAX(V64,X64,Z64),IF(R64=X64,MAX(T64,V64,Z64),0))</f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>R65+S65+IF(OR(H65="Junior",H65="Senior"),0.0002,IF(OR(H65="L7",H65="L6"),0.0001,0))+MAX(X65,Z65)*0.0000001</f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>IF(A65&lt;5,IF(_xlfn.MAXIFS(A:A,G:G,G65)&gt;3,5-A65,_xlfn.MAXIFS(A:A,G:G,G65)+1-A65),"")</f>
        <v/>
      </c>
      <c r="R65" s="4">
        <f>MAX(T65,X65)</f>
        <v>45.5</v>
      </c>
      <c r="S65" s="4">
        <f>IF(R65=T65,MAX(V65,X65,Z65),IF(R65=X65,MAX(T65,V65,Z65),0))</f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>IF(A66&lt;5,IF(_xlfn.MAXIFS(A:A,G:G,G66)&gt;3,5-A66,_xlfn.MAXIFS(A:A,G:G,G66)+1-A66),"")</f>
        <v/>
      </c>
      <c r="R66" s="4">
        <f>MAX(T66,X66)</f>
        <v>47.8</v>
      </c>
      <c r="S66" s="4">
        <f>IF(R66=T66,MAX(V66,X66,Z66),IF(R66=X66,MAX(T66,V66,Z66),0))</f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>IF(A67&lt;5,IF(_xlfn.MAXIFS(A:A,G:G,G67)&gt;3,5-A67,_xlfn.MAXIFS(A:A,G:G,G67)+1-A67),"")</f>
        <v/>
      </c>
      <c r="R67" s="4">
        <f>MAX(T67,X67)</f>
        <v>47.5</v>
      </c>
      <c r="S67" s="4">
        <f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>R68+S68+IF(OR(H68="Junior",H68="Senior"),0.0002,IF(OR(H68="L7",H68="L6"),0.0001,0))+MAX(X68,Z68)*0.0000001</f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MAX(T68,X68)</f>
        <v>46.3</v>
      </c>
      <c r="S68" s="4">
        <f>IF(R68=T68,MAX(V68,X68,Z68),IF(R68=X68,MAX(T68,V68,Z68),0))</f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>R69+S69+IF(OR(H69="Junior",H69="Senior"),0.0002,IF(OR(H69="L7",H69="L6"),0.0001,0))+MAX(X69,Z69)*0.0000001</f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MAX(T69,X69)</f>
        <v>46.4</v>
      </c>
      <c r="S69" s="4">
        <f>IF(R69=T69,MAX(V69,X69,Z69),IF(R69=X69,MAX(T69,V69,Z69),0))</f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>R70+S70+IF(OR(H70="Junior",H70="Senior"),0.0002,IF(OR(H70="L7",H70="L6"),0.0001,0))+MAX(X70,Z70)*0.0000001</f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MAX(T70,X70)</f>
        <v>46.4</v>
      </c>
      <c r="S70" s="4">
        <f>IF(R70=T70,MAX(V70,X70,Z70),IF(R70=X70,MAX(T70,V70,Z70),0))</f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MAX(T71,X71)</f>
        <v>46.2</v>
      </c>
      <c r="S71" s="4">
        <f>IF(R71=T71,MAX(V71,X71,Z71),IF(R71=X71,MAX(T71,V71,Z71),0))</f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>R72+S72+IF(OR(H72="Junior",H72="Senior"),0.0002,IF(OR(H72="L7",H72="L6"),0.0001,0))+MAX(X72,Z72)*0.0000001</f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MAX(T72,X72)</f>
        <v>45.2</v>
      </c>
      <c r="S72" s="4">
        <f>IF(R72=T72,MAX(V72,X72,Z72),IF(R72=X72,MAX(T72,V72,Z72),0))</f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>R73+S73+IF(OR(H73="Junior",H73="Senior"),0.0002,IF(OR(H73="L7",H73="L6"),0.0001,0))+MAX(X73,Z73)*0.0000001</f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MAX(T73,X73)</f>
        <v>44.8</v>
      </c>
      <c r="S73" s="4">
        <f>IF(R73=T73,MAX(V73,X73,Z73),IF(R73=X73,MAX(T73,V73,Z73),0))</f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MAX(T74,X74)</f>
        <v>44</v>
      </c>
      <c r="S74" s="4">
        <f>IF(R74=T74,MAX(V74,X74,Z74),IF(R74=X74,MAX(T74,V74,Z74),0))</f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>R75+S75+IF(OR(H75="Junior",H75="Senior"),0.0002,IF(OR(H75="L7",H75="L6"),0.0001,0))+MAX(X75,Z75)*0.0000001</f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MAX(T75,X75)</f>
        <v>45.4</v>
      </c>
      <c r="S75" s="4">
        <f>IF(R75=T75,MAX(V75,X75,Z75),IF(R75=X75,MAX(T75,V75,Z75),0))</f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>R76+S76+IF(OR(H76="Junior",H76="Senior"),0.0002,IF(OR(H76="L7",H76="L6"),0.0001,0))+MAX(X76,Z76)*0.0000001</f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MAX(T76,X76)</f>
        <v>45.6</v>
      </c>
      <c r="S76" s="4">
        <f>IF(R76=T76,MAX(V76,X76,Z76),IF(R76=X76,MAX(T76,V76,Z76),0))</f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MAX(T77,X77)</f>
        <v>44.3</v>
      </c>
      <c r="S77" s="4">
        <f>IF(R77=T77,MAX(V77,X77,Z77),IF(R77=X77,MAX(T77,V77,Z77),0))</f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>R78+S78+IF(OR(H78="Junior",H78="Senior"),0.0002,IF(OR(H78="L7",H78="L6"),0.0001,0))+MAX(X78,Z78)*0.0000001</f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MAX(T78,X78)</f>
        <v>43</v>
      </c>
      <c r="S78" s="4">
        <f>IF(R78=T78,MAX(V78,X78,Z78),IF(R78=X78,MAX(T78,V78,Z78),0))</f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R79+S79+IF(OR(H79="Junior",H79="Senior"),0.0002,IF(OR(H79="L7",H79="L6"),0.0001,0))+MAX(X79,Z79)*0.0000001</f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MAX(T79,X79)</f>
        <v>43.4</v>
      </c>
      <c r="S79" s="4">
        <f>IF(R79=T79,MAX(V79,X79,Z79),IF(R79=X79,MAX(T79,V79,Z79),0))</f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R80+S80+IF(OR(H80="Junior",H80="Senior"),0.0002,IF(OR(H80="L7",H80="L6"),0.0001,0))+MAX(X80,Z80)*0.0000001</f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>IF(A80&lt;5,IF(_xlfn.MAXIFS(A:A,G:G,G80)&gt;3,5-A80,_xlfn.MAXIFS(A:A,G:G,G80)+1-A80),"")</f>
        <v/>
      </c>
      <c r="R80" s="4">
        <f>MAX(T80,X80)</f>
        <v>43</v>
      </c>
      <c r="S80" s="4">
        <f>IF(R80=T80,MAX(V80,X80,Z80),IF(R80=X80,MAX(T80,V80,Z80),0))</f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>IF(A81&lt;5,IF(_xlfn.MAXIFS(A:A,G:G,G81)&gt;3,5-A81,_xlfn.MAXIFS(A:A,G:G,G81)+1-A81),"")</f>
        <v/>
      </c>
      <c r="R81" s="4">
        <f>MAX(T81,X81)</f>
        <v>43.8</v>
      </c>
      <c r="S81" s="4">
        <f>IF(R81=T81,MAX(V81,X81,Z81),IF(R81=X81,MAX(T81,V81,Z81),0))</f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>IF(A82&lt;5,IF(_xlfn.MAXIFS(A:A,G:G,G82)&gt;3,5-A82,_xlfn.MAXIFS(A:A,G:G,G82)+1-A82),"")</f>
        <v/>
      </c>
      <c r="R82" s="4">
        <f>MAX(T82,X82)</f>
        <v>42.8</v>
      </c>
      <c r="S82" s="4">
        <f>IF(R82=T82,MAX(V82,X82,Z82),IF(R82=X82,MAX(T82,V82,Z82),0))</f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>R83+S83+IF(OR(H83="Junior",H83="Senior"),0.0002,IF(OR(H83="L7",H83="L6"),0.0001,0))+MAX(X83,Z83)*0.0000001</f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>IF(A83&lt;5,IF(_xlfn.MAXIFS(A:A,G:G,G83)&gt;3,5-A83,_xlfn.MAXIFS(A:A,G:G,G83)+1-A83),"")</f>
        <v/>
      </c>
      <c r="R83" s="4">
        <f>MAX(T83,X83)</f>
        <v>44.7</v>
      </c>
      <c r="S83" s="4">
        <f>IF(R83=T83,MAX(V83,X83,Z83),IF(R83=X83,MAX(T83,V83,Z83),0))</f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>IF(A84&lt;5,IF(_xlfn.MAXIFS(A:A,G:G,G84)&gt;3,5-A84,_xlfn.MAXIFS(A:A,G:G,G84)+1-A84),"")</f>
        <v/>
      </c>
      <c r="R84" s="4">
        <f>MAX(T84,X84)</f>
        <v>41.9</v>
      </c>
      <c r="S84" s="4">
        <f>IF(R84=T84,MAX(V84,X84,Z84),IF(R84=X84,MAX(T84,V84,Z84),0))</f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>IF(A85&lt;5,IF(_xlfn.MAXIFS(A:A,G:G,G85)&gt;3,5-A85,_xlfn.MAXIFS(A:A,G:G,G85)+1-A85),"")</f>
        <v/>
      </c>
      <c r="R85" s="4">
        <f>MAX(T85,X85)</f>
        <v>20.3</v>
      </c>
      <c r="S85" s="4">
        <f>IF(R85=T85,MAX(V85,X85,Z85),IF(R85=X85,MAX(T85,V85,Z85),0))</f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>R86+S86+IF(OR(H86="Junior",H86="Senior"),0.0002,IF(OR(H86="L7",H86="L6"),0.0001,0))+MAX(X86,Z86)*0.0000001</f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>IF(A86&lt;5,IF(_xlfn.MAXIFS(A:A,G:G,G86)&gt;3,5-A86,_xlfn.MAXIFS(A:A,G:G,G86)+1-A86),"")</f>
        <v/>
      </c>
      <c r="R86" s="4">
        <f>MAX(T86,X86)</f>
        <v>20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>R87+S87+IF(OR(H87="Junior",H87="Senior"),0.0002,IF(OR(H87="L7",H87="L6"),0.0001,0))+MAX(X87,Z87)*0.0000001</f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>IF(A87&lt;5,IF(_xlfn.MAXIFS(A:A,G:G,G87)&gt;3,5-A87,_xlfn.MAXIFS(A:A,G:G,G87)+1-A87),"")</f>
        <v>1</v>
      </c>
      <c r="R87" s="4">
        <f>MAX(T87,X87)</f>
        <v>49.4</v>
      </c>
      <c r="S87" s="4">
        <f>IF(R87=T87,MAX(V87,X87,Z87),IF(R87=X87,MAX(T87,V87,Z87),0))</f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>R88+S88+IF(OR(H88="Junior",H88="Senior"),0.0002,IF(OR(H88="L7",H88="L6"),0.0001,0))+MAX(X88,Z88)*0.0000001</f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MAX(T88,X88)</f>
        <v>45.2</v>
      </c>
      <c r="S88" s="4">
        <f>IF(R88=T88,MAX(V88,X88,Z88),IF(R88=X88,MAX(T88,V88,Z88),0))</f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>R89+S89+IF(OR(H89="Junior",H89="Senior"),0.0002,IF(OR(H89="L7",H89="L6"),0.0001,0))+MAX(X89,Z89)*0.0000001</f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MAX(T89,X89)</f>
        <v>43.9</v>
      </c>
      <c r="S89" s="4">
        <f>IF(R89=T89,MAX(V89,X89,Z89),IF(R89=X89,MAX(T89,V89,Z89),0))</f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>R90+S90+IF(OR(H90="Junior",H90="Senior"),0.0002,IF(OR(H90="L7",H90="L6"),0.0001,0))+MAX(X90,Z90)*0.0000001</f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>IF(A90&lt;5,IF(_xlfn.MAXIFS(A:A,G:G,G90)&gt;3,5-A90,_xlfn.MAXIFS(A:A,G:G,G90)+1-A90),"")</f>
        <v/>
      </c>
      <c r="R90" s="4">
        <f>MAX(T90,X90)</f>
        <v>43.6</v>
      </c>
      <c r="S90" s="4">
        <f>IF(R90=T90,MAX(V90,X90,Z90),IF(R90=X90,MAX(T90,V90,Z90),0))</f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>R91+S91+IF(OR(H91="Junior",H91="Senior"),0.0002,IF(OR(H91="L7",H91="L6"),0.0001,0))+MAX(X91,Z91)*0.0000001</f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MAX(T91,X91)</f>
        <v>43.3</v>
      </c>
      <c r="S91" s="4">
        <f>IF(R91=T91,MAX(V91,X91,Z91),IF(R91=X91,MAX(T91,V91,Z91),0))</f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>R92+S92+IF(OR(H92="Junior",H92="Senior"),0.0002,IF(OR(H92="L7",H92="L6"),0.0001,0))+MAX(X92,Z92)*0.0000001</f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MAX(T92,X92)</f>
        <v>44.3</v>
      </c>
      <c r="S92" s="4">
        <f>IF(R92=T92,MAX(V92,X92,Z92),IF(R92=X92,MAX(T92,V92,Z92),0))</f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>R93+S93+IF(OR(H93="Junior",H93="Senior"),0.0002,IF(OR(H93="L7",H93="L6"),0.0001,0))+MAX(X93,Z93)*0.0000001</f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MAX(T93,X93)</f>
        <v>41.3</v>
      </c>
      <c r="S93" s="4">
        <f>IF(R93=T93,MAX(V93,X93,Z93),IF(R93=X93,MAX(T93,V93,Z93),0))</f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>R94+S94+IF(OR(H94="Junior",H94="Senior"),0.0002,IF(OR(H94="L7",H94="L6"),0.0001,0))+MAX(X94,Z94)*0.0000001</f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MAX(T94,X94)</f>
        <v>42.1</v>
      </c>
      <c r="S94" s="4">
        <f>IF(R94=T94,MAX(V94,X94,Z94),IF(R94=X94,MAX(T94,V94,Z94),0))</f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>R95+S95+IF(OR(H95="Junior",H95="Senior"),0.0002,IF(OR(H95="L7",H95="L6"),0.0001,0))+MAX(X95,Z95)*0.0000001</f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MAX(T95,X95)</f>
        <v>43.1</v>
      </c>
      <c r="S95" s="4">
        <f>IF(R95=T95,MAX(V95,X95,Z95),IF(R95=X95,MAX(T95,V95,Z95),0))</f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>R96+S96+IF(OR(H96="Junior",H96="Senior"),0.0002,IF(OR(H96="L7",H96="L6"),0.0001,0))+MAX(X96,Z96)*0.0000001</f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>IF(A96&lt;5,IF(_xlfn.MAXIFS(A:A,G:G,G96)&gt;3,5-A96,_xlfn.MAXIFS(A:A,G:G,G96)+1-A96),"")</f>
        <v/>
      </c>
      <c r="R96" s="4">
        <f>MAX(T96,X96)</f>
        <v>41.1</v>
      </c>
      <c r="S96" s="4">
        <f>IF(R96=T96,MAX(V96,X96,Z96),IF(R96=X96,MAX(T96,V96,Z96),0))</f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>R97+S97+IF(OR(H97="Junior",H97="Senior"),0.0002,IF(OR(H97="L7",H97="L6"),0.0001,0))+MAX(X97,Z97)*0.0000001</f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>IF(A97&lt;5,IF(_xlfn.MAXIFS(A:A,G:G,G97)&gt;3,5-A97,_xlfn.MAXIFS(A:A,G:G,G97)+1-A97),"")</f>
        <v/>
      </c>
      <c r="R97" s="4">
        <f>MAX(T97,X97)</f>
        <v>42.4</v>
      </c>
      <c r="S97" s="4">
        <f>IF(R97=T97,MAX(V97,X97,Z97),IF(R97=X97,MAX(T97,V97,Z97),0))</f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>R98+S98+IF(OR(H98="Junior",H98="Senior"),0.0002,IF(OR(H98="L7",H98="L6"),0.0001,0))+MAX(X98,Z98)*0.0000001</f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>IF(A98&lt;5,IF(_xlfn.MAXIFS(A:A,G:G,G98)&gt;3,5-A98,_xlfn.MAXIFS(A:A,G:G,G98)+1-A98),"")</f>
        <v/>
      </c>
      <c r="R98" s="4">
        <f>MAX(T98,X98)</f>
        <v>38.6</v>
      </c>
      <c r="S98" s="4">
        <f>IF(R98=T98,MAX(V98,X98,Z98),IF(R98=X98,MAX(T98,V98,Z98),0))</f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98">
      <sortCondition descending="1" ref="G1:G99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>IF(A3&lt;5,IF(_xlfn.MAXIFS(A:A,G:G,G3)&gt;3,5-A3,_xlfn.MAXIFS(A:A,G:G,G3)+1-A3),"")</f>
        <v>4</v>
      </c>
      <c r="R3" s="4">
        <f>MAX(T3,X3)</f>
        <v>49.9</v>
      </c>
      <c r="S3" s="4">
        <f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>IF(A4&lt;5,IF(_xlfn.MAXIFS(A:A,G:G,G4)&gt;3,5-A4,_xlfn.MAXIFS(A:A,G:G,G4)+1-A4),"")</f>
        <v>3</v>
      </c>
      <c r="R4" s="4">
        <f>MAX(T4,X4)</f>
        <v>48.6</v>
      </c>
      <c r="S4" s="4">
        <f>IF(R4=T4,MAX(V4,X4,Z4),IF(R4=X4,MAX(T4,V4,Z4),0))</f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>IF(A5&lt;5,IF(_xlfn.MAXIFS(A:A,G:G,G5)&gt;3,5-A5,_xlfn.MAXIFS(A:A,G:G,G5)+1-A5),"")</f>
        <v>2</v>
      </c>
      <c r="R5" s="4">
        <f>MAX(T5,X5)</f>
        <v>47.2</v>
      </c>
      <c r="S5" s="4">
        <f>IF(R5=T5,MAX(V5,X5,Z5),IF(R5=X5,MAX(T5,V5,Z5),0))</f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R6+S6+IF(OR(H6="Junior",H6="Senior"),0.0002,IF(OR(H6="L7",H6="L6"),0.0001,0))+MAX(X6,Z6)*0.0000001</f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>IF(A6&lt;5,IF(_xlfn.MAXIFS(A:A,G:G,G6)&gt;3,5-A6,_xlfn.MAXIFS(A:A,G:G,G6)+1-A6),"")</f>
        <v>1</v>
      </c>
      <c r="R6" s="4">
        <f>MAX(T6,X6)</f>
        <v>47.2</v>
      </c>
      <c r="S6" s="4">
        <f>IF(R6=T6,MAX(V6,X6,Z6),IF(R6=X6,MAX(T6,V6,Z6),0))</f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MAX(T7,X7)</f>
        <v>46.6</v>
      </c>
      <c r="S7" s="4">
        <f>IF(R7=T7,MAX(V7,X7,Z7),IF(R7=X7,MAX(T7,V7,Z7),0))</f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>MAX(T8,X8)</f>
        <v>46.6</v>
      </c>
      <c r="S8" s="4">
        <f>IF(R8=T8,MAX(V8,X8,Z8),IF(R8=X8,MAX(T8,V8,Z8),0))</f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>IF(A9&lt;5,IF(_xlfn.MAXIFS(A:A,G:G,G9)&gt;3,5-A9,_xlfn.MAXIFS(A:A,G:G,G9)+1-A9),"")</f>
        <v/>
      </c>
      <c r="R9" s="4">
        <f>MAX(T9,X9)</f>
        <v>50.5</v>
      </c>
      <c r="S9" s="4">
        <f>IF(R9=T9,MAX(V9,X9,Z9),IF(R9=X9,MAX(T9,V9,Z9),0))</f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MAX(T10,X10)</f>
        <v>45.1</v>
      </c>
      <c r="S10" s="4">
        <f>IF(R10=T10,MAX(V10,X10,Z10),IF(R10=X10,MAX(T10,V10,Z10),0))</f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R11+S11+IF(OR(H11="Junior",H11="Senior"),0.0002,IF(OR(H11="L7",H11="L6"),0.0001,0))+MAX(X11,Z11)*0.0000001</f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MAX(T11,X11)</f>
        <v>45.3</v>
      </c>
      <c r="S11" s="4">
        <f>IF(R11=T11,MAX(V11,X11,Z11),IF(R11=X11,MAX(T11,V11,Z11),0))</f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MAX(T12,X12)</f>
        <v>44.2</v>
      </c>
      <c r="S12" s="4">
        <f>IF(R12=T12,MAX(V12,X12,Z12),IF(R12=X12,MAX(T12,V12,Z12),0))</f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MAX(T13,X13)</f>
        <v>43.5</v>
      </c>
      <c r="S13" s="4">
        <f>IF(R13=T13,MAX(V13,X13,Z13),IF(R13=X13,MAX(T13,V13,Z13),0))</f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>R14+S14+IF(OR(H14="Junior",H14="Senior"),0.0002,IF(OR(H14="L7",H14="L6"),0.0001,0))+MAX(X14,Z14)*0.0000001</f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MAX(T14,X14)</f>
        <v>44.5</v>
      </c>
      <c r="S14" s="4">
        <f>IF(R14=T14,MAX(V14,X14,Z14),IF(R14=X14,MAX(T14,V14,Z14),0))</f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MAX(T15,X15)</f>
        <v>43</v>
      </c>
      <c r="S15" s="4">
        <f>IF(R15=T15,MAX(V15,X15,Z15),IF(R15=X15,MAX(T15,V15,Z15),0))</f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R16+S16+IF(OR(H16="Junior",H16="Senior"),0.0002,IF(OR(H16="L7",H16="L6"),0.0001,0))+MAX(X16,Z16)*0.0000001</f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MAX(T16,X16)</f>
        <v>43.6</v>
      </c>
      <c r="S16" s="4">
        <f>IF(R16=T16,MAX(V16,X16,Z16),IF(R16=X16,MAX(T16,V16,Z16),0))</f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R17+S17+IF(OR(H17="Junior",H17="Senior"),0.0002,IF(OR(H17="L7",H17="L6"),0.0001,0))+MAX(X17,Z17)*0.0000001</f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MAX(T17,X17)</f>
        <v>42.6</v>
      </c>
      <c r="S17" s="4">
        <f>IF(R17=T17,MAX(V17,X17,Z17),IF(R17=X17,MAX(T17,V17,Z17),0))</f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MAX(T18,X18)</f>
        <v>42.6</v>
      </c>
      <c r="S18" s="4">
        <f>IF(R18=T18,MAX(V18,X18,Z18),IF(R18=X18,MAX(T18,V18,Z18),0))</f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MAX(T19,X19)</f>
        <v>43.2</v>
      </c>
      <c r="S19" s="4">
        <f>IF(R19=T19,MAX(V19,X19,Z19),IF(R19=X19,MAX(T19,V19,Z19),0))</f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MAX(T20,X20)</f>
        <v>43.3</v>
      </c>
      <c r="S20" s="4">
        <f>IF(R20=T20,MAX(V20,X20,Z20),IF(R20=X20,MAX(T20,V20,Z20),0))</f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MAX(T21,X21)</f>
        <v>43.4</v>
      </c>
      <c r="S21" s="4">
        <f>IF(R21=T21,MAX(V21,X21,Z21),IF(R21=X21,MAX(T21,V21,Z21),0))</f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MAX(T22,X22)</f>
        <v>42.9</v>
      </c>
      <c r="S22" s="4">
        <f>IF(R22=T22,MAX(V22,X22,Z22),IF(R22=X22,MAX(T22,V22,Z22),0))</f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MAX(T23,X23)</f>
        <v>43.1</v>
      </c>
      <c r="S23" s="4">
        <f>IF(R23=T23,MAX(V23,X23,Z23),IF(R23=X23,MAX(T23,V23,Z23),0))</f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MAX(T24,X24)</f>
        <v>43.3</v>
      </c>
      <c r="S24" s="4">
        <f>IF(R24=T24,MAX(V24,X24,Z24),IF(R24=X24,MAX(T24,V24,Z24),0))</f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>R25+S25+IF(OR(H25="Junior",H25="Senior"),0.0002,IF(OR(H25="L7",H25="L6"),0.0001,0))+MAX(X25,Z25)*0.0000001</f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MAX(T25,X25)</f>
        <v>41.8</v>
      </c>
      <c r="S25" s="4">
        <f>IF(R25=T25,MAX(V25,X25,Z25),IF(R25=X25,MAX(T25,V25,Z25),0))</f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MAX(T26,X26)</f>
        <v>43</v>
      </c>
      <c r="S26" s="4">
        <f>IF(R26=T26,MAX(V26,X26,Z26),IF(R26=X26,MAX(T26,V26,Z26),0))</f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MAX(T27,X27)</f>
        <v>42.3</v>
      </c>
      <c r="S27" s="4">
        <f>IF(R27=T27,MAX(V27,X27,Z27),IF(R27=X27,MAX(T27,V27,Z27),0))</f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MAX(T28,X28)</f>
        <v>43.5</v>
      </c>
      <c r="S28" s="4">
        <f>IF(R28=T28,MAX(V28,X28,Z28),IF(R28=X28,MAX(T28,V28,Z28),0))</f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MAX(T29,X29)</f>
        <v>43.6</v>
      </c>
      <c r="S29" s="4">
        <f>IF(R29=T29,MAX(V29,X29,Z29),IF(R29=X29,MAX(T29,V29,Z29),0))</f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MAX(T30,X30)</f>
        <v>42.7</v>
      </c>
      <c r="S30" s="4">
        <f>IF(R30=T30,MAX(V30,X30,Z30),IF(R30=X30,MAX(T30,V30,Z30),0))</f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MAX(T31,X31)</f>
        <v>42.7</v>
      </c>
      <c r="S31" s="4">
        <f>IF(R31=T31,MAX(V31,X31,Z31),IF(R31=X31,MAX(T31,V31,Z31),0))</f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MAX(T32,X32)</f>
        <v>42.5</v>
      </c>
      <c r="S32" s="4">
        <f>IF(R32=T32,MAX(V32,X32,Z32),IF(R32=X32,MAX(T32,V32,Z32),0))</f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MAX(T33,X33)</f>
        <v>43.8</v>
      </c>
      <c r="S33" s="4">
        <f>IF(R33=T33,MAX(V33,X33,Z33),IF(R33=X33,MAX(T33,V33,Z33),0))</f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MAX(T34,X34)</f>
        <v>42.8</v>
      </c>
      <c r="S34" s="4">
        <f>IF(R34=T34,MAX(V34,X34,Z34),IF(R34=X34,MAX(T34,V34,Z34),0))</f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MAX(T35,X35)</f>
        <v>42.2</v>
      </c>
      <c r="S35" s="4">
        <f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>R36+S36+IF(OR(H36="Junior",H36="Senior"),0.0002,IF(OR(H36="L7",H36="L6"),0.0001,0))+MAX(X36,Z36)*0.0000001</f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MAX(T36,X36)</f>
        <v>42.6</v>
      </c>
      <c r="S36" s="4">
        <f>IF(R36=T36,MAX(V36,X36,Z36),IF(R36=X36,MAX(T36,V36,Z36),0))</f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MAX(T37,X37)</f>
        <v>42.7</v>
      </c>
      <c r="S37" s="4">
        <f>IF(R37=T37,MAX(V37,X37,Z37),IF(R37=X37,MAX(T37,V37,Z37),0))</f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MAX(T38,X38)</f>
        <v>43.1</v>
      </c>
      <c r="S38" s="4">
        <f>IF(R38=T38,MAX(V38,X38,Z38),IF(R38=X38,MAX(T38,V38,Z38),0))</f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R39+S39+IF(OR(H39="Junior",H39="Senior"),0.0002,IF(OR(H39="L7",H39="L6"),0.0001,0))+MAX(X39,Z39)*0.0000001</f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MAX(T39,X39)</f>
        <v>39.700000000000003</v>
      </c>
      <c r="S39" s="4">
        <f>IF(R39=T39,MAX(V39,X39,Z39),IF(R39=X39,MAX(T39,V39,Z39),0))</f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MAX(T40,X40)</f>
        <v>42.8</v>
      </c>
      <c r="S40" s="4">
        <f>IF(R40=T40,MAX(V40,X40,Z40),IF(R40=X40,MAX(T40,V40,Z40),0))</f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MAX(T41,X41)</f>
        <v>41</v>
      </c>
      <c r="S41" s="4">
        <f>IF(R41=T41,MAX(V41,X41,Z41),IF(R41=X41,MAX(T41,V41,Z41),0))</f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R42+S42+IF(OR(H42="Junior",H42="Senior"),0.0002,IF(OR(H42="L7",H42="L6"),0.0001,0))+MAX(X42,Z42)*0.0000001</f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MAX(T42,X42)</f>
        <v>40.9</v>
      </c>
      <c r="S42" s="4">
        <f>IF(R42=T42,MAX(V42,X42,Z42),IF(R42=X42,MAX(T42,V42,Z42),0))</f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MAX(T43,X43)</f>
        <v>41.7</v>
      </c>
      <c r="S43" s="4">
        <f>IF(R43=T43,MAX(V43,X43,Z43),IF(R43=X43,MAX(T43,V43,Z43),0))</f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MAX(T45,X45)</f>
        <v>42.7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MAX(T46,X46)</f>
        <v>42.5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MAX(T47,X47)</f>
        <v>42.3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>R48+S48+IF(OR(H48="Junior",H48="Senior"),0.0002,IF(OR(H48="L7",H48="L6"),0.0001,0))+MAX(X48,Z48)*0.0000001</f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MAX(T48,X48)</f>
        <v>42.3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MAX(T49,X49)</f>
        <v>42.2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MAX(T50,X50)</f>
        <v>42.2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>R51+S51+IF(OR(H51="Junior",H51="Senior"),0.0002,IF(OR(H51="L7",H51="L6"),0.0001,0))+MAX(X51,Z51)*0.0000001</f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MAX(T52,X52)</f>
        <v>41.6</v>
      </c>
      <c r="S52" s="4">
        <f>IF(R52=T52,MAX(V52,X52,Z52),IF(R52=X52,MAX(T52,V52,Z52),0))</f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MAX(T53,X53)</f>
        <v>41.4</v>
      </c>
      <c r="S53" s="4">
        <f>IF(R53=T53,MAX(V53,X53,Z53),IF(R53=X53,MAX(T53,V53,Z53),0))</f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R54+S54+IF(OR(H54="Junior",H54="Senior"),0.0002,IF(OR(H54="L7",H54="L6"),0.0001,0))+MAX(X54,Z54)*0.0000001</f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MAX(T54,X54)</f>
        <v>41.1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R55+S55+IF(OR(H55="Junior",H55="Senior"),0.0002,IF(OR(H55="L7",H55="L6"),0.0001,0))+MAX(X55,Z55)*0.0000001</f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MAX(T55,X55)</f>
        <v>40.5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R56+S56+IF(OR(H56="Junior",H56="Senior"),0.0002,IF(OR(H56="L7",H56="L6"),0.0001,0))+MAX(X56,Z56)*0.0000001</f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MAX(T56,X56)</f>
        <v>39.700000000000003</v>
      </c>
      <c r="S56" s="4">
        <f>IF(R56=T56,MAX(V56,X56,Z56),IF(R56=X56,MAX(T56,V56,Z56),0))</f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R57+S57+IF(OR(H57="Junior",H57="Senior"),0.0002,IF(OR(H57="L7",H57="L6"),0.0001,0))+MAX(X57,Z57)*0.0000001</f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MAX(T57,X57)</f>
        <v>39.700000000000003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R58+S58+IF(OR(H58="Junior",H58="Senior"),0.0002,IF(OR(H58="L7",H58="L6"),0.0001,0))+MAX(X58,Z58)*0.0000001</f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MAX(T58,X58)</f>
        <v>39.200000000000003</v>
      </c>
      <c r="S58" s="4">
        <f>IF(R58=T58,MAX(V58,X58,Z58),IF(R58=X58,MAX(T58,V58,Z58),0))</f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R59+S59+IF(OR(H59="Junior",H59="Senior"),0.0002,IF(OR(H59="L7",H59="L6"),0.0001,0))+MAX(X59,Z59)*0.0000001</f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MAX(T59,X59)</f>
        <v>37.700000000000003</v>
      </c>
      <c r="S59" s="4">
        <f>IF(R59=T59,MAX(V59,X59,Z59),IF(R59=X59,MAX(T59,V59,Z59),0))</f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>IF(A60&lt;5,IF(_xlfn.MAXIFS(A:A,G:G,G60)&gt;3,5-A60,_xlfn.MAXIFS(A:A,G:G,G60)+1-A60),"")</f>
        <v>3</v>
      </c>
      <c r="R60" s="4">
        <f>MAX(T60,X60)</f>
        <v>49.3</v>
      </c>
      <c r="S60" s="4">
        <f>IF(R60=T60,MAX(V60,X60,Z60),IF(R60=X60,MAX(T60,V60,Z60),0))</f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47.1</v>
      </c>
      <c r="S61" s="4">
        <f>IF(R61=T61,MAX(V61,X61,Z61),IF(R61=X61,MAX(T61,V61,Z61),0))</f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>R62+S62+IF(OR(H62="Junior",H62="Senior"),0.0002,IF(OR(H62="L7",H62="L6"),0.0001,0))+MAX(X62,Z62)*0.0000001</f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>IF(A62&lt;5,IF(_xlfn.MAXIFS(A:A,G:G,G62)&gt;3,5-A62,_xlfn.MAXIFS(A:A,G:G,G62)+1-A62),"")</f>
        <v>1</v>
      </c>
      <c r="R62" s="4">
        <f>MAX(T62,X62)</f>
        <v>44.6</v>
      </c>
      <c r="S62" s="4">
        <f>IF(R62=T62,MAX(V62,X62,Z62),IF(R62=X62,MAX(T62,V62,Z62),0))</f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>R63+S63+IF(OR(H63="Junior",H63="Senior"),0.0002,IF(OR(H63="L7",H63="L6"),0.0001,0))+MAX(X63,Z63)*0.0000001</f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MAX(T63,X63)</f>
        <v>44.7</v>
      </c>
      <c r="S63" s="4">
        <f>IF(R63=T63,MAX(V63,X63,Z63),IF(R63=X63,MAX(T63,V63,Z63),0))</f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>R64+S64+IF(OR(H64="Junior",H64="Senior"),0.0002,IF(OR(H64="L7",H64="L6"),0.0001,0))+MAX(X64,Z64)*0.0000001</f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MAX(T64,X64)</f>
        <v>45.2</v>
      </c>
      <c r="S64" s="4">
        <f>IF(R64=T64,MAX(V64,X64,Z64),IF(R64=X64,MAX(T64,V64,Z64),0))</f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MAX(T65,X65)</f>
        <v>44.2</v>
      </c>
      <c r="S65" s="4">
        <f>IF(R65=T65,MAX(V65,X65,Z65),IF(R65=X65,MAX(T65,V65,Z65),0))</f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MAX(T66,X66)</f>
        <v>43.8</v>
      </c>
      <c r="S66" s="4">
        <f>IF(R66=T66,MAX(V66,X66,Z66),IF(R66=X66,MAX(T66,V66,Z66),0))</f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MAX(T67,X67)</f>
        <v>43.7</v>
      </c>
      <c r="S67" s="4">
        <f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MAX(T68,X68)</f>
        <v>43.6</v>
      </c>
      <c r="S68" s="4">
        <f>IF(R68=T68,MAX(V68,X68,Z68),IF(R68=X68,MAX(T68,V68,Z68),0))</f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R69+S69+IF(OR(H69="Junior",H69="Senior"),0.0002,IF(OR(H69="L7",H69="L6"),0.0001,0))+MAX(X69,Z69)*0.0000001</f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MAX(T69,X69)</f>
        <v>43.1</v>
      </c>
      <c r="S69" s="4">
        <f>IF(R69=T69,MAX(V69,X69,Z69),IF(R69=X69,MAX(T69,V69,Z69),0))</f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>R70+S70+IF(OR(H70="Junior",H70="Senior"),0.0002,IF(OR(H70="L7",H70="L6"),0.0001,0))+MAX(X70,Z70)*0.0000001</f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MAX(T70,X70)</f>
        <v>43.8</v>
      </c>
      <c r="S70" s="4">
        <f>IF(R70=T70,MAX(V70,X70,Z70),IF(R70=X70,MAX(T70,V70,Z70),0))</f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MAX(T71,X71)</f>
        <v>43.4</v>
      </c>
      <c r="S71" s="4">
        <f>IF(R71=T71,MAX(V71,X71,Z71),IF(R71=X71,MAX(T71,V71,Z71),0))</f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>R72+S72+IF(OR(H72="Junior",H72="Senior"),0.0002,IF(OR(H72="L7",H72="L6"),0.0001,0))+MAX(X72,Z72)*0.0000001</f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MAX(T72,X72)</f>
        <v>43.5</v>
      </c>
      <c r="S72" s="4">
        <f>IF(R72=T72,MAX(V72,X72,Z72),IF(R72=X72,MAX(T72,V72,Z72),0))</f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R73+S73+IF(OR(H73="Junior",H73="Senior"),0.0002,IF(OR(H73="L7",H73="L6"),0.0001,0))+MAX(X73,Z73)*0.0000001</f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MAX(T73,X73)</f>
        <v>42.5</v>
      </c>
      <c r="S73" s="4">
        <f>IF(R73=T73,MAX(V73,X73,Z73),IF(R73=X73,MAX(T73,V73,Z73),0))</f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MAX(T74,X74)</f>
        <v>43.7</v>
      </c>
      <c r="S74" s="4">
        <f>IF(R74=T74,MAX(V74,X74,Z74),IF(R74=X74,MAX(T74,V74,Z74),0))</f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>R75+S75+IF(OR(H75="Junior",H75="Senior"),0.0002,IF(OR(H75="L7",H75="L6"),0.0001,0))+MAX(X75,Z75)*0.0000001</f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MAX(T75,X75)</f>
        <v>43.1</v>
      </c>
      <c r="S75" s="4">
        <f>IF(R75=T75,MAX(V75,X75,Z75),IF(R75=X75,MAX(T75,V75,Z75),0))</f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R76+S76+IF(OR(H76="Junior",H76="Senior"),0.0002,IF(OR(H76="L7",H76="L6"),0.0001,0))+MAX(X76,Z76)*0.0000001</f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MAX(T76,X76)</f>
        <v>43.1</v>
      </c>
      <c r="S76" s="4">
        <f>IF(R76=T76,MAX(V76,X76,Z76),IF(R76=X76,MAX(T76,V76,Z76),0))</f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MAX(T77,X77)</f>
        <v>42.3</v>
      </c>
      <c r="S77" s="4">
        <f>IF(R77=T77,MAX(V77,X77,Z77),IF(R77=X77,MAX(T77,V77,Z77),0))</f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>R78+S78+IF(OR(H78="Junior",H78="Senior"),0.0002,IF(OR(H78="L7",H78="L6"),0.0001,0))+MAX(X78,Z78)*0.0000001</f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MAX(T78,X78)</f>
        <v>43.5</v>
      </c>
      <c r="S78" s="4">
        <f>IF(R78=T78,MAX(V78,X78,Z78),IF(R78=X78,MAX(T78,V78,Z78),0))</f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>R79+S79+IF(OR(H79="Junior",H79="Senior"),0.0002,IF(OR(H79="L7",H79="L6"),0.0001,0))+MAX(X79,Z79)*0.0000001</f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MAX(T79,X79)</f>
        <v>41.8</v>
      </c>
      <c r="S79" s="4">
        <f>IF(R79=T79,MAX(V79,X79,Z79),IF(R79=X79,MAX(T79,V79,Z79),0))</f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>R80+S80+IF(OR(H80="Junior",H80="Senior"),0.0002,IF(OR(H80="L7",H80="L6"),0.0001,0))+MAX(X80,Z80)*0.0000001</f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MAX(T80,X80)</f>
        <v>42.7</v>
      </c>
      <c r="S80" s="4">
        <f>IF(R80=T80,MAX(V80,X80,Z80),IF(R80=X80,MAX(T80,V80,Z80),0))</f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MAX(T81,X81)</f>
        <v>40.700000000000003</v>
      </c>
      <c r="S81" s="4">
        <f>IF(R81=T81,MAX(V81,X81,Z81),IF(R81=X81,MAX(T81,V81,Z81),0))</f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MAX(T82,X82)</f>
        <v>42</v>
      </c>
      <c r="S82" s="4">
        <f>IF(R82=T82,MAX(V82,X82,Z82),IF(R82=X82,MAX(T82,V82,Z82),0))</f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>R83+S83+IF(OR(H83="Junior",H83="Senior"),0.0002,IF(OR(H83="L7",H83="L6"),0.0001,0))+MAX(X83,Z83)*0.0000001</f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MAX(T83,X83)</f>
        <v>40.9</v>
      </c>
      <c r="S83" s="4">
        <f>IF(R83=T83,MAX(V83,X83,Z83),IF(R83=X83,MAX(T83,V83,Z83),0))</f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MAX(T84,X84)</f>
        <v>39.200000000000003</v>
      </c>
      <c r="S84" s="4">
        <f>IF(R84=T84,MAX(V84,X84,Z84),IF(R84=X84,MAX(T84,V84,Z84),0))</f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MAX(T85,X85)</f>
        <v>42.1</v>
      </c>
      <c r="S85" s="4">
        <f>IF(R85=T85,MAX(V85,X85,Z85),IF(R85=X85,MAX(T85,V85,Z85),0))</f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R86+S86+IF(OR(H86="Junior",H86="Senior"),0.0002,IF(OR(H86="L7",H86="L6"),0.0001,0))+MAX(X86,Z86)*0.0000001</f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MAX(T86,X86)</f>
        <v>44.6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R87+S87+IF(OR(H87="Junior",H87="Senior"),0.0002,IF(OR(H87="L7",H87="L6"),0.0001,0))+MAX(X87,Z87)*0.0000001</f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MAX(T87,X87)</f>
        <v>40.6</v>
      </c>
      <c r="S87" s="4">
        <f>IF(R87=T87,MAX(V87,X87,Z87),IF(R87=X87,MAX(T87,V87,Z87),0))</f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>R88+S88+IF(OR(H88="Junior",H88="Senior"),0.0002,IF(OR(H88="L7",H88="L6"),0.0001,0))+MAX(X88,Z88)*0.0000001</f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MAX(T88,X88)</f>
        <v>38.799999999999997</v>
      </c>
      <c r="S88" s="4">
        <f>IF(R88=T88,MAX(V88,X88,Z88),IF(R88=X88,MAX(T88,V88,Z88),0))</f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>R89+S89+IF(OR(H89="Junior",H89="Senior"),0.0002,IF(OR(H89="L7",H89="L6"),0.0001,0))+MAX(X89,Z89)*0.0000001</f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MAX(T89,X89)</f>
        <v>37.700000000000003</v>
      </c>
      <c r="S89" s="4">
        <f>IF(R89=T89,MAX(V89,X89,Z89),IF(R89=X89,MAX(T89,V89,Z89),0))</f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R90+S90+IF(OR(H90="Junior",H90="Senior"),0.0002,IF(OR(H90="L7",H90="L6"),0.0001,0))+MAX(X90,Z90)*0.0000001</f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MAX(T90,X90)</f>
        <v>37.1</v>
      </c>
      <c r="S90" s="4">
        <f>IF(R90=T90,MAX(V90,X90,Z90),IF(R90=X90,MAX(T90,V90,Z90),0))</f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>R91+S91+IF(OR(H91="Junior",H91="Senior"),0.0002,IF(OR(H91="L7",H91="L6"),0.0001,0))+MAX(X91,Z91)*0.0000001</f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>IF(A91&lt;5,IF(_xlfn.MAXIFS(A:A,G:G,G91)&gt;3,5-A91,_xlfn.MAXIFS(A:A,G:G,G91)+1-A91),"")</f>
        <v>4</v>
      </c>
      <c r="R91" s="4">
        <f>MAX(T91,X91)</f>
        <v>51.1</v>
      </c>
      <c r="S91" s="4">
        <f>IF(R91=T91,MAX(V91,X91,Z91),IF(R91=X91,MAX(T91,V91,Z91),0))</f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>R92+S92+IF(OR(H92="Junior",H92="Senior"),0.0002,IF(OR(H92="L7",H92="L6"),0.0001,0))+MAX(X92,Z92)*0.0000001</f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>IF(A92&lt;5,IF(_xlfn.MAXIFS(A:A,G:G,G92)&gt;3,5-A92,_xlfn.MAXIFS(A:A,G:G,G92)+1-A92),"")</f>
        <v>3</v>
      </c>
      <c r="R92" s="4">
        <f>MAX(T92,X92)</f>
        <v>46.6</v>
      </c>
      <c r="S92" s="4">
        <f>IF(R92=T92,MAX(V92,X92,Z92),IF(R92=X92,MAX(T92,V92,Z92),0))</f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>R93+S93+IF(OR(H93="Junior",H93="Senior"),0.0002,IF(OR(H93="L7",H93="L6"),0.0001,0))+MAX(X93,Z93)*0.0000001</f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>IF(A93&lt;5,IF(_xlfn.MAXIFS(A:A,G:G,G93)&gt;3,5-A93,_xlfn.MAXIFS(A:A,G:G,G93)+1-A93),"")</f>
        <v>2</v>
      </c>
      <c r="R93" s="4">
        <f>MAX(T93,X93)</f>
        <v>46.4</v>
      </c>
      <c r="S93" s="4">
        <f>IF(R93=T93,MAX(V93,X93,Z93),IF(R93=X93,MAX(T93,V93,Z93),0))</f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>4</v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 t="s">
        <v>567</v>
      </c>
      <c r="J94" s="4">
        <f>R94+S94+IF(OR(H94="Junior",H94="Senior"),0.0002,IF(OR(H94="L7",H94="L6"),0.0001,0))+MAX(X94,Z94)*0.0000001</f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>
        <f>IF(A94&lt;5,IF(_xlfn.MAXIFS(A:A,G:G,G94)&gt;3,5-A94,_xlfn.MAXIFS(A:A,G:G,G94)+1-A94),"")</f>
        <v>1</v>
      </c>
      <c r="R94" s="4">
        <f>MAX(T94,X94)</f>
        <v>43.7</v>
      </c>
      <c r="S94" s="4">
        <f>IF(R94=T94,MAX(V94,X94,Z94),IF(R94=X94,MAX(T94,V94,Z94),0))</f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>R95+S95+IF(OR(H95="Junior",H95="Senior"),0.0002,IF(OR(H95="L7",H95="L6"),0.0001,0))+MAX(X95,Z95)*0.0000001</f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>IF(A95&lt;5,IF(_xlfn.MAXIFS(A:A,G:G,G95)&gt;3,5-A95,_xlfn.MAXIFS(A:A,G:G,G95)+1-A95),"")</f>
        <v/>
      </c>
      <c r="R95" s="4">
        <f>MAX(T95,X95)</f>
        <v>43.8</v>
      </c>
      <c r="S95" s="4">
        <f>IF(R95=T95,MAX(V95,X95,Z95),IF(R95=X95,MAX(T95,V95,Z95),0))</f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>R96+S96+IF(OR(H96="Junior",H96="Senior"),0.0002,IF(OR(H96="L7",H96="L6"),0.0001,0))+MAX(X96,Z96)*0.0000001</f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>IF(A96&lt;5,IF(_xlfn.MAXIFS(A:A,G:G,G96)&gt;3,5-A96,_xlfn.MAXIFS(A:A,G:G,G96)+1-A96),"")</f>
        <v/>
      </c>
      <c r="R96" s="4">
        <f>MAX(T96,X96)</f>
        <v>43.2</v>
      </c>
      <c r="S96" s="4">
        <f>IF(R96=T96,MAX(V96,X96,Z96),IF(R96=X96,MAX(T96,V96,Z96),0))</f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>R97+S97+IF(OR(H97="Junior",H97="Senior"),0.0002,IF(OR(H97="L7",H97="L6"),0.0001,0))+MAX(X97,Z97)*0.0000001</f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>IF(A97&lt;5,IF(_xlfn.MAXIFS(A:A,G:G,G97)&gt;3,5-A97,_xlfn.MAXIFS(A:A,G:G,G97)+1-A97),"")</f>
        <v/>
      </c>
      <c r="R97" s="4">
        <f>MAX(T97,X97)</f>
        <v>43.1</v>
      </c>
      <c r="S97" s="4">
        <f>IF(R97=T97,MAX(V97,X97,Z97),IF(R97=X97,MAX(T97,V97,Z97),0))</f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>R98+S98+IF(OR(H98="Junior",H98="Senior"),0.0002,IF(OR(H98="L7",H98="L6"),0.0001,0))+MAX(X98,Z98)*0.0000001</f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>IF(A98&lt;5,IF(_xlfn.MAXIFS(A:A,G:G,G98)&gt;3,5-A98,_xlfn.MAXIFS(A:A,G:G,G98)+1-A98),"")</f>
        <v/>
      </c>
      <c r="R98" s="4">
        <f>MAX(T98,X98)</f>
        <v>43</v>
      </c>
      <c r="S98" s="4">
        <f>IF(R98=T98,MAX(V98,X98,Z98),IF(R98=X98,MAX(T98,V98,Z98),0))</f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>IF(A99&lt;5,IF(_xlfn.MAXIFS(A:A,G:G,G99)&gt;3,5-A99,_xlfn.MAXIFS(A:A,G:G,G99)+1-A99),"")</f>
        <v/>
      </c>
      <c r="R99" s="4">
        <f>MAX(T99,X99)</f>
        <v>43.3</v>
      </c>
      <c r="S99" s="4">
        <f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>R100+S100+IF(OR(H100="Junior",H100="Senior"),0.0002,IF(OR(H100="L7",H100="L6"),0.0001,0))+MAX(X100,Z100)*0.0000001</f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>IF(A100&lt;5,IF(_xlfn.MAXIFS(A:A,G:G,G100)&gt;3,5-A100,_xlfn.MAXIFS(A:A,G:G,G100)+1-A100),"")</f>
        <v/>
      </c>
      <c r="R100" s="4">
        <f>MAX(T100,X100)</f>
        <v>38.9</v>
      </c>
      <c r="S100" s="4">
        <f>IF(R100=T100,MAX(V100,X100,Z100),IF(R100=X100,MAX(T100,V100,Z100),0))</f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>R101+S101+IF(OR(H101="Junior",H101="Senior"),0.0002,IF(OR(H101="L7",H101="L6"),0.0001,0))+MAX(X101,Z101)*0.0000001</f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>IF(A101&lt;5,IF(_xlfn.MAXIFS(A:A,G:G,G101)&gt;3,5-A101,_xlfn.MAXIFS(A:A,G:G,G101)+1-A101),"")</f>
        <v/>
      </c>
      <c r="R101" s="4">
        <f>MAX(T101,X101)</f>
        <v>41.2</v>
      </c>
      <c r="S101" s="4">
        <f>IF(R101=T101,MAX(V101,X101,Z101),IF(R101=X101,MAX(T101,V101,Z101),0))</f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>R102+S102+IF(OR(H102="Junior",H102="Senior"),0.0002,IF(OR(H102="L7",H102="L6"),0.0001,0))+MAX(X102,Z102)*0.0000001</f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>IF(A102&lt;5,IF(_xlfn.MAXIFS(A:A,G:G,G102)&gt;3,5-A102,_xlfn.MAXIFS(A:A,G:G,G102)+1-A102),"")</f>
        <v/>
      </c>
      <c r="R102" s="4">
        <f>MAX(T102,X102)</f>
        <v>41.5</v>
      </c>
      <c r="S102" s="4">
        <f>IF(R102=T102,MAX(V102,X102,Z102),IF(R102=X102,MAX(T102,V102,Z102),0))</f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R103+S103+IF(OR(H103="Junior",H103="Senior"),0.0002,IF(OR(H103="L7",H103="L6"),0.0001,0))+MAX(X103,Z103)*0.0000001</f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>IF(A103&lt;5,IF(_xlfn.MAXIFS(A:A,G:G,G103)&gt;3,5-A103,_xlfn.MAXIFS(A:A,G:G,G103)+1-A103),"")</f>
        <v/>
      </c>
      <c r="R103" s="4">
        <f>MAX(T103,X103)</f>
        <v>39.4</v>
      </c>
      <c r="S103" s="4">
        <f>IF(R103=T103,MAX(V103,X103,Z103),IF(R103=X103,MAX(T103,V103,Z103),0))</f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R104+S104+IF(OR(H104="Junior",H104="Senior"),0.0002,IF(OR(H104="L7",H104="L6"),0.0001,0))+MAX(X104,Z104)*0.0000001</f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>IF(A104&lt;5,IF(_xlfn.MAXIFS(A:A,G:G,G104)&gt;3,5-A104,_xlfn.MAXIFS(A:A,G:G,G104)+1-A104),"")</f>
        <v/>
      </c>
      <c r="R104" s="4">
        <f>MAX(T104,X104)</f>
        <v>38.9</v>
      </c>
      <c r="S104" s="4">
        <f>IF(R104=T104,MAX(V104,X104,Z104),IF(R104=X104,MAX(T104,V104,Z104),0))</f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04">
      <sortCondition descending="1" ref="G1:G105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>IF(A3&lt;5,IF(_xlfn.MAXIFS(A:A,G:G,G3)&gt;3,5-A3,_xlfn.MAXIFS(A:A,G:G,G3)+1-A3),"")</f>
        <v>4</v>
      </c>
      <c r="R3" s="4">
        <f>MAX(T3,X3)</f>
        <v>45.7</v>
      </c>
      <c r="S3" s="4">
        <f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>IF(A4&lt;5,IF(_xlfn.MAXIFS(A:A,G:G,G4)&gt;3,5-A4,_xlfn.MAXIFS(A:A,G:G,G4)+1-A4),"")</f>
        <v>3</v>
      </c>
      <c r="R4" s="4">
        <f>MAX(T4,X4)</f>
        <v>45.9</v>
      </c>
      <c r="S4" s="4">
        <f>IF(R4=T4,MAX(V4,X4,Z4),IF(R4=X4,MAX(T4,V4,Z4),0))</f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>R5+S5+IF(OR(H5="Junior",H5="Senior"),0.0002,IF(OR(H5="L7",H5="L6"),0.0001,0))+MAX(X5,Z5)*0.0000001</f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>IF(A5&lt;5,IF(_xlfn.MAXIFS(A:A,G:G,G5)&gt;3,5-A5,_xlfn.MAXIFS(A:A,G:G,G5)+1-A5),"")</f>
        <v>2</v>
      </c>
      <c r="R5" s="4">
        <f>MAX(T5,X5)</f>
        <v>45.3</v>
      </c>
      <c r="S5" s="4">
        <f>IF(R5=T5,MAX(V5,X5,Z5),IF(R5=X5,MAX(T5,V5,Z5),0))</f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>IF(A6&lt;5,IF(_xlfn.MAXIFS(A:A,G:G,G6)&gt;3,5-A6,_xlfn.MAXIFS(A:A,G:G,G6)+1-A6),"")</f>
        <v>1</v>
      </c>
      <c r="R6" s="4">
        <f>MAX(T6,X6)</f>
        <v>45.2</v>
      </c>
      <c r="S6" s="4">
        <f>IF(R6=T6,MAX(V6,X6,Z6),IF(R6=X6,MAX(T6,V6,Z6),0))</f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>R8+S8+IF(OR(H8="Junior",H8="Senior"),0.0002,IF(OR(H8="L7",H8="L6"),0.0001,0))+MAX(X8,Z8)*0.0000001</f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>MAX(T8,X8)</f>
        <v>45.4</v>
      </c>
      <c r="S8" s="4">
        <f>IF(R8=T8,MAX(V8,X8,Z8),IF(R8=X8,MAX(T8,V8,Z8),0))</f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>R9+S9+IF(OR(H9="Junior",H9="Senior"),0.0002,IF(OR(H9="L7",H9="L6"),0.0001,0))+MAX(X9,Z9)*0.0000001</f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>MAX(T9,X9)</f>
        <v>44.1</v>
      </c>
      <c r="S9" s="4">
        <f>IF(R9=T9,MAX(V9,X9,Z9),IF(R9=X9,MAX(T9,V9,Z9),0))</f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R10+S10+IF(OR(H10="Junior",H10="Senior"),0.0002,IF(OR(H10="L7",H10="L6"),0.0001,0))+MAX(X10,Z10)*0.0000001</f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>IF(A10&lt;5,IF(_xlfn.MAXIFS(A:A,G:G,G10)&gt;3,5-A10,_xlfn.MAXIFS(A:A,G:G,G10)+1-A10),"")</f>
        <v/>
      </c>
      <c r="R10" s="4">
        <f>MAX(T10,X10)</f>
        <v>51.6</v>
      </c>
      <c r="S10" s="4">
        <f>IF(R10=T10,MAX(V10,X10,Z10),IF(R10=X10,MAX(T10,V10,Z10),0))</f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>R11+S11+IF(OR(H11="Junior",H11="Senior"),0.0002,IF(OR(H11="L7",H11="L6"),0.0001,0))+MAX(X11,Z11)*0.0000001</f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>IF(A11&lt;5,IF(_xlfn.MAXIFS(A:A,G:G,G11)&gt;3,5-A11,_xlfn.MAXIFS(A:A,G:G,G11)+1-A11),"")</f>
        <v/>
      </c>
      <c r="R11" s="4">
        <f>MAX(T11,X11)</f>
        <v>51</v>
      </c>
      <c r="S11" s="4">
        <f>IF(R11=T11,MAX(V11,X11,Z11),IF(R11=X11,MAX(T11,V11,Z11),0))</f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>R12+S12+IF(OR(H12="Junior",H12="Senior"),0.0002,IF(OR(H12="L7",H12="L6"),0.0001,0))+MAX(X12,Z12)*0.0000001</f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>IF(A12&lt;5,IF(_xlfn.MAXIFS(A:A,G:G,G12)&gt;3,5-A12,_xlfn.MAXIFS(A:A,G:G,G12)+1-A12),"")</f>
        <v/>
      </c>
      <c r="R12" s="4">
        <f>MAX(T12,X12)</f>
        <v>45.9</v>
      </c>
      <c r="S12" s="4">
        <f>IF(R12=T12,MAX(V12,X12,Z12),IF(R12=X12,MAX(T12,V12,Z12),0))</f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MAX(T13,X13)</f>
        <v>42.2</v>
      </c>
      <c r="S13" s="4">
        <f>IF(R13=T13,MAX(V13,X13,Z13),IF(R13=X13,MAX(T13,V13,Z13),0))</f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R14+S14+IF(OR(H14="Junior",H14="Senior"),0.0002,IF(OR(H14="L7",H14="L6"),0.0001,0))+MAX(X14,Z14)*0.0000001</f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MAX(T14,X14)</f>
        <v>42.4</v>
      </c>
      <c r="S14" s="4">
        <f>IF(R14=T14,MAX(V14,X14,Z14),IF(R14=X14,MAX(T14,V14,Z14),0))</f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MAX(T15,X15)</f>
        <v>39.9</v>
      </c>
      <c r="S15" s="4">
        <f>IF(R15=T15,MAX(V15,X15,Z15),IF(R15=X15,MAX(T15,V15,Z15),0))</f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MAX(T16,X16)</f>
        <v>40.799999999999997</v>
      </c>
      <c r="S16" s="4">
        <f>IF(R16=T16,MAX(V16,X16,Z16),IF(R16=X16,MAX(T16,V16,Z16),0))</f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MAX(T17,X17)</f>
        <v>40.799999999999997</v>
      </c>
      <c r="S17" s="4">
        <f>IF(R17=T17,MAX(V17,X17,Z17),IF(R17=X17,MAX(T17,V17,Z17),0))</f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MAX(T18,X18)</f>
        <v>39.799999999999997</v>
      </c>
      <c r="S18" s="4">
        <f>IF(R18=T18,MAX(V18,X18,Z18),IF(R18=X18,MAX(T18,V18,Z18),0))</f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>R19+S19+IF(OR(H19="Junior",H19="Senior"),0.0002,IF(OR(H19="L7",H19="L6"),0.0001,0))+MAX(X19,Z19)*0.0000001</f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MAX(T19,X19)</f>
        <v>41.6</v>
      </c>
      <c r="S19" s="4">
        <f>IF(R19=T19,MAX(V19,X19,Z19),IF(R19=X19,MAX(T19,V19,Z19),0))</f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>R20+S20+IF(OR(H20="Junior",H20="Senior"),0.0002,IF(OR(H20="L7",H20="L6"),0.0001,0))+MAX(X20,Z20)*0.0000001</f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MAX(T20,X20)</f>
        <v>37.799999999999997</v>
      </c>
      <c r="S20" s="4">
        <f>IF(R20=T20,MAX(V20,X20,Z20),IF(R20=X20,MAX(T20,V20,Z20),0))</f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MAX(T21,X21)</f>
        <v>39.4</v>
      </c>
      <c r="S21" s="4">
        <f>IF(R21=T21,MAX(V21,X21,Z21),IF(R21=X21,MAX(T21,V21,Z21),0))</f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>R22+S22+IF(OR(H22="Junior",H22="Senior"),0.0002,IF(OR(H22="L7",H22="L6"),0.0001,0))+MAX(X22,Z22)*0.0000001</f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MAX(T22,X22)</f>
        <v>38.799999999999997</v>
      </c>
      <c r="S22" s="4">
        <f>IF(R22=T22,MAX(V22,X22,Z22),IF(R22=X22,MAX(T22,V22,Z22),0))</f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MAX(T23,X23)</f>
        <v>38.1</v>
      </c>
      <c r="S23" s="4">
        <f>IF(R23=T23,MAX(V23,X23,Z23),IF(R23=X23,MAX(T23,V23,Z23),0))</f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>R24+S24+IF(OR(H24="Junior",H24="Senior"),0.0002,IF(OR(H24="L7",H24="L6"),0.0001,0))+MAX(X24,Z24)*0.0000001</f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MAX(T24,X24)</f>
        <v>38.1</v>
      </c>
      <c r="S24" s="4">
        <f>IF(R24=T24,MAX(V24,X24,Z24),IF(R24=X24,MAX(T24,V24,Z24),0))</f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MAX(T25,X25)</f>
        <v>38.799999999999997</v>
      </c>
      <c r="S25" s="4">
        <f>IF(R25=T25,MAX(V25,X25,Z25),IF(R25=X25,MAX(T25,V25,Z25),0))</f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MAX(T26,X26)</f>
        <v>37.299999999999997</v>
      </c>
      <c r="S26" s="4">
        <f>IF(R26=T26,MAX(V26,X26,Z26),IF(R26=X26,MAX(T26,V26,Z26),0))</f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MAX(T27,X27)</f>
        <v>37</v>
      </c>
      <c r="S27" s="4">
        <f>IF(R27=T27,MAX(V27,X27,Z27),IF(R27=X27,MAX(T27,V27,Z27),0))</f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MAX(T28,X28)</f>
        <v>34.4</v>
      </c>
      <c r="S28" s="4">
        <f>IF(R28=T28,MAX(V28,X28,Z28),IF(R28=X28,MAX(T28,V28,Z28),0))</f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MAX(T29,X29)</f>
        <v>33.700000000000003</v>
      </c>
      <c r="S29" s="4">
        <f>IF(R29=T29,MAX(V29,X29,Z29),IF(R29=X29,MAX(T29,V29,Z29),0))</f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MAX(T30,X30)</f>
        <v>32.9</v>
      </c>
      <c r="S30" s="4">
        <f>IF(R30=T30,MAX(V30,X30,Z30),IF(R30=X30,MAX(T30,V30,Z30),0))</f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MAX(T31,X31)</f>
        <v>32.9</v>
      </c>
      <c r="S31" s="4">
        <f>IF(R31=T31,MAX(V31,X31,Z31),IF(R31=X31,MAX(T31,V31,Z31),0))</f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>R32+S32+IF(OR(H32="Junior",H32="Senior"),0.0002,IF(OR(H32="L7",H32="L6"),0.0001,0))+MAX(X32,Z32)*0.0000001</f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>IF(A32&lt;5,IF(_xlfn.MAXIFS(A:A,G:G,G32)&gt;3,5-A32,_xlfn.MAXIFS(A:A,G:G,G32)+1-A32),"")</f>
        <v>3</v>
      </c>
      <c r="R32" s="4">
        <f>MAX(T32,X32)</f>
        <v>43.2</v>
      </c>
      <c r="S32" s="4">
        <f>IF(R32=T32,MAX(V32,X32,Z32),IF(R32=X32,MAX(T32,V32,Z32),0))</f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>R33+S33+IF(OR(H33="Junior",H33="Senior"),0.0002,IF(OR(H33="L7",H33="L6"),0.0001,0))+MAX(X33,Z33)*0.0000001</f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>IF(A33&lt;5,IF(_xlfn.MAXIFS(A:A,G:G,G33)&gt;3,5-A33,_xlfn.MAXIFS(A:A,G:G,G33)+1-A33),"")</f>
        <v>2</v>
      </c>
      <c r="R33" s="4">
        <f>MAX(T33,X33)</f>
        <v>40.5</v>
      </c>
      <c r="S33" s="4">
        <f>IF(R33=T33,MAX(V33,X33,Z33),IF(R33=X33,MAX(T33,V33,Z33),0))</f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>R34+S34+IF(OR(H34="Junior",H34="Senior"),0.0002,IF(OR(H34="L7",H34="L6"),0.0001,0))+MAX(X34,Z34)*0.0000001</f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>IF(A34&lt;5,IF(_xlfn.MAXIFS(A:A,G:G,G34)&gt;3,5-A34,_xlfn.MAXIFS(A:A,G:G,G34)+1-A34),"")</f>
        <v>1</v>
      </c>
      <c r="R34" s="4">
        <f>MAX(T34,X34)</f>
        <v>43.8</v>
      </c>
      <c r="S34" s="4">
        <f>IF(R34=T34,MAX(V34,X34,Z34),IF(R34=X34,MAX(T34,V34,Z34),0))</f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>R35+S35+IF(OR(H35="Junior",H35="Senior"),0.0002,IF(OR(H35="L7",H35="L6"),0.0001,0))+MAX(X35,Z35)*0.0000001</f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MAX(T35,X35)</f>
        <v>41.9</v>
      </c>
      <c r="S35" s="4">
        <f>IF(R35=T35,MAX(V35,X35,Z35),IF(R35=X35,MAX(T35,V35,Z35),0))</f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>R36+S36+IF(OR(H36="Junior",H36="Senior"),0.0002,IF(OR(H36="L7",H36="L6"),0.0001,0))+MAX(X36,Z36)*0.0000001</f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MAX(T36,X36)</f>
        <v>41.5</v>
      </c>
      <c r="S36" s="4">
        <f>IF(R36=T36,MAX(V36,X36,Z36),IF(R36=X36,MAX(T36,V36,Z36),0))</f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>R37+S37+IF(OR(H37="Junior",H37="Senior"),0.0002,IF(OR(H37="L7",H37="L6"),0.0001,0))+MAX(X37,Z37)*0.0000001</f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MAX(T37,X37)</f>
        <v>38.9</v>
      </c>
      <c r="S37" s="4">
        <f>IF(R37=T37,MAX(V37,X37,Z37),IF(R37=X37,MAX(T37,V37,Z37),0))</f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>R38+S38+IF(OR(H38="Junior",H38="Senior"),0.0002,IF(OR(H38="L7",H38="L6"),0.0001,0))+MAX(X38,Z38)*0.0000001</f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MAX(T38,X38)</f>
        <v>37</v>
      </c>
      <c r="S38" s="4">
        <f>IF(R38=T38,MAX(V38,X38,Z38),IF(R38=X38,MAX(T38,V38,Z38),0))</f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>R39+S39+IF(OR(H39="Junior",H39="Senior"),0.0002,IF(OR(H39="L7",H39="L6"),0.0001,0))+MAX(X39,Z39)*0.0000001</f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>IF(A39&lt;5,IF(_xlfn.MAXIFS(A:A,G:G,G39)&gt;3,5-A39,_xlfn.MAXIFS(A:A,G:G,G39)+1-A39),"")</f>
        <v/>
      </c>
      <c r="R39" s="4">
        <f>MAX(T39,X39)</f>
        <v>37.700000000000003</v>
      </c>
      <c r="S39" s="4">
        <f>IF(R39=T39,MAX(V39,X39,Z39),IF(R39=X39,MAX(T39,V39,Z39),0))</f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>R40+S40+IF(OR(H40="Junior",H40="Senior"),0.0002,IF(OR(H40="L7",H40="L6"),0.0001,0))+MAX(X40,Z40)*0.0000001</f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MAX(T40,X40)</f>
        <v>38.5</v>
      </c>
      <c r="S40" s="4">
        <f>IF(R40=T40,MAX(V40,X40,Z40),IF(R40=X40,MAX(T40,V40,Z40),0))</f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>R41+S41+IF(OR(H41="Junior",H41="Senior"),0.0002,IF(OR(H41="L7",H41="L6"),0.0001,0))+MAX(X41,Z41)*0.0000001</f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MAX(T41,X41)</f>
        <v>37.799999999999997</v>
      </c>
      <c r="S41" s="4">
        <f>IF(R41=T41,MAX(V41,X41,Z41),IF(R41=X41,MAX(T41,V41,Z41),0))</f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>R42+S42+IF(OR(H42="Junior",H42="Senior"),0.0002,IF(OR(H42="L7",H42="L6"),0.0001,0))+MAX(X42,Z42)*0.0000001</f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MAX(T42,X42)</f>
        <v>35</v>
      </c>
      <c r="S42" s="4">
        <f>IF(R42=T42,MAX(V42,X42,Z42),IF(R42=X42,MAX(T42,V42,Z42),0))</f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>R43+S43+IF(OR(H43="Junior",H43="Senior"),0.0002,IF(OR(H43="L7",H43="L6"),0.0001,0))+MAX(X43,Z43)*0.0000001</f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MAX(T43,X43)</f>
        <v>36.700000000000003</v>
      </c>
      <c r="S43" s="4">
        <f>IF(R43=T43,MAX(V43,X43,Z43),IF(R43=X43,MAX(T43,V43,Z43),0))</f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>R44+S44+IF(OR(H44="Junior",H44="Senior"),0.0002,IF(OR(H44="L7",H44="L6"),0.0001,0))+MAX(X44,Z44)*0.0000001</f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>IF(A44&lt;5,IF(_xlfn.MAXIFS(A:A,G:G,G44)&gt;3,5-A44,_xlfn.MAXIFS(A:A,G:G,G44)+1-A44),"")</f>
        <v/>
      </c>
      <c r="R44" s="4">
        <f>MAX(T44,X44)</f>
        <v>34.200000000000003</v>
      </c>
      <c r="S44" s="4">
        <f>IF(R44=T44,MAX(V44,X44,Z44),IF(R44=X44,MAX(T44,V44,Z44),0))</f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>R45+S45+IF(OR(H45="Junior",H45="Senior"),0.0002,IF(OR(H45="L7",H45="L6"),0.0001,0))+MAX(X45,Z45)*0.0000001</f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>IF(A45&lt;5,IF(_xlfn.MAXIFS(A:A,G:G,G45)&gt;3,5-A45,_xlfn.MAXIFS(A:A,G:G,G45)+1-A45),"")</f>
        <v/>
      </c>
      <c r="R45" s="4">
        <f>MAX(T45,X45)</f>
        <v>37.5</v>
      </c>
      <c r="S45" s="4">
        <f>IF(R45=T45,MAX(V45,X45,Z45),IF(R45=X45,MAX(T45,V45,Z45),0))</f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>R46+S46+IF(OR(H46="Junior",H46="Senior"),0.0002,IF(OR(H46="L7",H46="L6"),0.0001,0))+MAX(X46,Z46)*0.0000001</f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>IF(A46&lt;5,IF(_xlfn.MAXIFS(A:A,G:G,G46)&gt;3,5-A46,_xlfn.MAXIFS(A:A,G:G,G46)+1-A46),"")</f>
        <v/>
      </c>
      <c r="R46" s="4">
        <f>MAX(T46,X46)</f>
        <v>27.8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>R47+S47+IF(OR(H47="Junior",H47="Senior"),0.0002,IF(OR(H47="L7",H47="L6"),0.0001,0))+MAX(X47,Z47)*0.0000001</f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>IF(A47&lt;5,IF(_xlfn.MAXIFS(A:A,G:G,G47)&gt;3,5-A47,_xlfn.MAXIFS(A:A,G:G,G47)+1-A47),"")</f>
        <v/>
      </c>
      <c r="R47" s="4">
        <f>MAX(T47,X47)</f>
        <v>35.299999999999997</v>
      </c>
      <c r="S47" s="4">
        <f>IF(R47=T47,MAX(V47,X47,Z47),IF(R47=X47,MAX(T47,V47,Z47),0))</f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>R48+S48+IF(OR(H48="Junior",H48="Senior"),0.0002,IF(OR(H48="L7",H48="L6"),0.0001,0))+MAX(X48,Z48)*0.0000001</f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>IF(A48&lt;5,IF(_xlfn.MAXIFS(A:A,G:G,G48)&gt;3,5-A48,_xlfn.MAXIFS(A:A,G:G,G48)+1-A48),"")</f>
        <v/>
      </c>
      <c r="R48" s="4">
        <f>MAX(T48,X48)</f>
        <v>36.6</v>
      </c>
      <c r="S48" s="4">
        <f>IF(R48=T48,MAX(V48,X48,Z48),IF(R48=X48,MAX(T48,V48,Z48),0))</f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>R49+S49+IF(OR(H49="Junior",H49="Senior"),0.0002,IF(OR(H49="L7",H49="L6"),0.0001,0))+MAX(X49,Z49)*0.0000001</f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>IF(A49&lt;5,IF(_xlfn.MAXIFS(A:A,G:G,G49)&gt;3,5-A49,_xlfn.MAXIFS(A:A,G:G,G49)+1-A49),"")</f>
        <v/>
      </c>
      <c r="R49" s="4">
        <f>MAX(T49,X49)</f>
        <v>36.1</v>
      </c>
      <c r="S49" s="4">
        <f>IF(R49=T49,MAX(V49,X49,Z49),IF(R49=X49,MAX(T49,V49,Z49),0))</f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208</v>
      </c>
      <c r="B1" s="67" t="s">
        <v>207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206</v>
      </c>
      <c r="R1" s="67" t="s">
        <v>371</v>
      </c>
      <c r="S1" s="69" t="s">
        <v>372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>IF(A3&lt;5,IF(_xlfn.MAXIFS(A:A,G:G,G3)&gt;3,5-A3,_xlfn.MAXIFS(A:A,G:G,G3)+1-A3),"")</f>
        <v>4</v>
      </c>
      <c r="R3" s="4">
        <f>MAX(T3,X3)</f>
        <v>44.7</v>
      </c>
      <c r="S3" s="4">
        <f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>IF(A4&lt;5,IF(_xlfn.MAXIFS(A:A,G:G,G4)&gt;3,5-A4,_xlfn.MAXIFS(A:A,G:G,G4)+1-A4),"")</f>
        <v>3</v>
      </c>
      <c r="R4" s="4">
        <f>MAX(T4,X4)</f>
        <v>44.7</v>
      </c>
      <c r="S4" s="4">
        <f>IF(R4=T4,MAX(V4,X4,Z4),IF(R4=X4,MAX(T4,V4,Z4),0))</f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>IF(A5&lt;5,IF(_xlfn.MAXIFS(A:A,G:G,G5)&gt;3,5-A5,_xlfn.MAXIFS(A:A,G:G,G5)+1-A5),"")</f>
        <v>2</v>
      </c>
      <c r="R5" s="4">
        <f>MAX(T5,X5)</f>
        <v>42.9</v>
      </c>
      <c r="S5" s="4">
        <f>IF(R5=T5,MAX(V5,X5,Z5),IF(R5=X5,MAX(T5,V5,Z5),0))</f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>IF(A6&lt;5,IF(_xlfn.MAXIFS(A:A,G:G,G6)&gt;3,5-A6,_xlfn.MAXIFS(A:A,G:G,G6)+1-A6),"")</f>
        <v>1</v>
      </c>
      <c r="R6" s="4">
        <f>MAX(T6,X6)</f>
        <v>43.5</v>
      </c>
      <c r="S6" s="4">
        <f>IF(R6=T6,MAX(V6,X6,Z6),IF(R6=X6,MAX(T6,V6,Z6),0))</f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>IF(A8&lt;5,IF(_xlfn.MAXIFS(A:A,G:G,G8)&gt;3,5-A8,_xlfn.MAXIFS(A:A,G:G,G8)+1-A8),"")</f>
        <v/>
      </c>
      <c r="R8" s="4">
        <f>MAX(T8,X8)</f>
        <v>42.1</v>
      </c>
      <c r="S8" s="4">
        <f>IF(R8=T8,MAX(V8,X8,Z8),IF(R8=X8,MAX(T8,V8,Z8),0))</f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>IF(A9&lt;5,IF(_xlfn.MAXIFS(A:A,G:G,G9)&gt;3,5-A9,_xlfn.MAXIFS(A:A,G:G,G9)+1-A9),"")</f>
        <v/>
      </c>
      <c r="R9" s="4">
        <f>MAX(T9,X9)</f>
        <v>38.700000000000003</v>
      </c>
      <c r="S9" s="4">
        <f>IF(R9=T9,MAX(V9,X9,Z9),IF(R9=X9,MAX(T9,V9,Z9),0))</f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>IF(A10&lt;5,IF(_xlfn.MAXIFS(A:A,G:G,G10)&gt;3,5-A10,_xlfn.MAXIFS(A:A,G:G,G10)+1-A10),"")</f>
        <v/>
      </c>
      <c r="R10" s="4">
        <f>MAX(T10,X10)</f>
        <v>37.6</v>
      </c>
      <c r="S10" s="4">
        <f>IF(R10=T10,MAX(V10,X10,Z10),IF(R10=X10,MAX(T10,V10,Z10),0))</f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MAX(T11,X11)</f>
        <v>40.1</v>
      </c>
      <c r="S11" s="4">
        <f>IF(R11=T11,MAX(V11,X11,Z11),IF(R11=X11,MAX(T11,V11,Z11),0))</f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MAX(T12,X12)</f>
        <v>40.9</v>
      </c>
      <c r="S12" s="4">
        <f>IF(R12=T12,MAX(V12,X12,Z12),IF(R12=X12,MAX(T12,V12,Z12),0))</f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MAX(T13,X13)</f>
        <v>41.7</v>
      </c>
      <c r="S13" s="4">
        <f>IF(R13=T13,MAX(V13,X13,Z13),IF(R13=X13,MAX(T13,V13,Z13),0))</f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MAX(T14,X14)</f>
        <v>40.5</v>
      </c>
      <c r="S14" s="4">
        <f>IF(R14=T14,MAX(V14,X14,Z14),IF(R14=X14,MAX(T14,V14,Z14),0))</f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>R15+S15+IF(OR(H15="Junior",H15="Senior"),0.0002,IF(OR(H15="L7",H15="L6"),0.0001,0))+MAX(X15,Z15)*0.0000001</f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MAX(T15,X15)</f>
        <v>39.700000000000003</v>
      </c>
      <c r="S15" s="4">
        <f>IF(R15=T15,MAX(V15,X15,Z15),IF(R15=X15,MAX(T15,V15,Z15),0))</f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MAX(T16,X16)</f>
        <v>39.799999999999997</v>
      </c>
      <c r="S16" s="4">
        <f>IF(R16=T16,MAX(V16,X16,Z16),IF(R16=X16,MAX(T16,V16,Z16),0))</f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>R17+S17+IF(OR(H17="Junior",H17="Senior"),0.0002,IF(OR(H17="L7",H17="L6"),0.0001,0))+MAX(X17,Z17)*0.0000001</f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MAX(T17,X17)</f>
        <v>39.799999999999997</v>
      </c>
      <c r="S17" s="4">
        <f>IF(R17=T17,MAX(V17,X17,Z17),IF(R17=X17,MAX(T17,V17,Z17),0))</f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MAX(T18,X18)</f>
        <v>39.1</v>
      </c>
      <c r="S18" s="4">
        <f>IF(R18=T18,MAX(V18,X18,Z18),IF(R18=X18,MAX(T18,V18,Z18),0))</f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MAX(T19,X19)</f>
        <v>39.1</v>
      </c>
      <c r="S19" s="4">
        <f>IF(R19=T19,MAX(V19,X19,Z19),IF(R19=X19,MAX(T19,V19,Z19),0))</f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MAX(T20,X20)</f>
        <v>38.299999999999997</v>
      </c>
      <c r="S20" s="4">
        <f>IF(R20=T20,MAX(V20,X20,Z20),IF(R20=X20,MAX(T20,V20,Z20),0))</f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MAX(T21,X21)</f>
        <v>38.299999999999997</v>
      </c>
      <c r="S21" s="4">
        <f>IF(R21=T21,MAX(V21,X21,Z21),IF(R21=X21,MAX(T21,V21,Z21),0))</f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>R22+S22+IF(OR(H22="Junior",H22="Senior"),0.0002,IF(OR(H22="L7",H22="L6"),0.0001,0))+MAX(X22,Z22)*0.0000001</f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MAX(T22,X22)</f>
        <v>37.299999999999997</v>
      </c>
      <c r="S22" s="4">
        <f>IF(R22=T22,MAX(V22,X22,Z22),IF(R22=X22,MAX(T22,V22,Z22),0))</f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MAX(T23,X23)</f>
        <v>37</v>
      </c>
      <c r="S23" s="4">
        <f>IF(R23=T23,MAX(V23,X23,Z23),IF(R23=X23,MAX(T23,V23,Z23),0))</f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MAX(T24,X24)</f>
        <v>36.799999999999997</v>
      </c>
      <c r="S24" s="4">
        <f>IF(R24=T24,MAX(V24,X24,Z24),IF(R24=X24,MAX(T24,V24,Z24),0))</f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MAX(T25,X25)</f>
        <v>38.200000000000003</v>
      </c>
      <c r="S25" s="4">
        <f>IF(R25=T25,MAX(V25,X25,Z25),IF(R25=X25,MAX(T25,V25,Z25),0))</f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R26+S26+IF(OR(H26="Junior",H26="Senior"),0.0002,IF(OR(H26="L7",H26="L6"),0.0001,0))+MAX(X26,Z26)*0.0000001</f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MAX(T26,X26)</f>
        <v>37.6</v>
      </c>
      <c r="S26" s="4">
        <f>IF(R26=T26,MAX(V26,X26,Z26),IF(R26=X26,MAX(T26,V26,Z26),0))</f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MAX(T27,X27)</f>
        <v>35.700000000000003</v>
      </c>
      <c r="S27" s="4">
        <f>IF(R27=T27,MAX(V27,X27,Z27),IF(R27=X27,MAX(T27,V27,Z27),0))</f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MAX(T28,X28)</f>
        <v>40.1</v>
      </c>
      <c r="S28" s="4">
        <f>IF(R28=T28,MAX(V28,X28,Z28),IF(R28=X28,MAX(T28,V28,Z28),0))</f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MAX(T29,X29)</f>
        <v>37.4</v>
      </c>
      <c r="S29" s="4">
        <f>IF(R29=T29,MAX(V29,X29,Z29),IF(R29=X29,MAX(T29,V29,Z29),0))</f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MAX(T30,X30)</f>
        <v>35.5</v>
      </c>
      <c r="S30" s="4">
        <f>IF(R30=T30,MAX(V30,X30,Z30),IF(R30=X30,MAX(T30,V30,Z30),0))</f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MAX(T31,X31)</f>
        <v>36.1</v>
      </c>
      <c r="S31" s="4">
        <f>IF(R31=T31,MAX(V31,X31,Z31),IF(R31=X31,MAX(T31,V31,Z31),0))</f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MAX(T32,X32)</f>
        <v>36.36</v>
      </c>
      <c r="S32" s="4">
        <f>IF(R32=T32,MAX(V32,X32,Z32),IF(R32=X32,MAX(T32,V32,Z32),0))</f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>R33+S33+IF(OR(H33="Junior",H33="Senior"),0.0002,IF(OR(H33="L7",H33="L6"),0.0001,0))+MAX(X33,Z33)*0.0000001</f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MAX(T33,X33)</f>
        <v>36.4</v>
      </c>
      <c r="S33" s="4">
        <f>IF(R33=T33,MAX(V33,X33,Z33),IF(R33=X33,MAX(T33,V33,Z33),0))</f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>R34+S34+IF(OR(H34="Junior",H34="Senior"),0.0002,IF(OR(H34="L7",H34="L6"),0.0001,0))+MAX(X34,Z34)*0.0000001</f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MAX(T34,X34)</f>
        <v>32.700000000000003</v>
      </c>
      <c r="S34" s="4">
        <f>IF(R34=T34,MAX(V34,X34,Z34),IF(R34=X34,MAX(T34,V34,Z34),0))</f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MAX(T35,X35)</f>
        <v>33.5</v>
      </c>
      <c r="S35" s="4">
        <f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MAX(T36,X36)</f>
        <v>37.299999999999997</v>
      </c>
      <c r="S36" s="4">
        <f>IF(R36=T36,MAX(V36,X36,Z36),IF(R36=X36,MAX(T36,V36,Z36),0))</f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MAX(T37,X37)</f>
        <v>37.299999999999997</v>
      </c>
      <c r="S37" s="4">
        <f>IF(R37=T37,MAX(V37,X37,Z37),IF(R37=X37,MAX(T37,V37,Z37),0))</f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MAX(T38,X38)</f>
        <v>36.799999999999997</v>
      </c>
      <c r="S38" s="4">
        <f>IF(R38=T38,MAX(V38,X38,Z38),IF(R38=X38,MAX(T38,V38,Z38),0))</f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MAX(T39,X39)</f>
        <v>36.200000000000003</v>
      </c>
      <c r="S39" s="4">
        <f>IF(R39=T39,MAX(V39,X39,Z39),IF(R39=X39,MAX(T39,V39,Z39),0))</f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MAX(T40,X40)</f>
        <v>36.200000000000003</v>
      </c>
      <c r="S40" s="4">
        <f>IF(R40=T40,MAX(V40,X40,Z40),IF(R40=X40,MAX(T40,V40,Z40),0))</f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R41+S41+IF(OR(H41="Junior",H41="Senior"),0.0002,IF(OR(H41="L7",H41="L6"),0.0001,0))+MAX(X41,Z41)*0.0000001</f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MAX(T41,X41)</f>
        <v>36.1</v>
      </c>
      <c r="S41" s="4">
        <f>IF(R41=T41,MAX(V41,X41,Z41),IF(R41=X41,MAX(T41,V41,Z41),0))</f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R42+S42+IF(OR(H42="Junior",H42="Senior"),0.0002,IF(OR(H42="L7",H42="L6"),0.0001,0))+MAX(X42,Z42)*0.0000001</f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MAX(T42,X42)</f>
        <v>35.9</v>
      </c>
      <c r="S42" s="4">
        <f>IF(R42=T42,MAX(V42,X42,Z42),IF(R42=X42,MAX(T42,V42,Z42),0))</f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MAX(T43,X43)</f>
        <v>35.200000000000003</v>
      </c>
      <c r="S43" s="4">
        <f>IF(R43=T43,MAX(V43,X43,Z43),IF(R43=X43,MAX(T43,V43,Z43),0))</f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>R44+S44+IF(OR(H44="Junior",H44="Senior"),0.0002,IF(OR(H44="L7",H44="L6"),0.0001,0))+MAX(X44,Z44)*0.0000001</f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MAX(T44,X44)</f>
        <v>34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MAX(T45,X45)</f>
        <v>33.4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MAX(T46,X46)</f>
        <v>32.299999999999997</v>
      </c>
      <c r="S46" s="4">
        <f>IF(R46=T46,MAX(V46,X46,Z46),IF(R46=X46,MAX(T46,V46,Z46),0))</f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MAX(T47,X47)</f>
        <v>32.200000000000003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MAX(T48,X48)</f>
        <v>30.5</v>
      </c>
      <c r="S48" s="4">
        <f>IF(R48=T48,MAX(V48,X48,Z48),IF(R48=X48,MAX(T48,V48,Z48),0))</f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MAX(T49,X49)</f>
        <v>28.7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MAX(T50,X50)</f>
        <v>28.1</v>
      </c>
      <c r="S50" s="4">
        <f>IF(R50=T50,MAX(V50,X50,Z50),IF(R50=X50,MAX(T50,V50,Z50),0))</f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>R51+S51+IF(OR(H51="Junior",H51="Senior"),0.0002,IF(OR(H51="L7",H51="L6"),0.0001,0))+MAX(X51,Z51)*0.0000001</f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>IF(A51&lt;5,IF(_xlfn.MAXIFS(A:A,G:G,G51)&gt;3,5-A51,_xlfn.MAXIFS(A:A,G:G,G51)+1-A51),"")</f>
        <v>1</v>
      </c>
      <c r="R51" s="4">
        <f>MAX(T51,X51)</f>
        <v>40.700000000000003</v>
      </c>
      <c r="S51" s="4">
        <f>IF(R51=T51,MAX(V51,X51,Z51),IF(R51=X51,MAX(T51,V51,Z51),0))</f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>R52+S52+IF(OR(H52="Junior",H52="Senior"),0.0002,IF(OR(H52="L7",H52="L6"),0.0001,0))+MAX(X52,Z52)*0.0000001</f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MAX(T52,X52)</f>
        <v>41.4</v>
      </c>
      <c r="S52" s="4">
        <f>IF(R52=T52,MAX(V52,X52,Z52),IF(R52=X52,MAX(T52,V52,Z52),0))</f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>R53+S53+IF(OR(H53="Junior",H53="Senior"),0.0002,IF(OR(H53="L7",H53="L6"),0.0001,0))+MAX(X53,Z53)*0.0000001</f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MAX(T53,X53)</f>
        <v>39.4</v>
      </c>
      <c r="S53" s="4">
        <f>IF(R53=T53,MAX(V53,X53,Z53),IF(R53=X53,MAX(T53,V53,Z53),0))</f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>R54+S54+IF(OR(H54="Junior",H54="Senior"),0.0002,IF(OR(H54="L7",H54="L6"),0.0001,0))+MAX(X54,Z54)*0.0000001</f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MAX(T54,X54)</f>
        <v>38.1</v>
      </c>
      <c r="S54" s="4">
        <f>IF(R54=T54,MAX(V54,X54,Z54),IF(R54=X54,MAX(T54,V54,Z54),0))</f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MAX(T55,X55)</f>
        <v>37.4</v>
      </c>
      <c r="S55" s="4">
        <f>IF(R55=T55,MAX(V55,X55,Z55),IF(R55=X55,MAX(T55,V55,Z55),0))</f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>R56+S56+IF(OR(H56="Junior",H56="Senior"),0.0002,IF(OR(H56="L7",H56="L6"),0.0001,0))+MAX(X56,Z56)*0.0000001</f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MAX(T56,X56)</f>
        <v>39.5</v>
      </c>
      <c r="S56" s="4">
        <f>IF(R56=T56,MAX(V56,X56,Z56),IF(R56=X56,MAX(T56,V56,Z56),0))</f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MAX(T57,X57)</f>
        <v>37.6</v>
      </c>
      <c r="S57" s="4">
        <f>IF(R57=T57,MAX(V57,X57,Z57),IF(R57=X57,MAX(T57,V57,Z57),0))</f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MAX(T58,X58)</f>
        <v>36.700000000000003</v>
      </c>
      <c r="S58" s="4">
        <f>IF(R58=T58,MAX(V58,X58,Z58),IF(R58=X58,MAX(T58,V58,Z58),0))</f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>R59+S59+IF(OR(H59="Junior",H59="Senior"),0.0002,IF(OR(H59="L7",H59="L6"),0.0001,0))+MAX(X59,Z59)*0.0000001</f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MAX(T59,X59)</f>
        <v>36</v>
      </c>
      <c r="S59" s="4">
        <f>IF(R59=T59,MAX(V59,X59,Z59),IF(R59=X59,MAX(T59,V59,Z59),0))</f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>R60+S60+IF(OR(H60="Junior",H60="Senior"),0.0002,IF(OR(H60="L7",H60="L6"),0.0001,0))+MAX(X60,Z60)*0.0000001</f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MAX(T60,X60)</f>
        <v>34.5</v>
      </c>
      <c r="S60" s="4">
        <f>IF(R60=T60,MAX(V60,X60,Z60),IF(R60=X60,MAX(T60,V60,Z60),0))</f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>R61+S61+IF(OR(H61="Junior",H61="Senior"),0.0002,IF(OR(H61="L7",H61="L6"),0.0001,0))+MAX(X61,Z61)*0.0000001</f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MAX(T61,X61)</f>
        <v>37.5</v>
      </c>
      <c r="S61" s="4">
        <f>IF(R61=T61,MAX(V61,X61,Z61),IF(R61=X61,MAX(T61,V61,Z61),0))</f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>R62+S62+IF(OR(H62="Junior",H62="Senior"),0.0002,IF(OR(H62="L7",H62="L6"),0.0001,0))+MAX(X62,Z62)*0.0000001</f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MAX(T62,X62)</f>
        <v>33.4</v>
      </c>
      <c r="S62" s="4">
        <f>IF(R62=T62,MAX(V62,X62,Z62),IF(R62=X62,MAX(T62,V62,Z62),0))</f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>R63+S63+IF(OR(H63="Junior",H63="Senior"),0.0002,IF(OR(H63="L7",H63="L6"),0.0001,0))+MAX(X63,Z63)*0.0000001</f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MAX(T63,X63)</f>
        <v>34.799999999999997</v>
      </c>
      <c r="S63" s="4">
        <f>IF(R63=T63,MAX(V63,X63,Z63),IF(R63=X63,MAX(T63,V63,Z63),0))</f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R64+S64+IF(OR(H64="Junior",H64="Senior"),0.0002,IF(OR(H64="L7",H64="L6"),0.0001,0))+MAX(X64,Z64)*0.0000001</f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>IF(A64&lt;5,IF(_xlfn.MAXIFS(A:A,G:G,G64)&gt;3,5-A64,_xlfn.MAXIFS(A:A,G:G,G64)+1-A64),"")</f>
        <v/>
      </c>
      <c r="R64" s="4">
        <f>MAX(T64,X64)</f>
        <v>32.6</v>
      </c>
      <c r="S64" s="4">
        <f>IF(R64=T64,MAX(V64,X64,Z64),IF(R64=X64,MAX(T64,V64,Z64),0))</f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MAX(T65,X65)</f>
        <v>29.8</v>
      </c>
      <c r="S65" s="4">
        <f>IF(R65=T65,MAX(V65,X65,Z65),IF(R65=X65,MAX(T65,V65,Z65),0))</f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>R66+S66+IF(OR(H66="Junior",H66="Senior"),0.0002,IF(OR(H66="L7",H66="L6"),0.0001,0))+MAX(X66,Z66)*0.0000001</f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MAX(T66,X66)</f>
        <v>39.5</v>
      </c>
      <c r="S66" s="4">
        <f>IF(R66=T66,MAX(V66,X66,Z66),IF(R66=X66,MAX(T66,V66,Z66),0))</f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MAX(T67,X67)</f>
        <v>40.4</v>
      </c>
      <c r="S67" s="4">
        <f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MAX(T68,X68)</f>
        <v>38.799999999999997</v>
      </c>
      <c r="S68" s="4">
        <f>IF(R68=T68,MAX(V68,X68,Z68),IF(R68=X68,MAX(T68,V68,Z68),0))</f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>R69+S69+IF(OR(H69="Junior",H69="Senior"),0.0002,IF(OR(H69="L7",H69="L6"),0.0001,0))+MAX(X69,Z69)*0.0000001</f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>IF(A69&lt;5,IF(_xlfn.MAXIFS(A:A,G:G,G69)&gt;3,5-A69,_xlfn.MAXIFS(A:A,G:G,G69)+1-A69),"")</f>
        <v/>
      </c>
      <c r="R69" s="4">
        <f>MAX(T69,X69)</f>
        <v>37.700000000000003</v>
      </c>
      <c r="S69" s="4">
        <f>IF(R69=T69,MAX(V69,X69,Z69),IF(R69=X69,MAX(T69,V69,Z69),0))</f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>R70+S70+IF(OR(H70="Junior",H70="Senior"),0.0002,IF(OR(H70="L7",H70="L6"),0.0001,0))+MAX(X70,Z70)*0.0000001</f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>IF(A70&lt;5,IF(_xlfn.MAXIFS(A:A,G:G,G70)&gt;3,5-A70,_xlfn.MAXIFS(A:A,G:G,G70)+1-A70),"")</f>
        <v/>
      </c>
      <c r="R70" s="4">
        <f>MAX(T70,X70)</f>
        <v>34.299999999999997</v>
      </c>
      <c r="S70" s="4">
        <f>IF(R70=T70,MAX(V70,X70,Z70),IF(R70=X70,MAX(T70,V70,Z70),0))</f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>R71+S71+IF(OR(H71="Junior",H71="Senior"),0.0002,IF(OR(H71="L7",H71="L6"),0.0001,0))+MAX(X71,Z71)*0.0000001</f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>IF(A71&lt;5,IF(_xlfn.MAXIFS(A:A,G:G,G71)&gt;3,5-A71,_xlfn.MAXIFS(A:A,G:G,G71)+1-A71),"")</f>
        <v/>
      </c>
      <c r="R71" s="4">
        <f>MAX(T71,X71)</f>
        <v>35.200000000000003</v>
      </c>
      <c r="S71" s="4">
        <f>IF(R71=T71,MAX(V71,X71,Z71),IF(R71=X71,MAX(T71,V71,Z71),0))</f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>R72+S72+IF(OR(H72="Junior",H72="Senior"),0.0002,IF(OR(H72="L7",H72="L6"),0.0001,0))+MAX(X72,Z72)*0.0000001</f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>IF(A72&lt;5,IF(_xlfn.MAXIFS(A:A,G:G,G72)&gt;3,5-A72,_xlfn.MAXIFS(A:A,G:G,G72)+1-A72),"")</f>
        <v/>
      </c>
      <c r="R72" s="4">
        <f>MAX(T72,X72)</f>
        <v>34</v>
      </c>
      <c r="S72" s="4">
        <f>IF(R72=T72,MAX(V72,X72,Z72),IF(R72=X72,MAX(T72,V72,Z72),0))</f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>R73+S73+IF(OR(H73="Junior",H73="Senior"),0.0002,IF(OR(H73="L7",H73="L6"),0.0001,0))+MAX(X73,Z73)*0.0000001</f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>IF(A73&lt;5,IF(_xlfn.MAXIFS(A:A,G:G,G73)&gt;3,5-A73,_xlfn.MAXIFS(A:A,G:G,G73)+1-A73),"")</f>
        <v/>
      </c>
      <c r="R73" s="4">
        <f>MAX(T73,X73)</f>
        <v>35.4</v>
      </c>
      <c r="S73" s="4">
        <f>IF(R73=T73,MAX(V73,X73,Z73),IF(R73=X73,MAX(T73,V73,Z73),0))</f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>R74+S74+IF(OR(H74="Junior",H74="Senior"),0.0002,IF(OR(H74="L7",H74="L6"),0.0001,0))+MAX(X74,Z74)*0.0000001</f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>IF(A74&lt;5,IF(_xlfn.MAXIFS(A:A,G:G,G74)&gt;3,5-A74,_xlfn.MAXIFS(A:A,G:G,G74)+1-A74),"")</f>
        <v/>
      </c>
      <c r="R74" s="4">
        <f>MAX(T74,X74)</f>
        <v>34.200000000000003</v>
      </c>
      <c r="S74" s="4">
        <f>IF(R74=T74,MAX(V74,X74,Z74),IF(R74=X74,MAX(T74,V74,Z74),0))</f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 t="s">
        <v>567</v>
      </c>
      <c r="J75" s="4">
        <f>R75+S75+IF(OR(H75="Junior",H75="Senior"),0.0002,IF(OR(H75="L7",H75="L6"),0.0001,0))+MAX(X75,Z75)*0.0000001</f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>IF(A75&lt;5,IF(_xlfn.MAXIFS(A:A,G:G,G75)&gt;3,5-A75,_xlfn.MAXIFS(A:A,G:G,G75)+1-A75),"")</f>
        <v/>
      </c>
      <c r="R75" s="4">
        <f>MAX(T75,X75)</f>
        <v>36.299999999999997</v>
      </c>
      <c r="S75" s="4">
        <f>IF(R75=T75,MAX(V75,X75,Z75),IF(R75=X75,MAX(T75,V75,Z75),0))</f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>R76+S76+IF(OR(H76="Junior",H76="Senior"),0.0002,IF(OR(H76="L7",H76="L6"),0.0001,0))+MAX(X76,Z76)*0.0000001</f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>IF(A76&lt;5,IF(_xlfn.MAXIFS(A:A,G:G,G76)&gt;3,5-A76,_xlfn.MAXIFS(A:A,G:G,G76)+1-A76),"")</f>
        <v/>
      </c>
      <c r="R76" s="4">
        <f>MAX(T76,X76)</f>
        <v>33.5</v>
      </c>
      <c r="S76" s="4">
        <f>IF(R76=T76,MAX(V76,X76,Z76),IF(R76=X76,MAX(T76,V76,Z76),0))</f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2023-08-14T14:18:21Z</dcterms:modified>
</cp:coreProperties>
</file>