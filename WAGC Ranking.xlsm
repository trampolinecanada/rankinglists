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889D7A3-AF3B-CF42-832C-F7F801F3E901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'DMT-M'!$A$1:$AE$55</definedName>
    <definedName name="_xlnm._FilterDatabase" localSheetId="8" hidden="1">'DMT-W'!$A$1:$AE$66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'TUM-M'!$A$1:$AE$25</definedName>
    <definedName name="_xlnm._FilterDatabase" localSheetId="10" hidden="1">'TUM-W'!$A$1:$AE$53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14" l="1"/>
  <c r="C55" i="17"/>
  <c r="D55" i="17" s="1"/>
  <c r="E55" i="17"/>
  <c r="F55" i="17" s="1"/>
  <c r="C13" i="17"/>
  <c r="D13" i="17" s="1"/>
  <c r="E13" i="17"/>
  <c r="F13" i="17" s="1"/>
  <c r="C9" i="17"/>
  <c r="D9" i="17" s="1"/>
  <c r="G9" i="17"/>
  <c r="H9" i="17" s="1"/>
  <c r="A4" i="16" a="1"/>
  <c r="A4" i="16" s="1"/>
  <c r="A5" i="16" a="1"/>
  <c r="A5" i="16" s="1"/>
  <c r="A6" i="16" a="1"/>
  <c r="A6" i="16" s="1"/>
  <c r="A7" i="16" a="1"/>
  <c r="A7" i="16" s="1"/>
  <c r="A8" i="16" a="1"/>
  <c r="A8" i="16" s="1"/>
  <c r="A9" i="16" a="1"/>
  <c r="A9" i="16" s="1"/>
  <c r="A10" i="16" a="1"/>
  <c r="A10" i="16" s="1"/>
  <c r="A11" i="16" a="1"/>
  <c r="A11" i="16" s="1"/>
  <c r="A12" i="16" a="1"/>
  <c r="A12" i="16" s="1"/>
  <c r="A13" i="16" a="1"/>
  <c r="A13" i="16" s="1"/>
  <c r="A14" i="16" a="1"/>
  <c r="A14" i="16" s="1"/>
  <c r="A15" i="16" a="1"/>
  <c r="A15" i="16" s="1"/>
  <c r="A16" i="16" a="1"/>
  <c r="A16" i="16" s="1"/>
  <c r="A17" i="16" a="1"/>
  <c r="A17" i="16" s="1"/>
  <c r="A18" i="16" a="1"/>
  <c r="A18" i="16"/>
  <c r="A19" i="16" a="1"/>
  <c r="A19" i="16" s="1"/>
  <c r="A20" i="16" a="1"/>
  <c r="A20" i="16" s="1"/>
  <c r="A21" i="16" a="1"/>
  <c r="A21" i="16" s="1"/>
  <c r="A22" i="16" a="1"/>
  <c r="A22" i="16" s="1"/>
  <c r="A23" i="16" a="1"/>
  <c r="A23" i="16" s="1"/>
  <c r="A24" i="16" a="1"/>
  <c r="A24" i="16" s="1"/>
  <c r="A25" i="16" a="1"/>
  <c r="A25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2" i="16" a="1"/>
  <c r="A32" i="16" s="1"/>
  <c r="A33" i="16" a="1"/>
  <c r="A33" i="16" s="1"/>
  <c r="A34" i="16" a="1"/>
  <c r="A34" i="16" s="1"/>
  <c r="A35" i="16" a="1"/>
  <c r="A35" i="16" s="1"/>
  <c r="A36" i="16" a="1"/>
  <c r="A36" i="16" s="1"/>
  <c r="A37" i="16" a="1"/>
  <c r="A37" i="16" s="1"/>
  <c r="A38" i="16" a="1"/>
  <c r="A38" i="16" s="1"/>
  <c r="A39" i="16" a="1"/>
  <c r="A39" i="16" s="1"/>
  <c r="A40" i="16" a="1"/>
  <c r="A40" i="16" s="1"/>
  <c r="A41" i="16" a="1"/>
  <c r="A41" i="16" s="1"/>
  <c r="A42" i="16" a="1"/>
  <c r="A42" i="16" s="1"/>
  <c r="A43" i="16" a="1"/>
  <c r="A43" i="16" s="1"/>
  <c r="A44" i="16" a="1"/>
  <c r="A44" i="16" s="1"/>
  <c r="A45" i="16" a="1"/>
  <c r="A45" i="16" s="1"/>
  <c r="A46" i="16" a="1"/>
  <c r="A46" i="16" s="1"/>
  <c r="A47" i="16" a="1"/>
  <c r="A47" i="16" s="1"/>
  <c r="A48" i="16" a="1"/>
  <c r="A48" i="16" s="1"/>
  <c r="A49" i="16" a="1"/>
  <c r="A49" i="16" s="1"/>
  <c r="A50" i="16" a="1"/>
  <c r="A50" i="16" s="1"/>
  <c r="A51" i="16" a="1"/>
  <c r="A51" i="16" s="1"/>
  <c r="A52" i="16" a="1"/>
  <c r="A52" i="16" s="1"/>
  <c r="A53" i="16" a="1"/>
  <c r="A53" i="16" s="1"/>
  <c r="A54" i="16" a="1"/>
  <c r="A54" i="16" s="1"/>
  <c r="A55" i="16" a="1"/>
  <c r="A55" i="16" s="1"/>
  <c r="A56" i="16" a="1"/>
  <c r="A56" i="16" s="1"/>
  <c r="A57" i="16" a="1"/>
  <c r="A57" i="16" s="1"/>
  <c r="A58" i="16" a="1"/>
  <c r="A58" i="16" s="1"/>
  <c r="A59" i="16" a="1"/>
  <c r="A59" i="16" s="1"/>
  <c r="A60" i="16" a="1"/>
  <c r="A60" i="16" s="1"/>
  <c r="A61" i="16" a="1"/>
  <c r="A61" i="16" s="1"/>
  <c r="A62" i="16" a="1"/>
  <c r="A62" i="16" s="1"/>
  <c r="A63" i="16" a="1"/>
  <c r="A63" i="16" s="1"/>
  <c r="A64" i="16" a="1"/>
  <c r="A64" i="16" s="1"/>
  <c r="A65" i="16" a="1"/>
  <c r="A65" i="16" s="1"/>
  <c r="A66" i="16" a="1"/>
  <c r="A66" i="16"/>
  <c r="A67" i="16" a="1"/>
  <c r="A67" i="16" s="1"/>
  <c r="A68" i="16" a="1"/>
  <c r="A68" i="16" s="1"/>
  <c r="A3" i="16" a="1"/>
  <c r="A3" i="16" s="1"/>
  <c r="A4" i="15" a="1"/>
  <c r="A4" i="15" s="1"/>
  <c r="A5" i="15" a="1"/>
  <c r="A5" i="15" s="1"/>
  <c r="A6" i="15" a="1"/>
  <c r="A6" i="15" s="1"/>
  <c r="A7" i="15" a="1"/>
  <c r="A7" i="15" s="1"/>
  <c r="A8" i="15" a="1"/>
  <c r="A8" i="15" s="1"/>
  <c r="A9" i="15" a="1"/>
  <c r="A9" i="15" s="1"/>
  <c r="A10" i="15" a="1"/>
  <c r="A10" i="15" s="1"/>
  <c r="A11" i="15" a="1"/>
  <c r="A11" i="15" s="1"/>
  <c r="A12" i="15" a="1"/>
  <c r="A12" i="15" s="1"/>
  <c r="A13" i="15" a="1"/>
  <c r="A13" i="15" s="1"/>
  <c r="A14" i="15" a="1"/>
  <c r="A14" i="15" s="1"/>
  <c r="A15" i="15" a="1"/>
  <c r="A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5" i="15" a="1"/>
  <c r="A25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1" i="15" a="1"/>
  <c r="A31" i="15" s="1"/>
  <c r="A32" i="15" a="1"/>
  <c r="A32" i="15" s="1"/>
  <c r="A33" i="15" a="1"/>
  <c r="A33" i="15" s="1"/>
  <c r="A34" i="15" a="1"/>
  <c r="A34" i="15" s="1"/>
  <c r="A35" i="15" a="1"/>
  <c r="A35" i="15" s="1"/>
  <c r="A36" i="15" a="1"/>
  <c r="A36" i="15" s="1"/>
  <c r="A37" i="15" a="1"/>
  <c r="A37" i="15" s="1"/>
  <c r="A38" i="15" a="1"/>
  <c r="A38" i="15" s="1"/>
  <c r="A39" i="15" a="1"/>
  <c r="A39" i="15" s="1"/>
  <c r="A40" i="15" a="1"/>
  <c r="A40" i="15" s="1"/>
  <c r="A41" i="15" a="1"/>
  <c r="A41" i="15" s="1"/>
  <c r="A42" i="15" a="1"/>
  <c r="A42" i="15" s="1"/>
  <c r="A43" i="15" a="1"/>
  <c r="A43" i="15" s="1"/>
  <c r="A3" i="15" a="1"/>
  <c r="A3" i="15" s="1"/>
  <c r="A4" i="13" a="1"/>
  <c r="A4" i="13" s="1"/>
  <c r="A5" i="13" a="1"/>
  <c r="A5" i="13" s="1"/>
  <c r="A6" i="13" a="1"/>
  <c r="A6" i="13"/>
  <c r="A7" i="13" a="1"/>
  <c r="A7" i="13" s="1"/>
  <c r="A8" i="13" a="1"/>
  <c r="A8" i="13" s="1"/>
  <c r="A9" i="13" a="1"/>
  <c r="A9" i="13" s="1"/>
  <c r="A10" i="13" a="1"/>
  <c r="A10" i="13"/>
  <c r="A11" i="13" a="1"/>
  <c r="A11" i="13" s="1"/>
  <c r="A12" i="13" a="1"/>
  <c r="A12" i="13" s="1"/>
  <c r="A13" i="13" a="1"/>
  <c r="A13" i="13" s="1"/>
  <c r="A14" i="13" a="1"/>
  <c r="A14" i="13" s="1"/>
  <c r="A15" i="13" a="1"/>
  <c r="A15" i="13" s="1"/>
  <c r="A16" i="13" a="1"/>
  <c r="A16" i="13" s="1"/>
  <c r="A17" i="13" a="1"/>
  <c r="A17" i="13" s="1"/>
  <c r="A18" i="13" a="1"/>
  <c r="A18" i="13"/>
  <c r="A19" i="13" a="1"/>
  <c r="A19" i="13" s="1"/>
  <c r="A20" i="13" a="1"/>
  <c r="A20" i="13" s="1"/>
  <c r="A21" i="13" a="1"/>
  <c r="A21" i="13" s="1"/>
  <c r="A3" i="13" a="1"/>
  <c r="A3" i="13" s="1"/>
  <c r="A4" i="12" a="1"/>
  <c r="A4" i="12" s="1"/>
  <c r="A5" i="12" a="1"/>
  <c r="A5" i="12"/>
  <c r="A6" i="12" a="1"/>
  <c r="A6" i="12" s="1"/>
  <c r="A7" i="12" a="1"/>
  <c r="A7" i="12"/>
  <c r="A8" i="12" a="1"/>
  <c r="A8" i="12" s="1"/>
  <c r="A9" i="12" a="1"/>
  <c r="A9" i="12" s="1"/>
  <c r="A10" i="12" a="1"/>
  <c r="A10" i="12" s="1"/>
  <c r="A11" i="12" a="1"/>
  <c r="A11" i="12" s="1"/>
  <c r="A12" i="12" a="1"/>
  <c r="A12" i="12" s="1"/>
  <c r="A13" i="12" a="1"/>
  <c r="A13" i="12"/>
  <c r="A14" i="12" a="1"/>
  <c r="A14" i="12" s="1"/>
  <c r="A3" i="12" a="1"/>
  <c r="A3" i="12" s="1"/>
  <c r="A4" i="11" a="1"/>
  <c r="A4" i="11"/>
  <c r="A5" i="11" a="1"/>
  <c r="A5" i="11" s="1"/>
  <c r="A6" i="11" a="1"/>
  <c r="A6" i="11" s="1"/>
  <c r="A7" i="11" a="1"/>
  <c r="A7" i="11" s="1"/>
  <c r="A8" i="11" a="1"/>
  <c r="A8" i="11" s="1"/>
  <c r="A9" i="11" a="1"/>
  <c r="A9" i="11"/>
  <c r="A10" i="11" a="1"/>
  <c r="A10" i="11" s="1"/>
  <c r="A11" i="11" a="1"/>
  <c r="A11" i="11" s="1"/>
  <c r="A12" i="11" a="1"/>
  <c r="A12" i="11" s="1"/>
  <c r="A13" i="11" a="1"/>
  <c r="A13" i="11" s="1"/>
  <c r="A14" i="11" a="1"/>
  <c r="A14" i="11" s="1"/>
  <c r="A15" i="11" a="1"/>
  <c r="A15" i="11" s="1"/>
  <c r="A16" i="11" a="1"/>
  <c r="A16" i="11"/>
  <c r="A17" i="11" a="1"/>
  <c r="A17" i="11" s="1"/>
  <c r="A18" i="11" a="1"/>
  <c r="A18" i="11" s="1"/>
  <c r="A19" i="11" a="1"/>
  <c r="A19" i="11" s="1"/>
  <c r="A20" i="11" a="1"/>
  <c r="A20" i="11" s="1"/>
  <c r="A21" i="11" a="1"/>
  <c r="A21" i="11" s="1"/>
  <c r="A22" i="11" a="1"/>
  <c r="A22" i="11" s="1"/>
  <c r="A23" i="11" a="1"/>
  <c r="A23" i="11" s="1"/>
  <c r="A24" i="11" a="1"/>
  <c r="A24" i="11" s="1"/>
  <c r="A25" i="11" a="1"/>
  <c r="A25" i="11" s="1"/>
  <c r="A26" i="11" a="1"/>
  <c r="A26" i="11" s="1"/>
  <c r="A27" i="11" a="1"/>
  <c r="A27" i="11" s="1"/>
  <c r="A28" i="11" a="1"/>
  <c r="A28" i="11" s="1"/>
  <c r="A29" i="11" a="1"/>
  <c r="A29" i="11" s="1"/>
  <c r="A30" i="11" a="1"/>
  <c r="A30" i="11" s="1"/>
  <c r="A31" i="11" a="1"/>
  <c r="A31" i="11" s="1"/>
  <c r="A32" i="11" a="1"/>
  <c r="A32" i="11" s="1"/>
  <c r="A33" i="11" a="1"/>
  <c r="A33" i="11"/>
  <c r="A34" i="11" a="1"/>
  <c r="A34" i="11" s="1"/>
  <c r="A35" i="11" a="1"/>
  <c r="A35" i="11" s="1"/>
  <c r="A36" i="11" a="1"/>
  <c r="A36" i="11" s="1"/>
  <c r="A37" i="11" a="1"/>
  <c r="A37" i="11" s="1"/>
  <c r="A38" i="11" a="1"/>
  <c r="A38" i="11" s="1"/>
  <c r="A39" i="11" a="1"/>
  <c r="A39" i="11" s="1"/>
  <c r="A40" i="11" a="1"/>
  <c r="A40" i="11" s="1"/>
  <c r="A41" i="11" a="1"/>
  <c r="A41" i="11" s="1"/>
  <c r="A42" i="11" a="1"/>
  <c r="A42" i="11" s="1"/>
  <c r="A43" i="11" a="1"/>
  <c r="A43" i="11" s="1"/>
  <c r="A44" i="11" a="1"/>
  <c r="A44" i="11" s="1"/>
  <c r="A45" i="11" a="1"/>
  <c r="A45" i="11" s="1"/>
  <c r="A46" i="11" a="1"/>
  <c r="A46" i="11" s="1"/>
  <c r="A47" i="11" a="1"/>
  <c r="A47" i="11"/>
  <c r="A48" i="11" a="1"/>
  <c r="A48" i="11" s="1"/>
  <c r="A49" i="11" a="1"/>
  <c r="A49" i="11" s="1"/>
  <c r="A50" i="11" a="1"/>
  <c r="A50" i="11" s="1"/>
  <c r="A51" i="11" a="1"/>
  <c r="A51" i="11" s="1"/>
  <c r="A52" i="11" a="1"/>
  <c r="A52" i="11" s="1"/>
  <c r="A53" i="11" a="1"/>
  <c r="A53" i="11" s="1"/>
  <c r="A54" i="11" a="1"/>
  <c r="A54" i="11" s="1"/>
  <c r="A55" i="11" a="1"/>
  <c r="A55" i="11" s="1"/>
  <c r="A56" i="11" a="1"/>
  <c r="A56" i="11" s="1"/>
  <c r="A57" i="11" a="1"/>
  <c r="A57" i="11" s="1"/>
  <c r="A58" i="11" a="1"/>
  <c r="A58" i="11" s="1"/>
  <c r="A59" i="11" a="1"/>
  <c r="A59" i="11" s="1"/>
  <c r="A60" i="11" a="1"/>
  <c r="A60" i="11" s="1"/>
  <c r="A61" i="11" a="1"/>
  <c r="A61" i="11" s="1"/>
  <c r="A62" i="11" a="1"/>
  <c r="A62" i="11" s="1"/>
  <c r="A63" i="11" a="1"/>
  <c r="A63" i="11" s="1"/>
  <c r="A64" i="11" a="1"/>
  <c r="A64" i="11" s="1"/>
  <c r="A65" i="11" a="1"/>
  <c r="A65" i="11" s="1"/>
  <c r="A66" i="11" a="1"/>
  <c r="A66" i="11" s="1"/>
  <c r="A67" i="11" a="1"/>
  <c r="A67" i="11" s="1"/>
  <c r="A68" i="11" a="1"/>
  <c r="A68" i="11" s="1"/>
  <c r="A69" i="11" a="1"/>
  <c r="A69" i="11"/>
  <c r="A70" i="11" a="1"/>
  <c r="A70" i="11" s="1"/>
  <c r="A71" i="11" a="1"/>
  <c r="A71" i="11" s="1"/>
  <c r="A72" i="11" a="1"/>
  <c r="A72" i="11" s="1"/>
  <c r="A73" i="11" a="1"/>
  <c r="A73" i="11" s="1"/>
  <c r="A74" i="11" a="1"/>
  <c r="A74" i="11" s="1"/>
  <c r="A75" i="11" a="1"/>
  <c r="A75" i="11" s="1"/>
  <c r="A76" i="11" a="1"/>
  <c r="A76" i="11" s="1"/>
  <c r="A77" i="11" a="1"/>
  <c r="A77" i="11" s="1"/>
  <c r="A78" i="11" a="1"/>
  <c r="A78" i="11" s="1"/>
  <c r="A79" i="11" a="1"/>
  <c r="A79" i="11"/>
  <c r="A80" i="11" a="1"/>
  <c r="A80" i="11" s="1"/>
  <c r="A81" i="11" a="1"/>
  <c r="A81" i="11" s="1"/>
  <c r="A82" i="11" a="1"/>
  <c r="A82" i="11" s="1"/>
  <c r="A83" i="11" a="1"/>
  <c r="A83" i="11" s="1"/>
  <c r="A84" i="11" a="1"/>
  <c r="A84" i="11" s="1"/>
  <c r="A85" i="11" a="1"/>
  <c r="A85" i="11" s="1"/>
  <c r="A86" i="11" a="1"/>
  <c r="A86" i="11" s="1"/>
  <c r="A87" i="11" a="1"/>
  <c r="A87" i="11" s="1"/>
  <c r="A88" i="11" a="1"/>
  <c r="A88" i="11" s="1"/>
  <c r="A89" i="11" a="1"/>
  <c r="A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5" i="11" a="1"/>
  <c r="A95" i="11" s="1"/>
  <c r="A96" i="11" a="1"/>
  <c r="A96" i="11" s="1"/>
  <c r="A97" i="11" a="1"/>
  <c r="A97" i="11"/>
  <c r="A98" i="11" a="1"/>
  <c r="A98" i="11" s="1"/>
  <c r="A99" i="11" a="1"/>
  <c r="A99" i="11" s="1"/>
  <c r="A100" i="11" a="1"/>
  <c r="A100" i="11" s="1"/>
  <c r="A101" i="11" a="1"/>
  <c r="A101" i="11" s="1"/>
  <c r="A102" i="11" a="1"/>
  <c r="A102" i="11" s="1"/>
  <c r="A3" i="11" a="1"/>
  <c r="A3" i="11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0" i="3" a="1"/>
  <c r="A30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2" i="3" a="1"/>
  <c r="A52" i="3" s="1"/>
  <c r="A53" i="3" a="1"/>
  <c r="A53" i="3" s="1"/>
  <c r="A54" i="3" a="1"/>
  <c r="A54" i="3" s="1"/>
  <c r="A55" i="3" a="1"/>
  <c r="A55" i="3" s="1"/>
  <c r="A56" i="3" a="1"/>
  <c r="A56" i="3" s="1"/>
  <c r="A57" i="3" a="1"/>
  <c r="A57" i="3" s="1"/>
  <c r="A58" i="3" a="1"/>
  <c r="A58" i="3" s="1"/>
  <c r="A59" i="3" a="1"/>
  <c r="A59" i="3"/>
  <c r="A60" i="3" a="1"/>
  <c r="A60" i="3" s="1"/>
  <c r="A61" i="3" a="1"/>
  <c r="A61" i="3" s="1"/>
  <c r="A62" i="3" a="1"/>
  <c r="A62" i="3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8" i="3" a="1"/>
  <c r="A68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79" i="3" a="1"/>
  <c r="A79" i="3" s="1"/>
  <c r="A80" i="3" a="1"/>
  <c r="A80" i="3" s="1"/>
  <c r="A81" i="3" a="1"/>
  <c r="A81" i="3" s="1"/>
  <c r="A82" i="3" a="1"/>
  <c r="A82" i="3" s="1"/>
  <c r="A83" i="3" a="1"/>
  <c r="A83" i="3" s="1"/>
  <c r="A84" i="3" a="1"/>
  <c r="A84" i="3" s="1"/>
  <c r="A85" i="3" a="1"/>
  <c r="A85" i="3" s="1"/>
  <c r="A86" i="3" a="1"/>
  <c r="A86" i="3" s="1"/>
  <c r="A87" i="3" a="1"/>
  <c r="A87" i="3" s="1"/>
  <c r="A88" i="3" a="1"/>
  <c r="A88" i="3" s="1"/>
  <c r="A89" i="3" a="1"/>
  <c r="A89" i="3" s="1"/>
  <c r="A90" i="3" a="1"/>
  <c r="A90" i="3" s="1"/>
  <c r="A91" i="3" a="1"/>
  <c r="A91" i="3" s="1"/>
  <c r="A3" i="3" a="1"/>
  <c r="A3" i="3" s="1"/>
  <c r="A3" i="14" a="1"/>
  <c r="A3" i="14" s="1"/>
  <c r="A4" i="14" a="1"/>
  <c r="A4" i="14" s="1"/>
  <c r="A9" i="14" a="1"/>
  <c r="A9" i="14" s="1"/>
  <c r="A6" i="14" a="1"/>
  <c r="A6" i="14" s="1"/>
  <c r="A7" i="14" a="1"/>
  <c r="A7" i="14" s="1"/>
  <c r="A8" i="14" a="1"/>
  <c r="A8" i="14" s="1"/>
  <c r="A12" i="14" a="1"/>
  <c r="A12" i="14" s="1"/>
  <c r="A10" i="14" a="1"/>
  <c r="A10" i="14" s="1"/>
  <c r="A53" i="14" a="1"/>
  <c r="A53" i="14" s="1"/>
  <c r="A42" i="14" a="1"/>
  <c r="A42" i="14" s="1"/>
  <c r="A21" i="14" a="1"/>
  <c r="A21" i="14" s="1"/>
  <c r="A15" i="14" a="1"/>
  <c r="A15" i="14" s="1"/>
  <c r="A20" i="14" a="1"/>
  <c r="A20" i="14" s="1"/>
  <c r="A55" i="14" a="1"/>
  <c r="A55" i="14" s="1"/>
  <c r="A19" i="14" a="1"/>
  <c r="A19" i="14" s="1"/>
  <c r="A49" i="14" a="1"/>
  <c r="A49" i="14" s="1"/>
  <c r="A23" i="14" a="1"/>
  <c r="A23" i="14" s="1"/>
  <c r="A18" i="14" a="1"/>
  <c r="A18" i="14" s="1"/>
  <c r="A13" i="14" a="1"/>
  <c r="A13" i="14" s="1"/>
  <c r="A14" i="14" a="1"/>
  <c r="A14" i="14" s="1"/>
  <c r="A30" i="14" a="1"/>
  <c r="A30" i="14" s="1"/>
  <c r="A46" i="14" a="1"/>
  <c r="A46" i="14" s="1"/>
  <c r="A24" i="14" a="1"/>
  <c r="A24" i="14" s="1"/>
  <c r="A26" i="14" a="1"/>
  <c r="A26" i="14" s="1"/>
  <c r="A33" i="14" a="1"/>
  <c r="A33" i="14" s="1"/>
  <c r="A29" i="14" a="1"/>
  <c r="A29" i="14" s="1"/>
  <c r="A34" i="14" a="1"/>
  <c r="A34" i="14" s="1"/>
  <c r="A17" i="14" a="1"/>
  <c r="A17" i="14" s="1"/>
  <c r="A22" i="14" a="1"/>
  <c r="A22" i="14" s="1"/>
  <c r="A32" i="14" a="1"/>
  <c r="A32" i="14" s="1"/>
  <c r="A16" i="14" a="1"/>
  <c r="A16" i="14" s="1"/>
  <c r="A52" i="14" a="1"/>
  <c r="A52" i="14" s="1"/>
  <c r="A40" i="14" a="1"/>
  <c r="A40" i="14" s="1"/>
  <c r="A35" i="14" a="1"/>
  <c r="A35" i="14" s="1"/>
  <c r="A39" i="14" a="1"/>
  <c r="A39" i="14" s="1"/>
  <c r="A37" i="14" a="1"/>
  <c r="A37" i="14" s="1"/>
  <c r="A28" i="14" a="1"/>
  <c r="A28" i="14" s="1"/>
  <c r="A54" i="14" a="1"/>
  <c r="A54" i="14" s="1"/>
  <c r="A41" i="14" a="1"/>
  <c r="A41" i="14" s="1"/>
  <c r="A38" i="14" a="1"/>
  <c r="A38" i="14" s="1"/>
  <c r="A11" i="14" a="1"/>
  <c r="A11" i="14" s="1"/>
  <c r="A43" i="14" a="1"/>
  <c r="A43" i="14" s="1"/>
  <c r="A27" i="14" a="1"/>
  <c r="A27" i="14" s="1"/>
  <c r="A45" i="14" a="1"/>
  <c r="A45" i="14" s="1"/>
  <c r="A47" i="14" a="1"/>
  <c r="A47" i="14" s="1"/>
  <c r="A25" i="14" a="1"/>
  <c r="A25" i="14" s="1"/>
  <c r="A48" i="14" a="1"/>
  <c r="A48" i="14" s="1"/>
  <c r="A50" i="14" a="1"/>
  <c r="A50" i="14" s="1"/>
  <c r="A31" i="14" a="1"/>
  <c r="A31" i="14" s="1"/>
  <c r="A51" i="14" a="1"/>
  <c r="A51" i="14" s="1"/>
  <c r="A36" i="14" a="1"/>
  <c r="A36" i="14" s="1"/>
  <c r="A44" i="14" a="1"/>
  <c r="A44" i="14" s="1"/>
  <c r="A56" i="14" a="1"/>
  <c r="A56" i="14" s="1"/>
  <c r="A57" i="14" a="1"/>
  <c r="A57" i="14" s="1"/>
  <c r="A58" i="14" a="1"/>
  <c r="A58" i="14" s="1"/>
  <c r="A59" i="14" a="1"/>
  <c r="A59" i="14" s="1"/>
  <c r="A60" i="14" a="1"/>
  <c r="A60" i="14" s="1"/>
  <c r="A63" i="14" a="1"/>
  <c r="A63" i="14" s="1"/>
  <c r="A65" i="14" a="1"/>
  <c r="A65" i="14" s="1"/>
  <c r="A67" i="14" a="1"/>
  <c r="A67" i="14" s="1"/>
  <c r="A68" i="14" a="1"/>
  <c r="A68" i="14" s="1"/>
  <c r="A66" i="14" a="1"/>
  <c r="A66" i="14" s="1"/>
  <c r="A64" i="14" a="1"/>
  <c r="A64" i="14" s="1"/>
  <c r="A81" i="14" a="1"/>
  <c r="A81" i="14" s="1"/>
  <c r="A70" i="14" a="1"/>
  <c r="A70" i="14" s="1"/>
  <c r="A73" i="14" a="1"/>
  <c r="A73" i="14" s="1"/>
  <c r="A71" i="14" a="1"/>
  <c r="A71" i="14" s="1"/>
  <c r="A75" i="14" a="1"/>
  <c r="A75" i="14" s="1"/>
  <c r="A72" i="14" a="1"/>
  <c r="A72" i="14" s="1"/>
  <c r="A69" i="14" a="1"/>
  <c r="A69" i="14" s="1"/>
  <c r="A61" i="14" a="1"/>
  <c r="A61" i="14" s="1"/>
  <c r="A74" i="14" a="1"/>
  <c r="A74" i="14" s="1"/>
  <c r="A76" i="14" a="1"/>
  <c r="A76" i="14" s="1"/>
  <c r="A77" i="14" a="1"/>
  <c r="A77" i="14" s="1"/>
  <c r="A78" i="14" a="1"/>
  <c r="A78" i="14" s="1"/>
  <c r="A79" i="14" a="1"/>
  <c r="A79" i="14" s="1"/>
  <c r="A80" i="14" a="1"/>
  <c r="A80" i="14" s="1"/>
  <c r="A62" i="14" a="1"/>
  <c r="A62" i="14" s="1"/>
  <c r="A83" i="14" a="1"/>
  <c r="A83" i="14" s="1"/>
  <c r="A88" i="14" a="1"/>
  <c r="A88" i="14" s="1"/>
  <c r="A84" i="14" a="1"/>
  <c r="A84" i="14" s="1"/>
  <c r="A92" i="14" a="1"/>
  <c r="A92" i="14" s="1"/>
  <c r="A86" i="14" a="1"/>
  <c r="A86" i="14" s="1"/>
  <c r="A87" i="14" a="1"/>
  <c r="A87" i="14" s="1"/>
  <c r="A93" i="14" a="1"/>
  <c r="A93" i="14" s="1"/>
  <c r="A85" i="14" a="1"/>
  <c r="A85" i="14" s="1"/>
  <c r="A89" i="14" a="1"/>
  <c r="A89" i="14" s="1"/>
  <c r="A90" i="14" a="1"/>
  <c r="A90" i="14" s="1"/>
  <c r="A82" i="14" a="1"/>
  <c r="A82" i="14" s="1"/>
  <c r="A91" i="14" a="1"/>
  <c r="A91" i="14" s="1"/>
  <c r="A94" i="14" a="1"/>
  <c r="A94" i="14" s="1"/>
  <c r="A5" i="14" a="1"/>
  <c r="A5" i="14" s="1"/>
  <c r="A4" i="6" a="1"/>
  <c r="A4" i="6" s="1"/>
  <c r="A5" i="6" a="1"/>
  <c r="A5" i="6" s="1"/>
  <c r="A6" i="6" a="1"/>
  <c r="A6" i="6" s="1"/>
  <c r="A7" i="6" a="1"/>
  <c r="A7" i="6" s="1"/>
  <c r="A8" i="6" a="1"/>
  <c r="A8" i="6" s="1"/>
  <c r="A9" i="6" a="1"/>
  <c r="A9" i="6" s="1"/>
  <c r="A10" i="6" a="1"/>
  <c r="A10" i="6" s="1"/>
  <c r="A11" i="6" a="1"/>
  <c r="A11" i="6" s="1"/>
  <c r="A12" i="6" a="1"/>
  <c r="A12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6" i="6" a="1"/>
  <c r="A26" i="6" s="1"/>
  <c r="A27" i="6" a="1"/>
  <c r="A27" i="6" s="1"/>
  <c r="A28" i="6" a="1"/>
  <c r="A28" i="6" s="1"/>
  <c r="A29" i="6" a="1"/>
  <c r="A29" i="6" s="1"/>
  <c r="A30" i="6" a="1"/>
  <c r="A30" i="6" s="1"/>
  <c r="A31" i="6" a="1"/>
  <c r="A31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 s="1"/>
  <c r="A45" i="6" a="1"/>
  <c r="A45" i="6" s="1"/>
  <c r="A46" i="6" a="1"/>
  <c r="A46" i="6" s="1"/>
  <c r="A47" i="6" a="1"/>
  <c r="A47" i="6" s="1"/>
  <c r="A48" i="6" a="1"/>
  <c r="A48" i="6" s="1"/>
  <c r="A49" i="6" a="1"/>
  <c r="A49" i="6" s="1"/>
  <c r="A50" i="6" a="1"/>
  <c r="A50" i="6" s="1"/>
  <c r="A51" i="6" a="1"/>
  <c r="A51" i="6" s="1"/>
  <c r="A52" i="6" a="1"/>
  <c r="A52" i="6" s="1"/>
  <c r="A53" i="6" a="1"/>
  <c r="A53" i="6" s="1"/>
  <c r="A54" i="6" a="1"/>
  <c r="A54" i="6"/>
  <c r="A55" i="6" a="1"/>
  <c r="A55" i="6" s="1"/>
  <c r="A56" i="6" a="1"/>
  <c r="A56" i="6" s="1"/>
  <c r="A57" i="6" a="1"/>
  <c r="A57" i="6" s="1"/>
  <c r="A58" i="6" a="1"/>
  <c r="A58" i="6"/>
  <c r="A59" i="6" a="1"/>
  <c r="A59" i="6" s="1"/>
  <c r="A60" i="6" a="1"/>
  <c r="A60" i="6" s="1"/>
  <c r="A61" i="6" a="1"/>
  <c r="A61" i="6" s="1"/>
  <c r="A62" i="6" a="1"/>
  <c r="A62" i="6" s="1"/>
  <c r="A63" i="6" a="1"/>
  <c r="A63" i="6" s="1"/>
  <c r="A64" i="6" a="1"/>
  <c r="A64" i="6" s="1"/>
  <c r="A65" i="6" a="1"/>
  <c r="A65" i="6" s="1"/>
  <c r="A66" i="6" a="1"/>
  <c r="A66" i="6"/>
  <c r="A67" i="6" a="1"/>
  <c r="A67" i="6" s="1"/>
  <c r="A68" i="6" a="1"/>
  <c r="A68" i="6" s="1"/>
  <c r="A69" i="6" a="1"/>
  <c r="A69" i="6" s="1"/>
  <c r="A70" i="6" a="1"/>
  <c r="A70" i="6"/>
  <c r="A71" i="6" a="1"/>
  <c r="A71" i="6" s="1"/>
  <c r="A72" i="6" a="1"/>
  <c r="A72" i="6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79" i="6" a="1"/>
  <c r="A79" i="6" s="1"/>
  <c r="A80" i="6" a="1"/>
  <c r="A80" i="6" s="1"/>
  <c r="A81" i="6" a="1"/>
  <c r="A81" i="6" s="1"/>
  <c r="A82" i="6" a="1"/>
  <c r="A82" i="6" s="1"/>
  <c r="A83" i="6" a="1"/>
  <c r="A83" i="6" s="1"/>
  <c r="A84" i="6" a="1"/>
  <c r="A84" i="6" s="1"/>
  <c r="A85" i="6" a="1"/>
  <c r="A85" i="6" s="1"/>
  <c r="A86" i="6" a="1"/>
  <c r="A86" i="6" s="1"/>
  <c r="A87" i="6" a="1"/>
  <c r="A87" i="6" s="1"/>
  <c r="A88" i="6" a="1"/>
  <c r="A88" i="6" s="1"/>
  <c r="A89" i="6" a="1"/>
  <c r="A89" i="6" s="1"/>
  <c r="A90" i="6" a="1"/>
  <c r="A90" i="6" s="1"/>
  <c r="A91" i="6" a="1"/>
  <c r="A91" i="6" s="1"/>
  <c r="A92" i="6" a="1"/>
  <c r="A92" i="6" s="1"/>
  <c r="A93" i="6" a="1"/>
  <c r="A93" i="6" s="1"/>
  <c r="A94" i="6" a="1"/>
  <c r="A94" i="6" s="1"/>
  <c r="A95" i="6" a="1"/>
  <c r="A95" i="6" s="1"/>
  <c r="A3" i="6" a="1"/>
  <c r="A3" i="6"/>
  <c r="G3" i="6"/>
  <c r="M3" i="6" s="1"/>
  <c r="C33" i="17"/>
  <c r="D33" i="17" s="1"/>
  <c r="E33" i="17"/>
  <c r="F33" i="17" s="1"/>
  <c r="G38" i="17"/>
  <c r="H38" i="17" s="1"/>
  <c r="L3" i="6" l="1"/>
  <c r="K3" i="6"/>
  <c r="Q85" i="14"/>
  <c r="D85" i="14"/>
  <c r="G85" i="14"/>
  <c r="K85" i="14" s="1"/>
  <c r="R85" i="14"/>
  <c r="S85" i="14" s="1"/>
  <c r="Q89" i="14"/>
  <c r="D89" i="14"/>
  <c r="G89" i="14"/>
  <c r="K89" i="14" s="1"/>
  <c r="R89" i="14"/>
  <c r="Q90" i="14"/>
  <c r="D90" i="14"/>
  <c r="G90" i="14"/>
  <c r="K90" i="14" s="1"/>
  <c r="R90" i="14"/>
  <c r="S90" i="14" s="1"/>
  <c r="Q91" i="14"/>
  <c r="D91" i="14"/>
  <c r="G91" i="14"/>
  <c r="L91" i="14" s="1"/>
  <c r="R91" i="14"/>
  <c r="S91" i="14" s="1"/>
  <c r="J91" i="14" s="1"/>
  <c r="Q94" i="14"/>
  <c r="D94" i="14"/>
  <c r="G94" i="14"/>
  <c r="M94" i="14" s="1"/>
  <c r="B94" i="14" s="1" a="1"/>
  <c r="B94" i="14" s="1"/>
  <c r="R94" i="14"/>
  <c r="S94" i="14" s="1"/>
  <c r="Q93" i="14"/>
  <c r="D93" i="14"/>
  <c r="G93" i="14"/>
  <c r="L93" i="14" s="1"/>
  <c r="R93" i="14"/>
  <c r="S93" i="14" s="1"/>
  <c r="Q71" i="14"/>
  <c r="D71" i="14"/>
  <c r="G71" i="14"/>
  <c r="L71" i="14" s="1"/>
  <c r="R71" i="14"/>
  <c r="S71" i="14" s="1"/>
  <c r="Q72" i="14"/>
  <c r="D72" i="14"/>
  <c r="G72" i="14"/>
  <c r="K72" i="14" s="1"/>
  <c r="R72" i="14"/>
  <c r="S72" i="14" s="1"/>
  <c r="J72" i="14" s="1"/>
  <c r="Q74" i="14"/>
  <c r="D74" i="14"/>
  <c r="G74" i="14"/>
  <c r="L74" i="14" s="1"/>
  <c r="R74" i="14"/>
  <c r="S74" i="14" s="1"/>
  <c r="Q77" i="14"/>
  <c r="D77" i="14"/>
  <c r="G77" i="14"/>
  <c r="M77" i="14" s="1"/>
  <c r="B77" i="14" s="1" a="1"/>
  <c r="B77" i="14" s="1"/>
  <c r="R77" i="14"/>
  <c r="S77" i="14" s="1"/>
  <c r="J77" i="14" s="1"/>
  <c r="Q78" i="14"/>
  <c r="D78" i="14"/>
  <c r="G78" i="14"/>
  <c r="K78" i="14" s="1"/>
  <c r="R78" i="14"/>
  <c r="S78" i="14" s="1"/>
  <c r="Q79" i="14"/>
  <c r="D79" i="14"/>
  <c r="G79" i="14"/>
  <c r="K79" i="14" s="1"/>
  <c r="R79" i="14"/>
  <c r="S79" i="14" s="1"/>
  <c r="Q80" i="14"/>
  <c r="D80" i="14"/>
  <c r="G80" i="14"/>
  <c r="K80" i="14" s="1"/>
  <c r="R80" i="14"/>
  <c r="S80" i="14" s="1"/>
  <c r="Q81" i="14"/>
  <c r="D81" i="14"/>
  <c r="G81" i="14"/>
  <c r="L81" i="14" s="1"/>
  <c r="R81" i="14"/>
  <c r="S81" i="14" s="1"/>
  <c r="Q24" i="14"/>
  <c r="D24" i="14"/>
  <c r="G24" i="14"/>
  <c r="M24" i="14" s="1"/>
  <c r="B24" i="14" s="1" a="1"/>
  <c r="B24" i="14" s="1"/>
  <c r="R24" i="14"/>
  <c r="S24" i="14" s="1"/>
  <c r="Q26" i="14"/>
  <c r="E38" i="17" s="1"/>
  <c r="F38" i="17" s="1"/>
  <c r="D26" i="14"/>
  <c r="G26" i="14"/>
  <c r="M26" i="14" s="1"/>
  <c r="B26" i="14" s="1" a="1"/>
  <c r="B26" i="14" s="1"/>
  <c r="R26" i="14"/>
  <c r="S26" i="14" s="1"/>
  <c r="Q27" i="14"/>
  <c r="D27" i="14"/>
  <c r="G27" i="14"/>
  <c r="K27" i="14" s="1"/>
  <c r="R27" i="14"/>
  <c r="S27" i="14" s="1"/>
  <c r="J27" i="14" s="1"/>
  <c r="Q45" i="14"/>
  <c r="D45" i="14"/>
  <c r="G45" i="14"/>
  <c r="L45" i="14" s="1"/>
  <c r="R45" i="14"/>
  <c r="Q47" i="14"/>
  <c r="D47" i="14"/>
  <c r="G47" i="14"/>
  <c r="M47" i="14" s="1"/>
  <c r="R47" i="14"/>
  <c r="S47" i="14" s="1"/>
  <c r="Q48" i="14"/>
  <c r="D48" i="14"/>
  <c r="G48" i="14"/>
  <c r="K48" i="14" s="1"/>
  <c r="R48" i="14"/>
  <c r="S48" i="14" s="1"/>
  <c r="Q50" i="14"/>
  <c r="D50" i="14"/>
  <c r="G50" i="14"/>
  <c r="K50" i="14" s="1"/>
  <c r="R50" i="14"/>
  <c r="S50" i="14" s="1"/>
  <c r="Q51" i="14"/>
  <c r="D51" i="14"/>
  <c r="G51" i="14"/>
  <c r="K51" i="14" s="1"/>
  <c r="R51" i="14"/>
  <c r="S51" i="14" s="1"/>
  <c r="Q53" i="14"/>
  <c r="D53" i="14"/>
  <c r="G53" i="14"/>
  <c r="L53" i="14" s="1"/>
  <c r="R53" i="14"/>
  <c r="Q11" i="14"/>
  <c r="D11" i="14"/>
  <c r="G11" i="14"/>
  <c r="M11" i="14" s="1"/>
  <c r="B11" i="14" s="1" a="1"/>
  <c r="B11" i="14" s="1"/>
  <c r="L11" i="14"/>
  <c r="R11" i="14"/>
  <c r="S11" i="14" s="1"/>
  <c r="J11" i="14" s="1"/>
  <c r="Q43" i="14"/>
  <c r="D43" i="14"/>
  <c r="G43" i="14"/>
  <c r="K43" i="14" s="1"/>
  <c r="R43" i="14"/>
  <c r="S43" i="14" s="1"/>
  <c r="Q44" i="14"/>
  <c r="D44" i="14"/>
  <c r="G44" i="14"/>
  <c r="K44" i="14" s="1"/>
  <c r="R44" i="14"/>
  <c r="S44" i="14" s="1"/>
  <c r="Q55" i="14"/>
  <c r="D55" i="14"/>
  <c r="G55" i="14"/>
  <c r="K55" i="14" s="1"/>
  <c r="R55" i="14"/>
  <c r="S55" i="14" s="1"/>
  <c r="Q62" i="14"/>
  <c r="D62" i="14"/>
  <c r="G62" i="14"/>
  <c r="L62" i="14" s="1"/>
  <c r="R62" i="14"/>
  <c r="S62" i="14" s="1"/>
  <c r="Q88" i="6"/>
  <c r="D88" i="6"/>
  <c r="G88" i="6"/>
  <c r="L88" i="6" s="1"/>
  <c r="R88" i="6"/>
  <c r="S88" i="6" s="1"/>
  <c r="Q95" i="6"/>
  <c r="D95" i="6"/>
  <c r="G95" i="6"/>
  <c r="K95" i="6" s="1"/>
  <c r="R95" i="6"/>
  <c r="Q57" i="6"/>
  <c r="D57" i="6"/>
  <c r="G57" i="6"/>
  <c r="K57" i="6" s="1"/>
  <c r="R57" i="6"/>
  <c r="S57" i="6" s="1"/>
  <c r="Q58" i="6"/>
  <c r="D58" i="6"/>
  <c r="G58" i="6"/>
  <c r="L58" i="6" s="1"/>
  <c r="R58" i="6"/>
  <c r="S58" i="6" s="1"/>
  <c r="J58" i="6" s="1"/>
  <c r="Q62" i="6"/>
  <c r="D62" i="6"/>
  <c r="G62" i="6"/>
  <c r="M62" i="6" s="1"/>
  <c r="B62" i="6" s="1" a="1"/>
  <c r="B62" i="6" s="1"/>
  <c r="R62" i="6"/>
  <c r="S62" i="6" s="1"/>
  <c r="Q69" i="6"/>
  <c r="D69" i="6"/>
  <c r="G69" i="6"/>
  <c r="K69" i="6" s="1"/>
  <c r="R69" i="6"/>
  <c r="S69" i="6" s="1"/>
  <c r="J69" i="6" s="1"/>
  <c r="Q70" i="6"/>
  <c r="D70" i="6"/>
  <c r="G70" i="6"/>
  <c r="L70" i="6" s="1"/>
  <c r="R70" i="6"/>
  <c r="S70" i="6" s="1"/>
  <c r="Q71" i="6"/>
  <c r="D71" i="6"/>
  <c r="G71" i="6"/>
  <c r="K71" i="6" s="1"/>
  <c r="R71" i="6"/>
  <c r="S71" i="6" s="1"/>
  <c r="J71" i="6" s="1"/>
  <c r="Q72" i="6"/>
  <c r="D72" i="6"/>
  <c r="G72" i="6"/>
  <c r="L72" i="6" s="1"/>
  <c r="R72" i="6"/>
  <c r="S72" i="6" s="1"/>
  <c r="Q73" i="6"/>
  <c r="D73" i="6"/>
  <c r="G73" i="6"/>
  <c r="M73" i="6" s="1"/>
  <c r="B73" i="6" s="1" a="1"/>
  <c r="B73" i="6" s="1"/>
  <c r="R73" i="6"/>
  <c r="S73" i="6" s="1"/>
  <c r="J73" i="6" s="1"/>
  <c r="Q74" i="6"/>
  <c r="D74" i="6"/>
  <c r="G74" i="6"/>
  <c r="M74" i="6" s="1"/>
  <c r="B74" i="6" s="1" a="1"/>
  <c r="B74" i="6" s="1"/>
  <c r="R74" i="6"/>
  <c r="S74" i="6" s="1"/>
  <c r="Q75" i="6"/>
  <c r="D75" i="6"/>
  <c r="G75" i="6"/>
  <c r="K75" i="6" s="1"/>
  <c r="L75" i="6"/>
  <c r="R75" i="6"/>
  <c r="S75" i="6" s="1"/>
  <c r="Q76" i="6"/>
  <c r="D76" i="6"/>
  <c r="G76" i="6"/>
  <c r="K76" i="6" s="1"/>
  <c r="R76" i="6"/>
  <c r="S76" i="6" s="1"/>
  <c r="Q77" i="6"/>
  <c r="D77" i="6"/>
  <c r="G77" i="6"/>
  <c r="L77" i="6" s="1"/>
  <c r="R77" i="6"/>
  <c r="S77" i="6" s="1"/>
  <c r="Q27" i="6"/>
  <c r="D27" i="6"/>
  <c r="G27" i="6"/>
  <c r="M27" i="6" s="1"/>
  <c r="B27" i="6" s="1" a="1"/>
  <c r="B27" i="6" s="1"/>
  <c r="R27" i="6"/>
  <c r="S27" i="6"/>
  <c r="Q31" i="6"/>
  <c r="D31" i="6"/>
  <c r="G31" i="6"/>
  <c r="K31" i="6" s="1"/>
  <c r="R31" i="6"/>
  <c r="S31" i="6" s="1"/>
  <c r="Q34" i="6"/>
  <c r="D34" i="6"/>
  <c r="G34" i="6"/>
  <c r="K34" i="6" s="1"/>
  <c r="R34" i="6"/>
  <c r="S34" i="6" s="1"/>
  <c r="J34" i="6" s="1"/>
  <c r="Q38" i="6"/>
  <c r="D38" i="6"/>
  <c r="G38" i="6"/>
  <c r="K38" i="6" s="1"/>
  <c r="R38" i="6"/>
  <c r="Q41" i="6"/>
  <c r="D41" i="6"/>
  <c r="G41" i="6"/>
  <c r="L41" i="6" s="1"/>
  <c r="R41" i="6"/>
  <c r="S41" i="6" s="1"/>
  <c r="Q42" i="6"/>
  <c r="D42" i="6"/>
  <c r="G42" i="6"/>
  <c r="L42" i="6" s="1"/>
  <c r="R42" i="6"/>
  <c r="S42" i="6" s="1"/>
  <c r="Q47" i="6"/>
  <c r="E9" i="17" s="1"/>
  <c r="F9" i="17" s="1"/>
  <c r="D47" i="6"/>
  <c r="G47" i="6"/>
  <c r="K47" i="6" s="1"/>
  <c r="R47" i="6"/>
  <c r="S47" i="6" s="1"/>
  <c r="Q17" i="6"/>
  <c r="D17" i="6"/>
  <c r="G17" i="6"/>
  <c r="K17" i="6" s="1"/>
  <c r="R17" i="6"/>
  <c r="S17" i="6" s="1"/>
  <c r="Q25" i="6"/>
  <c r="D25" i="6"/>
  <c r="G25" i="6"/>
  <c r="L25" i="6" s="1"/>
  <c r="R25" i="6"/>
  <c r="S25" i="6" s="1"/>
  <c r="J25" i="6" s="1"/>
  <c r="Q28" i="6"/>
  <c r="D28" i="6"/>
  <c r="G28" i="6"/>
  <c r="M28" i="6" s="1"/>
  <c r="B28" i="6" s="1" a="1"/>
  <c r="B28" i="6" s="1"/>
  <c r="R28" i="6"/>
  <c r="S28" i="6" s="1"/>
  <c r="Q51" i="6"/>
  <c r="D51" i="6"/>
  <c r="G51" i="6"/>
  <c r="L51" i="6" s="1"/>
  <c r="R51" i="6"/>
  <c r="S51" i="6" s="1"/>
  <c r="Q54" i="6"/>
  <c r="D54" i="6"/>
  <c r="G54" i="6"/>
  <c r="K54" i="6" s="1"/>
  <c r="R54" i="6"/>
  <c r="S54" i="6" s="1"/>
  <c r="Q9" i="6"/>
  <c r="D9" i="6"/>
  <c r="G9" i="6"/>
  <c r="R9" i="6"/>
  <c r="S9" i="6" s="1"/>
  <c r="Q65" i="16"/>
  <c r="D65" i="16"/>
  <c r="G65" i="16"/>
  <c r="K65" i="16" s="1"/>
  <c r="R65" i="16"/>
  <c r="S65" i="16" s="1"/>
  <c r="Q66" i="16"/>
  <c r="D66" i="16"/>
  <c r="G66" i="16"/>
  <c r="K66" i="16" s="1"/>
  <c r="R66" i="16"/>
  <c r="Q67" i="16"/>
  <c r="D67" i="16"/>
  <c r="G67" i="16"/>
  <c r="K67" i="16" s="1"/>
  <c r="R67" i="16"/>
  <c r="S67" i="16" s="1"/>
  <c r="J67" i="16" s="1"/>
  <c r="Q50" i="16"/>
  <c r="D50" i="16"/>
  <c r="G50" i="16"/>
  <c r="L50" i="16" s="1"/>
  <c r="K50" i="16"/>
  <c r="R50" i="16"/>
  <c r="S50" i="16" s="1"/>
  <c r="Q52" i="16"/>
  <c r="D52" i="16"/>
  <c r="G52" i="16"/>
  <c r="M52" i="16" s="1"/>
  <c r="B52" i="16" s="1" a="1"/>
  <c r="B52" i="16" s="1"/>
  <c r="R52" i="16"/>
  <c r="S52" i="16" s="1"/>
  <c r="Q55" i="16"/>
  <c r="D55" i="16"/>
  <c r="G55" i="16"/>
  <c r="M55" i="16" s="1"/>
  <c r="B55" i="16" s="1" a="1"/>
  <c r="B55" i="16" s="1"/>
  <c r="R55" i="16"/>
  <c r="S55" i="16" s="1"/>
  <c r="Q57" i="16"/>
  <c r="D57" i="16"/>
  <c r="G57" i="16"/>
  <c r="L57" i="16" s="1"/>
  <c r="R57" i="16"/>
  <c r="S57" i="16" s="1"/>
  <c r="Q62" i="16"/>
  <c r="D62" i="16"/>
  <c r="G62" i="16"/>
  <c r="K62" i="16" s="1"/>
  <c r="R62" i="16"/>
  <c r="S62" i="16" s="1"/>
  <c r="J62" i="16" s="1"/>
  <c r="Q12" i="16"/>
  <c r="D12" i="16"/>
  <c r="G12" i="16"/>
  <c r="L12" i="16" s="1"/>
  <c r="R12" i="16"/>
  <c r="S12" i="16" s="1"/>
  <c r="J12" i="16" s="1"/>
  <c r="Q26" i="16"/>
  <c r="G13" i="17" s="1"/>
  <c r="H13" i="17" s="1"/>
  <c r="D26" i="16"/>
  <c r="G26" i="16"/>
  <c r="M26" i="16" s="1"/>
  <c r="B26" i="16" s="1" a="1"/>
  <c r="B26" i="16" s="1"/>
  <c r="R26" i="16"/>
  <c r="S26" i="16" s="1"/>
  <c r="J26" i="16" s="1"/>
  <c r="Q34" i="16"/>
  <c r="D34" i="16"/>
  <c r="G34" i="16"/>
  <c r="L34" i="16" s="1"/>
  <c r="K34" i="16"/>
  <c r="R34" i="16"/>
  <c r="S34" i="16" s="1"/>
  <c r="Q35" i="16"/>
  <c r="G33" i="17" s="1"/>
  <c r="H33" i="17" s="1"/>
  <c r="D35" i="16"/>
  <c r="G35" i="16"/>
  <c r="M35" i="16" s="1"/>
  <c r="B35" i="16" s="1" a="1"/>
  <c r="B35" i="16" s="1"/>
  <c r="R35" i="16"/>
  <c r="S35" i="16" s="1"/>
  <c r="Q36" i="16"/>
  <c r="D36" i="16"/>
  <c r="G36" i="16"/>
  <c r="L36" i="16" s="1"/>
  <c r="K36" i="16"/>
  <c r="R36" i="16"/>
  <c r="S36" i="16" s="1"/>
  <c r="Q37" i="16"/>
  <c r="D37" i="16"/>
  <c r="G37" i="16"/>
  <c r="K37" i="16" s="1"/>
  <c r="R37" i="16"/>
  <c r="S37" i="16" s="1"/>
  <c r="J37" i="16" s="1"/>
  <c r="Q38" i="16"/>
  <c r="D38" i="16"/>
  <c r="G38" i="16"/>
  <c r="M38" i="16" s="1"/>
  <c r="B38" i="16" s="1" a="1"/>
  <c r="B38" i="16" s="1"/>
  <c r="R38" i="16"/>
  <c r="Q39" i="16"/>
  <c r="D39" i="16"/>
  <c r="G39" i="16"/>
  <c r="K39" i="16" s="1"/>
  <c r="R39" i="16"/>
  <c r="S39" i="16" s="1"/>
  <c r="Q40" i="16"/>
  <c r="D40" i="16"/>
  <c r="G40" i="16"/>
  <c r="L40" i="16" s="1"/>
  <c r="K40" i="16"/>
  <c r="R40" i="16"/>
  <c r="S40" i="16" s="1"/>
  <c r="Q41" i="16"/>
  <c r="D41" i="16"/>
  <c r="G41" i="16"/>
  <c r="K41" i="16" s="1"/>
  <c r="R41" i="16"/>
  <c r="S41" i="16" s="1"/>
  <c r="Q44" i="16"/>
  <c r="D44" i="16"/>
  <c r="G44" i="16"/>
  <c r="M44" i="16" s="1"/>
  <c r="B44" i="16" s="1" a="1"/>
  <c r="B44" i="16" s="1"/>
  <c r="K44" i="16"/>
  <c r="R44" i="16"/>
  <c r="S44" i="16" s="1"/>
  <c r="Q64" i="16"/>
  <c r="D64" i="16"/>
  <c r="G64" i="16"/>
  <c r="M64" i="16" s="1"/>
  <c r="R64" i="16"/>
  <c r="S64" i="16" s="1"/>
  <c r="Q49" i="16"/>
  <c r="D49" i="16"/>
  <c r="G49" i="16"/>
  <c r="K49" i="16" s="1"/>
  <c r="R49" i="16"/>
  <c r="S49" i="16" s="1"/>
  <c r="Q11" i="16"/>
  <c r="D11" i="16"/>
  <c r="G11" i="16"/>
  <c r="K11" i="16" s="1"/>
  <c r="R11" i="16"/>
  <c r="S11" i="16" s="1"/>
  <c r="Q33" i="15"/>
  <c r="D33" i="15"/>
  <c r="G33" i="15"/>
  <c r="L33" i="15" s="1"/>
  <c r="K33" i="15"/>
  <c r="R33" i="15"/>
  <c r="S33" i="15" s="1"/>
  <c r="Q38" i="15"/>
  <c r="D38" i="15"/>
  <c r="G38" i="15"/>
  <c r="L38" i="15" s="1"/>
  <c r="R38" i="15"/>
  <c r="S38" i="15" s="1"/>
  <c r="Q13" i="15"/>
  <c r="D13" i="15"/>
  <c r="G13" i="15"/>
  <c r="L13" i="15" s="1"/>
  <c r="K13" i="15"/>
  <c r="R13" i="15"/>
  <c r="S13" i="15" s="1"/>
  <c r="Q18" i="15"/>
  <c r="D18" i="15"/>
  <c r="G18" i="15"/>
  <c r="K18" i="15" s="1"/>
  <c r="R18" i="15"/>
  <c r="S18" i="15" s="1"/>
  <c r="Q25" i="15"/>
  <c r="D25" i="15"/>
  <c r="G25" i="15"/>
  <c r="K25" i="15" s="1"/>
  <c r="R25" i="15"/>
  <c r="S25" i="15" s="1"/>
  <c r="Q30" i="15"/>
  <c r="G55" i="17" s="1"/>
  <c r="H55" i="17" s="1"/>
  <c r="D30" i="15"/>
  <c r="G30" i="15"/>
  <c r="L30" i="15" s="1"/>
  <c r="R30" i="15"/>
  <c r="S30" i="15" s="1"/>
  <c r="Q10" i="15"/>
  <c r="D10" i="15"/>
  <c r="G10" i="15"/>
  <c r="L10" i="15" s="1"/>
  <c r="R10" i="15"/>
  <c r="S10" i="15" s="1"/>
  <c r="Q22" i="15"/>
  <c r="D22" i="15"/>
  <c r="G22" i="15"/>
  <c r="K22" i="15" s="1"/>
  <c r="R22" i="15"/>
  <c r="S22" i="15" s="1"/>
  <c r="Q32" i="15"/>
  <c r="D32" i="15"/>
  <c r="G32" i="15"/>
  <c r="L32" i="15" s="1"/>
  <c r="R32" i="15"/>
  <c r="S32" i="15" s="1"/>
  <c r="Q43" i="15"/>
  <c r="D43" i="15"/>
  <c r="G43" i="15"/>
  <c r="K43" i="15" s="1"/>
  <c r="R43" i="15"/>
  <c r="R14" i="13"/>
  <c r="D14" i="13"/>
  <c r="H14" i="13"/>
  <c r="L14" i="13" s="1"/>
  <c r="S14" i="13"/>
  <c r="T14" i="13"/>
  <c r="Y14" i="13"/>
  <c r="AF14" i="13"/>
  <c r="R11" i="13"/>
  <c r="D11" i="13"/>
  <c r="H11" i="13"/>
  <c r="L11" i="13" s="1"/>
  <c r="S11" i="13"/>
  <c r="T11" i="13"/>
  <c r="Y11" i="13"/>
  <c r="AF11" i="13"/>
  <c r="R12" i="13"/>
  <c r="D12" i="13"/>
  <c r="H12" i="13"/>
  <c r="L12" i="13" s="1"/>
  <c r="S12" i="13"/>
  <c r="T12" i="13"/>
  <c r="Y12" i="13"/>
  <c r="AF12" i="13"/>
  <c r="R13" i="13"/>
  <c r="D13" i="13"/>
  <c r="H13" i="13"/>
  <c r="N13" i="13" s="1"/>
  <c r="B13" i="13" s="1" a="1"/>
  <c r="B13" i="13" s="1"/>
  <c r="S13" i="13"/>
  <c r="T13" i="13"/>
  <c r="Y13" i="13"/>
  <c r="AF13" i="13"/>
  <c r="R19" i="13"/>
  <c r="D19" i="13"/>
  <c r="H19" i="13"/>
  <c r="L19" i="13" s="1"/>
  <c r="S19" i="13"/>
  <c r="T19" i="13"/>
  <c r="Y19" i="13"/>
  <c r="AF19" i="13"/>
  <c r="R21" i="13"/>
  <c r="D21" i="13"/>
  <c r="H21" i="13"/>
  <c r="N21" i="13" s="1"/>
  <c r="B21" i="13" s="1" a="1"/>
  <c r="B21" i="13" s="1"/>
  <c r="S21" i="13"/>
  <c r="T21" i="13"/>
  <c r="Y21" i="13"/>
  <c r="AF21" i="13"/>
  <c r="R5" i="13"/>
  <c r="D5" i="13"/>
  <c r="H5" i="13"/>
  <c r="N5" i="13" s="1"/>
  <c r="S5" i="13"/>
  <c r="T5" i="13"/>
  <c r="Y5" i="13"/>
  <c r="AF5" i="13"/>
  <c r="R11" i="12"/>
  <c r="D11" i="12"/>
  <c r="H11" i="12"/>
  <c r="L11" i="12" s="1"/>
  <c r="S11" i="12"/>
  <c r="T11" i="12"/>
  <c r="Y11" i="12"/>
  <c r="AF11" i="12"/>
  <c r="R13" i="12"/>
  <c r="D13" i="12"/>
  <c r="H13" i="12"/>
  <c r="L13" i="12" s="1"/>
  <c r="S13" i="12"/>
  <c r="T13" i="12"/>
  <c r="Y13" i="12"/>
  <c r="AF13" i="12"/>
  <c r="R9" i="12"/>
  <c r="D9" i="12"/>
  <c r="H9" i="12"/>
  <c r="L9" i="12" s="1"/>
  <c r="S9" i="12"/>
  <c r="T9" i="12"/>
  <c r="Y9" i="12"/>
  <c r="AF9" i="12"/>
  <c r="R7" i="12"/>
  <c r="D7" i="12"/>
  <c r="H7" i="12"/>
  <c r="M7" i="12" s="1"/>
  <c r="S7" i="12"/>
  <c r="T7" i="12"/>
  <c r="Y7" i="12"/>
  <c r="AF7" i="12"/>
  <c r="Q97" i="11"/>
  <c r="D97" i="11"/>
  <c r="G97" i="11"/>
  <c r="L97" i="11" s="1"/>
  <c r="X97" i="11"/>
  <c r="AE97" i="11"/>
  <c r="Q98" i="11"/>
  <c r="D98" i="11"/>
  <c r="G98" i="11"/>
  <c r="L98" i="11" s="1"/>
  <c r="X98" i="11"/>
  <c r="AE98" i="11"/>
  <c r="Q100" i="11"/>
  <c r="D100" i="11"/>
  <c r="G100" i="11"/>
  <c r="L100" i="11" s="1"/>
  <c r="X100" i="11"/>
  <c r="AE100" i="11"/>
  <c r="Q82" i="11"/>
  <c r="D82" i="11"/>
  <c r="G82" i="11"/>
  <c r="L82" i="11" s="1"/>
  <c r="X82" i="11"/>
  <c r="AE82" i="11"/>
  <c r="Q84" i="11"/>
  <c r="D84" i="11"/>
  <c r="G84" i="11"/>
  <c r="L84" i="11" s="1"/>
  <c r="X84" i="11"/>
  <c r="AE84" i="11"/>
  <c r="Q89" i="11"/>
  <c r="D89" i="11"/>
  <c r="G89" i="11"/>
  <c r="L89" i="11" s="1"/>
  <c r="X89" i="11"/>
  <c r="AE89" i="11"/>
  <c r="Q90" i="11"/>
  <c r="D90" i="11"/>
  <c r="G90" i="11"/>
  <c r="L90" i="11" s="1"/>
  <c r="X90" i="11"/>
  <c r="AE90" i="11"/>
  <c r="K90" i="11" s="1"/>
  <c r="Q14" i="11"/>
  <c r="D14" i="11"/>
  <c r="G14" i="11"/>
  <c r="K14" i="11" s="1"/>
  <c r="X14" i="11"/>
  <c r="AE14" i="11"/>
  <c r="Q22" i="11"/>
  <c r="D22" i="11"/>
  <c r="G22" i="11"/>
  <c r="R22" i="11" s="1"/>
  <c r="X22" i="11"/>
  <c r="AE22" i="11"/>
  <c r="Q30" i="11"/>
  <c r="D30" i="11"/>
  <c r="G30" i="11"/>
  <c r="L30" i="11" s="1"/>
  <c r="X30" i="11"/>
  <c r="AE30" i="11"/>
  <c r="Q42" i="11"/>
  <c r="C38" i="17" s="1"/>
  <c r="D38" i="17" s="1"/>
  <c r="D42" i="11"/>
  <c r="G42" i="11"/>
  <c r="L42" i="11" s="1"/>
  <c r="X42" i="11"/>
  <c r="AE42" i="11"/>
  <c r="Q43" i="11"/>
  <c r="D43" i="11"/>
  <c r="G43" i="11"/>
  <c r="K43" i="11" s="1"/>
  <c r="X43" i="11"/>
  <c r="AE43" i="11"/>
  <c r="Q49" i="11"/>
  <c r="D49" i="11"/>
  <c r="G49" i="11"/>
  <c r="L49" i="11" s="1"/>
  <c r="X49" i="11"/>
  <c r="AE49" i="11"/>
  <c r="Q50" i="11"/>
  <c r="D50" i="11"/>
  <c r="G50" i="11"/>
  <c r="K50" i="11" s="1"/>
  <c r="L50" i="11"/>
  <c r="M50" i="11"/>
  <c r="B50" i="11" s="1" a="1"/>
  <c r="B50" i="11" s="1"/>
  <c r="X50" i="11"/>
  <c r="AE50" i="11"/>
  <c r="Q55" i="11"/>
  <c r="D55" i="11"/>
  <c r="G55" i="11"/>
  <c r="M55" i="11" s="1"/>
  <c r="B55" i="11" s="1" a="1"/>
  <c r="B55" i="11" s="1"/>
  <c r="X55" i="11"/>
  <c r="AE55" i="11"/>
  <c r="Q58" i="11"/>
  <c r="D58" i="11"/>
  <c r="G58" i="11"/>
  <c r="M58" i="11" s="1"/>
  <c r="B58" i="11" s="1" a="1"/>
  <c r="B58" i="11" s="1"/>
  <c r="X58" i="11"/>
  <c r="AE58" i="11"/>
  <c r="Q60" i="11"/>
  <c r="D60" i="11"/>
  <c r="G60" i="11"/>
  <c r="S60" i="11" s="1"/>
  <c r="X60" i="11"/>
  <c r="AE60" i="11"/>
  <c r="Q64" i="11"/>
  <c r="D64" i="11"/>
  <c r="G64" i="11"/>
  <c r="R64" i="11" s="1"/>
  <c r="X64" i="11"/>
  <c r="AE64" i="11"/>
  <c r="Q65" i="11"/>
  <c r="D65" i="11"/>
  <c r="G65" i="11"/>
  <c r="M65" i="11" s="1"/>
  <c r="B65" i="11" s="1" a="1"/>
  <c r="B65" i="11" s="1"/>
  <c r="X65" i="11"/>
  <c r="AE65" i="11"/>
  <c r="Q66" i="11"/>
  <c r="D66" i="11"/>
  <c r="G66" i="11"/>
  <c r="M66" i="11" s="1"/>
  <c r="B66" i="11" s="1" a="1"/>
  <c r="B66" i="11" s="1"/>
  <c r="X66" i="11"/>
  <c r="AE66" i="11"/>
  <c r="Q68" i="11"/>
  <c r="D68" i="11"/>
  <c r="G68" i="11"/>
  <c r="L68" i="11" s="1"/>
  <c r="X68" i="11"/>
  <c r="AE68" i="11"/>
  <c r="Q69" i="11"/>
  <c r="D69" i="11"/>
  <c r="G69" i="11"/>
  <c r="K69" i="11" s="1"/>
  <c r="X69" i="11"/>
  <c r="AE69" i="11"/>
  <c r="Q10" i="11"/>
  <c r="D10" i="11"/>
  <c r="G10" i="11"/>
  <c r="L10" i="11" s="1"/>
  <c r="X10" i="11"/>
  <c r="AE10" i="11"/>
  <c r="Q62" i="11"/>
  <c r="D62" i="11"/>
  <c r="G62" i="11"/>
  <c r="L62" i="11" s="1"/>
  <c r="X62" i="11"/>
  <c r="AE62" i="11"/>
  <c r="Q70" i="11"/>
  <c r="D70" i="11"/>
  <c r="G70" i="11"/>
  <c r="L70" i="11" s="1"/>
  <c r="X70" i="11"/>
  <c r="AE70" i="11"/>
  <c r="Q75" i="11"/>
  <c r="D75" i="11"/>
  <c r="G75" i="11"/>
  <c r="L75" i="11" s="1"/>
  <c r="X75" i="11"/>
  <c r="AE75" i="11"/>
  <c r="Q5" i="11"/>
  <c r="D5" i="11"/>
  <c r="G5" i="11"/>
  <c r="K5" i="11" s="1"/>
  <c r="X5" i="11"/>
  <c r="AE5" i="11"/>
  <c r="Q96" i="11"/>
  <c r="D96" i="11"/>
  <c r="G96" i="11"/>
  <c r="L96" i="11" s="1"/>
  <c r="X96" i="11"/>
  <c r="AE96" i="11"/>
  <c r="AE83" i="3"/>
  <c r="AE85" i="3"/>
  <c r="AE61" i="3"/>
  <c r="AE68" i="3"/>
  <c r="AE70" i="3"/>
  <c r="AE71" i="3"/>
  <c r="AE75" i="3"/>
  <c r="AE76" i="3"/>
  <c r="AE28" i="3"/>
  <c r="AE22" i="3"/>
  <c r="AE24" i="3"/>
  <c r="AE43" i="3"/>
  <c r="AE46" i="3"/>
  <c r="R51" i="3"/>
  <c r="S51" i="3"/>
  <c r="AE51" i="3"/>
  <c r="AE53" i="3"/>
  <c r="AE27" i="3"/>
  <c r="AE42" i="3"/>
  <c r="AE47" i="3"/>
  <c r="AE57" i="3"/>
  <c r="AE62" i="3"/>
  <c r="AE63" i="3"/>
  <c r="G83" i="3"/>
  <c r="L83" i="3" s="1"/>
  <c r="G85" i="3"/>
  <c r="L85" i="3" s="1"/>
  <c r="G61" i="3"/>
  <c r="L61" i="3" s="1"/>
  <c r="G68" i="3"/>
  <c r="L68" i="3" s="1"/>
  <c r="G70" i="3"/>
  <c r="L70" i="3" s="1"/>
  <c r="G71" i="3"/>
  <c r="L71" i="3" s="1"/>
  <c r="G75" i="3"/>
  <c r="L75" i="3" s="1"/>
  <c r="G76" i="3"/>
  <c r="G28" i="3"/>
  <c r="L28" i="3" s="1"/>
  <c r="G22" i="3"/>
  <c r="L22" i="3" s="1"/>
  <c r="G24" i="3"/>
  <c r="K24" i="3" s="1"/>
  <c r="G43" i="3"/>
  <c r="R43" i="3" s="1"/>
  <c r="G46" i="3"/>
  <c r="K46" i="3" s="1"/>
  <c r="G51" i="3"/>
  <c r="K51" i="3" s="1"/>
  <c r="G53" i="3"/>
  <c r="K53" i="3" s="1"/>
  <c r="G27" i="3"/>
  <c r="K27" i="3" s="1"/>
  <c r="G42" i="3"/>
  <c r="L42" i="3" s="1"/>
  <c r="G47" i="3"/>
  <c r="K47" i="3" s="1"/>
  <c r="G57" i="3"/>
  <c r="L57" i="3" s="1"/>
  <c r="G62" i="3"/>
  <c r="L62" i="3" s="1"/>
  <c r="G63" i="3"/>
  <c r="L63" i="3" s="1"/>
  <c r="D83" i="3"/>
  <c r="D85" i="3"/>
  <c r="D61" i="3"/>
  <c r="D68" i="3"/>
  <c r="D70" i="3"/>
  <c r="D71" i="3"/>
  <c r="D75" i="3"/>
  <c r="D76" i="3"/>
  <c r="D28" i="3"/>
  <c r="D22" i="3"/>
  <c r="D24" i="3"/>
  <c r="D43" i="3"/>
  <c r="D46" i="3"/>
  <c r="D51" i="3"/>
  <c r="D53" i="3"/>
  <c r="D27" i="3"/>
  <c r="D42" i="3"/>
  <c r="D47" i="3"/>
  <c r="D57" i="3"/>
  <c r="D62" i="3"/>
  <c r="D63" i="3"/>
  <c r="Q83" i="3"/>
  <c r="Q85" i="3"/>
  <c r="Q61" i="3"/>
  <c r="Q68" i="3"/>
  <c r="Q70" i="3"/>
  <c r="Q71" i="3"/>
  <c r="Q75" i="3"/>
  <c r="Q76" i="3"/>
  <c r="Q28" i="3"/>
  <c r="Q22" i="3"/>
  <c r="Q24" i="3"/>
  <c r="Q43" i="3"/>
  <c r="Q46" i="3"/>
  <c r="Q51" i="3"/>
  <c r="Q53" i="3"/>
  <c r="Q27" i="3"/>
  <c r="Q42" i="3"/>
  <c r="Q47" i="3"/>
  <c r="Q57" i="3"/>
  <c r="Q62" i="3"/>
  <c r="Q63" i="3"/>
  <c r="H3" i="12"/>
  <c r="L55" i="14" l="1"/>
  <c r="M85" i="14"/>
  <c r="B85" i="14" s="1" a="1"/>
  <c r="B85" i="14" s="1"/>
  <c r="L94" i="14"/>
  <c r="K94" i="14"/>
  <c r="K91" i="14"/>
  <c r="K58" i="6"/>
  <c r="K51" i="6"/>
  <c r="M88" i="6"/>
  <c r="B88" i="6" s="1" a="1"/>
  <c r="B88" i="6" s="1"/>
  <c r="K88" i="6"/>
  <c r="K74" i="6"/>
  <c r="L27" i="6"/>
  <c r="K27" i="6"/>
  <c r="M75" i="6"/>
  <c r="B75" i="6" s="1" a="1"/>
  <c r="B75" i="6" s="1"/>
  <c r="K9" i="6"/>
  <c r="L44" i="16"/>
  <c r="K64" i="16"/>
  <c r="L52" i="16"/>
  <c r="L55" i="16"/>
  <c r="L64" i="16"/>
  <c r="K30" i="15"/>
  <c r="K38" i="15"/>
  <c r="M33" i="15"/>
  <c r="B33" i="15" s="1" a="1"/>
  <c r="B33" i="15" s="1"/>
  <c r="M13" i="13"/>
  <c r="M5" i="13"/>
  <c r="L13" i="13"/>
  <c r="L5" i="13"/>
  <c r="L65" i="11"/>
  <c r="K58" i="11"/>
  <c r="M43" i="11"/>
  <c r="B43" i="11" s="1" a="1"/>
  <c r="B43" i="11" s="1"/>
  <c r="R50" i="11"/>
  <c r="L43" i="11"/>
  <c r="K42" i="11"/>
  <c r="R43" i="11"/>
  <c r="K65" i="11"/>
  <c r="K62" i="11"/>
  <c r="L58" i="11"/>
  <c r="K68" i="3"/>
  <c r="B47" i="14" a="1"/>
  <c r="B47" i="14" s="1"/>
  <c r="L77" i="14"/>
  <c r="L85" i="14"/>
  <c r="L47" i="14"/>
  <c r="K47" i="14"/>
  <c r="K26" i="14"/>
  <c r="M55" i="14"/>
  <c r="B55" i="14" s="1" a="1"/>
  <c r="B55" i="14" s="1"/>
  <c r="M79" i="14"/>
  <c r="K42" i="6"/>
  <c r="K52" i="16"/>
  <c r="M14" i="13"/>
  <c r="N14" i="13"/>
  <c r="B14" i="13" s="1" a="1"/>
  <c r="B14" i="13" s="1"/>
  <c r="N11" i="12"/>
  <c r="B11" i="12" s="1" a="1"/>
  <c r="B11" i="12" s="1"/>
  <c r="M11" i="12"/>
  <c r="L66" i="11"/>
  <c r="K70" i="11"/>
  <c r="K66" i="11"/>
  <c r="L55" i="11"/>
  <c r="K60" i="11"/>
  <c r="K55" i="11"/>
  <c r="K49" i="11"/>
  <c r="K84" i="11"/>
  <c r="K42" i="3"/>
  <c r="K70" i="3"/>
  <c r="K11" i="14"/>
  <c r="L79" i="14"/>
  <c r="K74" i="14"/>
  <c r="K93" i="14"/>
  <c r="M27" i="14"/>
  <c r="B27" i="14" s="1" a="1"/>
  <c r="B27" i="14" s="1"/>
  <c r="L27" i="14"/>
  <c r="M44" i="14"/>
  <c r="B44" i="14" s="1" a="1"/>
  <c r="B44" i="14" s="1"/>
  <c r="M78" i="14"/>
  <c r="B78" i="14" s="1" a="1"/>
  <c r="B78" i="14" s="1"/>
  <c r="L44" i="14"/>
  <c r="L78" i="14"/>
  <c r="K62" i="14"/>
  <c r="K45" i="14"/>
  <c r="L26" i="14"/>
  <c r="M80" i="14"/>
  <c r="B80" i="14" s="1" a="1"/>
  <c r="B80" i="14" s="1"/>
  <c r="L74" i="6"/>
  <c r="L62" i="6"/>
  <c r="K41" i="6"/>
  <c r="K62" i="6"/>
  <c r="K55" i="16"/>
  <c r="L38" i="16"/>
  <c r="K38" i="16"/>
  <c r="M13" i="15"/>
  <c r="B13" i="15" s="1" a="1"/>
  <c r="B13" i="15" s="1"/>
  <c r="K32" i="15"/>
  <c r="K28" i="3"/>
  <c r="M42" i="6"/>
  <c r="B42" i="6" s="1" a="1"/>
  <c r="B42" i="6" s="1"/>
  <c r="M51" i="6"/>
  <c r="M34" i="6"/>
  <c r="B34" i="6" s="1" a="1"/>
  <c r="B34" i="6" s="1"/>
  <c r="L34" i="6"/>
  <c r="M9" i="6"/>
  <c r="L9" i="6"/>
  <c r="K77" i="6"/>
  <c r="K72" i="6"/>
  <c r="M40" i="16"/>
  <c r="B40" i="16" s="1" a="1"/>
  <c r="B40" i="16" s="1"/>
  <c r="M41" i="16"/>
  <c r="B41" i="16" s="1" a="1"/>
  <c r="B41" i="16" s="1"/>
  <c r="L41" i="16"/>
  <c r="L65" i="16"/>
  <c r="M65" i="16"/>
  <c r="B65" i="16" s="1" a="1"/>
  <c r="B65" i="16" s="1"/>
  <c r="M36" i="16"/>
  <c r="B36" i="16" s="1" a="1"/>
  <c r="B36" i="16" s="1"/>
  <c r="M43" i="15"/>
  <c r="B43" i="15" s="1" a="1"/>
  <c r="B43" i="15" s="1"/>
  <c r="L43" i="15"/>
  <c r="L18" i="15"/>
  <c r="M18" i="15"/>
  <c r="B18" i="15" s="1" a="1"/>
  <c r="B18" i="15" s="1"/>
  <c r="M30" i="15"/>
  <c r="B30" i="15" s="1" a="1"/>
  <c r="B30" i="15" s="1"/>
  <c r="M21" i="13"/>
  <c r="L21" i="13"/>
  <c r="N13" i="12"/>
  <c r="B13" i="12" s="1" a="1"/>
  <c r="B13" i="12" s="1"/>
  <c r="M60" i="11"/>
  <c r="B60" i="11" s="1" a="1"/>
  <c r="B60" i="11" s="1"/>
  <c r="R55" i="11"/>
  <c r="K68" i="11"/>
  <c r="L60" i="11"/>
  <c r="R5" i="11"/>
  <c r="K98" i="11"/>
  <c r="R49" i="11"/>
  <c r="M70" i="11"/>
  <c r="B70" i="11" s="1" a="1"/>
  <c r="B70" i="11" s="1"/>
  <c r="K30" i="11"/>
  <c r="M5" i="11"/>
  <c r="L5" i="11"/>
  <c r="M49" i="11"/>
  <c r="B49" i="11" s="1" a="1"/>
  <c r="B49" i="11" s="1"/>
  <c r="M42" i="11"/>
  <c r="B42" i="11" s="1" a="1"/>
  <c r="B42" i="11" s="1"/>
  <c r="M64" i="11"/>
  <c r="B64" i="11" s="1" a="1"/>
  <c r="B64" i="11" s="1"/>
  <c r="R42" i="11"/>
  <c r="L64" i="11"/>
  <c r="M82" i="11"/>
  <c r="B82" i="11" s="1" a="1"/>
  <c r="B82" i="11" s="1"/>
  <c r="K64" i="11"/>
  <c r="K89" i="11"/>
  <c r="K61" i="3"/>
  <c r="M57" i="3"/>
  <c r="B57" i="3" s="1" a="1"/>
  <c r="B57" i="3" s="1"/>
  <c r="L51" i="3"/>
  <c r="M46" i="3"/>
  <c r="B46" i="3" s="1" a="1"/>
  <c r="B46" i="3" s="1"/>
  <c r="R27" i="3"/>
  <c r="S46" i="3"/>
  <c r="R46" i="3"/>
  <c r="S24" i="3"/>
  <c r="M51" i="3"/>
  <c r="B51" i="3" s="1" a="1"/>
  <c r="B51" i="3" s="1"/>
  <c r="S27" i="3"/>
  <c r="K57" i="3"/>
  <c r="S22" i="3"/>
  <c r="R22" i="3"/>
  <c r="M27" i="3"/>
  <c r="B27" i="3" s="1" a="1"/>
  <c r="B27" i="3" s="1"/>
  <c r="M43" i="3"/>
  <c r="B43" i="3" s="1" a="1"/>
  <c r="B43" i="3" s="1"/>
  <c r="S28" i="3"/>
  <c r="L27" i="3"/>
  <c r="K76" i="3"/>
  <c r="K22" i="3"/>
  <c r="R28" i="3"/>
  <c r="K43" i="3"/>
  <c r="M28" i="3"/>
  <c r="B28" i="3" s="1" a="1"/>
  <c r="B28" i="3" s="1"/>
  <c r="R24" i="3"/>
  <c r="M24" i="3"/>
  <c r="B24" i="3" s="1" a="1"/>
  <c r="B24" i="3" s="1"/>
  <c r="L24" i="3"/>
  <c r="R57" i="3"/>
  <c r="S57" i="3" s="1"/>
  <c r="L43" i="3"/>
  <c r="S47" i="3"/>
  <c r="S53" i="3"/>
  <c r="R47" i="3"/>
  <c r="M47" i="3"/>
  <c r="B47" i="3" s="1" a="1"/>
  <c r="B47" i="3" s="1"/>
  <c r="M85" i="3"/>
  <c r="B85" i="3" s="1" a="1"/>
  <c r="B85" i="3" s="1"/>
  <c r="L47" i="3"/>
  <c r="M76" i="3"/>
  <c r="B76" i="3" s="1" a="1"/>
  <c r="B76" i="3" s="1"/>
  <c r="K63" i="3"/>
  <c r="L76" i="3"/>
  <c r="R53" i="3"/>
  <c r="L46" i="3"/>
  <c r="M83" i="3"/>
  <c r="B83" i="3" s="1" a="1"/>
  <c r="B83" i="3" s="1"/>
  <c r="K62" i="3"/>
  <c r="S42" i="3"/>
  <c r="M53" i="3"/>
  <c r="B53" i="3" s="1" a="1"/>
  <c r="B53" i="3" s="1"/>
  <c r="M75" i="3"/>
  <c r="B75" i="3" s="1" a="1"/>
  <c r="B75" i="3" s="1"/>
  <c r="R42" i="3"/>
  <c r="L53" i="3"/>
  <c r="M42" i="3"/>
  <c r="B42" i="3" s="1" a="1"/>
  <c r="B42" i="3" s="1"/>
  <c r="S43" i="3"/>
  <c r="J43" i="3" s="1"/>
  <c r="M22" i="3"/>
  <c r="B22" i="3" s="1" a="1"/>
  <c r="B22" i="3" s="1"/>
  <c r="R71" i="3"/>
  <c r="S71" i="3" s="1"/>
  <c r="J71" i="3" s="1"/>
  <c r="M48" i="14"/>
  <c r="B48" i="14" s="1" a="1"/>
  <c r="B48" i="14" s="1"/>
  <c r="L48" i="14"/>
  <c r="M81" i="14"/>
  <c r="B81" i="14" s="1" a="1"/>
  <c r="B81" i="14" s="1"/>
  <c r="K81" i="14"/>
  <c r="J93" i="14"/>
  <c r="J79" i="14"/>
  <c r="J51" i="14"/>
  <c r="J90" i="14"/>
  <c r="J43" i="14"/>
  <c r="J94" i="14"/>
  <c r="J44" i="14"/>
  <c r="J71" i="14"/>
  <c r="S53" i="14"/>
  <c r="J53" i="14" s="1"/>
  <c r="J78" i="14"/>
  <c r="J74" i="14"/>
  <c r="J85" i="14"/>
  <c r="J50" i="14"/>
  <c r="J24" i="14"/>
  <c r="J26" i="14"/>
  <c r="J81" i="14"/>
  <c r="J47" i="14"/>
  <c r="J62" i="14"/>
  <c r="J48" i="14"/>
  <c r="M43" i="14"/>
  <c r="B43" i="14" s="1" a="1"/>
  <c r="B43" i="14" s="1"/>
  <c r="L43" i="14"/>
  <c r="M45" i="14"/>
  <c r="B45" i="14" s="1" a="1"/>
  <c r="B45" i="14" s="1"/>
  <c r="L24" i="14"/>
  <c r="K77" i="14"/>
  <c r="M93" i="14"/>
  <c r="B93" i="14" s="1" a="1"/>
  <c r="B93" i="14" s="1"/>
  <c r="M62" i="14"/>
  <c r="B62" i="14" s="1" a="1"/>
  <c r="B62" i="14" s="1"/>
  <c r="K53" i="14"/>
  <c r="K24" i="14"/>
  <c r="S89" i="14"/>
  <c r="J89" i="14" s="1"/>
  <c r="L80" i="14"/>
  <c r="S45" i="14"/>
  <c r="J45" i="14" s="1"/>
  <c r="M89" i="14"/>
  <c r="B89" i="14" s="1" a="1"/>
  <c r="B89" i="14" s="1"/>
  <c r="M90" i="14"/>
  <c r="B90" i="14" s="1" a="1"/>
  <c r="B90" i="14" s="1"/>
  <c r="L89" i="14"/>
  <c r="M91" i="14"/>
  <c r="B91" i="14" s="1" a="1"/>
  <c r="B91" i="14" s="1"/>
  <c r="L90" i="14"/>
  <c r="J80" i="14"/>
  <c r="M50" i="14"/>
  <c r="B50" i="14" s="1" a="1"/>
  <c r="B50" i="14" s="1"/>
  <c r="M71" i="14"/>
  <c r="B71" i="14" s="1" a="1"/>
  <c r="B71" i="14" s="1"/>
  <c r="M51" i="14"/>
  <c r="B51" i="14" s="1" a="1"/>
  <c r="B51" i="14" s="1"/>
  <c r="L50" i="14"/>
  <c r="M53" i="14"/>
  <c r="B53" i="14" s="1" a="1"/>
  <c r="B53" i="14" s="1"/>
  <c r="L51" i="14"/>
  <c r="M74" i="14"/>
  <c r="B74" i="14" s="1" a="1"/>
  <c r="B74" i="14" s="1"/>
  <c r="L72" i="14"/>
  <c r="K71" i="14"/>
  <c r="J55" i="14"/>
  <c r="M72" i="14"/>
  <c r="B72" i="14" s="1" a="1"/>
  <c r="B72" i="14" s="1"/>
  <c r="L73" i="6"/>
  <c r="M41" i="6"/>
  <c r="B41" i="6" s="1" a="1"/>
  <c r="B41" i="6" s="1"/>
  <c r="M31" i="6"/>
  <c r="B31" i="6" s="1" a="1"/>
  <c r="B31" i="6" s="1"/>
  <c r="L31" i="6"/>
  <c r="M77" i="6"/>
  <c r="B77" i="6" s="1" a="1"/>
  <c r="B77" i="6" s="1"/>
  <c r="K73" i="6"/>
  <c r="L28" i="6"/>
  <c r="K28" i="6"/>
  <c r="J57" i="6"/>
  <c r="J74" i="6"/>
  <c r="J51" i="6"/>
  <c r="J72" i="6"/>
  <c r="J54" i="6"/>
  <c r="J62" i="6"/>
  <c r="J28" i="6"/>
  <c r="J75" i="6"/>
  <c r="J17" i="6"/>
  <c r="J70" i="6"/>
  <c r="J88" i="6"/>
  <c r="J77" i="6"/>
  <c r="J42" i="6"/>
  <c r="J27" i="6"/>
  <c r="J31" i="6"/>
  <c r="J47" i="6"/>
  <c r="J41" i="6"/>
  <c r="S95" i="6"/>
  <c r="J95" i="6" s="1"/>
  <c r="L38" i="6"/>
  <c r="L69" i="6"/>
  <c r="M38" i="6"/>
  <c r="B38" i="6" s="1" a="1"/>
  <c r="B38" i="6" s="1"/>
  <c r="M69" i="6"/>
  <c r="B69" i="6" s="1" a="1"/>
  <c r="B69" i="6" s="1"/>
  <c r="M54" i="6"/>
  <c r="B54" i="6" s="1" a="1"/>
  <c r="B54" i="6" s="1"/>
  <c r="K25" i="6"/>
  <c r="L54" i="6"/>
  <c r="M76" i="6"/>
  <c r="B76" i="6" s="1" a="1"/>
  <c r="B76" i="6" s="1"/>
  <c r="L76" i="6"/>
  <c r="S38" i="6"/>
  <c r="J38" i="6" s="1"/>
  <c r="M95" i="6"/>
  <c r="B95" i="6" s="1" a="1"/>
  <c r="B95" i="6" s="1"/>
  <c r="M57" i="6"/>
  <c r="B57" i="6" s="1" a="1"/>
  <c r="B57" i="6" s="1"/>
  <c r="L95" i="6"/>
  <c r="M58" i="6"/>
  <c r="B58" i="6" s="1" a="1"/>
  <c r="B58" i="6" s="1"/>
  <c r="L57" i="6"/>
  <c r="M47" i="6"/>
  <c r="B47" i="6" s="1" a="1"/>
  <c r="B47" i="6" s="1"/>
  <c r="M70" i="6"/>
  <c r="B70" i="6" s="1" a="1"/>
  <c r="B70" i="6" s="1"/>
  <c r="M17" i="6"/>
  <c r="B17" i="6" s="1" a="1"/>
  <c r="B17" i="6" s="1"/>
  <c r="L47" i="6"/>
  <c r="M25" i="6"/>
  <c r="B25" i="6" s="1" a="1"/>
  <c r="B25" i="6" s="1"/>
  <c r="L17" i="6"/>
  <c r="M72" i="6"/>
  <c r="B72" i="6" s="1" a="1"/>
  <c r="B72" i="6" s="1"/>
  <c r="L71" i="6"/>
  <c r="K70" i="6"/>
  <c r="J9" i="6"/>
  <c r="J76" i="6"/>
  <c r="M71" i="6"/>
  <c r="B71" i="6" s="1" a="1"/>
  <c r="B71" i="6" s="1"/>
  <c r="M39" i="16"/>
  <c r="B39" i="16" s="1" a="1"/>
  <c r="B39" i="16" s="1"/>
  <c r="M37" i="16"/>
  <c r="B37" i="16" s="1" a="1"/>
  <c r="B37" i="16" s="1"/>
  <c r="L39" i="16"/>
  <c r="L37" i="16"/>
  <c r="J55" i="16"/>
  <c r="J50" i="16"/>
  <c r="J35" i="16"/>
  <c r="J11" i="16"/>
  <c r="J57" i="16"/>
  <c r="J52" i="16"/>
  <c r="J34" i="16"/>
  <c r="J41" i="16"/>
  <c r="J44" i="16"/>
  <c r="J64" i="16"/>
  <c r="J65" i="16"/>
  <c r="J40" i="16"/>
  <c r="J49" i="16"/>
  <c r="J39" i="16"/>
  <c r="L35" i="16"/>
  <c r="K35" i="16"/>
  <c r="M62" i="16"/>
  <c r="B62" i="16" s="1" a="1"/>
  <c r="B62" i="16" s="1"/>
  <c r="M34" i="16"/>
  <c r="B34" i="16" s="1" a="1"/>
  <c r="B34" i="16" s="1"/>
  <c r="L26" i="16"/>
  <c r="K12" i="16"/>
  <c r="S38" i="16"/>
  <c r="J38" i="16" s="1"/>
  <c r="K26" i="16"/>
  <c r="S66" i="16"/>
  <c r="J66" i="16" s="1"/>
  <c r="M66" i="16"/>
  <c r="B66" i="16" s="1" a="1"/>
  <c r="B66" i="16" s="1"/>
  <c r="M67" i="16"/>
  <c r="B67" i="16" s="1" a="1"/>
  <c r="B67" i="16" s="1"/>
  <c r="L66" i="16"/>
  <c r="M50" i="16"/>
  <c r="B50" i="16" s="1" a="1"/>
  <c r="B50" i="16" s="1"/>
  <c r="L67" i="16"/>
  <c r="J36" i="16"/>
  <c r="M57" i="16"/>
  <c r="B57" i="16" s="1" a="1"/>
  <c r="B57" i="16" s="1"/>
  <c r="M49" i="16"/>
  <c r="B49" i="16" s="1" a="1"/>
  <c r="B49" i="16" s="1"/>
  <c r="M11" i="16"/>
  <c r="B11" i="16" s="1" a="1"/>
  <c r="B11" i="16" s="1"/>
  <c r="L49" i="16"/>
  <c r="M12" i="16"/>
  <c r="B12" i="16" s="1" a="1"/>
  <c r="B12" i="16" s="1"/>
  <c r="L62" i="16"/>
  <c r="K57" i="16"/>
  <c r="L11" i="16"/>
  <c r="J32" i="15"/>
  <c r="M25" i="15"/>
  <c r="B25" i="15" s="1" a="1"/>
  <c r="B25" i="15" s="1"/>
  <c r="L25" i="15"/>
  <c r="M38" i="15"/>
  <c r="B38" i="15" s="1" a="1"/>
  <c r="B38" i="15" s="1"/>
  <c r="J22" i="15"/>
  <c r="J33" i="15"/>
  <c r="J18" i="15"/>
  <c r="J10" i="15"/>
  <c r="J25" i="15"/>
  <c r="J38" i="15"/>
  <c r="J30" i="15"/>
  <c r="J13" i="15"/>
  <c r="M32" i="15"/>
  <c r="B32" i="15" s="1" a="1"/>
  <c r="B32" i="15" s="1"/>
  <c r="K10" i="15"/>
  <c r="M10" i="15"/>
  <c r="M22" i="15"/>
  <c r="B22" i="15" s="1" a="1"/>
  <c r="B22" i="15" s="1"/>
  <c r="L22" i="15"/>
  <c r="S43" i="15"/>
  <c r="J43" i="15" s="1"/>
  <c r="K21" i="13"/>
  <c r="K19" i="13"/>
  <c r="N19" i="13"/>
  <c r="B19" i="13" s="1" a="1"/>
  <c r="B19" i="13" s="1"/>
  <c r="N11" i="13"/>
  <c r="B11" i="13" s="1" a="1"/>
  <c r="B11" i="13" s="1"/>
  <c r="M19" i="13"/>
  <c r="M11" i="13"/>
  <c r="K5" i="13"/>
  <c r="K11" i="13"/>
  <c r="K12" i="13"/>
  <c r="K13" i="13"/>
  <c r="K14" i="13"/>
  <c r="N12" i="13"/>
  <c r="B12" i="13" s="1" a="1"/>
  <c r="B12" i="13" s="1"/>
  <c r="M12" i="13"/>
  <c r="L7" i="12"/>
  <c r="K7" i="12"/>
  <c r="K9" i="12"/>
  <c r="K11" i="12"/>
  <c r="K13" i="12"/>
  <c r="M13" i="12"/>
  <c r="N9" i="12"/>
  <c r="B9" i="12" s="1" a="1"/>
  <c r="B9" i="12" s="1"/>
  <c r="N7" i="12"/>
  <c r="B7" i="12" s="1" a="1"/>
  <c r="B7" i="12" s="1"/>
  <c r="M9" i="12"/>
  <c r="M84" i="11"/>
  <c r="B84" i="11" s="1" a="1"/>
  <c r="B84" i="11" s="1"/>
  <c r="M98" i="11"/>
  <c r="B98" i="11" s="1" a="1"/>
  <c r="B98" i="11" s="1"/>
  <c r="K75" i="11"/>
  <c r="K100" i="11"/>
  <c r="M75" i="11"/>
  <c r="B75" i="11" s="1" a="1"/>
  <c r="B75" i="11" s="1"/>
  <c r="M100" i="11"/>
  <c r="B100" i="11" s="1" a="1"/>
  <c r="B100" i="11" s="1"/>
  <c r="K82" i="11"/>
  <c r="R97" i="11"/>
  <c r="S97" i="11" s="1"/>
  <c r="J97" i="11" s="1"/>
  <c r="M89" i="11"/>
  <c r="B89" i="11" s="1" a="1"/>
  <c r="B89" i="11" s="1"/>
  <c r="M97" i="11"/>
  <c r="B97" i="11" s="1" a="1"/>
  <c r="B97" i="11" s="1"/>
  <c r="R82" i="11"/>
  <c r="S82" i="11" s="1"/>
  <c r="J82" i="11" s="1"/>
  <c r="R75" i="11"/>
  <c r="S75" i="11" s="1"/>
  <c r="K97" i="11"/>
  <c r="R58" i="11"/>
  <c r="S58" i="11"/>
  <c r="R62" i="11"/>
  <c r="M30" i="11"/>
  <c r="B30" i="11" s="1" a="1"/>
  <c r="B30" i="11" s="1"/>
  <c r="R30" i="11"/>
  <c r="R98" i="11"/>
  <c r="S98" i="11" s="1"/>
  <c r="M62" i="11"/>
  <c r="B62" i="11" s="1" a="1"/>
  <c r="B62" i="11" s="1"/>
  <c r="R70" i="11"/>
  <c r="R60" i="11"/>
  <c r="J60" i="11" s="1"/>
  <c r="R100" i="11"/>
  <c r="S100" i="11" s="1"/>
  <c r="S55" i="11"/>
  <c r="S50" i="11"/>
  <c r="J50" i="11" s="1"/>
  <c r="S65" i="11"/>
  <c r="S30" i="11"/>
  <c r="S43" i="11"/>
  <c r="J43" i="11" s="1"/>
  <c r="S42" i="11"/>
  <c r="J42" i="11" s="1"/>
  <c r="S5" i="11"/>
  <c r="S49" i="11"/>
  <c r="S70" i="11"/>
  <c r="R10" i="11"/>
  <c r="R14" i="11"/>
  <c r="M22" i="11"/>
  <c r="B22" i="11" s="1" a="1"/>
  <c r="B22" i="11" s="1"/>
  <c r="R90" i="11"/>
  <c r="S90" i="11" s="1"/>
  <c r="M14" i="11"/>
  <c r="B14" i="11" s="1" a="1"/>
  <c r="B14" i="11" s="1"/>
  <c r="R89" i="11"/>
  <c r="S89" i="11" s="1"/>
  <c r="S62" i="11"/>
  <c r="S10" i="11"/>
  <c r="S14" i="11"/>
  <c r="R69" i="11"/>
  <c r="S69" i="11" s="1"/>
  <c r="M10" i="11"/>
  <c r="R68" i="11"/>
  <c r="R66" i="11"/>
  <c r="L22" i="11"/>
  <c r="K10" i="11"/>
  <c r="L69" i="11"/>
  <c r="M68" i="11"/>
  <c r="B68" i="11" s="1" a="1"/>
  <c r="B68" i="11" s="1"/>
  <c r="R65" i="11"/>
  <c r="S64" i="11"/>
  <c r="J64" i="11" s="1"/>
  <c r="K22" i="11"/>
  <c r="L14" i="11"/>
  <c r="M90" i="11"/>
  <c r="B90" i="11" s="1" a="1"/>
  <c r="B90" i="11" s="1"/>
  <c r="R84" i="11"/>
  <c r="S84" i="11" s="1"/>
  <c r="S22" i="11"/>
  <c r="J22" i="11" s="1"/>
  <c r="S68" i="11"/>
  <c r="S66" i="11"/>
  <c r="M69" i="11"/>
  <c r="B69" i="11" s="1" a="1"/>
  <c r="B69" i="11" s="1"/>
  <c r="K96" i="11"/>
  <c r="R96" i="11"/>
  <c r="M96" i="11"/>
  <c r="B96" i="11" s="1" a="1"/>
  <c r="B96" i="11" s="1"/>
  <c r="M63" i="3"/>
  <c r="B63" i="3" s="1" a="1"/>
  <c r="B63" i="3" s="1"/>
  <c r="R70" i="3"/>
  <c r="S70" i="3" s="1"/>
  <c r="K85" i="3"/>
  <c r="M70" i="3"/>
  <c r="B70" i="3" s="1" a="1"/>
  <c r="B70" i="3" s="1"/>
  <c r="K75" i="3"/>
  <c r="R76" i="3"/>
  <c r="S76" i="3" s="1"/>
  <c r="R85" i="3"/>
  <c r="S85" i="3" s="1"/>
  <c r="J51" i="3"/>
  <c r="R62" i="3"/>
  <c r="R83" i="3"/>
  <c r="R61" i="3"/>
  <c r="M61" i="3"/>
  <c r="B61" i="3" s="1" a="1"/>
  <c r="B61" i="3" s="1"/>
  <c r="M71" i="3"/>
  <c r="B71" i="3" s="1" a="1"/>
  <c r="B71" i="3" s="1"/>
  <c r="K71" i="3"/>
  <c r="R68" i="3"/>
  <c r="R63" i="3"/>
  <c r="R75" i="3"/>
  <c r="K83" i="3"/>
  <c r="M62" i="3"/>
  <c r="B62" i="3" s="1" a="1"/>
  <c r="B62" i="3" s="1"/>
  <c r="M68" i="3"/>
  <c r="B68" i="3" s="1" a="1"/>
  <c r="B68" i="3" s="1"/>
  <c r="H6" i="12"/>
  <c r="L6" i="12" s="1"/>
  <c r="S6" i="12"/>
  <c r="T6" i="12"/>
  <c r="Y6" i="12"/>
  <c r="AF6" i="12"/>
  <c r="R6" i="12"/>
  <c r="D6" i="12"/>
  <c r="B79" i="14" l="1" a="1"/>
  <c r="B79" i="14" s="1"/>
  <c r="J55" i="11"/>
  <c r="J27" i="3"/>
  <c r="J22" i="3"/>
  <c r="J5" i="11"/>
  <c r="J49" i="11"/>
  <c r="J24" i="3"/>
  <c r="J46" i="3"/>
  <c r="J57" i="3"/>
  <c r="J47" i="3"/>
  <c r="J53" i="3"/>
  <c r="J28" i="3"/>
  <c r="J42" i="3"/>
  <c r="J62" i="11"/>
  <c r="J70" i="11"/>
  <c r="J75" i="11"/>
  <c r="J100" i="11"/>
  <c r="J58" i="11"/>
  <c r="J30" i="11"/>
  <c r="J98" i="11"/>
  <c r="J90" i="11"/>
  <c r="J69" i="11"/>
  <c r="J65" i="11"/>
  <c r="J14" i="11"/>
  <c r="J68" i="11"/>
  <c r="J84" i="11"/>
  <c r="J89" i="11"/>
  <c r="J66" i="11"/>
  <c r="J10" i="11"/>
  <c r="S96" i="11"/>
  <c r="J96" i="11" s="1"/>
  <c r="J70" i="3"/>
  <c r="J76" i="3"/>
  <c r="J85" i="3"/>
  <c r="S75" i="3"/>
  <c r="J75" i="3" s="1"/>
  <c r="S63" i="3"/>
  <c r="J63" i="3" s="1"/>
  <c r="S68" i="3"/>
  <c r="J68" i="3" s="1"/>
  <c r="S61" i="3"/>
  <c r="J61" i="3" s="1"/>
  <c r="S83" i="3"/>
  <c r="J83" i="3" s="1"/>
  <c r="S62" i="3"/>
  <c r="J62" i="3" s="1"/>
  <c r="N6" i="12"/>
  <c r="B6" i="12" s="1" a="1"/>
  <c r="B6" i="12" s="1"/>
  <c r="M6" i="12"/>
  <c r="K6" i="12"/>
  <c r="R5" i="16" l="1"/>
  <c r="S5" i="16" s="1"/>
  <c r="J5" i="16" s="1"/>
  <c r="R4" i="16"/>
  <c r="S4" i="16" s="1"/>
  <c r="R6" i="16"/>
  <c r="S6" i="16" s="1"/>
  <c r="R20" i="16"/>
  <c r="S20" i="16" s="1"/>
  <c r="R8" i="16"/>
  <c r="S8" i="16" s="1"/>
  <c r="R43" i="16"/>
  <c r="S43" i="16" s="1"/>
  <c r="R45" i="16"/>
  <c r="S45" i="16" s="1"/>
  <c r="R54" i="16"/>
  <c r="S54" i="16" s="1"/>
  <c r="J54" i="16" s="1"/>
  <c r="R47" i="16"/>
  <c r="S47" i="16" s="1"/>
  <c r="J47" i="16" s="1"/>
  <c r="R10" i="16"/>
  <c r="S10" i="16" s="1"/>
  <c r="R15" i="16"/>
  <c r="S15" i="16" s="1"/>
  <c r="R9" i="16"/>
  <c r="S9" i="16" s="1"/>
  <c r="R7" i="16"/>
  <c r="S7" i="16" s="1"/>
  <c r="R22" i="16"/>
  <c r="S22" i="16" s="1"/>
  <c r="R19" i="16"/>
  <c r="S19" i="16" s="1"/>
  <c r="J19" i="16" s="1"/>
  <c r="R13" i="16"/>
  <c r="S13" i="16" s="1"/>
  <c r="R68" i="16"/>
  <c r="S68" i="16" s="1"/>
  <c r="R46" i="16"/>
  <c r="S46" i="16" s="1"/>
  <c r="R48" i="16"/>
  <c r="S48" i="16" s="1"/>
  <c r="R51" i="16"/>
  <c r="S51" i="16" s="1"/>
  <c r="R53" i="16"/>
  <c r="S53" i="16" s="1"/>
  <c r="R56" i="16"/>
  <c r="S56" i="16" s="1"/>
  <c r="J56" i="16" s="1"/>
  <c r="R61" i="16"/>
  <c r="S61" i="16" s="1"/>
  <c r="J61" i="16" s="1"/>
  <c r="R60" i="16"/>
  <c r="S60" i="16" s="1"/>
  <c r="R58" i="16"/>
  <c r="S58" i="16" s="1"/>
  <c r="R59" i="16"/>
  <c r="S59" i="16" s="1"/>
  <c r="R63" i="16"/>
  <c r="S63" i="16" s="1"/>
  <c r="R14" i="16"/>
  <c r="S14" i="16" s="1"/>
  <c r="J14" i="16" s="1"/>
  <c r="R17" i="16"/>
  <c r="S17" i="16" s="1"/>
  <c r="J17" i="16" s="1"/>
  <c r="R16" i="16"/>
  <c r="S16" i="16" s="1"/>
  <c r="R21" i="16"/>
  <c r="S21" i="16" s="1"/>
  <c r="R23" i="16"/>
  <c r="S23" i="16" s="1"/>
  <c r="R24" i="16"/>
  <c r="S24" i="16" s="1"/>
  <c r="R18" i="16"/>
  <c r="S18" i="16" s="1"/>
  <c r="R27" i="16"/>
  <c r="S27" i="16" s="1"/>
  <c r="R25" i="16"/>
  <c r="S25" i="16" s="1"/>
  <c r="J25" i="16" s="1"/>
  <c r="R32" i="16"/>
  <c r="S32" i="16" s="1"/>
  <c r="R30" i="16"/>
  <c r="S30" i="16" s="1"/>
  <c r="R31" i="16"/>
  <c r="S31" i="16" s="1"/>
  <c r="R29" i="16"/>
  <c r="S29" i="16" s="1"/>
  <c r="R33" i="16"/>
  <c r="S33" i="16" s="1"/>
  <c r="R28" i="16"/>
  <c r="S28" i="16" s="1"/>
  <c r="R42" i="16"/>
  <c r="S42" i="16" s="1"/>
  <c r="J42" i="16" s="1"/>
  <c r="R3" i="16"/>
  <c r="R4" i="15"/>
  <c r="S4" i="15" s="1"/>
  <c r="J4" i="15" s="1"/>
  <c r="R6" i="15"/>
  <c r="S6" i="15" s="1"/>
  <c r="J6" i="15" s="1"/>
  <c r="R8" i="15"/>
  <c r="S8" i="15" s="1"/>
  <c r="J8" i="15" s="1"/>
  <c r="R5" i="15"/>
  <c r="S5" i="15" s="1"/>
  <c r="R11" i="15"/>
  <c r="S11" i="15" s="1"/>
  <c r="R7" i="15"/>
  <c r="S7" i="15" s="1"/>
  <c r="R39" i="15"/>
  <c r="R12" i="15"/>
  <c r="S12" i="15" s="1"/>
  <c r="J12" i="15" s="1"/>
  <c r="R20" i="15"/>
  <c r="S20" i="15" s="1"/>
  <c r="R14" i="15"/>
  <c r="S14" i="15" s="1"/>
  <c r="J14" i="15" s="1"/>
  <c r="R9" i="15"/>
  <c r="S9" i="15" s="1"/>
  <c r="J9" i="15" s="1"/>
  <c r="R16" i="15"/>
  <c r="S16" i="15" s="1"/>
  <c r="J16" i="15" s="1"/>
  <c r="R23" i="15"/>
  <c r="S23" i="15" s="1"/>
  <c r="R15" i="15"/>
  <c r="R21" i="15"/>
  <c r="R41" i="15"/>
  <c r="S41" i="15" s="1"/>
  <c r="R35" i="15"/>
  <c r="S35" i="15" s="1"/>
  <c r="R34" i="15"/>
  <c r="S34" i="15" s="1"/>
  <c r="J34" i="15" s="1"/>
  <c r="R36" i="15"/>
  <c r="S36" i="15" s="1"/>
  <c r="R37" i="15"/>
  <c r="S37" i="15" s="1"/>
  <c r="R17" i="15"/>
  <c r="R24" i="15"/>
  <c r="S24" i="15" s="1"/>
  <c r="R19" i="15"/>
  <c r="S19" i="15" s="1"/>
  <c r="R26" i="15"/>
  <c r="S26" i="15" s="1"/>
  <c r="R27" i="15"/>
  <c r="S27" i="15" s="1"/>
  <c r="R28" i="15"/>
  <c r="S28" i="15" s="1"/>
  <c r="R29" i="15"/>
  <c r="S29" i="15" s="1"/>
  <c r="R31" i="15"/>
  <c r="R40" i="15"/>
  <c r="S40" i="15" s="1"/>
  <c r="J40" i="15" s="1"/>
  <c r="R42" i="15"/>
  <c r="S42" i="15" s="1"/>
  <c r="R3" i="15"/>
  <c r="S3" i="15" s="1"/>
  <c r="J3" i="15" s="1"/>
  <c r="R3" i="14"/>
  <c r="R6" i="14"/>
  <c r="S6" i="14" s="1"/>
  <c r="J6" i="14" s="1"/>
  <c r="R9" i="14"/>
  <c r="S9" i="14" s="1"/>
  <c r="R7" i="14"/>
  <c r="S7" i="14" s="1"/>
  <c r="R4" i="14"/>
  <c r="S4" i="14" s="1"/>
  <c r="R38" i="14"/>
  <c r="S38" i="14" s="1"/>
  <c r="R56" i="14"/>
  <c r="S56" i="14" s="1"/>
  <c r="R57" i="14"/>
  <c r="S57" i="14" s="1"/>
  <c r="R59" i="14"/>
  <c r="S59" i="14" s="1"/>
  <c r="R58" i="14"/>
  <c r="S58" i="14" s="1"/>
  <c r="R65" i="14"/>
  <c r="S65" i="14" s="1"/>
  <c r="R64" i="14"/>
  <c r="S64" i="14" s="1"/>
  <c r="J64" i="14" s="1"/>
  <c r="R60" i="14"/>
  <c r="S60" i="14" s="1"/>
  <c r="R63" i="14"/>
  <c r="S63" i="14" s="1"/>
  <c r="R61" i="14"/>
  <c r="S61" i="14" s="1"/>
  <c r="R8" i="14"/>
  <c r="S8" i="14" s="1"/>
  <c r="R10" i="14"/>
  <c r="S10" i="14" s="1"/>
  <c r="R14" i="14"/>
  <c r="S14" i="14" s="1"/>
  <c r="R15" i="14"/>
  <c r="S15" i="14" s="1"/>
  <c r="R16" i="14"/>
  <c r="S16" i="14" s="1"/>
  <c r="R18" i="14"/>
  <c r="S18" i="14" s="1"/>
  <c r="R21" i="14"/>
  <c r="S21" i="14" s="1"/>
  <c r="R13" i="14"/>
  <c r="S13" i="14" s="1"/>
  <c r="R19" i="14"/>
  <c r="S19" i="14" s="1"/>
  <c r="J19" i="14" s="1"/>
  <c r="R17" i="14"/>
  <c r="S17" i="14" s="1"/>
  <c r="R31" i="14"/>
  <c r="S31" i="14" s="1"/>
  <c r="J31" i="14" s="1"/>
  <c r="R54" i="14"/>
  <c r="S54" i="14" s="1"/>
  <c r="R37" i="14"/>
  <c r="S37" i="14" s="1"/>
  <c r="R39" i="14"/>
  <c r="S39" i="14" s="1"/>
  <c r="J39" i="14" s="1"/>
  <c r="R41" i="14"/>
  <c r="S41" i="14" s="1"/>
  <c r="R12" i="14"/>
  <c r="S12" i="14" s="1"/>
  <c r="R84" i="14"/>
  <c r="S84" i="14" s="1"/>
  <c r="R86" i="14"/>
  <c r="R88" i="14"/>
  <c r="S88" i="14" s="1"/>
  <c r="R87" i="14"/>
  <c r="S87" i="14" s="1"/>
  <c r="R92" i="14"/>
  <c r="S92" i="14" s="1"/>
  <c r="R83" i="14"/>
  <c r="S83" i="14" s="1"/>
  <c r="R82" i="14"/>
  <c r="R66" i="14"/>
  <c r="S66" i="14" s="1"/>
  <c r="R70" i="14"/>
  <c r="S70" i="14" s="1"/>
  <c r="J70" i="14" s="1"/>
  <c r="R69" i="14"/>
  <c r="S69" i="14" s="1"/>
  <c r="R68" i="14"/>
  <c r="S68" i="14" s="1"/>
  <c r="R73" i="14"/>
  <c r="S73" i="14" s="1"/>
  <c r="J73" i="14" s="1"/>
  <c r="R75" i="14"/>
  <c r="S75" i="14" s="1"/>
  <c r="R67" i="14"/>
  <c r="R76" i="14"/>
  <c r="S76" i="14" s="1"/>
  <c r="R20" i="14"/>
  <c r="R23" i="14"/>
  <c r="S23" i="14" s="1"/>
  <c r="R22" i="14"/>
  <c r="S22" i="14" s="1"/>
  <c r="R33" i="14"/>
  <c r="S33" i="14" s="1"/>
  <c r="R32" i="14"/>
  <c r="S32" i="14" s="1"/>
  <c r="R34" i="14"/>
  <c r="S34" i="14" s="1"/>
  <c r="R30" i="14"/>
  <c r="S30" i="14" s="1"/>
  <c r="J30" i="14" s="1"/>
  <c r="R29" i="14"/>
  <c r="S29" i="14" s="1"/>
  <c r="J29" i="14" s="1"/>
  <c r="R28" i="14"/>
  <c r="S28" i="14" s="1"/>
  <c r="R46" i="14"/>
  <c r="S46" i="14" s="1"/>
  <c r="R25" i="14"/>
  <c r="S25" i="14" s="1"/>
  <c r="R49" i="14"/>
  <c r="S49" i="14" s="1"/>
  <c r="R52" i="14"/>
  <c r="R35" i="14"/>
  <c r="S35" i="14" s="1"/>
  <c r="R36" i="14"/>
  <c r="R40" i="14"/>
  <c r="S40" i="14" s="1"/>
  <c r="R42" i="14"/>
  <c r="S42" i="14" s="1"/>
  <c r="S5" i="14"/>
  <c r="J5" i="14" s="1"/>
  <c r="R3" i="6"/>
  <c r="R5" i="6"/>
  <c r="S5" i="6" s="1"/>
  <c r="J5" i="6" s="1"/>
  <c r="R10" i="6"/>
  <c r="S10" i="6" s="1"/>
  <c r="J10" i="6" s="1"/>
  <c r="R7" i="6"/>
  <c r="S7" i="6" s="1"/>
  <c r="J7" i="6" s="1"/>
  <c r="R13" i="6"/>
  <c r="S13" i="6" s="1"/>
  <c r="R15" i="6"/>
  <c r="S15" i="6" s="1"/>
  <c r="J15" i="6" s="1"/>
  <c r="R4" i="6"/>
  <c r="S4" i="6" s="1"/>
  <c r="J4" i="6" s="1"/>
  <c r="R44" i="6"/>
  <c r="S44" i="6" s="1"/>
  <c r="R22" i="6"/>
  <c r="S22" i="6" s="1"/>
  <c r="J22" i="6" s="1"/>
  <c r="R16" i="6"/>
  <c r="S16" i="6" s="1"/>
  <c r="J16" i="6" s="1"/>
  <c r="R11" i="6"/>
  <c r="S11" i="6" s="1"/>
  <c r="R45" i="6"/>
  <c r="S45" i="6" s="1"/>
  <c r="R46" i="6"/>
  <c r="S46" i="6" s="1"/>
  <c r="R18" i="6"/>
  <c r="S18" i="6" s="1"/>
  <c r="R37" i="6"/>
  <c r="S37" i="6" s="1"/>
  <c r="J37" i="6" s="1"/>
  <c r="R32" i="6"/>
  <c r="S32" i="6" s="1"/>
  <c r="J32" i="6" s="1"/>
  <c r="R40" i="6"/>
  <c r="S40" i="6" s="1"/>
  <c r="J40" i="6" s="1"/>
  <c r="R80" i="6"/>
  <c r="S80" i="6" s="1"/>
  <c r="J80" i="6" s="1"/>
  <c r="R50" i="6"/>
  <c r="S50" i="6" s="1"/>
  <c r="J50" i="6" s="1"/>
  <c r="R53" i="6"/>
  <c r="R49" i="6"/>
  <c r="S49" i="6" s="1"/>
  <c r="R81" i="6"/>
  <c r="S81" i="6" s="1"/>
  <c r="R52" i="6"/>
  <c r="S52" i="6" s="1"/>
  <c r="R65" i="6"/>
  <c r="S65" i="6" s="1"/>
  <c r="R67" i="6"/>
  <c r="S67" i="6" s="1"/>
  <c r="R12" i="6"/>
  <c r="R14" i="6"/>
  <c r="S14" i="6" s="1"/>
  <c r="R21" i="6"/>
  <c r="S21" i="6" s="1"/>
  <c r="R26" i="6"/>
  <c r="S26" i="6" s="1"/>
  <c r="R20" i="6"/>
  <c r="S20" i="6" s="1"/>
  <c r="R19" i="6"/>
  <c r="S19" i="6" s="1"/>
  <c r="R35" i="6"/>
  <c r="S35" i="6" s="1"/>
  <c r="J35" i="6" s="1"/>
  <c r="R8" i="6"/>
  <c r="S8" i="6" s="1"/>
  <c r="R48" i="6"/>
  <c r="S48" i="6" s="1"/>
  <c r="R84" i="6"/>
  <c r="S84" i="6" s="1"/>
  <c r="R82" i="6"/>
  <c r="S82" i="6" s="1"/>
  <c r="R83" i="6"/>
  <c r="S83" i="6" s="1"/>
  <c r="R86" i="6"/>
  <c r="S86" i="6" s="1"/>
  <c r="R85" i="6"/>
  <c r="S85" i="6" s="1"/>
  <c r="R91" i="6"/>
  <c r="S91" i="6" s="1"/>
  <c r="R90" i="6"/>
  <c r="S90" i="6" s="1"/>
  <c r="R87" i="6"/>
  <c r="S87" i="6" s="1"/>
  <c r="R93" i="6"/>
  <c r="S93" i="6" s="1"/>
  <c r="J93" i="6" s="1"/>
  <c r="R92" i="6"/>
  <c r="S92" i="6" s="1"/>
  <c r="J92" i="6" s="1"/>
  <c r="R89" i="6"/>
  <c r="S89" i="6" s="1"/>
  <c r="R94" i="6"/>
  <c r="S94" i="6" s="1"/>
  <c r="R68" i="6"/>
  <c r="S68" i="6" s="1"/>
  <c r="J68" i="6" s="1"/>
  <c r="R60" i="6"/>
  <c r="S60" i="6" s="1"/>
  <c r="R63" i="6"/>
  <c r="S63" i="6" s="1"/>
  <c r="R56" i="6"/>
  <c r="S56" i="6" s="1"/>
  <c r="R55" i="6"/>
  <c r="S55" i="6" s="1"/>
  <c r="J55" i="6" s="1"/>
  <c r="R64" i="6"/>
  <c r="S64" i="6" s="1"/>
  <c r="R66" i="6"/>
  <c r="S66" i="6" s="1"/>
  <c r="R61" i="6"/>
  <c r="S61" i="6" s="1"/>
  <c r="J61" i="6" s="1"/>
  <c r="R59" i="6"/>
  <c r="S59" i="6" s="1"/>
  <c r="J59" i="6" s="1"/>
  <c r="R78" i="6"/>
  <c r="S78" i="6" s="1"/>
  <c r="R79" i="6"/>
  <c r="S79" i="6" s="1"/>
  <c r="R29" i="6"/>
  <c r="S29" i="6" s="1"/>
  <c r="R30" i="6"/>
  <c r="S30" i="6" s="1"/>
  <c r="J30" i="6" s="1"/>
  <c r="R36" i="6"/>
  <c r="S36" i="6" s="1"/>
  <c r="J36" i="6" s="1"/>
  <c r="R39" i="6"/>
  <c r="S39" i="6" s="1"/>
  <c r="J39" i="6" s="1"/>
  <c r="R24" i="6"/>
  <c r="S24" i="6" s="1"/>
  <c r="J24" i="6" s="1"/>
  <c r="R33" i="6"/>
  <c r="S33" i="6" s="1"/>
  <c r="R43" i="6"/>
  <c r="S43" i="6" s="1"/>
  <c r="R23" i="6"/>
  <c r="S23" i="6" s="1"/>
  <c r="R6" i="6"/>
  <c r="S6" i="6" s="1"/>
  <c r="J6" i="6" s="1"/>
  <c r="C42" i="17"/>
  <c r="D42" i="17" s="1"/>
  <c r="G42" i="17"/>
  <c r="D93" i="6"/>
  <c r="D92" i="6"/>
  <c r="D89" i="6"/>
  <c r="D94" i="6"/>
  <c r="D68" i="6"/>
  <c r="D60" i="6"/>
  <c r="D63" i="6"/>
  <c r="D56" i="6"/>
  <c r="D55" i="6"/>
  <c r="D64" i="6"/>
  <c r="D66" i="6"/>
  <c r="D61" i="6"/>
  <c r="D59" i="6"/>
  <c r="D78" i="6"/>
  <c r="D79" i="6"/>
  <c r="D29" i="6"/>
  <c r="D30" i="6"/>
  <c r="D36" i="6"/>
  <c r="D39" i="6"/>
  <c r="D24" i="6"/>
  <c r="D33" i="6"/>
  <c r="D43" i="6"/>
  <c r="D23" i="6"/>
  <c r="G93" i="6"/>
  <c r="M93" i="6" s="1"/>
  <c r="B93" i="6" s="1" a="1"/>
  <c r="B93" i="6" s="1"/>
  <c r="G92" i="6"/>
  <c r="L92" i="6" s="1"/>
  <c r="G89" i="6"/>
  <c r="K89" i="6" s="1"/>
  <c r="G94" i="6"/>
  <c r="M94" i="6" s="1"/>
  <c r="B94" i="6" s="1" a="1"/>
  <c r="B94" i="6" s="1"/>
  <c r="G68" i="6"/>
  <c r="K68" i="6" s="1"/>
  <c r="G60" i="6"/>
  <c r="K60" i="6" s="1"/>
  <c r="G63" i="6"/>
  <c r="M63" i="6" s="1"/>
  <c r="B63" i="6" s="1" a="1"/>
  <c r="B63" i="6" s="1"/>
  <c r="G56" i="6"/>
  <c r="M56" i="6" s="1"/>
  <c r="B56" i="6" s="1" a="1"/>
  <c r="B56" i="6" s="1"/>
  <c r="G55" i="6"/>
  <c r="L55" i="6" s="1"/>
  <c r="G64" i="6"/>
  <c r="L64" i="6" s="1"/>
  <c r="G66" i="6"/>
  <c r="M66" i="6" s="1"/>
  <c r="B66" i="6" s="1" a="1"/>
  <c r="B66" i="6" s="1"/>
  <c r="G61" i="6"/>
  <c r="L61" i="6" s="1"/>
  <c r="G59" i="6"/>
  <c r="K59" i="6" s="1"/>
  <c r="G78" i="6"/>
  <c r="L78" i="6" s="1"/>
  <c r="G79" i="6"/>
  <c r="K79" i="6" s="1"/>
  <c r="G29" i="6"/>
  <c r="M29" i="6" s="1"/>
  <c r="B29" i="6" s="1" a="1"/>
  <c r="B29" i="6" s="1"/>
  <c r="G30" i="6"/>
  <c r="K30" i="6" s="1"/>
  <c r="G36" i="6"/>
  <c r="M36" i="6" s="1"/>
  <c r="B36" i="6" s="1" a="1"/>
  <c r="B36" i="6" s="1"/>
  <c r="G39" i="6"/>
  <c r="K39" i="6" s="1"/>
  <c r="G24" i="6"/>
  <c r="K24" i="6" s="1"/>
  <c r="G33" i="6"/>
  <c r="K33" i="6" s="1"/>
  <c r="G43" i="6"/>
  <c r="L43" i="6" s="1"/>
  <c r="G23" i="6"/>
  <c r="K23" i="6" s="1"/>
  <c r="C75" i="17"/>
  <c r="D75" i="17" s="1"/>
  <c r="E75" i="17"/>
  <c r="F75" i="17" s="1"/>
  <c r="G28" i="17"/>
  <c r="H28" i="17" s="1"/>
  <c r="Q19" i="15"/>
  <c r="D19" i="15"/>
  <c r="G19" i="15"/>
  <c r="M19" i="15" s="1"/>
  <c r="B19" i="15" s="1" a="1"/>
  <c r="B19" i="15" s="1"/>
  <c r="Q26" i="15"/>
  <c r="D26" i="15"/>
  <c r="G26" i="15"/>
  <c r="L26" i="15" s="1"/>
  <c r="Q27" i="15"/>
  <c r="D27" i="15"/>
  <c r="G27" i="15"/>
  <c r="K27" i="15" s="1"/>
  <c r="Q28" i="15"/>
  <c r="D28" i="15"/>
  <c r="G28" i="15"/>
  <c r="K28" i="15" s="1"/>
  <c r="Q29" i="15"/>
  <c r="D29" i="15"/>
  <c r="G29" i="15"/>
  <c r="M29" i="15" s="1"/>
  <c r="B29" i="15" s="1" a="1"/>
  <c r="B29" i="15" s="1"/>
  <c r="Q31" i="15"/>
  <c r="D31" i="15"/>
  <c r="G31" i="15"/>
  <c r="M31" i="15" s="1"/>
  <c r="B31" i="15" s="1" a="1"/>
  <c r="B31" i="15" s="1"/>
  <c r="Q40" i="15"/>
  <c r="D40" i="15"/>
  <c r="G40" i="15"/>
  <c r="M40" i="15" s="1"/>
  <c r="B40" i="15" s="1" a="1"/>
  <c r="B40" i="15" s="1"/>
  <c r="Q42" i="15"/>
  <c r="D42" i="15"/>
  <c r="G42" i="15"/>
  <c r="K42" i="15" s="1"/>
  <c r="G26" i="17"/>
  <c r="H26" i="17" s="1"/>
  <c r="G37" i="17"/>
  <c r="H37" i="17" s="1"/>
  <c r="Q30" i="3"/>
  <c r="D30" i="3"/>
  <c r="G30" i="3"/>
  <c r="L30" i="3" s="1"/>
  <c r="X30" i="3"/>
  <c r="AE30" i="3"/>
  <c r="Q40" i="3"/>
  <c r="D40" i="3"/>
  <c r="G40" i="3"/>
  <c r="K40" i="3" s="1"/>
  <c r="X40" i="3"/>
  <c r="AE40" i="3"/>
  <c r="Q55" i="3"/>
  <c r="D55" i="3"/>
  <c r="G55" i="3"/>
  <c r="S55" i="3" s="1"/>
  <c r="X55" i="3"/>
  <c r="AE55" i="3"/>
  <c r="Q56" i="3"/>
  <c r="D56" i="3"/>
  <c r="G56" i="3"/>
  <c r="R56" i="3" s="1"/>
  <c r="X56" i="3"/>
  <c r="AE56" i="3"/>
  <c r="D3" i="14"/>
  <c r="D6" i="14"/>
  <c r="D9" i="14"/>
  <c r="D7" i="14"/>
  <c r="D4" i="14"/>
  <c r="D38" i="14"/>
  <c r="D56" i="14"/>
  <c r="D57" i="14"/>
  <c r="D59" i="14"/>
  <c r="D58" i="14"/>
  <c r="D65" i="14"/>
  <c r="D64" i="14"/>
  <c r="D60" i="14"/>
  <c r="D63" i="14"/>
  <c r="D61" i="14"/>
  <c r="D8" i="14"/>
  <c r="D10" i="14"/>
  <c r="D14" i="14"/>
  <c r="D15" i="14"/>
  <c r="D16" i="14"/>
  <c r="D18" i="14"/>
  <c r="D21" i="14"/>
  <c r="D13" i="14"/>
  <c r="D19" i="14"/>
  <c r="D17" i="14"/>
  <c r="D31" i="14"/>
  <c r="D54" i="14"/>
  <c r="D37" i="14"/>
  <c r="D39" i="14"/>
  <c r="D41" i="14"/>
  <c r="D12" i="14"/>
  <c r="D84" i="14"/>
  <c r="D86" i="14"/>
  <c r="D88" i="14"/>
  <c r="D87" i="14"/>
  <c r="D92" i="14"/>
  <c r="D83" i="14"/>
  <c r="D82" i="14"/>
  <c r="D66" i="14"/>
  <c r="D70" i="14"/>
  <c r="D69" i="14"/>
  <c r="D68" i="14"/>
  <c r="D73" i="14"/>
  <c r="D75" i="14"/>
  <c r="D67" i="14"/>
  <c r="D76" i="14"/>
  <c r="D20" i="14"/>
  <c r="D23" i="14"/>
  <c r="D22" i="14"/>
  <c r="D33" i="14"/>
  <c r="D32" i="14"/>
  <c r="D34" i="14"/>
  <c r="D30" i="14"/>
  <c r="D29" i="14"/>
  <c r="D28" i="14"/>
  <c r="D46" i="14"/>
  <c r="D25" i="14"/>
  <c r="D49" i="14"/>
  <c r="D52" i="14"/>
  <c r="D35" i="14"/>
  <c r="D36" i="14"/>
  <c r="D40" i="14"/>
  <c r="D42" i="14"/>
  <c r="D11" i="3"/>
  <c r="D6" i="11"/>
  <c r="G17" i="17"/>
  <c r="H17" i="17" s="1"/>
  <c r="C64" i="17"/>
  <c r="D64" i="17" s="1"/>
  <c r="S3" i="6" l="1"/>
  <c r="J3" i="6" s="1"/>
  <c r="K63" i="6"/>
  <c r="K93" i="6"/>
  <c r="L56" i="6"/>
  <c r="K56" i="6"/>
  <c r="K92" i="6"/>
  <c r="M39" i="6"/>
  <c r="B39" i="6" s="1" a="1"/>
  <c r="B39" i="6" s="1"/>
  <c r="K64" i="6"/>
  <c r="L93" i="6"/>
  <c r="L79" i="6"/>
  <c r="K78" i="6"/>
  <c r="M68" i="6"/>
  <c r="B68" i="6" s="1" a="1"/>
  <c r="B68" i="6" s="1"/>
  <c r="K43" i="6"/>
  <c r="L68" i="6"/>
  <c r="K61" i="6"/>
  <c r="L33" i="6"/>
  <c r="K29" i="6"/>
  <c r="L30" i="6"/>
  <c r="M64" i="6"/>
  <c r="B64" i="6" s="1" a="1"/>
  <c r="B64" i="6" s="1"/>
  <c r="M30" i="6"/>
  <c r="B30" i="6" s="1" a="1"/>
  <c r="B30" i="6" s="1"/>
  <c r="M89" i="6"/>
  <c r="B89" i="6" s="1" a="1"/>
  <c r="B89" i="6" s="1"/>
  <c r="L29" i="6"/>
  <c r="L89" i="6"/>
  <c r="J13" i="16"/>
  <c r="J68" i="16"/>
  <c r="K26" i="15"/>
  <c r="K29" i="15"/>
  <c r="S30" i="3"/>
  <c r="R30" i="3"/>
  <c r="M30" i="3"/>
  <c r="B30" i="3" s="1" a="1"/>
  <c r="B30" i="3" s="1"/>
  <c r="K56" i="3"/>
  <c r="S3" i="14"/>
  <c r="J3" i="14" s="1"/>
  <c r="J33" i="14"/>
  <c r="J49" i="14"/>
  <c r="J13" i="14"/>
  <c r="J25" i="14"/>
  <c r="J41" i="14"/>
  <c r="J21" i="14"/>
  <c r="J65" i="14"/>
  <c r="J9" i="14"/>
  <c r="J17" i="14"/>
  <c r="J58" i="14"/>
  <c r="J10" i="14"/>
  <c r="J59" i="14"/>
  <c r="J66" i="14"/>
  <c r="J12" i="14"/>
  <c r="J8" i="14"/>
  <c r="J32" i="14"/>
  <c r="J57" i="14"/>
  <c r="J61" i="14"/>
  <c r="J83" i="14"/>
  <c r="J75" i="14"/>
  <c r="J92" i="14"/>
  <c r="J84" i="14"/>
  <c r="J14" i="14"/>
  <c r="J7" i="14"/>
  <c r="J35" i="14"/>
  <c r="J76" i="14"/>
  <c r="J34" i="14"/>
  <c r="S52" i="14"/>
  <c r="J52" i="14" s="1"/>
  <c r="S67" i="14"/>
  <c r="J67" i="14" s="1"/>
  <c r="S82" i="14"/>
  <c r="J82" i="14" s="1"/>
  <c r="J37" i="14"/>
  <c r="J18" i="14"/>
  <c r="J63" i="14"/>
  <c r="J56" i="14"/>
  <c r="J42" i="14"/>
  <c r="J46" i="14"/>
  <c r="J22" i="14"/>
  <c r="J68" i="14"/>
  <c r="J87" i="14"/>
  <c r="J54" i="14"/>
  <c r="J16" i="14"/>
  <c r="J60" i="14"/>
  <c r="J38" i="14"/>
  <c r="J40" i="14"/>
  <c r="J28" i="14"/>
  <c r="J23" i="14"/>
  <c r="J69" i="14"/>
  <c r="J88" i="14"/>
  <c r="S36" i="14"/>
  <c r="J36" i="14" s="1"/>
  <c r="S20" i="14"/>
  <c r="J20" i="14" s="1"/>
  <c r="J15" i="14"/>
  <c r="J4" i="14"/>
  <c r="K55" i="6"/>
  <c r="M33" i="6"/>
  <c r="B33" i="6" s="1" a="1"/>
  <c r="B33" i="6" s="1"/>
  <c r="M79" i="6"/>
  <c r="B79" i="6" s="1" a="1"/>
  <c r="B79" i="6" s="1"/>
  <c r="M92" i="6"/>
  <c r="B92" i="6" s="1" a="1"/>
  <c r="B92" i="6" s="1"/>
  <c r="L63" i="6"/>
  <c r="L66" i="6"/>
  <c r="K66" i="6"/>
  <c r="M78" i="6"/>
  <c r="B78" i="6" s="1" a="1"/>
  <c r="B78" i="6" s="1"/>
  <c r="M55" i="6"/>
  <c r="B55" i="6" s="1" a="1"/>
  <c r="B55" i="6" s="1"/>
  <c r="L94" i="6"/>
  <c r="M43" i="6"/>
  <c r="B43" i="6" s="1" a="1"/>
  <c r="B43" i="6" s="1"/>
  <c r="M61" i="6"/>
  <c r="B61" i="6" s="1" a="1"/>
  <c r="B61" i="6" s="1"/>
  <c r="K94" i="6"/>
  <c r="J63" i="16"/>
  <c r="J59" i="16"/>
  <c r="J58" i="16"/>
  <c r="J21" i="16"/>
  <c r="J4" i="16"/>
  <c r="J20" i="16"/>
  <c r="J60" i="16"/>
  <c r="J6" i="16"/>
  <c r="J48" i="16"/>
  <c r="J10" i="16"/>
  <c r="J15" i="16"/>
  <c r="J16" i="16"/>
  <c r="J28" i="16"/>
  <c r="J53" i="16"/>
  <c r="J24" i="16"/>
  <c r="S3" i="16"/>
  <c r="J3" i="16" s="1"/>
  <c r="J27" i="16"/>
  <c r="J45" i="16"/>
  <c r="J18" i="16"/>
  <c r="J7" i="16"/>
  <c r="J8" i="16"/>
  <c r="J23" i="16"/>
  <c r="J32" i="16"/>
  <c r="J22" i="16"/>
  <c r="J33" i="16"/>
  <c r="J43" i="16"/>
  <c r="J29" i="16"/>
  <c r="J31" i="16"/>
  <c r="J46" i="16"/>
  <c r="J30" i="16"/>
  <c r="J35" i="15"/>
  <c r="L19" i="15"/>
  <c r="K19" i="15"/>
  <c r="J20" i="15"/>
  <c r="M27" i="15"/>
  <c r="B27" i="15" s="1" a="1"/>
  <c r="B27" i="15" s="1"/>
  <c r="L27" i="15"/>
  <c r="J42" i="15"/>
  <c r="L29" i="15"/>
  <c r="J19" i="15"/>
  <c r="J26" i="15"/>
  <c r="J41" i="15"/>
  <c r="J28" i="15"/>
  <c r="J27" i="15"/>
  <c r="J23" i="15"/>
  <c r="J36" i="15"/>
  <c r="J11" i="15"/>
  <c r="J37" i="15"/>
  <c r="J5" i="15"/>
  <c r="J29" i="15"/>
  <c r="J7" i="15"/>
  <c r="J24" i="15"/>
  <c r="S21" i="15"/>
  <c r="J21" i="15" s="1"/>
  <c r="L31" i="15"/>
  <c r="S31" i="15"/>
  <c r="J31" i="15" s="1"/>
  <c r="S17" i="15"/>
  <c r="J17" i="15" s="1"/>
  <c r="S15" i="15"/>
  <c r="J15" i="15" s="1"/>
  <c r="S39" i="15"/>
  <c r="J39" i="15" s="1"/>
  <c r="R55" i="3"/>
  <c r="J55" i="3" s="1"/>
  <c r="L55" i="3"/>
  <c r="M55" i="3"/>
  <c r="B55" i="3" s="1" a="1"/>
  <c r="B55" i="3" s="1"/>
  <c r="K55" i="3"/>
  <c r="M56" i="3"/>
  <c r="B56" i="3" s="1" a="1"/>
  <c r="B56" i="3" s="1"/>
  <c r="L56" i="3"/>
  <c r="J51" i="16"/>
  <c r="J9" i="16"/>
  <c r="S86" i="14"/>
  <c r="J86" i="14" s="1"/>
  <c r="S12" i="6"/>
  <c r="J12" i="6" s="1"/>
  <c r="J67" i="6"/>
  <c r="J65" i="6"/>
  <c r="S53" i="6"/>
  <c r="J53" i="6" s="1"/>
  <c r="J49" i="6"/>
  <c r="J87" i="6"/>
  <c r="J46" i="6"/>
  <c r="J45" i="6"/>
  <c r="J63" i="6"/>
  <c r="J14" i="6"/>
  <c r="J23" i="6"/>
  <c r="J48" i="6"/>
  <c r="J43" i="6"/>
  <c r="J82" i="6"/>
  <c r="J81" i="6"/>
  <c r="J21" i="6"/>
  <c r="J91" i="6"/>
  <c r="J66" i="6"/>
  <c r="J86" i="6"/>
  <c r="J20" i="6"/>
  <c r="J18" i="6"/>
  <c r="J78" i="6"/>
  <c r="J79" i="6"/>
  <c r="J64" i="6"/>
  <c r="L39" i="6"/>
  <c r="J33" i="6"/>
  <c r="J29" i="6"/>
  <c r="J94" i="6"/>
  <c r="L23" i="6"/>
  <c r="L36" i="6"/>
  <c r="J60" i="6"/>
  <c r="M23" i="6"/>
  <c r="B23" i="6" s="1" a="1"/>
  <c r="B23" i="6" s="1"/>
  <c r="K36" i="6"/>
  <c r="J56" i="6"/>
  <c r="J89" i="6"/>
  <c r="M24" i="6"/>
  <c r="B24" i="6" s="1" a="1"/>
  <c r="B24" i="6" s="1"/>
  <c r="M60" i="6"/>
  <c r="B60" i="6" s="1" a="1"/>
  <c r="B60" i="6" s="1"/>
  <c r="L24" i="6"/>
  <c r="L59" i="6"/>
  <c r="L60" i="6"/>
  <c r="M59" i="6"/>
  <c r="B59" i="6" s="1" a="1"/>
  <c r="B59" i="6" s="1"/>
  <c r="M28" i="15"/>
  <c r="B28" i="15" s="1" a="1"/>
  <c r="B28" i="15" s="1"/>
  <c r="L28" i="15"/>
  <c r="K31" i="15"/>
  <c r="M26" i="15"/>
  <c r="B26" i="15" s="1" a="1"/>
  <c r="B26" i="15" s="1"/>
  <c r="M42" i="15"/>
  <c r="B42" i="15" s="1" a="1"/>
  <c r="B42" i="15" s="1"/>
  <c r="L40" i="15"/>
  <c r="L42" i="15"/>
  <c r="K40" i="15"/>
  <c r="R40" i="3"/>
  <c r="M40" i="3"/>
  <c r="B40" i="3" s="1" a="1"/>
  <c r="B40" i="3" s="1"/>
  <c r="L40" i="3"/>
  <c r="S40" i="3"/>
  <c r="K30" i="3"/>
  <c r="S56" i="3"/>
  <c r="J56" i="3" s="1"/>
  <c r="J8" i="6"/>
  <c r="J90" i="6"/>
  <c r="J83" i="6"/>
  <c r="J13" i="6"/>
  <c r="J26" i="6"/>
  <c r="J44" i="6"/>
  <c r="J85" i="6"/>
  <c r="J84" i="6"/>
  <c r="J19" i="6"/>
  <c r="J52" i="6"/>
  <c r="J11" i="6"/>
  <c r="D15" i="3"/>
  <c r="G17" i="14"/>
  <c r="L17" i="14" s="1"/>
  <c r="Q54" i="14"/>
  <c r="G54" i="14"/>
  <c r="L54" i="14" s="1"/>
  <c r="Q92" i="14"/>
  <c r="G92" i="14"/>
  <c r="K92" i="14" s="1"/>
  <c r="Q19" i="14"/>
  <c r="G19" i="14"/>
  <c r="L19" i="14" s="1"/>
  <c r="J30" i="3" l="1"/>
  <c r="J40" i="3"/>
  <c r="K17" i="14"/>
  <c r="K54" i="14"/>
  <c r="M54" i="14"/>
  <c r="B54" i="14" s="1" a="1"/>
  <c r="B54" i="14" s="1"/>
  <c r="M92" i="14"/>
  <c r="B92" i="14" s="1" a="1"/>
  <c r="B92" i="14" s="1"/>
  <c r="L92" i="14"/>
  <c r="M17" i="14"/>
  <c r="K19" i="14"/>
  <c r="M19" i="14"/>
  <c r="B19" i="14" s="1" a="1"/>
  <c r="B19" i="14" s="1"/>
  <c r="Q17" i="14" l="1"/>
  <c r="B17" i="14" a="1"/>
  <c r="B17" i="14" s="1"/>
  <c r="C23" i="17"/>
  <c r="D23" i="17" s="1"/>
  <c r="D7" i="13"/>
  <c r="R7" i="13"/>
  <c r="H7" i="13"/>
  <c r="M7" i="13" s="1"/>
  <c r="S7" i="13"/>
  <c r="T7" i="13"/>
  <c r="Y7" i="13"/>
  <c r="AF7" i="13"/>
  <c r="AF3" i="12"/>
  <c r="AF10" i="12"/>
  <c r="AF8" i="12"/>
  <c r="AF4" i="12"/>
  <c r="AF12" i="12"/>
  <c r="AF14" i="12"/>
  <c r="AF5" i="12"/>
  <c r="K7" i="13" l="1"/>
  <c r="L7" i="13"/>
  <c r="N7" i="13"/>
  <c r="B7" i="13" s="1" a="1"/>
  <c r="B7" i="13" s="1"/>
  <c r="Q39" i="15"/>
  <c r="C47" i="17"/>
  <c r="D47" i="17" s="1"/>
  <c r="D4" i="16"/>
  <c r="D8" i="16"/>
  <c r="D5" i="16"/>
  <c r="D30" i="16"/>
  <c r="D43" i="16"/>
  <c r="D20" i="16"/>
  <c r="D45" i="16"/>
  <c r="D22" i="16"/>
  <c r="D13" i="16"/>
  <c r="D46" i="16"/>
  <c r="D56" i="16"/>
  <c r="D17" i="16"/>
  <c r="D32" i="16"/>
  <c r="D27" i="16"/>
  <c r="D31" i="16"/>
  <c r="D42" i="16"/>
  <c r="D29" i="16"/>
  <c r="D28" i="16"/>
  <c r="D54" i="16"/>
  <c r="D51" i="16"/>
  <c r="D60" i="16"/>
  <c r="D59" i="16"/>
  <c r="D63" i="16"/>
  <c r="D14" i="16"/>
  <c r="D16" i="16"/>
  <c r="D23" i="16"/>
  <c r="D24" i="16"/>
  <c r="D25" i="16"/>
  <c r="D15" i="16"/>
  <c r="D48" i="16"/>
  <c r="D7" i="16"/>
  <c r="D47" i="16"/>
  <c r="D10" i="16"/>
  <c r="D9" i="16"/>
  <c r="D19" i="16"/>
  <c r="D68" i="16"/>
  <c r="D53" i="16"/>
  <c r="D61" i="16"/>
  <c r="D58" i="16"/>
  <c r="D21" i="16"/>
  <c r="D18" i="16"/>
  <c r="D6" i="16"/>
  <c r="D33" i="16"/>
  <c r="Q21" i="16"/>
  <c r="G21" i="16"/>
  <c r="L21" i="16" s="1"/>
  <c r="Q18" i="16"/>
  <c r="G18" i="16"/>
  <c r="M18" i="16" s="1"/>
  <c r="B18" i="16" s="1" a="1"/>
  <c r="B18" i="16" s="1"/>
  <c r="G6" i="16"/>
  <c r="L6" i="16" s="1"/>
  <c r="G33" i="16"/>
  <c r="M33" i="16" s="1"/>
  <c r="B33" i="16" s="1" a="1"/>
  <c r="B33" i="16" s="1"/>
  <c r="Q48" i="16"/>
  <c r="G48" i="16"/>
  <c r="M48" i="16" s="1"/>
  <c r="B48" i="16" s="1" a="1"/>
  <c r="B48" i="16" s="1"/>
  <c r="Q7" i="16"/>
  <c r="G7" i="16"/>
  <c r="M7" i="16" s="1"/>
  <c r="Q47" i="16"/>
  <c r="G47" i="16"/>
  <c r="K47" i="16" s="1"/>
  <c r="Q10" i="16"/>
  <c r="G10" i="16"/>
  <c r="M10" i="16" s="1"/>
  <c r="B10" i="16" s="1" a="1"/>
  <c r="B10" i="16" s="1"/>
  <c r="Q9" i="16"/>
  <c r="G9" i="16"/>
  <c r="L9" i="16" s="1"/>
  <c r="G19" i="16"/>
  <c r="M19" i="16" s="1"/>
  <c r="B19" i="16" s="1" a="1"/>
  <c r="B19" i="16" s="1"/>
  <c r="Q68" i="16"/>
  <c r="G68" i="16"/>
  <c r="M68" i="16" s="1"/>
  <c r="B68" i="16" s="1" a="1"/>
  <c r="B68" i="16" s="1"/>
  <c r="Q53" i="16"/>
  <c r="G53" i="16"/>
  <c r="L53" i="16" s="1"/>
  <c r="Q61" i="16"/>
  <c r="G61" i="16"/>
  <c r="M61" i="16" s="1"/>
  <c r="B61" i="16" s="1" a="1"/>
  <c r="B61" i="16" s="1"/>
  <c r="Q58" i="16"/>
  <c r="G58" i="16"/>
  <c r="K58" i="16" s="1"/>
  <c r="G15" i="16"/>
  <c r="M15" i="16" s="1"/>
  <c r="B15" i="16" s="1" a="1"/>
  <c r="B15" i="16" s="1"/>
  <c r="D11" i="15"/>
  <c r="D6" i="15"/>
  <c r="D8" i="15"/>
  <c r="D5" i="15"/>
  <c r="D15" i="15"/>
  <c r="D7" i="15"/>
  <c r="D39" i="15"/>
  <c r="D12" i="15"/>
  <c r="D9" i="15"/>
  <c r="D20" i="15"/>
  <c r="D14" i="15"/>
  <c r="D36" i="15"/>
  <c r="D41" i="15"/>
  <c r="D24" i="15"/>
  <c r="D37" i="15"/>
  <c r="D17" i="15"/>
  <c r="D35" i="15"/>
  <c r="D34" i="15"/>
  <c r="D16" i="15"/>
  <c r="D4" i="15"/>
  <c r="D21" i="15"/>
  <c r="D3" i="15"/>
  <c r="G6" i="15"/>
  <c r="L6" i="15" s="1"/>
  <c r="G39" i="15"/>
  <c r="M39" i="15" s="1"/>
  <c r="G12" i="15"/>
  <c r="L12" i="15" s="1"/>
  <c r="G4" i="15"/>
  <c r="M4" i="15" s="1"/>
  <c r="Q19" i="16" l="1"/>
  <c r="Q15" i="16"/>
  <c r="Q33" i="16"/>
  <c r="K10" i="16"/>
  <c r="K68" i="16"/>
  <c r="L48" i="16"/>
  <c r="L19" i="16"/>
  <c r="K53" i="16"/>
  <c r="L61" i="16"/>
  <c r="K7" i="16"/>
  <c r="K21" i="16"/>
  <c r="K9" i="16"/>
  <c r="M53" i="16"/>
  <c r="B53" i="16" s="1" a="1"/>
  <c r="B53" i="16" s="1"/>
  <c r="K19" i="16"/>
  <c r="K4" i="15"/>
  <c r="M58" i="16"/>
  <c r="B58" i="16" s="1" a="1"/>
  <c r="B58" i="16" s="1"/>
  <c r="K61" i="16"/>
  <c r="K48" i="16"/>
  <c r="L58" i="16"/>
  <c r="M6" i="16"/>
  <c r="L68" i="16"/>
  <c r="K6" i="16"/>
  <c r="M21" i="16"/>
  <c r="B21" i="16" s="1" a="1"/>
  <c r="B21" i="16" s="1"/>
  <c r="L18" i="16"/>
  <c r="K18" i="16"/>
  <c r="M47" i="16"/>
  <c r="B47" i="16" s="1" a="1"/>
  <c r="B47" i="16" s="1"/>
  <c r="L15" i="16"/>
  <c r="M9" i="16"/>
  <c r="B9" i="16" s="1" a="1"/>
  <c r="B9" i="16" s="1"/>
  <c r="L47" i="16"/>
  <c r="L33" i="16"/>
  <c r="K15" i="16"/>
  <c r="L10" i="16"/>
  <c r="L7" i="16"/>
  <c r="K33" i="16"/>
  <c r="M6" i="15"/>
  <c r="K6" i="15"/>
  <c r="M12" i="15"/>
  <c r="B12" i="15" s="1" a="1"/>
  <c r="B12" i="15" s="1"/>
  <c r="L39" i="15"/>
  <c r="L4" i="15"/>
  <c r="K12" i="15"/>
  <c r="K39" i="15"/>
  <c r="Q16" i="15" l="1"/>
  <c r="G3" i="17" s="1"/>
  <c r="H3" i="17" s="1"/>
  <c r="Q38" i="14"/>
  <c r="Q39" i="14"/>
  <c r="Q36" i="14"/>
  <c r="Q73" i="14"/>
  <c r="Q33" i="14"/>
  <c r="Q46" i="14"/>
  <c r="Q49" i="14"/>
  <c r="Q42" i="14"/>
  <c r="Q20" i="14"/>
  <c r="Q32" i="14"/>
  <c r="E53" i="17" s="1"/>
  <c r="F53" i="17" s="1"/>
  <c r="Q23" i="14"/>
  <c r="Q29" i="14"/>
  <c r="Q34" i="14"/>
  <c r="Q64" i="14"/>
  <c r="Q8" i="14"/>
  <c r="E28" i="17" s="1"/>
  <c r="F28" i="17" s="1"/>
  <c r="Q18" i="6"/>
  <c r="Q21" i="6"/>
  <c r="Q11" i="6"/>
  <c r="Q40" i="6"/>
  <c r="E46" i="17"/>
  <c r="F46" i="17" s="1"/>
  <c r="Q48" i="6"/>
  <c r="Q8" i="6"/>
  <c r="Q82" i="6"/>
  <c r="Q85" i="6"/>
  <c r="R18" i="13"/>
  <c r="R20" i="13"/>
  <c r="R3" i="13"/>
  <c r="R9" i="13"/>
  <c r="R16" i="13"/>
  <c r="R6" i="13"/>
  <c r="R10" i="12"/>
  <c r="R12" i="12"/>
  <c r="R5" i="12"/>
  <c r="Q3" i="11"/>
  <c r="Q73" i="11"/>
  <c r="C24" i="17" s="1"/>
  <c r="D24" i="17" s="1"/>
  <c r="Q31" i="11"/>
  <c r="Q54" i="11"/>
  <c r="Q51" i="11"/>
  <c r="C67" i="17"/>
  <c r="D67" i="17" s="1"/>
  <c r="Q57" i="11"/>
  <c r="Q47" i="11"/>
  <c r="Q48" i="11"/>
  <c r="Q56" i="11"/>
  <c r="C43" i="17" s="1"/>
  <c r="D43" i="17" s="1"/>
  <c r="Q11" i="11"/>
  <c r="Q99" i="11"/>
  <c r="Q9" i="11"/>
  <c r="Q63" i="11"/>
  <c r="Q45" i="11"/>
  <c r="Q101" i="11"/>
  <c r="Q91" i="11"/>
  <c r="Q4" i="11"/>
  <c r="Q39" i="11"/>
  <c r="Q67" i="11"/>
  <c r="Q95" i="11"/>
  <c r="Q9" i="3"/>
  <c r="Q60" i="3"/>
  <c r="Q91" i="3"/>
  <c r="Q15" i="3"/>
  <c r="Q64" i="3"/>
  <c r="Q58" i="3"/>
  <c r="Q12" i="3"/>
  <c r="Q78" i="3"/>
  <c r="Q19" i="3"/>
  <c r="Q17" i="3"/>
  <c r="Q48" i="3"/>
  <c r="Q41" i="3"/>
  <c r="Q16" i="3"/>
  <c r="Q49" i="3"/>
  <c r="Q52" i="3"/>
  <c r="Q88" i="3"/>
  <c r="Q86" i="3"/>
  <c r="Q90" i="3"/>
  <c r="Q77" i="3"/>
  <c r="Q25" i="3"/>
  <c r="Q29" i="3"/>
  <c r="Q44" i="3"/>
  <c r="Q35" i="3"/>
  <c r="Q33" i="3"/>
  <c r="Q54" i="3"/>
  <c r="Q38" i="3"/>
  <c r="Q26" i="3"/>
  <c r="Q50" i="3"/>
  <c r="Q82" i="3"/>
  <c r="Q74" i="3"/>
  <c r="Q69" i="3"/>
  <c r="Q18" i="3"/>
  <c r="Q39" i="3"/>
  <c r="Q80" i="3"/>
  <c r="C37" i="17" s="1"/>
  <c r="D37" i="17" s="1"/>
  <c r="Q10" i="3"/>
  <c r="Q31" i="3"/>
  <c r="Q34" i="3"/>
  <c r="Q20" i="3"/>
  <c r="Q6" i="3"/>
  <c r="D4" i="11"/>
  <c r="G4" i="11"/>
  <c r="X4" i="11"/>
  <c r="AE4" i="11"/>
  <c r="D40" i="11"/>
  <c r="G40" i="11"/>
  <c r="X40" i="11"/>
  <c r="AE40" i="11"/>
  <c r="D39" i="11"/>
  <c r="G39" i="11"/>
  <c r="X39" i="11"/>
  <c r="AE39" i="11"/>
  <c r="D29" i="11"/>
  <c r="G29" i="11"/>
  <c r="K29" i="11" s="1"/>
  <c r="X29" i="11"/>
  <c r="AE29" i="11"/>
  <c r="D67" i="11"/>
  <c r="G67" i="11"/>
  <c r="L67" i="11" s="1"/>
  <c r="X67" i="11"/>
  <c r="AE67" i="11"/>
  <c r="D95" i="11"/>
  <c r="G95" i="11"/>
  <c r="X95" i="11"/>
  <c r="AE95" i="11"/>
  <c r="D10" i="3"/>
  <c r="G10" i="3"/>
  <c r="X10" i="3"/>
  <c r="AE10" i="3"/>
  <c r="D31" i="3"/>
  <c r="G31" i="3"/>
  <c r="L31" i="3" s="1"/>
  <c r="X31" i="3"/>
  <c r="AE31" i="3"/>
  <c r="D34" i="3"/>
  <c r="G34" i="3"/>
  <c r="X34" i="3"/>
  <c r="AE34" i="3"/>
  <c r="D20" i="3"/>
  <c r="G20" i="3"/>
  <c r="X20" i="3"/>
  <c r="AE20" i="3"/>
  <c r="D85" i="6"/>
  <c r="G85" i="6"/>
  <c r="L85" i="6" s="1"/>
  <c r="G39" i="14"/>
  <c r="L39" i="14" s="1"/>
  <c r="G73" i="14"/>
  <c r="K73" i="14" s="1"/>
  <c r="G35" i="15"/>
  <c r="K35" i="15" s="1"/>
  <c r="G16" i="15"/>
  <c r="K16" i="15" s="1"/>
  <c r="G6" i="14"/>
  <c r="G9" i="14"/>
  <c r="G3" i="14"/>
  <c r="G68" i="14"/>
  <c r="G70" i="14"/>
  <c r="G7" i="14"/>
  <c r="G58" i="14"/>
  <c r="G75" i="14"/>
  <c r="G66" i="14"/>
  <c r="G4" i="14"/>
  <c r="G65" i="14"/>
  <c r="G83" i="14"/>
  <c r="G56" i="14"/>
  <c r="G25" i="14"/>
  <c r="G35" i="14"/>
  <c r="G52" i="14"/>
  <c r="G69" i="14"/>
  <c r="G30" i="14"/>
  <c r="G67" i="14"/>
  <c r="G86" i="14"/>
  <c r="G10" i="14"/>
  <c r="G28" i="14"/>
  <c r="G37" i="14"/>
  <c r="G59" i="14"/>
  <c r="G60" i="14"/>
  <c r="G76" i="14"/>
  <c r="G15" i="14"/>
  <c r="G61" i="14"/>
  <c r="G22" i="14"/>
  <c r="G63" i="14"/>
  <c r="G57" i="14"/>
  <c r="G16" i="14"/>
  <c r="G31" i="14"/>
  <c r="G41" i="14"/>
  <c r="G12" i="14"/>
  <c r="G21" i="14"/>
  <c r="G18" i="14"/>
  <c r="G82" i="14"/>
  <c r="G14" i="14"/>
  <c r="G87" i="14"/>
  <c r="G13" i="14"/>
  <c r="G88" i="14"/>
  <c r="G84" i="14"/>
  <c r="G38" i="14"/>
  <c r="L38" i="14" s="1"/>
  <c r="G36" i="14"/>
  <c r="K36" i="14" s="1"/>
  <c r="G33" i="14"/>
  <c r="M33" i="14" s="1"/>
  <c r="B33" i="14" s="1" a="1"/>
  <c r="B33" i="14" s="1"/>
  <c r="G46" i="14"/>
  <c r="K46" i="14" s="1"/>
  <c r="G49" i="14"/>
  <c r="G42" i="14"/>
  <c r="K42" i="14" s="1"/>
  <c r="G40" i="14"/>
  <c r="K40" i="14" s="1"/>
  <c r="G20" i="14"/>
  <c r="L20" i="14" s="1"/>
  <c r="G32" i="14"/>
  <c r="M32" i="14" s="1"/>
  <c r="B32" i="14" s="1" a="1"/>
  <c r="B32" i="14" s="1"/>
  <c r="G23" i="14"/>
  <c r="G29" i="14"/>
  <c r="M29" i="14" s="1"/>
  <c r="B29" i="14" s="1" a="1"/>
  <c r="B29" i="14" s="1"/>
  <c r="G34" i="14"/>
  <c r="K34" i="14" s="1"/>
  <c r="G64" i="14"/>
  <c r="G8" i="14"/>
  <c r="G5" i="14"/>
  <c r="D22" i="6"/>
  <c r="G22" i="6"/>
  <c r="L22" i="6" s="1"/>
  <c r="D18" i="6"/>
  <c r="G18" i="6"/>
  <c r="K18" i="6" s="1"/>
  <c r="D21" i="6"/>
  <c r="G21" i="6"/>
  <c r="K21" i="6" s="1"/>
  <c r="D40" i="6"/>
  <c r="G40" i="6"/>
  <c r="L40" i="6" s="1"/>
  <c r="D80" i="6"/>
  <c r="G80" i="6"/>
  <c r="K80" i="6" s="1"/>
  <c r="D48" i="6"/>
  <c r="G48" i="6"/>
  <c r="L48" i="6" s="1"/>
  <c r="D11" i="6"/>
  <c r="G11" i="6"/>
  <c r="D8" i="6"/>
  <c r="G8" i="6"/>
  <c r="D82" i="6"/>
  <c r="G82" i="6"/>
  <c r="M82" i="6" s="1"/>
  <c r="C8" i="17"/>
  <c r="D8" i="17" s="1"/>
  <c r="G8" i="17"/>
  <c r="H8" i="17" s="1"/>
  <c r="E67" i="17"/>
  <c r="F67" i="17" s="1"/>
  <c r="G67" i="17"/>
  <c r="H67" i="17" s="1"/>
  <c r="E43" i="17"/>
  <c r="F43" i="17" s="1"/>
  <c r="G43" i="17"/>
  <c r="H43" i="17" s="1"/>
  <c r="E24" i="17"/>
  <c r="F24" i="17" s="1"/>
  <c r="G24" i="17"/>
  <c r="H24" i="17" s="1"/>
  <c r="D71" i="11"/>
  <c r="D73" i="11"/>
  <c r="D31" i="11"/>
  <c r="D54" i="11"/>
  <c r="D51" i="11"/>
  <c r="D57" i="11"/>
  <c r="D47" i="11"/>
  <c r="D48" i="11"/>
  <c r="D56" i="11"/>
  <c r="D11" i="11"/>
  <c r="D99" i="11"/>
  <c r="D9" i="11"/>
  <c r="D35" i="11"/>
  <c r="D45" i="11"/>
  <c r="D101" i="11"/>
  <c r="D24" i="11"/>
  <c r="D91" i="11"/>
  <c r="G73" i="11"/>
  <c r="X73" i="11"/>
  <c r="AE73" i="11"/>
  <c r="G31" i="11"/>
  <c r="X31" i="11"/>
  <c r="AE31" i="11"/>
  <c r="G54" i="11"/>
  <c r="X54" i="11"/>
  <c r="AE54" i="11"/>
  <c r="G51" i="11"/>
  <c r="X51" i="11"/>
  <c r="AE51" i="11"/>
  <c r="G57" i="11"/>
  <c r="X57" i="11"/>
  <c r="AE57" i="11"/>
  <c r="G47" i="11"/>
  <c r="L47" i="11" s="1"/>
  <c r="X47" i="11"/>
  <c r="AE47" i="11"/>
  <c r="G48" i="11"/>
  <c r="X48" i="11"/>
  <c r="AE48" i="11"/>
  <c r="G56" i="11"/>
  <c r="X56" i="11"/>
  <c r="AE56" i="11"/>
  <c r="G11" i="11"/>
  <c r="K11" i="11" s="1"/>
  <c r="X11" i="11"/>
  <c r="AE11" i="11"/>
  <c r="G99" i="11"/>
  <c r="L99" i="11" s="1"/>
  <c r="X99" i="11"/>
  <c r="AE99" i="11"/>
  <c r="G9" i="11"/>
  <c r="X9" i="11"/>
  <c r="AE9" i="11"/>
  <c r="G35" i="11"/>
  <c r="X35" i="11"/>
  <c r="AE35" i="11"/>
  <c r="G45" i="11"/>
  <c r="X45" i="11"/>
  <c r="AE45" i="11"/>
  <c r="G101" i="11"/>
  <c r="X101" i="11"/>
  <c r="AE101" i="11"/>
  <c r="G24" i="11"/>
  <c r="X24" i="11"/>
  <c r="AE24" i="11"/>
  <c r="G91" i="11"/>
  <c r="X91" i="11"/>
  <c r="AE91" i="11"/>
  <c r="G71" i="11"/>
  <c r="L71" i="11" s="1"/>
  <c r="X71" i="11"/>
  <c r="AE71" i="11"/>
  <c r="G46" i="17"/>
  <c r="H46" i="17" s="1"/>
  <c r="D50" i="3"/>
  <c r="G50" i="3"/>
  <c r="L50" i="3" s="1"/>
  <c r="X50" i="3"/>
  <c r="AE50" i="3"/>
  <c r="D82" i="3"/>
  <c r="G82" i="3"/>
  <c r="X82" i="3"/>
  <c r="AE82" i="3"/>
  <c r="D74" i="3"/>
  <c r="G74" i="3"/>
  <c r="X74" i="3"/>
  <c r="AE74" i="3"/>
  <c r="D69" i="3"/>
  <c r="G69" i="3"/>
  <c r="X69" i="3"/>
  <c r="AE69" i="3"/>
  <c r="D9" i="3"/>
  <c r="G9" i="3"/>
  <c r="K9" i="3" s="1"/>
  <c r="X9" i="3"/>
  <c r="AE9" i="3"/>
  <c r="G15" i="3"/>
  <c r="L15" i="3" s="1"/>
  <c r="X15" i="3"/>
  <c r="AE15" i="3"/>
  <c r="D26" i="3"/>
  <c r="G26" i="3"/>
  <c r="X26" i="3"/>
  <c r="AE26" i="3"/>
  <c r="G53" i="17"/>
  <c r="H53" i="17" s="1"/>
  <c r="D7" i="3"/>
  <c r="G7" i="3"/>
  <c r="L7" i="3" s="1"/>
  <c r="X7" i="3"/>
  <c r="AE7" i="3"/>
  <c r="D17" i="3"/>
  <c r="G17" i="3"/>
  <c r="X17" i="3"/>
  <c r="AE17" i="3"/>
  <c r="D48" i="3"/>
  <c r="G48" i="3"/>
  <c r="X48" i="3"/>
  <c r="AE48" i="3"/>
  <c r="D84" i="3"/>
  <c r="G84" i="3"/>
  <c r="X84" i="3"/>
  <c r="AE84" i="3"/>
  <c r="D90" i="3"/>
  <c r="G90" i="3"/>
  <c r="X90" i="3"/>
  <c r="AE90" i="3"/>
  <c r="D77" i="3"/>
  <c r="G77" i="3"/>
  <c r="X77" i="3"/>
  <c r="AE77" i="3"/>
  <c r="D35" i="3"/>
  <c r="G35" i="3"/>
  <c r="L35" i="3" s="1"/>
  <c r="X35" i="3"/>
  <c r="AE35" i="3"/>
  <c r="D33" i="3"/>
  <c r="G33" i="3"/>
  <c r="X33" i="3"/>
  <c r="AE33" i="3"/>
  <c r="D54" i="3"/>
  <c r="G54" i="3"/>
  <c r="X54" i="3"/>
  <c r="AE54" i="3"/>
  <c r="E4" i="17"/>
  <c r="F4" i="17" s="1"/>
  <c r="G4" i="17"/>
  <c r="H4" i="17" s="1"/>
  <c r="C5" i="17"/>
  <c r="D5" i="17" s="1"/>
  <c r="E15" i="17"/>
  <c r="F15" i="17" s="1"/>
  <c r="G15" i="17"/>
  <c r="H15" i="17" s="1"/>
  <c r="D18" i="13"/>
  <c r="H18" i="13"/>
  <c r="L18" i="13" s="1"/>
  <c r="S18" i="13"/>
  <c r="T18" i="13"/>
  <c r="Y18" i="13"/>
  <c r="AF18" i="13"/>
  <c r="D6" i="13"/>
  <c r="H6" i="13"/>
  <c r="L6" i="13" s="1"/>
  <c r="S6" i="13"/>
  <c r="T6" i="13"/>
  <c r="Y6" i="13"/>
  <c r="AF6" i="13"/>
  <c r="D20" i="13"/>
  <c r="H20" i="13"/>
  <c r="M20" i="13" s="1"/>
  <c r="S20" i="13"/>
  <c r="T20" i="13"/>
  <c r="Y20" i="13"/>
  <c r="AF20" i="13"/>
  <c r="D3" i="13"/>
  <c r="H3" i="13"/>
  <c r="S3" i="13"/>
  <c r="T3" i="13"/>
  <c r="Y3" i="13"/>
  <c r="AF3" i="13"/>
  <c r="D9" i="13"/>
  <c r="H9" i="13"/>
  <c r="L9" i="13" s="1"/>
  <c r="S9" i="13"/>
  <c r="T9" i="13"/>
  <c r="Y9" i="13"/>
  <c r="AF9" i="13"/>
  <c r="D16" i="13"/>
  <c r="H16" i="13"/>
  <c r="N16" i="13" s="1"/>
  <c r="B16" i="13" s="1" a="1"/>
  <c r="B16" i="13" s="1"/>
  <c r="S16" i="13"/>
  <c r="T16" i="13"/>
  <c r="Y16" i="13"/>
  <c r="AF16" i="13"/>
  <c r="D14" i="12"/>
  <c r="H14" i="12"/>
  <c r="M14" i="12" s="1"/>
  <c r="S14" i="12"/>
  <c r="T14" i="12"/>
  <c r="Y14" i="12"/>
  <c r="D3" i="12"/>
  <c r="M3" i="12"/>
  <c r="S3" i="12"/>
  <c r="T3" i="12"/>
  <c r="Y3" i="12"/>
  <c r="D12" i="12"/>
  <c r="D5" i="12"/>
  <c r="D10" i="12"/>
  <c r="D8" i="12"/>
  <c r="D4" i="12"/>
  <c r="H12" i="12"/>
  <c r="M12" i="12" s="1"/>
  <c r="S12" i="12"/>
  <c r="T12" i="12"/>
  <c r="Y12" i="12"/>
  <c r="H5" i="12"/>
  <c r="L5" i="12" s="1"/>
  <c r="S5" i="12"/>
  <c r="T5" i="12"/>
  <c r="Y5" i="12"/>
  <c r="H10" i="12"/>
  <c r="L10" i="12" s="1"/>
  <c r="S10" i="12"/>
  <c r="T10" i="12"/>
  <c r="Y10" i="12"/>
  <c r="S15" i="13"/>
  <c r="T15" i="13"/>
  <c r="S10" i="13"/>
  <c r="T10" i="13"/>
  <c r="S4" i="13"/>
  <c r="T4" i="13"/>
  <c r="S8" i="13"/>
  <c r="T8" i="13"/>
  <c r="S17" i="13"/>
  <c r="T17" i="13"/>
  <c r="S4" i="12"/>
  <c r="T4" i="12"/>
  <c r="T8" i="12"/>
  <c r="S8" i="12"/>
  <c r="D77" i="11"/>
  <c r="G77" i="11"/>
  <c r="L77" i="11" s="1"/>
  <c r="X77" i="11"/>
  <c r="AE77" i="11"/>
  <c r="D3" i="11"/>
  <c r="G3" i="11"/>
  <c r="X3" i="11"/>
  <c r="AE3" i="11"/>
  <c r="D63" i="11"/>
  <c r="G63" i="11"/>
  <c r="K63" i="11" s="1"/>
  <c r="X63" i="11"/>
  <c r="AE63" i="11"/>
  <c r="X52" i="3"/>
  <c r="B56" i="14" l="1" a="1"/>
  <c r="B56" i="14" s="1"/>
  <c r="B58" i="14" a="1"/>
  <c r="B58" i="14" s="1"/>
  <c r="B7" i="14" a="1"/>
  <c r="B7" i="14" s="1"/>
  <c r="B59" i="14" a="1"/>
  <c r="B59" i="14" s="1"/>
  <c r="B4" i="14" a="1"/>
  <c r="B4" i="14" s="1"/>
  <c r="B57" i="14" a="1"/>
  <c r="B57" i="14" s="1"/>
  <c r="B3" i="14" a="1"/>
  <c r="B3" i="14" s="1"/>
  <c r="B9" i="14" a="1"/>
  <c r="B9" i="14" s="1"/>
  <c r="K5" i="14"/>
  <c r="B5" i="14" a="1"/>
  <c r="B5" i="14" s="1"/>
  <c r="K8" i="14"/>
  <c r="B8" i="14" a="1"/>
  <c r="B8" i="14" s="1"/>
  <c r="B6" i="14" a="1"/>
  <c r="B6" i="14" s="1"/>
  <c r="K8" i="6"/>
  <c r="L11" i="6"/>
  <c r="N3" i="13"/>
  <c r="K14" i="12"/>
  <c r="K6" i="13"/>
  <c r="K18" i="13"/>
  <c r="K20" i="13"/>
  <c r="K8" i="13"/>
  <c r="K15" i="13"/>
  <c r="K10" i="13"/>
  <c r="K3" i="13"/>
  <c r="K4" i="13"/>
  <c r="K9" i="13"/>
  <c r="K16" i="13"/>
  <c r="K17" i="13"/>
  <c r="K8" i="12"/>
  <c r="K5" i="12"/>
  <c r="K4" i="12"/>
  <c r="K3" i="12"/>
  <c r="K10" i="12"/>
  <c r="K12" i="12"/>
  <c r="M73" i="11"/>
  <c r="M3" i="11"/>
  <c r="K3" i="11"/>
  <c r="Q80" i="6"/>
  <c r="E64" i="17" s="1"/>
  <c r="F64" i="17" s="1"/>
  <c r="K95" i="11"/>
  <c r="K84" i="3"/>
  <c r="C3" i="17"/>
  <c r="D3" i="17" s="1"/>
  <c r="Q84" i="3"/>
  <c r="M33" i="3"/>
  <c r="B33" i="3" s="1" a="1"/>
  <c r="B33" i="3" s="1"/>
  <c r="M82" i="3"/>
  <c r="B82" i="3" s="1" a="1"/>
  <c r="B82" i="3" s="1"/>
  <c r="K77" i="3"/>
  <c r="R69" i="3"/>
  <c r="K48" i="3"/>
  <c r="K39" i="11"/>
  <c r="K90" i="3"/>
  <c r="K17" i="3"/>
  <c r="R74" i="3"/>
  <c r="R54" i="3"/>
  <c r="M9" i="11"/>
  <c r="M4" i="11"/>
  <c r="K51" i="11"/>
  <c r="K48" i="11"/>
  <c r="K26" i="3"/>
  <c r="R101" i="11"/>
  <c r="R31" i="11"/>
  <c r="R45" i="11"/>
  <c r="R57" i="11"/>
  <c r="R35" i="11"/>
  <c r="N6" i="13"/>
  <c r="B6" i="13" s="1" a="1"/>
  <c r="B6" i="13" s="1"/>
  <c r="L29" i="11"/>
  <c r="M39" i="11"/>
  <c r="B39" i="11" s="1" a="1"/>
  <c r="B39" i="11" s="1"/>
  <c r="M34" i="3"/>
  <c r="B34" i="3" s="1" a="1"/>
  <c r="B34" i="3" s="1"/>
  <c r="M67" i="11"/>
  <c r="B67" i="11" s="1" a="1"/>
  <c r="B67" i="11" s="1"/>
  <c r="R67" i="11"/>
  <c r="R39" i="11"/>
  <c r="R40" i="11"/>
  <c r="K67" i="11"/>
  <c r="L39" i="11"/>
  <c r="R29" i="11"/>
  <c r="M40" i="11"/>
  <c r="B40" i="11" s="1" a="1"/>
  <c r="B40" i="11" s="1"/>
  <c r="L40" i="11"/>
  <c r="L4" i="11"/>
  <c r="M29" i="11"/>
  <c r="B29" i="11" s="1" a="1"/>
  <c r="B29" i="11" s="1"/>
  <c r="K40" i="11"/>
  <c r="K4" i="11"/>
  <c r="R95" i="11"/>
  <c r="M95" i="11"/>
  <c r="B95" i="11" s="1" a="1"/>
  <c r="B95" i="11" s="1"/>
  <c r="L95" i="11"/>
  <c r="R4" i="11"/>
  <c r="K31" i="3"/>
  <c r="K10" i="3"/>
  <c r="R20" i="3"/>
  <c r="R31" i="3"/>
  <c r="M20" i="3"/>
  <c r="B20" i="3" s="1" a="1"/>
  <c r="B20" i="3" s="1"/>
  <c r="L34" i="3"/>
  <c r="L20" i="3"/>
  <c r="K34" i="3"/>
  <c r="K20" i="3"/>
  <c r="R10" i="3"/>
  <c r="R34" i="3"/>
  <c r="M10" i="3"/>
  <c r="M31" i="3"/>
  <c r="B31" i="3" s="1" a="1"/>
  <c r="B31" i="3" s="1"/>
  <c r="L10" i="3"/>
  <c r="M73" i="14"/>
  <c r="B73" i="14" s="1" a="1"/>
  <c r="B73" i="14" s="1"/>
  <c r="L73" i="14"/>
  <c r="L29" i="14"/>
  <c r="K39" i="14"/>
  <c r="K48" i="6"/>
  <c r="M40" i="6"/>
  <c r="B40" i="6" s="1" a="1"/>
  <c r="B40" i="6" s="1"/>
  <c r="K40" i="6"/>
  <c r="M11" i="6"/>
  <c r="K11" i="6"/>
  <c r="K85" i="6"/>
  <c r="K82" i="6"/>
  <c r="M35" i="15"/>
  <c r="B35" i="15" s="1" a="1"/>
  <c r="B35" i="15" s="1"/>
  <c r="M16" i="13"/>
  <c r="L16" i="13"/>
  <c r="M6" i="13"/>
  <c r="N18" i="13"/>
  <c r="B18" i="13" s="1" a="1"/>
  <c r="B18" i="13" s="1"/>
  <c r="N9" i="13"/>
  <c r="B9" i="13" s="1" a="1"/>
  <c r="B9" i="13" s="1"/>
  <c r="N20" i="13"/>
  <c r="B20" i="13" s="1" a="1"/>
  <c r="B20" i="13" s="1"/>
  <c r="M9" i="13"/>
  <c r="L20" i="13"/>
  <c r="L12" i="12"/>
  <c r="L14" i="12"/>
  <c r="M45" i="11"/>
  <c r="B45" i="11" s="1" a="1"/>
  <c r="B45" i="11" s="1"/>
  <c r="R54" i="11"/>
  <c r="L9" i="11"/>
  <c r="L54" i="11"/>
  <c r="K54" i="11"/>
  <c r="M35" i="11"/>
  <c r="B35" i="11" s="1" a="1"/>
  <c r="B35" i="11" s="1"/>
  <c r="R51" i="11"/>
  <c r="L51" i="11"/>
  <c r="L73" i="11"/>
  <c r="M57" i="11"/>
  <c r="B57" i="11" s="1" a="1"/>
  <c r="B57" i="11" s="1"/>
  <c r="L35" i="11"/>
  <c r="K57" i="11"/>
  <c r="M24" i="11"/>
  <c r="B24" i="11" s="1" a="1"/>
  <c r="B24" i="11" s="1"/>
  <c r="K45" i="11"/>
  <c r="K99" i="11"/>
  <c r="M31" i="11"/>
  <c r="B31" i="11" s="1" a="1"/>
  <c r="B31" i="11" s="1"/>
  <c r="K31" i="11"/>
  <c r="M101" i="11"/>
  <c r="B101" i="11" s="1" a="1"/>
  <c r="B101" i="11" s="1"/>
  <c r="L45" i="11"/>
  <c r="L57" i="11"/>
  <c r="M51" i="11"/>
  <c r="B51" i="11" s="1" a="1"/>
  <c r="B51" i="11" s="1"/>
  <c r="M54" i="11"/>
  <c r="B54" i="11" s="1" a="1"/>
  <c r="B54" i="11" s="1"/>
  <c r="L31" i="11"/>
  <c r="L101" i="11"/>
  <c r="M71" i="11"/>
  <c r="L24" i="11"/>
  <c r="K101" i="11"/>
  <c r="K47" i="11"/>
  <c r="K24" i="11"/>
  <c r="M54" i="3"/>
  <c r="B54" i="3" s="1" a="1"/>
  <c r="B54" i="3" s="1"/>
  <c r="L82" i="3"/>
  <c r="M17" i="3"/>
  <c r="B17" i="3" s="1" a="1"/>
  <c r="B17" i="3" s="1"/>
  <c r="K82" i="3"/>
  <c r="M48" i="3"/>
  <c r="B48" i="3" s="1" a="1"/>
  <c r="B48" i="3" s="1"/>
  <c r="L33" i="3"/>
  <c r="L48" i="3"/>
  <c r="L17" i="3"/>
  <c r="K50" i="3"/>
  <c r="R9" i="3"/>
  <c r="M69" i="3"/>
  <c r="B69" i="3" s="1" a="1"/>
  <c r="B69" i="3" s="1"/>
  <c r="M74" i="3"/>
  <c r="B74" i="3" s="1" a="1"/>
  <c r="B74" i="3" s="1"/>
  <c r="R15" i="3"/>
  <c r="M9" i="3"/>
  <c r="L69" i="3"/>
  <c r="K15" i="3"/>
  <c r="L9" i="3"/>
  <c r="K69" i="3"/>
  <c r="L54" i="3"/>
  <c r="L74" i="3"/>
  <c r="M85" i="6"/>
  <c r="M39" i="14"/>
  <c r="B39" i="14" s="1" a="1"/>
  <c r="B39" i="14" s="1"/>
  <c r="L35" i="15"/>
  <c r="M16" i="15"/>
  <c r="B16" i="15" s="1" a="1"/>
  <c r="B16" i="15" s="1"/>
  <c r="L16" i="15"/>
  <c r="L8" i="6"/>
  <c r="L82" i="6"/>
  <c r="M48" i="6"/>
  <c r="B48" i="6" s="1" a="1"/>
  <c r="B48" i="6" s="1"/>
  <c r="M21" i="6"/>
  <c r="B21" i="6" s="1" a="1"/>
  <c r="B21" i="6" s="1"/>
  <c r="K22" i="6"/>
  <c r="E8" i="17"/>
  <c r="F8" i="17" s="1"/>
  <c r="K29" i="14"/>
  <c r="L32" i="14"/>
  <c r="M34" i="14"/>
  <c r="B34" i="14" s="1" a="1"/>
  <c r="B34" i="14" s="1"/>
  <c r="L34" i="14"/>
  <c r="M42" i="14"/>
  <c r="B42" i="14" s="1" a="1"/>
  <c r="B42" i="14" s="1"/>
  <c r="M40" i="14"/>
  <c r="L42" i="14"/>
  <c r="L40" i="14"/>
  <c r="K32" i="14"/>
  <c r="K20" i="14"/>
  <c r="M8" i="6"/>
  <c r="M80" i="6"/>
  <c r="L21" i="6"/>
  <c r="M18" i="6"/>
  <c r="B18" i="6" s="1" a="1"/>
  <c r="B18" i="6" s="1"/>
  <c r="L80" i="6"/>
  <c r="L18" i="6"/>
  <c r="M22" i="6"/>
  <c r="B22" i="6" s="1" a="1"/>
  <c r="B22" i="6" s="1"/>
  <c r="M36" i="14"/>
  <c r="B36" i="14" s="1" a="1"/>
  <c r="B36" i="14" s="1"/>
  <c r="M46" i="14"/>
  <c r="B46" i="14" s="1" a="1"/>
  <c r="B46" i="14" s="1"/>
  <c r="L36" i="14"/>
  <c r="M8" i="14"/>
  <c r="L46" i="14"/>
  <c r="L33" i="14"/>
  <c r="L8" i="14"/>
  <c r="K33" i="14"/>
  <c r="K64" i="14"/>
  <c r="L64" i="14"/>
  <c r="M64" i="14"/>
  <c r="B64" i="14" s="1" a="1"/>
  <c r="B64" i="14" s="1"/>
  <c r="K23" i="14"/>
  <c r="L23" i="14"/>
  <c r="M23" i="14"/>
  <c r="B23" i="14" s="1" a="1"/>
  <c r="B23" i="14" s="1"/>
  <c r="K49" i="14"/>
  <c r="L49" i="14"/>
  <c r="M49" i="14"/>
  <c r="B49" i="14" s="1" a="1"/>
  <c r="B49" i="14" s="1"/>
  <c r="K6" i="14"/>
  <c r="L6" i="14"/>
  <c r="M6" i="14"/>
  <c r="M20" i="14"/>
  <c r="B20" i="14" s="1" a="1"/>
  <c r="B20" i="14" s="1"/>
  <c r="K38" i="14"/>
  <c r="M38" i="14"/>
  <c r="B38" i="14" s="1" a="1"/>
  <c r="B38" i="14" s="1"/>
  <c r="C4" i="17"/>
  <c r="D4" i="17" s="1"/>
  <c r="K91" i="11"/>
  <c r="K35" i="11"/>
  <c r="R11" i="11"/>
  <c r="M48" i="11"/>
  <c r="B48" i="11" s="1" a="1"/>
  <c r="B48" i="11" s="1"/>
  <c r="R47" i="11"/>
  <c r="C53" i="17"/>
  <c r="D53" i="17" s="1"/>
  <c r="R24" i="11"/>
  <c r="L48" i="11"/>
  <c r="M47" i="11"/>
  <c r="B47" i="11" s="1" a="1"/>
  <c r="B47" i="11" s="1"/>
  <c r="R48" i="11"/>
  <c r="R91" i="11"/>
  <c r="K56" i="11"/>
  <c r="L56" i="11"/>
  <c r="M56" i="11"/>
  <c r="B56" i="11" s="1" a="1"/>
  <c r="B56" i="11" s="1"/>
  <c r="R56" i="11"/>
  <c r="K9" i="11"/>
  <c r="K73" i="11"/>
  <c r="S11" i="11"/>
  <c r="R99" i="11"/>
  <c r="M91" i="11"/>
  <c r="B91" i="11" s="1" a="1"/>
  <c r="B91" i="11" s="1"/>
  <c r="R9" i="11"/>
  <c r="M11" i="11"/>
  <c r="B11" i="11" s="1" a="1"/>
  <c r="B11" i="11" s="1"/>
  <c r="R73" i="11"/>
  <c r="L91" i="11"/>
  <c r="M99" i="11"/>
  <c r="B99" i="11" s="1" a="1"/>
  <c r="B99" i="11" s="1"/>
  <c r="L11" i="11"/>
  <c r="K71" i="11"/>
  <c r="R71" i="11"/>
  <c r="M15" i="3"/>
  <c r="B15" i="3" s="1" a="1"/>
  <c r="B15" i="3" s="1"/>
  <c r="C46" i="17"/>
  <c r="D46" i="17" s="1"/>
  <c r="K74" i="3"/>
  <c r="K35" i="3"/>
  <c r="R26" i="3"/>
  <c r="M26" i="3"/>
  <c r="B26" i="3" s="1" a="1"/>
  <c r="B26" i="3" s="1"/>
  <c r="R50" i="3"/>
  <c r="L26" i="3"/>
  <c r="R82" i="3"/>
  <c r="M50" i="3"/>
  <c r="B50" i="3" s="1" a="1"/>
  <c r="B50" i="3" s="1"/>
  <c r="R84" i="3"/>
  <c r="M84" i="3"/>
  <c r="B84" i="3" s="1" a="1"/>
  <c r="B84" i="3" s="1"/>
  <c r="L84" i="3"/>
  <c r="K7" i="3"/>
  <c r="R48" i="3"/>
  <c r="R17" i="3"/>
  <c r="K54" i="3"/>
  <c r="K33" i="3"/>
  <c r="R90" i="3"/>
  <c r="R77" i="3"/>
  <c r="R35" i="3"/>
  <c r="M90" i="3"/>
  <c r="B90" i="3" s="1" a="1"/>
  <c r="B90" i="3" s="1"/>
  <c r="R7" i="3"/>
  <c r="R33" i="3"/>
  <c r="M77" i="3"/>
  <c r="B77" i="3" s="1" a="1"/>
  <c r="B77" i="3" s="1"/>
  <c r="L90" i="3"/>
  <c r="M35" i="3"/>
  <c r="B35" i="3" s="1" a="1"/>
  <c r="B35" i="3" s="1"/>
  <c r="L77" i="3"/>
  <c r="M7" i="3"/>
  <c r="M3" i="13"/>
  <c r="L3" i="13"/>
  <c r="M18" i="13"/>
  <c r="N14" i="12"/>
  <c r="L3" i="12"/>
  <c r="N3" i="12"/>
  <c r="N5" i="12"/>
  <c r="B5" i="12" s="1" a="1"/>
  <c r="B5" i="12" s="1"/>
  <c r="M5" i="12"/>
  <c r="N12" i="12"/>
  <c r="B12" i="12" s="1" a="1"/>
  <c r="B12" i="12" s="1"/>
  <c r="N10" i="12"/>
  <c r="B10" i="12" s="1" a="1"/>
  <c r="B10" i="12" s="1"/>
  <c r="M10" i="12"/>
  <c r="L3" i="11"/>
  <c r="R3" i="11"/>
  <c r="R63" i="11"/>
  <c r="R77" i="11"/>
  <c r="K77" i="11"/>
  <c r="M63" i="11"/>
  <c r="B63" i="11" s="1" a="1"/>
  <c r="B63" i="11" s="1"/>
  <c r="L63" i="11"/>
  <c r="M77" i="11"/>
  <c r="B77" i="11" s="1" a="1"/>
  <c r="B77" i="11" s="1"/>
  <c r="R14" i="12" l="1"/>
  <c r="B14" i="12" a="1"/>
  <c r="B14" i="12" s="1"/>
  <c r="Q40" i="14"/>
  <c r="B40" i="14" a="1"/>
  <c r="B40" i="14" s="1"/>
  <c r="R3" i="12"/>
  <c r="J11" i="11"/>
  <c r="S45" i="11"/>
  <c r="J45" i="11" s="1"/>
  <c r="S35" i="11"/>
  <c r="J35" i="11" s="1"/>
  <c r="S101" i="11"/>
  <c r="J101" i="11" s="1"/>
  <c r="S31" i="11"/>
  <c r="J31" i="11" s="1"/>
  <c r="S9" i="3"/>
  <c r="J9" i="3" s="1"/>
  <c r="S69" i="3"/>
  <c r="J69" i="3" s="1"/>
  <c r="S74" i="3"/>
  <c r="J74" i="3" s="1"/>
  <c r="S4" i="11"/>
  <c r="J4" i="11" s="1"/>
  <c r="S57" i="11"/>
  <c r="J57" i="11" s="1"/>
  <c r="S51" i="11"/>
  <c r="J51" i="11" s="1"/>
  <c r="S39" i="11"/>
  <c r="J39" i="11" s="1"/>
  <c r="S56" i="11"/>
  <c r="J56" i="11" s="1"/>
  <c r="S48" i="11"/>
  <c r="J48" i="11" s="1"/>
  <c r="S40" i="11"/>
  <c r="J40" i="11" s="1"/>
  <c r="S3" i="11"/>
  <c r="J3" i="11" s="1"/>
  <c r="S29" i="11"/>
  <c r="J29" i="11" s="1"/>
  <c r="S47" i="11"/>
  <c r="J47" i="11" s="1"/>
  <c r="S54" i="11"/>
  <c r="J54" i="11" s="1"/>
  <c r="S63" i="11"/>
  <c r="J63" i="11" s="1"/>
  <c r="S67" i="11"/>
  <c r="J67" i="11" s="1"/>
  <c r="S91" i="11"/>
  <c r="J91" i="11" s="1"/>
  <c r="S9" i="11"/>
  <c r="J9" i="11" s="1"/>
  <c r="S24" i="11"/>
  <c r="J24" i="11" s="1"/>
  <c r="S20" i="3"/>
  <c r="J20" i="3" s="1"/>
  <c r="S77" i="3"/>
  <c r="J77" i="3" s="1"/>
  <c r="S7" i="3"/>
  <c r="J7" i="3" s="1"/>
  <c r="S90" i="3"/>
  <c r="J90" i="3" s="1"/>
  <c r="S50" i="3"/>
  <c r="J50" i="3" s="1"/>
  <c r="S15" i="3"/>
  <c r="J15" i="3" s="1"/>
  <c r="S26" i="3"/>
  <c r="J26" i="3" s="1"/>
  <c r="S84" i="3"/>
  <c r="J84" i="3" s="1"/>
  <c r="S17" i="3"/>
  <c r="J17" i="3" s="1"/>
  <c r="S54" i="3"/>
  <c r="J54" i="3" s="1"/>
  <c r="S82" i="3"/>
  <c r="J82" i="3" s="1"/>
  <c r="S31" i="3"/>
  <c r="J31" i="3" s="1"/>
  <c r="Q35" i="15"/>
  <c r="Q71" i="11"/>
  <c r="Q77" i="11"/>
  <c r="Q35" i="11"/>
  <c r="Q40" i="11"/>
  <c r="Q29" i="11"/>
  <c r="Q24" i="11"/>
  <c r="S95" i="11"/>
  <c r="J95" i="11" s="1"/>
  <c r="S34" i="3"/>
  <c r="J34" i="3" s="1"/>
  <c r="S10" i="3"/>
  <c r="J10" i="3" s="1"/>
  <c r="S99" i="11"/>
  <c r="J99" i="11" s="1"/>
  <c r="S73" i="11"/>
  <c r="J73" i="11" s="1"/>
  <c r="S71" i="11"/>
  <c r="J71" i="11" s="1"/>
  <c r="S48" i="3"/>
  <c r="J48" i="3" s="1"/>
  <c r="S33" i="3"/>
  <c r="J33" i="3" s="1"/>
  <c r="S35" i="3"/>
  <c r="J35" i="3" s="1"/>
  <c r="S77" i="11"/>
  <c r="J77" i="11" s="1"/>
  <c r="AE16" i="11" l="1"/>
  <c r="D23" i="15" l="1"/>
  <c r="D67" i="6"/>
  <c r="D4" i="6"/>
  <c r="D16" i="6"/>
  <c r="D26" i="6"/>
  <c r="D90" i="6"/>
  <c r="D83" i="6"/>
  <c r="D86" i="6"/>
  <c r="D12" i="6"/>
  <c r="D91" i="6"/>
  <c r="D52" i="6"/>
  <c r="D84" i="6"/>
  <c r="D32" i="6"/>
  <c r="D6" i="6"/>
  <c r="D15" i="6"/>
  <c r="D65" i="6"/>
  <c r="D44" i="6"/>
  <c r="D5" i="6"/>
  <c r="D81" i="6"/>
  <c r="D50" i="6"/>
  <c r="D7" i="6"/>
  <c r="D10" i="6"/>
  <c r="D53" i="6"/>
  <c r="D20" i="6"/>
  <c r="D13" i="6"/>
  <c r="D46" i="6"/>
  <c r="D3" i="6"/>
  <c r="D14" i="6"/>
  <c r="D37" i="6"/>
  <c r="D45" i="6"/>
  <c r="D19" i="6"/>
  <c r="D49" i="6"/>
  <c r="D35" i="6"/>
  <c r="D87" i="6"/>
  <c r="D8" i="13"/>
  <c r="D17" i="13"/>
  <c r="D15" i="13"/>
  <c r="D10" i="13"/>
  <c r="D4" i="13"/>
  <c r="D20" i="11"/>
  <c r="D21" i="11"/>
  <c r="D33" i="11"/>
  <c r="D78" i="11"/>
  <c r="D61" i="11"/>
  <c r="D53" i="11"/>
  <c r="D88" i="11"/>
  <c r="D85" i="11"/>
  <c r="D86" i="11"/>
  <c r="D76" i="11"/>
  <c r="D92" i="11"/>
  <c r="D80" i="11"/>
  <c r="D102" i="11"/>
  <c r="D26" i="11"/>
  <c r="D37" i="11"/>
  <c r="D74" i="11"/>
  <c r="D79" i="11"/>
  <c r="D94" i="11"/>
  <c r="D41" i="11"/>
  <c r="D72" i="11"/>
  <c r="D15" i="11"/>
  <c r="D93" i="11"/>
  <c r="D7" i="11"/>
  <c r="D18" i="11"/>
  <c r="D81" i="11"/>
  <c r="D19" i="11"/>
  <c r="D46" i="11"/>
  <c r="D12" i="11"/>
  <c r="D83" i="11"/>
  <c r="D13" i="11"/>
  <c r="D44" i="11"/>
  <c r="D16" i="11"/>
  <c r="D34" i="11"/>
  <c r="D52" i="11"/>
  <c r="D36" i="11"/>
  <c r="D23" i="11"/>
  <c r="D25" i="11"/>
  <c r="D87" i="11"/>
  <c r="D59" i="11"/>
  <c r="D28" i="11"/>
  <c r="D27" i="11"/>
  <c r="D38" i="11"/>
  <c r="D8" i="11"/>
  <c r="D32" i="11"/>
  <c r="D17" i="11"/>
  <c r="D86" i="3"/>
  <c r="D49" i="3"/>
  <c r="D25" i="3"/>
  <c r="D38" i="3"/>
  <c r="D59" i="3"/>
  <c r="D23" i="3"/>
  <c r="D87" i="3"/>
  <c r="D45" i="3"/>
  <c r="D67" i="3"/>
  <c r="D80" i="3"/>
  <c r="D60" i="3"/>
  <c r="D14" i="3"/>
  <c r="D65" i="3"/>
  <c r="D36" i="3"/>
  <c r="D8" i="3"/>
  <c r="D64" i="3"/>
  <c r="D73" i="3"/>
  <c r="D19" i="3"/>
  <c r="D66" i="3"/>
  <c r="D6" i="3"/>
  <c r="D4" i="3"/>
  <c r="D3" i="3"/>
  <c r="D44" i="3"/>
  <c r="D16" i="3"/>
  <c r="D78" i="3"/>
  <c r="D29" i="3"/>
  <c r="D39" i="3"/>
  <c r="D5" i="3"/>
  <c r="D91" i="3"/>
  <c r="D12" i="3"/>
  <c r="D41" i="3"/>
  <c r="D58" i="3"/>
  <c r="D32" i="3"/>
  <c r="D52" i="3"/>
  <c r="D79" i="3"/>
  <c r="D88" i="3"/>
  <c r="D13" i="3"/>
  <c r="D72" i="3"/>
  <c r="D81" i="3"/>
  <c r="D89" i="3"/>
  <c r="D37" i="3"/>
  <c r="D18" i="3"/>
  <c r="D21" i="3"/>
  <c r="G74" i="17" l="1"/>
  <c r="H74" i="17" s="1"/>
  <c r="G76" i="17"/>
  <c r="H76" i="17" s="1"/>
  <c r="G7" i="17"/>
  <c r="H7" i="17" s="1"/>
  <c r="E12" i="17"/>
  <c r="F12" i="17" s="1"/>
  <c r="G12" i="17"/>
  <c r="H12" i="17" s="1"/>
  <c r="C49" i="17"/>
  <c r="D49" i="17" s="1"/>
  <c r="E56" i="17"/>
  <c r="F56" i="17" s="1"/>
  <c r="G56" i="17"/>
  <c r="H56" i="17" s="1"/>
  <c r="G62" i="17"/>
  <c r="H62" i="17" s="1"/>
  <c r="G9" i="15" l="1"/>
  <c r="G37" i="15"/>
  <c r="G14" i="15"/>
  <c r="G8" i="15"/>
  <c r="G3" i="15"/>
  <c r="Q11" i="15"/>
  <c r="G11" i="15"/>
  <c r="G7" i="15"/>
  <c r="Q17" i="15"/>
  <c r="G17" i="15"/>
  <c r="G36" i="15"/>
  <c r="G13" i="16"/>
  <c r="G30" i="17"/>
  <c r="H30" i="17" s="1"/>
  <c r="G5" i="16"/>
  <c r="Q25" i="16"/>
  <c r="G25" i="16"/>
  <c r="G28" i="16"/>
  <c r="G27" i="16"/>
  <c r="Q30" i="16"/>
  <c r="G30" i="16"/>
  <c r="Q16" i="16"/>
  <c r="G16" i="16"/>
  <c r="Q54" i="16"/>
  <c r="G54" i="16"/>
  <c r="G24" i="16"/>
  <c r="G43" i="16"/>
  <c r="E58" i="17"/>
  <c r="F58" i="17" s="1"/>
  <c r="Q41" i="14"/>
  <c r="Q37" i="14"/>
  <c r="Q15" i="14"/>
  <c r="Q87" i="14"/>
  <c r="Q88" i="14"/>
  <c r="Q52" i="14"/>
  <c r="Q90" i="6"/>
  <c r="G90" i="6"/>
  <c r="Q12" i="6"/>
  <c r="G12" i="6"/>
  <c r="Q20" i="6"/>
  <c r="G20" i="6"/>
  <c r="G16" i="6"/>
  <c r="Q83" i="6"/>
  <c r="E37" i="17" s="1"/>
  <c r="F37" i="17" s="1"/>
  <c r="G83" i="6"/>
  <c r="G15" i="6"/>
  <c r="Q32" i="6"/>
  <c r="G32" i="6"/>
  <c r="G4" i="6"/>
  <c r="Q86" i="6"/>
  <c r="G86" i="6"/>
  <c r="G65" i="6"/>
  <c r="G5" i="6"/>
  <c r="Q26" i="6"/>
  <c r="G26" i="6"/>
  <c r="Q44" i="6"/>
  <c r="G44" i="6"/>
  <c r="G52" i="6"/>
  <c r="G84" i="6"/>
  <c r="G6" i="6"/>
  <c r="H17" i="13"/>
  <c r="Y17" i="13"/>
  <c r="AF17" i="13"/>
  <c r="R8" i="13"/>
  <c r="H8" i="13"/>
  <c r="Y8" i="13"/>
  <c r="AF8" i="13"/>
  <c r="H10" i="13"/>
  <c r="Y10" i="13"/>
  <c r="AF10" i="13"/>
  <c r="R4" i="13"/>
  <c r="H4" i="13"/>
  <c r="Y4" i="13"/>
  <c r="AF4" i="13"/>
  <c r="R15" i="13"/>
  <c r="H15" i="13"/>
  <c r="Y15" i="13"/>
  <c r="AF15" i="13"/>
  <c r="R4" i="12"/>
  <c r="H4" i="12"/>
  <c r="Y4" i="12"/>
  <c r="H8" i="12"/>
  <c r="Y8" i="12"/>
  <c r="Q8" i="11"/>
  <c r="G8" i="11"/>
  <c r="X8" i="11"/>
  <c r="AE8" i="11"/>
  <c r="G17" i="11"/>
  <c r="X17" i="11"/>
  <c r="AE17" i="11"/>
  <c r="G19" i="11"/>
  <c r="X19" i="11"/>
  <c r="AE19" i="11"/>
  <c r="G28" i="11"/>
  <c r="X28" i="11"/>
  <c r="AE28" i="11"/>
  <c r="Q27" i="11"/>
  <c r="G27" i="11"/>
  <c r="X27" i="11"/>
  <c r="AE27" i="11"/>
  <c r="Q18" i="11"/>
  <c r="G18" i="11"/>
  <c r="X18" i="11"/>
  <c r="AE18" i="11"/>
  <c r="G85" i="11"/>
  <c r="X85" i="11"/>
  <c r="AE85" i="11"/>
  <c r="Q20" i="11"/>
  <c r="G20" i="11"/>
  <c r="X20" i="11"/>
  <c r="AE20" i="11"/>
  <c r="Q79" i="11"/>
  <c r="G79" i="11"/>
  <c r="X79" i="11"/>
  <c r="AE79" i="11"/>
  <c r="Q93" i="11"/>
  <c r="G93" i="11"/>
  <c r="X93" i="11"/>
  <c r="AE93" i="11"/>
  <c r="Q33" i="11"/>
  <c r="G33" i="11"/>
  <c r="X33" i="11"/>
  <c r="AE33" i="11"/>
  <c r="Q102" i="11"/>
  <c r="G102" i="11"/>
  <c r="X102" i="11"/>
  <c r="AE102" i="11"/>
  <c r="G37" i="11"/>
  <c r="X37" i="11"/>
  <c r="AE37" i="11"/>
  <c r="Q53" i="11"/>
  <c r="G53" i="11"/>
  <c r="X53" i="11"/>
  <c r="AE53" i="11"/>
  <c r="G80" i="11"/>
  <c r="X80" i="11"/>
  <c r="AE80" i="11"/>
  <c r="G7" i="11"/>
  <c r="X7" i="11"/>
  <c r="AE7" i="11"/>
  <c r="G26" i="11"/>
  <c r="X26" i="11"/>
  <c r="AE26" i="11"/>
  <c r="G76" i="11"/>
  <c r="X76" i="11"/>
  <c r="AE76" i="11"/>
  <c r="G81" i="3"/>
  <c r="X81" i="3"/>
  <c r="AE81" i="3"/>
  <c r="G14" i="3"/>
  <c r="X14" i="3"/>
  <c r="AE14" i="3"/>
  <c r="G64" i="3"/>
  <c r="X64" i="3"/>
  <c r="AE64" i="3"/>
  <c r="G91" i="3"/>
  <c r="X91" i="3"/>
  <c r="AE91" i="3"/>
  <c r="G5" i="3"/>
  <c r="X5" i="3"/>
  <c r="AE5" i="3"/>
  <c r="G21" i="3"/>
  <c r="X21" i="3"/>
  <c r="AE21" i="3"/>
  <c r="G87" i="3"/>
  <c r="X87" i="3"/>
  <c r="AE87" i="3"/>
  <c r="G3" i="3"/>
  <c r="X3" i="3"/>
  <c r="AE3" i="3"/>
  <c r="G4" i="3"/>
  <c r="X4" i="3"/>
  <c r="AE4" i="3"/>
  <c r="C2" i="17"/>
  <c r="D2" i="17" s="1"/>
  <c r="G73" i="3"/>
  <c r="X73" i="3"/>
  <c r="AE73" i="3"/>
  <c r="G45" i="3"/>
  <c r="X45" i="3"/>
  <c r="AE45" i="3"/>
  <c r="G23" i="3"/>
  <c r="X23" i="3"/>
  <c r="AE23" i="3"/>
  <c r="G60" i="3"/>
  <c r="X60" i="3"/>
  <c r="AE60" i="3"/>
  <c r="G65" i="3"/>
  <c r="X65" i="3"/>
  <c r="AE65" i="3"/>
  <c r="G49" i="3"/>
  <c r="X49" i="3"/>
  <c r="AE49" i="3"/>
  <c r="K6" i="6" l="1"/>
  <c r="K3" i="15"/>
  <c r="B3" i="13" a="1"/>
  <c r="B3" i="13" s="1"/>
  <c r="L4" i="12"/>
  <c r="R37" i="11"/>
  <c r="R28" i="11"/>
  <c r="R76" i="11"/>
  <c r="R79" i="11"/>
  <c r="R27" i="11"/>
  <c r="R17" i="11"/>
  <c r="R53" i="11"/>
  <c r="R85" i="11"/>
  <c r="R8" i="11"/>
  <c r="S8" i="11"/>
  <c r="R7" i="11"/>
  <c r="R33" i="11"/>
  <c r="R19" i="11"/>
  <c r="R26" i="11"/>
  <c r="R80" i="11"/>
  <c r="R102" i="11"/>
  <c r="R93" i="11"/>
  <c r="S93" i="11" s="1"/>
  <c r="R20" i="11"/>
  <c r="R18" i="11"/>
  <c r="R81" i="3"/>
  <c r="R49" i="3"/>
  <c r="R14" i="3"/>
  <c r="R4" i="3"/>
  <c r="R60" i="3"/>
  <c r="R87" i="3"/>
  <c r="R65" i="3"/>
  <c r="R3" i="3"/>
  <c r="R73" i="3"/>
  <c r="R5" i="3"/>
  <c r="R21" i="3"/>
  <c r="R23" i="3"/>
  <c r="R45" i="3"/>
  <c r="R91" i="3"/>
  <c r="R64" i="3"/>
  <c r="E19" i="17"/>
  <c r="F19" i="17" s="1"/>
  <c r="M15" i="14"/>
  <c r="B15" i="14" s="1" a="1"/>
  <c r="B15" i="14" s="1"/>
  <c r="K13" i="14"/>
  <c r="K68" i="14"/>
  <c r="K57" i="14"/>
  <c r="M84" i="14"/>
  <c r="B84" i="14" s="1" a="1"/>
  <c r="B84" i="14" s="1"/>
  <c r="K87" i="14"/>
  <c r="K37" i="14"/>
  <c r="K41" i="14"/>
  <c r="M52" i="14"/>
  <c r="B52" i="14" s="1" a="1"/>
  <c r="B52" i="14" s="1"/>
  <c r="M88" i="14"/>
  <c r="B88" i="14" s="1" a="1"/>
  <c r="B88" i="14" s="1"/>
  <c r="M21" i="14"/>
  <c r="B21" i="14" s="1" a="1"/>
  <c r="B21" i="14" s="1"/>
  <c r="K63" i="14"/>
  <c r="M32" i="6"/>
  <c r="B32" i="6" s="1" a="1"/>
  <c r="B32" i="6" s="1"/>
  <c r="M16" i="6"/>
  <c r="M52" i="6"/>
  <c r="K86" i="6"/>
  <c r="K20" i="6"/>
  <c r="K90" i="6"/>
  <c r="K44" i="6"/>
  <c r="K65" i="6"/>
  <c r="K15" i="6"/>
  <c r="M26" i="6"/>
  <c r="B26" i="6" s="1" a="1"/>
  <c r="B26" i="6" s="1"/>
  <c r="K4" i="6"/>
  <c r="K84" i="6"/>
  <c r="K5" i="6"/>
  <c r="M83" i="6"/>
  <c r="M12" i="6"/>
  <c r="M25" i="16"/>
  <c r="B25" i="16" s="1" a="1"/>
  <c r="B25" i="16" s="1"/>
  <c r="K43" i="16"/>
  <c r="K54" i="16"/>
  <c r="M27" i="16"/>
  <c r="B27" i="16" s="1" a="1"/>
  <c r="B27" i="16" s="1"/>
  <c r="M13" i="16"/>
  <c r="B13" i="16" s="1" a="1"/>
  <c r="B13" i="16" s="1"/>
  <c r="M24" i="16"/>
  <c r="B24" i="16" s="1" a="1"/>
  <c r="B24" i="16" s="1"/>
  <c r="M16" i="16"/>
  <c r="B16" i="16" s="1" a="1"/>
  <c r="B16" i="16" s="1"/>
  <c r="M30" i="16"/>
  <c r="B30" i="16" s="1" a="1"/>
  <c r="B30" i="16" s="1"/>
  <c r="L28" i="16"/>
  <c r="K5" i="16"/>
  <c r="K7" i="15"/>
  <c r="K14" i="15"/>
  <c r="L36" i="15"/>
  <c r="M11" i="15"/>
  <c r="K37" i="15"/>
  <c r="K17" i="15"/>
  <c r="K8" i="15"/>
  <c r="K9" i="15"/>
  <c r="L8" i="13"/>
  <c r="M4" i="13"/>
  <c r="M17" i="13"/>
  <c r="M15" i="13"/>
  <c r="M10" i="13"/>
  <c r="N8" i="12"/>
  <c r="B8" i="12" s="1" a="1"/>
  <c r="B8" i="12" s="1"/>
  <c r="G54" i="17"/>
  <c r="H54" i="17" s="1"/>
  <c r="M102" i="11"/>
  <c r="B102" i="11" s="1" a="1"/>
  <c r="B102" i="11" s="1"/>
  <c r="M33" i="11"/>
  <c r="B33" i="11" s="1" a="1"/>
  <c r="B33" i="11" s="1"/>
  <c r="M93" i="11"/>
  <c r="M79" i="11"/>
  <c r="B79" i="11" s="1" a="1"/>
  <c r="B79" i="11" s="1"/>
  <c r="M85" i="11"/>
  <c r="B85" i="11" s="1" a="1"/>
  <c r="B85" i="11" s="1"/>
  <c r="K8" i="11"/>
  <c r="K76" i="11"/>
  <c r="M7" i="11"/>
  <c r="L37" i="11"/>
  <c r="K20" i="11"/>
  <c r="M18" i="11"/>
  <c r="B18" i="11" s="1" a="1"/>
  <c r="B18" i="11" s="1"/>
  <c r="K28" i="11"/>
  <c r="L17" i="11"/>
  <c r="K73" i="3"/>
  <c r="L21" i="3"/>
  <c r="M91" i="3"/>
  <c r="B91" i="3" s="1" a="1"/>
  <c r="B91" i="3" s="1"/>
  <c r="M81" i="3"/>
  <c r="B81" i="3" s="1" a="1"/>
  <c r="B81" i="3" s="1"/>
  <c r="L60" i="3"/>
  <c r="L23" i="3"/>
  <c r="M5" i="3"/>
  <c r="K64" i="3"/>
  <c r="M14" i="3"/>
  <c r="B14" i="3" s="1" a="1"/>
  <c r="B14" i="3" s="1"/>
  <c r="M68" i="14"/>
  <c r="G25" i="17"/>
  <c r="H25" i="17" s="1"/>
  <c r="L21" i="14"/>
  <c r="L15" i="14"/>
  <c r="K15" i="14"/>
  <c r="K52" i="6"/>
  <c r="K32" i="6"/>
  <c r="L12" i="6"/>
  <c r="L52" i="6"/>
  <c r="M14" i="15"/>
  <c r="B14" i="15" s="1" a="1"/>
  <c r="B14" i="15" s="1"/>
  <c r="L14" i="15"/>
  <c r="M80" i="11"/>
  <c r="B80" i="11" s="1" a="1"/>
  <c r="B80" i="11" s="1"/>
  <c r="L18" i="11"/>
  <c r="L102" i="11"/>
  <c r="K17" i="11"/>
  <c r="L91" i="3"/>
  <c r="M73" i="3"/>
  <c r="B73" i="3" s="1" a="1"/>
  <c r="B73" i="3" s="1"/>
  <c r="M9" i="15"/>
  <c r="L9" i="15"/>
  <c r="L3" i="15"/>
  <c r="M17" i="15"/>
  <c r="B17" i="15" s="1" a="1"/>
  <c r="B17" i="15" s="1"/>
  <c r="L17" i="15"/>
  <c r="M7" i="15"/>
  <c r="L7" i="15"/>
  <c r="L11" i="15"/>
  <c r="K11" i="15"/>
  <c r="M3" i="15"/>
  <c r="M37" i="15"/>
  <c r="B37" i="15" s="1" a="1"/>
  <c r="B37" i="15" s="1"/>
  <c r="L37" i="15"/>
  <c r="M8" i="15"/>
  <c r="L8" i="15"/>
  <c r="K36" i="15"/>
  <c r="M36" i="15"/>
  <c r="B36" i="15" s="1" a="1"/>
  <c r="B36" i="15" s="1"/>
  <c r="L13" i="16"/>
  <c r="K13" i="16"/>
  <c r="L27" i="16"/>
  <c r="K27" i="16"/>
  <c r="M28" i="16"/>
  <c r="B28" i="16" s="1" a="1"/>
  <c r="B28" i="16" s="1"/>
  <c r="M43" i="16"/>
  <c r="B43" i="16" s="1" a="1"/>
  <c r="B43" i="16" s="1"/>
  <c r="K28" i="16"/>
  <c r="L25" i="16"/>
  <c r="K25" i="16"/>
  <c r="M5" i="16"/>
  <c r="L5" i="16"/>
  <c r="M54" i="16"/>
  <c r="B54" i="16" s="1" a="1"/>
  <c r="B54" i="16" s="1"/>
  <c r="L14" i="3"/>
  <c r="M21" i="3"/>
  <c r="B21" i="3" s="1" a="1"/>
  <c r="B21" i="3" s="1"/>
  <c r="K14" i="3"/>
  <c r="N8" i="13"/>
  <c r="B8" i="13" s="1" a="1"/>
  <c r="B8" i="13" s="1"/>
  <c r="L10" i="13"/>
  <c r="L24" i="16"/>
  <c r="L16" i="16"/>
  <c r="L30" i="16"/>
  <c r="K24" i="16"/>
  <c r="K16" i="16"/>
  <c r="K30" i="16"/>
  <c r="L43" i="16"/>
  <c r="L54" i="16"/>
  <c r="M41" i="14"/>
  <c r="B41" i="14" s="1" a="1"/>
  <c r="B41" i="14" s="1"/>
  <c r="L41" i="14"/>
  <c r="L84" i="14"/>
  <c r="M13" i="14"/>
  <c r="B13" i="14" s="1" a="1"/>
  <c r="B13" i="14" s="1"/>
  <c r="L13" i="14"/>
  <c r="L88" i="14"/>
  <c r="K88" i="14"/>
  <c r="K21" i="14"/>
  <c r="K84" i="14"/>
  <c r="M87" i="14"/>
  <c r="B87" i="14" s="1" a="1"/>
  <c r="B87" i="14" s="1"/>
  <c r="M57" i="14"/>
  <c r="M37" i="14"/>
  <c r="B37" i="14" s="1" a="1"/>
  <c r="B37" i="14" s="1"/>
  <c r="M63" i="14"/>
  <c r="B63" i="14" s="1" a="1"/>
  <c r="B63" i="14" s="1"/>
  <c r="L37" i="14"/>
  <c r="L63" i="14"/>
  <c r="L68" i="14"/>
  <c r="L87" i="14"/>
  <c r="L52" i="14"/>
  <c r="K52" i="14"/>
  <c r="L57" i="14"/>
  <c r="M84" i="6"/>
  <c r="L26" i="6"/>
  <c r="L90" i="6"/>
  <c r="M4" i="6"/>
  <c r="L4" i="6"/>
  <c r="L32" i="6"/>
  <c r="M20" i="6"/>
  <c r="B20" i="6" s="1" a="1"/>
  <c r="B20" i="6" s="1"/>
  <c r="L20" i="6"/>
  <c r="L16" i="6"/>
  <c r="K16" i="6"/>
  <c r="L83" i="6"/>
  <c r="K83" i="6"/>
  <c r="M15" i="6"/>
  <c r="M90" i="6"/>
  <c r="M6" i="6"/>
  <c r="M44" i="6"/>
  <c r="B44" i="6" s="1" a="1"/>
  <c r="B44" i="6" s="1"/>
  <c r="K26" i="6"/>
  <c r="M5" i="6"/>
  <c r="M65" i="6"/>
  <c r="B65" i="6" s="1" a="1"/>
  <c r="B65" i="6" s="1"/>
  <c r="K12" i="6"/>
  <c r="L15" i="6"/>
  <c r="M86" i="6"/>
  <c r="L86" i="6"/>
  <c r="L6" i="6"/>
  <c r="L84" i="6"/>
  <c r="L44" i="6"/>
  <c r="L5" i="6"/>
  <c r="L65" i="6"/>
  <c r="L17" i="13"/>
  <c r="L15" i="13"/>
  <c r="L4" i="13"/>
  <c r="N10" i="13"/>
  <c r="B10" i="13" s="1" a="1"/>
  <c r="B10" i="13" s="1"/>
  <c r="M8" i="13"/>
  <c r="N15" i="13"/>
  <c r="B15" i="13" s="1" a="1"/>
  <c r="B15" i="13" s="1"/>
  <c r="N4" i="13"/>
  <c r="B4" i="13" s="1" a="1"/>
  <c r="B4" i="13" s="1"/>
  <c r="N17" i="13"/>
  <c r="B17" i="13" s="1" a="1"/>
  <c r="B17" i="13" s="1"/>
  <c r="L8" i="12"/>
  <c r="N4" i="12"/>
  <c r="B4" i="12" s="1" a="1"/>
  <c r="B4" i="12" s="1"/>
  <c r="M8" i="12"/>
  <c r="M4" i="12"/>
  <c r="K53" i="11"/>
  <c r="M19" i="11"/>
  <c r="B19" i="11" s="1" a="1"/>
  <c r="B19" i="11" s="1"/>
  <c r="L80" i="11"/>
  <c r="M17" i="11"/>
  <c r="B17" i="11" s="1" a="1"/>
  <c r="B17" i="11" s="1"/>
  <c r="M8" i="11"/>
  <c r="L8" i="11"/>
  <c r="M28" i="11"/>
  <c r="B28" i="11" s="1" a="1"/>
  <c r="B28" i="11" s="1"/>
  <c r="L28" i="11"/>
  <c r="L19" i="11"/>
  <c r="K19" i="11"/>
  <c r="M27" i="11"/>
  <c r="B27" i="11" s="1" a="1"/>
  <c r="B27" i="11" s="1"/>
  <c r="L27" i="11"/>
  <c r="K27" i="11"/>
  <c r="K102" i="11"/>
  <c r="L93" i="11"/>
  <c r="K93" i="11"/>
  <c r="K18" i="11"/>
  <c r="K26" i="11"/>
  <c r="L7" i="11"/>
  <c r="L33" i="11"/>
  <c r="L79" i="11"/>
  <c r="L85" i="11"/>
  <c r="K33" i="11"/>
  <c r="K79" i="11"/>
  <c r="M20" i="11"/>
  <c r="B20" i="11" s="1" a="1"/>
  <c r="B20" i="11" s="1"/>
  <c r="K85" i="11"/>
  <c r="L20" i="11"/>
  <c r="M53" i="11"/>
  <c r="B53" i="11" s="1" a="1"/>
  <c r="B53" i="11" s="1"/>
  <c r="M37" i="11"/>
  <c r="B37" i="11" s="1" a="1"/>
  <c r="B37" i="11" s="1"/>
  <c r="K37" i="11"/>
  <c r="M76" i="11"/>
  <c r="B76" i="11" s="1" a="1"/>
  <c r="B76" i="11" s="1"/>
  <c r="M26" i="11"/>
  <c r="B26" i="11" s="1" a="1"/>
  <c r="B26" i="11" s="1"/>
  <c r="K7" i="11"/>
  <c r="K80" i="11"/>
  <c r="L26" i="11"/>
  <c r="L76" i="11"/>
  <c r="L53" i="11"/>
  <c r="K60" i="3"/>
  <c r="K21" i="3"/>
  <c r="L73" i="3"/>
  <c r="K91" i="3"/>
  <c r="M60" i="3"/>
  <c r="B60" i="3" s="1" a="1"/>
  <c r="B60" i="3" s="1"/>
  <c r="M87" i="3"/>
  <c r="B87" i="3" s="1" a="1"/>
  <c r="B87" i="3" s="1"/>
  <c r="L81" i="3"/>
  <c r="K81" i="3"/>
  <c r="L5" i="3"/>
  <c r="K5" i="3"/>
  <c r="M64" i="3"/>
  <c r="B64" i="3" s="1" a="1"/>
  <c r="B64" i="3" s="1"/>
  <c r="L64" i="3"/>
  <c r="L87" i="3"/>
  <c r="M49" i="3"/>
  <c r="B49" i="3" s="1" a="1"/>
  <c r="B49" i="3" s="1"/>
  <c r="M65" i="3"/>
  <c r="B65" i="3" s="1" a="1"/>
  <c r="B65" i="3" s="1"/>
  <c r="L65" i="3"/>
  <c r="K65" i="3"/>
  <c r="K23" i="3"/>
  <c r="M23" i="3"/>
  <c r="B23" i="3" s="1" a="1"/>
  <c r="B23" i="3" s="1"/>
  <c r="M45" i="3"/>
  <c r="B45" i="3" s="1" a="1"/>
  <c r="B45" i="3" s="1"/>
  <c r="M4" i="3"/>
  <c r="M3" i="3"/>
  <c r="K87" i="3"/>
  <c r="L45" i="3"/>
  <c r="L4" i="3"/>
  <c r="L3" i="3"/>
  <c r="K45" i="3"/>
  <c r="K4" i="3"/>
  <c r="K3" i="3"/>
  <c r="L49" i="3"/>
  <c r="K49" i="3"/>
  <c r="G2" i="17"/>
  <c r="H2" i="17" s="1"/>
  <c r="D3" i="16"/>
  <c r="D5" i="14"/>
  <c r="G3" i="16"/>
  <c r="G31" i="16"/>
  <c r="G8" i="16"/>
  <c r="G22" i="16"/>
  <c r="G17" i="16"/>
  <c r="G29" i="16"/>
  <c r="G51" i="16"/>
  <c r="G20" i="16"/>
  <c r="G60" i="16"/>
  <c r="G32" i="16"/>
  <c r="G45" i="16"/>
  <c r="G56" i="16"/>
  <c r="AE88" i="11"/>
  <c r="AE41" i="11"/>
  <c r="AE78" i="11"/>
  <c r="AE86" i="11"/>
  <c r="AE92" i="11"/>
  <c r="AE81" i="11"/>
  <c r="AE61" i="11"/>
  <c r="AE94" i="11"/>
  <c r="AE72" i="11"/>
  <c r="AE6" i="11"/>
  <c r="AE15" i="11"/>
  <c r="AE21" i="11"/>
  <c r="AE36" i="11"/>
  <c r="AE74" i="11"/>
  <c r="AE46" i="11"/>
  <c r="AE83" i="11"/>
  <c r="AE59" i="11"/>
  <c r="AE87" i="11"/>
  <c r="AE52" i="11"/>
  <c r="AE34" i="11"/>
  <c r="AE25" i="11"/>
  <c r="AE12" i="11"/>
  <c r="AE13" i="11"/>
  <c r="AE23" i="11"/>
  <c r="AE44" i="11"/>
  <c r="AE38" i="11"/>
  <c r="AE32" i="11"/>
  <c r="AE25" i="3"/>
  <c r="AE11" i="3"/>
  <c r="AE19" i="3"/>
  <c r="AE59" i="3"/>
  <c r="AE66" i="3"/>
  <c r="AE8" i="3"/>
  <c r="AE86" i="3"/>
  <c r="AE80" i="3"/>
  <c r="AE38" i="3"/>
  <c r="AE6" i="3"/>
  <c r="AE67" i="3"/>
  <c r="AE36" i="3"/>
  <c r="AE16" i="3"/>
  <c r="AE78" i="3"/>
  <c r="AE44" i="3"/>
  <c r="AE89" i="3"/>
  <c r="AE58" i="3"/>
  <c r="AE32" i="3"/>
  <c r="AE88" i="3"/>
  <c r="AE29" i="3"/>
  <c r="AE52" i="3"/>
  <c r="AE79" i="3"/>
  <c r="AE13" i="3"/>
  <c r="AE39" i="3"/>
  <c r="AE41" i="3"/>
  <c r="AE12" i="3"/>
  <c r="AE37" i="3"/>
  <c r="AE72" i="3"/>
  <c r="AE18" i="3"/>
  <c r="X25" i="3"/>
  <c r="X11" i="3"/>
  <c r="X19" i="3"/>
  <c r="X59" i="3"/>
  <c r="X66" i="3"/>
  <c r="X8" i="3"/>
  <c r="X86" i="3"/>
  <c r="X80" i="3"/>
  <c r="X38" i="3"/>
  <c r="X6" i="3"/>
  <c r="X67" i="3"/>
  <c r="X36" i="3"/>
  <c r="X16" i="3"/>
  <c r="X78" i="3"/>
  <c r="X44" i="3"/>
  <c r="X89" i="3"/>
  <c r="X58" i="3"/>
  <c r="X32" i="3"/>
  <c r="X88" i="3"/>
  <c r="X29" i="3"/>
  <c r="X79" i="3"/>
  <c r="X13" i="3"/>
  <c r="X39" i="3"/>
  <c r="X41" i="3"/>
  <c r="X12" i="3"/>
  <c r="X37" i="3"/>
  <c r="X72" i="3"/>
  <c r="X18" i="3"/>
  <c r="X88" i="11"/>
  <c r="X41" i="11"/>
  <c r="X78" i="11"/>
  <c r="X86" i="11"/>
  <c r="X92" i="11"/>
  <c r="X81" i="11"/>
  <c r="X61" i="11"/>
  <c r="X94" i="11"/>
  <c r="X72" i="11"/>
  <c r="X6" i="11"/>
  <c r="X15" i="11"/>
  <c r="X21" i="11"/>
  <c r="X36" i="11"/>
  <c r="X74" i="11"/>
  <c r="X46" i="11"/>
  <c r="X83" i="11"/>
  <c r="X59" i="11"/>
  <c r="X87" i="11"/>
  <c r="X16" i="11"/>
  <c r="X52" i="11"/>
  <c r="X34" i="11"/>
  <c r="X25" i="11"/>
  <c r="X12" i="11"/>
  <c r="X13" i="11"/>
  <c r="X23" i="11"/>
  <c r="X44" i="11"/>
  <c r="X38" i="11"/>
  <c r="X32" i="11"/>
  <c r="G81" i="11"/>
  <c r="G61" i="11"/>
  <c r="G94" i="11"/>
  <c r="G72" i="11"/>
  <c r="G6" i="11"/>
  <c r="G15" i="11"/>
  <c r="G21" i="11"/>
  <c r="G36" i="11"/>
  <c r="G74" i="11"/>
  <c r="G46" i="11"/>
  <c r="G79" i="3"/>
  <c r="G13" i="3"/>
  <c r="G39" i="3"/>
  <c r="G41" i="3"/>
  <c r="G12" i="3"/>
  <c r="G37" i="3"/>
  <c r="G72" i="3"/>
  <c r="G18" i="3"/>
  <c r="G11" i="3"/>
  <c r="K11" i="3" s="1"/>
  <c r="G19" i="3"/>
  <c r="G59" i="3"/>
  <c r="G66" i="3"/>
  <c r="G8" i="3"/>
  <c r="G86" i="3"/>
  <c r="G80" i="3"/>
  <c r="G38" i="3"/>
  <c r="G6" i="3"/>
  <c r="G67" i="3"/>
  <c r="G36" i="3"/>
  <c r="G16" i="3"/>
  <c r="G78" i="3"/>
  <c r="G44" i="3"/>
  <c r="G89" i="3"/>
  <c r="G58" i="3"/>
  <c r="G32" i="3"/>
  <c r="G88" i="3"/>
  <c r="G29" i="3"/>
  <c r="G52" i="3"/>
  <c r="G23" i="11"/>
  <c r="G44" i="11"/>
  <c r="G38" i="11"/>
  <c r="G32" i="11"/>
  <c r="G88" i="11"/>
  <c r="G41" i="11"/>
  <c r="G78" i="11"/>
  <c r="G86" i="11"/>
  <c r="G92" i="11"/>
  <c r="G83" i="11"/>
  <c r="G59" i="11"/>
  <c r="G87" i="11"/>
  <c r="G16" i="11"/>
  <c r="G52" i="11"/>
  <c r="G34" i="11"/>
  <c r="G25" i="11"/>
  <c r="G12" i="11"/>
  <c r="G13" i="11"/>
  <c r="G23" i="16"/>
  <c r="G14" i="16"/>
  <c r="G63" i="16"/>
  <c r="G4" i="16"/>
  <c r="G42" i="16"/>
  <c r="G59" i="16"/>
  <c r="G46" i="16"/>
  <c r="G15" i="15"/>
  <c r="G21" i="15"/>
  <c r="G23" i="15"/>
  <c r="G5" i="15"/>
  <c r="G20" i="15"/>
  <c r="G34" i="15"/>
  <c r="G41" i="15"/>
  <c r="G24" i="15"/>
  <c r="G7" i="6"/>
  <c r="G67" i="6"/>
  <c r="G10" i="6"/>
  <c r="G46" i="6"/>
  <c r="G91" i="6"/>
  <c r="G81" i="6"/>
  <c r="G50" i="6"/>
  <c r="G53" i="6"/>
  <c r="G49" i="6"/>
  <c r="G13" i="6"/>
  <c r="G37" i="6"/>
  <c r="G45" i="6"/>
  <c r="G87" i="6"/>
  <c r="G35" i="6"/>
  <c r="G19" i="6"/>
  <c r="G14" i="6"/>
  <c r="G25" i="3"/>
  <c r="B5" i="6" l="1" a="1"/>
  <c r="B5" i="6" s="1"/>
  <c r="B6" i="6" a="1"/>
  <c r="B6" i="6" s="1"/>
  <c r="B11" i="6" a="1"/>
  <c r="B11" i="6" s="1"/>
  <c r="B8" i="6" a="1"/>
  <c r="B8" i="6" s="1"/>
  <c r="B10" i="6" a="1"/>
  <c r="B10" i="6" s="1"/>
  <c r="B9" i="6" a="1"/>
  <c r="B9" i="6" s="1"/>
  <c r="B7" i="6" a="1"/>
  <c r="B7" i="6" s="1"/>
  <c r="B3" i="6" a="1"/>
  <c r="B3" i="6" s="1"/>
  <c r="B4" i="6" a="1"/>
  <c r="B4" i="6" s="1"/>
  <c r="B90" i="6" a="1"/>
  <c r="B90" i="6" s="1"/>
  <c r="B7" i="16" a="1"/>
  <c r="B7" i="16" s="1"/>
  <c r="B8" i="16" a="1"/>
  <c r="B8" i="16" s="1"/>
  <c r="B45" i="16" a="1"/>
  <c r="B45" i="16" s="1"/>
  <c r="B4" i="16" a="1"/>
  <c r="B4" i="16" s="1"/>
  <c r="B5" i="16" a="1"/>
  <c r="B5" i="16" s="1"/>
  <c r="B6" i="16" a="1"/>
  <c r="B6" i="16" s="1"/>
  <c r="B3" i="16" a="1"/>
  <c r="B3" i="16" s="1"/>
  <c r="B7" i="15" a="1"/>
  <c r="B7" i="15" s="1"/>
  <c r="B3" i="15" a="1"/>
  <c r="B3" i="15" s="1"/>
  <c r="B6" i="15" a="1"/>
  <c r="B6" i="15" s="1"/>
  <c r="B11" i="15" a="1"/>
  <c r="B11" i="15" s="1"/>
  <c r="B10" i="15" a="1"/>
  <c r="B10" i="15" s="1"/>
  <c r="B9" i="15" a="1"/>
  <c r="B9" i="15" s="1"/>
  <c r="B5" i="15" a="1"/>
  <c r="B5" i="15" s="1"/>
  <c r="B4" i="15" a="1"/>
  <c r="B4" i="15" s="1"/>
  <c r="B8" i="15" a="1"/>
  <c r="B8" i="15" s="1"/>
  <c r="B5" i="13" a="1"/>
  <c r="B5" i="13" s="1"/>
  <c r="B3" i="12" a="1"/>
  <c r="B3" i="12" s="1"/>
  <c r="Q68" i="14"/>
  <c r="B68" i="14" a="1"/>
  <c r="B68" i="14" s="1"/>
  <c r="J8" i="11"/>
  <c r="J93" i="11"/>
  <c r="S85" i="11"/>
  <c r="J85" i="11" s="1"/>
  <c r="S53" i="11"/>
  <c r="J53" i="11" s="1"/>
  <c r="S18" i="11"/>
  <c r="J18" i="11" s="1"/>
  <c r="S19" i="11"/>
  <c r="J19" i="11" s="1"/>
  <c r="S27" i="11"/>
  <c r="J27" i="11" s="1"/>
  <c r="S20" i="11"/>
  <c r="J20" i="11" s="1"/>
  <c r="S33" i="11"/>
  <c r="J33" i="11" s="1"/>
  <c r="S79" i="11"/>
  <c r="J79" i="11" s="1"/>
  <c r="S17" i="11"/>
  <c r="J17" i="11" s="1"/>
  <c r="S7" i="11"/>
  <c r="J7" i="11" s="1"/>
  <c r="S76" i="11"/>
  <c r="J76" i="11" s="1"/>
  <c r="S80" i="11"/>
  <c r="J80" i="11" s="1"/>
  <c r="S28" i="11"/>
  <c r="J28" i="11" s="1"/>
  <c r="S26" i="11"/>
  <c r="J26" i="11" s="1"/>
  <c r="S102" i="11"/>
  <c r="J102" i="11" s="1"/>
  <c r="S37" i="11"/>
  <c r="J37" i="11" s="1"/>
  <c r="S5" i="3"/>
  <c r="J5" i="3" s="1"/>
  <c r="S49" i="3"/>
  <c r="J49" i="3" s="1"/>
  <c r="S73" i="3"/>
  <c r="J73" i="3" s="1"/>
  <c r="S81" i="3"/>
  <c r="J81" i="3" s="1"/>
  <c r="S14" i="3"/>
  <c r="J14" i="3" s="1"/>
  <c r="S3" i="3"/>
  <c r="J3" i="3" s="1"/>
  <c r="S64" i="3"/>
  <c r="J64" i="3" s="1"/>
  <c r="S65" i="3"/>
  <c r="J65" i="3" s="1"/>
  <c r="S91" i="3"/>
  <c r="J91" i="3" s="1"/>
  <c r="S87" i="3"/>
  <c r="J87" i="3" s="1"/>
  <c r="S45" i="3"/>
  <c r="J45" i="3" s="1"/>
  <c r="S60" i="3"/>
  <c r="J60" i="3" s="1"/>
  <c r="S4" i="3"/>
  <c r="J4" i="3" s="1"/>
  <c r="Q13" i="14"/>
  <c r="Q89" i="6"/>
  <c r="Q43" i="16"/>
  <c r="Q13" i="16"/>
  <c r="Q28" i="16"/>
  <c r="Q27" i="16"/>
  <c r="Q24" i="16"/>
  <c r="Q37" i="15"/>
  <c r="Q7" i="15"/>
  <c r="Q7" i="11"/>
  <c r="Q85" i="11"/>
  <c r="Q80" i="11"/>
  <c r="Q26" i="11"/>
  <c r="Q76" i="11"/>
  <c r="C73" i="17" s="1"/>
  <c r="D73" i="17" s="1"/>
  <c r="Q37" i="11"/>
  <c r="Q28" i="11"/>
  <c r="Q21" i="3"/>
  <c r="Q23" i="3"/>
  <c r="C58" i="17" s="1"/>
  <c r="D58" i="17" s="1"/>
  <c r="Q73" i="3"/>
  <c r="Q81" i="3"/>
  <c r="Q45" i="3"/>
  <c r="Q87" i="3"/>
  <c r="Q14" i="3"/>
  <c r="R41" i="11"/>
  <c r="R87" i="11"/>
  <c r="R6" i="11"/>
  <c r="S6" i="11"/>
  <c r="R32" i="11"/>
  <c r="R36" i="11"/>
  <c r="R83" i="11"/>
  <c r="R12" i="11"/>
  <c r="R15" i="11"/>
  <c r="R34" i="11"/>
  <c r="R78" i="11"/>
  <c r="R13" i="11"/>
  <c r="R38" i="11"/>
  <c r="R61" i="11"/>
  <c r="R92" i="11"/>
  <c r="R46" i="11"/>
  <c r="R86" i="11"/>
  <c r="R59" i="11"/>
  <c r="R21" i="11"/>
  <c r="R44" i="11"/>
  <c r="R25" i="11"/>
  <c r="R23" i="11"/>
  <c r="R81" i="11"/>
  <c r="R52" i="11"/>
  <c r="R88" i="11"/>
  <c r="R72" i="11"/>
  <c r="R16" i="11"/>
  <c r="R74" i="11"/>
  <c r="R94" i="11"/>
  <c r="R16" i="3"/>
  <c r="R12" i="3"/>
  <c r="S21" i="3"/>
  <c r="J21" i="3" s="1"/>
  <c r="R38" i="3"/>
  <c r="R36" i="3"/>
  <c r="R41" i="3"/>
  <c r="R32" i="3"/>
  <c r="R19" i="3"/>
  <c r="R25" i="3"/>
  <c r="R86" i="3"/>
  <c r="R67" i="3"/>
  <c r="R58" i="3"/>
  <c r="R66" i="3"/>
  <c r="R11" i="3"/>
  <c r="S23" i="3"/>
  <c r="J23" i="3" s="1"/>
  <c r="R80" i="3"/>
  <c r="R8" i="3"/>
  <c r="R89" i="3"/>
  <c r="R13" i="3"/>
  <c r="S13" i="3"/>
  <c r="R88" i="3"/>
  <c r="R39" i="3"/>
  <c r="R6" i="3"/>
  <c r="S6" i="3"/>
  <c r="R18" i="3"/>
  <c r="R52" i="3"/>
  <c r="R44" i="3"/>
  <c r="R59" i="3"/>
  <c r="R72" i="3"/>
  <c r="R79" i="3"/>
  <c r="S79" i="3" s="1"/>
  <c r="R29" i="3"/>
  <c r="R78" i="3"/>
  <c r="R37" i="3"/>
  <c r="M44" i="11"/>
  <c r="B44" i="11" s="1" a="1"/>
  <c r="B44" i="11" s="1"/>
  <c r="Q9" i="15"/>
  <c r="Q19" i="11"/>
  <c r="Q84" i="14"/>
  <c r="K86" i="14"/>
  <c r="K35" i="14"/>
  <c r="K82" i="14"/>
  <c r="M4" i="14"/>
  <c r="M25" i="14"/>
  <c r="B25" i="14" s="1" a="1"/>
  <c r="B25" i="14" s="1"/>
  <c r="M18" i="14"/>
  <c r="B18" i="14" s="1" a="1"/>
  <c r="B18" i="14" s="1"/>
  <c r="K60" i="14"/>
  <c r="M69" i="14"/>
  <c r="B69" i="14" s="1" a="1"/>
  <c r="B69" i="14" s="1"/>
  <c r="K10" i="14"/>
  <c r="K16" i="14"/>
  <c r="K14" i="14"/>
  <c r="K3" i="14"/>
  <c r="M65" i="14"/>
  <c r="B65" i="14" s="1" a="1"/>
  <c r="B65" i="14" s="1"/>
  <c r="L58" i="14"/>
  <c r="M22" i="14"/>
  <c r="B22" i="14" s="1" a="1"/>
  <c r="B22" i="14" s="1"/>
  <c r="K59" i="14"/>
  <c r="K76" i="14"/>
  <c r="K67" i="14"/>
  <c r="K70" i="14"/>
  <c r="K7" i="14"/>
  <c r="K12" i="14"/>
  <c r="K56" i="14"/>
  <c r="M31" i="14"/>
  <c r="B31" i="14" s="1" a="1"/>
  <c r="B31" i="14" s="1"/>
  <c r="K30" i="14"/>
  <c r="K9" i="14"/>
  <c r="M75" i="14"/>
  <c r="B75" i="14" s="1" a="1"/>
  <c r="B75" i="14" s="1"/>
  <c r="M28" i="14"/>
  <c r="B28" i="14" s="1" a="1"/>
  <c r="B28" i="14" s="1"/>
  <c r="L66" i="14"/>
  <c r="L61" i="14"/>
  <c r="K83" i="14"/>
  <c r="M35" i="6"/>
  <c r="B35" i="6" s="1" a="1"/>
  <c r="B35" i="6" s="1"/>
  <c r="M46" i="6"/>
  <c r="B46" i="6" s="1" a="1"/>
  <c r="B46" i="6" s="1"/>
  <c r="L19" i="6"/>
  <c r="M87" i="6"/>
  <c r="B87" i="6" s="1" a="1"/>
  <c r="B87" i="6" s="1"/>
  <c r="M49" i="6"/>
  <c r="B49" i="6" s="1" a="1"/>
  <c r="B49" i="6" s="1"/>
  <c r="L45" i="6"/>
  <c r="L10" i="6"/>
  <c r="M37" i="6"/>
  <c r="B37" i="6" s="1" a="1"/>
  <c r="B37" i="6" s="1"/>
  <c r="M53" i="6"/>
  <c r="B53" i="6" s="1" a="1"/>
  <c r="B53" i="6" s="1"/>
  <c r="M7" i="6"/>
  <c r="L13" i="6"/>
  <c r="L81" i="6"/>
  <c r="M14" i="6"/>
  <c r="M50" i="6"/>
  <c r="M91" i="6"/>
  <c r="B91" i="6" s="1" a="1"/>
  <c r="B91" i="6" s="1"/>
  <c r="M32" i="16"/>
  <c r="B32" i="16" s="1" a="1"/>
  <c r="B32" i="16" s="1"/>
  <c r="M23" i="16"/>
  <c r="B23" i="16" s="1" a="1"/>
  <c r="B23" i="16" s="1"/>
  <c r="L20" i="16"/>
  <c r="L8" i="16"/>
  <c r="K45" i="16"/>
  <c r="M46" i="16"/>
  <c r="B46" i="16" s="1" a="1"/>
  <c r="B46" i="16" s="1"/>
  <c r="M59" i="16"/>
  <c r="B59" i="16" s="1" a="1"/>
  <c r="B59" i="16" s="1"/>
  <c r="K63" i="16"/>
  <c r="K51" i="16"/>
  <c r="K4" i="16"/>
  <c r="K29" i="16"/>
  <c r="K3" i="16"/>
  <c r="K60" i="16"/>
  <c r="K14" i="16"/>
  <c r="K17" i="16"/>
  <c r="K22" i="16"/>
  <c r="K42" i="16"/>
  <c r="K31" i="16"/>
  <c r="K21" i="15"/>
  <c r="L23" i="15"/>
  <c r="K41" i="15"/>
  <c r="K34" i="15"/>
  <c r="K15" i="15"/>
  <c r="L20" i="15"/>
  <c r="M5" i="15"/>
  <c r="M67" i="6"/>
  <c r="B67" i="6" s="1" a="1"/>
  <c r="B67" i="6" s="1"/>
  <c r="L83" i="11"/>
  <c r="K36" i="11"/>
  <c r="L25" i="11"/>
  <c r="M32" i="11"/>
  <c r="B32" i="11" s="1" a="1"/>
  <c r="B32" i="11" s="1"/>
  <c r="K21" i="11"/>
  <c r="M94" i="11"/>
  <c r="B94" i="11" s="1" a="1"/>
  <c r="B94" i="11" s="1"/>
  <c r="M12" i="11"/>
  <c r="B12" i="11" s="1" a="1"/>
  <c r="B12" i="11" s="1"/>
  <c r="K72" i="11"/>
  <c r="K38" i="11"/>
  <c r="L6" i="11"/>
  <c r="L61" i="11"/>
  <c r="K16" i="11"/>
  <c r="L44" i="11"/>
  <c r="L87" i="11"/>
  <c r="L41" i="11"/>
  <c r="K23" i="11"/>
  <c r="K74" i="11"/>
  <c r="M52" i="11"/>
  <c r="B52" i="11" s="1" a="1"/>
  <c r="B52" i="11" s="1"/>
  <c r="L13" i="11"/>
  <c r="K59" i="11"/>
  <c r="K81" i="11"/>
  <c r="L66" i="3"/>
  <c r="L88" i="3"/>
  <c r="L12" i="3"/>
  <c r="L19" i="3"/>
  <c r="K41" i="3"/>
  <c r="L39" i="3"/>
  <c r="L16" i="3"/>
  <c r="L36" i="3"/>
  <c r="M18" i="3"/>
  <c r="B18" i="3" s="1" a="1"/>
  <c r="B18" i="3" s="1"/>
  <c r="K52" i="3"/>
  <c r="M13" i="3"/>
  <c r="B13" i="3" s="1" a="1"/>
  <c r="B13" i="3" s="1"/>
  <c r="K29" i="3"/>
  <c r="K37" i="3"/>
  <c r="L56" i="16"/>
  <c r="K24" i="15"/>
  <c r="Q75" i="14"/>
  <c r="Q46" i="6"/>
  <c r="Q53" i="6"/>
  <c r="Q67" i="6"/>
  <c r="Q59" i="16"/>
  <c r="Q46" i="16"/>
  <c r="Q23" i="16"/>
  <c r="G75" i="17" s="1"/>
  <c r="H75" i="17" s="1"/>
  <c r="Q94" i="11"/>
  <c r="Q52" i="11"/>
  <c r="M46" i="11"/>
  <c r="B46" i="11" s="1" a="1"/>
  <c r="B46" i="11" s="1"/>
  <c r="M86" i="11"/>
  <c r="B86" i="11" s="1" a="1"/>
  <c r="B86" i="11" s="1"/>
  <c r="K88" i="11"/>
  <c r="K92" i="11"/>
  <c r="K78" i="11"/>
  <c r="K44" i="3"/>
  <c r="K67" i="3"/>
  <c r="M80" i="3"/>
  <c r="B80" i="3" s="1" a="1"/>
  <c r="B80" i="3" s="1"/>
  <c r="K25" i="3"/>
  <c r="M32" i="3"/>
  <c r="B32" i="3" s="1" a="1"/>
  <c r="B32" i="3" s="1"/>
  <c r="M67" i="14"/>
  <c r="B67" i="14" s="1" a="1"/>
  <c r="B67" i="14" s="1"/>
  <c r="L14" i="6"/>
  <c r="L46" i="6"/>
  <c r="K5" i="15"/>
  <c r="K61" i="11"/>
  <c r="K41" i="11"/>
  <c r="L21" i="11"/>
  <c r="M89" i="3"/>
  <c r="B89" i="3" s="1" a="1"/>
  <c r="B89" i="3" s="1"/>
  <c r="M38" i="3"/>
  <c r="B38" i="3" s="1" a="1"/>
  <c r="B38" i="3" s="1"/>
  <c r="M21" i="11"/>
  <c r="B21" i="11" s="1" a="1"/>
  <c r="B21" i="11" s="1"/>
  <c r="K25" i="11"/>
  <c r="K12" i="11"/>
  <c r="L94" i="11"/>
  <c r="K94" i="11"/>
  <c r="K39" i="3"/>
  <c r="M8" i="16"/>
  <c r="M56" i="16"/>
  <c r="B56" i="16" s="1" a="1"/>
  <c r="B56" i="16" s="1"/>
  <c r="M22" i="16"/>
  <c r="B22" i="16" s="1" a="1"/>
  <c r="B22" i="16" s="1"/>
  <c r="M3" i="16"/>
  <c r="B64" i="16" s="1" a="1"/>
  <c r="B64" i="16" s="1"/>
  <c r="L22" i="16"/>
  <c r="K8" i="16"/>
  <c r="K23" i="16"/>
  <c r="M60" i="16"/>
  <c r="B60" i="16" s="1" a="1"/>
  <c r="B60" i="16" s="1"/>
  <c r="L5" i="15"/>
  <c r="K23" i="15"/>
  <c r="M34" i="15"/>
  <c r="B34" i="15" s="1" a="1"/>
  <c r="B34" i="15" s="1"/>
  <c r="L34" i="15"/>
  <c r="L60" i="14"/>
  <c r="L75" i="14"/>
  <c r="M10" i="14"/>
  <c r="L65" i="14"/>
  <c r="M76" i="14"/>
  <c r="B76" i="14" s="1" a="1"/>
  <c r="B76" i="14" s="1"/>
  <c r="M70" i="14"/>
  <c r="B70" i="14" s="1" a="1"/>
  <c r="B70" i="14" s="1"/>
  <c r="K58" i="14"/>
  <c r="L9" i="14"/>
  <c r="L18" i="14"/>
  <c r="L4" i="14"/>
  <c r="M16" i="14"/>
  <c r="B16" i="14" s="1" a="1"/>
  <c r="B16" i="14" s="1"/>
  <c r="M5" i="14"/>
  <c r="K66" i="14"/>
  <c r="K65" i="14"/>
  <c r="K4" i="14"/>
  <c r="K25" i="14"/>
  <c r="L28" i="14"/>
  <c r="M12" i="14"/>
  <c r="K31" i="14"/>
  <c r="L76" i="14"/>
  <c r="M9" i="14"/>
  <c r="L67" i="14"/>
  <c r="M60" i="14"/>
  <c r="K75" i="14"/>
  <c r="L70" i="14"/>
  <c r="K18" i="14"/>
  <c r="L25" i="14"/>
  <c r="L31" i="14"/>
  <c r="K61" i="14"/>
  <c r="M7" i="14"/>
  <c r="L12" i="14"/>
  <c r="L7" i="14"/>
  <c r="M83" i="14"/>
  <c r="B83" i="14" s="1" a="1"/>
  <c r="B83" i="14" s="1"/>
  <c r="L22" i="14"/>
  <c r="L10" i="14"/>
  <c r="M30" i="14"/>
  <c r="B30" i="14" s="1" a="1"/>
  <c r="B30" i="14" s="1"/>
  <c r="L16" i="14"/>
  <c r="L5" i="14"/>
  <c r="K28" i="14"/>
  <c r="K69" i="14"/>
  <c r="L83" i="14"/>
  <c r="M56" i="14"/>
  <c r="K22" i="14"/>
  <c r="M86" i="14"/>
  <c r="B86" i="14" s="1" a="1"/>
  <c r="B86" i="14" s="1"/>
  <c r="L30" i="14"/>
  <c r="M35" i="14"/>
  <c r="B35" i="14" s="1" a="1"/>
  <c r="B35" i="14" s="1"/>
  <c r="M82" i="14"/>
  <c r="B82" i="14" s="1" a="1"/>
  <c r="B82" i="14" s="1"/>
  <c r="L69" i="14"/>
  <c r="L56" i="14"/>
  <c r="M59" i="14"/>
  <c r="L86" i="14"/>
  <c r="M14" i="14"/>
  <c r="B14" i="14" s="1" a="1"/>
  <c r="B14" i="14" s="1"/>
  <c r="L35" i="14"/>
  <c r="M3" i="14"/>
  <c r="L82" i="14"/>
  <c r="M58" i="14"/>
  <c r="L59" i="14"/>
  <c r="L14" i="14"/>
  <c r="M66" i="14"/>
  <c r="B66" i="14" s="1" a="1"/>
  <c r="B66" i="14" s="1"/>
  <c r="L3" i="14"/>
  <c r="M61" i="14"/>
  <c r="B61" i="14" s="1" a="1"/>
  <c r="B61" i="14" s="1"/>
  <c r="L35" i="6"/>
  <c r="L37" i="6"/>
  <c r="L67" i="6"/>
  <c r="L49" i="6"/>
  <c r="K14" i="6"/>
  <c r="K46" i="6"/>
  <c r="K45" i="6"/>
  <c r="K13" i="6"/>
  <c r="L87" i="6"/>
  <c r="L53" i="6"/>
  <c r="L7" i="6"/>
  <c r="M45" i="6"/>
  <c r="B45" i="6" s="1" a="1"/>
  <c r="B45" i="6" s="1"/>
  <c r="M13" i="6"/>
  <c r="B13" i="6" s="1" a="1"/>
  <c r="B13" i="6" s="1"/>
  <c r="K19" i="6"/>
  <c r="K81" i="6"/>
  <c r="K10" i="6"/>
  <c r="L50" i="6"/>
  <c r="L91" i="6"/>
  <c r="M19" i="6"/>
  <c r="B19" i="6" s="1" a="1"/>
  <c r="B19" i="6" s="1"/>
  <c r="M81" i="6"/>
  <c r="B81" i="6" s="1" a="1"/>
  <c r="B81" i="6" s="1"/>
  <c r="M10" i="6"/>
  <c r="K35" i="6"/>
  <c r="K37" i="6"/>
  <c r="K49" i="6"/>
  <c r="K67" i="6"/>
  <c r="K87" i="6"/>
  <c r="K53" i="6"/>
  <c r="K7" i="6"/>
  <c r="K50" i="6"/>
  <c r="K91" i="6"/>
  <c r="M25" i="11"/>
  <c r="B25" i="11" s="1" a="1"/>
  <c r="B25" i="11" s="1"/>
  <c r="M59" i="11"/>
  <c r="B59" i="11" s="1" a="1"/>
  <c r="B59" i="11" s="1"/>
  <c r="K83" i="11"/>
  <c r="K87" i="11"/>
  <c r="M11" i="3"/>
  <c r="K6" i="3"/>
  <c r="M8" i="3"/>
  <c r="L18" i="3"/>
  <c r="L67" i="3"/>
  <c r="K78" i="3"/>
  <c r="M16" i="3"/>
  <c r="B16" i="3" s="1" a="1"/>
  <c r="B16" i="3" s="1"/>
  <c r="K86" i="3"/>
  <c r="K12" i="3"/>
  <c r="K16" i="3"/>
  <c r="L32" i="3"/>
  <c r="K32" i="3"/>
  <c r="M6" i="3"/>
  <c r="L6" i="3"/>
  <c r="M39" i="3"/>
  <c r="B39" i="3" s="1" a="1"/>
  <c r="B39" i="3" s="1"/>
  <c r="M41" i="15"/>
  <c r="B41" i="15" s="1" a="1"/>
  <c r="B41" i="15" s="1"/>
  <c r="L41" i="15"/>
  <c r="K56" i="16"/>
  <c r="L60" i="16"/>
  <c r="L32" i="16"/>
  <c r="M45" i="16"/>
  <c r="K32" i="16"/>
  <c r="L3" i="16"/>
  <c r="M63" i="16"/>
  <c r="B63" i="16" s="1" a="1"/>
  <c r="B63" i="16" s="1"/>
  <c r="L45" i="16"/>
  <c r="M20" i="16"/>
  <c r="B20" i="16" s="1" a="1"/>
  <c r="B20" i="16" s="1"/>
  <c r="M29" i="16"/>
  <c r="B29" i="16" s="1" a="1"/>
  <c r="B29" i="16" s="1"/>
  <c r="L63" i="16"/>
  <c r="K20" i="16"/>
  <c r="M51" i="16"/>
  <c r="B51" i="16" s="1" a="1"/>
  <c r="B51" i="16" s="1"/>
  <c r="L51" i="16"/>
  <c r="L29" i="16"/>
  <c r="M17" i="16"/>
  <c r="B17" i="16" s="1" a="1"/>
  <c r="B17" i="16" s="1"/>
  <c r="L17" i="16"/>
  <c r="M31" i="16"/>
  <c r="B31" i="16" s="1" a="1"/>
  <c r="B31" i="16" s="1"/>
  <c r="L31" i="16"/>
  <c r="L46" i="16"/>
  <c r="M74" i="11"/>
  <c r="L74" i="11"/>
  <c r="K6" i="11"/>
  <c r="M87" i="11"/>
  <c r="B87" i="11" s="1" a="1"/>
  <c r="B87" i="11" s="1"/>
  <c r="M61" i="11"/>
  <c r="B61" i="11" s="1" a="1"/>
  <c r="B61" i="11" s="1"/>
  <c r="K13" i="11"/>
  <c r="L86" i="11"/>
  <c r="K15" i="11"/>
  <c r="L46" i="11"/>
  <c r="K46" i="11"/>
  <c r="M15" i="11"/>
  <c r="B15" i="11" s="1" a="1"/>
  <c r="B15" i="11" s="1"/>
  <c r="L15" i="11"/>
  <c r="M36" i="11"/>
  <c r="B36" i="11" s="1" a="1"/>
  <c r="B36" i="11" s="1"/>
  <c r="M72" i="11"/>
  <c r="M81" i="11"/>
  <c r="B81" i="11" s="1" a="1"/>
  <c r="B81" i="11" s="1"/>
  <c r="L36" i="11"/>
  <c r="M6" i="11"/>
  <c r="L72" i="11"/>
  <c r="L81" i="11"/>
  <c r="L92" i="11"/>
  <c r="K86" i="11"/>
  <c r="M38" i="11"/>
  <c r="B38" i="11" s="1" a="1"/>
  <c r="B38" i="11" s="1"/>
  <c r="M23" i="11"/>
  <c r="B23" i="11" s="1" a="1"/>
  <c r="B23" i="11" s="1"/>
  <c r="M13" i="11"/>
  <c r="B13" i="11" s="1" a="1"/>
  <c r="B13" i="11" s="1"/>
  <c r="L52" i="11"/>
  <c r="M88" i="11"/>
  <c r="B88" i="11" s="1" a="1"/>
  <c r="B88" i="11" s="1"/>
  <c r="L38" i="11"/>
  <c r="L23" i="11"/>
  <c r="K52" i="11"/>
  <c r="L88" i="11"/>
  <c r="L32" i="11"/>
  <c r="K44" i="11"/>
  <c r="M92" i="11"/>
  <c r="B92" i="11" s="1" a="1"/>
  <c r="B92" i="11" s="1"/>
  <c r="M66" i="3"/>
  <c r="B66" i="3" s="1" a="1"/>
  <c r="B66" i="3" s="1"/>
  <c r="L79" i="3"/>
  <c r="M52" i="3"/>
  <c r="B52" i="3" s="1" a="1"/>
  <c r="B52" i="3" s="1"/>
  <c r="K79" i="3"/>
  <c r="L52" i="3"/>
  <c r="K8" i="3"/>
  <c r="M41" i="3"/>
  <c r="B41" i="3" s="1" a="1"/>
  <c r="B41" i="3" s="1"/>
  <c r="L41" i="3"/>
  <c r="K88" i="3"/>
  <c r="L13" i="3"/>
  <c r="K13" i="3"/>
  <c r="M79" i="3"/>
  <c r="M12" i="3"/>
  <c r="K89" i="3"/>
  <c r="K36" i="3"/>
  <c r="M67" i="3"/>
  <c r="B67" i="3" s="1" a="1"/>
  <c r="B67" i="3" s="1"/>
  <c r="L8" i="3"/>
  <c r="L38" i="3"/>
  <c r="L80" i="3"/>
  <c r="K38" i="3"/>
  <c r="K80" i="3"/>
  <c r="M44" i="3"/>
  <c r="B44" i="3" s="1" a="1"/>
  <c r="B44" i="3" s="1"/>
  <c r="M36" i="3"/>
  <c r="B36" i="3" s="1" a="1"/>
  <c r="B36" i="3" s="1"/>
  <c r="L11" i="3"/>
  <c r="M37" i="3"/>
  <c r="B37" i="3" s="1" a="1"/>
  <c r="B37" i="3" s="1"/>
  <c r="L89" i="3"/>
  <c r="L44" i="3"/>
  <c r="K19" i="3"/>
  <c r="L37" i="3"/>
  <c r="K18" i="3"/>
  <c r="M72" i="3"/>
  <c r="B72" i="3" s="1" a="1"/>
  <c r="B72" i="3" s="1"/>
  <c r="L72" i="3"/>
  <c r="K72" i="3"/>
  <c r="M58" i="3"/>
  <c r="B58" i="3" s="1" a="1"/>
  <c r="B58" i="3" s="1"/>
  <c r="M59" i="3"/>
  <c r="B59" i="3" s="1" a="1"/>
  <c r="B59" i="3" s="1"/>
  <c r="M29" i="3"/>
  <c r="B29" i="3" s="1" a="1"/>
  <c r="B29" i="3" s="1"/>
  <c r="L58" i="3"/>
  <c r="M78" i="3"/>
  <c r="B78" i="3" s="1" a="1"/>
  <c r="B78" i="3" s="1"/>
  <c r="M86" i="3"/>
  <c r="B86" i="3" s="1" a="1"/>
  <c r="B86" i="3" s="1"/>
  <c r="K66" i="3"/>
  <c r="L59" i="3"/>
  <c r="L29" i="3"/>
  <c r="M88" i="3"/>
  <c r="K58" i="3"/>
  <c r="L78" i="3"/>
  <c r="L86" i="3"/>
  <c r="K59" i="3"/>
  <c r="M19" i="3"/>
  <c r="B19" i="3" s="1" a="1"/>
  <c r="B19" i="3" s="1"/>
  <c r="M25" i="3"/>
  <c r="B25" i="3" s="1" a="1"/>
  <c r="B25" i="3" s="1"/>
  <c r="L25" i="3"/>
  <c r="K32" i="11"/>
  <c r="L12" i="11"/>
  <c r="M34" i="11"/>
  <c r="B34" i="11" s="1" a="1"/>
  <c r="B34" i="11" s="1"/>
  <c r="L59" i="11"/>
  <c r="L34" i="11"/>
  <c r="M16" i="11"/>
  <c r="B16" i="11" s="1" a="1"/>
  <c r="B16" i="11" s="1"/>
  <c r="M78" i="11"/>
  <c r="B78" i="11" s="1" a="1"/>
  <c r="B78" i="11" s="1"/>
  <c r="K34" i="11"/>
  <c r="L16" i="11"/>
  <c r="M83" i="11"/>
  <c r="B83" i="11" s="1" a="1"/>
  <c r="B83" i="11" s="1"/>
  <c r="L78" i="11"/>
  <c r="M41" i="11"/>
  <c r="B41" i="11" s="1" a="1"/>
  <c r="B41" i="11" s="1"/>
  <c r="K46" i="16"/>
  <c r="L59" i="16"/>
  <c r="K59" i="16"/>
  <c r="L23" i="16"/>
  <c r="M42" i="16"/>
  <c r="B42" i="16" s="1" a="1"/>
  <c r="B42" i="16" s="1"/>
  <c r="M14" i="16"/>
  <c r="B14" i="16" s="1" a="1"/>
  <c r="B14" i="16" s="1"/>
  <c r="L42" i="16"/>
  <c r="M4" i="16"/>
  <c r="L14" i="16"/>
  <c r="L4" i="16"/>
  <c r="M24" i="15"/>
  <c r="B24" i="15" s="1" a="1"/>
  <c r="B24" i="15" s="1"/>
  <c r="L24" i="15"/>
  <c r="M21" i="15"/>
  <c r="B21" i="15" s="1" a="1"/>
  <c r="B21" i="15" s="1"/>
  <c r="K20" i="15"/>
  <c r="M23" i="15"/>
  <c r="B23" i="15" s="1" a="1"/>
  <c r="B23" i="15" s="1"/>
  <c r="L21" i="15"/>
  <c r="M15" i="15"/>
  <c r="B15" i="15" s="1" a="1"/>
  <c r="B15" i="15" s="1"/>
  <c r="M20" i="15"/>
  <c r="B20" i="15" s="1" a="1"/>
  <c r="B20" i="15" s="1"/>
  <c r="L15" i="15"/>
  <c r="B10" i="14" l="1" a="1"/>
  <c r="B10" i="14" s="1"/>
  <c r="B83" i="6" a="1"/>
  <c r="B83" i="6" s="1"/>
  <c r="B82" i="6" a="1"/>
  <c r="B82" i="6" s="1"/>
  <c r="B50" i="6" a="1"/>
  <c r="B50" i="6" s="1"/>
  <c r="B12" i="6" a="1"/>
  <c r="B12" i="6" s="1"/>
  <c r="B14" i="6" a="1"/>
  <c r="B14" i="6" s="1"/>
  <c r="B16" i="6" a="1"/>
  <c r="B16" i="6" s="1"/>
  <c r="B80" i="6" a="1"/>
  <c r="B80" i="6" s="1"/>
  <c r="B84" i="6" a="1"/>
  <c r="B84" i="6" s="1"/>
  <c r="B52" i="6" a="1"/>
  <c r="B52" i="6" s="1"/>
  <c r="B51" i="6" a="1"/>
  <c r="B51" i="6" s="1"/>
  <c r="B85" i="6" a="1"/>
  <c r="B85" i="6" s="1"/>
  <c r="B15" i="6" a="1"/>
  <c r="B15" i="6" s="1"/>
  <c r="B86" i="6" a="1"/>
  <c r="B86" i="6" s="1"/>
  <c r="B39" i="15" a="1"/>
  <c r="B39" i="15" s="1"/>
  <c r="Q79" i="3"/>
  <c r="B12" i="14" a="1"/>
  <c r="B12" i="14" s="1"/>
  <c r="B60" i="14" a="1"/>
  <c r="B60" i="14" s="1"/>
  <c r="Q92" i="6"/>
  <c r="Q93" i="6"/>
  <c r="Q94" i="6"/>
  <c r="J6" i="11"/>
  <c r="J79" i="3"/>
  <c r="J13" i="3"/>
  <c r="J6" i="3"/>
  <c r="S72" i="11"/>
  <c r="J72" i="11" s="1"/>
  <c r="S52" i="3"/>
  <c r="J52" i="3" s="1"/>
  <c r="S21" i="11"/>
  <c r="J21" i="11" s="1"/>
  <c r="S38" i="11"/>
  <c r="J38" i="11" s="1"/>
  <c r="S83" i="11"/>
  <c r="J83" i="11" s="1"/>
  <c r="S59" i="11"/>
  <c r="J59" i="11" s="1"/>
  <c r="S13" i="11"/>
  <c r="J13" i="11" s="1"/>
  <c r="S36" i="11"/>
  <c r="J36" i="11" s="1"/>
  <c r="S88" i="11"/>
  <c r="J88" i="11" s="1"/>
  <c r="S86" i="11"/>
  <c r="J86" i="11" s="1"/>
  <c r="S78" i="11"/>
  <c r="J78" i="11" s="1"/>
  <c r="S32" i="11"/>
  <c r="J32" i="11" s="1"/>
  <c r="S16" i="11"/>
  <c r="J16" i="11" s="1"/>
  <c r="S12" i="11"/>
  <c r="J12" i="11" s="1"/>
  <c r="S52" i="11"/>
  <c r="J52" i="11" s="1"/>
  <c r="S46" i="11"/>
  <c r="J46" i="11" s="1"/>
  <c r="S34" i="11"/>
  <c r="J34" i="11" s="1"/>
  <c r="S15" i="11"/>
  <c r="J15" i="11" s="1"/>
  <c r="B74" i="11" s="1" a="1"/>
  <c r="B74" i="11" s="1"/>
  <c r="S81" i="11"/>
  <c r="J81" i="11" s="1"/>
  <c r="S92" i="11"/>
  <c r="J92" i="11" s="1"/>
  <c r="S74" i="11"/>
  <c r="J74" i="11" s="1"/>
  <c r="S25" i="11"/>
  <c r="J25" i="11" s="1"/>
  <c r="S61" i="11"/>
  <c r="J61" i="11" s="1"/>
  <c r="S41" i="11"/>
  <c r="J41" i="11" s="1"/>
  <c r="S44" i="11"/>
  <c r="J44" i="11" s="1"/>
  <c r="S94" i="11"/>
  <c r="J94" i="11" s="1"/>
  <c r="S23" i="11"/>
  <c r="J23" i="11" s="1"/>
  <c r="S87" i="11"/>
  <c r="J87" i="11" s="1"/>
  <c r="S80" i="3"/>
  <c r="J80" i="3" s="1"/>
  <c r="S39" i="3"/>
  <c r="J39" i="3" s="1"/>
  <c r="S37" i="3"/>
  <c r="J37" i="3" s="1"/>
  <c r="S44" i="3"/>
  <c r="J44" i="3" s="1"/>
  <c r="S66" i="3"/>
  <c r="J66" i="3" s="1"/>
  <c r="S41" i="3"/>
  <c r="J41" i="3" s="1"/>
  <c r="S59" i="3"/>
  <c r="J59" i="3" s="1"/>
  <c r="S19" i="3"/>
  <c r="J19" i="3" s="1"/>
  <c r="S78" i="3"/>
  <c r="J78" i="3" s="1"/>
  <c r="S36" i="3"/>
  <c r="J36" i="3" s="1"/>
  <c r="S11" i="3"/>
  <c r="J11" i="3" s="1"/>
  <c r="S29" i="3"/>
  <c r="J29" i="3" s="1"/>
  <c r="S58" i="3"/>
  <c r="J58" i="3" s="1"/>
  <c r="S38" i="3"/>
  <c r="J38" i="3" s="1"/>
  <c r="S25" i="3"/>
  <c r="J25" i="3" s="1"/>
  <c r="S18" i="3"/>
  <c r="J18" i="3" s="1"/>
  <c r="S67" i="3"/>
  <c r="J67" i="3" s="1"/>
  <c r="S72" i="3"/>
  <c r="J72" i="3" s="1"/>
  <c r="S16" i="3"/>
  <c r="J16" i="3" s="1"/>
  <c r="S88" i="3"/>
  <c r="J88" i="3" s="1"/>
  <c r="S32" i="3"/>
  <c r="J32" i="3" s="1"/>
  <c r="S8" i="3"/>
  <c r="J8" i="3" s="1"/>
  <c r="S86" i="3"/>
  <c r="J86" i="3" s="1"/>
  <c r="S12" i="3"/>
  <c r="J12" i="3" s="1"/>
  <c r="B10" i="3" s="1" a="1"/>
  <c r="B10" i="3" s="1"/>
  <c r="Q12" i="15"/>
  <c r="G23" i="17" s="1"/>
  <c r="H23" i="17" s="1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Q15" i="15"/>
  <c r="Q61" i="14"/>
  <c r="Q6" i="14"/>
  <c r="Q18" i="14"/>
  <c r="Q70" i="14"/>
  <c r="Q65" i="14"/>
  <c r="Q3" i="6"/>
  <c r="Q4" i="6"/>
  <c r="Q14" i="6"/>
  <c r="Q7" i="6"/>
  <c r="Q16" i="6"/>
  <c r="Q65" i="6"/>
  <c r="Q10" i="6"/>
  <c r="Q15" i="6"/>
  <c r="Q5" i="16"/>
  <c r="Q6" i="16"/>
  <c r="Q20" i="16"/>
  <c r="Q32" i="16"/>
  <c r="Q5" i="15"/>
  <c r="Q41" i="15"/>
  <c r="G39" i="17"/>
  <c r="H39" i="17" s="1"/>
  <c r="R17" i="13"/>
  <c r="Q86" i="11"/>
  <c r="Q36" i="11"/>
  <c r="Q88" i="11"/>
  <c r="Q72" i="11"/>
  <c r="Q21" i="11"/>
  <c r="Q13" i="3"/>
  <c r="Q59" i="3"/>
  <c r="Q37" i="3"/>
  <c r="Q89" i="3"/>
  <c r="Q67" i="3"/>
  <c r="Q72" i="3"/>
  <c r="S89" i="3"/>
  <c r="J89" i="3" s="1"/>
  <c r="Q32" i="3"/>
  <c r="Q60" i="16"/>
  <c r="Q87" i="11"/>
  <c r="Q34" i="15"/>
  <c r="G5" i="17" s="1"/>
  <c r="H5" i="17" s="1"/>
  <c r="Q34" i="11"/>
  <c r="C28" i="17" s="1"/>
  <c r="D28" i="17" s="1"/>
  <c r="Q36" i="15"/>
  <c r="G64" i="17" s="1"/>
  <c r="H64" i="17" s="1"/>
  <c r="Q14" i="16"/>
  <c r="Q12" i="11"/>
  <c r="Q22" i="14"/>
  <c r="Q25" i="14"/>
  <c r="Q19" i="6"/>
  <c r="Q12" i="14"/>
  <c r="Q67" i="14"/>
  <c r="Q59" i="14"/>
  <c r="Q30" i="14"/>
  <c r="E17" i="17"/>
  <c r="F17" i="17" s="1"/>
  <c r="Q66" i="14"/>
  <c r="Q35" i="14"/>
  <c r="Q60" i="14"/>
  <c r="Q76" i="14"/>
  <c r="Q86" i="14"/>
  <c r="Q56" i="14"/>
  <c r="Q3" i="14"/>
  <c r="Q9" i="14"/>
  <c r="Q13" i="6"/>
  <c r="Q87" i="6"/>
  <c r="E57" i="17"/>
  <c r="F57" i="17" s="1"/>
  <c r="Q42" i="16"/>
  <c r="Q45" i="16"/>
  <c r="G19" i="17" s="1"/>
  <c r="H19" i="17" s="1"/>
  <c r="G22" i="17"/>
  <c r="H22" i="17" s="1"/>
  <c r="Q29" i="16"/>
  <c r="Q63" i="16"/>
  <c r="Q31" i="16"/>
  <c r="Q51" i="16"/>
  <c r="Q23" i="15"/>
  <c r="Q21" i="15"/>
  <c r="G35" i="17" s="1"/>
  <c r="H35" i="17" s="1"/>
  <c r="Q25" i="11"/>
  <c r="Q83" i="11"/>
  <c r="Q78" i="11"/>
  <c r="Q16" i="11"/>
  <c r="Q41" i="11"/>
  <c r="Q44" i="11"/>
  <c r="Q6" i="11"/>
  <c r="Q46" i="11"/>
  <c r="Q92" i="11"/>
  <c r="Q23" i="11"/>
  <c r="Q61" i="11"/>
  <c r="Q74" i="11"/>
  <c r="Q13" i="11"/>
  <c r="Q15" i="11"/>
  <c r="Q59" i="11"/>
  <c r="B8" i="11" l="1" a="1"/>
  <c r="B8" i="11" s="1"/>
  <c r="B6" i="11" a="1"/>
  <c r="B6" i="11" s="1"/>
  <c r="B71" i="11" a="1"/>
  <c r="B71" i="11" s="1"/>
  <c r="B4" i="11" a="1"/>
  <c r="B4" i="11" s="1"/>
  <c r="B5" i="11" a="1"/>
  <c r="B5" i="11" s="1"/>
  <c r="B3" i="11" a="1"/>
  <c r="B3" i="11" s="1"/>
  <c r="B93" i="11" a="1"/>
  <c r="B93" i="11" s="1"/>
  <c r="B10" i="11" a="1"/>
  <c r="B10" i="11" s="1"/>
  <c r="B73" i="11" a="1"/>
  <c r="B73" i="11" s="1"/>
  <c r="B9" i="11" a="1"/>
  <c r="B9" i="11" s="1"/>
  <c r="B72" i="11" a="1"/>
  <c r="B72" i="11" s="1"/>
  <c r="B7" i="11" a="1"/>
  <c r="B7" i="11" s="1"/>
  <c r="B8" i="3" a="1"/>
  <c r="B8" i="3" s="1"/>
  <c r="B11" i="3" a="1"/>
  <c r="B11" i="3" s="1"/>
  <c r="B12" i="3" a="1"/>
  <c r="B12" i="3" s="1"/>
  <c r="B79" i="3" a="1"/>
  <c r="B79" i="3" s="1"/>
  <c r="B88" i="3" a="1"/>
  <c r="B88" i="3" s="1"/>
  <c r="B9" i="3" a="1"/>
  <c r="B9" i="3" s="1"/>
  <c r="B6" i="3" a="1"/>
  <c r="B6" i="3" s="1"/>
  <c r="B5" i="3" a="1"/>
  <c r="B5" i="3" s="1"/>
  <c r="B7" i="3" a="1"/>
  <c r="B7" i="3" s="1"/>
  <c r="B4" i="3" a="1"/>
  <c r="B4" i="3" s="1"/>
  <c r="B3" i="3" a="1"/>
  <c r="B3" i="3" s="1"/>
  <c r="Q39" i="6"/>
  <c r="Q29" i="6"/>
  <c r="Q33" i="6"/>
  <c r="Q24" i="6"/>
  <c r="Q79" i="6"/>
  <c r="E76" i="17" s="1"/>
  <c r="Q68" i="6"/>
  <c r="Q64" i="6"/>
  <c r="Q78" i="6"/>
  <c r="Q56" i="6"/>
  <c r="E26" i="17" s="1"/>
  <c r="Q61" i="6"/>
  <c r="Q55" i="6"/>
  <c r="Q63" i="6"/>
  <c r="Q59" i="6"/>
  <c r="Q60" i="6"/>
  <c r="Q66" i="6"/>
  <c r="Q30" i="6"/>
  <c r="Q36" i="6"/>
  <c r="Q23" i="6"/>
  <c r="Q43" i="6"/>
  <c r="E5" i="17" s="1"/>
  <c r="G63" i="17"/>
  <c r="H63" i="17" s="1"/>
  <c r="G73" i="17"/>
  <c r="H73" i="17" s="1"/>
  <c r="G47" i="17"/>
  <c r="H47" i="17" s="1"/>
  <c r="E47" i="17"/>
  <c r="F47" i="17" s="1"/>
  <c r="C17" i="17"/>
  <c r="D17" i="17" s="1"/>
  <c r="D186" i="2" a="1"/>
  <c r="D186" i="2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22" i="6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57" i="14"/>
  <c r="G10" i="17"/>
  <c r="Q6" i="15"/>
  <c r="Q5" i="14"/>
  <c r="Q21" i="14"/>
  <c r="Q63" i="14"/>
  <c r="Q16" i="14"/>
  <c r="E54" i="17"/>
  <c r="F54" i="17" s="1"/>
  <c r="Q52" i="6"/>
  <c r="Q84" i="6"/>
  <c r="Q6" i="6"/>
  <c r="Q91" i="6"/>
  <c r="E42" i="17" s="1"/>
  <c r="F42" i="17" s="1"/>
  <c r="Q5" i="6"/>
  <c r="E49" i="17" s="1"/>
  <c r="F49" i="17" s="1"/>
  <c r="Q8" i="16"/>
  <c r="Q3" i="16"/>
  <c r="G71" i="17" s="1"/>
  <c r="Q4" i="16"/>
  <c r="Q3" i="15"/>
  <c r="G58" i="17"/>
  <c r="Q4" i="15"/>
  <c r="Q8" i="15"/>
  <c r="Q4" i="3"/>
  <c r="Q11" i="3"/>
  <c r="C35" i="17"/>
  <c r="D35" i="17" s="1"/>
  <c r="C14" i="17"/>
  <c r="Q7" i="3"/>
  <c r="Q36" i="3"/>
  <c r="Q3" i="3"/>
  <c r="G72" i="17"/>
  <c r="H72" i="17" s="1"/>
  <c r="G59" i="17"/>
  <c r="H59" i="17" s="1"/>
  <c r="G70" i="17"/>
  <c r="H70" i="17" s="1"/>
  <c r="G31" i="17"/>
  <c r="H31" i="17" s="1"/>
  <c r="G48" i="17"/>
  <c r="H48" i="17" s="1"/>
  <c r="G65" i="17"/>
  <c r="E27" i="17"/>
  <c r="F27" i="17" s="1"/>
  <c r="E65" i="17"/>
  <c r="F65" i="17" s="1"/>
  <c r="E2" i="17"/>
  <c r="F2" i="17" s="1"/>
  <c r="C57" i="17"/>
  <c r="D57" i="17" s="1"/>
  <c r="C69" i="17"/>
  <c r="D69" i="17" s="1"/>
  <c r="C27" i="17"/>
  <c r="D27" i="17" s="1"/>
  <c r="C51" i="17"/>
  <c r="D51" i="17" s="1"/>
  <c r="Q28" i="14"/>
  <c r="Q49" i="6"/>
  <c r="Q83" i="14"/>
  <c r="E29" i="17"/>
  <c r="R8" i="12"/>
  <c r="Q10" i="14"/>
  <c r="C54" i="17"/>
  <c r="D54" i="17" s="1"/>
  <c r="Q32" i="11"/>
  <c r="R10" i="13"/>
  <c r="Q35" i="6"/>
  <c r="E31" i="17" s="1"/>
  <c r="Q50" i="6"/>
  <c r="E51" i="17" s="1"/>
  <c r="Q17" i="16"/>
  <c r="G14" i="17" s="1"/>
  <c r="H14" i="17" s="1"/>
  <c r="Q14" i="15"/>
  <c r="G60" i="17" s="1"/>
  <c r="Q17" i="11"/>
  <c r="G20" i="17"/>
  <c r="H20" i="17" s="1"/>
  <c r="Q58" i="14"/>
  <c r="E20" i="17"/>
  <c r="F20" i="17" s="1"/>
  <c r="G66" i="17"/>
  <c r="H66" i="17" s="1"/>
  <c r="C71" i="17"/>
  <c r="D71" i="17" s="1"/>
  <c r="C50" i="17"/>
  <c r="D50" i="17" s="1"/>
  <c r="E69" i="17"/>
  <c r="C20" i="17"/>
  <c r="D20" i="17" s="1"/>
  <c r="C52" i="17"/>
  <c r="D52" i="17" s="1"/>
  <c r="Q82" i="14"/>
  <c r="Q7" i="14"/>
  <c r="E72" i="17" s="1"/>
  <c r="F72" i="17" s="1"/>
  <c r="Q69" i="14"/>
  <c r="Q4" i="14"/>
  <c r="E66" i="17" s="1"/>
  <c r="F66" i="17" s="1"/>
  <c r="Q31" i="14"/>
  <c r="E3" i="17" s="1"/>
  <c r="F3" i="17" s="1"/>
  <c r="Q14" i="14"/>
  <c r="E73" i="17" s="1"/>
  <c r="F73" i="17" s="1"/>
  <c r="E35" i="17"/>
  <c r="F35" i="17" s="1"/>
  <c r="Q45" i="6"/>
  <c r="Q81" i="6"/>
  <c r="Q37" i="6"/>
  <c r="Q22" i="16"/>
  <c r="G68" i="17"/>
  <c r="Q56" i="16"/>
  <c r="G27" i="17" s="1"/>
  <c r="H27" i="17" s="1"/>
  <c r="Q24" i="15"/>
  <c r="G41" i="17" s="1"/>
  <c r="H41" i="17" s="1"/>
  <c r="Q20" i="15"/>
  <c r="C76" i="17"/>
  <c r="D76" i="17" s="1"/>
  <c r="Q38" i="11"/>
  <c r="E25" i="17" l="1"/>
  <c r="E63" i="17"/>
  <c r="E70" i="17"/>
  <c r="E48" i="17"/>
  <c r="E74" i="17"/>
  <c r="F74" i="17" s="1"/>
  <c r="G32" i="17"/>
  <c r="H32" i="17" s="1"/>
  <c r="G18" i="17"/>
  <c r="E23" i="17"/>
  <c r="F23" i="17" s="1"/>
  <c r="E36" i="17"/>
  <c r="F36" i="17" s="1"/>
  <c r="C61" i="17"/>
  <c r="D61" i="17" s="1"/>
  <c r="Q5" i="3"/>
  <c r="Q66" i="3"/>
  <c r="C7" i="17"/>
  <c r="D7" i="17" s="1"/>
  <c r="Q8" i="3"/>
  <c r="C29" i="17" s="1"/>
  <c r="D29" i="17" s="1"/>
  <c r="Q65" i="3"/>
  <c r="E50" i="17"/>
  <c r="F50" i="17" s="1"/>
  <c r="E41" i="17"/>
  <c r="F41" i="17" s="1"/>
  <c r="E61" i="17"/>
  <c r="E71" i="17"/>
  <c r="G16" i="17"/>
  <c r="H16" i="17" s="1"/>
  <c r="C70" i="17"/>
  <c r="C11" i="17"/>
  <c r="D11" i="17" s="1"/>
  <c r="Q81" i="11"/>
  <c r="C15" i="17" s="1"/>
  <c r="D15" i="17" s="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62" i="17"/>
  <c r="E60" i="17"/>
  <c r="E11" i="17"/>
  <c r="E22" i="17"/>
  <c r="C48" i="17"/>
  <c r="C66" i="17"/>
  <c r="D66" i="17" s="1"/>
  <c r="C12" i="17"/>
  <c r="G36" i="17"/>
  <c r="H36" i="17" s="1"/>
  <c r="G29" i="17"/>
  <c r="H29" i="17" s="1"/>
  <c r="E6" i="17"/>
  <c r="F48" i="17" s="1"/>
  <c r="G40" i="17"/>
  <c r="H40" i="17" s="1"/>
  <c r="G51" i="17"/>
  <c r="G44" i="17"/>
  <c r="G45" i="17"/>
  <c r="G34" i="17"/>
  <c r="H34" i="17" s="1"/>
  <c r="G50" i="17"/>
  <c r="H50" i="17" s="1"/>
  <c r="G69" i="17"/>
  <c r="G61" i="17"/>
  <c r="H61" i="17" s="1"/>
  <c r="G11" i="17"/>
  <c r="G6" i="17"/>
  <c r="H6" i="17" s="1"/>
  <c r="E32" i="17"/>
  <c r="F32" i="17" s="1"/>
  <c r="E34" i="17"/>
  <c r="E44" i="17"/>
  <c r="E59" i="17"/>
  <c r="E39" i="17"/>
  <c r="F39" i="17" s="1"/>
  <c r="E14" i="17"/>
  <c r="E10" i="17"/>
  <c r="F10" i="17" s="1"/>
  <c r="E7" i="17"/>
  <c r="E45" i="17"/>
  <c r="C16" i="17"/>
  <c r="C39" i="17"/>
  <c r="D39" i="17" s="1"/>
  <c r="C60" i="17"/>
  <c r="D60" i="17" s="1"/>
  <c r="C74" i="17"/>
  <c r="C65" i="17"/>
  <c r="D65" i="17" s="1"/>
  <c r="C40" i="17"/>
  <c r="E68" i="17"/>
  <c r="C36" i="17"/>
  <c r="G21" i="17"/>
  <c r="E40" i="17"/>
  <c r="E30" i="17"/>
  <c r="E18" i="17"/>
  <c r="G52" i="17"/>
  <c r="G49" i="17"/>
  <c r="E16" i="17"/>
  <c r="G57" i="17"/>
  <c r="E52" i="17"/>
  <c r="E21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61" i="17" l="1"/>
  <c r="F5" i="17"/>
  <c r="F63" i="17"/>
  <c r="F25" i="17"/>
  <c r="F31" i="17"/>
  <c r="F26" i="17"/>
  <c r="C32" i="17"/>
  <c r="C26" i="17"/>
  <c r="D26" i="17" s="1"/>
  <c r="C44" i="17"/>
  <c r="D44" i="17" s="1"/>
  <c r="C25" i="17"/>
  <c r="D25" i="17" s="1"/>
  <c r="C56" i="17"/>
  <c r="H58" i="17"/>
  <c r="H10" i="17"/>
  <c r="F22" i="17"/>
  <c r="F76" i="17"/>
  <c r="H18" i="17"/>
  <c r="H44" i="17"/>
  <c r="F14" i="17"/>
  <c r="F34" i="17"/>
  <c r="F7" i="17"/>
  <c r="H45" i="17"/>
  <c r="F45" i="17"/>
  <c r="F60" i="17"/>
  <c r="F71" i="17"/>
  <c r="H71" i="17"/>
  <c r="F62" i="17"/>
  <c r="F11" i="17"/>
  <c r="F69" i="17"/>
  <c r="F70" i="17"/>
  <c r="F29" i="17"/>
  <c r="F30" i="17"/>
  <c r="F59" i="17"/>
  <c r="H11" i="17"/>
  <c r="F44" i="17"/>
  <c r="F18" i="17"/>
  <c r="F21" i="17"/>
  <c r="F6" i="17"/>
  <c r="F52" i="17"/>
  <c r="F40" i="17"/>
  <c r="F16" i="17"/>
  <c r="F68" i="17"/>
  <c r="F51" i="17"/>
  <c r="H49" i="17"/>
  <c r="H57" i="17"/>
  <c r="H21" i="17"/>
  <c r="H65" i="17"/>
  <c r="H68" i="17"/>
  <c r="H51" i="17"/>
  <c r="H60" i="17"/>
  <c r="H52" i="17"/>
  <c r="H69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41" i="17" l="1"/>
  <c r="D41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31" i="17" l="1"/>
  <c r="D31" i="17" s="1"/>
  <c r="C68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72" i="17"/>
  <c r="C59" i="17"/>
  <c r="D59" i="17" s="1"/>
  <c r="C63" i="17" l="1"/>
  <c r="C45" i="17"/>
  <c r="C18" i="17"/>
  <c r="C21" i="17"/>
  <c r="D21" i="17" s="1"/>
  <c r="C30" i="17"/>
  <c r="C19" i="17"/>
  <c r="C10" i="17"/>
  <c r="D10" i="17" s="1"/>
  <c r="D6" i="17"/>
  <c r="C22" i="17"/>
  <c r="C62" i="17"/>
  <c r="C34" i="17"/>
  <c r="D34" i="17" s="1"/>
  <c r="D74" i="17" l="1"/>
  <c r="D16" i="17"/>
  <c r="D12" i="17"/>
  <c r="D14" i="17"/>
  <c r="D45" i="17"/>
  <c r="D72" i="17"/>
  <c r="D18" i="17"/>
  <c r="D32" i="17"/>
  <c r="D48" i="17"/>
  <c r="D30" i="17"/>
  <c r="D40" i="17"/>
  <c r="D22" i="17"/>
  <c r="D36" i="17"/>
  <c r="D19" i="17"/>
  <c r="D68" i="17"/>
  <c r="D56" i="17"/>
  <c r="D70" i="17"/>
  <c r="D63" i="17"/>
  <c r="D6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<sst xmlns="http://schemas.openxmlformats.org/spreadsheetml/2006/main" count="2265" uniqueCount="509">
  <si>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</si>
  <si>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</si>
  <si>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</si>
  <si>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</si>
  <si>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</si>
  <si>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</si>
  <si>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</si>
  <si>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</si>
  <si>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</si>
  <si>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</si>
  <si>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</si>
  <si>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</si>
  <si>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</si>
  <si>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</si>
  <si>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</si>
  <si>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</si>
  <si>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</si>
  <si>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</si>
  <si>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</si>
  <si>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</si>
  <si>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</si>
  <si>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</si>
  <si>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</si>
  <si>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</si>
  <si>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</si>
  <si>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</si>
  <si>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</si>
  <si>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</si>
  <si>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</si>
  <si>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</si>
  <si>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</si>
  <si>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</si>
  <si>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</si>
  <si>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</si>
  <si>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</si>
  <si>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</si>
  <si>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</si>
  <si>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</si>
  <si>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</si>
  <si>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</si>
  <si>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</si>
  <si>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</si>
  <si>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</si>
  <si>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</si>
  <si>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</si>
  <si>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</si>
  <si>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</si>
  <si>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</si>
  <si>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</si>
  <si>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</si>
  <si>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</si>
  <si>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</si>
  <si>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</si>
  <si>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</si>
  <si>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</si>
  <si>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</si>
  <si>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</si>
  <si>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</si>
  <si>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</si>
  <si>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</si>
  <si>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</si>
  <si>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</si>
  <si>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</si>
  <si>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Tamarack</t>
  </si>
  <si>
    <t>Exelta</t>
  </si>
  <si>
    <t>AIM</t>
  </si>
  <si>
    <t>VIP</t>
  </si>
  <si>
    <t>OAA</t>
  </si>
  <si>
    <t>HIGHSTEAD, Declan</t>
  </si>
  <si>
    <t>BEAULIEU, Alex</t>
  </si>
  <si>
    <t>Gymnitours</t>
  </si>
  <si>
    <t>BLOOM, Tristan</t>
  </si>
  <si>
    <t>Virtuose</t>
  </si>
  <si>
    <t>HARBO, Owen</t>
  </si>
  <si>
    <t>WYGIERA, Liam</t>
  </si>
  <si>
    <t>Viagym</t>
  </si>
  <si>
    <t>Kingston</t>
  </si>
  <si>
    <t>ADJEMIAN, Alexan</t>
  </si>
  <si>
    <t>SCOTT, Ethan</t>
  </si>
  <si>
    <t>Campia</t>
  </si>
  <si>
    <t>MEYER, Jeremy</t>
  </si>
  <si>
    <t>THOMPSON, Derek</t>
  </si>
  <si>
    <t>MALLAIS, Rylan</t>
  </si>
  <si>
    <t>COLLINSON, Brody</t>
  </si>
  <si>
    <t>Just Bounce</t>
  </si>
  <si>
    <t>CLOUTIER, Étienne</t>
  </si>
  <si>
    <t>Titans</t>
  </si>
  <si>
    <t>Quinte Bay</t>
  </si>
  <si>
    <t>Rideau</t>
  </si>
  <si>
    <t>Oakville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</si>
  <si>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</si>
  <si>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</si>
  <si>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</si>
  <si>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</si>
  <si>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</si>
  <si>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</si>
  <si>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</si>
  <si>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</si>
  <si>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</si>
  <si>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</si>
  <si>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</si>
  <si>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</si>
  <si>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</si>
  <si>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</si>
  <si>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</si>
  <si>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</si>
  <si>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</si>
  <si>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</si>
  <si>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</si>
  <si>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</si>
  <si>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</si>
  <si>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</si>
  <si>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</si>
  <si>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</si>
  <si>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VIAU, Nathan</t>
  </si>
  <si>
    <t>MERCIER, Loïc</t>
  </si>
  <si>
    <t>KOCAK, Jonas</t>
  </si>
  <si>
    <t>MORRISON, Xavier</t>
  </si>
  <si>
    <t>PETERS, Lane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</si>
  <si>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</si>
  <si>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</si>
  <si>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</si>
  <si>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</si>
  <si>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</si>
  <si>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</si>
  <si>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</si>
  <si>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</si>
  <si>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</si>
  <si>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</si>
  <si>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</si>
  <si>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</si>
  <si>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Airdrie Edge</t>
  </si>
  <si>
    <t>Helios</t>
  </si>
  <si>
    <t>Grand River</t>
  </si>
  <si>
    <t>Les Hirondelles</t>
  </si>
  <si>
    <t>Tumblers</t>
  </si>
  <si>
    <t>BANNER, Max</t>
  </si>
  <si>
    <t>Best Other Optional</t>
  </si>
  <si>
    <t>Best Prelim
(17-21 Optional)</t>
  </si>
  <si>
    <t>Best Optional</t>
  </si>
  <si>
    <t>Bst Other Optional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</si>
  <si>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</si>
  <si>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</si>
  <si>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</si>
  <si>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</si>
  <si>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</si>
  <si>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</si>
  <si>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</si>
  <si>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</si>
  <si>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</si>
  <si>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Futures</t>
  </si>
  <si>
    <t>Twisters</t>
  </si>
  <si>
    <t>Ottawa</t>
  </si>
  <si>
    <t>VAN ESSEN, Oliver</t>
  </si>
  <si>
    <t>MICHALSKI, Rylan</t>
  </si>
  <si>
    <t>CANN, Jackson</t>
  </si>
  <si>
    <t>Athletics GA</t>
  </si>
  <si>
    <t>NELSON, Cooper</t>
  </si>
  <si>
    <t>OUGHTRED, Max</t>
  </si>
  <si>
    <t>MCLEOD, Aaron</t>
  </si>
  <si>
    <t>RENOU, Brayden</t>
  </si>
  <si>
    <t>FUDGE, Benjamin</t>
  </si>
  <si>
    <t>Pulsars</t>
  </si>
  <si>
    <t>Flippers</t>
  </si>
  <si>
    <t>Aerials</t>
  </si>
  <si>
    <t>BOURGAULT-FOURNIER, Alexis</t>
  </si>
  <si>
    <t>BING-L'HEUREUX, Noah</t>
  </si>
  <si>
    <t>FORTINO, Louis</t>
  </si>
  <si>
    <t>CAHILL, Benjamin</t>
  </si>
  <si>
    <t>CAMPBELL, Alexander</t>
  </si>
  <si>
    <t>CREALLY, Joe</t>
  </si>
  <si>
    <t>LANQUETIN, Yannick</t>
  </si>
  <si>
    <t>RAYNER, Kiran</t>
  </si>
  <si>
    <t>Saskatchewan</t>
  </si>
  <si>
    <t>Zénith</t>
  </si>
  <si>
    <t>Defy(n)ing Gravity</t>
  </si>
  <si>
    <t>Toronto Premier</t>
  </si>
  <si>
    <t>Q1 Bonus</t>
  </si>
  <si>
    <t>Finals Bonus</t>
  </si>
  <si>
    <t>Best Round (Bonus Removed)</t>
  </si>
  <si>
    <t>Best Other Round (Bonus Removed)</t>
  </si>
  <si>
    <t>COOK, Mason</t>
  </si>
  <si>
    <t>LALIBERTÉ, Félix</t>
  </si>
  <si>
    <t>HADD, Benjamin</t>
  </si>
  <si>
    <t>HALLEY, Hayden</t>
  </si>
  <si>
    <t>BISHOP, Brody</t>
  </si>
  <si>
    <t>GLAWACKI, Oskar</t>
  </si>
  <si>
    <t>WANG, Ayden</t>
  </si>
  <si>
    <t>COREY, Kade</t>
  </si>
  <si>
    <t>JENN, Matthew</t>
  </si>
  <si>
    <t>PRICE-BELLERIVE, Cullen</t>
  </si>
  <si>
    <t>GORMICK, Liam</t>
  </si>
  <si>
    <t>LOW, Hudson</t>
  </si>
  <si>
    <t>ROY, Alexi</t>
  </si>
  <si>
    <t>MILLIN, Declan</t>
  </si>
  <si>
    <t>BUTLER, Isaac</t>
  </si>
  <si>
    <t>FEDOR, Julien</t>
  </si>
  <si>
    <t>GAUBERT, Olivier</t>
  </si>
  <si>
    <t>BENFEITO, Ryan</t>
  </si>
  <si>
    <t>MACINTOSH, Braxton</t>
  </si>
  <si>
    <t>BENADIVA, Yaniv</t>
  </si>
  <si>
    <t>COSTELLO, Jacob</t>
  </si>
  <si>
    <t>MOORE, Hunter</t>
  </si>
  <si>
    <t>VANDEN HOVEN, Tristan</t>
  </si>
  <si>
    <t>FRANC, Elliot</t>
  </si>
  <si>
    <t>MCNAIRN-HART, Adrian</t>
  </si>
  <si>
    <t>WEHAGE, Connor</t>
  </si>
  <si>
    <t>FEDOROV, Peter</t>
  </si>
  <si>
    <t>Les Sittelles</t>
  </si>
  <si>
    <t>GymExpress</t>
  </si>
  <si>
    <t>Senior</t>
  </si>
  <si>
    <t>Junior</t>
  </si>
  <si>
    <t>L7</t>
  </si>
  <si>
    <t>L6</t>
  </si>
  <si>
    <t>L5</t>
  </si>
  <si>
    <t>CORRIVEAU, Mélina</t>
  </si>
  <si>
    <t>BONNE, Rielle</t>
  </si>
  <si>
    <t>NOSSACK, Sophie</t>
  </si>
  <si>
    <t>LEPORÉ, Amylia</t>
  </si>
  <si>
    <t>GOOD, Hayden</t>
  </si>
  <si>
    <t>LEE-MCMEEKEN, Brooklyn</t>
  </si>
  <si>
    <t>KURTZ, Lily</t>
  </si>
  <si>
    <t>MOBORG, Reese</t>
  </si>
  <si>
    <t>SLUGA, Arianna</t>
  </si>
  <si>
    <t>ALDOUS, Addison</t>
  </si>
  <si>
    <t>PINNOCK, Liana</t>
  </si>
  <si>
    <t>KUZNAK, Sienna</t>
  </si>
  <si>
    <t>ALBERT, Audrey</t>
  </si>
  <si>
    <t>BOISSEAU, Mathilde</t>
  </si>
  <si>
    <t>HANNAH, Ashley</t>
  </si>
  <si>
    <t>BECKETT, Aleisha</t>
  </si>
  <si>
    <t>KWASNIAK, Alicja</t>
  </si>
  <si>
    <t>ST-PIERRE-LEPITRE, Gaëlle</t>
  </si>
  <si>
    <t>BECKETT, Lindsey</t>
  </si>
  <si>
    <t>DUCHESNE, Livia</t>
  </si>
  <si>
    <t>ULMER, Lily-ann</t>
  </si>
  <si>
    <t>LEBEL, Meggy</t>
  </si>
  <si>
    <t>SCHMIDT, Jordyn</t>
  </si>
  <si>
    <t>TOSH, Megan</t>
  </si>
  <si>
    <t>JANEVSKI, Léa</t>
  </si>
  <si>
    <t>SCHMIDT, Makena</t>
  </si>
  <si>
    <t>GADSBY, Blythe</t>
  </si>
  <si>
    <t>WILLIMOTT, Amy</t>
  </si>
  <si>
    <t>ANDERSON, Willow</t>
  </si>
  <si>
    <t>BILO, Eva</t>
  </si>
  <si>
    <t>BEAUDOIN, Emma</t>
  </si>
  <si>
    <t>MARCHAND, Charlotte</t>
  </si>
  <si>
    <t>SHERPENISSE, Brooklyn</t>
  </si>
  <si>
    <t>FUSS, Adeline</t>
  </si>
  <si>
    <t>SANDERSON, Aurora</t>
  </si>
  <si>
    <t>MACDOUGALL, Kira</t>
  </si>
  <si>
    <t>FAINSTAT, Lara</t>
  </si>
  <si>
    <t>BENOIT, Alyssa</t>
  </si>
  <si>
    <t>ROGERS, Mya</t>
  </si>
  <si>
    <t>WEHAGE, Miley</t>
  </si>
  <si>
    <t>THOMPSON, Ella</t>
  </si>
  <si>
    <t>CANCELLIERE, Malia</t>
  </si>
  <si>
    <t>NOVOTNY, Ella</t>
  </si>
  <si>
    <t>FLETCHER-BOSTWICK, Aja</t>
  </si>
  <si>
    <t>ANAÏS, St-Arneault</t>
  </si>
  <si>
    <t>LUM, Brooklyn</t>
  </si>
  <si>
    <t>GRANT, Sienna</t>
  </si>
  <si>
    <t>VIAU, Chloe</t>
  </si>
  <si>
    <t>CROTEAU, Mathilde</t>
  </si>
  <si>
    <t>MACKAY, Gwen</t>
  </si>
  <si>
    <t>CABAK, Anezka</t>
  </si>
  <si>
    <t>BROWN, Maika</t>
  </si>
  <si>
    <t>GRIFFITHS, Ella</t>
  </si>
  <si>
    <t>PACE, Julia</t>
  </si>
  <si>
    <t>GRAHAM, Rebecca</t>
  </si>
  <si>
    <t>BILTON, Tayte</t>
  </si>
  <si>
    <t>PHILIBERT-RICHARD, Emmy</t>
  </si>
  <si>
    <t>BESSADI, Kella</t>
  </si>
  <si>
    <t>LABRIE, Arianne</t>
  </si>
  <si>
    <t>WIBERG, Natalie</t>
  </si>
  <si>
    <t>GAWLEY, Kayley</t>
  </si>
  <si>
    <t>MOUNTAIN, Dani</t>
  </si>
  <si>
    <t>PEPPER, Emily</t>
  </si>
  <si>
    <t>MALO, Chantel</t>
  </si>
  <si>
    <t>NIKODYM, Emily</t>
  </si>
  <si>
    <t>DEOBALD, Addis</t>
  </si>
  <si>
    <t>STOBBE, Brooklyn</t>
  </si>
  <si>
    <t>KHRISANOVA, Svetlana</t>
  </si>
  <si>
    <t>SCHAERLI, Jasmine</t>
  </si>
  <si>
    <t>STEFURA, Kenadie</t>
  </si>
  <si>
    <t>WATERMAN HOLMES, Maryn</t>
  </si>
  <si>
    <t>LEARY, Addison</t>
  </si>
  <si>
    <t>Gymnastics Adventure</t>
  </si>
  <si>
    <t>JACKSON, Claire</t>
  </si>
  <si>
    <t>NEWMAN, Olivia</t>
  </si>
  <si>
    <t>BOWDITCH, Courtney</t>
  </si>
  <si>
    <t>PECK, Rachel</t>
  </si>
  <si>
    <t>HOWELL, Kayla</t>
  </si>
  <si>
    <t>OLSEN, Brooklyn</t>
  </si>
  <si>
    <t>STIMERS, Natalie</t>
  </si>
  <si>
    <t>HUGHES, Arya</t>
  </si>
  <si>
    <t>LEWIS, Jordyn</t>
  </si>
  <si>
    <t>BEIRAM, Évita</t>
  </si>
  <si>
    <t>DUNKLEY, Olivia</t>
  </si>
  <si>
    <t>BERG, Katie</t>
  </si>
  <si>
    <t>BASTIEN, Rose</t>
  </si>
  <si>
    <t>BERGERON, Ella</t>
  </si>
  <si>
    <t>BILODEAU, Lee-Ann</t>
  </si>
  <si>
    <t>KAUFMANN, Vivian</t>
  </si>
  <si>
    <t>BURKHART, Sofia</t>
  </si>
  <si>
    <t>HARPER, Madeline</t>
  </si>
  <si>
    <t>SABBAGH, Lauryn</t>
  </si>
  <si>
    <t>KWONG, Gemma</t>
  </si>
  <si>
    <t>BERMUDEZ, Kayla</t>
  </si>
  <si>
    <t>BOND, Avery</t>
  </si>
  <si>
    <t>HUGHES, Serena</t>
  </si>
  <si>
    <t>LAI, Kayla</t>
  </si>
  <si>
    <t>SANFORD, Hunter</t>
  </si>
  <si>
    <t>KOVACS, Gabriella</t>
  </si>
  <si>
    <t>BEAUDIN, Victoria</t>
  </si>
  <si>
    <t>GAZDAR, Natasha</t>
  </si>
  <si>
    <t>NADEAU, Sophia</t>
  </si>
  <si>
    <t>SAWATZKY, Kait</t>
  </si>
  <si>
    <t>KWAN, Sienna</t>
  </si>
  <si>
    <t>ROBBINS, Brooklyn</t>
  </si>
  <si>
    <t>CHAGNON, Marguerite</t>
  </si>
  <si>
    <t>SCALES, Reese</t>
  </si>
  <si>
    <t>BELBECK, Holly</t>
  </si>
  <si>
    <t>CHEW, Makena</t>
  </si>
  <si>
    <t>WHITESIDE, Kasen</t>
  </si>
  <si>
    <t>FRIESEN, Declyn</t>
  </si>
  <si>
    <t>Wimgym</t>
  </si>
  <si>
    <t>MATTHEWS, Jared</t>
  </si>
  <si>
    <t>CANUEL, Victor</t>
  </si>
  <si>
    <t>GIBBS, Gavin</t>
  </si>
  <si>
    <t>PINSK, Benjamin</t>
  </si>
  <si>
    <t>LOISELLE, Hector</t>
  </si>
  <si>
    <t>NEUFELD, Simon</t>
  </si>
  <si>
    <t>BISSONNETTE, Emeric</t>
  </si>
  <si>
    <t>MOORE, Riley</t>
  </si>
  <si>
    <t>NATH, Zander</t>
  </si>
  <si>
    <t>NATH, Xaiden</t>
  </si>
  <si>
    <t>NEAVES, Isaac</t>
  </si>
  <si>
    <t>KISKO, Roman</t>
  </si>
  <si>
    <t>TURK, Milo</t>
  </si>
  <si>
    <t>MOREL, Parker</t>
  </si>
  <si>
    <t>NELSON, James</t>
  </si>
  <si>
    <t>EVANS, Jackson</t>
  </si>
  <si>
    <t>FUSELIER, Anthonin</t>
  </si>
  <si>
    <t>KARUNAKARAN, Matthew</t>
  </si>
  <si>
    <t>ROBINSON, Wyatt</t>
  </si>
  <si>
    <t>MOSIER, Bella</t>
  </si>
  <si>
    <t>TROYAN, Maksym</t>
  </si>
  <si>
    <t>KOCHYLEMA, Jacob</t>
  </si>
  <si>
    <t>TOLOSA, Kaizen</t>
  </si>
  <si>
    <t>VOLLMER, Jackson</t>
  </si>
  <si>
    <t>WONG, Tristan</t>
  </si>
  <si>
    <t>LEFTERUK, Ryan</t>
  </si>
  <si>
    <t>PERRIN, Nathan</t>
  </si>
  <si>
    <t>MIREAULT, Charles-Édouard</t>
  </si>
  <si>
    <t>PETIT, Antony</t>
  </si>
  <si>
    <t>LANGFORD, Jonathan</t>
  </si>
  <si>
    <t>BLOCK, Chris</t>
  </si>
  <si>
    <t>VILLALOBOS, Andres</t>
  </si>
  <si>
    <t>TAYLOR, Kyle</t>
  </si>
  <si>
    <t>SMITH, Atticus</t>
  </si>
  <si>
    <t>Ortona</t>
  </si>
  <si>
    <t>JEAN-LOUIS, Jayda</t>
  </si>
  <si>
    <t>ANGST, Caelyn</t>
  </si>
  <si>
    <t>VAN BALKOM, Marlee</t>
  </si>
  <si>
    <t>WIEBE, Meghan</t>
  </si>
  <si>
    <t>DIXON, Estella</t>
  </si>
  <si>
    <t>OLDFIELD, Isla</t>
  </si>
  <si>
    <t>BRIDEAUX, Ella</t>
  </si>
  <si>
    <t>DUPRAY, Amanda</t>
  </si>
  <si>
    <t>SKJODT, Sage</t>
  </si>
  <si>
    <t>KORENKOVA, Anastasia</t>
  </si>
  <si>
    <t>COREY &amp; GORMICK</t>
  </si>
  <si>
    <t>MCNAIRN-HART &amp; MOORE</t>
  </si>
  <si>
    <t>BISHOP &amp; VAN ESSEN</t>
  </si>
  <si>
    <t>GAUBERT &amp; LALIBERTÉ</t>
  </si>
  <si>
    <t>KOCAK &amp; MALLAIS</t>
  </si>
  <si>
    <t>CLOUTIER &amp; VIAU</t>
  </si>
  <si>
    <t>D'HONDT &amp; MEYER</t>
  </si>
  <si>
    <t>BEAULIEU &amp; BOURGAULT-FOURNIER</t>
  </si>
  <si>
    <t>BEAUDOIN &amp; MARCHAND</t>
  </si>
  <si>
    <t>CABAK &amp; NIKODYM</t>
  </si>
  <si>
    <t>BROWN &amp; PHILIBERT-RICHARD</t>
  </si>
  <si>
    <t>ALDOUS &amp; MOBORG</t>
  </si>
  <si>
    <t>JANEVSKI &amp; WILLIMOTT</t>
  </si>
  <si>
    <t>SCHAERLI &amp; ST-PIERRE-LEPITRE</t>
  </si>
  <si>
    <t>FAINSTAT &amp; KURTZ</t>
  </si>
  <si>
    <t>BECKETT &amp; ULMER</t>
  </si>
  <si>
    <t>LEE-MCMEEKEN &amp; LEPORÉ</t>
  </si>
  <si>
    <t>BOISSEAU &amp; DUCHESNE</t>
  </si>
  <si>
    <t>BONNE &amp; CORRIVEAU</t>
  </si>
  <si>
    <t>KUZNAK &amp; SCHMIDT</t>
  </si>
  <si>
    <t>THIVIERGE, Emerick</t>
  </si>
  <si>
    <t>MORIN, Antoine</t>
  </si>
  <si>
    <t>PARSON, Brady</t>
  </si>
  <si>
    <t>BONDY, Philippe</t>
  </si>
  <si>
    <t>BISSONETTE-QUINTAL, Isaak</t>
  </si>
  <si>
    <t>FRKETICH, Luke</t>
  </si>
  <si>
    <t>SAMSON, Thomas</t>
  </si>
  <si>
    <t>HIMMELMAN, Jon</t>
  </si>
  <si>
    <t>LABELLE, Olivier</t>
  </si>
  <si>
    <t>SWIFT, Max</t>
  </si>
  <si>
    <t>WILSON, Carter</t>
  </si>
  <si>
    <t>RAJOTTE, Justin</t>
  </si>
  <si>
    <t>RITCHIE, Owen</t>
  </si>
  <si>
    <t>FUDGE, Ben</t>
  </si>
  <si>
    <t>SHTEFLYUK, Oleksandr</t>
  </si>
  <si>
    <t>BURELLE-DUBOIS, Josué</t>
  </si>
  <si>
    <t>PATEL, Blaine</t>
  </si>
  <si>
    <t>MORNEAU, Benjamin</t>
  </si>
  <si>
    <t>JENKINSON, Bentley</t>
  </si>
  <si>
    <t>MILLER, Tessa</t>
  </si>
  <si>
    <t>HOWATSON, Madalyn</t>
  </si>
  <si>
    <t>ROBITAILLE, Amy</t>
  </si>
  <si>
    <t>TURCOTTE, Alizé</t>
  </si>
  <si>
    <t>MATHIEU, Angéline</t>
  </si>
  <si>
    <t>ROCKARTS, Laine</t>
  </si>
  <si>
    <t>FOREST, Jany-Rose</t>
  </si>
  <si>
    <t>GODIN, Ariane</t>
  </si>
  <si>
    <t>VIAU, Chloé</t>
  </si>
  <si>
    <t>EDGELL, Melanie</t>
  </si>
  <si>
    <t>MURPHY, Kaeleigh</t>
  </si>
  <si>
    <t>RUSHTON, Abigail</t>
  </si>
  <si>
    <t>WARREN, Alice</t>
  </si>
  <si>
    <t>GARRETT, Amy</t>
  </si>
  <si>
    <t>GROSZ, Mya</t>
  </si>
  <si>
    <t>ST-ARNEAULT, Anais</t>
  </si>
  <si>
    <t>BLANCHARD, Mackenzie</t>
  </si>
  <si>
    <t>AUCOIN, Emilyn</t>
  </si>
  <si>
    <t>SKJODT, Sophie</t>
  </si>
  <si>
    <t>PERRON, Laurane</t>
  </si>
  <si>
    <t>CLARKE, Erynn</t>
  </si>
  <si>
    <t>LECLAIR, Marinèle</t>
  </si>
  <si>
    <t>PORTO, Maddie</t>
  </si>
  <si>
    <t>GOODMAN, Fleur</t>
  </si>
  <si>
    <t>BURGESS, Sydni</t>
  </si>
  <si>
    <t>LAURIN, Abby</t>
  </si>
  <si>
    <t>JAMES, Roshni</t>
  </si>
  <si>
    <t>CAHILL &amp; MORNEAU</t>
  </si>
  <si>
    <t>CAMPBELL &amp; JENKINSON</t>
  </si>
  <si>
    <t>FEDEROV &amp; SHTEFLYUK</t>
  </si>
  <si>
    <t>COOK &amp; THOMPSON</t>
  </si>
  <si>
    <t>GARRETT &amp; WARREN</t>
  </si>
  <si>
    <t>CLARKE &amp; EDGELL</t>
  </si>
  <si>
    <t>OROSZLAN &amp; WIBERG</t>
  </si>
  <si>
    <t>FLETCHER-BOSTWICK &amp; MACDOUGALL</t>
  </si>
  <si>
    <t>HOWATSON &amp; MILLER</t>
  </si>
  <si>
    <t>AUCOIN &amp; GADSBY</t>
  </si>
  <si>
    <t>BURGESS &amp; GRANT</t>
  </si>
  <si>
    <t>PIVIN, Ollie</t>
  </si>
  <si>
    <t>PITTS, Jeremy</t>
  </si>
  <si>
    <t>WIGOOD, Matthew</t>
  </si>
  <si>
    <t>LAPLANTE, Julien</t>
  </si>
  <si>
    <t>MELNYK, Stuart</t>
  </si>
  <si>
    <t>COSTELLO, Cayden</t>
  </si>
  <si>
    <t>COUTURE, Joey</t>
  </si>
  <si>
    <t>LADEROUTE, Sam</t>
  </si>
  <si>
    <t>MCFARLANE, Michael</t>
  </si>
  <si>
    <t>LEDREW, Naiya</t>
  </si>
  <si>
    <t>YAMINE, Lolo</t>
  </si>
  <si>
    <t>BHOT, Sasha</t>
  </si>
  <si>
    <t>HEALEY, Kara</t>
  </si>
  <si>
    <t>KOUTROULIDES, Kensey</t>
  </si>
  <si>
    <t>VAN DEN ENDE, Julia</t>
  </si>
  <si>
    <t>LEGAULT, Maélie</t>
  </si>
  <si>
    <t>PIGEON, Sasha</t>
  </si>
  <si>
    <t>WHITTAKER, Raegan</t>
  </si>
  <si>
    <t>COURTEMANCHE, Sophie</t>
  </si>
  <si>
    <t>PROBE, Dani</t>
  </si>
  <si>
    <t>FALLON, Sophia</t>
  </si>
  <si>
    <t>SURJADHANA, Nadia</t>
  </si>
  <si>
    <t>GALAY, Lola</t>
  </si>
  <si>
    <t>SARTISON, Torrance</t>
  </si>
  <si>
    <t>CLARKE, Matthew</t>
  </si>
  <si>
    <t>MIGNEAULT, Loïc</t>
  </si>
  <si>
    <t>DRYSDALE, Aidan</t>
  </si>
  <si>
    <t>MIREAULT, Charles-Edouard</t>
  </si>
  <si>
    <t>PETIT, Anthony</t>
  </si>
  <si>
    <t>VEDYBIDA, Danyil</t>
  </si>
  <si>
    <t>BROCHU-BERNIER, Charlie</t>
  </si>
  <si>
    <t>SHERREN, Rio</t>
  </si>
  <si>
    <t>WILSON, Sam</t>
  </si>
  <si>
    <t>BITTNER, Kennedy</t>
  </si>
  <si>
    <t>LEAPER, Jonathan</t>
  </si>
  <si>
    <t>TANGUAY, Jeremi</t>
  </si>
  <si>
    <t>COCHRANE, Matthew</t>
  </si>
  <si>
    <t>GALLANT, Kedric</t>
  </si>
  <si>
    <t>ARMSTRONG, Rylee</t>
  </si>
  <si>
    <t>HESCHUK, Spencer</t>
  </si>
  <si>
    <t>HENNEBERRY, Jaime</t>
  </si>
  <si>
    <t>GUSSO, Analese</t>
  </si>
  <si>
    <t>DESJARDINS, Camille</t>
  </si>
  <si>
    <t>HEELER, Ella</t>
  </si>
  <si>
    <t>ROCKARTS, Jensen</t>
  </si>
  <si>
    <t>HAMMOND, Ayla</t>
  </si>
  <si>
    <t>WOEHLEKE, Grace</t>
  </si>
  <si>
    <t>RENOU, Taya</t>
  </si>
  <si>
    <t>BRUCE, Kayli</t>
  </si>
  <si>
    <t>GOUDREAU, Marie-Laurence</t>
  </si>
  <si>
    <t>OROSZLAN, Sofi</t>
  </si>
  <si>
    <t>LEDUC, Alexianne</t>
  </si>
  <si>
    <t>MITCHELL, Halle</t>
  </si>
  <si>
    <t>BRASSART, Lola-Rose</t>
  </si>
  <si>
    <t>2025 Nationals</t>
  </si>
  <si>
    <t>Muskoka</t>
  </si>
  <si>
    <t>Kids Supergym Aurora</t>
  </si>
  <si>
    <t>Beausejour Gymnos</t>
  </si>
  <si>
    <t>Campiagile</t>
  </si>
  <si>
    <t>Shergym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</si>
</sst>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4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hidden="1" x14ac:dyDescent="0.2">
      <c r="A26" s="53" t="str">
        <f t="shared" si="0"/>
        <v/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/>
      </c>
    </row>
    <row r="27" spans="1:4" hidden="1" x14ac:dyDescent="0.2">
      <c r="A27" s="53" t="str">
        <f t="shared" si="0"/>
        <v/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/>
      </c>
    </row>
    <row r="28" spans="1:4" hidden="1" x14ac:dyDescent="0.2">
      <c r="A28" s="53" t="str">
        <f t="shared" si="0"/>
        <v/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/>
      </c>
    </row>
    <row r="29" spans="1:4" hidden="1" x14ac:dyDescent="0.2">
      <c r="A29" s="53" t="str">
        <f t="shared" si="0"/>
        <v/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/>
      </c>
    </row>
    <row r="30" spans="1:4" hidden="1" x14ac:dyDescent="0.2">
      <c r="A30" s="53" t="str">
        <f t="shared" si="0"/>
        <v/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/>
      </c>
    </row>
    <row r="31" spans="1:4" hidden="1" x14ac:dyDescent="0.2">
      <c r="A31" s="53" t="str">
        <f t="shared" si="0"/>
        <v/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/>
      </c>
    </row>
    <row r="32" spans="1:4" hidden="1" x14ac:dyDescent="0.2">
      <c r="A32" s="53" t="str">
        <f t="shared" si="0"/>
        <v/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/>
      </c>
    </row>
    <row r="33" spans="1:4" hidden="1" x14ac:dyDescent="0.2">
      <c r="A33" s="53" t="str">
        <f t="shared" si="0"/>
        <v/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/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hidden="1" x14ac:dyDescent="0.2">
      <c r="A50" s="54" t="str">
        <f t="shared" si="1"/>
        <v/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/>
      </c>
    </row>
    <row r="51" spans="1:4" hidden="1" x14ac:dyDescent="0.2">
      <c r="A51" s="54" t="str">
        <f t="shared" si="1"/>
        <v/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/>
      </c>
    </row>
    <row r="52" spans="1:4" hidden="1" x14ac:dyDescent="0.2">
      <c r="A52" s="54" t="str">
        <f t="shared" si="1"/>
        <v/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/>
      </c>
    </row>
    <row r="53" spans="1:4" hidden="1" x14ac:dyDescent="0.2">
      <c r="A53" s="54" t="str">
        <f t="shared" si="1"/>
        <v/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/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hidden="1" x14ac:dyDescent="0.2">
      <c r="A58" s="54" t="str">
        <f t="shared" si="1"/>
        <v/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/>
      </c>
    </row>
    <row r="59" spans="1:4" hidden="1" x14ac:dyDescent="0.2">
      <c r="A59" s="54" t="str">
        <f t="shared" si="1"/>
        <v/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/>
      </c>
    </row>
    <row r="60" spans="1:4" hidden="1" x14ac:dyDescent="0.2">
      <c r="A60" s="54" t="str">
        <f t="shared" si="1"/>
        <v/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/>
      </c>
    </row>
    <row r="61" spans="1:4" hidden="1" x14ac:dyDescent="0.2">
      <c r="A61" s="54" t="str">
        <f t="shared" si="1"/>
        <v/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/>
      </c>
    </row>
    <row r="62" spans="1:4" hidden="1" x14ac:dyDescent="0.2">
      <c r="A62" s="54" t="str">
        <f t="shared" si="1"/>
        <v/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/>
      </c>
    </row>
    <row r="63" spans="1:4" hidden="1" x14ac:dyDescent="0.2">
      <c r="A63" s="54" t="str">
        <f t="shared" si="1"/>
        <v/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/>
      </c>
    </row>
    <row r="64" spans="1:4" hidden="1" x14ac:dyDescent="0.2">
      <c r="A64" s="54" t="str">
        <f t="shared" si="1"/>
        <v/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/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_xlfn.IFNA(INDEX('SYN-M'!C$3:C$10,MATCH(1,(C66='SYN-M'!A$3:A$10)*(B66='SYN-M'!H$3:H$10),0)),"")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_xlfn.IFNA(INDEX('SYN-M'!C$3:C$10,MATCH(1,(C67='SYN-M'!A$3:A$10)*(B67='SYN-M'!H$3:H$10),0)),"")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_xlfn.IFNA(INDEX('SYN-M'!C$3:C$10,MATCH(1,(C68='SYN-M'!A$3:A$10)*(B68='SYN-M'!H$3:H$10),0)),"")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_xlfn.IFNA(INDEX('SYN-M'!C$3:C$10,MATCH(1,(C69='SYN-M'!A$3:A$10)*(B69='SYN-M'!H$3:H$10),0)),"")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_xlfn.IFNA(INDEX('SYN-M'!C$3:C$10,MATCH(1,(C70='SYN-M'!A$3:A$10)*(B70='SYN-M'!H$3:H$10),0)),"")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_xlfn.IFNA(INDEX('SYN-M'!C$3:C$10,MATCH(1,(C71='SYN-M'!A$3:A$10)*(B71='SYN-M'!H$3:H$10),0)),"")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_xlfn.IFNA(INDEX('SYN-M'!C$3:C$10,MATCH(1,(C72='SYN-M'!A$3:A$10)*(B72='SYN-M'!H$3:H$10),0)),"")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_xlfn.IFNA(INDEX('SYN-M'!C$3:C$10,MATCH(1,(C73='SYN-M'!A$3:A$10)*(B73='SYN-M'!H$3:H$10),0)),"")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_xlfn.IFNA(INDEX('SYN-M'!C$3:C$10,MATCH(1,(C74='SYN-M'!A$3:A$10)*(B74='SYN-M'!H$3:H$10),0)),"")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_xlfn.IFNA(INDEX('SYN-M'!C$3:C$10,MATCH(1,(C75='SYN-M'!A$3:A$10)*(B75='SYN-M'!H$3:H$10),0)),"")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_xlfn.IFNA(INDEX('SYN-M'!C$3:C$10,MATCH(1,(C76='SYN-M'!A$3:A$10)*(B76='SYN-M'!H$3:H$10),0)),"")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_xlfn.IFNA(INDEX('SYN-M'!C$3:C$10,MATCH(1,(C77='SYN-M'!A$3:A$10)*(B77='SYN-M'!H$3:H$10),0)),"")</f>
        <v/>
      </c>
    </row>
    <row r="78" spans="1:4" hidden="1" x14ac:dyDescent="0.2">
      <c r="A78" s="53" t="str">
        <f t="shared" si="2"/>
        <v/>
      </c>
      <c r="B78" s="53" t="s">
        <v>19</v>
      </c>
      <c r="C78" s="53">
        <v>1</v>
      </c>
      <c r="D78" s="38" t="str" cm="1">
        <f t="array" ref="D78">_xlfn.IFNA(INDEX('SYN-M'!C$3:C$10,MATCH(1,(C78='SYN-M'!A$3:A$10)*(B78='SYN-M'!H$3:H$10),0)),"")</f>
        <v/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_xlfn.IFNA(INDEX('SYN-M'!C$3:C$10,MATCH(1,(C79='SYN-M'!A$3:A$10)*(B79='SYN-M'!H$3:H$10),0)),"")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_xlfn.IFNA(INDEX('SYN-M'!C$3:C$10,MATCH(1,(C80='SYN-M'!A$3:A$10)*(B80='SYN-M'!H$3:H$10),0)),"")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_xlfn.IFNA(INDEX('SYN-M'!C$3:C$10,MATCH(1,(C81='SYN-M'!A$3:A$10)*(B81='SYN-M'!H$3:H$10),0)),"")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_xlfn.IFNA(INDEX('SYN-W'!C$3:C$16,MATCH(1,(C82='SYN-W'!A$3:A$16)*(B82='SYN-W'!H$3:H$16),0)),"")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_xlfn.IFNA(INDEX('SYN-W'!C$3:C$16,MATCH(1,(C83='SYN-W'!A$3:A$16)*(B83='SYN-W'!H$3:H$16),0)),"")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_xlfn.IFNA(INDEX('SYN-W'!C$3:C$16,MATCH(1,(C84='SYN-W'!A$3:A$16)*(B84='SYN-W'!H$3:H$16),0)),"")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_xlfn.IFNA(INDEX('SYN-W'!C$3:C$16,MATCH(1,(C85='SYN-W'!A$3:A$16)*(B85='SYN-W'!H$3:H$16),0)),"")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_xlfn.IFNA(INDEX('SYN-W'!C$3:C$16,MATCH(1,(C86='SYN-W'!A$3:A$16)*(B86='SYN-W'!H$3:H$16),0)),"")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_xlfn.IFNA(INDEX('SYN-W'!C$3:C$16,MATCH(1,(C87='SYN-W'!A$3:A$16)*(B87='SYN-W'!H$3:H$16),0)),"")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_xlfn.IFNA(INDEX('SYN-W'!C$3:C$16,MATCH(1,(C88='SYN-W'!A$3:A$16)*(B88='SYN-W'!H$3:H$16),0)),"")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_xlfn.IFNA(INDEX('SYN-W'!C$3:C$16,MATCH(1,(C89='SYN-W'!A$3:A$16)*(B89='SYN-W'!H$3:H$16),0)),"")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_xlfn.IFNA(INDEX('SYN-W'!C$3:C$16,MATCH(1,(C90='SYN-W'!A$3:A$16)*(B90='SYN-W'!H$3:H$16),0)),"")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_xlfn.IFNA(INDEX('SYN-W'!C$3:C$16,MATCH(1,(C91='SYN-W'!A$3:A$16)*(B91='SYN-W'!H$3:H$16),0)),"")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_xlfn.IFNA(INDEX('SYN-W'!C$3:C$16,MATCH(1,(C92='SYN-W'!A$3:A$16)*(B92='SYN-W'!H$3:H$16),0)),"")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_xlfn.IFNA(INDEX('SYN-W'!C$3:C$16,MATCH(1,(C93='SYN-W'!A$3:A$16)*(B93='SYN-W'!H$3:H$16),0)),"")</f>
        <v/>
      </c>
    </row>
    <row r="94" spans="1:4" hidden="1" x14ac:dyDescent="0.2">
      <c r="A94" s="54" t="str">
        <f t="shared" si="3"/>
        <v/>
      </c>
      <c r="B94" s="54" t="s">
        <v>19</v>
      </c>
      <c r="C94" s="54">
        <v>1</v>
      </c>
      <c r="D94" s="39" t="str" cm="1">
        <f t="array" ref="D94">_xlfn.IFNA(INDEX('SYN-W'!C$3:C$16,MATCH(1,(C94='SYN-W'!A$3:A$16)*(B94='SYN-W'!H$3:H$16),0)),"")</f>
        <v/>
      </c>
    </row>
    <row r="95" spans="1:4" hidden="1" x14ac:dyDescent="0.2">
      <c r="A95" s="54" t="str">
        <f t="shared" si="3"/>
        <v/>
      </c>
      <c r="B95" s="54" t="s">
        <v>19</v>
      </c>
      <c r="C95" s="54">
        <v>2</v>
      </c>
      <c r="D95" s="39" t="str" cm="1">
        <f t="array" ref="D95">_xlfn.IFNA(INDEX('SYN-W'!C$3:C$16,MATCH(1,(C95='SYN-W'!A$3:A$16)*(B95='SYN-W'!H$3:H$16),0)),"")</f>
        <v/>
      </c>
    </row>
    <row r="96" spans="1:4" hidden="1" x14ac:dyDescent="0.2">
      <c r="A96" s="54" t="str">
        <f t="shared" si="3"/>
        <v/>
      </c>
      <c r="B96" s="54" t="s">
        <v>19</v>
      </c>
      <c r="C96" s="54">
        <v>3</v>
      </c>
      <c r="D96" s="39" t="str" cm="1">
        <f t="array" ref="D96">_xlfn.IFNA(INDEX('SYN-W'!C$3:C$16,MATCH(1,(C96='SYN-W'!A$3:A$16)*(B96='SYN-W'!H$3:H$16),0)),"")</f>
        <v/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_xlfn.IFNA(INDEX('SYN-W'!C$3:C$16,MATCH(1,(C97='SYN-W'!A$3:A$16)*(B97='SYN-W'!H$3:H$16),0)),"")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_xlfn.IFNA(INDEX('DMT-M'!C$3:C$56,MATCH(1,(C98='DMT-M'!A$3:A$56)*(B98='DMT-M'!G$3:G$56),0)),"")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_xlfn.IFNA(INDEX('DMT-M'!C$3:C$56,MATCH(1,(C99='DMT-M'!A$3:A$56)*(B99='DMT-M'!G$3:G$56),0)),"")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_xlfn.IFNA(INDEX('DMT-M'!C$3:C$56,MATCH(1,(C100='DMT-M'!A$3:A$56)*(B100='DMT-M'!G$3:G$56),0)),"")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_xlfn.IFNA(INDEX('DMT-M'!C$3:C$56,MATCH(1,(C101='DMT-M'!A$3:A$56)*(B101='DMT-M'!G$3:G$56),0)),"")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_xlfn.IFNA(INDEX('DMT-M'!C$3:C$56,MATCH(1,(C102='DMT-M'!A$3:A$56)*(B102='DMT-M'!G$3:G$56),0)),"")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_xlfn.IFNA(INDEX('DMT-M'!C$3:C$56,MATCH(1,(C103='DMT-M'!A$3:A$56)*(B103='DMT-M'!G$3:G$56),0)),"")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_xlfn.IFNA(INDEX('DMT-M'!C$3:C$56,MATCH(1,(C104='DMT-M'!A$3:A$56)*(B104='DMT-M'!G$3:G$56),0)),"")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_xlfn.IFNA(INDEX('DMT-M'!C$3:C$56,MATCH(1,(C105='DMT-M'!A$3:A$56)*(B105='DMT-M'!G$3:G$56),0)),"")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_xlfn.IFNA(INDEX('DMT-M'!C$3:C$56,MATCH(1,(C106='DMT-M'!A$3:A$56)*(B106='DMT-M'!G$3:G$56),0)),"")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_xlfn.IFNA(INDEX('DMT-M'!C$3:C$56,MATCH(1,(C107='DMT-M'!A$3:A$56)*(B107='DMT-M'!G$3:G$56),0)),"")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_xlfn.IFNA(INDEX('DMT-M'!C$3:C$56,MATCH(1,(C108='DMT-M'!A$3:A$56)*(B108='DMT-M'!G$3:G$56),0)),"")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_xlfn.IFNA(INDEX('DMT-M'!C$3:C$56,MATCH(1,(C109='DMT-M'!A$3:A$56)*(B109='DMT-M'!G$3:G$56),0)),"")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_xlfn.IFNA(INDEX('DMT-M'!C$3:C$56,MATCH(1,(C110='DMT-M'!A$3:A$56)*(B110='DMT-M'!G$3:G$56),0)),"")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_xlfn.IFNA(INDEX('DMT-M'!C$3:C$56,MATCH(1,(C111='DMT-M'!A$3:A$56)*(B111='DMT-M'!G$3:G$56),0)),"")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_xlfn.IFNA(INDEX('DMT-M'!C$3:C$56,MATCH(1,(C112='DMT-M'!A$3:A$56)*(B112='DMT-M'!G$3:G$56),0)),"")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_xlfn.IFNA(INDEX('DMT-M'!C$3:C$56,MATCH(1,(C113='DMT-M'!A$3:A$56)*(B113='DMT-M'!G$3:G$56),0)),"")</f>
        <v/>
      </c>
    </row>
    <row r="114" spans="1:4" hidden="1" x14ac:dyDescent="0.2">
      <c r="A114" s="53" t="str">
        <f t="shared" si="4"/>
        <v/>
      </c>
      <c r="B114" s="53" t="s">
        <v>18</v>
      </c>
      <c r="C114" s="53">
        <v>1</v>
      </c>
      <c r="D114" s="38" t="str" cm="1">
        <f t="array" ref="D114">_xlfn.IFNA(INDEX('DMT-M'!C$3:C$56,MATCH(1,(C114='DMT-M'!A$3:A$56)*(B114='DMT-M'!G$3:G$56),0)),"")</f>
        <v/>
      </c>
    </row>
    <row r="115" spans="1:4" hidden="1" x14ac:dyDescent="0.2">
      <c r="A115" s="53" t="str">
        <f t="shared" si="4"/>
        <v/>
      </c>
      <c r="B115" s="53" t="s">
        <v>18</v>
      </c>
      <c r="C115" s="53">
        <v>2</v>
      </c>
      <c r="D115" s="38" t="str" cm="1">
        <f t="array" ref="D115">_xlfn.IFNA(INDEX('DMT-M'!C$3:C$56,MATCH(1,(C115='DMT-M'!A$3:A$56)*(B115='DMT-M'!G$3:G$56),0)),"")</f>
        <v/>
      </c>
    </row>
    <row r="116" spans="1:4" hidden="1" x14ac:dyDescent="0.2">
      <c r="A116" s="53" t="str">
        <f t="shared" si="4"/>
        <v/>
      </c>
      <c r="B116" s="53" t="s">
        <v>18</v>
      </c>
      <c r="C116" s="53">
        <v>3</v>
      </c>
      <c r="D116" s="38" t="str" cm="1">
        <f t="array" ref="D116">_xlfn.IFNA(INDEX('DMT-M'!C$3:C$56,MATCH(1,(C116='DMT-M'!A$3:A$56)*(B116='DMT-M'!G$3:G$56),0)),"")</f>
        <v/>
      </c>
    </row>
    <row r="117" spans="1:4" hidden="1" x14ac:dyDescent="0.2">
      <c r="A117" s="53" t="str">
        <f t="shared" si="4"/>
        <v/>
      </c>
      <c r="B117" s="53" t="s">
        <v>18</v>
      </c>
      <c r="C117" s="53">
        <v>4</v>
      </c>
      <c r="D117" s="38" t="str" cm="1">
        <f t="array" ref="D117">_xlfn.IFNA(INDEX('DMT-M'!C$3:C$56,MATCH(1,(C117='DMT-M'!A$3:A$56)*(B117='DMT-M'!G$3:G$56),0)),"")</f>
        <v/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_xlfn.IFNA(INDEX('DMT-M'!C$3:C$56,MATCH(1,(C118='DMT-M'!A$3:A$56)*(B118='DMT-M'!G$3:G$56),0)),"")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_xlfn.IFNA(INDEX('DMT-M'!C$3:C$56,MATCH(1,(C119='DMT-M'!A$3:A$56)*(B119='DMT-M'!G$3:G$56),0)),"")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_xlfn.IFNA(INDEX('DMT-M'!C$3:C$56,MATCH(1,(C120='DMT-M'!A$3:A$56)*(B120='DMT-M'!G$3:G$56),0)),"")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_xlfn.IFNA(INDEX('DMT-M'!C$3:C$56,MATCH(1,(C121='DMT-M'!A$3:A$56)*(B121='DMT-M'!G$3:G$56),0)),"")</f>
        <v/>
      </c>
    </row>
    <row r="122" spans="1:4" hidden="1" x14ac:dyDescent="0.2">
      <c r="A122" s="53" t="str">
        <f t="shared" si="4"/>
        <v/>
      </c>
      <c r="B122" s="53" t="s">
        <v>19</v>
      </c>
      <c r="C122" s="53">
        <v>1</v>
      </c>
      <c r="D122" s="38" t="str" cm="1">
        <f t="array" ref="D122">_xlfn.IFNA(INDEX('DMT-M'!C$3:C$56,MATCH(1,(C122='DMT-M'!A$3:A$56)*(B122='DMT-M'!G$3:G$56),0)),"")</f>
        <v/>
      </c>
    </row>
    <row r="123" spans="1:4" hidden="1" x14ac:dyDescent="0.2">
      <c r="A123" s="53" t="str">
        <f t="shared" si="4"/>
        <v/>
      </c>
      <c r="B123" s="53" t="s">
        <v>19</v>
      </c>
      <c r="C123" s="53">
        <v>2</v>
      </c>
      <c r="D123" s="38" t="str" cm="1">
        <f t="array" ref="D123">_xlfn.IFNA(INDEX('DMT-M'!C$3:C$56,MATCH(1,(C123='DMT-M'!A$3:A$56)*(B123='DMT-M'!G$3:G$56),0)),"")</f>
        <v/>
      </c>
    </row>
    <row r="124" spans="1:4" hidden="1" x14ac:dyDescent="0.2">
      <c r="A124" s="53" t="str">
        <f t="shared" si="4"/>
        <v/>
      </c>
      <c r="B124" s="53" t="s">
        <v>19</v>
      </c>
      <c r="C124" s="53">
        <v>3</v>
      </c>
      <c r="D124" s="38" t="str" cm="1">
        <f t="array" ref="D124">_xlfn.IFNA(INDEX('DMT-M'!C$3:C$56,MATCH(1,(C124='DMT-M'!A$3:A$56)*(B124='DMT-M'!G$3:G$56),0)),"")</f>
        <v/>
      </c>
    </row>
    <row r="125" spans="1:4" hidden="1" x14ac:dyDescent="0.2">
      <c r="A125" s="53" t="str">
        <f t="shared" si="4"/>
        <v/>
      </c>
      <c r="B125" s="53" t="s">
        <v>19</v>
      </c>
      <c r="C125" s="53">
        <v>4</v>
      </c>
      <c r="D125" s="38" t="str" cm="1">
        <f t="array" ref="D125">_xlfn.IFNA(INDEX('DMT-M'!C$3:C$56,MATCH(1,(C125='DMT-M'!A$3:A$56)*(B125='DMT-M'!G$3:G$56),0)),"")</f>
        <v/>
      </c>
    </row>
    <row r="126" spans="1:4" hidden="1" x14ac:dyDescent="0.2">
      <c r="A126" s="53" t="str">
        <f t="shared" si="4"/>
        <v/>
      </c>
      <c r="B126" s="53" t="s">
        <v>19</v>
      </c>
      <c r="C126" s="53">
        <v>5</v>
      </c>
      <c r="D126" s="38" t="str" cm="1">
        <f t="array" ref="D126">_xlfn.IFNA(INDEX('DMT-M'!C$3:C$56,MATCH(1,(C126='DMT-M'!A$3:A$56)*(B126='DMT-M'!G$3:G$56),0)),"")</f>
        <v/>
      </c>
    </row>
    <row r="127" spans="1:4" hidden="1" x14ac:dyDescent="0.2">
      <c r="A127" s="53" t="str">
        <f t="shared" si="4"/>
        <v/>
      </c>
      <c r="B127" s="53" t="s">
        <v>19</v>
      </c>
      <c r="C127" s="53">
        <v>6</v>
      </c>
      <c r="D127" s="38" t="str" cm="1">
        <f t="array" ref="D127">_xlfn.IFNA(INDEX('DMT-M'!C$3:C$56,MATCH(1,(C127='DMT-M'!A$3:A$56)*(B127='DMT-M'!G$3:G$56),0)),"")</f>
        <v/>
      </c>
    </row>
    <row r="128" spans="1:4" hidden="1" x14ac:dyDescent="0.2">
      <c r="A128" s="53" t="str">
        <f t="shared" si="4"/>
        <v/>
      </c>
      <c r="B128" s="53" t="s">
        <v>19</v>
      </c>
      <c r="C128" s="53">
        <v>7</v>
      </c>
      <c r="D128" s="38" t="str" cm="1">
        <f t="array" ref="D128">_xlfn.IFNA(INDEX('DMT-M'!C$3:C$56,MATCH(1,(C128='DMT-M'!A$3:A$56)*(B128='DMT-M'!G$3:G$56),0)),"")</f>
        <v/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_xlfn.IFNA(INDEX('DMT-M'!C$3:C$56,MATCH(1,(C129='DMT-M'!A$3:A$56)*(B129='DMT-M'!G$3:G$56),0)),"")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_xlfn.IFNA(INDEX('DMT-W'!C$3:C$67,MATCH(1,(C130='DMT-W'!A$3:A$67)*(B130='DMT-W'!G$3:G$67),0)),"")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_xlfn.IFNA(INDEX('DMT-W'!C$3:C$67,MATCH(1,(C131='DMT-W'!A$3:A$67)*(B131='DMT-W'!G$3:G$67),0)),"")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_xlfn.IFNA(INDEX('DMT-W'!C$3:C$67,MATCH(1,(C132='DMT-W'!A$3:A$67)*(B132='DMT-W'!G$3:G$67),0)),"")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_xlfn.IFNA(INDEX('DMT-W'!C$3:C$67,MATCH(1,(C133='DMT-W'!A$3:A$67)*(B133='DMT-W'!G$3:G$67),0)),"")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_xlfn.IFNA(INDEX('DMT-W'!C$3:C$67,MATCH(1,(C134='DMT-W'!A$3:A$67)*(B134='DMT-W'!G$3:G$67),0)),"")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_xlfn.IFNA(INDEX('DMT-W'!C$3:C$67,MATCH(1,(C135='DMT-W'!A$3:A$67)*(B135='DMT-W'!G$3:G$67),0)),"")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_xlfn.IFNA(INDEX('DMT-W'!C$3:C$67,MATCH(1,(C136='DMT-W'!A$3:A$67)*(B136='DMT-W'!G$3:G$67),0)),"")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_xlfn.IFNA(INDEX('DMT-W'!C$3:C$67,MATCH(1,(C137='DMT-W'!A$3:A$67)*(B137='DMT-W'!G$3:G$67),0)),"")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_xlfn.IFNA(INDEX('DMT-W'!C$3:C$67,MATCH(1,(C138='DMT-W'!A$3:A$67)*(B138='DMT-W'!G$3:G$67),0)),"")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_xlfn.IFNA(INDEX('DMT-W'!C$3:C$67,MATCH(1,(C139='DMT-W'!A$3:A$67)*(B139='DMT-W'!G$3:G$67),0)),"")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_xlfn.IFNA(INDEX('DMT-W'!C$3:C$67,MATCH(1,(C140='DMT-W'!A$3:A$67)*(B140='DMT-W'!G$3:G$67),0)),"")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_xlfn.IFNA(INDEX('DMT-W'!C$3:C$67,MATCH(1,(C141='DMT-W'!A$3:A$67)*(B141='DMT-W'!G$3:G$67),0)),"")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_xlfn.IFNA(INDEX('DMT-W'!C$3:C$67,MATCH(1,(C142='DMT-W'!A$3:A$67)*(B142='DMT-W'!G$3:G$67),0)),"")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_xlfn.IFNA(INDEX('DMT-W'!C$3:C$67,MATCH(1,(C143='DMT-W'!A$3:A$67)*(B143='DMT-W'!G$3:G$67),0)),"")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_xlfn.IFNA(INDEX('DMT-W'!C$3:C$67,MATCH(1,(C144='DMT-W'!A$3:A$67)*(B144='DMT-W'!G$3:G$67),0)),"")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_xlfn.IFNA(INDEX('DMT-W'!C$3:C$67,MATCH(1,(C145='DMT-W'!A$3:A$67)*(B145='DMT-W'!G$3:G$67),0)),"")</f>
        <v/>
      </c>
    </row>
    <row r="146" spans="1:4" hidden="1" x14ac:dyDescent="0.2">
      <c r="A146" s="54" t="str">
        <f t="shared" si="5"/>
        <v/>
      </c>
      <c r="B146" s="54" t="s">
        <v>18</v>
      </c>
      <c r="C146" s="54">
        <v>1</v>
      </c>
      <c r="D146" s="39" t="str" cm="1">
        <f t="array" ref="D146">_xlfn.IFNA(INDEX('DMT-W'!C$3:C$67,MATCH(1,(C146='DMT-W'!A$3:A$67)*(B146='DMT-W'!G$3:G$67),0)),"")</f>
        <v/>
      </c>
    </row>
    <row r="147" spans="1:4" hidden="1" x14ac:dyDescent="0.2">
      <c r="A147" s="54" t="str">
        <f t="shared" si="5"/>
        <v/>
      </c>
      <c r="B147" s="54" t="s">
        <v>18</v>
      </c>
      <c r="C147" s="54">
        <v>2</v>
      </c>
      <c r="D147" s="39" t="str" cm="1">
        <f t="array" ref="D147">_xlfn.IFNA(INDEX('DMT-W'!C$3:C$67,MATCH(1,(C147='DMT-W'!A$3:A$67)*(B147='DMT-W'!G$3:G$67),0)),"")</f>
        <v/>
      </c>
    </row>
    <row r="148" spans="1:4" hidden="1" x14ac:dyDescent="0.2">
      <c r="A148" s="54" t="str">
        <f t="shared" si="5"/>
        <v/>
      </c>
      <c r="B148" s="54" t="s">
        <v>18</v>
      </c>
      <c r="C148" s="54">
        <v>3</v>
      </c>
      <c r="D148" s="39" t="str" cm="1">
        <f t="array" ref="D148">_xlfn.IFNA(INDEX('DMT-W'!C$3:C$67,MATCH(1,(C148='DMT-W'!A$3:A$67)*(B148='DMT-W'!G$3:G$67),0)),"")</f>
        <v/>
      </c>
    </row>
    <row r="149" spans="1:4" hidden="1" x14ac:dyDescent="0.2">
      <c r="A149" s="54" t="str">
        <f t="shared" si="5"/>
        <v/>
      </c>
      <c r="B149" s="54" t="s">
        <v>18</v>
      </c>
      <c r="C149" s="54">
        <v>4</v>
      </c>
      <c r="D149" s="39" t="str" cm="1">
        <f t="array" ref="D149">_xlfn.IFNA(INDEX('DMT-W'!C$3:C$67,MATCH(1,(C149='DMT-W'!A$3:A$67)*(B149='DMT-W'!G$3:G$67),0)),"")</f>
        <v/>
      </c>
    </row>
    <row r="150" spans="1:4" hidden="1" x14ac:dyDescent="0.2">
      <c r="A150" s="54" t="str">
        <f t="shared" si="5"/>
        <v/>
      </c>
      <c r="B150" s="54" t="s">
        <v>18</v>
      </c>
      <c r="C150" s="54">
        <v>5</v>
      </c>
      <c r="D150" s="39" t="str" cm="1">
        <f t="array" ref="D150">_xlfn.IFNA(INDEX('DMT-W'!C$3:C$67,MATCH(1,(C150='DMT-W'!A$3:A$67)*(B150='DMT-W'!G$3:G$67),0)),"")</f>
        <v/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_xlfn.IFNA(INDEX('DMT-W'!C$3:C$67,MATCH(1,(C151='DMT-W'!A$3:A$67)*(B151='DMT-W'!G$3:G$67),0)),"")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_xlfn.IFNA(INDEX('DMT-W'!C$3:C$67,MATCH(1,(C152='DMT-W'!A$3:A$67)*(B152='DMT-W'!G$3:G$67),0)),"")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_xlfn.IFNA(INDEX('DMT-W'!C$3:C$67,MATCH(1,(C153='DMT-W'!A$3:A$67)*(B153='DMT-W'!G$3:G$67),0)),"")</f>
        <v/>
      </c>
    </row>
    <row r="154" spans="1:4" hidden="1" x14ac:dyDescent="0.2">
      <c r="A154" s="54" t="str">
        <f t="shared" si="5"/>
        <v/>
      </c>
      <c r="B154" s="54" t="s">
        <v>19</v>
      </c>
      <c r="C154" s="54">
        <v>1</v>
      </c>
      <c r="D154" s="39" t="str" cm="1">
        <f t="array" ref="D154">_xlfn.IFNA(INDEX('DMT-W'!C$3:C$67,MATCH(1,(C154='DMT-W'!A$3:A$67)*(B154='DMT-W'!G$3:G$67),0)),"")</f>
        <v/>
      </c>
    </row>
    <row r="155" spans="1:4" hidden="1" x14ac:dyDescent="0.2">
      <c r="A155" s="54" t="str">
        <f t="shared" si="5"/>
        <v/>
      </c>
      <c r="B155" s="54" t="s">
        <v>19</v>
      </c>
      <c r="C155" s="54">
        <v>2</v>
      </c>
      <c r="D155" s="39" t="str" cm="1">
        <f t="array" ref="D155">_xlfn.IFNA(INDEX('DMT-W'!C$3:C$67,MATCH(1,(C155='DMT-W'!A$3:A$67)*(B155='DMT-W'!G$3:G$67),0)),"")</f>
        <v/>
      </c>
    </row>
    <row r="156" spans="1:4" hidden="1" x14ac:dyDescent="0.2">
      <c r="A156" s="54" t="str">
        <f t="shared" si="5"/>
        <v/>
      </c>
      <c r="B156" s="54" t="s">
        <v>19</v>
      </c>
      <c r="C156" s="54">
        <v>3</v>
      </c>
      <c r="D156" s="39" t="str" cm="1">
        <f t="array" ref="D156">_xlfn.IFNA(INDEX('DMT-W'!C$3:C$67,MATCH(1,(C156='DMT-W'!A$3:A$67)*(B156='DMT-W'!G$3:G$67),0)),"")</f>
        <v/>
      </c>
    </row>
    <row r="157" spans="1:4" hidden="1" x14ac:dyDescent="0.2">
      <c r="A157" s="54" t="str">
        <f t="shared" si="5"/>
        <v/>
      </c>
      <c r="B157" s="54" t="s">
        <v>19</v>
      </c>
      <c r="C157" s="54">
        <v>4</v>
      </c>
      <c r="D157" s="39" t="str" cm="1">
        <f t="array" ref="D157">_xlfn.IFNA(INDEX('DMT-W'!C$3:C$67,MATCH(1,(C157='DMT-W'!A$3:A$67)*(B157='DMT-W'!G$3:G$67),0)),"")</f>
        <v/>
      </c>
    </row>
    <row r="158" spans="1:4" hidden="1" x14ac:dyDescent="0.2">
      <c r="A158" s="54" t="str">
        <f t="shared" si="5"/>
        <v/>
      </c>
      <c r="B158" s="54" t="s">
        <v>19</v>
      </c>
      <c r="C158" s="54">
        <v>5</v>
      </c>
      <c r="D158" s="39" t="str" cm="1">
        <f t="array" ref="D158">_xlfn.IFNA(INDEX('DMT-W'!C$3:C$67,MATCH(1,(C158='DMT-W'!A$3:A$67)*(B158='DMT-W'!G$3:G$67),0)),"")</f>
        <v/>
      </c>
    </row>
    <row r="159" spans="1:4" hidden="1" x14ac:dyDescent="0.2">
      <c r="A159" s="54" t="str">
        <f t="shared" si="5"/>
        <v/>
      </c>
      <c r="B159" s="54" t="s">
        <v>19</v>
      </c>
      <c r="C159" s="54">
        <v>6</v>
      </c>
      <c r="D159" s="39" t="str" cm="1">
        <f t="array" ref="D159">_xlfn.IFNA(INDEX('DMT-W'!C$3:C$67,MATCH(1,(C159='DMT-W'!A$3:A$67)*(B159='DMT-W'!G$3:G$67),0)),"")</f>
        <v/>
      </c>
    </row>
    <row r="160" spans="1:4" hidden="1" x14ac:dyDescent="0.2">
      <c r="A160" s="54" t="str">
        <f t="shared" si="5"/>
        <v/>
      </c>
      <c r="B160" s="54" t="s">
        <v>19</v>
      </c>
      <c r="C160" s="54">
        <v>7</v>
      </c>
      <c r="D160" s="39" t="str" cm="1">
        <f t="array" ref="D160">_xlfn.IFNA(INDEX('DMT-W'!C$3:C$67,MATCH(1,(C160='DMT-W'!A$3:A$67)*(B160='DMT-W'!G$3:G$67),0)),"")</f>
        <v/>
      </c>
    </row>
    <row r="161" spans="1:4" hidden="1" x14ac:dyDescent="0.2">
      <c r="A161" s="54" t="str">
        <f t="shared" si="5"/>
        <v/>
      </c>
      <c r="B161" s="54" t="s">
        <v>19</v>
      </c>
      <c r="C161" s="54">
        <v>8</v>
      </c>
      <c r="D161" s="39" t="str" cm="1">
        <f t="array" ref="D161">_xlfn.IFNA(INDEX('DMT-W'!C$3:C$67,MATCH(1,(C161='DMT-W'!A$3:A$67)*(B161='DMT-W'!G$3:G$67),0)),"")</f>
        <v/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_xlfn.IFNA(INDEX('TUM-M'!C$3:C$26,MATCH(1,(C162='TUM-M'!A$3:A$26)*(B162='TUM-M'!G$3:G$26),0)),"")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_xlfn.IFNA(INDEX('TUM-M'!C$3:C$26,MATCH(1,(C163='TUM-M'!A$3:A$26)*(B163='TUM-M'!G$3:G$26),0)),"")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_xlfn.IFNA(INDEX('TUM-M'!C$3:C$26,MATCH(1,(C164='TUM-M'!A$3:A$26)*(B164='TUM-M'!G$3:G$26),0)),"")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_xlfn.IFNA(INDEX('TUM-M'!C$3:C$26,MATCH(1,(C165='TUM-M'!A$3:A$26)*(B165='TUM-M'!G$3:G$26),0)),"")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_xlfn.IFNA(INDEX('TUM-M'!C$3:C$26,MATCH(1,(C166='TUM-M'!A$3:A$26)*(B166='TUM-M'!G$3:G$26),0)),"")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_xlfn.IFNA(INDEX('TUM-M'!C$3:C$26,MATCH(1,(C167='TUM-M'!A$3:A$26)*(B167='TUM-M'!G$3:G$26),0)),"")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_xlfn.IFNA(INDEX('TUM-M'!C$3:C$26,MATCH(1,(C168='TUM-M'!A$3:A$26)*(B168='TUM-M'!G$3:G$26),0)),"")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_xlfn.IFNA(INDEX('TUM-M'!C$3:C$26,MATCH(1,(C169='TUM-M'!A$3:A$26)*(B169='TUM-M'!G$3:G$26),0)),"")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_xlfn.IFNA(INDEX('TUM-M'!C$3:C$26,MATCH(1,(C170='TUM-M'!A$3:A$26)*(B170='TUM-M'!G$3:G$26),0)),"")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_xlfn.IFNA(INDEX('TUM-M'!C$3:C$26,MATCH(1,(C171='TUM-M'!A$3:A$26)*(B171='TUM-M'!G$3:G$26),0)),"")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_xlfn.IFNA(INDEX('TUM-M'!C$3:C$26,MATCH(1,(C172='TUM-M'!A$3:A$26)*(B172='TUM-M'!G$3:G$26),0)),"")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_xlfn.IFNA(INDEX('TUM-M'!C$3:C$26,MATCH(1,(C173='TUM-M'!A$3:A$26)*(B173='TUM-M'!G$3:G$26),0)),"")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_xlfn.IFNA(INDEX('TUM-M'!C$3:C$26,MATCH(1,(C174='TUM-M'!A$3:A$26)*(B174='TUM-M'!G$3:G$26),0)),"")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_xlfn.IFNA(INDEX('TUM-M'!C$3:C$26,MATCH(1,(C175='TUM-M'!A$3:A$26)*(B175='TUM-M'!G$3:G$26),0)),"")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_xlfn.IFNA(INDEX('TUM-M'!C$3:C$26,MATCH(1,(C176='TUM-M'!A$3:A$26)*(B176='TUM-M'!G$3:G$26),0)),"")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_xlfn.IFNA(INDEX('TUM-M'!C$3:C$26,MATCH(1,(C177='TUM-M'!A$3:A$26)*(B177='TUM-M'!G$3:G$26),0)),"")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_xlfn.IFNA(INDEX('TUM-M'!C$3:C$26,MATCH(1,(C178='TUM-M'!A$3:A$26)*(B178='TUM-M'!G$3:G$26),0)),"")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_xlfn.IFNA(INDEX('TUM-M'!C$3:C$26,MATCH(1,(C179='TUM-M'!A$3:A$26)*(B179='TUM-M'!G$3:G$26),0)),"")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_xlfn.IFNA(INDEX('TUM-M'!C$3:C$26,MATCH(1,(C180='TUM-M'!A$3:A$26)*(B180='TUM-M'!G$3:G$26),0)),"")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_xlfn.IFNA(INDEX('TUM-M'!C$3:C$26,MATCH(1,(C181='TUM-M'!A$3:A$26)*(B181='TUM-M'!G$3:G$26),0)),"")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_xlfn.IFNA(INDEX('TUM-M'!C$3:C$26,MATCH(1,(C182='TUM-M'!A$3:A$26)*(B182='TUM-M'!G$3:G$26),0)),"")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_xlfn.IFNA(INDEX('TUM-M'!C$3:C$26,MATCH(1,(C183='TUM-M'!A$3:A$26)*(B183='TUM-M'!G$3:G$26),0)),"")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_xlfn.IFNA(INDEX('TUM-M'!C$3:C$26,MATCH(1,(C184='TUM-M'!A$3:A$26)*(B184='TUM-M'!G$3:G$26),0)),"")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_xlfn.IFNA(INDEX('TUM-M'!C$3:C$26,MATCH(1,(C185='TUM-M'!A$3:A$26)*(B185='TUM-M'!G$3:G$26),0)),"")</f>
        <v/>
      </c>
    </row>
    <row r="186" spans="1:4" hidden="1" x14ac:dyDescent="0.2">
      <c r="A186" s="53" t="str">
        <f t="shared" si="6"/>
        <v/>
      </c>
      <c r="B186" s="53" t="s">
        <v>19</v>
      </c>
      <c r="C186" s="53">
        <v>1</v>
      </c>
      <c r="D186" s="38" t="str" cm="1">
        <f t="array" ref="D186">_xlfn.IFNA(INDEX('TUM-M'!C$3:C$26,MATCH(1,(C186='TUM-M'!A$3:A$26)*(B186='TUM-M'!G$3:G$26),0)),"")</f>
        <v/>
      </c>
    </row>
    <row r="187" spans="1:4" hidden="1" x14ac:dyDescent="0.2">
      <c r="A187" s="53" t="str">
        <f t="shared" si="6"/>
        <v/>
      </c>
      <c r="B187" s="53" t="s">
        <v>19</v>
      </c>
      <c r="C187" s="53">
        <v>2</v>
      </c>
      <c r="D187" s="38" t="str" cm="1">
        <f t="array" ref="D187">_xlfn.IFNA(INDEX('TUM-M'!C$3:C$26,MATCH(1,(C187='TUM-M'!A$3:A$26)*(B187='TUM-M'!G$3:G$26),0)),"")</f>
        <v/>
      </c>
    </row>
    <row r="188" spans="1:4" hidden="1" x14ac:dyDescent="0.2">
      <c r="A188" s="53" t="str">
        <f t="shared" si="6"/>
        <v/>
      </c>
      <c r="B188" s="53" t="s">
        <v>19</v>
      </c>
      <c r="C188" s="53">
        <v>3</v>
      </c>
      <c r="D188" s="38" t="str" cm="1">
        <f t="array" ref="D188">_xlfn.IFNA(INDEX('TUM-M'!C$3:C$26,MATCH(1,(C188='TUM-M'!A$3:A$26)*(B188='TUM-M'!G$3:G$26),0)),"")</f>
        <v/>
      </c>
    </row>
    <row r="189" spans="1:4" hidden="1" x14ac:dyDescent="0.2">
      <c r="A189" s="53" t="str">
        <f t="shared" si="6"/>
        <v/>
      </c>
      <c r="B189" s="53" t="s">
        <v>19</v>
      </c>
      <c r="C189" s="53">
        <v>4</v>
      </c>
      <c r="D189" s="38" t="str" cm="1">
        <f t="array" ref="D189">_xlfn.IFNA(INDEX('TUM-M'!C$3:C$26,MATCH(1,(C189='TUM-M'!A$3:A$26)*(B189='TUM-M'!G$3:G$26),0)),"")</f>
        <v/>
      </c>
    </row>
    <row r="190" spans="1:4" hidden="1" x14ac:dyDescent="0.2">
      <c r="A190" s="53" t="str">
        <f t="shared" si="6"/>
        <v/>
      </c>
      <c r="B190" s="53" t="s">
        <v>19</v>
      </c>
      <c r="C190" s="53">
        <v>5</v>
      </c>
      <c r="D190" s="38" t="str" cm="1">
        <f t="array" ref="D190">_xlfn.IFNA(INDEX('TUM-M'!C$3:C$26,MATCH(1,(C190='TUM-M'!A$3:A$26)*(B190='TUM-M'!G$3:G$26),0)),"")</f>
        <v/>
      </c>
    </row>
    <row r="191" spans="1:4" hidden="1" x14ac:dyDescent="0.2">
      <c r="A191" s="53" t="str">
        <f t="shared" si="6"/>
        <v/>
      </c>
      <c r="B191" s="53" t="s">
        <v>19</v>
      </c>
      <c r="C191" s="53">
        <v>6</v>
      </c>
      <c r="D191" s="38" t="str" cm="1">
        <f t="array" ref="D191">_xlfn.IFNA(INDEX('TUM-M'!C$3:C$26,MATCH(1,(C191='TUM-M'!A$3:A$26)*(B191='TUM-M'!G$3:G$26),0)),"")</f>
        <v/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_xlfn.IFNA(INDEX('TUM-M'!C$3:C$26,MATCH(1,(C192='TUM-M'!A$3:A$26)*(B192='TUM-M'!G$3:G$26),0)),"")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_xlfn.IFNA(INDEX('TUM-M'!C$3:C$26,MATCH(1,(C193='TUM-M'!A$3:A$26)*(B193='TUM-M'!G$3:G$26),0)),"")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_xlfn.IFNA(INDEX('TUM-W'!C$3:C$54,MATCH(1,(C194='TUM-W'!A$3:A$54)*(B194='TUM-W'!G$3:G$54),0)),"")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_xlfn.IFNA(INDEX('TUM-W'!C$3:C$54,MATCH(1,(C195='TUM-W'!A$3:A$54)*(B195='TUM-W'!G$3:G$54),0)),"")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_xlfn.IFNA(INDEX('TUM-W'!C$3:C$54,MATCH(1,(C196='TUM-W'!A$3:A$54)*(B196='TUM-W'!G$3:G$54),0)),"")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_xlfn.IFNA(INDEX('TUM-W'!C$3:C$54,MATCH(1,(C197='TUM-W'!A$3:A$54)*(B197='TUM-W'!G$3:G$54),0)),"")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_xlfn.IFNA(INDEX('TUM-W'!C$3:C$54,MATCH(1,(C198='TUM-W'!A$3:A$54)*(B198='TUM-W'!G$3:G$54),0)),"")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_xlfn.IFNA(INDEX('TUM-W'!C$3:C$54,MATCH(1,(C199='TUM-W'!A$3:A$54)*(B199='TUM-W'!G$3:G$54),0)),"")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_xlfn.IFNA(INDEX('TUM-W'!C$3:C$54,MATCH(1,(C200='TUM-W'!A$3:A$54)*(B200='TUM-W'!G$3:G$54),0)),"")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_xlfn.IFNA(INDEX('TUM-W'!C$3:C$54,MATCH(1,(C201='TUM-W'!A$3:A$54)*(B201='TUM-W'!G$3:G$54),0)),"")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_xlfn.IFNA(INDEX('TUM-W'!C$3:C$54,MATCH(1,(C202='TUM-W'!A$3:A$54)*(B202='TUM-W'!G$3:G$54),0)),"")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_xlfn.IFNA(INDEX('TUM-W'!C$3:C$54,MATCH(1,(C203='TUM-W'!A$3:A$54)*(B203='TUM-W'!G$3:G$54),0)),"")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_xlfn.IFNA(INDEX('TUM-W'!C$3:C$54,MATCH(1,(C204='TUM-W'!A$3:A$54)*(B204='TUM-W'!G$3:G$54),0)),"")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_xlfn.IFNA(INDEX('TUM-W'!C$3:C$54,MATCH(1,(C205='TUM-W'!A$3:A$54)*(B205='TUM-W'!G$3:G$54),0)),"")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_xlfn.IFNA(INDEX('TUM-W'!C$3:C$54,MATCH(1,(C206='TUM-W'!A$3:A$54)*(B206='TUM-W'!G$3:G$54),0)),"")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_xlfn.IFNA(INDEX('TUM-W'!C$3:C$54,MATCH(1,(C207='TUM-W'!A$3:A$54)*(B207='TUM-W'!G$3:G$54),0)),"")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_xlfn.IFNA(INDEX('TUM-W'!C$3:C$54,MATCH(1,(C208='TUM-W'!A$3:A$54)*(B208='TUM-W'!G$3:G$54),0)),"")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_xlfn.IFNA(INDEX('TUM-W'!C$3:C$54,MATCH(1,(C209='TUM-W'!A$3:A$54)*(B209='TUM-W'!G$3:G$54),0)),"")</f>
        <v/>
      </c>
    </row>
    <row r="210" spans="1:4" hidden="1" x14ac:dyDescent="0.2">
      <c r="A210" s="54" t="str">
        <f t="shared" si="7"/>
        <v/>
      </c>
      <c r="B210" s="54" t="s">
        <v>18</v>
      </c>
      <c r="C210" s="54">
        <v>1</v>
      </c>
      <c r="D210" s="39" t="str" cm="1">
        <f t="array" ref="D210">_xlfn.IFNA(INDEX('TUM-W'!C$3:C$54,MATCH(1,(C210='TUM-W'!A$3:A$54)*(B210='TUM-W'!G$3:G$54),0)),"")</f>
        <v/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_xlfn.IFNA(INDEX('TUM-W'!C$3:C$54,MATCH(1,(C211='TUM-W'!A$3:A$54)*(B211='TUM-W'!G$3:G$54),0)),"")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_xlfn.IFNA(INDEX('TUM-W'!C$3:C$54,MATCH(1,(C212='TUM-W'!A$3:A$54)*(B212='TUM-W'!G$3:G$54),0)),"")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_xlfn.IFNA(INDEX('TUM-W'!C$3:C$54,MATCH(1,(C213='TUM-W'!A$3:A$54)*(B213='TUM-W'!G$3:G$54),0)),"")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_xlfn.IFNA(INDEX('TUM-W'!C$3:C$54,MATCH(1,(C214='TUM-W'!A$3:A$54)*(B214='TUM-W'!G$3:G$54),0)),"")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_xlfn.IFNA(INDEX('TUM-W'!C$3:C$54,MATCH(1,(C215='TUM-W'!A$3:A$54)*(B215='TUM-W'!G$3:G$54),0)),"")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_xlfn.IFNA(INDEX('TUM-W'!C$3:C$54,MATCH(1,(C216='TUM-W'!A$3:A$54)*(B216='TUM-W'!G$3:G$54),0)),"")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_xlfn.IFNA(INDEX('TUM-W'!C$3:C$54,MATCH(1,(C217='TUM-W'!A$3:A$54)*(B217='TUM-W'!G$3:G$54),0)),"")</f>
        <v/>
      </c>
    </row>
    <row r="218" spans="1:4" hidden="1" x14ac:dyDescent="0.2">
      <c r="A218" s="54" t="str">
        <f t="shared" si="7"/>
        <v/>
      </c>
      <c r="B218" s="54" t="s">
        <v>19</v>
      </c>
      <c r="C218" s="54">
        <v>1</v>
      </c>
      <c r="D218" s="39" t="str" cm="1">
        <f t="array" ref="D218">_xlfn.IFNA(INDEX('TUM-W'!C$3:C$54,MATCH(1,(C218='TUM-W'!A$3:A$54)*(B218='TUM-W'!G$3:G$54),0)),"")</f>
        <v/>
      </c>
    </row>
    <row r="219" spans="1:4" hidden="1" x14ac:dyDescent="0.2">
      <c r="A219" s="54" t="str">
        <f t="shared" si="7"/>
        <v/>
      </c>
      <c r="B219" s="54" t="s">
        <v>19</v>
      </c>
      <c r="C219" s="54">
        <v>2</v>
      </c>
      <c r="D219" s="39" t="str" cm="1">
        <f t="array" ref="D219">_xlfn.IFNA(INDEX('TUM-W'!C$3:C$54,MATCH(1,(C219='TUM-W'!A$3:A$54)*(B219='TUM-W'!G$3:G$54),0)),"")</f>
        <v/>
      </c>
    </row>
    <row r="220" spans="1:4" hidden="1" x14ac:dyDescent="0.2">
      <c r="A220" s="54" t="str">
        <f t="shared" si="7"/>
        <v/>
      </c>
      <c r="B220" s="54" t="s">
        <v>19</v>
      </c>
      <c r="C220" s="54">
        <v>3</v>
      </c>
      <c r="D220" s="39" t="str" cm="1">
        <f t="array" ref="D220">_xlfn.IFNA(INDEX('TUM-W'!C$3:C$54,MATCH(1,(C220='TUM-W'!A$3:A$54)*(B220='TUM-W'!G$3:G$54),0)),"")</f>
        <v/>
      </c>
    </row>
    <row r="221" spans="1:4" hidden="1" x14ac:dyDescent="0.2">
      <c r="A221" s="54" t="str">
        <f t="shared" si="7"/>
        <v/>
      </c>
      <c r="B221" s="54" t="s">
        <v>19</v>
      </c>
      <c r="C221" s="54">
        <v>4</v>
      </c>
      <c r="D221" s="39" t="str" cm="1">
        <f t="array" ref="D221">_xlfn.IFNA(INDEX('TUM-W'!C$3:C$54,MATCH(1,(C221='TUM-W'!A$3:A$54)*(B221='TUM-W'!G$3:G$54),0)),"")</f>
        <v/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_xlfn.IFNA(INDEX('TUM-W'!C$3:C$54,MATCH(1,(C222='TUM-W'!A$3:A$54)*(B222='TUM-W'!G$3:G$54),0)),"")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_xlfn.IFNA(INDEX('TUM-W'!C$3:C$54,MATCH(1,(C223='TUM-W'!A$3:A$54)*(B223='TUM-W'!G$3:G$54),0)),"")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_xlfn.IFNA(INDEX('TUM-W'!C$3:C$54,MATCH(1,(C224='TUM-W'!A$3:A$54)*(B224='TUM-W'!G$3:G$54),0)),"")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_xlfn.IFNA(INDEX('TUM-W'!C$3:C$54,MATCH(1,(C225='TUM-W'!A$3:A$54)*(B225='TUM-W'!G$3:G$54),0)),"")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109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45808</v>
      </c>
      <c r="C231" s="62"/>
      <c r="D231" s="62"/>
    </row>
    <row r="232" spans="1:6" x14ac:dyDescent="0.2">
      <c r="A232" s="55"/>
      <c r="B232" s="64" t="s">
        <v>503</v>
      </c>
      <c r="C232" s="64"/>
      <c r="D232" s="64"/>
    </row>
    <row r="233" spans="1:6" x14ac:dyDescent="0.2">
      <c r="B233" s="52"/>
    </row>
    <row r="234" spans="1:6" x14ac:dyDescent="0.2">
      <c r="B234" s="52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2025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85.3</v>
      </c>
      <c r="C4" s="20">
        <v>85.3</v>
      </c>
      <c r="D4" s="20">
        <v>41.3</v>
      </c>
      <c r="E4" s="20">
        <v>41.3</v>
      </c>
      <c r="F4" s="20">
        <v>44.2</v>
      </c>
      <c r="G4" s="20">
        <v>43.5</v>
      </c>
      <c r="H4" s="20">
        <v>39.1</v>
      </c>
      <c r="I4" s="20">
        <v>39.1</v>
      </c>
    </row>
    <row r="5" spans="1:9" x14ac:dyDescent="0.2">
      <c r="A5" s="23" t="s">
        <v>16</v>
      </c>
      <c r="B5" s="24">
        <v>88.9</v>
      </c>
      <c r="C5" s="24">
        <v>84.7</v>
      </c>
      <c r="D5" s="24">
        <v>43.2</v>
      </c>
      <c r="E5" s="24">
        <v>42.3</v>
      </c>
      <c r="F5" s="24">
        <v>45.1</v>
      </c>
      <c r="G5" s="24">
        <v>44.3</v>
      </c>
      <c r="H5" s="24">
        <v>41</v>
      </c>
      <c r="I5" s="24">
        <v>40.6</v>
      </c>
    </row>
    <row r="6" spans="1:9" x14ac:dyDescent="0.2">
      <c r="A6" s="27" t="s">
        <v>18</v>
      </c>
      <c r="B6" s="28">
        <v>90.6</v>
      </c>
      <c r="C6" s="28">
        <v>88.3</v>
      </c>
      <c r="D6" s="28">
        <v>45.2</v>
      </c>
      <c r="E6" s="28">
        <v>43.3</v>
      </c>
      <c r="F6" s="28">
        <v>48.4</v>
      </c>
      <c r="G6" s="28">
        <v>45.2</v>
      </c>
      <c r="H6" s="28">
        <v>43</v>
      </c>
      <c r="I6" s="28">
        <v>41.7</v>
      </c>
    </row>
    <row r="7" spans="1:9" x14ac:dyDescent="0.2">
      <c r="A7" s="17" t="s">
        <v>19</v>
      </c>
      <c r="B7" s="15">
        <v>53</v>
      </c>
      <c r="C7" s="15">
        <v>48.4</v>
      </c>
      <c r="D7" s="15">
        <v>45.2</v>
      </c>
      <c r="E7" s="15">
        <v>43.3</v>
      </c>
      <c r="F7" s="15">
        <v>49.2</v>
      </c>
      <c r="G7" s="15">
        <v>46.4</v>
      </c>
      <c r="H7" s="15">
        <v>44.6</v>
      </c>
      <c r="I7" s="15">
        <v>42.6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8.6</v>
      </c>
      <c r="C10" s="22">
        <v>8.3000000000000007</v>
      </c>
      <c r="D10" s="22">
        <v>7.7</v>
      </c>
      <c r="E10" s="22">
        <v>7.7</v>
      </c>
      <c r="F10" s="22">
        <v>7</v>
      </c>
      <c r="G10" s="22">
        <v>6.3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10.7</v>
      </c>
      <c r="C11" s="26">
        <v>8.9</v>
      </c>
      <c r="D11" s="26">
        <v>8.8000000000000007</v>
      </c>
      <c r="E11" s="26">
        <v>8.3000000000000007</v>
      </c>
      <c r="F11" s="26">
        <v>7.9</v>
      </c>
      <c r="G11" s="26">
        <v>7.1</v>
      </c>
      <c r="H11" s="26">
        <v>7</v>
      </c>
      <c r="I11" s="26">
        <v>6.6</v>
      </c>
    </row>
    <row r="12" spans="1:9" x14ac:dyDescent="0.2">
      <c r="A12" s="29" t="s">
        <v>18</v>
      </c>
      <c r="B12" s="30">
        <v>12.1</v>
      </c>
      <c r="C12" s="30">
        <v>10.1</v>
      </c>
      <c r="D12" s="30">
        <v>11.2</v>
      </c>
      <c r="E12" s="30">
        <v>8.6999999999999993</v>
      </c>
      <c r="F12" s="30">
        <v>11.2</v>
      </c>
      <c r="G12" s="30">
        <v>8</v>
      </c>
      <c r="H12" s="30">
        <v>8.6</v>
      </c>
      <c r="I12" s="30">
        <v>7.3</v>
      </c>
    </row>
    <row r="13" spans="1:9" x14ac:dyDescent="0.2">
      <c r="A13" s="18" t="s">
        <v>19</v>
      </c>
      <c r="B13" s="16">
        <v>14.5</v>
      </c>
      <c r="C13" s="16">
        <v>10.1</v>
      </c>
      <c r="D13" s="16">
        <v>11.5</v>
      </c>
      <c r="E13" s="16">
        <v>8.9</v>
      </c>
      <c r="F13" s="16">
        <v>12.4</v>
      </c>
      <c r="G13" s="16">
        <v>9.6</v>
      </c>
      <c r="H13" s="16">
        <v>10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76"/>
  <sheetViews>
    <sheetView workbookViewId="0"/>
  </sheetViews>
  <sheetFormatPr baseColWidth="10" defaultRowHeight="16" x14ac:dyDescent="0.2"/>
  <cols>
    <col min="1" max="1" width="19.6640625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100</v>
      </c>
      <c r="D1" s="42" t="s">
        <v>106</v>
      </c>
      <c r="E1" s="51" t="s">
        <v>101</v>
      </c>
      <c r="F1" s="42" t="s">
        <v>107</v>
      </c>
      <c r="G1" s="51" t="s">
        <v>102</v>
      </c>
      <c r="H1" s="42" t="s">
        <v>108</v>
      </c>
    </row>
    <row r="2" spans="1:8" ht="17" thickTop="1" x14ac:dyDescent="0.2">
      <c r="A2" s="58" t="s">
        <v>164</v>
      </c>
      <c r="B2" s="44" t="s">
        <v>91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41" si="0">IF(C2&gt;0,RANK(C2,C$2:C$76),"")</f>
        <v/>
      </c>
      <c r="E2" s="43">
        <f>SUMIF('DMT-M'!E:E,A2,'DMT-M'!Q:Q)+SUMIF('DMT-W'!E:E,A2,'DMT-W'!Q:Q)</f>
        <v>0</v>
      </c>
      <c r="F2" s="45" t="str">
        <f t="shared" ref="F2:F41" si="1">IF(E2&gt;0,RANK(E2,E$2:E$76),"")</f>
        <v/>
      </c>
      <c r="G2" s="43">
        <f>SUMIF('TUM-M'!E:E,A2,'TUM-M'!Q:Q)+SUMIF('TUM-W'!E:E,A2,'TUM-W'!Q:Q)</f>
        <v>0</v>
      </c>
      <c r="H2" s="45" t="str">
        <f t="shared" ref="H2:H41" si="2">IF(G2&gt;0,RANK(G2,G$2:G$76),"")</f>
        <v/>
      </c>
    </row>
    <row r="3" spans="1:8" x14ac:dyDescent="0.2">
      <c r="A3" s="59" t="s">
        <v>131</v>
      </c>
      <c r="B3" s="1" t="s">
        <v>92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142</v>
      </c>
      <c r="B4" s="1" t="s">
        <v>90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143</v>
      </c>
      <c r="B5" s="1" t="s">
        <v>92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92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0</v>
      </c>
      <c r="F6" s="47" t="str">
        <f t="shared" si="1"/>
        <v/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65</v>
      </c>
      <c r="B7" s="1" t="s">
        <v>90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156</v>
      </c>
      <c r="B8" s="1" t="s">
        <v>95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506</v>
      </c>
      <c r="B9" s="1" t="s">
        <v>96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ref="D9" si="3">IF(C9&gt;0,RANK(C9,C$2:C$76),"")</f>
        <v/>
      </c>
      <c r="E9" s="46">
        <f>SUMIF('DMT-M'!E:E,A9,'DMT-M'!Q:Q)+SUMIF('DMT-W'!E:E,A9,'DMT-W'!Q:Q)</f>
        <v>0</v>
      </c>
      <c r="F9" s="47" t="str">
        <f t="shared" ref="F9" si="4">IF(E9&gt;0,RANK(E9,E$2:E$76),"")</f>
        <v/>
      </c>
      <c r="G9" s="46">
        <f>SUMIF('TUM-M'!E:E,A9,'TUM-M'!Q:Q)+SUMIF('TUM-W'!E:E,A9,'TUM-W'!Q:Q)</f>
        <v>0</v>
      </c>
      <c r="H9" s="47" t="str">
        <f t="shared" ref="H9" si="5">IF(G9&gt;0,RANK(G9,G$2:G$76),"")</f>
        <v/>
      </c>
    </row>
    <row r="10" spans="1:8" x14ac:dyDescent="0.2">
      <c r="A10" s="59" t="s">
        <v>45</v>
      </c>
      <c r="B10" s="1" t="s">
        <v>90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28</v>
      </c>
      <c r="B11" s="1" t="s">
        <v>92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0</v>
      </c>
      <c r="F11" s="47" t="str">
        <f t="shared" si="1"/>
        <v/>
      </c>
      <c r="G11" s="46">
        <f>SUMIF('TUM-M'!E:E,A11,'TUM-M'!Q:Q)+SUMIF('TUM-W'!E:E,A11,'TUM-W'!Q:Q)</f>
        <v>0</v>
      </c>
      <c r="H11" s="47" t="str">
        <f t="shared" si="2"/>
        <v/>
      </c>
    </row>
    <row r="12" spans="1:8" x14ac:dyDescent="0.2">
      <c r="A12" s="59" t="s">
        <v>79</v>
      </c>
      <c r="B12" s="1" t="s">
        <v>98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507</v>
      </c>
      <c r="B13" s="1" t="s">
        <v>93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ref="D13" si="6">IF(C13&gt;0,RANK(C13,C$2:C$76),"")</f>
        <v/>
      </c>
      <c r="E13" s="46">
        <f>SUMIF('DMT-M'!E:E,A13,'DMT-M'!Q:Q)+SUMIF('DMT-W'!E:E,A13,'DMT-W'!Q:Q)</f>
        <v>0</v>
      </c>
      <c r="F13" s="47" t="str">
        <f t="shared" ref="F13" si="7">IF(E13&gt;0,RANK(E13,E$2:E$76),"")</f>
        <v/>
      </c>
      <c r="G13" s="46">
        <f>SUMIF('TUM-M'!E:E,A13,'TUM-M'!Q:Q)+SUMIF('TUM-W'!E:E,A13,'TUM-W'!Q:Q)</f>
        <v>0</v>
      </c>
      <c r="H13" s="47" t="str">
        <f t="shared" ref="H13" si="8">IF(G13&gt;0,RANK(G13,G$2:G$76),"")</f>
        <v/>
      </c>
    </row>
    <row r="14" spans="1:8" x14ac:dyDescent="0.2">
      <c r="A14" s="59" t="s">
        <v>58</v>
      </c>
      <c r="B14" s="1" t="s">
        <v>91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141</v>
      </c>
      <c r="B15" s="1" t="s">
        <v>98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si="0"/>
        <v/>
      </c>
      <c r="E15" s="46">
        <f>SUMIF('DMT-M'!E:E,A15,'DMT-M'!Q:Q)+SUMIF('DMT-W'!E:E,A15,'DMT-W'!Q:Q)</f>
        <v>0</v>
      </c>
      <c r="F15" s="47" t="str">
        <f t="shared" si="1"/>
        <v/>
      </c>
      <c r="G15" s="46">
        <f>SUMIF('TUM-M'!E:E,A15,'TUM-M'!Q:Q)+SUMIF('TUM-W'!E:E,A15,'TUM-W'!Q:Q)</f>
        <v>0</v>
      </c>
      <c r="H15" s="47" t="str">
        <f t="shared" si="2"/>
        <v/>
      </c>
    </row>
    <row r="16" spans="1:8" x14ac:dyDescent="0.2">
      <c r="A16" s="59" t="s">
        <v>40</v>
      </c>
      <c r="B16" s="1" t="s">
        <v>94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47" t="str">
        <f t="shared" si="0"/>
        <v/>
      </c>
      <c r="E16" s="46">
        <f>SUMIF('DMT-M'!E:E,A16,'DMT-M'!Q:Q)+SUMIF('DMT-W'!E:E,A16,'DMT-W'!Q:Q)</f>
        <v>0</v>
      </c>
      <c r="F16" s="47" t="str">
        <f t="shared" si="1"/>
        <v/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175</v>
      </c>
      <c r="B17" s="1" t="s">
        <v>90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ref="D17" si="9">IF(C17&gt;0,RANK(C17,C$2:C$76),"")</f>
        <v/>
      </c>
      <c r="E17" s="46">
        <f>SUMIF('DMT-M'!E:E,A17,'DMT-M'!Q:Q)+SUMIF('DMT-W'!E:E,A17,'DMT-W'!Q:Q)</f>
        <v>0</v>
      </c>
      <c r="F17" s="47" t="str">
        <f t="shared" ref="F17" si="10">IF(E17&gt;0,RANK(E17,E$2:E$76),"")</f>
        <v/>
      </c>
      <c r="G17" s="46">
        <f>SUMIF('TUM-M'!E:E,A17,'TUM-M'!Q:Q)+SUMIF('TUM-W'!E:E,A17,'TUM-W'!Q:Q)</f>
        <v>0</v>
      </c>
      <c r="H17" s="47" t="str">
        <f t="shared" ref="H17" si="11">IF(G17&gt;0,RANK(G17,G$2:G$76),"")</f>
        <v/>
      </c>
    </row>
    <row r="18" spans="1:19" x14ac:dyDescent="0.2">
      <c r="A18" s="59" t="s">
        <v>3</v>
      </c>
      <c r="B18" s="1" t="s">
        <v>93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47" t="str">
        <f t="shared" si="0"/>
        <v/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0</v>
      </c>
      <c r="H18" s="47" t="str">
        <f t="shared" si="2"/>
        <v/>
      </c>
    </row>
    <row r="19" spans="1:19" x14ac:dyDescent="0.2">
      <c r="A19" s="59" t="s">
        <v>129</v>
      </c>
      <c r="B19" s="1" t="s">
        <v>90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</row>
    <row r="20" spans="1:19" x14ac:dyDescent="0.2">
      <c r="A20" s="59" t="s">
        <v>132</v>
      </c>
      <c r="B20" s="1" t="s">
        <v>93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64</v>
      </c>
      <c r="B21" s="1" t="s">
        <v>92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  <c r="N21" s="1"/>
      <c r="O21" s="1"/>
      <c r="P21" s="1"/>
      <c r="Q21" s="1"/>
      <c r="R21" s="1"/>
      <c r="S21" s="1"/>
    </row>
    <row r="22" spans="1:19" x14ac:dyDescent="0.2">
      <c r="A22" s="59" t="s">
        <v>44</v>
      </c>
      <c r="B22" s="1" t="s">
        <v>94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47" t="str">
        <f t="shared" si="0"/>
        <v/>
      </c>
      <c r="E22" s="46">
        <f>SUMIF('DMT-M'!E:E,A22,'DMT-M'!Q:Q)+SUMIF('DMT-W'!E:E,A22,'DMT-W'!Q:Q)</f>
        <v>0</v>
      </c>
      <c r="F22" s="47" t="str">
        <f t="shared" si="1"/>
        <v/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163</v>
      </c>
      <c r="B23" s="1" t="s">
        <v>97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150</v>
      </c>
      <c r="B24" s="1" t="s">
        <v>90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si="0"/>
        <v/>
      </c>
      <c r="E24" s="46">
        <f>SUMIF('DMT-M'!E:E,A24,'DMT-M'!Q:Q)+SUMIF('DMT-W'!E:E,A24,'DMT-W'!Q:Q)</f>
        <v>0</v>
      </c>
      <c r="F24" s="47" t="str">
        <f t="shared" si="1"/>
        <v/>
      </c>
      <c r="G24" s="46">
        <f>SUMIF('TUM-M'!E:E,A24,'TUM-M'!Q:Q)+SUMIF('TUM-W'!E:E,A24,'TUM-W'!Q:Q)</f>
        <v>0</v>
      </c>
      <c r="H24" s="47" t="str">
        <f t="shared" si="2"/>
        <v/>
      </c>
    </row>
    <row r="25" spans="1:19" x14ac:dyDescent="0.2">
      <c r="A25" s="59" t="s">
        <v>133</v>
      </c>
      <c r="B25" s="1" t="s">
        <v>90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209</v>
      </c>
      <c r="B26" s="1" t="s">
        <v>93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ref="D26" si="12">IF(C26&gt;0,RANK(C26,C$2:C$76),"")</f>
        <v/>
      </c>
      <c r="E26" s="46">
        <f>SUMIF('DMT-M'!E:E,A26,'DMT-M'!Q:Q)+SUMIF('DMT-W'!E:E,A26,'DMT-W'!Q:Q)</f>
        <v>0</v>
      </c>
      <c r="F26" s="47" t="str">
        <f t="shared" ref="F26" si="13">IF(E26&gt;0,RANK(E26,E$2:E$76),"")</f>
        <v/>
      </c>
      <c r="G26" s="46">
        <f>SUMIF('TUM-M'!E:E,A26,'TUM-M'!Q:Q)+SUMIF('TUM-W'!E:E,A26,'TUM-W'!Q:Q)</f>
        <v>0</v>
      </c>
      <c r="H26" s="47" t="str">
        <f t="shared" ref="H26" si="14">IF(G26&gt;0,RANK(G26,G$2:G$76),"")</f>
        <v/>
      </c>
    </row>
    <row r="27" spans="1:19" x14ac:dyDescent="0.2">
      <c r="A27" s="59" t="s">
        <v>99</v>
      </c>
      <c r="B27" s="1" t="s">
        <v>93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287</v>
      </c>
      <c r="B28" s="1" t="s">
        <v>91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ref="D28" si="15">IF(C28&gt;0,RANK(C28,C$2:C$76),"")</f>
        <v/>
      </c>
      <c r="E28" s="46">
        <f>SUMIF('DMT-M'!E:E,A28,'DMT-M'!Q:Q)+SUMIF('DMT-W'!E:E,A28,'DMT-W'!Q:Q)</f>
        <v>0</v>
      </c>
      <c r="F28" s="47" t="str">
        <f t="shared" ref="F28" si="16">IF(E28&gt;0,RANK(E28,E$2:E$76),"")</f>
        <v/>
      </c>
      <c r="G28" s="46">
        <f>SUMIF('TUM-M'!E:E,A28,'TUM-M'!Q:Q)+SUMIF('TUM-W'!E:E,A28,'TUM-W'!Q:Q)</f>
        <v>0</v>
      </c>
      <c r="H28" s="47" t="str">
        <f t="shared" ref="H28" si="17">IF(G28&gt;0,RANK(G28,G$2:G$76),"")</f>
        <v/>
      </c>
    </row>
    <row r="29" spans="1:19" x14ac:dyDescent="0.2">
      <c r="A29" s="59" t="s">
        <v>70</v>
      </c>
      <c r="B29" s="1" t="s">
        <v>93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47" t="str">
        <f t="shared" si="0"/>
        <v/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84</v>
      </c>
      <c r="B30" s="1" t="s">
        <v>90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47" t="str">
        <f t="shared" si="0"/>
        <v/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149</v>
      </c>
      <c r="B31" s="1" t="s">
        <v>94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59</v>
      </c>
      <c r="B32" s="1" t="s">
        <v>94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505</v>
      </c>
      <c r="B33" s="1" t="s">
        <v>90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ref="D33" si="18">IF(C33&gt;0,RANK(C33,C$2:C$76),"")</f>
        <v/>
      </c>
      <c r="E33" s="46">
        <f>SUMIF('DMT-M'!E:E,A33,'DMT-M'!Q:Q)+SUMIF('DMT-W'!E:E,A33,'DMT-W'!Q:Q)</f>
        <v>0</v>
      </c>
      <c r="F33" s="47" t="str">
        <f t="shared" ref="F33" si="19">IF(E33&gt;0,RANK(E33,E$2:E$76),"")</f>
        <v/>
      </c>
      <c r="G33" s="46">
        <f>SUMIF('TUM-M'!E:E,A33,'TUM-M'!Q:Q)+SUMIF('TUM-W'!E:E,A33,'TUM-W'!Q:Q)</f>
        <v>0</v>
      </c>
      <c r="H33" s="47" t="str">
        <f t="shared" ref="H33" si="20">IF(G33&gt;0,RANK(G33,G$2:G$76),"")</f>
        <v/>
      </c>
    </row>
    <row r="34" spans="1:8" x14ac:dyDescent="0.2">
      <c r="A34" s="59" t="s">
        <v>76</v>
      </c>
      <c r="B34" s="1" t="s">
        <v>90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si="0"/>
        <v/>
      </c>
      <c r="E34" s="46">
        <f>SUMIF('DMT-M'!E:E,A34,'DMT-M'!Q:Q)+SUMIF('DMT-W'!E:E,A34,'DMT-W'!Q:Q)</f>
        <v>0</v>
      </c>
      <c r="F34" s="47" t="str">
        <f t="shared" si="1"/>
        <v/>
      </c>
      <c r="G34" s="46">
        <f>SUMIF('TUM-M'!E:E,A34,'TUM-M'!Q:Q)+SUMIF('TUM-W'!E:E,A34,'TUM-W'!Q:Q)</f>
        <v>0</v>
      </c>
      <c r="H34" s="47" t="str">
        <f t="shared" si="2"/>
        <v/>
      </c>
    </row>
    <row r="35" spans="1:8" x14ac:dyDescent="0.2">
      <c r="A35" s="59" t="s">
        <v>46</v>
      </c>
      <c r="B35" s="1" t="s">
        <v>96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si="0"/>
        <v/>
      </c>
      <c r="E35" s="46">
        <f>SUMIF('DMT-M'!E:E,A35,'DMT-M'!Q:Q)+SUMIF('DMT-W'!E:E,A35,'DMT-W'!Q:Q)</f>
        <v>0</v>
      </c>
      <c r="F35" s="47" t="str">
        <f t="shared" si="1"/>
        <v/>
      </c>
      <c r="G35" s="46">
        <f>SUMIF('TUM-M'!E:E,A35,'TUM-M'!Q:Q)+SUMIF('TUM-W'!E:E,A35,'TUM-W'!Q:Q)</f>
        <v>0</v>
      </c>
      <c r="H35" s="47" t="str">
        <f t="shared" si="2"/>
        <v/>
      </c>
    </row>
    <row r="36" spans="1:8" x14ac:dyDescent="0.2">
      <c r="A36" s="59" t="s">
        <v>134</v>
      </c>
      <c r="B36" s="1" t="s">
        <v>93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0"/>
        <v/>
      </c>
      <c r="E36" s="46">
        <f>SUMIF('DMT-M'!E:E,A36,'DMT-M'!Q:Q)+SUMIF('DMT-W'!E:E,A36,'DMT-W'!Q:Q)</f>
        <v>0</v>
      </c>
      <c r="F36" s="47" t="str">
        <f t="shared" si="1"/>
        <v/>
      </c>
      <c r="G36" s="46">
        <f>SUMIF('TUM-M'!E:E,A36,'TUM-M'!Q:Q)+SUMIF('TUM-W'!E:E,A36,'TUM-W'!Q:Q)</f>
        <v>0</v>
      </c>
      <c r="H36" s="47" t="str">
        <f t="shared" si="2"/>
        <v/>
      </c>
    </row>
    <row r="37" spans="1:8" x14ac:dyDescent="0.2">
      <c r="A37" s="59" t="s">
        <v>208</v>
      </c>
      <c r="B37" s="1" t="s">
        <v>93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ref="D37" si="21">IF(C37&gt;0,RANK(C37,C$2:C$76),"")</f>
        <v/>
      </c>
      <c r="E37" s="46">
        <f>SUMIF('DMT-M'!E:E,A37,'DMT-M'!Q:Q)+SUMIF('DMT-W'!E:E,A37,'DMT-W'!Q:Q)</f>
        <v>0</v>
      </c>
      <c r="F37" s="47" t="str">
        <f t="shared" ref="F37" si="22">IF(E37&gt;0,RANK(E37,E$2:E$76),"")</f>
        <v/>
      </c>
      <c r="G37" s="46">
        <f>SUMIF('TUM-M'!E:E,A37,'TUM-M'!Q:Q)+SUMIF('TUM-W'!E:E,A37,'TUM-W'!Q:Q)</f>
        <v>0</v>
      </c>
      <c r="H37" s="47" t="str">
        <f t="shared" ref="H37" si="23">IF(G37&gt;0,RANK(G37,G$2:G$76),"")</f>
        <v/>
      </c>
    </row>
    <row r="38" spans="1:8" x14ac:dyDescent="0.2">
      <c r="A38" s="59" t="s">
        <v>504</v>
      </c>
      <c r="B38" s="1" t="s">
        <v>90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ref="D38" si="24">IF(C38&gt;0,RANK(C38,C$2:C$76),"")</f>
        <v/>
      </c>
      <c r="E38" s="46">
        <f>SUMIF('DMT-M'!E:E,A38,'DMT-M'!Q:Q)+SUMIF('DMT-W'!E:E,A38,'DMT-W'!Q:Q)</f>
        <v>0</v>
      </c>
      <c r="F38" s="47" t="str">
        <f t="shared" ref="F38" si="25">IF(E38&gt;0,RANK(E38,E$2:E$76),"")</f>
        <v/>
      </c>
      <c r="G38" s="46">
        <f>SUMIF('TUM-M'!E:E,A38,'TUM-M'!Q:Q)+SUMIF('TUM-W'!E:E,A38,'TUM-W'!Q:Q)</f>
        <v>0</v>
      </c>
      <c r="H38" s="47" t="str">
        <f t="shared" ref="H38" si="26">IF(G38&gt;0,RANK(G38,G$2:G$76),"")</f>
        <v/>
      </c>
    </row>
    <row r="39" spans="1:8" x14ac:dyDescent="0.2">
      <c r="A39" s="59" t="s">
        <v>67</v>
      </c>
      <c r="B39" s="1" t="s">
        <v>90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si="0"/>
        <v/>
      </c>
      <c r="E39" s="46">
        <f>SUMIF('DMT-M'!E:E,A39,'DMT-M'!Q:Q)+SUMIF('DMT-W'!E:E,A39,'DMT-W'!Q:Q)</f>
        <v>0</v>
      </c>
      <c r="F39" s="47" t="str">
        <f t="shared" si="1"/>
        <v/>
      </c>
      <c r="G39" s="46">
        <f>SUMIF('TUM-M'!E:E,A39,'TUM-M'!Q:Q)+SUMIF('TUM-W'!E:E,A39,'TUM-W'!Q:Q)</f>
        <v>0</v>
      </c>
      <c r="H39" s="47" t="str">
        <f t="shared" si="2"/>
        <v/>
      </c>
    </row>
    <row r="40" spans="1:8" x14ac:dyDescent="0.2">
      <c r="A40" s="59" t="s">
        <v>89</v>
      </c>
      <c r="B40" s="1" t="s">
        <v>90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0"/>
        <v/>
      </c>
      <c r="E40" s="46">
        <f>SUMIF('DMT-M'!E:E,A40,'DMT-M'!Q:Q)+SUMIF('DMT-W'!E:E,A40,'DMT-W'!Q:Q)</f>
        <v>0</v>
      </c>
      <c r="F40" s="47" t="str">
        <f t="shared" si="1"/>
        <v/>
      </c>
      <c r="G40" s="46">
        <f>SUMIF('TUM-M'!E:E,A40,'TUM-M'!Q:Q)+SUMIF('TUM-W'!E:E,A40,'TUM-W'!Q:Q)</f>
        <v>0</v>
      </c>
      <c r="H40" s="47" t="str">
        <f t="shared" si="2"/>
        <v/>
      </c>
    </row>
    <row r="41" spans="1:8" x14ac:dyDescent="0.2">
      <c r="A41" s="59" t="s">
        <v>60</v>
      </c>
      <c r="B41" s="1" t="s">
        <v>94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47" t="str">
        <f t="shared" si="0"/>
        <v/>
      </c>
      <c r="E41" s="46">
        <f>SUMIF('DMT-M'!E:E,A41,'DMT-M'!Q:Q)+SUMIF('DMT-W'!E:E,A41,'DMT-W'!Q:Q)</f>
        <v>0</v>
      </c>
      <c r="F41" s="47" t="str">
        <f t="shared" si="1"/>
        <v/>
      </c>
      <c r="G41" s="46">
        <f>SUMIF('TUM-M'!E:E,A41,'TUM-M'!Q:Q)+SUMIF('TUM-W'!E:E,A41,'TUM-W'!Q:Q)</f>
        <v>0</v>
      </c>
      <c r="H41" s="47" t="str">
        <f t="shared" si="2"/>
        <v/>
      </c>
    </row>
    <row r="42" spans="1:8" x14ac:dyDescent="0.2">
      <c r="A42" s="59" t="s">
        <v>361</v>
      </c>
      <c r="B42" s="1" t="s">
        <v>92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ref="D42" si="27">IF(C42&gt;0,RANK(C42,C$2:C$76),"")</f>
        <v/>
      </c>
      <c r="E42" s="46">
        <f>SUMIF('DMT-M'!E:E,A42,'DMT-M'!Q:Q)+SUMIF('DMT-W'!E:E,A42,'DMT-W'!Q:Q)</f>
        <v>0</v>
      </c>
      <c r="F42" s="47" t="str">
        <f t="shared" ref="F42" si="28">IF(E42&gt;0,RANK(E42,E$2:E$76),"")</f>
        <v/>
      </c>
      <c r="G42" s="46">
        <f>SUMIF('TUM-M'!E:E,A42,'TUM-M'!Q:Q)+SUMIF('TUM-W'!E:E,A42,'TUM-W'!Q:Q)</f>
        <v>0</v>
      </c>
      <c r="H42" s="47"/>
    </row>
    <row r="43" spans="1:8" x14ac:dyDescent="0.2">
      <c r="A43" s="59" t="s">
        <v>152</v>
      </c>
      <c r="B43" s="1" t="s">
        <v>94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ref="D43:D76" si="29">IF(C43&gt;0,RANK(C43,C$2:C$76),"")</f>
        <v/>
      </c>
      <c r="E43" s="46">
        <f>SUMIF('DMT-M'!E:E,A43,'DMT-M'!Q:Q)+SUMIF('DMT-W'!E:E,A43,'DMT-W'!Q:Q)</f>
        <v>0</v>
      </c>
      <c r="F43" s="47" t="str">
        <f t="shared" ref="F43:F76" si="30">IF(E43&gt;0,RANK(E43,E$2:E$76),"")</f>
        <v/>
      </c>
      <c r="G43" s="46">
        <f>SUMIF('TUM-M'!E:E,A43,'TUM-M'!Q:Q)+SUMIF('TUM-W'!E:E,A43,'TUM-W'!Q:Q)</f>
        <v>0</v>
      </c>
      <c r="H43" s="47" t="str">
        <f t="shared" ref="H43:H76" si="31">IF(G43&gt;0,RANK(G43,G$2:G$76),"")</f>
        <v/>
      </c>
    </row>
    <row r="44" spans="1:8" x14ac:dyDescent="0.2">
      <c r="A44" s="59" t="s">
        <v>56</v>
      </c>
      <c r="B44" s="1" t="s">
        <v>92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29"/>
        <v/>
      </c>
      <c r="E44" s="46">
        <f>SUMIF('DMT-M'!E:E,A44,'DMT-M'!Q:Q)+SUMIF('DMT-W'!E:E,A44,'DMT-W'!Q:Q)</f>
        <v>0</v>
      </c>
      <c r="F44" s="47" t="str">
        <f t="shared" si="30"/>
        <v/>
      </c>
      <c r="G44" s="46">
        <f>SUMIF('TUM-M'!E:E,A44,'TUM-M'!Q:Q)+SUMIF('TUM-W'!E:E,A44,'TUM-W'!Q:Q)</f>
        <v>0</v>
      </c>
      <c r="H44" s="47" t="str">
        <f t="shared" si="31"/>
        <v/>
      </c>
    </row>
    <row r="45" spans="1:8" x14ac:dyDescent="0.2">
      <c r="A45" s="59" t="s">
        <v>62</v>
      </c>
      <c r="B45" s="1" t="s">
        <v>92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29"/>
        <v/>
      </c>
      <c r="E45" s="46">
        <f>SUMIF('DMT-M'!E:E,A45,'DMT-M'!Q:Q)+SUMIF('DMT-W'!E:E,A45,'DMT-W'!Q:Q)</f>
        <v>0</v>
      </c>
      <c r="F45" s="47" t="str">
        <f t="shared" si="30"/>
        <v/>
      </c>
      <c r="G45" s="46">
        <f>SUMIF('TUM-M'!E:E,A45,'TUM-M'!Q:Q)+SUMIF('TUM-W'!E:E,A45,'TUM-W'!Q:Q)</f>
        <v>0</v>
      </c>
      <c r="H45" s="47" t="str">
        <f t="shared" si="31"/>
        <v/>
      </c>
    </row>
    <row r="46" spans="1:8" x14ac:dyDescent="0.2">
      <c r="A46" s="59" t="s">
        <v>147</v>
      </c>
      <c r="B46" s="1" t="s">
        <v>94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29"/>
        <v/>
      </c>
      <c r="E46" s="46">
        <f>SUMIF('DMT-M'!E:E,A46,'DMT-M'!Q:Q)+SUMIF('DMT-W'!E:E,A46,'DMT-W'!Q:Q)</f>
        <v>0</v>
      </c>
      <c r="F46" s="47" t="str">
        <f t="shared" si="30"/>
        <v/>
      </c>
      <c r="G46" s="46">
        <f>SUMIF('TUM-M'!E:E,A46,'TUM-M'!Q:Q)+SUMIF('TUM-W'!E:E,A46,'TUM-W'!Q:Q)</f>
        <v>0</v>
      </c>
      <c r="H46" s="47" t="str">
        <f t="shared" si="31"/>
        <v/>
      </c>
    </row>
    <row r="47" spans="1:8" x14ac:dyDescent="0.2">
      <c r="A47" s="59" t="s">
        <v>162</v>
      </c>
      <c r="B47" s="1" t="s">
        <v>90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29"/>
        <v/>
      </c>
      <c r="E47" s="46">
        <f>SUMIF('DMT-M'!E:E,A47,'DMT-M'!Q:Q)+SUMIF('DMT-W'!E:E,A47,'DMT-W'!Q:Q)</f>
        <v>0</v>
      </c>
      <c r="F47" s="47" t="str">
        <f t="shared" si="30"/>
        <v/>
      </c>
      <c r="G47" s="46">
        <f>SUMIF('TUM-M'!E:E,A47,'TUM-M'!Q:Q)+SUMIF('TUM-W'!E:E,A47,'TUM-W'!Q:Q)</f>
        <v>0</v>
      </c>
      <c r="H47" s="47" t="str">
        <f t="shared" si="31"/>
        <v/>
      </c>
    </row>
    <row r="48" spans="1:8" x14ac:dyDescent="0.2">
      <c r="A48" s="59" t="s">
        <v>125</v>
      </c>
      <c r="B48" s="1" t="s">
        <v>93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29"/>
        <v/>
      </c>
      <c r="E48" s="46">
        <f>SUMIF('DMT-M'!E:E,A48,'DMT-M'!Q:Q)+SUMIF('DMT-W'!E:E,A48,'DMT-W'!Q:Q)</f>
        <v>0</v>
      </c>
      <c r="F48" s="47" t="str">
        <f t="shared" si="30"/>
        <v/>
      </c>
      <c r="G48" s="46">
        <f>SUMIF('TUM-M'!E:E,A48,'TUM-M'!Q:Q)+SUMIF('TUM-W'!E:E,A48,'TUM-W'!Q:Q)</f>
        <v>0</v>
      </c>
      <c r="H48" s="47" t="str">
        <f t="shared" si="31"/>
        <v/>
      </c>
    </row>
    <row r="49" spans="1:8" x14ac:dyDescent="0.2">
      <c r="A49" s="59" t="s">
        <v>87</v>
      </c>
      <c r="B49" s="1" t="s">
        <v>90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29"/>
        <v/>
      </c>
      <c r="E49" s="46">
        <f>SUMIF('DMT-M'!E:E,A49,'DMT-M'!Q:Q)+SUMIF('DMT-W'!E:E,A49,'DMT-W'!Q:Q)</f>
        <v>0</v>
      </c>
      <c r="F49" s="47" t="str">
        <f t="shared" si="30"/>
        <v/>
      </c>
      <c r="G49" s="46">
        <f>SUMIF('TUM-M'!E:E,A49,'TUM-M'!Q:Q)+SUMIF('TUM-W'!E:E,A49,'TUM-W'!Q:Q)</f>
        <v>0</v>
      </c>
      <c r="H49" s="47" t="str">
        <f t="shared" si="31"/>
        <v/>
      </c>
    </row>
    <row r="50" spans="1:8" x14ac:dyDescent="0.2">
      <c r="A50" s="59" t="s">
        <v>122</v>
      </c>
      <c r="B50" s="1" t="s">
        <v>94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29"/>
        <v/>
      </c>
      <c r="E50" s="46">
        <f>SUMIF('DMT-M'!E:E,A50,'DMT-M'!Q:Q)+SUMIF('DMT-W'!E:E,A50,'DMT-W'!Q:Q)</f>
        <v>0</v>
      </c>
      <c r="F50" s="47" t="str">
        <f t="shared" si="30"/>
        <v/>
      </c>
      <c r="G50" s="46">
        <f>SUMIF('TUM-M'!E:E,A50,'TUM-M'!Q:Q)+SUMIF('TUM-W'!E:E,A50,'TUM-W'!Q:Q)</f>
        <v>0</v>
      </c>
      <c r="H50" s="47" t="str">
        <f t="shared" si="31"/>
        <v/>
      </c>
    </row>
    <row r="51" spans="1:8" x14ac:dyDescent="0.2">
      <c r="A51" s="59" t="s">
        <v>88</v>
      </c>
      <c r="B51" s="1" t="s">
        <v>90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29"/>
        <v/>
      </c>
      <c r="E51" s="46">
        <f>SUMIF('DMT-M'!E:E,A51,'DMT-M'!Q:Q)+SUMIF('DMT-W'!E:E,A51,'DMT-W'!Q:Q)</f>
        <v>0</v>
      </c>
      <c r="F51" s="47" t="str">
        <f t="shared" si="30"/>
        <v/>
      </c>
      <c r="G51" s="46">
        <f>SUMIF('TUM-M'!E:E,A51,'TUM-M'!Q:Q)+SUMIF('TUM-W'!E:E,A51,'TUM-W'!Q:Q)</f>
        <v>0</v>
      </c>
      <c r="H51" s="47" t="str">
        <f t="shared" si="31"/>
        <v/>
      </c>
    </row>
    <row r="52" spans="1:8" x14ac:dyDescent="0.2">
      <c r="A52" s="59" t="s">
        <v>127</v>
      </c>
      <c r="B52" s="1" t="s">
        <v>95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29"/>
        <v/>
      </c>
      <c r="E52" s="46">
        <f>SUMIF('DMT-M'!E:E,A52,'DMT-M'!Q:Q)+SUMIF('DMT-W'!E:E,A52,'DMT-W'!Q:Q)</f>
        <v>0</v>
      </c>
      <c r="F52" s="47" t="str">
        <f t="shared" si="30"/>
        <v/>
      </c>
      <c r="G52" s="46">
        <f>SUMIF('TUM-M'!E:E,A52,'TUM-M'!Q:Q)+SUMIF('TUM-W'!E:E,A52,'TUM-W'!Q:Q)</f>
        <v>0</v>
      </c>
      <c r="H52" s="47" t="str">
        <f t="shared" si="31"/>
        <v/>
      </c>
    </row>
    <row r="53" spans="1:8" x14ac:dyDescent="0.2">
      <c r="A53" s="59" t="s">
        <v>145</v>
      </c>
      <c r="B53" s="1" t="s">
        <v>90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29"/>
        <v/>
      </c>
      <c r="E53" s="46">
        <f>SUMIF('DMT-M'!E:E,A53,'DMT-M'!Q:Q)+SUMIF('DMT-W'!E:E,A53,'DMT-W'!Q:Q)</f>
        <v>0</v>
      </c>
      <c r="F53" s="47" t="str">
        <f t="shared" si="30"/>
        <v/>
      </c>
      <c r="G53" s="46">
        <f>SUMIF('TUM-M'!E:E,A53,'TUM-M'!Q:Q)+SUMIF('TUM-W'!E:E,A53,'TUM-W'!Q:Q)</f>
        <v>0</v>
      </c>
      <c r="H53" s="47" t="str">
        <f t="shared" si="31"/>
        <v/>
      </c>
    </row>
    <row r="54" spans="1:8" x14ac:dyDescent="0.2">
      <c r="A54" s="59" t="s">
        <v>36</v>
      </c>
      <c r="B54" s="1" t="s">
        <v>94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29"/>
        <v/>
      </c>
      <c r="E54" s="46">
        <f>SUMIF('DMT-M'!E:E,A54,'DMT-M'!Q:Q)+SUMIF('DMT-W'!E:E,A54,'DMT-W'!Q:Q)</f>
        <v>0</v>
      </c>
      <c r="F54" s="47" t="str">
        <f t="shared" si="30"/>
        <v/>
      </c>
      <c r="G54" s="46">
        <f>SUMIF('TUM-M'!E:E,A54,'TUM-M'!Q:Q)+SUMIF('TUM-W'!E:E,A54,'TUM-W'!Q:Q)</f>
        <v>0</v>
      </c>
      <c r="H54" s="47" t="str">
        <f t="shared" si="31"/>
        <v/>
      </c>
    </row>
    <row r="55" spans="1:8" x14ac:dyDescent="0.2">
      <c r="A55" s="59" t="s">
        <v>508</v>
      </c>
      <c r="B55" s="1" t="s">
        <v>93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ref="D55" si="32">IF(C55&gt;0,RANK(C55,C$2:C$76),"")</f>
        <v/>
      </c>
      <c r="E55" s="46">
        <f>SUMIF('DMT-M'!E:E,A55,'DMT-M'!Q:Q)+SUMIF('DMT-W'!E:E,A55,'DMT-W'!Q:Q)</f>
        <v>0</v>
      </c>
      <c r="F55" s="47" t="str">
        <f t="shared" ref="F55" si="33">IF(E55&gt;0,RANK(E55,E$2:E$76),"")</f>
        <v/>
      </c>
      <c r="G55" s="46">
        <f>SUMIF('TUM-M'!E:E,A55,'TUM-M'!Q:Q)+SUMIF('TUM-W'!E:E,A55,'TUM-W'!Q:Q)</f>
        <v>0</v>
      </c>
      <c r="H55" s="47" t="str">
        <f t="shared" ref="H55" si="34">IF(G55&gt;0,RANK(G55,G$2:G$76),"")</f>
        <v/>
      </c>
    </row>
    <row r="56" spans="1:8" x14ac:dyDescent="0.2">
      <c r="A56" s="59" t="s">
        <v>37</v>
      </c>
      <c r="B56" s="1" t="s">
        <v>90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47" t="str">
        <f t="shared" si="29"/>
        <v/>
      </c>
      <c r="E56" s="46">
        <f>SUMIF('DMT-M'!E:E,A56,'DMT-M'!Q:Q)+SUMIF('DMT-W'!E:E,A56,'DMT-W'!Q:Q)</f>
        <v>0</v>
      </c>
      <c r="F56" s="47" t="str">
        <f t="shared" si="30"/>
        <v/>
      </c>
      <c r="G56" s="46">
        <f>SUMIF('TUM-M'!E:E,A56,'TUM-M'!Q:Q)+SUMIF('TUM-W'!E:E,A56,'TUM-W'!Q:Q)</f>
        <v>0</v>
      </c>
      <c r="H56" s="47" t="str">
        <f t="shared" si="31"/>
        <v/>
      </c>
    </row>
    <row r="57" spans="1:8" x14ac:dyDescent="0.2">
      <c r="A57" s="59" t="s">
        <v>123</v>
      </c>
      <c r="B57" s="1" t="s">
        <v>90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29"/>
        <v/>
      </c>
      <c r="E57" s="46">
        <f>SUMIF('DMT-M'!E:E,A57,'DMT-M'!Q:Q)+SUMIF('DMT-W'!E:E,A57,'DMT-W'!Q:Q)</f>
        <v>0</v>
      </c>
      <c r="F57" s="47" t="str">
        <f t="shared" si="30"/>
        <v/>
      </c>
      <c r="G57" s="46">
        <f>SUMIF('TUM-M'!E:E,A57,'TUM-M'!Q:Q)+SUMIF('TUM-W'!E:E,A57,'TUM-W'!Q:Q)</f>
        <v>0</v>
      </c>
      <c r="H57" s="47" t="str">
        <f t="shared" si="31"/>
        <v/>
      </c>
    </row>
    <row r="58" spans="1:8" x14ac:dyDescent="0.2">
      <c r="A58" s="59" t="s">
        <v>130</v>
      </c>
      <c r="B58" s="1" t="s">
        <v>90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29"/>
        <v/>
      </c>
      <c r="E58" s="46">
        <f>SUMIF('DMT-M'!E:E,A58,'DMT-M'!Q:Q)+SUMIF('DMT-W'!E:E,A58,'DMT-W'!Q:Q)</f>
        <v>0</v>
      </c>
      <c r="F58" s="47" t="str">
        <f t="shared" si="30"/>
        <v/>
      </c>
      <c r="G58" s="46">
        <f>SUMIF('TUM-M'!E:E,A58,'TUM-M'!Q:Q)+SUMIF('TUM-W'!E:E,A58,'TUM-W'!Q:Q)</f>
        <v>0</v>
      </c>
      <c r="H58" s="47" t="str">
        <f t="shared" si="31"/>
        <v/>
      </c>
    </row>
    <row r="59" spans="1:8" x14ac:dyDescent="0.2">
      <c r="A59" s="59" t="s">
        <v>173</v>
      </c>
      <c r="B59" s="1" t="s">
        <v>91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si="29"/>
        <v/>
      </c>
      <c r="E59" s="46">
        <f>SUMIF('DMT-M'!E:E,A59,'DMT-M'!Q:Q)+SUMIF('DMT-W'!E:E,A59,'DMT-W'!Q:Q)</f>
        <v>0</v>
      </c>
      <c r="F59" s="47" t="str">
        <f t="shared" si="30"/>
        <v/>
      </c>
      <c r="G59" s="46">
        <f>SUMIF('TUM-M'!E:E,A59,'TUM-M'!Q:Q)+SUMIF('TUM-W'!E:E,A59,'TUM-W'!Q:Q)</f>
        <v>0</v>
      </c>
      <c r="H59" s="47" t="str">
        <f t="shared" si="31"/>
        <v/>
      </c>
    </row>
    <row r="60" spans="1:8" x14ac:dyDescent="0.2">
      <c r="A60" s="59" t="s">
        <v>55</v>
      </c>
      <c r="B60" s="1" t="s">
        <v>94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29"/>
        <v/>
      </c>
      <c r="E60" s="46">
        <f>SUMIF('DMT-M'!E:E,A60,'DMT-M'!Q:Q)+SUMIF('DMT-W'!E:E,A60,'DMT-W'!Q:Q)</f>
        <v>0</v>
      </c>
      <c r="F60" s="47" t="str">
        <f t="shared" si="30"/>
        <v/>
      </c>
      <c r="G60" s="46">
        <f>SUMIF('TUM-M'!E:E,A60,'TUM-M'!Q:Q)+SUMIF('TUM-W'!E:E,A60,'TUM-W'!Q:Q)</f>
        <v>0</v>
      </c>
      <c r="H60" s="47" t="str">
        <f t="shared" si="31"/>
        <v/>
      </c>
    </row>
    <row r="61" spans="1:8" x14ac:dyDescent="0.2">
      <c r="A61" s="59" t="s">
        <v>63</v>
      </c>
      <c r="B61" s="1" t="s">
        <v>97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29"/>
        <v/>
      </c>
      <c r="E61" s="46">
        <f>SUMIF('DMT-M'!E:E,A61,'DMT-M'!Q:Q)+SUMIF('DMT-W'!E:E,A61,'DMT-W'!Q:Q)</f>
        <v>0</v>
      </c>
      <c r="F61" s="47" t="str">
        <f t="shared" si="30"/>
        <v/>
      </c>
      <c r="G61" s="46">
        <f>SUMIF('TUM-M'!E:E,A61,'TUM-M'!Q:Q)+SUMIF('TUM-W'!E:E,A61,'TUM-W'!Q:Q)</f>
        <v>0</v>
      </c>
      <c r="H61" s="47" t="str">
        <f t="shared" si="31"/>
        <v/>
      </c>
    </row>
    <row r="62" spans="1:8" x14ac:dyDescent="0.2">
      <c r="A62" s="59" t="s">
        <v>39</v>
      </c>
      <c r="B62" s="1" t="s">
        <v>92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47" t="str">
        <f t="shared" si="29"/>
        <v/>
      </c>
      <c r="E62" s="46">
        <f>SUMIF('DMT-M'!E:E,A62,'DMT-M'!Q:Q)+SUMIF('DMT-W'!E:E,A62,'DMT-W'!Q:Q)</f>
        <v>0</v>
      </c>
      <c r="F62" s="47" t="str">
        <f t="shared" si="30"/>
        <v/>
      </c>
      <c r="G62" s="46">
        <f>SUMIF('TUM-M'!E:E,A62,'TUM-M'!Q:Q)+SUMIF('TUM-W'!E:E,A62,'TUM-W'!Q:Q)</f>
        <v>0</v>
      </c>
      <c r="H62" s="47" t="str">
        <f t="shared" si="31"/>
        <v/>
      </c>
    </row>
    <row r="63" spans="1:8" x14ac:dyDescent="0.2">
      <c r="A63" s="59" t="s">
        <v>86</v>
      </c>
      <c r="B63" s="1" t="s">
        <v>95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29"/>
        <v/>
      </c>
      <c r="E63" s="46">
        <f>SUMIF('DMT-M'!E:E,A63,'DMT-M'!Q:Q)+SUMIF('DMT-W'!E:E,A63,'DMT-W'!Q:Q)</f>
        <v>0</v>
      </c>
      <c r="F63" s="47" t="str">
        <f t="shared" si="30"/>
        <v/>
      </c>
      <c r="G63" s="46">
        <f>SUMIF('TUM-M'!E:E,A63,'TUM-M'!Q:Q)+SUMIF('TUM-W'!E:E,A63,'TUM-W'!Q:Q)</f>
        <v>0</v>
      </c>
      <c r="H63" s="47" t="str">
        <f t="shared" si="31"/>
        <v/>
      </c>
    </row>
    <row r="64" spans="1:8" x14ac:dyDescent="0.2">
      <c r="A64" s="47" t="s">
        <v>176</v>
      </c>
      <c r="B64" s="1" t="s">
        <v>90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ref="D64" si="35">IF(C64&gt;0,RANK(C64,C$2:C$76),"")</f>
        <v/>
      </c>
      <c r="E64" s="46">
        <f>SUMIF('DMT-M'!E:E,A64,'DMT-M'!Q:Q)+SUMIF('DMT-W'!E:E,A64,'DMT-W'!Q:Q)</f>
        <v>0</v>
      </c>
      <c r="F64" s="47" t="str">
        <f t="shared" ref="F64" si="36">IF(E64&gt;0,RANK(E64,E$2:E$76),"")</f>
        <v/>
      </c>
      <c r="G64" s="46">
        <f>SUMIF('TUM-M'!E:E,A64,'TUM-M'!Q:Q)+SUMIF('TUM-W'!E:E,A64,'TUM-W'!Q:Q)</f>
        <v>0</v>
      </c>
      <c r="H64" s="47" t="str">
        <f t="shared" ref="H64" si="37">IF(G64&gt;0,RANK(G64,G$2:G$76),"")</f>
        <v/>
      </c>
    </row>
    <row r="65" spans="1:8" x14ac:dyDescent="0.2">
      <c r="A65" s="47" t="s">
        <v>57</v>
      </c>
      <c r="B65" s="1" t="s">
        <v>93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47" t="str">
        <f t="shared" si="29"/>
        <v/>
      </c>
      <c r="E65" s="46">
        <f>SUMIF('DMT-M'!E:E,A65,'DMT-M'!Q:Q)+SUMIF('DMT-W'!E:E,A65,'DMT-W'!Q:Q)</f>
        <v>0</v>
      </c>
      <c r="F65" s="47" t="str">
        <f t="shared" si="30"/>
        <v/>
      </c>
      <c r="G65" s="46">
        <f>SUMIF('TUM-M'!E:E,A65,'TUM-M'!Q:Q)+SUMIF('TUM-W'!E:E,A65,'TUM-W'!Q:Q)</f>
        <v>0</v>
      </c>
      <c r="H65" s="47" t="str">
        <f t="shared" si="31"/>
        <v/>
      </c>
    </row>
    <row r="66" spans="1:8" x14ac:dyDescent="0.2">
      <c r="A66" s="47" t="s">
        <v>135</v>
      </c>
      <c r="B66" s="1" t="s">
        <v>90</v>
      </c>
      <c r="C66" s="46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47" t="str">
        <f t="shared" si="29"/>
        <v/>
      </c>
      <c r="E66" s="46">
        <f>SUMIF('DMT-M'!E:E,A66,'DMT-M'!Q:Q)+SUMIF('DMT-W'!E:E,A66,'DMT-W'!Q:Q)</f>
        <v>0</v>
      </c>
      <c r="F66" s="47" t="str">
        <f t="shared" si="30"/>
        <v/>
      </c>
      <c r="G66" s="46">
        <f>SUMIF('TUM-M'!E:E,A66,'TUM-M'!Q:Q)+SUMIF('TUM-W'!E:E,A66,'TUM-W'!Q:Q)</f>
        <v>0</v>
      </c>
      <c r="H66" s="47" t="str">
        <f t="shared" si="31"/>
        <v/>
      </c>
    </row>
    <row r="67" spans="1:8" x14ac:dyDescent="0.2">
      <c r="A67" s="47" t="s">
        <v>151</v>
      </c>
      <c r="B67" s="1" t="s">
        <v>90</v>
      </c>
      <c r="C67" s="46">
        <f>SUMIF('TRA-M'!E:E,A67,'TRA-M'!Q:Q)+SUMIF('TRA-W'!E:E,A67,'TRA-W'!Q:Q)+SUMIF('SYN-M'!E:E,A67,'SYN-M'!R:R)/2+SUMIF('SYN-W'!E:E,A67,'SYN-W'!R:R)/2+SUMIF('SYN-M'!F:F,A67,'SYN-M'!R:R)/2+SUMIF('SYN-W'!F:F,A67,'SYN-W'!R:R)/2</f>
        <v>0</v>
      </c>
      <c r="D67" s="47" t="str">
        <f t="shared" si="29"/>
        <v/>
      </c>
      <c r="E67" s="46">
        <f>SUMIF('DMT-M'!E:E,A67,'DMT-M'!Q:Q)+SUMIF('DMT-W'!E:E,A67,'DMT-W'!Q:Q)</f>
        <v>0</v>
      </c>
      <c r="F67" s="47" t="str">
        <f t="shared" si="30"/>
        <v/>
      </c>
      <c r="G67" s="46">
        <f>SUMIF('TUM-M'!E:E,A67,'TUM-M'!Q:Q)+SUMIF('TUM-W'!E:E,A67,'TUM-W'!Q:Q)</f>
        <v>0</v>
      </c>
      <c r="H67" s="47" t="str">
        <f t="shared" si="31"/>
        <v/>
      </c>
    </row>
    <row r="68" spans="1:8" x14ac:dyDescent="0.2">
      <c r="A68" s="47" t="s">
        <v>124</v>
      </c>
      <c r="B68" s="1" t="s">
        <v>93</v>
      </c>
      <c r="C68" s="46">
        <f>SUMIF('TRA-M'!E:E,A68,'TRA-M'!Q:Q)+SUMIF('TRA-W'!E:E,A68,'TRA-W'!Q:Q)+SUMIF('SYN-M'!E:E,A68,'SYN-M'!R:R)/2+SUMIF('SYN-W'!E:E,A68,'SYN-W'!R:R)/2+SUMIF('SYN-M'!F:F,A68,'SYN-M'!R:R)/2+SUMIF('SYN-W'!F:F,A68,'SYN-W'!R:R)/2</f>
        <v>0</v>
      </c>
      <c r="D68" s="47" t="str">
        <f t="shared" si="29"/>
        <v/>
      </c>
      <c r="E68" s="46">
        <f>SUMIF('DMT-M'!E:E,A68,'DMT-M'!Q:Q)+SUMIF('DMT-W'!E:E,A68,'DMT-W'!Q:Q)</f>
        <v>0</v>
      </c>
      <c r="F68" s="47" t="str">
        <f t="shared" si="30"/>
        <v/>
      </c>
      <c r="G68" s="46">
        <f>SUMIF('TUM-M'!E:E,A68,'TUM-M'!Q:Q)+SUMIF('TUM-W'!E:E,A68,'TUM-W'!Q:Q)</f>
        <v>0</v>
      </c>
      <c r="H68" s="47" t="str">
        <f t="shared" si="31"/>
        <v/>
      </c>
    </row>
    <row r="69" spans="1:8" x14ac:dyDescent="0.2">
      <c r="A69" s="47" t="s">
        <v>126</v>
      </c>
      <c r="B69" s="1" t="s">
        <v>90</v>
      </c>
      <c r="C69" s="46">
        <f>SUMIF('TRA-M'!E:E,A69,'TRA-M'!Q:Q)+SUMIF('TRA-W'!E:E,A69,'TRA-W'!Q:Q)+SUMIF('SYN-M'!E:E,A69,'SYN-M'!R:R)/2+SUMIF('SYN-W'!E:E,A69,'SYN-W'!R:R)/2+SUMIF('SYN-M'!F:F,A69,'SYN-M'!R:R)/2+SUMIF('SYN-W'!F:F,A69,'SYN-W'!R:R)/2</f>
        <v>0</v>
      </c>
      <c r="D69" s="47" t="str">
        <f t="shared" si="29"/>
        <v/>
      </c>
      <c r="E69" s="46">
        <f>SUMIF('DMT-M'!E:E,A69,'DMT-M'!Q:Q)+SUMIF('DMT-W'!E:E,A69,'DMT-W'!Q:Q)</f>
        <v>0</v>
      </c>
      <c r="F69" s="47" t="str">
        <f t="shared" si="30"/>
        <v/>
      </c>
      <c r="G69" s="46">
        <f>SUMIF('TUM-M'!E:E,A69,'TUM-M'!Q:Q)+SUMIF('TUM-W'!E:E,A69,'TUM-W'!Q:Q)</f>
        <v>0</v>
      </c>
      <c r="H69" s="47" t="str">
        <f t="shared" si="31"/>
        <v/>
      </c>
    </row>
    <row r="70" spans="1:8" x14ac:dyDescent="0.2">
      <c r="A70" s="47" t="s">
        <v>75</v>
      </c>
      <c r="B70" s="1" t="s">
        <v>93</v>
      </c>
      <c r="C70" s="46">
        <f>SUMIF('TRA-M'!E:E,A70,'TRA-M'!Q:Q)+SUMIF('TRA-W'!E:E,A70,'TRA-W'!Q:Q)+SUMIF('SYN-M'!E:E,A70,'SYN-M'!R:R)/2+SUMIF('SYN-W'!E:E,A70,'SYN-W'!R:R)/2+SUMIF('SYN-M'!F:F,A70,'SYN-M'!R:R)/2+SUMIF('SYN-W'!F:F,A70,'SYN-W'!R:R)/2</f>
        <v>0</v>
      </c>
      <c r="D70" s="47" t="str">
        <f t="shared" si="29"/>
        <v/>
      </c>
      <c r="E70" s="46">
        <f>SUMIF('DMT-M'!E:E,A70,'DMT-M'!Q:Q)+SUMIF('DMT-W'!E:E,A70,'DMT-W'!Q:Q)</f>
        <v>0</v>
      </c>
      <c r="F70" s="47" t="str">
        <f t="shared" si="30"/>
        <v/>
      </c>
      <c r="G70" s="46">
        <f>SUMIF('TUM-M'!E:E,A70,'TUM-M'!Q:Q)+SUMIF('TUM-W'!E:E,A70,'TUM-W'!Q:Q)</f>
        <v>0</v>
      </c>
      <c r="H70" s="47" t="str">
        <f t="shared" si="31"/>
        <v/>
      </c>
    </row>
    <row r="71" spans="1:8" x14ac:dyDescent="0.2">
      <c r="A71" s="47" t="s">
        <v>66</v>
      </c>
      <c r="B71" s="1" t="s">
        <v>94</v>
      </c>
      <c r="C71" s="46">
        <f>SUMIF('TRA-M'!E:E,A71,'TRA-M'!Q:Q)+SUMIF('TRA-W'!E:E,A71,'TRA-W'!Q:Q)+SUMIF('SYN-M'!E:E,A71,'SYN-M'!R:R)/2+SUMIF('SYN-W'!E:E,A71,'SYN-W'!R:R)/2+SUMIF('SYN-M'!F:F,A71,'SYN-M'!R:R)/2+SUMIF('SYN-W'!F:F,A71,'SYN-W'!R:R)/2</f>
        <v>0</v>
      </c>
      <c r="D71" s="47" t="str">
        <f t="shared" si="29"/>
        <v/>
      </c>
      <c r="E71" s="46">
        <f>SUMIF('DMT-M'!E:E,A71,'DMT-M'!Q:Q)+SUMIF('DMT-W'!E:E,A71,'DMT-W'!Q:Q)</f>
        <v>0</v>
      </c>
      <c r="F71" s="47" t="str">
        <f t="shared" si="30"/>
        <v/>
      </c>
      <c r="G71" s="46">
        <f>SUMIF('TUM-M'!E:E,A71,'TUM-M'!Q:Q)+SUMIF('TUM-W'!E:E,A71,'TUM-W'!Q:Q)</f>
        <v>0</v>
      </c>
      <c r="H71" s="47" t="str">
        <f t="shared" si="31"/>
        <v/>
      </c>
    </row>
    <row r="72" spans="1:8" x14ac:dyDescent="0.2">
      <c r="A72" s="47" t="s">
        <v>72</v>
      </c>
      <c r="B72" s="1" t="s">
        <v>93</v>
      </c>
      <c r="C72" s="46">
        <f>SUMIF('TRA-M'!E:E,A72,'TRA-M'!Q:Q)+SUMIF('TRA-W'!E:E,A72,'TRA-W'!Q:Q)+SUMIF('SYN-M'!E:E,A72,'SYN-M'!R:R)/2+SUMIF('SYN-W'!E:E,A72,'SYN-W'!R:R)/2+SUMIF('SYN-M'!F:F,A72,'SYN-M'!R:R)/2+SUMIF('SYN-W'!F:F,A72,'SYN-W'!R:R)/2</f>
        <v>0</v>
      </c>
      <c r="D72" s="47" t="str">
        <f t="shared" si="29"/>
        <v/>
      </c>
      <c r="E72" s="46">
        <f>SUMIF('DMT-M'!E:E,A72,'DMT-M'!Q:Q)+SUMIF('DMT-W'!E:E,A72,'DMT-W'!Q:Q)</f>
        <v>0</v>
      </c>
      <c r="F72" s="47" t="str">
        <f t="shared" si="30"/>
        <v/>
      </c>
      <c r="G72" s="46">
        <f>SUMIF('TUM-M'!E:E,A72,'TUM-M'!Q:Q)+SUMIF('TUM-W'!E:E,A72,'TUM-W'!Q:Q)</f>
        <v>0</v>
      </c>
      <c r="H72" s="47" t="str">
        <f t="shared" si="31"/>
        <v/>
      </c>
    </row>
    <row r="73" spans="1:8" x14ac:dyDescent="0.2">
      <c r="A73" s="47" t="s">
        <v>144</v>
      </c>
      <c r="B73" s="1" t="s">
        <v>92</v>
      </c>
      <c r="C73" s="46">
        <f>SUMIF('TRA-M'!E:E,A73,'TRA-M'!Q:Q)+SUMIF('TRA-W'!E:E,A73,'TRA-W'!Q:Q)+SUMIF('SYN-M'!E:E,A73,'SYN-M'!R:R)/2+SUMIF('SYN-W'!E:E,A73,'SYN-W'!R:R)/2+SUMIF('SYN-M'!F:F,A73,'SYN-M'!R:R)/2+SUMIF('SYN-W'!F:F,A73,'SYN-W'!R:R)/2</f>
        <v>0</v>
      </c>
      <c r="D73" s="47" t="str">
        <f t="shared" si="29"/>
        <v/>
      </c>
      <c r="E73" s="46">
        <f>SUMIF('DMT-M'!E:E,A73,'DMT-M'!Q:Q)+SUMIF('DMT-W'!E:E,A73,'DMT-W'!Q:Q)</f>
        <v>0</v>
      </c>
      <c r="F73" s="47" t="str">
        <f t="shared" si="30"/>
        <v/>
      </c>
      <c r="G73" s="46">
        <f>SUMIF('TUM-M'!E:E,A73,'TUM-M'!Q:Q)+SUMIF('TUM-W'!E:E,A73,'TUM-W'!Q:Q)</f>
        <v>0</v>
      </c>
      <c r="H73" s="47" t="str">
        <f t="shared" si="31"/>
        <v/>
      </c>
    </row>
    <row r="74" spans="1:8" x14ac:dyDescent="0.2">
      <c r="A74" s="47" t="s">
        <v>128</v>
      </c>
      <c r="B74" s="1" t="s">
        <v>94</v>
      </c>
      <c r="C74" s="46">
        <f>SUMIF('TRA-M'!E:E,A74,'TRA-M'!Q:Q)+SUMIF('TRA-W'!E:E,A74,'TRA-W'!Q:Q)+SUMIF('SYN-M'!E:E,A74,'SYN-M'!R:R)/2+SUMIF('SYN-W'!E:E,A74,'SYN-W'!R:R)/2+SUMIF('SYN-M'!F:F,A74,'SYN-M'!R:R)/2+SUMIF('SYN-W'!F:F,A74,'SYN-W'!R:R)/2</f>
        <v>0</v>
      </c>
      <c r="D74" s="47" t="str">
        <f t="shared" si="29"/>
        <v/>
      </c>
      <c r="E74" s="46">
        <f>SUMIF('DMT-M'!E:E,A74,'DMT-M'!Q:Q)+SUMIF('DMT-W'!E:E,A74,'DMT-W'!Q:Q)</f>
        <v>0</v>
      </c>
      <c r="F74" s="47" t="str">
        <f t="shared" si="30"/>
        <v/>
      </c>
      <c r="G74" s="46">
        <f>SUMIF('TUM-M'!E:E,A74,'TUM-M'!Q:Q)+SUMIF('TUM-W'!E:E,A74,'TUM-W'!Q:Q)</f>
        <v>0</v>
      </c>
      <c r="H74" s="47" t="str">
        <f t="shared" si="31"/>
        <v/>
      </c>
    </row>
    <row r="75" spans="1:8" x14ac:dyDescent="0.2">
      <c r="A75" s="47" t="s">
        <v>326</v>
      </c>
      <c r="B75" s="1" t="s">
        <v>93</v>
      </c>
      <c r="C75" s="46">
        <f>SUMIF('TRA-M'!E:E,A75,'TRA-M'!Q:Q)+SUMIF('TRA-W'!E:E,A75,'TRA-W'!Q:Q)+SUMIF('SYN-M'!E:E,A75,'SYN-M'!R:R)/2+SUMIF('SYN-W'!E:E,A75,'SYN-W'!R:R)/2+SUMIF('SYN-M'!F:F,A75,'SYN-M'!R:R)/2+SUMIF('SYN-W'!F:F,A75,'SYN-W'!R:R)/2</f>
        <v>0</v>
      </c>
      <c r="D75" s="47" t="str">
        <f t="shared" ref="D75" si="38">IF(C75&gt;0,RANK(C75,C$2:C$76),"")</f>
        <v/>
      </c>
      <c r="E75" s="46">
        <f>SUMIF('DMT-M'!E:E,A75,'DMT-M'!Q:Q)+SUMIF('DMT-W'!E:E,A75,'DMT-W'!Q:Q)</f>
        <v>0</v>
      </c>
      <c r="F75" s="47" t="str">
        <f t="shared" ref="F75" si="39">IF(E75&gt;0,RANK(E75,E$2:E$76),"")</f>
        <v/>
      </c>
      <c r="G75" s="46">
        <f>SUMIF('TUM-M'!E:E,A75,'TUM-M'!Q:Q)+SUMIF('TUM-W'!E:E,A75,'TUM-W'!Q:Q)</f>
        <v>0</v>
      </c>
      <c r="H75" s="47" t="str">
        <f t="shared" ref="H75" si="40">IF(G75&gt;0,RANK(G75,G$2:G$76),"")</f>
        <v/>
      </c>
    </row>
    <row r="76" spans="1:8" x14ac:dyDescent="0.2">
      <c r="A76" s="50" t="s">
        <v>174</v>
      </c>
      <c r="B76" s="49" t="s">
        <v>93</v>
      </c>
      <c r="C76" s="48">
        <f>SUMIF('TRA-M'!E:E,A76,'TRA-M'!Q:Q)+SUMIF('TRA-W'!E:E,A76,'TRA-W'!Q:Q)+SUMIF('SYN-M'!E:E,A76,'SYN-M'!R:R)/2+SUMIF('SYN-W'!E:E,A76,'SYN-W'!R:R)/2+SUMIF('SYN-M'!F:F,A76,'SYN-M'!R:R)/2+SUMIF('SYN-W'!F:F,A76,'SYN-W'!R:R)/2</f>
        <v>0</v>
      </c>
      <c r="D76" s="50" t="str">
        <f t="shared" si="29"/>
        <v/>
      </c>
      <c r="E76" s="48">
        <f>SUMIF('DMT-M'!E:E,A76,'DMT-M'!Q:Q)+SUMIF('DMT-W'!E:E,A76,'DMT-W'!Q:Q)</f>
        <v>0</v>
      </c>
      <c r="F76" s="50" t="str">
        <f t="shared" si="30"/>
        <v/>
      </c>
      <c r="G76" s="48">
        <f>SUMIF('TUM-M'!E:E,A76,'TUM-M'!Q:Q)+SUMIF('TUM-W'!E:E,A76,'TUM-W'!Q:Q)</f>
        <v>0</v>
      </c>
      <c r="H76" s="50" t="str">
        <f t="shared" si="31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H1:H1048576 F1:F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91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6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138</v>
      </c>
      <c r="S1" s="66" t="s">
        <v>137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$91&lt;&gt;"")*(G$3:G$91=G3)*(J$3:J$91&gt;J3)*(I$3:I$91="P"))+1,IF(O3&lt;&gt;"",SUMPRODUCT((O$3:O$91&lt;&gt;"")*(P$3:P$91="")*(G$3:G$91=G3)*(J$3:J$91&gt;J3)*(I$3:I$91="P"))+SUMPRODUCT((P$3:P$91&lt;&gt;"")*(G$3:G$91=G3)*(I$3:I$91="P"))+1,IF(N3&lt;&gt;"",SUMPRODUCT((N$3:N$91&lt;&gt;"")*(G$3:G$91=G3)*(J$3:J$91&gt;J3)*(I$3:I$91="P"))+1,IF(M3="P",SUMPRODUCT((O$3:O$91&lt;&gt;"")*(P$3:P$91="")*(G$3:G$91=G3)*(I$3:I$91="P"))+SUMPRODUCT((P$3:P$91&lt;&gt;"")*(G$3:G$91=G3)*(I$3:I$91="P"))+SUMPRODUCT((N$3:N$91&lt;&gt;"")*(G$3:G$91=G3)*(I$3:I$91="P"))+SUMPRODUCT((P$3:P$91="")*(O$3:O$91="")*(N$3:N$91="")*(M$3:M$91="P")*(G$3:G$91=G3)*(J$3:J$91&gt;J3)*(I$3:I$91="P"))+IF(H3="L5",SUMPRODUCT((P$3:P$91="")*(O$3:O$91="")*(N$3:N$91="")*(M$3:M$91="P")*(G$3:G$91=G3)*(J$3:J$91&lt;J3)*(H$3:H$91&lt;&gt;H3)*(I$3:I$91="P")),-1*SUMPRODUCT((P$3:P$91="")*(O$3:O$91="")*(N$3:N$91="")*(M$3:M$91="P")*(G$3:G$91=G3)*(J$3:J$91&gt;J3)*(H$3:H$91="L5")*(I$3:I$91="P")))+1,"")))))</f>
        <v/>
      </c>
      <c r="B3" s="1" cm="1">
        <f t="array" ref="B3">IF(P3&lt;&gt;"",SUMPRODUCT((P$3:P$91&lt;&gt;"")*(G$3:G$91=G3)*(J$3:J$91&gt;J3))+1,IF(O3&lt;&gt;"",SUMPRODUCT((O$3:O$91&lt;&gt;"")*(P$3:P$91="")*(G$3:G$91=G3)*(J$3:J$91&gt;J3))+SUMPRODUCT((P$3:P$91&lt;&gt;"")*(G$3:G$91=G3))+1,IF(N3&lt;&gt;"",SUMPRODUCT((N$3:N$91&lt;&gt;"")*(G$3:G$91=G3)*(J$3:J$91&gt;J3))+1,IF(M3="P",SUMPRODUCT((O$3:O$91&lt;&gt;"")*(P$3:P$91="")*(G$3:G$91=G3))+SUMPRODUCT((P$3:P$91&lt;&gt;"")*(G$3:G$91=G3))+SUMPRODUCT((N$3:N$91&lt;&gt;"")*(G$3:G$91=G3))+SUMPRODUCT((P$3:P$91="")*(O$3:O$91="")*(N$3:N$91="")*(M$3:M$91="P")*(G$3:G$91=G3)*(J$3:J$91&gt;J3))+IF(H3="L5",SUMPRODUCT((P$3:P$91="")*(O$3:O$91="")*(N$3:N$91="")*(M$3:M$91="P")*(G$3:G$91=G3)*(J$3:J$91&lt;J3)*(H$3:H$91&lt;&gt;H3)),-1*SUMPRODUCT((P$3:P$91="")*(O$3:O$91="")*(N$3:N$91="")*(M$3:M$91="P")*(G$3:G$91=G3)*(J$3:J$91&gt;J3)*(H$3:H$91="L5")))+1,""))))</f>
        <v>1</v>
      </c>
      <c r="C3" s="35" t="s">
        <v>85</v>
      </c>
      <c r="D3" t="str">
        <f>IF(E3="","",VLOOKUP(E3,'Coaching Points'!A:B,2,0))</f>
        <v>QC</v>
      </c>
      <c r="E3" s="35" t="s">
        <v>3</v>
      </c>
      <c r="F3" s="34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R3+S3+IF(OR(H3="Junior",H3="Senior"),0.0002,IF(OR(H3="L7",H3="L6"),0.0001,0))+IF(G3="17-21",MAX(AA3,AC3,AF3),AE3)*0.0000001</f>
        <v>110.62020560300002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4</v>
      </c>
      <c r="Q3" s="1" t="str">
        <f>IF(A3&lt;5,IF(_xlfn.MAXIFS(A:A,G:G,G3)&gt;3,5-A3,_xlfn.MAXIFS(A:A,G:G,G3)+1-A3),"")</f>
        <v/>
      </c>
      <c r="R3" s="4">
        <f>IF(G3="17-21",MAX(T3,V3,Y3,AA3,AC3,AF3),MAX(X3,AE3))</f>
        <v>56.03</v>
      </c>
      <c r="S3" s="4">
        <f>IF(G3="17-21",LARGE(CHOOSE({1,2,3,4,5,6},T3,V3,Y3,AA3,AC3,AF3),2),IF(R3=X3,MAX(Y3,AA3,AC3,AF3),IF(R3=AE3,MAX(AF3,T3,V3,Y3),0)))</f>
        <v>54.59</v>
      </c>
      <c r="T3" s="32">
        <v>48.71</v>
      </c>
      <c r="U3" s="37">
        <v>14.2</v>
      </c>
      <c r="V3" s="33">
        <v>51.99</v>
      </c>
      <c r="W3" s="37">
        <v>15.1</v>
      </c>
      <c r="X3" s="4">
        <f>IF(H3="Senior",MAX(T3,V3),T3+V3)</f>
        <v>51.99</v>
      </c>
      <c r="Y3" s="33">
        <v>54.59</v>
      </c>
      <c r="Z3" s="37">
        <v>14.7</v>
      </c>
      <c r="AA3" s="32">
        <v>56.03</v>
      </c>
      <c r="AB3" s="37">
        <v>15.9</v>
      </c>
      <c r="AC3" s="33">
        <v>23.73</v>
      </c>
      <c r="AD3" s="37">
        <v>6.9</v>
      </c>
      <c r="AE3" s="4">
        <f>IF(H3="Senior",MAX(AA3,AC3),AA3+AC3)</f>
        <v>56.03</v>
      </c>
      <c r="AF3" s="33">
        <v>53.34</v>
      </c>
      <c r="AG3" s="37">
        <v>13.9</v>
      </c>
    </row>
    <row r="4" spans="1:34" x14ac:dyDescent="0.2">
      <c r="A4" s="1" t="str" cm="1">
        <f t="array" ref="A4">IF(I4="","",IF(P4&lt;&gt;"",SUMPRODUCT((P$3:P$91&lt;&gt;"")*(G$3:G$91=G4)*(J$3:J$91&gt;J4)*(I$3:I$91="P"))+1,IF(O4&lt;&gt;"",SUMPRODUCT((O$3:O$91&lt;&gt;"")*(P$3:P$91="")*(G$3:G$91=G4)*(J$3:J$91&gt;J4)*(I$3:I$91="P"))+SUMPRODUCT((P$3:P$91&lt;&gt;"")*(G$3:G$91=G4)*(I$3:I$91="P"))+1,IF(N4&lt;&gt;"",SUMPRODUCT((N$3:N$91&lt;&gt;"")*(G$3:G$91=G4)*(J$3:J$91&gt;J4)*(I$3:I$91="P"))+1,IF(M4="P",SUMPRODUCT((O$3:O$91&lt;&gt;"")*(P$3:P$91="")*(G$3:G$91=G4)*(I$3:I$91="P"))+SUMPRODUCT((P$3:P$91&lt;&gt;"")*(G$3:G$91=G4)*(I$3:I$91="P"))+SUMPRODUCT((N$3:N$91&lt;&gt;"")*(G$3:G$91=G4)*(I$3:I$91="P"))+SUMPRODUCT((P$3:P$91="")*(O$3:O$91="")*(N$3:N$91="")*(M$3:M$91="P")*(G$3:G$91=G4)*(J$3:J$91&gt;J4)*(I$3:I$91="P"))+IF(H4="L5",SUMPRODUCT((P$3:P$91="")*(O$3:O$91="")*(N$3:N$91="")*(M$3:M$91="P")*(G$3:G$91=G4)*(J$3:J$91&lt;J4)*(H$3:H$91&lt;&gt;H4)*(I$3:I$91="P")),-1*SUMPRODUCT((P$3:P$91="")*(O$3:O$91="")*(N$3:N$91="")*(M$3:M$91="P")*(G$3:G$91=G4)*(J$3:J$91&gt;J4)*(H$3:H$91="L5")*(I$3:I$91="P")))+1,"")))))</f>
        <v/>
      </c>
      <c r="B4" s="1" cm="1">
        <f t="array" ref="B4">IF(P4&lt;&gt;"",SUMPRODUCT((P$3:P$91&lt;&gt;"")*(G$3:G$91=G4)*(J$3:J$91&gt;J4))+1,IF(O4&lt;&gt;"",SUMPRODUCT((O$3:O$91&lt;&gt;"")*(P$3:P$91="")*(G$3:G$91=G4)*(J$3:J$91&gt;J4))+SUMPRODUCT((P$3:P$91&lt;&gt;"")*(G$3:G$91=G4))+1,IF(N4&lt;&gt;"",SUMPRODUCT((N$3:N$91&lt;&gt;"")*(G$3:G$91=G4)*(J$3:J$91&gt;J4))+1,IF(M4="P",SUMPRODUCT((O$3:O$91&lt;&gt;"")*(P$3:P$91="")*(G$3:G$91=G4))+SUMPRODUCT((P$3:P$91&lt;&gt;"")*(G$3:G$91=G4))+SUMPRODUCT((N$3:N$91&lt;&gt;"")*(G$3:G$91=G4))+SUMPRODUCT((P$3:P$91="")*(O$3:O$91="")*(N$3:N$91="")*(M$3:M$91="P")*(G$3:G$91=G4)*(J$3:J$91&gt;J4))+IF(H4="L5",SUMPRODUCT((P$3:P$91="")*(O$3:O$91="")*(N$3:N$91="")*(M$3:M$91="P")*(G$3:G$91=G4)*(J$3:J$91&lt;J4)*(H$3:H$91&lt;&gt;H4)),-1*SUMPRODUCT((P$3:P$91="")*(O$3:O$91="")*(N$3:N$91="")*(M$3:M$91="P")*(G$3:G$91=G4)*(J$3:J$91&gt;J4)*(H$3:H$91="L5")))+1,""))))</f>
        <v>2</v>
      </c>
      <c r="C4" s="35" t="s">
        <v>69</v>
      </c>
      <c r="D4" t="str">
        <f>IF(E4="","",VLOOKUP(E4,'Coaching Points'!A:B,2,0))</f>
        <v>QC</v>
      </c>
      <c r="E4" s="35" t="s">
        <v>70</v>
      </c>
      <c r="F4" s="34">
        <v>2008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R4+S4+IF(OR(H4="Junior",H4="Senior"),0.0002,IF(OR(H4="L7",H4="L6"),0.0001,0))+IF(G4="17-21",MAX(AA4,AC4,AF4),AE4)*0.0000001</f>
        <v>110.15020555800001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P4" s="36">
        <v>7</v>
      </c>
      <c r="Q4" s="1" t="str">
        <f>IF(A4&lt;5,IF(_xlfn.MAXIFS(A:A,G:G,G4)&gt;3,5-A4,_xlfn.MAXIFS(A:A,G:G,G4)+1-A4),"")</f>
        <v/>
      </c>
      <c r="R4" s="4">
        <f>IF(G4="17-21",MAX(T4,V4,Y4,AA4,AC4,AF4),MAX(X4,AE4))</f>
        <v>55.58</v>
      </c>
      <c r="S4" s="4">
        <f>IF(G4="17-21",LARGE(CHOOSE({1,2,3,4,5,6},T4,V4,Y4,AA4,AC4,AF4),2),IF(R4=X4,MAX(Y4,AA4,AC4,AF4),IF(R4=AE4,MAX(AF4,T4,V4,Y4),0)))</f>
        <v>54.57</v>
      </c>
      <c r="T4" s="32">
        <v>50.71</v>
      </c>
      <c r="U4" s="37">
        <v>13.4</v>
      </c>
      <c r="V4" s="33">
        <v>17.73</v>
      </c>
      <c r="W4" s="37">
        <v>5</v>
      </c>
      <c r="X4" s="4">
        <f>IF(H4="Senior",MAX(T4,V4),T4+V4)</f>
        <v>50.71</v>
      </c>
      <c r="Y4" s="33">
        <v>28.98</v>
      </c>
      <c r="Z4" s="37">
        <v>6.9</v>
      </c>
      <c r="AA4" s="32">
        <v>22.78</v>
      </c>
      <c r="AB4" s="37">
        <v>6.9</v>
      </c>
      <c r="AC4" s="33">
        <v>55.58</v>
      </c>
      <c r="AD4" s="37">
        <v>15.9</v>
      </c>
      <c r="AE4" s="4">
        <f>IF(H4="Senior",MAX(AA4,AC4),AA4+AC4)</f>
        <v>55.58</v>
      </c>
      <c r="AF4" s="33">
        <v>54.57</v>
      </c>
      <c r="AG4" s="37">
        <v>14.9</v>
      </c>
    </row>
    <row r="5" spans="1:34" x14ac:dyDescent="0.2">
      <c r="A5" s="1" t="str" cm="1">
        <f t="array" ref="A5">IF(I5="","",IF(P5&lt;&gt;"",SUMPRODUCT((P$3:P$91&lt;&gt;"")*(G$3:G$91=G5)*(J$3:J$91&gt;J5)*(I$3:I$91="P"))+1,IF(O5&lt;&gt;"",SUMPRODUCT((O$3:O$91&lt;&gt;"")*(P$3:P$91="")*(G$3:G$91=G5)*(J$3:J$91&gt;J5)*(I$3:I$91="P"))+SUMPRODUCT((P$3:P$91&lt;&gt;"")*(G$3:G$91=G5)*(I$3:I$91="P"))+1,IF(N5&lt;&gt;"",SUMPRODUCT((N$3:N$91&lt;&gt;"")*(G$3:G$91=G5)*(J$3:J$91&gt;J5)*(I$3:I$91="P"))+1,IF(M5="P",SUMPRODUCT((O$3:O$91&lt;&gt;"")*(P$3:P$91="")*(G$3:G$91=G5)*(I$3:I$91="P"))+SUMPRODUCT((P$3:P$91&lt;&gt;"")*(G$3:G$91=G5)*(I$3:I$91="P"))+SUMPRODUCT((N$3:N$91&lt;&gt;"")*(G$3:G$91=G5)*(I$3:I$91="P"))+SUMPRODUCT((P$3:P$91="")*(O$3:O$91="")*(N$3:N$91="")*(M$3:M$91="P")*(G$3:G$91=G5)*(J$3:J$91&gt;J5)*(I$3:I$91="P"))+IF(H5="L5",SUMPRODUCT((P$3:P$91="")*(O$3:O$91="")*(N$3:N$91="")*(M$3:M$91="P")*(G$3:G$91=G5)*(J$3:J$91&lt;J5)*(H$3:H$91&lt;&gt;H5)*(I$3:I$91="P")),-1*SUMPRODUCT((P$3:P$91="")*(O$3:O$91="")*(N$3:N$91="")*(M$3:M$91="P")*(G$3:G$91=G5)*(J$3:J$91&gt;J5)*(H$3:H$91="L5")*(I$3:I$91="P")))+1,"")))))</f>
        <v/>
      </c>
      <c r="B5" s="1" cm="1">
        <f t="array" ref="B5">IF(P5&lt;&gt;"",SUMPRODUCT((P$3:P$91&lt;&gt;"")*(G$3:G$91=G5)*(J$3:J$91&gt;J5))+1,IF(O5&lt;&gt;"",SUMPRODUCT((O$3:O$91&lt;&gt;"")*(P$3:P$91="")*(G$3:G$91=G5)*(J$3:J$91&gt;J5))+SUMPRODUCT((P$3:P$91&lt;&gt;"")*(G$3:G$91=G5))+1,IF(N5&lt;&gt;"",SUMPRODUCT((N$3:N$91&lt;&gt;"")*(G$3:G$91=G5)*(J$3:J$91&gt;J5))+1,IF(M5="P",SUMPRODUCT((O$3:O$91&lt;&gt;"")*(P$3:P$91="")*(G$3:G$91=G5))+SUMPRODUCT((P$3:P$91&lt;&gt;"")*(G$3:G$91=G5))+SUMPRODUCT((N$3:N$91&lt;&gt;"")*(G$3:G$91=G5))+SUMPRODUCT((P$3:P$91="")*(O$3:O$91="")*(N$3:N$91="")*(M$3:M$91="P")*(G$3:G$91=G5)*(J$3:J$91&gt;J5))+IF(H5="L5",SUMPRODUCT((P$3:P$91="")*(O$3:O$91="")*(N$3:N$91="")*(M$3:M$91="P")*(G$3:G$91=G5)*(J$3:J$91&lt;J5)*(H$3:H$91&lt;&gt;H5)),-1*SUMPRODUCT((P$3:P$91="")*(O$3:O$91="")*(N$3:N$91="")*(M$3:M$91="P")*(G$3:G$91=G5)*(J$3:J$91&gt;J5)*(H$3:H$91="L5")))+1,""))))</f>
        <v>3</v>
      </c>
      <c r="C5" s="35" t="s">
        <v>77</v>
      </c>
      <c r="D5" t="str">
        <f>IF(E5="","",VLOOKUP(E5,'Coaching Points'!A:B,2,0))</f>
        <v>QC</v>
      </c>
      <c r="E5" s="35" t="s">
        <v>72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R5+S5+IF(OR(H5="Junior",H5="Senior"),0.0002,IF(OR(H5="L7",H5="L6"),0.0001,0))+IF(G5="17-21",MAX(AA5,AC5,AF5),AE5)*0.0000001</f>
        <v>90.730205029999993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/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/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/>
      </c>
      <c r="P5" s="36">
        <v>5</v>
      </c>
      <c r="Q5" s="1" t="str">
        <f>IF(A5&lt;5,IF(_xlfn.MAXIFS(A:A,G:G,G5)&gt;3,5-A5,_xlfn.MAXIFS(A:A,G:G,G5)+1-A5),"")</f>
        <v/>
      </c>
      <c r="R5" s="4">
        <f>IF(G5="17-21",MAX(T5,V5,Y5,AA5,AC5,AF5),MAX(X5,AE5))</f>
        <v>50.3</v>
      </c>
      <c r="S5" s="4">
        <f>IF(G5="17-21",LARGE(CHOOSE({1,2,3,4,5,6},T5,V5,Y5,AA5,AC5,AF5),2),IF(R5=X5,MAX(Y5,AA5,AC5,AF5),IF(R5=AE5,MAX(AF5,T5,V5,Y5),0)))</f>
        <v>40.43</v>
      </c>
      <c r="T5" s="32">
        <v>6.32</v>
      </c>
      <c r="U5" s="37">
        <v>2</v>
      </c>
      <c r="V5" s="33">
        <v>35.85</v>
      </c>
      <c r="W5" s="37">
        <v>9</v>
      </c>
      <c r="X5" s="4">
        <f>IF(H5="Senior",MAX(T5,V5),T5+V5)</f>
        <v>35.85</v>
      </c>
      <c r="Y5" s="33"/>
      <c r="Z5" s="37"/>
      <c r="AA5" s="32">
        <v>40.43</v>
      </c>
      <c r="AB5" s="37">
        <v>11</v>
      </c>
      <c r="AC5" s="33">
        <v>50.3</v>
      </c>
      <c r="AD5" s="37">
        <v>13.8</v>
      </c>
      <c r="AE5" s="4">
        <f>IF(H5="Senior",MAX(AA5,AC5),AA5+AC5)</f>
        <v>50.3</v>
      </c>
      <c r="AF5" s="33"/>
      <c r="AG5" s="37"/>
    </row>
    <row r="6" spans="1:34" x14ac:dyDescent="0.2">
      <c r="A6" s="1" t="str" cm="1">
        <f t="array" ref="A6">IF(I6="","",IF(P6&lt;&gt;"",SUMPRODUCT((P$3:P$91&lt;&gt;"")*(G$3:G$91=G6)*(J$3:J$91&gt;J6)*(I$3:I$91="P"))+1,IF(O6&lt;&gt;"",SUMPRODUCT((O$3:O$91&lt;&gt;"")*(P$3:P$91="")*(G$3:G$91=G6)*(J$3:J$91&gt;J6)*(I$3:I$91="P"))+SUMPRODUCT((P$3:P$91&lt;&gt;"")*(G$3:G$91=G6)*(I$3:I$91="P"))+1,IF(N6&lt;&gt;"",SUMPRODUCT((N$3:N$91&lt;&gt;"")*(G$3:G$91=G6)*(J$3:J$91&gt;J6)*(I$3:I$91="P"))+1,IF(M6="P",SUMPRODUCT((O$3:O$91&lt;&gt;"")*(P$3:P$91="")*(G$3:G$91=G6)*(I$3:I$91="P"))+SUMPRODUCT((P$3:P$91&lt;&gt;"")*(G$3:G$91=G6)*(I$3:I$91="P"))+SUMPRODUCT((N$3:N$91&lt;&gt;"")*(G$3:G$91=G6)*(I$3:I$91="P"))+SUMPRODUCT((P$3:P$91="")*(O$3:O$91="")*(N$3:N$91="")*(M$3:M$91="P")*(G$3:G$91=G6)*(J$3:J$91&gt;J6)*(I$3:I$91="P"))+IF(H6="L5",SUMPRODUCT((P$3:P$91="")*(O$3:O$91="")*(N$3:N$91="")*(M$3:M$91="P")*(G$3:G$91=G6)*(J$3:J$91&lt;J6)*(H$3:H$91&lt;&gt;H6)*(I$3:I$91="P")),-1*SUMPRODUCT((P$3:P$91="")*(O$3:O$91="")*(N$3:N$91="")*(M$3:M$91="P")*(G$3:G$91=G6)*(J$3:J$91&gt;J6)*(H$3:H$91="L5")*(I$3:I$91="P")))+1,"")))))</f>
        <v/>
      </c>
      <c r="B6" s="1" cm="1">
        <f t="array" ref="B6">IF(P6&lt;&gt;"",SUMPRODUCT((P$3:P$91&lt;&gt;"")*(G$3:G$91=G6)*(J$3:J$91&gt;J6))+1,IF(O6&lt;&gt;"",SUMPRODUCT((O$3:O$91&lt;&gt;"")*(P$3:P$91="")*(G$3:G$91=G6)*(J$3:J$91&gt;J6))+SUMPRODUCT((P$3:P$91&lt;&gt;"")*(G$3:G$91=G6))+1,IF(N6&lt;&gt;"",SUMPRODUCT((N$3:N$91&lt;&gt;"")*(G$3:G$91=G6)*(J$3:J$91&gt;J6))+1,IF(M6="P",SUMPRODUCT((O$3:O$91&lt;&gt;"")*(P$3:P$91="")*(G$3:G$91=G6))+SUMPRODUCT((P$3:P$91&lt;&gt;"")*(G$3:G$91=G6))+SUMPRODUCT((N$3:N$91&lt;&gt;"")*(G$3:G$91=G6))+SUMPRODUCT((P$3:P$91="")*(O$3:O$91="")*(N$3:N$91="")*(M$3:M$91="P")*(G$3:G$91=G6)*(J$3:J$91&gt;J6))+IF(H6="L5",SUMPRODUCT((P$3:P$91="")*(O$3:O$91="")*(N$3:N$91="")*(M$3:M$91="P")*(G$3:G$91=G6)*(J$3:J$91&lt;J6)*(H$3:H$91&lt;&gt;H6)),-1*SUMPRODUCT((P$3:P$91="")*(O$3:O$91="")*(N$3:N$91="")*(M$3:M$91="P")*(G$3:G$91=G6)*(J$3:J$91&gt;J6)*(H$3:H$91="L5")))+1,""))))</f>
        <v>4</v>
      </c>
      <c r="C6" s="35" t="s">
        <v>110</v>
      </c>
      <c r="D6" t="str">
        <f>IF(E6="","",VLOOKUP(E6,'Coaching Points'!A:B,2,0))</f>
        <v>AB</v>
      </c>
      <c r="E6" s="35" t="s">
        <v>39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R6+S6+IF(OR(H6="Junior",H6="Senior"),0.0002,IF(OR(H6="L7",H6="L6"),0.0001,0))+IF(G6="17-21",MAX(AA6,AC6,AF6),AE6)*0.0000001</f>
        <v>111.43020560200002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1</v>
      </c>
      <c r="Q6" s="1" t="str">
        <f>IF(A6&lt;5,IF(_xlfn.MAXIFS(A:A,G:G,G6)&gt;3,5-A6,_xlfn.MAXIFS(A:A,G:G,G6)+1-A6),"")</f>
        <v/>
      </c>
      <c r="R6" s="4">
        <f>IF(G6="17-21",MAX(T6,V6,Y6,AA6,AC6,AF6),MAX(X6,AE6))</f>
        <v>56.02</v>
      </c>
      <c r="S6" s="4">
        <f>IF(G6="17-21",LARGE(CHOOSE({1,2,3,4,5,6},T6,V6,Y6,AA6,AC6,AF6),2),IF(R6=X6,MAX(Y6,AA6,AC6,AF6),IF(R6=AE6,MAX(AF6,T6,V6,Y6),0)))</f>
        <v>55.41</v>
      </c>
      <c r="T6" s="32">
        <v>55.41</v>
      </c>
      <c r="U6" s="37">
        <v>14.4</v>
      </c>
      <c r="V6" s="33">
        <v>6.27</v>
      </c>
      <c r="W6" s="37">
        <v>2</v>
      </c>
      <c r="X6" s="4">
        <f>IF(H6="Senior",MAX(T6,V6),T6+V6)</f>
        <v>55.41</v>
      </c>
      <c r="Y6" s="33">
        <v>27.1</v>
      </c>
      <c r="Z6" s="37">
        <v>7.6</v>
      </c>
      <c r="AA6" s="32">
        <v>44.97</v>
      </c>
      <c r="AB6" s="37">
        <v>12.3</v>
      </c>
      <c r="AC6" s="33">
        <v>56.02</v>
      </c>
      <c r="AD6" s="37">
        <v>15.5</v>
      </c>
      <c r="AE6" s="4">
        <f>IF(H6="Senior",MAX(AA6,AC6),AA6+AC6)</f>
        <v>56.02</v>
      </c>
      <c r="AF6" s="33">
        <v>12.35</v>
      </c>
      <c r="AG6" s="37">
        <v>3.5</v>
      </c>
    </row>
    <row r="7" spans="1:34" x14ac:dyDescent="0.2">
      <c r="A7" s="1" t="str" cm="1">
        <f t="array" ref="A7">IF(I7="","",IF(P7&lt;&gt;"",SUMPRODUCT((P$3:P$91&lt;&gt;"")*(G$3:G$91=G7)*(J$3:J$91&gt;J7)*(I$3:I$91="P"))+1,IF(O7&lt;&gt;"",SUMPRODUCT((O$3:O$91&lt;&gt;"")*(P$3:P$91="")*(G$3:G$91=G7)*(J$3:J$91&gt;J7)*(I$3:I$91="P"))+SUMPRODUCT((P$3:P$91&lt;&gt;"")*(G$3:G$91=G7)*(I$3:I$91="P"))+1,IF(N7&lt;&gt;"",SUMPRODUCT((N$3:N$91&lt;&gt;"")*(G$3:G$91=G7)*(J$3:J$91&gt;J7)*(I$3:I$91="P"))+1,IF(M7="P",SUMPRODUCT((O$3:O$91&lt;&gt;"")*(P$3:P$91="")*(G$3:G$91=G7)*(I$3:I$91="P"))+SUMPRODUCT((P$3:P$91&lt;&gt;"")*(G$3:G$91=G7)*(I$3:I$91="P"))+SUMPRODUCT((N$3:N$91&lt;&gt;"")*(G$3:G$91=G7)*(I$3:I$91="P"))+SUMPRODUCT((P$3:P$91="")*(O$3:O$91="")*(N$3:N$91="")*(M$3:M$91="P")*(G$3:G$91=G7)*(J$3:J$91&gt;J7)*(I$3:I$91="P"))+IF(H7="L5",SUMPRODUCT((P$3:P$91="")*(O$3:O$91="")*(N$3:N$91="")*(M$3:M$91="P")*(G$3:G$91=G7)*(J$3:J$91&lt;J7)*(H$3:H$91&lt;&gt;H7)*(I$3:I$91="P")),-1*SUMPRODUCT((P$3:P$91="")*(O$3:O$91="")*(N$3:N$91="")*(M$3:M$91="P")*(G$3:G$91=G7)*(J$3:J$91&gt;J7)*(H$3:H$91="L5")*(I$3:I$91="P")))+1,"")))))</f>
        <v/>
      </c>
      <c r="B7" s="1" cm="1">
        <f t="array" ref="B7">IF(P7&lt;&gt;"",SUMPRODUCT((P$3:P$91&lt;&gt;"")*(G$3:G$91=G7)*(J$3:J$91&gt;J7))+1,IF(O7&lt;&gt;"",SUMPRODUCT((O$3:O$91&lt;&gt;"")*(P$3:P$91="")*(G$3:G$91=G7)*(J$3:J$91&gt;J7))+SUMPRODUCT((P$3:P$91&lt;&gt;"")*(G$3:G$91=G7))+1,IF(N7&lt;&gt;"",SUMPRODUCT((N$3:N$91&lt;&gt;"")*(G$3:G$91=G7)*(J$3:J$91&gt;J7))+1,IF(M7="P",SUMPRODUCT((O$3:O$91&lt;&gt;"")*(P$3:P$91="")*(G$3:G$91=G7))+SUMPRODUCT((P$3:P$91&lt;&gt;"")*(G$3:G$91=G7))+SUMPRODUCT((N$3:N$91&lt;&gt;"")*(G$3:G$91=G7))+SUMPRODUCT((P$3:P$91="")*(O$3:O$91="")*(N$3:N$91="")*(M$3:M$91="P")*(G$3:G$91=G7)*(J$3:J$91&gt;J7))+IF(H7="L5",SUMPRODUCT((P$3:P$91="")*(O$3:O$91="")*(N$3:N$91="")*(M$3:M$91="P")*(G$3:G$91=G7)*(J$3:J$91&lt;J7)*(H$3:H$91&lt;&gt;H7)),-1*SUMPRODUCT((P$3:P$91="")*(O$3:O$91="")*(N$3:N$91="")*(M$3:M$91="P")*(G$3:G$91=G7)*(J$3:J$91&gt;J7)*(H$3:H$91="L5")))+1,""))))</f>
        <v>5</v>
      </c>
      <c r="C7" s="35" t="s">
        <v>114</v>
      </c>
      <c r="D7" t="str">
        <f>IF(E7="","",VLOOKUP(E7,'Coaching Points'!A:B,2,0))</f>
        <v>QC</v>
      </c>
      <c r="E7" s="35" t="s">
        <v>3</v>
      </c>
      <c r="F7" s="34">
        <v>2006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R7+S7+IF(OR(H7="Junior",H7="Senior"),0.0002,IF(OR(H7="L7",H7="L6"),0.0001,0))+IF(G7="17-21",MAX(AA7,AC7,AF7),AE7)*0.0000001</f>
        <v>109.33020503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6">
        <v>2</v>
      </c>
      <c r="Q7" s="1" t="str">
        <f>IF(A7&lt;5,IF(_xlfn.MAXIFS(A:A,G:G,G7)&gt;3,5-A7,_xlfn.MAXIFS(A:A,G:G,G7)+1-A7),"")</f>
        <v/>
      </c>
      <c r="R7" s="4">
        <f>IF(G7="17-21",MAX(T7,V7,Y7,AA7,AC7,AF7),MAX(X7,AE7))</f>
        <v>54.92</v>
      </c>
      <c r="S7" s="4">
        <f>IF(G7="17-21",LARGE(CHOOSE({1,2,3,4,5,6},T7,V7,Y7,AA7,AC7,AF7),2),IF(R7=X7,MAX(Y7,AA7,AC7,AF7),IF(R7=AE7,MAX(AF7,T7,V7,Y7),0)))</f>
        <v>54.41</v>
      </c>
      <c r="T7" s="32">
        <v>54.92</v>
      </c>
      <c r="U7" s="37">
        <v>14.9</v>
      </c>
      <c r="V7" s="33">
        <v>51.75</v>
      </c>
      <c r="W7" s="37">
        <v>13.7</v>
      </c>
      <c r="X7" s="4">
        <f>IF(H7="Senior",MAX(T7,V7),T7+V7)</f>
        <v>54.92</v>
      </c>
      <c r="Y7" s="33">
        <v>54.41</v>
      </c>
      <c r="Z7" s="37">
        <v>14.9</v>
      </c>
      <c r="AA7" s="32">
        <v>11.36</v>
      </c>
      <c r="AB7" s="37">
        <v>3.5</v>
      </c>
      <c r="AC7" s="33">
        <v>50.3</v>
      </c>
      <c r="AD7" s="37">
        <v>15.1</v>
      </c>
      <c r="AE7" s="4">
        <f>IF(H7="Senior",MAX(AA7,AC7),AA7+AC7)</f>
        <v>50.3</v>
      </c>
      <c r="AF7" s="33"/>
      <c r="AG7" s="37"/>
    </row>
    <row r="8" spans="1:34" x14ac:dyDescent="0.2">
      <c r="A8" s="1" t="str" cm="1">
        <f t="array" ref="A8">IF(I8="","",IF(P8&lt;&gt;"",SUMPRODUCT((P$3:P$91&lt;&gt;"")*(G$3:G$91=G8)*(J$3:J$91&gt;J8)*(I$3:I$91="P"))+1,IF(O8&lt;&gt;"",SUMPRODUCT((O$3:O$91&lt;&gt;"")*(P$3:P$91="")*(G$3:G$91=G8)*(J$3:J$91&gt;J8)*(I$3:I$91="P"))+SUMPRODUCT((P$3:P$91&lt;&gt;"")*(G$3:G$91=G8)*(I$3:I$91="P"))+1,IF(N8&lt;&gt;"",SUMPRODUCT((N$3:N$91&lt;&gt;"")*(G$3:G$91=G8)*(J$3:J$91&gt;J8)*(I$3:I$91="P"))+1,IF(M8="P",SUMPRODUCT((O$3:O$91&lt;&gt;"")*(P$3:P$91="")*(G$3:G$91=G8)*(I$3:I$91="P"))+SUMPRODUCT((P$3:P$91&lt;&gt;"")*(G$3:G$91=G8)*(I$3:I$91="P"))+SUMPRODUCT((N$3:N$91&lt;&gt;"")*(G$3:G$91=G8)*(I$3:I$91="P"))+SUMPRODUCT((P$3:P$91="")*(O$3:O$91="")*(N$3:N$91="")*(M$3:M$91="P")*(G$3:G$91=G8)*(J$3:J$91&gt;J8)*(I$3:I$91="P"))+IF(H8="L5",SUMPRODUCT((P$3:P$91="")*(O$3:O$91="")*(N$3:N$91="")*(M$3:M$91="P")*(G$3:G$91=G8)*(J$3:J$91&lt;J8)*(H$3:H$91&lt;&gt;H8)*(I$3:I$91="P")),-1*SUMPRODUCT((P$3:P$91="")*(O$3:O$91="")*(N$3:N$91="")*(M$3:M$91="P")*(G$3:G$91=G8)*(J$3:J$91&gt;J8)*(H$3:H$91="L5")*(I$3:I$91="P")))+1,"")))))</f>
        <v/>
      </c>
      <c r="B8" s="1" cm="1">
        <f t="array" ref="B8">IF(P8&lt;&gt;"",SUMPRODUCT((P$3:P$91&lt;&gt;"")*(G$3:G$91=G8)*(J$3:J$91&gt;J8))+1,IF(O8&lt;&gt;"",SUMPRODUCT((O$3:O$91&lt;&gt;"")*(P$3:P$91="")*(G$3:G$91=G8)*(J$3:J$91&gt;J8))+SUMPRODUCT((P$3:P$91&lt;&gt;"")*(G$3:G$91=G8))+1,IF(N8&lt;&gt;"",SUMPRODUCT((N$3:N$91&lt;&gt;"")*(G$3:G$91=G8)*(J$3:J$91&gt;J8))+1,IF(M8="P",SUMPRODUCT((O$3:O$91&lt;&gt;"")*(P$3:P$91="")*(G$3:G$91=G8))+SUMPRODUCT((P$3:P$91&lt;&gt;"")*(G$3:G$91=G8))+SUMPRODUCT((N$3:N$91&lt;&gt;"")*(G$3:G$91=G8))+SUMPRODUCT((P$3:P$91="")*(O$3:O$91="")*(N$3:N$91="")*(M$3:M$91="P")*(G$3:G$91=G8)*(J$3:J$91&gt;J8))+IF(H8="L5",SUMPRODUCT((P$3:P$91="")*(O$3:O$91="")*(N$3:N$91="")*(M$3:M$91="P")*(G$3:G$91=G8)*(J$3:J$91&lt;J8)*(H$3:H$91&lt;&gt;H8)),-1*SUMPRODUCT((P$3:P$91="")*(O$3:O$91="")*(N$3:N$91="")*(M$3:M$91="P")*(G$3:G$91=G8)*(J$3:J$91&gt;J8)*(H$3:H$91="L5")))+1,""))))</f>
        <v>6</v>
      </c>
      <c r="C8" s="35" t="s">
        <v>165</v>
      </c>
      <c r="D8" t="str">
        <f>IF(E8="","",VLOOKUP(E8,'Coaching Points'!A:B,2,0))</f>
        <v>QC</v>
      </c>
      <c r="E8" s="35" t="s">
        <v>70</v>
      </c>
      <c r="F8" s="34">
        <v>2005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212</v>
      </c>
      <c r="I8" s="40"/>
      <c r="J8" s="4">
        <f>R8+S8+IF(OR(H8="Junior",H8="Senior"),0.0002,IF(OR(H8="L7",H8="L6"),0.0001,0))+IF(G8="17-21",MAX(AA8,AC8,AF8),AE8)*0.0000001</f>
        <v>106.72010522800001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/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/>
      </c>
      <c r="O8" s="36">
        <v>4</v>
      </c>
      <c r="Q8" s="1" t="str">
        <f>IF(A8&lt;5,IF(_xlfn.MAXIFS(A:A,G:G,G8)&gt;3,5-A8,_xlfn.MAXIFS(A:A,G:G,G8)+1-A8),"")</f>
        <v/>
      </c>
      <c r="R8" s="4">
        <f>IF(G8="17-21",MAX(T8,V8,Y8,AA8,AC8,AF8),MAX(X8,AE8))</f>
        <v>54.44</v>
      </c>
      <c r="S8" s="4">
        <f>IF(G8="17-21",LARGE(CHOOSE({1,2,3,4,5,6},T8,V8,Y8,AA8,AC8,AF8),2),IF(R8=X8,MAX(Y8,AA8,AC8,AF8),IF(R8=AE8,MAX(AF8,T8,V8,Y8),0)))</f>
        <v>52.28</v>
      </c>
      <c r="T8" s="32">
        <v>50.56</v>
      </c>
      <c r="U8" s="37">
        <v>13.4</v>
      </c>
      <c r="V8" s="33">
        <v>54.44</v>
      </c>
      <c r="W8" s="37">
        <v>13.8</v>
      </c>
      <c r="X8" s="4">
        <f>IF(H8="Senior",MAX(T8,V8),T8+V8)</f>
        <v>105</v>
      </c>
      <c r="Y8" s="33">
        <v>46.42</v>
      </c>
      <c r="Z8" s="37">
        <v>12.3</v>
      </c>
      <c r="AA8" s="32">
        <v>51.61</v>
      </c>
      <c r="AB8" s="37">
        <v>14</v>
      </c>
      <c r="AC8" s="33">
        <v>45.48</v>
      </c>
      <c r="AD8" s="37">
        <v>10.3</v>
      </c>
      <c r="AE8" s="4">
        <f>IF(H8="Senior",MAX(AA8,AC8),AA8+AC8)</f>
        <v>97.09</v>
      </c>
      <c r="AF8" s="33">
        <v>52.28</v>
      </c>
      <c r="AG8" s="37">
        <v>14</v>
      </c>
    </row>
    <row r="9" spans="1:34" x14ac:dyDescent="0.2">
      <c r="A9" s="1" t="str" cm="1">
        <f t="array" ref="A9">IF(I9="","",IF(P9&lt;&gt;"",SUMPRODUCT((P$3:P$91&lt;&gt;"")*(G$3:G$91=G9)*(J$3:J$91&gt;J9)*(I$3:I$91="P"))+1,IF(O9&lt;&gt;"",SUMPRODUCT((O$3:O$91&lt;&gt;"")*(P$3:P$91="")*(G$3:G$91=G9)*(J$3:J$91&gt;J9)*(I$3:I$91="P"))+SUMPRODUCT((P$3:P$91&lt;&gt;"")*(G$3:G$91=G9)*(I$3:I$91="P"))+1,IF(N9&lt;&gt;"",SUMPRODUCT((N$3:N$91&lt;&gt;"")*(G$3:G$91=G9)*(J$3:J$91&gt;J9)*(I$3:I$91="P"))+1,IF(M9="P",SUMPRODUCT((O$3:O$91&lt;&gt;"")*(P$3:P$91="")*(G$3:G$91=G9)*(I$3:I$91="P"))+SUMPRODUCT((P$3:P$91&lt;&gt;"")*(G$3:G$91=G9)*(I$3:I$91="P"))+SUMPRODUCT((N$3:N$91&lt;&gt;"")*(G$3:G$91=G9)*(I$3:I$91="P"))+SUMPRODUCT((P$3:P$91="")*(O$3:O$91="")*(N$3:N$91="")*(M$3:M$91="P")*(G$3:G$91=G9)*(J$3:J$91&gt;J9)*(I$3:I$91="P"))+IF(H9="L5",SUMPRODUCT((P$3:P$91="")*(O$3:O$91="")*(N$3:N$91="")*(M$3:M$91="P")*(G$3:G$91=G9)*(J$3:J$91&lt;J9)*(H$3:H$91&lt;&gt;H9)*(I$3:I$91="P")),-1*SUMPRODUCT((P$3:P$91="")*(O$3:O$91="")*(N$3:N$91="")*(M$3:M$91="P")*(G$3:G$91=G9)*(J$3:J$91&gt;J9)*(H$3:H$91="L5")*(I$3:I$91="P")))+1,"")))))</f>
        <v/>
      </c>
      <c r="B9" s="1" cm="1">
        <f t="array" ref="B9">IF(P9&lt;&gt;"",SUMPRODUCT((P$3:P$91&lt;&gt;"")*(G$3:G$91=G9)*(J$3:J$91&gt;J9))+1,IF(O9&lt;&gt;"",SUMPRODUCT((O$3:O$91&lt;&gt;"")*(P$3:P$91="")*(G$3:G$91=G9)*(J$3:J$91&gt;J9))+SUMPRODUCT((P$3:P$91&lt;&gt;"")*(G$3:G$91=G9))+1,IF(N9&lt;&gt;"",SUMPRODUCT((N$3:N$91&lt;&gt;"")*(G$3:G$91=G9)*(J$3:J$91&gt;J9))+1,IF(M9="P",SUMPRODUCT((O$3:O$91&lt;&gt;"")*(P$3:P$91="")*(G$3:G$91=G9))+SUMPRODUCT((P$3:P$91&lt;&gt;"")*(G$3:G$91=G9))+SUMPRODUCT((N$3:N$91&lt;&gt;"")*(G$3:G$91=G9))+SUMPRODUCT((P$3:P$91="")*(O$3:O$91="")*(N$3:N$91="")*(M$3:M$91="P")*(G$3:G$91=G9)*(J$3:J$91&gt;J9))+IF(H9="L5",SUMPRODUCT((P$3:P$91="")*(O$3:O$91="")*(N$3:N$91="")*(M$3:M$91="P")*(G$3:G$91=G9)*(J$3:J$91&lt;J9)*(H$3:H$91&lt;&gt;H9)),-1*SUMPRODUCT((P$3:P$91="")*(O$3:O$91="")*(N$3:N$91="")*(M$3:M$91="P")*(G$3:G$91=G9)*(J$3:J$91&gt;J9)*(H$3:H$91="L5")))+1,""))))</f>
        <v>7</v>
      </c>
      <c r="C9" s="35" t="s">
        <v>81</v>
      </c>
      <c r="D9" t="str">
        <f>IF(E9="","",VLOOKUP(E9,'Coaching Points'!A:B,2,0))</f>
        <v>ON</v>
      </c>
      <c r="E9" s="35" t="s">
        <v>67</v>
      </c>
      <c r="F9" s="34">
        <v>2005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R9+S9+IF(OR(H9="Junior",H9="Senior"),0.0002,IF(OR(H9="L7",H9="L6"),0.0001,0))+IF(G9="17-21",MAX(AA9,AC9,AF9),AE9)*0.0000001</f>
        <v>102.760205101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/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O9" s="36">
        <v>3</v>
      </c>
      <c r="Q9" s="1" t="str">
        <f>IF(A9&lt;5,IF(_xlfn.MAXIFS(A:A,G:G,G9)&gt;3,5-A9,_xlfn.MAXIFS(A:A,G:G,G9)+1-A9),"")</f>
        <v/>
      </c>
      <c r="R9" s="4">
        <f>IF(G9="17-21",MAX(T9,V9,Y9,AA9,AC9,AF9),MAX(X9,AE9))</f>
        <v>51.75</v>
      </c>
      <c r="S9" s="4">
        <f>IF(G9="17-21",LARGE(CHOOSE({1,2,3,4,5,6},T9,V9,Y9,AA9,AC9,AF9),2),IF(R9=X9,MAX(Y9,AA9,AC9,AF9),IF(R9=AE9,MAX(AF9,T9,V9,Y9),0)))</f>
        <v>51.01</v>
      </c>
      <c r="T9" s="32">
        <v>47.57</v>
      </c>
      <c r="U9" s="37">
        <v>12.5</v>
      </c>
      <c r="V9" s="33">
        <v>51.75</v>
      </c>
      <c r="W9" s="37">
        <v>13.9</v>
      </c>
      <c r="X9" s="4">
        <f>IF(H9="Senior",MAX(T9,V9),T9+V9)</f>
        <v>51.75</v>
      </c>
      <c r="Y9" s="33">
        <v>6.32</v>
      </c>
      <c r="Z9" s="37">
        <v>2</v>
      </c>
      <c r="AA9" s="32">
        <v>51.01</v>
      </c>
      <c r="AB9" s="37">
        <v>14.1</v>
      </c>
      <c r="AC9" s="33">
        <v>45.23</v>
      </c>
      <c r="AD9" s="37">
        <v>11.1</v>
      </c>
      <c r="AE9" s="4">
        <f>IF(H9="Senior",MAX(AA9,AC9),AA9+AC9)</f>
        <v>51.01</v>
      </c>
      <c r="AF9" s="33">
        <v>50.58</v>
      </c>
      <c r="AG9" s="37">
        <v>13.1</v>
      </c>
    </row>
    <row r="10" spans="1:34" x14ac:dyDescent="0.2">
      <c r="A10" s="1" t="str" cm="1">
        <f t="array" ref="A10">IF(I10="","",IF(P10&lt;&gt;"",SUMPRODUCT((P$3:P$91&lt;&gt;"")*(G$3:G$91=G10)*(J$3:J$91&gt;J10)*(I$3:I$91="P"))+1,IF(O10&lt;&gt;"",SUMPRODUCT((O$3:O$91&lt;&gt;"")*(P$3:P$91="")*(G$3:G$91=G10)*(J$3:J$91&gt;J10)*(I$3:I$91="P"))+SUMPRODUCT((P$3:P$91&lt;&gt;"")*(G$3:G$91=G10)*(I$3:I$91="P"))+1,IF(N10&lt;&gt;"",SUMPRODUCT((N$3:N$91&lt;&gt;"")*(G$3:G$91=G10)*(J$3:J$91&gt;J10)*(I$3:I$91="P"))+1,IF(M10="P",SUMPRODUCT((O$3:O$91&lt;&gt;"")*(P$3:P$91="")*(G$3:G$91=G10)*(I$3:I$91="P"))+SUMPRODUCT((P$3:P$91&lt;&gt;"")*(G$3:G$91=G10)*(I$3:I$91="P"))+SUMPRODUCT((N$3:N$91&lt;&gt;"")*(G$3:G$91=G10)*(I$3:I$91="P"))+SUMPRODUCT((P$3:P$91="")*(O$3:O$91="")*(N$3:N$91="")*(M$3:M$91="P")*(G$3:G$91=G10)*(J$3:J$91&gt;J10)*(I$3:I$91="P"))+IF(H10="L5",SUMPRODUCT((P$3:P$91="")*(O$3:O$91="")*(N$3:N$91="")*(M$3:M$91="P")*(G$3:G$91=G10)*(J$3:J$91&lt;J10)*(H$3:H$91&lt;&gt;H10)*(I$3:I$91="P")),-1*SUMPRODUCT((P$3:P$91="")*(O$3:O$91="")*(N$3:N$91="")*(M$3:M$91="P")*(G$3:G$91=G10)*(J$3:J$91&gt;J10)*(H$3:H$91="L5")*(I$3:I$91="P")))+1,"")))))</f>
        <v/>
      </c>
      <c r="B10" s="1" cm="1">
        <f t="array" ref="B10">IF(P10&lt;&gt;"",SUMPRODUCT((P$3:P$91&lt;&gt;"")*(G$3:G$91=G10)*(J$3:J$91&gt;J10))+1,IF(O10&lt;&gt;"",SUMPRODUCT((O$3:O$91&lt;&gt;"")*(P$3:P$91="")*(G$3:G$91=G10)*(J$3:J$91&gt;J10))+SUMPRODUCT((P$3:P$91&lt;&gt;"")*(G$3:G$91=G10))+1,IF(N10&lt;&gt;"",SUMPRODUCT((N$3:N$91&lt;&gt;"")*(G$3:G$91=G10)*(J$3:J$91&gt;J10))+1,IF(M10="P",SUMPRODUCT((O$3:O$91&lt;&gt;"")*(P$3:P$91="")*(G$3:G$91=G10))+SUMPRODUCT((P$3:P$91&lt;&gt;"")*(G$3:G$91=G10))+SUMPRODUCT((N$3:N$91&lt;&gt;"")*(G$3:G$91=G10))+SUMPRODUCT((P$3:P$91="")*(O$3:O$91="")*(N$3:N$91="")*(M$3:M$91="P")*(G$3:G$91=G10)*(J$3:J$91&gt;J10))+IF(H10="L5",SUMPRODUCT((P$3:P$91="")*(O$3:O$91="")*(N$3:N$91="")*(M$3:M$91="P")*(G$3:G$91=G10)*(J$3:J$91&lt;J10)*(H$3:H$91&lt;&gt;H10)),-1*SUMPRODUCT((P$3:P$91="")*(O$3:O$91="")*(N$3:N$91="")*(M$3:M$91="P")*(G$3:G$91=G10)*(J$3:J$91&gt;J10)*(H$3:H$91="L5")))+1,""))))</f>
        <v>8</v>
      </c>
      <c r="C10" s="35" t="s">
        <v>82</v>
      </c>
      <c r="D10" t="str">
        <f>IF(E10="","",VLOOKUP(E10,'Coaching Points'!A:B,2,0))</f>
        <v>BC</v>
      </c>
      <c r="E10" s="35" t="s">
        <v>40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212</v>
      </c>
      <c r="I10" s="40"/>
      <c r="J10" s="4">
        <f>R10+S10+IF(OR(H10="Junior",H10="Senior"),0.0002,IF(OR(H10="L7",H10="L6"),0.0001,0))+IF(G10="17-21",MAX(AA10,AC10,AF10),AE10)*0.0000001</f>
        <v>105.870105338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53.38</v>
      </c>
      <c r="S10" s="4">
        <f>IF(G10="17-21",LARGE(CHOOSE({1,2,3,4,5,6},T10,V10,Y10,AA10,AC10,AF10),2),IF(R10=X10,MAX(Y10,AA10,AC10,AF10),IF(R10=AE10,MAX(AF10,T10,V10,Y10),0)))</f>
        <v>52.49</v>
      </c>
      <c r="T10" s="32">
        <v>52.05</v>
      </c>
      <c r="U10" s="37">
        <v>14.9</v>
      </c>
      <c r="V10" s="33">
        <v>11.13</v>
      </c>
      <c r="W10" s="37">
        <v>3.3</v>
      </c>
      <c r="X10" s="4">
        <f>IF(H10="Senior",MAX(T10,V10),T10+V10)</f>
        <v>63.18</v>
      </c>
      <c r="Y10" s="33">
        <v>48.23</v>
      </c>
      <c r="Z10" s="37">
        <v>13.2</v>
      </c>
      <c r="AA10" s="32">
        <v>44.21</v>
      </c>
      <c r="AB10" s="37">
        <v>12.6</v>
      </c>
      <c r="AC10" s="33">
        <v>52.49</v>
      </c>
      <c r="AD10" s="37">
        <v>14.7</v>
      </c>
      <c r="AE10" s="4">
        <f>IF(H10="Senior",MAX(AA10,AC10),AA10+AC10)</f>
        <v>96.7</v>
      </c>
      <c r="AF10" s="33">
        <v>53.38</v>
      </c>
      <c r="AG10" s="37">
        <v>14.7</v>
      </c>
    </row>
    <row r="11" spans="1:34" x14ac:dyDescent="0.2">
      <c r="A11" s="1" t="str" cm="1">
        <f t="array" ref="A11">IF(I11="","",IF(P11&lt;&gt;"",SUMPRODUCT((P$3:P$91&lt;&gt;"")*(G$3:G$91=G11)*(J$3:J$91&gt;J11)*(I$3:I$91="P"))+1,IF(O11&lt;&gt;"",SUMPRODUCT((O$3:O$91&lt;&gt;"")*(P$3:P$91="")*(G$3:G$91=G11)*(J$3:J$91&gt;J11)*(I$3:I$91="P"))+SUMPRODUCT((P$3:P$91&lt;&gt;"")*(G$3:G$91=G11)*(I$3:I$91="P"))+1,IF(N11&lt;&gt;"",SUMPRODUCT((N$3:N$91&lt;&gt;"")*(G$3:G$91=G11)*(J$3:J$91&gt;J11)*(I$3:I$91="P"))+1,IF(M11="P",SUMPRODUCT((O$3:O$91&lt;&gt;"")*(P$3:P$91="")*(G$3:G$91=G11)*(I$3:I$91="P"))+SUMPRODUCT((P$3:P$91&lt;&gt;"")*(G$3:G$91=G11)*(I$3:I$91="P"))+SUMPRODUCT((N$3:N$91&lt;&gt;"")*(G$3:G$91=G11)*(I$3:I$91="P"))+SUMPRODUCT((P$3:P$91="")*(O$3:O$91="")*(N$3:N$91="")*(M$3:M$91="P")*(G$3:G$91=G11)*(J$3:J$91&gt;J11)*(I$3:I$91="P"))+IF(H11="L5",SUMPRODUCT((P$3:P$91="")*(O$3:O$91="")*(N$3:N$91="")*(M$3:M$91="P")*(G$3:G$91=G11)*(J$3:J$91&lt;J11)*(H$3:H$91&lt;&gt;H11)*(I$3:I$91="P")),-1*SUMPRODUCT((P$3:P$91="")*(O$3:O$91="")*(N$3:N$91="")*(M$3:M$91="P")*(G$3:G$91=G11)*(J$3:J$91&gt;J11)*(H$3:H$91="L5")*(I$3:I$91="P")))+1,"")))))</f>
        <v/>
      </c>
      <c r="B11" s="1" cm="1">
        <f t="array" ref="B11">IF(P11&lt;&gt;"",SUMPRODUCT((P$3:P$91&lt;&gt;"")*(G$3:G$91=G11)*(J$3:J$91&gt;J11))+1,IF(O11&lt;&gt;"",SUMPRODUCT((O$3:O$91&lt;&gt;"")*(P$3:P$91="")*(G$3:G$91=G11)*(J$3:J$91&gt;J11))+SUMPRODUCT((P$3:P$91&lt;&gt;"")*(G$3:G$91=G11))+1,IF(N11&lt;&gt;"",SUMPRODUCT((N$3:N$91&lt;&gt;"")*(G$3:G$91=G11)*(J$3:J$91&gt;J11))+1,IF(M11="P",SUMPRODUCT((O$3:O$91&lt;&gt;"")*(P$3:P$91="")*(G$3:G$91=G11))+SUMPRODUCT((P$3:P$91&lt;&gt;"")*(G$3:G$91=G11))+SUMPRODUCT((N$3:N$91&lt;&gt;"")*(G$3:G$91=G11))+SUMPRODUCT((P$3:P$91="")*(O$3:O$91="")*(N$3:N$91="")*(M$3:M$91="P")*(G$3:G$91=G11)*(J$3:J$91&gt;J11))+IF(H11="L5",SUMPRODUCT((P$3:P$91="")*(O$3:O$91="")*(N$3:N$91="")*(M$3:M$91="P")*(G$3:G$91=G11)*(J$3:J$91&lt;J11)*(H$3:H$91&lt;&gt;H11)),-1*SUMPRODUCT((P$3:P$91="")*(O$3:O$91="")*(N$3:N$91="")*(M$3:M$91="P")*(G$3:G$91=G11)*(J$3:J$91&gt;J11)*(H$3:H$91="L5")))+1,""))))</f>
        <v>9</v>
      </c>
      <c r="C11" s="35" t="s">
        <v>181</v>
      </c>
      <c r="D11" t="str">
        <f>IF(E11="","",VLOOKUP(E11,'Coaching Points'!A:B,2,0))</f>
        <v>ON</v>
      </c>
      <c r="E11" s="35" t="s">
        <v>37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R11+S11+IF(OR(H11="Junior",H11="Senior"),0.0002,IF(OR(H11="L7",H11="L6"),0.0001,0))+IF(G11="17-21",MAX(AA11,AC11,AF11),AE11)*0.0000001</f>
        <v>105.11020425300001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>P</v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>P</v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54.74</v>
      </c>
      <c r="S11" s="4">
        <f>IF(G11="17-21",LARGE(CHOOSE({1,2,3,4,5,6},T11,V11,Y11,AA11,AC11,AF11),2),IF(R11=X11,MAX(Y11,AA11,AC11,AF11),IF(R11=AE11,MAX(AF11,T11,V11,Y11),0)))</f>
        <v>50.37</v>
      </c>
      <c r="T11" s="32">
        <v>46.53</v>
      </c>
      <c r="U11" s="37">
        <v>12.8</v>
      </c>
      <c r="V11" s="33">
        <v>50.37</v>
      </c>
      <c r="W11" s="37">
        <v>12.6</v>
      </c>
      <c r="X11" s="4">
        <f>IF(H11="Senior",MAX(T11,V11),T11+V11)</f>
        <v>50.37</v>
      </c>
      <c r="Y11" s="33">
        <v>54.74</v>
      </c>
      <c r="Z11" s="37">
        <v>15.1</v>
      </c>
      <c r="AA11" s="32">
        <v>42.53</v>
      </c>
      <c r="AB11" s="37">
        <v>10.5</v>
      </c>
      <c r="AC11" s="33">
        <v>41.82</v>
      </c>
      <c r="AD11" s="37">
        <v>9.6999999999999993</v>
      </c>
      <c r="AE11" s="4">
        <f>IF(H11="Senior",MAX(AA11,AC11),AA11+AC11)</f>
        <v>42.53</v>
      </c>
      <c r="AF11" s="33"/>
      <c r="AG11" s="37"/>
    </row>
    <row r="12" spans="1:34" x14ac:dyDescent="0.2">
      <c r="A12" s="1" t="str" cm="1">
        <f t="array" ref="A12">IF(I12="","",IF(P12&lt;&gt;"",SUMPRODUCT((P$3:P$91&lt;&gt;"")*(G$3:G$91=G12)*(J$3:J$91&gt;J12)*(I$3:I$91="P"))+1,IF(O12&lt;&gt;"",SUMPRODUCT((O$3:O$91&lt;&gt;"")*(P$3:P$91="")*(G$3:G$91=G12)*(J$3:J$91&gt;J12)*(I$3:I$91="P"))+SUMPRODUCT((P$3:P$91&lt;&gt;"")*(G$3:G$91=G12)*(I$3:I$91="P"))+1,IF(N12&lt;&gt;"",SUMPRODUCT((N$3:N$91&lt;&gt;"")*(G$3:G$91=G12)*(J$3:J$91&gt;J12)*(I$3:I$91="P"))+1,IF(M12="P",SUMPRODUCT((O$3:O$91&lt;&gt;"")*(P$3:P$91="")*(G$3:G$91=G12)*(I$3:I$91="P"))+SUMPRODUCT((P$3:P$91&lt;&gt;"")*(G$3:G$91=G12)*(I$3:I$91="P"))+SUMPRODUCT((N$3:N$91&lt;&gt;"")*(G$3:G$91=G12)*(I$3:I$91="P"))+SUMPRODUCT((P$3:P$91="")*(O$3:O$91="")*(N$3:N$91="")*(M$3:M$91="P")*(G$3:G$91=G12)*(J$3:J$91&gt;J12)*(I$3:I$91="P"))+IF(H12="L5",SUMPRODUCT((P$3:P$91="")*(O$3:O$91="")*(N$3:N$91="")*(M$3:M$91="P")*(G$3:G$91=G12)*(J$3:J$91&lt;J12)*(H$3:H$91&lt;&gt;H12)*(I$3:I$91="P")),-1*SUMPRODUCT((P$3:P$91="")*(O$3:O$91="")*(N$3:N$91="")*(M$3:M$91="P")*(G$3:G$91=G12)*(J$3:J$91&gt;J12)*(H$3:H$91="L5")*(I$3:I$91="P")))+1,"")))))</f>
        <v/>
      </c>
      <c r="B12" s="1" cm="1">
        <f t="array" ref="B12">IF(P12&lt;&gt;"",SUMPRODUCT((P$3:P$91&lt;&gt;"")*(G$3:G$91=G12)*(J$3:J$91&gt;J12))+1,IF(O12&lt;&gt;"",SUMPRODUCT((O$3:O$91&lt;&gt;"")*(P$3:P$91="")*(G$3:G$91=G12)*(J$3:J$91&gt;J12))+SUMPRODUCT((P$3:P$91&lt;&gt;"")*(G$3:G$91=G12))+1,IF(N12&lt;&gt;"",SUMPRODUCT((N$3:N$91&lt;&gt;"")*(G$3:G$91=G12)*(J$3:J$91&gt;J12))+1,IF(M12="P",SUMPRODUCT((O$3:O$91&lt;&gt;"")*(P$3:P$91="")*(G$3:G$91=G12))+SUMPRODUCT((P$3:P$91&lt;&gt;"")*(G$3:G$91=G12))+SUMPRODUCT((N$3:N$91&lt;&gt;"")*(G$3:G$91=G12))+SUMPRODUCT((P$3:P$91="")*(O$3:O$91="")*(N$3:N$91="")*(M$3:M$91="P")*(G$3:G$91=G12)*(J$3:J$91&gt;J12))+IF(H12="L5",SUMPRODUCT((P$3:P$91="")*(O$3:O$91="")*(N$3:N$91="")*(M$3:M$91="P")*(G$3:G$91=G12)*(J$3:J$91&lt;J12)*(H$3:H$91&lt;&gt;H12)),-1*SUMPRODUCT((P$3:P$91="")*(O$3:O$91="")*(N$3:N$91="")*(M$3:M$91="P")*(G$3:G$91=G12)*(J$3:J$91&gt;J12)*(H$3:H$91="L5")))+1,""))))</f>
        <v>10</v>
      </c>
      <c r="C12" s="35" t="s">
        <v>80</v>
      </c>
      <c r="D12" t="str">
        <f>IF(E12="","",VLOOKUP(E12,'Coaching Points'!A:B,2,0))</f>
        <v>AB</v>
      </c>
      <c r="E12" s="35" t="s">
        <v>28</v>
      </c>
      <c r="F12" s="34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212</v>
      </c>
      <c r="I12" s="40"/>
      <c r="J12" s="4">
        <f>R12+S12+IF(OR(H12="Junior",H12="Senior"),0.0002,IF(OR(H12="L7",H12="L6"),0.0001,0))+IF(G12="17-21",MAX(AA12,AC12,AF12),AE12)*0.0000001</f>
        <v>104.880103615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>P</v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>P</v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>P</v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53.91</v>
      </c>
      <c r="S12" s="4">
        <f>IF(G12="17-21",LARGE(CHOOSE({1,2,3,4,5,6},T12,V12,Y12,AA12,AC12,AF12),2),IF(R12=X12,MAX(Y12,AA12,AC12,AF12),IF(R12=AE12,MAX(AF12,T12,V12,Y12),0)))</f>
        <v>50.97</v>
      </c>
      <c r="T12" s="32">
        <v>50.97</v>
      </c>
      <c r="U12" s="37">
        <v>14.5</v>
      </c>
      <c r="V12" s="33">
        <v>36.21</v>
      </c>
      <c r="W12" s="37">
        <v>10.4</v>
      </c>
      <c r="X12" s="4">
        <f>IF(H12="Senior",MAX(T12,V12),T12+V12)</f>
        <v>87.18</v>
      </c>
      <c r="Y12" s="33">
        <v>53.91</v>
      </c>
      <c r="Z12" s="37">
        <v>14.9</v>
      </c>
      <c r="AA12" s="32">
        <v>11.1</v>
      </c>
      <c r="AB12" s="37">
        <v>3.3</v>
      </c>
      <c r="AC12" s="33">
        <v>36.15</v>
      </c>
      <c r="AD12" s="37">
        <v>10.6</v>
      </c>
      <c r="AE12" s="4">
        <f>IF(H12="Senior",MAX(AA12,AC12),AA12+AC12)</f>
        <v>47.25</v>
      </c>
      <c r="AF12" s="33"/>
      <c r="AG12" s="37"/>
    </row>
    <row r="13" spans="1:34" x14ac:dyDescent="0.2">
      <c r="A13" s="1" t="str" cm="1">
        <f t="array" ref="A13">IF(I13="","",IF(P13&lt;&gt;"",SUMPRODUCT((P$3:P$91&lt;&gt;"")*(G$3:G$91=G13)*(J$3:J$91&gt;J13)*(I$3:I$91="P"))+1,IF(O13&lt;&gt;"",SUMPRODUCT((O$3:O$91&lt;&gt;"")*(P$3:P$91="")*(G$3:G$91=G13)*(J$3:J$91&gt;J13)*(I$3:I$91="P"))+SUMPRODUCT((P$3:P$91&lt;&gt;"")*(G$3:G$91=G13)*(I$3:I$91="P"))+1,IF(N13&lt;&gt;"",SUMPRODUCT((N$3:N$91&lt;&gt;"")*(G$3:G$91=G13)*(J$3:J$91&gt;J13)*(I$3:I$91="P"))+1,IF(M13="P",SUMPRODUCT((O$3:O$91&lt;&gt;"")*(P$3:P$91="")*(G$3:G$91=G13)*(I$3:I$91="P"))+SUMPRODUCT((P$3:P$91&lt;&gt;"")*(G$3:G$91=G13)*(I$3:I$91="P"))+SUMPRODUCT((N$3:N$91&lt;&gt;"")*(G$3:G$91=G13)*(I$3:I$91="P"))+SUMPRODUCT((P$3:P$91="")*(O$3:O$91="")*(N$3:N$91="")*(M$3:M$91="P")*(G$3:G$91=G13)*(J$3:J$91&gt;J13)*(I$3:I$91="P"))+IF(H13="L5",SUMPRODUCT((P$3:P$91="")*(O$3:O$91="")*(N$3:N$91="")*(M$3:M$91="P")*(G$3:G$91=G13)*(J$3:J$91&lt;J13)*(H$3:H$91&lt;&gt;H13)*(I$3:I$91="P")),-1*SUMPRODUCT((P$3:P$91="")*(O$3:O$91="")*(N$3:N$91="")*(M$3:M$91="P")*(G$3:G$91=G13)*(J$3:J$91&gt;J13)*(H$3:H$91="L5")*(I$3:I$91="P")))+1,"")))))</f>
        <v/>
      </c>
      <c r="B13" s="1" t="str" cm="1">
        <f t="array" ref="B13">IF(P13&lt;&gt;"",SUMPRODUCT((P$3:P$91&lt;&gt;"")*(G$3:G$91=G13)*(J$3:J$91&gt;J13))+1,IF(O13&lt;&gt;"",SUMPRODUCT((O$3:O$91&lt;&gt;"")*(P$3:P$91="")*(G$3:G$91=G13)*(J$3:J$91&gt;J13))+SUMPRODUCT((P$3:P$91&lt;&gt;"")*(G$3:G$91=G13))+1,IF(N13&lt;&gt;"",SUMPRODUCT((N$3:N$91&lt;&gt;"")*(G$3:G$91=G13)*(J$3:J$91&gt;J13))+1,IF(M13="P",SUMPRODUCT((O$3:O$91&lt;&gt;"")*(P$3:P$91="")*(G$3:G$91=G13))+SUMPRODUCT((P$3:P$91&lt;&gt;"")*(G$3:G$91=G13))+SUMPRODUCT((N$3:N$91&lt;&gt;"")*(G$3:G$91=G13))+SUMPRODUCT((P$3:P$91="")*(O$3:O$91="")*(N$3:N$91="")*(M$3:M$91="P")*(G$3:G$91=G13)*(J$3:J$91&gt;J13))+IF(H13="L5",SUMPRODUCT((P$3:P$91="")*(O$3:O$91="")*(N$3:N$91="")*(M$3:M$91="P")*(G$3:G$91=G13)*(J$3:J$91&lt;J13)*(H$3:H$91&lt;&gt;H13)),-1*SUMPRODUCT((P$3:P$91="")*(O$3:O$91="")*(N$3:N$91="")*(M$3:M$91="P")*(G$3:G$91=G13)*(J$3:J$91&gt;J13)*(H$3:H$91="L5")))+1,""))))</f>
        <v/>
      </c>
      <c r="C13" s="35" t="s">
        <v>83</v>
      </c>
      <c r="D13" t="str">
        <f>IF(E13="","",VLOOKUP(E13,'Coaching Points'!A:B,2,0))</f>
        <v>ON</v>
      </c>
      <c r="E13" s="35" t="s">
        <v>84</v>
      </c>
      <c r="F13" s="34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>R13+S13+IF(OR(H13="Junior",H13="Senior"),0.0002,IF(OR(H13="L7",H13="L6"),0.0001,0))+IF(G13="17-21",MAX(AA13,AC13,AF13),AE13)*0.0000001</f>
        <v>105.46020528500001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>P</v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52.85</v>
      </c>
      <c r="S13" s="4">
        <f>IF(G13="17-21",LARGE(CHOOSE({1,2,3,4,5,6},T13,V13,Y13,AA13,AC13,AF13),2),IF(R13=X13,MAX(Y13,AA13,AC13,AF13),IF(R13=AE13,MAX(AF13,T13,V13,Y13),0)))</f>
        <v>52.61</v>
      </c>
      <c r="T13" s="32">
        <v>16.260000000000002</v>
      </c>
      <c r="U13" s="37">
        <v>4.7</v>
      </c>
      <c r="V13" s="33">
        <v>21.73</v>
      </c>
      <c r="W13" s="37">
        <v>6.4</v>
      </c>
      <c r="X13" s="4">
        <f>IF(H13="Senior",MAX(T13,V13),T13+V13)</f>
        <v>21.73</v>
      </c>
      <c r="Y13" s="33"/>
      <c r="Z13" s="37"/>
      <c r="AA13" s="32">
        <v>52.61</v>
      </c>
      <c r="AB13" s="37">
        <v>14.6</v>
      </c>
      <c r="AC13" s="33">
        <v>5.84</v>
      </c>
      <c r="AD13" s="37">
        <v>2</v>
      </c>
      <c r="AE13" s="4">
        <f>IF(H13="Senior",MAX(AA13,AC13),AA13+AC13)</f>
        <v>52.61</v>
      </c>
      <c r="AF13" s="33">
        <v>52.85</v>
      </c>
      <c r="AG13" s="37">
        <v>14.6</v>
      </c>
    </row>
    <row r="14" spans="1:34" x14ac:dyDescent="0.2">
      <c r="A14" s="1" t="str" cm="1">
        <f t="array" ref="A14">IF(I14="","",IF(P14&lt;&gt;"",SUMPRODUCT((P$3:P$91&lt;&gt;"")*(G$3:G$91=G14)*(J$3:J$91&gt;J14)*(I$3:I$91="P"))+1,IF(O14&lt;&gt;"",SUMPRODUCT((O$3:O$91&lt;&gt;"")*(P$3:P$91="")*(G$3:G$91=G14)*(J$3:J$91&gt;J14)*(I$3:I$91="P"))+SUMPRODUCT((P$3:P$91&lt;&gt;"")*(G$3:G$91=G14)*(I$3:I$91="P"))+1,IF(N14&lt;&gt;"",SUMPRODUCT((N$3:N$91&lt;&gt;"")*(G$3:G$91=G14)*(J$3:J$91&gt;J14)*(I$3:I$91="P"))+1,IF(M14="P",SUMPRODUCT((O$3:O$91&lt;&gt;"")*(P$3:P$91="")*(G$3:G$91=G14)*(I$3:I$91="P"))+SUMPRODUCT((P$3:P$91&lt;&gt;"")*(G$3:G$91=G14)*(I$3:I$91="P"))+SUMPRODUCT((N$3:N$91&lt;&gt;"")*(G$3:G$91=G14)*(I$3:I$91="P"))+SUMPRODUCT((P$3:P$91="")*(O$3:O$91="")*(N$3:N$91="")*(M$3:M$91="P")*(G$3:G$91=G14)*(J$3:J$91&gt;J14)*(I$3:I$91="P"))+IF(H14="L5",SUMPRODUCT((P$3:P$91="")*(O$3:O$91="")*(N$3:N$91="")*(M$3:M$91="P")*(G$3:G$91=G14)*(J$3:J$91&lt;J14)*(H$3:H$91&lt;&gt;H14)*(I$3:I$91="P")),-1*SUMPRODUCT((P$3:P$91="")*(O$3:O$91="")*(N$3:N$91="")*(M$3:M$91="P")*(G$3:G$91=G14)*(J$3:J$91&gt;J14)*(H$3:H$91="L5")*(I$3:I$91="P")))+1,"")))))</f>
        <v/>
      </c>
      <c r="B14" s="1" t="str" cm="1">
        <f t="array" ref="B14">IF(P14&lt;&gt;"",SUMPRODUCT((P$3:P$91&lt;&gt;"")*(G$3:G$91=G14)*(J$3:J$91&gt;J14))+1,IF(O14&lt;&gt;"",SUMPRODUCT((O$3:O$91&lt;&gt;"")*(P$3:P$91="")*(G$3:G$91=G14)*(J$3:J$91&gt;J14))+SUMPRODUCT((P$3:P$91&lt;&gt;"")*(G$3:G$91=G14))+1,IF(N14&lt;&gt;"",SUMPRODUCT((N$3:N$91&lt;&gt;"")*(G$3:G$91=G14)*(J$3:J$91&gt;J14))+1,IF(M14="P",SUMPRODUCT((O$3:O$91&lt;&gt;"")*(P$3:P$91="")*(G$3:G$91=G14))+SUMPRODUCT((P$3:P$91&lt;&gt;"")*(G$3:G$91=G14))+SUMPRODUCT((N$3:N$91&lt;&gt;"")*(G$3:G$91=G14))+SUMPRODUCT((P$3:P$91="")*(O$3:O$91="")*(N$3:N$91="")*(M$3:M$91="P")*(G$3:G$91=G14)*(J$3:J$91&gt;J14))+IF(H14="L5",SUMPRODUCT((P$3:P$91="")*(O$3:O$91="")*(N$3:N$91="")*(M$3:M$91="P")*(G$3:G$91=G14)*(J$3:J$91&lt;J14)*(H$3:H$91&lt;&gt;H14)),-1*SUMPRODUCT((P$3:P$91="")*(O$3:O$91="")*(N$3:N$91="")*(M$3:M$91="P")*(G$3:G$91=G14)*(J$3:J$91&gt;J14)*(H$3:H$91="L5")))+1,""))))</f>
        <v/>
      </c>
      <c r="C14" s="35" t="s">
        <v>111</v>
      </c>
      <c r="D14" t="str">
        <f>IF(E14="","",VLOOKUP(E14,'Coaching Points'!A:B,2,0))</f>
        <v>AB</v>
      </c>
      <c r="E14" s="35" t="s">
        <v>62</v>
      </c>
      <c r="F14" s="34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212</v>
      </c>
      <c r="I14" s="40"/>
      <c r="J14" s="4">
        <f>R14+S14+IF(OR(H14="Junior",H14="Senior"),0.0002,IF(OR(H14="L7",H14="L6"),0.0001,0))+IF(G14="17-21",MAX(AA14,AC14,AF14),AE14)*0.0000001</f>
        <v>102.610105049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>P</v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51.33</v>
      </c>
      <c r="S14" s="4">
        <f>IF(G14="17-21",LARGE(CHOOSE({1,2,3,4,5,6},T14,V14,Y14,AA14,AC14,AF14),2),IF(R14=X14,MAX(Y14,AA14,AC14,AF14),IF(R14=AE14,MAX(AF14,T14,V14,Y14),0)))</f>
        <v>51.28</v>
      </c>
      <c r="T14" s="32">
        <v>47.17</v>
      </c>
      <c r="U14" s="37">
        <v>12.6</v>
      </c>
      <c r="V14" s="33">
        <v>51.33</v>
      </c>
      <c r="W14" s="37">
        <v>13.8</v>
      </c>
      <c r="X14" s="4">
        <f>IF(H14="Senior",MAX(T14,V14),T14+V14)</f>
        <v>98.5</v>
      </c>
      <c r="Y14" s="33">
        <v>51.28</v>
      </c>
      <c r="Z14" s="37">
        <v>13.8</v>
      </c>
      <c r="AA14" s="32">
        <v>10.76</v>
      </c>
      <c r="AB14" s="37">
        <v>3.5</v>
      </c>
      <c r="AC14" s="33">
        <v>50.49</v>
      </c>
      <c r="AD14" s="37">
        <v>14.5</v>
      </c>
      <c r="AE14" s="4">
        <f>IF(H14="Senior",MAX(AA14,AC14),AA14+AC14)</f>
        <v>61.25</v>
      </c>
      <c r="AF14" s="33">
        <v>5.99</v>
      </c>
      <c r="AG14" s="37">
        <v>2</v>
      </c>
    </row>
    <row r="15" spans="1:34" x14ac:dyDescent="0.2">
      <c r="A15" s="1" t="str" cm="1">
        <f t="array" ref="A15">IF(I15="","",IF(P15&lt;&gt;"",SUMPRODUCT((P$3:P$91&lt;&gt;"")*(G$3:G$91=G15)*(J$3:J$91&gt;J15)*(I$3:I$91="P"))+1,IF(O15&lt;&gt;"",SUMPRODUCT((O$3:O$91&lt;&gt;"")*(P$3:P$91="")*(G$3:G$91=G15)*(J$3:J$91&gt;J15)*(I$3:I$91="P"))+SUMPRODUCT((P$3:P$91&lt;&gt;"")*(G$3:G$91=G15)*(I$3:I$91="P"))+1,IF(N15&lt;&gt;"",SUMPRODUCT((N$3:N$91&lt;&gt;"")*(G$3:G$91=G15)*(J$3:J$91&gt;J15)*(I$3:I$91="P"))+1,IF(M15="P",SUMPRODUCT((O$3:O$91&lt;&gt;"")*(P$3:P$91="")*(G$3:G$91=G15)*(I$3:I$91="P"))+SUMPRODUCT((P$3:P$91&lt;&gt;"")*(G$3:G$91=G15)*(I$3:I$91="P"))+SUMPRODUCT((N$3:N$91&lt;&gt;"")*(G$3:G$91=G15)*(I$3:I$91="P"))+SUMPRODUCT((P$3:P$91="")*(O$3:O$91="")*(N$3:N$91="")*(M$3:M$91="P")*(G$3:G$91=G15)*(J$3:J$91&gt;J15)*(I$3:I$91="P"))+IF(H15="L5",SUMPRODUCT((P$3:P$91="")*(O$3:O$91="")*(N$3:N$91="")*(M$3:M$91="P")*(G$3:G$91=G15)*(J$3:J$91&lt;J15)*(H$3:H$91&lt;&gt;H15)*(I$3:I$91="P")),-1*SUMPRODUCT((P$3:P$91="")*(O$3:O$91="")*(N$3:N$91="")*(M$3:M$91="P")*(G$3:G$91=G15)*(J$3:J$91&gt;J15)*(H$3:H$91="L5")*(I$3:I$91="P")))+1,"")))))</f>
        <v/>
      </c>
      <c r="B15" s="1" t="str" cm="1">
        <f t="array" ref="B15">IF(P15&lt;&gt;"",SUMPRODUCT((P$3:P$91&lt;&gt;"")*(G$3:G$91=G15)*(J$3:J$91&gt;J15))+1,IF(O15&lt;&gt;"",SUMPRODUCT((O$3:O$91&lt;&gt;"")*(P$3:P$91="")*(G$3:G$91=G15)*(J$3:J$91&gt;J15))+SUMPRODUCT((P$3:P$91&lt;&gt;"")*(G$3:G$91=G15))+1,IF(N15&lt;&gt;"",SUMPRODUCT((N$3:N$91&lt;&gt;"")*(G$3:G$91=G15)*(J$3:J$91&gt;J15))+1,IF(M15="P",SUMPRODUCT((O$3:O$91&lt;&gt;"")*(P$3:P$91="")*(G$3:G$91=G15))+SUMPRODUCT((P$3:P$91&lt;&gt;"")*(G$3:G$91=G15))+SUMPRODUCT((N$3:N$91&lt;&gt;"")*(G$3:G$91=G15))+SUMPRODUCT((P$3:P$91="")*(O$3:O$91="")*(N$3:N$91="")*(M$3:M$91="P")*(G$3:G$91=G15)*(J$3:J$91&gt;J15))+IF(H15="L5",SUMPRODUCT((P$3:P$91="")*(O$3:O$91="")*(N$3:N$91="")*(M$3:M$91="P")*(G$3:G$91=G15)*(J$3:J$91&lt;J15)*(H$3:H$91&lt;&gt;H15)),-1*SUMPRODUCT((P$3:P$91="")*(O$3:O$91="")*(N$3:N$91="")*(M$3:M$91="P")*(G$3:G$91=G15)*(J$3:J$91&gt;J15)*(H$3:H$91="L5")))+1,""))))</f>
        <v/>
      </c>
      <c r="C15" s="35" t="s">
        <v>148</v>
      </c>
      <c r="D15" t="str">
        <f>IF(E15="","",VLOOKUP(E15,'Coaching Points'!A:B,2,0))</f>
        <v>AB</v>
      </c>
      <c r="E15" s="35" t="s">
        <v>28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>R15+S15+IF(OR(H15="Junior",H15="Senior"),0.0002,IF(OR(H15="L7",H15="L6"),0.0001,0))+IF(G15="17-21",MAX(AA15,AC15,AF15),AE15)*0.0000001</f>
        <v>101.53020516700001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>P</v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51.67</v>
      </c>
      <c r="S15" s="4">
        <f>IF(G15="17-21",LARGE(CHOOSE({1,2,3,4,5,6},T15,V15,Y15,AA15,AC15,AF15),2),IF(R15=X15,MAX(Y15,AA15,AC15,AF15),IF(R15=AE15,MAX(AF15,T15,V15,Y15),0)))</f>
        <v>49.86</v>
      </c>
      <c r="T15" s="32">
        <v>43.16</v>
      </c>
      <c r="U15" s="37">
        <v>11.7</v>
      </c>
      <c r="V15" s="33">
        <v>11.1</v>
      </c>
      <c r="W15" s="37">
        <v>3.3</v>
      </c>
      <c r="X15" s="4">
        <f>IF(H15="Senior",MAX(T15,V15),T15+V15)</f>
        <v>43.16</v>
      </c>
      <c r="Y15" s="33"/>
      <c r="Z15" s="37"/>
      <c r="AA15" s="32">
        <v>51.67</v>
      </c>
      <c r="AB15" s="37">
        <v>14.9</v>
      </c>
      <c r="AC15" s="33">
        <v>49.86</v>
      </c>
      <c r="AD15" s="37">
        <v>14</v>
      </c>
      <c r="AE15" s="4">
        <f>IF(H15="Senior",MAX(AA15,AC15),AA15+AC15)</f>
        <v>51.67</v>
      </c>
      <c r="AF15" s="33">
        <v>5.68</v>
      </c>
      <c r="AG15" s="37">
        <v>2</v>
      </c>
    </row>
    <row r="16" spans="1:34" x14ac:dyDescent="0.2">
      <c r="A16" s="1" t="str" cm="1">
        <f t="array" ref="A16">IF(I16="","",IF(P16&lt;&gt;"",SUMPRODUCT((P$3:P$91&lt;&gt;"")*(G$3:G$91=G16)*(J$3:J$91&gt;J16)*(I$3:I$91="P"))+1,IF(O16&lt;&gt;"",SUMPRODUCT((O$3:O$91&lt;&gt;"")*(P$3:P$91="")*(G$3:G$91=G16)*(J$3:J$91&gt;J16)*(I$3:I$91="P"))+SUMPRODUCT((P$3:P$91&lt;&gt;"")*(G$3:G$91=G16)*(I$3:I$91="P"))+1,IF(N16&lt;&gt;"",SUMPRODUCT((N$3:N$91&lt;&gt;"")*(G$3:G$91=G16)*(J$3:J$91&gt;J16)*(I$3:I$91="P"))+1,IF(M16="P",SUMPRODUCT((O$3:O$91&lt;&gt;"")*(P$3:P$91="")*(G$3:G$91=G16)*(I$3:I$91="P"))+SUMPRODUCT((P$3:P$91&lt;&gt;"")*(G$3:G$91=G16)*(I$3:I$91="P"))+SUMPRODUCT((N$3:N$91&lt;&gt;"")*(G$3:G$91=G16)*(I$3:I$91="P"))+SUMPRODUCT((P$3:P$91="")*(O$3:O$91="")*(N$3:N$91="")*(M$3:M$91="P")*(G$3:G$91=G16)*(J$3:J$91&gt;J16)*(I$3:I$91="P"))+IF(H16="L5",SUMPRODUCT((P$3:P$91="")*(O$3:O$91="")*(N$3:N$91="")*(M$3:M$91="P")*(G$3:G$91=G16)*(J$3:J$91&lt;J16)*(H$3:H$91&lt;&gt;H16)*(I$3:I$91="P")),-1*SUMPRODUCT((P$3:P$91="")*(O$3:O$91="")*(N$3:N$91="")*(M$3:M$91="P")*(G$3:G$91=G16)*(J$3:J$91&gt;J16)*(H$3:H$91="L5")*(I$3:I$91="P")))+1,"")))))</f>
        <v/>
      </c>
      <c r="B16" s="1" t="str" cm="1">
        <f t="array" ref="B16">IF(P16&lt;&gt;"",SUMPRODUCT((P$3:P$91&lt;&gt;"")*(G$3:G$91=G16)*(J$3:J$91&gt;J16))+1,IF(O16&lt;&gt;"",SUMPRODUCT((O$3:O$91&lt;&gt;"")*(P$3:P$91="")*(G$3:G$91=G16)*(J$3:J$91&gt;J16))+SUMPRODUCT((P$3:P$91&lt;&gt;"")*(G$3:G$91=G16))+1,IF(N16&lt;&gt;"",SUMPRODUCT((N$3:N$91&lt;&gt;"")*(G$3:G$91=G16)*(J$3:J$91&gt;J16))+1,IF(M16="P",SUMPRODUCT((O$3:O$91&lt;&gt;"")*(P$3:P$91="")*(G$3:G$91=G16))+SUMPRODUCT((P$3:P$91&lt;&gt;"")*(G$3:G$91=G16))+SUMPRODUCT((N$3:N$91&lt;&gt;"")*(G$3:G$91=G16))+SUMPRODUCT((P$3:P$91="")*(O$3:O$91="")*(N$3:N$91="")*(M$3:M$91="P")*(G$3:G$91=G16)*(J$3:J$91&gt;J16))+IF(H16="L5",SUMPRODUCT((P$3:P$91="")*(O$3:O$91="")*(N$3:N$91="")*(M$3:M$91="P")*(G$3:G$91=G16)*(J$3:J$91&lt;J16)*(H$3:H$91&lt;&gt;H16)),-1*SUMPRODUCT((P$3:P$91="")*(O$3:O$91="")*(N$3:N$91="")*(M$3:M$91="P")*(G$3:G$91=G16)*(J$3:J$91&gt;J16)*(H$3:H$91="L5")))+1,""))))</f>
        <v/>
      </c>
      <c r="C16" s="35" t="s">
        <v>185</v>
      </c>
      <c r="D16" t="str">
        <f>IF(E16="","",VLOOKUP(E16,'Coaching Points'!A:B,2,0))</f>
        <v>ON</v>
      </c>
      <c r="E16" s="35" t="s">
        <v>45</v>
      </c>
      <c r="F16" s="34">
        <v>2008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R16+S16+IF(OR(H16="Junior",H16="Senior"),0.0002,IF(OR(H16="L7",H16="L6"),0.0001,0))+IF(G16="17-21",MAX(AA16,AC16,AF16),AE16)*0.0000001</f>
        <v>100.48010504299999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50.43</v>
      </c>
      <c r="S16" s="4">
        <f>IF(G16="17-21",LARGE(CHOOSE({1,2,3,4,5,6},T16,V16,Y16,AA16,AC16,AF16),2),IF(R16=X16,MAX(Y16,AA16,AC16,AF16),IF(R16=AE16,MAX(AF16,T16,V16,Y16),0)))</f>
        <v>50.05</v>
      </c>
      <c r="T16" s="32">
        <v>36.729999999999997</v>
      </c>
      <c r="U16" s="37">
        <v>0</v>
      </c>
      <c r="V16" s="33">
        <v>47.67</v>
      </c>
      <c r="W16" s="37">
        <v>11.6</v>
      </c>
      <c r="X16" s="4">
        <f>IF(H16="Senior",MAX(T16,V16),T16+V16)</f>
        <v>84.4</v>
      </c>
      <c r="Y16" s="33">
        <v>5.62</v>
      </c>
      <c r="Z16" s="37">
        <v>1.5</v>
      </c>
      <c r="AA16" s="32">
        <v>41.14</v>
      </c>
      <c r="AB16" s="37">
        <v>0</v>
      </c>
      <c r="AC16" s="33">
        <v>50.43</v>
      </c>
      <c r="AD16" s="37">
        <v>12.7</v>
      </c>
      <c r="AE16" s="4">
        <f>IF(H16="Senior",MAX(AA16,AC16),AA16+AC16)</f>
        <v>91.57</v>
      </c>
      <c r="AF16" s="33">
        <v>50.05</v>
      </c>
      <c r="AG16" s="37">
        <v>12.7</v>
      </c>
    </row>
    <row r="17" spans="1:33" x14ac:dyDescent="0.2">
      <c r="A17" s="1" t="str" cm="1">
        <f t="array" ref="A17">IF(I17="","",IF(P17&lt;&gt;"",SUMPRODUCT((P$3:P$91&lt;&gt;"")*(G$3:G$91=G17)*(J$3:J$91&gt;J17)*(I$3:I$91="P"))+1,IF(O17&lt;&gt;"",SUMPRODUCT((O$3:O$91&lt;&gt;"")*(P$3:P$91="")*(G$3:G$91=G17)*(J$3:J$91&gt;J17)*(I$3:I$91="P"))+SUMPRODUCT((P$3:P$91&lt;&gt;"")*(G$3:G$91=G17)*(I$3:I$91="P"))+1,IF(N17&lt;&gt;"",SUMPRODUCT((N$3:N$91&lt;&gt;"")*(G$3:G$91=G17)*(J$3:J$91&gt;J17)*(I$3:I$91="P"))+1,IF(M17="P",SUMPRODUCT((O$3:O$91&lt;&gt;"")*(P$3:P$91="")*(G$3:G$91=G17)*(I$3:I$91="P"))+SUMPRODUCT((P$3:P$91&lt;&gt;"")*(G$3:G$91=G17)*(I$3:I$91="P"))+SUMPRODUCT((N$3:N$91&lt;&gt;"")*(G$3:G$91=G17)*(I$3:I$91="P"))+SUMPRODUCT((P$3:P$91="")*(O$3:O$91="")*(N$3:N$91="")*(M$3:M$91="P")*(G$3:G$91=G17)*(J$3:J$91&gt;J17)*(I$3:I$91="P"))+IF(H17="L5",SUMPRODUCT((P$3:P$91="")*(O$3:O$91="")*(N$3:N$91="")*(M$3:M$91="P")*(G$3:G$91=G17)*(J$3:J$91&lt;J17)*(H$3:H$91&lt;&gt;H17)*(I$3:I$91="P")),-1*SUMPRODUCT((P$3:P$91="")*(O$3:O$91="")*(N$3:N$91="")*(M$3:M$91="P")*(G$3:G$91=G17)*(J$3:J$91&gt;J17)*(H$3:H$91="L5")*(I$3:I$91="P")))+1,"")))))</f>
        <v/>
      </c>
      <c r="B17" s="1" t="str" cm="1">
        <f t="array" ref="B17">IF(P17&lt;&gt;"",SUMPRODUCT((P$3:P$91&lt;&gt;"")*(G$3:G$91=G17)*(J$3:J$91&gt;J17))+1,IF(O17&lt;&gt;"",SUMPRODUCT((O$3:O$91&lt;&gt;"")*(P$3:P$91="")*(G$3:G$91=G17)*(J$3:J$91&gt;J17))+SUMPRODUCT((P$3:P$91&lt;&gt;"")*(G$3:G$91=G17))+1,IF(N17&lt;&gt;"",SUMPRODUCT((N$3:N$91&lt;&gt;"")*(G$3:G$91=G17)*(J$3:J$91&gt;J17))+1,IF(M17="P",SUMPRODUCT((O$3:O$91&lt;&gt;"")*(P$3:P$91="")*(G$3:G$91=G17))+SUMPRODUCT((P$3:P$91&lt;&gt;"")*(G$3:G$91=G17))+SUMPRODUCT((N$3:N$91&lt;&gt;"")*(G$3:G$91=G17))+SUMPRODUCT((P$3:P$91="")*(O$3:O$91="")*(N$3:N$91="")*(M$3:M$91="P")*(G$3:G$91=G17)*(J$3:J$91&gt;J17))+IF(H17="L5",SUMPRODUCT((P$3:P$91="")*(O$3:O$91="")*(N$3:N$91="")*(M$3:M$91="P")*(G$3:G$91=G17)*(J$3:J$91&lt;J17)*(H$3:H$91&lt;&gt;H17)),-1*SUMPRODUCT((P$3:P$91="")*(O$3:O$91="")*(N$3:N$91="")*(M$3:M$91="P")*(G$3:G$91=G17)*(J$3:J$91&gt;J17)*(H$3:H$91="L5")))+1,""))))</f>
        <v/>
      </c>
      <c r="C17" s="35" t="s">
        <v>71</v>
      </c>
      <c r="D17" t="str">
        <f>IF(E17="","",VLOOKUP(E17,'Coaching Points'!A:B,2,0))</f>
        <v>AB</v>
      </c>
      <c r="E17" s="35" t="s">
        <v>62</v>
      </c>
      <c r="F17" s="34">
        <v>2008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212</v>
      </c>
      <c r="I17" s="40"/>
      <c r="J17" s="4">
        <f>R17+S17+IF(OR(H17="Junior",H17="Senior"),0.0002,IF(OR(H17="L7",H17="L6"),0.0001,0))+IF(G17="17-21",MAX(AA17,AC17,AF17),AE17)*0.0000001</f>
        <v>100.12010501500001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>P</v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50.15</v>
      </c>
      <c r="S17" s="4">
        <f>IF(G17="17-21",LARGE(CHOOSE({1,2,3,4,5,6},T17,V17,Y17,AA17,AC17,AF17),2),IF(R17=X17,MAX(Y17,AA17,AC17,AF17),IF(R17=AE17,MAX(AF17,T17,V17,Y17),0)))</f>
        <v>49.97</v>
      </c>
      <c r="T17" s="32">
        <v>49.97</v>
      </c>
      <c r="U17" s="37">
        <v>12.9</v>
      </c>
      <c r="V17" s="33">
        <v>20.93</v>
      </c>
      <c r="W17" s="37">
        <v>5.2</v>
      </c>
      <c r="X17" s="4">
        <f>IF(H17="Senior",MAX(T17,V17),T17+V17)</f>
        <v>70.900000000000006</v>
      </c>
      <c r="Y17" s="33">
        <v>5.73</v>
      </c>
      <c r="Z17" s="37">
        <v>2</v>
      </c>
      <c r="AA17" s="32">
        <v>45.68</v>
      </c>
      <c r="AB17" s="37">
        <v>11.7</v>
      </c>
      <c r="AC17" s="33">
        <v>47.01</v>
      </c>
      <c r="AD17" s="37">
        <v>12.1</v>
      </c>
      <c r="AE17" s="4">
        <f>IF(H17="Senior",MAX(AA17,AC17),AA17+AC17)</f>
        <v>92.69</v>
      </c>
      <c r="AF17" s="33">
        <v>50.15</v>
      </c>
      <c r="AG17" s="37">
        <v>14.5</v>
      </c>
    </row>
    <row r="18" spans="1:33" x14ac:dyDescent="0.2">
      <c r="A18" s="1" t="str" cm="1">
        <f t="array" ref="A18">IF(I18="","",IF(P18&lt;&gt;"",SUMPRODUCT((P$3:P$91&lt;&gt;"")*(G$3:G$91=G18)*(J$3:J$91&gt;J18)*(I$3:I$91="P"))+1,IF(O18&lt;&gt;"",SUMPRODUCT((O$3:O$91&lt;&gt;"")*(P$3:P$91="")*(G$3:G$91=G18)*(J$3:J$91&gt;J18)*(I$3:I$91="P"))+SUMPRODUCT((P$3:P$91&lt;&gt;"")*(G$3:G$91=G18)*(I$3:I$91="P"))+1,IF(N18&lt;&gt;"",SUMPRODUCT((N$3:N$91&lt;&gt;"")*(G$3:G$91=G18)*(J$3:J$91&gt;J18)*(I$3:I$91="P"))+1,IF(M18="P",SUMPRODUCT((O$3:O$91&lt;&gt;"")*(P$3:P$91="")*(G$3:G$91=G18)*(I$3:I$91="P"))+SUMPRODUCT((P$3:P$91&lt;&gt;"")*(G$3:G$91=G18)*(I$3:I$91="P"))+SUMPRODUCT((N$3:N$91&lt;&gt;"")*(G$3:G$91=G18)*(I$3:I$91="P"))+SUMPRODUCT((P$3:P$91="")*(O$3:O$91="")*(N$3:N$91="")*(M$3:M$91="P")*(G$3:G$91=G18)*(J$3:J$91&gt;J18)*(I$3:I$91="P"))+IF(H18="L5",SUMPRODUCT((P$3:P$91="")*(O$3:O$91="")*(N$3:N$91="")*(M$3:M$91="P")*(G$3:G$91=G18)*(J$3:J$91&lt;J18)*(H$3:H$91&lt;&gt;H18)*(I$3:I$91="P")),-1*SUMPRODUCT((P$3:P$91="")*(O$3:O$91="")*(N$3:N$91="")*(M$3:M$91="P")*(G$3:G$91=G18)*(J$3:J$91&gt;J18)*(H$3:H$91="L5")*(I$3:I$91="P")))+1,"")))))</f>
        <v/>
      </c>
      <c r="B18" s="1" t="str" cm="1">
        <f t="array" ref="B18">IF(P18&lt;&gt;"",SUMPRODUCT((P$3:P$91&lt;&gt;"")*(G$3:G$91=G18)*(J$3:J$91&gt;J18))+1,IF(O18&lt;&gt;"",SUMPRODUCT((O$3:O$91&lt;&gt;"")*(P$3:P$91="")*(G$3:G$91=G18)*(J$3:J$91&gt;J18))+SUMPRODUCT((P$3:P$91&lt;&gt;"")*(G$3:G$91=G18))+1,IF(N18&lt;&gt;"",SUMPRODUCT((N$3:N$91&lt;&gt;"")*(G$3:G$91=G18)*(J$3:J$91&gt;J18))+1,IF(M18="P",SUMPRODUCT((O$3:O$91&lt;&gt;"")*(P$3:P$91="")*(G$3:G$91=G18))+SUMPRODUCT((P$3:P$91&lt;&gt;"")*(G$3:G$91=G18))+SUMPRODUCT((N$3:N$91&lt;&gt;"")*(G$3:G$91=G18))+SUMPRODUCT((P$3:P$91="")*(O$3:O$91="")*(N$3:N$91="")*(M$3:M$91="P")*(G$3:G$91=G18)*(J$3:J$91&gt;J18))+IF(H18="L5",SUMPRODUCT((P$3:P$91="")*(O$3:O$91="")*(N$3:N$91="")*(M$3:M$91="P")*(G$3:G$91=G18)*(J$3:J$91&lt;J18)*(H$3:H$91&lt;&gt;H18)),-1*SUMPRODUCT((P$3:P$91="")*(O$3:O$91="")*(N$3:N$91="")*(M$3:M$91="P")*(G$3:G$91=G18)*(J$3:J$91&gt;J18)*(H$3:H$91="L5")))+1,""))))</f>
        <v/>
      </c>
      <c r="C18" s="35" t="s">
        <v>78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>R18+S18+IF(OR(H18="Junior",H18="Senior"),0.0002,IF(OR(H18="L7",H18="L6"),0.0001,0))+IF(G18="17-21",MAX(AA18,AC18,AF18),AE18)*0.0000001</f>
        <v>99.170104906000006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50.11</v>
      </c>
      <c r="S18" s="4">
        <f>IF(G18="17-21",LARGE(CHOOSE({1,2,3,4,5,6},T18,V18,Y18,AA18,AC18,AF18),2),IF(R18=X18,MAX(Y18,AA18,AC18,AF18),IF(R18=AE18,MAX(AF18,T18,V18,Y18),0)))</f>
        <v>49.06</v>
      </c>
      <c r="T18" s="32">
        <v>41.31</v>
      </c>
      <c r="U18" s="37">
        <v>0</v>
      </c>
      <c r="V18" s="33">
        <v>46.69</v>
      </c>
      <c r="W18" s="37">
        <v>10.3</v>
      </c>
      <c r="X18" s="4">
        <f>IF(H18="Senior",MAX(T18,V18),T18+V18)</f>
        <v>88</v>
      </c>
      <c r="Y18" s="33">
        <v>50.11</v>
      </c>
      <c r="Z18" s="37">
        <v>11.8</v>
      </c>
      <c r="AA18" s="32">
        <v>5.3</v>
      </c>
      <c r="AB18" s="37">
        <v>1.5</v>
      </c>
      <c r="AC18" s="33">
        <v>5.21</v>
      </c>
      <c r="AD18" s="37">
        <v>1.5</v>
      </c>
      <c r="AE18" s="4">
        <f>IF(H18="Senior",MAX(AA18,AC18),AA18+AC18)</f>
        <v>10.51</v>
      </c>
      <c r="AF18" s="33">
        <v>49.06</v>
      </c>
      <c r="AG18" s="37">
        <v>11.8</v>
      </c>
    </row>
    <row r="19" spans="1:33" x14ac:dyDescent="0.2">
      <c r="A19" s="1" t="str" cm="1">
        <f t="array" ref="A19">IF(I19="","",IF(P19&lt;&gt;"",SUMPRODUCT((P$3:P$91&lt;&gt;"")*(G$3:G$91=G19)*(J$3:J$91&gt;J19)*(I$3:I$91="P"))+1,IF(O19&lt;&gt;"",SUMPRODUCT((O$3:O$91&lt;&gt;"")*(P$3:P$91="")*(G$3:G$91=G19)*(J$3:J$91&gt;J19)*(I$3:I$91="P"))+SUMPRODUCT((P$3:P$91&lt;&gt;"")*(G$3:G$91=G19)*(I$3:I$91="P"))+1,IF(N19&lt;&gt;"",SUMPRODUCT((N$3:N$91&lt;&gt;"")*(G$3:G$91=G19)*(J$3:J$91&gt;J19)*(I$3:I$91="P"))+1,IF(M19="P",SUMPRODUCT((O$3:O$91&lt;&gt;"")*(P$3:P$91="")*(G$3:G$91=G19)*(I$3:I$91="P"))+SUMPRODUCT((P$3:P$91&lt;&gt;"")*(G$3:G$91=G19)*(I$3:I$91="P"))+SUMPRODUCT((N$3:N$91&lt;&gt;"")*(G$3:G$91=G19)*(I$3:I$91="P"))+SUMPRODUCT((P$3:P$91="")*(O$3:O$91="")*(N$3:N$91="")*(M$3:M$91="P")*(G$3:G$91=G19)*(J$3:J$91&gt;J19)*(I$3:I$91="P"))+IF(H19="L5",SUMPRODUCT((P$3:P$91="")*(O$3:O$91="")*(N$3:N$91="")*(M$3:M$91="P")*(G$3:G$91=G19)*(J$3:J$91&lt;J19)*(H$3:H$91&lt;&gt;H19)*(I$3:I$91="P")),-1*SUMPRODUCT((P$3:P$91="")*(O$3:O$91="")*(N$3:N$91="")*(M$3:M$91="P")*(G$3:G$91=G19)*(J$3:J$91&gt;J19)*(H$3:H$91="L5")*(I$3:I$91="P")))+1,"")))))</f>
        <v/>
      </c>
      <c r="B19" s="1" t="str" cm="1">
        <f t="array" ref="B19">IF(P19&lt;&gt;"",SUMPRODUCT((P$3:P$91&lt;&gt;"")*(G$3:G$91=G19)*(J$3:J$91&gt;J19))+1,IF(O19&lt;&gt;"",SUMPRODUCT((O$3:O$91&lt;&gt;"")*(P$3:P$91="")*(G$3:G$91=G19)*(J$3:J$91&gt;J19))+SUMPRODUCT((P$3:P$91&lt;&gt;"")*(G$3:G$91=G19))+1,IF(N19&lt;&gt;"",SUMPRODUCT((N$3:N$91&lt;&gt;"")*(G$3:G$91=G19)*(J$3:J$91&gt;J19))+1,IF(M19="P",SUMPRODUCT((O$3:O$91&lt;&gt;"")*(P$3:P$91="")*(G$3:G$91=G19))+SUMPRODUCT((P$3:P$91&lt;&gt;"")*(G$3:G$91=G19))+SUMPRODUCT((N$3:N$91&lt;&gt;"")*(G$3:G$91=G19))+SUMPRODUCT((P$3:P$91="")*(O$3:O$91="")*(N$3:N$91="")*(M$3:M$91="P")*(G$3:G$91=G19)*(J$3:J$91&gt;J19))+IF(H19="L5",SUMPRODUCT((P$3:P$91="")*(O$3:O$91="")*(N$3:N$91="")*(M$3:M$91="P")*(G$3:G$91=G19)*(J$3:J$91&lt;J19)*(H$3:H$91&lt;&gt;H19)),-1*SUMPRODUCT((P$3:P$91="")*(O$3:O$91="")*(N$3:N$91="")*(M$3:M$91="P")*(G$3:G$91=G19)*(J$3:J$91&gt;J19)*(H$3:H$91="L5")))+1,""))))</f>
        <v/>
      </c>
      <c r="C19" s="35" t="s">
        <v>115</v>
      </c>
      <c r="D19" t="str">
        <f>IF(E19="","",VLOOKUP(E19,'Coaching Points'!A:B,2,0))</f>
        <v>QC</v>
      </c>
      <c r="E19" s="35" t="s">
        <v>124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212</v>
      </c>
      <c r="I19" s="40"/>
      <c r="J19" s="4">
        <f>R19+S19+IF(OR(H19="Junior",H19="Senior"),0.0002,IF(OR(H19="L7",H19="L6"),0.0001,0))+IF(G19="17-21",MAX(AA19,AC19,AF19),AE19)*0.0000001</f>
        <v>98.900105057000005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50.57</v>
      </c>
      <c r="S19" s="4">
        <f>IF(G19="17-21",LARGE(CHOOSE({1,2,3,4,5,6},T19,V19,Y19,AA19,AC19,AF19),2),IF(R19=X19,MAX(Y19,AA19,AC19,AF19),IF(R19=AE19,MAX(AF19,T19,V19,Y19),0)))</f>
        <v>48.33</v>
      </c>
      <c r="T19" s="32">
        <v>43.96</v>
      </c>
      <c r="U19" s="37">
        <v>9.9</v>
      </c>
      <c r="V19" s="33">
        <v>36.6</v>
      </c>
      <c r="W19" s="37">
        <v>9.6999999999999993</v>
      </c>
      <c r="X19" s="4">
        <f>IF(H19="Senior",MAX(T19,V19),T19+V19)</f>
        <v>80.56</v>
      </c>
      <c r="Y19" s="33">
        <v>48.08</v>
      </c>
      <c r="Z19" s="37">
        <v>11.5</v>
      </c>
      <c r="AA19" s="32">
        <v>48.33</v>
      </c>
      <c r="AB19" s="37">
        <v>12.1</v>
      </c>
      <c r="AC19" s="33">
        <v>5.46</v>
      </c>
      <c r="AD19" s="37">
        <v>1.7</v>
      </c>
      <c r="AE19" s="4">
        <f>IF(H19="Senior",MAX(AA19,AC19),AA19+AC19)</f>
        <v>53.79</v>
      </c>
      <c r="AF19" s="33">
        <v>50.57</v>
      </c>
      <c r="AG19" s="37">
        <v>13.8</v>
      </c>
    </row>
    <row r="20" spans="1:33" x14ac:dyDescent="0.2">
      <c r="A20" s="1" t="str" cm="1">
        <f t="array" ref="A20">IF(I20="","",IF(P20&lt;&gt;"",SUMPRODUCT((P$3:P$91&lt;&gt;"")*(G$3:G$91=G20)*(J$3:J$91&gt;J20)*(I$3:I$91="P"))+1,IF(O20&lt;&gt;"",SUMPRODUCT((O$3:O$91&lt;&gt;"")*(P$3:P$91="")*(G$3:G$91=G20)*(J$3:J$91&gt;J20)*(I$3:I$91="P"))+SUMPRODUCT((P$3:P$91&lt;&gt;"")*(G$3:G$91=G20)*(I$3:I$91="P"))+1,IF(N20&lt;&gt;"",SUMPRODUCT((N$3:N$91&lt;&gt;"")*(G$3:G$91=G20)*(J$3:J$91&gt;J20)*(I$3:I$91="P"))+1,IF(M20="P",SUMPRODUCT((O$3:O$91&lt;&gt;"")*(P$3:P$91="")*(G$3:G$91=G20)*(I$3:I$91="P"))+SUMPRODUCT((P$3:P$91&lt;&gt;"")*(G$3:G$91=G20)*(I$3:I$91="P"))+SUMPRODUCT((N$3:N$91&lt;&gt;"")*(G$3:G$91=G20)*(I$3:I$91="P"))+SUMPRODUCT((P$3:P$91="")*(O$3:O$91="")*(N$3:N$91="")*(M$3:M$91="P")*(G$3:G$91=G20)*(J$3:J$91&gt;J20)*(I$3:I$91="P"))+IF(H20="L5",SUMPRODUCT((P$3:P$91="")*(O$3:O$91="")*(N$3:N$91="")*(M$3:M$91="P")*(G$3:G$91=G20)*(J$3:J$91&lt;J20)*(H$3:H$91&lt;&gt;H20)*(I$3:I$91="P")),-1*SUMPRODUCT((P$3:P$91="")*(O$3:O$91="")*(N$3:N$91="")*(M$3:M$91="P")*(G$3:G$91=G20)*(J$3:J$91&gt;J20)*(H$3:H$91="L5")*(I$3:I$91="P")))+1,"")))))</f>
        <v/>
      </c>
      <c r="B20" s="1" t="str" cm="1">
        <f t="array" ref="B20">IF(P20&lt;&gt;"",SUMPRODUCT((P$3:P$91&lt;&gt;"")*(G$3:G$91=G20)*(J$3:J$91&gt;J20))+1,IF(O20&lt;&gt;"",SUMPRODUCT((O$3:O$91&lt;&gt;"")*(P$3:P$91="")*(G$3:G$91=G20)*(J$3:J$91&gt;J20))+SUMPRODUCT((P$3:P$91&lt;&gt;"")*(G$3:G$91=G20))+1,IF(N20&lt;&gt;"",SUMPRODUCT((N$3:N$91&lt;&gt;"")*(G$3:G$91=G20)*(J$3:J$91&gt;J20))+1,IF(M20="P",SUMPRODUCT((O$3:O$91&lt;&gt;"")*(P$3:P$91="")*(G$3:G$91=G20))+SUMPRODUCT((P$3:P$91&lt;&gt;"")*(G$3:G$91=G20))+SUMPRODUCT((N$3:N$91&lt;&gt;"")*(G$3:G$91=G20))+SUMPRODUCT((P$3:P$91="")*(O$3:O$91="")*(N$3:N$91="")*(M$3:M$91="P")*(G$3:G$91=G20)*(J$3:J$91&gt;J20))+IF(H20="L5",SUMPRODUCT((P$3:P$91="")*(O$3:O$91="")*(N$3:N$91="")*(M$3:M$91="P")*(G$3:G$91=G20)*(J$3:J$91&lt;J20)*(H$3:H$91&lt;&gt;H20)),-1*SUMPRODUCT((P$3:P$91="")*(O$3:O$91="")*(N$3:N$91="")*(M$3:M$91="P")*(G$3:G$91=G20)*(J$3:J$91&gt;J20)*(H$3:H$91="L5")))+1,""))))</f>
        <v/>
      </c>
      <c r="C20" s="35" t="s">
        <v>68</v>
      </c>
      <c r="D20" t="str">
        <f>IF(E20="","",VLOOKUP(E20,'Coaching Points'!A:B,2,0))</f>
        <v>ON</v>
      </c>
      <c r="E20" s="35" t="s">
        <v>135</v>
      </c>
      <c r="F20" s="34">
        <v>2006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212</v>
      </c>
      <c r="I20" s="40"/>
      <c r="J20" s="4">
        <f>R20+S20+IF(OR(H20="Junior",H20="Senior"),0.0002,IF(OR(H20="L7",H20="L6"),0.0001,0))+IF(G20="17-21",MAX(AA20,AC20,AF20),AE20)*0.0000001</f>
        <v>97.860104872000008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48.95</v>
      </c>
      <c r="S20" s="4">
        <f>IF(G20="17-21",LARGE(CHOOSE({1,2,3,4,5,6},T20,V20,Y20,AA20,AC20,AF20),2),IF(R20=X20,MAX(Y20,AA20,AC20,AF20),IF(R20=AE20,MAX(AF20,T20,V20,Y20),0)))</f>
        <v>48.91</v>
      </c>
      <c r="T20" s="32">
        <v>48.95</v>
      </c>
      <c r="U20" s="37">
        <v>14.1</v>
      </c>
      <c r="V20" s="33">
        <v>5.4</v>
      </c>
      <c r="W20" s="37">
        <v>2</v>
      </c>
      <c r="X20" s="4">
        <f>IF(H20="Senior",MAX(T20,V20),T20+V20)</f>
        <v>54.35</v>
      </c>
      <c r="Y20" s="33">
        <v>48.91</v>
      </c>
      <c r="Z20" s="37">
        <v>12.7</v>
      </c>
      <c r="AA20" s="32">
        <v>45.27</v>
      </c>
      <c r="AB20" s="37">
        <v>11.3</v>
      </c>
      <c r="AC20" s="33">
        <v>5.37</v>
      </c>
      <c r="AD20" s="37">
        <v>1.7</v>
      </c>
      <c r="AE20" s="4">
        <f>IF(H20="Senior",MAX(AA20,AC20),AA20+AC20)</f>
        <v>50.64</v>
      </c>
      <c r="AF20" s="33">
        <v>48.72</v>
      </c>
      <c r="AG20" s="37">
        <v>14.1</v>
      </c>
    </row>
    <row r="21" spans="1:33" x14ac:dyDescent="0.2">
      <c r="A21" s="1" t="str" cm="1">
        <f t="array" ref="A21">IF(I21="","",IF(P21&lt;&gt;"",SUMPRODUCT((P$3:P$91&lt;&gt;"")*(G$3:G$91=G21)*(J$3:J$91&gt;J21)*(I$3:I$91="P"))+1,IF(O21&lt;&gt;"",SUMPRODUCT((O$3:O$91&lt;&gt;"")*(P$3:P$91="")*(G$3:G$91=G21)*(J$3:J$91&gt;J21)*(I$3:I$91="P"))+SUMPRODUCT((P$3:P$91&lt;&gt;"")*(G$3:G$91=G21)*(I$3:I$91="P"))+1,IF(N21&lt;&gt;"",SUMPRODUCT((N$3:N$91&lt;&gt;"")*(G$3:G$91=G21)*(J$3:J$91&gt;J21)*(I$3:I$91="P"))+1,IF(M21="P",SUMPRODUCT((O$3:O$91&lt;&gt;"")*(P$3:P$91="")*(G$3:G$91=G21)*(I$3:I$91="P"))+SUMPRODUCT((P$3:P$91&lt;&gt;"")*(G$3:G$91=G21)*(I$3:I$91="P"))+SUMPRODUCT((N$3:N$91&lt;&gt;"")*(G$3:G$91=G21)*(I$3:I$91="P"))+SUMPRODUCT((P$3:P$91="")*(O$3:O$91="")*(N$3:N$91="")*(M$3:M$91="P")*(G$3:G$91=G21)*(J$3:J$91&gt;J21)*(I$3:I$91="P"))+IF(H21="L5",SUMPRODUCT((P$3:P$91="")*(O$3:O$91="")*(N$3:N$91="")*(M$3:M$91="P")*(G$3:G$91=G21)*(J$3:J$91&lt;J21)*(H$3:H$91&lt;&gt;H21)*(I$3:I$91="P")),-1*SUMPRODUCT((P$3:P$91="")*(O$3:O$91="")*(N$3:N$91="")*(M$3:M$91="P")*(G$3:G$91=G21)*(J$3:J$91&gt;J21)*(H$3:H$91="L5")*(I$3:I$91="P")))+1,"")))))</f>
        <v/>
      </c>
      <c r="B21" s="1" t="str" cm="1">
        <f t="array" ref="B21">IF(P21&lt;&gt;"",SUMPRODUCT((P$3:P$91&lt;&gt;"")*(G$3:G$91=G21)*(J$3:J$91&gt;J21))+1,IF(O21&lt;&gt;"",SUMPRODUCT((O$3:O$91&lt;&gt;"")*(P$3:P$91="")*(G$3:G$91=G21)*(J$3:J$91&gt;J21))+SUMPRODUCT((P$3:P$91&lt;&gt;"")*(G$3:G$91=G21))+1,IF(N21&lt;&gt;"",SUMPRODUCT((N$3:N$91&lt;&gt;"")*(G$3:G$91=G21)*(J$3:J$91&gt;J21))+1,IF(M21="P",SUMPRODUCT((O$3:O$91&lt;&gt;"")*(P$3:P$91="")*(G$3:G$91=G21))+SUMPRODUCT((P$3:P$91&lt;&gt;"")*(G$3:G$91=G21))+SUMPRODUCT((N$3:N$91&lt;&gt;"")*(G$3:G$91=G21))+SUMPRODUCT((P$3:P$91="")*(O$3:O$91="")*(N$3:N$91="")*(M$3:M$91="P")*(G$3:G$91=G21)*(J$3:J$91&gt;J21))+IF(H21="L5",SUMPRODUCT((P$3:P$91="")*(O$3:O$91="")*(N$3:N$91="")*(M$3:M$91="P")*(G$3:G$91=G21)*(J$3:J$91&lt;J21)*(H$3:H$91&lt;&gt;H21)),-1*SUMPRODUCT((P$3:P$91="")*(O$3:O$91="")*(N$3:N$91="")*(M$3:M$91="P")*(G$3:G$91=G21)*(J$3:J$91&gt;J21)*(H$3:H$91="L5")))+1,""))))</f>
        <v/>
      </c>
      <c r="C21" s="35" t="s">
        <v>161</v>
      </c>
      <c r="D21" t="str">
        <f>IF(E21="","",VLOOKUP(E21,'Coaching Points'!A:B,2,0))</f>
        <v>NL</v>
      </c>
      <c r="E21" s="35" t="s">
        <v>79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R21+S21+IF(OR(H21="Junior",H21="Senior"),0.0002,IF(OR(H21="L7",H21="L6"),0.0001,0))+IF(G21="17-21",MAX(AA21,AC21,AF21),AE21)*0.0000001</f>
        <v>97.710100000000011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49.6</v>
      </c>
      <c r="S21" s="4">
        <f>IF(G21="17-21",LARGE(CHOOSE({1,2,3,4,5,6},T21,V21,Y21,AA21,AC21,AF21),2),IF(R21=X21,MAX(Y21,AA21,AC21,AF21),IF(R21=AE21,MAX(AF21,T21,V21,Y21),0)))</f>
        <v>48.11</v>
      </c>
      <c r="T21" s="32">
        <v>38.119999999999997</v>
      </c>
      <c r="U21" s="37">
        <v>0</v>
      </c>
      <c r="V21" s="33">
        <v>48.11</v>
      </c>
      <c r="W21" s="37">
        <v>11.1</v>
      </c>
      <c r="X21" s="4">
        <f>IF(H21="Senior",MAX(T21,V21),T21+V21)</f>
        <v>86.22999999999999</v>
      </c>
      <c r="Y21" s="33">
        <v>49.6</v>
      </c>
      <c r="Z21" s="37">
        <v>11.2</v>
      </c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$91&lt;&gt;"")*(G$3:G$91=G22)*(J$3:J$91&gt;J22)*(I$3:I$91="P"))+1,IF(O22&lt;&gt;"",SUMPRODUCT((O$3:O$91&lt;&gt;"")*(P$3:P$91="")*(G$3:G$91=G22)*(J$3:J$91&gt;J22)*(I$3:I$91="P"))+SUMPRODUCT((P$3:P$91&lt;&gt;"")*(G$3:G$91=G22)*(I$3:I$91="P"))+1,IF(N22&lt;&gt;"",SUMPRODUCT((N$3:N$91&lt;&gt;"")*(G$3:G$91=G22)*(J$3:J$91&gt;J22)*(I$3:I$91="P"))+1,IF(M22="P",SUMPRODUCT((O$3:O$91&lt;&gt;"")*(P$3:P$91="")*(G$3:G$91=G22)*(I$3:I$91="P"))+SUMPRODUCT((P$3:P$91&lt;&gt;"")*(G$3:G$91=G22)*(I$3:I$91="P"))+SUMPRODUCT((N$3:N$91&lt;&gt;"")*(G$3:G$91=G22)*(I$3:I$91="P"))+SUMPRODUCT((P$3:P$91="")*(O$3:O$91="")*(N$3:N$91="")*(M$3:M$91="P")*(G$3:G$91=G22)*(J$3:J$91&gt;J22)*(I$3:I$91="P"))+IF(H22="L5",SUMPRODUCT((P$3:P$91="")*(O$3:O$91="")*(N$3:N$91="")*(M$3:M$91="P")*(G$3:G$91=G22)*(J$3:J$91&lt;J22)*(H$3:H$91&lt;&gt;H22)*(I$3:I$91="P")),-1*SUMPRODUCT((P$3:P$91="")*(O$3:O$91="")*(N$3:N$91="")*(M$3:M$91="P")*(G$3:G$91=G22)*(J$3:J$91&gt;J22)*(H$3:H$91="L5")*(I$3:I$91="P")))+1,"")))))</f>
        <v/>
      </c>
      <c r="B22" s="1" t="str" cm="1">
        <f t="array" ref="B22">IF(P22&lt;&gt;"",SUMPRODUCT((P$3:P$91&lt;&gt;"")*(G$3:G$91=G22)*(J$3:J$91&gt;J22))+1,IF(O22&lt;&gt;"",SUMPRODUCT((O$3:O$91&lt;&gt;"")*(P$3:P$91="")*(G$3:G$91=G22)*(J$3:J$91&gt;J22))+SUMPRODUCT((P$3:P$91&lt;&gt;"")*(G$3:G$91=G22))+1,IF(N22&lt;&gt;"",SUMPRODUCT((N$3:N$91&lt;&gt;"")*(G$3:G$91=G22)*(J$3:J$91&gt;J22))+1,IF(M22="P",SUMPRODUCT((O$3:O$91&lt;&gt;"")*(P$3:P$91="")*(G$3:G$91=G22))+SUMPRODUCT((P$3:P$91&lt;&gt;"")*(G$3:G$91=G22))+SUMPRODUCT((N$3:N$91&lt;&gt;"")*(G$3:G$91=G22))+SUMPRODUCT((P$3:P$91="")*(O$3:O$91="")*(N$3:N$91="")*(M$3:M$91="P")*(G$3:G$91=G22)*(J$3:J$91&gt;J22))+IF(H22="L5",SUMPRODUCT((P$3:P$91="")*(O$3:O$91="")*(N$3:N$91="")*(M$3:M$91="P")*(G$3:G$91=G22)*(J$3:J$91&lt;J22)*(H$3:H$91&lt;&gt;H22)),-1*SUMPRODUCT((P$3:P$91="")*(O$3:O$91="")*(N$3:N$91="")*(M$3:M$91="P")*(G$3:G$91=G22)*(J$3:J$91&gt;J22)*(H$3:H$91="L5")))+1,""))))</f>
        <v/>
      </c>
      <c r="C22" s="35" t="s">
        <v>400</v>
      </c>
      <c r="D22" t="str">
        <f>IF(E22="","",VLOOKUP(E22,'Coaching Points'!A:B,2,0))</f>
        <v>QC</v>
      </c>
      <c r="E22" s="35" t="s">
        <v>75</v>
      </c>
      <c r="F22" s="34">
        <v>2008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95.810004843000002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48.43</v>
      </c>
      <c r="S22" s="4">
        <f>IF(G22="17-21",LARGE(CHOOSE({1,2,3,4,5,6},T22,V22,Y22,AA22,AC22,AF22),2),IF(R22=X22,MAX(Y22,AA22,AC22,AF22),IF(R22=AE22,MAX(AF22,T22,V22,Y22),0)))</f>
        <v>47.38</v>
      </c>
      <c r="T22" s="32"/>
      <c r="U22" s="37"/>
      <c r="V22" s="33"/>
      <c r="W22" s="37"/>
      <c r="X22" s="4"/>
      <c r="Y22" s="33"/>
      <c r="Z22" s="37"/>
      <c r="AA22" s="32">
        <v>40.72</v>
      </c>
      <c r="AB22" s="37">
        <v>0</v>
      </c>
      <c r="AC22" s="33">
        <v>48.43</v>
      </c>
      <c r="AD22" s="37">
        <v>9.1999999999999993</v>
      </c>
      <c r="AE22" s="4">
        <f>IF(H22="Senior",MAX(AA22,AC22),AA22+AC22)</f>
        <v>89.15</v>
      </c>
      <c r="AF22" s="33">
        <v>47.38</v>
      </c>
      <c r="AG22" s="37">
        <v>9.1999999999999993</v>
      </c>
    </row>
    <row r="23" spans="1:33" x14ac:dyDescent="0.2">
      <c r="A23" s="1" t="str" cm="1">
        <f t="array" ref="A23">IF(I23="","",IF(P23&lt;&gt;"",SUMPRODUCT((P$3:P$91&lt;&gt;"")*(G$3:G$91=G23)*(J$3:J$91&gt;J23)*(I$3:I$91="P"))+1,IF(O23&lt;&gt;"",SUMPRODUCT((O$3:O$91&lt;&gt;"")*(P$3:P$91="")*(G$3:G$91=G23)*(J$3:J$91&gt;J23)*(I$3:I$91="P"))+SUMPRODUCT((P$3:P$91&lt;&gt;"")*(G$3:G$91=G23)*(I$3:I$91="P"))+1,IF(N23&lt;&gt;"",SUMPRODUCT((N$3:N$91&lt;&gt;"")*(G$3:G$91=G23)*(J$3:J$91&gt;J23)*(I$3:I$91="P"))+1,IF(M23="P",SUMPRODUCT((O$3:O$91&lt;&gt;"")*(P$3:P$91="")*(G$3:G$91=G23)*(I$3:I$91="P"))+SUMPRODUCT((P$3:P$91&lt;&gt;"")*(G$3:G$91=G23)*(I$3:I$91="P"))+SUMPRODUCT((N$3:N$91&lt;&gt;"")*(G$3:G$91=G23)*(I$3:I$91="P"))+SUMPRODUCT((P$3:P$91="")*(O$3:O$91="")*(N$3:N$91="")*(M$3:M$91="P")*(G$3:G$91=G23)*(J$3:J$91&gt;J23)*(I$3:I$91="P"))+IF(H23="L5",SUMPRODUCT((P$3:P$91="")*(O$3:O$91="")*(N$3:N$91="")*(M$3:M$91="P")*(G$3:G$91=G23)*(J$3:J$91&lt;J23)*(H$3:H$91&lt;&gt;H23)*(I$3:I$91="P")),-1*SUMPRODUCT((P$3:P$91="")*(O$3:O$91="")*(N$3:N$91="")*(M$3:M$91="P")*(G$3:G$91=G23)*(J$3:J$91&gt;J23)*(H$3:H$91="L5")*(I$3:I$91="P")))+1,"")))))</f>
        <v/>
      </c>
      <c r="B23" s="1" t="str" cm="1">
        <f t="array" ref="B23">IF(P23&lt;&gt;"",SUMPRODUCT((P$3:P$91&lt;&gt;"")*(G$3:G$91=G23)*(J$3:J$91&gt;J23))+1,IF(O23&lt;&gt;"",SUMPRODUCT((O$3:O$91&lt;&gt;"")*(P$3:P$91="")*(G$3:G$91=G23)*(J$3:J$91&gt;J23))+SUMPRODUCT((P$3:P$91&lt;&gt;"")*(G$3:G$91=G23))+1,IF(N23&lt;&gt;"",SUMPRODUCT((N$3:N$91&lt;&gt;"")*(G$3:G$91=G23)*(J$3:J$91&gt;J23))+1,IF(M23="P",SUMPRODUCT((O$3:O$91&lt;&gt;"")*(P$3:P$91="")*(G$3:G$91=G23))+SUMPRODUCT((P$3:P$91&lt;&gt;"")*(G$3:G$91=G23))+SUMPRODUCT((N$3:N$91&lt;&gt;"")*(G$3:G$91=G23))+SUMPRODUCT((P$3:P$91="")*(O$3:O$91="")*(N$3:N$91="")*(M$3:M$91="P")*(G$3:G$91=G23)*(J$3:J$91&gt;J23))+IF(H23="L5",SUMPRODUCT((P$3:P$91="")*(O$3:O$91="")*(N$3:N$91="")*(M$3:M$91="P")*(G$3:G$91=G23)*(J$3:J$91&lt;J23)*(H$3:H$91&lt;&gt;H23)),-1*SUMPRODUCT((P$3:P$91="")*(O$3:O$91="")*(N$3:N$91="")*(M$3:M$91="P")*(G$3:G$91=G23)*(J$3:J$91&gt;J23)*(H$3:H$91="L5")))+1,""))))</f>
        <v/>
      </c>
      <c r="C23" s="35" t="s">
        <v>201</v>
      </c>
      <c r="D23" t="str">
        <f>IF(E23="","",VLOOKUP(E23,'Coaching Points'!A:B,2,0))</f>
        <v>ON</v>
      </c>
      <c r="E23" s="35" t="s">
        <v>130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95.610004402000001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48.1</v>
      </c>
      <c r="S23" s="4">
        <f>IF(G23="17-21",LARGE(CHOOSE({1,2,3,4,5,6},T23,V23,Y23,AA23,AC23,AF23),2),IF(R23=X23,MAX(Y23,AA23,AC23,AF23),IF(R23=AE23,MAX(AF23,T23,V23,Y23),0)))</f>
        <v>47.51</v>
      </c>
      <c r="T23" s="32">
        <v>40.53</v>
      </c>
      <c r="U23" s="37">
        <v>0</v>
      </c>
      <c r="V23" s="33">
        <v>47.51</v>
      </c>
      <c r="W23" s="37">
        <v>10.4</v>
      </c>
      <c r="X23" s="4">
        <f>IF(H23="Senior",MAX(T23,V23),T23+V23)</f>
        <v>88.039999999999992</v>
      </c>
      <c r="Y23" s="33">
        <v>48.1</v>
      </c>
      <c r="Z23" s="37">
        <v>10.5</v>
      </c>
      <c r="AA23" s="32">
        <v>39.090000000000003</v>
      </c>
      <c r="AB23" s="37">
        <v>0</v>
      </c>
      <c r="AC23" s="33">
        <v>44.02</v>
      </c>
      <c r="AD23" s="37">
        <v>10.5</v>
      </c>
      <c r="AE23" s="4">
        <f>IF(H23="Senior",MAX(AA23,AC23),AA23+AC23)</f>
        <v>83.110000000000014</v>
      </c>
      <c r="AF23" s="33">
        <v>27.73</v>
      </c>
      <c r="AG23" s="37">
        <v>6.2</v>
      </c>
    </row>
    <row r="24" spans="1:33" x14ac:dyDescent="0.2">
      <c r="A24" s="1" t="str" cm="1">
        <f t="array" ref="A24">IF(I24="","",IF(P24&lt;&gt;"",SUMPRODUCT((P$3:P$91&lt;&gt;"")*(G$3:G$91=G24)*(J$3:J$91&gt;J24)*(I$3:I$91="P"))+1,IF(O24&lt;&gt;"",SUMPRODUCT((O$3:O$91&lt;&gt;"")*(P$3:P$91="")*(G$3:G$91=G24)*(J$3:J$91&gt;J24)*(I$3:I$91="P"))+SUMPRODUCT((P$3:P$91&lt;&gt;"")*(G$3:G$91=G24)*(I$3:I$91="P"))+1,IF(N24&lt;&gt;"",SUMPRODUCT((N$3:N$91&lt;&gt;"")*(G$3:G$91=G24)*(J$3:J$91&gt;J24)*(I$3:I$91="P"))+1,IF(M24="P",SUMPRODUCT((O$3:O$91&lt;&gt;"")*(P$3:P$91="")*(G$3:G$91=G24)*(I$3:I$91="P"))+SUMPRODUCT((P$3:P$91&lt;&gt;"")*(G$3:G$91=G24)*(I$3:I$91="P"))+SUMPRODUCT((N$3:N$91&lt;&gt;"")*(G$3:G$91=G24)*(I$3:I$91="P"))+SUMPRODUCT((P$3:P$91="")*(O$3:O$91="")*(N$3:N$91="")*(M$3:M$91="P")*(G$3:G$91=G24)*(J$3:J$91&gt;J24)*(I$3:I$91="P"))+IF(H24="L5",SUMPRODUCT((P$3:P$91="")*(O$3:O$91="")*(N$3:N$91="")*(M$3:M$91="P")*(G$3:G$91=G24)*(J$3:J$91&lt;J24)*(H$3:H$91&lt;&gt;H24)*(I$3:I$91="P")),-1*SUMPRODUCT((P$3:P$91="")*(O$3:O$91="")*(N$3:N$91="")*(M$3:M$91="P")*(G$3:G$91=G24)*(J$3:J$91&gt;J24)*(H$3:H$91="L5")*(I$3:I$91="P")))+1,"")))))</f>
        <v/>
      </c>
      <c r="B24" s="1" t="str" cm="1">
        <f t="array" ref="B24">IF(P24&lt;&gt;"",SUMPRODUCT((P$3:P$91&lt;&gt;"")*(G$3:G$91=G24)*(J$3:J$91&gt;J24))+1,IF(O24&lt;&gt;"",SUMPRODUCT((O$3:O$91&lt;&gt;"")*(P$3:P$91="")*(G$3:G$91=G24)*(J$3:J$91&gt;J24))+SUMPRODUCT((P$3:P$91&lt;&gt;"")*(G$3:G$91=G24))+1,IF(N24&lt;&gt;"",SUMPRODUCT((N$3:N$91&lt;&gt;"")*(G$3:G$91=G24)*(J$3:J$91&gt;J24))+1,IF(M24="P",SUMPRODUCT((O$3:O$91&lt;&gt;"")*(P$3:P$91="")*(G$3:G$91=G24))+SUMPRODUCT((P$3:P$91&lt;&gt;"")*(G$3:G$91=G24))+SUMPRODUCT((N$3:N$91&lt;&gt;"")*(G$3:G$91=G24))+SUMPRODUCT((P$3:P$91="")*(O$3:O$91="")*(N$3:N$91="")*(M$3:M$91="P")*(G$3:G$91=G24)*(J$3:J$91&gt;J24))+IF(H24="L5",SUMPRODUCT((P$3:P$91="")*(O$3:O$91="")*(N$3:N$91="")*(M$3:M$91="P")*(G$3:G$91=G24)*(J$3:J$91&lt;J24)*(H$3:H$91&lt;&gt;H24)),-1*SUMPRODUCT((P$3:P$91="")*(O$3:O$91="")*(N$3:N$91="")*(M$3:M$91="P")*(G$3:G$91=G24)*(J$3:J$91&gt;J24)*(H$3:H$91="L5")))+1,""))))</f>
        <v/>
      </c>
      <c r="C24" s="35" t="s">
        <v>401</v>
      </c>
      <c r="D24" t="str">
        <f>IF(E24="","",VLOOKUP(E24,'Coaching Points'!A:B,2,0))</f>
        <v>NL</v>
      </c>
      <c r="E24" s="35" t="s">
        <v>141</v>
      </c>
      <c r="F24" s="34">
        <v>2008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R24+S24+IF(OR(H24="Junior",H24="Senior"),0.0002,IF(OR(H24="L7",H24="L6"),0.0001,0))+IF(G24="17-21",MAX(AA24,AC24,AF24),AE24)*0.0000001</f>
        <v>95.430004784000005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47.84</v>
      </c>
      <c r="S24" s="4">
        <f>IF(G24="17-21",LARGE(CHOOSE({1,2,3,4,5,6},T24,V24,Y24,AA24,AC24,AF24),2),IF(R24=X24,MAX(Y24,AA24,AC24,AF24),IF(R24=AE24,MAX(AF24,T24,V24,Y24),0)))</f>
        <v>47.59</v>
      </c>
      <c r="T24" s="32"/>
      <c r="U24" s="37"/>
      <c r="V24" s="33"/>
      <c r="W24" s="37"/>
      <c r="X24" s="4"/>
      <c r="Y24" s="33"/>
      <c r="Z24" s="37"/>
      <c r="AA24" s="32">
        <v>37.799999999999997</v>
      </c>
      <c r="AB24" s="37">
        <v>0</v>
      </c>
      <c r="AC24" s="33">
        <v>47.59</v>
      </c>
      <c r="AD24" s="37">
        <v>10.3</v>
      </c>
      <c r="AE24" s="4">
        <f>IF(H24="Senior",MAX(AA24,AC24),AA24+AC24)</f>
        <v>85.39</v>
      </c>
      <c r="AF24" s="33">
        <v>47.84</v>
      </c>
      <c r="AG24" s="37">
        <v>10.1</v>
      </c>
    </row>
    <row r="25" spans="1:33" x14ac:dyDescent="0.2">
      <c r="A25" s="1" t="str" cm="1">
        <f t="array" ref="A25">IF(I25="","",IF(P25&lt;&gt;"",SUMPRODUCT((P$3:P$91&lt;&gt;"")*(G$3:G$91=G25)*(J$3:J$91&gt;J25)*(I$3:I$91="P"))+1,IF(O25&lt;&gt;"",SUMPRODUCT((O$3:O$91&lt;&gt;"")*(P$3:P$91="")*(G$3:G$91=G25)*(J$3:J$91&gt;J25)*(I$3:I$91="P"))+SUMPRODUCT((P$3:P$91&lt;&gt;"")*(G$3:G$91=G25)*(I$3:I$91="P"))+1,IF(N25&lt;&gt;"",SUMPRODUCT((N$3:N$91&lt;&gt;"")*(G$3:G$91=G25)*(J$3:J$91&gt;J25)*(I$3:I$91="P"))+1,IF(M25="P",SUMPRODUCT((O$3:O$91&lt;&gt;"")*(P$3:P$91="")*(G$3:G$91=G25)*(I$3:I$91="P"))+SUMPRODUCT((P$3:P$91&lt;&gt;"")*(G$3:G$91=G25)*(I$3:I$91="P"))+SUMPRODUCT((N$3:N$91&lt;&gt;"")*(G$3:G$91=G25)*(I$3:I$91="P"))+SUMPRODUCT((P$3:P$91="")*(O$3:O$91="")*(N$3:N$91="")*(M$3:M$91="P")*(G$3:G$91=G25)*(J$3:J$91&gt;J25)*(I$3:I$91="P"))+IF(H25="L5",SUMPRODUCT((P$3:P$91="")*(O$3:O$91="")*(N$3:N$91="")*(M$3:M$91="P")*(G$3:G$91=G25)*(J$3:J$91&lt;J25)*(H$3:H$91&lt;&gt;H25)*(I$3:I$91="P")),-1*SUMPRODUCT((P$3:P$91="")*(O$3:O$91="")*(N$3:N$91="")*(M$3:M$91="P")*(G$3:G$91=G25)*(J$3:J$91&gt;J25)*(H$3:H$91="L5")*(I$3:I$91="P")))+1,"")))))</f>
        <v/>
      </c>
      <c r="B25" s="1" t="str" cm="1">
        <f t="array" ref="B25">IF(P25&lt;&gt;"",SUMPRODUCT((P$3:P$91&lt;&gt;"")*(G$3:G$91=G25)*(J$3:J$91&gt;J25))+1,IF(O25&lt;&gt;"",SUMPRODUCT((O$3:O$91&lt;&gt;"")*(P$3:P$91="")*(G$3:G$91=G25)*(J$3:J$91&gt;J25))+SUMPRODUCT((P$3:P$91&lt;&gt;"")*(G$3:G$91=G25))+1,IF(N25&lt;&gt;"",SUMPRODUCT((N$3:N$91&lt;&gt;"")*(G$3:G$91=G25)*(J$3:J$91&gt;J25))+1,IF(M25="P",SUMPRODUCT((O$3:O$91&lt;&gt;"")*(P$3:P$91="")*(G$3:G$91=G25))+SUMPRODUCT((P$3:P$91&lt;&gt;"")*(G$3:G$91=G25))+SUMPRODUCT((N$3:N$91&lt;&gt;"")*(G$3:G$91=G25))+SUMPRODUCT((P$3:P$91="")*(O$3:O$91="")*(N$3:N$91="")*(M$3:M$91="P")*(G$3:G$91=G25)*(J$3:J$91&gt;J25))+IF(H25="L5",SUMPRODUCT((P$3:P$91="")*(O$3:O$91="")*(N$3:N$91="")*(M$3:M$91="P")*(G$3:G$91=G25)*(J$3:J$91&lt;J25)*(H$3:H$91&lt;&gt;H25)),-1*SUMPRODUCT((P$3:P$91="")*(O$3:O$91="")*(N$3:N$91="")*(M$3:M$91="P")*(G$3:G$91=G25)*(J$3:J$91&gt;J25)*(H$3:H$91="L5")))+1,""))))</f>
        <v/>
      </c>
      <c r="C25" s="35" t="s">
        <v>200</v>
      </c>
      <c r="D25" t="str">
        <f>IF(E25="","",VLOOKUP(E25,'Coaching Points'!A:B,2,0))</f>
        <v>QC</v>
      </c>
      <c r="E25" s="35" t="s">
        <v>70</v>
      </c>
      <c r="F25" s="34">
        <v>2007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95.280004098999996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49.32</v>
      </c>
      <c r="S25" s="4">
        <f>IF(G25="17-21",LARGE(CHOOSE({1,2,3,4,5,6},T25,V25,Y25,AA25,AC25,AF25),2),IF(R25=X25,MAX(Y25,AA25,AC25,AF25),IF(R25=AE25,MAX(AF25,T25,V25,Y25),0)))</f>
        <v>45.96</v>
      </c>
      <c r="T25" s="32">
        <v>40.25</v>
      </c>
      <c r="U25" s="37">
        <v>0</v>
      </c>
      <c r="V25" s="33">
        <v>45.96</v>
      </c>
      <c r="W25" s="37">
        <v>9</v>
      </c>
      <c r="X25" s="4">
        <f>IF(H25="Senior",MAX(T25,V25),T25+V25)</f>
        <v>86.210000000000008</v>
      </c>
      <c r="Y25" s="33">
        <v>49.32</v>
      </c>
      <c r="Z25" s="37">
        <v>9.4</v>
      </c>
      <c r="AA25" s="32">
        <v>40.99</v>
      </c>
      <c r="AB25" s="37">
        <v>0</v>
      </c>
      <c r="AC25" s="33">
        <v>26.81</v>
      </c>
      <c r="AD25" s="37">
        <v>5.6</v>
      </c>
      <c r="AE25" s="4">
        <f>IF(H25="Senior",MAX(AA25,AC25),AA25+AC25)</f>
        <v>67.8</v>
      </c>
      <c r="AF25" s="33"/>
      <c r="AG25" s="37"/>
    </row>
    <row r="26" spans="1:33" x14ac:dyDescent="0.2">
      <c r="A26" s="1" t="str" cm="1">
        <f t="array" ref="A26">IF(I26="","",IF(P26&lt;&gt;"",SUMPRODUCT((P$3:P$91&lt;&gt;"")*(G$3:G$91=G26)*(J$3:J$91&gt;J26)*(I$3:I$91="P"))+1,IF(O26&lt;&gt;"",SUMPRODUCT((O$3:O$91&lt;&gt;"")*(P$3:P$91="")*(G$3:G$91=G26)*(J$3:J$91&gt;J26)*(I$3:I$91="P"))+SUMPRODUCT((P$3:P$91&lt;&gt;"")*(G$3:G$91=G26)*(I$3:I$91="P"))+1,IF(N26&lt;&gt;"",SUMPRODUCT((N$3:N$91&lt;&gt;"")*(G$3:G$91=G26)*(J$3:J$91&gt;J26)*(I$3:I$91="P"))+1,IF(M26="P",SUMPRODUCT((O$3:O$91&lt;&gt;"")*(P$3:P$91="")*(G$3:G$91=G26)*(I$3:I$91="P"))+SUMPRODUCT((P$3:P$91&lt;&gt;"")*(G$3:G$91=G26)*(I$3:I$91="P"))+SUMPRODUCT((N$3:N$91&lt;&gt;"")*(G$3:G$91=G26)*(I$3:I$91="P"))+SUMPRODUCT((P$3:P$91="")*(O$3:O$91="")*(N$3:N$91="")*(M$3:M$91="P")*(G$3:G$91=G26)*(J$3:J$91&gt;J26)*(I$3:I$91="P"))+IF(H26="L5",SUMPRODUCT((P$3:P$91="")*(O$3:O$91="")*(N$3:N$91="")*(M$3:M$91="P")*(G$3:G$91=G26)*(J$3:J$91&lt;J26)*(H$3:H$91&lt;&gt;H26)*(I$3:I$91="P")),-1*SUMPRODUCT((P$3:P$91="")*(O$3:O$91="")*(N$3:N$91="")*(M$3:M$91="P")*(G$3:G$91=G26)*(J$3:J$91&gt;J26)*(H$3:H$91="L5")*(I$3:I$91="P")))+1,"")))))</f>
        <v/>
      </c>
      <c r="B26" s="1" t="str" cm="1">
        <f t="array" ref="B26">IF(P26&lt;&gt;"",SUMPRODUCT((P$3:P$91&lt;&gt;"")*(G$3:G$91=G26)*(J$3:J$91&gt;J26))+1,IF(O26&lt;&gt;"",SUMPRODUCT((O$3:O$91&lt;&gt;"")*(P$3:P$91="")*(G$3:G$91=G26)*(J$3:J$91&gt;J26))+SUMPRODUCT((P$3:P$91&lt;&gt;"")*(G$3:G$91=G26))+1,IF(N26&lt;&gt;"",SUMPRODUCT((N$3:N$91&lt;&gt;"")*(G$3:G$91=G26)*(J$3:J$91&gt;J26))+1,IF(M26="P",SUMPRODUCT((O$3:O$91&lt;&gt;"")*(P$3:P$91="")*(G$3:G$91=G26))+SUMPRODUCT((P$3:P$91&lt;&gt;"")*(G$3:G$91=G26))+SUMPRODUCT((N$3:N$91&lt;&gt;"")*(G$3:G$91=G26))+SUMPRODUCT((P$3:P$91="")*(O$3:O$91="")*(N$3:N$91="")*(M$3:M$91="P")*(G$3:G$91=G26)*(J$3:J$91&gt;J26))+IF(H26="L5",SUMPRODUCT((P$3:P$91="")*(O$3:O$91="")*(N$3:N$91="")*(M$3:M$91="P")*(G$3:G$91=G26)*(J$3:J$91&lt;J26)*(H$3:H$91&lt;&gt;H26)),-1*SUMPRODUCT((P$3:P$91="")*(O$3:O$91="")*(N$3:N$91="")*(M$3:M$91="P")*(G$3:G$91=G26)*(J$3:J$91&gt;J26)*(H$3:H$91="L5")))+1,""))))</f>
        <v/>
      </c>
      <c r="C26" s="35" t="s">
        <v>112</v>
      </c>
      <c r="D26" t="str">
        <f>IF(E26="","",VLOOKUP(E26,'Coaching Points'!A:B,2,0))</f>
        <v>QC</v>
      </c>
      <c r="E26" s="35" t="s">
        <v>3</v>
      </c>
      <c r="F26" s="34">
        <v>2007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95.270004333999992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48.23</v>
      </c>
      <c r="S26" s="4">
        <f>IF(G26="17-21",LARGE(CHOOSE({1,2,3,4,5,6},T26,V26,Y26,AA26,AC26,AF26),2),IF(R26=X26,MAX(Y26,AA26,AC26,AF26),IF(R26=AE26,MAX(AF26,T26,V26,Y26),0)))</f>
        <v>47.04</v>
      </c>
      <c r="T26" s="32">
        <v>39.130000000000003</v>
      </c>
      <c r="U26" s="37">
        <v>0</v>
      </c>
      <c r="V26" s="33">
        <v>48.23</v>
      </c>
      <c r="W26" s="37">
        <v>10.1</v>
      </c>
      <c r="X26" s="4">
        <f>IF(H26="Senior",MAX(T26,V26),T26+V26)</f>
        <v>87.36</v>
      </c>
      <c r="Y26" s="33">
        <v>47.04</v>
      </c>
      <c r="Z26" s="37">
        <v>10.1</v>
      </c>
      <c r="AA26" s="32">
        <v>38.57</v>
      </c>
      <c r="AB26" s="37">
        <v>0</v>
      </c>
      <c r="AC26" s="33">
        <v>43.34</v>
      </c>
      <c r="AD26" s="37">
        <v>9.4</v>
      </c>
      <c r="AE26" s="4">
        <f>IF(H26="Senior",MAX(AA26,AC26),AA26+AC26)</f>
        <v>81.91</v>
      </c>
      <c r="AF26" s="33"/>
      <c r="AG26" s="37"/>
    </row>
    <row r="27" spans="1:33" x14ac:dyDescent="0.2">
      <c r="A27" s="1" t="str" cm="1">
        <f t="array" ref="A27">IF(I27="","",IF(P27&lt;&gt;"",SUMPRODUCT((P$3:P$91&lt;&gt;"")*(G$3:G$91=G27)*(J$3:J$91&gt;J27)*(I$3:I$91="P"))+1,IF(O27&lt;&gt;"",SUMPRODUCT((O$3:O$91&lt;&gt;"")*(P$3:P$91="")*(G$3:G$91=G27)*(J$3:J$91&gt;J27)*(I$3:I$91="P"))+SUMPRODUCT((P$3:P$91&lt;&gt;"")*(G$3:G$91=G27)*(I$3:I$91="P"))+1,IF(N27&lt;&gt;"",SUMPRODUCT((N$3:N$91&lt;&gt;"")*(G$3:G$91=G27)*(J$3:J$91&gt;J27)*(I$3:I$91="P"))+1,IF(M27="P",SUMPRODUCT((O$3:O$91&lt;&gt;"")*(P$3:P$91="")*(G$3:G$91=G27)*(I$3:I$91="P"))+SUMPRODUCT((P$3:P$91&lt;&gt;"")*(G$3:G$91=G27)*(I$3:I$91="P"))+SUMPRODUCT((N$3:N$91&lt;&gt;"")*(G$3:G$91=G27)*(I$3:I$91="P"))+SUMPRODUCT((P$3:P$91="")*(O$3:O$91="")*(N$3:N$91="")*(M$3:M$91="P")*(G$3:G$91=G27)*(J$3:J$91&gt;J27)*(I$3:I$91="P"))+IF(H27="L5",SUMPRODUCT((P$3:P$91="")*(O$3:O$91="")*(N$3:N$91="")*(M$3:M$91="P")*(G$3:G$91=G27)*(J$3:J$91&lt;J27)*(H$3:H$91&lt;&gt;H27)*(I$3:I$91="P")),-1*SUMPRODUCT((P$3:P$91="")*(O$3:O$91="")*(N$3:N$91="")*(M$3:M$91="P")*(G$3:G$91=G27)*(J$3:J$91&gt;J27)*(H$3:H$91="L5")*(I$3:I$91="P")))+1,"")))))</f>
        <v/>
      </c>
      <c r="B27" s="1" t="str" cm="1">
        <f t="array" ref="B27">IF(P27&lt;&gt;"",SUMPRODUCT((P$3:P$91&lt;&gt;"")*(G$3:G$91=G27)*(J$3:J$91&gt;J27))+1,IF(O27&lt;&gt;"",SUMPRODUCT((O$3:O$91&lt;&gt;"")*(P$3:P$91="")*(G$3:G$91=G27)*(J$3:J$91&gt;J27))+SUMPRODUCT((P$3:P$91&lt;&gt;"")*(G$3:G$91=G27))+1,IF(N27&lt;&gt;"",SUMPRODUCT((N$3:N$91&lt;&gt;"")*(G$3:G$91=G27)*(J$3:J$91&gt;J27))+1,IF(M27="P",SUMPRODUCT((O$3:O$91&lt;&gt;"")*(P$3:P$91="")*(G$3:G$91=G27))+SUMPRODUCT((P$3:P$91&lt;&gt;"")*(G$3:G$91=G27))+SUMPRODUCT((N$3:N$91&lt;&gt;"")*(G$3:G$91=G27))+SUMPRODUCT((P$3:P$91="")*(O$3:O$91="")*(N$3:N$91="")*(M$3:M$91="P")*(G$3:G$91=G27)*(J$3:J$91&gt;J27))+IF(H27="L5",SUMPRODUCT((P$3:P$91="")*(O$3:O$91="")*(N$3:N$91="")*(M$3:M$91="P")*(G$3:G$91=G27)*(J$3:J$91&lt;J27)*(H$3:H$91&lt;&gt;H27)),-1*SUMPRODUCT((P$3:P$91="")*(O$3:O$91="")*(N$3:N$91="")*(M$3:M$91="P")*(G$3:G$91=G27)*(J$3:J$91&gt;J27)*(H$3:H$91="L5")))+1,""))))</f>
        <v/>
      </c>
      <c r="C27" s="35" t="s">
        <v>405</v>
      </c>
      <c r="D27" t="str">
        <f>IF(E27="","",VLOOKUP(E27,'Coaching Points'!A:B,2,0))</f>
        <v>NL</v>
      </c>
      <c r="E27" s="35" t="s">
        <v>79</v>
      </c>
      <c r="F27" s="34">
        <v>2007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213</v>
      </c>
      <c r="I27" s="40"/>
      <c r="J27" s="4">
        <f>R27+S27+IF(OR(H27="Junior",H27="Senior"),0.0002,IF(OR(H27="L7",H27="L6"),0.0001,0))+IF(G27="17-21",MAX(AA27,AC27,AF27),AE27)*0.0000001</f>
        <v>95.190104861999998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48.62</v>
      </c>
      <c r="S27" s="4">
        <f>IF(G27="17-21",LARGE(CHOOSE({1,2,3,4,5,6},T27,V27,Y27,AA27,AC27,AF27),2),IF(R27=X27,MAX(Y27,AA27,AC27,AF27),IF(R27=AE27,MAX(AF27,T27,V27,Y27),0)))</f>
        <v>46.57</v>
      </c>
      <c r="T27" s="32"/>
      <c r="U27" s="37"/>
      <c r="V27" s="33"/>
      <c r="W27" s="37"/>
      <c r="X27" s="4"/>
      <c r="Y27" s="33"/>
      <c r="Z27" s="37"/>
      <c r="AA27" s="32">
        <v>39.909999999999997</v>
      </c>
      <c r="AB27" s="37">
        <v>0</v>
      </c>
      <c r="AC27" s="33">
        <v>48.62</v>
      </c>
      <c r="AD27" s="37">
        <v>11.2</v>
      </c>
      <c r="AE27" s="4">
        <f>IF(H27="Senior",MAX(AA27,AC27),AA27+AC27)</f>
        <v>88.53</v>
      </c>
      <c r="AF27" s="33">
        <v>46.57</v>
      </c>
      <c r="AG27" s="37">
        <v>11</v>
      </c>
    </row>
    <row r="28" spans="1:33" x14ac:dyDescent="0.2">
      <c r="A28" s="1" t="str" cm="1">
        <f t="array" ref="A28">IF(I28="","",IF(P28&lt;&gt;"",SUMPRODUCT((P$3:P$91&lt;&gt;"")*(G$3:G$91=G28)*(J$3:J$91&gt;J28)*(I$3:I$91="P"))+1,IF(O28&lt;&gt;"",SUMPRODUCT((O$3:O$91&lt;&gt;"")*(P$3:P$91="")*(G$3:G$91=G28)*(J$3:J$91&gt;J28)*(I$3:I$91="P"))+SUMPRODUCT((P$3:P$91&lt;&gt;"")*(G$3:G$91=G28)*(I$3:I$91="P"))+1,IF(N28&lt;&gt;"",SUMPRODUCT((N$3:N$91&lt;&gt;"")*(G$3:G$91=G28)*(J$3:J$91&gt;J28)*(I$3:I$91="P"))+1,IF(M28="P",SUMPRODUCT((O$3:O$91&lt;&gt;"")*(P$3:P$91="")*(G$3:G$91=G28)*(I$3:I$91="P"))+SUMPRODUCT((P$3:P$91&lt;&gt;"")*(G$3:G$91=G28)*(I$3:I$91="P"))+SUMPRODUCT((N$3:N$91&lt;&gt;"")*(G$3:G$91=G28)*(I$3:I$91="P"))+SUMPRODUCT((P$3:P$91="")*(O$3:O$91="")*(N$3:N$91="")*(M$3:M$91="P")*(G$3:G$91=G28)*(J$3:J$91&gt;J28)*(I$3:I$91="P"))+IF(H28="L5",SUMPRODUCT((P$3:P$91="")*(O$3:O$91="")*(N$3:N$91="")*(M$3:M$91="P")*(G$3:G$91=G28)*(J$3:J$91&lt;J28)*(H$3:H$91&lt;&gt;H28)*(I$3:I$91="P")),-1*SUMPRODUCT((P$3:P$91="")*(O$3:O$91="")*(N$3:N$91="")*(M$3:M$91="P")*(G$3:G$91=G28)*(J$3:J$91&gt;J28)*(H$3:H$91="L5")*(I$3:I$91="P")))+1,"")))))</f>
        <v/>
      </c>
      <c r="B28" s="1" t="str" cm="1">
        <f t="array" ref="B28">IF(P28&lt;&gt;"",SUMPRODUCT((P$3:P$91&lt;&gt;"")*(G$3:G$91=G28)*(J$3:J$91&gt;J28))+1,IF(O28&lt;&gt;"",SUMPRODUCT((O$3:O$91&lt;&gt;"")*(P$3:P$91="")*(G$3:G$91=G28)*(J$3:J$91&gt;J28))+SUMPRODUCT((P$3:P$91&lt;&gt;"")*(G$3:G$91=G28))+1,IF(N28&lt;&gt;"",SUMPRODUCT((N$3:N$91&lt;&gt;"")*(G$3:G$91=G28)*(J$3:J$91&gt;J28))+1,IF(M28="P",SUMPRODUCT((O$3:O$91&lt;&gt;"")*(P$3:P$91="")*(G$3:G$91=G28))+SUMPRODUCT((P$3:P$91&lt;&gt;"")*(G$3:G$91=G28))+SUMPRODUCT((N$3:N$91&lt;&gt;"")*(G$3:G$91=G28))+SUMPRODUCT((P$3:P$91="")*(O$3:O$91="")*(N$3:N$91="")*(M$3:M$91="P")*(G$3:G$91=G28)*(J$3:J$91&gt;J28))+IF(H28="L5",SUMPRODUCT((P$3:P$91="")*(O$3:O$91="")*(N$3:N$91="")*(M$3:M$91="P")*(G$3:G$91=G28)*(J$3:J$91&lt;J28)*(H$3:H$91&lt;&gt;H28)),-1*SUMPRODUCT((P$3:P$91="")*(O$3:O$91="")*(N$3:N$91="")*(M$3:M$91="P")*(G$3:G$91=G28)*(J$3:J$91&gt;J28)*(H$3:H$91="L5")))+1,""))))</f>
        <v/>
      </c>
      <c r="C28" s="35" t="s">
        <v>399</v>
      </c>
      <c r="D28" t="str">
        <f>IF(E28="","",VLOOKUP(E28,'Coaching Points'!A:B,2,0))</f>
        <v>ON</v>
      </c>
      <c r="E28" s="35" t="s">
        <v>142</v>
      </c>
      <c r="F28" s="34">
        <v>2007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R28+S28+IF(OR(H28="Junior",H28="Senior"),0.0002,IF(OR(H28="L7",H28="L6"),0.0001,0))+IF(G28="17-21",MAX(AA28,AC28,AF28),AE28)*0.0000001</f>
        <v>94.900004780000003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47.8</v>
      </c>
      <c r="S28" s="4">
        <f>IF(G28="17-21",LARGE(CHOOSE({1,2,3,4,5,6},T28,V28,Y28,AA28,AC28,AF28),2),IF(R28=X28,MAX(Y28,AA28,AC28,AF28),IF(R28=AE28,MAX(AF28,T28,V28,Y28),0)))</f>
        <v>47.1</v>
      </c>
      <c r="T28" s="32"/>
      <c r="U28" s="37"/>
      <c r="V28" s="33"/>
      <c r="W28" s="37"/>
      <c r="X28" s="4"/>
      <c r="Y28" s="33"/>
      <c r="Z28" s="37"/>
      <c r="AA28" s="32">
        <v>41.71</v>
      </c>
      <c r="AB28" s="37">
        <v>0</v>
      </c>
      <c r="AC28" s="33">
        <v>47.8</v>
      </c>
      <c r="AD28" s="37">
        <v>10.5</v>
      </c>
      <c r="AE28" s="4">
        <f>IF(H28="Senior",MAX(AA28,AC28),AA28+AC28)</f>
        <v>89.509999999999991</v>
      </c>
      <c r="AF28" s="33">
        <v>47.1</v>
      </c>
      <c r="AG28" s="37">
        <v>10.5</v>
      </c>
    </row>
    <row r="29" spans="1:33" x14ac:dyDescent="0.2">
      <c r="A29" s="1" t="str" cm="1">
        <f t="array" ref="A29">IF(I29="","",IF(P29&lt;&gt;"",SUMPRODUCT((P$3:P$91&lt;&gt;"")*(G$3:G$91=G29)*(J$3:J$91&gt;J29)*(I$3:I$91="P"))+1,IF(O29&lt;&gt;"",SUMPRODUCT((O$3:O$91&lt;&gt;"")*(P$3:P$91="")*(G$3:G$91=G29)*(J$3:J$91&gt;J29)*(I$3:I$91="P"))+SUMPRODUCT((P$3:P$91&lt;&gt;"")*(G$3:G$91=G29)*(I$3:I$91="P"))+1,IF(N29&lt;&gt;"",SUMPRODUCT((N$3:N$91&lt;&gt;"")*(G$3:G$91=G29)*(J$3:J$91&gt;J29)*(I$3:I$91="P"))+1,IF(M29="P",SUMPRODUCT((O$3:O$91&lt;&gt;"")*(P$3:P$91="")*(G$3:G$91=G29)*(I$3:I$91="P"))+SUMPRODUCT((P$3:P$91&lt;&gt;"")*(G$3:G$91=G29)*(I$3:I$91="P"))+SUMPRODUCT((N$3:N$91&lt;&gt;"")*(G$3:G$91=G29)*(I$3:I$91="P"))+SUMPRODUCT((P$3:P$91="")*(O$3:O$91="")*(N$3:N$91="")*(M$3:M$91="P")*(G$3:G$91=G29)*(J$3:J$91&gt;J29)*(I$3:I$91="P"))+IF(H29="L5",SUMPRODUCT((P$3:P$91="")*(O$3:O$91="")*(N$3:N$91="")*(M$3:M$91="P")*(G$3:G$91=G29)*(J$3:J$91&lt;J29)*(H$3:H$91&lt;&gt;H29)*(I$3:I$91="P")),-1*SUMPRODUCT((P$3:P$91="")*(O$3:O$91="")*(N$3:N$91="")*(M$3:M$91="P")*(G$3:G$91=G29)*(J$3:J$91&gt;J29)*(H$3:H$91="L5")*(I$3:I$91="P")))+1,"")))))</f>
        <v/>
      </c>
      <c r="B29" s="1" t="str" cm="1">
        <f t="array" ref="B29">IF(P29&lt;&gt;"",SUMPRODUCT((P$3:P$91&lt;&gt;"")*(G$3:G$91=G29)*(J$3:J$91&gt;J29))+1,IF(O29&lt;&gt;"",SUMPRODUCT((O$3:O$91&lt;&gt;"")*(P$3:P$91="")*(G$3:G$91=G29)*(J$3:J$91&gt;J29))+SUMPRODUCT((P$3:P$91&lt;&gt;"")*(G$3:G$91=G29))+1,IF(N29&lt;&gt;"",SUMPRODUCT((N$3:N$91&lt;&gt;"")*(G$3:G$91=G29)*(J$3:J$91&gt;J29))+1,IF(M29="P",SUMPRODUCT((O$3:O$91&lt;&gt;"")*(P$3:P$91="")*(G$3:G$91=G29))+SUMPRODUCT((P$3:P$91&lt;&gt;"")*(G$3:G$91=G29))+SUMPRODUCT((N$3:N$91&lt;&gt;"")*(G$3:G$91=G29))+SUMPRODUCT((P$3:P$91="")*(O$3:O$91="")*(N$3:N$91="")*(M$3:M$91="P")*(G$3:G$91=G29)*(J$3:J$91&gt;J29))+IF(H29="L5",SUMPRODUCT((P$3:P$91="")*(O$3:O$91="")*(N$3:N$91="")*(M$3:M$91="P")*(G$3:G$91=G29)*(J$3:J$91&lt;J29)*(H$3:H$91&lt;&gt;H29)),-1*SUMPRODUCT((P$3:P$91="")*(O$3:O$91="")*(N$3:N$91="")*(M$3:M$91="P")*(G$3:G$91=G29)*(J$3:J$91&gt;J29)*(H$3:H$91="L5")))+1,""))))</f>
        <v/>
      </c>
      <c r="C29" s="35" t="s">
        <v>202</v>
      </c>
      <c r="D29" t="str">
        <f>IF(E29="","",VLOOKUP(E29,'Coaching Points'!A:B,2,0))</f>
        <v>NS</v>
      </c>
      <c r="E29" s="35" t="s">
        <v>86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R29+S29+IF(OR(H29="Junior",H29="Senior"),0.0002,IF(OR(H29="L7",H29="L6"),0.0001,0))+IF(G29="17-21",MAX(AA29,AC29,AF29),AE29)*0.0000001</f>
        <v>93.580004752000008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47.52</v>
      </c>
      <c r="S29" s="4">
        <f>IF(G29="17-21",LARGE(CHOOSE({1,2,3,4,5,6},T29,V29,Y29,AA29,AC29,AF29),2),IF(R29=X29,MAX(Y29,AA29,AC29,AF29),IF(R29=AE29,MAX(AF29,T29,V29,Y29),0)))</f>
        <v>46.06</v>
      </c>
      <c r="T29" s="32">
        <v>38.369999999999997</v>
      </c>
      <c r="U29" s="37">
        <v>0</v>
      </c>
      <c r="V29" s="33">
        <v>45.23</v>
      </c>
      <c r="W29" s="37">
        <v>8.4</v>
      </c>
      <c r="X29" s="4">
        <f>IF(H29="Senior",MAX(T29,V29),T29+V29)</f>
        <v>83.6</v>
      </c>
      <c r="Y29" s="33">
        <v>46.06</v>
      </c>
      <c r="Z29" s="37">
        <v>8.4</v>
      </c>
      <c r="AA29" s="32">
        <v>39.53</v>
      </c>
      <c r="AB29" s="37">
        <v>0</v>
      </c>
      <c r="AC29" s="33">
        <v>47.52</v>
      </c>
      <c r="AD29" s="37">
        <v>9.9</v>
      </c>
      <c r="AE29" s="4">
        <f>IF(H29="Senior",MAX(AA29,AC29),AA29+AC29)</f>
        <v>87.050000000000011</v>
      </c>
      <c r="AF29" s="33">
        <v>10.02</v>
      </c>
      <c r="AG29" s="37">
        <v>2.4</v>
      </c>
    </row>
    <row r="30" spans="1:33" x14ac:dyDescent="0.2">
      <c r="A30" s="1" t="str" cm="1">
        <f t="array" ref="A30">IF(I30="","",IF(P30&lt;&gt;"",SUMPRODUCT((P$3:P$91&lt;&gt;"")*(G$3:G$91=G30)*(J$3:J$91&gt;J30)*(I$3:I$91="P"))+1,IF(O30&lt;&gt;"",SUMPRODUCT((O$3:O$91&lt;&gt;"")*(P$3:P$91="")*(G$3:G$91=G30)*(J$3:J$91&gt;J30)*(I$3:I$91="P"))+SUMPRODUCT((P$3:P$91&lt;&gt;"")*(G$3:G$91=G30)*(I$3:I$91="P"))+1,IF(N30&lt;&gt;"",SUMPRODUCT((N$3:N$91&lt;&gt;"")*(G$3:G$91=G30)*(J$3:J$91&gt;J30)*(I$3:I$91="P"))+1,IF(M30="P",SUMPRODUCT((O$3:O$91&lt;&gt;"")*(P$3:P$91="")*(G$3:G$91=G30)*(I$3:I$91="P"))+SUMPRODUCT((P$3:P$91&lt;&gt;"")*(G$3:G$91=G30)*(I$3:I$91="P"))+SUMPRODUCT((N$3:N$91&lt;&gt;"")*(G$3:G$91=G30)*(I$3:I$91="P"))+SUMPRODUCT((P$3:P$91="")*(O$3:O$91="")*(N$3:N$91="")*(M$3:M$91="P")*(G$3:G$91=G30)*(J$3:J$91&gt;J30)*(I$3:I$91="P"))+IF(H30="L5",SUMPRODUCT((P$3:P$91="")*(O$3:O$91="")*(N$3:N$91="")*(M$3:M$91="P")*(G$3:G$91=G30)*(J$3:J$91&lt;J30)*(H$3:H$91&lt;&gt;H30)*(I$3:I$91="P")),-1*SUMPRODUCT((P$3:P$91="")*(O$3:O$91="")*(N$3:N$91="")*(M$3:M$91="P")*(G$3:G$91=G30)*(J$3:J$91&gt;J30)*(H$3:H$91="L5")*(I$3:I$91="P")))+1,"")))))</f>
        <v/>
      </c>
      <c r="B30" s="1" t="str" cm="1">
        <f t="array" ref="B30">IF(P30&lt;&gt;"",SUMPRODUCT((P$3:P$91&lt;&gt;"")*(G$3:G$91=G30)*(J$3:J$91&gt;J30))+1,IF(O30&lt;&gt;"",SUMPRODUCT((O$3:O$91&lt;&gt;"")*(P$3:P$91="")*(G$3:G$91=G30)*(J$3:J$91&gt;J30))+SUMPRODUCT((P$3:P$91&lt;&gt;"")*(G$3:G$91=G30))+1,IF(N30&lt;&gt;"",SUMPRODUCT((N$3:N$91&lt;&gt;"")*(G$3:G$91=G30)*(J$3:J$91&gt;J30))+1,IF(M30="P",SUMPRODUCT((O$3:O$91&lt;&gt;"")*(P$3:P$91="")*(G$3:G$91=G30))+SUMPRODUCT((P$3:P$91&lt;&gt;"")*(G$3:G$91=G30))+SUMPRODUCT((N$3:N$91&lt;&gt;"")*(G$3:G$91=G30))+SUMPRODUCT((P$3:P$91="")*(O$3:O$91="")*(N$3:N$91="")*(M$3:M$91="P")*(G$3:G$91=G30)*(J$3:J$91&gt;J30))+IF(H30="L5",SUMPRODUCT((P$3:P$91="")*(O$3:O$91="")*(N$3:N$91="")*(M$3:M$91="P")*(G$3:G$91=G30)*(J$3:J$91&lt;J30)*(H$3:H$91&lt;&gt;H30)),-1*SUMPRODUCT((P$3:P$91="")*(O$3:O$91="")*(N$3:N$91="")*(M$3:M$91="P")*(G$3:G$91=G30)*(J$3:J$91&gt;J30)*(H$3:H$91="L5")))+1,""))))</f>
        <v/>
      </c>
      <c r="C30" s="35" t="s">
        <v>206</v>
      </c>
      <c r="D30" t="str">
        <f>IF(E30="","",VLOOKUP(E30,'Coaching Points'!A:B,2,0))</f>
        <v>SK</v>
      </c>
      <c r="E30" s="35" t="s">
        <v>58</v>
      </c>
      <c r="F30" s="34">
        <v>2007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R30+S30+IF(OR(H30="Junior",H30="Senior"),0.0002,IF(OR(H30="L7",H30="L6"),0.0001,0))+IF(G30="17-21",MAX(AA30,AC30,AF30),AE30)*0.0000001</f>
        <v>93.530004727000005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47.27</v>
      </c>
      <c r="S30" s="4">
        <f>IF(G30="17-21",LARGE(CHOOSE({1,2,3,4,5,6},T30,V30,Y30,AA30,AC30,AF30),2),IF(R30=X30,MAX(Y30,AA30,AC30,AF30),IF(R30=AE30,MAX(AF30,T30,V30,Y30),0)))</f>
        <v>46.26</v>
      </c>
      <c r="T30" s="32">
        <v>37.28</v>
      </c>
      <c r="U30" s="37">
        <v>0</v>
      </c>
      <c r="V30" s="33">
        <v>9.4600000000000009</v>
      </c>
      <c r="W30" s="37">
        <v>2</v>
      </c>
      <c r="X30" s="4">
        <f>IF(H30="Senior",MAX(T30,V30),T30+V30)</f>
        <v>46.74</v>
      </c>
      <c r="Y30" s="33"/>
      <c r="Z30" s="37"/>
      <c r="AA30" s="32">
        <v>37.159999999999997</v>
      </c>
      <c r="AB30" s="37">
        <v>0</v>
      </c>
      <c r="AC30" s="33">
        <v>46.26</v>
      </c>
      <c r="AD30" s="37">
        <v>10.8</v>
      </c>
      <c r="AE30" s="4">
        <f>IF(H30="Senior",MAX(AA30,AC30),AA30+AC30)</f>
        <v>83.419999999999987</v>
      </c>
      <c r="AF30" s="33">
        <v>47.27</v>
      </c>
      <c r="AG30" s="37">
        <v>10.8</v>
      </c>
    </row>
    <row r="31" spans="1:33" x14ac:dyDescent="0.2">
      <c r="A31" s="1" t="str" cm="1">
        <f t="array" ref="A31">IF(I31="","",IF(P31&lt;&gt;"",SUMPRODUCT((P$3:P$91&lt;&gt;"")*(G$3:G$91=G31)*(J$3:J$91&gt;J31)*(I$3:I$91="P"))+1,IF(O31&lt;&gt;"",SUMPRODUCT((O$3:O$91&lt;&gt;"")*(P$3:P$91="")*(G$3:G$91=G31)*(J$3:J$91&gt;J31)*(I$3:I$91="P"))+SUMPRODUCT((P$3:P$91&lt;&gt;"")*(G$3:G$91=G31)*(I$3:I$91="P"))+1,IF(N31&lt;&gt;"",SUMPRODUCT((N$3:N$91&lt;&gt;"")*(G$3:G$91=G31)*(J$3:J$91&gt;J31)*(I$3:I$91="P"))+1,IF(M31="P",SUMPRODUCT((O$3:O$91&lt;&gt;"")*(P$3:P$91="")*(G$3:G$91=G31)*(I$3:I$91="P"))+SUMPRODUCT((P$3:P$91&lt;&gt;"")*(G$3:G$91=G31)*(I$3:I$91="P"))+SUMPRODUCT((N$3:N$91&lt;&gt;"")*(G$3:G$91=G31)*(I$3:I$91="P"))+SUMPRODUCT((P$3:P$91="")*(O$3:O$91="")*(N$3:N$91="")*(M$3:M$91="P")*(G$3:G$91=G31)*(J$3:J$91&gt;J31)*(I$3:I$91="P"))+IF(H31="L5",SUMPRODUCT((P$3:P$91="")*(O$3:O$91="")*(N$3:N$91="")*(M$3:M$91="P")*(G$3:G$91=G31)*(J$3:J$91&lt;J31)*(H$3:H$91&lt;&gt;H31)*(I$3:I$91="P")),-1*SUMPRODUCT((P$3:P$91="")*(O$3:O$91="")*(N$3:N$91="")*(M$3:M$91="P")*(G$3:G$91=G31)*(J$3:J$91&gt;J31)*(H$3:H$91="L5")*(I$3:I$91="P")))+1,"")))))</f>
        <v/>
      </c>
      <c r="B31" s="1" t="str" cm="1">
        <f t="array" ref="B31">IF(P31&lt;&gt;"",SUMPRODUCT((P$3:P$91&lt;&gt;"")*(G$3:G$91=G31)*(J$3:J$91&gt;J31))+1,IF(O31&lt;&gt;"",SUMPRODUCT((O$3:O$91&lt;&gt;"")*(P$3:P$91="")*(G$3:G$91=G31)*(J$3:J$91&gt;J31))+SUMPRODUCT((P$3:P$91&lt;&gt;"")*(G$3:G$91=G31))+1,IF(N31&lt;&gt;"",SUMPRODUCT((N$3:N$91&lt;&gt;"")*(G$3:G$91=G31)*(J$3:J$91&gt;J31))+1,IF(M31="P",SUMPRODUCT((O$3:O$91&lt;&gt;"")*(P$3:P$91="")*(G$3:G$91=G31))+SUMPRODUCT((P$3:P$91&lt;&gt;"")*(G$3:G$91=G31))+SUMPRODUCT((N$3:N$91&lt;&gt;"")*(G$3:G$91=G31))+SUMPRODUCT((P$3:P$91="")*(O$3:O$91="")*(N$3:N$91="")*(M$3:M$91="P")*(G$3:G$91=G31)*(J$3:J$91&gt;J31))+IF(H31="L5",SUMPRODUCT((P$3:P$91="")*(O$3:O$91="")*(N$3:N$91="")*(M$3:M$91="P")*(G$3:G$91=G31)*(J$3:J$91&lt;J31)*(H$3:H$91&lt;&gt;H31)),-1*SUMPRODUCT((P$3:P$91="")*(O$3:O$91="")*(N$3:N$91="")*(M$3:M$91="P")*(G$3:G$91=G31)*(J$3:J$91&gt;J31)*(H$3:H$91="L5")))+1,""))))</f>
        <v/>
      </c>
      <c r="C31" s="35" t="s">
        <v>184</v>
      </c>
      <c r="D31" t="str">
        <f>IF(E31="","",VLOOKUP(E31,'Coaching Points'!A:B,2,0))</f>
        <v>NS</v>
      </c>
      <c r="E31" s="35" t="s">
        <v>86</v>
      </c>
      <c r="F31" s="34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R31+S31+IF(OR(H31="Junior",H31="Senior"),0.0002,IF(OR(H31="L7",H31="L6"),0.0001,0))+IF(G31="17-21",MAX(AA31,AC31,AF31),AE31)*0.0000001</f>
        <v>93.250104626999999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46.98</v>
      </c>
      <c r="S31" s="4">
        <f>IF(G31="17-21",LARGE(CHOOSE({1,2,3,4,5,6},T31,V31,Y31,AA31,AC31,AF31),2),IF(R31=X31,MAX(Y31,AA31,AC31,AF31),IF(R31=AE31,MAX(AF31,T31,V31,Y31),0)))</f>
        <v>46.27</v>
      </c>
      <c r="T31" s="32">
        <v>37.409999999999997</v>
      </c>
      <c r="U31" s="37">
        <v>0</v>
      </c>
      <c r="V31" s="33">
        <v>46.98</v>
      </c>
      <c r="W31" s="37">
        <v>11.1</v>
      </c>
      <c r="X31" s="4">
        <f>IF(H31="Senior",MAX(T31,V31),T31+V31)</f>
        <v>84.389999999999986</v>
      </c>
      <c r="Y31" s="33">
        <v>19.2</v>
      </c>
      <c r="Z31" s="37">
        <v>5.2</v>
      </c>
      <c r="AA31" s="32">
        <v>36.72</v>
      </c>
      <c r="AB31" s="37">
        <v>0</v>
      </c>
      <c r="AC31" s="33">
        <v>46.27</v>
      </c>
      <c r="AD31" s="37">
        <v>10.3</v>
      </c>
      <c r="AE31" s="4">
        <f>IF(H31="Senior",MAX(AA31,AC31),AA31+AC31)</f>
        <v>82.990000000000009</v>
      </c>
      <c r="AF31" s="33"/>
      <c r="AG31" s="37"/>
    </row>
    <row r="32" spans="1:33" x14ac:dyDescent="0.2">
      <c r="A32" s="1" t="str" cm="1">
        <f t="array" ref="A32">IF(I32="","",IF(P32&lt;&gt;"",SUMPRODUCT((P$3:P$91&lt;&gt;"")*(G$3:G$91=G32)*(J$3:J$91&gt;J32)*(I$3:I$91="P"))+1,IF(O32&lt;&gt;"",SUMPRODUCT((O$3:O$91&lt;&gt;"")*(P$3:P$91="")*(G$3:G$91=G32)*(J$3:J$91&gt;J32)*(I$3:I$91="P"))+SUMPRODUCT((P$3:P$91&lt;&gt;"")*(G$3:G$91=G32)*(I$3:I$91="P"))+1,IF(N32&lt;&gt;"",SUMPRODUCT((N$3:N$91&lt;&gt;"")*(G$3:G$91=G32)*(J$3:J$91&gt;J32)*(I$3:I$91="P"))+1,IF(M32="P",SUMPRODUCT((O$3:O$91&lt;&gt;"")*(P$3:P$91="")*(G$3:G$91=G32)*(I$3:I$91="P"))+SUMPRODUCT((P$3:P$91&lt;&gt;"")*(G$3:G$91=G32)*(I$3:I$91="P"))+SUMPRODUCT((N$3:N$91&lt;&gt;"")*(G$3:G$91=G32)*(I$3:I$91="P"))+SUMPRODUCT((P$3:P$91="")*(O$3:O$91="")*(N$3:N$91="")*(M$3:M$91="P")*(G$3:G$91=G32)*(J$3:J$91&gt;J32)*(I$3:I$91="P"))+IF(H32="L5",SUMPRODUCT((P$3:P$91="")*(O$3:O$91="")*(N$3:N$91="")*(M$3:M$91="P")*(G$3:G$91=G32)*(J$3:J$91&lt;J32)*(H$3:H$91&lt;&gt;H32)*(I$3:I$91="P")),-1*SUMPRODUCT((P$3:P$91="")*(O$3:O$91="")*(N$3:N$91="")*(M$3:M$91="P")*(G$3:G$91=G32)*(J$3:J$91&gt;J32)*(H$3:H$91="L5")*(I$3:I$91="P")))+1,"")))))</f>
        <v/>
      </c>
      <c r="B32" s="1" t="str" cm="1">
        <f t="array" ref="B32">IF(P32&lt;&gt;"",SUMPRODUCT((P$3:P$91&lt;&gt;"")*(G$3:G$91=G32)*(J$3:J$91&gt;J32))+1,IF(O32&lt;&gt;"",SUMPRODUCT((O$3:O$91&lt;&gt;"")*(P$3:P$91="")*(G$3:G$91=G32)*(J$3:J$91&gt;J32))+SUMPRODUCT((P$3:P$91&lt;&gt;"")*(G$3:G$91=G32))+1,IF(N32&lt;&gt;"",SUMPRODUCT((N$3:N$91&lt;&gt;"")*(G$3:G$91=G32)*(J$3:J$91&gt;J32))+1,IF(M32="P",SUMPRODUCT((O$3:O$91&lt;&gt;"")*(P$3:P$91="")*(G$3:G$91=G32))+SUMPRODUCT((P$3:P$91&lt;&gt;"")*(G$3:G$91=G32))+SUMPRODUCT((N$3:N$91&lt;&gt;"")*(G$3:G$91=G32))+SUMPRODUCT((P$3:P$91="")*(O$3:O$91="")*(N$3:N$91="")*(M$3:M$91="P")*(G$3:G$91=G32)*(J$3:J$91&gt;J32))+IF(H32="L5",SUMPRODUCT((P$3:P$91="")*(O$3:O$91="")*(N$3:N$91="")*(M$3:M$91="P")*(G$3:G$91=G32)*(J$3:J$91&lt;J32)*(H$3:H$91&lt;&gt;H32)),-1*SUMPRODUCT((P$3:P$91="")*(O$3:O$91="")*(N$3:N$91="")*(M$3:M$91="P")*(G$3:G$91=G32)*(J$3:J$91&gt;J32)*(H$3:H$91="L5")))+1,""))))</f>
        <v/>
      </c>
      <c r="C32" s="35" t="s">
        <v>166</v>
      </c>
      <c r="D32" t="str">
        <f>IF(E32="","",VLOOKUP(E32,'Coaching Points'!A:B,2,0))</f>
        <v>AB</v>
      </c>
      <c r="E32" s="35" t="s">
        <v>56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213</v>
      </c>
      <c r="I32" s="40"/>
      <c r="J32" s="4">
        <f>R32+S32+IF(OR(H32="Junior",H32="Senior"),0.0002,IF(OR(H32="L7",H32="L6"),0.0001,0))+IF(G32="17-21",MAX(AA32,AC32,AF32),AE32)*0.0000001</f>
        <v>89.980104544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45.44</v>
      </c>
      <c r="S32" s="4">
        <f>IF(G32="17-21",LARGE(CHOOSE({1,2,3,4,5,6},T32,V32,Y32,AA32,AC32,AF32),2),IF(R32=X32,MAX(Y32,AA32,AC32,AF32),IF(R32=AE32,MAX(AF32,T32,V32,Y32),0)))</f>
        <v>44.54</v>
      </c>
      <c r="T32" s="32">
        <v>37.56</v>
      </c>
      <c r="U32" s="37">
        <v>0</v>
      </c>
      <c r="V32" s="33">
        <v>19.12</v>
      </c>
      <c r="W32" s="37">
        <v>4.7</v>
      </c>
      <c r="X32" s="4">
        <f>IF(H32="Senior",MAX(T32,V32),T32+V32)</f>
        <v>56.680000000000007</v>
      </c>
      <c r="Y32" s="33"/>
      <c r="Z32" s="37"/>
      <c r="AA32" s="32">
        <v>39.29</v>
      </c>
      <c r="AB32" s="37">
        <v>0</v>
      </c>
      <c r="AC32" s="33">
        <v>45.44</v>
      </c>
      <c r="AD32" s="37">
        <v>10.1</v>
      </c>
      <c r="AE32" s="4">
        <f>IF(H32="Senior",MAX(AA32,AC32),AA32+AC32)</f>
        <v>84.72999999999999</v>
      </c>
      <c r="AF32" s="33">
        <v>44.54</v>
      </c>
      <c r="AG32" s="37">
        <v>10.1</v>
      </c>
    </row>
    <row r="33" spans="1:33" x14ac:dyDescent="0.2">
      <c r="A33" s="1" t="str" cm="1">
        <f t="array" ref="A33">IF(I33="","",IF(P33&lt;&gt;"",SUMPRODUCT((P$3:P$91&lt;&gt;"")*(G$3:G$91=G33)*(J$3:J$91&gt;J33)*(I$3:I$91="P"))+1,IF(O33&lt;&gt;"",SUMPRODUCT((O$3:O$91&lt;&gt;"")*(P$3:P$91="")*(G$3:G$91=G33)*(J$3:J$91&gt;J33)*(I$3:I$91="P"))+SUMPRODUCT((P$3:P$91&lt;&gt;"")*(G$3:G$91=G33)*(I$3:I$91="P"))+1,IF(N33&lt;&gt;"",SUMPRODUCT((N$3:N$91&lt;&gt;"")*(G$3:G$91=G33)*(J$3:J$91&gt;J33)*(I$3:I$91="P"))+1,IF(M33="P",SUMPRODUCT((O$3:O$91&lt;&gt;"")*(P$3:P$91="")*(G$3:G$91=G33)*(I$3:I$91="P"))+SUMPRODUCT((P$3:P$91&lt;&gt;"")*(G$3:G$91=G33)*(I$3:I$91="P"))+SUMPRODUCT((N$3:N$91&lt;&gt;"")*(G$3:G$91=G33)*(I$3:I$91="P"))+SUMPRODUCT((P$3:P$91="")*(O$3:O$91="")*(N$3:N$91="")*(M$3:M$91="P")*(G$3:G$91=G33)*(J$3:J$91&gt;J33)*(I$3:I$91="P"))+IF(H33="L5",SUMPRODUCT((P$3:P$91="")*(O$3:O$91="")*(N$3:N$91="")*(M$3:M$91="P")*(G$3:G$91=G33)*(J$3:J$91&lt;J33)*(H$3:H$91&lt;&gt;H33)*(I$3:I$91="P")),-1*SUMPRODUCT((P$3:P$91="")*(O$3:O$91="")*(N$3:N$91="")*(M$3:M$91="P")*(G$3:G$91=G33)*(J$3:J$91&gt;J33)*(H$3:H$91="L5")*(I$3:I$91="P")))+1,"")))))</f>
        <v/>
      </c>
      <c r="B33" s="1" t="str" cm="1">
        <f t="array" ref="B33">IF(P33&lt;&gt;"",SUMPRODUCT((P$3:P$91&lt;&gt;"")*(G$3:G$91=G33)*(J$3:J$91&gt;J33))+1,IF(O33&lt;&gt;"",SUMPRODUCT((O$3:O$91&lt;&gt;"")*(P$3:P$91="")*(G$3:G$91=G33)*(J$3:J$91&gt;J33))+SUMPRODUCT((P$3:P$91&lt;&gt;"")*(G$3:G$91=G33))+1,IF(N33&lt;&gt;"",SUMPRODUCT((N$3:N$91&lt;&gt;"")*(G$3:G$91=G33)*(J$3:J$91&gt;J33))+1,IF(M33="P",SUMPRODUCT((O$3:O$91&lt;&gt;"")*(P$3:P$91="")*(G$3:G$91=G33))+SUMPRODUCT((P$3:P$91&lt;&gt;"")*(G$3:G$91=G33))+SUMPRODUCT((N$3:N$91&lt;&gt;"")*(G$3:G$91=G33))+SUMPRODUCT((P$3:P$91="")*(O$3:O$91="")*(N$3:N$91="")*(M$3:M$91="P")*(G$3:G$91=G33)*(J$3:J$91&gt;J33))+IF(H33="L5",SUMPRODUCT((P$3:P$91="")*(O$3:O$91="")*(N$3:N$91="")*(M$3:M$91="P")*(G$3:G$91=G33)*(J$3:J$91&lt;J33)*(H$3:H$91&lt;&gt;H33)),-1*SUMPRODUCT((P$3:P$91="")*(O$3:O$91="")*(N$3:N$91="")*(M$3:M$91="P")*(G$3:G$91=G33)*(J$3:J$91&gt;J33)*(H$3:H$91="L5")))+1,""))))</f>
        <v/>
      </c>
      <c r="C33" s="35" t="s">
        <v>203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89.980004489000009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45.09</v>
      </c>
      <c r="S33" s="4">
        <f>IF(G33="17-21",LARGE(CHOOSE({1,2,3,4,5,6},T33,V33,Y33,AA33,AC33,AF33),2),IF(R33=X33,MAX(Y33,AA33,AC33,AF33),IF(R33=AE33,MAX(AF33,T33,V33,Y33),0)))</f>
        <v>44.89</v>
      </c>
      <c r="T33" s="32">
        <v>38.619999999999997</v>
      </c>
      <c r="U33" s="37">
        <v>0</v>
      </c>
      <c r="V33" s="33">
        <v>45.09</v>
      </c>
      <c r="W33" s="37">
        <v>8.9</v>
      </c>
      <c r="X33" s="4">
        <f>IF(H33="Senior",MAX(T33,V33),T33+V33)</f>
        <v>83.710000000000008</v>
      </c>
      <c r="Y33" s="33">
        <v>26.78</v>
      </c>
      <c r="Z33" s="37">
        <v>5.6</v>
      </c>
      <c r="AA33" s="32">
        <v>31.32</v>
      </c>
      <c r="AB33" s="37">
        <v>0</v>
      </c>
      <c r="AC33" s="33">
        <v>44.52</v>
      </c>
      <c r="AD33" s="37">
        <v>9.5</v>
      </c>
      <c r="AE33" s="4">
        <f>IF(H33="Senior",MAX(AA33,AC33),AA33+AC33)</f>
        <v>75.84</v>
      </c>
      <c r="AF33" s="33">
        <v>44.89</v>
      </c>
      <c r="AG33" s="37">
        <v>10.199999999999999</v>
      </c>
    </row>
    <row r="34" spans="1:33" x14ac:dyDescent="0.2">
      <c r="A34" s="1" t="str" cm="1">
        <f t="array" ref="A34">IF(I34="","",IF(P34&lt;&gt;"",SUMPRODUCT((P$3:P$91&lt;&gt;"")*(G$3:G$91=G34)*(J$3:J$91&gt;J34)*(I$3:I$91="P"))+1,IF(O34&lt;&gt;"",SUMPRODUCT((O$3:O$91&lt;&gt;"")*(P$3:P$91="")*(G$3:G$91=G34)*(J$3:J$91&gt;J34)*(I$3:I$91="P"))+SUMPRODUCT((P$3:P$91&lt;&gt;"")*(G$3:G$91=G34)*(I$3:I$91="P"))+1,IF(N34&lt;&gt;"",SUMPRODUCT((N$3:N$91&lt;&gt;"")*(G$3:G$91=G34)*(J$3:J$91&gt;J34)*(I$3:I$91="P"))+1,IF(M34="P",SUMPRODUCT((O$3:O$91&lt;&gt;"")*(P$3:P$91="")*(G$3:G$91=G34)*(I$3:I$91="P"))+SUMPRODUCT((P$3:P$91&lt;&gt;"")*(G$3:G$91=G34)*(I$3:I$91="P"))+SUMPRODUCT((N$3:N$91&lt;&gt;"")*(G$3:G$91=G34)*(I$3:I$91="P"))+SUMPRODUCT((P$3:P$91="")*(O$3:O$91="")*(N$3:N$91="")*(M$3:M$91="P")*(G$3:G$91=G34)*(J$3:J$91&gt;J34)*(I$3:I$91="P"))+IF(H34="L5",SUMPRODUCT((P$3:P$91="")*(O$3:O$91="")*(N$3:N$91="")*(M$3:M$91="P")*(G$3:G$91=G34)*(J$3:J$91&lt;J34)*(H$3:H$91&lt;&gt;H34)*(I$3:I$91="P")),-1*SUMPRODUCT((P$3:P$91="")*(O$3:O$91="")*(N$3:N$91="")*(M$3:M$91="P")*(G$3:G$91=G34)*(J$3:J$91&gt;J34)*(H$3:H$91="L5")*(I$3:I$91="P")))+1,"")))))</f>
        <v/>
      </c>
      <c r="B34" s="1" t="str" cm="1">
        <f t="array" ref="B34">IF(P34&lt;&gt;"",SUMPRODUCT((P$3:P$91&lt;&gt;"")*(G$3:G$91=G34)*(J$3:J$91&gt;J34))+1,IF(O34&lt;&gt;"",SUMPRODUCT((O$3:O$91&lt;&gt;"")*(P$3:P$91="")*(G$3:G$91=G34)*(J$3:J$91&gt;J34))+SUMPRODUCT((P$3:P$91&lt;&gt;"")*(G$3:G$91=G34))+1,IF(N34&lt;&gt;"",SUMPRODUCT((N$3:N$91&lt;&gt;"")*(G$3:G$91=G34)*(J$3:J$91&gt;J34))+1,IF(M34="P",SUMPRODUCT((O$3:O$91&lt;&gt;"")*(P$3:P$91="")*(G$3:G$91=G34))+SUMPRODUCT((P$3:P$91&lt;&gt;"")*(G$3:G$91=G34))+SUMPRODUCT((N$3:N$91&lt;&gt;"")*(G$3:G$91=G34))+SUMPRODUCT((P$3:P$91="")*(O$3:O$91="")*(N$3:N$91="")*(M$3:M$91="P")*(G$3:G$91=G34)*(J$3:J$91&gt;J34))+IF(H34="L5",SUMPRODUCT((P$3:P$91="")*(O$3:O$91="")*(N$3:N$91="")*(M$3:M$91="P")*(G$3:G$91=G34)*(J$3:J$91&lt;J34)*(H$3:H$91&lt;&gt;H34)),-1*SUMPRODUCT((P$3:P$91="")*(O$3:O$91="")*(N$3:N$91="")*(M$3:M$91="P")*(G$3:G$91=G34)*(J$3:J$91&gt;J34)*(H$3:H$91="L5")))+1,""))))</f>
        <v/>
      </c>
      <c r="C34" s="35" t="s">
        <v>153</v>
      </c>
      <c r="D34" t="str">
        <f>IF(E34="","",VLOOKUP(E34,'Coaching Points'!A:B,2,0))</f>
        <v>ON</v>
      </c>
      <c r="E34" s="35" t="s">
        <v>45</v>
      </c>
      <c r="F34" s="34">
        <v>2008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213</v>
      </c>
      <c r="I34" s="40"/>
      <c r="J34" s="4">
        <f>R34+S34+IF(OR(H34="Junior",H34="Senior"),0.0002,IF(OR(H34="L7",H34="L6"),0.0001,0))+IF(G34="17-21",MAX(AA34,AC34,AF34),AE34)*0.0000001</f>
        <v>89.270104810999996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48.11</v>
      </c>
      <c r="S34" s="4">
        <f>IF(G34="17-21",LARGE(CHOOSE({1,2,3,4,5,6},T34,V34,Y34,AA34,AC34,AF34),2),IF(R34=X34,MAX(Y34,AA34,AC34,AF34),IF(R34=AE34,MAX(AF34,T34,V34,Y34),0)))</f>
        <v>41.16</v>
      </c>
      <c r="T34" s="32">
        <v>40.57</v>
      </c>
      <c r="U34" s="37">
        <v>0</v>
      </c>
      <c r="V34" s="33">
        <v>21.58</v>
      </c>
      <c r="W34" s="37">
        <v>4.5</v>
      </c>
      <c r="X34" s="4">
        <f>IF(H34="Senior",MAX(T34,V34),T34+V34)</f>
        <v>62.15</v>
      </c>
      <c r="Y34" s="33"/>
      <c r="Z34" s="37"/>
      <c r="AA34" s="32">
        <v>41.16</v>
      </c>
      <c r="AB34" s="37">
        <v>0</v>
      </c>
      <c r="AC34" s="33">
        <v>48.11</v>
      </c>
      <c r="AD34" s="37">
        <v>12.3</v>
      </c>
      <c r="AE34" s="4">
        <f>IF(H34="Senior",MAX(AA34,AC34),AA34+AC34)</f>
        <v>89.27</v>
      </c>
      <c r="AF34" s="33">
        <v>35.57</v>
      </c>
      <c r="AG34" s="37">
        <v>8.8000000000000007</v>
      </c>
    </row>
    <row r="35" spans="1:33" x14ac:dyDescent="0.2">
      <c r="A35" s="1" t="str" cm="1">
        <f t="array" ref="A35">IF(I35="","",IF(P35&lt;&gt;"",SUMPRODUCT((P$3:P$91&lt;&gt;"")*(G$3:G$91=G35)*(J$3:J$91&gt;J35)*(I$3:I$91="P"))+1,IF(O35&lt;&gt;"",SUMPRODUCT((O$3:O$91&lt;&gt;"")*(P$3:P$91="")*(G$3:G$91=G35)*(J$3:J$91&gt;J35)*(I$3:I$91="P"))+SUMPRODUCT((P$3:P$91&lt;&gt;"")*(G$3:G$91=G35)*(I$3:I$91="P"))+1,IF(N35&lt;&gt;"",SUMPRODUCT((N$3:N$91&lt;&gt;"")*(G$3:G$91=G35)*(J$3:J$91&gt;J35)*(I$3:I$91="P"))+1,IF(M35="P",SUMPRODUCT((O$3:O$91&lt;&gt;"")*(P$3:P$91="")*(G$3:G$91=G35)*(I$3:I$91="P"))+SUMPRODUCT((P$3:P$91&lt;&gt;"")*(G$3:G$91=G35)*(I$3:I$91="P"))+SUMPRODUCT((N$3:N$91&lt;&gt;"")*(G$3:G$91=G35)*(I$3:I$91="P"))+SUMPRODUCT((P$3:P$91="")*(O$3:O$91="")*(N$3:N$91="")*(M$3:M$91="P")*(G$3:G$91=G35)*(J$3:J$91&gt;J35)*(I$3:I$91="P"))+IF(H35="L5",SUMPRODUCT((P$3:P$91="")*(O$3:O$91="")*(N$3:N$91="")*(M$3:M$91="P")*(G$3:G$91=G35)*(J$3:J$91&lt;J35)*(H$3:H$91&lt;&gt;H35)*(I$3:I$91="P")),-1*SUMPRODUCT((P$3:P$91="")*(O$3:O$91="")*(N$3:N$91="")*(M$3:M$91="P")*(G$3:G$91=G35)*(J$3:J$91&gt;J35)*(H$3:H$91="L5")*(I$3:I$91="P")))+1,"")))))</f>
        <v/>
      </c>
      <c r="B35" s="1" t="str" cm="1">
        <f t="array" ref="B35">IF(P35&lt;&gt;"",SUMPRODUCT((P$3:P$91&lt;&gt;"")*(G$3:G$91=G35)*(J$3:J$91&gt;J35))+1,IF(O35&lt;&gt;"",SUMPRODUCT((O$3:O$91&lt;&gt;"")*(P$3:P$91="")*(G$3:G$91=G35)*(J$3:J$91&gt;J35))+SUMPRODUCT((P$3:P$91&lt;&gt;"")*(G$3:G$91=G35))+1,IF(N35&lt;&gt;"",SUMPRODUCT((N$3:N$91&lt;&gt;"")*(G$3:G$91=G35)*(J$3:J$91&gt;J35))+1,IF(M35="P",SUMPRODUCT((O$3:O$91&lt;&gt;"")*(P$3:P$91="")*(G$3:G$91=G35))+SUMPRODUCT((P$3:P$91&lt;&gt;"")*(G$3:G$91=G35))+SUMPRODUCT((N$3:N$91&lt;&gt;"")*(G$3:G$91=G35))+SUMPRODUCT((P$3:P$91="")*(O$3:O$91="")*(N$3:N$91="")*(M$3:M$91="P")*(G$3:G$91=G35)*(J$3:J$91&gt;J35))+IF(H35="L5",SUMPRODUCT((P$3:P$91="")*(O$3:O$91="")*(N$3:N$91="")*(M$3:M$91="P")*(G$3:G$91=G35)*(J$3:J$91&lt;J35)*(H$3:H$91&lt;&gt;H35)),-1*SUMPRODUCT((P$3:P$91="")*(O$3:O$91="")*(N$3:N$91="")*(M$3:M$91="P")*(G$3:G$91=G35)*(J$3:J$91&gt;J35)*(H$3:H$91="L5")))+1,""))))</f>
        <v/>
      </c>
      <c r="C35" s="35" t="s">
        <v>172</v>
      </c>
      <c r="D35" t="str">
        <f>IF(E35="","",VLOOKUP(E35,'Coaching Points'!A:B,2,0))</f>
        <v>ON</v>
      </c>
      <c r="E35" s="35" t="s">
        <v>84</v>
      </c>
      <c r="F35" s="34">
        <v>2007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R35+S35+IF(OR(H35="Junior",H35="Senior"),0.0002,IF(OR(H35="L7",H35="L6"),0.0001,0))+IF(G35="17-21",MAX(AA35,AC35,AF35),AE35)*0.0000001</f>
        <v>89.100004472999998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44.73</v>
      </c>
      <c r="S35" s="4">
        <f>IF(G35="17-21",LARGE(CHOOSE({1,2,3,4,5,6},T35,V35,Y35,AA35,AC35,AF35),2),IF(R35=X35,MAX(Y35,AA35,AC35,AF35),IF(R35=AE35,MAX(AF35,T35,V35,Y35),0)))</f>
        <v>44.37</v>
      </c>
      <c r="T35" s="32">
        <v>37.99</v>
      </c>
      <c r="U35" s="37">
        <v>0</v>
      </c>
      <c r="V35" s="33">
        <v>42.04</v>
      </c>
      <c r="W35" s="37">
        <v>8.5</v>
      </c>
      <c r="X35" s="4">
        <f>IF(H35="Senior",MAX(T35,V35),T35+V35)</f>
        <v>80.03</v>
      </c>
      <c r="Y35" s="33">
        <v>44.37</v>
      </c>
      <c r="Z35" s="37">
        <v>8.5</v>
      </c>
      <c r="AA35" s="32">
        <v>38.82</v>
      </c>
      <c r="AB35" s="37">
        <v>0</v>
      </c>
      <c r="AC35" s="33">
        <v>44.73</v>
      </c>
      <c r="AD35" s="37">
        <v>9.4</v>
      </c>
      <c r="AE35" s="4">
        <f>IF(H35="Senior",MAX(AA35,AC35),AA35+AC35)</f>
        <v>83.55</v>
      </c>
      <c r="AF35" s="33">
        <v>42.99</v>
      </c>
      <c r="AG35" s="37">
        <v>8.1</v>
      </c>
    </row>
    <row r="36" spans="1:33" x14ac:dyDescent="0.2">
      <c r="A36" s="1" t="str" cm="1">
        <f t="array" ref="A36">IF(I36="","",IF(P36&lt;&gt;"",SUMPRODUCT((P$3:P$91&lt;&gt;"")*(G$3:G$91=G36)*(J$3:J$91&gt;J36)*(I$3:I$91="P"))+1,IF(O36&lt;&gt;"",SUMPRODUCT((O$3:O$91&lt;&gt;"")*(P$3:P$91="")*(G$3:G$91=G36)*(J$3:J$91&gt;J36)*(I$3:I$91="P"))+SUMPRODUCT((P$3:P$91&lt;&gt;"")*(G$3:G$91=G36)*(I$3:I$91="P"))+1,IF(N36&lt;&gt;"",SUMPRODUCT((N$3:N$91&lt;&gt;"")*(G$3:G$91=G36)*(J$3:J$91&gt;J36)*(I$3:I$91="P"))+1,IF(M36="P",SUMPRODUCT((O$3:O$91&lt;&gt;"")*(P$3:P$91="")*(G$3:G$91=G36)*(I$3:I$91="P"))+SUMPRODUCT((P$3:P$91&lt;&gt;"")*(G$3:G$91=G36)*(I$3:I$91="P"))+SUMPRODUCT((N$3:N$91&lt;&gt;"")*(G$3:G$91=G36)*(I$3:I$91="P"))+SUMPRODUCT((P$3:P$91="")*(O$3:O$91="")*(N$3:N$91="")*(M$3:M$91="P")*(G$3:G$91=G36)*(J$3:J$91&gt;J36)*(I$3:I$91="P"))+IF(H36="L5",SUMPRODUCT((P$3:P$91="")*(O$3:O$91="")*(N$3:N$91="")*(M$3:M$91="P")*(G$3:G$91=G36)*(J$3:J$91&lt;J36)*(H$3:H$91&lt;&gt;H36)*(I$3:I$91="P")),-1*SUMPRODUCT((P$3:P$91="")*(O$3:O$91="")*(N$3:N$91="")*(M$3:M$91="P")*(G$3:G$91=G36)*(J$3:J$91&gt;J36)*(H$3:H$91="L5")*(I$3:I$91="P")))+1,"")))))</f>
        <v/>
      </c>
      <c r="B36" s="1" t="str" cm="1">
        <f t="array" ref="B36">IF(P36&lt;&gt;"",SUMPRODUCT((P$3:P$91&lt;&gt;"")*(G$3:G$91=G36)*(J$3:J$91&gt;J36))+1,IF(O36&lt;&gt;"",SUMPRODUCT((O$3:O$91&lt;&gt;"")*(P$3:P$91="")*(G$3:G$91=G36)*(J$3:J$91&gt;J36))+SUMPRODUCT((P$3:P$91&lt;&gt;"")*(G$3:G$91=G36))+1,IF(N36&lt;&gt;"",SUMPRODUCT((N$3:N$91&lt;&gt;"")*(G$3:G$91=G36)*(J$3:J$91&gt;J36))+1,IF(M36="P",SUMPRODUCT((O$3:O$91&lt;&gt;"")*(P$3:P$91="")*(G$3:G$91=G36))+SUMPRODUCT((P$3:P$91&lt;&gt;"")*(G$3:G$91=G36))+SUMPRODUCT((N$3:N$91&lt;&gt;"")*(G$3:G$91=G36))+SUMPRODUCT((P$3:P$91="")*(O$3:O$91="")*(N$3:N$91="")*(M$3:M$91="P")*(G$3:G$91=G36)*(J$3:J$91&gt;J36))+IF(H36="L5",SUMPRODUCT((P$3:P$91="")*(O$3:O$91="")*(N$3:N$91="")*(M$3:M$91="P")*(G$3:G$91=G36)*(J$3:J$91&lt;J36)*(H$3:H$91&lt;&gt;H36)),-1*SUMPRODUCT((P$3:P$91="")*(O$3:O$91="")*(N$3:N$91="")*(M$3:M$91="P")*(G$3:G$91=G36)*(J$3:J$91&gt;J36)*(H$3:H$91="L5")))+1,""))))</f>
        <v/>
      </c>
      <c r="C36" s="35" t="s">
        <v>118</v>
      </c>
      <c r="D36" t="str">
        <f>IF(E36="","",VLOOKUP(E36,'Coaching Points'!A:B,2,0))</f>
        <v>MB</v>
      </c>
      <c r="E36" s="35" t="s">
        <v>63</v>
      </c>
      <c r="F36" s="34">
        <v>2007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89.09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44.7</v>
      </c>
      <c r="S36" s="4">
        <f>IF(G36="17-21",LARGE(CHOOSE({1,2,3,4,5,6},T36,V36,Y36,AA36,AC36,AF36),2),IF(R36=X36,MAX(Y36,AA36,AC36,AF36),IF(R36=AE36,MAX(AF36,T36,V36,Y36),0)))</f>
        <v>44.39</v>
      </c>
      <c r="T36" s="32">
        <v>37.56</v>
      </c>
      <c r="U36" s="37">
        <v>0</v>
      </c>
      <c r="V36" s="33">
        <v>44.7</v>
      </c>
      <c r="W36" s="37">
        <v>10.1</v>
      </c>
      <c r="X36" s="4">
        <f>IF(H36="Senior",MAX(T36,V36),T36+V36)</f>
        <v>82.26</v>
      </c>
      <c r="Y36" s="33">
        <v>44.39</v>
      </c>
      <c r="Z36" s="37">
        <v>10.3</v>
      </c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$91&lt;&gt;"")*(G$3:G$91=G37)*(J$3:J$91&gt;J37)*(I$3:I$91="P"))+1,IF(O37&lt;&gt;"",SUMPRODUCT((O$3:O$91&lt;&gt;"")*(P$3:P$91="")*(G$3:G$91=G37)*(J$3:J$91&gt;J37)*(I$3:I$91="P"))+SUMPRODUCT((P$3:P$91&lt;&gt;"")*(G$3:G$91=G37)*(I$3:I$91="P"))+1,IF(N37&lt;&gt;"",SUMPRODUCT((N$3:N$91&lt;&gt;"")*(G$3:G$91=G37)*(J$3:J$91&gt;J37)*(I$3:I$91="P"))+1,IF(M37="P",SUMPRODUCT((O$3:O$91&lt;&gt;"")*(P$3:P$91="")*(G$3:G$91=G37)*(I$3:I$91="P"))+SUMPRODUCT((P$3:P$91&lt;&gt;"")*(G$3:G$91=G37)*(I$3:I$91="P"))+SUMPRODUCT((N$3:N$91&lt;&gt;"")*(G$3:G$91=G37)*(I$3:I$91="P"))+SUMPRODUCT((P$3:P$91="")*(O$3:O$91="")*(N$3:N$91="")*(M$3:M$91="P")*(G$3:G$91=G37)*(J$3:J$91&gt;J37)*(I$3:I$91="P"))+IF(H37="L5",SUMPRODUCT((P$3:P$91="")*(O$3:O$91="")*(N$3:N$91="")*(M$3:M$91="P")*(G$3:G$91=G37)*(J$3:J$91&lt;J37)*(H$3:H$91&lt;&gt;H37)*(I$3:I$91="P")),-1*SUMPRODUCT((P$3:P$91="")*(O$3:O$91="")*(N$3:N$91="")*(M$3:M$91="P")*(G$3:G$91=G37)*(J$3:J$91&gt;J37)*(H$3:H$91="L5")*(I$3:I$91="P")))+1,"")))))</f>
        <v/>
      </c>
      <c r="B37" s="1" t="str" cm="1">
        <f t="array" ref="B37">IF(P37&lt;&gt;"",SUMPRODUCT((P$3:P$91&lt;&gt;"")*(G$3:G$91=G37)*(J$3:J$91&gt;J37))+1,IF(O37&lt;&gt;"",SUMPRODUCT((O$3:O$91&lt;&gt;"")*(P$3:P$91="")*(G$3:G$91=G37)*(J$3:J$91&gt;J37))+SUMPRODUCT((P$3:P$91&lt;&gt;"")*(G$3:G$91=G37))+1,IF(N37&lt;&gt;"",SUMPRODUCT((N$3:N$91&lt;&gt;"")*(G$3:G$91=G37)*(J$3:J$91&gt;J37))+1,IF(M37="P",SUMPRODUCT((O$3:O$91&lt;&gt;"")*(P$3:P$91="")*(G$3:G$91=G37))+SUMPRODUCT((P$3:P$91&lt;&gt;"")*(G$3:G$91=G37))+SUMPRODUCT((N$3:N$91&lt;&gt;"")*(G$3:G$91=G37))+SUMPRODUCT((P$3:P$91="")*(O$3:O$91="")*(N$3:N$91="")*(M$3:M$91="P")*(G$3:G$91=G37)*(J$3:J$91&gt;J37))+IF(H37="L5",SUMPRODUCT((P$3:P$91="")*(O$3:O$91="")*(N$3:N$91="")*(M$3:M$91="P")*(G$3:G$91=G37)*(J$3:J$91&lt;J37)*(H$3:H$91&lt;&gt;H37)),-1*SUMPRODUCT((P$3:P$91="")*(O$3:O$91="")*(N$3:N$91="")*(M$3:M$91="P")*(G$3:G$91=G37)*(J$3:J$91&gt;J37)*(H$3:H$91="L5")))+1,""))))</f>
        <v/>
      </c>
      <c r="C37" s="35" t="s">
        <v>186</v>
      </c>
      <c r="D37" t="str">
        <f>IF(E37="","",VLOOKUP(E37,'Coaching Points'!A:B,2,0))</f>
        <v>BC</v>
      </c>
      <c r="E37" s="35" t="s">
        <v>122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213</v>
      </c>
      <c r="I37" s="40"/>
      <c r="J37" s="4">
        <f>R37+S37+IF(OR(H37="Junior",H37="Senior"),0.0002,IF(OR(H37="L7",H37="L6"),0.0001,0))+IF(G37="17-21",MAX(AA37,AC37,AF37),AE37)*0.0000001</f>
        <v>88.770103973000005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49.04</v>
      </c>
      <c r="S37" s="4">
        <f>IF(G37="17-21",LARGE(CHOOSE({1,2,3,4,5,6},T37,V37,Y37,AA37,AC37,AF37),2),IF(R37=X37,MAX(Y37,AA37,AC37,AF37),IF(R37=AE37,MAX(AF37,T37,V37,Y37),0)))</f>
        <v>39.729999999999997</v>
      </c>
      <c r="T37" s="32">
        <v>39.72</v>
      </c>
      <c r="U37" s="37">
        <v>0</v>
      </c>
      <c r="V37" s="33">
        <v>49.04</v>
      </c>
      <c r="W37" s="37">
        <v>10.7</v>
      </c>
      <c r="X37" s="4">
        <f>IF(H37="Senior",MAX(T37,V37),T37+V37)</f>
        <v>88.759999999999991</v>
      </c>
      <c r="Y37" s="33">
        <v>5.6</v>
      </c>
      <c r="Z37" s="37">
        <v>1.3</v>
      </c>
      <c r="AA37" s="32">
        <v>39.729999999999997</v>
      </c>
      <c r="AB37" s="37">
        <v>0</v>
      </c>
      <c r="AC37" s="33">
        <v>25.67</v>
      </c>
      <c r="AD37" s="37">
        <v>5.8</v>
      </c>
      <c r="AE37" s="4">
        <f>IF(H37="Senior",MAX(AA37,AC37),AA37+AC37)</f>
        <v>65.400000000000006</v>
      </c>
      <c r="AF37" s="33"/>
      <c r="AG37" s="37"/>
    </row>
    <row r="38" spans="1:33" x14ac:dyDescent="0.2">
      <c r="A38" s="1" t="str" cm="1">
        <f t="array" ref="A38">IF(I38="","",IF(P38&lt;&gt;"",SUMPRODUCT((P$3:P$91&lt;&gt;"")*(G$3:G$91=G38)*(J$3:J$91&gt;J38)*(I$3:I$91="P"))+1,IF(O38&lt;&gt;"",SUMPRODUCT((O$3:O$91&lt;&gt;"")*(P$3:P$91="")*(G$3:G$91=G38)*(J$3:J$91&gt;J38)*(I$3:I$91="P"))+SUMPRODUCT((P$3:P$91&lt;&gt;"")*(G$3:G$91=G38)*(I$3:I$91="P"))+1,IF(N38&lt;&gt;"",SUMPRODUCT((N$3:N$91&lt;&gt;"")*(G$3:G$91=G38)*(J$3:J$91&gt;J38)*(I$3:I$91="P"))+1,IF(M38="P",SUMPRODUCT((O$3:O$91&lt;&gt;"")*(P$3:P$91="")*(G$3:G$91=G38)*(I$3:I$91="P"))+SUMPRODUCT((P$3:P$91&lt;&gt;"")*(G$3:G$91=G38)*(I$3:I$91="P"))+SUMPRODUCT((N$3:N$91&lt;&gt;"")*(G$3:G$91=G38)*(I$3:I$91="P"))+SUMPRODUCT((P$3:P$91="")*(O$3:O$91="")*(N$3:N$91="")*(M$3:M$91="P")*(G$3:G$91=G38)*(J$3:J$91&gt;J38)*(I$3:I$91="P"))+IF(H38="L5",SUMPRODUCT((P$3:P$91="")*(O$3:O$91="")*(N$3:N$91="")*(M$3:M$91="P")*(G$3:G$91=G38)*(J$3:J$91&lt;J38)*(H$3:H$91&lt;&gt;H38)*(I$3:I$91="P")),-1*SUMPRODUCT((P$3:P$91="")*(O$3:O$91="")*(N$3:N$91="")*(M$3:M$91="P")*(G$3:G$91=G38)*(J$3:J$91&gt;J38)*(H$3:H$91="L5")*(I$3:I$91="P")))+1,"")))))</f>
        <v/>
      </c>
      <c r="B38" s="1" t="str" cm="1">
        <f t="array" ref="B38">IF(P38&lt;&gt;"",SUMPRODUCT((P$3:P$91&lt;&gt;"")*(G$3:G$91=G38)*(J$3:J$91&gt;J38))+1,IF(O38&lt;&gt;"",SUMPRODUCT((O$3:O$91&lt;&gt;"")*(P$3:P$91="")*(G$3:G$91=G38)*(J$3:J$91&gt;J38))+SUMPRODUCT((P$3:P$91&lt;&gt;"")*(G$3:G$91=G38))+1,IF(N38&lt;&gt;"",SUMPRODUCT((N$3:N$91&lt;&gt;"")*(G$3:G$91=G38)*(J$3:J$91&gt;J38))+1,IF(M38="P",SUMPRODUCT((O$3:O$91&lt;&gt;"")*(P$3:P$91="")*(G$3:G$91=G38))+SUMPRODUCT((P$3:P$91&lt;&gt;"")*(G$3:G$91=G38))+SUMPRODUCT((N$3:N$91&lt;&gt;"")*(G$3:G$91=G38))+SUMPRODUCT((P$3:P$91="")*(O$3:O$91="")*(N$3:N$91="")*(M$3:M$91="P")*(G$3:G$91=G38)*(J$3:J$91&gt;J38))+IF(H38="L5",SUMPRODUCT((P$3:P$91="")*(O$3:O$91="")*(N$3:N$91="")*(M$3:M$91="P")*(G$3:G$91=G38)*(J$3:J$91&lt;J38)*(H$3:H$91&lt;&gt;H38)),-1*SUMPRODUCT((P$3:P$91="")*(O$3:O$91="")*(N$3:N$91="")*(M$3:M$91="P")*(G$3:G$91=G38)*(J$3:J$91&gt;J38)*(H$3:H$91="L5")))+1,""))))</f>
        <v/>
      </c>
      <c r="C38" s="35" t="s">
        <v>204</v>
      </c>
      <c r="D38" t="str">
        <f>IF(E38="","",VLOOKUP(E38,'Coaching Points'!A:B,2,0))</f>
        <v>QC</v>
      </c>
      <c r="E38" s="35" t="s">
        <v>75</v>
      </c>
      <c r="F38" s="34">
        <v>2008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88.270004470000003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44.7</v>
      </c>
      <c r="S38" s="4">
        <f>IF(G38="17-21",LARGE(CHOOSE({1,2,3,4,5,6},T38,V38,Y38,AA38,AC38,AF38),2),IF(R38=X38,MAX(Y38,AA38,AC38,AF38),IF(R38=AE38,MAX(AF38,T38,V38,Y38),0)))</f>
        <v>43.57</v>
      </c>
      <c r="T38" s="32">
        <v>36.630000000000003</v>
      </c>
      <c r="U38" s="37">
        <v>0</v>
      </c>
      <c r="V38" s="33">
        <v>43.57</v>
      </c>
      <c r="W38" s="37">
        <v>8.4</v>
      </c>
      <c r="X38" s="4">
        <f>IF(H38="Senior",MAX(T38,V38),T38+V38)</f>
        <v>80.2</v>
      </c>
      <c r="Y38" s="33">
        <v>14.2</v>
      </c>
      <c r="Z38" s="37">
        <v>3</v>
      </c>
      <c r="AA38" s="32">
        <v>35.869999999999997</v>
      </c>
      <c r="AB38" s="37">
        <v>0</v>
      </c>
      <c r="AC38" s="33">
        <v>44.7</v>
      </c>
      <c r="AD38" s="37">
        <v>7.7</v>
      </c>
      <c r="AE38" s="4">
        <f>IF(H38="Senior",MAX(AA38,AC38),AA38+AC38)</f>
        <v>80.569999999999993</v>
      </c>
      <c r="AF38" s="33">
        <v>43</v>
      </c>
      <c r="AG38" s="37">
        <v>8.3000000000000007</v>
      </c>
    </row>
    <row r="39" spans="1:33" x14ac:dyDescent="0.2">
      <c r="A39" s="1" t="str" cm="1">
        <f t="array" ref="A39">IF(I39="","",IF(P39&lt;&gt;"",SUMPRODUCT((P$3:P$91&lt;&gt;"")*(G$3:G$91=G39)*(J$3:J$91&gt;J39)*(I$3:I$91="P"))+1,IF(O39&lt;&gt;"",SUMPRODUCT((O$3:O$91&lt;&gt;"")*(P$3:P$91="")*(G$3:G$91=G39)*(J$3:J$91&gt;J39)*(I$3:I$91="P"))+SUMPRODUCT((P$3:P$91&lt;&gt;"")*(G$3:G$91=G39)*(I$3:I$91="P"))+1,IF(N39&lt;&gt;"",SUMPRODUCT((N$3:N$91&lt;&gt;"")*(G$3:G$91=G39)*(J$3:J$91&gt;J39)*(I$3:I$91="P"))+1,IF(M39="P",SUMPRODUCT((O$3:O$91&lt;&gt;"")*(P$3:P$91="")*(G$3:G$91=G39)*(I$3:I$91="P"))+SUMPRODUCT((P$3:P$91&lt;&gt;"")*(G$3:G$91=G39)*(I$3:I$91="P"))+SUMPRODUCT((N$3:N$91&lt;&gt;"")*(G$3:G$91=G39)*(I$3:I$91="P"))+SUMPRODUCT((P$3:P$91="")*(O$3:O$91="")*(N$3:N$91="")*(M$3:M$91="P")*(G$3:G$91=G39)*(J$3:J$91&gt;J39)*(I$3:I$91="P"))+IF(H39="L5",SUMPRODUCT((P$3:P$91="")*(O$3:O$91="")*(N$3:N$91="")*(M$3:M$91="P")*(G$3:G$91=G39)*(J$3:J$91&lt;J39)*(H$3:H$91&lt;&gt;H39)*(I$3:I$91="P")),-1*SUMPRODUCT((P$3:P$91="")*(O$3:O$91="")*(N$3:N$91="")*(M$3:M$91="P")*(G$3:G$91=G39)*(J$3:J$91&gt;J39)*(H$3:H$91="L5")*(I$3:I$91="P")))+1,"")))))</f>
        <v/>
      </c>
      <c r="B39" s="1" t="str" cm="1">
        <f t="array" ref="B39">IF(P39&lt;&gt;"",SUMPRODUCT((P$3:P$91&lt;&gt;"")*(G$3:G$91=G39)*(J$3:J$91&gt;J39))+1,IF(O39&lt;&gt;"",SUMPRODUCT((O$3:O$91&lt;&gt;"")*(P$3:P$91="")*(G$3:G$91=G39)*(J$3:J$91&gt;J39))+SUMPRODUCT((P$3:P$91&lt;&gt;"")*(G$3:G$91=G39))+1,IF(N39&lt;&gt;"",SUMPRODUCT((N$3:N$91&lt;&gt;"")*(G$3:G$91=G39)*(J$3:J$91&gt;J39))+1,IF(M39="P",SUMPRODUCT((O$3:O$91&lt;&gt;"")*(P$3:P$91="")*(G$3:G$91=G39))+SUMPRODUCT((P$3:P$91&lt;&gt;"")*(G$3:G$91=G39))+SUMPRODUCT((N$3:N$91&lt;&gt;"")*(G$3:G$91=G39))+SUMPRODUCT((P$3:P$91="")*(O$3:O$91="")*(N$3:N$91="")*(M$3:M$91="P")*(G$3:G$91=G39)*(J$3:J$91&gt;J39))+IF(H39="L5",SUMPRODUCT((P$3:P$91="")*(O$3:O$91="")*(N$3:N$91="")*(M$3:M$91="P")*(G$3:G$91=G39)*(J$3:J$91&lt;J39)*(H$3:H$91&lt;&gt;H39)),-1*SUMPRODUCT((P$3:P$91="")*(O$3:O$91="")*(N$3:N$91="")*(M$3:M$91="P")*(G$3:G$91=G39)*(J$3:J$91&gt;J39)*(H$3:H$91="L5")))+1,""))))</f>
        <v/>
      </c>
      <c r="C39" s="35" t="s">
        <v>183</v>
      </c>
      <c r="D39" t="str">
        <f>IF(E39="","",VLOOKUP(E39,'Coaching Points'!A:B,2,0))</f>
        <v>QC</v>
      </c>
      <c r="E39" s="35" t="s">
        <v>75</v>
      </c>
      <c r="F39" s="34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>R39+S39+IF(OR(H39="Junior",H39="Senior"),0.0002,IF(OR(H39="L7",H39="L6"),0.0001,0))+IF(G39="17-21",MAX(AA39,AC39,AF39),AE39)*0.0000001</f>
        <v>86.990101224000014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48.32</v>
      </c>
      <c r="S39" s="4">
        <f>IF(G39="17-21",LARGE(CHOOSE({1,2,3,4,5,6},T39,V39,Y39,AA39,AC39,AF39),2),IF(R39=X39,MAX(Y39,AA39,AC39,AF39),IF(R39=AE39,MAX(AF39,T39,V39,Y39),0)))</f>
        <v>38.67</v>
      </c>
      <c r="T39" s="32">
        <v>38.67</v>
      </c>
      <c r="U39" s="37">
        <v>0</v>
      </c>
      <c r="V39" s="33">
        <v>48.32</v>
      </c>
      <c r="W39" s="37">
        <v>10.8</v>
      </c>
      <c r="X39" s="4">
        <f>IF(H39="Senior",MAX(T39,V39),T39+V39)</f>
        <v>86.990000000000009</v>
      </c>
      <c r="Y39" s="33">
        <v>19.64</v>
      </c>
      <c r="Z39" s="37">
        <v>3.9</v>
      </c>
      <c r="AA39" s="32">
        <v>12.24</v>
      </c>
      <c r="AB39" s="37">
        <v>0</v>
      </c>
      <c r="AC39" s="33">
        <v>9.44</v>
      </c>
      <c r="AD39" s="37">
        <v>2</v>
      </c>
      <c r="AE39" s="4">
        <f>IF(H39="Senior",MAX(AA39,AC39),AA39+AC39)</f>
        <v>21.68</v>
      </c>
      <c r="AF39" s="33"/>
      <c r="AG39" s="37"/>
    </row>
    <row r="40" spans="1:33" x14ac:dyDescent="0.2">
      <c r="A40" s="1" t="str" cm="1">
        <f t="array" ref="A40">IF(I40="","",IF(P40&lt;&gt;"",SUMPRODUCT((P$3:P$91&lt;&gt;"")*(G$3:G$91=G40)*(J$3:J$91&gt;J40)*(I$3:I$91="P"))+1,IF(O40&lt;&gt;"",SUMPRODUCT((O$3:O$91&lt;&gt;"")*(P$3:P$91="")*(G$3:G$91=G40)*(J$3:J$91&gt;J40)*(I$3:I$91="P"))+SUMPRODUCT((P$3:P$91&lt;&gt;"")*(G$3:G$91=G40)*(I$3:I$91="P"))+1,IF(N40&lt;&gt;"",SUMPRODUCT((N$3:N$91&lt;&gt;"")*(G$3:G$91=G40)*(J$3:J$91&gt;J40)*(I$3:I$91="P"))+1,IF(M40="P",SUMPRODUCT((O$3:O$91&lt;&gt;"")*(P$3:P$91="")*(G$3:G$91=G40)*(I$3:I$91="P"))+SUMPRODUCT((P$3:P$91&lt;&gt;"")*(G$3:G$91=G40)*(I$3:I$91="P"))+SUMPRODUCT((N$3:N$91&lt;&gt;"")*(G$3:G$91=G40)*(I$3:I$91="P"))+SUMPRODUCT((P$3:P$91="")*(O$3:O$91="")*(N$3:N$91="")*(M$3:M$91="P")*(G$3:G$91=G40)*(J$3:J$91&gt;J40)*(I$3:I$91="P"))+IF(H40="L5",SUMPRODUCT((P$3:P$91="")*(O$3:O$91="")*(N$3:N$91="")*(M$3:M$91="P")*(G$3:G$91=G40)*(J$3:J$91&lt;J40)*(H$3:H$91&lt;&gt;H40)*(I$3:I$91="P")),-1*SUMPRODUCT((P$3:P$91="")*(O$3:O$91="")*(N$3:N$91="")*(M$3:M$91="P")*(G$3:G$91=G40)*(J$3:J$91&gt;J40)*(H$3:H$91="L5")*(I$3:I$91="P")))+1,"")))))</f>
        <v/>
      </c>
      <c r="B40" s="1" t="str" cm="1">
        <f t="array" ref="B40">IF(P40&lt;&gt;"",SUMPRODUCT((P$3:P$91&lt;&gt;"")*(G$3:G$91=G40)*(J$3:J$91&gt;J40))+1,IF(O40&lt;&gt;"",SUMPRODUCT((O$3:O$91&lt;&gt;"")*(P$3:P$91="")*(G$3:G$91=G40)*(J$3:J$91&gt;J40))+SUMPRODUCT((P$3:P$91&lt;&gt;"")*(G$3:G$91=G40))+1,IF(N40&lt;&gt;"",SUMPRODUCT((N$3:N$91&lt;&gt;"")*(G$3:G$91=G40)*(J$3:J$91&gt;J40))+1,IF(M40="P",SUMPRODUCT((O$3:O$91&lt;&gt;"")*(P$3:P$91="")*(G$3:G$91=G40))+SUMPRODUCT((P$3:P$91&lt;&gt;"")*(G$3:G$91=G40))+SUMPRODUCT((N$3:N$91&lt;&gt;"")*(G$3:G$91=G40))+SUMPRODUCT((P$3:P$91="")*(O$3:O$91="")*(N$3:N$91="")*(M$3:M$91="P")*(G$3:G$91=G40)*(J$3:J$91&gt;J40))+IF(H40="L5",SUMPRODUCT((P$3:P$91="")*(O$3:O$91="")*(N$3:N$91="")*(M$3:M$91="P")*(G$3:G$91=G40)*(J$3:J$91&lt;J40)*(H$3:H$91&lt;&gt;H40)),-1*SUMPRODUCT((P$3:P$91="")*(O$3:O$91="")*(N$3:N$91="")*(M$3:M$91="P")*(G$3:G$91=G40)*(J$3:J$91&gt;J40)*(H$3:H$91="L5")))+1,""))))</f>
        <v/>
      </c>
      <c r="C40" s="35" t="s">
        <v>116</v>
      </c>
      <c r="D40" t="str">
        <f>IF(E40="","",VLOOKUP(E40,'Coaching Points'!A:B,2,0))</f>
        <v>BC</v>
      </c>
      <c r="E40" s="35" t="s">
        <v>40</v>
      </c>
      <c r="F40" s="34">
        <v>2008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R40+S40+IF(OR(H40="Junior",H40="Senior"),0.0002,IF(OR(H40="L7",H40="L6"),0.0001,0))+IF(G40="17-21",MAX(AA40,AC40,AF40),AE40)*0.0000001</f>
        <v>85.380004702999997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47.03</v>
      </c>
      <c r="S40" s="4">
        <f>IF(G40="17-21",LARGE(CHOOSE({1,2,3,4,5,6},T40,V40,Y40,AA40,AC40,AF40),2),IF(R40=X40,MAX(Y40,AA40,AC40,AF40),IF(R40=AE40,MAX(AF40,T40,V40,Y40),0)))</f>
        <v>38.35</v>
      </c>
      <c r="T40" s="32">
        <v>38.35</v>
      </c>
      <c r="U40" s="37">
        <v>0</v>
      </c>
      <c r="V40" s="33">
        <v>5.55</v>
      </c>
      <c r="W40" s="37">
        <v>1.7</v>
      </c>
      <c r="X40" s="4">
        <f>IF(H40="Senior",MAX(T40,V40),T40+V40)</f>
        <v>43.9</v>
      </c>
      <c r="Y40" s="33"/>
      <c r="Z40" s="37"/>
      <c r="AA40" s="32">
        <v>35.99</v>
      </c>
      <c r="AB40" s="37">
        <v>0</v>
      </c>
      <c r="AC40" s="33">
        <v>47.03</v>
      </c>
      <c r="AD40" s="37">
        <v>12</v>
      </c>
      <c r="AE40" s="4">
        <f>IF(H40="Senior",MAX(AA40,AC40),AA40+AC40)</f>
        <v>83.02000000000001</v>
      </c>
      <c r="AF40" s="33">
        <v>25.45</v>
      </c>
      <c r="AG40" s="37">
        <v>6.5</v>
      </c>
    </row>
    <row r="41" spans="1:33" x14ac:dyDescent="0.2">
      <c r="A41" s="1" t="str" cm="1">
        <f t="array" ref="A41">IF(I41="","",IF(P41&lt;&gt;"",SUMPRODUCT((P$3:P$91&lt;&gt;"")*(G$3:G$91=G41)*(J$3:J$91&gt;J41)*(I$3:I$91="P"))+1,IF(O41&lt;&gt;"",SUMPRODUCT((O$3:O$91&lt;&gt;"")*(P$3:P$91="")*(G$3:G$91=G41)*(J$3:J$91&gt;J41)*(I$3:I$91="P"))+SUMPRODUCT((P$3:P$91&lt;&gt;"")*(G$3:G$91=G41)*(I$3:I$91="P"))+1,IF(N41&lt;&gt;"",SUMPRODUCT((N$3:N$91&lt;&gt;"")*(G$3:G$91=G41)*(J$3:J$91&gt;J41)*(I$3:I$91="P"))+1,IF(M41="P",SUMPRODUCT((O$3:O$91&lt;&gt;"")*(P$3:P$91="")*(G$3:G$91=G41)*(I$3:I$91="P"))+SUMPRODUCT((P$3:P$91&lt;&gt;"")*(G$3:G$91=G41)*(I$3:I$91="P"))+SUMPRODUCT((N$3:N$91&lt;&gt;"")*(G$3:G$91=G41)*(I$3:I$91="P"))+SUMPRODUCT((P$3:P$91="")*(O$3:O$91="")*(N$3:N$91="")*(M$3:M$91="P")*(G$3:G$91=G41)*(J$3:J$91&gt;J41)*(I$3:I$91="P"))+IF(H41="L5",SUMPRODUCT((P$3:P$91="")*(O$3:O$91="")*(N$3:N$91="")*(M$3:M$91="P")*(G$3:G$91=G41)*(J$3:J$91&lt;J41)*(H$3:H$91&lt;&gt;H41)*(I$3:I$91="P")),-1*SUMPRODUCT((P$3:P$91="")*(O$3:O$91="")*(N$3:N$91="")*(M$3:M$91="P")*(G$3:G$91=G41)*(J$3:J$91&gt;J41)*(H$3:H$91="L5")*(I$3:I$91="P")))+1,"")))))</f>
        <v/>
      </c>
      <c r="B41" s="1" t="str" cm="1">
        <f t="array" ref="B41">IF(P41&lt;&gt;"",SUMPRODUCT((P$3:P$91&lt;&gt;"")*(G$3:G$91=G41)*(J$3:J$91&gt;J41))+1,IF(O41&lt;&gt;"",SUMPRODUCT((O$3:O$91&lt;&gt;"")*(P$3:P$91="")*(G$3:G$91=G41)*(J$3:J$91&gt;J41))+SUMPRODUCT((P$3:P$91&lt;&gt;"")*(G$3:G$91=G41))+1,IF(N41&lt;&gt;"",SUMPRODUCT((N$3:N$91&lt;&gt;"")*(G$3:G$91=G41)*(J$3:J$91&gt;J41))+1,IF(M41="P",SUMPRODUCT((O$3:O$91&lt;&gt;"")*(P$3:P$91="")*(G$3:G$91=G41))+SUMPRODUCT((P$3:P$91&lt;&gt;"")*(G$3:G$91=G41))+SUMPRODUCT((N$3:N$91&lt;&gt;"")*(G$3:G$91=G41))+SUMPRODUCT((P$3:P$91="")*(O$3:O$91="")*(N$3:N$91="")*(M$3:M$91="P")*(G$3:G$91=G41)*(J$3:J$91&gt;J41))+IF(H41="L5",SUMPRODUCT((P$3:P$91="")*(O$3:O$91="")*(N$3:N$91="")*(M$3:M$91="P")*(G$3:G$91=G41)*(J$3:J$91&lt;J41)*(H$3:H$91&lt;&gt;H41)),-1*SUMPRODUCT((P$3:P$91="")*(O$3:O$91="")*(N$3:N$91="")*(M$3:M$91="P")*(G$3:G$91=G41)*(J$3:J$91&gt;J41)*(H$3:H$91="L5")))+1,""))))</f>
        <v/>
      </c>
      <c r="C41" s="35" t="s">
        <v>154</v>
      </c>
      <c r="D41" t="str">
        <f>IF(E41="","",VLOOKUP(E41,'Coaching Points'!A:B,2,0))</f>
        <v>AB</v>
      </c>
      <c r="E41" s="35" t="s">
        <v>28</v>
      </c>
      <c r="F41" s="34">
        <v>2008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85.210100000000011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48.28</v>
      </c>
      <c r="S41" s="4">
        <f>IF(G41="17-21",LARGE(CHOOSE({1,2,3,4,5,6},T41,V41,Y41,AA41,AC41,AF41),2),IF(R41=X41,MAX(Y41,AA41,AC41,AF41),IF(R41=AE41,MAX(AF41,T41,V41,Y41),0)))</f>
        <v>36.93</v>
      </c>
      <c r="T41" s="32">
        <v>36.93</v>
      </c>
      <c r="U41" s="37">
        <v>0</v>
      </c>
      <c r="V41" s="33">
        <v>36.82</v>
      </c>
      <c r="W41" s="37">
        <v>9.1999999999999993</v>
      </c>
      <c r="X41" s="4">
        <f>IF(H41="Senior",MAX(T41,V41),T41+V41)</f>
        <v>73.75</v>
      </c>
      <c r="Y41" s="33">
        <v>48.28</v>
      </c>
      <c r="Z41" s="37">
        <v>12.2</v>
      </c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$91&lt;&gt;"")*(G$3:G$91=G42)*(J$3:J$91&gt;J42)*(I$3:I$91="P"))+1,IF(O42&lt;&gt;"",SUMPRODUCT((O$3:O$91&lt;&gt;"")*(P$3:P$91="")*(G$3:G$91=G42)*(J$3:J$91&gt;J42)*(I$3:I$91="P"))+SUMPRODUCT((P$3:P$91&lt;&gt;"")*(G$3:G$91=G42)*(I$3:I$91="P"))+1,IF(N42&lt;&gt;"",SUMPRODUCT((N$3:N$91&lt;&gt;"")*(G$3:G$91=G42)*(J$3:J$91&gt;J42)*(I$3:I$91="P"))+1,IF(M42="P",SUMPRODUCT((O$3:O$91&lt;&gt;"")*(P$3:P$91="")*(G$3:G$91=G42)*(I$3:I$91="P"))+SUMPRODUCT((P$3:P$91&lt;&gt;"")*(G$3:G$91=G42)*(I$3:I$91="P"))+SUMPRODUCT((N$3:N$91&lt;&gt;"")*(G$3:G$91=G42)*(I$3:I$91="P"))+SUMPRODUCT((P$3:P$91="")*(O$3:O$91="")*(N$3:N$91="")*(M$3:M$91="P")*(G$3:G$91=G42)*(J$3:J$91&gt;J42)*(I$3:I$91="P"))+IF(H42="L5",SUMPRODUCT((P$3:P$91="")*(O$3:O$91="")*(N$3:N$91="")*(M$3:M$91="P")*(G$3:G$91=G42)*(J$3:J$91&lt;J42)*(H$3:H$91&lt;&gt;H42)*(I$3:I$91="P")),-1*SUMPRODUCT((P$3:P$91="")*(O$3:O$91="")*(N$3:N$91="")*(M$3:M$91="P")*(G$3:G$91=G42)*(J$3:J$91&gt;J42)*(H$3:H$91="L5")*(I$3:I$91="P")))+1,"")))))</f>
        <v/>
      </c>
      <c r="B42" s="1" t="str" cm="1">
        <f t="array" ref="B42">IF(P42&lt;&gt;"",SUMPRODUCT((P$3:P$91&lt;&gt;"")*(G$3:G$91=G42)*(J$3:J$91&gt;J42))+1,IF(O42&lt;&gt;"",SUMPRODUCT((O$3:O$91&lt;&gt;"")*(P$3:P$91="")*(G$3:G$91=G42)*(J$3:J$91&gt;J42))+SUMPRODUCT((P$3:P$91&lt;&gt;"")*(G$3:G$91=G42))+1,IF(N42&lt;&gt;"",SUMPRODUCT((N$3:N$91&lt;&gt;"")*(G$3:G$91=G42)*(J$3:J$91&gt;J42))+1,IF(M42="P",SUMPRODUCT((O$3:O$91&lt;&gt;"")*(P$3:P$91="")*(G$3:G$91=G42))+SUMPRODUCT((P$3:P$91&lt;&gt;"")*(G$3:G$91=G42))+SUMPRODUCT((N$3:N$91&lt;&gt;"")*(G$3:G$91=G42))+SUMPRODUCT((P$3:P$91="")*(O$3:O$91="")*(N$3:N$91="")*(M$3:M$91="P")*(G$3:G$91=G42)*(J$3:J$91&gt;J42))+IF(H42="L5",SUMPRODUCT((P$3:P$91="")*(O$3:O$91="")*(N$3:N$91="")*(M$3:M$91="P")*(G$3:G$91=G42)*(J$3:J$91&lt;J42)*(H$3:H$91&lt;&gt;H42)),-1*SUMPRODUCT((P$3:P$91="")*(O$3:O$91="")*(N$3:N$91="")*(M$3:M$91="P")*(G$3:G$91=G42)*(J$3:J$91&gt;J42)*(H$3:H$91="L5")))+1,""))))</f>
        <v/>
      </c>
      <c r="C42" s="35" t="s">
        <v>406</v>
      </c>
      <c r="D42" t="str">
        <f>IF(E42="","",VLOOKUP(E42,'Coaching Points'!A:B,2,0))</f>
        <v>ON</v>
      </c>
      <c r="E42" s="35" t="s">
        <v>84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213</v>
      </c>
      <c r="I42" s="40"/>
      <c r="J42" s="4">
        <f>R42+S42+IF(OR(H42="Junior",H42="Senior"),0.0002,IF(OR(H42="L7",H42="L6"),0.0001,0))+IF(G42="17-21",MAX(AA42,AC42,AF42),AE42)*0.0000001</f>
        <v>85.200104753000005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47.53</v>
      </c>
      <c r="S42" s="4">
        <f>IF(G42="17-21",LARGE(CHOOSE({1,2,3,4,5,6},T42,V42,Y42,AA42,AC42,AF42),2),IF(R42=X42,MAX(Y42,AA42,AC42,AF42),IF(R42=AE42,MAX(AF42,T42,V42,Y42),0)))</f>
        <v>37.67</v>
      </c>
      <c r="T42" s="32"/>
      <c r="U42" s="37"/>
      <c r="V42" s="33"/>
      <c r="W42" s="37"/>
      <c r="X42" s="4"/>
      <c r="Y42" s="33"/>
      <c r="Z42" s="37"/>
      <c r="AA42" s="32">
        <v>37.67</v>
      </c>
      <c r="AB42" s="37">
        <v>0</v>
      </c>
      <c r="AC42" s="33">
        <v>47.53</v>
      </c>
      <c r="AD42" s="37">
        <v>10.9</v>
      </c>
      <c r="AE42" s="4">
        <f>IF(H42="Senior",MAX(AA42,AC42),AA42+AC42)</f>
        <v>85.2</v>
      </c>
      <c r="AF42" s="33">
        <v>15.06</v>
      </c>
      <c r="AG42" s="37">
        <v>3.4</v>
      </c>
    </row>
    <row r="43" spans="1:33" x14ac:dyDescent="0.2">
      <c r="A43" s="1" t="str" cm="1">
        <f t="array" ref="A43">IF(I43="","",IF(P43&lt;&gt;"",SUMPRODUCT((P$3:P$91&lt;&gt;"")*(G$3:G$91=G43)*(J$3:J$91&gt;J43)*(I$3:I$91="P"))+1,IF(O43&lt;&gt;"",SUMPRODUCT((O$3:O$91&lt;&gt;"")*(P$3:P$91="")*(G$3:G$91=G43)*(J$3:J$91&gt;J43)*(I$3:I$91="P"))+SUMPRODUCT((P$3:P$91&lt;&gt;"")*(G$3:G$91=G43)*(I$3:I$91="P"))+1,IF(N43&lt;&gt;"",SUMPRODUCT((N$3:N$91&lt;&gt;"")*(G$3:G$91=G43)*(J$3:J$91&gt;J43)*(I$3:I$91="P"))+1,IF(M43="P",SUMPRODUCT((O$3:O$91&lt;&gt;"")*(P$3:P$91="")*(G$3:G$91=G43)*(I$3:I$91="P"))+SUMPRODUCT((P$3:P$91&lt;&gt;"")*(G$3:G$91=G43)*(I$3:I$91="P"))+SUMPRODUCT((N$3:N$91&lt;&gt;"")*(G$3:G$91=G43)*(I$3:I$91="P"))+SUMPRODUCT((P$3:P$91="")*(O$3:O$91="")*(N$3:N$91="")*(M$3:M$91="P")*(G$3:G$91=G43)*(J$3:J$91&gt;J43)*(I$3:I$91="P"))+IF(H43="L5",SUMPRODUCT((P$3:P$91="")*(O$3:O$91="")*(N$3:N$91="")*(M$3:M$91="P")*(G$3:G$91=G43)*(J$3:J$91&lt;J43)*(H$3:H$91&lt;&gt;H43)*(I$3:I$91="P")),-1*SUMPRODUCT((P$3:P$91="")*(O$3:O$91="")*(N$3:N$91="")*(M$3:M$91="P")*(G$3:G$91=G43)*(J$3:J$91&gt;J43)*(H$3:H$91="L5")*(I$3:I$91="P")))+1,"")))))</f>
        <v/>
      </c>
      <c r="B43" s="1" t="str" cm="1">
        <f t="array" ref="B43">IF(P43&lt;&gt;"",SUMPRODUCT((P$3:P$91&lt;&gt;"")*(G$3:G$91=G43)*(J$3:J$91&gt;J43))+1,IF(O43&lt;&gt;"",SUMPRODUCT((O$3:O$91&lt;&gt;"")*(P$3:P$91="")*(G$3:G$91=G43)*(J$3:J$91&gt;J43))+SUMPRODUCT((P$3:P$91&lt;&gt;"")*(G$3:G$91=G43))+1,IF(N43&lt;&gt;"",SUMPRODUCT((N$3:N$91&lt;&gt;"")*(G$3:G$91=G43)*(J$3:J$91&gt;J43))+1,IF(M43="P",SUMPRODUCT((O$3:O$91&lt;&gt;"")*(P$3:P$91="")*(G$3:G$91=G43))+SUMPRODUCT((P$3:P$91&lt;&gt;"")*(G$3:G$91=G43))+SUMPRODUCT((N$3:N$91&lt;&gt;"")*(G$3:G$91=G43))+SUMPRODUCT((P$3:P$91="")*(O$3:O$91="")*(N$3:N$91="")*(M$3:M$91="P")*(G$3:G$91=G43)*(J$3:J$91&gt;J43))+IF(H43="L5",SUMPRODUCT((P$3:P$91="")*(O$3:O$91="")*(N$3:N$91="")*(M$3:M$91="P")*(G$3:G$91=G43)*(J$3:J$91&lt;J43)*(H$3:H$91&lt;&gt;H43)),-1*SUMPRODUCT((P$3:P$91="")*(O$3:O$91="")*(N$3:N$91="")*(M$3:M$91="P")*(G$3:G$91=G43)*(J$3:J$91&gt;J43)*(H$3:H$91="L5")))+1,""))))</f>
        <v/>
      </c>
      <c r="C43" s="35" t="s">
        <v>402</v>
      </c>
      <c r="D43" t="str">
        <f>IF(E43="","",VLOOKUP(E43,'Coaching Points'!A:B,2,0))</f>
        <v>ON</v>
      </c>
      <c r="E43" s="35" t="s">
        <v>45</v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84.34000466900001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46.69</v>
      </c>
      <c r="S43" s="4">
        <f>IF(G43="17-21",LARGE(CHOOSE({1,2,3,4,5,6},T43,V43,Y43,AA43,AC43,AF43),2),IF(R43=X43,MAX(Y43,AA43,AC43,AF43),IF(R43=AE43,MAX(AF43,T43,V43,Y43),0)))</f>
        <v>37.65</v>
      </c>
      <c r="T43" s="32"/>
      <c r="U43" s="37"/>
      <c r="V43" s="33"/>
      <c r="W43" s="37"/>
      <c r="X43" s="4"/>
      <c r="Y43" s="33"/>
      <c r="Z43" s="37"/>
      <c r="AA43" s="32">
        <v>37.65</v>
      </c>
      <c r="AB43" s="37">
        <v>0</v>
      </c>
      <c r="AC43" s="33">
        <v>46.69</v>
      </c>
      <c r="AD43" s="37">
        <v>9.4</v>
      </c>
      <c r="AE43" s="4">
        <f>IF(H43="Senior",MAX(AA43,AC43),AA43+AC43)</f>
        <v>84.34</v>
      </c>
      <c r="AF43" s="33">
        <v>5.3</v>
      </c>
      <c r="AG43" s="37">
        <v>1.3</v>
      </c>
    </row>
    <row r="44" spans="1:33" x14ac:dyDescent="0.2">
      <c r="A44" s="1" t="str" cm="1">
        <f t="array" ref="A44">IF(I44="","",IF(P44&lt;&gt;"",SUMPRODUCT((P$3:P$91&lt;&gt;"")*(G$3:G$91=G44)*(J$3:J$91&gt;J44)*(I$3:I$91="P"))+1,IF(O44&lt;&gt;"",SUMPRODUCT((O$3:O$91&lt;&gt;"")*(P$3:P$91="")*(G$3:G$91=G44)*(J$3:J$91&gt;J44)*(I$3:I$91="P"))+SUMPRODUCT((P$3:P$91&lt;&gt;"")*(G$3:G$91=G44)*(I$3:I$91="P"))+1,IF(N44&lt;&gt;"",SUMPRODUCT((N$3:N$91&lt;&gt;"")*(G$3:G$91=G44)*(J$3:J$91&gt;J44)*(I$3:I$91="P"))+1,IF(M44="P",SUMPRODUCT((O$3:O$91&lt;&gt;"")*(P$3:P$91="")*(G$3:G$91=G44)*(I$3:I$91="P"))+SUMPRODUCT((P$3:P$91&lt;&gt;"")*(G$3:G$91=G44)*(I$3:I$91="P"))+SUMPRODUCT((N$3:N$91&lt;&gt;"")*(G$3:G$91=G44)*(I$3:I$91="P"))+SUMPRODUCT((P$3:P$91="")*(O$3:O$91="")*(N$3:N$91="")*(M$3:M$91="P")*(G$3:G$91=G44)*(J$3:J$91&gt;J44)*(I$3:I$91="P"))+IF(H44="L5",SUMPRODUCT((P$3:P$91="")*(O$3:O$91="")*(N$3:N$91="")*(M$3:M$91="P")*(G$3:G$91=G44)*(J$3:J$91&lt;J44)*(H$3:H$91&lt;&gt;H44)*(I$3:I$91="P")),-1*SUMPRODUCT((P$3:P$91="")*(O$3:O$91="")*(N$3:N$91="")*(M$3:M$91="P")*(G$3:G$91=G44)*(J$3:J$91&gt;J44)*(H$3:H$91="L5")*(I$3:I$91="P")))+1,"")))))</f>
        <v/>
      </c>
      <c r="B44" s="1" t="str" cm="1">
        <f t="array" ref="B44">IF(P44&lt;&gt;"",SUMPRODUCT((P$3:P$91&lt;&gt;"")*(G$3:G$91=G44)*(J$3:J$91&gt;J44))+1,IF(O44&lt;&gt;"",SUMPRODUCT((O$3:O$91&lt;&gt;"")*(P$3:P$91="")*(G$3:G$91=G44)*(J$3:J$91&gt;J44))+SUMPRODUCT((P$3:P$91&lt;&gt;"")*(G$3:G$91=G44))+1,IF(N44&lt;&gt;"",SUMPRODUCT((N$3:N$91&lt;&gt;"")*(G$3:G$91=G44)*(J$3:J$91&gt;J44))+1,IF(M44="P",SUMPRODUCT((O$3:O$91&lt;&gt;"")*(P$3:P$91="")*(G$3:G$91=G44))+SUMPRODUCT((P$3:P$91&lt;&gt;"")*(G$3:G$91=G44))+SUMPRODUCT((N$3:N$91&lt;&gt;"")*(G$3:G$91=G44))+SUMPRODUCT((P$3:P$91="")*(O$3:O$91="")*(N$3:N$91="")*(M$3:M$91="P")*(G$3:G$91=G44)*(J$3:J$91&gt;J44))+IF(H44="L5",SUMPRODUCT((P$3:P$91="")*(O$3:O$91="")*(N$3:N$91="")*(M$3:M$91="P")*(G$3:G$91=G44)*(J$3:J$91&lt;J44)*(H$3:H$91&lt;&gt;H44)),-1*SUMPRODUCT((P$3:P$91="")*(O$3:O$91="")*(N$3:N$91="")*(M$3:M$91="P")*(G$3:G$91=G44)*(J$3:J$91&gt;J44)*(H$3:H$91="L5")))+1,""))))</f>
        <v/>
      </c>
      <c r="C44" s="35" t="s">
        <v>159</v>
      </c>
      <c r="D44" t="str">
        <f>IF(E44="","",VLOOKUP(E44,'Coaching Points'!A:B,2,0))</f>
        <v>BC</v>
      </c>
      <c r="E44" s="35" t="s">
        <v>59</v>
      </c>
      <c r="F44" s="34">
        <v>2008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>R44+S44+IF(OR(H44="Junior",H44="Senior"),0.0002,IF(OR(H44="L7",H44="L6"),0.0001,0))+IF(G44="17-21",MAX(AA44,AC44,AF44),AE44)*0.0000001</f>
        <v>84.11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42.13</v>
      </c>
      <c r="S44" s="4">
        <f>IF(G44="17-21",LARGE(CHOOSE({1,2,3,4,5,6},T44,V44,Y44,AA44,AC44,AF44),2),IF(R44=X44,MAX(Y44,AA44,AC44,AF44),IF(R44=AE44,MAX(AF44,T44,V44,Y44),0)))</f>
        <v>41.98</v>
      </c>
      <c r="T44" s="32">
        <v>35.909999999999997</v>
      </c>
      <c r="U44" s="37">
        <v>0</v>
      </c>
      <c r="V44" s="33">
        <v>42.13</v>
      </c>
      <c r="W44" s="37">
        <v>8.4</v>
      </c>
      <c r="X44" s="4">
        <f>IF(H44="Senior",MAX(T44,V44),T44+V44)</f>
        <v>78.039999999999992</v>
      </c>
      <c r="Y44" s="33">
        <v>41.98</v>
      </c>
      <c r="Z44" s="37">
        <v>8.6</v>
      </c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$91&lt;&gt;"")*(G$3:G$91=G45)*(J$3:J$91&gt;J45)*(I$3:I$91="P"))+1,IF(O45&lt;&gt;"",SUMPRODUCT((O$3:O$91&lt;&gt;"")*(P$3:P$91="")*(G$3:G$91=G45)*(J$3:J$91&gt;J45)*(I$3:I$91="P"))+SUMPRODUCT((P$3:P$91&lt;&gt;"")*(G$3:G$91=G45)*(I$3:I$91="P"))+1,IF(N45&lt;&gt;"",SUMPRODUCT((N$3:N$91&lt;&gt;"")*(G$3:G$91=G45)*(J$3:J$91&gt;J45)*(I$3:I$91="P"))+1,IF(M45="P",SUMPRODUCT((O$3:O$91&lt;&gt;"")*(P$3:P$91="")*(G$3:G$91=G45)*(I$3:I$91="P"))+SUMPRODUCT((P$3:P$91&lt;&gt;"")*(G$3:G$91=G45)*(I$3:I$91="P"))+SUMPRODUCT((N$3:N$91&lt;&gt;"")*(G$3:G$91=G45)*(I$3:I$91="P"))+SUMPRODUCT((P$3:P$91="")*(O$3:O$91="")*(N$3:N$91="")*(M$3:M$91="P")*(G$3:G$91=G45)*(J$3:J$91&gt;J45)*(I$3:I$91="P"))+IF(H45="L5",SUMPRODUCT((P$3:P$91="")*(O$3:O$91="")*(N$3:N$91="")*(M$3:M$91="P")*(G$3:G$91=G45)*(J$3:J$91&lt;J45)*(H$3:H$91&lt;&gt;H45)*(I$3:I$91="P")),-1*SUMPRODUCT((P$3:P$91="")*(O$3:O$91="")*(N$3:N$91="")*(M$3:M$91="P")*(G$3:G$91=G45)*(J$3:J$91&gt;J45)*(H$3:H$91="L5")*(I$3:I$91="P")))+1,"")))))</f>
        <v/>
      </c>
      <c r="B45" s="1" t="str" cm="1">
        <f t="array" ref="B45">IF(P45&lt;&gt;"",SUMPRODUCT((P$3:P$91&lt;&gt;"")*(G$3:G$91=G45)*(J$3:J$91&gt;J45))+1,IF(O45&lt;&gt;"",SUMPRODUCT((O$3:O$91&lt;&gt;"")*(P$3:P$91="")*(G$3:G$91=G45)*(J$3:J$91&gt;J45))+SUMPRODUCT((P$3:P$91&lt;&gt;"")*(G$3:G$91=G45))+1,IF(N45&lt;&gt;"",SUMPRODUCT((N$3:N$91&lt;&gt;"")*(G$3:G$91=G45)*(J$3:J$91&gt;J45))+1,IF(M45="P",SUMPRODUCT((O$3:O$91&lt;&gt;"")*(P$3:P$91="")*(G$3:G$91=G45))+SUMPRODUCT((P$3:P$91&lt;&gt;"")*(G$3:G$91=G45))+SUMPRODUCT((N$3:N$91&lt;&gt;"")*(G$3:G$91=G45))+SUMPRODUCT((P$3:P$91="")*(O$3:O$91="")*(N$3:N$91="")*(M$3:M$91="P")*(G$3:G$91=G45)*(J$3:J$91&gt;J45))+IF(H45="L5",SUMPRODUCT((P$3:P$91="")*(O$3:O$91="")*(N$3:N$91="")*(M$3:M$91="P")*(G$3:G$91=G45)*(J$3:J$91&lt;J45)*(H$3:H$91&lt;&gt;H45)),-1*SUMPRODUCT((P$3:P$91="")*(O$3:O$91="")*(N$3:N$91="")*(M$3:M$91="P")*(G$3:G$91=G45)*(J$3:J$91&gt;J45)*(H$3:H$91="L5")))+1,""))))</f>
        <v/>
      </c>
      <c r="C45" s="35" t="s">
        <v>155</v>
      </c>
      <c r="D45" t="str">
        <f>IF(E45="","",VLOOKUP(E45,'Coaching Points'!A:B,2,0))</f>
        <v>BC</v>
      </c>
      <c r="E45" s="35" t="s">
        <v>60</v>
      </c>
      <c r="F45" s="34">
        <v>2007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R45+S45+IF(OR(H45="Junior",H45="Senior"),0.0002,IF(OR(H45="L7",H45="L6"),0.0001,0))+IF(G45="17-21",MAX(AA45,AC45,AF45),AE45)*0.0000001</f>
        <v>76.690104065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40.65</v>
      </c>
      <c r="S45" s="4">
        <f>IF(G45="17-21",LARGE(CHOOSE({1,2,3,4,5,6},T45,V45,Y45,AA45,AC45,AF45),2),IF(R45=X45,MAX(Y45,AA45,AC45,AF45),IF(R45=AE45,MAX(AF45,T45,V45,Y45),0)))</f>
        <v>36.04</v>
      </c>
      <c r="T45" s="32">
        <v>25.98</v>
      </c>
      <c r="U45" s="37">
        <v>0</v>
      </c>
      <c r="V45" s="33">
        <v>10.7</v>
      </c>
      <c r="W45" s="37">
        <v>3</v>
      </c>
      <c r="X45" s="4">
        <f>IF(H45="Senior",MAX(T45,V45),T45+V45)</f>
        <v>36.68</v>
      </c>
      <c r="Y45" s="33"/>
      <c r="Z45" s="37"/>
      <c r="AA45" s="32">
        <v>36.04</v>
      </c>
      <c r="AB45" s="37">
        <v>0</v>
      </c>
      <c r="AC45" s="33">
        <v>40.65</v>
      </c>
      <c r="AD45" s="37">
        <v>7.4</v>
      </c>
      <c r="AE45" s="4">
        <f>IF(H45="Senior",MAX(AA45,AC45),AA45+AC45)</f>
        <v>76.69</v>
      </c>
      <c r="AF45" s="33"/>
      <c r="AG45" s="37"/>
    </row>
    <row r="46" spans="1:33" x14ac:dyDescent="0.2">
      <c r="A46" s="1" t="str" cm="1">
        <f t="array" ref="A46">IF(I46="","",IF(P46&lt;&gt;"",SUMPRODUCT((P$3:P$91&lt;&gt;"")*(G$3:G$91=G46)*(J$3:J$91&gt;J46)*(I$3:I$91="P"))+1,IF(O46&lt;&gt;"",SUMPRODUCT((O$3:O$91&lt;&gt;"")*(P$3:P$91="")*(G$3:G$91=G46)*(J$3:J$91&gt;J46)*(I$3:I$91="P"))+SUMPRODUCT((P$3:P$91&lt;&gt;"")*(G$3:G$91=G46)*(I$3:I$91="P"))+1,IF(N46&lt;&gt;"",SUMPRODUCT((N$3:N$91&lt;&gt;"")*(G$3:G$91=G46)*(J$3:J$91&gt;J46)*(I$3:I$91="P"))+1,IF(M46="P",SUMPRODUCT((O$3:O$91&lt;&gt;"")*(P$3:P$91="")*(G$3:G$91=G46)*(I$3:I$91="P"))+SUMPRODUCT((P$3:P$91&lt;&gt;"")*(G$3:G$91=G46)*(I$3:I$91="P"))+SUMPRODUCT((N$3:N$91&lt;&gt;"")*(G$3:G$91=G46)*(I$3:I$91="P"))+SUMPRODUCT((P$3:P$91="")*(O$3:O$91="")*(N$3:N$91="")*(M$3:M$91="P")*(G$3:G$91=G46)*(J$3:J$91&gt;J46)*(I$3:I$91="P"))+IF(H46="L5",SUMPRODUCT((P$3:P$91="")*(O$3:O$91="")*(N$3:N$91="")*(M$3:M$91="P")*(G$3:G$91=G46)*(J$3:J$91&lt;J46)*(H$3:H$91&lt;&gt;H46)*(I$3:I$91="P")),-1*SUMPRODUCT((P$3:P$91="")*(O$3:O$91="")*(N$3:N$91="")*(M$3:M$91="P")*(G$3:G$91=G46)*(J$3:J$91&gt;J46)*(H$3:H$91="L5")*(I$3:I$91="P")))+1,"")))))</f>
        <v/>
      </c>
      <c r="B46" s="1" t="str" cm="1">
        <f t="array" ref="B46">IF(P46&lt;&gt;"",SUMPRODUCT((P$3:P$91&lt;&gt;"")*(G$3:G$91=G46)*(J$3:J$91&gt;J46))+1,IF(O46&lt;&gt;"",SUMPRODUCT((O$3:O$91&lt;&gt;"")*(P$3:P$91="")*(G$3:G$91=G46)*(J$3:J$91&gt;J46))+SUMPRODUCT((P$3:P$91&lt;&gt;"")*(G$3:G$91=G46))+1,IF(N46&lt;&gt;"",SUMPRODUCT((N$3:N$91&lt;&gt;"")*(G$3:G$91=G46)*(J$3:J$91&gt;J46))+1,IF(M46="P",SUMPRODUCT((O$3:O$91&lt;&gt;"")*(P$3:P$91="")*(G$3:G$91=G46))+SUMPRODUCT((P$3:P$91&lt;&gt;"")*(G$3:G$91=G46))+SUMPRODUCT((N$3:N$91&lt;&gt;"")*(G$3:G$91=G46))+SUMPRODUCT((P$3:P$91="")*(O$3:O$91="")*(N$3:N$91="")*(M$3:M$91="P")*(G$3:G$91=G46)*(J$3:J$91&gt;J46))+IF(H46="L5",SUMPRODUCT((P$3:P$91="")*(O$3:O$91="")*(N$3:N$91="")*(M$3:M$91="P")*(G$3:G$91=G46)*(J$3:J$91&lt;J46)*(H$3:H$91&lt;&gt;H46)),-1*SUMPRODUCT((P$3:P$91="")*(O$3:O$91="")*(N$3:N$91="")*(M$3:M$91="P")*(G$3:G$91=G46)*(J$3:J$91&gt;J46)*(H$3:H$91="L5")))+1,""))))</f>
        <v/>
      </c>
      <c r="C46" s="35" t="s">
        <v>403</v>
      </c>
      <c r="D46" t="str">
        <f>IF(E46="","",VLOOKUP(E46,'Coaching Points'!A:B,2,0))</f>
        <v>QC</v>
      </c>
      <c r="E46" s="35" t="s">
        <v>99</v>
      </c>
      <c r="F46" s="34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R46+S46+IF(OR(H46="Junior",H46="Senior"),0.0002,IF(OR(H46="L7",H46="L6"),0.0001,0))+IF(G46="17-21",MAX(AA46,AC46,AF46),AE46)*0.0000001</f>
        <v>71.900003645000012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36.450000000000003</v>
      </c>
      <c r="S46" s="4">
        <f>IF(G46="17-21",LARGE(CHOOSE({1,2,3,4,5,6},T46,V46,Y46,AA46,AC46,AF46),2),IF(R46=X46,MAX(Y46,AA46,AC46,AF46),IF(R46=AE46,MAX(AF46,T46,V46,Y46),0)))</f>
        <v>35.450000000000003</v>
      </c>
      <c r="T46" s="32"/>
      <c r="U46" s="37"/>
      <c r="V46" s="33"/>
      <c r="W46" s="37"/>
      <c r="X46" s="4"/>
      <c r="Y46" s="33"/>
      <c r="Z46" s="37"/>
      <c r="AA46" s="32">
        <v>36.450000000000003</v>
      </c>
      <c r="AB46" s="37">
        <v>0</v>
      </c>
      <c r="AC46" s="33">
        <v>35.450000000000003</v>
      </c>
      <c r="AD46" s="37">
        <v>6.7</v>
      </c>
      <c r="AE46" s="4">
        <f>IF(H46="Senior",MAX(AA46,AC46),AA46+AC46)</f>
        <v>71.900000000000006</v>
      </c>
      <c r="AF46" s="33"/>
      <c r="AG46" s="37"/>
    </row>
    <row r="47" spans="1:33" x14ac:dyDescent="0.2">
      <c r="A47" s="1" t="str" cm="1">
        <f t="array" ref="A47">IF(I47="","",IF(P47&lt;&gt;"",SUMPRODUCT((P$3:P$91&lt;&gt;"")*(G$3:G$91=G47)*(J$3:J$91&gt;J47)*(I$3:I$91="P"))+1,IF(O47&lt;&gt;"",SUMPRODUCT((O$3:O$91&lt;&gt;"")*(P$3:P$91="")*(G$3:G$91=G47)*(J$3:J$91&gt;J47)*(I$3:I$91="P"))+SUMPRODUCT((P$3:P$91&lt;&gt;"")*(G$3:G$91=G47)*(I$3:I$91="P"))+1,IF(N47&lt;&gt;"",SUMPRODUCT((N$3:N$91&lt;&gt;"")*(G$3:G$91=G47)*(J$3:J$91&gt;J47)*(I$3:I$91="P"))+1,IF(M47="P",SUMPRODUCT((O$3:O$91&lt;&gt;"")*(P$3:P$91="")*(G$3:G$91=G47)*(I$3:I$91="P"))+SUMPRODUCT((P$3:P$91&lt;&gt;"")*(G$3:G$91=G47)*(I$3:I$91="P"))+SUMPRODUCT((N$3:N$91&lt;&gt;"")*(G$3:G$91=G47)*(I$3:I$91="P"))+SUMPRODUCT((P$3:P$91="")*(O$3:O$91="")*(N$3:N$91="")*(M$3:M$91="P")*(G$3:G$91=G47)*(J$3:J$91&gt;J47)*(I$3:I$91="P"))+IF(H47="L5",SUMPRODUCT((P$3:P$91="")*(O$3:O$91="")*(N$3:N$91="")*(M$3:M$91="P")*(G$3:G$91=G47)*(J$3:J$91&lt;J47)*(H$3:H$91&lt;&gt;H47)*(I$3:I$91="P")),-1*SUMPRODUCT((P$3:P$91="")*(O$3:O$91="")*(N$3:N$91="")*(M$3:M$91="P")*(G$3:G$91=G47)*(J$3:J$91&gt;J47)*(H$3:H$91="L5")*(I$3:I$91="P")))+1,"")))))</f>
        <v/>
      </c>
      <c r="B47" s="1" t="str" cm="1">
        <f t="array" ref="B47">IF(P47&lt;&gt;"",SUMPRODUCT((P$3:P$91&lt;&gt;"")*(G$3:G$91=G47)*(J$3:J$91&gt;J47))+1,IF(O47&lt;&gt;"",SUMPRODUCT((O$3:O$91&lt;&gt;"")*(P$3:P$91="")*(G$3:G$91=G47)*(J$3:J$91&gt;J47))+SUMPRODUCT((P$3:P$91&lt;&gt;"")*(G$3:G$91=G47))+1,IF(N47&lt;&gt;"",SUMPRODUCT((N$3:N$91&lt;&gt;"")*(G$3:G$91=G47)*(J$3:J$91&gt;J47))+1,IF(M47="P",SUMPRODUCT((O$3:O$91&lt;&gt;"")*(P$3:P$91="")*(G$3:G$91=G47))+SUMPRODUCT((P$3:P$91&lt;&gt;"")*(G$3:G$91=G47))+SUMPRODUCT((N$3:N$91&lt;&gt;"")*(G$3:G$91=G47))+SUMPRODUCT((P$3:P$91="")*(O$3:O$91="")*(N$3:N$91="")*(M$3:M$91="P")*(G$3:G$91=G47)*(J$3:J$91&gt;J47))+IF(H47="L5",SUMPRODUCT((P$3:P$91="")*(O$3:O$91="")*(N$3:N$91="")*(M$3:M$91="P")*(G$3:G$91=G47)*(J$3:J$91&lt;J47)*(H$3:H$91&lt;&gt;H47)),-1*SUMPRODUCT((P$3:P$91="")*(O$3:O$91="")*(N$3:N$91="")*(M$3:M$91="P")*(G$3:G$91=G47)*(J$3:J$91&gt;J47)*(H$3:H$91="L5")))+1,""))))</f>
        <v/>
      </c>
      <c r="C47" s="35" t="s">
        <v>407</v>
      </c>
      <c r="D47" t="str">
        <f>IF(E47="","",VLOOKUP(E47,'Coaching Points'!A:B,2,0))</f>
        <v>QC</v>
      </c>
      <c r="E47" s="35" t="s">
        <v>72</v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212</v>
      </c>
      <c r="I47" s="40"/>
      <c r="J47" s="4">
        <f>R47+S47+IF(OR(H47="Junior",H47="Senior"),0.0002,IF(OR(H47="L7",H47="L6"),0.0001,0))+IF(G47="17-21",MAX(AA47,AC47,AF47),AE47)*0.0000001</f>
        <v>68.640105184000006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51.84</v>
      </c>
      <c r="S47" s="4">
        <f>IF(G47="17-21",LARGE(CHOOSE({1,2,3,4,5,6},T47,V47,Y47,AA47,AC47,AF47),2),IF(R47=X47,MAX(Y47,AA47,AC47,AF47),IF(R47=AE47,MAX(AF47,T47,V47,Y47),0)))</f>
        <v>16.8</v>
      </c>
      <c r="T47" s="32"/>
      <c r="U47" s="37"/>
      <c r="V47" s="33"/>
      <c r="W47" s="37"/>
      <c r="X47" s="4"/>
      <c r="Y47" s="33"/>
      <c r="Z47" s="37"/>
      <c r="AA47" s="32">
        <v>16.5</v>
      </c>
      <c r="AB47" s="37">
        <v>3.8</v>
      </c>
      <c r="AC47" s="33">
        <v>16.8</v>
      </c>
      <c r="AD47" s="37">
        <v>3.8</v>
      </c>
      <c r="AE47" s="4">
        <f>IF(H47="Senior",MAX(AA47,AC47),AA47+AC47)</f>
        <v>33.299999999999997</v>
      </c>
      <c r="AF47" s="33">
        <v>51.84</v>
      </c>
      <c r="AG47" s="37">
        <v>12.5</v>
      </c>
    </row>
    <row r="48" spans="1:33" x14ac:dyDescent="0.2">
      <c r="A48" s="1" t="str" cm="1">
        <f t="array" ref="A48">IF(I48="","",IF(P48&lt;&gt;"",SUMPRODUCT((P$3:P$91&lt;&gt;"")*(G$3:G$91=G48)*(J$3:J$91&gt;J48)*(I$3:I$91="P"))+1,IF(O48&lt;&gt;"",SUMPRODUCT((O$3:O$91&lt;&gt;"")*(P$3:P$91="")*(G$3:G$91=G48)*(J$3:J$91&gt;J48)*(I$3:I$91="P"))+SUMPRODUCT((P$3:P$91&lt;&gt;"")*(G$3:G$91=G48)*(I$3:I$91="P"))+1,IF(N48&lt;&gt;"",SUMPRODUCT((N$3:N$91&lt;&gt;"")*(G$3:G$91=G48)*(J$3:J$91&gt;J48)*(I$3:I$91="P"))+1,IF(M48="P",SUMPRODUCT((O$3:O$91&lt;&gt;"")*(P$3:P$91="")*(G$3:G$91=G48)*(I$3:I$91="P"))+SUMPRODUCT((P$3:P$91&lt;&gt;"")*(G$3:G$91=G48)*(I$3:I$91="P"))+SUMPRODUCT((N$3:N$91&lt;&gt;"")*(G$3:G$91=G48)*(I$3:I$91="P"))+SUMPRODUCT((P$3:P$91="")*(O$3:O$91="")*(N$3:N$91="")*(M$3:M$91="P")*(G$3:G$91=G48)*(J$3:J$91&gt;J48)*(I$3:I$91="P"))+IF(H48="L5",SUMPRODUCT((P$3:P$91="")*(O$3:O$91="")*(N$3:N$91="")*(M$3:M$91="P")*(G$3:G$91=G48)*(J$3:J$91&lt;J48)*(H$3:H$91&lt;&gt;H48)*(I$3:I$91="P")),-1*SUMPRODUCT((P$3:P$91="")*(O$3:O$91="")*(N$3:N$91="")*(M$3:M$91="P")*(G$3:G$91=G48)*(J$3:J$91&gt;J48)*(H$3:H$91="L5")*(I$3:I$91="P")))+1,"")))))</f>
        <v/>
      </c>
      <c r="B48" s="1" t="str" cm="1">
        <f t="array" ref="B48">IF(P48&lt;&gt;"",SUMPRODUCT((P$3:P$91&lt;&gt;"")*(G$3:G$91=G48)*(J$3:J$91&gt;J48))+1,IF(O48&lt;&gt;"",SUMPRODUCT((O$3:O$91&lt;&gt;"")*(P$3:P$91="")*(G$3:G$91=G48)*(J$3:J$91&gt;J48))+SUMPRODUCT((P$3:P$91&lt;&gt;"")*(G$3:G$91=G48))+1,IF(N48&lt;&gt;"",SUMPRODUCT((N$3:N$91&lt;&gt;"")*(G$3:G$91=G48)*(J$3:J$91&gt;J48))+1,IF(M48="P",SUMPRODUCT((O$3:O$91&lt;&gt;"")*(P$3:P$91="")*(G$3:G$91=G48))+SUMPRODUCT((P$3:P$91&lt;&gt;"")*(G$3:G$91=G48))+SUMPRODUCT((N$3:N$91&lt;&gt;"")*(G$3:G$91=G48))+SUMPRODUCT((P$3:P$91="")*(O$3:O$91="")*(N$3:N$91="")*(M$3:M$91="P")*(G$3:G$91=G48)*(J$3:J$91&gt;J48))+IF(H48="L5",SUMPRODUCT((P$3:P$91="")*(O$3:O$91="")*(N$3:N$91="")*(M$3:M$91="P")*(G$3:G$91=G48)*(J$3:J$91&lt;J48)*(H$3:H$91&lt;&gt;H48)),-1*SUMPRODUCT((P$3:P$91="")*(O$3:O$91="")*(N$3:N$91="")*(M$3:M$91="P")*(G$3:G$91=G48)*(J$3:J$91&gt;J48)*(H$3:H$91="L5")))+1,""))))</f>
        <v/>
      </c>
      <c r="C48" s="35" t="s">
        <v>113</v>
      </c>
      <c r="D48" t="str">
        <f>IF(E48="","",VLOOKUP(E48,'Coaching Points'!A:B,2,0))</f>
        <v>NB</v>
      </c>
      <c r="E48" s="35" t="s">
        <v>46</v>
      </c>
      <c r="F48" s="34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212</v>
      </c>
      <c r="I48" s="40"/>
      <c r="J48" s="4">
        <f>R48+S48+IF(OR(H48="Junior",H48="Senior"),0.0002,IF(OR(H48="L7",H48="L6"),0.0001,0))+IF(G48="17-21",MAX(AA48,AC48,AF48),AE48)*0.0000001</f>
        <v>67.580103715000007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37.15</v>
      </c>
      <c r="S48" s="4">
        <f>IF(G48="17-21",LARGE(CHOOSE({1,2,3,4,5,6},T48,V48,Y48,AA48,AC48,AF48),2),IF(R48=X48,MAX(Y48,AA48,AC48,AF48),IF(R48=AE48,MAX(AF48,T48,V48,Y48),0)))</f>
        <v>30.43</v>
      </c>
      <c r="T48" s="32">
        <v>30.43</v>
      </c>
      <c r="U48" s="37">
        <v>9.3000000000000007</v>
      </c>
      <c r="V48" s="33">
        <v>28.34</v>
      </c>
      <c r="W48" s="37">
        <v>7.8</v>
      </c>
      <c r="X48" s="4">
        <f>IF(H48="Senior",MAX(T48,V48),T48+V48)</f>
        <v>58.769999999999996</v>
      </c>
      <c r="Y48" s="33"/>
      <c r="Z48" s="37"/>
      <c r="AA48" s="32">
        <v>13.37</v>
      </c>
      <c r="AB48" s="37">
        <v>3</v>
      </c>
      <c r="AC48" s="33">
        <v>37.15</v>
      </c>
      <c r="AD48" s="37">
        <v>10.199999999999999</v>
      </c>
      <c r="AE48" s="4">
        <f>IF(H48="Senior",MAX(AA48,AC48),AA48+AC48)</f>
        <v>50.519999999999996</v>
      </c>
      <c r="AF48" s="33">
        <v>5.33</v>
      </c>
      <c r="AG48" s="37">
        <v>2</v>
      </c>
    </row>
    <row r="49" spans="1:33" x14ac:dyDescent="0.2">
      <c r="A49" s="1" t="str" cm="1">
        <f t="array" ref="A49">IF(I49="","",IF(P49&lt;&gt;"",SUMPRODUCT((P$3:P$91&lt;&gt;"")*(G$3:G$91=G49)*(J$3:J$91&gt;J49)*(I$3:I$91="P"))+1,IF(O49&lt;&gt;"",SUMPRODUCT((O$3:O$91&lt;&gt;"")*(P$3:P$91="")*(G$3:G$91=G49)*(J$3:J$91&gt;J49)*(I$3:I$91="P"))+SUMPRODUCT((P$3:P$91&lt;&gt;"")*(G$3:G$91=G49)*(I$3:I$91="P"))+1,IF(N49&lt;&gt;"",SUMPRODUCT((N$3:N$91&lt;&gt;"")*(G$3:G$91=G49)*(J$3:J$91&gt;J49)*(I$3:I$91="P"))+1,IF(M49="P",SUMPRODUCT((O$3:O$91&lt;&gt;"")*(P$3:P$91="")*(G$3:G$91=G49)*(I$3:I$91="P"))+SUMPRODUCT((P$3:P$91&lt;&gt;"")*(G$3:G$91=G49)*(I$3:I$91="P"))+SUMPRODUCT((N$3:N$91&lt;&gt;"")*(G$3:G$91=G49)*(I$3:I$91="P"))+SUMPRODUCT((P$3:P$91="")*(O$3:O$91="")*(N$3:N$91="")*(M$3:M$91="P")*(G$3:G$91=G49)*(J$3:J$91&gt;J49)*(I$3:I$91="P"))+IF(H49="L5",SUMPRODUCT((P$3:P$91="")*(O$3:O$91="")*(N$3:N$91="")*(M$3:M$91="P")*(G$3:G$91=G49)*(J$3:J$91&lt;J49)*(H$3:H$91&lt;&gt;H49)*(I$3:I$91="P")),-1*SUMPRODUCT((P$3:P$91="")*(O$3:O$91="")*(N$3:N$91="")*(M$3:M$91="P")*(G$3:G$91=G49)*(J$3:J$91&gt;J49)*(H$3:H$91="L5")*(I$3:I$91="P")))+1,"")))))</f>
        <v/>
      </c>
      <c r="B49" s="1" t="str" cm="1">
        <f t="array" ref="B49">IF(P49&lt;&gt;"",SUMPRODUCT((P$3:P$91&lt;&gt;"")*(G$3:G$91=G49)*(J$3:J$91&gt;J49))+1,IF(O49&lt;&gt;"",SUMPRODUCT((O$3:O$91&lt;&gt;"")*(P$3:P$91="")*(G$3:G$91=G49)*(J$3:J$91&gt;J49))+SUMPRODUCT((P$3:P$91&lt;&gt;"")*(G$3:G$91=G49))+1,IF(N49&lt;&gt;"",SUMPRODUCT((N$3:N$91&lt;&gt;"")*(G$3:G$91=G49)*(J$3:J$91&gt;J49))+1,IF(M49="P",SUMPRODUCT((O$3:O$91&lt;&gt;"")*(P$3:P$91="")*(G$3:G$91=G49))+SUMPRODUCT((P$3:P$91&lt;&gt;"")*(G$3:G$91=G49))+SUMPRODUCT((N$3:N$91&lt;&gt;"")*(G$3:G$91=G49))+SUMPRODUCT((P$3:P$91="")*(O$3:O$91="")*(N$3:N$91="")*(M$3:M$91="P")*(G$3:G$91=G49)*(J$3:J$91&gt;J49))+IF(H49="L5",SUMPRODUCT((P$3:P$91="")*(O$3:O$91="")*(N$3:N$91="")*(M$3:M$91="P")*(G$3:G$91=G49)*(J$3:J$91&lt;J49)*(H$3:H$91&lt;&gt;H49)),-1*SUMPRODUCT((P$3:P$91="")*(O$3:O$91="")*(N$3:N$91="")*(M$3:M$91="P")*(G$3:G$91=G49)*(J$3:J$91&gt;J49)*(H$3:H$91="L5")))+1,""))))</f>
        <v/>
      </c>
      <c r="C49" s="35" t="s">
        <v>119</v>
      </c>
      <c r="D49" t="str">
        <f>IF(E49="","",VLOOKUP(E49,'Coaching Points'!A:B,2,0))</f>
        <v>AB</v>
      </c>
      <c r="E49" s="35" t="s">
        <v>62</v>
      </c>
      <c r="F49" s="34">
        <v>2007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213</v>
      </c>
      <c r="I49" s="40"/>
      <c r="J49" s="4">
        <f>R49+S49+IF(OR(H49="Junior",H49="Senior"),0.0002,IF(OR(H49="L7",H49="L6"),0.0001,0))+IF(G49="17-21",MAX(AA49,AC49,AF49),AE49)*0.0000001</f>
        <v>67.280103060000002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36.68</v>
      </c>
      <c r="S49" s="4">
        <f>IF(G49="17-21",LARGE(CHOOSE({1,2,3,4,5,6},T49,V49,Y49,AA49,AC49,AF49),2),IF(R49=X49,MAX(Y49,AA49,AC49,AF49),IF(R49=AE49,MAX(AF49,T49,V49,Y49),0)))</f>
        <v>30.6</v>
      </c>
      <c r="T49" s="32">
        <v>36.68</v>
      </c>
      <c r="U49" s="37">
        <v>0</v>
      </c>
      <c r="V49" s="33">
        <v>19.75</v>
      </c>
      <c r="W49" s="37">
        <v>5.0999999999999996</v>
      </c>
      <c r="X49" s="4">
        <f>IF(H49="Senior",MAX(T49,V49),T49+V49)</f>
        <v>56.43</v>
      </c>
      <c r="Y49" s="33"/>
      <c r="Z49" s="37"/>
      <c r="AA49" s="32">
        <v>30.6</v>
      </c>
      <c r="AB49" s="37">
        <v>0</v>
      </c>
      <c r="AC49" s="33">
        <v>22.56</v>
      </c>
      <c r="AD49" s="37">
        <v>5.4</v>
      </c>
      <c r="AE49" s="4">
        <f>IF(H49="Senior",MAX(AA49,AC49),AA49+AC49)</f>
        <v>53.16</v>
      </c>
      <c r="AF49" s="33"/>
      <c r="AG49" s="37"/>
    </row>
    <row r="50" spans="1:33" x14ac:dyDescent="0.2">
      <c r="A50" s="1" t="str" cm="1">
        <f t="array" ref="A50">IF(I50="","",IF(P50&lt;&gt;"",SUMPRODUCT((P$3:P$91&lt;&gt;"")*(G$3:G$91=G50)*(J$3:J$91&gt;J50)*(I$3:I$91="P"))+1,IF(O50&lt;&gt;"",SUMPRODUCT((O$3:O$91&lt;&gt;"")*(P$3:P$91="")*(G$3:G$91=G50)*(J$3:J$91&gt;J50)*(I$3:I$91="P"))+SUMPRODUCT((P$3:P$91&lt;&gt;"")*(G$3:G$91=G50)*(I$3:I$91="P"))+1,IF(N50&lt;&gt;"",SUMPRODUCT((N$3:N$91&lt;&gt;"")*(G$3:G$91=G50)*(J$3:J$91&gt;J50)*(I$3:I$91="P"))+1,IF(M50="P",SUMPRODUCT((O$3:O$91&lt;&gt;"")*(P$3:P$91="")*(G$3:G$91=G50)*(I$3:I$91="P"))+SUMPRODUCT((P$3:P$91&lt;&gt;"")*(G$3:G$91=G50)*(I$3:I$91="P"))+SUMPRODUCT((N$3:N$91&lt;&gt;"")*(G$3:G$91=G50)*(I$3:I$91="P"))+SUMPRODUCT((P$3:P$91="")*(O$3:O$91="")*(N$3:N$91="")*(M$3:M$91="P")*(G$3:G$91=G50)*(J$3:J$91&gt;J50)*(I$3:I$91="P"))+IF(H50="L5",SUMPRODUCT((P$3:P$91="")*(O$3:O$91="")*(N$3:N$91="")*(M$3:M$91="P")*(G$3:G$91=G50)*(J$3:J$91&lt;J50)*(H$3:H$91&lt;&gt;H50)*(I$3:I$91="P")),-1*SUMPRODUCT((P$3:P$91="")*(O$3:O$91="")*(N$3:N$91="")*(M$3:M$91="P")*(G$3:G$91=G50)*(J$3:J$91&gt;J50)*(H$3:H$91="L5")*(I$3:I$91="P")))+1,"")))))</f>
        <v/>
      </c>
      <c r="B50" s="1" t="str" cm="1">
        <f t="array" ref="B50">IF(P50&lt;&gt;"",SUMPRODUCT((P$3:P$91&lt;&gt;"")*(G$3:G$91=G50)*(J$3:J$91&gt;J50))+1,IF(O50&lt;&gt;"",SUMPRODUCT((O$3:O$91&lt;&gt;"")*(P$3:P$91="")*(G$3:G$91=G50)*(J$3:J$91&gt;J50))+SUMPRODUCT((P$3:P$91&lt;&gt;"")*(G$3:G$91=G50))+1,IF(N50&lt;&gt;"",SUMPRODUCT((N$3:N$91&lt;&gt;"")*(G$3:G$91=G50)*(J$3:J$91&gt;J50))+1,IF(M50="P",SUMPRODUCT((O$3:O$91&lt;&gt;"")*(P$3:P$91="")*(G$3:G$91=G50))+SUMPRODUCT((P$3:P$91&lt;&gt;"")*(G$3:G$91=G50))+SUMPRODUCT((N$3:N$91&lt;&gt;"")*(G$3:G$91=G50))+SUMPRODUCT((P$3:P$91="")*(O$3:O$91="")*(N$3:N$91="")*(M$3:M$91="P")*(G$3:G$91=G50)*(J$3:J$91&gt;J50))+IF(H50="L5",SUMPRODUCT((P$3:P$91="")*(O$3:O$91="")*(N$3:N$91="")*(M$3:M$91="P")*(G$3:G$91=G50)*(J$3:J$91&lt;J50)*(H$3:H$91&lt;&gt;H50)),-1*SUMPRODUCT((P$3:P$91="")*(O$3:O$91="")*(N$3:N$91="")*(M$3:M$91="P")*(G$3:G$91=G50)*(J$3:J$91&gt;J50)*(H$3:H$91="L5")))+1,""))))</f>
        <v/>
      </c>
      <c r="C50" s="35" t="s">
        <v>74</v>
      </c>
      <c r="D50" t="str">
        <f>IF(E50="","",VLOOKUP(E50,'Coaching Points'!A:B,2,0))</f>
        <v>AB</v>
      </c>
      <c r="E50" s="35" t="s">
        <v>62</v>
      </c>
      <c r="F50" s="34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62.32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36.15</v>
      </c>
      <c r="S50" s="4">
        <f>IF(G50="17-21",LARGE(CHOOSE({1,2,3,4,5,6},T50,V50,Y50,AA50,AC50,AF50),2),IF(R50=X50,MAX(Y50,AA50,AC50,AF50),IF(R50=AE50,MAX(AF50,T50,V50,Y50),0)))</f>
        <v>26.17</v>
      </c>
      <c r="T50" s="32">
        <v>36.15</v>
      </c>
      <c r="U50" s="37">
        <v>0</v>
      </c>
      <c r="V50" s="33">
        <v>26.17</v>
      </c>
      <c r="W50" s="37">
        <v>4.8</v>
      </c>
      <c r="X50" s="4">
        <f>IF(H50="Senior",MAX(T50,V50),T50+V50)</f>
        <v>62.32</v>
      </c>
      <c r="Y50" s="33"/>
      <c r="Z50" s="37"/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$91&lt;&gt;"")*(G$3:G$91=G51)*(J$3:J$91&gt;J51)*(I$3:I$91="P"))+1,IF(O51&lt;&gt;"",SUMPRODUCT((O$3:O$91&lt;&gt;"")*(P$3:P$91="")*(G$3:G$91=G51)*(J$3:J$91&gt;J51)*(I$3:I$91="P"))+SUMPRODUCT((P$3:P$91&lt;&gt;"")*(G$3:G$91=G51)*(I$3:I$91="P"))+1,IF(N51&lt;&gt;"",SUMPRODUCT((N$3:N$91&lt;&gt;"")*(G$3:G$91=G51)*(J$3:J$91&gt;J51)*(I$3:I$91="P"))+1,IF(M51="P",SUMPRODUCT((O$3:O$91&lt;&gt;"")*(P$3:P$91="")*(G$3:G$91=G51)*(I$3:I$91="P"))+SUMPRODUCT((P$3:P$91&lt;&gt;"")*(G$3:G$91=G51)*(I$3:I$91="P"))+SUMPRODUCT((N$3:N$91&lt;&gt;"")*(G$3:G$91=G51)*(I$3:I$91="P"))+SUMPRODUCT((P$3:P$91="")*(O$3:O$91="")*(N$3:N$91="")*(M$3:M$91="P")*(G$3:G$91=G51)*(J$3:J$91&gt;J51)*(I$3:I$91="P"))+IF(H51="L5",SUMPRODUCT((P$3:P$91="")*(O$3:O$91="")*(N$3:N$91="")*(M$3:M$91="P")*(G$3:G$91=G51)*(J$3:J$91&lt;J51)*(H$3:H$91&lt;&gt;H51)*(I$3:I$91="P")),-1*SUMPRODUCT((P$3:P$91="")*(O$3:O$91="")*(N$3:N$91="")*(M$3:M$91="P")*(G$3:G$91=G51)*(J$3:J$91&gt;J51)*(H$3:H$91="L5")*(I$3:I$91="P")))+1,"")))))</f>
        <v/>
      </c>
      <c r="B51" s="1" t="str" cm="1">
        <f t="array" ref="B51">IF(P51&lt;&gt;"",SUMPRODUCT((P$3:P$91&lt;&gt;"")*(G$3:G$91=G51)*(J$3:J$91&gt;J51))+1,IF(O51&lt;&gt;"",SUMPRODUCT((O$3:O$91&lt;&gt;"")*(P$3:P$91="")*(G$3:G$91=G51)*(J$3:J$91&gt;J51))+SUMPRODUCT((P$3:P$91&lt;&gt;"")*(G$3:G$91=G51))+1,IF(N51&lt;&gt;"",SUMPRODUCT((N$3:N$91&lt;&gt;"")*(G$3:G$91=G51)*(J$3:J$91&gt;J51))+1,IF(M51="P",SUMPRODUCT((O$3:O$91&lt;&gt;"")*(P$3:P$91="")*(G$3:G$91=G51))+SUMPRODUCT((P$3:P$91&lt;&gt;"")*(G$3:G$91=G51))+SUMPRODUCT((N$3:N$91&lt;&gt;"")*(G$3:G$91=G51))+SUMPRODUCT((P$3:P$91="")*(O$3:O$91="")*(N$3:N$91="")*(M$3:M$91="P")*(G$3:G$91=G51)*(J$3:J$91&gt;J51))+IF(H51="L5",SUMPRODUCT((P$3:P$91="")*(O$3:O$91="")*(N$3:N$91="")*(M$3:M$91="P")*(G$3:G$91=G51)*(J$3:J$91&lt;J51)*(H$3:H$91&lt;&gt;H51)),-1*SUMPRODUCT((P$3:P$91="")*(O$3:O$91="")*(N$3:N$91="")*(M$3:M$91="P")*(G$3:G$91=G51)*(J$3:J$91&gt;J51)*(H$3:H$91="L5")))+1,""))))</f>
        <v/>
      </c>
      <c r="C51" s="35" t="s">
        <v>404</v>
      </c>
      <c r="D51" t="str">
        <f>IF(E51="","",VLOOKUP(E51,'Coaching Points'!A:B,2,0))</f>
        <v>ON</v>
      </c>
      <c r="E51" s="35" t="s">
        <v>67</v>
      </c>
      <c r="F51" s="34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61.360004285999999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42.86</v>
      </c>
      <c r="S51" s="4">
        <f>IF(G51="17-21",LARGE(CHOOSE({1,2,3,4,5,6},T51,V51,Y51,AA51,AC51,AF51),2),IF(R51=X51,MAX(Y51,AA51,AC51,AF51),IF(R51=AE51,MAX(AF51,T51,V51,Y51),0)))</f>
        <v>18.5</v>
      </c>
      <c r="T51" s="32"/>
      <c r="U51" s="37"/>
      <c r="V51" s="33"/>
      <c r="W51" s="37"/>
      <c r="X51" s="4"/>
      <c r="Y51" s="33"/>
      <c r="Z51" s="37"/>
      <c r="AA51" s="32">
        <v>18.5</v>
      </c>
      <c r="AB51" s="37">
        <v>0</v>
      </c>
      <c r="AC51" s="33">
        <v>42.86</v>
      </c>
      <c r="AD51" s="37">
        <v>9</v>
      </c>
      <c r="AE51" s="4">
        <f>IF(H51="Senior",MAX(AA51,AC51),AA51+AC51)</f>
        <v>61.36</v>
      </c>
      <c r="AF51" s="33"/>
      <c r="AG51" s="37"/>
    </row>
    <row r="52" spans="1:33" x14ac:dyDescent="0.2">
      <c r="A52" s="1" t="str" cm="1">
        <f t="array" ref="A52">IF(I52="","",IF(P52&lt;&gt;"",SUMPRODUCT((P$3:P$91&lt;&gt;"")*(G$3:G$91=G52)*(J$3:J$91&gt;J52)*(I$3:I$91="P"))+1,IF(O52&lt;&gt;"",SUMPRODUCT((O$3:O$91&lt;&gt;"")*(P$3:P$91="")*(G$3:G$91=G52)*(J$3:J$91&gt;J52)*(I$3:I$91="P"))+SUMPRODUCT((P$3:P$91&lt;&gt;"")*(G$3:G$91=G52)*(I$3:I$91="P"))+1,IF(N52&lt;&gt;"",SUMPRODUCT((N$3:N$91&lt;&gt;"")*(G$3:G$91=G52)*(J$3:J$91&gt;J52)*(I$3:I$91="P"))+1,IF(M52="P",SUMPRODUCT((O$3:O$91&lt;&gt;"")*(P$3:P$91="")*(G$3:G$91=G52)*(I$3:I$91="P"))+SUMPRODUCT((P$3:P$91&lt;&gt;"")*(G$3:G$91=G52)*(I$3:I$91="P"))+SUMPRODUCT((N$3:N$91&lt;&gt;"")*(G$3:G$91=G52)*(I$3:I$91="P"))+SUMPRODUCT((P$3:P$91="")*(O$3:O$91="")*(N$3:N$91="")*(M$3:M$91="P")*(G$3:G$91=G52)*(J$3:J$91&gt;J52)*(I$3:I$91="P"))+IF(H52="L5",SUMPRODUCT((P$3:P$91="")*(O$3:O$91="")*(N$3:N$91="")*(M$3:M$91="P")*(G$3:G$91=G52)*(J$3:J$91&lt;J52)*(H$3:H$91&lt;&gt;H52)*(I$3:I$91="P")),-1*SUMPRODUCT((P$3:P$91="")*(O$3:O$91="")*(N$3:N$91="")*(M$3:M$91="P")*(G$3:G$91=G52)*(J$3:J$91&gt;J52)*(H$3:H$91="L5")*(I$3:I$91="P")))+1,"")))))</f>
        <v/>
      </c>
      <c r="B52" s="1" t="str" cm="1">
        <f t="array" ref="B52">IF(P52&lt;&gt;"",SUMPRODUCT((P$3:P$91&lt;&gt;"")*(G$3:G$91=G52)*(J$3:J$91&gt;J52))+1,IF(O52&lt;&gt;"",SUMPRODUCT((O$3:O$91&lt;&gt;"")*(P$3:P$91="")*(G$3:G$91=G52)*(J$3:J$91&gt;J52))+SUMPRODUCT((P$3:P$91&lt;&gt;"")*(G$3:G$91=G52))+1,IF(N52&lt;&gt;"",SUMPRODUCT((N$3:N$91&lt;&gt;"")*(G$3:G$91=G52)*(J$3:J$91&gt;J52))+1,IF(M52="P",SUMPRODUCT((O$3:O$91&lt;&gt;"")*(P$3:P$91="")*(G$3:G$91=G52))+SUMPRODUCT((P$3:P$91&lt;&gt;"")*(G$3:G$91=G52))+SUMPRODUCT((N$3:N$91&lt;&gt;"")*(G$3:G$91=G52))+SUMPRODUCT((P$3:P$91="")*(O$3:O$91="")*(N$3:N$91="")*(M$3:M$91="P")*(G$3:G$91=G52)*(J$3:J$91&gt;J52))+IF(H52="L5",SUMPRODUCT((P$3:P$91="")*(O$3:O$91="")*(N$3:N$91="")*(M$3:M$91="P")*(G$3:G$91=G52)*(J$3:J$91&lt;J52)*(H$3:H$91&lt;&gt;H52)),-1*SUMPRODUCT((P$3:P$91="")*(O$3:O$91="")*(N$3:N$91="")*(M$3:M$91="P")*(G$3:G$91=G52)*(J$3:J$91&gt;J52)*(H$3:H$91="L5")))+1,""))))</f>
        <v/>
      </c>
      <c r="C52" s="35" t="s">
        <v>73</v>
      </c>
      <c r="D52" t="str">
        <f>IF(E52="","",VLOOKUP(E52,'Coaching Points'!A:B,2,0))</f>
        <v>BC</v>
      </c>
      <c r="E52" s="35" t="s">
        <v>66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213</v>
      </c>
      <c r="I52" s="40"/>
      <c r="J52" s="4">
        <f>R52+S52+IF(OR(H52="Junior",H52="Senior"),0.0002,IF(OR(H52="L7",H52="L6"),0.0001,0))+IF(G52="17-21",MAX(AA52,AC52,AF52),AE52)*0.0000001</f>
        <v>55.620100000000008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38.68</v>
      </c>
      <c r="S52" s="4">
        <f>IF(G52="17-21",LARGE(CHOOSE({1,2,3,4,5,6},T52,V52,Y52,AA52,AC52,AF52),2),IF(R52=X52,MAX(Y52,AA52,AC52,AF52),IF(R52=AE52,MAX(AF52,T52,V52,Y52),0)))</f>
        <v>16.940000000000001</v>
      </c>
      <c r="T52" s="32">
        <v>38.68</v>
      </c>
      <c r="U52" s="37">
        <v>0</v>
      </c>
      <c r="V52" s="33">
        <v>16.940000000000001</v>
      </c>
      <c r="W52" s="37">
        <v>1.5</v>
      </c>
      <c r="X52" s="4">
        <f>IF(H52="Senior",MAX(T52,V52),T52+V52)</f>
        <v>55.620000000000005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$91&lt;&gt;"")*(G$3:G$91=G53)*(J$3:J$91&gt;J53)*(I$3:I$91="P"))+1,IF(O53&lt;&gt;"",SUMPRODUCT((O$3:O$91&lt;&gt;"")*(P$3:P$91="")*(G$3:G$91=G53)*(J$3:J$91&gt;J53)*(I$3:I$91="P"))+SUMPRODUCT((P$3:P$91&lt;&gt;"")*(G$3:G$91=G53)*(I$3:I$91="P"))+1,IF(N53&lt;&gt;"",SUMPRODUCT((N$3:N$91&lt;&gt;"")*(G$3:G$91=G53)*(J$3:J$91&gt;J53)*(I$3:I$91="P"))+1,IF(M53="P",SUMPRODUCT((O$3:O$91&lt;&gt;"")*(P$3:P$91="")*(G$3:G$91=G53)*(I$3:I$91="P"))+SUMPRODUCT((P$3:P$91&lt;&gt;"")*(G$3:G$91=G53)*(I$3:I$91="P"))+SUMPRODUCT((N$3:N$91&lt;&gt;"")*(G$3:G$91=G53)*(I$3:I$91="P"))+SUMPRODUCT((P$3:P$91="")*(O$3:O$91="")*(N$3:N$91="")*(M$3:M$91="P")*(G$3:G$91=G53)*(J$3:J$91&gt;J53)*(I$3:I$91="P"))+IF(H53="L5",SUMPRODUCT((P$3:P$91="")*(O$3:O$91="")*(N$3:N$91="")*(M$3:M$91="P")*(G$3:G$91=G53)*(J$3:J$91&lt;J53)*(H$3:H$91&lt;&gt;H53)*(I$3:I$91="P")),-1*SUMPRODUCT((P$3:P$91="")*(O$3:O$91="")*(N$3:N$91="")*(M$3:M$91="P")*(G$3:G$91=G53)*(J$3:J$91&gt;J53)*(H$3:H$91="L5")*(I$3:I$91="P")))+1,"")))))</f>
        <v/>
      </c>
      <c r="B53" s="1" t="str" cm="1">
        <f t="array" ref="B53">IF(P53&lt;&gt;"",SUMPRODUCT((P$3:P$91&lt;&gt;"")*(G$3:G$91=G53)*(J$3:J$91&gt;J53))+1,IF(O53&lt;&gt;"",SUMPRODUCT((O$3:O$91&lt;&gt;"")*(P$3:P$91="")*(G$3:G$91=G53)*(J$3:J$91&gt;J53))+SUMPRODUCT((P$3:P$91&lt;&gt;"")*(G$3:G$91=G53))+1,IF(N53&lt;&gt;"",SUMPRODUCT((N$3:N$91&lt;&gt;"")*(G$3:G$91=G53)*(J$3:J$91&gt;J53))+1,IF(M53="P",SUMPRODUCT((O$3:O$91&lt;&gt;"")*(P$3:P$91="")*(G$3:G$91=G53))+SUMPRODUCT((P$3:P$91&lt;&gt;"")*(G$3:G$91=G53))+SUMPRODUCT((N$3:N$91&lt;&gt;"")*(G$3:G$91=G53))+SUMPRODUCT((P$3:P$91="")*(O$3:O$91="")*(N$3:N$91="")*(M$3:M$91="P")*(G$3:G$91=G53)*(J$3:J$91&gt;J53))+IF(H53="L5",SUMPRODUCT((P$3:P$91="")*(O$3:O$91="")*(N$3:N$91="")*(M$3:M$91="P")*(G$3:G$91=G53)*(J$3:J$91&lt;J53)*(H$3:H$91&lt;&gt;H53)),-1*SUMPRODUCT((P$3:P$91="")*(O$3:O$91="")*(N$3:N$91="")*(M$3:M$91="P")*(G$3:G$91=G53)*(J$3:J$91&gt;J53)*(H$3:H$91="L5")))+1,""))))</f>
        <v/>
      </c>
      <c r="C53" s="35" t="s">
        <v>356</v>
      </c>
      <c r="D53" t="str">
        <f>IF(E53="","",VLOOKUP(E53,'Coaching Points'!A:B,2,0))</f>
        <v>ON</v>
      </c>
      <c r="E53" s="35" t="s">
        <v>133</v>
      </c>
      <c r="F53" s="34">
        <v>2007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R53+S53+IF(OR(H53="Junior",H53="Senior"),0.0002,IF(OR(H53="L7",H53="L6"),0.0001,0))+IF(G53="17-21",MAX(AA53,AC53,AF53),AE53)*0.0000001</f>
        <v>50.990003711999996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37.119999999999997</v>
      </c>
      <c r="S53" s="4">
        <f>IF(G53="17-21",LARGE(CHOOSE({1,2,3,4,5,6},T53,V53,Y53,AA53,AC53,AF53),2),IF(R53=X53,MAX(Y53,AA53,AC53,AF53),IF(R53=AE53,MAX(AF53,T53,V53,Y53),0)))</f>
        <v>13.87</v>
      </c>
      <c r="T53" s="32"/>
      <c r="U53" s="37"/>
      <c r="V53" s="33"/>
      <c r="W53" s="37"/>
      <c r="X53" s="4"/>
      <c r="Y53" s="33"/>
      <c r="Z53" s="37"/>
      <c r="AA53" s="32">
        <v>37.119999999999997</v>
      </c>
      <c r="AB53" s="37">
        <v>0</v>
      </c>
      <c r="AC53" s="33">
        <v>13.87</v>
      </c>
      <c r="AD53" s="37">
        <v>3.7</v>
      </c>
      <c r="AE53" s="4">
        <f>IF(H53="Senior",MAX(AA53,AC53),AA53+AC53)</f>
        <v>50.989999999999995</v>
      </c>
      <c r="AF53" s="33"/>
      <c r="AG53" s="37"/>
    </row>
    <row r="54" spans="1:33" x14ac:dyDescent="0.2">
      <c r="A54" s="1" t="str" cm="1">
        <f t="array" ref="A54">IF(I54="","",IF(P54&lt;&gt;"",SUMPRODUCT((P$3:P$91&lt;&gt;"")*(G$3:G$91=G54)*(J$3:J$91&gt;J54)*(I$3:I$91="P"))+1,IF(O54&lt;&gt;"",SUMPRODUCT((O$3:O$91&lt;&gt;"")*(P$3:P$91="")*(G$3:G$91=G54)*(J$3:J$91&gt;J54)*(I$3:I$91="P"))+SUMPRODUCT((P$3:P$91&lt;&gt;"")*(G$3:G$91=G54)*(I$3:I$91="P"))+1,IF(N54&lt;&gt;"",SUMPRODUCT((N$3:N$91&lt;&gt;"")*(G$3:G$91=G54)*(J$3:J$91&gt;J54)*(I$3:I$91="P"))+1,IF(M54="P",SUMPRODUCT((O$3:O$91&lt;&gt;"")*(P$3:P$91="")*(G$3:G$91=G54)*(I$3:I$91="P"))+SUMPRODUCT((P$3:P$91&lt;&gt;"")*(G$3:G$91=G54)*(I$3:I$91="P"))+SUMPRODUCT((N$3:N$91&lt;&gt;"")*(G$3:G$91=G54)*(I$3:I$91="P"))+SUMPRODUCT((P$3:P$91="")*(O$3:O$91="")*(N$3:N$91="")*(M$3:M$91="P")*(G$3:G$91=G54)*(J$3:J$91&gt;J54)*(I$3:I$91="P"))+IF(H54="L5",SUMPRODUCT((P$3:P$91="")*(O$3:O$91="")*(N$3:N$91="")*(M$3:M$91="P")*(G$3:G$91=G54)*(J$3:J$91&lt;J54)*(H$3:H$91&lt;&gt;H54)*(I$3:I$91="P")),-1*SUMPRODUCT((P$3:P$91="")*(O$3:O$91="")*(N$3:N$91="")*(M$3:M$91="P")*(G$3:G$91=G54)*(J$3:J$91&gt;J54)*(H$3:H$91="L5")*(I$3:I$91="P")))+1,"")))))</f>
        <v/>
      </c>
      <c r="B54" s="1" t="str" cm="1">
        <f t="array" ref="B54">IF(P54&lt;&gt;"",SUMPRODUCT((P$3:P$91&lt;&gt;"")*(G$3:G$91=G54)*(J$3:J$91&gt;J54))+1,IF(O54&lt;&gt;"",SUMPRODUCT((O$3:O$91&lt;&gt;"")*(P$3:P$91="")*(G$3:G$91=G54)*(J$3:J$91&gt;J54))+SUMPRODUCT((P$3:P$91&lt;&gt;"")*(G$3:G$91=G54))+1,IF(N54&lt;&gt;"",SUMPRODUCT((N$3:N$91&lt;&gt;"")*(G$3:G$91=G54)*(J$3:J$91&gt;J54))+1,IF(M54="P",SUMPRODUCT((O$3:O$91&lt;&gt;"")*(P$3:P$91="")*(G$3:G$91=G54))+SUMPRODUCT((P$3:P$91&lt;&gt;"")*(G$3:G$91=G54))+SUMPRODUCT((N$3:N$91&lt;&gt;"")*(G$3:G$91=G54))+SUMPRODUCT((P$3:P$91="")*(O$3:O$91="")*(N$3:N$91="")*(M$3:M$91="P")*(G$3:G$91=G54)*(J$3:J$91&gt;J54))+IF(H54="L5",SUMPRODUCT((P$3:P$91="")*(O$3:O$91="")*(N$3:N$91="")*(M$3:M$91="P")*(G$3:G$91=G54)*(J$3:J$91&lt;J54)*(H$3:H$91&lt;&gt;H54)),-1*SUMPRODUCT((P$3:P$91="")*(O$3:O$91="")*(N$3:N$91="")*(M$3:M$91="P")*(G$3:G$91=G54)*(J$3:J$91&gt;J54)*(H$3:H$91="L5")))+1,""))))</f>
        <v/>
      </c>
      <c r="C54" s="35" t="s">
        <v>205</v>
      </c>
      <c r="D54" t="str">
        <f>IF(E54="","",VLOOKUP(E54,'Coaching Points'!A:B,2,0))</f>
        <v>NS</v>
      </c>
      <c r="E54" s="35" t="s">
        <v>86</v>
      </c>
      <c r="F54" s="34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R54+S54+IF(OR(H54="Junior",H54="Senior"),0.0002,IF(OR(H54="L7",H54="L6"),0.0001,0))+IF(G54="17-21",MAX(AA54,AC54,AF54),AE54)*0.0000001</f>
        <v>48.82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35.53</v>
      </c>
      <c r="S54" s="4">
        <f>IF(G54="17-21",LARGE(CHOOSE({1,2,3,4,5,6},T54,V54,Y54,AA54,AC54,AF54),2),IF(R54=X54,MAX(Y54,AA54,AC54,AF54),IF(R54=AE54,MAX(AF54,T54,V54,Y54),0)))</f>
        <v>13.29</v>
      </c>
      <c r="T54" s="32">
        <v>35.53</v>
      </c>
      <c r="U54" s="37">
        <v>0</v>
      </c>
      <c r="V54" s="33">
        <v>13.29</v>
      </c>
      <c r="W54" s="37">
        <v>3.5</v>
      </c>
      <c r="X54" s="4">
        <f>IF(H54="Senior",MAX(T54,V54),T54+V54)</f>
        <v>48.82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$91&lt;&gt;"")*(G$3:G$91=G55)*(J$3:J$91&gt;J55)*(I$3:I$91="P"))+1,IF(O55&lt;&gt;"",SUMPRODUCT((O$3:O$91&lt;&gt;"")*(P$3:P$91="")*(G$3:G$91=G55)*(J$3:J$91&gt;J55)*(I$3:I$91="P"))+SUMPRODUCT((P$3:P$91&lt;&gt;"")*(G$3:G$91=G55)*(I$3:I$91="P"))+1,IF(N55&lt;&gt;"",SUMPRODUCT((N$3:N$91&lt;&gt;"")*(G$3:G$91=G55)*(J$3:J$91&gt;J55)*(I$3:I$91="P"))+1,IF(M55="P",SUMPRODUCT((O$3:O$91&lt;&gt;"")*(P$3:P$91="")*(G$3:G$91=G55)*(I$3:I$91="P"))+SUMPRODUCT((P$3:P$91&lt;&gt;"")*(G$3:G$91=G55)*(I$3:I$91="P"))+SUMPRODUCT((N$3:N$91&lt;&gt;"")*(G$3:G$91=G55)*(I$3:I$91="P"))+SUMPRODUCT((P$3:P$91="")*(O$3:O$91="")*(N$3:N$91="")*(M$3:M$91="P")*(G$3:G$91=G55)*(J$3:J$91&gt;J55)*(I$3:I$91="P"))+IF(H55="L5",SUMPRODUCT((P$3:P$91="")*(O$3:O$91="")*(N$3:N$91="")*(M$3:M$91="P")*(G$3:G$91=G55)*(J$3:J$91&lt;J55)*(H$3:H$91&lt;&gt;H55)*(I$3:I$91="P")),-1*SUMPRODUCT((P$3:P$91="")*(O$3:O$91="")*(N$3:N$91="")*(M$3:M$91="P")*(G$3:G$91=G55)*(J$3:J$91&gt;J55)*(H$3:H$91="L5")*(I$3:I$91="P")))+1,"")))))</f>
        <v/>
      </c>
      <c r="B55" s="1" t="str" cm="1">
        <f t="array" ref="B55">IF(P55&lt;&gt;"",SUMPRODUCT((P$3:P$91&lt;&gt;"")*(G$3:G$91=G55)*(J$3:J$91&gt;J55))+1,IF(O55&lt;&gt;"",SUMPRODUCT((O$3:O$91&lt;&gt;"")*(P$3:P$91="")*(G$3:G$91=G55)*(J$3:J$91&gt;J55))+SUMPRODUCT((P$3:P$91&lt;&gt;"")*(G$3:G$91=G55))+1,IF(N55&lt;&gt;"",SUMPRODUCT((N$3:N$91&lt;&gt;"")*(G$3:G$91=G55)*(J$3:J$91&gt;J55))+1,IF(M55="P",SUMPRODUCT((O$3:O$91&lt;&gt;"")*(P$3:P$91="")*(G$3:G$91=G55))+SUMPRODUCT((P$3:P$91&lt;&gt;"")*(G$3:G$91=G55))+SUMPRODUCT((N$3:N$91&lt;&gt;"")*(G$3:G$91=G55))+SUMPRODUCT((P$3:P$91="")*(O$3:O$91="")*(N$3:N$91="")*(M$3:M$91="P")*(G$3:G$91=G55)*(J$3:J$91&gt;J55))+IF(H55="L5",SUMPRODUCT((P$3:P$91="")*(O$3:O$91="")*(N$3:N$91="")*(M$3:M$91="P")*(G$3:G$91=G55)*(J$3:J$91&lt;J55)*(H$3:H$91&lt;&gt;H55)),-1*SUMPRODUCT((P$3:P$91="")*(O$3:O$91="")*(N$3:N$91="")*(M$3:M$91="P")*(G$3:G$91=G55)*(J$3:J$91&gt;J55)*(H$3:H$91="L5")))+1,""))))</f>
        <v/>
      </c>
      <c r="C55" s="35" t="s">
        <v>207</v>
      </c>
      <c r="D55" t="str">
        <f>IF(E55="","",VLOOKUP(E55,'Coaching Points'!A:B,2,0))</f>
        <v>ON</v>
      </c>
      <c r="E55" s="35" t="s">
        <v>84</v>
      </c>
      <c r="F55" s="34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>R55+S55+IF(OR(H55="Junior",H55="Senior"),0.0002,IF(OR(H55="L7",H55="L6"),0.0001,0))+IF(G55="17-21",MAX(AA55,AC55,AF55),AE55)*0.0000001</f>
        <v>41.11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36.14</v>
      </c>
      <c r="S55" s="4">
        <f>IF(G55="17-21",LARGE(CHOOSE({1,2,3,4,5,6},T55,V55,Y55,AA55,AC55,AF55),2),IF(R55=X55,MAX(Y55,AA55,AC55,AF55),IF(R55=AE55,MAX(AF55,T55,V55,Y55),0)))</f>
        <v>4.97</v>
      </c>
      <c r="T55" s="32">
        <v>36.14</v>
      </c>
      <c r="U55" s="37">
        <v>0</v>
      </c>
      <c r="V55" s="33">
        <v>4.97</v>
      </c>
      <c r="W55" s="37">
        <v>1.5</v>
      </c>
      <c r="X55" s="4">
        <f>IF(H55="Senior",MAX(T55,V55),T55+V55)</f>
        <v>41.11</v>
      </c>
      <c r="Y55" s="33"/>
      <c r="Z55" s="37"/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$91&lt;&gt;"")*(G$3:G$91=G56)*(J$3:J$91&gt;J56)*(I$3:I$91="P"))+1,IF(O56&lt;&gt;"",SUMPRODUCT((O$3:O$91&lt;&gt;"")*(P$3:P$91="")*(G$3:G$91=G56)*(J$3:J$91&gt;J56)*(I$3:I$91="P"))+SUMPRODUCT((P$3:P$91&lt;&gt;"")*(G$3:G$91=G56)*(I$3:I$91="P"))+1,IF(N56&lt;&gt;"",SUMPRODUCT((N$3:N$91&lt;&gt;"")*(G$3:G$91=G56)*(J$3:J$91&gt;J56)*(I$3:I$91="P"))+1,IF(M56="P",SUMPRODUCT((O$3:O$91&lt;&gt;"")*(P$3:P$91="")*(G$3:G$91=G56)*(I$3:I$91="P"))+SUMPRODUCT((P$3:P$91&lt;&gt;"")*(G$3:G$91=G56)*(I$3:I$91="P"))+SUMPRODUCT((N$3:N$91&lt;&gt;"")*(G$3:G$91=G56)*(I$3:I$91="P"))+SUMPRODUCT((P$3:P$91="")*(O$3:O$91="")*(N$3:N$91="")*(M$3:M$91="P")*(G$3:G$91=G56)*(J$3:J$91&gt;J56)*(I$3:I$91="P"))+IF(H56="L5",SUMPRODUCT((P$3:P$91="")*(O$3:O$91="")*(N$3:N$91="")*(M$3:M$91="P")*(G$3:G$91=G56)*(J$3:J$91&lt;J56)*(H$3:H$91&lt;&gt;H56)*(I$3:I$91="P")),-1*SUMPRODUCT((P$3:P$91="")*(O$3:O$91="")*(N$3:N$91="")*(M$3:M$91="P")*(G$3:G$91=G56)*(J$3:J$91&gt;J56)*(H$3:H$91="L5")*(I$3:I$91="P")))+1,"")))))</f>
        <v/>
      </c>
      <c r="B56" s="1" t="str" cm="1">
        <f t="array" ref="B56">IF(P56&lt;&gt;"",SUMPRODUCT((P$3:P$91&lt;&gt;"")*(G$3:G$91=G56)*(J$3:J$91&gt;J56))+1,IF(O56&lt;&gt;"",SUMPRODUCT((O$3:O$91&lt;&gt;"")*(P$3:P$91="")*(G$3:G$91=G56)*(J$3:J$91&gt;J56))+SUMPRODUCT((P$3:P$91&lt;&gt;"")*(G$3:G$91=G56))+1,IF(N56&lt;&gt;"",SUMPRODUCT((N$3:N$91&lt;&gt;"")*(G$3:G$91=G56)*(J$3:J$91&gt;J56))+1,IF(M56="P",SUMPRODUCT((O$3:O$91&lt;&gt;"")*(P$3:P$91="")*(G$3:G$91=G56))+SUMPRODUCT((P$3:P$91&lt;&gt;"")*(G$3:G$91=G56))+SUMPRODUCT((N$3:N$91&lt;&gt;"")*(G$3:G$91=G56))+SUMPRODUCT((P$3:P$91="")*(O$3:O$91="")*(N$3:N$91="")*(M$3:M$91="P")*(G$3:G$91=G56)*(J$3:J$91&gt;J56))+IF(H56="L5",SUMPRODUCT((P$3:P$91="")*(O$3:O$91="")*(N$3:N$91="")*(M$3:M$91="P")*(G$3:G$91=G56)*(J$3:J$91&lt;J56)*(H$3:H$91&lt;&gt;H56)),-1*SUMPRODUCT((P$3:P$91="")*(O$3:O$91="")*(N$3:N$91="")*(M$3:M$91="P")*(G$3:G$91=G56)*(J$3:J$91&gt;J56)*(H$3:H$91="L5")))+1,""))))</f>
        <v/>
      </c>
      <c r="C56" s="35" t="s">
        <v>146</v>
      </c>
      <c r="D56" t="str">
        <f>IF(E56="","",VLOOKUP(E56,'Coaching Points'!A:B,2,0))</f>
        <v>AB</v>
      </c>
      <c r="E56" s="35" t="s">
        <v>62</v>
      </c>
      <c r="F56" s="34">
        <v>2004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>R56+S56+IF(OR(H56="Junior",H56="Senior"),0.0002,IF(OR(H56="L7",H56="L6"),0.0001,0))+IF(G56="17-21",MAX(AA56,AC56,AF56),AE56)*0.0000001</f>
        <v>31.68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26.94</v>
      </c>
      <c r="S56" s="4">
        <f>IF(G56="17-21",LARGE(CHOOSE({1,2,3,4,5,6},T56,V56,Y56,AA56,AC56,AF56),2),IF(R56=X56,MAX(Y56,AA56,AC56,AF56),IF(R56=AE56,MAX(AF56,T56,V56,Y56),0)))</f>
        <v>4.74</v>
      </c>
      <c r="T56" s="32">
        <v>26.94</v>
      </c>
      <c r="U56" s="37">
        <v>0</v>
      </c>
      <c r="V56" s="33">
        <v>4.74</v>
      </c>
      <c r="W56" s="37">
        <v>1.3</v>
      </c>
      <c r="X56" s="4">
        <f>IF(H56="Senior",MAX(T56,V56),T56+V56)</f>
        <v>31.68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$91&lt;&gt;"")*(G$3:G$91=G57)*(J$3:J$91&gt;J57)*(I$3:I$91="P"))+1,IF(O57&lt;&gt;"",SUMPRODUCT((O$3:O$91&lt;&gt;"")*(P$3:P$91="")*(G$3:G$91=G57)*(J$3:J$91&gt;J57)*(I$3:I$91="P"))+SUMPRODUCT((P$3:P$91&lt;&gt;"")*(G$3:G$91=G57)*(I$3:I$91="P"))+1,IF(N57&lt;&gt;"",SUMPRODUCT((N$3:N$91&lt;&gt;"")*(G$3:G$91=G57)*(J$3:J$91&gt;J57)*(I$3:I$91="P"))+1,IF(M57="P",SUMPRODUCT((O$3:O$91&lt;&gt;"")*(P$3:P$91="")*(G$3:G$91=G57)*(I$3:I$91="P"))+SUMPRODUCT((P$3:P$91&lt;&gt;"")*(G$3:G$91=G57)*(I$3:I$91="P"))+SUMPRODUCT((N$3:N$91&lt;&gt;"")*(G$3:G$91=G57)*(I$3:I$91="P"))+SUMPRODUCT((P$3:P$91="")*(O$3:O$91="")*(N$3:N$91="")*(M$3:M$91="P")*(G$3:G$91=G57)*(J$3:J$91&gt;J57)*(I$3:I$91="P"))+IF(H57="L5",SUMPRODUCT((P$3:P$91="")*(O$3:O$91="")*(N$3:N$91="")*(M$3:M$91="P")*(G$3:G$91=G57)*(J$3:J$91&lt;J57)*(H$3:H$91&lt;&gt;H57)*(I$3:I$91="P")),-1*SUMPRODUCT((P$3:P$91="")*(O$3:O$91="")*(N$3:N$91="")*(M$3:M$91="P")*(G$3:G$91=G57)*(J$3:J$91&gt;J57)*(H$3:H$91="L5")*(I$3:I$91="P")))+1,"")))))</f>
        <v/>
      </c>
      <c r="B57" s="1" t="str" cm="1">
        <f t="array" ref="B57">IF(P57&lt;&gt;"",SUMPRODUCT((P$3:P$91&lt;&gt;"")*(G$3:G$91=G57)*(J$3:J$91&gt;J57))+1,IF(O57&lt;&gt;"",SUMPRODUCT((O$3:O$91&lt;&gt;"")*(P$3:P$91="")*(G$3:G$91=G57)*(J$3:J$91&gt;J57))+SUMPRODUCT((P$3:P$91&lt;&gt;"")*(G$3:G$91=G57))+1,IF(N57&lt;&gt;"",SUMPRODUCT((N$3:N$91&lt;&gt;"")*(G$3:G$91=G57)*(J$3:J$91&gt;J57))+1,IF(M57="P",SUMPRODUCT((O$3:O$91&lt;&gt;"")*(P$3:P$91="")*(G$3:G$91=G57))+SUMPRODUCT((P$3:P$91&lt;&gt;"")*(G$3:G$91=G57))+SUMPRODUCT((N$3:N$91&lt;&gt;"")*(G$3:G$91=G57))+SUMPRODUCT((P$3:P$91="")*(O$3:O$91="")*(N$3:N$91="")*(M$3:M$91="P")*(G$3:G$91=G57)*(J$3:J$91&gt;J57))+IF(H57="L5",SUMPRODUCT((P$3:P$91="")*(O$3:O$91="")*(N$3:N$91="")*(M$3:M$91="P")*(G$3:G$91=G57)*(J$3:J$91&lt;J57)*(H$3:H$91&lt;&gt;H57)),-1*SUMPRODUCT((P$3:P$91="")*(O$3:O$91="")*(N$3:N$91="")*(M$3:M$91="P")*(G$3:G$91=G57)*(J$3:J$91&gt;J57)*(H$3:H$91="L5")))+1,""))))</f>
        <v/>
      </c>
      <c r="C57" s="35" t="s">
        <v>408</v>
      </c>
      <c r="D57" t="str">
        <f>IF(E57="","",VLOOKUP(E57,'Coaching Points'!A:B,2,0))</f>
        <v>ON</v>
      </c>
      <c r="E57" s="35" t="s">
        <v>142</v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/>
      <c r="J57" s="4">
        <f>R57+S57+IF(OR(H57="Junior",H57="Senior"),0.0002,IF(OR(H57="L7",H57="L6"),0.0001,0))+IF(G57="17-21",MAX(AA57,AC57,AF57),AE57)*0.0000001</f>
        <v>138.66020896200001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89.62</v>
      </c>
      <c r="S57" s="4">
        <f>IF(G57="17-21",LARGE(CHOOSE({1,2,3,4,5,6},T57,V57,Y57,AA57,AC57,AF57),2),IF(R57=X57,MAX(Y57,AA57,AC57,AF57),IF(R57=AE57,MAX(AF57,T57,V57,Y57),0)))</f>
        <v>49.04</v>
      </c>
      <c r="T57" s="32"/>
      <c r="U57" s="37"/>
      <c r="V57" s="33"/>
      <c r="W57" s="37"/>
      <c r="X57" s="4"/>
      <c r="Y57" s="33"/>
      <c r="Z57" s="37"/>
      <c r="AA57" s="32">
        <v>41.25</v>
      </c>
      <c r="AB57" s="37">
        <v>0</v>
      </c>
      <c r="AC57" s="33">
        <v>48.37</v>
      </c>
      <c r="AD57" s="37">
        <v>12</v>
      </c>
      <c r="AE57" s="4">
        <f>IF(H57="Senior",MAX(AA57,AC57),AA57+AC57)</f>
        <v>89.62</v>
      </c>
      <c r="AF57" s="33">
        <v>49.04</v>
      </c>
      <c r="AG57" s="37">
        <v>12</v>
      </c>
    </row>
    <row r="58" spans="1:33" x14ac:dyDescent="0.2">
      <c r="A58" s="1" t="str" cm="1">
        <f t="array" ref="A58">IF(I58="","",IF(P58&lt;&gt;"",SUMPRODUCT((P$3:P$91&lt;&gt;"")*(G$3:G$91=G58)*(J$3:J$91&gt;J58)*(I$3:I$91="P"))+1,IF(O58&lt;&gt;"",SUMPRODUCT((O$3:O$91&lt;&gt;"")*(P$3:P$91="")*(G$3:G$91=G58)*(J$3:J$91&gt;J58)*(I$3:I$91="P"))+SUMPRODUCT((P$3:P$91&lt;&gt;"")*(G$3:G$91=G58)*(I$3:I$91="P"))+1,IF(N58&lt;&gt;"",SUMPRODUCT((N$3:N$91&lt;&gt;"")*(G$3:G$91=G58)*(J$3:J$91&gt;J58)*(I$3:I$91="P"))+1,IF(M58="P",SUMPRODUCT((O$3:O$91&lt;&gt;"")*(P$3:P$91="")*(G$3:G$91=G58)*(I$3:I$91="P"))+SUMPRODUCT((P$3:P$91&lt;&gt;"")*(G$3:G$91=G58)*(I$3:I$91="P"))+SUMPRODUCT((N$3:N$91&lt;&gt;"")*(G$3:G$91=G58)*(I$3:I$91="P"))+SUMPRODUCT((P$3:P$91="")*(O$3:O$91="")*(N$3:N$91="")*(M$3:M$91="P")*(G$3:G$91=G58)*(J$3:J$91&gt;J58)*(I$3:I$91="P"))+IF(H58="L5",SUMPRODUCT((P$3:P$91="")*(O$3:O$91="")*(N$3:N$91="")*(M$3:M$91="P")*(G$3:G$91=G58)*(J$3:J$91&lt;J58)*(H$3:H$91&lt;&gt;H58)*(I$3:I$91="P")),-1*SUMPRODUCT((P$3:P$91="")*(O$3:O$91="")*(N$3:N$91="")*(M$3:M$91="P")*(G$3:G$91=G58)*(J$3:J$91&gt;J58)*(H$3:H$91="L5")*(I$3:I$91="P")))+1,"")))))</f>
        <v/>
      </c>
      <c r="B58" s="1" t="str" cm="1">
        <f t="array" ref="B58">IF(P58&lt;&gt;"",SUMPRODUCT((P$3:P$91&lt;&gt;"")*(G$3:G$91=G58)*(J$3:J$91&gt;J58))+1,IF(O58&lt;&gt;"",SUMPRODUCT((O$3:O$91&lt;&gt;"")*(P$3:P$91="")*(G$3:G$91=G58)*(J$3:J$91&gt;J58))+SUMPRODUCT((P$3:P$91&lt;&gt;"")*(G$3:G$91=G58))+1,IF(N58&lt;&gt;"",SUMPRODUCT((N$3:N$91&lt;&gt;"")*(G$3:G$91=G58)*(J$3:J$91&gt;J58))+1,IF(M58="P",SUMPRODUCT((O$3:O$91&lt;&gt;"")*(P$3:P$91="")*(G$3:G$91=G58))+SUMPRODUCT((P$3:P$91&lt;&gt;"")*(G$3:G$91=G58))+SUMPRODUCT((N$3:N$91&lt;&gt;"")*(G$3:G$91=G58))+SUMPRODUCT((P$3:P$91="")*(O$3:O$91="")*(N$3:N$91="")*(M$3:M$91="P")*(G$3:G$91=G58)*(J$3:J$91&gt;J58))+IF(H58="L5",SUMPRODUCT((P$3:P$91="")*(O$3:O$91="")*(N$3:N$91="")*(M$3:M$91="P")*(G$3:G$91=G58)*(J$3:J$91&lt;J58)*(H$3:H$91&lt;&gt;H58)),-1*SUMPRODUCT((P$3:P$91="")*(O$3:O$91="")*(N$3:N$91="")*(M$3:M$91="P")*(G$3:G$91=G58)*(J$3:J$91&gt;J58)*(H$3:H$91="L5")))+1,""))))</f>
        <v/>
      </c>
      <c r="C58" s="35" t="s">
        <v>158</v>
      </c>
      <c r="D58" t="str">
        <f>IF(E58="","",VLOOKUP(E58,'Coaching Points'!A:B,2,0))</f>
        <v>BC</v>
      </c>
      <c r="E58" s="35" t="s">
        <v>128</v>
      </c>
      <c r="F58" s="34">
        <v>2009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/>
      <c r="J58" s="4">
        <f>R58+S58+IF(OR(H58="Junior",H58="Senior"),0.0002,IF(OR(H58="L7",H58="L6"),0.0001,0))+IF(G58="17-21",MAX(AA58,AC58,AF58),AE58)*0.0000001</f>
        <v>138.64020902199999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90.22</v>
      </c>
      <c r="S58" s="4">
        <f>IF(G58="17-21",LARGE(CHOOSE({1,2,3,4,5,6},T58,V58,Y58,AA58,AC58,AF58),2),IF(R58=X58,MAX(Y58,AA58,AC58,AF58),IF(R58=AE58,MAX(AF58,T58,V58,Y58),0)))</f>
        <v>48.42</v>
      </c>
      <c r="T58" s="32">
        <v>39.96</v>
      </c>
      <c r="U58" s="37">
        <v>0</v>
      </c>
      <c r="V58" s="33">
        <v>48.42</v>
      </c>
      <c r="W58" s="37">
        <v>11</v>
      </c>
      <c r="X58" s="4">
        <f>IF(H58="Senior",MAX(T58,V58),T58+V58)</f>
        <v>88.38</v>
      </c>
      <c r="Y58" s="33">
        <v>19.739999999999998</v>
      </c>
      <c r="Z58" s="37">
        <v>4.8</v>
      </c>
      <c r="AA58" s="32">
        <v>41.52</v>
      </c>
      <c r="AB58" s="37">
        <v>0</v>
      </c>
      <c r="AC58" s="33">
        <v>48.7</v>
      </c>
      <c r="AD58" s="37">
        <v>11.2</v>
      </c>
      <c r="AE58" s="4">
        <f>IF(H58="Senior",MAX(AA58,AC58),AA58+AC58)</f>
        <v>90.22</v>
      </c>
      <c r="AF58" s="33">
        <v>5.99</v>
      </c>
      <c r="AG58" s="37">
        <v>1.7</v>
      </c>
    </row>
    <row r="59" spans="1:33" x14ac:dyDescent="0.2">
      <c r="A59" s="1" t="str" cm="1">
        <f t="array" ref="A59">IF(I59="","",IF(P59&lt;&gt;"",SUMPRODUCT((P$3:P$91&lt;&gt;"")*(G$3:G$91=G59)*(J$3:J$91&gt;J59)*(I$3:I$91="P"))+1,IF(O59&lt;&gt;"",SUMPRODUCT((O$3:O$91&lt;&gt;"")*(P$3:P$91="")*(G$3:G$91=G59)*(J$3:J$91&gt;J59)*(I$3:I$91="P"))+SUMPRODUCT((P$3:P$91&lt;&gt;"")*(G$3:G$91=G59)*(I$3:I$91="P"))+1,IF(N59&lt;&gt;"",SUMPRODUCT((N$3:N$91&lt;&gt;"")*(G$3:G$91=G59)*(J$3:J$91&gt;J59)*(I$3:I$91="P"))+1,IF(M59="P",SUMPRODUCT((O$3:O$91&lt;&gt;"")*(P$3:P$91="")*(G$3:G$91=G59)*(I$3:I$91="P"))+SUMPRODUCT((P$3:P$91&lt;&gt;"")*(G$3:G$91=G59)*(I$3:I$91="P"))+SUMPRODUCT((N$3:N$91&lt;&gt;"")*(G$3:G$91=G59)*(I$3:I$91="P"))+SUMPRODUCT((P$3:P$91="")*(O$3:O$91="")*(N$3:N$91="")*(M$3:M$91="P")*(G$3:G$91=G59)*(J$3:J$91&gt;J59)*(I$3:I$91="P"))+IF(H59="L5",SUMPRODUCT((P$3:P$91="")*(O$3:O$91="")*(N$3:N$91="")*(M$3:M$91="P")*(G$3:G$91=G59)*(J$3:J$91&lt;J59)*(H$3:H$91&lt;&gt;H59)*(I$3:I$91="P")),-1*SUMPRODUCT((P$3:P$91="")*(O$3:O$91="")*(N$3:N$91="")*(M$3:M$91="P")*(G$3:G$91=G59)*(J$3:J$91&gt;J59)*(H$3:H$91="L5")*(I$3:I$91="P")))+1,"")))))</f>
        <v/>
      </c>
      <c r="B59" s="1" t="str" cm="1">
        <f t="array" ref="B59">IF(P59&lt;&gt;"",SUMPRODUCT((P$3:P$91&lt;&gt;"")*(G$3:G$91=G59)*(J$3:J$91&gt;J59))+1,IF(O59&lt;&gt;"",SUMPRODUCT((O$3:O$91&lt;&gt;"")*(P$3:P$91="")*(G$3:G$91=G59)*(J$3:J$91&gt;J59))+SUMPRODUCT((P$3:P$91&lt;&gt;"")*(G$3:G$91=G59))+1,IF(N59&lt;&gt;"",SUMPRODUCT((N$3:N$91&lt;&gt;"")*(G$3:G$91=G59)*(J$3:J$91&gt;J59))+1,IF(M59="P",SUMPRODUCT((O$3:O$91&lt;&gt;"")*(P$3:P$91="")*(G$3:G$91=G59))+SUMPRODUCT((P$3:P$91&lt;&gt;"")*(G$3:G$91=G59))+SUMPRODUCT((N$3:N$91&lt;&gt;"")*(G$3:G$91=G59))+SUMPRODUCT((P$3:P$91="")*(O$3:O$91="")*(N$3:N$91="")*(M$3:M$91="P")*(G$3:G$91=G59)*(J$3:J$91&gt;J59))+IF(H59="L5",SUMPRODUCT((P$3:P$91="")*(O$3:O$91="")*(N$3:N$91="")*(M$3:M$91="P")*(G$3:G$91=G59)*(J$3:J$91&lt;J59)*(H$3:H$91&lt;&gt;H59)),-1*SUMPRODUCT((P$3:P$91="")*(O$3:O$91="")*(N$3:N$91="")*(M$3:M$91="P")*(G$3:G$91=G59)*(J$3:J$91&gt;J59)*(H$3:H$91="L5")))+1,""))))</f>
        <v/>
      </c>
      <c r="C59" s="35" t="s">
        <v>167</v>
      </c>
      <c r="D59" t="str">
        <f>IF(E59="","",VLOOKUP(E59,'Coaching Points'!A:B,2,0))</f>
        <v>ON</v>
      </c>
      <c r="E59" s="35" t="s">
        <v>84</v>
      </c>
      <c r="F59" s="34">
        <v>2010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R59+S59+IF(OR(H59="Junior",H59="Senior"),0.0002,IF(OR(H59="L7",H59="L6"),0.0001,0))+IF(G59="17-21",MAX(AA59,AC59,AF59),AE59)*0.0000001</f>
        <v>137.960005604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87.33</v>
      </c>
      <c r="S59" s="4">
        <f>IF(G59="17-21",LARGE(CHOOSE({1,2,3,4,5,6},T59,V59,Y59,AA59,AC59,AF59),2),IF(R59=X59,MAX(Y59,AA59,AC59,AF59),IF(R59=AE59,MAX(AF59,T59,V59,Y59),0)))</f>
        <v>50.63</v>
      </c>
      <c r="T59" s="32">
        <v>40.909999999999997</v>
      </c>
      <c r="U59" s="37">
        <v>0</v>
      </c>
      <c r="V59" s="33">
        <v>46.42</v>
      </c>
      <c r="W59" s="37">
        <v>10.5</v>
      </c>
      <c r="X59" s="4">
        <f>IF(H59="Senior",MAX(T59,V59),T59+V59)</f>
        <v>87.33</v>
      </c>
      <c r="Y59" s="33">
        <v>49.23</v>
      </c>
      <c r="Z59" s="37">
        <v>10.1</v>
      </c>
      <c r="AA59" s="32">
        <v>40.479999999999997</v>
      </c>
      <c r="AB59" s="37">
        <v>0</v>
      </c>
      <c r="AC59" s="33">
        <v>15.56</v>
      </c>
      <c r="AD59" s="37">
        <v>4.3</v>
      </c>
      <c r="AE59" s="4">
        <f>IF(H59="Senior",MAX(AA59,AC59),AA59+AC59)</f>
        <v>56.04</v>
      </c>
      <c r="AF59" s="33">
        <v>50.63</v>
      </c>
      <c r="AG59" s="37">
        <v>13.6</v>
      </c>
    </row>
    <row r="60" spans="1:33" x14ac:dyDescent="0.2">
      <c r="A60" s="1" t="str" cm="1">
        <f t="array" ref="A60">IF(I60="","",IF(P60&lt;&gt;"",SUMPRODUCT((P$3:P$91&lt;&gt;"")*(G$3:G$91=G60)*(J$3:J$91&gt;J60)*(I$3:I$91="P"))+1,IF(O60&lt;&gt;"",SUMPRODUCT((O$3:O$91&lt;&gt;"")*(P$3:P$91="")*(G$3:G$91=G60)*(J$3:J$91&gt;J60)*(I$3:I$91="P"))+SUMPRODUCT((P$3:P$91&lt;&gt;"")*(G$3:G$91=G60)*(I$3:I$91="P"))+1,IF(N60&lt;&gt;"",SUMPRODUCT((N$3:N$91&lt;&gt;"")*(G$3:G$91=G60)*(J$3:J$91&gt;J60)*(I$3:I$91="P"))+1,IF(M60="P",SUMPRODUCT((O$3:O$91&lt;&gt;"")*(P$3:P$91="")*(G$3:G$91=G60)*(I$3:I$91="P"))+SUMPRODUCT((P$3:P$91&lt;&gt;"")*(G$3:G$91=G60)*(I$3:I$91="P"))+SUMPRODUCT((N$3:N$91&lt;&gt;"")*(G$3:G$91=G60)*(I$3:I$91="P"))+SUMPRODUCT((P$3:P$91="")*(O$3:O$91="")*(N$3:N$91="")*(M$3:M$91="P")*(G$3:G$91=G60)*(J$3:J$91&gt;J60)*(I$3:I$91="P"))+IF(H60="L5",SUMPRODUCT((P$3:P$91="")*(O$3:O$91="")*(N$3:N$91="")*(M$3:M$91="P")*(G$3:G$91=G60)*(J$3:J$91&lt;J60)*(H$3:H$91&lt;&gt;H60)*(I$3:I$91="P")),-1*SUMPRODUCT((P$3:P$91="")*(O$3:O$91="")*(N$3:N$91="")*(M$3:M$91="P")*(G$3:G$91=G60)*(J$3:J$91&gt;J60)*(H$3:H$91="L5")*(I$3:I$91="P")))+1,"")))))</f>
        <v/>
      </c>
      <c r="B60" s="1" t="str" cm="1">
        <f t="array" ref="B60">IF(P60&lt;&gt;"",SUMPRODUCT((P$3:P$91&lt;&gt;"")*(G$3:G$91=G60)*(J$3:J$91&gt;J60))+1,IF(O60&lt;&gt;"",SUMPRODUCT((O$3:O$91&lt;&gt;"")*(P$3:P$91="")*(G$3:G$91=G60)*(J$3:J$91&gt;J60))+SUMPRODUCT((P$3:P$91&lt;&gt;"")*(G$3:G$91=G60))+1,IF(N60&lt;&gt;"",SUMPRODUCT((N$3:N$91&lt;&gt;"")*(G$3:G$91=G60)*(J$3:J$91&gt;J60))+1,IF(M60="P",SUMPRODUCT((O$3:O$91&lt;&gt;"")*(P$3:P$91="")*(G$3:G$91=G60))+SUMPRODUCT((P$3:P$91&lt;&gt;"")*(G$3:G$91=G60))+SUMPRODUCT((N$3:N$91&lt;&gt;"")*(G$3:G$91=G60))+SUMPRODUCT((P$3:P$91="")*(O$3:O$91="")*(N$3:N$91="")*(M$3:M$91="P")*(G$3:G$91=G60)*(J$3:J$91&gt;J60))+IF(H60="L5",SUMPRODUCT((P$3:P$91="")*(O$3:O$91="")*(N$3:N$91="")*(M$3:M$91="P")*(G$3:G$91=G60)*(J$3:J$91&lt;J60)*(H$3:H$91&lt;&gt;H60)),-1*SUMPRODUCT((P$3:P$91="")*(O$3:O$91="")*(N$3:N$91="")*(M$3:M$91="P")*(G$3:G$91=G60)*(J$3:J$91&gt;J60)*(H$3:H$91="L5")))+1,""))))</f>
        <v/>
      </c>
      <c r="C60" s="35" t="s">
        <v>168</v>
      </c>
      <c r="D60" t="str">
        <f>IF(E60="","",VLOOKUP(E60,'Coaching Points'!A:B,2,0))</f>
        <v>QC</v>
      </c>
      <c r="E60" s="35" t="s">
        <v>125</v>
      </c>
      <c r="F60" s="34">
        <v>2010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/>
      <c r="J60" s="4">
        <f>R60+S60+IF(OR(H60="Junior",H60="Senior"),0.0002,IF(OR(H60="L7",H60="L6"),0.0001,0))+IF(G60="17-21",MAX(AA60,AC60,AF60),AE60)*0.0000001</f>
        <v>137.92020875600002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87.56</v>
      </c>
      <c r="S60" s="4">
        <f>IF(G60="17-21",LARGE(CHOOSE({1,2,3,4,5,6},T60,V60,Y60,AA60,AC60,AF60),2),IF(R60=X60,MAX(Y60,AA60,AC60,AF60),IF(R60=AE60,MAX(AF60,T60,V60,Y60),0)))</f>
        <v>50.36</v>
      </c>
      <c r="T60" s="32">
        <v>39.340000000000003</v>
      </c>
      <c r="U60" s="37">
        <v>0</v>
      </c>
      <c r="V60" s="33">
        <v>46.82</v>
      </c>
      <c r="W60" s="37">
        <v>10.1</v>
      </c>
      <c r="X60" s="4">
        <f>IF(H60="Senior",MAX(T60,V60),T60+V60)</f>
        <v>86.16</v>
      </c>
      <c r="Y60" s="33">
        <v>41.11</v>
      </c>
      <c r="Z60" s="37">
        <v>8.8000000000000007</v>
      </c>
      <c r="AA60" s="32">
        <v>39.83</v>
      </c>
      <c r="AB60" s="37">
        <v>0</v>
      </c>
      <c r="AC60" s="33">
        <v>47.73</v>
      </c>
      <c r="AD60" s="37">
        <v>11.6</v>
      </c>
      <c r="AE60" s="4">
        <f>IF(H60="Senior",MAX(AA60,AC60),AA60+AC60)</f>
        <v>87.56</v>
      </c>
      <c r="AF60" s="33">
        <v>50.36</v>
      </c>
      <c r="AG60" s="37">
        <v>11.6</v>
      </c>
    </row>
    <row r="61" spans="1:33" x14ac:dyDescent="0.2">
      <c r="A61" s="1" t="str" cm="1">
        <f t="array" ref="A61">IF(I61="","",IF(P61&lt;&gt;"",SUMPRODUCT((P$3:P$91&lt;&gt;"")*(G$3:G$91=G61)*(J$3:J$91&gt;J61)*(I$3:I$91="P"))+1,IF(O61&lt;&gt;"",SUMPRODUCT((O$3:O$91&lt;&gt;"")*(P$3:P$91="")*(G$3:G$91=G61)*(J$3:J$91&gt;J61)*(I$3:I$91="P"))+SUMPRODUCT((P$3:P$91&lt;&gt;"")*(G$3:G$91=G61)*(I$3:I$91="P"))+1,IF(N61&lt;&gt;"",SUMPRODUCT((N$3:N$91&lt;&gt;"")*(G$3:G$91=G61)*(J$3:J$91&gt;J61)*(I$3:I$91="P"))+1,IF(M61="P",SUMPRODUCT((O$3:O$91&lt;&gt;"")*(P$3:P$91="")*(G$3:G$91=G61)*(I$3:I$91="P"))+SUMPRODUCT((P$3:P$91&lt;&gt;"")*(G$3:G$91=G61)*(I$3:I$91="P"))+SUMPRODUCT((N$3:N$91&lt;&gt;"")*(G$3:G$91=G61)*(I$3:I$91="P"))+SUMPRODUCT((P$3:P$91="")*(O$3:O$91="")*(N$3:N$91="")*(M$3:M$91="P")*(G$3:G$91=G61)*(J$3:J$91&gt;J61)*(I$3:I$91="P"))+IF(H61="L5",SUMPRODUCT((P$3:P$91="")*(O$3:O$91="")*(N$3:N$91="")*(M$3:M$91="P")*(G$3:G$91=G61)*(J$3:J$91&lt;J61)*(H$3:H$91&lt;&gt;H61)*(I$3:I$91="P")),-1*SUMPRODUCT((P$3:P$91="")*(O$3:O$91="")*(N$3:N$91="")*(M$3:M$91="P")*(G$3:G$91=G61)*(J$3:J$91&gt;J61)*(H$3:H$91="L5")*(I$3:I$91="P")))+1,"")))))</f>
        <v/>
      </c>
      <c r="B61" s="1" t="str" cm="1">
        <f t="array" ref="B61">IF(P61&lt;&gt;"",SUMPRODUCT((P$3:P$91&lt;&gt;"")*(G$3:G$91=G61)*(J$3:J$91&gt;J61))+1,IF(O61&lt;&gt;"",SUMPRODUCT((O$3:O$91&lt;&gt;"")*(P$3:P$91="")*(G$3:G$91=G61)*(J$3:J$91&gt;J61))+SUMPRODUCT((P$3:P$91&lt;&gt;"")*(G$3:G$91=G61))+1,IF(N61&lt;&gt;"",SUMPRODUCT((N$3:N$91&lt;&gt;"")*(G$3:G$91=G61)*(J$3:J$91&gt;J61))+1,IF(M61="P",SUMPRODUCT((O$3:O$91&lt;&gt;"")*(P$3:P$91="")*(G$3:G$91=G61))+SUMPRODUCT((P$3:P$91&lt;&gt;"")*(G$3:G$91=G61))+SUMPRODUCT((N$3:N$91&lt;&gt;"")*(G$3:G$91=G61))+SUMPRODUCT((P$3:P$91="")*(O$3:O$91="")*(N$3:N$91="")*(M$3:M$91="P")*(G$3:G$91=G61)*(J$3:J$91&gt;J61))+IF(H61="L5",SUMPRODUCT((P$3:P$91="")*(O$3:O$91="")*(N$3:N$91="")*(M$3:M$91="P")*(G$3:G$91=G61)*(J$3:J$91&lt;J61)*(H$3:H$91&lt;&gt;H61)),-1*SUMPRODUCT((P$3:P$91="")*(O$3:O$91="")*(N$3:N$91="")*(M$3:M$91="P")*(G$3:G$91=G61)*(J$3:J$91&gt;J61)*(H$3:H$91="L5")))+1,""))))</f>
        <v/>
      </c>
      <c r="C61" s="35" t="s">
        <v>394</v>
      </c>
      <c r="D61" t="str">
        <f>IF(E61="","",VLOOKUP(E61,'Coaching Points'!A:B,2,0))</f>
        <v>NL</v>
      </c>
      <c r="E61" s="35" t="s">
        <v>79</v>
      </c>
      <c r="F61" s="34">
        <v>2009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R61+S61+IF(OR(H61="Junior",H61="Senior"),0.0002,IF(OR(H61="L7",H61="L6"),0.0001,0))+IF(G61="17-21",MAX(AA61,AC61,AF61),AE61)*0.0000001</f>
        <v>135.61000884000001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88.4</v>
      </c>
      <c r="S61" s="4">
        <f>IF(G61="17-21",LARGE(CHOOSE({1,2,3,4,5,6},T61,V61,Y61,AA61,AC61,AF61),2),IF(R61=X61,MAX(Y61,AA61,AC61,AF61),IF(R61=AE61,MAX(AF61,T61,V61,Y61),0)))</f>
        <v>47.21</v>
      </c>
      <c r="T61" s="32"/>
      <c r="U61" s="37"/>
      <c r="V61" s="33"/>
      <c r="W61" s="37"/>
      <c r="X61" s="4"/>
      <c r="Y61" s="33"/>
      <c r="Z61" s="37"/>
      <c r="AA61" s="32">
        <v>40.340000000000003</v>
      </c>
      <c r="AB61" s="37">
        <v>0</v>
      </c>
      <c r="AC61" s="33">
        <v>48.06</v>
      </c>
      <c r="AD61" s="37">
        <v>10.3</v>
      </c>
      <c r="AE61" s="4">
        <f>IF(H61="Senior",MAX(AA61,AC61),AA61+AC61)</f>
        <v>88.4</v>
      </c>
      <c r="AF61" s="33">
        <v>47.21</v>
      </c>
      <c r="AG61" s="37">
        <v>10.3</v>
      </c>
    </row>
    <row r="62" spans="1:33" x14ac:dyDescent="0.2">
      <c r="A62" s="1" t="str" cm="1">
        <f t="array" ref="A62">IF(I62="","",IF(P62&lt;&gt;"",SUMPRODUCT((P$3:P$91&lt;&gt;"")*(G$3:G$91=G62)*(J$3:J$91&gt;J62)*(I$3:I$91="P"))+1,IF(O62&lt;&gt;"",SUMPRODUCT((O$3:O$91&lt;&gt;"")*(P$3:P$91="")*(G$3:G$91=G62)*(J$3:J$91&gt;J62)*(I$3:I$91="P"))+SUMPRODUCT((P$3:P$91&lt;&gt;"")*(G$3:G$91=G62)*(I$3:I$91="P"))+1,IF(N62&lt;&gt;"",SUMPRODUCT((N$3:N$91&lt;&gt;"")*(G$3:G$91=G62)*(J$3:J$91&gt;J62)*(I$3:I$91="P"))+1,IF(M62="P",SUMPRODUCT((O$3:O$91&lt;&gt;"")*(P$3:P$91="")*(G$3:G$91=G62)*(I$3:I$91="P"))+SUMPRODUCT((P$3:P$91&lt;&gt;"")*(G$3:G$91=G62)*(I$3:I$91="P"))+SUMPRODUCT((N$3:N$91&lt;&gt;"")*(G$3:G$91=G62)*(I$3:I$91="P"))+SUMPRODUCT((P$3:P$91="")*(O$3:O$91="")*(N$3:N$91="")*(M$3:M$91="P")*(G$3:G$91=G62)*(J$3:J$91&gt;J62)*(I$3:I$91="P"))+IF(H62="L5",SUMPRODUCT((P$3:P$91="")*(O$3:O$91="")*(N$3:N$91="")*(M$3:M$91="P")*(G$3:G$91=G62)*(J$3:J$91&lt;J62)*(H$3:H$91&lt;&gt;H62)*(I$3:I$91="P")),-1*SUMPRODUCT((P$3:P$91="")*(O$3:O$91="")*(N$3:N$91="")*(M$3:M$91="P")*(G$3:G$91=G62)*(J$3:J$91&gt;J62)*(H$3:H$91="L5")*(I$3:I$91="P")))+1,"")))))</f>
        <v/>
      </c>
      <c r="B62" s="1" t="str" cm="1">
        <f t="array" ref="B62">IF(P62&lt;&gt;"",SUMPRODUCT((P$3:P$91&lt;&gt;"")*(G$3:G$91=G62)*(J$3:J$91&gt;J62))+1,IF(O62&lt;&gt;"",SUMPRODUCT((O$3:O$91&lt;&gt;"")*(P$3:P$91="")*(G$3:G$91=G62)*(J$3:J$91&gt;J62))+SUMPRODUCT((P$3:P$91&lt;&gt;"")*(G$3:G$91=G62))+1,IF(N62&lt;&gt;"",SUMPRODUCT((N$3:N$91&lt;&gt;"")*(G$3:G$91=G62)*(J$3:J$91&gt;J62))+1,IF(M62="P",SUMPRODUCT((O$3:O$91&lt;&gt;"")*(P$3:P$91="")*(G$3:G$91=G62))+SUMPRODUCT((P$3:P$91&lt;&gt;"")*(G$3:G$91=G62))+SUMPRODUCT((N$3:N$91&lt;&gt;"")*(G$3:G$91=G62))+SUMPRODUCT((P$3:P$91="")*(O$3:O$91="")*(N$3:N$91="")*(M$3:M$91="P")*(G$3:G$91=G62)*(J$3:J$91&gt;J62))+IF(H62="L5",SUMPRODUCT((P$3:P$91="")*(O$3:O$91="")*(N$3:N$91="")*(M$3:M$91="P")*(G$3:G$91=G62)*(J$3:J$91&lt;J62)*(H$3:H$91&lt;&gt;H62)),-1*SUMPRODUCT((P$3:P$91="")*(O$3:O$91="")*(N$3:N$91="")*(M$3:M$91="P")*(G$3:G$91=G62)*(J$3:J$91&gt;J62)*(H$3:H$91="L5")))+1,""))))</f>
        <v/>
      </c>
      <c r="C62" s="35" t="s">
        <v>409</v>
      </c>
      <c r="D62" t="str">
        <f>IF(E62="","",VLOOKUP(E62,'Coaching Points'!A:B,2,0))</f>
        <v>QC</v>
      </c>
      <c r="E62" s="35" t="s">
        <v>125</v>
      </c>
      <c r="F62" s="34">
        <v>2010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>R62+S62+IF(OR(H62="Junior",H62="Senior"),0.0002,IF(OR(H62="L7",H62="L6"),0.0001,0))+IF(G62="17-21",MAX(AA62,AC62,AF62),AE62)*0.0000001</f>
        <v>135.36020891699999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89.169999999999987</v>
      </c>
      <c r="S62" s="4">
        <f>IF(G62="17-21",LARGE(CHOOSE({1,2,3,4,5,6},T62,V62,Y62,AA62,AC62,AF62),2),IF(R62=X62,MAX(Y62,AA62,AC62,AF62),IF(R62=AE62,MAX(AF62,T62,V62,Y62),0)))</f>
        <v>46.19</v>
      </c>
      <c r="T62" s="32"/>
      <c r="U62" s="37"/>
      <c r="V62" s="33"/>
      <c r="W62" s="37"/>
      <c r="X62" s="4"/>
      <c r="Y62" s="33"/>
      <c r="Z62" s="37"/>
      <c r="AA62" s="32">
        <v>41.48</v>
      </c>
      <c r="AB62" s="37">
        <v>0</v>
      </c>
      <c r="AC62" s="33">
        <v>47.69</v>
      </c>
      <c r="AD62" s="37">
        <v>10.1</v>
      </c>
      <c r="AE62" s="4">
        <f>IF(H62="Senior",MAX(AA62,AC62),AA62+AC62)</f>
        <v>89.169999999999987</v>
      </c>
      <c r="AF62" s="33">
        <v>46.19</v>
      </c>
      <c r="AG62" s="37">
        <v>10.1</v>
      </c>
    </row>
    <row r="63" spans="1:33" x14ac:dyDescent="0.2">
      <c r="A63" s="1" t="str" cm="1">
        <f t="array" ref="A63">IF(I63="","",IF(P63&lt;&gt;"",SUMPRODUCT((P$3:P$91&lt;&gt;"")*(G$3:G$91=G63)*(J$3:J$91&gt;J63)*(I$3:I$91="P"))+1,IF(O63&lt;&gt;"",SUMPRODUCT((O$3:O$91&lt;&gt;"")*(P$3:P$91="")*(G$3:G$91=G63)*(J$3:J$91&gt;J63)*(I$3:I$91="P"))+SUMPRODUCT((P$3:P$91&lt;&gt;"")*(G$3:G$91=G63)*(I$3:I$91="P"))+1,IF(N63&lt;&gt;"",SUMPRODUCT((N$3:N$91&lt;&gt;"")*(G$3:G$91=G63)*(J$3:J$91&gt;J63)*(I$3:I$91="P"))+1,IF(M63="P",SUMPRODUCT((O$3:O$91&lt;&gt;"")*(P$3:P$91="")*(G$3:G$91=G63)*(I$3:I$91="P"))+SUMPRODUCT((P$3:P$91&lt;&gt;"")*(G$3:G$91=G63)*(I$3:I$91="P"))+SUMPRODUCT((N$3:N$91&lt;&gt;"")*(G$3:G$91=G63)*(I$3:I$91="P"))+SUMPRODUCT((P$3:P$91="")*(O$3:O$91="")*(N$3:N$91="")*(M$3:M$91="P")*(G$3:G$91=G63)*(J$3:J$91&gt;J63)*(I$3:I$91="P"))+IF(H63="L5",SUMPRODUCT((P$3:P$91="")*(O$3:O$91="")*(N$3:N$91="")*(M$3:M$91="P")*(G$3:G$91=G63)*(J$3:J$91&lt;J63)*(H$3:H$91&lt;&gt;H63)*(I$3:I$91="P")),-1*SUMPRODUCT((P$3:P$91="")*(O$3:O$91="")*(N$3:N$91="")*(M$3:M$91="P")*(G$3:G$91=G63)*(J$3:J$91&gt;J63)*(H$3:H$91="L5")*(I$3:I$91="P")))+1,"")))))</f>
        <v/>
      </c>
      <c r="B63" s="1" t="str" cm="1">
        <f t="array" ref="B63">IF(P63&lt;&gt;"",SUMPRODUCT((P$3:P$91&lt;&gt;"")*(G$3:G$91=G63)*(J$3:J$91&gt;J63))+1,IF(O63&lt;&gt;"",SUMPRODUCT((O$3:O$91&lt;&gt;"")*(P$3:P$91="")*(G$3:G$91=G63)*(J$3:J$91&gt;J63))+SUMPRODUCT((P$3:P$91&lt;&gt;"")*(G$3:G$91=G63))+1,IF(N63&lt;&gt;"",SUMPRODUCT((N$3:N$91&lt;&gt;"")*(G$3:G$91=G63)*(J$3:J$91&gt;J63))+1,IF(M63="P",SUMPRODUCT((O$3:O$91&lt;&gt;"")*(P$3:P$91="")*(G$3:G$91=G63))+SUMPRODUCT((P$3:P$91&lt;&gt;"")*(G$3:G$91=G63))+SUMPRODUCT((N$3:N$91&lt;&gt;"")*(G$3:G$91=G63))+SUMPRODUCT((P$3:P$91="")*(O$3:O$91="")*(N$3:N$91="")*(M$3:M$91="P")*(G$3:G$91=G63)*(J$3:J$91&gt;J63))+IF(H63="L5",SUMPRODUCT((P$3:P$91="")*(O$3:O$91="")*(N$3:N$91="")*(M$3:M$91="P")*(G$3:G$91=G63)*(J$3:J$91&lt;J63)*(H$3:H$91&lt;&gt;H63)),-1*SUMPRODUCT((P$3:P$91="")*(O$3:O$91="")*(N$3:N$91="")*(M$3:M$91="P")*(G$3:G$91=G63)*(J$3:J$91&gt;J63)*(H$3:H$91="L5")))+1,""))))</f>
        <v/>
      </c>
      <c r="C63" s="35" t="s">
        <v>410</v>
      </c>
      <c r="D63" t="str">
        <f>IF(E63="","",VLOOKUP(E63,'Coaching Points'!A:B,2,0))</f>
        <v>NS</v>
      </c>
      <c r="E63" s="35" t="s">
        <v>86</v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211</v>
      </c>
      <c r="I63" s="40"/>
      <c r="J63" s="4">
        <f>R63+S63+IF(OR(H63="Junior",H63="Senior"),0.0002,IF(OR(H63="L7",H63="L6"),0.0001,0))+IF(G63="17-21",MAX(AA63,AC63,AF63),AE63)*0.0000001</f>
        <v>131.66020856400002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>P</v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85.64</v>
      </c>
      <c r="S63" s="4">
        <f>IF(G63="17-21",LARGE(CHOOSE({1,2,3,4,5,6},T63,V63,Y63,AA63,AC63,AF63),2),IF(R63=X63,MAX(Y63,AA63,AC63,AF63),IF(R63=AE63,MAX(AF63,T63,V63,Y63),0)))</f>
        <v>46.02</v>
      </c>
      <c r="T63" s="32"/>
      <c r="U63" s="37"/>
      <c r="V63" s="33"/>
      <c r="W63" s="37"/>
      <c r="X63" s="4"/>
      <c r="Y63" s="33"/>
      <c r="Z63" s="37"/>
      <c r="AA63" s="32">
        <v>38.39</v>
      </c>
      <c r="AB63" s="37">
        <v>0</v>
      </c>
      <c r="AC63" s="33">
        <v>47.25</v>
      </c>
      <c r="AD63" s="37">
        <v>12.5</v>
      </c>
      <c r="AE63" s="4">
        <f>IF(H63="Senior",MAX(AA63,AC63),AA63+AC63)</f>
        <v>85.64</v>
      </c>
      <c r="AF63" s="33">
        <v>46.02</v>
      </c>
      <c r="AG63" s="37">
        <v>11</v>
      </c>
    </row>
    <row r="64" spans="1:33" x14ac:dyDescent="0.2">
      <c r="A64" s="1" t="str" cm="1">
        <f t="array" ref="A64">IF(I64="","",IF(P64&lt;&gt;"",SUMPRODUCT((P$3:P$91&lt;&gt;"")*(G$3:G$91=G64)*(J$3:J$91&gt;J64)*(I$3:I$91="P"))+1,IF(O64&lt;&gt;"",SUMPRODUCT((O$3:O$91&lt;&gt;"")*(P$3:P$91="")*(G$3:G$91=G64)*(J$3:J$91&gt;J64)*(I$3:I$91="P"))+SUMPRODUCT((P$3:P$91&lt;&gt;"")*(G$3:G$91=G64)*(I$3:I$91="P"))+1,IF(N64&lt;&gt;"",SUMPRODUCT((N$3:N$91&lt;&gt;"")*(G$3:G$91=G64)*(J$3:J$91&gt;J64)*(I$3:I$91="P"))+1,IF(M64="P",SUMPRODUCT((O$3:O$91&lt;&gt;"")*(P$3:P$91="")*(G$3:G$91=G64)*(I$3:I$91="P"))+SUMPRODUCT((P$3:P$91&lt;&gt;"")*(G$3:G$91=G64)*(I$3:I$91="P"))+SUMPRODUCT((N$3:N$91&lt;&gt;"")*(G$3:G$91=G64)*(I$3:I$91="P"))+SUMPRODUCT((P$3:P$91="")*(O$3:O$91="")*(N$3:N$91="")*(M$3:M$91="P")*(G$3:G$91=G64)*(J$3:J$91&gt;J64)*(I$3:I$91="P"))+IF(H64="L5",SUMPRODUCT((P$3:P$91="")*(O$3:O$91="")*(N$3:N$91="")*(M$3:M$91="P")*(G$3:G$91=G64)*(J$3:J$91&lt;J64)*(H$3:H$91&lt;&gt;H64)*(I$3:I$91="P")),-1*SUMPRODUCT((P$3:P$91="")*(O$3:O$91="")*(N$3:N$91="")*(M$3:M$91="P")*(G$3:G$91=G64)*(J$3:J$91&gt;J64)*(H$3:H$91="L5")*(I$3:I$91="P")))+1,"")))))</f>
        <v/>
      </c>
      <c r="B64" s="1" t="str" cm="1">
        <f t="array" ref="B64">IF(P64&lt;&gt;"",SUMPRODUCT((P$3:P$91&lt;&gt;"")*(G$3:G$91=G64)*(J$3:J$91&gt;J64))+1,IF(O64&lt;&gt;"",SUMPRODUCT((O$3:O$91&lt;&gt;"")*(P$3:P$91="")*(G$3:G$91=G64)*(J$3:J$91&gt;J64))+SUMPRODUCT((P$3:P$91&lt;&gt;"")*(G$3:G$91=G64))+1,IF(N64&lt;&gt;"",SUMPRODUCT((N$3:N$91&lt;&gt;"")*(G$3:G$91=G64)*(J$3:J$91&gt;J64))+1,IF(M64="P",SUMPRODUCT((O$3:O$91&lt;&gt;"")*(P$3:P$91="")*(G$3:G$91=G64))+SUMPRODUCT((P$3:P$91&lt;&gt;"")*(G$3:G$91=G64))+SUMPRODUCT((N$3:N$91&lt;&gt;"")*(G$3:G$91=G64))+SUMPRODUCT((P$3:P$91="")*(O$3:O$91="")*(N$3:N$91="")*(M$3:M$91="P")*(G$3:G$91=G64)*(J$3:J$91&gt;J64))+IF(H64="L5",SUMPRODUCT((P$3:P$91="")*(O$3:O$91="")*(N$3:N$91="")*(M$3:M$91="P")*(G$3:G$91=G64)*(J$3:J$91&lt;J64)*(H$3:H$91&lt;&gt;H64)),-1*SUMPRODUCT((P$3:P$91="")*(O$3:O$91="")*(N$3:N$91="")*(M$3:M$91="P")*(G$3:G$91=G64)*(J$3:J$91&gt;J64)*(H$3:H$91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211</v>
      </c>
      <c r="I64" s="40"/>
      <c r="J64" s="4">
        <f>R64+S64+IF(OR(H64="Junior",H64="Senior"),0.0002,IF(OR(H64="L7",H64="L6"),0.0001,0))+IF(G64="17-21",MAX(AA64,AC64,AF64),AE64)*0.0000001</f>
        <v>131.3502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85.89</v>
      </c>
      <c r="S64" s="4">
        <f>IF(G64="17-21",LARGE(CHOOSE({1,2,3,4,5,6},T64,V64,Y64,AA64,AC64,AF64),2),IF(R64=X64,MAX(Y64,AA64,AC64,AF64),IF(R64=AE64,MAX(AF64,T64,V64,Y64),0)))</f>
        <v>45.46</v>
      </c>
      <c r="T64" s="32">
        <v>38.54</v>
      </c>
      <c r="U64" s="37">
        <v>0</v>
      </c>
      <c r="V64" s="33">
        <v>47.35</v>
      </c>
      <c r="W64" s="37">
        <v>10.3</v>
      </c>
      <c r="X64" s="4">
        <f>IF(H64="Senior",MAX(T64,V64),T64+V64)</f>
        <v>85.89</v>
      </c>
      <c r="Y64" s="33">
        <v>45.46</v>
      </c>
      <c r="Z64" s="37">
        <v>8.8000000000000007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$91&lt;&gt;"")*(G$3:G$91=G65)*(J$3:J$91&gt;J65)*(I$3:I$91="P"))+1,IF(O65&lt;&gt;"",SUMPRODUCT((O$3:O$91&lt;&gt;"")*(P$3:P$91="")*(G$3:G$91=G65)*(J$3:J$91&gt;J65)*(I$3:I$91="P"))+SUMPRODUCT((P$3:P$91&lt;&gt;"")*(G$3:G$91=G65)*(I$3:I$91="P"))+1,IF(N65&lt;&gt;"",SUMPRODUCT((N$3:N$91&lt;&gt;"")*(G$3:G$91=G65)*(J$3:J$91&gt;J65)*(I$3:I$91="P"))+1,IF(M65="P",SUMPRODUCT((O$3:O$91&lt;&gt;"")*(P$3:P$91="")*(G$3:G$91=G65)*(I$3:I$91="P"))+SUMPRODUCT((P$3:P$91&lt;&gt;"")*(G$3:G$91=G65)*(I$3:I$91="P"))+SUMPRODUCT((N$3:N$91&lt;&gt;"")*(G$3:G$91=G65)*(I$3:I$91="P"))+SUMPRODUCT((P$3:P$91="")*(O$3:O$91="")*(N$3:N$91="")*(M$3:M$91="P")*(G$3:G$91=G65)*(J$3:J$91&gt;J65)*(I$3:I$91="P"))+IF(H65="L5",SUMPRODUCT((P$3:P$91="")*(O$3:O$91="")*(N$3:N$91="")*(M$3:M$91="P")*(G$3:G$91=G65)*(J$3:J$91&lt;J65)*(H$3:H$91&lt;&gt;H65)*(I$3:I$91="P")),-1*SUMPRODUCT((P$3:P$91="")*(O$3:O$91="")*(N$3:N$91="")*(M$3:M$91="P")*(G$3:G$91=G65)*(J$3:J$91&gt;J65)*(H$3:H$91="L5")*(I$3:I$91="P")))+1,"")))))</f>
        <v/>
      </c>
      <c r="B65" s="1" t="str" cm="1">
        <f t="array" ref="B65">IF(P65&lt;&gt;"",SUMPRODUCT((P$3:P$91&lt;&gt;"")*(G$3:G$91=G65)*(J$3:J$91&gt;J65))+1,IF(O65&lt;&gt;"",SUMPRODUCT((O$3:O$91&lt;&gt;"")*(P$3:P$91="")*(G$3:G$91=G65)*(J$3:J$91&gt;J65))+SUMPRODUCT((P$3:P$91&lt;&gt;"")*(G$3:G$91=G65))+1,IF(N65&lt;&gt;"",SUMPRODUCT((N$3:N$91&lt;&gt;"")*(G$3:G$91=G65)*(J$3:J$91&gt;J65))+1,IF(M65="P",SUMPRODUCT((O$3:O$91&lt;&gt;"")*(P$3:P$91="")*(G$3:G$91=G65))+SUMPRODUCT((P$3:P$91&lt;&gt;"")*(G$3:G$91=G65))+SUMPRODUCT((N$3:N$91&lt;&gt;"")*(G$3:G$91=G65))+SUMPRODUCT((P$3:P$91="")*(O$3:O$91="")*(N$3:N$91="")*(M$3:M$91="P")*(G$3:G$91=G65)*(J$3:J$91&gt;J65))+IF(H65="L5",SUMPRODUCT((P$3:P$91="")*(O$3:O$91="")*(N$3:N$91="")*(M$3:M$91="P")*(G$3:G$91=G65)*(J$3:J$91&lt;J65)*(H$3:H$91&lt;&gt;H65)),-1*SUMPRODUCT((P$3:P$91="")*(O$3:O$91="")*(N$3:N$91="")*(M$3:M$91="P")*(G$3:G$91=G65)*(J$3:J$91&gt;J65)*(H$3:H$91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214</v>
      </c>
      <c r="I65" s="40"/>
      <c r="J65" s="4">
        <f>R65+S65+IF(OR(H65="Junior",H65="Senior"),0.0002,IF(OR(H65="L7",H65="L6"),0.0001,0))+IF(G65="17-21",MAX(AA65,AC65,AF65),AE65)*0.0000001</f>
        <v>130.49000856400002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85.64</v>
      </c>
      <c r="S65" s="4">
        <f>IF(G65="17-21",LARGE(CHOOSE({1,2,3,4,5,6},T65,V65,Y65,AA65,AC65,AF65),2),IF(R65=X65,MAX(Y65,AA65,AC65,AF65),IF(R65=AE65,MAX(AF65,T65,V65,Y65),0)))</f>
        <v>44.85</v>
      </c>
      <c r="T65" s="32">
        <v>38.93</v>
      </c>
      <c r="U65" s="37">
        <v>0</v>
      </c>
      <c r="V65" s="33">
        <v>44.85</v>
      </c>
      <c r="W65" s="37">
        <v>10.1</v>
      </c>
      <c r="X65" s="4">
        <f>IF(H65="Senior",MAX(T65,V65),T65+V65)</f>
        <v>83.78</v>
      </c>
      <c r="Y65" s="33">
        <v>5.19</v>
      </c>
      <c r="Z65" s="37">
        <v>1.5</v>
      </c>
      <c r="AA65" s="32">
        <v>39.1</v>
      </c>
      <c r="AB65" s="37">
        <v>0</v>
      </c>
      <c r="AC65" s="33">
        <v>46.54</v>
      </c>
      <c r="AD65" s="37">
        <v>9.6999999999999993</v>
      </c>
      <c r="AE65" s="4">
        <f>IF(H65="Senior",MAX(AA65,AC65),AA65+AC65)</f>
        <v>85.64</v>
      </c>
      <c r="AF65" s="33">
        <v>44.11</v>
      </c>
      <c r="AG65" s="37">
        <v>9.6999999999999993</v>
      </c>
    </row>
    <row r="66" spans="1:33" x14ac:dyDescent="0.2">
      <c r="A66" s="1" t="str" cm="1">
        <f t="array" ref="A66">IF(I66="","",IF(P66&lt;&gt;"",SUMPRODUCT((P$3:P$91&lt;&gt;"")*(G$3:G$91=G66)*(J$3:J$91&gt;J66)*(I$3:I$91="P"))+1,IF(O66&lt;&gt;"",SUMPRODUCT((O$3:O$91&lt;&gt;"")*(P$3:P$91="")*(G$3:G$91=G66)*(J$3:J$91&gt;J66)*(I$3:I$91="P"))+SUMPRODUCT((P$3:P$91&lt;&gt;"")*(G$3:G$91=G66)*(I$3:I$91="P"))+1,IF(N66&lt;&gt;"",SUMPRODUCT((N$3:N$91&lt;&gt;"")*(G$3:G$91=G66)*(J$3:J$91&gt;J66)*(I$3:I$91="P"))+1,IF(M66="P",SUMPRODUCT((O$3:O$91&lt;&gt;"")*(P$3:P$91="")*(G$3:G$91=G66)*(I$3:I$91="P"))+SUMPRODUCT((P$3:P$91&lt;&gt;"")*(G$3:G$91=G66)*(I$3:I$91="P"))+SUMPRODUCT((N$3:N$91&lt;&gt;"")*(G$3:G$91=G66)*(I$3:I$91="P"))+SUMPRODUCT((P$3:P$91="")*(O$3:O$91="")*(N$3:N$91="")*(M$3:M$91="P")*(G$3:G$91=G66)*(J$3:J$91&gt;J66)*(I$3:I$91="P"))+IF(H66="L5",SUMPRODUCT((P$3:P$91="")*(O$3:O$91="")*(N$3:N$91="")*(M$3:M$91="P")*(G$3:G$91=G66)*(J$3:J$91&lt;J66)*(H$3:H$91&lt;&gt;H66)*(I$3:I$91="P")),-1*SUMPRODUCT((P$3:P$91="")*(O$3:O$91="")*(N$3:N$91="")*(M$3:M$91="P")*(G$3:G$91=G66)*(J$3:J$91&gt;J66)*(H$3:H$91="L5")*(I$3:I$91="P")))+1,"")))))</f>
        <v/>
      </c>
      <c r="B66" s="1" t="str" cm="1">
        <f t="array" ref="B66">IF(P66&lt;&gt;"",SUMPRODUCT((P$3:P$91&lt;&gt;"")*(G$3:G$91=G66)*(J$3:J$91&gt;J66))+1,IF(O66&lt;&gt;"",SUMPRODUCT((O$3:O$91&lt;&gt;"")*(P$3:P$91="")*(G$3:G$91=G66)*(J$3:J$91&gt;J66))+SUMPRODUCT((P$3:P$91&lt;&gt;"")*(G$3:G$91=G66))+1,IF(N66&lt;&gt;"",SUMPRODUCT((N$3:N$91&lt;&gt;"")*(G$3:G$91=G66)*(J$3:J$91&gt;J66))+1,IF(M66="P",SUMPRODUCT((O$3:O$91&lt;&gt;"")*(P$3:P$91="")*(G$3:G$91=G66))+SUMPRODUCT((P$3:P$91&lt;&gt;"")*(G$3:G$91=G66))+SUMPRODUCT((N$3:N$91&lt;&gt;"")*(G$3:G$91=G66))+SUMPRODUCT((P$3:P$91="")*(O$3:O$91="")*(N$3:N$91="")*(M$3:M$91="P")*(G$3:G$91=G66)*(J$3:J$91&gt;J66))+IF(H66="L5",SUMPRODUCT((P$3:P$91="")*(O$3:O$91="")*(N$3:N$91="")*(M$3:M$91="P")*(G$3:G$91=G66)*(J$3:J$91&lt;J66)*(H$3:H$91&lt;&gt;H66)),-1*SUMPRODUCT((P$3:P$91="")*(O$3:O$91="")*(N$3:N$91="")*(M$3:M$91="P")*(G$3:G$91=G66)*(J$3:J$91&gt;J66)*(H$3:H$91="L5")))+1,""))))</f>
        <v/>
      </c>
      <c r="C66" s="35" t="s">
        <v>197</v>
      </c>
      <c r="D66" t="str">
        <f>IF(E66="","",VLOOKUP(E66,'Coaching Points'!A:B,2,0))</f>
        <v>QC</v>
      </c>
      <c r="E66" s="35" t="s">
        <v>209</v>
      </c>
      <c r="F66" s="34">
        <v>2009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R66+S66+IF(OR(H66="Junior",H66="Senior"),0.0002,IF(OR(H66="L7",H66="L6"),0.0001,0))+IF(G66="17-21",MAX(AA66,AC66,AF66),AE66)*0.0000001</f>
        <v>130.020007857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82.85</v>
      </c>
      <c r="S66" s="4">
        <f>IF(G66="17-21",LARGE(CHOOSE({1,2,3,4,5,6},T66,V66,Y66,AA66,AC66,AF66),2),IF(R66=X66,MAX(Y66,AA66,AC66,AF66),IF(R66=AE66,MAX(AF66,T66,V66,Y66),0)))</f>
        <v>47.17</v>
      </c>
      <c r="T66" s="32">
        <v>36.979999999999997</v>
      </c>
      <c r="U66" s="37">
        <v>0</v>
      </c>
      <c r="V66" s="33">
        <v>45.87</v>
      </c>
      <c r="W66" s="37">
        <v>8.6999999999999993</v>
      </c>
      <c r="X66" s="4">
        <f>IF(H66="Senior",MAX(T66,V66),T66+V66)</f>
        <v>82.85</v>
      </c>
      <c r="Y66" s="33">
        <v>47.17</v>
      </c>
      <c r="Z66" s="37">
        <v>8.6999999999999993</v>
      </c>
      <c r="AA66" s="32">
        <v>34.72</v>
      </c>
      <c r="AB66" s="37">
        <v>0</v>
      </c>
      <c r="AC66" s="33">
        <v>43.85</v>
      </c>
      <c r="AD66" s="37">
        <v>8</v>
      </c>
      <c r="AE66" s="4">
        <f>IF(H66="Senior",MAX(AA66,AC66),AA66+AC66)</f>
        <v>78.569999999999993</v>
      </c>
      <c r="AF66" s="33"/>
      <c r="AG66" s="37"/>
    </row>
    <row r="67" spans="1:33" x14ac:dyDescent="0.2">
      <c r="A67" s="1" t="str" cm="1">
        <f t="array" ref="A67">IF(I67="","",IF(P67&lt;&gt;"",SUMPRODUCT((P$3:P$91&lt;&gt;"")*(G$3:G$91=G67)*(J$3:J$91&gt;J67)*(I$3:I$91="P"))+1,IF(O67&lt;&gt;"",SUMPRODUCT((O$3:O$91&lt;&gt;"")*(P$3:P$91="")*(G$3:G$91=G67)*(J$3:J$91&gt;J67)*(I$3:I$91="P"))+SUMPRODUCT((P$3:P$91&lt;&gt;"")*(G$3:G$91=G67)*(I$3:I$91="P"))+1,IF(N67&lt;&gt;"",SUMPRODUCT((N$3:N$91&lt;&gt;"")*(G$3:G$91=G67)*(J$3:J$91&gt;J67)*(I$3:I$91="P"))+1,IF(M67="P",SUMPRODUCT((O$3:O$91&lt;&gt;"")*(P$3:P$91="")*(G$3:G$91=G67)*(I$3:I$91="P"))+SUMPRODUCT((P$3:P$91&lt;&gt;"")*(G$3:G$91=G67)*(I$3:I$91="P"))+SUMPRODUCT((N$3:N$91&lt;&gt;"")*(G$3:G$91=G67)*(I$3:I$91="P"))+SUMPRODUCT((P$3:P$91="")*(O$3:O$91="")*(N$3:N$91="")*(M$3:M$91="P")*(G$3:G$91=G67)*(J$3:J$91&gt;J67)*(I$3:I$91="P"))+IF(H67="L5",SUMPRODUCT((P$3:P$91="")*(O$3:O$91="")*(N$3:N$91="")*(M$3:M$91="P")*(G$3:G$91=G67)*(J$3:J$91&lt;J67)*(H$3:H$91&lt;&gt;H67)*(I$3:I$91="P")),-1*SUMPRODUCT((P$3:P$91="")*(O$3:O$91="")*(N$3:N$91="")*(M$3:M$91="P")*(G$3:G$91=G67)*(J$3:J$91&gt;J67)*(H$3:H$91="L5")*(I$3:I$91="P")))+1,"")))))</f>
        <v/>
      </c>
      <c r="B67" s="1" t="str" cm="1">
        <f t="array" ref="B67">IF(P67&lt;&gt;"",SUMPRODUCT((P$3:P$91&lt;&gt;"")*(G$3:G$91=G67)*(J$3:J$91&gt;J67))+1,IF(O67&lt;&gt;"",SUMPRODUCT((O$3:O$91&lt;&gt;"")*(P$3:P$91="")*(G$3:G$91=G67)*(J$3:J$91&gt;J67))+SUMPRODUCT((P$3:P$91&lt;&gt;"")*(G$3:G$91=G67))+1,IF(N67&lt;&gt;"",SUMPRODUCT((N$3:N$91&lt;&gt;"")*(G$3:G$91=G67)*(J$3:J$91&gt;J67))+1,IF(M67="P",SUMPRODUCT((O$3:O$91&lt;&gt;"")*(P$3:P$91="")*(G$3:G$91=G67))+SUMPRODUCT((P$3:P$91&lt;&gt;"")*(G$3:G$91=G67))+SUMPRODUCT((N$3:N$91&lt;&gt;"")*(G$3:G$91=G67))+SUMPRODUCT((P$3:P$91="")*(O$3:O$91="")*(N$3:N$91="")*(M$3:M$91="P")*(G$3:G$91=G67)*(J$3:J$91&gt;J67))+IF(H67="L5",SUMPRODUCT((P$3:P$91="")*(O$3:O$91="")*(N$3:N$91="")*(M$3:M$91="P")*(G$3:G$91=G67)*(J$3:J$91&lt;J67)*(H$3:H$91&lt;&gt;H67)),-1*SUMPRODUCT((P$3:P$91="")*(O$3:O$91="")*(N$3:N$91="")*(M$3:M$91="P")*(G$3:G$91=G67)*(J$3:J$91&gt;J67)*(H$3:H$91="L5")))+1,""))))</f>
        <v/>
      </c>
      <c r="C67" s="35" t="s">
        <v>169</v>
      </c>
      <c r="D67" t="str">
        <f>IF(E67="","",VLOOKUP(E67,'Coaching Points'!A:B,2,0))</f>
        <v>NS</v>
      </c>
      <c r="E67" s="35" t="s">
        <v>86</v>
      </c>
      <c r="F67" s="34">
        <v>2010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>R67+S67+IF(OR(H67="Junior",H67="Senior"),0.0002,IF(OR(H67="L7",H67="L6"),0.0001,0))+IF(G67="17-21",MAX(AA67,AC67,AF67),AE67)*0.0000001</f>
        <v>129.30000833400001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83.9</v>
      </c>
      <c r="S67" s="4">
        <f>IF(G67="17-21",LARGE(CHOOSE({1,2,3,4,5,6},T67,V67,Y67,AA67,AC67,AF67),2),IF(R67=X67,MAX(Y67,AA67,AC67,AF67),IF(R67=AE67,MAX(AF67,T67,V67,Y67),0)))</f>
        <v>45.4</v>
      </c>
      <c r="T67" s="32">
        <v>38.659999999999997</v>
      </c>
      <c r="U67" s="37">
        <v>0</v>
      </c>
      <c r="V67" s="33">
        <v>45.24</v>
      </c>
      <c r="W67" s="37">
        <v>10.1</v>
      </c>
      <c r="X67" s="4">
        <f>IF(H67="Senior",MAX(T67,V67),T67+V67)</f>
        <v>83.9</v>
      </c>
      <c r="Y67" s="33">
        <v>43.16</v>
      </c>
      <c r="Z67" s="37">
        <v>8.8000000000000007</v>
      </c>
      <c r="AA67" s="32">
        <v>37.94</v>
      </c>
      <c r="AB67" s="37">
        <v>0</v>
      </c>
      <c r="AC67" s="33">
        <v>45.4</v>
      </c>
      <c r="AD67" s="37">
        <v>9.4</v>
      </c>
      <c r="AE67" s="4">
        <f>IF(H67="Senior",MAX(AA67,AC67),AA67+AC67)</f>
        <v>83.34</v>
      </c>
      <c r="AF67" s="33">
        <v>45.29</v>
      </c>
      <c r="AG67" s="37">
        <v>9.4</v>
      </c>
    </row>
    <row r="68" spans="1:33" x14ac:dyDescent="0.2">
      <c r="A68" s="1" t="str" cm="1">
        <f t="array" ref="A68">IF(I68="","",IF(P68&lt;&gt;"",SUMPRODUCT((P$3:P$91&lt;&gt;"")*(G$3:G$91=G68)*(J$3:J$91&gt;J68)*(I$3:I$91="P"))+1,IF(O68&lt;&gt;"",SUMPRODUCT((O$3:O$91&lt;&gt;"")*(P$3:P$91="")*(G$3:G$91=G68)*(J$3:J$91&gt;J68)*(I$3:I$91="P"))+SUMPRODUCT((P$3:P$91&lt;&gt;"")*(G$3:G$91=G68)*(I$3:I$91="P"))+1,IF(N68&lt;&gt;"",SUMPRODUCT((N$3:N$91&lt;&gt;"")*(G$3:G$91=G68)*(J$3:J$91&gt;J68)*(I$3:I$91="P"))+1,IF(M68="P",SUMPRODUCT((O$3:O$91&lt;&gt;"")*(P$3:P$91="")*(G$3:G$91=G68)*(I$3:I$91="P"))+SUMPRODUCT((P$3:P$91&lt;&gt;"")*(G$3:G$91=G68)*(I$3:I$91="P"))+SUMPRODUCT((N$3:N$91&lt;&gt;"")*(G$3:G$91=G68)*(I$3:I$91="P"))+SUMPRODUCT((P$3:P$91="")*(O$3:O$91="")*(N$3:N$91="")*(M$3:M$91="P")*(G$3:G$91=G68)*(J$3:J$91&gt;J68)*(I$3:I$91="P"))+IF(H68="L5",SUMPRODUCT((P$3:P$91="")*(O$3:O$91="")*(N$3:N$91="")*(M$3:M$91="P")*(G$3:G$91=G68)*(J$3:J$91&lt;J68)*(H$3:H$91&lt;&gt;H68)*(I$3:I$91="P")),-1*SUMPRODUCT((P$3:P$91="")*(O$3:O$91="")*(N$3:N$91="")*(M$3:M$91="P")*(G$3:G$91=G68)*(J$3:J$91&gt;J68)*(H$3:H$91="L5")*(I$3:I$91="P")))+1,"")))))</f>
        <v/>
      </c>
      <c r="B68" s="1" t="str" cm="1">
        <f t="array" ref="B68">IF(P68&lt;&gt;"",SUMPRODUCT((P$3:P$91&lt;&gt;"")*(G$3:G$91=G68)*(J$3:J$91&gt;J68))+1,IF(O68&lt;&gt;"",SUMPRODUCT((O$3:O$91&lt;&gt;"")*(P$3:P$91="")*(G$3:G$91=G68)*(J$3:J$91&gt;J68))+SUMPRODUCT((P$3:P$91&lt;&gt;"")*(G$3:G$91=G68))+1,IF(N68&lt;&gt;"",SUMPRODUCT((N$3:N$91&lt;&gt;"")*(G$3:G$91=G68)*(J$3:J$91&gt;J68))+1,IF(M68="P",SUMPRODUCT((O$3:O$91&lt;&gt;"")*(P$3:P$91="")*(G$3:G$91=G68))+SUMPRODUCT((P$3:P$91&lt;&gt;"")*(G$3:G$91=G68))+SUMPRODUCT((N$3:N$91&lt;&gt;"")*(G$3:G$91=G68))+SUMPRODUCT((P$3:P$91="")*(O$3:O$91="")*(N$3:N$91="")*(M$3:M$91="P")*(G$3:G$91=G68)*(J$3:J$91&gt;J68))+IF(H68="L5",SUMPRODUCT((P$3:P$91="")*(O$3:O$91="")*(N$3:N$91="")*(M$3:M$91="P")*(G$3:G$91=G68)*(J$3:J$91&lt;J68)*(H$3:H$91&lt;&gt;H68)),-1*SUMPRODUCT((P$3:P$91="")*(O$3:O$91="")*(N$3:N$91="")*(M$3:M$91="P")*(G$3:G$91=G68)*(J$3:J$91&gt;J68)*(H$3:H$91="L5")))+1,""))))</f>
        <v/>
      </c>
      <c r="C68" s="35" t="s">
        <v>395</v>
      </c>
      <c r="D68" t="str">
        <f>IF(E68="","",VLOOKUP(E68,'Coaching Points'!A:B,2,0))</f>
        <v>ON</v>
      </c>
      <c r="E68" s="35" t="s">
        <v>84</v>
      </c>
      <c r="F68" s="34">
        <v>2009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R68+S68+IF(OR(H68="Junior",H68="Senior"),0.0002,IF(OR(H68="L7",H68="L6"),0.0001,0))+IF(G68="17-21",MAX(AA68,AC68,AF68),AE68)*0.0000001</f>
        <v>129.090008205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82.050000000000011</v>
      </c>
      <c r="S68" s="4">
        <f>IF(G68="17-21",LARGE(CHOOSE({1,2,3,4,5,6},T68,V68,Y68,AA68,AC68,AF68),2),IF(R68=X68,MAX(Y68,AA68,AC68,AF68),IF(R68=AE68,MAX(AF68,T68,V68,Y68),0)))</f>
        <v>47.04</v>
      </c>
      <c r="T68" s="32"/>
      <c r="U68" s="37"/>
      <c r="V68" s="33"/>
      <c r="W68" s="37"/>
      <c r="X68" s="4"/>
      <c r="Y68" s="33"/>
      <c r="Z68" s="37"/>
      <c r="AA68" s="32">
        <v>36.35</v>
      </c>
      <c r="AB68" s="37">
        <v>0</v>
      </c>
      <c r="AC68" s="33">
        <v>45.7</v>
      </c>
      <c r="AD68" s="37">
        <v>10.3</v>
      </c>
      <c r="AE68" s="4">
        <f>IF(H68="Senior",MAX(AA68,AC68),AA68+AC68)</f>
        <v>82.050000000000011</v>
      </c>
      <c r="AF68" s="33">
        <v>47.04</v>
      </c>
      <c r="AG68" s="37">
        <v>10.3</v>
      </c>
    </row>
    <row r="69" spans="1:33" x14ac:dyDescent="0.2">
      <c r="A69" s="1" t="str" cm="1">
        <f t="array" ref="A69">IF(I69="","",IF(P69&lt;&gt;"",SUMPRODUCT((P$3:P$91&lt;&gt;"")*(G$3:G$91=G69)*(J$3:J$91&gt;J69)*(I$3:I$91="P"))+1,IF(O69&lt;&gt;"",SUMPRODUCT((O$3:O$91&lt;&gt;"")*(P$3:P$91="")*(G$3:G$91=G69)*(J$3:J$91&gt;J69)*(I$3:I$91="P"))+SUMPRODUCT((P$3:P$91&lt;&gt;"")*(G$3:G$91=G69)*(I$3:I$91="P"))+1,IF(N69&lt;&gt;"",SUMPRODUCT((N$3:N$91&lt;&gt;"")*(G$3:G$91=G69)*(J$3:J$91&gt;J69)*(I$3:I$91="P"))+1,IF(M69="P",SUMPRODUCT((O$3:O$91&lt;&gt;"")*(P$3:P$91="")*(G$3:G$91=G69)*(I$3:I$91="P"))+SUMPRODUCT((P$3:P$91&lt;&gt;"")*(G$3:G$91=G69)*(I$3:I$91="P"))+SUMPRODUCT((N$3:N$91&lt;&gt;"")*(G$3:G$91=G69)*(I$3:I$91="P"))+SUMPRODUCT((P$3:P$91="")*(O$3:O$91="")*(N$3:N$91="")*(M$3:M$91="P")*(G$3:G$91=G69)*(J$3:J$91&gt;J69)*(I$3:I$91="P"))+IF(H69="L5",SUMPRODUCT((P$3:P$91="")*(O$3:O$91="")*(N$3:N$91="")*(M$3:M$91="P")*(G$3:G$91=G69)*(J$3:J$91&lt;J69)*(H$3:H$91&lt;&gt;H69)*(I$3:I$91="P")),-1*SUMPRODUCT((P$3:P$91="")*(O$3:O$91="")*(N$3:N$91="")*(M$3:M$91="P")*(G$3:G$91=G69)*(J$3:J$91&gt;J69)*(H$3:H$91="L5")*(I$3:I$91="P")))+1,"")))))</f>
        <v/>
      </c>
      <c r="B69" s="1" t="str" cm="1">
        <f t="array" ref="B69">IF(P69&lt;&gt;"",SUMPRODUCT((P$3:P$91&lt;&gt;"")*(G$3:G$91=G69)*(J$3:J$91&gt;J69))+1,IF(O69&lt;&gt;"",SUMPRODUCT((O$3:O$91&lt;&gt;"")*(P$3:P$91="")*(G$3:G$91=G69)*(J$3:J$91&gt;J69))+SUMPRODUCT((P$3:P$91&lt;&gt;"")*(G$3:G$91=G69))+1,IF(N69&lt;&gt;"",SUMPRODUCT((N$3:N$91&lt;&gt;"")*(G$3:G$91=G69)*(J$3:J$91&gt;J69))+1,IF(M69="P",SUMPRODUCT((O$3:O$91&lt;&gt;"")*(P$3:P$91="")*(G$3:G$91=G69))+SUMPRODUCT((P$3:P$91&lt;&gt;"")*(G$3:G$91=G69))+SUMPRODUCT((N$3:N$91&lt;&gt;"")*(G$3:G$91=G69))+SUMPRODUCT((P$3:P$91="")*(O$3:O$91="")*(N$3:N$91="")*(M$3:M$91="P")*(G$3:G$91=G69)*(J$3:J$91&gt;J69))+IF(H69="L5",SUMPRODUCT((P$3:P$91="")*(O$3:O$91="")*(N$3:N$91="")*(M$3:M$91="P")*(G$3:G$91=G69)*(J$3:J$91&lt;J69)*(H$3:H$91&lt;&gt;H69)),-1*SUMPRODUCT((P$3:P$91="")*(O$3:O$91="")*(N$3:N$91="")*(M$3:M$91="P")*(G$3:G$91=G69)*(J$3:J$91&gt;J69)*(H$3:H$91="L5")))+1,""))))</f>
        <v/>
      </c>
      <c r="C69" s="35" t="s">
        <v>196</v>
      </c>
      <c r="D69" t="str">
        <f>IF(E69="","",VLOOKUP(E69,'Coaching Points'!A:B,2,0))</f>
        <v>ON</v>
      </c>
      <c r="E69" s="35" t="s">
        <v>135</v>
      </c>
      <c r="F69" s="34">
        <v>2010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R69+S69+IF(OR(H69="Junior",H69="Senior"),0.0002,IF(OR(H69="L7",H69="L6"),0.0001,0))+IF(G69="17-21",MAX(AA69,AC69,AF69),AE69)*0.0000001</f>
        <v>129.010008156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81.56</v>
      </c>
      <c r="S69" s="4">
        <f>IF(G69="17-21",LARGE(CHOOSE({1,2,3,4,5,6},T69,V69,Y69,AA69,AC69,AF69),2),IF(R69=X69,MAX(Y69,AA69,AC69,AF69),IF(R69=AE69,MAX(AF69,T69,V69,Y69),0)))</f>
        <v>47.45</v>
      </c>
      <c r="T69" s="32">
        <v>39.200000000000003</v>
      </c>
      <c r="U69" s="37">
        <v>0</v>
      </c>
      <c r="V69" s="33">
        <v>18.809999999999999</v>
      </c>
      <c r="W69" s="37">
        <v>3.2</v>
      </c>
      <c r="X69" s="4">
        <f>IF(H69="Senior",MAX(T69,V69),T69+V69)</f>
        <v>58.010000000000005</v>
      </c>
      <c r="Y69" s="33">
        <v>47.45</v>
      </c>
      <c r="Z69" s="37">
        <v>9.9</v>
      </c>
      <c r="AA69" s="32">
        <v>36.549999999999997</v>
      </c>
      <c r="AB69" s="37">
        <v>0</v>
      </c>
      <c r="AC69" s="33">
        <v>45.01</v>
      </c>
      <c r="AD69" s="37">
        <v>8.3000000000000007</v>
      </c>
      <c r="AE69" s="4">
        <f>IF(H69="Senior",MAX(AA69,AC69),AA69+AC69)</f>
        <v>81.56</v>
      </c>
      <c r="AF69" s="33">
        <v>38.090000000000003</v>
      </c>
      <c r="AG69" s="37">
        <v>6.4</v>
      </c>
    </row>
    <row r="70" spans="1:33" x14ac:dyDescent="0.2">
      <c r="A70" s="1" t="str" cm="1">
        <f t="array" ref="A70">IF(I70="","",IF(P70&lt;&gt;"",SUMPRODUCT((P$3:P$91&lt;&gt;"")*(G$3:G$91=G70)*(J$3:J$91&gt;J70)*(I$3:I$91="P"))+1,IF(O70&lt;&gt;"",SUMPRODUCT((O$3:O$91&lt;&gt;"")*(P$3:P$91="")*(G$3:G$91=G70)*(J$3:J$91&gt;J70)*(I$3:I$91="P"))+SUMPRODUCT((P$3:P$91&lt;&gt;"")*(G$3:G$91=G70)*(I$3:I$91="P"))+1,IF(N70&lt;&gt;"",SUMPRODUCT((N$3:N$91&lt;&gt;"")*(G$3:G$91=G70)*(J$3:J$91&gt;J70)*(I$3:I$91="P"))+1,IF(M70="P",SUMPRODUCT((O$3:O$91&lt;&gt;"")*(P$3:P$91="")*(G$3:G$91=G70)*(I$3:I$91="P"))+SUMPRODUCT((P$3:P$91&lt;&gt;"")*(G$3:G$91=G70)*(I$3:I$91="P"))+SUMPRODUCT((N$3:N$91&lt;&gt;"")*(G$3:G$91=G70)*(I$3:I$91="P"))+SUMPRODUCT((P$3:P$91="")*(O$3:O$91="")*(N$3:N$91="")*(M$3:M$91="P")*(G$3:G$91=G70)*(J$3:J$91&gt;J70)*(I$3:I$91="P"))+IF(H70="L5",SUMPRODUCT((P$3:P$91="")*(O$3:O$91="")*(N$3:N$91="")*(M$3:M$91="P")*(G$3:G$91=G70)*(J$3:J$91&lt;J70)*(H$3:H$91&lt;&gt;H70)*(I$3:I$91="P")),-1*SUMPRODUCT((P$3:P$91="")*(O$3:O$91="")*(N$3:N$91="")*(M$3:M$91="P")*(G$3:G$91=G70)*(J$3:J$91&gt;J70)*(H$3:H$91="L5")*(I$3:I$91="P")))+1,"")))))</f>
        <v/>
      </c>
      <c r="B70" s="1" t="str" cm="1">
        <f t="array" ref="B70">IF(P70&lt;&gt;"",SUMPRODUCT((P$3:P$91&lt;&gt;"")*(G$3:G$91=G70)*(J$3:J$91&gt;J70))+1,IF(O70&lt;&gt;"",SUMPRODUCT((O$3:O$91&lt;&gt;"")*(P$3:P$91="")*(G$3:G$91=G70)*(J$3:J$91&gt;J70))+SUMPRODUCT((P$3:P$91&lt;&gt;"")*(G$3:G$91=G70))+1,IF(N70&lt;&gt;"",SUMPRODUCT((N$3:N$91&lt;&gt;"")*(G$3:G$91=G70)*(J$3:J$91&gt;J70))+1,IF(M70="P",SUMPRODUCT((O$3:O$91&lt;&gt;"")*(P$3:P$91="")*(G$3:G$91=G70))+SUMPRODUCT((P$3:P$91&lt;&gt;"")*(G$3:G$91=G70))+SUMPRODUCT((N$3:N$91&lt;&gt;"")*(G$3:G$91=G70))+SUMPRODUCT((P$3:P$91="")*(O$3:O$91="")*(N$3:N$91="")*(M$3:M$91="P")*(G$3:G$91=G70)*(J$3:J$91&gt;J70))+IF(H70="L5",SUMPRODUCT((P$3:P$91="")*(O$3:O$91="")*(N$3:N$91="")*(M$3:M$91="P")*(G$3:G$91=G70)*(J$3:J$91&lt;J70)*(H$3:H$91&lt;&gt;H70)),-1*SUMPRODUCT((P$3:P$91="")*(O$3:O$91="")*(N$3:N$91="")*(M$3:M$91="P")*(G$3:G$91=G70)*(J$3:J$91&gt;J70)*(H$3:H$91="L5")))+1,""))))</f>
        <v/>
      </c>
      <c r="C70" s="35" t="s">
        <v>396</v>
      </c>
      <c r="D70" t="str">
        <f>IF(E70="","",VLOOKUP(E70,'Coaching Points'!A:B,2,0))</f>
        <v>QC</v>
      </c>
      <c r="E70" s="35" t="s">
        <v>3</v>
      </c>
      <c r="F70" s="34">
        <v>2009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R70+S70+IF(OR(H70="Junior",H70="Senior"),0.0002,IF(OR(H70="L7",H70="L6"),0.0001,0))+IF(G70="17-21",MAX(AA70,AC70,AF70),AE70)*0.0000001</f>
        <v>127.440008311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83.11</v>
      </c>
      <c r="S70" s="4">
        <f>IF(G70="17-21",LARGE(CHOOSE({1,2,3,4,5,6},T70,V70,Y70,AA70,AC70,AF70),2),IF(R70=X70,MAX(Y70,AA70,AC70,AF70),IF(R70=AE70,MAX(AF70,T70,V70,Y70),0)))</f>
        <v>44.33</v>
      </c>
      <c r="T70" s="32"/>
      <c r="U70" s="37"/>
      <c r="V70" s="33"/>
      <c r="W70" s="37"/>
      <c r="X70" s="4"/>
      <c r="Y70" s="33"/>
      <c r="Z70" s="37"/>
      <c r="AA70" s="32">
        <v>38.24</v>
      </c>
      <c r="AB70" s="37">
        <v>0</v>
      </c>
      <c r="AC70" s="33">
        <v>44.87</v>
      </c>
      <c r="AD70" s="37">
        <v>8.6999999999999993</v>
      </c>
      <c r="AE70" s="4">
        <f>IF(H70="Senior",MAX(AA70,AC70),AA70+AC70)</f>
        <v>83.11</v>
      </c>
      <c r="AF70" s="33">
        <v>44.33</v>
      </c>
      <c r="AG70" s="37">
        <v>8.6</v>
      </c>
    </row>
    <row r="71" spans="1:33" x14ac:dyDescent="0.2">
      <c r="A71" s="1" t="str" cm="1">
        <f t="array" ref="A71">IF(I71="","",IF(P71&lt;&gt;"",SUMPRODUCT((P$3:P$91&lt;&gt;"")*(G$3:G$91=G71)*(J$3:J$91&gt;J71)*(I$3:I$91="P"))+1,IF(O71&lt;&gt;"",SUMPRODUCT((O$3:O$91&lt;&gt;"")*(P$3:P$91="")*(G$3:G$91=G71)*(J$3:J$91&gt;J71)*(I$3:I$91="P"))+SUMPRODUCT((P$3:P$91&lt;&gt;"")*(G$3:G$91=G71)*(I$3:I$91="P"))+1,IF(N71&lt;&gt;"",SUMPRODUCT((N$3:N$91&lt;&gt;"")*(G$3:G$91=G71)*(J$3:J$91&gt;J71)*(I$3:I$91="P"))+1,IF(M71="P",SUMPRODUCT((O$3:O$91&lt;&gt;"")*(P$3:P$91="")*(G$3:G$91=G71)*(I$3:I$91="P"))+SUMPRODUCT((P$3:P$91&lt;&gt;"")*(G$3:G$91=G71)*(I$3:I$91="P"))+SUMPRODUCT((N$3:N$91&lt;&gt;"")*(G$3:G$91=G71)*(I$3:I$91="P"))+SUMPRODUCT((P$3:P$91="")*(O$3:O$91="")*(N$3:N$91="")*(M$3:M$91="P")*(G$3:G$91=G71)*(J$3:J$91&gt;J71)*(I$3:I$91="P"))+IF(H71="L5",SUMPRODUCT((P$3:P$91="")*(O$3:O$91="")*(N$3:N$91="")*(M$3:M$91="P")*(G$3:G$91=G71)*(J$3:J$91&lt;J71)*(H$3:H$91&lt;&gt;H71)*(I$3:I$91="P")),-1*SUMPRODUCT((P$3:P$91="")*(O$3:O$91="")*(N$3:N$91="")*(M$3:M$91="P")*(G$3:G$91=G71)*(J$3:J$91&gt;J71)*(H$3:H$91="L5")*(I$3:I$91="P")))+1,"")))))</f>
        <v/>
      </c>
      <c r="B71" s="1" t="str" cm="1">
        <f t="array" ref="B71">IF(P71&lt;&gt;"",SUMPRODUCT((P$3:P$91&lt;&gt;"")*(G$3:G$91=G71)*(J$3:J$91&gt;J71))+1,IF(O71&lt;&gt;"",SUMPRODUCT((O$3:O$91&lt;&gt;"")*(P$3:P$91="")*(G$3:G$91=G71)*(J$3:J$91&gt;J71))+SUMPRODUCT((P$3:P$91&lt;&gt;"")*(G$3:G$91=G71))+1,IF(N71&lt;&gt;"",SUMPRODUCT((N$3:N$91&lt;&gt;"")*(G$3:G$91=G71)*(J$3:J$91&gt;J71))+1,IF(M71="P",SUMPRODUCT((O$3:O$91&lt;&gt;"")*(P$3:P$91="")*(G$3:G$91=G71))+SUMPRODUCT((P$3:P$91&lt;&gt;"")*(G$3:G$91=G71))+SUMPRODUCT((N$3:N$91&lt;&gt;"")*(G$3:G$91=G71))+SUMPRODUCT((P$3:P$91="")*(O$3:O$91="")*(N$3:N$91="")*(M$3:M$91="P")*(G$3:G$91=G71)*(J$3:J$91&gt;J71))+IF(H71="L5",SUMPRODUCT((P$3:P$91="")*(O$3:O$91="")*(N$3:N$91="")*(M$3:M$91="P")*(G$3:G$91=G71)*(J$3:J$91&lt;J71)*(H$3:H$91&lt;&gt;H71)),-1*SUMPRODUCT((P$3:P$91="")*(O$3:O$91="")*(N$3:N$91="")*(M$3:M$91="P")*(G$3:G$91=G71)*(J$3:J$91&gt;J71)*(H$3:H$91="L5")))+1,""))))</f>
        <v/>
      </c>
      <c r="C71" s="35" t="s">
        <v>352</v>
      </c>
      <c r="D71" t="str">
        <f>IF(E71="","",VLOOKUP(E71,'Coaching Points'!A:B,2,0))</f>
        <v>BC</v>
      </c>
      <c r="E71" s="35" t="s">
        <v>44</v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R71+S71+IF(OR(H71="Junior",H71="Senior"),0.0002,IF(OR(H71="L7",H71="L6"),0.0001,0))+IF(G71="17-21",MAX(AA71,AC71,AF71),AE71)*0.0000001</f>
        <v>127.02000830999999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83.1</v>
      </c>
      <c r="S71" s="4">
        <f>IF(G71="17-21",LARGE(CHOOSE({1,2,3,4,5,6},T71,V71,Y71,AA71,AC71,AF71),2),IF(R71=X71,MAX(Y71,AA71,AC71,AF71),IF(R71=AE71,MAX(AF71,T71,V71,Y71),0)))</f>
        <v>43.92</v>
      </c>
      <c r="T71" s="32"/>
      <c r="U71" s="37"/>
      <c r="V71" s="33"/>
      <c r="W71" s="37"/>
      <c r="X71" s="4"/>
      <c r="Y71" s="33"/>
      <c r="Z71" s="37"/>
      <c r="AA71" s="32">
        <v>37.049999999999997</v>
      </c>
      <c r="AB71" s="37">
        <v>0</v>
      </c>
      <c r="AC71" s="33">
        <v>46.05</v>
      </c>
      <c r="AD71" s="37">
        <v>9.5</v>
      </c>
      <c r="AE71" s="4">
        <f>IF(H71="Senior",MAX(AA71,AC71),AA71+AC71)</f>
        <v>83.1</v>
      </c>
      <c r="AF71" s="33">
        <v>43.92</v>
      </c>
      <c r="AG71" s="37">
        <v>8.9</v>
      </c>
    </row>
    <row r="72" spans="1:33" x14ac:dyDescent="0.2">
      <c r="A72" s="1" t="str" cm="1">
        <f t="array" ref="A72">IF(I72="","",IF(P72&lt;&gt;"",SUMPRODUCT((P$3:P$91&lt;&gt;"")*(G$3:G$91=G72)*(J$3:J$91&gt;J72)*(I$3:I$91="P"))+1,IF(O72&lt;&gt;"",SUMPRODUCT((O$3:O$91&lt;&gt;"")*(P$3:P$91="")*(G$3:G$91=G72)*(J$3:J$91&gt;J72)*(I$3:I$91="P"))+SUMPRODUCT((P$3:P$91&lt;&gt;"")*(G$3:G$91=G72)*(I$3:I$91="P"))+1,IF(N72&lt;&gt;"",SUMPRODUCT((N$3:N$91&lt;&gt;"")*(G$3:G$91=G72)*(J$3:J$91&gt;J72)*(I$3:I$91="P"))+1,IF(M72="P",SUMPRODUCT((O$3:O$91&lt;&gt;"")*(P$3:P$91="")*(G$3:G$91=G72)*(I$3:I$91="P"))+SUMPRODUCT((P$3:P$91&lt;&gt;"")*(G$3:G$91=G72)*(I$3:I$91="P"))+SUMPRODUCT((N$3:N$91&lt;&gt;"")*(G$3:G$91=G72)*(I$3:I$91="P"))+SUMPRODUCT((P$3:P$91="")*(O$3:O$91="")*(N$3:N$91="")*(M$3:M$91="P")*(G$3:G$91=G72)*(J$3:J$91&gt;J72)*(I$3:I$91="P"))+IF(H72="L5",SUMPRODUCT((P$3:P$91="")*(O$3:O$91="")*(N$3:N$91="")*(M$3:M$91="P")*(G$3:G$91=G72)*(J$3:J$91&lt;J72)*(H$3:H$91&lt;&gt;H72)*(I$3:I$91="P")),-1*SUMPRODUCT((P$3:P$91="")*(O$3:O$91="")*(N$3:N$91="")*(M$3:M$91="P")*(G$3:G$91=G72)*(J$3:J$91&gt;J72)*(H$3:H$91="L5")*(I$3:I$91="P")))+1,"")))))</f>
        <v/>
      </c>
      <c r="B72" s="1" t="str" cm="1">
        <f t="array" ref="B72">IF(P72&lt;&gt;"",SUMPRODUCT((P$3:P$91&lt;&gt;"")*(G$3:G$91=G72)*(J$3:J$91&gt;J72))+1,IF(O72&lt;&gt;"",SUMPRODUCT((O$3:O$91&lt;&gt;"")*(P$3:P$91="")*(G$3:G$91=G72)*(J$3:J$91&gt;J72))+SUMPRODUCT((P$3:P$91&lt;&gt;"")*(G$3:G$91=G72))+1,IF(N72&lt;&gt;"",SUMPRODUCT((N$3:N$91&lt;&gt;"")*(G$3:G$91=G72)*(J$3:J$91&gt;J72))+1,IF(M72="P",SUMPRODUCT((O$3:O$91&lt;&gt;"")*(P$3:P$91="")*(G$3:G$91=G72))+SUMPRODUCT((P$3:P$91&lt;&gt;"")*(G$3:G$91=G72))+SUMPRODUCT((N$3:N$91&lt;&gt;"")*(G$3:G$91=G72))+SUMPRODUCT((P$3:P$91="")*(O$3:O$91="")*(N$3:N$91="")*(M$3:M$91="P")*(G$3:G$91=G72)*(J$3:J$91&gt;J72))+IF(H72="L5",SUMPRODUCT((P$3:P$91="")*(O$3:O$91="")*(N$3:N$91="")*(M$3:M$91="P")*(G$3:G$91=G72)*(J$3:J$91&lt;J72)*(H$3:H$91&lt;&gt;H72)),-1*SUMPRODUCT((P$3:P$91="")*(O$3:O$91="")*(N$3:N$91="")*(M$3:M$91="P")*(G$3:G$91=G72)*(J$3:J$91&gt;J72)*(H$3:H$91="L5")))+1,""))))</f>
        <v/>
      </c>
      <c r="C72" s="35" t="s">
        <v>170</v>
      </c>
      <c r="D72" t="str">
        <f>IF(E72="","",VLOOKUP(E72,'Coaching Points'!A:B,2,0))</f>
        <v>BC</v>
      </c>
      <c r="E72" s="35" t="s">
        <v>44</v>
      </c>
      <c r="F72" s="34">
        <v>2010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R72+S72+IF(OR(H72="Junior",H72="Senior"),0.0002,IF(OR(H72="L7",H72="L6"),0.0001,0))+IF(G72="17-21",MAX(AA72,AC72,AF72),AE72)*0.0000001</f>
        <v>126.72000815500002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81.550000000000011</v>
      </c>
      <c r="S72" s="4">
        <f>IF(G72="17-21",LARGE(CHOOSE({1,2,3,4,5,6},T72,V72,Y72,AA72,AC72,AF72),2),IF(R72=X72,MAX(Y72,AA72,AC72,AF72),IF(R72=AE72,MAX(AF72,T72,V72,Y72),0)))</f>
        <v>45.17</v>
      </c>
      <c r="T72" s="32">
        <v>37.44</v>
      </c>
      <c r="U72" s="37">
        <v>0</v>
      </c>
      <c r="V72" s="33">
        <v>18.21</v>
      </c>
      <c r="W72" s="37">
        <v>3.8</v>
      </c>
      <c r="X72" s="4">
        <f>IF(H72="Senior",MAX(T72,V72),T72+V72)</f>
        <v>55.65</v>
      </c>
      <c r="Y72" s="33">
        <v>25.92</v>
      </c>
      <c r="Z72" s="37">
        <v>6</v>
      </c>
      <c r="AA72" s="32">
        <v>37.380000000000003</v>
      </c>
      <c r="AB72" s="37">
        <v>0</v>
      </c>
      <c r="AC72" s="33">
        <v>44.17</v>
      </c>
      <c r="AD72" s="37">
        <v>9.3000000000000007</v>
      </c>
      <c r="AE72" s="4">
        <f>IF(H72="Senior",MAX(AA72,AC72),AA72+AC72)</f>
        <v>81.550000000000011</v>
      </c>
      <c r="AF72" s="33">
        <v>45.17</v>
      </c>
      <c r="AG72" s="37">
        <v>9.3000000000000007</v>
      </c>
    </row>
    <row r="73" spans="1:33" x14ac:dyDescent="0.2">
      <c r="A73" s="1" t="str" cm="1">
        <f t="array" ref="A73">IF(I73="","",IF(P73&lt;&gt;"",SUMPRODUCT((P$3:P$91&lt;&gt;"")*(G$3:G$91=G73)*(J$3:J$91&gt;J73)*(I$3:I$91="P"))+1,IF(O73&lt;&gt;"",SUMPRODUCT((O$3:O$91&lt;&gt;"")*(P$3:P$91="")*(G$3:G$91=G73)*(J$3:J$91&gt;J73)*(I$3:I$91="P"))+SUMPRODUCT((P$3:P$91&lt;&gt;"")*(G$3:G$91=G73)*(I$3:I$91="P"))+1,IF(N73&lt;&gt;"",SUMPRODUCT((N$3:N$91&lt;&gt;"")*(G$3:G$91=G73)*(J$3:J$91&gt;J73)*(I$3:I$91="P"))+1,IF(M73="P",SUMPRODUCT((O$3:O$91&lt;&gt;"")*(P$3:P$91="")*(G$3:G$91=G73)*(I$3:I$91="P"))+SUMPRODUCT((P$3:P$91&lt;&gt;"")*(G$3:G$91=G73)*(I$3:I$91="P"))+SUMPRODUCT((N$3:N$91&lt;&gt;"")*(G$3:G$91=G73)*(I$3:I$91="P"))+SUMPRODUCT((P$3:P$91="")*(O$3:O$91="")*(N$3:N$91="")*(M$3:M$91="P")*(G$3:G$91=G73)*(J$3:J$91&gt;J73)*(I$3:I$91="P"))+IF(H73="L5",SUMPRODUCT((P$3:P$91="")*(O$3:O$91="")*(N$3:N$91="")*(M$3:M$91="P")*(G$3:G$91=G73)*(J$3:J$91&lt;J73)*(H$3:H$91&lt;&gt;H73)*(I$3:I$91="P")),-1*SUMPRODUCT((P$3:P$91="")*(O$3:O$91="")*(N$3:N$91="")*(M$3:M$91="P")*(G$3:G$91=G73)*(J$3:J$91&gt;J73)*(H$3:H$91="L5")*(I$3:I$91="P")))+1,"")))))</f>
        <v/>
      </c>
      <c r="B73" s="1" t="str" cm="1">
        <f t="array" ref="B73">IF(P73&lt;&gt;"",SUMPRODUCT((P$3:P$91&lt;&gt;"")*(G$3:G$91=G73)*(J$3:J$91&gt;J73))+1,IF(O73&lt;&gt;"",SUMPRODUCT((O$3:O$91&lt;&gt;"")*(P$3:P$91="")*(G$3:G$91=G73)*(J$3:J$91&gt;J73))+SUMPRODUCT((P$3:P$91&lt;&gt;"")*(G$3:G$91=G73))+1,IF(N73&lt;&gt;"",SUMPRODUCT((N$3:N$91&lt;&gt;"")*(G$3:G$91=G73)*(J$3:J$91&gt;J73))+1,IF(M73="P",SUMPRODUCT((O$3:O$91&lt;&gt;"")*(P$3:P$91="")*(G$3:G$91=G73))+SUMPRODUCT((P$3:P$91&lt;&gt;"")*(G$3:G$91=G73))+SUMPRODUCT((N$3:N$91&lt;&gt;"")*(G$3:G$91=G73))+SUMPRODUCT((P$3:P$91="")*(O$3:O$91="")*(N$3:N$91="")*(M$3:M$91="P")*(G$3:G$91=G73)*(J$3:J$91&gt;J73))+IF(H73="L5",SUMPRODUCT((P$3:P$91="")*(O$3:O$91="")*(N$3:N$91="")*(M$3:M$91="P")*(G$3:G$91=G73)*(J$3:J$91&lt;J73)*(H$3:H$91&lt;&gt;H73)),-1*SUMPRODUCT((P$3:P$91="")*(O$3:O$91="")*(N$3:N$91="")*(M$3:M$91="P")*(G$3:G$91=G73)*(J$3:J$91&gt;J73)*(H$3:H$91="L5")))+1,""))))</f>
        <v/>
      </c>
      <c r="C73" s="35" t="s">
        <v>117</v>
      </c>
      <c r="D73" t="str">
        <f>IF(E73="","",VLOOKUP(E73,'Coaching Points'!A:B,2,0))</f>
        <v>BC</v>
      </c>
      <c r="E73" s="35" t="s">
        <v>40</v>
      </c>
      <c r="F73" s="34">
        <v>2009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R73+S73+IF(OR(H73="Junior",H73="Senior"),0.0002,IF(OR(H73="L7",H73="L6"),0.0001,0))+IF(G73="17-21",MAX(AA73,AC73,AF73),AE73)*0.0000001</f>
        <v>122.910005904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83.46</v>
      </c>
      <c r="S73" s="4">
        <f>IF(G73="17-21",LARGE(CHOOSE({1,2,3,4,5,6},T73,V73,Y73,AA73,AC73,AF73),2),IF(R73=X73,MAX(Y73,AA73,AC73,AF73),IF(R73=AE73,MAX(AF73,T73,V73,Y73),0)))</f>
        <v>39.450000000000003</v>
      </c>
      <c r="T73" s="32">
        <v>38.799999999999997</v>
      </c>
      <c r="U73" s="37">
        <v>0</v>
      </c>
      <c r="V73" s="33">
        <v>44.66</v>
      </c>
      <c r="W73" s="37">
        <v>10.5</v>
      </c>
      <c r="X73" s="4">
        <f>IF(H73="Senior",MAX(T73,V73),T73+V73)</f>
        <v>83.46</v>
      </c>
      <c r="Y73" s="33">
        <v>28.53</v>
      </c>
      <c r="Z73" s="37">
        <v>6.7</v>
      </c>
      <c r="AA73" s="32">
        <v>39.450000000000003</v>
      </c>
      <c r="AB73" s="37">
        <v>0</v>
      </c>
      <c r="AC73" s="33">
        <v>19.59</v>
      </c>
      <c r="AD73" s="37">
        <v>5.6</v>
      </c>
      <c r="AE73" s="4">
        <f>IF(H73="Senior",MAX(AA73,AC73),AA73+AC73)</f>
        <v>59.040000000000006</v>
      </c>
      <c r="AF73" s="33">
        <v>18.690000000000001</v>
      </c>
      <c r="AG73" s="37">
        <v>4.3</v>
      </c>
    </row>
    <row r="74" spans="1:33" x14ac:dyDescent="0.2">
      <c r="A74" s="1" t="str" cm="1">
        <f t="array" ref="A74">IF(I74="","",IF(P74&lt;&gt;"",SUMPRODUCT((P$3:P$91&lt;&gt;"")*(G$3:G$91=G74)*(J$3:J$91&gt;J74)*(I$3:I$91="P"))+1,IF(O74&lt;&gt;"",SUMPRODUCT((O$3:O$91&lt;&gt;"")*(P$3:P$91="")*(G$3:G$91=G74)*(J$3:J$91&gt;J74)*(I$3:I$91="P"))+SUMPRODUCT((P$3:P$91&lt;&gt;"")*(G$3:G$91=G74)*(I$3:I$91="P"))+1,IF(N74&lt;&gt;"",SUMPRODUCT((N$3:N$91&lt;&gt;"")*(G$3:G$91=G74)*(J$3:J$91&gt;J74)*(I$3:I$91="P"))+1,IF(M74="P",SUMPRODUCT((O$3:O$91&lt;&gt;"")*(P$3:P$91="")*(G$3:G$91=G74)*(I$3:I$91="P"))+SUMPRODUCT((P$3:P$91&lt;&gt;"")*(G$3:G$91=G74)*(I$3:I$91="P"))+SUMPRODUCT((N$3:N$91&lt;&gt;"")*(G$3:G$91=G74)*(I$3:I$91="P"))+SUMPRODUCT((P$3:P$91="")*(O$3:O$91="")*(N$3:N$91="")*(M$3:M$91="P")*(G$3:G$91=G74)*(J$3:J$91&gt;J74)*(I$3:I$91="P"))+IF(H74="L5",SUMPRODUCT((P$3:P$91="")*(O$3:O$91="")*(N$3:N$91="")*(M$3:M$91="P")*(G$3:G$91=G74)*(J$3:J$91&lt;J74)*(H$3:H$91&lt;&gt;H74)*(I$3:I$91="P")),-1*SUMPRODUCT((P$3:P$91="")*(O$3:O$91="")*(N$3:N$91="")*(M$3:M$91="P")*(G$3:G$91=G74)*(J$3:J$91&gt;J74)*(H$3:H$91="L5")*(I$3:I$91="P")))+1,"")))))</f>
        <v/>
      </c>
      <c r="B74" s="1" t="str" cm="1">
        <f t="array" ref="B74">IF(P74&lt;&gt;"",SUMPRODUCT((P$3:P$91&lt;&gt;"")*(G$3:G$91=G74)*(J$3:J$91&gt;J74))+1,IF(O74&lt;&gt;"",SUMPRODUCT((O$3:O$91&lt;&gt;"")*(P$3:P$91="")*(G$3:G$91=G74)*(J$3:J$91&gt;J74))+SUMPRODUCT((P$3:P$91&lt;&gt;"")*(G$3:G$91=G74))+1,IF(N74&lt;&gt;"",SUMPRODUCT((N$3:N$91&lt;&gt;"")*(G$3:G$91=G74)*(J$3:J$91&gt;J74))+1,IF(M74="P",SUMPRODUCT((O$3:O$91&lt;&gt;"")*(P$3:P$91="")*(G$3:G$91=G74))+SUMPRODUCT((P$3:P$91&lt;&gt;"")*(G$3:G$91=G74))+SUMPRODUCT((N$3:N$91&lt;&gt;"")*(G$3:G$91=G74))+SUMPRODUCT((P$3:P$91="")*(O$3:O$91="")*(N$3:N$91="")*(M$3:M$91="P")*(G$3:G$91=G74)*(J$3:J$91&gt;J74))+IF(H74="L5",SUMPRODUCT((P$3:P$91="")*(O$3:O$91="")*(N$3:N$91="")*(M$3:M$91="P")*(G$3:G$91=G74)*(J$3:J$91&lt;J74)*(H$3:H$91&lt;&gt;H74)),-1*SUMPRODUCT((P$3:P$91="")*(O$3:O$91="")*(N$3:N$91="")*(M$3:M$91="P")*(G$3:G$91=G74)*(J$3:J$91&gt;J74)*(H$3:H$91="L5")))+1,""))))</f>
        <v/>
      </c>
      <c r="C74" s="35" t="s">
        <v>198</v>
      </c>
      <c r="D74" t="str">
        <f>IF(E74="","",VLOOKUP(E74,'Coaching Points'!A:B,2,0))</f>
        <v>QC</v>
      </c>
      <c r="E74" s="35" t="s">
        <v>3</v>
      </c>
      <c r="F74" s="34">
        <v>2010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R74+S74+IF(OR(H74="Junior",H74="Senior"),0.0002,IF(OR(H74="L7",H74="L6"),0.0001,0))+IF(G74="17-21",MAX(AA74,AC74,AF74),AE74)*0.0000001</f>
        <v>122.33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79.22</v>
      </c>
      <c r="S74" s="4">
        <f>IF(G74="17-21",LARGE(CHOOSE({1,2,3,4,5,6},T74,V74,Y74,AA74,AC74,AF74),2),IF(R74=X74,MAX(Y74,AA74,AC74,AF74),IF(R74=AE74,MAX(AF74,T74,V74,Y74),0)))</f>
        <v>43.11</v>
      </c>
      <c r="T74" s="32">
        <v>37.74</v>
      </c>
      <c r="U74" s="37">
        <v>0</v>
      </c>
      <c r="V74" s="33">
        <v>41.48</v>
      </c>
      <c r="W74" s="37">
        <v>7.7</v>
      </c>
      <c r="X74" s="4">
        <f>IF(H74="Senior",MAX(T74,V74),T74+V74)</f>
        <v>79.22</v>
      </c>
      <c r="Y74" s="33">
        <v>43.11</v>
      </c>
      <c r="Z74" s="37">
        <v>7.7</v>
      </c>
      <c r="AA74" s="32"/>
      <c r="AB74" s="37"/>
      <c r="AC74" s="33"/>
      <c r="AD74" s="37"/>
      <c r="AE74" s="4">
        <f>IF(H74="Senior",MAX(AA74,AC74),AA74+AC74)</f>
        <v>0</v>
      </c>
      <c r="AF74" s="33"/>
      <c r="AG74" s="37"/>
    </row>
    <row r="75" spans="1:33" x14ac:dyDescent="0.2">
      <c r="A75" s="1" t="str" cm="1">
        <f t="array" ref="A75">IF(I75="","",IF(P75&lt;&gt;"",SUMPRODUCT((P$3:P$91&lt;&gt;"")*(G$3:G$91=G75)*(J$3:J$91&gt;J75)*(I$3:I$91="P"))+1,IF(O75&lt;&gt;"",SUMPRODUCT((O$3:O$91&lt;&gt;"")*(P$3:P$91="")*(G$3:G$91=G75)*(J$3:J$91&gt;J75)*(I$3:I$91="P"))+SUMPRODUCT((P$3:P$91&lt;&gt;"")*(G$3:G$91=G75)*(I$3:I$91="P"))+1,IF(N75&lt;&gt;"",SUMPRODUCT((N$3:N$91&lt;&gt;"")*(G$3:G$91=G75)*(J$3:J$91&gt;J75)*(I$3:I$91="P"))+1,IF(M75="P",SUMPRODUCT((O$3:O$91&lt;&gt;"")*(P$3:P$91="")*(G$3:G$91=G75)*(I$3:I$91="P"))+SUMPRODUCT((P$3:P$91&lt;&gt;"")*(G$3:G$91=G75)*(I$3:I$91="P"))+SUMPRODUCT((N$3:N$91&lt;&gt;"")*(G$3:G$91=G75)*(I$3:I$91="P"))+SUMPRODUCT((P$3:P$91="")*(O$3:O$91="")*(N$3:N$91="")*(M$3:M$91="P")*(G$3:G$91=G75)*(J$3:J$91&gt;J75)*(I$3:I$91="P"))+IF(H75="L5",SUMPRODUCT((P$3:P$91="")*(O$3:O$91="")*(N$3:N$91="")*(M$3:M$91="P")*(G$3:G$91=G75)*(J$3:J$91&lt;J75)*(H$3:H$91&lt;&gt;H75)*(I$3:I$91="P")),-1*SUMPRODUCT((P$3:P$91="")*(O$3:O$91="")*(N$3:N$91="")*(M$3:M$91="P")*(G$3:G$91=G75)*(J$3:J$91&gt;J75)*(H$3:H$91="L5")*(I$3:I$91="P")))+1,"")))))</f>
        <v/>
      </c>
      <c r="B75" s="1" t="str" cm="1">
        <f t="array" ref="B75">IF(P75&lt;&gt;"",SUMPRODUCT((P$3:P$91&lt;&gt;"")*(G$3:G$91=G75)*(J$3:J$91&gt;J75))+1,IF(O75&lt;&gt;"",SUMPRODUCT((O$3:O$91&lt;&gt;"")*(P$3:P$91="")*(G$3:G$91=G75)*(J$3:J$91&gt;J75))+SUMPRODUCT((P$3:P$91&lt;&gt;"")*(G$3:G$91=G75))+1,IF(N75&lt;&gt;"",SUMPRODUCT((N$3:N$91&lt;&gt;"")*(G$3:G$91=G75)*(J$3:J$91&gt;J75))+1,IF(M75="P",SUMPRODUCT((O$3:O$91&lt;&gt;"")*(P$3:P$91="")*(G$3:G$91=G75))+SUMPRODUCT((P$3:P$91&lt;&gt;"")*(G$3:G$91=G75))+SUMPRODUCT((N$3:N$91&lt;&gt;"")*(G$3:G$91=G75))+SUMPRODUCT((P$3:P$91="")*(O$3:O$91="")*(N$3:N$91="")*(M$3:M$91="P")*(G$3:G$91=G75)*(J$3:J$91&gt;J75))+IF(H75="L5",SUMPRODUCT((P$3:P$91="")*(O$3:O$91="")*(N$3:N$91="")*(M$3:M$91="P")*(G$3:G$91=G75)*(J$3:J$91&lt;J75)*(H$3:H$91&lt;&gt;H75)),-1*SUMPRODUCT((P$3:P$91="")*(O$3:O$91="")*(N$3:N$91="")*(M$3:M$91="P")*(G$3:G$91=G75)*(J$3:J$91&gt;J75)*(H$3:H$91="L5")))+1,""))))</f>
        <v/>
      </c>
      <c r="C75" s="35" t="s">
        <v>397</v>
      </c>
      <c r="D75" t="str">
        <f>IF(E75="","",VLOOKUP(E75,'Coaching Points'!A:B,2,0))</f>
        <v>ON</v>
      </c>
      <c r="E75" s="35" t="s">
        <v>133</v>
      </c>
      <c r="F75" s="34">
        <v>2010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R75+S75+IF(OR(H75="Junior",H75="Senior"),0.0002,IF(OR(H75="L7",H75="L6"),0.0001,0))+IF(G75="17-21",MAX(AA75,AC75,AF75),AE75)*0.0000001</f>
        <v>121.30000801500002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80.150000000000006</v>
      </c>
      <c r="S75" s="4">
        <f>IF(G75="17-21",LARGE(CHOOSE({1,2,3,4,5,6},T75,V75,Y75,AA75,AC75,AF75),2),IF(R75=X75,MAX(Y75,AA75,AC75,AF75),IF(R75=AE75,MAX(AF75,T75,V75,Y75),0)))</f>
        <v>41.15</v>
      </c>
      <c r="T75" s="32"/>
      <c r="U75" s="37"/>
      <c r="V75" s="33"/>
      <c r="W75" s="37"/>
      <c r="X75" s="4"/>
      <c r="Y75" s="33"/>
      <c r="Z75" s="37"/>
      <c r="AA75" s="32">
        <v>35.869999999999997</v>
      </c>
      <c r="AB75" s="37">
        <v>0</v>
      </c>
      <c r="AC75" s="33">
        <v>44.28</v>
      </c>
      <c r="AD75" s="37">
        <v>10</v>
      </c>
      <c r="AE75" s="4">
        <f>IF(H75="Senior",MAX(AA75,AC75),AA75+AC75)</f>
        <v>80.150000000000006</v>
      </c>
      <c r="AF75" s="33">
        <v>41.15</v>
      </c>
      <c r="AG75" s="37">
        <v>8.1</v>
      </c>
    </row>
    <row r="76" spans="1:33" x14ac:dyDescent="0.2">
      <c r="A76" s="1" t="str" cm="1">
        <f t="array" ref="A76">IF(I76="","",IF(P76&lt;&gt;"",SUMPRODUCT((P$3:P$91&lt;&gt;"")*(G$3:G$91=G76)*(J$3:J$91&gt;J76)*(I$3:I$91="P"))+1,IF(O76&lt;&gt;"",SUMPRODUCT((O$3:O$91&lt;&gt;"")*(P$3:P$91="")*(G$3:G$91=G76)*(J$3:J$91&gt;J76)*(I$3:I$91="P"))+SUMPRODUCT((P$3:P$91&lt;&gt;"")*(G$3:G$91=G76)*(I$3:I$91="P"))+1,IF(N76&lt;&gt;"",SUMPRODUCT((N$3:N$91&lt;&gt;"")*(G$3:G$91=G76)*(J$3:J$91&gt;J76)*(I$3:I$91="P"))+1,IF(M76="P",SUMPRODUCT((O$3:O$91&lt;&gt;"")*(P$3:P$91="")*(G$3:G$91=G76)*(I$3:I$91="P"))+SUMPRODUCT((P$3:P$91&lt;&gt;"")*(G$3:G$91=G76)*(I$3:I$91="P"))+SUMPRODUCT((N$3:N$91&lt;&gt;"")*(G$3:G$91=G76)*(I$3:I$91="P"))+SUMPRODUCT((P$3:P$91="")*(O$3:O$91="")*(N$3:N$91="")*(M$3:M$91="P")*(G$3:G$91=G76)*(J$3:J$91&gt;J76)*(I$3:I$91="P"))+IF(H76="L5",SUMPRODUCT((P$3:P$91="")*(O$3:O$91="")*(N$3:N$91="")*(M$3:M$91="P")*(G$3:G$91=G76)*(J$3:J$91&lt;J76)*(H$3:H$91&lt;&gt;H76)*(I$3:I$91="P")),-1*SUMPRODUCT((P$3:P$91="")*(O$3:O$91="")*(N$3:N$91="")*(M$3:M$91="P")*(G$3:G$91=G76)*(J$3:J$91&gt;J76)*(H$3:H$91="L5")*(I$3:I$91="P")))+1,"")))))</f>
        <v/>
      </c>
      <c r="B76" s="1" t="str" cm="1">
        <f t="array" ref="B76">IF(P76&lt;&gt;"",SUMPRODUCT((P$3:P$91&lt;&gt;"")*(G$3:G$91=G76)*(J$3:J$91&gt;J76))+1,IF(O76&lt;&gt;"",SUMPRODUCT((O$3:O$91&lt;&gt;"")*(P$3:P$91="")*(G$3:G$91=G76)*(J$3:J$91&gt;J76))+SUMPRODUCT((P$3:P$91&lt;&gt;"")*(G$3:G$91=G76))+1,IF(N76&lt;&gt;"",SUMPRODUCT((N$3:N$91&lt;&gt;"")*(G$3:G$91=G76)*(J$3:J$91&gt;J76))+1,IF(M76="P",SUMPRODUCT((O$3:O$91&lt;&gt;"")*(P$3:P$91="")*(G$3:G$91=G76))+SUMPRODUCT((P$3:P$91&lt;&gt;"")*(G$3:G$91=G76))+SUMPRODUCT((N$3:N$91&lt;&gt;"")*(G$3:G$91=G76))+SUMPRODUCT((P$3:P$91="")*(O$3:O$91="")*(N$3:N$91="")*(M$3:M$91="P")*(G$3:G$91=G76)*(J$3:J$91&gt;J76))+IF(H76="L5",SUMPRODUCT((P$3:P$91="")*(O$3:O$91="")*(N$3:N$91="")*(M$3:M$91="P")*(G$3:G$91=G76)*(J$3:J$91&lt;J76)*(H$3:H$91&lt;&gt;H76)),-1*SUMPRODUCT((P$3:P$91="")*(O$3:O$91="")*(N$3:N$91="")*(M$3:M$91="P")*(G$3:G$91=G76)*(J$3:J$91&gt;J76)*(H$3:H$91="L5")))+1,""))))</f>
        <v/>
      </c>
      <c r="C76" s="35" t="s">
        <v>398</v>
      </c>
      <c r="D76" t="str">
        <f>IF(E76="","",VLOOKUP(E76,'Coaching Points'!A:B,2,0))</f>
        <v>QC</v>
      </c>
      <c r="E76" s="35" t="s">
        <v>3</v>
      </c>
      <c r="F76" s="34">
        <v>2010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R76+S76+IF(OR(H76="Junior",H76="Senior"),0.0002,IF(OR(H76="L7",H76="L6"),0.0001,0))+IF(G76="17-21",MAX(AA76,AC76,AF76),AE76)*0.0000001</f>
        <v>118.9300082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82</v>
      </c>
      <c r="S76" s="4">
        <f>IF(G76="17-21",LARGE(CHOOSE({1,2,3,4,5,6},T76,V76,Y76,AA76,AC76,AF76),2),IF(R76=X76,MAX(Y76,AA76,AC76,AF76),IF(R76=AE76,MAX(AF76,T76,V76,Y76),0)))</f>
        <v>36.93</v>
      </c>
      <c r="T76" s="32"/>
      <c r="U76" s="37"/>
      <c r="V76" s="33"/>
      <c r="W76" s="37"/>
      <c r="X76" s="4"/>
      <c r="Y76" s="33"/>
      <c r="Z76" s="37"/>
      <c r="AA76" s="32">
        <v>36.64</v>
      </c>
      <c r="AB76" s="37">
        <v>0</v>
      </c>
      <c r="AC76" s="33">
        <v>45.36</v>
      </c>
      <c r="AD76" s="37">
        <v>7.9</v>
      </c>
      <c r="AE76" s="4">
        <f>IF(H76="Senior",MAX(AA76,AC76),AA76+AC76)</f>
        <v>82</v>
      </c>
      <c r="AF76" s="33">
        <v>36.93</v>
      </c>
      <c r="AG76" s="37">
        <v>6.6</v>
      </c>
    </row>
    <row r="77" spans="1:33" x14ac:dyDescent="0.2">
      <c r="A77" s="1" t="str" cm="1">
        <f t="array" ref="A77">IF(I77="","",IF(P77&lt;&gt;"",SUMPRODUCT((P$3:P$91&lt;&gt;"")*(G$3:G$91=G77)*(J$3:J$91&gt;J77)*(I$3:I$91="P"))+1,IF(O77&lt;&gt;"",SUMPRODUCT((O$3:O$91&lt;&gt;"")*(P$3:P$91="")*(G$3:G$91=G77)*(J$3:J$91&gt;J77)*(I$3:I$91="P"))+SUMPRODUCT((P$3:P$91&lt;&gt;"")*(G$3:G$91=G77)*(I$3:I$91="P"))+1,IF(N77&lt;&gt;"",SUMPRODUCT((N$3:N$91&lt;&gt;"")*(G$3:G$91=G77)*(J$3:J$91&gt;J77)*(I$3:I$91="P"))+1,IF(M77="P",SUMPRODUCT((O$3:O$91&lt;&gt;"")*(P$3:P$91="")*(G$3:G$91=G77)*(I$3:I$91="P"))+SUMPRODUCT((P$3:P$91&lt;&gt;"")*(G$3:G$91=G77)*(I$3:I$91="P"))+SUMPRODUCT((N$3:N$91&lt;&gt;"")*(G$3:G$91=G77)*(I$3:I$91="P"))+SUMPRODUCT((P$3:P$91="")*(O$3:O$91="")*(N$3:N$91="")*(M$3:M$91="P")*(G$3:G$91=G77)*(J$3:J$91&gt;J77)*(I$3:I$91="P"))+IF(H77="L5",SUMPRODUCT((P$3:P$91="")*(O$3:O$91="")*(N$3:N$91="")*(M$3:M$91="P")*(G$3:G$91=G77)*(J$3:J$91&lt;J77)*(H$3:H$91&lt;&gt;H77)*(I$3:I$91="P")),-1*SUMPRODUCT((P$3:P$91="")*(O$3:O$91="")*(N$3:N$91="")*(M$3:M$91="P")*(G$3:G$91=G77)*(J$3:J$91&gt;J77)*(H$3:H$91="L5")*(I$3:I$91="P")))+1,"")))))</f>
        <v/>
      </c>
      <c r="B77" s="1" t="str" cm="1">
        <f t="array" ref="B77">IF(P77&lt;&gt;"",SUMPRODUCT((P$3:P$91&lt;&gt;"")*(G$3:G$91=G77)*(J$3:J$91&gt;J77))+1,IF(O77&lt;&gt;"",SUMPRODUCT((O$3:O$91&lt;&gt;"")*(P$3:P$91="")*(G$3:G$91=G77)*(J$3:J$91&gt;J77))+SUMPRODUCT((P$3:P$91&lt;&gt;"")*(G$3:G$91=G77))+1,IF(N77&lt;&gt;"",SUMPRODUCT((N$3:N$91&lt;&gt;"")*(G$3:G$91=G77)*(J$3:J$91&gt;J77))+1,IF(M77="P",SUMPRODUCT((O$3:O$91&lt;&gt;"")*(P$3:P$91="")*(G$3:G$91=G77))+SUMPRODUCT((P$3:P$91&lt;&gt;"")*(G$3:G$91=G77))+SUMPRODUCT((N$3:N$91&lt;&gt;"")*(G$3:G$91=G77))+SUMPRODUCT((P$3:P$91="")*(O$3:O$91="")*(N$3:N$91="")*(M$3:M$91="P")*(G$3:G$91=G77)*(J$3:J$91&gt;J77))+IF(H77="L5",SUMPRODUCT((P$3:P$91="")*(O$3:O$91="")*(N$3:N$91="")*(M$3:M$91="P")*(G$3:G$91=G77)*(J$3:J$91&lt;J77)*(H$3:H$91&lt;&gt;H77)),-1*SUMPRODUCT((P$3:P$91="")*(O$3:O$91="")*(N$3:N$91="")*(M$3:M$91="P")*(G$3:G$91=G77)*(J$3:J$91&gt;J77)*(H$3:H$91="L5")))+1,""))))</f>
        <v/>
      </c>
      <c r="C77" s="35" t="s">
        <v>171</v>
      </c>
      <c r="D77" t="str">
        <f>IF(E77="","",VLOOKUP(E77,'Coaching Points'!A:B,2,0))</f>
        <v>AB</v>
      </c>
      <c r="E77" s="35" t="s">
        <v>56</v>
      </c>
      <c r="F77" s="34">
        <v>2009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R77+S77+IF(OR(H77="Junior",H77="Senior"),0.0002,IF(OR(H77="L7",H77="L6"),0.0001,0))+IF(G77="17-21",MAX(AA77,AC77,AF77),AE77)*0.0000001</f>
        <v>110.290005494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63</v>
      </c>
      <c r="S77" s="4">
        <f>IF(G77="17-21",LARGE(CHOOSE({1,2,3,4,5,6},T77,V77,Y77,AA77,AC77,AF77),2),IF(R77=X77,MAX(Y77,AA77,AC77,AF77),IF(R77=AE77,MAX(AF77,T77,V77,Y77),0)))</f>
        <v>47.29</v>
      </c>
      <c r="T77" s="32">
        <v>39.18</v>
      </c>
      <c r="U77" s="37">
        <v>0</v>
      </c>
      <c r="V77" s="33">
        <v>23.82</v>
      </c>
      <c r="W77" s="37">
        <v>5.8</v>
      </c>
      <c r="X77" s="4">
        <f>IF(H77="Senior",MAX(T77,V77),T77+V77)</f>
        <v>63</v>
      </c>
      <c r="Y77" s="33">
        <v>47.29</v>
      </c>
      <c r="Z77" s="37">
        <v>9.5</v>
      </c>
      <c r="AA77" s="32">
        <v>40.090000000000003</v>
      </c>
      <c r="AB77" s="37">
        <v>0</v>
      </c>
      <c r="AC77" s="33">
        <v>14.85</v>
      </c>
      <c r="AD77" s="37">
        <v>3.6</v>
      </c>
      <c r="AE77" s="4">
        <f>IF(H77="Senior",MAX(AA77,AC77),AA77+AC77)</f>
        <v>54.940000000000005</v>
      </c>
      <c r="AF77" s="33">
        <v>18.670000000000002</v>
      </c>
      <c r="AG77" s="37">
        <v>4.3</v>
      </c>
    </row>
    <row r="78" spans="1:33" x14ac:dyDescent="0.2">
      <c r="A78" s="1" t="str" cm="1">
        <f t="array" ref="A78">IF(I78="","",IF(P78&lt;&gt;"",SUMPRODUCT((P$3:P$91&lt;&gt;"")*(G$3:G$91=G78)*(J$3:J$91&gt;J78)*(I$3:I$91="P"))+1,IF(O78&lt;&gt;"",SUMPRODUCT((O$3:O$91&lt;&gt;"")*(P$3:P$91="")*(G$3:G$91=G78)*(J$3:J$91&gt;J78)*(I$3:I$91="P"))+SUMPRODUCT((P$3:P$91&lt;&gt;"")*(G$3:G$91=G78)*(I$3:I$91="P"))+1,IF(N78&lt;&gt;"",SUMPRODUCT((N$3:N$91&lt;&gt;"")*(G$3:G$91=G78)*(J$3:J$91&gt;J78)*(I$3:I$91="P"))+1,IF(M78="P",SUMPRODUCT((O$3:O$91&lt;&gt;"")*(P$3:P$91="")*(G$3:G$91=G78)*(I$3:I$91="P"))+SUMPRODUCT((P$3:P$91&lt;&gt;"")*(G$3:G$91=G78)*(I$3:I$91="P"))+SUMPRODUCT((N$3:N$91&lt;&gt;"")*(G$3:G$91=G78)*(I$3:I$91="P"))+SUMPRODUCT((P$3:P$91="")*(O$3:O$91="")*(N$3:N$91="")*(M$3:M$91="P")*(G$3:G$91=G78)*(J$3:J$91&gt;J78)*(I$3:I$91="P"))+IF(H78="L5",SUMPRODUCT((P$3:P$91="")*(O$3:O$91="")*(N$3:N$91="")*(M$3:M$91="P")*(G$3:G$91=G78)*(J$3:J$91&lt;J78)*(H$3:H$91&lt;&gt;H78)*(I$3:I$91="P")),-1*SUMPRODUCT((P$3:P$91="")*(O$3:O$91="")*(N$3:N$91="")*(M$3:M$91="P")*(G$3:G$91=G78)*(J$3:J$91&gt;J78)*(H$3:H$91="L5")*(I$3:I$91="P")))+1,"")))))</f>
        <v/>
      </c>
      <c r="B78" s="1" t="str" cm="1">
        <f t="array" ref="B78">IF(P78&lt;&gt;"",SUMPRODUCT((P$3:P$91&lt;&gt;"")*(G$3:G$91=G78)*(J$3:J$91&gt;J78))+1,IF(O78&lt;&gt;"",SUMPRODUCT((O$3:O$91&lt;&gt;"")*(P$3:P$91="")*(G$3:G$91=G78)*(J$3:J$91&gt;J78))+SUMPRODUCT((P$3:P$91&lt;&gt;"")*(G$3:G$91=G78))+1,IF(N78&lt;&gt;"",SUMPRODUCT((N$3:N$91&lt;&gt;"")*(G$3:G$91=G78)*(J$3:J$91&gt;J78))+1,IF(M78="P",SUMPRODUCT((O$3:O$91&lt;&gt;"")*(P$3:P$91="")*(G$3:G$91=G78))+SUMPRODUCT((P$3:P$91&lt;&gt;"")*(G$3:G$91=G78))+SUMPRODUCT((N$3:N$91&lt;&gt;"")*(G$3:G$91=G78))+SUMPRODUCT((P$3:P$91="")*(O$3:O$91="")*(N$3:N$91="")*(M$3:M$91="P")*(G$3:G$91=G78)*(J$3:J$91&gt;J78))+IF(H78="L5",SUMPRODUCT((P$3:P$91="")*(O$3:O$91="")*(N$3:N$91="")*(M$3:M$91="P")*(G$3:G$91=G78)*(J$3:J$91&lt;J78)*(H$3:H$91&lt;&gt;H78)),-1*SUMPRODUCT((P$3:P$91="")*(O$3:O$91="")*(N$3:N$91="")*(M$3:M$91="P")*(G$3:G$91=G78)*(J$3:J$91&gt;J78)*(H$3:H$91="L5")))+1,""))))</f>
        <v/>
      </c>
      <c r="C78" s="35" t="s">
        <v>157</v>
      </c>
      <c r="D78" t="str">
        <f>IF(E78="","",VLOOKUP(E78,'Coaching Points'!A:B,2,0))</f>
        <v>AB</v>
      </c>
      <c r="E78" s="35" t="s">
        <v>28</v>
      </c>
      <c r="F78" s="34">
        <v>2009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>R78+S78+IF(OR(H78="Junior",H78="Senior"),0.0002,IF(OR(H78="L7",H78="L6"),0.0001,0))+IF(G78="17-21",MAX(AA78,AC78,AF78),AE78)*0.0000001</f>
        <v>99.750205204000011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54.81</v>
      </c>
      <c r="S78" s="4">
        <f>IF(G78="17-21",LARGE(CHOOSE({1,2,3,4,5,6},T78,V78,Y78,AA78,AC78,AF78),2),IF(R78=X78,MAX(Y78,AA78,AC78,AF78),IF(R78=AE78,MAX(AF78,T78,V78,Y78),0)))</f>
        <v>44.94</v>
      </c>
      <c r="T78" s="32">
        <v>36.18</v>
      </c>
      <c r="U78" s="37">
        <v>0</v>
      </c>
      <c r="V78" s="33">
        <v>18.63</v>
      </c>
      <c r="W78" s="37">
        <v>5</v>
      </c>
      <c r="X78" s="4">
        <f>IF(H78="Senior",MAX(T78,V78),T78+V78)</f>
        <v>54.81</v>
      </c>
      <c r="Y78" s="33"/>
      <c r="Z78" s="37"/>
      <c r="AA78" s="32">
        <v>37.89</v>
      </c>
      <c r="AB78" s="37">
        <v>0</v>
      </c>
      <c r="AC78" s="33">
        <v>14.15</v>
      </c>
      <c r="AD78" s="37">
        <v>3.4</v>
      </c>
      <c r="AE78" s="4">
        <f>IF(H78="Senior",MAX(AA78,AC78),AA78+AC78)</f>
        <v>52.04</v>
      </c>
      <c r="AF78" s="33">
        <v>44.94</v>
      </c>
      <c r="AG78" s="37">
        <v>11.8</v>
      </c>
    </row>
    <row r="79" spans="1:33" x14ac:dyDescent="0.2">
      <c r="A79" s="1" t="str" cm="1">
        <f t="array" ref="A79">IF(I79="","",IF(P79&lt;&gt;"",SUMPRODUCT((P$3:P$91&lt;&gt;"")*(G$3:G$91=G79)*(J$3:J$91&gt;J79)*(I$3:I$91="P"))+1,IF(O79&lt;&gt;"",SUMPRODUCT((O$3:O$91&lt;&gt;"")*(P$3:P$91="")*(G$3:G$91=G79)*(J$3:J$91&gt;J79)*(I$3:I$91="P"))+SUMPRODUCT((P$3:P$91&lt;&gt;"")*(G$3:G$91=G79)*(I$3:I$91="P"))+1,IF(N79&lt;&gt;"",SUMPRODUCT((N$3:N$91&lt;&gt;"")*(G$3:G$91=G79)*(J$3:J$91&gt;J79)*(I$3:I$91="P"))+1,IF(M79="P",SUMPRODUCT((O$3:O$91&lt;&gt;"")*(P$3:P$91="")*(G$3:G$91=G79)*(I$3:I$91="P"))+SUMPRODUCT((P$3:P$91&lt;&gt;"")*(G$3:G$91=G79)*(I$3:I$91="P"))+SUMPRODUCT((N$3:N$91&lt;&gt;"")*(G$3:G$91=G79)*(I$3:I$91="P"))+SUMPRODUCT((P$3:P$91="")*(O$3:O$91="")*(N$3:N$91="")*(M$3:M$91="P")*(G$3:G$91=G79)*(J$3:J$91&gt;J79)*(I$3:I$91="P"))+IF(H79="L5",SUMPRODUCT((P$3:P$91="")*(O$3:O$91="")*(N$3:N$91="")*(M$3:M$91="P")*(G$3:G$91=G79)*(J$3:J$91&lt;J79)*(H$3:H$91&lt;&gt;H79)*(I$3:I$91="P")),-1*SUMPRODUCT((P$3:P$91="")*(O$3:O$91="")*(N$3:N$91="")*(M$3:M$91="P")*(G$3:G$91=G79)*(J$3:J$91&gt;J79)*(H$3:H$91="L5")*(I$3:I$91="P")))+1,"")))))</f>
        <v/>
      </c>
      <c r="B79" s="1" cm="1">
        <f t="array" ref="B79">IF(P79&lt;&gt;"",SUMPRODUCT((P$3:P$91&lt;&gt;"")*(G$3:G$91=G79)*(J$3:J$91&gt;J79))+1,IF(O79&lt;&gt;"",SUMPRODUCT((O$3:O$91&lt;&gt;"")*(P$3:P$91="")*(G$3:G$91=G79)*(J$3:J$91&gt;J79))+SUMPRODUCT((P$3:P$91&lt;&gt;"")*(G$3:G$91=G79))+1,IF(N79&lt;&gt;"",SUMPRODUCT((N$3:N$91&lt;&gt;"")*(G$3:G$91=G79)*(J$3:J$91&gt;J79))+1,IF(M79="P",SUMPRODUCT((O$3:O$91&lt;&gt;"")*(P$3:P$91="")*(G$3:G$91=G79))+SUMPRODUCT((P$3:P$91&lt;&gt;"")*(G$3:G$91=G79))+SUMPRODUCT((N$3:N$91&lt;&gt;"")*(G$3:G$91=G79))+SUMPRODUCT((P$3:P$91="")*(O$3:O$91="")*(N$3:N$91="")*(M$3:M$91="P")*(G$3:G$91=G79)*(J$3:J$91&gt;J79))+IF(H79="L5",SUMPRODUCT((P$3:P$91="")*(O$3:O$91="")*(N$3:N$91="")*(M$3:M$91="P")*(G$3:G$91=G79)*(J$3:J$91&lt;J79)*(H$3:H$91&lt;&gt;H79)),-1*SUMPRODUCT((P$3:P$91="")*(O$3:O$91="")*(N$3:N$91="")*(M$3:M$91="P")*(G$3:G$91=G79)*(J$3:J$91&gt;J79)*(H$3:H$91="L5")))+1,""))))</f>
        <v>1</v>
      </c>
      <c r="C79" s="35" t="s">
        <v>160</v>
      </c>
      <c r="D79" t="str">
        <f>IF(E79="","",VLOOKUP(E79,'Coaching Points'!A:B,2,0))</f>
        <v>BC</v>
      </c>
      <c r="E79" s="35" t="s">
        <v>60</v>
      </c>
      <c r="F79" s="34">
        <v>2012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13-14</v>
      </c>
      <c r="H79" s="36" t="s">
        <v>211</v>
      </c>
      <c r="I79" s="40"/>
      <c r="J79" s="4">
        <f>R79+S79+IF(OR(H79="Junior",H79="Senior"),0.0002,IF(OR(H79="L7",H79="L6"),0.0001,0))+IF(G79="17-21",MAX(AA79,AC79,AF79),AE79)*0.0000001</f>
        <v>139.76020900699999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>P</v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>P</v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>P</v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90.07</v>
      </c>
      <c r="S79" s="4">
        <f>IF(G79="17-21",LARGE(CHOOSE({1,2,3,4,5,6},T79,V79,Y79,AA79,AC79,AF79),2),IF(R79=X79,MAX(Y79,AA79,AC79,AF79),IF(R79=AE79,MAX(AF79,T79,V79,Y79),0)))</f>
        <v>49.69</v>
      </c>
      <c r="T79" s="32">
        <v>40.130000000000003</v>
      </c>
      <c r="U79" s="37">
        <v>0</v>
      </c>
      <c r="V79" s="33">
        <v>48.19</v>
      </c>
      <c r="W79" s="37">
        <v>10.9</v>
      </c>
      <c r="X79" s="4">
        <f>IF(H79="Senior",MAX(T79,V79),T79+V79)</f>
        <v>88.32</v>
      </c>
      <c r="Y79" s="33">
        <v>48.62</v>
      </c>
      <c r="Z79" s="37">
        <v>10.9</v>
      </c>
      <c r="AA79" s="32">
        <v>40.89</v>
      </c>
      <c r="AB79" s="37">
        <v>0</v>
      </c>
      <c r="AC79" s="33">
        <v>49.18</v>
      </c>
      <c r="AD79" s="37">
        <v>10.9</v>
      </c>
      <c r="AE79" s="4">
        <f>IF(H79="Senior",MAX(AA79,AC79),AA79+AC79)</f>
        <v>90.07</v>
      </c>
      <c r="AF79" s="33">
        <v>49.69</v>
      </c>
      <c r="AG79" s="37">
        <v>10.9</v>
      </c>
    </row>
    <row r="80" spans="1:33" x14ac:dyDescent="0.2">
      <c r="A80" s="1" t="str" cm="1">
        <f t="array" ref="A80">IF(I80="","",IF(P80&lt;&gt;"",SUMPRODUCT((P$3:P$91&lt;&gt;"")*(G$3:G$91=G80)*(J$3:J$91&gt;J80)*(I$3:I$91="P"))+1,IF(O80&lt;&gt;"",SUMPRODUCT((O$3:O$91&lt;&gt;"")*(P$3:P$91="")*(G$3:G$91=G80)*(J$3:J$91&gt;J80)*(I$3:I$91="P"))+SUMPRODUCT((P$3:P$91&lt;&gt;"")*(G$3:G$91=G80)*(I$3:I$91="P"))+1,IF(N80&lt;&gt;"",SUMPRODUCT((N$3:N$91&lt;&gt;"")*(G$3:G$91=G80)*(J$3:J$91&gt;J80)*(I$3:I$91="P"))+1,IF(M80="P",SUMPRODUCT((O$3:O$91&lt;&gt;"")*(P$3:P$91="")*(G$3:G$91=G80)*(I$3:I$91="P"))+SUMPRODUCT((P$3:P$91&lt;&gt;"")*(G$3:G$91=G80)*(I$3:I$91="P"))+SUMPRODUCT((N$3:N$91&lt;&gt;"")*(G$3:G$91=G80)*(I$3:I$91="P"))+SUMPRODUCT((P$3:P$91="")*(O$3:O$91="")*(N$3:N$91="")*(M$3:M$91="P")*(G$3:G$91=G80)*(J$3:J$91&gt;J80)*(I$3:I$91="P"))+IF(H80="L5",SUMPRODUCT((P$3:P$91="")*(O$3:O$91="")*(N$3:N$91="")*(M$3:M$91="P")*(G$3:G$91=G80)*(J$3:J$91&lt;J80)*(H$3:H$91&lt;&gt;H80)*(I$3:I$91="P")),-1*SUMPRODUCT((P$3:P$91="")*(O$3:O$91="")*(N$3:N$91="")*(M$3:M$91="P")*(G$3:G$91=G80)*(J$3:J$91&gt;J80)*(H$3:H$91="L5")*(I$3:I$91="P")))+1,"")))))</f>
        <v/>
      </c>
      <c r="B80" s="1" t="str" cm="1">
        <f t="array" ref="B80">IF(P80&lt;&gt;"",SUMPRODUCT((P$3:P$91&lt;&gt;"")*(G$3:G$91=G80)*(J$3:J$91&gt;J80))+1,IF(O80&lt;&gt;"",SUMPRODUCT((O$3:O$91&lt;&gt;"")*(P$3:P$91="")*(G$3:G$91=G80)*(J$3:J$91&gt;J80))+SUMPRODUCT((P$3:P$91&lt;&gt;"")*(G$3:G$91=G80))+1,IF(N80&lt;&gt;"",SUMPRODUCT((N$3:N$91&lt;&gt;"")*(G$3:G$91=G80)*(J$3:J$91&gt;J80))+1,IF(M80="P",SUMPRODUCT((O$3:O$91&lt;&gt;"")*(P$3:P$91="")*(G$3:G$91=G80))+SUMPRODUCT((P$3:P$91&lt;&gt;"")*(G$3:G$91=G80))+SUMPRODUCT((N$3:N$91&lt;&gt;"")*(G$3:G$91=G80))+SUMPRODUCT((P$3:P$91="")*(O$3:O$91="")*(N$3:N$91="")*(M$3:M$91="P")*(G$3:G$91=G80)*(J$3:J$91&gt;J80))+IF(H80="L5",SUMPRODUCT((P$3:P$91="")*(O$3:O$91="")*(N$3:N$91="")*(M$3:M$91="P")*(G$3:G$91=G80)*(J$3:J$91&lt;J80)*(H$3:H$91&lt;&gt;H80)),-1*SUMPRODUCT((P$3:P$91="")*(O$3:O$91="")*(N$3:N$91="")*(M$3:M$91="P")*(G$3:G$91=G80)*(J$3:J$91&gt;J80)*(H$3:H$91="L5")))+1,""))))</f>
        <v/>
      </c>
      <c r="C80" s="35" t="s">
        <v>193</v>
      </c>
      <c r="D80" t="str">
        <f>IF(E80="","",VLOOKUP(E80,'Coaching Points'!A:B,2,0))</f>
        <v>QC</v>
      </c>
      <c r="E80" s="35" t="s">
        <v>208</v>
      </c>
      <c r="F80" s="34">
        <v>2011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214</v>
      </c>
      <c r="I80" s="40"/>
      <c r="J80" s="4">
        <f>R80+S80+IF(OR(H80="Junior",H80="Senior"),0.0002,IF(OR(H80="L7",H80="L6"),0.0001,0))+IF(G80="17-21",MAX(AA80,AC80,AF80),AE80)*0.0000001</f>
        <v>135.24000876300002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>P</v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87.63</v>
      </c>
      <c r="S80" s="4">
        <f>IF(G80="17-21",LARGE(CHOOSE({1,2,3,4,5,6},T80,V80,Y80,AA80,AC80,AF80),2),IF(R80=X80,MAX(Y80,AA80,AC80,AF80),IF(R80=AE80,MAX(AF80,T80,V80,Y80),0)))</f>
        <v>47.61</v>
      </c>
      <c r="T80" s="32">
        <v>38.94</v>
      </c>
      <c r="U80" s="37">
        <v>0</v>
      </c>
      <c r="V80" s="33">
        <v>47.3</v>
      </c>
      <c r="W80" s="37">
        <v>10.7</v>
      </c>
      <c r="X80" s="4">
        <f>IF(H80="Senior",MAX(T80,V80),T80+V80)</f>
        <v>86.24</v>
      </c>
      <c r="Y80" s="33">
        <v>14.54</v>
      </c>
      <c r="Z80" s="37">
        <v>3.9</v>
      </c>
      <c r="AA80" s="32">
        <v>39.03</v>
      </c>
      <c r="AB80" s="37">
        <v>0</v>
      </c>
      <c r="AC80" s="33">
        <v>48.6</v>
      </c>
      <c r="AD80" s="37">
        <v>10.1</v>
      </c>
      <c r="AE80" s="4">
        <f>IF(H80="Senior",MAX(AA80,AC80),AA80+AC80)</f>
        <v>87.63</v>
      </c>
      <c r="AF80" s="33">
        <v>47.61</v>
      </c>
      <c r="AG80" s="37">
        <v>10.1</v>
      </c>
    </row>
    <row r="81" spans="1:33" x14ac:dyDescent="0.2">
      <c r="A81" s="1" t="str" cm="1">
        <f t="array" ref="A81">IF(I81="","",IF(P81&lt;&gt;"",SUMPRODUCT((P$3:P$91&lt;&gt;"")*(G$3:G$91=G81)*(J$3:J$91&gt;J81)*(I$3:I$91="P"))+1,IF(O81&lt;&gt;"",SUMPRODUCT((O$3:O$91&lt;&gt;"")*(P$3:P$91="")*(G$3:G$91=G81)*(J$3:J$91&gt;J81)*(I$3:I$91="P"))+SUMPRODUCT((P$3:P$91&lt;&gt;"")*(G$3:G$91=G81)*(I$3:I$91="P"))+1,IF(N81&lt;&gt;"",SUMPRODUCT((N$3:N$91&lt;&gt;"")*(G$3:G$91=G81)*(J$3:J$91&gt;J81)*(I$3:I$91="P"))+1,IF(M81="P",SUMPRODUCT((O$3:O$91&lt;&gt;"")*(P$3:P$91="")*(G$3:G$91=G81)*(I$3:I$91="P"))+SUMPRODUCT((P$3:P$91&lt;&gt;"")*(G$3:G$91=G81)*(I$3:I$91="P"))+SUMPRODUCT((N$3:N$91&lt;&gt;"")*(G$3:G$91=G81)*(I$3:I$91="P"))+SUMPRODUCT((P$3:P$91="")*(O$3:O$91="")*(N$3:N$91="")*(M$3:M$91="P")*(G$3:G$91=G81)*(J$3:J$91&gt;J81)*(I$3:I$91="P"))+IF(H81="L5",SUMPRODUCT((P$3:P$91="")*(O$3:O$91="")*(N$3:N$91="")*(M$3:M$91="P")*(G$3:G$91=G81)*(J$3:J$91&lt;J81)*(H$3:H$91&lt;&gt;H81)*(I$3:I$91="P")),-1*SUMPRODUCT((P$3:P$91="")*(O$3:O$91="")*(N$3:N$91="")*(M$3:M$91="P")*(G$3:G$91=G81)*(J$3:J$91&gt;J81)*(H$3:H$91="L5")*(I$3:I$91="P")))+1,"")))))</f>
        <v/>
      </c>
      <c r="B81" s="1" t="str" cm="1">
        <f t="array" ref="B81">IF(P81&lt;&gt;"",SUMPRODUCT((P$3:P$91&lt;&gt;"")*(G$3:G$91=G81)*(J$3:J$91&gt;J81))+1,IF(O81&lt;&gt;"",SUMPRODUCT((O$3:O$91&lt;&gt;"")*(P$3:P$91="")*(G$3:G$91=G81)*(J$3:J$91&gt;J81))+SUMPRODUCT((P$3:P$91&lt;&gt;"")*(G$3:G$91=G81))+1,IF(N81&lt;&gt;"",SUMPRODUCT((N$3:N$91&lt;&gt;"")*(G$3:G$91=G81)*(J$3:J$91&gt;J81))+1,IF(M81="P",SUMPRODUCT((O$3:O$91&lt;&gt;"")*(P$3:P$91="")*(G$3:G$91=G81))+SUMPRODUCT((P$3:P$91&lt;&gt;"")*(G$3:G$91=G81))+SUMPRODUCT((N$3:N$91&lt;&gt;"")*(G$3:G$91=G81))+SUMPRODUCT((P$3:P$91="")*(O$3:O$91="")*(N$3:N$91="")*(M$3:M$91="P")*(G$3:G$91=G81)*(J$3:J$91&gt;J81))+IF(H81="L5",SUMPRODUCT((P$3:P$91="")*(O$3:O$91="")*(N$3:N$91="")*(M$3:M$91="P")*(G$3:G$91=G81)*(J$3:J$91&lt;J81)*(H$3:H$91&lt;&gt;H81)),-1*SUMPRODUCT((P$3:P$91="")*(O$3:O$91="")*(N$3:N$91="")*(M$3:M$91="P")*(G$3:G$91=G81)*(J$3:J$91&gt;J81)*(H$3:H$91="L5")))+1,""))))</f>
        <v/>
      </c>
      <c r="C81" s="35" t="s">
        <v>194</v>
      </c>
      <c r="D81" t="str">
        <f>IF(E81="","",VLOOKUP(E81,'Coaching Points'!A:B,2,0))</f>
        <v>BC</v>
      </c>
      <c r="E81" s="35" t="s">
        <v>40</v>
      </c>
      <c r="F81" s="34">
        <v>2012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214</v>
      </c>
      <c r="I81" s="40"/>
      <c r="J81" s="4">
        <f>R81+S81+IF(OR(H81="Junior",H81="Senior"),0.0002,IF(OR(H81="L7",H81="L6"),0.0001,0))+IF(G81="17-21",MAX(AA81,AC81,AF81),AE81)*0.0000001</f>
        <v>132.55000861999997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86.199999999999989</v>
      </c>
      <c r="S81" s="4">
        <f>IF(G81="17-21",LARGE(CHOOSE({1,2,3,4,5,6},T81,V81,Y81,AA81,AC81,AF81),2),IF(R81=X81,MAX(Y81,AA81,AC81,AF81),IF(R81=AE81,MAX(AF81,T81,V81,Y81),0)))</f>
        <v>46.35</v>
      </c>
      <c r="T81" s="32">
        <v>37.18</v>
      </c>
      <c r="U81" s="37">
        <v>0</v>
      </c>
      <c r="V81" s="33">
        <v>22.92</v>
      </c>
      <c r="W81" s="37">
        <v>5.7</v>
      </c>
      <c r="X81" s="4">
        <f>IF(H81="Senior",MAX(T81,V81),T81+V81)</f>
        <v>60.1</v>
      </c>
      <c r="Y81" s="33">
        <v>13.43</v>
      </c>
      <c r="Z81" s="37">
        <v>3.1</v>
      </c>
      <c r="AA81" s="32">
        <v>39.9</v>
      </c>
      <c r="AB81" s="37">
        <v>0</v>
      </c>
      <c r="AC81" s="33">
        <v>46.3</v>
      </c>
      <c r="AD81" s="37">
        <v>10.199999999999999</v>
      </c>
      <c r="AE81" s="4">
        <f>IF(H81="Senior",MAX(AA81,AC81),AA81+AC81)</f>
        <v>86.199999999999989</v>
      </c>
      <c r="AF81" s="33">
        <v>46.35</v>
      </c>
      <c r="AG81" s="37">
        <v>10.199999999999999</v>
      </c>
    </row>
    <row r="82" spans="1:33" x14ac:dyDescent="0.2">
      <c r="A82" s="1" t="str" cm="1">
        <f t="array" ref="A82">IF(I82="","",IF(P82&lt;&gt;"",SUMPRODUCT((P$3:P$91&lt;&gt;"")*(G$3:G$91=G82)*(J$3:J$91&gt;J82)*(I$3:I$91="P"))+1,IF(O82&lt;&gt;"",SUMPRODUCT((O$3:O$91&lt;&gt;"")*(P$3:P$91="")*(G$3:G$91=G82)*(J$3:J$91&gt;J82)*(I$3:I$91="P"))+SUMPRODUCT((P$3:P$91&lt;&gt;"")*(G$3:G$91=G82)*(I$3:I$91="P"))+1,IF(N82&lt;&gt;"",SUMPRODUCT((N$3:N$91&lt;&gt;"")*(G$3:G$91=G82)*(J$3:J$91&gt;J82)*(I$3:I$91="P"))+1,IF(M82="P",SUMPRODUCT((O$3:O$91&lt;&gt;"")*(P$3:P$91="")*(G$3:G$91=G82)*(I$3:I$91="P"))+SUMPRODUCT((P$3:P$91&lt;&gt;"")*(G$3:G$91=G82)*(I$3:I$91="P"))+SUMPRODUCT((N$3:N$91&lt;&gt;"")*(G$3:G$91=G82)*(I$3:I$91="P"))+SUMPRODUCT((P$3:P$91="")*(O$3:O$91="")*(N$3:N$91="")*(M$3:M$91="P")*(G$3:G$91=G82)*(J$3:J$91&gt;J82)*(I$3:I$91="P"))+IF(H82="L5",SUMPRODUCT((P$3:P$91="")*(O$3:O$91="")*(N$3:N$91="")*(M$3:M$91="P")*(G$3:G$91=G82)*(J$3:J$91&lt;J82)*(H$3:H$91&lt;&gt;H82)*(I$3:I$91="P")),-1*SUMPRODUCT((P$3:P$91="")*(O$3:O$91="")*(N$3:N$91="")*(M$3:M$91="P")*(G$3:G$91=G82)*(J$3:J$91&gt;J82)*(H$3:H$91="L5")*(I$3:I$91="P")))+1,"")))))</f>
        <v/>
      </c>
      <c r="B82" s="1" t="str" cm="1">
        <f t="array" ref="B82">IF(P82&lt;&gt;"",SUMPRODUCT((P$3:P$91&lt;&gt;"")*(G$3:G$91=G82)*(J$3:J$91&gt;J82))+1,IF(O82&lt;&gt;"",SUMPRODUCT((O$3:O$91&lt;&gt;"")*(P$3:P$91="")*(G$3:G$91=G82)*(J$3:J$91&gt;J82))+SUMPRODUCT((P$3:P$91&lt;&gt;"")*(G$3:G$91=G82))+1,IF(N82&lt;&gt;"",SUMPRODUCT((N$3:N$91&lt;&gt;"")*(G$3:G$91=G82)*(J$3:J$91&gt;J82))+1,IF(M82="P",SUMPRODUCT((O$3:O$91&lt;&gt;"")*(P$3:P$91="")*(G$3:G$91=G82))+SUMPRODUCT((P$3:P$91&lt;&gt;"")*(G$3:G$91=G82))+SUMPRODUCT((N$3:N$91&lt;&gt;"")*(G$3:G$91=G82))+SUMPRODUCT((P$3:P$91="")*(O$3:O$91="")*(N$3:N$91="")*(M$3:M$91="P")*(G$3:G$91=G82)*(J$3:J$91&gt;J82))+IF(H82="L5",SUMPRODUCT((P$3:P$91="")*(O$3:O$91="")*(N$3:N$91="")*(M$3:M$91="P")*(G$3:G$91=G82)*(J$3:J$91&lt;J82)*(H$3:H$91&lt;&gt;H82)),-1*SUMPRODUCT((P$3:P$91="")*(O$3:O$91="")*(N$3:N$91="")*(M$3:M$91="P")*(G$3:G$91=G82)*(J$3:J$91&gt;J82)*(H$3:H$91="L5")))+1,""))))</f>
        <v/>
      </c>
      <c r="C82" s="35" t="s">
        <v>191</v>
      </c>
      <c r="D82" t="str">
        <f>IF(E82="","",VLOOKUP(E82,'Coaching Points'!A:B,2,0))</f>
        <v>BC</v>
      </c>
      <c r="E82" s="35" t="s">
        <v>40</v>
      </c>
      <c r="F82" s="34">
        <v>2012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R82+S82+IF(OR(H82="Junior",H82="Senior"),0.0002,IF(OR(H82="L7",H82="L6"),0.0001,0))+IF(G82="17-21",MAX(AA82,AC82,AF82),AE82)*0.0000001</f>
        <v>130.450007247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82.38</v>
      </c>
      <c r="S82" s="4">
        <f>IF(G82="17-21",LARGE(CHOOSE({1,2,3,4,5,6},T82,V82,Y82,AA82,AC82,AF82),2),IF(R82=X82,MAX(Y82,AA82,AC82,AF82),IF(R82=AE82,MAX(AF82,T82,V82,Y82),0)))</f>
        <v>48.07</v>
      </c>
      <c r="T82" s="32">
        <v>38.03</v>
      </c>
      <c r="U82" s="37">
        <v>0</v>
      </c>
      <c r="V82" s="33">
        <v>44.35</v>
      </c>
      <c r="W82" s="37">
        <v>10</v>
      </c>
      <c r="X82" s="4">
        <f>IF(H82="Senior",MAX(T82,V82),T82+V82)</f>
        <v>82.38</v>
      </c>
      <c r="Y82" s="33">
        <v>44.06</v>
      </c>
      <c r="Z82" s="37">
        <v>10.199999999999999</v>
      </c>
      <c r="AA82" s="32">
        <v>24.4</v>
      </c>
      <c r="AB82" s="37">
        <v>0</v>
      </c>
      <c r="AC82" s="33">
        <v>48.07</v>
      </c>
      <c r="AD82" s="37">
        <v>10.199999999999999</v>
      </c>
      <c r="AE82" s="4">
        <f>IF(H82="Senior",MAX(AA82,AC82),AA82+AC82)</f>
        <v>72.47</v>
      </c>
      <c r="AF82" s="33">
        <v>45.76</v>
      </c>
      <c r="AG82" s="37">
        <v>10.3</v>
      </c>
    </row>
    <row r="83" spans="1:33" x14ac:dyDescent="0.2">
      <c r="A83" s="1" t="str" cm="1">
        <f t="array" ref="A83">IF(I83="","",IF(P83&lt;&gt;"",SUMPRODUCT((P$3:P$91&lt;&gt;"")*(G$3:G$91=G83)*(J$3:J$91&gt;J83)*(I$3:I$91="P"))+1,IF(O83&lt;&gt;"",SUMPRODUCT((O$3:O$91&lt;&gt;"")*(P$3:P$91="")*(G$3:G$91=G83)*(J$3:J$91&gt;J83)*(I$3:I$91="P"))+SUMPRODUCT((P$3:P$91&lt;&gt;"")*(G$3:G$91=G83)*(I$3:I$91="P"))+1,IF(N83&lt;&gt;"",SUMPRODUCT((N$3:N$91&lt;&gt;"")*(G$3:G$91=G83)*(J$3:J$91&gt;J83)*(I$3:I$91="P"))+1,IF(M83="P",SUMPRODUCT((O$3:O$91&lt;&gt;"")*(P$3:P$91="")*(G$3:G$91=G83)*(I$3:I$91="P"))+SUMPRODUCT((P$3:P$91&lt;&gt;"")*(G$3:G$91=G83)*(I$3:I$91="P"))+SUMPRODUCT((N$3:N$91&lt;&gt;"")*(G$3:G$91=G83)*(I$3:I$91="P"))+SUMPRODUCT((P$3:P$91="")*(O$3:O$91="")*(N$3:N$91="")*(M$3:M$91="P")*(G$3:G$91=G83)*(J$3:J$91&gt;J83)*(I$3:I$91="P"))+IF(H83="L5",SUMPRODUCT((P$3:P$91="")*(O$3:O$91="")*(N$3:N$91="")*(M$3:M$91="P")*(G$3:G$91=G83)*(J$3:J$91&lt;J83)*(H$3:H$91&lt;&gt;H83)*(I$3:I$91="P")),-1*SUMPRODUCT((P$3:P$91="")*(O$3:O$91="")*(N$3:N$91="")*(M$3:M$91="P")*(G$3:G$91=G83)*(J$3:J$91&gt;J83)*(H$3:H$91="L5")*(I$3:I$91="P")))+1,"")))))</f>
        <v/>
      </c>
      <c r="B83" s="1" t="str" cm="1">
        <f t="array" ref="B83">IF(P83&lt;&gt;"",SUMPRODUCT((P$3:P$91&lt;&gt;"")*(G$3:G$91=G83)*(J$3:J$91&gt;J83))+1,IF(O83&lt;&gt;"",SUMPRODUCT((O$3:O$91&lt;&gt;"")*(P$3:P$91="")*(G$3:G$91=G83)*(J$3:J$91&gt;J83))+SUMPRODUCT((P$3:P$91&lt;&gt;"")*(G$3:G$91=G83))+1,IF(N83&lt;&gt;"",SUMPRODUCT((N$3:N$91&lt;&gt;"")*(G$3:G$91=G83)*(J$3:J$91&gt;J83))+1,IF(M83="P",SUMPRODUCT((O$3:O$91&lt;&gt;"")*(P$3:P$91="")*(G$3:G$91=G83))+SUMPRODUCT((P$3:P$91&lt;&gt;"")*(G$3:G$91=G83))+SUMPRODUCT((N$3:N$91&lt;&gt;"")*(G$3:G$91=G83))+SUMPRODUCT((P$3:P$91="")*(O$3:O$91="")*(N$3:N$91="")*(M$3:M$91="P")*(G$3:G$91=G83)*(J$3:J$91&gt;J83))+IF(H83="L5",SUMPRODUCT((P$3:P$91="")*(O$3:O$91="")*(N$3:N$91="")*(M$3:M$91="P")*(G$3:G$91=G83)*(J$3:J$91&lt;J83)*(H$3:H$91&lt;&gt;H83)),-1*SUMPRODUCT((P$3:P$91="")*(O$3:O$91="")*(N$3:N$91="")*(M$3:M$91="P")*(G$3:G$91=G83)*(J$3:J$91&gt;J83)*(H$3:H$91="L5")))+1,""))))</f>
        <v/>
      </c>
      <c r="C83" s="35" t="s">
        <v>392</v>
      </c>
      <c r="D83" t="str">
        <f>IF(E83="","",VLOOKUP(E83,'Coaching Points'!A:B,2,0))</f>
        <v>QC</v>
      </c>
      <c r="E83" s="35" t="s">
        <v>3</v>
      </c>
      <c r="F83" s="34">
        <v>2011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R83+S83+IF(OR(H83="Junior",H83="Senior"),0.0002,IF(OR(H83="L7",H83="L6"),0.0001,0))+IF(G83="17-21",MAX(AA83,AC83,AF83),AE83)*0.0000001</f>
        <v>129.82000851499998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85.15</v>
      </c>
      <c r="S83" s="4">
        <f>IF(G83="17-21",LARGE(CHOOSE({1,2,3,4,5,6},T83,V83,Y83,AA83,AC83,AF83),2),IF(R83=X83,MAX(Y83,AA83,AC83,AF83),IF(R83=AE83,MAX(AF83,T83,V83,Y83),0)))</f>
        <v>44.67</v>
      </c>
      <c r="T83" s="32"/>
      <c r="U83" s="37"/>
      <c r="V83" s="33"/>
      <c r="W83" s="37"/>
      <c r="X83" s="4"/>
      <c r="Y83" s="33"/>
      <c r="Z83" s="37"/>
      <c r="AA83" s="32">
        <v>39.46</v>
      </c>
      <c r="AB83" s="37">
        <v>0</v>
      </c>
      <c r="AC83" s="33">
        <v>45.69</v>
      </c>
      <c r="AD83" s="37">
        <v>8.3000000000000007</v>
      </c>
      <c r="AE83" s="4">
        <f>IF(H83="Senior",MAX(AA83,AC83),AA83+AC83)</f>
        <v>85.15</v>
      </c>
      <c r="AF83" s="33">
        <v>44.67</v>
      </c>
      <c r="AG83" s="37">
        <v>8.3000000000000007</v>
      </c>
    </row>
    <row r="84" spans="1:33" x14ac:dyDescent="0.2">
      <c r="A84" s="1" t="str" cm="1">
        <f t="array" ref="A84">IF(I84="","",IF(P84&lt;&gt;"",SUMPRODUCT((P$3:P$91&lt;&gt;"")*(G$3:G$91=G84)*(J$3:J$91&gt;J84)*(I$3:I$91="P"))+1,IF(O84&lt;&gt;"",SUMPRODUCT((O$3:O$91&lt;&gt;"")*(P$3:P$91="")*(G$3:G$91=G84)*(J$3:J$91&gt;J84)*(I$3:I$91="P"))+SUMPRODUCT((P$3:P$91&lt;&gt;"")*(G$3:G$91=G84)*(I$3:I$91="P"))+1,IF(N84&lt;&gt;"",SUMPRODUCT((N$3:N$91&lt;&gt;"")*(G$3:G$91=G84)*(J$3:J$91&gt;J84)*(I$3:I$91="P"))+1,IF(M84="P",SUMPRODUCT((O$3:O$91&lt;&gt;"")*(P$3:P$91="")*(G$3:G$91=G84)*(I$3:I$91="P"))+SUMPRODUCT((P$3:P$91&lt;&gt;"")*(G$3:G$91=G84)*(I$3:I$91="P"))+SUMPRODUCT((N$3:N$91&lt;&gt;"")*(G$3:G$91=G84)*(I$3:I$91="P"))+SUMPRODUCT((P$3:P$91="")*(O$3:O$91="")*(N$3:N$91="")*(M$3:M$91="P")*(G$3:G$91=G84)*(J$3:J$91&gt;J84)*(I$3:I$91="P"))+IF(H84="L5",SUMPRODUCT((P$3:P$91="")*(O$3:O$91="")*(N$3:N$91="")*(M$3:M$91="P")*(G$3:G$91=G84)*(J$3:J$91&lt;J84)*(H$3:H$91&lt;&gt;H84)*(I$3:I$91="P")),-1*SUMPRODUCT((P$3:P$91="")*(O$3:O$91="")*(N$3:N$91="")*(M$3:M$91="P")*(G$3:G$91=G84)*(J$3:J$91&gt;J84)*(H$3:H$91="L5")*(I$3:I$91="P")))+1,"")))))</f>
        <v/>
      </c>
      <c r="B84" s="1" t="str" cm="1">
        <f t="array" ref="B84">IF(P84&lt;&gt;"",SUMPRODUCT((P$3:P$91&lt;&gt;"")*(G$3:G$91=G84)*(J$3:J$91&gt;J84))+1,IF(O84&lt;&gt;"",SUMPRODUCT((O$3:O$91&lt;&gt;"")*(P$3:P$91="")*(G$3:G$91=G84)*(J$3:J$91&gt;J84))+SUMPRODUCT((P$3:P$91&lt;&gt;"")*(G$3:G$91=G84))+1,IF(N84&lt;&gt;"",SUMPRODUCT((N$3:N$91&lt;&gt;"")*(G$3:G$91=G84)*(J$3:J$91&gt;J84))+1,IF(M84="P",SUMPRODUCT((O$3:O$91&lt;&gt;"")*(P$3:P$91="")*(G$3:G$91=G84))+SUMPRODUCT((P$3:P$91&lt;&gt;"")*(G$3:G$91=G84))+SUMPRODUCT((N$3:N$91&lt;&gt;"")*(G$3:G$91=G84))+SUMPRODUCT((P$3:P$91="")*(O$3:O$91="")*(N$3:N$91="")*(M$3:M$91="P")*(G$3:G$91=G84)*(J$3:J$91&gt;J84))+IF(H84="L5",SUMPRODUCT((P$3:P$91="")*(O$3:O$91="")*(N$3:N$91="")*(M$3:M$91="P")*(G$3:G$91=G84)*(J$3:J$91&lt;J84)*(H$3:H$91&lt;&gt;H84)),-1*SUMPRODUCT((P$3:P$91="")*(O$3:O$91="")*(N$3:N$91="")*(M$3:M$91="P")*(G$3:G$91=G84)*(J$3:J$91&gt;J84)*(H$3:H$91="L5")))+1,""))))</f>
        <v/>
      </c>
      <c r="C84" s="35" t="s">
        <v>136</v>
      </c>
      <c r="D84" t="str">
        <f>IF(E84="","",VLOOKUP(E84,'Coaching Points'!A:B,2,0))</f>
        <v>BC</v>
      </c>
      <c r="E84" s="35" t="s">
        <v>60</v>
      </c>
      <c r="F84" s="34">
        <v>2011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R84+S84+IF(OR(H84="Junior",H84="Senior"),0.0002,IF(OR(H84="L7",H84="L6"),0.0001,0))+IF(G84="17-21",MAX(AA84,AC84,AF84),AE84)*0.0000001</f>
        <v>129.13000838400001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>IF(A84&lt;5,IF(_xlfn.MAXIFS(A:A,G:G,G84)&gt;3,5-A84,_xlfn.MAXIFS(A:A,G:G,G84)+1-A84),"")</f>
        <v/>
      </c>
      <c r="R84" s="4">
        <f>IF(G84="17-21",MAX(T84,V84,Y84,AA84,AC84,AF84),MAX(X84,AE84))</f>
        <v>83.84</v>
      </c>
      <c r="S84" s="4">
        <f>IF(G84="17-21",LARGE(CHOOSE({1,2,3,4,5,6},T84,V84,Y84,AA84,AC84,AF84),2),IF(R84=X84,MAX(Y84,AA84,AC84,AF84),IF(R84=AE84,MAX(AF84,T84,V84,Y84),0)))</f>
        <v>45.29</v>
      </c>
      <c r="T84" s="32">
        <v>38.130000000000003</v>
      </c>
      <c r="U84" s="37">
        <v>0</v>
      </c>
      <c r="V84" s="33">
        <v>18.79</v>
      </c>
      <c r="W84" s="37">
        <v>5</v>
      </c>
      <c r="X84" s="4">
        <f>IF(H84="Senior",MAX(T84,V84),T84+V84)</f>
        <v>56.92</v>
      </c>
      <c r="Y84" s="33">
        <v>45.29</v>
      </c>
      <c r="Z84" s="37">
        <v>10.1</v>
      </c>
      <c r="AA84" s="32">
        <v>39.75</v>
      </c>
      <c r="AB84" s="37">
        <v>0</v>
      </c>
      <c r="AC84" s="33">
        <v>44.09</v>
      </c>
      <c r="AD84" s="37">
        <v>9.4</v>
      </c>
      <c r="AE84" s="4">
        <f>IF(H84="Senior",MAX(AA84,AC84),AA84+AC84)</f>
        <v>83.84</v>
      </c>
      <c r="AF84" s="33">
        <v>45.03</v>
      </c>
      <c r="AG84" s="37">
        <v>10.1</v>
      </c>
    </row>
    <row r="85" spans="1:33" x14ac:dyDescent="0.2">
      <c r="A85" s="1" t="str" cm="1">
        <f t="array" ref="A85">IF(I85="","",IF(P85&lt;&gt;"",SUMPRODUCT((P$3:P$91&lt;&gt;"")*(G$3:G$91=G85)*(J$3:J$91&gt;J85)*(I$3:I$91="P"))+1,IF(O85&lt;&gt;"",SUMPRODUCT((O$3:O$91&lt;&gt;"")*(P$3:P$91="")*(G$3:G$91=G85)*(J$3:J$91&gt;J85)*(I$3:I$91="P"))+SUMPRODUCT((P$3:P$91&lt;&gt;"")*(G$3:G$91=G85)*(I$3:I$91="P"))+1,IF(N85&lt;&gt;"",SUMPRODUCT((N$3:N$91&lt;&gt;"")*(G$3:G$91=G85)*(J$3:J$91&gt;J85)*(I$3:I$91="P"))+1,IF(M85="P",SUMPRODUCT((O$3:O$91&lt;&gt;"")*(P$3:P$91="")*(G$3:G$91=G85)*(I$3:I$91="P"))+SUMPRODUCT((P$3:P$91&lt;&gt;"")*(G$3:G$91=G85)*(I$3:I$91="P"))+SUMPRODUCT((N$3:N$91&lt;&gt;"")*(G$3:G$91=G85)*(I$3:I$91="P"))+SUMPRODUCT((P$3:P$91="")*(O$3:O$91="")*(N$3:N$91="")*(M$3:M$91="P")*(G$3:G$91=G85)*(J$3:J$91&gt;J85)*(I$3:I$91="P"))+IF(H85="L5",SUMPRODUCT((P$3:P$91="")*(O$3:O$91="")*(N$3:N$91="")*(M$3:M$91="P")*(G$3:G$91=G85)*(J$3:J$91&lt;J85)*(H$3:H$91&lt;&gt;H85)*(I$3:I$91="P")),-1*SUMPRODUCT((P$3:P$91="")*(O$3:O$91="")*(N$3:N$91="")*(M$3:M$91="P")*(G$3:G$91=G85)*(J$3:J$91&gt;J85)*(H$3:H$91="L5")*(I$3:I$91="P")))+1,"")))))</f>
        <v/>
      </c>
      <c r="B85" s="1" t="str" cm="1">
        <f t="array" ref="B85">IF(P85&lt;&gt;"",SUMPRODUCT((P$3:P$91&lt;&gt;"")*(G$3:G$91=G85)*(J$3:J$91&gt;J85))+1,IF(O85&lt;&gt;"",SUMPRODUCT((O$3:O$91&lt;&gt;"")*(P$3:P$91="")*(G$3:G$91=G85)*(J$3:J$91&gt;J85))+SUMPRODUCT((P$3:P$91&lt;&gt;"")*(G$3:G$91=G85))+1,IF(N85&lt;&gt;"",SUMPRODUCT((N$3:N$91&lt;&gt;"")*(G$3:G$91=G85)*(J$3:J$91&gt;J85))+1,IF(M85="P",SUMPRODUCT((O$3:O$91&lt;&gt;"")*(P$3:P$91="")*(G$3:G$91=G85))+SUMPRODUCT((P$3:P$91&lt;&gt;"")*(G$3:G$91=G85))+SUMPRODUCT((N$3:N$91&lt;&gt;"")*(G$3:G$91=G85))+SUMPRODUCT((P$3:P$91="")*(O$3:O$91="")*(N$3:N$91="")*(M$3:M$91="P")*(G$3:G$91=G85)*(J$3:J$91&gt;J85))+IF(H85="L5",SUMPRODUCT((P$3:P$91="")*(O$3:O$91="")*(N$3:N$91="")*(M$3:M$91="P")*(G$3:G$91=G85)*(J$3:J$91&lt;J85)*(H$3:H$91&lt;&gt;H85)),-1*SUMPRODUCT((P$3:P$91="")*(O$3:O$91="")*(N$3:N$91="")*(M$3:M$91="P")*(G$3:G$91=G85)*(J$3:J$91&gt;J85)*(H$3:H$91="L5")))+1,""))))</f>
        <v/>
      </c>
      <c r="C85" s="35" t="s">
        <v>393</v>
      </c>
      <c r="D85" t="str">
        <f>IF(E85="","",VLOOKUP(E85,'Coaching Points'!A:B,2,0))</f>
        <v>QC</v>
      </c>
      <c r="E85" s="35" t="s">
        <v>72</v>
      </c>
      <c r="F85" s="34">
        <v>2011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R85+S85+IF(OR(H85="Junior",H85="Senior"),0.0002,IF(OR(H85="L7",H85="L6"),0.0001,0))+IF(G85="17-21",MAX(AA85,AC85,AF85),AE85)*0.0000001</f>
        <v>126.52000833400001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83.34</v>
      </c>
      <c r="S85" s="4">
        <f>IF(G85="17-21",LARGE(CHOOSE({1,2,3,4,5,6},T85,V85,Y85,AA85,AC85,AF85),2),IF(R85=X85,MAX(Y85,AA85,AC85,AF85),IF(R85=AE85,MAX(AF85,T85,V85,Y85),0)))</f>
        <v>43.18</v>
      </c>
      <c r="T85" s="32"/>
      <c r="U85" s="37"/>
      <c r="V85" s="33"/>
      <c r="W85" s="37"/>
      <c r="X85" s="4"/>
      <c r="Y85" s="33"/>
      <c r="Z85" s="37"/>
      <c r="AA85" s="32">
        <v>39.26</v>
      </c>
      <c r="AB85" s="37">
        <v>0</v>
      </c>
      <c r="AC85" s="33">
        <v>44.08</v>
      </c>
      <c r="AD85" s="37">
        <v>7.9</v>
      </c>
      <c r="AE85" s="4">
        <f>IF(H85="Senior",MAX(AA85,AC85),AA85+AC85)</f>
        <v>83.34</v>
      </c>
      <c r="AF85" s="33">
        <v>43.18</v>
      </c>
      <c r="AG85" s="37">
        <v>7.9</v>
      </c>
    </row>
    <row r="86" spans="1:33" x14ac:dyDescent="0.2">
      <c r="A86" s="1" t="str" cm="1">
        <f t="array" ref="A86">IF(I86="","",IF(P86&lt;&gt;"",SUMPRODUCT((P$3:P$91&lt;&gt;"")*(G$3:G$91=G86)*(J$3:J$91&gt;J86)*(I$3:I$91="P"))+1,IF(O86&lt;&gt;"",SUMPRODUCT((O$3:O$91&lt;&gt;"")*(P$3:P$91="")*(G$3:G$91=G86)*(J$3:J$91&gt;J86)*(I$3:I$91="P"))+SUMPRODUCT((P$3:P$91&lt;&gt;"")*(G$3:G$91=G86)*(I$3:I$91="P"))+1,IF(N86&lt;&gt;"",SUMPRODUCT((N$3:N$91&lt;&gt;"")*(G$3:G$91=G86)*(J$3:J$91&gt;J86)*(I$3:I$91="P"))+1,IF(M86="P",SUMPRODUCT((O$3:O$91&lt;&gt;"")*(P$3:P$91="")*(G$3:G$91=G86)*(I$3:I$91="P"))+SUMPRODUCT((P$3:P$91&lt;&gt;"")*(G$3:G$91=G86)*(I$3:I$91="P"))+SUMPRODUCT((N$3:N$91&lt;&gt;"")*(G$3:G$91=G86)*(I$3:I$91="P"))+SUMPRODUCT((P$3:P$91="")*(O$3:O$91="")*(N$3:N$91="")*(M$3:M$91="P")*(G$3:G$91=G86)*(J$3:J$91&gt;J86)*(I$3:I$91="P"))+IF(H86="L5",SUMPRODUCT((P$3:P$91="")*(O$3:O$91="")*(N$3:N$91="")*(M$3:M$91="P")*(G$3:G$91=G86)*(J$3:J$91&lt;J86)*(H$3:H$91&lt;&gt;H86)*(I$3:I$91="P")),-1*SUMPRODUCT((P$3:P$91="")*(O$3:O$91="")*(N$3:N$91="")*(M$3:M$91="P")*(G$3:G$91=G86)*(J$3:J$91&gt;J86)*(H$3:H$91="L5")*(I$3:I$91="P")))+1,"")))))</f>
        <v/>
      </c>
      <c r="B86" s="1" t="str" cm="1">
        <f t="array" ref="B86">IF(P86&lt;&gt;"",SUMPRODUCT((P$3:P$91&lt;&gt;"")*(G$3:G$91=G86)*(J$3:J$91&gt;J86))+1,IF(O86&lt;&gt;"",SUMPRODUCT((O$3:O$91&lt;&gt;"")*(P$3:P$91="")*(G$3:G$91=G86)*(J$3:J$91&gt;J86))+SUMPRODUCT((P$3:P$91&lt;&gt;"")*(G$3:G$91=G86))+1,IF(N86&lt;&gt;"",SUMPRODUCT((N$3:N$91&lt;&gt;"")*(G$3:G$91=G86)*(J$3:J$91&gt;J86))+1,IF(M86="P",SUMPRODUCT((O$3:O$91&lt;&gt;"")*(P$3:P$91="")*(G$3:G$91=G86))+SUMPRODUCT((P$3:P$91&lt;&gt;"")*(G$3:G$91=G86))+SUMPRODUCT((N$3:N$91&lt;&gt;"")*(G$3:G$91=G86))+SUMPRODUCT((P$3:P$91="")*(O$3:O$91="")*(N$3:N$91="")*(M$3:M$91="P")*(G$3:G$91=G86)*(J$3:J$91&gt;J86))+IF(H86="L5",SUMPRODUCT((P$3:P$91="")*(O$3:O$91="")*(N$3:N$91="")*(M$3:M$91="P")*(G$3:G$91=G86)*(J$3:J$91&lt;J86)*(H$3:H$91&lt;&gt;H86)),-1*SUMPRODUCT((P$3:P$91="")*(O$3:O$91="")*(N$3:N$91="")*(M$3:M$91="P")*(G$3:G$91=G86)*(J$3:J$91&gt;J86)*(H$3:H$91="L5")))+1,""))))</f>
        <v/>
      </c>
      <c r="C86" s="35" t="s">
        <v>188</v>
      </c>
      <c r="D86" t="str">
        <f>IF(E86="","",VLOOKUP(E86,'Coaching Points'!A:B,2,0))</f>
        <v>BC</v>
      </c>
      <c r="E86" s="35" t="s">
        <v>128</v>
      </c>
      <c r="F86" s="34">
        <v>2012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R86+S86+IF(OR(H86="Junior",H86="Senior"),0.0002,IF(OR(H86="L7",H86="L6"),0.0001,0))+IF(G86="17-21",MAX(AA86,AC86,AF86),AE86)*0.0000001</f>
        <v>126.07000444799999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80.759999999999991</v>
      </c>
      <c r="S86" s="4">
        <f>IF(G86="17-21",LARGE(CHOOSE({1,2,3,4,5,6},T86,V86,Y86,AA86,AC86,AF86),2),IF(R86=X86,MAX(Y86,AA86,AC86,AF86),IF(R86=AE86,MAX(AF86,T86,V86,Y86),0)))</f>
        <v>45.31</v>
      </c>
      <c r="T86" s="32">
        <v>37.36</v>
      </c>
      <c r="U86" s="37">
        <v>0</v>
      </c>
      <c r="V86" s="33">
        <v>43.4</v>
      </c>
      <c r="W86" s="37">
        <v>8.8000000000000007</v>
      </c>
      <c r="X86" s="4">
        <f>IF(H86="Senior",MAX(T86,V86),T86+V86)</f>
        <v>80.759999999999991</v>
      </c>
      <c r="Y86" s="33">
        <v>45.31</v>
      </c>
      <c r="Z86" s="37">
        <v>10.1</v>
      </c>
      <c r="AA86" s="32">
        <v>39</v>
      </c>
      <c r="AB86" s="37">
        <v>0</v>
      </c>
      <c r="AC86" s="33">
        <v>5.48</v>
      </c>
      <c r="AD86" s="37">
        <v>1.5</v>
      </c>
      <c r="AE86" s="4">
        <f>IF(H86="Senior",MAX(AA86,AC86),AA86+AC86)</f>
        <v>44.480000000000004</v>
      </c>
      <c r="AF86" s="33"/>
      <c r="AG86" s="37"/>
    </row>
    <row r="87" spans="1:33" x14ac:dyDescent="0.2">
      <c r="A87" s="1" t="str" cm="1">
        <f t="array" ref="A87">IF(I87="","",IF(P87&lt;&gt;"",SUMPRODUCT((P$3:P$91&lt;&gt;"")*(G$3:G$91=G87)*(J$3:J$91&gt;J87)*(I$3:I$91="P"))+1,IF(O87&lt;&gt;"",SUMPRODUCT((O$3:O$91&lt;&gt;"")*(P$3:P$91="")*(G$3:G$91=G87)*(J$3:J$91&gt;J87)*(I$3:I$91="P"))+SUMPRODUCT((P$3:P$91&lt;&gt;"")*(G$3:G$91=G87)*(I$3:I$91="P"))+1,IF(N87&lt;&gt;"",SUMPRODUCT((N$3:N$91&lt;&gt;"")*(G$3:G$91=G87)*(J$3:J$91&gt;J87)*(I$3:I$91="P"))+1,IF(M87="P",SUMPRODUCT((O$3:O$91&lt;&gt;"")*(P$3:P$91="")*(G$3:G$91=G87)*(I$3:I$91="P"))+SUMPRODUCT((P$3:P$91&lt;&gt;"")*(G$3:G$91=G87)*(I$3:I$91="P"))+SUMPRODUCT((N$3:N$91&lt;&gt;"")*(G$3:G$91=G87)*(I$3:I$91="P"))+SUMPRODUCT((P$3:P$91="")*(O$3:O$91="")*(N$3:N$91="")*(M$3:M$91="P")*(G$3:G$91=G87)*(J$3:J$91&gt;J87)*(I$3:I$91="P"))+IF(H87="L5",SUMPRODUCT((P$3:P$91="")*(O$3:O$91="")*(N$3:N$91="")*(M$3:M$91="P")*(G$3:G$91=G87)*(J$3:J$91&lt;J87)*(H$3:H$91&lt;&gt;H87)*(I$3:I$91="P")),-1*SUMPRODUCT((P$3:P$91="")*(O$3:O$91="")*(N$3:N$91="")*(M$3:M$91="P")*(G$3:G$91=G87)*(J$3:J$91&gt;J87)*(H$3:H$91="L5")*(I$3:I$91="P")))+1,"")))))</f>
        <v/>
      </c>
      <c r="B87" s="1" t="str" cm="1">
        <f t="array" ref="B87">IF(P87&lt;&gt;"",SUMPRODUCT((P$3:P$91&lt;&gt;"")*(G$3:G$91=G87)*(J$3:J$91&gt;J87))+1,IF(O87&lt;&gt;"",SUMPRODUCT((O$3:O$91&lt;&gt;"")*(P$3:P$91="")*(G$3:G$91=G87)*(J$3:J$91&gt;J87))+SUMPRODUCT((P$3:P$91&lt;&gt;"")*(G$3:G$91=G87))+1,IF(N87&lt;&gt;"",SUMPRODUCT((N$3:N$91&lt;&gt;"")*(G$3:G$91=G87)*(J$3:J$91&gt;J87))+1,IF(M87="P",SUMPRODUCT((O$3:O$91&lt;&gt;"")*(P$3:P$91="")*(G$3:G$91=G87))+SUMPRODUCT((P$3:P$91&lt;&gt;"")*(G$3:G$91=G87))+SUMPRODUCT((N$3:N$91&lt;&gt;"")*(G$3:G$91=G87))+SUMPRODUCT((P$3:P$91="")*(O$3:O$91="")*(N$3:N$91="")*(M$3:M$91="P")*(G$3:G$91=G87)*(J$3:J$91&gt;J87))+IF(H87="L5",SUMPRODUCT((P$3:P$91="")*(O$3:O$91="")*(N$3:N$91="")*(M$3:M$91="P")*(G$3:G$91=G87)*(J$3:J$91&lt;J87)*(H$3:H$91&lt;&gt;H87)),-1*SUMPRODUCT((P$3:P$91="")*(O$3:O$91="")*(N$3:N$91="")*(M$3:M$91="P")*(G$3:G$91=G87)*(J$3:J$91&gt;J87)*(H$3:H$91="L5")))+1,""))))</f>
        <v/>
      </c>
      <c r="C87" s="35" t="s">
        <v>195</v>
      </c>
      <c r="D87" t="str">
        <f>IF(E87="","",VLOOKUP(E87,'Coaching Points'!A:B,2,0))</f>
        <v>NL</v>
      </c>
      <c r="E87" s="35" t="s">
        <v>79</v>
      </c>
      <c r="F87" s="34">
        <v>2012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R87+S87+IF(OR(H87="Junior",H87="Senior"),0.0002,IF(OR(H87="L7",H87="L6"),0.0001,0))+IF(G87="17-21",MAX(AA87,AC87,AF87),AE87)*0.0000001</f>
        <v>124.810008057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80.569999999999993</v>
      </c>
      <c r="S87" s="4">
        <f>IF(G87="17-21",LARGE(CHOOSE({1,2,3,4,5,6},T87,V87,Y87,AA87,AC87,AF87),2),IF(R87=X87,MAX(Y87,AA87,AC87,AF87),IF(R87=AE87,MAX(AF87,T87,V87,Y87),0)))</f>
        <v>44.24</v>
      </c>
      <c r="T87" s="32">
        <v>33.33</v>
      </c>
      <c r="U87" s="37">
        <v>0</v>
      </c>
      <c r="V87" s="33">
        <v>13.71</v>
      </c>
      <c r="W87" s="37">
        <v>2.9</v>
      </c>
      <c r="X87" s="4">
        <f>IF(H87="Senior",MAX(T87,V87),T87+V87)</f>
        <v>47.04</v>
      </c>
      <c r="Y87" s="33"/>
      <c r="Z87" s="37"/>
      <c r="AA87" s="32">
        <v>36.049999999999997</v>
      </c>
      <c r="AB87" s="37">
        <v>0</v>
      </c>
      <c r="AC87" s="33">
        <v>44.52</v>
      </c>
      <c r="AD87" s="37">
        <v>8.4</v>
      </c>
      <c r="AE87" s="4">
        <f>IF(H87="Senior",MAX(AA87,AC87),AA87+AC87)</f>
        <v>80.569999999999993</v>
      </c>
      <c r="AF87" s="33">
        <v>44.24</v>
      </c>
      <c r="AG87" s="37">
        <v>8.4</v>
      </c>
    </row>
    <row r="88" spans="1:33" x14ac:dyDescent="0.2">
      <c r="A88" s="1" t="str" cm="1">
        <f t="array" ref="A88">IF(I88="","",IF(P88&lt;&gt;"",SUMPRODUCT((P$3:P$91&lt;&gt;"")*(G$3:G$91=G88)*(J$3:J$91&gt;J88)*(I$3:I$91="P"))+1,IF(O88&lt;&gt;"",SUMPRODUCT((O$3:O$91&lt;&gt;"")*(P$3:P$91="")*(G$3:G$91=G88)*(J$3:J$91&gt;J88)*(I$3:I$91="P"))+SUMPRODUCT((P$3:P$91&lt;&gt;"")*(G$3:G$91=G88)*(I$3:I$91="P"))+1,IF(N88&lt;&gt;"",SUMPRODUCT((N$3:N$91&lt;&gt;"")*(G$3:G$91=G88)*(J$3:J$91&gt;J88)*(I$3:I$91="P"))+1,IF(M88="P",SUMPRODUCT((O$3:O$91&lt;&gt;"")*(P$3:P$91="")*(G$3:G$91=G88)*(I$3:I$91="P"))+SUMPRODUCT((P$3:P$91&lt;&gt;"")*(G$3:G$91=G88)*(I$3:I$91="P"))+SUMPRODUCT((N$3:N$91&lt;&gt;"")*(G$3:G$91=G88)*(I$3:I$91="P"))+SUMPRODUCT((P$3:P$91="")*(O$3:O$91="")*(N$3:N$91="")*(M$3:M$91="P")*(G$3:G$91=G88)*(J$3:J$91&gt;J88)*(I$3:I$91="P"))+IF(H88="L5",SUMPRODUCT((P$3:P$91="")*(O$3:O$91="")*(N$3:N$91="")*(M$3:M$91="P")*(G$3:G$91=G88)*(J$3:J$91&lt;J88)*(H$3:H$91&lt;&gt;H88)*(I$3:I$91="P")),-1*SUMPRODUCT((P$3:P$91="")*(O$3:O$91="")*(N$3:N$91="")*(M$3:M$91="P")*(G$3:G$91=G88)*(J$3:J$91&gt;J88)*(H$3:H$91="L5")*(I$3:I$91="P")))+1,"")))))</f>
        <v/>
      </c>
      <c r="B88" s="1" cm="1">
        <f t="array" ref="B88">IF(P88&lt;&gt;"",SUMPRODUCT((P$3:P$91&lt;&gt;"")*(G$3:G$91=G88)*(J$3:J$91&gt;J88))+1,IF(O88&lt;&gt;"",SUMPRODUCT((O$3:O$91&lt;&gt;"")*(P$3:P$91="")*(G$3:G$91=G88)*(J$3:J$91&gt;J88))+SUMPRODUCT((P$3:P$91&lt;&gt;"")*(G$3:G$91=G88))+1,IF(N88&lt;&gt;"",SUMPRODUCT((N$3:N$91&lt;&gt;"")*(G$3:G$91=G88)*(J$3:J$91&gt;J88))+1,IF(M88="P",SUMPRODUCT((O$3:O$91&lt;&gt;"")*(P$3:P$91="")*(G$3:G$91=G88))+SUMPRODUCT((P$3:P$91&lt;&gt;"")*(G$3:G$91=G88))+SUMPRODUCT((N$3:N$91&lt;&gt;"")*(G$3:G$91=G88))+SUMPRODUCT((P$3:P$91="")*(O$3:O$91="")*(N$3:N$91="")*(M$3:M$91="P")*(G$3:G$91=G88)*(J$3:J$91&gt;J88))+IF(H88="L5",SUMPRODUCT((P$3:P$91="")*(O$3:O$91="")*(N$3:N$91="")*(M$3:M$91="P")*(G$3:G$91=G88)*(J$3:J$91&lt;J88)*(H$3:H$91&lt;&gt;H88)),-1*SUMPRODUCT((P$3:P$91="")*(O$3:O$91="")*(N$3:N$91="")*(M$3:M$91="P")*(G$3:G$91=G88)*(J$3:J$91&gt;J88)*(H$3:H$91="L5")))+1,""))))</f>
        <v>1</v>
      </c>
      <c r="C88" s="35" t="s">
        <v>187</v>
      </c>
      <c r="D88" t="str">
        <f>IF(E88="","",VLOOKUP(E88,'Coaching Points'!A:B,2,0))</f>
        <v>BC</v>
      </c>
      <c r="E88" s="35" t="s">
        <v>40</v>
      </c>
      <c r="F88" s="34">
        <v>2013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11-12</v>
      </c>
      <c r="H88" s="36" t="s">
        <v>214</v>
      </c>
      <c r="I88" s="40"/>
      <c r="J88" s="4">
        <f>R88+S88+IF(OR(H88="Junior",H88="Senior"),0.0002,IF(OR(H88="L7",H88="L6"),0.0001,0))+IF(G88="17-21",MAX(AA88,AC88,AF88),AE88)*0.0000001</f>
        <v>131.510008559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>P</v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>P</v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>P</v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85.59</v>
      </c>
      <c r="S88" s="4">
        <f>IF(G88="17-21",LARGE(CHOOSE({1,2,3,4,5,6},T88,V88,Y88,AA88,AC88,AF88),2),IF(R88=X88,MAX(Y88,AA88,AC88,AF88),IF(R88=AE88,MAX(AF88,T88,V88,Y88),0)))</f>
        <v>45.92</v>
      </c>
      <c r="T88" s="32">
        <v>37.1</v>
      </c>
      <c r="U88" s="37">
        <v>0</v>
      </c>
      <c r="V88" s="33">
        <v>44.44</v>
      </c>
      <c r="W88" s="37">
        <v>9.5</v>
      </c>
      <c r="X88" s="4">
        <f>IF(H88="Senior",MAX(T88,V88),T88+V88)</f>
        <v>81.539999999999992</v>
      </c>
      <c r="Y88" s="33">
        <v>45.92</v>
      </c>
      <c r="Z88" s="37">
        <v>9.5</v>
      </c>
      <c r="AA88" s="32">
        <v>39.1</v>
      </c>
      <c r="AB88" s="37">
        <v>0</v>
      </c>
      <c r="AC88" s="33">
        <v>46.49</v>
      </c>
      <c r="AD88" s="37">
        <v>10</v>
      </c>
      <c r="AE88" s="4">
        <f>IF(H88="Senior",MAX(AA88,AC88),AA88+AC88)</f>
        <v>85.59</v>
      </c>
      <c r="AF88" s="33">
        <v>41.17</v>
      </c>
      <c r="AG88" s="37">
        <v>10</v>
      </c>
    </row>
    <row r="89" spans="1:33" x14ac:dyDescent="0.2">
      <c r="A89" s="1" t="str" cm="1">
        <f t="array" ref="A89">IF(I89="","",IF(P89&lt;&gt;"",SUMPRODUCT((P$3:P$91&lt;&gt;"")*(G$3:G$91=G89)*(J$3:J$91&gt;J89)*(I$3:I$91="P"))+1,IF(O89&lt;&gt;"",SUMPRODUCT((O$3:O$91&lt;&gt;"")*(P$3:P$91="")*(G$3:G$91=G89)*(J$3:J$91&gt;J89)*(I$3:I$91="P"))+SUMPRODUCT((P$3:P$91&lt;&gt;"")*(G$3:G$91=G89)*(I$3:I$91="P"))+1,IF(N89&lt;&gt;"",SUMPRODUCT((N$3:N$91&lt;&gt;"")*(G$3:G$91=G89)*(J$3:J$91&gt;J89)*(I$3:I$91="P"))+1,IF(M89="P",SUMPRODUCT((O$3:O$91&lt;&gt;"")*(P$3:P$91="")*(G$3:G$91=G89)*(I$3:I$91="P"))+SUMPRODUCT((P$3:P$91&lt;&gt;"")*(G$3:G$91=G89)*(I$3:I$91="P"))+SUMPRODUCT((N$3:N$91&lt;&gt;"")*(G$3:G$91=G89)*(I$3:I$91="P"))+SUMPRODUCT((P$3:P$91="")*(O$3:O$91="")*(N$3:N$91="")*(M$3:M$91="P")*(G$3:G$91=G89)*(J$3:J$91&gt;J89)*(I$3:I$91="P"))+IF(H89="L5",SUMPRODUCT((P$3:P$91="")*(O$3:O$91="")*(N$3:N$91="")*(M$3:M$91="P")*(G$3:G$91=G89)*(J$3:J$91&lt;J89)*(H$3:H$91&lt;&gt;H89)*(I$3:I$91="P")),-1*SUMPRODUCT((P$3:P$91="")*(O$3:O$91="")*(N$3:N$91="")*(M$3:M$91="P")*(G$3:G$91=G89)*(J$3:J$91&gt;J89)*(H$3:H$91="L5")*(I$3:I$91="P")))+1,"")))))</f>
        <v/>
      </c>
      <c r="B89" s="1" t="str" cm="1">
        <f t="array" ref="B89">IF(P89&lt;&gt;"",SUMPRODUCT((P$3:P$91&lt;&gt;"")*(G$3:G$91=G89)*(J$3:J$91&gt;J89))+1,IF(O89&lt;&gt;"",SUMPRODUCT((O$3:O$91&lt;&gt;"")*(P$3:P$91="")*(G$3:G$91=G89)*(J$3:J$91&gt;J89))+SUMPRODUCT((P$3:P$91&lt;&gt;"")*(G$3:G$91=G89))+1,IF(N89&lt;&gt;"",SUMPRODUCT((N$3:N$91&lt;&gt;"")*(G$3:G$91=G89)*(J$3:J$91&gt;J89))+1,IF(M89="P",SUMPRODUCT((O$3:O$91&lt;&gt;"")*(P$3:P$91="")*(G$3:G$91=G89))+SUMPRODUCT((P$3:P$91&lt;&gt;"")*(G$3:G$91=G89))+SUMPRODUCT((N$3:N$91&lt;&gt;"")*(G$3:G$91=G89))+SUMPRODUCT((P$3:P$91="")*(O$3:O$91="")*(N$3:N$91="")*(M$3:M$91="P")*(G$3:G$91=G89)*(J$3:J$91&gt;J89))+IF(H89="L5",SUMPRODUCT((P$3:P$91="")*(O$3:O$91="")*(N$3:N$91="")*(M$3:M$91="P")*(G$3:G$91=G89)*(J$3:J$91&lt;J89)*(H$3:H$91&lt;&gt;H89)),-1*SUMPRODUCT((P$3:P$91="")*(O$3:O$91="")*(N$3:N$91="")*(M$3:M$91="P")*(G$3:G$91=G89)*(J$3:J$91&gt;J89)*(H$3:H$91="L5")))+1,""))))</f>
        <v/>
      </c>
      <c r="C89" s="35" t="s">
        <v>192</v>
      </c>
      <c r="D89" t="str">
        <f>IF(E89="","",VLOOKUP(E89,'Coaching Points'!A:B,2,0))</f>
        <v>BC</v>
      </c>
      <c r="E89" s="35" t="s">
        <v>44</v>
      </c>
      <c r="F89" s="34">
        <v>2013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11-12</v>
      </c>
      <c r="H89" s="36" t="s">
        <v>214</v>
      </c>
      <c r="I89" s="40"/>
      <c r="J89" s="4">
        <f>R89+S89+IF(OR(H89="Junior",H89="Senior"),0.0002,IF(OR(H89="L7",H89="L6"),0.0001,0))+IF(G89="17-21",MAX(AA89,AC89,AF89),AE89)*0.0000001</f>
        <v>125.950008251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>P</v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82.51</v>
      </c>
      <c r="S89" s="4">
        <f>IF(G89="17-21",LARGE(CHOOSE({1,2,3,4,5,6},T89,V89,Y89,AA89,AC89,AF89),2),IF(R89=X89,MAX(Y89,AA89,AC89,AF89),IF(R89=AE89,MAX(AF89,T89,V89,Y89),0)))</f>
        <v>43.44</v>
      </c>
      <c r="T89" s="32">
        <v>37.229999999999997</v>
      </c>
      <c r="U89" s="37">
        <v>0</v>
      </c>
      <c r="V89" s="33">
        <v>42.63</v>
      </c>
      <c r="W89" s="37">
        <v>8.6</v>
      </c>
      <c r="X89" s="4">
        <f>IF(H89="Senior",MAX(T89,V89),T89+V89)</f>
        <v>79.86</v>
      </c>
      <c r="Y89" s="33">
        <v>42.16</v>
      </c>
      <c r="Z89" s="37">
        <v>8</v>
      </c>
      <c r="AA89" s="32">
        <v>38.340000000000003</v>
      </c>
      <c r="AB89" s="37">
        <v>0</v>
      </c>
      <c r="AC89" s="33">
        <v>44.17</v>
      </c>
      <c r="AD89" s="37">
        <v>9.3000000000000007</v>
      </c>
      <c r="AE89" s="4">
        <f>IF(H89="Senior",MAX(AA89,AC89),AA89+AC89)</f>
        <v>82.51</v>
      </c>
      <c r="AF89" s="33">
        <v>43.44</v>
      </c>
      <c r="AG89" s="37">
        <v>9.3000000000000007</v>
      </c>
    </row>
    <row r="90" spans="1:33" x14ac:dyDescent="0.2">
      <c r="A90" s="1" t="str" cm="1">
        <f t="array" ref="A90">IF(I90="","",IF(P90&lt;&gt;"",SUMPRODUCT((P$3:P$91&lt;&gt;"")*(G$3:G$91=G90)*(J$3:J$91&gt;J90)*(I$3:I$91="P"))+1,IF(O90&lt;&gt;"",SUMPRODUCT((O$3:O$91&lt;&gt;"")*(P$3:P$91="")*(G$3:G$91=G90)*(J$3:J$91&gt;J90)*(I$3:I$91="P"))+SUMPRODUCT((P$3:P$91&lt;&gt;"")*(G$3:G$91=G90)*(I$3:I$91="P"))+1,IF(N90&lt;&gt;"",SUMPRODUCT((N$3:N$91&lt;&gt;"")*(G$3:G$91=G90)*(J$3:J$91&gt;J90)*(I$3:I$91="P"))+1,IF(M90="P",SUMPRODUCT((O$3:O$91&lt;&gt;"")*(P$3:P$91="")*(G$3:G$91=G90)*(I$3:I$91="P"))+SUMPRODUCT((P$3:P$91&lt;&gt;"")*(G$3:G$91=G90)*(I$3:I$91="P"))+SUMPRODUCT((N$3:N$91&lt;&gt;"")*(G$3:G$91=G90)*(I$3:I$91="P"))+SUMPRODUCT((P$3:P$91="")*(O$3:O$91="")*(N$3:N$91="")*(M$3:M$91="P")*(G$3:G$91=G90)*(J$3:J$91&gt;J90)*(I$3:I$91="P"))+IF(H90="L5",SUMPRODUCT((P$3:P$91="")*(O$3:O$91="")*(N$3:N$91="")*(M$3:M$91="P")*(G$3:G$91=G90)*(J$3:J$91&lt;J90)*(H$3:H$91&lt;&gt;H90)*(I$3:I$91="P")),-1*SUMPRODUCT((P$3:P$91="")*(O$3:O$91="")*(N$3:N$91="")*(M$3:M$91="P")*(G$3:G$91=G90)*(J$3:J$91&gt;J90)*(H$3:H$91="L5")*(I$3:I$91="P")))+1,"")))))</f>
        <v/>
      </c>
      <c r="B90" s="1" t="str" cm="1">
        <f t="array" ref="B90">IF(P90&lt;&gt;"",SUMPRODUCT((P$3:P$91&lt;&gt;"")*(G$3:G$91=G90)*(J$3:J$91&gt;J90))+1,IF(O90&lt;&gt;"",SUMPRODUCT((O$3:O$91&lt;&gt;"")*(P$3:P$91="")*(G$3:G$91=G90)*(J$3:J$91&gt;J90))+SUMPRODUCT((P$3:P$91&lt;&gt;"")*(G$3:G$91=G90))+1,IF(N90&lt;&gt;"",SUMPRODUCT((N$3:N$91&lt;&gt;"")*(G$3:G$91=G90)*(J$3:J$91&gt;J90))+1,IF(M90="P",SUMPRODUCT((O$3:O$91&lt;&gt;"")*(P$3:P$91="")*(G$3:G$91=G90))+SUMPRODUCT((P$3:P$91&lt;&gt;"")*(G$3:G$91=G90))+SUMPRODUCT((N$3:N$91&lt;&gt;"")*(G$3:G$91=G90))+SUMPRODUCT((P$3:P$91="")*(O$3:O$91="")*(N$3:N$91="")*(M$3:M$91="P")*(G$3:G$91=G90)*(J$3:J$91&gt;J90))+IF(H90="L5",SUMPRODUCT((P$3:P$91="")*(O$3:O$91="")*(N$3:N$91="")*(M$3:M$91="P")*(G$3:G$91=G90)*(J$3:J$91&lt;J90)*(H$3:H$91&lt;&gt;H90)),-1*SUMPRODUCT((P$3:P$91="")*(O$3:O$91="")*(N$3:N$91="")*(M$3:M$91="P")*(G$3:G$91=G90)*(J$3:J$91&gt;J90)*(H$3:H$91="L5")))+1,""))))</f>
        <v/>
      </c>
      <c r="C90" s="35" t="s">
        <v>190</v>
      </c>
      <c r="D90" t="str">
        <f>IF(E90="","",VLOOKUP(E90,'Coaching Points'!A:B,2,0))</f>
        <v>QC</v>
      </c>
      <c r="E90" s="35" t="s">
        <v>3</v>
      </c>
      <c r="F90" s="34">
        <v>2013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>R90+S90+IF(OR(H90="Junior",H90="Senior"),0.0002,IF(OR(H90="L7",H90="L6"),0.0001,0))+IF(G90="17-21",MAX(AA90,AC90,AF90),AE90)*0.0000001</f>
        <v>125.100005305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80.849999999999994</v>
      </c>
      <c r="S90" s="4">
        <f>IF(G90="17-21",LARGE(CHOOSE({1,2,3,4,5,6},T90,V90,Y90,AA90,AC90,AF90),2),IF(R90=X90,MAX(Y90,AA90,AC90,AF90),IF(R90=AE90,MAX(AF90,T90,V90,Y90),0)))</f>
        <v>44.25</v>
      </c>
      <c r="T90" s="32">
        <v>36.85</v>
      </c>
      <c r="U90" s="37">
        <v>0</v>
      </c>
      <c r="V90" s="33">
        <v>44</v>
      </c>
      <c r="W90" s="37">
        <v>7.7</v>
      </c>
      <c r="X90" s="4">
        <f>IF(H90="Senior",MAX(T90,V90),T90+V90)</f>
        <v>80.849999999999994</v>
      </c>
      <c r="Y90" s="33">
        <v>44.25</v>
      </c>
      <c r="Z90" s="37">
        <v>7.7</v>
      </c>
      <c r="AA90" s="32">
        <v>35.299999999999997</v>
      </c>
      <c r="AB90" s="37">
        <v>0</v>
      </c>
      <c r="AC90" s="33">
        <v>17.75</v>
      </c>
      <c r="AD90" s="37">
        <v>4</v>
      </c>
      <c r="AE90" s="4">
        <f>IF(H90="Senior",MAX(AA90,AC90),AA90+AC90)</f>
        <v>53.05</v>
      </c>
      <c r="AF90" s="33">
        <v>43.7</v>
      </c>
      <c r="AG90" s="37">
        <v>8.1999999999999993</v>
      </c>
    </row>
    <row r="91" spans="1:33" x14ac:dyDescent="0.2">
      <c r="A91" s="1" t="str" cm="1">
        <f t="array" ref="A91">IF(I91="","",IF(P91&lt;&gt;"",SUMPRODUCT((P$3:P$91&lt;&gt;"")*(G$3:G$91=G91)*(J$3:J$91&gt;J91)*(I$3:I$91="P"))+1,IF(O91&lt;&gt;"",SUMPRODUCT((O$3:O$91&lt;&gt;"")*(P$3:P$91="")*(G$3:G$91=G91)*(J$3:J$91&gt;J91)*(I$3:I$91="P"))+SUMPRODUCT((P$3:P$91&lt;&gt;"")*(G$3:G$91=G91)*(I$3:I$91="P"))+1,IF(N91&lt;&gt;"",SUMPRODUCT((N$3:N$91&lt;&gt;"")*(G$3:G$91=G91)*(J$3:J$91&gt;J91)*(I$3:I$91="P"))+1,IF(M91="P",SUMPRODUCT((O$3:O$91&lt;&gt;"")*(P$3:P$91="")*(G$3:G$91=G91)*(I$3:I$91="P"))+SUMPRODUCT((P$3:P$91&lt;&gt;"")*(G$3:G$91=G91)*(I$3:I$91="P"))+SUMPRODUCT((N$3:N$91&lt;&gt;"")*(G$3:G$91=G91)*(I$3:I$91="P"))+SUMPRODUCT((P$3:P$91="")*(O$3:O$91="")*(N$3:N$91="")*(M$3:M$91="P")*(G$3:G$91=G91)*(J$3:J$91&gt;J91)*(I$3:I$91="P"))+IF(H91="L5",SUMPRODUCT((P$3:P$91="")*(O$3:O$91="")*(N$3:N$91="")*(M$3:M$91="P")*(G$3:G$91=G91)*(J$3:J$91&lt;J91)*(H$3:H$91&lt;&gt;H91)*(I$3:I$91="P")),-1*SUMPRODUCT((P$3:P$91="")*(O$3:O$91="")*(N$3:N$91="")*(M$3:M$91="P")*(G$3:G$91=G91)*(J$3:J$91&gt;J91)*(H$3:H$91="L5")*(I$3:I$91="P")))+1,"")))))</f>
        <v/>
      </c>
      <c r="B91" s="1" t="str" cm="1">
        <f t="array" ref="B91">IF(P91&lt;&gt;"",SUMPRODUCT((P$3:P$91&lt;&gt;"")*(G$3:G$91=G91)*(J$3:J$91&gt;J91))+1,IF(O91&lt;&gt;"",SUMPRODUCT((O$3:O$91&lt;&gt;"")*(P$3:P$91="")*(G$3:G$91=G91)*(J$3:J$91&gt;J91))+SUMPRODUCT((P$3:P$91&lt;&gt;"")*(G$3:G$91=G91))+1,IF(N91&lt;&gt;"",SUMPRODUCT((N$3:N$91&lt;&gt;"")*(G$3:G$91=G91)*(J$3:J$91&gt;J91))+1,IF(M91="P",SUMPRODUCT((O$3:O$91&lt;&gt;"")*(P$3:P$91="")*(G$3:G$91=G91))+SUMPRODUCT((P$3:P$91&lt;&gt;"")*(G$3:G$91=G91))+SUMPRODUCT((N$3:N$91&lt;&gt;"")*(G$3:G$91=G91))+SUMPRODUCT((P$3:P$91="")*(O$3:O$91="")*(N$3:N$91="")*(M$3:M$91="P")*(G$3:G$91=G91)*(J$3:J$91&gt;J91))+IF(H91="L5",SUMPRODUCT((P$3:P$91="")*(O$3:O$91="")*(N$3:N$91="")*(M$3:M$91="P")*(G$3:G$91=G91)*(J$3:J$91&lt;J91)*(H$3:H$91&lt;&gt;H91)),-1*SUMPRODUCT((P$3:P$91="")*(O$3:O$91="")*(N$3:N$91="")*(M$3:M$91="P")*(G$3:G$91=G91)*(J$3:J$91&gt;J91)*(H$3:H$91="L5")))+1,""))))</f>
        <v/>
      </c>
      <c r="C91" s="35" t="s">
        <v>189</v>
      </c>
      <c r="D91" t="str">
        <f>IF(E91="","",VLOOKUP(E91,'Coaching Points'!A:B,2,0))</f>
        <v>BC</v>
      </c>
      <c r="E91" s="35" t="s">
        <v>149</v>
      </c>
      <c r="F91" s="34">
        <v>2013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>R91+S91+IF(OR(H91="Junior",H91="Senior"),0.0002,IF(OR(H91="L7",H91="L6"),0.0001,0))+IF(G91="17-21",MAX(AA91,AC91,AF91),AE91)*0.0000001</f>
        <v>97.530005289000002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>P</v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52.89</v>
      </c>
      <c r="S91" s="4">
        <f>IF(G91="17-21",LARGE(CHOOSE({1,2,3,4,5,6},T91,V91,Y91,AA91,AC91,AF91),2),IF(R91=X91,MAX(Y91,AA91,AC91,AF91),IF(R91=AE91,MAX(AF91,T91,V91,Y91),0)))</f>
        <v>44.64</v>
      </c>
      <c r="T91" s="32">
        <v>35.770000000000003</v>
      </c>
      <c r="U91" s="37">
        <v>0</v>
      </c>
      <c r="V91" s="33">
        <v>16.61</v>
      </c>
      <c r="W91" s="37">
        <v>3.4</v>
      </c>
      <c r="X91" s="4">
        <f>IF(H91="Senior",MAX(T91,V91),T91+V91)</f>
        <v>52.38</v>
      </c>
      <c r="Y91" s="33">
        <v>44.64</v>
      </c>
      <c r="Z91" s="37">
        <v>8.1999999999999993</v>
      </c>
      <c r="AA91" s="32">
        <v>9.44</v>
      </c>
      <c r="AB91" s="37">
        <v>0</v>
      </c>
      <c r="AC91" s="33">
        <v>43.45</v>
      </c>
      <c r="AD91" s="37">
        <v>9</v>
      </c>
      <c r="AE91" s="4">
        <f>IF(H91="Senior",MAX(AA91,AC91),AA91+AC91)</f>
        <v>52.89</v>
      </c>
      <c r="AF91" s="33"/>
      <c r="AG91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91">
      <sortCondition descending="1" ref="G1:G92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138</v>
      </c>
      <c r="S1" s="66" t="s">
        <v>137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$102&lt;&gt;"")*(G$3:G$102=G3)*(J$3:J$102&gt;J3)*(I$3:I$102="P"))+1,IF(O3&lt;&gt;"",SUMPRODUCT((O$3:O$102&lt;&gt;"")*(P$3:P$102="")*(G$3:G$102=G3)*(J$3:J$102&gt;J3)*(I$3:I$102="P"))+SUMPRODUCT((P$3:P$102&lt;&gt;"")*(G$3:G$102=G3)*(I$3:I$102="P"))+1,IF(N3&lt;&gt;"",SUMPRODUCT((N$3:N$102&lt;&gt;"")*(G$3:G$102=G3)*(J$3:J$102&gt;J3)*(I$3:I$102="P"))+1,IF(M3="P",SUMPRODUCT((O$3:O$102&lt;&gt;"")*(P$3:P$102="")*(G$3:G$102=G3)*(I$3:I$102="P"))+SUMPRODUCT((P$3:P$102&lt;&gt;"")*(G$3:G$102=G3)*(I$3:I$102="P"))+SUMPRODUCT((N$3:N$102&lt;&gt;"")*(G$3:G$102=G3)*(I$3:I$102="P"))+SUMPRODUCT((P$3:P$102="")*(O$3:O$102="")*(N$3:N$102="")*(M$3:M$102="P")*(G$3:G$102=G3)*(J$3:J$102&gt;J3)*(I$3:I$102="P"))+IF(H3="L5",SUMPRODUCT((P$3:P$102="")*(O$3:O$102="")*(N$3:N$102="")*(M$3:M$102="P")*(G$3:G$102=G3)*(J$3:J$102&lt;J3)*(H$3:H$102&lt;&gt;H3)*(I$3:I$102="P")),-1*SUMPRODUCT((P$3:P$102="")*(O$3:O$102="")*(N$3:N$102="")*(M$3:M$102="P")*(G$3:G$102=G3)*(J$3:J$102&gt;J3)*(H$3:H$102="L5")*(I$3:I$102="P")))+1,"")))))</f>
        <v/>
      </c>
      <c r="B3" s="1" cm="1">
        <f t="array" ref="B3">IF(P3&lt;&gt;"",SUMPRODUCT((P$3:P$102&lt;&gt;"")*(G$3:G$102=G3)*(J$3:J$102&gt;J3))+1,IF(O3&lt;&gt;"",SUMPRODUCT((O$3:O$102&lt;&gt;"")*(P$3:P$102="")*(G$3:G$102=G3)*(J$3:J$102&gt;J3))+SUMPRODUCT((P$3:P$102&lt;&gt;"")*(G$3:G$102=G3))+1,IF(N3&lt;&gt;"",SUMPRODUCT((N$3:N$102&lt;&gt;"")*(G$3:G$102=G3)*(J$3:J$102&gt;J3))+1,IF(M3="P",SUMPRODUCT((O$3:O$102&lt;&gt;"")*(P$3:P$102="")*(G$3:G$102=G3))+SUMPRODUCT((P$3:P$102&lt;&gt;"")*(G$3:G$102=G3))+SUMPRODUCT((N$3:N$102&lt;&gt;"")*(G$3:G$102=G3))+SUMPRODUCT((P$3:P$102="")*(O$3:O$102="")*(N$3:N$102="")*(M$3:M$102="P")*(G$3:G$102=G3)*(J$3:J$102&gt;J3))+IF(H3="L5",SUMPRODUCT((P$3:P$102="")*(O$3:O$102="")*(N$3:N$102="")*(M$3:M$102="P")*(G$3:G$102=G3)*(J$3:J$102&lt;J3)*(H$3:H$102&lt;&gt;H3)),-1*SUMPRODUCT((P$3:P$102="")*(O$3:O$102="")*(N$3:N$102="")*(M$3:M$102="P")*(G$3:G$102=G3)*(J$3:J$102&gt;J3)*(H$3:H$102="L5")))+1,""))))</f>
        <v>1</v>
      </c>
      <c r="C3" s="35" t="s">
        <v>215</v>
      </c>
      <c r="D3" t="str">
        <f>IF(E3="","",VLOOKUP(E3,'Coaching Points'!A:B,2,0))</f>
        <v>QC</v>
      </c>
      <c r="E3" s="35" t="s">
        <v>72</v>
      </c>
      <c r="F3" s="34">
        <v>2007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R3+S3+IF(OR(H3="Junior",H3="Senior"),0.0002,IF(OR(H3="L7",H3="L6"),0.0001,0))+IF(G3="17-21",MAX(AA3,AC3,AF3),AE3)*0.0000001</f>
        <v>104.020205215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8</v>
      </c>
      <c r="Q3" s="1" t="str">
        <f>IF(A3&lt;5,IF(_xlfn.MAXIFS(A:A,G:G,G3)&gt;3,5-A3,_xlfn.MAXIFS(A:A,G:G,G3)+1-A3),"")</f>
        <v/>
      </c>
      <c r="R3" s="4">
        <f>IF(G3="17-21",MAX(T3,V3,Y3,AA3,AC3,AF3),MAX(X3,AE3))</f>
        <v>52.15</v>
      </c>
      <c r="S3" s="4">
        <f>IF(G3="17-21",LARGE(CHOOSE({1,2,3,4,5,6},T3,V3,Y3,AA3,AC3,AF3),2),IF(R3=X3,MAX(Y3,AA3,AC3,AF3),IF(R3=AE3,MAX(AF3,T3,V3,Y3),0)))</f>
        <v>51.87</v>
      </c>
      <c r="T3" s="32">
        <v>49.05</v>
      </c>
      <c r="U3" s="37">
        <v>12.4</v>
      </c>
      <c r="V3" s="33">
        <v>51.49</v>
      </c>
      <c r="W3" s="37">
        <v>13.4</v>
      </c>
      <c r="X3" s="4">
        <f>IF(H3="Senior",MAX(T3,V3),T3+V3)</f>
        <v>51.49</v>
      </c>
      <c r="Y3" s="33">
        <v>51.46</v>
      </c>
      <c r="Z3" s="37">
        <v>14.3</v>
      </c>
      <c r="AA3" s="32">
        <v>46.95</v>
      </c>
      <c r="AB3" s="37">
        <v>10.8</v>
      </c>
      <c r="AC3" s="33">
        <v>52.15</v>
      </c>
      <c r="AD3" s="37">
        <v>14.3</v>
      </c>
      <c r="AE3" s="4">
        <f>IF(H3="Senior",MAX(AA3,AC3),AA3+AC3)</f>
        <v>52.15</v>
      </c>
      <c r="AF3" s="33">
        <v>51.87</v>
      </c>
      <c r="AG3" s="37">
        <v>14.3</v>
      </c>
    </row>
    <row r="4" spans="1:34" x14ac:dyDescent="0.2">
      <c r="A4" s="1" t="str" cm="1">
        <f t="array" ref="A4">IF(I4="","",IF(P4&lt;&gt;"",SUMPRODUCT((P$3:P$102&lt;&gt;"")*(G$3:G$102=G4)*(J$3:J$102&gt;J4)*(I$3:I$102="P"))+1,IF(O4&lt;&gt;"",SUMPRODUCT((O$3:O$102&lt;&gt;"")*(P$3:P$102="")*(G$3:G$102=G4)*(J$3:J$102&gt;J4)*(I$3:I$102="P"))+SUMPRODUCT((P$3:P$102&lt;&gt;"")*(G$3:G$102=G4)*(I$3:I$102="P"))+1,IF(N4&lt;&gt;"",SUMPRODUCT((N$3:N$102&lt;&gt;"")*(G$3:G$102=G4)*(J$3:J$102&gt;J4)*(I$3:I$102="P"))+1,IF(M4="P",SUMPRODUCT((O$3:O$102&lt;&gt;"")*(P$3:P$102="")*(G$3:G$102=G4)*(I$3:I$102="P"))+SUMPRODUCT((P$3:P$102&lt;&gt;"")*(G$3:G$102=G4)*(I$3:I$102="P"))+SUMPRODUCT((N$3:N$102&lt;&gt;"")*(G$3:G$102=G4)*(I$3:I$102="P"))+SUMPRODUCT((P$3:P$102="")*(O$3:O$102="")*(N$3:N$102="")*(M$3:M$102="P")*(G$3:G$102=G4)*(J$3:J$102&gt;J4)*(I$3:I$102="P"))+IF(H4="L5",SUMPRODUCT((P$3:P$102="")*(O$3:O$102="")*(N$3:N$102="")*(M$3:M$102="P")*(G$3:G$102=G4)*(J$3:J$102&lt;J4)*(H$3:H$102&lt;&gt;H4)*(I$3:I$102="P")),-1*SUMPRODUCT((P$3:P$102="")*(O$3:O$102="")*(N$3:N$102="")*(M$3:M$102="P")*(G$3:G$102=G4)*(J$3:J$102&gt;J4)*(H$3:H$102="L5")*(I$3:I$102="P")))+1,"")))))</f>
        <v/>
      </c>
      <c r="B4" s="1" cm="1">
        <f t="array" ref="B4">IF(P4&lt;&gt;"",SUMPRODUCT((P$3:P$102&lt;&gt;"")*(G$3:G$102=G4)*(J$3:J$102&gt;J4))+1,IF(O4&lt;&gt;"",SUMPRODUCT((O$3:O$102&lt;&gt;"")*(P$3:P$102="")*(G$3:G$102=G4)*(J$3:J$102&gt;J4))+SUMPRODUCT((P$3:P$102&lt;&gt;"")*(G$3:G$102=G4))+1,IF(N4&lt;&gt;"",SUMPRODUCT((N$3:N$102&lt;&gt;"")*(G$3:G$102=G4)*(J$3:J$102&gt;J4))+1,IF(M4="P",SUMPRODUCT((O$3:O$102&lt;&gt;"")*(P$3:P$102="")*(G$3:G$102=G4))+SUMPRODUCT((P$3:P$102&lt;&gt;"")*(G$3:G$102=G4))+SUMPRODUCT((N$3:N$102&lt;&gt;"")*(G$3:G$102=G4))+SUMPRODUCT((P$3:P$102="")*(O$3:O$102="")*(N$3:N$102="")*(M$3:M$102="P")*(G$3:G$102=G4)*(J$3:J$102&gt;J4))+IF(H4="L5",SUMPRODUCT((P$3:P$102="")*(O$3:O$102="")*(N$3:N$102="")*(M$3:M$102="P")*(G$3:G$102=G4)*(J$3:J$102&lt;J4)*(H$3:H$102&lt;&gt;H4)),-1*SUMPRODUCT((P$3:P$102="")*(O$3:O$102="")*(N$3:N$102="")*(M$3:M$102="P")*(G$3:G$102=G4)*(J$3:J$102&gt;J4)*(H$3:H$102="L5")))+1,""))))</f>
        <v>2</v>
      </c>
      <c r="C4" s="35" t="s">
        <v>216</v>
      </c>
      <c r="D4" t="str">
        <f>IF(E4="","",VLOOKUP(E4,'Coaching Points'!A:B,2,0))</f>
        <v>ON</v>
      </c>
      <c r="E4" s="35" t="s">
        <v>84</v>
      </c>
      <c r="F4" s="34">
        <v>2004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R4+S4+IF(OR(H4="Junior",H4="Senior"),0.0002,IF(OR(H4="L7",H4="L6"),0.0001,0))+IF(G4="17-21",MAX(AA4,AC4,AF4),AE4)*0.0000001</f>
        <v>102.87020516000001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5</v>
      </c>
      <c r="Q4" s="1" t="str">
        <f>IF(A4&lt;5,IF(_xlfn.MAXIFS(A:A,G:G,G4)&gt;3,5-A4,_xlfn.MAXIFS(A:A,G:G,G4)+1-A4),"")</f>
        <v/>
      </c>
      <c r="R4" s="4">
        <f>IF(G4="17-21",MAX(T4,V4,Y4,AA4,AC4,AF4),MAX(X4,AE4))</f>
        <v>51.6</v>
      </c>
      <c r="S4" s="4">
        <f>IF(G4="17-21",LARGE(CHOOSE({1,2,3,4,5,6},T4,V4,Y4,AA4,AC4,AF4),2),IF(R4=X4,MAX(Y4,AA4,AC4,AF4),IF(R4=AE4,MAX(AF4,T4,V4,Y4),0)))</f>
        <v>51.27</v>
      </c>
      <c r="T4" s="32">
        <v>51.15</v>
      </c>
      <c r="U4" s="37">
        <v>13.9</v>
      </c>
      <c r="V4" s="33">
        <v>5.85</v>
      </c>
      <c r="W4" s="37">
        <v>2</v>
      </c>
      <c r="X4" s="4">
        <f>IF(H4="Senior",MAX(T4,V4),T4+V4)</f>
        <v>51.15</v>
      </c>
      <c r="Y4" s="33">
        <v>50.89</v>
      </c>
      <c r="Z4" s="37">
        <v>14.3</v>
      </c>
      <c r="AA4" s="32">
        <v>45.45</v>
      </c>
      <c r="AB4" s="37">
        <v>11.3</v>
      </c>
      <c r="AC4" s="33">
        <v>51.6</v>
      </c>
      <c r="AD4" s="37">
        <v>14.5</v>
      </c>
      <c r="AE4" s="4">
        <f>IF(H4="Senior",MAX(AA4,AC4),AA4+AC4)</f>
        <v>51.6</v>
      </c>
      <c r="AF4" s="33">
        <v>51.27</v>
      </c>
      <c r="AG4" s="37">
        <v>14.1</v>
      </c>
    </row>
    <row r="5" spans="1:34" x14ac:dyDescent="0.2">
      <c r="A5" s="1" t="str" cm="1">
        <f t="array" ref="A5">IF(I5="","",IF(P5&lt;&gt;"",SUMPRODUCT((P$3:P$102&lt;&gt;"")*(G$3:G$102=G5)*(J$3:J$102&gt;J5)*(I$3:I$102="P"))+1,IF(O5&lt;&gt;"",SUMPRODUCT((O$3:O$102&lt;&gt;"")*(P$3:P$102="")*(G$3:G$102=G5)*(J$3:J$102&gt;J5)*(I$3:I$102="P"))+SUMPRODUCT((P$3:P$102&lt;&gt;"")*(G$3:G$102=G5)*(I$3:I$102="P"))+1,IF(N5&lt;&gt;"",SUMPRODUCT((N$3:N$102&lt;&gt;"")*(G$3:G$102=G5)*(J$3:J$102&gt;J5)*(I$3:I$102="P"))+1,IF(M5="P",SUMPRODUCT((O$3:O$102&lt;&gt;"")*(P$3:P$102="")*(G$3:G$102=G5)*(I$3:I$102="P"))+SUMPRODUCT((P$3:P$102&lt;&gt;"")*(G$3:G$102=G5)*(I$3:I$102="P"))+SUMPRODUCT((N$3:N$102&lt;&gt;"")*(G$3:G$102=G5)*(I$3:I$102="P"))+SUMPRODUCT((P$3:P$102="")*(O$3:O$102="")*(N$3:N$102="")*(M$3:M$102="P")*(G$3:G$102=G5)*(J$3:J$102&gt;J5)*(I$3:I$102="P"))+IF(H5="L5",SUMPRODUCT((P$3:P$102="")*(O$3:O$102="")*(N$3:N$102="")*(M$3:M$102="P")*(G$3:G$102=G5)*(J$3:J$102&lt;J5)*(H$3:H$102&lt;&gt;H5)*(I$3:I$102="P")),-1*SUMPRODUCT((P$3:P$102="")*(O$3:O$102="")*(N$3:N$102="")*(M$3:M$102="P")*(G$3:G$102=G5)*(J$3:J$102&gt;J5)*(H$3:H$102="L5")*(I$3:I$102="P")))+1,"")))))</f>
        <v/>
      </c>
      <c r="B5" s="1" cm="1">
        <f t="array" ref="B5">IF(P5&lt;&gt;"",SUMPRODUCT((P$3:P$102&lt;&gt;"")*(G$3:G$102=G5)*(J$3:J$102&gt;J5))+1,IF(O5&lt;&gt;"",SUMPRODUCT((O$3:O$102&lt;&gt;"")*(P$3:P$102="")*(G$3:G$102=G5)*(J$3:J$102&gt;J5))+SUMPRODUCT((P$3:P$102&lt;&gt;"")*(G$3:G$102=G5))+1,IF(N5&lt;&gt;"",SUMPRODUCT((N$3:N$102&lt;&gt;"")*(G$3:G$102=G5)*(J$3:J$102&gt;J5))+1,IF(M5="P",SUMPRODUCT((O$3:O$102&lt;&gt;"")*(P$3:P$102="")*(G$3:G$102=G5))+SUMPRODUCT((P$3:P$102&lt;&gt;"")*(G$3:G$102=G5))+SUMPRODUCT((N$3:N$102&lt;&gt;"")*(G$3:G$102=G5))+SUMPRODUCT((P$3:P$102="")*(O$3:O$102="")*(N$3:N$102="")*(M$3:M$102="P")*(G$3:G$102=G5)*(J$3:J$102&gt;J5))+IF(H5="L5",SUMPRODUCT((P$3:P$102="")*(O$3:O$102="")*(N$3:N$102="")*(M$3:M$102="P")*(G$3:G$102=G5)*(J$3:J$102&lt;J5)*(H$3:H$102&lt;&gt;H5)),-1*SUMPRODUCT((P$3:P$102="")*(O$3:O$102="")*(N$3:N$102="")*(M$3:M$102="P")*(G$3:G$102=G5)*(J$3:J$102&gt;J5)*(H$3:H$102="L5")))+1,""))))</f>
        <v>3</v>
      </c>
      <c r="C5" s="35" t="s">
        <v>437</v>
      </c>
      <c r="D5" t="str">
        <f>IF(E5="","",VLOOKUP(E5,'Coaching Points'!A:B,2,0))</f>
        <v>ON</v>
      </c>
      <c r="E5" s="35" t="s">
        <v>37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R5+S5+IF(OR(H5="Junior",H5="Senior"),0.0002,IF(OR(H5="L7",H5="L6"),0.0001,0))+IF(G5="17-21",MAX(AA5,AC5,AF5),AE5)*0.0000001</f>
        <v>98.880205017999998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6">
        <v>2</v>
      </c>
      <c r="Q5" s="1" t="str">
        <f>IF(A5&lt;5,IF(_xlfn.MAXIFS(A:A,G:G,G5)&gt;3,5-A5,_xlfn.MAXIFS(A:A,G:G,G5)+1-A5),"")</f>
        <v/>
      </c>
      <c r="R5" s="4">
        <f>IF(G5="17-21",MAX(T5,V5,Y5,AA5,AC5,AF5),MAX(X5,AE5))</f>
        <v>50.18</v>
      </c>
      <c r="S5" s="4">
        <f>IF(G5="17-21",LARGE(CHOOSE({1,2,3,4,5,6},T5,V5,Y5,AA5,AC5,AF5),2),IF(R5=X5,MAX(Y5,AA5,AC5,AF5),IF(R5=AE5,MAX(AF5,T5,V5,Y5),0)))</f>
        <v>48.7</v>
      </c>
      <c r="T5" s="32"/>
      <c r="U5" s="37"/>
      <c r="V5" s="33"/>
      <c r="W5" s="37"/>
      <c r="X5" s="4">
        <f>IF(H5="Senior",MAX(T5,V5),T5+V5)</f>
        <v>0</v>
      </c>
      <c r="Y5" s="33"/>
      <c r="Z5" s="37"/>
      <c r="AA5" s="32">
        <v>50.18</v>
      </c>
      <c r="AB5" s="37">
        <v>12.7</v>
      </c>
      <c r="AC5" s="33">
        <v>10.7</v>
      </c>
      <c r="AD5" s="37">
        <v>3</v>
      </c>
      <c r="AE5" s="4">
        <f>IF(H5="Senior",MAX(AA5,AC5),AA5+AC5)</f>
        <v>50.18</v>
      </c>
      <c r="AF5" s="33">
        <v>48.7</v>
      </c>
      <c r="AG5" s="37">
        <v>12.5</v>
      </c>
    </row>
    <row r="6" spans="1:34" x14ac:dyDescent="0.2">
      <c r="A6" s="1" t="str" cm="1">
        <f t="array" ref="A6">IF(I6="","",IF(P6&lt;&gt;"",SUMPRODUCT((P$3:P$102&lt;&gt;"")*(G$3:G$102=G6)*(J$3:J$102&gt;J6)*(I$3:I$102="P"))+1,IF(O6&lt;&gt;"",SUMPRODUCT((O$3:O$102&lt;&gt;"")*(P$3:P$102="")*(G$3:G$102=G6)*(J$3:J$102&gt;J6)*(I$3:I$102="P"))+SUMPRODUCT((P$3:P$102&lt;&gt;"")*(G$3:G$102=G6)*(I$3:I$102="P"))+1,IF(N6&lt;&gt;"",SUMPRODUCT((N$3:N$102&lt;&gt;"")*(G$3:G$102=G6)*(J$3:J$102&gt;J6)*(I$3:I$102="P"))+1,IF(M6="P",SUMPRODUCT((O$3:O$102&lt;&gt;"")*(P$3:P$102="")*(G$3:G$102=G6)*(I$3:I$102="P"))+SUMPRODUCT((P$3:P$102&lt;&gt;"")*(G$3:G$102=G6)*(I$3:I$102="P"))+SUMPRODUCT((N$3:N$102&lt;&gt;"")*(G$3:G$102=G6)*(I$3:I$102="P"))+SUMPRODUCT((P$3:P$102="")*(O$3:O$102="")*(N$3:N$102="")*(M$3:M$102="P")*(G$3:G$102=G6)*(J$3:J$102&gt;J6)*(I$3:I$102="P"))+IF(H6="L5",SUMPRODUCT((P$3:P$102="")*(O$3:O$102="")*(N$3:N$102="")*(M$3:M$102="P")*(G$3:G$102=G6)*(J$3:J$102&lt;J6)*(H$3:H$102&lt;&gt;H6)*(I$3:I$102="P")),-1*SUMPRODUCT((P$3:P$102="")*(O$3:O$102="")*(N$3:N$102="")*(M$3:M$102="P")*(G$3:G$102=G6)*(J$3:J$102&gt;J6)*(H$3:H$102="L5")*(I$3:I$102="P")))+1,"")))))</f>
        <v/>
      </c>
      <c r="B6" s="1" cm="1">
        <f t="array" ref="B6">IF(P6&lt;&gt;"",SUMPRODUCT((P$3:P$102&lt;&gt;"")*(G$3:G$102=G6)*(J$3:J$102&gt;J6))+1,IF(O6&lt;&gt;"",SUMPRODUCT((O$3:O$102&lt;&gt;"")*(P$3:P$102="")*(G$3:G$102=G6)*(J$3:J$102&gt;J6))+SUMPRODUCT((P$3:P$102&lt;&gt;"")*(G$3:G$102=G6))+1,IF(N6&lt;&gt;"",SUMPRODUCT((N$3:N$102&lt;&gt;"")*(G$3:G$102=G6)*(J$3:J$102&gt;J6))+1,IF(M6="P",SUMPRODUCT((O$3:O$102&lt;&gt;"")*(P$3:P$102="")*(G$3:G$102=G6))+SUMPRODUCT((P$3:P$102&lt;&gt;"")*(G$3:G$102=G6))+SUMPRODUCT((N$3:N$102&lt;&gt;"")*(G$3:G$102=G6))+SUMPRODUCT((P$3:P$102="")*(O$3:O$102="")*(N$3:N$102="")*(M$3:M$102="P")*(G$3:G$102=G6)*(J$3:J$102&gt;J6))+IF(H6="L5",SUMPRODUCT((P$3:P$102="")*(O$3:O$102="")*(N$3:N$102="")*(M$3:M$102="P")*(G$3:G$102=G6)*(J$3:J$102&lt;J6)*(H$3:H$102&lt;&gt;H6)),-1*SUMPRODUCT((P$3:P$102="")*(O$3:O$102="")*(N$3:N$102="")*(M$3:M$102="P")*(G$3:G$102=G6)*(J$3:J$102&gt;J6)*(H$3:H$102="L5")))+1,""))))</f>
        <v>4</v>
      </c>
      <c r="C6" s="35" t="s">
        <v>226</v>
      </c>
      <c r="D6" t="str">
        <f>IF(E6="","",VLOOKUP(E6,'Coaching Points'!A:B,2,0))</f>
        <v>BC</v>
      </c>
      <c r="E6" s="35" t="s">
        <v>44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212</v>
      </c>
      <c r="I6" s="40"/>
      <c r="J6" s="4">
        <f>R6+S6+IF(OR(H6="Junior",H6="Senior"),0.0002,IF(OR(H6="L7",H6="L6"),0.0001,0))+IF(G6="17-21",MAX(AA6,AC6,AF6),AE6)*0.0000001</f>
        <v>97.110105009999998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6">
        <v>3</v>
      </c>
      <c r="Q6" s="1" t="str">
        <f>IF(A6&lt;5,IF(_xlfn.MAXIFS(A:A,G:G,G6)&gt;3,5-A6,_xlfn.MAXIFS(A:A,G:G,G6)+1-A6),"")</f>
        <v/>
      </c>
      <c r="R6" s="4">
        <f>IF(G6="17-21",MAX(T6,V6,Y6,AA6,AC6,AF6),MAX(X6,AE6))</f>
        <v>50.1</v>
      </c>
      <c r="S6" s="4">
        <f>IF(G6="17-21",LARGE(CHOOSE({1,2,3,4,5,6},T6,V6,Y6,AA6,AC6,AF6),2),IF(R6=X6,MAX(Y6,AA6,AC6,AF6),IF(R6=AE6,MAX(AF6,T6,V6,Y6),0)))</f>
        <v>47.01</v>
      </c>
      <c r="T6" s="32">
        <v>47.01</v>
      </c>
      <c r="U6" s="37">
        <v>10.3</v>
      </c>
      <c r="V6" s="33">
        <v>25.22</v>
      </c>
      <c r="W6" s="37">
        <v>5.8</v>
      </c>
      <c r="X6" s="4">
        <f>IF(H6="Senior",MAX(T6,V6),T6+V6)</f>
        <v>72.22999999999999</v>
      </c>
      <c r="Y6" s="33">
        <v>20.11</v>
      </c>
      <c r="Z6" s="37">
        <v>4.7</v>
      </c>
      <c r="AA6" s="32">
        <v>25.15</v>
      </c>
      <c r="AB6" s="37">
        <v>6</v>
      </c>
      <c r="AC6" s="33">
        <v>50.1</v>
      </c>
      <c r="AD6" s="37">
        <v>12.7</v>
      </c>
      <c r="AE6" s="4">
        <f>IF(H6="Senior",MAX(AA6,AC6),AA6+AC6)</f>
        <v>75.25</v>
      </c>
      <c r="AF6" s="33">
        <v>15.42</v>
      </c>
      <c r="AG6" s="37">
        <v>3.6</v>
      </c>
    </row>
    <row r="7" spans="1:34" x14ac:dyDescent="0.2">
      <c r="A7" s="1" t="str" cm="1">
        <f t="array" ref="A7">IF(I7="","",IF(P7&lt;&gt;"",SUMPRODUCT((P$3:P$102&lt;&gt;"")*(G$3:G$102=G7)*(J$3:J$102&gt;J7)*(I$3:I$102="P"))+1,IF(O7&lt;&gt;"",SUMPRODUCT((O$3:O$102&lt;&gt;"")*(P$3:P$102="")*(G$3:G$102=G7)*(J$3:J$102&gt;J7)*(I$3:I$102="P"))+SUMPRODUCT((P$3:P$102&lt;&gt;"")*(G$3:G$102=G7)*(I$3:I$102="P"))+1,IF(N7&lt;&gt;"",SUMPRODUCT((N$3:N$102&lt;&gt;"")*(G$3:G$102=G7)*(J$3:J$102&gt;J7)*(I$3:I$102="P"))+1,IF(M7="P",SUMPRODUCT((O$3:O$102&lt;&gt;"")*(P$3:P$102="")*(G$3:G$102=G7)*(I$3:I$102="P"))+SUMPRODUCT((P$3:P$102&lt;&gt;"")*(G$3:G$102=G7)*(I$3:I$102="P"))+SUMPRODUCT((N$3:N$102&lt;&gt;"")*(G$3:G$102=G7)*(I$3:I$102="P"))+SUMPRODUCT((P$3:P$102="")*(O$3:O$102="")*(N$3:N$102="")*(M$3:M$102="P")*(G$3:G$102=G7)*(J$3:J$102&gt;J7)*(I$3:I$102="P"))+IF(H7="L5",SUMPRODUCT((P$3:P$102="")*(O$3:O$102="")*(N$3:N$102="")*(M$3:M$102="P")*(G$3:G$102=G7)*(J$3:J$102&lt;J7)*(H$3:H$102&lt;&gt;H7)*(I$3:I$102="P")),-1*SUMPRODUCT((P$3:P$102="")*(O$3:O$102="")*(N$3:N$102="")*(M$3:M$102="P")*(G$3:G$102=G7)*(J$3:J$102&gt;J7)*(H$3:H$102="L5")*(I$3:I$102="P")))+1,"")))))</f>
        <v/>
      </c>
      <c r="B7" s="1" cm="1">
        <f t="array" ref="B7">IF(P7&lt;&gt;"",SUMPRODUCT((P$3:P$102&lt;&gt;"")*(G$3:G$102=G7)*(J$3:J$102&gt;J7))+1,IF(O7&lt;&gt;"",SUMPRODUCT((O$3:O$102&lt;&gt;"")*(P$3:P$102="")*(G$3:G$102=G7)*(J$3:J$102&gt;J7))+SUMPRODUCT((P$3:P$102&lt;&gt;"")*(G$3:G$102=G7))+1,IF(N7&lt;&gt;"",SUMPRODUCT((N$3:N$102&lt;&gt;"")*(G$3:G$102=G7)*(J$3:J$102&gt;J7))+1,IF(M7="P",SUMPRODUCT((O$3:O$102&lt;&gt;"")*(P$3:P$102="")*(G$3:G$102=G7))+SUMPRODUCT((P$3:P$102&lt;&gt;"")*(G$3:G$102=G7))+SUMPRODUCT((N$3:N$102&lt;&gt;"")*(G$3:G$102=G7))+SUMPRODUCT((P$3:P$102="")*(O$3:O$102="")*(N$3:N$102="")*(M$3:M$102="P")*(G$3:G$102=G7)*(J$3:J$102&gt;J7))+IF(H7="L5",SUMPRODUCT((P$3:P$102="")*(O$3:O$102="")*(N$3:N$102="")*(M$3:M$102="P")*(G$3:G$102=G7)*(J$3:J$102&lt;J7)*(H$3:H$102&lt;&gt;H7)),-1*SUMPRODUCT((P$3:P$102="")*(O$3:O$102="")*(N$3:N$102="")*(M$3:M$102="P")*(G$3:G$102=G7)*(J$3:J$102&gt;J7)*(H$3:H$102="L5")))+1,""))))</f>
        <v>5</v>
      </c>
      <c r="C7" s="35" t="s">
        <v>225</v>
      </c>
      <c r="D7" t="str">
        <f>IF(E7="","",VLOOKUP(E7,'Coaching Points'!A:B,2,0))</f>
        <v>ON</v>
      </c>
      <c r="E7" s="35" t="s">
        <v>37</v>
      </c>
      <c r="F7" s="34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212</v>
      </c>
      <c r="I7" s="40"/>
      <c r="J7" s="4">
        <f>R7+S7+IF(OR(H7="Junior",H7="Senior"),0.0002,IF(OR(H7="L7",H7="L6"),0.0001,0))+IF(G7="17-21",MAX(AA7,AC7,AF7),AE7)*0.0000001</f>
        <v>95.8501045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/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/>
      </c>
      <c r="O7" s="36">
        <v>1</v>
      </c>
      <c r="Q7" s="1" t="str">
        <f>IF(A7&lt;5,IF(_xlfn.MAXIFS(A:A,G:G,G7)&gt;3,5-A7,_xlfn.MAXIFS(A:A,G:G,G7)+1-A7),"")</f>
        <v/>
      </c>
      <c r="R7" s="4">
        <f>IF(G7="17-21",MAX(T7,V7,Y7,AA7,AC7,AF7),MAX(X7,AE7))</f>
        <v>48.08</v>
      </c>
      <c r="S7" s="4">
        <f>IF(G7="17-21",LARGE(CHOOSE({1,2,3,4,5,6},T7,V7,Y7,AA7,AC7,AF7),2),IF(R7=X7,MAX(Y7,AA7,AC7,AF7),IF(R7=AE7,MAX(AF7,T7,V7,Y7),0)))</f>
        <v>47.77</v>
      </c>
      <c r="T7" s="32">
        <v>48.08</v>
      </c>
      <c r="U7" s="37">
        <v>10.9</v>
      </c>
      <c r="V7" s="33">
        <v>44.71</v>
      </c>
      <c r="W7" s="37">
        <v>9.6</v>
      </c>
      <c r="X7" s="4">
        <f>IF(H7="Senior",MAX(T7,V7),T7+V7)</f>
        <v>92.789999999999992</v>
      </c>
      <c r="Y7" s="33">
        <v>47.77</v>
      </c>
      <c r="Z7" s="37">
        <v>11.6</v>
      </c>
      <c r="AA7" s="32">
        <v>8.27</v>
      </c>
      <c r="AB7" s="37">
        <v>2</v>
      </c>
      <c r="AC7" s="33">
        <v>0</v>
      </c>
      <c r="AD7" s="37">
        <v>0</v>
      </c>
      <c r="AE7" s="4">
        <f>IF(H7="Senior",MAX(AA7,AC7),AA7+AC7)</f>
        <v>8.27</v>
      </c>
      <c r="AF7" s="33">
        <v>45</v>
      </c>
      <c r="AG7" s="37">
        <v>10.6</v>
      </c>
    </row>
    <row r="8" spans="1:34" x14ac:dyDescent="0.2">
      <c r="A8" s="1" t="str" cm="1">
        <f t="array" ref="A8">IF(I8="","",IF(P8&lt;&gt;"",SUMPRODUCT((P$3:P$102&lt;&gt;"")*(G$3:G$102=G8)*(J$3:J$102&gt;J8)*(I$3:I$102="P"))+1,IF(O8&lt;&gt;"",SUMPRODUCT((O$3:O$102&lt;&gt;"")*(P$3:P$102="")*(G$3:G$102=G8)*(J$3:J$102&gt;J8)*(I$3:I$102="P"))+SUMPRODUCT((P$3:P$102&lt;&gt;"")*(G$3:G$102=G8)*(I$3:I$102="P"))+1,IF(N8&lt;&gt;"",SUMPRODUCT((N$3:N$102&lt;&gt;"")*(G$3:G$102=G8)*(J$3:J$102&gt;J8)*(I$3:I$102="P"))+1,IF(M8="P",SUMPRODUCT((O$3:O$102&lt;&gt;"")*(P$3:P$102="")*(G$3:G$102=G8)*(I$3:I$102="P"))+SUMPRODUCT((P$3:P$102&lt;&gt;"")*(G$3:G$102=G8)*(I$3:I$102="P"))+SUMPRODUCT((N$3:N$102&lt;&gt;"")*(G$3:G$102=G8)*(I$3:I$102="P"))+SUMPRODUCT((P$3:P$102="")*(O$3:O$102="")*(N$3:N$102="")*(M$3:M$102="P")*(G$3:G$102=G8)*(J$3:J$102&gt;J8)*(I$3:I$102="P"))+IF(H8="L5",SUMPRODUCT((P$3:P$102="")*(O$3:O$102="")*(N$3:N$102="")*(M$3:M$102="P")*(G$3:G$102=G8)*(J$3:J$102&lt;J8)*(H$3:H$102&lt;&gt;H8)*(I$3:I$102="P")),-1*SUMPRODUCT((P$3:P$102="")*(O$3:O$102="")*(N$3:N$102="")*(M$3:M$102="P")*(G$3:G$102=G8)*(J$3:J$102&gt;J8)*(H$3:H$102="L5")*(I$3:I$102="P")))+1,"")))))</f>
        <v/>
      </c>
      <c r="B8" s="1" cm="1">
        <f t="array" ref="B8">IF(P8&lt;&gt;"",SUMPRODUCT((P$3:P$102&lt;&gt;"")*(G$3:G$102=G8)*(J$3:J$102&gt;J8))+1,IF(O8&lt;&gt;"",SUMPRODUCT((O$3:O$102&lt;&gt;"")*(P$3:P$102="")*(G$3:G$102=G8)*(J$3:J$102&gt;J8))+SUMPRODUCT((P$3:P$102&lt;&gt;"")*(G$3:G$102=G8))+1,IF(N8&lt;&gt;"",SUMPRODUCT((N$3:N$102&lt;&gt;"")*(G$3:G$102=G8)*(J$3:J$102&gt;J8))+1,IF(M8="P",SUMPRODUCT((O$3:O$102&lt;&gt;"")*(P$3:P$102="")*(G$3:G$102=G8))+SUMPRODUCT((P$3:P$102&lt;&gt;"")*(G$3:G$102=G8))+SUMPRODUCT((N$3:N$102&lt;&gt;"")*(G$3:G$102=G8))+SUMPRODUCT((P$3:P$102="")*(O$3:O$102="")*(N$3:N$102="")*(M$3:M$102="P")*(G$3:G$102=G8)*(J$3:J$102&gt;J8))+IF(H8="L5",SUMPRODUCT((P$3:P$102="")*(O$3:O$102="")*(N$3:N$102="")*(M$3:M$102="P")*(G$3:G$102=G8)*(J$3:J$102&lt;J8)*(H$3:H$102&lt;&gt;H8)),-1*SUMPRODUCT((P$3:P$102="")*(O$3:O$102="")*(N$3:N$102="")*(M$3:M$102="P")*(G$3:G$102=G8)*(J$3:J$102&gt;J8)*(H$3:H$102="L5")))+1,""))))</f>
        <v>6</v>
      </c>
      <c r="C8" s="35" t="s">
        <v>242</v>
      </c>
      <c r="D8" t="str">
        <f>IF(E8="","",VLOOKUP(E8,'Coaching Points'!A:B,2,0))</f>
        <v>QC</v>
      </c>
      <c r="E8" s="35" t="s">
        <v>72</v>
      </c>
      <c r="F8" s="34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>R8+S8+IF(OR(H8="Junior",H8="Senior"),0.0002,IF(OR(H8="L7",H8="L6"),0.0001,0))+IF(G8="17-21",MAX(AA8,AC8,AF8),AE8)*0.0000001</f>
        <v>91.260105042999996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O8" s="36">
        <v>4</v>
      </c>
      <c r="Q8" s="1" t="str">
        <f>IF(A8&lt;5,IF(_xlfn.MAXIFS(A:A,G:G,G8)&gt;3,5-A8,_xlfn.MAXIFS(A:A,G:G,G8)+1-A8),"")</f>
        <v/>
      </c>
      <c r="R8" s="4">
        <f>IF(G8="17-21",MAX(T8,V8,Y8,AA8,AC8,AF8),MAX(X8,AE8))</f>
        <v>50.43</v>
      </c>
      <c r="S8" s="4">
        <f>IF(G8="17-21",LARGE(CHOOSE({1,2,3,4,5,6},T8,V8,Y8,AA8,AC8,AF8),2),IF(R8=X8,MAX(Y8,AA8,AC8,AF8),IF(R8=AE8,MAX(AF8,T8,V8,Y8),0)))</f>
        <v>40.83</v>
      </c>
      <c r="T8" s="32">
        <v>40.82</v>
      </c>
      <c r="U8" s="37">
        <v>0</v>
      </c>
      <c r="V8" s="33">
        <v>5.53</v>
      </c>
      <c r="W8" s="37">
        <v>1.5</v>
      </c>
      <c r="X8" s="4">
        <f>IF(H8="Senior",MAX(T8,V8),T8+V8)</f>
        <v>46.35</v>
      </c>
      <c r="Y8" s="33"/>
      <c r="Z8" s="37"/>
      <c r="AA8" s="32">
        <v>40.83</v>
      </c>
      <c r="AB8" s="37">
        <v>0</v>
      </c>
      <c r="AC8" s="33">
        <v>50.43</v>
      </c>
      <c r="AD8" s="37">
        <v>10.1</v>
      </c>
      <c r="AE8" s="4">
        <f>IF(H8="Senior",MAX(AA8,AC8),AA8+AC8)</f>
        <v>91.259999999999991</v>
      </c>
      <c r="AF8" s="33">
        <v>15.19</v>
      </c>
      <c r="AG8" s="37">
        <v>4.0999999999999996</v>
      </c>
    </row>
    <row r="9" spans="1:34" x14ac:dyDescent="0.2">
      <c r="A9" s="1" t="str" cm="1">
        <f t="array" ref="A9">IF(I9="","",IF(P9&lt;&gt;"",SUMPRODUCT((P$3:P$102&lt;&gt;"")*(G$3:G$102=G9)*(J$3:J$102&gt;J9)*(I$3:I$102="P"))+1,IF(O9&lt;&gt;"",SUMPRODUCT((O$3:O$102&lt;&gt;"")*(P$3:P$102="")*(G$3:G$102=G9)*(J$3:J$102&gt;J9)*(I$3:I$102="P"))+SUMPRODUCT((P$3:P$102&lt;&gt;"")*(G$3:G$102=G9)*(I$3:I$102="P"))+1,IF(N9&lt;&gt;"",SUMPRODUCT((N$3:N$102&lt;&gt;"")*(G$3:G$102=G9)*(J$3:J$102&gt;J9)*(I$3:I$102="P"))+1,IF(M9="P",SUMPRODUCT((O$3:O$102&lt;&gt;"")*(P$3:P$102="")*(G$3:G$102=G9)*(I$3:I$102="P"))+SUMPRODUCT((P$3:P$102&lt;&gt;"")*(G$3:G$102=G9)*(I$3:I$102="P"))+SUMPRODUCT((N$3:N$102&lt;&gt;"")*(G$3:G$102=G9)*(I$3:I$102="P"))+SUMPRODUCT((P$3:P$102="")*(O$3:O$102="")*(N$3:N$102="")*(M$3:M$102="P")*(G$3:G$102=G9)*(J$3:J$102&gt;J9)*(I$3:I$102="P"))+IF(H9="L5",SUMPRODUCT((P$3:P$102="")*(O$3:O$102="")*(N$3:N$102="")*(M$3:M$102="P")*(G$3:G$102=G9)*(J$3:J$102&lt;J9)*(H$3:H$102&lt;&gt;H9)*(I$3:I$102="P")),-1*SUMPRODUCT((P$3:P$102="")*(O$3:O$102="")*(N$3:N$102="")*(M$3:M$102="P")*(G$3:G$102=G9)*(J$3:J$102&gt;J9)*(H$3:H$102="L5")*(I$3:I$102="P")))+1,"")))))</f>
        <v/>
      </c>
      <c r="B9" s="1" cm="1">
        <f t="array" ref="B9">IF(P9&lt;&gt;"",SUMPRODUCT((P$3:P$102&lt;&gt;"")*(G$3:G$102=G9)*(J$3:J$102&gt;J9))+1,IF(O9&lt;&gt;"",SUMPRODUCT((O$3:O$102&lt;&gt;"")*(P$3:P$102="")*(G$3:G$102=G9)*(J$3:J$102&gt;J9))+SUMPRODUCT((P$3:P$102&lt;&gt;"")*(G$3:G$102=G9))+1,IF(N9&lt;&gt;"",SUMPRODUCT((N$3:N$102&lt;&gt;"")*(G$3:G$102=G9)*(J$3:J$102&gt;J9))+1,IF(M9="P",SUMPRODUCT((O$3:O$102&lt;&gt;"")*(P$3:P$102="")*(G$3:G$102=G9))+SUMPRODUCT((P$3:P$102&lt;&gt;"")*(G$3:G$102=G9))+SUMPRODUCT((N$3:N$102&lt;&gt;"")*(G$3:G$102=G9))+SUMPRODUCT((P$3:P$102="")*(O$3:O$102="")*(N$3:N$102="")*(M$3:M$102="P")*(G$3:G$102=G9)*(J$3:J$102&gt;J9))+IF(H9="L5",SUMPRODUCT((P$3:P$102="")*(O$3:O$102="")*(N$3:N$102="")*(M$3:M$102="P")*(G$3:G$102=G9)*(J$3:J$102&lt;J9)*(H$3:H$102&lt;&gt;H9)),-1*SUMPRODUCT((P$3:P$102="")*(O$3:O$102="")*(N$3:N$102="")*(M$3:M$102="P")*(G$3:G$102=G9)*(J$3:J$102&gt;J9)*(H$3:H$102="L5")))+1,""))))</f>
        <v>7</v>
      </c>
      <c r="C9" s="35" t="s">
        <v>237</v>
      </c>
      <c r="D9" t="str">
        <f>IF(E9="","",VLOOKUP(E9,'Coaching Points'!A:B,2,0))</f>
        <v>BC</v>
      </c>
      <c r="E9" s="35" t="s">
        <v>44</v>
      </c>
      <c r="F9" s="34">
        <v>2008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R9+S9+IF(OR(H9="Junior",H9="Senior"),0.0002,IF(OR(H9="L7",H9="L6"),0.0001,0))+IF(G9="17-21",MAX(AA9,AC9,AF9),AE9)*0.0000001</f>
        <v>96.790104857999992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1" t="str">
        <f>IF(A9&lt;5,IF(_xlfn.MAXIFS(A:A,G:G,G9)&gt;3,5-A9,_xlfn.MAXIFS(A:A,G:G,G9)+1-A9),"")</f>
        <v/>
      </c>
      <c r="R9" s="4">
        <f>IF(G9="17-21",MAX(T9,V9,Y9,AA9,AC9,AF9),MAX(X9,AE9))</f>
        <v>48.58</v>
      </c>
      <c r="S9" s="4">
        <f>IF(G9="17-21",LARGE(CHOOSE({1,2,3,4,5,6},T9,V9,Y9,AA9,AC9,AF9),2),IF(R9=X9,MAX(Y9,AA9,AC9,AF9),IF(R9=AE9,MAX(AF9,T9,V9,Y9),0)))</f>
        <v>48.21</v>
      </c>
      <c r="T9" s="32">
        <v>39.64</v>
      </c>
      <c r="U9" s="37">
        <v>0</v>
      </c>
      <c r="V9" s="33">
        <v>37.299999999999997</v>
      </c>
      <c r="W9" s="37">
        <v>8.6</v>
      </c>
      <c r="X9" s="4">
        <f>IF(H9="Senior",MAX(T9,V9),T9+V9)</f>
        <v>76.94</v>
      </c>
      <c r="Y9" s="33"/>
      <c r="Z9" s="37"/>
      <c r="AA9" s="32">
        <v>47.41</v>
      </c>
      <c r="AB9" s="37">
        <v>12.7</v>
      </c>
      <c r="AC9" s="33">
        <v>48.58</v>
      </c>
      <c r="AD9" s="37">
        <v>12.5</v>
      </c>
      <c r="AE9" s="4">
        <f>IF(H9="Senior",MAX(AA9,AC9),AA9+AC9)</f>
        <v>95.99</v>
      </c>
      <c r="AF9" s="33">
        <v>48.21</v>
      </c>
      <c r="AG9" s="37">
        <v>12.7</v>
      </c>
    </row>
    <row r="10" spans="1:34" x14ac:dyDescent="0.2">
      <c r="A10" s="1" t="str" cm="1">
        <f t="array" ref="A10">IF(I10="","",IF(P10&lt;&gt;"",SUMPRODUCT((P$3:P$102&lt;&gt;"")*(G$3:G$102=G10)*(J$3:J$102&gt;J10)*(I$3:I$102="P"))+1,IF(O10&lt;&gt;"",SUMPRODUCT((O$3:O$102&lt;&gt;"")*(P$3:P$102="")*(G$3:G$102=G10)*(J$3:J$102&gt;J10)*(I$3:I$102="P"))+SUMPRODUCT((P$3:P$102&lt;&gt;"")*(G$3:G$102=G10)*(I$3:I$102="P"))+1,IF(N10&lt;&gt;"",SUMPRODUCT((N$3:N$102&lt;&gt;"")*(G$3:G$102=G10)*(J$3:J$102&gt;J10)*(I$3:I$102="P"))+1,IF(M10="P",SUMPRODUCT((O$3:O$102&lt;&gt;"")*(P$3:P$102="")*(G$3:G$102=G10)*(I$3:I$102="P"))+SUMPRODUCT((P$3:P$102&lt;&gt;"")*(G$3:G$102=G10)*(I$3:I$102="P"))+SUMPRODUCT((N$3:N$102&lt;&gt;"")*(G$3:G$102=G10)*(I$3:I$102="P"))+SUMPRODUCT((P$3:P$102="")*(O$3:O$102="")*(N$3:N$102="")*(M$3:M$102="P")*(G$3:G$102=G10)*(J$3:J$102&gt;J10)*(I$3:I$102="P"))+IF(H10="L5",SUMPRODUCT((P$3:P$102="")*(O$3:O$102="")*(N$3:N$102="")*(M$3:M$102="P")*(G$3:G$102=G10)*(J$3:J$102&lt;J10)*(H$3:H$102&lt;&gt;H10)*(I$3:I$102="P")),-1*SUMPRODUCT((P$3:P$102="")*(O$3:O$102="")*(N$3:N$102="")*(M$3:M$102="P")*(G$3:G$102=G10)*(J$3:J$102&gt;J10)*(H$3:H$102="L5")*(I$3:I$102="P")))+1,"")))))</f>
        <v/>
      </c>
      <c r="B10" s="1" cm="1">
        <f t="array" ref="B10">IF(P10&lt;&gt;"",SUMPRODUCT((P$3:P$102&lt;&gt;"")*(G$3:G$102=G10)*(J$3:J$102&gt;J10))+1,IF(O10&lt;&gt;"",SUMPRODUCT((O$3:O$102&lt;&gt;"")*(P$3:P$102="")*(G$3:G$102=G10)*(J$3:J$102&gt;J10))+SUMPRODUCT((P$3:P$102&lt;&gt;"")*(G$3:G$102=G10))+1,IF(N10&lt;&gt;"",SUMPRODUCT((N$3:N$102&lt;&gt;"")*(G$3:G$102=G10)*(J$3:J$102&gt;J10))+1,IF(M10="P",SUMPRODUCT((O$3:O$102&lt;&gt;"")*(P$3:P$102="")*(G$3:G$102=G10))+SUMPRODUCT((P$3:P$102&lt;&gt;"")*(G$3:G$102=G10))+SUMPRODUCT((N$3:N$102&lt;&gt;"")*(G$3:G$102=G10))+SUMPRODUCT((P$3:P$102="")*(O$3:O$102="")*(N$3:N$102="")*(M$3:M$102="P")*(G$3:G$102=G10)*(J$3:J$102&gt;J10))+IF(H10="L5",SUMPRODUCT((P$3:P$102="")*(O$3:O$102="")*(N$3:N$102="")*(M$3:M$102="P")*(G$3:G$102=G10)*(J$3:J$102&lt;J10)*(H$3:H$102&lt;&gt;H10)),-1*SUMPRODUCT((P$3:P$102="")*(O$3:O$102="")*(N$3:N$102="")*(M$3:M$102="P")*(G$3:G$102=G10)*(J$3:J$102&gt;J10)*(H$3:H$102="L5")))+1,""))))</f>
        <v>8</v>
      </c>
      <c r="C10" s="35" t="s">
        <v>434</v>
      </c>
      <c r="D10" t="str">
        <f>IF(E10="","",VLOOKUP(E10,'Coaching Points'!A:B,2,0))</f>
        <v>AB</v>
      </c>
      <c r="E10" s="35" t="s">
        <v>56</v>
      </c>
      <c r="F10" s="34">
        <v>2008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R10+S10+IF(OR(H10="Junior",H10="Senior"),0.0002,IF(OR(H10="L7",H10="L6"),0.0001,0))+IF(G10="17-21",MAX(AA10,AC10,AF10),AE10)*0.0000001</f>
        <v>95.810104930000008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49.3</v>
      </c>
      <c r="S10" s="4">
        <f>IF(G10="17-21",LARGE(CHOOSE({1,2,3,4,5,6},T10,V10,Y10,AA10,AC10,AF10),2),IF(R10=X10,MAX(Y10,AA10,AC10,AF10),IF(R10=AE10,MAX(AF10,T10,V10,Y10),0)))</f>
        <v>46.51</v>
      </c>
      <c r="T10" s="32"/>
      <c r="U10" s="37"/>
      <c r="V10" s="33"/>
      <c r="W10" s="37"/>
      <c r="X10" s="4">
        <f>IF(H10="Senior",MAX(T10,V10),T10+V10)</f>
        <v>0</v>
      </c>
      <c r="Y10" s="33"/>
      <c r="Z10" s="37"/>
      <c r="AA10" s="32">
        <v>39.03</v>
      </c>
      <c r="AB10" s="37">
        <v>0</v>
      </c>
      <c r="AC10" s="33">
        <v>46.51</v>
      </c>
      <c r="AD10" s="37">
        <v>10.7</v>
      </c>
      <c r="AE10" s="4">
        <f>IF(H10="Senior",MAX(AA10,AC10),AA10+AC10)</f>
        <v>85.539999999999992</v>
      </c>
      <c r="AF10" s="33">
        <v>49.3</v>
      </c>
      <c r="AG10" s="37">
        <v>10.7</v>
      </c>
    </row>
    <row r="11" spans="1:34" x14ac:dyDescent="0.2">
      <c r="A11" s="1" t="str" cm="1">
        <f t="array" ref="A11">IF(I11="","",IF(P11&lt;&gt;"",SUMPRODUCT((P$3:P$102&lt;&gt;"")*(G$3:G$102=G11)*(J$3:J$102&gt;J11)*(I$3:I$102="P"))+1,IF(O11&lt;&gt;"",SUMPRODUCT((O$3:O$102&lt;&gt;"")*(P$3:P$102="")*(G$3:G$102=G11)*(J$3:J$102&gt;J11)*(I$3:I$102="P"))+SUMPRODUCT((P$3:P$102&lt;&gt;"")*(G$3:G$102=G11)*(I$3:I$102="P"))+1,IF(N11&lt;&gt;"",SUMPRODUCT((N$3:N$102&lt;&gt;"")*(G$3:G$102=G11)*(J$3:J$102&gt;J11)*(I$3:I$102="P"))+1,IF(M11="P",SUMPRODUCT((O$3:O$102&lt;&gt;"")*(P$3:P$102="")*(G$3:G$102=G11)*(I$3:I$102="P"))+SUMPRODUCT((P$3:P$102&lt;&gt;"")*(G$3:G$102=G11)*(I$3:I$102="P"))+SUMPRODUCT((N$3:N$102&lt;&gt;"")*(G$3:G$102=G11)*(I$3:I$102="P"))+SUMPRODUCT((P$3:P$102="")*(O$3:O$102="")*(N$3:N$102="")*(M$3:M$102="P")*(G$3:G$102=G11)*(J$3:J$102&gt;J11)*(I$3:I$102="P"))+IF(H11="L5",SUMPRODUCT((P$3:P$102="")*(O$3:O$102="")*(N$3:N$102="")*(M$3:M$102="P")*(G$3:G$102=G11)*(J$3:J$102&lt;J11)*(H$3:H$102&lt;&gt;H11)*(I$3:I$102="P")),-1*SUMPRODUCT((P$3:P$102="")*(O$3:O$102="")*(N$3:N$102="")*(M$3:M$102="P")*(G$3:G$102=G11)*(J$3:J$102&gt;J11)*(H$3:H$102="L5")*(I$3:I$102="P")))+1,"")))))</f>
        <v/>
      </c>
      <c r="B11" s="1" t="str" cm="1">
        <f t="array" ref="B11">IF(P11&lt;&gt;"",SUMPRODUCT((P$3:P$102&lt;&gt;"")*(G$3:G$102=G11)*(J$3:J$102&gt;J11))+1,IF(O11&lt;&gt;"",SUMPRODUCT((O$3:O$102&lt;&gt;"")*(P$3:P$102="")*(G$3:G$102=G11)*(J$3:J$102&gt;J11))+SUMPRODUCT((P$3:P$102&lt;&gt;"")*(G$3:G$102=G11))+1,IF(N11&lt;&gt;"",SUMPRODUCT((N$3:N$102&lt;&gt;"")*(G$3:G$102=G11)*(J$3:J$102&gt;J11))+1,IF(M11="P",SUMPRODUCT((O$3:O$102&lt;&gt;"")*(P$3:P$102="")*(G$3:G$102=G11))+SUMPRODUCT((P$3:P$102&lt;&gt;"")*(G$3:G$102=G11))+SUMPRODUCT((N$3:N$102&lt;&gt;"")*(G$3:G$102=G11))+SUMPRODUCT((P$3:P$102="")*(O$3:O$102="")*(N$3:N$102="")*(M$3:M$102="P")*(G$3:G$102=G11)*(J$3:J$102&gt;J11))+IF(H11="L5",SUMPRODUCT((P$3:P$102="")*(O$3:O$102="")*(N$3:N$102="")*(M$3:M$102="P")*(G$3:G$102=G11)*(J$3:J$102&lt;J11)*(H$3:H$102&lt;&gt;H11)),-1*SUMPRODUCT((P$3:P$102="")*(O$3:O$102="")*(N$3:N$102="")*(M$3:M$102="P")*(G$3:G$102=G11)*(J$3:J$102&gt;J11)*(H$3:H$102="L5")))+1,""))))</f>
        <v/>
      </c>
      <c r="C11" s="35" t="s">
        <v>227</v>
      </c>
      <c r="D11" t="str">
        <f>IF(E11="","",VLOOKUP(E11,'Coaching Points'!A:B,2,0))</f>
        <v>QC</v>
      </c>
      <c r="E11" s="35" t="s">
        <v>75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R11+S11+IF(OR(H11="Junior",H11="Senior"),0.0002,IF(OR(H11="L7",H11="L6"),0.0001,0))+IF(G11="17-21",MAX(AA11,AC11,AF11),AE11)*0.0000001</f>
        <v>94.570104740999994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47.41</v>
      </c>
      <c r="S11" s="4">
        <f>IF(G11="17-21",LARGE(CHOOSE({1,2,3,4,5,6},T11,V11,Y11,AA11,AC11,AF11),2),IF(R11=X11,MAX(Y11,AA11,AC11,AF11),IF(R11=AE11,MAX(AF11,T11,V11,Y11),0)))</f>
        <v>47.16</v>
      </c>
      <c r="T11" s="32">
        <v>38.979999999999997</v>
      </c>
      <c r="U11" s="37">
        <v>0</v>
      </c>
      <c r="V11" s="33">
        <v>47.08</v>
      </c>
      <c r="W11" s="37">
        <v>9.1999999999999993</v>
      </c>
      <c r="X11" s="4">
        <f>IF(H11="Senior",MAX(T11,V11),T11+V11)</f>
        <v>86.06</v>
      </c>
      <c r="Y11" s="33">
        <v>47.16</v>
      </c>
      <c r="Z11" s="37">
        <v>9.1999999999999993</v>
      </c>
      <c r="AA11" s="32">
        <v>41.14</v>
      </c>
      <c r="AB11" s="37">
        <v>0</v>
      </c>
      <c r="AC11" s="33">
        <v>45.61</v>
      </c>
      <c r="AD11" s="37">
        <v>8.6999999999999993</v>
      </c>
      <c r="AE11" s="4">
        <f>IF(H11="Senior",MAX(AA11,AC11),AA11+AC11)</f>
        <v>86.75</v>
      </c>
      <c r="AF11" s="33">
        <v>47.41</v>
      </c>
      <c r="AG11" s="37">
        <v>9.9</v>
      </c>
    </row>
    <row r="12" spans="1:34" x14ac:dyDescent="0.2">
      <c r="A12" s="1" t="str" cm="1">
        <f t="array" ref="A12">IF(I12="","",IF(P12&lt;&gt;"",SUMPRODUCT((P$3:P$102&lt;&gt;"")*(G$3:G$102=G12)*(J$3:J$102&gt;J12)*(I$3:I$102="P"))+1,IF(O12&lt;&gt;"",SUMPRODUCT((O$3:O$102&lt;&gt;"")*(P$3:P$102="")*(G$3:G$102=G12)*(J$3:J$102&gt;J12)*(I$3:I$102="P"))+SUMPRODUCT((P$3:P$102&lt;&gt;"")*(G$3:G$102=G12)*(I$3:I$102="P"))+1,IF(N12&lt;&gt;"",SUMPRODUCT((N$3:N$102&lt;&gt;"")*(G$3:G$102=G12)*(J$3:J$102&gt;J12)*(I$3:I$102="P"))+1,IF(M12="P",SUMPRODUCT((O$3:O$102&lt;&gt;"")*(P$3:P$102="")*(G$3:G$102=G12)*(I$3:I$102="P"))+SUMPRODUCT((P$3:P$102&lt;&gt;"")*(G$3:G$102=G12)*(I$3:I$102="P"))+SUMPRODUCT((N$3:N$102&lt;&gt;"")*(G$3:G$102=G12)*(I$3:I$102="P"))+SUMPRODUCT((P$3:P$102="")*(O$3:O$102="")*(N$3:N$102="")*(M$3:M$102="P")*(G$3:G$102=G12)*(J$3:J$102&gt;J12)*(I$3:I$102="P"))+IF(H12="L5",SUMPRODUCT((P$3:P$102="")*(O$3:O$102="")*(N$3:N$102="")*(M$3:M$102="P")*(G$3:G$102=G12)*(J$3:J$102&lt;J12)*(H$3:H$102&lt;&gt;H12)*(I$3:I$102="P")),-1*SUMPRODUCT((P$3:P$102="")*(O$3:O$102="")*(N$3:N$102="")*(M$3:M$102="P")*(G$3:G$102=G12)*(J$3:J$102&gt;J12)*(H$3:H$102="L5")*(I$3:I$102="P")))+1,"")))))</f>
        <v/>
      </c>
      <c r="B12" s="1" t="str" cm="1">
        <f t="array" ref="B12">IF(P12&lt;&gt;"",SUMPRODUCT((P$3:P$102&lt;&gt;"")*(G$3:G$102=G12)*(J$3:J$102&gt;J12))+1,IF(O12&lt;&gt;"",SUMPRODUCT((O$3:O$102&lt;&gt;"")*(P$3:P$102="")*(G$3:G$102=G12)*(J$3:J$102&gt;J12))+SUMPRODUCT((P$3:P$102&lt;&gt;"")*(G$3:G$102=G12))+1,IF(N12&lt;&gt;"",SUMPRODUCT((N$3:N$102&lt;&gt;"")*(G$3:G$102=G12)*(J$3:J$102&gt;J12))+1,IF(M12="P",SUMPRODUCT((O$3:O$102&lt;&gt;"")*(P$3:P$102="")*(G$3:G$102=G12))+SUMPRODUCT((P$3:P$102&lt;&gt;"")*(G$3:G$102=G12))+SUMPRODUCT((N$3:N$102&lt;&gt;"")*(G$3:G$102=G12))+SUMPRODUCT((P$3:P$102="")*(O$3:O$102="")*(N$3:N$102="")*(M$3:M$102="P")*(G$3:G$102=G12)*(J$3:J$102&gt;J12))+IF(H12="L5",SUMPRODUCT((P$3:P$102="")*(O$3:O$102="")*(N$3:N$102="")*(M$3:M$102="P")*(G$3:G$102=G12)*(J$3:J$102&lt;J12)*(H$3:H$102&lt;&gt;H12)),-1*SUMPRODUCT((P$3:P$102="")*(O$3:O$102="")*(N$3:N$102="")*(M$3:M$102="P")*(G$3:G$102=G12)*(J$3:J$102&gt;J12)*(H$3:H$102="L5")))+1,""))))</f>
        <v/>
      </c>
      <c r="C12" s="35" t="s">
        <v>234</v>
      </c>
      <c r="D12" t="str">
        <f>IF(E12="","",VLOOKUP(E12,'Coaching Points'!A:B,2,0))</f>
        <v>QC</v>
      </c>
      <c r="E12" s="35" t="s">
        <v>72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R12+S12+IF(OR(H12="Junior",H12="Senior"),0.0002,IF(OR(H12="L7",H12="L6"),0.0001,0))+IF(G12="17-21",MAX(AA12,AC12,AF12),AE12)*0.0000001</f>
        <v>94.050104860999994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48.61</v>
      </c>
      <c r="S12" s="4">
        <f>IF(G12="17-21",LARGE(CHOOSE({1,2,3,4,5,6},T12,V12,Y12,AA12,AC12,AF12),2),IF(R12=X12,MAX(Y12,AA12,AC12,AF12),IF(R12=AE12,MAX(AF12,T12,V12,Y12),0)))</f>
        <v>45.44</v>
      </c>
      <c r="T12" s="32">
        <v>37.86</v>
      </c>
      <c r="U12" s="37">
        <v>0</v>
      </c>
      <c r="V12" s="33">
        <v>45.44</v>
      </c>
      <c r="W12" s="37">
        <v>8.6</v>
      </c>
      <c r="X12" s="4">
        <f>IF(H12="Senior",MAX(T12,V12),T12+V12)</f>
        <v>83.3</v>
      </c>
      <c r="Y12" s="33">
        <v>9.98</v>
      </c>
      <c r="Z12" s="37">
        <v>1.9</v>
      </c>
      <c r="AA12" s="32">
        <v>39.450000000000003</v>
      </c>
      <c r="AB12" s="37">
        <v>0</v>
      </c>
      <c r="AC12" s="33">
        <v>45.41</v>
      </c>
      <c r="AD12" s="37">
        <v>9.1</v>
      </c>
      <c r="AE12" s="4">
        <f>IF(H12="Senior",MAX(AA12,AC12),AA12+AC12)</f>
        <v>84.86</v>
      </c>
      <c r="AF12" s="33">
        <v>48.61</v>
      </c>
      <c r="AG12" s="37">
        <v>9.1999999999999993</v>
      </c>
    </row>
    <row r="13" spans="1:34" x14ac:dyDescent="0.2">
      <c r="A13" s="1" t="str" cm="1">
        <f t="array" ref="A13">IF(I13="","",IF(P13&lt;&gt;"",SUMPRODUCT((P$3:P$102&lt;&gt;"")*(G$3:G$102=G13)*(J$3:J$102&gt;J13)*(I$3:I$102="P"))+1,IF(O13&lt;&gt;"",SUMPRODUCT((O$3:O$102&lt;&gt;"")*(P$3:P$102="")*(G$3:G$102=G13)*(J$3:J$102&gt;J13)*(I$3:I$102="P"))+SUMPRODUCT((P$3:P$102&lt;&gt;"")*(G$3:G$102=G13)*(I$3:I$102="P"))+1,IF(N13&lt;&gt;"",SUMPRODUCT((N$3:N$102&lt;&gt;"")*(G$3:G$102=G13)*(J$3:J$102&gt;J13)*(I$3:I$102="P"))+1,IF(M13="P",SUMPRODUCT((O$3:O$102&lt;&gt;"")*(P$3:P$102="")*(G$3:G$102=G13)*(I$3:I$102="P"))+SUMPRODUCT((P$3:P$102&lt;&gt;"")*(G$3:G$102=G13)*(I$3:I$102="P"))+SUMPRODUCT((N$3:N$102&lt;&gt;"")*(G$3:G$102=G13)*(I$3:I$102="P"))+SUMPRODUCT((P$3:P$102="")*(O$3:O$102="")*(N$3:N$102="")*(M$3:M$102="P")*(G$3:G$102=G13)*(J$3:J$102&gt;J13)*(I$3:I$102="P"))+IF(H13="L5",SUMPRODUCT((P$3:P$102="")*(O$3:O$102="")*(N$3:N$102="")*(M$3:M$102="P")*(G$3:G$102=G13)*(J$3:J$102&lt;J13)*(H$3:H$102&lt;&gt;H13)*(I$3:I$102="P")),-1*SUMPRODUCT((P$3:P$102="")*(O$3:O$102="")*(N$3:N$102="")*(M$3:M$102="P")*(G$3:G$102=G13)*(J$3:J$102&gt;J13)*(H$3:H$102="L5")*(I$3:I$102="P")))+1,"")))))</f>
        <v/>
      </c>
      <c r="B13" s="1" t="str" cm="1">
        <f t="array" ref="B13">IF(P13&lt;&gt;"",SUMPRODUCT((P$3:P$102&lt;&gt;"")*(G$3:G$102=G13)*(J$3:J$102&gt;J13))+1,IF(O13&lt;&gt;"",SUMPRODUCT((O$3:O$102&lt;&gt;"")*(P$3:P$102="")*(G$3:G$102=G13)*(J$3:J$102&gt;J13))+SUMPRODUCT((P$3:P$102&lt;&gt;"")*(G$3:G$102=G13))+1,IF(N13&lt;&gt;"",SUMPRODUCT((N$3:N$102&lt;&gt;"")*(G$3:G$102=G13)*(J$3:J$102&gt;J13))+1,IF(M13="P",SUMPRODUCT((O$3:O$102&lt;&gt;"")*(P$3:P$102="")*(G$3:G$102=G13))+SUMPRODUCT((P$3:P$102&lt;&gt;"")*(G$3:G$102=G13))+SUMPRODUCT((N$3:N$102&lt;&gt;"")*(G$3:G$102=G13))+SUMPRODUCT((P$3:P$102="")*(O$3:O$102="")*(N$3:N$102="")*(M$3:M$102="P")*(G$3:G$102=G13)*(J$3:J$102&gt;J13))+IF(H13="L5",SUMPRODUCT((P$3:P$102="")*(O$3:O$102="")*(N$3:N$102="")*(M$3:M$102="P")*(G$3:G$102=G13)*(J$3:J$102&lt;J13)*(H$3:H$102&lt;&gt;H13)),-1*SUMPRODUCT((P$3:P$102="")*(O$3:O$102="")*(N$3:N$102="")*(M$3:M$102="P")*(G$3:G$102=G13)*(J$3:J$102&gt;J13)*(H$3:H$102="L5")))+1,""))))</f>
        <v/>
      </c>
      <c r="C13" s="35" t="s">
        <v>260</v>
      </c>
      <c r="D13" t="str">
        <f>IF(E13="","",VLOOKUP(E13,'Coaching Points'!A:B,2,0))</f>
        <v>BC</v>
      </c>
      <c r="E13" s="35" t="s">
        <v>36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R13+S13+IF(OR(H13="Junior",H13="Senior"),0.0002,IF(OR(H13="L7",H13="L6"),0.0001,0))+IF(G13="17-21",MAX(AA13,AC13,AF13),AE13)*0.0000001</f>
        <v>93.740004225000007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47.31</v>
      </c>
      <c r="S13" s="4">
        <f>IF(G13="17-21",LARGE(CHOOSE({1,2,3,4,5,6},T13,V13,Y13,AA13,AC13,AF13),2),IF(R13=X13,MAX(Y13,AA13,AC13,AF13),IF(R13=AE13,MAX(AF13,T13,V13,Y13),0)))</f>
        <v>46.43</v>
      </c>
      <c r="T13" s="32">
        <v>36.79</v>
      </c>
      <c r="U13" s="37">
        <v>0</v>
      </c>
      <c r="V13" s="33">
        <v>47.31</v>
      </c>
      <c r="W13" s="37">
        <v>8.6</v>
      </c>
      <c r="X13" s="4">
        <f>IF(H13="Senior",MAX(T13,V13),T13+V13)</f>
        <v>84.1</v>
      </c>
      <c r="Y13" s="33">
        <v>46.43</v>
      </c>
      <c r="Z13" s="37">
        <v>8.6</v>
      </c>
      <c r="AA13" s="32">
        <v>38.53</v>
      </c>
      <c r="AB13" s="37">
        <v>0</v>
      </c>
      <c r="AC13" s="33">
        <v>42.25</v>
      </c>
      <c r="AD13" s="37">
        <v>8.1</v>
      </c>
      <c r="AE13" s="4">
        <f>IF(H13="Senior",MAX(AA13,AC13),AA13+AC13)</f>
        <v>80.78</v>
      </c>
      <c r="AF13" s="33"/>
      <c r="AG13" s="37"/>
    </row>
    <row r="14" spans="1:34" x14ac:dyDescent="0.2">
      <c r="A14" s="1" t="str" cm="1">
        <f t="array" ref="A14">IF(I14="","",IF(P14&lt;&gt;"",SUMPRODUCT((P$3:P$102&lt;&gt;"")*(G$3:G$102=G14)*(J$3:J$102&gt;J14)*(I$3:I$102="P"))+1,IF(O14&lt;&gt;"",SUMPRODUCT((O$3:O$102&lt;&gt;"")*(P$3:P$102="")*(G$3:G$102=G14)*(J$3:J$102&gt;J14)*(I$3:I$102="P"))+SUMPRODUCT((P$3:P$102&lt;&gt;"")*(G$3:G$102=G14)*(I$3:I$102="P"))+1,IF(N14&lt;&gt;"",SUMPRODUCT((N$3:N$102&lt;&gt;"")*(G$3:G$102=G14)*(J$3:J$102&gt;J14)*(I$3:I$102="P"))+1,IF(M14="P",SUMPRODUCT((O$3:O$102&lt;&gt;"")*(P$3:P$102="")*(G$3:G$102=G14)*(I$3:I$102="P"))+SUMPRODUCT((P$3:P$102&lt;&gt;"")*(G$3:G$102=G14)*(I$3:I$102="P"))+SUMPRODUCT((N$3:N$102&lt;&gt;"")*(G$3:G$102=G14)*(I$3:I$102="P"))+SUMPRODUCT((P$3:P$102="")*(O$3:O$102="")*(N$3:N$102="")*(M$3:M$102="P")*(G$3:G$102=G14)*(J$3:J$102&gt;J14)*(I$3:I$102="P"))+IF(H14="L5",SUMPRODUCT((P$3:P$102="")*(O$3:O$102="")*(N$3:N$102="")*(M$3:M$102="P")*(G$3:G$102=G14)*(J$3:J$102&lt;J14)*(H$3:H$102&lt;&gt;H14)*(I$3:I$102="P")),-1*SUMPRODUCT((P$3:P$102="")*(O$3:O$102="")*(N$3:N$102="")*(M$3:M$102="P")*(G$3:G$102=G14)*(J$3:J$102&gt;J14)*(H$3:H$102="L5")*(I$3:I$102="P")))+1,"")))))</f>
        <v/>
      </c>
      <c r="B14" s="1" t="str" cm="1">
        <f t="array" ref="B14">IF(P14&lt;&gt;"",SUMPRODUCT((P$3:P$102&lt;&gt;"")*(G$3:G$102=G14)*(J$3:J$102&gt;J14))+1,IF(O14&lt;&gt;"",SUMPRODUCT((O$3:O$102&lt;&gt;"")*(P$3:P$102="")*(G$3:G$102=G14)*(J$3:J$102&gt;J14))+SUMPRODUCT((P$3:P$102&lt;&gt;"")*(G$3:G$102=G14))+1,IF(N14&lt;&gt;"",SUMPRODUCT((N$3:N$102&lt;&gt;"")*(G$3:G$102=G14)*(J$3:J$102&gt;J14))+1,IF(M14="P",SUMPRODUCT((O$3:O$102&lt;&gt;"")*(P$3:P$102="")*(G$3:G$102=G14))+SUMPRODUCT((P$3:P$102&lt;&gt;"")*(G$3:G$102=G14))+SUMPRODUCT((N$3:N$102&lt;&gt;"")*(G$3:G$102=G14))+SUMPRODUCT((P$3:P$102="")*(O$3:O$102="")*(N$3:N$102="")*(M$3:M$102="P")*(G$3:G$102=G14)*(J$3:J$102&gt;J14))+IF(H14="L5",SUMPRODUCT((P$3:P$102="")*(O$3:O$102="")*(N$3:N$102="")*(M$3:M$102="P")*(G$3:G$102=G14)*(J$3:J$102&lt;J14)*(H$3:H$102&lt;&gt;H14)),-1*SUMPRODUCT((P$3:P$102="")*(O$3:O$102="")*(N$3:N$102="")*(M$3:M$102="P")*(G$3:G$102=G14)*(J$3:J$102&gt;J14)*(H$3:H$102="L5")))+1,""))))</f>
        <v/>
      </c>
      <c r="C14" s="35" t="s">
        <v>419</v>
      </c>
      <c r="D14" t="str">
        <f>IF(E14="","",VLOOKUP(E14,'Coaching Points'!A:B,2,0))</f>
        <v>QC</v>
      </c>
      <c r="E14" s="35" t="s">
        <v>3</v>
      </c>
      <c r="F14" s="34">
        <v>2008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R14+S14+IF(OR(H14="Junior",H14="Senior"),0.0002,IF(OR(H14="L7",H14="L6"),0.0001,0))+IF(G14="17-21",MAX(AA14,AC14,AF14),AE14)*0.0000001</f>
        <v>93.650004688999999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46.89</v>
      </c>
      <c r="S14" s="4">
        <f>IF(G14="17-21",LARGE(CHOOSE({1,2,3,4,5,6},T14,V14,Y14,AA14,AC14,AF14),2),IF(R14=X14,MAX(Y14,AA14,AC14,AF14),IF(R14=AE14,MAX(AF14,T14,V14,Y14),0)))</f>
        <v>46.76</v>
      </c>
      <c r="T14" s="32"/>
      <c r="U14" s="37"/>
      <c r="V14" s="33"/>
      <c r="W14" s="37"/>
      <c r="X14" s="4">
        <f>IF(H14="Senior",MAX(T14,V14),T14+V14)</f>
        <v>0</v>
      </c>
      <c r="Y14" s="33"/>
      <c r="Z14" s="37"/>
      <c r="AA14" s="32">
        <v>40.35</v>
      </c>
      <c r="AB14" s="37">
        <v>0</v>
      </c>
      <c r="AC14" s="33">
        <v>46.89</v>
      </c>
      <c r="AD14" s="37">
        <v>8.3000000000000007</v>
      </c>
      <c r="AE14" s="4">
        <f>IF(H14="Senior",MAX(AA14,AC14),AA14+AC14)</f>
        <v>87.240000000000009</v>
      </c>
      <c r="AF14" s="33">
        <v>46.76</v>
      </c>
      <c r="AG14" s="37">
        <v>8.3000000000000007</v>
      </c>
    </row>
    <row r="15" spans="1:34" x14ac:dyDescent="0.2">
      <c r="A15" s="1" t="str" cm="1">
        <f t="array" ref="A15">IF(I15="","",IF(P15&lt;&gt;"",SUMPRODUCT((P$3:P$102&lt;&gt;"")*(G$3:G$102=G15)*(J$3:J$102&gt;J15)*(I$3:I$102="P"))+1,IF(O15&lt;&gt;"",SUMPRODUCT((O$3:O$102&lt;&gt;"")*(P$3:P$102="")*(G$3:G$102=G15)*(J$3:J$102&gt;J15)*(I$3:I$102="P"))+SUMPRODUCT((P$3:P$102&lt;&gt;"")*(G$3:G$102=G15)*(I$3:I$102="P"))+1,IF(N15&lt;&gt;"",SUMPRODUCT((N$3:N$102&lt;&gt;"")*(G$3:G$102=G15)*(J$3:J$102&gt;J15)*(I$3:I$102="P"))+1,IF(M15="P",SUMPRODUCT((O$3:O$102&lt;&gt;"")*(P$3:P$102="")*(G$3:G$102=G15)*(I$3:I$102="P"))+SUMPRODUCT((P$3:P$102&lt;&gt;"")*(G$3:G$102=G15)*(I$3:I$102="P"))+SUMPRODUCT((N$3:N$102&lt;&gt;"")*(G$3:G$102=G15)*(I$3:I$102="P"))+SUMPRODUCT((P$3:P$102="")*(O$3:O$102="")*(N$3:N$102="")*(M$3:M$102="P")*(G$3:G$102=G15)*(J$3:J$102&gt;J15)*(I$3:I$102="P"))+IF(H15="L5",SUMPRODUCT((P$3:P$102="")*(O$3:O$102="")*(N$3:N$102="")*(M$3:M$102="P")*(G$3:G$102=G15)*(J$3:J$102&lt;J15)*(H$3:H$102&lt;&gt;H15)*(I$3:I$102="P")),-1*SUMPRODUCT((P$3:P$102="")*(O$3:O$102="")*(N$3:N$102="")*(M$3:M$102="P")*(G$3:G$102=G15)*(J$3:J$102&gt;J15)*(H$3:H$102="L5")*(I$3:I$102="P")))+1,"")))))</f>
        <v/>
      </c>
      <c r="B15" s="1" t="str" cm="1">
        <f t="array" ref="B15">IF(P15&lt;&gt;"",SUMPRODUCT((P$3:P$102&lt;&gt;"")*(G$3:G$102=G15)*(J$3:J$102&gt;J15))+1,IF(O15&lt;&gt;"",SUMPRODUCT((O$3:O$102&lt;&gt;"")*(P$3:P$102="")*(G$3:G$102=G15)*(J$3:J$102&gt;J15))+SUMPRODUCT((P$3:P$102&lt;&gt;"")*(G$3:G$102=G15))+1,IF(N15&lt;&gt;"",SUMPRODUCT((N$3:N$102&lt;&gt;"")*(G$3:G$102=G15)*(J$3:J$102&gt;J15))+1,IF(M15="P",SUMPRODUCT((O$3:O$102&lt;&gt;"")*(P$3:P$102="")*(G$3:G$102=G15))+SUMPRODUCT((P$3:P$102&lt;&gt;"")*(G$3:G$102=G15))+SUMPRODUCT((N$3:N$102&lt;&gt;"")*(G$3:G$102=G15))+SUMPRODUCT((P$3:P$102="")*(O$3:O$102="")*(N$3:N$102="")*(M$3:M$102="P")*(G$3:G$102=G15)*(J$3:J$102&gt;J15))+IF(H15="L5",SUMPRODUCT((P$3:P$102="")*(O$3:O$102="")*(N$3:N$102="")*(M$3:M$102="P")*(G$3:G$102=G15)*(J$3:J$102&lt;J15)*(H$3:H$102&lt;&gt;H15)),-1*SUMPRODUCT((P$3:P$102="")*(O$3:O$102="")*(N$3:N$102="")*(M$3:M$102="P")*(G$3:G$102=G15)*(J$3:J$102&gt;J15)*(H$3:H$102="L5")))+1,""))))</f>
        <v/>
      </c>
      <c r="C15" s="35" t="s">
        <v>236</v>
      </c>
      <c r="D15" t="str">
        <f>IF(E15="","",VLOOKUP(E15,'Coaching Points'!A:B,2,0))</f>
        <v>QC</v>
      </c>
      <c r="E15" s="35" t="s">
        <v>57</v>
      </c>
      <c r="F15" s="34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R15+S15+IF(OR(H15="Junior",H15="Senior"),0.0002,IF(OR(H15="L7",H15="L6"),0.0001,0))+IF(G15="17-21",MAX(AA15,AC15,AF15),AE15)*0.0000001</f>
        <v>92.960104694000009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46.94</v>
      </c>
      <c r="S15" s="4">
        <f>IF(G15="17-21",LARGE(CHOOSE({1,2,3,4,5,6},T15,V15,Y15,AA15,AC15,AF15),2),IF(R15=X15,MAX(Y15,AA15,AC15,AF15),IF(R15=AE15,MAX(AF15,T15,V15,Y15),0)))</f>
        <v>46.02</v>
      </c>
      <c r="T15" s="32">
        <v>39.81</v>
      </c>
      <c r="U15" s="37">
        <v>0</v>
      </c>
      <c r="V15" s="33">
        <v>40.94</v>
      </c>
      <c r="W15" s="37">
        <v>8</v>
      </c>
      <c r="X15" s="4">
        <f>IF(H15="Senior",MAX(T15,V15),T15+V15)</f>
        <v>80.75</v>
      </c>
      <c r="Y15" s="33"/>
      <c r="Z15" s="37"/>
      <c r="AA15" s="32">
        <v>40.159999999999997</v>
      </c>
      <c r="AB15" s="37">
        <v>0</v>
      </c>
      <c r="AC15" s="33">
        <v>46.02</v>
      </c>
      <c r="AD15" s="37">
        <v>9.5</v>
      </c>
      <c r="AE15" s="4">
        <f>IF(H15="Senior",MAX(AA15,AC15),AA15+AC15)</f>
        <v>86.18</v>
      </c>
      <c r="AF15" s="33">
        <v>46.94</v>
      </c>
      <c r="AG15" s="37">
        <v>9.5</v>
      </c>
    </row>
    <row r="16" spans="1:34" x14ac:dyDescent="0.2">
      <c r="A16" s="1" t="str" cm="1">
        <f t="array" ref="A16">IF(I16="","",IF(P16&lt;&gt;"",SUMPRODUCT((P$3:P$102&lt;&gt;"")*(G$3:G$102=G16)*(J$3:J$102&gt;J16)*(I$3:I$102="P"))+1,IF(O16&lt;&gt;"",SUMPRODUCT((O$3:O$102&lt;&gt;"")*(P$3:P$102="")*(G$3:G$102=G16)*(J$3:J$102&gt;J16)*(I$3:I$102="P"))+SUMPRODUCT((P$3:P$102&lt;&gt;"")*(G$3:G$102=G16)*(I$3:I$102="P"))+1,IF(N16&lt;&gt;"",SUMPRODUCT((N$3:N$102&lt;&gt;"")*(G$3:G$102=G16)*(J$3:J$102&gt;J16)*(I$3:I$102="P"))+1,IF(M16="P",SUMPRODUCT((O$3:O$102&lt;&gt;"")*(P$3:P$102="")*(G$3:G$102=G16)*(I$3:I$102="P"))+SUMPRODUCT((P$3:P$102&lt;&gt;"")*(G$3:G$102=G16)*(I$3:I$102="P"))+SUMPRODUCT((N$3:N$102&lt;&gt;"")*(G$3:G$102=G16)*(I$3:I$102="P"))+SUMPRODUCT((P$3:P$102="")*(O$3:O$102="")*(N$3:N$102="")*(M$3:M$102="P")*(G$3:G$102=G16)*(J$3:J$102&gt;J16)*(I$3:I$102="P"))+IF(H16="L5",SUMPRODUCT((P$3:P$102="")*(O$3:O$102="")*(N$3:N$102="")*(M$3:M$102="P")*(G$3:G$102=G16)*(J$3:J$102&lt;J16)*(H$3:H$102&lt;&gt;H16)*(I$3:I$102="P")),-1*SUMPRODUCT((P$3:P$102="")*(O$3:O$102="")*(N$3:N$102="")*(M$3:M$102="P")*(G$3:G$102=G16)*(J$3:J$102&gt;J16)*(H$3:H$102="L5")*(I$3:I$102="P")))+1,"")))))</f>
        <v/>
      </c>
      <c r="B16" s="1" t="str" cm="1">
        <f t="array" ref="B16">IF(P16&lt;&gt;"",SUMPRODUCT((P$3:P$102&lt;&gt;"")*(G$3:G$102=G16)*(J$3:J$102&gt;J16))+1,IF(O16&lt;&gt;"",SUMPRODUCT((O$3:O$102&lt;&gt;"")*(P$3:P$102="")*(G$3:G$102=G16)*(J$3:J$102&gt;J16))+SUMPRODUCT((P$3:P$102&lt;&gt;"")*(G$3:G$102=G16))+1,IF(N16&lt;&gt;"",SUMPRODUCT((N$3:N$102&lt;&gt;"")*(G$3:G$102=G16)*(J$3:J$102&gt;J16))+1,IF(M16="P",SUMPRODUCT((O$3:O$102&lt;&gt;"")*(P$3:P$102="")*(G$3:G$102=G16))+SUMPRODUCT((P$3:P$102&lt;&gt;"")*(G$3:G$102=G16))+SUMPRODUCT((N$3:N$102&lt;&gt;"")*(G$3:G$102=G16))+SUMPRODUCT((P$3:P$102="")*(O$3:O$102="")*(N$3:N$102="")*(M$3:M$102="P")*(G$3:G$102=G16)*(J$3:J$102&gt;J16))+IF(H16="L5",SUMPRODUCT((P$3:P$102="")*(O$3:O$102="")*(N$3:N$102="")*(M$3:M$102="P")*(G$3:G$102=G16)*(J$3:J$102&lt;J16)*(H$3:H$102&lt;&gt;H16)),-1*SUMPRODUCT((P$3:P$102="")*(O$3:O$102="")*(N$3:N$102="")*(M$3:M$102="P")*(G$3:G$102=G16)*(J$3:J$102&gt;J16)*(H$3:H$102="L5")))+1,""))))</f>
        <v/>
      </c>
      <c r="C16" s="35" t="s">
        <v>229</v>
      </c>
      <c r="D16" t="str">
        <f>IF(E16="","",VLOOKUP(E16,'Coaching Points'!A:B,2,0))</f>
        <v>NS</v>
      </c>
      <c r="E16" s="35" t="s">
        <v>86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R16+S16+IF(OR(H16="Junior",H16="Senior"),0.0002,IF(OR(H16="L7",H16="L6"),0.0001,0))+IF(G16="17-21",MAX(AA16,AC16,AF16),AE16)*0.0000001</f>
        <v>92.840104657000012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>P</v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46.57</v>
      </c>
      <c r="S16" s="4">
        <f>IF(G16="17-21",LARGE(CHOOSE({1,2,3,4,5,6},T16,V16,Y16,AA16,AC16,AF16),2),IF(R16=X16,MAX(Y16,AA16,AC16,AF16),IF(R16=AE16,MAX(AF16,T16,V16,Y16),0)))</f>
        <v>46.27</v>
      </c>
      <c r="T16" s="32">
        <v>38.21</v>
      </c>
      <c r="U16" s="37">
        <v>0</v>
      </c>
      <c r="V16" s="33">
        <v>45.65</v>
      </c>
      <c r="W16" s="37">
        <v>9.1999999999999993</v>
      </c>
      <c r="X16" s="4">
        <f>IF(H16="Senior",MAX(T16,V16),T16+V16)</f>
        <v>83.86</v>
      </c>
      <c r="Y16" s="33">
        <v>46.27</v>
      </c>
      <c r="Z16" s="37">
        <v>9.1999999999999993</v>
      </c>
      <c r="AA16" s="32">
        <v>38.799999999999997</v>
      </c>
      <c r="AB16" s="37">
        <v>0</v>
      </c>
      <c r="AC16" s="33">
        <v>44.91</v>
      </c>
      <c r="AD16" s="37">
        <v>9.1999999999999993</v>
      </c>
      <c r="AE16" s="4">
        <f>IF(H16="Senior",MAX(AA16,AC16),AA16+AC16)</f>
        <v>83.71</v>
      </c>
      <c r="AF16" s="33">
        <v>46.57</v>
      </c>
      <c r="AG16" s="37">
        <v>10.199999999999999</v>
      </c>
    </row>
    <row r="17" spans="1:33" x14ac:dyDescent="0.2">
      <c r="A17" s="1" t="str" cm="1">
        <f t="array" ref="A17">IF(I17="","",IF(P17&lt;&gt;"",SUMPRODUCT((P$3:P$102&lt;&gt;"")*(G$3:G$102=G17)*(J$3:J$102&gt;J17)*(I$3:I$102="P"))+1,IF(O17&lt;&gt;"",SUMPRODUCT((O$3:O$102&lt;&gt;"")*(P$3:P$102="")*(G$3:G$102=G17)*(J$3:J$102&gt;J17)*(I$3:I$102="P"))+SUMPRODUCT((P$3:P$102&lt;&gt;"")*(G$3:G$102=G17)*(I$3:I$102="P"))+1,IF(N17&lt;&gt;"",SUMPRODUCT((N$3:N$102&lt;&gt;"")*(G$3:G$102=G17)*(J$3:J$102&gt;J17)*(I$3:I$102="P"))+1,IF(M17="P",SUMPRODUCT((O$3:O$102&lt;&gt;"")*(P$3:P$102="")*(G$3:G$102=G17)*(I$3:I$102="P"))+SUMPRODUCT((P$3:P$102&lt;&gt;"")*(G$3:G$102=G17)*(I$3:I$102="P"))+SUMPRODUCT((N$3:N$102&lt;&gt;"")*(G$3:G$102=G17)*(I$3:I$102="P"))+SUMPRODUCT((P$3:P$102="")*(O$3:O$102="")*(N$3:N$102="")*(M$3:M$102="P")*(G$3:G$102=G17)*(J$3:J$102&gt;J17)*(I$3:I$102="P"))+IF(H17="L5",SUMPRODUCT((P$3:P$102="")*(O$3:O$102="")*(N$3:N$102="")*(M$3:M$102="P")*(G$3:G$102=G17)*(J$3:J$102&lt;J17)*(H$3:H$102&lt;&gt;H17)*(I$3:I$102="P")),-1*SUMPRODUCT((P$3:P$102="")*(O$3:O$102="")*(N$3:N$102="")*(M$3:M$102="P")*(G$3:G$102=G17)*(J$3:J$102&gt;J17)*(H$3:H$102="L5")*(I$3:I$102="P")))+1,"")))))</f>
        <v/>
      </c>
      <c r="B17" s="1" t="str" cm="1">
        <f t="array" ref="B17">IF(P17&lt;&gt;"",SUMPRODUCT((P$3:P$102&lt;&gt;"")*(G$3:G$102=G17)*(J$3:J$102&gt;J17))+1,IF(O17&lt;&gt;"",SUMPRODUCT((O$3:O$102&lt;&gt;"")*(P$3:P$102="")*(G$3:G$102=G17)*(J$3:J$102&gt;J17))+SUMPRODUCT((P$3:P$102&lt;&gt;"")*(G$3:G$102=G17))+1,IF(N17&lt;&gt;"",SUMPRODUCT((N$3:N$102&lt;&gt;"")*(G$3:G$102=G17)*(J$3:J$102&gt;J17))+1,IF(M17="P",SUMPRODUCT((O$3:O$102&lt;&gt;"")*(P$3:P$102="")*(G$3:G$102=G17))+SUMPRODUCT((P$3:P$102&lt;&gt;"")*(G$3:G$102=G17))+SUMPRODUCT((N$3:N$102&lt;&gt;"")*(G$3:G$102=G17))+SUMPRODUCT((P$3:P$102="")*(O$3:O$102="")*(N$3:N$102="")*(M$3:M$102="P")*(G$3:G$102=G17)*(J$3:J$102&gt;J17))+IF(H17="L5",SUMPRODUCT((P$3:P$102="")*(O$3:O$102="")*(N$3:N$102="")*(M$3:M$102="P")*(G$3:G$102=G17)*(J$3:J$102&lt;J17)*(H$3:H$102&lt;&gt;H17)),-1*SUMPRODUCT((P$3:P$102="")*(O$3:O$102="")*(N$3:N$102="")*(M$3:M$102="P")*(G$3:G$102=G17)*(J$3:J$102&gt;J17)*(H$3:H$102="L5")))+1,""))))</f>
        <v/>
      </c>
      <c r="C17" s="35" t="s">
        <v>268</v>
      </c>
      <c r="D17" t="str">
        <f>IF(E17="","",VLOOKUP(E17,'Coaching Points'!A:B,2,0))</f>
        <v>NL</v>
      </c>
      <c r="E17" s="35" t="s">
        <v>141</v>
      </c>
      <c r="F17" s="34">
        <v>2007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R17+S17+IF(OR(H17="Junior",H17="Senior"),0.0002,IF(OR(H17="L7",H17="L6"),0.0001,0))+IF(G17="17-21",MAX(AA17,AC17,AF17),AE17)*0.0000001</f>
        <v>92.690004692999992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46.93</v>
      </c>
      <c r="S17" s="4">
        <f>IF(G17="17-21",LARGE(CHOOSE({1,2,3,4,5,6},T17,V17,Y17,AA17,AC17,AF17),2),IF(R17=X17,MAX(Y17,AA17,AC17,AF17),IF(R17=AE17,MAX(AF17,T17,V17,Y17),0)))</f>
        <v>45.76</v>
      </c>
      <c r="T17" s="32">
        <v>39.229999999999997</v>
      </c>
      <c r="U17" s="37">
        <v>0</v>
      </c>
      <c r="V17" s="33">
        <v>44.3</v>
      </c>
      <c r="W17" s="37">
        <v>8.4</v>
      </c>
      <c r="X17" s="4">
        <f>IF(H17="Senior",MAX(T17,V17),T17+V17)</f>
        <v>83.53</v>
      </c>
      <c r="Y17" s="33">
        <v>4.68</v>
      </c>
      <c r="Z17" s="37">
        <v>1.3</v>
      </c>
      <c r="AA17" s="32">
        <v>39.65</v>
      </c>
      <c r="AB17" s="37">
        <v>0</v>
      </c>
      <c r="AC17" s="33">
        <v>46.93</v>
      </c>
      <c r="AD17" s="37">
        <v>8.5</v>
      </c>
      <c r="AE17" s="4">
        <f>IF(H17="Senior",MAX(AA17,AC17),AA17+AC17)</f>
        <v>86.58</v>
      </c>
      <c r="AF17" s="33">
        <v>45.76</v>
      </c>
      <c r="AG17" s="37">
        <v>8.5</v>
      </c>
    </row>
    <row r="18" spans="1:33" x14ac:dyDescent="0.2">
      <c r="A18" s="1" t="str" cm="1">
        <f t="array" ref="A18">IF(I18="","",IF(P18&lt;&gt;"",SUMPRODUCT((P$3:P$102&lt;&gt;"")*(G$3:G$102=G18)*(J$3:J$102&gt;J18)*(I$3:I$102="P"))+1,IF(O18&lt;&gt;"",SUMPRODUCT((O$3:O$102&lt;&gt;"")*(P$3:P$102="")*(G$3:G$102=G18)*(J$3:J$102&gt;J18)*(I$3:I$102="P"))+SUMPRODUCT((P$3:P$102&lt;&gt;"")*(G$3:G$102=G18)*(I$3:I$102="P"))+1,IF(N18&lt;&gt;"",SUMPRODUCT((N$3:N$102&lt;&gt;"")*(G$3:G$102=G18)*(J$3:J$102&gt;J18)*(I$3:I$102="P"))+1,IF(M18="P",SUMPRODUCT((O$3:O$102&lt;&gt;"")*(P$3:P$102="")*(G$3:G$102=G18)*(I$3:I$102="P"))+SUMPRODUCT((P$3:P$102&lt;&gt;"")*(G$3:G$102=G18)*(I$3:I$102="P"))+SUMPRODUCT((N$3:N$102&lt;&gt;"")*(G$3:G$102=G18)*(I$3:I$102="P"))+SUMPRODUCT((P$3:P$102="")*(O$3:O$102="")*(N$3:N$102="")*(M$3:M$102="P")*(G$3:G$102=G18)*(J$3:J$102&gt;J18)*(I$3:I$102="P"))+IF(H18="L5",SUMPRODUCT((P$3:P$102="")*(O$3:O$102="")*(N$3:N$102="")*(M$3:M$102="P")*(G$3:G$102=G18)*(J$3:J$102&lt;J18)*(H$3:H$102&lt;&gt;H18)*(I$3:I$102="P")),-1*SUMPRODUCT((P$3:P$102="")*(O$3:O$102="")*(N$3:N$102="")*(M$3:M$102="P")*(G$3:G$102=G18)*(J$3:J$102&gt;J18)*(H$3:H$102="L5")*(I$3:I$102="P")))+1,"")))))</f>
        <v/>
      </c>
      <c r="B18" s="1" t="str" cm="1">
        <f t="array" ref="B18">IF(P18&lt;&gt;"",SUMPRODUCT((P$3:P$102&lt;&gt;"")*(G$3:G$102=G18)*(J$3:J$102&gt;J18))+1,IF(O18&lt;&gt;"",SUMPRODUCT((O$3:O$102&lt;&gt;"")*(P$3:P$102="")*(G$3:G$102=G18)*(J$3:J$102&gt;J18))+SUMPRODUCT((P$3:P$102&lt;&gt;"")*(G$3:G$102=G18))+1,IF(N18&lt;&gt;"",SUMPRODUCT((N$3:N$102&lt;&gt;"")*(G$3:G$102=G18)*(J$3:J$102&gt;J18))+1,IF(M18="P",SUMPRODUCT((O$3:O$102&lt;&gt;"")*(P$3:P$102="")*(G$3:G$102=G18))+SUMPRODUCT((P$3:P$102&lt;&gt;"")*(G$3:G$102=G18))+SUMPRODUCT((N$3:N$102&lt;&gt;"")*(G$3:G$102=G18))+SUMPRODUCT((P$3:P$102="")*(O$3:O$102="")*(N$3:N$102="")*(M$3:M$102="P")*(G$3:G$102=G18)*(J$3:J$102&gt;J18))+IF(H18="L5",SUMPRODUCT((P$3:P$102="")*(O$3:O$102="")*(N$3:N$102="")*(M$3:M$102="P")*(G$3:G$102=G18)*(J$3:J$102&lt;J18)*(H$3:H$102&lt;&gt;H18)),-1*SUMPRODUCT((P$3:P$102="")*(O$3:O$102="")*(N$3:N$102="")*(M$3:M$102="P")*(G$3:G$102=G18)*(J$3:J$102&gt;J18)*(H$3:H$102="L5")))+1,""))))</f>
        <v/>
      </c>
      <c r="C18" s="35" t="s">
        <v>259</v>
      </c>
      <c r="D18" t="str">
        <f>IF(E18="","",VLOOKUP(E18,'Coaching Points'!A:B,2,0))</f>
        <v>QC</v>
      </c>
      <c r="E18" s="35" t="s">
        <v>57</v>
      </c>
      <c r="F18" s="34">
        <v>2008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R18+S18+IF(OR(H18="Junior",H18="Senior"),0.0002,IF(OR(H18="L7",H18="L6"),0.0001,0))+IF(G18="17-21",MAX(AA18,AC18,AF18),AE18)*0.0000001</f>
        <v>92.27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46.72</v>
      </c>
      <c r="S18" s="4">
        <f>IF(G18="17-21",LARGE(CHOOSE({1,2,3,4,5,6},T18,V18,Y18,AA18,AC18,AF18),2),IF(R18=X18,MAX(Y18,AA18,AC18,AF18),IF(R18=AE18,MAX(AF18,T18,V18,Y18),0)))</f>
        <v>45.55</v>
      </c>
      <c r="T18" s="32">
        <v>37.9</v>
      </c>
      <c r="U18" s="37">
        <v>0</v>
      </c>
      <c r="V18" s="33">
        <v>45.55</v>
      </c>
      <c r="W18" s="37">
        <v>7.7</v>
      </c>
      <c r="X18" s="4">
        <f>IF(H18="Senior",MAX(T18,V18),T18+V18)</f>
        <v>83.449999999999989</v>
      </c>
      <c r="Y18" s="33">
        <v>46.72</v>
      </c>
      <c r="Z18" s="37">
        <v>7.7</v>
      </c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$102&lt;&gt;"")*(G$3:G$102=G19)*(J$3:J$102&gt;J19)*(I$3:I$102="P"))+1,IF(O19&lt;&gt;"",SUMPRODUCT((O$3:O$102&lt;&gt;"")*(P$3:P$102="")*(G$3:G$102=G19)*(J$3:J$102&gt;J19)*(I$3:I$102="P"))+SUMPRODUCT((P$3:P$102&lt;&gt;"")*(G$3:G$102=G19)*(I$3:I$102="P"))+1,IF(N19&lt;&gt;"",SUMPRODUCT((N$3:N$102&lt;&gt;"")*(G$3:G$102=G19)*(J$3:J$102&gt;J19)*(I$3:I$102="P"))+1,IF(M19="P",SUMPRODUCT((O$3:O$102&lt;&gt;"")*(P$3:P$102="")*(G$3:G$102=G19)*(I$3:I$102="P"))+SUMPRODUCT((P$3:P$102&lt;&gt;"")*(G$3:G$102=G19)*(I$3:I$102="P"))+SUMPRODUCT((N$3:N$102&lt;&gt;"")*(G$3:G$102=G19)*(I$3:I$102="P"))+SUMPRODUCT((P$3:P$102="")*(O$3:O$102="")*(N$3:N$102="")*(M$3:M$102="P")*(G$3:G$102=G19)*(J$3:J$102&gt;J19)*(I$3:I$102="P"))+IF(H19="L5",SUMPRODUCT((P$3:P$102="")*(O$3:O$102="")*(N$3:N$102="")*(M$3:M$102="P")*(G$3:G$102=G19)*(J$3:J$102&lt;J19)*(H$3:H$102&lt;&gt;H19)*(I$3:I$102="P")),-1*SUMPRODUCT((P$3:P$102="")*(O$3:O$102="")*(N$3:N$102="")*(M$3:M$102="P")*(G$3:G$102=G19)*(J$3:J$102&gt;J19)*(H$3:H$102="L5")*(I$3:I$102="P")))+1,"")))))</f>
        <v/>
      </c>
      <c r="B19" s="1" t="str" cm="1">
        <f t="array" ref="B19">IF(P19&lt;&gt;"",SUMPRODUCT((P$3:P$102&lt;&gt;"")*(G$3:G$102=G19)*(J$3:J$102&gt;J19))+1,IF(O19&lt;&gt;"",SUMPRODUCT((O$3:O$102&lt;&gt;"")*(P$3:P$102="")*(G$3:G$102=G19)*(J$3:J$102&gt;J19))+SUMPRODUCT((P$3:P$102&lt;&gt;"")*(G$3:G$102=G19))+1,IF(N19&lt;&gt;"",SUMPRODUCT((N$3:N$102&lt;&gt;"")*(G$3:G$102=G19)*(J$3:J$102&gt;J19))+1,IF(M19="P",SUMPRODUCT((O$3:O$102&lt;&gt;"")*(P$3:P$102="")*(G$3:G$102=G19))+SUMPRODUCT((P$3:P$102&lt;&gt;"")*(G$3:G$102=G19))+SUMPRODUCT((N$3:N$102&lt;&gt;"")*(G$3:G$102=G19))+SUMPRODUCT((P$3:P$102="")*(O$3:O$102="")*(N$3:N$102="")*(M$3:M$102="P")*(G$3:G$102=G19)*(J$3:J$102&gt;J19))+IF(H19="L5",SUMPRODUCT((P$3:P$102="")*(O$3:O$102="")*(N$3:N$102="")*(M$3:M$102="P")*(G$3:G$102=G19)*(J$3:J$102&lt;J19)*(H$3:H$102&lt;&gt;H19)),-1*SUMPRODUCT((P$3:P$102="")*(O$3:O$102="")*(N$3:N$102="")*(M$3:M$102="P")*(G$3:G$102=G19)*(J$3:J$102&gt;J19)*(H$3:H$102="L5")))+1,""))))</f>
        <v/>
      </c>
      <c r="C19" s="35" t="s">
        <v>239</v>
      </c>
      <c r="D19" t="str">
        <f>IF(E19="","",VLOOKUP(E19,'Coaching Points'!A:B,2,0))</f>
        <v>QC</v>
      </c>
      <c r="E19" s="35" t="s">
        <v>72</v>
      </c>
      <c r="F19" s="34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R19+S19+IF(OR(H19="Junior",H19="Senior"),0.0002,IF(OR(H19="L7",H19="L6"),0.0001,0))+IF(G19="17-21",MAX(AA19,AC19,AF19),AE19)*0.0000001</f>
        <v>92.180104657000015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46.57</v>
      </c>
      <c r="S19" s="4">
        <f>IF(G19="17-21",LARGE(CHOOSE({1,2,3,4,5,6},T19,V19,Y19,AA19,AC19,AF19),2),IF(R19=X19,MAX(Y19,AA19,AC19,AF19),IF(R19=AE19,MAX(AF19,T19,V19,Y19),0)))</f>
        <v>45.61</v>
      </c>
      <c r="T19" s="32">
        <v>39.79</v>
      </c>
      <c r="U19" s="37">
        <v>0</v>
      </c>
      <c r="V19" s="33">
        <v>22.64</v>
      </c>
      <c r="W19" s="37">
        <v>4.8</v>
      </c>
      <c r="X19" s="4">
        <f>IF(H19="Senior",MAX(T19,V19),T19+V19)</f>
        <v>62.43</v>
      </c>
      <c r="Y19" s="33"/>
      <c r="Z19" s="37"/>
      <c r="AA19" s="32">
        <v>39.19</v>
      </c>
      <c r="AB19" s="37">
        <v>0</v>
      </c>
      <c r="AC19" s="33">
        <v>45.61</v>
      </c>
      <c r="AD19" s="37">
        <v>9.1999999999999993</v>
      </c>
      <c r="AE19" s="4">
        <f>IF(H19="Senior",MAX(AA19,AC19),AA19+AC19)</f>
        <v>84.8</v>
      </c>
      <c r="AF19" s="33">
        <v>46.57</v>
      </c>
      <c r="AG19" s="37">
        <v>9.1999999999999993</v>
      </c>
    </row>
    <row r="20" spans="1:33" x14ac:dyDescent="0.2">
      <c r="A20" s="1" t="str" cm="1">
        <f t="array" ref="A20">IF(I20="","",IF(P20&lt;&gt;"",SUMPRODUCT((P$3:P$102&lt;&gt;"")*(G$3:G$102=G20)*(J$3:J$102&gt;J20)*(I$3:I$102="P"))+1,IF(O20&lt;&gt;"",SUMPRODUCT((O$3:O$102&lt;&gt;"")*(P$3:P$102="")*(G$3:G$102=G20)*(J$3:J$102&gt;J20)*(I$3:I$102="P"))+SUMPRODUCT((P$3:P$102&lt;&gt;"")*(G$3:G$102=G20)*(I$3:I$102="P"))+1,IF(N20&lt;&gt;"",SUMPRODUCT((N$3:N$102&lt;&gt;"")*(G$3:G$102=G20)*(J$3:J$102&gt;J20)*(I$3:I$102="P"))+1,IF(M20="P",SUMPRODUCT((O$3:O$102&lt;&gt;"")*(P$3:P$102="")*(G$3:G$102=G20)*(I$3:I$102="P"))+SUMPRODUCT((P$3:P$102&lt;&gt;"")*(G$3:G$102=G20)*(I$3:I$102="P"))+SUMPRODUCT((N$3:N$102&lt;&gt;"")*(G$3:G$102=G20)*(I$3:I$102="P"))+SUMPRODUCT((P$3:P$102="")*(O$3:O$102="")*(N$3:N$102="")*(M$3:M$102="P")*(G$3:G$102=G20)*(J$3:J$102&gt;J20)*(I$3:I$102="P"))+IF(H20="L5",SUMPRODUCT((P$3:P$102="")*(O$3:O$102="")*(N$3:N$102="")*(M$3:M$102="P")*(G$3:G$102=G20)*(J$3:J$102&lt;J20)*(H$3:H$102&lt;&gt;H20)*(I$3:I$102="P")),-1*SUMPRODUCT((P$3:P$102="")*(O$3:O$102="")*(N$3:N$102="")*(M$3:M$102="P")*(G$3:G$102=G20)*(J$3:J$102&gt;J20)*(H$3:H$102="L5")*(I$3:I$102="P")))+1,"")))))</f>
        <v/>
      </c>
      <c r="B20" s="1" t="str" cm="1">
        <f t="array" ref="B20">IF(P20&lt;&gt;"",SUMPRODUCT((P$3:P$102&lt;&gt;"")*(G$3:G$102=G20)*(J$3:J$102&gt;J20))+1,IF(O20&lt;&gt;"",SUMPRODUCT((O$3:O$102&lt;&gt;"")*(P$3:P$102="")*(G$3:G$102=G20)*(J$3:J$102&gt;J20))+SUMPRODUCT((P$3:P$102&lt;&gt;"")*(G$3:G$102=G20))+1,IF(N20&lt;&gt;"",SUMPRODUCT((N$3:N$102&lt;&gt;"")*(G$3:G$102=G20)*(J$3:J$102&gt;J20))+1,IF(M20="P",SUMPRODUCT((O$3:O$102&lt;&gt;"")*(P$3:P$102="")*(G$3:G$102=G20))+SUMPRODUCT((P$3:P$102&lt;&gt;"")*(G$3:G$102=G20))+SUMPRODUCT((N$3:N$102&lt;&gt;"")*(G$3:G$102=G20))+SUMPRODUCT((P$3:P$102="")*(O$3:O$102="")*(N$3:N$102="")*(M$3:M$102="P")*(G$3:G$102=G20)*(J$3:J$102&gt;J20))+IF(H20="L5",SUMPRODUCT((P$3:P$102="")*(O$3:O$102="")*(N$3:N$102="")*(M$3:M$102="P")*(G$3:G$102=G20)*(J$3:J$102&lt;J20)*(H$3:H$102&lt;&gt;H20)),-1*SUMPRODUCT((P$3:P$102="")*(O$3:O$102="")*(N$3:N$102="")*(M$3:M$102="P")*(G$3:G$102=G20)*(J$3:J$102&gt;J20)*(H$3:H$102="L5")))+1,""))))</f>
        <v/>
      </c>
      <c r="C20" s="35" t="s">
        <v>264</v>
      </c>
      <c r="D20" t="str">
        <f>IF(E20="","",VLOOKUP(E20,'Coaching Points'!A:B,2,0))</f>
        <v>NL</v>
      </c>
      <c r="E20" s="35" t="s">
        <v>79</v>
      </c>
      <c r="F20" s="34">
        <v>2008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R20+S20+IF(OR(H20="Junior",H20="Senior"),0.0002,IF(OR(H20="L7",H20="L6"),0.0001,0))+IF(G20="17-21",MAX(AA20,AC20,AF20),AE20)*0.0000001</f>
        <v>92.170004626999997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46.27</v>
      </c>
      <c r="S20" s="4">
        <f>IF(G20="17-21",LARGE(CHOOSE({1,2,3,4,5,6},T20,V20,Y20,AA20,AC20,AF20),2),IF(R20=X20,MAX(Y20,AA20,AC20,AF20),IF(R20=AE20,MAX(AF20,T20,V20,Y20),0)))</f>
        <v>45.9</v>
      </c>
      <c r="T20" s="32">
        <v>37.229999999999997</v>
      </c>
      <c r="U20" s="37">
        <v>0</v>
      </c>
      <c r="V20" s="33">
        <v>44.76</v>
      </c>
      <c r="W20" s="37">
        <v>8.6</v>
      </c>
      <c r="X20" s="4">
        <f>IF(H20="Senior",MAX(T20,V20),T20+V20)</f>
        <v>81.99</v>
      </c>
      <c r="Y20" s="33">
        <v>43.87</v>
      </c>
      <c r="Z20" s="37">
        <v>8.1</v>
      </c>
      <c r="AA20" s="32">
        <v>38.880000000000003</v>
      </c>
      <c r="AB20" s="37">
        <v>0</v>
      </c>
      <c r="AC20" s="33">
        <v>46.27</v>
      </c>
      <c r="AD20" s="37">
        <v>8.4</v>
      </c>
      <c r="AE20" s="4">
        <f>IF(H20="Senior",MAX(AA20,AC20),AA20+AC20)</f>
        <v>85.15</v>
      </c>
      <c r="AF20" s="33">
        <v>45.9</v>
      </c>
      <c r="AG20" s="37">
        <v>8.4</v>
      </c>
    </row>
    <row r="21" spans="1:33" x14ac:dyDescent="0.2">
      <c r="A21" s="1" t="str" cm="1">
        <f t="array" ref="A21">IF(I21="","",IF(P21&lt;&gt;"",SUMPRODUCT((P$3:P$102&lt;&gt;"")*(G$3:G$102=G21)*(J$3:J$102&gt;J21)*(I$3:I$102="P"))+1,IF(O21&lt;&gt;"",SUMPRODUCT((O$3:O$102&lt;&gt;"")*(P$3:P$102="")*(G$3:G$102=G21)*(J$3:J$102&gt;J21)*(I$3:I$102="P"))+SUMPRODUCT((P$3:P$102&lt;&gt;"")*(G$3:G$102=G21)*(I$3:I$102="P"))+1,IF(N21&lt;&gt;"",SUMPRODUCT((N$3:N$102&lt;&gt;"")*(G$3:G$102=G21)*(J$3:J$102&gt;J21)*(I$3:I$102="P"))+1,IF(M21="P",SUMPRODUCT((O$3:O$102&lt;&gt;"")*(P$3:P$102="")*(G$3:G$102=G21)*(I$3:I$102="P"))+SUMPRODUCT((P$3:P$102&lt;&gt;"")*(G$3:G$102=G21)*(I$3:I$102="P"))+SUMPRODUCT((N$3:N$102&lt;&gt;"")*(G$3:G$102=G21)*(I$3:I$102="P"))+SUMPRODUCT((P$3:P$102="")*(O$3:O$102="")*(N$3:N$102="")*(M$3:M$102="P")*(G$3:G$102=G21)*(J$3:J$102&gt;J21)*(I$3:I$102="P"))+IF(H21="L5",SUMPRODUCT((P$3:P$102="")*(O$3:O$102="")*(N$3:N$102="")*(M$3:M$102="P")*(G$3:G$102=G21)*(J$3:J$102&lt;J21)*(H$3:H$102&lt;&gt;H21)*(I$3:I$102="P")),-1*SUMPRODUCT((P$3:P$102="")*(O$3:O$102="")*(N$3:N$102="")*(M$3:M$102="P")*(G$3:G$102=G21)*(J$3:J$102&gt;J21)*(H$3:H$102="L5")*(I$3:I$102="P")))+1,"")))))</f>
        <v/>
      </c>
      <c r="B21" s="1" t="str" cm="1">
        <f t="array" ref="B21">IF(P21&lt;&gt;"",SUMPRODUCT((P$3:P$102&lt;&gt;"")*(G$3:G$102=G21)*(J$3:J$102&gt;J21))+1,IF(O21&lt;&gt;"",SUMPRODUCT((O$3:O$102&lt;&gt;"")*(P$3:P$102="")*(G$3:G$102=G21)*(J$3:J$102&gt;J21))+SUMPRODUCT((P$3:P$102&lt;&gt;"")*(G$3:G$102=G21))+1,IF(N21&lt;&gt;"",SUMPRODUCT((N$3:N$102&lt;&gt;"")*(G$3:G$102=G21)*(J$3:J$102&gt;J21))+1,IF(M21="P",SUMPRODUCT((O$3:O$102&lt;&gt;"")*(P$3:P$102="")*(G$3:G$102=G21))+SUMPRODUCT((P$3:P$102&lt;&gt;"")*(G$3:G$102=G21))+SUMPRODUCT((N$3:N$102&lt;&gt;"")*(G$3:G$102=G21))+SUMPRODUCT((P$3:P$102="")*(O$3:O$102="")*(N$3:N$102="")*(M$3:M$102="P")*(G$3:G$102=G21)*(J$3:J$102&gt;J21))+IF(H21="L5",SUMPRODUCT((P$3:P$102="")*(O$3:O$102="")*(N$3:N$102="")*(M$3:M$102="P")*(G$3:G$102=G21)*(J$3:J$102&lt;J21)*(H$3:H$102&lt;&gt;H21)),-1*SUMPRODUCT((P$3:P$102="")*(O$3:O$102="")*(N$3:N$102="")*(M$3:M$102="P")*(G$3:G$102=G21)*(J$3:J$102&gt;J21)*(H$3:H$102="L5")))+1,""))))</f>
        <v/>
      </c>
      <c r="C21" s="35" t="s">
        <v>261</v>
      </c>
      <c r="D21" t="str">
        <f>IF(E21="","",VLOOKUP(E21,'Coaching Points'!A:B,2,0))</f>
        <v>ON</v>
      </c>
      <c r="E21" s="35" t="s">
        <v>45</v>
      </c>
      <c r="F21" s="34">
        <v>2008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R21+S21+IF(OR(H21="Junior",H21="Senior"),0.0002,IF(OR(H21="L7",H21="L6"),0.0001,0))+IF(G21="17-21",MAX(AA21,AC21,AF21),AE21)*0.0000001</f>
        <v>91.700004535999994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46.19</v>
      </c>
      <c r="S21" s="4">
        <f>IF(G21="17-21",LARGE(CHOOSE({1,2,3,4,5,6},T21,V21,Y21,AA21,AC21,AF21),2),IF(R21=X21,MAX(Y21,AA21,AC21,AF21),IF(R21=AE21,MAX(AF21,T21,V21,Y21),0)))</f>
        <v>45.51</v>
      </c>
      <c r="T21" s="32">
        <v>36.39</v>
      </c>
      <c r="U21" s="37">
        <v>0</v>
      </c>
      <c r="V21" s="33">
        <v>46.19</v>
      </c>
      <c r="W21" s="37">
        <v>9.1</v>
      </c>
      <c r="X21" s="4">
        <f>IF(H21="Senior",MAX(T21,V21),T21+V21)</f>
        <v>82.58</v>
      </c>
      <c r="Y21" s="33">
        <v>45.51</v>
      </c>
      <c r="Z21" s="37">
        <v>9.6</v>
      </c>
      <c r="AA21" s="32">
        <v>37.17</v>
      </c>
      <c r="AB21" s="37">
        <v>0</v>
      </c>
      <c r="AC21" s="33">
        <v>45.36</v>
      </c>
      <c r="AD21" s="37">
        <v>9.6</v>
      </c>
      <c r="AE21" s="4">
        <f>IF(H21="Senior",MAX(AA21,AC21),AA21+AC21)</f>
        <v>82.53</v>
      </c>
      <c r="AF21" s="33"/>
      <c r="AG21" s="37"/>
    </row>
    <row r="22" spans="1:33" x14ac:dyDescent="0.2">
      <c r="A22" s="1" t="str" cm="1">
        <f t="array" ref="A22">IF(I22="","",IF(P22&lt;&gt;"",SUMPRODUCT((P$3:P$102&lt;&gt;"")*(G$3:G$102=G22)*(J$3:J$102&gt;J22)*(I$3:I$102="P"))+1,IF(O22&lt;&gt;"",SUMPRODUCT((O$3:O$102&lt;&gt;"")*(P$3:P$102="")*(G$3:G$102=G22)*(J$3:J$102&gt;J22)*(I$3:I$102="P"))+SUMPRODUCT((P$3:P$102&lt;&gt;"")*(G$3:G$102=G22)*(I$3:I$102="P"))+1,IF(N22&lt;&gt;"",SUMPRODUCT((N$3:N$102&lt;&gt;"")*(G$3:G$102=G22)*(J$3:J$102&gt;J22)*(I$3:I$102="P"))+1,IF(M22="P",SUMPRODUCT((O$3:O$102&lt;&gt;"")*(P$3:P$102="")*(G$3:G$102=G22)*(I$3:I$102="P"))+SUMPRODUCT((P$3:P$102&lt;&gt;"")*(G$3:G$102=G22)*(I$3:I$102="P"))+SUMPRODUCT((N$3:N$102&lt;&gt;"")*(G$3:G$102=G22)*(I$3:I$102="P"))+SUMPRODUCT((P$3:P$102="")*(O$3:O$102="")*(N$3:N$102="")*(M$3:M$102="P")*(G$3:G$102=G22)*(J$3:J$102&gt;J22)*(I$3:I$102="P"))+IF(H22="L5",SUMPRODUCT((P$3:P$102="")*(O$3:O$102="")*(N$3:N$102="")*(M$3:M$102="P")*(G$3:G$102=G22)*(J$3:J$102&lt;J22)*(H$3:H$102&lt;&gt;H22)*(I$3:I$102="P")),-1*SUMPRODUCT((P$3:P$102="")*(O$3:O$102="")*(N$3:N$102="")*(M$3:M$102="P")*(G$3:G$102=G22)*(J$3:J$102&gt;J22)*(H$3:H$102="L5")*(I$3:I$102="P")))+1,"")))))</f>
        <v/>
      </c>
      <c r="B22" s="1" t="str" cm="1">
        <f t="array" ref="B22">IF(P22&lt;&gt;"",SUMPRODUCT((P$3:P$102&lt;&gt;"")*(G$3:G$102=G22)*(J$3:J$102&gt;J22))+1,IF(O22&lt;&gt;"",SUMPRODUCT((O$3:O$102&lt;&gt;"")*(P$3:P$102="")*(G$3:G$102=G22)*(J$3:J$102&gt;J22))+SUMPRODUCT((P$3:P$102&lt;&gt;"")*(G$3:G$102=G22))+1,IF(N22&lt;&gt;"",SUMPRODUCT((N$3:N$102&lt;&gt;"")*(G$3:G$102=G22)*(J$3:J$102&gt;J22))+1,IF(M22="P",SUMPRODUCT((O$3:O$102&lt;&gt;"")*(P$3:P$102="")*(G$3:G$102=G22))+SUMPRODUCT((P$3:P$102&lt;&gt;"")*(G$3:G$102=G22))+SUMPRODUCT((N$3:N$102&lt;&gt;"")*(G$3:G$102=G22))+SUMPRODUCT((P$3:P$102="")*(O$3:O$102="")*(N$3:N$102="")*(M$3:M$102="P")*(G$3:G$102=G22)*(J$3:J$102&gt;J22))+IF(H22="L5",SUMPRODUCT((P$3:P$102="")*(O$3:O$102="")*(N$3:N$102="")*(M$3:M$102="P")*(G$3:G$102=G22)*(J$3:J$102&lt;J22)*(H$3:H$102&lt;&gt;H22)),-1*SUMPRODUCT((P$3:P$102="")*(O$3:O$102="")*(N$3:N$102="")*(M$3:M$102="P")*(G$3:G$102=G22)*(J$3:J$102&gt;J22)*(H$3:H$102="L5")))+1,""))))</f>
        <v/>
      </c>
      <c r="C22" s="35" t="s">
        <v>420</v>
      </c>
      <c r="D22" t="str">
        <f>IF(E22="","",VLOOKUP(E22,'Coaching Points'!A:B,2,0))</f>
        <v>ON</v>
      </c>
      <c r="E22" s="35" t="s">
        <v>37</v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91.390004712999996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47.13</v>
      </c>
      <c r="S22" s="4">
        <f>IF(G22="17-21",LARGE(CHOOSE({1,2,3,4,5,6},T22,V22,Y22,AA22,AC22,AF22),2),IF(R22=X22,MAX(Y22,AA22,AC22,AF22),IF(R22=AE22,MAX(AF22,T22,V22,Y22),0)))</f>
        <v>44.26</v>
      </c>
      <c r="T22" s="32"/>
      <c r="U22" s="37"/>
      <c r="V22" s="33"/>
      <c r="W22" s="37"/>
      <c r="X22" s="4">
        <f>IF(H22="Senior",MAX(T22,V22),T22+V22)</f>
        <v>0</v>
      </c>
      <c r="Y22" s="33"/>
      <c r="Z22" s="37"/>
      <c r="AA22" s="32">
        <v>39.950000000000003</v>
      </c>
      <c r="AB22" s="37">
        <v>0</v>
      </c>
      <c r="AC22" s="33">
        <v>44.26</v>
      </c>
      <c r="AD22" s="37">
        <v>7.2</v>
      </c>
      <c r="AE22" s="4">
        <f>IF(H22="Senior",MAX(AA22,AC22),AA22+AC22)</f>
        <v>84.210000000000008</v>
      </c>
      <c r="AF22" s="33">
        <v>47.13</v>
      </c>
      <c r="AG22" s="37">
        <v>8.5</v>
      </c>
    </row>
    <row r="23" spans="1:33" x14ac:dyDescent="0.2">
      <c r="A23" s="1" t="str" cm="1">
        <f t="array" ref="A23">IF(I23="","",IF(P23&lt;&gt;"",SUMPRODUCT((P$3:P$102&lt;&gt;"")*(G$3:G$102=G23)*(J$3:J$102&gt;J23)*(I$3:I$102="P"))+1,IF(O23&lt;&gt;"",SUMPRODUCT((O$3:O$102&lt;&gt;"")*(P$3:P$102="")*(G$3:G$102=G23)*(J$3:J$102&gt;J23)*(I$3:I$102="P"))+SUMPRODUCT((P$3:P$102&lt;&gt;"")*(G$3:G$102=G23)*(I$3:I$102="P"))+1,IF(N23&lt;&gt;"",SUMPRODUCT((N$3:N$102&lt;&gt;"")*(G$3:G$102=G23)*(J$3:J$102&gt;J23)*(I$3:I$102="P"))+1,IF(M23="P",SUMPRODUCT((O$3:O$102&lt;&gt;"")*(P$3:P$102="")*(G$3:G$102=G23)*(I$3:I$102="P"))+SUMPRODUCT((P$3:P$102&lt;&gt;"")*(G$3:G$102=G23)*(I$3:I$102="P"))+SUMPRODUCT((N$3:N$102&lt;&gt;"")*(G$3:G$102=G23)*(I$3:I$102="P"))+SUMPRODUCT((P$3:P$102="")*(O$3:O$102="")*(N$3:N$102="")*(M$3:M$102="P")*(G$3:G$102=G23)*(J$3:J$102&gt;J23)*(I$3:I$102="P"))+IF(H23="L5",SUMPRODUCT((P$3:P$102="")*(O$3:O$102="")*(N$3:N$102="")*(M$3:M$102="P")*(G$3:G$102=G23)*(J$3:J$102&lt;J23)*(H$3:H$102&lt;&gt;H23)*(I$3:I$102="P")),-1*SUMPRODUCT((P$3:P$102="")*(O$3:O$102="")*(N$3:N$102="")*(M$3:M$102="P")*(G$3:G$102=G23)*(J$3:J$102&gt;J23)*(H$3:H$102="L5")*(I$3:I$102="P")))+1,"")))))</f>
        <v/>
      </c>
      <c r="B23" s="1" t="str" cm="1">
        <f t="array" ref="B23">IF(P23&lt;&gt;"",SUMPRODUCT((P$3:P$102&lt;&gt;"")*(G$3:G$102=G23)*(J$3:J$102&gt;J23))+1,IF(O23&lt;&gt;"",SUMPRODUCT((O$3:O$102&lt;&gt;"")*(P$3:P$102="")*(G$3:G$102=G23)*(J$3:J$102&gt;J23))+SUMPRODUCT((P$3:P$102&lt;&gt;"")*(G$3:G$102=G23))+1,IF(N23&lt;&gt;"",SUMPRODUCT((N$3:N$102&lt;&gt;"")*(G$3:G$102=G23)*(J$3:J$102&gt;J23))+1,IF(M23="P",SUMPRODUCT((O$3:O$102&lt;&gt;"")*(P$3:P$102="")*(G$3:G$102=G23))+SUMPRODUCT((P$3:P$102&lt;&gt;"")*(G$3:G$102=G23))+SUMPRODUCT((N$3:N$102&lt;&gt;"")*(G$3:G$102=G23))+SUMPRODUCT((P$3:P$102="")*(O$3:O$102="")*(N$3:N$102="")*(M$3:M$102="P")*(G$3:G$102=G23)*(J$3:J$102&gt;J23))+IF(H23="L5",SUMPRODUCT((P$3:P$102="")*(O$3:O$102="")*(N$3:N$102="")*(M$3:M$102="P")*(G$3:G$102=G23)*(J$3:J$102&lt;J23)*(H$3:H$102&lt;&gt;H23)),-1*SUMPRODUCT((P$3:P$102="")*(O$3:O$102="")*(N$3:N$102="")*(M$3:M$102="P")*(G$3:G$102=G23)*(J$3:J$102&gt;J23)*(H$3:H$102="L5")))+1,""))))</f>
        <v/>
      </c>
      <c r="C23" s="35" t="s">
        <v>285</v>
      </c>
      <c r="D23" t="str">
        <f>IF(E23="","",VLOOKUP(E23,'Coaching Points'!A:B,2,0))</f>
        <v>ON</v>
      </c>
      <c r="E23" s="35" t="s">
        <v>126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91.160004569999998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45.7</v>
      </c>
      <c r="S23" s="4">
        <f>IF(G23="17-21",LARGE(CHOOSE({1,2,3,4,5,6},T23,V23,Y23,AA23,AC23,AF23),2),IF(R23=X23,MAX(Y23,AA23,AC23,AF23),IF(R23=AE23,MAX(AF23,T23,V23,Y23),0)))</f>
        <v>45.46</v>
      </c>
      <c r="T23" s="32">
        <v>19.2</v>
      </c>
      <c r="U23" s="37">
        <v>0</v>
      </c>
      <c r="V23" s="33">
        <v>41.21</v>
      </c>
      <c r="W23" s="37">
        <v>7.8</v>
      </c>
      <c r="X23" s="4">
        <f>IF(H23="Senior",MAX(T23,V23),T23+V23)</f>
        <v>60.41</v>
      </c>
      <c r="Y23" s="33"/>
      <c r="Z23" s="37"/>
      <c r="AA23" s="32">
        <v>38.57</v>
      </c>
      <c r="AB23" s="37">
        <v>0</v>
      </c>
      <c r="AC23" s="33">
        <v>45.46</v>
      </c>
      <c r="AD23" s="37">
        <v>7.7</v>
      </c>
      <c r="AE23" s="4">
        <f>IF(H23="Senior",MAX(AA23,AC23),AA23+AC23)</f>
        <v>84.03</v>
      </c>
      <c r="AF23" s="33">
        <v>45.7</v>
      </c>
      <c r="AG23" s="37">
        <v>7.7</v>
      </c>
    </row>
    <row r="24" spans="1:33" x14ac:dyDescent="0.2">
      <c r="A24" s="1" t="str" cm="1">
        <f t="array" ref="A24">IF(I24="","",IF(P24&lt;&gt;"",SUMPRODUCT((P$3:P$102&lt;&gt;"")*(G$3:G$102=G24)*(J$3:J$102&gt;J24)*(I$3:I$102="P"))+1,IF(O24&lt;&gt;"",SUMPRODUCT((O$3:O$102&lt;&gt;"")*(P$3:P$102="")*(G$3:G$102=G24)*(J$3:J$102&gt;J24)*(I$3:I$102="P"))+SUMPRODUCT((P$3:P$102&lt;&gt;"")*(G$3:G$102=G24)*(I$3:I$102="P"))+1,IF(N24&lt;&gt;"",SUMPRODUCT((N$3:N$102&lt;&gt;"")*(G$3:G$102=G24)*(J$3:J$102&gt;J24)*(I$3:I$102="P"))+1,IF(M24="P",SUMPRODUCT((O$3:O$102&lt;&gt;"")*(P$3:P$102="")*(G$3:G$102=G24)*(I$3:I$102="P"))+SUMPRODUCT((P$3:P$102&lt;&gt;"")*(G$3:G$102=G24)*(I$3:I$102="P"))+SUMPRODUCT((N$3:N$102&lt;&gt;"")*(G$3:G$102=G24)*(I$3:I$102="P"))+SUMPRODUCT((P$3:P$102="")*(O$3:O$102="")*(N$3:N$102="")*(M$3:M$102="P")*(G$3:G$102=G24)*(J$3:J$102&gt;J24)*(I$3:I$102="P"))+IF(H24="L5",SUMPRODUCT((P$3:P$102="")*(O$3:O$102="")*(N$3:N$102="")*(M$3:M$102="P")*(G$3:G$102=G24)*(J$3:J$102&lt;J24)*(H$3:H$102&lt;&gt;H24)*(I$3:I$102="P")),-1*SUMPRODUCT((P$3:P$102="")*(O$3:O$102="")*(N$3:N$102="")*(M$3:M$102="P")*(G$3:G$102=G24)*(J$3:J$102&gt;J24)*(H$3:H$102="L5")*(I$3:I$102="P")))+1,"")))))</f>
        <v/>
      </c>
      <c r="B24" s="1" t="str" cm="1">
        <f t="array" ref="B24">IF(P24&lt;&gt;"",SUMPRODUCT((P$3:P$102&lt;&gt;"")*(G$3:G$102=G24)*(J$3:J$102&gt;J24))+1,IF(O24&lt;&gt;"",SUMPRODUCT((O$3:O$102&lt;&gt;"")*(P$3:P$102="")*(G$3:G$102=G24)*(J$3:J$102&gt;J24))+SUMPRODUCT((P$3:P$102&lt;&gt;"")*(G$3:G$102=G24))+1,IF(N24&lt;&gt;"",SUMPRODUCT((N$3:N$102&lt;&gt;"")*(G$3:G$102=G24)*(J$3:J$102&gt;J24))+1,IF(M24="P",SUMPRODUCT((O$3:O$102&lt;&gt;"")*(P$3:P$102="")*(G$3:G$102=G24))+SUMPRODUCT((P$3:P$102&lt;&gt;"")*(G$3:G$102=G24))+SUMPRODUCT((N$3:N$102&lt;&gt;"")*(G$3:G$102=G24))+SUMPRODUCT((P$3:P$102="")*(O$3:O$102="")*(N$3:N$102="")*(M$3:M$102="P")*(G$3:G$102=G24)*(J$3:J$102&gt;J24))+IF(H24="L5",SUMPRODUCT((P$3:P$102="")*(O$3:O$102="")*(N$3:N$102="")*(M$3:M$102="P")*(G$3:G$102=G24)*(J$3:J$102&lt;J24)*(H$3:H$102&lt;&gt;H24)),-1*SUMPRODUCT((P$3:P$102="")*(O$3:O$102="")*(N$3:N$102="")*(M$3:M$102="P")*(G$3:G$102=G24)*(J$3:J$102&gt;J24)*(H$3:H$102="L5")))+1,""))))</f>
        <v/>
      </c>
      <c r="C24" s="35" t="s">
        <v>241</v>
      </c>
      <c r="D24" t="str">
        <f>IF(E24="","",VLOOKUP(E24,'Coaching Points'!A:B,2,0))</f>
        <v>ON</v>
      </c>
      <c r="E24" s="35" t="s">
        <v>84</v>
      </c>
      <c r="F24" s="34">
        <v>2006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213</v>
      </c>
      <c r="I24" s="40"/>
      <c r="J24" s="4">
        <f>R24+S24+IF(OR(H24="Junior",H24="Senior"),0.0002,IF(OR(H24="L7",H24="L6"),0.0001,0))+IF(G24="17-21",MAX(AA24,AC24,AF24),AE24)*0.0000001</f>
        <v>91.090104588000003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>P</v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45.88</v>
      </c>
      <c r="S24" s="4">
        <f>IF(G24="17-21",LARGE(CHOOSE({1,2,3,4,5,6},T24,V24,Y24,AA24,AC24,AF24),2),IF(R24=X24,MAX(Y24,AA24,AC24,AF24),IF(R24=AE24,MAX(AF24,T24,V24,Y24),0)))</f>
        <v>45.21</v>
      </c>
      <c r="T24" s="32">
        <v>37.770000000000003</v>
      </c>
      <c r="U24" s="37">
        <v>0</v>
      </c>
      <c r="V24" s="33">
        <v>9.14</v>
      </c>
      <c r="W24" s="37">
        <v>2</v>
      </c>
      <c r="X24" s="4">
        <f>IF(H24="Senior",MAX(T24,V24),T24+V24)</f>
        <v>46.910000000000004</v>
      </c>
      <c r="Y24" s="33"/>
      <c r="Z24" s="37"/>
      <c r="AA24" s="32">
        <v>39.01</v>
      </c>
      <c r="AB24" s="37">
        <v>0</v>
      </c>
      <c r="AC24" s="33">
        <v>45.88</v>
      </c>
      <c r="AD24" s="37">
        <v>10.8</v>
      </c>
      <c r="AE24" s="4">
        <f>IF(H24="Senior",MAX(AA24,AC24),AA24+AC24)</f>
        <v>84.89</v>
      </c>
      <c r="AF24" s="33">
        <v>45.21</v>
      </c>
      <c r="AG24" s="37">
        <v>9.3000000000000007</v>
      </c>
    </row>
    <row r="25" spans="1:33" x14ac:dyDescent="0.2">
      <c r="A25" s="1" t="str" cm="1">
        <f t="array" ref="A25">IF(I25="","",IF(P25&lt;&gt;"",SUMPRODUCT((P$3:P$102&lt;&gt;"")*(G$3:G$102=G25)*(J$3:J$102&gt;J25)*(I$3:I$102="P"))+1,IF(O25&lt;&gt;"",SUMPRODUCT((O$3:O$102&lt;&gt;"")*(P$3:P$102="")*(G$3:G$102=G25)*(J$3:J$102&gt;J25)*(I$3:I$102="P"))+SUMPRODUCT((P$3:P$102&lt;&gt;"")*(G$3:G$102=G25)*(I$3:I$102="P"))+1,IF(N25&lt;&gt;"",SUMPRODUCT((N$3:N$102&lt;&gt;"")*(G$3:G$102=G25)*(J$3:J$102&gt;J25)*(I$3:I$102="P"))+1,IF(M25="P",SUMPRODUCT((O$3:O$102&lt;&gt;"")*(P$3:P$102="")*(G$3:G$102=G25)*(I$3:I$102="P"))+SUMPRODUCT((P$3:P$102&lt;&gt;"")*(G$3:G$102=G25)*(I$3:I$102="P"))+SUMPRODUCT((N$3:N$102&lt;&gt;"")*(G$3:G$102=G25)*(I$3:I$102="P"))+SUMPRODUCT((P$3:P$102="")*(O$3:O$102="")*(N$3:N$102="")*(M$3:M$102="P")*(G$3:G$102=G25)*(J$3:J$102&gt;J25)*(I$3:I$102="P"))+IF(H25="L5",SUMPRODUCT((P$3:P$102="")*(O$3:O$102="")*(N$3:N$102="")*(M$3:M$102="P")*(G$3:G$102=G25)*(J$3:J$102&lt;J25)*(H$3:H$102&lt;&gt;H25)*(I$3:I$102="P")),-1*SUMPRODUCT((P$3:P$102="")*(O$3:O$102="")*(N$3:N$102="")*(M$3:M$102="P")*(G$3:G$102=G25)*(J$3:J$102&gt;J25)*(H$3:H$102="L5")*(I$3:I$102="P")))+1,"")))))</f>
        <v/>
      </c>
      <c r="B25" s="1" t="str" cm="1">
        <f t="array" ref="B25">IF(P25&lt;&gt;"",SUMPRODUCT((P$3:P$102&lt;&gt;"")*(G$3:G$102=G25)*(J$3:J$102&gt;J25))+1,IF(O25&lt;&gt;"",SUMPRODUCT((O$3:O$102&lt;&gt;"")*(P$3:P$102="")*(G$3:G$102=G25)*(J$3:J$102&gt;J25))+SUMPRODUCT((P$3:P$102&lt;&gt;"")*(G$3:G$102=G25))+1,IF(N25&lt;&gt;"",SUMPRODUCT((N$3:N$102&lt;&gt;"")*(G$3:G$102=G25)*(J$3:J$102&gt;J25))+1,IF(M25="P",SUMPRODUCT((O$3:O$102&lt;&gt;"")*(P$3:P$102="")*(G$3:G$102=G25))+SUMPRODUCT((P$3:P$102&lt;&gt;"")*(G$3:G$102=G25))+SUMPRODUCT((N$3:N$102&lt;&gt;"")*(G$3:G$102=G25))+SUMPRODUCT((P$3:P$102="")*(O$3:O$102="")*(N$3:N$102="")*(M$3:M$102="P")*(G$3:G$102=G25)*(J$3:J$102&gt;J25))+IF(H25="L5",SUMPRODUCT((P$3:P$102="")*(O$3:O$102="")*(N$3:N$102="")*(M$3:M$102="P")*(G$3:G$102=G25)*(J$3:J$102&lt;J25)*(H$3:H$102&lt;&gt;H25)),-1*SUMPRODUCT((P$3:P$102="")*(O$3:O$102="")*(N$3:N$102="")*(M$3:M$102="P")*(G$3:G$102=G25)*(J$3:J$102&gt;J25)*(H$3:H$102="L5")))+1,""))))</f>
        <v/>
      </c>
      <c r="C25" s="35" t="s">
        <v>283</v>
      </c>
      <c r="D25" t="str">
        <f>IF(E25="","",VLOOKUP(E25,'Coaching Points'!A:B,2,0))</f>
        <v>QC</v>
      </c>
      <c r="E25" s="35" t="s">
        <v>57</v>
      </c>
      <c r="F25" s="34">
        <v>2008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90.540004574999998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45.75</v>
      </c>
      <c r="S25" s="4">
        <f>IF(G25="17-21",LARGE(CHOOSE({1,2,3,4,5,6},T25,V25,Y25,AA25,AC25,AF25),2),IF(R25=X25,MAX(Y25,AA25,AC25,AF25),IF(R25=AE25,MAX(AF25,T25,V25,Y25),0)))</f>
        <v>44.79</v>
      </c>
      <c r="T25" s="32">
        <v>38.020000000000003</v>
      </c>
      <c r="U25" s="37">
        <v>0</v>
      </c>
      <c r="V25" s="33">
        <v>29.1</v>
      </c>
      <c r="W25" s="37">
        <v>5.2</v>
      </c>
      <c r="X25" s="4">
        <f>IF(H25="Senior",MAX(T25,V25),T25+V25)</f>
        <v>67.12</v>
      </c>
      <c r="Y25" s="33"/>
      <c r="Z25" s="37"/>
      <c r="AA25" s="32">
        <v>38.909999999999997</v>
      </c>
      <c r="AB25" s="37">
        <v>0</v>
      </c>
      <c r="AC25" s="33">
        <v>45.75</v>
      </c>
      <c r="AD25" s="37">
        <v>7.7</v>
      </c>
      <c r="AE25" s="4">
        <f>IF(H25="Senior",MAX(AA25,AC25),AA25+AC25)</f>
        <v>84.66</v>
      </c>
      <c r="AF25" s="33">
        <v>44.79</v>
      </c>
      <c r="AG25" s="37">
        <v>7.7</v>
      </c>
    </row>
    <row r="26" spans="1:33" x14ac:dyDescent="0.2">
      <c r="A26" s="1" t="str" cm="1">
        <f t="array" ref="A26">IF(I26="","",IF(P26&lt;&gt;"",SUMPRODUCT((P$3:P$102&lt;&gt;"")*(G$3:G$102=G26)*(J$3:J$102&gt;J26)*(I$3:I$102="P"))+1,IF(O26&lt;&gt;"",SUMPRODUCT((O$3:O$102&lt;&gt;"")*(P$3:P$102="")*(G$3:G$102=G26)*(J$3:J$102&gt;J26)*(I$3:I$102="P"))+SUMPRODUCT((P$3:P$102&lt;&gt;"")*(G$3:G$102=G26)*(I$3:I$102="P"))+1,IF(N26&lt;&gt;"",SUMPRODUCT((N$3:N$102&lt;&gt;"")*(G$3:G$102=G26)*(J$3:J$102&gt;J26)*(I$3:I$102="P"))+1,IF(M26="P",SUMPRODUCT((O$3:O$102&lt;&gt;"")*(P$3:P$102="")*(G$3:G$102=G26)*(I$3:I$102="P"))+SUMPRODUCT((P$3:P$102&lt;&gt;"")*(G$3:G$102=G26)*(I$3:I$102="P"))+SUMPRODUCT((N$3:N$102&lt;&gt;"")*(G$3:G$102=G26)*(I$3:I$102="P"))+SUMPRODUCT((P$3:P$102="")*(O$3:O$102="")*(N$3:N$102="")*(M$3:M$102="P")*(G$3:G$102=G26)*(J$3:J$102&gt;J26)*(I$3:I$102="P"))+IF(H26="L5",SUMPRODUCT((P$3:P$102="")*(O$3:O$102="")*(N$3:N$102="")*(M$3:M$102="P")*(G$3:G$102=G26)*(J$3:J$102&lt;J26)*(H$3:H$102&lt;&gt;H26)*(I$3:I$102="P")),-1*SUMPRODUCT((P$3:P$102="")*(O$3:O$102="")*(N$3:N$102="")*(M$3:M$102="P")*(G$3:G$102=G26)*(J$3:J$102&gt;J26)*(H$3:H$102="L5")*(I$3:I$102="P")))+1,"")))))</f>
        <v/>
      </c>
      <c r="B26" s="1" t="str" cm="1">
        <f t="array" ref="B26">IF(P26&lt;&gt;"",SUMPRODUCT((P$3:P$102&lt;&gt;"")*(G$3:G$102=G26)*(J$3:J$102&gt;J26))+1,IF(O26&lt;&gt;"",SUMPRODUCT((O$3:O$102&lt;&gt;"")*(P$3:P$102="")*(G$3:G$102=G26)*(J$3:J$102&gt;J26))+SUMPRODUCT((P$3:P$102&lt;&gt;"")*(G$3:G$102=G26))+1,IF(N26&lt;&gt;"",SUMPRODUCT((N$3:N$102&lt;&gt;"")*(G$3:G$102=G26)*(J$3:J$102&gt;J26))+1,IF(M26="P",SUMPRODUCT((O$3:O$102&lt;&gt;"")*(P$3:P$102="")*(G$3:G$102=G26))+SUMPRODUCT((P$3:P$102&lt;&gt;"")*(G$3:G$102=G26))+SUMPRODUCT((N$3:N$102&lt;&gt;"")*(G$3:G$102=G26))+SUMPRODUCT((P$3:P$102="")*(O$3:O$102="")*(N$3:N$102="")*(M$3:M$102="P")*(G$3:G$102=G26)*(J$3:J$102&gt;J26))+IF(H26="L5",SUMPRODUCT((P$3:P$102="")*(O$3:O$102="")*(N$3:N$102="")*(M$3:M$102="P")*(G$3:G$102=G26)*(J$3:J$102&lt;J26)*(H$3:H$102&lt;&gt;H26)),-1*SUMPRODUCT((P$3:P$102="")*(O$3:O$102="")*(N$3:N$102="")*(M$3:M$102="P")*(G$3:G$102=G26)*(J$3:J$102&gt;J26)*(H$3:H$102="L5")))+1,""))))</f>
        <v/>
      </c>
      <c r="C26" s="35" t="s">
        <v>228</v>
      </c>
      <c r="D26" t="str">
        <f>IF(E26="","",VLOOKUP(E26,'Coaching Points'!A:B,2,0))</f>
        <v>QC</v>
      </c>
      <c r="E26" s="35" t="s">
        <v>125</v>
      </c>
      <c r="F26" s="34">
        <v>2004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>R26+S26+IF(OR(H26="Junior",H26="Senior"),0.0002,IF(OR(H26="L7",H26="L6"),0.0001,0))+IF(G26="17-21",MAX(AA26,AC26,AF26),AE26)*0.0000001</f>
        <v>90.430103851000013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46.53</v>
      </c>
      <c r="S26" s="4">
        <f>IF(G26="17-21",LARGE(CHOOSE({1,2,3,4,5,6},T26,V26,Y26,AA26,AC26,AF26),2),IF(R26=X26,MAX(Y26,AA26,AC26,AF26),IF(R26=AE26,MAX(AF26,T26,V26,Y26),0)))</f>
        <v>43.9</v>
      </c>
      <c r="T26" s="32">
        <v>39.6</v>
      </c>
      <c r="U26" s="37">
        <v>0</v>
      </c>
      <c r="V26" s="33">
        <v>43.9</v>
      </c>
      <c r="W26" s="37">
        <v>9.1999999999999993</v>
      </c>
      <c r="X26" s="4">
        <f>IF(H26="Senior",MAX(T26,V26),T26+V26)</f>
        <v>83.5</v>
      </c>
      <c r="Y26" s="33">
        <v>46.53</v>
      </c>
      <c r="Z26" s="37">
        <v>9.1999999999999993</v>
      </c>
      <c r="AA26" s="32">
        <v>38.51</v>
      </c>
      <c r="AB26" s="37">
        <v>0</v>
      </c>
      <c r="AC26" s="33">
        <v>13.78</v>
      </c>
      <c r="AD26" s="37">
        <v>3.2</v>
      </c>
      <c r="AE26" s="4">
        <f>IF(H26="Senior",MAX(AA26,AC26),AA26+AC26)</f>
        <v>52.29</v>
      </c>
      <c r="AF26" s="33"/>
      <c r="AG26" s="37"/>
    </row>
    <row r="27" spans="1:33" x14ac:dyDescent="0.2">
      <c r="A27" s="1" t="str" cm="1">
        <f t="array" ref="A27">IF(I27="","",IF(P27&lt;&gt;"",SUMPRODUCT((P$3:P$102&lt;&gt;"")*(G$3:G$102=G27)*(J$3:J$102&gt;J27)*(I$3:I$102="P"))+1,IF(O27&lt;&gt;"",SUMPRODUCT((O$3:O$102&lt;&gt;"")*(P$3:P$102="")*(G$3:G$102=G27)*(J$3:J$102&gt;J27)*(I$3:I$102="P"))+SUMPRODUCT((P$3:P$102&lt;&gt;"")*(G$3:G$102=G27)*(I$3:I$102="P"))+1,IF(N27&lt;&gt;"",SUMPRODUCT((N$3:N$102&lt;&gt;"")*(G$3:G$102=G27)*(J$3:J$102&gt;J27)*(I$3:I$102="P"))+1,IF(M27="P",SUMPRODUCT((O$3:O$102&lt;&gt;"")*(P$3:P$102="")*(G$3:G$102=G27)*(I$3:I$102="P"))+SUMPRODUCT((P$3:P$102&lt;&gt;"")*(G$3:G$102=G27)*(I$3:I$102="P"))+SUMPRODUCT((N$3:N$102&lt;&gt;"")*(G$3:G$102=G27)*(I$3:I$102="P"))+SUMPRODUCT((P$3:P$102="")*(O$3:O$102="")*(N$3:N$102="")*(M$3:M$102="P")*(G$3:G$102=G27)*(J$3:J$102&gt;J27)*(I$3:I$102="P"))+IF(H27="L5",SUMPRODUCT((P$3:P$102="")*(O$3:O$102="")*(N$3:N$102="")*(M$3:M$102="P")*(G$3:G$102=G27)*(J$3:J$102&lt;J27)*(H$3:H$102&lt;&gt;H27)*(I$3:I$102="P")),-1*SUMPRODUCT((P$3:P$102="")*(O$3:O$102="")*(N$3:N$102="")*(M$3:M$102="P")*(G$3:G$102=G27)*(J$3:J$102&gt;J27)*(H$3:H$102="L5")*(I$3:I$102="P")))+1,"")))))</f>
        <v/>
      </c>
      <c r="B27" s="1" t="str" cm="1">
        <f t="array" ref="B27">IF(P27&lt;&gt;"",SUMPRODUCT((P$3:P$102&lt;&gt;"")*(G$3:G$102=G27)*(J$3:J$102&gt;J27))+1,IF(O27&lt;&gt;"",SUMPRODUCT((O$3:O$102&lt;&gt;"")*(P$3:P$102="")*(G$3:G$102=G27)*(J$3:J$102&gt;J27))+SUMPRODUCT((P$3:P$102&lt;&gt;"")*(G$3:G$102=G27))+1,IF(N27&lt;&gt;"",SUMPRODUCT((N$3:N$102&lt;&gt;"")*(G$3:G$102=G27)*(J$3:J$102&gt;J27))+1,IF(M27="P",SUMPRODUCT((O$3:O$102&lt;&gt;"")*(P$3:P$102="")*(G$3:G$102=G27))+SUMPRODUCT((P$3:P$102&lt;&gt;"")*(G$3:G$102=G27))+SUMPRODUCT((N$3:N$102&lt;&gt;"")*(G$3:G$102=G27))+SUMPRODUCT((P$3:P$102="")*(O$3:O$102="")*(N$3:N$102="")*(M$3:M$102="P")*(G$3:G$102=G27)*(J$3:J$102&gt;J27))+IF(H27="L5",SUMPRODUCT((P$3:P$102="")*(O$3:O$102="")*(N$3:N$102="")*(M$3:M$102="P")*(G$3:G$102=G27)*(J$3:J$102&lt;J27)*(H$3:H$102&lt;&gt;H27)),-1*SUMPRODUCT((P$3:P$102="")*(O$3:O$102="")*(N$3:N$102="")*(M$3:M$102="P")*(G$3:G$102=G27)*(J$3:J$102&gt;J27)*(H$3:H$102="L5")))+1,""))))</f>
        <v/>
      </c>
      <c r="C27" s="35" t="s">
        <v>263</v>
      </c>
      <c r="D27" t="str">
        <f>IF(E27="","",VLOOKUP(E27,'Coaching Points'!A:B,2,0))</f>
        <v>QC</v>
      </c>
      <c r="E27" s="35" t="s">
        <v>174</v>
      </c>
      <c r="F27" s="34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R27+S27+IF(OR(H27="Junior",H27="Senior"),0.0002,IF(OR(H27="L7",H27="L6"),0.0001,0))+IF(G27="17-21",MAX(AA27,AC27,AF27),AE27)*0.0000001</f>
        <v>90.32000451399999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45.18</v>
      </c>
      <c r="S27" s="4">
        <f>IF(G27="17-21",LARGE(CHOOSE({1,2,3,4,5,6},T27,V27,Y27,AA27,AC27,AF27),2),IF(R27=X27,MAX(Y27,AA27,AC27,AF27),IF(R27=AE27,MAX(AF27,T27,V27,Y27),0)))</f>
        <v>45.14</v>
      </c>
      <c r="T27" s="32">
        <v>38.76</v>
      </c>
      <c r="U27" s="37">
        <v>0</v>
      </c>
      <c r="V27" s="33">
        <v>45.18</v>
      </c>
      <c r="W27" s="37">
        <v>8.6</v>
      </c>
      <c r="X27" s="4">
        <f>IF(H27="Senior",MAX(T27,V27),T27+V27)</f>
        <v>83.94</v>
      </c>
      <c r="Y27" s="33">
        <v>44.44</v>
      </c>
      <c r="Z27" s="37">
        <v>8.6</v>
      </c>
      <c r="AA27" s="32">
        <v>38.89</v>
      </c>
      <c r="AB27" s="37">
        <v>0</v>
      </c>
      <c r="AC27" s="33">
        <v>45.14</v>
      </c>
      <c r="AD27" s="37">
        <v>8.6</v>
      </c>
      <c r="AE27" s="4">
        <f>IF(H27="Senior",MAX(AA27,AC27),AA27+AC27)</f>
        <v>84.03</v>
      </c>
      <c r="AF27" s="33">
        <v>44.95</v>
      </c>
      <c r="AG27" s="37">
        <v>8.6</v>
      </c>
    </row>
    <row r="28" spans="1:33" x14ac:dyDescent="0.2">
      <c r="A28" s="1" t="str" cm="1">
        <f t="array" ref="A28">IF(I28="","",IF(P28&lt;&gt;"",SUMPRODUCT((P$3:P$102&lt;&gt;"")*(G$3:G$102=G28)*(J$3:J$102&gt;J28)*(I$3:I$102="P"))+1,IF(O28&lt;&gt;"",SUMPRODUCT((O$3:O$102&lt;&gt;"")*(P$3:P$102="")*(G$3:G$102=G28)*(J$3:J$102&gt;J28)*(I$3:I$102="P"))+SUMPRODUCT((P$3:P$102&lt;&gt;"")*(G$3:G$102=G28)*(I$3:I$102="P"))+1,IF(N28&lt;&gt;"",SUMPRODUCT((N$3:N$102&lt;&gt;"")*(G$3:G$102=G28)*(J$3:J$102&gt;J28)*(I$3:I$102="P"))+1,IF(M28="P",SUMPRODUCT((O$3:O$102&lt;&gt;"")*(P$3:P$102="")*(G$3:G$102=G28)*(I$3:I$102="P"))+SUMPRODUCT((P$3:P$102&lt;&gt;"")*(G$3:G$102=G28)*(I$3:I$102="P"))+SUMPRODUCT((N$3:N$102&lt;&gt;"")*(G$3:G$102=G28)*(I$3:I$102="P"))+SUMPRODUCT((P$3:P$102="")*(O$3:O$102="")*(N$3:N$102="")*(M$3:M$102="P")*(G$3:G$102=G28)*(J$3:J$102&gt;J28)*(I$3:I$102="P"))+IF(H28="L5",SUMPRODUCT((P$3:P$102="")*(O$3:O$102="")*(N$3:N$102="")*(M$3:M$102="P")*(G$3:G$102=G28)*(J$3:J$102&lt;J28)*(H$3:H$102&lt;&gt;H28)*(I$3:I$102="P")),-1*SUMPRODUCT((P$3:P$102="")*(O$3:O$102="")*(N$3:N$102="")*(M$3:M$102="P")*(G$3:G$102=G28)*(J$3:J$102&gt;J28)*(H$3:H$102="L5")*(I$3:I$102="P")))+1,"")))))</f>
        <v/>
      </c>
      <c r="B28" s="1" t="str" cm="1">
        <f t="array" ref="B28">IF(P28&lt;&gt;"",SUMPRODUCT((P$3:P$102&lt;&gt;"")*(G$3:G$102=G28)*(J$3:J$102&gt;J28))+1,IF(O28&lt;&gt;"",SUMPRODUCT((O$3:O$102&lt;&gt;"")*(P$3:P$102="")*(G$3:G$102=G28)*(J$3:J$102&gt;J28))+SUMPRODUCT((P$3:P$102&lt;&gt;"")*(G$3:G$102=G28))+1,IF(N28&lt;&gt;"",SUMPRODUCT((N$3:N$102&lt;&gt;"")*(G$3:G$102=G28)*(J$3:J$102&gt;J28))+1,IF(M28="P",SUMPRODUCT((O$3:O$102&lt;&gt;"")*(P$3:P$102="")*(G$3:G$102=G28))+SUMPRODUCT((P$3:P$102&lt;&gt;"")*(G$3:G$102=G28))+SUMPRODUCT((N$3:N$102&lt;&gt;"")*(G$3:G$102=G28))+SUMPRODUCT((P$3:P$102="")*(O$3:O$102="")*(N$3:N$102="")*(M$3:M$102="P")*(G$3:G$102=G28)*(J$3:J$102&gt;J28))+IF(H28="L5",SUMPRODUCT((P$3:P$102="")*(O$3:O$102="")*(N$3:N$102="")*(M$3:M$102="P")*(G$3:G$102=G28)*(J$3:J$102&lt;J28)*(H$3:H$102&lt;&gt;H28)),-1*SUMPRODUCT((P$3:P$102="")*(O$3:O$102="")*(N$3:N$102="")*(M$3:M$102="P")*(G$3:G$102=G28)*(J$3:J$102&gt;J28)*(H$3:H$102="L5")))+1,""))))</f>
        <v/>
      </c>
      <c r="C28" s="35" t="s">
        <v>262</v>
      </c>
      <c r="D28" t="str">
        <f>IF(E28="","",VLOOKUP(E28,'Coaching Points'!A:B,2,0))</f>
        <v>QC</v>
      </c>
      <c r="E28" s="35" t="s">
        <v>3</v>
      </c>
      <c r="F28" s="34">
        <v>2008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R28+S28+IF(OR(H28="Junior",H28="Senior"),0.0002,IF(OR(H28="L7",H28="L6"),0.0001,0))+IF(G28="17-21",MAX(AA28,AC28,AF28),AE28)*0.0000001</f>
        <v>90.29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45.45</v>
      </c>
      <c r="S28" s="4">
        <f>IF(G28="17-21",LARGE(CHOOSE({1,2,3,4,5,6},T28,V28,Y28,AA28,AC28,AF28),2),IF(R28=X28,MAX(Y28,AA28,AC28,AF28),IF(R28=AE28,MAX(AF28,T28,V28,Y28),0)))</f>
        <v>44.84</v>
      </c>
      <c r="T28" s="32">
        <v>40.049999999999997</v>
      </c>
      <c r="U28" s="37">
        <v>0</v>
      </c>
      <c r="V28" s="33">
        <v>44.84</v>
      </c>
      <c r="W28" s="37">
        <v>7.7</v>
      </c>
      <c r="X28" s="4">
        <f>IF(H28="Senior",MAX(T28,V28),T28+V28)</f>
        <v>84.89</v>
      </c>
      <c r="Y28" s="33">
        <v>45.45</v>
      </c>
      <c r="Z28" s="37">
        <v>7.7</v>
      </c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$102&lt;&gt;"")*(G$3:G$102=G29)*(J$3:J$102&gt;J29)*(I$3:I$102="P"))+1,IF(O29&lt;&gt;"",SUMPRODUCT((O$3:O$102&lt;&gt;"")*(P$3:P$102="")*(G$3:G$102=G29)*(J$3:J$102&gt;J29)*(I$3:I$102="P"))+SUMPRODUCT((P$3:P$102&lt;&gt;"")*(G$3:G$102=G29)*(I$3:I$102="P"))+1,IF(N29&lt;&gt;"",SUMPRODUCT((N$3:N$102&lt;&gt;"")*(G$3:G$102=G29)*(J$3:J$102&gt;J29)*(I$3:I$102="P"))+1,IF(M29="P",SUMPRODUCT((O$3:O$102&lt;&gt;"")*(P$3:P$102="")*(G$3:G$102=G29)*(I$3:I$102="P"))+SUMPRODUCT((P$3:P$102&lt;&gt;"")*(G$3:G$102=G29)*(I$3:I$102="P"))+SUMPRODUCT((N$3:N$102&lt;&gt;"")*(G$3:G$102=G29)*(I$3:I$102="P"))+SUMPRODUCT((P$3:P$102="")*(O$3:O$102="")*(N$3:N$102="")*(M$3:M$102="P")*(G$3:G$102=G29)*(J$3:J$102&gt;J29)*(I$3:I$102="P"))+IF(H29="L5",SUMPRODUCT((P$3:P$102="")*(O$3:O$102="")*(N$3:N$102="")*(M$3:M$102="P")*(G$3:G$102=G29)*(J$3:J$102&lt;J29)*(H$3:H$102&lt;&gt;H29)*(I$3:I$102="P")),-1*SUMPRODUCT((P$3:P$102="")*(O$3:O$102="")*(N$3:N$102="")*(M$3:M$102="P")*(G$3:G$102=G29)*(J$3:J$102&gt;J29)*(H$3:H$102="L5")*(I$3:I$102="P")))+1,"")))))</f>
        <v/>
      </c>
      <c r="B29" s="1" t="str" cm="1">
        <f t="array" ref="B29">IF(P29&lt;&gt;"",SUMPRODUCT((P$3:P$102&lt;&gt;"")*(G$3:G$102=G29)*(J$3:J$102&gt;J29))+1,IF(O29&lt;&gt;"",SUMPRODUCT((O$3:O$102&lt;&gt;"")*(P$3:P$102="")*(G$3:G$102=G29)*(J$3:J$102&gt;J29))+SUMPRODUCT((P$3:P$102&lt;&gt;"")*(G$3:G$102=G29))+1,IF(N29&lt;&gt;"",SUMPRODUCT((N$3:N$102&lt;&gt;"")*(G$3:G$102=G29)*(J$3:J$102&gt;J29))+1,IF(M29="P",SUMPRODUCT((O$3:O$102&lt;&gt;"")*(P$3:P$102="")*(G$3:G$102=G29))+SUMPRODUCT((P$3:P$102&lt;&gt;"")*(G$3:G$102=G29))+SUMPRODUCT((N$3:N$102&lt;&gt;"")*(G$3:G$102=G29))+SUMPRODUCT((P$3:P$102="")*(O$3:O$102="")*(N$3:N$102="")*(M$3:M$102="P")*(G$3:G$102=G29)*(J$3:J$102&gt;J29))+IF(H29="L5",SUMPRODUCT((P$3:P$102="")*(O$3:O$102="")*(N$3:N$102="")*(M$3:M$102="P")*(G$3:G$102=G29)*(J$3:J$102&lt;J29)*(H$3:H$102&lt;&gt;H29)),-1*SUMPRODUCT((P$3:P$102="")*(O$3:O$102="")*(N$3:N$102="")*(M$3:M$102="P")*(G$3:G$102=G29)*(J$3:J$102&gt;J29)*(H$3:H$102="L5")))+1,""))))</f>
        <v/>
      </c>
      <c r="C29" s="35" t="s">
        <v>231</v>
      </c>
      <c r="D29" t="str">
        <f>IF(E29="","",VLOOKUP(E29,'Coaching Points'!A:B,2,0))</f>
        <v>BC</v>
      </c>
      <c r="E29" s="35" t="s">
        <v>55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213</v>
      </c>
      <c r="I29" s="40"/>
      <c r="J29" s="4">
        <f>R29+S29+IF(OR(H29="Junior",H29="Senior"),0.0002,IF(OR(H29="L7",H29="L6"),0.0001,0))+IF(G29="17-21",MAX(AA29,AC29,AF29),AE29)*0.0000001</f>
        <v>90.160104524000005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45.24</v>
      </c>
      <c r="S29" s="4">
        <f>IF(G29="17-21",LARGE(CHOOSE({1,2,3,4,5,6},T29,V29,Y29,AA29,AC29,AF29),2),IF(R29=X29,MAX(Y29,AA29,AC29,AF29),IF(R29=AE29,MAX(AF29,T29,V29,Y29),0)))</f>
        <v>44.92</v>
      </c>
      <c r="T29" s="32">
        <v>37.64</v>
      </c>
      <c r="U29" s="37">
        <v>0</v>
      </c>
      <c r="V29" s="33">
        <v>44.29</v>
      </c>
      <c r="W29" s="37">
        <v>10</v>
      </c>
      <c r="X29" s="4">
        <f>IF(H29="Senior",MAX(T29,V29),T29+V29)</f>
        <v>81.93</v>
      </c>
      <c r="Y29" s="33">
        <v>43.84</v>
      </c>
      <c r="Z29" s="37">
        <v>9.1999999999999993</v>
      </c>
      <c r="AA29" s="32">
        <v>38.43</v>
      </c>
      <c r="AB29" s="37">
        <v>0</v>
      </c>
      <c r="AC29" s="33">
        <v>45.24</v>
      </c>
      <c r="AD29" s="37">
        <v>9.1999999999999993</v>
      </c>
      <c r="AE29" s="4">
        <f>IF(H29="Senior",MAX(AA29,AC29),AA29+AC29)</f>
        <v>83.67</v>
      </c>
      <c r="AF29" s="33">
        <v>44.92</v>
      </c>
      <c r="AG29" s="37">
        <v>9.1999999999999993</v>
      </c>
    </row>
    <row r="30" spans="1:33" x14ac:dyDescent="0.2">
      <c r="A30" s="1" t="str" cm="1">
        <f t="array" ref="A30">IF(I30="","",IF(P30&lt;&gt;"",SUMPRODUCT((P$3:P$102&lt;&gt;"")*(G$3:G$102=G30)*(J$3:J$102&gt;J30)*(I$3:I$102="P"))+1,IF(O30&lt;&gt;"",SUMPRODUCT((O$3:O$102&lt;&gt;"")*(P$3:P$102="")*(G$3:G$102=G30)*(J$3:J$102&gt;J30)*(I$3:I$102="P"))+SUMPRODUCT((P$3:P$102&lt;&gt;"")*(G$3:G$102=G30)*(I$3:I$102="P"))+1,IF(N30&lt;&gt;"",SUMPRODUCT((N$3:N$102&lt;&gt;"")*(G$3:G$102=G30)*(J$3:J$102&gt;J30)*(I$3:I$102="P"))+1,IF(M30="P",SUMPRODUCT((O$3:O$102&lt;&gt;"")*(P$3:P$102="")*(G$3:G$102=G30)*(I$3:I$102="P"))+SUMPRODUCT((P$3:P$102&lt;&gt;"")*(G$3:G$102=G30)*(I$3:I$102="P"))+SUMPRODUCT((N$3:N$102&lt;&gt;"")*(G$3:G$102=G30)*(I$3:I$102="P"))+SUMPRODUCT((P$3:P$102="")*(O$3:O$102="")*(N$3:N$102="")*(M$3:M$102="P")*(G$3:G$102=G30)*(J$3:J$102&gt;J30)*(I$3:I$102="P"))+IF(H30="L5",SUMPRODUCT((P$3:P$102="")*(O$3:O$102="")*(N$3:N$102="")*(M$3:M$102="P")*(G$3:G$102=G30)*(J$3:J$102&lt;J30)*(H$3:H$102&lt;&gt;H30)*(I$3:I$102="P")),-1*SUMPRODUCT((P$3:P$102="")*(O$3:O$102="")*(N$3:N$102="")*(M$3:M$102="P")*(G$3:G$102=G30)*(J$3:J$102&gt;J30)*(H$3:H$102="L5")*(I$3:I$102="P")))+1,"")))))</f>
        <v/>
      </c>
      <c r="B30" s="1" t="str" cm="1">
        <f t="array" ref="B30">IF(P30&lt;&gt;"",SUMPRODUCT((P$3:P$102&lt;&gt;"")*(G$3:G$102=G30)*(J$3:J$102&gt;J30))+1,IF(O30&lt;&gt;"",SUMPRODUCT((O$3:O$102&lt;&gt;"")*(P$3:P$102="")*(G$3:G$102=G30)*(J$3:J$102&gt;J30))+SUMPRODUCT((P$3:P$102&lt;&gt;"")*(G$3:G$102=G30))+1,IF(N30&lt;&gt;"",SUMPRODUCT((N$3:N$102&lt;&gt;"")*(G$3:G$102=G30)*(J$3:J$102&gt;J30))+1,IF(M30="P",SUMPRODUCT((O$3:O$102&lt;&gt;"")*(P$3:P$102="")*(G$3:G$102=G30))+SUMPRODUCT((P$3:P$102&lt;&gt;"")*(G$3:G$102=G30))+SUMPRODUCT((N$3:N$102&lt;&gt;"")*(G$3:G$102=G30))+SUMPRODUCT((P$3:P$102="")*(O$3:O$102="")*(N$3:N$102="")*(M$3:M$102="P")*(G$3:G$102=G30)*(J$3:J$102&gt;J30))+IF(H30="L5",SUMPRODUCT((P$3:P$102="")*(O$3:O$102="")*(N$3:N$102="")*(M$3:M$102="P")*(G$3:G$102=G30)*(J$3:J$102&lt;J30)*(H$3:H$102&lt;&gt;H30)),-1*SUMPRODUCT((P$3:P$102="")*(O$3:O$102="")*(N$3:N$102="")*(M$3:M$102="P")*(G$3:G$102=G30)*(J$3:J$102&gt;J30)*(H$3:H$102="L5")))+1,""))))</f>
        <v/>
      </c>
      <c r="C30" s="35" t="s">
        <v>421</v>
      </c>
      <c r="D30" t="str">
        <f>IF(E30="","",VLOOKUP(E30,'Coaching Points'!A:B,2,0))</f>
        <v>ON</v>
      </c>
      <c r="E30" s="35" t="s">
        <v>67</v>
      </c>
      <c r="F30" s="34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R30+S30+IF(OR(H30="Junior",H30="Senior"),0.0002,IF(OR(H30="L7",H30="L6"),0.0001,0))+IF(G30="17-21",MAX(AA30,AC30,AF30),AE30)*0.0000001</f>
        <v>89.890004547999993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45.48</v>
      </c>
      <c r="S30" s="4">
        <f>IF(G30="17-21",LARGE(CHOOSE({1,2,3,4,5,6},T30,V30,Y30,AA30,AC30,AF30),2),IF(R30=X30,MAX(Y30,AA30,AC30,AF30),IF(R30=AE30,MAX(AF30,T30,V30,Y30),0)))</f>
        <v>44.41</v>
      </c>
      <c r="T30" s="32"/>
      <c r="U30" s="37"/>
      <c r="V30" s="33"/>
      <c r="W30" s="37"/>
      <c r="X30" s="4">
        <f>IF(H30="Senior",MAX(T30,V30),T30+V30)</f>
        <v>0</v>
      </c>
      <c r="Y30" s="33"/>
      <c r="Z30" s="37"/>
      <c r="AA30" s="32">
        <v>39.94</v>
      </c>
      <c r="AB30" s="37">
        <v>0</v>
      </c>
      <c r="AC30" s="33">
        <v>45.48</v>
      </c>
      <c r="AD30" s="37">
        <v>8.5</v>
      </c>
      <c r="AE30" s="4">
        <f>IF(H30="Senior",MAX(AA30,AC30),AA30+AC30)</f>
        <v>85.419999999999987</v>
      </c>
      <c r="AF30" s="33">
        <v>44.41</v>
      </c>
      <c r="AG30" s="37">
        <v>8.5</v>
      </c>
    </row>
    <row r="31" spans="1:33" x14ac:dyDescent="0.2">
      <c r="A31" s="1" t="str" cm="1">
        <f t="array" ref="A31">IF(I31="","",IF(P31&lt;&gt;"",SUMPRODUCT((P$3:P$102&lt;&gt;"")*(G$3:G$102=G31)*(J$3:J$102&gt;J31)*(I$3:I$102="P"))+1,IF(O31&lt;&gt;"",SUMPRODUCT((O$3:O$102&lt;&gt;"")*(P$3:P$102="")*(G$3:G$102=G31)*(J$3:J$102&gt;J31)*(I$3:I$102="P"))+SUMPRODUCT((P$3:P$102&lt;&gt;"")*(G$3:G$102=G31)*(I$3:I$102="P"))+1,IF(N31&lt;&gt;"",SUMPRODUCT((N$3:N$102&lt;&gt;"")*(G$3:G$102=G31)*(J$3:J$102&gt;J31)*(I$3:I$102="P"))+1,IF(M31="P",SUMPRODUCT((O$3:O$102&lt;&gt;"")*(P$3:P$102="")*(G$3:G$102=G31)*(I$3:I$102="P"))+SUMPRODUCT((P$3:P$102&lt;&gt;"")*(G$3:G$102=G31)*(I$3:I$102="P"))+SUMPRODUCT((N$3:N$102&lt;&gt;"")*(G$3:G$102=G31)*(I$3:I$102="P"))+SUMPRODUCT((P$3:P$102="")*(O$3:O$102="")*(N$3:N$102="")*(M$3:M$102="P")*(G$3:G$102=G31)*(J$3:J$102&gt;J31)*(I$3:I$102="P"))+IF(H31="L5",SUMPRODUCT((P$3:P$102="")*(O$3:O$102="")*(N$3:N$102="")*(M$3:M$102="P")*(G$3:G$102=G31)*(J$3:J$102&lt;J31)*(H$3:H$102&lt;&gt;H31)*(I$3:I$102="P")),-1*SUMPRODUCT((P$3:P$102="")*(O$3:O$102="")*(N$3:N$102="")*(M$3:M$102="P")*(G$3:G$102=G31)*(J$3:J$102&gt;J31)*(H$3:H$102="L5")*(I$3:I$102="P")))+1,"")))))</f>
        <v/>
      </c>
      <c r="B31" s="1" t="str" cm="1">
        <f t="array" ref="B31">IF(P31&lt;&gt;"",SUMPRODUCT((P$3:P$102&lt;&gt;"")*(G$3:G$102=G31)*(J$3:J$102&gt;J31))+1,IF(O31&lt;&gt;"",SUMPRODUCT((O$3:O$102&lt;&gt;"")*(P$3:P$102="")*(G$3:G$102=G31)*(J$3:J$102&gt;J31))+SUMPRODUCT((P$3:P$102&lt;&gt;"")*(G$3:G$102=G31))+1,IF(N31&lt;&gt;"",SUMPRODUCT((N$3:N$102&lt;&gt;"")*(G$3:G$102=G31)*(J$3:J$102&gt;J31))+1,IF(M31="P",SUMPRODUCT((O$3:O$102&lt;&gt;"")*(P$3:P$102="")*(G$3:G$102=G31))+SUMPRODUCT((P$3:P$102&lt;&gt;"")*(G$3:G$102=G31))+SUMPRODUCT((N$3:N$102&lt;&gt;"")*(G$3:G$102=G31))+SUMPRODUCT((P$3:P$102="")*(O$3:O$102="")*(N$3:N$102="")*(M$3:M$102="P")*(G$3:G$102=G31)*(J$3:J$102&gt;J31))+IF(H31="L5",SUMPRODUCT((P$3:P$102="")*(O$3:O$102="")*(N$3:N$102="")*(M$3:M$102="P")*(G$3:G$102=G31)*(J$3:J$102&lt;J31)*(H$3:H$102&lt;&gt;H31)),-1*SUMPRODUCT((P$3:P$102="")*(O$3:O$102="")*(N$3:N$102="")*(M$3:M$102="P")*(G$3:G$102=G31)*(J$3:J$102&gt;J31)*(H$3:H$102="L5")))+1,""))))</f>
        <v/>
      </c>
      <c r="C31" s="35" t="s">
        <v>232</v>
      </c>
      <c r="D31" t="str">
        <f>IF(E31="","",VLOOKUP(E31,'Coaching Points'!A:B,2,0))</f>
        <v>QC</v>
      </c>
      <c r="E31" s="35" t="s">
        <v>57</v>
      </c>
      <c r="F31" s="34">
        <v>2008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R31+S31+IF(OR(H31="Junior",H31="Senior"),0.0002,IF(OR(H31="L7",H31="L6"),0.0001,0))+IF(G31="17-21",MAX(AA31,AC31,AF31),AE31)*0.0000001</f>
        <v>89.670104415000011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45.52</v>
      </c>
      <c r="S31" s="4">
        <f>IF(G31="17-21",LARGE(CHOOSE({1,2,3,4,5,6},T31,V31,Y31,AA31,AC31,AF31),2),IF(R31=X31,MAX(Y31,AA31,AC31,AF31),IF(R31=AE31,MAX(AF31,T31,V31,Y31),0)))</f>
        <v>44.15</v>
      </c>
      <c r="T31" s="32">
        <v>38.36</v>
      </c>
      <c r="U31" s="37">
        <v>0</v>
      </c>
      <c r="V31" s="33">
        <v>45.52</v>
      </c>
      <c r="W31" s="37">
        <v>9.1999999999999993</v>
      </c>
      <c r="X31" s="4">
        <f>IF(H31="Senior",MAX(T31,V31),T31+V31)</f>
        <v>83.88</v>
      </c>
      <c r="Y31" s="33">
        <v>42.19</v>
      </c>
      <c r="Z31" s="37">
        <v>7.9</v>
      </c>
      <c r="AA31" s="32">
        <v>37.29</v>
      </c>
      <c r="AB31" s="37">
        <v>0</v>
      </c>
      <c r="AC31" s="33">
        <v>44.15</v>
      </c>
      <c r="AD31" s="37">
        <v>9.1999999999999993</v>
      </c>
      <c r="AE31" s="4">
        <f>IF(H31="Senior",MAX(AA31,AC31),AA31+AC31)</f>
        <v>81.44</v>
      </c>
      <c r="AF31" s="33"/>
      <c r="AG31" s="37"/>
    </row>
    <row r="32" spans="1:33" x14ac:dyDescent="0.2">
      <c r="A32" s="1" t="str" cm="1">
        <f t="array" ref="A32">IF(I32="","",IF(P32&lt;&gt;"",SUMPRODUCT((P$3:P$102&lt;&gt;"")*(G$3:G$102=G32)*(J$3:J$102&gt;J32)*(I$3:I$102="P"))+1,IF(O32&lt;&gt;"",SUMPRODUCT((O$3:O$102&lt;&gt;"")*(P$3:P$102="")*(G$3:G$102=G32)*(J$3:J$102&gt;J32)*(I$3:I$102="P"))+SUMPRODUCT((P$3:P$102&lt;&gt;"")*(G$3:G$102=G32)*(I$3:I$102="P"))+1,IF(N32&lt;&gt;"",SUMPRODUCT((N$3:N$102&lt;&gt;"")*(G$3:G$102=G32)*(J$3:J$102&gt;J32)*(I$3:I$102="P"))+1,IF(M32="P",SUMPRODUCT((O$3:O$102&lt;&gt;"")*(P$3:P$102="")*(G$3:G$102=G32)*(I$3:I$102="P"))+SUMPRODUCT((P$3:P$102&lt;&gt;"")*(G$3:G$102=G32)*(I$3:I$102="P"))+SUMPRODUCT((N$3:N$102&lt;&gt;"")*(G$3:G$102=G32)*(I$3:I$102="P"))+SUMPRODUCT((P$3:P$102="")*(O$3:O$102="")*(N$3:N$102="")*(M$3:M$102="P")*(G$3:G$102=G32)*(J$3:J$102&gt;J32)*(I$3:I$102="P"))+IF(H32="L5",SUMPRODUCT((P$3:P$102="")*(O$3:O$102="")*(N$3:N$102="")*(M$3:M$102="P")*(G$3:G$102=G32)*(J$3:J$102&lt;J32)*(H$3:H$102&lt;&gt;H32)*(I$3:I$102="P")),-1*SUMPRODUCT((P$3:P$102="")*(O$3:O$102="")*(N$3:N$102="")*(M$3:M$102="P")*(G$3:G$102=G32)*(J$3:J$102&gt;J32)*(H$3:H$102="L5")*(I$3:I$102="P")))+1,"")))))</f>
        <v/>
      </c>
      <c r="B32" s="1" t="str" cm="1">
        <f t="array" ref="B32">IF(P32&lt;&gt;"",SUMPRODUCT((P$3:P$102&lt;&gt;"")*(G$3:G$102=G32)*(J$3:J$102&gt;J32))+1,IF(O32&lt;&gt;"",SUMPRODUCT((O$3:O$102&lt;&gt;"")*(P$3:P$102="")*(G$3:G$102=G32)*(J$3:J$102&gt;J32))+SUMPRODUCT((P$3:P$102&lt;&gt;"")*(G$3:G$102=G32))+1,IF(N32&lt;&gt;"",SUMPRODUCT((N$3:N$102&lt;&gt;"")*(G$3:G$102=G32)*(J$3:J$102&gt;J32))+1,IF(M32="P",SUMPRODUCT((O$3:O$102&lt;&gt;"")*(P$3:P$102="")*(G$3:G$102=G32))+SUMPRODUCT((P$3:P$102&lt;&gt;"")*(G$3:G$102=G32))+SUMPRODUCT((N$3:N$102&lt;&gt;"")*(G$3:G$102=G32))+SUMPRODUCT((P$3:P$102="")*(O$3:O$102="")*(N$3:N$102="")*(M$3:M$102="P")*(G$3:G$102=G32)*(J$3:J$102&gt;J32))+IF(H32="L5",SUMPRODUCT((P$3:P$102="")*(O$3:O$102="")*(N$3:N$102="")*(M$3:M$102="P")*(G$3:G$102=G32)*(J$3:J$102&lt;J32)*(H$3:H$102&lt;&gt;H32)),-1*SUMPRODUCT((P$3:P$102="")*(O$3:O$102="")*(N$3:N$102="")*(M$3:M$102="P")*(G$3:G$102=G32)*(J$3:J$102&gt;J32)*(H$3:H$102="L5")))+1,""))))</f>
        <v/>
      </c>
      <c r="C32" s="35" t="s">
        <v>267</v>
      </c>
      <c r="D32" t="str">
        <f>IF(E32="","",VLOOKUP(E32,'Coaching Points'!A:B,2,0))</f>
        <v>AB</v>
      </c>
      <c r="E32" s="35" t="s">
        <v>39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R32+S32+IF(OR(H32="Junior",H32="Senior"),0.0002,IF(OR(H32="L7",H32="L6"),0.0001,0))+IF(G32="17-21",MAX(AA32,AC32,AF32),AE32)*0.0000001</f>
        <v>89.510004572999989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45.73</v>
      </c>
      <c r="S32" s="4">
        <f>IF(G32="17-21",LARGE(CHOOSE({1,2,3,4,5,6},T32,V32,Y32,AA32,AC32,AF32),2),IF(R32=X32,MAX(Y32,AA32,AC32,AF32),IF(R32=AE32,MAX(AF32,T32,V32,Y32),0)))</f>
        <v>43.78</v>
      </c>
      <c r="T32" s="32">
        <v>37.24</v>
      </c>
      <c r="U32" s="37">
        <v>0</v>
      </c>
      <c r="V32" s="33">
        <v>43.78</v>
      </c>
      <c r="W32" s="37">
        <v>8.6999999999999993</v>
      </c>
      <c r="X32" s="4">
        <f>IF(H32="Senior",MAX(T32,V32),T32+V32)</f>
        <v>81.02000000000001</v>
      </c>
      <c r="Y32" s="33">
        <v>38.869999999999997</v>
      </c>
      <c r="Z32" s="37">
        <v>7.4</v>
      </c>
      <c r="AA32" s="32">
        <v>37.29</v>
      </c>
      <c r="AB32" s="37">
        <v>0</v>
      </c>
      <c r="AC32" s="33">
        <v>45.73</v>
      </c>
      <c r="AD32" s="37">
        <v>8.6999999999999993</v>
      </c>
      <c r="AE32" s="4">
        <f>IF(H32="Senior",MAX(AA32,AC32),AA32+AC32)</f>
        <v>83.02</v>
      </c>
      <c r="AF32" s="33"/>
      <c r="AG32" s="37"/>
    </row>
    <row r="33" spans="1:33" x14ac:dyDescent="0.2">
      <c r="A33" s="1" t="str" cm="1">
        <f t="array" ref="A33">IF(I33="","",IF(P33&lt;&gt;"",SUMPRODUCT((P$3:P$102&lt;&gt;"")*(G$3:G$102=G33)*(J$3:J$102&gt;J33)*(I$3:I$102="P"))+1,IF(O33&lt;&gt;"",SUMPRODUCT((O$3:O$102&lt;&gt;"")*(P$3:P$102="")*(G$3:G$102=G33)*(J$3:J$102&gt;J33)*(I$3:I$102="P"))+SUMPRODUCT((P$3:P$102&lt;&gt;"")*(G$3:G$102=G33)*(I$3:I$102="P"))+1,IF(N33&lt;&gt;"",SUMPRODUCT((N$3:N$102&lt;&gt;"")*(G$3:G$102=G33)*(J$3:J$102&gt;J33)*(I$3:I$102="P"))+1,IF(M33="P",SUMPRODUCT((O$3:O$102&lt;&gt;"")*(P$3:P$102="")*(G$3:G$102=G33)*(I$3:I$102="P"))+SUMPRODUCT((P$3:P$102&lt;&gt;"")*(G$3:G$102=G33)*(I$3:I$102="P"))+SUMPRODUCT((N$3:N$102&lt;&gt;"")*(G$3:G$102=G33)*(I$3:I$102="P"))+SUMPRODUCT((P$3:P$102="")*(O$3:O$102="")*(N$3:N$102="")*(M$3:M$102="P")*(G$3:G$102=G33)*(J$3:J$102&gt;J33)*(I$3:I$102="P"))+IF(H33="L5",SUMPRODUCT((P$3:P$102="")*(O$3:O$102="")*(N$3:N$102="")*(M$3:M$102="P")*(G$3:G$102=G33)*(J$3:J$102&lt;J33)*(H$3:H$102&lt;&gt;H33)*(I$3:I$102="P")),-1*SUMPRODUCT((P$3:P$102="")*(O$3:O$102="")*(N$3:N$102="")*(M$3:M$102="P")*(G$3:G$102=G33)*(J$3:J$102&gt;J33)*(H$3:H$102="L5")*(I$3:I$102="P")))+1,"")))))</f>
        <v/>
      </c>
      <c r="B33" s="1" t="str" cm="1">
        <f t="array" ref="B33">IF(P33&lt;&gt;"",SUMPRODUCT((P$3:P$102&lt;&gt;"")*(G$3:G$102=G33)*(J$3:J$102&gt;J33))+1,IF(O33&lt;&gt;"",SUMPRODUCT((O$3:O$102&lt;&gt;"")*(P$3:P$102="")*(G$3:G$102=G33)*(J$3:J$102&gt;J33))+SUMPRODUCT((P$3:P$102&lt;&gt;"")*(G$3:G$102=G33))+1,IF(N33&lt;&gt;"",SUMPRODUCT((N$3:N$102&lt;&gt;"")*(G$3:G$102=G33)*(J$3:J$102&gt;J33))+1,IF(M33="P",SUMPRODUCT((O$3:O$102&lt;&gt;"")*(P$3:P$102="")*(G$3:G$102=G33))+SUMPRODUCT((P$3:P$102&lt;&gt;"")*(G$3:G$102=G33))+SUMPRODUCT((N$3:N$102&lt;&gt;"")*(G$3:G$102=G33))+SUMPRODUCT((P$3:P$102="")*(O$3:O$102="")*(N$3:N$102="")*(M$3:M$102="P")*(G$3:G$102=G33)*(J$3:J$102&gt;J33))+IF(H33="L5",SUMPRODUCT((P$3:P$102="")*(O$3:O$102="")*(N$3:N$102="")*(M$3:M$102="P")*(G$3:G$102=G33)*(J$3:J$102&lt;J33)*(H$3:H$102&lt;&gt;H33)),-1*SUMPRODUCT((P$3:P$102="")*(O$3:O$102="")*(N$3:N$102="")*(M$3:M$102="P")*(G$3:G$102=G33)*(J$3:J$102&gt;J33)*(H$3:H$102="L5")))+1,""))))</f>
        <v/>
      </c>
      <c r="C33" s="35" t="s">
        <v>271</v>
      </c>
      <c r="D33" t="str">
        <f>IF(E33="","",VLOOKUP(E33,'Coaching Points'!A:B,2,0))</f>
        <v>QC</v>
      </c>
      <c r="E33" s="35" t="s">
        <v>3</v>
      </c>
      <c r="F33" s="34">
        <v>2007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89.440004680000001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46.8</v>
      </c>
      <c r="S33" s="4">
        <f>IF(G33="17-21",LARGE(CHOOSE({1,2,3,4,5,6},T33,V33,Y33,AA33,AC33,AF33),2),IF(R33=X33,MAX(Y33,AA33,AC33,AF33),IF(R33=AE33,MAX(AF33,T33,V33,Y33),0)))</f>
        <v>42.64</v>
      </c>
      <c r="T33" s="32">
        <v>35.96</v>
      </c>
      <c r="U33" s="37">
        <v>0</v>
      </c>
      <c r="V33" s="33">
        <v>42.64</v>
      </c>
      <c r="W33" s="37">
        <v>8.3000000000000007</v>
      </c>
      <c r="X33" s="4">
        <f>IF(H33="Senior",MAX(T33,V33),T33+V33)</f>
        <v>78.599999999999994</v>
      </c>
      <c r="Y33" s="33"/>
      <c r="Z33" s="37"/>
      <c r="AA33" s="32">
        <v>40.39</v>
      </c>
      <c r="AB33" s="37">
        <v>0</v>
      </c>
      <c r="AC33" s="33">
        <v>46.8</v>
      </c>
      <c r="AD33" s="37">
        <v>8.3000000000000007</v>
      </c>
      <c r="AE33" s="4">
        <f>IF(H33="Senior",MAX(AA33,AC33),AA33+AC33)</f>
        <v>87.19</v>
      </c>
      <c r="AF33" s="33">
        <v>19.059999999999999</v>
      </c>
      <c r="AG33" s="37">
        <v>4</v>
      </c>
    </row>
    <row r="34" spans="1:33" x14ac:dyDescent="0.2">
      <c r="A34" s="1" t="str" cm="1">
        <f t="array" ref="A34">IF(I34="","",IF(P34&lt;&gt;"",SUMPRODUCT((P$3:P$102&lt;&gt;"")*(G$3:G$102=G34)*(J$3:J$102&gt;J34)*(I$3:I$102="P"))+1,IF(O34&lt;&gt;"",SUMPRODUCT((O$3:O$102&lt;&gt;"")*(P$3:P$102="")*(G$3:G$102=G34)*(J$3:J$102&gt;J34)*(I$3:I$102="P"))+SUMPRODUCT((P$3:P$102&lt;&gt;"")*(G$3:G$102=G34)*(I$3:I$102="P"))+1,IF(N34&lt;&gt;"",SUMPRODUCT((N$3:N$102&lt;&gt;"")*(G$3:G$102=G34)*(J$3:J$102&gt;J34)*(I$3:I$102="P"))+1,IF(M34="P",SUMPRODUCT((O$3:O$102&lt;&gt;"")*(P$3:P$102="")*(G$3:G$102=G34)*(I$3:I$102="P"))+SUMPRODUCT((P$3:P$102&lt;&gt;"")*(G$3:G$102=G34)*(I$3:I$102="P"))+SUMPRODUCT((N$3:N$102&lt;&gt;"")*(G$3:G$102=G34)*(I$3:I$102="P"))+SUMPRODUCT((P$3:P$102="")*(O$3:O$102="")*(N$3:N$102="")*(M$3:M$102="P")*(G$3:G$102=G34)*(J$3:J$102&gt;J34)*(I$3:I$102="P"))+IF(H34="L5",SUMPRODUCT((P$3:P$102="")*(O$3:O$102="")*(N$3:N$102="")*(M$3:M$102="P")*(G$3:G$102=G34)*(J$3:J$102&lt;J34)*(H$3:H$102&lt;&gt;H34)*(I$3:I$102="P")),-1*SUMPRODUCT((P$3:P$102="")*(O$3:O$102="")*(N$3:N$102="")*(M$3:M$102="P")*(G$3:G$102=G34)*(J$3:J$102&gt;J34)*(H$3:H$102="L5")*(I$3:I$102="P")))+1,"")))))</f>
        <v/>
      </c>
      <c r="B34" s="1" t="str" cm="1">
        <f t="array" ref="B34">IF(P34&lt;&gt;"",SUMPRODUCT((P$3:P$102&lt;&gt;"")*(G$3:G$102=G34)*(J$3:J$102&gt;J34))+1,IF(O34&lt;&gt;"",SUMPRODUCT((O$3:O$102&lt;&gt;"")*(P$3:P$102="")*(G$3:G$102=G34)*(J$3:J$102&gt;J34))+SUMPRODUCT((P$3:P$102&lt;&gt;"")*(G$3:G$102=G34))+1,IF(N34&lt;&gt;"",SUMPRODUCT((N$3:N$102&lt;&gt;"")*(G$3:G$102=G34)*(J$3:J$102&gt;J34))+1,IF(M34="P",SUMPRODUCT((O$3:O$102&lt;&gt;"")*(P$3:P$102="")*(G$3:G$102=G34))+SUMPRODUCT((P$3:P$102&lt;&gt;"")*(G$3:G$102=G34))+SUMPRODUCT((N$3:N$102&lt;&gt;"")*(G$3:G$102=G34))+SUMPRODUCT((P$3:P$102="")*(O$3:O$102="")*(N$3:N$102="")*(M$3:M$102="P")*(G$3:G$102=G34)*(J$3:J$102&gt;J34))+IF(H34="L5",SUMPRODUCT((P$3:P$102="")*(O$3:O$102="")*(N$3:N$102="")*(M$3:M$102="P")*(G$3:G$102=G34)*(J$3:J$102&lt;J34)*(H$3:H$102&lt;&gt;H34)),-1*SUMPRODUCT((P$3:P$102="")*(O$3:O$102="")*(N$3:N$102="")*(M$3:M$102="P")*(G$3:G$102=G34)*(J$3:J$102&gt;J34)*(H$3:H$102="L5")))+1,""))))</f>
        <v/>
      </c>
      <c r="C34" s="35" t="s">
        <v>277</v>
      </c>
      <c r="D34" t="str">
        <f>IF(E34="","",VLOOKUP(E34,'Coaching Points'!A:B,2,0))</f>
        <v>SK</v>
      </c>
      <c r="E34" s="35" t="s">
        <v>287</v>
      </c>
      <c r="F34" s="34">
        <v>2005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R34+S34+IF(OR(H34="Junior",H34="Senior"),0.0002,IF(OR(H34="L7",H34="L6"),0.0001,0))+IF(G34="17-21",MAX(AA34,AC34,AF34),AE34)*0.0000001</f>
        <v>88.910004482999994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44.83</v>
      </c>
      <c r="S34" s="4">
        <f>IF(G34="17-21",LARGE(CHOOSE({1,2,3,4,5,6},T34,V34,Y34,AA34,AC34,AF34),2),IF(R34=X34,MAX(Y34,AA34,AC34,AF34),IF(R34=AE34,MAX(AF34,T34,V34,Y34),0)))</f>
        <v>44.08</v>
      </c>
      <c r="T34" s="32">
        <v>30.43</v>
      </c>
      <c r="U34" s="37">
        <v>0</v>
      </c>
      <c r="V34" s="33">
        <v>44.08</v>
      </c>
      <c r="W34" s="37">
        <v>9.1999999999999993</v>
      </c>
      <c r="X34" s="4">
        <f>IF(H34="Senior",MAX(T34,V34),T34+V34)</f>
        <v>74.509999999999991</v>
      </c>
      <c r="Y34" s="33"/>
      <c r="Z34" s="37"/>
      <c r="AA34" s="32">
        <v>35.54</v>
      </c>
      <c r="AB34" s="37">
        <v>0</v>
      </c>
      <c r="AC34" s="33">
        <v>44.83</v>
      </c>
      <c r="AD34" s="37">
        <v>9.1999999999999993</v>
      </c>
      <c r="AE34" s="4">
        <f>IF(H34="Senior",MAX(AA34,AC34),AA34+AC34)</f>
        <v>80.37</v>
      </c>
      <c r="AF34" s="33"/>
      <c r="AG34" s="37"/>
    </row>
    <row r="35" spans="1:33" x14ac:dyDescent="0.2">
      <c r="A35" s="1" t="str" cm="1">
        <f t="array" ref="A35">IF(I35="","",IF(P35&lt;&gt;"",SUMPRODUCT((P$3:P$102&lt;&gt;"")*(G$3:G$102=G35)*(J$3:J$102&gt;J35)*(I$3:I$102="P"))+1,IF(O35&lt;&gt;"",SUMPRODUCT((O$3:O$102&lt;&gt;"")*(P$3:P$102="")*(G$3:G$102=G35)*(J$3:J$102&gt;J35)*(I$3:I$102="P"))+SUMPRODUCT((P$3:P$102&lt;&gt;"")*(G$3:G$102=G35)*(I$3:I$102="P"))+1,IF(N35&lt;&gt;"",SUMPRODUCT((N$3:N$102&lt;&gt;"")*(G$3:G$102=G35)*(J$3:J$102&gt;J35)*(I$3:I$102="P"))+1,IF(M35="P",SUMPRODUCT((O$3:O$102&lt;&gt;"")*(P$3:P$102="")*(G$3:G$102=G35)*(I$3:I$102="P"))+SUMPRODUCT((P$3:P$102&lt;&gt;"")*(G$3:G$102=G35)*(I$3:I$102="P"))+SUMPRODUCT((N$3:N$102&lt;&gt;"")*(G$3:G$102=G35)*(I$3:I$102="P"))+SUMPRODUCT((P$3:P$102="")*(O$3:O$102="")*(N$3:N$102="")*(M$3:M$102="P")*(G$3:G$102=G35)*(J$3:J$102&gt;J35)*(I$3:I$102="P"))+IF(H35="L5",SUMPRODUCT((P$3:P$102="")*(O$3:O$102="")*(N$3:N$102="")*(M$3:M$102="P")*(G$3:G$102=G35)*(J$3:J$102&lt;J35)*(H$3:H$102&lt;&gt;H35)*(I$3:I$102="P")),-1*SUMPRODUCT((P$3:P$102="")*(O$3:O$102="")*(N$3:N$102="")*(M$3:M$102="P")*(G$3:G$102=G35)*(J$3:J$102&gt;J35)*(H$3:H$102="L5")*(I$3:I$102="P")))+1,"")))))</f>
        <v/>
      </c>
      <c r="B35" s="1" t="str" cm="1">
        <f t="array" ref="B35">IF(P35&lt;&gt;"",SUMPRODUCT((P$3:P$102&lt;&gt;"")*(G$3:G$102=G35)*(J$3:J$102&gt;J35))+1,IF(O35&lt;&gt;"",SUMPRODUCT((O$3:O$102&lt;&gt;"")*(P$3:P$102="")*(G$3:G$102=G35)*(J$3:J$102&gt;J35))+SUMPRODUCT((P$3:P$102&lt;&gt;"")*(G$3:G$102=G35))+1,IF(N35&lt;&gt;"",SUMPRODUCT((N$3:N$102&lt;&gt;"")*(G$3:G$102=G35)*(J$3:J$102&gt;J35))+1,IF(M35="P",SUMPRODUCT((O$3:O$102&lt;&gt;"")*(P$3:P$102="")*(G$3:G$102=G35))+SUMPRODUCT((P$3:P$102&lt;&gt;"")*(G$3:G$102=G35))+SUMPRODUCT((N$3:N$102&lt;&gt;"")*(G$3:G$102=G35))+SUMPRODUCT((P$3:P$102="")*(O$3:O$102="")*(N$3:N$102="")*(M$3:M$102="P")*(G$3:G$102=G35)*(J$3:J$102&gt;J35))+IF(H35="L5",SUMPRODUCT((P$3:P$102="")*(O$3:O$102="")*(N$3:N$102="")*(M$3:M$102="P")*(G$3:G$102=G35)*(J$3:J$102&lt;J35)*(H$3:H$102&lt;&gt;H35)),-1*SUMPRODUCT((P$3:P$102="")*(O$3:O$102="")*(N$3:N$102="")*(M$3:M$102="P")*(G$3:G$102=G35)*(J$3:J$102&gt;J35)*(H$3:H$102="L5")))+1,""))))</f>
        <v/>
      </c>
      <c r="C35" s="35" t="s">
        <v>230</v>
      </c>
      <c r="D35" t="str">
        <f>IF(E35="","",VLOOKUP(E35,'Coaching Points'!A:B,2,0))</f>
        <v>AB</v>
      </c>
      <c r="E35" s="35" t="s">
        <v>28</v>
      </c>
      <c r="F35" s="34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R35+S35+IF(OR(H35="Junior",H35="Senior"),0.0002,IF(OR(H35="L7",H35="L6"),0.0001,0))+IF(G35="17-21",MAX(AA35,AC35,AF35),AE35)*0.0000001</f>
        <v>88.040104395000014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44.09</v>
      </c>
      <c r="S35" s="4">
        <f>IF(G35="17-21",LARGE(CHOOSE({1,2,3,4,5,6},T35,V35,Y35,AA35,AC35,AF35),2),IF(R35=X35,MAX(Y35,AA35,AC35,AF35),IF(R35=AE35,MAX(AF35,T35,V35,Y35),0)))</f>
        <v>43.95</v>
      </c>
      <c r="T35" s="32">
        <v>38.57</v>
      </c>
      <c r="U35" s="37">
        <v>0</v>
      </c>
      <c r="V35" s="33">
        <v>43.19</v>
      </c>
      <c r="W35" s="37">
        <v>8.6999999999999993</v>
      </c>
      <c r="X35" s="4">
        <f>IF(H35="Senior",MAX(T35,V35),T35+V35)</f>
        <v>81.759999999999991</v>
      </c>
      <c r="Y35" s="33">
        <v>44.09</v>
      </c>
      <c r="Z35" s="37">
        <v>9.3000000000000007</v>
      </c>
      <c r="AA35" s="32">
        <v>38.700000000000003</v>
      </c>
      <c r="AB35" s="37">
        <v>0</v>
      </c>
      <c r="AC35" s="33">
        <v>43.95</v>
      </c>
      <c r="AD35" s="37">
        <v>8.6</v>
      </c>
      <c r="AE35" s="4">
        <f>IF(H35="Senior",MAX(AA35,AC35),AA35+AC35)</f>
        <v>82.65</v>
      </c>
      <c r="AF35" s="33">
        <v>5.15</v>
      </c>
      <c r="AG35" s="37">
        <v>1.5</v>
      </c>
    </row>
    <row r="36" spans="1:33" x14ac:dyDescent="0.2">
      <c r="A36" s="1" t="str" cm="1">
        <f t="array" ref="A36">IF(I36="","",IF(P36&lt;&gt;"",SUMPRODUCT((P$3:P$102&lt;&gt;"")*(G$3:G$102=G36)*(J$3:J$102&gt;J36)*(I$3:I$102="P"))+1,IF(O36&lt;&gt;"",SUMPRODUCT((O$3:O$102&lt;&gt;"")*(P$3:P$102="")*(G$3:G$102=G36)*(J$3:J$102&gt;J36)*(I$3:I$102="P"))+SUMPRODUCT((P$3:P$102&lt;&gt;"")*(G$3:G$102=G36)*(I$3:I$102="P"))+1,IF(N36&lt;&gt;"",SUMPRODUCT((N$3:N$102&lt;&gt;"")*(G$3:G$102=G36)*(J$3:J$102&gt;J36)*(I$3:I$102="P"))+1,IF(M36="P",SUMPRODUCT((O$3:O$102&lt;&gt;"")*(P$3:P$102="")*(G$3:G$102=G36)*(I$3:I$102="P"))+SUMPRODUCT((P$3:P$102&lt;&gt;"")*(G$3:G$102=G36)*(I$3:I$102="P"))+SUMPRODUCT((N$3:N$102&lt;&gt;"")*(G$3:G$102=G36)*(I$3:I$102="P"))+SUMPRODUCT((P$3:P$102="")*(O$3:O$102="")*(N$3:N$102="")*(M$3:M$102="P")*(G$3:G$102=G36)*(J$3:J$102&gt;J36)*(I$3:I$102="P"))+IF(H36="L5",SUMPRODUCT((P$3:P$102="")*(O$3:O$102="")*(N$3:N$102="")*(M$3:M$102="P")*(G$3:G$102=G36)*(J$3:J$102&lt;J36)*(H$3:H$102&lt;&gt;H36)*(I$3:I$102="P")),-1*SUMPRODUCT((P$3:P$102="")*(O$3:O$102="")*(N$3:N$102="")*(M$3:M$102="P")*(G$3:G$102=G36)*(J$3:J$102&gt;J36)*(H$3:H$102="L5")*(I$3:I$102="P")))+1,"")))))</f>
        <v/>
      </c>
      <c r="B36" s="1" t="str" cm="1">
        <f t="array" ref="B36">IF(P36&lt;&gt;"",SUMPRODUCT((P$3:P$102&lt;&gt;"")*(G$3:G$102=G36)*(J$3:J$102&gt;J36))+1,IF(O36&lt;&gt;"",SUMPRODUCT((O$3:O$102&lt;&gt;"")*(P$3:P$102="")*(G$3:G$102=G36)*(J$3:J$102&gt;J36))+SUMPRODUCT((P$3:P$102&lt;&gt;"")*(G$3:G$102=G36))+1,IF(N36&lt;&gt;"",SUMPRODUCT((N$3:N$102&lt;&gt;"")*(G$3:G$102=G36)*(J$3:J$102&gt;J36))+1,IF(M36="P",SUMPRODUCT((O$3:O$102&lt;&gt;"")*(P$3:P$102="")*(G$3:G$102=G36))+SUMPRODUCT((P$3:P$102&lt;&gt;"")*(G$3:G$102=G36))+SUMPRODUCT((N$3:N$102&lt;&gt;"")*(G$3:G$102=G36))+SUMPRODUCT((P$3:P$102="")*(O$3:O$102="")*(N$3:N$102="")*(M$3:M$102="P")*(G$3:G$102=G36)*(J$3:J$102&gt;J36))+IF(H36="L5",SUMPRODUCT((P$3:P$102="")*(O$3:O$102="")*(N$3:N$102="")*(M$3:M$102="P")*(G$3:G$102=G36)*(J$3:J$102&lt;J36)*(H$3:H$102&lt;&gt;H36)),-1*SUMPRODUCT((P$3:P$102="")*(O$3:O$102="")*(N$3:N$102="")*(M$3:M$102="P")*(G$3:G$102=G36)*(J$3:J$102&gt;J36)*(H$3:H$102="L5")))+1,""))))</f>
        <v/>
      </c>
      <c r="C36" s="35" t="s">
        <v>270</v>
      </c>
      <c r="D36" t="str">
        <f>IF(E36="","",VLOOKUP(E36,'Coaching Points'!A:B,2,0))</f>
        <v>AB</v>
      </c>
      <c r="E36" s="35" t="s">
        <v>28</v>
      </c>
      <c r="F36" s="34">
        <v>2006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87.110004391000004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43.91</v>
      </c>
      <c r="S36" s="4">
        <f>IF(G36="17-21",LARGE(CHOOSE({1,2,3,4,5,6},T36,V36,Y36,AA36,AC36,AF36),2),IF(R36=X36,MAX(Y36,AA36,AC36,AF36),IF(R36=AE36,MAX(AF36,T36,V36,Y36),0)))</f>
        <v>43.2</v>
      </c>
      <c r="T36" s="32">
        <v>35.549999999999997</v>
      </c>
      <c r="U36" s="37">
        <v>0</v>
      </c>
      <c r="V36" s="33">
        <v>43.2</v>
      </c>
      <c r="W36" s="37">
        <v>8.5</v>
      </c>
      <c r="X36" s="4">
        <f>IF(H36="Senior",MAX(T36,V36),T36+V36)</f>
        <v>78.75</v>
      </c>
      <c r="Y36" s="33"/>
      <c r="Z36" s="37"/>
      <c r="AA36" s="32">
        <v>36.58</v>
      </c>
      <c r="AB36" s="37">
        <v>0</v>
      </c>
      <c r="AC36" s="33">
        <v>43.91</v>
      </c>
      <c r="AD36" s="37">
        <v>8.6</v>
      </c>
      <c r="AE36" s="4">
        <f>IF(H36="Senior",MAX(AA36,AC36),AA36+AC36)</f>
        <v>80.489999999999995</v>
      </c>
      <c r="AF36" s="33"/>
      <c r="AG36" s="37"/>
    </row>
    <row r="37" spans="1:33" x14ac:dyDescent="0.2">
      <c r="A37" s="1" t="str" cm="1">
        <f t="array" ref="A37">IF(I37="","",IF(P37&lt;&gt;"",SUMPRODUCT((P$3:P$102&lt;&gt;"")*(G$3:G$102=G37)*(J$3:J$102&gt;J37)*(I$3:I$102="P"))+1,IF(O37&lt;&gt;"",SUMPRODUCT((O$3:O$102&lt;&gt;"")*(P$3:P$102="")*(G$3:G$102=G37)*(J$3:J$102&gt;J37)*(I$3:I$102="P"))+SUMPRODUCT((P$3:P$102&lt;&gt;"")*(G$3:G$102=G37)*(I$3:I$102="P"))+1,IF(N37&lt;&gt;"",SUMPRODUCT((N$3:N$102&lt;&gt;"")*(G$3:G$102=G37)*(J$3:J$102&gt;J37)*(I$3:I$102="P"))+1,IF(M37="P",SUMPRODUCT((O$3:O$102&lt;&gt;"")*(P$3:P$102="")*(G$3:G$102=G37)*(I$3:I$102="P"))+SUMPRODUCT((P$3:P$102&lt;&gt;"")*(G$3:G$102=G37)*(I$3:I$102="P"))+SUMPRODUCT((N$3:N$102&lt;&gt;"")*(G$3:G$102=G37)*(I$3:I$102="P"))+SUMPRODUCT((P$3:P$102="")*(O$3:O$102="")*(N$3:N$102="")*(M$3:M$102="P")*(G$3:G$102=G37)*(J$3:J$102&gt;J37)*(I$3:I$102="P"))+IF(H37="L5",SUMPRODUCT((P$3:P$102="")*(O$3:O$102="")*(N$3:N$102="")*(M$3:M$102="P")*(G$3:G$102=G37)*(J$3:J$102&lt;J37)*(H$3:H$102&lt;&gt;H37)*(I$3:I$102="P")),-1*SUMPRODUCT((P$3:P$102="")*(O$3:O$102="")*(N$3:N$102="")*(M$3:M$102="P")*(G$3:G$102=G37)*(J$3:J$102&gt;J37)*(H$3:H$102="L5")*(I$3:I$102="P")))+1,"")))))</f>
        <v/>
      </c>
      <c r="B37" s="1" t="str" cm="1">
        <f t="array" ref="B37">IF(P37&lt;&gt;"",SUMPRODUCT((P$3:P$102&lt;&gt;"")*(G$3:G$102=G37)*(J$3:J$102&gt;J37))+1,IF(O37&lt;&gt;"",SUMPRODUCT((O$3:O$102&lt;&gt;"")*(P$3:P$102="")*(G$3:G$102=G37)*(J$3:J$102&gt;J37))+SUMPRODUCT((P$3:P$102&lt;&gt;"")*(G$3:G$102=G37))+1,IF(N37&lt;&gt;"",SUMPRODUCT((N$3:N$102&lt;&gt;"")*(G$3:G$102=G37)*(J$3:J$102&gt;J37))+1,IF(M37="P",SUMPRODUCT((O$3:O$102&lt;&gt;"")*(P$3:P$102="")*(G$3:G$102=G37))+SUMPRODUCT((P$3:P$102&lt;&gt;"")*(G$3:G$102=G37))+SUMPRODUCT((N$3:N$102&lt;&gt;"")*(G$3:G$102=G37))+SUMPRODUCT((P$3:P$102="")*(O$3:O$102="")*(N$3:N$102="")*(M$3:M$102="P")*(G$3:G$102=G37)*(J$3:J$102&gt;J37))+IF(H37="L5",SUMPRODUCT((P$3:P$102="")*(O$3:O$102="")*(N$3:N$102="")*(M$3:M$102="P")*(G$3:G$102=G37)*(J$3:J$102&lt;J37)*(H$3:H$102&lt;&gt;H37)),-1*SUMPRODUCT((P$3:P$102="")*(O$3:O$102="")*(N$3:N$102="")*(M$3:M$102="P")*(G$3:G$102=G37)*(J$3:J$102&gt;J37)*(H$3:H$102="L5")))+1,""))))</f>
        <v/>
      </c>
      <c r="C37" s="35" t="s">
        <v>265</v>
      </c>
      <c r="D37" t="str">
        <f>IF(E37="","",VLOOKUP(E37,'Coaching Points'!A:B,2,0))</f>
        <v>ON</v>
      </c>
      <c r="E37" s="35" t="s">
        <v>84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R37+S37+IF(OR(H37="Junior",H37="Senior"),0.0002,IF(OR(H37="L7",H37="L6"),0.0001,0))+IF(G37="17-21",MAX(AA37,AC37,AF37),AE37)*0.0000001</f>
        <v>86.690004306999995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43.62</v>
      </c>
      <c r="S37" s="4">
        <f>IF(G37="17-21",LARGE(CHOOSE({1,2,3,4,5,6},T37,V37,Y37,AA37,AC37,AF37),2),IF(R37=X37,MAX(Y37,AA37,AC37,AF37),IF(R37=AE37,MAX(AF37,T37,V37,Y37),0)))</f>
        <v>43.07</v>
      </c>
      <c r="T37" s="32">
        <v>37.82</v>
      </c>
      <c r="U37" s="37">
        <v>0</v>
      </c>
      <c r="V37" s="33">
        <v>42.68</v>
      </c>
      <c r="W37" s="37">
        <v>7.9</v>
      </c>
      <c r="X37" s="4">
        <f>IF(H37="Senior",MAX(T37,V37),T37+V37)</f>
        <v>80.5</v>
      </c>
      <c r="Y37" s="33">
        <v>43.62</v>
      </c>
      <c r="Z37" s="37">
        <v>7.9</v>
      </c>
      <c r="AA37" s="32">
        <v>35.78</v>
      </c>
      <c r="AB37" s="37">
        <v>0</v>
      </c>
      <c r="AC37" s="33">
        <v>43.07</v>
      </c>
      <c r="AD37" s="37">
        <v>7.9</v>
      </c>
      <c r="AE37" s="4">
        <f>IF(H37="Senior",MAX(AA37,AC37),AA37+AC37)</f>
        <v>78.849999999999994</v>
      </c>
      <c r="AF37" s="33"/>
      <c r="AG37" s="37"/>
    </row>
    <row r="38" spans="1:33" x14ac:dyDescent="0.2">
      <c r="A38" s="1" t="str" cm="1">
        <f t="array" ref="A38">IF(I38="","",IF(P38&lt;&gt;"",SUMPRODUCT((P$3:P$102&lt;&gt;"")*(G$3:G$102=G38)*(J$3:J$102&gt;J38)*(I$3:I$102="P"))+1,IF(O38&lt;&gt;"",SUMPRODUCT((O$3:O$102&lt;&gt;"")*(P$3:P$102="")*(G$3:G$102=G38)*(J$3:J$102&gt;J38)*(I$3:I$102="P"))+SUMPRODUCT((P$3:P$102&lt;&gt;"")*(G$3:G$102=G38)*(I$3:I$102="P"))+1,IF(N38&lt;&gt;"",SUMPRODUCT((N$3:N$102&lt;&gt;"")*(G$3:G$102=G38)*(J$3:J$102&gt;J38)*(I$3:I$102="P"))+1,IF(M38="P",SUMPRODUCT((O$3:O$102&lt;&gt;"")*(P$3:P$102="")*(G$3:G$102=G38)*(I$3:I$102="P"))+SUMPRODUCT((P$3:P$102&lt;&gt;"")*(G$3:G$102=G38)*(I$3:I$102="P"))+SUMPRODUCT((N$3:N$102&lt;&gt;"")*(G$3:G$102=G38)*(I$3:I$102="P"))+SUMPRODUCT((P$3:P$102="")*(O$3:O$102="")*(N$3:N$102="")*(M$3:M$102="P")*(G$3:G$102=G38)*(J$3:J$102&gt;J38)*(I$3:I$102="P"))+IF(H38="L5",SUMPRODUCT((P$3:P$102="")*(O$3:O$102="")*(N$3:N$102="")*(M$3:M$102="P")*(G$3:G$102=G38)*(J$3:J$102&lt;J38)*(H$3:H$102&lt;&gt;H38)*(I$3:I$102="P")),-1*SUMPRODUCT((P$3:P$102="")*(O$3:O$102="")*(N$3:N$102="")*(M$3:M$102="P")*(G$3:G$102=G38)*(J$3:J$102&gt;J38)*(H$3:H$102="L5")*(I$3:I$102="P")))+1,"")))))</f>
        <v/>
      </c>
      <c r="B38" s="1" t="str" cm="1">
        <f t="array" ref="B38">IF(P38&lt;&gt;"",SUMPRODUCT((P$3:P$102&lt;&gt;"")*(G$3:G$102=G38)*(J$3:J$102&gt;J38))+1,IF(O38&lt;&gt;"",SUMPRODUCT((O$3:O$102&lt;&gt;"")*(P$3:P$102="")*(G$3:G$102=G38)*(J$3:J$102&gt;J38))+SUMPRODUCT((P$3:P$102&lt;&gt;"")*(G$3:G$102=G38))+1,IF(N38&lt;&gt;"",SUMPRODUCT((N$3:N$102&lt;&gt;"")*(G$3:G$102=G38)*(J$3:J$102&gt;J38))+1,IF(M38="P",SUMPRODUCT((O$3:O$102&lt;&gt;"")*(P$3:P$102="")*(G$3:G$102=G38))+SUMPRODUCT((P$3:P$102&lt;&gt;"")*(G$3:G$102=G38))+SUMPRODUCT((N$3:N$102&lt;&gt;"")*(G$3:G$102=G38))+SUMPRODUCT((P$3:P$102="")*(O$3:O$102="")*(N$3:N$102="")*(M$3:M$102="P")*(G$3:G$102=G38)*(J$3:J$102&gt;J38))+IF(H38="L5",SUMPRODUCT((P$3:P$102="")*(O$3:O$102="")*(N$3:N$102="")*(M$3:M$102="P")*(G$3:G$102=G38)*(J$3:J$102&lt;J38)*(H$3:H$102&lt;&gt;H38)),-1*SUMPRODUCT((P$3:P$102="")*(O$3:O$102="")*(N$3:N$102="")*(M$3:M$102="P")*(G$3:G$102=G38)*(J$3:J$102&gt;J38)*(H$3:H$102="L5")))+1,""))))</f>
        <v/>
      </c>
      <c r="C38" s="35" t="s">
        <v>266</v>
      </c>
      <c r="D38" t="str">
        <f>IF(E38="","",VLOOKUP(E38,'Coaching Points'!A:B,2,0))</f>
        <v>QC</v>
      </c>
      <c r="E38" s="35" t="s">
        <v>3</v>
      </c>
      <c r="F38" s="34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86.300003857000007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43.77</v>
      </c>
      <c r="S38" s="4">
        <f>IF(G38="17-21",LARGE(CHOOSE({1,2,3,4,5,6},T38,V38,Y38,AA38,AC38,AF38),2),IF(R38=X38,MAX(Y38,AA38,AC38,AF38),IF(R38=AE38,MAX(AF38,T38,V38,Y38),0)))</f>
        <v>42.53</v>
      </c>
      <c r="T38" s="32">
        <v>39.049999999999997</v>
      </c>
      <c r="U38" s="37">
        <v>0</v>
      </c>
      <c r="V38" s="33">
        <v>43.77</v>
      </c>
      <c r="W38" s="37">
        <v>7.8</v>
      </c>
      <c r="X38" s="4">
        <f>IF(H38="Senior",MAX(T38,V38),T38+V38)</f>
        <v>82.82</v>
      </c>
      <c r="Y38" s="33">
        <v>42.53</v>
      </c>
      <c r="Z38" s="37">
        <v>7.2</v>
      </c>
      <c r="AA38" s="32">
        <v>38.57</v>
      </c>
      <c r="AB38" s="37">
        <v>0</v>
      </c>
      <c r="AC38" s="33">
        <v>18.440000000000001</v>
      </c>
      <c r="AD38" s="37">
        <v>3.5</v>
      </c>
      <c r="AE38" s="4">
        <f>IF(H38="Senior",MAX(AA38,AC38),AA38+AC38)</f>
        <v>57.010000000000005</v>
      </c>
      <c r="AF38" s="33"/>
      <c r="AG38" s="37"/>
    </row>
    <row r="39" spans="1:33" x14ac:dyDescent="0.2">
      <c r="A39" s="1" t="str" cm="1">
        <f t="array" ref="A39">IF(I39="","",IF(P39&lt;&gt;"",SUMPRODUCT((P$3:P$102&lt;&gt;"")*(G$3:G$102=G39)*(J$3:J$102&gt;J39)*(I$3:I$102="P"))+1,IF(O39&lt;&gt;"",SUMPRODUCT((O$3:O$102&lt;&gt;"")*(P$3:P$102="")*(G$3:G$102=G39)*(J$3:J$102&gt;J39)*(I$3:I$102="P"))+SUMPRODUCT((P$3:P$102&lt;&gt;"")*(G$3:G$102=G39)*(I$3:I$102="P"))+1,IF(N39&lt;&gt;"",SUMPRODUCT((N$3:N$102&lt;&gt;"")*(G$3:G$102=G39)*(J$3:J$102&gt;J39)*(I$3:I$102="P"))+1,IF(M39="P",SUMPRODUCT((O$3:O$102&lt;&gt;"")*(P$3:P$102="")*(G$3:G$102=G39)*(I$3:I$102="P"))+SUMPRODUCT((P$3:P$102&lt;&gt;"")*(G$3:G$102=G39)*(I$3:I$102="P"))+SUMPRODUCT((N$3:N$102&lt;&gt;"")*(G$3:G$102=G39)*(I$3:I$102="P"))+SUMPRODUCT((P$3:P$102="")*(O$3:O$102="")*(N$3:N$102="")*(M$3:M$102="P")*(G$3:G$102=G39)*(J$3:J$102&gt;J39)*(I$3:I$102="P"))+IF(H39="L5",SUMPRODUCT((P$3:P$102="")*(O$3:O$102="")*(N$3:N$102="")*(M$3:M$102="P")*(G$3:G$102=G39)*(J$3:J$102&lt;J39)*(H$3:H$102&lt;&gt;H39)*(I$3:I$102="P")),-1*SUMPRODUCT((P$3:P$102="")*(O$3:O$102="")*(N$3:N$102="")*(M$3:M$102="P")*(G$3:G$102=G39)*(J$3:J$102&gt;J39)*(H$3:H$102="L5")*(I$3:I$102="P")))+1,"")))))</f>
        <v/>
      </c>
      <c r="B39" s="1" t="str" cm="1">
        <f t="array" ref="B39">IF(P39&lt;&gt;"",SUMPRODUCT((P$3:P$102&lt;&gt;"")*(G$3:G$102=G39)*(J$3:J$102&gt;J39))+1,IF(O39&lt;&gt;"",SUMPRODUCT((O$3:O$102&lt;&gt;"")*(P$3:P$102="")*(G$3:G$102=G39)*(J$3:J$102&gt;J39))+SUMPRODUCT((P$3:P$102&lt;&gt;"")*(G$3:G$102=G39))+1,IF(N39&lt;&gt;"",SUMPRODUCT((N$3:N$102&lt;&gt;"")*(G$3:G$102=G39)*(J$3:J$102&gt;J39))+1,IF(M39="P",SUMPRODUCT((O$3:O$102&lt;&gt;"")*(P$3:P$102="")*(G$3:G$102=G39))+SUMPRODUCT((P$3:P$102&lt;&gt;"")*(G$3:G$102=G39))+SUMPRODUCT((N$3:N$102&lt;&gt;"")*(G$3:G$102=G39))+SUMPRODUCT((P$3:P$102="")*(O$3:O$102="")*(N$3:N$102="")*(M$3:M$102="P")*(G$3:G$102=G39)*(J$3:J$102&gt;J39))+IF(H39="L5",SUMPRODUCT((P$3:P$102="")*(O$3:O$102="")*(N$3:N$102="")*(M$3:M$102="P")*(G$3:G$102=G39)*(J$3:J$102&lt;J39)*(H$3:H$102&lt;&gt;H39)),-1*SUMPRODUCT((P$3:P$102="")*(O$3:O$102="")*(N$3:N$102="")*(M$3:M$102="P")*(G$3:G$102=G39)*(J$3:J$102&gt;J39)*(H$3:H$102="L5")))+1,""))))</f>
        <v/>
      </c>
      <c r="C39" s="35" t="s">
        <v>280</v>
      </c>
      <c r="D39" t="str">
        <f>IF(E39="","",VLOOKUP(E39,'Coaching Points'!A:B,2,0))</f>
        <v>SK</v>
      </c>
      <c r="E39" s="35" t="s">
        <v>58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R39+S39+IF(OR(H39="Junior",H39="Senior"),0.0002,IF(OR(H39="L7",H39="L6"),0.0001,0))+IF(G39="17-21",MAX(AA39,AC39,AF39),AE39)*0.0000001</f>
        <v>85.030004548000008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45.48</v>
      </c>
      <c r="S39" s="4">
        <f>IF(G39="17-21",LARGE(CHOOSE({1,2,3,4,5,6},T39,V39,Y39,AA39,AC39,AF39),2),IF(R39=X39,MAX(Y39,AA39,AC39,AF39),IF(R39=AE39,MAX(AF39,T39,V39,Y39),0)))</f>
        <v>39.549999999999997</v>
      </c>
      <c r="T39" s="32">
        <v>34.14</v>
      </c>
      <c r="U39" s="37">
        <v>0</v>
      </c>
      <c r="V39" s="33">
        <v>39.549999999999997</v>
      </c>
      <c r="W39" s="37">
        <v>8.1</v>
      </c>
      <c r="X39" s="4">
        <f>IF(H39="Senior",MAX(T39,V39),T39+V39)</f>
        <v>73.69</v>
      </c>
      <c r="Y39" s="33"/>
      <c r="Z39" s="37"/>
      <c r="AA39" s="32">
        <v>37.24</v>
      </c>
      <c r="AB39" s="37">
        <v>0</v>
      </c>
      <c r="AC39" s="33">
        <v>45.48</v>
      </c>
      <c r="AD39" s="37">
        <v>9.4</v>
      </c>
      <c r="AE39" s="4">
        <f>IF(H39="Senior",MAX(AA39,AC39),AA39+AC39)</f>
        <v>82.72</v>
      </c>
      <c r="AF39" s="33"/>
      <c r="AG39" s="37"/>
    </row>
    <row r="40" spans="1:33" x14ac:dyDescent="0.2">
      <c r="A40" s="1" t="str" cm="1">
        <f t="array" ref="A40">IF(I40="","",IF(P40&lt;&gt;"",SUMPRODUCT((P$3:P$102&lt;&gt;"")*(G$3:G$102=G40)*(J$3:J$102&gt;J40)*(I$3:I$102="P"))+1,IF(O40&lt;&gt;"",SUMPRODUCT((O$3:O$102&lt;&gt;"")*(P$3:P$102="")*(G$3:G$102=G40)*(J$3:J$102&gt;J40)*(I$3:I$102="P"))+SUMPRODUCT((P$3:P$102&lt;&gt;"")*(G$3:G$102=G40)*(I$3:I$102="P"))+1,IF(N40&lt;&gt;"",SUMPRODUCT((N$3:N$102&lt;&gt;"")*(G$3:G$102=G40)*(J$3:J$102&gt;J40)*(I$3:I$102="P"))+1,IF(M40="P",SUMPRODUCT((O$3:O$102&lt;&gt;"")*(P$3:P$102="")*(G$3:G$102=G40)*(I$3:I$102="P"))+SUMPRODUCT((P$3:P$102&lt;&gt;"")*(G$3:G$102=G40)*(I$3:I$102="P"))+SUMPRODUCT((N$3:N$102&lt;&gt;"")*(G$3:G$102=G40)*(I$3:I$102="P"))+SUMPRODUCT((P$3:P$102="")*(O$3:O$102="")*(N$3:N$102="")*(M$3:M$102="P")*(G$3:G$102=G40)*(J$3:J$102&gt;J40)*(I$3:I$102="P"))+IF(H40="L5",SUMPRODUCT((P$3:P$102="")*(O$3:O$102="")*(N$3:N$102="")*(M$3:M$102="P")*(G$3:G$102=G40)*(J$3:J$102&lt;J40)*(H$3:H$102&lt;&gt;H40)*(I$3:I$102="P")),-1*SUMPRODUCT((P$3:P$102="")*(O$3:O$102="")*(N$3:N$102="")*(M$3:M$102="P")*(G$3:G$102=G40)*(J$3:J$102&gt;J40)*(H$3:H$102="L5")*(I$3:I$102="P")))+1,"")))))</f>
        <v/>
      </c>
      <c r="B40" s="1" t="str" cm="1">
        <f t="array" ref="B40">IF(P40&lt;&gt;"",SUMPRODUCT((P$3:P$102&lt;&gt;"")*(G$3:G$102=G40)*(J$3:J$102&gt;J40))+1,IF(O40&lt;&gt;"",SUMPRODUCT((O$3:O$102&lt;&gt;"")*(P$3:P$102="")*(G$3:G$102=G40)*(J$3:J$102&gt;J40))+SUMPRODUCT((P$3:P$102&lt;&gt;"")*(G$3:G$102=G40))+1,IF(N40&lt;&gt;"",SUMPRODUCT((N$3:N$102&lt;&gt;"")*(G$3:G$102=G40)*(J$3:J$102&gt;J40))+1,IF(M40="P",SUMPRODUCT((O$3:O$102&lt;&gt;"")*(P$3:P$102="")*(G$3:G$102=G40))+SUMPRODUCT((P$3:P$102&lt;&gt;"")*(G$3:G$102=G40))+SUMPRODUCT((N$3:N$102&lt;&gt;"")*(G$3:G$102=G40))+SUMPRODUCT((P$3:P$102="")*(O$3:O$102="")*(N$3:N$102="")*(M$3:M$102="P")*(G$3:G$102=G40)*(J$3:J$102&gt;J40))+IF(H40="L5",SUMPRODUCT((P$3:P$102="")*(O$3:O$102="")*(N$3:N$102="")*(M$3:M$102="P")*(G$3:G$102=G40)*(J$3:J$102&lt;J40)*(H$3:H$102&lt;&gt;H40)),-1*SUMPRODUCT((P$3:P$102="")*(O$3:O$102="")*(N$3:N$102="")*(M$3:M$102="P")*(G$3:G$102=G40)*(J$3:J$102&gt;J40)*(H$3:H$102="L5")))+1,""))))</f>
        <v/>
      </c>
      <c r="C40" s="35" t="s">
        <v>217</v>
      </c>
      <c r="D40" t="str">
        <f>IF(E40="","",VLOOKUP(E40,'Coaching Points'!A:B,2,0))</f>
        <v>AB</v>
      </c>
      <c r="E40" s="35" t="s">
        <v>39</v>
      </c>
      <c r="F40" s="34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>R40+S40+IF(OR(H40="Junior",H40="Senior"),0.0002,IF(OR(H40="L7",H40="L6"),0.0001,0))+IF(G40="17-21",MAX(AA40,AC40,AF40),AE40)*0.0000001</f>
        <v>82.8202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41.45</v>
      </c>
      <c r="S40" s="4">
        <f>IF(G40="17-21",LARGE(CHOOSE({1,2,3,4,5,6},T40,V40,Y40,AA40,AC40,AF40),2),IF(R40=X40,MAX(Y40,AA40,AC40,AF40),IF(R40=AE40,MAX(AF40,T40,V40,Y40),0)))</f>
        <v>41.37</v>
      </c>
      <c r="T40" s="32">
        <v>23.55</v>
      </c>
      <c r="U40" s="37">
        <v>5.8</v>
      </c>
      <c r="V40" s="33">
        <v>41.37</v>
      </c>
      <c r="W40" s="37">
        <v>7.6</v>
      </c>
      <c r="X40" s="4">
        <f>IF(H40="Senior",MAX(T40,V40),T40+V40)</f>
        <v>41.37</v>
      </c>
      <c r="Y40" s="33">
        <v>41.45</v>
      </c>
      <c r="Z40" s="37">
        <v>9.1</v>
      </c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$102&lt;&gt;"")*(G$3:G$102=G41)*(J$3:J$102&gt;J41)*(I$3:I$102="P"))+1,IF(O41&lt;&gt;"",SUMPRODUCT((O$3:O$102&lt;&gt;"")*(P$3:P$102="")*(G$3:G$102=G41)*(J$3:J$102&gt;J41)*(I$3:I$102="P"))+SUMPRODUCT((P$3:P$102&lt;&gt;"")*(G$3:G$102=G41)*(I$3:I$102="P"))+1,IF(N41&lt;&gt;"",SUMPRODUCT((N$3:N$102&lt;&gt;"")*(G$3:G$102=G41)*(J$3:J$102&gt;J41)*(I$3:I$102="P"))+1,IF(M41="P",SUMPRODUCT((O$3:O$102&lt;&gt;"")*(P$3:P$102="")*(G$3:G$102=G41)*(I$3:I$102="P"))+SUMPRODUCT((P$3:P$102&lt;&gt;"")*(G$3:G$102=G41)*(I$3:I$102="P"))+SUMPRODUCT((N$3:N$102&lt;&gt;"")*(G$3:G$102=G41)*(I$3:I$102="P"))+SUMPRODUCT((P$3:P$102="")*(O$3:O$102="")*(N$3:N$102="")*(M$3:M$102="P")*(G$3:G$102=G41)*(J$3:J$102&gt;J41)*(I$3:I$102="P"))+IF(H41="L5",SUMPRODUCT((P$3:P$102="")*(O$3:O$102="")*(N$3:N$102="")*(M$3:M$102="P")*(G$3:G$102=G41)*(J$3:J$102&lt;J41)*(H$3:H$102&lt;&gt;H41)*(I$3:I$102="P")),-1*SUMPRODUCT((P$3:P$102="")*(O$3:O$102="")*(N$3:N$102="")*(M$3:M$102="P")*(G$3:G$102=G41)*(J$3:J$102&gt;J41)*(H$3:H$102="L5")*(I$3:I$102="P")))+1,"")))))</f>
        <v/>
      </c>
      <c r="B41" s="1" t="str" cm="1">
        <f t="array" ref="B41">IF(P41&lt;&gt;"",SUMPRODUCT((P$3:P$102&lt;&gt;"")*(G$3:G$102=G41)*(J$3:J$102&gt;J41))+1,IF(O41&lt;&gt;"",SUMPRODUCT((O$3:O$102&lt;&gt;"")*(P$3:P$102="")*(G$3:G$102=G41)*(J$3:J$102&gt;J41))+SUMPRODUCT((P$3:P$102&lt;&gt;"")*(G$3:G$102=G41))+1,IF(N41&lt;&gt;"",SUMPRODUCT((N$3:N$102&lt;&gt;"")*(G$3:G$102=G41)*(J$3:J$102&gt;J41))+1,IF(M41="P",SUMPRODUCT((O$3:O$102&lt;&gt;"")*(P$3:P$102="")*(G$3:G$102=G41))+SUMPRODUCT((P$3:P$102&lt;&gt;"")*(G$3:G$102=G41))+SUMPRODUCT((N$3:N$102&lt;&gt;"")*(G$3:G$102=G41))+SUMPRODUCT((P$3:P$102="")*(O$3:O$102="")*(N$3:N$102="")*(M$3:M$102="P")*(G$3:G$102=G41)*(J$3:J$102&gt;J41))+IF(H41="L5",SUMPRODUCT((P$3:P$102="")*(O$3:O$102="")*(N$3:N$102="")*(M$3:M$102="P")*(G$3:G$102=G41)*(J$3:J$102&lt;J41)*(H$3:H$102&lt;&gt;H41)),-1*SUMPRODUCT((P$3:P$102="")*(O$3:O$102="")*(N$3:N$102="")*(M$3:M$102="P")*(G$3:G$102=G41)*(J$3:J$102&gt;J41)*(H$3:H$102="L5")))+1,""))))</f>
        <v/>
      </c>
      <c r="C41" s="35" t="s">
        <v>233</v>
      </c>
      <c r="D41" t="str">
        <f>IF(E41="","",VLOOKUP(E41,'Coaching Points'!A:B,2,0))</f>
        <v>AB</v>
      </c>
      <c r="E41" s="35" t="s">
        <v>28</v>
      </c>
      <c r="F41" s="34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82.810103975000004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42.55</v>
      </c>
      <c r="S41" s="4">
        <f>IF(G41="17-21",LARGE(CHOOSE({1,2,3,4,5,6},T41,V41,Y41,AA41,AC41,AF41),2),IF(R41=X41,MAX(Y41,AA41,AC41,AF41),IF(R41=AE41,MAX(AF41,T41,V41,Y41),0)))</f>
        <v>40.26</v>
      </c>
      <c r="T41" s="32">
        <v>38.71</v>
      </c>
      <c r="U41" s="37">
        <v>0</v>
      </c>
      <c r="V41" s="33">
        <v>42.55</v>
      </c>
      <c r="W41" s="37">
        <v>9.1</v>
      </c>
      <c r="X41" s="4">
        <f>IF(H41="Senior",MAX(T41,V41),T41+V41)</f>
        <v>81.259999999999991</v>
      </c>
      <c r="Y41" s="33">
        <v>40.26</v>
      </c>
      <c r="Z41" s="37">
        <v>8.1</v>
      </c>
      <c r="AA41" s="32">
        <v>39.75</v>
      </c>
      <c r="AB41" s="37">
        <v>0</v>
      </c>
      <c r="AC41" s="33">
        <v>17.73</v>
      </c>
      <c r="AD41" s="37">
        <v>4</v>
      </c>
      <c r="AE41" s="4">
        <f>IF(H41="Senior",MAX(AA41,AC41),AA41+AC41)</f>
        <v>57.480000000000004</v>
      </c>
      <c r="AF41" s="33"/>
      <c r="AG41" s="37"/>
    </row>
    <row r="42" spans="1:33" x14ac:dyDescent="0.2">
      <c r="A42" s="1" t="str" cm="1">
        <f t="array" ref="A42">IF(I42="","",IF(P42&lt;&gt;"",SUMPRODUCT((P$3:P$102&lt;&gt;"")*(G$3:G$102=G42)*(J$3:J$102&gt;J42)*(I$3:I$102="P"))+1,IF(O42&lt;&gt;"",SUMPRODUCT((O$3:O$102&lt;&gt;"")*(P$3:P$102="")*(G$3:G$102=G42)*(J$3:J$102&gt;J42)*(I$3:I$102="P"))+SUMPRODUCT((P$3:P$102&lt;&gt;"")*(G$3:G$102=G42)*(I$3:I$102="P"))+1,IF(N42&lt;&gt;"",SUMPRODUCT((N$3:N$102&lt;&gt;"")*(G$3:G$102=G42)*(J$3:J$102&gt;J42)*(I$3:I$102="P"))+1,IF(M42="P",SUMPRODUCT((O$3:O$102&lt;&gt;"")*(P$3:P$102="")*(G$3:G$102=G42)*(I$3:I$102="P"))+SUMPRODUCT((P$3:P$102&lt;&gt;"")*(G$3:G$102=G42)*(I$3:I$102="P"))+SUMPRODUCT((N$3:N$102&lt;&gt;"")*(G$3:G$102=G42)*(I$3:I$102="P"))+SUMPRODUCT((P$3:P$102="")*(O$3:O$102="")*(N$3:N$102="")*(M$3:M$102="P")*(G$3:G$102=G42)*(J$3:J$102&gt;J42)*(I$3:I$102="P"))+IF(H42="L5",SUMPRODUCT((P$3:P$102="")*(O$3:O$102="")*(N$3:N$102="")*(M$3:M$102="P")*(G$3:G$102=G42)*(J$3:J$102&lt;J42)*(H$3:H$102&lt;&gt;H42)*(I$3:I$102="P")),-1*SUMPRODUCT((P$3:P$102="")*(O$3:O$102="")*(N$3:N$102="")*(M$3:M$102="P")*(G$3:G$102=G42)*(J$3:J$102&gt;J42)*(H$3:H$102="L5")*(I$3:I$102="P")))+1,"")))))</f>
        <v/>
      </c>
      <c r="B42" s="1" t="str" cm="1">
        <f t="array" ref="B42">IF(P42&lt;&gt;"",SUMPRODUCT((P$3:P$102&lt;&gt;"")*(G$3:G$102=G42)*(J$3:J$102&gt;J42))+1,IF(O42&lt;&gt;"",SUMPRODUCT((O$3:O$102&lt;&gt;"")*(P$3:P$102="")*(G$3:G$102=G42)*(J$3:J$102&gt;J42))+SUMPRODUCT((P$3:P$102&lt;&gt;"")*(G$3:G$102=G42))+1,IF(N42&lt;&gt;"",SUMPRODUCT((N$3:N$102&lt;&gt;"")*(G$3:G$102=G42)*(J$3:J$102&gt;J42))+1,IF(M42="P",SUMPRODUCT((O$3:O$102&lt;&gt;"")*(P$3:P$102="")*(G$3:G$102=G42))+SUMPRODUCT((P$3:P$102&lt;&gt;"")*(G$3:G$102=G42))+SUMPRODUCT((N$3:N$102&lt;&gt;"")*(G$3:G$102=G42))+SUMPRODUCT((P$3:P$102="")*(O$3:O$102="")*(N$3:N$102="")*(M$3:M$102="P")*(G$3:G$102=G42)*(J$3:J$102&gt;J42))+IF(H42="L5",SUMPRODUCT((P$3:P$102="")*(O$3:O$102="")*(N$3:N$102="")*(M$3:M$102="P")*(G$3:G$102=G42)*(J$3:J$102&lt;J42)*(H$3:H$102&lt;&gt;H42)),-1*SUMPRODUCT((P$3:P$102="")*(O$3:O$102="")*(N$3:N$102="")*(M$3:M$102="P")*(G$3:G$102=G42)*(J$3:J$102&gt;J42)*(H$3:H$102="L5")))+1,""))))</f>
        <v/>
      </c>
      <c r="C42" s="35" t="s">
        <v>422</v>
      </c>
      <c r="D42" t="str">
        <f>IF(E42="","",VLOOKUP(E42,'Coaching Points'!A:B,2,0))</f>
        <v>ON</v>
      </c>
      <c r="E42" s="35" t="s">
        <v>504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R42+S42+IF(OR(H42="Junior",H42="Senior"),0.0002,IF(OR(H42="L7",H42="L6"),0.0001,0))+IF(G42="17-21",MAX(AA42,AC42,AF42),AE42)*0.0000001</f>
        <v>82.250004443999998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44.44</v>
      </c>
      <c r="S42" s="4">
        <f>IF(G42="17-21",LARGE(CHOOSE({1,2,3,4,5,6},T42,V42,Y42,AA42,AC42,AF42),2),IF(R42=X42,MAX(Y42,AA42,AC42,AF42),IF(R42=AE42,MAX(AF42,T42,V42,Y42),0)))</f>
        <v>37.81</v>
      </c>
      <c r="T42" s="32"/>
      <c r="U42" s="37"/>
      <c r="V42" s="33"/>
      <c r="W42" s="37"/>
      <c r="X42" s="4">
        <f>IF(H42="Senior",MAX(T42,V42),T42+V42)</f>
        <v>0</v>
      </c>
      <c r="Y42" s="33"/>
      <c r="Z42" s="37"/>
      <c r="AA42" s="32">
        <v>37.81</v>
      </c>
      <c r="AB42" s="37">
        <v>0</v>
      </c>
      <c r="AC42" s="33">
        <v>44.44</v>
      </c>
      <c r="AD42" s="37">
        <v>8.6999999999999993</v>
      </c>
      <c r="AE42" s="4">
        <f>IF(H42="Senior",MAX(AA42,AC42),AA42+AC42)</f>
        <v>82.25</v>
      </c>
      <c r="AF42" s="33"/>
      <c r="AG42" s="37"/>
    </row>
    <row r="43" spans="1:33" x14ac:dyDescent="0.2">
      <c r="A43" s="1" t="str" cm="1">
        <f t="array" ref="A43">IF(I43="","",IF(P43&lt;&gt;"",SUMPRODUCT((P$3:P$102&lt;&gt;"")*(G$3:G$102=G43)*(J$3:J$102&gt;J43)*(I$3:I$102="P"))+1,IF(O43&lt;&gt;"",SUMPRODUCT((O$3:O$102&lt;&gt;"")*(P$3:P$102="")*(G$3:G$102=G43)*(J$3:J$102&gt;J43)*(I$3:I$102="P"))+SUMPRODUCT((P$3:P$102&lt;&gt;"")*(G$3:G$102=G43)*(I$3:I$102="P"))+1,IF(N43&lt;&gt;"",SUMPRODUCT((N$3:N$102&lt;&gt;"")*(G$3:G$102=G43)*(J$3:J$102&gt;J43)*(I$3:I$102="P"))+1,IF(M43="P",SUMPRODUCT((O$3:O$102&lt;&gt;"")*(P$3:P$102="")*(G$3:G$102=G43)*(I$3:I$102="P"))+SUMPRODUCT((P$3:P$102&lt;&gt;"")*(G$3:G$102=G43)*(I$3:I$102="P"))+SUMPRODUCT((N$3:N$102&lt;&gt;"")*(G$3:G$102=G43)*(I$3:I$102="P"))+SUMPRODUCT((P$3:P$102="")*(O$3:O$102="")*(N$3:N$102="")*(M$3:M$102="P")*(G$3:G$102=G43)*(J$3:J$102&gt;J43)*(I$3:I$102="P"))+IF(H43="L5",SUMPRODUCT((P$3:P$102="")*(O$3:O$102="")*(N$3:N$102="")*(M$3:M$102="P")*(G$3:G$102=G43)*(J$3:J$102&lt;J43)*(H$3:H$102&lt;&gt;H43)*(I$3:I$102="P")),-1*SUMPRODUCT((P$3:P$102="")*(O$3:O$102="")*(N$3:N$102="")*(M$3:M$102="P")*(G$3:G$102=G43)*(J$3:J$102&gt;J43)*(H$3:H$102="L5")*(I$3:I$102="P")))+1,"")))))</f>
        <v/>
      </c>
      <c r="B43" s="1" t="str" cm="1">
        <f t="array" ref="B43">IF(P43&lt;&gt;"",SUMPRODUCT((P$3:P$102&lt;&gt;"")*(G$3:G$102=G43)*(J$3:J$102&gt;J43))+1,IF(O43&lt;&gt;"",SUMPRODUCT((O$3:O$102&lt;&gt;"")*(P$3:P$102="")*(G$3:G$102=G43)*(J$3:J$102&gt;J43))+SUMPRODUCT((P$3:P$102&lt;&gt;"")*(G$3:G$102=G43))+1,IF(N43&lt;&gt;"",SUMPRODUCT((N$3:N$102&lt;&gt;"")*(G$3:G$102=G43)*(J$3:J$102&gt;J43))+1,IF(M43="P",SUMPRODUCT((O$3:O$102&lt;&gt;"")*(P$3:P$102="")*(G$3:G$102=G43))+SUMPRODUCT((P$3:P$102&lt;&gt;"")*(G$3:G$102=G43))+SUMPRODUCT((N$3:N$102&lt;&gt;"")*(G$3:G$102=G43))+SUMPRODUCT((P$3:P$102="")*(O$3:O$102="")*(N$3:N$102="")*(M$3:M$102="P")*(G$3:G$102=G43)*(J$3:J$102&gt;J43))+IF(H43="L5",SUMPRODUCT((P$3:P$102="")*(O$3:O$102="")*(N$3:N$102="")*(M$3:M$102="P")*(G$3:G$102=G43)*(J$3:J$102&lt;J43)*(H$3:H$102&lt;&gt;H43)),-1*SUMPRODUCT((P$3:P$102="")*(O$3:O$102="")*(N$3:N$102="")*(M$3:M$102="P")*(G$3:G$102=G43)*(J$3:J$102&gt;J43)*(H$3:H$102="L5")))+1,""))))</f>
        <v/>
      </c>
      <c r="C43" s="35" t="s">
        <v>423</v>
      </c>
      <c r="D43" t="str">
        <f>IF(E43="","",VLOOKUP(E43,'Coaching Points'!A:B,2,0))</f>
        <v>NS</v>
      </c>
      <c r="E43" s="35" t="s">
        <v>86</v>
      </c>
      <c r="F43" s="34">
        <v>2008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82.160004397999998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43.98</v>
      </c>
      <c r="S43" s="4">
        <f>IF(G43="17-21",LARGE(CHOOSE({1,2,3,4,5,6},T43,V43,Y43,AA43,AC43,AF43),2),IF(R43=X43,MAX(Y43,AA43,AC43,AF43),IF(R43=AE43,MAX(AF43,T43,V43,Y43),0)))</f>
        <v>38.18</v>
      </c>
      <c r="T43" s="32"/>
      <c r="U43" s="37"/>
      <c r="V43" s="33"/>
      <c r="W43" s="37"/>
      <c r="X43" s="4">
        <f>IF(H43="Senior",MAX(T43,V43),T43+V43)</f>
        <v>0</v>
      </c>
      <c r="Y43" s="33"/>
      <c r="Z43" s="37"/>
      <c r="AA43" s="32">
        <v>38.18</v>
      </c>
      <c r="AB43" s="37">
        <v>0</v>
      </c>
      <c r="AC43" s="33">
        <v>43.98</v>
      </c>
      <c r="AD43" s="37">
        <v>7.7</v>
      </c>
      <c r="AE43" s="4">
        <f>IF(H43="Senior",MAX(AA43,AC43),AA43+AC43)</f>
        <v>82.16</v>
      </c>
      <c r="AF43" s="33"/>
      <c r="AG43" s="37"/>
    </row>
    <row r="44" spans="1:33" x14ac:dyDescent="0.2">
      <c r="A44" s="1" t="str" cm="1">
        <f t="array" ref="A44">IF(I44="","",IF(P44&lt;&gt;"",SUMPRODUCT((P$3:P$102&lt;&gt;"")*(G$3:G$102=G44)*(J$3:J$102&gt;J44)*(I$3:I$102="P"))+1,IF(O44&lt;&gt;"",SUMPRODUCT((O$3:O$102&lt;&gt;"")*(P$3:P$102="")*(G$3:G$102=G44)*(J$3:J$102&gt;J44)*(I$3:I$102="P"))+SUMPRODUCT((P$3:P$102&lt;&gt;"")*(G$3:G$102=G44)*(I$3:I$102="P"))+1,IF(N44&lt;&gt;"",SUMPRODUCT((N$3:N$102&lt;&gt;"")*(G$3:G$102=G44)*(J$3:J$102&gt;J44)*(I$3:I$102="P"))+1,IF(M44="P",SUMPRODUCT((O$3:O$102&lt;&gt;"")*(P$3:P$102="")*(G$3:G$102=G44)*(I$3:I$102="P"))+SUMPRODUCT((P$3:P$102&lt;&gt;"")*(G$3:G$102=G44)*(I$3:I$102="P"))+SUMPRODUCT((N$3:N$102&lt;&gt;"")*(G$3:G$102=G44)*(I$3:I$102="P"))+SUMPRODUCT((P$3:P$102="")*(O$3:O$102="")*(N$3:N$102="")*(M$3:M$102="P")*(G$3:G$102=G44)*(J$3:J$102&gt;J44)*(I$3:I$102="P"))+IF(H44="L5",SUMPRODUCT((P$3:P$102="")*(O$3:O$102="")*(N$3:N$102="")*(M$3:M$102="P")*(G$3:G$102=G44)*(J$3:J$102&lt;J44)*(H$3:H$102&lt;&gt;H44)*(I$3:I$102="P")),-1*SUMPRODUCT((P$3:P$102="")*(O$3:O$102="")*(N$3:N$102="")*(M$3:M$102="P")*(G$3:G$102=G44)*(J$3:J$102&gt;J44)*(H$3:H$102="L5")*(I$3:I$102="P")))+1,"")))))</f>
        <v/>
      </c>
      <c r="B44" s="1" t="str" cm="1">
        <f t="array" ref="B44">IF(P44&lt;&gt;"",SUMPRODUCT((P$3:P$102&lt;&gt;"")*(G$3:G$102=G44)*(J$3:J$102&gt;J44))+1,IF(O44&lt;&gt;"",SUMPRODUCT((O$3:O$102&lt;&gt;"")*(P$3:P$102="")*(G$3:G$102=G44)*(J$3:J$102&gt;J44))+SUMPRODUCT((P$3:P$102&lt;&gt;"")*(G$3:G$102=G44))+1,IF(N44&lt;&gt;"",SUMPRODUCT((N$3:N$102&lt;&gt;"")*(G$3:G$102=G44)*(J$3:J$102&gt;J44))+1,IF(M44="P",SUMPRODUCT((O$3:O$102&lt;&gt;"")*(P$3:P$102="")*(G$3:G$102=G44))+SUMPRODUCT((P$3:P$102&lt;&gt;"")*(G$3:G$102=G44))+SUMPRODUCT((N$3:N$102&lt;&gt;"")*(G$3:G$102=G44))+SUMPRODUCT((P$3:P$102="")*(O$3:O$102="")*(N$3:N$102="")*(M$3:M$102="P")*(G$3:G$102=G44)*(J$3:J$102&gt;J44))+IF(H44="L5",SUMPRODUCT((P$3:P$102="")*(O$3:O$102="")*(N$3:N$102="")*(M$3:M$102="P")*(G$3:G$102=G44)*(J$3:J$102&lt;J44)*(H$3:H$102&lt;&gt;H44)),-1*SUMPRODUCT((P$3:P$102="")*(O$3:O$102="")*(N$3:N$102="")*(M$3:M$102="P")*(G$3:G$102=G44)*(J$3:J$102&gt;J44)*(H$3:H$102="L5")))+1,""))))</f>
        <v/>
      </c>
      <c r="C44" s="35" t="s">
        <v>235</v>
      </c>
      <c r="D44" t="str">
        <f>IF(E44="","",VLOOKUP(E44,'Coaching Points'!A:B,2,0))</f>
        <v>AB</v>
      </c>
      <c r="E44" s="35" t="s">
        <v>28</v>
      </c>
      <c r="F44" s="34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>R44+S44+IF(OR(H44="Junior",H44="Senior"),0.0002,IF(OR(H44="L7",H44="L6"),0.0001,0))+IF(G44="17-21",MAX(AA44,AC44,AF44),AE44)*0.0000001</f>
        <v>81.460102347000017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>P</v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45.06</v>
      </c>
      <c r="S44" s="4">
        <f>IF(G44="17-21",LARGE(CHOOSE({1,2,3,4,5,6},T44,V44,Y44,AA44,AC44,AF44),2),IF(R44=X44,MAX(Y44,AA44,AC44,AF44),IF(R44=AE44,MAX(AF44,T44,V44,Y44),0)))</f>
        <v>36.4</v>
      </c>
      <c r="T44" s="32">
        <v>36.4</v>
      </c>
      <c r="U44" s="37">
        <v>0</v>
      </c>
      <c r="V44" s="33">
        <v>45.06</v>
      </c>
      <c r="W44" s="37">
        <v>10.9</v>
      </c>
      <c r="X44" s="4">
        <f>IF(H44="Senior",MAX(T44,V44),T44+V44)</f>
        <v>81.460000000000008</v>
      </c>
      <c r="Y44" s="33">
        <v>9.75</v>
      </c>
      <c r="Z44" s="37">
        <v>2.8</v>
      </c>
      <c r="AA44" s="32">
        <v>23.47</v>
      </c>
      <c r="AB44" s="37">
        <v>0</v>
      </c>
      <c r="AC44" s="33">
        <v>13.69</v>
      </c>
      <c r="AD44" s="37">
        <v>3.4</v>
      </c>
      <c r="AE44" s="4">
        <f>IF(H44="Senior",MAX(AA44,AC44),AA44+AC44)</f>
        <v>37.159999999999997</v>
      </c>
      <c r="AF44" s="33"/>
      <c r="AG44" s="37"/>
    </row>
    <row r="45" spans="1:33" x14ac:dyDescent="0.2">
      <c r="A45" s="1" t="str" cm="1">
        <f t="array" ref="A45">IF(I45="","",IF(P45&lt;&gt;"",SUMPRODUCT((P$3:P$102&lt;&gt;"")*(G$3:G$102=G45)*(J$3:J$102&gt;J45)*(I$3:I$102="P"))+1,IF(O45&lt;&gt;"",SUMPRODUCT((O$3:O$102&lt;&gt;"")*(P$3:P$102="")*(G$3:G$102=G45)*(J$3:J$102&gt;J45)*(I$3:I$102="P"))+SUMPRODUCT((P$3:P$102&lt;&gt;"")*(G$3:G$102=G45)*(I$3:I$102="P"))+1,IF(N45&lt;&gt;"",SUMPRODUCT((N$3:N$102&lt;&gt;"")*(G$3:G$102=G45)*(J$3:J$102&gt;J45)*(I$3:I$102="P"))+1,IF(M45="P",SUMPRODUCT((O$3:O$102&lt;&gt;"")*(P$3:P$102="")*(G$3:G$102=G45)*(I$3:I$102="P"))+SUMPRODUCT((P$3:P$102&lt;&gt;"")*(G$3:G$102=G45)*(I$3:I$102="P"))+SUMPRODUCT((N$3:N$102&lt;&gt;"")*(G$3:G$102=G45)*(I$3:I$102="P"))+SUMPRODUCT((P$3:P$102="")*(O$3:O$102="")*(N$3:N$102="")*(M$3:M$102="P")*(G$3:G$102=G45)*(J$3:J$102&gt;J45)*(I$3:I$102="P"))+IF(H45="L5",SUMPRODUCT((P$3:P$102="")*(O$3:O$102="")*(N$3:N$102="")*(M$3:M$102="P")*(G$3:G$102=G45)*(J$3:J$102&lt;J45)*(H$3:H$102&lt;&gt;H45)*(I$3:I$102="P")),-1*SUMPRODUCT((P$3:P$102="")*(O$3:O$102="")*(N$3:N$102="")*(M$3:M$102="P")*(G$3:G$102=G45)*(J$3:J$102&gt;J45)*(H$3:H$102="L5")*(I$3:I$102="P")))+1,"")))))</f>
        <v/>
      </c>
      <c r="B45" s="1" t="str" cm="1">
        <f t="array" ref="B45">IF(P45&lt;&gt;"",SUMPRODUCT((P$3:P$102&lt;&gt;"")*(G$3:G$102=G45)*(J$3:J$102&gt;J45))+1,IF(O45&lt;&gt;"",SUMPRODUCT((O$3:O$102&lt;&gt;"")*(P$3:P$102="")*(G$3:G$102=G45)*(J$3:J$102&gt;J45))+SUMPRODUCT((P$3:P$102&lt;&gt;"")*(G$3:G$102=G45))+1,IF(N45&lt;&gt;"",SUMPRODUCT((N$3:N$102&lt;&gt;"")*(G$3:G$102=G45)*(J$3:J$102&gt;J45))+1,IF(M45="P",SUMPRODUCT((O$3:O$102&lt;&gt;"")*(P$3:P$102="")*(G$3:G$102=G45))+SUMPRODUCT((P$3:P$102&lt;&gt;"")*(G$3:G$102=G45))+SUMPRODUCT((N$3:N$102&lt;&gt;"")*(G$3:G$102=G45))+SUMPRODUCT((P$3:P$102="")*(O$3:O$102="")*(N$3:N$102="")*(M$3:M$102="P")*(G$3:G$102=G45)*(J$3:J$102&gt;J45))+IF(H45="L5",SUMPRODUCT((P$3:P$102="")*(O$3:O$102="")*(N$3:N$102="")*(M$3:M$102="P")*(G$3:G$102=G45)*(J$3:J$102&lt;J45)*(H$3:H$102&lt;&gt;H45)),-1*SUMPRODUCT((P$3:P$102="")*(O$3:O$102="")*(N$3:N$102="")*(M$3:M$102="P")*(G$3:G$102=G45)*(J$3:J$102&gt;J45)*(H$3:H$102="L5")))+1,""))))</f>
        <v/>
      </c>
      <c r="C45" s="35" t="s">
        <v>238</v>
      </c>
      <c r="D45" t="str">
        <f>IF(E45="","",VLOOKUP(E45,'Coaching Points'!A:B,2,0))</f>
        <v>SK</v>
      </c>
      <c r="E45" s="35" t="s">
        <v>58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R45+S45+IF(OR(H45="Junior",H45="Senior"),0.0002,IF(OR(H45="L7",H45="L6"),0.0001,0))+IF(G45="17-21",MAX(AA45,AC45,AF45),AE45)*0.0000001</f>
        <v>81.140104309000009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43.09</v>
      </c>
      <c r="S45" s="4">
        <f>IF(G45="17-21",LARGE(CHOOSE({1,2,3,4,5,6},T45,V45,Y45,AA45,AC45,AF45),2),IF(R45=X45,MAX(Y45,AA45,AC45,AF45),IF(R45=AE45,MAX(AF45,T45,V45,Y45),0)))</f>
        <v>38.049999999999997</v>
      </c>
      <c r="T45" s="32">
        <v>38.049999999999997</v>
      </c>
      <c r="U45" s="37">
        <v>0</v>
      </c>
      <c r="V45" s="33">
        <v>30.22</v>
      </c>
      <c r="W45" s="37">
        <v>6.8</v>
      </c>
      <c r="X45" s="4">
        <f>IF(H45="Senior",MAX(T45,V45),T45+V45)</f>
        <v>68.27</v>
      </c>
      <c r="Y45" s="33"/>
      <c r="Z45" s="37"/>
      <c r="AA45" s="32">
        <v>37.14</v>
      </c>
      <c r="AB45" s="37">
        <v>0</v>
      </c>
      <c r="AC45" s="33">
        <v>43.09</v>
      </c>
      <c r="AD45" s="37">
        <v>9</v>
      </c>
      <c r="AE45" s="4">
        <f>IF(H45="Senior",MAX(AA45,AC45),AA45+AC45)</f>
        <v>80.23</v>
      </c>
      <c r="AF45" s="33"/>
      <c r="AG45" s="37"/>
    </row>
    <row r="46" spans="1:33" x14ac:dyDescent="0.2">
      <c r="A46" s="1" t="str" cm="1">
        <f t="array" ref="A46">IF(I46="","",IF(P46&lt;&gt;"",SUMPRODUCT((P$3:P$102&lt;&gt;"")*(G$3:G$102=G46)*(J$3:J$102&gt;J46)*(I$3:I$102="P"))+1,IF(O46&lt;&gt;"",SUMPRODUCT((O$3:O$102&lt;&gt;"")*(P$3:P$102="")*(G$3:G$102=G46)*(J$3:J$102&gt;J46)*(I$3:I$102="P"))+SUMPRODUCT((P$3:P$102&lt;&gt;"")*(G$3:G$102=G46)*(I$3:I$102="P"))+1,IF(N46&lt;&gt;"",SUMPRODUCT((N$3:N$102&lt;&gt;"")*(G$3:G$102=G46)*(J$3:J$102&gt;J46)*(I$3:I$102="P"))+1,IF(M46="P",SUMPRODUCT((O$3:O$102&lt;&gt;"")*(P$3:P$102="")*(G$3:G$102=G46)*(I$3:I$102="P"))+SUMPRODUCT((P$3:P$102&lt;&gt;"")*(G$3:G$102=G46)*(I$3:I$102="P"))+SUMPRODUCT((N$3:N$102&lt;&gt;"")*(G$3:G$102=G46)*(I$3:I$102="P"))+SUMPRODUCT((P$3:P$102="")*(O$3:O$102="")*(N$3:N$102="")*(M$3:M$102="P")*(G$3:G$102=G46)*(J$3:J$102&gt;J46)*(I$3:I$102="P"))+IF(H46="L5",SUMPRODUCT((P$3:P$102="")*(O$3:O$102="")*(N$3:N$102="")*(M$3:M$102="P")*(G$3:G$102=G46)*(J$3:J$102&lt;J46)*(H$3:H$102&lt;&gt;H46)*(I$3:I$102="P")),-1*SUMPRODUCT((P$3:P$102="")*(O$3:O$102="")*(N$3:N$102="")*(M$3:M$102="P")*(G$3:G$102=G46)*(J$3:J$102&gt;J46)*(H$3:H$102="L5")*(I$3:I$102="P")))+1,"")))))</f>
        <v/>
      </c>
      <c r="B46" s="1" t="str" cm="1">
        <f t="array" ref="B46">IF(P46&lt;&gt;"",SUMPRODUCT((P$3:P$102&lt;&gt;"")*(G$3:G$102=G46)*(J$3:J$102&gt;J46))+1,IF(O46&lt;&gt;"",SUMPRODUCT((O$3:O$102&lt;&gt;"")*(P$3:P$102="")*(G$3:G$102=G46)*(J$3:J$102&gt;J46))+SUMPRODUCT((P$3:P$102&lt;&gt;"")*(G$3:G$102=G46))+1,IF(N46&lt;&gt;"",SUMPRODUCT((N$3:N$102&lt;&gt;"")*(G$3:G$102=G46)*(J$3:J$102&gt;J46))+1,IF(M46="P",SUMPRODUCT((O$3:O$102&lt;&gt;"")*(P$3:P$102="")*(G$3:G$102=G46))+SUMPRODUCT((P$3:P$102&lt;&gt;"")*(G$3:G$102=G46))+SUMPRODUCT((N$3:N$102&lt;&gt;"")*(G$3:G$102=G46))+SUMPRODUCT((P$3:P$102="")*(O$3:O$102="")*(N$3:N$102="")*(M$3:M$102="P")*(G$3:G$102=G46)*(J$3:J$102&gt;J46))+IF(H46="L5",SUMPRODUCT((P$3:P$102="")*(O$3:O$102="")*(N$3:N$102="")*(M$3:M$102="P")*(G$3:G$102=G46)*(J$3:J$102&lt;J46)*(H$3:H$102&lt;&gt;H46)),-1*SUMPRODUCT((P$3:P$102="")*(O$3:O$102="")*(N$3:N$102="")*(M$3:M$102="P")*(G$3:G$102=G46)*(J$3:J$102&gt;J46)*(H$3:H$102="L5")))+1,""))))</f>
        <v/>
      </c>
      <c r="C46" s="35" t="s">
        <v>272</v>
      </c>
      <c r="D46" t="str">
        <f>IF(E46="","",VLOOKUP(E46,'Coaching Points'!A:B,2,0))</f>
        <v>BC</v>
      </c>
      <c r="E46" s="35" t="s">
        <v>40</v>
      </c>
      <c r="F46" s="34">
        <v>2008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R46+S46+IF(OR(H46="Junior",H46="Senior"),0.0002,IF(OR(H46="L7",H46="L6"),0.0001,0))+IF(G46="17-21",MAX(AA46,AC46,AF46),AE46)*0.0000001</f>
        <v>80.320003674999995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43.57</v>
      </c>
      <c r="S46" s="4">
        <f>IF(G46="17-21",LARGE(CHOOSE({1,2,3,4,5,6},T46,V46,Y46,AA46,AC46,AF46),2),IF(R46=X46,MAX(Y46,AA46,AC46,AF46),IF(R46=AE46,MAX(AF46,T46,V46,Y46),0)))</f>
        <v>36.75</v>
      </c>
      <c r="T46" s="32">
        <v>35.03</v>
      </c>
      <c r="U46" s="37">
        <v>0</v>
      </c>
      <c r="V46" s="33">
        <v>43.57</v>
      </c>
      <c r="W46" s="37">
        <v>9</v>
      </c>
      <c r="X46" s="4">
        <f>IF(H46="Senior",MAX(T46,V46),T46+V46)</f>
        <v>78.599999999999994</v>
      </c>
      <c r="Y46" s="33"/>
      <c r="Z46" s="37"/>
      <c r="AA46" s="32">
        <v>36.75</v>
      </c>
      <c r="AB46" s="37">
        <v>0</v>
      </c>
      <c r="AC46" s="33">
        <v>9.74</v>
      </c>
      <c r="AD46" s="37">
        <v>2.4</v>
      </c>
      <c r="AE46" s="4">
        <f>IF(H46="Senior",MAX(AA46,AC46),AA46+AC46)</f>
        <v>46.49</v>
      </c>
      <c r="AF46" s="33"/>
      <c r="AG46" s="37"/>
    </row>
    <row r="47" spans="1:33" x14ac:dyDescent="0.2">
      <c r="A47" s="1" t="str" cm="1">
        <f t="array" ref="A47">IF(I47="","",IF(P47&lt;&gt;"",SUMPRODUCT((P$3:P$102&lt;&gt;"")*(G$3:G$102=G47)*(J$3:J$102&gt;J47)*(I$3:I$102="P"))+1,IF(O47&lt;&gt;"",SUMPRODUCT((O$3:O$102&lt;&gt;"")*(P$3:P$102="")*(G$3:G$102=G47)*(J$3:J$102&gt;J47)*(I$3:I$102="P"))+SUMPRODUCT((P$3:P$102&lt;&gt;"")*(G$3:G$102=G47)*(I$3:I$102="P"))+1,IF(N47&lt;&gt;"",SUMPRODUCT((N$3:N$102&lt;&gt;"")*(G$3:G$102=G47)*(J$3:J$102&gt;J47)*(I$3:I$102="P"))+1,IF(M47="P",SUMPRODUCT((O$3:O$102&lt;&gt;"")*(P$3:P$102="")*(G$3:G$102=G47)*(I$3:I$102="P"))+SUMPRODUCT((P$3:P$102&lt;&gt;"")*(G$3:G$102=G47)*(I$3:I$102="P"))+SUMPRODUCT((N$3:N$102&lt;&gt;"")*(G$3:G$102=G47)*(I$3:I$102="P"))+SUMPRODUCT((P$3:P$102="")*(O$3:O$102="")*(N$3:N$102="")*(M$3:M$102="P")*(G$3:G$102=G47)*(J$3:J$102&gt;J47)*(I$3:I$102="P"))+IF(H47="L5",SUMPRODUCT((P$3:P$102="")*(O$3:O$102="")*(N$3:N$102="")*(M$3:M$102="P")*(G$3:G$102=G47)*(J$3:J$102&lt;J47)*(H$3:H$102&lt;&gt;H47)*(I$3:I$102="P")),-1*SUMPRODUCT((P$3:P$102="")*(O$3:O$102="")*(N$3:N$102="")*(M$3:M$102="P")*(G$3:G$102=G47)*(J$3:J$102&gt;J47)*(H$3:H$102="L5")*(I$3:I$102="P")))+1,"")))))</f>
        <v/>
      </c>
      <c r="B47" s="1" t="str" cm="1">
        <f t="array" ref="B47">IF(P47&lt;&gt;"",SUMPRODUCT((P$3:P$102&lt;&gt;"")*(G$3:G$102=G47)*(J$3:J$102&gt;J47))+1,IF(O47&lt;&gt;"",SUMPRODUCT((O$3:O$102&lt;&gt;"")*(P$3:P$102="")*(G$3:G$102=G47)*(J$3:J$102&gt;J47))+SUMPRODUCT((P$3:P$102&lt;&gt;"")*(G$3:G$102=G47))+1,IF(N47&lt;&gt;"",SUMPRODUCT((N$3:N$102&lt;&gt;"")*(G$3:G$102=G47)*(J$3:J$102&gt;J47))+1,IF(M47="P",SUMPRODUCT((O$3:O$102&lt;&gt;"")*(P$3:P$102="")*(G$3:G$102=G47))+SUMPRODUCT((P$3:P$102&lt;&gt;"")*(G$3:G$102=G47))+SUMPRODUCT((N$3:N$102&lt;&gt;"")*(G$3:G$102=G47))+SUMPRODUCT((P$3:P$102="")*(O$3:O$102="")*(N$3:N$102="")*(M$3:M$102="P")*(G$3:G$102=G47)*(J$3:J$102&gt;J47))+IF(H47="L5",SUMPRODUCT((P$3:P$102="")*(O$3:O$102="")*(N$3:N$102="")*(M$3:M$102="P")*(G$3:G$102=G47)*(J$3:J$102&lt;J47)*(H$3:H$102&lt;&gt;H47)),-1*SUMPRODUCT((P$3:P$102="")*(O$3:O$102="")*(N$3:N$102="")*(M$3:M$102="P")*(G$3:G$102=G47)*(J$3:J$102&gt;J47)*(H$3:H$102="L5")))+1,""))))</f>
        <v/>
      </c>
      <c r="C47" s="35" t="s">
        <v>269</v>
      </c>
      <c r="D47" t="str">
        <f>IF(E47="","",VLOOKUP(E47,'Coaching Points'!A:B,2,0))</f>
        <v>SK</v>
      </c>
      <c r="E47" s="35" t="s">
        <v>58</v>
      </c>
      <c r="F47" s="34">
        <v>2008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R47+S47+IF(OR(H47="Junior",H47="Senior"),0.0002,IF(OR(H47="L7",H47="L6"),0.0001,0))+IF(G47="17-21",MAX(AA47,AC47,AF47),AE47)*0.0000001</f>
        <v>79.91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43.9</v>
      </c>
      <c r="S47" s="4">
        <f>IF(G47="17-21",LARGE(CHOOSE({1,2,3,4,5,6},T47,V47,Y47,AA47,AC47,AF47),2),IF(R47=X47,MAX(Y47,AA47,AC47,AF47),IF(R47=AE47,MAX(AF47,T47,V47,Y47),0)))</f>
        <v>36.01</v>
      </c>
      <c r="T47" s="32">
        <v>36.01</v>
      </c>
      <c r="U47" s="37">
        <v>0</v>
      </c>
      <c r="V47" s="33">
        <v>43.9</v>
      </c>
      <c r="W47" s="37">
        <v>8.6</v>
      </c>
      <c r="X47" s="4">
        <f>IF(H47="Senior",MAX(T47,V47),T47+V47)</f>
        <v>79.91</v>
      </c>
      <c r="Y47" s="33"/>
      <c r="Z47" s="37"/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$102&lt;&gt;"")*(G$3:G$102=G48)*(J$3:J$102&gt;J48)*(I$3:I$102="P"))+1,IF(O48&lt;&gt;"",SUMPRODUCT((O$3:O$102&lt;&gt;"")*(P$3:P$102="")*(G$3:G$102=G48)*(J$3:J$102&gt;J48)*(I$3:I$102="P"))+SUMPRODUCT((P$3:P$102&lt;&gt;"")*(G$3:G$102=G48)*(I$3:I$102="P"))+1,IF(N48&lt;&gt;"",SUMPRODUCT((N$3:N$102&lt;&gt;"")*(G$3:G$102=G48)*(J$3:J$102&gt;J48)*(I$3:I$102="P"))+1,IF(M48="P",SUMPRODUCT((O$3:O$102&lt;&gt;"")*(P$3:P$102="")*(G$3:G$102=G48)*(I$3:I$102="P"))+SUMPRODUCT((P$3:P$102&lt;&gt;"")*(G$3:G$102=G48)*(I$3:I$102="P"))+SUMPRODUCT((N$3:N$102&lt;&gt;"")*(G$3:G$102=G48)*(I$3:I$102="P"))+SUMPRODUCT((P$3:P$102="")*(O$3:O$102="")*(N$3:N$102="")*(M$3:M$102="P")*(G$3:G$102=G48)*(J$3:J$102&gt;J48)*(I$3:I$102="P"))+IF(H48="L5",SUMPRODUCT((P$3:P$102="")*(O$3:O$102="")*(N$3:N$102="")*(M$3:M$102="P")*(G$3:G$102=G48)*(J$3:J$102&lt;J48)*(H$3:H$102&lt;&gt;H48)*(I$3:I$102="P")),-1*SUMPRODUCT((P$3:P$102="")*(O$3:O$102="")*(N$3:N$102="")*(M$3:M$102="P")*(G$3:G$102=G48)*(J$3:J$102&gt;J48)*(H$3:H$102="L5")*(I$3:I$102="P")))+1,"")))))</f>
        <v/>
      </c>
      <c r="B48" s="1" t="str" cm="1">
        <f t="array" ref="B48">IF(P48&lt;&gt;"",SUMPRODUCT((P$3:P$102&lt;&gt;"")*(G$3:G$102=G48)*(J$3:J$102&gt;J48))+1,IF(O48&lt;&gt;"",SUMPRODUCT((O$3:O$102&lt;&gt;"")*(P$3:P$102="")*(G$3:G$102=G48)*(J$3:J$102&gt;J48))+SUMPRODUCT((P$3:P$102&lt;&gt;"")*(G$3:G$102=G48))+1,IF(N48&lt;&gt;"",SUMPRODUCT((N$3:N$102&lt;&gt;"")*(G$3:G$102=G48)*(J$3:J$102&gt;J48))+1,IF(M48="P",SUMPRODUCT((O$3:O$102&lt;&gt;"")*(P$3:P$102="")*(G$3:G$102=G48))+SUMPRODUCT((P$3:P$102&lt;&gt;"")*(G$3:G$102=G48))+SUMPRODUCT((N$3:N$102&lt;&gt;"")*(G$3:G$102=G48))+SUMPRODUCT((P$3:P$102="")*(O$3:O$102="")*(N$3:N$102="")*(M$3:M$102="P")*(G$3:G$102=G48)*(J$3:J$102&gt;J48))+IF(H48="L5",SUMPRODUCT((P$3:P$102="")*(O$3:O$102="")*(N$3:N$102="")*(M$3:M$102="P")*(G$3:G$102=G48)*(J$3:J$102&lt;J48)*(H$3:H$102&lt;&gt;H48)),-1*SUMPRODUCT((P$3:P$102="")*(O$3:O$102="")*(N$3:N$102="")*(M$3:M$102="P")*(G$3:G$102=G48)*(J$3:J$102&gt;J48)*(H$3:H$102="L5")))+1,""))))</f>
        <v/>
      </c>
      <c r="C48" s="35" t="s">
        <v>273</v>
      </c>
      <c r="D48" t="str">
        <f>IF(E48="","",VLOOKUP(E48,'Coaching Points'!A:B,2,0))</f>
        <v>QC</v>
      </c>
      <c r="E48" s="35" t="s">
        <v>174</v>
      </c>
      <c r="F48" s="34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R48+S48+IF(OR(H48="Junior",H48="Senior"),0.0002,IF(OR(H48="L7",H48="L6"),0.0001,0))+IF(G48="17-21",MAX(AA48,AC48,AF48),AE48)*0.0000001</f>
        <v>79.500003957000004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39.93</v>
      </c>
      <c r="S48" s="4">
        <f>IF(G48="17-21",LARGE(CHOOSE({1,2,3,4,5,6},T48,V48,Y48,AA48,AC48,AF48),2),IF(R48=X48,MAX(Y48,AA48,AC48,AF48),IF(R48=AE48,MAX(AF48,T48,V48,Y48),0)))</f>
        <v>39.57</v>
      </c>
      <c r="T48" s="32">
        <v>39.93</v>
      </c>
      <c r="U48" s="37">
        <v>0</v>
      </c>
      <c r="V48" s="33">
        <v>37.18</v>
      </c>
      <c r="W48" s="37">
        <v>6.5</v>
      </c>
      <c r="X48" s="4">
        <f>IF(H48="Senior",MAX(T48,V48),T48+V48)</f>
        <v>77.11</v>
      </c>
      <c r="Y48" s="33"/>
      <c r="Z48" s="37"/>
      <c r="AA48" s="32">
        <v>39.57</v>
      </c>
      <c r="AB48" s="37">
        <v>0</v>
      </c>
      <c r="AC48" s="33">
        <v>19.32</v>
      </c>
      <c r="AD48" s="37">
        <v>4.0999999999999996</v>
      </c>
      <c r="AE48" s="4">
        <f>IF(H48="Senior",MAX(AA48,AC48),AA48+AC48)</f>
        <v>58.89</v>
      </c>
      <c r="AF48" s="33"/>
      <c r="AG48" s="37"/>
    </row>
    <row r="49" spans="1:33" x14ac:dyDescent="0.2">
      <c r="A49" s="1" t="str" cm="1">
        <f t="array" ref="A49">IF(I49="","",IF(P49&lt;&gt;"",SUMPRODUCT((P$3:P$102&lt;&gt;"")*(G$3:G$102=G49)*(J$3:J$102&gt;J49)*(I$3:I$102="P"))+1,IF(O49&lt;&gt;"",SUMPRODUCT((O$3:O$102&lt;&gt;"")*(P$3:P$102="")*(G$3:G$102=G49)*(J$3:J$102&gt;J49)*(I$3:I$102="P"))+SUMPRODUCT((P$3:P$102&lt;&gt;"")*(G$3:G$102=G49)*(I$3:I$102="P"))+1,IF(N49&lt;&gt;"",SUMPRODUCT((N$3:N$102&lt;&gt;"")*(G$3:G$102=G49)*(J$3:J$102&gt;J49)*(I$3:I$102="P"))+1,IF(M49="P",SUMPRODUCT((O$3:O$102&lt;&gt;"")*(P$3:P$102="")*(G$3:G$102=G49)*(I$3:I$102="P"))+SUMPRODUCT((P$3:P$102&lt;&gt;"")*(G$3:G$102=G49)*(I$3:I$102="P"))+SUMPRODUCT((N$3:N$102&lt;&gt;"")*(G$3:G$102=G49)*(I$3:I$102="P"))+SUMPRODUCT((P$3:P$102="")*(O$3:O$102="")*(N$3:N$102="")*(M$3:M$102="P")*(G$3:G$102=G49)*(J$3:J$102&gt;J49)*(I$3:I$102="P"))+IF(H49="L5",SUMPRODUCT((P$3:P$102="")*(O$3:O$102="")*(N$3:N$102="")*(M$3:M$102="P")*(G$3:G$102=G49)*(J$3:J$102&lt;J49)*(H$3:H$102&lt;&gt;H49)*(I$3:I$102="P")),-1*SUMPRODUCT((P$3:P$102="")*(O$3:O$102="")*(N$3:N$102="")*(M$3:M$102="P")*(G$3:G$102=G49)*(J$3:J$102&gt;J49)*(H$3:H$102="L5")*(I$3:I$102="P")))+1,"")))))</f>
        <v/>
      </c>
      <c r="B49" s="1" t="str" cm="1">
        <f t="array" ref="B49">IF(P49&lt;&gt;"",SUMPRODUCT((P$3:P$102&lt;&gt;"")*(G$3:G$102=G49)*(J$3:J$102&gt;J49))+1,IF(O49&lt;&gt;"",SUMPRODUCT((O$3:O$102&lt;&gt;"")*(P$3:P$102="")*(G$3:G$102=G49)*(J$3:J$102&gt;J49))+SUMPRODUCT((P$3:P$102&lt;&gt;"")*(G$3:G$102=G49))+1,IF(N49&lt;&gt;"",SUMPRODUCT((N$3:N$102&lt;&gt;"")*(G$3:G$102=G49)*(J$3:J$102&gt;J49))+1,IF(M49="P",SUMPRODUCT((O$3:O$102&lt;&gt;"")*(P$3:P$102="")*(G$3:G$102=G49))+SUMPRODUCT((P$3:P$102&lt;&gt;"")*(G$3:G$102=G49))+SUMPRODUCT((N$3:N$102&lt;&gt;"")*(G$3:G$102=G49))+SUMPRODUCT((P$3:P$102="")*(O$3:O$102="")*(N$3:N$102="")*(M$3:M$102="P")*(G$3:G$102=G49)*(J$3:J$102&gt;J49))+IF(H49="L5",SUMPRODUCT((P$3:P$102="")*(O$3:O$102="")*(N$3:N$102="")*(M$3:M$102="P")*(G$3:G$102=G49)*(J$3:J$102&lt;J49)*(H$3:H$102&lt;&gt;H49)),-1*SUMPRODUCT((P$3:P$102="")*(O$3:O$102="")*(N$3:N$102="")*(M$3:M$102="P")*(G$3:G$102=G49)*(J$3:J$102&gt;J49)*(H$3:H$102="L5")))+1,""))))</f>
        <v/>
      </c>
      <c r="C49" s="35" t="s">
        <v>424</v>
      </c>
      <c r="D49" t="str">
        <f>IF(E49="","",VLOOKUP(E49,'Coaching Points'!A:B,2,0))</f>
        <v>NS</v>
      </c>
      <c r="E49" s="35" t="s">
        <v>86</v>
      </c>
      <c r="F49" s="34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>R49+S49+IF(OR(H49="Junior",H49="Senior"),0.0002,IF(OR(H49="L7",H49="L6"),0.0001,0))+IF(G49="17-21",MAX(AA49,AC49,AF49),AE49)*0.0000001</f>
        <v>78.660004521999994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45.22</v>
      </c>
      <c r="S49" s="4">
        <f>IF(G49="17-21",LARGE(CHOOSE({1,2,3,4,5,6},T49,V49,Y49,AA49,AC49,AF49),2),IF(R49=X49,MAX(Y49,AA49,AC49,AF49),IF(R49=AE49,MAX(AF49,T49,V49,Y49),0)))</f>
        <v>33.44</v>
      </c>
      <c r="T49" s="32"/>
      <c r="U49" s="37"/>
      <c r="V49" s="33"/>
      <c r="W49" s="37"/>
      <c r="X49" s="4">
        <f>IF(H49="Senior",MAX(T49,V49),T49+V49)</f>
        <v>0</v>
      </c>
      <c r="Y49" s="33"/>
      <c r="Z49" s="37"/>
      <c r="AA49" s="32">
        <v>33.44</v>
      </c>
      <c r="AB49" s="37">
        <v>0</v>
      </c>
      <c r="AC49" s="33">
        <v>45.22</v>
      </c>
      <c r="AD49" s="37">
        <v>7.9</v>
      </c>
      <c r="AE49" s="4">
        <f>IF(H49="Senior",MAX(AA49,AC49),AA49+AC49)</f>
        <v>78.66</v>
      </c>
      <c r="AF49" s="33"/>
      <c r="AG49" s="37"/>
    </row>
    <row r="50" spans="1:33" x14ac:dyDescent="0.2">
      <c r="A50" s="1" t="str" cm="1">
        <f t="array" ref="A50">IF(I50="","",IF(P50&lt;&gt;"",SUMPRODUCT((P$3:P$102&lt;&gt;"")*(G$3:G$102=G50)*(J$3:J$102&gt;J50)*(I$3:I$102="P"))+1,IF(O50&lt;&gt;"",SUMPRODUCT((O$3:O$102&lt;&gt;"")*(P$3:P$102="")*(G$3:G$102=G50)*(J$3:J$102&gt;J50)*(I$3:I$102="P"))+SUMPRODUCT((P$3:P$102&lt;&gt;"")*(G$3:G$102=G50)*(I$3:I$102="P"))+1,IF(N50&lt;&gt;"",SUMPRODUCT((N$3:N$102&lt;&gt;"")*(G$3:G$102=G50)*(J$3:J$102&gt;J50)*(I$3:I$102="P"))+1,IF(M50="P",SUMPRODUCT((O$3:O$102&lt;&gt;"")*(P$3:P$102="")*(G$3:G$102=G50)*(I$3:I$102="P"))+SUMPRODUCT((P$3:P$102&lt;&gt;"")*(G$3:G$102=G50)*(I$3:I$102="P"))+SUMPRODUCT((N$3:N$102&lt;&gt;"")*(G$3:G$102=G50)*(I$3:I$102="P"))+SUMPRODUCT((P$3:P$102="")*(O$3:O$102="")*(N$3:N$102="")*(M$3:M$102="P")*(G$3:G$102=G50)*(J$3:J$102&gt;J50)*(I$3:I$102="P"))+IF(H50="L5",SUMPRODUCT((P$3:P$102="")*(O$3:O$102="")*(N$3:N$102="")*(M$3:M$102="P")*(G$3:G$102=G50)*(J$3:J$102&lt;J50)*(H$3:H$102&lt;&gt;H50)*(I$3:I$102="P")),-1*SUMPRODUCT((P$3:P$102="")*(O$3:O$102="")*(N$3:N$102="")*(M$3:M$102="P")*(G$3:G$102=G50)*(J$3:J$102&gt;J50)*(H$3:H$102="L5")*(I$3:I$102="P")))+1,"")))))</f>
        <v/>
      </c>
      <c r="B50" s="1" t="str" cm="1">
        <f t="array" ref="B50">IF(P50&lt;&gt;"",SUMPRODUCT((P$3:P$102&lt;&gt;"")*(G$3:G$102=G50)*(J$3:J$102&gt;J50))+1,IF(O50&lt;&gt;"",SUMPRODUCT((O$3:O$102&lt;&gt;"")*(P$3:P$102="")*(G$3:G$102=G50)*(J$3:J$102&gt;J50))+SUMPRODUCT((P$3:P$102&lt;&gt;"")*(G$3:G$102=G50))+1,IF(N50&lt;&gt;"",SUMPRODUCT((N$3:N$102&lt;&gt;"")*(G$3:G$102=G50)*(J$3:J$102&gt;J50))+1,IF(M50="P",SUMPRODUCT((O$3:O$102&lt;&gt;"")*(P$3:P$102="")*(G$3:G$102=G50))+SUMPRODUCT((P$3:P$102&lt;&gt;"")*(G$3:G$102=G50))+SUMPRODUCT((N$3:N$102&lt;&gt;"")*(G$3:G$102=G50))+SUMPRODUCT((P$3:P$102="")*(O$3:O$102="")*(N$3:N$102="")*(M$3:M$102="P")*(G$3:G$102=G50)*(J$3:J$102&gt;J50))+IF(H50="L5",SUMPRODUCT((P$3:P$102="")*(O$3:O$102="")*(N$3:N$102="")*(M$3:M$102="P")*(G$3:G$102=G50)*(J$3:J$102&lt;J50)*(H$3:H$102&lt;&gt;H50)),-1*SUMPRODUCT((P$3:P$102="")*(O$3:O$102="")*(N$3:N$102="")*(M$3:M$102="P")*(G$3:G$102=G50)*(J$3:J$102&gt;J50)*(H$3:H$102="L5")))+1,""))))</f>
        <v/>
      </c>
      <c r="C50" s="35" t="s">
        <v>425</v>
      </c>
      <c r="D50" t="str">
        <f>IF(E50="","",VLOOKUP(E50,'Coaching Points'!A:B,2,0))</f>
        <v>ON</v>
      </c>
      <c r="E50" s="35" t="s">
        <v>84</v>
      </c>
      <c r="F50" s="34">
        <v>2007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77.590004133999997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41.34</v>
      </c>
      <c r="S50" s="4">
        <f>IF(G50="17-21",LARGE(CHOOSE({1,2,3,4,5,6},T50,V50,Y50,AA50,AC50,AF50),2),IF(R50=X50,MAX(Y50,AA50,AC50,AF50),IF(R50=AE50,MAX(AF50,T50,V50,Y50),0)))</f>
        <v>36.25</v>
      </c>
      <c r="T50" s="32"/>
      <c r="U50" s="37"/>
      <c r="V50" s="33"/>
      <c r="W50" s="37"/>
      <c r="X50" s="4">
        <f>IF(H50="Senior",MAX(T50,V50),T50+V50)</f>
        <v>0</v>
      </c>
      <c r="Y50" s="33"/>
      <c r="Z50" s="37"/>
      <c r="AA50" s="32">
        <v>36.25</v>
      </c>
      <c r="AB50" s="37">
        <v>0</v>
      </c>
      <c r="AC50" s="33">
        <v>41.34</v>
      </c>
      <c r="AD50" s="37">
        <v>8</v>
      </c>
      <c r="AE50" s="4">
        <f>IF(H50="Senior",MAX(AA50,AC50),AA50+AC50)</f>
        <v>77.59</v>
      </c>
      <c r="AF50" s="33"/>
      <c r="AG50" s="37"/>
    </row>
    <row r="51" spans="1:33" x14ac:dyDescent="0.2">
      <c r="A51" s="1" t="str" cm="1">
        <f t="array" ref="A51">IF(I51="","",IF(P51&lt;&gt;"",SUMPRODUCT((P$3:P$102&lt;&gt;"")*(G$3:G$102=G51)*(J$3:J$102&gt;J51)*(I$3:I$102="P"))+1,IF(O51&lt;&gt;"",SUMPRODUCT((O$3:O$102&lt;&gt;"")*(P$3:P$102="")*(G$3:G$102=G51)*(J$3:J$102&gt;J51)*(I$3:I$102="P"))+SUMPRODUCT((P$3:P$102&lt;&gt;"")*(G$3:G$102=G51)*(I$3:I$102="P"))+1,IF(N51&lt;&gt;"",SUMPRODUCT((N$3:N$102&lt;&gt;"")*(G$3:G$102=G51)*(J$3:J$102&gt;J51)*(I$3:I$102="P"))+1,IF(M51="P",SUMPRODUCT((O$3:O$102&lt;&gt;"")*(P$3:P$102="")*(G$3:G$102=G51)*(I$3:I$102="P"))+SUMPRODUCT((P$3:P$102&lt;&gt;"")*(G$3:G$102=G51)*(I$3:I$102="P"))+SUMPRODUCT((N$3:N$102&lt;&gt;"")*(G$3:G$102=G51)*(I$3:I$102="P"))+SUMPRODUCT((P$3:P$102="")*(O$3:O$102="")*(N$3:N$102="")*(M$3:M$102="P")*(G$3:G$102=G51)*(J$3:J$102&gt;J51)*(I$3:I$102="P"))+IF(H51="L5",SUMPRODUCT((P$3:P$102="")*(O$3:O$102="")*(N$3:N$102="")*(M$3:M$102="P")*(G$3:G$102=G51)*(J$3:J$102&lt;J51)*(H$3:H$102&lt;&gt;H51)*(I$3:I$102="P")),-1*SUMPRODUCT((P$3:P$102="")*(O$3:O$102="")*(N$3:N$102="")*(M$3:M$102="P")*(G$3:G$102=G51)*(J$3:J$102&gt;J51)*(H$3:H$102="L5")*(I$3:I$102="P")))+1,"")))))</f>
        <v/>
      </c>
      <c r="B51" s="1" t="str" cm="1">
        <f t="array" ref="B51">IF(P51&lt;&gt;"",SUMPRODUCT((P$3:P$102&lt;&gt;"")*(G$3:G$102=G51)*(J$3:J$102&gt;J51))+1,IF(O51&lt;&gt;"",SUMPRODUCT((O$3:O$102&lt;&gt;"")*(P$3:P$102="")*(G$3:G$102=G51)*(J$3:J$102&gt;J51))+SUMPRODUCT((P$3:P$102&lt;&gt;"")*(G$3:G$102=G51))+1,IF(N51&lt;&gt;"",SUMPRODUCT((N$3:N$102&lt;&gt;"")*(G$3:G$102=G51)*(J$3:J$102&gt;J51))+1,IF(M51="P",SUMPRODUCT((O$3:O$102&lt;&gt;"")*(P$3:P$102="")*(G$3:G$102=G51))+SUMPRODUCT((P$3:P$102&lt;&gt;"")*(G$3:G$102=G51))+SUMPRODUCT((N$3:N$102&lt;&gt;"")*(G$3:G$102=G51))+SUMPRODUCT((P$3:P$102="")*(O$3:O$102="")*(N$3:N$102="")*(M$3:M$102="P")*(G$3:G$102=G51)*(J$3:J$102&gt;J51))+IF(H51="L5",SUMPRODUCT((P$3:P$102="")*(O$3:O$102="")*(N$3:N$102="")*(M$3:M$102="P")*(G$3:G$102=G51)*(J$3:J$102&lt;J51)*(H$3:H$102&lt;&gt;H51)),-1*SUMPRODUCT((P$3:P$102="")*(O$3:O$102="")*(N$3:N$102="")*(M$3:M$102="P")*(G$3:G$102=G51)*(J$3:J$102&gt;J51)*(H$3:H$102="L5")))+1,""))))</f>
        <v/>
      </c>
      <c r="C51" s="35" t="s">
        <v>274</v>
      </c>
      <c r="D51" t="str">
        <f>IF(E51="","",VLOOKUP(E51,'Coaching Points'!A:B,2,0))</f>
        <v>ON</v>
      </c>
      <c r="E51" s="35" t="s">
        <v>45</v>
      </c>
      <c r="F51" s="34">
        <v>2007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76.33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41.42</v>
      </c>
      <c r="S51" s="4">
        <f>IF(G51="17-21",LARGE(CHOOSE({1,2,3,4,5,6},T51,V51,Y51,AA51,AC51,AF51),2),IF(R51=X51,MAX(Y51,AA51,AC51,AF51),IF(R51=AE51,MAX(AF51,T51,V51,Y51),0)))</f>
        <v>34.909999999999997</v>
      </c>
      <c r="T51" s="32">
        <v>34.909999999999997</v>
      </c>
      <c r="U51" s="37">
        <v>0</v>
      </c>
      <c r="V51" s="33">
        <v>41.42</v>
      </c>
      <c r="W51" s="37">
        <v>7.8</v>
      </c>
      <c r="X51" s="4">
        <f>IF(H51="Senior",MAX(T51,V51),T51+V51)</f>
        <v>76.33</v>
      </c>
      <c r="Y51" s="33"/>
      <c r="Z51" s="37"/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$102&lt;&gt;"")*(G$3:G$102=G52)*(J$3:J$102&gt;J52)*(I$3:I$102="P"))+1,IF(O52&lt;&gt;"",SUMPRODUCT((O$3:O$102&lt;&gt;"")*(P$3:P$102="")*(G$3:G$102=G52)*(J$3:J$102&gt;J52)*(I$3:I$102="P"))+SUMPRODUCT((P$3:P$102&lt;&gt;"")*(G$3:G$102=G52)*(I$3:I$102="P"))+1,IF(N52&lt;&gt;"",SUMPRODUCT((N$3:N$102&lt;&gt;"")*(G$3:G$102=G52)*(J$3:J$102&gt;J52)*(I$3:I$102="P"))+1,IF(M52="P",SUMPRODUCT((O$3:O$102&lt;&gt;"")*(P$3:P$102="")*(G$3:G$102=G52)*(I$3:I$102="P"))+SUMPRODUCT((P$3:P$102&lt;&gt;"")*(G$3:G$102=G52)*(I$3:I$102="P"))+SUMPRODUCT((N$3:N$102&lt;&gt;"")*(G$3:G$102=G52)*(I$3:I$102="P"))+SUMPRODUCT((P$3:P$102="")*(O$3:O$102="")*(N$3:N$102="")*(M$3:M$102="P")*(G$3:G$102=G52)*(J$3:J$102&gt;J52)*(I$3:I$102="P"))+IF(H52="L5",SUMPRODUCT((P$3:P$102="")*(O$3:O$102="")*(N$3:N$102="")*(M$3:M$102="P")*(G$3:G$102=G52)*(J$3:J$102&lt;J52)*(H$3:H$102&lt;&gt;H52)*(I$3:I$102="P")),-1*SUMPRODUCT((P$3:P$102="")*(O$3:O$102="")*(N$3:N$102="")*(M$3:M$102="P")*(G$3:G$102=G52)*(J$3:J$102&gt;J52)*(H$3:H$102="L5")*(I$3:I$102="P")))+1,"")))))</f>
        <v/>
      </c>
      <c r="B52" s="1" t="str" cm="1">
        <f t="array" ref="B52">IF(P52&lt;&gt;"",SUMPRODUCT((P$3:P$102&lt;&gt;"")*(G$3:G$102=G52)*(J$3:J$102&gt;J52))+1,IF(O52&lt;&gt;"",SUMPRODUCT((O$3:O$102&lt;&gt;"")*(P$3:P$102="")*(G$3:G$102=G52)*(J$3:J$102&gt;J52))+SUMPRODUCT((P$3:P$102&lt;&gt;"")*(G$3:G$102=G52))+1,IF(N52&lt;&gt;"",SUMPRODUCT((N$3:N$102&lt;&gt;"")*(G$3:G$102=G52)*(J$3:J$102&gt;J52))+1,IF(M52="P",SUMPRODUCT((O$3:O$102&lt;&gt;"")*(P$3:P$102="")*(G$3:G$102=G52))+SUMPRODUCT((P$3:P$102&lt;&gt;"")*(G$3:G$102=G52))+SUMPRODUCT((N$3:N$102&lt;&gt;"")*(G$3:G$102=G52))+SUMPRODUCT((P$3:P$102="")*(O$3:O$102="")*(N$3:N$102="")*(M$3:M$102="P")*(G$3:G$102=G52)*(J$3:J$102&gt;J52))+IF(H52="L5",SUMPRODUCT((P$3:P$102="")*(O$3:O$102="")*(N$3:N$102="")*(M$3:M$102="P")*(G$3:G$102=G52)*(J$3:J$102&lt;J52)*(H$3:H$102&lt;&gt;H52)),-1*SUMPRODUCT((P$3:P$102="")*(O$3:O$102="")*(N$3:N$102="")*(M$3:M$102="P")*(G$3:G$102=G52)*(J$3:J$102&gt;J52)*(H$3:H$102="L5")))+1,""))))</f>
        <v/>
      </c>
      <c r="C52" s="35" t="s">
        <v>275</v>
      </c>
      <c r="D52" t="str">
        <f>IF(E52="","",VLOOKUP(E52,'Coaching Points'!A:B,2,0))</f>
        <v>BC</v>
      </c>
      <c r="E52" s="35" t="s">
        <v>60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214</v>
      </c>
      <c r="I52" s="40"/>
      <c r="J52" s="4">
        <f>R52+S52+IF(OR(H52="Junior",H52="Senior"),0.0002,IF(OR(H52="L7",H52="L6"),0.0001,0))+IF(G52="17-21",MAX(AA52,AC52,AF52),AE52)*0.0000001</f>
        <v>76.16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41.49</v>
      </c>
      <c r="S52" s="4">
        <f>IF(G52="17-21",LARGE(CHOOSE({1,2,3,4,5,6},T52,V52,Y52,AA52,AC52,AF52),2),IF(R52=X52,MAX(Y52,AA52,AC52,AF52),IF(R52=AE52,MAX(AF52,T52,V52,Y52),0)))</f>
        <v>34.67</v>
      </c>
      <c r="T52" s="32">
        <v>34.67</v>
      </c>
      <c r="U52" s="37">
        <v>0</v>
      </c>
      <c r="V52" s="33">
        <v>41.49</v>
      </c>
      <c r="W52" s="37">
        <v>8.6999999999999993</v>
      </c>
      <c r="X52" s="4">
        <f>IF(H52="Senior",MAX(T52,V52),T52+V52)</f>
        <v>76.16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$102&lt;&gt;"")*(G$3:G$102=G53)*(J$3:J$102&gt;J53)*(I$3:I$102="P"))+1,IF(O53&lt;&gt;"",SUMPRODUCT((O$3:O$102&lt;&gt;"")*(P$3:P$102="")*(G$3:G$102=G53)*(J$3:J$102&gt;J53)*(I$3:I$102="P"))+SUMPRODUCT((P$3:P$102&lt;&gt;"")*(G$3:G$102=G53)*(I$3:I$102="P"))+1,IF(N53&lt;&gt;"",SUMPRODUCT((N$3:N$102&lt;&gt;"")*(G$3:G$102=G53)*(J$3:J$102&gt;J53)*(I$3:I$102="P"))+1,IF(M53="P",SUMPRODUCT((O$3:O$102&lt;&gt;"")*(P$3:P$102="")*(G$3:G$102=G53)*(I$3:I$102="P"))+SUMPRODUCT((P$3:P$102&lt;&gt;"")*(G$3:G$102=G53)*(I$3:I$102="P"))+SUMPRODUCT((N$3:N$102&lt;&gt;"")*(G$3:G$102=G53)*(I$3:I$102="P"))+SUMPRODUCT((P$3:P$102="")*(O$3:O$102="")*(N$3:N$102="")*(M$3:M$102="P")*(G$3:G$102=G53)*(J$3:J$102&gt;J53)*(I$3:I$102="P"))+IF(H53="L5",SUMPRODUCT((P$3:P$102="")*(O$3:O$102="")*(N$3:N$102="")*(M$3:M$102="P")*(G$3:G$102=G53)*(J$3:J$102&lt;J53)*(H$3:H$102&lt;&gt;H53)*(I$3:I$102="P")),-1*SUMPRODUCT((P$3:P$102="")*(O$3:O$102="")*(N$3:N$102="")*(M$3:M$102="P")*(G$3:G$102=G53)*(J$3:J$102&gt;J53)*(H$3:H$102="L5")*(I$3:I$102="P")))+1,"")))))</f>
        <v/>
      </c>
      <c r="B53" s="1" t="str" cm="1">
        <f t="array" ref="B53">IF(P53&lt;&gt;"",SUMPRODUCT((P$3:P$102&lt;&gt;"")*(G$3:G$102=G53)*(J$3:J$102&gt;J53))+1,IF(O53&lt;&gt;"",SUMPRODUCT((O$3:O$102&lt;&gt;"")*(P$3:P$102="")*(G$3:G$102=G53)*(J$3:J$102&gt;J53))+SUMPRODUCT((P$3:P$102&lt;&gt;"")*(G$3:G$102=G53))+1,IF(N53&lt;&gt;"",SUMPRODUCT((N$3:N$102&lt;&gt;"")*(G$3:G$102=G53)*(J$3:J$102&gt;J53))+1,IF(M53="P",SUMPRODUCT((O$3:O$102&lt;&gt;"")*(P$3:P$102="")*(G$3:G$102=G53))+SUMPRODUCT((P$3:P$102&lt;&gt;"")*(G$3:G$102=G53))+SUMPRODUCT((N$3:N$102&lt;&gt;"")*(G$3:G$102=G53))+SUMPRODUCT((P$3:P$102="")*(O$3:O$102="")*(N$3:N$102="")*(M$3:M$102="P")*(G$3:G$102=G53)*(J$3:J$102&gt;J53))+IF(H53="L5",SUMPRODUCT((P$3:P$102="")*(O$3:O$102="")*(N$3:N$102="")*(M$3:M$102="P")*(G$3:G$102=G53)*(J$3:J$102&lt;J53)*(H$3:H$102&lt;&gt;H53)),-1*SUMPRODUCT((P$3:P$102="")*(O$3:O$102="")*(N$3:N$102="")*(M$3:M$102="P")*(G$3:G$102=G53)*(J$3:J$102&gt;J53)*(H$3:H$102="L5")))+1,""))))</f>
        <v/>
      </c>
      <c r="C53" s="35" t="s">
        <v>276</v>
      </c>
      <c r="D53" t="str">
        <f>IF(E53="","",VLOOKUP(E53,'Coaching Points'!A:B,2,0))</f>
        <v>AB</v>
      </c>
      <c r="E53" s="35" t="s">
        <v>61</v>
      </c>
      <c r="F53" s="34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R53+S53+IF(OR(H53="Junior",H53="Senior"),0.0002,IF(OR(H53="L7",H53="L6"),0.0001,0))+IF(G53="17-21",MAX(AA53,AC53,AF53),AE53)*0.0000001</f>
        <v>75.52000000000001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42.5</v>
      </c>
      <c r="S53" s="4">
        <f>IF(G53="17-21",LARGE(CHOOSE({1,2,3,4,5,6},T53,V53,Y53,AA53,AC53,AF53),2),IF(R53=X53,MAX(Y53,AA53,AC53,AF53),IF(R53=AE53,MAX(AF53,T53,V53,Y53),0)))</f>
        <v>33.020000000000003</v>
      </c>
      <c r="T53" s="32">
        <v>33.020000000000003</v>
      </c>
      <c r="U53" s="37">
        <v>0</v>
      </c>
      <c r="V53" s="33">
        <v>42.5</v>
      </c>
      <c r="W53" s="37">
        <v>8.6999999999999993</v>
      </c>
      <c r="X53" s="4">
        <f>IF(H53="Senior",MAX(T53,V53),T53+V53)</f>
        <v>75.52000000000001</v>
      </c>
      <c r="Y53" s="33"/>
      <c r="Z53" s="37"/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$102&lt;&gt;"")*(G$3:G$102=G54)*(J$3:J$102&gt;J54)*(I$3:I$102="P"))+1,IF(O54&lt;&gt;"",SUMPRODUCT((O$3:O$102&lt;&gt;"")*(P$3:P$102="")*(G$3:G$102=G54)*(J$3:J$102&gt;J54)*(I$3:I$102="P"))+SUMPRODUCT((P$3:P$102&lt;&gt;"")*(G$3:G$102=G54)*(I$3:I$102="P"))+1,IF(N54&lt;&gt;"",SUMPRODUCT((N$3:N$102&lt;&gt;"")*(G$3:G$102=G54)*(J$3:J$102&gt;J54)*(I$3:I$102="P"))+1,IF(M54="P",SUMPRODUCT((O$3:O$102&lt;&gt;"")*(P$3:P$102="")*(G$3:G$102=G54)*(I$3:I$102="P"))+SUMPRODUCT((P$3:P$102&lt;&gt;"")*(G$3:G$102=G54)*(I$3:I$102="P"))+SUMPRODUCT((N$3:N$102&lt;&gt;"")*(G$3:G$102=G54)*(I$3:I$102="P"))+SUMPRODUCT((P$3:P$102="")*(O$3:O$102="")*(N$3:N$102="")*(M$3:M$102="P")*(G$3:G$102=G54)*(J$3:J$102&gt;J54)*(I$3:I$102="P"))+IF(H54="L5",SUMPRODUCT((P$3:P$102="")*(O$3:O$102="")*(N$3:N$102="")*(M$3:M$102="P")*(G$3:G$102=G54)*(J$3:J$102&lt;J54)*(H$3:H$102&lt;&gt;H54)*(I$3:I$102="P")),-1*SUMPRODUCT((P$3:P$102="")*(O$3:O$102="")*(N$3:N$102="")*(M$3:M$102="P")*(G$3:G$102=G54)*(J$3:J$102&gt;J54)*(H$3:H$102="L5")*(I$3:I$102="P")))+1,"")))))</f>
        <v/>
      </c>
      <c r="B54" s="1" t="str" cm="1">
        <f t="array" ref="B54">IF(P54&lt;&gt;"",SUMPRODUCT((P$3:P$102&lt;&gt;"")*(G$3:G$102=G54)*(J$3:J$102&gt;J54))+1,IF(O54&lt;&gt;"",SUMPRODUCT((O$3:O$102&lt;&gt;"")*(P$3:P$102="")*(G$3:G$102=G54)*(J$3:J$102&gt;J54))+SUMPRODUCT((P$3:P$102&lt;&gt;"")*(G$3:G$102=G54))+1,IF(N54&lt;&gt;"",SUMPRODUCT((N$3:N$102&lt;&gt;"")*(G$3:G$102=G54)*(J$3:J$102&gt;J54))+1,IF(M54="P",SUMPRODUCT((O$3:O$102&lt;&gt;"")*(P$3:P$102="")*(G$3:G$102=G54))+SUMPRODUCT((P$3:P$102&lt;&gt;"")*(G$3:G$102=G54))+SUMPRODUCT((N$3:N$102&lt;&gt;"")*(G$3:G$102=G54))+SUMPRODUCT((P$3:P$102="")*(O$3:O$102="")*(N$3:N$102="")*(M$3:M$102="P")*(G$3:G$102=G54)*(J$3:J$102&gt;J54))+IF(H54="L5",SUMPRODUCT((P$3:P$102="")*(O$3:O$102="")*(N$3:N$102="")*(M$3:M$102="P")*(G$3:G$102=G54)*(J$3:J$102&lt;J54)*(H$3:H$102&lt;&gt;H54)),-1*SUMPRODUCT((P$3:P$102="")*(O$3:O$102="")*(N$3:N$102="")*(M$3:M$102="P")*(G$3:G$102=G54)*(J$3:J$102&gt;J54)*(H$3:H$102="L5")))+1,""))))</f>
        <v/>
      </c>
      <c r="C54" s="35" t="s">
        <v>278</v>
      </c>
      <c r="D54" t="str">
        <f>IF(E54="","",VLOOKUP(E54,'Coaching Points'!A:B,2,0))</f>
        <v>AB</v>
      </c>
      <c r="E54" s="35" t="s">
        <v>62</v>
      </c>
      <c r="F54" s="34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R54+S54+IF(OR(H54="Junior",H54="Senior"),0.0002,IF(OR(H54="L7",H54="L6"),0.0001,0))+IF(G54="17-21",MAX(AA54,AC54,AF54),AE54)*0.0000001</f>
        <v>74.14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38.200000000000003</v>
      </c>
      <c r="S54" s="4">
        <f>IF(G54="17-21",LARGE(CHOOSE({1,2,3,4,5,6},T54,V54,Y54,AA54,AC54,AF54),2),IF(R54=X54,MAX(Y54,AA54,AC54,AF54),IF(R54=AE54,MAX(AF54,T54,V54,Y54),0)))</f>
        <v>35.94</v>
      </c>
      <c r="T54" s="32">
        <v>35.94</v>
      </c>
      <c r="U54" s="37">
        <v>0</v>
      </c>
      <c r="V54" s="33">
        <v>38.200000000000003</v>
      </c>
      <c r="W54" s="37">
        <v>5.8</v>
      </c>
      <c r="X54" s="4">
        <f>IF(H54="Senior",MAX(T54,V54),T54+V54)</f>
        <v>74.14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$102&lt;&gt;"")*(G$3:G$102=G55)*(J$3:J$102&gt;J55)*(I$3:I$102="P"))+1,IF(O55&lt;&gt;"",SUMPRODUCT((O$3:O$102&lt;&gt;"")*(P$3:P$102="")*(G$3:G$102=G55)*(J$3:J$102&gt;J55)*(I$3:I$102="P"))+SUMPRODUCT((P$3:P$102&lt;&gt;"")*(G$3:G$102=G55)*(I$3:I$102="P"))+1,IF(N55&lt;&gt;"",SUMPRODUCT((N$3:N$102&lt;&gt;"")*(G$3:G$102=G55)*(J$3:J$102&gt;J55)*(I$3:I$102="P"))+1,IF(M55="P",SUMPRODUCT((O$3:O$102&lt;&gt;"")*(P$3:P$102="")*(G$3:G$102=G55)*(I$3:I$102="P"))+SUMPRODUCT((P$3:P$102&lt;&gt;"")*(G$3:G$102=G55)*(I$3:I$102="P"))+SUMPRODUCT((N$3:N$102&lt;&gt;"")*(G$3:G$102=G55)*(I$3:I$102="P"))+SUMPRODUCT((P$3:P$102="")*(O$3:O$102="")*(N$3:N$102="")*(M$3:M$102="P")*(G$3:G$102=G55)*(J$3:J$102&gt;J55)*(I$3:I$102="P"))+IF(H55="L5",SUMPRODUCT((P$3:P$102="")*(O$3:O$102="")*(N$3:N$102="")*(M$3:M$102="P")*(G$3:G$102=G55)*(J$3:J$102&lt;J55)*(H$3:H$102&lt;&gt;H55)*(I$3:I$102="P")),-1*SUMPRODUCT((P$3:P$102="")*(O$3:O$102="")*(N$3:N$102="")*(M$3:M$102="P")*(G$3:G$102=G55)*(J$3:J$102&gt;J55)*(H$3:H$102="L5")*(I$3:I$102="P")))+1,"")))))</f>
        <v/>
      </c>
      <c r="B55" s="1" t="str" cm="1">
        <f t="array" ref="B55">IF(P55&lt;&gt;"",SUMPRODUCT((P$3:P$102&lt;&gt;"")*(G$3:G$102=G55)*(J$3:J$102&gt;J55))+1,IF(O55&lt;&gt;"",SUMPRODUCT((O$3:O$102&lt;&gt;"")*(P$3:P$102="")*(G$3:G$102=G55)*(J$3:J$102&gt;J55))+SUMPRODUCT((P$3:P$102&lt;&gt;"")*(G$3:G$102=G55))+1,IF(N55&lt;&gt;"",SUMPRODUCT((N$3:N$102&lt;&gt;"")*(G$3:G$102=G55)*(J$3:J$102&gt;J55))+1,IF(M55="P",SUMPRODUCT((O$3:O$102&lt;&gt;"")*(P$3:P$102="")*(G$3:G$102=G55))+SUMPRODUCT((P$3:P$102&lt;&gt;"")*(G$3:G$102=G55))+SUMPRODUCT((N$3:N$102&lt;&gt;"")*(G$3:G$102=G55))+SUMPRODUCT((P$3:P$102="")*(O$3:O$102="")*(N$3:N$102="")*(M$3:M$102="P")*(G$3:G$102=G55)*(J$3:J$102&gt;J55))+IF(H55="L5",SUMPRODUCT((P$3:P$102="")*(O$3:O$102="")*(N$3:N$102="")*(M$3:M$102="P")*(G$3:G$102=G55)*(J$3:J$102&lt;J55)*(H$3:H$102&lt;&gt;H55)),-1*SUMPRODUCT((P$3:P$102="")*(O$3:O$102="")*(N$3:N$102="")*(M$3:M$102="P")*(G$3:G$102=G55)*(J$3:J$102&gt;J55)*(H$3:H$102="L5")))+1,""))))</f>
        <v/>
      </c>
      <c r="C55" s="35" t="s">
        <v>426</v>
      </c>
      <c r="D55" t="str">
        <f>IF(E55="","",VLOOKUP(E55,'Coaching Points'!A:B,2,0))</f>
        <v>QC</v>
      </c>
      <c r="E55" s="35" t="s">
        <v>57</v>
      </c>
      <c r="F55" s="34">
        <v>2008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>R55+S55+IF(OR(H55="Junior",H55="Senior"),0.0002,IF(OR(H55="L7",H55="L6"),0.0001,0))+IF(G55="17-21",MAX(AA55,AC55,AF55),AE55)*0.0000001</f>
        <v>74.130004036000003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40.36</v>
      </c>
      <c r="S55" s="4">
        <f>IF(G55="17-21",LARGE(CHOOSE({1,2,3,4,5,6},T55,V55,Y55,AA55,AC55,AF55),2),IF(R55=X55,MAX(Y55,AA55,AC55,AF55),IF(R55=AE55,MAX(AF55,T55,V55,Y55),0)))</f>
        <v>33.770000000000003</v>
      </c>
      <c r="T55" s="32"/>
      <c r="U55" s="37"/>
      <c r="V55" s="33"/>
      <c r="W55" s="37"/>
      <c r="X55" s="4">
        <f>IF(H55="Senior",MAX(T55,V55),T55+V55)</f>
        <v>0</v>
      </c>
      <c r="Y55" s="33"/>
      <c r="Z55" s="37"/>
      <c r="AA55" s="32">
        <v>40.36</v>
      </c>
      <c r="AB55" s="37">
        <v>0</v>
      </c>
      <c r="AC55" s="33">
        <v>33.770000000000003</v>
      </c>
      <c r="AD55" s="37">
        <v>5.9</v>
      </c>
      <c r="AE55" s="4">
        <f>IF(H55="Senior",MAX(AA55,AC55),AA55+AC55)</f>
        <v>74.13</v>
      </c>
      <c r="AF55" s="33"/>
      <c r="AG55" s="37"/>
    </row>
    <row r="56" spans="1:33" x14ac:dyDescent="0.2">
      <c r="A56" s="1" t="str" cm="1">
        <f t="array" ref="A56">IF(I56="","",IF(P56&lt;&gt;"",SUMPRODUCT((P$3:P$102&lt;&gt;"")*(G$3:G$102=G56)*(J$3:J$102&gt;J56)*(I$3:I$102="P"))+1,IF(O56&lt;&gt;"",SUMPRODUCT((O$3:O$102&lt;&gt;"")*(P$3:P$102="")*(G$3:G$102=G56)*(J$3:J$102&gt;J56)*(I$3:I$102="P"))+SUMPRODUCT((P$3:P$102&lt;&gt;"")*(G$3:G$102=G56)*(I$3:I$102="P"))+1,IF(N56&lt;&gt;"",SUMPRODUCT((N$3:N$102&lt;&gt;"")*(G$3:G$102=G56)*(J$3:J$102&gt;J56)*(I$3:I$102="P"))+1,IF(M56="P",SUMPRODUCT((O$3:O$102&lt;&gt;"")*(P$3:P$102="")*(G$3:G$102=G56)*(I$3:I$102="P"))+SUMPRODUCT((P$3:P$102&lt;&gt;"")*(G$3:G$102=G56)*(I$3:I$102="P"))+SUMPRODUCT((N$3:N$102&lt;&gt;"")*(G$3:G$102=G56)*(I$3:I$102="P"))+SUMPRODUCT((P$3:P$102="")*(O$3:O$102="")*(N$3:N$102="")*(M$3:M$102="P")*(G$3:G$102=G56)*(J$3:J$102&gt;J56)*(I$3:I$102="P"))+IF(H56="L5",SUMPRODUCT((P$3:P$102="")*(O$3:O$102="")*(N$3:N$102="")*(M$3:M$102="P")*(G$3:G$102=G56)*(J$3:J$102&lt;J56)*(H$3:H$102&lt;&gt;H56)*(I$3:I$102="P")),-1*SUMPRODUCT((P$3:P$102="")*(O$3:O$102="")*(N$3:N$102="")*(M$3:M$102="P")*(G$3:G$102=G56)*(J$3:J$102&gt;J56)*(H$3:H$102="L5")*(I$3:I$102="P")))+1,"")))))</f>
        <v/>
      </c>
      <c r="B56" s="1" t="str" cm="1">
        <f t="array" ref="B56">IF(P56&lt;&gt;"",SUMPRODUCT((P$3:P$102&lt;&gt;"")*(G$3:G$102=G56)*(J$3:J$102&gt;J56))+1,IF(O56&lt;&gt;"",SUMPRODUCT((O$3:O$102&lt;&gt;"")*(P$3:P$102="")*(G$3:G$102=G56)*(J$3:J$102&gt;J56))+SUMPRODUCT((P$3:P$102&lt;&gt;"")*(G$3:G$102=G56))+1,IF(N56&lt;&gt;"",SUMPRODUCT((N$3:N$102&lt;&gt;"")*(G$3:G$102=G56)*(J$3:J$102&gt;J56))+1,IF(M56="P",SUMPRODUCT((O$3:O$102&lt;&gt;"")*(P$3:P$102="")*(G$3:G$102=G56))+SUMPRODUCT((P$3:P$102&lt;&gt;"")*(G$3:G$102=G56))+SUMPRODUCT((N$3:N$102&lt;&gt;"")*(G$3:G$102=G56))+SUMPRODUCT((P$3:P$102="")*(O$3:O$102="")*(N$3:N$102="")*(M$3:M$102="P")*(G$3:G$102=G56)*(J$3:J$102&gt;J56))+IF(H56="L5",SUMPRODUCT((P$3:P$102="")*(O$3:O$102="")*(N$3:N$102="")*(M$3:M$102="P")*(G$3:G$102=G56)*(J$3:J$102&lt;J56)*(H$3:H$102&lt;&gt;H56)),-1*SUMPRODUCT((P$3:P$102="")*(O$3:O$102="")*(N$3:N$102="")*(M$3:M$102="P")*(G$3:G$102=G56)*(J$3:J$102&gt;J56)*(H$3:H$102="L5")))+1,""))))</f>
        <v/>
      </c>
      <c r="C56" s="35" t="s">
        <v>279</v>
      </c>
      <c r="D56" t="str">
        <f>IF(E56="","",VLOOKUP(E56,'Coaching Points'!A:B,2,0))</f>
        <v>ON</v>
      </c>
      <c r="E56" s="35" t="s">
        <v>84</v>
      </c>
      <c r="F56" s="34">
        <v>2007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>R56+S56+IF(OR(H56="Junior",H56="Senior"),0.0002,IF(OR(H56="L7",H56="L6"),0.0001,0))+IF(G56="17-21",MAX(AA56,AC56,AF56),AE56)*0.0000001</f>
        <v>73.710000000000008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38.42</v>
      </c>
      <c r="S56" s="4">
        <f>IF(G56="17-21",LARGE(CHOOSE({1,2,3,4,5,6},T56,V56,Y56,AA56,AC56,AF56),2),IF(R56=X56,MAX(Y56,AA56,AC56,AF56),IF(R56=AE56,MAX(AF56,T56,V56,Y56),0)))</f>
        <v>35.29</v>
      </c>
      <c r="T56" s="32">
        <v>35.29</v>
      </c>
      <c r="U56" s="37">
        <v>0</v>
      </c>
      <c r="V56" s="33">
        <v>38.42</v>
      </c>
      <c r="W56" s="37">
        <v>6.1</v>
      </c>
      <c r="X56" s="4">
        <f>IF(H56="Senior",MAX(T56,V56),T56+V56)</f>
        <v>73.710000000000008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$102&lt;&gt;"")*(G$3:G$102=G57)*(J$3:J$102&gt;J57)*(I$3:I$102="P"))+1,IF(O57&lt;&gt;"",SUMPRODUCT((O$3:O$102&lt;&gt;"")*(P$3:P$102="")*(G$3:G$102=G57)*(J$3:J$102&gt;J57)*(I$3:I$102="P"))+SUMPRODUCT((P$3:P$102&lt;&gt;"")*(G$3:G$102=G57)*(I$3:I$102="P"))+1,IF(N57&lt;&gt;"",SUMPRODUCT((N$3:N$102&lt;&gt;"")*(G$3:G$102=G57)*(J$3:J$102&gt;J57)*(I$3:I$102="P"))+1,IF(M57="P",SUMPRODUCT((O$3:O$102&lt;&gt;"")*(P$3:P$102="")*(G$3:G$102=G57)*(I$3:I$102="P"))+SUMPRODUCT((P$3:P$102&lt;&gt;"")*(G$3:G$102=G57)*(I$3:I$102="P"))+SUMPRODUCT((N$3:N$102&lt;&gt;"")*(G$3:G$102=G57)*(I$3:I$102="P"))+SUMPRODUCT((P$3:P$102="")*(O$3:O$102="")*(N$3:N$102="")*(M$3:M$102="P")*(G$3:G$102=G57)*(J$3:J$102&gt;J57)*(I$3:I$102="P"))+IF(H57="L5",SUMPRODUCT((P$3:P$102="")*(O$3:O$102="")*(N$3:N$102="")*(M$3:M$102="P")*(G$3:G$102=G57)*(J$3:J$102&lt;J57)*(H$3:H$102&lt;&gt;H57)*(I$3:I$102="P")),-1*SUMPRODUCT((P$3:P$102="")*(O$3:O$102="")*(N$3:N$102="")*(M$3:M$102="P")*(G$3:G$102=G57)*(J$3:J$102&gt;J57)*(H$3:H$102="L5")*(I$3:I$102="P")))+1,"")))))</f>
        <v/>
      </c>
      <c r="B57" s="1" t="str" cm="1">
        <f t="array" ref="B57">IF(P57&lt;&gt;"",SUMPRODUCT((P$3:P$102&lt;&gt;"")*(G$3:G$102=G57)*(J$3:J$102&gt;J57))+1,IF(O57&lt;&gt;"",SUMPRODUCT((O$3:O$102&lt;&gt;"")*(P$3:P$102="")*(G$3:G$102=G57)*(J$3:J$102&gt;J57))+SUMPRODUCT((P$3:P$102&lt;&gt;"")*(G$3:G$102=G57))+1,IF(N57&lt;&gt;"",SUMPRODUCT((N$3:N$102&lt;&gt;"")*(G$3:G$102=G57)*(J$3:J$102&gt;J57))+1,IF(M57="P",SUMPRODUCT((O$3:O$102&lt;&gt;"")*(P$3:P$102="")*(G$3:G$102=G57))+SUMPRODUCT((P$3:P$102&lt;&gt;"")*(G$3:G$102=G57))+SUMPRODUCT((N$3:N$102&lt;&gt;"")*(G$3:G$102=G57))+SUMPRODUCT((P$3:P$102="")*(O$3:O$102="")*(N$3:N$102="")*(M$3:M$102="P")*(G$3:G$102=G57)*(J$3:J$102&gt;J57))+IF(H57="L5",SUMPRODUCT((P$3:P$102="")*(O$3:O$102="")*(N$3:N$102="")*(M$3:M$102="P")*(G$3:G$102=G57)*(J$3:J$102&lt;J57)*(H$3:H$102&lt;&gt;H57)),-1*SUMPRODUCT((P$3:P$102="")*(O$3:O$102="")*(N$3:N$102="")*(M$3:M$102="P")*(G$3:G$102=G57)*(J$3:J$102&gt;J57)*(H$3:H$102="L5")))+1,""))))</f>
        <v/>
      </c>
      <c r="C57" s="35" t="s">
        <v>281</v>
      </c>
      <c r="D57" t="str">
        <f>IF(E57="","",VLOOKUP(E57,'Coaching Points'!A:B,2,0))</f>
        <v>BC</v>
      </c>
      <c r="E57" s="35" t="s">
        <v>66</v>
      </c>
      <c r="F57" s="34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6" t="s">
        <v>214</v>
      </c>
      <c r="I57" s="40"/>
      <c r="J57" s="4">
        <f>R57+S57+IF(OR(H57="Junior",H57="Senior"),0.0002,IF(OR(H57="L7",H57="L6"),0.0001,0))+IF(G57="17-21",MAX(AA57,AC57,AF57),AE57)*0.0000001</f>
        <v>73.64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39.35</v>
      </c>
      <c r="S57" s="4">
        <f>IF(G57="17-21",LARGE(CHOOSE({1,2,3,4,5,6},T57,V57,Y57,AA57,AC57,AF57),2),IF(R57=X57,MAX(Y57,AA57,AC57,AF57),IF(R57=AE57,MAX(AF57,T57,V57,Y57),0)))</f>
        <v>34.29</v>
      </c>
      <c r="T57" s="32">
        <v>34.29</v>
      </c>
      <c r="U57" s="37">
        <v>0</v>
      </c>
      <c r="V57" s="33">
        <v>39.35</v>
      </c>
      <c r="W57" s="37">
        <v>6.5</v>
      </c>
      <c r="X57" s="4">
        <f>IF(H57="Senior",MAX(T57,V57),T57+V57)</f>
        <v>73.64</v>
      </c>
      <c r="Y57" s="33"/>
      <c r="Z57" s="37"/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$102&lt;&gt;"")*(G$3:G$102=G58)*(J$3:J$102&gt;J58)*(I$3:I$102="P"))+1,IF(O58&lt;&gt;"",SUMPRODUCT((O$3:O$102&lt;&gt;"")*(P$3:P$102="")*(G$3:G$102=G58)*(J$3:J$102&gt;J58)*(I$3:I$102="P"))+SUMPRODUCT((P$3:P$102&lt;&gt;"")*(G$3:G$102=G58)*(I$3:I$102="P"))+1,IF(N58&lt;&gt;"",SUMPRODUCT((N$3:N$102&lt;&gt;"")*(G$3:G$102=G58)*(J$3:J$102&gt;J58)*(I$3:I$102="P"))+1,IF(M58="P",SUMPRODUCT((O$3:O$102&lt;&gt;"")*(P$3:P$102="")*(G$3:G$102=G58)*(I$3:I$102="P"))+SUMPRODUCT((P$3:P$102&lt;&gt;"")*(G$3:G$102=G58)*(I$3:I$102="P"))+SUMPRODUCT((N$3:N$102&lt;&gt;"")*(G$3:G$102=G58)*(I$3:I$102="P"))+SUMPRODUCT((P$3:P$102="")*(O$3:O$102="")*(N$3:N$102="")*(M$3:M$102="P")*(G$3:G$102=G58)*(J$3:J$102&gt;J58)*(I$3:I$102="P"))+IF(H58="L5",SUMPRODUCT((P$3:P$102="")*(O$3:O$102="")*(N$3:N$102="")*(M$3:M$102="P")*(G$3:G$102=G58)*(J$3:J$102&lt;J58)*(H$3:H$102&lt;&gt;H58)*(I$3:I$102="P")),-1*SUMPRODUCT((P$3:P$102="")*(O$3:O$102="")*(N$3:N$102="")*(M$3:M$102="P")*(G$3:G$102=G58)*(J$3:J$102&gt;J58)*(H$3:H$102="L5")*(I$3:I$102="P")))+1,"")))))</f>
        <v/>
      </c>
      <c r="B58" s="1" t="str" cm="1">
        <f t="array" ref="B58">IF(P58&lt;&gt;"",SUMPRODUCT((P$3:P$102&lt;&gt;"")*(G$3:G$102=G58)*(J$3:J$102&gt;J58))+1,IF(O58&lt;&gt;"",SUMPRODUCT((O$3:O$102&lt;&gt;"")*(P$3:P$102="")*(G$3:G$102=G58)*(J$3:J$102&gt;J58))+SUMPRODUCT((P$3:P$102&lt;&gt;"")*(G$3:G$102=G58))+1,IF(N58&lt;&gt;"",SUMPRODUCT((N$3:N$102&lt;&gt;"")*(G$3:G$102=G58)*(J$3:J$102&gt;J58))+1,IF(M58="P",SUMPRODUCT((O$3:O$102&lt;&gt;"")*(P$3:P$102="")*(G$3:G$102=G58))+SUMPRODUCT((P$3:P$102&lt;&gt;"")*(G$3:G$102=G58))+SUMPRODUCT((N$3:N$102&lt;&gt;"")*(G$3:G$102=G58))+SUMPRODUCT((P$3:P$102="")*(O$3:O$102="")*(N$3:N$102="")*(M$3:M$102="P")*(G$3:G$102=G58)*(J$3:J$102&gt;J58))+IF(H58="L5",SUMPRODUCT((P$3:P$102="")*(O$3:O$102="")*(N$3:N$102="")*(M$3:M$102="P")*(G$3:G$102=G58)*(J$3:J$102&lt;J58)*(H$3:H$102&lt;&gt;H58)),-1*SUMPRODUCT((P$3:P$102="")*(O$3:O$102="")*(N$3:N$102="")*(M$3:M$102="P")*(G$3:G$102=G58)*(J$3:J$102&gt;J58)*(H$3:H$102="L5")))+1,""))))</f>
        <v/>
      </c>
      <c r="C58" s="35" t="s">
        <v>427</v>
      </c>
      <c r="D58" t="str">
        <f>IF(E58="","",VLOOKUP(E58,'Coaching Points'!A:B,2,0))</f>
        <v>ON</v>
      </c>
      <c r="E58" s="35" t="s">
        <v>126</v>
      </c>
      <c r="F58" s="34">
        <v>2006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6" t="s">
        <v>214</v>
      </c>
      <c r="I58" s="40"/>
      <c r="J58" s="4">
        <f>R58+S58+IF(OR(H58="Junior",H58="Senior"),0.0002,IF(OR(H58="L7",H58="L6"),0.0001,0))+IF(G58="17-21",MAX(AA58,AC58,AF58),AE58)*0.0000001</f>
        <v>71.140003871999994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38.72</v>
      </c>
      <c r="S58" s="4">
        <f>IF(G58="17-21",LARGE(CHOOSE({1,2,3,4,5,6},T58,V58,Y58,AA58,AC58,AF58),2),IF(R58=X58,MAX(Y58,AA58,AC58,AF58),IF(R58=AE58,MAX(AF58,T58,V58,Y58),0)))</f>
        <v>32.42</v>
      </c>
      <c r="T58" s="32"/>
      <c r="U58" s="37"/>
      <c r="V58" s="33"/>
      <c r="W58" s="37"/>
      <c r="X58" s="4">
        <f>IF(H58="Senior",MAX(T58,V58),T58+V58)</f>
        <v>0</v>
      </c>
      <c r="Y58" s="33"/>
      <c r="Z58" s="37"/>
      <c r="AA58" s="32">
        <v>38.72</v>
      </c>
      <c r="AB58" s="37">
        <v>0</v>
      </c>
      <c r="AC58" s="33">
        <v>32.42</v>
      </c>
      <c r="AD58" s="37">
        <v>5.9</v>
      </c>
      <c r="AE58" s="4">
        <f>IF(H58="Senior",MAX(AA58,AC58),AA58+AC58)</f>
        <v>71.14</v>
      </c>
      <c r="AF58" s="33"/>
      <c r="AG58" s="37"/>
    </row>
    <row r="59" spans="1:33" x14ac:dyDescent="0.2">
      <c r="A59" s="1" t="str" cm="1">
        <f t="array" ref="A59">IF(I59="","",IF(P59&lt;&gt;"",SUMPRODUCT((P$3:P$102&lt;&gt;"")*(G$3:G$102=G59)*(J$3:J$102&gt;J59)*(I$3:I$102="P"))+1,IF(O59&lt;&gt;"",SUMPRODUCT((O$3:O$102&lt;&gt;"")*(P$3:P$102="")*(G$3:G$102=G59)*(J$3:J$102&gt;J59)*(I$3:I$102="P"))+SUMPRODUCT((P$3:P$102&lt;&gt;"")*(G$3:G$102=G59)*(I$3:I$102="P"))+1,IF(N59&lt;&gt;"",SUMPRODUCT((N$3:N$102&lt;&gt;"")*(G$3:G$102=G59)*(J$3:J$102&gt;J59)*(I$3:I$102="P"))+1,IF(M59="P",SUMPRODUCT((O$3:O$102&lt;&gt;"")*(P$3:P$102="")*(G$3:G$102=G59)*(I$3:I$102="P"))+SUMPRODUCT((P$3:P$102&lt;&gt;"")*(G$3:G$102=G59)*(I$3:I$102="P"))+SUMPRODUCT((N$3:N$102&lt;&gt;"")*(G$3:G$102=G59)*(I$3:I$102="P"))+SUMPRODUCT((P$3:P$102="")*(O$3:O$102="")*(N$3:N$102="")*(M$3:M$102="P")*(G$3:G$102=G59)*(J$3:J$102&gt;J59)*(I$3:I$102="P"))+IF(H59="L5",SUMPRODUCT((P$3:P$102="")*(O$3:O$102="")*(N$3:N$102="")*(M$3:M$102="P")*(G$3:G$102=G59)*(J$3:J$102&lt;J59)*(H$3:H$102&lt;&gt;H59)*(I$3:I$102="P")),-1*SUMPRODUCT((P$3:P$102="")*(O$3:O$102="")*(N$3:N$102="")*(M$3:M$102="P")*(G$3:G$102=G59)*(J$3:J$102&gt;J59)*(H$3:H$102="L5")*(I$3:I$102="P")))+1,"")))))</f>
        <v/>
      </c>
      <c r="B59" s="1" t="str" cm="1">
        <f t="array" ref="B59">IF(P59&lt;&gt;"",SUMPRODUCT((P$3:P$102&lt;&gt;"")*(G$3:G$102=G59)*(J$3:J$102&gt;J59))+1,IF(O59&lt;&gt;"",SUMPRODUCT((O$3:O$102&lt;&gt;"")*(P$3:P$102="")*(G$3:G$102=G59)*(J$3:J$102&gt;J59))+SUMPRODUCT((P$3:P$102&lt;&gt;"")*(G$3:G$102=G59))+1,IF(N59&lt;&gt;"",SUMPRODUCT((N$3:N$102&lt;&gt;"")*(G$3:G$102=G59)*(J$3:J$102&gt;J59))+1,IF(M59="P",SUMPRODUCT((O$3:O$102&lt;&gt;"")*(P$3:P$102="")*(G$3:G$102=G59))+SUMPRODUCT((P$3:P$102&lt;&gt;"")*(G$3:G$102=G59))+SUMPRODUCT((N$3:N$102&lt;&gt;"")*(G$3:G$102=G59))+SUMPRODUCT((P$3:P$102="")*(O$3:O$102="")*(N$3:N$102="")*(M$3:M$102="P")*(G$3:G$102=G59)*(J$3:J$102&gt;J59))+IF(H59="L5",SUMPRODUCT((P$3:P$102="")*(O$3:O$102="")*(N$3:N$102="")*(M$3:M$102="P")*(G$3:G$102=G59)*(J$3:J$102&lt;J59)*(H$3:H$102&lt;&gt;H59)),-1*SUMPRODUCT((P$3:P$102="")*(O$3:O$102="")*(N$3:N$102="")*(M$3:M$102="P")*(G$3:G$102=G59)*(J$3:J$102&gt;J59)*(H$3:H$102="L5")))+1,""))))</f>
        <v/>
      </c>
      <c r="C59" s="35" t="s">
        <v>282</v>
      </c>
      <c r="D59" t="str">
        <f>IF(E59="","",VLOOKUP(E59,'Coaching Points'!A:B,2,0))</f>
        <v>BC</v>
      </c>
      <c r="E59" s="35" t="s">
        <v>36</v>
      </c>
      <c r="F59" s="34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6" t="s">
        <v>214</v>
      </c>
      <c r="I59" s="40"/>
      <c r="J59" s="4">
        <f>R59+S59+IF(OR(H59="Junior",H59="Senior"),0.0002,IF(OR(H59="L7",H59="L6"),0.0001,0))+IF(G59="17-21",MAX(AA59,AC59,AF59),AE59)*0.0000001</f>
        <v>68.400000000000006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35.65</v>
      </c>
      <c r="S59" s="4">
        <f>IF(G59="17-21",LARGE(CHOOSE({1,2,3,4,5,6},T59,V59,Y59,AA59,AC59,AF59),2),IF(R59=X59,MAX(Y59,AA59,AC59,AF59),IF(R59=AE59,MAX(AF59,T59,V59,Y59),0)))</f>
        <v>32.75</v>
      </c>
      <c r="T59" s="32">
        <v>32.75</v>
      </c>
      <c r="U59" s="37">
        <v>0</v>
      </c>
      <c r="V59" s="33">
        <v>35.65</v>
      </c>
      <c r="W59" s="37">
        <v>4.8</v>
      </c>
      <c r="X59" s="4">
        <f>IF(H59="Senior",MAX(T59,V59),T59+V59)</f>
        <v>68.400000000000006</v>
      </c>
      <c r="Y59" s="33"/>
      <c r="Z59" s="37"/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$102&lt;&gt;"")*(G$3:G$102=G60)*(J$3:J$102&gt;J60)*(I$3:I$102="P"))+1,IF(O60&lt;&gt;"",SUMPRODUCT((O$3:O$102&lt;&gt;"")*(P$3:P$102="")*(G$3:G$102=G60)*(J$3:J$102&gt;J60)*(I$3:I$102="P"))+SUMPRODUCT((P$3:P$102&lt;&gt;"")*(G$3:G$102=G60)*(I$3:I$102="P"))+1,IF(N60&lt;&gt;"",SUMPRODUCT((N$3:N$102&lt;&gt;"")*(G$3:G$102=G60)*(J$3:J$102&gt;J60)*(I$3:I$102="P"))+1,IF(M60="P",SUMPRODUCT((O$3:O$102&lt;&gt;"")*(P$3:P$102="")*(G$3:G$102=G60)*(I$3:I$102="P"))+SUMPRODUCT((P$3:P$102&lt;&gt;"")*(G$3:G$102=G60)*(I$3:I$102="P"))+SUMPRODUCT((N$3:N$102&lt;&gt;"")*(G$3:G$102=G60)*(I$3:I$102="P"))+SUMPRODUCT((P$3:P$102="")*(O$3:O$102="")*(N$3:N$102="")*(M$3:M$102="P")*(G$3:G$102=G60)*(J$3:J$102&gt;J60)*(I$3:I$102="P"))+IF(H60="L5",SUMPRODUCT((P$3:P$102="")*(O$3:O$102="")*(N$3:N$102="")*(M$3:M$102="P")*(G$3:G$102=G60)*(J$3:J$102&lt;J60)*(H$3:H$102&lt;&gt;H60)*(I$3:I$102="P")),-1*SUMPRODUCT((P$3:P$102="")*(O$3:O$102="")*(N$3:N$102="")*(M$3:M$102="P")*(G$3:G$102=G60)*(J$3:J$102&gt;J60)*(H$3:H$102="L5")*(I$3:I$102="P")))+1,"")))))</f>
        <v/>
      </c>
      <c r="B60" s="1" t="str" cm="1">
        <f t="array" ref="B60">IF(P60&lt;&gt;"",SUMPRODUCT((P$3:P$102&lt;&gt;"")*(G$3:G$102=G60)*(J$3:J$102&gt;J60))+1,IF(O60&lt;&gt;"",SUMPRODUCT((O$3:O$102&lt;&gt;"")*(P$3:P$102="")*(G$3:G$102=G60)*(J$3:J$102&gt;J60))+SUMPRODUCT((P$3:P$102&lt;&gt;"")*(G$3:G$102=G60))+1,IF(N60&lt;&gt;"",SUMPRODUCT((N$3:N$102&lt;&gt;"")*(G$3:G$102=G60)*(J$3:J$102&gt;J60))+1,IF(M60="P",SUMPRODUCT((O$3:O$102&lt;&gt;"")*(P$3:P$102="")*(G$3:G$102=G60))+SUMPRODUCT((P$3:P$102&lt;&gt;"")*(G$3:G$102=G60))+SUMPRODUCT((N$3:N$102&lt;&gt;"")*(G$3:G$102=G60))+SUMPRODUCT((P$3:P$102="")*(O$3:O$102="")*(N$3:N$102="")*(M$3:M$102="P")*(G$3:G$102=G60)*(J$3:J$102&gt;J60))+IF(H60="L5",SUMPRODUCT((P$3:P$102="")*(O$3:O$102="")*(N$3:N$102="")*(M$3:M$102="P")*(G$3:G$102=G60)*(J$3:J$102&lt;J60)*(H$3:H$102&lt;&gt;H60)),-1*SUMPRODUCT((P$3:P$102="")*(O$3:O$102="")*(N$3:N$102="")*(M$3:M$102="P")*(G$3:G$102=G60)*(J$3:J$102&gt;J60)*(H$3:H$102="L5")))+1,""))))</f>
        <v/>
      </c>
      <c r="C60" s="35" t="s">
        <v>428</v>
      </c>
      <c r="D60" t="str">
        <f>IF(E60="","",VLOOKUP(E60,'Coaching Points'!A:B,2,0))</f>
        <v>ON</v>
      </c>
      <c r="E60" s="35" t="s">
        <v>84</v>
      </c>
      <c r="F60" s="34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6" t="s">
        <v>214</v>
      </c>
      <c r="I60" s="40"/>
      <c r="J60" s="4">
        <f>R60+S60+IF(OR(H60="Junior",H60="Senior"),0.0002,IF(OR(H60="L7",H60="L6"),0.0001,0))+IF(G60="17-21",MAX(AA60,AC60,AF60),AE60)*0.0000001</f>
        <v>64.46000375700001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37.57</v>
      </c>
      <c r="S60" s="4">
        <f>IF(G60="17-21",LARGE(CHOOSE({1,2,3,4,5,6},T60,V60,Y60,AA60,AC60,AF60),2),IF(R60=X60,MAX(Y60,AA60,AC60,AF60),IF(R60=AE60,MAX(AF60,T60,V60,Y60),0)))</f>
        <v>26.89</v>
      </c>
      <c r="T60" s="32"/>
      <c r="U60" s="37"/>
      <c r="V60" s="33"/>
      <c r="W60" s="37"/>
      <c r="X60" s="4">
        <f>IF(H60="Senior",MAX(T60,V60),T60+V60)</f>
        <v>0</v>
      </c>
      <c r="Y60" s="33"/>
      <c r="Z60" s="37"/>
      <c r="AA60" s="32">
        <v>37.57</v>
      </c>
      <c r="AB60" s="37">
        <v>0</v>
      </c>
      <c r="AC60" s="33">
        <v>26.89</v>
      </c>
      <c r="AD60" s="37">
        <v>6.1</v>
      </c>
      <c r="AE60" s="4">
        <f>IF(H60="Senior",MAX(AA60,AC60),AA60+AC60)</f>
        <v>64.460000000000008</v>
      </c>
      <c r="AF60" s="33"/>
      <c r="AG60" s="37"/>
    </row>
    <row r="61" spans="1:33" x14ac:dyDescent="0.2">
      <c r="A61" s="1" t="str" cm="1">
        <f t="array" ref="A61">IF(I61="","",IF(P61&lt;&gt;"",SUMPRODUCT((P$3:P$102&lt;&gt;"")*(G$3:G$102=G61)*(J$3:J$102&gt;J61)*(I$3:I$102="P"))+1,IF(O61&lt;&gt;"",SUMPRODUCT((O$3:O$102&lt;&gt;"")*(P$3:P$102="")*(G$3:G$102=G61)*(J$3:J$102&gt;J61)*(I$3:I$102="P"))+SUMPRODUCT((P$3:P$102&lt;&gt;"")*(G$3:G$102=G61)*(I$3:I$102="P"))+1,IF(N61&lt;&gt;"",SUMPRODUCT((N$3:N$102&lt;&gt;"")*(G$3:G$102=G61)*(J$3:J$102&gt;J61)*(I$3:I$102="P"))+1,IF(M61="P",SUMPRODUCT((O$3:O$102&lt;&gt;"")*(P$3:P$102="")*(G$3:G$102=G61)*(I$3:I$102="P"))+SUMPRODUCT((P$3:P$102&lt;&gt;"")*(G$3:G$102=G61)*(I$3:I$102="P"))+SUMPRODUCT((N$3:N$102&lt;&gt;"")*(G$3:G$102=G61)*(I$3:I$102="P"))+SUMPRODUCT((P$3:P$102="")*(O$3:O$102="")*(N$3:N$102="")*(M$3:M$102="P")*(G$3:G$102=G61)*(J$3:J$102&gt;J61)*(I$3:I$102="P"))+IF(H61="L5",SUMPRODUCT((P$3:P$102="")*(O$3:O$102="")*(N$3:N$102="")*(M$3:M$102="P")*(G$3:G$102=G61)*(J$3:J$102&lt;J61)*(H$3:H$102&lt;&gt;H61)*(I$3:I$102="P")),-1*SUMPRODUCT((P$3:P$102="")*(O$3:O$102="")*(N$3:N$102="")*(M$3:M$102="P")*(G$3:G$102=G61)*(J$3:J$102&gt;J61)*(H$3:H$102="L5")*(I$3:I$102="P")))+1,"")))))</f>
        <v/>
      </c>
      <c r="B61" s="1" t="str" cm="1">
        <f t="array" ref="B61">IF(P61&lt;&gt;"",SUMPRODUCT((P$3:P$102&lt;&gt;"")*(G$3:G$102=G61)*(J$3:J$102&gt;J61))+1,IF(O61&lt;&gt;"",SUMPRODUCT((O$3:O$102&lt;&gt;"")*(P$3:P$102="")*(G$3:G$102=G61)*(J$3:J$102&gt;J61))+SUMPRODUCT((P$3:P$102&lt;&gt;"")*(G$3:G$102=G61))+1,IF(N61&lt;&gt;"",SUMPRODUCT((N$3:N$102&lt;&gt;"")*(G$3:G$102=G61)*(J$3:J$102&gt;J61))+1,IF(M61="P",SUMPRODUCT((O$3:O$102&lt;&gt;"")*(P$3:P$102="")*(G$3:G$102=G61))+SUMPRODUCT((P$3:P$102&lt;&gt;"")*(G$3:G$102=G61))+SUMPRODUCT((N$3:N$102&lt;&gt;"")*(G$3:G$102=G61))+SUMPRODUCT((P$3:P$102="")*(O$3:O$102="")*(N$3:N$102="")*(M$3:M$102="P")*(G$3:G$102=G61)*(J$3:J$102&gt;J61))+IF(H61="L5",SUMPRODUCT((P$3:P$102="")*(O$3:O$102="")*(N$3:N$102="")*(M$3:M$102="P")*(G$3:G$102=G61)*(J$3:J$102&lt;J61)*(H$3:H$102&lt;&gt;H61)),-1*SUMPRODUCT((P$3:P$102="")*(O$3:O$102="")*(N$3:N$102="")*(M$3:M$102="P")*(G$3:G$102=G61)*(J$3:J$102&gt;J61)*(H$3:H$102="L5")))+1,""))))</f>
        <v/>
      </c>
      <c r="C61" s="35" t="s">
        <v>284</v>
      </c>
      <c r="D61" t="str">
        <f>IF(E61="","",VLOOKUP(E61,'Coaching Points'!A:B,2,0))</f>
        <v>BC</v>
      </c>
      <c r="E61" s="35" t="s">
        <v>122</v>
      </c>
      <c r="F61" s="34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6" t="s">
        <v>214</v>
      </c>
      <c r="I61" s="40"/>
      <c r="J61" s="4">
        <f>R61+S61+IF(OR(H61="Junior",H61="Senior"),0.0002,IF(OR(H61="L7",H61="L6"),0.0001,0))+IF(G61="17-21",MAX(AA61,AC61,AF61),AE61)*0.0000001</f>
        <v>61.709999999999994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35.97</v>
      </c>
      <c r="S61" s="4">
        <f>IF(G61="17-21",LARGE(CHOOSE({1,2,3,4,5,6},T61,V61,Y61,AA61,AC61,AF61),2),IF(R61=X61,MAX(Y61,AA61,AC61,AF61),IF(R61=AE61,MAX(AF61,T61,V61,Y61),0)))</f>
        <v>25.74</v>
      </c>
      <c r="T61" s="32">
        <v>35.97</v>
      </c>
      <c r="U61" s="37">
        <v>0</v>
      </c>
      <c r="V61" s="33">
        <v>25.74</v>
      </c>
      <c r="W61" s="37">
        <v>4.7</v>
      </c>
      <c r="X61" s="4">
        <f>IF(H61="Senior",MAX(T61,V61),T61+V61)</f>
        <v>61.709999999999994</v>
      </c>
      <c r="Y61" s="33"/>
      <c r="Z61" s="37"/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$102&lt;&gt;"")*(G$3:G$102=G62)*(J$3:J$102&gt;J62)*(I$3:I$102="P"))+1,IF(O62&lt;&gt;"",SUMPRODUCT((O$3:O$102&lt;&gt;"")*(P$3:P$102="")*(G$3:G$102=G62)*(J$3:J$102&gt;J62)*(I$3:I$102="P"))+SUMPRODUCT((P$3:P$102&lt;&gt;"")*(G$3:G$102=G62)*(I$3:I$102="P"))+1,IF(N62&lt;&gt;"",SUMPRODUCT((N$3:N$102&lt;&gt;"")*(G$3:G$102=G62)*(J$3:J$102&gt;J62)*(I$3:I$102="P"))+1,IF(M62="P",SUMPRODUCT((O$3:O$102&lt;&gt;"")*(P$3:P$102="")*(G$3:G$102=G62)*(I$3:I$102="P"))+SUMPRODUCT((P$3:P$102&lt;&gt;"")*(G$3:G$102=G62)*(I$3:I$102="P"))+SUMPRODUCT((N$3:N$102&lt;&gt;"")*(G$3:G$102=G62)*(I$3:I$102="P"))+SUMPRODUCT((P$3:P$102="")*(O$3:O$102="")*(N$3:N$102="")*(M$3:M$102="P")*(G$3:G$102=G62)*(J$3:J$102&gt;J62)*(I$3:I$102="P"))+IF(H62="L5",SUMPRODUCT((P$3:P$102="")*(O$3:O$102="")*(N$3:N$102="")*(M$3:M$102="P")*(G$3:G$102=G62)*(J$3:J$102&lt;J62)*(H$3:H$102&lt;&gt;H62)*(I$3:I$102="P")),-1*SUMPRODUCT((P$3:P$102="")*(O$3:O$102="")*(N$3:N$102="")*(M$3:M$102="P")*(G$3:G$102=G62)*(J$3:J$102&gt;J62)*(H$3:H$102="L5")*(I$3:I$102="P")))+1,"")))))</f>
        <v/>
      </c>
      <c r="B62" s="1" t="str" cm="1">
        <f t="array" ref="B62">IF(P62&lt;&gt;"",SUMPRODUCT((P$3:P$102&lt;&gt;"")*(G$3:G$102=G62)*(J$3:J$102&gt;J62))+1,IF(O62&lt;&gt;"",SUMPRODUCT((O$3:O$102&lt;&gt;"")*(P$3:P$102="")*(G$3:G$102=G62)*(J$3:J$102&gt;J62))+SUMPRODUCT((P$3:P$102&lt;&gt;"")*(G$3:G$102=G62))+1,IF(N62&lt;&gt;"",SUMPRODUCT((N$3:N$102&lt;&gt;"")*(G$3:G$102=G62)*(J$3:J$102&gt;J62))+1,IF(M62="P",SUMPRODUCT((O$3:O$102&lt;&gt;"")*(P$3:P$102="")*(G$3:G$102=G62))+SUMPRODUCT((P$3:P$102&lt;&gt;"")*(G$3:G$102=G62))+SUMPRODUCT((N$3:N$102&lt;&gt;"")*(G$3:G$102=G62))+SUMPRODUCT((P$3:P$102="")*(O$3:O$102="")*(N$3:N$102="")*(M$3:M$102="P")*(G$3:G$102=G62)*(J$3:J$102&gt;J62))+IF(H62="L5",SUMPRODUCT((P$3:P$102="")*(O$3:O$102="")*(N$3:N$102="")*(M$3:M$102="P")*(G$3:G$102=G62)*(J$3:J$102&lt;J62)*(H$3:H$102&lt;&gt;H62)),-1*SUMPRODUCT((P$3:P$102="")*(O$3:O$102="")*(N$3:N$102="")*(M$3:M$102="P")*(G$3:G$102=G62)*(J$3:J$102&gt;J62)*(H$3:H$102="L5")))+1,""))))</f>
        <v/>
      </c>
      <c r="C62" s="35" t="s">
        <v>364</v>
      </c>
      <c r="D62" t="str">
        <f>IF(E62="","",VLOOKUP(E62,'Coaching Points'!A:B,2,0))</f>
        <v>BC</v>
      </c>
      <c r="E62" s="35" t="s">
        <v>44</v>
      </c>
      <c r="F62" s="34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6" t="s">
        <v>213</v>
      </c>
      <c r="I62" s="40"/>
      <c r="J62" s="4">
        <f>R62+S62+IF(OR(H62="Junior",H62="Senior"),0.0002,IF(OR(H62="L7",H62="L6"),0.0001,0))+IF(G62="17-21",MAX(AA62,AC62,AF62),AE62)*0.0000001</f>
        <v>58.670103771000008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37.71</v>
      </c>
      <c r="S62" s="4">
        <f>IF(G62="17-21",LARGE(CHOOSE({1,2,3,4,5,6},T62,V62,Y62,AA62,AC62,AF62),2),IF(R62=X62,MAX(Y62,AA62,AC62,AF62),IF(R62=AE62,MAX(AF62,T62,V62,Y62),0)))</f>
        <v>20.96</v>
      </c>
      <c r="T62" s="32"/>
      <c r="U62" s="37"/>
      <c r="V62" s="33"/>
      <c r="W62" s="37"/>
      <c r="X62" s="4">
        <f>IF(H62="Senior",MAX(T62,V62),T62+V62)</f>
        <v>0</v>
      </c>
      <c r="Y62" s="33"/>
      <c r="Z62" s="37"/>
      <c r="AA62" s="32">
        <v>37.71</v>
      </c>
      <c r="AB62" s="37">
        <v>0</v>
      </c>
      <c r="AC62" s="33">
        <v>20.96</v>
      </c>
      <c r="AD62" s="37">
        <v>4.8</v>
      </c>
      <c r="AE62" s="4">
        <f>IF(H62="Senior",MAX(AA62,AC62),AA62+AC62)</f>
        <v>58.67</v>
      </c>
      <c r="AF62" s="33"/>
      <c r="AG62" s="37"/>
    </row>
    <row r="63" spans="1:33" x14ac:dyDescent="0.2">
      <c r="A63" s="1" t="str" cm="1">
        <f t="array" ref="A63">IF(I63="","",IF(P63&lt;&gt;"",SUMPRODUCT((P$3:P$102&lt;&gt;"")*(G$3:G$102=G63)*(J$3:J$102&gt;J63)*(I$3:I$102="P"))+1,IF(O63&lt;&gt;"",SUMPRODUCT((O$3:O$102&lt;&gt;"")*(P$3:P$102="")*(G$3:G$102=G63)*(J$3:J$102&gt;J63)*(I$3:I$102="P"))+SUMPRODUCT((P$3:P$102&lt;&gt;"")*(G$3:G$102=G63)*(I$3:I$102="P"))+1,IF(N63&lt;&gt;"",SUMPRODUCT((N$3:N$102&lt;&gt;"")*(G$3:G$102=G63)*(J$3:J$102&gt;J63)*(I$3:I$102="P"))+1,IF(M63="P",SUMPRODUCT((O$3:O$102&lt;&gt;"")*(P$3:P$102="")*(G$3:G$102=G63)*(I$3:I$102="P"))+SUMPRODUCT((P$3:P$102&lt;&gt;"")*(G$3:G$102=G63)*(I$3:I$102="P"))+SUMPRODUCT((N$3:N$102&lt;&gt;"")*(G$3:G$102=G63)*(I$3:I$102="P"))+SUMPRODUCT((P$3:P$102="")*(O$3:O$102="")*(N$3:N$102="")*(M$3:M$102="P")*(G$3:G$102=G63)*(J$3:J$102&gt;J63)*(I$3:I$102="P"))+IF(H63="L5",SUMPRODUCT((P$3:P$102="")*(O$3:O$102="")*(N$3:N$102="")*(M$3:M$102="P")*(G$3:G$102=G63)*(J$3:J$102&lt;J63)*(H$3:H$102&lt;&gt;H63)*(I$3:I$102="P")),-1*SUMPRODUCT((P$3:P$102="")*(O$3:O$102="")*(N$3:N$102="")*(M$3:M$102="P")*(G$3:G$102=G63)*(J$3:J$102&gt;J63)*(H$3:H$102="L5")*(I$3:I$102="P")))+1,"")))))</f>
        <v/>
      </c>
      <c r="B63" s="1" t="str" cm="1">
        <f t="array" ref="B63">IF(P63&lt;&gt;"",SUMPRODUCT((P$3:P$102&lt;&gt;"")*(G$3:G$102=G63)*(J$3:J$102&gt;J63))+1,IF(O63&lt;&gt;"",SUMPRODUCT((O$3:O$102&lt;&gt;"")*(P$3:P$102="")*(G$3:G$102=G63)*(J$3:J$102&gt;J63))+SUMPRODUCT((P$3:P$102&lt;&gt;"")*(G$3:G$102=G63))+1,IF(N63&lt;&gt;"",SUMPRODUCT((N$3:N$102&lt;&gt;"")*(G$3:G$102=G63)*(J$3:J$102&gt;J63))+1,IF(M63="P",SUMPRODUCT((O$3:O$102&lt;&gt;"")*(P$3:P$102="")*(G$3:G$102=G63))+SUMPRODUCT((P$3:P$102&lt;&gt;"")*(G$3:G$102=G63))+SUMPRODUCT((N$3:N$102&lt;&gt;"")*(G$3:G$102=G63))+SUMPRODUCT((P$3:P$102="")*(O$3:O$102="")*(N$3:N$102="")*(M$3:M$102="P")*(G$3:G$102=G63)*(J$3:J$102&gt;J63))+IF(H63="L5",SUMPRODUCT((P$3:P$102="")*(O$3:O$102="")*(N$3:N$102="")*(M$3:M$102="P")*(G$3:G$102=G63)*(J$3:J$102&lt;J63)*(H$3:H$102&lt;&gt;H63)),-1*SUMPRODUCT((P$3:P$102="")*(O$3:O$102="")*(N$3:N$102="")*(M$3:M$102="P")*(G$3:G$102=G63)*(J$3:J$102&gt;J63)*(H$3:H$102="L5")))+1,""))))</f>
        <v/>
      </c>
      <c r="C63" s="35" t="s">
        <v>240</v>
      </c>
      <c r="D63" t="str">
        <f>IF(E63="","",VLOOKUP(E63,'Coaching Points'!A:B,2,0))</f>
        <v>AB</v>
      </c>
      <c r="E63" s="35" t="s">
        <v>62</v>
      </c>
      <c r="F63" s="34">
        <v>2008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6" t="s">
        <v>213</v>
      </c>
      <c r="I63" s="40"/>
      <c r="J63" s="4">
        <f>R63+S63+IF(OR(H63="Junior",H63="Senior"),0.0002,IF(OR(H63="L7",H63="L6"),0.0001,0))+IF(G63="17-21",MAX(AA63,AC63,AF63),AE63)*0.0000001</f>
        <v>56.330100000000002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37.99</v>
      </c>
      <c r="S63" s="4">
        <f>IF(G63="17-21",LARGE(CHOOSE({1,2,3,4,5,6},T63,V63,Y63,AA63,AC63,AF63),2),IF(R63=X63,MAX(Y63,AA63,AC63,AF63),IF(R63=AE63,MAX(AF63,T63,V63,Y63),0)))</f>
        <v>18.34</v>
      </c>
      <c r="T63" s="32">
        <v>37.99</v>
      </c>
      <c r="U63" s="37">
        <v>0</v>
      </c>
      <c r="V63" s="33">
        <v>18.34</v>
      </c>
      <c r="W63" s="37">
        <v>4.4000000000000004</v>
      </c>
      <c r="X63" s="4">
        <f>IF(H63="Senior",MAX(T63,V63),T63+V63)</f>
        <v>56.33</v>
      </c>
      <c r="Y63" s="33"/>
      <c r="Z63" s="37"/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$102&lt;&gt;"")*(G$3:G$102=G64)*(J$3:J$102&gt;J64)*(I$3:I$102="P"))+1,IF(O64&lt;&gt;"",SUMPRODUCT((O$3:O$102&lt;&gt;"")*(P$3:P$102="")*(G$3:G$102=G64)*(J$3:J$102&gt;J64)*(I$3:I$102="P"))+SUMPRODUCT((P$3:P$102&lt;&gt;"")*(G$3:G$102=G64)*(I$3:I$102="P"))+1,IF(N64&lt;&gt;"",SUMPRODUCT((N$3:N$102&lt;&gt;"")*(G$3:G$102=G64)*(J$3:J$102&gt;J64)*(I$3:I$102="P"))+1,IF(M64="P",SUMPRODUCT((O$3:O$102&lt;&gt;"")*(P$3:P$102="")*(G$3:G$102=G64)*(I$3:I$102="P"))+SUMPRODUCT((P$3:P$102&lt;&gt;"")*(G$3:G$102=G64)*(I$3:I$102="P"))+SUMPRODUCT((N$3:N$102&lt;&gt;"")*(G$3:G$102=G64)*(I$3:I$102="P"))+SUMPRODUCT((P$3:P$102="")*(O$3:O$102="")*(N$3:N$102="")*(M$3:M$102="P")*(G$3:G$102=G64)*(J$3:J$102&gt;J64)*(I$3:I$102="P"))+IF(H64="L5",SUMPRODUCT((P$3:P$102="")*(O$3:O$102="")*(N$3:N$102="")*(M$3:M$102="P")*(G$3:G$102=G64)*(J$3:J$102&lt;J64)*(H$3:H$102&lt;&gt;H64)*(I$3:I$102="P")),-1*SUMPRODUCT((P$3:P$102="")*(O$3:O$102="")*(N$3:N$102="")*(M$3:M$102="P")*(G$3:G$102=G64)*(J$3:J$102&gt;J64)*(H$3:H$102="L5")*(I$3:I$102="P")))+1,"")))))</f>
        <v/>
      </c>
      <c r="B64" s="1" t="str" cm="1">
        <f t="array" ref="B64">IF(P64&lt;&gt;"",SUMPRODUCT((P$3:P$102&lt;&gt;"")*(G$3:G$102=G64)*(J$3:J$102&gt;J64))+1,IF(O64&lt;&gt;"",SUMPRODUCT((O$3:O$102&lt;&gt;"")*(P$3:P$102="")*(G$3:G$102=G64)*(J$3:J$102&gt;J64))+SUMPRODUCT((P$3:P$102&lt;&gt;"")*(G$3:G$102=G64))+1,IF(N64&lt;&gt;"",SUMPRODUCT((N$3:N$102&lt;&gt;"")*(G$3:G$102=G64)*(J$3:J$102&gt;J64))+1,IF(M64="P",SUMPRODUCT((O$3:O$102&lt;&gt;"")*(P$3:P$102="")*(G$3:G$102=G64))+SUMPRODUCT((P$3:P$102&lt;&gt;"")*(G$3:G$102=G64))+SUMPRODUCT((N$3:N$102&lt;&gt;"")*(G$3:G$102=G64))+SUMPRODUCT((P$3:P$102="")*(O$3:O$102="")*(N$3:N$102="")*(M$3:M$102="P")*(G$3:G$102=G64)*(J$3:J$102&gt;J64))+IF(H64="L5",SUMPRODUCT((P$3:P$102="")*(O$3:O$102="")*(N$3:N$102="")*(M$3:M$102="P")*(G$3:G$102=G64)*(J$3:J$102&lt;J64)*(H$3:H$102&lt;&gt;H64)),-1*SUMPRODUCT((P$3:P$102="")*(O$3:O$102="")*(N$3:N$102="")*(M$3:M$102="P")*(G$3:G$102=G64)*(J$3:J$102&gt;J64)*(H$3:H$102="L5")))+1,""))))</f>
        <v/>
      </c>
      <c r="C64" s="35" t="s">
        <v>429</v>
      </c>
      <c r="D64" t="str">
        <f>IF(E64="","",VLOOKUP(E64,'Coaching Points'!A:B,2,0))</f>
        <v>AB</v>
      </c>
      <c r="E64" s="35" t="s">
        <v>144</v>
      </c>
      <c r="F64" s="34">
        <v>2006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6" t="s">
        <v>214</v>
      </c>
      <c r="I64" s="40"/>
      <c r="J64" s="4">
        <f>R64+S64+IF(OR(H64="Junior",H64="Senior"),0.0002,IF(OR(H64="L7",H64="L6"),0.0001,0))+IF(G64="17-21",MAX(AA64,AC64,AF64),AE64)*0.0000001</f>
        <v>56.120003777000008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37.770000000000003</v>
      </c>
      <c r="S64" s="4">
        <f>IF(G64="17-21",LARGE(CHOOSE({1,2,3,4,5,6},T64,V64,Y64,AA64,AC64,AF64),2),IF(R64=X64,MAX(Y64,AA64,AC64,AF64),IF(R64=AE64,MAX(AF64,T64,V64,Y64),0)))</f>
        <v>18.350000000000001</v>
      </c>
      <c r="T64" s="32"/>
      <c r="U64" s="37"/>
      <c r="V64" s="33"/>
      <c r="W64" s="37"/>
      <c r="X64" s="4">
        <f>IF(H64="Senior",MAX(T64,V64),T64+V64)</f>
        <v>0</v>
      </c>
      <c r="Y64" s="33"/>
      <c r="Z64" s="37"/>
      <c r="AA64" s="32">
        <v>37.770000000000003</v>
      </c>
      <c r="AB64" s="37">
        <v>0</v>
      </c>
      <c r="AC64" s="33">
        <v>18.350000000000001</v>
      </c>
      <c r="AD64" s="37">
        <v>4</v>
      </c>
      <c r="AE64" s="4">
        <f>IF(H64="Senior",MAX(AA64,AC64),AA64+AC64)</f>
        <v>56.120000000000005</v>
      </c>
      <c r="AF64" s="33"/>
      <c r="AG64" s="37"/>
    </row>
    <row r="65" spans="1:33" x14ac:dyDescent="0.2">
      <c r="A65" s="1" t="str" cm="1">
        <f t="array" ref="A65">IF(I65="","",IF(P65&lt;&gt;"",SUMPRODUCT((P$3:P$102&lt;&gt;"")*(G$3:G$102=G65)*(J$3:J$102&gt;J65)*(I$3:I$102="P"))+1,IF(O65&lt;&gt;"",SUMPRODUCT((O$3:O$102&lt;&gt;"")*(P$3:P$102="")*(G$3:G$102=G65)*(J$3:J$102&gt;J65)*(I$3:I$102="P"))+SUMPRODUCT((P$3:P$102&lt;&gt;"")*(G$3:G$102=G65)*(I$3:I$102="P"))+1,IF(N65&lt;&gt;"",SUMPRODUCT((N$3:N$102&lt;&gt;"")*(G$3:G$102=G65)*(J$3:J$102&gt;J65)*(I$3:I$102="P"))+1,IF(M65="P",SUMPRODUCT((O$3:O$102&lt;&gt;"")*(P$3:P$102="")*(G$3:G$102=G65)*(I$3:I$102="P"))+SUMPRODUCT((P$3:P$102&lt;&gt;"")*(G$3:G$102=G65)*(I$3:I$102="P"))+SUMPRODUCT((N$3:N$102&lt;&gt;"")*(G$3:G$102=G65)*(I$3:I$102="P"))+SUMPRODUCT((P$3:P$102="")*(O$3:O$102="")*(N$3:N$102="")*(M$3:M$102="P")*(G$3:G$102=G65)*(J$3:J$102&gt;J65)*(I$3:I$102="P"))+IF(H65="L5",SUMPRODUCT((P$3:P$102="")*(O$3:O$102="")*(N$3:N$102="")*(M$3:M$102="P")*(G$3:G$102=G65)*(J$3:J$102&lt;J65)*(H$3:H$102&lt;&gt;H65)*(I$3:I$102="P")),-1*SUMPRODUCT((P$3:P$102="")*(O$3:O$102="")*(N$3:N$102="")*(M$3:M$102="P")*(G$3:G$102=G65)*(J$3:J$102&gt;J65)*(H$3:H$102="L5")*(I$3:I$102="P")))+1,"")))))</f>
        <v/>
      </c>
      <c r="B65" s="1" t="str" cm="1">
        <f t="array" ref="B65">IF(P65&lt;&gt;"",SUMPRODUCT((P$3:P$102&lt;&gt;"")*(G$3:G$102=G65)*(J$3:J$102&gt;J65))+1,IF(O65&lt;&gt;"",SUMPRODUCT((O$3:O$102&lt;&gt;"")*(P$3:P$102="")*(G$3:G$102=G65)*(J$3:J$102&gt;J65))+SUMPRODUCT((P$3:P$102&lt;&gt;"")*(G$3:G$102=G65))+1,IF(N65&lt;&gt;"",SUMPRODUCT((N$3:N$102&lt;&gt;"")*(G$3:G$102=G65)*(J$3:J$102&gt;J65))+1,IF(M65="P",SUMPRODUCT((O$3:O$102&lt;&gt;"")*(P$3:P$102="")*(G$3:G$102=G65))+SUMPRODUCT((P$3:P$102&lt;&gt;"")*(G$3:G$102=G65))+SUMPRODUCT((N$3:N$102&lt;&gt;"")*(G$3:G$102=G65))+SUMPRODUCT((P$3:P$102="")*(O$3:O$102="")*(N$3:N$102="")*(M$3:M$102="P")*(G$3:G$102=G65)*(J$3:J$102&gt;J65))+IF(H65="L5",SUMPRODUCT((P$3:P$102="")*(O$3:O$102="")*(N$3:N$102="")*(M$3:M$102="P")*(G$3:G$102=G65)*(J$3:J$102&lt;J65)*(H$3:H$102&lt;&gt;H65)),-1*SUMPRODUCT((P$3:P$102="")*(O$3:O$102="")*(N$3:N$102="")*(M$3:M$102="P")*(G$3:G$102=G65)*(J$3:J$102&gt;J65)*(H$3:H$102="L5")))+1,""))))</f>
        <v/>
      </c>
      <c r="C65" s="35" t="s">
        <v>430</v>
      </c>
      <c r="D65" t="str">
        <f>IF(E65="","",VLOOKUP(E65,'Coaching Points'!A:B,2,0))</f>
        <v>QC</v>
      </c>
      <c r="E65" s="35" t="s">
        <v>57</v>
      </c>
      <c r="F65" s="34">
        <v>2005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6" t="s">
        <v>214</v>
      </c>
      <c r="I65" s="40"/>
      <c r="J65" s="4">
        <f>R65+S65+IF(OR(H65="Junior",H65="Senior"),0.0002,IF(OR(H65="L7",H65="L6"),0.0001,0))+IF(G65="17-21",MAX(AA65,AC65,AF65),AE65)*0.0000001</f>
        <v>54.210003907000001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39.07</v>
      </c>
      <c r="S65" s="4">
        <f>IF(G65="17-21",LARGE(CHOOSE({1,2,3,4,5,6},T65,V65,Y65,AA65,AC65,AF65),2),IF(R65=X65,MAX(Y65,AA65,AC65,AF65),IF(R65=AE65,MAX(AF65,T65,V65,Y65),0)))</f>
        <v>15.14</v>
      </c>
      <c r="T65" s="32"/>
      <c r="U65" s="37"/>
      <c r="V65" s="33"/>
      <c r="W65" s="37"/>
      <c r="X65" s="4">
        <f>IF(H65="Senior",MAX(T65,V65),T65+V65)</f>
        <v>0</v>
      </c>
      <c r="Y65" s="33"/>
      <c r="Z65" s="37"/>
      <c r="AA65" s="32">
        <v>39.07</v>
      </c>
      <c r="AB65" s="37">
        <v>0</v>
      </c>
      <c r="AC65" s="33">
        <v>15.14</v>
      </c>
      <c r="AD65" s="37">
        <v>3.5</v>
      </c>
      <c r="AE65" s="4">
        <f>IF(H65="Senior",MAX(AA65,AC65),AA65+AC65)</f>
        <v>54.21</v>
      </c>
      <c r="AF65" s="33"/>
      <c r="AG65" s="37"/>
    </row>
    <row r="66" spans="1:33" x14ac:dyDescent="0.2">
      <c r="A66" s="1" t="str" cm="1">
        <f t="array" ref="A66">IF(I66="","",IF(P66&lt;&gt;"",SUMPRODUCT((P$3:P$102&lt;&gt;"")*(G$3:G$102=G66)*(J$3:J$102&gt;J66)*(I$3:I$102="P"))+1,IF(O66&lt;&gt;"",SUMPRODUCT((O$3:O$102&lt;&gt;"")*(P$3:P$102="")*(G$3:G$102=G66)*(J$3:J$102&gt;J66)*(I$3:I$102="P"))+SUMPRODUCT((P$3:P$102&lt;&gt;"")*(G$3:G$102=G66)*(I$3:I$102="P"))+1,IF(N66&lt;&gt;"",SUMPRODUCT((N$3:N$102&lt;&gt;"")*(G$3:G$102=G66)*(J$3:J$102&gt;J66)*(I$3:I$102="P"))+1,IF(M66="P",SUMPRODUCT((O$3:O$102&lt;&gt;"")*(P$3:P$102="")*(G$3:G$102=G66)*(I$3:I$102="P"))+SUMPRODUCT((P$3:P$102&lt;&gt;"")*(G$3:G$102=G66)*(I$3:I$102="P"))+SUMPRODUCT((N$3:N$102&lt;&gt;"")*(G$3:G$102=G66)*(I$3:I$102="P"))+SUMPRODUCT((P$3:P$102="")*(O$3:O$102="")*(N$3:N$102="")*(M$3:M$102="P")*(G$3:G$102=G66)*(J$3:J$102&gt;J66)*(I$3:I$102="P"))+IF(H66="L5",SUMPRODUCT((P$3:P$102="")*(O$3:O$102="")*(N$3:N$102="")*(M$3:M$102="P")*(G$3:G$102=G66)*(J$3:J$102&lt;J66)*(H$3:H$102&lt;&gt;H66)*(I$3:I$102="P")),-1*SUMPRODUCT((P$3:P$102="")*(O$3:O$102="")*(N$3:N$102="")*(M$3:M$102="P")*(G$3:G$102=G66)*(J$3:J$102&gt;J66)*(H$3:H$102="L5")*(I$3:I$102="P")))+1,"")))))</f>
        <v/>
      </c>
      <c r="B66" s="1" t="str" cm="1">
        <f t="array" ref="B66">IF(P66&lt;&gt;"",SUMPRODUCT((P$3:P$102&lt;&gt;"")*(G$3:G$102=G66)*(J$3:J$102&gt;J66))+1,IF(O66&lt;&gt;"",SUMPRODUCT((O$3:O$102&lt;&gt;"")*(P$3:P$102="")*(G$3:G$102=G66)*(J$3:J$102&gt;J66))+SUMPRODUCT((P$3:P$102&lt;&gt;"")*(G$3:G$102=G66))+1,IF(N66&lt;&gt;"",SUMPRODUCT((N$3:N$102&lt;&gt;"")*(G$3:G$102=G66)*(J$3:J$102&gt;J66))+1,IF(M66="P",SUMPRODUCT((O$3:O$102&lt;&gt;"")*(P$3:P$102="")*(G$3:G$102=G66))+SUMPRODUCT((P$3:P$102&lt;&gt;"")*(G$3:G$102=G66))+SUMPRODUCT((N$3:N$102&lt;&gt;"")*(G$3:G$102=G66))+SUMPRODUCT((P$3:P$102="")*(O$3:O$102="")*(N$3:N$102="")*(M$3:M$102="P")*(G$3:G$102=G66)*(J$3:J$102&gt;J66))+IF(H66="L5",SUMPRODUCT((P$3:P$102="")*(O$3:O$102="")*(N$3:N$102="")*(M$3:M$102="P")*(G$3:G$102=G66)*(J$3:J$102&lt;J66)*(H$3:H$102&lt;&gt;H66)),-1*SUMPRODUCT((P$3:P$102="")*(O$3:O$102="")*(N$3:N$102="")*(M$3:M$102="P")*(G$3:G$102=G66)*(J$3:J$102&gt;J66)*(H$3:H$102="L5")))+1,""))))</f>
        <v/>
      </c>
      <c r="C66" s="35" t="s">
        <v>431</v>
      </c>
      <c r="D66" t="str">
        <f>IF(E66="","",VLOOKUP(E66,'Coaching Points'!A:B,2,0))</f>
        <v>ON</v>
      </c>
      <c r="E66" s="35" t="s">
        <v>37</v>
      </c>
      <c r="F66" s="34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6" t="s">
        <v>214</v>
      </c>
      <c r="I66" s="40"/>
      <c r="J66" s="4">
        <f>R66+S66+IF(OR(H66="Junior",H66="Senior"),0.0002,IF(OR(H66="L7",H66="L6"),0.0001,0))+IF(G66="17-21",MAX(AA66,AC66,AF66),AE66)*0.0000001</f>
        <v>53.860003941000002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39.409999999999997</v>
      </c>
      <c r="S66" s="4">
        <f>IF(G66="17-21",LARGE(CHOOSE({1,2,3,4,5,6},T66,V66,Y66,AA66,AC66,AF66),2),IF(R66=X66,MAX(Y66,AA66,AC66,AF66),IF(R66=AE66,MAX(AF66,T66,V66,Y66),0)))</f>
        <v>14.45</v>
      </c>
      <c r="T66" s="32"/>
      <c r="U66" s="37"/>
      <c r="V66" s="33"/>
      <c r="W66" s="37"/>
      <c r="X66" s="4">
        <f>IF(H66="Senior",MAX(T66,V66),T66+V66)</f>
        <v>0</v>
      </c>
      <c r="Y66" s="33"/>
      <c r="Z66" s="37"/>
      <c r="AA66" s="32">
        <v>39.409999999999997</v>
      </c>
      <c r="AB66" s="37">
        <v>0</v>
      </c>
      <c r="AC66" s="33">
        <v>14.45</v>
      </c>
      <c r="AD66" s="37">
        <v>2.9</v>
      </c>
      <c r="AE66" s="4">
        <f>IF(H66="Senior",MAX(AA66,AC66),AA66+AC66)</f>
        <v>53.86</v>
      </c>
      <c r="AF66" s="33"/>
      <c r="AG66" s="37"/>
    </row>
    <row r="67" spans="1:33" x14ac:dyDescent="0.2">
      <c r="A67" s="1" t="str" cm="1">
        <f t="array" ref="A67">IF(I67="","",IF(P67&lt;&gt;"",SUMPRODUCT((P$3:P$102&lt;&gt;"")*(G$3:G$102=G67)*(J$3:J$102&gt;J67)*(I$3:I$102="P"))+1,IF(O67&lt;&gt;"",SUMPRODUCT((O$3:O$102&lt;&gt;"")*(P$3:P$102="")*(G$3:G$102=G67)*(J$3:J$102&gt;J67)*(I$3:I$102="P"))+SUMPRODUCT((P$3:P$102&lt;&gt;"")*(G$3:G$102=G67)*(I$3:I$102="P"))+1,IF(N67&lt;&gt;"",SUMPRODUCT((N$3:N$102&lt;&gt;"")*(G$3:G$102=G67)*(J$3:J$102&gt;J67)*(I$3:I$102="P"))+1,IF(M67="P",SUMPRODUCT((O$3:O$102&lt;&gt;"")*(P$3:P$102="")*(G$3:G$102=G67)*(I$3:I$102="P"))+SUMPRODUCT((P$3:P$102&lt;&gt;"")*(G$3:G$102=G67)*(I$3:I$102="P"))+SUMPRODUCT((N$3:N$102&lt;&gt;"")*(G$3:G$102=G67)*(I$3:I$102="P"))+SUMPRODUCT((P$3:P$102="")*(O$3:O$102="")*(N$3:N$102="")*(M$3:M$102="P")*(G$3:G$102=G67)*(J$3:J$102&gt;J67)*(I$3:I$102="P"))+IF(H67="L5",SUMPRODUCT((P$3:P$102="")*(O$3:O$102="")*(N$3:N$102="")*(M$3:M$102="P")*(G$3:G$102=G67)*(J$3:J$102&lt;J67)*(H$3:H$102&lt;&gt;H67)*(I$3:I$102="P")),-1*SUMPRODUCT((P$3:P$102="")*(O$3:O$102="")*(N$3:N$102="")*(M$3:M$102="P")*(G$3:G$102=G67)*(J$3:J$102&gt;J67)*(H$3:H$102="L5")*(I$3:I$102="P")))+1,"")))))</f>
        <v/>
      </c>
      <c r="B67" s="1" t="str" cm="1">
        <f t="array" ref="B67">IF(P67&lt;&gt;"",SUMPRODUCT((P$3:P$102&lt;&gt;"")*(G$3:G$102=G67)*(J$3:J$102&gt;J67))+1,IF(O67&lt;&gt;"",SUMPRODUCT((O$3:O$102&lt;&gt;"")*(P$3:P$102="")*(G$3:G$102=G67)*(J$3:J$102&gt;J67))+SUMPRODUCT((P$3:P$102&lt;&gt;"")*(G$3:G$102=G67))+1,IF(N67&lt;&gt;"",SUMPRODUCT((N$3:N$102&lt;&gt;"")*(G$3:G$102=G67)*(J$3:J$102&gt;J67))+1,IF(M67="P",SUMPRODUCT((O$3:O$102&lt;&gt;"")*(P$3:P$102="")*(G$3:G$102=G67))+SUMPRODUCT((P$3:P$102&lt;&gt;"")*(G$3:G$102=G67))+SUMPRODUCT((N$3:N$102&lt;&gt;"")*(G$3:G$102=G67))+SUMPRODUCT((P$3:P$102="")*(O$3:O$102="")*(N$3:N$102="")*(M$3:M$102="P")*(G$3:G$102=G67)*(J$3:J$102&gt;J67))+IF(H67="L5",SUMPRODUCT((P$3:P$102="")*(O$3:O$102="")*(N$3:N$102="")*(M$3:M$102="P")*(G$3:G$102=G67)*(J$3:J$102&lt;J67)*(H$3:H$102&lt;&gt;H67)),-1*SUMPRODUCT((P$3:P$102="")*(O$3:O$102="")*(N$3:N$102="")*(M$3:M$102="P")*(G$3:G$102=G67)*(J$3:J$102&gt;J67)*(H$3:H$102="L5")))+1,""))))</f>
        <v/>
      </c>
      <c r="C67" s="35" t="s">
        <v>286</v>
      </c>
      <c r="D67" t="str">
        <f>IF(E67="","",VLOOKUP(E67,'Coaching Points'!A:B,2,0))</f>
        <v>AB</v>
      </c>
      <c r="E67" s="35" t="s">
        <v>131</v>
      </c>
      <c r="F67" s="34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6" t="s">
        <v>214</v>
      </c>
      <c r="I67" s="40"/>
      <c r="J67" s="4">
        <f>R67+S67+IF(OR(H67="Junior",H67="Senior"),0.0002,IF(OR(H67="L7",H67="L6"),0.0001,0))+IF(G67="17-21",MAX(AA67,AC67,AF67),AE67)*0.0000001</f>
        <v>49.76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32.36</v>
      </c>
      <c r="S67" s="4">
        <f>IF(G67="17-21",LARGE(CHOOSE({1,2,3,4,5,6},T67,V67,Y67,AA67,AC67,AF67),2),IF(R67=X67,MAX(Y67,AA67,AC67,AF67),IF(R67=AE67,MAX(AF67,T67,V67,Y67),0)))</f>
        <v>17.399999999999999</v>
      </c>
      <c r="T67" s="32">
        <v>32.36</v>
      </c>
      <c r="U67" s="37">
        <v>0</v>
      </c>
      <c r="V67" s="33">
        <v>17.399999999999999</v>
      </c>
      <c r="W67" s="37">
        <v>3.5</v>
      </c>
      <c r="X67" s="4">
        <f>IF(H67="Senior",MAX(T67,V67),T67+V67)</f>
        <v>49.76</v>
      </c>
      <c r="Y67" s="33"/>
      <c r="Z67" s="37"/>
      <c r="AA67" s="32"/>
      <c r="AB67" s="37"/>
      <c r="AC67" s="33"/>
      <c r="AD67" s="37"/>
      <c r="AE67" s="4">
        <f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$102&lt;&gt;"")*(G$3:G$102=G68)*(J$3:J$102&gt;J68)*(I$3:I$102="P"))+1,IF(O68&lt;&gt;"",SUMPRODUCT((O$3:O$102&lt;&gt;"")*(P$3:P$102="")*(G$3:G$102=G68)*(J$3:J$102&gt;J68)*(I$3:I$102="P"))+SUMPRODUCT((P$3:P$102&lt;&gt;"")*(G$3:G$102=G68)*(I$3:I$102="P"))+1,IF(N68&lt;&gt;"",SUMPRODUCT((N$3:N$102&lt;&gt;"")*(G$3:G$102=G68)*(J$3:J$102&gt;J68)*(I$3:I$102="P"))+1,IF(M68="P",SUMPRODUCT((O$3:O$102&lt;&gt;"")*(P$3:P$102="")*(G$3:G$102=G68)*(I$3:I$102="P"))+SUMPRODUCT((P$3:P$102&lt;&gt;"")*(G$3:G$102=G68)*(I$3:I$102="P"))+SUMPRODUCT((N$3:N$102&lt;&gt;"")*(G$3:G$102=G68)*(I$3:I$102="P"))+SUMPRODUCT((P$3:P$102="")*(O$3:O$102="")*(N$3:N$102="")*(M$3:M$102="P")*(G$3:G$102=G68)*(J$3:J$102&gt;J68)*(I$3:I$102="P"))+IF(H68="L5",SUMPRODUCT((P$3:P$102="")*(O$3:O$102="")*(N$3:N$102="")*(M$3:M$102="P")*(G$3:G$102=G68)*(J$3:J$102&lt;J68)*(H$3:H$102&lt;&gt;H68)*(I$3:I$102="P")),-1*SUMPRODUCT((P$3:P$102="")*(O$3:O$102="")*(N$3:N$102="")*(M$3:M$102="P")*(G$3:G$102=G68)*(J$3:J$102&gt;J68)*(H$3:H$102="L5")*(I$3:I$102="P")))+1,"")))))</f>
        <v/>
      </c>
      <c r="B68" s="1" t="str" cm="1">
        <f t="array" ref="B68">IF(P68&lt;&gt;"",SUMPRODUCT((P$3:P$102&lt;&gt;"")*(G$3:G$102=G68)*(J$3:J$102&gt;J68))+1,IF(O68&lt;&gt;"",SUMPRODUCT((O$3:O$102&lt;&gt;"")*(P$3:P$102="")*(G$3:G$102=G68)*(J$3:J$102&gt;J68))+SUMPRODUCT((P$3:P$102&lt;&gt;"")*(G$3:G$102=G68))+1,IF(N68&lt;&gt;"",SUMPRODUCT((N$3:N$102&lt;&gt;"")*(G$3:G$102=G68)*(J$3:J$102&gt;J68))+1,IF(M68="P",SUMPRODUCT((O$3:O$102&lt;&gt;"")*(P$3:P$102="")*(G$3:G$102=G68))+SUMPRODUCT((P$3:P$102&lt;&gt;"")*(G$3:G$102=G68))+SUMPRODUCT((N$3:N$102&lt;&gt;"")*(G$3:G$102=G68))+SUMPRODUCT((P$3:P$102="")*(O$3:O$102="")*(N$3:N$102="")*(M$3:M$102="P")*(G$3:G$102=G68)*(J$3:J$102&gt;J68))+IF(H68="L5",SUMPRODUCT((P$3:P$102="")*(O$3:O$102="")*(N$3:N$102="")*(M$3:M$102="P")*(G$3:G$102=G68)*(J$3:J$102&lt;J68)*(H$3:H$102&lt;&gt;H68)),-1*SUMPRODUCT((P$3:P$102="")*(O$3:O$102="")*(N$3:N$102="")*(M$3:M$102="P")*(G$3:G$102=G68)*(J$3:J$102&gt;J68)*(H$3:H$102="L5")))+1,""))))</f>
        <v/>
      </c>
      <c r="C68" s="35" t="s">
        <v>432</v>
      </c>
      <c r="D68" t="str">
        <f>IF(E68="","",VLOOKUP(E68,'Coaching Points'!A:B,2,0))</f>
        <v>QC</v>
      </c>
      <c r="E68" s="35" t="s">
        <v>72</v>
      </c>
      <c r="F68" s="34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6" t="s">
        <v>214</v>
      </c>
      <c r="I68" s="40"/>
      <c r="J68" s="4">
        <f>R68+S68+IF(OR(H68="Junior",H68="Senior"),0.0002,IF(OR(H68="L7",H68="L6"),0.0001,0))+IF(G68="17-21",MAX(AA68,AC68,AF68),AE68)*0.0000001</f>
        <v>49.700003990000006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39.9</v>
      </c>
      <c r="S68" s="4">
        <f>IF(G68="17-21",LARGE(CHOOSE({1,2,3,4,5,6},T68,V68,Y68,AA68,AC68,AF68),2),IF(R68=X68,MAX(Y68,AA68,AC68,AF68),IF(R68=AE68,MAX(AF68,T68,V68,Y68),0)))</f>
        <v>9.8000000000000007</v>
      </c>
      <c r="T68" s="32"/>
      <c r="U68" s="37"/>
      <c r="V68" s="33"/>
      <c r="W68" s="37"/>
      <c r="X68" s="4">
        <f>IF(H68="Senior",MAX(T68,V68),T68+V68)</f>
        <v>0</v>
      </c>
      <c r="Y68" s="33"/>
      <c r="Z68" s="37"/>
      <c r="AA68" s="32">
        <v>39.9</v>
      </c>
      <c r="AB68" s="37">
        <v>0</v>
      </c>
      <c r="AC68" s="33">
        <v>9.8000000000000007</v>
      </c>
      <c r="AD68" s="37">
        <v>2.4</v>
      </c>
      <c r="AE68" s="4">
        <f>IF(H68="Senior",MAX(AA68,AC68),AA68+AC68)</f>
        <v>49.7</v>
      </c>
      <c r="AF68" s="33"/>
      <c r="AG68" s="37"/>
    </row>
    <row r="69" spans="1:33" x14ac:dyDescent="0.2">
      <c r="A69" s="1" t="str" cm="1">
        <f t="array" ref="A69">IF(I69="","",IF(P69&lt;&gt;"",SUMPRODUCT((P$3:P$102&lt;&gt;"")*(G$3:G$102=G69)*(J$3:J$102&gt;J69)*(I$3:I$102="P"))+1,IF(O69&lt;&gt;"",SUMPRODUCT((O$3:O$102&lt;&gt;"")*(P$3:P$102="")*(G$3:G$102=G69)*(J$3:J$102&gt;J69)*(I$3:I$102="P"))+SUMPRODUCT((P$3:P$102&lt;&gt;"")*(G$3:G$102=G69)*(I$3:I$102="P"))+1,IF(N69&lt;&gt;"",SUMPRODUCT((N$3:N$102&lt;&gt;"")*(G$3:G$102=G69)*(J$3:J$102&gt;J69)*(I$3:I$102="P"))+1,IF(M69="P",SUMPRODUCT((O$3:O$102&lt;&gt;"")*(P$3:P$102="")*(G$3:G$102=G69)*(I$3:I$102="P"))+SUMPRODUCT((P$3:P$102&lt;&gt;"")*(G$3:G$102=G69)*(I$3:I$102="P"))+SUMPRODUCT((N$3:N$102&lt;&gt;"")*(G$3:G$102=G69)*(I$3:I$102="P"))+SUMPRODUCT((P$3:P$102="")*(O$3:O$102="")*(N$3:N$102="")*(M$3:M$102="P")*(G$3:G$102=G69)*(J$3:J$102&gt;J69)*(I$3:I$102="P"))+IF(H69="L5",SUMPRODUCT((P$3:P$102="")*(O$3:O$102="")*(N$3:N$102="")*(M$3:M$102="P")*(G$3:G$102=G69)*(J$3:J$102&lt;J69)*(H$3:H$102&lt;&gt;H69)*(I$3:I$102="P")),-1*SUMPRODUCT((P$3:P$102="")*(O$3:O$102="")*(N$3:N$102="")*(M$3:M$102="P")*(G$3:G$102=G69)*(J$3:J$102&gt;J69)*(H$3:H$102="L5")*(I$3:I$102="P")))+1,"")))))</f>
        <v/>
      </c>
      <c r="B69" s="1" t="str" cm="1">
        <f t="array" ref="B69">IF(P69&lt;&gt;"",SUMPRODUCT((P$3:P$102&lt;&gt;"")*(G$3:G$102=G69)*(J$3:J$102&gt;J69))+1,IF(O69&lt;&gt;"",SUMPRODUCT((O$3:O$102&lt;&gt;"")*(P$3:P$102="")*(G$3:G$102=G69)*(J$3:J$102&gt;J69))+SUMPRODUCT((P$3:P$102&lt;&gt;"")*(G$3:G$102=G69))+1,IF(N69&lt;&gt;"",SUMPRODUCT((N$3:N$102&lt;&gt;"")*(G$3:G$102=G69)*(J$3:J$102&gt;J69))+1,IF(M69="P",SUMPRODUCT((O$3:O$102&lt;&gt;"")*(P$3:P$102="")*(G$3:G$102=G69))+SUMPRODUCT((P$3:P$102&lt;&gt;"")*(G$3:G$102=G69))+SUMPRODUCT((N$3:N$102&lt;&gt;"")*(G$3:G$102=G69))+SUMPRODUCT((P$3:P$102="")*(O$3:O$102="")*(N$3:N$102="")*(M$3:M$102="P")*(G$3:G$102=G69)*(J$3:J$102&gt;J69))+IF(H69="L5",SUMPRODUCT((P$3:P$102="")*(O$3:O$102="")*(N$3:N$102="")*(M$3:M$102="P")*(G$3:G$102=G69)*(J$3:J$102&lt;J69)*(H$3:H$102&lt;&gt;H69)),-1*SUMPRODUCT((P$3:P$102="")*(O$3:O$102="")*(N$3:N$102="")*(M$3:M$102="P")*(G$3:G$102=G69)*(J$3:J$102&gt;J69)*(H$3:H$102="L5")))+1,""))))</f>
        <v/>
      </c>
      <c r="C69" s="35" t="s">
        <v>433</v>
      </c>
      <c r="D69" t="str">
        <f>IF(E69="","",VLOOKUP(E69,'Coaching Points'!A:B,2,0))</f>
        <v>ON</v>
      </c>
      <c r="E69" s="35" t="s">
        <v>142</v>
      </c>
      <c r="F69" s="34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6" t="s">
        <v>214</v>
      </c>
      <c r="I69" s="40"/>
      <c r="J69" s="4">
        <f>R69+S69+IF(OR(H69="Junior",H69="Senior"),0.0002,IF(OR(H69="L7",H69="L6"),0.0001,0))+IF(G69="17-21",MAX(AA69,AC69,AF69),AE69)*0.0000001</f>
        <v>48.080004113999998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41.14</v>
      </c>
      <c r="S69" s="4">
        <f>IF(G69="17-21",LARGE(CHOOSE({1,2,3,4,5,6},T69,V69,Y69,AA69,AC69,AF69),2),IF(R69=X69,MAX(Y69,AA69,AC69,AF69),IF(R69=AE69,MAX(AF69,T69,V69,Y69),0)))</f>
        <v>6.94</v>
      </c>
      <c r="T69" s="32"/>
      <c r="U69" s="37"/>
      <c r="V69" s="33"/>
      <c r="W69" s="37"/>
      <c r="X69" s="4">
        <f>IF(H69="Senior",MAX(T69,V69),T69+V69)</f>
        <v>0</v>
      </c>
      <c r="Y69" s="33"/>
      <c r="Z69" s="37"/>
      <c r="AA69" s="32">
        <v>6.94</v>
      </c>
      <c r="AB69" s="37">
        <v>0</v>
      </c>
      <c r="AC69" s="33">
        <v>41.14</v>
      </c>
      <c r="AD69" s="37">
        <v>7.7</v>
      </c>
      <c r="AE69" s="4">
        <f>IF(H69="Senior",MAX(AA69,AC69),AA69+AC69)</f>
        <v>48.08</v>
      </c>
      <c r="AF69" s="33"/>
      <c r="AG69" s="37"/>
    </row>
    <row r="70" spans="1:33" x14ac:dyDescent="0.2">
      <c r="A70" s="1" t="str" cm="1">
        <f t="array" ref="A70">IF(I70="","",IF(P70&lt;&gt;"",SUMPRODUCT((P$3:P$102&lt;&gt;"")*(G$3:G$102=G70)*(J$3:J$102&gt;J70)*(I$3:I$102="P"))+1,IF(O70&lt;&gt;"",SUMPRODUCT((O$3:O$102&lt;&gt;"")*(P$3:P$102="")*(G$3:G$102=G70)*(J$3:J$102&gt;J70)*(I$3:I$102="P"))+SUMPRODUCT((P$3:P$102&lt;&gt;"")*(G$3:G$102=G70)*(I$3:I$102="P"))+1,IF(N70&lt;&gt;"",SUMPRODUCT((N$3:N$102&lt;&gt;"")*(G$3:G$102=G70)*(J$3:J$102&gt;J70)*(I$3:I$102="P"))+1,IF(M70="P",SUMPRODUCT((O$3:O$102&lt;&gt;"")*(P$3:P$102="")*(G$3:G$102=G70)*(I$3:I$102="P"))+SUMPRODUCT((P$3:P$102&lt;&gt;"")*(G$3:G$102=G70)*(I$3:I$102="P"))+SUMPRODUCT((N$3:N$102&lt;&gt;"")*(G$3:G$102=G70)*(I$3:I$102="P"))+SUMPRODUCT((P$3:P$102="")*(O$3:O$102="")*(N$3:N$102="")*(M$3:M$102="P")*(G$3:G$102=G70)*(J$3:J$102&gt;J70)*(I$3:I$102="P"))+IF(H70="L5",SUMPRODUCT((P$3:P$102="")*(O$3:O$102="")*(N$3:N$102="")*(M$3:M$102="P")*(G$3:G$102=G70)*(J$3:J$102&lt;J70)*(H$3:H$102&lt;&gt;H70)*(I$3:I$102="P")),-1*SUMPRODUCT((P$3:P$102="")*(O$3:O$102="")*(N$3:N$102="")*(M$3:M$102="P")*(G$3:G$102=G70)*(J$3:J$102&gt;J70)*(H$3:H$102="L5")*(I$3:I$102="P")))+1,"")))))</f>
        <v/>
      </c>
      <c r="B70" s="1" t="str" cm="1">
        <f t="array" ref="B70">IF(P70&lt;&gt;"",SUMPRODUCT((P$3:P$102&lt;&gt;"")*(G$3:G$102=G70)*(J$3:J$102&gt;J70))+1,IF(O70&lt;&gt;"",SUMPRODUCT((O$3:O$102&lt;&gt;"")*(P$3:P$102="")*(G$3:G$102=G70)*(J$3:J$102&gt;J70))+SUMPRODUCT((P$3:P$102&lt;&gt;"")*(G$3:G$102=G70))+1,IF(N70&lt;&gt;"",SUMPRODUCT((N$3:N$102&lt;&gt;"")*(G$3:G$102=G70)*(J$3:J$102&gt;J70))+1,IF(M70="P",SUMPRODUCT((O$3:O$102&lt;&gt;"")*(P$3:P$102="")*(G$3:G$102=G70))+SUMPRODUCT((P$3:P$102&lt;&gt;"")*(G$3:G$102=G70))+SUMPRODUCT((N$3:N$102&lt;&gt;"")*(G$3:G$102=G70))+SUMPRODUCT((P$3:P$102="")*(O$3:O$102="")*(N$3:N$102="")*(M$3:M$102="P")*(G$3:G$102=G70)*(J$3:J$102&gt;J70))+IF(H70="L5",SUMPRODUCT((P$3:P$102="")*(O$3:O$102="")*(N$3:N$102="")*(M$3:M$102="P")*(G$3:G$102=G70)*(J$3:J$102&lt;J70)*(H$3:H$102&lt;&gt;H70)),-1*SUMPRODUCT((P$3:P$102="")*(O$3:O$102="")*(N$3:N$102="")*(M$3:M$102="P")*(G$3:G$102=G70)*(J$3:J$102&gt;J70)*(H$3:H$102="L5")))+1,""))))</f>
        <v/>
      </c>
      <c r="C70" s="35" t="s">
        <v>435</v>
      </c>
      <c r="D70" t="str">
        <f>IF(E70="","",VLOOKUP(E70,'Coaching Points'!A:B,2,0))</f>
        <v>ON</v>
      </c>
      <c r="E70" s="35" t="s">
        <v>45</v>
      </c>
      <c r="F70" s="34">
        <v>2006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6" t="s">
        <v>213</v>
      </c>
      <c r="I70" s="40"/>
      <c r="J70" s="4">
        <f>R70+S70+IF(OR(H70="Junior",H70="Senior"),0.0002,IF(OR(H70="L7",H70="L6"),0.0001,0))+IF(G70="17-21",MAX(AA70,AC70,AF70),AE70)*0.0000001</f>
        <v>42.590103773000003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37.729999999999997</v>
      </c>
      <c r="S70" s="4">
        <f>IF(G70="17-21",LARGE(CHOOSE({1,2,3,4,5,6},T70,V70,Y70,AA70,AC70,AF70),2),IF(R70=X70,MAX(Y70,AA70,AC70,AF70),IF(R70=AE70,MAX(AF70,T70,V70,Y70),0)))</f>
        <v>4.8600000000000003</v>
      </c>
      <c r="T70" s="32"/>
      <c r="U70" s="37"/>
      <c r="V70" s="33"/>
      <c r="W70" s="37"/>
      <c r="X70" s="4">
        <f>IF(H70="Senior",MAX(T70,V70),T70+V70)</f>
        <v>0</v>
      </c>
      <c r="Y70" s="33"/>
      <c r="Z70" s="37"/>
      <c r="AA70" s="32">
        <v>37.729999999999997</v>
      </c>
      <c r="AB70" s="37">
        <v>0</v>
      </c>
      <c r="AC70" s="33">
        <v>4.8600000000000003</v>
      </c>
      <c r="AD70" s="37">
        <v>1.3</v>
      </c>
      <c r="AE70" s="4">
        <f>IF(H70="Senior",MAX(AA70,AC70),AA70+AC70)</f>
        <v>42.589999999999996</v>
      </c>
      <c r="AF70" s="33"/>
      <c r="AG70" s="37"/>
    </row>
    <row r="71" spans="1:33" x14ac:dyDescent="0.2">
      <c r="A71" s="1" t="str" cm="1">
        <f t="array" ref="A71">IF(I71="","",IF(P71&lt;&gt;"",SUMPRODUCT((P$3:P$102&lt;&gt;"")*(G$3:G$102=G71)*(J$3:J$102&gt;J71)*(I$3:I$102="P"))+1,IF(O71&lt;&gt;"",SUMPRODUCT((O$3:O$102&lt;&gt;"")*(P$3:P$102="")*(G$3:G$102=G71)*(J$3:J$102&gt;J71)*(I$3:I$102="P"))+SUMPRODUCT((P$3:P$102&lt;&gt;"")*(G$3:G$102=G71)*(I$3:I$102="P"))+1,IF(N71&lt;&gt;"",SUMPRODUCT((N$3:N$102&lt;&gt;"")*(G$3:G$102=G71)*(J$3:J$102&gt;J71)*(I$3:I$102="P"))+1,IF(M71="P",SUMPRODUCT((O$3:O$102&lt;&gt;"")*(P$3:P$102="")*(G$3:G$102=G71)*(I$3:I$102="P"))+SUMPRODUCT((P$3:P$102&lt;&gt;"")*(G$3:G$102=G71)*(I$3:I$102="P"))+SUMPRODUCT((N$3:N$102&lt;&gt;"")*(G$3:G$102=G71)*(I$3:I$102="P"))+SUMPRODUCT((P$3:P$102="")*(O$3:O$102="")*(N$3:N$102="")*(M$3:M$102="P")*(G$3:G$102=G71)*(J$3:J$102&gt;J71)*(I$3:I$102="P"))+IF(H71="L5",SUMPRODUCT((P$3:P$102="")*(O$3:O$102="")*(N$3:N$102="")*(M$3:M$102="P")*(G$3:G$102=G71)*(J$3:J$102&lt;J71)*(H$3:H$102&lt;&gt;H71)*(I$3:I$102="P")),-1*SUMPRODUCT((P$3:P$102="")*(O$3:O$102="")*(N$3:N$102="")*(M$3:M$102="P")*(G$3:G$102=G71)*(J$3:J$102&gt;J71)*(H$3:H$102="L5")*(I$3:I$102="P")))+1,"")))))</f>
        <v/>
      </c>
      <c r="B71" s="1" cm="1">
        <f t="array" ref="B71">IF(P71&lt;&gt;"",SUMPRODUCT((P$3:P$102&lt;&gt;"")*(G$3:G$102=G71)*(J$3:J$102&gt;J71))+1,IF(O71&lt;&gt;"",SUMPRODUCT((O$3:O$102&lt;&gt;"")*(P$3:P$102="")*(G$3:G$102=G71)*(J$3:J$102&gt;J71))+SUMPRODUCT((P$3:P$102&lt;&gt;"")*(G$3:G$102=G71))+1,IF(N71&lt;&gt;"",SUMPRODUCT((N$3:N$102&lt;&gt;"")*(G$3:G$102=G71)*(J$3:J$102&gt;J71))+1,IF(M71="P",SUMPRODUCT((O$3:O$102&lt;&gt;"")*(P$3:P$102="")*(G$3:G$102=G71))+SUMPRODUCT((P$3:P$102&lt;&gt;"")*(G$3:G$102=G71))+SUMPRODUCT((N$3:N$102&lt;&gt;"")*(G$3:G$102=G71))+SUMPRODUCT((P$3:P$102="")*(O$3:O$102="")*(N$3:N$102="")*(M$3:M$102="P")*(G$3:G$102=G71)*(J$3:J$102&gt;J71))+IF(H71="L5",SUMPRODUCT((P$3:P$102="")*(O$3:O$102="")*(N$3:N$102="")*(M$3:M$102="P")*(G$3:G$102=G71)*(J$3:J$102&lt;J71)*(H$3:H$102&lt;&gt;H71)),-1*SUMPRODUCT((P$3:P$102="")*(O$3:O$102="")*(N$3:N$102="")*(M$3:M$102="P")*(G$3:G$102=G71)*(J$3:J$102&gt;J71)*(H$3:H$102="L5")))+1,""))))</f>
        <v>1</v>
      </c>
      <c r="C71" s="35" t="s">
        <v>218</v>
      </c>
      <c r="D71" t="str">
        <f>IF(E71="","",VLOOKUP(E71,'Coaching Points'!A:B,2,0))</f>
        <v>QC</v>
      </c>
      <c r="E71" s="35" t="s">
        <v>75</v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211</v>
      </c>
      <c r="I71" s="40"/>
      <c r="J71" s="4">
        <f>R71+S71+IF(OR(H71="Junior",H71="Senior"),0.0002,IF(OR(H71="L7",H71="L6"),0.0001,0))+IF(G71="17-21",MAX(AA71,AC71,AF71),AE71)*0.0000001</f>
        <v>141.92020711700002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>P</v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>P</v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>P</v>
      </c>
      <c r="N71" s="36">
        <v>1</v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90.97</v>
      </c>
      <c r="S71" s="4">
        <f>IF(G71="17-21",LARGE(CHOOSE({1,2,3,4,5,6},T71,V71,Y71,AA71,AC71,AF71),2),IF(R71=X71,MAX(Y71,AA71,AC71,AF71),IF(R71=AE71,MAX(AF71,T71,V71,Y71),0)))</f>
        <v>50.95</v>
      </c>
      <c r="T71" s="32">
        <v>40.520000000000003</v>
      </c>
      <c r="U71" s="37">
        <v>0</v>
      </c>
      <c r="V71" s="33">
        <v>50.45</v>
      </c>
      <c r="W71" s="37">
        <v>11.3</v>
      </c>
      <c r="X71" s="4">
        <f>IF(H71="Senior",MAX(T71,V71),T71+V71)</f>
        <v>90.97</v>
      </c>
      <c r="Y71" s="33">
        <v>48.28</v>
      </c>
      <c r="Z71" s="37">
        <v>11.1</v>
      </c>
      <c r="AA71" s="32">
        <v>42.84</v>
      </c>
      <c r="AB71" s="37">
        <v>0</v>
      </c>
      <c r="AC71" s="33">
        <v>28.33</v>
      </c>
      <c r="AD71" s="37">
        <v>7.2</v>
      </c>
      <c r="AE71" s="4">
        <f>IF(H71="Senior",MAX(AA71,AC71),AA71+AC71)</f>
        <v>71.17</v>
      </c>
      <c r="AF71" s="33">
        <v>50.95</v>
      </c>
      <c r="AG71" s="37">
        <v>13.1</v>
      </c>
    </row>
    <row r="72" spans="1:33" x14ac:dyDescent="0.2">
      <c r="A72" s="1" t="str" cm="1">
        <f t="array" ref="A72">IF(I72="","",IF(P72&lt;&gt;"",SUMPRODUCT((P$3:P$102&lt;&gt;"")*(G$3:G$102=G72)*(J$3:J$102&gt;J72)*(I$3:I$102="P"))+1,IF(O72&lt;&gt;"",SUMPRODUCT((O$3:O$102&lt;&gt;"")*(P$3:P$102="")*(G$3:G$102=G72)*(J$3:J$102&gt;J72)*(I$3:I$102="P"))+SUMPRODUCT((P$3:P$102&lt;&gt;"")*(G$3:G$102=G72)*(I$3:I$102="P"))+1,IF(N72&lt;&gt;"",SUMPRODUCT((N$3:N$102&lt;&gt;"")*(G$3:G$102=G72)*(J$3:J$102&gt;J72)*(I$3:I$102="P"))+1,IF(M72="P",SUMPRODUCT((O$3:O$102&lt;&gt;"")*(P$3:P$102="")*(G$3:G$102=G72)*(I$3:I$102="P"))+SUMPRODUCT((P$3:P$102&lt;&gt;"")*(G$3:G$102=G72)*(I$3:I$102="P"))+SUMPRODUCT((N$3:N$102&lt;&gt;"")*(G$3:G$102=G72)*(I$3:I$102="P"))+SUMPRODUCT((P$3:P$102="")*(O$3:O$102="")*(N$3:N$102="")*(M$3:M$102="P")*(G$3:G$102=G72)*(J$3:J$102&gt;J72)*(I$3:I$102="P"))+IF(H72="L5",SUMPRODUCT((P$3:P$102="")*(O$3:O$102="")*(N$3:N$102="")*(M$3:M$102="P")*(G$3:G$102=G72)*(J$3:J$102&lt;J72)*(H$3:H$102&lt;&gt;H72)*(I$3:I$102="P")),-1*SUMPRODUCT((P$3:P$102="")*(O$3:O$102="")*(N$3:N$102="")*(M$3:M$102="P")*(G$3:G$102=G72)*(J$3:J$102&gt;J72)*(H$3:H$102="L5")*(I$3:I$102="P")))+1,"")))))</f>
        <v/>
      </c>
      <c r="B72" s="1" cm="1">
        <f t="array" ref="B72">IF(P72&lt;&gt;"",SUMPRODUCT((P$3:P$102&lt;&gt;"")*(G$3:G$102=G72)*(J$3:J$102&gt;J72))+1,IF(O72&lt;&gt;"",SUMPRODUCT((O$3:O$102&lt;&gt;"")*(P$3:P$102="")*(G$3:G$102=G72)*(J$3:J$102&gt;J72))+SUMPRODUCT((P$3:P$102&lt;&gt;"")*(G$3:G$102=G72))+1,IF(N72&lt;&gt;"",SUMPRODUCT((N$3:N$102&lt;&gt;"")*(G$3:G$102=G72)*(J$3:J$102&gt;J72))+1,IF(M72="P",SUMPRODUCT((O$3:O$102&lt;&gt;"")*(P$3:P$102="")*(G$3:G$102=G72))+SUMPRODUCT((P$3:P$102&lt;&gt;"")*(G$3:G$102=G72))+SUMPRODUCT((N$3:N$102&lt;&gt;"")*(G$3:G$102=G72))+SUMPRODUCT((P$3:P$102="")*(O$3:O$102="")*(N$3:N$102="")*(M$3:M$102="P")*(G$3:G$102=G72)*(J$3:J$102&gt;J72))+IF(H72="L5",SUMPRODUCT((P$3:P$102="")*(O$3:O$102="")*(N$3:N$102="")*(M$3:M$102="P")*(G$3:G$102=G72)*(J$3:J$102&lt;J72)*(H$3:H$102&lt;&gt;H72)),-1*SUMPRODUCT((P$3:P$102="")*(O$3:O$102="")*(N$3:N$102="")*(M$3:M$102="P")*(G$3:G$102=G72)*(J$3:J$102&gt;J72)*(H$3:H$102="L5")))+1,""))))</f>
        <v>2</v>
      </c>
      <c r="C72" s="35" t="s">
        <v>220</v>
      </c>
      <c r="D72" t="str">
        <f>IF(E72="","",VLOOKUP(E72,'Coaching Points'!A:B,2,0))</f>
        <v>BC</v>
      </c>
      <c r="E72" s="35" t="s">
        <v>40</v>
      </c>
      <c r="F72" s="34">
        <v>2009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211</v>
      </c>
      <c r="I72" s="40"/>
      <c r="J72" s="4">
        <f>R72+S72+IF(OR(H72="Junior",H72="Senior"),0.0002,IF(OR(H72="L7",H72="L6"),0.0001,0))+IF(G72="17-21",MAX(AA72,AC72,AF72),AE72)*0.0000001</f>
        <v>136.81020889800001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>P</v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>P</v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>P</v>
      </c>
      <c r="N72" s="36">
        <v>2</v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88.98</v>
      </c>
      <c r="S72" s="4">
        <f>IF(G72="17-21",LARGE(CHOOSE({1,2,3,4,5,6},T72,V72,Y72,AA72,AC72,AF72),2),IF(R72=X72,MAX(Y72,AA72,AC72,AF72),IF(R72=AE72,MAX(AF72,T72,V72,Y72),0)))</f>
        <v>47.83</v>
      </c>
      <c r="T72" s="32">
        <v>41.13</v>
      </c>
      <c r="U72" s="37">
        <v>0</v>
      </c>
      <c r="V72" s="33">
        <v>47.83</v>
      </c>
      <c r="W72" s="37">
        <v>12</v>
      </c>
      <c r="X72" s="4">
        <f>IF(H72="Senior",MAX(T72,V72),T72+V72)</f>
        <v>88.960000000000008</v>
      </c>
      <c r="Y72" s="33">
        <v>46.45</v>
      </c>
      <c r="Z72" s="37">
        <v>11.2</v>
      </c>
      <c r="AA72" s="32">
        <v>42.06</v>
      </c>
      <c r="AB72" s="37">
        <v>0</v>
      </c>
      <c r="AC72" s="33">
        <v>46.92</v>
      </c>
      <c r="AD72" s="37">
        <v>11.5</v>
      </c>
      <c r="AE72" s="4">
        <f>IF(H72="Senior",MAX(AA72,AC72),AA72+AC72)</f>
        <v>88.98</v>
      </c>
      <c r="AF72" s="33">
        <v>47.79</v>
      </c>
      <c r="AG72" s="37">
        <v>11.6</v>
      </c>
    </row>
    <row r="73" spans="1:33" x14ac:dyDescent="0.2">
      <c r="A73" s="1" t="str" cm="1">
        <f t="array" ref="A73">IF(I73="","",IF(P73&lt;&gt;"",SUMPRODUCT((P$3:P$102&lt;&gt;"")*(G$3:G$102=G73)*(J$3:J$102&gt;J73)*(I$3:I$102="P"))+1,IF(O73&lt;&gt;"",SUMPRODUCT((O$3:O$102&lt;&gt;"")*(P$3:P$102="")*(G$3:G$102=G73)*(J$3:J$102&gt;J73)*(I$3:I$102="P"))+SUMPRODUCT((P$3:P$102&lt;&gt;"")*(G$3:G$102=G73)*(I$3:I$102="P"))+1,IF(N73&lt;&gt;"",SUMPRODUCT((N$3:N$102&lt;&gt;"")*(G$3:G$102=G73)*(J$3:J$102&gt;J73)*(I$3:I$102="P"))+1,IF(M73="P",SUMPRODUCT((O$3:O$102&lt;&gt;"")*(P$3:P$102="")*(G$3:G$102=G73)*(I$3:I$102="P"))+SUMPRODUCT((P$3:P$102&lt;&gt;"")*(G$3:G$102=G73)*(I$3:I$102="P"))+SUMPRODUCT((N$3:N$102&lt;&gt;"")*(G$3:G$102=G73)*(I$3:I$102="P"))+SUMPRODUCT((P$3:P$102="")*(O$3:O$102="")*(N$3:N$102="")*(M$3:M$102="P")*(G$3:G$102=G73)*(J$3:J$102&gt;J73)*(I$3:I$102="P"))+IF(H73="L5",SUMPRODUCT((P$3:P$102="")*(O$3:O$102="")*(N$3:N$102="")*(M$3:M$102="P")*(G$3:G$102=G73)*(J$3:J$102&lt;J73)*(H$3:H$102&lt;&gt;H73)*(I$3:I$102="P")),-1*SUMPRODUCT((P$3:P$102="")*(O$3:O$102="")*(N$3:N$102="")*(M$3:M$102="P")*(G$3:G$102=G73)*(J$3:J$102&gt;J73)*(H$3:H$102="L5")*(I$3:I$102="P")))+1,"")))))</f>
        <v/>
      </c>
      <c r="B73" s="1" cm="1">
        <f t="array" ref="B73">IF(P73&lt;&gt;"",SUMPRODUCT((P$3:P$102&lt;&gt;"")*(G$3:G$102=G73)*(J$3:J$102&gt;J73))+1,IF(O73&lt;&gt;"",SUMPRODUCT((O$3:O$102&lt;&gt;"")*(P$3:P$102="")*(G$3:G$102=G73)*(J$3:J$102&gt;J73))+SUMPRODUCT((P$3:P$102&lt;&gt;"")*(G$3:G$102=G73))+1,IF(N73&lt;&gt;"",SUMPRODUCT((N$3:N$102&lt;&gt;"")*(G$3:G$102=G73)*(J$3:J$102&gt;J73))+1,IF(M73="P",SUMPRODUCT((O$3:O$102&lt;&gt;"")*(P$3:P$102="")*(G$3:G$102=G73))+SUMPRODUCT((P$3:P$102&lt;&gt;"")*(G$3:G$102=G73))+SUMPRODUCT((N$3:N$102&lt;&gt;"")*(G$3:G$102=G73))+SUMPRODUCT((P$3:P$102="")*(O$3:O$102="")*(N$3:N$102="")*(M$3:M$102="P")*(G$3:G$102=G73)*(J$3:J$102&gt;J73))+IF(H73="L5",SUMPRODUCT((P$3:P$102="")*(O$3:O$102="")*(N$3:N$102="")*(M$3:M$102="P")*(G$3:G$102=G73)*(J$3:J$102&lt;J73)*(H$3:H$102&lt;&gt;H73)),-1*SUMPRODUCT((P$3:P$102="")*(O$3:O$102="")*(N$3:N$102="")*(M$3:M$102="P")*(G$3:G$102=G73)*(J$3:J$102&gt;J73)*(H$3:H$102="L5")))+1,""))))</f>
        <v>3</v>
      </c>
      <c r="C73" s="35" t="s">
        <v>223</v>
      </c>
      <c r="D73" t="str">
        <f>IF(E73="","",VLOOKUP(E73,'Coaching Points'!A:B,2,0))</f>
        <v>ON</v>
      </c>
      <c r="E73" s="35" t="s">
        <v>84</v>
      </c>
      <c r="F73" s="34">
        <v>2010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211</v>
      </c>
      <c r="I73" s="40"/>
      <c r="J73" s="4">
        <f>R73+S73+IF(OR(H73="Junior",H73="Senior"),0.0002,IF(OR(H73="L7",H73="L6"),0.0001,0))+IF(G73="17-21",MAX(AA73,AC73,AF73),AE73)*0.0000001</f>
        <v>139.14020895400003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>P</v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>P</v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>P</v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89.54</v>
      </c>
      <c r="S73" s="4">
        <f>IF(G73="17-21",LARGE(CHOOSE({1,2,3,4,5,6},T73,V73,Y73,AA73,AC73,AF73),2),IF(R73=X73,MAX(Y73,AA73,AC73,AF73),IF(R73=AE73,MAX(AF73,T73,V73,Y73),0)))</f>
        <v>49.6</v>
      </c>
      <c r="T73" s="32">
        <v>39.630000000000003</v>
      </c>
      <c r="U73" s="37">
        <v>0</v>
      </c>
      <c r="V73" s="33">
        <v>48.31</v>
      </c>
      <c r="W73" s="37">
        <v>10.9</v>
      </c>
      <c r="X73" s="4">
        <f>IF(H73="Senior",MAX(T73,V73),T73+V73)</f>
        <v>87.94</v>
      </c>
      <c r="Y73" s="33">
        <v>5.24</v>
      </c>
      <c r="Z73" s="37">
        <v>1.5</v>
      </c>
      <c r="AA73" s="32">
        <v>40.020000000000003</v>
      </c>
      <c r="AB73" s="37">
        <v>0</v>
      </c>
      <c r="AC73" s="33">
        <v>49.52</v>
      </c>
      <c r="AD73" s="37">
        <v>10.9</v>
      </c>
      <c r="AE73" s="4">
        <f>IF(H73="Senior",MAX(AA73,AC73),AA73+AC73)</f>
        <v>89.54</v>
      </c>
      <c r="AF73" s="33">
        <v>49.6</v>
      </c>
      <c r="AG73" s="37">
        <v>10.9</v>
      </c>
    </row>
    <row r="74" spans="1:33" x14ac:dyDescent="0.2">
      <c r="A74" s="1" t="str" cm="1">
        <f t="array" ref="A74">IF(I74="","",IF(P74&lt;&gt;"",SUMPRODUCT((P$3:P$102&lt;&gt;"")*(G$3:G$102=G74)*(J$3:J$102&gt;J74)*(I$3:I$102="P"))+1,IF(O74&lt;&gt;"",SUMPRODUCT((O$3:O$102&lt;&gt;"")*(P$3:P$102="")*(G$3:G$102=G74)*(J$3:J$102&gt;J74)*(I$3:I$102="P"))+SUMPRODUCT((P$3:P$102&lt;&gt;"")*(G$3:G$102=G74)*(I$3:I$102="P"))+1,IF(N74&lt;&gt;"",SUMPRODUCT((N$3:N$102&lt;&gt;"")*(G$3:G$102=G74)*(J$3:J$102&gt;J74)*(I$3:I$102="P"))+1,IF(M74="P",SUMPRODUCT((O$3:O$102&lt;&gt;"")*(P$3:P$102="")*(G$3:G$102=G74)*(I$3:I$102="P"))+SUMPRODUCT((P$3:P$102&lt;&gt;"")*(G$3:G$102=G74)*(I$3:I$102="P"))+SUMPRODUCT((N$3:N$102&lt;&gt;"")*(G$3:G$102=G74)*(I$3:I$102="P"))+SUMPRODUCT((P$3:P$102="")*(O$3:O$102="")*(N$3:N$102="")*(M$3:M$102="P")*(G$3:G$102=G74)*(J$3:J$102&gt;J74)*(I$3:I$102="P"))+IF(H74="L5",SUMPRODUCT((P$3:P$102="")*(O$3:O$102="")*(N$3:N$102="")*(M$3:M$102="P")*(G$3:G$102=G74)*(J$3:J$102&lt;J74)*(H$3:H$102&lt;&gt;H74)*(I$3:I$102="P")),-1*SUMPRODUCT((P$3:P$102="")*(O$3:O$102="")*(N$3:N$102="")*(M$3:M$102="P")*(G$3:G$102=G74)*(J$3:J$102&gt;J74)*(H$3:H$102="L5")*(I$3:I$102="P")))+1,"")))))</f>
        <v/>
      </c>
      <c r="B74" s="1" cm="1">
        <f t="array" ref="B74">IF(P74&lt;&gt;"",SUMPRODUCT((P$3:P$102&lt;&gt;"")*(G$3:G$102=G74)*(J$3:J$102&gt;J74))+1,IF(O74&lt;&gt;"",SUMPRODUCT((O$3:O$102&lt;&gt;"")*(P$3:P$102="")*(G$3:G$102=G74)*(J$3:J$102&gt;J74))+SUMPRODUCT((P$3:P$102&lt;&gt;"")*(G$3:G$102=G74))+1,IF(N74&lt;&gt;"",SUMPRODUCT((N$3:N$102&lt;&gt;"")*(G$3:G$102=G74)*(J$3:J$102&gt;J74))+1,IF(M74="P",SUMPRODUCT((O$3:O$102&lt;&gt;"")*(P$3:P$102="")*(G$3:G$102=G74))+SUMPRODUCT((P$3:P$102&lt;&gt;"")*(G$3:G$102=G74))+SUMPRODUCT((N$3:N$102&lt;&gt;"")*(G$3:G$102=G74))+SUMPRODUCT((P$3:P$102="")*(O$3:O$102="")*(N$3:N$102="")*(M$3:M$102="P")*(G$3:G$102=G74)*(J$3:J$102&gt;J74))+IF(H74="L5",SUMPRODUCT((P$3:P$102="")*(O$3:O$102="")*(N$3:N$102="")*(M$3:M$102="P")*(G$3:G$102=G74)*(J$3:J$102&lt;J74)*(H$3:H$102&lt;&gt;H74)),-1*SUMPRODUCT((P$3:P$102="")*(O$3:O$102="")*(N$3:N$102="")*(M$3:M$102="P")*(G$3:G$102=G74)*(J$3:J$102&gt;J74)*(H$3:H$102="L5")))+1,""))))</f>
        <v>4</v>
      </c>
      <c r="C74" s="35" t="s">
        <v>219</v>
      </c>
      <c r="D74" t="str">
        <f>IF(E74="","",VLOOKUP(E74,'Coaching Points'!A:B,2,0))</f>
        <v>BC</v>
      </c>
      <c r="E74" s="35" t="s">
        <v>40</v>
      </c>
      <c r="F74" s="34">
        <v>2009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211</v>
      </c>
      <c r="I74" s="40"/>
      <c r="J74" s="4">
        <f>R74+S74+IF(OR(H74="Junior",H74="Senior"),0.0002,IF(OR(H74="L7",H74="L6"),0.0001,0))+IF(G74="17-21",MAX(AA74,AC74,AF74),AE74)*0.0000001</f>
        <v>139.02020902900003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>P</v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>P</v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>P</v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90.29</v>
      </c>
      <c r="S74" s="4">
        <f>IF(G74="17-21",LARGE(CHOOSE({1,2,3,4,5,6},T74,V74,Y74,AA74,AC74,AF74),2),IF(R74=X74,MAX(Y74,AA74,AC74,AF74),IF(R74=AE74,MAX(AF74,T74,V74,Y74),0)))</f>
        <v>48.73</v>
      </c>
      <c r="T74" s="32">
        <v>39.53</v>
      </c>
      <c r="U74" s="37">
        <v>0</v>
      </c>
      <c r="V74" s="33">
        <v>41.25</v>
      </c>
      <c r="W74" s="37">
        <v>8.4</v>
      </c>
      <c r="X74" s="4">
        <f>IF(H74="Senior",MAX(T74,V74),T74+V74)</f>
        <v>80.78</v>
      </c>
      <c r="Y74" s="33">
        <v>47.46</v>
      </c>
      <c r="Z74" s="37">
        <v>11</v>
      </c>
      <c r="AA74" s="32">
        <v>42.27</v>
      </c>
      <c r="AB74" s="37">
        <v>0</v>
      </c>
      <c r="AC74" s="33">
        <v>48.02</v>
      </c>
      <c r="AD74" s="37">
        <v>10.8</v>
      </c>
      <c r="AE74" s="4">
        <f>IF(H74="Senior",MAX(AA74,AC74),AA74+AC74)</f>
        <v>90.29</v>
      </c>
      <c r="AF74" s="33">
        <v>48.73</v>
      </c>
      <c r="AG74" s="37">
        <v>11.7</v>
      </c>
    </row>
    <row r="75" spans="1:33" x14ac:dyDescent="0.2">
      <c r="A75" s="1" t="str" cm="1">
        <f t="array" ref="A75">IF(I75="","",IF(P75&lt;&gt;"",SUMPRODUCT((P$3:P$102&lt;&gt;"")*(G$3:G$102=G75)*(J$3:J$102&gt;J75)*(I$3:I$102="P"))+1,IF(O75&lt;&gt;"",SUMPRODUCT((O$3:O$102&lt;&gt;"")*(P$3:P$102="")*(G$3:G$102=G75)*(J$3:J$102&gt;J75)*(I$3:I$102="P"))+SUMPRODUCT((P$3:P$102&lt;&gt;"")*(G$3:G$102=G75)*(I$3:I$102="P"))+1,IF(N75&lt;&gt;"",SUMPRODUCT((N$3:N$102&lt;&gt;"")*(G$3:G$102=G75)*(J$3:J$102&gt;J75)*(I$3:I$102="P"))+1,IF(M75="P",SUMPRODUCT((O$3:O$102&lt;&gt;"")*(P$3:P$102="")*(G$3:G$102=G75)*(I$3:I$102="P"))+SUMPRODUCT((P$3:P$102&lt;&gt;"")*(G$3:G$102=G75)*(I$3:I$102="P"))+SUMPRODUCT((N$3:N$102&lt;&gt;"")*(G$3:G$102=G75)*(I$3:I$102="P"))+SUMPRODUCT((P$3:P$102="")*(O$3:O$102="")*(N$3:N$102="")*(M$3:M$102="P")*(G$3:G$102=G75)*(J$3:J$102&gt;J75)*(I$3:I$102="P"))+IF(H75="L5",SUMPRODUCT((P$3:P$102="")*(O$3:O$102="")*(N$3:N$102="")*(M$3:M$102="P")*(G$3:G$102=G75)*(J$3:J$102&lt;J75)*(H$3:H$102&lt;&gt;H75)*(I$3:I$102="P")),-1*SUMPRODUCT((P$3:P$102="")*(O$3:O$102="")*(N$3:N$102="")*(M$3:M$102="P")*(G$3:G$102=G75)*(J$3:J$102&gt;J75)*(H$3:H$102="L5")*(I$3:I$102="P")))+1,"")))))</f>
        <v/>
      </c>
      <c r="B75" s="1" t="str" cm="1">
        <f t="array" ref="B75">IF(P75&lt;&gt;"",SUMPRODUCT((P$3:P$102&lt;&gt;"")*(G$3:G$102=G75)*(J$3:J$102&gt;J75))+1,IF(O75&lt;&gt;"",SUMPRODUCT((O$3:O$102&lt;&gt;"")*(P$3:P$102="")*(G$3:G$102=G75)*(J$3:J$102&gt;J75))+SUMPRODUCT((P$3:P$102&lt;&gt;"")*(G$3:G$102=G75))+1,IF(N75&lt;&gt;"",SUMPRODUCT((N$3:N$102&lt;&gt;"")*(G$3:G$102=G75)*(J$3:J$102&gt;J75))+1,IF(M75="P",SUMPRODUCT((O$3:O$102&lt;&gt;"")*(P$3:P$102="")*(G$3:G$102=G75))+SUMPRODUCT((P$3:P$102&lt;&gt;"")*(G$3:G$102=G75))+SUMPRODUCT((N$3:N$102&lt;&gt;"")*(G$3:G$102=G75))+SUMPRODUCT((P$3:P$102="")*(O$3:O$102="")*(N$3:N$102="")*(M$3:M$102="P")*(G$3:G$102=G75)*(J$3:J$102&gt;J75))+IF(H75="L5",SUMPRODUCT((P$3:P$102="")*(O$3:O$102="")*(N$3:N$102="")*(M$3:M$102="P")*(G$3:G$102=G75)*(J$3:J$102&lt;J75)*(H$3:H$102&lt;&gt;H75)),-1*SUMPRODUCT((P$3:P$102="")*(O$3:O$102="")*(N$3:N$102="")*(M$3:M$102="P")*(G$3:G$102=G75)*(J$3:J$102&gt;J75)*(H$3:H$102="L5")))+1,""))))</f>
        <v/>
      </c>
      <c r="C75" s="35" t="s">
        <v>436</v>
      </c>
      <c r="D75" t="str">
        <f>IF(E75="","",VLOOKUP(E75,'Coaching Points'!A:B,2,0))</f>
        <v>ON</v>
      </c>
      <c r="E75" s="35" t="s">
        <v>126</v>
      </c>
      <c r="F75" s="34">
        <v>2009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211</v>
      </c>
      <c r="I75" s="40"/>
      <c r="J75" s="4">
        <f>R75+S75+IF(OR(H75="Junior",H75="Senior"),0.0002,IF(OR(H75="L7",H75="L6"),0.0001,0))+IF(G75="17-21",MAX(AA75,AC75,AF75),AE75)*0.0000001</f>
        <v>134.28020866100002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86.61</v>
      </c>
      <c r="S75" s="4">
        <f>IF(G75="17-21",LARGE(CHOOSE({1,2,3,4,5,6},T75,V75,Y75,AA75,AC75,AF75),2),IF(R75=X75,MAX(Y75,AA75,AC75,AF75),IF(R75=AE75,MAX(AF75,T75,V75,Y75),0)))</f>
        <v>47.67</v>
      </c>
      <c r="T75" s="32"/>
      <c r="U75" s="37"/>
      <c r="V75" s="33"/>
      <c r="W75" s="37"/>
      <c r="X75" s="4">
        <f>IF(H75="Senior",MAX(T75,V75),T75+V75)</f>
        <v>0</v>
      </c>
      <c r="Y75" s="33"/>
      <c r="Z75" s="37"/>
      <c r="AA75" s="32">
        <v>40.47</v>
      </c>
      <c r="AB75" s="37">
        <v>0</v>
      </c>
      <c r="AC75" s="33">
        <v>46.14</v>
      </c>
      <c r="AD75" s="37">
        <v>9.1999999999999993</v>
      </c>
      <c r="AE75" s="4">
        <f>IF(H75="Senior",MAX(AA75,AC75),AA75+AC75)</f>
        <v>86.61</v>
      </c>
      <c r="AF75" s="33">
        <v>47.67</v>
      </c>
      <c r="AG75" s="37">
        <v>9.1999999999999993</v>
      </c>
    </row>
    <row r="76" spans="1:33" x14ac:dyDescent="0.2">
      <c r="A76" s="1" t="str" cm="1">
        <f t="array" ref="A76">IF(I76="","",IF(P76&lt;&gt;"",SUMPRODUCT((P$3:P$102&lt;&gt;"")*(G$3:G$102=G76)*(J$3:J$102&gt;J76)*(I$3:I$102="P"))+1,IF(O76&lt;&gt;"",SUMPRODUCT((O$3:O$102&lt;&gt;"")*(P$3:P$102="")*(G$3:G$102=G76)*(J$3:J$102&gt;J76)*(I$3:I$102="P"))+SUMPRODUCT((P$3:P$102&lt;&gt;"")*(G$3:G$102=G76)*(I$3:I$102="P"))+1,IF(N76&lt;&gt;"",SUMPRODUCT((N$3:N$102&lt;&gt;"")*(G$3:G$102=G76)*(J$3:J$102&gt;J76)*(I$3:I$102="P"))+1,IF(M76="P",SUMPRODUCT((O$3:O$102&lt;&gt;"")*(P$3:P$102="")*(G$3:G$102=G76)*(I$3:I$102="P"))+SUMPRODUCT((P$3:P$102&lt;&gt;"")*(G$3:G$102=G76)*(I$3:I$102="P"))+SUMPRODUCT((N$3:N$102&lt;&gt;"")*(G$3:G$102=G76)*(I$3:I$102="P"))+SUMPRODUCT((P$3:P$102="")*(O$3:O$102="")*(N$3:N$102="")*(M$3:M$102="P")*(G$3:G$102=G76)*(J$3:J$102&gt;J76)*(I$3:I$102="P"))+IF(H76="L5",SUMPRODUCT((P$3:P$102="")*(O$3:O$102="")*(N$3:N$102="")*(M$3:M$102="P")*(G$3:G$102=G76)*(J$3:J$102&lt;J76)*(H$3:H$102&lt;&gt;H76)*(I$3:I$102="P")),-1*SUMPRODUCT((P$3:P$102="")*(O$3:O$102="")*(N$3:N$102="")*(M$3:M$102="P")*(G$3:G$102=G76)*(J$3:J$102&gt;J76)*(H$3:H$102="L5")*(I$3:I$102="P")))+1,"")))))</f>
        <v/>
      </c>
      <c r="B76" s="1" t="str" cm="1">
        <f t="array" ref="B76">IF(P76&lt;&gt;"",SUMPRODUCT((P$3:P$102&lt;&gt;"")*(G$3:G$102=G76)*(J$3:J$102&gt;J76))+1,IF(O76&lt;&gt;"",SUMPRODUCT((O$3:O$102&lt;&gt;"")*(P$3:P$102="")*(G$3:G$102=G76)*(J$3:J$102&gt;J76))+SUMPRODUCT((P$3:P$102&lt;&gt;"")*(G$3:G$102=G76))+1,IF(N76&lt;&gt;"",SUMPRODUCT((N$3:N$102&lt;&gt;"")*(G$3:G$102=G76)*(J$3:J$102&gt;J76))+1,IF(M76="P",SUMPRODUCT((O$3:O$102&lt;&gt;"")*(P$3:P$102="")*(G$3:G$102=G76))+SUMPRODUCT((P$3:P$102&lt;&gt;"")*(G$3:G$102=G76))+SUMPRODUCT((N$3:N$102&lt;&gt;"")*(G$3:G$102=G76))+SUMPRODUCT((P$3:P$102="")*(O$3:O$102="")*(N$3:N$102="")*(M$3:M$102="P")*(G$3:G$102=G76)*(J$3:J$102&gt;J76))+IF(H76="L5",SUMPRODUCT((P$3:P$102="")*(O$3:O$102="")*(N$3:N$102="")*(M$3:M$102="P")*(G$3:G$102=G76)*(J$3:J$102&lt;J76)*(H$3:H$102&lt;&gt;H76)),-1*SUMPRODUCT((P$3:P$102="")*(O$3:O$102="")*(N$3:N$102="")*(M$3:M$102="P")*(G$3:G$102=G76)*(J$3:J$102&gt;J76)*(H$3:H$102="L5")))+1,""))))</f>
        <v/>
      </c>
      <c r="C76" s="35" t="s">
        <v>257</v>
      </c>
      <c r="D76" t="str">
        <f>IF(E76="","",VLOOKUP(E76,'Coaching Points'!A:B,2,0))</f>
        <v>AB</v>
      </c>
      <c r="E76" s="35" t="s">
        <v>28</v>
      </c>
      <c r="F76" s="34">
        <v>2009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R76+S76+IF(OR(H76="Junior",H76="Senior"),0.0002,IF(OR(H76="L7",H76="L6"),0.0001,0))+IF(G76="17-21",MAX(AA76,AC76,AF76),AE76)*0.0000001</f>
        <v>131.39000853099998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85.31</v>
      </c>
      <c r="S76" s="4">
        <f>IF(G76="17-21",LARGE(CHOOSE({1,2,3,4,5,6},T76,V76,Y76,AA76,AC76,AF76),2),IF(R76=X76,MAX(Y76,AA76,AC76,AF76),IF(R76=AE76,MAX(AF76,T76,V76,Y76),0)))</f>
        <v>46.08</v>
      </c>
      <c r="T76" s="32">
        <v>37.57</v>
      </c>
      <c r="U76" s="37">
        <v>0</v>
      </c>
      <c r="V76" s="33">
        <v>40.11</v>
      </c>
      <c r="W76" s="37">
        <v>5.6</v>
      </c>
      <c r="X76" s="4">
        <f>IF(H76="Senior",MAX(T76,V76),T76+V76)</f>
        <v>77.680000000000007</v>
      </c>
      <c r="Y76" s="33">
        <v>19.350000000000001</v>
      </c>
      <c r="Z76" s="37">
        <v>3.5</v>
      </c>
      <c r="AA76" s="32">
        <v>39.07</v>
      </c>
      <c r="AB76" s="37">
        <v>0</v>
      </c>
      <c r="AC76" s="33">
        <v>46.24</v>
      </c>
      <c r="AD76" s="37">
        <v>8.1</v>
      </c>
      <c r="AE76" s="4">
        <f>IF(H76="Senior",MAX(AA76,AC76),AA76+AC76)</f>
        <v>85.31</v>
      </c>
      <c r="AF76" s="33">
        <v>46.08</v>
      </c>
      <c r="AG76" s="37">
        <v>8.1</v>
      </c>
    </row>
    <row r="77" spans="1:33" x14ac:dyDescent="0.2">
      <c r="A77" s="1" t="str" cm="1">
        <f t="array" ref="A77">IF(I77="","",IF(P77&lt;&gt;"",SUMPRODUCT((P$3:P$102&lt;&gt;"")*(G$3:G$102=G77)*(J$3:J$102&gt;J77)*(I$3:I$102="P"))+1,IF(O77&lt;&gt;"",SUMPRODUCT((O$3:O$102&lt;&gt;"")*(P$3:P$102="")*(G$3:G$102=G77)*(J$3:J$102&gt;J77)*(I$3:I$102="P"))+SUMPRODUCT((P$3:P$102&lt;&gt;"")*(G$3:G$102=G77)*(I$3:I$102="P"))+1,IF(N77&lt;&gt;"",SUMPRODUCT((N$3:N$102&lt;&gt;"")*(G$3:G$102=G77)*(J$3:J$102&gt;J77)*(I$3:I$102="P"))+1,IF(M77="P",SUMPRODUCT((O$3:O$102&lt;&gt;"")*(P$3:P$102="")*(G$3:G$102=G77)*(I$3:I$102="P"))+SUMPRODUCT((P$3:P$102&lt;&gt;"")*(G$3:G$102=G77)*(I$3:I$102="P"))+SUMPRODUCT((N$3:N$102&lt;&gt;"")*(G$3:G$102=G77)*(I$3:I$102="P"))+SUMPRODUCT((P$3:P$102="")*(O$3:O$102="")*(N$3:N$102="")*(M$3:M$102="P")*(G$3:G$102=G77)*(J$3:J$102&gt;J77)*(I$3:I$102="P"))+IF(H77="L5",SUMPRODUCT((P$3:P$102="")*(O$3:O$102="")*(N$3:N$102="")*(M$3:M$102="P")*(G$3:G$102=G77)*(J$3:J$102&lt;J77)*(H$3:H$102&lt;&gt;H77)*(I$3:I$102="P")),-1*SUMPRODUCT((P$3:P$102="")*(O$3:O$102="")*(N$3:N$102="")*(M$3:M$102="P")*(G$3:G$102=G77)*(J$3:J$102&gt;J77)*(H$3:H$102="L5")*(I$3:I$102="P")))+1,"")))))</f>
        <v/>
      </c>
      <c r="B77" s="1" t="str" cm="1">
        <f t="array" ref="B77">IF(P77&lt;&gt;"",SUMPRODUCT((P$3:P$102&lt;&gt;"")*(G$3:G$102=G77)*(J$3:J$102&gt;J77))+1,IF(O77&lt;&gt;"",SUMPRODUCT((O$3:O$102&lt;&gt;"")*(P$3:P$102="")*(G$3:G$102=G77)*(J$3:J$102&gt;J77))+SUMPRODUCT((P$3:P$102&lt;&gt;"")*(G$3:G$102=G77))+1,IF(N77&lt;&gt;"",SUMPRODUCT((N$3:N$102&lt;&gt;"")*(G$3:G$102=G77)*(J$3:J$102&gt;J77))+1,IF(M77="P",SUMPRODUCT((O$3:O$102&lt;&gt;"")*(P$3:P$102="")*(G$3:G$102=G77))+SUMPRODUCT((P$3:P$102&lt;&gt;"")*(G$3:G$102=G77))+SUMPRODUCT((N$3:N$102&lt;&gt;"")*(G$3:G$102=G77))+SUMPRODUCT((P$3:P$102="")*(O$3:O$102="")*(N$3:N$102="")*(M$3:M$102="P")*(G$3:G$102=G77)*(J$3:J$102&gt;J77))+IF(H77="L5",SUMPRODUCT((P$3:P$102="")*(O$3:O$102="")*(N$3:N$102="")*(M$3:M$102="P")*(G$3:G$102=G77)*(J$3:J$102&lt;J77)*(H$3:H$102&lt;&gt;H77)),-1*SUMPRODUCT((P$3:P$102="")*(O$3:O$102="")*(N$3:N$102="")*(M$3:M$102="P")*(G$3:G$102=G77)*(J$3:J$102&gt;J77)*(H$3:H$102="L5")))+1,""))))</f>
        <v/>
      </c>
      <c r="C77" s="35" t="s">
        <v>249</v>
      </c>
      <c r="D77" t="str">
        <f>IF(E77="","",VLOOKUP(E77,'Coaching Points'!A:B,2,0))</f>
        <v>BC</v>
      </c>
      <c r="E77" s="35" t="s">
        <v>36</v>
      </c>
      <c r="F77" s="34">
        <v>2010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R77+S77+IF(OR(H77="Junior",H77="Senior"),0.0002,IF(OR(H77="L7",H77="L6"),0.0001,0))+IF(G77="17-21",MAX(AA77,AC77,AF77),AE77)*0.0000001</f>
        <v>130.54000837799998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83.78</v>
      </c>
      <c r="S77" s="4">
        <f>IF(G77="17-21",LARGE(CHOOSE({1,2,3,4,5,6},T77,V77,Y77,AA77,AC77,AF77),2),IF(R77=X77,MAX(Y77,AA77,AC77,AF77),IF(R77=AE77,MAX(AF77,T77,V77,Y77),0)))</f>
        <v>46.76</v>
      </c>
      <c r="T77" s="32">
        <v>37.44</v>
      </c>
      <c r="U77" s="37">
        <v>0</v>
      </c>
      <c r="V77" s="33">
        <v>45</v>
      </c>
      <c r="W77" s="37">
        <v>8</v>
      </c>
      <c r="X77" s="4">
        <f>IF(H77="Senior",MAX(T77,V77),T77+V77)</f>
        <v>82.44</v>
      </c>
      <c r="Y77" s="33">
        <v>45.55</v>
      </c>
      <c r="Z77" s="37">
        <v>8.5</v>
      </c>
      <c r="AA77" s="32">
        <v>40.119999999999997</v>
      </c>
      <c r="AB77" s="37">
        <v>0</v>
      </c>
      <c r="AC77" s="33">
        <v>43.66</v>
      </c>
      <c r="AD77" s="37">
        <v>7.3</v>
      </c>
      <c r="AE77" s="4">
        <f>IF(H77="Senior",MAX(AA77,AC77),AA77+AC77)</f>
        <v>83.78</v>
      </c>
      <c r="AF77" s="33">
        <v>46.76</v>
      </c>
      <c r="AG77" s="37">
        <v>8.6</v>
      </c>
    </row>
    <row r="78" spans="1:33" x14ac:dyDescent="0.2">
      <c r="A78" s="1" t="str" cm="1">
        <f t="array" ref="A78">IF(I78="","",IF(P78&lt;&gt;"",SUMPRODUCT((P$3:P$102&lt;&gt;"")*(G$3:G$102=G78)*(J$3:J$102&gt;J78)*(I$3:I$102="P"))+1,IF(O78&lt;&gt;"",SUMPRODUCT((O$3:O$102&lt;&gt;"")*(P$3:P$102="")*(G$3:G$102=G78)*(J$3:J$102&gt;J78)*(I$3:I$102="P"))+SUMPRODUCT((P$3:P$102&lt;&gt;"")*(G$3:G$102=G78)*(I$3:I$102="P"))+1,IF(N78&lt;&gt;"",SUMPRODUCT((N$3:N$102&lt;&gt;"")*(G$3:G$102=G78)*(J$3:J$102&gt;J78)*(I$3:I$102="P"))+1,IF(M78="P",SUMPRODUCT((O$3:O$102&lt;&gt;"")*(P$3:P$102="")*(G$3:G$102=G78)*(I$3:I$102="P"))+SUMPRODUCT((P$3:P$102&lt;&gt;"")*(G$3:G$102=G78)*(I$3:I$102="P"))+SUMPRODUCT((N$3:N$102&lt;&gt;"")*(G$3:G$102=G78)*(I$3:I$102="P"))+SUMPRODUCT((P$3:P$102="")*(O$3:O$102="")*(N$3:N$102="")*(M$3:M$102="P")*(G$3:G$102=G78)*(J$3:J$102&gt;J78)*(I$3:I$102="P"))+IF(H78="L5",SUMPRODUCT((P$3:P$102="")*(O$3:O$102="")*(N$3:N$102="")*(M$3:M$102="P")*(G$3:G$102=G78)*(J$3:J$102&lt;J78)*(H$3:H$102&lt;&gt;H78)*(I$3:I$102="P")),-1*SUMPRODUCT((P$3:P$102="")*(O$3:O$102="")*(N$3:N$102="")*(M$3:M$102="P")*(G$3:G$102=G78)*(J$3:J$102&gt;J78)*(H$3:H$102="L5")*(I$3:I$102="P")))+1,"")))))</f>
        <v/>
      </c>
      <c r="B78" s="1" t="str" cm="1">
        <f t="array" ref="B78">IF(P78&lt;&gt;"",SUMPRODUCT((P$3:P$102&lt;&gt;"")*(G$3:G$102=G78)*(J$3:J$102&gt;J78))+1,IF(O78&lt;&gt;"",SUMPRODUCT((O$3:O$102&lt;&gt;"")*(P$3:P$102="")*(G$3:G$102=G78)*(J$3:J$102&gt;J78))+SUMPRODUCT((P$3:P$102&lt;&gt;"")*(G$3:G$102=G78))+1,IF(N78&lt;&gt;"",SUMPRODUCT((N$3:N$102&lt;&gt;"")*(G$3:G$102=G78)*(J$3:J$102&gt;J78))+1,IF(M78="P",SUMPRODUCT((O$3:O$102&lt;&gt;"")*(P$3:P$102="")*(G$3:G$102=G78))+SUMPRODUCT((P$3:P$102&lt;&gt;"")*(G$3:G$102=G78))+SUMPRODUCT((N$3:N$102&lt;&gt;"")*(G$3:G$102=G78))+SUMPRODUCT((P$3:P$102="")*(O$3:O$102="")*(N$3:N$102="")*(M$3:M$102="P")*(G$3:G$102=G78)*(J$3:J$102&gt;J78))+IF(H78="L5",SUMPRODUCT((P$3:P$102="")*(O$3:O$102="")*(N$3:N$102="")*(M$3:M$102="P")*(G$3:G$102=G78)*(J$3:J$102&lt;J78)*(H$3:H$102&lt;&gt;H78)),-1*SUMPRODUCT((P$3:P$102="")*(O$3:O$102="")*(N$3:N$102="")*(M$3:M$102="P")*(G$3:G$102=G78)*(J$3:J$102&gt;J78)*(H$3:H$102="L5")))+1,""))))</f>
        <v/>
      </c>
      <c r="C78" s="35" t="s">
        <v>222</v>
      </c>
      <c r="D78" t="str">
        <f>IF(E78="","",VLOOKUP(E78,'Coaching Points'!A:B,2,0))</f>
        <v>AB</v>
      </c>
      <c r="E78" s="35" t="s">
        <v>39</v>
      </c>
      <c r="F78" s="34">
        <v>2010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>R78+S78+IF(OR(H78="Junior",H78="Senior"),0.0002,IF(OR(H78="L7",H78="L6"),0.0001,0))+IF(G78="17-21",MAX(AA78,AC78,AF78),AE78)*0.0000001</f>
        <v>130.47020850000001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85</v>
      </c>
      <c r="S78" s="4">
        <f>IF(G78="17-21",LARGE(CHOOSE({1,2,3,4,5,6},T78,V78,Y78,AA78,AC78,AF78),2),IF(R78=X78,MAX(Y78,AA78,AC78,AF78),IF(R78=AE78,MAX(AF78,T78,V78,Y78),0)))</f>
        <v>45.47</v>
      </c>
      <c r="T78" s="32">
        <v>37.29</v>
      </c>
      <c r="U78" s="37">
        <v>0</v>
      </c>
      <c r="V78" s="33">
        <v>45.47</v>
      </c>
      <c r="W78" s="37">
        <v>10.1</v>
      </c>
      <c r="X78" s="4">
        <f>IF(H78="Senior",MAX(T78,V78),T78+V78)</f>
        <v>82.759999999999991</v>
      </c>
      <c r="Y78" s="33">
        <v>45.46</v>
      </c>
      <c r="Z78" s="37">
        <v>10.1</v>
      </c>
      <c r="AA78" s="32">
        <v>37.47</v>
      </c>
      <c r="AB78" s="37">
        <v>0</v>
      </c>
      <c r="AC78" s="33">
        <v>47.53</v>
      </c>
      <c r="AD78" s="37">
        <v>10.1</v>
      </c>
      <c r="AE78" s="4">
        <f>IF(H78="Senior",MAX(AA78,AC78),AA78+AC78)</f>
        <v>85</v>
      </c>
      <c r="AF78" s="33">
        <v>27.6</v>
      </c>
      <c r="AG78" s="37">
        <v>5.6</v>
      </c>
    </row>
    <row r="79" spans="1:33" x14ac:dyDescent="0.2">
      <c r="A79" s="1" t="str" cm="1">
        <f t="array" ref="A79">IF(I79="","",IF(P79&lt;&gt;"",SUMPRODUCT((P$3:P$102&lt;&gt;"")*(G$3:G$102=G79)*(J$3:J$102&gt;J79)*(I$3:I$102="P"))+1,IF(O79&lt;&gt;"",SUMPRODUCT((O$3:O$102&lt;&gt;"")*(P$3:P$102="")*(G$3:G$102=G79)*(J$3:J$102&gt;J79)*(I$3:I$102="P"))+SUMPRODUCT((P$3:P$102&lt;&gt;"")*(G$3:G$102=G79)*(I$3:I$102="P"))+1,IF(N79&lt;&gt;"",SUMPRODUCT((N$3:N$102&lt;&gt;"")*(G$3:G$102=G79)*(J$3:J$102&gt;J79)*(I$3:I$102="P"))+1,IF(M79="P",SUMPRODUCT((O$3:O$102&lt;&gt;"")*(P$3:P$102="")*(G$3:G$102=G79)*(I$3:I$102="P"))+SUMPRODUCT((P$3:P$102&lt;&gt;"")*(G$3:G$102=G79)*(I$3:I$102="P"))+SUMPRODUCT((N$3:N$102&lt;&gt;"")*(G$3:G$102=G79)*(I$3:I$102="P"))+SUMPRODUCT((P$3:P$102="")*(O$3:O$102="")*(N$3:N$102="")*(M$3:M$102="P")*(G$3:G$102=G79)*(J$3:J$102&gt;J79)*(I$3:I$102="P"))+IF(H79="L5",SUMPRODUCT((P$3:P$102="")*(O$3:O$102="")*(N$3:N$102="")*(M$3:M$102="P")*(G$3:G$102=G79)*(J$3:J$102&lt;J79)*(H$3:H$102&lt;&gt;H79)*(I$3:I$102="P")),-1*SUMPRODUCT((P$3:P$102="")*(O$3:O$102="")*(N$3:N$102="")*(M$3:M$102="P")*(G$3:G$102=G79)*(J$3:J$102&gt;J79)*(H$3:H$102="L5")*(I$3:I$102="P")))+1,"")))))</f>
        <v/>
      </c>
      <c r="B79" s="1" t="str" cm="1">
        <f t="array" ref="B79">IF(P79&lt;&gt;"",SUMPRODUCT((P$3:P$102&lt;&gt;"")*(G$3:G$102=G79)*(J$3:J$102&gt;J79))+1,IF(O79&lt;&gt;"",SUMPRODUCT((O$3:O$102&lt;&gt;"")*(P$3:P$102="")*(G$3:G$102=G79)*(J$3:J$102&gt;J79))+SUMPRODUCT((P$3:P$102&lt;&gt;"")*(G$3:G$102=G79))+1,IF(N79&lt;&gt;"",SUMPRODUCT((N$3:N$102&lt;&gt;"")*(G$3:G$102=G79)*(J$3:J$102&gt;J79))+1,IF(M79="P",SUMPRODUCT((O$3:O$102&lt;&gt;"")*(P$3:P$102="")*(G$3:G$102=G79))+SUMPRODUCT((P$3:P$102&lt;&gt;"")*(G$3:G$102=G79))+SUMPRODUCT((N$3:N$102&lt;&gt;"")*(G$3:G$102=G79))+SUMPRODUCT((P$3:P$102="")*(O$3:O$102="")*(N$3:N$102="")*(M$3:M$102="P")*(G$3:G$102=G79)*(J$3:J$102&gt;J79))+IF(H79="L5",SUMPRODUCT((P$3:P$102="")*(O$3:O$102="")*(N$3:N$102="")*(M$3:M$102="P")*(G$3:G$102=G79)*(J$3:J$102&lt;J79)*(H$3:H$102&lt;&gt;H79)),-1*SUMPRODUCT((P$3:P$102="")*(O$3:O$102="")*(N$3:N$102="")*(M$3:M$102="P")*(G$3:G$102=G79)*(J$3:J$102&gt;J79)*(H$3:H$102="L5")))+1,""))))</f>
        <v/>
      </c>
      <c r="C79" s="35" t="s">
        <v>221</v>
      </c>
      <c r="D79" t="str">
        <f>IF(E79="","",VLOOKUP(E79,'Coaching Points'!A:B,2,0))</f>
        <v>ON</v>
      </c>
      <c r="E79" s="35" t="s">
        <v>135</v>
      </c>
      <c r="F79" s="34">
        <v>2009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211</v>
      </c>
      <c r="I79" s="40"/>
      <c r="J79" s="4">
        <f>R79+S79+IF(OR(H79="Junior",H79="Senior"),0.0002,IF(OR(H79="L7",H79="L6"),0.0001,0))+IF(G79="17-21",MAX(AA79,AC79,AF79),AE79)*0.0000001</f>
        <v>129.55020534200003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/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83.52000000000001</v>
      </c>
      <c r="S79" s="4">
        <f>IF(G79="17-21",LARGE(CHOOSE({1,2,3,4,5,6},T79,V79,Y79,AA79,AC79,AF79),2),IF(R79=X79,MAX(Y79,AA79,AC79,AF79),IF(R79=AE79,MAX(AF79,T79,V79,Y79),0)))</f>
        <v>46.03</v>
      </c>
      <c r="T79" s="32">
        <v>39.35</v>
      </c>
      <c r="U79" s="37">
        <v>0</v>
      </c>
      <c r="V79" s="33">
        <v>44.17</v>
      </c>
      <c r="W79" s="37">
        <v>9</v>
      </c>
      <c r="X79" s="4">
        <f>IF(H79="Senior",MAX(T79,V79),T79+V79)</f>
        <v>83.52000000000001</v>
      </c>
      <c r="Y79" s="33">
        <v>46.03</v>
      </c>
      <c r="Z79" s="37">
        <v>9</v>
      </c>
      <c r="AA79" s="32">
        <v>39.29</v>
      </c>
      <c r="AB79" s="37">
        <v>0</v>
      </c>
      <c r="AC79" s="33">
        <v>14.13</v>
      </c>
      <c r="AD79" s="37">
        <v>3.4</v>
      </c>
      <c r="AE79" s="4">
        <f>IF(H79="Senior",MAX(AA79,AC79),AA79+AC79)</f>
        <v>53.42</v>
      </c>
      <c r="AF79" s="33">
        <v>42.96</v>
      </c>
      <c r="AG79" s="37">
        <v>9.3000000000000007</v>
      </c>
    </row>
    <row r="80" spans="1:33" x14ac:dyDescent="0.2">
      <c r="A80" s="1" t="str" cm="1">
        <f t="array" ref="A80">IF(I80="","",IF(P80&lt;&gt;"",SUMPRODUCT((P$3:P$102&lt;&gt;"")*(G$3:G$102=G80)*(J$3:J$102&gt;J80)*(I$3:I$102="P"))+1,IF(O80&lt;&gt;"",SUMPRODUCT((O$3:O$102&lt;&gt;"")*(P$3:P$102="")*(G$3:G$102=G80)*(J$3:J$102&gt;J80)*(I$3:I$102="P"))+SUMPRODUCT((P$3:P$102&lt;&gt;"")*(G$3:G$102=G80)*(I$3:I$102="P"))+1,IF(N80&lt;&gt;"",SUMPRODUCT((N$3:N$102&lt;&gt;"")*(G$3:G$102=G80)*(J$3:J$102&gt;J80)*(I$3:I$102="P"))+1,IF(M80="P",SUMPRODUCT((O$3:O$102&lt;&gt;"")*(P$3:P$102="")*(G$3:G$102=G80)*(I$3:I$102="P"))+SUMPRODUCT((P$3:P$102&lt;&gt;"")*(G$3:G$102=G80)*(I$3:I$102="P"))+SUMPRODUCT((N$3:N$102&lt;&gt;"")*(G$3:G$102=G80)*(I$3:I$102="P"))+SUMPRODUCT((P$3:P$102="")*(O$3:O$102="")*(N$3:N$102="")*(M$3:M$102="P")*(G$3:G$102=G80)*(J$3:J$102&gt;J80)*(I$3:I$102="P"))+IF(H80="L5",SUMPRODUCT((P$3:P$102="")*(O$3:O$102="")*(N$3:N$102="")*(M$3:M$102="P")*(G$3:G$102=G80)*(J$3:J$102&lt;J80)*(H$3:H$102&lt;&gt;H80)*(I$3:I$102="P")),-1*SUMPRODUCT((P$3:P$102="")*(O$3:O$102="")*(N$3:N$102="")*(M$3:M$102="P")*(G$3:G$102=G80)*(J$3:J$102&gt;J80)*(H$3:H$102="L5")*(I$3:I$102="P")))+1,"")))))</f>
        <v/>
      </c>
      <c r="B80" s="1" t="str" cm="1">
        <f t="array" ref="B80">IF(P80&lt;&gt;"",SUMPRODUCT((P$3:P$102&lt;&gt;"")*(G$3:G$102=G80)*(J$3:J$102&gt;J80))+1,IF(O80&lt;&gt;"",SUMPRODUCT((O$3:O$102&lt;&gt;"")*(P$3:P$102="")*(G$3:G$102=G80)*(J$3:J$102&gt;J80))+SUMPRODUCT((P$3:P$102&lt;&gt;"")*(G$3:G$102=G80))+1,IF(N80&lt;&gt;"",SUMPRODUCT((N$3:N$102&lt;&gt;"")*(G$3:G$102=G80)*(J$3:J$102&gt;J80))+1,IF(M80="P",SUMPRODUCT((O$3:O$102&lt;&gt;"")*(P$3:P$102="")*(G$3:G$102=G80))+SUMPRODUCT((P$3:P$102&lt;&gt;"")*(G$3:G$102=G80))+SUMPRODUCT((N$3:N$102&lt;&gt;"")*(G$3:G$102=G80))+SUMPRODUCT((P$3:P$102="")*(O$3:O$102="")*(N$3:N$102="")*(M$3:M$102="P")*(G$3:G$102=G80)*(J$3:J$102&gt;J80))+IF(H80="L5",SUMPRODUCT((P$3:P$102="")*(O$3:O$102="")*(N$3:N$102="")*(M$3:M$102="P")*(G$3:G$102=G80)*(J$3:J$102&lt;J80)*(H$3:H$102&lt;&gt;H80)),-1*SUMPRODUCT((P$3:P$102="")*(O$3:O$102="")*(N$3:N$102="")*(M$3:M$102="P")*(G$3:G$102=G80)*(J$3:J$102&gt;J80)*(H$3:H$102="L5")))+1,""))))</f>
        <v/>
      </c>
      <c r="C80" s="35" t="s">
        <v>250</v>
      </c>
      <c r="D80" t="str">
        <f>IF(E80="","",VLOOKUP(E80,'Coaching Points'!A:B,2,0))</f>
        <v>BC</v>
      </c>
      <c r="E80" s="35" t="s">
        <v>40</v>
      </c>
      <c r="F80" s="34">
        <v>2010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>R80+S80+IF(OR(H80="Junior",H80="Senior"),0.0002,IF(OR(H80="L7",H80="L6"),0.0001,0))+IF(G80="17-21",MAX(AA80,AC80,AF80),AE80)*0.0000001</f>
        <v>128.45000328100002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83.550000000000011</v>
      </c>
      <c r="S80" s="4">
        <f>IF(G80="17-21",LARGE(CHOOSE({1,2,3,4,5,6},T80,V80,Y80,AA80,AC80,AF80),2),IF(R80=X80,MAX(Y80,AA80,AC80,AF80),IF(R80=AE80,MAX(AF80,T80,V80,Y80),0)))</f>
        <v>44.9</v>
      </c>
      <c r="T80" s="32">
        <v>39.78</v>
      </c>
      <c r="U80" s="37">
        <v>0</v>
      </c>
      <c r="V80" s="33">
        <v>43.77</v>
      </c>
      <c r="W80" s="37">
        <v>9.6</v>
      </c>
      <c r="X80" s="4">
        <f>IF(H80="Senior",MAX(T80,V80),T80+V80)</f>
        <v>83.550000000000011</v>
      </c>
      <c r="Y80" s="33">
        <v>44.9</v>
      </c>
      <c r="Z80" s="37">
        <v>9.6</v>
      </c>
      <c r="AA80" s="32">
        <v>27.67</v>
      </c>
      <c r="AB80" s="37">
        <v>0</v>
      </c>
      <c r="AC80" s="33">
        <v>5.14</v>
      </c>
      <c r="AD80" s="37">
        <v>1.5</v>
      </c>
      <c r="AE80" s="4">
        <f>IF(H80="Senior",MAX(AA80,AC80),AA80+AC80)</f>
        <v>32.81</v>
      </c>
      <c r="AF80" s="33"/>
      <c r="AG80" s="37"/>
    </row>
    <row r="81" spans="1:33" x14ac:dyDescent="0.2">
      <c r="A81" s="1" t="str" cm="1">
        <f t="array" ref="A81">IF(I81="","",IF(P81&lt;&gt;"",SUMPRODUCT((P$3:P$102&lt;&gt;"")*(G$3:G$102=G81)*(J$3:J$102&gt;J81)*(I$3:I$102="P"))+1,IF(O81&lt;&gt;"",SUMPRODUCT((O$3:O$102&lt;&gt;"")*(P$3:P$102="")*(G$3:G$102=G81)*(J$3:J$102&gt;J81)*(I$3:I$102="P"))+SUMPRODUCT((P$3:P$102&lt;&gt;"")*(G$3:G$102=G81)*(I$3:I$102="P"))+1,IF(N81&lt;&gt;"",SUMPRODUCT((N$3:N$102&lt;&gt;"")*(G$3:G$102=G81)*(J$3:J$102&gt;J81)*(I$3:I$102="P"))+1,IF(M81="P",SUMPRODUCT((O$3:O$102&lt;&gt;"")*(P$3:P$102="")*(G$3:G$102=G81)*(I$3:I$102="P"))+SUMPRODUCT((P$3:P$102&lt;&gt;"")*(G$3:G$102=G81)*(I$3:I$102="P"))+SUMPRODUCT((N$3:N$102&lt;&gt;"")*(G$3:G$102=G81)*(I$3:I$102="P"))+SUMPRODUCT((P$3:P$102="")*(O$3:O$102="")*(N$3:N$102="")*(M$3:M$102="P")*(G$3:G$102=G81)*(J$3:J$102&gt;J81)*(I$3:I$102="P"))+IF(H81="L5",SUMPRODUCT((P$3:P$102="")*(O$3:O$102="")*(N$3:N$102="")*(M$3:M$102="P")*(G$3:G$102=G81)*(J$3:J$102&lt;J81)*(H$3:H$102&lt;&gt;H81)*(I$3:I$102="P")),-1*SUMPRODUCT((P$3:P$102="")*(O$3:O$102="")*(N$3:N$102="")*(M$3:M$102="P")*(G$3:G$102=G81)*(J$3:J$102&gt;J81)*(H$3:H$102="L5")*(I$3:I$102="P")))+1,"")))))</f>
        <v/>
      </c>
      <c r="B81" s="1" t="str" cm="1">
        <f t="array" ref="B81">IF(P81&lt;&gt;"",SUMPRODUCT((P$3:P$102&lt;&gt;"")*(G$3:G$102=G81)*(J$3:J$102&gt;J81))+1,IF(O81&lt;&gt;"",SUMPRODUCT((O$3:O$102&lt;&gt;"")*(P$3:P$102="")*(G$3:G$102=G81)*(J$3:J$102&gt;J81))+SUMPRODUCT((P$3:P$102&lt;&gt;"")*(G$3:G$102=G81))+1,IF(N81&lt;&gt;"",SUMPRODUCT((N$3:N$102&lt;&gt;"")*(G$3:G$102=G81)*(J$3:J$102&gt;J81))+1,IF(M81="P",SUMPRODUCT((O$3:O$102&lt;&gt;"")*(P$3:P$102="")*(G$3:G$102=G81))+SUMPRODUCT((P$3:P$102&lt;&gt;"")*(G$3:G$102=G81))+SUMPRODUCT((N$3:N$102&lt;&gt;"")*(G$3:G$102=G81))+SUMPRODUCT((P$3:P$102="")*(O$3:O$102="")*(N$3:N$102="")*(M$3:M$102="P")*(G$3:G$102=G81)*(J$3:J$102&gt;J81))+IF(H81="L5",SUMPRODUCT((P$3:P$102="")*(O$3:O$102="")*(N$3:N$102="")*(M$3:M$102="P")*(G$3:G$102=G81)*(J$3:J$102&lt;J81)*(H$3:H$102&lt;&gt;H81)),-1*SUMPRODUCT((P$3:P$102="")*(O$3:O$102="")*(N$3:N$102="")*(M$3:M$102="P")*(G$3:G$102=G81)*(J$3:J$102&gt;J81)*(H$3:H$102="L5")))+1,""))))</f>
        <v/>
      </c>
      <c r="C81" s="35" t="s">
        <v>253</v>
      </c>
      <c r="D81" t="str">
        <f>IF(E81="","",VLOOKUP(E81,'Coaching Points'!A:B,2,0))</f>
        <v>NL</v>
      </c>
      <c r="E81" s="35" t="s">
        <v>141</v>
      </c>
      <c r="F81" s="34">
        <v>2009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214</v>
      </c>
      <c r="I81" s="40"/>
      <c r="J81" s="4">
        <f>R81+S81+IF(OR(H81="Junior",H81="Senior"),0.0002,IF(OR(H81="L7",H81="L6"),0.0001,0))+IF(G81="17-21",MAX(AA81,AC81,AF81),AE81)*0.0000001</f>
        <v>128.200008139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82.240000000000009</v>
      </c>
      <c r="S81" s="4">
        <f>IF(G81="17-21",LARGE(CHOOSE({1,2,3,4,5,6},T81,V81,Y81,AA81,AC81,AF81),2),IF(R81=X81,MAX(Y81,AA81,AC81,AF81),IF(R81=AE81,MAX(AF81,T81,V81,Y81),0)))</f>
        <v>45.96</v>
      </c>
      <c r="T81" s="32">
        <v>37.5</v>
      </c>
      <c r="U81" s="37">
        <v>0</v>
      </c>
      <c r="V81" s="33">
        <v>44.74</v>
      </c>
      <c r="W81" s="37">
        <v>7.9</v>
      </c>
      <c r="X81" s="4">
        <f>IF(H81="Senior",MAX(T81,V81),T81+V81)</f>
        <v>82.240000000000009</v>
      </c>
      <c r="Y81" s="33">
        <v>43.55</v>
      </c>
      <c r="Z81" s="37">
        <v>7.9</v>
      </c>
      <c r="AA81" s="32">
        <v>37.85</v>
      </c>
      <c r="AB81" s="37">
        <v>0</v>
      </c>
      <c r="AC81" s="33">
        <v>43.54</v>
      </c>
      <c r="AD81" s="37">
        <v>8.6</v>
      </c>
      <c r="AE81" s="4">
        <f>IF(H81="Senior",MAX(AA81,AC81),AA81+AC81)</f>
        <v>81.39</v>
      </c>
      <c r="AF81" s="33">
        <v>45.96</v>
      </c>
      <c r="AG81" s="37">
        <v>8.6</v>
      </c>
    </row>
    <row r="82" spans="1:33" x14ac:dyDescent="0.2">
      <c r="A82" s="1" t="str" cm="1">
        <f t="array" ref="A82">IF(I82="","",IF(P82&lt;&gt;"",SUMPRODUCT((P$3:P$102&lt;&gt;"")*(G$3:G$102=G82)*(J$3:J$102&gt;J82)*(I$3:I$102="P"))+1,IF(O82&lt;&gt;"",SUMPRODUCT((O$3:O$102&lt;&gt;"")*(P$3:P$102="")*(G$3:G$102=G82)*(J$3:J$102&gt;J82)*(I$3:I$102="P"))+SUMPRODUCT((P$3:P$102&lt;&gt;"")*(G$3:G$102=G82)*(I$3:I$102="P"))+1,IF(N82&lt;&gt;"",SUMPRODUCT((N$3:N$102&lt;&gt;"")*(G$3:G$102=G82)*(J$3:J$102&gt;J82)*(I$3:I$102="P"))+1,IF(M82="P",SUMPRODUCT((O$3:O$102&lt;&gt;"")*(P$3:P$102="")*(G$3:G$102=G82)*(I$3:I$102="P"))+SUMPRODUCT((P$3:P$102&lt;&gt;"")*(G$3:G$102=G82)*(I$3:I$102="P"))+SUMPRODUCT((N$3:N$102&lt;&gt;"")*(G$3:G$102=G82)*(I$3:I$102="P"))+SUMPRODUCT((P$3:P$102="")*(O$3:O$102="")*(N$3:N$102="")*(M$3:M$102="P")*(G$3:G$102=G82)*(J$3:J$102&gt;J82)*(I$3:I$102="P"))+IF(H82="L5",SUMPRODUCT((P$3:P$102="")*(O$3:O$102="")*(N$3:N$102="")*(M$3:M$102="P")*(G$3:G$102=G82)*(J$3:J$102&lt;J82)*(H$3:H$102&lt;&gt;H82)*(I$3:I$102="P")),-1*SUMPRODUCT((P$3:P$102="")*(O$3:O$102="")*(N$3:N$102="")*(M$3:M$102="P")*(G$3:G$102=G82)*(J$3:J$102&gt;J82)*(H$3:H$102="L5")*(I$3:I$102="P")))+1,"")))))</f>
        <v/>
      </c>
      <c r="B82" s="1" t="str" cm="1">
        <f t="array" ref="B82">IF(P82&lt;&gt;"",SUMPRODUCT((P$3:P$102&lt;&gt;"")*(G$3:G$102=G82)*(J$3:J$102&gt;J82))+1,IF(O82&lt;&gt;"",SUMPRODUCT((O$3:O$102&lt;&gt;"")*(P$3:P$102="")*(G$3:G$102=G82)*(J$3:J$102&gt;J82))+SUMPRODUCT((P$3:P$102&lt;&gt;"")*(G$3:G$102=G82))+1,IF(N82&lt;&gt;"",SUMPRODUCT((N$3:N$102&lt;&gt;"")*(G$3:G$102=G82)*(J$3:J$102&gt;J82))+1,IF(M82="P",SUMPRODUCT((O$3:O$102&lt;&gt;"")*(P$3:P$102="")*(G$3:G$102=G82))+SUMPRODUCT((P$3:P$102&lt;&gt;"")*(G$3:G$102=G82))+SUMPRODUCT((N$3:N$102&lt;&gt;"")*(G$3:G$102=G82))+SUMPRODUCT((P$3:P$102="")*(O$3:O$102="")*(N$3:N$102="")*(M$3:M$102="P")*(G$3:G$102=G82)*(J$3:J$102&gt;J82))+IF(H82="L5",SUMPRODUCT((P$3:P$102="")*(O$3:O$102="")*(N$3:N$102="")*(M$3:M$102="P")*(G$3:G$102=G82)*(J$3:J$102&lt;J82)*(H$3:H$102&lt;&gt;H82)),-1*SUMPRODUCT((P$3:P$102="")*(O$3:O$102="")*(N$3:N$102="")*(M$3:M$102="P")*(G$3:G$102=G82)*(J$3:J$102&gt;J82)*(H$3:H$102="L5")))+1,""))))</f>
        <v/>
      </c>
      <c r="C82" s="35" t="s">
        <v>415</v>
      </c>
      <c r="D82" t="str">
        <f>IF(E82="","",VLOOKUP(E82,'Coaching Points'!A:B,2,0))</f>
        <v>QC</v>
      </c>
      <c r="E82" s="35" t="s">
        <v>99</v>
      </c>
      <c r="F82" s="34">
        <v>2009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6" t="s">
        <v>214</v>
      </c>
      <c r="I82" s="40"/>
      <c r="J82" s="4">
        <f>R82+S82+IF(OR(H82="Junior",H82="Senior"),0.0002,IF(OR(H82="L7",H82="L6"),0.0001,0))+IF(G82="17-21",MAX(AA82,AC82,AF82),AE82)*0.0000001</f>
        <v>126.97000831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83.1</v>
      </c>
      <c r="S82" s="4">
        <f>IF(G82="17-21",LARGE(CHOOSE({1,2,3,4,5,6},T82,V82,Y82,AA82,AC82,AF82),2),IF(R82=X82,MAX(Y82,AA82,AC82,AF82),IF(R82=AE82,MAX(AF82,T82,V82,Y82),0)))</f>
        <v>43.87</v>
      </c>
      <c r="T82" s="32"/>
      <c r="U82" s="37"/>
      <c r="V82" s="33"/>
      <c r="W82" s="37"/>
      <c r="X82" s="4">
        <f>IF(H82="Senior",MAX(T82,V82),T82+V82)</f>
        <v>0</v>
      </c>
      <c r="Y82" s="33"/>
      <c r="Z82" s="37"/>
      <c r="AA82" s="32">
        <v>38.18</v>
      </c>
      <c r="AB82" s="37">
        <v>0</v>
      </c>
      <c r="AC82" s="33">
        <v>44.92</v>
      </c>
      <c r="AD82" s="37">
        <v>8.6</v>
      </c>
      <c r="AE82" s="4">
        <f>IF(H82="Senior",MAX(AA82,AC82),AA82+AC82)</f>
        <v>83.1</v>
      </c>
      <c r="AF82" s="33">
        <v>43.87</v>
      </c>
      <c r="AG82" s="37">
        <v>7.3</v>
      </c>
    </row>
    <row r="83" spans="1:33" x14ac:dyDescent="0.2">
      <c r="A83" s="1" t="str" cm="1">
        <f t="array" ref="A83">IF(I83="","",IF(P83&lt;&gt;"",SUMPRODUCT((P$3:P$102&lt;&gt;"")*(G$3:G$102=G83)*(J$3:J$102&gt;J83)*(I$3:I$102="P"))+1,IF(O83&lt;&gt;"",SUMPRODUCT((O$3:O$102&lt;&gt;"")*(P$3:P$102="")*(G$3:G$102=G83)*(J$3:J$102&gt;J83)*(I$3:I$102="P"))+SUMPRODUCT((P$3:P$102&lt;&gt;"")*(G$3:G$102=G83)*(I$3:I$102="P"))+1,IF(N83&lt;&gt;"",SUMPRODUCT((N$3:N$102&lt;&gt;"")*(G$3:G$102=G83)*(J$3:J$102&gt;J83)*(I$3:I$102="P"))+1,IF(M83="P",SUMPRODUCT((O$3:O$102&lt;&gt;"")*(P$3:P$102="")*(G$3:G$102=G83)*(I$3:I$102="P"))+SUMPRODUCT((P$3:P$102&lt;&gt;"")*(G$3:G$102=G83)*(I$3:I$102="P"))+SUMPRODUCT((N$3:N$102&lt;&gt;"")*(G$3:G$102=G83)*(I$3:I$102="P"))+SUMPRODUCT((P$3:P$102="")*(O$3:O$102="")*(N$3:N$102="")*(M$3:M$102="P")*(G$3:G$102=G83)*(J$3:J$102&gt;J83)*(I$3:I$102="P"))+IF(H83="L5",SUMPRODUCT((P$3:P$102="")*(O$3:O$102="")*(N$3:N$102="")*(M$3:M$102="P")*(G$3:G$102=G83)*(J$3:J$102&lt;J83)*(H$3:H$102&lt;&gt;H83)*(I$3:I$102="P")),-1*SUMPRODUCT((P$3:P$102="")*(O$3:O$102="")*(N$3:N$102="")*(M$3:M$102="P")*(G$3:G$102=G83)*(J$3:J$102&gt;J83)*(H$3:H$102="L5")*(I$3:I$102="P")))+1,"")))))</f>
        <v/>
      </c>
      <c r="B83" s="1" t="str" cm="1">
        <f t="array" ref="B83">IF(P83&lt;&gt;"",SUMPRODUCT((P$3:P$102&lt;&gt;"")*(G$3:G$102=G83)*(J$3:J$102&gt;J83))+1,IF(O83&lt;&gt;"",SUMPRODUCT((O$3:O$102&lt;&gt;"")*(P$3:P$102="")*(G$3:G$102=G83)*(J$3:J$102&gt;J83))+SUMPRODUCT((P$3:P$102&lt;&gt;"")*(G$3:G$102=G83))+1,IF(N83&lt;&gt;"",SUMPRODUCT((N$3:N$102&lt;&gt;"")*(G$3:G$102=G83)*(J$3:J$102&gt;J83))+1,IF(M83="P",SUMPRODUCT((O$3:O$102&lt;&gt;"")*(P$3:P$102="")*(G$3:G$102=G83))+SUMPRODUCT((P$3:P$102&lt;&gt;"")*(G$3:G$102=G83))+SUMPRODUCT((N$3:N$102&lt;&gt;"")*(G$3:G$102=G83))+SUMPRODUCT((P$3:P$102="")*(O$3:O$102="")*(N$3:N$102="")*(M$3:M$102="P")*(G$3:G$102=G83)*(J$3:J$102&gt;J83))+IF(H83="L5",SUMPRODUCT((P$3:P$102="")*(O$3:O$102="")*(N$3:N$102="")*(M$3:M$102="P")*(G$3:G$102=G83)*(J$3:J$102&lt;J83)*(H$3:H$102&lt;&gt;H83)),-1*SUMPRODUCT((P$3:P$102="")*(O$3:O$102="")*(N$3:N$102="")*(M$3:M$102="P")*(G$3:G$102=G83)*(J$3:J$102&gt;J83)*(H$3:H$102="L5")))+1,""))))</f>
        <v/>
      </c>
      <c r="C83" s="35" t="s">
        <v>224</v>
      </c>
      <c r="D83" t="str">
        <f>IF(E83="","",VLOOKUP(E83,'Coaching Points'!A:B,2,0))</f>
        <v>AB</v>
      </c>
      <c r="E83" s="35" t="s">
        <v>39</v>
      </c>
      <c r="F83" s="34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6" t="s">
        <v>211</v>
      </c>
      <c r="I83" s="40"/>
      <c r="J83" s="4">
        <f>R83+S83+IF(OR(H83="Junior",H83="Senior"),0.0002,IF(OR(H83="L7",H83="L6"),0.0001,0))+IF(G83="17-21",MAX(AA83,AC83,AF83),AE83)*0.0000001</f>
        <v>126.680208088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80.88</v>
      </c>
      <c r="S83" s="4">
        <f>IF(G83="17-21",LARGE(CHOOSE({1,2,3,4,5,6},T83,V83,Y83,AA83,AC83,AF83),2),IF(R83=X83,MAX(Y83,AA83,AC83,AF83),IF(R83=AE83,MAX(AF83,T83,V83,Y83),0)))</f>
        <v>45.8</v>
      </c>
      <c r="T83" s="32">
        <v>37.64</v>
      </c>
      <c r="U83" s="37">
        <v>0</v>
      </c>
      <c r="V83" s="33">
        <v>41</v>
      </c>
      <c r="W83" s="37">
        <v>8.3000000000000007</v>
      </c>
      <c r="X83" s="4">
        <f>IF(H83="Senior",MAX(T83,V83),T83+V83)</f>
        <v>78.64</v>
      </c>
      <c r="Y83" s="33">
        <v>0</v>
      </c>
      <c r="Z83" s="37">
        <v>0</v>
      </c>
      <c r="AA83" s="32">
        <v>38.880000000000003</v>
      </c>
      <c r="AB83" s="37">
        <v>0</v>
      </c>
      <c r="AC83" s="33">
        <v>42</v>
      </c>
      <c r="AD83" s="37">
        <v>8.6999999999999993</v>
      </c>
      <c r="AE83" s="4">
        <f>IF(H83="Senior",MAX(AA83,AC83),AA83+AC83)</f>
        <v>80.88</v>
      </c>
      <c r="AF83" s="33">
        <v>45.8</v>
      </c>
      <c r="AG83" s="37">
        <v>9.6</v>
      </c>
    </row>
    <row r="84" spans="1:33" x14ac:dyDescent="0.2">
      <c r="A84" s="1" t="str" cm="1">
        <f t="array" ref="A84">IF(I84="","",IF(P84&lt;&gt;"",SUMPRODUCT((P$3:P$102&lt;&gt;"")*(G$3:G$102=G84)*(J$3:J$102&gt;J84)*(I$3:I$102="P"))+1,IF(O84&lt;&gt;"",SUMPRODUCT((O$3:O$102&lt;&gt;"")*(P$3:P$102="")*(G$3:G$102=G84)*(J$3:J$102&gt;J84)*(I$3:I$102="P"))+SUMPRODUCT((P$3:P$102&lt;&gt;"")*(G$3:G$102=G84)*(I$3:I$102="P"))+1,IF(N84&lt;&gt;"",SUMPRODUCT((N$3:N$102&lt;&gt;"")*(G$3:G$102=G84)*(J$3:J$102&gt;J84)*(I$3:I$102="P"))+1,IF(M84="P",SUMPRODUCT((O$3:O$102&lt;&gt;"")*(P$3:P$102="")*(G$3:G$102=G84)*(I$3:I$102="P"))+SUMPRODUCT((P$3:P$102&lt;&gt;"")*(G$3:G$102=G84)*(I$3:I$102="P"))+SUMPRODUCT((N$3:N$102&lt;&gt;"")*(G$3:G$102=G84)*(I$3:I$102="P"))+SUMPRODUCT((P$3:P$102="")*(O$3:O$102="")*(N$3:N$102="")*(M$3:M$102="P")*(G$3:G$102=G84)*(J$3:J$102&gt;J84)*(I$3:I$102="P"))+IF(H84="L5",SUMPRODUCT((P$3:P$102="")*(O$3:O$102="")*(N$3:N$102="")*(M$3:M$102="P")*(G$3:G$102=G84)*(J$3:J$102&lt;J84)*(H$3:H$102&lt;&gt;H84)*(I$3:I$102="P")),-1*SUMPRODUCT((P$3:P$102="")*(O$3:O$102="")*(N$3:N$102="")*(M$3:M$102="P")*(G$3:G$102=G84)*(J$3:J$102&gt;J84)*(H$3:H$102="L5")*(I$3:I$102="P")))+1,"")))))</f>
        <v/>
      </c>
      <c r="B84" s="1" t="str" cm="1">
        <f t="array" ref="B84">IF(P84&lt;&gt;"",SUMPRODUCT((P$3:P$102&lt;&gt;"")*(G$3:G$102=G84)*(J$3:J$102&gt;J84))+1,IF(O84&lt;&gt;"",SUMPRODUCT((O$3:O$102&lt;&gt;"")*(P$3:P$102="")*(G$3:G$102=G84)*(J$3:J$102&gt;J84))+SUMPRODUCT((P$3:P$102&lt;&gt;"")*(G$3:G$102=G84))+1,IF(N84&lt;&gt;"",SUMPRODUCT((N$3:N$102&lt;&gt;"")*(G$3:G$102=G84)*(J$3:J$102&gt;J84))+1,IF(M84="P",SUMPRODUCT((O$3:O$102&lt;&gt;"")*(P$3:P$102="")*(G$3:G$102=G84))+SUMPRODUCT((P$3:P$102&lt;&gt;"")*(G$3:G$102=G84))+SUMPRODUCT((N$3:N$102&lt;&gt;"")*(G$3:G$102=G84))+SUMPRODUCT((P$3:P$102="")*(O$3:O$102="")*(N$3:N$102="")*(M$3:M$102="P")*(G$3:G$102=G84)*(J$3:J$102&gt;J84))+IF(H84="L5",SUMPRODUCT((P$3:P$102="")*(O$3:O$102="")*(N$3:N$102="")*(M$3:M$102="P")*(G$3:G$102=G84)*(J$3:J$102&lt;J84)*(H$3:H$102&lt;&gt;H84)),-1*SUMPRODUCT((P$3:P$102="")*(O$3:O$102="")*(N$3:N$102="")*(M$3:M$102="P")*(G$3:G$102=G84)*(J$3:J$102&gt;J84)*(H$3:H$102="L5")))+1,""))))</f>
        <v/>
      </c>
      <c r="C84" s="35" t="s">
        <v>416</v>
      </c>
      <c r="D84" t="str">
        <f>IF(E84="","",VLOOKUP(E84,'Coaching Points'!A:B,2,0))</f>
        <v>AB</v>
      </c>
      <c r="E84" s="35" t="s">
        <v>39</v>
      </c>
      <c r="F84" s="34">
        <v>2010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6" t="s">
        <v>214</v>
      </c>
      <c r="I84" s="40"/>
      <c r="J84" s="4">
        <f>R84+S84+IF(OR(H84="Junior",H84="Senior"),0.0002,IF(OR(H84="L7",H84="L6"),0.0001,0))+IF(G84="17-21",MAX(AA84,AC84,AF84),AE84)*0.0000001</f>
        <v>125.12000821800001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/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1" t="str">
        <f>IF(A84&lt;5,IF(_xlfn.MAXIFS(A:A,G:G,G84)&gt;3,5-A84,_xlfn.MAXIFS(A:A,G:G,G84)+1-A84),"")</f>
        <v/>
      </c>
      <c r="R84" s="4">
        <f>IF(G84="17-21",MAX(T84,V84,Y84,AA84,AC84,AF84),MAX(X84,AE84))</f>
        <v>82.18</v>
      </c>
      <c r="S84" s="4">
        <f>IF(G84="17-21",LARGE(CHOOSE({1,2,3,4,5,6},T84,V84,Y84,AA84,AC84,AF84),2),IF(R84=X84,MAX(Y84,AA84,AC84,AF84),IF(R84=AE84,MAX(AF84,T84,V84,Y84),0)))</f>
        <v>42.94</v>
      </c>
      <c r="T84" s="32"/>
      <c r="U84" s="37"/>
      <c r="V84" s="33"/>
      <c r="W84" s="37"/>
      <c r="X84" s="4">
        <f>IF(H84="Senior",MAX(T84,V84),T84+V84)</f>
        <v>0</v>
      </c>
      <c r="Y84" s="33"/>
      <c r="Z84" s="37"/>
      <c r="AA84" s="32">
        <v>36.75</v>
      </c>
      <c r="AB84" s="37">
        <v>0</v>
      </c>
      <c r="AC84" s="33">
        <v>45.43</v>
      </c>
      <c r="AD84" s="37">
        <v>8.6</v>
      </c>
      <c r="AE84" s="4">
        <f>IF(H84="Senior",MAX(AA84,AC84),AA84+AC84)</f>
        <v>82.18</v>
      </c>
      <c r="AF84" s="33">
        <v>42.94</v>
      </c>
      <c r="AG84" s="37">
        <v>8.1</v>
      </c>
    </row>
    <row r="85" spans="1:33" x14ac:dyDescent="0.2">
      <c r="A85" s="1" t="str" cm="1">
        <f t="array" ref="A85">IF(I85="","",IF(P85&lt;&gt;"",SUMPRODUCT((P$3:P$102&lt;&gt;"")*(G$3:G$102=G85)*(J$3:J$102&gt;J85)*(I$3:I$102="P"))+1,IF(O85&lt;&gt;"",SUMPRODUCT((O$3:O$102&lt;&gt;"")*(P$3:P$102="")*(G$3:G$102=G85)*(J$3:J$102&gt;J85)*(I$3:I$102="P"))+SUMPRODUCT((P$3:P$102&lt;&gt;"")*(G$3:G$102=G85)*(I$3:I$102="P"))+1,IF(N85&lt;&gt;"",SUMPRODUCT((N$3:N$102&lt;&gt;"")*(G$3:G$102=G85)*(J$3:J$102&gt;J85)*(I$3:I$102="P"))+1,IF(M85="P",SUMPRODUCT((O$3:O$102&lt;&gt;"")*(P$3:P$102="")*(G$3:G$102=G85)*(I$3:I$102="P"))+SUMPRODUCT((P$3:P$102&lt;&gt;"")*(G$3:G$102=G85)*(I$3:I$102="P"))+SUMPRODUCT((N$3:N$102&lt;&gt;"")*(G$3:G$102=G85)*(I$3:I$102="P"))+SUMPRODUCT((P$3:P$102="")*(O$3:O$102="")*(N$3:N$102="")*(M$3:M$102="P")*(G$3:G$102=G85)*(J$3:J$102&gt;J85)*(I$3:I$102="P"))+IF(H85="L5",SUMPRODUCT((P$3:P$102="")*(O$3:O$102="")*(N$3:N$102="")*(M$3:M$102="P")*(G$3:G$102=G85)*(J$3:J$102&lt;J85)*(H$3:H$102&lt;&gt;H85)*(I$3:I$102="P")),-1*SUMPRODUCT((P$3:P$102="")*(O$3:O$102="")*(N$3:N$102="")*(M$3:M$102="P")*(G$3:G$102=G85)*(J$3:J$102&gt;J85)*(H$3:H$102="L5")*(I$3:I$102="P")))+1,"")))))</f>
        <v/>
      </c>
      <c r="B85" s="1" t="str" cm="1">
        <f t="array" ref="B85">IF(P85&lt;&gt;"",SUMPRODUCT((P$3:P$102&lt;&gt;"")*(G$3:G$102=G85)*(J$3:J$102&gt;J85))+1,IF(O85&lt;&gt;"",SUMPRODUCT((O$3:O$102&lt;&gt;"")*(P$3:P$102="")*(G$3:G$102=G85)*(J$3:J$102&gt;J85))+SUMPRODUCT((P$3:P$102&lt;&gt;"")*(G$3:G$102=G85))+1,IF(N85&lt;&gt;"",SUMPRODUCT((N$3:N$102&lt;&gt;"")*(G$3:G$102=G85)*(J$3:J$102&gt;J85))+1,IF(M85="P",SUMPRODUCT((O$3:O$102&lt;&gt;"")*(P$3:P$102="")*(G$3:G$102=G85))+SUMPRODUCT((P$3:P$102&lt;&gt;"")*(G$3:G$102=G85))+SUMPRODUCT((N$3:N$102&lt;&gt;"")*(G$3:G$102=G85))+SUMPRODUCT((P$3:P$102="")*(O$3:O$102="")*(N$3:N$102="")*(M$3:M$102="P")*(G$3:G$102=G85)*(J$3:J$102&gt;J85))+IF(H85="L5",SUMPRODUCT((P$3:P$102="")*(O$3:O$102="")*(N$3:N$102="")*(M$3:M$102="P")*(G$3:G$102=G85)*(J$3:J$102&lt;J85)*(H$3:H$102&lt;&gt;H85)),-1*SUMPRODUCT((P$3:P$102="")*(O$3:O$102="")*(N$3:N$102="")*(M$3:M$102="P")*(G$3:G$102=G85)*(J$3:J$102&gt;J85)*(H$3:H$102="L5")))+1,""))))</f>
        <v/>
      </c>
      <c r="C85" s="35" t="s">
        <v>252</v>
      </c>
      <c r="D85" t="str">
        <f>IF(E85="","",VLOOKUP(E85,'Coaching Points'!A:B,2,0))</f>
        <v>QC</v>
      </c>
      <c r="E85" s="35" t="s">
        <v>75</v>
      </c>
      <c r="F85" s="34">
        <v>2010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6" t="s">
        <v>214</v>
      </c>
      <c r="I85" s="40"/>
      <c r="J85" s="4">
        <f>R85+S85+IF(OR(H85="Junior",H85="Senior"),0.0002,IF(OR(H85="L7",H85="L6"),0.0001,0))+IF(G85="17-21",MAX(AA85,AC85,AF85),AE85)*0.0000001</f>
        <v>124.05000000000001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/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79.67</v>
      </c>
      <c r="S85" s="4">
        <f>IF(G85="17-21",LARGE(CHOOSE({1,2,3,4,5,6},T85,V85,Y85,AA85,AC85,AF85),2),IF(R85=X85,MAX(Y85,AA85,AC85,AF85),IF(R85=AE85,MAX(AF85,T85,V85,Y85),0)))</f>
        <v>44.38</v>
      </c>
      <c r="T85" s="32">
        <v>36.21</v>
      </c>
      <c r="U85" s="37">
        <v>0</v>
      </c>
      <c r="V85" s="33">
        <v>43.46</v>
      </c>
      <c r="W85" s="37">
        <v>7.9</v>
      </c>
      <c r="X85" s="4">
        <f>IF(H85="Senior",MAX(T85,V85),T85+V85)</f>
        <v>79.67</v>
      </c>
      <c r="Y85" s="33">
        <v>44.38</v>
      </c>
      <c r="Z85" s="37">
        <v>8.5</v>
      </c>
      <c r="AA85" s="32"/>
      <c r="AB85" s="37"/>
      <c r="AC85" s="33"/>
      <c r="AD85" s="37"/>
      <c r="AE85" s="4">
        <f>IF(H85="Senior",MAX(AA85,AC85),AA85+AC85)</f>
        <v>0</v>
      </c>
      <c r="AF85" s="33"/>
      <c r="AG85" s="37"/>
    </row>
    <row r="86" spans="1:33" x14ac:dyDescent="0.2">
      <c r="A86" s="1" t="str" cm="1">
        <f t="array" ref="A86">IF(I86="","",IF(P86&lt;&gt;"",SUMPRODUCT((P$3:P$102&lt;&gt;"")*(G$3:G$102=G86)*(J$3:J$102&gt;J86)*(I$3:I$102="P"))+1,IF(O86&lt;&gt;"",SUMPRODUCT((O$3:O$102&lt;&gt;"")*(P$3:P$102="")*(G$3:G$102=G86)*(J$3:J$102&gt;J86)*(I$3:I$102="P"))+SUMPRODUCT((P$3:P$102&lt;&gt;"")*(G$3:G$102=G86)*(I$3:I$102="P"))+1,IF(N86&lt;&gt;"",SUMPRODUCT((N$3:N$102&lt;&gt;"")*(G$3:G$102=G86)*(J$3:J$102&gt;J86)*(I$3:I$102="P"))+1,IF(M86="P",SUMPRODUCT((O$3:O$102&lt;&gt;"")*(P$3:P$102="")*(G$3:G$102=G86)*(I$3:I$102="P"))+SUMPRODUCT((P$3:P$102&lt;&gt;"")*(G$3:G$102=G86)*(I$3:I$102="P"))+SUMPRODUCT((N$3:N$102&lt;&gt;"")*(G$3:G$102=G86)*(I$3:I$102="P"))+SUMPRODUCT((P$3:P$102="")*(O$3:O$102="")*(N$3:N$102="")*(M$3:M$102="P")*(G$3:G$102=G86)*(J$3:J$102&gt;J86)*(I$3:I$102="P"))+IF(H86="L5",SUMPRODUCT((P$3:P$102="")*(O$3:O$102="")*(N$3:N$102="")*(M$3:M$102="P")*(G$3:G$102=G86)*(J$3:J$102&lt;J86)*(H$3:H$102&lt;&gt;H86)*(I$3:I$102="P")),-1*SUMPRODUCT((P$3:P$102="")*(O$3:O$102="")*(N$3:N$102="")*(M$3:M$102="P")*(G$3:G$102=G86)*(J$3:J$102&gt;J86)*(H$3:H$102="L5")*(I$3:I$102="P")))+1,"")))))</f>
        <v/>
      </c>
      <c r="B86" s="1" t="str" cm="1">
        <f t="array" ref="B86">IF(P86&lt;&gt;"",SUMPRODUCT((P$3:P$102&lt;&gt;"")*(G$3:G$102=G86)*(J$3:J$102&gt;J86))+1,IF(O86&lt;&gt;"",SUMPRODUCT((O$3:O$102&lt;&gt;"")*(P$3:P$102="")*(G$3:G$102=G86)*(J$3:J$102&gt;J86))+SUMPRODUCT((P$3:P$102&lt;&gt;"")*(G$3:G$102=G86))+1,IF(N86&lt;&gt;"",SUMPRODUCT((N$3:N$102&lt;&gt;"")*(G$3:G$102=G86)*(J$3:J$102&gt;J86))+1,IF(M86="P",SUMPRODUCT((O$3:O$102&lt;&gt;"")*(P$3:P$102="")*(G$3:G$102=G86))+SUMPRODUCT((P$3:P$102&lt;&gt;"")*(G$3:G$102=G86))+SUMPRODUCT((N$3:N$102&lt;&gt;"")*(G$3:G$102=G86))+SUMPRODUCT((P$3:P$102="")*(O$3:O$102="")*(N$3:N$102="")*(M$3:M$102="P")*(G$3:G$102=G86)*(J$3:J$102&gt;J86))+IF(H86="L5",SUMPRODUCT((P$3:P$102="")*(O$3:O$102="")*(N$3:N$102="")*(M$3:M$102="P")*(G$3:G$102=G86)*(J$3:J$102&lt;J86)*(H$3:H$102&lt;&gt;H86)),-1*SUMPRODUCT((P$3:P$102="")*(O$3:O$102="")*(N$3:N$102="")*(M$3:M$102="P")*(G$3:G$102=G86)*(J$3:J$102&gt;J86)*(H$3:H$102="L5")))+1,""))))</f>
        <v/>
      </c>
      <c r="C86" s="35" t="s">
        <v>255</v>
      </c>
      <c r="D86" t="str">
        <f>IF(E86="","",VLOOKUP(E86,'Coaching Points'!A:B,2,0))</f>
        <v>AB</v>
      </c>
      <c r="E86" s="35" t="s">
        <v>28</v>
      </c>
      <c r="F86" s="34">
        <v>2010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6" t="s">
        <v>214</v>
      </c>
      <c r="I86" s="40"/>
      <c r="J86" s="4">
        <f>R86+S86+IF(OR(H86="Junior",H86="Senior"),0.0002,IF(OR(H86="L7",H86="L6"),0.0001,0))+IF(G86="17-21",MAX(AA86,AC86,AF86),AE86)*0.0000001</f>
        <v>122.420007563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80.59</v>
      </c>
      <c r="S86" s="4">
        <f>IF(G86="17-21",LARGE(CHOOSE({1,2,3,4,5,6},T86,V86,Y86,AA86,AC86,AF86),2),IF(R86=X86,MAX(Y86,AA86,AC86,AF86),IF(R86=AE86,MAX(AF86,T86,V86,Y86),0)))</f>
        <v>41.83</v>
      </c>
      <c r="T86" s="32">
        <v>36.67</v>
      </c>
      <c r="U86" s="37">
        <v>0</v>
      </c>
      <c r="V86" s="33">
        <v>43.92</v>
      </c>
      <c r="W86" s="37">
        <v>7.8</v>
      </c>
      <c r="X86" s="4">
        <f>IF(H86="Senior",MAX(T86,V86),T86+V86)</f>
        <v>80.59</v>
      </c>
      <c r="Y86" s="33">
        <v>39.03</v>
      </c>
      <c r="Z86" s="37">
        <v>6.5</v>
      </c>
      <c r="AA86" s="32">
        <v>38.31</v>
      </c>
      <c r="AB86" s="37">
        <v>0</v>
      </c>
      <c r="AC86" s="33">
        <v>37.32</v>
      </c>
      <c r="AD86" s="37">
        <v>5.9</v>
      </c>
      <c r="AE86" s="4">
        <f>IF(H86="Senior",MAX(AA86,AC86),AA86+AC86)</f>
        <v>75.63</v>
      </c>
      <c r="AF86" s="33">
        <v>41.83</v>
      </c>
      <c r="AG86" s="37">
        <v>7.8</v>
      </c>
    </row>
    <row r="87" spans="1:33" x14ac:dyDescent="0.2">
      <c r="A87" s="1" t="str" cm="1">
        <f t="array" ref="A87">IF(I87="","",IF(P87&lt;&gt;"",SUMPRODUCT((P$3:P$102&lt;&gt;"")*(G$3:G$102=G87)*(J$3:J$102&gt;J87)*(I$3:I$102="P"))+1,IF(O87&lt;&gt;"",SUMPRODUCT((O$3:O$102&lt;&gt;"")*(P$3:P$102="")*(G$3:G$102=G87)*(J$3:J$102&gt;J87)*(I$3:I$102="P"))+SUMPRODUCT((P$3:P$102&lt;&gt;"")*(G$3:G$102=G87)*(I$3:I$102="P"))+1,IF(N87&lt;&gt;"",SUMPRODUCT((N$3:N$102&lt;&gt;"")*(G$3:G$102=G87)*(J$3:J$102&gt;J87)*(I$3:I$102="P"))+1,IF(M87="P",SUMPRODUCT((O$3:O$102&lt;&gt;"")*(P$3:P$102="")*(G$3:G$102=G87)*(I$3:I$102="P"))+SUMPRODUCT((P$3:P$102&lt;&gt;"")*(G$3:G$102=G87)*(I$3:I$102="P"))+SUMPRODUCT((N$3:N$102&lt;&gt;"")*(G$3:G$102=G87)*(I$3:I$102="P"))+SUMPRODUCT((P$3:P$102="")*(O$3:O$102="")*(N$3:N$102="")*(M$3:M$102="P")*(G$3:G$102=G87)*(J$3:J$102&gt;J87)*(I$3:I$102="P"))+IF(H87="L5",SUMPRODUCT((P$3:P$102="")*(O$3:O$102="")*(N$3:N$102="")*(M$3:M$102="P")*(G$3:G$102=G87)*(J$3:J$102&lt;J87)*(H$3:H$102&lt;&gt;H87)*(I$3:I$102="P")),-1*SUMPRODUCT((P$3:P$102="")*(O$3:O$102="")*(N$3:N$102="")*(M$3:M$102="P")*(G$3:G$102=G87)*(J$3:J$102&gt;J87)*(H$3:H$102="L5")*(I$3:I$102="P")))+1,"")))))</f>
        <v/>
      </c>
      <c r="B87" s="1" t="str" cm="1">
        <f t="array" ref="B87">IF(P87&lt;&gt;"",SUMPRODUCT((P$3:P$102&lt;&gt;"")*(G$3:G$102=G87)*(J$3:J$102&gt;J87))+1,IF(O87&lt;&gt;"",SUMPRODUCT((O$3:O$102&lt;&gt;"")*(P$3:P$102="")*(G$3:G$102=G87)*(J$3:J$102&gt;J87))+SUMPRODUCT((P$3:P$102&lt;&gt;"")*(G$3:G$102=G87))+1,IF(N87&lt;&gt;"",SUMPRODUCT((N$3:N$102&lt;&gt;"")*(G$3:G$102=G87)*(J$3:J$102&gt;J87))+1,IF(M87="P",SUMPRODUCT((O$3:O$102&lt;&gt;"")*(P$3:P$102="")*(G$3:G$102=G87))+SUMPRODUCT((P$3:P$102&lt;&gt;"")*(G$3:G$102=G87))+SUMPRODUCT((N$3:N$102&lt;&gt;"")*(G$3:G$102=G87))+SUMPRODUCT((P$3:P$102="")*(O$3:O$102="")*(N$3:N$102="")*(M$3:M$102="P")*(G$3:G$102=G87)*(J$3:J$102&gt;J87))+IF(H87="L5",SUMPRODUCT((P$3:P$102="")*(O$3:O$102="")*(N$3:N$102="")*(M$3:M$102="P")*(G$3:G$102=G87)*(J$3:J$102&lt;J87)*(H$3:H$102&lt;&gt;H87)),-1*SUMPRODUCT((P$3:P$102="")*(O$3:O$102="")*(N$3:N$102="")*(M$3:M$102="P")*(G$3:G$102=G87)*(J$3:J$102&gt;J87)*(H$3:H$102="L5")))+1,""))))</f>
        <v/>
      </c>
      <c r="C87" s="35" t="s">
        <v>251</v>
      </c>
      <c r="D87" t="str">
        <f>IF(E87="","",VLOOKUP(E87,'Coaching Points'!A:B,2,0))</f>
        <v>ON</v>
      </c>
      <c r="E87" s="35" t="s">
        <v>135</v>
      </c>
      <c r="F87" s="34">
        <v>2009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6" t="s">
        <v>214</v>
      </c>
      <c r="I87" s="40"/>
      <c r="J87" s="4">
        <f>R87+S87+IF(OR(H87="Junior",H87="Senior"),0.0002,IF(OR(H87="L7",H87="L6"),0.0001,0))+IF(G87="17-21",MAX(AA87,AC87,AF87),AE87)*0.0000001</f>
        <v>122.38000777699999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77.77</v>
      </c>
      <c r="S87" s="4">
        <f>IF(G87="17-21",LARGE(CHOOSE({1,2,3,4,5,6},T87,V87,Y87,AA87,AC87,AF87),2),IF(R87=X87,MAX(Y87,AA87,AC87,AF87),IF(R87=AE87,MAX(AF87,T87,V87,Y87),0)))</f>
        <v>44.61</v>
      </c>
      <c r="T87" s="32">
        <v>32.22</v>
      </c>
      <c r="U87" s="37">
        <v>0</v>
      </c>
      <c r="V87" s="33">
        <v>43.92</v>
      </c>
      <c r="W87" s="37">
        <v>7.7</v>
      </c>
      <c r="X87" s="4">
        <f>IF(H87="Senior",MAX(T87,V87),T87+V87)</f>
        <v>76.14</v>
      </c>
      <c r="Y87" s="33">
        <v>44.61</v>
      </c>
      <c r="Z87" s="37">
        <v>7.7</v>
      </c>
      <c r="AA87" s="32">
        <v>38.159999999999997</v>
      </c>
      <c r="AB87" s="37">
        <v>0</v>
      </c>
      <c r="AC87" s="33">
        <v>39.61</v>
      </c>
      <c r="AD87" s="37">
        <v>6.6</v>
      </c>
      <c r="AE87" s="4">
        <f>IF(H87="Senior",MAX(AA87,AC87),AA87+AC87)</f>
        <v>77.77</v>
      </c>
      <c r="AF87" s="33">
        <v>38.130000000000003</v>
      </c>
      <c r="AG87" s="37">
        <v>6.6</v>
      </c>
    </row>
    <row r="88" spans="1:33" x14ac:dyDescent="0.2">
      <c r="A88" s="1" t="str" cm="1">
        <f t="array" ref="A88">IF(I88="","",IF(P88&lt;&gt;"",SUMPRODUCT((P$3:P$102&lt;&gt;"")*(G$3:G$102=G88)*(J$3:J$102&gt;J88)*(I$3:I$102="P"))+1,IF(O88&lt;&gt;"",SUMPRODUCT((O$3:O$102&lt;&gt;"")*(P$3:P$102="")*(G$3:G$102=G88)*(J$3:J$102&gt;J88)*(I$3:I$102="P"))+SUMPRODUCT((P$3:P$102&lt;&gt;"")*(G$3:G$102=G88)*(I$3:I$102="P"))+1,IF(N88&lt;&gt;"",SUMPRODUCT((N$3:N$102&lt;&gt;"")*(G$3:G$102=G88)*(J$3:J$102&gt;J88)*(I$3:I$102="P"))+1,IF(M88="P",SUMPRODUCT((O$3:O$102&lt;&gt;"")*(P$3:P$102="")*(G$3:G$102=G88)*(I$3:I$102="P"))+SUMPRODUCT((P$3:P$102&lt;&gt;"")*(G$3:G$102=G88)*(I$3:I$102="P"))+SUMPRODUCT((N$3:N$102&lt;&gt;"")*(G$3:G$102=G88)*(I$3:I$102="P"))+SUMPRODUCT((P$3:P$102="")*(O$3:O$102="")*(N$3:N$102="")*(M$3:M$102="P")*(G$3:G$102=G88)*(J$3:J$102&gt;J88)*(I$3:I$102="P"))+IF(H88="L5",SUMPRODUCT((P$3:P$102="")*(O$3:O$102="")*(N$3:N$102="")*(M$3:M$102="P")*(G$3:G$102=G88)*(J$3:J$102&lt;J88)*(H$3:H$102&lt;&gt;H88)*(I$3:I$102="P")),-1*SUMPRODUCT((P$3:P$102="")*(O$3:O$102="")*(N$3:N$102="")*(M$3:M$102="P")*(G$3:G$102=G88)*(J$3:J$102&gt;J88)*(H$3:H$102="L5")*(I$3:I$102="P")))+1,"")))))</f>
        <v/>
      </c>
      <c r="B88" s="1" t="str" cm="1">
        <f t="array" ref="B88">IF(P88&lt;&gt;"",SUMPRODUCT((P$3:P$102&lt;&gt;"")*(G$3:G$102=G88)*(J$3:J$102&gt;J88))+1,IF(O88&lt;&gt;"",SUMPRODUCT((O$3:O$102&lt;&gt;"")*(P$3:P$102="")*(G$3:G$102=G88)*(J$3:J$102&gt;J88))+SUMPRODUCT((P$3:P$102&lt;&gt;"")*(G$3:G$102=G88))+1,IF(N88&lt;&gt;"",SUMPRODUCT((N$3:N$102&lt;&gt;"")*(G$3:G$102=G88)*(J$3:J$102&gt;J88))+1,IF(M88="P",SUMPRODUCT((O$3:O$102&lt;&gt;"")*(P$3:P$102="")*(G$3:G$102=G88))+SUMPRODUCT((P$3:P$102&lt;&gt;"")*(G$3:G$102=G88))+SUMPRODUCT((N$3:N$102&lt;&gt;"")*(G$3:G$102=G88))+SUMPRODUCT((P$3:P$102="")*(O$3:O$102="")*(N$3:N$102="")*(M$3:M$102="P")*(G$3:G$102=G88)*(J$3:J$102&gt;J88))+IF(H88="L5",SUMPRODUCT((P$3:P$102="")*(O$3:O$102="")*(N$3:N$102="")*(M$3:M$102="P")*(G$3:G$102=G88)*(J$3:J$102&lt;J88)*(H$3:H$102&lt;&gt;H88)),-1*SUMPRODUCT((P$3:P$102="")*(O$3:O$102="")*(N$3:N$102="")*(M$3:M$102="P")*(G$3:G$102=G88)*(J$3:J$102&gt;J88)*(H$3:H$102="L5")))+1,""))))</f>
        <v/>
      </c>
      <c r="C88" s="35" t="s">
        <v>254</v>
      </c>
      <c r="D88" t="str">
        <f>IF(E88="","",VLOOKUP(E88,'Coaching Points'!A:B,2,0))</f>
        <v>SK</v>
      </c>
      <c r="E88" s="35" t="s">
        <v>58</v>
      </c>
      <c r="F88" s="34">
        <v>2009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6" t="s">
        <v>214</v>
      </c>
      <c r="I88" s="40"/>
      <c r="J88" s="4">
        <f>R88+S88+IF(OR(H88="Junior",H88="Senior"),0.0002,IF(OR(H88="L7",H88="L6"),0.0001,0))+IF(G88="17-21",MAX(AA88,AC88,AF88),AE88)*0.0000001</f>
        <v>120.23000475000002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76.800000000000011</v>
      </c>
      <c r="S88" s="4">
        <f>IF(G88="17-21",LARGE(CHOOSE({1,2,3,4,5,6},T88,V88,Y88,AA88,AC88,AF88),2),IF(R88=X88,MAX(Y88,AA88,AC88,AF88),IF(R88=AE88,MAX(AF88,T88,V88,Y88),0)))</f>
        <v>43.43</v>
      </c>
      <c r="T88" s="32">
        <v>33.06</v>
      </c>
      <c r="U88" s="37">
        <v>0</v>
      </c>
      <c r="V88" s="33">
        <v>43.74</v>
      </c>
      <c r="W88" s="37">
        <v>8.6999999999999993</v>
      </c>
      <c r="X88" s="4">
        <f>IF(H88="Senior",MAX(T88,V88),T88+V88)</f>
        <v>76.800000000000011</v>
      </c>
      <c r="Y88" s="33">
        <v>43.43</v>
      </c>
      <c r="Z88" s="37">
        <v>8.6999999999999993</v>
      </c>
      <c r="AA88" s="32">
        <v>29.44</v>
      </c>
      <c r="AB88" s="37">
        <v>0</v>
      </c>
      <c r="AC88" s="33">
        <v>18.059999999999999</v>
      </c>
      <c r="AD88" s="37">
        <v>4.0999999999999996</v>
      </c>
      <c r="AE88" s="4">
        <f>IF(H88="Senior",MAX(AA88,AC88),AA88+AC88)</f>
        <v>47.5</v>
      </c>
      <c r="AF88" s="33"/>
      <c r="AG88" s="37"/>
    </row>
    <row r="89" spans="1:33" x14ac:dyDescent="0.2">
      <c r="A89" s="1" t="str" cm="1">
        <f t="array" ref="A89">IF(I89="","",IF(P89&lt;&gt;"",SUMPRODUCT((P$3:P$102&lt;&gt;"")*(G$3:G$102=G89)*(J$3:J$102&gt;J89)*(I$3:I$102="P"))+1,IF(O89&lt;&gt;"",SUMPRODUCT((O$3:O$102&lt;&gt;"")*(P$3:P$102="")*(G$3:G$102=G89)*(J$3:J$102&gt;J89)*(I$3:I$102="P"))+SUMPRODUCT((P$3:P$102&lt;&gt;"")*(G$3:G$102=G89)*(I$3:I$102="P"))+1,IF(N89&lt;&gt;"",SUMPRODUCT((N$3:N$102&lt;&gt;"")*(G$3:G$102=G89)*(J$3:J$102&gt;J89)*(I$3:I$102="P"))+1,IF(M89="P",SUMPRODUCT((O$3:O$102&lt;&gt;"")*(P$3:P$102="")*(G$3:G$102=G89)*(I$3:I$102="P"))+SUMPRODUCT((P$3:P$102&lt;&gt;"")*(G$3:G$102=G89)*(I$3:I$102="P"))+SUMPRODUCT((N$3:N$102&lt;&gt;"")*(G$3:G$102=G89)*(I$3:I$102="P"))+SUMPRODUCT((P$3:P$102="")*(O$3:O$102="")*(N$3:N$102="")*(M$3:M$102="P")*(G$3:G$102=G89)*(J$3:J$102&gt;J89)*(I$3:I$102="P"))+IF(H89="L5",SUMPRODUCT((P$3:P$102="")*(O$3:O$102="")*(N$3:N$102="")*(M$3:M$102="P")*(G$3:G$102=G89)*(J$3:J$102&lt;J89)*(H$3:H$102&lt;&gt;H89)*(I$3:I$102="P")),-1*SUMPRODUCT((P$3:P$102="")*(O$3:O$102="")*(N$3:N$102="")*(M$3:M$102="P")*(G$3:G$102=G89)*(J$3:J$102&gt;J89)*(H$3:H$102="L5")*(I$3:I$102="P")))+1,"")))))</f>
        <v/>
      </c>
      <c r="B89" s="1" t="str" cm="1">
        <f t="array" ref="B89">IF(P89&lt;&gt;"",SUMPRODUCT((P$3:P$102&lt;&gt;"")*(G$3:G$102=G89)*(J$3:J$102&gt;J89))+1,IF(O89&lt;&gt;"",SUMPRODUCT((O$3:O$102&lt;&gt;"")*(P$3:P$102="")*(G$3:G$102=G89)*(J$3:J$102&gt;J89))+SUMPRODUCT((P$3:P$102&lt;&gt;"")*(G$3:G$102=G89))+1,IF(N89&lt;&gt;"",SUMPRODUCT((N$3:N$102&lt;&gt;"")*(G$3:G$102=G89)*(J$3:J$102&gt;J89))+1,IF(M89="P",SUMPRODUCT((O$3:O$102&lt;&gt;"")*(P$3:P$102="")*(G$3:G$102=G89))+SUMPRODUCT((P$3:P$102&lt;&gt;"")*(G$3:G$102=G89))+SUMPRODUCT((N$3:N$102&lt;&gt;"")*(G$3:G$102=G89))+SUMPRODUCT((P$3:P$102="")*(O$3:O$102="")*(N$3:N$102="")*(M$3:M$102="P")*(G$3:G$102=G89)*(J$3:J$102&gt;J89))+IF(H89="L5",SUMPRODUCT((P$3:P$102="")*(O$3:O$102="")*(N$3:N$102="")*(M$3:M$102="P")*(G$3:G$102=G89)*(J$3:J$102&lt;J89)*(H$3:H$102&lt;&gt;H89)),-1*SUMPRODUCT((P$3:P$102="")*(O$3:O$102="")*(N$3:N$102="")*(M$3:M$102="P")*(G$3:G$102=G89)*(J$3:J$102&gt;J89)*(H$3:H$102="L5")))+1,""))))</f>
        <v/>
      </c>
      <c r="C89" s="35" t="s">
        <v>417</v>
      </c>
      <c r="D89" t="str">
        <f>IF(E89="","",VLOOKUP(E89,'Coaching Points'!A:B,2,0))</f>
        <v>QC</v>
      </c>
      <c r="E89" s="35" t="s">
        <v>125</v>
      </c>
      <c r="F89" s="34">
        <v>2009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6" t="s">
        <v>214</v>
      </c>
      <c r="I89" s="40"/>
      <c r="J89" s="4">
        <f>R89+S89+IF(OR(H89="Junior",H89="Senior"),0.0002,IF(OR(H89="L7",H89="L6"),0.0001,0))+IF(G89="17-21",MAX(AA89,AC89,AF89),AE89)*0.0000001</f>
        <v>104.92000591999999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59.199999999999996</v>
      </c>
      <c r="S89" s="4">
        <f>IF(G89="17-21",LARGE(CHOOSE({1,2,3,4,5,6},T89,V89,Y89,AA89,AC89,AF89),2),IF(R89=X89,MAX(Y89,AA89,AC89,AF89),IF(R89=AE89,MAX(AF89,T89,V89,Y89),0)))</f>
        <v>45.72</v>
      </c>
      <c r="T89" s="32"/>
      <c r="U89" s="37"/>
      <c r="V89" s="33"/>
      <c r="W89" s="37"/>
      <c r="X89" s="4">
        <f>IF(H89="Senior",MAX(T89,V89),T89+V89)</f>
        <v>0</v>
      </c>
      <c r="Y89" s="33"/>
      <c r="Z89" s="37"/>
      <c r="AA89" s="32">
        <v>12.44</v>
      </c>
      <c r="AB89" s="37">
        <v>0</v>
      </c>
      <c r="AC89" s="33">
        <v>46.76</v>
      </c>
      <c r="AD89" s="37">
        <v>7.9</v>
      </c>
      <c r="AE89" s="4">
        <f>IF(H89="Senior",MAX(AA89,AC89),AA89+AC89)</f>
        <v>59.199999999999996</v>
      </c>
      <c r="AF89" s="33">
        <v>45.72</v>
      </c>
      <c r="AG89" s="37">
        <v>7.9</v>
      </c>
    </row>
    <row r="90" spans="1:33" x14ac:dyDescent="0.2">
      <c r="A90" s="1" t="str" cm="1">
        <f t="array" ref="A90">IF(I90="","",IF(P90&lt;&gt;"",SUMPRODUCT((P$3:P$102&lt;&gt;"")*(G$3:G$102=G90)*(J$3:J$102&gt;J90)*(I$3:I$102="P"))+1,IF(O90&lt;&gt;"",SUMPRODUCT((O$3:O$102&lt;&gt;"")*(P$3:P$102="")*(G$3:G$102=G90)*(J$3:J$102&gt;J90)*(I$3:I$102="P"))+SUMPRODUCT((P$3:P$102&lt;&gt;"")*(G$3:G$102=G90)*(I$3:I$102="P"))+1,IF(N90&lt;&gt;"",SUMPRODUCT((N$3:N$102&lt;&gt;"")*(G$3:G$102=G90)*(J$3:J$102&gt;J90)*(I$3:I$102="P"))+1,IF(M90="P",SUMPRODUCT((O$3:O$102&lt;&gt;"")*(P$3:P$102="")*(G$3:G$102=G90)*(I$3:I$102="P"))+SUMPRODUCT((P$3:P$102&lt;&gt;"")*(G$3:G$102=G90)*(I$3:I$102="P"))+SUMPRODUCT((N$3:N$102&lt;&gt;"")*(G$3:G$102=G90)*(I$3:I$102="P"))+SUMPRODUCT((P$3:P$102="")*(O$3:O$102="")*(N$3:N$102="")*(M$3:M$102="P")*(G$3:G$102=G90)*(J$3:J$102&gt;J90)*(I$3:I$102="P"))+IF(H90="L5",SUMPRODUCT((P$3:P$102="")*(O$3:O$102="")*(N$3:N$102="")*(M$3:M$102="P")*(G$3:G$102=G90)*(J$3:J$102&lt;J90)*(H$3:H$102&lt;&gt;H90)*(I$3:I$102="P")),-1*SUMPRODUCT((P$3:P$102="")*(O$3:O$102="")*(N$3:N$102="")*(M$3:M$102="P")*(G$3:G$102=G90)*(J$3:J$102&gt;J90)*(H$3:H$102="L5")*(I$3:I$102="P")))+1,"")))))</f>
        <v/>
      </c>
      <c r="B90" s="1" t="str" cm="1">
        <f t="array" ref="B90">IF(P90&lt;&gt;"",SUMPRODUCT((P$3:P$102&lt;&gt;"")*(G$3:G$102=G90)*(J$3:J$102&gt;J90))+1,IF(O90&lt;&gt;"",SUMPRODUCT((O$3:O$102&lt;&gt;"")*(P$3:P$102="")*(G$3:G$102=G90)*(J$3:J$102&gt;J90))+SUMPRODUCT((P$3:P$102&lt;&gt;"")*(G$3:G$102=G90))+1,IF(N90&lt;&gt;"",SUMPRODUCT((N$3:N$102&lt;&gt;"")*(G$3:G$102=G90)*(J$3:J$102&gt;J90))+1,IF(M90="P",SUMPRODUCT((O$3:O$102&lt;&gt;"")*(P$3:P$102="")*(G$3:G$102=G90))+SUMPRODUCT((P$3:P$102&lt;&gt;"")*(G$3:G$102=G90))+SUMPRODUCT((N$3:N$102&lt;&gt;"")*(G$3:G$102=G90))+SUMPRODUCT((P$3:P$102="")*(O$3:O$102="")*(N$3:N$102="")*(M$3:M$102="P")*(G$3:G$102=G90)*(J$3:J$102&gt;J90))+IF(H90="L5",SUMPRODUCT((P$3:P$102="")*(O$3:O$102="")*(N$3:N$102="")*(M$3:M$102="P")*(G$3:G$102=G90)*(J$3:J$102&lt;J90)*(H$3:H$102&lt;&gt;H90)),-1*SUMPRODUCT((P$3:P$102="")*(O$3:O$102="")*(N$3:N$102="")*(M$3:M$102="P")*(G$3:G$102=G90)*(J$3:J$102&gt;J90)*(H$3:H$102="L5")))+1,""))))</f>
        <v/>
      </c>
      <c r="C90" s="35" t="s">
        <v>418</v>
      </c>
      <c r="D90" t="str">
        <f>IF(E90="","",VLOOKUP(E90,'Coaching Points'!A:B,2,0))</f>
        <v>QC</v>
      </c>
      <c r="E90" s="35" t="s">
        <v>3</v>
      </c>
      <c r="F90" s="34">
        <v>2009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6" t="s">
        <v>214</v>
      </c>
      <c r="I90" s="40"/>
      <c r="J90" s="4">
        <f>R90+S90+IF(OR(H90="Junior",H90="Senior"),0.0002,IF(OR(H90="L7",H90="L6"),0.0001,0))+IF(G90="17-21",MAX(AA90,AC90,AF90),AE90)*0.0000001</f>
        <v>103.82000856200001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85.62</v>
      </c>
      <c r="S90" s="4">
        <f>IF(G90="17-21",LARGE(CHOOSE({1,2,3,4,5,6},T90,V90,Y90,AA90,AC90,AF90),2),IF(R90=X90,MAX(Y90,AA90,AC90,AF90),IF(R90=AE90,MAX(AF90,T90,V90,Y90),0)))</f>
        <v>18.2</v>
      </c>
      <c r="T90" s="32"/>
      <c r="U90" s="37"/>
      <c r="V90" s="33"/>
      <c r="W90" s="37"/>
      <c r="X90" s="4">
        <f>IF(H90="Senior",MAX(T90,V90),T90+V90)</f>
        <v>0</v>
      </c>
      <c r="Y90" s="33"/>
      <c r="Z90" s="37"/>
      <c r="AA90" s="32">
        <v>39.28</v>
      </c>
      <c r="AB90" s="37">
        <v>0</v>
      </c>
      <c r="AC90" s="33">
        <v>46.34</v>
      </c>
      <c r="AD90" s="37">
        <v>7.7</v>
      </c>
      <c r="AE90" s="4">
        <f>IF(H90="Senior",MAX(AA90,AC90),AA90+AC90)</f>
        <v>85.62</v>
      </c>
      <c r="AF90" s="33">
        <v>18.2</v>
      </c>
      <c r="AG90" s="37">
        <v>3.5</v>
      </c>
    </row>
    <row r="91" spans="1:33" x14ac:dyDescent="0.2">
      <c r="A91" s="1" t="str" cm="1">
        <f t="array" ref="A91">IF(I91="","",IF(P91&lt;&gt;"",SUMPRODUCT((P$3:P$102&lt;&gt;"")*(G$3:G$102=G91)*(J$3:J$102&gt;J91)*(I$3:I$102="P"))+1,IF(O91&lt;&gt;"",SUMPRODUCT((O$3:O$102&lt;&gt;"")*(P$3:P$102="")*(G$3:G$102=G91)*(J$3:J$102&gt;J91)*(I$3:I$102="P"))+SUMPRODUCT((P$3:P$102&lt;&gt;"")*(G$3:G$102=G91)*(I$3:I$102="P"))+1,IF(N91&lt;&gt;"",SUMPRODUCT((N$3:N$102&lt;&gt;"")*(G$3:G$102=G91)*(J$3:J$102&gt;J91)*(I$3:I$102="P"))+1,IF(M91="P",SUMPRODUCT((O$3:O$102&lt;&gt;"")*(P$3:P$102="")*(G$3:G$102=G91)*(I$3:I$102="P"))+SUMPRODUCT((P$3:P$102&lt;&gt;"")*(G$3:G$102=G91)*(I$3:I$102="P"))+SUMPRODUCT((N$3:N$102&lt;&gt;"")*(G$3:G$102=G91)*(I$3:I$102="P"))+SUMPRODUCT((P$3:P$102="")*(O$3:O$102="")*(N$3:N$102="")*(M$3:M$102="P")*(G$3:G$102=G91)*(J$3:J$102&gt;J91)*(I$3:I$102="P"))+IF(H91="L5",SUMPRODUCT((P$3:P$102="")*(O$3:O$102="")*(N$3:N$102="")*(M$3:M$102="P")*(G$3:G$102=G91)*(J$3:J$102&lt;J91)*(H$3:H$102&lt;&gt;H91)*(I$3:I$102="P")),-1*SUMPRODUCT((P$3:P$102="")*(O$3:O$102="")*(N$3:N$102="")*(M$3:M$102="P")*(G$3:G$102=G91)*(J$3:J$102&gt;J91)*(H$3:H$102="L5")*(I$3:I$102="P")))+1,"")))))</f>
        <v/>
      </c>
      <c r="B91" s="1" t="str" cm="1">
        <f t="array" ref="B91">IF(P91&lt;&gt;"",SUMPRODUCT((P$3:P$102&lt;&gt;"")*(G$3:G$102=G91)*(J$3:J$102&gt;J91))+1,IF(O91&lt;&gt;"",SUMPRODUCT((O$3:O$102&lt;&gt;"")*(P$3:P$102="")*(G$3:G$102=G91)*(J$3:J$102&gt;J91))+SUMPRODUCT((P$3:P$102&lt;&gt;"")*(G$3:G$102=G91))+1,IF(N91&lt;&gt;"",SUMPRODUCT((N$3:N$102&lt;&gt;"")*(G$3:G$102=G91)*(J$3:J$102&gt;J91))+1,IF(M91="P",SUMPRODUCT((O$3:O$102&lt;&gt;"")*(P$3:P$102="")*(G$3:G$102=G91))+SUMPRODUCT((P$3:P$102&lt;&gt;"")*(G$3:G$102=G91))+SUMPRODUCT((N$3:N$102&lt;&gt;"")*(G$3:G$102=G91))+SUMPRODUCT((P$3:P$102="")*(O$3:O$102="")*(N$3:N$102="")*(M$3:M$102="P")*(G$3:G$102=G91)*(J$3:J$102&gt;J91))+IF(H91="L5",SUMPRODUCT((P$3:P$102="")*(O$3:O$102="")*(N$3:N$102="")*(M$3:M$102="P")*(G$3:G$102=G91)*(J$3:J$102&lt;J91)*(H$3:H$102&lt;&gt;H91)),-1*SUMPRODUCT((P$3:P$102="")*(O$3:O$102="")*(N$3:N$102="")*(M$3:M$102="P")*(G$3:G$102=G91)*(J$3:J$102&gt;J91)*(H$3:H$102="L5")))+1,""))))</f>
        <v/>
      </c>
      <c r="C91" s="35" t="s">
        <v>258</v>
      </c>
      <c r="D91" t="str">
        <f>IF(E91="","",VLOOKUP(E91,'Coaching Points'!A:B,2,0))</f>
        <v>BC</v>
      </c>
      <c r="E91" s="35" t="s">
        <v>40</v>
      </c>
      <c r="F91" s="34">
        <v>2009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6" t="s">
        <v>214</v>
      </c>
      <c r="I91" s="40"/>
      <c r="J91" s="4">
        <f>R91+S91+IF(OR(H91="Junior",H91="Senior"),0.0002,IF(OR(H91="L7",H91="L6"),0.0001,0))+IF(G91="17-21",MAX(AA91,AC91,AF91),AE91)*0.0000001</f>
        <v>98.330006474000001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64.739999999999995</v>
      </c>
      <c r="S91" s="4">
        <f>IF(G91="17-21",LARGE(CHOOSE({1,2,3,4,5,6},T91,V91,Y91,AA91,AC91,AF91),2),IF(R91=X91,MAX(Y91,AA91,AC91,AF91),IF(R91=AE91,MAX(AF91,T91,V91,Y91),0)))</f>
        <v>33.590000000000003</v>
      </c>
      <c r="T91" s="32">
        <v>33.590000000000003</v>
      </c>
      <c r="U91" s="37">
        <v>0</v>
      </c>
      <c r="V91" s="33">
        <v>17.48</v>
      </c>
      <c r="W91" s="37">
        <v>4</v>
      </c>
      <c r="X91" s="4">
        <f>IF(H91="Senior",MAX(T91,V91),T91+V91)</f>
        <v>51.070000000000007</v>
      </c>
      <c r="Y91" s="33">
        <v>17.579999999999998</v>
      </c>
      <c r="Z91" s="37">
        <v>4</v>
      </c>
      <c r="AA91" s="32">
        <v>35.549999999999997</v>
      </c>
      <c r="AB91" s="37">
        <v>0</v>
      </c>
      <c r="AC91" s="33">
        <v>29.19</v>
      </c>
      <c r="AD91" s="37">
        <v>6.1</v>
      </c>
      <c r="AE91" s="4">
        <f>IF(H91="Senior",MAX(AA91,AC91),AA91+AC91)</f>
        <v>64.739999999999995</v>
      </c>
      <c r="AF91" s="33">
        <v>12.8</v>
      </c>
      <c r="AG91" s="37">
        <v>2.4</v>
      </c>
    </row>
    <row r="92" spans="1:33" x14ac:dyDescent="0.2">
      <c r="A92" s="1" t="str" cm="1">
        <f t="array" ref="A92">IF(I92="","",IF(P92&lt;&gt;"",SUMPRODUCT((P$3:P$102&lt;&gt;"")*(G$3:G$102=G92)*(J$3:J$102&gt;J92)*(I$3:I$102="P"))+1,IF(O92&lt;&gt;"",SUMPRODUCT((O$3:O$102&lt;&gt;"")*(P$3:P$102="")*(G$3:G$102=G92)*(J$3:J$102&gt;J92)*(I$3:I$102="P"))+SUMPRODUCT((P$3:P$102&lt;&gt;"")*(G$3:G$102=G92)*(I$3:I$102="P"))+1,IF(N92&lt;&gt;"",SUMPRODUCT((N$3:N$102&lt;&gt;"")*(G$3:G$102=G92)*(J$3:J$102&gt;J92)*(I$3:I$102="P"))+1,IF(M92="P",SUMPRODUCT((O$3:O$102&lt;&gt;"")*(P$3:P$102="")*(G$3:G$102=G92)*(I$3:I$102="P"))+SUMPRODUCT((P$3:P$102&lt;&gt;"")*(G$3:G$102=G92)*(I$3:I$102="P"))+SUMPRODUCT((N$3:N$102&lt;&gt;"")*(G$3:G$102=G92)*(I$3:I$102="P"))+SUMPRODUCT((P$3:P$102="")*(O$3:O$102="")*(N$3:N$102="")*(M$3:M$102="P")*(G$3:G$102=G92)*(J$3:J$102&gt;J92)*(I$3:I$102="P"))+IF(H92="L5",SUMPRODUCT((P$3:P$102="")*(O$3:O$102="")*(N$3:N$102="")*(M$3:M$102="P")*(G$3:G$102=G92)*(J$3:J$102&lt;J92)*(H$3:H$102&lt;&gt;H92)*(I$3:I$102="P")),-1*SUMPRODUCT((P$3:P$102="")*(O$3:O$102="")*(N$3:N$102="")*(M$3:M$102="P")*(G$3:G$102=G92)*(J$3:J$102&gt;J92)*(H$3:H$102="L5")*(I$3:I$102="P")))+1,"")))))</f>
        <v/>
      </c>
      <c r="B92" s="1" t="str" cm="1">
        <f t="array" ref="B92">IF(P92&lt;&gt;"",SUMPRODUCT((P$3:P$102&lt;&gt;"")*(G$3:G$102=G92)*(J$3:J$102&gt;J92))+1,IF(O92&lt;&gt;"",SUMPRODUCT((O$3:O$102&lt;&gt;"")*(P$3:P$102="")*(G$3:G$102=G92)*(J$3:J$102&gt;J92))+SUMPRODUCT((P$3:P$102&lt;&gt;"")*(G$3:G$102=G92))+1,IF(N92&lt;&gt;"",SUMPRODUCT((N$3:N$102&lt;&gt;"")*(G$3:G$102=G92)*(J$3:J$102&gt;J92))+1,IF(M92="P",SUMPRODUCT((O$3:O$102&lt;&gt;"")*(P$3:P$102="")*(G$3:G$102=G92))+SUMPRODUCT((P$3:P$102&lt;&gt;"")*(G$3:G$102=G92))+SUMPRODUCT((N$3:N$102&lt;&gt;"")*(G$3:G$102=G92))+SUMPRODUCT((P$3:P$102="")*(O$3:O$102="")*(N$3:N$102="")*(M$3:M$102="P")*(G$3:G$102=G92)*(J$3:J$102&gt;J92))+IF(H92="L5",SUMPRODUCT((P$3:P$102="")*(O$3:O$102="")*(N$3:N$102="")*(M$3:M$102="P")*(G$3:G$102=G92)*(J$3:J$102&lt;J92)*(H$3:H$102&lt;&gt;H92)),-1*SUMPRODUCT((P$3:P$102="")*(O$3:O$102="")*(N$3:N$102="")*(M$3:M$102="P")*(G$3:G$102=G92)*(J$3:J$102&gt;J92)*(H$3:H$102="L5")))+1,""))))</f>
        <v/>
      </c>
      <c r="C92" s="35" t="s">
        <v>256</v>
      </c>
      <c r="D92" t="str">
        <f>IF(E92="","",VLOOKUP(E92,'Coaching Points'!A:B,2,0))</f>
        <v>ON</v>
      </c>
      <c r="E92" s="35" t="s">
        <v>84</v>
      </c>
      <c r="F92" s="34">
        <v>2010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6" t="s">
        <v>214</v>
      </c>
      <c r="I92" s="40"/>
      <c r="J92" s="4">
        <f>R92+S92+IF(OR(H92="Junior",H92="Senior"),0.0002,IF(OR(H92="L7",H92="L6"),0.0001,0))+IF(G92="17-21",MAX(AA92,AC92,AF92),AE92)*0.0000001</f>
        <v>97.630001792999991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>IF(A92&lt;5,IF(_xlfn.MAXIFS(A:A,G:G,G92)&gt;3,5-A92,_xlfn.MAXIFS(A:A,G:G,G92)+1-A92),"")</f>
        <v/>
      </c>
      <c r="R92" s="4">
        <f>IF(G92="17-21",MAX(T92,V92,Y92,AA92,AC92,AF92),MAX(X92,AE92))</f>
        <v>65.150000000000006</v>
      </c>
      <c r="S92" s="4">
        <f>IF(G92="17-21",LARGE(CHOOSE({1,2,3,4,5,6},T92,V92,Y92,AA92,AC92,AF92),2),IF(R92=X92,MAX(Y92,AA92,AC92,AF92),IF(R92=AE92,MAX(AF92,T92,V92,Y92),0)))</f>
        <v>32.479999999999997</v>
      </c>
      <c r="T92" s="32">
        <v>28.14</v>
      </c>
      <c r="U92" s="37">
        <v>0</v>
      </c>
      <c r="V92" s="33">
        <v>37.01</v>
      </c>
      <c r="W92" s="37">
        <v>0</v>
      </c>
      <c r="X92" s="4">
        <f>IF(H92="Senior",MAX(T92,V92),T92+V92)</f>
        <v>65.150000000000006</v>
      </c>
      <c r="Y92" s="33">
        <v>32.479999999999997</v>
      </c>
      <c r="Z92" s="37">
        <v>6.9</v>
      </c>
      <c r="AA92" s="32">
        <v>7.67</v>
      </c>
      <c r="AB92" s="37">
        <v>0</v>
      </c>
      <c r="AC92" s="33">
        <v>10.26</v>
      </c>
      <c r="AD92" s="37">
        <v>2.6</v>
      </c>
      <c r="AE92" s="4">
        <f>IF(H92="Senior",MAX(AA92,AC92),AA92+AC92)</f>
        <v>17.93</v>
      </c>
      <c r="AF92" s="33"/>
      <c r="AG92" s="37"/>
    </row>
    <row r="93" spans="1:33" x14ac:dyDescent="0.2">
      <c r="A93" s="1" t="str" cm="1">
        <f t="array" ref="A93">IF(I93="","",IF(P93&lt;&gt;"",SUMPRODUCT((P$3:P$102&lt;&gt;"")*(G$3:G$102=G93)*(J$3:J$102&gt;J93)*(I$3:I$102="P"))+1,IF(O93&lt;&gt;"",SUMPRODUCT((O$3:O$102&lt;&gt;"")*(P$3:P$102="")*(G$3:G$102=G93)*(J$3:J$102&gt;J93)*(I$3:I$102="P"))+SUMPRODUCT((P$3:P$102&lt;&gt;"")*(G$3:G$102=G93)*(I$3:I$102="P"))+1,IF(N93&lt;&gt;"",SUMPRODUCT((N$3:N$102&lt;&gt;"")*(G$3:G$102=G93)*(J$3:J$102&gt;J93)*(I$3:I$102="P"))+1,IF(M93="P",SUMPRODUCT((O$3:O$102&lt;&gt;"")*(P$3:P$102="")*(G$3:G$102=G93)*(I$3:I$102="P"))+SUMPRODUCT((P$3:P$102&lt;&gt;"")*(G$3:G$102=G93)*(I$3:I$102="P"))+SUMPRODUCT((N$3:N$102&lt;&gt;"")*(G$3:G$102=G93)*(I$3:I$102="P"))+SUMPRODUCT((P$3:P$102="")*(O$3:O$102="")*(N$3:N$102="")*(M$3:M$102="P")*(G$3:G$102=G93)*(J$3:J$102&gt;J93)*(I$3:I$102="P"))+IF(H93="L5",SUMPRODUCT((P$3:P$102="")*(O$3:O$102="")*(N$3:N$102="")*(M$3:M$102="P")*(G$3:G$102=G93)*(J$3:J$102&lt;J93)*(H$3:H$102&lt;&gt;H93)*(I$3:I$102="P")),-1*SUMPRODUCT((P$3:P$102="")*(O$3:O$102="")*(N$3:N$102="")*(M$3:M$102="P")*(G$3:G$102=G93)*(J$3:J$102&gt;J93)*(H$3:H$102="L5")*(I$3:I$102="P")))+1,"")))))</f>
        <v/>
      </c>
      <c r="B93" s="1" cm="1">
        <f t="array" ref="B93">IF(P93&lt;&gt;"",SUMPRODUCT((P$3:P$102&lt;&gt;"")*(G$3:G$102=G93)*(J$3:J$102&gt;J93))+1,IF(O93&lt;&gt;"",SUMPRODUCT((O$3:O$102&lt;&gt;"")*(P$3:P$102="")*(G$3:G$102=G93)*(J$3:J$102&gt;J93))+SUMPRODUCT((P$3:P$102&lt;&gt;"")*(G$3:G$102=G93))+1,IF(N93&lt;&gt;"",SUMPRODUCT((N$3:N$102&lt;&gt;"")*(G$3:G$102=G93)*(J$3:J$102&gt;J93))+1,IF(M93="P",SUMPRODUCT((O$3:O$102&lt;&gt;"")*(P$3:P$102="")*(G$3:G$102=G93))+SUMPRODUCT((P$3:P$102&lt;&gt;"")*(G$3:G$102=G93))+SUMPRODUCT((N$3:N$102&lt;&gt;"")*(G$3:G$102=G93))+SUMPRODUCT((P$3:P$102="")*(O$3:O$102="")*(N$3:N$102="")*(M$3:M$102="P")*(G$3:G$102=G93)*(J$3:J$102&gt;J93))+IF(H93="L5",SUMPRODUCT((P$3:P$102="")*(O$3:O$102="")*(N$3:N$102="")*(M$3:M$102="P")*(G$3:G$102=G93)*(J$3:J$102&lt;J93)*(H$3:H$102&lt;&gt;H93)),-1*SUMPRODUCT((P$3:P$102="")*(O$3:O$102="")*(N$3:N$102="")*(M$3:M$102="P")*(G$3:G$102=G93)*(J$3:J$102&gt;J93)*(H$3:H$102="L5")))+1,""))))</f>
        <v>1</v>
      </c>
      <c r="C93" s="35" t="s">
        <v>245</v>
      </c>
      <c r="D93" t="str">
        <f>IF(E93="","",VLOOKUP(E93,'Coaching Points'!A:B,2,0))</f>
        <v>QC</v>
      </c>
      <c r="E93" s="35" t="s">
        <v>57</v>
      </c>
      <c r="F93" s="34">
        <v>2011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/>
      <c r="J93" s="4">
        <f>R93+S93+IF(OR(H93="Junior",H93="Senior"),0.0002,IF(OR(H93="L7",H93="L6"),0.0001,0))+IF(G93="17-21",MAX(AA93,AC93,AF93),AE93)*0.0000001</f>
        <v>134.67000883900002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>P</v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>P</v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>P</v>
      </c>
      <c r="Q93" s="1" t="str">
        <f>IF(A93&lt;5,IF(_xlfn.MAXIFS(A:A,G:G,G93)&gt;3,5-A93,_xlfn.MAXIFS(A:A,G:G,G93)+1-A93),"")</f>
        <v/>
      </c>
      <c r="R93" s="4">
        <f>IF(G93="17-21",MAX(T93,V93,Y93,AA93,AC93,AF93),MAX(X93,AE93))</f>
        <v>88.39</v>
      </c>
      <c r="S93" s="4">
        <f>IF(G93="17-21",LARGE(CHOOSE({1,2,3,4,5,6},T93,V93,Y93,AA93,AC93,AF93),2),IF(R93=X93,MAX(Y93,AA93,AC93,AF93),IF(R93=AE93,MAX(AF93,T93,V93,Y93),0)))</f>
        <v>46.28</v>
      </c>
      <c r="T93" s="32">
        <v>37.17</v>
      </c>
      <c r="U93" s="37">
        <v>0</v>
      </c>
      <c r="V93" s="33">
        <v>45.59</v>
      </c>
      <c r="W93" s="37">
        <v>7.7</v>
      </c>
      <c r="X93" s="4">
        <f>IF(H93="Senior",MAX(T93,V93),T93+V93)</f>
        <v>82.76</v>
      </c>
      <c r="Y93" s="33">
        <v>44.46</v>
      </c>
      <c r="Z93" s="37">
        <v>7.7</v>
      </c>
      <c r="AA93" s="32">
        <v>41.22</v>
      </c>
      <c r="AB93" s="37">
        <v>0</v>
      </c>
      <c r="AC93" s="33">
        <v>47.17</v>
      </c>
      <c r="AD93" s="37">
        <v>9</v>
      </c>
      <c r="AE93" s="4">
        <f>IF(H93="Senior",MAX(AA93,AC93),AA93+AC93)</f>
        <v>88.39</v>
      </c>
      <c r="AF93" s="33">
        <v>46.28</v>
      </c>
      <c r="AG93" s="37">
        <v>8.1999999999999993</v>
      </c>
    </row>
    <row r="94" spans="1:33" x14ac:dyDescent="0.2">
      <c r="A94" s="1" t="str" cm="1">
        <f t="array" ref="A94">IF(I94="","",IF(P94&lt;&gt;"",SUMPRODUCT((P$3:P$102&lt;&gt;"")*(G$3:G$102=G94)*(J$3:J$102&gt;J94)*(I$3:I$102="P"))+1,IF(O94&lt;&gt;"",SUMPRODUCT((O$3:O$102&lt;&gt;"")*(P$3:P$102="")*(G$3:G$102=G94)*(J$3:J$102&gt;J94)*(I$3:I$102="P"))+SUMPRODUCT((P$3:P$102&lt;&gt;"")*(G$3:G$102=G94)*(I$3:I$102="P"))+1,IF(N94&lt;&gt;"",SUMPRODUCT((N$3:N$102&lt;&gt;"")*(G$3:G$102=G94)*(J$3:J$102&gt;J94)*(I$3:I$102="P"))+1,IF(M94="P",SUMPRODUCT((O$3:O$102&lt;&gt;"")*(P$3:P$102="")*(G$3:G$102=G94)*(I$3:I$102="P"))+SUMPRODUCT((P$3:P$102&lt;&gt;"")*(G$3:G$102=G94)*(I$3:I$102="P"))+SUMPRODUCT((N$3:N$102&lt;&gt;"")*(G$3:G$102=G94)*(I$3:I$102="P"))+SUMPRODUCT((P$3:P$102="")*(O$3:O$102="")*(N$3:N$102="")*(M$3:M$102="P")*(G$3:G$102=G94)*(J$3:J$102&gt;J94)*(I$3:I$102="P"))+IF(H94="L5",SUMPRODUCT((P$3:P$102="")*(O$3:O$102="")*(N$3:N$102="")*(M$3:M$102="P")*(G$3:G$102=G94)*(J$3:J$102&lt;J94)*(H$3:H$102&lt;&gt;H94)*(I$3:I$102="P")),-1*SUMPRODUCT((P$3:P$102="")*(O$3:O$102="")*(N$3:N$102="")*(M$3:M$102="P")*(G$3:G$102=G94)*(J$3:J$102&gt;J94)*(H$3:H$102="L5")*(I$3:I$102="P")))+1,"")))))</f>
        <v/>
      </c>
      <c r="B94" s="1" t="str" cm="1">
        <f t="array" ref="B94">IF(P94&lt;&gt;"",SUMPRODUCT((P$3:P$102&lt;&gt;"")*(G$3:G$102=G94)*(J$3:J$102&gt;J94))+1,IF(O94&lt;&gt;"",SUMPRODUCT((O$3:O$102&lt;&gt;"")*(P$3:P$102="")*(G$3:G$102=G94)*(J$3:J$102&gt;J94))+SUMPRODUCT((P$3:P$102&lt;&gt;"")*(G$3:G$102=G94))+1,IF(N94&lt;&gt;"",SUMPRODUCT((N$3:N$102&lt;&gt;"")*(G$3:G$102=G94)*(J$3:J$102&gt;J94))+1,IF(M94="P",SUMPRODUCT((O$3:O$102&lt;&gt;"")*(P$3:P$102="")*(G$3:G$102=G94))+SUMPRODUCT((P$3:P$102&lt;&gt;"")*(G$3:G$102=G94))+SUMPRODUCT((N$3:N$102&lt;&gt;"")*(G$3:G$102=G94))+SUMPRODUCT((P$3:P$102="")*(O$3:O$102="")*(N$3:N$102="")*(M$3:M$102="P")*(G$3:G$102=G94)*(J$3:J$102&gt;J94))+IF(H94="L5",SUMPRODUCT((P$3:P$102="")*(O$3:O$102="")*(N$3:N$102="")*(M$3:M$102="P")*(G$3:G$102=G94)*(J$3:J$102&lt;J94)*(H$3:H$102&lt;&gt;H94)),-1*SUMPRODUCT((P$3:P$102="")*(O$3:O$102="")*(N$3:N$102="")*(M$3:M$102="P")*(G$3:G$102=G94)*(J$3:J$102&gt;J94)*(H$3:H$102="L5")))+1,""))))</f>
        <v/>
      </c>
      <c r="C94" s="35" t="s">
        <v>246</v>
      </c>
      <c r="D94" t="str">
        <f>IF(E94="","",VLOOKUP(E94,'Coaching Points'!A:B,2,0))</f>
        <v>QC</v>
      </c>
      <c r="E94" s="35" t="s">
        <v>57</v>
      </c>
      <c r="F94" s="34">
        <v>2011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6" t="s">
        <v>214</v>
      </c>
      <c r="I94" s="40"/>
      <c r="J94" s="4">
        <f>R94+S94+IF(OR(H94="Junior",H94="Senior"),0.0002,IF(OR(H94="L7",H94="L6"),0.0001,0))+IF(G94="17-21",MAX(AA94,AC94,AF94),AE94)*0.0000001</f>
        <v>130.680008593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>P</v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>IF(A94&lt;5,IF(_xlfn.MAXIFS(A:A,G:G,G94)&gt;3,5-A94,_xlfn.MAXIFS(A:A,G:G,G94)+1-A94),"")</f>
        <v/>
      </c>
      <c r="R94" s="4">
        <f>IF(G94="17-21",MAX(T94,V94,Y94,AA94,AC94,AF94),MAX(X94,AE94))</f>
        <v>85.93</v>
      </c>
      <c r="S94" s="4">
        <f>IF(G94="17-21",LARGE(CHOOSE({1,2,3,4,5,6},T94,V94,Y94,AA94,AC94,AF94),2),IF(R94=X94,MAX(Y94,AA94,AC94,AF94),IF(R94=AE94,MAX(AF94,T94,V94,Y94),0)))</f>
        <v>44.75</v>
      </c>
      <c r="T94" s="32">
        <v>35.630000000000003</v>
      </c>
      <c r="U94" s="37">
        <v>0</v>
      </c>
      <c r="V94" s="33">
        <v>44.74</v>
      </c>
      <c r="W94" s="37">
        <v>7.7</v>
      </c>
      <c r="X94" s="4">
        <f>IF(H94="Senior",MAX(T94,V94),T94+V94)</f>
        <v>80.37</v>
      </c>
      <c r="Y94" s="33">
        <v>44.2</v>
      </c>
      <c r="Z94" s="37">
        <v>7.7</v>
      </c>
      <c r="AA94" s="32">
        <v>40.49</v>
      </c>
      <c r="AB94" s="37">
        <v>0</v>
      </c>
      <c r="AC94" s="33">
        <v>45.44</v>
      </c>
      <c r="AD94" s="37">
        <v>7.7</v>
      </c>
      <c r="AE94" s="4">
        <f>IF(H94="Senior",MAX(AA94,AC94),AA94+AC94)</f>
        <v>85.93</v>
      </c>
      <c r="AF94" s="33">
        <v>44.75</v>
      </c>
      <c r="AG94" s="37">
        <v>7.7</v>
      </c>
    </row>
    <row r="95" spans="1:33" x14ac:dyDescent="0.2">
      <c r="A95" s="1" t="str" cm="1">
        <f t="array" ref="A95">IF(I95="","",IF(P95&lt;&gt;"",SUMPRODUCT((P$3:P$102&lt;&gt;"")*(G$3:G$102=G95)*(J$3:J$102&gt;J95)*(I$3:I$102="P"))+1,IF(O95&lt;&gt;"",SUMPRODUCT((O$3:O$102&lt;&gt;"")*(P$3:P$102="")*(G$3:G$102=G95)*(J$3:J$102&gt;J95)*(I$3:I$102="P"))+SUMPRODUCT((P$3:P$102&lt;&gt;"")*(G$3:G$102=G95)*(I$3:I$102="P"))+1,IF(N95&lt;&gt;"",SUMPRODUCT((N$3:N$102&lt;&gt;"")*(G$3:G$102=G95)*(J$3:J$102&gt;J95)*(I$3:I$102="P"))+1,IF(M95="P",SUMPRODUCT((O$3:O$102&lt;&gt;"")*(P$3:P$102="")*(G$3:G$102=G95)*(I$3:I$102="P"))+SUMPRODUCT((P$3:P$102&lt;&gt;"")*(G$3:G$102=G95)*(I$3:I$102="P"))+SUMPRODUCT((N$3:N$102&lt;&gt;"")*(G$3:G$102=G95)*(I$3:I$102="P"))+SUMPRODUCT((P$3:P$102="")*(O$3:O$102="")*(N$3:N$102="")*(M$3:M$102="P")*(G$3:G$102=G95)*(J$3:J$102&gt;J95)*(I$3:I$102="P"))+IF(H95="L5",SUMPRODUCT((P$3:P$102="")*(O$3:O$102="")*(N$3:N$102="")*(M$3:M$102="P")*(G$3:G$102=G95)*(J$3:J$102&lt;J95)*(H$3:H$102&lt;&gt;H95)*(I$3:I$102="P")),-1*SUMPRODUCT((P$3:P$102="")*(O$3:O$102="")*(N$3:N$102="")*(M$3:M$102="P")*(G$3:G$102=G95)*(J$3:J$102&gt;J95)*(H$3:H$102="L5")*(I$3:I$102="P")))+1,"")))))</f>
        <v/>
      </c>
      <c r="B95" s="1" t="str" cm="1">
        <f t="array" ref="B95">IF(P95&lt;&gt;"",SUMPRODUCT((P$3:P$102&lt;&gt;"")*(G$3:G$102=G95)*(J$3:J$102&gt;J95))+1,IF(O95&lt;&gt;"",SUMPRODUCT((O$3:O$102&lt;&gt;"")*(P$3:P$102="")*(G$3:G$102=G95)*(J$3:J$102&gt;J95))+SUMPRODUCT((P$3:P$102&lt;&gt;"")*(G$3:G$102=G95))+1,IF(N95&lt;&gt;"",SUMPRODUCT((N$3:N$102&lt;&gt;"")*(G$3:G$102=G95)*(J$3:J$102&gt;J95))+1,IF(M95="P",SUMPRODUCT((O$3:O$102&lt;&gt;"")*(P$3:P$102="")*(G$3:G$102=G95))+SUMPRODUCT((P$3:P$102&lt;&gt;"")*(G$3:G$102=G95))+SUMPRODUCT((N$3:N$102&lt;&gt;"")*(G$3:G$102=G95))+SUMPRODUCT((P$3:P$102="")*(O$3:O$102="")*(N$3:N$102="")*(M$3:M$102="P")*(G$3:G$102=G95)*(J$3:J$102&gt;J95))+IF(H95="L5",SUMPRODUCT((P$3:P$102="")*(O$3:O$102="")*(N$3:N$102="")*(M$3:M$102="P")*(G$3:G$102=G95)*(J$3:J$102&lt;J95)*(H$3:H$102&lt;&gt;H95)),-1*SUMPRODUCT((P$3:P$102="")*(O$3:O$102="")*(N$3:N$102="")*(M$3:M$102="P")*(G$3:G$102=G95)*(J$3:J$102&gt;J95)*(H$3:H$102="L5")))+1,""))))</f>
        <v/>
      </c>
      <c r="C95" s="35" t="s">
        <v>243</v>
      </c>
      <c r="D95" t="str">
        <f>IF(E95="","",VLOOKUP(E95,'Coaching Points'!A:B,2,0))</f>
        <v>AB</v>
      </c>
      <c r="E95" s="35" t="s">
        <v>56</v>
      </c>
      <c r="F95" s="34">
        <v>2012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6" t="s">
        <v>214</v>
      </c>
      <c r="I95" s="40"/>
      <c r="J95" s="4">
        <f>R95+S95+IF(OR(H95="Junior",H95="Senior"),0.0002,IF(OR(H95="L7",H95="L6"),0.0001,0))+IF(G95="17-21",MAX(AA95,AC95,AF95),AE95)*0.0000001</f>
        <v>129.03000829699999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>P</v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>IF(A95&lt;5,IF(_xlfn.MAXIFS(A:A,G:G,G95)&gt;3,5-A95,_xlfn.MAXIFS(A:A,G:G,G95)+1-A95),"")</f>
        <v/>
      </c>
      <c r="R95" s="4">
        <f>IF(G95="17-21",MAX(T95,V95,Y95,AA95,AC95,AF95),MAX(X95,AE95))</f>
        <v>82.97</v>
      </c>
      <c r="S95" s="4">
        <f>IF(G95="17-21",LARGE(CHOOSE({1,2,3,4,5,6},T95,V95,Y95,AA95,AC95,AF95),2),IF(R95=X95,MAX(Y95,AA95,AC95,AF95),IF(R95=AE95,MAX(AF95,T95,V95,Y95),0)))</f>
        <v>46.06</v>
      </c>
      <c r="T95" s="32">
        <v>37.43</v>
      </c>
      <c r="U95" s="37">
        <v>0</v>
      </c>
      <c r="V95" s="33">
        <v>44.86</v>
      </c>
      <c r="W95" s="37">
        <v>8.4</v>
      </c>
      <c r="X95" s="4">
        <f>IF(H95="Senior",MAX(T95,V95),T95+V95)</f>
        <v>82.289999999999992</v>
      </c>
      <c r="Y95" s="33">
        <v>46.06</v>
      </c>
      <c r="Z95" s="37">
        <v>9</v>
      </c>
      <c r="AA95" s="32">
        <v>38.840000000000003</v>
      </c>
      <c r="AB95" s="37">
        <v>0</v>
      </c>
      <c r="AC95" s="33">
        <v>44.13</v>
      </c>
      <c r="AD95" s="37">
        <v>9.1999999999999993</v>
      </c>
      <c r="AE95" s="4">
        <f>IF(H95="Senior",MAX(AA95,AC95),AA95+AC95)</f>
        <v>82.97</v>
      </c>
      <c r="AF95" s="33">
        <v>45.86</v>
      </c>
      <c r="AG95" s="37">
        <v>9.1999999999999993</v>
      </c>
    </row>
    <row r="96" spans="1:33" x14ac:dyDescent="0.2">
      <c r="A96" s="1" t="str" cm="1">
        <f t="array" ref="A96">IF(I96="","",IF(P96&lt;&gt;"",SUMPRODUCT((P$3:P$102&lt;&gt;"")*(G$3:G$102=G96)*(J$3:J$102&gt;J96)*(I$3:I$102="P"))+1,IF(O96&lt;&gt;"",SUMPRODUCT((O$3:O$102&lt;&gt;"")*(P$3:P$102="")*(G$3:G$102=G96)*(J$3:J$102&gt;J96)*(I$3:I$102="P"))+SUMPRODUCT((P$3:P$102&lt;&gt;"")*(G$3:G$102=G96)*(I$3:I$102="P"))+1,IF(N96&lt;&gt;"",SUMPRODUCT((N$3:N$102&lt;&gt;"")*(G$3:G$102=G96)*(J$3:J$102&gt;J96)*(I$3:I$102="P"))+1,IF(M96="P",SUMPRODUCT((O$3:O$102&lt;&gt;"")*(P$3:P$102="")*(G$3:G$102=G96)*(I$3:I$102="P"))+SUMPRODUCT((P$3:P$102&lt;&gt;"")*(G$3:G$102=G96)*(I$3:I$102="P"))+SUMPRODUCT((N$3:N$102&lt;&gt;"")*(G$3:G$102=G96)*(I$3:I$102="P"))+SUMPRODUCT((P$3:P$102="")*(O$3:O$102="")*(N$3:N$102="")*(M$3:M$102="P")*(G$3:G$102=G96)*(J$3:J$102&gt;J96)*(I$3:I$102="P"))+IF(H96="L5",SUMPRODUCT((P$3:P$102="")*(O$3:O$102="")*(N$3:N$102="")*(M$3:M$102="P")*(G$3:G$102=G96)*(J$3:J$102&lt;J96)*(H$3:H$102&lt;&gt;H96)*(I$3:I$102="P")),-1*SUMPRODUCT((P$3:P$102="")*(O$3:O$102="")*(N$3:N$102="")*(M$3:M$102="P")*(G$3:G$102=G96)*(J$3:J$102&gt;J96)*(H$3:H$102="L5")*(I$3:I$102="P")))+1,"")))))</f>
        <v/>
      </c>
      <c r="B96" s="1" t="str" cm="1">
        <f t="array" ref="B96">IF(P96&lt;&gt;"",SUMPRODUCT((P$3:P$102&lt;&gt;"")*(G$3:G$102=G96)*(J$3:J$102&gt;J96))+1,IF(O96&lt;&gt;"",SUMPRODUCT((O$3:O$102&lt;&gt;"")*(P$3:P$102="")*(G$3:G$102=G96)*(J$3:J$102&gt;J96))+SUMPRODUCT((P$3:P$102&lt;&gt;"")*(G$3:G$102=G96))+1,IF(N96&lt;&gt;"",SUMPRODUCT((N$3:N$102&lt;&gt;"")*(G$3:G$102=G96)*(J$3:J$102&gt;J96))+1,IF(M96="P",SUMPRODUCT((O$3:O$102&lt;&gt;"")*(P$3:P$102="")*(G$3:G$102=G96))+SUMPRODUCT((P$3:P$102&lt;&gt;"")*(G$3:G$102=G96))+SUMPRODUCT((N$3:N$102&lt;&gt;"")*(G$3:G$102=G96))+SUMPRODUCT((P$3:P$102="")*(O$3:O$102="")*(N$3:N$102="")*(M$3:M$102="P")*(G$3:G$102=G96)*(J$3:J$102&gt;J96))+IF(H96="L5",SUMPRODUCT((P$3:P$102="")*(O$3:O$102="")*(N$3:N$102="")*(M$3:M$102="P")*(G$3:G$102=G96)*(J$3:J$102&lt;J96)*(H$3:H$102&lt;&gt;H96)),-1*SUMPRODUCT((P$3:P$102="")*(O$3:O$102="")*(N$3:N$102="")*(M$3:M$102="P")*(G$3:G$102=G96)*(J$3:J$102&gt;J96)*(H$3:H$102="L5")))+1,""))))</f>
        <v/>
      </c>
      <c r="C96" s="35" t="s">
        <v>411</v>
      </c>
      <c r="D96" t="str">
        <f>IF(E96="","",VLOOKUP(E96,'Coaching Points'!A:B,2,0))</f>
        <v>ON</v>
      </c>
      <c r="E96" s="35" t="s">
        <v>76</v>
      </c>
      <c r="F96" s="34">
        <v>2011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6" t="s">
        <v>214</v>
      </c>
      <c r="I96" s="40"/>
      <c r="J96" s="4">
        <f>R96+S96+IF(OR(H96="Junior",H96="Senior"),0.0002,IF(OR(H96="L7",H96="L6"),0.0001,0))+IF(G96="17-21",MAX(AA96,AC96,AF96),AE96)*0.0000001</f>
        <v>128.40000824099999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>IF(A96&lt;5,IF(_xlfn.MAXIFS(A:A,G:G,G96)&gt;3,5-A96,_xlfn.MAXIFS(A:A,G:G,G96)+1-A96),"")</f>
        <v/>
      </c>
      <c r="R96" s="4">
        <f>IF(G96="17-21",MAX(T96,V96,Y96,AA96,AC96,AF96),MAX(X96,AE96))</f>
        <v>82.41</v>
      </c>
      <c r="S96" s="4">
        <f>IF(G96="17-21",LARGE(CHOOSE({1,2,3,4,5,6},T96,V96,Y96,AA96,AC96,AF96),2),IF(R96=X96,MAX(Y96,AA96,AC96,AF96),IF(R96=AE96,MAX(AF96,T96,V96,Y96),0)))</f>
        <v>45.99</v>
      </c>
      <c r="T96" s="32"/>
      <c r="U96" s="37"/>
      <c r="V96" s="33"/>
      <c r="W96" s="37"/>
      <c r="X96" s="4">
        <f>IF(H96="Senior",MAX(T96,V96),T96+V96)</f>
        <v>0</v>
      </c>
      <c r="Y96" s="33"/>
      <c r="Z96" s="37"/>
      <c r="AA96" s="32">
        <v>40.99</v>
      </c>
      <c r="AB96" s="37">
        <v>0</v>
      </c>
      <c r="AC96" s="33">
        <v>41.42</v>
      </c>
      <c r="AD96" s="37">
        <v>7.7</v>
      </c>
      <c r="AE96" s="4">
        <f>IF(H96="Senior",MAX(AA96,AC96),AA96+AC96)</f>
        <v>82.41</v>
      </c>
      <c r="AF96" s="33">
        <v>45.99</v>
      </c>
      <c r="AG96" s="37">
        <v>8.3000000000000007</v>
      </c>
    </row>
    <row r="97" spans="1:33" x14ac:dyDescent="0.2">
      <c r="A97" s="1" t="str" cm="1">
        <f t="array" ref="A97">IF(I97="","",IF(P97&lt;&gt;"",SUMPRODUCT((P$3:P$102&lt;&gt;"")*(G$3:G$102=G97)*(J$3:J$102&gt;J97)*(I$3:I$102="P"))+1,IF(O97&lt;&gt;"",SUMPRODUCT((O$3:O$102&lt;&gt;"")*(P$3:P$102="")*(G$3:G$102=G97)*(J$3:J$102&gt;J97)*(I$3:I$102="P"))+SUMPRODUCT((P$3:P$102&lt;&gt;"")*(G$3:G$102=G97)*(I$3:I$102="P"))+1,IF(N97&lt;&gt;"",SUMPRODUCT((N$3:N$102&lt;&gt;"")*(G$3:G$102=G97)*(J$3:J$102&gt;J97)*(I$3:I$102="P"))+1,IF(M97="P",SUMPRODUCT((O$3:O$102&lt;&gt;"")*(P$3:P$102="")*(G$3:G$102=G97)*(I$3:I$102="P"))+SUMPRODUCT((P$3:P$102&lt;&gt;"")*(G$3:G$102=G97)*(I$3:I$102="P"))+SUMPRODUCT((N$3:N$102&lt;&gt;"")*(G$3:G$102=G97)*(I$3:I$102="P"))+SUMPRODUCT((P$3:P$102="")*(O$3:O$102="")*(N$3:N$102="")*(M$3:M$102="P")*(G$3:G$102=G97)*(J$3:J$102&gt;J97)*(I$3:I$102="P"))+IF(H97="L5",SUMPRODUCT((P$3:P$102="")*(O$3:O$102="")*(N$3:N$102="")*(M$3:M$102="P")*(G$3:G$102=G97)*(J$3:J$102&lt;J97)*(H$3:H$102&lt;&gt;H97)*(I$3:I$102="P")),-1*SUMPRODUCT((P$3:P$102="")*(O$3:O$102="")*(N$3:N$102="")*(M$3:M$102="P")*(G$3:G$102=G97)*(J$3:J$102&gt;J97)*(H$3:H$102="L5")*(I$3:I$102="P")))+1,"")))))</f>
        <v/>
      </c>
      <c r="B97" s="1" t="str" cm="1">
        <f t="array" ref="B97">IF(P97&lt;&gt;"",SUMPRODUCT((P$3:P$102&lt;&gt;"")*(G$3:G$102=G97)*(J$3:J$102&gt;J97))+1,IF(O97&lt;&gt;"",SUMPRODUCT((O$3:O$102&lt;&gt;"")*(P$3:P$102="")*(G$3:G$102=G97)*(J$3:J$102&gt;J97))+SUMPRODUCT((P$3:P$102&lt;&gt;"")*(G$3:G$102=G97))+1,IF(N97&lt;&gt;"",SUMPRODUCT((N$3:N$102&lt;&gt;"")*(G$3:G$102=G97)*(J$3:J$102&gt;J97))+1,IF(M97="P",SUMPRODUCT((O$3:O$102&lt;&gt;"")*(P$3:P$102="")*(G$3:G$102=G97))+SUMPRODUCT((P$3:P$102&lt;&gt;"")*(G$3:G$102=G97))+SUMPRODUCT((N$3:N$102&lt;&gt;"")*(G$3:G$102=G97))+SUMPRODUCT((P$3:P$102="")*(O$3:O$102="")*(N$3:N$102="")*(M$3:M$102="P")*(G$3:G$102=G97)*(J$3:J$102&gt;J97))+IF(H97="L5",SUMPRODUCT((P$3:P$102="")*(O$3:O$102="")*(N$3:N$102="")*(M$3:M$102="P")*(G$3:G$102=G97)*(J$3:J$102&lt;J97)*(H$3:H$102&lt;&gt;H97)),-1*SUMPRODUCT((P$3:P$102="")*(O$3:O$102="")*(N$3:N$102="")*(M$3:M$102="P")*(G$3:G$102=G97)*(J$3:J$102&gt;J97)*(H$3:H$102="L5")))+1,""))))</f>
        <v/>
      </c>
      <c r="C97" s="35" t="s">
        <v>412</v>
      </c>
      <c r="D97" t="str">
        <f>IF(E97="","",VLOOKUP(E97,'Coaching Points'!A:B,2,0))</f>
        <v>ON</v>
      </c>
      <c r="E97" s="35" t="s">
        <v>126</v>
      </c>
      <c r="F97" s="34">
        <v>2011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6" t="s">
        <v>214</v>
      </c>
      <c r="I97" s="40"/>
      <c r="J97" s="4">
        <f>R97+S97+IF(OR(H97="Junior",H97="Senior"),0.0002,IF(OR(H97="L7",H97="L6"),0.0001,0))+IF(G97="17-21",MAX(AA97,AC97,AF97),AE97)*0.0000001</f>
        <v>125.290008095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>IF(A97&lt;5,IF(_xlfn.MAXIFS(A:A,G:G,G97)&gt;3,5-A97,_xlfn.MAXIFS(A:A,G:G,G97)+1-A97),"")</f>
        <v/>
      </c>
      <c r="R97" s="4">
        <f>IF(G97="17-21",MAX(T97,V97,Y97,AA97,AC97,AF97),MAX(X97,AE97))</f>
        <v>80.95</v>
      </c>
      <c r="S97" s="4">
        <f>IF(G97="17-21",LARGE(CHOOSE({1,2,3,4,5,6},T97,V97,Y97,AA97,AC97,AF97),2),IF(R97=X97,MAX(Y97,AA97,AC97,AF97),IF(R97=AE97,MAX(AF97,T97,V97,Y97),0)))</f>
        <v>44.34</v>
      </c>
      <c r="T97" s="32"/>
      <c r="U97" s="37"/>
      <c r="V97" s="33"/>
      <c r="W97" s="37"/>
      <c r="X97" s="4">
        <f>IF(H97="Senior",MAX(T97,V97),T97+V97)</f>
        <v>0</v>
      </c>
      <c r="Y97" s="33"/>
      <c r="Z97" s="37"/>
      <c r="AA97" s="32">
        <v>36.950000000000003</v>
      </c>
      <c r="AB97" s="37">
        <v>0</v>
      </c>
      <c r="AC97" s="33">
        <v>44</v>
      </c>
      <c r="AD97" s="37">
        <v>7.7</v>
      </c>
      <c r="AE97" s="4">
        <f>IF(H97="Senior",MAX(AA97,AC97),AA97+AC97)</f>
        <v>80.95</v>
      </c>
      <c r="AF97" s="33">
        <v>44.34</v>
      </c>
      <c r="AG97" s="37">
        <v>7.7</v>
      </c>
    </row>
    <row r="98" spans="1:33" x14ac:dyDescent="0.2">
      <c r="A98" s="1" t="str" cm="1">
        <f t="array" ref="A98">IF(I98="","",IF(P98&lt;&gt;"",SUMPRODUCT((P$3:P$102&lt;&gt;"")*(G$3:G$102=G98)*(J$3:J$102&gt;J98)*(I$3:I$102="P"))+1,IF(O98&lt;&gt;"",SUMPRODUCT((O$3:O$102&lt;&gt;"")*(P$3:P$102="")*(G$3:G$102=G98)*(J$3:J$102&gt;J98)*(I$3:I$102="P"))+SUMPRODUCT((P$3:P$102&lt;&gt;"")*(G$3:G$102=G98)*(I$3:I$102="P"))+1,IF(N98&lt;&gt;"",SUMPRODUCT((N$3:N$102&lt;&gt;"")*(G$3:G$102=G98)*(J$3:J$102&gt;J98)*(I$3:I$102="P"))+1,IF(M98="P",SUMPRODUCT((O$3:O$102&lt;&gt;"")*(P$3:P$102="")*(G$3:G$102=G98)*(I$3:I$102="P"))+SUMPRODUCT((P$3:P$102&lt;&gt;"")*(G$3:G$102=G98)*(I$3:I$102="P"))+SUMPRODUCT((N$3:N$102&lt;&gt;"")*(G$3:G$102=G98)*(I$3:I$102="P"))+SUMPRODUCT((P$3:P$102="")*(O$3:O$102="")*(N$3:N$102="")*(M$3:M$102="P")*(G$3:G$102=G98)*(J$3:J$102&gt;J98)*(I$3:I$102="P"))+IF(H98="L5",SUMPRODUCT((P$3:P$102="")*(O$3:O$102="")*(N$3:N$102="")*(M$3:M$102="P")*(G$3:G$102=G98)*(J$3:J$102&lt;J98)*(H$3:H$102&lt;&gt;H98)*(I$3:I$102="P")),-1*SUMPRODUCT((P$3:P$102="")*(O$3:O$102="")*(N$3:N$102="")*(M$3:M$102="P")*(G$3:G$102=G98)*(J$3:J$102&gt;J98)*(H$3:H$102="L5")*(I$3:I$102="P")))+1,"")))))</f>
        <v/>
      </c>
      <c r="B98" s="1" t="str" cm="1">
        <f t="array" ref="B98">IF(P98&lt;&gt;"",SUMPRODUCT((P$3:P$102&lt;&gt;"")*(G$3:G$102=G98)*(J$3:J$102&gt;J98))+1,IF(O98&lt;&gt;"",SUMPRODUCT((O$3:O$102&lt;&gt;"")*(P$3:P$102="")*(G$3:G$102=G98)*(J$3:J$102&gt;J98))+SUMPRODUCT((P$3:P$102&lt;&gt;"")*(G$3:G$102=G98))+1,IF(N98&lt;&gt;"",SUMPRODUCT((N$3:N$102&lt;&gt;"")*(G$3:G$102=G98)*(J$3:J$102&gt;J98))+1,IF(M98="P",SUMPRODUCT((O$3:O$102&lt;&gt;"")*(P$3:P$102="")*(G$3:G$102=G98))+SUMPRODUCT((P$3:P$102&lt;&gt;"")*(G$3:G$102=G98))+SUMPRODUCT((N$3:N$102&lt;&gt;"")*(G$3:G$102=G98))+SUMPRODUCT((P$3:P$102="")*(O$3:O$102="")*(N$3:N$102="")*(M$3:M$102="P")*(G$3:G$102=G98)*(J$3:J$102&gt;J98))+IF(H98="L5",SUMPRODUCT((P$3:P$102="")*(O$3:O$102="")*(N$3:N$102="")*(M$3:M$102="P")*(G$3:G$102=G98)*(J$3:J$102&lt;J98)*(H$3:H$102&lt;&gt;H98)),-1*SUMPRODUCT((P$3:P$102="")*(O$3:O$102="")*(N$3:N$102="")*(M$3:M$102="P")*(G$3:G$102=G98)*(J$3:J$102&gt;J98)*(H$3:H$102="L5")))+1,""))))</f>
        <v/>
      </c>
      <c r="C98" s="35" t="s">
        <v>413</v>
      </c>
      <c r="D98" t="str">
        <f>IF(E98="","",VLOOKUP(E98,'Coaching Points'!A:B,2,0))</f>
        <v>QC</v>
      </c>
      <c r="E98" s="35" t="s">
        <v>3</v>
      </c>
      <c r="F98" s="34">
        <v>2011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6" t="s">
        <v>214</v>
      </c>
      <c r="I98" s="40"/>
      <c r="J98" s="4">
        <f>R98+S98+IF(OR(H98="Junior",H98="Senior"),0.0002,IF(OR(H98="L7",H98="L6"),0.0001,0))+IF(G98="17-21",MAX(AA98,AC98,AF98),AE98)*0.0000001</f>
        <v>124.75000805500001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>IF(A98&lt;5,IF(_xlfn.MAXIFS(A:A,G:G,G98)&gt;3,5-A98,_xlfn.MAXIFS(A:A,G:G,G98)+1-A98),"")</f>
        <v/>
      </c>
      <c r="R98" s="4">
        <f>IF(G98="17-21",MAX(T98,V98,Y98,AA98,AC98,AF98),MAX(X98,AE98))</f>
        <v>80.550000000000011</v>
      </c>
      <c r="S98" s="4">
        <f>IF(G98="17-21",LARGE(CHOOSE({1,2,3,4,5,6},T98,V98,Y98,AA98,AC98,AF98),2),IF(R98=X98,MAX(Y98,AA98,AC98,AF98),IF(R98=AE98,MAX(AF98,T98,V98,Y98),0)))</f>
        <v>44.2</v>
      </c>
      <c r="T98" s="32"/>
      <c r="U98" s="37"/>
      <c r="V98" s="33"/>
      <c r="W98" s="37"/>
      <c r="X98" s="4">
        <f>IF(H98="Senior",MAX(T98,V98),T98+V98)</f>
        <v>0</v>
      </c>
      <c r="Y98" s="33"/>
      <c r="Z98" s="37"/>
      <c r="AA98" s="32">
        <v>34.99</v>
      </c>
      <c r="AB98" s="37">
        <v>0</v>
      </c>
      <c r="AC98" s="33">
        <v>45.56</v>
      </c>
      <c r="AD98" s="37">
        <v>7.7</v>
      </c>
      <c r="AE98" s="4">
        <f>IF(H98="Senior",MAX(AA98,AC98),AA98+AC98)</f>
        <v>80.550000000000011</v>
      </c>
      <c r="AF98" s="33">
        <v>44.2</v>
      </c>
      <c r="AG98" s="37">
        <v>7.7</v>
      </c>
    </row>
    <row r="99" spans="1:33" x14ac:dyDescent="0.2">
      <c r="A99" s="1" t="str" cm="1">
        <f t="array" ref="A99">IF(I99="","",IF(P99&lt;&gt;"",SUMPRODUCT((P$3:P$102&lt;&gt;"")*(G$3:G$102=G99)*(J$3:J$102&gt;J99)*(I$3:I$102="P"))+1,IF(O99&lt;&gt;"",SUMPRODUCT((O$3:O$102&lt;&gt;"")*(P$3:P$102="")*(G$3:G$102=G99)*(J$3:J$102&gt;J99)*(I$3:I$102="P"))+SUMPRODUCT((P$3:P$102&lt;&gt;"")*(G$3:G$102=G99)*(I$3:I$102="P"))+1,IF(N99&lt;&gt;"",SUMPRODUCT((N$3:N$102&lt;&gt;"")*(G$3:G$102=G99)*(J$3:J$102&gt;J99)*(I$3:I$102="P"))+1,IF(M99="P",SUMPRODUCT((O$3:O$102&lt;&gt;"")*(P$3:P$102="")*(G$3:G$102=G99)*(I$3:I$102="P"))+SUMPRODUCT((P$3:P$102&lt;&gt;"")*(G$3:G$102=G99)*(I$3:I$102="P"))+SUMPRODUCT((N$3:N$102&lt;&gt;"")*(G$3:G$102=G99)*(I$3:I$102="P"))+SUMPRODUCT((P$3:P$102="")*(O$3:O$102="")*(N$3:N$102="")*(M$3:M$102="P")*(G$3:G$102=G99)*(J$3:J$102&gt;J99)*(I$3:I$102="P"))+IF(H99="L5",SUMPRODUCT((P$3:P$102="")*(O$3:O$102="")*(N$3:N$102="")*(M$3:M$102="P")*(G$3:G$102=G99)*(J$3:J$102&lt;J99)*(H$3:H$102&lt;&gt;H99)*(I$3:I$102="P")),-1*SUMPRODUCT((P$3:P$102="")*(O$3:O$102="")*(N$3:N$102="")*(M$3:M$102="P")*(G$3:G$102=G99)*(J$3:J$102&gt;J99)*(H$3:H$102="L5")*(I$3:I$102="P")))+1,"")))))</f>
        <v/>
      </c>
      <c r="B99" s="1" t="str" cm="1">
        <f t="array" ref="B99">IF(P99&lt;&gt;"",SUMPRODUCT((P$3:P$102&lt;&gt;"")*(G$3:G$102=G99)*(J$3:J$102&gt;J99))+1,IF(O99&lt;&gt;"",SUMPRODUCT((O$3:O$102&lt;&gt;"")*(P$3:P$102="")*(G$3:G$102=G99)*(J$3:J$102&gt;J99))+SUMPRODUCT((P$3:P$102&lt;&gt;"")*(G$3:G$102=G99))+1,IF(N99&lt;&gt;"",SUMPRODUCT((N$3:N$102&lt;&gt;"")*(G$3:G$102=G99)*(J$3:J$102&gt;J99))+1,IF(M99="P",SUMPRODUCT((O$3:O$102&lt;&gt;"")*(P$3:P$102="")*(G$3:G$102=G99))+SUMPRODUCT((P$3:P$102&lt;&gt;"")*(G$3:G$102=G99))+SUMPRODUCT((N$3:N$102&lt;&gt;"")*(G$3:G$102=G99))+SUMPRODUCT((P$3:P$102="")*(O$3:O$102="")*(N$3:N$102="")*(M$3:M$102="P")*(G$3:G$102=G99)*(J$3:J$102&gt;J99))+IF(H99="L5",SUMPRODUCT((P$3:P$102="")*(O$3:O$102="")*(N$3:N$102="")*(M$3:M$102="P")*(G$3:G$102=G99)*(J$3:J$102&lt;J99)*(H$3:H$102&lt;&gt;H99)),-1*SUMPRODUCT((P$3:P$102="")*(O$3:O$102="")*(N$3:N$102="")*(M$3:M$102="P")*(G$3:G$102=G99)*(J$3:J$102&gt;J99)*(H$3:H$102="L5")))+1,""))))</f>
        <v/>
      </c>
      <c r="C99" s="35" t="s">
        <v>244</v>
      </c>
      <c r="D99" t="str">
        <f>IF(E99="","",VLOOKUP(E99,'Coaching Points'!A:B,2,0))</f>
        <v>AB</v>
      </c>
      <c r="E99" s="35" t="s">
        <v>39</v>
      </c>
      <c r="F99" s="34">
        <v>2011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6" t="s">
        <v>214</v>
      </c>
      <c r="I99" s="40"/>
      <c r="J99" s="4">
        <f>R99+S99+IF(OR(H99="Junior",H99="Senior"),0.0002,IF(OR(H99="L7",H99="L6"),0.0001,0))+IF(G99="17-21",MAX(AA99,AC99,AF99),AE99)*0.0000001</f>
        <v>122.990007783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>IF(A99&lt;5,IF(_xlfn.MAXIFS(A:A,G:G,G99)&gt;3,5-A99,_xlfn.MAXIFS(A:A,G:G,G99)+1-A99),"")</f>
        <v/>
      </c>
      <c r="R99" s="4">
        <f>IF(G99="17-21",MAX(T99,V99,Y99,AA99,AC99,AF99),MAX(X99,AE99))</f>
        <v>77.83</v>
      </c>
      <c r="S99" s="4">
        <f>IF(G99="17-21",LARGE(CHOOSE({1,2,3,4,5,6},T99,V99,Y99,AA99,AC99,AF99),2),IF(R99=X99,MAX(Y99,AA99,AC99,AF99),IF(R99=AE99,MAX(AF99,T99,V99,Y99),0)))</f>
        <v>45.16</v>
      </c>
      <c r="T99" s="32">
        <v>35.32</v>
      </c>
      <c r="U99" s="37">
        <v>0</v>
      </c>
      <c r="V99" s="33">
        <v>40.39</v>
      </c>
      <c r="W99" s="37">
        <v>7.9</v>
      </c>
      <c r="X99" s="4">
        <f>IF(H99="Senior",MAX(T99,V99),T99+V99)</f>
        <v>75.710000000000008</v>
      </c>
      <c r="Y99" s="33">
        <v>44.88</v>
      </c>
      <c r="Z99" s="37">
        <v>8.5</v>
      </c>
      <c r="AA99" s="32">
        <v>35.03</v>
      </c>
      <c r="AB99" s="37">
        <v>0</v>
      </c>
      <c r="AC99" s="33">
        <v>42.8</v>
      </c>
      <c r="AD99" s="37">
        <v>8.6999999999999993</v>
      </c>
      <c r="AE99" s="4">
        <f>IF(H99="Senior",MAX(AA99,AC99),AA99+AC99)</f>
        <v>77.83</v>
      </c>
      <c r="AF99" s="33">
        <v>45.16</v>
      </c>
      <c r="AG99" s="37">
        <v>9.4</v>
      </c>
    </row>
    <row r="100" spans="1:33" x14ac:dyDescent="0.2">
      <c r="A100" s="1" t="str" cm="1">
        <f t="array" ref="A100">IF(I100="","",IF(P100&lt;&gt;"",SUMPRODUCT((P$3:P$102&lt;&gt;"")*(G$3:G$102=G100)*(J$3:J$102&gt;J100)*(I$3:I$102="P"))+1,IF(O100&lt;&gt;"",SUMPRODUCT((O$3:O$102&lt;&gt;"")*(P$3:P$102="")*(G$3:G$102=G100)*(J$3:J$102&gt;J100)*(I$3:I$102="P"))+SUMPRODUCT((P$3:P$102&lt;&gt;"")*(G$3:G$102=G100)*(I$3:I$102="P"))+1,IF(N100&lt;&gt;"",SUMPRODUCT((N$3:N$102&lt;&gt;"")*(G$3:G$102=G100)*(J$3:J$102&gt;J100)*(I$3:I$102="P"))+1,IF(M100="P",SUMPRODUCT((O$3:O$102&lt;&gt;"")*(P$3:P$102="")*(G$3:G$102=G100)*(I$3:I$102="P"))+SUMPRODUCT((P$3:P$102&lt;&gt;"")*(G$3:G$102=G100)*(I$3:I$102="P"))+SUMPRODUCT((N$3:N$102&lt;&gt;"")*(G$3:G$102=G100)*(I$3:I$102="P"))+SUMPRODUCT((P$3:P$102="")*(O$3:O$102="")*(N$3:N$102="")*(M$3:M$102="P")*(G$3:G$102=G100)*(J$3:J$102&gt;J100)*(I$3:I$102="P"))+IF(H100="L5",SUMPRODUCT((P$3:P$102="")*(O$3:O$102="")*(N$3:N$102="")*(M$3:M$102="P")*(G$3:G$102=G100)*(J$3:J$102&lt;J100)*(H$3:H$102&lt;&gt;H100)*(I$3:I$102="P")),-1*SUMPRODUCT((P$3:P$102="")*(O$3:O$102="")*(N$3:N$102="")*(M$3:M$102="P")*(G$3:G$102=G100)*(J$3:J$102&gt;J100)*(H$3:H$102="L5")*(I$3:I$102="P")))+1,"")))))</f>
        <v/>
      </c>
      <c r="B100" s="1" t="str" cm="1">
        <f t="array" ref="B100">IF(P100&lt;&gt;"",SUMPRODUCT((P$3:P$102&lt;&gt;"")*(G$3:G$102=G100)*(J$3:J$102&gt;J100))+1,IF(O100&lt;&gt;"",SUMPRODUCT((O$3:O$102&lt;&gt;"")*(P$3:P$102="")*(G$3:G$102=G100)*(J$3:J$102&gt;J100))+SUMPRODUCT((P$3:P$102&lt;&gt;"")*(G$3:G$102=G100))+1,IF(N100&lt;&gt;"",SUMPRODUCT((N$3:N$102&lt;&gt;"")*(G$3:G$102=G100)*(J$3:J$102&gt;J100))+1,IF(M100="P",SUMPRODUCT((O$3:O$102&lt;&gt;"")*(P$3:P$102="")*(G$3:G$102=G100))+SUMPRODUCT((P$3:P$102&lt;&gt;"")*(G$3:G$102=G100))+SUMPRODUCT((N$3:N$102&lt;&gt;"")*(G$3:G$102=G100))+SUMPRODUCT((P$3:P$102="")*(O$3:O$102="")*(N$3:N$102="")*(M$3:M$102="P")*(G$3:G$102=G100)*(J$3:J$102&gt;J100))+IF(H100="L5",SUMPRODUCT((P$3:P$102="")*(O$3:O$102="")*(N$3:N$102="")*(M$3:M$102="P")*(G$3:G$102=G100)*(J$3:J$102&lt;J100)*(H$3:H$102&lt;&gt;H100)),-1*SUMPRODUCT((P$3:P$102="")*(O$3:O$102="")*(N$3:N$102="")*(M$3:M$102="P")*(G$3:G$102=G100)*(J$3:J$102&gt;J100)*(H$3:H$102="L5")))+1,""))))</f>
        <v/>
      </c>
      <c r="C100" s="35" t="s">
        <v>414</v>
      </c>
      <c r="D100" t="str">
        <f>IF(E100="","",VLOOKUP(E100,'Coaching Points'!A:B,2,0))</f>
        <v>QC</v>
      </c>
      <c r="E100" s="35" t="s">
        <v>72</v>
      </c>
      <c r="F100" s="34">
        <v>2012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6" t="s">
        <v>214</v>
      </c>
      <c r="I100" s="40"/>
      <c r="J100" s="4">
        <f>R100+S100+IF(OR(H100="Junior",H100="Senior"),0.0002,IF(OR(H100="L7",H100="L6"),0.0001,0))+IF(G100="17-21",MAX(AA100,AC100,AF100),AE100)*0.0000001</f>
        <v>122.93000779200001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>IF(A100&lt;5,IF(_xlfn.MAXIFS(A:A,G:G,G100)&gt;3,5-A100,_xlfn.MAXIFS(A:A,G:G,G100)+1-A100),"")</f>
        <v/>
      </c>
      <c r="R100" s="4">
        <f>IF(G100="17-21",MAX(T100,V100,Y100,AA100,AC100,AF100),MAX(X100,AE100))</f>
        <v>77.92</v>
      </c>
      <c r="S100" s="4">
        <f>IF(G100="17-21",LARGE(CHOOSE({1,2,3,4,5,6},T100,V100,Y100,AA100,AC100,AF100),2),IF(R100=X100,MAX(Y100,AA100,AC100,AF100),IF(R100=AE100,MAX(AF100,T100,V100,Y100),0)))</f>
        <v>45.01</v>
      </c>
      <c r="T100" s="32"/>
      <c r="U100" s="37"/>
      <c r="V100" s="33"/>
      <c r="W100" s="37"/>
      <c r="X100" s="4">
        <f>IF(H100="Senior",MAX(T100,V100),T100+V100)</f>
        <v>0</v>
      </c>
      <c r="Y100" s="33"/>
      <c r="Z100" s="37"/>
      <c r="AA100" s="32">
        <v>33.56</v>
      </c>
      <c r="AB100" s="37">
        <v>0</v>
      </c>
      <c r="AC100" s="33">
        <v>44.36</v>
      </c>
      <c r="AD100" s="37">
        <v>7.7</v>
      </c>
      <c r="AE100" s="4">
        <f>IF(H100="Senior",MAX(AA100,AC100),AA100+AC100)</f>
        <v>77.92</v>
      </c>
      <c r="AF100" s="33">
        <v>45.01</v>
      </c>
      <c r="AG100" s="37">
        <v>7.7</v>
      </c>
    </row>
    <row r="101" spans="1:33" x14ac:dyDescent="0.2">
      <c r="A101" s="1" t="str" cm="1">
        <f t="array" ref="A101">IF(I101="","",IF(P101&lt;&gt;"",SUMPRODUCT((P$3:P$102&lt;&gt;"")*(G$3:G$102=G101)*(J$3:J$102&gt;J101)*(I$3:I$102="P"))+1,IF(O101&lt;&gt;"",SUMPRODUCT((O$3:O$102&lt;&gt;"")*(P$3:P$102="")*(G$3:G$102=G101)*(J$3:J$102&gt;J101)*(I$3:I$102="P"))+SUMPRODUCT((P$3:P$102&lt;&gt;"")*(G$3:G$102=G101)*(I$3:I$102="P"))+1,IF(N101&lt;&gt;"",SUMPRODUCT((N$3:N$102&lt;&gt;"")*(G$3:G$102=G101)*(J$3:J$102&gt;J101)*(I$3:I$102="P"))+1,IF(M101="P",SUMPRODUCT((O$3:O$102&lt;&gt;"")*(P$3:P$102="")*(G$3:G$102=G101)*(I$3:I$102="P"))+SUMPRODUCT((P$3:P$102&lt;&gt;"")*(G$3:G$102=G101)*(I$3:I$102="P"))+SUMPRODUCT((N$3:N$102&lt;&gt;"")*(G$3:G$102=G101)*(I$3:I$102="P"))+SUMPRODUCT((P$3:P$102="")*(O$3:O$102="")*(N$3:N$102="")*(M$3:M$102="P")*(G$3:G$102=G101)*(J$3:J$102&gt;J101)*(I$3:I$102="P"))+IF(H101="L5",SUMPRODUCT((P$3:P$102="")*(O$3:O$102="")*(N$3:N$102="")*(M$3:M$102="P")*(G$3:G$102=G101)*(J$3:J$102&lt;J101)*(H$3:H$102&lt;&gt;H101)*(I$3:I$102="P")),-1*SUMPRODUCT((P$3:P$102="")*(O$3:O$102="")*(N$3:N$102="")*(M$3:M$102="P")*(G$3:G$102=G101)*(J$3:J$102&gt;J101)*(H$3:H$102="L5")*(I$3:I$102="P")))+1,"")))))</f>
        <v/>
      </c>
      <c r="B101" s="1" t="str" cm="1">
        <f t="array" ref="B101">IF(P101&lt;&gt;"",SUMPRODUCT((P$3:P$102&lt;&gt;"")*(G$3:G$102=G101)*(J$3:J$102&gt;J101))+1,IF(O101&lt;&gt;"",SUMPRODUCT((O$3:O$102&lt;&gt;"")*(P$3:P$102="")*(G$3:G$102=G101)*(J$3:J$102&gt;J101))+SUMPRODUCT((P$3:P$102&lt;&gt;"")*(G$3:G$102=G101))+1,IF(N101&lt;&gt;"",SUMPRODUCT((N$3:N$102&lt;&gt;"")*(G$3:G$102=G101)*(J$3:J$102&gt;J101))+1,IF(M101="P",SUMPRODUCT((O$3:O$102&lt;&gt;"")*(P$3:P$102="")*(G$3:G$102=G101))+SUMPRODUCT((P$3:P$102&lt;&gt;"")*(G$3:G$102=G101))+SUMPRODUCT((N$3:N$102&lt;&gt;"")*(G$3:G$102=G101))+SUMPRODUCT((P$3:P$102="")*(O$3:O$102="")*(N$3:N$102="")*(M$3:M$102="P")*(G$3:G$102=G101)*(J$3:J$102&gt;J101))+IF(H101="L5",SUMPRODUCT((P$3:P$102="")*(O$3:O$102="")*(N$3:N$102="")*(M$3:M$102="P")*(G$3:G$102=G101)*(J$3:J$102&lt;J101)*(H$3:H$102&lt;&gt;H101)),-1*SUMPRODUCT((P$3:P$102="")*(O$3:O$102="")*(N$3:N$102="")*(M$3:M$102="P")*(G$3:G$102=G101)*(J$3:J$102&gt;J101)*(H$3:H$102="L5")))+1,""))))</f>
        <v/>
      </c>
      <c r="C101" s="35" t="s">
        <v>248</v>
      </c>
      <c r="D101" t="str">
        <f>IF(E101="","",VLOOKUP(E101,'Coaching Points'!A:B,2,0))</f>
        <v>BC</v>
      </c>
      <c r="E101" s="35" t="s">
        <v>40</v>
      </c>
      <c r="F101" s="34">
        <v>2011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6" t="s">
        <v>214</v>
      </c>
      <c r="I101" s="40"/>
      <c r="J101" s="4">
        <f>R101+S101+IF(OR(H101="Junior",H101="Senior"),0.0002,IF(OR(H101="L7",H101="L6"),0.0001,0))+IF(G101="17-21",MAX(AA101,AC101,AF101),AE101)*0.0000001</f>
        <v>122.05000787800002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>IF(A101&lt;5,IF(_xlfn.MAXIFS(A:A,G:G,G101)&gt;3,5-A101,_xlfn.MAXIFS(A:A,G:G,G101)+1-A101),"")</f>
        <v/>
      </c>
      <c r="R101" s="4">
        <f>IF(G101="17-21",MAX(T101,V101,Y101,AA101,AC101,AF101),MAX(X101,AE101))</f>
        <v>78.78</v>
      </c>
      <c r="S101" s="4">
        <f>IF(G101="17-21",LARGE(CHOOSE({1,2,3,4,5,6},T101,V101,Y101,AA101,AC101,AF101),2),IF(R101=X101,MAX(Y101,AA101,AC101,AF101),IF(R101=AE101,MAX(AF101,T101,V101,Y101),0)))</f>
        <v>43.27</v>
      </c>
      <c r="T101" s="32">
        <v>21.73</v>
      </c>
      <c r="U101" s="37">
        <v>0</v>
      </c>
      <c r="V101" s="33">
        <v>17.46</v>
      </c>
      <c r="W101" s="37">
        <v>4</v>
      </c>
      <c r="X101" s="4">
        <f>IF(H101="Senior",MAX(T101,V101),T101+V101)</f>
        <v>39.19</v>
      </c>
      <c r="Y101" s="33"/>
      <c r="Z101" s="37"/>
      <c r="AA101" s="32">
        <v>37.549999999999997</v>
      </c>
      <c r="AB101" s="37">
        <v>0</v>
      </c>
      <c r="AC101" s="33">
        <v>41.23</v>
      </c>
      <c r="AD101" s="37">
        <v>7.3</v>
      </c>
      <c r="AE101" s="4">
        <f>IF(H101="Senior",MAX(AA101,AC101),AA101+AC101)</f>
        <v>78.78</v>
      </c>
      <c r="AF101" s="33">
        <v>43.27</v>
      </c>
      <c r="AG101" s="37">
        <v>7.3</v>
      </c>
    </row>
    <row r="102" spans="1:33" x14ac:dyDescent="0.2">
      <c r="A102" s="1" t="str" cm="1">
        <f t="array" ref="A102">IF(I102="","",IF(P102&lt;&gt;"",SUMPRODUCT((P$3:P$102&lt;&gt;"")*(G$3:G$102=G102)*(J$3:J$102&gt;J102)*(I$3:I$102="P"))+1,IF(O102&lt;&gt;"",SUMPRODUCT((O$3:O$102&lt;&gt;"")*(P$3:P$102="")*(G$3:G$102=G102)*(J$3:J$102&gt;J102)*(I$3:I$102="P"))+SUMPRODUCT((P$3:P$102&lt;&gt;"")*(G$3:G$102=G102)*(I$3:I$102="P"))+1,IF(N102&lt;&gt;"",SUMPRODUCT((N$3:N$102&lt;&gt;"")*(G$3:G$102=G102)*(J$3:J$102&gt;J102)*(I$3:I$102="P"))+1,IF(M102="P",SUMPRODUCT((O$3:O$102&lt;&gt;"")*(P$3:P$102="")*(G$3:G$102=G102)*(I$3:I$102="P"))+SUMPRODUCT((P$3:P$102&lt;&gt;"")*(G$3:G$102=G102)*(I$3:I$102="P"))+SUMPRODUCT((N$3:N$102&lt;&gt;"")*(G$3:G$102=G102)*(I$3:I$102="P"))+SUMPRODUCT((P$3:P$102="")*(O$3:O$102="")*(N$3:N$102="")*(M$3:M$102="P")*(G$3:G$102=G102)*(J$3:J$102&gt;J102)*(I$3:I$102="P"))+IF(H102="L5",SUMPRODUCT((P$3:P$102="")*(O$3:O$102="")*(N$3:N$102="")*(M$3:M$102="P")*(G$3:G$102=G102)*(J$3:J$102&lt;J102)*(H$3:H$102&lt;&gt;H102)*(I$3:I$102="P")),-1*SUMPRODUCT((P$3:P$102="")*(O$3:O$102="")*(N$3:N$102="")*(M$3:M$102="P")*(G$3:G$102=G102)*(J$3:J$102&gt;J102)*(H$3:H$102="L5")*(I$3:I$102="P")))+1,"")))))</f>
        <v/>
      </c>
      <c r="B102" s="1" t="str" cm="1">
        <f t="array" ref="B102">IF(P102&lt;&gt;"",SUMPRODUCT((P$3:P$102&lt;&gt;"")*(G$3:G$102=G102)*(J$3:J$102&gt;J102))+1,IF(O102&lt;&gt;"",SUMPRODUCT((O$3:O$102&lt;&gt;"")*(P$3:P$102="")*(G$3:G$102=G102)*(J$3:J$102&gt;J102))+SUMPRODUCT((P$3:P$102&lt;&gt;"")*(G$3:G$102=G102))+1,IF(N102&lt;&gt;"",SUMPRODUCT((N$3:N$102&lt;&gt;"")*(G$3:G$102=G102)*(J$3:J$102&gt;J102))+1,IF(M102="P",SUMPRODUCT((O$3:O$102&lt;&gt;"")*(P$3:P$102="")*(G$3:G$102=G102))+SUMPRODUCT((P$3:P$102&lt;&gt;"")*(G$3:G$102=G102))+SUMPRODUCT((N$3:N$102&lt;&gt;"")*(G$3:G$102=G102))+SUMPRODUCT((P$3:P$102="")*(O$3:O$102="")*(N$3:N$102="")*(M$3:M$102="P")*(G$3:G$102=G102)*(J$3:J$102&gt;J102))+IF(H102="L5",SUMPRODUCT((P$3:P$102="")*(O$3:O$102="")*(N$3:N$102="")*(M$3:M$102="P")*(G$3:G$102=G102)*(J$3:J$102&lt;J102)*(H$3:H$102&lt;&gt;H102)),-1*SUMPRODUCT((P$3:P$102="")*(O$3:O$102="")*(N$3:N$102="")*(M$3:M$102="P")*(G$3:G$102=G102)*(J$3:J$102&gt;J102)*(H$3:H$102="L5")))+1,""))))</f>
        <v/>
      </c>
      <c r="C102" s="35" t="s">
        <v>247</v>
      </c>
      <c r="D102" t="str">
        <f>IF(E102="","",VLOOKUP(E102,'Coaching Points'!A:B,2,0))</f>
        <v>AB</v>
      </c>
      <c r="E102" s="35" t="s">
        <v>28</v>
      </c>
      <c r="F102" s="34">
        <v>2011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6" t="s">
        <v>214</v>
      </c>
      <c r="I102" s="40"/>
      <c r="J102" s="4">
        <f>R102+S102+IF(OR(H102="Junior",H102="Senior"),0.0002,IF(OR(H102="L7",H102="L6"),0.0001,0))+IF(G102="17-21",MAX(AA102,AC102,AF102),AE102)*0.0000001</f>
        <v>88.010005034999992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>IF(A102&lt;5,IF(_xlfn.MAXIFS(A:A,G:G,G102)&gt;3,5-A102,_xlfn.MAXIFS(A:A,G:G,G102)+1-A102),"")</f>
        <v/>
      </c>
      <c r="R102" s="4">
        <f>IF(G102="17-21",MAX(T102,V102,Y102,AA102,AC102,AF102),MAX(X102,AE102))</f>
        <v>50.349999999999994</v>
      </c>
      <c r="S102" s="4">
        <f>IF(G102="17-21",LARGE(CHOOSE({1,2,3,4,5,6},T102,V102,Y102,AA102,AC102,AF102),2),IF(R102=X102,MAX(Y102,AA102,AC102,AF102),IF(R102=AE102,MAX(AF102,T102,V102,Y102),0)))</f>
        <v>37.659999999999997</v>
      </c>
      <c r="T102" s="32">
        <v>37.659999999999997</v>
      </c>
      <c r="U102" s="37">
        <v>0</v>
      </c>
      <c r="V102" s="33">
        <v>9.2200000000000006</v>
      </c>
      <c r="W102" s="37">
        <v>1.8</v>
      </c>
      <c r="X102" s="4">
        <f>IF(H102="Senior",MAX(T102,V102),T102+V102)</f>
        <v>46.879999999999995</v>
      </c>
      <c r="Y102" s="33"/>
      <c r="Z102" s="37"/>
      <c r="AA102" s="32">
        <v>36.83</v>
      </c>
      <c r="AB102" s="37">
        <v>0</v>
      </c>
      <c r="AC102" s="33">
        <v>13.52</v>
      </c>
      <c r="AD102" s="37">
        <v>2.9</v>
      </c>
      <c r="AE102" s="4">
        <f>IF(H102="Senior",MAX(AA102,AC102),AA102+AC102)</f>
        <v>50.349999999999994</v>
      </c>
      <c r="AF102" s="33">
        <v>5.04</v>
      </c>
      <c r="AG102" s="37">
        <v>1.3</v>
      </c>
    </row>
    <row r="103" spans="1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1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1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1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1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1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1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1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1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1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02">
      <sortCondition descending="1" ref="G1:G103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19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6" t="s">
        <v>120</v>
      </c>
      <c r="F1" s="68" t="s">
        <v>121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103</v>
      </c>
      <c r="S1" s="72" t="s">
        <v>139</v>
      </c>
      <c r="T1" s="66" t="s">
        <v>140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$14&lt;&gt;"")*(H$3:H$14=H3)*(K$3:K$14&gt;K3)*(J$3:J$14="P"))+1,IF(P3&lt;&gt;"",SUMPRODUCT((P$3:P$14&lt;&gt;"")*(Q$3:Q$14="")*(H$3:H$14=H3)*(K$3:K$14&gt;K3)*(J$3:J$14="P"))+SUMPRODUCT((Q$3:Q$14&lt;&gt;"")*(H$3:H$14=H3)*(J$3:J$14="P"))+1,IF(O3&lt;&gt;"",SUMPRODUCT((O$3:O$14&lt;&gt;"")*(H$3:H$14=H3)*(K$3:K$14&gt;K3)*(J$3:J$14="P"))+1,IF(N3="P",SUMPRODUCT((P$3:P$14&lt;&gt;"")*(Q$3:Q$14="")*(H$3:H$14=H3)*(J$3:J$14="P"))+SUMPRODUCT((Q$3:Q$14&lt;&gt;"")*(H$3:H$14=H3)*(J$3:J$14="P"))+SUMPRODUCT((O$3:O$14&lt;&gt;"")*(H$3:H$14=H3)*(J$3:J$14="P"))+SUMPRODUCT((Q$3:Q$14="")*(P$3:P$14="")*(O$3:O$14="")*(N$3:N$14="P")*(H$3:H$14=H3)*(K$3:K$14&gt;K3)*(J$3:J$14="P"))+IF(I3="L5",SUMPRODUCT((Q$3:Q$14="")*(P$3:P$14="")*(O$3:O$14="")*(N$3:N$14="P")*(H$3:H$14=H3)*(K$3:K$14&lt;K3)*(I$3:I$14&lt;&gt;I3)*(J$3:J$14="P")),-1*SUMPRODUCT((Q$3:Q$14="")*(P$3:P$14="")*(O$3:O$14="")*(N$3:N$14="P")*(H$3:H$14=H3)*(K$3:K$14&gt;K3)*(I$3:I$14="L5")*(J$3:J$14="P")))+1,"")))))</f>
        <v/>
      </c>
      <c r="B3" s="1" cm="1">
        <f t="array" ref="B3">IF(Q3&lt;&gt;"",SUMPRODUCT((Q$3:Q$14&lt;&gt;"")*(H$3:H$14=H3)*(K$3:K$14&gt;K3))+1,IF(P3&lt;&gt;"",SUMPRODUCT((P$3:P$14&lt;&gt;"")*(Q$3:Q$14="")*(H$3:H$14=H3)*(K$3:K$14&gt;K3))+SUMPRODUCT((Q$3:Q$14&lt;&gt;"")*(H$3:H$14=H3))+1,IF(O3&lt;&gt;"",SUMPRODUCT((O$3:O$14&lt;&gt;"")*(H$3:H$14=H3)*(K$3:K$14&gt;K3))+1,IF(N3="P",SUMPRODUCT((P$3:P$14&lt;&gt;"")*(Q$3:Q$14="")*(H$3:H$14=H3))+SUMPRODUCT((Q$3:Q$14&lt;&gt;"")*(H$3:H$14=H3))+SUMPRODUCT((O$3:O$14&lt;&gt;"")*(H$3:H$14=H3))+SUMPRODUCT((Q$3:Q$14="")*(P$3:P$14="")*(O$3:O$14="")*(N$3:N$14="P")*(H$3:H$14=H3)*(K$3:K$14&gt;K3))+IF(I3="L5",SUMPRODUCT((Q$3:Q$14="")*(P$3:P$14="")*(O$3:O$14="")*(N$3:N$14="P")*(H$3:H$14=H3)*(K$3:K$14&lt;K3)*(I$3:I$14&lt;&gt;I3)),-1*SUMPRODUCT((Q$3:Q$14="")*(P$3:P$14="")*(O$3:O$14="")*(N$3:N$14="P")*(H$3:H$14=H3)*(K$3:K$14&gt;K3)*(I$3:I$14="L5")))+1,""))))</f>
        <v>1</v>
      </c>
      <c r="C3" s="35" t="s">
        <v>377</v>
      </c>
      <c r="D3" t="str">
        <f>IF(E3="","",VLOOKUP(E3,'Coaching Points'!A:B,2,0)&amp;"/"&amp;VLOOKUP(F3,'Coaching Points'!A:B,2,0))</f>
        <v>QC/QC</v>
      </c>
      <c r="E3" s="35" t="s">
        <v>3</v>
      </c>
      <c r="F3" s="35" t="s">
        <v>3</v>
      </c>
      <c r="G3" s="34">
        <v>2005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/>
      <c r="K3" s="4">
        <f>S3+T3+IF(OR(I3="Junior",I3="Senior"),0.0002,IF(OR(I3="L7",I3="L6"),0.0001,0))+MAX(AB3,AD3,AG3)*0.0000001</f>
        <v>95.230204697000005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47.53</v>
      </c>
      <c r="U3" s="32">
        <v>47.53</v>
      </c>
      <c r="V3" s="37">
        <v>14.3</v>
      </c>
      <c r="W3" s="33">
        <v>5.28</v>
      </c>
      <c r="X3" s="37">
        <v>2</v>
      </c>
      <c r="Y3" s="4">
        <f>IF(I3="Senior",MAX(U3,W3),U3+W3)</f>
        <v>47.53</v>
      </c>
      <c r="Z3" s="33">
        <v>47.7</v>
      </c>
      <c r="AA3" s="37">
        <v>11.6</v>
      </c>
      <c r="AB3" s="32">
        <v>19.89</v>
      </c>
      <c r="AC3" s="37">
        <v>5.2</v>
      </c>
      <c r="AD3" s="33">
        <v>45.58</v>
      </c>
      <c r="AE3" s="37">
        <v>11.6</v>
      </c>
      <c r="AF3" s="4">
        <f>IF(I3="Senior",MAX(AB3,AD3),AB3+AD3)</f>
        <v>45.58</v>
      </c>
      <c r="AG3" s="33">
        <v>46.97</v>
      </c>
      <c r="AH3" s="37">
        <v>11.6</v>
      </c>
    </row>
    <row r="4" spans="1:35" x14ac:dyDescent="0.2">
      <c r="A4" s="1" t="str" cm="1">
        <f t="array" ref="A4">IF(J4="","",IF(Q4&lt;&gt;"",SUMPRODUCT((Q$3:Q$14&lt;&gt;"")*(H$3:H$14=H4)*(K$3:K$14&gt;K4)*(J$3:J$14="P"))+1,IF(P4&lt;&gt;"",SUMPRODUCT((P$3:P$14&lt;&gt;"")*(Q$3:Q$14="")*(H$3:H$14=H4)*(K$3:K$14&gt;K4)*(J$3:J$14="P"))+SUMPRODUCT((Q$3:Q$14&lt;&gt;"")*(H$3:H$14=H4)*(J$3:J$14="P"))+1,IF(O4&lt;&gt;"",SUMPRODUCT((O$3:O$14&lt;&gt;"")*(H$3:H$14=H4)*(K$3:K$14&gt;K4)*(J$3:J$14="P"))+1,IF(N4="P",SUMPRODUCT((P$3:P$14&lt;&gt;"")*(Q$3:Q$14="")*(H$3:H$14=H4)*(J$3:J$14="P"))+SUMPRODUCT((Q$3:Q$14&lt;&gt;"")*(H$3:H$14=H4)*(J$3:J$14="P"))+SUMPRODUCT((O$3:O$14&lt;&gt;"")*(H$3:H$14=H4)*(J$3:J$14="P"))+SUMPRODUCT((Q$3:Q$14="")*(P$3:P$14="")*(O$3:O$14="")*(N$3:N$14="P")*(H$3:H$14=H4)*(K$3:K$14&gt;K4)*(J$3:J$14="P"))+IF(I4="L5",SUMPRODUCT((Q$3:Q$14="")*(P$3:P$14="")*(O$3:O$14="")*(N$3:N$14="P")*(H$3:H$14=H4)*(K$3:K$14&lt;K4)*(I$3:I$14&lt;&gt;I4)*(J$3:J$14="P")),-1*SUMPRODUCT((Q$3:Q$14="")*(P$3:P$14="")*(O$3:O$14="")*(N$3:N$14="P")*(H$3:H$14=H4)*(K$3:K$14&gt;K4)*(I$3:I$14="L5")*(J$3:J$14="P")))+1,"")))))</f>
        <v/>
      </c>
      <c r="B4" s="1" t="str" cm="1">
        <f t="array" ref="B4">IF(Q4&lt;&gt;"",SUMPRODUCT((Q$3:Q$14&lt;&gt;"")*(H$3:H$14=H4)*(K$3:K$14&gt;K4))+1,IF(P4&lt;&gt;"",SUMPRODUCT((P$3:P$14&lt;&gt;"")*(Q$3:Q$14="")*(H$3:H$14=H4)*(K$3:K$14&gt;K4))+SUMPRODUCT((Q$3:Q$14&lt;&gt;"")*(H$3:H$14=H4))+1,IF(O4&lt;&gt;"",SUMPRODUCT((O$3:O$14&lt;&gt;"")*(H$3:H$14=H4)*(K$3:K$14&gt;K4))+1,IF(N4="P",SUMPRODUCT((P$3:P$14&lt;&gt;"")*(Q$3:Q$14="")*(H$3:H$14=H4))+SUMPRODUCT((Q$3:Q$14&lt;&gt;"")*(H$3:H$14=H4))+SUMPRODUCT((O$3:O$14&lt;&gt;"")*(H$3:H$14=H4))+SUMPRODUCT((Q$3:Q$14="")*(P$3:P$14="")*(O$3:O$14="")*(N$3:N$14="P")*(H$3:H$14=H4)*(K$3:K$14&gt;K4))+IF(I4="L5",SUMPRODUCT((Q$3:Q$14="")*(P$3:P$14="")*(O$3:O$14="")*(N$3:N$14="P")*(H$3:H$14=H4)*(K$3:K$14&lt;K4)*(I$3:I$14&lt;&gt;I4)),-1*SUMPRODUCT((Q$3:Q$14="")*(P$3:P$14="")*(O$3:O$14="")*(N$3:N$14="P")*(H$3:H$14=H4)*(K$3:K$14&gt;K4)*(I$3:I$14="L5")))+1,""))))</f>
        <v/>
      </c>
      <c r="C4" s="35" t="s">
        <v>374</v>
      </c>
      <c r="D4" t="str">
        <f>IF(E4="","",VLOOKUP(E4,'Coaching Points'!A:B,2,0)&amp;"/"&amp;VLOOKUP(F4,'Coaching Points'!A:B,2,0))</f>
        <v>ON/ON</v>
      </c>
      <c r="E4" s="35" t="s">
        <v>45</v>
      </c>
      <c r="F4" s="35" t="s">
        <v>45</v>
      </c>
      <c r="G4" s="34">
        <v>2008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213</v>
      </c>
      <c r="J4" s="40"/>
      <c r="K4" s="4">
        <f>S4+T4+IF(OR(I4="Junior",I4="Senior"),0.0002,IF(OR(I4="L7",I4="L6"),0.0001,0))+MAX(AB4,AD4,AG4)*0.0000001</f>
        <v>84.250103666000001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/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44.32</v>
      </c>
      <c r="T4" s="4">
        <f>LARGE(CHOOSE({1,2,3,4,5,6},U4,W4,Z4,AB4,AD4,AG4),2)</f>
        <v>39.93</v>
      </c>
      <c r="U4" s="32">
        <v>39.93</v>
      </c>
      <c r="V4" s="37">
        <v>9.3000000000000007</v>
      </c>
      <c r="W4" s="33"/>
      <c r="X4" s="37"/>
      <c r="Y4" s="4">
        <f>IF(I4="Senior",MAX(U4,W4),U4+W4)</f>
        <v>39.93</v>
      </c>
      <c r="Z4" s="33">
        <v>44.32</v>
      </c>
      <c r="AA4" s="37">
        <v>9.3000000000000007</v>
      </c>
      <c r="AB4" s="32">
        <v>36.659999999999997</v>
      </c>
      <c r="AC4" s="37">
        <v>10</v>
      </c>
      <c r="AD4" s="33"/>
      <c r="AE4" s="37"/>
      <c r="AF4" s="4">
        <f>IF(I4="Senior",MAX(AB4,AD4),AB4+AD4)</f>
        <v>36.659999999999997</v>
      </c>
      <c r="AG4" s="33">
        <v>13.98</v>
      </c>
      <c r="AH4" s="37">
        <v>3.5</v>
      </c>
    </row>
    <row r="5" spans="1:35" x14ac:dyDescent="0.2">
      <c r="A5" s="1" t="str" cm="1">
        <f t="array" ref="A5">IF(J5="","",IF(Q5&lt;&gt;"",SUMPRODUCT((Q$3:Q$14&lt;&gt;"")*(H$3:H$14=H5)*(K$3:K$14&gt;K5)*(J$3:J$14="P"))+1,IF(P5&lt;&gt;"",SUMPRODUCT((P$3:P$14&lt;&gt;"")*(Q$3:Q$14="")*(H$3:H$14=H5)*(K$3:K$14&gt;K5)*(J$3:J$14="P"))+SUMPRODUCT((Q$3:Q$14&lt;&gt;"")*(H$3:H$14=H5)*(J$3:J$14="P"))+1,IF(O5&lt;&gt;"",SUMPRODUCT((O$3:O$14&lt;&gt;"")*(H$3:H$14=H5)*(K$3:K$14&gt;K5)*(J$3:J$14="P"))+1,IF(N5="P",SUMPRODUCT((P$3:P$14&lt;&gt;"")*(Q$3:Q$14="")*(H$3:H$14=H5)*(J$3:J$14="P"))+SUMPRODUCT((Q$3:Q$14&lt;&gt;"")*(H$3:H$14=H5)*(J$3:J$14="P"))+SUMPRODUCT((O$3:O$14&lt;&gt;"")*(H$3:H$14=H5)*(J$3:J$14="P"))+SUMPRODUCT((Q$3:Q$14="")*(P$3:P$14="")*(O$3:O$14="")*(N$3:N$14="P")*(H$3:H$14=H5)*(K$3:K$14&gt;K5)*(J$3:J$14="P"))+IF(I5="L5",SUMPRODUCT((Q$3:Q$14="")*(P$3:P$14="")*(O$3:O$14="")*(N$3:N$14="P")*(H$3:H$14=H5)*(K$3:K$14&lt;K5)*(I$3:I$14&lt;&gt;I5)*(J$3:J$14="P")),-1*SUMPRODUCT((Q$3:Q$14="")*(P$3:P$14="")*(O$3:O$14="")*(N$3:N$14="P")*(H$3:H$14=H5)*(K$3:K$14&gt;K5)*(I$3:I$14="L5")*(J$3:J$14="P")))+1,"")))))</f>
        <v/>
      </c>
      <c r="B5" s="1" t="str" cm="1">
        <f t="array" ref="B5">IF(Q5&lt;&gt;"",SUMPRODUCT((Q$3:Q$14&lt;&gt;"")*(H$3:H$14=H5)*(K$3:K$14&gt;K5))+1,IF(P5&lt;&gt;"",SUMPRODUCT((P$3:P$14&lt;&gt;"")*(Q$3:Q$14="")*(H$3:H$14=H5)*(K$3:K$14&gt;K5))+SUMPRODUCT((Q$3:Q$14&lt;&gt;"")*(H$3:H$14=H5))+1,IF(O5&lt;&gt;"",SUMPRODUCT((O$3:O$14&lt;&gt;"")*(H$3:H$14=H5)*(K$3:K$14&gt;K5))+1,IF(N5="P",SUMPRODUCT((P$3:P$14&lt;&gt;"")*(Q$3:Q$14="")*(H$3:H$14=H5))+SUMPRODUCT((Q$3:Q$14&lt;&gt;"")*(H$3:H$14=H5))+SUMPRODUCT((O$3:O$14&lt;&gt;"")*(H$3:H$14=H5))+SUMPRODUCT((Q$3:Q$14="")*(P$3:P$14="")*(O$3:O$14="")*(N$3:N$14="P")*(H$3:H$14=H5)*(K$3:K$14&gt;K5))+IF(I5="L5",SUMPRODUCT((Q$3:Q$14="")*(P$3:P$14="")*(O$3:O$14="")*(N$3:N$14="P")*(H$3:H$14=H5)*(K$3:K$14&lt;K5)*(I$3:I$14&lt;&gt;I5)),-1*SUMPRODUCT((Q$3:Q$14="")*(P$3:P$14="")*(O$3:O$14="")*(N$3:N$14="P")*(H$3:H$14=H5)*(K$3:K$14&gt;K5)*(I$3:I$14="L5")))+1,""))))</f>
        <v/>
      </c>
      <c r="C5" s="35" t="s">
        <v>378</v>
      </c>
      <c r="D5" t="str">
        <f>IF(E5="","",VLOOKUP(E5,'Coaching Points'!A:B,2,0)&amp;"/"&amp;VLOOKUP(F5,'Coaching Points'!A:B,2,0))</f>
        <v>AB/AB</v>
      </c>
      <c r="E5" s="35" t="s">
        <v>28</v>
      </c>
      <c r="F5" s="35" t="s">
        <v>28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210</v>
      </c>
      <c r="J5" s="40"/>
      <c r="K5" s="4">
        <f>S5+T5+IF(OR(I5="Junior",I5="Senior"),0.0002,IF(OR(I5="L7",I5="L6"),0.0001,0))+MAX(AB5,AD5,AG5)*0.0000001</f>
        <v>67.100201448999997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38.33</v>
      </c>
      <c r="T5" s="4">
        <f>LARGE(CHOOSE({1,2,3,4,5,6},U5,W5,Z5,AB5,AD5,AG5),2)</f>
        <v>28.77</v>
      </c>
      <c r="U5" s="32">
        <v>28.77</v>
      </c>
      <c r="V5" s="37">
        <v>10.199999999999999</v>
      </c>
      <c r="W5" s="33">
        <v>38.33</v>
      </c>
      <c r="X5" s="37">
        <v>11.3</v>
      </c>
      <c r="Y5" s="4">
        <f>IF(I5="Senior",MAX(U5,W5),U5+W5)</f>
        <v>38.33</v>
      </c>
      <c r="Z5" s="33">
        <v>4.99</v>
      </c>
      <c r="AA5" s="37">
        <v>2</v>
      </c>
      <c r="AB5" s="32">
        <v>0</v>
      </c>
      <c r="AC5" s="37">
        <v>0</v>
      </c>
      <c r="AD5" s="33">
        <v>0</v>
      </c>
      <c r="AE5" s="37">
        <v>0</v>
      </c>
      <c r="AF5" s="4">
        <f>IF(I5="Senior",MAX(AB5,AD5),AB5+AD5)</f>
        <v>0</v>
      </c>
      <c r="AG5" s="33">
        <v>14.49</v>
      </c>
      <c r="AH5" s="37">
        <v>5</v>
      </c>
    </row>
    <row r="6" spans="1:35" x14ac:dyDescent="0.2">
      <c r="A6" s="1" t="str" cm="1">
        <f t="array" ref="A6">IF(J6="","",IF(Q6&lt;&gt;"",SUMPRODUCT((Q$3:Q$14&lt;&gt;"")*(H$3:H$14=H6)*(K$3:K$14&gt;K6)*(J$3:J$14="P"))+1,IF(P6&lt;&gt;"",SUMPRODUCT((P$3:P$14&lt;&gt;"")*(Q$3:Q$14="")*(H$3:H$14=H6)*(K$3:K$14&gt;K6)*(J$3:J$14="P"))+SUMPRODUCT((Q$3:Q$14&lt;&gt;"")*(H$3:H$14=H6)*(J$3:J$14="P"))+1,IF(O6&lt;&gt;"",SUMPRODUCT((O$3:O$14&lt;&gt;"")*(H$3:H$14=H6)*(K$3:K$14&gt;K6)*(J$3:J$14="P"))+1,IF(N6="P",SUMPRODUCT((P$3:P$14&lt;&gt;"")*(Q$3:Q$14="")*(H$3:H$14=H6)*(J$3:J$14="P"))+SUMPRODUCT((Q$3:Q$14&lt;&gt;"")*(H$3:H$14=H6)*(J$3:J$14="P"))+SUMPRODUCT((O$3:O$14&lt;&gt;"")*(H$3:H$14=H6)*(J$3:J$14="P"))+SUMPRODUCT((Q$3:Q$14="")*(P$3:P$14="")*(O$3:O$14="")*(N$3:N$14="P")*(H$3:H$14=H6)*(K$3:K$14&gt;K6)*(J$3:J$14="P"))+IF(I6="L5",SUMPRODUCT((Q$3:Q$14="")*(P$3:P$14="")*(O$3:O$14="")*(N$3:N$14="P")*(H$3:H$14=H6)*(K$3:K$14&lt;K6)*(I$3:I$14&lt;&gt;I6)*(J$3:J$14="P")),-1*SUMPRODUCT((Q$3:Q$14="")*(P$3:P$14="")*(O$3:O$14="")*(N$3:N$14="P")*(H$3:H$14=H6)*(K$3:K$14&gt;K6)*(I$3:I$14="L5")*(J$3:J$14="P")))+1,"")))))</f>
        <v/>
      </c>
      <c r="B6" s="1" t="str" cm="1">
        <f t="array" ref="B6">IF(Q6&lt;&gt;"",SUMPRODUCT((Q$3:Q$14&lt;&gt;"")*(H$3:H$14=H6)*(K$3:K$14&gt;K6))+1,IF(P6&lt;&gt;"",SUMPRODUCT((P$3:P$14&lt;&gt;"")*(Q$3:Q$14="")*(H$3:H$14=H6)*(K$3:K$14&gt;K6))+SUMPRODUCT((Q$3:Q$14&lt;&gt;"")*(H$3:H$14=H6))+1,IF(O6&lt;&gt;"",SUMPRODUCT((O$3:O$14&lt;&gt;"")*(H$3:H$14=H6)*(K$3:K$14&gt;K6))+1,IF(N6="P",SUMPRODUCT((P$3:P$14&lt;&gt;"")*(Q$3:Q$14="")*(H$3:H$14=H6))+SUMPRODUCT((Q$3:Q$14&lt;&gt;"")*(H$3:H$14=H6))+SUMPRODUCT((O$3:O$14&lt;&gt;"")*(H$3:H$14=H6))+SUMPRODUCT((Q$3:Q$14="")*(P$3:P$14="")*(O$3:O$14="")*(N$3:N$14="P")*(H$3:H$14=H6)*(K$3:K$14&gt;K6))+IF(I6="L5",SUMPRODUCT((Q$3:Q$14="")*(P$3:P$14="")*(O$3:O$14="")*(N$3:N$14="P")*(H$3:H$14=H6)*(K$3:K$14&lt;K6)*(I$3:I$14&lt;&gt;I6)),-1*SUMPRODUCT((Q$3:Q$14="")*(P$3:P$14="")*(O$3:O$14="")*(N$3:N$14="P")*(H$3:H$14=H6)*(K$3:K$14&gt;K6)*(I$3:I$14="L5")))+1,""))))</f>
        <v/>
      </c>
      <c r="C6" s="35" t="s">
        <v>379</v>
      </c>
      <c r="D6" t="str">
        <f>IF(E6="","",VLOOKUP(E6,'Coaching Points'!A:B,2,0)&amp;"/"&amp;VLOOKUP(F6,'Coaching Points'!A:B,2,0))</f>
        <v>QC/QC</v>
      </c>
      <c r="E6" s="35" t="s">
        <v>70</v>
      </c>
      <c r="F6" s="35" t="s">
        <v>70</v>
      </c>
      <c r="G6" s="34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210</v>
      </c>
      <c r="J6" s="40"/>
      <c r="K6" s="4">
        <f>S6+T6+IF(OR(I6="Junior",I6="Senior"),0.0002,IF(OR(I6="L7",I6="L6"),0.0001,0))+MAX(AB6,AD6,AG6)*0.0000001</f>
        <v>59.000204502000003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>P</v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45.02</v>
      </c>
      <c r="T6" s="4">
        <f>LARGE(CHOOSE({1,2,3,4,5,6},U6,W6,Z6,AB6,AD6,AG6),2)</f>
        <v>13.98</v>
      </c>
      <c r="U6" s="32">
        <v>13.98</v>
      </c>
      <c r="V6" s="37">
        <v>4.3</v>
      </c>
      <c r="W6" s="33">
        <v>4.55</v>
      </c>
      <c r="X6" s="37">
        <v>1.7</v>
      </c>
      <c r="Y6" s="4">
        <f>IF(I6="Senior",MAX(U6,W6),U6+W6)</f>
        <v>13.98</v>
      </c>
      <c r="Z6" s="33"/>
      <c r="AA6" s="37"/>
      <c r="AB6" s="32">
        <v>5.35</v>
      </c>
      <c r="AC6" s="37">
        <v>1.7</v>
      </c>
      <c r="AD6" s="33">
        <v>45.02</v>
      </c>
      <c r="AE6" s="37">
        <v>12.8</v>
      </c>
      <c r="AF6" s="4">
        <f>IF(I6="Senior",MAX(AB6,AD6),AB6+AD6)</f>
        <v>45.02</v>
      </c>
      <c r="AG6" s="33">
        <v>10.28</v>
      </c>
      <c r="AH6" s="37">
        <v>2.8</v>
      </c>
    </row>
    <row r="7" spans="1:35" x14ac:dyDescent="0.2">
      <c r="A7" s="1" t="str" cm="1">
        <f t="array" ref="A7">IF(J7="","",IF(Q7&lt;&gt;"",SUMPRODUCT((Q$3:Q$14&lt;&gt;"")*(H$3:H$14=H7)*(K$3:K$14&gt;K7)*(J$3:J$14="P"))+1,IF(P7&lt;&gt;"",SUMPRODUCT((P$3:P$14&lt;&gt;"")*(Q$3:Q$14="")*(H$3:H$14=H7)*(K$3:K$14&gt;K7)*(J$3:J$14="P"))+SUMPRODUCT((Q$3:Q$14&lt;&gt;"")*(H$3:H$14=H7)*(J$3:J$14="P"))+1,IF(O7&lt;&gt;"",SUMPRODUCT((O$3:O$14&lt;&gt;"")*(H$3:H$14=H7)*(K$3:K$14&gt;K7)*(J$3:J$14="P"))+1,IF(N7="P",SUMPRODUCT((P$3:P$14&lt;&gt;"")*(Q$3:Q$14="")*(H$3:H$14=H7)*(J$3:J$14="P"))+SUMPRODUCT((Q$3:Q$14&lt;&gt;"")*(H$3:H$14=H7)*(J$3:J$14="P"))+SUMPRODUCT((O$3:O$14&lt;&gt;"")*(H$3:H$14=H7)*(J$3:J$14="P"))+SUMPRODUCT((Q$3:Q$14="")*(P$3:P$14="")*(O$3:O$14="")*(N$3:N$14="P")*(H$3:H$14=H7)*(K$3:K$14&gt;K7)*(J$3:J$14="P"))+IF(I7="L5",SUMPRODUCT((Q$3:Q$14="")*(P$3:P$14="")*(O$3:O$14="")*(N$3:N$14="P")*(H$3:H$14=H7)*(K$3:K$14&lt;K7)*(I$3:I$14&lt;&gt;I7)*(J$3:J$14="P")),-1*SUMPRODUCT((Q$3:Q$14="")*(P$3:P$14="")*(O$3:O$14="")*(N$3:N$14="P")*(H$3:H$14=H7)*(K$3:K$14&gt;K7)*(I$3:I$14="L5")*(J$3:J$14="P")))+1,"")))))</f>
        <v/>
      </c>
      <c r="B7" s="1" t="str" cm="1">
        <f t="array" ref="B7">IF(Q7&lt;&gt;"",SUMPRODUCT((Q$3:Q$14&lt;&gt;"")*(H$3:H$14=H7)*(K$3:K$14&gt;K7))+1,IF(P7&lt;&gt;"",SUMPRODUCT((P$3:P$14&lt;&gt;"")*(Q$3:Q$14="")*(H$3:H$14=H7)*(K$3:K$14&gt;K7))+SUMPRODUCT((Q$3:Q$14&lt;&gt;"")*(H$3:H$14=H7))+1,IF(O7&lt;&gt;"",SUMPRODUCT((O$3:O$14&lt;&gt;"")*(H$3:H$14=H7)*(K$3:K$14&gt;K7))+1,IF(N7="P",SUMPRODUCT((P$3:P$14&lt;&gt;"")*(Q$3:Q$14="")*(H$3:H$14=H7))+SUMPRODUCT((Q$3:Q$14&lt;&gt;"")*(H$3:H$14=H7))+SUMPRODUCT((O$3:O$14&lt;&gt;"")*(H$3:H$14=H7))+SUMPRODUCT((Q$3:Q$14="")*(P$3:P$14="")*(O$3:O$14="")*(N$3:N$14="P")*(H$3:H$14=H7)*(K$3:K$14&gt;K7))+IF(I7="L5",SUMPRODUCT((Q$3:Q$14="")*(P$3:P$14="")*(O$3:O$14="")*(N$3:N$14="P")*(H$3:H$14=H7)*(K$3:K$14&lt;K7)*(I$3:I$14&lt;&gt;I7)),-1*SUMPRODUCT((Q$3:Q$14="")*(P$3:P$14="")*(O$3:O$14="")*(N$3:N$14="P")*(H$3:H$14=H7)*(K$3:K$14&gt;K7)*(I$3:I$14="L5")))+1,""))))</f>
        <v/>
      </c>
      <c r="C7" s="35" t="s">
        <v>441</v>
      </c>
      <c r="D7" t="str">
        <f>IF(E7="","",VLOOKUP(E7,'Coaching Points'!A:B,2,0)&amp;"/"&amp;VLOOKUP(F7,'Coaching Points'!A:B,2,0))</f>
        <v>ON/ON</v>
      </c>
      <c r="E7" s="35" t="s">
        <v>37</v>
      </c>
      <c r="F7" s="35" t="s">
        <v>37</v>
      </c>
      <c r="G7" s="34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210</v>
      </c>
      <c r="J7" s="40"/>
      <c r="K7" s="4">
        <f>S7+T7+IF(OR(I7="Junior",I7="Senior"),0.0002,IF(OR(I7="L7",I7="L6"),0.0001,0))+MAX(AB7,AD7,AG7)*0.0000001</f>
        <v>58.670204287000004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42.87</v>
      </c>
      <c r="T7" s="4">
        <f>LARGE(CHOOSE({1,2,3,4,5,6},U7,W7,Z7,AB7,AD7,AG7),2)</f>
        <v>15.8</v>
      </c>
      <c r="U7" s="32"/>
      <c r="V7" s="37"/>
      <c r="W7" s="33"/>
      <c r="X7" s="37"/>
      <c r="Y7" s="4">
        <f>IF(I7="Senior",MAX(U7,W7),U7+W7)</f>
        <v>0</v>
      </c>
      <c r="Z7" s="33"/>
      <c r="AA7" s="37"/>
      <c r="AB7" s="32">
        <v>42.87</v>
      </c>
      <c r="AC7" s="37">
        <v>10.8</v>
      </c>
      <c r="AD7" s="33">
        <v>8.49</v>
      </c>
      <c r="AE7" s="37">
        <v>2.6</v>
      </c>
      <c r="AF7" s="4">
        <f>IF(I7="Senior",MAX(AB7,AD7),AB7+AD7)</f>
        <v>42.87</v>
      </c>
      <c r="AG7" s="33">
        <v>15.8</v>
      </c>
      <c r="AH7" s="37">
        <v>5.4</v>
      </c>
    </row>
    <row r="8" spans="1:35" x14ac:dyDescent="0.2">
      <c r="A8" s="1" t="str" cm="1">
        <f t="array" ref="A8">IF(J8="","",IF(Q8&lt;&gt;"",SUMPRODUCT((Q$3:Q$14&lt;&gt;"")*(H$3:H$14=H8)*(K$3:K$14&gt;K8)*(J$3:J$14="P"))+1,IF(P8&lt;&gt;"",SUMPRODUCT((P$3:P$14&lt;&gt;"")*(Q$3:Q$14="")*(H$3:H$14=H8)*(K$3:K$14&gt;K8)*(J$3:J$14="P"))+SUMPRODUCT((Q$3:Q$14&lt;&gt;"")*(H$3:H$14=H8)*(J$3:J$14="P"))+1,IF(O8&lt;&gt;"",SUMPRODUCT((O$3:O$14&lt;&gt;"")*(H$3:H$14=H8)*(K$3:K$14&gt;K8)*(J$3:J$14="P"))+1,IF(N8="P",SUMPRODUCT((P$3:P$14&lt;&gt;"")*(Q$3:Q$14="")*(H$3:H$14=H8)*(J$3:J$14="P"))+SUMPRODUCT((Q$3:Q$14&lt;&gt;"")*(H$3:H$14=H8)*(J$3:J$14="P"))+SUMPRODUCT((O$3:O$14&lt;&gt;"")*(H$3:H$14=H8)*(J$3:J$14="P"))+SUMPRODUCT((Q$3:Q$14="")*(P$3:P$14="")*(O$3:O$14="")*(N$3:N$14="P")*(H$3:H$14=H8)*(K$3:K$14&gt;K8)*(J$3:J$14="P"))+IF(I8="L5",SUMPRODUCT((Q$3:Q$14="")*(P$3:P$14="")*(O$3:O$14="")*(N$3:N$14="P")*(H$3:H$14=H8)*(K$3:K$14&lt;K8)*(I$3:I$14&lt;&gt;I8)*(J$3:J$14="P")),-1*SUMPRODUCT((Q$3:Q$14="")*(P$3:P$14="")*(O$3:O$14="")*(N$3:N$14="P")*(H$3:H$14=H8)*(K$3:K$14&gt;K8)*(I$3:I$14="L5")*(J$3:J$14="P")))+1,"")))))</f>
        <v/>
      </c>
      <c r="B8" s="1" t="str" cm="1">
        <f t="array" ref="B8">IF(Q8&lt;&gt;"",SUMPRODUCT((Q$3:Q$14&lt;&gt;"")*(H$3:H$14=H8)*(K$3:K$14&gt;K8))+1,IF(P8&lt;&gt;"",SUMPRODUCT((P$3:P$14&lt;&gt;"")*(Q$3:Q$14="")*(H$3:H$14=H8)*(K$3:K$14&gt;K8))+SUMPRODUCT((Q$3:Q$14&lt;&gt;"")*(H$3:H$14=H8))+1,IF(O8&lt;&gt;"",SUMPRODUCT((O$3:O$14&lt;&gt;"")*(H$3:H$14=H8)*(K$3:K$14&gt;K8))+1,IF(N8="P",SUMPRODUCT((P$3:P$14&lt;&gt;"")*(Q$3:Q$14="")*(H$3:H$14=H8))+SUMPRODUCT((Q$3:Q$14&lt;&gt;"")*(H$3:H$14=H8))+SUMPRODUCT((O$3:O$14&lt;&gt;"")*(H$3:H$14=H8))+SUMPRODUCT((Q$3:Q$14="")*(P$3:P$14="")*(O$3:O$14="")*(N$3:N$14="P")*(H$3:H$14=H8)*(K$3:K$14&gt;K8))+IF(I8="L5",SUMPRODUCT((Q$3:Q$14="")*(P$3:P$14="")*(O$3:O$14="")*(N$3:N$14="P")*(H$3:H$14=H8)*(K$3:K$14&lt;K8)*(I$3:I$14&lt;&gt;I8)),-1*SUMPRODUCT((Q$3:Q$14="")*(P$3:P$14="")*(O$3:O$14="")*(N$3:N$14="P")*(H$3:H$14=H8)*(K$3:K$14&gt;K8)*(I$3:I$14="L5")))+1,""))))</f>
        <v/>
      </c>
      <c r="C8" s="35" t="s">
        <v>376</v>
      </c>
      <c r="D8" t="str">
        <f>IF(E8="","",VLOOKUP(E8,'Coaching Points'!A:B,2,0)&amp;"/"&amp;VLOOKUP(F8,'Coaching Points'!A:B,2,0))</f>
        <v>BC/BC</v>
      </c>
      <c r="E8" s="35" t="s">
        <v>40</v>
      </c>
      <c r="F8" s="35" t="s">
        <v>40</v>
      </c>
      <c r="G8" s="34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>S8+T8+IF(OR(I8="Junior",I8="Senior"),0.0002,IF(OR(I8="L7",I8="L6"),0.0001,0))+MAX(AB8,AD8,AG8)*0.0000001</f>
        <v>49.560104081000006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40.81</v>
      </c>
      <c r="T8" s="4">
        <f>LARGE(CHOOSE({1,2,3,4,5,6},U8,W8,Z8,AB8,AD8,AG8),2)</f>
        <v>8.75</v>
      </c>
      <c r="U8" s="32">
        <v>8.75</v>
      </c>
      <c r="V8" s="37">
        <v>1.9</v>
      </c>
      <c r="W8" s="33"/>
      <c r="X8" s="37"/>
      <c r="Y8" s="4">
        <f>IF(I8="Senior",MAX(U8,W8),U8+W8)</f>
        <v>8.75</v>
      </c>
      <c r="Z8" s="33"/>
      <c r="AA8" s="37"/>
      <c r="AB8" s="32">
        <v>5.2</v>
      </c>
      <c r="AC8" s="37">
        <v>1.7</v>
      </c>
      <c r="AD8" s="33"/>
      <c r="AE8" s="37"/>
      <c r="AF8" s="4">
        <f>IF(I8="Senior",MAX(AB8,AD8),AB8+AD8)</f>
        <v>5.2</v>
      </c>
      <c r="AG8" s="33">
        <v>40.81</v>
      </c>
      <c r="AH8" s="37">
        <v>10.5</v>
      </c>
    </row>
    <row r="9" spans="1:35" x14ac:dyDescent="0.2">
      <c r="A9" s="1" t="str" cm="1">
        <f t="array" ref="A9">IF(J9="","",IF(Q9&lt;&gt;"",SUMPRODUCT((Q$3:Q$14&lt;&gt;"")*(H$3:H$14=H9)*(K$3:K$14&gt;K9)*(J$3:J$14="P"))+1,IF(P9&lt;&gt;"",SUMPRODUCT((P$3:P$14&lt;&gt;"")*(Q$3:Q$14="")*(H$3:H$14=H9)*(K$3:K$14&gt;K9)*(J$3:J$14="P"))+SUMPRODUCT((Q$3:Q$14&lt;&gt;"")*(H$3:H$14=H9)*(J$3:J$14="P"))+1,IF(O9&lt;&gt;"",SUMPRODUCT((O$3:O$14&lt;&gt;"")*(H$3:H$14=H9)*(K$3:K$14&gt;K9)*(J$3:J$14="P"))+1,IF(N9="P",SUMPRODUCT((P$3:P$14&lt;&gt;"")*(Q$3:Q$14="")*(H$3:H$14=H9)*(J$3:J$14="P"))+SUMPRODUCT((Q$3:Q$14&lt;&gt;"")*(H$3:H$14=H9)*(J$3:J$14="P"))+SUMPRODUCT((O$3:O$14&lt;&gt;"")*(H$3:H$14=H9)*(J$3:J$14="P"))+SUMPRODUCT((Q$3:Q$14="")*(P$3:P$14="")*(O$3:O$14="")*(N$3:N$14="P")*(H$3:H$14=H9)*(K$3:K$14&gt;K9)*(J$3:J$14="P"))+IF(I9="L5",SUMPRODUCT((Q$3:Q$14="")*(P$3:P$14="")*(O$3:O$14="")*(N$3:N$14="P")*(H$3:H$14=H9)*(K$3:K$14&lt;K9)*(I$3:I$14&lt;&gt;I9)*(J$3:J$14="P")),-1*SUMPRODUCT((Q$3:Q$14="")*(P$3:P$14="")*(O$3:O$14="")*(N$3:N$14="P")*(H$3:H$14=H9)*(K$3:K$14&gt;K9)*(I$3:I$14="L5")*(J$3:J$14="P")))+1,"")))))</f>
        <v/>
      </c>
      <c r="B9" s="1" t="str" cm="1">
        <f t="array" ref="B9">IF(Q9&lt;&gt;"",SUMPRODUCT((Q$3:Q$14&lt;&gt;"")*(H$3:H$14=H9)*(K$3:K$14&gt;K9))+1,IF(P9&lt;&gt;"",SUMPRODUCT((P$3:P$14&lt;&gt;"")*(Q$3:Q$14="")*(H$3:H$14=H9)*(K$3:K$14&gt;K9))+SUMPRODUCT((Q$3:Q$14&lt;&gt;"")*(H$3:H$14=H9))+1,IF(O9&lt;&gt;"",SUMPRODUCT((O$3:O$14&lt;&gt;"")*(H$3:H$14=H9)*(K$3:K$14&gt;K9))+1,IF(N9="P",SUMPRODUCT((P$3:P$14&lt;&gt;"")*(Q$3:Q$14="")*(H$3:H$14=H9))+SUMPRODUCT((Q$3:Q$14&lt;&gt;"")*(H$3:H$14=H9))+SUMPRODUCT((O$3:O$14&lt;&gt;"")*(H$3:H$14=H9))+SUMPRODUCT((Q$3:Q$14="")*(P$3:P$14="")*(O$3:O$14="")*(N$3:N$14="P")*(H$3:H$14=H9)*(K$3:K$14&gt;K9))+IF(I9="L5",SUMPRODUCT((Q$3:Q$14="")*(P$3:P$14="")*(O$3:O$14="")*(N$3:N$14="P")*(H$3:H$14=H9)*(K$3:K$14&lt;K9)*(I$3:I$14&lt;&gt;I9)),-1*SUMPRODUCT((Q$3:Q$14="")*(P$3:P$14="")*(O$3:O$14="")*(N$3:N$14="P")*(H$3:H$14=H9)*(K$3:K$14&gt;K9)*(I$3:I$14="L5")))+1,""))))</f>
        <v/>
      </c>
      <c r="C9" s="35" t="s">
        <v>440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213</v>
      </c>
      <c r="J9" s="40"/>
      <c r="K9" s="4">
        <f>S9+T9+IF(OR(I9="Junior",I9="Senior"),0.0002,IF(OR(I9="L7",I9="L6"),0.0001,0))+MAX(AB9,AD9,AG9)*0.0000001</f>
        <v>9.9401005080000004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5.08</v>
      </c>
      <c r="T9" s="4">
        <f>LARGE(CHOOSE({1,2,3,4,5,6},U9,W9,Z9,AB9,AD9,AG9),2)</f>
        <v>4.8600000000000003</v>
      </c>
      <c r="U9" s="32"/>
      <c r="V9" s="37"/>
      <c r="W9" s="33"/>
      <c r="X9" s="37"/>
      <c r="Y9" s="4">
        <f>IF(I9="Senior",MAX(U9,W9),U9+W9)</f>
        <v>0</v>
      </c>
      <c r="Z9" s="33"/>
      <c r="AA9" s="37"/>
      <c r="AB9" s="32">
        <v>4.8600000000000003</v>
      </c>
      <c r="AC9" s="37">
        <v>1.5</v>
      </c>
      <c r="AD9" s="33"/>
      <c r="AE9" s="37"/>
      <c r="AF9" s="4">
        <f>IF(I9="Senior",MAX(AB9,AD9),AB9+AD9)</f>
        <v>4.8600000000000003</v>
      </c>
      <c r="AG9" s="33">
        <v>5.08</v>
      </c>
      <c r="AH9" s="37">
        <v>1.5</v>
      </c>
    </row>
    <row r="10" spans="1:35" x14ac:dyDescent="0.2">
      <c r="A10" s="1" t="str" cm="1">
        <f t="array" ref="A10">IF(J10="","",IF(Q10&lt;&gt;"",SUMPRODUCT((Q$3:Q$14&lt;&gt;"")*(H$3:H$14=H10)*(K$3:K$14&gt;K10)*(J$3:J$14="P"))+1,IF(P10&lt;&gt;"",SUMPRODUCT((P$3:P$14&lt;&gt;"")*(Q$3:Q$14="")*(H$3:H$14=H10)*(K$3:K$14&gt;K10)*(J$3:J$14="P"))+SUMPRODUCT((Q$3:Q$14&lt;&gt;"")*(H$3:H$14=H10)*(J$3:J$14="P"))+1,IF(O10&lt;&gt;"",SUMPRODUCT((O$3:O$14&lt;&gt;"")*(H$3:H$14=H10)*(K$3:K$14&gt;K10)*(J$3:J$14="P"))+1,IF(N10="P",SUMPRODUCT((P$3:P$14&lt;&gt;"")*(Q$3:Q$14="")*(H$3:H$14=H10)*(J$3:J$14="P"))+SUMPRODUCT((Q$3:Q$14&lt;&gt;"")*(H$3:H$14=H10)*(J$3:J$14="P"))+SUMPRODUCT((O$3:O$14&lt;&gt;"")*(H$3:H$14=H10)*(J$3:J$14="P"))+SUMPRODUCT((Q$3:Q$14="")*(P$3:P$14="")*(O$3:O$14="")*(N$3:N$14="P")*(H$3:H$14=H10)*(K$3:K$14&gt;K10)*(J$3:J$14="P"))+IF(I10="L5",SUMPRODUCT((Q$3:Q$14="")*(P$3:P$14="")*(O$3:O$14="")*(N$3:N$14="P")*(H$3:H$14=H10)*(K$3:K$14&lt;K10)*(I$3:I$14&lt;&gt;I10)*(J$3:J$14="P")),-1*SUMPRODUCT((Q$3:Q$14="")*(P$3:P$14="")*(O$3:O$14="")*(N$3:N$14="P")*(H$3:H$14=H10)*(K$3:K$14&gt;K10)*(I$3:I$14="L5")*(J$3:J$14="P")))+1,"")))))</f>
        <v/>
      </c>
      <c r="B10" s="1" t="str" cm="1">
        <f t="array" ref="B10">IF(Q10&lt;&gt;"",SUMPRODUCT((Q$3:Q$14&lt;&gt;"")*(H$3:H$14=H10)*(K$3:K$14&gt;K10))+1,IF(P10&lt;&gt;"",SUMPRODUCT((P$3:P$14&lt;&gt;"")*(Q$3:Q$14="")*(H$3:H$14=H10)*(K$3:K$14&gt;K10))+SUMPRODUCT((Q$3:Q$14&lt;&gt;"")*(H$3:H$14=H10))+1,IF(O10&lt;&gt;"",SUMPRODUCT((O$3:O$14&lt;&gt;"")*(H$3:H$14=H10)*(K$3:K$14&gt;K10))+1,IF(N10="P",SUMPRODUCT((P$3:P$14&lt;&gt;"")*(Q$3:Q$14="")*(H$3:H$14=H10))+SUMPRODUCT((Q$3:Q$14&lt;&gt;"")*(H$3:H$14=H10))+SUMPRODUCT((O$3:O$14&lt;&gt;"")*(H$3:H$14=H10))+SUMPRODUCT((Q$3:Q$14="")*(P$3:P$14="")*(O$3:O$14="")*(N$3:N$14="P")*(H$3:H$14=H10)*(K$3:K$14&gt;K10))+IF(I10="L5",SUMPRODUCT((Q$3:Q$14="")*(P$3:P$14="")*(O$3:O$14="")*(N$3:N$14="P")*(H$3:H$14=H10)*(K$3:K$14&lt;K10)*(I$3:I$14&lt;&gt;I10)),-1*SUMPRODUCT((Q$3:Q$14="")*(P$3:P$14="")*(O$3:O$14="")*(N$3:N$14="P")*(H$3:H$14=H10)*(K$3:K$14&gt;K10)*(I$3:I$14="L5")))+1,""))))</f>
        <v/>
      </c>
      <c r="C10" s="35" t="s">
        <v>373</v>
      </c>
      <c r="D10" t="str">
        <f>IF(E10="","",VLOOKUP(E10,'Coaching Points'!A:B,2,0)&amp;"/"&amp;VLOOKUP(F10,'Coaching Points'!A:B,2,0))</f>
        <v>NS/NS</v>
      </c>
      <c r="E10" s="35" t="s">
        <v>86</v>
      </c>
      <c r="F10" s="35" t="s">
        <v>86</v>
      </c>
      <c r="G10" s="34">
        <v>2005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214</v>
      </c>
      <c r="J10" s="40"/>
      <c r="K10" s="4">
        <f>S10+T10+IF(OR(I10="Junior",I10="Senior"),0.0002,IF(OR(I10="L7",I10="L6"),0.0001,0))+MAX(AB10,AD10,AG10)*0.0000001</f>
        <v>0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0</v>
      </c>
      <c r="T10" s="4">
        <f>LARGE(CHOOSE({1,2,3,4,5,6},U10,W10,Z10,AB10,AD10,AG10),2)</f>
        <v>0</v>
      </c>
      <c r="U10" s="32">
        <v>0</v>
      </c>
      <c r="V10" s="37">
        <v>0</v>
      </c>
      <c r="W10" s="33"/>
      <c r="X10" s="37"/>
      <c r="Y10" s="4">
        <f>IF(I10="Senior",MAX(U10,W10),U10+W10)</f>
        <v>0</v>
      </c>
      <c r="Z10" s="33"/>
      <c r="AA10" s="37"/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$14&lt;&gt;"")*(H$3:H$14=H11)*(K$3:K$14&gt;K11)*(J$3:J$14="P"))+1,IF(P11&lt;&gt;"",SUMPRODUCT((P$3:P$14&lt;&gt;"")*(Q$3:Q$14="")*(H$3:H$14=H11)*(K$3:K$14&gt;K11)*(J$3:J$14="P"))+SUMPRODUCT((Q$3:Q$14&lt;&gt;"")*(H$3:H$14=H11)*(J$3:J$14="P"))+1,IF(O11&lt;&gt;"",SUMPRODUCT((O$3:O$14&lt;&gt;"")*(H$3:H$14=H11)*(K$3:K$14&gt;K11)*(J$3:J$14="P"))+1,IF(N11="P",SUMPRODUCT((P$3:P$14&lt;&gt;"")*(Q$3:Q$14="")*(H$3:H$14=H11)*(J$3:J$14="P"))+SUMPRODUCT((Q$3:Q$14&lt;&gt;"")*(H$3:H$14=H11)*(J$3:J$14="P"))+SUMPRODUCT((O$3:O$14&lt;&gt;"")*(H$3:H$14=H11)*(J$3:J$14="P"))+SUMPRODUCT((Q$3:Q$14="")*(P$3:P$14="")*(O$3:O$14="")*(N$3:N$14="P")*(H$3:H$14=H11)*(K$3:K$14&gt;K11)*(J$3:J$14="P"))+IF(I11="L5",SUMPRODUCT((Q$3:Q$14="")*(P$3:P$14="")*(O$3:O$14="")*(N$3:N$14="P")*(H$3:H$14=H11)*(K$3:K$14&lt;K11)*(I$3:I$14&lt;&gt;I11)*(J$3:J$14="P")),-1*SUMPRODUCT((Q$3:Q$14="")*(P$3:P$14="")*(O$3:O$14="")*(N$3:N$14="P")*(H$3:H$14=H11)*(K$3:K$14&gt;K11)*(I$3:I$14="L5")*(J$3:J$14="P")))+1,"")))))</f>
        <v/>
      </c>
      <c r="B11" s="1" t="str" cm="1">
        <f t="array" ref="B11">IF(Q11&lt;&gt;"",SUMPRODUCT((Q$3:Q$14&lt;&gt;"")*(H$3:H$14=H11)*(K$3:K$14&gt;K11))+1,IF(P11&lt;&gt;"",SUMPRODUCT((P$3:P$14&lt;&gt;"")*(Q$3:Q$14="")*(H$3:H$14=H11)*(K$3:K$14&gt;K11))+SUMPRODUCT((Q$3:Q$14&lt;&gt;"")*(H$3:H$14=H11))+1,IF(O11&lt;&gt;"",SUMPRODUCT((O$3:O$14&lt;&gt;"")*(H$3:H$14=H11)*(K$3:K$14&gt;K11))+1,IF(N11="P",SUMPRODUCT((P$3:P$14&lt;&gt;"")*(Q$3:Q$14="")*(H$3:H$14=H11))+SUMPRODUCT((Q$3:Q$14&lt;&gt;"")*(H$3:H$14=H11))+SUMPRODUCT((O$3:O$14&lt;&gt;"")*(H$3:H$14=H11))+SUMPRODUCT((Q$3:Q$14="")*(P$3:P$14="")*(O$3:O$14="")*(N$3:N$14="P")*(H$3:H$14=H11)*(K$3:K$14&gt;K11))+IF(I11="L5",SUMPRODUCT((Q$3:Q$14="")*(P$3:P$14="")*(O$3:O$14="")*(N$3:N$14="P")*(H$3:H$14=H11)*(K$3:K$14&lt;K11)*(I$3:I$14&lt;&gt;I11)),-1*SUMPRODUCT((Q$3:Q$14="")*(P$3:P$14="")*(O$3:O$14="")*(N$3:N$14="P")*(H$3:H$14=H11)*(K$3:K$14&gt;K11)*(I$3:I$14="L5")))+1,""))))</f>
        <v/>
      </c>
      <c r="C11" s="35" t="s">
        <v>438</v>
      </c>
      <c r="D11" t="str">
        <f>IF(E11="","",VLOOKUP(E11,'Coaching Points'!A:B,2,0)&amp;"/"&amp;VLOOKUP(F11,'Coaching Points'!A:B,2,0))</f>
        <v>QC/QC</v>
      </c>
      <c r="E11" s="35" t="s">
        <v>125</v>
      </c>
      <c r="F11" s="35" t="s">
        <v>125</v>
      </c>
      <c r="G11" s="34">
        <v>2010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15-16</v>
      </c>
      <c r="I11" s="36" t="s">
        <v>213</v>
      </c>
      <c r="J11" s="40"/>
      <c r="K11" s="4">
        <f>S11+T11+IF(OR(I11="Junior",I11="Senior"),0.0002,IF(OR(I11="L7",I11="L6"),0.0001,0))+MAX(AB11,AD11,AG11)*0.0000001</f>
        <v>50.110103733000003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37.33</v>
      </c>
      <c r="T11" s="4">
        <f>LARGE(CHOOSE({1,2,3,4,5,6},U11,W11,Z11,AB11,AD11,AG11),2)</f>
        <v>12.78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>
        <v>37.33</v>
      </c>
      <c r="AC11" s="37">
        <v>8.1</v>
      </c>
      <c r="AD11" s="33"/>
      <c r="AE11" s="37"/>
      <c r="AF11" s="4">
        <f>IF(I11="Senior",MAX(AB11,AD11),AB11+AD11)</f>
        <v>37.33</v>
      </c>
      <c r="AG11" s="33">
        <v>12.78</v>
      </c>
      <c r="AH11" s="37">
        <v>3.2</v>
      </c>
    </row>
    <row r="12" spans="1:35" x14ac:dyDescent="0.2">
      <c r="A12" s="1" t="str" cm="1">
        <f t="array" ref="A12">IF(J12="","",IF(Q12&lt;&gt;"",SUMPRODUCT((Q$3:Q$14&lt;&gt;"")*(H$3:H$14=H12)*(K$3:K$14&gt;K12)*(J$3:J$14="P"))+1,IF(P12&lt;&gt;"",SUMPRODUCT((P$3:P$14&lt;&gt;"")*(Q$3:Q$14="")*(H$3:H$14=H12)*(K$3:K$14&gt;K12)*(J$3:J$14="P"))+SUMPRODUCT((Q$3:Q$14&lt;&gt;"")*(H$3:H$14=H12)*(J$3:J$14="P"))+1,IF(O12&lt;&gt;"",SUMPRODUCT((O$3:O$14&lt;&gt;"")*(H$3:H$14=H12)*(K$3:K$14&gt;K12)*(J$3:J$14="P"))+1,IF(N12="P",SUMPRODUCT((P$3:P$14&lt;&gt;"")*(Q$3:Q$14="")*(H$3:H$14=H12)*(J$3:J$14="P"))+SUMPRODUCT((Q$3:Q$14&lt;&gt;"")*(H$3:H$14=H12)*(J$3:J$14="P"))+SUMPRODUCT((O$3:O$14&lt;&gt;"")*(H$3:H$14=H12)*(J$3:J$14="P"))+SUMPRODUCT((Q$3:Q$14="")*(P$3:P$14="")*(O$3:O$14="")*(N$3:N$14="P")*(H$3:H$14=H12)*(K$3:K$14&gt;K12)*(J$3:J$14="P"))+IF(I12="L5",SUMPRODUCT((Q$3:Q$14="")*(P$3:P$14="")*(O$3:O$14="")*(N$3:N$14="P")*(H$3:H$14=H12)*(K$3:K$14&lt;K12)*(I$3:I$14&lt;&gt;I12)*(J$3:J$14="P")),-1*SUMPRODUCT((Q$3:Q$14="")*(P$3:P$14="")*(O$3:O$14="")*(N$3:N$14="P")*(H$3:H$14=H12)*(K$3:K$14&gt;K12)*(I$3:I$14="L5")*(J$3:J$14="P")))+1,"")))))</f>
        <v/>
      </c>
      <c r="B12" s="1" t="str" cm="1">
        <f t="array" ref="B12">IF(Q12&lt;&gt;"",SUMPRODUCT((Q$3:Q$14&lt;&gt;"")*(H$3:H$14=H12)*(K$3:K$14&gt;K12))+1,IF(P12&lt;&gt;"",SUMPRODUCT((P$3:P$14&lt;&gt;"")*(Q$3:Q$14="")*(H$3:H$14=H12)*(K$3:K$14&gt;K12))+SUMPRODUCT((Q$3:Q$14&lt;&gt;"")*(H$3:H$14=H12))+1,IF(O12&lt;&gt;"",SUMPRODUCT((O$3:O$14&lt;&gt;"")*(H$3:H$14=H12)*(K$3:K$14&gt;K12))+1,IF(N12="P",SUMPRODUCT((P$3:P$14&lt;&gt;"")*(Q$3:Q$14="")*(H$3:H$14=H12))+SUMPRODUCT((Q$3:Q$14&lt;&gt;"")*(H$3:H$14=H12))+SUMPRODUCT((O$3:O$14&lt;&gt;"")*(H$3:H$14=H12))+SUMPRODUCT((Q$3:Q$14="")*(P$3:P$14="")*(O$3:O$14="")*(N$3:N$14="P")*(H$3:H$14=H12)*(K$3:K$14&gt;K12))+IF(I12="L5",SUMPRODUCT((Q$3:Q$14="")*(P$3:P$14="")*(O$3:O$14="")*(N$3:N$14="P")*(H$3:H$14=H12)*(K$3:K$14&lt;K12)*(I$3:I$14&lt;&gt;I12)),-1*SUMPRODUCT((Q$3:Q$14="")*(P$3:P$14="")*(O$3:O$14="")*(N$3:N$14="P")*(H$3:H$14=H12)*(K$3:K$14&gt;K12)*(I$3:I$14="L5")))+1,""))))</f>
        <v/>
      </c>
      <c r="C12" s="35" t="s">
        <v>375</v>
      </c>
      <c r="D12" t="str">
        <f>IF(E12="","",VLOOKUP(E12,'Coaching Points'!A:B,2,0)&amp;"/"&amp;VLOOKUP(F12,'Coaching Points'!A:B,2,0))</f>
        <v>QC/QC</v>
      </c>
      <c r="E12" s="35" t="s">
        <v>125</v>
      </c>
      <c r="F12" s="35" t="s">
        <v>209</v>
      </c>
      <c r="G12" s="34">
        <v>2009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15-16</v>
      </c>
      <c r="I12" s="36" t="s">
        <v>213</v>
      </c>
      <c r="J12" s="40"/>
      <c r="K12" s="4">
        <f>S12+T12+IF(OR(I12="Junior",I12="Senior"),0.0002,IF(OR(I12="L7",I12="L6"),0.0001,0))+MAX(AB12,AD12,AG12)*0.0000001</f>
        <v>22.1601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22.16</v>
      </c>
      <c r="T12" s="4">
        <f>LARGE(CHOOSE({1,2,3,4,5,6},U12,W12,Z12,AB12,AD12,AG12),2)</f>
        <v>0</v>
      </c>
      <c r="U12" s="32">
        <v>22.16</v>
      </c>
      <c r="V12" s="37">
        <v>4.9000000000000004</v>
      </c>
      <c r="W12" s="33"/>
      <c r="X12" s="37"/>
      <c r="Y12" s="4">
        <f>IF(I12="Senior",MAX(U12,W12),U12+W12)</f>
        <v>22.16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$14&lt;&gt;"")*(H$3:H$14=H13)*(K$3:K$14&gt;K13)*(J$3:J$14="P"))+1,IF(P13&lt;&gt;"",SUMPRODUCT((P$3:P$14&lt;&gt;"")*(Q$3:Q$14="")*(H$3:H$14=H13)*(K$3:K$14&gt;K13)*(J$3:J$14="P"))+SUMPRODUCT((Q$3:Q$14&lt;&gt;"")*(H$3:H$14=H13)*(J$3:J$14="P"))+1,IF(O13&lt;&gt;"",SUMPRODUCT((O$3:O$14&lt;&gt;"")*(H$3:H$14=H13)*(K$3:K$14&gt;K13)*(J$3:J$14="P"))+1,IF(N13="P",SUMPRODUCT((P$3:P$14&lt;&gt;"")*(Q$3:Q$14="")*(H$3:H$14=H13)*(J$3:J$14="P"))+SUMPRODUCT((Q$3:Q$14&lt;&gt;"")*(H$3:H$14=H13)*(J$3:J$14="P"))+SUMPRODUCT((O$3:O$14&lt;&gt;"")*(H$3:H$14=H13)*(J$3:J$14="P"))+SUMPRODUCT((Q$3:Q$14="")*(P$3:P$14="")*(O$3:O$14="")*(N$3:N$14="P")*(H$3:H$14=H13)*(K$3:K$14&gt;K13)*(J$3:J$14="P"))+IF(I13="L5",SUMPRODUCT((Q$3:Q$14="")*(P$3:P$14="")*(O$3:O$14="")*(N$3:N$14="P")*(H$3:H$14=H13)*(K$3:K$14&lt;K13)*(I$3:I$14&lt;&gt;I13)*(J$3:J$14="P")),-1*SUMPRODUCT((Q$3:Q$14="")*(P$3:P$14="")*(O$3:O$14="")*(N$3:N$14="P")*(H$3:H$14=H13)*(K$3:K$14&gt;K13)*(I$3:I$14="L5")*(J$3:J$14="P")))+1,"")))))</f>
        <v/>
      </c>
      <c r="B13" s="1" t="str" cm="1">
        <f t="array" ref="B13">IF(Q13&lt;&gt;"",SUMPRODUCT((Q$3:Q$14&lt;&gt;"")*(H$3:H$14=H13)*(K$3:K$14&gt;K13))+1,IF(P13&lt;&gt;"",SUMPRODUCT((P$3:P$14&lt;&gt;"")*(Q$3:Q$14="")*(H$3:H$14=H13)*(K$3:K$14&gt;K13))+SUMPRODUCT((Q$3:Q$14&lt;&gt;"")*(H$3:H$14=H13))+1,IF(O13&lt;&gt;"",SUMPRODUCT((O$3:O$14&lt;&gt;"")*(H$3:H$14=H13)*(K$3:K$14&gt;K13))+1,IF(N13="P",SUMPRODUCT((P$3:P$14&lt;&gt;"")*(Q$3:Q$14="")*(H$3:H$14=H13))+SUMPRODUCT((Q$3:Q$14&lt;&gt;"")*(H$3:H$14=H13))+SUMPRODUCT((O$3:O$14&lt;&gt;"")*(H$3:H$14=H13))+SUMPRODUCT((Q$3:Q$14="")*(P$3:P$14="")*(O$3:O$14="")*(N$3:N$14="P")*(H$3:H$14=H13)*(K$3:K$14&gt;K13))+IF(I13="L5",SUMPRODUCT((Q$3:Q$14="")*(P$3:P$14="")*(O$3:O$14="")*(N$3:N$14="P")*(H$3:H$14=H13)*(K$3:K$14&lt;K13)*(I$3:I$14&lt;&gt;I13)),-1*SUMPRODUCT((Q$3:Q$14="")*(P$3:P$14="")*(O$3:O$14="")*(N$3:N$14="P")*(H$3:H$14=H13)*(K$3:K$14&gt;K13)*(I$3:I$14="L5")))+1,""))))</f>
        <v/>
      </c>
      <c r="C13" s="35" t="s">
        <v>439</v>
      </c>
      <c r="D13" t="str">
        <f>IF(E13="","",VLOOKUP(E13,'Coaching Points'!A:B,2,0)&amp;"/"&amp;VLOOKUP(F13,'Coaching Points'!A:B,2,0))</f>
        <v>NS/NS</v>
      </c>
      <c r="E13" s="35" t="s">
        <v>86</v>
      </c>
      <c r="F13" s="35" t="s">
        <v>86</v>
      </c>
      <c r="G13" s="34">
        <v>2010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15-16</v>
      </c>
      <c r="I13" s="36" t="s">
        <v>213</v>
      </c>
      <c r="J13" s="40"/>
      <c r="K13" s="4">
        <f>S13+T13+IF(OR(I13="Junior",I13="Senior"),0.0002,IF(OR(I13="L7",I13="L6"),0.0001,0))+MAX(AB13,AD13,AG13)*0.0000001</f>
        <v>13.420100898000001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8.98</v>
      </c>
      <c r="T13" s="4">
        <f>LARGE(CHOOSE({1,2,3,4,5,6},U13,W13,Z13,AB13,AD13,AG13),2)</f>
        <v>4.4400000000000004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>
        <v>4.4400000000000004</v>
      </c>
      <c r="AC13" s="37">
        <v>1.5</v>
      </c>
      <c r="AD13" s="33"/>
      <c r="AE13" s="37"/>
      <c r="AF13" s="4">
        <f>IF(I13="Senior",MAX(AB13,AD13),AB13+AD13)</f>
        <v>4.4400000000000004</v>
      </c>
      <c r="AG13" s="33">
        <v>8.98</v>
      </c>
      <c r="AH13" s="37">
        <v>2.1</v>
      </c>
    </row>
    <row r="14" spans="1:35" x14ac:dyDescent="0.2">
      <c r="A14" s="1" t="str" cm="1">
        <f t="array" ref="A14">IF(J14="","",IF(Q14&lt;&gt;"",SUMPRODUCT((Q$3:Q$14&lt;&gt;"")*(H$3:H$14=H14)*(K$3:K$14&gt;K14)*(J$3:J$14="P"))+1,IF(P14&lt;&gt;"",SUMPRODUCT((P$3:P$14&lt;&gt;"")*(Q$3:Q$14="")*(H$3:H$14=H14)*(K$3:K$14&gt;K14)*(J$3:J$14="P"))+SUMPRODUCT((Q$3:Q$14&lt;&gt;"")*(H$3:H$14=H14)*(J$3:J$14="P"))+1,IF(O14&lt;&gt;"",SUMPRODUCT((O$3:O$14&lt;&gt;"")*(H$3:H$14=H14)*(K$3:K$14&gt;K14)*(J$3:J$14="P"))+1,IF(N14="P",SUMPRODUCT((P$3:P$14&lt;&gt;"")*(Q$3:Q$14="")*(H$3:H$14=H14)*(J$3:J$14="P"))+SUMPRODUCT((Q$3:Q$14&lt;&gt;"")*(H$3:H$14=H14)*(J$3:J$14="P"))+SUMPRODUCT((O$3:O$14&lt;&gt;"")*(H$3:H$14=H14)*(J$3:J$14="P"))+SUMPRODUCT((Q$3:Q$14="")*(P$3:P$14="")*(O$3:O$14="")*(N$3:N$14="P")*(H$3:H$14=H14)*(K$3:K$14&gt;K14)*(J$3:J$14="P"))+IF(I14="L5",SUMPRODUCT((Q$3:Q$14="")*(P$3:P$14="")*(O$3:O$14="")*(N$3:N$14="P")*(H$3:H$14=H14)*(K$3:K$14&lt;K14)*(I$3:I$14&lt;&gt;I14)*(J$3:J$14="P")),-1*SUMPRODUCT((Q$3:Q$14="")*(P$3:P$14="")*(O$3:O$14="")*(N$3:N$14="P")*(H$3:H$14=H14)*(K$3:K$14&gt;K14)*(I$3:I$14="L5")*(J$3:J$14="P")))+1,"")))))</f>
        <v/>
      </c>
      <c r="B14" s="1" t="str" cm="1">
        <f t="array" ref="B14">IF(Q14&lt;&gt;"",SUMPRODUCT((Q$3:Q$14&lt;&gt;"")*(H$3:H$14=H14)*(K$3:K$14&gt;K14))+1,IF(P14&lt;&gt;"",SUMPRODUCT((P$3:P$14&lt;&gt;"")*(Q$3:Q$14="")*(H$3:H$14=H14)*(K$3:K$14&gt;K14))+SUMPRODUCT((Q$3:Q$14&lt;&gt;"")*(H$3:H$14=H14))+1,IF(O14&lt;&gt;"",SUMPRODUCT((O$3:O$14&lt;&gt;"")*(H$3:H$14=H14)*(K$3:K$14&gt;K14))+1,IF(N14="P",SUMPRODUCT((P$3:P$14&lt;&gt;"")*(Q$3:Q$14="")*(H$3:H$14=H14))+SUMPRODUCT((Q$3:Q$14&lt;&gt;"")*(H$3:H$14=H14))+SUMPRODUCT((O$3:O$14&lt;&gt;"")*(H$3:H$14=H14))+SUMPRODUCT((Q$3:Q$14="")*(P$3:P$14="")*(O$3:O$14="")*(N$3:N$14="P")*(H$3:H$14=H14)*(K$3:K$14&gt;K14))+IF(I14="L5",SUMPRODUCT((Q$3:Q$14="")*(P$3:P$14="")*(O$3:O$14="")*(N$3:N$14="P")*(H$3:H$14=H14)*(K$3:K$14&lt;K14)*(I$3:I$14&lt;&gt;I14)),-1*SUMPRODUCT((Q$3:Q$14="")*(P$3:P$14="")*(O$3:O$14="")*(N$3:N$14="P")*(H$3:H$14=H14)*(K$3:K$14&gt;K14)*(I$3:I$14="L5")))+1,""))))</f>
        <v/>
      </c>
      <c r="C14" s="35" t="s">
        <v>372</v>
      </c>
      <c r="D14" t="str">
        <f>IF(E14="","",VLOOKUP(E14,'Coaching Points'!A:B,2,0)&amp;"/"&amp;VLOOKUP(F14,'Coaching Points'!A:B,2,0))</f>
        <v>BC/BC</v>
      </c>
      <c r="E14" s="35" t="s">
        <v>40</v>
      </c>
      <c r="F14" s="35" t="s">
        <v>128</v>
      </c>
      <c r="G14" s="34">
        <v>2012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13-14</v>
      </c>
      <c r="I14" s="36" t="s">
        <v>214</v>
      </c>
      <c r="J14" s="40"/>
      <c r="K14" s="4">
        <f>S14+T14+IF(OR(I14="Junior",I14="Senior"),0.0002,IF(OR(I14="L7",I14="L6"),0.0001,0))+MAX(AB14,AD14,AG14)*0.0000001</f>
        <v>79.180003673000002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>P</v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42.45</v>
      </c>
      <c r="T14" s="4">
        <f>LARGE(CHOOSE({1,2,3,4,5,6},U14,W14,Z14,AB14,AD14,AG14),2)</f>
        <v>36.729999999999997</v>
      </c>
      <c r="U14" s="32">
        <v>42.45</v>
      </c>
      <c r="V14" s="37">
        <v>8.8000000000000007</v>
      </c>
      <c r="W14" s="33"/>
      <c r="X14" s="37"/>
      <c r="Y14" s="4">
        <f>IF(I14="Senior",MAX(U14,W14),U14+W14)</f>
        <v>42.45</v>
      </c>
      <c r="Z14" s="33">
        <v>24.73</v>
      </c>
      <c r="AA14" s="37">
        <v>8.8000000000000007</v>
      </c>
      <c r="AB14" s="32">
        <v>36.729999999999997</v>
      </c>
      <c r="AC14" s="37">
        <v>8.8000000000000007</v>
      </c>
      <c r="AD14" s="33"/>
      <c r="AE14" s="37"/>
      <c r="AF14" s="4">
        <f>IF(I14="Senior",MAX(AB14,AD14),AB14+AD14)</f>
        <v>36.729999999999997</v>
      </c>
      <c r="AG14" s="33">
        <v>18.170000000000002</v>
      </c>
      <c r="AH14" s="37">
        <v>4.2</v>
      </c>
    </row>
    <row r="15" spans="1:35" x14ac:dyDescent="0.2">
      <c r="B15" s="1"/>
      <c r="H15" s="1"/>
      <c r="I15" s="36"/>
      <c r="J15" s="40"/>
      <c r="K15" s="4"/>
      <c r="L15" s="3"/>
      <c r="M15" s="3"/>
      <c r="S15" s="4"/>
      <c r="T15" s="4"/>
      <c r="U15" s="32"/>
      <c r="V15" s="37"/>
      <c r="W15" s="33"/>
      <c r="X15" s="37"/>
      <c r="Y15" s="4"/>
      <c r="Z15" s="33"/>
      <c r="AA15" s="37"/>
      <c r="AB15" s="32"/>
      <c r="AC15" s="37"/>
      <c r="AD15" s="33"/>
      <c r="AE15" s="37"/>
      <c r="AF15" s="4"/>
      <c r="AG15" s="33"/>
      <c r="AH15" s="37"/>
    </row>
    <row r="16" spans="1:35" x14ac:dyDescent="0.2">
      <c r="B16" s="1"/>
      <c r="H16" s="1"/>
      <c r="I16" s="36"/>
      <c r="J16" s="40"/>
      <c r="K16" s="4"/>
      <c r="L16" s="3"/>
      <c r="M16" s="3"/>
      <c r="S16" s="4"/>
      <c r="T16" s="4"/>
      <c r="U16" s="32"/>
      <c r="V16" s="37"/>
      <c r="W16" s="33"/>
      <c r="X16" s="37"/>
      <c r="Y16" s="4"/>
      <c r="Z16" s="33"/>
      <c r="AA16" s="37"/>
      <c r="AB16" s="32"/>
      <c r="AC16" s="37"/>
      <c r="AD16" s="33"/>
      <c r="AE16" s="37"/>
      <c r="AF16" s="4"/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4">
      <sortCondition descending="1" ref="H1:H15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21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6" t="s">
        <v>120</v>
      </c>
      <c r="F1" s="68" t="s">
        <v>121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103</v>
      </c>
      <c r="S1" s="72" t="s">
        <v>139</v>
      </c>
      <c r="T1" s="66" t="s">
        <v>140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$21&lt;&gt;"")*(H$3:H$21=H3)*(K$3:K$21&gt;K3)*(J$3:J$21="P"))+1,IF(P3&lt;&gt;"",SUMPRODUCT((P$3:P$21&lt;&gt;"")*(Q$3:Q$21="")*(H$3:H$21=H3)*(K$3:K$21&gt;K3)*(J$3:J$21="P"))+SUMPRODUCT((Q$3:Q$21&lt;&gt;"")*(H$3:H$21=H3)*(J$3:J$21="P"))+1,IF(O3&lt;&gt;"",SUMPRODUCT((O$3:O$21&lt;&gt;"")*(H$3:H$21=H3)*(K$3:K$21&gt;K3)*(J$3:J$21="P"))+1,IF(N3="P",SUMPRODUCT((P$3:P$21&lt;&gt;"")*(Q$3:Q$21="")*(H$3:H$21=H3)*(J$3:J$21="P"))+SUMPRODUCT((Q$3:Q$21&lt;&gt;"")*(H$3:H$21=H3)*(J$3:J$21="P"))+SUMPRODUCT((O$3:O$21&lt;&gt;"")*(H$3:H$21=H3)*(J$3:J$21="P"))+SUMPRODUCT((Q$3:Q$21="")*(P$3:P$21="")*(O$3:O$21="")*(N$3:N$21="P")*(H$3:H$21=H3)*(K$3:K$21&gt;K3)*(J$3:J$21="P"))+IF(I3="L5",SUMPRODUCT((Q$3:Q$21="")*(P$3:P$21="")*(O$3:O$21="")*(N$3:N$21="P")*(H$3:H$21=H3)*(K$3:K$21&lt;K3)*(I$3:I$21&lt;&gt;I3)*(J$3:J$21="P")),-1*SUMPRODUCT((Q$3:Q$21="")*(P$3:P$21="")*(O$3:O$21="")*(N$3:N$21="P")*(H$3:H$21=H3)*(K$3:K$21&gt;K3)*(I$3:I$21="L5")*(J$3:J$21="P")))+1,"")))))</f>
        <v/>
      </c>
      <c r="B3" s="1" cm="1">
        <f t="array" ref="B3">IF(Q3&lt;&gt;"",SUMPRODUCT((Q$3:Q$21&lt;&gt;"")*(H$3:H$21=H3)*(K$3:K$21&gt;K3))+1,IF(P3&lt;&gt;"",SUMPRODUCT((P$3:P$21&lt;&gt;"")*(Q$3:Q$21="")*(H$3:H$21=H3)*(K$3:K$21&gt;K3))+SUMPRODUCT((Q$3:Q$21&lt;&gt;"")*(H$3:H$21=H3))+1,IF(O3&lt;&gt;"",SUMPRODUCT((O$3:O$21&lt;&gt;"")*(H$3:H$21=H3)*(K$3:K$21&gt;K3))+1,IF(N3="P",SUMPRODUCT((P$3:P$21&lt;&gt;"")*(Q$3:Q$21="")*(H$3:H$21=H3))+SUMPRODUCT((Q$3:Q$21&lt;&gt;"")*(H$3:H$21=H3))+SUMPRODUCT((O$3:O$21&lt;&gt;"")*(H$3:H$21=H3))+SUMPRODUCT((Q$3:Q$21="")*(P$3:P$21="")*(O$3:O$21="")*(N$3:N$21="P")*(H$3:H$21=H3)*(K$3:K$21&gt;K3))+IF(I3="L5",SUMPRODUCT((Q$3:Q$21="")*(P$3:P$21="")*(O$3:O$21="")*(N$3:N$21="P")*(H$3:H$21=H3)*(K$3:K$21&lt;K3)*(I$3:I$21&lt;&gt;I3)),-1*SUMPRODUCT((Q$3:Q$21="")*(P$3:P$21="")*(O$3:O$21="")*(N$3:N$21="P")*(H$3:H$21=H3)*(K$3:K$21&gt;K3)*(I$3:I$21="L5")))+1,""))))</f>
        <v>1</v>
      </c>
      <c r="C3" s="35" t="s">
        <v>390</v>
      </c>
      <c r="D3" t="str">
        <f>IF(E3="","",VLOOKUP(E3,'Coaching Points'!A:B,2,0)&amp;"/"&amp;VLOOKUP(F3,'Coaching Points'!A:B,2,0))</f>
        <v>QC/ON</v>
      </c>
      <c r="E3" s="35" t="s">
        <v>72</v>
      </c>
      <c r="F3" s="35" t="s">
        <v>84</v>
      </c>
      <c r="G3" s="34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/>
      <c r="K3" s="4">
        <f>S3+T3+IF(OR(I3="Junior",I3="Senior"),0.0002,IF(OR(I3="L7",I3="L6"),0.0001,0))+MAX(AB3,AD3,AG3)*0.0000001</f>
        <v>94.830204679000019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Q3" s="36">
        <v>3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47.13</v>
      </c>
      <c r="U3" s="32">
        <v>47.7</v>
      </c>
      <c r="V3" s="37">
        <v>11.8</v>
      </c>
      <c r="W3" s="33">
        <v>47.13</v>
      </c>
      <c r="X3" s="37">
        <v>11.8</v>
      </c>
      <c r="Y3" s="4">
        <f>IF(I3="Senior",MAX(U3,W3),U3+W3)</f>
        <v>47.7</v>
      </c>
      <c r="Z3" s="33">
        <v>46.45</v>
      </c>
      <c r="AA3" s="37">
        <v>11.8</v>
      </c>
      <c r="AB3" s="32">
        <v>46.79</v>
      </c>
      <c r="AC3" s="37">
        <v>11.8</v>
      </c>
      <c r="AD3" s="33">
        <v>14.54</v>
      </c>
      <c r="AE3" s="37">
        <v>4.0999999999999996</v>
      </c>
      <c r="AF3" s="4">
        <f>IF(I3="Senior",MAX(AB3,AD3),AB3+AD3)</f>
        <v>46.79</v>
      </c>
      <c r="AG3" s="33">
        <v>46.71</v>
      </c>
      <c r="AH3" s="37">
        <v>11.8</v>
      </c>
    </row>
    <row r="4" spans="1:35" x14ac:dyDescent="0.2">
      <c r="A4" s="1" t="str" cm="1">
        <f t="array" ref="A4">IF(J4="","",IF(Q4&lt;&gt;"",SUMPRODUCT((Q$3:Q$21&lt;&gt;"")*(H$3:H$21=H4)*(K$3:K$21&gt;K4)*(J$3:J$21="P"))+1,IF(P4&lt;&gt;"",SUMPRODUCT((P$3:P$21&lt;&gt;"")*(Q$3:Q$21="")*(H$3:H$21=H4)*(K$3:K$21&gt;K4)*(J$3:J$21="P"))+SUMPRODUCT((Q$3:Q$21&lt;&gt;"")*(H$3:H$21=H4)*(J$3:J$21="P"))+1,IF(O4&lt;&gt;"",SUMPRODUCT((O$3:O$21&lt;&gt;"")*(H$3:H$21=H4)*(K$3:K$21&gt;K4)*(J$3:J$21="P"))+1,IF(N4="P",SUMPRODUCT((P$3:P$21&lt;&gt;"")*(Q$3:Q$21="")*(H$3:H$21=H4)*(J$3:J$21="P"))+SUMPRODUCT((Q$3:Q$21&lt;&gt;"")*(H$3:H$21=H4)*(J$3:J$21="P"))+SUMPRODUCT((O$3:O$21&lt;&gt;"")*(H$3:H$21=H4)*(J$3:J$21="P"))+SUMPRODUCT((Q$3:Q$21="")*(P$3:P$21="")*(O$3:O$21="")*(N$3:N$21="P")*(H$3:H$21=H4)*(K$3:K$21&gt;K4)*(J$3:J$21="P"))+IF(I4="L5",SUMPRODUCT((Q$3:Q$21="")*(P$3:P$21="")*(O$3:O$21="")*(N$3:N$21="P")*(H$3:H$21=H4)*(K$3:K$21&lt;K4)*(I$3:I$21&lt;&gt;I4)*(J$3:J$21="P")),-1*SUMPRODUCT((Q$3:Q$21="")*(P$3:P$21="")*(O$3:O$21="")*(N$3:N$21="P")*(H$3:H$21=H4)*(K$3:K$21&gt;K4)*(I$3:I$21="L5")*(J$3:J$21="P")))+1,"")))))</f>
        <v/>
      </c>
      <c r="B4" s="1" cm="1">
        <f t="array" ref="B4">IF(Q4&lt;&gt;"",SUMPRODUCT((Q$3:Q$21&lt;&gt;"")*(H$3:H$21=H4)*(K$3:K$21&gt;K4))+1,IF(P4&lt;&gt;"",SUMPRODUCT((P$3:P$21&lt;&gt;"")*(Q$3:Q$21="")*(H$3:H$21=H4)*(K$3:K$21&gt;K4))+SUMPRODUCT((Q$3:Q$21&lt;&gt;"")*(H$3:H$21=H4))+1,IF(O4&lt;&gt;"",SUMPRODUCT((O$3:O$21&lt;&gt;"")*(H$3:H$21=H4)*(K$3:K$21&gt;K4))+1,IF(N4="P",SUMPRODUCT((P$3:P$21&lt;&gt;"")*(Q$3:Q$21="")*(H$3:H$21=H4))+SUMPRODUCT((Q$3:Q$21&lt;&gt;"")*(H$3:H$21=H4))+SUMPRODUCT((O$3:O$21&lt;&gt;"")*(H$3:H$21=H4))+SUMPRODUCT((Q$3:Q$21="")*(P$3:P$21="")*(O$3:O$21="")*(N$3:N$21="P")*(H$3:H$21=H4)*(K$3:K$21&gt;K4))+IF(I4="L5",SUMPRODUCT((Q$3:Q$21="")*(P$3:P$21="")*(O$3:O$21="")*(N$3:N$21="P")*(H$3:H$21=H4)*(K$3:K$21&lt;K4)*(I$3:I$21&lt;&gt;I4)),-1*SUMPRODUCT((Q$3:Q$21="")*(P$3:P$21="")*(O$3:O$21="")*(N$3:N$21="P")*(H$3:H$21=H4)*(K$3:K$21&gt;K4)*(I$3:I$21="L5")))+1,""))))</f>
        <v>2</v>
      </c>
      <c r="C4" s="35" t="s">
        <v>391</v>
      </c>
      <c r="D4" t="str">
        <f>IF(E4="","",VLOOKUP(E4,'Coaching Points'!A:B,2,0)&amp;"/"&amp;VLOOKUP(F4,'Coaching Points'!A:B,2,0))</f>
        <v>BC/BC</v>
      </c>
      <c r="E4" s="35" t="s">
        <v>44</v>
      </c>
      <c r="F4" s="35" t="s">
        <v>44</v>
      </c>
      <c r="G4" s="34">
        <v>2007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210</v>
      </c>
      <c r="J4" s="40"/>
      <c r="K4" s="4">
        <f>S4+T4+IF(OR(I4="Junior",I4="Senior"),0.0002,IF(OR(I4="L7",I4="L6"),0.0001,0))+MAX(AB4,AD4,AG4)*0.0000001</f>
        <v>84.060203986000005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 t="str">
        <f>IF(A4&lt;5,IF(_xlfn.MAXIFS(A:A,H:H,H4)&gt;3,5-A4,_xlfn.MAXIFS(A:A,H:H,H4)+1-A4),"")</f>
        <v/>
      </c>
      <c r="S4" s="4">
        <f>MAX(U4,W4,Z4,AB4,AD4,AG4)</f>
        <v>44.2</v>
      </c>
      <c r="T4" s="4">
        <f>LARGE(CHOOSE({1,2,3,4,5,6},U4,W4,Z4,AB4,AD4,AG4),2)</f>
        <v>39.86</v>
      </c>
      <c r="U4" s="32">
        <v>44.2</v>
      </c>
      <c r="V4" s="37">
        <v>10.7</v>
      </c>
      <c r="W4" s="33">
        <v>26.45</v>
      </c>
      <c r="X4" s="37">
        <v>6.4</v>
      </c>
      <c r="Y4" s="4">
        <f>IF(I4="Senior",MAX(U4,W4),U4+W4)</f>
        <v>44.2</v>
      </c>
      <c r="Z4" s="33">
        <v>23.1</v>
      </c>
      <c r="AA4" s="37">
        <v>4.9000000000000004</v>
      </c>
      <c r="AB4" s="32">
        <v>39.86</v>
      </c>
      <c r="AC4" s="37">
        <v>9.4</v>
      </c>
      <c r="AD4" s="33">
        <v>8.7200000000000006</v>
      </c>
      <c r="AE4" s="37">
        <v>4.9000000000000004</v>
      </c>
      <c r="AF4" s="4">
        <f>IF(I4="Senior",MAX(AB4,AD4),AB4+AD4)</f>
        <v>39.86</v>
      </c>
      <c r="AG4" s="33">
        <v>22.07</v>
      </c>
      <c r="AH4" s="37">
        <v>4.9000000000000004</v>
      </c>
    </row>
    <row r="5" spans="1:35" x14ac:dyDescent="0.2">
      <c r="A5" s="1" t="str" cm="1">
        <f t="array" ref="A5">IF(J5="","",IF(Q5&lt;&gt;"",SUMPRODUCT((Q$3:Q$21&lt;&gt;"")*(H$3:H$21=H5)*(K$3:K$21&gt;K5)*(J$3:J$21="P"))+1,IF(P5&lt;&gt;"",SUMPRODUCT((P$3:P$21&lt;&gt;"")*(Q$3:Q$21="")*(H$3:H$21=H5)*(K$3:K$21&gt;K5)*(J$3:J$21="P"))+SUMPRODUCT((Q$3:Q$21&lt;&gt;"")*(H$3:H$21=H5)*(J$3:J$21="P"))+1,IF(O5&lt;&gt;"",SUMPRODUCT((O$3:O$21&lt;&gt;"")*(H$3:H$21=H5)*(K$3:K$21&gt;K5)*(J$3:J$21="P"))+1,IF(N5="P",SUMPRODUCT((P$3:P$21&lt;&gt;"")*(Q$3:Q$21="")*(H$3:H$21=H5)*(J$3:J$21="P"))+SUMPRODUCT((Q$3:Q$21&lt;&gt;"")*(H$3:H$21=H5)*(J$3:J$21="P"))+SUMPRODUCT((O$3:O$21&lt;&gt;"")*(H$3:H$21=H5)*(J$3:J$21="P"))+SUMPRODUCT((Q$3:Q$21="")*(P$3:P$21="")*(O$3:O$21="")*(N$3:N$21="P")*(H$3:H$21=H5)*(K$3:K$21&gt;K5)*(J$3:J$21="P"))+IF(I5="L5",SUMPRODUCT((Q$3:Q$21="")*(P$3:P$21="")*(O$3:O$21="")*(N$3:N$21="P")*(H$3:H$21=H5)*(K$3:K$21&lt;K5)*(I$3:I$21&lt;&gt;I5)*(J$3:J$21="P")),-1*SUMPRODUCT((Q$3:Q$21="")*(P$3:P$21="")*(O$3:O$21="")*(N$3:N$21="P")*(H$3:H$21=H5)*(K$3:K$21&gt;K5)*(I$3:I$21="L5")*(J$3:J$21="P")))+1,"")))))</f>
        <v/>
      </c>
      <c r="B5" s="1" cm="1">
        <f t="array" ref="B5">IF(Q5&lt;&gt;"",SUMPRODUCT((Q$3:Q$21&lt;&gt;"")*(H$3:H$21=H5)*(K$3:K$21&gt;K5))+1,IF(P5&lt;&gt;"",SUMPRODUCT((P$3:P$21&lt;&gt;"")*(Q$3:Q$21="")*(H$3:H$21=H5)*(K$3:K$21&gt;K5))+SUMPRODUCT((Q$3:Q$21&lt;&gt;"")*(H$3:H$21=H5))+1,IF(O5&lt;&gt;"",SUMPRODUCT((O$3:O$21&lt;&gt;"")*(H$3:H$21=H5)*(K$3:K$21&gt;K5))+1,IF(N5="P",SUMPRODUCT((P$3:P$21&lt;&gt;"")*(Q$3:Q$21="")*(H$3:H$21=H5))+SUMPRODUCT((Q$3:Q$21&lt;&gt;"")*(H$3:H$21=H5))+SUMPRODUCT((O$3:O$21&lt;&gt;"")*(H$3:H$21=H5))+SUMPRODUCT((Q$3:Q$21="")*(P$3:P$21="")*(O$3:O$21="")*(N$3:N$21="P")*(H$3:H$21=H5)*(K$3:K$21&gt;K5))+IF(I5="L5",SUMPRODUCT((Q$3:Q$21="")*(P$3:P$21="")*(O$3:O$21="")*(N$3:N$21="P")*(H$3:H$21=H5)*(K$3:K$21&lt;K5)*(I$3:I$21&lt;&gt;I5)),-1*SUMPRODUCT((Q$3:Q$21="")*(P$3:P$21="")*(O$3:O$21="")*(N$3:N$21="P")*(H$3:H$21=H5)*(K$3:K$21&gt;K5)*(I$3:I$21="L5")))+1,""))))</f>
        <v>3</v>
      </c>
      <c r="C5" s="35" t="s">
        <v>447</v>
      </c>
      <c r="D5" t="str">
        <f>IF(E5="","",VLOOKUP(E5,'Coaching Points'!A:B,2,0)&amp;"/"&amp;VLOOKUP(F5,'Coaching Points'!A:B,2,0))</f>
        <v>ON/ON</v>
      </c>
      <c r="E5" s="35" t="s">
        <v>84</v>
      </c>
      <c r="F5" s="35" t="s">
        <v>84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213</v>
      </c>
      <c r="J5" s="40"/>
      <c r="K5" s="4">
        <f>S5+T5+IF(OR(I5="Junior",I5="Senior"),0.0002,IF(OR(I5="L7",I5="L6"),0.0001,0))+MAX(AB5,AD5,AG5)*0.0000001</f>
        <v>57.590104339000007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>P</v>
      </c>
      <c r="R5" s="1" t="str">
        <f>IF(A5&lt;5,IF(_xlfn.MAXIFS(A:A,H:H,H5)&gt;3,5-A5,_xlfn.MAXIFS(A:A,H:H,H5)+1-A5),"")</f>
        <v/>
      </c>
      <c r="S5" s="4">
        <f>MAX(U5,W5,Z5,AB5,AD5,AG5)</f>
        <v>43.39</v>
      </c>
      <c r="T5" s="4">
        <f>LARGE(CHOOSE({1,2,3,4,5,6},U5,W5,Z5,AB5,AD5,AG5),2)</f>
        <v>14.2</v>
      </c>
      <c r="U5" s="32"/>
      <c r="V5" s="37"/>
      <c r="W5" s="33"/>
      <c r="X5" s="37"/>
      <c r="Y5" s="4">
        <f>IF(I5="Senior",MAX(U5,W5),U5+W5)</f>
        <v>0</v>
      </c>
      <c r="Z5" s="33"/>
      <c r="AA5" s="37"/>
      <c r="AB5" s="32">
        <v>43.39</v>
      </c>
      <c r="AC5" s="37">
        <v>9.1</v>
      </c>
      <c r="AD5" s="33"/>
      <c r="AE5" s="37"/>
      <c r="AF5" s="4">
        <f>IF(I5="Senior",MAX(AB5,AD5),AB5+AD5)</f>
        <v>43.39</v>
      </c>
      <c r="AG5" s="33">
        <v>14.2</v>
      </c>
      <c r="AH5" s="37">
        <v>3.7</v>
      </c>
    </row>
    <row r="6" spans="1:35" x14ac:dyDescent="0.2">
      <c r="A6" s="1" t="str" cm="1">
        <f t="array" ref="A6">IF(J6="","",IF(Q6&lt;&gt;"",SUMPRODUCT((Q$3:Q$21&lt;&gt;"")*(H$3:H$21=H6)*(K$3:K$21&gt;K6)*(J$3:J$21="P"))+1,IF(P6&lt;&gt;"",SUMPRODUCT((P$3:P$21&lt;&gt;"")*(Q$3:Q$21="")*(H$3:H$21=H6)*(K$3:K$21&gt;K6)*(J$3:J$21="P"))+SUMPRODUCT((Q$3:Q$21&lt;&gt;"")*(H$3:H$21=H6)*(J$3:J$21="P"))+1,IF(O6&lt;&gt;"",SUMPRODUCT((O$3:O$21&lt;&gt;"")*(H$3:H$21=H6)*(K$3:K$21&gt;K6)*(J$3:J$21="P"))+1,IF(N6="P",SUMPRODUCT((P$3:P$21&lt;&gt;"")*(Q$3:Q$21="")*(H$3:H$21=H6)*(J$3:J$21="P"))+SUMPRODUCT((Q$3:Q$21&lt;&gt;"")*(H$3:H$21=H6)*(J$3:J$21="P"))+SUMPRODUCT((O$3:O$21&lt;&gt;"")*(H$3:H$21=H6)*(J$3:J$21="P"))+SUMPRODUCT((Q$3:Q$21="")*(P$3:P$21="")*(O$3:O$21="")*(N$3:N$21="P")*(H$3:H$21=H6)*(K$3:K$21&gt;K6)*(J$3:J$21="P"))+IF(I6="L5",SUMPRODUCT((Q$3:Q$21="")*(P$3:P$21="")*(O$3:O$21="")*(N$3:N$21="P")*(H$3:H$21=H6)*(K$3:K$21&lt;K6)*(I$3:I$21&lt;&gt;I6)*(J$3:J$21="P")),-1*SUMPRODUCT((Q$3:Q$21="")*(P$3:P$21="")*(O$3:O$21="")*(N$3:N$21="P")*(H$3:H$21=H6)*(K$3:K$21&gt;K6)*(I$3:I$21="L5")*(J$3:J$21="P")))+1,"")))))</f>
        <v/>
      </c>
      <c r="B6" s="1" t="str" cm="1">
        <f t="array" ref="B6">IF(Q6&lt;&gt;"",SUMPRODUCT((Q$3:Q$21&lt;&gt;"")*(H$3:H$21=H6)*(K$3:K$21&gt;K6))+1,IF(P6&lt;&gt;"",SUMPRODUCT((P$3:P$21&lt;&gt;"")*(Q$3:Q$21="")*(H$3:H$21=H6)*(K$3:K$21&gt;K6))+SUMPRODUCT((Q$3:Q$21&lt;&gt;"")*(H$3:H$21=H6))+1,IF(O6&lt;&gt;"",SUMPRODUCT((O$3:O$21&lt;&gt;"")*(H$3:H$21=H6)*(K$3:K$21&gt;K6))+1,IF(N6="P",SUMPRODUCT((P$3:P$21&lt;&gt;"")*(Q$3:Q$21="")*(H$3:H$21=H6))+SUMPRODUCT((Q$3:Q$21&lt;&gt;"")*(H$3:H$21=H6))+SUMPRODUCT((O$3:O$21&lt;&gt;"")*(H$3:H$21=H6))+SUMPRODUCT((Q$3:Q$21="")*(P$3:P$21="")*(O$3:O$21="")*(N$3:N$21="P")*(H$3:H$21=H6)*(K$3:K$21&gt;K6))+IF(I6="L5",SUMPRODUCT((Q$3:Q$21="")*(P$3:P$21="")*(O$3:O$21="")*(N$3:N$21="P")*(H$3:H$21=H6)*(K$3:K$21&lt;K6)*(I$3:I$21&lt;&gt;I6)),-1*SUMPRODUCT((Q$3:Q$21="")*(P$3:P$21="")*(O$3:O$21="")*(N$3:N$21="P")*(H$3:H$21=H6)*(K$3:K$21&gt;K6)*(I$3:I$21="L5")))+1,""))))</f>
        <v/>
      </c>
      <c r="C6" s="35" t="s">
        <v>384</v>
      </c>
      <c r="D6" t="str">
        <f>IF(E6="","",VLOOKUP(E6,'Coaching Points'!A:B,2,0)&amp;"/"&amp;VLOOKUP(F6,'Coaching Points'!A:B,2,0))</f>
        <v>QC/QC</v>
      </c>
      <c r="E6" s="35" t="s">
        <v>72</v>
      </c>
      <c r="F6" s="35" t="s">
        <v>72</v>
      </c>
      <c r="G6" s="34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213</v>
      </c>
      <c r="J6" s="40"/>
      <c r="K6" s="4">
        <f>S6+T6+IF(OR(I6="Junior",I6="Senior"),0.0002,IF(OR(I6="L7",I6="L6"),0.0001,0))+MAX(AB6,AD6,AG6)*0.0000001</f>
        <v>87.45010440499999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44.05</v>
      </c>
      <c r="T6" s="4">
        <f>LARGE(CHOOSE({1,2,3,4,5,6},U6,W6,Z6,AB6,AD6,AG6),2)</f>
        <v>43.4</v>
      </c>
      <c r="U6" s="32">
        <v>43.4</v>
      </c>
      <c r="V6" s="37">
        <v>8.5</v>
      </c>
      <c r="W6" s="33"/>
      <c r="X6" s="37"/>
      <c r="Y6" s="4">
        <f>IF(I6="Senior",MAX(U6,W6),U6+W6)</f>
        <v>43.4</v>
      </c>
      <c r="Z6" s="33">
        <v>43.04</v>
      </c>
      <c r="AA6" s="37">
        <v>8.5</v>
      </c>
      <c r="AB6" s="32">
        <v>42.8</v>
      </c>
      <c r="AC6" s="37">
        <v>8.5</v>
      </c>
      <c r="AD6" s="33"/>
      <c r="AE6" s="37"/>
      <c r="AF6" s="4">
        <f>IF(I6="Senior",MAX(AB6,AD6),AB6+AD6)</f>
        <v>42.8</v>
      </c>
      <c r="AG6" s="33">
        <v>44.05</v>
      </c>
      <c r="AH6" s="37">
        <v>8.5</v>
      </c>
    </row>
    <row r="7" spans="1:35" x14ac:dyDescent="0.2">
      <c r="A7" s="1" t="str" cm="1">
        <f t="array" ref="A7">IF(J7="","",IF(Q7&lt;&gt;"",SUMPRODUCT((Q$3:Q$21&lt;&gt;"")*(H$3:H$21=H7)*(K$3:K$21&gt;K7)*(J$3:J$21="P"))+1,IF(P7&lt;&gt;"",SUMPRODUCT((P$3:P$21&lt;&gt;"")*(Q$3:Q$21="")*(H$3:H$21=H7)*(K$3:K$21&gt;K7)*(J$3:J$21="P"))+SUMPRODUCT((Q$3:Q$21&lt;&gt;"")*(H$3:H$21=H7)*(J$3:J$21="P"))+1,IF(O7&lt;&gt;"",SUMPRODUCT((O$3:O$21&lt;&gt;"")*(H$3:H$21=H7)*(K$3:K$21&gt;K7)*(J$3:J$21="P"))+1,IF(N7="P",SUMPRODUCT((P$3:P$21&lt;&gt;"")*(Q$3:Q$21="")*(H$3:H$21=H7)*(J$3:J$21="P"))+SUMPRODUCT((Q$3:Q$21&lt;&gt;"")*(H$3:H$21=H7)*(J$3:J$21="P"))+SUMPRODUCT((O$3:O$21&lt;&gt;"")*(H$3:H$21=H7)*(J$3:J$21="P"))+SUMPRODUCT((Q$3:Q$21="")*(P$3:P$21="")*(O$3:O$21="")*(N$3:N$21="P")*(H$3:H$21=H7)*(K$3:K$21&gt;K7)*(J$3:J$21="P"))+IF(I7="L5",SUMPRODUCT((Q$3:Q$21="")*(P$3:P$21="")*(O$3:O$21="")*(N$3:N$21="P")*(H$3:H$21=H7)*(K$3:K$21&lt;K7)*(I$3:I$21&lt;&gt;I7)*(J$3:J$21="P")),-1*SUMPRODUCT((Q$3:Q$21="")*(P$3:P$21="")*(O$3:O$21="")*(N$3:N$21="P")*(H$3:H$21=H7)*(K$3:K$21&gt;K7)*(I$3:I$21="L5")*(J$3:J$21="P")))+1,"")))))</f>
        <v/>
      </c>
      <c r="B7" s="1" t="str" cm="1">
        <f t="array" ref="B7">IF(Q7&lt;&gt;"",SUMPRODUCT((Q$3:Q$21&lt;&gt;"")*(H$3:H$21=H7)*(K$3:K$21&gt;K7))+1,IF(P7&lt;&gt;"",SUMPRODUCT((P$3:P$21&lt;&gt;"")*(Q$3:Q$21="")*(H$3:H$21=H7)*(K$3:K$21&gt;K7))+SUMPRODUCT((Q$3:Q$21&lt;&gt;"")*(H$3:H$21=H7))+1,IF(O7&lt;&gt;"",SUMPRODUCT((O$3:O$21&lt;&gt;"")*(H$3:H$21=H7)*(K$3:K$21&gt;K7))+1,IF(N7="P",SUMPRODUCT((P$3:P$21&lt;&gt;"")*(Q$3:Q$21="")*(H$3:H$21=H7))+SUMPRODUCT((Q$3:Q$21&lt;&gt;"")*(H$3:H$21=H7))+SUMPRODUCT((O$3:O$21&lt;&gt;"")*(H$3:H$21=H7))+SUMPRODUCT((Q$3:Q$21="")*(P$3:P$21="")*(O$3:O$21="")*(N$3:N$21="P")*(H$3:H$21=H7)*(K$3:K$21&gt;K7))+IF(I7="L5",SUMPRODUCT((Q$3:Q$21="")*(P$3:P$21="")*(O$3:O$21="")*(N$3:N$21="P")*(H$3:H$21=H7)*(K$3:K$21&lt;K7)*(I$3:I$21&lt;&gt;I7)),-1*SUMPRODUCT((Q$3:Q$21="")*(P$3:P$21="")*(O$3:O$21="")*(N$3:N$21="P")*(H$3:H$21=H7)*(K$3:K$21&gt;K7)*(I$3:I$21="L5")))+1,""))))</f>
        <v/>
      </c>
      <c r="C7" s="35" t="s">
        <v>385</v>
      </c>
      <c r="D7" t="str">
        <f>IF(E7="","",VLOOKUP(E7,'Coaching Points'!A:B,2,0)&amp;"/"&amp;VLOOKUP(F7,'Coaching Points'!A:B,2,0))</f>
        <v>QC/QC</v>
      </c>
      <c r="E7" s="35" t="s">
        <v>57</v>
      </c>
      <c r="F7" s="35" t="s">
        <v>57</v>
      </c>
      <c r="G7" s="34">
        <v>2008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213</v>
      </c>
      <c r="J7" s="40"/>
      <c r="K7" s="4">
        <f>S7+T7+IF(OR(I7="Junior",I7="Senior"),0.0002,IF(OR(I7="L7",I7="L6"),0.0001,0))+MAX(AB7,AD7,AG7)*0.0000001</f>
        <v>84.200099999999992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42.55</v>
      </c>
      <c r="T7" s="4">
        <f>LARGE(CHOOSE({1,2,3,4,5,6},U7,W7,Z7,AB7,AD7,AG7),2)</f>
        <v>41.65</v>
      </c>
      <c r="U7" s="32">
        <v>42.55</v>
      </c>
      <c r="V7" s="37">
        <v>7.7</v>
      </c>
      <c r="W7" s="33"/>
      <c r="X7" s="37"/>
      <c r="Y7" s="4">
        <f>IF(I7="Senior",MAX(U7,W7),U7+W7)</f>
        <v>42.55</v>
      </c>
      <c r="Z7" s="33">
        <v>41.65</v>
      </c>
      <c r="AA7" s="37">
        <v>7.7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$21&lt;&gt;"")*(H$3:H$21=H8)*(K$3:K$21&gt;K8)*(J$3:J$21="P"))+1,IF(P8&lt;&gt;"",SUMPRODUCT((P$3:P$21&lt;&gt;"")*(Q$3:Q$21="")*(H$3:H$21=H8)*(K$3:K$21&gt;K8)*(J$3:J$21="P"))+SUMPRODUCT((Q$3:Q$21&lt;&gt;"")*(H$3:H$21=H8)*(J$3:J$21="P"))+1,IF(O8&lt;&gt;"",SUMPRODUCT((O$3:O$21&lt;&gt;"")*(H$3:H$21=H8)*(K$3:K$21&gt;K8)*(J$3:J$21="P"))+1,IF(N8="P",SUMPRODUCT((P$3:P$21&lt;&gt;"")*(Q$3:Q$21="")*(H$3:H$21=H8)*(J$3:J$21="P"))+SUMPRODUCT((Q$3:Q$21&lt;&gt;"")*(H$3:H$21=H8)*(J$3:J$21="P"))+SUMPRODUCT((O$3:O$21&lt;&gt;"")*(H$3:H$21=H8)*(J$3:J$21="P"))+SUMPRODUCT((Q$3:Q$21="")*(P$3:P$21="")*(O$3:O$21="")*(N$3:N$21="P")*(H$3:H$21=H8)*(K$3:K$21&gt;K8)*(J$3:J$21="P"))+IF(I8="L5",SUMPRODUCT((Q$3:Q$21="")*(P$3:P$21="")*(O$3:O$21="")*(N$3:N$21="P")*(H$3:H$21=H8)*(K$3:K$21&lt;K8)*(I$3:I$21&lt;&gt;I8)*(J$3:J$21="P")),-1*SUMPRODUCT((Q$3:Q$21="")*(P$3:P$21="")*(O$3:O$21="")*(N$3:N$21="P")*(H$3:H$21=H8)*(K$3:K$21&gt;K8)*(I$3:I$21="L5")*(J$3:J$21="P")))+1,"")))))</f>
        <v/>
      </c>
      <c r="B8" s="1" t="str" cm="1">
        <f t="array" ref="B8">IF(Q8&lt;&gt;"",SUMPRODUCT((Q$3:Q$21&lt;&gt;"")*(H$3:H$21=H8)*(K$3:K$21&gt;K8))+1,IF(P8&lt;&gt;"",SUMPRODUCT((P$3:P$21&lt;&gt;"")*(Q$3:Q$21="")*(H$3:H$21=H8)*(K$3:K$21&gt;K8))+SUMPRODUCT((Q$3:Q$21&lt;&gt;"")*(H$3:H$21=H8))+1,IF(O8&lt;&gt;"",SUMPRODUCT((O$3:O$21&lt;&gt;"")*(H$3:H$21=H8)*(K$3:K$21&gt;K8))+1,IF(N8="P",SUMPRODUCT((P$3:P$21&lt;&gt;"")*(Q$3:Q$21="")*(H$3:H$21=H8))+SUMPRODUCT((Q$3:Q$21&lt;&gt;"")*(H$3:H$21=H8))+SUMPRODUCT((O$3:O$21&lt;&gt;"")*(H$3:H$21=H8))+SUMPRODUCT((Q$3:Q$21="")*(P$3:P$21="")*(O$3:O$21="")*(N$3:N$21="P")*(H$3:H$21=H8)*(K$3:K$21&gt;K8))+IF(I8="L5",SUMPRODUCT((Q$3:Q$21="")*(P$3:P$21="")*(O$3:O$21="")*(N$3:N$21="P")*(H$3:H$21=H8)*(K$3:K$21&lt;K8)*(I$3:I$21&lt;&gt;I8)),-1*SUMPRODUCT((Q$3:Q$21="")*(P$3:P$21="")*(O$3:O$21="")*(N$3:N$21="P")*(H$3:H$21=H8)*(K$3:K$21&gt;K8)*(I$3:I$21="L5")))+1,""))))</f>
        <v/>
      </c>
      <c r="C8" s="35" t="s">
        <v>387</v>
      </c>
      <c r="D8" t="str">
        <f>IF(E8="","",VLOOKUP(E8,'Coaching Points'!A:B,2,0)&amp;"/"&amp;VLOOKUP(F8,'Coaching Points'!A:B,2,0))</f>
        <v>AB/AB</v>
      </c>
      <c r="E8" s="35" t="s">
        <v>28</v>
      </c>
      <c r="F8" s="35" t="s">
        <v>28</v>
      </c>
      <c r="G8" s="34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>S8+T8+IF(OR(I8="Junior",I8="Senior"),0.0002,IF(OR(I8="L7",I8="L6"),0.0001,0))+MAX(AB8,AD8,AG8)*0.0000001</f>
        <v>67.060100000000006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37.68</v>
      </c>
      <c r="T8" s="4">
        <f>LARGE(CHOOSE({1,2,3,4,5,6},U8,W8,Z8,AB8,AD8,AG8),2)</f>
        <v>29.38</v>
      </c>
      <c r="U8" s="32">
        <v>37.68</v>
      </c>
      <c r="V8" s="37">
        <v>8.4</v>
      </c>
      <c r="W8" s="33"/>
      <c r="X8" s="37"/>
      <c r="Y8" s="4">
        <f>IF(I8="Senior",MAX(U8,W8),U8+W8)</f>
        <v>37.68</v>
      </c>
      <c r="Z8" s="33">
        <v>29.38</v>
      </c>
      <c r="AA8" s="37">
        <v>7.3</v>
      </c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$21&lt;&gt;"")*(H$3:H$21=H9)*(K$3:K$21&gt;K9)*(J$3:J$21="P"))+1,IF(P9&lt;&gt;"",SUMPRODUCT((P$3:P$21&lt;&gt;"")*(Q$3:Q$21="")*(H$3:H$21=H9)*(K$3:K$21&gt;K9)*(J$3:J$21="P"))+SUMPRODUCT((Q$3:Q$21&lt;&gt;"")*(H$3:H$21=H9)*(J$3:J$21="P"))+1,IF(O9&lt;&gt;"",SUMPRODUCT((O$3:O$21&lt;&gt;"")*(H$3:H$21=H9)*(K$3:K$21&gt;K9)*(J$3:J$21="P"))+1,IF(N9="P",SUMPRODUCT((P$3:P$21&lt;&gt;"")*(Q$3:Q$21="")*(H$3:H$21=H9)*(J$3:J$21="P"))+SUMPRODUCT((Q$3:Q$21&lt;&gt;"")*(H$3:H$21=H9)*(J$3:J$21="P"))+SUMPRODUCT((O$3:O$21&lt;&gt;"")*(H$3:H$21=H9)*(J$3:J$21="P"))+SUMPRODUCT((Q$3:Q$21="")*(P$3:P$21="")*(O$3:O$21="")*(N$3:N$21="P")*(H$3:H$21=H9)*(K$3:K$21&gt;K9)*(J$3:J$21="P"))+IF(I9="L5",SUMPRODUCT((Q$3:Q$21="")*(P$3:P$21="")*(O$3:O$21="")*(N$3:N$21="P")*(H$3:H$21=H9)*(K$3:K$21&lt;K9)*(I$3:I$21&lt;&gt;I9)*(J$3:J$21="P")),-1*SUMPRODUCT((Q$3:Q$21="")*(P$3:P$21="")*(O$3:O$21="")*(N$3:N$21="P")*(H$3:H$21=H9)*(K$3:K$21&gt;K9)*(I$3:I$21="L5")*(J$3:J$21="P")))+1,"")))))</f>
        <v/>
      </c>
      <c r="B9" s="1" t="str" cm="1">
        <f t="array" ref="B9">IF(Q9&lt;&gt;"",SUMPRODUCT((Q$3:Q$21&lt;&gt;"")*(H$3:H$21=H9)*(K$3:K$21&gt;K9))+1,IF(P9&lt;&gt;"",SUMPRODUCT((P$3:P$21&lt;&gt;"")*(Q$3:Q$21="")*(H$3:H$21=H9)*(K$3:K$21&gt;K9))+SUMPRODUCT((Q$3:Q$21&lt;&gt;"")*(H$3:H$21=H9))+1,IF(O9&lt;&gt;"",SUMPRODUCT((O$3:O$21&lt;&gt;"")*(H$3:H$21=H9)*(K$3:K$21&gt;K9))+1,IF(N9="P",SUMPRODUCT((P$3:P$21&lt;&gt;"")*(Q$3:Q$21="")*(H$3:H$21=H9))+SUMPRODUCT((Q$3:Q$21&lt;&gt;"")*(H$3:H$21=H9))+SUMPRODUCT((O$3:O$21&lt;&gt;"")*(H$3:H$21=H9))+SUMPRODUCT((Q$3:Q$21="")*(P$3:P$21="")*(O$3:O$21="")*(N$3:N$21="P")*(H$3:H$21=H9)*(K$3:K$21&gt;K9))+IF(I9="L5",SUMPRODUCT((Q$3:Q$21="")*(P$3:P$21="")*(O$3:O$21="")*(N$3:N$21="P")*(H$3:H$21=H9)*(K$3:K$21&lt;K9)*(I$3:I$21&lt;&gt;I9)),-1*SUMPRODUCT((Q$3:Q$21="")*(P$3:P$21="")*(O$3:O$21="")*(N$3:N$21="P")*(H$3:H$21=H9)*(K$3:K$21&gt;K9)*(I$3:I$21="L5")))+1,""))))</f>
        <v/>
      </c>
      <c r="C9" s="35" t="s">
        <v>381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214</v>
      </c>
      <c r="J9" s="40"/>
      <c r="K9" s="4">
        <f>S9+T9+IF(OR(I9="Junior",I9="Senior"),0.0002,IF(OR(I9="L7",I9="L6"),0.0001,0))+MAX(AB9,AD9,AG9)*0.0000001</f>
        <v>66.08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38.24</v>
      </c>
      <c r="T9" s="4">
        <f>LARGE(CHOOSE({1,2,3,4,5,6},U9,W9,Z9,AB9,AD9,AG9),2)</f>
        <v>27.84</v>
      </c>
      <c r="U9" s="32">
        <v>38.24</v>
      </c>
      <c r="V9" s="37">
        <v>7.7</v>
      </c>
      <c r="W9" s="33"/>
      <c r="X9" s="37"/>
      <c r="Y9" s="4">
        <f>IF(I9="Senior",MAX(U9,W9),U9+W9)</f>
        <v>38.24</v>
      </c>
      <c r="Z9" s="33">
        <v>27.84</v>
      </c>
      <c r="AA9" s="37">
        <v>6</v>
      </c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$21&lt;&gt;"")*(H$3:H$21=H10)*(K$3:K$21&gt;K10)*(J$3:J$21="P"))+1,IF(P10&lt;&gt;"",SUMPRODUCT((P$3:P$21&lt;&gt;"")*(Q$3:Q$21="")*(H$3:H$21=H10)*(K$3:K$21&gt;K10)*(J$3:J$21="P"))+SUMPRODUCT((Q$3:Q$21&lt;&gt;"")*(H$3:H$21=H10)*(J$3:J$21="P"))+1,IF(O10&lt;&gt;"",SUMPRODUCT((O$3:O$21&lt;&gt;"")*(H$3:H$21=H10)*(K$3:K$21&gt;K10)*(J$3:J$21="P"))+1,IF(N10="P",SUMPRODUCT((P$3:P$21&lt;&gt;"")*(Q$3:Q$21="")*(H$3:H$21=H10)*(J$3:J$21="P"))+SUMPRODUCT((Q$3:Q$21&lt;&gt;"")*(H$3:H$21=H10)*(J$3:J$21="P"))+SUMPRODUCT((O$3:O$21&lt;&gt;"")*(H$3:H$21=H10)*(J$3:J$21="P"))+SUMPRODUCT((Q$3:Q$21="")*(P$3:P$21="")*(O$3:O$21="")*(N$3:N$21="P")*(H$3:H$21=H10)*(K$3:K$21&gt;K10)*(J$3:J$21="P"))+IF(I10="L5",SUMPRODUCT((Q$3:Q$21="")*(P$3:P$21="")*(O$3:O$21="")*(N$3:N$21="P")*(H$3:H$21=H10)*(K$3:K$21&lt;K10)*(I$3:I$21&lt;&gt;I10)*(J$3:J$21="P")),-1*SUMPRODUCT((Q$3:Q$21="")*(P$3:P$21="")*(O$3:O$21="")*(N$3:N$21="P")*(H$3:H$21=H10)*(K$3:K$21&gt;K10)*(I$3:I$21="L5")*(J$3:J$21="P")))+1,"")))))</f>
        <v/>
      </c>
      <c r="B10" s="1" t="str" cm="1">
        <f t="array" ref="B10">IF(Q10&lt;&gt;"",SUMPRODUCT((Q$3:Q$21&lt;&gt;"")*(H$3:H$21=H10)*(K$3:K$21&gt;K10))+1,IF(P10&lt;&gt;"",SUMPRODUCT((P$3:P$21&lt;&gt;"")*(Q$3:Q$21="")*(H$3:H$21=H10)*(K$3:K$21&gt;K10))+SUMPRODUCT((Q$3:Q$21&lt;&gt;"")*(H$3:H$21=H10))+1,IF(O10&lt;&gt;"",SUMPRODUCT((O$3:O$21&lt;&gt;"")*(H$3:H$21=H10)*(K$3:K$21&gt;K10))+1,IF(N10="P",SUMPRODUCT((P$3:P$21&lt;&gt;"")*(Q$3:Q$21="")*(H$3:H$21=H10))+SUMPRODUCT((Q$3:Q$21&lt;&gt;"")*(H$3:H$21=H10))+SUMPRODUCT((O$3:O$21&lt;&gt;"")*(H$3:H$21=H10))+SUMPRODUCT((Q$3:Q$21="")*(P$3:P$21="")*(O$3:O$21="")*(N$3:N$21="P")*(H$3:H$21=H10)*(K$3:K$21&gt;K10))+IF(I10="L5",SUMPRODUCT((Q$3:Q$21="")*(P$3:P$21="")*(O$3:O$21="")*(N$3:N$21="P")*(H$3:H$21=H10)*(K$3:K$21&lt;K10)*(I$3:I$21&lt;&gt;I10)),-1*SUMPRODUCT((Q$3:Q$21="")*(P$3:P$21="")*(O$3:O$21="")*(N$3:N$21="P")*(H$3:H$21=H10)*(K$3:K$21&gt;K10)*(I$3:I$21="L5")))+1,""))))</f>
        <v/>
      </c>
      <c r="C10" s="35" t="s">
        <v>389</v>
      </c>
      <c r="D10" t="str">
        <f>IF(E10="","",VLOOKUP(E10,'Coaching Points'!A:B,2,0)&amp;"/"&amp;VLOOKUP(F10,'Coaching Points'!A:B,2,0))</f>
        <v>QC/QC</v>
      </c>
      <c r="E10" s="35" t="s">
        <v>72</v>
      </c>
      <c r="F10" s="35" t="s">
        <v>125</v>
      </c>
      <c r="G10" s="34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213</v>
      </c>
      <c r="J10" s="40"/>
      <c r="K10" s="4">
        <f>S10+T10+IF(OR(I10="Junior",I10="Senior"),0.0002,IF(OR(I10="L7",I10="L6"),0.0001,0))+MAX(AB10,AD10,AG10)*0.0000001</f>
        <v>63.170104139000003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41.39</v>
      </c>
      <c r="T10" s="4">
        <f>LARGE(CHOOSE({1,2,3,4,5,6},U10,W10,Z10,AB10,AD10,AG10),2)</f>
        <v>21.78</v>
      </c>
      <c r="U10" s="32">
        <v>4.59</v>
      </c>
      <c r="V10" s="37">
        <v>1.3</v>
      </c>
      <c r="W10" s="33"/>
      <c r="X10" s="37"/>
      <c r="Y10" s="4">
        <f>IF(I10="Senior",MAX(U10,W10),U10+W10)</f>
        <v>4.59</v>
      </c>
      <c r="Z10" s="33"/>
      <c r="AA10" s="37"/>
      <c r="AB10" s="32">
        <v>21.78</v>
      </c>
      <c r="AC10" s="37">
        <v>4.7</v>
      </c>
      <c r="AD10" s="33"/>
      <c r="AE10" s="37"/>
      <c r="AF10" s="4">
        <f>IF(I10="Senior",MAX(AB10,AD10),AB10+AD10)</f>
        <v>21.78</v>
      </c>
      <c r="AG10" s="33">
        <v>41.39</v>
      </c>
      <c r="AH10" s="37">
        <v>8.5</v>
      </c>
    </row>
    <row r="11" spans="1:35" x14ac:dyDescent="0.2">
      <c r="A11" s="1" t="str" cm="1">
        <f t="array" ref="A11">IF(J11="","",IF(Q11&lt;&gt;"",SUMPRODUCT((Q$3:Q$21&lt;&gt;"")*(H$3:H$21=H11)*(K$3:K$21&gt;K11)*(J$3:J$21="P"))+1,IF(P11&lt;&gt;"",SUMPRODUCT((P$3:P$21&lt;&gt;"")*(Q$3:Q$21="")*(H$3:H$21=H11)*(K$3:K$21&gt;K11)*(J$3:J$21="P"))+SUMPRODUCT((Q$3:Q$21&lt;&gt;"")*(H$3:H$21=H11)*(J$3:J$21="P"))+1,IF(O11&lt;&gt;"",SUMPRODUCT((O$3:O$21&lt;&gt;"")*(H$3:H$21=H11)*(K$3:K$21&gt;K11)*(J$3:J$21="P"))+1,IF(N11="P",SUMPRODUCT((P$3:P$21&lt;&gt;"")*(Q$3:Q$21="")*(H$3:H$21=H11)*(J$3:J$21="P"))+SUMPRODUCT((Q$3:Q$21&lt;&gt;"")*(H$3:H$21=H11)*(J$3:J$21="P"))+SUMPRODUCT((O$3:O$21&lt;&gt;"")*(H$3:H$21=H11)*(J$3:J$21="P"))+SUMPRODUCT((Q$3:Q$21="")*(P$3:P$21="")*(O$3:O$21="")*(N$3:N$21="P")*(H$3:H$21=H11)*(K$3:K$21&gt;K11)*(J$3:J$21="P"))+IF(I11="L5",SUMPRODUCT((Q$3:Q$21="")*(P$3:P$21="")*(O$3:O$21="")*(N$3:N$21="P")*(H$3:H$21=H11)*(K$3:K$21&lt;K11)*(I$3:I$21&lt;&gt;I11)*(J$3:J$21="P")),-1*SUMPRODUCT((Q$3:Q$21="")*(P$3:P$21="")*(O$3:O$21="")*(N$3:N$21="P")*(H$3:H$21=H11)*(K$3:K$21&gt;K11)*(I$3:I$21="L5")*(J$3:J$21="P")))+1,"")))))</f>
        <v/>
      </c>
      <c r="B11" s="1" t="str" cm="1">
        <f t="array" ref="B11">IF(Q11&lt;&gt;"",SUMPRODUCT((Q$3:Q$21&lt;&gt;"")*(H$3:H$21=H11)*(K$3:K$21&gt;K11))+1,IF(P11&lt;&gt;"",SUMPRODUCT((P$3:P$21&lt;&gt;"")*(Q$3:Q$21="")*(H$3:H$21=H11)*(K$3:K$21&gt;K11))+SUMPRODUCT((Q$3:Q$21&lt;&gt;"")*(H$3:H$21=H11))+1,IF(O11&lt;&gt;"",SUMPRODUCT((O$3:O$21&lt;&gt;"")*(H$3:H$21=H11)*(K$3:K$21&gt;K11))+1,IF(N11="P",SUMPRODUCT((P$3:P$21&lt;&gt;"")*(Q$3:Q$21="")*(H$3:H$21=H11))+SUMPRODUCT((Q$3:Q$21&lt;&gt;"")*(H$3:H$21=H11))+SUMPRODUCT((O$3:O$21&lt;&gt;"")*(H$3:H$21=H11))+SUMPRODUCT((Q$3:Q$21="")*(P$3:P$21="")*(O$3:O$21="")*(N$3:N$21="P")*(H$3:H$21=H11)*(K$3:K$21&gt;K11))+IF(I11="L5",SUMPRODUCT((Q$3:Q$21="")*(P$3:P$21="")*(O$3:O$21="")*(N$3:N$21="P")*(H$3:H$21=H11)*(K$3:K$21&lt;K11)*(I$3:I$21&lt;&gt;I11)),-1*SUMPRODUCT((Q$3:Q$21="")*(P$3:P$21="")*(O$3:O$21="")*(N$3:N$21="P")*(H$3:H$21=H11)*(K$3:K$21&gt;K11)*(I$3:I$21="L5")))+1,""))))</f>
        <v/>
      </c>
      <c r="C11" s="35" t="s">
        <v>442</v>
      </c>
      <c r="D11" t="str">
        <f>IF(E11="","",VLOOKUP(E11,'Coaching Points'!A:B,2,0)&amp;"/"&amp;VLOOKUP(F11,'Coaching Points'!A:B,2,0))</f>
        <v>NS/NS</v>
      </c>
      <c r="E11" s="35" t="s">
        <v>86</v>
      </c>
      <c r="F11" s="35" t="s">
        <v>86</v>
      </c>
      <c r="G11" s="34">
        <v>2005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214</v>
      </c>
      <c r="J11" s="40"/>
      <c r="K11" s="4">
        <f>S11+T11+IF(OR(I11="Junior",I11="Senior"),0.0002,IF(OR(I11="L7",I11="L6"),0.0001,0))+MAX(AB11,AD11,AG11)*0.0000001</f>
        <v>53.150004240999998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42.41</v>
      </c>
      <c r="T11" s="4">
        <f>LARGE(CHOOSE({1,2,3,4,5,6},U11,W11,Z11,AB11,AD11,AG11),2)</f>
        <v>10.74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>
        <v>42.41</v>
      </c>
      <c r="AC11" s="37">
        <v>7.4</v>
      </c>
      <c r="AD11" s="33"/>
      <c r="AE11" s="37"/>
      <c r="AF11" s="4">
        <f>IF(I11="Senior",MAX(AB11,AD11),AB11+AD11)</f>
        <v>42.41</v>
      </c>
      <c r="AG11" s="33">
        <v>10.74</v>
      </c>
      <c r="AH11" s="37">
        <v>1.3</v>
      </c>
    </row>
    <row r="12" spans="1:35" x14ac:dyDescent="0.2">
      <c r="A12" s="1" t="str" cm="1">
        <f t="array" ref="A12">IF(J12="","",IF(Q12&lt;&gt;"",SUMPRODUCT((Q$3:Q$21&lt;&gt;"")*(H$3:H$21=H12)*(K$3:K$21&gt;K12)*(J$3:J$21="P"))+1,IF(P12&lt;&gt;"",SUMPRODUCT((P$3:P$21&lt;&gt;"")*(Q$3:Q$21="")*(H$3:H$21=H12)*(K$3:K$21&gt;K12)*(J$3:J$21="P"))+SUMPRODUCT((Q$3:Q$21&lt;&gt;"")*(H$3:H$21=H12)*(J$3:J$21="P"))+1,IF(O12&lt;&gt;"",SUMPRODUCT((O$3:O$21&lt;&gt;"")*(H$3:H$21=H12)*(K$3:K$21&gt;K12)*(J$3:J$21="P"))+1,IF(N12="P",SUMPRODUCT((P$3:P$21&lt;&gt;"")*(Q$3:Q$21="")*(H$3:H$21=H12)*(J$3:J$21="P"))+SUMPRODUCT((Q$3:Q$21&lt;&gt;"")*(H$3:H$21=H12)*(J$3:J$21="P"))+SUMPRODUCT((O$3:O$21&lt;&gt;"")*(H$3:H$21=H12)*(J$3:J$21="P"))+SUMPRODUCT((Q$3:Q$21="")*(P$3:P$21="")*(O$3:O$21="")*(N$3:N$21="P")*(H$3:H$21=H12)*(K$3:K$21&gt;K12)*(J$3:J$21="P"))+IF(I12="L5",SUMPRODUCT((Q$3:Q$21="")*(P$3:P$21="")*(O$3:O$21="")*(N$3:N$21="P")*(H$3:H$21=H12)*(K$3:K$21&lt;K12)*(I$3:I$21&lt;&gt;I12)*(J$3:J$21="P")),-1*SUMPRODUCT((Q$3:Q$21="")*(P$3:P$21="")*(O$3:O$21="")*(N$3:N$21="P")*(H$3:H$21=H12)*(K$3:K$21&gt;K12)*(I$3:I$21="L5")*(J$3:J$21="P")))+1,"")))))</f>
        <v/>
      </c>
      <c r="B12" s="1" t="str" cm="1">
        <f t="array" ref="B12">IF(Q12&lt;&gt;"",SUMPRODUCT((Q$3:Q$21&lt;&gt;"")*(H$3:H$21=H12)*(K$3:K$21&gt;K12))+1,IF(P12&lt;&gt;"",SUMPRODUCT((P$3:P$21&lt;&gt;"")*(Q$3:Q$21="")*(H$3:H$21=H12)*(K$3:K$21&gt;K12))+SUMPRODUCT((Q$3:Q$21&lt;&gt;"")*(H$3:H$21=H12))+1,IF(O12&lt;&gt;"",SUMPRODUCT((O$3:O$21&lt;&gt;"")*(H$3:H$21=H12)*(K$3:K$21&gt;K12))+1,IF(N12="P",SUMPRODUCT((P$3:P$21&lt;&gt;"")*(Q$3:Q$21="")*(H$3:H$21=H12))+SUMPRODUCT((Q$3:Q$21&lt;&gt;"")*(H$3:H$21=H12))+SUMPRODUCT((O$3:O$21&lt;&gt;"")*(H$3:H$21=H12))+SUMPRODUCT((Q$3:Q$21="")*(P$3:P$21="")*(O$3:O$21="")*(N$3:N$21="P")*(H$3:H$21=H12)*(K$3:K$21&gt;K12))+IF(I12="L5",SUMPRODUCT((Q$3:Q$21="")*(P$3:P$21="")*(O$3:O$21="")*(N$3:N$21="P")*(H$3:H$21=H12)*(K$3:K$21&lt;K12)*(I$3:I$21&lt;&gt;I12)),-1*SUMPRODUCT((Q$3:Q$21="")*(P$3:P$21="")*(O$3:O$21="")*(N$3:N$21="P")*(H$3:H$21=H12)*(K$3:K$21&gt;K12)*(I$3:I$21="L5")))+1,""))))</f>
        <v/>
      </c>
      <c r="C12" s="35" t="s">
        <v>443</v>
      </c>
      <c r="D12" t="str">
        <f>IF(E12="","",VLOOKUP(E12,'Coaching Points'!A:B,2,0)&amp;"/"&amp;VLOOKUP(F12,'Coaching Points'!A:B,2,0))</f>
        <v>ON/ON</v>
      </c>
      <c r="E12" s="35" t="s">
        <v>37</v>
      </c>
      <c r="F12" s="35" t="s">
        <v>37</v>
      </c>
      <c r="G12" s="34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214</v>
      </c>
      <c r="J12" s="40"/>
      <c r="K12" s="4">
        <f>S12+T12+IF(OR(I12="Junior",I12="Senior"),0.0002,IF(OR(I12="L7",I12="L6"),0.0001,0))+MAX(AB12,AD12,AG12)*0.0000001</f>
        <v>46.040003405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34.049999999999997</v>
      </c>
      <c r="T12" s="4">
        <f>LARGE(CHOOSE({1,2,3,4,5,6},U12,W12,Z12,AB12,AD12,AG12),2)</f>
        <v>11.99</v>
      </c>
      <c r="U12" s="32"/>
      <c r="V12" s="37"/>
      <c r="W12" s="33"/>
      <c r="X12" s="37"/>
      <c r="Y12" s="4">
        <f>IF(I12="Senior",MAX(U12,W12),U12+W12)</f>
        <v>0</v>
      </c>
      <c r="Z12" s="33"/>
      <c r="AA12" s="37"/>
      <c r="AB12" s="32">
        <v>34.049999999999997</v>
      </c>
      <c r="AC12" s="37">
        <v>7.7</v>
      </c>
      <c r="AD12" s="33"/>
      <c r="AE12" s="37"/>
      <c r="AF12" s="4">
        <f>IF(I12="Senior",MAX(AB12,AD12),AB12+AD12)</f>
        <v>34.049999999999997</v>
      </c>
      <c r="AG12" s="33">
        <v>11.99</v>
      </c>
      <c r="AH12" s="37">
        <v>2.9</v>
      </c>
    </row>
    <row r="13" spans="1:35" x14ac:dyDescent="0.2">
      <c r="A13" s="1" t="str" cm="1">
        <f t="array" ref="A13">IF(J13="","",IF(Q13&lt;&gt;"",SUMPRODUCT((Q$3:Q$21&lt;&gt;"")*(H$3:H$21=H13)*(K$3:K$21&gt;K13)*(J$3:J$21="P"))+1,IF(P13&lt;&gt;"",SUMPRODUCT((P$3:P$21&lt;&gt;"")*(Q$3:Q$21="")*(H$3:H$21=H13)*(K$3:K$21&gt;K13)*(J$3:J$21="P"))+SUMPRODUCT((Q$3:Q$21&lt;&gt;"")*(H$3:H$21=H13)*(J$3:J$21="P"))+1,IF(O13&lt;&gt;"",SUMPRODUCT((O$3:O$21&lt;&gt;"")*(H$3:H$21=H13)*(K$3:K$21&gt;K13)*(J$3:J$21="P"))+1,IF(N13="P",SUMPRODUCT((P$3:P$21&lt;&gt;"")*(Q$3:Q$21="")*(H$3:H$21=H13)*(J$3:J$21="P"))+SUMPRODUCT((Q$3:Q$21&lt;&gt;"")*(H$3:H$21=H13)*(J$3:J$21="P"))+SUMPRODUCT((O$3:O$21&lt;&gt;"")*(H$3:H$21=H13)*(J$3:J$21="P"))+SUMPRODUCT((Q$3:Q$21="")*(P$3:P$21="")*(O$3:O$21="")*(N$3:N$21="P")*(H$3:H$21=H13)*(K$3:K$21&gt;K13)*(J$3:J$21="P"))+IF(I13="L5",SUMPRODUCT((Q$3:Q$21="")*(P$3:P$21="")*(O$3:O$21="")*(N$3:N$21="P")*(H$3:H$21=H13)*(K$3:K$21&lt;K13)*(I$3:I$21&lt;&gt;I13)*(J$3:J$21="P")),-1*SUMPRODUCT((Q$3:Q$21="")*(P$3:P$21="")*(O$3:O$21="")*(N$3:N$21="P")*(H$3:H$21=H13)*(K$3:K$21&gt;K13)*(I$3:I$21="L5")*(J$3:J$21="P")))+1,"")))))</f>
        <v/>
      </c>
      <c r="B13" s="1" t="str" cm="1">
        <f t="array" ref="B13">IF(Q13&lt;&gt;"",SUMPRODUCT((Q$3:Q$21&lt;&gt;"")*(H$3:H$21=H13)*(K$3:K$21&gt;K13))+1,IF(P13&lt;&gt;"",SUMPRODUCT((P$3:P$21&lt;&gt;"")*(Q$3:Q$21="")*(H$3:H$21=H13)*(K$3:K$21&gt;K13))+SUMPRODUCT((Q$3:Q$21&lt;&gt;"")*(H$3:H$21=H13))+1,IF(O13&lt;&gt;"",SUMPRODUCT((O$3:O$21&lt;&gt;"")*(H$3:H$21=H13)*(K$3:K$21&gt;K13))+1,IF(N13="P",SUMPRODUCT((P$3:P$21&lt;&gt;"")*(Q$3:Q$21="")*(H$3:H$21=H13))+SUMPRODUCT((Q$3:Q$21&lt;&gt;"")*(H$3:H$21=H13))+SUMPRODUCT((O$3:O$21&lt;&gt;"")*(H$3:H$21=H13))+SUMPRODUCT((Q$3:Q$21="")*(P$3:P$21="")*(O$3:O$21="")*(N$3:N$21="P")*(H$3:H$21=H13)*(K$3:K$21&gt;K13))+IF(I13="L5",SUMPRODUCT((Q$3:Q$21="")*(P$3:P$21="")*(O$3:O$21="")*(N$3:N$21="P")*(H$3:H$21=H13)*(K$3:K$21&lt;K13)*(I$3:I$21&lt;&gt;I13)),-1*SUMPRODUCT((Q$3:Q$21="")*(P$3:P$21="")*(O$3:O$21="")*(N$3:N$21="P")*(H$3:H$21=H13)*(K$3:K$21&gt;K13)*(I$3:I$21="L5")))+1,""))))</f>
        <v/>
      </c>
      <c r="C13" s="35" t="s">
        <v>444</v>
      </c>
      <c r="D13" t="str">
        <f>IF(E13="","",VLOOKUP(E13,'Coaching Points'!A:B,2,0)&amp;"/"&amp;VLOOKUP(F13,'Coaching Points'!A:B,2,0))</f>
        <v>ON/ON</v>
      </c>
      <c r="E13" s="35" t="s">
        <v>45</v>
      </c>
      <c r="F13" s="35" t="s">
        <v>45</v>
      </c>
      <c r="G13" s="34">
        <v>2007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6" t="s">
        <v>214</v>
      </c>
      <c r="J13" s="40"/>
      <c r="K13" s="4">
        <f>S13+T13+IF(OR(I13="Junior",I13="Senior"),0.0002,IF(OR(I13="L7",I13="L6"),0.0001,0))+MAX(AB13,AD13,AG13)*0.0000001</f>
        <v>45.810003322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33.22</v>
      </c>
      <c r="T13" s="4">
        <f>LARGE(CHOOSE({1,2,3,4,5,6},U13,W13,Z13,AB13,AD13,AG13),2)</f>
        <v>12.59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>
        <v>12.59</v>
      </c>
      <c r="AC13" s="37">
        <v>2.2999999999999998</v>
      </c>
      <c r="AD13" s="33"/>
      <c r="AE13" s="37"/>
      <c r="AF13" s="4">
        <f>IF(I13="Senior",MAX(AB13,AD13),AB13+AD13)</f>
        <v>12.59</v>
      </c>
      <c r="AG13" s="33">
        <v>33.22</v>
      </c>
      <c r="AH13" s="37">
        <v>5.5</v>
      </c>
    </row>
    <row r="14" spans="1:35" x14ac:dyDescent="0.2">
      <c r="A14" s="1" t="str" cm="1">
        <f t="array" ref="A14">IF(J14="","",IF(Q14&lt;&gt;"",SUMPRODUCT((Q$3:Q$21&lt;&gt;"")*(H$3:H$21=H14)*(K$3:K$21&gt;K14)*(J$3:J$21="P"))+1,IF(P14&lt;&gt;"",SUMPRODUCT((P$3:P$21&lt;&gt;"")*(Q$3:Q$21="")*(H$3:H$21=H14)*(K$3:K$21&gt;K14)*(J$3:J$21="P"))+SUMPRODUCT((Q$3:Q$21&lt;&gt;"")*(H$3:H$21=H14)*(J$3:J$21="P"))+1,IF(O14&lt;&gt;"",SUMPRODUCT((O$3:O$21&lt;&gt;"")*(H$3:H$21=H14)*(K$3:K$21&gt;K14)*(J$3:J$21="P"))+1,IF(N14="P",SUMPRODUCT((P$3:P$21&lt;&gt;"")*(Q$3:Q$21="")*(H$3:H$21=H14)*(J$3:J$21="P"))+SUMPRODUCT((Q$3:Q$21&lt;&gt;"")*(H$3:H$21=H14)*(J$3:J$21="P"))+SUMPRODUCT((O$3:O$21&lt;&gt;"")*(H$3:H$21=H14)*(J$3:J$21="P"))+SUMPRODUCT((Q$3:Q$21="")*(P$3:P$21="")*(O$3:O$21="")*(N$3:N$21="P")*(H$3:H$21=H14)*(K$3:K$21&gt;K14)*(J$3:J$21="P"))+IF(I14="L5",SUMPRODUCT((Q$3:Q$21="")*(P$3:P$21="")*(O$3:O$21="")*(N$3:N$21="P")*(H$3:H$21=H14)*(K$3:K$21&lt;K14)*(I$3:I$21&lt;&gt;I14)*(J$3:J$21="P")),-1*SUMPRODUCT((Q$3:Q$21="")*(P$3:P$21="")*(O$3:O$21="")*(N$3:N$21="P")*(H$3:H$21=H14)*(K$3:K$21&gt;K14)*(I$3:I$21="L5")*(J$3:J$21="P")))+1,"")))))</f>
        <v/>
      </c>
      <c r="B14" s="1" t="str" cm="1">
        <f t="array" ref="B14">IF(Q14&lt;&gt;"",SUMPRODUCT((Q$3:Q$21&lt;&gt;"")*(H$3:H$21=H14)*(K$3:K$21&gt;K14))+1,IF(P14&lt;&gt;"",SUMPRODUCT((P$3:P$21&lt;&gt;"")*(Q$3:Q$21="")*(H$3:H$21=H14)*(K$3:K$21&gt;K14))+SUMPRODUCT((Q$3:Q$21&lt;&gt;"")*(H$3:H$21=H14))+1,IF(O14&lt;&gt;"",SUMPRODUCT((O$3:O$21&lt;&gt;"")*(H$3:H$21=H14)*(K$3:K$21&gt;K14))+1,IF(N14="P",SUMPRODUCT((P$3:P$21&lt;&gt;"")*(Q$3:Q$21="")*(H$3:H$21=H14))+SUMPRODUCT((Q$3:Q$21&lt;&gt;"")*(H$3:H$21=H14))+SUMPRODUCT((O$3:O$21&lt;&gt;"")*(H$3:H$21=H14))+SUMPRODUCT((Q$3:Q$21="")*(P$3:P$21="")*(O$3:O$21="")*(N$3:N$21="P")*(H$3:H$21=H14)*(K$3:K$21&gt;K14))+IF(I14="L5",SUMPRODUCT((Q$3:Q$21="")*(P$3:P$21="")*(O$3:O$21="")*(N$3:N$21="P")*(H$3:H$21=H14)*(K$3:K$21&lt;K14)*(I$3:I$21&lt;&gt;I14)),-1*SUMPRODUCT((Q$3:Q$21="")*(P$3:P$21="")*(O$3:O$21="")*(N$3:N$21="P")*(H$3:H$21=H14)*(K$3:K$21&gt;K14)*(I$3:I$21="L5")))+1,""))))</f>
        <v/>
      </c>
      <c r="C14" s="35" t="s">
        <v>448</v>
      </c>
      <c r="D14" t="str">
        <f>IF(E14="","",VLOOKUP(E14,'Coaching Points'!A:B,2,0)&amp;"/"&amp;VLOOKUP(F14,'Coaching Points'!A:B,2,0))</f>
        <v>ON/ON</v>
      </c>
      <c r="E14" s="35" t="s">
        <v>45</v>
      </c>
      <c r="F14" s="35" t="s">
        <v>45</v>
      </c>
      <c r="G14" s="34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6" t="s">
        <v>213</v>
      </c>
      <c r="J14" s="40"/>
      <c r="K14" s="4">
        <f>S14+T14+IF(OR(I14="Junior",I14="Senior"),0.0002,IF(OR(I14="L7",I14="L6"),0.0001,0))+MAX(AB14,AD14,AG14)*0.0000001</f>
        <v>43.270104327000006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43.27</v>
      </c>
      <c r="T14" s="4">
        <f>LARGE(CHOOSE({1,2,3,4,5,6},U14,W14,Z14,AB14,AD14,AG14),2)</f>
        <v>0</v>
      </c>
      <c r="U14" s="32"/>
      <c r="V14" s="37"/>
      <c r="W14" s="33"/>
      <c r="X14" s="37"/>
      <c r="Y14" s="4">
        <f>IF(I14="Senior",MAX(U14,W14),U14+W14)</f>
        <v>0</v>
      </c>
      <c r="Z14" s="33"/>
      <c r="AA14" s="37"/>
      <c r="AB14" s="32">
        <v>43.27</v>
      </c>
      <c r="AC14" s="37">
        <v>8.5</v>
      </c>
      <c r="AD14" s="33"/>
      <c r="AE14" s="37"/>
      <c r="AF14" s="4">
        <f>IF(I14="Senior",MAX(AB14,AD14),AB14+AD14)</f>
        <v>43.27</v>
      </c>
      <c r="AG14" s="33"/>
      <c r="AH14" s="37"/>
    </row>
    <row r="15" spans="1:35" x14ac:dyDescent="0.2">
      <c r="A15" s="1" t="str" cm="1">
        <f t="array" ref="A15">IF(J15="","",IF(Q15&lt;&gt;"",SUMPRODUCT((Q$3:Q$21&lt;&gt;"")*(H$3:H$21=H15)*(K$3:K$21&gt;K15)*(J$3:J$21="P"))+1,IF(P15&lt;&gt;"",SUMPRODUCT((P$3:P$21&lt;&gt;"")*(Q$3:Q$21="")*(H$3:H$21=H15)*(K$3:K$21&gt;K15)*(J$3:J$21="P"))+SUMPRODUCT((Q$3:Q$21&lt;&gt;"")*(H$3:H$21=H15)*(J$3:J$21="P"))+1,IF(O15&lt;&gt;"",SUMPRODUCT((O$3:O$21&lt;&gt;"")*(H$3:H$21=H15)*(K$3:K$21&gt;K15)*(J$3:J$21="P"))+1,IF(N15="P",SUMPRODUCT((P$3:P$21&lt;&gt;"")*(Q$3:Q$21="")*(H$3:H$21=H15)*(J$3:J$21="P"))+SUMPRODUCT((Q$3:Q$21&lt;&gt;"")*(H$3:H$21=H15)*(J$3:J$21="P"))+SUMPRODUCT((O$3:O$21&lt;&gt;"")*(H$3:H$21=H15)*(J$3:J$21="P"))+SUMPRODUCT((Q$3:Q$21="")*(P$3:P$21="")*(O$3:O$21="")*(N$3:N$21="P")*(H$3:H$21=H15)*(K$3:K$21&gt;K15)*(J$3:J$21="P"))+IF(I15="L5",SUMPRODUCT((Q$3:Q$21="")*(P$3:P$21="")*(O$3:O$21="")*(N$3:N$21="P")*(H$3:H$21=H15)*(K$3:K$21&lt;K15)*(I$3:I$21&lt;&gt;I15)*(J$3:J$21="P")),-1*SUMPRODUCT((Q$3:Q$21="")*(P$3:P$21="")*(O$3:O$21="")*(N$3:N$21="P")*(H$3:H$21=H15)*(K$3:K$21&gt;K15)*(I$3:I$21="L5")*(J$3:J$21="P")))+1,"")))))</f>
        <v/>
      </c>
      <c r="B15" s="1" t="str" cm="1">
        <f t="array" ref="B15">IF(Q15&lt;&gt;"",SUMPRODUCT((Q$3:Q$21&lt;&gt;"")*(H$3:H$21=H15)*(K$3:K$21&gt;K15))+1,IF(P15&lt;&gt;"",SUMPRODUCT((P$3:P$21&lt;&gt;"")*(Q$3:Q$21="")*(H$3:H$21=H15)*(K$3:K$21&gt;K15))+SUMPRODUCT((Q$3:Q$21&lt;&gt;"")*(H$3:H$21=H15))+1,IF(O15&lt;&gt;"",SUMPRODUCT((O$3:O$21&lt;&gt;"")*(H$3:H$21=H15)*(K$3:K$21&gt;K15))+1,IF(N15="P",SUMPRODUCT((P$3:P$21&lt;&gt;"")*(Q$3:Q$21="")*(H$3:H$21=H15))+SUMPRODUCT((Q$3:Q$21&lt;&gt;"")*(H$3:H$21=H15))+SUMPRODUCT((O$3:O$21&lt;&gt;"")*(H$3:H$21=H15))+SUMPRODUCT((Q$3:Q$21="")*(P$3:P$21="")*(O$3:O$21="")*(N$3:N$21="P")*(H$3:H$21=H15)*(K$3:K$21&gt;K15))+IF(I15="L5",SUMPRODUCT((Q$3:Q$21="")*(P$3:P$21="")*(O$3:O$21="")*(N$3:N$21="P")*(H$3:H$21=H15)*(K$3:K$21&lt;K15)*(I$3:I$21&lt;&gt;I15)),-1*SUMPRODUCT((Q$3:Q$21="")*(P$3:P$21="")*(O$3:O$21="")*(N$3:N$21="P")*(H$3:H$21=H15)*(K$3:K$21&gt;K15)*(I$3:I$21="L5")))+1,""))))</f>
        <v/>
      </c>
      <c r="C15" s="35" t="s">
        <v>382</v>
      </c>
      <c r="D15" t="str">
        <f>IF(E15="","",VLOOKUP(E15,'Coaching Points'!A:B,2,0)&amp;"/"&amp;VLOOKUP(F15,'Coaching Points'!A:B,2,0))</f>
        <v>QC/QC</v>
      </c>
      <c r="E15" s="35" t="s">
        <v>3</v>
      </c>
      <c r="F15" s="35" t="s">
        <v>3</v>
      </c>
      <c r="G15" s="34">
        <v>2007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6" t="s">
        <v>214</v>
      </c>
      <c r="J15" s="40"/>
      <c r="K15" s="4">
        <f>S15+T15+IF(OR(I15="Junior",I15="Senior"),0.0002,IF(OR(I15="L7",I15="L6"),0.0001,0))+MAX(AB15,AD15,AG15)*0.0000001</f>
        <v>19.140000480000001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14.34</v>
      </c>
      <c r="T15" s="4">
        <f>LARGE(CHOOSE({1,2,3,4,5,6},U15,W15,Z15,AB15,AD15,AG15),2)</f>
        <v>4.8</v>
      </c>
      <c r="U15" s="32">
        <v>14.34</v>
      </c>
      <c r="V15" s="37">
        <v>3.5</v>
      </c>
      <c r="W15" s="33"/>
      <c r="X15" s="37"/>
      <c r="Y15" s="4">
        <f>IF(I15="Senior",MAX(U15,W15),U15+W15)</f>
        <v>14.34</v>
      </c>
      <c r="Z15" s="33"/>
      <c r="AA15" s="37"/>
      <c r="AB15" s="32">
        <v>4.8</v>
      </c>
      <c r="AC15" s="37">
        <v>1.3</v>
      </c>
      <c r="AD15" s="33"/>
      <c r="AE15" s="37"/>
      <c r="AF15" s="4">
        <f>IF(I15="Senior",MAX(AB15,AD15),AB15+AD15)</f>
        <v>4.8</v>
      </c>
      <c r="AG15" s="33"/>
      <c r="AH15" s="37"/>
    </row>
    <row r="16" spans="1:35" x14ac:dyDescent="0.2">
      <c r="A16" s="1" t="str" cm="1">
        <f t="array" ref="A16">IF(J16="","",IF(Q16&lt;&gt;"",SUMPRODUCT((Q$3:Q$21&lt;&gt;"")*(H$3:H$21=H16)*(K$3:K$21&gt;K16)*(J$3:J$21="P"))+1,IF(P16&lt;&gt;"",SUMPRODUCT((P$3:P$21&lt;&gt;"")*(Q$3:Q$21="")*(H$3:H$21=H16)*(K$3:K$21&gt;K16)*(J$3:J$21="P"))+SUMPRODUCT((Q$3:Q$21&lt;&gt;"")*(H$3:H$21=H16)*(J$3:J$21="P"))+1,IF(O16&lt;&gt;"",SUMPRODUCT((O$3:O$21&lt;&gt;"")*(H$3:H$21=H16)*(K$3:K$21&gt;K16)*(J$3:J$21="P"))+1,IF(N16="P",SUMPRODUCT((P$3:P$21&lt;&gt;"")*(Q$3:Q$21="")*(H$3:H$21=H16)*(J$3:J$21="P"))+SUMPRODUCT((Q$3:Q$21&lt;&gt;"")*(H$3:H$21=H16)*(J$3:J$21="P"))+SUMPRODUCT((O$3:O$21&lt;&gt;"")*(H$3:H$21=H16)*(J$3:J$21="P"))+SUMPRODUCT((Q$3:Q$21="")*(P$3:P$21="")*(O$3:O$21="")*(N$3:N$21="P")*(H$3:H$21=H16)*(K$3:K$21&gt;K16)*(J$3:J$21="P"))+IF(I16="L5",SUMPRODUCT((Q$3:Q$21="")*(P$3:P$21="")*(O$3:O$21="")*(N$3:N$21="P")*(H$3:H$21=H16)*(K$3:K$21&lt;K16)*(I$3:I$21&lt;&gt;I16)*(J$3:J$21="P")),-1*SUMPRODUCT((Q$3:Q$21="")*(P$3:P$21="")*(O$3:O$21="")*(N$3:N$21="P")*(H$3:H$21=H16)*(K$3:K$21&gt;K16)*(I$3:I$21="L5")*(J$3:J$21="P")))+1,"")))))</f>
        <v/>
      </c>
      <c r="B16" s="1" t="str" cm="1">
        <f t="array" ref="B16">IF(Q16&lt;&gt;"",SUMPRODUCT((Q$3:Q$21&lt;&gt;"")*(H$3:H$21=H16)*(K$3:K$21&gt;K16))+1,IF(P16&lt;&gt;"",SUMPRODUCT((P$3:P$21&lt;&gt;"")*(Q$3:Q$21="")*(H$3:H$21=H16)*(K$3:K$21&gt;K16))+SUMPRODUCT((Q$3:Q$21&lt;&gt;"")*(H$3:H$21=H16))+1,IF(O16&lt;&gt;"",SUMPRODUCT((O$3:O$21&lt;&gt;"")*(H$3:H$21=H16)*(K$3:K$21&gt;K16))+1,IF(N16="P",SUMPRODUCT((P$3:P$21&lt;&gt;"")*(Q$3:Q$21="")*(H$3:H$21=H16))+SUMPRODUCT((Q$3:Q$21&lt;&gt;"")*(H$3:H$21=H16))+SUMPRODUCT((O$3:O$21&lt;&gt;"")*(H$3:H$21=H16))+SUMPRODUCT((Q$3:Q$21="")*(P$3:P$21="")*(O$3:O$21="")*(N$3:N$21="P")*(H$3:H$21=H16)*(K$3:K$21&gt;K16))+IF(I16="L5",SUMPRODUCT((Q$3:Q$21="")*(P$3:P$21="")*(O$3:O$21="")*(N$3:N$21="P")*(H$3:H$21=H16)*(K$3:K$21&lt;K16)*(I$3:I$21&lt;&gt;I16)),-1*SUMPRODUCT((Q$3:Q$21="")*(P$3:P$21="")*(O$3:O$21="")*(N$3:N$21="P")*(H$3:H$21=H16)*(K$3:K$21&gt;K16)*(I$3:I$21="L5")))+1,""))))</f>
        <v/>
      </c>
      <c r="C16" s="35" t="s">
        <v>383</v>
      </c>
      <c r="D16" t="str">
        <f>IF(E16="","",VLOOKUP(E16,'Coaching Points'!A:B,2,0)&amp;"/"&amp;VLOOKUP(F16,'Coaching Points'!A:B,2,0))</f>
        <v>AB/AB</v>
      </c>
      <c r="E16" s="35" t="s">
        <v>39</v>
      </c>
      <c r="F16" s="35" t="s">
        <v>39</v>
      </c>
      <c r="G16" s="34">
        <v>2009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6" t="s">
        <v>213</v>
      </c>
      <c r="J16" s="40"/>
      <c r="K16" s="4">
        <f>S16+T16+IF(OR(I16="Junior",I16="Senior"),0.0002,IF(OR(I16="L7",I16="L6"),0.0001,0))+MAX(AB16,AD16,AG16)*0.0000001</f>
        <v>85.500104234000005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43.16</v>
      </c>
      <c r="T16" s="4">
        <f>LARGE(CHOOSE({1,2,3,4,5,6},U16,W16,Z16,AB16,AD16,AG16),2)</f>
        <v>42.34</v>
      </c>
      <c r="U16" s="32">
        <v>40.9</v>
      </c>
      <c r="V16" s="37">
        <v>8.6</v>
      </c>
      <c r="W16" s="33"/>
      <c r="X16" s="37"/>
      <c r="Y16" s="4">
        <f>IF(I16="Senior",MAX(U16,W16),U16+W16)</f>
        <v>40.9</v>
      </c>
      <c r="Z16" s="33">
        <v>43.16</v>
      </c>
      <c r="AA16" s="37">
        <v>8.6</v>
      </c>
      <c r="AB16" s="32">
        <v>42.34</v>
      </c>
      <c r="AC16" s="37">
        <v>8.6</v>
      </c>
      <c r="AD16" s="33"/>
      <c r="AE16" s="37"/>
      <c r="AF16" s="4">
        <f>IF(I16="Senior",MAX(AB16,AD16),AB16+AD16)</f>
        <v>42.34</v>
      </c>
      <c r="AG16" s="33">
        <v>0</v>
      </c>
      <c r="AH16" s="37">
        <v>0</v>
      </c>
    </row>
    <row r="17" spans="1:34" x14ac:dyDescent="0.2">
      <c r="A17" s="1" t="str" cm="1">
        <f t="array" ref="A17">IF(J17="","",IF(Q17&lt;&gt;"",SUMPRODUCT((Q$3:Q$21&lt;&gt;"")*(H$3:H$21=H17)*(K$3:K$21&gt;K17)*(J$3:J$21="P"))+1,IF(P17&lt;&gt;"",SUMPRODUCT((P$3:P$21&lt;&gt;"")*(Q$3:Q$21="")*(H$3:H$21=H17)*(K$3:K$21&gt;K17)*(J$3:J$21="P"))+SUMPRODUCT((Q$3:Q$21&lt;&gt;"")*(H$3:H$21=H17)*(J$3:J$21="P"))+1,IF(O17&lt;&gt;"",SUMPRODUCT((O$3:O$21&lt;&gt;"")*(H$3:H$21=H17)*(K$3:K$21&gt;K17)*(J$3:J$21="P"))+1,IF(N17="P",SUMPRODUCT((P$3:P$21&lt;&gt;"")*(Q$3:Q$21="")*(H$3:H$21=H17)*(J$3:J$21="P"))+SUMPRODUCT((Q$3:Q$21&lt;&gt;"")*(H$3:H$21=H17)*(J$3:J$21="P"))+SUMPRODUCT((O$3:O$21&lt;&gt;"")*(H$3:H$21=H17)*(J$3:J$21="P"))+SUMPRODUCT((Q$3:Q$21="")*(P$3:P$21="")*(O$3:O$21="")*(N$3:N$21="P")*(H$3:H$21=H17)*(K$3:K$21&gt;K17)*(J$3:J$21="P"))+IF(I17="L5",SUMPRODUCT((Q$3:Q$21="")*(P$3:P$21="")*(O$3:O$21="")*(N$3:N$21="P")*(H$3:H$21=H17)*(K$3:K$21&lt;K17)*(I$3:I$21&lt;&gt;I17)*(J$3:J$21="P")),-1*SUMPRODUCT((Q$3:Q$21="")*(P$3:P$21="")*(O$3:O$21="")*(N$3:N$21="P")*(H$3:H$21=H17)*(K$3:K$21&gt;K17)*(I$3:I$21="L5")*(J$3:J$21="P")))+1,"")))))</f>
        <v/>
      </c>
      <c r="B17" s="1" t="str" cm="1">
        <f t="array" ref="B17">IF(Q17&lt;&gt;"",SUMPRODUCT((Q$3:Q$21&lt;&gt;"")*(H$3:H$21=H17)*(K$3:K$21&gt;K17))+1,IF(P17&lt;&gt;"",SUMPRODUCT((P$3:P$21&lt;&gt;"")*(Q$3:Q$21="")*(H$3:H$21=H17)*(K$3:K$21&gt;K17))+SUMPRODUCT((Q$3:Q$21&lt;&gt;"")*(H$3:H$21=H17))+1,IF(O17&lt;&gt;"",SUMPRODUCT((O$3:O$21&lt;&gt;"")*(H$3:H$21=H17)*(K$3:K$21&gt;K17))+1,IF(N17="P",SUMPRODUCT((P$3:P$21&lt;&gt;"")*(Q$3:Q$21="")*(H$3:H$21=H17))+SUMPRODUCT((Q$3:Q$21&lt;&gt;"")*(H$3:H$21=H17))+SUMPRODUCT((O$3:O$21&lt;&gt;"")*(H$3:H$21=H17))+SUMPRODUCT((Q$3:Q$21="")*(P$3:P$21="")*(O$3:O$21="")*(N$3:N$21="P")*(H$3:H$21=H17)*(K$3:K$21&gt;K17))+IF(I17="L5",SUMPRODUCT((Q$3:Q$21="")*(P$3:P$21="")*(O$3:O$21="")*(N$3:N$21="P")*(H$3:H$21=H17)*(K$3:K$21&lt;K17)*(I$3:I$21&lt;&gt;I17)),-1*SUMPRODUCT((Q$3:Q$21="")*(P$3:P$21="")*(O$3:O$21="")*(N$3:N$21="P")*(H$3:H$21=H17)*(K$3:K$21&gt;K17)*(I$3:I$21="L5")))+1,""))))</f>
        <v/>
      </c>
      <c r="C17" s="35" t="s">
        <v>388</v>
      </c>
      <c r="D17" t="str">
        <f>IF(E17="","",VLOOKUP(E17,'Coaching Points'!A:B,2,0)&amp;"/"&amp;VLOOKUP(F17,'Coaching Points'!A:B,2,0))</f>
        <v>BC/QC</v>
      </c>
      <c r="E17" s="35" t="s">
        <v>40</v>
      </c>
      <c r="F17" s="35" t="s">
        <v>75</v>
      </c>
      <c r="G17" s="34">
        <v>2009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6" t="s">
        <v>213</v>
      </c>
      <c r="J17" s="40"/>
      <c r="K17" s="4">
        <f>S17+T17+IF(OR(I17="Junior",I17="Senior"),0.0002,IF(OR(I17="L7",I17="L6"),0.0001,0))+MAX(AB17,AD17,AG17)*0.0000001</f>
        <v>85.230104259000001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>P</v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42.64</v>
      </c>
      <c r="T17" s="4">
        <f>LARGE(CHOOSE({1,2,3,4,5,6},U17,W17,Z17,AB17,AD17,AG17),2)</f>
        <v>42.59</v>
      </c>
      <c r="U17" s="32">
        <v>42.64</v>
      </c>
      <c r="V17" s="37">
        <v>9</v>
      </c>
      <c r="W17" s="33"/>
      <c r="X17" s="37"/>
      <c r="Y17" s="4">
        <f>IF(I17="Senior",MAX(U17,W17),U17+W17)</f>
        <v>42.64</v>
      </c>
      <c r="Z17" s="33">
        <v>24.06</v>
      </c>
      <c r="AA17" s="37">
        <v>4</v>
      </c>
      <c r="AB17" s="32">
        <v>38.69</v>
      </c>
      <c r="AC17" s="37">
        <v>7.7</v>
      </c>
      <c r="AD17" s="33"/>
      <c r="AE17" s="37"/>
      <c r="AF17" s="4">
        <f>IF(I17="Senior",MAX(AB17,AD17),AB17+AD17)</f>
        <v>38.69</v>
      </c>
      <c r="AG17" s="33">
        <v>42.59</v>
      </c>
      <c r="AH17" s="37">
        <v>9</v>
      </c>
    </row>
    <row r="18" spans="1:34" x14ac:dyDescent="0.2">
      <c r="A18" s="1" t="str" cm="1">
        <f t="array" ref="A18">IF(J18="","",IF(Q18&lt;&gt;"",SUMPRODUCT((Q$3:Q$21&lt;&gt;"")*(H$3:H$21=H18)*(K$3:K$21&gt;K18)*(J$3:J$21="P"))+1,IF(P18&lt;&gt;"",SUMPRODUCT((P$3:P$21&lt;&gt;"")*(Q$3:Q$21="")*(H$3:H$21=H18)*(K$3:K$21&gt;K18)*(J$3:J$21="P"))+SUMPRODUCT((Q$3:Q$21&lt;&gt;"")*(H$3:H$21=H18)*(J$3:J$21="P"))+1,IF(O18&lt;&gt;"",SUMPRODUCT((O$3:O$21&lt;&gt;"")*(H$3:H$21=H18)*(K$3:K$21&gt;K18)*(J$3:J$21="P"))+1,IF(N18="P",SUMPRODUCT((P$3:P$21&lt;&gt;"")*(Q$3:Q$21="")*(H$3:H$21=H18)*(J$3:J$21="P"))+SUMPRODUCT((Q$3:Q$21&lt;&gt;"")*(H$3:H$21=H18)*(J$3:J$21="P"))+SUMPRODUCT((O$3:O$21&lt;&gt;"")*(H$3:H$21=H18)*(J$3:J$21="P"))+SUMPRODUCT((Q$3:Q$21="")*(P$3:P$21="")*(O$3:O$21="")*(N$3:N$21="P")*(H$3:H$21=H18)*(K$3:K$21&gt;K18)*(J$3:J$21="P"))+IF(I18="L5",SUMPRODUCT((Q$3:Q$21="")*(P$3:P$21="")*(O$3:O$21="")*(N$3:N$21="P")*(H$3:H$21=H18)*(K$3:K$21&lt;K18)*(I$3:I$21&lt;&gt;I18)*(J$3:J$21="P")),-1*SUMPRODUCT((Q$3:Q$21="")*(P$3:P$21="")*(O$3:O$21="")*(N$3:N$21="P")*(H$3:H$21=H18)*(K$3:K$21&gt;K18)*(I$3:I$21="L5")*(J$3:J$21="P")))+1,"")))))</f>
        <v/>
      </c>
      <c r="B18" s="1" t="str" cm="1">
        <f t="array" ref="B18">IF(Q18&lt;&gt;"",SUMPRODUCT((Q$3:Q$21&lt;&gt;"")*(H$3:H$21=H18)*(K$3:K$21&gt;K18))+1,IF(P18&lt;&gt;"",SUMPRODUCT((P$3:P$21&lt;&gt;"")*(Q$3:Q$21="")*(H$3:H$21=H18)*(K$3:K$21&gt;K18))+SUMPRODUCT((Q$3:Q$21&lt;&gt;"")*(H$3:H$21=H18))+1,IF(O18&lt;&gt;"",SUMPRODUCT((O$3:O$21&lt;&gt;"")*(H$3:H$21=H18)*(K$3:K$21&gt;K18))+1,IF(N18="P",SUMPRODUCT((P$3:P$21&lt;&gt;"")*(Q$3:Q$21="")*(H$3:H$21=H18))+SUMPRODUCT((Q$3:Q$21&lt;&gt;"")*(H$3:H$21=H18))+SUMPRODUCT((O$3:O$21&lt;&gt;"")*(H$3:H$21=H18))+SUMPRODUCT((Q$3:Q$21="")*(P$3:P$21="")*(O$3:O$21="")*(N$3:N$21="P")*(H$3:H$21=H18)*(K$3:K$21&gt;K18))+IF(I18="L5",SUMPRODUCT((Q$3:Q$21="")*(P$3:P$21="")*(O$3:O$21="")*(N$3:N$21="P")*(H$3:H$21=H18)*(K$3:K$21&lt;K18)*(I$3:I$21&lt;&gt;I18)),-1*SUMPRODUCT((Q$3:Q$21="")*(P$3:P$21="")*(O$3:O$21="")*(N$3:N$21="P")*(H$3:H$21=H18)*(K$3:K$21&gt;K18)*(I$3:I$21="L5")))+1,""))))</f>
        <v/>
      </c>
      <c r="C18" s="35" t="s">
        <v>386</v>
      </c>
      <c r="D18" t="str">
        <f>IF(E18="","",VLOOKUP(E18,'Coaching Points'!A:B,2,0)&amp;"/"&amp;VLOOKUP(F18,'Coaching Points'!A:B,2,0))</f>
        <v>ON/ON</v>
      </c>
      <c r="E18" s="35" t="s">
        <v>135</v>
      </c>
      <c r="F18" s="35" t="s">
        <v>135</v>
      </c>
      <c r="G18" s="34">
        <v>2009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6" t="s">
        <v>213</v>
      </c>
      <c r="J18" s="40"/>
      <c r="K18" s="4">
        <f>S18+T18+IF(OR(I18="Junior",I18="Senior"),0.0002,IF(OR(I18="L7",I18="L6"),0.0001,0))+MAX(AB18,AD18,AG18)*0.0000001</f>
        <v>67.310100000000006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41.09</v>
      </c>
      <c r="T18" s="4">
        <f>LARGE(CHOOSE({1,2,3,4,5,6},U18,W18,Z18,AB18,AD18,AG18),2)</f>
        <v>26.22</v>
      </c>
      <c r="U18" s="32">
        <v>26.22</v>
      </c>
      <c r="V18" s="37">
        <v>5.4</v>
      </c>
      <c r="W18" s="33"/>
      <c r="X18" s="37"/>
      <c r="Y18" s="4">
        <f>IF(I18="Senior",MAX(U18,W18),U18+W18)</f>
        <v>26.22</v>
      </c>
      <c r="Z18" s="33">
        <v>41.09</v>
      </c>
      <c r="AA18" s="37">
        <v>7.7</v>
      </c>
      <c r="AB18" s="32"/>
      <c r="AC18" s="37"/>
      <c r="AD18" s="33"/>
      <c r="AE18" s="37"/>
      <c r="AF18" s="4">
        <f>IF(I18="Senior",MAX(AB18,AD18),AB18+AD18)</f>
        <v>0</v>
      </c>
      <c r="AG18" s="33"/>
      <c r="AH18" s="37"/>
    </row>
    <row r="19" spans="1:34" x14ac:dyDescent="0.2">
      <c r="A19" s="1" t="str" cm="1">
        <f t="array" ref="A19">IF(J19="","",IF(Q19&lt;&gt;"",SUMPRODUCT((Q$3:Q$21&lt;&gt;"")*(H$3:H$21=H19)*(K$3:K$21&gt;K19)*(J$3:J$21="P"))+1,IF(P19&lt;&gt;"",SUMPRODUCT((P$3:P$21&lt;&gt;"")*(Q$3:Q$21="")*(H$3:H$21=H19)*(K$3:K$21&gt;K19)*(J$3:J$21="P"))+SUMPRODUCT((Q$3:Q$21&lt;&gt;"")*(H$3:H$21=H19)*(J$3:J$21="P"))+1,IF(O19&lt;&gt;"",SUMPRODUCT((O$3:O$21&lt;&gt;"")*(H$3:H$21=H19)*(K$3:K$21&gt;K19)*(J$3:J$21="P"))+1,IF(N19="P",SUMPRODUCT((P$3:P$21&lt;&gt;"")*(Q$3:Q$21="")*(H$3:H$21=H19)*(J$3:J$21="P"))+SUMPRODUCT((Q$3:Q$21&lt;&gt;"")*(H$3:H$21=H19)*(J$3:J$21="P"))+SUMPRODUCT((O$3:O$21&lt;&gt;"")*(H$3:H$21=H19)*(J$3:J$21="P"))+SUMPRODUCT((Q$3:Q$21="")*(P$3:P$21="")*(O$3:O$21="")*(N$3:N$21="P")*(H$3:H$21=H19)*(K$3:K$21&gt;K19)*(J$3:J$21="P"))+IF(I19="L5",SUMPRODUCT((Q$3:Q$21="")*(P$3:P$21="")*(O$3:O$21="")*(N$3:N$21="P")*(H$3:H$21=H19)*(K$3:K$21&lt;K19)*(I$3:I$21&lt;&gt;I19)*(J$3:J$21="P")),-1*SUMPRODUCT((Q$3:Q$21="")*(P$3:P$21="")*(O$3:O$21="")*(N$3:N$21="P")*(H$3:H$21=H19)*(K$3:K$21&gt;K19)*(I$3:I$21="L5")*(J$3:J$21="P")))+1,"")))))</f>
        <v/>
      </c>
      <c r="B19" s="1" t="str" cm="1">
        <f t="array" ref="B19">IF(Q19&lt;&gt;"",SUMPRODUCT((Q$3:Q$21&lt;&gt;"")*(H$3:H$21=H19)*(K$3:K$21&gt;K19))+1,IF(P19&lt;&gt;"",SUMPRODUCT((P$3:P$21&lt;&gt;"")*(Q$3:Q$21="")*(H$3:H$21=H19)*(K$3:K$21&gt;K19))+SUMPRODUCT((Q$3:Q$21&lt;&gt;"")*(H$3:H$21=H19))+1,IF(O19&lt;&gt;"",SUMPRODUCT((O$3:O$21&lt;&gt;"")*(H$3:H$21=H19)*(K$3:K$21&gt;K19))+1,IF(N19="P",SUMPRODUCT((P$3:P$21&lt;&gt;"")*(Q$3:Q$21="")*(H$3:H$21=H19))+SUMPRODUCT((Q$3:Q$21&lt;&gt;"")*(H$3:H$21=H19))+SUMPRODUCT((O$3:O$21&lt;&gt;"")*(H$3:H$21=H19))+SUMPRODUCT((Q$3:Q$21="")*(P$3:P$21="")*(O$3:O$21="")*(N$3:N$21="P")*(H$3:H$21=H19)*(K$3:K$21&gt;K19))+IF(I19="L5",SUMPRODUCT((Q$3:Q$21="")*(P$3:P$21="")*(O$3:O$21="")*(N$3:N$21="P")*(H$3:H$21=H19)*(K$3:K$21&lt;K19)*(I$3:I$21&lt;&gt;I19)),-1*SUMPRODUCT((Q$3:Q$21="")*(P$3:P$21="")*(O$3:O$21="")*(N$3:N$21="P")*(H$3:H$21=H19)*(K$3:K$21&gt;K19)*(I$3:I$21="L5")))+1,""))))</f>
        <v/>
      </c>
      <c r="C19" s="35" t="s">
        <v>445</v>
      </c>
      <c r="D19" t="str">
        <f>IF(E19="","",VLOOKUP(E19,'Coaching Points'!A:B,2,0)&amp;"/"&amp;VLOOKUP(F19,'Coaching Points'!A:B,2,0))</f>
        <v>BC/BC</v>
      </c>
      <c r="E19" s="35" t="s">
        <v>40</v>
      </c>
      <c r="F19" s="35" t="s">
        <v>40</v>
      </c>
      <c r="G19" s="34">
        <v>2009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6" t="s">
        <v>214</v>
      </c>
      <c r="J19" s="40"/>
      <c r="K19" s="4">
        <f>S19+T19+IF(OR(I19="Junior",I19="Senior"),0.0002,IF(OR(I19="L7",I19="L6"),0.0001,0))+MAX(AB19,AD19,AG19)*0.0000001</f>
        <v>38.750002692999999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26.93</v>
      </c>
      <c r="T19" s="4">
        <f>LARGE(CHOOSE({1,2,3,4,5,6},U19,W19,Z19,AB19,AD19,AG19),2)</f>
        <v>11.82</v>
      </c>
      <c r="U19" s="32"/>
      <c r="V19" s="37"/>
      <c r="W19" s="33"/>
      <c r="X19" s="37"/>
      <c r="Y19" s="4">
        <f>IF(I19="Senior",MAX(U19,W19),U19+W19)</f>
        <v>0</v>
      </c>
      <c r="Z19" s="33"/>
      <c r="AA19" s="37"/>
      <c r="AB19" s="32">
        <v>11.82</v>
      </c>
      <c r="AC19" s="37">
        <v>2.9</v>
      </c>
      <c r="AD19" s="33"/>
      <c r="AE19" s="37"/>
      <c r="AF19" s="4">
        <f>IF(I19="Senior",MAX(AB19,AD19),AB19+AD19)</f>
        <v>11.82</v>
      </c>
      <c r="AG19" s="33">
        <v>26.93</v>
      </c>
      <c r="AH19" s="37">
        <v>6.7</v>
      </c>
    </row>
    <row r="20" spans="1:34" x14ac:dyDescent="0.2">
      <c r="A20" s="1" t="str" cm="1">
        <f t="array" ref="A20">IF(J20="","",IF(Q20&lt;&gt;"",SUMPRODUCT((Q$3:Q$21&lt;&gt;"")*(H$3:H$21=H20)*(K$3:K$21&gt;K20)*(J$3:J$21="P"))+1,IF(P20&lt;&gt;"",SUMPRODUCT((P$3:P$21&lt;&gt;"")*(Q$3:Q$21="")*(H$3:H$21=H20)*(K$3:K$21&gt;K20)*(J$3:J$21="P"))+SUMPRODUCT((Q$3:Q$21&lt;&gt;"")*(H$3:H$21=H20)*(J$3:J$21="P"))+1,IF(O20&lt;&gt;"",SUMPRODUCT((O$3:O$21&lt;&gt;"")*(H$3:H$21=H20)*(K$3:K$21&gt;K20)*(J$3:J$21="P"))+1,IF(N20="P",SUMPRODUCT((P$3:P$21&lt;&gt;"")*(Q$3:Q$21="")*(H$3:H$21=H20)*(J$3:J$21="P"))+SUMPRODUCT((Q$3:Q$21&lt;&gt;"")*(H$3:H$21=H20)*(J$3:J$21="P"))+SUMPRODUCT((O$3:O$21&lt;&gt;"")*(H$3:H$21=H20)*(J$3:J$21="P"))+SUMPRODUCT((Q$3:Q$21="")*(P$3:P$21="")*(O$3:O$21="")*(N$3:N$21="P")*(H$3:H$21=H20)*(K$3:K$21&gt;K20)*(J$3:J$21="P"))+IF(I20="L5",SUMPRODUCT((Q$3:Q$21="")*(P$3:P$21="")*(O$3:O$21="")*(N$3:N$21="P")*(H$3:H$21=H20)*(K$3:K$21&lt;K20)*(I$3:I$21&lt;&gt;I20)*(J$3:J$21="P")),-1*SUMPRODUCT((Q$3:Q$21="")*(P$3:P$21="")*(O$3:O$21="")*(N$3:N$21="P")*(H$3:H$21=H20)*(K$3:K$21&gt;K20)*(I$3:I$21="L5")*(J$3:J$21="P")))+1,"")))))</f>
        <v/>
      </c>
      <c r="B20" s="1" t="str" cm="1">
        <f t="array" ref="B20">IF(Q20&lt;&gt;"",SUMPRODUCT((Q$3:Q$21&lt;&gt;"")*(H$3:H$21=H20)*(K$3:K$21&gt;K20))+1,IF(P20&lt;&gt;"",SUMPRODUCT((P$3:P$21&lt;&gt;"")*(Q$3:Q$21="")*(H$3:H$21=H20)*(K$3:K$21&gt;K20))+SUMPRODUCT((Q$3:Q$21&lt;&gt;"")*(H$3:H$21=H20))+1,IF(O20&lt;&gt;"",SUMPRODUCT((O$3:O$21&lt;&gt;"")*(H$3:H$21=H20)*(K$3:K$21&gt;K20))+1,IF(N20="P",SUMPRODUCT((P$3:P$21&lt;&gt;"")*(Q$3:Q$21="")*(H$3:H$21=H20))+SUMPRODUCT((Q$3:Q$21&lt;&gt;"")*(H$3:H$21=H20))+SUMPRODUCT((O$3:O$21&lt;&gt;"")*(H$3:H$21=H20))+SUMPRODUCT((Q$3:Q$21="")*(P$3:P$21="")*(O$3:O$21="")*(N$3:N$21="P")*(H$3:H$21=H20)*(K$3:K$21&gt;K20))+IF(I20="L5",SUMPRODUCT((Q$3:Q$21="")*(P$3:P$21="")*(O$3:O$21="")*(N$3:N$21="P")*(H$3:H$21=H20)*(K$3:K$21&lt;K20)*(I$3:I$21&lt;&gt;I20)),-1*SUMPRODUCT((Q$3:Q$21="")*(P$3:P$21="")*(O$3:O$21="")*(N$3:N$21="P")*(H$3:H$21=H20)*(K$3:K$21&gt;K20)*(I$3:I$21="L5")))+1,""))))</f>
        <v/>
      </c>
      <c r="C20" s="35" t="s">
        <v>380</v>
      </c>
      <c r="D20" t="str">
        <f>IF(E20="","",VLOOKUP(E20,'Coaching Points'!A:B,2,0)&amp;"/"&amp;VLOOKUP(F20,'Coaching Points'!A:B,2,0))</f>
        <v>QC/QC</v>
      </c>
      <c r="E20" s="35" t="s">
        <v>57</v>
      </c>
      <c r="F20" s="35" t="s">
        <v>57</v>
      </c>
      <c r="G20" s="34">
        <v>2011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6" t="s">
        <v>214</v>
      </c>
      <c r="J20" s="40"/>
      <c r="K20" s="4">
        <f>S20+T20+IF(OR(I20="Junior",I20="Senior"),0.0002,IF(OR(I20="L7",I20="L6"),0.0001,0))+MAX(AB20,AD20,AG20)*0.0000001</f>
        <v>84.030004206000001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42.06</v>
      </c>
      <c r="T20" s="4">
        <f>LARGE(CHOOSE({1,2,3,4,5,6},U20,W20,Z20,AB20,AD20,AG20),2)</f>
        <v>41.97</v>
      </c>
      <c r="U20" s="32">
        <v>39.39</v>
      </c>
      <c r="V20" s="37">
        <v>7.4</v>
      </c>
      <c r="W20" s="33"/>
      <c r="X20" s="37"/>
      <c r="Y20" s="4">
        <f>IF(I20="Senior",MAX(U20,W20),U20+W20)</f>
        <v>39.39</v>
      </c>
      <c r="Z20" s="33">
        <v>41.97</v>
      </c>
      <c r="AA20" s="37">
        <v>7.2</v>
      </c>
      <c r="AB20" s="32">
        <v>42.06</v>
      </c>
      <c r="AC20" s="37">
        <v>7.7</v>
      </c>
      <c r="AD20" s="33"/>
      <c r="AE20" s="37"/>
      <c r="AF20" s="4">
        <f>IF(I20="Senior",MAX(AB20,AD20),AB20+AD20)</f>
        <v>42.06</v>
      </c>
      <c r="AG20" s="33">
        <v>41.23</v>
      </c>
      <c r="AH20" s="37">
        <v>7.7</v>
      </c>
    </row>
    <row r="21" spans="1:34" x14ac:dyDescent="0.2">
      <c r="A21" s="1" t="str" cm="1">
        <f t="array" ref="A21">IF(J21="","",IF(Q21&lt;&gt;"",SUMPRODUCT((Q$3:Q$21&lt;&gt;"")*(H$3:H$21=H21)*(K$3:K$21&gt;K21)*(J$3:J$21="P"))+1,IF(P21&lt;&gt;"",SUMPRODUCT((P$3:P$21&lt;&gt;"")*(Q$3:Q$21="")*(H$3:H$21=H21)*(K$3:K$21&gt;K21)*(J$3:J$21="P"))+SUMPRODUCT((Q$3:Q$21&lt;&gt;"")*(H$3:H$21=H21)*(J$3:J$21="P"))+1,IF(O21&lt;&gt;"",SUMPRODUCT((O$3:O$21&lt;&gt;"")*(H$3:H$21=H21)*(K$3:K$21&gt;K21)*(J$3:J$21="P"))+1,IF(N21="P",SUMPRODUCT((P$3:P$21&lt;&gt;"")*(Q$3:Q$21="")*(H$3:H$21=H21)*(J$3:J$21="P"))+SUMPRODUCT((Q$3:Q$21&lt;&gt;"")*(H$3:H$21=H21)*(J$3:J$21="P"))+SUMPRODUCT((O$3:O$21&lt;&gt;"")*(H$3:H$21=H21)*(J$3:J$21="P"))+SUMPRODUCT((Q$3:Q$21="")*(P$3:P$21="")*(O$3:O$21="")*(N$3:N$21="P")*(H$3:H$21=H21)*(K$3:K$21&gt;K21)*(J$3:J$21="P"))+IF(I21="L5",SUMPRODUCT((Q$3:Q$21="")*(P$3:P$21="")*(O$3:O$21="")*(N$3:N$21="P")*(H$3:H$21=H21)*(K$3:K$21&lt;K21)*(I$3:I$21&lt;&gt;I21)*(J$3:J$21="P")),-1*SUMPRODUCT((Q$3:Q$21="")*(P$3:P$21="")*(O$3:O$21="")*(N$3:N$21="P")*(H$3:H$21=H21)*(K$3:K$21&gt;K21)*(I$3:I$21="L5")*(J$3:J$21="P")))+1,"")))))</f>
        <v/>
      </c>
      <c r="B21" s="1" t="str" cm="1">
        <f t="array" ref="B21">IF(Q21&lt;&gt;"",SUMPRODUCT((Q$3:Q$21&lt;&gt;"")*(H$3:H$21=H21)*(K$3:K$21&gt;K21))+1,IF(P21&lt;&gt;"",SUMPRODUCT((P$3:P$21&lt;&gt;"")*(Q$3:Q$21="")*(H$3:H$21=H21)*(K$3:K$21&gt;K21))+SUMPRODUCT((Q$3:Q$21&lt;&gt;"")*(H$3:H$21=H21))+1,IF(O21&lt;&gt;"",SUMPRODUCT((O$3:O$21&lt;&gt;"")*(H$3:H$21=H21)*(K$3:K$21&gt;K21))+1,IF(N21="P",SUMPRODUCT((P$3:P$21&lt;&gt;"")*(Q$3:Q$21="")*(H$3:H$21=H21))+SUMPRODUCT((Q$3:Q$21&lt;&gt;"")*(H$3:H$21=H21))+SUMPRODUCT((O$3:O$21&lt;&gt;"")*(H$3:H$21=H21))+SUMPRODUCT((Q$3:Q$21="")*(P$3:P$21="")*(O$3:O$21="")*(N$3:N$21="P")*(H$3:H$21=H21)*(K$3:K$21&gt;K21))+IF(I21="L5",SUMPRODUCT((Q$3:Q$21="")*(P$3:P$21="")*(O$3:O$21="")*(N$3:N$21="P")*(H$3:H$21=H21)*(K$3:K$21&lt;K21)*(I$3:I$21&lt;&gt;I21)),-1*SUMPRODUCT((Q$3:Q$21="")*(P$3:P$21="")*(O$3:O$21="")*(N$3:N$21="P")*(H$3:H$21=H21)*(K$3:K$21&gt;K21)*(I$3:I$21="L5")))+1,""))))</f>
        <v/>
      </c>
      <c r="C21" s="35" t="s">
        <v>446</v>
      </c>
      <c r="D21" t="str">
        <f>IF(E21="","",VLOOKUP(E21,'Coaching Points'!A:B,2,0)&amp;"/"&amp;VLOOKUP(F21,'Coaching Points'!A:B,2,0))</f>
        <v>ON/ON</v>
      </c>
      <c r="E21" s="35" t="s">
        <v>126</v>
      </c>
      <c r="F21" s="35" t="s">
        <v>76</v>
      </c>
      <c r="G21" s="34">
        <v>2011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13-14</v>
      </c>
      <c r="I21" s="36" t="s">
        <v>214</v>
      </c>
      <c r="J21" s="40"/>
      <c r="K21" s="4">
        <f>S21+T21+IF(OR(I21="Junior",I21="Senior"),0.0002,IF(OR(I21="L7",I21="L6"),0.0001,0))+MAX(AB21,AD21,AG21)*0.0000001</f>
        <v>36.050003605000001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36.049999999999997</v>
      </c>
      <c r="T21" s="4">
        <f>LARGE(CHOOSE({1,2,3,4,5,6},U21,W21,Z21,AB21,AD21,AG21),2)</f>
        <v>0</v>
      </c>
      <c r="U21" s="32"/>
      <c r="V21" s="37"/>
      <c r="W21" s="33"/>
      <c r="X21" s="37"/>
      <c r="Y21" s="4">
        <f>IF(I21="Senior",MAX(U21,W21),U21+W21)</f>
        <v>0</v>
      </c>
      <c r="Z21" s="33"/>
      <c r="AA21" s="37"/>
      <c r="AB21" s="32">
        <v>36.049999999999997</v>
      </c>
      <c r="AC21" s="37">
        <v>7.7</v>
      </c>
      <c r="AD21" s="33"/>
      <c r="AE21" s="37"/>
      <c r="AF21" s="4">
        <f>IF(I21="Senior",MAX(AB21,AD21),AB21+AD21)</f>
        <v>36.049999999999997</v>
      </c>
      <c r="AG21" s="33">
        <v>0</v>
      </c>
      <c r="AH21" s="37">
        <v>0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1">
      <sortCondition descending="1" ref="H1:H22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9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$95&lt;&gt;"")*(G$3:G$95=G3)*(J$3:J$95&gt;J3)*(I$3:I$95="P"))+1,IF(O3&lt;&gt;"",SUMPRODUCT((O$3:O$95&lt;&gt;"")*(P$3:P$95="")*(G$3:G$95=G3)*(J$3:J$95&gt;J3)*(I$3:I$95="P"))+SUMPRODUCT((P$3:P$95&lt;&gt;"")*(G$3:G$95=G3)*(I$3:I$95="P"))+1,IF(N3&lt;&gt;"",SUMPRODUCT((N$3:N$95&lt;&gt;"")*(G$3:G$95=G3)*(J$3:J$95&gt;J3)*(I$3:I$95="P"))+1,IF(M3="P",SUMPRODUCT((O$3:O$95&lt;&gt;"")*(P$3:P$95="")*(G$3:G$95=G3)*(I$3:I$95="P"))+SUMPRODUCT((P$3:P$95&lt;&gt;"")*(G$3:G$95=G3)*(I$3:I$95="P"))+SUMPRODUCT((N$3:N$95&lt;&gt;"")*(G$3:G$95=G3)*(I$3:I$95="P"))+SUMPRODUCT((P$3:P$95="")*(O$3:O$95="")*(N$3:N$95="")*(M$3:M$95="P")*(G$3:G$95=G3)*(J$3:J$95&gt;J3)*(I$3:I$95="P"))+IF(H3="L5",SUMPRODUCT((P$3:P$95="")*(O$3:O$95="")*(N$3:N$95="")*(M$3:M$95="P")*(G$3:G$95=G3)*(J$3:J$95&lt;J3)*(H$3:H$95&lt;&gt;H3)*(I$3:I$95="P")),-1*SUMPRODUCT((P$3:P$95="")*(O$3:O$95="")*(N$3:N$95="")*(M$3:M$95="P")*(G$3:G$95=G3)*(J$3:J$95&gt;J3)*(H$3:H$95="L5")*(I$3:I$95="P")))+1,"")))))</f>
        <v/>
      </c>
      <c r="B3" s="1" cm="1">
        <f t="array" ref="B3">IF(P3&lt;&gt;"",SUMPRODUCT((P$3:P$95&lt;&gt;"")*(G$3:G$95=G3)*(J$3:J$95&gt;J3))+1,IF(O3&lt;&gt;"",SUMPRODUCT((O$3:O$95&lt;&gt;"")*(P$3:P$95="")*(G$3:G$95=G3)*(J$3:J$95&gt;J3))+SUMPRODUCT((P$3:P$95&lt;&gt;"")*(G$3:G$95=G3))+1,IF(N3&lt;&gt;"",SUMPRODUCT((N$3:N$95&lt;&gt;"")*(G$3:G$95=G3)*(J$3:J$95&gt;J3))+1,IF(M3="P",SUMPRODUCT((O$3:O$95&lt;&gt;"")*(P$3:P$95="")*(G$3:G$95=G3))+SUMPRODUCT((P$3:P$95&lt;&gt;"")*(G$3:G$95=G3))+SUMPRODUCT((N$3:N$95&lt;&gt;"")*(G$3:G$95=G3))+SUMPRODUCT((P$3:P$95="")*(O$3:O$95="")*(N$3:N$95="")*(M$3:M$95="P")*(G$3:G$95=G3)*(J$3:J$95&gt;J3))+IF(H3="L5",SUMPRODUCT((P$3:P$95="")*(O$3:O$95="")*(N$3:N$95="")*(M$3:M$95="P")*(G$3:G$95=G3)*(J$3:J$95&lt;J3)*(H$3:H$95&lt;&gt;H3)),-1*SUMPRODUCT((P$3:P$95="")*(O$3:O$95="")*(N$3:N$95="")*(M$3:M$95="P")*(G$3:G$95=G3)*(J$3:J$95&gt;J3)*(H$3:H$95="L5")))+1,""))))</f>
        <v>1</v>
      </c>
      <c r="C3" s="35" t="s">
        <v>71</v>
      </c>
      <c r="D3" t="str">
        <f>IF(E3="","",VLOOKUP(E3,'Coaching Points'!A:B,2,0))</f>
        <v>AB</v>
      </c>
      <c r="E3" s="35" t="s">
        <v>62</v>
      </c>
      <c r="F3" s="34">
        <v>2008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107.30020534000002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3</v>
      </c>
      <c r="Q3" s="1" t="str">
        <f>IF(A3&lt;5,IF(_xlfn.MAXIFS(A:A,G:G,G3)&gt;3,5-A3,_xlfn.MAXIFS(A:A,G:G,G3)+1-A3),"")</f>
        <v/>
      </c>
      <c r="R3" s="4">
        <f>MAX(T3-IF(OR(H3="Senior"),V3,0),W3-IF(OR(H3="Senior"),Y3,0),Z3-IF(OR(H3="Senior"),AB3,0),AC3-IF(OR(H3="Senior"),AE3,0))</f>
        <v>53.900000000000006</v>
      </c>
      <c r="S3" s="4">
        <f>IF(R3=T3-IF(OR(H3="Senior"),V3,0),MAX(W3-IF(OR(H3="Senior"),Y3,0),Z3-IF(OR(H3="Senior"),AB3,0),AC3-IF(OR(H3="Senior"),AE3,0)),IF(R3=W3-IF(OR(H3="Senior"),Y3,0),MAX(T3-IF(OR(H3="Senior"),V3,0),Z3-IF(OR(H3="Senior"),AB3,0),AC3-IF(OR(H3="Senior"),AE3,0)),IF(R3=Z3-IF(OR(H3="Senior"),AB3,0),MAX(T3-IF(OR(H3="Senior"),V3,0),W3-IF(OR(H3="Senior"),Y3,0),AC3-IF(OR(H3="Senior"),AE3,0)),IF(R3=AC3-IF(OR(H3="Senior"),AE3,0),MAX(T3-IF(OR(H3="Senior"),V3,0),W3-IF(OR(H3="Senior"),Y3,0),Z3-IF(OR(H3="Senior"),AB3,0)),0))))</f>
        <v>53.4</v>
      </c>
      <c r="T3" s="32">
        <v>54.2</v>
      </c>
      <c r="U3" s="37">
        <v>16.5</v>
      </c>
      <c r="V3" s="37">
        <v>0.3</v>
      </c>
      <c r="W3" s="33">
        <v>52.5</v>
      </c>
      <c r="X3" s="37">
        <v>15.7</v>
      </c>
      <c r="Y3" s="37">
        <v>0</v>
      </c>
      <c r="Z3" s="32">
        <v>53.4</v>
      </c>
      <c r="AA3" s="37">
        <v>15.7</v>
      </c>
      <c r="AB3" s="37">
        <v>0</v>
      </c>
      <c r="AC3" s="33">
        <v>46.8</v>
      </c>
      <c r="AD3" s="37">
        <v>12.7</v>
      </c>
      <c r="AE3" s="37">
        <v>0.3</v>
      </c>
    </row>
    <row r="4" spans="1:32" x14ac:dyDescent="0.2">
      <c r="A4" s="1" t="str" cm="1">
        <f t="array" ref="A4">IF(I4="","",IF(P4&lt;&gt;"",SUMPRODUCT((P$3:P$95&lt;&gt;"")*(G$3:G$95=G4)*(J$3:J$95&gt;J4)*(I$3:I$95="P"))+1,IF(O4&lt;&gt;"",SUMPRODUCT((O$3:O$95&lt;&gt;"")*(P$3:P$95="")*(G$3:G$95=G4)*(J$3:J$95&gt;J4)*(I$3:I$95="P"))+SUMPRODUCT((P$3:P$95&lt;&gt;"")*(G$3:G$95=G4)*(I$3:I$95="P"))+1,IF(N4&lt;&gt;"",SUMPRODUCT((N$3:N$95&lt;&gt;"")*(G$3:G$95=G4)*(J$3:J$95&gt;J4)*(I$3:I$95="P"))+1,IF(M4="P",SUMPRODUCT((O$3:O$95&lt;&gt;"")*(P$3:P$95="")*(G$3:G$95=G4)*(I$3:I$95="P"))+SUMPRODUCT((P$3:P$95&lt;&gt;"")*(G$3:G$95=G4)*(I$3:I$95="P"))+SUMPRODUCT((N$3:N$95&lt;&gt;"")*(G$3:G$95=G4)*(I$3:I$95="P"))+SUMPRODUCT((P$3:P$95="")*(O$3:O$95="")*(N$3:N$95="")*(M$3:M$95="P")*(G$3:G$95=G4)*(J$3:J$95&gt;J4)*(I$3:I$95="P"))+IF(H4="L5",SUMPRODUCT((P$3:P$95="")*(O$3:O$95="")*(N$3:N$95="")*(M$3:M$95="P")*(G$3:G$95=G4)*(J$3:J$95&lt;J4)*(H$3:H$95&lt;&gt;H4)*(I$3:I$95="P")),-1*SUMPRODUCT((P$3:P$95="")*(O$3:O$95="")*(N$3:N$95="")*(M$3:M$95="P")*(G$3:G$95=G4)*(J$3:J$95&gt;J4)*(H$3:H$95="L5")*(I$3:I$95="P")))+1,"")))))</f>
        <v/>
      </c>
      <c r="B4" s="1" cm="1">
        <f t="array" ref="B4">IF(P4&lt;&gt;"",SUMPRODUCT((P$3:P$95&lt;&gt;"")*(G$3:G$95=G4)*(J$3:J$95&gt;J4))+1,IF(O4&lt;&gt;"",SUMPRODUCT((O$3:O$95&lt;&gt;"")*(P$3:P$95="")*(G$3:G$95=G4)*(J$3:J$95&gt;J4))+SUMPRODUCT((P$3:P$95&lt;&gt;"")*(G$3:G$95=G4))+1,IF(N4&lt;&gt;"",SUMPRODUCT((N$3:N$95&lt;&gt;"")*(G$3:G$95=G4)*(J$3:J$95&gt;J4))+1,IF(M4="P",SUMPRODUCT((O$3:O$95&lt;&gt;"")*(P$3:P$95="")*(G$3:G$95=G4))+SUMPRODUCT((P$3:P$95&lt;&gt;"")*(G$3:G$95=G4))+SUMPRODUCT((N$3:N$95&lt;&gt;"")*(G$3:G$95=G4))+SUMPRODUCT((P$3:P$95="")*(O$3:O$95="")*(N$3:N$95="")*(M$3:M$95="P")*(G$3:G$95=G4)*(J$3:J$95&gt;J4))+IF(H4="L5",SUMPRODUCT((P$3:P$95="")*(O$3:O$95="")*(N$3:N$95="")*(M$3:M$95="P")*(G$3:G$95=G4)*(J$3:J$95&lt;J4)*(H$3:H$95&lt;&gt;H4)),-1*SUMPRODUCT((P$3:P$95="")*(O$3:O$95="")*(N$3:N$95="")*(M$3:M$95="P")*(G$3:G$95=G4)*(J$3:J$95&gt;J4)*(H$3:H$95="L5")))+1,""))))</f>
        <v>2</v>
      </c>
      <c r="C4" s="35" t="s">
        <v>80</v>
      </c>
      <c r="D4" t="str">
        <f>IF(E4="","",VLOOKUP(E4,'Coaching Points'!A:B,2,0))</f>
        <v>AB</v>
      </c>
      <c r="E4" s="35" t="s">
        <v>28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106.90020544000001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6</v>
      </c>
      <c r="Q4" s="1" t="str">
        <f>IF(A4&lt;5,IF(_xlfn.MAXIFS(A:A,G:G,G4)&gt;3,5-A4,_xlfn.MAXIFS(A:A,G:G,G4)+1-A4),"")</f>
        <v/>
      </c>
      <c r="R4" s="4">
        <f>MAX(T4-IF(OR(H4="Senior"),V4,0),W4-IF(OR(H4="Senior"),Y4,0),Z4-IF(OR(H4="Senior"),AB4,0),AC4-IF(OR(H4="Senior"),AE4,0))</f>
        <v>54.1</v>
      </c>
      <c r="S4" s="4">
        <f>IF(R4=T4-IF(OR(H4="Senior"),V4,0),MAX(W4-IF(OR(H4="Senior"),Y4,0),Z4-IF(OR(H4="Senior"),AB4,0),AC4-IF(OR(H4="Senior"),AE4,0)),IF(R4=W4-IF(OR(H4="Senior"),Y4,0),MAX(T4-IF(OR(H4="Senior"),V4,0),Z4-IF(OR(H4="Senior"),AB4,0),AC4-IF(OR(H4="Senior"),AE4,0)),IF(R4=Z4-IF(OR(H4="Senior"),AB4,0),MAX(T4-IF(OR(H4="Senior"),V4,0),W4-IF(OR(H4="Senior"),Y4,0),AC4-IF(OR(H4="Senior"),AE4,0)),IF(R4=AC4-IF(OR(H4="Senior"),AE4,0),MAX(T4-IF(OR(H4="Senior"),V4,0),W4-IF(OR(H4="Senior"),Y4,0),Z4-IF(OR(H4="Senior"),AB4,0)),0))))</f>
        <v>52.800000000000004</v>
      </c>
      <c r="T4" s="32">
        <v>50.9</v>
      </c>
      <c r="U4" s="37">
        <v>15.7</v>
      </c>
      <c r="V4" s="37">
        <v>0</v>
      </c>
      <c r="W4" s="33">
        <v>49.5</v>
      </c>
      <c r="X4" s="37">
        <v>14.9</v>
      </c>
      <c r="Y4" s="37">
        <v>0</v>
      </c>
      <c r="Z4" s="32">
        <v>54.4</v>
      </c>
      <c r="AA4" s="37">
        <v>17.100000000000001</v>
      </c>
      <c r="AB4" s="37">
        <v>0.3</v>
      </c>
      <c r="AC4" s="33">
        <v>53.1</v>
      </c>
      <c r="AD4" s="37">
        <v>17.100000000000001</v>
      </c>
      <c r="AE4" s="37">
        <v>0.3</v>
      </c>
    </row>
    <row r="5" spans="1:32" x14ac:dyDescent="0.2">
      <c r="A5" s="1" t="str" cm="1">
        <f t="array" ref="A5">IF(I5="","",IF(P5&lt;&gt;"",SUMPRODUCT((P$3:P$95&lt;&gt;"")*(G$3:G$95=G5)*(J$3:J$95&gt;J5)*(I$3:I$95="P"))+1,IF(O5&lt;&gt;"",SUMPRODUCT((O$3:O$95&lt;&gt;"")*(P$3:P$95="")*(G$3:G$95=G5)*(J$3:J$95&gt;J5)*(I$3:I$95="P"))+SUMPRODUCT((P$3:P$95&lt;&gt;"")*(G$3:G$95=G5)*(I$3:I$95="P"))+1,IF(N5&lt;&gt;"",SUMPRODUCT((N$3:N$95&lt;&gt;"")*(G$3:G$95=G5)*(J$3:J$95&gt;J5)*(I$3:I$95="P"))+1,IF(M5="P",SUMPRODUCT((O$3:O$95&lt;&gt;"")*(P$3:P$95="")*(G$3:G$95=G5)*(I$3:I$95="P"))+SUMPRODUCT((P$3:P$95&lt;&gt;"")*(G$3:G$95=G5)*(I$3:I$95="P"))+SUMPRODUCT((N$3:N$95&lt;&gt;"")*(G$3:G$95=G5)*(I$3:I$95="P"))+SUMPRODUCT((P$3:P$95="")*(O$3:O$95="")*(N$3:N$95="")*(M$3:M$95="P")*(G$3:G$95=G5)*(J$3:J$95&gt;J5)*(I$3:I$95="P"))+IF(H5="L5",SUMPRODUCT((P$3:P$95="")*(O$3:O$95="")*(N$3:N$95="")*(M$3:M$95="P")*(G$3:G$95=G5)*(J$3:J$95&lt;J5)*(H$3:H$95&lt;&gt;H5)*(I$3:I$95="P")),-1*SUMPRODUCT((P$3:P$95="")*(O$3:O$95="")*(N$3:N$95="")*(M$3:M$95="P")*(G$3:G$95=G5)*(J$3:J$95&gt;J5)*(H$3:H$95="L5")*(I$3:I$95="P")))+1,"")))))</f>
        <v/>
      </c>
      <c r="B5" s="1" cm="1">
        <f t="array" ref="B5">IF(P5&lt;&gt;"",SUMPRODUCT((P$3:P$95&lt;&gt;"")*(G$3:G$95=G5)*(J$3:J$95&gt;J5))+1,IF(O5&lt;&gt;"",SUMPRODUCT((O$3:O$95&lt;&gt;"")*(P$3:P$95="")*(G$3:G$95=G5)*(J$3:J$95&gt;J5))+SUMPRODUCT((P$3:P$95&lt;&gt;"")*(G$3:G$95=G5))+1,IF(N5&lt;&gt;"",SUMPRODUCT((N$3:N$95&lt;&gt;"")*(G$3:G$95=G5)*(J$3:J$95&gt;J5))+1,IF(M5="P",SUMPRODUCT((O$3:O$95&lt;&gt;"")*(P$3:P$95="")*(G$3:G$95=G5))+SUMPRODUCT((P$3:P$95&lt;&gt;"")*(G$3:G$95=G5))+SUMPRODUCT((N$3:N$95&lt;&gt;"")*(G$3:G$95=G5))+SUMPRODUCT((P$3:P$95="")*(O$3:O$95="")*(N$3:N$95="")*(M$3:M$95="P")*(G$3:G$95=G5)*(J$3:J$95&gt;J5))+IF(H5="L5",SUMPRODUCT((P$3:P$95="")*(O$3:O$95="")*(N$3:N$95="")*(M$3:M$95="P")*(G$3:G$95=G5)*(J$3:J$95&lt;J5)*(H$3:H$95&lt;&gt;H5)),-1*SUMPRODUCT((P$3:P$95="")*(O$3:O$95="")*(N$3:N$95="")*(M$3:M$95="P")*(G$3:G$95=G5)*(J$3:J$95&gt;J5)*(H$3:H$95="L5")))+1,""))))</f>
        <v>3</v>
      </c>
      <c r="C5" s="35" t="s">
        <v>119</v>
      </c>
      <c r="D5" t="str">
        <f>IF(E5="","",VLOOKUP(E5,'Coaching Points'!A:B,2,0))</f>
        <v>AB</v>
      </c>
      <c r="E5" s="35" t="s">
        <v>62</v>
      </c>
      <c r="F5" s="34">
        <v>2007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105.80020531000002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7</v>
      </c>
      <c r="Q5" s="1" t="str">
        <f>IF(A5&lt;5,IF(_xlfn.MAXIFS(A:A,G:G,G5)&gt;3,5-A5,_xlfn.MAXIFS(A:A,G:G,G5)+1-A5),"")</f>
        <v/>
      </c>
      <c r="R5" s="4">
        <f>MAX(T5-IF(OR(H5="Senior"),V5,0),W5-IF(OR(H5="Senior"),Y5,0),Z5-IF(OR(H5="Senior"),AB5,0),AC5-IF(OR(H5="Senior"),AE5,0))</f>
        <v>53.1</v>
      </c>
      <c r="S5" s="4">
        <f>IF(R5=T5-IF(OR(H5="Senior"),V5,0),MAX(W5-IF(OR(H5="Senior"),Y5,0),Z5-IF(OR(H5="Senior"),AB5,0),AC5-IF(OR(H5="Senior"),AE5,0)),IF(R5=W5-IF(OR(H5="Senior"),Y5,0),MAX(T5-IF(OR(H5="Senior"),V5,0),Z5-IF(OR(H5="Senior"),AB5,0),AC5-IF(OR(H5="Senior"),AE5,0)),IF(R5=Z5-IF(OR(H5="Senior"),AB5,0),MAX(T5-IF(OR(H5="Senior"),V5,0),W5-IF(OR(H5="Senior"),Y5,0),AC5-IF(OR(H5="Senior"),AE5,0)),IF(R5=AC5-IF(OR(H5="Senior"),AE5,0),MAX(T5-IF(OR(H5="Senior"),V5,0),W5-IF(OR(H5="Senior"),Y5,0),Z5-IF(OR(H5="Senior"),AB5,0)),0))))</f>
        <v>52.7</v>
      </c>
      <c r="T5" s="32">
        <v>52.7</v>
      </c>
      <c r="U5" s="37">
        <v>16.100000000000001</v>
      </c>
      <c r="V5" s="37">
        <v>0</v>
      </c>
      <c r="W5" s="33">
        <v>52.1</v>
      </c>
      <c r="X5" s="37">
        <v>16.100000000000001</v>
      </c>
      <c r="Y5" s="37">
        <v>0</v>
      </c>
      <c r="Z5" s="32">
        <v>53.1</v>
      </c>
      <c r="AA5" s="37">
        <v>16.100000000000001</v>
      </c>
      <c r="AB5" s="37">
        <v>0</v>
      </c>
      <c r="AC5" s="33">
        <v>52.3</v>
      </c>
      <c r="AD5" s="37">
        <v>16.100000000000001</v>
      </c>
      <c r="AE5" s="37">
        <v>0</v>
      </c>
    </row>
    <row r="6" spans="1:32" x14ac:dyDescent="0.2">
      <c r="A6" s="1" t="str" cm="1">
        <f t="array" ref="A6">IF(I6="","",IF(P6&lt;&gt;"",SUMPRODUCT((P$3:P$95&lt;&gt;"")*(G$3:G$95=G6)*(J$3:J$95&gt;J6)*(I$3:I$95="P"))+1,IF(O6&lt;&gt;"",SUMPRODUCT((O$3:O$95&lt;&gt;"")*(P$3:P$95="")*(G$3:G$95=G6)*(J$3:J$95&gt;J6)*(I$3:I$95="P"))+SUMPRODUCT((P$3:P$95&lt;&gt;"")*(G$3:G$95=G6)*(I$3:I$95="P"))+1,IF(N6&lt;&gt;"",SUMPRODUCT((N$3:N$95&lt;&gt;"")*(G$3:G$95=G6)*(J$3:J$95&gt;J6)*(I$3:I$95="P"))+1,IF(M6="P",SUMPRODUCT((O$3:O$95&lt;&gt;"")*(P$3:P$95="")*(G$3:G$95=G6)*(I$3:I$95="P"))+SUMPRODUCT((P$3:P$95&lt;&gt;"")*(G$3:G$95=G6)*(I$3:I$95="P"))+SUMPRODUCT((N$3:N$95&lt;&gt;"")*(G$3:G$95=G6)*(I$3:I$95="P"))+SUMPRODUCT((P$3:P$95="")*(O$3:O$95="")*(N$3:N$95="")*(M$3:M$95="P")*(G$3:G$95=G6)*(J$3:J$95&gt;J6)*(I$3:I$95="P"))+IF(H6="L5",SUMPRODUCT((P$3:P$95="")*(O$3:O$95="")*(N$3:N$95="")*(M$3:M$95="P")*(G$3:G$95=G6)*(J$3:J$95&lt;J6)*(H$3:H$95&lt;&gt;H6)*(I$3:I$95="P")),-1*SUMPRODUCT((P$3:P$95="")*(O$3:O$95="")*(N$3:N$95="")*(M$3:M$95="P")*(G$3:G$95=G6)*(J$3:J$95&gt;J6)*(H$3:H$95="L5")*(I$3:I$95="P")))+1,"")))))</f>
        <v/>
      </c>
      <c r="B6" s="1" cm="1">
        <f t="array" ref="B6">IF(P6&lt;&gt;"",SUMPRODUCT((P$3:P$95&lt;&gt;"")*(G$3:G$95=G6)*(J$3:J$95&gt;J6))+1,IF(O6&lt;&gt;"",SUMPRODUCT((O$3:O$95&lt;&gt;"")*(P$3:P$95="")*(G$3:G$95=G6)*(J$3:J$95&gt;J6))+SUMPRODUCT((P$3:P$95&lt;&gt;"")*(G$3:G$95=G6))+1,IF(N6&lt;&gt;"",SUMPRODUCT((N$3:N$95&lt;&gt;"")*(G$3:G$95=G6)*(J$3:J$95&gt;J6))+1,IF(M6="P",SUMPRODUCT((O$3:O$95&lt;&gt;"")*(P$3:P$95="")*(G$3:G$95=G6))+SUMPRODUCT((P$3:P$95&lt;&gt;"")*(G$3:G$95=G6))+SUMPRODUCT((N$3:N$95&lt;&gt;"")*(G$3:G$95=G6))+SUMPRODUCT((P$3:P$95="")*(O$3:O$95="")*(N$3:N$95="")*(M$3:M$95="P")*(G$3:G$95=G6)*(J$3:J$95&gt;J6))+IF(H6="L5",SUMPRODUCT((P$3:P$95="")*(O$3:O$95="")*(N$3:N$95="")*(M$3:M$95="P")*(G$3:G$95=G6)*(J$3:J$95&lt;J6)*(H$3:H$95&lt;&gt;H6)),-1*SUMPRODUCT((P$3:P$95="")*(O$3:O$95="")*(N$3:N$95="")*(M$3:M$95="P")*(G$3:G$95=G6)*(J$3:J$95&gt;J6)*(H$3:H$95="L5")))+1,""))))</f>
        <v>4</v>
      </c>
      <c r="C6" s="35" t="s">
        <v>82</v>
      </c>
      <c r="D6" t="str">
        <f>IF(E6="","",VLOOKUP(E6,'Coaching Points'!A:B,2,0))</f>
        <v>BC</v>
      </c>
      <c r="E6" s="35" t="s">
        <v>40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105.70020504000001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4</v>
      </c>
      <c r="Q6" s="1" t="str">
        <f>IF(A6&lt;5,IF(_xlfn.MAXIFS(A:A,G:G,G6)&gt;3,5-A6,_xlfn.MAXIFS(A:A,G:G,G6)+1-A6),"")</f>
        <v/>
      </c>
      <c r="R6" s="4">
        <f>MAX(T6-IF(OR(H6="Senior"),V6,0),W6-IF(OR(H6="Senior"),Y6,0),Z6-IF(OR(H6="Senior"),AB6,0),AC6-IF(OR(H6="Senior"),AE6,0))</f>
        <v>53.4</v>
      </c>
      <c r="S6" s="4">
        <f>IF(R6=T6-IF(OR(H6="Senior"),V6,0),MAX(W6-IF(OR(H6="Senior"),Y6,0),Z6-IF(OR(H6="Senior"),AB6,0),AC6-IF(OR(H6="Senior"),AE6,0)),IF(R6=W6-IF(OR(H6="Senior"),Y6,0),MAX(T6-IF(OR(H6="Senior"),V6,0),Z6-IF(OR(H6="Senior"),AB6,0),AC6-IF(OR(H6="Senior"),AE6,0)),IF(R6=Z6-IF(OR(H6="Senior"),AB6,0),MAX(T6-IF(OR(H6="Senior"),V6,0),W6-IF(OR(H6="Senior"),Y6,0),AC6-IF(OR(H6="Senior"),AE6,0)),IF(R6=AC6-IF(OR(H6="Senior"),AE6,0),MAX(T6-IF(OR(H6="Senior"),V6,0),W6-IF(OR(H6="Senior"),Y6,0),Z6-IF(OR(H6="Senior"),AB6,0)),0))))</f>
        <v>52.300000000000004</v>
      </c>
      <c r="T6" s="32">
        <v>52.6</v>
      </c>
      <c r="U6" s="37">
        <v>16.399999999999999</v>
      </c>
      <c r="V6" s="37">
        <v>0.3</v>
      </c>
      <c r="W6" s="33">
        <v>54</v>
      </c>
      <c r="X6" s="37">
        <v>17.3</v>
      </c>
      <c r="Y6" s="37">
        <v>0.6</v>
      </c>
      <c r="Z6" s="32">
        <v>50.4</v>
      </c>
      <c r="AA6" s="37">
        <v>14.9</v>
      </c>
      <c r="AB6" s="37">
        <v>0.3</v>
      </c>
      <c r="AC6" s="33">
        <v>25.7</v>
      </c>
      <c r="AD6" s="37">
        <v>7.6</v>
      </c>
      <c r="AE6" s="37">
        <v>0</v>
      </c>
    </row>
    <row r="7" spans="1:32" x14ac:dyDescent="0.2">
      <c r="A7" s="1" t="str" cm="1">
        <f t="array" ref="A7">IF(I7="","",IF(P7&lt;&gt;"",SUMPRODUCT((P$3:P$95&lt;&gt;"")*(G$3:G$95=G7)*(J$3:J$95&gt;J7)*(I$3:I$95="P"))+1,IF(O7&lt;&gt;"",SUMPRODUCT((O$3:O$95&lt;&gt;"")*(P$3:P$95="")*(G$3:G$95=G7)*(J$3:J$95&gt;J7)*(I$3:I$95="P"))+SUMPRODUCT((P$3:P$95&lt;&gt;"")*(G$3:G$95=G7)*(I$3:I$95="P"))+1,IF(N7&lt;&gt;"",SUMPRODUCT((N$3:N$95&lt;&gt;"")*(G$3:G$95=G7)*(J$3:J$95&gt;J7)*(I$3:I$95="P"))+1,IF(M7="P",SUMPRODUCT((O$3:O$95&lt;&gt;"")*(P$3:P$95="")*(G$3:G$95=G7)*(I$3:I$95="P"))+SUMPRODUCT((P$3:P$95&lt;&gt;"")*(G$3:G$95=G7)*(I$3:I$95="P"))+SUMPRODUCT((N$3:N$95&lt;&gt;"")*(G$3:G$95=G7)*(I$3:I$95="P"))+SUMPRODUCT((P$3:P$95="")*(O$3:O$95="")*(N$3:N$95="")*(M$3:M$95="P")*(G$3:G$95=G7)*(J$3:J$95&gt;J7)*(I$3:I$95="P"))+IF(H7="L5",SUMPRODUCT((P$3:P$95="")*(O$3:O$95="")*(N$3:N$95="")*(M$3:M$95="P")*(G$3:G$95=G7)*(J$3:J$95&lt;J7)*(H$3:H$95&lt;&gt;H7)*(I$3:I$95="P")),-1*SUMPRODUCT((P$3:P$95="")*(O$3:O$95="")*(N$3:N$95="")*(M$3:M$95="P")*(G$3:G$95=G7)*(J$3:J$95&gt;J7)*(H$3:H$95="L5")*(I$3:I$95="P")))+1,"")))))</f>
        <v/>
      </c>
      <c r="B7" s="1" cm="1">
        <f t="array" ref="B7">IF(P7&lt;&gt;"",SUMPRODUCT((P$3:P$95&lt;&gt;"")*(G$3:G$95=G7)*(J$3:J$95&gt;J7))+1,IF(O7&lt;&gt;"",SUMPRODUCT((O$3:O$95&lt;&gt;"")*(P$3:P$95="")*(G$3:G$95=G7)*(J$3:J$95&gt;J7))+SUMPRODUCT((P$3:P$95&lt;&gt;"")*(G$3:G$95=G7))+1,IF(N7&lt;&gt;"",SUMPRODUCT((N$3:N$95&lt;&gt;"")*(G$3:G$95=G7)*(J$3:J$95&gt;J7))+1,IF(M7="P",SUMPRODUCT((O$3:O$95&lt;&gt;"")*(P$3:P$95="")*(G$3:G$95=G7))+SUMPRODUCT((P$3:P$95&lt;&gt;"")*(G$3:G$95=G7))+SUMPRODUCT((N$3:N$95&lt;&gt;"")*(G$3:G$95=G7))+SUMPRODUCT((P$3:P$95="")*(O$3:O$95="")*(N$3:N$95="")*(M$3:M$95="P")*(G$3:G$95=G7)*(J$3:J$95&gt;J7))+IF(H7="L5",SUMPRODUCT((P$3:P$95="")*(O$3:O$95="")*(N$3:N$95="")*(M$3:M$95="P")*(G$3:G$95=G7)*(J$3:J$95&lt;J7)*(H$3:H$95&lt;&gt;H7)),-1*SUMPRODUCT((P$3:P$95="")*(O$3:O$95="")*(N$3:N$95="")*(M$3:M$95="P")*(G$3:G$95=G7)*(J$3:J$95&gt;J7)*(H$3:H$95="L5")))+1,""))))</f>
        <v>5</v>
      </c>
      <c r="C7" s="35" t="s">
        <v>114</v>
      </c>
      <c r="D7" t="str">
        <f>IF(E7="","",VLOOKUP(E7,'Coaching Points'!A:B,2,0))</f>
        <v>QC</v>
      </c>
      <c r="E7" s="35" t="s">
        <v>3</v>
      </c>
      <c r="F7" s="34">
        <v>2006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103.20020448000001</v>
      </c>
      <c r="K7" s="3" t="str">
        <f>IF(G7="Not Age Eligible","",IF(MAX(T7,W7,Z7,AC7)&gt;=LOOKUP(G7,'Qualifying Scores'!$A$4:$A$7,'Qualifying Scores'!$F$4:$F$7),"P",""))</f>
        <v>P</v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>P</v>
      </c>
      <c r="P7" s="36">
        <v>8</v>
      </c>
      <c r="Q7" s="1" t="str">
        <f>IF(A7&lt;5,IF(_xlfn.MAXIFS(A:A,G:G,G7)&gt;3,5-A7,_xlfn.MAXIFS(A:A,G:G,G7)+1-A7),"")</f>
        <v/>
      </c>
      <c r="R7" s="4">
        <f>MAX(T7-IF(OR(H7="Senior"),V7,0),W7-IF(OR(H7="Senior"),Y7,0),Z7-IF(OR(H7="Senior"),AB7,0),AC7-IF(OR(H7="Senior"),AE7,0))</f>
        <v>53</v>
      </c>
      <c r="S7" s="4">
        <f>IF(R7=T7-IF(OR(H7="Senior"),V7,0),MAX(W7-IF(OR(H7="Senior"),Y7,0),Z7-IF(OR(H7="Senior"),AB7,0),AC7-IF(OR(H7="Senior"),AE7,0)),IF(R7=W7-IF(OR(H7="Senior"),Y7,0),MAX(T7-IF(OR(H7="Senior"),V7,0),Z7-IF(OR(H7="Senior"),AB7,0),AC7-IF(OR(H7="Senior"),AE7,0)),IF(R7=Z7-IF(OR(H7="Senior"),AB7,0),MAX(T7-IF(OR(H7="Senior"),V7,0),W7-IF(OR(H7="Senior"),Y7,0),AC7-IF(OR(H7="Senior"),AE7,0)),IF(R7=AC7-IF(OR(H7="Senior"),AE7,0),MAX(T7-IF(OR(H7="Senior"),V7,0),W7-IF(OR(H7="Senior"),Y7,0),Z7-IF(OR(H7="Senior"),AB7,0)),0))))</f>
        <v>50.2</v>
      </c>
      <c r="T7" s="32">
        <v>53</v>
      </c>
      <c r="U7" s="37">
        <v>15.7</v>
      </c>
      <c r="V7" s="37">
        <v>0</v>
      </c>
      <c r="W7" s="33">
        <v>50.5</v>
      </c>
      <c r="X7" s="37">
        <v>15.6</v>
      </c>
      <c r="Y7" s="37">
        <v>0.3</v>
      </c>
      <c r="Z7" s="32">
        <v>44.8</v>
      </c>
      <c r="AA7" s="37">
        <v>12</v>
      </c>
      <c r="AB7" s="37">
        <v>0</v>
      </c>
      <c r="AC7" s="33"/>
      <c r="AD7" s="37"/>
      <c r="AE7" s="37"/>
    </row>
    <row r="8" spans="1:32" x14ac:dyDescent="0.2">
      <c r="A8" s="1" t="str" cm="1">
        <f t="array" ref="A8">IF(I8="","",IF(P8&lt;&gt;"",SUMPRODUCT((P$3:P$95&lt;&gt;"")*(G$3:G$95=G8)*(J$3:J$95&gt;J8)*(I$3:I$95="P"))+1,IF(O8&lt;&gt;"",SUMPRODUCT((O$3:O$95&lt;&gt;"")*(P$3:P$95="")*(G$3:G$95=G8)*(J$3:J$95&gt;J8)*(I$3:I$95="P"))+SUMPRODUCT((P$3:P$95&lt;&gt;"")*(G$3:G$95=G8)*(I$3:I$95="P"))+1,IF(N8&lt;&gt;"",SUMPRODUCT((N$3:N$95&lt;&gt;"")*(G$3:G$95=G8)*(J$3:J$95&gt;J8)*(I$3:I$95="P"))+1,IF(M8="P",SUMPRODUCT((O$3:O$95&lt;&gt;"")*(P$3:P$95="")*(G$3:G$95=G8)*(I$3:I$95="P"))+SUMPRODUCT((P$3:P$95&lt;&gt;"")*(G$3:G$95=G8)*(I$3:I$95="P"))+SUMPRODUCT((N$3:N$95&lt;&gt;"")*(G$3:G$95=G8)*(I$3:I$95="P"))+SUMPRODUCT((P$3:P$95="")*(O$3:O$95="")*(N$3:N$95="")*(M$3:M$95="P")*(G$3:G$95=G8)*(J$3:J$95&gt;J8)*(I$3:I$95="P"))+IF(H8="L5",SUMPRODUCT((P$3:P$95="")*(O$3:O$95="")*(N$3:N$95="")*(M$3:M$95="P")*(G$3:G$95=G8)*(J$3:J$95&lt;J8)*(H$3:H$95&lt;&gt;H8)*(I$3:I$95="P")),-1*SUMPRODUCT((P$3:P$95="")*(O$3:O$95="")*(N$3:N$95="")*(M$3:M$95="P")*(G$3:G$95=G8)*(J$3:J$95&gt;J8)*(H$3:H$95="L5")*(I$3:I$95="P")))+1,"")))))</f>
        <v/>
      </c>
      <c r="B8" s="1" cm="1">
        <f t="array" ref="B8">IF(P8&lt;&gt;"",SUMPRODUCT((P$3:P$95&lt;&gt;"")*(G$3:G$95=G8)*(J$3:J$95&gt;J8))+1,IF(O8&lt;&gt;"",SUMPRODUCT((O$3:O$95&lt;&gt;"")*(P$3:P$95="")*(G$3:G$95=G8)*(J$3:J$95&gt;J8))+SUMPRODUCT((P$3:P$95&lt;&gt;"")*(G$3:G$95=G8))+1,IF(N8&lt;&gt;"",SUMPRODUCT((N$3:N$95&lt;&gt;"")*(G$3:G$95=G8)*(J$3:J$95&gt;J8))+1,IF(M8="P",SUMPRODUCT((O$3:O$95&lt;&gt;"")*(P$3:P$95="")*(G$3:G$95=G8))+SUMPRODUCT((P$3:P$95&lt;&gt;"")*(G$3:G$95=G8))+SUMPRODUCT((N$3:N$95&lt;&gt;"")*(G$3:G$95=G8))+SUMPRODUCT((P$3:P$95="")*(O$3:O$95="")*(N$3:N$95="")*(M$3:M$95="P")*(G$3:G$95=G8)*(J$3:J$95&gt;J8))+IF(H8="L5",SUMPRODUCT((P$3:P$95="")*(O$3:O$95="")*(N$3:N$95="")*(M$3:M$95="P")*(G$3:G$95=G8)*(J$3:J$95&lt;J8)*(H$3:H$95&lt;&gt;H8)),-1*SUMPRODUCT((P$3:P$95="")*(O$3:O$95="")*(N$3:N$95="")*(M$3:M$95="P")*(G$3:G$95=G8)*(J$3:J$95&gt;J8)*(H$3:H$95="L5")))+1,""))))</f>
        <v>6</v>
      </c>
      <c r="C8" s="35" t="s">
        <v>185</v>
      </c>
      <c r="D8" t="str">
        <f>IF(E8="","",VLOOKUP(E8,'Coaching Points'!A:B,2,0))</f>
        <v>ON</v>
      </c>
      <c r="E8" s="35" t="s">
        <v>45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>R8+S8+IF(OR(H8="Junior",H8="Senior"),0.0002,IF(OR(H8="L7",H8="L6"),0.0001,0))+MAX(Z8,AC8)*0.0000001</f>
        <v>102.60010513</v>
      </c>
      <c r="K8" s="3" t="str">
        <f>IF(G8="Not Age Eligible","",IF(MAX(T8,W8,Z8,AC8)&gt;=LOOKUP(G8,'Qualifying Scores'!$A$4:$A$7,'Qualifying Scores'!$F$4:$F$7),"P",""))</f>
        <v>P</v>
      </c>
      <c r="L8" s="3" t="str">
        <f>IF(G8="Not Age Eligible","",IF(MAX(U8,X8,AA8,AD8)&gt;=LOOKUP(G8,'Qualifying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>P</v>
      </c>
      <c r="O8" s="36">
        <v>3</v>
      </c>
      <c r="Q8" s="1" t="str">
        <f>IF(A8&lt;5,IF(_xlfn.MAXIFS(A:A,G:G,G8)&gt;3,5-A8,_xlfn.MAXIFS(A:A,G:G,G8)+1-A8),"")</f>
        <v/>
      </c>
      <c r="R8" s="4">
        <f>MAX(T8-IF(OR(H8="Senior"),V8,0),W8-IF(OR(H8="Senior"),Y8,0),Z8-IF(OR(H8="Senior"),AB8,0),AC8-IF(OR(H8="Senior"),AE8,0))</f>
        <v>51.3</v>
      </c>
      <c r="S8" s="4">
        <f>IF(R8=T8-IF(OR(H8="Senior"),V8,0),MAX(W8-IF(OR(H8="Senior"),Y8,0),Z8-IF(OR(H8="Senior"),AB8,0),AC8-IF(OR(H8="Senior"),AE8,0)),IF(R8=W8-IF(OR(H8="Senior"),Y8,0),MAX(T8-IF(OR(H8="Senior"),V8,0),Z8-IF(OR(H8="Senior"),AB8,0),AC8-IF(OR(H8="Senior"),AE8,0)),IF(R8=Z8-IF(OR(H8="Senior"),AB8,0),MAX(T8-IF(OR(H8="Senior"),V8,0),W8-IF(OR(H8="Senior"),Y8,0),AC8-IF(OR(H8="Senior"),AE8,0)),IF(R8=AC8-IF(OR(H8="Senior"),AE8,0),MAX(T8-IF(OR(H8="Senior"),V8,0),W8-IF(OR(H8="Senior"),Y8,0),Z8-IF(OR(H8="Senior"),AB8,0)),0))))</f>
        <v>51.3</v>
      </c>
      <c r="T8" s="32">
        <v>50.7</v>
      </c>
      <c r="U8" s="37">
        <v>13.2</v>
      </c>
      <c r="V8" s="37">
        <v>0</v>
      </c>
      <c r="W8" s="33">
        <v>22.1</v>
      </c>
      <c r="X8" s="37">
        <v>6</v>
      </c>
      <c r="Y8" s="37">
        <v>0</v>
      </c>
      <c r="Z8" s="32">
        <v>51.3</v>
      </c>
      <c r="AA8" s="37">
        <v>14</v>
      </c>
      <c r="AB8" s="37">
        <v>0</v>
      </c>
      <c r="AC8" s="33">
        <v>51.3</v>
      </c>
      <c r="AD8" s="37">
        <v>14.8</v>
      </c>
      <c r="AE8" s="37">
        <v>0</v>
      </c>
    </row>
    <row r="9" spans="1:32" x14ac:dyDescent="0.2">
      <c r="A9" s="1" t="str" cm="1">
        <f t="array" ref="A9">IF(I9="","",IF(P9&lt;&gt;"",SUMPRODUCT((P$3:P$95&lt;&gt;"")*(G$3:G$95=G9)*(J$3:J$95&gt;J9)*(I$3:I$95="P"))+1,IF(O9&lt;&gt;"",SUMPRODUCT((O$3:O$95&lt;&gt;"")*(P$3:P$95="")*(G$3:G$95=G9)*(J$3:J$95&gt;J9)*(I$3:I$95="P"))+SUMPRODUCT((P$3:P$95&lt;&gt;"")*(G$3:G$95=G9)*(I$3:I$95="P"))+1,IF(N9&lt;&gt;"",SUMPRODUCT((N$3:N$95&lt;&gt;"")*(G$3:G$95=G9)*(J$3:J$95&gt;J9)*(I$3:I$95="P"))+1,IF(M9="P",SUMPRODUCT((O$3:O$95&lt;&gt;"")*(P$3:P$95="")*(G$3:G$95=G9)*(I$3:I$95="P"))+SUMPRODUCT((P$3:P$95&lt;&gt;"")*(G$3:G$95=G9)*(I$3:I$95="P"))+SUMPRODUCT((N$3:N$95&lt;&gt;"")*(G$3:G$95=G9)*(I$3:I$95="P"))+SUMPRODUCT((P$3:P$95="")*(O$3:O$95="")*(N$3:N$95="")*(M$3:M$95="P")*(G$3:G$95=G9)*(J$3:J$95&gt;J9)*(I$3:I$95="P"))+IF(H9="L5",SUMPRODUCT((P$3:P$95="")*(O$3:O$95="")*(N$3:N$95="")*(M$3:M$95="P")*(G$3:G$95=G9)*(J$3:J$95&lt;J9)*(H$3:H$95&lt;&gt;H9)*(I$3:I$95="P")),-1*SUMPRODUCT((P$3:P$95="")*(O$3:O$95="")*(N$3:N$95="")*(M$3:M$95="P")*(G$3:G$95=G9)*(J$3:J$95&gt;J9)*(H$3:H$95="L5")*(I$3:I$95="P")))+1,"")))))</f>
        <v/>
      </c>
      <c r="B9" s="1" cm="1">
        <f t="array" ref="B9">IF(P9&lt;&gt;"",SUMPRODUCT((P$3:P$95&lt;&gt;"")*(G$3:G$95=G9)*(J$3:J$95&gt;J9))+1,IF(O9&lt;&gt;"",SUMPRODUCT((O$3:O$95&lt;&gt;"")*(P$3:P$95="")*(G$3:G$95=G9)*(J$3:J$95&gt;J9))+SUMPRODUCT((P$3:P$95&lt;&gt;"")*(G$3:G$95=G9))+1,IF(N9&lt;&gt;"",SUMPRODUCT((N$3:N$95&lt;&gt;"")*(G$3:G$95=G9)*(J$3:J$95&gt;J9))+1,IF(M9="P",SUMPRODUCT((O$3:O$95&lt;&gt;"")*(P$3:P$95="")*(G$3:G$95=G9))+SUMPRODUCT((P$3:P$95&lt;&gt;"")*(G$3:G$95=G9))+SUMPRODUCT((N$3:N$95&lt;&gt;"")*(G$3:G$95=G9))+SUMPRODUCT((P$3:P$95="")*(O$3:O$95="")*(N$3:N$95="")*(M$3:M$95="P")*(G$3:G$95=G9)*(J$3:J$95&gt;J9))+IF(H9="L5",SUMPRODUCT((P$3:P$95="")*(O$3:O$95="")*(N$3:N$95="")*(M$3:M$95="P")*(G$3:G$95=G9)*(J$3:J$95&lt;J9)*(H$3:H$95&lt;&gt;H9)),-1*SUMPRODUCT((P$3:P$95="")*(O$3:O$95="")*(N$3:N$95="")*(M$3:M$95="P")*(G$3:G$95=G9)*(J$3:J$95&gt;J9)*(H$3:H$95="L5")))+1,""))))</f>
        <v>7</v>
      </c>
      <c r="C9" s="35" t="s">
        <v>455</v>
      </c>
      <c r="D9" t="str">
        <f>IF(E9="","",VLOOKUP(E9,'Coaching Points'!A:B,2,0))</f>
        <v>AB</v>
      </c>
      <c r="E9" s="35" t="s">
        <v>28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R9+S9+IF(OR(H9="Junior",H9="Senior"),0.0002,IF(OR(H9="L7",H9="L6"),0.0001,0))+MAX(Z9,AC9)*0.0000001</f>
        <v>101.10020522000002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O9" s="36">
        <v>1</v>
      </c>
      <c r="Q9" s="1" t="str">
        <f>IF(A9&lt;5,IF(_xlfn.MAXIFS(A:A,G:G,G9)&gt;3,5-A9,_xlfn.MAXIFS(A:A,G:G,G9)+1-A9),"")</f>
        <v/>
      </c>
      <c r="R9" s="4">
        <f>MAX(T9-IF(OR(H9="Senior"),V9,0),W9-IF(OR(H9="Senior"),Y9,0),Z9-IF(OR(H9="Senior"),AB9,0),AC9-IF(OR(H9="Senior"),AE9,0))</f>
        <v>51.900000000000006</v>
      </c>
      <c r="S9" s="4">
        <f>IF(R9=T9-IF(OR(H9="Senior"),V9,0),MAX(W9-IF(OR(H9="Senior"),Y9,0),Z9-IF(OR(H9="Senior"),AB9,0),AC9-IF(OR(H9="Senior"),AE9,0)),IF(R9=W9-IF(OR(H9="Senior"),Y9,0),MAX(T9-IF(OR(H9="Senior"),V9,0),Z9-IF(OR(H9="Senior"),AB9,0),AC9-IF(OR(H9="Senior"),AE9,0)),IF(R9=Z9-IF(OR(H9="Senior"),AB9,0),MAX(T9-IF(OR(H9="Senior"),V9,0),W9-IF(OR(H9="Senior"),Y9,0),AC9-IF(OR(H9="Senior"),AE9,0)),IF(R9=AC9-IF(OR(H9="Senior"),AE9,0),MAX(T9-IF(OR(H9="Senior"),V9,0),W9-IF(OR(H9="Senior"),Y9,0),Z9-IF(OR(H9="Senior"),AB9,0)),0))))</f>
        <v>49.2</v>
      </c>
      <c r="T9" s="32"/>
      <c r="U9" s="37"/>
      <c r="V9" s="37"/>
      <c r="W9" s="33"/>
      <c r="X9" s="37"/>
      <c r="Y9" s="37"/>
      <c r="Z9" s="32">
        <v>52.2</v>
      </c>
      <c r="AA9" s="37">
        <v>16.5</v>
      </c>
      <c r="AB9" s="37">
        <v>0.3</v>
      </c>
      <c r="AC9" s="33">
        <v>49.5</v>
      </c>
      <c r="AD9" s="37">
        <v>15.7</v>
      </c>
      <c r="AE9" s="37">
        <v>0.3</v>
      </c>
    </row>
    <row r="10" spans="1:32" x14ac:dyDescent="0.2">
      <c r="A10" s="1" t="str" cm="1">
        <f t="array" ref="A10">IF(I10="","",IF(P10&lt;&gt;"",SUMPRODUCT((P$3:P$95&lt;&gt;"")*(G$3:G$95=G10)*(J$3:J$95&gt;J10)*(I$3:I$95="P"))+1,IF(O10&lt;&gt;"",SUMPRODUCT((O$3:O$95&lt;&gt;"")*(P$3:P$95="")*(G$3:G$95=G10)*(J$3:J$95&gt;J10)*(I$3:I$95="P"))+SUMPRODUCT((P$3:P$95&lt;&gt;"")*(G$3:G$95=G10)*(I$3:I$95="P"))+1,IF(N10&lt;&gt;"",SUMPRODUCT((N$3:N$95&lt;&gt;"")*(G$3:G$95=G10)*(J$3:J$95&gt;J10)*(I$3:I$95="P"))+1,IF(M10="P",SUMPRODUCT((O$3:O$95&lt;&gt;"")*(P$3:P$95="")*(G$3:G$95=G10)*(I$3:I$95="P"))+SUMPRODUCT((P$3:P$95&lt;&gt;"")*(G$3:G$95=G10)*(I$3:I$95="P"))+SUMPRODUCT((N$3:N$95&lt;&gt;"")*(G$3:G$95=G10)*(I$3:I$95="P"))+SUMPRODUCT((P$3:P$95="")*(O$3:O$95="")*(N$3:N$95="")*(M$3:M$95="P")*(G$3:G$95=G10)*(J$3:J$95&gt;J10)*(I$3:I$95="P"))+IF(H10="L5",SUMPRODUCT((P$3:P$95="")*(O$3:O$95="")*(N$3:N$95="")*(M$3:M$95="P")*(G$3:G$95=G10)*(J$3:J$95&lt;J10)*(H$3:H$95&lt;&gt;H10)*(I$3:I$95="P")),-1*SUMPRODUCT((P$3:P$95="")*(O$3:O$95="")*(N$3:N$95="")*(M$3:M$95="P")*(G$3:G$95=G10)*(J$3:J$95&gt;J10)*(H$3:H$95="L5")*(I$3:I$95="P")))+1,"")))))</f>
        <v/>
      </c>
      <c r="B10" s="1" cm="1">
        <f t="array" ref="B10">IF(P10&lt;&gt;"",SUMPRODUCT((P$3:P$95&lt;&gt;"")*(G$3:G$95=G10)*(J$3:J$95&gt;J10))+1,IF(O10&lt;&gt;"",SUMPRODUCT((O$3:O$95&lt;&gt;"")*(P$3:P$95="")*(G$3:G$95=G10)*(J$3:J$95&gt;J10))+SUMPRODUCT((P$3:P$95&lt;&gt;"")*(G$3:G$95=G10))+1,IF(N10&lt;&gt;"",SUMPRODUCT((N$3:N$95&lt;&gt;"")*(G$3:G$95=G10)*(J$3:J$95&gt;J10))+1,IF(M10="P",SUMPRODUCT((O$3:O$95&lt;&gt;"")*(P$3:P$95="")*(G$3:G$95=G10))+SUMPRODUCT((P$3:P$95&lt;&gt;"")*(G$3:G$95=G10))+SUMPRODUCT((N$3:N$95&lt;&gt;"")*(G$3:G$95=G10))+SUMPRODUCT((P$3:P$95="")*(O$3:O$95="")*(N$3:N$95="")*(M$3:M$95="P")*(G$3:G$95=G10)*(J$3:J$95&gt;J10))+IF(H10="L5",SUMPRODUCT((P$3:P$95="")*(O$3:O$95="")*(N$3:N$95="")*(M$3:M$95="P")*(G$3:G$95=G10)*(J$3:J$95&lt;J10)*(H$3:H$95&lt;&gt;H10)),-1*SUMPRODUCT((P$3:P$95="")*(O$3:O$95="")*(N$3:N$95="")*(M$3:M$95="P")*(G$3:G$95=G10)*(J$3:J$95&gt;J10)*(H$3:H$95="L5")))+1,""))))</f>
        <v>8</v>
      </c>
      <c r="C10" s="35" t="s">
        <v>73</v>
      </c>
      <c r="D10" t="str">
        <f>IF(E10="","",VLOOKUP(E10,'Coaching Points'!A:B,2,0))</f>
        <v>BC</v>
      </c>
      <c r="E10" s="35" t="s">
        <v>66</v>
      </c>
      <c r="F10" s="34">
        <v>2007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210</v>
      </c>
      <c r="I10" s="40"/>
      <c r="J10" s="4">
        <f>R10+S10+IF(OR(H10="Junior",H10="Senior"),0.0002,IF(OR(H10="L7",H10="L6"),0.0001,0))+MAX(Z10,AC10)*0.0000001</f>
        <v>99.900204610000017</v>
      </c>
      <c r="K10" s="3" t="str">
        <f>IF(G10="Not Age Eligible","",IF(MAX(T10,W10,Z10,AC10)&gt;=LOOKUP(G10,'Qualifying Scores'!$A$4:$A$7,'Qualifying Scores'!$F$4:$F$7),"P",""))</f>
        <v>P</v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>P</v>
      </c>
      <c r="O10" s="36">
        <v>2</v>
      </c>
      <c r="Q10" s="1" t="str">
        <f>IF(A10&lt;5,IF(_xlfn.MAXIFS(A:A,G:G,G10)&gt;3,5-A10,_xlfn.MAXIFS(A:A,G:G,G10)+1-A10),"")</f>
        <v/>
      </c>
      <c r="R10" s="4">
        <f>MAX(T10-IF(OR(H10="Senior"),V10,0),W10-IF(OR(H10="Senior"),Y10,0),Z10-IF(OR(H10="Senior"),AB10,0),AC10-IF(OR(H10="Senior"),AE10,0))</f>
        <v>50.199999999999996</v>
      </c>
      <c r="S10" s="4">
        <f>IF(R10=T10-IF(OR(H10="Senior"),V10,0),MAX(W10-IF(OR(H10="Senior"),Y10,0),Z10-IF(OR(H10="Senior"),AB10,0),AC10-IF(OR(H10="Senior"),AE10,0)),IF(R10=W10-IF(OR(H10="Senior"),Y10,0),MAX(T10-IF(OR(H10="Senior"),V10,0),Z10-IF(OR(H10="Senior"),AB10,0),AC10-IF(OR(H10="Senior"),AE10,0)),IF(R10=Z10-IF(OR(H10="Senior"),AB10,0),MAX(T10-IF(OR(H10="Senior"),V10,0),W10-IF(OR(H10="Senior"),Y10,0),AC10-IF(OR(H10="Senior"),AE10,0)),IF(R10=AC10-IF(OR(H10="Senior"),AE10,0),MAX(T10-IF(OR(H10="Senior"),V10,0),W10-IF(OR(H10="Senior"),Y10,0),Z10-IF(OR(H10="Senior"),AB10,0)),0))))</f>
        <v>49.7</v>
      </c>
      <c r="T10" s="32">
        <v>50</v>
      </c>
      <c r="U10" s="37">
        <v>13.2</v>
      </c>
      <c r="V10" s="37">
        <v>0.3</v>
      </c>
      <c r="W10" s="33">
        <v>50.8</v>
      </c>
      <c r="X10" s="37">
        <v>16.5</v>
      </c>
      <c r="Y10" s="37">
        <v>0.6</v>
      </c>
      <c r="Z10" s="32">
        <v>46.1</v>
      </c>
      <c r="AA10" s="37">
        <v>12.100000000000001</v>
      </c>
      <c r="AB10" s="37">
        <v>0.3</v>
      </c>
      <c r="AC10" s="33"/>
      <c r="AD10" s="37"/>
      <c r="AE10" s="37"/>
    </row>
    <row r="11" spans="1:32" x14ac:dyDescent="0.2">
      <c r="A11" s="1" t="str" cm="1">
        <f t="array" ref="A11">IF(I11="","",IF(P11&lt;&gt;"",SUMPRODUCT((P$3:P$95&lt;&gt;"")*(G$3:G$95=G11)*(J$3:J$95&gt;J11)*(I$3:I$95="P"))+1,IF(O11&lt;&gt;"",SUMPRODUCT((O$3:O$95&lt;&gt;"")*(P$3:P$95="")*(G$3:G$95=G11)*(J$3:J$95&gt;J11)*(I$3:I$95="P"))+SUMPRODUCT((P$3:P$95&lt;&gt;"")*(G$3:G$95=G11)*(I$3:I$95="P"))+1,IF(N11&lt;&gt;"",SUMPRODUCT((N$3:N$95&lt;&gt;"")*(G$3:G$95=G11)*(J$3:J$95&gt;J11)*(I$3:I$95="P"))+1,IF(M11="P",SUMPRODUCT((O$3:O$95&lt;&gt;"")*(P$3:P$95="")*(G$3:G$95=G11)*(I$3:I$95="P"))+SUMPRODUCT((P$3:P$95&lt;&gt;"")*(G$3:G$95=G11)*(I$3:I$95="P"))+SUMPRODUCT((N$3:N$95&lt;&gt;"")*(G$3:G$95=G11)*(I$3:I$95="P"))+SUMPRODUCT((P$3:P$95="")*(O$3:O$95="")*(N$3:N$95="")*(M$3:M$95="P")*(G$3:G$95=G11)*(J$3:J$95&gt;J11)*(I$3:I$95="P"))+IF(H11="L5",SUMPRODUCT((P$3:P$95="")*(O$3:O$95="")*(N$3:N$95="")*(M$3:M$95="P")*(G$3:G$95=G11)*(J$3:J$95&lt;J11)*(H$3:H$95&lt;&gt;H11)*(I$3:I$95="P")),-1*SUMPRODUCT((P$3:P$95="")*(O$3:O$95="")*(N$3:N$95="")*(M$3:M$95="P")*(G$3:G$95=G11)*(J$3:J$95&gt;J11)*(H$3:H$95="L5")*(I$3:I$95="P")))+1,"")))))</f>
        <v/>
      </c>
      <c r="B11" s="1" cm="1">
        <f t="array" ref="B11">IF(P11&lt;&gt;"",SUMPRODUCT((P$3:P$95&lt;&gt;"")*(G$3:G$95=G11)*(J$3:J$95&gt;J11))+1,IF(O11&lt;&gt;"",SUMPRODUCT((O$3:O$95&lt;&gt;"")*(P$3:P$95="")*(G$3:G$95=G11)*(J$3:J$95&gt;J11))+SUMPRODUCT((P$3:P$95&lt;&gt;"")*(G$3:G$95=G11))+1,IF(N11&lt;&gt;"",SUMPRODUCT((N$3:N$95&lt;&gt;"")*(G$3:G$95=G11)*(J$3:J$95&gt;J11))+1,IF(M11="P",SUMPRODUCT((O$3:O$95&lt;&gt;"")*(P$3:P$95="")*(G$3:G$95=G11))+SUMPRODUCT((P$3:P$95&lt;&gt;"")*(G$3:G$95=G11))+SUMPRODUCT((N$3:N$95&lt;&gt;"")*(G$3:G$95=G11))+SUMPRODUCT((P$3:P$95="")*(O$3:O$95="")*(N$3:N$95="")*(M$3:M$95="P")*(G$3:G$95=G11)*(J$3:J$95&gt;J11))+IF(H11="L5",SUMPRODUCT((P$3:P$95="")*(O$3:O$95="")*(N$3:N$95="")*(M$3:M$95="P")*(G$3:G$95=G11)*(J$3:J$95&lt;J11)*(H$3:H$95&lt;&gt;H11)),-1*SUMPRODUCT((P$3:P$95="")*(O$3:O$95="")*(N$3:N$95="")*(M$3:M$95="P")*(G$3:G$95=G11)*(J$3:J$95&gt;J11)*(H$3:H$95="L5")))+1,""))))</f>
        <v>9</v>
      </c>
      <c r="C11" s="35" t="s">
        <v>116</v>
      </c>
      <c r="D11" t="str">
        <f>IF(E11="","",VLOOKUP(E11,'Coaching Points'!A:B,2,0))</f>
        <v>BC</v>
      </c>
      <c r="E11" s="35" t="s">
        <v>40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96.800205010000013</v>
      </c>
      <c r="K11" s="3" t="str">
        <f>IF(G11="Not Age Eligible","",IF(MAX(T11,W11,Z11,AC11)&gt;=LOOKUP(G11,'Qualifying Scores'!$A$4:$A$7,'Qualifying Scores'!$F$4:$F$7),"P",""))</f>
        <v>P</v>
      </c>
      <c r="L11" s="3" t="str">
        <f>IF(G11="Not Age Eligible","",IF(MAX(U11,X11,AA11,AD11)&gt;=LOOKUP(G11,'Qualifying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>P</v>
      </c>
      <c r="O11" s="36">
        <v>4</v>
      </c>
      <c r="Q11" s="1" t="str">
        <f>IF(A11&lt;5,IF(_xlfn.MAXIFS(A:A,G:G,G11)&gt;3,5-A11,_xlfn.MAXIFS(A:A,G:G,G11)+1-A11),"")</f>
        <v/>
      </c>
      <c r="R11" s="4">
        <f>MAX(T11-IF(OR(H11="Senior"),V11,0),W11-IF(OR(H11="Senior"),Y11,0),Z11-IF(OR(H11="Senior"),AB11,0),AC11-IF(OR(H11="Senior"),AE11,0))</f>
        <v>50.1</v>
      </c>
      <c r="S11" s="4">
        <f>IF(R11=T11-IF(OR(H11="Senior"),V11,0),MAX(W11-IF(OR(H11="Senior"),Y11,0),Z11-IF(OR(H11="Senior"),AB11,0),AC11-IF(OR(H11="Senior"),AE11,0)),IF(R11=W11-IF(OR(H11="Senior"),Y11,0),MAX(T11-IF(OR(H11="Senior"),V11,0),Z11-IF(OR(H11="Senior"),AB11,0),AC11-IF(OR(H11="Senior"),AE11,0)),IF(R11=Z11-IF(OR(H11="Senior"),AB11,0),MAX(T11-IF(OR(H11="Senior"),V11,0),W11-IF(OR(H11="Senior"),Y11,0),AC11-IF(OR(H11="Senior"),AE11,0)),IF(R11=AC11-IF(OR(H11="Senior"),AE11,0),MAX(T11-IF(OR(H11="Senior"),V11,0),W11-IF(OR(H11="Senior"),Y11,0),Z11-IF(OR(H11="Senior"),AB11,0)),0))))</f>
        <v>46.7</v>
      </c>
      <c r="T11" s="32">
        <v>46.7</v>
      </c>
      <c r="U11" s="37">
        <v>12.4</v>
      </c>
      <c r="V11" s="37">
        <v>0</v>
      </c>
      <c r="W11" s="33"/>
      <c r="X11" s="37"/>
      <c r="Y11" s="37"/>
      <c r="Z11" s="32">
        <v>50.1</v>
      </c>
      <c r="AA11" s="37">
        <v>14</v>
      </c>
      <c r="AB11" s="37">
        <v>0</v>
      </c>
      <c r="AC11" s="33">
        <v>44.9</v>
      </c>
      <c r="AD11" s="37">
        <v>12.4</v>
      </c>
      <c r="AE11" s="37">
        <v>0</v>
      </c>
    </row>
    <row r="12" spans="1:32" x14ac:dyDescent="0.2">
      <c r="A12" s="1" t="str" cm="1">
        <f t="array" ref="A12">IF(I12="","",IF(P12&lt;&gt;"",SUMPRODUCT((P$3:P$95&lt;&gt;"")*(G$3:G$95=G12)*(J$3:J$95&gt;J12)*(I$3:I$95="P"))+1,IF(O12&lt;&gt;"",SUMPRODUCT((O$3:O$95&lt;&gt;"")*(P$3:P$95="")*(G$3:G$95=G12)*(J$3:J$95&gt;J12)*(I$3:I$95="P"))+SUMPRODUCT((P$3:P$95&lt;&gt;"")*(G$3:G$95=G12)*(I$3:I$95="P"))+1,IF(N12&lt;&gt;"",SUMPRODUCT((N$3:N$95&lt;&gt;"")*(G$3:G$95=G12)*(J$3:J$95&gt;J12)*(I$3:I$95="P"))+1,IF(M12="P",SUMPRODUCT((O$3:O$95&lt;&gt;"")*(P$3:P$95="")*(G$3:G$95=G12)*(I$3:I$95="P"))+SUMPRODUCT((P$3:P$95&lt;&gt;"")*(G$3:G$95=G12)*(I$3:I$95="P"))+SUMPRODUCT((N$3:N$95&lt;&gt;"")*(G$3:G$95=G12)*(I$3:I$95="P"))+SUMPRODUCT((P$3:P$95="")*(O$3:O$95="")*(N$3:N$95="")*(M$3:M$95="P")*(G$3:G$95=G12)*(J$3:J$95&gt;J12)*(I$3:I$95="P"))+IF(H12="L5",SUMPRODUCT((P$3:P$95="")*(O$3:O$95="")*(N$3:N$95="")*(M$3:M$95="P")*(G$3:G$95=G12)*(J$3:J$95&lt;J12)*(H$3:H$95&lt;&gt;H12)*(I$3:I$95="P")),-1*SUMPRODUCT((P$3:P$95="")*(O$3:O$95="")*(N$3:N$95="")*(M$3:M$95="P")*(G$3:G$95=G12)*(J$3:J$95&gt;J12)*(H$3:H$95="L5")*(I$3:I$95="P")))+1,"")))))</f>
        <v/>
      </c>
      <c r="B12" s="1" cm="1">
        <f t="array" ref="B12">IF(P12&lt;&gt;"",SUMPRODUCT((P$3:P$95&lt;&gt;"")*(G$3:G$95=G12)*(J$3:J$95&gt;J12))+1,IF(O12&lt;&gt;"",SUMPRODUCT((O$3:O$95&lt;&gt;"")*(P$3:P$95="")*(G$3:G$95=G12)*(J$3:J$95&gt;J12))+SUMPRODUCT((P$3:P$95&lt;&gt;"")*(G$3:G$95=G12))+1,IF(N12&lt;&gt;"",SUMPRODUCT((N$3:N$95&lt;&gt;"")*(G$3:G$95=G12)*(J$3:J$95&gt;J12))+1,IF(M12="P",SUMPRODUCT((O$3:O$95&lt;&gt;"")*(P$3:P$95="")*(G$3:G$95=G12))+SUMPRODUCT((P$3:P$95&lt;&gt;"")*(G$3:G$95=G12))+SUMPRODUCT((N$3:N$95&lt;&gt;"")*(G$3:G$95=G12))+SUMPRODUCT((P$3:P$95="")*(O$3:O$95="")*(N$3:N$95="")*(M$3:M$95="P")*(G$3:G$95=G12)*(J$3:J$95&gt;J12))+IF(H12="L5",SUMPRODUCT((P$3:P$95="")*(O$3:O$95="")*(N$3:N$95="")*(M$3:M$95="P")*(G$3:G$95=G12)*(J$3:J$95&lt;J12)*(H$3:H$95&lt;&gt;H12)),-1*SUMPRODUCT((P$3:P$95="")*(O$3:O$95="")*(N$3:N$95="")*(M$3:M$95="P")*(G$3:G$95=G12)*(J$3:J$95&gt;J12)*(H$3:H$95="L5")))+1,""))))</f>
        <v>10</v>
      </c>
      <c r="C12" s="35" t="s">
        <v>206</v>
      </c>
      <c r="D12" t="str">
        <f>IF(E12="","",VLOOKUP(E12,'Coaching Points'!A:B,2,0))</f>
        <v>SK</v>
      </c>
      <c r="E12" s="35" t="s">
        <v>58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101.60010506</v>
      </c>
      <c r="K12" s="3" t="str">
        <f>IF(G12="Not Age Eligible","",IF(MAX(T12,W12,Z12,AC12)&gt;=LOOKUP(G12,'Qualifying Scores'!$A$4:$A$7,'Qualifying Scores'!$F$4:$F$7),"P",""))</f>
        <v>P</v>
      </c>
      <c r="L12" s="3" t="str">
        <f>IF(G12="Not Age Eligible","",IF(MAX(U12,X12,AA12,AD12)&gt;=LOOKUP(G12,'Qualifying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MAX(T12-IF(OR(H12="Senior"),V12,0),W12-IF(OR(H12="Senior"),Y12,0),Z12-IF(OR(H12="Senior"),AB12,0),AC12-IF(OR(H12="Senior"),AE12,0))</f>
        <v>51</v>
      </c>
      <c r="S12" s="4">
        <f>IF(R12=T12-IF(OR(H12="Senior"),V12,0),MAX(W12-IF(OR(H12="Senior"),Y12,0),Z12-IF(OR(H12="Senior"),AB12,0),AC12-IF(OR(H12="Senior"),AE12,0)),IF(R12=W12-IF(OR(H12="Senior"),Y12,0),MAX(T12-IF(OR(H12="Senior"),V12,0),Z12-IF(OR(H12="Senior"),AB12,0),AC12-IF(OR(H12="Senior"),AE12,0)),IF(R12=Z12-IF(OR(H12="Senior"),AB12,0),MAX(T12-IF(OR(H12="Senior"),V12,0),W12-IF(OR(H12="Senior"),Y12,0),AC12-IF(OR(H12="Senior"),AE12,0)),IF(R12=AC12-IF(OR(H12="Senior"),AE12,0),MAX(T12-IF(OR(H12="Senior"),V12,0),W12-IF(OR(H12="Senior"),Y12,0),Z12-IF(OR(H12="Senior"),AB12,0)),0))))</f>
        <v>50.6</v>
      </c>
      <c r="T12" s="32">
        <v>51</v>
      </c>
      <c r="U12" s="37">
        <v>14</v>
      </c>
      <c r="V12" s="37">
        <v>0</v>
      </c>
      <c r="W12" s="33">
        <v>50.4</v>
      </c>
      <c r="X12" s="37">
        <v>14</v>
      </c>
      <c r="Y12" s="37">
        <v>0</v>
      </c>
      <c r="Z12" s="32">
        <v>50.6</v>
      </c>
      <c r="AA12" s="37">
        <v>14</v>
      </c>
      <c r="AB12" s="37">
        <v>0</v>
      </c>
      <c r="AC12" s="33">
        <v>50.1</v>
      </c>
      <c r="AD12" s="37">
        <v>13.6</v>
      </c>
      <c r="AE12" s="37">
        <v>0</v>
      </c>
    </row>
    <row r="13" spans="1:32" x14ac:dyDescent="0.2">
      <c r="A13" s="1" t="str" cm="1">
        <f t="array" ref="A13">IF(I13="","",IF(P13&lt;&gt;"",SUMPRODUCT((P$3:P$95&lt;&gt;"")*(G$3:G$95=G13)*(J$3:J$95&gt;J13)*(I$3:I$95="P"))+1,IF(O13&lt;&gt;"",SUMPRODUCT((O$3:O$95&lt;&gt;"")*(P$3:P$95="")*(G$3:G$95=G13)*(J$3:J$95&gt;J13)*(I$3:I$95="P"))+SUMPRODUCT((P$3:P$95&lt;&gt;"")*(G$3:G$95=G13)*(I$3:I$95="P"))+1,IF(N13&lt;&gt;"",SUMPRODUCT((N$3:N$95&lt;&gt;"")*(G$3:G$95=G13)*(J$3:J$95&gt;J13)*(I$3:I$95="P"))+1,IF(M13="P",SUMPRODUCT((O$3:O$95&lt;&gt;"")*(P$3:P$95="")*(G$3:G$95=G13)*(I$3:I$95="P"))+SUMPRODUCT((P$3:P$95&lt;&gt;"")*(G$3:G$95=G13)*(I$3:I$95="P"))+SUMPRODUCT((N$3:N$95&lt;&gt;"")*(G$3:G$95=G13)*(I$3:I$95="P"))+SUMPRODUCT((P$3:P$95="")*(O$3:O$95="")*(N$3:N$95="")*(M$3:M$95="P")*(G$3:G$95=G13)*(J$3:J$95&gt;J13)*(I$3:I$95="P"))+IF(H13="L5",SUMPRODUCT((P$3:P$95="")*(O$3:O$95="")*(N$3:N$95="")*(M$3:M$95="P")*(G$3:G$95=G13)*(J$3:J$95&lt;J13)*(H$3:H$95&lt;&gt;H13)*(I$3:I$95="P")),-1*SUMPRODUCT((P$3:P$95="")*(O$3:O$95="")*(N$3:N$95="")*(M$3:M$95="P")*(G$3:G$95=G13)*(J$3:J$95&gt;J13)*(H$3:H$95="L5")*(I$3:I$95="P")))+1,"")))))</f>
        <v/>
      </c>
      <c r="B13" s="1" cm="1">
        <f t="array" ref="B13">IF(P13&lt;&gt;"",SUMPRODUCT((P$3:P$95&lt;&gt;"")*(G$3:G$95=G13)*(J$3:J$95&gt;J13))+1,IF(O13&lt;&gt;"",SUMPRODUCT((O$3:O$95&lt;&gt;"")*(P$3:P$95="")*(G$3:G$95=G13)*(J$3:J$95&gt;J13))+SUMPRODUCT((P$3:P$95&lt;&gt;"")*(G$3:G$95=G13))+1,IF(N13&lt;&gt;"",SUMPRODUCT((N$3:N$95&lt;&gt;"")*(G$3:G$95=G13)*(J$3:J$95&gt;J13))+1,IF(M13="P",SUMPRODUCT((O$3:O$95&lt;&gt;"")*(P$3:P$95="")*(G$3:G$95=G13))+SUMPRODUCT((P$3:P$95&lt;&gt;"")*(G$3:G$95=G13))+SUMPRODUCT((N$3:N$95&lt;&gt;"")*(G$3:G$95=G13))+SUMPRODUCT((P$3:P$95="")*(O$3:O$95="")*(N$3:N$95="")*(M$3:M$95="P")*(G$3:G$95=G13)*(J$3:J$95&gt;J13))+IF(H13="L5",SUMPRODUCT((P$3:P$95="")*(O$3:O$95="")*(N$3:N$95="")*(M$3:M$95="P")*(G$3:G$95=G13)*(J$3:J$95&lt;J13)*(H$3:H$95&lt;&gt;H13)),-1*SUMPRODUCT((P$3:P$95="")*(O$3:O$95="")*(N$3:N$95="")*(M$3:M$95="P")*(G$3:G$95=G13)*(J$3:J$95&gt;J13)*(H$3:H$95="L5")))+1,""))))</f>
        <v>11</v>
      </c>
      <c r="C13" s="35" t="s">
        <v>81</v>
      </c>
      <c r="D13" t="str">
        <f>IF(E13="","",VLOOKUP(E13,'Coaching Points'!A:B,2,0))</f>
        <v>ON</v>
      </c>
      <c r="E13" s="35" t="s">
        <v>67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>R13+S13+IF(OR(H13="Junior",H13="Senior"),0.0002,IF(OR(H13="L7",H13="L6"),0.0001,0))+MAX(Z13,AC13)*0.0000001</f>
        <v>101.40020512000001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MAX(T13-IF(OR(H13="Senior"),V13,0),W13-IF(OR(H13="Senior"),Y13,0),Z13-IF(OR(H13="Senior"),AB13,0),AC13-IF(OR(H13="Senior"),AE13,0))</f>
        <v>50.900000000000006</v>
      </c>
      <c r="S13" s="4">
        <f>IF(R13=T13-IF(OR(H13="Senior"),V13,0),MAX(W13-IF(OR(H13="Senior"),Y13,0),Z13-IF(OR(H13="Senior"),AB13,0),AC13-IF(OR(H13="Senior"),AE13,0)),IF(R13=W13-IF(OR(H13="Senior"),Y13,0),MAX(T13-IF(OR(H13="Senior"),V13,0),Z13-IF(OR(H13="Senior"),AB13,0),AC13-IF(OR(H13="Senior"),AE13,0)),IF(R13=Z13-IF(OR(H13="Senior"),AB13,0),MAX(T13-IF(OR(H13="Senior"),V13,0),W13-IF(OR(H13="Senior"),Y13,0),AC13-IF(OR(H13="Senior"),AE13,0)),IF(R13=AC13-IF(OR(H13="Senior"),AE13,0),MAX(T13-IF(OR(H13="Senior"),V13,0),W13-IF(OR(H13="Senior"),Y13,0),Z13-IF(OR(H13="Senior"),AB13,0)),0))))</f>
        <v>50.5</v>
      </c>
      <c r="T13" s="32">
        <v>50.1</v>
      </c>
      <c r="U13" s="37">
        <v>14</v>
      </c>
      <c r="V13" s="37">
        <v>0</v>
      </c>
      <c r="W13" s="33">
        <v>50.5</v>
      </c>
      <c r="X13" s="37">
        <v>14</v>
      </c>
      <c r="Y13" s="37">
        <v>0</v>
      </c>
      <c r="Z13" s="32">
        <v>51.2</v>
      </c>
      <c r="AA13" s="37">
        <v>14.8</v>
      </c>
      <c r="AB13" s="37">
        <v>0.3</v>
      </c>
      <c r="AC13" s="33">
        <v>43.5</v>
      </c>
      <c r="AD13" s="37">
        <v>9.6</v>
      </c>
      <c r="AE13" s="37">
        <v>0</v>
      </c>
    </row>
    <row r="14" spans="1:32" x14ac:dyDescent="0.2">
      <c r="A14" s="1" t="str" cm="1">
        <f t="array" ref="A14">IF(I14="","",IF(P14&lt;&gt;"",SUMPRODUCT((P$3:P$95&lt;&gt;"")*(G$3:G$95=G14)*(J$3:J$95&gt;J14)*(I$3:I$95="P"))+1,IF(O14&lt;&gt;"",SUMPRODUCT((O$3:O$95&lt;&gt;"")*(P$3:P$95="")*(G$3:G$95=G14)*(J$3:J$95&gt;J14)*(I$3:I$95="P"))+SUMPRODUCT((P$3:P$95&lt;&gt;"")*(G$3:G$95=G14)*(I$3:I$95="P"))+1,IF(N14&lt;&gt;"",SUMPRODUCT((N$3:N$95&lt;&gt;"")*(G$3:G$95=G14)*(J$3:J$95&gt;J14)*(I$3:I$95="P"))+1,IF(M14="P",SUMPRODUCT((O$3:O$95&lt;&gt;"")*(P$3:P$95="")*(G$3:G$95=G14)*(I$3:I$95="P"))+SUMPRODUCT((P$3:P$95&lt;&gt;"")*(G$3:G$95=G14)*(I$3:I$95="P"))+SUMPRODUCT((N$3:N$95&lt;&gt;"")*(G$3:G$95=G14)*(I$3:I$95="P"))+SUMPRODUCT((P$3:P$95="")*(O$3:O$95="")*(N$3:N$95="")*(M$3:M$95="P")*(G$3:G$95=G14)*(J$3:J$95&gt;J14)*(I$3:I$95="P"))+IF(H14="L5",SUMPRODUCT((P$3:P$95="")*(O$3:O$95="")*(N$3:N$95="")*(M$3:M$95="P")*(G$3:G$95=G14)*(J$3:J$95&lt;J14)*(H$3:H$95&lt;&gt;H14)*(I$3:I$95="P")),-1*SUMPRODUCT((P$3:P$95="")*(O$3:O$95="")*(N$3:N$95="")*(M$3:M$95="P")*(G$3:G$95=G14)*(J$3:J$95&gt;J14)*(H$3:H$95="L5")*(I$3:I$95="P")))+1,"")))))</f>
        <v/>
      </c>
      <c r="B14" s="1" cm="1">
        <f t="array" ref="B14">IF(P14&lt;&gt;"",SUMPRODUCT((P$3:P$95&lt;&gt;"")*(G$3:G$95=G14)*(J$3:J$95&gt;J14))+1,IF(O14&lt;&gt;"",SUMPRODUCT((O$3:O$95&lt;&gt;"")*(P$3:P$95="")*(G$3:G$95=G14)*(J$3:J$95&gt;J14))+SUMPRODUCT((P$3:P$95&lt;&gt;"")*(G$3:G$95=G14))+1,IF(N14&lt;&gt;"",SUMPRODUCT((N$3:N$95&lt;&gt;"")*(G$3:G$95=G14)*(J$3:J$95&gt;J14))+1,IF(M14="P",SUMPRODUCT((O$3:O$95&lt;&gt;"")*(P$3:P$95="")*(G$3:G$95=G14))+SUMPRODUCT((P$3:P$95&lt;&gt;"")*(G$3:G$95=G14))+SUMPRODUCT((N$3:N$95&lt;&gt;"")*(G$3:G$95=G14))+SUMPRODUCT((P$3:P$95="")*(O$3:O$95="")*(N$3:N$95="")*(M$3:M$95="P")*(G$3:G$95=G14)*(J$3:J$95&gt;J14))+IF(H14="L5",SUMPRODUCT((P$3:P$95="")*(O$3:O$95="")*(N$3:N$95="")*(M$3:M$95="P")*(G$3:G$95=G14)*(J$3:J$95&lt;J14)*(H$3:H$95&lt;&gt;H14)),-1*SUMPRODUCT((P$3:P$95="")*(O$3:O$95="")*(N$3:N$95="")*(M$3:M$95="P")*(G$3:G$95=G14)*(J$3:J$95&gt;J14)*(H$3:H$95="L5")))+1,""))))</f>
        <v>12</v>
      </c>
      <c r="C14" s="35" t="s">
        <v>118</v>
      </c>
      <c r="D14" t="str">
        <f>IF(E14="","",VLOOKUP(E14,'Coaching Points'!A:B,2,0))</f>
        <v>MB</v>
      </c>
      <c r="E14" s="35" t="s">
        <v>63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100.40010463000002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MAX(T14-IF(OR(H14="Senior"),V14,0),W14-IF(OR(H14="Senior"),Y14,0),Z14-IF(OR(H14="Senior"),AB14,0),AC14-IF(OR(H14="Senior"),AE14,0))</f>
        <v>50.4</v>
      </c>
      <c r="S14" s="4">
        <f>IF(R14=T14-IF(OR(H14="Senior"),V14,0),MAX(W14-IF(OR(H14="Senior"),Y14,0),Z14-IF(OR(H14="Senior"),AB14,0),AC14-IF(OR(H14="Senior"),AE14,0)),IF(R14=W14-IF(OR(H14="Senior"),Y14,0),MAX(T14-IF(OR(H14="Senior"),V14,0),Z14-IF(OR(H14="Senior"),AB14,0),AC14-IF(OR(H14="Senior"),AE14,0)),IF(R14=Z14-IF(OR(H14="Senior"),AB14,0),MAX(T14-IF(OR(H14="Senior"),V14,0),W14-IF(OR(H14="Senior"),Y14,0),AC14-IF(OR(H14="Senior"),AE14,0)),IF(R14=AC14-IF(OR(H14="Senior"),AE14,0),MAX(T14-IF(OR(H14="Senior"),V14,0),W14-IF(OR(H14="Senior"),Y14,0),Z14-IF(OR(H14="Senior"),AB14,0)),0))))</f>
        <v>50</v>
      </c>
      <c r="T14" s="32">
        <v>50</v>
      </c>
      <c r="U14" s="37">
        <v>13.2</v>
      </c>
      <c r="V14" s="37">
        <v>0</v>
      </c>
      <c r="W14" s="33">
        <v>50.4</v>
      </c>
      <c r="X14" s="37">
        <v>13.2</v>
      </c>
      <c r="Y14" s="37">
        <v>0</v>
      </c>
      <c r="Z14" s="32">
        <v>41.2</v>
      </c>
      <c r="AA14" s="37">
        <v>8</v>
      </c>
      <c r="AB14" s="37">
        <v>0</v>
      </c>
      <c r="AC14" s="33">
        <v>46.3</v>
      </c>
      <c r="AD14" s="37">
        <v>11.600000000000001</v>
      </c>
      <c r="AE14" s="37">
        <v>0</v>
      </c>
    </row>
    <row r="15" spans="1:32" x14ac:dyDescent="0.2">
      <c r="A15" s="1" t="str" cm="1">
        <f t="array" ref="A15">IF(I15="","",IF(P15&lt;&gt;"",SUMPRODUCT((P$3:P$95&lt;&gt;"")*(G$3:G$95=G15)*(J$3:J$95&gt;J15)*(I$3:I$95="P"))+1,IF(O15&lt;&gt;"",SUMPRODUCT((O$3:O$95&lt;&gt;"")*(P$3:P$95="")*(G$3:G$95=G15)*(J$3:J$95&gt;J15)*(I$3:I$95="P"))+SUMPRODUCT((P$3:P$95&lt;&gt;"")*(G$3:G$95=G15)*(I$3:I$95="P"))+1,IF(N15&lt;&gt;"",SUMPRODUCT((N$3:N$95&lt;&gt;"")*(G$3:G$95=G15)*(J$3:J$95&gt;J15)*(I$3:I$95="P"))+1,IF(M15="P",SUMPRODUCT((O$3:O$95&lt;&gt;"")*(P$3:P$95="")*(G$3:G$95=G15)*(I$3:I$95="P"))+SUMPRODUCT((P$3:P$95&lt;&gt;"")*(G$3:G$95=G15)*(I$3:I$95="P"))+SUMPRODUCT((N$3:N$95&lt;&gt;"")*(G$3:G$95=G15)*(I$3:I$95="P"))+SUMPRODUCT((P$3:P$95="")*(O$3:O$95="")*(N$3:N$95="")*(M$3:M$95="P")*(G$3:G$95=G15)*(J$3:J$95&gt;J15)*(I$3:I$95="P"))+IF(H15="L5",SUMPRODUCT((P$3:P$95="")*(O$3:O$95="")*(N$3:N$95="")*(M$3:M$95="P")*(G$3:G$95=G15)*(J$3:J$95&lt;J15)*(H$3:H$95&lt;&gt;H15)*(I$3:I$95="P")),-1*SUMPRODUCT((P$3:P$95="")*(O$3:O$95="")*(N$3:N$95="")*(M$3:M$95="P")*(G$3:G$95=G15)*(J$3:J$95&gt;J15)*(H$3:H$95="L5")*(I$3:I$95="P")))+1,"")))))</f>
        <v/>
      </c>
      <c r="B15" s="1" cm="1">
        <f t="array" ref="B15">IF(P15&lt;&gt;"",SUMPRODUCT((P$3:P$95&lt;&gt;"")*(G$3:G$95=G15)*(J$3:J$95&gt;J15))+1,IF(O15&lt;&gt;"",SUMPRODUCT((O$3:O$95&lt;&gt;"")*(P$3:P$95="")*(G$3:G$95=G15)*(J$3:J$95&gt;J15))+SUMPRODUCT((P$3:P$95&lt;&gt;"")*(G$3:G$95=G15))+1,IF(N15&lt;&gt;"",SUMPRODUCT((N$3:N$95&lt;&gt;"")*(G$3:G$95=G15)*(J$3:J$95&gt;J15))+1,IF(M15="P",SUMPRODUCT((O$3:O$95&lt;&gt;"")*(P$3:P$95="")*(G$3:G$95=G15))+SUMPRODUCT((P$3:P$95&lt;&gt;"")*(G$3:G$95=G15))+SUMPRODUCT((N$3:N$95&lt;&gt;"")*(G$3:G$95=G15))+SUMPRODUCT((P$3:P$95="")*(O$3:O$95="")*(N$3:N$95="")*(M$3:M$95="P")*(G$3:G$95=G15)*(J$3:J$95&gt;J15))+IF(H15="L5",SUMPRODUCT((P$3:P$95="")*(O$3:O$95="")*(N$3:N$95="")*(M$3:M$95="P")*(G$3:G$95=G15)*(J$3:J$95&lt;J15)*(H$3:H$95&lt;&gt;H15)),-1*SUMPRODUCT((P$3:P$95="")*(O$3:O$95="")*(N$3:N$95="")*(M$3:M$95="P")*(G$3:G$95=G15)*(J$3:J$95&gt;J15)*(H$3:H$95="L5")))+1,""))))</f>
        <v>13</v>
      </c>
      <c r="C15" s="35" t="s">
        <v>115</v>
      </c>
      <c r="D15" t="str">
        <f>IF(E15="","",VLOOKUP(E15,'Coaching Points'!A:B,2,0))</f>
        <v>QC</v>
      </c>
      <c r="E15" s="35" t="s">
        <v>124</v>
      </c>
      <c r="F15" s="34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>R15+S15+IF(OR(H15="Junior",H15="Senior"),0.0002,IF(OR(H15="L7",H15="L6"),0.0001,0))+MAX(Z15,AC15)*0.0000001</f>
        <v>99.300203630000013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MAX(T15-IF(OR(H15="Senior"),V15,0),W15-IF(OR(H15="Senior"),Y15,0),Z15-IF(OR(H15="Senior"),AB15,0),AC15-IF(OR(H15="Senior"),AE15,0))</f>
        <v>50.1</v>
      </c>
      <c r="S15" s="4">
        <f>IF(R15=T15-IF(OR(H15="Senior"),V15,0),MAX(W15-IF(OR(H15="Senior"),Y15,0),Z15-IF(OR(H15="Senior"),AB15,0),AC15-IF(OR(H15="Senior"),AE15,0)),IF(R15=W15-IF(OR(H15="Senior"),Y15,0),MAX(T15-IF(OR(H15="Senior"),V15,0),Z15-IF(OR(H15="Senior"),AB15,0),AC15-IF(OR(H15="Senior"),AE15,0)),IF(R15=Z15-IF(OR(H15="Senior"),AB15,0),MAX(T15-IF(OR(H15="Senior"),V15,0),W15-IF(OR(H15="Senior"),Y15,0),AC15-IF(OR(H15="Senior"),AE15,0)),IF(R15=AC15-IF(OR(H15="Senior"),AE15,0),MAX(T15-IF(OR(H15="Senior"),V15,0),W15-IF(OR(H15="Senior"),Y15,0),Z15-IF(OR(H15="Senior"),AB15,0)),0))))</f>
        <v>49.2</v>
      </c>
      <c r="T15" s="32">
        <v>49.2</v>
      </c>
      <c r="U15" s="37">
        <v>13.6</v>
      </c>
      <c r="V15" s="37">
        <v>0</v>
      </c>
      <c r="W15" s="33">
        <v>50.1</v>
      </c>
      <c r="X15" s="37">
        <v>13.6</v>
      </c>
      <c r="Y15" s="37">
        <v>0</v>
      </c>
      <c r="Z15" s="32">
        <v>36.299999999999997</v>
      </c>
      <c r="AA15" s="37">
        <v>5.1999999999999993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$95&lt;&gt;"")*(G$3:G$95=G16)*(J$3:J$95&gt;J16)*(I$3:I$95="P"))+1,IF(O16&lt;&gt;"",SUMPRODUCT((O$3:O$95&lt;&gt;"")*(P$3:P$95="")*(G$3:G$95=G16)*(J$3:J$95&gt;J16)*(I$3:I$95="P"))+SUMPRODUCT((P$3:P$95&lt;&gt;"")*(G$3:G$95=G16)*(I$3:I$95="P"))+1,IF(N16&lt;&gt;"",SUMPRODUCT((N$3:N$95&lt;&gt;"")*(G$3:G$95=G16)*(J$3:J$95&gt;J16)*(I$3:I$95="P"))+1,IF(M16="P",SUMPRODUCT((O$3:O$95&lt;&gt;"")*(P$3:P$95="")*(G$3:G$95=G16)*(I$3:I$95="P"))+SUMPRODUCT((P$3:P$95&lt;&gt;"")*(G$3:G$95=G16)*(I$3:I$95="P"))+SUMPRODUCT((N$3:N$95&lt;&gt;"")*(G$3:G$95=G16)*(I$3:I$95="P"))+SUMPRODUCT((P$3:P$95="")*(O$3:O$95="")*(N$3:N$95="")*(M$3:M$95="P")*(G$3:G$95=G16)*(J$3:J$95&gt;J16)*(I$3:I$95="P"))+IF(H16="L5",SUMPRODUCT((P$3:P$95="")*(O$3:O$95="")*(N$3:N$95="")*(M$3:M$95="P")*(G$3:G$95=G16)*(J$3:J$95&lt;J16)*(H$3:H$95&lt;&gt;H16)*(I$3:I$95="P")),-1*SUMPRODUCT((P$3:P$95="")*(O$3:O$95="")*(N$3:N$95="")*(M$3:M$95="P")*(G$3:G$95=G16)*(J$3:J$95&gt;J16)*(H$3:H$95="L5")*(I$3:I$95="P")))+1,"")))))</f>
        <v/>
      </c>
      <c r="B16" s="1" cm="1">
        <f t="array" ref="B16">IF(P16&lt;&gt;"",SUMPRODUCT((P$3:P$95&lt;&gt;"")*(G$3:G$95=G16)*(J$3:J$95&gt;J16))+1,IF(O16&lt;&gt;"",SUMPRODUCT((O$3:O$95&lt;&gt;"")*(P$3:P$95="")*(G$3:G$95=G16)*(J$3:J$95&gt;J16))+SUMPRODUCT((P$3:P$95&lt;&gt;"")*(G$3:G$95=G16))+1,IF(N16&lt;&gt;"",SUMPRODUCT((N$3:N$95&lt;&gt;"")*(G$3:G$95=G16)*(J$3:J$95&gt;J16))+1,IF(M16="P",SUMPRODUCT((O$3:O$95&lt;&gt;"")*(P$3:P$95="")*(G$3:G$95=G16))+SUMPRODUCT((P$3:P$95&lt;&gt;"")*(G$3:G$95=G16))+SUMPRODUCT((N$3:N$95&lt;&gt;"")*(G$3:G$95=G16))+SUMPRODUCT((P$3:P$95="")*(O$3:O$95="")*(N$3:N$95="")*(M$3:M$95="P")*(G$3:G$95=G16)*(J$3:J$95&gt;J16))+IF(H16="L5",SUMPRODUCT((P$3:P$95="")*(O$3:O$95="")*(N$3:N$95="")*(M$3:M$95="P")*(G$3:G$95=G16)*(J$3:J$95&lt;J16)*(H$3:H$95&lt;&gt;H16)),-1*SUMPRODUCT((P$3:P$95="")*(O$3:O$95="")*(N$3:N$95="")*(M$3:M$95="P")*(G$3:G$95=G16)*(J$3:J$95&gt;J16)*(H$3:H$95="L5")))+1,""))))</f>
        <v>14</v>
      </c>
      <c r="C16" s="35" t="s">
        <v>111</v>
      </c>
      <c r="D16" t="str">
        <f>IF(E16="","",VLOOKUP(E16,'Coaching Points'!A:B,2,0))</f>
        <v>AB</v>
      </c>
      <c r="E16" s="35" t="s">
        <v>62</v>
      </c>
      <c r="F16" s="34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210</v>
      </c>
      <c r="I16" s="40"/>
      <c r="J16" s="4">
        <f>R16+S16+IF(OR(H16="Junior",H16="Senior"),0.0002,IF(OR(H16="L7",H16="L6"),0.0001,0))+MAX(Z16,AC16)*0.0000001</f>
        <v>96.700204989999989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MAX(T16-IF(OR(H16="Senior"),V16,0),W16-IF(OR(H16="Senior"),Y16,0),Z16-IF(OR(H16="Senior"),AB16,0),AC16-IF(OR(H16="Senior"),AE16,0))</f>
        <v>49.9</v>
      </c>
      <c r="S16" s="4">
        <f>IF(R16=T16-IF(OR(H16="Senior"),V16,0),MAX(W16-IF(OR(H16="Senior"),Y16,0),Z16-IF(OR(H16="Senior"),AB16,0),AC16-IF(OR(H16="Senior"),AE16,0)),IF(R16=W16-IF(OR(H16="Senior"),Y16,0),MAX(T16-IF(OR(H16="Senior"),V16,0),Z16-IF(OR(H16="Senior"),AB16,0),AC16-IF(OR(H16="Senior"),AE16,0)),IF(R16=Z16-IF(OR(H16="Senior"),AB16,0),MAX(T16-IF(OR(H16="Senior"),V16,0),W16-IF(OR(H16="Senior"),Y16,0),AC16-IF(OR(H16="Senior"),AE16,0)),IF(R16=AC16-IF(OR(H16="Senior"),AE16,0),MAX(T16-IF(OR(H16="Senior"),V16,0),W16-IF(OR(H16="Senior"),Y16,0),Z16-IF(OR(H16="Senior"),AB16,0)),0))))</f>
        <v>46.8</v>
      </c>
      <c r="T16" s="32">
        <v>46.8</v>
      </c>
      <c r="U16" s="37">
        <v>12.8</v>
      </c>
      <c r="V16" s="37">
        <v>0</v>
      </c>
      <c r="W16" s="33"/>
      <c r="X16" s="37"/>
      <c r="Y16" s="37"/>
      <c r="Z16" s="32">
        <v>49.9</v>
      </c>
      <c r="AA16" s="37">
        <v>15.3</v>
      </c>
      <c r="AB16" s="37">
        <v>0</v>
      </c>
      <c r="AC16" s="33"/>
      <c r="AD16" s="37"/>
      <c r="AE16" s="37"/>
    </row>
    <row r="17" spans="1:31" x14ac:dyDescent="0.2">
      <c r="A17" s="1" t="str" cm="1">
        <f t="array" ref="A17">IF(I17="","",IF(P17&lt;&gt;"",SUMPRODUCT((P$3:P$95&lt;&gt;"")*(G$3:G$95=G17)*(J$3:J$95&gt;J17)*(I$3:I$95="P"))+1,IF(O17&lt;&gt;"",SUMPRODUCT((O$3:O$95&lt;&gt;"")*(P$3:P$95="")*(G$3:G$95=G17)*(J$3:J$95&gt;J17)*(I$3:I$95="P"))+SUMPRODUCT((P$3:P$95&lt;&gt;"")*(G$3:G$95=G17)*(I$3:I$95="P"))+1,IF(N17&lt;&gt;"",SUMPRODUCT((N$3:N$95&lt;&gt;"")*(G$3:G$95=G17)*(J$3:J$95&gt;J17)*(I$3:I$95="P"))+1,IF(M17="P",SUMPRODUCT((O$3:O$95&lt;&gt;"")*(P$3:P$95="")*(G$3:G$95=G17)*(I$3:I$95="P"))+SUMPRODUCT((P$3:P$95&lt;&gt;"")*(G$3:G$95=G17)*(I$3:I$95="P"))+SUMPRODUCT((N$3:N$95&lt;&gt;"")*(G$3:G$95=G17)*(I$3:I$95="P"))+SUMPRODUCT((P$3:P$95="")*(O$3:O$95="")*(N$3:N$95="")*(M$3:M$95="P")*(G$3:G$95=G17)*(J$3:J$95&gt;J17)*(I$3:I$95="P"))+IF(H17="L5",SUMPRODUCT((P$3:P$95="")*(O$3:O$95="")*(N$3:N$95="")*(M$3:M$95="P")*(G$3:G$95=G17)*(J$3:J$95&lt;J17)*(H$3:H$95&lt;&gt;H17)*(I$3:I$95="P")),-1*SUMPRODUCT((P$3:P$95="")*(O$3:O$95="")*(N$3:N$95="")*(M$3:M$95="P")*(G$3:G$95=G17)*(J$3:J$95&gt;J17)*(H$3:H$95="L5")*(I$3:I$95="P")))+1,"")))))</f>
        <v/>
      </c>
      <c r="B17" s="1" t="str" cm="1">
        <f t="array" ref="B17">IF(P17&lt;&gt;"",SUMPRODUCT((P$3:P$95&lt;&gt;"")*(G$3:G$95=G17)*(J$3:J$95&gt;J17))+1,IF(O17&lt;&gt;"",SUMPRODUCT((O$3:O$95&lt;&gt;"")*(P$3:P$95="")*(G$3:G$95=G17)*(J$3:J$95&gt;J17))+SUMPRODUCT((P$3:P$95&lt;&gt;"")*(G$3:G$95=G17))+1,IF(N17&lt;&gt;"",SUMPRODUCT((N$3:N$95&lt;&gt;"")*(G$3:G$95=G17)*(J$3:J$95&gt;J17))+1,IF(M17="P",SUMPRODUCT((O$3:O$95&lt;&gt;"")*(P$3:P$95="")*(G$3:G$95=G17))+SUMPRODUCT((P$3:P$95&lt;&gt;"")*(G$3:G$95=G17))+SUMPRODUCT((N$3:N$95&lt;&gt;"")*(G$3:G$95=G17))+SUMPRODUCT((P$3:P$95="")*(O$3:O$95="")*(N$3:N$95="")*(M$3:M$95="P")*(G$3:G$95=G17)*(J$3:J$95&gt;J17))+IF(H17="L5",SUMPRODUCT((P$3:P$95="")*(O$3:O$95="")*(N$3:N$95="")*(M$3:M$95="P")*(G$3:G$95=G17)*(J$3:J$95&lt;J17)*(H$3:H$95&lt;&gt;H17)),-1*SUMPRODUCT((P$3:P$95="")*(O$3:O$95="")*(N$3:N$95="")*(M$3:M$95="P")*(G$3:G$95=G17)*(J$3:J$95&gt;J17)*(H$3:H$95="L5")))+1,""))))</f>
        <v/>
      </c>
      <c r="C17" s="35" t="s">
        <v>186</v>
      </c>
      <c r="D17" t="str">
        <f>IF(E17="","",VLOOKUP(E17,'Coaching Points'!A:B,2,0))</f>
        <v>BC</v>
      </c>
      <c r="E17" s="35" t="s">
        <v>122</v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>R17+S17+IF(OR(H17="Junior",H17="Senior"),0.0002,IF(OR(H17="L7",H17="L6"),0.0001,0))+MAX(Z17,AC17)*0.0000001</f>
        <v>97.500104890000003</v>
      </c>
      <c r="K17" s="3" t="str">
        <f>IF(G17="Not Age Eligible","",IF(MAX(T17,W17,Z17,AC17)&gt;=LOOKUP(G17,'Qualifying Scores'!$A$4:$A$7,'Qualifying Scores'!$F$4:$F$7),"P",""))</f>
        <v/>
      </c>
      <c r="L17" s="3" t="str">
        <f>IF(G17="Not Age Eligible","",IF(MAX(U17,X17,AA17,AD17)&gt;=LOOKUP(G17,'Qualifying Scores'!$A$10:$A$13,'Qualifying Scores'!$F$10:$F$13),"P",""))</f>
        <v/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/>
      </c>
      <c r="Q17" s="1" t="str">
        <f>IF(A17&lt;5,IF(_xlfn.MAXIFS(A:A,G:G,G17)&gt;3,5-A17,_xlfn.MAXIFS(A:A,G:G,G17)+1-A17),"")</f>
        <v/>
      </c>
      <c r="R17" s="4">
        <f>MAX(T17-IF(OR(H17="Senior"),V17,0),W17-IF(OR(H17="Senior"),Y17,0),Z17-IF(OR(H17="Senior"),AB17,0),AC17-IF(OR(H17="Senior"),AE17,0))</f>
        <v>48.9</v>
      </c>
      <c r="S17" s="4">
        <f>IF(R17=T17-IF(OR(H17="Senior"),V17,0),MAX(W17-IF(OR(H17="Senior"),Y17,0),Z17-IF(OR(H17="Senior"),AB17,0),AC17-IF(OR(H17="Senior"),AE17,0)),IF(R17=W17-IF(OR(H17="Senior"),Y17,0),MAX(T17-IF(OR(H17="Senior"),V17,0),Z17-IF(OR(H17="Senior"),AB17,0),AC17-IF(OR(H17="Senior"),AE17,0)),IF(R17=Z17-IF(OR(H17="Senior"),AB17,0),MAX(T17-IF(OR(H17="Senior"),V17,0),W17-IF(OR(H17="Senior"),Y17,0),AC17-IF(OR(H17="Senior"),AE17,0)),IF(R17=AC17-IF(OR(H17="Senior"),AE17,0),MAX(T17-IF(OR(H17="Senior"),V17,0),W17-IF(OR(H17="Senior"),Y17,0),Z17-IF(OR(H17="Senior"),AB17,0)),0))))</f>
        <v>48.6</v>
      </c>
      <c r="T17" s="32"/>
      <c r="U17" s="37"/>
      <c r="V17" s="37"/>
      <c r="W17" s="33"/>
      <c r="X17" s="37"/>
      <c r="Y17" s="37"/>
      <c r="Z17" s="32">
        <v>48.6</v>
      </c>
      <c r="AA17" s="37">
        <v>11.600000000000001</v>
      </c>
      <c r="AB17" s="37">
        <v>0</v>
      </c>
      <c r="AC17" s="33">
        <v>48.9</v>
      </c>
      <c r="AD17" s="37">
        <v>11.600000000000001</v>
      </c>
      <c r="AE17" s="37">
        <v>0</v>
      </c>
    </row>
    <row r="18" spans="1:31" x14ac:dyDescent="0.2">
      <c r="A18" s="1" t="str" cm="1">
        <f t="array" ref="A18">IF(I18="","",IF(P18&lt;&gt;"",SUMPRODUCT((P$3:P$95&lt;&gt;"")*(G$3:G$95=G18)*(J$3:J$95&gt;J18)*(I$3:I$95="P"))+1,IF(O18&lt;&gt;"",SUMPRODUCT((O$3:O$95&lt;&gt;"")*(P$3:P$95="")*(G$3:G$95=G18)*(J$3:J$95&gt;J18)*(I$3:I$95="P"))+SUMPRODUCT((P$3:P$95&lt;&gt;"")*(G$3:G$95=G18)*(I$3:I$95="P"))+1,IF(N18&lt;&gt;"",SUMPRODUCT((N$3:N$95&lt;&gt;"")*(G$3:G$95=G18)*(J$3:J$95&gt;J18)*(I$3:I$95="P"))+1,IF(M18="P",SUMPRODUCT((O$3:O$95&lt;&gt;"")*(P$3:P$95="")*(G$3:G$95=G18)*(I$3:I$95="P"))+SUMPRODUCT((P$3:P$95&lt;&gt;"")*(G$3:G$95=G18)*(I$3:I$95="P"))+SUMPRODUCT((N$3:N$95&lt;&gt;"")*(G$3:G$95=G18)*(I$3:I$95="P"))+SUMPRODUCT((P$3:P$95="")*(O$3:O$95="")*(N$3:N$95="")*(M$3:M$95="P")*(G$3:G$95=G18)*(J$3:J$95&gt;J18)*(I$3:I$95="P"))+IF(H18="L5",SUMPRODUCT((P$3:P$95="")*(O$3:O$95="")*(N$3:N$95="")*(M$3:M$95="P")*(G$3:G$95=G18)*(J$3:J$95&lt;J18)*(H$3:H$95&lt;&gt;H18)*(I$3:I$95="P")),-1*SUMPRODUCT((P$3:P$95="")*(O$3:O$95="")*(N$3:N$95="")*(M$3:M$95="P")*(G$3:G$95=G18)*(J$3:J$95&gt;J18)*(H$3:H$95="L5")*(I$3:I$95="P")))+1,"")))))</f>
        <v/>
      </c>
      <c r="B18" s="1" t="str" cm="1">
        <f t="array" ref="B18">IF(P18&lt;&gt;"",SUMPRODUCT((P$3:P$95&lt;&gt;"")*(G$3:G$95=G18)*(J$3:J$95&gt;J18))+1,IF(O18&lt;&gt;"",SUMPRODUCT((O$3:O$95&lt;&gt;"")*(P$3:P$95="")*(G$3:G$95=G18)*(J$3:J$95&gt;J18))+SUMPRODUCT((P$3:P$95&lt;&gt;"")*(G$3:G$95=G18))+1,IF(N18&lt;&gt;"",SUMPRODUCT((N$3:N$95&lt;&gt;"")*(G$3:G$95=G18)*(J$3:J$95&gt;J18))+1,IF(M18="P",SUMPRODUCT((O$3:O$95&lt;&gt;"")*(P$3:P$95="")*(G$3:G$95=G18))+SUMPRODUCT((P$3:P$95&lt;&gt;"")*(G$3:G$95=G18))+SUMPRODUCT((N$3:N$95&lt;&gt;"")*(G$3:G$95=G18))+SUMPRODUCT((P$3:P$95="")*(O$3:O$95="")*(N$3:N$95="")*(M$3:M$95="P")*(G$3:G$95=G18)*(J$3:J$95&gt;J18))+IF(H18="L5",SUMPRODUCT((P$3:P$95="")*(O$3:O$95="")*(N$3:N$95="")*(M$3:M$95="P")*(G$3:G$95=G18)*(J$3:J$95&lt;J18)*(H$3:H$95&lt;&gt;H18)),-1*SUMPRODUCT((P$3:P$95="")*(O$3:O$95="")*(N$3:N$95="")*(M$3:M$95="P")*(G$3:G$95=G18)*(J$3:J$95&gt;J18)*(H$3:H$95="L5")))+1,""))))</f>
        <v/>
      </c>
      <c r="C18" s="35" t="s">
        <v>155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210</v>
      </c>
      <c r="I18" s="40"/>
      <c r="J18" s="4">
        <f>R18+S18+IF(OR(H18="Junior",H18="Senior"),0.0002,IF(OR(H18="L7",H18="L6"),0.0001,0))+MAX(Z18,AC18)*0.0000001</f>
        <v>95.000204880000013</v>
      </c>
      <c r="K18" s="3" t="str">
        <f>IF(G18="Not Age Eligible","",IF(MAX(T18,W18,Z18,AC18)&gt;=LOOKUP(G18,'Qualifying Scores'!$A$4:$A$7,'Qualifying Scores'!$F$4:$F$7),"P",""))</f>
        <v/>
      </c>
      <c r="L18" s="3" t="str">
        <f>IF(G18="Not Age Eligible","",IF(MAX(U18,X18,AA18,AD18)&gt;=LOOKUP(G18,'Qualifying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/>
      </c>
      <c r="Q18" s="1" t="str">
        <f>IF(A18&lt;5,IF(_xlfn.MAXIFS(A:A,G:G,G18)&gt;3,5-A18,_xlfn.MAXIFS(A:A,G:G,G18)+1-A18),"")</f>
        <v/>
      </c>
      <c r="R18" s="4">
        <f>MAX(T18-IF(OR(H18="Senior"),V18,0),W18-IF(OR(H18="Senior"),Y18,0),Z18-IF(OR(H18="Senior"),AB18,0),AC18-IF(OR(H18="Senior"),AE18,0))</f>
        <v>48.8</v>
      </c>
      <c r="S18" s="4">
        <f>IF(R18=T18-IF(OR(H18="Senior"),V18,0),MAX(W18-IF(OR(H18="Senior"),Y18,0),Z18-IF(OR(H18="Senior"),AB18,0),AC18-IF(OR(H18="Senior"),AE18,0)),IF(R18=W18-IF(OR(H18="Senior"),Y18,0),MAX(T18-IF(OR(H18="Senior"),V18,0),Z18-IF(OR(H18="Senior"),AB18,0),AC18-IF(OR(H18="Senior"),AE18,0)),IF(R18=Z18-IF(OR(H18="Senior"),AB18,0),MAX(T18-IF(OR(H18="Senior"),V18,0),W18-IF(OR(H18="Senior"),Y18,0),AC18-IF(OR(H18="Senior"),AE18,0)),IF(R18=AC18-IF(OR(H18="Senior"),AE18,0),MAX(T18-IF(OR(H18="Senior"),V18,0),W18-IF(OR(H18="Senior"),Y18,0),Z18-IF(OR(H18="Senior"),AB18,0)),0))))</f>
        <v>46.2</v>
      </c>
      <c r="T18" s="32">
        <v>46.2</v>
      </c>
      <c r="U18" s="37">
        <v>12.4</v>
      </c>
      <c r="V18" s="37">
        <v>0</v>
      </c>
      <c r="W18" s="33"/>
      <c r="X18" s="37"/>
      <c r="Y18" s="37"/>
      <c r="Z18" s="32">
        <v>48.8</v>
      </c>
      <c r="AA18" s="37">
        <v>13.2</v>
      </c>
      <c r="AB18" s="37">
        <v>0</v>
      </c>
      <c r="AC18" s="33"/>
      <c r="AD18" s="37"/>
      <c r="AE18" s="37"/>
    </row>
    <row r="19" spans="1:31" x14ac:dyDescent="0.2">
      <c r="A19" s="1" t="str" cm="1">
        <f t="array" ref="A19">IF(I19="","",IF(P19&lt;&gt;"",SUMPRODUCT((P$3:P$95&lt;&gt;"")*(G$3:G$95=G19)*(J$3:J$95&gt;J19)*(I$3:I$95="P"))+1,IF(O19&lt;&gt;"",SUMPRODUCT((O$3:O$95&lt;&gt;"")*(P$3:P$95="")*(G$3:G$95=G19)*(J$3:J$95&gt;J19)*(I$3:I$95="P"))+SUMPRODUCT((P$3:P$95&lt;&gt;"")*(G$3:G$95=G19)*(I$3:I$95="P"))+1,IF(N19&lt;&gt;"",SUMPRODUCT((N$3:N$95&lt;&gt;"")*(G$3:G$95=G19)*(J$3:J$95&gt;J19)*(I$3:I$95="P"))+1,IF(M19="P",SUMPRODUCT((O$3:O$95&lt;&gt;"")*(P$3:P$95="")*(G$3:G$95=G19)*(I$3:I$95="P"))+SUMPRODUCT((P$3:P$95&lt;&gt;"")*(G$3:G$95=G19)*(I$3:I$95="P"))+SUMPRODUCT((N$3:N$95&lt;&gt;"")*(G$3:G$95=G19)*(I$3:I$95="P"))+SUMPRODUCT((P$3:P$95="")*(O$3:O$95="")*(N$3:N$95="")*(M$3:M$95="P")*(G$3:G$95=G19)*(J$3:J$95&gt;J19)*(I$3:I$95="P"))+IF(H19="L5",SUMPRODUCT((P$3:P$95="")*(O$3:O$95="")*(N$3:N$95="")*(M$3:M$95="P")*(G$3:G$95=G19)*(J$3:J$95&lt;J19)*(H$3:H$95&lt;&gt;H19)*(I$3:I$95="P")),-1*SUMPRODUCT((P$3:P$95="")*(O$3:O$95="")*(N$3:N$95="")*(M$3:M$95="P")*(G$3:G$95=G19)*(J$3:J$95&gt;J19)*(H$3:H$95="L5")*(I$3:I$95="P")))+1,"")))))</f>
        <v/>
      </c>
      <c r="B19" s="1" t="str" cm="1">
        <f t="array" ref="B19">IF(P19&lt;&gt;"",SUMPRODUCT((P$3:P$95&lt;&gt;"")*(G$3:G$95=G19)*(J$3:J$95&gt;J19))+1,IF(O19&lt;&gt;"",SUMPRODUCT((O$3:O$95&lt;&gt;"")*(P$3:P$95="")*(G$3:G$95=G19)*(J$3:J$95&gt;J19))+SUMPRODUCT((P$3:P$95&lt;&gt;"")*(G$3:G$95=G19))+1,IF(N19&lt;&gt;"",SUMPRODUCT((N$3:N$95&lt;&gt;"")*(G$3:G$95=G19)*(J$3:J$95&gt;J19))+1,IF(M19="P",SUMPRODUCT((O$3:O$95&lt;&gt;"")*(P$3:P$95="")*(G$3:G$95=G19))+SUMPRODUCT((P$3:P$95&lt;&gt;"")*(G$3:G$95=G19))+SUMPRODUCT((N$3:N$95&lt;&gt;"")*(G$3:G$95=G19))+SUMPRODUCT((P$3:P$95="")*(O$3:O$95="")*(N$3:N$95="")*(M$3:M$95="P")*(G$3:G$95=G19)*(J$3:J$95&gt;J19))+IF(H19="L5",SUMPRODUCT((P$3:P$95="")*(O$3:O$95="")*(N$3:N$95="")*(M$3:M$95="P")*(G$3:G$95=G19)*(J$3:J$95&lt;J19)*(H$3:H$95&lt;&gt;H19)),-1*SUMPRODUCT((P$3:P$95="")*(O$3:O$95="")*(N$3:N$95="")*(M$3:M$95="P")*(G$3:G$95=G19)*(J$3:J$95&gt;J19)*(H$3:H$95="L5")))+1,""))))</f>
        <v/>
      </c>
      <c r="C19" s="35" t="s">
        <v>153</v>
      </c>
      <c r="D19" t="str">
        <f>IF(E19="","",VLOOKUP(E19,'Coaching Points'!A:B,2,0))</f>
        <v>ON</v>
      </c>
      <c r="E19" s="35" t="s">
        <v>45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94.900104870000007</v>
      </c>
      <c r="K19" s="3" t="str">
        <f>IF(G19="Not Age Eligible","",IF(MAX(T19,W19,Z19,AC19)&gt;=LOOKUP(G19,'Qualifying Scores'!$A$4:$A$7,'Qualifying Scores'!$F$4:$F$7),"P",""))</f>
        <v/>
      </c>
      <c r="L19" s="3" t="str">
        <f>IF(G19="Not Age Eligible","",IF(MAX(U19,X19,AA19,AD19)&gt;=LOOKUP(G19,'Qualifying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/>
      </c>
      <c r="Q19" s="1" t="str">
        <f>IF(A19&lt;5,IF(_xlfn.MAXIFS(A:A,G:G,G19)&gt;3,5-A19,_xlfn.MAXIFS(A:A,G:G,G19)+1-A19),"")</f>
        <v/>
      </c>
      <c r="R19" s="4">
        <f>MAX(T19-IF(OR(H19="Senior"),V19,0),W19-IF(OR(H19="Senior"),Y19,0),Z19-IF(OR(H19="Senior"),AB19,0),AC19-IF(OR(H19="Senior"),AE19,0))</f>
        <v>48.7</v>
      </c>
      <c r="S19" s="4">
        <f>IF(R19=T19-IF(OR(H19="Senior"),V19,0),MAX(W19-IF(OR(H19="Senior"),Y19,0),Z19-IF(OR(H19="Senior"),AB19,0),AC19-IF(OR(H19="Senior"),AE19,0)),IF(R19=W19-IF(OR(H19="Senior"),Y19,0),MAX(T19-IF(OR(H19="Senior"),V19,0),Z19-IF(OR(H19="Senior"),AB19,0),AC19-IF(OR(H19="Senior"),AE19,0)),IF(R19=Z19-IF(OR(H19="Senior"),AB19,0),MAX(T19-IF(OR(H19="Senior"),V19,0),W19-IF(OR(H19="Senior"),Y19,0),AC19-IF(OR(H19="Senior"),AE19,0)),IF(R19=AC19-IF(OR(H19="Senior"),AE19,0),MAX(T19-IF(OR(H19="Senior"),V19,0),W19-IF(OR(H19="Senior"),Y19,0),Z19-IF(OR(H19="Senior"),AB19,0)),0))))</f>
        <v>46.2</v>
      </c>
      <c r="T19" s="32">
        <v>35.9</v>
      </c>
      <c r="U19" s="37">
        <v>5.1999999999999993</v>
      </c>
      <c r="V19" s="37">
        <v>0</v>
      </c>
      <c r="W19" s="33">
        <v>41.8</v>
      </c>
      <c r="X19" s="37">
        <v>8.8000000000000007</v>
      </c>
      <c r="Y19" s="37">
        <v>0</v>
      </c>
      <c r="Z19" s="32">
        <v>46.2</v>
      </c>
      <c r="AA19" s="37">
        <v>13.2</v>
      </c>
      <c r="AB19" s="37">
        <v>0</v>
      </c>
      <c r="AC19" s="33">
        <v>48.7</v>
      </c>
      <c r="AD19" s="37">
        <v>13.2</v>
      </c>
      <c r="AE19" s="37">
        <v>0</v>
      </c>
    </row>
    <row r="20" spans="1:31" x14ac:dyDescent="0.2">
      <c r="A20" s="1" t="str" cm="1">
        <f t="array" ref="A20">IF(I20="","",IF(P20&lt;&gt;"",SUMPRODUCT((P$3:P$95&lt;&gt;"")*(G$3:G$95=G20)*(J$3:J$95&gt;J20)*(I$3:I$95="P"))+1,IF(O20&lt;&gt;"",SUMPRODUCT((O$3:O$95&lt;&gt;"")*(P$3:P$95="")*(G$3:G$95=G20)*(J$3:J$95&gt;J20)*(I$3:I$95="P"))+SUMPRODUCT((P$3:P$95&lt;&gt;"")*(G$3:G$95=G20)*(I$3:I$95="P"))+1,IF(N20&lt;&gt;"",SUMPRODUCT((N$3:N$95&lt;&gt;"")*(G$3:G$95=G20)*(J$3:J$95&gt;J20)*(I$3:I$95="P"))+1,IF(M20="P",SUMPRODUCT((O$3:O$95&lt;&gt;"")*(P$3:P$95="")*(G$3:G$95=G20)*(I$3:I$95="P"))+SUMPRODUCT((P$3:P$95&lt;&gt;"")*(G$3:G$95=G20)*(I$3:I$95="P"))+SUMPRODUCT((N$3:N$95&lt;&gt;"")*(G$3:G$95=G20)*(I$3:I$95="P"))+SUMPRODUCT((P$3:P$95="")*(O$3:O$95="")*(N$3:N$95="")*(M$3:M$95="P")*(G$3:G$95=G20)*(J$3:J$95&gt;J20)*(I$3:I$95="P"))+IF(H20="L5",SUMPRODUCT((P$3:P$95="")*(O$3:O$95="")*(N$3:N$95="")*(M$3:M$95="P")*(G$3:G$95=G20)*(J$3:J$95&lt;J20)*(H$3:H$95&lt;&gt;H20)*(I$3:I$95="P")),-1*SUMPRODUCT((P$3:P$95="")*(O$3:O$95="")*(N$3:N$95="")*(M$3:M$95="P")*(G$3:G$95=G20)*(J$3:J$95&gt;J20)*(H$3:H$95="L5")*(I$3:I$95="P")))+1,"")))))</f>
        <v/>
      </c>
      <c r="B20" s="1" t="str" cm="1">
        <f t="array" ref="B20">IF(P20&lt;&gt;"",SUMPRODUCT((P$3:P$95&lt;&gt;"")*(G$3:G$95=G20)*(J$3:J$95&gt;J20))+1,IF(O20&lt;&gt;"",SUMPRODUCT((O$3:O$95&lt;&gt;"")*(P$3:P$95="")*(G$3:G$95=G20)*(J$3:J$95&gt;J20))+SUMPRODUCT((P$3:P$95&lt;&gt;"")*(G$3:G$95=G20))+1,IF(N20&lt;&gt;"",SUMPRODUCT((N$3:N$95&lt;&gt;"")*(G$3:G$95=G20)*(J$3:J$95&gt;J20))+1,IF(M20="P",SUMPRODUCT((O$3:O$95&lt;&gt;"")*(P$3:P$95="")*(G$3:G$95=G20))+SUMPRODUCT((P$3:P$95&lt;&gt;"")*(G$3:G$95=G20))+SUMPRODUCT((N$3:N$95&lt;&gt;"")*(G$3:G$95=G20))+SUMPRODUCT((P$3:P$95="")*(O$3:O$95="")*(N$3:N$95="")*(M$3:M$95="P")*(G$3:G$95=G20)*(J$3:J$95&gt;J20))+IF(H20="L5",SUMPRODUCT((P$3:P$95="")*(O$3:O$95="")*(N$3:N$95="")*(M$3:M$95="P")*(G$3:G$95=G20)*(J$3:J$95&lt;J20)*(H$3:H$95&lt;&gt;H20)),-1*SUMPRODUCT((P$3:P$95="")*(O$3:O$95="")*(N$3:N$95="")*(M$3:M$95="P")*(G$3:G$95=G20)*(J$3:J$95&gt;J20)*(H$3:H$95="L5")))+1,""))))</f>
        <v/>
      </c>
      <c r="C20" s="35" t="s">
        <v>154</v>
      </c>
      <c r="D20" t="str">
        <f>IF(E20="","",VLOOKUP(E20,'Coaching Points'!A:B,2,0))</f>
        <v>AB</v>
      </c>
      <c r="E20" s="35" t="s">
        <v>28</v>
      </c>
      <c r="F20" s="34">
        <v>2008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>R20+S20+IF(OR(H20="Junior",H20="Senior"),0.0002,IF(OR(H20="L7",H20="L6"),0.0001,0))+MAX(Z20,AC20)*0.0000001</f>
        <v>93.300104680000004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>IF(A20&lt;5,IF(_xlfn.MAXIFS(A:A,G:G,G20)&gt;3,5-A20,_xlfn.MAXIFS(A:A,G:G,G20)+1-A20),"")</f>
        <v/>
      </c>
      <c r="R20" s="4">
        <f>MAX(T20-IF(OR(H20="Senior"),V20,0),W20-IF(OR(H20="Senior"),Y20,0),Z20-IF(OR(H20="Senior"),AB20,0),AC20-IF(OR(H20="Senior"),AE20,0))</f>
        <v>46.8</v>
      </c>
      <c r="S20" s="4">
        <f>IF(R20=T20-IF(OR(H20="Senior"),V20,0),MAX(W20-IF(OR(H20="Senior"),Y20,0),Z20-IF(OR(H20="Senior"),AB20,0),AC20-IF(OR(H20="Senior"),AE20,0)),IF(R20=W20-IF(OR(H20="Senior"),Y20,0),MAX(T20-IF(OR(H20="Senior"),V20,0),Z20-IF(OR(H20="Senior"),AB20,0),AC20-IF(OR(H20="Senior"),AE20,0)),IF(R20=Z20-IF(OR(H20="Senior"),AB20,0),MAX(T20-IF(OR(H20="Senior"),V20,0),W20-IF(OR(H20="Senior"),Y20,0),AC20-IF(OR(H20="Senior"),AE20,0)),IF(R20=AC20-IF(OR(H20="Senior"),AE20,0),MAX(T20-IF(OR(H20="Senior"),V20,0),W20-IF(OR(H20="Senior"),Y20,0),Z20-IF(OR(H20="Senior"),AB20,0)),0))))</f>
        <v>46.5</v>
      </c>
      <c r="T20" s="32">
        <v>44.9</v>
      </c>
      <c r="U20" s="37">
        <v>10.3</v>
      </c>
      <c r="V20" s="37">
        <v>0</v>
      </c>
      <c r="W20" s="33">
        <v>45.3</v>
      </c>
      <c r="X20" s="37">
        <v>10.3</v>
      </c>
      <c r="Y20" s="37">
        <v>0</v>
      </c>
      <c r="Z20" s="32">
        <v>46.5</v>
      </c>
      <c r="AA20" s="37">
        <v>10.399999999999999</v>
      </c>
      <c r="AB20" s="37">
        <v>0</v>
      </c>
      <c r="AC20" s="33">
        <v>46.8</v>
      </c>
      <c r="AD20" s="37">
        <v>11.6</v>
      </c>
      <c r="AE20" s="37">
        <v>0</v>
      </c>
    </row>
    <row r="21" spans="1:31" x14ac:dyDescent="0.2">
      <c r="A21" s="1" t="str" cm="1">
        <f t="array" ref="A21">IF(I21="","",IF(P21&lt;&gt;"",SUMPRODUCT((P$3:P$95&lt;&gt;"")*(G$3:G$95=G21)*(J$3:J$95&gt;J21)*(I$3:I$95="P"))+1,IF(O21&lt;&gt;"",SUMPRODUCT((O$3:O$95&lt;&gt;"")*(P$3:P$95="")*(G$3:G$95=G21)*(J$3:J$95&gt;J21)*(I$3:I$95="P"))+SUMPRODUCT((P$3:P$95&lt;&gt;"")*(G$3:G$95=G21)*(I$3:I$95="P"))+1,IF(N21&lt;&gt;"",SUMPRODUCT((N$3:N$95&lt;&gt;"")*(G$3:G$95=G21)*(J$3:J$95&gt;J21)*(I$3:I$95="P"))+1,IF(M21="P",SUMPRODUCT((O$3:O$95&lt;&gt;"")*(P$3:P$95="")*(G$3:G$95=G21)*(I$3:I$95="P"))+SUMPRODUCT((P$3:P$95&lt;&gt;"")*(G$3:G$95=G21)*(I$3:I$95="P"))+SUMPRODUCT((N$3:N$95&lt;&gt;"")*(G$3:G$95=G21)*(I$3:I$95="P"))+SUMPRODUCT((P$3:P$95="")*(O$3:O$95="")*(N$3:N$95="")*(M$3:M$95="P")*(G$3:G$95=G21)*(J$3:J$95&gt;J21)*(I$3:I$95="P"))+IF(H21="L5",SUMPRODUCT((P$3:P$95="")*(O$3:O$95="")*(N$3:N$95="")*(M$3:M$95="P")*(G$3:G$95=G21)*(J$3:J$95&lt;J21)*(H$3:H$95&lt;&gt;H21)*(I$3:I$95="P")),-1*SUMPRODUCT((P$3:P$95="")*(O$3:O$95="")*(N$3:N$95="")*(M$3:M$95="P")*(G$3:G$95=G21)*(J$3:J$95&gt;J21)*(H$3:H$95="L5")*(I$3:I$95="P")))+1,"")))))</f>
        <v/>
      </c>
      <c r="B21" s="1" t="str" cm="1">
        <f t="array" ref="B21">IF(P21&lt;&gt;"",SUMPRODUCT((P$3:P$95&lt;&gt;"")*(G$3:G$95=G21)*(J$3:J$95&gt;J21))+1,IF(O21&lt;&gt;"",SUMPRODUCT((O$3:O$95&lt;&gt;"")*(P$3:P$95="")*(G$3:G$95=G21)*(J$3:J$95&gt;J21))+SUMPRODUCT((P$3:P$95&lt;&gt;"")*(G$3:G$95=G21))+1,IF(N21&lt;&gt;"",SUMPRODUCT((N$3:N$95&lt;&gt;"")*(G$3:G$95=G21)*(J$3:J$95&gt;J21))+1,IF(M21="P",SUMPRODUCT((O$3:O$95&lt;&gt;"")*(P$3:P$95="")*(G$3:G$95=G21))+SUMPRODUCT((P$3:P$95&lt;&gt;"")*(G$3:G$95=G21))+SUMPRODUCT((N$3:N$95&lt;&gt;"")*(G$3:G$95=G21))+SUMPRODUCT((P$3:P$95="")*(O$3:O$95="")*(N$3:N$95="")*(M$3:M$95="P")*(G$3:G$95=G21)*(J$3:J$95&gt;J21))+IF(H21="L5",SUMPRODUCT((P$3:P$95="")*(O$3:O$95="")*(N$3:N$95="")*(M$3:M$95="P")*(G$3:G$95=G21)*(J$3:J$95&lt;J21)*(H$3:H$95&lt;&gt;H21)),-1*SUMPRODUCT((P$3:P$95="")*(O$3:O$95="")*(N$3:N$95="")*(M$3:M$95="P")*(G$3:G$95=G21)*(J$3:J$95&gt;J21)*(H$3:H$95="L5")))+1,""))))</f>
        <v/>
      </c>
      <c r="C21" s="35" t="s">
        <v>348</v>
      </c>
      <c r="D21" t="str">
        <f>IF(E21="","",VLOOKUP(E21,'Coaching Points'!A:B,2,0))</f>
        <v>BC</v>
      </c>
      <c r="E21" s="35" t="s">
        <v>60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93.200100000000006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>IF(A21&lt;5,IF(_xlfn.MAXIFS(A:A,G:G,G21)&gt;3,5-A21,_xlfn.MAXIFS(A:A,G:G,G21)+1-A21),"")</f>
        <v/>
      </c>
      <c r="R21" s="4">
        <f>MAX(T21-IF(OR(H21="Senior"),V21,0),W21-IF(OR(H21="Senior"),Y21,0),Z21-IF(OR(H21="Senior"),AB21,0),AC21-IF(OR(H21="Senior"),AE21,0))</f>
        <v>46.7</v>
      </c>
      <c r="S21" s="4">
        <f>IF(R21=T21-IF(OR(H21="Senior"),V21,0),MAX(W21-IF(OR(H21="Senior"),Y21,0),Z21-IF(OR(H21="Senior"),AB21,0),AC21-IF(OR(H21="Senior"),AE21,0)),IF(R21=W21-IF(OR(H21="Senior"),Y21,0),MAX(T21-IF(OR(H21="Senior"),V21,0),Z21-IF(OR(H21="Senior"),AB21,0),AC21-IF(OR(H21="Senior"),AE21,0)),IF(R21=Z21-IF(OR(H21="Senior"),AB21,0),MAX(T21-IF(OR(H21="Senior"),V21,0),W21-IF(OR(H21="Senior"),Y21,0),AC21-IF(OR(H21="Senior"),AE21,0)),IF(R21=AC21-IF(OR(H21="Senior"),AE21,0),MAX(T21-IF(OR(H21="Senior"),V21,0),W21-IF(OR(H21="Senior"),Y21,0),Z21-IF(OR(H21="Senior"),AB21,0)),0))))</f>
        <v>46.5</v>
      </c>
      <c r="T21" s="32">
        <v>46.5</v>
      </c>
      <c r="U21" s="37">
        <v>9.6000000000000014</v>
      </c>
      <c r="V21" s="37">
        <v>0</v>
      </c>
      <c r="W21" s="33">
        <v>46.7</v>
      </c>
      <c r="X21" s="37">
        <v>10.4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$95&lt;&gt;"")*(G$3:G$95=G22)*(J$3:J$95&gt;J22)*(I$3:I$95="P"))+1,IF(O22&lt;&gt;"",SUMPRODUCT((O$3:O$95&lt;&gt;"")*(P$3:P$95="")*(G$3:G$95=G22)*(J$3:J$95&gt;J22)*(I$3:I$95="P"))+SUMPRODUCT((P$3:P$95&lt;&gt;"")*(G$3:G$95=G22)*(I$3:I$95="P"))+1,IF(N22&lt;&gt;"",SUMPRODUCT((N$3:N$95&lt;&gt;"")*(G$3:G$95=G22)*(J$3:J$95&gt;J22)*(I$3:I$95="P"))+1,IF(M22="P",SUMPRODUCT((O$3:O$95&lt;&gt;"")*(P$3:P$95="")*(G$3:G$95=G22)*(I$3:I$95="P"))+SUMPRODUCT((P$3:P$95&lt;&gt;"")*(G$3:G$95=G22)*(I$3:I$95="P"))+SUMPRODUCT((N$3:N$95&lt;&gt;"")*(G$3:G$95=G22)*(I$3:I$95="P"))+SUMPRODUCT((P$3:P$95="")*(O$3:O$95="")*(N$3:N$95="")*(M$3:M$95="P")*(G$3:G$95=G22)*(J$3:J$95&gt;J22)*(I$3:I$95="P"))+IF(H22="L5",SUMPRODUCT((P$3:P$95="")*(O$3:O$95="")*(N$3:N$95="")*(M$3:M$95="P")*(G$3:G$95=G22)*(J$3:J$95&lt;J22)*(H$3:H$95&lt;&gt;H22)*(I$3:I$95="P")),-1*SUMPRODUCT((P$3:P$95="")*(O$3:O$95="")*(N$3:N$95="")*(M$3:M$95="P")*(G$3:G$95=G22)*(J$3:J$95&gt;J22)*(H$3:H$95="L5")*(I$3:I$95="P")))+1,"")))))</f>
        <v/>
      </c>
      <c r="B22" s="1" t="str" cm="1">
        <f t="array" ref="B22">IF(P22&lt;&gt;"",SUMPRODUCT((P$3:P$95&lt;&gt;"")*(G$3:G$95=G22)*(J$3:J$95&gt;J22))+1,IF(O22&lt;&gt;"",SUMPRODUCT((O$3:O$95&lt;&gt;"")*(P$3:P$95="")*(G$3:G$95=G22)*(J$3:J$95&gt;J22))+SUMPRODUCT((P$3:P$95&lt;&gt;"")*(G$3:G$95=G22))+1,IF(N22&lt;&gt;"",SUMPRODUCT((N$3:N$95&lt;&gt;"")*(G$3:G$95=G22)*(J$3:J$95&gt;J22))+1,IF(M22="P",SUMPRODUCT((O$3:O$95&lt;&gt;"")*(P$3:P$95="")*(G$3:G$95=G22))+SUMPRODUCT((P$3:P$95&lt;&gt;"")*(G$3:G$95=G22))+SUMPRODUCT((N$3:N$95&lt;&gt;"")*(G$3:G$95=G22))+SUMPRODUCT((P$3:P$95="")*(O$3:O$95="")*(N$3:N$95="")*(M$3:M$95="P")*(G$3:G$95=G22)*(J$3:J$95&gt;J22))+IF(H22="L5",SUMPRODUCT((P$3:P$95="")*(O$3:O$95="")*(N$3:N$95="")*(M$3:M$95="P")*(G$3:G$95=G22)*(J$3:J$95&lt;J22)*(H$3:H$95&lt;&gt;H22)),-1*SUMPRODUCT((P$3:P$95="")*(O$3:O$95="")*(N$3:N$95="")*(M$3:M$95="P")*(G$3:G$95=G22)*(J$3:J$95&gt;J22)*(H$3:H$95="L5")))+1,""))))</f>
        <v/>
      </c>
      <c r="C22" s="35" t="s">
        <v>78</v>
      </c>
      <c r="D22" t="str">
        <f>IF(E22="","",VLOOKUP(E22,'Coaching Points'!A:B,2,0))</f>
        <v>BC</v>
      </c>
      <c r="E22" s="35" t="s">
        <v>60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210</v>
      </c>
      <c r="I22" s="40"/>
      <c r="J22" s="4">
        <f>R22+S22+IF(OR(H22="Junior",H22="Senior"),0.0002,IF(OR(H22="L7",H22="L6"),0.0001,0))+MAX(Z22,AC22)*0.0000001</f>
        <v>93.000204490000002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>IF(A22&lt;5,IF(_xlfn.MAXIFS(A:A,G:G,G22)&gt;3,5-A22,_xlfn.MAXIFS(A:A,G:G,G22)+1-A22),"")</f>
        <v/>
      </c>
      <c r="R22" s="4">
        <f>MAX(T22-IF(OR(H22="Senior"),V22,0),W22-IF(OR(H22="Senior"),Y22,0),Z22-IF(OR(H22="Senior"),AB22,0),AC22-IF(OR(H22="Senior"),AE22,0))</f>
        <v>48.1</v>
      </c>
      <c r="S22" s="4">
        <f>IF(R22=T22-IF(OR(H22="Senior"),V22,0),MAX(W22-IF(OR(H22="Senior"),Y22,0),Z22-IF(OR(H22="Senior"),AB22,0),AC22-IF(OR(H22="Senior"),AE22,0)),IF(R22=W22-IF(OR(H22="Senior"),Y22,0),MAX(T22-IF(OR(H22="Senior"),V22,0),Z22-IF(OR(H22="Senior"),AB22,0),AC22-IF(OR(H22="Senior"),AE22,0)),IF(R22=Z22-IF(OR(H22="Senior"),AB22,0),MAX(T22-IF(OR(H22="Senior"),V22,0),W22-IF(OR(H22="Senior"),Y22,0),AC22-IF(OR(H22="Senior"),AE22,0)),IF(R22=AC22-IF(OR(H22="Senior"),AE22,0),MAX(T22-IF(OR(H22="Senior"),V22,0),W22-IF(OR(H22="Senior"),Y22,0),Z22-IF(OR(H22="Senior"),AB22,0)),0))))</f>
        <v>44.9</v>
      </c>
      <c r="T22" s="32">
        <v>48.1</v>
      </c>
      <c r="U22" s="37">
        <v>13.2</v>
      </c>
      <c r="V22" s="37">
        <v>0</v>
      </c>
      <c r="W22" s="33"/>
      <c r="X22" s="37"/>
      <c r="Y22" s="37"/>
      <c r="Z22" s="32">
        <v>44.9</v>
      </c>
      <c r="AA22" s="37">
        <v>12.399999999999999</v>
      </c>
      <c r="AB22" s="37">
        <v>0</v>
      </c>
      <c r="AC22" s="33"/>
      <c r="AD22" s="37"/>
      <c r="AE22" s="37"/>
    </row>
    <row r="23" spans="1:31" x14ac:dyDescent="0.2">
      <c r="A23" s="1" t="str" cm="1">
        <f t="array" ref="A23">IF(I23="","",IF(P23&lt;&gt;"",SUMPRODUCT((P$3:P$95&lt;&gt;"")*(G$3:G$95=G23)*(J$3:J$95&gt;J23)*(I$3:I$95="P"))+1,IF(O23&lt;&gt;"",SUMPRODUCT((O$3:O$95&lt;&gt;"")*(P$3:P$95="")*(G$3:G$95=G23)*(J$3:J$95&gt;J23)*(I$3:I$95="P"))+SUMPRODUCT((P$3:P$95&lt;&gt;"")*(G$3:G$95=G23)*(I$3:I$95="P"))+1,IF(N23&lt;&gt;"",SUMPRODUCT((N$3:N$95&lt;&gt;"")*(G$3:G$95=G23)*(J$3:J$95&gt;J23)*(I$3:I$95="P"))+1,IF(M23="P",SUMPRODUCT((O$3:O$95&lt;&gt;"")*(P$3:P$95="")*(G$3:G$95=G23)*(I$3:I$95="P"))+SUMPRODUCT((P$3:P$95&lt;&gt;"")*(G$3:G$95=G23)*(I$3:I$95="P"))+SUMPRODUCT((N$3:N$95&lt;&gt;"")*(G$3:G$95=G23)*(I$3:I$95="P"))+SUMPRODUCT((P$3:P$95="")*(O$3:O$95="")*(N$3:N$95="")*(M$3:M$95="P")*(G$3:G$95=G23)*(J$3:J$95&gt;J23)*(I$3:I$95="P"))+IF(H23="L5",SUMPRODUCT((P$3:P$95="")*(O$3:O$95="")*(N$3:N$95="")*(M$3:M$95="P")*(G$3:G$95=G23)*(J$3:J$95&lt;J23)*(H$3:H$95&lt;&gt;H23)*(I$3:I$95="P")),-1*SUMPRODUCT((P$3:P$95="")*(O$3:O$95="")*(N$3:N$95="")*(M$3:M$95="P")*(G$3:G$95=G23)*(J$3:J$95&gt;J23)*(H$3:H$95="L5")*(I$3:I$95="P")))+1,"")))))</f>
        <v/>
      </c>
      <c r="B23" s="1" t="str" cm="1">
        <f t="array" ref="B23">IF(P23&lt;&gt;"",SUMPRODUCT((P$3:P$95&lt;&gt;"")*(G$3:G$95=G23)*(J$3:J$95&gt;J23))+1,IF(O23&lt;&gt;"",SUMPRODUCT((O$3:O$95&lt;&gt;"")*(P$3:P$95="")*(G$3:G$95=G23)*(J$3:J$95&gt;J23))+SUMPRODUCT((P$3:P$95&lt;&gt;"")*(G$3:G$95=G23))+1,IF(N23&lt;&gt;"",SUMPRODUCT((N$3:N$95&lt;&gt;"")*(G$3:G$95=G23)*(J$3:J$95&gt;J23))+1,IF(M23="P",SUMPRODUCT((O$3:O$95&lt;&gt;"")*(P$3:P$95="")*(G$3:G$95=G23))+SUMPRODUCT((P$3:P$95&lt;&gt;"")*(G$3:G$95=G23))+SUMPRODUCT((N$3:N$95&lt;&gt;"")*(G$3:G$95=G23))+SUMPRODUCT((P$3:P$95="")*(O$3:O$95="")*(N$3:N$95="")*(M$3:M$95="P")*(G$3:G$95=G23)*(J$3:J$95&gt;J23))+IF(H23="L5",SUMPRODUCT((P$3:P$95="")*(O$3:O$95="")*(N$3:N$95="")*(M$3:M$95="P")*(G$3:G$95=G23)*(J$3:J$95&lt;J23)*(H$3:H$95&lt;&gt;H23)),-1*SUMPRODUCT((P$3:P$95="")*(O$3:O$95="")*(N$3:N$95="")*(M$3:M$95="P")*(G$3:G$95=G23)*(J$3:J$95&gt;J23)*(H$3:H$95="L5")))+1,""))))</f>
        <v/>
      </c>
      <c r="C23" s="35" t="s">
        <v>204</v>
      </c>
      <c r="D23" t="str">
        <f>IF(E23="","",VLOOKUP(E23,'Coaching Points'!A:B,2,0))</f>
        <v>QC</v>
      </c>
      <c r="E23" s="35" t="s">
        <v>75</v>
      </c>
      <c r="F23" s="34">
        <v>2008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91.000004660000002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>IF(A23&lt;5,IF(_xlfn.MAXIFS(A:A,G:G,G23)&gt;3,5-A23,_xlfn.MAXIFS(A:A,G:G,G23)+1-A23),"")</f>
        <v/>
      </c>
      <c r="R23" s="4">
        <f>MAX(T23-IF(OR(H23="Senior"),V23,0),W23-IF(OR(H23="Senior"),Y23,0),Z23-IF(OR(H23="Senior"),AB23,0),AC23-IF(OR(H23="Senior"),AE23,0))</f>
        <v>46.6</v>
      </c>
      <c r="S23" s="4">
        <f>IF(R23=T23-IF(OR(H23="Senior"),V23,0),MAX(W23-IF(OR(H23="Senior"),Y23,0),Z23-IF(OR(H23="Senior"),AB23,0),AC23-IF(OR(H23="Senior"),AE23,0)),IF(R23=W23-IF(OR(H23="Senior"),Y23,0),MAX(T23-IF(OR(H23="Senior"),V23,0),Z23-IF(OR(H23="Senior"),AB23,0),AC23-IF(OR(H23="Senior"),AE23,0)),IF(R23=Z23-IF(OR(H23="Senior"),AB23,0),MAX(T23-IF(OR(H23="Senior"),V23,0),W23-IF(OR(H23="Senior"),Y23,0),AC23-IF(OR(H23="Senior"),AE23,0)),IF(R23=AC23-IF(OR(H23="Senior"),AE23,0),MAX(T23-IF(OR(H23="Senior"),V23,0),W23-IF(OR(H23="Senior"),Y23,0),Z23-IF(OR(H23="Senior"),AB23,0)),0))))</f>
        <v>44.4</v>
      </c>
      <c r="T23" s="32">
        <v>22.4</v>
      </c>
      <c r="U23" s="37">
        <v>3.3</v>
      </c>
      <c r="V23" s="37">
        <v>0</v>
      </c>
      <c r="W23" s="33"/>
      <c r="X23" s="37"/>
      <c r="Y23" s="37"/>
      <c r="Z23" s="32">
        <v>44.4</v>
      </c>
      <c r="AA23" s="37">
        <v>6.3</v>
      </c>
      <c r="AB23" s="37">
        <v>0</v>
      </c>
      <c r="AC23" s="33">
        <v>46.6</v>
      </c>
      <c r="AD23" s="37">
        <v>9.6</v>
      </c>
      <c r="AE23" s="37">
        <v>0</v>
      </c>
    </row>
    <row r="24" spans="1:31" x14ac:dyDescent="0.2">
      <c r="A24" s="1" t="str" cm="1">
        <f t="array" ref="A24">IF(I24="","",IF(P24&lt;&gt;"",SUMPRODUCT((P$3:P$95&lt;&gt;"")*(G$3:G$95=G24)*(J$3:J$95&gt;J24)*(I$3:I$95="P"))+1,IF(O24&lt;&gt;"",SUMPRODUCT((O$3:O$95&lt;&gt;"")*(P$3:P$95="")*(G$3:G$95=G24)*(J$3:J$95&gt;J24)*(I$3:I$95="P"))+SUMPRODUCT((P$3:P$95&lt;&gt;"")*(G$3:G$95=G24)*(I$3:I$95="P"))+1,IF(N24&lt;&gt;"",SUMPRODUCT((N$3:N$95&lt;&gt;"")*(G$3:G$95=G24)*(J$3:J$95&gt;J24)*(I$3:I$95="P"))+1,IF(M24="P",SUMPRODUCT((O$3:O$95&lt;&gt;"")*(P$3:P$95="")*(G$3:G$95=G24)*(I$3:I$95="P"))+SUMPRODUCT((P$3:P$95&lt;&gt;"")*(G$3:G$95=G24)*(I$3:I$95="P"))+SUMPRODUCT((N$3:N$95&lt;&gt;"")*(G$3:G$95=G24)*(I$3:I$95="P"))+SUMPRODUCT((P$3:P$95="")*(O$3:O$95="")*(N$3:N$95="")*(M$3:M$95="P")*(G$3:G$95=G24)*(J$3:J$95&gt;J24)*(I$3:I$95="P"))+IF(H24="L5",SUMPRODUCT((P$3:P$95="")*(O$3:O$95="")*(N$3:N$95="")*(M$3:M$95="P")*(G$3:G$95=G24)*(J$3:J$95&lt;J24)*(H$3:H$95&lt;&gt;H24)*(I$3:I$95="P")),-1*SUMPRODUCT((P$3:P$95="")*(O$3:O$95="")*(N$3:N$95="")*(M$3:M$95="P")*(G$3:G$95=G24)*(J$3:J$95&gt;J24)*(H$3:H$95="L5")*(I$3:I$95="P")))+1,"")))))</f>
        <v/>
      </c>
      <c r="B24" s="1" t="str" cm="1">
        <f t="array" ref="B24">IF(P24&lt;&gt;"",SUMPRODUCT((P$3:P$95&lt;&gt;"")*(G$3:G$95=G24)*(J$3:J$95&gt;J24))+1,IF(O24&lt;&gt;"",SUMPRODUCT((O$3:O$95&lt;&gt;"")*(P$3:P$95="")*(G$3:G$95=G24)*(J$3:J$95&gt;J24))+SUMPRODUCT((P$3:P$95&lt;&gt;"")*(G$3:G$95=G24))+1,IF(N24&lt;&gt;"",SUMPRODUCT((N$3:N$95&lt;&gt;"")*(G$3:G$95=G24)*(J$3:J$95&gt;J24))+1,IF(M24="P",SUMPRODUCT((O$3:O$95&lt;&gt;"")*(P$3:P$95="")*(G$3:G$95=G24))+SUMPRODUCT((P$3:P$95&lt;&gt;"")*(G$3:G$95=G24))+SUMPRODUCT((N$3:N$95&lt;&gt;"")*(G$3:G$95=G24))+SUMPRODUCT((P$3:P$95="")*(O$3:O$95="")*(N$3:N$95="")*(M$3:M$95="P")*(G$3:G$95=G24)*(J$3:J$95&gt;J24))+IF(H24="L5",SUMPRODUCT((P$3:P$95="")*(O$3:O$95="")*(N$3:N$95="")*(M$3:M$95="P")*(G$3:G$95=G24)*(J$3:J$95&lt;J24)*(H$3:H$95&lt;&gt;H24)),-1*SUMPRODUCT((P$3:P$95="")*(O$3:O$95="")*(N$3:N$95="")*(M$3:M$95="P")*(G$3:G$95=G24)*(J$3:J$95&gt;J24)*(H$3:H$95="L5")))+1,""))))</f>
        <v/>
      </c>
      <c r="C24" s="35" t="s">
        <v>359</v>
      </c>
      <c r="D24" t="str">
        <f>IF(E24="","",VLOOKUP(E24,'Coaching Points'!A:B,2,0))</f>
        <v>BC</v>
      </c>
      <c r="E24" s="35" t="s">
        <v>40</v>
      </c>
      <c r="F24" s="34">
        <v>2008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90.900004480000007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MAX(T24-IF(OR(H24="Senior"),V24,0),W24-IF(OR(H24="Senior"),Y24,0),Z24-IF(OR(H24="Senior"),AB24,0),AC24-IF(OR(H24="Senior"),AE24,0))</f>
        <v>46.1</v>
      </c>
      <c r="S24" s="4">
        <f>IF(R24=T24-IF(OR(H24="Senior"),V24,0),MAX(W24-IF(OR(H24="Senior"),Y24,0),Z24-IF(OR(H24="Senior"),AB24,0),AC24-IF(OR(H24="Senior"),AE24,0)),IF(R24=W24-IF(OR(H24="Senior"),Y24,0),MAX(T24-IF(OR(H24="Senior"),V24,0),Z24-IF(OR(H24="Senior"),AB24,0),AC24-IF(OR(H24="Senior"),AE24,0)),IF(R24=Z24-IF(OR(H24="Senior"),AB24,0),MAX(T24-IF(OR(H24="Senior"),V24,0),W24-IF(OR(H24="Senior"),Y24,0),AC24-IF(OR(H24="Senior"),AE24,0)),IF(R24=AC24-IF(OR(H24="Senior"),AE24,0),MAX(T24-IF(OR(H24="Senior"),V24,0),W24-IF(OR(H24="Senior"),Y24,0),Z24-IF(OR(H24="Senior"),AB24,0)),0))))</f>
        <v>44.8</v>
      </c>
      <c r="T24" s="32">
        <v>46.1</v>
      </c>
      <c r="U24" s="37">
        <v>9.6</v>
      </c>
      <c r="V24" s="37">
        <v>0</v>
      </c>
      <c r="W24" s="33">
        <v>38</v>
      </c>
      <c r="X24" s="37">
        <v>4.5999999999999996</v>
      </c>
      <c r="Y24" s="37">
        <v>0</v>
      </c>
      <c r="Z24" s="32">
        <v>35.4</v>
      </c>
      <c r="AA24" s="37">
        <v>5.1999999999999993</v>
      </c>
      <c r="AB24" s="37">
        <v>0</v>
      </c>
      <c r="AC24" s="33">
        <v>44.8</v>
      </c>
      <c r="AD24" s="37">
        <v>10</v>
      </c>
      <c r="AE24" s="37">
        <v>0</v>
      </c>
    </row>
    <row r="25" spans="1:31" x14ac:dyDescent="0.2">
      <c r="A25" s="1" t="str" cm="1">
        <f t="array" ref="A25">IF(I25="","",IF(P25&lt;&gt;"",SUMPRODUCT((P$3:P$95&lt;&gt;"")*(G$3:G$95=G25)*(J$3:J$95&gt;J25)*(I$3:I$95="P"))+1,IF(O25&lt;&gt;"",SUMPRODUCT((O$3:O$95&lt;&gt;"")*(P$3:P$95="")*(G$3:G$95=G25)*(J$3:J$95&gt;J25)*(I$3:I$95="P"))+SUMPRODUCT((P$3:P$95&lt;&gt;"")*(G$3:G$95=G25)*(I$3:I$95="P"))+1,IF(N25&lt;&gt;"",SUMPRODUCT((N$3:N$95&lt;&gt;"")*(G$3:G$95=G25)*(J$3:J$95&gt;J25)*(I$3:I$95="P"))+1,IF(M25="P",SUMPRODUCT((O$3:O$95&lt;&gt;"")*(P$3:P$95="")*(G$3:G$95=G25)*(I$3:I$95="P"))+SUMPRODUCT((P$3:P$95&lt;&gt;"")*(G$3:G$95=G25)*(I$3:I$95="P"))+SUMPRODUCT((N$3:N$95&lt;&gt;"")*(G$3:G$95=G25)*(I$3:I$95="P"))+SUMPRODUCT((P$3:P$95="")*(O$3:O$95="")*(N$3:N$95="")*(M$3:M$95="P")*(G$3:G$95=G25)*(J$3:J$95&gt;J25)*(I$3:I$95="P"))+IF(H25="L5",SUMPRODUCT((P$3:P$95="")*(O$3:O$95="")*(N$3:N$95="")*(M$3:M$95="P")*(G$3:G$95=G25)*(J$3:J$95&lt;J25)*(H$3:H$95&lt;&gt;H25)*(I$3:I$95="P")),-1*SUMPRODUCT((P$3:P$95="")*(O$3:O$95="")*(N$3:N$95="")*(M$3:M$95="P")*(G$3:G$95=G25)*(J$3:J$95&gt;J25)*(H$3:H$95="L5")*(I$3:I$95="P")))+1,"")))))</f>
        <v/>
      </c>
      <c r="B25" s="1" t="str" cm="1">
        <f t="array" ref="B25">IF(P25&lt;&gt;"",SUMPRODUCT((P$3:P$95&lt;&gt;"")*(G$3:G$95=G25)*(J$3:J$95&gt;J25))+1,IF(O25&lt;&gt;"",SUMPRODUCT((O$3:O$95&lt;&gt;"")*(P$3:P$95="")*(G$3:G$95=G25)*(J$3:J$95&gt;J25))+SUMPRODUCT((P$3:P$95&lt;&gt;"")*(G$3:G$95=G25))+1,IF(N25&lt;&gt;"",SUMPRODUCT((N$3:N$95&lt;&gt;"")*(G$3:G$95=G25)*(J$3:J$95&gt;J25))+1,IF(M25="P",SUMPRODUCT((O$3:O$95&lt;&gt;"")*(P$3:P$95="")*(G$3:G$95=G25))+SUMPRODUCT((P$3:P$95&lt;&gt;"")*(G$3:G$95=G25))+SUMPRODUCT((N$3:N$95&lt;&gt;"")*(G$3:G$95=G25))+SUMPRODUCT((P$3:P$95="")*(O$3:O$95="")*(N$3:N$95="")*(M$3:M$95="P")*(G$3:G$95=G25)*(J$3:J$95&gt;J25))+IF(H25="L5",SUMPRODUCT((P$3:P$95="")*(O$3:O$95="")*(N$3:N$95="")*(M$3:M$95="P")*(G$3:G$95=G25)*(J$3:J$95&lt;J25)*(H$3:H$95&lt;&gt;H25)),-1*SUMPRODUCT((P$3:P$95="")*(O$3:O$95="")*(N$3:N$95="")*(M$3:M$95="P")*(G$3:G$95=G25)*(J$3:J$95&gt;J25)*(H$3:H$95="L5")))+1,""))))</f>
        <v/>
      </c>
      <c r="C25" s="35" t="s">
        <v>404</v>
      </c>
      <c r="D25" t="str">
        <f>IF(E25="","",VLOOKUP(E25,'Coaching Points'!A:B,2,0))</f>
        <v>ON</v>
      </c>
      <c r="E25" s="35" t="s">
        <v>67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213</v>
      </c>
      <c r="I25" s="40"/>
      <c r="J25" s="4">
        <f>R25+S25+IF(OR(H25="Junior",H25="Senior"),0.0002,IF(OR(H25="L7",H25="L6"),0.0001,0))+MAX(Z25,AC25)*0.0000001</f>
        <v>90.200104720000013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MAX(T25-IF(OR(H25="Senior"),V25,0),W25-IF(OR(H25="Senior"),Y25,0),Z25-IF(OR(H25="Senior"),AB25,0),AC25-IF(OR(H25="Senior"),AE25,0))</f>
        <v>47.2</v>
      </c>
      <c r="S25" s="4">
        <f>IF(R25=T25-IF(OR(H25="Senior"),V25,0),MAX(W25-IF(OR(H25="Senior"),Y25,0),Z25-IF(OR(H25="Senior"),AB25,0),AC25-IF(OR(H25="Senior"),AE25,0)),IF(R25=W25-IF(OR(H25="Senior"),Y25,0),MAX(T25-IF(OR(H25="Senior"),V25,0),Z25-IF(OR(H25="Senior"),AB25,0),AC25-IF(OR(H25="Senior"),AE25,0)),IF(R25=Z25-IF(OR(H25="Senior"),AB25,0),MAX(T25-IF(OR(H25="Senior"),V25,0),W25-IF(OR(H25="Senior"),Y25,0),AC25-IF(OR(H25="Senior"),AE25,0)),IF(R25=AC25-IF(OR(H25="Senior"),AE25,0),MAX(T25-IF(OR(H25="Senior"),V25,0),W25-IF(OR(H25="Senior"),Y25,0),Z25-IF(OR(H25="Senior"),AB25,0)),0))))</f>
        <v>43</v>
      </c>
      <c r="T25" s="32"/>
      <c r="U25" s="37"/>
      <c r="V25" s="37"/>
      <c r="W25" s="33"/>
      <c r="X25" s="37"/>
      <c r="Y25" s="37"/>
      <c r="Z25" s="32">
        <v>47.2</v>
      </c>
      <c r="AA25" s="37">
        <v>10.8</v>
      </c>
      <c r="AB25" s="37">
        <v>0</v>
      </c>
      <c r="AC25" s="33">
        <v>43</v>
      </c>
      <c r="AD25" s="37">
        <v>7.2</v>
      </c>
      <c r="AE25" s="37">
        <v>0</v>
      </c>
    </row>
    <row r="26" spans="1:31" x14ac:dyDescent="0.2">
      <c r="A26" s="1" t="str" cm="1">
        <f t="array" ref="A26">IF(I26="","",IF(P26&lt;&gt;"",SUMPRODUCT((P$3:P$95&lt;&gt;"")*(G$3:G$95=G26)*(J$3:J$95&gt;J26)*(I$3:I$95="P"))+1,IF(O26&lt;&gt;"",SUMPRODUCT((O$3:O$95&lt;&gt;"")*(P$3:P$95="")*(G$3:G$95=G26)*(J$3:J$95&gt;J26)*(I$3:I$95="P"))+SUMPRODUCT((P$3:P$95&lt;&gt;"")*(G$3:G$95=G26)*(I$3:I$95="P"))+1,IF(N26&lt;&gt;"",SUMPRODUCT((N$3:N$95&lt;&gt;"")*(G$3:G$95=G26)*(J$3:J$95&gt;J26)*(I$3:I$95="P"))+1,IF(M26="P",SUMPRODUCT((O$3:O$95&lt;&gt;"")*(P$3:P$95="")*(G$3:G$95=G26)*(I$3:I$95="P"))+SUMPRODUCT((P$3:P$95&lt;&gt;"")*(G$3:G$95=G26)*(I$3:I$95="P"))+SUMPRODUCT((N$3:N$95&lt;&gt;"")*(G$3:G$95=G26)*(I$3:I$95="P"))+SUMPRODUCT((P$3:P$95="")*(O$3:O$95="")*(N$3:N$95="")*(M$3:M$95="P")*(G$3:G$95=G26)*(J$3:J$95&gt;J26)*(I$3:I$95="P"))+IF(H26="L5",SUMPRODUCT((P$3:P$95="")*(O$3:O$95="")*(N$3:N$95="")*(M$3:M$95="P")*(G$3:G$95=G26)*(J$3:J$95&lt;J26)*(H$3:H$95&lt;&gt;H26)*(I$3:I$95="P")),-1*SUMPRODUCT((P$3:P$95="")*(O$3:O$95="")*(N$3:N$95="")*(M$3:M$95="P")*(G$3:G$95=G26)*(J$3:J$95&gt;J26)*(H$3:H$95="L5")*(I$3:I$95="P")))+1,"")))))</f>
        <v/>
      </c>
      <c r="B26" s="1" t="str" cm="1">
        <f t="array" ref="B26">IF(P26&lt;&gt;"",SUMPRODUCT((P$3:P$95&lt;&gt;"")*(G$3:G$95=G26)*(J$3:J$95&gt;J26))+1,IF(O26&lt;&gt;"",SUMPRODUCT((O$3:O$95&lt;&gt;"")*(P$3:P$95="")*(G$3:G$95=G26)*(J$3:J$95&gt;J26))+SUMPRODUCT((P$3:P$95&lt;&gt;"")*(G$3:G$95=G26))+1,IF(N26&lt;&gt;"",SUMPRODUCT((N$3:N$95&lt;&gt;"")*(G$3:G$95=G26)*(J$3:J$95&gt;J26))+1,IF(M26="P",SUMPRODUCT((O$3:O$95&lt;&gt;"")*(P$3:P$95="")*(G$3:G$95=G26))+SUMPRODUCT((P$3:P$95&lt;&gt;"")*(G$3:G$95=G26))+SUMPRODUCT((N$3:N$95&lt;&gt;"")*(G$3:G$95=G26))+SUMPRODUCT((P$3:P$95="")*(O$3:O$95="")*(N$3:N$95="")*(M$3:M$95="P")*(G$3:G$95=G26)*(J$3:J$95&gt;J26))+IF(H26="L5",SUMPRODUCT((P$3:P$95="")*(O$3:O$95="")*(N$3:N$95="")*(M$3:M$95="P")*(G$3:G$95=G26)*(J$3:J$95&lt;J26)*(H$3:H$95&lt;&gt;H26)),-1*SUMPRODUCT((P$3:P$95="")*(O$3:O$95="")*(N$3:N$95="")*(M$3:M$95="P")*(G$3:G$95=G26)*(J$3:J$95&gt;J26)*(H$3:H$95="L5")))+1,""))))</f>
        <v/>
      </c>
      <c r="C26" s="35" t="s">
        <v>74</v>
      </c>
      <c r="D26" t="str">
        <f>IF(E26="","",VLOOKUP(E26,'Coaching Points'!A:B,2,0))</f>
        <v>AB</v>
      </c>
      <c r="E26" s="35" t="s">
        <v>62</v>
      </c>
      <c r="F26" s="34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>R26+S26+IF(OR(H26="Junior",H26="Senior"),0.0002,IF(OR(H26="L7",H26="L6"),0.0001,0))+MAX(Z26,AC26)*0.0000001</f>
        <v>89.900104440000007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MAX(T26-IF(OR(H26="Senior"),V26,0),W26-IF(OR(H26="Senior"),Y26,0),Z26-IF(OR(H26="Senior"),AB26,0),AC26-IF(OR(H26="Senior"),AE26,0))</f>
        <v>45.5</v>
      </c>
      <c r="S26" s="4">
        <f>IF(R26=T26-IF(OR(H26="Senior"),V26,0),MAX(W26-IF(OR(H26="Senior"),Y26,0),Z26-IF(OR(H26="Senior"),AB26,0),AC26-IF(OR(H26="Senior"),AE26,0)),IF(R26=W26-IF(OR(H26="Senior"),Y26,0),MAX(T26-IF(OR(H26="Senior"),V26,0),Z26-IF(OR(H26="Senior"),AB26,0),AC26-IF(OR(H26="Senior"),AE26,0)),IF(R26=Z26-IF(OR(H26="Senior"),AB26,0),MAX(T26-IF(OR(H26="Senior"),V26,0),W26-IF(OR(H26="Senior"),Y26,0),AC26-IF(OR(H26="Senior"),AE26,0)),IF(R26=AC26-IF(OR(H26="Senior"),AE26,0),MAX(T26-IF(OR(H26="Senior"),V26,0),W26-IF(OR(H26="Senior"),Y26,0),Z26-IF(OR(H26="Senior"),AB26,0)),0))))</f>
        <v>44.4</v>
      </c>
      <c r="T26" s="32">
        <v>41.5</v>
      </c>
      <c r="U26" s="37">
        <v>8.4</v>
      </c>
      <c r="V26" s="37">
        <v>0</v>
      </c>
      <c r="W26" s="33">
        <v>45.5</v>
      </c>
      <c r="X26" s="37">
        <v>11.600000000000001</v>
      </c>
      <c r="Y26" s="37">
        <v>0</v>
      </c>
      <c r="Z26" s="32">
        <v>44.4</v>
      </c>
      <c r="AA26" s="37">
        <v>10</v>
      </c>
      <c r="AB26" s="37">
        <v>0</v>
      </c>
      <c r="AC26" s="33">
        <v>33.200000000000003</v>
      </c>
      <c r="AD26" s="37">
        <v>3.7</v>
      </c>
      <c r="AE26" s="37">
        <v>0</v>
      </c>
    </row>
    <row r="27" spans="1:31" x14ac:dyDescent="0.2">
      <c r="A27" s="1" t="str" cm="1">
        <f t="array" ref="A27">IF(I27="","",IF(P27&lt;&gt;"",SUMPRODUCT((P$3:P$95&lt;&gt;"")*(G$3:G$95=G27)*(J$3:J$95&gt;J27)*(I$3:I$95="P"))+1,IF(O27&lt;&gt;"",SUMPRODUCT((O$3:O$95&lt;&gt;"")*(P$3:P$95="")*(G$3:G$95=G27)*(J$3:J$95&gt;J27)*(I$3:I$95="P"))+SUMPRODUCT((P$3:P$95&lt;&gt;"")*(G$3:G$95=G27)*(I$3:I$95="P"))+1,IF(N27&lt;&gt;"",SUMPRODUCT((N$3:N$95&lt;&gt;"")*(G$3:G$95=G27)*(J$3:J$95&gt;J27)*(I$3:I$95="P"))+1,IF(M27="P",SUMPRODUCT((O$3:O$95&lt;&gt;"")*(P$3:P$95="")*(G$3:G$95=G27)*(I$3:I$95="P"))+SUMPRODUCT((P$3:P$95&lt;&gt;"")*(G$3:G$95=G27)*(I$3:I$95="P"))+SUMPRODUCT((N$3:N$95&lt;&gt;"")*(G$3:G$95=G27)*(I$3:I$95="P"))+SUMPRODUCT((P$3:P$95="")*(O$3:O$95="")*(N$3:N$95="")*(M$3:M$95="P")*(G$3:G$95=G27)*(J$3:J$95&gt;J27)*(I$3:I$95="P"))+IF(H27="L5",SUMPRODUCT((P$3:P$95="")*(O$3:O$95="")*(N$3:N$95="")*(M$3:M$95="P")*(G$3:G$95=G27)*(J$3:J$95&lt;J27)*(H$3:H$95&lt;&gt;H27)*(I$3:I$95="P")),-1*SUMPRODUCT((P$3:P$95="")*(O$3:O$95="")*(N$3:N$95="")*(M$3:M$95="P")*(G$3:G$95=G27)*(J$3:J$95&gt;J27)*(H$3:H$95="L5")*(I$3:I$95="P")))+1,"")))))</f>
        <v/>
      </c>
      <c r="B27" s="1" t="str" cm="1">
        <f t="array" ref="B27">IF(P27&lt;&gt;"",SUMPRODUCT((P$3:P$95&lt;&gt;"")*(G$3:G$95=G27)*(J$3:J$95&gt;J27))+1,IF(O27&lt;&gt;"",SUMPRODUCT((O$3:O$95&lt;&gt;"")*(P$3:P$95="")*(G$3:G$95=G27)*(J$3:J$95&gt;J27))+SUMPRODUCT((P$3:P$95&lt;&gt;"")*(G$3:G$95=G27))+1,IF(N27&lt;&gt;"",SUMPRODUCT((N$3:N$95&lt;&gt;"")*(G$3:G$95=G27)*(J$3:J$95&gt;J27))+1,IF(M27="P",SUMPRODUCT((O$3:O$95&lt;&gt;"")*(P$3:P$95="")*(G$3:G$95=G27))+SUMPRODUCT((P$3:P$95&lt;&gt;"")*(G$3:G$95=G27))+SUMPRODUCT((N$3:N$95&lt;&gt;"")*(G$3:G$95=G27))+SUMPRODUCT((P$3:P$95="")*(O$3:O$95="")*(N$3:N$95="")*(M$3:M$95="P")*(G$3:G$95=G27)*(J$3:J$95&gt;J27))+IF(H27="L5",SUMPRODUCT((P$3:P$95="")*(O$3:O$95="")*(N$3:N$95="")*(M$3:M$95="P")*(G$3:G$95=G27)*(J$3:J$95&lt;J27)*(H$3:H$95&lt;&gt;H27)),-1*SUMPRODUCT((P$3:P$95="")*(O$3:O$95="")*(N$3:N$95="")*(M$3:M$95="P")*(G$3:G$95=G27)*(J$3:J$95&gt;J27)*(H$3:H$95="L5")))+1,""))))</f>
        <v/>
      </c>
      <c r="C27" s="35" t="s">
        <v>202</v>
      </c>
      <c r="D27" t="str">
        <f>IF(E27="","",VLOOKUP(E27,'Coaching Points'!A:B,2,0))</f>
        <v>NS</v>
      </c>
      <c r="E27" s="35" t="s">
        <v>86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88.200004500000006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MAX(T27-IF(OR(H27="Senior"),V27,0),W27-IF(OR(H27="Senior"),Y27,0),Z27-IF(OR(H27="Senior"),AB27,0),AC27-IF(OR(H27="Senior"),AE27,0))</f>
        <v>45</v>
      </c>
      <c r="S27" s="4">
        <f>IF(R27=T27-IF(OR(H27="Senior"),V27,0),MAX(W27-IF(OR(H27="Senior"),Y27,0),Z27-IF(OR(H27="Senior"),AB27,0),AC27-IF(OR(H27="Senior"),AE27,0)),IF(R27=W27-IF(OR(H27="Senior"),Y27,0),MAX(T27-IF(OR(H27="Senior"),V27,0),Z27-IF(OR(H27="Senior"),AB27,0),AC27-IF(OR(H27="Senior"),AE27,0)),IF(R27=Z27-IF(OR(H27="Senior"),AB27,0),MAX(T27-IF(OR(H27="Senior"),V27,0),W27-IF(OR(H27="Senior"),Y27,0),AC27-IF(OR(H27="Senior"),AE27,0)),IF(R27=AC27-IF(OR(H27="Senior"),AE27,0),MAX(T27-IF(OR(H27="Senior"),V27,0),W27-IF(OR(H27="Senior"),Y27,0),Z27-IF(OR(H27="Senior"),AB27,0)),0))))</f>
        <v>43.2</v>
      </c>
      <c r="T27" s="32"/>
      <c r="U27" s="37"/>
      <c r="V27" s="37"/>
      <c r="W27" s="33"/>
      <c r="X27" s="37"/>
      <c r="Y27" s="37"/>
      <c r="Z27" s="32">
        <v>45</v>
      </c>
      <c r="AA27" s="37">
        <v>7.9</v>
      </c>
      <c r="AB27" s="37">
        <v>0</v>
      </c>
      <c r="AC27" s="33">
        <v>43.2</v>
      </c>
      <c r="AD27" s="37">
        <v>6.4</v>
      </c>
      <c r="AE27" s="37">
        <v>0</v>
      </c>
    </row>
    <row r="28" spans="1:31" x14ac:dyDescent="0.2">
      <c r="A28" s="1" t="str" cm="1">
        <f t="array" ref="A28">IF(I28="","",IF(P28&lt;&gt;"",SUMPRODUCT((P$3:P$95&lt;&gt;"")*(G$3:G$95=G28)*(J$3:J$95&gt;J28)*(I$3:I$95="P"))+1,IF(O28&lt;&gt;"",SUMPRODUCT((O$3:O$95&lt;&gt;"")*(P$3:P$95="")*(G$3:G$95=G28)*(J$3:J$95&gt;J28)*(I$3:I$95="P"))+SUMPRODUCT((P$3:P$95&lt;&gt;"")*(G$3:G$95=G28)*(I$3:I$95="P"))+1,IF(N28&lt;&gt;"",SUMPRODUCT((N$3:N$95&lt;&gt;"")*(G$3:G$95=G28)*(J$3:J$95&gt;J28)*(I$3:I$95="P"))+1,IF(M28="P",SUMPRODUCT((O$3:O$95&lt;&gt;"")*(P$3:P$95="")*(G$3:G$95=G28)*(I$3:I$95="P"))+SUMPRODUCT((P$3:P$95&lt;&gt;"")*(G$3:G$95=G28)*(I$3:I$95="P"))+SUMPRODUCT((N$3:N$95&lt;&gt;"")*(G$3:G$95=G28)*(I$3:I$95="P"))+SUMPRODUCT((P$3:P$95="")*(O$3:O$95="")*(N$3:N$95="")*(M$3:M$95="P")*(G$3:G$95=G28)*(J$3:J$95&gt;J28)*(I$3:I$95="P"))+IF(H28="L5",SUMPRODUCT((P$3:P$95="")*(O$3:O$95="")*(N$3:N$95="")*(M$3:M$95="P")*(G$3:G$95=G28)*(J$3:J$95&lt;J28)*(H$3:H$95&lt;&gt;H28)*(I$3:I$95="P")),-1*SUMPRODUCT((P$3:P$95="")*(O$3:O$95="")*(N$3:N$95="")*(M$3:M$95="P")*(G$3:G$95=G28)*(J$3:J$95&gt;J28)*(H$3:H$95="L5")*(I$3:I$95="P")))+1,"")))))</f>
        <v/>
      </c>
      <c r="B28" s="1" t="str" cm="1">
        <f t="array" ref="B28">IF(P28&lt;&gt;"",SUMPRODUCT((P$3:P$95&lt;&gt;"")*(G$3:G$95=G28)*(J$3:J$95&gt;J28))+1,IF(O28&lt;&gt;"",SUMPRODUCT((O$3:O$95&lt;&gt;"")*(P$3:P$95="")*(G$3:G$95=G28)*(J$3:J$95&gt;J28))+SUMPRODUCT((P$3:P$95&lt;&gt;"")*(G$3:G$95=G28))+1,IF(N28&lt;&gt;"",SUMPRODUCT((N$3:N$95&lt;&gt;"")*(G$3:G$95=G28)*(J$3:J$95&gt;J28))+1,IF(M28="P",SUMPRODUCT((O$3:O$95&lt;&gt;"")*(P$3:P$95="")*(G$3:G$95=G28))+SUMPRODUCT((P$3:P$95&lt;&gt;"")*(G$3:G$95=G28))+SUMPRODUCT((N$3:N$95&lt;&gt;"")*(G$3:G$95=G28))+SUMPRODUCT((P$3:P$95="")*(O$3:O$95="")*(N$3:N$95="")*(M$3:M$95="P")*(G$3:G$95=G28)*(J$3:J$95&gt;J28))+IF(H28="L5",SUMPRODUCT((P$3:P$95="")*(O$3:O$95="")*(N$3:N$95="")*(M$3:M$95="P")*(G$3:G$95=G28)*(J$3:J$95&lt;J28)*(H$3:H$95&lt;&gt;H28)),-1*SUMPRODUCT((P$3:P$95="")*(O$3:O$95="")*(N$3:N$95="")*(M$3:M$95="P")*(G$3:G$95=G28)*(J$3:J$95&gt;J28)*(H$3:H$95="L5")))+1,""))))</f>
        <v/>
      </c>
      <c r="C28" s="35" t="s">
        <v>402</v>
      </c>
      <c r="D28" t="str">
        <f>IF(E28="","",VLOOKUP(E28,'Coaching Points'!A:B,2,0))</f>
        <v>ON</v>
      </c>
      <c r="E28" s="35" t="s">
        <v>45</v>
      </c>
      <c r="F28" s="34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213</v>
      </c>
      <c r="I28" s="40"/>
      <c r="J28" s="4">
        <f>R28+S28+IF(OR(H28="Junior",H28="Senior"),0.0002,IF(OR(H28="L7",H28="L6"),0.0001,0))+MAX(Z28,AC28)*0.0000001</f>
        <v>87.800104529999999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MAX(T28-IF(OR(H28="Senior"),V28,0),W28-IF(OR(H28="Senior"),Y28,0),Z28-IF(OR(H28="Senior"),AB28,0),AC28-IF(OR(H28="Senior"),AE28,0))</f>
        <v>45.3</v>
      </c>
      <c r="S28" s="4">
        <f>IF(R28=T28-IF(OR(H28="Senior"),V28,0),MAX(W28-IF(OR(H28="Senior"),Y28,0),Z28-IF(OR(H28="Senior"),AB28,0),AC28-IF(OR(H28="Senior"),AE28,0)),IF(R28=W28-IF(OR(H28="Senior"),Y28,0),MAX(T28-IF(OR(H28="Senior"),V28,0),Z28-IF(OR(H28="Senior"),AB28,0),AC28-IF(OR(H28="Senior"),AE28,0)),IF(R28=Z28-IF(OR(H28="Senior"),AB28,0),MAX(T28-IF(OR(H28="Senior"),V28,0),W28-IF(OR(H28="Senior"),Y28,0),AC28-IF(OR(H28="Senior"),AE28,0)),IF(R28=AC28-IF(OR(H28="Senior"),AE28,0),MAX(T28-IF(OR(H28="Senior"),V28,0),W28-IF(OR(H28="Senior"),Y28,0),Z28-IF(OR(H28="Senior"),AB28,0)),0))))</f>
        <v>42.5</v>
      </c>
      <c r="T28" s="32"/>
      <c r="U28" s="37"/>
      <c r="V28" s="37"/>
      <c r="W28" s="33"/>
      <c r="X28" s="37"/>
      <c r="Y28" s="37"/>
      <c r="Z28" s="32">
        <v>45.3</v>
      </c>
      <c r="AA28" s="37">
        <v>10.4</v>
      </c>
      <c r="AB28" s="37">
        <v>0</v>
      </c>
      <c r="AC28" s="33">
        <v>42.5</v>
      </c>
      <c r="AD28" s="37">
        <v>7.6</v>
      </c>
      <c r="AE28" s="37">
        <v>0</v>
      </c>
    </row>
    <row r="29" spans="1:31" x14ac:dyDescent="0.2">
      <c r="A29" s="1" t="str" cm="1">
        <f t="array" ref="A29">IF(I29="","",IF(P29&lt;&gt;"",SUMPRODUCT((P$3:P$95&lt;&gt;"")*(G$3:G$95=G29)*(J$3:J$95&gt;J29)*(I$3:I$95="P"))+1,IF(O29&lt;&gt;"",SUMPRODUCT((O$3:O$95&lt;&gt;"")*(P$3:P$95="")*(G$3:G$95=G29)*(J$3:J$95&gt;J29)*(I$3:I$95="P"))+SUMPRODUCT((P$3:P$95&lt;&gt;"")*(G$3:G$95=G29)*(I$3:I$95="P"))+1,IF(N29&lt;&gt;"",SUMPRODUCT((N$3:N$95&lt;&gt;"")*(G$3:G$95=G29)*(J$3:J$95&gt;J29)*(I$3:I$95="P"))+1,IF(M29="P",SUMPRODUCT((O$3:O$95&lt;&gt;"")*(P$3:P$95="")*(G$3:G$95=G29)*(I$3:I$95="P"))+SUMPRODUCT((P$3:P$95&lt;&gt;"")*(G$3:G$95=G29)*(I$3:I$95="P"))+SUMPRODUCT((N$3:N$95&lt;&gt;"")*(G$3:G$95=G29)*(I$3:I$95="P"))+SUMPRODUCT((P$3:P$95="")*(O$3:O$95="")*(N$3:N$95="")*(M$3:M$95="P")*(G$3:G$95=G29)*(J$3:J$95&gt;J29)*(I$3:I$95="P"))+IF(H29="L5",SUMPRODUCT((P$3:P$95="")*(O$3:O$95="")*(N$3:N$95="")*(M$3:M$95="P")*(G$3:G$95=G29)*(J$3:J$95&lt;J29)*(H$3:H$95&lt;&gt;H29)*(I$3:I$95="P")),-1*SUMPRODUCT((P$3:P$95="")*(O$3:O$95="")*(N$3:N$95="")*(M$3:M$95="P")*(G$3:G$95=G29)*(J$3:J$95&gt;J29)*(H$3:H$95="L5")*(I$3:I$95="P")))+1,"")))))</f>
        <v/>
      </c>
      <c r="B29" s="1" t="str" cm="1">
        <f t="array" ref="B29">IF(P29&lt;&gt;"",SUMPRODUCT((P$3:P$95&lt;&gt;"")*(G$3:G$95=G29)*(J$3:J$95&gt;J29))+1,IF(O29&lt;&gt;"",SUMPRODUCT((O$3:O$95&lt;&gt;"")*(P$3:P$95="")*(G$3:G$95=G29)*(J$3:J$95&gt;J29))+SUMPRODUCT((P$3:P$95&lt;&gt;"")*(G$3:G$95=G29))+1,IF(N29&lt;&gt;"",SUMPRODUCT((N$3:N$95&lt;&gt;"")*(G$3:G$95=G29)*(J$3:J$95&gt;J29))+1,IF(M29="P",SUMPRODUCT((O$3:O$95&lt;&gt;"")*(P$3:P$95="")*(G$3:G$95=G29))+SUMPRODUCT((P$3:P$95&lt;&gt;"")*(G$3:G$95=G29))+SUMPRODUCT((N$3:N$95&lt;&gt;"")*(G$3:G$95=G29))+SUMPRODUCT((P$3:P$95="")*(O$3:O$95="")*(N$3:N$95="")*(M$3:M$95="P")*(G$3:G$95=G29)*(J$3:J$95&gt;J29))+IF(H29="L5",SUMPRODUCT((P$3:P$95="")*(O$3:O$95="")*(N$3:N$95="")*(M$3:M$95="P")*(G$3:G$95=G29)*(J$3:J$95&lt;J29)*(H$3:H$95&lt;&gt;H29)),-1*SUMPRODUCT((P$3:P$95="")*(O$3:O$95="")*(N$3:N$95="")*(M$3:M$95="P")*(G$3:G$95=G29)*(J$3:J$95&gt;J29)*(H$3:H$95="L5")))+1,""))))</f>
        <v/>
      </c>
      <c r="C29" s="35" t="s">
        <v>356</v>
      </c>
      <c r="D29" t="str">
        <f>IF(E29="","",VLOOKUP(E29,'Coaching Points'!A:B,2,0))</f>
        <v>ON</v>
      </c>
      <c r="E29" s="35" t="s">
        <v>133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87.600004309999989</v>
      </c>
      <c r="K29" s="3" t="str">
        <f>IF(G29="Not Age Eligible","",IF(MAX(T29,W29,Z29,AC29)&gt;=LOOKUP(G29,'Qualifying Scores'!$A$4:$A$7,'Qualifying Scores'!$F$4:$F$7),"P",""))</f>
        <v/>
      </c>
      <c r="L29" s="3" t="str">
        <f>IF(G29="Not Age Eligible","",IF(MAX(U29,X29,AA29,AD29)&gt;=LOOKUP(G29,'Qualifying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MAX(T29-IF(OR(H29="Senior"),V29,0),W29-IF(OR(H29="Senior"),Y29,0),Z29-IF(OR(H29="Senior"),AB29,0),AC29-IF(OR(H29="Senior"),AE29,0))</f>
        <v>44.5</v>
      </c>
      <c r="S29" s="4">
        <f>IF(R29=T29-IF(OR(H29="Senior"),V29,0),MAX(W29-IF(OR(H29="Senior"),Y29,0),Z29-IF(OR(H29="Senior"),AB29,0),AC29-IF(OR(H29="Senior"),AE29,0)),IF(R29=W29-IF(OR(H29="Senior"),Y29,0),MAX(T29-IF(OR(H29="Senior"),V29,0),Z29-IF(OR(H29="Senior"),AB29,0),AC29-IF(OR(H29="Senior"),AE29,0)),IF(R29=Z29-IF(OR(H29="Senior"),AB29,0),MAX(T29-IF(OR(H29="Senior"),V29,0),W29-IF(OR(H29="Senior"),Y29,0),AC29-IF(OR(H29="Senior"),AE29,0)),IF(R29=AC29-IF(OR(H29="Senior"),AE29,0),MAX(T29-IF(OR(H29="Senior"),V29,0),W29-IF(OR(H29="Senior"),Y29,0),Z29-IF(OR(H29="Senior"),AB29,0)),0))))</f>
        <v>43.1</v>
      </c>
      <c r="T29" s="32">
        <v>38.200000000000003</v>
      </c>
      <c r="U29" s="37">
        <v>4.2</v>
      </c>
      <c r="V29" s="37">
        <v>0</v>
      </c>
      <c r="W29" s="33">
        <v>44.5</v>
      </c>
      <c r="X29" s="37">
        <v>9.6</v>
      </c>
      <c r="Y29" s="37">
        <v>0</v>
      </c>
      <c r="Z29" s="32">
        <v>43.1</v>
      </c>
      <c r="AA29" s="37">
        <v>7.1999999999999993</v>
      </c>
      <c r="AB29" s="37">
        <v>0</v>
      </c>
      <c r="AC29" s="33">
        <v>41.3</v>
      </c>
      <c r="AD29" s="37">
        <v>7.8</v>
      </c>
      <c r="AE29" s="37">
        <v>0</v>
      </c>
    </row>
    <row r="30" spans="1:31" x14ac:dyDescent="0.2">
      <c r="A30" s="1" t="str" cm="1">
        <f t="array" ref="A30">IF(I30="","",IF(P30&lt;&gt;"",SUMPRODUCT((P$3:P$95&lt;&gt;"")*(G$3:G$95=G30)*(J$3:J$95&gt;J30)*(I$3:I$95="P"))+1,IF(O30&lt;&gt;"",SUMPRODUCT((O$3:O$95&lt;&gt;"")*(P$3:P$95="")*(G$3:G$95=G30)*(J$3:J$95&gt;J30)*(I$3:I$95="P"))+SUMPRODUCT((P$3:P$95&lt;&gt;"")*(G$3:G$95=G30)*(I$3:I$95="P"))+1,IF(N30&lt;&gt;"",SUMPRODUCT((N$3:N$95&lt;&gt;"")*(G$3:G$95=G30)*(J$3:J$95&gt;J30)*(I$3:I$95="P"))+1,IF(M30="P",SUMPRODUCT((O$3:O$95&lt;&gt;"")*(P$3:P$95="")*(G$3:G$95=G30)*(I$3:I$95="P"))+SUMPRODUCT((P$3:P$95&lt;&gt;"")*(G$3:G$95=G30)*(I$3:I$95="P"))+SUMPRODUCT((N$3:N$95&lt;&gt;"")*(G$3:G$95=G30)*(I$3:I$95="P"))+SUMPRODUCT((P$3:P$95="")*(O$3:O$95="")*(N$3:N$95="")*(M$3:M$95="P")*(G$3:G$95=G30)*(J$3:J$95&gt;J30)*(I$3:I$95="P"))+IF(H30="L5",SUMPRODUCT((P$3:P$95="")*(O$3:O$95="")*(N$3:N$95="")*(M$3:M$95="P")*(G$3:G$95=G30)*(J$3:J$95&lt;J30)*(H$3:H$95&lt;&gt;H30)*(I$3:I$95="P")),-1*SUMPRODUCT((P$3:P$95="")*(O$3:O$95="")*(N$3:N$95="")*(M$3:M$95="P")*(G$3:G$95=G30)*(J$3:J$95&gt;J30)*(H$3:H$95="L5")*(I$3:I$95="P")))+1,"")))))</f>
        <v/>
      </c>
      <c r="B30" s="1" t="str" cm="1">
        <f t="array" ref="B30">IF(P30&lt;&gt;"",SUMPRODUCT((P$3:P$95&lt;&gt;"")*(G$3:G$95=G30)*(J$3:J$95&gt;J30))+1,IF(O30&lt;&gt;"",SUMPRODUCT((O$3:O$95&lt;&gt;"")*(P$3:P$95="")*(G$3:G$95=G30)*(J$3:J$95&gt;J30))+SUMPRODUCT((P$3:P$95&lt;&gt;"")*(G$3:G$95=G30))+1,IF(N30&lt;&gt;"",SUMPRODUCT((N$3:N$95&lt;&gt;"")*(G$3:G$95=G30)*(J$3:J$95&gt;J30))+1,IF(M30="P",SUMPRODUCT((O$3:O$95&lt;&gt;"")*(P$3:P$95="")*(G$3:G$95=G30))+SUMPRODUCT((P$3:P$95&lt;&gt;"")*(G$3:G$95=G30))+SUMPRODUCT((N$3:N$95&lt;&gt;"")*(G$3:G$95=G30))+SUMPRODUCT((P$3:P$95="")*(O$3:O$95="")*(N$3:N$95="")*(M$3:M$95="P")*(G$3:G$95=G30)*(J$3:J$95&gt;J30))+IF(H30="L5",SUMPRODUCT((P$3:P$95="")*(O$3:O$95="")*(N$3:N$95="")*(M$3:M$95="P")*(G$3:G$95=G30)*(J$3:J$95&lt;J30)*(H$3:H$95&lt;&gt;H30)),-1*SUMPRODUCT((P$3:P$95="")*(O$3:O$95="")*(N$3:N$95="")*(M$3:M$95="P")*(G$3:G$95=G30)*(J$3:J$95&gt;J30)*(H$3:H$95="L5")))+1,""))))</f>
        <v/>
      </c>
      <c r="C30" s="35" t="s">
        <v>357</v>
      </c>
      <c r="D30" t="str">
        <f>IF(E30="","",VLOOKUP(E30,'Coaching Points'!A:B,2,0))</f>
        <v>MB</v>
      </c>
      <c r="E30" s="35" t="s">
        <v>63</v>
      </c>
      <c r="F30" s="34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87.500004399999995</v>
      </c>
      <c r="K30" s="3" t="str">
        <f>IF(G30="Not Age Eligible","",IF(MAX(T30,W30,Z30,AC30)&gt;=LOOKUP(G30,'Qualifying Scores'!$A$4:$A$7,'Qualifying Scores'!$F$4:$F$7),"P",""))</f>
        <v/>
      </c>
      <c r="L30" s="3" t="str">
        <f>IF(G30="Not Age Eligible","",IF(MAX(U30,X30,AA30,AD30)&gt;=LOOKUP(G30,'Qualifying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>MAX(T30-IF(OR(H30="Senior"),V30,0),W30-IF(OR(H30="Senior"),Y30,0),Z30-IF(OR(H30="Senior"),AB30,0),AC30-IF(OR(H30="Senior"),AE30,0))</f>
        <v>44</v>
      </c>
      <c r="S30" s="4">
        <f>IF(R30=T30-IF(OR(H30="Senior"),V30,0),MAX(W30-IF(OR(H30="Senior"),Y30,0),Z30-IF(OR(H30="Senior"),AB30,0),AC30-IF(OR(H30="Senior"),AE30,0)),IF(R30=W30-IF(OR(H30="Senior"),Y30,0),MAX(T30-IF(OR(H30="Senior"),V30,0),Z30-IF(OR(H30="Senior"),AB30,0),AC30-IF(OR(H30="Senior"),AE30,0)),IF(R30=Z30-IF(OR(H30="Senior"),AB30,0),MAX(T30-IF(OR(H30="Senior"),V30,0),W30-IF(OR(H30="Senior"),Y30,0),AC30-IF(OR(H30="Senior"),AE30,0)),IF(R30=AC30-IF(OR(H30="Senior"),AE30,0),MAX(T30-IF(OR(H30="Senior"),V30,0),W30-IF(OR(H30="Senior"),Y30,0),Z30-IF(OR(H30="Senior"),AB30,0)),0))))</f>
        <v>43.5</v>
      </c>
      <c r="T30" s="32">
        <v>42.7</v>
      </c>
      <c r="U30" s="37">
        <v>7.2</v>
      </c>
      <c r="V30" s="37">
        <v>0</v>
      </c>
      <c r="W30" s="33">
        <v>43.5</v>
      </c>
      <c r="X30" s="37">
        <v>7.8</v>
      </c>
      <c r="Y30" s="37">
        <v>0</v>
      </c>
      <c r="Z30" s="32">
        <v>44</v>
      </c>
      <c r="AA30" s="37">
        <v>7.9</v>
      </c>
      <c r="AB30" s="37">
        <v>0</v>
      </c>
      <c r="AC30" s="33">
        <v>37.200000000000003</v>
      </c>
      <c r="AD30" s="37">
        <v>4.3</v>
      </c>
      <c r="AE30" s="37">
        <v>0</v>
      </c>
    </row>
    <row r="31" spans="1:31" x14ac:dyDescent="0.2">
      <c r="A31" s="1" t="str" cm="1">
        <f t="array" ref="A31">IF(I31="","",IF(P31&lt;&gt;"",SUMPRODUCT((P$3:P$95&lt;&gt;"")*(G$3:G$95=G31)*(J$3:J$95&gt;J31)*(I$3:I$95="P"))+1,IF(O31&lt;&gt;"",SUMPRODUCT((O$3:O$95&lt;&gt;"")*(P$3:P$95="")*(G$3:G$95=G31)*(J$3:J$95&gt;J31)*(I$3:I$95="P"))+SUMPRODUCT((P$3:P$95&lt;&gt;"")*(G$3:G$95=G31)*(I$3:I$95="P"))+1,IF(N31&lt;&gt;"",SUMPRODUCT((N$3:N$95&lt;&gt;"")*(G$3:G$95=G31)*(J$3:J$95&gt;J31)*(I$3:I$95="P"))+1,IF(M31="P",SUMPRODUCT((O$3:O$95&lt;&gt;"")*(P$3:P$95="")*(G$3:G$95=G31)*(I$3:I$95="P"))+SUMPRODUCT((P$3:P$95&lt;&gt;"")*(G$3:G$95=G31)*(I$3:I$95="P"))+SUMPRODUCT((N$3:N$95&lt;&gt;"")*(G$3:G$95=G31)*(I$3:I$95="P"))+SUMPRODUCT((P$3:P$95="")*(O$3:O$95="")*(N$3:N$95="")*(M$3:M$95="P")*(G$3:G$95=G31)*(J$3:J$95&gt;J31)*(I$3:I$95="P"))+IF(H31="L5",SUMPRODUCT((P$3:P$95="")*(O$3:O$95="")*(N$3:N$95="")*(M$3:M$95="P")*(G$3:G$95=G31)*(J$3:J$95&lt;J31)*(H$3:H$95&lt;&gt;H31)*(I$3:I$95="P")),-1*SUMPRODUCT((P$3:P$95="")*(O$3:O$95="")*(N$3:N$95="")*(M$3:M$95="P")*(G$3:G$95=G31)*(J$3:J$95&gt;J31)*(H$3:H$95="L5")*(I$3:I$95="P")))+1,"")))))</f>
        <v/>
      </c>
      <c r="B31" s="1" t="str" cm="1">
        <f t="array" ref="B31">IF(P31&lt;&gt;"",SUMPRODUCT((P$3:P$95&lt;&gt;"")*(G$3:G$95=G31)*(J$3:J$95&gt;J31))+1,IF(O31&lt;&gt;"",SUMPRODUCT((O$3:O$95&lt;&gt;"")*(P$3:P$95="")*(G$3:G$95=G31)*(J$3:J$95&gt;J31))+SUMPRODUCT((P$3:P$95&lt;&gt;"")*(G$3:G$95=G31))+1,IF(N31&lt;&gt;"",SUMPRODUCT((N$3:N$95&lt;&gt;"")*(G$3:G$95=G31)*(J$3:J$95&gt;J31))+1,IF(M31="P",SUMPRODUCT((O$3:O$95&lt;&gt;"")*(P$3:P$95="")*(G$3:G$95=G31))+SUMPRODUCT((P$3:P$95&lt;&gt;"")*(G$3:G$95=G31))+SUMPRODUCT((N$3:N$95&lt;&gt;"")*(G$3:G$95=G31))+SUMPRODUCT((P$3:P$95="")*(O$3:O$95="")*(N$3:N$95="")*(M$3:M$95="P")*(G$3:G$95=G31)*(J$3:J$95&gt;J31))+IF(H31="L5",SUMPRODUCT((P$3:P$95="")*(O$3:O$95="")*(N$3:N$95="")*(M$3:M$95="P")*(G$3:G$95=G31)*(J$3:J$95&lt;J31)*(H$3:H$95&lt;&gt;H31)),-1*SUMPRODUCT((P$3:P$95="")*(O$3:O$95="")*(N$3:N$95="")*(M$3:M$95="P")*(G$3:G$95=G31)*(J$3:J$95&gt;J31)*(H$3:H$95="L5")))+1,""))))</f>
        <v/>
      </c>
      <c r="C31" s="35" t="s">
        <v>451</v>
      </c>
      <c r="D31" t="str">
        <f>IF(E31="","",VLOOKUP(E31,'Coaching Points'!A:B,2,0))</f>
        <v>ON</v>
      </c>
      <c r="E31" s="35" t="s">
        <v>45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86.700004450000009</v>
      </c>
      <c r="K31" s="3" t="str">
        <f>IF(G31="Not Age Eligible","",IF(MAX(T31,W31,Z31,AC31)&gt;=LOOKUP(G31,'Qualifying Scores'!$A$4:$A$7,'Qualifying Scores'!$F$4:$F$7),"P",""))</f>
        <v/>
      </c>
      <c r="L31" s="3" t="str">
        <f>IF(G31="Not Age Eligible","",IF(MAX(U31,X31,AA31,AD31)&gt;=LOOKUP(G31,'Qualifying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>MAX(T31-IF(OR(H31="Senior"),V31,0),W31-IF(OR(H31="Senior"),Y31,0),Z31-IF(OR(H31="Senior"),AB31,0),AC31-IF(OR(H31="Senior"),AE31,0))</f>
        <v>44.5</v>
      </c>
      <c r="S31" s="4">
        <f>IF(R31=T31-IF(OR(H31="Senior"),V31,0),MAX(W31-IF(OR(H31="Senior"),Y31,0),Z31-IF(OR(H31="Senior"),AB31,0),AC31-IF(OR(H31="Senior"),AE31,0)),IF(R31=W31-IF(OR(H31="Senior"),Y31,0),MAX(T31-IF(OR(H31="Senior"),V31,0),Z31-IF(OR(H31="Senior"),AB31,0),AC31-IF(OR(H31="Senior"),AE31,0)),IF(R31=Z31-IF(OR(H31="Senior"),AB31,0),MAX(T31-IF(OR(H31="Senior"),V31,0),W31-IF(OR(H31="Senior"),Y31,0),AC31-IF(OR(H31="Senior"),AE31,0)),IF(R31=AC31-IF(OR(H31="Senior"),AE31,0),MAX(T31-IF(OR(H31="Senior"),V31,0),W31-IF(OR(H31="Senior"),Y31,0),Z31-IF(OR(H31="Senior"),AB31,0)),0))))</f>
        <v>42.2</v>
      </c>
      <c r="T31" s="32"/>
      <c r="U31" s="37"/>
      <c r="V31" s="37"/>
      <c r="W31" s="33"/>
      <c r="X31" s="37"/>
      <c r="Y31" s="37"/>
      <c r="Z31" s="32">
        <v>44.5</v>
      </c>
      <c r="AA31" s="37">
        <v>6.6</v>
      </c>
      <c r="AB31" s="37">
        <v>0</v>
      </c>
      <c r="AC31" s="33">
        <v>42.2</v>
      </c>
      <c r="AD31" s="37">
        <v>6.2</v>
      </c>
      <c r="AE31" s="37">
        <v>0</v>
      </c>
    </row>
    <row r="32" spans="1:31" x14ac:dyDescent="0.2">
      <c r="A32" s="1" t="str" cm="1">
        <f t="array" ref="A32">IF(I32="","",IF(P32&lt;&gt;"",SUMPRODUCT((P$3:P$95&lt;&gt;"")*(G$3:G$95=G32)*(J$3:J$95&gt;J32)*(I$3:I$95="P"))+1,IF(O32&lt;&gt;"",SUMPRODUCT((O$3:O$95&lt;&gt;"")*(P$3:P$95="")*(G$3:G$95=G32)*(J$3:J$95&gt;J32)*(I$3:I$95="P"))+SUMPRODUCT((P$3:P$95&lt;&gt;"")*(G$3:G$95=G32)*(I$3:I$95="P"))+1,IF(N32&lt;&gt;"",SUMPRODUCT((N$3:N$95&lt;&gt;"")*(G$3:G$95=G32)*(J$3:J$95&gt;J32)*(I$3:I$95="P"))+1,IF(M32="P",SUMPRODUCT((O$3:O$95&lt;&gt;"")*(P$3:P$95="")*(G$3:G$95=G32)*(I$3:I$95="P"))+SUMPRODUCT((P$3:P$95&lt;&gt;"")*(G$3:G$95=G32)*(I$3:I$95="P"))+SUMPRODUCT((N$3:N$95&lt;&gt;"")*(G$3:G$95=G32)*(I$3:I$95="P"))+SUMPRODUCT((P$3:P$95="")*(O$3:O$95="")*(N$3:N$95="")*(M$3:M$95="P")*(G$3:G$95=G32)*(J$3:J$95&gt;J32)*(I$3:I$95="P"))+IF(H32="L5",SUMPRODUCT((P$3:P$95="")*(O$3:O$95="")*(N$3:N$95="")*(M$3:M$95="P")*(G$3:G$95=G32)*(J$3:J$95&lt;J32)*(H$3:H$95&lt;&gt;H32)*(I$3:I$95="P")),-1*SUMPRODUCT((P$3:P$95="")*(O$3:O$95="")*(N$3:N$95="")*(M$3:M$95="P")*(G$3:G$95=G32)*(J$3:J$95&gt;J32)*(H$3:H$95="L5")*(I$3:I$95="P")))+1,"")))))</f>
        <v/>
      </c>
      <c r="B32" s="1" t="str" cm="1">
        <f t="array" ref="B32">IF(P32&lt;&gt;"",SUMPRODUCT((P$3:P$95&lt;&gt;"")*(G$3:G$95=G32)*(J$3:J$95&gt;J32))+1,IF(O32&lt;&gt;"",SUMPRODUCT((O$3:O$95&lt;&gt;"")*(P$3:P$95="")*(G$3:G$95=G32)*(J$3:J$95&gt;J32))+SUMPRODUCT((P$3:P$95&lt;&gt;"")*(G$3:G$95=G32))+1,IF(N32&lt;&gt;"",SUMPRODUCT((N$3:N$95&lt;&gt;"")*(G$3:G$95=G32)*(J$3:J$95&gt;J32))+1,IF(M32="P",SUMPRODUCT((O$3:O$95&lt;&gt;"")*(P$3:P$95="")*(G$3:G$95=G32))+SUMPRODUCT((P$3:P$95&lt;&gt;"")*(G$3:G$95=G32))+SUMPRODUCT((N$3:N$95&lt;&gt;"")*(G$3:G$95=G32))+SUMPRODUCT((P$3:P$95="")*(O$3:O$95="")*(N$3:N$95="")*(M$3:M$95="P")*(G$3:G$95=G32)*(J$3:J$95&gt;J32))+IF(H32="L5",SUMPRODUCT((P$3:P$95="")*(O$3:O$95="")*(N$3:N$95="")*(M$3:M$95="P")*(G$3:G$95=G32)*(J$3:J$95&lt;J32)*(H$3:H$95&lt;&gt;H32)),-1*SUMPRODUCT((P$3:P$95="")*(O$3:O$95="")*(N$3:N$95="")*(M$3:M$95="P")*(G$3:G$95=G32)*(J$3:J$95&gt;J32)*(H$3:H$95="L5")))+1,""))))</f>
        <v/>
      </c>
      <c r="C32" s="35" t="s">
        <v>330</v>
      </c>
      <c r="D32" t="str">
        <f>IF(E32="","",VLOOKUP(E32,'Coaching Points'!A:B,2,0))</f>
        <v>AB</v>
      </c>
      <c r="E32" s="35" t="s">
        <v>28</v>
      </c>
      <c r="F32" s="34">
        <v>2005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210</v>
      </c>
      <c r="I32" s="40"/>
      <c r="J32" s="4">
        <f>R32+S32+IF(OR(H32="Junior",H32="Senior"),0.0002,IF(OR(H32="L7",H32="L6"),0.0001,0))+MAX(Z32,AC32)*0.0000001</f>
        <v>86.30020432000002</v>
      </c>
      <c r="K32" s="3" t="str">
        <f>IF(G32="Not Age Eligible","",IF(MAX(T32,W32,Z32,AC32)&gt;=LOOKUP(G32,'Qualifying Scores'!$A$4:$A$7,'Qualifying Scores'!$F$4:$F$7),"P",""))</f>
        <v/>
      </c>
      <c r="L32" s="3" t="str">
        <f>IF(G32="Not Age Eligible","",IF(MAX(U32,X32,AA32,AD32)&gt;=LOOKUP(G32,'Qualifying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>MAX(T32-IF(OR(H32="Senior"),V32,0),W32-IF(OR(H32="Senior"),Y32,0),Z32-IF(OR(H32="Senior"),AB32,0),AC32-IF(OR(H32="Senior"),AE32,0))</f>
        <v>43.4</v>
      </c>
      <c r="S32" s="4">
        <f>IF(R32=T32-IF(OR(H32="Senior"),V32,0),MAX(W32-IF(OR(H32="Senior"),Y32,0),Z32-IF(OR(H32="Senior"),AB32,0),AC32-IF(OR(H32="Senior"),AE32,0)),IF(R32=W32-IF(OR(H32="Senior"),Y32,0),MAX(T32-IF(OR(H32="Senior"),V32,0),Z32-IF(OR(H32="Senior"),AB32,0),AC32-IF(OR(H32="Senior"),AE32,0)),IF(R32=Z32-IF(OR(H32="Senior"),AB32,0),MAX(T32-IF(OR(H32="Senior"),V32,0),W32-IF(OR(H32="Senior"),Y32,0),AC32-IF(OR(H32="Senior"),AE32,0)),IF(R32=AC32-IF(OR(H32="Senior"),AE32,0),MAX(T32-IF(OR(H32="Senior"),V32,0),W32-IF(OR(H32="Senior"),Y32,0),Z32-IF(OR(H32="Senior"),AB32,0)),0))))</f>
        <v>42.900000000000006</v>
      </c>
      <c r="T32" s="32">
        <v>43.4</v>
      </c>
      <c r="U32" s="37">
        <v>10</v>
      </c>
      <c r="V32" s="37">
        <v>0</v>
      </c>
      <c r="W32" s="33"/>
      <c r="X32" s="37"/>
      <c r="Y32" s="37"/>
      <c r="Z32" s="32">
        <v>43.2</v>
      </c>
      <c r="AA32" s="37">
        <v>11.2</v>
      </c>
      <c r="AB32" s="37">
        <v>0.3</v>
      </c>
      <c r="AC32" s="33"/>
      <c r="AD32" s="37"/>
      <c r="AE32" s="37"/>
    </row>
    <row r="33" spans="1:31" x14ac:dyDescent="0.2">
      <c r="A33" s="1" t="str" cm="1">
        <f t="array" ref="A33">IF(I33="","",IF(P33&lt;&gt;"",SUMPRODUCT((P$3:P$95&lt;&gt;"")*(G$3:G$95=G33)*(J$3:J$95&gt;J33)*(I$3:I$95="P"))+1,IF(O33&lt;&gt;"",SUMPRODUCT((O$3:O$95&lt;&gt;"")*(P$3:P$95="")*(G$3:G$95=G33)*(J$3:J$95&gt;J33)*(I$3:I$95="P"))+SUMPRODUCT((P$3:P$95&lt;&gt;"")*(G$3:G$95=G33)*(I$3:I$95="P"))+1,IF(N33&lt;&gt;"",SUMPRODUCT((N$3:N$95&lt;&gt;"")*(G$3:G$95=G33)*(J$3:J$95&gt;J33)*(I$3:I$95="P"))+1,IF(M33="P",SUMPRODUCT((O$3:O$95&lt;&gt;"")*(P$3:P$95="")*(G$3:G$95=G33)*(I$3:I$95="P"))+SUMPRODUCT((P$3:P$95&lt;&gt;"")*(G$3:G$95=G33)*(I$3:I$95="P"))+SUMPRODUCT((N$3:N$95&lt;&gt;"")*(G$3:G$95=G33)*(I$3:I$95="P"))+SUMPRODUCT((P$3:P$95="")*(O$3:O$95="")*(N$3:N$95="")*(M$3:M$95="P")*(G$3:G$95=G33)*(J$3:J$95&gt;J33)*(I$3:I$95="P"))+IF(H33="L5",SUMPRODUCT((P$3:P$95="")*(O$3:O$95="")*(N$3:N$95="")*(M$3:M$95="P")*(G$3:G$95=G33)*(J$3:J$95&lt;J33)*(H$3:H$95&lt;&gt;H33)*(I$3:I$95="P")),-1*SUMPRODUCT((P$3:P$95="")*(O$3:O$95="")*(N$3:N$95="")*(M$3:M$95="P")*(G$3:G$95=G33)*(J$3:J$95&gt;J33)*(H$3:H$95="L5")*(I$3:I$95="P")))+1,"")))))</f>
        <v/>
      </c>
      <c r="B33" s="1" t="str" cm="1">
        <f t="array" ref="B33">IF(P33&lt;&gt;"",SUMPRODUCT((P$3:P$95&lt;&gt;"")*(G$3:G$95=G33)*(J$3:J$95&gt;J33))+1,IF(O33&lt;&gt;"",SUMPRODUCT((O$3:O$95&lt;&gt;"")*(P$3:P$95="")*(G$3:G$95=G33)*(J$3:J$95&gt;J33))+SUMPRODUCT((P$3:P$95&lt;&gt;"")*(G$3:G$95=G33))+1,IF(N33&lt;&gt;"",SUMPRODUCT((N$3:N$95&lt;&gt;"")*(G$3:G$95=G33)*(J$3:J$95&gt;J33))+1,IF(M33="P",SUMPRODUCT((O$3:O$95&lt;&gt;"")*(P$3:P$95="")*(G$3:G$95=G33))+SUMPRODUCT((P$3:P$95&lt;&gt;"")*(G$3:G$95=G33))+SUMPRODUCT((N$3:N$95&lt;&gt;"")*(G$3:G$95=G33))+SUMPRODUCT((P$3:P$95="")*(O$3:O$95="")*(N$3:N$95="")*(M$3:M$95="P")*(G$3:G$95=G33)*(J$3:J$95&gt;J33))+IF(H33="L5",SUMPRODUCT((P$3:P$95="")*(O$3:O$95="")*(N$3:N$95="")*(M$3:M$95="P")*(G$3:G$95=G33)*(J$3:J$95&lt;J33)*(H$3:H$95&lt;&gt;H33)),-1*SUMPRODUCT((P$3:P$95="")*(O$3:O$95="")*(N$3:N$95="")*(M$3:M$95="P")*(G$3:G$95=G33)*(J$3:J$95&gt;J33)*(H$3:H$95="L5")))+1,""))))</f>
        <v/>
      </c>
      <c r="C33" s="35" t="s">
        <v>360</v>
      </c>
      <c r="D33" t="str">
        <f>IF(E33="","",VLOOKUP(E33,'Coaching Points'!A:B,2,0))</f>
        <v>BC</v>
      </c>
      <c r="E33" s="35" t="s">
        <v>44</v>
      </c>
      <c r="F33" s="34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84.500004320000002</v>
      </c>
      <c r="K33" s="3" t="str">
        <f>IF(G33="Not Age Eligible","",IF(MAX(T33,W33,Z33,AC33)&gt;=LOOKUP(G33,'Qualifying Scores'!$A$4:$A$7,'Qualifying Scores'!$F$4:$F$7),"P",""))</f>
        <v/>
      </c>
      <c r="L33" s="3" t="str">
        <f>IF(G33="Not Age Eligible","",IF(MAX(U33,X33,AA33,AD33)&gt;=LOOKUP(G33,'Qualifying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>MAX(T33-IF(OR(H33="Senior"),V33,0),W33-IF(OR(H33="Senior"),Y33,0),Z33-IF(OR(H33="Senior"),AB33,0),AC33-IF(OR(H33="Senior"),AE33,0))</f>
        <v>43.2</v>
      </c>
      <c r="S33" s="4">
        <f>IF(R33=T33-IF(OR(H33="Senior"),V33,0),MAX(W33-IF(OR(H33="Senior"),Y33,0),Z33-IF(OR(H33="Senior"),AB33,0),AC33-IF(OR(H33="Senior"),AE33,0)),IF(R33=W33-IF(OR(H33="Senior"),Y33,0),MAX(T33-IF(OR(H33="Senior"),V33,0),Z33-IF(OR(H33="Senior"),AB33,0),AC33-IF(OR(H33="Senior"),AE33,0)),IF(R33=Z33-IF(OR(H33="Senior"),AB33,0),MAX(T33-IF(OR(H33="Senior"),V33,0),W33-IF(OR(H33="Senior"),Y33,0),AC33-IF(OR(H33="Senior"),AE33,0)),IF(R33=AC33-IF(OR(H33="Senior"),AE33,0),MAX(T33-IF(OR(H33="Senior"),V33,0),W33-IF(OR(H33="Senior"),Y33,0),Z33-IF(OR(H33="Senior"),AB33,0)),0))))</f>
        <v>41.3</v>
      </c>
      <c r="T33" s="32">
        <v>41.3</v>
      </c>
      <c r="U33" s="37">
        <v>4.8000000000000007</v>
      </c>
      <c r="V33" s="37">
        <v>0</v>
      </c>
      <c r="W33" s="33">
        <v>37.200000000000003</v>
      </c>
      <c r="X33" s="37">
        <v>4.7</v>
      </c>
      <c r="Y33" s="37">
        <v>0</v>
      </c>
      <c r="Z33" s="32">
        <v>43.2</v>
      </c>
      <c r="AA33" s="37">
        <v>5.8000000000000007</v>
      </c>
      <c r="AB33" s="37">
        <v>0</v>
      </c>
      <c r="AC33" s="33">
        <v>40.6</v>
      </c>
      <c r="AD33" s="37">
        <v>4.2</v>
      </c>
      <c r="AE33" s="37">
        <v>0</v>
      </c>
    </row>
    <row r="34" spans="1:31" x14ac:dyDescent="0.2">
      <c r="A34" s="1" t="str" cm="1">
        <f t="array" ref="A34">IF(I34="","",IF(P34&lt;&gt;"",SUMPRODUCT((P$3:P$95&lt;&gt;"")*(G$3:G$95=G34)*(J$3:J$95&gt;J34)*(I$3:I$95="P"))+1,IF(O34&lt;&gt;"",SUMPRODUCT((O$3:O$95&lt;&gt;"")*(P$3:P$95="")*(G$3:G$95=G34)*(J$3:J$95&gt;J34)*(I$3:I$95="P"))+SUMPRODUCT((P$3:P$95&lt;&gt;"")*(G$3:G$95=G34)*(I$3:I$95="P"))+1,IF(N34&lt;&gt;"",SUMPRODUCT((N$3:N$95&lt;&gt;"")*(G$3:G$95=G34)*(J$3:J$95&gt;J34)*(I$3:I$95="P"))+1,IF(M34="P",SUMPRODUCT((O$3:O$95&lt;&gt;"")*(P$3:P$95="")*(G$3:G$95=G34)*(I$3:I$95="P"))+SUMPRODUCT((P$3:P$95&lt;&gt;"")*(G$3:G$95=G34)*(I$3:I$95="P"))+SUMPRODUCT((N$3:N$95&lt;&gt;"")*(G$3:G$95=G34)*(I$3:I$95="P"))+SUMPRODUCT((P$3:P$95="")*(O$3:O$95="")*(N$3:N$95="")*(M$3:M$95="P")*(G$3:G$95=G34)*(J$3:J$95&gt;J34)*(I$3:I$95="P"))+IF(H34="L5",SUMPRODUCT((P$3:P$95="")*(O$3:O$95="")*(N$3:N$95="")*(M$3:M$95="P")*(G$3:G$95=G34)*(J$3:J$95&lt;J34)*(H$3:H$95&lt;&gt;H34)*(I$3:I$95="P")),-1*SUMPRODUCT((P$3:P$95="")*(O$3:O$95="")*(N$3:N$95="")*(M$3:M$95="P")*(G$3:G$95=G34)*(J$3:J$95&gt;J34)*(H$3:H$95="L5")*(I$3:I$95="P")))+1,"")))))</f>
        <v/>
      </c>
      <c r="B34" s="1" t="str" cm="1">
        <f t="array" ref="B34">IF(P34&lt;&gt;"",SUMPRODUCT((P$3:P$95&lt;&gt;"")*(G$3:G$95=G34)*(J$3:J$95&gt;J34))+1,IF(O34&lt;&gt;"",SUMPRODUCT((O$3:O$95&lt;&gt;"")*(P$3:P$95="")*(G$3:G$95=G34)*(J$3:J$95&gt;J34))+SUMPRODUCT((P$3:P$95&lt;&gt;"")*(G$3:G$95=G34))+1,IF(N34&lt;&gt;"",SUMPRODUCT((N$3:N$95&lt;&gt;"")*(G$3:G$95=G34)*(J$3:J$95&gt;J34))+1,IF(M34="P",SUMPRODUCT((O$3:O$95&lt;&gt;"")*(P$3:P$95="")*(G$3:G$95=G34))+SUMPRODUCT((P$3:P$95&lt;&gt;"")*(G$3:G$95=G34))+SUMPRODUCT((N$3:N$95&lt;&gt;"")*(G$3:G$95=G34))+SUMPRODUCT((P$3:P$95="")*(O$3:O$95="")*(N$3:N$95="")*(M$3:M$95="P")*(G$3:G$95=G34)*(J$3:J$95&gt;J34))+IF(H34="L5",SUMPRODUCT((P$3:P$95="")*(O$3:O$95="")*(N$3:N$95="")*(M$3:M$95="P")*(G$3:G$95=G34)*(J$3:J$95&lt;J34)*(H$3:H$95&lt;&gt;H34)),-1*SUMPRODUCT((P$3:P$95="")*(O$3:O$95="")*(N$3:N$95="")*(M$3:M$95="P")*(G$3:G$95=G34)*(J$3:J$95&gt;J34)*(H$3:H$95="L5")))+1,""))))</f>
        <v/>
      </c>
      <c r="C34" s="35" t="s">
        <v>483</v>
      </c>
      <c r="D34" t="str">
        <f>IF(E34="","",VLOOKUP(E34,'Coaching Points'!A:B,2,0))</f>
        <v>ON</v>
      </c>
      <c r="E34" s="35" t="s">
        <v>67</v>
      </c>
      <c r="F34" s="34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84.400004270000011</v>
      </c>
      <c r="K34" s="3" t="str">
        <f>IF(G34="Not Age Eligible","",IF(MAX(T34,W34,Z34,AC34)&gt;=LOOKUP(G34,'Qualifying Scores'!$A$4:$A$7,'Qualifying Scores'!$F$4:$F$7),"P",""))</f>
        <v/>
      </c>
      <c r="L34" s="3" t="str">
        <f>IF(G34="Not Age Eligible","",IF(MAX(U34,X34,AA34,AD34)&gt;=LOOKUP(G34,'Qualifying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MAX(T34-IF(OR(H34="Senior"),V34,0),W34-IF(OR(H34="Senior"),Y34,0),Z34-IF(OR(H34="Senior"),AB34,0),AC34-IF(OR(H34="Senior"),AE34,0))</f>
        <v>42.7</v>
      </c>
      <c r="S34" s="4">
        <f>IF(R34=T34-IF(OR(H34="Senior"),V34,0),MAX(W34-IF(OR(H34="Senior"),Y34,0),Z34-IF(OR(H34="Senior"),AB34,0),AC34-IF(OR(H34="Senior"),AE34,0)),IF(R34=W34-IF(OR(H34="Senior"),Y34,0),MAX(T34-IF(OR(H34="Senior"),V34,0),Z34-IF(OR(H34="Senior"),AB34,0),AC34-IF(OR(H34="Senior"),AE34,0)),IF(R34=Z34-IF(OR(H34="Senior"),AB34,0),MAX(T34-IF(OR(H34="Senior"),V34,0),W34-IF(OR(H34="Senior"),Y34,0),AC34-IF(OR(H34="Senior"),AE34,0)),IF(R34=AC34-IF(OR(H34="Senior"),AE34,0),MAX(T34-IF(OR(H34="Senior"),V34,0),W34-IF(OR(H34="Senior"),Y34,0),Z34-IF(OR(H34="Senior"),AB34,0)),0))))</f>
        <v>41.7</v>
      </c>
      <c r="T34" s="32"/>
      <c r="U34" s="37"/>
      <c r="V34" s="37"/>
      <c r="W34" s="33"/>
      <c r="X34" s="37"/>
      <c r="Y34" s="37"/>
      <c r="Z34" s="32">
        <v>42.7</v>
      </c>
      <c r="AA34" s="37">
        <v>7.4</v>
      </c>
      <c r="AB34" s="37">
        <v>0</v>
      </c>
      <c r="AC34" s="33">
        <v>41.7</v>
      </c>
      <c r="AD34" s="37">
        <v>6.6</v>
      </c>
      <c r="AE34" s="37">
        <v>0</v>
      </c>
    </row>
    <row r="35" spans="1:31" x14ac:dyDescent="0.2">
      <c r="A35" s="1" t="str" cm="1">
        <f t="array" ref="A35">IF(I35="","",IF(P35&lt;&gt;"",SUMPRODUCT((P$3:P$95&lt;&gt;"")*(G$3:G$95=G35)*(J$3:J$95&gt;J35)*(I$3:I$95="P"))+1,IF(O35&lt;&gt;"",SUMPRODUCT((O$3:O$95&lt;&gt;"")*(P$3:P$95="")*(G$3:G$95=G35)*(J$3:J$95&gt;J35)*(I$3:I$95="P"))+SUMPRODUCT((P$3:P$95&lt;&gt;"")*(G$3:G$95=G35)*(I$3:I$95="P"))+1,IF(N35&lt;&gt;"",SUMPRODUCT((N$3:N$95&lt;&gt;"")*(G$3:G$95=G35)*(J$3:J$95&gt;J35)*(I$3:I$95="P"))+1,IF(M35="P",SUMPRODUCT((O$3:O$95&lt;&gt;"")*(P$3:P$95="")*(G$3:G$95=G35)*(I$3:I$95="P"))+SUMPRODUCT((P$3:P$95&lt;&gt;"")*(G$3:G$95=G35)*(I$3:I$95="P"))+SUMPRODUCT((N$3:N$95&lt;&gt;"")*(G$3:G$95=G35)*(I$3:I$95="P"))+SUMPRODUCT((P$3:P$95="")*(O$3:O$95="")*(N$3:N$95="")*(M$3:M$95="P")*(G$3:G$95=G35)*(J$3:J$95&gt;J35)*(I$3:I$95="P"))+IF(H35="L5",SUMPRODUCT((P$3:P$95="")*(O$3:O$95="")*(N$3:N$95="")*(M$3:M$95="P")*(G$3:G$95=G35)*(J$3:J$95&lt;J35)*(H$3:H$95&lt;&gt;H35)*(I$3:I$95="P")),-1*SUMPRODUCT((P$3:P$95="")*(O$3:O$95="")*(N$3:N$95="")*(M$3:M$95="P")*(G$3:G$95=G35)*(J$3:J$95&gt;J35)*(H$3:H$95="L5")*(I$3:I$95="P")))+1,"")))))</f>
        <v/>
      </c>
      <c r="B35" s="1" t="str" cm="1">
        <f t="array" ref="B35">IF(P35&lt;&gt;"",SUMPRODUCT((P$3:P$95&lt;&gt;"")*(G$3:G$95=G35)*(J$3:J$95&gt;J35))+1,IF(O35&lt;&gt;"",SUMPRODUCT((O$3:O$95&lt;&gt;"")*(P$3:P$95="")*(G$3:G$95=G35)*(J$3:J$95&gt;J35))+SUMPRODUCT((P$3:P$95&lt;&gt;"")*(G$3:G$95=G35))+1,IF(N35&lt;&gt;"",SUMPRODUCT((N$3:N$95&lt;&gt;"")*(G$3:G$95=G35)*(J$3:J$95&gt;J35))+1,IF(M35="P",SUMPRODUCT((O$3:O$95&lt;&gt;"")*(P$3:P$95="")*(G$3:G$95=G35))+SUMPRODUCT((P$3:P$95&lt;&gt;"")*(G$3:G$95=G35))+SUMPRODUCT((N$3:N$95&lt;&gt;"")*(G$3:G$95=G35))+SUMPRODUCT((P$3:P$95="")*(O$3:O$95="")*(N$3:N$95="")*(M$3:M$95="P")*(G$3:G$95=G35)*(J$3:J$95&gt;J35))+IF(H35="L5",SUMPRODUCT((P$3:P$95="")*(O$3:O$95="")*(N$3:N$95="")*(M$3:M$95="P")*(G$3:G$95=G35)*(J$3:J$95&lt;J35)*(H$3:H$95&lt;&gt;H35)),-1*SUMPRODUCT((P$3:P$95="")*(O$3:O$95="")*(N$3:N$95="")*(M$3:M$95="P")*(G$3:G$95=G35)*(J$3:J$95&gt;J35)*(H$3:H$95="L5")))+1,""))))</f>
        <v/>
      </c>
      <c r="C35" s="35" t="s">
        <v>203</v>
      </c>
      <c r="D35" t="str">
        <f>IF(E35="","",VLOOKUP(E35,'Coaching Points'!A:B,2,0))</f>
        <v>BC</v>
      </c>
      <c r="E35" s="35" t="s">
        <v>40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R35+S35+IF(OR(H35="Junior",H35="Senior"),0.0002,IF(OR(H35="L7",H35="L6"),0.0001,0))+MAX(Z35,AC35)*0.0000001</f>
        <v>83.400100000000009</v>
      </c>
      <c r="K35" s="3" t="str">
        <f>IF(G35="Not Age Eligible","",IF(MAX(T35,W35,Z35,AC35)&gt;=LOOKUP(G35,'Qualifying Scores'!$A$4:$A$7,'Qualifying Scores'!$F$4:$F$7),"P",""))</f>
        <v/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MAX(T35-IF(OR(H35="Senior"),V35,0),W35-IF(OR(H35="Senior"),Y35,0),Z35-IF(OR(H35="Senior"),AB35,0),AC35-IF(OR(H35="Senior"),AE35,0))</f>
        <v>44.1</v>
      </c>
      <c r="S35" s="4">
        <f>IF(R35=T35-IF(OR(H35="Senior"),V35,0),MAX(W35-IF(OR(H35="Senior"),Y35,0),Z35-IF(OR(H35="Senior"),AB35,0),AC35-IF(OR(H35="Senior"),AE35,0)),IF(R35=W35-IF(OR(H35="Senior"),Y35,0),MAX(T35-IF(OR(H35="Senior"),V35,0),Z35-IF(OR(H35="Senior"),AB35,0),AC35-IF(OR(H35="Senior"),AE35,0)),IF(R35=Z35-IF(OR(H35="Senior"),AB35,0),MAX(T35-IF(OR(H35="Senior"),V35,0),W35-IF(OR(H35="Senior"),Y35,0),AC35-IF(OR(H35="Senior"),AE35,0)),IF(R35=AC35-IF(OR(H35="Senior"),AE35,0),MAX(T35-IF(OR(H35="Senior"),V35,0),W35-IF(OR(H35="Senior"),Y35,0),Z35-IF(OR(H35="Senior"),AB35,0)),0))))</f>
        <v>39.299999999999997</v>
      </c>
      <c r="T35" s="32">
        <v>44.1</v>
      </c>
      <c r="U35" s="37">
        <v>8.6999999999999993</v>
      </c>
      <c r="V35" s="37">
        <v>0</v>
      </c>
      <c r="W35" s="33">
        <v>39.299999999999997</v>
      </c>
      <c r="X35" s="37">
        <v>7.1999999999999993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$95&lt;&gt;"")*(G$3:G$95=G36)*(J$3:J$95&gt;J36)*(I$3:I$95="P"))+1,IF(O36&lt;&gt;"",SUMPRODUCT((O$3:O$95&lt;&gt;"")*(P$3:P$95="")*(G$3:G$95=G36)*(J$3:J$95&gt;J36)*(I$3:I$95="P"))+SUMPRODUCT((P$3:P$95&lt;&gt;"")*(G$3:G$95=G36)*(I$3:I$95="P"))+1,IF(N36&lt;&gt;"",SUMPRODUCT((N$3:N$95&lt;&gt;"")*(G$3:G$95=G36)*(J$3:J$95&gt;J36)*(I$3:I$95="P"))+1,IF(M36="P",SUMPRODUCT((O$3:O$95&lt;&gt;"")*(P$3:P$95="")*(G$3:G$95=G36)*(I$3:I$95="P"))+SUMPRODUCT((P$3:P$95&lt;&gt;"")*(G$3:G$95=G36)*(I$3:I$95="P"))+SUMPRODUCT((N$3:N$95&lt;&gt;"")*(G$3:G$95=G36)*(I$3:I$95="P"))+SUMPRODUCT((P$3:P$95="")*(O$3:O$95="")*(N$3:N$95="")*(M$3:M$95="P")*(G$3:G$95=G36)*(J$3:J$95&gt;J36)*(I$3:I$95="P"))+IF(H36="L5",SUMPRODUCT((P$3:P$95="")*(O$3:O$95="")*(N$3:N$95="")*(M$3:M$95="P")*(G$3:G$95=G36)*(J$3:J$95&lt;J36)*(H$3:H$95&lt;&gt;H36)*(I$3:I$95="P")),-1*SUMPRODUCT((P$3:P$95="")*(O$3:O$95="")*(N$3:N$95="")*(M$3:M$95="P")*(G$3:G$95=G36)*(J$3:J$95&gt;J36)*(H$3:H$95="L5")*(I$3:I$95="P")))+1,"")))))</f>
        <v/>
      </c>
      <c r="B36" s="1" t="str" cm="1">
        <f t="array" ref="B36">IF(P36&lt;&gt;"",SUMPRODUCT((P$3:P$95&lt;&gt;"")*(G$3:G$95=G36)*(J$3:J$95&gt;J36))+1,IF(O36&lt;&gt;"",SUMPRODUCT((O$3:O$95&lt;&gt;"")*(P$3:P$95="")*(G$3:G$95=G36)*(J$3:J$95&gt;J36))+SUMPRODUCT((P$3:P$95&lt;&gt;"")*(G$3:G$95=G36))+1,IF(N36&lt;&gt;"",SUMPRODUCT((N$3:N$95&lt;&gt;"")*(G$3:G$95=G36)*(J$3:J$95&gt;J36))+1,IF(M36="P",SUMPRODUCT((O$3:O$95&lt;&gt;"")*(P$3:P$95="")*(G$3:G$95=G36))+SUMPRODUCT((P$3:P$95&lt;&gt;"")*(G$3:G$95=G36))+SUMPRODUCT((N$3:N$95&lt;&gt;"")*(G$3:G$95=G36))+SUMPRODUCT((P$3:P$95="")*(O$3:O$95="")*(N$3:N$95="")*(M$3:M$95="P")*(G$3:G$95=G36)*(J$3:J$95&gt;J36))+IF(H36="L5",SUMPRODUCT((P$3:P$95="")*(O$3:O$95="")*(N$3:N$95="")*(M$3:M$95="P")*(G$3:G$95=G36)*(J$3:J$95&lt;J36)*(H$3:H$95&lt;&gt;H36)),-1*SUMPRODUCT((P$3:P$95="")*(O$3:O$95="")*(N$3:N$95="")*(M$3:M$95="P")*(G$3:G$95=G36)*(J$3:J$95&gt;J36)*(H$3:H$95="L5")))+1,""))))</f>
        <v/>
      </c>
      <c r="C36" s="35" t="s">
        <v>358</v>
      </c>
      <c r="D36" t="str">
        <f>IF(E36="","",VLOOKUP(E36,'Coaching Points'!A:B,2,0))</f>
        <v>BC</v>
      </c>
      <c r="E36" s="35" t="s">
        <v>40</v>
      </c>
      <c r="F36" s="34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83.100003969999989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MAX(T36-IF(OR(H36="Senior"),V36,0),W36-IF(OR(H36="Senior"),Y36,0),Z36-IF(OR(H36="Senior"),AB36,0),AC36-IF(OR(H36="Senior"),AE36,0))</f>
        <v>42.7</v>
      </c>
      <c r="S36" s="4">
        <f>IF(R36=T36-IF(OR(H36="Senior"),V36,0),MAX(W36-IF(OR(H36="Senior"),Y36,0),Z36-IF(OR(H36="Senior"),AB36,0),AC36-IF(OR(H36="Senior"),AE36,0)),IF(R36=W36-IF(OR(H36="Senior"),Y36,0),MAX(T36-IF(OR(H36="Senior"),V36,0),Z36-IF(OR(H36="Senior"),AB36,0),AC36-IF(OR(H36="Senior"),AE36,0)),IF(R36=Z36-IF(OR(H36="Senior"),AB36,0),MAX(T36-IF(OR(H36="Senior"),V36,0),W36-IF(OR(H36="Senior"),Y36,0),AC36-IF(OR(H36="Senior"),AE36,0)),IF(R36=AC36-IF(OR(H36="Senior"),AE36,0),MAX(T36-IF(OR(H36="Senior"),V36,0),W36-IF(OR(H36="Senior"),Y36,0),Z36-IF(OR(H36="Senior"),AB36,0)),0))))</f>
        <v>40.4</v>
      </c>
      <c r="T36" s="32">
        <v>40.4</v>
      </c>
      <c r="U36" s="37">
        <v>8</v>
      </c>
      <c r="V36" s="37">
        <v>0</v>
      </c>
      <c r="W36" s="33">
        <v>42.7</v>
      </c>
      <c r="X36" s="37">
        <v>6.3</v>
      </c>
      <c r="Y36" s="37">
        <v>0</v>
      </c>
      <c r="Z36" s="32">
        <v>39.700000000000003</v>
      </c>
      <c r="AA36" s="37">
        <v>7.1999999999999993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$95&lt;&gt;"")*(G$3:G$95=G37)*(J$3:J$95&gt;J37)*(I$3:I$95="P"))+1,IF(O37&lt;&gt;"",SUMPRODUCT((O$3:O$95&lt;&gt;"")*(P$3:P$95="")*(G$3:G$95=G37)*(J$3:J$95&gt;J37)*(I$3:I$95="P"))+SUMPRODUCT((P$3:P$95&lt;&gt;"")*(G$3:G$95=G37)*(I$3:I$95="P"))+1,IF(N37&lt;&gt;"",SUMPRODUCT((N$3:N$95&lt;&gt;"")*(G$3:G$95=G37)*(J$3:J$95&gt;J37)*(I$3:I$95="P"))+1,IF(M37="P",SUMPRODUCT((O$3:O$95&lt;&gt;"")*(P$3:P$95="")*(G$3:G$95=G37)*(I$3:I$95="P"))+SUMPRODUCT((P$3:P$95&lt;&gt;"")*(G$3:G$95=G37)*(I$3:I$95="P"))+SUMPRODUCT((N$3:N$95&lt;&gt;"")*(G$3:G$95=G37)*(I$3:I$95="P"))+SUMPRODUCT((P$3:P$95="")*(O$3:O$95="")*(N$3:N$95="")*(M$3:M$95="P")*(G$3:G$95=G37)*(J$3:J$95&gt;J37)*(I$3:I$95="P"))+IF(H37="L5",SUMPRODUCT((P$3:P$95="")*(O$3:O$95="")*(N$3:N$95="")*(M$3:M$95="P")*(G$3:G$95=G37)*(J$3:J$95&lt;J37)*(H$3:H$95&lt;&gt;H37)*(I$3:I$95="P")),-1*SUMPRODUCT((P$3:P$95="")*(O$3:O$95="")*(N$3:N$95="")*(M$3:M$95="P")*(G$3:G$95=G37)*(J$3:J$95&gt;J37)*(H$3:H$95="L5")*(I$3:I$95="P")))+1,"")))))</f>
        <v/>
      </c>
      <c r="B37" s="1" t="str" cm="1">
        <f t="array" ref="B37">IF(P37&lt;&gt;"",SUMPRODUCT((P$3:P$95&lt;&gt;"")*(G$3:G$95=G37)*(J$3:J$95&gt;J37))+1,IF(O37&lt;&gt;"",SUMPRODUCT((O$3:O$95&lt;&gt;"")*(P$3:P$95="")*(G$3:G$95=G37)*(J$3:J$95&gt;J37))+SUMPRODUCT((P$3:P$95&lt;&gt;"")*(G$3:G$95=G37))+1,IF(N37&lt;&gt;"",SUMPRODUCT((N$3:N$95&lt;&gt;"")*(G$3:G$95=G37)*(J$3:J$95&gt;J37))+1,IF(M37="P",SUMPRODUCT((O$3:O$95&lt;&gt;"")*(P$3:P$95="")*(G$3:G$95=G37))+SUMPRODUCT((P$3:P$95&lt;&gt;"")*(G$3:G$95=G37))+SUMPRODUCT((N$3:N$95&lt;&gt;"")*(G$3:G$95=G37))+SUMPRODUCT((P$3:P$95="")*(O$3:O$95="")*(N$3:N$95="")*(M$3:M$95="P")*(G$3:G$95=G37)*(J$3:J$95&gt;J37))+IF(H37="L5",SUMPRODUCT((P$3:P$95="")*(O$3:O$95="")*(N$3:N$95="")*(M$3:M$95="P")*(G$3:G$95=G37)*(J$3:J$95&lt;J37)*(H$3:H$95&lt;&gt;H37)),-1*SUMPRODUCT((P$3:P$95="")*(O$3:O$95="")*(N$3:N$95="")*(M$3:M$95="P")*(G$3:G$95=G37)*(J$3:J$95&gt;J37)*(H$3:H$95="L5")))+1,""))))</f>
        <v/>
      </c>
      <c r="C37" s="35" t="s">
        <v>166</v>
      </c>
      <c r="D37" t="str">
        <f>IF(E37="","",VLOOKUP(E37,'Coaching Points'!A:B,2,0))</f>
        <v>AB</v>
      </c>
      <c r="E37" s="35" t="s">
        <v>56</v>
      </c>
      <c r="F37" s="34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210</v>
      </c>
      <c r="I37" s="40"/>
      <c r="J37" s="4">
        <f>R37+S37+IF(OR(H37="Junior",H37="Senior"),0.0002,IF(OR(H37="L7",H37="L6"),0.0001,0))+MAX(Z37,AC37)*0.0000001</f>
        <v>82.900203890000014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MAX(T37-IF(OR(H37="Senior"),V37,0),W37-IF(OR(H37="Senior"),Y37,0),Z37-IF(OR(H37="Senior"),AB37,0),AC37-IF(OR(H37="Senior"),AE37,0))</f>
        <v>44.3</v>
      </c>
      <c r="S37" s="4">
        <f>IF(R37=T37-IF(OR(H37="Senior"),V37,0),MAX(W37-IF(OR(H37="Senior"),Y37,0),Z37-IF(OR(H37="Senior"),AB37,0),AC37-IF(OR(H37="Senior"),AE37,0)),IF(R37=W37-IF(OR(H37="Senior"),Y37,0),MAX(T37-IF(OR(H37="Senior"),V37,0),Z37-IF(OR(H37="Senior"),AB37,0),AC37-IF(OR(H37="Senior"),AE37,0)),IF(R37=Z37-IF(OR(H37="Senior"),AB37,0),MAX(T37-IF(OR(H37="Senior"),V37,0),W37-IF(OR(H37="Senior"),Y37,0),AC37-IF(OR(H37="Senior"),AE37,0)),IF(R37=AC37-IF(OR(H37="Senior"),AE37,0),MAX(T37-IF(OR(H37="Senior"),V37,0),W37-IF(OR(H37="Senior"),Y37,0),Z37-IF(OR(H37="Senior"),AB37,0)),0))))</f>
        <v>38.6</v>
      </c>
      <c r="T37" s="32">
        <v>44.3</v>
      </c>
      <c r="U37" s="37">
        <v>10.5</v>
      </c>
      <c r="V37" s="37">
        <v>0</v>
      </c>
      <c r="W37" s="33"/>
      <c r="X37" s="37"/>
      <c r="Y37" s="37"/>
      <c r="Z37" s="32">
        <v>38.9</v>
      </c>
      <c r="AA37" s="37">
        <v>8</v>
      </c>
      <c r="AB37" s="37">
        <v>0.3</v>
      </c>
      <c r="AC37" s="33"/>
      <c r="AD37" s="37"/>
      <c r="AE37" s="37"/>
    </row>
    <row r="38" spans="1:31" x14ac:dyDescent="0.2">
      <c r="A38" s="1" t="str" cm="1">
        <f t="array" ref="A38">IF(I38="","",IF(P38&lt;&gt;"",SUMPRODUCT((P$3:P$95&lt;&gt;"")*(G$3:G$95=G38)*(J$3:J$95&gt;J38)*(I$3:I$95="P"))+1,IF(O38&lt;&gt;"",SUMPRODUCT((O$3:O$95&lt;&gt;"")*(P$3:P$95="")*(G$3:G$95=G38)*(J$3:J$95&gt;J38)*(I$3:I$95="P"))+SUMPRODUCT((P$3:P$95&lt;&gt;"")*(G$3:G$95=G38)*(I$3:I$95="P"))+1,IF(N38&lt;&gt;"",SUMPRODUCT((N$3:N$95&lt;&gt;"")*(G$3:G$95=G38)*(J$3:J$95&gt;J38)*(I$3:I$95="P"))+1,IF(M38="P",SUMPRODUCT((O$3:O$95&lt;&gt;"")*(P$3:P$95="")*(G$3:G$95=G38)*(I$3:I$95="P"))+SUMPRODUCT((P$3:P$95&lt;&gt;"")*(G$3:G$95=G38)*(I$3:I$95="P"))+SUMPRODUCT((N$3:N$95&lt;&gt;"")*(G$3:G$95=G38)*(I$3:I$95="P"))+SUMPRODUCT((P$3:P$95="")*(O$3:O$95="")*(N$3:N$95="")*(M$3:M$95="P")*(G$3:G$95=G38)*(J$3:J$95&gt;J38)*(I$3:I$95="P"))+IF(H38="L5",SUMPRODUCT((P$3:P$95="")*(O$3:O$95="")*(N$3:N$95="")*(M$3:M$95="P")*(G$3:G$95=G38)*(J$3:J$95&lt;J38)*(H$3:H$95&lt;&gt;H38)*(I$3:I$95="P")),-1*SUMPRODUCT((P$3:P$95="")*(O$3:O$95="")*(N$3:N$95="")*(M$3:M$95="P")*(G$3:G$95=G38)*(J$3:J$95&gt;J38)*(H$3:H$95="L5")*(I$3:I$95="P")))+1,"")))))</f>
        <v/>
      </c>
      <c r="B38" s="1" t="str" cm="1">
        <f t="array" ref="B38">IF(P38&lt;&gt;"",SUMPRODUCT((P$3:P$95&lt;&gt;"")*(G$3:G$95=G38)*(J$3:J$95&gt;J38))+1,IF(O38&lt;&gt;"",SUMPRODUCT((O$3:O$95&lt;&gt;"")*(P$3:P$95="")*(G$3:G$95=G38)*(J$3:J$95&gt;J38))+SUMPRODUCT((P$3:P$95&lt;&gt;"")*(G$3:G$95=G38))+1,IF(N38&lt;&gt;"",SUMPRODUCT((N$3:N$95&lt;&gt;"")*(G$3:G$95=G38)*(J$3:J$95&gt;J38))+1,IF(M38="P",SUMPRODUCT((O$3:O$95&lt;&gt;"")*(P$3:P$95="")*(G$3:G$95=G38))+SUMPRODUCT((P$3:P$95&lt;&gt;"")*(G$3:G$95=G38))+SUMPRODUCT((N$3:N$95&lt;&gt;"")*(G$3:G$95=G38))+SUMPRODUCT((P$3:P$95="")*(O$3:O$95="")*(N$3:N$95="")*(M$3:M$95="P")*(G$3:G$95=G38)*(J$3:J$95&gt;J38))+IF(H38="L5",SUMPRODUCT((P$3:P$95="")*(O$3:O$95="")*(N$3:N$95="")*(M$3:M$95="P")*(G$3:G$95=G38)*(J$3:J$95&lt;J38)*(H$3:H$95&lt;&gt;H38)),-1*SUMPRODUCT((P$3:P$95="")*(O$3:O$95="")*(N$3:N$95="")*(M$3:M$95="P")*(G$3:G$95=G38)*(J$3:J$95&gt;J38)*(H$3:H$95="L5")))+1,""))))</f>
        <v/>
      </c>
      <c r="C38" s="35" t="s">
        <v>484</v>
      </c>
      <c r="D38" t="str">
        <f>IF(E38="","",VLOOKUP(E38,'Coaching Points'!A:B,2,0))</f>
        <v>QC</v>
      </c>
      <c r="E38" s="35" t="s">
        <v>124</v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81.300004299999998</v>
      </c>
      <c r="K38" s="3" t="str">
        <f>IF(G38="Not Age Eligible","",IF(MAX(T38,W38,Z38,AC38)&gt;=LOOKUP(G38,'Qualifying Scores'!$A$4:$A$7,'Qualifying Scores'!$F$4:$F$7),"P",""))</f>
        <v/>
      </c>
      <c r="L38" s="3" t="str">
        <f>IF(G38="Not Age Eligible","",IF(MAX(U38,X38,AA38,AD38)&gt;=LOOKUP(G38,'Qualifying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/>
      </c>
      <c r="Q38" s="1" t="str">
        <f>IF(A38&lt;5,IF(_xlfn.MAXIFS(A:A,G:G,G38)&gt;3,5-A38,_xlfn.MAXIFS(A:A,G:G,G38)+1-A38),"")</f>
        <v/>
      </c>
      <c r="R38" s="4">
        <f>MAX(T38-IF(OR(H38="Senior"),V38,0),W38-IF(OR(H38="Senior"),Y38,0),Z38-IF(OR(H38="Senior"),AB38,0),AC38-IF(OR(H38="Senior"),AE38,0))</f>
        <v>43</v>
      </c>
      <c r="S38" s="4">
        <f>IF(R38=T38-IF(OR(H38="Senior"),V38,0),MAX(W38-IF(OR(H38="Senior"),Y38,0),Z38-IF(OR(H38="Senior"),AB38,0),AC38-IF(OR(H38="Senior"),AE38,0)),IF(R38=W38-IF(OR(H38="Senior"),Y38,0),MAX(T38-IF(OR(H38="Senior"),V38,0),Z38-IF(OR(H38="Senior"),AB38,0),AC38-IF(OR(H38="Senior"),AE38,0)),IF(R38=Z38-IF(OR(H38="Senior"),AB38,0),MAX(T38-IF(OR(H38="Senior"),V38,0),W38-IF(OR(H38="Senior"),Y38,0),AC38-IF(OR(H38="Senior"),AE38,0)),IF(R38=AC38-IF(OR(H38="Senior"),AE38,0),MAX(T38-IF(OR(H38="Senior"),V38,0),W38-IF(OR(H38="Senior"),Y38,0),Z38-IF(OR(H38="Senior"),AB38,0)),0))))</f>
        <v>38.299999999999997</v>
      </c>
      <c r="T38" s="32"/>
      <c r="U38" s="37"/>
      <c r="V38" s="37"/>
      <c r="W38" s="33"/>
      <c r="X38" s="37"/>
      <c r="Y38" s="37"/>
      <c r="Z38" s="32">
        <v>43</v>
      </c>
      <c r="AA38" s="37">
        <v>7.9</v>
      </c>
      <c r="AB38" s="37">
        <v>0</v>
      </c>
      <c r="AC38" s="33">
        <v>38.299999999999997</v>
      </c>
      <c r="AD38" s="37">
        <v>5.0999999999999996</v>
      </c>
      <c r="AE38" s="37">
        <v>0</v>
      </c>
    </row>
    <row r="39" spans="1:31" x14ac:dyDescent="0.2">
      <c r="A39" s="1" t="str" cm="1">
        <f t="array" ref="A39">IF(I39="","",IF(P39&lt;&gt;"",SUMPRODUCT((P$3:P$95&lt;&gt;"")*(G$3:G$95=G39)*(J$3:J$95&gt;J39)*(I$3:I$95="P"))+1,IF(O39&lt;&gt;"",SUMPRODUCT((O$3:O$95&lt;&gt;"")*(P$3:P$95="")*(G$3:G$95=G39)*(J$3:J$95&gt;J39)*(I$3:I$95="P"))+SUMPRODUCT((P$3:P$95&lt;&gt;"")*(G$3:G$95=G39)*(I$3:I$95="P"))+1,IF(N39&lt;&gt;"",SUMPRODUCT((N$3:N$95&lt;&gt;"")*(G$3:G$95=G39)*(J$3:J$95&gt;J39)*(I$3:I$95="P"))+1,IF(M39="P",SUMPRODUCT((O$3:O$95&lt;&gt;"")*(P$3:P$95="")*(G$3:G$95=G39)*(I$3:I$95="P"))+SUMPRODUCT((P$3:P$95&lt;&gt;"")*(G$3:G$95=G39)*(I$3:I$95="P"))+SUMPRODUCT((N$3:N$95&lt;&gt;"")*(G$3:G$95=G39)*(I$3:I$95="P"))+SUMPRODUCT((P$3:P$95="")*(O$3:O$95="")*(N$3:N$95="")*(M$3:M$95="P")*(G$3:G$95=G39)*(J$3:J$95&gt;J39)*(I$3:I$95="P"))+IF(H39="L5",SUMPRODUCT((P$3:P$95="")*(O$3:O$95="")*(N$3:N$95="")*(M$3:M$95="P")*(G$3:G$95=G39)*(J$3:J$95&lt;J39)*(H$3:H$95&lt;&gt;H39)*(I$3:I$95="P")),-1*SUMPRODUCT((P$3:P$95="")*(O$3:O$95="")*(N$3:N$95="")*(M$3:M$95="P")*(G$3:G$95=G39)*(J$3:J$95&gt;J39)*(H$3:H$95="L5")*(I$3:I$95="P")))+1,"")))))</f>
        <v/>
      </c>
      <c r="B39" s="1" t="str" cm="1">
        <f t="array" ref="B39">IF(P39&lt;&gt;"",SUMPRODUCT((P$3:P$95&lt;&gt;"")*(G$3:G$95=G39)*(J$3:J$95&gt;J39))+1,IF(O39&lt;&gt;"",SUMPRODUCT((O$3:O$95&lt;&gt;"")*(P$3:P$95="")*(G$3:G$95=G39)*(J$3:J$95&gt;J39))+SUMPRODUCT((P$3:P$95&lt;&gt;"")*(G$3:G$95=G39))+1,IF(N39&lt;&gt;"",SUMPRODUCT((N$3:N$95&lt;&gt;"")*(G$3:G$95=G39)*(J$3:J$95&gt;J39))+1,IF(M39="P",SUMPRODUCT((O$3:O$95&lt;&gt;"")*(P$3:P$95="")*(G$3:G$95=G39))+SUMPRODUCT((P$3:P$95&lt;&gt;"")*(G$3:G$95=G39))+SUMPRODUCT((N$3:N$95&lt;&gt;"")*(G$3:G$95=G39))+SUMPRODUCT((P$3:P$95="")*(O$3:O$95="")*(N$3:N$95="")*(M$3:M$95="P")*(G$3:G$95=G39)*(J$3:J$95&gt;J39))+IF(H39="L5",SUMPRODUCT((P$3:P$95="")*(O$3:O$95="")*(N$3:N$95="")*(M$3:M$95="P")*(G$3:G$95=G39)*(J$3:J$95&lt;J39)*(H$3:H$95&lt;&gt;H39)),-1*SUMPRODUCT((P$3:P$95="")*(O$3:O$95="")*(N$3:N$95="")*(M$3:M$95="P")*(G$3:G$95=G39)*(J$3:J$95&gt;J39)*(H$3:H$95="L5")))+1,""))))</f>
        <v/>
      </c>
      <c r="C39" s="35" t="s">
        <v>159</v>
      </c>
      <c r="D39" t="str">
        <f>IF(E39="","",VLOOKUP(E39,'Coaching Points'!A:B,2,0))</f>
        <v>BC</v>
      </c>
      <c r="E39" s="35" t="s">
        <v>59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R39+S39+IF(OR(H39="Junior",H39="Senior"),0.0002,IF(OR(H39="L7",H39="L6"),0.0001,0))+MAX(Z39,AC39)*0.0000001</f>
        <v>77.099999999999994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MAX(T39-IF(OR(H39="Senior"),V39,0),W39-IF(OR(H39="Senior"),Y39,0),Z39-IF(OR(H39="Senior"),AB39,0),AC39-IF(OR(H39="Senior"),AE39,0))</f>
        <v>40.299999999999997</v>
      </c>
      <c r="S39" s="4">
        <f>IF(R39=T39-IF(OR(H39="Senior"),V39,0),MAX(W39-IF(OR(H39="Senior"),Y39,0),Z39-IF(OR(H39="Senior"),AB39,0),AC39-IF(OR(H39="Senior"),AE39,0)),IF(R39=W39-IF(OR(H39="Senior"),Y39,0),MAX(T39-IF(OR(H39="Senior"),V39,0),Z39-IF(OR(H39="Senior"),AB39,0),AC39-IF(OR(H39="Senior"),AE39,0)),IF(R39=Z39-IF(OR(H39="Senior"),AB39,0),MAX(T39-IF(OR(H39="Senior"),V39,0),W39-IF(OR(H39="Senior"),Y39,0),AC39-IF(OR(H39="Senior"),AE39,0)),IF(R39=AC39-IF(OR(H39="Senior"),AE39,0),MAX(T39-IF(OR(H39="Senior"),V39,0),W39-IF(OR(H39="Senior"),Y39,0),Z39-IF(OR(H39="Senior"),AB39,0)),0))))</f>
        <v>36.799999999999997</v>
      </c>
      <c r="T39" s="32">
        <v>36.799999999999997</v>
      </c>
      <c r="U39" s="37">
        <v>3.4000000000000004</v>
      </c>
      <c r="V39" s="37">
        <v>0</v>
      </c>
      <c r="W39" s="33">
        <v>40.299999999999997</v>
      </c>
      <c r="X39" s="37">
        <v>4.9000000000000004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$95&lt;&gt;"")*(G$3:G$95=G40)*(J$3:J$95&gt;J40)*(I$3:I$95="P"))+1,IF(O40&lt;&gt;"",SUMPRODUCT((O$3:O$95&lt;&gt;"")*(P$3:P$95="")*(G$3:G$95=G40)*(J$3:J$95&gt;J40)*(I$3:I$95="P"))+SUMPRODUCT((P$3:P$95&lt;&gt;"")*(G$3:G$95=G40)*(I$3:I$95="P"))+1,IF(N40&lt;&gt;"",SUMPRODUCT((N$3:N$95&lt;&gt;"")*(G$3:G$95=G40)*(J$3:J$95&gt;J40)*(I$3:I$95="P"))+1,IF(M40="P",SUMPRODUCT((O$3:O$95&lt;&gt;"")*(P$3:P$95="")*(G$3:G$95=G40)*(I$3:I$95="P"))+SUMPRODUCT((P$3:P$95&lt;&gt;"")*(G$3:G$95=G40)*(I$3:I$95="P"))+SUMPRODUCT((N$3:N$95&lt;&gt;"")*(G$3:G$95=G40)*(I$3:I$95="P"))+SUMPRODUCT((P$3:P$95="")*(O$3:O$95="")*(N$3:N$95="")*(M$3:M$95="P")*(G$3:G$95=G40)*(J$3:J$95&gt;J40)*(I$3:I$95="P"))+IF(H40="L5",SUMPRODUCT((P$3:P$95="")*(O$3:O$95="")*(N$3:N$95="")*(M$3:M$95="P")*(G$3:G$95=G40)*(J$3:J$95&lt;J40)*(H$3:H$95&lt;&gt;H40)*(I$3:I$95="P")),-1*SUMPRODUCT((P$3:P$95="")*(O$3:O$95="")*(N$3:N$95="")*(M$3:M$95="P")*(G$3:G$95=G40)*(J$3:J$95&gt;J40)*(H$3:H$95="L5")*(I$3:I$95="P")))+1,"")))))</f>
        <v/>
      </c>
      <c r="B40" s="1" t="str" cm="1">
        <f t="array" ref="B40">IF(P40&lt;&gt;"",SUMPRODUCT((P$3:P$95&lt;&gt;"")*(G$3:G$95=G40)*(J$3:J$95&gt;J40))+1,IF(O40&lt;&gt;"",SUMPRODUCT((O$3:O$95&lt;&gt;"")*(P$3:P$95="")*(G$3:G$95=G40)*(J$3:J$95&gt;J40))+SUMPRODUCT((P$3:P$95&lt;&gt;"")*(G$3:G$95=G40))+1,IF(N40&lt;&gt;"",SUMPRODUCT((N$3:N$95&lt;&gt;"")*(G$3:G$95=G40)*(J$3:J$95&gt;J40))+1,IF(M40="P",SUMPRODUCT((O$3:O$95&lt;&gt;"")*(P$3:P$95="")*(G$3:G$95=G40))+SUMPRODUCT((P$3:P$95&lt;&gt;"")*(G$3:G$95=G40))+SUMPRODUCT((N$3:N$95&lt;&gt;"")*(G$3:G$95=G40))+SUMPRODUCT((P$3:P$95="")*(O$3:O$95="")*(N$3:N$95="")*(M$3:M$95="P")*(G$3:G$95=G40)*(J$3:J$95&gt;J40))+IF(H40="L5",SUMPRODUCT((P$3:P$95="")*(O$3:O$95="")*(N$3:N$95="")*(M$3:M$95="P")*(G$3:G$95=G40)*(J$3:J$95&lt;J40)*(H$3:H$95&lt;&gt;H40)),-1*SUMPRODUCT((P$3:P$95="")*(O$3:O$95="")*(N$3:N$95="")*(M$3:M$95="P")*(G$3:G$95=G40)*(J$3:J$95&gt;J40)*(H$3:H$95="L5")))+1,""))))</f>
        <v/>
      </c>
      <c r="C40" s="35" t="s">
        <v>329</v>
      </c>
      <c r="D40" t="str">
        <f>IF(E40="","",VLOOKUP(E40,'Coaching Points'!A:B,2,0))</f>
        <v>AB</v>
      </c>
      <c r="E40" s="35" t="s">
        <v>62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>R40+S40+IF(OR(H40="Junior",H40="Senior"),0.0002,IF(OR(H40="L7",H40="L6"),0.0001,0))+MAX(Z40,AC40)*0.0000001</f>
        <v>69.800204370000017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MAX(T40-IF(OR(H40="Senior"),V40,0),W40-IF(OR(H40="Senior"),Y40,0),Z40-IF(OR(H40="Senior"),AB40,0),AC40-IF(OR(H40="Senior"),AE40,0))</f>
        <v>43.7</v>
      </c>
      <c r="S40" s="4">
        <f>IF(R40=T40-IF(OR(H40="Senior"),V40,0),MAX(W40-IF(OR(H40="Senior"),Y40,0),Z40-IF(OR(H40="Senior"),AB40,0),AC40-IF(OR(H40="Senior"),AE40,0)),IF(R40=W40-IF(OR(H40="Senior"),Y40,0),MAX(T40-IF(OR(H40="Senior"),V40,0),Z40-IF(OR(H40="Senior"),AB40,0),AC40-IF(OR(H40="Senior"),AE40,0)),IF(R40=Z40-IF(OR(H40="Senior"),AB40,0),MAX(T40-IF(OR(H40="Senior"),V40,0),W40-IF(OR(H40="Senior"),Y40,0),AC40-IF(OR(H40="Senior"),AE40,0)),IF(R40=AC40-IF(OR(H40="Senior"),AE40,0),MAX(T40-IF(OR(H40="Senior"),V40,0),W40-IF(OR(H40="Senior"),Y40,0),Z40-IF(OR(H40="Senior"),AB40,0)),0))))</f>
        <v>26.1</v>
      </c>
      <c r="T40" s="32">
        <v>26.1</v>
      </c>
      <c r="U40" s="37">
        <v>8.1</v>
      </c>
      <c r="V40" s="37">
        <v>0</v>
      </c>
      <c r="W40" s="33"/>
      <c r="X40" s="37"/>
      <c r="Y40" s="37"/>
      <c r="Z40" s="32">
        <v>43.7</v>
      </c>
      <c r="AA40" s="37">
        <v>10.8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$95&lt;&gt;"")*(G$3:G$95=G41)*(J$3:J$95&gt;J41)*(I$3:I$95="P"))+1,IF(O41&lt;&gt;"",SUMPRODUCT((O$3:O$95&lt;&gt;"")*(P$3:P$95="")*(G$3:G$95=G41)*(J$3:J$95&gt;J41)*(I$3:I$95="P"))+SUMPRODUCT((P$3:P$95&lt;&gt;"")*(G$3:G$95=G41)*(I$3:I$95="P"))+1,IF(N41&lt;&gt;"",SUMPRODUCT((N$3:N$95&lt;&gt;"")*(G$3:G$95=G41)*(J$3:J$95&gt;J41)*(I$3:I$95="P"))+1,IF(M41="P",SUMPRODUCT((O$3:O$95&lt;&gt;"")*(P$3:P$95="")*(G$3:G$95=G41)*(I$3:I$95="P"))+SUMPRODUCT((P$3:P$95&lt;&gt;"")*(G$3:G$95=G41)*(I$3:I$95="P"))+SUMPRODUCT((N$3:N$95&lt;&gt;"")*(G$3:G$95=G41)*(I$3:I$95="P"))+SUMPRODUCT((P$3:P$95="")*(O$3:O$95="")*(N$3:N$95="")*(M$3:M$95="P")*(G$3:G$95=G41)*(J$3:J$95&gt;J41)*(I$3:I$95="P"))+IF(H41="L5",SUMPRODUCT((P$3:P$95="")*(O$3:O$95="")*(N$3:N$95="")*(M$3:M$95="P")*(G$3:G$95=G41)*(J$3:J$95&lt;J41)*(H$3:H$95&lt;&gt;H41)*(I$3:I$95="P")),-1*SUMPRODUCT((P$3:P$95="")*(O$3:O$95="")*(N$3:N$95="")*(M$3:M$95="P")*(G$3:G$95=G41)*(J$3:J$95&gt;J41)*(H$3:H$95="L5")*(I$3:I$95="P")))+1,"")))))</f>
        <v/>
      </c>
      <c r="B41" s="1" t="str" cm="1">
        <f t="array" ref="B41">IF(P41&lt;&gt;"",SUMPRODUCT((P$3:P$95&lt;&gt;"")*(G$3:G$95=G41)*(J$3:J$95&gt;J41))+1,IF(O41&lt;&gt;"",SUMPRODUCT((O$3:O$95&lt;&gt;"")*(P$3:P$95="")*(G$3:G$95=G41)*(J$3:J$95&gt;J41))+SUMPRODUCT((P$3:P$95&lt;&gt;"")*(G$3:G$95=G41))+1,IF(N41&lt;&gt;"",SUMPRODUCT((N$3:N$95&lt;&gt;"")*(G$3:G$95=G41)*(J$3:J$95&gt;J41))+1,IF(M41="P",SUMPRODUCT((O$3:O$95&lt;&gt;"")*(P$3:P$95="")*(G$3:G$95=G41))+SUMPRODUCT((P$3:P$95&lt;&gt;"")*(G$3:G$95=G41))+SUMPRODUCT((N$3:N$95&lt;&gt;"")*(G$3:G$95=G41))+SUMPRODUCT((P$3:P$95="")*(O$3:O$95="")*(N$3:N$95="")*(M$3:M$95="P")*(G$3:G$95=G41)*(J$3:J$95&gt;J41))+IF(H41="L5",SUMPRODUCT((P$3:P$95="")*(O$3:O$95="")*(N$3:N$95="")*(M$3:M$95="P")*(G$3:G$95=G41)*(J$3:J$95&lt;J41)*(H$3:H$95&lt;&gt;H41)),-1*SUMPRODUCT((P$3:P$95="")*(O$3:O$95="")*(N$3:N$95="")*(M$3:M$95="P")*(G$3:G$95=G41)*(J$3:J$95&gt;J41)*(H$3:H$95="L5")))+1,""))))</f>
        <v/>
      </c>
      <c r="C41" s="35" t="s">
        <v>403</v>
      </c>
      <c r="D41" t="str">
        <f>IF(E41="","",VLOOKUP(E41,'Coaching Points'!A:B,2,0))</f>
        <v>QC</v>
      </c>
      <c r="E41" s="35" t="s">
        <v>99</v>
      </c>
      <c r="F41" s="34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>R41+S41+IF(OR(H41="Junior",H41="Senior"),0.0002,IF(OR(H41="L7",H41="L6"),0.0001,0))+MAX(Z41,AC41)*0.0000001</f>
        <v>64.300004299999998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MAX(T41-IF(OR(H41="Senior"),V41,0),W41-IF(OR(H41="Senior"),Y41,0),Z41-IF(OR(H41="Senior"),AB41,0),AC41-IF(OR(H41="Senior"),AE41,0))</f>
        <v>43</v>
      </c>
      <c r="S41" s="4">
        <f>IF(R41=T41-IF(OR(H41="Senior"),V41,0),MAX(W41-IF(OR(H41="Senior"),Y41,0),Z41-IF(OR(H41="Senior"),AB41,0),AC41-IF(OR(H41="Senior"),AE41,0)),IF(R41=W41-IF(OR(H41="Senior"),Y41,0),MAX(T41-IF(OR(H41="Senior"),V41,0),Z41-IF(OR(H41="Senior"),AB41,0),AC41-IF(OR(H41="Senior"),AE41,0)),IF(R41=Z41-IF(OR(H41="Senior"),AB41,0),MAX(T41-IF(OR(H41="Senior"),V41,0),W41-IF(OR(H41="Senior"),Y41,0),AC41-IF(OR(H41="Senior"),AE41,0)),IF(R41=AC41-IF(OR(H41="Senior"),AE41,0),MAX(T41-IF(OR(H41="Senior"),V41,0),W41-IF(OR(H41="Senior"),Y41,0),Z41-IF(OR(H41="Senior"),AB41,0)),0))))</f>
        <v>21.3</v>
      </c>
      <c r="T41" s="32"/>
      <c r="U41" s="37"/>
      <c r="V41" s="37"/>
      <c r="W41" s="33"/>
      <c r="X41" s="37"/>
      <c r="Y41" s="37"/>
      <c r="Z41" s="32">
        <v>43</v>
      </c>
      <c r="AA41" s="37">
        <v>6.3</v>
      </c>
      <c r="AB41" s="37">
        <v>0</v>
      </c>
      <c r="AC41" s="33">
        <v>21.3</v>
      </c>
      <c r="AD41" s="37">
        <v>2.7</v>
      </c>
      <c r="AE41" s="37">
        <v>0</v>
      </c>
    </row>
    <row r="42" spans="1:31" x14ac:dyDescent="0.2">
      <c r="A42" s="1" t="str" cm="1">
        <f t="array" ref="A42">IF(I42="","",IF(P42&lt;&gt;"",SUMPRODUCT((P$3:P$95&lt;&gt;"")*(G$3:G$95=G42)*(J$3:J$95&gt;J42)*(I$3:I$95="P"))+1,IF(O42&lt;&gt;"",SUMPRODUCT((O$3:O$95&lt;&gt;"")*(P$3:P$95="")*(G$3:G$95=G42)*(J$3:J$95&gt;J42)*(I$3:I$95="P"))+SUMPRODUCT((P$3:P$95&lt;&gt;"")*(G$3:G$95=G42)*(I$3:I$95="P"))+1,IF(N42&lt;&gt;"",SUMPRODUCT((N$3:N$95&lt;&gt;"")*(G$3:G$95=G42)*(J$3:J$95&gt;J42)*(I$3:I$95="P"))+1,IF(M42="P",SUMPRODUCT((O$3:O$95&lt;&gt;"")*(P$3:P$95="")*(G$3:G$95=G42)*(I$3:I$95="P"))+SUMPRODUCT((P$3:P$95&lt;&gt;"")*(G$3:G$95=G42)*(I$3:I$95="P"))+SUMPRODUCT((N$3:N$95&lt;&gt;"")*(G$3:G$95=G42)*(I$3:I$95="P"))+SUMPRODUCT((P$3:P$95="")*(O$3:O$95="")*(N$3:N$95="")*(M$3:M$95="P")*(G$3:G$95=G42)*(J$3:J$95&gt;J42)*(I$3:I$95="P"))+IF(H42="L5",SUMPRODUCT((P$3:P$95="")*(O$3:O$95="")*(N$3:N$95="")*(M$3:M$95="P")*(G$3:G$95=G42)*(J$3:J$95&lt;J42)*(H$3:H$95&lt;&gt;H42)*(I$3:I$95="P")),-1*SUMPRODUCT((P$3:P$95="")*(O$3:O$95="")*(N$3:N$95="")*(M$3:M$95="P")*(G$3:G$95=G42)*(J$3:J$95&gt;J42)*(H$3:H$95="L5")*(I$3:I$95="P")))+1,"")))))</f>
        <v/>
      </c>
      <c r="B42" s="1" t="str" cm="1">
        <f t="array" ref="B42">IF(P42&lt;&gt;"",SUMPRODUCT((P$3:P$95&lt;&gt;"")*(G$3:G$95=G42)*(J$3:J$95&gt;J42))+1,IF(O42&lt;&gt;"",SUMPRODUCT((O$3:O$95&lt;&gt;"")*(P$3:P$95="")*(G$3:G$95=G42)*(J$3:J$95&gt;J42))+SUMPRODUCT((P$3:P$95&lt;&gt;"")*(G$3:G$95=G42))+1,IF(N42&lt;&gt;"",SUMPRODUCT((N$3:N$95&lt;&gt;"")*(G$3:G$95=G42)*(J$3:J$95&gt;J42))+1,IF(M42="P",SUMPRODUCT((O$3:O$95&lt;&gt;"")*(P$3:P$95="")*(G$3:G$95=G42))+SUMPRODUCT((P$3:P$95&lt;&gt;"")*(G$3:G$95=G42))+SUMPRODUCT((N$3:N$95&lt;&gt;"")*(G$3:G$95=G42))+SUMPRODUCT((P$3:P$95="")*(O$3:O$95="")*(N$3:N$95="")*(M$3:M$95="P")*(G$3:G$95=G42)*(J$3:J$95&gt;J42))+IF(H42="L5",SUMPRODUCT((P$3:P$95="")*(O$3:O$95="")*(N$3:N$95="")*(M$3:M$95="P")*(G$3:G$95=G42)*(J$3:J$95&lt;J42)*(H$3:H$95&lt;&gt;H42)),-1*SUMPRODUCT((P$3:P$95="")*(O$3:O$95="")*(N$3:N$95="")*(M$3:M$95="P")*(G$3:G$95=G42)*(J$3:J$95&gt;J42)*(H$3:H$95="L5")))+1,""))))</f>
        <v/>
      </c>
      <c r="C42" s="35" t="s">
        <v>485</v>
      </c>
      <c r="D42" t="str">
        <f>IF(E42="","",VLOOKUP(E42,'Coaching Points'!A:B,2,0))</f>
        <v>ON</v>
      </c>
      <c r="E42" s="35" t="s">
        <v>45</v>
      </c>
      <c r="F42" s="34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64.20000426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MAX(T42-IF(OR(H42="Senior"),V42,0),W42-IF(OR(H42="Senior"),Y42,0),Z42-IF(OR(H42="Senior"),AB42,0),AC42-IF(OR(H42="Senior"),AE42,0))</f>
        <v>42.6</v>
      </c>
      <c r="S42" s="4">
        <f>IF(R42=T42-IF(OR(H42="Senior"),V42,0),MAX(W42-IF(OR(H42="Senior"),Y42,0),Z42-IF(OR(H42="Senior"),AB42,0),AC42-IF(OR(H42="Senior"),AE42,0)),IF(R42=W42-IF(OR(H42="Senior"),Y42,0),MAX(T42-IF(OR(H42="Senior"),V42,0),Z42-IF(OR(H42="Senior"),AB42,0),AC42-IF(OR(H42="Senior"),AE42,0)),IF(R42=Z42-IF(OR(H42="Senior"),AB42,0),MAX(T42-IF(OR(H42="Senior"),V42,0),W42-IF(OR(H42="Senior"),Y42,0),AC42-IF(OR(H42="Senior"),AE42,0)),IF(R42=AC42-IF(OR(H42="Senior"),AE42,0),MAX(T42-IF(OR(H42="Senior"),V42,0),W42-IF(OR(H42="Senior"),Y42,0),Z42-IF(OR(H42="Senior"),AB42,0)),0))))</f>
        <v>21.6</v>
      </c>
      <c r="T42" s="32"/>
      <c r="U42" s="37"/>
      <c r="V42" s="37"/>
      <c r="W42" s="33"/>
      <c r="X42" s="37"/>
      <c r="Y42" s="37"/>
      <c r="Z42" s="32">
        <v>42.6</v>
      </c>
      <c r="AA42" s="37">
        <v>5.8000000000000007</v>
      </c>
      <c r="AB42" s="37">
        <v>0</v>
      </c>
      <c r="AC42" s="33">
        <v>21.6</v>
      </c>
      <c r="AD42" s="37">
        <v>2.7</v>
      </c>
      <c r="AE42" s="37">
        <v>0</v>
      </c>
    </row>
    <row r="43" spans="1:31" x14ac:dyDescent="0.2">
      <c r="A43" s="1" t="str" cm="1">
        <f t="array" ref="A43">IF(I43="","",IF(P43&lt;&gt;"",SUMPRODUCT((P$3:P$95&lt;&gt;"")*(G$3:G$95=G43)*(J$3:J$95&gt;J43)*(I$3:I$95="P"))+1,IF(O43&lt;&gt;"",SUMPRODUCT((O$3:O$95&lt;&gt;"")*(P$3:P$95="")*(G$3:G$95=G43)*(J$3:J$95&gt;J43)*(I$3:I$95="P"))+SUMPRODUCT((P$3:P$95&lt;&gt;"")*(G$3:G$95=G43)*(I$3:I$95="P"))+1,IF(N43&lt;&gt;"",SUMPRODUCT((N$3:N$95&lt;&gt;"")*(G$3:G$95=G43)*(J$3:J$95&gt;J43)*(I$3:I$95="P"))+1,IF(M43="P",SUMPRODUCT((O$3:O$95&lt;&gt;"")*(P$3:P$95="")*(G$3:G$95=G43)*(I$3:I$95="P"))+SUMPRODUCT((P$3:P$95&lt;&gt;"")*(G$3:G$95=G43)*(I$3:I$95="P"))+SUMPRODUCT((N$3:N$95&lt;&gt;"")*(G$3:G$95=G43)*(I$3:I$95="P"))+SUMPRODUCT((P$3:P$95="")*(O$3:O$95="")*(N$3:N$95="")*(M$3:M$95="P")*(G$3:G$95=G43)*(J$3:J$95&gt;J43)*(I$3:I$95="P"))+IF(H43="L5",SUMPRODUCT((P$3:P$95="")*(O$3:O$95="")*(N$3:N$95="")*(M$3:M$95="P")*(G$3:G$95=G43)*(J$3:J$95&lt;J43)*(H$3:H$95&lt;&gt;H43)*(I$3:I$95="P")),-1*SUMPRODUCT((P$3:P$95="")*(O$3:O$95="")*(N$3:N$95="")*(M$3:M$95="P")*(G$3:G$95=G43)*(J$3:J$95&gt;J43)*(H$3:H$95="L5")*(I$3:I$95="P")))+1,"")))))</f>
        <v/>
      </c>
      <c r="B43" s="1" t="str" cm="1">
        <f t="array" ref="B43">IF(P43&lt;&gt;"",SUMPRODUCT((P$3:P$95&lt;&gt;"")*(G$3:G$95=G43)*(J$3:J$95&gt;J43))+1,IF(O43&lt;&gt;"",SUMPRODUCT((O$3:O$95&lt;&gt;"")*(P$3:P$95="")*(G$3:G$95=G43)*(J$3:J$95&gt;J43))+SUMPRODUCT((P$3:P$95&lt;&gt;"")*(G$3:G$95=G43))+1,IF(N43&lt;&gt;"",SUMPRODUCT((N$3:N$95&lt;&gt;"")*(G$3:G$95=G43)*(J$3:J$95&gt;J43))+1,IF(M43="P",SUMPRODUCT((O$3:O$95&lt;&gt;"")*(P$3:P$95="")*(G$3:G$95=G43))+SUMPRODUCT((P$3:P$95&lt;&gt;"")*(G$3:G$95=G43))+SUMPRODUCT((N$3:N$95&lt;&gt;"")*(G$3:G$95=G43))+SUMPRODUCT((P$3:P$95="")*(O$3:O$95="")*(N$3:N$95="")*(M$3:M$95="P")*(G$3:G$95=G43)*(J$3:J$95&gt;J43))+IF(H43="L5",SUMPRODUCT((P$3:P$95="")*(O$3:O$95="")*(N$3:N$95="")*(M$3:M$95="P")*(G$3:G$95=G43)*(J$3:J$95&lt;J43)*(H$3:H$95&lt;&gt;H43)),-1*SUMPRODUCT((P$3:P$95="")*(O$3:O$95="")*(N$3:N$95="")*(M$3:M$95="P")*(G$3:G$95=G43)*(J$3:J$95&gt;J43)*(H$3:H$95="L5")))+1,""))))</f>
        <v/>
      </c>
      <c r="C43" s="35" t="s">
        <v>345</v>
      </c>
      <c r="D43" t="str">
        <f>IF(E43="","",VLOOKUP(E43,'Coaching Points'!A:B,2,0))</f>
        <v>AB</v>
      </c>
      <c r="E43" s="35" t="s">
        <v>143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R43+S43+IF(OR(H43="Junior",H43="Senior"),0.0002,IF(OR(H43="L7",H43="L6"),0.0001,0))+MAX(Z43,AC43)*0.0000001</f>
        <v>63.2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MAX(T43-IF(OR(H43="Senior"),V43,0),W43-IF(OR(H43="Senior"),Y43,0),Z43-IF(OR(H43="Senior"),AB43,0),AC43-IF(OR(H43="Senior"),AE43,0))</f>
        <v>40.9</v>
      </c>
      <c r="S43" s="4">
        <f>IF(R43=T43-IF(OR(H43="Senior"),V43,0),MAX(W43-IF(OR(H43="Senior"),Y43,0),Z43-IF(OR(H43="Senior"),AB43,0),AC43-IF(OR(H43="Senior"),AE43,0)),IF(R43=W43-IF(OR(H43="Senior"),Y43,0),MAX(T43-IF(OR(H43="Senior"),V43,0),Z43-IF(OR(H43="Senior"),AB43,0),AC43-IF(OR(H43="Senior"),AE43,0)),IF(R43=Z43-IF(OR(H43="Senior"),AB43,0),MAX(T43-IF(OR(H43="Senior"),V43,0),W43-IF(OR(H43="Senior"),Y43,0),AC43-IF(OR(H43="Senior"),AE43,0)),IF(R43=AC43-IF(OR(H43="Senior"),AE43,0),MAX(T43-IF(OR(H43="Senior"),V43,0),W43-IF(OR(H43="Senior"),Y43,0),Z43-IF(OR(H43="Senior"),AB43,0)),0))))</f>
        <v>22.3</v>
      </c>
      <c r="T43" s="32">
        <v>40.9</v>
      </c>
      <c r="U43" s="37">
        <v>5.6</v>
      </c>
      <c r="V43" s="37">
        <v>0</v>
      </c>
      <c r="W43" s="33">
        <v>22.3</v>
      </c>
      <c r="X43" s="37">
        <v>4.3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$95&lt;&gt;"")*(G$3:G$95=G44)*(J$3:J$95&gt;J44)*(I$3:I$95="P"))+1,IF(O44&lt;&gt;"",SUMPRODUCT((O$3:O$95&lt;&gt;"")*(P$3:P$95="")*(G$3:G$95=G44)*(J$3:J$95&gt;J44)*(I$3:I$95="P"))+SUMPRODUCT((P$3:P$95&lt;&gt;"")*(G$3:G$95=G44)*(I$3:I$95="P"))+1,IF(N44&lt;&gt;"",SUMPRODUCT((N$3:N$95&lt;&gt;"")*(G$3:G$95=G44)*(J$3:J$95&gt;J44)*(I$3:I$95="P"))+1,IF(M44="P",SUMPRODUCT((O$3:O$95&lt;&gt;"")*(P$3:P$95="")*(G$3:G$95=G44)*(I$3:I$95="P"))+SUMPRODUCT((P$3:P$95&lt;&gt;"")*(G$3:G$95=G44)*(I$3:I$95="P"))+SUMPRODUCT((N$3:N$95&lt;&gt;"")*(G$3:G$95=G44)*(I$3:I$95="P"))+SUMPRODUCT((P$3:P$95="")*(O$3:O$95="")*(N$3:N$95="")*(M$3:M$95="P")*(G$3:G$95=G44)*(J$3:J$95&gt;J44)*(I$3:I$95="P"))+IF(H44="L5",SUMPRODUCT((P$3:P$95="")*(O$3:O$95="")*(N$3:N$95="")*(M$3:M$95="P")*(G$3:G$95=G44)*(J$3:J$95&lt;J44)*(H$3:H$95&lt;&gt;H44)*(I$3:I$95="P")),-1*SUMPRODUCT((P$3:P$95="")*(O$3:O$95="")*(N$3:N$95="")*(M$3:M$95="P")*(G$3:G$95=G44)*(J$3:J$95&gt;J44)*(H$3:H$95="L5")*(I$3:I$95="P")))+1,"")))))</f>
        <v/>
      </c>
      <c r="B44" s="1" t="str" cm="1">
        <f t="array" ref="B44">IF(P44&lt;&gt;"",SUMPRODUCT((P$3:P$95&lt;&gt;"")*(G$3:G$95=G44)*(J$3:J$95&gt;J44))+1,IF(O44&lt;&gt;"",SUMPRODUCT((O$3:O$95&lt;&gt;"")*(P$3:P$95="")*(G$3:G$95=G44)*(J$3:J$95&gt;J44))+SUMPRODUCT((P$3:P$95&lt;&gt;"")*(G$3:G$95=G44))+1,IF(N44&lt;&gt;"",SUMPRODUCT((N$3:N$95&lt;&gt;"")*(G$3:G$95=G44)*(J$3:J$95&gt;J44))+1,IF(M44="P",SUMPRODUCT((O$3:O$95&lt;&gt;"")*(P$3:P$95="")*(G$3:G$95=G44))+SUMPRODUCT((P$3:P$95&lt;&gt;"")*(G$3:G$95=G44))+SUMPRODUCT((N$3:N$95&lt;&gt;"")*(G$3:G$95=G44))+SUMPRODUCT((P$3:P$95="")*(O$3:O$95="")*(N$3:N$95="")*(M$3:M$95="P")*(G$3:G$95=G44)*(J$3:J$95&gt;J44))+IF(H44="L5",SUMPRODUCT((P$3:P$95="")*(O$3:O$95="")*(N$3:N$95="")*(M$3:M$95="P")*(G$3:G$95=G44)*(J$3:J$95&lt;J44)*(H$3:H$95&lt;&gt;H44)),-1*SUMPRODUCT((P$3:P$95="")*(O$3:O$95="")*(N$3:N$95="")*(M$3:M$95="P")*(G$3:G$95=G44)*(J$3:J$95&gt;J44)*(H$3:H$95="L5")))+1,""))))</f>
        <v/>
      </c>
      <c r="C44" s="35" t="s">
        <v>332</v>
      </c>
      <c r="D44" t="str">
        <f>IF(E44="","",VLOOKUP(E44,'Coaching Points'!A:B,2,0))</f>
        <v>AB</v>
      </c>
      <c r="E44" s="35" t="s">
        <v>62</v>
      </c>
      <c r="F44" s="34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210</v>
      </c>
      <c r="I44" s="40"/>
      <c r="J44" s="4">
        <f>R44+S44+IF(OR(H44="Junior",H44="Senior"),0.0002,IF(OR(H44="L7",H44="L6"),0.0001,0))+MAX(Z44,AC44)*0.0000001</f>
        <v>47.600200000000001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MAX(T44-IF(OR(H44="Senior"),V44,0),W44-IF(OR(H44="Senior"),Y44,0),Z44-IF(OR(H44="Senior"),AB44,0),AC44-IF(OR(H44="Senior"),AE44,0))</f>
        <v>47.6</v>
      </c>
      <c r="S44" s="4">
        <f>IF(R44=T44-IF(OR(H44="Senior"),V44,0),MAX(W44-IF(OR(H44="Senior"),Y44,0),Z44-IF(OR(H44="Senior"),AB44,0),AC44-IF(OR(H44="Senior"),AE44,0)),IF(R44=W44-IF(OR(H44="Senior"),Y44,0),MAX(T44-IF(OR(H44="Senior"),V44,0),Z44-IF(OR(H44="Senior"),AB44,0),AC44-IF(OR(H44="Senior"),AE44,0)),IF(R44=Z44-IF(OR(H44="Senior"),AB44,0),MAX(T44-IF(OR(H44="Senior"),V44,0),W44-IF(OR(H44="Senior"),Y44,0),AC44-IF(OR(H44="Senior"),AE44,0)),IF(R44=AC44-IF(OR(H44="Senior"),AE44,0),MAX(T44-IF(OR(H44="Senior"),V44,0),W44-IF(OR(H44="Senior"),Y44,0),Z44-IF(OR(H44="Senior"),AB44,0)),0))))</f>
        <v>0</v>
      </c>
      <c r="T44" s="32">
        <v>48.2</v>
      </c>
      <c r="U44" s="37">
        <v>14</v>
      </c>
      <c r="V44" s="37">
        <v>0.6</v>
      </c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$95&lt;&gt;"")*(G$3:G$95=G45)*(J$3:J$95&gt;J45)*(I$3:I$95="P"))+1,IF(O45&lt;&gt;"",SUMPRODUCT((O$3:O$95&lt;&gt;"")*(P$3:P$95="")*(G$3:G$95=G45)*(J$3:J$95&gt;J45)*(I$3:I$95="P"))+SUMPRODUCT((P$3:P$95&lt;&gt;"")*(G$3:G$95=G45)*(I$3:I$95="P"))+1,IF(N45&lt;&gt;"",SUMPRODUCT((N$3:N$95&lt;&gt;"")*(G$3:G$95=G45)*(J$3:J$95&gt;J45)*(I$3:I$95="P"))+1,IF(M45="P",SUMPRODUCT((O$3:O$95&lt;&gt;"")*(P$3:P$95="")*(G$3:G$95=G45)*(I$3:I$95="P"))+SUMPRODUCT((P$3:P$95&lt;&gt;"")*(G$3:G$95=G45)*(I$3:I$95="P"))+SUMPRODUCT((N$3:N$95&lt;&gt;"")*(G$3:G$95=G45)*(I$3:I$95="P"))+SUMPRODUCT((P$3:P$95="")*(O$3:O$95="")*(N$3:N$95="")*(M$3:M$95="P")*(G$3:G$95=G45)*(J$3:J$95&gt;J45)*(I$3:I$95="P"))+IF(H45="L5",SUMPRODUCT((P$3:P$95="")*(O$3:O$95="")*(N$3:N$95="")*(M$3:M$95="P")*(G$3:G$95=G45)*(J$3:J$95&lt;J45)*(H$3:H$95&lt;&gt;H45)*(I$3:I$95="P")),-1*SUMPRODUCT((P$3:P$95="")*(O$3:O$95="")*(N$3:N$95="")*(M$3:M$95="P")*(G$3:G$95=G45)*(J$3:J$95&gt;J45)*(H$3:H$95="L5")*(I$3:I$95="P")))+1,"")))))</f>
        <v/>
      </c>
      <c r="B45" s="1" t="str" cm="1">
        <f t="array" ref="B45">IF(P45&lt;&gt;"",SUMPRODUCT((P$3:P$95&lt;&gt;"")*(G$3:G$95=G45)*(J$3:J$95&gt;J45))+1,IF(O45&lt;&gt;"",SUMPRODUCT((O$3:O$95&lt;&gt;"")*(P$3:P$95="")*(G$3:G$95=G45)*(J$3:J$95&gt;J45))+SUMPRODUCT((P$3:P$95&lt;&gt;"")*(G$3:G$95=G45))+1,IF(N45&lt;&gt;"",SUMPRODUCT((N$3:N$95&lt;&gt;"")*(G$3:G$95=G45)*(J$3:J$95&gt;J45))+1,IF(M45="P",SUMPRODUCT((O$3:O$95&lt;&gt;"")*(P$3:P$95="")*(G$3:G$95=G45))+SUMPRODUCT((P$3:P$95&lt;&gt;"")*(G$3:G$95=G45))+SUMPRODUCT((N$3:N$95&lt;&gt;"")*(G$3:G$95=G45))+SUMPRODUCT((P$3:P$95="")*(O$3:O$95="")*(N$3:N$95="")*(M$3:M$95="P")*(G$3:G$95=G45)*(J$3:J$95&gt;J45))+IF(H45="L5",SUMPRODUCT((P$3:P$95="")*(O$3:O$95="")*(N$3:N$95="")*(M$3:M$95="P")*(G$3:G$95=G45)*(J$3:J$95&lt;J45)*(H$3:H$95&lt;&gt;H45)),-1*SUMPRODUCT((P$3:P$95="")*(O$3:O$95="")*(N$3:N$95="")*(M$3:M$95="P")*(G$3:G$95=G45)*(J$3:J$95&gt;J45)*(H$3:H$95="L5")))+1,""))))</f>
        <v/>
      </c>
      <c r="C45" s="35" t="s">
        <v>110</v>
      </c>
      <c r="D45" t="str">
        <f>IF(E45="","",VLOOKUP(E45,'Coaching Points'!A:B,2,0))</f>
        <v>AB</v>
      </c>
      <c r="E45" s="35" t="s">
        <v>39</v>
      </c>
      <c r="F45" s="34">
        <v>2007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210</v>
      </c>
      <c r="I45" s="40"/>
      <c r="J45" s="4">
        <f>R45+S45+IF(OR(H45="Junior",H45="Senior"),0.0002,IF(OR(H45="L7",H45="L6"),0.0001,0))+MAX(Z45,AC45)*0.0000001</f>
        <v>46.5002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MAX(T45-IF(OR(H45="Senior"),V45,0),W45-IF(OR(H45="Senior"),Y45,0),Z45-IF(OR(H45="Senior"),AB45,0),AC45-IF(OR(H45="Senior"),AE45,0))</f>
        <v>46.5</v>
      </c>
      <c r="S45" s="4">
        <f>IF(R45=T45-IF(OR(H45="Senior"),V45,0),MAX(W45-IF(OR(H45="Senior"),Y45,0),Z45-IF(OR(H45="Senior"),AB45,0),AC45-IF(OR(H45="Senior"),AE45,0)),IF(R45=W45-IF(OR(H45="Senior"),Y45,0),MAX(T45-IF(OR(H45="Senior"),V45,0),Z45-IF(OR(H45="Senior"),AB45,0),AC45-IF(OR(H45="Senior"),AE45,0)),IF(R45=Z45-IF(OR(H45="Senior"),AB45,0),MAX(T45-IF(OR(H45="Senior"),V45,0),W45-IF(OR(H45="Senior"),Y45,0),AC45-IF(OR(H45="Senior"),AE45,0)),IF(R45=AC45-IF(OR(H45="Senior"),AE45,0),MAX(T45-IF(OR(H45="Senior"),V45,0),W45-IF(OR(H45="Senior"),Y45,0),Z45-IF(OR(H45="Senior"),AB45,0)),0))))</f>
        <v>0</v>
      </c>
      <c r="T45" s="32">
        <v>46.5</v>
      </c>
      <c r="U45" s="37">
        <v>11.2</v>
      </c>
      <c r="V45" s="37">
        <v>0</v>
      </c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$95&lt;&gt;"")*(G$3:G$95=G46)*(J$3:J$95&gt;J46)*(I$3:I$95="P"))+1,IF(O46&lt;&gt;"",SUMPRODUCT((O$3:O$95&lt;&gt;"")*(P$3:P$95="")*(G$3:G$95=G46)*(J$3:J$95&gt;J46)*(I$3:I$95="P"))+SUMPRODUCT((P$3:P$95&lt;&gt;"")*(G$3:G$95=G46)*(I$3:I$95="P"))+1,IF(N46&lt;&gt;"",SUMPRODUCT((N$3:N$95&lt;&gt;"")*(G$3:G$95=G46)*(J$3:J$95&gt;J46)*(I$3:I$95="P"))+1,IF(M46="P",SUMPRODUCT((O$3:O$95&lt;&gt;"")*(P$3:P$95="")*(G$3:G$95=G46)*(I$3:I$95="P"))+SUMPRODUCT((P$3:P$95&lt;&gt;"")*(G$3:G$95=G46)*(I$3:I$95="P"))+SUMPRODUCT((N$3:N$95&lt;&gt;"")*(G$3:G$95=G46)*(I$3:I$95="P"))+SUMPRODUCT((P$3:P$95="")*(O$3:O$95="")*(N$3:N$95="")*(M$3:M$95="P")*(G$3:G$95=G46)*(J$3:J$95&gt;J46)*(I$3:I$95="P"))+IF(H46="L5",SUMPRODUCT((P$3:P$95="")*(O$3:O$95="")*(N$3:N$95="")*(M$3:M$95="P")*(G$3:G$95=G46)*(J$3:J$95&lt;J46)*(H$3:H$95&lt;&gt;H46)*(I$3:I$95="P")),-1*SUMPRODUCT((P$3:P$95="")*(O$3:O$95="")*(N$3:N$95="")*(M$3:M$95="P")*(G$3:G$95=G46)*(J$3:J$95&gt;J46)*(H$3:H$95="L5")*(I$3:I$95="P")))+1,"")))))</f>
        <v/>
      </c>
      <c r="B46" s="1" t="str" cm="1">
        <f t="array" ref="B46">IF(P46&lt;&gt;"",SUMPRODUCT((P$3:P$95&lt;&gt;"")*(G$3:G$95=G46)*(J$3:J$95&gt;J46))+1,IF(O46&lt;&gt;"",SUMPRODUCT((O$3:O$95&lt;&gt;"")*(P$3:P$95="")*(G$3:G$95=G46)*(J$3:J$95&gt;J46))+SUMPRODUCT((P$3:P$95&lt;&gt;"")*(G$3:G$95=G46))+1,IF(N46&lt;&gt;"",SUMPRODUCT((N$3:N$95&lt;&gt;"")*(G$3:G$95=G46)*(J$3:J$95&gt;J46))+1,IF(M46="P",SUMPRODUCT((O$3:O$95&lt;&gt;"")*(P$3:P$95="")*(G$3:G$95=G46))+SUMPRODUCT((P$3:P$95&lt;&gt;"")*(G$3:G$95=G46))+SUMPRODUCT((N$3:N$95&lt;&gt;"")*(G$3:G$95=G46))+SUMPRODUCT((P$3:P$95="")*(O$3:O$95="")*(N$3:N$95="")*(M$3:M$95="P")*(G$3:G$95=G46)*(J$3:J$95&gt;J46))+IF(H46="L5",SUMPRODUCT((P$3:P$95="")*(O$3:O$95="")*(N$3:N$95="")*(M$3:M$95="P")*(G$3:G$95=G46)*(J$3:J$95&lt;J46)*(H$3:H$95&lt;&gt;H46)),-1*SUMPRODUCT((P$3:P$95="")*(O$3:O$95="")*(N$3:N$95="")*(M$3:M$95="P")*(G$3:G$95=G46)*(J$3:J$95&gt;J46)*(H$3:H$95="L5")))+1,""))))</f>
        <v/>
      </c>
      <c r="C46" s="35" t="s">
        <v>148</v>
      </c>
      <c r="D46" t="str">
        <f>IF(E46="","",VLOOKUP(E46,'Coaching Points'!A:B,2,0))</f>
        <v>AB</v>
      </c>
      <c r="E46" s="35" t="s">
        <v>28</v>
      </c>
      <c r="F46" s="34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210</v>
      </c>
      <c r="I46" s="40"/>
      <c r="J46" s="4">
        <f>R46+S46+IF(OR(H46="Junior",H46="Senior"),0.0002,IF(OR(H46="L7",H46="L6"),0.0001,0))+MAX(Z46,AC46)*0.0000001</f>
        <v>46.400199999999998</v>
      </c>
      <c r="K46" s="3" t="str">
        <f>IF(G46="Not Age Eligible","",IF(MAX(T46,W46,Z46,AC46)&gt;=LOOKUP(G46,'Qualifying Scores'!$A$4:$A$7,'Qualifying Scores'!$F$4:$F$7),"P",""))</f>
        <v/>
      </c>
      <c r="L46" s="3" t="str">
        <f>IF(G46="Not Age Eligible","",IF(MAX(U46,X46,AA46,AD46)&gt;=LOOKUP(G46,'Qualifying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>MAX(T46-IF(OR(H46="Senior"),V46,0),W46-IF(OR(H46="Senior"),Y46,0),Z46-IF(OR(H46="Senior"),AB46,0),AC46-IF(OR(H46="Senior"),AE46,0))</f>
        <v>46.4</v>
      </c>
      <c r="S46" s="4">
        <f>IF(R46=T46-IF(OR(H46="Senior"),V46,0),MAX(W46-IF(OR(H46="Senior"),Y46,0),Z46-IF(OR(H46="Senior"),AB46,0),AC46-IF(OR(H46="Senior"),AE46,0)),IF(R46=W46-IF(OR(H46="Senior"),Y46,0),MAX(T46-IF(OR(H46="Senior"),V46,0),Z46-IF(OR(H46="Senior"),AB46,0),AC46-IF(OR(H46="Senior"),AE46,0)),IF(R46=Z46-IF(OR(H46="Senior"),AB46,0),MAX(T46-IF(OR(H46="Senior"),V46,0),W46-IF(OR(H46="Senior"),Y46,0),AC46-IF(OR(H46="Senior"),AE46,0)),IF(R46=AC46-IF(OR(H46="Senior"),AE46,0),MAX(T46-IF(OR(H46="Senior"),V46,0),W46-IF(OR(H46="Senior"),Y46,0),Z46-IF(OR(H46="Senior"),AB46,0)),0))))</f>
        <v>0</v>
      </c>
      <c r="T46" s="32">
        <v>46.4</v>
      </c>
      <c r="U46" s="37">
        <v>13.2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$95&lt;&gt;"")*(G$3:G$95=G47)*(J$3:J$95&gt;J47)*(I$3:I$95="P"))+1,IF(O47&lt;&gt;"",SUMPRODUCT((O$3:O$95&lt;&gt;"")*(P$3:P$95="")*(G$3:G$95=G47)*(J$3:J$95&gt;J47)*(I$3:I$95="P"))+SUMPRODUCT((P$3:P$95&lt;&gt;"")*(G$3:G$95=G47)*(I$3:I$95="P"))+1,IF(N47&lt;&gt;"",SUMPRODUCT((N$3:N$95&lt;&gt;"")*(G$3:G$95=G47)*(J$3:J$95&gt;J47)*(I$3:I$95="P"))+1,IF(M47="P",SUMPRODUCT((O$3:O$95&lt;&gt;"")*(P$3:P$95="")*(G$3:G$95=G47)*(I$3:I$95="P"))+SUMPRODUCT((P$3:P$95&lt;&gt;"")*(G$3:G$95=G47)*(I$3:I$95="P"))+SUMPRODUCT((N$3:N$95&lt;&gt;"")*(G$3:G$95=G47)*(I$3:I$95="P"))+SUMPRODUCT((P$3:P$95="")*(O$3:O$95="")*(N$3:N$95="")*(M$3:M$95="P")*(G$3:G$95=G47)*(J$3:J$95&gt;J47)*(I$3:I$95="P"))+IF(H47="L5",SUMPRODUCT((P$3:P$95="")*(O$3:O$95="")*(N$3:N$95="")*(M$3:M$95="P")*(G$3:G$95=G47)*(J$3:J$95&lt;J47)*(H$3:H$95&lt;&gt;H47)*(I$3:I$95="P")),-1*SUMPRODUCT((P$3:P$95="")*(O$3:O$95="")*(N$3:N$95="")*(M$3:M$95="P")*(G$3:G$95=G47)*(J$3:J$95&gt;J47)*(H$3:H$95="L5")*(I$3:I$95="P")))+1,"")))))</f>
        <v/>
      </c>
      <c r="B47" s="1" t="str" cm="1">
        <f t="array" ref="B47">IF(P47&lt;&gt;"",SUMPRODUCT((P$3:P$95&lt;&gt;"")*(G$3:G$95=G47)*(J$3:J$95&gt;J47))+1,IF(O47&lt;&gt;"",SUMPRODUCT((O$3:O$95&lt;&gt;"")*(P$3:P$95="")*(G$3:G$95=G47)*(J$3:J$95&gt;J47))+SUMPRODUCT((P$3:P$95&lt;&gt;"")*(G$3:G$95=G47))+1,IF(N47&lt;&gt;"",SUMPRODUCT((N$3:N$95&lt;&gt;"")*(G$3:G$95=G47)*(J$3:J$95&gt;J47))+1,IF(M47="P",SUMPRODUCT((O$3:O$95&lt;&gt;"")*(P$3:P$95="")*(G$3:G$95=G47))+SUMPRODUCT((P$3:P$95&lt;&gt;"")*(G$3:G$95=G47))+SUMPRODUCT((N$3:N$95&lt;&gt;"")*(G$3:G$95=G47))+SUMPRODUCT((P$3:P$95="")*(O$3:O$95="")*(N$3:N$95="")*(M$3:M$95="P")*(G$3:G$95=G47)*(J$3:J$95&gt;J47))+IF(H47="L5",SUMPRODUCT((P$3:P$95="")*(O$3:O$95="")*(N$3:N$95="")*(M$3:M$95="P")*(G$3:G$95=G47)*(J$3:J$95&lt;J47)*(H$3:H$95&lt;&gt;H47)),-1*SUMPRODUCT((P$3:P$95="")*(O$3:O$95="")*(N$3:N$95="")*(M$3:M$95="P")*(G$3:G$95=G47)*(J$3:J$95&gt;J47)*(H$3:H$95="L5")))+1,""))))</f>
        <v/>
      </c>
      <c r="C47" s="35" t="s">
        <v>486</v>
      </c>
      <c r="D47" t="str">
        <f>IF(E47="","",VLOOKUP(E47,'Coaching Points'!A:B,2,0))</f>
        <v>NB</v>
      </c>
      <c r="E47" s="35" t="s">
        <v>506</v>
      </c>
      <c r="F47" s="34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R47+S47+IF(OR(H47="Junior",H47="Senior"),0.0002,IF(OR(H47="L7",H47="L6"),0.0001,0))+MAX(Z47,AC47)*0.0000001</f>
        <v>41.70000417</v>
      </c>
      <c r="K47" s="3" t="str">
        <f>IF(G47="Not Age Eligible","",IF(MAX(T47,W47,Z47,AC47)&gt;=LOOKUP(G47,'Qualifying Scores'!$A$4:$A$7,'Qualifying Scores'!$F$4:$F$7),"P",""))</f>
        <v/>
      </c>
      <c r="L47" s="3" t="str">
        <f>IF(G47="Not Age Eligible","",IF(MAX(U47,X47,AA47,AD47)&gt;=LOOKUP(G47,'Qualifying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>MAX(T47-IF(OR(H47="Senior"),V47,0),W47-IF(OR(H47="Senior"),Y47,0),Z47-IF(OR(H47="Senior"),AB47,0),AC47-IF(OR(H47="Senior"),AE47,0))</f>
        <v>41.7</v>
      </c>
      <c r="S47" s="4">
        <f>IF(R47=T47-IF(OR(H47="Senior"),V47,0),MAX(W47-IF(OR(H47="Senior"),Y47,0),Z47-IF(OR(H47="Senior"),AB47,0),AC47-IF(OR(H47="Senior"),AE47,0)),IF(R47=W47-IF(OR(H47="Senior"),Y47,0),MAX(T47-IF(OR(H47="Senior"),V47,0),Z47-IF(OR(H47="Senior"),AB47,0),AC47-IF(OR(H47="Senior"),AE47,0)),IF(R47=Z47-IF(OR(H47="Senior"),AB47,0),MAX(T47-IF(OR(H47="Senior"),V47,0),W47-IF(OR(H47="Senior"),Y47,0),AC47-IF(OR(H47="Senior"),AE47,0)),IF(R47=AC47-IF(OR(H47="Senior"),AE47,0),MAX(T47-IF(OR(H47="Senior"),V47,0),W47-IF(OR(H47="Senior"),Y47,0),Z47-IF(OR(H47="Senior"),AB47,0)),0))))</f>
        <v>0</v>
      </c>
      <c r="T47" s="32"/>
      <c r="U47" s="37"/>
      <c r="V47" s="37"/>
      <c r="W47" s="33"/>
      <c r="X47" s="37"/>
      <c r="Y47" s="37"/>
      <c r="Z47" s="32">
        <v>41.7</v>
      </c>
      <c r="AA47" s="37">
        <v>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$95&lt;&gt;"")*(G$3:G$95=G48)*(J$3:J$95&gt;J48)*(I$3:I$95="P"))+1,IF(O48&lt;&gt;"",SUMPRODUCT((O$3:O$95&lt;&gt;"")*(P$3:P$95="")*(G$3:G$95=G48)*(J$3:J$95&gt;J48)*(I$3:I$95="P"))+SUMPRODUCT((P$3:P$95&lt;&gt;"")*(G$3:G$95=G48)*(I$3:I$95="P"))+1,IF(N48&lt;&gt;"",SUMPRODUCT((N$3:N$95&lt;&gt;"")*(G$3:G$95=G48)*(J$3:J$95&gt;J48)*(I$3:I$95="P"))+1,IF(M48="P",SUMPRODUCT((O$3:O$95&lt;&gt;"")*(P$3:P$95="")*(G$3:G$95=G48)*(I$3:I$95="P"))+SUMPRODUCT((P$3:P$95&lt;&gt;"")*(G$3:G$95=G48)*(I$3:I$95="P"))+SUMPRODUCT((N$3:N$95&lt;&gt;"")*(G$3:G$95=G48)*(I$3:I$95="P"))+SUMPRODUCT((P$3:P$95="")*(O$3:O$95="")*(N$3:N$95="")*(M$3:M$95="P")*(G$3:G$95=G48)*(J$3:J$95&gt;J48)*(I$3:I$95="P"))+IF(H48="L5",SUMPRODUCT((P$3:P$95="")*(O$3:O$95="")*(N$3:N$95="")*(M$3:M$95="P")*(G$3:G$95=G48)*(J$3:J$95&lt;J48)*(H$3:H$95&lt;&gt;H48)*(I$3:I$95="P")),-1*SUMPRODUCT((P$3:P$95="")*(O$3:O$95="")*(N$3:N$95="")*(M$3:M$95="P")*(G$3:G$95=G48)*(J$3:J$95&gt;J48)*(H$3:H$95="L5")*(I$3:I$95="P")))+1,"")))))</f>
        <v/>
      </c>
      <c r="B48" s="1" t="str" cm="1">
        <f t="array" ref="B48">IF(P48&lt;&gt;"",SUMPRODUCT((P$3:P$95&lt;&gt;"")*(G$3:G$95=G48)*(J$3:J$95&gt;J48))+1,IF(O48&lt;&gt;"",SUMPRODUCT((O$3:O$95&lt;&gt;"")*(P$3:P$95="")*(G$3:G$95=G48)*(J$3:J$95&gt;J48))+SUMPRODUCT((P$3:P$95&lt;&gt;"")*(G$3:G$95=G48))+1,IF(N48&lt;&gt;"",SUMPRODUCT((N$3:N$95&lt;&gt;"")*(G$3:G$95=G48)*(J$3:J$95&gt;J48))+1,IF(M48="P",SUMPRODUCT((O$3:O$95&lt;&gt;"")*(P$3:P$95="")*(G$3:G$95=G48))+SUMPRODUCT((P$3:P$95&lt;&gt;"")*(G$3:G$95=G48))+SUMPRODUCT((N$3:N$95&lt;&gt;"")*(G$3:G$95=G48))+SUMPRODUCT((P$3:P$95="")*(O$3:O$95="")*(N$3:N$95="")*(M$3:M$95="P")*(G$3:G$95=G48)*(J$3:J$95&gt;J48))+IF(H48="L5",SUMPRODUCT((P$3:P$95="")*(O$3:O$95="")*(N$3:N$95="")*(M$3:M$95="P")*(G$3:G$95=G48)*(J$3:J$95&lt;J48)*(H$3:H$95&lt;&gt;H48)),-1*SUMPRODUCT((P$3:P$95="")*(O$3:O$95="")*(N$3:N$95="")*(M$3:M$95="P")*(G$3:G$95=G48)*(J$3:J$95&gt;J48)*(H$3:H$95="L5")))+1,""))))</f>
        <v/>
      </c>
      <c r="C48" s="35" t="s">
        <v>183</v>
      </c>
      <c r="D48" t="str">
        <f>IF(E48="","",VLOOKUP(E48,'Coaching Points'!A:B,2,0))</f>
        <v>QC</v>
      </c>
      <c r="E48" s="35" t="s">
        <v>75</v>
      </c>
      <c r="F48" s="34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213</v>
      </c>
      <c r="I48" s="40"/>
      <c r="J48" s="4">
        <f>R48+S48+IF(OR(H48="Junior",H48="Senior"),0.0002,IF(OR(H48="L7",H48="L6"),0.0001,0))+MAX(Z48,AC48)*0.0000001</f>
        <v>36.100100000000005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MAX(T48-IF(OR(H48="Senior"),V48,0),W48-IF(OR(H48="Senior"),Y48,0),Z48-IF(OR(H48="Senior"),AB48,0),AC48-IF(OR(H48="Senior"),AE48,0))</f>
        <v>36.1</v>
      </c>
      <c r="S48" s="4">
        <f>IF(R48=T48-IF(OR(H48="Senior"),V48,0),MAX(W48-IF(OR(H48="Senior"),Y48,0),Z48-IF(OR(H48="Senior"),AB48,0),AC48-IF(OR(H48="Senior"),AE48,0)),IF(R48=W48-IF(OR(H48="Senior"),Y48,0),MAX(T48-IF(OR(H48="Senior"),V48,0),Z48-IF(OR(H48="Senior"),AB48,0),AC48-IF(OR(H48="Senior"),AE48,0)),IF(R48=Z48-IF(OR(H48="Senior"),AB48,0),MAX(T48-IF(OR(H48="Senior"),V48,0),W48-IF(OR(H48="Senior"),Y48,0),AC48-IF(OR(H48="Senior"),AE48,0)),IF(R48=AC48-IF(OR(H48="Senior"),AE48,0),MAX(T48-IF(OR(H48="Senior"),V48,0),W48-IF(OR(H48="Senior"),Y48,0),Z48-IF(OR(H48="Senior"),AB48,0)),0))))</f>
        <v>0</v>
      </c>
      <c r="T48" s="32">
        <v>36.1</v>
      </c>
      <c r="U48" s="37">
        <v>5.1999999999999993</v>
      </c>
      <c r="V48" s="37">
        <v>0</v>
      </c>
      <c r="W48" s="33"/>
      <c r="X48" s="37"/>
      <c r="Y48" s="37"/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$95&lt;&gt;"")*(G$3:G$95=G49)*(J$3:J$95&gt;J49)*(I$3:I$95="P"))+1,IF(O49&lt;&gt;"",SUMPRODUCT((O$3:O$95&lt;&gt;"")*(P$3:P$95="")*(G$3:G$95=G49)*(J$3:J$95&gt;J49)*(I$3:I$95="P"))+SUMPRODUCT((P$3:P$95&lt;&gt;"")*(G$3:G$95=G49)*(I$3:I$95="P"))+1,IF(N49&lt;&gt;"",SUMPRODUCT((N$3:N$95&lt;&gt;"")*(G$3:G$95=G49)*(J$3:J$95&gt;J49)*(I$3:I$95="P"))+1,IF(M49="P",SUMPRODUCT((O$3:O$95&lt;&gt;"")*(P$3:P$95="")*(G$3:G$95=G49)*(I$3:I$95="P"))+SUMPRODUCT((P$3:P$95&lt;&gt;"")*(G$3:G$95=G49)*(I$3:I$95="P"))+SUMPRODUCT((N$3:N$95&lt;&gt;"")*(G$3:G$95=G49)*(I$3:I$95="P"))+SUMPRODUCT((P$3:P$95="")*(O$3:O$95="")*(N$3:N$95="")*(M$3:M$95="P")*(G$3:G$95=G49)*(J$3:J$95&gt;J49)*(I$3:I$95="P"))+IF(H49="L5",SUMPRODUCT((P$3:P$95="")*(O$3:O$95="")*(N$3:N$95="")*(M$3:M$95="P")*(G$3:G$95=G49)*(J$3:J$95&lt;J49)*(H$3:H$95&lt;&gt;H49)*(I$3:I$95="P")),-1*SUMPRODUCT((P$3:P$95="")*(O$3:O$95="")*(N$3:N$95="")*(M$3:M$95="P")*(G$3:G$95=G49)*(J$3:J$95&gt;J49)*(H$3:H$95="L5")*(I$3:I$95="P")))+1,"")))))</f>
        <v/>
      </c>
      <c r="B49" s="1" cm="1">
        <f t="array" ref="B49">IF(P49&lt;&gt;"",SUMPRODUCT((P$3:P$95&lt;&gt;"")*(G$3:G$95=G49)*(J$3:J$95&gt;J49))+1,IF(O49&lt;&gt;"",SUMPRODUCT((O$3:O$95&lt;&gt;"")*(P$3:P$95="")*(G$3:G$95=G49)*(J$3:J$95&gt;J49))+SUMPRODUCT((P$3:P$95&lt;&gt;"")*(G$3:G$95=G49))+1,IF(N49&lt;&gt;"",SUMPRODUCT((N$3:N$95&lt;&gt;"")*(G$3:G$95=G49)*(J$3:J$95&gt;J49))+1,IF(M49="P",SUMPRODUCT((O$3:O$95&lt;&gt;"")*(P$3:P$95="")*(G$3:G$95=G49))+SUMPRODUCT((P$3:P$95&lt;&gt;"")*(G$3:G$95=G49))+SUMPRODUCT((N$3:N$95&lt;&gt;"")*(G$3:G$95=G49))+SUMPRODUCT((P$3:P$95="")*(O$3:O$95="")*(N$3:N$95="")*(M$3:M$95="P")*(G$3:G$95=G49)*(J$3:J$95&gt;J49))+IF(H49="L5",SUMPRODUCT((P$3:P$95="")*(O$3:O$95="")*(N$3:N$95="")*(M$3:M$95="P")*(G$3:G$95=G49)*(J$3:J$95&lt;J49)*(H$3:H$95&lt;&gt;H49)),-1*SUMPRODUCT((P$3:P$95="")*(O$3:O$95="")*(N$3:N$95="")*(M$3:M$95="P")*(G$3:G$95=G49)*(J$3:J$95&gt;J49)*(H$3:H$95="L5")))+1,""))))</f>
        <v>1</v>
      </c>
      <c r="C49" s="35" t="s">
        <v>158</v>
      </c>
      <c r="D49" t="str">
        <f>IF(E49="","",VLOOKUP(E49,'Coaching Points'!A:B,2,0))</f>
        <v>BC</v>
      </c>
      <c r="E49" s="35" t="s">
        <v>128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/>
      <c r="J49" s="4">
        <f>R49+S49+IF(OR(H49="Junior",H49="Senior"),0.0002,IF(OR(H49="L7",H49="L6"),0.0001,0))+MAX(Z49,AC49)*0.0000001</f>
        <v>101.00020506000001</v>
      </c>
      <c r="K49" s="3" t="str">
        <f>IF(G49="Not Age Eligible","",IF(MAX(T49,W49,Z49,AC49)&gt;=LOOKUP(G49,'Qualifying Scores'!$A$4:$A$7,'Qualifying Scores'!$F$4:$F$7),"P",""))</f>
        <v>P</v>
      </c>
      <c r="L49" s="3" t="str">
        <f>IF(G49="Not Age Eligible","",IF(MAX(U49,X49,AA49,AD49)&gt;=LOOKUP(G49,'Qualifying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>P</v>
      </c>
      <c r="Q49" s="1" t="str">
        <f>IF(A49&lt;5,IF(_xlfn.MAXIFS(A:A,G:G,G49)&gt;3,5-A49,_xlfn.MAXIFS(A:A,G:G,G49)+1-A49),"")</f>
        <v/>
      </c>
      <c r="R49" s="4">
        <f>MAX(T49-IF(OR(H49="Senior"),V49,0),W49-IF(OR(H49="Senior"),Y49,0),Z49-IF(OR(H49="Senior"),AB49,0),AC49-IF(OR(H49="Senior"),AE49,0))</f>
        <v>50.6</v>
      </c>
      <c r="S49" s="4">
        <f>IF(R49=T49-IF(OR(H49="Senior"),V49,0),MAX(W49-IF(OR(H49="Senior"),Y49,0),Z49-IF(OR(H49="Senior"),AB49,0),AC49-IF(OR(H49="Senior"),AE49,0)),IF(R49=W49-IF(OR(H49="Senior"),Y49,0),MAX(T49-IF(OR(H49="Senior"),V49,0),Z49-IF(OR(H49="Senior"),AB49,0),AC49-IF(OR(H49="Senior"),AE49,0)),IF(R49=Z49-IF(OR(H49="Senior"),AB49,0),MAX(T49-IF(OR(H49="Senior"),V49,0),W49-IF(OR(H49="Senior"),Y49,0),AC49-IF(OR(H49="Senior"),AE49,0)),IF(R49=AC49-IF(OR(H49="Senior"),AE49,0),MAX(T49-IF(OR(H49="Senior"),V49,0),W49-IF(OR(H49="Senior"),Y49,0),Z49-IF(OR(H49="Senior"),AB49,0)),0))))</f>
        <v>50.4</v>
      </c>
      <c r="T49" s="32">
        <v>44.4</v>
      </c>
      <c r="U49" s="37">
        <v>10.8</v>
      </c>
      <c r="V49" s="37">
        <v>0</v>
      </c>
      <c r="W49" s="33">
        <v>47.2</v>
      </c>
      <c r="X49" s="37">
        <v>11.6</v>
      </c>
      <c r="Y49" s="37">
        <v>0</v>
      </c>
      <c r="Z49" s="32">
        <v>50.6</v>
      </c>
      <c r="AA49" s="37">
        <v>13.2</v>
      </c>
      <c r="AB49" s="37">
        <v>0</v>
      </c>
      <c r="AC49" s="33">
        <v>50.4</v>
      </c>
      <c r="AD49" s="37">
        <v>13.2</v>
      </c>
      <c r="AE49" s="37">
        <v>0</v>
      </c>
    </row>
    <row r="50" spans="1:31" x14ac:dyDescent="0.2">
      <c r="A50" s="1" t="str" cm="1">
        <f t="array" ref="A50">IF(I50="","",IF(P50&lt;&gt;"",SUMPRODUCT((P$3:P$95&lt;&gt;"")*(G$3:G$95=G50)*(J$3:J$95&gt;J50)*(I$3:I$95="P"))+1,IF(O50&lt;&gt;"",SUMPRODUCT((O$3:O$95&lt;&gt;"")*(P$3:P$95="")*(G$3:G$95=G50)*(J$3:J$95&gt;J50)*(I$3:I$95="P"))+SUMPRODUCT((P$3:P$95&lt;&gt;"")*(G$3:G$95=G50)*(I$3:I$95="P"))+1,IF(N50&lt;&gt;"",SUMPRODUCT((N$3:N$95&lt;&gt;"")*(G$3:G$95=G50)*(J$3:J$95&gt;J50)*(I$3:I$95="P"))+1,IF(M50="P",SUMPRODUCT((O$3:O$95&lt;&gt;"")*(P$3:P$95="")*(G$3:G$95=G50)*(I$3:I$95="P"))+SUMPRODUCT((P$3:P$95&lt;&gt;"")*(G$3:G$95=G50)*(I$3:I$95="P"))+SUMPRODUCT((N$3:N$95&lt;&gt;"")*(G$3:G$95=G50)*(I$3:I$95="P"))+SUMPRODUCT((P$3:P$95="")*(O$3:O$95="")*(N$3:N$95="")*(M$3:M$95="P")*(G$3:G$95=G50)*(J$3:J$95&gt;J50)*(I$3:I$95="P"))+IF(H50="L5",SUMPRODUCT((P$3:P$95="")*(O$3:O$95="")*(N$3:N$95="")*(M$3:M$95="P")*(G$3:G$95=G50)*(J$3:J$95&lt;J50)*(H$3:H$95&lt;&gt;H50)*(I$3:I$95="P")),-1*SUMPRODUCT((P$3:P$95="")*(O$3:O$95="")*(N$3:N$95="")*(M$3:M$95="P")*(G$3:G$95=G50)*(J$3:J$95&gt;J50)*(H$3:H$95="L5")*(I$3:I$95="P")))+1,"")))))</f>
        <v/>
      </c>
      <c r="B50" s="1" cm="1">
        <f t="array" ref="B50">IF(P50&lt;&gt;"",SUMPRODUCT((P$3:P$95&lt;&gt;"")*(G$3:G$95=G50)*(J$3:J$95&gt;J50))+1,IF(O50&lt;&gt;"",SUMPRODUCT((O$3:O$95&lt;&gt;"")*(P$3:P$95="")*(G$3:G$95=G50)*(J$3:J$95&gt;J50))+SUMPRODUCT((P$3:P$95&lt;&gt;"")*(G$3:G$95=G50))+1,IF(N50&lt;&gt;"",SUMPRODUCT((N$3:N$95&lt;&gt;"")*(G$3:G$95=G50)*(J$3:J$95&gt;J50))+1,IF(M50="P",SUMPRODUCT((O$3:O$95&lt;&gt;"")*(P$3:P$95="")*(G$3:G$95=G50))+SUMPRODUCT((P$3:P$95&lt;&gt;"")*(G$3:G$95=G50))+SUMPRODUCT((N$3:N$95&lt;&gt;"")*(G$3:G$95=G50))+SUMPRODUCT((P$3:P$95="")*(O$3:O$95="")*(N$3:N$95="")*(M$3:M$95="P")*(G$3:G$95=G50)*(J$3:J$95&gt;J50))+IF(H50="L5",SUMPRODUCT((P$3:P$95="")*(O$3:O$95="")*(N$3:N$95="")*(M$3:M$95="P")*(G$3:G$95=G50)*(J$3:J$95&lt;J50)*(H$3:H$95&lt;&gt;H50)),-1*SUMPRODUCT((P$3:P$95="")*(O$3:O$95="")*(N$3:N$95="")*(M$3:M$95="P")*(G$3:G$95=G50)*(J$3:J$95&gt;J50)*(H$3:H$95="L5")))+1,""))))</f>
        <v>2</v>
      </c>
      <c r="C50" s="35" t="s">
        <v>171</v>
      </c>
      <c r="D50" t="str">
        <f>IF(E50="","",VLOOKUP(E50,'Coaching Points'!A:B,2,0))</f>
        <v>AB</v>
      </c>
      <c r="E50" s="35" t="s">
        <v>56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211</v>
      </c>
      <c r="I50" s="40"/>
      <c r="J50" s="4">
        <f>R50+S50+IF(OR(H50="Junior",H50="Senior"),0.0002,IF(OR(H50="L7",H50="L6"),0.0001,0))+MAX(Z50,AC50)*0.0000001</f>
        <v>98.500204960000005</v>
      </c>
      <c r="K50" s="3" t="str">
        <f>IF(G50="Not Age Eligible","",IF(MAX(T50,W50,Z50,AC50)&gt;=LOOKUP(G50,'Qualifying Scores'!$A$4:$A$7,'Qualifying Scores'!$F$4:$F$7),"P",""))</f>
        <v>P</v>
      </c>
      <c r="L50" s="3" t="str">
        <f>IF(G50="Not Age Eligible","",IF(MAX(U50,X50,AA50,AD50)&gt;=LOOKUP(G50,'Qualifying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>P</v>
      </c>
      <c r="Q50" s="1" t="str">
        <f>IF(A50&lt;5,IF(_xlfn.MAXIFS(A:A,G:G,G50)&gt;3,5-A50,_xlfn.MAXIFS(A:A,G:G,G50)+1-A50),"")</f>
        <v/>
      </c>
      <c r="R50" s="4">
        <f>MAX(T50-IF(OR(H50="Senior"),V50,0),W50-IF(OR(H50="Senior"),Y50,0),Z50-IF(OR(H50="Senior"),AB50,0),AC50-IF(OR(H50="Senior"),AE50,0))</f>
        <v>49.6</v>
      </c>
      <c r="S50" s="4">
        <f>IF(R50=T50-IF(OR(H50="Senior"),V50,0),MAX(W50-IF(OR(H50="Senior"),Y50,0),Z50-IF(OR(H50="Senior"),AB50,0),AC50-IF(OR(H50="Senior"),AE50,0)),IF(R50=W50-IF(OR(H50="Senior"),Y50,0),MAX(T50-IF(OR(H50="Senior"),V50,0),Z50-IF(OR(H50="Senior"),AB50,0),AC50-IF(OR(H50="Senior"),AE50,0)),IF(R50=Z50-IF(OR(H50="Senior"),AB50,0),MAX(T50-IF(OR(H50="Senior"),V50,0),W50-IF(OR(H50="Senior"),Y50,0),AC50-IF(OR(H50="Senior"),AE50,0)),IF(R50=AC50-IF(OR(H50="Senior"),AE50,0),MAX(T50-IF(OR(H50="Senior"),V50,0),W50-IF(OR(H50="Senior"),Y50,0),Z50-IF(OR(H50="Senior"),AB50,0)),0))))</f>
        <v>48.9</v>
      </c>
      <c r="T50" s="32">
        <v>48.7</v>
      </c>
      <c r="U50" s="37">
        <v>12.4</v>
      </c>
      <c r="V50" s="37">
        <v>0</v>
      </c>
      <c r="W50" s="33">
        <v>48.3</v>
      </c>
      <c r="X50" s="37">
        <v>11.600000000000001</v>
      </c>
      <c r="Y50" s="37">
        <v>0</v>
      </c>
      <c r="Z50" s="32">
        <v>49.6</v>
      </c>
      <c r="AA50" s="37">
        <v>14</v>
      </c>
      <c r="AB50" s="37">
        <v>0</v>
      </c>
      <c r="AC50" s="33">
        <v>48.9</v>
      </c>
      <c r="AD50" s="37">
        <v>13.2</v>
      </c>
      <c r="AE50" s="37">
        <v>0</v>
      </c>
    </row>
    <row r="51" spans="1:31" x14ac:dyDescent="0.2">
      <c r="A51" s="1" t="str" cm="1">
        <f t="array" ref="A51">IF(I51="","",IF(P51&lt;&gt;"",SUMPRODUCT((P$3:P$95&lt;&gt;"")*(G$3:G$95=G51)*(J$3:J$95&gt;J51)*(I$3:I$95="P"))+1,IF(O51&lt;&gt;"",SUMPRODUCT((O$3:O$95&lt;&gt;"")*(P$3:P$95="")*(G$3:G$95=G51)*(J$3:J$95&gt;J51)*(I$3:I$95="P"))+SUMPRODUCT((P$3:P$95&lt;&gt;"")*(G$3:G$95=G51)*(I$3:I$95="P"))+1,IF(N51&lt;&gt;"",SUMPRODUCT((N$3:N$95&lt;&gt;"")*(G$3:G$95=G51)*(J$3:J$95&gt;J51)*(I$3:I$95="P"))+1,IF(M51="P",SUMPRODUCT((O$3:O$95&lt;&gt;"")*(P$3:P$95="")*(G$3:G$95=G51)*(I$3:I$95="P"))+SUMPRODUCT((P$3:P$95&lt;&gt;"")*(G$3:G$95=G51)*(I$3:I$95="P"))+SUMPRODUCT((N$3:N$95&lt;&gt;"")*(G$3:G$95=G51)*(I$3:I$95="P"))+SUMPRODUCT((P$3:P$95="")*(O$3:O$95="")*(N$3:N$95="")*(M$3:M$95="P")*(G$3:G$95=G51)*(J$3:J$95&gt;J51)*(I$3:I$95="P"))+IF(H51="L5",SUMPRODUCT((P$3:P$95="")*(O$3:O$95="")*(N$3:N$95="")*(M$3:M$95="P")*(G$3:G$95=G51)*(J$3:J$95&lt;J51)*(H$3:H$95&lt;&gt;H51)*(I$3:I$95="P")),-1*SUMPRODUCT((P$3:P$95="")*(O$3:O$95="")*(N$3:N$95="")*(M$3:M$95="P")*(G$3:G$95=G51)*(J$3:J$95&gt;J51)*(H$3:H$95="L5")*(I$3:I$95="P")))+1,"")))))</f>
        <v/>
      </c>
      <c r="B51" s="1" cm="1">
        <f t="array" ref="B51">IF(P51&lt;&gt;"",SUMPRODUCT((P$3:P$95&lt;&gt;"")*(G$3:G$95=G51)*(J$3:J$95&gt;J51))+1,IF(O51&lt;&gt;"",SUMPRODUCT((O$3:O$95&lt;&gt;"")*(P$3:P$95="")*(G$3:G$95=G51)*(J$3:J$95&gt;J51))+SUMPRODUCT((P$3:P$95&lt;&gt;"")*(G$3:G$95=G51))+1,IF(N51&lt;&gt;"",SUMPRODUCT((N$3:N$95&lt;&gt;"")*(G$3:G$95=G51)*(J$3:J$95&gt;J51))+1,IF(M51="P",SUMPRODUCT((O$3:O$95&lt;&gt;"")*(P$3:P$95="")*(G$3:G$95=G51))+SUMPRODUCT((P$3:P$95&lt;&gt;"")*(G$3:G$95=G51))+SUMPRODUCT((N$3:N$95&lt;&gt;"")*(G$3:G$95=G51))+SUMPRODUCT((P$3:P$95="")*(O$3:O$95="")*(N$3:N$95="")*(M$3:M$95="P")*(G$3:G$95=G51)*(J$3:J$95&gt;J51))+IF(H51="L5",SUMPRODUCT((P$3:P$95="")*(O$3:O$95="")*(N$3:N$95="")*(M$3:M$95="P")*(G$3:G$95=G51)*(J$3:J$95&lt;J51)*(H$3:H$95&lt;&gt;H51)),-1*SUMPRODUCT((P$3:P$95="")*(O$3:O$95="")*(N$3:N$95="")*(M$3:M$95="P")*(G$3:G$95=G51)*(J$3:J$95&gt;J51)*(H$3:H$95="L5")))+1,""))))</f>
        <v>3</v>
      </c>
      <c r="C51" s="35" t="s">
        <v>410</v>
      </c>
      <c r="D51" t="str">
        <f>IF(E51="","",VLOOKUP(E51,'Coaching Points'!A:B,2,0))</f>
        <v>NS</v>
      </c>
      <c r="E51" s="35" t="s">
        <v>86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211</v>
      </c>
      <c r="I51" s="40"/>
      <c r="J51" s="4">
        <f>R51+S51+IF(OR(H51="Junior",H51="Senior"),0.0002,IF(OR(H51="L7",H51="L6"),0.0001,0))+MAX(Z51,AC51)*0.0000001</f>
        <v>96.700204850000006</v>
      </c>
      <c r="K51" s="3" t="str">
        <f>IF(G51="Not Age Eligible","",IF(MAX(T51,W51,Z51,AC51)&gt;=LOOKUP(G51,'Qualifying Scores'!$A$4:$A$7,'Qualifying Scores'!$F$4:$F$7),"P",""))</f>
        <v>P</v>
      </c>
      <c r="L51" s="3" t="str">
        <f>IF(G51="Not Age Eligible","",IF(MAX(U51,X51,AA51,AD51)&gt;=LOOKUP(G51,'Qualifying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>P</v>
      </c>
      <c r="Q51" s="1" t="str">
        <f>IF(A51&lt;5,IF(_xlfn.MAXIFS(A:A,G:G,G51)&gt;3,5-A51,_xlfn.MAXIFS(A:A,G:G,G51)+1-A51),"")</f>
        <v/>
      </c>
      <c r="R51" s="4">
        <f>MAX(T51-IF(OR(H51="Senior"),V51,0),W51-IF(OR(H51="Senior"),Y51,0),Z51-IF(OR(H51="Senior"),AB51,0),AC51-IF(OR(H51="Senior"),AE51,0))</f>
        <v>48.5</v>
      </c>
      <c r="S51" s="4">
        <f>IF(R51=T51-IF(OR(H51="Senior"),V51,0),MAX(W51-IF(OR(H51="Senior"),Y51,0),Z51-IF(OR(H51="Senior"),AB51,0),AC51-IF(OR(H51="Senior"),AE51,0)),IF(R51=W51-IF(OR(H51="Senior"),Y51,0),MAX(T51-IF(OR(H51="Senior"),V51,0),Z51-IF(OR(H51="Senior"),AB51,0),AC51-IF(OR(H51="Senior"),AE51,0)),IF(R51=Z51-IF(OR(H51="Senior"),AB51,0),MAX(T51-IF(OR(H51="Senior"),V51,0),W51-IF(OR(H51="Senior"),Y51,0),AC51-IF(OR(H51="Senior"),AE51,0)),IF(R51=AC51-IF(OR(H51="Senior"),AE51,0),MAX(T51-IF(OR(H51="Senior"),V51,0),W51-IF(OR(H51="Senior"),Y51,0),Z51-IF(OR(H51="Senior"),AB51,0)),0))))</f>
        <v>48.2</v>
      </c>
      <c r="T51" s="32"/>
      <c r="U51" s="37"/>
      <c r="V51" s="37"/>
      <c r="W51" s="33"/>
      <c r="X51" s="37"/>
      <c r="Y51" s="37"/>
      <c r="Z51" s="32">
        <v>48.5</v>
      </c>
      <c r="AA51" s="37">
        <v>12</v>
      </c>
      <c r="AB51" s="37">
        <v>0</v>
      </c>
      <c r="AC51" s="33">
        <v>48.2</v>
      </c>
      <c r="AD51" s="37">
        <v>12</v>
      </c>
      <c r="AE51" s="37">
        <v>0</v>
      </c>
    </row>
    <row r="52" spans="1:31" x14ac:dyDescent="0.2">
      <c r="A52" s="1" t="str" cm="1">
        <f t="array" ref="A52">IF(I52="","",IF(P52&lt;&gt;"",SUMPRODUCT((P$3:P$95&lt;&gt;"")*(G$3:G$95=G52)*(J$3:J$95&gt;J52)*(I$3:I$95="P"))+1,IF(O52&lt;&gt;"",SUMPRODUCT((O$3:O$95&lt;&gt;"")*(P$3:P$95="")*(G$3:G$95=G52)*(J$3:J$95&gt;J52)*(I$3:I$95="P"))+SUMPRODUCT((P$3:P$95&lt;&gt;"")*(G$3:G$95=G52)*(I$3:I$95="P"))+1,IF(N52&lt;&gt;"",SUMPRODUCT((N$3:N$95&lt;&gt;"")*(G$3:G$95=G52)*(J$3:J$95&gt;J52)*(I$3:I$95="P"))+1,IF(M52="P",SUMPRODUCT((O$3:O$95&lt;&gt;"")*(P$3:P$95="")*(G$3:G$95=G52)*(I$3:I$95="P"))+SUMPRODUCT((P$3:P$95&lt;&gt;"")*(G$3:G$95=G52)*(I$3:I$95="P"))+SUMPRODUCT((N$3:N$95&lt;&gt;"")*(G$3:G$95=G52)*(I$3:I$95="P"))+SUMPRODUCT((P$3:P$95="")*(O$3:O$95="")*(N$3:N$95="")*(M$3:M$95="P")*(G$3:G$95=G52)*(J$3:J$95&gt;J52)*(I$3:I$95="P"))+IF(H52="L5",SUMPRODUCT((P$3:P$95="")*(O$3:O$95="")*(N$3:N$95="")*(M$3:M$95="P")*(G$3:G$95=G52)*(J$3:J$95&lt;J52)*(H$3:H$95&lt;&gt;H52)*(I$3:I$95="P")),-1*SUMPRODUCT((P$3:P$95="")*(O$3:O$95="")*(N$3:N$95="")*(M$3:M$95="P")*(G$3:G$95=G52)*(J$3:J$95&gt;J52)*(H$3:H$95="L5")*(I$3:I$95="P")))+1,"")))))</f>
        <v/>
      </c>
      <c r="B52" s="1" cm="1">
        <f t="array" ref="B52">IF(P52&lt;&gt;"",SUMPRODUCT((P$3:P$95&lt;&gt;"")*(G$3:G$95=G52)*(J$3:J$95&gt;J52))+1,IF(O52&lt;&gt;"",SUMPRODUCT((O$3:O$95&lt;&gt;"")*(P$3:P$95="")*(G$3:G$95=G52)*(J$3:J$95&gt;J52))+SUMPRODUCT((P$3:P$95&lt;&gt;"")*(G$3:G$95=G52))+1,IF(N52&lt;&gt;"",SUMPRODUCT((N$3:N$95&lt;&gt;"")*(G$3:G$95=G52)*(J$3:J$95&gt;J52))+1,IF(M52="P",SUMPRODUCT((O$3:O$95&lt;&gt;"")*(P$3:P$95="")*(G$3:G$95=G52))+SUMPRODUCT((P$3:P$95&lt;&gt;"")*(G$3:G$95=G52))+SUMPRODUCT((N$3:N$95&lt;&gt;"")*(G$3:G$95=G52))+SUMPRODUCT((P$3:P$95="")*(O$3:O$95="")*(N$3:N$95="")*(M$3:M$95="P")*(G$3:G$95=G52)*(J$3:J$95&gt;J52))+IF(H52="L5",SUMPRODUCT((P$3:P$95="")*(O$3:O$95="")*(N$3:N$95="")*(M$3:M$95="P")*(G$3:G$95=G52)*(J$3:J$95&lt;J52)*(H$3:H$95&lt;&gt;H52)),-1*SUMPRODUCT((P$3:P$95="")*(O$3:O$95="")*(N$3:N$95="")*(M$3:M$95="P")*(G$3:G$95=G52)*(J$3:J$95&gt;J52)*(H$3:H$95="L5")))+1,""))))</f>
        <v>4</v>
      </c>
      <c r="C52" s="35" t="s">
        <v>117</v>
      </c>
      <c r="D52" t="str">
        <f>IF(E52="","",VLOOKUP(E52,'Coaching Points'!A:B,2,0))</f>
        <v>BC</v>
      </c>
      <c r="E52" s="35" t="s">
        <v>40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211</v>
      </c>
      <c r="I52" s="40"/>
      <c r="J52" s="4">
        <f>R52+S52+IF(OR(H52="Junior",H52="Senior"),0.0002,IF(OR(H52="L7",H52="L6"),0.0001,0))+MAX(Z52,AC52)*0.0000001</f>
        <v>94.100204849999997</v>
      </c>
      <c r="K52" s="3" t="str">
        <f>IF(G52="Not Age Eligible","",IF(MAX(T52,W52,Z52,AC52)&gt;=LOOKUP(G52,'Qualifying Scores'!$A$4:$A$7,'Qualifying Scores'!$F$4:$F$7),"P",""))</f>
        <v>P</v>
      </c>
      <c r="L52" s="3" t="str">
        <f>IF(G52="Not Age Eligible","",IF(MAX(U52,X52,AA52,AD52)&gt;=LOOKUP(G52,'Qualifying Scores'!$A$10:$A$13,'Qualifying Scores'!$F$10:$F$13),"P",""))</f>
        <v>P</v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>P</v>
      </c>
      <c r="Q52" s="1" t="str">
        <f>IF(A52&lt;5,IF(_xlfn.MAXIFS(A:A,G:G,G52)&gt;3,5-A52,_xlfn.MAXIFS(A:A,G:G,G52)+1-A52),"")</f>
        <v/>
      </c>
      <c r="R52" s="4">
        <f>MAX(T52-IF(OR(H52="Senior"),V52,0),W52-IF(OR(H52="Senior"),Y52,0),Z52-IF(OR(H52="Senior"),AB52,0),AC52-IF(OR(H52="Senior"),AE52,0))</f>
        <v>48.5</v>
      </c>
      <c r="S52" s="4">
        <f>IF(R52=T52-IF(OR(H52="Senior"),V52,0),MAX(W52-IF(OR(H52="Senior"),Y52,0),Z52-IF(OR(H52="Senior"),AB52,0),AC52-IF(OR(H52="Senior"),AE52,0)),IF(R52=W52-IF(OR(H52="Senior"),Y52,0),MAX(T52-IF(OR(H52="Senior"),V52,0),Z52-IF(OR(H52="Senior"),AB52,0),AC52-IF(OR(H52="Senior"),AE52,0)),IF(R52=Z52-IF(OR(H52="Senior"),AB52,0),MAX(T52-IF(OR(H52="Senior"),V52,0),W52-IF(OR(H52="Senior"),Y52,0),AC52-IF(OR(H52="Senior"),AE52,0)),IF(R52=AC52-IF(OR(H52="Senior"),AE52,0),MAX(T52-IF(OR(H52="Senior"),V52,0),W52-IF(OR(H52="Senior"),Y52,0),Z52-IF(OR(H52="Senior"),AB52,0)),0))))</f>
        <v>45.6</v>
      </c>
      <c r="T52" s="32">
        <v>45.6</v>
      </c>
      <c r="U52" s="37">
        <v>10.8</v>
      </c>
      <c r="V52" s="37">
        <v>0</v>
      </c>
      <c r="W52" s="33">
        <v>45.4</v>
      </c>
      <c r="X52" s="37">
        <v>12.4</v>
      </c>
      <c r="Y52" s="37">
        <v>0</v>
      </c>
      <c r="Z52" s="32">
        <v>41.5</v>
      </c>
      <c r="AA52" s="37">
        <v>8</v>
      </c>
      <c r="AB52" s="37">
        <v>0</v>
      </c>
      <c r="AC52" s="33">
        <v>48.5</v>
      </c>
      <c r="AD52" s="37">
        <v>12.399999999999999</v>
      </c>
      <c r="AE52" s="37">
        <v>0</v>
      </c>
    </row>
    <row r="53" spans="1:31" x14ac:dyDescent="0.2">
      <c r="A53" s="1" t="str" cm="1">
        <f t="array" ref="A53">IF(I53="","",IF(P53&lt;&gt;"",SUMPRODUCT((P$3:P$95&lt;&gt;"")*(G$3:G$95=G53)*(J$3:J$95&gt;J53)*(I$3:I$95="P"))+1,IF(O53&lt;&gt;"",SUMPRODUCT((O$3:O$95&lt;&gt;"")*(P$3:P$95="")*(G$3:G$95=G53)*(J$3:J$95&gt;J53)*(I$3:I$95="P"))+SUMPRODUCT((P$3:P$95&lt;&gt;"")*(G$3:G$95=G53)*(I$3:I$95="P"))+1,IF(N53&lt;&gt;"",SUMPRODUCT((N$3:N$95&lt;&gt;"")*(G$3:G$95=G53)*(J$3:J$95&gt;J53)*(I$3:I$95="P"))+1,IF(M53="P",SUMPRODUCT((O$3:O$95&lt;&gt;"")*(P$3:P$95="")*(G$3:G$95=G53)*(I$3:I$95="P"))+SUMPRODUCT((P$3:P$95&lt;&gt;"")*(G$3:G$95=G53)*(I$3:I$95="P"))+SUMPRODUCT((N$3:N$95&lt;&gt;"")*(G$3:G$95=G53)*(I$3:I$95="P"))+SUMPRODUCT((P$3:P$95="")*(O$3:O$95="")*(N$3:N$95="")*(M$3:M$95="P")*(G$3:G$95=G53)*(J$3:J$95&gt;J53)*(I$3:I$95="P"))+IF(H53="L5",SUMPRODUCT((P$3:P$95="")*(O$3:O$95="")*(N$3:N$95="")*(M$3:M$95="P")*(G$3:G$95=G53)*(J$3:J$95&lt;J53)*(H$3:H$95&lt;&gt;H53)*(I$3:I$95="P")),-1*SUMPRODUCT((P$3:P$95="")*(O$3:O$95="")*(N$3:N$95="")*(M$3:M$95="P")*(G$3:G$95=G53)*(J$3:J$95&gt;J53)*(H$3:H$95="L5")*(I$3:I$95="P")))+1,"")))))</f>
        <v/>
      </c>
      <c r="B53" s="1" t="str" cm="1">
        <f t="array" ref="B53">IF(P53&lt;&gt;"",SUMPRODUCT((P$3:P$95&lt;&gt;"")*(G$3:G$95=G53)*(J$3:J$95&gt;J53))+1,IF(O53&lt;&gt;"",SUMPRODUCT((O$3:O$95&lt;&gt;"")*(P$3:P$95="")*(G$3:G$95=G53)*(J$3:J$95&gt;J53))+SUMPRODUCT((P$3:P$95&lt;&gt;"")*(G$3:G$95=G53))+1,IF(N53&lt;&gt;"",SUMPRODUCT((N$3:N$95&lt;&gt;"")*(G$3:G$95=G53)*(J$3:J$95&gt;J53))+1,IF(M53="P",SUMPRODUCT((O$3:O$95&lt;&gt;"")*(P$3:P$95="")*(G$3:G$95=G53))+SUMPRODUCT((P$3:P$95&lt;&gt;"")*(G$3:G$95=G53))+SUMPRODUCT((N$3:N$95&lt;&gt;"")*(G$3:G$95=G53))+SUMPRODUCT((P$3:P$95="")*(O$3:O$95="")*(N$3:N$95="")*(M$3:M$95="P")*(G$3:G$95=G53)*(J$3:J$95&gt;J53))+IF(H53="L5",SUMPRODUCT((P$3:P$95="")*(O$3:O$95="")*(N$3:N$95="")*(M$3:M$95="P")*(G$3:G$95=G53)*(J$3:J$95&lt;J53)*(H$3:H$95&lt;&gt;H53)),-1*SUMPRODUCT((P$3:P$95="")*(O$3:O$95="")*(N$3:N$95="")*(M$3:M$95="P")*(G$3:G$95=G53)*(J$3:J$95&gt;J53)*(H$3:H$95="L5")))+1,""))))</f>
        <v/>
      </c>
      <c r="C53" s="35" t="s">
        <v>338</v>
      </c>
      <c r="D53" t="str">
        <f>IF(E53="","",VLOOKUP(E53,'Coaching Points'!A:B,2,0))</f>
        <v>AB</v>
      </c>
      <c r="E53" s="35" t="s">
        <v>56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211</v>
      </c>
      <c r="I53" s="40"/>
      <c r="J53" s="4">
        <f>R53+S53+IF(OR(H53="Junior",H53="Senior"),0.0002,IF(OR(H53="L7",H53="L6"),0.0001,0))+MAX(Z53,AC53)*0.0000001</f>
        <v>95.100204770000005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>P</v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MAX(T53-IF(OR(H53="Senior"),V53,0),W53-IF(OR(H53="Senior"),Y53,0),Z53-IF(OR(H53="Senior"),AB53,0),AC53-IF(OR(H53="Senior"),AE53,0))</f>
        <v>47.7</v>
      </c>
      <c r="S53" s="4">
        <f>IF(R53=T53-IF(OR(H53="Senior"),V53,0),MAX(W53-IF(OR(H53="Senior"),Y53,0),Z53-IF(OR(H53="Senior"),AB53,0),AC53-IF(OR(H53="Senior"),AE53,0)),IF(R53=W53-IF(OR(H53="Senior"),Y53,0),MAX(T53-IF(OR(H53="Senior"),V53,0),Z53-IF(OR(H53="Senior"),AB53,0),AC53-IF(OR(H53="Senior"),AE53,0)),IF(R53=Z53-IF(OR(H53="Senior"),AB53,0),MAX(T53-IF(OR(H53="Senior"),V53,0),W53-IF(OR(H53="Senior"),Y53,0),AC53-IF(OR(H53="Senior"),AE53,0)),IF(R53=AC53-IF(OR(H53="Senior"),AE53,0),MAX(T53-IF(OR(H53="Senior"),V53,0),W53-IF(OR(H53="Senior"),Y53,0),Z53-IF(OR(H53="Senior"),AB53,0)),0))))</f>
        <v>47.4</v>
      </c>
      <c r="T53" s="32">
        <v>46</v>
      </c>
      <c r="U53" s="37">
        <v>10.8</v>
      </c>
      <c r="V53" s="37">
        <v>0</v>
      </c>
      <c r="W53" s="33">
        <v>47.4</v>
      </c>
      <c r="X53" s="37">
        <v>11.6</v>
      </c>
      <c r="Y53" s="37">
        <v>0</v>
      </c>
      <c r="Z53" s="32">
        <v>41</v>
      </c>
      <c r="AA53" s="37">
        <v>8.8000000000000007</v>
      </c>
      <c r="AB53" s="37">
        <v>0</v>
      </c>
      <c r="AC53" s="33">
        <v>47.7</v>
      </c>
      <c r="AD53" s="37">
        <v>12.8</v>
      </c>
      <c r="AE53" s="37">
        <v>0</v>
      </c>
    </row>
    <row r="54" spans="1:31" x14ac:dyDescent="0.2">
      <c r="A54" s="1" t="str" cm="1">
        <f t="array" ref="A54">IF(I54="","",IF(P54&lt;&gt;"",SUMPRODUCT((P$3:P$95&lt;&gt;"")*(G$3:G$95=G54)*(J$3:J$95&gt;J54)*(I$3:I$95="P"))+1,IF(O54&lt;&gt;"",SUMPRODUCT((O$3:O$95&lt;&gt;"")*(P$3:P$95="")*(G$3:G$95=G54)*(J$3:J$95&gt;J54)*(I$3:I$95="P"))+SUMPRODUCT((P$3:P$95&lt;&gt;"")*(G$3:G$95=G54)*(I$3:I$95="P"))+1,IF(N54&lt;&gt;"",SUMPRODUCT((N$3:N$95&lt;&gt;"")*(G$3:G$95=G54)*(J$3:J$95&gt;J54)*(I$3:I$95="P"))+1,IF(M54="P",SUMPRODUCT((O$3:O$95&lt;&gt;"")*(P$3:P$95="")*(G$3:G$95=G54)*(I$3:I$95="P"))+SUMPRODUCT((P$3:P$95&lt;&gt;"")*(G$3:G$95=G54)*(I$3:I$95="P"))+SUMPRODUCT((N$3:N$95&lt;&gt;"")*(G$3:G$95=G54)*(I$3:I$95="P"))+SUMPRODUCT((P$3:P$95="")*(O$3:O$95="")*(N$3:N$95="")*(M$3:M$95="P")*(G$3:G$95=G54)*(J$3:J$95&gt;J54)*(I$3:I$95="P"))+IF(H54="L5",SUMPRODUCT((P$3:P$95="")*(O$3:O$95="")*(N$3:N$95="")*(M$3:M$95="P")*(G$3:G$95=G54)*(J$3:J$95&lt;J54)*(H$3:H$95&lt;&gt;H54)*(I$3:I$95="P")),-1*SUMPRODUCT((P$3:P$95="")*(O$3:O$95="")*(N$3:N$95="")*(M$3:M$95="P")*(G$3:G$95=G54)*(J$3:J$95&gt;J54)*(H$3:H$95="L5")*(I$3:I$95="P")))+1,"")))))</f>
        <v/>
      </c>
      <c r="B54" s="1" t="str" cm="1">
        <f t="array" ref="B54">IF(P54&lt;&gt;"",SUMPRODUCT((P$3:P$95&lt;&gt;"")*(G$3:G$95=G54)*(J$3:J$95&gt;J54))+1,IF(O54&lt;&gt;"",SUMPRODUCT((O$3:O$95&lt;&gt;"")*(P$3:P$95="")*(G$3:G$95=G54)*(J$3:J$95&gt;J54))+SUMPRODUCT((P$3:P$95&lt;&gt;"")*(G$3:G$95=G54))+1,IF(N54&lt;&gt;"",SUMPRODUCT((N$3:N$95&lt;&gt;"")*(G$3:G$95=G54)*(J$3:J$95&gt;J54))+1,IF(M54="P",SUMPRODUCT((O$3:O$95&lt;&gt;"")*(P$3:P$95="")*(G$3:G$95=G54))+SUMPRODUCT((P$3:P$95&lt;&gt;"")*(G$3:G$95=G54))+SUMPRODUCT((N$3:N$95&lt;&gt;"")*(G$3:G$95=G54))+SUMPRODUCT((P$3:P$95="")*(O$3:O$95="")*(N$3:N$95="")*(M$3:M$95="P")*(G$3:G$95=G54)*(J$3:J$95&gt;J54))+IF(H54="L5",SUMPRODUCT((P$3:P$95="")*(O$3:O$95="")*(N$3:N$95="")*(M$3:M$95="P")*(G$3:G$95=G54)*(J$3:J$95&lt;J54)*(H$3:H$95&lt;&gt;H54)),-1*SUMPRODUCT((P$3:P$95="")*(O$3:O$95="")*(N$3:N$95="")*(M$3:M$95="P")*(G$3:G$95=G54)*(J$3:J$95&gt;J54)*(H$3:H$95="L5")))+1,""))))</f>
        <v/>
      </c>
      <c r="C54" s="35" t="s">
        <v>395</v>
      </c>
      <c r="D54" t="str">
        <f>IF(E54="","",VLOOKUP(E54,'Coaching Points'!A:B,2,0))</f>
        <v>ON</v>
      </c>
      <c r="E54" s="35" t="s">
        <v>84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>R54+S54+IF(OR(H54="Junior",H54="Senior"),0.0002,IF(OR(H54="L7",H54="L6"),0.0001,0))+MAX(Z54,AC54)*0.0000001</f>
        <v>92.000204710000006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>P</v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MAX(T54-IF(OR(H54="Senior"),V54,0),W54-IF(OR(H54="Senior"),Y54,0),Z54-IF(OR(H54="Senior"),AB54,0),AC54-IF(OR(H54="Senior"),AE54,0))</f>
        <v>47.1</v>
      </c>
      <c r="S54" s="4">
        <f>IF(R54=T54-IF(OR(H54="Senior"),V54,0),MAX(W54-IF(OR(H54="Senior"),Y54,0),Z54-IF(OR(H54="Senior"),AB54,0),AC54-IF(OR(H54="Senior"),AE54,0)),IF(R54=W54-IF(OR(H54="Senior"),Y54,0),MAX(T54-IF(OR(H54="Senior"),V54,0),Z54-IF(OR(H54="Senior"),AB54,0),AC54-IF(OR(H54="Senior"),AE54,0)),IF(R54=Z54-IF(OR(H54="Senior"),AB54,0),MAX(T54-IF(OR(H54="Senior"),V54,0),W54-IF(OR(H54="Senior"),Y54,0),AC54-IF(OR(H54="Senior"),AE54,0)),IF(R54=AC54-IF(OR(H54="Senior"),AE54,0),MAX(T54-IF(OR(H54="Senior"),V54,0),W54-IF(OR(H54="Senior"),Y54,0),Z54-IF(OR(H54="Senior"),AB54,0)),0))))</f>
        <v>44.9</v>
      </c>
      <c r="T54" s="32"/>
      <c r="U54" s="37"/>
      <c r="V54" s="37"/>
      <c r="W54" s="33"/>
      <c r="X54" s="37"/>
      <c r="Y54" s="37"/>
      <c r="Z54" s="32">
        <v>44.9</v>
      </c>
      <c r="AA54" s="37">
        <v>11.2</v>
      </c>
      <c r="AB54" s="37">
        <v>0</v>
      </c>
      <c r="AC54" s="33">
        <v>47.1</v>
      </c>
      <c r="AD54" s="37">
        <v>11.600000000000001</v>
      </c>
      <c r="AE54" s="37">
        <v>0</v>
      </c>
    </row>
    <row r="55" spans="1:31" x14ac:dyDescent="0.2">
      <c r="A55" s="1" t="str" cm="1">
        <f t="array" ref="A55">IF(I55="","",IF(P55&lt;&gt;"",SUMPRODUCT((P$3:P$95&lt;&gt;"")*(G$3:G$95=G55)*(J$3:J$95&gt;J55)*(I$3:I$95="P"))+1,IF(O55&lt;&gt;"",SUMPRODUCT((O$3:O$95&lt;&gt;"")*(P$3:P$95="")*(G$3:G$95=G55)*(J$3:J$95&gt;J55)*(I$3:I$95="P"))+SUMPRODUCT((P$3:P$95&lt;&gt;"")*(G$3:G$95=G55)*(I$3:I$95="P"))+1,IF(N55&lt;&gt;"",SUMPRODUCT((N$3:N$95&lt;&gt;"")*(G$3:G$95=G55)*(J$3:J$95&gt;J55)*(I$3:I$95="P"))+1,IF(M55="P",SUMPRODUCT((O$3:O$95&lt;&gt;"")*(P$3:P$95="")*(G$3:G$95=G55)*(I$3:I$95="P"))+SUMPRODUCT((P$3:P$95&lt;&gt;"")*(G$3:G$95=G55)*(I$3:I$95="P"))+SUMPRODUCT((N$3:N$95&lt;&gt;"")*(G$3:G$95=G55)*(I$3:I$95="P"))+SUMPRODUCT((P$3:P$95="")*(O$3:O$95="")*(N$3:N$95="")*(M$3:M$95="P")*(G$3:G$95=G55)*(J$3:J$95&gt;J55)*(I$3:I$95="P"))+IF(H55="L5",SUMPRODUCT((P$3:P$95="")*(O$3:O$95="")*(N$3:N$95="")*(M$3:M$95="P")*(G$3:G$95=G55)*(J$3:J$95&lt;J55)*(H$3:H$95&lt;&gt;H55)*(I$3:I$95="P")),-1*SUMPRODUCT((P$3:P$95="")*(O$3:O$95="")*(N$3:N$95="")*(M$3:M$95="P")*(G$3:G$95=G55)*(J$3:J$95&gt;J55)*(H$3:H$95="L5")*(I$3:I$95="P")))+1,"")))))</f>
        <v/>
      </c>
      <c r="B55" s="1" t="str" cm="1">
        <f t="array" ref="B55">IF(P55&lt;&gt;"",SUMPRODUCT((P$3:P$95&lt;&gt;"")*(G$3:G$95=G55)*(J$3:J$95&gt;J55))+1,IF(O55&lt;&gt;"",SUMPRODUCT((O$3:O$95&lt;&gt;"")*(P$3:P$95="")*(G$3:G$95=G55)*(J$3:J$95&gt;J55))+SUMPRODUCT((P$3:P$95&lt;&gt;"")*(G$3:G$95=G55))+1,IF(N55&lt;&gt;"",SUMPRODUCT((N$3:N$95&lt;&gt;"")*(G$3:G$95=G55)*(J$3:J$95&gt;J55))+1,IF(M55="P",SUMPRODUCT((O$3:O$95&lt;&gt;"")*(P$3:P$95="")*(G$3:G$95=G55))+SUMPRODUCT((P$3:P$95&lt;&gt;"")*(G$3:G$95=G55))+SUMPRODUCT((N$3:N$95&lt;&gt;"")*(G$3:G$95=G55))+SUMPRODUCT((P$3:P$95="")*(O$3:O$95="")*(N$3:N$95="")*(M$3:M$95="P")*(G$3:G$95=G55)*(J$3:J$95&gt;J55))+IF(H55="L5",SUMPRODUCT((P$3:P$95="")*(O$3:O$95="")*(N$3:N$95="")*(M$3:M$95="P")*(G$3:G$95=G55)*(J$3:J$95&lt;J55)*(H$3:H$95&lt;&gt;H55)),-1*SUMPRODUCT((P$3:P$95="")*(O$3:O$95="")*(N$3:N$95="")*(M$3:M$95="P")*(G$3:G$95=G55)*(J$3:J$95&gt;J55)*(H$3:H$95="L5")))+1,""))))</f>
        <v/>
      </c>
      <c r="C55" s="35" t="s">
        <v>168</v>
      </c>
      <c r="D55" t="str">
        <f>IF(E55="","",VLOOKUP(E55,'Coaching Points'!A:B,2,0))</f>
        <v>QC</v>
      </c>
      <c r="E55" s="35" t="s">
        <v>125</v>
      </c>
      <c r="F55" s="34">
        <v>2010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>R55+S55+IF(OR(H55="Junior",H55="Senior"),0.0002,IF(OR(H55="L7",H55="L6"),0.0001,0))+MAX(Z55,AC55)*0.0000001</f>
        <v>89.200004509999999</v>
      </c>
      <c r="K55" s="3" t="str">
        <f>IF(G55="Not Age Eligible","",IF(MAX(T55,W55,Z55,AC55)&gt;=LOOKUP(G55,'Qualifying Scores'!$A$4:$A$7,'Qualifying Scores'!$F$4:$F$7),"P",""))</f>
        <v/>
      </c>
      <c r="L55" s="3" t="str">
        <f>IF(G55="Not Age Eligible","",IF(MAX(U55,X55,AA55,AD55)&gt;=LOOKUP(G55,'Qualifying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/>
      </c>
      <c r="Q55" s="1" t="str">
        <f>IF(A55&lt;5,IF(_xlfn.MAXIFS(A:A,G:G,G55)&gt;3,5-A55,_xlfn.MAXIFS(A:A,G:G,G55)+1-A55),"")</f>
        <v/>
      </c>
      <c r="R55" s="4">
        <f>MAX(T55-IF(OR(H55="Senior"),V55,0),W55-IF(OR(H55="Senior"),Y55,0),Z55-IF(OR(H55="Senior"),AB55,0),AC55-IF(OR(H55="Senior"),AE55,0))</f>
        <v>45.1</v>
      </c>
      <c r="S55" s="4">
        <f>IF(R55=T55-IF(OR(H55="Senior"),V55,0),MAX(W55-IF(OR(H55="Senior"),Y55,0),Z55-IF(OR(H55="Senior"),AB55,0),AC55-IF(OR(H55="Senior"),AE55,0)),IF(R55=W55-IF(OR(H55="Senior"),Y55,0),MAX(T55-IF(OR(H55="Senior"),V55,0),Z55-IF(OR(H55="Senior"),AB55,0),AC55-IF(OR(H55="Senior"),AE55,0)),IF(R55=Z55-IF(OR(H55="Senior"),AB55,0),MAX(T55-IF(OR(H55="Senior"),V55,0),W55-IF(OR(H55="Senior"),Y55,0),AC55-IF(OR(H55="Senior"),AE55,0)),IF(R55=AC55-IF(OR(H55="Senior"),AE55,0),MAX(T55-IF(OR(H55="Senior"),V55,0),W55-IF(OR(H55="Senior"),Y55,0),Z55-IF(OR(H55="Senior"),AB55,0)),0))))</f>
        <v>44.1</v>
      </c>
      <c r="T55" s="32">
        <v>42.2</v>
      </c>
      <c r="U55" s="37">
        <v>6.4</v>
      </c>
      <c r="V55" s="37">
        <v>0</v>
      </c>
      <c r="W55" s="33">
        <v>42.5</v>
      </c>
      <c r="X55" s="37">
        <v>6.7</v>
      </c>
      <c r="Y55" s="37">
        <v>0</v>
      </c>
      <c r="Z55" s="32">
        <v>45.1</v>
      </c>
      <c r="AA55" s="37">
        <v>7.7</v>
      </c>
      <c r="AB55" s="37">
        <v>0</v>
      </c>
      <c r="AC55" s="33">
        <v>44.1</v>
      </c>
      <c r="AD55" s="37">
        <v>7.1</v>
      </c>
      <c r="AE55" s="37">
        <v>0</v>
      </c>
    </row>
    <row r="56" spans="1:31" x14ac:dyDescent="0.2">
      <c r="A56" s="1" t="str" cm="1">
        <f t="array" ref="A56">IF(I56="","",IF(P56&lt;&gt;"",SUMPRODUCT((P$3:P$95&lt;&gt;"")*(G$3:G$95=G56)*(J$3:J$95&gt;J56)*(I$3:I$95="P"))+1,IF(O56&lt;&gt;"",SUMPRODUCT((O$3:O$95&lt;&gt;"")*(P$3:P$95="")*(G$3:G$95=G56)*(J$3:J$95&gt;J56)*(I$3:I$95="P"))+SUMPRODUCT((P$3:P$95&lt;&gt;"")*(G$3:G$95=G56)*(I$3:I$95="P"))+1,IF(N56&lt;&gt;"",SUMPRODUCT((N$3:N$95&lt;&gt;"")*(G$3:G$95=G56)*(J$3:J$95&gt;J56)*(I$3:I$95="P"))+1,IF(M56="P",SUMPRODUCT((O$3:O$95&lt;&gt;"")*(P$3:P$95="")*(G$3:G$95=G56)*(I$3:I$95="P"))+SUMPRODUCT((P$3:P$95&lt;&gt;"")*(G$3:G$95=G56)*(I$3:I$95="P"))+SUMPRODUCT((N$3:N$95&lt;&gt;"")*(G$3:G$95=G56)*(I$3:I$95="P"))+SUMPRODUCT((P$3:P$95="")*(O$3:O$95="")*(N$3:N$95="")*(M$3:M$95="P")*(G$3:G$95=G56)*(J$3:J$95&gt;J56)*(I$3:I$95="P"))+IF(H56="L5",SUMPRODUCT((P$3:P$95="")*(O$3:O$95="")*(N$3:N$95="")*(M$3:M$95="P")*(G$3:G$95=G56)*(J$3:J$95&lt;J56)*(H$3:H$95&lt;&gt;H56)*(I$3:I$95="P")),-1*SUMPRODUCT((P$3:P$95="")*(O$3:O$95="")*(N$3:N$95="")*(M$3:M$95="P")*(G$3:G$95=G56)*(J$3:J$95&gt;J56)*(H$3:H$95="L5")*(I$3:I$95="P")))+1,"")))))</f>
        <v/>
      </c>
      <c r="B56" s="1" t="str" cm="1">
        <f t="array" ref="B56">IF(P56&lt;&gt;"",SUMPRODUCT((P$3:P$95&lt;&gt;"")*(G$3:G$95=G56)*(J$3:J$95&gt;J56))+1,IF(O56&lt;&gt;"",SUMPRODUCT((O$3:O$95&lt;&gt;"")*(P$3:P$95="")*(G$3:G$95=G56)*(J$3:J$95&gt;J56))+SUMPRODUCT((P$3:P$95&lt;&gt;"")*(G$3:G$95=G56))+1,IF(N56&lt;&gt;"",SUMPRODUCT((N$3:N$95&lt;&gt;"")*(G$3:G$95=G56)*(J$3:J$95&gt;J56))+1,IF(M56="P",SUMPRODUCT((O$3:O$95&lt;&gt;"")*(P$3:P$95="")*(G$3:G$95=G56))+SUMPRODUCT((P$3:P$95&lt;&gt;"")*(G$3:G$95=G56))+SUMPRODUCT((N$3:N$95&lt;&gt;"")*(G$3:G$95=G56))+SUMPRODUCT((P$3:P$95="")*(O$3:O$95="")*(N$3:N$95="")*(M$3:M$95="P")*(G$3:G$95=G56)*(J$3:J$95&gt;J56))+IF(H56="L5",SUMPRODUCT((P$3:P$95="")*(O$3:O$95="")*(N$3:N$95="")*(M$3:M$95="P")*(G$3:G$95=G56)*(J$3:J$95&lt;J56)*(H$3:H$95&lt;&gt;H56)),-1*SUMPRODUCT((P$3:P$95="")*(O$3:O$95="")*(N$3:N$95="")*(M$3:M$95="P")*(G$3:G$95=G56)*(J$3:J$95&gt;J56)*(H$3:H$95="L5")))+1,""))))</f>
        <v/>
      </c>
      <c r="C56" s="35" t="s">
        <v>197</v>
      </c>
      <c r="D56" t="str">
        <f>IF(E56="","",VLOOKUP(E56,'Coaching Points'!A:B,2,0))</f>
        <v>QC</v>
      </c>
      <c r="E56" s="35" t="s">
        <v>209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>R56+S56+IF(OR(H56="Junior",H56="Senior"),0.0002,IF(OR(H56="L7",H56="L6"),0.0001,0))+MAX(Z56,AC56)*0.0000001</f>
        <v>88.500004469999993</v>
      </c>
      <c r="K56" s="3" t="str">
        <f>IF(G56="Not Age Eligible","",IF(MAX(T56,W56,Z56,AC56)&gt;=LOOKUP(G56,'Qualifying Scores'!$A$4:$A$7,'Qualifying Scores'!$F$4:$F$7),"P",""))</f>
        <v/>
      </c>
      <c r="L56" s="3" t="str">
        <f>IF(G56="Not Age Eligible","",IF(MAX(U56,X56,AA56,AD56)&gt;=LOOKUP(G56,'Qualifying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/>
      </c>
      <c r="Q56" s="1" t="str">
        <f>IF(A56&lt;5,IF(_xlfn.MAXIFS(A:A,G:G,G56)&gt;3,5-A56,_xlfn.MAXIFS(A:A,G:G,G56)+1-A56),"")</f>
        <v/>
      </c>
      <c r="R56" s="4">
        <f>MAX(T56-IF(OR(H56="Senior"),V56,0),W56-IF(OR(H56="Senior"),Y56,0),Z56-IF(OR(H56="Senior"),AB56,0),AC56-IF(OR(H56="Senior"),AE56,0))</f>
        <v>44.7</v>
      </c>
      <c r="S56" s="4">
        <f>IF(R56=T56-IF(OR(H56="Senior"),V56,0),MAX(W56-IF(OR(H56="Senior"),Y56,0),Z56-IF(OR(H56="Senior"),AB56,0),AC56-IF(OR(H56="Senior"),AE56,0)),IF(R56=W56-IF(OR(H56="Senior"),Y56,0),MAX(T56-IF(OR(H56="Senior"),V56,0),Z56-IF(OR(H56="Senior"),AB56,0),AC56-IF(OR(H56="Senior"),AE56,0)),IF(R56=Z56-IF(OR(H56="Senior"),AB56,0),MAX(T56-IF(OR(H56="Senior"),V56,0),W56-IF(OR(H56="Senior"),Y56,0),AC56-IF(OR(H56="Senior"),AE56,0)),IF(R56=AC56-IF(OR(H56="Senior"),AE56,0),MAX(T56-IF(OR(H56="Senior"),V56,0),W56-IF(OR(H56="Senior"),Y56,0),Z56-IF(OR(H56="Senior"),AB56,0)),0))))</f>
        <v>43.8</v>
      </c>
      <c r="T56" s="32">
        <v>43</v>
      </c>
      <c r="U56" s="37">
        <v>5.6</v>
      </c>
      <c r="V56" s="37">
        <v>0</v>
      </c>
      <c r="W56" s="33">
        <v>42.8</v>
      </c>
      <c r="X56" s="37">
        <v>6.2</v>
      </c>
      <c r="Y56" s="37">
        <v>0</v>
      </c>
      <c r="Z56" s="32">
        <v>43.8</v>
      </c>
      <c r="AA56" s="37">
        <v>6.5</v>
      </c>
      <c r="AB56" s="37">
        <v>0</v>
      </c>
      <c r="AC56" s="33">
        <v>44.7</v>
      </c>
      <c r="AD56" s="37">
        <v>6.5</v>
      </c>
      <c r="AE56" s="37">
        <v>0</v>
      </c>
    </row>
    <row r="57" spans="1:31" x14ac:dyDescent="0.2">
      <c r="A57" s="1" t="str" cm="1">
        <f t="array" ref="A57">IF(I57="","",IF(P57&lt;&gt;"",SUMPRODUCT((P$3:P$95&lt;&gt;"")*(G$3:G$95=G57)*(J$3:J$95&gt;J57)*(I$3:I$95="P"))+1,IF(O57&lt;&gt;"",SUMPRODUCT((O$3:O$95&lt;&gt;"")*(P$3:P$95="")*(G$3:G$95=G57)*(J$3:J$95&gt;J57)*(I$3:I$95="P"))+SUMPRODUCT((P$3:P$95&lt;&gt;"")*(G$3:G$95=G57)*(I$3:I$95="P"))+1,IF(N57&lt;&gt;"",SUMPRODUCT((N$3:N$95&lt;&gt;"")*(G$3:G$95=G57)*(J$3:J$95&gt;J57)*(I$3:I$95="P"))+1,IF(M57="P",SUMPRODUCT((O$3:O$95&lt;&gt;"")*(P$3:P$95="")*(G$3:G$95=G57)*(I$3:I$95="P"))+SUMPRODUCT((P$3:P$95&lt;&gt;"")*(G$3:G$95=G57)*(I$3:I$95="P"))+SUMPRODUCT((N$3:N$95&lt;&gt;"")*(G$3:G$95=G57)*(I$3:I$95="P"))+SUMPRODUCT((P$3:P$95="")*(O$3:O$95="")*(N$3:N$95="")*(M$3:M$95="P")*(G$3:G$95=G57)*(J$3:J$95&gt;J57)*(I$3:I$95="P"))+IF(H57="L5",SUMPRODUCT((P$3:P$95="")*(O$3:O$95="")*(N$3:N$95="")*(M$3:M$95="P")*(G$3:G$95=G57)*(J$3:J$95&lt;J57)*(H$3:H$95&lt;&gt;H57)*(I$3:I$95="P")),-1*SUMPRODUCT((P$3:P$95="")*(O$3:O$95="")*(N$3:N$95="")*(M$3:M$95="P")*(G$3:G$95=G57)*(J$3:J$95&gt;J57)*(H$3:H$95="L5")*(I$3:I$95="P")))+1,"")))))</f>
        <v/>
      </c>
      <c r="B57" s="1" t="str" cm="1">
        <f t="array" ref="B57">IF(P57&lt;&gt;"",SUMPRODUCT((P$3:P$95&lt;&gt;"")*(G$3:G$95=G57)*(J$3:J$95&gt;J57))+1,IF(O57&lt;&gt;"",SUMPRODUCT((O$3:O$95&lt;&gt;"")*(P$3:P$95="")*(G$3:G$95=G57)*(J$3:J$95&gt;J57))+SUMPRODUCT((P$3:P$95&lt;&gt;"")*(G$3:G$95=G57))+1,IF(N57&lt;&gt;"",SUMPRODUCT((N$3:N$95&lt;&gt;"")*(G$3:G$95=G57)*(J$3:J$95&gt;J57))+1,IF(M57="P",SUMPRODUCT((O$3:O$95&lt;&gt;"")*(P$3:P$95="")*(G$3:G$95=G57))+SUMPRODUCT((P$3:P$95&lt;&gt;"")*(G$3:G$95=G57))+SUMPRODUCT((N$3:N$95&lt;&gt;"")*(G$3:G$95=G57))+SUMPRODUCT((P$3:P$95="")*(O$3:O$95="")*(N$3:N$95="")*(M$3:M$95="P")*(G$3:G$95=G57)*(J$3:J$95&gt;J57))+IF(H57="L5",SUMPRODUCT((P$3:P$95="")*(O$3:O$95="")*(N$3:N$95="")*(M$3:M$95="P")*(G$3:G$95=G57)*(J$3:J$95&lt;J57)*(H$3:H$95&lt;&gt;H57)),-1*SUMPRODUCT((P$3:P$95="")*(O$3:O$95="")*(N$3:N$95="")*(M$3:M$95="P")*(G$3:G$95=G57)*(J$3:J$95&gt;J57)*(H$3:H$95="L5")))+1,""))))</f>
        <v/>
      </c>
      <c r="C57" s="35" t="s">
        <v>474</v>
      </c>
      <c r="D57" t="str">
        <f>IF(E57="","",VLOOKUP(E57,'Coaching Points'!A:B,2,0))</f>
        <v>QC</v>
      </c>
      <c r="E57" s="35" t="s">
        <v>124</v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>R57+S57+IF(OR(H57="Junior",H57="Senior"),0.0002,IF(OR(H57="L7",H57="L6"),0.0001,0))+MAX(Z57,AC57)*0.0000001</f>
        <v>88.400004490000001</v>
      </c>
      <c r="K57" s="3" t="str">
        <f>IF(G57="Not Age Eligible","",IF(MAX(T57,W57,Z57,AC57)&gt;=LOOKUP(G57,'Qualifying Scores'!$A$4:$A$7,'Qualifying Scores'!$F$4:$F$7),"P",""))</f>
        <v/>
      </c>
      <c r="L57" s="3" t="str">
        <f>IF(G57="Not Age Eligible","",IF(MAX(U57,X57,AA57,AD57)&gt;=LOOKUP(G57,'Qualifying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Scores'!$F$10:$F$13)),AND(Z57&gt;=LOOKUP(G57,'Qualifying Scores'!$A$4:$A$7,'Qualifying Scores'!$F$4:$F$7),AA57&gt;=LOOKUP(G57,'Qualifying Scores'!$A$10:$A$13,'Qualifying Scores'!$F$10:$F$13)),AND(W57&gt;=LOOKUP(G57,'Qualifying Scores'!$A$4:$A$7,'Qualifying Scores'!$F$4:$F$7),X57&gt;=LOOKUP(G57,'Qualifying Scores'!$A$10:$A$13,'Qualifying Scores'!$F$10:$F$13)),AND(AC57&gt;=LOOKUP(G57,'Qualifying Scores'!$A$4:$A$7,'Qualifying Scores'!$F$4:$F$7),AD57&gt;=LOOKUP(G57,'Qualifying Scores'!$A$10:$A$13,'Qualifying Scores'!$F$10:$F$13))),"P",""))</f>
        <v/>
      </c>
      <c r="Q57" s="1" t="str">
        <f>IF(A57&lt;5,IF(_xlfn.MAXIFS(A:A,G:G,G57)&gt;3,5-A57,_xlfn.MAXIFS(A:A,G:G,G57)+1-A57),"")</f>
        <v/>
      </c>
      <c r="R57" s="4">
        <f>MAX(T57-IF(OR(H57="Senior"),V57,0),W57-IF(OR(H57="Senior"),Y57,0),Z57-IF(OR(H57="Senior"),AB57,0),AC57-IF(OR(H57="Senior"),AE57,0))</f>
        <v>44.9</v>
      </c>
      <c r="S57" s="4">
        <f>IF(R57=T57-IF(OR(H57="Senior"),V57,0),MAX(W57-IF(OR(H57="Senior"),Y57,0),Z57-IF(OR(H57="Senior"),AB57,0),AC57-IF(OR(H57="Senior"),AE57,0)),IF(R57=W57-IF(OR(H57="Senior"),Y57,0),MAX(T57-IF(OR(H57="Senior"),V57,0),Z57-IF(OR(H57="Senior"),AB57,0),AC57-IF(OR(H57="Senior"),AE57,0)),IF(R57=Z57-IF(OR(H57="Senior"),AB57,0),MAX(T57-IF(OR(H57="Senior"),V57,0),W57-IF(OR(H57="Senior"),Y57,0),AC57-IF(OR(H57="Senior"),AE57,0)),IF(R57=AC57-IF(OR(H57="Senior"),AE57,0),MAX(T57-IF(OR(H57="Senior"),V57,0),W57-IF(OR(H57="Senior"),Y57,0),Z57-IF(OR(H57="Senior"),AB57,0)),0))))</f>
        <v>43.5</v>
      </c>
      <c r="T57" s="32"/>
      <c r="U57" s="37"/>
      <c r="V57" s="37"/>
      <c r="W57" s="33"/>
      <c r="X57" s="37"/>
      <c r="Y57" s="37"/>
      <c r="Z57" s="32">
        <v>43.5</v>
      </c>
      <c r="AA57" s="37">
        <v>7</v>
      </c>
      <c r="AB57" s="37">
        <v>0</v>
      </c>
      <c r="AC57" s="33">
        <v>44.9</v>
      </c>
      <c r="AD57" s="37">
        <v>8</v>
      </c>
      <c r="AE57" s="37">
        <v>0</v>
      </c>
    </row>
    <row r="58" spans="1:31" x14ac:dyDescent="0.2">
      <c r="A58" s="1" t="str" cm="1">
        <f t="array" ref="A58">IF(I58="","",IF(P58&lt;&gt;"",SUMPRODUCT((P$3:P$95&lt;&gt;"")*(G$3:G$95=G58)*(J$3:J$95&gt;J58)*(I$3:I$95="P"))+1,IF(O58&lt;&gt;"",SUMPRODUCT((O$3:O$95&lt;&gt;"")*(P$3:P$95="")*(G$3:G$95=G58)*(J$3:J$95&gt;J58)*(I$3:I$95="P"))+SUMPRODUCT((P$3:P$95&lt;&gt;"")*(G$3:G$95=G58)*(I$3:I$95="P"))+1,IF(N58&lt;&gt;"",SUMPRODUCT((N$3:N$95&lt;&gt;"")*(G$3:G$95=G58)*(J$3:J$95&gt;J58)*(I$3:I$95="P"))+1,IF(M58="P",SUMPRODUCT((O$3:O$95&lt;&gt;"")*(P$3:P$95="")*(G$3:G$95=G58)*(I$3:I$95="P"))+SUMPRODUCT((P$3:P$95&lt;&gt;"")*(G$3:G$95=G58)*(I$3:I$95="P"))+SUMPRODUCT((N$3:N$95&lt;&gt;"")*(G$3:G$95=G58)*(I$3:I$95="P"))+SUMPRODUCT((P$3:P$95="")*(O$3:O$95="")*(N$3:N$95="")*(M$3:M$95="P")*(G$3:G$95=G58)*(J$3:J$95&gt;J58)*(I$3:I$95="P"))+IF(H58="L5",SUMPRODUCT((P$3:P$95="")*(O$3:O$95="")*(N$3:N$95="")*(M$3:M$95="P")*(G$3:G$95=G58)*(J$3:J$95&lt;J58)*(H$3:H$95&lt;&gt;H58)*(I$3:I$95="P")),-1*SUMPRODUCT((P$3:P$95="")*(O$3:O$95="")*(N$3:N$95="")*(M$3:M$95="P")*(G$3:G$95=G58)*(J$3:J$95&gt;J58)*(H$3:H$95="L5")*(I$3:I$95="P")))+1,"")))))</f>
        <v/>
      </c>
      <c r="B58" s="1" t="str" cm="1">
        <f t="array" ref="B58">IF(P58&lt;&gt;"",SUMPRODUCT((P$3:P$95&lt;&gt;"")*(G$3:G$95=G58)*(J$3:J$95&gt;J58))+1,IF(O58&lt;&gt;"",SUMPRODUCT((O$3:O$95&lt;&gt;"")*(P$3:P$95="")*(G$3:G$95=G58)*(J$3:J$95&gt;J58))+SUMPRODUCT((P$3:P$95&lt;&gt;"")*(G$3:G$95=G58))+1,IF(N58&lt;&gt;"",SUMPRODUCT((N$3:N$95&lt;&gt;"")*(G$3:G$95=G58)*(J$3:J$95&gt;J58))+1,IF(M58="P",SUMPRODUCT((O$3:O$95&lt;&gt;"")*(P$3:P$95="")*(G$3:G$95=G58))+SUMPRODUCT((P$3:P$95&lt;&gt;"")*(G$3:G$95=G58))+SUMPRODUCT((N$3:N$95&lt;&gt;"")*(G$3:G$95=G58))+SUMPRODUCT((P$3:P$95="")*(O$3:O$95="")*(N$3:N$95="")*(M$3:M$95="P")*(G$3:G$95=G58)*(J$3:J$95&gt;J58))+IF(H58="L5",SUMPRODUCT((P$3:P$95="")*(O$3:O$95="")*(N$3:N$95="")*(M$3:M$95="P")*(G$3:G$95=G58)*(J$3:J$95&lt;J58)*(H$3:H$95&lt;&gt;H58)),-1*SUMPRODUCT((P$3:P$95="")*(O$3:O$95="")*(N$3:N$95="")*(M$3:M$95="P")*(G$3:G$95=G58)*(J$3:J$95&gt;J58)*(H$3:H$95="L5")))+1,""))))</f>
        <v/>
      </c>
      <c r="C58" s="35" t="s">
        <v>409</v>
      </c>
      <c r="D58" t="str">
        <f>IF(E58="","",VLOOKUP(E58,'Coaching Points'!A:B,2,0))</f>
        <v>QC</v>
      </c>
      <c r="E58" s="35" t="s">
        <v>125</v>
      </c>
      <c r="F58" s="34">
        <v>2010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>R58+S58+IF(OR(H58="Junior",H58="Senior"),0.0002,IF(OR(H58="L7",H58="L6"),0.0001,0))+MAX(Z58,AC58)*0.0000001</f>
        <v>87.500004430000004</v>
      </c>
      <c r="K58" s="3" t="str">
        <f>IF(G58="Not Age Eligible","",IF(MAX(T58,W58,Z58,AC58)&gt;=LOOKUP(G58,'Qualifying Scores'!$A$4:$A$7,'Qualifying Scores'!$F$4:$F$7),"P",""))</f>
        <v/>
      </c>
      <c r="L58" s="3" t="str">
        <f>IF(G58="Not Age Eligible","",IF(MAX(U58,X58,AA58,AD58)&gt;=LOOKUP(G58,'Qualifying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Scores'!$F$10:$F$13)),AND(Z58&gt;=LOOKUP(G58,'Qualifying Scores'!$A$4:$A$7,'Qualifying Scores'!$F$4:$F$7),AA58&gt;=LOOKUP(G58,'Qualifying Scores'!$A$10:$A$13,'Qualifying Scores'!$F$10:$F$13)),AND(W58&gt;=LOOKUP(G58,'Qualifying Scores'!$A$4:$A$7,'Qualifying Scores'!$F$4:$F$7),X58&gt;=LOOKUP(G58,'Qualifying Scores'!$A$10:$A$13,'Qualifying Scores'!$F$10:$F$13)),AND(AC58&gt;=LOOKUP(G58,'Qualifying Scores'!$A$4:$A$7,'Qualifying Scores'!$F$4:$F$7),AD58&gt;=LOOKUP(G58,'Qualifying Scores'!$A$10:$A$13,'Qualifying Scores'!$F$10:$F$13))),"P",""))</f>
        <v/>
      </c>
      <c r="Q58" s="1" t="str">
        <f>IF(A58&lt;5,IF(_xlfn.MAXIFS(A:A,G:G,G58)&gt;3,5-A58,_xlfn.MAXIFS(A:A,G:G,G58)+1-A58),"")</f>
        <v/>
      </c>
      <c r="R58" s="4">
        <f>MAX(T58-IF(OR(H58="Senior"),V58,0),W58-IF(OR(H58="Senior"),Y58,0),Z58-IF(OR(H58="Senior"),AB58,0),AC58-IF(OR(H58="Senior"),AE58,0))</f>
        <v>44.3</v>
      </c>
      <c r="S58" s="4">
        <f>IF(R58=T58-IF(OR(H58="Senior"),V58,0),MAX(W58-IF(OR(H58="Senior"),Y58,0),Z58-IF(OR(H58="Senior"),AB58,0),AC58-IF(OR(H58="Senior"),AE58,0)),IF(R58=W58-IF(OR(H58="Senior"),Y58,0),MAX(T58-IF(OR(H58="Senior"),V58,0),Z58-IF(OR(H58="Senior"),AB58,0),AC58-IF(OR(H58="Senior"),AE58,0)),IF(R58=Z58-IF(OR(H58="Senior"),AB58,0),MAX(T58-IF(OR(H58="Senior"),V58,0),W58-IF(OR(H58="Senior"),Y58,0),AC58-IF(OR(H58="Senior"),AE58,0)),IF(R58=AC58-IF(OR(H58="Senior"),AE58,0),MAX(T58-IF(OR(H58="Senior"),V58,0),W58-IF(OR(H58="Senior"),Y58,0),Z58-IF(OR(H58="Senior"),AB58,0)),0))))</f>
        <v>43.2</v>
      </c>
      <c r="T58" s="32"/>
      <c r="U58" s="37"/>
      <c r="V58" s="37"/>
      <c r="W58" s="33"/>
      <c r="X58" s="37"/>
      <c r="Y58" s="37"/>
      <c r="Z58" s="32">
        <v>44.3</v>
      </c>
      <c r="AA58" s="37">
        <v>6.4</v>
      </c>
      <c r="AB58" s="37">
        <v>0</v>
      </c>
      <c r="AC58" s="33">
        <v>43.2</v>
      </c>
      <c r="AD58" s="37">
        <v>5.4</v>
      </c>
      <c r="AE58" s="37">
        <v>0</v>
      </c>
    </row>
    <row r="59" spans="1:31" x14ac:dyDescent="0.2">
      <c r="A59" s="1" t="str" cm="1">
        <f t="array" ref="A59">IF(I59="","",IF(P59&lt;&gt;"",SUMPRODUCT((P$3:P$95&lt;&gt;"")*(G$3:G$95=G59)*(J$3:J$95&gt;J59)*(I$3:I$95="P"))+1,IF(O59&lt;&gt;"",SUMPRODUCT((O$3:O$95&lt;&gt;"")*(P$3:P$95="")*(G$3:G$95=G59)*(J$3:J$95&gt;J59)*(I$3:I$95="P"))+SUMPRODUCT((P$3:P$95&lt;&gt;"")*(G$3:G$95=G59)*(I$3:I$95="P"))+1,IF(N59&lt;&gt;"",SUMPRODUCT((N$3:N$95&lt;&gt;"")*(G$3:G$95=G59)*(J$3:J$95&gt;J59)*(I$3:I$95="P"))+1,IF(M59="P",SUMPRODUCT((O$3:O$95&lt;&gt;"")*(P$3:P$95="")*(G$3:G$95=G59)*(I$3:I$95="P"))+SUMPRODUCT((P$3:P$95&lt;&gt;"")*(G$3:G$95=G59)*(I$3:I$95="P"))+SUMPRODUCT((N$3:N$95&lt;&gt;"")*(G$3:G$95=G59)*(I$3:I$95="P"))+SUMPRODUCT((P$3:P$95="")*(O$3:O$95="")*(N$3:N$95="")*(M$3:M$95="P")*(G$3:G$95=G59)*(J$3:J$95&gt;J59)*(I$3:I$95="P"))+IF(H59="L5",SUMPRODUCT((P$3:P$95="")*(O$3:O$95="")*(N$3:N$95="")*(M$3:M$95="P")*(G$3:G$95=G59)*(J$3:J$95&lt;J59)*(H$3:H$95&lt;&gt;H59)*(I$3:I$95="P")),-1*SUMPRODUCT((P$3:P$95="")*(O$3:O$95="")*(N$3:N$95="")*(M$3:M$95="P")*(G$3:G$95=G59)*(J$3:J$95&gt;J59)*(H$3:H$95="L5")*(I$3:I$95="P")))+1,"")))))</f>
        <v/>
      </c>
      <c r="B59" s="1" t="str" cm="1">
        <f t="array" ref="B59">IF(P59&lt;&gt;"",SUMPRODUCT((P$3:P$95&lt;&gt;"")*(G$3:G$95=G59)*(J$3:J$95&gt;J59))+1,IF(O59&lt;&gt;"",SUMPRODUCT((O$3:O$95&lt;&gt;"")*(P$3:P$95="")*(G$3:G$95=G59)*(J$3:J$95&gt;J59))+SUMPRODUCT((P$3:P$95&lt;&gt;"")*(G$3:G$95=G59))+1,IF(N59&lt;&gt;"",SUMPRODUCT((N$3:N$95&lt;&gt;"")*(G$3:G$95=G59)*(J$3:J$95&gt;J59))+1,IF(M59="P",SUMPRODUCT((O$3:O$95&lt;&gt;"")*(P$3:P$95="")*(G$3:G$95=G59))+SUMPRODUCT((P$3:P$95&lt;&gt;"")*(G$3:G$95=G59))+SUMPRODUCT((N$3:N$95&lt;&gt;"")*(G$3:G$95=G59))+SUMPRODUCT((P$3:P$95="")*(O$3:O$95="")*(N$3:N$95="")*(M$3:M$95="P")*(G$3:G$95=G59)*(J$3:J$95&gt;J59))+IF(H59="L5",SUMPRODUCT((P$3:P$95="")*(O$3:O$95="")*(N$3:N$95="")*(M$3:M$95="P")*(G$3:G$95=G59)*(J$3:J$95&lt;J59)*(H$3:H$95&lt;&gt;H59)),-1*SUMPRODUCT((P$3:P$95="")*(O$3:O$95="")*(N$3:N$95="")*(M$3:M$95="P")*(G$3:G$95=G59)*(J$3:J$95&gt;J59)*(H$3:H$95="L5")))+1,""))))</f>
        <v/>
      </c>
      <c r="C59" s="35" t="s">
        <v>170</v>
      </c>
      <c r="D59" t="str">
        <f>IF(E59="","",VLOOKUP(E59,'Coaching Points'!A:B,2,0))</f>
        <v>BC</v>
      </c>
      <c r="E59" s="35" t="s">
        <v>44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R59+S59+IF(OR(H59="Junior",H59="Senior"),0.0002,IF(OR(H59="L7",H59="L6"),0.0001,0))+MAX(Z59,AC59)*0.0000001</f>
        <v>86.700004399999997</v>
      </c>
      <c r="K59" s="3" t="str">
        <f>IF(G59="Not Age Eligible","",IF(MAX(T59,W59,Z59,AC59)&gt;=LOOKUP(G59,'Qualifying Scores'!$A$4:$A$7,'Qualifying Scores'!$F$4:$F$7),"P",""))</f>
        <v/>
      </c>
      <c r="L59" s="3" t="str">
        <f>IF(G59="Not Age Eligible","",IF(MAX(U59,X59,AA59,AD59)&gt;=LOOKUP(G59,'Qualifying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Scores'!$F$10:$F$13)),AND(Z59&gt;=LOOKUP(G59,'Qualifying Scores'!$A$4:$A$7,'Qualifying Scores'!$F$4:$F$7),AA59&gt;=LOOKUP(G59,'Qualifying Scores'!$A$10:$A$13,'Qualifying Scores'!$F$10:$F$13)),AND(W59&gt;=LOOKUP(G59,'Qualifying Scores'!$A$4:$A$7,'Qualifying Scores'!$F$4:$F$7),X59&gt;=LOOKUP(G59,'Qualifying Scores'!$A$10:$A$13,'Qualifying Scores'!$F$10:$F$13)),AND(AC59&gt;=LOOKUP(G59,'Qualifying Scores'!$A$4:$A$7,'Qualifying Scores'!$F$4:$F$7),AD59&gt;=LOOKUP(G59,'Qualifying Scores'!$A$10:$A$13,'Qualifying Scores'!$F$10:$F$13))),"P",""))</f>
        <v/>
      </c>
      <c r="Q59" s="1" t="str">
        <f>IF(A59&lt;5,IF(_xlfn.MAXIFS(A:A,G:G,G59)&gt;3,5-A59,_xlfn.MAXIFS(A:A,G:G,G59)+1-A59),"")</f>
        <v/>
      </c>
      <c r="R59" s="4">
        <f>MAX(T59-IF(OR(H59="Senior"),V59,0),W59-IF(OR(H59="Senior"),Y59,0),Z59-IF(OR(H59="Senior"),AB59,0),AC59-IF(OR(H59="Senior"),AE59,0))</f>
        <v>44</v>
      </c>
      <c r="S59" s="4">
        <f>IF(R59=T59-IF(OR(H59="Senior"),V59,0),MAX(W59-IF(OR(H59="Senior"),Y59,0),Z59-IF(OR(H59="Senior"),AB59,0),AC59-IF(OR(H59="Senior"),AE59,0)),IF(R59=W59-IF(OR(H59="Senior"),Y59,0),MAX(T59-IF(OR(H59="Senior"),V59,0),Z59-IF(OR(H59="Senior"),AB59,0),AC59-IF(OR(H59="Senior"),AE59,0)),IF(R59=Z59-IF(OR(H59="Senior"),AB59,0),MAX(T59-IF(OR(H59="Senior"),V59,0),W59-IF(OR(H59="Senior"),Y59,0),AC59-IF(OR(H59="Senior"),AE59,0)),IF(R59=AC59-IF(OR(H59="Senior"),AE59,0),MAX(T59-IF(OR(H59="Senior"),V59,0),W59-IF(OR(H59="Senior"),Y59,0),Z59-IF(OR(H59="Senior"),AB59,0)),0))))</f>
        <v>42.7</v>
      </c>
      <c r="T59" s="32">
        <v>37.799999999999997</v>
      </c>
      <c r="U59" s="37">
        <v>5.1000000000000005</v>
      </c>
      <c r="V59" s="37">
        <v>0</v>
      </c>
      <c r="W59" s="33">
        <v>36.700000000000003</v>
      </c>
      <c r="X59" s="37">
        <v>3.4000000000000004</v>
      </c>
      <c r="Y59" s="37">
        <v>0</v>
      </c>
      <c r="Z59" s="32">
        <v>44</v>
      </c>
      <c r="AA59" s="37">
        <v>7.9</v>
      </c>
      <c r="AB59" s="37">
        <v>0</v>
      </c>
      <c r="AC59" s="33">
        <v>42.7</v>
      </c>
      <c r="AD59" s="37">
        <v>7.1</v>
      </c>
      <c r="AE59" s="37">
        <v>0</v>
      </c>
    </row>
    <row r="60" spans="1:31" x14ac:dyDescent="0.2">
      <c r="A60" s="1" t="str" cm="1">
        <f t="array" ref="A60">IF(I60="","",IF(P60&lt;&gt;"",SUMPRODUCT((P$3:P$95&lt;&gt;"")*(G$3:G$95=G60)*(J$3:J$95&gt;J60)*(I$3:I$95="P"))+1,IF(O60&lt;&gt;"",SUMPRODUCT((O$3:O$95&lt;&gt;"")*(P$3:P$95="")*(G$3:G$95=G60)*(J$3:J$95&gt;J60)*(I$3:I$95="P"))+SUMPRODUCT((P$3:P$95&lt;&gt;"")*(G$3:G$95=G60)*(I$3:I$95="P"))+1,IF(N60&lt;&gt;"",SUMPRODUCT((N$3:N$95&lt;&gt;"")*(G$3:G$95=G60)*(J$3:J$95&gt;J60)*(I$3:I$95="P"))+1,IF(M60="P",SUMPRODUCT((O$3:O$95&lt;&gt;"")*(P$3:P$95="")*(G$3:G$95=G60)*(I$3:I$95="P"))+SUMPRODUCT((P$3:P$95&lt;&gt;"")*(G$3:G$95=G60)*(I$3:I$95="P"))+SUMPRODUCT((N$3:N$95&lt;&gt;"")*(G$3:G$95=G60)*(I$3:I$95="P"))+SUMPRODUCT((P$3:P$95="")*(O$3:O$95="")*(N$3:N$95="")*(M$3:M$95="P")*(G$3:G$95=G60)*(J$3:J$95&gt;J60)*(I$3:I$95="P"))+IF(H60="L5",SUMPRODUCT((P$3:P$95="")*(O$3:O$95="")*(N$3:N$95="")*(M$3:M$95="P")*(G$3:G$95=G60)*(J$3:J$95&lt;J60)*(H$3:H$95&lt;&gt;H60)*(I$3:I$95="P")),-1*SUMPRODUCT((P$3:P$95="")*(O$3:O$95="")*(N$3:N$95="")*(M$3:M$95="P")*(G$3:G$95=G60)*(J$3:J$95&gt;J60)*(H$3:H$95="L5")*(I$3:I$95="P")))+1,"")))))</f>
        <v/>
      </c>
      <c r="B60" s="1" t="str" cm="1">
        <f t="array" ref="B60">IF(P60&lt;&gt;"",SUMPRODUCT((P$3:P$95&lt;&gt;"")*(G$3:G$95=G60)*(J$3:J$95&gt;J60))+1,IF(O60&lt;&gt;"",SUMPRODUCT((O$3:O$95&lt;&gt;"")*(P$3:P$95="")*(G$3:G$95=G60)*(J$3:J$95&gt;J60))+SUMPRODUCT((P$3:P$95&lt;&gt;"")*(G$3:G$95=G60))+1,IF(N60&lt;&gt;"",SUMPRODUCT((N$3:N$95&lt;&gt;"")*(G$3:G$95=G60)*(J$3:J$95&gt;J60))+1,IF(M60="P",SUMPRODUCT((O$3:O$95&lt;&gt;"")*(P$3:P$95="")*(G$3:G$95=G60))+SUMPRODUCT((P$3:P$95&lt;&gt;"")*(G$3:G$95=G60))+SUMPRODUCT((N$3:N$95&lt;&gt;"")*(G$3:G$95=G60))+SUMPRODUCT((P$3:P$95="")*(O$3:O$95="")*(N$3:N$95="")*(M$3:M$95="P")*(G$3:G$95=G60)*(J$3:J$95&gt;J60))+IF(H60="L5",SUMPRODUCT((P$3:P$95="")*(O$3:O$95="")*(N$3:N$95="")*(M$3:M$95="P")*(G$3:G$95=G60)*(J$3:J$95&lt;J60)*(H$3:H$95&lt;&gt;H60)),-1*SUMPRODUCT((P$3:P$95="")*(O$3:O$95="")*(N$3:N$95="")*(M$3:M$95="P")*(G$3:G$95=G60)*(J$3:J$95&gt;J60)*(H$3:H$95="L5")))+1,""))))</f>
        <v/>
      </c>
      <c r="C60" s="35" t="s">
        <v>198</v>
      </c>
      <c r="D60" t="str">
        <f>IF(E60="","",VLOOKUP(E60,'Coaching Points'!A:B,2,0))</f>
        <v>QC</v>
      </c>
      <c r="E60" s="35" t="s">
        <v>3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>R60+S60+IF(OR(H60="Junior",H60="Senior"),0.0002,IF(OR(H60="L7",H60="L6"),0.0001,0))+MAX(Z60,AC60)*0.0000001</f>
        <v>86.100004029999994</v>
      </c>
      <c r="K60" s="3" t="str">
        <f>IF(G60="Not Age Eligible","",IF(MAX(T60,W60,Z60,AC60)&gt;=LOOKUP(G60,'Qualifying Scores'!$A$4:$A$7,'Qualifying Scores'!$F$4:$F$7),"P",""))</f>
        <v/>
      </c>
      <c r="L60" s="3" t="str">
        <f>IF(G60="Not Age Eligible","",IF(MAX(U60,X60,AA60,AD60)&gt;=LOOKUP(G60,'Qualifying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Scores'!$F$10:$F$13)),AND(Z60&gt;=LOOKUP(G60,'Qualifying Scores'!$A$4:$A$7,'Qualifying Scores'!$F$4:$F$7),AA60&gt;=LOOKUP(G60,'Qualifying Scores'!$A$10:$A$13,'Qualifying Scores'!$F$10:$F$13)),AND(W60&gt;=LOOKUP(G60,'Qualifying Scores'!$A$4:$A$7,'Qualifying Scores'!$F$4:$F$7),X60&gt;=LOOKUP(G60,'Qualifying Scores'!$A$10:$A$13,'Qualifying Scores'!$F$10:$F$13)),AND(AC60&gt;=LOOKUP(G60,'Qualifying Scores'!$A$4:$A$7,'Qualifying Scores'!$F$4:$F$7),AD60&gt;=LOOKUP(G60,'Qualifying Scores'!$A$10:$A$13,'Qualifying Scores'!$F$10:$F$13))),"P",""))</f>
        <v/>
      </c>
      <c r="Q60" s="1" t="str">
        <f>IF(A60&lt;5,IF(_xlfn.MAXIFS(A:A,G:G,G60)&gt;3,5-A60,_xlfn.MAXIFS(A:A,G:G,G60)+1-A60),"")</f>
        <v/>
      </c>
      <c r="R60" s="4">
        <f>MAX(T60-IF(OR(H60="Senior"),V60,0),W60-IF(OR(H60="Senior"),Y60,0),Z60-IF(OR(H60="Senior"),AB60,0),AC60-IF(OR(H60="Senior"),AE60,0))</f>
        <v>43.2</v>
      </c>
      <c r="S60" s="4">
        <f>IF(R60=T60-IF(OR(H60="Senior"),V60,0),MAX(W60-IF(OR(H60="Senior"),Y60,0),Z60-IF(OR(H60="Senior"),AB60,0),AC60-IF(OR(H60="Senior"),AE60,0)),IF(R60=W60-IF(OR(H60="Senior"),Y60,0),MAX(T60-IF(OR(H60="Senior"),V60,0),Z60-IF(OR(H60="Senior"),AB60,0),AC60-IF(OR(H60="Senior"),AE60,0)),IF(R60=Z60-IF(OR(H60="Senior"),AB60,0),MAX(T60-IF(OR(H60="Senior"),V60,0),W60-IF(OR(H60="Senior"),Y60,0),AC60-IF(OR(H60="Senior"),AE60,0)),IF(R60=AC60-IF(OR(H60="Senior"),AE60,0),MAX(T60-IF(OR(H60="Senior"),V60,0),W60-IF(OR(H60="Senior"),Y60,0),Z60-IF(OR(H60="Senior"),AB60,0)),0))))</f>
        <v>42.9</v>
      </c>
      <c r="T60" s="32">
        <v>42.9</v>
      </c>
      <c r="U60" s="37">
        <v>5.7</v>
      </c>
      <c r="V60" s="37">
        <v>0</v>
      </c>
      <c r="W60" s="33">
        <v>43.2</v>
      </c>
      <c r="X60" s="37">
        <v>6</v>
      </c>
      <c r="Y60" s="37">
        <v>0</v>
      </c>
      <c r="Z60" s="32">
        <v>40.299999999999997</v>
      </c>
      <c r="AA60" s="37">
        <v>4.2</v>
      </c>
      <c r="AB60" s="37">
        <v>0</v>
      </c>
      <c r="AC60" s="33"/>
      <c r="AD60" s="37"/>
      <c r="AE60" s="37"/>
    </row>
    <row r="61" spans="1:31" x14ac:dyDescent="0.2">
      <c r="A61" s="1" t="str" cm="1">
        <f t="array" ref="A61">IF(I61="","",IF(P61&lt;&gt;"",SUMPRODUCT((P$3:P$95&lt;&gt;"")*(G$3:G$95=G61)*(J$3:J$95&gt;J61)*(I$3:I$95="P"))+1,IF(O61&lt;&gt;"",SUMPRODUCT((O$3:O$95&lt;&gt;"")*(P$3:P$95="")*(G$3:G$95=G61)*(J$3:J$95&gt;J61)*(I$3:I$95="P"))+SUMPRODUCT((P$3:P$95&lt;&gt;"")*(G$3:G$95=G61)*(I$3:I$95="P"))+1,IF(N61&lt;&gt;"",SUMPRODUCT((N$3:N$95&lt;&gt;"")*(G$3:G$95=G61)*(J$3:J$95&gt;J61)*(I$3:I$95="P"))+1,IF(M61="P",SUMPRODUCT((O$3:O$95&lt;&gt;"")*(P$3:P$95="")*(G$3:G$95=G61)*(I$3:I$95="P"))+SUMPRODUCT((P$3:P$95&lt;&gt;"")*(G$3:G$95=G61)*(I$3:I$95="P"))+SUMPRODUCT((N$3:N$95&lt;&gt;"")*(G$3:G$95=G61)*(I$3:I$95="P"))+SUMPRODUCT((P$3:P$95="")*(O$3:O$95="")*(N$3:N$95="")*(M$3:M$95="P")*(G$3:G$95=G61)*(J$3:J$95&gt;J61)*(I$3:I$95="P"))+IF(H61="L5",SUMPRODUCT((P$3:P$95="")*(O$3:O$95="")*(N$3:N$95="")*(M$3:M$95="P")*(G$3:G$95=G61)*(J$3:J$95&lt;J61)*(H$3:H$95&lt;&gt;H61)*(I$3:I$95="P")),-1*SUMPRODUCT((P$3:P$95="")*(O$3:O$95="")*(N$3:N$95="")*(M$3:M$95="P")*(G$3:G$95=G61)*(J$3:J$95&gt;J61)*(H$3:H$95="L5")*(I$3:I$95="P")))+1,"")))))</f>
        <v/>
      </c>
      <c r="B61" s="1" t="str" cm="1">
        <f t="array" ref="B61">IF(P61&lt;&gt;"",SUMPRODUCT((P$3:P$95&lt;&gt;"")*(G$3:G$95=G61)*(J$3:J$95&gt;J61))+1,IF(O61&lt;&gt;"",SUMPRODUCT((O$3:O$95&lt;&gt;"")*(P$3:P$95="")*(G$3:G$95=G61)*(J$3:J$95&gt;J61))+SUMPRODUCT((P$3:P$95&lt;&gt;"")*(G$3:G$95=G61))+1,IF(N61&lt;&gt;"",SUMPRODUCT((N$3:N$95&lt;&gt;"")*(G$3:G$95=G61)*(J$3:J$95&gt;J61))+1,IF(M61="P",SUMPRODUCT((O$3:O$95&lt;&gt;"")*(P$3:P$95="")*(G$3:G$95=G61))+SUMPRODUCT((P$3:P$95&lt;&gt;"")*(G$3:G$95=G61))+SUMPRODUCT((N$3:N$95&lt;&gt;"")*(G$3:G$95=G61))+SUMPRODUCT((P$3:P$95="")*(O$3:O$95="")*(N$3:N$95="")*(M$3:M$95="P")*(G$3:G$95=G61)*(J$3:J$95&gt;J61))+IF(H61="L5",SUMPRODUCT((P$3:P$95="")*(O$3:O$95="")*(N$3:N$95="")*(M$3:M$95="P")*(G$3:G$95=G61)*(J$3:J$95&lt;J61)*(H$3:H$95&lt;&gt;H61)),-1*SUMPRODUCT((P$3:P$95="")*(O$3:O$95="")*(N$3:N$95="")*(M$3:M$95="P")*(G$3:G$95=G61)*(J$3:J$95&gt;J61)*(H$3:H$95="L5")))+1,""))))</f>
        <v/>
      </c>
      <c r="C61" s="35" t="s">
        <v>353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R61+S61+IF(OR(H61="Junior",H61="Senior"),0.0002,IF(OR(H61="L7",H61="L6"),0.0001,0))+MAX(Z61,AC61)*0.0000001</f>
        <v>85.9</v>
      </c>
      <c r="K61" s="3" t="str">
        <f>IF(G61="Not Age Eligible","",IF(MAX(T61,W61,Z61,AC61)&gt;=LOOKUP(G61,'Qualifying Scores'!$A$4:$A$7,'Qualifying Scores'!$F$4:$F$7),"P",""))</f>
        <v/>
      </c>
      <c r="L61" s="3" t="str">
        <f>IF(G61="Not Age Eligible","",IF(MAX(U61,X61,AA61,AD61)&gt;=LOOKUP(G61,'Qualifying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Scores'!$F$10:$F$13)),AND(Z61&gt;=LOOKUP(G61,'Qualifying Scores'!$A$4:$A$7,'Qualifying Scores'!$F$4:$F$7),AA61&gt;=LOOKUP(G61,'Qualifying Scores'!$A$10:$A$13,'Qualifying Scores'!$F$10:$F$13)),AND(W61&gt;=LOOKUP(G61,'Qualifying Scores'!$A$4:$A$7,'Qualifying Scores'!$F$4:$F$7),X61&gt;=LOOKUP(G61,'Qualifying Scores'!$A$10:$A$13,'Qualifying Scores'!$F$10:$F$13)),AND(AC61&gt;=LOOKUP(G61,'Qualifying Scores'!$A$4:$A$7,'Qualifying Scores'!$F$4:$F$7),AD61&gt;=LOOKUP(G61,'Qualifying Scores'!$A$10:$A$13,'Qualifying Scores'!$F$10:$F$13))),"P",""))</f>
        <v/>
      </c>
      <c r="Q61" s="1" t="str">
        <f>IF(A61&lt;5,IF(_xlfn.MAXIFS(A:A,G:G,G61)&gt;3,5-A61,_xlfn.MAXIFS(A:A,G:G,G61)+1-A61),"")</f>
        <v/>
      </c>
      <c r="R61" s="4">
        <f>MAX(T61-IF(OR(H61="Senior"),V61,0),W61-IF(OR(H61="Senior"),Y61,0),Z61-IF(OR(H61="Senior"),AB61,0),AC61-IF(OR(H61="Senior"),AE61,0))</f>
        <v>43.8</v>
      </c>
      <c r="S61" s="4">
        <f>IF(R61=T61-IF(OR(H61="Senior"),V61,0),MAX(W61-IF(OR(H61="Senior"),Y61,0),Z61-IF(OR(H61="Senior"),AB61,0),AC61-IF(OR(H61="Senior"),AE61,0)),IF(R61=W61-IF(OR(H61="Senior"),Y61,0),MAX(T61-IF(OR(H61="Senior"),V61,0),Z61-IF(OR(H61="Senior"),AB61,0),AC61-IF(OR(H61="Senior"),AE61,0)),IF(R61=Z61-IF(OR(H61="Senior"),AB61,0),MAX(T61-IF(OR(H61="Senior"),V61,0),W61-IF(OR(H61="Senior"),Y61,0),AC61-IF(OR(H61="Senior"),AE61,0)),IF(R61=AC61-IF(OR(H61="Senior"),AE61,0),MAX(T61-IF(OR(H61="Senior"),V61,0),W61-IF(OR(H61="Senior"),Y61,0),Z61-IF(OR(H61="Senior"),AB61,0)),0))))</f>
        <v>42.1</v>
      </c>
      <c r="T61" s="32">
        <v>43.8</v>
      </c>
      <c r="U61" s="37">
        <v>9.6</v>
      </c>
      <c r="V61" s="37">
        <v>0</v>
      </c>
      <c r="W61" s="33">
        <v>42.1</v>
      </c>
      <c r="X61" s="37">
        <v>6.4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$95&lt;&gt;"")*(G$3:G$95=G62)*(J$3:J$95&gt;J62)*(I$3:I$95="P"))+1,IF(O62&lt;&gt;"",SUMPRODUCT((O$3:O$95&lt;&gt;"")*(P$3:P$95="")*(G$3:G$95=G62)*(J$3:J$95&gt;J62)*(I$3:I$95="P"))+SUMPRODUCT((P$3:P$95&lt;&gt;"")*(G$3:G$95=G62)*(I$3:I$95="P"))+1,IF(N62&lt;&gt;"",SUMPRODUCT((N$3:N$95&lt;&gt;"")*(G$3:G$95=G62)*(J$3:J$95&gt;J62)*(I$3:I$95="P"))+1,IF(M62="P",SUMPRODUCT((O$3:O$95&lt;&gt;"")*(P$3:P$95="")*(G$3:G$95=G62)*(I$3:I$95="P"))+SUMPRODUCT((P$3:P$95&lt;&gt;"")*(G$3:G$95=G62)*(I$3:I$95="P"))+SUMPRODUCT((N$3:N$95&lt;&gt;"")*(G$3:G$95=G62)*(I$3:I$95="P"))+SUMPRODUCT((P$3:P$95="")*(O$3:O$95="")*(N$3:N$95="")*(M$3:M$95="P")*(G$3:G$95=G62)*(J$3:J$95&gt;J62)*(I$3:I$95="P"))+IF(H62="L5",SUMPRODUCT((P$3:P$95="")*(O$3:O$95="")*(N$3:N$95="")*(M$3:M$95="P")*(G$3:G$95=G62)*(J$3:J$95&lt;J62)*(H$3:H$95&lt;&gt;H62)*(I$3:I$95="P")),-1*SUMPRODUCT((P$3:P$95="")*(O$3:O$95="")*(N$3:N$95="")*(M$3:M$95="P")*(G$3:G$95=G62)*(J$3:J$95&gt;J62)*(H$3:H$95="L5")*(I$3:I$95="P")))+1,"")))))</f>
        <v/>
      </c>
      <c r="B62" s="1" t="str" cm="1">
        <f t="array" ref="B62">IF(P62&lt;&gt;"",SUMPRODUCT((P$3:P$95&lt;&gt;"")*(G$3:G$95=G62)*(J$3:J$95&gt;J62))+1,IF(O62&lt;&gt;"",SUMPRODUCT((O$3:O$95&lt;&gt;"")*(P$3:P$95="")*(G$3:G$95=G62)*(J$3:J$95&gt;J62))+SUMPRODUCT((P$3:P$95&lt;&gt;"")*(G$3:G$95=G62))+1,IF(N62&lt;&gt;"",SUMPRODUCT((N$3:N$95&lt;&gt;"")*(G$3:G$95=G62)*(J$3:J$95&gt;J62))+1,IF(M62="P",SUMPRODUCT((O$3:O$95&lt;&gt;"")*(P$3:P$95="")*(G$3:G$95=G62))+SUMPRODUCT((P$3:P$95&lt;&gt;"")*(G$3:G$95=G62))+SUMPRODUCT((N$3:N$95&lt;&gt;"")*(G$3:G$95=G62))+SUMPRODUCT((P$3:P$95="")*(O$3:O$95="")*(N$3:N$95="")*(M$3:M$95="P")*(G$3:G$95=G62)*(J$3:J$95&gt;J62))+IF(H62="L5",SUMPRODUCT((P$3:P$95="")*(O$3:O$95="")*(N$3:N$95="")*(M$3:M$95="P")*(G$3:G$95=G62)*(J$3:J$95&lt;J62)*(H$3:H$95&lt;&gt;H62)),-1*SUMPRODUCT((P$3:P$95="")*(O$3:O$95="")*(N$3:N$95="")*(M$3:M$95="P")*(G$3:G$95=G62)*(J$3:J$95&gt;J62)*(H$3:H$95="L5")))+1,""))))</f>
        <v/>
      </c>
      <c r="C62" s="35" t="s">
        <v>475</v>
      </c>
      <c r="D62" t="str">
        <f>IF(E62="","",VLOOKUP(E62,'Coaching Points'!A:B,2,0))</f>
        <v>AB</v>
      </c>
      <c r="E62" s="35" t="s">
        <v>28</v>
      </c>
      <c r="F62" s="34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>R62+S62+IF(OR(H62="Junior",H62="Senior"),0.0002,IF(OR(H62="L7",H62="L6"),0.0001,0))+MAX(Z62,AC62)*0.0000001</f>
        <v>85.500004360000005</v>
      </c>
      <c r="K62" s="3" t="str">
        <f>IF(G62="Not Age Eligible","",IF(MAX(T62,W62,Z62,AC62)&gt;=LOOKUP(G62,'Qualifying Scores'!$A$4:$A$7,'Qualifying Scores'!$F$4:$F$7),"P",""))</f>
        <v/>
      </c>
      <c r="L62" s="3" t="str">
        <f>IF(G62="Not Age Eligible","",IF(MAX(U62,X62,AA62,AD62)&gt;=LOOKUP(G62,'Qualifying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Scores'!$F$10:$F$13)),AND(Z62&gt;=LOOKUP(G62,'Qualifying Scores'!$A$4:$A$7,'Qualifying Scores'!$F$4:$F$7),AA62&gt;=LOOKUP(G62,'Qualifying Scores'!$A$10:$A$13,'Qualifying Scores'!$F$10:$F$13)),AND(W62&gt;=LOOKUP(G62,'Qualifying Scores'!$A$4:$A$7,'Qualifying Scores'!$F$4:$F$7),X62&gt;=LOOKUP(G62,'Qualifying Scores'!$A$10:$A$13,'Qualifying Scores'!$F$10:$F$13)),AND(AC62&gt;=LOOKUP(G62,'Qualifying Scores'!$A$4:$A$7,'Qualifying Scores'!$F$4:$F$7),AD62&gt;=LOOKUP(G62,'Qualifying Scores'!$A$10:$A$13,'Qualifying Scores'!$F$10:$F$13))),"P",""))</f>
        <v/>
      </c>
      <c r="Q62" s="1" t="str">
        <f>IF(A62&lt;5,IF(_xlfn.MAXIFS(A:A,G:G,G62)&gt;3,5-A62,_xlfn.MAXIFS(A:A,G:G,G62)+1-A62),"")</f>
        <v/>
      </c>
      <c r="R62" s="4">
        <f>MAX(T62-IF(OR(H62="Senior"),V62,0),W62-IF(OR(H62="Senior"),Y62,0),Z62-IF(OR(H62="Senior"),AB62,0),AC62-IF(OR(H62="Senior"),AE62,0))</f>
        <v>43.6</v>
      </c>
      <c r="S62" s="4">
        <f>IF(R62=T62-IF(OR(H62="Senior"),V62,0),MAX(W62-IF(OR(H62="Senior"),Y62,0),Z62-IF(OR(H62="Senior"),AB62,0),AC62-IF(OR(H62="Senior"),AE62,0)),IF(R62=W62-IF(OR(H62="Senior"),Y62,0),MAX(T62-IF(OR(H62="Senior"),V62,0),Z62-IF(OR(H62="Senior"),AB62,0),AC62-IF(OR(H62="Senior"),AE62,0)),IF(R62=Z62-IF(OR(H62="Senior"),AB62,0),MAX(T62-IF(OR(H62="Senior"),V62,0),W62-IF(OR(H62="Senior"),Y62,0),AC62-IF(OR(H62="Senior"),AE62,0)),IF(R62=AC62-IF(OR(H62="Senior"),AE62,0),MAX(T62-IF(OR(H62="Senior"),V62,0),W62-IF(OR(H62="Senior"),Y62,0),Z62-IF(OR(H62="Senior"),AB62,0)),0))))</f>
        <v>41.9</v>
      </c>
      <c r="T62" s="32"/>
      <c r="U62" s="37"/>
      <c r="V62" s="37"/>
      <c r="W62" s="33"/>
      <c r="X62" s="37"/>
      <c r="Y62" s="37"/>
      <c r="Z62" s="32">
        <v>43.6</v>
      </c>
      <c r="AA62" s="37">
        <v>7.1</v>
      </c>
      <c r="AB62" s="37">
        <v>0</v>
      </c>
      <c r="AC62" s="33">
        <v>41.9</v>
      </c>
      <c r="AD62" s="37">
        <v>5.5</v>
      </c>
      <c r="AE62" s="37">
        <v>0</v>
      </c>
    </row>
    <row r="63" spans="1:31" x14ac:dyDescent="0.2">
      <c r="A63" s="1" t="str" cm="1">
        <f t="array" ref="A63">IF(I63="","",IF(P63&lt;&gt;"",SUMPRODUCT((P$3:P$95&lt;&gt;"")*(G$3:G$95=G63)*(J$3:J$95&gt;J63)*(I$3:I$95="P"))+1,IF(O63&lt;&gt;"",SUMPRODUCT((O$3:O$95&lt;&gt;"")*(P$3:P$95="")*(G$3:G$95=G63)*(J$3:J$95&gt;J63)*(I$3:I$95="P"))+SUMPRODUCT((P$3:P$95&lt;&gt;"")*(G$3:G$95=G63)*(I$3:I$95="P"))+1,IF(N63&lt;&gt;"",SUMPRODUCT((N$3:N$95&lt;&gt;"")*(G$3:G$95=G63)*(J$3:J$95&gt;J63)*(I$3:I$95="P"))+1,IF(M63="P",SUMPRODUCT((O$3:O$95&lt;&gt;"")*(P$3:P$95="")*(G$3:G$95=G63)*(I$3:I$95="P"))+SUMPRODUCT((P$3:P$95&lt;&gt;"")*(G$3:G$95=G63)*(I$3:I$95="P"))+SUMPRODUCT((N$3:N$95&lt;&gt;"")*(G$3:G$95=G63)*(I$3:I$95="P"))+SUMPRODUCT((P$3:P$95="")*(O$3:O$95="")*(N$3:N$95="")*(M$3:M$95="P")*(G$3:G$95=G63)*(J$3:J$95&gt;J63)*(I$3:I$95="P"))+IF(H63="L5",SUMPRODUCT((P$3:P$95="")*(O$3:O$95="")*(N$3:N$95="")*(M$3:M$95="P")*(G$3:G$95=G63)*(J$3:J$95&lt;J63)*(H$3:H$95&lt;&gt;H63)*(I$3:I$95="P")),-1*SUMPRODUCT((P$3:P$95="")*(O$3:O$95="")*(N$3:N$95="")*(M$3:M$95="P")*(G$3:G$95=G63)*(J$3:J$95&gt;J63)*(H$3:H$95="L5")*(I$3:I$95="P")))+1,"")))))</f>
        <v/>
      </c>
      <c r="B63" s="1" t="str" cm="1">
        <f t="array" ref="B63">IF(P63&lt;&gt;"",SUMPRODUCT((P$3:P$95&lt;&gt;"")*(G$3:G$95=G63)*(J$3:J$95&gt;J63))+1,IF(O63&lt;&gt;"",SUMPRODUCT((O$3:O$95&lt;&gt;"")*(P$3:P$95="")*(G$3:G$95=G63)*(J$3:J$95&gt;J63))+SUMPRODUCT((P$3:P$95&lt;&gt;"")*(G$3:G$95=G63))+1,IF(N63&lt;&gt;"",SUMPRODUCT((N$3:N$95&lt;&gt;"")*(G$3:G$95=G63)*(J$3:J$95&gt;J63))+1,IF(M63="P",SUMPRODUCT((O$3:O$95&lt;&gt;"")*(P$3:P$95="")*(G$3:G$95=G63))+SUMPRODUCT((P$3:P$95&lt;&gt;"")*(G$3:G$95=G63))+SUMPRODUCT((N$3:N$95&lt;&gt;"")*(G$3:G$95=G63))+SUMPRODUCT((P$3:P$95="")*(O$3:O$95="")*(N$3:N$95="")*(M$3:M$95="P")*(G$3:G$95=G63)*(J$3:J$95&gt;J63))+IF(H63="L5",SUMPRODUCT((P$3:P$95="")*(O$3:O$95="")*(N$3:N$95="")*(M$3:M$95="P")*(G$3:G$95=G63)*(J$3:J$95&lt;J63)*(H$3:H$95&lt;&gt;H63)),-1*SUMPRODUCT((P$3:P$95="")*(O$3:O$95="")*(N$3:N$95="")*(M$3:M$95="P")*(G$3:G$95=G63)*(J$3:J$95&gt;J63)*(H$3:H$95="L5")))+1,""))))</f>
        <v/>
      </c>
      <c r="C63" s="35" t="s">
        <v>169</v>
      </c>
      <c r="D63" t="str">
        <f>IF(E63="","",VLOOKUP(E63,'Coaching Points'!A:B,2,0))</f>
        <v>NS</v>
      </c>
      <c r="E63" s="35" t="s">
        <v>86</v>
      </c>
      <c r="F63" s="34">
        <v>2010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85.500004250000003</v>
      </c>
      <c r="K63" s="3" t="str">
        <f>IF(G63="Not Age Eligible","",IF(MAX(T63,W63,Z63,AC63)&gt;=LOOKUP(G63,'Qualifying Scores'!$A$4:$A$7,'Qualifying Scores'!$F$4:$F$7),"P",""))</f>
        <v/>
      </c>
      <c r="L63" s="3" t="str">
        <f>IF(G63="Not Age Eligible","",IF(MAX(U63,X63,AA63,AD63)&gt;=LOOKUP(G63,'Qualifying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Scores'!$F$10:$F$13)),AND(Z63&gt;=LOOKUP(G63,'Qualifying Scores'!$A$4:$A$7,'Qualifying Scores'!$F$4:$F$7),AA63&gt;=LOOKUP(G63,'Qualifying Scores'!$A$10:$A$13,'Qualifying Scores'!$F$10:$F$13)),AND(W63&gt;=LOOKUP(G63,'Qualifying Scores'!$A$4:$A$7,'Qualifying Scores'!$F$4:$F$7),X63&gt;=LOOKUP(G63,'Qualifying Scores'!$A$10:$A$13,'Qualifying Scores'!$F$10:$F$13)),AND(AC63&gt;=LOOKUP(G63,'Qualifying Scores'!$A$4:$A$7,'Qualifying Scores'!$F$4:$F$7),AD63&gt;=LOOKUP(G63,'Qualifying Scores'!$A$10:$A$13,'Qualifying Scores'!$F$10:$F$13))),"P",""))</f>
        <v/>
      </c>
      <c r="Q63" s="1" t="str">
        <f>IF(A63&lt;5,IF(_xlfn.MAXIFS(A:A,G:G,G63)&gt;3,5-A63,_xlfn.MAXIFS(A:A,G:G,G63)+1-A63),"")</f>
        <v/>
      </c>
      <c r="R63" s="4">
        <f>MAX(T63-IF(OR(H63="Senior"),V63,0),W63-IF(OR(H63="Senior"),Y63,0),Z63-IF(OR(H63="Senior"),AB63,0),AC63-IF(OR(H63="Senior"),AE63,0))</f>
        <v>43</v>
      </c>
      <c r="S63" s="4">
        <f>IF(R63=T63-IF(OR(H63="Senior"),V63,0),MAX(W63-IF(OR(H63="Senior"),Y63,0),Z63-IF(OR(H63="Senior"),AB63,0),AC63-IF(OR(H63="Senior"),AE63,0)),IF(R63=W63-IF(OR(H63="Senior"),Y63,0),MAX(T63-IF(OR(H63="Senior"),V63,0),Z63-IF(OR(H63="Senior"),AB63,0),AC63-IF(OR(H63="Senior"),AE63,0)),IF(R63=Z63-IF(OR(H63="Senior"),AB63,0),MAX(T63-IF(OR(H63="Senior"),V63,0),W63-IF(OR(H63="Senior"),Y63,0),AC63-IF(OR(H63="Senior"),AE63,0)),IF(R63=AC63-IF(OR(H63="Senior"),AE63,0),MAX(T63-IF(OR(H63="Senior"),V63,0),W63-IF(OR(H63="Senior"),Y63,0),Z63-IF(OR(H63="Senior"),AB63,0)),0))))</f>
        <v>42.5</v>
      </c>
      <c r="T63" s="32">
        <v>41.9</v>
      </c>
      <c r="U63" s="37">
        <v>6.3000000000000007</v>
      </c>
      <c r="V63" s="37">
        <v>0</v>
      </c>
      <c r="W63" s="33">
        <v>43</v>
      </c>
      <c r="X63" s="37">
        <v>6.6999999999999993</v>
      </c>
      <c r="Y63" s="37">
        <v>0</v>
      </c>
      <c r="Z63" s="32">
        <v>42.5</v>
      </c>
      <c r="AA63" s="37">
        <v>7.5</v>
      </c>
      <c r="AB63" s="37">
        <v>0</v>
      </c>
      <c r="AC63" s="33"/>
      <c r="AD63" s="37"/>
      <c r="AE63" s="37"/>
    </row>
    <row r="64" spans="1:31" x14ac:dyDescent="0.2">
      <c r="A64" s="1" t="str" cm="1">
        <f t="array" ref="A64">IF(I64="","",IF(P64&lt;&gt;"",SUMPRODUCT((P$3:P$95&lt;&gt;"")*(G$3:G$95=G64)*(J$3:J$95&gt;J64)*(I$3:I$95="P"))+1,IF(O64&lt;&gt;"",SUMPRODUCT((O$3:O$95&lt;&gt;"")*(P$3:P$95="")*(G$3:G$95=G64)*(J$3:J$95&gt;J64)*(I$3:I$95="P"))+SUMPRODUCT((P$3:P$95&lt;&gt;"")*(G$3:G$95=G64)*(I$3:I$95="P"))+1,IF(N64&lt;&gt;"",SUMPRODUCT((N$3:N$95&lt;&gt;"")*(G$3:G$95=G64)*(J$3:J$95&gt;J64)*(I$3:I$95="P"))+1,IF(M64="P",SUMPRODUCT((O$3:O$95&lt;&gt;"")*(P$3:P$95="")*(G$3:G$95=G64)*(I$3:I$95="P"))+SUMPRODUCT((P$3:P$95&lt;&gt;"")*(G$3:G$95=G64)*(I$3:I$95="P"))+SUMPRODUCT((N$3:N$95&lt;&gt;"")*(G$3:G$95=G64)*(I$3:I$95="P"))+SUMPRODUCT((P$3:P$95="")*(O$3:O$95="")*(N$3:N$95="")*(M$3:M$95="P")*(G$3:G$95=G64)*(J$3:J$95&gt;J64)*(I$3:I$95="P"))+IF(H64="L5",SUMPRODUCT((P$3:P$95="")*(O$3:O$95="")*(N$3:N$95="")*(M$3:M$95="P")*(G$3:G$95=G64)*(J$3:J$95&lt;J64)*(H$3:H$95&lt;&gt;H64)*(I$3:I$95="P")),-1*SUMPRODUCT((P$3:P$95="")*(O$3:O$95="")*(N$3:N$95="")*(M$3:M$95="P")*(G$3:G$95=G64)*(J$3:J$95&gt;J64)*(H$3:H$95="L5")*(I$3:I$95="P")))+1,"")))))</f>
        <v/>
      </c>
      <c r="B64" s="1" t="str" cm="1">
        <f t="array" ref="B64">IF(P64&lt;&gt;"",SUMPRODUCT((P$3:P$95&lt;&gt;"")*(G$3:G$95=G64)*(J$3:J$95&gt;J64))+1,IF(O64&lt;&gt;"",SUMPRODUCT((O$3:O$95&lt;&gt;"")*(P$3:P$95="")*(G$3:G$95=G64)*(J$3:J$95&gt;J64))+SUMPRODUCT((P$3:P$95&lt;&gt;"")*(G$3:G$95=G64))+1,IF(N64&lt;&gt;"",SUMPRODUCT((N$3:N$95&lt;&gt;"")*(G$3:G$95=G64)*(J$3:J$95&gt;J64))+1,IF(M64="P",SUMPRODUCT((O$3:O$95&lt;&gt;"")*(P$3:P$95="")*(G$3:G$95=G64))+SUMPRODUCT((P$3:P$95&lt;&gt;"")*(G$3:G$95=G64))+SUMPRODUCT((N$3:N$95&lt;&gt;"")*(G$3:G$95=G64))+SUMPRODUCT((P$3:P$95="")*(O$3:O$95="")*(N$3:N$95="")*(M$3:M$95="P")*(G$3:G$95=G64)*(J$3:J$95&gt;J64))+IF(H64="L5",SUMPRODUCT((P$3:P$95="")*(O$3:O$95="")*(N$3:N$95="")*(M$3:M$95="P")*(G$3:G$95=G64)*(J$3:J$95&lt;J64)*(H$3:H$95&lt;&gt;H64)),-1*SUMPRODUCT((P$3:P$95="")*(O$3:O$95="")*(N$3:N$95="")*(M$3:M$95="P")*(G$3:G$95=G64)*(J$3:J$95&gt;J64)*(H$3:H$95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214</v>
      </c>
      <c r="I64" s="40"/>
      <c r="J64" s="4">
        <f>R64+S64+IF(OR(H64="Junior",H64="Senior"),0.0002,IF(OR(H64="L7",H64="L6"),0.0001,0))+MAX(Z64,AC64)*0.0000001</f>
        <v>84.1</v>
      </c>
      <c r="K64" s="3" t="str">
        <f>IF(G64="Not Age Eligible","",IF(MAX(T64,W64,Z64,AC64)&gt;=LOOKUP(G64,'Qualifying Scores'!$A$4:$A$7,'Qualifying Scores'!$F$4:$F$7),"P",""))</f>
        <v/>
      </c>
      <c r="L64" s="3" t="str">
        <f>IF(G64="Not Age Eligible","",IF(MAX(U64,X64,AA64,AD64)&gt;=LOOKUP(G64,'Qualifying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Scores'!$F$10:$F$13)),AND(Z64&gt;=LOOKUP(G64,'Qualifying Scores'!$A$4:$A$7,'Qualifying Scores'!$F$4:$F$7),AA64&gt;=LOOKUP(G64,'Qualifying Scores'!$A$10:$A$13,'Qualifying Scores'!$F$10:$F$13)),AND(W64&gt;=LOOKUP(G64,'Qualifying Scores'!$A$4:$A$7,'Qualifying Scores'!$F$4:$F$7),X64&gt;=LOOKUP(G64,'Qualifying Scores'!$A$10:$A$13,'Qualifying Scores'!$F$10:$F$13)),AND(AC64&gt;=LOOKUP(G64,'Qualifying Scores'!$A$4:$A$7,'Qualifying Scores'!$F$4:$F$7),AD64&gt;=LOOKUP(G64,'Qualifying Scores'!$A$10:$A$13,'Qualifying Scores'!$F$10:$F$13))),"P",""))</f>
        <v/>
      </c>
      <c r="Q64" s="1" t="str">
        <f>IF(A64&lt;5,IF(_xlfn.MAXIFS(A:A,G:G,G64)&gt;3,5-A64,_xlfn.MAXIFS(A:A,G:G,G64)+1-A64),"")</f>
        <v/>
      </c>
      <c r="R64" s="4">
        <f>MAX(T64-IF(OR(H64="Senior"),V64,0),W64-IF(OR(H64="Senior"),Y64,0),Z64-IF(OR(H64="Senior"),AB64,0),AC64-IF(OR(H64="Senior"),AE64,0))</f>
        <v>42.3</v>
      </c>
      <c r="S64" s="4">
        <f>IF(R64=T64-IF(OR(H64="Senior"),V64,0),MAX(W64-IF(OR(H64="Senior"),Y64,0),Z64-IF(OR(H64="Senior"),AB64,0),AC64-IF(OR(H64="Senior"),AE64,0)),IF(R64=W64-IF(OR(H64="Senior"),Y64,0),MAX(T64-IF(OR(H64="Senior"),V64,0),Z64-IF(OR(H64="Senior"),AB64,0),AC64-IF(OR(H64="Senior"),AE64,0)),IF(R64=Z64-IF(OR(H64="Senior"),AB64,0),MAX(T64-IF(OR(H64="Senior"),V64,0),W64-IF(OR(H64="Senior"),Y64,0),AC64-IF(OR(H64="Senior"),AE64,0)),IF(R64=AC64-IF(OR(H64="Senior"),AE64,0),MAX(T64-IF(OR(H64="Senior"),V64,0),W64-IF(OR(H64="Senior"),Y64,0),Z64-IF(OR(H64="Senior"),AB64,0)),0))))</f>
        <v>41.8</v>
      </c>
      <c r="T64" s="32">
        <v>41.8</v>
      </c>
      <c r="U64" s="37">
        <v>6.1</v>
      </c>
      <c r="V64" s="37">
        <v>0</v>
      </c>
      <c r="W64" s="33">
        <v>42.3</v>
      </c>
      <c r="X64" s="37">
        <v>6.7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$95&lt;&gt;"")*(G$3:G$95=G65)*(J$3:J$95&gt;J65)*(I$3:I$95="P"))+1,IF(O65&lt;&gt;"",SUMPRODUCT((O$3:O$95&lt;&gt;"")*(P$3:P$95="")*(G$3:G$95=G65)*(J$3:J$95&gt;J65)*(I$3:I$95="P"))+SUMPRODUCT((P$3:P$95&lt;&gt;"")*(G$3:G$95=G65)*(I$3:I$95="P"))+1,IF(N65&lt;&gt;"",SUMPRODUCT((N$3:N$95&lt;&gt;"")*(G$3:G$95=G65)*(J$3:J$95&gt;J65)*(I$3:I$95="P"))+1,IF(M65="P",SUMPRODUCT((O$3:O$95&lt;&gt;"")*(P$3:P$95="")*(G$3:G$95=G65)*(I$3:I$95="P"))+SUMPRODUCT((P$3:P$95&lt;&gt;"")*(G$3:G$95=G65)*(I$3:I$95="P"))+SUMPRODUCT((N$3:N$95&lt;&gt;"")*(G$3:G$95=G65)*(I$3:I$95="P"))+SUMPRODUCT((P$3:P$95="")*(O$3:O$95="")*(N$3:N$95="")*(M$3:M$95="P")*(G$3:G$95=G65)*(J$3:J$95&gt;J65)*(I$3:I$95="P"))+IF(H65="L5",SUMPRODUCT((P$3:P$95="")*(O$3:O$95="")*(N$3:N$95="")*(M$3:M$95="P")*(G$3:G$95=G65)*(J$3:J$95&lt;J65)*(H$3:H$95&lt;&gt;H65)*(I$3:I$95="P")),-1*SUMPRODUCT((P$3:P$95="")*(O$3:O$95="")*(N$3:N$95="")*(M$3:M$95="P")*(G$3:G$95=G65)*(J$3:J$95&gt;J65)*(H$3:H$95="L5")*(I$3:I$95="P")))+1,"")))))</f>
        <v/>
      </c>
      <c r="B65" s="1" t="str" cm="1">
        <f t="array" ref="B65">IF(P65&lt;&gt;"",SUMPRODUCT((P$3:P$95&lt;&gt;"")*(G$3:G$95=G65)*(J$3:J$95&gt;J65))+1,IF(O65&lt;&gt;"",SUMPRODUCT((O$3:O$95&lt;&gt;"")*(P$3:P$95="")*(G$3:G$95=G65)*(J$3:J$95&gt;J65))+SUMPRODUCT((P$3:P$95&lt;&gt;"")*(G$3:G$95=G65))+1,IF(N65&lt;&gt;"",SUMPRODUCT((N$3:N$95&lt;&gt;"")*(G$3:G$95=G65)*(J$3:J$95&gt;J65))+1,IF(M65="P",SUMPRODUCT((O$3:O$95&lt;&gt;"")*(P$3:P$95="")*(G$3:G$95=G65))+SUMPRODUCT((P$3:P$95&lt;&gt;"")*(G$3:G$95=G65))+SUMPRODUCT((N$3:N$95&lt;&gt;"")*(G$3:G$95=G65))+SUMPRODUCT((P$3:P$95="")*(O$3:O$95="")*(N$3:N$95="")*(M$3:M$95="P")*(G$3:G$95=G65)*(J$3:J$95&gt;J65))+IF(H65="L5",SUMPRODUCT((P$3:P$95="")*(O$3:O$95="")*(N$3:N$95="")*(M$3:M$95="P")*(G$3:G$95=G65)*(J$3:J$95&lt;J65)*(H$3:H$95&lt;&gt;H65)),-1*SUMPRODUCT((P$3:P$95="")*(O$3:O$95="")*(N$3:N$95="")*(M$3:M$95="P")*(G$3:G$95=G65)*(J$3:J$95&gt;J65)*(H$3:H$95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211</v>
      </c>
      <c r="I65" s="40"/>
      <c r="J65" s="4">
        <f>R65+S65+IF(OR(H65="Junior",H65="Senior"),0.0002,IF(OR(H65="L7",H65="L6"),0.0001,0))+MAX(Z65,AC65)*0.0000001</f>
        <v>83.930200000000013</v>
      </c>
      <c r="K65" s="3" t="str">
        <f>IF(G65="Not Age Eligible","",IF(MAX(T65,W65,Z65,AC65)&gt;=LOOKUP(G65,'Qualifying Scores'!$A$4:$A$7,'Qualifying Scores'!$F$4:$F$7),"P",""))</f>
        <v/>
      </c>
      <c r="L65" s="3" t="str">
        <f>IF(G65="Not Age Eligible","",IF(MAX(U65,X65,AA65,AD65)&gt;=LOOKUP(G65,'Qualifying Scores'!$A$10:$A$13,'Qualifying Scores'!$F$10:$F$13),"P",""))</f>
        <v/>
      </c>
      <c r="M65" s="3" t="str">
        <f>IF(G65="Not Age Eligible","",IF(OR(AND(T65&gt;=LOOKUP(G65,'Qualifying Scores'!$A$4:$A$7,'Qualifying Scores'!$F$4:$F$7),U65&gt;=LOOKUP(G65,'Qualifying Scores'!$A$10:$A$13,'Qualifying Scores'!$F$10:$F$13)),AND(Z65&gt;=LOOKUP(G65,'Qualifying Scores'!$A$4:$A$7,'Qualifying Scores'!$F$4:$F$7),AA65&gt;=LOOKUP(G65,'Qualifying Scores'!$A$10:$A$13,'Qualifying Scores'!$F$10:$F$13)),AND(W65&gt;=LOOKUP(G65,'Qualifying Scores'!$A$4:$A$7,'Qualifying Scores'!$F$4:$F$7),X65&gt;=LOOKUP(G65,'Qualifying Scores'!$A$10:$A$13,'Qualifying Scores'!$F$10:$F$13)),AND(AC65&gt;=LOOKUP(G65,'Qualifying Scores'!$A$4:$A$7,'Qualifying Scores'!$F$4:$F$7),AD65&gt;=LOOKUP(G65,'Qualifying Scores'!$A$10:$A$13,'Qualifying Scores'!$F$10:$F$13))),"P",""))</f>
        <v/>
      </c>
      <c r="Q65" s="1" t="str">
        <f>IF(A65&lt;5,IF(_xlfn.MAXIFS(A:A,G:G,G65)&gt;3,5-A65,_xlfn.MAXIFS(A:A,G:G,G65)+1-A65),"")</f>
        <v/>
      </c>
      <c r="R65" s="4">
        <f>MAX(T65-IF(OR(H65="Senior"),V65,0),W65-IF(OR(H65="Senior"),Y65,0),Z65-IF(OR(H65="Senior"),AB65,0),AC65-IF(OR(H65="Senior"),AE65,0))</f>
        <v>44.63</v>
      </c>
      <c r="S65" s="4">
        <f>IF(R65=T65-IF(OR(H65="Senior"),V65,0),MAX(W65-IF(OR(H65="Senior"),Y65,0),Z65-IF(OR(H65="Senior"),AB65,0),AC65-IF(OR(H65="Senior"),AE65,0)),IF(R65=W65-IF(OR(H65="Senior"),Y65,0),MAX(T65-IF(OR(H65="Senior"),V65,0),Z65-IF(OR(H65="Senior"),AB65,0),AC65-IF(OR(H65="Senior"),AE65,0)),IF(R65=Z65-IF(OR(H65="Senior"),AB65,0),MAX(T65-IF(OR(H65="Senior"),V65,0),W65-IF(OR(H65="Senior"),Y65,0),AC65-IF(OR(H65="Senior"),AE65,0)),IF(R65=AC65-IF(OR(H65="Senior"),AE65,0),MAX(T65-IF(OR(H65="Senior"),V65,0),W65-IF(OR(H65="Senior"),Y65,0),Z65-IF(OR(H65="Senior"),AB65,0)),0))))</f>
        <v>39.299999999999997</v>
      </c>
      <c r="T65" s="32">
        <v>44.63</v>
      </c>
      <c r="U65" s="37">
        <v>10</v>
      </c>
      <c r="V65" s="37">
        <v>0</v>
      </c>
      <c r="W65" s="33">
        <v>39.299999999999997</v>
      </c>
      <c r="X65" s="37">
        <v>8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$95&lt;&gt;"")*(G$3:G$95=G66)*(J$3:J$95&gt;J66)*(I$3:I$95="P"))+1,IF(O66&lt;&gt;"",SUMPRODUCT((O$3:O$95&lt;&gt;"")*(P$3:P$95="")*(G$3:G$95=G66)*(J$3:J$95&gt;J66)*(I$3:I$95="P"))+SUMPRODUCT((P$3:P$95&lt;&gt;"")*(G$3:G$95=G66)*(I$3:I$95="P"))+1,IF(N66&lt;&gt;"",SUMPRODUCT((N$3:N$95&lt;&gt;"")*(G$3:G$95=G66)*(J$3:J$95&gt;J66)*(I$3:I$95="P"))+1,IF(M66="P",SUMPRODUCT((O$3:O$95&lt;&gt;"")*(P$3:P$95="")*(G$3:G$95=G66)*(I$3:I$95="P"))+SUMPRODUCT((P$3:P$95&lt;&gt;"")*(G$3:G$95=G66)*(I$3:I$95="P"))+SUMPRODUCT((N$3:N$95&lt;&gt;"")*(G$3:G$95=G66)*(I$3:I$95="P"))+SUMPRODUCT((P$3:P$95="")*(O$3:O$95="")*(N$3:N$95="")*(M$3:M$95="P")*(G$3:G$95=G66)*(J$3:J$95&gt;J66)*(I$3:I$95="P"))+IF(H66="L5",SUMPRODUCT((P$3:P$95="")*(O$3:O$95="")*(N$3:N$95="")*(M$3:M$95="P")*(G$3:G$95=G66)*(J$3:J$95&lt;J66)*(H$3:H$95&lt;&gt;H66)*(I$3:I$95="P")),-1*SUMPRODUCT((P$3:P$95="")*(O$3:O$95="")*(N$3:N$95="")*(M$3:M$95="P")*(G$3:G$95=G66)*(J$3:J$95&gt;J66)*(H$3:H$95="L5")*(I$3:I$95="P")))+1,"")))))</f>
        <v/>
      </c>
      <c r="B66" s="1" t="str" cm="1">
        <f t="array" ref="B66">IF(P66&lt;&gt;"",SUMPRODUCT((P$3:P$95&lt;&gt;"")*(G$3:G$95=G66)*(J$3:J$95&gt;J66))+1,IF(O66&lt;&gt;"",SUMPRODUCT((O$3:O$95&lt;&gt;"")*(P$3:P$95="")*(G$3:G$95=G66)*(J$3:J$95&gt;J66))+SUMPRODUCT((P$3:P$95&lt;&gt;"")*(G$3:G$95=G66))+1,IF(N66&lt;&gt;"",SUMPRODUCT((N$3:N$95&lt;&gt;"")*(G$3:G$95=G66)*(J$3:J$95&gt;J66))+1,IF(M66="P",SUMPRODUCT((O$3:O$95&lt;&gt;"")*(P$3:P$95="")*(G$3:G$95=G66))+SUMPRODUCT((P$3:P$95&lt;&gt;"")*(G$3:G$95=G66))+SUMPRODUCT((N$3:N$95&lt;&gt;"")*(G$3:G$95=G66))+SUMPRODUCT((P$3:P$95="")*(O$3:O$95="")*(N$3:N$95="")*(M$3:M$95="P")*(G$3:G$95=G66)*(J$3:J$95&gt;J66))+IF(H66="L5",SUMPRODUCT((P$3:P$95="")*(O$3:O$95="")*(N$3:N$95="")*(M$3:M$95="P")*(G$3:G$95=G66)*(J$3:J$95&lt;J66)*(H$3:H$95&lt;&gt;H66)),-1*SUMPRODUCT((P$3:P$95="")*(O$3:O$95="")*(N$3:N$95="")*(M$3:M$95="P")*(G$3:G$95=G66)*(J$3:J$95&gt;J66)*(H$3:H$95="L5")))+1,""))))</f>
        <v/>
      </c>
      <c r="C66" s="35" t="s">
        <v>337</v>
      </c>
      <c r="D66" t="str">
        <f>IF(E66="","",VLOOKUP(E66,'Coaching Points'!A:B,2,0))</f>
        <v>NS</v>
      </c>
      <c r="E66" s="35" t="s">
        <v>86</v>
      </c>
      <c r="F66" s="34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R66+S66+IF(OR(H66="Junior",H66="Senior"),0.0002,IF(OR(H66="L7",H66="L6"),0.0001,0))+MAX(Z66,AC66)*0.0000001</f>
        <v>83.10000380999999</v>
      </c>
      <c r="K66" s="3" t="str">
        <f>IF(G66="Not Age Eligible","",IF(MAX(T66,W66,Z66,AC66)&gt;=LOOKUP(G66,'Qualifying Scores'!$A$4:$A$7,'Qualifying Scores'!$F$4:$F$7),"P",""))</f>
        <v/>
      </c>
      <c r="L66" s="3" t="str">
        <f>IF(G66="Not Age Eligible","",IF(MAX(U66,X66,AA66,AD66)&gt;=LOOKUP(G66,'Qualifying Scores'!$A$10:$A$13,'Qualifying Scores'!$F$10:$F$13),"P",""))</f>
        <v/>
      </c>
      <c r="M66" s="3" t="str">
        <f>IF(G66="Not Age Eligible","",IF(OR(AND(T66&gt;=LOOKUP(G66,'Qualifying Scores'!$A$4:$A$7,'Qualifying Scores'!$F$4:$F$7),U66&gt;=LOOKUP(G66,'Qualifying Scores'!$A$10:$A$13,'Qualifying Scores'!$F$10:$F$13)),AND(Z66&gt;=LOOKUP(G66,'Qualifying Scores'!$A$4:$A$7,'Qualifying Scores'!$F$4:$F$7),AA66&gt;=LOOKUP(G66,'Qualifying Scores'!$A$10:$A$13,'Qualifying Scores'!$F$10:$F$13)),AND(W66&gt;=LOOKUP(G66,'Qualifying Scores'!$A$4:$A$7,'Qualifying Scores'!$F$4:$F$7),X66&gt;=LOOKUP(G66,'Qualifying Scores'!$A$10:$A$13,'Qualifying Scores'!$F$10:$F$13)),AND(AC66&gt;=LOOKUP(G66,'Qualifying Scores'!$A$4:$A$7,'Qualifying Scores'!$F$4:$F$7),AD66&gt;=LOOKUP(G66,'Qualifying Scores'!$A$10:$A$13,'Qualifying Scores'!$F$10:$F$13))),"P",""))</f>
        <v/>
      </c>
      <c r="Q66" s="1" t="str">
        <f>IF(A66&lt;5,IF(_xlfn.MAXIFS(A:A,G:G,G66)&gt;3,5-A66,_xlfn.MAXIFS(A:A,G:G,G66)+1-A66),"")</f>
        <v/>
      </c>
      <c r="R66" s="4">
        <f>MAX(T66-IF(OR(H66="Senior"),V66,0),W66-IF(OR(H66="Senior"),Y66,0),Z66-IF(OR(H66="Senior"),AB66,0),AC66-IF(OR(H66="Senior"),AE66,0))</f>
        <v>42.2</v>
      </c>
      <c r="S66" s="4">
        <f>IF(R66=T66-IF(OR(H66="Senior"),V66,0),MAX(W66-IF(OR(H66="Senior"),Y66,0),Z66-IF(OR(H66="Senior"),AB66,0),AC66-IF(OR(H66="Senior"),AE66,0)),IF(R66=W66-IF(OR(H66="Senior"),Y66,0),MAX(T66-IF(OR(H66="Senior"),V66,0),Z66-IF(OR(H66="Senior"),AB66,0),AC66-IF(OR(H66="Senior"),AE66,0)),IF(R66=Z66-IF(OR(H66="Senior"),AB66,0),MAX(T66-IF(OR(H66="Senior"),V66,0),W66-IF(OR(H66="Senior"),Y66,0),AC66-IF(OR(H66="Senior"),AE66,0)),IF(R66=AC66-IF(OR(H66="Senior"),AE66,0),MAX(T66-IF(OR(H66="Senior"),V66,0),W66-IF(OR(H66="Senior"),Y66,0),Z66-IF(OR(H66="Senior"),AB66,0)),0))))</f>
        <v>40.9</v>
      </c>
      <c r="T66" s="32">
        <v>40.9</v>
      </c>
      <c r="U66" s="37">
        <v>5.8000000000000007</v>
      </c>
      <c r="V66" s="37">
        <v>0</v>
      </c>
      <c r="W66" s="33">
        <v>42.2</v>
      </c>
      <c r="X66" s="37">
        <v>6.3</v>
      </c>
      <c r="Y66" s="37">
        <v>0</v>
      </c>
      <c r="Z66" s="32">
        <v>38.1</v>
      </c>
      <c r="AA66" s="37">
        <v>5.5</v>
      </c>
      <c r="AB66" s="37">
        <v>0</v>
      </c>
      <c r="AC66" s="33"/>
      <c r="AD66" s="37"/>
      <c r="AE66" s="37"/>
    </row>
    <row r="67" spans="1:31" x14ac:dyDescent="0.2">
      <c r="A67" s="1" t="str" cm="1">
        <f t="array" ref="A67">IF(I67="","",IF(P67&lt;&gt;"",SUMPRODUCT((P$3:P$95&lt;&gt;"")*(G$3:G$95=G67)*(J$3:J$95&gt;J67)*(I$3:I$95="P"))+1,IF(O67&lt;&gt;"",SUMPRODUCT((O$3:O$95&lt;&gt;"")*(P$3:P$95="")*(G$3:G$95=G67)*(J$3:J$95&gt;J67)*(I$3:I$95="P"))+SUMPRODUCT((P$3:P$95&lt;&gt;"")*(G$3:G$95=G67)*(I$3:I$95="P"))+1,IF(N67&lt;&gt;"",SUMPRODUCT((N$3:N$95&lt;&gt;"")*(G$3:G$95=G67)*(J$3:J$95&gt;J67)*(I$3:I$95="P"))+1,IF(M67="P",SUMPRODUCT((O$3:O$95&lt;&gt;"")*(P$3:P$95="")*(G$3:G$95=G67)*(I$3:I$95="P"))+SUMPRODUCT((P$3:P$95&lt;&gt;"")*(G$3:G$95=G67)*(I$3:I$95="P"))+SUMPRODUCT((N$3:N$95&lt;&gt;"")*(G$3:G$95=G67)*(I$3:I$95="P"))+SUMPRODUCT((P$3:P$95="")*(O$3:O$95="")*(N$3:N$95="")*(M$3:M$95="P")*(G$3:G$95=G67)*(J$3:J$95&gt;J67)*(I$3:I$95="P"))+IF(H67="L5",SUMPRODUCT((P$3:P$95="")*(O$3:O$95="")*(N$3:N$95="")*(M$3:M$95="P")*(G$3:G$95=G67)*(J$3:J$95&lt;J67)*(H$3:H$95&lt;&gt;H67)*(I$3:I$95="P")),-1*SUMPRODUCT((P$3:P$95="")*(O$3:O$95="")*(N$3:N$95="")*(M$3:M$95="P")*(G$3:G$95=G67)*(J$3:J$95&gt;J67)*(H$3:H$95="L5")*(I$3:I$95="P")))+1,"")))))</f>
        <v/>
      </c>
      <c r="B67" s="1" t="str" cm="1">
        <f t="array" ref="B67">IF(P67&lt;&gt;"",SUMPRODUCT((P$3:P$95&lt;&gt;"")*(G$3:G$95=G67)*(J$3:J$95&gt;J67))+1,IF(O67&lt;&gt;"",SUMPRODUCT((O$3:O$95&lt;&gt;"")*(P$3:P$95="")*(G$3:G$95=G67)*(J$3:J$95&gt;J67))+SUMPRODUCT((P$3:P$95&lt;&gt;"")*(G$3:G$95=G67))+1,IF(N67&lt;&gt;"",SUMPRODUCT((N$3:N$95&lt;&gt;"")*(G$3:G$95=G67)*(J$3:J$95&gt;J67))+1,IF(M67="P",SUMPRODUCT((O$3:O$95&lt;&gt;"")*(P$3:P$95="")*(G$3:G$95=G67))+SUMPRODUCT((P$3:P$95&lt;&gt;"")*(G$3:G$95=G67))+SUMPRODUCT((N$3:N$95&lt;&gt;"")*(G$3:G$95=G67))+SUMPRODUCT((P$3:P$95="")*(O$3:O$95="")*(N$3:N$95="")*(M$3:M$95="P")*(G$3:G$95=G67)*(J$3:J$95&gt;J67))+IF(H67="L5",SUMPRODUCT((P$3:P$95="")*(O$3:O$95="")*(N$3:N$95="")*(M$3:M$95="P")*(G$3:G$95=G67)*(J$3:J$95&lt;J67)*(H$3:H$95&lt;&gt;H67)),-1*SUMPRODUCT((P$3:P$95="")*(O$3:O$95="")*(N$3:N$95="")*(M$3:M$95="P")*(G$3:G$95=G67)*(J$3:J$95&gt;J67)*(H$3:H$95="L5")))+1,""))))</f>
        <v/>
      </c>
      <c r="C67" s="35" t="s">
        <v>157</v>
      </c>
      <c r="D67" t="str">
        <f>IF(E67="","",VLOOKUP(E67,'Coaching Points'!A:B,2,0))</f>
        <v>AB</v>
      </c>
      <c r="E67" s="35" t="s">
        <v>28</v>
      </c>
      <c r="F67" s="34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211</v>
      </c>
      <c r="I67" s="40"/>
      <c r="J67" s="4">
        <f>R67+S67+IF(OR(H67="Junior",H67="Senior"),0.0002,IF(OR(H67="L7",H67="L6"),0.0001,0))+MAX(Z67,AC67)*0.0000001</f>
        <v>82.000204170000004</v>
      </c>
      <c r="K67" s="3" t="str">
        <f>IF(G67="Not Age Eligible","",IF(MAX(T67,W67,Z67,AC67)&gt;=LOOKUP(G67,'Qualifying Scores'!$A$4:$A$7,'Qualifying Scores'!$F$4:$F$7),"P",""))</f>
        <v/>
      </c>
      <c r="L67" s="3" t="str">
        <f>IF(G67="Not Age Eligible","",IF(MAX(U67,X67,AA67,AD67)&gt;=LOOKUP(G67,'Qualifying Scores'!$A$10:$A$13,'Qualifying Scores'!$F$10:$F$13),"P",""))</f>
        <v/>
      </c>
      <c r="M67" s="3" t="str">
        <f>IF(G67="Not Age Eligible","",IF(OR(AND(T67&gt;=LOOKUP(G67,'Qualifying Scores'!$A$4:$A$7,'Qualifying Scores'!$F$4:$F$7),U67&gt;=LOOKUP(G67,'Qualifying Scores'!$A$10:$A$13,'Qualifying Scores'!$F$10:$F$13)),AND(Z67&gt;=LOOKUP(G67,'Qualifying Scores'!$A$4:$A$7,'Qualifying Scores'!$F$4:$F$7),AA67&gt;=LOOKUP(G67,'Qualifying Scores'!$A$10:$A$13,'Qualifying Scores'!$F$10:$F$13)),AND(W67&gt;=LOOKUP(G67,'Qualifying Scores'!$A$4:$A$7,'Qualifying Scores'!$F$4:$F$7),X67&gt;=LOOKUP(G67,'Qualifying Scores'!$A$10:$A$13,'Qualifying Scores'!$F$10:$F$13)),AND(AC67&gt;=LOOKUP(G67,'Qualifying Scores'!$A$4:$A$7,'Qualifying Scores'!$F$4:$F$7),AD67&gt;=LOOKUP(G67,'Qualifying Scores'!$A$10:$A$13,'Qualifying Scores'!$F$10:$F$13))),"P",""))</f>
        <v/>
      </c>
      <c r="Q67" s="1" t="str">
        <f>IF(A67&lt;5,IF(_xlfn.MAXIFS(A:A,G:G,G67)&gt;3,5-A67,_xlfn.MAXIFS(A:A,G:G,G67)+1-A67),"")</f>
        <v/>
      </c>
      <c r="R67" s="4">
        <f>MAX(T67-IF(OR(H67="Senior"),V67,0),W67-IF(OR(H67="Senior"),Y67,0),Z67-IF(OR(H67="Senior"),AB67,0),AC67-IF(OR(H67="Senior"),AE67,0))</f>
        <v>41.7</v>
      </c>
      <c r="S67" s="4">
        <f>IF(R67=T67-IF(OR(H67="Senior"),V67,0),MAX(W67-IF(OR(H67="Senior"),Y67,0),Z67-IF(OR(H67="Senior"),AB67,0),AC67-IF(OR(H67="Senior"),AE67,0)),IF(R67=W67-IF(OR(H67="Senior"),Y67,0),MAX(T67-IF(OR(H67="Senior"),V67,0),Z67-IF(OR(H67="Senior"),AB67,0),AC67-IF(OR(H67="Senior"),AE67,0)),IF(R67=Z67-IF(OR(H67="Senior"),AB67,0),MAX(T67-IF(OR(H67="Senior"),V67,0),W67-IF(OR(H67="Senior"),Y67,0),AC67-IF(OR(H67="Senior"),AE67,0)),IF(R67=AC67-IF(OR(H67="Senior"),AE67,0),MAX(T67-IF(OR(H67="Senior"),V67,0),W67-IF(OR(H67="Senior"),Y67,0),Z67-IF(OR(H67="Senior"),AB67,0)),0))))</f>
        <v>40.299999999999997</v>
      </c>
      <c r="T67" s="32">
        <v>22.9</v>
      </c>
      <c r="U67" s="37">
        <v>6.4</v>
      </c>
      <c r="V67" s="37">
        <v>0</v>
      </c>
      <c r="W67" s="33"/>
      <c r="X67" s="37"/>
      <c r="Y67" s="37"/>
      <c r="Z67" s="32">
        <v>41.7</v>
      </c>
      <c r="AA67" s="37">
        <v>8.8000000000000007</v>
      </c>
      <c r="AB67" s="37">
        <v>0</v>
      </c>
      <c r="AC67" s="33">
        <v>40.299999999999997</v>
      </c>
      <c r="AD67" s="37">
        <v>8</v>
      </c>
      <c r="AE67" s="37">
        <v>0</v>
      </c>
    </row>
    <row r="68" spans="1:31" x14ac:dyDescent="0.2">
      <c r="A68" s="1" t="str" cm="1">
        <f t="array" ref="A68">IF(I68="","",IF(P68&lt;&gt;"",SUMPRODUCT((P$3:P$95&lt;&gt;"")*(G$3:G$95=G68)*(J$3:J$95&gt;J68)*(I$3:I$95="P"))+1,IF(O68&lt;&gt;"",SUMPRODUCT((O$3:O$95&lt;&gt;"")*(P$3:P$95="")*(G$3:G$95=G68)*(J$3:J$95&gt;J68)*(I$3:I$95="P"))+SUMPRODUCT((P$3:P$95&lt;&gt;"")*(G$3:G$95=G68)*(I$3:I$95="P"))+1,IF(N68&lt;&gt;"",SUMPRODUCT((N$3:N$95&lt;&gt;"")*(G$3:G$95=G68)*(J$3:J$95&gt;J68)*(I$3:I$95="P"))+1,IF(M68="P",SUMPRODUCT((O$3:O$95&lt;&gt;"")*(P$3:P$95="")*(G$3:G$95=G68)*(I$3:I$95="P"))+SUMPRODUCT((P$3:P$95&lt;&gt;"")*(G$3:G$95=G68)*(I$3:I$95="P"))+SUMPRODUCT((N$3:N$95&lt;&gt;"")*(G$3:G$95=G68)*(I$3:I$95="P"))+SUMPRODUCT((P$3:P$95="")*(O$3:O$95="")*(N$3:N$95="")*(M$3:M$95="P")*(G$3:G$95=G68)*(J$3:J$95&gt;J68)*(I$3:I$95="P"))+IF(H68="L5",SUMPRODUCT((P$3:P$95="")*(O$3:O$95="")*(N$3:N$95="")*(M$3:M$95="P")*(G$3:G$95=G68)*(J$3:J$95&lt;J68)*(H$3:H$95&lt;&gt;H68)*(I$3:I$95="P")),-1*SUMPRODUCT((P$3:P$95="")*(O$3:O$95="")*(N$3:N$95="")*(M$3:M$95="P")*(G$3:G$95=G68)*(J$3:J$95&gt;J68)*(H$3:H$95="L5")*(I$3:I$95="P")))+1,"")))))</f>
        <v/>
      </c>
      <c r="B68" s="1" t="str" cm="1">
        <f t="array" ref="B68">IF(P68&lt;&gt;"",SUMPRODUCT((P$3:P$95&lt;&gt;"")*(G$3:G$95=G68)*(J$3:J$95&gt;J68))+1,IF(O68&lt;&gt;"",SUMPRODUCT((O$3:O$95&lt;&gt;"")*(P$3:P$95="")*(G$3:G$95=G68)*(J$3:J$95&gt;J68))+SUMPRODUCT((P$3:P$95&lt;&gt;"")*(G$3:G$95=G68))+1,IF(N68&lt;&gt;"",SUMPRODUCT((N$3:N$95&lt;&gt;"")*(G$3:G$95=G68)*(J$3:J$95&gt;J68))+1,IF(M68="P",SUMPRODUCT((O$3:O$95&lt;&gt;"")*(P$3:P$95="")*(G$3:G$95=G68))+SUMPRODUCT((P$3:P$95&lt;&gt;"")*(G$3:G$95=G68))+SUMPRODUCT((N$3:N$95&lt;&gt;"")*(G$3:G$95=G68))+SUMPRODUCT((P$3:P$95="")*(O$3:O$95="")*(N$3:N$95="")*(M$3:M$95="P")*(G$3:G$95=G68)*(J$3:J$95&gt;J68))+IF(H68="L5",SUMPRODUCT((P$3:P$95="")*(O$3:O$95="")*(N$3:N$95="")*(M$3:M$95="P")*(G$3:G$95=G68)*(J$3:J$95&lt;J68)*(H$3:H$95&lt;&gt;H68)),-1*SUMPRODUCT((P$3:P$95="")*(O$3:O$95="")*(N$3:N$95="")*(M$3:M$95="P")*(G$3:G$95=G68)*(J$3:J$95&gt;J68)*(H$3:H$95="L5")))+1,""))))</f>
        <v/>
      </c>
      <c r="C68" s="35" t="s">
        <v>352</v>
      </c>
      <c r="D68" t="str">
        <f>IF(E68="","",VLOOKUP(E68,'Coaching Points'!A:B,2,0))</f>
        <v>BC</v>
      </c>
      <c r="E68" s="35" t="s">
        <v>44</v>
      </c>
      <c r="F68" s="34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R68+S68+IF(OR(H68="Junior",H68="Senior"),0.0002,IF(OR(H68="L7",H68="L6"),0.0001,0))+MAX(Z68,AC68)*0.0000001</f>
        <v>81.7</v>
      </c>
      <c r="K68" s="3" t="str">
        <f>IF(G68="Not Age Eligible","",IF(MAX(T68,W68,Z68,AC68)&gt;=LOOKUP(G68,'Qualifying Scores'!$A$4:$A$7,'Qualifying Scores'!$F$4:$F$7),"P",""))</f>
        <v/>
      </c>
      <c r="L68" s="3" t="str">
        <f>IF(G68="Not Age Eligible","",IF(MAX(U68,X68,AA68,AD68)&gt;=LOOKUP(G68,'Qualifying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Scores'!$F$10:$F$13)),AND(Z68&gt;=LOOKUP(G68,'Qualifying Scores'!$A$4:$A$7,'Qualifying Scores'!$F$4:$F$7),AA68&gt;=LOOKUP(G68,'Qualifying Scores'!$A$10:$A$13,'Qualifying Scores'!$F$10:$F$13)),AND(W68&gt;=LOOKUP(G68,'Qualifying Scores'!$A$4:$A$7,'Qualifying Scores'!$F$4:$F$7),X68&gt;=LOOKUP(G68,'Qualifying Scores'!$A$10:$A$13,'Qualifying Scores'!$F$10:$F$13)),AND(AC68&gt;=LOOKUP(G68,'Qualifying Scores'!$A$4:$A$7,'Qualifying Scores'!$F$4:$F$7),AD68&gt;=LOOKUP(G68,'Qualifying Scores'!$A$10:$A$13,'Qualifying Scores'!$F$10:$F$13))),"P",""))</f>
        <v/>
      </c>
      <c r="Q68" s="1" t="str">
        <f>IF(A68&lt;5,IF(_xlfn.MAXIFS(A:A,G:G,G68)&gt;3,5-A68,_xlfn.MAXIFS(A:A,G:G,G68)+1-A68),"")</f>
        <v/>
      </c>
      <c r="R68" s="4">
        <f>MAX(T68-IF(OR(H68="Senior"),V68,0),W68-IF(OR(H68="Senior"),Y68,0),Z68-IF(OR(H68="Senior"),AB68,0),AC68-IF(OR(H68="Senior"),AE68,0))</f>
        <v>43.6</v>
      </c>
      <c r="S68" s="4">
        <f>IF(R68=T68-IF(OR(H68="Senior"),V68,0),MAX(W68-IF(OR(H68="Senior"),Y68,0),Z68-IF(OR(H68="Senior"),AB68,0),AC68-IF(OR(H68="Senior"),AE68,0)),IF(R68=W68-IF(OR(H68="Senior"),Y68,0),MAX(T68-IF(OR(H68="Senior"),V68,0),Z68-IF(OR(H68="Senior"),AB68,0),AC68-IF(OR(H68="Senior"),AE68,0)),IF(R68=Z68-IF(OR(H68="Senior"),AB68,0),MAX(T68-IF(OR(H68="Senior"),V68,0),W68-IF(OR(H68="Senior"),Y68,0),AC68-IF(OR(H68="Senior"),AE68,0)),IF(R68=AC68-IF(OR(H68="Senior"),AE68,0),MAX(T68-IF(OR(H68="Senior"),V68,0),W68-IF(OR(H68="Senior"),Y68,0),Z68-IF(OR(H68="Senior"),AB68,0)),0))))</f>
        <v>38.1</v>
      </c>
      <c r="T68" s="32">
        <v>38.1</v>
      </c>
      <c r="U68" s="37">
        <v>5.1000000000000005</v>
      </c>
      <c r="V68" s="37">
        <v>0</v>
      </c>
      <c r="W68" s="33">
        <v>43.6</v>
      </c>
      <c r="X68" s="37">
        <v>7.1</v>
      </c>
      <c r="Y68" s="37">
        <v>0</v>
      </c>
      <c r="Z68" s="32"/>
      <c r="AA68" s="37"/>
      <c r="AB68" s="37"/>
      <c r="AC68" s="33"/>
      <c r="AD68" s="37"/>
      <c r="AE68" s="37"/>
    </row>
    <row r="69" spans="1:31" x14ac:dyDescent="0.2">
      <c r="A69" s="1" t="str" cm="1">
        <f t="array" ref="A69">IF(I69="","",IF(P69&lt;&gt;"",SUMPRODUCT((P$3:P$95&lt;&gt;"")*(G$3:G$95=G69)*(J$3:J$95&gt;J69)*(I$3:I$95="P"))+1,IF(O69&lt;&gt;"",SUMPRODUCT((O$3:O$95&lt;&gt;"")*(P$3:P$95="")*(G$3:G$95=G69)*(J$3:J$95&gt;J69)*(I$3:I$95="P"))+SUMPRODUCT((P$3:P$95&lt;&gt;"")*(G$3:G$95=G69)*(I$3:I$95="P"))+1,IF(N69&lt;&gt;"",SUMPRODUCT((N$3:N$95&lt;&gt;"")*(G$3:G$95=G69)*(J$3:J$95&gt;J69)*(I$3:I$95="P"))+1,IF(M69="P",SUMPRODUCT((O$3:O$95&lt;&gt;"")*(P$3:P$95="")*(G$3:G$95=G69)*(I$3:I$95="P"))+SUMPRODUCT((P$3:P$95&lt;&gt;"")*(G$3:G$95=G69)*(I$3:I$95="P"))+SUMPRODUCT((N$3:N$95&lt;&gt;"")*(G$3:G$95=G69)*(I$3:I$95="P"))+SUMPRODUCT((P$3:P$95="")*(O$3:O$95="")*(N$3:N$95="")*(M$3:M$95="P")*(G$3:G$95=G69)*(J$3:J$95&gt;J69)*(I$3:I$95="P"))+IF(H69="L5",SUMPRODUCT((P$3:P$95="")*(O$3:O$95="")*(N$3:N$95="")*(M$3:M$95="P")*(G$3:G$95=G69)*(J$3:J$95&lt;J69)*(H$3:H$95&lt;&gt;H69)*(I$3:I$95="P")),-1*SUMPRODUCT((P$3:P$95="")*(O$3:O$95="")*(N$3:N$95="")*(M$3:M$95="P")*(G$3:G$95=G69)*(J$3:J$95&gt;J69)*(H$3:H$95="L5")*(I$3:I$95="P")))+1,"")))))</f>
        <v/>
      </c>
      <c r="B69" s="1" t="str" cm="1">
        <f t="array" ref="B69">IF(P69&lt;&gt;"",SUMPRODUCT((P$3:P$95&lt;&gt;"")*(G$3:G$95=G69)*(J$3:J$95&gt;J69))+1,IF(O69&lt;&gt;"",SUMPRODUCT((O$3:O$95&lt;&gt;"")*(P$3:P$95="")*(G$3:G$95=G69)*(J$3:J$95&gt;J69))+SUMPRODUCT((P$3:P$95&lt;&gt;"")*(G$3:G$95=G69))+1,IF(N69&lt;&gt;"",SUMPRODUCT((N$3:N$95&lt;&gt;"")*(G$3:G$95=G69)*(J$3:J$95&gt;J69))+1,IF(M69="P",SUMPRODUCT((O$3:O$95&lt;&gt;"")*(P$3:P$95="")*(G$3:G$95=G69))+SUMPRODUCT((P$3:P$95&lt;&gt;"")*(G$3:G$95=G69))+SUMPRODUCT((N$3:N$95&lt;&gt;"")*(G$3:G$95=G69))+SUMPRODUCT((P$3:P$95="")*(O$3:O$95="")*(N$3:N$95="")*(M$3:M$95="P")*(G$3:G$95=G69)*(J$3:J$95&gt;J69))+IF(H69="L5",SUMPRODUCT((P$3:P$95="")*(O$3:O$95="")*(N$3:N$95="")*(M$3:M$95="P")*(G$3:G$95=G69)*(J$3:J$95&lt;J69)*(H$3:H$95&lt;&gt;H69)),-1*SUMPRODUCT((P$3:P$95="")*(O$3:O$95="")*(N$3:N$95="")*(M$3:M$95="P")*(G$3:G$95=G69)*(J$3:J$95&gt;J69)*(H$3:H$95="L5")))+1,""))))</f>
        <v/>
      </c>
      <c r="C69" s="35" t="s">
        <v>476</v>
      </c>
      <c r="D69" t="str">
        <f>IF(E69="","",VLOOKUP(E69,'Coaching Points'!A:B,2,0))</f>
        <v>QC</v>
      </c>
      <c r="E69" s="35" t="s">
        <v>75</v>
      </c>
      <c r="F69" s="34">
        <v>2010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R69+S69+IF(OR(H69="Junior",H69="Senior"),0.0002,IF(OR(H69="L7",H69="L6"),0.0001,0))+MAX(Z69,AC69)*0.0000001</f>
        <v>81.500004410000003</v>
      </c>
      <c r="K69" s="3" t="str">
        <f>IF(G69="Not Age Eligible","",IF(MAX(T69,W69,Z69,AC69)&gt;=LOOKUP(G69,'Qualifying Scores'!$A$4:$A$7,'Qualifying Scores'!$F$4:$F$7),"P",""))</f>
        <v/>
      </c>
      <c r="L69" s="3" t="str">
        <f>IF(G69="Not Age Eligible","",IF(MAX(U69,X69,AA69,AD69)&gt;=LOOKUP(G69,'Qualifying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Scores'!$F$10:$F$13)),AND(Z69&gt;=LOOKUP(G69,'Qualifying Scores'!$A$4:$A$7,'Qualifying Scores'!$F$4:$F$7),AA69&gt;=LOOKUP(G69,'Qualifying Scores'!$A$10:$A$13,'Qualifying Scores'!$F$10:$F$13)),AND(W69&gt;=LOOKUP(G69,'Qualifying Scores'!$A$4:$A$7,'Qualifying Scores'!$F$4:$F$7),X69&gt;=LOOKUP(G69,'Qualifying Scores'!$A$10:$A$13,'Qualifying Scores'!$F$10:$F$13)),AND(AC69&gt;=LOOKUP(G69,'Qualifying Scores'!$A$4:$A$7,'Qualifying Scores'!$F$4:$F$7),AD69&gt;=LOOKUP(G69,'Qualifying Scores'!$A$10:$A$13,'Qualifying Scores'!$F$10:$F$13))),"P",""))</f>
        <v/>
      </c>
      <c r="Q69" s="1" t="str">
        <f>IF(A69&lt;5,IF(_xlfn.MAXIFS(A:A,G:G,G69)&gt;3,5-A69,_xlfn.MAXIFS(A:A,G:G,G69)+1-A69),"")</f>
        <v/>
      </c>
      <c r="R69" s="4">
        <f>MAX(T69-IF(OR(H69="Senior"),V69,0),W69-IF(OR(H69="Senior"),Y69,0),Z69-IF(OR(H69="Senior"),AB69,0),AC69-IF(OR(H69="Senior"),AE69,0))</f>
        <v>44.1</v>
      </c>
      <c r="S69" s="4">
        <f>IF(R69=T69-IF(OR(H69="Senior"),V69,0),MAX(W69-IF(OR(H69="Senior"),Y69,0),Z69-IF(OR(H69="Senior"),AB69,0),AC69-IF(OR(H69="Senior"),AE69,0)),IF(R69=W69-IF(OR(H69="Senior"),Y69,0),MAX(T69-IF(OR(H69="Senior"),V69,0),Z69-IF(OR(H69="Senior"),AB69,0),AC69-IF(OR(H69="Senior"),AE69,0)),IF(R69=Z69-IF(OR(H69="Senior"),AB69,0),MAX(T69-IF(OR(H69="Senior"),V69,0),W69-IF(OR(H69="Senior"),Y69,0),AC69-IF(OR(H69="Senior"),AE69,0)),IF(R69=AC69-IF(OR(H69="Senior"),AE69,0),MAX(T69-IF(OR(H69="Senior"),V69,0),W69-IF(OR(H69="Senior"),Y69,0),Z69-IF(OR(H69="Senior"),AB69,0)),0))))</f>
        <v>37.4</v>
      </c>
      <c r="T69" s="32"/>
      <c r="U69" s="37"/>
      <c r="V69" s="37"/>
      <c r="W69" s="33"/>
      <c r="X69" s="37"/>
      <c r="Y69" s="37"/>
      <c r="Z69" s="32">
        <v>44.1</v>
      </c>
      <c r="AA69" s="37">
        <v>6.3</v>
      </c>
      <c r="AB69" s="37">
        <v>0</v>
      </c>
      <c r="AC69" s="33">
        <v>37.4</v>
      </c>
      <c r="AD69" s="37">
        <v>3.7</v>
      </c>
      <c r="AE69" s="37">
        <v>0</v>
      </c>
    </row>
    <row r="70" spans="1:31" x14ac:dyDescent="0.2">
      <c r="A70" s="1" t="str" cm="1">
        <f t="array" ref="A70">IF(I70="","",IF(P70&lt;&gt;"",SUMPRODUCT((P$3:P$95&lt;&gt;"")*(G$3:G$95=G70)*(J$3:J$95&gt;J70)*(I$3:I$95="P"))+1,IF(O70&lt;&gt;"",SUMPRODUCT((O$3:O$95&lt;&gt;"")*(P$3:P$95="")*(G$3:G$95=G70)*(J$3:J$95&gt;J70)*(I$3:I$95="P"))+SUMPRODUCT((P$3:P$95&lt;&gt;"")*(G$3:G$95=G70)*(I$3:I$95="P"))+1,IF(N70&lt;&gt;"",SUMPRODUCT((N$3:N$95&lt;&gt;"")*(G$3:G$95=G70)*(J$3:J$95&gt;J70)*(I$3:I$95="P"))+1,IF(M70="P",SUMPRODUCT((O$3:O$95&lt;&gt;"")*(P$3:P$95="")*(G$3:G$95=G70)*(I$3:I$95="P"))+SUMPRODUCT((P$3:P$95&lt;&gt;"")*(G$3:G$95=G70)*(I$3:I$95="P"))+SUMPRODUCT((N$3:N$95&lt;&gt;"")*(G$3:G$95=G70)*(I$3:I$95="P"))+SUMPRODUCT((P$3:P$95="")*(O$3:O$95="")*(N$3:N$95="")*(M$3:M$95="P")*(G$3:G$95=G70)*(J$3:J$95&gt;J70)*(I$3:I$95="P"))+IF(H70="L5",SUMPRODUCT((P$3:P$95="")*(O$3:O$95="")*(N$3:N$95="")*(M$3:M$95="P")*(G$3:G$95=G70)*(J$3:J$95&lt;J70)*(H$3:H$95&lt;&gt;H70)*(I$3:I$95="P")),-1*SUMPRODUCT((P$3:P$95="")*(O$3:O$95="")*(N$3:N$95="")*(M$3:M$95="P")*(G$3:G$95=G70)*(J$3:J$95&gt;J70)*(H$3:H$95="L5")*(I$3:I$95="P")))+1,"")))))</f>
        <v/>
      </c>
      <c r="B70" s="1" t="str" cm="1">
        <f t="array" ref="B70">IF(P70&lt;&gt;"",SUMPRODUCT((P$3:P$95&lt;&gt;"")*(G$3:G$95=G70)*(J$3:J$95&gt;J70))+1,IF(O70&lt;&gt;"",SUMPRODUCT((O$3:O$95&lt;&gt;"")*(P$3:P$95="")*(G$3:G$95=G70)*(J$3:J$95&gt;J70))+SUMPRODUCT((P$3:P$95&lt;&gt;"")*(G$3:G$95=G70))+1,IF(N70&lt;&gt;"",SUMPRODUCT((N$3:N$95&lt;&gt;"")*(G$3:G$95=G70)*(J$3:J$95&gt;J70))+1,IF(M70="P",SUMPRODUCT((O$3:O$95&lt;&gt;"")*(P$3:P$95="")*(G$3:G$95=G70))+SUMPRODUCT((P$3:P$95&lt;&gt;"")*(G$3:G$95=G70))+SUMPRODUCT((N$3:N$95&lt;&gt;"")*(G$3:G$95=G70))+SUMPRODUCT((P$3:P$95="")*(O$3:O$95="")*(N$3:N$95="")*(M$3:M$95="P")*(G$3:G$95=G70)*(J$3:J$95&gt;J70))+IF(H70="L5",SUMPRODUCT((P$3:P$95="")*(O$3:O$95="")*(N$3:N$95="")*(M$3:M$95="P")*(G$3:G$95=G70)*(J$3:J$95&lt;J70)*(H$3:H$95&lt;&gt;H70)),-1*SUMPRODUCT((P$3:P$95="")*(O$3:O$95="")*(N$3:N$95="")*(M$3:M$95="P")*(G$3:G$95=G70)*(J$3:J$95&gt;J70)*(H$3:H$95="L5")))+1,""))))</f>
        <v/>
      </c>
      <c r="C70" s="35" t="s">
        <v>396</v>
      </c>
      <c r="D70" t="str">
        <f>IF(E70="","",VLOOKUP(E70,'Coaching Points'!A:B,2,0))</f>
        <v>QC</v>
      </c>
      <c r="E70" s="35" t="s">
        <v>3</v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R70+S70+IF(OR(H70="Junior",H70="Senior"),0.0002,IF(OR(H70="L7",H70="L6"),0.0001,0))+MAX(Z70,AC70)*0.0000001</f>
        <v>65.100004369999994</v>
      </c>
      <c r="K70" s="3" t="str">
        <f>IF(G70="Not Age Eligible","",IF(MAX(T70,W70,Z70,AC70)&gt;=LOOKUP(G70,'Qualifying Scores'!$A$4:$A$7,'Qualifying Scores'!$F$4:$F$7),"P",""))</f>
        <v/>
      </c>
      <c r="L70" s="3" t="str">
        <f>IF(G70="Not Age Eligible","",IF(MAX(U70,X70,AA70,AD70)&gt;=LOOKUP(G70,'Qualifying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Scores'!$F$10:$F$13)),AND(Z70&gt;=LOOKUP(G70,'Qualifying Scores'!$A$4:$A$7,'Qualifying Scores'!$F$4:$F$7),AA70&gt;=LOOKUP(G70,'Qualifying Scores'!$A$10:$A$13,'Qualifying Scores'!$F$10:$F$13)),AND(W70&gt;=LOOKUP(G70,'Qualifying Scores'!$A$4:$A$7,'Qualifying Scores'!$F$4:$F$7),X70&gt;=LOOKUP(G70,'Qualifying Scores'!$A$10:$A$13,'Qualifying Scores'!$F$10:$F$13)),AND(AC70&gt;=LOOKUP(G70,'Qualifying Scores'!$A$4:$A$7,'Qualifying Scores'!$F$4:$F$7),AD70&gt;=LOOKUP(G70,'Qualifying Scores'!$A$10:$A$13,'Qualifying Scores'!$F$10:$F$13))),"P",""))</f>
        <v/>
      </c>
      <c r="Q70" s="1" t="str">
        <f>IF(A70&lt;5,IF(_xlfn.MAXIFS(A:A,G:G,G70)&gt;3,5-A70,_xlfn.MAXIFS(A:A,G:G,G70)+1-A70),"")</f>
        <v/>
      </c>
      <c r="R70" s="4">
        <f>MAX(T70-IF(OR(H70="Senior"),V70,0),W70-IF(OR(H70="Senior"),Y70,0),Z70-IF(OR(H70="Senior"),AB70,0),AC70-IF(OR(H70="Senior"),AE70,0))</f>
        <v>43.7</v>
      </c>
      <c r="S70" s="4">
        <f>IF(R70=T70-IF(OR(H70="Senior"),V70,0),MAX(W70-IF(OR(H70="Senior"),Y70,0),Z70-IF(OR(H70="Senior"),AB70,0),AC70-IF(OR(H70="Senior"),AE70,0)),IF(R70=W70-IF(OR(H70="Senior"),Y70,0),MAX(T70-IF(OR(H70="Senior"),V70,0),Z70-IF(OR(H70="Senior"),AB70,0),AC70-IF(OR(H70="Senior"),AE70,0)),IF(R70=Z70-IF(OR(H70="Senior"),AB70,0),MAX(T70-IF(OR(H70="Senior"),V70,0),W70-IF(OR(H70="Senior"),Y70,0),AC70-IF(OR(H70="Senior"),AE70,0)),IF(R70=AC70-IF(OR(H70="Senior"),AE70,0),MAX(T70-IF(OR(H70="Senior"),V70,0),W70-IF(OR(H70="Senior"),Y70,0),Z70-IF(OR(H70="Senior"),AB70,0)),0))))</f>
        <v>21.4</v>
      </c>
      <c r="T70" s="32"/>
      <c r="U70" s="37"/>
      <c r="V70" s="37"/>
      <c r="W70" s="33"/>
      <c r="X70" s="37"/>
      <c r="Y70" s="37"/>
      <c r="Z70" s="32">
        <v>43.7</v>
      </c>
      <c r="AA70" s="37">
        <v>6.4</v>
      </c>
      <c r="AB70" s="37">
        <v>0</v>
      </c>
      <c r="AC70" s="33">
        <v>21.4</v>
      </c>
      <c r="AD70" s="37">
        <v>3</v>
      </c>
      <c r="AE70" s="37">
        <v>0</v>
      </c>
    </row>
    <row r="71" spans="1:31" x14ac:dyDescent="0.2">
      <c r="A71" s="1" t="str" cm="1">
        <f t="array" ref="A71">IF(I71="","",IF(P71&lt;&gt;"",SUMPRODUCT((P$3:P$95&lt;&gt;"")*(G$3:G$95=G71)*(J$3:J$95&gt;J71)*(I$3:I$95="P"))+1,IF(O71&lt;&gt;"",SUMPRODUCT((O$3:O$95&lt;&gt;"")*(P$3:P$95="")*(G$3:G$95=G71)*(J$3:J$95&gt;J71)*(I$3:I$95="P"))+SUMPRODUCT((P$3:P$95&lt;&gt;"")*(G$3:G$95=G71)*(I$3:I$95="P"))+1,IF(N71&lt;&gt;"",SUMPRODUCT((N$3:N$95&lt;&gt;"")*(G$3:G$95=G71)*(J$3:J$95&gt;J71)*(I$3:I$95="P"))+1,IF(M71="P",SUMPRODUCT((O$3:O$95&lt;&gt;"")*(P$3:P$95="")*(G$3:G$95=G71)*(I$3:I$95="P"))+SUMPRODUCT((P$3:P$95&lt;&gt;"")*(G$3:G$95=G71)*(I$3:I$95="P"))+SUMPRODUCT((N$3:N$95&lt;&gt;"")*(G$3:G$95=G71)*(I$3:I$95="P"))+SUMPRODUCT((P$3:P$95="")*(O$3:O$95="")*(N$3:N$95="")*(M$3:M$95="P")*(G$3:G$95=G71)*(J$3:J$95&gt;J71)*(I$3:I$95="P"))+IF(H71="L5",SUMPRODUCT((P$3:P$95="")*(O$3:O$95="")*(N$3:N$95="")*(M$3:M$95="P")*(G$3:G$95=G71)*(J$3:J$95&lt;J71)*(H$3:H$95&lt;&gt;H71)*(I$3:I$95="P")),-1*SUMPRODUCT((P$3:P$95="")*(O$3:O$95="")*(N$3:N$95="")*(M$3:M$95="P")*(G$3:G$95=G71)*(J$3:J$95&gt;J71)*(H$3:H$95="L5")*(I$3:I$95="P")))+1,"")))))</f>
        <v/>
      </c>
      <c r="B71" s="1" t="str" cm="1">
        <f t="array" ref="B71">IF(P71&lt;&gt;"",SUMPRODUCT((P$3:P$95&lt;&gt;"")*(G$3:G$95=G71)*(J$3:J$95&gt;J71))+1,IF(O71&lt;&gt;"",SUMPRODUCT((O$3:O$95&lt;&gt;"")*(P$3:P$95="")*(G$3:G$95=G71)*(J$3:J$95&gt;J71))+SUMPRODUCT((P$3:P$95&lt;&gt;"")*(G$3:G$95=G71))+1,IF(N71&lt;&gt;"",SUMPRODUCT((N$3:N$95&lt;&gt;"")*(G$3:G$95=G71)*(J$3:J$95&gt;J71))+1,IF(M71="P",SUMPRODUCT((O$3:O$95&lt;&gt;"")*(P$3:P$95="")*(G$3:G$95=G71))+SUMPRODUCT((P$3:P$95&lt;&gt;"")*(G$3:G$95=G71))+SUMPRODUCT((N$3:N$95&lt;&gt;"")*(G$3:G$95=G71))+SUMPRODUCT((P$3:P$95="")*(O$3:O$95="")*(N$3:N$95="")*(M$3:M$95="P")*(G$3:G$95=G71)*(J$3:J$95&gt;J71))+IF(H71="L5",SUMPRODUCT((P$3:P$95="")*(O$3:O$95="")*(N$3:N$95="")*(M$3:M$95="P")*(G$3:G$95=G71)*(J$3:J$95&lt;J71)*(H$3:H$95&lt;&gt;H71)),-1*SUMPRODUCT((P$3:P$95="")*(O$3:O$95="")*(N$3:N$95="")*(M$3:M$95="P")*(G$3:G$95=G71)*(J$3:J$95&gt;J71)*(H$3:H$95="L5")))+1,""))))</f>
        <v/>
      </c>
      <c r="C71" s="35" t="s">
        <v>477</v>
      </c>
      <c r="D71" t="str">
        <f>IF(E71="","",VLOOKUP(E71,'Coaching Points'!A:B,2,0))</f>
        <v>QC</v>
      </c>
      <c r="E71" s="35" t="s">
        <v>174</v>
      </c>
      <c r="F71" s="34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R71+S71+IF(OR(H71="Junior",H71="Senior"),0.0002,IF(OR(H71="L7",H71="L6"),0.0001,0))+MAX(Z71,AC71)*0.0000001</f>
        <v>65.100004369999994</v>
      </c>
      <c r="K71" s="3" t="str">
        <f>IF(G71="Not Age Eligible","",IF(MAX(T71,W71,Z71,AC71)&gt;=LOOKUP(G71,'Qualifying Scores'!$A$4:$A$7,'Qualifying Scores'!$F$4:$F$7),"P",""))</f>
        <v/>
      </c>
      <c r="L71" s="3" t="str">
        <f>IF(G71="Not Age Eligible","",IF(MAX(U71,X71,AA71,AD71)&gt;=LOOKUP(G71,'Qualifying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Scores'!$F$10:$F$13)),AND(Z71&gt;=LOOKUP(G71,'Qualifying Scores'!$A$4:$A$7,'Qualifying Scores'!$F$4:$F$7),AA71&gt;=LOOKUP(G71,'Qualifying Scores'!$A$10:$A$13,'Qualifying Scores'!$F$10:$F$13)),AND(W71&gt;=LOOKUP(G71,'Qualifying Scores'!$A$4:$A$7,'Qualifying Scores'!$F$4:$F$7),X71&gt;=LOOKUP(G71,'Qualifying Scores'!$A$10:$A$13,'Qualifying Scores'!$F$10:$F$13)),AND(AC71&gt;=LOOKUP(G71,'Qualifying Scores'!$A$4:$A$7,'Qualifying Scores'!$F$4:$F$7),AD71&gt;=LOOKUP(G71,'Qualifying Scores'!$A$10:$A$13,'Qualifying Scores'!$F$10:$F$13))),"P",""))</f>
        <v/>
      </c>
      <c r="Q71" s="1" t="str">
        <f>IF(A71&lt;5,IF(_xlfn.MAXIFS(A:A,G:G,G71)&gt;3,5-A71,_xlfn.MAXIFS(A:A,G:G,G71)+1-A71),"")</f>
        <v/>
      </c>
      <c r="R71" s="4">
        <f>MAX(T71-IF(OR(H71="Senior"),V71,0),W71-IF(OR(H71="Senior"),Y71,0),Z71-IF(OR(H71="Senior"),AB71,0),AC71-IF(OR(H71="Senior"),AE71,0))</f>
        <v>43.7</v>
      </c>
      <c r="S71" s="4">
        <f>IF(R71=T71-IF(OR(H71="Senior"),V71,0),MAX(W71-IF(OR(H71="Senior"),Y71,0),Z71-IF(OR(H71="Senior"),AB71,0),AC71-IF(OR(H71="Senior"),AE71,0)),IF(R71=W71-IF(OR(H71="Senior"),Y71,0),MAX(T71-IF(OR(H71="Senior"),V71,0),Z71-IF(OR(H71="Senior"),AB71,0),AC71-IF(OR(H71="Senior"),AE71,0)),IF(R71=Z71-IF(OR(H71="Senior"),AB71,0),MAX(T71-IF(OR(H71="Senior"),V71,0),W71-IF(OR(H71="Senior"),Y71,0),AC71-IF(OR(H71="Senior"),AE71,0)),IF(R71=AC71-IF(OR(H71="Senior"),AE71,0),MAX(T71-IF(OR(H71="Senior"),V71,0),W71-IF(OR(H71="Senior"),Y71,0),Z71-IF(OR(H71="Senior"),AB71,0)),0))))</f>
        <v>21.4</v>
      </c>
      <c r="T71" s="32"/>
      <c r="U71" s="37"/>
      <c r="V71" s="37"/>
      <c r="W71" s="33"/>
      <c r="X71" s="37"/>
      <c r="Y71" s="37"/>
      <c r="Z71" s="32">
        <v>43.7</v>
      </c>
      <c r="AA71" s="37">
        <v>5.6</v>
      </c>
      <c r="AB71" s="37">
        <v>0</v>
      </c>
      <c r="AC71" s="33">
        <v>21.4</v>
      </c>
      <c r="AD71" s="37">
        <v>3</v>
      </c>
      <c r="AE71" s="37">
        <v>0</v>
      </c>
    </row>
    <row r="72" spans="1:31" x14ac:dyDescent="0.2">
      <c r="A72" s="1" t="str" cm="1">
        <f t="array" ref="A72">IF(I72="","",IF(P72&lt;&gt;"",SUMPRODUCT((P$3:P$95&lt;&gt;"")*(G$3:G$95=G72)*(J$3:J$95&gt;J72)*(I$3:I$95="P"))+1,IF(O72&lt;&gt;"",SUMPRODUCT((O$3:O$95&lt;&gt;"")*(P$3:P$95="")*(G$3:G$95=G72)*(J$3:J$95&gt;J72)*(I$3:I$95="P"))+SUMPRODUCT((P$3:P$95&lt;&gt;"")*(G$3:G$95=G72)*(I$3:I$95="P"))+1,IF(N72&lt;&gt;"",SUMPRODUCT((N$3:N$95&lt;&gt;"")*(G$3:G$95=G72)*(J$3:J$95&gt;J72)*(I$3:I$95="P"))+1,IF(M72="P",SUMPRODUCT((O$3:O$95&lt;&gt;"")*(P$3:P$95="")*(G$3:G$95=G72)*(I$3:I$95="P"))+SUMPRODUCT((P$3:P$95&lt;&gt;"")*(G$3:G$95=G72)*(I$3:I$95="P"))+SUMPRODUCT((N$3:N$95&lt;&gt;"")*(G$3:G$95=G72)*(I$3:I$95="P"))+SUMPRODUCT((P$3:P$95="")*(O$3:O$95="")*(N$3:N$95="")*(M$3:M$95="P")*(G$3:G$95=G72)*(J$3:J$95&gt;J72)*(I$3:I$95="P"))+IF(H72="L5",SUMPRODUCT((P$3:P$95="")*(O$3:O$95="")*(N$3:N$95="")*(M$3:M$95="P")*(G$3:G$95=G72)*(J$3:J$95&lt;J72)*(H$3:H$95&lt;&gt;H72)*(I$3:I$95="P")),-1*SUMPRODUCT((P$3:P$95="")*(O$3:O$95="")*(N$3:N$95="")*(M$3:M$95="P")*(G$3:G$95=G72)*(J$3:J$95&gt;J72)*(H$3:H$95="L5")*(I$3:I$95="P")))+1,"")))))</f>
        <v/>
      </c>
      <c r="B72" s="1" t="str" cm="1">
        <f t="array" ref="B72">IF(P72&lt;&gt;"",SUMPRODUCT((P$3:P$95&lt;&gt;"")*(G$3:G$95=G72)*(J$3:J$95&gt;J72))+1,IF(O72&lt;&gt;"",SUMPRODUCT((O$3:O$95&lt;&gt;"")*(P$3:P$95="")*(G$3:G$95=G72)*(J$3:J$95&gt;J72))+SUMPRODUCT((P$3:P$95&lt;&gt;"")*(G$3:G$95=G72))+1,IF(N72&lt;&gt;"",SUMPRODUCT((N$3:N$95&lt;&gt;"")*(G$3:G$95=G72)*(J$3:J$95&gt;J72))+1,IF(M72="P",SUMPRODUCT((O$3:O$95&lt;&gt;"")*(P$3:P$95="")*(G$3:G$95=G72))+SUMPRODUCT((P$3:P$95&lt;&gt;"")*(G$3:G$95=G72))+SUMPRODUCT((N$3:N$95&lt;&gt;"")*(G$3:G$95=G72))+SUMPRODUCT((P$3:P$95="")*(O$3:O$95="")*(N$3:N$95="")*(M$3:M$95="P")*(G$3:G$95=G72)*(J$3:J$95&gt;J72))+IF(H72="L5",SUMPRODUCT((P$3:P$95="")*(O$3:O$95="")*(N$3:N$95="")*(M$3:M$95="P")*(G$3:G$95=G72)*(J$3:J$95&lt;J72)*(H$3:H$95&lt;&gt;H72)),-1*SUMPRODUCT((P$3:P$95="")*(O$3:O$95="")*(N$3:N$95="")*(M$3:M$95="P")*(G$3:G$95=G72)*(J$3:J$95&gt;J72)*(H$3:H$95="L5")))+1,""))))</f>
        <v/>
      </c>
      <c r="C72" s="35" t="s">
        <v>478</v>
      </c>
      <c r="D72" t="str">
        <f>IF(E72="","",VLOOKUP(E72,'Coaching Points'!A:B,2,0))</f>
        <v>AB</v>
      </c>
      <c r="E72" s="35" t="s">
        <v>39</v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R72+S72+IF(OR(H72="Junior",H72="Senior"),0.0002,IF(OR(H72="L7",H72="L6"),0.0001,0))+MAX(Z72,AC72)*0.0000001</f>
        <v>44.100004410000004</v>
      </c>
      <c r="K72" s="3" t="str">
        <f>IF(G72="Not Age Eligible","",IF(MAX(T72,W72,Z72,AC72)&gt;=LOOKUP(G72,'Qualifying Scores'!$A$4:$A$7,'Qualifying Scores'!$F$4:$F$7),"P",""))</f>
        <v/>
      </c>
      <c r="L72" s="3" t="str">
        <f>IF(G72="Not Age Eligible","",IF(MAX(U72,X72,AA72,AD72)&gt;=LOOKUP(G72,'Qualifying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Scores'!$F$10:$F$13)),AND(Z72&gt;=LOOKUP(G72,'Qualifying Scores'!$A$4:$A$7,'Qualifying Scores'!$F$4:$F$7),AA72&gt;=LOOKUP(G72,'Qualifying Scores'!$A$10:$A$13,'Qualifying Scores'!$F$10:$F$13)),AND(W72&gt;=LOOKUP(G72,'Qualifying Scores'!$A$4:$A$7,'Qualifying Scores'!$F$4:$F$7),X72&gt;=LOOKUP(G72,'Qualifying Scores'!$A$10:$A$13,'Qualifying Scores'!$F$10:$F$13)),AND(AC72&gt;=LOOKUP(G72,'Qualifying Scores'!$A$4:$A$7,'Qualifying Scores'!$F$4:$F$7),AD72&gt;=LOOKUP(G72,'Qualifying Scores'!$A$10:$A$13,'Qualifying Scores'!$F$10:$F$13))),"P",""))</f>
        <v/>
      </c>
      <c r="Q72" s="1" t="str">
        <f>IF(A72&lt;5,IF(_xlfn.MAXIFS(A:A,G:G,G72)&gt;3,5-A72,_xlfn.MAXIFS(A:A,G:G,G72)+1-A72),"")</f>
        <v/>
      </c>
      <c r="R72" s="4">
        <f>MAX(T72-IF(OR(H72="Senior"),V72,0),W72-IF(OR(H72="Senior"),Y72,0),Z72-IF(OR(H72="Senior"),AB72,0),AC72-IF(OR(H72="Senior"),AE72,0))</f>
        <v>44.1</v>
      </c>
      <c r="S72" s="4">
        <f>IF(R72=T72-IF(OR(H72="Senior"),V72,0),MAX(W72-IF(OR(H72="Senior"),Y72,0),Z72-IF(OR(H72="Senior"),AB72,0),AC72-IF(OR(H72="Senior"),AE72,0)),IF(R72=W72-IF(OR(H72="Senior"),Y72,0),MAX(T72-IF(OR(H72="Senior"),V72,0),Z72-IF(OR(H72="Senior"),AB72,0),AC72-IF(OR(H72="Senior"),AE72,0)),IF(R72=Z72-IF(OR(H72="Senior"),AB72,0),MAX(T72-IF(OR(H72="Senior"),V72,0),W72-IF(OR(H72="Senior"),Y72,0),AC72-IF(OR(H72="Senior"),AE72,0)),IF(R72=AC72-IF(OR(H72="Senior"),AE72,0),MAX(T72-IF(OR(H72="Senior"),V72,0),W72-IF(OR(H72="Senior"),Y72,0),Z72-IF(OR(H72="Senior"),AB72,0)),0))))</f>
        <v>0</v>
      </c>
      <c r="T72" s="32"/>
      <c r="U72" s="37"/>
      <c r="V72" s="37"/>
      <c r="W72" s="33"/>
      <c r="X72" s="37"/>
      <c r="Y72" s="37"/>
      <c r="Z72" s="32">
        <v>44.1</v>
      </c>
      <c r="AA72" s="37">
        <v>7.8000000000000007</v>
      </c>
      <c r="AB72" s="37">
        <v>0</v>
      </c>
      <c r="AC72" s="33"/>
      <c r="AD72" s="37"/>
      <c r="AE72" s="37"/>
    </row>
    <row r="73" spans="1:31" x14ac:dyDescent="0.2">
      <c r="A73" s="1" t="str" cm="1">
        <f t="array" ref="A73">IF(I73="","",IF(P73&lt;&gt;"",SUMPRODUCT((P$3:P$95&lt;&gt;"")*(G$3:G$95=G73)*(J$3:J$95&gt;J73)*(I$3:I$95="P"))+1,IF(O73&lt;&gt;"",SUMPRODUCT((O$3:O$95&lt;&gt;"")*(P$3:P$95="")*(G$3:G$95=G73)*(J$3:J$95&gt;J73)*(I$3:I$95="P"))+SUMPRODUCT((P$3:P$95&lt;&gt;"")*(G$3:G$95=G73)*(I$3:I$95="P"))+1,IF(N73&lt;&gt;"",SUMPRODUCT((N$3:N$95&lt;&gt;"")*(G$3:G$95=G73)*(J$3:J$95&gt;J73)*(I$3:I$95="P"))+1,IF(M73="P",SUMPRODUCT((O$3:O$95&lt;&gt;"")*(P$3:P$95="")*(G$3:G$95=G73)*(I$3:I$95="P"))+SUMPRODUCT((P$3:P$95&lt;&gt;"")*(G$3:G$95=G73)*(I$3:I$95="P"))+SUMPRODUCT((N$3:N$95&lt;&gt;"")*(G$3:G$95=G73)*(I$3:I$95="P"))+SUMPRODUCT((P$3:P$95="")*(O$3:O$95="")*(N$3:N$95="")*(M$3:M$95="P")*(G$3:G$95=G73)*(J$3:J$95&gt;J73)*(I$3:I$95="P"))+IF(H73="L5",SUMPRODUCT((P$3:P$95="")*(O$3:O$95="")*(N$3:N$95="")*(M$3:M$95="P")*(G$3:G$95=G73)*(J$3:J$95&lt;J73)*(H$3:H$95&lt;&gt;H73)*(I$3:I$95="P")),-1*SUMPRODUCT((P$3:P$95="")*(O$3:O$95="")*(N$3:N$95="")*(M$3:M$95="P")*(G$3:G$95=G73)*(J$3:J$95&gt;J73)*(H$3:H$95="L5")*(I$3:I$95="P")))+1,"")))))</f>
        <v/>
      </c>
      <c r="B73" s="1" t="str" cm="1">
        <f t="array" ref="B73">IF(P73&lt;&gt;"",SUMPRODUCT((P$3:P$95&lt;&gt;"")*(G$3:G$95=G73)*(J$3:J$95&gt;J73))+1,IF(O73&lt;&gt;"",SUMPRODUCT((O$3:O$95&lt;&gt;"")*(P$3:P$95="")*(G$3:G$95=G73)*(J$3:J$95&gt;J73))+SUMPRODUCT((P$3:P$95&lt;&gt;"")*(G$3:G$95=G73))+1,IF(N73&lt;&gt;"",SUMPRODUCT((N$3:N$95&lt;&gt;"")*(G$3:G$95=G73)*(J$3:J$95&gt;J73))+1,IF(M73="P",SUMPRODUCT((O$3:O$95&lt;&gt;"")*(P$3:P$95="")*(G$3:G$95=G73))+SUMPRODUCT((P$3:P$95&lt;&gt;"")*(G$3:G$95=G73))+SUMPRODUCT((N$3:N$95&lt;&gt;"")*(G$3:G$95=G73))+SUMPRODUCT((P$3:P$95="")*(O$3:O$95="")*(N$3:N$95="")*(M$3:M$95="P")*(G$3:G$95=G73)*(J$3:J$95&gt;J73))+IF(H73="L5",SUMPRODUCT((P$3:P$95="")*(O$3:O$95="")*(N$3:N$95="")*(M$3:M$95="P")*(G$3:G$95=G73)*(J$3:J$95&lt;J73)*(H$3:H$95&lt;&gt;H73)),-1*SUMPRODUCT((P$3:P$95="")*(O$3:O$95="")*(N$3:N$95="")*(M$3:M$95="P")*(G$3:G$95=G73)*(J$3:J$95&gt;J73)*(H$3:H$95="L5")))+1,""))))</f>
        <v/>
      </c>
      <c r="C73" s="35" t="s">
        <v>479</v>
      </c>
      <c r="D73" t="str">
        <f>IF(E73="","",VLOOKUP(E73,'Coaching Points'!A:B,2,0))</f>
        <v>QC</v>
      </c>
      <c r="E73" s="35" t="s">
        <v>3</v>
      </c>
      <c r="F73" s="34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R73+S73+IF(OR(H73="Junior",H73="Senior"),0.0002,IF(OR(H73="L7",H73="L6"),0.0001,0))+MAX(Z73,AC73)*0.0000001</f>
        <v>43.200004320000005</v>
      </c>
      <c r="K73" s="3" t="str">
        <f>IF(G73="Not Age Eligible","",IF(MAX(T73,W73,Z73,AC73)&gt;=LOOKUP(G73,'Qualifying Scores'!$A$4:$A$7,'Qualifying Scores'!$F$4:$F$7),"P",""))</f>
        <v/>
      </c>
      <c r="L73" s="3" t="str">
        <f>IF(G73="Not Age Eligible","",IF(MAX(U73,X73,AA73,AD73)&gt;=LOOKUP(G73,'Qualifying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Scores'!$F$10:$F$13)),AND(Z73&gt;=LOOKUP(G73,'Qualifying Scores'!$A$4:$A$7,'Qualifying Scores'!$F$4:$F$7),AA73&gt;=LOOKUP(G73,'Qualifying Scores'!$A$10:$A$13,'Qualifying Scores'!$F$10:$F$13)),AND(W73&gt;=LOOKUP(G73,'Qualifying Scores'!$A$4:$A$7,'Qualifying Scores'!$F$4:$F$7),X73&gt;=LOOKUP(G73,'Qualifying Scores'!$A$10:$A$13,'Qualifying Scores'!$F$10:$F$13)),AND(AC73&gt;=LOOKUP(G73,'Qualifying Scores'!$A$4:$A$7,'Qualifying Scores'!$F$4:$F$7),AD73&gt;=LOOKUP(G73,'Qualifying Scores'!$A$10:$A$13,'Qualifying Scores'!$F$10:$F$13))),"P",""))</f>
        <v/>
      </c>
      <c r="Q73" s="1" t="str">
        <f>IF(A73&lt;5,IF(_xlfn.MAXIFS(A:A,G:G,G73)&gt;3,5-A73,_xlfn.MAXIFS(A:A,G:G,G73)+1-A73),"")</f>
        <v/>
      </c>
      <c r="R73" s="4">
        <f>MAX(T73-IF(OR(H73="Senior"),V73,0),W73-IF(OR(H73="Senior"),Y73,0),Z73-IF(OR(H73="Senior"),AB73,0),AC73-IF(OR(H73="Senior"),AE73,0))</f>
        <v>43.2</v>
      </c>
      <c r="S73" s="4">
        <f>IF(R73=T73-IF(OR(H73="Senior"),V73,0),MAX(W73-IF(OR(H73="Senior"),Y73,0),Z73-IF(OR(H73="Senior"),AB73,0),AC73-IF(OR(H73="Senior"),AE73,0)),IF(R73=W73-IF(OR(H73="Senior"),Y73,0),MAX(T73-IF(OR(H73="Senior"),V73,0),Z73-IF(OR(H73="Senior"),AB73,0),AC73-IF(OR(H73="Senior"),AE73,0)),IF(R73=Z73-IF(OR(H73="Senior"),AB73,0),MAX(T73-IF(OR(H73="Senior"),V73,0),W73-IF(OR(H73="Senior"),Y73,0),AC73-IF(OR(H73="Senior"),AE73,0)),IF(R73=AC73-IF(OR(H73="Senior"),AE73,0),MAX(T73-IF(OR(H73="Senior"),V73,0),W73-IF(OR(H73="Senior"),Y73,0),Z73-IF(OR(H73="Senior"),AB73,0)),0))))</f>
        <v>0</v>
      </c>
      <c r="T73" s="32"/>
      <c r="U73" s="37"/>
      <c r="V73" s="37"/>
      <c r="W73" s="33"/>
      <c r="X73" s="37"/>
      <c r="Y73" s="37"/>
      <c r="Z73" s="32">
        <v>43.2</v>
      </c>
      <c r="AA73" s="37">
        <v>6</v>
      </c>
      <c r="AB73" s="37">
        <v>0</v>
      </c>
      <c r="AC73" s="33"/>
      <c r="AD73" s="37"/>
      <c r="AE73" s="37"/>
    </row>
    <row r="74" spans="1:31" x14ac:dyDescent="0.2">
      <c r="A74" s="1" t="str" cm="1">
        <f t="array" ref="A74">IF(I74="","",IF(P74&lt;&gt;"",SUMPRODUCT((P$3:P$95&lt;&gt;"")*(G$3:G$95=G74)*(J$3:J$95&gt;J74)*(I$3:I$95="P"))+1,IF(O74&lt;&gt;"",SUMPRODUCT((O$3:O$95&lt;&gt;"")*(P$3:P$95="")*(G$3:G$95=G74)*(J$3:J$95&gt;J74)*(I$3:I$95="P"))+SUMPRODUCT((P$3:P$95&lt;&gt;"")*(G$3:G$95=G74)*(I$3:I$95="P"))+1,IF(N74&lt;&gt;"",SUMPRODUCT((N$3:N$95&lt;&gt;"")*(G$3:G$95=G74)*(J$3:J$95&gt;J74)*(I$3:I$95="P"))+1,IF(M74="P",SUMPRODUCT((O$3:O$95&lt;&gt;"")*(P$3:P$95="")*(G$3:G$95=G74)*(I$3:I$95="P"))+SUMPRODUCT((P$3:P$95&lt;&gt;"")*(G$3:G$95=G74)*(I$3:I$95="P"))+SUMPRODUCT((N$3:N$95&lt;&gt;"")*(G$3:G$95=G74)*(I$3:I$95="P"))+SUMPRODUCT((P$3:P$95="")*(O$3:O$95="")*(N$3:N$95="")*(M$3:M$95="P")*(G$3:G$95=G74)*(J$3:J$95&gt;J74)*(I$3:I$95="P"))+IF(H74="L5",SUMPRODUCT((P$3:P$95="")*(O$3:O$95="")*(N$3:N$95="")*(M$3:M$95="P")*(G$3:G$95=G74)*(J$3:J$95&lt;J74)*(H$3:H$95&lt;&gt;H74)*(I$3:I$95="P")),-1*SUMPRODUCT((P$3:P$95="")*(O$3:O$95="")*(N$3:N$95="")*(M$3:M$95="P")*(G$3:G$95=G74)*(J$3:J$95&gt;J74)*(H$3:H$95="L5")*(I$3:I$95="P")))+1,"")))))</f>
        <v/>
      </c>
      <c r="B74" s="1" t="str" cm="1">
        <f t="array" ref="B74">IF(P74&lt;&gt;"",SUMPRODUCT((P$3:P$95&lt;&gt;"")*(G$3:G$95=G74)*(J$3:J$95&gt;J74))+1,IF(O74&lt;&gt;"",SUMPRODUCT((O$3:O$95&lt;&gt;"")*(P$3:P$95="")*(G$3:G$95=G74)*(J$3:J$95&gt;J74))+SUMPRODUCT((P$3:P$95&lt;&gt;"")*(G$3:G$95=G74))+1,IF(N74&lt;&gt;"",SUMPRODUCT((N$3:N$95&lt;&gt;"")*(G$3:G$95=G74)*(J$3:J$95&gt;J74))+1,IF(M74="P",SUMPRODUCT((O$3:O$95&lt;&gt;"")*(P$3:P$95="")*(G$3:G$95=G74))+SUMPRODUCT((P$3:P$95&lt;&gt;"")*(G$3:G$95=G74))+SUMPRODUCT((N$3:N$95&lt;&gt;"")*(G$3:G$95=G74))+SUMPRODUCT((P$3:P$95="")*(O$3:O$95="")*(N$3:N$95="")*(M$3:M$95="P")*(G$3:G$95=G74)*(J$3:J$95&gt;J74))+IF(H74="L5",SUMPRODUCT((P$3:P$95="")*(O$3:O$95="")*(N$3:N$95="")*(M$3:M$95="P")*(G$3:G$95=G74)*(J$3:J$95&lt;J74)*(H$3:H$95&lt;&gt;H74)),-1*SUMPRODUCT((P$3:P$95="")*(O$3:O$95="")*(N$3:N$95="")*(M$3:M$95="P")*(G$3:G$95=G74)*(J$3:J$95&gt;J74)*(H$3:H$95="L5")))+1,""))))</f>
        <v/>
      </c>
      <c r="C74" s="35" t="s">
        <v>398</v>
      </c>
      <c r="D74" t="str">
        <f>IF(E74="","",VLOOKUP(E74,'Coaching Points'!A:B,2,0))</f>
        <v>QC</v>
      </c>
      <c r="E74" s="35" t="s">
        <v>3</v>
      </c>
      <c r="F74" s="34">
        <v>2010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R74+S74+IF(OR(H74="Junior",H74="Senior"),0.0002,IF(OR(H74="L7",H74="L6"),0.0001,0))+MAX(Z74,AC74)*0.0000001</f>
        <v>42.700004270000001</v>
      </c>
      <c r="K74" s="3" t="str">
        <f>IF(G74="Not Age Eligible","",IF(MAX(T74,W74,Z74,AC74)&gt;=LOOKUP(G74,'Qualifying Scores'!$A$4:$A$7,'Qualifying Scores'!$F$4:$F$7),"P",""))</f>
        <v/>
      </c>
      <c r="L74" s="3" t="str">
        <f>IF(G74="Not Age Eligible","",IF(MAX(U74,X74,AA74,AD74)&gt;=LOOKUP(G74,'Qualifying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Scores'!$F$10:$F$13)),AND(Z74&gt;=LOOKUP(G74,'Qualifying Scores'!$A$4:$A$7,'Qualifying Scores'!$F$4:$F$7),AA74&gt;=LOOKUP(G74,'Qualifying Scores'!$A$10:$A$13,'Qualifying Scores'!$F$10:$F$13)),AND(W74&gt;=LOOKUP(G74,'Qualifying Scores'!$A$4:$A$7,'Qualifying Scores'!$F$4:$F$7),X74&gt;=LOOKUP(G74,'Qualifying Scores'!$A$10:$A$13,'Qualifying Scores'!$F$10:$F$13)),AND(AC74&gt;=LOOKUP(G74,'Qualifying Scores'!$A$4:$A$7,'Qualifying Scores'!$F$4:$F$7),AD74&gt;=LOOKUP(G74,'Qualifying Scores'!$A$10:$A$13,'Qualifying Scores'!$F$10:$F$13))),"P",""))</f>
        <v/>
      </c>
      <c r="Q74" s="1" t="str">
        <f>IF(A74&lt;5,IF(_xlfn.MAXIFS(A:A,G:G,G74)&gt;3,5-A74,_xlfn.MAXIFS(A:A,G:G,G74)+1-A74),"")</f>
        <v/>
      </c>
      <c r="R74" s="4">
        <f>MAX(T74-IF(OR(H74="Senior"),V74,0),W74-IF(OR(H74="Senior"),Y74,0),Z74-IF(OR(H74="Senior"),AB74,0),AC74-IF(OR(H74="Senior"),AE74,0))</f>
        <v>42.7</v>
      </c>
      <c r="S74" s="4">
        <f>IF(R74=T74-IF(OR(H74="Senior"),V74,0),MAX(W74-IF(OR(H74="Senior"),Y74,0),Z74-IF(OR(H74="Senior"),AB74,0),AC74-IF(OR(H74="Senior"),AE74,0)),IF(R74=W74-IF(OR(H74="Senior"),Y74,0),MAX(T74-IF(OR(H74="Senior"),V74,0),Z74-IF(OR(H74="Senior"),AB74,0),AC74-IF(OR(H74="Senior"),AE74,0)),IF(R74=Z74-IF(OR(H74="Senior"),AB74,0),MAX(T74-IF(OR(H74="Senior"),V74,0),W74-IF(OR(H74="Senior"),Y74,0),AC74-IF(OR(H74="Senior"),AE74,0)),IF(R74=AC74-IF(OR(H74="Senior"),AE74,0),MAX(T74-IF(OR(H74="Senior"),V74,0),W74-IF(OR(H74="Senior"),Y74,0),Z74-IF(OR(H74="Senior"),AB74,0)),0))))</f>
        <v>0</v>
      </c>
      <c r="T74" s="32"/>
      <c r="U74" s="37"/>
      <c r="V74" s="37"/>
      <c r="W74" s="33"/>
      <c r="X74" s="37"/>
      <c r="Y74" s="37"/>
      <c r="Z74" s="32">
        <v>42.7</v>
      </c>
      <c r="AA74" s="37">
        <v>5.6</v>
      </c>
      <c r="AB74" s="37">
        <v>0</v>
      </c>
      <c r="AC74" s="33"/>
      <c r="AD74" s="37"/>
      <c r="AE74" s="37"/>
    </row>
    <row r="75" spans="1:31" x14ac:dyDescent="0.2">
      <c r="A75" s="1" t="str" cm="1">
        <f t="array" ref="A75">IF(I75="","",IF(P75&lt;&gt;"",SUMPRODUCT((P$3:P$95&lt;&gt;"")*(G$3:G$95=G75)*(J$3:J$95&gt;J75)*(I$3:I$95="P"))+1,IF(O75&lt;&gt;"",SUMPRODUCT((O$3:O$95&lt;&gt;"")*(P$3:P$95="")*(G$3:G$95=G75)*(J$3:J$95&gt;J75)*(I$3:I$95="P"))+SUMPRODUCT((P$3:P$95&lt;&gt;"")*(G$3:G$95=G75)*(I$3:I$95="P"))+1,IF(N75&lt;&gt;"",SUMPRODUCT((N$3:N$95&lt;&gt;"")*(G$3:G$95=G75)*(J$3:J$95&gt;J75)*(I$3:I$95="P"))+1,IF(M75="P",SUMPRODUCT((O$3:O$95&lt;&gt;"")*(P$3:P$95="")*(G$3:G$95=G75)*(I$3:I$95="P"))+SUMPRODUCT((P$3:P$95&lt;&gt;"")*(G$3:G$95=G75)*(I$3:I$95="P"))+SUMPRODUCT((N$3:N$95&lt;&gt;"")*(G$3:G$95=G75)*(I$3:I$95="P"))+SUMPRODUCT((P$3:P$95="")*(O$3:O$95="")*(N$3:N$95="")*(M$3:M$95="P")*(G$3:G$95=G75)*(J$3:J$95&gt;J75)*(I$3:I$95="P"))+IF(H75="L5",SUMPRODUCT((P$3:P$95="")*(O$3:O$95="")*(N$3:N$95="")*(M$3:M$95="P")*(G$3:G$95=G75)*(J$3:J$95&lt;J75)*(H$3:H$95&lt;&gt;H75)*(I$3:I$95="P")),-1*SUMPRODUCT((P$3:P$95="")*(O$3:O$95="")*(N$3:N$95="")*(M$3:M$95="P")*(G$3:G$95=G75)*(J$3:J$95&gt;J75)*(H$3:H$95="L5")*(I$3:I$95="P")))+1,"")))))</f>
        <v/>
      </c>
      <c r="B75" s="1" t="str" cm="1">
        <f t="array" ref="B75">IF(P75&lt;&gt;"",SUMPRODUCT((P$3:P$95&lt;&gt;"")*(G$3:G$95=G75)*(J$3:J$95&gt;J75))+1,IF(O75&lt;&gt;"",SUMPRODUCT((O$3:O$95&lt;&gt;"")*(P$3:P$95="")*(G$3:G$95=G75)*(J$3:J$95&gt;J75))+SUMPRODUCT((P$3:P$95&lt;&gt;"")*(G$3:G$95=G75))+1,IF(N75&lt;&gt;"",SUMPRODUCT((N$3:N$95&lt;&gt;"")*(G$3:G$95=G75)*(J$3:J$95&gt;J75))+1,IF(M75="P",SUMPRODUCT((O$3:O$95&lt;&gt;"")*(P$3:P$95="")*(G$3:G$95=G75))+SUMPRODUCT((P$3:P$95&lt;&gt;"")*(G$3:G$95=G75))+SUMPRODUCT((N$3:N$95&lt;&gt;"")*(G$3:G$95=G75))+SUMPRODUCT((P$3:P$95="")*(O$3:O$95="")*(N$3:N$95="")*(M$3:M$95="P")*(G$3:G$95=G75)*(J$3:J$95&gt;J75))+IF(H75="L5",SUMPRODUCT((P$3:P$95="")*(O$3:O$95="")*(N$3:N$95="")*(M$3:M$95="P")*(G$3:G$95=G75)*(J$3:J$95&lt;J75)*(H$3:H$95&lt;&gt;H75)),-1*SUMPRODUCT((P$3:P$95="")*(O$3:O$95="")*(N$3:N$95="")*(M$3:M$95="P")*(G$3:G$95=G75)*(J$3:J$95&gt;J75)*(H$3:H$95="L5")))+1,""))))</f>
        <v/>
      </c>
      <c r="C75" s="35" t="s">
        <v>480</v>
      </c>
      <c r="D75" t="str">
        <f>IF(E75="","",VLOOKUP(E75,'Coaching Points'!A:B,2,0))</f>
        <v>AB</v>
      </c>
      <c r="E75" s="35" t="s">
        <v>361</v>
      </c>
      <c r="F75" s="34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R75+S75+IF(OR(H75="Junior",H75="Senior"),0.0002,IF(OR(H75="L7",H75="L6"),0.0001,0))+MAX(Z75,AC75)*0.0000001</f>
        <v>42.400004240000001</v>
      </c>
      <c r="K75" s="3" t="str">
        <f>IF(G75="Not Age Eligible","",IF(MAX(T75,W75,Z75,AC75)&gt;=LOOKUP(G75,'Qualifying Scores'!$A$4:$A$7,'Qualifying Scores'!$F$4:$F$7),"P",""))</f>
        <v/>
      </c>
      <c r="L75" s="3" t="str">
        <f>IF(G75="Not Age Eligible","",IF(MAX(U75,X75,AA75,AD75)&gt;=LOOKUP(G75,'Qualifying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Scores'!$F$10:$F$13)),AND(Z75&gt;=LOOKUP(G75,'Qualifying Scores'!$A$4:$A$7,'Qualifying Scores'!$F$4:$F$7),AA75&gt;=LOOKUP(G75,'Qualifying Scores'!$A$10:$A$13,'Qualifying Scores'!$F$10:$F$13)),AND(W75&gt;=LOOKUP(G75,'Qualifying Scores'!$A$4:$A$7,'Qualifying Scores'!$F$4:$F$7),X75&gt;=LOOKUP(G75,'Qualifying Scores'!$A$10:$A$13,'Qualifying Scores'!$F$10:$F$13)),AND(AC75&gt;=LOOKUP(G75,'Qualifying Scores'!$A$4:$A$7,'Qualifying Scores'!$F$4:$F$7),AD75&gt;=LOOKUP(G75,'Qualifying Scores'!$A$10:$A$13,'Qualifying Scores'!$F$10:$F$13))),"P",""))</f>
        <v/>
      </c>
      <c r="Q75" s="1" t="str">
        <f>IF(A75&lt;5,IF(_xlfn.MAXIFS(A:A,G:G,G75)&gt;3,5-A75,_xlfn.MAXIFS(A:A,G:G,G75)+1-A75),"")</f>
        <v/>
      </c>
      <c r="R75" s="4">
        <f>MAX(T75-IF(OR(H75="Senior"),V75,0),W75-IF(OR(H75="Senior"),Y75,0),Z75-IF(OR(H75="Senior"),AB75,0),AC75-IF(OR(H75="Senior"),AE75,0))</f>
        <v>42.4</v>
      </c>
      <c r="S75" s="4">
        <f>IF(R75=T75-IF(OR(H75="Senior"),V75,0),MAX(W75-IF(OR(H75="Senior"),Y75,0),Z75-IF(OR(H75="Senior"),AB75,0),AC75-IF(OR(H75="Senior"),AE75,0)),IF(R75=W75-IF(OR(H75="Senior"),Y75,0),MAX(T75-IF(OR(H75="Senior"),V75,0),Z75-IF(OR(H75="Senior"),AB75,0),AC75-IF(OR(H75="Senior"),AE75,0)),IF(R75=Z75-IF(OR(H75="Senior"),AB75,0),MAX(T75-IF(OR(H75="Senior"),V75,0),W75-IF(OR(H75="Senior"),Y75,0),AC75-IF(OR(H75="Senior"),AE75,0)),IF(R75=AC75-IF(OR(H75="Senior"),AE75,0),MAX(T75-IF(OR(H75="Senior"),V75,0),W75-IF(OR(H75="Senior"),Y75,0),Z75-IF(OR(H75="Senior"),AB75,0)),0))))</f>
        <v>0</v>
      </c>
      <c r="T75" s="32"/>
      <c r="U75" s="37"/>
      <c r="V75" s="37"/>
      <c r="W75" s="33"/>
      <c r="X75" s="37"/>
      <c r="Y75" s="37"/>
      <c r="Z75" s="32">
        <v>42.4</v>
      </c>
      <c r="AA75" s="37">
        <v>6.4</v>
      </c>
      <c r="AB75" s="37">
        <v>0</v>
      </c>
      <c r="AC75" s="33"/>
      <c r="AD75" s="37"/>
      <c r="AE75" s="37"/>
    </row>
    <row r="76" spans="1:31" x14ac:dyDescent="0.2">
      <c r="A76" s="1" t="str" cm="1">
        <f t="array" ref="A76">IF(I76="","",IF(P76&lt;&gt;"",SUMPRODUCT((P$3:P$95&lt;&gt;"")*(G$3:G$95=G76)*(J$3:J$95&gt;J76)*(I$3:I$95="P"))+1,IF(O76&lt;&gt;"",SUMPRODUCT((O$3:O$95&lt;&gt;"")*(P$3:P$95="")*(G$3:G$95=G76)*(J$3:J$95&gt;J76)*(I$3:I$95="P"))+SUMPRODUCT((P$3:P$95&lt;&gt;"")*(G$3:G$95=G76)*(I$3:I$95="P"))+1,IF(N76&lt;&gt;"",SUMPRODUCT((N$3:N$95&lt;&gt;"")*(G$3:G$95=G76)*(J$3:J$95&gt;J76)*(I$3:I$95="P"))+1,IF(M76="P",SUMPRODUCT((O$3:O$95&lt;&gt;"")*(P$3:P$95="")*(G$3:G$95=G76)*(I$3:I$95="P"))+SUMPRODUCT((P$3:P$95&lt;&gt;"")*(G$3:G$95=G76)*(I$3:I$95="P"))+SUMPRODUCT((N$3:N$95&lt;&gt;"")*(G$3:G$95=G76)*(I$3:I$95="P"))+SUMPRODUCT((P$3:P$95="")*(O$3:O$95="")*(N$3:N$95="")*(M$3:M$95="P")*(G$3:G$95=G76)*(J$3:J$95&gt;J76)*(I$3:I$95="P"))+IF(H76="L5",SUMPRODUCT((P$3:P$95="")*(O$3:O$95="")*(N$3:N$95="")*(M$3:M$95="P")*(G$3:G$95=G76)*(J$3:J$95&lt;J76)*(H$3:H$95&lt;&gt;H76)*(I$3:I$95="P")),-1*SUMPRODUCT((P$3:P$95="")*(O$3:O$95="")*(N$3:N$95="")*(M$3:M$95="P")*(G$3:G$95=G76)*(J$3:J$95&gt;J76)*(H$3:H$95="L5")*(I$3:I$95="P")))+1,"")))))</f>
        <v/>
      </c>
      <c r="B76" s="1" t="str" cm="1">
        <f t="array" ref="B76">IF(P76&lt;&gt;"",SUMPRODUCT((P$3:P$95&lt;&gt;"")*(G$3:G$95=G76)*(J$3:J$95&gt;J76))+1,IF(O76&lt;&gt;"",SUMPRODUCT((O$3:O$95&lt;&gt;"")*(P$3:P$95="")*(G$3:G$95=G76)*(J$3:J$95&gt;J76))+SUMPRODUCT((P$3:P$95&lt;&gt;"")*(G$3:G$95=G76))+1,IF(N76&lt;&gt;"",SUMPRODUCT((N$3:N$95&lt;&gt;"")*(G$3:G$95=G76)*(J$3:J$95&gt;J76))+1,IF(M76="P",SUMPRODUCT((O$3:O$95&lt;&gt;"")*(P$3:P$95="")*(G$3:G$95=G76))+SUMPRODUCT((P$3:P$95&lt;&gt;"")*(G$3:G$95=G76))+SUMPRODUCT((N$3:N$95&lt;&gt;"")*(G$3:G$95=G76))+SUMPRODUCT((P$3:P$95="")*(O$3:O$95="")*(N$3:N$95="")*(M$3:M$95="P")*(G$3:G$95=G76)*(J$3:J$95&gt;J76))+IF(H76="L5",SUMPRODUCT((P$3:P$95="")*(O$3:O$95="")*(N$3:N$95="")*(M$3:M$95="P")*(G$3:G$95=G76)*(J$3:J$95&lt;J76)*(H$3:H$95&lt;&gt;H76)),-1*SUMPRODUCT((P$3:P$95="")*(O$3:O$95="")*(N$3:N$95="")*(M$3:M$95="P")*(G$3:G$95=G76)*(J$3:J$95&gt;J76)*(H$3:H$95="L5")))+1,""))))</f>
        <v/>
      </c>
      <c r="C76" s="35" t="s">
        <v>481</v>
      </c>
      <c r="D76" t="str">
        <f>IF(E76="","",VLOOKUP(E76,'Coaching Points'!A:B,2,0))</f>
        <v>SK</v>
      </c>
      <c r="E76" s="35" t="s">
        <v>287</v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R76+S76+IF(OR(H76="Junior",H76="Senior"),0.0002,IF(OR(H76="L7",H76="L6"),0.0001,0))+MAX(Z76,AC76)*0.0000001</f>
        <v>42.100004210000002</v>
      </c>
      <c r="K76" s="3" t="str">
        <f>IF(G76="Not Age Eligible","",IF(MAX(T76,W76,Z76,AC76)&gt;=LOOKUP(G76,'Qualifying Scores'!$A$4:$A$7,'Qualifying Scores'!$F$4:$F$7),"P",""))</f>
        <v/>
      </c>
      <c r="L76" s="3" t="str">
        <f>IF(G76="Not Age Eligible","",IF(MAX(U76,X76,AA76,AD76)&gt;=LOOKUP(G76,'Qualifying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Scores'!$F$10:$F$13)),AND(Z76&gt;=LOOKUP(G76,'Qualifying Scores'!$A$4:$A$7,'Qualifying Scores'!$F$4:$F$7),AA76&gt;=LOOKUP(G76,'Qualifying Scores'!$A$10:$A$13,'Qualifying Scores'!$F$10:$F$13)),AND(W76&gt;=LOOKUP(G76,'Qualifying Scores'!$A$4:$A$7,'Qualifying Scores'!$F$4:$F$7),X76&gt;=LOOKUP(G76,'Qualifying Scores'!$A$10:$A$13,'Qualifying Scores'!$F$10:$F$13)),AND(AC76&gt;=LOOKUP(G76,'Qualifying Scores'!$A$4:$A$7,'Qualifying Scores'!$F$4:$F$7),AD76&gt;=LOOKUP(G76,'Qualifying Scores'!$A$10:$A$13,'Qualifying Scores'!$F$10:$F$13))),"P",""))</f>
        <v/>
      </c>
      <c r="Q76" s="1" t="str">
        <f>IF(A76&lt;5,IF(_xlfn.MAXIFS(A:A,G:G,G76)&gt;3,5-A76,_xlfn.MAXIFS(A:A,G:G,G76)+1-A76),"")</f>
        <v/>
      </c>
      <c r="R76" s="4">
        <f>MAX(T76-IF(OR(H76="Senior"),V76,0),W76-IF(OR(H76="Senior"),Y76,0),Z76-IF(OR(H76="Senior"),AB76,0),AC76-IF(OR(H76="Senior"),AE76,0))</f>
        <v>42.1</v>
      </c>
      <c r="S76" s="4">
        <f>IF(R76=T76-IF(OR(H76="Senior"),V76,0),MAX(W76-IF(OR(H76="Senior"),Y76,0),Z76-IF(OR(H76="Senior"),AB76,0),AC76-IF(OR(H76="Senior"),AE76,0)),IF(R76=W76-IF(OR(H76="Senior"),Y76,0),MAX(T76-IF(OR(H76="Senior"),V76,0),Z76-IF(OR(H76="Senior"),AB76,0),AC76-IF(OR(H76="Senior"),AE76,0)),IF(R76=Z76-IF(OR(H76="Senior"),AB76,0),MAX(T76-IF(OR(H76="Senior"),V76,0),W76-IF(OR(H76="Senior"),Y76,0),AC76-IF(OR(H76="Senior"),AE76,0)),IF(R76=AC76-IF(OR(H76="Senior"),AE76,0),MAX(T76-IF(OR(H76="Senior"),V76,0),W76-IF(OR(H76="Senior"),Y76,0),Z76-IF(OR(H76="Senior"),AB76,0)),0))))</f>
        <v>0</v>
      </c>
      <c r="T76" s="32"/>
      <c r="U76" s="37"/>
      <c r="V76" s="37"/>
      <c r="W76" s="33"/>
      <c r="X76" s="37"/>
      <c r="Y76" s="37"/>
      <c r="Z76" s="32">
        <v>42.1</v>
      </c>
      <c r="AA76" s="37">
        <v>5.4</v>
      </c>
      <c r="AB76" s="37">
        <v>0</v>
      </c>
      <c r="AC76" s="33"/>
      <c r="AD76" s="37"/>
      <c r="AE76" s="37"/>
    </row>
    <row r="77" spans="1:31" x14ac:dyDescent="0.2">
      <c r="A77" s="1" t="str" cm="1">
        <f t="array" ref="A77">IF(I77="","",IF(P77&lt;&gt;"",SUMPRODUCT((P$3:P$95&lt;&gt;"")*(G$3:G$95=G77)*(J$3:J$95&gt;J77)*(I$3:I$95="P"))+1,IF(O77&lt;&gt;"",SUMPRODUCT((O$3:O$95&lt;&gt;"")*(P$3:P$95="")*(G$3:G$95=G77)*(J$3:J$95&gt;J77)*(I$3:I$95="P"))+SUMPRODUCT((P$3:P$95&lt;&gt;"")*(G$3:G$95=G77)*(I$3:I$95="P"))+1,IF(N77&lt;&gt;"",SUMPRODUCT((N$3:N$95&lt;&gt;"")*(G$3:G$95=G77)*(J$3:J$95&gt;J77)*(I$3:I$95="P"))+1,IF(M77="P",SUMPRODUCT((O$3:O$95&lt;&gt;"")*(P$3:P$95="")*(G$3:G$95=G77)*(I$3:I$95="P"))+SUMPRODUCT((P$3:P$95&lt;&gt;"")*(G$3:G$95=G77)*(I$3:I$95="P"))+SUMPRODUCT((N$3:N$95&lt;&gt;"")*(G$3:G$95=G77)*(I$3:I$95="P"))+SUMPRODUCT((P$3:P$95="")*(O$3:O$95="")*(N$3:N$95="")*(M$3:M$95="P")*(G$3:G$95=G77)*(J$3:J$95&gt;J77)*(I$3:I$95="P"))+IF(H77="L5",SUMPRODUCT((P$3:P$95="")*(O$3:O$95="")*(N$3:N$95="")*(M$3:M$95="P")*(G$3:G$95=G77)*(J$3:J$95&lt;J77)*(H$3:H$95&lt;&gt;H77)*(I$3:I$95="P")),-1*SUMPRODUCT((P$3:P$95="")*(O$3:O$95="")*(N$3:N$95="")*(M$3:M$95="P")*(G$3:G$95=G77)*(J$3:J$95&gt;J77)*(H$3:H$95="L5")*(I$3:I$95="P")))+1,"")))))</f>
        <v/>
      </c>
      <c r="B77" s="1" t="str" cm="1">
        <f t="array" ref="B77">IF(P77&lt;&gt;"",SUMPRODUCT((P$3:P$95&lt;&gt;"")*(G$3:G$95=G77)*(J$3:J$95&gt;J77))+1,IF(O77&lt;&gt;"",SUMPRODUCT((O$3:O$95&lt;&gt;"")*(P$3:P$95="")*(G$3:G$95=G77)*(J$3:J$95&gt;J77))+SUMPRODUCT((P$3:P$95&lt;&gt;"")*(G$3:G$95=G77))+1,IF(N77&lt;&gt;"",SUMPRODUCT((N$3:N$95&lt;&gt;"")*(G$3:G$95=G77)*(J$3:J$95&gt;J77))+1,IF(M77="P",SUMPRODUCT((O$3:O$95&lt;&gt;"")*(P$3:P$95="")*(G$3:G$95=G77))+SUMPRODUCT((P$3:P$95&lt;&gt;"")*(G$3:G$95=G77))+SUMPRODUCT((N$3:N$95&lt;&gt;"")*(G$3:G$95=G77))+SUMPRODUCT((P$3:P$95="")*(O$3:O$95="")*(N$3:N$95="")*(M$3:M$95="P")*(G$3:G$95=G77)*(J$3:J$95&gt;J77))+IF(H77="L5",SUMPRODUCT((P$3:P$95="")*(O$3:O$95="")*(N$3:N$95="")*(M$3:M$95="P")*(G$3:G$95=G77)*(J$3:J$95&lt;J77)*(H$3:H$95&lt;&gt;H77)),-1*SUMPRODUCT((P$3:P$95="")*(O$3:O$95="")*(N$3:N$95="")*(M$3:M$95="P")*(G$3:G$95=G77)*(J$3:J$95&gt;J77)*(H$3:H$95="L5")))+1,""))))</f>
        <v/>
      </c>
      <c r="C77" s="35" t="s">
        <v>482</v>
      </c>
      <c r="D77" t="str">
        <f>IF(E77="","",VLOOKUP(E77,'Coaching Points'!A:B,2,0))</f>
        <v>AB</v>
      </c>
      <c r="E77" s="35" t="s">
        <v>61</v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R77+S77+IF(OR(H77="Junior",H77="Senior"),0.0002,IF(OR(H77="L7",H77="L6"),0.0001,0))+MAX(Z77,AC77)*0.0000001</f>
        <v>37.30000373</v>
      </c>
      <c r="K77" s="3" t="str">
        <f>IF(G77="Not Age Eligible","",IF(MAX(T77,W77,Z77,AC77)&gt;=LOOKUP(G77,'Qualifying Scores'!$A$4:$A$7,'Qualifying Scores'!$F$4:$F$7),"P",""))</f>
        <v/>
      </c>
      <c r="L77" s="3" t="str">
        <f>IF(G77="Not Age Eligible","",IF(MAX(U77,X77,AA77,AD77)&gt;=LOOKUP(G77,'Qualifying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Scores'!$F$10:$F$13)),AND(Z77&gt;=LOOKUP(G77,'Qualifying Scores'!$A$4:$A$7,'Qualifying Scores'!$F$4:$F$7),AA77&gt;=LOOKUP(G77,'Qualifying Scores'!$A$10:$A$13,'Qualifying Scores'!$F$10:$F$13)),AND(W77&gt;=LOOKUP(G77,'Qualifying Scores'!$A$4:$A$7,'Qualifying Scores'!$F$4:$F$7),X77&gt;=LOOKUP(G77,'Qualifying Scores'!$A$10:$A$13,'Qualifying Scores'!$F$10:$F$13)),AND(AC77&gt;=LOOKUP(G77,'Qualifying Scores'!$A$4:$A$7,'Qualifying Scores'!$F$4:$F$7),AD77&gt;=LOOKUP(G77,'Qualifying Scores'!$A$10:$A$13,'Qualifying Scores'!$F$10:$F$13))),"P",""))</f>
        <v/>
      </c>
      <c r="Q77" s="1" t="str">
        <f>IF(A77&lt;5,IF(_xlfn.MAXIFS(A:A,G:G,G77)&gt;3,5-A77,_xlfn.MAXIFS(A:A,G:G,G77)+1-A77),"")</f>
        <v/>
      </c>
      <c r="R77" s="4">
        <f>MAX(T77-IF(OR(H77="Senior"),V77,0),W77-IF(OR(H77="Senior"),Y77,0),Z77-IF(OR(H77="Senior"),AB77,0),AC77-IF(OR(H77="Senior"),AE77,0))</f>
        <v>37.299999999999997</v>
      </c>
      <c r="S77" s="4">
        <f>IF(R77=T77-IF(OR(H77="Senior"),V77,0),MAX(W77-IF(OR(H77="Senior"),Y77,0),Z77-IF(OR(H77="Senior"),AB77,0),AC77-IF(OR(H77="Senior"),AE77,0)),IF(R77=W77-IF(OR(H77="Senior"),Y77,0),MAX(T77-IF(OR(H77="Senior"),V77,0),Z77-IF(OR(H77="Senior"),AB77,0),AC77-IF(OR(H77="Senior"),AE77,0)),IF(R77=Z77-IF(OR(H77="Senior"),AB77,0),MAX(T77-IF(OR(H77="Senior"),V77,0),W77-IF(OR(H77="Senior"),Y77,0),AC77-IF(OR(H77="Senior"),AE77,0)),IF(R77=AC77-IF(OR(H77="Senior"),AE77,0),MAX(T77-IF(OR(H77="Senior"),V77,0),W77-IF(OR(H77="Senior"),Y77,0),Z77-IF(OR(H77="Senior"),AB77,0)),0))))</f>
        <v>0</v>
      </c>
      <c r="T77" s="32"/>
      <c r="U77" s="37"/>
      <c r="V77" s="37"/>
      <c r="W77" s="33"/>
      <c r="X77" s="37"/>
      <c r="Y77" s="37"/>
      <c r="Z77" s="32">
        <v>37.299999999999997</v>
      </c>
      <c r="AA77" s="37">
        <v>3.8000000000000003</v>
      </c>
      <c r="AB77" s="37">
        <v>0</v>
      </c>
      <c r="AC77" s="33"/>
      <c r="AD77" s="37"/>
      <c r="AE77" s="37"/>
    </row>
    <row r="78" spans="1:31" x14ac:dyDescent="0.2">
      <c r="A78" s="1" t="str" cm="1">
        <f t="array" ref="A78">IF(I78="","",IF(P78&lt;&gt;"",SUMPRODUCT((P$3:P$95&lt;&gt;"")*(G$3:G$95=G78)*(J$3:J$95&gt;J78)*(I$3:I$95="P"))+1,IF(O78&lt;&gt;"",SUMPRODUCT((O$3:O$95&lt;&gt;"")*(P$3:P$95="")*(G$3:G$95=G78)*(J$3:J$95&gt;J78)*(I$3:I$95="P"))+SUMPRODUCT((P$3:P$95&lt;&gt;"")*(G$3:G$95=G78)*(I$3:I$95="P"))+1,IF(N78&lt;&gt;"",SUMPRODUCT((N$3:N$95&lt;&gt;"")*(G$3:G$95=G78)*(J$3:J$95&gt;J78)*(I$3:I$95="P"))+1,IF(M78="P",SUMPRODUCT((O$3:O$95&lt;&gt;"")*(P$3:P$95="")*(G$3:G$95=G78)*(I$3:I$95="P"))+SUMPRODUCT((P$3:P$95&lt;&gt;"")*(G$3:G$95=G78)*(I$3:I$95="P"))+SUMPRODUCT((N$3:N$95&lt;&gt;"")*(G$3:G$95=G78)*(I$3:I$95="P"))+SUMPRODUCT((P$3:P$95="")*(O$3:O$95="")*(N$3:N$95="")*(M$3:M$95="P")*(G$3:G$95=G78)*(J$3:J$95&gt;J78)*(I$3:I$95="P"))+IF(H78="L5",SUMPRODUCT((P$3:P$95="")*(O$3:O$95="")*(N$3:N$95="")*(M$3:M$95="P")*(G$3:G$95=G78)*(J$3:J$95&lt;J78)*(H$3:H$95&lt;&gt;H78)*(I$3:I$95="P")),-1*SUMPRODUCT((P$3:P$95="")*(O$3:O$95="")*(N$3:N$95="")*(M$3:M$95="P")*(G$3:G$95=G78)*(J$3:J$95&gt;J78)*(H$3:H$95="L5")*(I$3:I$95="P")))+1,"")))))</f>
        <v/>
      </c>
      <c r="B78" s="1" t="str" cm="1">
        <f t="array" ref="B78">IF(P78&lt;&gt;"",SUMPRODUCT((P$3:P$95&lt;&gt;"")*(G$3:G$95=G78)*(J$3:J$95&gt;J78))+1,IF(O78&lt;&gt;"",SUMPRODUCT((O$3:O$95&lt;&gt;"")*(P$3:P$95="")*(G$3:G$95=G78)*(J$3:J$95&gt;J78))+SUMPRODUCT((P$3:P$95&lt;&gt;"")*(G$3:G$95=G78))+1,IF(N78&lt;&gt;"",SUMPRODUCT((N$3:N$95&lt;&gt;"")*(G$3:G$95=G78)*(J$3:J$95&gt;J78))+1,IF(M78="P",SUMPRODUCT((O$3:O$95&lt;&gt;"")*(P$3:P$95="")*(G$3:G$95=G78))+SUMPRODUCT((P$3:P$95&lt;&gt;"")*(G$3:G$95=G78))+SUMPRODUCT((N$3:N$95&lt;&gt;"")*(G$3:G$95=G78))+SUMPRODUCT((P$3:P$95="")*(O$3:O$95="")*(N$3:N$95="")*(M$3:M$95="P")*(G$3:G$95=G78)*(J$3:J$95&gt;J78))+IF(H78="L5",SUMPRODUCT((P$3:P$95="")*(O$3:O$95="")*(N$3:N$95="")*(M$3:M$95="P")*(G$3:G$95=G78)*(J$3:J$95&lt;J78)*(H$3:H$95&lt;&gt;H78)),-1*SUMPRODUCT((P$3:P$95="")*(O$3:O$95="")*(N$3:N$95="")*(M$3:M$95="P")*(G$3:G$95=G78)*(J$3:J$95&gt;J78)*(H$3:H$95="L5")))+1,""))))</f>
        <v/>
      </c>
      <c r="C78" s="35" t="s">
        <v>354</v>
      </c>
      <c r="D78" t="str">
        <f>IF(E78="","",VLOOKUP(E78,'Coaching Points'!A:B,2,0))</f>
        <v>QC</v>
      </c>
      <c r="E78" s="35" t="s">
        <v>75</v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>R78+S78+IF(OR(H78="Junior",H78="Senior"),0.0002,IF(OR(H78="L7",H78="L6"),0.0001,0))+MAX(Z78,AC78)*0.0000001</f>
        <v>21.5</v>
      </c>
      <c r="K78" s="3" t="str">
        <f>IF(G78="Not Age Eligible","",IF(MAX(T78,W78,Z78,AC78)&gt;=LOOKUP(G78,'Qualifying Scores'!$A$4:$A$7,'Qualifying Scores'!$F$4:$F$7),"P",""))</f>
        <v/>
      </c>
      <c r="L78" s="3" t="str">
        <f>IF(G78="Not Age Eligible","",IF(MAX(U78,X78,AA78,AD78)&gt;=LOOKUP(G78,'Qualifying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Scores'!$F$10:$F$13)),AND(Z78&gt;=LOOKUP(G78,'Qualifying Scores'!$A$4:$A$7,'Qualifying Scores'!$F$4:$F$7),AA78&gt;=LOOKUP(G78,'Qualifying Scores'!$A$10:$A$13,'Qualifying Scores'!$F$10:$F$13)),AND(W78&gt;=LOOKUP(G78,'Qualifying Scores'!$A$4:$A$7,'Qualifying Scores'!$F$4:$F$7),X78&gt;=LOOKUP(G78,'Qualifying Scores'!$A$10:$A$13,'Qualifying Scores'!$F$10:$F$13)),AND(AC78&gt;=LOOKUP(G78,'Qualifying Scores'!$A$4:$A$7,'Qualifying Scores'!$F$4:$F$7),AD78&gt;=LOOKUP(G78,'Qualifying Scores'!$A$10:$A$13,'Qualifying Scores'!$F$10:$F$13))),"P",""))</f>
        <v/>
      </c>
      <c r="Q78" s="1" t="str">
        <f>IF(A78&lt;5,IF(_xlfn.MAXIFS(A:A,G:G,G78)&gt;3,5-A78,_xlfn.MAXIFS(A:A,G:G,G78)+1-A78),"")</f>
        <v/>
      </c>
      <c r="R78" s="4">
        <f>MAX(T78-IF(OR(H78="Senior"),V78,0),W78-IF(OR(H78="Senior"),Y78,0),Z78-IF(OR(H78="Senior"),AB78,0),AC78-IF(OR(H78="Senior"),AE78,0))</f>
        <v>21.5</v>
      </c>
      <c r="S78" s="4">
        <f>IF(R78=T78-IF(OR(H78="Senior"),V78,0),MAX(W78-IF(OR(H78="Senior"),Y78,0),Z78-IF(OR(H78="Senior"),AB78,0),AC78-IF(OR(H78="Senior"),AE78,0)),IF(R78=W78-IF(OR(H78="Senior"),Y78,0),MAX(T78-IF(OR(H78="Senior"),V78,0),Z78-IF(OR(H78="Senior"),AB78,0),AC78-IF(OR(H78="Senior"),AE78,0)),IF(R78=Z78-IF(OR(H78="Senior"),AB78,0),MAX(T78-IF(OR(H78="Senior"),V78,0),W78-IF(OR(H78="Senior"),Y78,0),AC78-IF(OR(H78="Senior"),AE78,0)),IF(R78=AC78-IF(OR(H78="Senior"),AE78,0),MAX(T78-IF(OR(H78="Senior"),V78,0),W78-IF(OR(H78="Senior"),Y78,0),Z78-IF(OR(H78="Senior"),AB78,0)),0))))</f>
        <v>0</v>
      </c>
      <c r="T78" s="32">
        <v>21.5</v>
      </c>
      <c r="U78" s="37">
        <v>3</v>
      </c>
      <c r="V78" s="37">
        <v>0</v>
      </c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A79" s="1" t="str" cm="1">
        <f t="array" ref="A79">IF(I79="","",IF(P79&lt;&gt;"",SUMPRODUCT((P$3:P$95&lt;&gt;"")*(G$3:G$95=G79)*(J$3:J$95&gt;J79)*(I$3:I$95="P"))+1,IF(O79&lt;&gt;"",SUMPRODUCT((O$3:O$95&lt;&gt;"")*(P$3:P$95="")*(G$3:G$95=G79)*(J$3:J$95&gt;J79)*(I$3:I$95="P"))+SUMPRODUCT((P$3:P$95&lt;&gt;"")*(G$3:G$95=G79)*(I$3:I$95="P"))+1,IF(N79&lt;&gt;"",SUMPRODUCT((N$3:N$95&lt;&gt;"")*(G$3:G$95=G79)*(J$3:J$95&gt;J79)*(I$3:I$95="P"))+1,IF(M79="P",SUMPRODUCT((O$3:O$95&lt;&gt;"")*(P$3:P$95="")*(G$3:G$95=G79)*(I$3:I$95="P"))+SUMPRODUCT((P$3:P$95&lt;&gt;"")*(G$3:G$95=G79)*(I$3:I$95="P"))+SUMPRODUCT((N$3:N$95&lt;&gt;"")*(G$3:G$95=G79)*(I$3:I$95="P"))+SUMPRODUCT((P$3:P$95="")*(O$3:O$95="")*(N$3:N$95="")*(M$3:M$95="P")*(G$3:G$95=G79)*(J$3:J$95&gt;J79)*(I$3:I$95="P"))+IF(H79="L5",SUMPRODUCT((P$3:P$95="")*(O$3:O$95="")*(N$3:N$95="")*(M$3:M$95="P")*(G$3:G$95=G79)*(J$3:J$95&lt;J79)*(H$3:H$95&lt;&gt;H79)*(I$3:I$95="P")),-1*SUMPRODUCT((P$3:P$95="")*(O$3:O$95="")*(N$3:N$95="")*(M$3:M$95="P")*(G$3:G$95=G79)*(J$3:J$95&gt;J79)*(H$3:H$95="L5")*(I$3:I$95="P")))+1,"")))))</f>
        <v/>
      </c>
      <c r="B79" s="1" t="str" cm="1">
        <f t="array" ref="B79">IF(P79&lt;&gt;"",SUMPRODUCT((P$3:P$95&lt;&gt;"")*(G$3:G$95=G79)*(J$3:J$95&gt;J79))+1,IF(O79&lt;&gt;"",SUMPRODUCT((O$3:O$95&lt;&gt;"")*(P$3:P$95="")*(G$3:G$95=G79)*(J$3:J$95&gt;J79))+SUMPRODUCT((P$3:P$95&lt;&gt;"")*(G$3:G$95=G79))+1,IF(N79&lt;&gt;"",SUMPRODUCT((N$3:N$95&lt;&gt;"")*(G$3:G$95=G79)*(J$3:J$95&gt;J79))+1,IF(M79="P",SUMPRODUCT((O$3:O$95&lt;&gt;"")*(P$3:P$95="")*(G$3:G$95=G79))+SUMPRODUCT((P$3:P$95&lt;&gt;"")*(G$3:G$95=G79))+SUMPRODUCT((N$3:N$95&lt;&gt;"")*(G$3:G$95=G79))+SUMPRODUCT((P$3:P$95="")*(O$3:O$95="")*(N$3:N$95="")*(M$3:M$95="P")*(G$3:G$95=G79)*(J$3:J$95&gt;J79))+IF(H79="L5",SUMPRODUCT((P$3:P$95="")*(O$3:O$95="")*(N$3:N$95="")*(M$3:M$95="P")*(G$3:G$95=G79)*(J$3:J$95&lt;J79)*(H$3:H$95&lt;&gt;H79)),-1*SUMPRODUCT((P$3:P$95="")*(O$3:O$95="")*(N$3:N$95="")*(M$3:M$95="P")*(G$3:G$95=G79)*(J$3:J$95&gt;J79)*(H$3:H$95="L5")))+1,""))))</f>
        <v/>
      </c>
      <c r="C79" s="35" t="s">
        <v>355</v>
      </c>
      <c r="D79" t="str">
        <f>IF(E79="","",VLOOKUP(E79,'Coaching Points'!A:B,2,0))</f>
        <v>QC</v>
      </c>
      <c r="E79" s="35" t="s">
        <v>174</v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>R79+S79+IF(OR(H79="Junior",H79="Senior"),0.0002,IF(OR(H79="L7",H79="L6"),0.0001,0))+MAX(Z79,AC79)*0.0000001</f>
        <v>20.9</v>
      </c>
      <c r="K79" s="3" t="str">
        <f>IF(G79="Not Age Eligible","",IF(MAX(T79,W79,Z79,AC79)&gt;=LOOKUP(G79,'Qualifying Scores'!$A$4:$A$7,'Qualifying Scores'!$F$4:$F$7),"P",""))</f>
        <v/>
      </c>
      <c r="L79" s="3" t="str">
        <f>IF(G79="Not Age Eligible","",IF(MAX(U79,X79,AA79,AD79)&gt;=LOOKUP(G79,'Qualifying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Scores'!$F$10:$F$13)),AND(Z79&gt;=LOOKUP(G79,'Qualifying Scores'!$A$4:$A$7,'Qualifying Scores'!$F$4:$F$7),AA79&gt;=LOOKUP(G79,'Qualifying Scores'!$A$10:$A$13,'Qualifying Scores'!$F$10:$F$13)),AND(W79&gt;=LOOKUP(G79,'Qualifying Scores'!$A$4:$A$7,'Qualifying Scores'!$F$4:$F$7),X79&gt;=LOOKUP(G79,'Qualifying Scores'!$A$10:$A$13,'Qualifying Scores'!$F$10:$F$13)),AND(AC79&gt;=LOOKUP(G79,'Qualifying Scores'!$A$4:$A$7,'Qualifying Scores'!$F$4:$F$7),AD79&gt;=LOOKUP(G79,'Qualifying Scores'!$A$10:$A$13,'Qualifying Scores'!$F$10:$F$13))),"P",""))</f>
        <v/>
      </c>
      <c r="Q79" s="1" t="str">
        <f>IF(A79&lt;5,IF(_xlfn.MAXIFS(A:A,G:G,G79)&gt;3,5-A79,_xlfn.MAXIFS(A:A,G:G,G79)+1-A79),"")</f>
        <v/>
      </c>
      <c r="R79" s="4">
        <f>MAX(T79-IF(OR(H79="Senior"),V79,0),W79-IF(OR(H79="Senior"),Y79,0),Z79-IF(OR(H79="Senior"),AB79,0),AC79-IF(OR(H79="Senior"),AE79,0))</f>
        <v>20.9</v>
      </c>
      <c r="S79" s="4">
        <f>IF(R79=T79-IF(OR(H79="Senior"),V79,0),MAX(W79-IF(OR(H79="Senior"),Y79,0),Z79-IF(OR(H79="Senior"),AB79,0),AC79-IF(OR(H79="Senior"),AE79,0)),IF(R79=W79-IF(OR(H79="Senior"),Y79,0),MAX(T79-IF(OR(H79="Senior"),V79,0),Z79-IF(OR(H79="Senior"),AB79,0),AC79-IF(OR(H79="Senior"),AE79,0)),IF(R79=Z79-IF(OR(H79="Senior"),AB79,0),MAX(T79-IF(OR(H79="Senior"),V79,0),W79-IF(OR(H79="Senior"),Y79,0),AC79-IF(OR(H79="Senior"),AE79,0)),IF(R79=AC79-IF(OR(H79="Senior"),AE79,0),MAX(T79-IF(OR(H79="Senior"),V79,0),W79-IF(OR(H79="Senior"),Y79,0),Z79-IF(OR(H79="Senior"),AB79,0)),0))))</f>
        <v>0</v>
      </c>
      <c r="T79" s="32">
        <v>20.9</v>
      </c>
      <c r="U79" s="37">
        <v>2.7</v>
      </c>
      <c r="V79" s="37">
        <v>0</v>
      </c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A80" s="1" t="str" cm="1">
        <f t="array" ref="A80">IF(I80="","",IF(P80&lt;&gt;"",SUMPRODUCT((P$3:P$95&lt;&gt;"")*(G$3:G$95=G80)*(J$3:J$95&gt;J80)*(I$3:I$95="P"))+1,IF(O80&lt;&gt;"",SUMPRODUCT((O$3:O$95&lt;&gt;"")*(P$3:P$95="")*(G$3:G$95=G80)*(J$3:J$95&gt;J80)*(I$3:I$95="P"))+SUMPRODUCT((P$3:P$95&lt;&gt;"")*(G$3:G$95=G80)*(I$3:I$95="P"))+1,IF(N80&lt;&gt;"",SUMPRODUCT((N$3:N$95&lt;&gt;"")*(G$3:G$95=G80)*(J$3:J$95&gt;J80)*(I$3:I$95="P"))+1,IF(M80="P",SUMPRODUCT((O$3:O$95&lt;&gt;"")*(P$3:P$95="")*(G$3:G$95=G80)*(I$3:I$95="P"))+SUMPRODUCT((P$3:P$95&lt;&gt;"")*(G$3:G$95=G80)*(I$3:I$95="P"))+SUMPRODUCT((N$3:N$95&lt;&gt;"")*(G$3:G$95=G80)*(I$3:I$95="P"))+SUMPRODUCT((P$3:P$95="")*(O$3:O$95="")*(N$3:N$95="")*(M$3:M$95="P")*(G$3:G$95=G80)*(J$3:J$95&gt;J80)*(I$3:I$95="P"))+IF(H80="L5",SUMPRODUCT((P$3:P$95="")*(O$3:O$95="")*(N$3:N$95="")*(M$3:M$95="P")*(G$3:G$95=G80)*(J$3:J$95&lt;J80)*(H$3:H$95&lt;&gt;H80)*(I$3:I$95="P")),-1*SUMPRODUCT((P$3:P$95="")*(O$3:O$95="")*(N$3:N$95="")*(M$3:M$95="P")*(G$3:G$95=G80)*(J$3:J$95&gt;J80)*(H$3:H$95="L5")*(I$3:I$95="P")))+1,"")))))</f>
        <v/>
      </c>
      <c r="B80" s="1" cm="1">
        <f t="array" ref="B80">IF(P80&lt;&gt;"",SUMPRODUCT((P$3:P$95&lt;&gt;"")*(G$3:G$95=G80)*(J$3:J$95&gt;J80))+1,IF(O80&lt;&gt;"",SUMPRODUCT((O$3:O$95&lt;&gt;"")*(P$3:P$95="")*(G$3:G$95=G80)*(J$3:J$95&gt;J80))+SUMPRODUCT((P$3:P$95&lt;&gt;"")*(G$3:G$95=G80))+1,IF(N80&lt;&gt;"",SUMPRODUCT((N$3:N$95&lt;&gt;"")*(G$3:G$95=G80)*(J$3:J$95&gt;J80))+1,IF(M80="P",SUMPRODUCT((O$3:O$95&lt;&gt;"")*(P$3:P$95="")*(G$3:G$95=G80))+SUMPRODUCT((P$3:P$95&lt;&gt;"")*(G$3:G$95=G80))+SUMPRODUCT((N$3:N$95&lt;&gt;"")*(G$3:G$95=G80))+SUMPRODUCT((P$3:P$95="")*(O$3:O$95="")*(N$3:N$95="")*(M$3:M$95="P")*(G$3:G$95=G80)*(J$3:J$95&gt;J80))+IF(H80="L5",SUMPRODUCT((P$3:P$95="")*(O$3:O$95="")*(N$3:N$95="")*(M$3:M$95="P")*(G$3:G$95=G80)*(J$3:J$95&lt;J80)*(H$3:H$95&lt;&gt;H80)),-1*SUMPRODUCT((P$3:P$95="")*(O$3:O$95="")*(N$3:N$95="")*(M$3:M$95="P")*(G$3:G$95=G80)*(J$3:J$95&gt;J80)*(H$3:H$95="L5")))+1,""))))</f>
        <v>1</v>
      </c>
      <c r="C80" s="35" t="s">
        <v>160</v>
      </c>
      <c r="D80" t="str">
        <f>IF(E80="","",VLOOKUP(E80,'Coaching Points'!A:B,2,0))</f>
        <v>BC</v>
      </c>
      <c r="E80" s="35" t="s">
        <v>60</v>
      </c>
      <c r="F80" s="34">
        <v>2012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211</v>
      </c>
      <c r="I80" s="40"/>
      <c r="J80" s="4">
        <f>R80+S80+IF(OR(H80="Junior",H80="Senior"),0.0002,IF(OR(H80="L7",H80="L6"),0.0001,0))+MAX(Z80,AC80)*0.0000001</f>
        <v>98.700204960000008</v>
      </c>
      <c r="K80" s="3" t="str">
        <f>IF(G80="Not Age Eligible","",IF(MAX(T80,W80,Z80,AC80)&gt;=LOOKUP(G80,'Qualifying Scores'!$A$4:$A$7,'Qualifying Scores'!$F$4:$F$7),"P",""))</f>
        <v>P</v>
      </c>
      <c r="L80" s="3" t="str">
        <f>IF(G80="Not Age Eligible","",IF(MAX(U80,X80,AA80,AD80)&gt;=LOOKUP(G80,'Qualifying Scores'!$A$10:$A$13,'Qualifying Scores'!$F$10:$F$13),"P",""))</f>
        <v>P</v>
      </c>
      <c r="M80" s="3" t="str">
        <f>IF(G80="Not Age Eligible","",IF(OR(AND(T80&gt;=LOOKUP(G80,'Qualifying Scores'!$A$4:$A$7,'Qualifying Scores'!$F$4:$F$7),U80&gt;=LOOKUP(G80,'Qualifying Scores'!$A$10:$A$13,'Qualifying Scores'!$F$10:$F$13)),AND(Z80&gt;=LOOKUP(G80,'Qualifying Scores'!$A$4:$A$7,'Qualifying Scores'!$F$4:$F$7),AA80&gt;=LOOKUP(G80,'Qualifying Scores'!$A$10:$A$13,'Qualifying Scores'!$F$10:$F$13)),AND(W80&gt;=LOOKUP(G80,'Qualifying Scores'!$A$4:$A$7,'Qualifying Scores'!$F$4:$F$7),X80&gt;=LOOKUP(G80,'Qualifying Scores'!$A$10:$A$13,'Qualifying Scores'!$F$10:$F$13)),AND(AC80&gt;=LOOKUP(G80,'Qualifying Scores'!$A$4:$A$7,'Qualifying Scores'!$F$4:$F$7),AD80&gt;=LOOKUP(G80,'Qualifying Scores'!$A$10:$A$13,'Qualifying Scores'!$F$10:$F$13))),"P",""))</f>
        <v>P</v>
      </c>
      <c r="Q80" s="1" t="str">
        <f>IF(A80&lt;5,IF(_xlfn.MAXIFS(A:A,G:G,G80)&gt;3,5-A80,_xlfn.MAXIFS(A:A,G:G,G80)+1-A80),"")</f>
        <v/>
      </c>
      <c r="R80" s="4">
        <f>MAX(T80-IF(OR(H80="Senior"),V80,0),W80-IF(OR(H80="Senior"),Y80,0),Z80-IF(OR(H80="Senior"),AB80,0),AC80-IF(OR(H80="Senior"),AE80,0))</f>
        <v>49.6</v>
      </c>
      <c r="S80" s="4">
        <f>IF(R80=T80-IF(OR(H80="Senior"),V80,0),MAX(W80-IF(OR(H80="Senior"),Y80,0),Z80-IF(OR(H80="Senior"),AB80,0),AC80-IF(OR(H80="Senior"),AE80,0)),IF(R80=W80-IF(OR(H80="Senior"),Y80,0),MAX(T80-IF(OR(H80="Senior"),V80,0),Z80-IF(OR(H80="Senior"),AB80,0),AC80-IF(OR(H80="Senior"),AE80,0)),IF(R80=Z80-IF(OR(H80="Senior"),AB80,0),MAX(T80-IF(OR(H80="Senior"),V80,0),W80-IF(OR(H80="Senior"),Y80,0),AC80-IF(OR(H80="Senior"),AE80,0)),IF(R80=AC80-IF(OR(H80="Senior"),AE80,0),MAX(T80-IF(OR(H80="Senior"),V80,0),W80-IF(OR(H80="Senior"),Y80,0),Z80-IF(OR(H80="Senior"),AB80,0)),0))))</f>
        <v>49.1</v>
      </c>
      <c r="T80" s="32">
        <v>48.5</v>
      </c>
      <c r="U80" s="37">
        <v>10.8</v>
      </c>
      <c r="V80" s="37">
        <v>0</v>
      </c>
      <c r="W80" s="33">
        <v>49</v>
      </c>
      <c r="X80" s="37">
        <v>11.6</v>
      </c>
      <c r="Y80" s="37">
        <v>0</v>
      </c>
      <c r="Z80" s="32">
        <v>49.1</v>
      </c>
      <c r="AA80" s="37">
        <v>11.6</v>
      </c>
      <c r="AB80" s="37">
        <v>0</v>
      </c>
      <c r="AC80" s="33">
        <v>49.6</v>
      </c>
      <c r="AD80" s="37">
        <v>11.6</v>
      </c>
      <c r="AE80" s="37">
        <v>0</v>
      </c>
    </row>
    <row r="81" spans="1:31" x14ac:dyDescent="0.2">
      <c r="A81" s="1" t="str" cm="1">
        <f t="array" ref="A81">IF(I81="","",IF(P81&lt;&gt;"",SUMPRODUCT((P$3:P$95&lt;&gt;"")*(G$3:G$95=G81)*(J$3:J$95&gt;J81)*(I$3:I$95="P"))+1,IF(O81&lt;&gt;"",SUMPRODUCT((O$3:O$95&lt;&gt;"")*(P$3:P$95="")*(G$3:G$95=G81)*(J$3:J$95&gt;J81)*(I$3:I$95="P"))+SUMPRODUCT((P$3:P$95&lt;&gt;"")*(G$3:G$95=G81)*(I$3:I$95="P"))+1,IF(N81&lt;&gt;"",SUMPRODUCT((N$3:N$95&lt;&gt;"")*(G$3:G$95=G81)*(J$3:J$95&gt;J81)*(I$3:I$95="P"))+1,IF(M81="P",SUMPRODUCT((O$3:O$95&lt;&gt;"")*(P$3:P$95="")*(G$3:G$95=G81)*(I$3:I$95="P"))+SUMPRODUCT((P$3:P$95&lt;&gt;"")*(G$3:G$95=G81)*(I$3:I$95="P"))+SUMPRODUCT((N$3:N$95&lt;&gt;"")*(G$3:G$95=G81)*(I$3:I$95="P"))+SUMPRODUCT((P$3:P$95="")*(O$3:O$95="")*(N$3:N$95="")*(M$3:M$95="P")*(G$3:G$95=G81)*(J$3:J$95&gt;J81)*(I$3:I$95="P"))+IF(H81="L5",SUMPRODUCT((P$3:P$95="")*(O$3:O$95="")*(N$3:N$95="")*(M$3:M$95="P")*(G$3:G$95=G81)*(J$3:J$95&lt;J81)*(H$3:H$95&lt;&gt;H81)*(I$3:I$95="P")),-1*SUMPRODUCT((P$3:P$95="")*(O$3:O$95="")*(N$3:N$95="")*(M$3:M$95="P")*(G$3:G$95=G81)*(J$3:J$95&gt;J81)*(H$3:H$95="L5")*(I$3:I$95="P")))+1,"")))))</f>
        <v/>
      </c>
      <c r="B81" s="1" cm="1">
        <f t="array" ref="B81">IF(P81&lt;&gt;"",SUMPRODUCT((P$3:P$95&lt;&gt;"")*(G$3:G$95=G81)*(J$3:J$95&gt;J81))+1,IF(O81&lt;&gt;"",SUMPRODUCT((O$3:O$95&lt;&gt;"")*(P$3:P$95="")*(G$3:G$95=G81)*(J$3:J$95&gt;J81))+SUMPRODUCT((P$3:P$95&lt;&gt;"")*(G$3:G$95=G81))+1,IF(N81&lt;&gt;"",SUMPRODUCT((N$3:N$95&lt;&gt;"")*(G$3:G$95=G81)*(J$3:J$95&gt;J81))+1,IF(M81="P",SUMPRODUCT((O$3:O$95&lt;&gt;"")*(P$3:P$95="")*(G$3:G$95=G81))+SUMPRODUCT((P$3:P$95&lt;&gt;"")*(G$3:G$95=G81))+SUMPRODUCT((N$3:N$95&lt;&gt;"")*(G$3:G$95=G81))+SUMPRODUCT((P$3:P$95="")*(O$3:O$95="")*(N$3:N$95="")*(M$3:M$95="P")*(G$3:G$95=G81)*(J$3:J$95&gt;J81))+IF(H81="L5",SUMPRODUCT((P$3:P$95="")*(O$3:O$95="")*(N$3:N$95="")*(M$3:M$95="P")*(G$3:G$95=G81)*(J$3:J$95&lt;J81)*(H$3:H$95&lt;&gt;H81)),-1*SUMPRODUCT((P$3:P$95="")*(O$3:O$95="")*(N$3:N$95="")*(M$3:M$95="P")*(G$3:G$95=G81)*(J$3:J$95&gt;J81)*(H$3:H$95="L5")))+1,""))))</f>
        <v>2</v>
      </c>
      <c r="C81" s="35" t="s">
        <v>347</v>
      </c>
      <c r="D81" t="str">
        <f>IF(E81="","",VLOOKUP(E81,'Coaching Points'!A:B,2,0))</f>
        <v>BC</v>
      </c>
      <c r="E81" s="35" t="s">
        <v>59</v>
      </c>
      <c r="F81" s="34">
        <v>2011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211</v>
      </c>
      <c r="I81" s="40"/>
      <c r="J81" s="4">
        <f>R81+S81+IF(OR(H81="Junior",H81="Senior"),0.0002,IF(OR(H81="L7",H81="L6"),0.0001,0))+MAX(Z81,AC81)*0.0000001</f>
        <v>91.800200000000004</v>
      </c>
      <c r="K81" s="3" t="str">
        <f>IF(G81="Not Age Eligible","",IF(MAX(T81,W81,Z81,AC81)&gt;=LOOKUP(G81,'Qualifying Scores'!$A$4:$A$7,'Qualifying Scores'!$F$4:$F$7),"P",""))</f>
        <v>P</v>
      </c>
      <c r="L81" s="3" t="str">
        <f>IF(G81="Not Age Eligible","",IF(MAX(U81,X81,AA81,AD81)&gt;=LOOKUP(G81,'Qualifying Scores'!$A$10:$A$13,'Qualifying Scores'!$F$10:$F$13),"P",""))</f>
        <v>P</v>
      </c>
      <c r="M81" s="3" t="str">
        <f>IF(G81="Not Age Eligible","",IF(OR(AND(T81&gt;=LOOKUP(G81,'Qualifying Scores'!$A$4:$A$7,'Qualifying Scores'!$F$4:$F$7),U81&gt;=LOOKUP(G81,'Qualifying Scores'!$A$10:$A$13,'Qualifying Scores'!$F$10:$F$13)),AND(Z81&gt;=LOOKUP(G81,'Qualifying Scores'!$A$4:$A$7,'Qualifying Scores'!$F$4:$F$7),AA81&gt;=LOOKUP(G81,'Qualifying Scores'!$A$10:$A$13,'Qualifying Scores'!$F$10:$F$13)),AND(W81&gt;=LOOKUP(G81,'Qualifying Scores'!$A$4:$A$7,'Qualifying Scores'!$F$4:$F$7),X81&gt;=LOOKUP(G81,'Qualifying Scores'!$A$10:$A$13,'Qualifying Scores'!$F$10:$F$13)),AND(AC81&gt;=LOOKUP(G81,'Qualifying Scores'!$A$4:$A$7,'Qualifying Scores'!$F$4:$F$7),AD81&gt;=LOOKUP(G81,'Qualifying Scores'!$A$10:$A$13,'Qualifying Scores'!$F$10:$F$13))),"P",""))</f>
        <v>P</v>
      </c>
      <c r="Q81" s="1" t="str">
        <f>IF(A81&lt;5,IF(_xlfn.MAXIFS(A:A,G:G,G81)&gt;3,5-A81,_xlfn.MAXIFS(A:A,G:G,G81)+1-A81),"")</f>
        <v/>
      </c>
      <c r="R81" s="4">
        <f>MAX(T81-IF(OR(H81="Senior"),V81,0),W81-IF(OR(H81="Senior"),Y81,0),Z81-IF(OR(H81="Senior"),AB81,0),AC81-IF(OR(H81="Senior"),AE81,0))</f>
        <v>46</v>
      </c>
      <c r="S81" s="4">
        <f>IF(R81=T81-IF(OR(H81="Senior"),V81,0),MAX(W81-IF(OR(H81="Senior"),Y81,0),Z81-IF(OR(H81="Senior"),AB81,0),AC81-IF(OR(H81="Senior"),AE81,0)),IF(R81=W81-IF(OR(H81="Senior"),Y81,0),MAX(T81-IF(OR(H81="Senior"),V81,0),Z81-IF(OR(H81="Senior"),AB81,0),AC81-IF(OR(H81="Senior"),AE81,0)),IF(R81=Z81-IF(OR(H81="Senior"),AB81,0),MAX(T81-IF(OR(H81="Senior"),V81,0),W81-IF(OR(H81="Senior"),Y81,0),AC81-IF(OR(H81="Senior"),AE81,0)),IF(R81=AC81-IF(OR(H81="Senior"),AE81,0),MAX(T81-IF(OR(H81="Senior"),V81,0),W81-IF(OR(H81="Senior"),Y81,0),Z81-IF(OR(H81="Senior"),AB81,0)),0))))</f>
        <v>45.8</v>
      </c>
      <c r="T81" s="32">
        <v>46</v>
      </c>
      <c r="U81" s="37">
        <v>10.8</v>
      </c>
      <c r="V81" s="37">
        <v>0</v>
      </c>
      <c r="W81" s="33">
        <v>45.8</v>
      </c>
      <c r="X81" s="37">
        <v>10.8</v>
      </c>
      <c r="Y81" s="37">
        <v>0</v>
      </c>
      <c r="Z81" s="32"/>
      <c r="AA81" s="37"/>
      <c r="AB81" s="37"/>
      <c r="AC81" s="33"/>
      <c r="AD81" s="37"/>
      <c r="AE81" s="37"/>
    </row>
    <row r="82" spans="1:31" x14ac:dyDescent="0.2">
      <c r="A82" s="1" t="str" cm="1">
        <f t="array" ref="A82">IF(I82="","",IF(P82&lt;&gt;"",SUMPRODUCT((P$3:P$95&lt;&gt;"")*(G$3:G$95=G82)*(J$3:J$95&gt;J82)*(I$3:I$95="P"))+1,IF(O82&lt;&gt;"",SUMPRODUCT((O$3:O$95&lt;&gt;"")*(P$3:P$95="")*(G$3:G$95=G82)*(J$3:J$95&gt;J82)*(I$3:I$95="P"))+SUMPRODUCT((P$3:P$95&lt;&gt;"")*(G$3:G$95=G82)*(I$3:I$95="P"))+1,IF(N82&lt;&gt;"",SUMPRODUCT((N$3:N$95&lt;&gt;"")*(G$3:G$95=G82)*(J$3:J$95&gt;J82)*(I$3:I$95="P"))+1,IF(M82="P",SUMPRODUCT((O$3:O$95&lt;&gt;"")*(P$3:P$95="")*(G$3:G$95=G82)*(I$3:I$95="P"))+SUMPRODUCT((P$3:P$95&lt;&gt;"")*(G$3:G$95=G82)*(I$3:I$95="P"))+SUMPRODUCT((N$3:N$95&lt;&gt;"")*(G$3:G$95=G82)*(I$3:I$95="P"))+SUMPRODUCT((P$3:P$95="")*(O$3:O$95="")*(N$3:N$95="")*(M$3:M$95="P")*(G$3:G$95=G82)*(J$3:J$95&gt;J82)*(I$3:I$95="P"))+IF(H82="L5",SUMPRODUCT((P$3:P$95="")*(O$3:O$95="")*(N$3:N$95="")*(M$3:M$95="P")*(G$3:G$95=G82)*(J$3:J$95&lt;J82)*(H$3:H$95&lt;&gt;H82)*(I$3:I$95="P")),-1*SUMPRODUCT((P$3:P$95="")*(O$3:O$95="")*(N$3:N$95="")*(M$3:M$95="P")*(G$3:G$95=G82)*(J$3:J$95&gt;J82)*(H$3:H$95="L5")*(I$3:I$95="P")))+1,"")))))</f>
        <v/>
      </c>
      <c r="B82" s="1" cm="1">
        <f t="array" ref="B82">IF(P82&lt;&gt;"",SUMPRODUCT((P$3:P$95&lt;&gt;"")*(G$3:G$95=G82)*(J$3:J$95&gt;J82))+1,IF(O82&lt;&gt;"",SUMPRODUCT((O$3:O$95&lt;&gt;"")*(P$3:P$95="")*(G$3:G$95=G82)*(J$3:J$95&gt;J82))+SUMPRODUCT((P$3:P$95&lt;&gt;"")*(G$3:G$95=G82))+1,IF(N82&lt;&gt;"",SUMPRODUCT((N$3:N$95&lt;&gt;"")*(G$3:G$95=G82)*(J$3:J$95&gt;J82))+1,IF(M82="P",SUMPRODUCT((O$3:O$95&lt;&gt;"")*(P$3:P$95="")*(G$3:G$95=G82))+SUMPRODUCT((P$3:P$95&lt;&gt;"")*(G$3:G$95=G82))+SUMPRODUCT((N$3:N$95&lt;&gt;"")*(G$3:G$95=G82))+SUMPRODUCT((P$3:P$95="")*(O$3:O$95="")*(N$3:N$95="")*(M$3:M$95="P")*(G$3:G$95=G82)*(J$3:J$95&gt;J82))+IF(H82="L5",SUMPRODUCT((P$3:P$95="")*(O$3:O$95="")*(N$3:N$95="")*(M$3:M$95="P")*(G$3:G$95=G82)*(J$3:J$95&lt;J82)*(H$3:H$95&lt;&gt;H82)),-1*SUMPRODUCT((P$3:P$95="")*(O$3:O$95="")*(N$3:N$95="")*(M$3:M$95="P")*(G$3:G$95=G82)*(J$3:J$95&gt;J82)*(H$3:H$95="L5")))+1,""))))</f>
        <v>3</v>
      </c>
      <c r="C82" s="35" t="s">
        <v>194</v>
      </c>
      <c r="D82" t="str">
        <f>IF(E82="","",VLOOKUP(E82,'Coaching Points'!A:B,2,0))</f>
        <v>BC</v>
      </c>
      <c r="E82" s="35" t="s">
        <v>40</v>
      </c>
      <c r="F82" s="34">
        <v>2012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R82+S82+IF(OR(H82="Junior",H82="Senior"),0.0002,IF(OR(H82="L7",H82="L6"),0.0001,0))+MAX(Z82,AC82)*0.0000001</f>
        <v>95.10000475999999</v>
      </c>
      <c r="K82" s="3" t="str">
        <f>IF(G82="Not Age Eligible","",IF(MAX(T82,W82,Z82,AC82)&gt;=LOOKUP(G82,'Qualifying Scores'!$A$4:$A$7,'Qualifying Scores'!$F$4:$F$7),"P",""))</f>
        <v>P</v>
      </c>
      <c r="L82" s="3" t="str">
        <f>IF(G82="Not Age Eligible","",IF(MAX(U82,X82,AA82,AD82)&gt;=LOOKUP(G82,'Qualifying Scores'!$A$10:$A$13,'Qualifying Scores'!$F$10:$F$13),"P",""))</f>
        <v>P</v>
      </c>
      <c r="M82" s="3" t="str">
        <f>IF(G82="Not Age Eligible","",IF(OR(AND(T82&gt;=LOOKUP(G82,'Qualifying Scores'!$A$4:$A$7,'Qualifying Scores'!$F$4:$F$7),U82&gt;=LOOKUP(G82,'Qualifying Scores'!$A$10:$A$13,'Qualifying Scores'!$F$10:$F$13)),AND(Z82&gt;=LOOKUP(G82,'Qualifying Scores'!$A$4:$A$7,'Qualifying Scores'!$F$4:$F$7),AA82&gt;=LOOKUP(G82,'Qualifying Scores'!$A$10:$A$13,'Qualifying Scores'!$F$10:$F$13)),AND(W82&gt;=LOOKUP(G82,'Qualifying Scores'!$A$4:$A$7,'Qualifying Scores'!$F$4:$F$7),X82&gt;=LOOKUP(G82,'Qualifying Scores'!$A$10:$A$13,'Qualifying Scores'!$F$10:$F$13)),AND(AC82&gt;=LOOKUP(G82,'Qualifying Scores'!$A$4:$A$7,'Qualifying Scores'!$F$4:$F$7),AD82&gt;=LOOKUP(G82,'Qualifying Scores'!$A$10:$A$13,'Qualifying Scores'!$F$10:$F$13))),"P",""))</f>
        <v>P</v>
      </c>
      <c r="Q82" s="1" t="str">
        <f>IF(A82&lt;5,IF(_xlfn.MAXIFS(A:A,G:G,G82)&gt;3,5-A82,_xlfn.MAXIFS(A:A,G:G,G82)+1-A82),"")</f>
        <v/>
      </c>
      <c r="R82" s="4">
        <f>MAX(T82-IF(OR(H82="Senior"),V82,0),W82-IF(OR(H82="Senior"),Y82,0),Z82-IF(OR(H82="Senior"),AB82,0),AC82-IF(OR(H82="Senior"),AE82,0))</f>
        <v>47.6</v>
      </c>
      <c r="S82" s="4">
        <f>IF(R82=T82-IF(OR(H82="Senior"),V82,0),MAX(W82-IF(OR(H82="Senior"),Y82,0),Z82-IF(OR(H82="Senior"),AB82,0),AC82-IF(OR(H82="Senior"),AE82,0)),IF(R82=W82-IF(OR(H82="Senior"),Y82,0),MAX(T82-IF(OR(H82="Senior"),V82,0),Z82-IF(OR(H82="Senior"),AB82,0),AC82-IF(OR(H82="Senior"),AE82,0)),IF(R82=Z82-IF(OR(H82="Senior"),AB82,0),MAX(T82-IF(OR(H82="Senior"),V82,0),W82-IF(OR(H82="Senior"),Y82,0),AC82-IF(OR(H82="Senior"),AE82,0)),IF(R82=AC82-IF(OR(H82="Senior"),AE82,0),MAX(T82-IF(OR(H82="Senior"),V82,0),W82-IF(OR(H82="Senior"),Y82,0),Z82-IF(OR(H82="Senior"),AB82,0)),0))))</f>
        <v>47.5</v>
      </c>
      <c r="T82" s="32">
        <v>43.2</v>
      </c>
      <c r="U82" s="37">
        <v>7.2</v>
      </c>
      <c r="V82" s="37">
        <v>0</v>
      </c>
      <c r="W82" s="33">
        <v>44.5</v>
      </c>
      <c r="X82" s="37">
        <v>8.5</v>
      </c>
      <c r="Y82" s="37">
        <v>0</v>
      </c>
      <c r="Z82" s="32">
        <v>47.5</v>
      </c>
      <c r="AA82" s="37">
        <v>10.399999999999999</v>
      </c>
      <c r="AB82" s="37">
        <v>0</v>
      </c>
      <c r="AC82" s="33">
        <v>47.6</v>
      </c>
      <c r="AD82" s="37">
        <v>10.399999999999999</v>
      </c>
      <c r="AE82" s="37">
        <v>0</v>
      </c>
    </row>
    <row r="83" spans="1:31" x14ac:dyDescent="0.2">
      <c r="A83" s="1" t="str" cm="1">
        <f t="array" ref="A83">IF(I83="","",IF(P83&lt;&gt;"",SUMPRODUCT((P$3:P$95&lt;&gt;"")*(G$3:G$95=G83)*(J$3:J$95&gt;J83)*(I$3:I$95="P"))+1,IF(O83&lt;&gt;"",SUMPRODUCT((O$3:O$95&lt;&gt;"")*(P$3:P$95="")*(G$3:G$95=G83)*(J$3:J$95&gt;J83)*(I$3:I$95="P"))+SUMPRODUCT((P$3:P$95&lt;&gt;"")*(G$3:G$95=G83)*(I$3:I$95="P"))+1,IF(N83&lt;&gt;"",SUMPRODUCT((N$3:N$95&lt;&gt;"")*(G$3:G$95=G83)*(J$3:J$95&gt;J83)*(I$3:I$95="P"))+1,IF(M83="P",SUMPRODUCT((O$3:O$95&lt;&gt;"")*(P$3:P$95="")*(G$3:G$95=G83)*(I$3:I$95="P"))+SUMPRODUCT((P$3:P$95&lt;&gt;"")*(G$3:G$95=G83)*(I$3:I$95="P"))+SUMPRODUCT((N$3:N$95&lt;&gt;"")*(G$3:G$95=G83)*(I$3:I$95="P"))+SUMPRODUCT((P$3:P$95="")*(O$3:O$95="")*(N$3:N$95="")*(M$3:M$95="P")*(G$3:G$95=G83)*(J$3:J$95&gt;J83)*(I$3:I$95="P"))+IF(H83="L5",SUMPRODUCT((P$3:P$95="")*(O$3:O$95="")*(N$3:N$95="")*(M$3:M$95="P")*(G$3:G$95=G83)*(J$3:J$95&lt;J83)*(H$3:H$95&lt;&gt;H83)*(I$3:I$95="P")),-1*SUMPRODUCT((P$3:P$95="")*(O$3:O$95="")*(N$3:N$95="")*(M$3:M$95="P")*(G$3:G$95=G83)*(J$3:J$95&gt;J83)*(H$3:H$95="L5")*(I$3:I$95="P")))+1,"")))))</f>
        <v/>
      </c>
      <c r="B83" s="1" cm="1">
        <f t="array" ref="B83">IF(P83&lt;&gt;"",SUMPRODUCT((P$3:P$95&lt;&gt;"")*(G$3:G$95=G83)*(J$3:J$95&gt;J83))+1,IF(O83&lt;&gt;"",SUMPRODUCT((O$3:O$95&lt;&gt;"")*(P$3:P$95="")*(G$3:G$95=G83)*(J$3:J$95&gt;J83))+SUMPRODUCT((P$3:P$95&lt;&gt;"")*(G$3:G$95=G83))+1,IF(N83&lt;&gt;"",SUMPRODUCT((N$3:N$95&lt;&gt;"")*(G$3:G$95=G83)*(J$3:J$95&gt;J83))+1,IF(M83="P",SUMPRODUCT((O$3:O$95&lt;&gt;"")*(P$3:P$95="")*(G$3:G$95=G83))+SUMPRODUCT((P$3:P$95&lt;&gt;"")*(G$3:G$95=G83))+SUMPRODUCT((N$3:N$95&lt;&gt;"")*(G$3:G$95=G83))+SUMPRODUCT((P$3:P$95="")*(O$3:O$95="")*(N$3:N$95="")*(M$3:M$95="P")*(G$3:G$95=G83)*(J$3:J$95&gt;J83))+IF(H83="L5",SUMPRODUCT((P$3:P$95="")*(O$3:O$95="")*(N$3:N$95="")*(M$3:M$95="P")*(G$3:G$95=G83)*(J$3:J$95&lt;J83)*(H$3:H$95&lt;&gt;H83)),-1*SUMPRODUCT((P$3:P$95="")*(O$3:O$95="")*(N$3:N$95="")*(M$3:M$95="P")*(G$3:G$95=G83)*(J$3:J$95&gt;J83)*(H$3:H$95="L5")))+1,""))))</f>
        <v>4</v>
      </c>
      <c r="C83" s="35" t="s">
        <v>193</v>
      </c>
      <c r="D83" t="str">
        <f>IF(E83="","",VLOOKUP(E83,'Coaching Points'!A:B,2,0))</f>
        <v>QC</v>
      </c>
      <c r="E83" s="35" t="s">
        <v>208</v>
      </c>
      <c r="F83" s="34">
        <v>2011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R83+S83+IF(OR(H83="Junior",H83="Senior"),0.0002,IF(OR(H83="L7",H83="L6"),0.0001,0))+MAX(Z83,AC83)*0.0000001</f>
        <v>92.300004660000013</v>
      </c>
      <c r="K83" s="3" t="str">
        <f>IF(G83="Not Age Eligible","",IF(MAX(T83,W83,Z83,AC83)&gt;=LOOKUP(G83,'Qualifying Scores'!$A$4:$A$7,'Qualifying Scores'!$F$4:$F$7),"P",""))</f>
        <v>P</v>
      </c>
      <c r="L83" s="3" t="str">
        <f>IF(G83="Not Age Eligible","",IF(MAX(U83,X83,AA83,AD83)&gt;=LOOKUP(G83,'Qualifying Scores'!$A$10:$A$13,'Qualifying Scores'!$F$10:$F$13),"P",""))</f>
        <v>P</v>
      </c>
      <c r="M83" s="3" t="str">
        <f>IF(G83="Not Age Eligible","",IF(OR(AND(T83&gt;=LOOKUP(G83,'Qualifying Scores'!$A$4:$A$7,'Qualifying Scores'!$F$4:$F$7),U83&gt;=LOOKUP(G83,'Qualifying Scores'!$A$10:$A$13,'Qualifying Scores'!$F$10:$F$13)),AND(Z83&gt;=LOOKUP(G83,'Qualifying Scores'!$A$4:$A$7,'Qualifying Scores'!$F$4:$F$7),AA83&gt;=LOOKUP(G83,'Qualifying Scores'!$A$10:$A$13,'Qualifying Scores'!$F$10:$F$13)),AND(W83&gt;=LOOKUP(G83,'Qualifying Scores'!$A$4:$A$7,'Qualifying Scores'!$F$4:$F$7),X83&gt;=LOOKUP(G83,'Qualifying Scores'!$A$10:$A$13,'Qualifying Scores'!$F$10:$F$13)),AND(AC83&gt;=LOOKUP(G83,'Qualifying Scores'!$A$4:$A$7,'Qualifying Scores'!$F$4:$F$7),AD83&gt;=LOOKUP(G83,'Qualifying Scores'!$A$10:$A$13,'Qualifying Scores'!$F$10:$F$13))),"P",""))</f>
        <v>P</v>
      </c>
      <c r="Q83" s="1" t="str">
        <f>IF(A83&lt;5,IF(_xlfn.MAXIFS(A:A,G:G,G83)&gt;3,5-A83,_xlfn.MAXIFS(A:A,G:G,G83)+1-A83),"")</f>
        <v/>
      </c>
      <c r="R83" s="4">
        <f>MAX(T83-IF(OR(H83="Senior"),V83,0),W83-IF(OR(H83="Senior"),Y83,0),Z83-IF(OR(H83="Senior"),AB83,0),AC83-IF(OR(H83="Senior"),AE83,0))</f>
        <v>46.6</v>
      </c>
      <c r="S83" s="4">
        <f>IF(R83=T83-IF(OR(H83="Senior"),V83,0),MAX(W83-IF(OR(H83="Senior"),Y83,0),Z83-IF(OR(H83="Senior"),AB83,0),AC83-IF(OR(H83="Senior"),AE83,0)),IF(R83=W83-IF(OR(H83="Senior"),Y83,0),MAX(T83-IF(OR(H83="Senior"),V83,0),Z83-IF(OR(H83="Senior"),AB83,0),AC83-IF(OR(H83="Senior"),AE83,0)),IF(R83=Z83-IF(OR(H83="Senior"),AB83,0),MAX(T83-IF(OR(H83="Senior"),V83,0),W83-IF(OR(H83="Senior"),Y83,0),AC83-IF(OR(H83="Senior"),AE83,0)),IF(R83=AC83-IF(OR(H83="Senior"),AE83,0),MAX(T83-IF(OR(H83="Senior"),V83,0),W83-IF(OR(H83="Senior"),Y83,0),Z83-IF(OR(H83="Senior"),AB83,0)),0))))</f>
        <v>45.7</v>
      </c>
      <c r="T83" s="32">
        <v>45.7</v>
      </c>
      <c r="U83" s="37">
        <v>7.9</v>
      </c>
      <c r="V83" s="37">
        <v>0</v>
      </c>
      <c r="W83" s="33">
        <v>44.3</v>
      </c>
      <c r="X83" s="37">
        <v>7.1</v>
      </c>
      <c r="Y83" s="37">
        <v>0</v>
      </c>
      <c r="Z83" s="32">
        <v>46.6</v>
      </c>
      <c r="AA83" s="37">
        <v>9.6</v>
      </c>
      <c r="AB83" s="37">
        <v>0</v>
      </c>
      <c r="AC83" s="33">
        <v>37.6</v>
      </c>
      <c r="AD83" s="37">
        <v>4.2</v>
      </c>
      <c r="AE83" s="37">
        <v>0</v>
      </c>
    </row>
    <row r="84" spans="1:31" x14ac:dyDescent="0.2">
      <c r="A84" s="1" t="str" cm="1">
        <f t="array" ref="A84">IF(I84="","",IF(P84&lt;&gt;"",SUMPRODUCT((P$3:P$95&lt;&gt;"")*(G$3:G$95=G84)*(J$3:J$95&gt;J84)*(I$3:I$95="P"))+1,IF(O84&lt;&gt;"",SUMPRODUCT((O$3:O$95&lt;&gt;"")*(P$3:P$95="")*(G$3:G$95=G84)*(J$3:J$95&gt;J84)*(I$3:I$95="P"))+SUMPRODUCT((P$3:P$95&lt;&gt;"")*(G$3:G$95=G84)*(I$3:I$95="P"))+1,IF(N84&lt;&gt;"",SUMPRODUCT((N$3:N$95&lt;&gt;"")*(G$3:G$95=G84)*(J$3:J$95&gt;J84)*(I$3:I$95="P"))+1,IF(M84="P",SUMPRODUCT((O$3:O$95&lt;&gt;"")*(P$3:P$95="")*(G$3:G$95=G84)*(I$3:I$95="P"))+SUMPRODUCT((P$3:P$95&lt;&gt;"")*(G$3:G$95=G84)*(I$3:I$95="P"))+SUMPRODUCT((N$3:N$95&lt;&gt;"")*(G$3:G$95=G84)*(I$3:I$95="P"))+SUMPRODUCT((P$3:P$95="")*(O$3:O$95="")*(N$3:N$95="")*(M$3:M$95="P")*(G$3:G$95=G84)*(J$3:J$95&gt;J84)*(I$3:I$95="P"))+IF(H84="L5",SUMPRODUCT((P$3:P$95="")*(O$3:O$95="")*(N$3:N$95="")*(M$3:M$95="P")*(G$3:G$95=G84)*(J$3:J$95&lt;J84)*(H$3:H$95&lt;&gt;H84)*(I$3:I$95="P")),-1*SUMPRODUCT((P$3:P$95="")*(O$3:O$95="")*(N$3:N$95="")*(M$3:M$95="P")*(G$3:G$95=G84)*(J$3:J$95&gt;J84)*(H$3:H$95="L5")*(I$3:I$95="P")))+1,"")))))</f>
        <v/>
      </c>
      <c r="B84" s="1" cm="1">
        <f t="array" ref="B84">IF(P84&lt;&gt;"",SUMPRODUCT((P$3:P$95&lt;&gt;"")*(G$3:G$95=G84)*(J$3:J$95&gt;J84))+1,IF(O84&lt;&gt;"",SUMPRODUCT((O$3:O$95&lt;&gt;"")*(P$3:P$95="")*(G$3:G$95=G84)*(J$3:J$95&gt;J84))+SUMPRODUCT((P$3:P$95&lt;&gt;"")*(G$3:G$95=G84))+1,IF(N84&lt;&gt;"",SUMPRODUCT((N$3:N$95&lt;&gt;"")*(G$3:G$95=G84)*(J$3:J$95&gt;J84))+1,IF(M84="P",SUMPRODUCT((O$3:O$95&lt;&gt;"")*(P$3:P$95="")*(G$3:G$95=G84))+SUMPRODUCT((P$3:P$95&lt;&gt;"")*(G$3:G$95=G84))+SUMPRODUCT((N$3:N$95&lt;&gt;"")*(G$3:G$95=G84))+SUMPRODUCT((P$3:P$95="")*(O$3:O$95="")*(N$3:N$95="")*(M$3:M$95="P")*(G$3:G$95=G84)*(J$3:J$95&gt;J84))+IF(H84="L5",SUMPRODUCT((P$3:P$95="")*(O$3:O$95="")*(N$3:N$95="")*(M$3:M$95="P")*(G$3:G$95=G84)*(J$3:J$95&lt;J84)*(H$3:H$95&lt;&gt;H84)),-1*SUMPRODUCT((P$3:P$95="")*(O$3:O$95="")*(N$3:N$95="")*(M$3:M$95="P")*(G$3:G$95=G84)*(J$3:J$95&gt;J84)*(H$3:H$95="L5")))+1,""))))</f>
        <v>5</v>
      </c>
      <c r="C84" s="35" t="s">
        <v>191</v>
      </c>
      <c r="D84" t="str">
        <f>IF(E84="","",VLOOKUP(E84,'Coaching Points'!A:B,2,0))</f>
        <v>BC</v>
      </c>
      <c r="E84" s="35" t="s">
        <v>40</v>
      </c>
      <c r="F84" s="34">
        <v>2012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R84+S84+IF(OR(H84="Junior",H84="Senior"),0.0002,IF(OR(H84="L7",H84="L6"),0.0001,0))+MAX(Z84,AC84)*0.0000001</f>
        <v>90.600004569999996</v>
      </c>
      <c r="K84" s="3" t="str">
        <f>IF(G84="Not Age Eligible","",IF(MAX(T84,W84,Z84,AC84)&gt;=LOOKUP(G84,'Qualifying Scores'!$A$4:$A$7,'Qualifying Scores'!$F$4:$F$7),"P",""))</f>
        <v>P</v>
      </c>
      <c r="L84" s="3" t="str">
        <f>IF(G84="Not Age Eligible","",IF(MAX(U84,X84,AA84,AD84)&gt;=LOOKUP(G84,'Qualifying Scores'!$A$10:$A$13,'Qualifying Scores'!$F$10:$F$13),"P",""))</f>
        <v>P</v>
      </c>
      <c r="M84" s="3" t="str">
        <f>IF(G84="Not Age Eligible","",IF(OR(AND(T84&gt;=LOOKUP(G84,'Qualifying Scores'!$A$4:$A$7,'Qualifying Scores'!$F$4:$F$7),U84&gt;=LOOKUP(G84,'Qualifying Scores'!$A$10:$A$13,'Qualifying Scores'!$F$10:$F$13)),AND(Z84&gt;=LOOKUP(G84,'Qualifying Scores'!$A$4:$A$7,'Qualifying Scores'!$F$4:$F$7),AA84&gt;=LOOKUP(G84,'Qualifying Scores'!$A$10:$A$13,'Qualifying Scores'!$F$10:$F$13)),AND(W84&gt;=LOOKUP(G84,'Qualifying Scores'!$A$4:$A$7,'Qualifying Scores'!$F$4:$F$7),X84&gt;=LOOKUP(G84,'Qualifying Scores'!$A$10:$A$13,'Qualifying Scores'!$F$10:$F$13)),AND(AC84&gt;=LOOKUP(G84,'Qualifying Scores'!$A$4:$A$7,'Qualifying Scores'!$F$4:$F$7),AD84&gt;=LOOKUP(G84,'Qualifying Scores'!$A$10:$A$13,'Qualifying Scores'!$F$10:$F$13))),"P",""))</f>
        <v>P</v>
      </c>
      <c r="Q84" s="1" t="str">
        <f>IF(A84&lt;5,IF(_xlfn.MAXIFS(A:A,G:G,G84)&gt;3,5-A84,_xlfn.MAXIFS(A:A,G:G,G84)+1-A84),"")</f>
        <v/>
      </c>
      <c r="R84" s="4">
        <f>MAX(T84-IF(OR(H84="Senior"),V84,0),W84-IF(OR(H84="Senior"),Y84,0),Z84-IF(OR(H84="Senior"),AB84,0),AC84-IF(OR(H84="Senior"),AE84,0))</f>
        <v>45.7</v>
      </c>
      <c r="S84" s="4">
        <f>IF(R84=T84-IF(OR(H84="Senior"),V84,0),MAX(W84-IF(OR(H84="Senior"),Y84,0),Z84-IF(OR(H84="Senior"),AB84,0),AC84-IF(OR(H84="Senior"),AE84,0)),IF(R84=W84-IF(OR(H84="Senior"),Y84,0),MAX(T84-IF(OR(H84="Senior"),V84,0),Z84-IF(OR(H84="Senior"),AB84,0),AC84-IF(OR(H84="Senior"),AE84,0)),IF(R84=Z84-IF(OR(H84="Senior"),AB84,0),MAX(T84-IF(OR(H84="Senior"),V84,0),W84-IF(OR(H84="Senior"),Y84,0),AC84-IF(OR(H84="Senior"),AE84,0)),IF(R84=AC84-IF(OR(H84="Senior"),AE84,0),MAX(T84-IF(OR(H84="Senior"),V84,0),W84-IF(OR(H84="Senior"),Y84,0),Z84-IF(OR(H84="Senior"),AB84,0)),0))))</f>
        <v>44.9</v>
      </c>
      <c r="T84" s="32">
        <v>42.8</v>
      </c>
      <c r="U84" s="37">
        <v>6.5</v>
      </c>
      <c r="V84" s="37">
        <v>0</v>
      </c>
      <c r="W84" s="33">
        <v>44.9</v>
      </c>
      <c r="X84" s="37">
        <v>8.3000000000000007</v>
      </c>
      <c r="Y84" s="37">
        <v>0</v>
      </c>
      <c r="Z84" s="32">
        <v>41.1</v>
      </c>
      <c r="AA84" s="37">
        <v>8.4</v>
      </c>
      <c r="AB84" s="37">
        <v>0</v>
      </c>
      <c r="AC84" s="33">
        <v>45.7</v>
      </c>
      <c r="AD84" s="37">
        <v>10</v>
      </c>
      <c r="AE84" s="37">
        <v>0</v>
      </c>
    </row>
    <row r="85" spans="1:31" x14ac:dyDescent="0.2">
      <c r="A85" s="1" t="str" cm="1">
        <f t="array" ref="A85">IF(I85="","",IF(P85&lt;&gt;"",SUMPRODUCT((P$3:P$95&lt;&gt;"")*(G$3:G$95=G85)*(J$3:J$95&gt;J85)*(I$3:I$95="P"))+1,IF(O85&lt;&gt;"",SUMPRODUCT((O$3:O$95&lt;&gt;"")*(P$3:P$95="")*(G$3:G$95=G85)*(J$3:J$95&gt;J85)*(I$3:I$95="P"))+SUMPRODUCT((P$3:P$95&lt;&gt;"")*(G$3:G$95=G85)*(I$3:I$95="P"))+1,IF(N85&lt;&gt;"",SUMPRODUCT((N$3:N$95&lt;&gt;"")*(G$3:G$95=G85)*(J$3:J$95&gt;J85)*(I$3:I$95="P"))+1,IF(M85="P",SUMPRODUCT((O$3:O$95&lt;&gt;"")*(P$3:P$95="")*(G$3:G$95=G85)*(I$3:I$95="P"))+SUMPRODUCT((P$3:P$95&lt;&gt;"")*(G$3:G$95=G85)*(I$3:I$95="P"))+SUMPRODUCT((N$3:N$95&lt;&gt;"")*(G$3:G$95=G85)*(I$3:I$95="P"))+SUMPRODUCT((P$3:P$95="")*(O$3:O$95="")*(N$3:N$95="")*(M$3:M$95="P")*(G$3:G$95=G85)*(J$3:J$95&gt;J85)*(I$3:I$95="P"))+IF(H85="L5",SUMPRODUCT((P$3:P$95="")*(O$3:O$95="")*(N$3:N$95="")*(M$3:M$95="P")*(G$3:G$95=G85)*(J$3:J$95&lt;J85)*(H$3:H$95&lt;&gt;H85)*(I$3:I$95="P")),-1*SUMPRODUCT((P$3:P$95="")*(O$3:O$95="")*(N$3:N$95="")*(M$3:M$95="P")*(G$3:G$95=G85)*(J$3:J$95&gt;J85)*(H$3:H$95="L5")*(I$3:I$95="P")))+1,"")))))</f>
        <v/>
      </c>
      <c r="B85" s="1" cm="1">
        <f t="array" ref="B85">IF(P85&lt;&gt;"",SUMPRODUCT((P$3:P$95&lt;&gt;"")*(G$3:G$95=G85)*(J$3:J$95&gt;J85))+1,IF(O85&lt;&gt;"",SUMPRODUCT((O$3:O$95&lt;&gt;"")*(P$3:P$95="")*(G$3:G$95=G85)*(J$3:J$95&gt;J85))+SUMPRODUCT((P$3:P$95&lt;&gt;"")*(G$3:G$95=G85))+1,IF(N85&lt;&gt;"",SUMPRODUCT((N$3:N$95&lt;&gt;"")*(G$3:G$95=G85)*(J$3:J$95&gt;J85))+1,IF(M85="P",SUMPRODUCT((O$3:O$95&lt;&gt;"")*(P$3:P$95="")*(G$3:G$95=G85))+SUMPRODUCT((P$3:P$95&lt;&gt;"")*(G$3:G$95=G85))+SUMPRODUCT((N$3:N$95&lt;&gt;"")*(G$3:G$95=G85))+SUMPRODUCT((P$3:P$95="")*(O$3:O$95="")*(N$3:N$95="")*(M$3:M$95="P")*(G$3:G$95=G85)*(J$3:J$95&gt;J85))+IF(H85="L5",SUMPRODUCT((P$3:P$95="")*(O$3:O$95="")*(N$3:N$95="")*(M$3:M$95="P")*(G$3:G$95=G85)*(J$3:J$95&lt;J85)*(H$3:H$95&lt;&gt;H85)),-1*SUMPRODUCT((P$3:P$95="")*(O$3:O$95="")*(N$3:N$95="")*(M$3:M$95="P")*(G$3:G$95=G85)*(J$3:J$95&gt;J85)*(H$3:H$95="L5")))+1,""))))</f>
        <v>6</v>
      </c>
      <c r="C85" s="35" t="s">
        <v>349</v>
      </c>
      <c r="D85" t="str">
        <f>IF(E85="","",VLOOKUP(E85,'Coaching Points'!A:B,2,0))</f>
        <v>BC</v>
      </c>
      <c r="E85" s="35" t="s">
        <v>40</v>
      </c>
      <c r="F85" s="34">
        <v>2011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R85+S85+IF(OR(H85="Junior",H85="Senior"),0.0002,IF(OR(H85="L7",H85="L6"),0.0001,0))+MAX(Z85,AC85)*0.0000001</f>
        <v>90.300004680000001</v>
      </c>
      <c r="K85" s="3" t="str">
        <f>IF(G85="Not Age Eligible","",IF(MAX(T85,W85,Z85,AC85)&gt;=LOOKUP(G85,'Qualifying Scores'!$A$4:$A$7,'Qualifying Scores'!$F$4:$F$7),"P",""))</f>
        <v>P</v>
      </c>
      <c r="L85" s="3" t="str">
        <f>IF(G85="Not Age Eligible","",IF(MAX(U85,X85,AA85,AD85)&gt;=LOOKUP(G85,'Qualifying Scores'!$A$10:$A$13,'Qualifying Scores'!$F$10:$F$13),"P",""))</f>
        <v>P</v>
      </c>
      <c r="M85" s="3" t="str">
        <f>IF(G85="Not Age Eligible","",IF(OR(AND(T85&gt;=LOOKUP(G85,'Qualifying Scores'!$A$4:$A$7,'Qualifying Scores'!$F$4:$F$7),U85&gt;=LOOKUP(G85,'Qualifying Scores'!$A$10:$A$13,'Qualifying Scores'!$F$10:$F$13)),AND(Z85&gt;=LOOKUP(G85,'Qualifying Scores'!$A$4:$A$7,'Qualifying Scores'!$F$4:$F$7),AA85&gt;=LOOKUP(G85,'Qualifying Scores'!$A$10:$A$13,'Qualifying Scores'!$F$10:$F$13)),AND(W85&gt;=LOOKUP(G85,'Qualifying Scores'!$A$4:$A$7,'Qualifying Scores'!$F$4:$F$7),X85&gt;=LOOKUP(G85,'Qualifying Scores'!$A$10:$A$13,'Qualifying Scores'!$F$10:$F$13)),AND(AC85&gt;=LOOKUP(G85,'Qualifying Scores'!$A$4:$A$7,'Qualifying Scores'!$F$4:$F$7),AD85&gt;=LOOKUP(G85,'Qualifying Scores'!$A$10:$A$13,'Qualifying Scores'!$F$10:$F$13))),"P",""))</f>
        <v>P</v>
      </c>
      <c r="Q85" s="1" t="str">
        <f>IF(A85&lt;5,IF(_xlfn.MAXIFS(A:A,G:G,G85)&gt;3,5-A85,_xlfn.MAXIFS(A:A,G:G,G85)+1-A85),"")</f>
        <v/>
      </c>
      <c r="R85" s="4">
        <f>MAX(T85-IF(OR(H85="Senior"),V85,0),W85-IF(OR(H85="Senior"),Y85,0),Z85-IF(OR(H85="Senior"),AB85,0),AC85-IF(OR(H85="Senior"),AE85,0))</f>
        <v>46.8</v>
      </c>
      <c r="S85" s="4">
        <f>IF(R85=T85-IF(OR(H85="Senior"),V85,0),MAX(W85-IF(OR(H85="Senior"),Y85,0),Z85-IF(OR(H85="Senior"),AB85,0),AC85-IF(OR(H85="Senior"),AE85,0)),IF(R85=W85-IF(OR(H85="Senior"),Y85,0),MAX(T85-IF(OR(H85="Senior"),V85,0),Z85-IF(OR(H85="Senior"),AB85,0),AC85-IF(OR(H85="Senior"),AE85,0)),IF(R85=Z85-IF(OR(H85="Senior"),AB85,0),MAX(T85-IF(OR(H85="Senior"),V85,0),W85-IF(OR(H85="Senior"),Y85,0),AC85-IF(OR(H85="Senior"),AE85,0)),IF(R85=AC85-IF(OR(H85="Senior"),AE85,0),MAX(T85-IF(OR(H85="Senior"),V85,0),W85-IF(OR(H85="Senior"),Y85,0),Z85-IF(OR(H85="Senior"),AB85,0)),0))))</f>
        <v>43.5</v>
      </c>
      <c r="T85" s="32">
        <v>42.3</v>
      </c>
      <c r="U85" s="37">
        <v>6.3000000000000007</v>
      </c>
      <c r="V85" s="37">
        <v>0</v>
      </c>
      <c r="W85" s="33">
        <v>43.5</v>
      </c>
      <c r="X85" s="37">
        <v>6.3</v>
      </c>
      <c r="Y85" s="37">
        <v>0</v>
      </c>
      <c r="Z85" s="32">
        <v>46.8</v>
      </c>
      <c r="AA85" s="37">
        <v>9.6</v>
      </c>
      <c r="AB85" s="37">
        <v>0</v>
      </c>
      <c r="AC85" s="33">
        <v>43.5</v>
      </c>
      <c r="AD85" s="37">
        <v>7.2</v>
      </c>
      <c r="AE85" s="37">
        <v>0</v>
      </c>
    </row>
    <row r="86" spans="1:31" x14ac:dyDescent="0.2">
      <c r="A86" s="1" t="str" cm="1">
        <f t="array" ref="A86">IF(I86="","",IF(P86&lt;&gt;"",SUMPRODUCT((P$3:P$95&lt;&gt;"")*(G$3:G$95=G86)*(J$3:J$95&gt;J86)*(I$3:I$95="P"))+1,IF(O86&lt;&gt;"",SUMPRODUCT((O$3:O$95&lt;&gt;"")*(P$3:P$95="")*(G$3:G$95=G86)*(J$3:J$95&gt;J86)*(I$3:I$95="P"))+SUMPRODUCT((P$3:P$95&lt;&gt;"")*(G$3:G$95=G86)*(I$3:I$95="P"))+1,IF(N86&lt;&gt;"",SUMPRODUCT((N$3:N$95&lt;&gt;"")*(G$3:G$95=G86)*(J$3:J$95&gt;J86)*(I$3:I$95="P"))+1,IF(M86="P",SUMPRODUCT((O$3:O$95&lt;&gt;"")*(P$3:P$95="")*(G$3:G$95=G86)*(I$3:I$95="P"))+SUMPRODUCT((P$3:P$95&lt;&gt;"")*(G$3:G$95=G86)*(I$3:I$95="P"))+SUMPRODUCT((N$3:N$95&lt;&gt;"")*(G$3:G$95=G86)*(I$3:I$95="P"))+SUMPRODUCT((P$3:P$95="")*(O$3:O$95="")*(N$3:N$95="")*(M$3:M$95="P")*(G$3:G$95=G86)*(J$3:J$95&gt;J86)*(I$3:I$95="P"))+IF(H86="L5",SUMPRODUCT((P$3:P$95="")*(O$3:O$95="")*(N$3:N$95="")*(M$3:M$95="P")*(G$3:G$95=G86)*(J$3:J$95&lt;J86)*(H$3:H$95&lt;&gt;H86)*(I$3:I$95="P")),-1*SUMPRODUCT((P$3:P$95="")*(O$3:O$95="")*(N$3:N$95="")*(M$3:M$95="P")*(G$3:G$95=G86)*(J$3:J$95&gt;J86)*(H$3:H$95="L5")*(I$3:I$95="P")))+1,"")))))</f>
        <v/>
      </c>
      <c r="B86" s="1" cm="1">
        <f t="array" ref="B86">IF(P86&lt;&gt;"",SUMPRODUCT((P$3:P$95&lt;&gt;"")*(G$3:G$95=G86)*(J$3:J$95&gt;J86))+1,IF(O86&lt;&gt;"",SUMPRODUCT((O$3:O$95&lt;&gt;"")*(P$3:P$95="")*(G$3:G$95=G86)*(J$3:J$95&gt;J86))+SUMPRODUCT((P$3:P$95&lt;&gt;"")*(G$3:G$95=G86))+1,IF(N86&lt;&gt;"",SUMPRODUCT((N$3:N$95&lt;&gt;"")*(G$3:G$95=G86)*(J$3:J$95&gt;J86))+1,IF(M86="P",SUMPRODUCT((O$3:O$95&lt;&gt;"")*(P$3:P$95="")*(G$3:G$95=G86))+SUMPRODUCT((P$3:P$95&lt;&gt;"")*(G$3:G$95=G86))+SUMPRODUCT((N$3:N$95&lt;&gt;"")*(G$3:G$95=G86))+SUMPRODUCT((P$3:P$95="")*(O$3:O$95="")*(N$3:N$95="")*(M$3:M$95="P")*(G$3:G$95=G86)*(J$3:J$95&gt;J86))+IF(H86="L5",SUMPRODUCT((P$3:P$95="")*(O$3:O$95="")*(N$3:N$95="")*(M$3:M$95="P")*(G$3:G$95=G86)*(J$3:J$95&lt;J86)*(H$3:H$95&lt;&gt;H86)),-1*SUMPRODUCT((P$3:P$95="")*(O$3:O$95="")*(N$3:N$95="")*(M$3:M$95="P")*(G$3:G$95=G86)*(J$3:J$95&gt;J86)*(H$3:H$95="L5")))+1,""))))</f>
        <v>7</v>
      </c>
      <c r="C86" s="35" t="s">
        <v>188</v>
      </c>
      <c r="D86" t="str">
        <f>IF(E86="","",VLOOKUP(E86,'Coaching Points'!A:B,2,0))</f>
        <v>BC</v>
      </c>
      <c r="E86" s="35" t="s">
        <v>128</v>
      </c>
      <c r="F86" s="34">
        <v>2012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R86+S86+IF(OR(H86="Junior",H86="Senior"),0.0002,IF(OR(H86="L7",H86="L6"),0.0001,0))+MAX(Z86,AC86)*0.0000001</f>
        <v>89.700004439999987</v>
      </c>
      <c r="K86" s="3" t="str">
        <f>IF(G86="Not Age Eligible","",IF(MAX(T86,W86,Z86,AC86)&gt;=LOOKUP(G86,'Qualifying Scores'!$A$4:$A$7,'Qualifying Scores'!$F$4:$F$7),"P",""))</f>
        <v>P</v>
      </c>
      <c r="L86" s="3" t="str">
        <f>IF(G86="Not Age Eligible","",IF(MAX(U86,X86,AA86,AD86)&gt;=LOOKUP(G86,'Qualifying Scores'!$A$10:$A$13,'Qualifying Scores'!$F$10:$F$13),"P",""))</f>
        <v>P</v>
      </c>
      <c r="M86" s="3" t="str">
        <f>IF(G86="Not Age Eligible","",IF(OR(AND(T86&gt;=LOOKUP(G86,'Qualifying Scores'!$A$4:$A$7,'Qualifying Scores'!$F$4:$F$7),U86&gt;=LOOKUP(G86,'Qualifying Scores'!$A$10:$A$13,'Qualifying Scores'!$F$10:$F$13)),AND(Z86&gt;=LOOKUP(G86,'Qualifying Scores'!$A$4:$A$7,'Qualifying Scores'!$F$4:$F$7),AA86&gt;=LOOKUP(G86,'Qualifying Scores'!$A$10:$A$13,'Qualifying Scores'!$F$10:$F$13)),AND(W86&gt;=LOOKUP(G86,'Qualifying Scores'!$A$4:$A$7,'Qualifying Scores'!$F$4:$F$7),X86&gt;=LOOKUP(G86,'Qualifying Scores'!$A$10:$A$13,'Qualifying Scores'!$F$10:$F$13)),AND(AC86&gt;=LOOKUP(G86,'Qualifying Scores'!$A$4:$A$7,'Qualifying Scores'!$F$4:$F$7),AD86&gt;=LOOKUP(G86,'Qualifying Scores'!$A$10:$A$13,'Qualifying Scores'!$F$10:$F$13))),"P",""))</f>
        <v>P</v>
      </c>
      <c r="Q86" s="1" t="str">
        <f>IF(A86&lt;5,IF(_xlfn.MAXIFS(A:A,G:G,G86)&gt;3,5-A86,_xlfn.MAXIFS(A:A,G:G,G86)+1-A86),"")</f>
        <v/>
      </c>
      <c r="R86" s="4">
        <f>MAX(T86-IF(OR(H86="Senior"),V86,0),W86-IF(OR(H86="Senior"),Y86,0),Z86-IF(OR(H86="Senior"),AB86,0),AC86-IF(OR(H86="Senior"),AE86,0))</f>
        <v>45.3</v>
      </c>
      <c r="S86" s="4">
        <f>IF(R86=T86-IF(OR(H86="Senior"),V86,0),MAX(W86-IF(OR(H86="Senior"),Y86,0),Z86-IF(OR(H86="Senior"),AB86,0),AC86-IF(OR(H86="Senior"),AE86,0)),IF(R86=W86-IF(OR(H86="Senior"),Y86,0),MAX(T86-IF(OR(H86="Senior"),V86,0),Z86-IF(OR(H86="Senior"),AB86,0),AC86-IF(OR(H86="Senior"),AE86,0)),IF(R86=Z86-IF(OR(H86="Senior"),AB86,0),MAX(T86-IF(OR(H86="Senior"),V86,0),W86-IF(OR(H86="Senior"),Y86,0),AC86-IF(OR(H86="Senior"),AE86,0)),IF(R86=AC86-IF(OR(H86="Senior"),AE86,0),MAX(T86-IF(OR(H86="Senior"),V86,0),W86-IF(OR(H86="Senior"),Y86,0),Z86-IF(OR(H86="Senior"),AB86,0)),0))))</f>
        <v>44.4</v>
      </c>
      <c r="T86" s="32">
        <v>45.3</v>
      </c>
      <c r="U86" s="37">
        <v>8.3000000000000007</v>
      </c>
      <c r="V86" s="37">
        <v>0</v>
      </c>
      <c r="W86" s="33">
        <v>44.2</v>
      </c>
      <c r="X86" s="37">
        <v>8.3000000000000007</v>
      </c>
      <c r="Y86" s="37">
        <v>0</v>
      </c>
      <c r="Z86" s="32">
        <v>44.4</v>
      </c>
      <c r="AA86" s="37">
        <v>8.4</v>
      </c>
      <c r="AB86" s="37">
        <v>0</v>
      </c>
      <c r="AC86" s="33">
        <v>43.9</v>
      </c>
      <c r="AD86" s="37">
        <v>8.3000000000000007</v>
      </c>
      <c r="AE86" s="37">
        <v>0</v>
      </c>
    </row>
    <row r="87" spans="1:31" x14ac:dyDescent="0.2">
      <c r="A87" s="1" t="str" cm="1">
        <f t="array" ref="A87">IF(I87="","",IF(P87&lt;&gt;"",SUMPRODUCT((P$3:P$95&lt;&gt;"")*(G$3:G$95=G87)*(J$3:J$95&gt;J87)*(I$3:I$95="P"))+1,IF(O87&lt;&gt;"",SUMPRODUCT((O$3:O$95&lt;&gt;"")*(P$3:P$95="")*(G$3:G$95=G87)*(J$3:J$95&gt;J87)*(I$3:I$95="P"))+SUMPRODUCT((P$3:P$95&lt;&gt;"")*(G$3:G$95=G87)*(I$3:I$95="P"))+1,IF(N87&lt;&gt;"",SUMPRODUCT((N$3:N$95&lt;&gt;"")*(G$3:G$95=G87)*(J$3:J$95&gt;J87)*(I$3:I$95="P"))+1,IF(M87="P",SUMPRODUCT((O$3:O$95&lt;&gt;"")*(P$3:P$95="")*(G$3:G$95=G87)*(I$3:I$95="P"))+SUMPRODUCT((P$3:P$95&lt;&gt;"")*(G$3:G$95=G87)*(I$3:I$95="P"))+SUMPRODUCT((N$3:N$95&lt;&gt;"")*(G$3:G$95=G87)*(I$3:I$95="P"))+SUMPRODUCT((P$3:P$95="")*(O$3:O$95="")*(N$3:N$95="")*(M$3:M$95="P")*(G$3:G$95=G87)*(J$3:J$95&gt;J87)*(I$3:I$95="P"))+IF(H87="L5",SUMPRODUCT((P$3:P$95="")*(O$3:O$95="")*(N$3:N$95="")*(M$3:M$95="P")*(G$3:G$95=G87)*(J$3:J$95&lt;J87)*(H$3:H$95&lt;&gt;H87)*(I$3:I$95="P")),-1*SUMPRODUCT((P$3:P$95="")*(O$3:O$95="")*(N$3:N$95="")*(M$3:M$95="P")*(G$3:G$95=G87)*(J$3:J$95&gt;J87)*(H$3:H$95="L5")*(I$3:I$95="P")))+1,"")))))</f>
        <v/>
      </c>
      <c r="B87" s="1" t="str" cm="1">
        <f t="array" ref="B87">IF(P87&lt;&gt;"",SUMPRODUCT((P$3:P$95&lt;&gt;"")*(G$3:G$95=G87)*(J$3:J$95&gt;J87))+1,IF(O87&lt;&gt;"",SUMPRODUCT((O$3:O$95&lt;&gt;"")*(P$3:P$95="")*(G$3:G$95=G87)*(J$3:J$95&gt;J87))+SUMPRODUCT((P$3:P$95&lt;&gt;"")*(G$3:G$95=G87))+1,IF(N87&lt;&gt;"",SUMPRODUCT((N$3:N$95&lt;&gt;"")*(G$3:G$95=G87)*(J$3:J$95&gt;J87))+1,IF(M87="P",SUMPRODUCT((O$3:O$95&lt;&gt;"")*(P$3:P$95="")*(G$3:G$95=G87))+SUMPRODUCT((P$3:P$95&lt;&gt;"")*(G$3:G$95=G87))+SUMPRODUCT((N$3:N$95&lt;&gt;"")*(G$3:G$95=G87))+SUMPRODUCT((P$3:P$95="")*(O$3:O$95="")*(N$3:N$95="")*(M$3:M$95="P")*(G$3:G$95=G87)*(J$3:J$95&gt;J87))+IF(H87="L5",SUMPRODUCT((P$3:P$95="")*(O$3:O$95="")*(N$3:N$95="")*(M$3:M$95="P")*(G$3:G$95=G87)*(J$3:J$95&lt;J87)*(H$3:H$95&lt;&gt;H87)),-1*SUMPRODUCT((P$3:P$95="")*(O$3:O$95="")*(N$3:N$95="")*(M$3:M$95="P")*(G$3:G$95=G87)*(J$3:J$95&gt;J87)*(H$3:H$95="L5")))+1,""))))</f>
        <v/>
      </c>
      <c r="C87" s="35" t="s">
        <v>136</v>
      </c>
      <c r="D87" t="str">
        <f>IF(E87="","",VLOOKUP(E87,'Coaching Points'!A:B,2,0))</f>
        <v>BC</v>
      </c>
      <c r="E87" s="35" t="s">
        <v>60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R87+S87+IF(OR(H87="Junior",H87="Senior"),0.0002,IF(OR(H87="L7",H87="L6"),0.0001,0))+MAX(Z87,AC87)*0.0000001</f>
        <v>87.500004360000005</v>
      </c>
      <c r="K87" s="3" t="str">
        <f>IF(G87="Not Age Eligible","",IF(MAX(T87,W87,Z87,AC87)&gt;=LOOKUP(G87,'Qualifying Scores'!$A$4:$A$7,'Qualifying Scores'!$F$4:$F$7),"P",""))</f>
        <v/>
      </c>
      <c r="L87" s="3" t="str">
        <f>IF(G87="Not Age Eligible","",IF(MAX(U87,X87,AA87,AD87)&gt;=LOOKUP(G87,'Qualifying Scores'!$A$10:$A$13,'Qualifying Scores'!$F$10:$F$13),"P",""))</f>
        <v/>
      </c>
      <c r="M87" s="3" t="str">
        <f>IF(G87="Not Age Eligible","",IF(OR(AND(T87&gt;=LOOKUP(G87,'Qualifying Scores'!$A$4:$A$7,'Qualifying Scores'!$F$4:$F$7),U87&gt;=LOOKUP(G87,'Qualifying Scores'!$A$10:$A$13,'Qualifying Scores'!$F$10:$F$13)),AND(Z87&gt;=LOOKUP(G87,'Qualifying Scores'!$A$4:$A$7,'Qualifying Scores'!$F$4:$F$7),AA87&gt;=LOOKUP(G87,'Qualifying Scores'!$A$10:$A$13,'Qualifying Scores'!$F$10:$F$13)),AND(W87&gt;=LOOKUP(G87,'Qualifying Scores'!$A$4:$A$7,'Qualifying Scores'!$F$4:$F$7),X87&gt;=LOOKUP(G87,'Qualifying Scores'!$A$10:$A$13,'Qualifying Scores'!$F$10:$F$13)),AND(AC87&gt;=LOOKUP(G87,'Qualifying Scores'!$A$4:$A$7,'Qualifying Scores'!$F$4:$F$7),AD87&gt;=LOOKUP(G87,'Qualifying Scores'!$A$10:$A$13,'Qualifying Scores'!$F$10:$F$13))),"P",""))</f>
        <v/>
      </c>
      <c r="Q87" s="1" t="str">
        <f>IF(A87&lt;5,IF(_xlfn.MAXIFS(A:A,G:G,G87)&gt;3,5-A87,_xlfn.MAXIFS(A:A,G:G,G87)+1-A87),"")</f>
        <v/>
      </c>
      <c r="R87" s="4">
        <f>MAX(T87-IF(OR(H87="Senior"),V87,0),W87-IF(OR(H87="Senior"),Y87,0),Z87-IF(OR(H87="Senior"),AB87,0),AC87-IF(OR(H87="Senior"),AE87,0))</f>
        <v>43.9</v>
      </c>
      <c r="S87" s="4">
        <f>IF(R87=T87-IF(OR(H87="Senior"),V87,0),MAX(W87-IF(OR(H87="Senior"),Y87,0),Z87-IF(OR(H87="Senior"),AB87,0),AC87-IF(OR(H87="Senior"),AE87,0)),IF(R87=W87-IF(OR(H87="Senior"),Y87,0),MAX(T87-IF(OR(H87="Senior"),V87,0),Z87-IF(OR(H87="Senior"),AB87,0),AC87-IF(OR(H87="Senior"),AE87,0)),IF(R87=Z87-IF(OR(H87="Senior"),AB87,0),MAX(T87-IF(OR(H87="Senior"),V87,0),W87-IF(OR(H87="Senior"),Y87,0),AC87-IF(OR(H87="Senior"),AE87,0)),IF(R87=AC87-IF(OR(H87="Senior"),AE87,0),MAX(T87-IF(OR(H87="Senior"),V87,0),W87-IF(OR(H87="Senior"),Y87,0),Z87-IF(OR(H87="Senior"),AB87,0)),0))))</f>
        <v>43.6</v>
      </c>
      <c r="T87" s="32">
        <v>43.9</v>
      </c>
      <c r="U87" s="37">
        <v>6.6</v>
      </c>
      <c r="V87" s="37">
        <v>0</v>
      </c>
      <c r="W87" s="33">
        <v>42.5</v>
      </c>
      <c r="X87" s="37">
        <v>6.6999999999999993</v>
      </c>
      <c r="Y87" s="37">
        <v>0</v>
      </c>
      <c r="Z87" s="32">
        <v>43.6</v>
      </c>
      <c r="AA87" s="37">
        <v>6.6</v>
      </c>
      <c r="AB87" s="37">
        <v>0</v>
      </c>
      <c r="AC87" s="33">
        <v>43.5</v>
      </c>
      <c r="AD87" s="37">
        <v>6.5</v>
      </c>
      <c r="AE87" s="37">
        <v>0</v>
      </c>
    </row>
    <row r="88" spans="1:31" x14ac:dyDescent="0.2">
      <c r="A88" s="1" t="str" cm="1">
        <f t="array" ref="A88">IF(I88="","",IF(P88&lt;&gt;"",SUMPRODUCT((P$3:P$95&lt;&gt;"")*(G$3:G$95=G88)*(J$3:J$95&gt;J88)*(I$3:I$95="P"))+1,IF(O88&lt;&gt;"",SUMPRODUCT((O$3:O$95&lt;&gt;"")*(P$3:P$95="")*(G$3:G$95=G88)*(J$3:J$95&gt;J88)*(I$3:I$95="P"))+SUMPRODUCT((P$3:P$95&lt;&gt;"")*(G$3:G$95=G88)*(I$3:I$95="P"))+1,IF(N88&lt;&gt;"",SUMPRODUCT((N$3:N$95&lt;&gt;"")*(G$3:G$95=G88)*(J$3:J$95&gt;J88)*(I$3:I$95="P"))+1,IF(M88="P",SUMPRODUCT((O$3:O$95&lt;&gt;"")*(P$3:P$95="")*(G$3:G$95=G88)*(I$3:I$95="P"))+SUMPRODUCT((P$3:P$95&lt;&gt;"")*(G$3:G$95=G88)*(I$3:I$95="P"))+SUMPRODUCT((N$3:N$95&lt;&gt;"")*(G$3:G$95=G88)*(I$3:I$95="P"))+SUMPRODUCT((P$3:P$95="")*(O$3:O$95="")*(N$3:N$95="")*(M$3:M$95="P")*(G$3:G$95=G88)*(J$3:J$95&gt;J88)*(I$3:I$95="P"))+IF(H88="L5",SUMPRODUCT((P$3:P$95="")*(O$3:O$95="")*(N$3:N$95="")*(M$3:M$95="P")*(G$3:G$95=G88)*(J$3:J$95&lt;J88)*(H$3:H$95&lt;&gt;H88)*(I$3:I$95="P")),-1*SUMPRODUCT((P$3:P$95="")*(O$3:O$95="")*(N$3:N$95="")*(M$3:M$95="P")*(G$3:G$95=G88)*(J$3:J$95&gt;J88)*(H$3:H$95="L5")*(I$3:I$95="P")))+1,"")))))</f>
        <v/>
      </c>
      <c r="B88" s="1" t="str" cm="1">
        <f t="array" ref="B88">IF(P88&lt;&gt;"",SUMPRODUCT((P$3:P$95&lt;&gt;"")*(G$3:G$95=G88)*(J$3:J$95&gt;J88))+1,IF(O88&lt;&gt;"",SUMPRODUCT((O$3:O$95&lt;&gt;"")*(P$3:P$95="")*(G$3:G$95=G88)*(J$3:J$95&gt;J88))+SUMPRODUCT((P$3:P$95&lt;&gt;"")*(G$3:G$95=G88))+1,IF(N88&lt;&gt;"",SUMPRODUCT((N$3:N$95&lt;&gt;"")*(G$3:G$95=G88)*(J$3:J$95&gt;J88))+1,IF(M88="P",SUMPRODUCT((O$3:O$95&lt;&gt;"")*(P$3:P$95="")*(G$3:G$95=G88))+SUMPRODUCT((P$3:P$95&lt;&gt;"")*(G$3:G$95=G88))+SUMPRODUCT((N$3:N$95&lt;&gt;"")*(G$3:G$95=G88))+SUMPRODUCT((P$3:P$95="")*(O$3:O$95="")*(N$3:N$95="")*(M$3:M$95="P")*(G$3:G$95=G88)*(J$3:J$95&gt;J88))+IF(H88="L5",SUMPRODUCT((P$3:P$95="")*(O$3:O$95="")*(N$3:N$95="")*(M$3:M$95="P")*(G$3:G$95=G88)*(J$3:J$95&lt;J88)*(H$3:H$95&lt;&gt;H88)),-1*SUMPRODUCT((P$3:P$95="")*(O$3:O$95="")*(N$3:N$95="")*(M$3:M$95="P")*(G$3:G$95=G88)*(J$3:J$95&gt;J88)*(H$3:H$95="L5")))+1,""))))</f>
        <v/>
      </c>
      <c r="C88" s="35" t="s">
        <v>392</v>
      </c>
      <c r="D88" t="str">
        <f>IF(E88="","",VLOOKUP(E88,'Coaching Points'!A:B,2,0))</f>
        <v>QC</v>
      </c>
      <c r="E88" s="35" t="s">
        <v>3</v>
      </c>
      <c r="F88" s="34">
        <v>2011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>R88+S88+IF(OR(H88="Junior",H88="Senior"),0.0002,IF(OR(H88="L7",H88="L6"),0.0001,0))+MAX(Z88,AC88)*0.0000001</f>
        <v>86.100004319999996</v>
      </c>
      <c r="K88" s="3" t="str">
        <f>IF(G88="Not Age Eligible","",IF(MAX(T88,W88,Z88,AC88)&gt;=LOOKUP(G88,'Qualifying Scores'!$A$4:$A$7,'Qualifying Scores'!$F$4:$F$7),"P",""))</f>
        <v/>
      </c>
      <c r="L88" s="3" t="str">
        <f>IF(G88="Not Age Eligible","",IF(MAX(U88,X88,AA88,AD88)&gt;=LOOKUP(G88,'Qualifying Scores'!$A$10:$A$13,'Qualifying Scores'!$F$10:$F$13),"P",""))</f>
        <v/>
      </c>
      <c r="M88" s="3" t="str">
        <f>IF(G88="Not Age Eligible","",IF(OR(AND(T88&gt;=LOOKUP(G88,'Qualifying Scores'!$A$4:$A$7,'Qualifying Scores'!$F$4:$F$7),U88&gt;=LOOKUP(G88,'Qualifying Scores'!$A$10:$A$13,'Qualifying Scores'!$F$10:$F$13)),AND(Z88&gt;=LOOKUP(G88,'Qualifying Scores'!$A$4:$A$7,'Qualifying Scores'!$F$4:$F$7),AA88&gt;=LOOKUP(G88,'Qualifying Scores'!$A$10:$A$13,'Qualifying Scores'!$F$10:$F$13)),AND(W88&gt;=LOOKUP(G88,'Qualifying Scores'!$A$4:$A$7,'Qualifying Scores'!$F$4:$F$7),X88&gt;=LOOKUP(G88,'Qualifying Scores'!$A$10:$A$13,'Qualifying Scores'!$F$10:$F$13)),AND(AC88&gt;=LOOKUP(G88,'Qualifying Scores'!$A$4:$A$7,'Qualifying Scores'!$F$4:$F$7),AD88&gt;=LOOKUP(G88,'Qualifying Scores'!$A$10:$A$13,'Qualifying Scores'!$F$10:$F$13))),"P",""))</f>
        <v/>
      </c>
      <c r="Q88" s="1" t="str">
        <f>IF(A88&lt;5,IF(_xlfn.MAXIFS(A:A,G:G,G88)&gt;3,5-A88,_xlfn.MAXIFS(A:A,G:G,G88)+1-A88),"")</f>
        <v/>
      </c>
      <c r="R88" s="4">
        <f>MAX(T88-IF(OR(H88="Senior"),V88,0),W88-IF(OR(H88="Senior"),Y88,0),Z88-IF(OR(H88="Senior"),AB88,0),AC88-IF(OR(H88="Senior"),AE88,0))</f>
        <v>43.2</v>
      </c>
      <c r="S88" s="4">
        <f>IF(R88=T88-IF(OR(H88="Senior"),V88,0),MAX(W88-IF(OR(H88="Senior"),Y88,0),Z88-IF(OR(H88="Senior"),AB88,0),AC88-IF(OR(H88="Senior"),AE88,0)),IF(R88=W88-IF(OR(H88="Senior"),Y88,0),MAX(T88-IF(OR(H88="Senior"),V88,0),Z88-IF(OR(H88="Senior"),AB88,0),AC88-IF(OR(H88="Senior"),AE88,0)),IF(R88=Z88-IF(OR(H88="Senior"),AB88,0),MAX(T88-IF(OR(H88="Senior"),V88,0),W88-IF(OR(H88="Senior"),Y88,0),AC88-IF(OR(H88="Senior"),AE88,0)),IF(R88=AC88-IF(OR(H88="Senior"),AE88,0),MAX(T88-IF(OR(H88="Senior"),V88,0),W88-IF(OR(H88="Senior"),Y88,0),Z88-IF(OR(H88="Senior"),AB88,0)),0))))</f>
        <v>42.9</v>
      </c>
      <c r="T88" s="32"/>
      <c r="U88" s="37"/>
      <c r="V88" s="37"/>
      <c r="W88" s="33"/>
      <c r="X88" s="37"/>
      <c r="Y88" s="37"/>
      <c r="Z88" s="32">
        <v>42.9</v>
      </c>
      <c r="AA88" s="37">
        <v>6.4</v>
      </c>
      <c r="AB88" s="37">
        <v>0</v>
      </c>
      <c r="AC88" s="33">
        <v>43.2</v>
      </c>
      <c r="AD88" s="37">
        <v>6.2</v>
      </c>
      <c r="AE88" s="37">
        <v>0</v>
      </c>
    </row>
    <row r="89" spans="1:31" x14ac:dyDescent="0.2">
      <c r="A89" s="1" t="str" cm="1">
        <f t="array" ref="A89">IF(I89="","",IF(P89&lt;&gt;"",SUMPRODUCT((P$3:P$95&lt;&gt;"")*(G$3:G$95=G89)*(J$3:J$95&gt;J89)*(I$3:I$95="P"))+1,IF(O89&lt;&gt;"",SUMPRODUCT((O$3:O$95&lt;&gt;"")*(P$3:P$95="")*(G$3:G$95=G89)*(J$3:J$95&gt;J89)*(I$3:I$95="P"))+SUMPRODUCT((P$3:P$95&lt;&gt;"")*(G$3:G$95=G89)*(I$3:I$95="P"))+1,IF(N89&lt;&gt;"",SUMPRODUCT((N$3:N$95&lt;&gt;"")*(G$3:G$95=G89)*(J$3:J$95&gt;J89)*(I$3:I$95="P"))+1,IF(M89="P",SUMPRODUCT((O$3:O$95&lt;&gt;"")*(P$3:P$95="")*(G$3:G$95=G89)*(I$3:I$95="P"))+SUMPRODUCT((P$3:P$95&lt;&gt;"")*(G$3:G$95=G89)*(I$3:I$95="P"))+SUMPRODUCT((N$3:N$95&lt;&gt;"")*(G$3:G$95=G89)*(I$3:I$95="P"))+SUMPRODUCT((P$3:P$95="")*(O$3:O$95="")*(N$3:N$95="")*(M$3:M$95="P")*(G$3:G$95=G89)*(J$3:J$95&gt;J89)*(I$3:I$95="P"))+IF(H89="L5",SUMPRODUCT((P$3:P$95="")*(O$3:O$95="")*(N$3:N$95="")*(M$3:M$95="P")*(G$3:G$95=G89)*(J$3:J$95&lt;J89)*(H$3:H$95&lt;&gt;H89)*(I$3:I$95="P")),-1*SUMPRODUCT((P$3:P$95="")*(O$3:O$95="")*(N$3:N$95="")*(M$3:M$95="P")*(G$3:G$95=G89)*(J$3:J$95&gt;J89)*(H$3:H$95="L5")*(I$3:I$95="P")))+1,"")))))</f>
        <v/>
      </c>
      <c r="B89" s="1" t="str" cm="1">
        <f t="array" ref="B89">IF(P89&lt;&gt;"",SUMPRODUCT((P$3:P$95&lt;&gt;"")*(G$3:G$95=G89)*(J$3:J$95&gt;J89))+1,IF(O89&lt;&gt;"",SUMPRODUCT((O$3:O$95&lt;&gt;"")*(P$3:P$95="")*(G$3:G$95=G89)*(J$3:J$95&gt;J89))+SUMPRODUCT((P$3:P$95&lt;&gt;"")*(G$3:G$95=G89))+1,IF(N89&lt;&gt;"",SUMPRODUCT((N$3:N$95&lt;&gt;"")*(G$3:G$95=G89)*(J$3:J$95&gt;J89))+1,IF(M89="P",SUMPRODUCT((O$3:O$95&lt;&gt;"")*(P$3:P$95="")*(G$3:G$95=G89))+SUMPRODUCT((P$3:P$95&lt;&gt;"")*(G$3:G$95=G89))+SUMPRODUCT((N$3:N$95&lt;&gt;"")*(G$3:G$95=G89))+SUMPRODUCT((P$3:P$95="")*(O$3:O$95="")*(N$3:N$95="")*(M$3:M$95="P")*(G$3:G$95=G89)*(J$3:J$95&gt;J89))+IF(H89="L5",SUMPRODUCT((P$3:P$95="")*(O$3:O$95="")*(N$3:N$95="")*(M$3:M$95="P")*(G$3:G$95=G89)*(J$3:J$95&lt;J89)*(H$3:H$95&lt;&gt;H89)),-1*SUMPRODUCT((P$3:P$95="")*(O$3:O$95="")*(N$3:N$95="")*(M$3:M$95="P")*(G$3:G$95=G89)*(J$3:J$95&gt;J89)*(H$3:H$95="L5")))+1,""))))</f>
        <v/>
      </c>
      <c r="C89" s="35" t="s">
        <v>351</v>
      </c>
      <c r="D89" t="str">
        <f>IF(E89="","",VLOOKUP(E89,'Coaching Points'!A:B,2,0))</f>
        <v>BC</v>
      </c>
      <c r="E89" s="35" t="s">
        <v>40</v>
      </c>
      <c r="F89" s="34">
        <v>2012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6" t="s">
        <v>214</v>
      </c>
      <c r="I89" s="40"/>
      <c r="J89" s="4">
        <f>R89+S89+IF(OR(H89="Junior",H89="Senior"),0.0002,IF(OR(H89="L7",H89="L6"),0.0001,0))+MAX(Z89,AC89)*0.0000001</f>
        <v>84.000004239999996</v>
      </c>
      <c r="K89" s="3" t="str">
        <f>IF(G89="Not Age Eligible","",IF(MAX(T89,W89,Z89,AC89)&gt;=LOOKUP(G89,'Qualifying Scores'!$A$4:$A$7,'Qualifying Scores'!$F$4:$F$7),"P",""))</f>
        <v/>
      </c>
      <c r="L89" s="3" t="str">
        <f>IF(G89="Not Age Eligible","",IF(MAX(U89,X89,AA89,AD89)&gt;=LOOKUP(G89,'Qualifying Scores'!$A$10:$A$13,'Qualifying Scores'!$F$10:$F$13),"P",""))</f>
        <v/>
      </c>
      <c r="M89" s="3" t="str">
        <f>IF(G89="Not Age Eligible","",IF(OR(AND(T89&gt;=LOOKUP(G89,'Qualifying Scores'!$A$4:$A$7,'Qualifying Scores'!$F$4:$F$7),U89&gt;=LOOKUP(G89,'Qualifying Scores'!$A$10:$A$13,'Qualifying Scores'!$F$10:$F$13)),AND(Z89&gt;=LOOKUP(G89,'Qualifying Scores'!$A$4:$A$7,'Qualifying Scores'!$F$4:$F$7),AA89&gt;=LOOKUP(G89,'Qualifying Scores'!$A$10:$A$13,'Qualifying Scores'!$F$10:$F$13)),AND(W89&gt;=LOOKUP(G89,'Qualifying Scores'!$A$4:$A$7,'Qualifying Scores'!$F$4:$F$7),X89&gt;=LOOKUP(G89,'Qualifying Scores'!$A$10:$A$13,'Qualifying Scores'!$F$10:$F$13)),AND(AC89&gt;=LOOKUP(G89,'Qualifying Scores'!$A$4:$A$7,'Qualifying Scores'!$F$4:$F$7),AD89&gt;=LOOKUP(G89,'Qualifying Scores'!$A$10:$A$13,'Qualifying Scores'!$F$10:$F$13))),"P",""))</f>
        <v/>
      </c>
      <c r="Q89" s="1" t="str">
        <f>IF(A89&lt;5,IF(_xlfn.MAXIFS(A:A,G:G,G89)&gt;3,5-A89,_xlfn.MAXIFS(A:A,G:G,G89)+1-A89),"")</f>
        <v/>
      </c>
      <c r="R89" s="4">
        <f>MAX(T89-IF(OR(H89="Senior"),V89,0),W89-IF(OR(H89="Senior"),Y89,0),Z89-IF(OR(H89="Senior"),AB89,0),AC89-IF(OR(H89="Senior"),AE89,0))</f>
        <v>42.4</v>
      </c>
      <c r="S89" s="4">
        <f>IF(R89=T89-IF(OR(H89="Senior"),V89,0),MAX(W89-IF(OR(H89="Senior"),Y89,0),Z89-IF(OR(H89="Senior"),AB89,0),AC89-IF(OR(H89="Senior"),AE89,0)),IF(R89=W89-IF(OR(H89="Senior"),Y89,0),MAX(T89-IF(OR(H89="Senior"),V89,0),Z89-IF(OR(H89="Senior"),AB89,0),AC89-IF(OR(H89="Senior"),AE89,0)),IF(R89=Z89-IF(OR(H89="Senior"),AB89,0),MAX(T89-IF(OR(H89="Senior"),V89,0),W89-IF(OR(H89="Senior"),Y89,0),AC89-IF(OR(H89="Senior"),AE89,0)),IF(R89=AC89-IF(OR(H89="Senior"),AE89,0),MAX(T89-IF(OR(H89="Senior"),V89,0),W89-IF(OR(H89="Senior"),Y89,0),Z89-IF(OR(H89="Senior"),AB89,0)),0))))</f>
        <v>41.6</v>
      </c>
      <c r="T89" s="32">
        <v>36.5</v>
      </c>
      <c r="U89" s="37">
        <v>3.4000000000000004</v>
      </c>
      <c r="V89" s="37">
        <v>0</v>
      </c>
      <c r="W89" s="33"/>
      <c r="X89" s="37"/>
      <c r="Y89" s="37"/>
      <c r="Z89" s="32">
        <v>42.4</v>
      </c>
      <c r="AA89" s="37">
        <v>5.8000000000000007</v>
      </c>
      <c r="AB89" s="37">
        <v>0</v>
      </c>
      <c r="AC89" s="33">
        <v>41.6</v>
      </c>
      <c r="AD89" s="37">
        <v>4.8000000000000007</v>
      </c>
      <c r="AE89" s="37">
        <v>0</v>
      </c>
    </row>
    <row r="90" spans="1:31" x14ac:dyDescent="0.2">
      <c r="A90" s="1" t="str" cm="1">
        <f t="array" ref="A90">IF(I90="","",IF(P90&lt;&gt;"",SUMPRODUCT((P$3:P$95&lt;&gt;"")*(G$3:G$95=G90)*(J$3:J$95&gt;J90)*(I$3:I$95="P"))+1,IF(O90&lt;&gt;"",SUMPRODUCT((O$3:O$95&lt;&gt;"")*(P$3:P$95="")*(G$3:G$95=G90)*(J$3:J$95&gt;J90)*(I$3:I$95="P"))+SUMPRODUCT((P$3:P$95&lt;&gt;"")*(G$3:G$95=G90)*(I$3:I$95="P"))+1,IF(N90&lt;&gt;"",SUMPRODUCT((N$3:N$95&lt;&gt;"")*(G$3:G$95=G90)*(J$3:J$95&gt;J90)*(I$3:I$95="P"))+1,IF(M90="P",SUMPRODUCT((O$3:O$95&lt;&gt;"")*(P$3:P$95="")*(G$3:G$95=G90)*(I$3:I$95="P"))+SUMPRODUCT((P$3:P$95&lt;&gt;"")*(G$3:G$95=G90)*(I$3:I$95="P"))+SUMPRODUCT((N$3:N$95&lt;&gt;"")*(G$3:G$95=G90)*(I$3:I$95="P"))+SUMPRODUCT((P$3:P$95="")*(O$3:O$95="")*(N$3:N$95="")*(M$3:M$95="P")*(G$3:G$95=G90)*(J$3:J$95&gt;J90)*(I$3:I$95="P"))+IF(H90="L5",SUMPRODUCT((P$3:P$95="")*(O$3:O$95="")*(N$3:N$95="")*(M$3:M$95="P")*(G$3:G$95=G90)*(J$3:J$95&lt;J90)*(H$3:H$95&lt;&gt;H90)*(I$3:I$95="P")),-1*SUMPRODUCT((P$3:P$95="")*(O$3:O$95="")*(N$3:N$95="")*(M$3:M$95="P")*(G$3:G$95=G90)*(J$3:J$95&gt;J90)*(H$3:H$95="L5")*(I$3:I$95="P")))+1,"")))))</f>
        <v/>
      </c>
      <c r="B90" s="1" cm="1">
        <f t="array" ref="B90">IF(P90&lt;&gt;"",SUMPRODUCT((P$3:P$95&lt;&gt;"")*(G$3:G$95=G90)*(J$3:J$95&gt;J90))+1,IF(O90&lt;&gt;"",SUMPRODUCT((O$3:O$95&lt;&gt;"")*(P$3:P$95="")*(G$3:G$95=G90)*(J$3:J$95&gt;J90))+SUMPRODUCT((P$3:P$95&lt;&gt;"")*(G$3:G$95=G90))+1,IF(N90&lt;&gt;"",SUMPRODUCT((N$3:N$95&lt;&gt;"")*(G$3:G$95=G90)*(J$3:J$95&gt;J90))+1,IF(M90="P",SUMPRODUCT((O$3:O$95&lt;&gt;"")*(P$3:P$95="")*(G$3:G$95=G90))+SUMPRODUCT((P$3:P$95&lt;&gt;"")*(G$3:G$95=G90))+SUMPRODUCT((N$3:N$95&lt;&gt;"")*(G$3:G$95=G90))+SUMPRODUCT((P$3:P$95="")*(O$3:O$95="")*(N$3:N$95="")*(M$3:M$95="P")*(G$3:G$95=G90)*(J$3:J$95&gt;J90))+IF(H90="L5",SUMPRODUCT((P$3:P$95="")*(O$3:O$95="")*(N$3:N$95="")*(M$3:M$95="P")*(G$3:G$95=G90)*(J$3:J$95&lt;J90)*(H$3:H$95&lt;&gt;H90)),-1*SUMPRODUCT((P$3:P$95="")*(O$3:O$95="")*(N$3:N$95="")*(M$3:M$95="P")*(G$3:G$95=G90)*(J$3:J$95&gt;J90)*(H$3:H$95="L5")))+1,""))))</f>
        <v>1</v>
      </c>
      <c r="C90" s="35" t="s">
        <v>187</v>
      </c>
      <c r="D90" t="str">
        <f>IF(E90="","",VLOOKUP(E90,'Coaching Points'!A:B,2,0))</f>
        <v>BC</v>
      </c>
      <c r="E90" s="35" t="s">
        <v>40</v>
      </c>
      <c r="F90" s="34">
        <v>2013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>R90+S90+IF(OR(H90="Junior",H90="Senior"),0.0002,IF(OR(H90="L7",H90="L6"),0.0001,0))+MAX(Z90,AC90)*0.0000001</f>
        <v>91.500004559999994</v>
      </c>
      <c r="K90" s="3" t="str">
        <f>IF(G90="Not Age Eligible","",IF(MAX(T90,W90,Z90,AC90)&gt;=LOOKUP(G90,'Qualifying Scores'!$A$4:$A$7,'Qualifying Scores'!$F$4:$F$7),"P",""))</f>
        <v>P</v>
      </c>
      <c r="L90" s="3" t="str">
        <f>IF(G90="Not Age Eligible","",IF(MAX(U90,X90,AA90,AD90)&gt;=LOOKUP(G90,'Qualifying Scores'!$A$10:$A$13,'Qualifying Scores'!$F$10:$F$13),"P",""))</f>
        <v>P</v>
      </c>
      <c r="M90" s="3" t="str">
        <f>IF(G90="Not Age Eligible","",IF(OR(AND(T90&gt;=LOOKUP(G90,'Qualifying Scores'!$A$4:$A$7,'Qualifying Scores'!$F$4:$F$7),U90&gt;=LOOKUP(G90,'Qualifying Scores'!$A$10:$A$13,'Qualifying Scores'!$F$10:$F$13)),AND(Z90&gt;=LOOKUP(G90,'Qualifying Scores'!$A$4:$A$7,'Qualifying Scores'!$F$4:$F$7),AA90&gt;=LOOKUP(G90,'Qualifying Scores'!$A$10:$A$13,'Qualifying Scores'!$F$10:$F$13)),AND(W90&gt;=LOOKUP(G90,'Qualifying Scores'!$A$4:$A$7,'Qualifying Scores'!$F$4:$F$7),X90&gt;=LOOKUP(G90,'Qualifying Scores'!$A$10:$A$13,'Qualifying Scores'!$F$10:$F$13)),AND(AC90&gt;=LOOKUP(G90,'Qualifying Scores'!$A$4:$A$7,'Qualifying Scores'!$F$4:$F$7),AD90&gt;=LOOKUP(G90,'Qualifying Scores'!$A$10:$A$13,'Qualifying Scores'!$F$10:$F$13))),"P",""))</f>
        <v>P</v>
      </c>
      <c r="Q90" s="1" t="str">
        <f>IF(A90&lt;5,IF(_xlfn.MAXIFS(A:A,G:G,G90)&gt;3,5-A90,_xlfn.MAXIFS(A:A,G:G,G90)+1-A90),"")</f>
        <v/>
      </c>
      <c r="R90" s="4">
        <f>MAX(T90-IF(OR(H90="Senior"),V90,0),W90-IF(OR(H90="Senior"),Y90,0),Z90-IF(OR(H90="Senior"),AB90,0),AC90-IF(OR(H90="Senior"),AE90,0))</f>
        <v>45.9</v>
      </c>
      <c r="S90" s="4">
        <f>IF(R90=T90-IF(OR(H90="Senior"),V90,0),MAX(W90-IF(OR(H90="Senior"),Y90,0),Z90-IF(OR(H90="Senior"),AB90,0),AC90-IF(OR(H90="Senior"),AE90,0)),IF(R90=W90-IF(OR(H90="Senior"),Y90,0),MAX(T90-IF(OR(H90="Senior"),V90,0),Z90-IF(OR(H90="Senior"),AB90,0),AC90-IF(OR(H90="Senior"),AE90,0)),IF(R90=Z90-IF(OR(H90="Senior"),AB90,0),MAX(T90-IF(OR(H90="Senior"),V90,0),W90-IF(OR(H90="Senior"),Y90,0),AC90-IF(OR(H90="Senior"),AE90,0)),IF(R90=AC90-IF(OR(H90="Senior"),AE90,0),MAX(T90-IF(OR(H90="Senior"),V90,0),W90-IF(OR(H90="Senior"),Y90,0),Z90-IF(OR(H90="Senior"),AB90,0)),0))))</f>
        <v>45.6</v>
      </c>
      <c r="T90" s="32">
        <v>45.9</v>
      </c>
      <c r="U90" s="37">
        <v>9.6</v>
      </c>
      <c r="V90" s="37">
        <v>0</v>
      </c>
      <c r="W90" s="33">
        <v>42.5</v>
      </c>
      <c r="X90" s="37">
        <v>7.3000000000000007</v>
      </c>
      <c r="Y90" s="37">
        <v>0</v>
      </c>
      <c r="Z90" s="32">
        <v>45.6</v>
      </c>
      <c r="AA90" s="37">
        <v>9.6</v>
      </c>
      <c r="AB90" s="37">
        <v>0</v>
      </c>
      <c r="AC90" s="33">
        <v>43.4</v>
      </c>
      <c r="AD90" s="37">
        <v>7.3000000000000007</v>
      </c>
      <c r="AE90" s="37">
        <v>0</v>
      </c>
    </row>
    <row r="91" spans="1:31" x14ac:dyDescent="0.2">
      <c r="A91" s="1" t="str" cm="1">
        <f t="array" ref="A91">IF(I91="","",IF(P91&lt;&gt;"",SUMPRODUCT((P$3:P$95&lt;&gt;"")*(G$3:G$95=G91)*(J$3:J$95&gt;J91)*(I$3:I$95="P"))+1,IF(O91&lt;&gt;"",SUMPRODUCT((O$3:O$95&lt;&gt;"")*(P$3:P$95="")*(G$3:G$95=G91)*(J$3:J$95&gt;J91)*(I$3:I$95="P"))+SUMPRODUCT((P$3:P$95&lt;&gt;"")*(G$3:G$95=G91)*(I$3:I$95="P"))+1,IF(N91&lt;&gt;"",SUMPRODUCT((N$3:N$95&lt;&gt;"")*(G$3:G$95=G91)*(J$3:J$95&gt;J91)*(I$3:I$95="P"))+1,IF(M91="P",SUMPRODUCT((O$3:O$95&lt;&gt;"")*(P$3:P$95="")*(G$3:G$95=G91)*(I$3:I$95="P"))+SUMPRODUCT((P$3:P$95&lt;&gt;"")*(G$3:G$95=G91)*(I$3:I$95="P"))+SUMPRODUCT((N$3:N$95&lt;&gt;"")*(G$3:G$95=G91)*(I$3:I$95="P"))+SUMPRODUCT((P$3:P$95="")*(O$3:O$95="")*(N$3:N$95="")*(M$3:M$95="P")*(G$3:G$95=G91)*(J$3:J$95&gt;J91)*(I$3:I$95="P"))+IF(H91="L5",SUMPRODUCT((P$3:P$95="")*(O$3:O$95="")*(N$3:N$95="")*(M$3:M$95="P")*(G$3:G$95=G91)*(J$3:J$95&lt;J91)*(H$3:H$95&lt;&gt;H91)*(I$3:I$95="P")),-1*SUMPRODUCT((P$3:P$95="")*(O$3:O$95="")*(N$3:N$95="")*(M$3:M$95="P")*(G$3:G$95=G91)*(J$3:J$95&gt;J91)*(H$3:H$95="L5")*(I$3:I$95="P")))+1,"")))))</f>
        <v/>
      </c>
      <c r="B91" s="1" t="str" cm="1">
        <f t="array" ref="B91">IF(P91&lt;&gt;"",SUMPRODUCT((P$3:P$95&lt;&gt;"")*(G$3:G$95=G91)*(J$3:J$95&gt;J91))+1,IF(O91&lt;&gt;"",SUMPRODUCT((O$3:O$95&lt;&gt;"")*(P$3:P$95="")*(G$3:G$95=G91)*(J$3:J$95&gt;J91))+SUMPRODUCT((P$3:P$95&lt;&gt;"")*(G$3:G$95=G91))+1,IF(N91&lt;&gt;"",SUMPRODUCT((N$3:N$95&lt;&gt;"")*(G$3:G$95=G91)*(J$3:J$95&gt;J91))+1,IF(M91="P",SUMPRODUCT((O$3:O$95&lt;&gt;"")*(P$3:P$95="")*(G$3:G$95=G91))+SUMPRODUCT((P$3:P$95&lt;&gt;"")*(G$3:G$95=G91))+SUMPRODUCT((N$3:N$95&lt;&gt;"")*(G$3:G$95=G91))+SUMPRODUCT((P$3:P$95="")*(O$3:O$95="")*(N$3:N$95="")*(M$3:M$95="P")*(G$3:G$95=G91)*(J$3:J$95&gt;J91))+IF(H91="L5",SUMPRODUCT((P$3:P$95="")*(O$3:O$95="")*(N$3:N$95="")*(M$3:M$95="P")*(G$3:G$95=G91)*(J$3:J$95&lt;J91)*(H$3:H$95&lt;&gt;H91)),-1*SUMPRODUCT((P$3:P$95="")*(O$3:O$95="")*(N$3:N$95="")*(M$3:M$95="P")*(G$3:G$95=G91)*(J$3:J$95&gt;J91)*(H$3:H$95="L5")))+1,""))))</f>
        <v/>
      </c>
      <c r="C91" s="35" t="s">
        <v>350</v>
      </c>
      <c r="D91" t="str">
        <f>IF(E91="","",VLOOKUP(E91,'Coaching Points'!A:B,2,0))</f>
        <v>AB</v>
      </c>
      <c r="E91" s="35" t="s">
        <v>361</v>
      </c>
      <c r="F91" s="34">
        <v>2014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>R91+S91+IF(OR(H91="Junior",H91="Senior"),0.0002,IF(OR(H91="L7",H91="L6"),0.0001,0))+MAX(Z91,AC91)*0.0000001</f>
        <v>86.800004340000001</v>
      </c>
      <c r="K91" s="3" t="str">
        <f>IF(G91="Not Age Eligible","",IF(MAX(T91,W91,Z91,AC91)&gt;=LOOKUP(G91,'Qualifying Scores'!$A$4:$A$7,'Qualifying Scores'!$F$4:$F$7),"P",""))</f>
        <v/>
      </c>
      <c r="L91" s="3" t="str">
        <f>IF(G91="Not Age Eligible","",IF(MAX(U91,X91,AA91,AD91)&gt;=LOOKUP(G91,'Qualifying Scores'!$A$10:$A$13,'Qualifying Scores'!$F$10:$F$13),"P",""))</f>
        <v>P</v>
      </c>
      <c r="M91" s="3" t="str">
        <f>IF(G91="Not Age Eligible","",IF(OR(AND(T91&gt;=LOOKUP(G91,'Qualifying Scores'!$A$4:$A$7,'Qualifying Scores'!$F$4:$F$7),U91&gt;=LOOKUP(G91,'Qualifying Scores'!$A$10:$A$13,'Qualifying Scores'!$F$10:$F$13)),AND(Z91&gt;=LOOKUP(G91,'Qualifying Scores'!$A$4:$A$7,'Qualifying Scores'!$F$4:$F$7),AA91&gt;=LOOKUP(G91,'Qualifying Scores'!$A$10:$A$13,'Qualifying Scores'!$F$10:$F$13)),AND(W91&gt;=LOOKUP(G91,'Qualifying Scores'!$A$4:$A$7,'Qualifying Scores'!$F$4:$F$7),X91&gt;=LOOKUP(G91,'Qualifying Scores'!$A$10:$A$13,'Qualifying Scores'!$F$10:$F$13)),AND(AC91&gt;=LOOKUP(G91,'Qualifying Scores'!$A$4:$A$7,'Qualifying Scores'!$F$4:$F$7),AD91&gt;=LOOKUP(G91,'Qualifying Scores'!$A$10:$A$13,'Qualifying Scores'!$F$10:$F$13))),"P",""))</f>
        <v/>
      </c>
      <c r="Q91" s="1" t="str">
        <f>IF(A91&lt;5,IF(_xlfn.MAXIFS(A:A,G:G,G91)&gt;3,5-A91,_xlfn.MAXIFS(A:A,G:G,G91)+1-A91),"")</f>
        <v/>
      </c>
      <c r="R91" s="4">
        <f>MAX(T91-IF(OR(H91="Senior"),V91,0),W91-IF(OR(H91="Senior"),Y91,0),Z91-IF(OR(H91="Senior"),AB91,0),AC91-IF(OR(H91="Senior"),AE91,0))</f>
        <v>43.4</v>
      </c>
      <c r="S91" s="4">
        <f>IF(R91=T91-IF(OR(H91="Senior"),V91,0),MAX(W91-IF(OR(H91="Senior"),Y91,0),Z91-IF(OR(H91="Senior"),AB91,0),AC91-IF(OR(H91="Senior"),AE91,0)),IF(R91=W91-IF(OR(H91="Senior"),Y91,0),MAX(T91-IF(OR(H91="Senior"),V91,0),Z91-IF(OR(H91="Senior"),AB91,0),AC91-IF(OR(H91="Senior"),AE91,0)),IF(R91=Z91-IF(OR(H91="Senior"),AB91,0),MAX(T91-IF(OR(H91="Senior"),V91,0),W91-IF(OR(H91="Senior"),Y91,0),AC91-IF(OR(H91="Senior"),AE91,0)),IF(R91=AC91-IF(OR(H91="Senior"),AE91,0),MAX(T91-IF(OR(H91="Senior"),V91,0),W91-IF(OR(H91="Senior"),Y91,0),Z91-IF(OR(H91="Senior"),AB91,0)),0))))</f>
        <v>43.4</v>
      </c>
      <c r="T91" s="32">
        <v>40.9</v>
      </c>
      <c r="U91" s="37">
        <v>5.8000000000000007</v>
      </c>
      <c r="V91" s="37">
        <v>0</v>
      </c>
      <c r="W91" s="33">
        <v>43.4</v>
      </c>
      <c r="X91" s="37">
        <v>7.3000000000000007</v>
      </c>
      <c r="Y91" s="37">
        <v>0</v>
      </c>
      <c r="Z91" s="32">
        <v>43.4</v>
      </c>
      <c r="AA91" s="37">
        <v>7.4</v>
      </c>
      <c r="AB91" s="37">
        <v>0</v>
      </c>
      <c r="AC91" s="33">
        <v>37.6</v>
      </c>
      <c r="AD91" s="37">
        <v>3.8</v>
      </c>
      <c r="AE91" s="37">
        <v>0</v>
      </c>
    </row>
    <row r="92" spans="1:31" x14ac:dyDescent="0.2">
      <c r="A92" s="1" t="str" cm="1">
        <f t="array" ref="A92">IF(I92="","",IF(P92&lt;&gt;"",SUMPRODUCT((P$3:P$95&lt;&gt;"")*(G$3:G$95=G92)*(J$3:J$95&gt;J92)*(I$3:I$95="P"))+1,IF(O92&lt;&gt;"",SUMPRODUCT((O$3:O$95&lt;&gt;"")*(P$3:P$95="")*(G$3:G$95=G92)*(J$3:J$95&gt;J92)*(I$3:I$95="P"))+SUMPRODUCT((P$3:P$95&lt;&gt;"")*(G$3:G$95=G92)*(I$3:I$95="P"))+1,IF(N92&lt;&gt;"",SUMPRODUCT((N$3:N$95&lt;&gt;"")*(G$3:G$95=G92)*(J$3:J$95&gt;J92)*(I$3:I$95="P"))+1,IF(M92="P",SUMPRODUCT((O$3:O$95&lt;&gt;"")*(P$3:P$95="")*(G$3:G$95=G92)*(I$3:I$95="P"))+SUMPRODUCT((P$3:P$95&lt;&gt;"")*(G$3:G$95=G92)*(I$3:I$95="P"))+SUMPRODUCT((N$3:N$95&lt;&gt;"")*(G$3:G$95=G92)*(I$3:I$95="P"))+SUMPRODUCT((P$3:P$95="")*(O$3:O$95="")*(N$3:N$95="")*(M$3:M$95="P")*(G$3:G$95=G92)*(J$3:J$95&gt;J92)*(I$3:I$95="P"))+IF(H92="L5",SUMPRODUCT((P$3:P$95="")*(O$3:O$95="")*(N$3:N$95="")*(M$3:M$95="P")*(G$3:G$95=G92)*(J$3:J$95&lt;J92)*(H$3:H$95&lt;&gt;H92)*(I$3:I$95="P")),-1*SUMPRODUCT((P$3:P$95="")*(O$3:O$95="")*(N$3:N$95="")*(M$3:M$95="P")*(G$3:G$95=G92)*(J$3:J$95&gt;J92)*(H$3:H$95="L5")*(I$3:I$95="P")))+1,"")))))</f>
        <v/>
      </c>
      <c r="B92" s="1" t="str" cm="1">
        <f t="array" ref="B92">IF(P92&lt;&gt;"",SUMPRODUCT((P$3:P$95&lt;&gt;"")*(G$3:G$95=G92)*(J$3:J$95&gt;J92))+1,IF(O92&lt;&gt;"",SUMPRODUCT((O$3:O$95&lt;&gt;"")*(P$3:P$95="")*(G$3:G$95=G92)*(J$3:J$95&gt;J92))+SUMPRODUCT((P$3:P$95&lt;&gt;"")*(G$3:G$95=G92))+1,IF(N92&lt;&gt;"",SUMPRODUCT((N$3:N$95&lt;&gt;"")*(G$3:G$95=G92)*(J$3:J$95&gt;J92))+1,IF(M92="P",SUMPRODUCT((O$3:O$95&lt;&gt;"")*(P$3:P$95="")*(G$3:G$95=G92))+SUMPRODUCT((P$3:P$95&lt;&gt;"")*(G$3:G$95=G92))+SUMPRODUCT((N$3:N$95&lt;&gt;"")*(G$3:G$95=G92))+SUMPRODUCT((P$3:P$95="")*(O$3:O$95="")*(N$3:N$95="")*(M$3:M$95="P")*(G$3:G$95=G92)*(J$3:J$95&gt;J92))+IF(H92="L5",SUMPRODUCT((P$3:P$95="")*(O$3:O$95="")*(N$3:N$95="")*(M$3:M$95="P")*(G$3:G$95=G92)*(J$3:J$95&lt;J92)*(H$3:H$95&lt;&gt;H92)),-1*SUMPRODUCT((P$3:P$95="")*(O$3:O$95="")*(N$3:N$95="")*(M$3:M$95="P")*(G$3:G$95=G92)*(J$3:J$95&gt;J92)*(H$3:H$95="L5")))+1,""))))</f>
        <v/>
      </c>
      <c r="C92" s="35" t="s">
        <v>192</v>
      </c>
      <c r="D92" t="str">
        <f>IF(E92="","",VLOOKUP(E92,'Coaching Points'!A:B,2,0))</f>
        <v>BC</v>
      </c>
      <c r="E92" s="35" t="s">
        <v>44</v>
      </c>
      <c r="F92" s="34">
        <v>2013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11-12</v>
      </c>
      <c r="H92" s="36" t="s">
        <v>214</v>
      </c>
      <c r="I92" s="40"/>
      <c r="J92" s="4">
        <f>R92+S92+IF(OR(H92="Junior",H92="Senior"),0.0002,IF(OR(H92="L7",H92="L6"),0.0001,0))+MAX(Z92,AC92)*0.0000001</f>
        <v>86.300004340000001</v>
      </c>
      <c r="K92" s="3" t="str">
        <f>IF(G92="Not Age Eligible","",IF(MAX(T92,W92,Z92,AC92)&gt;=LOOKUP(G92,'Qualifying Scores'!$A$4:$A$7,'Qualifying Scores'!$F$4:$F$7),"P",""))</f>
        <v/>
      </c>
      <c r="L92" s="3" t="str">
        <f>IF(G92="Not Age Eligible","",IF(MAX(U92,X92,AA92,AD92)&gt;=LOOKUP(G92,'Qualifying Scores'!$A$10:$A$13,'Qualifying Scores'!$F$10:$F$13),"P",""))</f>
        <v/>
      </c>
      <c r="M92" s="3" t="str">
        <f>IF(G92="Not Age Eligible","",IF(OR(AND(T92&gt;=LOOKUP(G92,'Qualifying Scores'!$A$4:$A$7,'Qualifying Scores'!$F$4:$F$7),U92&gt;=LOOKUP(G92,'Qualifying Scores'!$A$10:$A$13,'Qualifying Scores'!$F$10:$F$13)),AND(Z92&gt;=LOOKUP(G92,'Qualifying Scores'!$A$4:$A$7,'Qualifying Scores'!$F$4:$F$7),AA92&gt;=LOOKUP(G92,'Qualifying Scores'!$A$10:$A$13,'Qualifying Scores'!$F$10:$F$13)),AND(W92&gt;=LOOKUP(G92,'Qualifying Scores'!$A$4:$A$7,'Qualifying Scores'!$F$4:$F$7),X92&gt;=LOOKUP(G92,'Qualifying Scores'!$A$10:$A$13,'Qualifying Scores'!$F$10:$F$13)),AND(AC92&gt;=LOOKUP(G92,'Qualifying Scores'!$A$4:$A$7,'Qualifying Scores'!$F$4:$F$7),AD92&gt;=LOOKUP(G92,'Qualifying Scores'!$A$10:$A$13,'Qualifying Scores'!$F$10:$F$13))),"P",""))</f>
        <v/>
      </c>
      <c r="Q92" s="1" t="str">
        <f>IF(A92&lt;5,IF(_xlfn.MAXIFS(A:A,G:G,G92)&gt;3,5-A92,_xlfn.MAXIFS(A:A,G:G,G92)+1-A92),"")</f>
        <v/>
      </c>
      <c r="R92" s="4">
        <f>MAX(T92-IF(OR(H92="Senior"),V92,0),W92-IF(OR(H92="Senior"),Y92,0),Z92-IF(OR(H92="Senior"),AB92,0),AC92-IF(OR(H92="Senior"),AE92,0))</f>
        <v>43.4</v>
      </c>
      <c r="S92" s="4">
        <f>IF(R92=T92-IF(OR(H92="Senior"),V92,0),MAX(W92-IF(OR(H92="Senior"),Y92,0),Z92-IF(OR(H92="Senior"),AB92,0),AC92-IF(OR(H92="Senior"),AE92,0)),IF(R92=W92-IF(OR(H92="Senior"),Y92,0),MAX(T92-IF(OR(H92="Senior"),V92,0),Z92-IF(OR(H92="Senior"),AB92,0),AC92-IF(OR(H92="Senior"),AE92,0)),IF(R92=Z92-IF(OR(H92="Senior"),AB92,0),MAX(T92-IF(OR(H92="Senior"),V92,0),W92-IF(OR(H92="Senior"),Y92,0),AC92-IF(OR(H92="Senior"),AE92,0)),IF(R92=AC92-IF(OR(H92="Senior"),AE92,0),MAX(T92-IF(OR(H92="Senior"),V92,0),W92-IF(OR(H92="Senior"),Y92,0),Z92-IF(OR(H92="Senior"),AB92,0)),0))))</f>
        <v>42.9</v>
      </c>
      <c r="T92" s="32">
        <v>37.4</v>
      </c>
      <c r="U92" s="37">
        <v>3.8</v>
      </c>
      <c r="V92" s="37">
        <v>0</v>
      </c>
      <c r="W92" s="33">
        <v>37</v>
      </c>
      <c r="X92" s="37">
        <v>4.0999999999999996</v>
      </c>
      <c r="Y92" s="37">
        <v>0</v>
      </c>
      <c r="Z92" s="32">
        <v>43.4</v>
      </c>
      <c r="AA92" s="37">
        <v>6.6</v>
      </c>
      <c r="AB92" s="37">
        <v>0</v>
      </c>
      <c r="AC92" s="33">
        <v>42.9</v>
      </c>
      <c r="AD92" s="37">
        <v>6.7</v>
      </c>
      <c r="AE92" s="37">
        <v>0</v>
      </c>
    </row>
    <row r="93" spans="1:31" x14ac:dyDescent="0.2">
      <c r="A93" s="1" t="str" cm="1">
        <f t="array" ref="A93">IF(I93="","",IF(P93&lt;&gt;"",SUMPRODUCT((P$3:P$95&lt;&gt;"")*(G$3:G$95=G93)*(J$3:J$95&gt;J93)*(I$3:I$95="P"))+1,IF(O93&lt;&gt;"",SUMPRODUCT((O$3:O$95&lt;&gt;"")*(P$3:P$95="")*(G$3:G$95=G93)*(J$3:J$95&gt;J93)*(I$3:I$95="P"))+SUMPRODUCT((P$3:P$95&lt;&gt;"")*(G$3:G$95=G93)*(I$3:I$95="P"))+1,IF(N93&lt;&gt;"",SUMPRODUCT((N$3:N$95&lt;&gt;"")*(G$3:G$95=G93)*(J$3:J$95&gt;J93)*(I$3:I$95="P"))+1,IF(M93="P",SUMPRODUCT((O$3:O$95&lt;&gt;"")*(P$3:P$95="")*(G$3:G$95=G93)*(I$3:I$95="P"))+SUMPRODUCT((P$3:P$95&lt;&gt;"")*(G$3:G$95=G93)*(I$3:I$95="P"))+SUMPRODUCT((N$3:N$95&lt;&gt;"")*(G$3:G$95=G93)*(I$3:I$95="P"))+SUMPRODUCT((P$3:P$95="")*(O$3:O$95="")*(N$3:N$95="")*(M$3:M$95="P")*(G$3:G$95=G93)*(J$3:J$95&gt;J93)*(I$3:I$95="P"))+IF(H93="L5",SUMPRODUCT((P$3:P$95="")*(O$3:O$95="")*(N$3:N$95="")*(M$3:M$95="P")*(G$3:G$95=G93)*(J$3:J$95&lt;J93)*(H$3:H$95&lt;&gt;H93)*(I$3:I$95="P")),-1*SUMPRODUCT((P$3:P$95="")*(O$3:O$95="")*(N$3:N$95="")*(M$3:M$95="P")*(G$3:G$95=G93)*(J$3:J$95&gt;J93)*(H$3:H$95="L5")*(I$3:I$95="P")))+1,"")))))</f>
        <v/>
      </c>
      <c r="B93" s="1" t="str" cm="1">
        <f t="array" ref="B93">IF(P93&lt;&gt;"",SUMPRODUCT((P$3:P$95&lt;&gt;"")*(G$3:G$95=G93)*(J$3:J$95&gt;J93))+1,IF(O93&lt;&gt;"",SUMPRODUCT((O$3:O$95&lt;&gt;"")*(P$3:P$95="")*(G$3:G$95=G93)*(J$3:J$95&gt;J93))+SUMPRODUCT((P$3:P$95&lt;&gt;"")*(G$3:G$95=G93))+1,IF(N93&lt;&gt;"",SUMPRODUCT((N$3:N$95&lt;&gt;"")*(G$3:G$95=G93)*(J$3:J$95&gt;J93))+1,IF(M93="P",SUMPRODUCT((O$3:O$95&lt;&gt;"")*(P$3:P$95="")*(G$3:G$95=G93))+SUMPRODUCT((P$3:P$95&lt;&gt;"")*(G$3:G$95=G93))+SUMPRODUCT((N$3:N$95&lt;&gt;"")*(G$3:G$95=G93))+SUMPRODUCT((P$3:P$95="")*(O$3:O$95="")*(N$3:N$95="")*(M$3:M$95="P")*(G$3:G$95=G93)*(J$3:J$95&gt;J93))+IF(H93="L5",SUMPRODUCT((P$3:P$95="")*(O$3:O$95="")*(N$3:N$95="")*(M$3:M$95="P")*(G$3:G$95=G93)*(J$3:J$95&lt;J93)*(H$3:H$95&lt;&gt;H93)),-1*SUMPRODUCT((P$3:P$95="")*(O$3:O$95="")*(N$3:N$95="")*(M$3:M$95="P")*(G$3:G$95=G93)*(J$3:J$95&gt;J93)*(H$3:H$95="L5")))+1,""))))</f>
        <v/>
      </c>
      <c r="C93" s="35" t="s">
        <v>190</v>
      </c>
      <c r="D93" t="str">
        <f>IF(E93="","",VLOOKUP(E93,'Coaching Points'!A:B,2,0))</f>
        <v>QC</v>
      </c>
      <c r="E93" s="35" t="s">
        <v>3</v>
      </c>
      <c r="F93" s="34">
        <v>2013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11-12</v>
      </c>
      <c r="H93" s="36" t="s">
        <v>214</v>
      </c>
      <c r="I93" s="40"/>
      <c r="J93" s="4">
        <f>R93+S93+IF(OR(H93="Junior",H93="Senior"),0.0002,IF(OR(H93="L7",H93="L6"),0.0001,0))+MAX(Z93,AC93)*0.0000001</f>
        <v>85.900004280000005</v>
      </c>
      <c r="K93" s="3" t="str">
        <f>IF(G93="Not Age Eligible","",IF(MAX(T93,W93,Z93,AC93)&gt;=LOOKUP(G93,'Qualifying Scores'!$A$4:$A$7,'Qualifying Scores'!$F$4:$F$7),"P",""))</f>
        <v/>
      </c>
      <c r="L93" s="3" t="str">
        <f>IF(G93="Not Age Eligible","",IF(MAX(U93,X93,AA93,AD93)&gt;=LOOKUP(G93,'Qualifying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Scores'!$F$10:$F$13)),AND(Z93&gt;=LOOKUP(G93,'Qualifying Scores'!$A$4:$A$7,'Qualifying Scores'!$F$4:$F$7),AA93&gt;=LOOKUP(G93,'Qualifying Scores'!$A$10:$A$13,'Qualifying Scores'!$F$10:$F$13)),AND(W93&gt;=LOOKUP(G93,'Qualifying Scores'!$A$4:$A$7,'Qualifying Scores'!$F$4:$F$7),X93&gt;=LOOKUP(G93,'Qualifying Scores'!$A$10:$A$13,'Qualifying Scores'!$F$10:$F$13)),AND(AC93&gt;=LOOKUP(G93,'Qualifying Scores'!$A$4:$A$7,'Qualifying Scores'!$F$4:$F$7),AD93&gt;=LOOKUP(G93,'Qualifying Scores'!$A$10:$A$13,'Qualifying Scores'!$F$10:$F$13))),"P",""))</f>
        <v/>
      </c>
      <c r="Q93" s="1" t="str">
        <f>IF(A93&lt;5,IF(_xlfn.MAXIFS(A:A,G:G,G93)&gt;3,5-A93,_xlfn.MAXIFS(A:A,G:G,G93)+1-A93),"")</f>
        <v/>
      </c>
      <c r="R93" s="4">
        <f>MAX(T93-IF(OR(H93="Senior"),V93,0),W93-IF(OR(H93="Senior"),Y93,0),Z93-IF(OR(H93="Senior"),AB93,0),AC93-IF(OR(H93="Senior"),AE93,0))</f>
        <v>43.1</v>
      </c>
      <c r="S93" s="4">
        <f>IF(R93=T93-IF(OR(H93="Senior"),V93,0),MAX(W93-IF(OR(H93="Senior"),Y93,0),Z93-IF(OR(H93="Senior"),AB93,0),AC93-IF(OR(H93="Senior"),AE93,0)),IF(R93=W93-IF(OR(H93="Senior"),Y93,0),MAX(T93-IF(OR(H93="Senior"),V93,0),Z93-IF(OR(H93="Senior"),AB93,0),AC93-IF(OR(H93="Senior"),AE93,0)),IF(R93=Z93-IF(OR(H93="Senior"),AB93,0),MAX(T93-IF(OR(H93="Senior"),V93,0),W93-IF(OR(H93="Senior"),Y93,0),AC93-IF(OR(H93="Senior"),AE93,0)),IF(R93=AC93-IF(OR(H93="Senior"),AE93,0),MAX(T93-IF(OR(H93="Senior"),V93,0),W93-IF(OR(H93="Senior"),Y93,0),Z93-IF(OR(H93="Senior"),AB93,0)),0))))</f>
        <v>42.8</v>
      </c>
      <c r="T93" s="32">
        <v>43.1</v>
      </c>
      <c r="U93" s="37">
        <v>5.6</v>
      </c>
      <c r="V93" s="37">
        <v>0</v>
      </c>
      <c r="W93" s="33">
        <v>37</v>
      </c>
      <c r="X93" s="37">
        <v>3.4000000000000004</v>
      </c>
      <c r="Y93" s="37">
        <v>0</v>
      </c>
      <c r="Z93" s="32">
        <v>42.8</v>
      </c>
      <c r="AA93" s="37">
        <v>5.6</v>
      </c>
      <c r="AB93" s="37">
        <v>0</v>
      </c>
      <c r="AC93" s="33">
        <v>41.3</v>
      </c>
      <c r="AD93" s="37">
        <v>4.3000000000000007</v>
      </c>
      <c r="AE93" s="37">
        <v>0</v>
      </c>
    </row>
    <row r="94" spans="1:31" x14ac:dyDescent="0.2">
      <c r="A94" s="1" t="str" cm="1">
        <f t="array" ref="A94">IF(I94="","",IF(P94&lt;&gt;"",SUMPRODUCT((P$3:P$95&lt;&gt;"")*(G$3:G$95=G94)*(J$3:J$95&gt;J94)*(I$3:I$95="P"))+1,IF(O94&lt;&gt;"",SUMPRODUCT((O$3:O$95&lt;&gt;"")*(P$3:P$95="")*(G$3:G$95=G94)*(J$3:J$95&gt;J94)*(I$3:I$95="P"))+SUMPRODUCT((P$3:P$95&lt;&gt;"")*(G$3:G$95=G94)*(I$3:I$95="P"))+1,IF(N94&lt;&gt;"",SUMPRODUCT((N$3:N$95&lt;&gt;"")*(G$3:G$95=G94)*(J$3:J$95&gt;J94)*(I$3:I$95="P"))+1,IF(M94="P",SUMPRODUCT((O$3:O$95&lt;&gt;"")*(P$3:P$95="")*(G$3:G$95=G94)*(I$3:I$95="P"))+SUMPRODUCT((P$3:P$95&lt;&gt;"")*(G$3:G$95=G94)*(I$3:I$95="P"))+SUMPRODUCT((N$3:N$95&lt;&gt;"")*(G$3:G$95=G94)*(I$3:I$95="P"))+SUMPRODUCT((P$3:P$95="")*(O$3:O$95="")*(N$3:N$95="")*(M$3:M$95="P")*(G$3:G$95=G94)*(J$3:J$95&gt;J94)*(I$3:I$95="P"))+IF(H94="L5",SUMPRODUCT((P$3:P$95="")*(O$3:O$95="")*(N$3:N$95="")*(M$3:M$95="P")*(G$3:G$95=G94)*(J$3:J$95&lt;J94)*(H$3:H$95&lt;&gt;H94)*(I$3:I$95="P")),-1*SUMPRODUCT((P$3:P$95="")*(O$3:O$95="")*(N$3:N$95="")*(M$3:M$95="P")*(G$3:G$95=G94)*(J$3:J$95&gt;J94)*(H$3:H$95="L5")*(I$3:I$95="P")))+1,"")))))</f>
        <v/>
      </c>
      <c r="B94" s="1" t="str" cm="1">
        <f t="array" ref="B94">IF(P94&lt;&gt;"",SUMPRODUCT((P$3:P$95&lt;&gt;"")*(G$3:G$95=G94)*(J$3:J$95&gt;J94))+1,IF(O94&lt;&gt;"",SUMPRODUCT((O$3:O$95&lt;&gt;"")*(P$3:P$95="")*(G$3:G$95=G94)*(J$3:J$95&gt;J94))+SUMPRODUCT((P$3:P$95&lt;&gt;"")*(G$3:G$95=G94))+1,IF(N94&lt;&gt;"",SUMPRODUCT((N$3:N$95&lt;&gt;"")*(G$3:G$95=G94)*(J$3:J$95&gt;J94))+1,IF(M94="P",SUMPRODUCT((O$3:O$95&lt;&gt;"")*(P$3:P$95="")*(G$3:G$95=G94))+SUMPRODUCT((P$3:P$95&lt;&gt;"")*(G$3:G$95=G94))+SUMPRODUCT((N$3:N$95&lt;&gt;"")*(G$3:G$95=G94))+SUMPRODUCT((P$3:P$95="")*(O$3:O$95="")*(N$3:N$95="")*(M$3:M$95="P")*(G$3:G$95=G94)*(J$3:J$95&gt;J94))+IF(H94="L5",SUMPRODUCT((P$3:P$95="")*(O$3:O$95="")*(N$3:N$95="")*(M$3:M$95="P")*(G$3:G$95=G94)*(J$3:J$95&lt;J94)*(H$3:H$95&lt;&gt;H94)),-1*SUMPRODUCT((P$3:P$95="")*(O$3:O$95="")*(N$3:N$95="")*(M$3:M$95="P")*(G$3:G$95=G94)*(J$3:J$95&gt;J94)*(H$3:H$95="L5")))+1,""))))</f>
        <v/>
      </c>
      <c r="C94" s="35" t="s">
        <v>189</v>
      </c>
      <c r="D94" t="str">
        <f>IF(E94="","",VLOOKUP(E94,'Coaching Points'!A:B,2,0))</f>
        <v>BC</v>
      </c>
      <c r="E94" s="35" t="s">
        <v>149</v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>R94+S94+IF(OR(H94="Junior",H94="Senior"),0.0002,IF(OR(H94="L7",H94="L6"),0.0001,0))+MAX(Z94,AC94)*0.0000001</f>
        <v>63.50000421</v>
      </c>
      <c r="K94" s="3" t="str">
        <f>IF(G94="Not Age Eligible","",IF(MAX(T94,W94,Z94,AC94)&gt;=LOOKUP(G94,'Qualifying Scores'!$A$4:$A$7,'Qualifying Scores'!$F$4:$F$7),"P",""))</f>
        <v/>
      </c>
      <c r="L94" s="3" t="str">
        <f>IF(G94="Not Age Eligible","",IF(MAX(U94,X94,AA94,AD94)&gt;=LOOKUP(G94,'Qualifying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Scores'!$F$10:$F$13)),AND(Z94&gt;=LOOKUP(G94,'Qualifying Scores'!$A$4:$A$7,'Qualifying Scores'!$F$4:$F$7),AA94&gt;=LOOKUP(G94,'Qualifying Scores'!$A$10:$A$13,'Qualifying Scores'!$F$10:$F$13)),AND(W94&gt;=LOOKUP(G94,'Qualifying Scores'!$A$4:$A$7,'Qualifying Scores'!$F$4:$F$7),X94&gt;=LOOKUP(G94,'Qualifying Scores'!$A$10:$A$13,'Qualifying Scores'!$F$10:$F$13)),AND(AC94&gt;=LOOKUP(G94,'Qualifying Scores'!$A$4:$A$7,'Qualifying Scores'!$F$4:$F$7),AD94&gt;=LOOKUP(G94,'Qualifying Scores'!$A$10:$A$13,'Qualifying Scores'!$F$10:$F$13))),"P",""))</f>
        <v/>
      </c>
      <c r="Q94" s="1" t="str">
        <f>IF(A94&lt;5,IF(_xlfn.MAXIFS(A:A,G:G,G94)&gt;3,5-A94,_xlfn.MAXIFS(A:A,G:G,G94)+1-A94),"")</f>
        <v/>
      </c>
      <c r="R94" s="4">
        <f>MAX(T94-IF(OR(H94="Senior"),V94,0),W94-IF(OR(H94="Senior"),Y94,0),Z94-IF(OR(H94="Senior"),AB94,0),AC94-IF(OR(H94="Senior"),AE94,0))</f>
        <v>42.1</v>
      </c>
      <c r="S94" s="4">
        <f>IF(R94=T94-IF(OR(H94="Senior"),V94,0),MAX(W94-IF(OR(H94="Senior"),Y94,0),Z94-IF(OR(H94="Senior"),AB94,0),AC94-IF(OR(H94="Senior"),AE94,0)),IF(R94=W94-IF(OR(H94="Senior"),Y94,0),MAX(T94-IF(OR(H94="Senior"),V94,0),Z94-IF(OR(H94="Senior"),AB94,0),AC94-IF(OR(H94="Senior"),AE94,0)),IF(R94=Z94-IF(OR(H94="Senior"),AB94,0),MAX(T94-IF(OR(H94="Senior"),V94,0),W94-IF(OR(H94="Senior"),Y94,0),AC94-IF(OR(H94="Senior"),AE94,0)),IF(R94=AC94-IF(OR(H94="Senior"),AE94,0),MAX(T94-IF(OR(H94="Senior"),V94,0),W94-IF(OR(H94="Senior"),Y94,0),Z94-IF(OR(H94="Senior"),AB94,0)),0))))</f>
        <v>21.4</v>
      </c>
      <c r="T94" s="32">
        <v>21.4</v>
      </c>
      <c r="U94" s="37">
        <v>3.2</v>
      </c>
      <c r="V94" s="37">
        <v>0</v>
      </c>
      <c r="W94" s="33"/>
      <c r="X94" s="37"/>
      <c r="Y94" s="37"/>
      <c r="Z94" s="32">
        <v>42.1</v>
      </c>
      <c r="AA94" s="37">
        <v>6.7</v>
      </c>
      <c r="AB94" s="37">
        <v>0</v>
      </c>
      <c r="AC94" s="33"/>
      <c r="AD94" s="37"/>
      <c r="AE94" s="37"/>
    </row>
    <row r="95" spans="1:31" x14ac:dyDescent="0.2">
      <c r="A95" s="1" t="str" cm="1">
        <f t="array" ref="A95">IF(I95="","",IF(P95&lt;&gt;"",SUMPRODUCT((P$3:P$95&lt;&gt;"")*(G$3:G$95=G95)*(J$3:J$95&gt;J95)*(I$3:I$95="P"))+1,IF(O95&lt;&gt;"",SUMPRODUCT((O$3:O$95&lt;&gt;"")*(P$3:P$95="")*(G$3:G$95=G95)*(J$3:J$95&gt;J95)*(I$3:I$95="P"))+SUMPRODUCT((P$3:P$95&lt;&gt;"")*(G$3:G$95=G95)*(I$3:I$95="P"))+1,IF(N95&lt;&gt;"",SUMPRODUCT((N$3:N$95&lt;&gt;"")*(G$3:G$95=G95)*(J$3:J$95&gt;J95)*(I$3:I$95="P"))+1,IF(M95="P",SUMPRODUCT((O$3:O$95&lt;&gt;"")*(P$3:P$95="")*(G$3:G$95=G95)*(I$3:I$95="P"))+SUMPRODUCT((P$3:P$95&lt;&gt;"")*(G$3:G$95=G95)*(I$3:I$95="P"))+SUMPRODUCT((N$3:N$95&lt;&gt;"")*(G$3:G$95=G95)*(I$3:I$95="P"))+SUMPRODUCT((P$3:P$95="")*(O$3:O$95="")*(N$3:N$95="")*(M$3:M$95="P")*(G$3:G$95=G95)*(J$3:J$95&gt;J95)*(I$3:I$95="P"))+IF(H95="L5",SUMPRODUCT((P$3:P$95="")*(O$3:O$95="")*(N$3:N$95="")*(M$3:M$95="P")*(G$3:G$95=G95)*(J$3:J$95&lt;J95)*(H$3:H$95&lt;&gt;H95)*(I$3:I$95="P")),-1*SUMPRODUCT((P$3:P$95="")*(O$3:O$95="")*(N$3:N$95="")*(M$3:M$95="P")*(G$3:G$95=G95)*(J$3:J$95&gt;J95)*(H$3:H$95="L5")*(I$3:I$95="P")))+1,"")))))</f>
        <v/>
      </c>
      <c r="B95" s="1" t="str" cm="1">
        <f t="array" ref="B95">IF(P95&lt;&gt;"",SUMPRODUCT((P$3:P$95&lt;&gt;"")*(G$3:G$95=G95)*(J$3:J$95&gt;J95))+1,IF(O95&lt;&gt;"",SUMPRODUCT((O$3:O$95&lt;&gt;"")*(P$3:P$95="")*(G$3:G$95=G95)*(J$3:J$95&gt;J95))+SUMPRODUCT((P$3:P$95&lt;&gt;"")*(G$3:G$95=G95))+1,IF(N95&lt;&gt;"",SUMPRODUCT((N$3:N$95&lt;&gt;"")*(G$3:G$95=G95)*(J$3:J$95&gt;J95))+1,IF(M95="P",SUMPRODUCT((O$3:O$95&lt;&gt;"")*(P$3:P$95="")*(G$3:G$95=G95))+SUMPRODUCT((P$3:P$95&lt;&gt;"")*(G$3:G$95=G95))+SUMPRODUCT((N$3:N$95&lt;&gt;"")*(G$3:G$95=G95))+SUMPRODUCT((P$3:P$95="")*(O$3:O$95="")*(N$3:N$95="")*(M$3:M$95="P")*(G$3:G$95=G95)*(J$3:J$95&gt;J95))+IF(H95="L5",SUMPRODUCT((P$3:P$95="")*(O$3:O$95="")*(N$3:N$95="")*(M$3:M$95="P")*(G$3:G$95=G95)*(J$3:J$95&lt;J95)*(H$3:H$95&lt;&gt;H95)),-1*SUMPRODUCT((P$3:P$95="")*(O$3:O$95="")*(N$3:N$95="")*(M$3:M$95="P")*(G$3:G$95=G95)*(J$3:J$95&gt;J95)*(H$3:H$95="L5")))+1,""))))</f>
        <v/>
      </c>
      <c r="C95" s="35" t="s">
        <v>473</v>
      </c>
      <c r="D95" t="str">
        <f>IF(E95="","",VLOOKUP(E95,'Coaching Points'!A:B,2,0))</f>
        <v>ON</v>
      </c>
      <c r="E95" s="35" t="s">
        <v>45</v>
      </c>
      <c r="F95" s="34">
        <v>2013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11-12</v>
      </c>
      <c r="H95" s="36" t="s">
        <v>214</v>
      </c>
      <c r="I95" s="40"/>
      <c r="J95" s="4">
        <f>R95+S95+IF(OR(H95="Junior",H95="Senior"),0.0002,IF(OR(H95="L7",H95="L6"),0.0001,0))+MAX(Z95,AC95)*0.0000001</f>
        <v>41.900004189999997</v>
      </c>
      <c r="K95" s="3" t="str">
        <f>IF(G95="Not Age Eligible","",IF(MAX(T95,W95,Z95,AC95)&gt;=LOOKUP(G95,'Qualifying Scores'!$A$4:$A$7,'Qualifying Scores'!$F$4:$F$7),"P",""))</f>
        <v/>
      </c>
      <c r="L95" s="3" t="str">
        <f>IF(G95="Not Age Eligible","",IF(MAX(U95,X95,AA95,AD95)&gt;=LOOKUP(G95,'Qualifying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Scores'!$F$10:$F$13)),AND(Z95&gt;=LOOKUP(G95,'Qualifying Scores'!$A$4:$A$7,'Qualifying Scores'!$F$4:$F$7),AA95&gt;=LOOKUP(G95,'Qualifying Scores'!$A$10:$A$13,'Qualifying Scores'!$F$10:$F$13)),AND(W95&gt;=LOOKUP(G95,'Qualifying Scores'!$A$4:$A$7,'Qualifying Scores'!$F$4:$F$7),X95&gt;=LOOKUP(G95,'Qualifying Scores'!$A$10:$A$13,'Qualifying Scores'!$F$10:$F$13)),AND(AC95&gt;=LOOKUP(G95,'Qualifying Scores'!$A$4:$A$7,'Qualifying Scores'!$F$4:$F$7),AD95&gt;=LOOKUP(G95,'Qualifying Scores'!$A$10:$A$13,'Qualifying Scores'!$F$10:$F$13))),"P",""))</f>
        <v/>
      </c>
      <c r="Q95" s="1" t="str">
        <f>IF(A95&lt;5,IF(_xlfn.MAXIFS(A:A,G:G,G95)&gt;3,5-A95,_xlfn.MAXIFS(A:A,G:G,G95)+1-A95),"")</f>
        <v/>
      </c>
      <c r="R95" s="4">
        <f>MAX(T95-IF(OR(H95="Senior"),V95,0),W95-IF(OR(H95="Senior"),Y95,0),Z95-IF(OR(H95="Senior"),AB95,0),AC95-IF(OR(H95="Senior"),AE95,0))</f>
        <v>41.9</v>
      </c>
      <c r="S95" s="4">
        <f>IF(R95=T95-IF(OR(H95="Senior"),V95,0),MAX(W95-IF(OR(H95="Senior"),Y95,0),Z95-IF(OR(H95="Senior"),AB95,0),AC95-IF(OR(H95="Senior"),AE95,0)),IF(R95=W95-IF(OR(H95="Senior"),Y95,0),MAX(T95-IF(OR(H95="Senior"),V95,0),Z95-IF(OR(H95="Senior"),AB95,0),AC95-IF(OR(H95="Senior"),AE95,0)),IF(R95=Z95-IF(OR(H95="Senior"),AB95,0),MAX(T95-IF(OR(H95="Senior"),V95,0),W95-IF(OR(H95="Senior"),Y95,0),AC95-IF(OR(H95="Senior"),AE95,0)),IF(R95=AC95-IF(OR(H95="Senior"),AE95,0),MAX(T95-IF(OR(H95="Senior"),V95,0),W95-IF(OR(H95="Senior"),Y95,0),Z95-IF(OR(H95="Senior"),AB95,0)),0))))</f>
        <v>0</v>
      </c>
      <c r="T95" s="32"/>
      <c r="U95" s="37"/>
      <c r="V95" s="37"/>
      <c r="W95" s="33"/>
      <c r="X95" s="37"/>
      <c r="Y95" s="37"/>
      <c r="Z95" s="32">
        <v>41.9</v>
      </c>
      <c r="AA95" s="37">
        <v>4.9000000000000004</v>
      </c>
      <c r="AB95" s="37">
        <v>0</v>
      </c>
      <c r="AC95" s="33"/>
      <c r="AD95" s="37"/>
      <c r="AE95" s="37"/>
    </row>
  </sheetData>
  <sheetProtection sheet="1" formatCells="0" formatColumns="0" formatRows="0"/>
  <autoFilter ref="A1:AE55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95">
      <sortCondition descending="1" ref="G1:G96"/>
    </sortState>
  </autoFilter>
  <mergeCells count="21"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29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9.6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$94&lt;&gt;"")*(G$3:G$94=G3)*(J$3:J$94&gt;J3)*(I$3:I$94="P"))+1,IF(O3&lt;&gt;"",SUMPRODUCT((O$3:O$94&lt;&gt;"")*(P$3:P$94="")*(G$3:G$94=G3)*(J$3:J$94&gt;J3)*(I$3:I$94="P"))+SUMPRODUCT((P$3:P$94&lt;&gt;"")*(G$3:G$94=G3)*(I$3:I$94="P"))+1,IF(N3&lt;&gt;"",SUMPRODUCT((N$3:N$94&lt;&gt;"")*(G$3:G$94=G3)*(J$3:J$94&gt;J3)*(I$3:I$94="P"))+1,IF(M3="P",SUMPRODUCT((O$3:O$94&lt;&gt;"")*(P$3:P$94="")*(G$3:G$94=G3)*(I$3:I$94="P"))+SUMPRODUCT((P$3:P$94&lt;&gt;"")*(G$3:G$94=G3)*(I$3:I$94="P"))+SUMPRODUCT((N$3:N$94&lt;&gt;"")*(G$3:G$94=G3)*(I$3:I$94="P"))+SUMPRODUCT((P$3:P$94="")*(O$3:O$94="")*(N$3:N$94="")*(M$3:M$94="P")*(G$3:G$94=G3)*(J$3:J$94&gt;J3)*(I$3:I$94="P"))+IF(H3="L5",SUMPRODUCT((P$3:P$94="")*(O$3:O$94="")*(N$3:N$94="")*(M$3:M$94="P")*(G$3:G$94=G3)*(J$3:J$94&lt;J3)*(H$3:H$94&lt;&gt;H3)*(I$3:I$94="P")),-1*SUMPRODUCT((P$3:P$94="")*(O$3:O$94="")*(N$3:N$94="")*(M$3:M$94="P")*(G$3:G$94=G3)*(J$3:J$94&gt;J3)*(H$3:H$94="L5")*(I$3:I$94="P")))+1,"")))))</f>
        <v/>
      </c>
      <c r="B3" s="1" cm="1">
        <f t="array" ref="B3">IF(P3&lt;&gt;"",SUMPRODUCT((P$3:P$94&lt;&gt;"")*(G$3:G$94=G3)*(J$3:J$94&gt;J3))+1,IF(O3&lt;&gt;"",SUMPRODUCT((O$3:O$94&lt;&gt;"")*(P$3:P$94="")*(G$3:G$94=G3)*(J$3:J$94&gt;J3))+SUMPRODUCT((P$3:P$94&lt;&gt;"")*(G$3:G$94=G3))+1,IF(N3&lt;&gt;"",SUMPRODUCT((N$3:N$94&lt;&gt;"")*(G$3:G$94=G3)*(J$3:J$94&gt;J3))+1,IF(M3="P",SUMPRODUCT((O$3:O$94&lt;&gt;"")*(P$3:P$94="")*(G$3:G$94=G3))+SUMPRODUCT((P$3:P$94&lt;&gt;"")*(G$3:G$94=G3))+SUMPRODUCT((N$3:N$94&lt;&gt;"")*(G$3:G$94=G3))+SUMPRODUCT((P$3:P$94="")*(O$3:O$94="")*(N$3:N$94="")*(M$3:M$94="P")*(G$3:G$94=G3)*(J$3:J$94&gt;J3))+IF(H3="L5",SUMPRODUCT((P$3:P$94="")*(O$3:O$94="")*(N$3:N$94="")*(M$3:M$94="P")*(G$3:G$94=G3)*(J$3:J$94&lt;J3)*(H$3:H$94&lt;&gt;H3)),-1*SUMPRODUCT((P$3:P$94="")*(O$3:O$94="")*(N$3:N$94="")*(M$3:M$94="P")*(G$3:G$94=G3)*(J$3:J$94&gt;J3)*(H$3:H$94="L5")))+1,""))))</f>
        <v>1</v>
      </c>
      <c r="C3" s="35" t="s">
        <v>226</v>
      </c>
      <c r="D3" t="str">
        <f>IF(E3="","",VLOOKUP(E3,'Coaching Points'!A:B,2,0))</f>
        <v>BC</v>
      </c>
      <c r="E3" s="35" t="s">
        <v>44</v>
      </c>
      <c r="F3" s="34">
        <v>2007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101.80020517000001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2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51.7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50.1</v>
      </c>
      <c r="T3" s="32">
        <v>48.26</v>
      </c>
      <c r="U3" s="37">
        <v>11.6</v>
      </c>
      <c r="V3" s="37">
        <v>0.3</v>
      </c>
      <c r="W3" s="33">
        <v>50.1</v>
      </c>
      <c r="X3" s="37">
        <v>13.2</v>
      </c>
      <c r="Y3" s="37">
        <v>0.3</v>
      </c>
      <c r="Z3" s="32">
        <v>51.7</v>
      </c>
      <c r="AA3" s="37">
        <v>13.2</v>
      </c>
      <c r="AB3" s="37">
        <v>0.3</v>
      </c>
      <c r="AC3" s="33">
        <v>49.9</v>
      </c>
      <c r="AD3" s="37">
        <v>12.4</v>
      </c>
      <c r="AE3" s="37">
        <v>0.6</v>
      </c>
    </row>
    <row r="4" spans="1:32" x14ac:dyDescent="0.2">
      <c r="A4" s="1" t="str" cm="1">
        <f t="array" ref="A4">IF(I4="","",IF(P4&lt;&gt;"",SUMPRODUCT((P$3:P$94&lt;&gt;"")*(G$3:G$94=G4)*(J$3:J$94&gt;J4)*(I$3:I$94="P"))+1,IF(O4&lt;&gt;"",SUMPRODUCT((O$3:O$94&lt;&gt;"")*(P$3:P$94="")*(G$3:G$94=G4)*(J$3:J$94&gt;J4)*(I$3:I$94="P"))+SUMPRODUCT((P$3:P$94&lt;&gt;"")*(G$3:G$94=G4)*(I$3:I$94="P"))+1,IF(N4&lt;&gt;"",SUMPRODUCT((N$3:N$94&lt;&gt;"")*(G$3:G$94=G4)*(J$3:J$94&gt;J4)*(I$3:I$94="P"))+1,IF(M4="P",SUMPRODUCT((O$3:O$94&lt;&gt;"")*(P$3:P$94="")*(G$3:G$94=G4)*(I$3:I$94="P"))+SUMPRODUCT((P$3:P$94&lt;&gt;"")*(G$3:G$94=G4)*(I$3:I$94="P"))+SUMPRODUCT((N$3:N$94&lt;&gt;"")*(G$3:G$94=G4)*(I$3:I$94="P"))+SUMPRODUCT((P$3:P$94="")*(O$3:O$94="")*(N$3:N$94="")*(M$3:M$94="P")*(G$3:G$94=G4)*(J$3:J$94&gt;J4)*(I$3:I$94="P"))+IF(H4="L5",SUMPRODUCT((P$3:P$94="")*(O$3:O$94="")*(N$3:N$94="")*(M$3:M$94="P")*(G$3:G$94=G4)*(J$3:J$94&lt;J4)*(H$3:H$94&lt;&gt;H4)*(I$3:I$94="P")),-1*SUMPRODUCT((P$3:P$94="")*(O$3:O$94="")*(N$3:N$94="")*(M$3:M$94="P")*(G$3:G$94=G4)*(J$3:J$94&gt;J4)*(H$3:H$94="L5")*(I$3:I$94="P")))+1,"")))))</f>
        <v/>
      </c>
      <c r="B4" s="1" cm="1">
        <f t="array" ref="B4">IF(P4&lt;&gt;"",SUMPRODUCT((P$3:P$94&lt;&gt;"")*(G$3:G$94=G4)*(J$3:J$94&gt;J4))+1,IF(O4&lt;&gt;"",SUMPRODUCT((O$3:O$94&lt;&gt;"")*(P$3:P$94="")*(G$3:G$94=G4)*(J$3:J$94&gt;J4))+SUMPRODUCT((P$3:P$94&lt;&gt;"")*(G$3:G$94=G4))+1,IF(N4&lt;&gt;"",SUMPRODUCT((N$3:N$94&lt;&gt;"")*(G$3:G$94=G4)*(J$3:J$94&gt;J4))+1,IF(M4="P",SUMPRODUCT((O$3:O$94&lt;&gt;"")*(P$3:P$94="")*(G$3:G$94=G4))+SUMPRODUCT((P$3:P$94&lt;&gt;"")*(G$3:G$94=G4))+SUMPRODUCT((N$3:N$94&lt;&gt;"")*(G$3:G$94=G4))+SUMPRODUCT((P$3:P$94="")*(O$3:O$94="")*(N$3:N$94="")*(M$3:M$94="P")*(G$3:G$94=G4)*(J$3:J$94&gt;J4))+IF(H4="L5",SUMPRODUCT((P$3:P$94="")*(O$3:O$94="")*(N$3:N$94="")*(M$3:M$94="P")*(G$3:G$94=G4)*(J$3:J$94&lt;J4)*(H$3:H$94&lt;&gt;H4)),-1*SUMPRODUCT((P$3:P$94="")*(O$3:O$94="")*(N$3:N$94="")*(M$3:M$94="P")*(G$3:G$94=G4)*(J$3:J$94&gt;J4)*(H$3:H$94="L5")))+1,""))))</f>
        <v>2</v>
      </c>
      <c r="C4" s="35" t="s">
        <v>237</v>
      </c>
      <c r="D4" t="str">
        <f>IF(E4="","",VLOOKUP(E4,'Coaching Points'!A:B,2,0))</f>
        <v>BC</v>
      </c>
      <c r="E4" s="35" t="s">
        <v>44</v>
      </c>
      <c r="F4" s="34">
        <v>2008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100.80020513000001</v>
      </c>
      <c r="K4" s="3" t="str">
        <f>IF(G4="Not Age Eligible","",IF(MAX(T4,W4,Z4,AC4)&gt;=LOOKUP(G4,'Qualifying Scores'!$A$4:$A$7,'Qualifying Scores'!$G$4:$G$7),"P",""))</f>
        <v>P</v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>P</v>
      </c>
      <c r="P4" s="36">
        <v>4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51.3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49.5</v>
      </c>
      <c r="T4" s="32">
        <v>39.1</v>
      </c>
      <c r="U4" s="37">
        <v>5.2</v>
      </c>
      <c r="V4" s="37">
        <v>0</v>
      </c>
      <c r="W4" s="33"/>
      <c r="X4" s="37"/>
      <c r="Y4" s="37"/>
      <c r="Z4" s="32">
        <v>49.5</v>
      </c>
      <c r="AA4" s="37">
        <v>12.4</v>
      </c>
      <c r="AB4" s="37">
        <v>0.3</v>
      </c>
      <c r="AC4" s="33">
        <v>51.3</v>
      </c>
      <c r="AD4" s="37">
        <v>14</v>
      </c>
      <c r="AE4" s="37">
        <v>0.6</v>
      </c>
    </row>
    <row r="5" spans="1:32" x14ac:dyDescent="0.2">
      <c r="A5" s="1" t="str" cm="1">
        <f t="array" ref="A5">IF(I5="","",IF(P5&lt;&gt;"",SUMPRODUCT((P$3:P$94&lt;&gt;"")*(G$3:G$94=G5)*(J$3:J$94&gt;J5)*(I$3:I$94="P"))+1,IF(O5&lt;&gt;"",SUMPRODUCT((O$3:O$94&lt;&gt;"")*(P$3:P$94="")*(G$3:G$94=G5)*(J$3:J$94&gt;J5)*(I$3:I$94="P"))+SUMPRODUCT((P$3:P$94&lt;&gt;"")*(G$3:G$94=G5)*(I$3:I$94="P"))+1,IF(N5&lt;&gt;"",SUMPRODUCT((N$3:N$94&lt;&gt;"")*(G$3:G$94=G5)*(J$3:J$94&gt;J5)*(I$3:I$94="P"))+1,IF(M5="P",SUMPRODUCT((O$3:O$94&lt;&gt;"")*(P$3:P$94="")*(G$3:G$94=G5)*(I$3:I$94="P"))+SUMPRODUCT((P$3:P$94&lt;&gt;"")*(G$3:G$94=G5)*(I$3:I$94="P"))+SUMPRODUCT((N$3:N$94&lt;&gt;"")*(G$3:G$94=G5)*(I$3:I$94="P"))+SUMPRODUCT((P$3:P$94="")*(O$3:O$94="")*(N$3:N$94="")*(M$3:M$94="P")*(G$3:G$94=G5)*(J$3:J$94&gt;J5)*(I$3:I$94="P"))+IF(H5="L5",SUMPRODUCT((P$3:P$94="")*(O$3:O$94="")*(N$3:N$94="")*(M$3:M$94="P")*(G$3:G$94=G5)*(J$3:J$94&lt;J5)*(H$3:H$94&lt;&gt;H5)*(I$3:I$94="P")),-1*SUMPRODUCT((P$3:P$94="")*(O$3:O$94="")*(N$3:N$94="")*(M$3:M$94="P")*(G$3:G$94=G5)*(J$3:J$94&gt;J5)*(H$3:H$94="L5")*(I$3:I$94="P")))+1,"")))))</f>
        <v/>
      </c>
      <c r="B5" s="1" cm="1">
        <f t="array" ref="B5">IF(P5&lt;&gt;"",SUMPRODUCT((P$3:P$94&lt;&gt;"")*(G$3:G$94=G5)*(J$3:J$94&gt;J5))+1,IF(O5&lt;&gt;"",SUMPRODUCT((O$3:O$94&lt;&gt;"")*(P$3:P$94="")*(G$3:G$94=G5)*(J$3:J$94&gt;J5))+SUMPRODUCT((P$3:P$94&lt;&gt;"")*(G$3:G$94=G5))+1,IF(N5&lt;&gt;"",SUMPRODUCT((N$3:N$94&lt;&gt;"")*(G$3:G$94=G5)*(J$3:J$94&gt;J5))+1,IF(M5="P",SUMPRODUCT((O$3:O$94&lt;&gt;"")*(P$3:P$94="")*(G$3:G$94=G5))+SUMPRODUCT((P$3:P$94&lt;&gt;"")*(G$3:G$94=G5))+SUMPRODUCT((N$3:N$94&lt;&gt;"")*(G$3:G$94=G5))+SUMPRODUCT((P$3:P$94="")*(O$3:O$94="")*(N$3:N$94="")*(M$3:M$94="P")*(G$3:G$94=G5)*(J$3:J$94&gt;J5))+IF(H5="L5",SUMPRODUCT((P$3:P$94="")*(O$3:O$94="")*(N$3:N$94="")*(M$3:M$94="P")*(G$3:G$94=G5)*(J$3:J$94&lt;J5)*(H$3:H$94&lt;&gt;H5)),-1*SUMPRODUCT((P$3:P$94="")*(O$3:O$94="")*(N$3:N$94="")*(M$3:M$94="P")*(G$3:G$94=G5)*(J$3:J$94&gt;J5)*(H$3:H$94="L5")))+1,""))))</f>
        <v>3</v>
      </c>
      <c r="C5" s="35" t="s">
        <v>293</v>
      </c>
      <c r="D5" t="str">
        <f>IF(E5="","",VLOOKUP(E5,'Coaching Points'!A:B,2,0))</f>
        <v>AB</v>
      </c>
      <c r="E5" s="35" t="s">
        <v>61</v>
      </c>
      <c r="F5" s="34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99.200200000000009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P5" s="36">
        <v>5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50.5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48.7</v>
      </c>
      <c r="T5" s="32">
        <v>48.7</v>
      </c>
      <c r="U5" s="37">
        <v>12.4</v>
      </c>
      <c r="V5" s="37">
        <v>0.3</v>
      </c>
      <c r="W5" s="33">
        <v>50.5</v>
      </c>
      <c r="X5" s="37">
        <v>13.2</v>
      </c>
      <c r="Y5" s="37">
        <v>0.3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$94&lt;&gt;"")*(G$3:G$94=G6)*(J$3:J$94&gt;J6)*(I$3:I$94="P"))+1,IF(O6&lt;&gt;"",SUMPRODUCT((O$3:O$94&lt;&gt;"")*(P$3:P$94="")*(G$3:G$94=G6)*(J$3:J$94&gt;J6)*(I$3:I$94="P"))+SUMPRODUCT((P$3:P$94&lt;&gt;"")*(G$3:G$94=G6)*(I$3:I$94="P"))+1,IF(N6&lt;&gt;"",SUMPRODUCT((N$3:N$94&lt;&gt;"")*(G$3:G$94=G6)*(J$3:J$94&gt;J6)*(I$3:I$94="P"))+1,IF(M6="P",SUMPRODUCT((O$3:O$94&lt;&gt;"")*(P$3:P$94="")*(G$3:G$94=G6)*(I$3:I$94="P"))+SUMPRODUCT((P$3:P$94&lt;&gt;"")*(G$3:G$94=G6)*(I$3:I$94="P"))+SUMPRODUCT((N$3:N$94&lt;&gt;"")*(G$3:G$94=G6)*(I$3:I$94="P"))+SUMPRODUCT((P$3:P$94="")*(O$3:O$94="")*(N$3:N$94="")*(M$3:M$94="P")*(G$3:G$94=G6)*(J$3:J$94&gt;J6)*(I$3:I$94="P"))+IF(H6="L5",SUMPRODUCT((P$3:P$94="")*(O$3:O$94="")*(N$3:N$94="")*(M$3:M$94="P")*(G$3:G$94=G6)*(J$3:J$94&lt;J6)*(H$3:H$94&lt;&gt;H6)*(I$3:I$94="P")),-1*SUMPRODUCT((P$3:P$94="")*(O$3:O$94="")*(N$3:N$94="")*(M$3:M$94="P")*(G$3:G$94=G6)*(J$3:J$94&gt;J6)*(H$3:H$94="L5")*(I$3:I$94="P")))+1,"")))))</f>
        <v/>
      </c>
      <c r="B6" s="1" cm="1">
        <f t="array" ref="B6">IF(P6&lt;&gt;"",SUMPRODUCT((P$3:P$94&lt;&gt;"")*(G$3:G$94=G6)*(J$3:J$94&gt;J6))+1,IF(O6&lt;&gt;"",SUMPRODUCT((O$3:O$94&lt;&gt;"")*(P$3:P$94="")*(G$3:G$94=G6)*(J$3:J$94&gt;J6))+SUMPRODUCT((P$3:P$94&lt;&gt;"")*(G$3:G$94=G6))+1,IF(N6&lt;&gt;"",SUMPRODUCT((N$3:N$94&lt;&gt;"")*(G$3:G$94=G6)*(J$3:J$94&gt;J6))+1,IF(M6="P",SUMPRODUCT((O$3:O$94&lt;&gt;"")*(P$3:P$94="")*(G$3:G$94=G6))+SUMPRODUCT((P$3:P$94&lt;&gt;"")*(G$3:G$94=G6))+SUMPRODUCT((N$3:N$94&lt;&gt;"")*(G$3:G$94=G6))+SUMPRODUCT((P$3:P$94="")*(O$3:O$94="")*(N$3:N$94="")*(M$3:M$94="P")*(G$3:G$94=G6)*(J$3:J$94&gt;J6))+IF(H6="L5",SUMPRODUCT((P$3:P$94="")*(O$3:O$94="")*(N$3:N$94="")*(M$3:M$94="P")*(G$3:G$94=G6)*(J$3:J$94&lt;J6)*(H$3:H$94&lt;&gt;H6)),-1*SUMPRODUCT((P$3:P$94="")*(O$3:O$94="")*(N$3:N$94="")*(M$3:M$94="P")*(G$3:G$94=G6)*(J$3:J$94&gt;J6)*(H$3:H$94="L5")))+1,""))))</f>
        <v>4</v>
      </c>
      <c r="C6" s="35" t="s">
        <v>292</v>
      </c>
      <c r="D6" t="str">
        <f>IF(E6="","",VLOOKUP(E6,'Coaching Points'!A:B,2,0))</f>
        <v>BC</v>
      </c>
      <c r="E6" s="35" t="s">
        <v>40</v>
      </c>
      <c r="F6" s="34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95.20020439000001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1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51.1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44.1</v>
      </c>
      <c r="T6" s="32">
        <v>51.1</v>
      </c>
      <c r="U6" s="37">
        <v>13.2</v>
      </c>
      <c r="V6" s="37">
        <v>0.3</v>
      </c>
      <c r="W6" s="33">
        <v>44.1</v>
      </c>
      <c r="X6" s="37">
        <v>9.6</v>
      </c>
      <c r="Y6" s="37">
        <v>0.3</v>
      </c>
      <c r="Z6" s="32">
        <v>43.9</v>
      </c>
      <c r="AA6" s="37">
        <v>9.6</v>
      </c>
      <c r="AB6" s="37">
        <v>0.3</v>
      </c>
      <c r="AC6" s="33"/>
      <c r="AD6" s="37"/>
      <c r="AE6" s="37"/>
    </row>
    <row r="7" spans="1:32" x14ac:dyDescent="0.2">
      <c r="A7" s="1" t="str" cm="1">
        <f t="array" ref="A7">IF(I7="","",IF(P7&lt;&gt;"",SUMPRODUCT((P$3:P$94&lt;&gt;"")*(G$3:G$94=G7)*(J$3:J$94&gt;J7)*(I$3:I$94="P"))+1,IF(O7&lt;&gt;"",SUMPRODUCT((O$3:O$94&lt;&gt;"")*(P$3:P$94="")*(G$3:G$94=G7)*(J$3:J$94&gt;J7)*(I$3:I$94="P"))+SUMPRODUCT((P$3:P$94&lt;&gt;"")*(G$3:G$94=G7)*(I$3:I$94="P"))+1,IF(N7&lt;&gt;"",SUMPRODUCT((N$3:N$94&lt;&gt;"")*(G$3:G$94=G7)*(J$3:J$94&gt;J7)*(I$3:I$94="P"))+1,IF(M7="P",SUMPRODUCT((O$3:O$94&lt;&gt;"")*(P$3:P$94="")*(G$3:G$94=G7)*(I$3:I$94="P"))+SUMPRODUCT((P$3:P$94&lt;&gt;"")*(G$3:G$94=G7)*(I$3:I$94="P"))+SUMPRODUCT((N$3:N$94&lt;&gt;"")*(G$3:G$94=G7)*(I$3:I$94="P"))+SUMPRODUCT((P$3:P$94="")*(O$3:O$94="")*(N$3:N$94="")*(M$3:M$94="P")*(G$3:G$94=G7)*(J$3:J$94&gt;J7)*(I$3:I$94="P"))+IF(H7="L5",SUMPRODUCT((P$3:P$94="")*(O$3:O$94="")*(N$3:N$94="")*(M$3:M$94="P")*(G$3:G$94=G7)*(J$3:J$94&lt;J7)*(H$3:H$94&lt;&gt;H7)*(I$3:I$94="P")),-1*SUMPRODUCT((P$3:P$94="")*(O$3:O$94="")*(N$3:N$94="")*(M$3:M$94="P")*(G$3:G$94=G7)*(J$3:J$94&gt;J7)*(H$3:H$94="L5")*(I$3:I$94="P")))+1,"")))))</f>
        <v/>
      </c>
      <c r="B7" s="1" cm="1">
        <f t="array" ref="B7">IF(P7&lt;&gt;"",SUMPRODUCT((P$3:P$94&lt;&gt;"")*(G$3:G$94=G7)*(J$3:J$94&gt;J7))+1,IF(O7&lt;&gt;"",SUMPRODUCT((O$3:O$94&lt;&gt;"")*(P$3:P$94="")*(G$3:G$94=G7)*(J$3:J$94&gt;J7))+SUMPRODUCT((P$3:P$94&lt;&gt;"")*(G$3:G$94=G7))+1,IF(N7&lt;&gt;"",SUMPRODUCT((N$3:N$94&lt;&gt;"")*(G$3:G$94=G7)*(J$3:J$94&gt;J7))+1,IF(M7="P",SUMPRODUCT((O$3:O$94&lt;&gt;"")*(P$3:P$94="")*(G$3:G$94=G7))+SUMPRODUCT((P$3:P$94&lt;&gt;"")*(G$3:G$94=G7))+SUMPRODUCT((N$3:N$94&lt;&gt;"")*(G$3:G$94=G7))+SUMPRODUCT((P$3:P$94="")*(O$3:O$94="")*(N$3:N$94="")*(M$3:M$94="P")*(G$3:G$94=G7)*(J$3:J$94&gt;J7))+IF(H7="L5",SUMPRODUCT((P$3:P$94="")*(O$3:O$94="")*(N$3:N$94="")*(M$3:M$94="P")*(G$3:G$94=G7)*(J$3:J$94&lt;J7)*(H$3:H$94&lt;&gt;H7)),-1*SUMPRODUCT((P$3:P$94="")*(O$3:O$94="")*(N$3:N$94="")*(M$3:M$94="P")*(G$3:G$94=G7)*(J$3:J$94&gt;J7)*(H$3:H$94="L5")))+1,""))))</f>
        <v>5</v>
      </c>
      <c r="C7" s="35" t="s">
        <v>231</v>
      </c>
      <c r="D7" t="str">
        <f>IF(E7="","",VLOOKUP(E7,'Coaching Points'!A:B,2,0))</f>
        <v>BC</v>
      </c>
      <c r="E7" s="35" t="s">
        <v>55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94.800204760000014</v>
      </c>
      <c r="K7" s="3" t="str">
        <f>IF(G7="Not Age Eligible","",IF(MAX(T7,W7,Z7,AC7)&gt;=LOOKUP(G7,'Qualifying Scores'!$A$4:$A$7,'Qualifying Scores'!$G$4:$G$7),"P",""))</f>
        <v>P</v>
      </c>
      <c r="L7" s="3" t="str">
        <f>IF(G7="Not Age Eligible","",IF(MAX(U7,X7,AA7,AD7)&gt;=LOOKUP(G7,'Qualifying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>P</v>
      </c>
      <c r="O7" s="36">
        <v>2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47.6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47.2</v>
      </c>
      <c r="T7" s="32">
        <v>47.2</v>
      </c>
      <c r="U7" s="37">
        <v>10.4</v>
      </c>
      <c r="V7" s="37">
        <v>0</v>
      </c>
      <c r="W7" s="33"/>
      <c r="X7" s="37"/>
      <c r="Y7" s="37"/>
      <c r="Z7" s="32">
        <v>46.8</v>
      </c>
      <c r="AA7" s="37">
        <v>10.8</v>
      </c>
      <c r="AB7" s="37">
        <v>0</v>
      </c>
      <c r="AC7" s="33">
        <v>47.6</v>
      </c>
      <c r="AD7" s="37">
        <v>11.6</v>
      </c>
      <c r="AE7" s="37">
        <v>0</v>
      </c>
    </row>
    <row r="8" spans="1:32" x14ac:dyDescent="0.2">
      <c r="A8" s="1" t="str" cm="1">
        <f t="array" ref="A8">IF(I8="","",IF(P8&lt;&gt;"",SUMPRODUCT((P$3:P$94&lt;&gt;"")*(G$3:G$94=G8)*(J$3:J$94&gt;J8)*(I$3:I$94="P"))+1,IF(O8&lt;&gt;"",SUMPRODUCT((O$3:O$94&lt;&gt;"")*(P$3:P$94="")*(G$3:G$94=G8)*(J$3:J$94&gt;J8)*(I$3:I$94="P"))+SUMPRODUCT((P$3:P$94&lt;&gt;"")*(G$3:G$94=G8)*(I$3:I$94="P"))+1,IF(N8&lt;&gt;"",SUMPRODUCT((N$3:N$94&lt;&gt;"")*(G$3:G$94=G8)*(J$3:J$94&gt;J8)*(I$3:I$94="P"))+1,IF(M8="P",SUMPRODUCT((O$3:O$94&lt;&gt;"")*(P$3:P$94="")*(G$3:G$94=G8)*(I$3:I$94="P"))+SUMPRODUCT((P$3:P$94&lt;&gt;"")*(G$3:G$94=G8)*(I$3:I$94="P"))+SUMPRODUCT((N$3:N$94&lt;&gt;"")*(G$3:G$94=G8)*(I$3:I$94="P"))+SUMPRODUCT((P$3:P$94="")*(O$3:O$94="")*(N$3:N$94="")*(M$3:M$94="P")*(G$3:G$94=G8)*(J$3:J$94&gt;J8)*(I$3:I$94="P"))+IF(H8="L5",SUMPRODUCT((P$3:P$94="")*(O$3:O$94="")*(N$3:N$94="")*(M$3:M$94="P")*(G$3:G$94=G8)*(J$3:J$94&lt;J8)*(H$3:H$94&lt;&gt;H8)*(I$3:I$94="P")),-1*SUMPRODUCT((P$3:P$94="")*(O$3:O$94="")*(N$3:N$94="")*(M$3:M$94="P")*(G$3:G$94=G8)*(J$3:J$94&gt;J8)*(H$3:H$94="L5")*(I$3:I$94="P")))+1,"")))))</f>
        <v/>
      </c>
      <c r="B8" s="1" cm="1">
        <f t="array" ref="B8">IF(P8&lt;&gt;"",SUMPRODUCT((P$3:P$94&lt;&gt;"")*(G$3:G$94=G8)*(J$3:J$94&gt;J8))+1,IF(O8&lt;&gt;"",SUMPRODUCT((O$3:O$94&lt;&gt;"")*(P$3:P$94="")*(G$3:G$94=G8)*(J$3:J$94&gt;J8))+SUMPRODUCT((P$3:P$94&lt;&gt;"")*(G$3:G$94=G8))+1,IF(N8&lt;&gt;"",SUMPRODUCT((N$3:N$94&lt;&gt;"")*(G$3:G$94=G8)*(J$3:J$94&gt;J8))+1,IF(M8="P",SUMPRODUCT((O$3:O$94&lt;&gt;"")*(P$3:P$94="")*(G$3:G$94=G8))+SUMPRODUCT((P$3:P$94&lt;&gt;"")*(G$3:G$94=G8))+SUMPRODUCT((N$3:N$94&lt;&gt;"")*(G$3:G$94=G8))+SUMPRODUCT((P$3:P$94="")*(O$3:O$94="")*(N$3:N$94="")*(M$3:M$94="P")*(G$3:G$94=G8)*(J$3:J$94&gt;J8))+IF(H8="L5",SUMPRODUCT((P$3:P$94="")*(O$3:O$94="")*(N$3:N$94="")*(M$3:M$94="P")*(G$3:G$94=G8)*(J$3:J$94&lt;J8)*(H$3:H$94&lt;&gt;H8)),-1*SUMPRODUCT((P$3:P$94="")*(O$3:O$94="")*(N$3:N$94="")*(M$3:M$94="P")*(G$3:G$94=G8)*(J$3:J$94&gt;J8)*(H$3:H$94="L5")))+1,""))))</f>
        <v>6</v>
      </c>
      <c r="C8" s="35" t="s">
        <v>277</v>
      </c>
      <c r="D8" t="str">
        <f>IF(E8="","",VLOOKUP(E8,'Coaching Points'!A:B,2,0))</f>
        <v>SK</v>
      </c>
      <c r="E8" s="35" t="s">
        <v>287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>R8+S8+IF(OR(H8="Junior",H8="Senior"),0.0002,IF(OR(H8="L7",H8="L6"),0.0001,0))+MAX(Z8,AC8)*0.0000001</f>
        <v>93.200104420000017</v>
      </c>
      <c r="K8" s="3" t="str">
        <f>IF(G8="Not Age Eligible","",IF(MAX(T8,W8,Z8,AC8)&gt;=LOOKUP(G8,'Qualifying Scores'!$A$4:$A$7,'Qualifying Scores'!$G$4:$G$7),"P",""))</f>
        <v>P</v>
      </c>
      <c r="L8" s="3" t="str">
        <f>IF(G8="Not Age Eligible","",IF(MAX(U8,X8,AA8,AD8)&gt;=LOOKUP(G8,'Qualifying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>P</v>
      </c>
      <c r="O8" s="36">
        <v>3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46.800000000000004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46.400000000000006</v>
      </c>
      <c r="T8" s="32">
        <v>47.1</v>
      </c>
      <c r="U8" s="37">
        <v>10.8</v>
      </c>
      <c r="V8" s="37">
        <v>0.3</v>
      </c>
      <c r="W8" s="33">
        <v>46.7</v>
      </c>
      <c r="X8" s="37">
        <v>10.8</v>
      </c>
      <c r="Y8" s="37">
        <v>0.3</v>
      </c>
      <c r="Z8" s="32">
        <v>44.2</v>
      </c>
      <c r="AA8" s="37">
        <v>10.399999999999999</v>
      </c>
      <c r="AB8" s="37">
        <v>0</v>
      </c>
      <c r="AC8" s="33"/>
      <c r="AD8" s="37"/>
      <c r="AE8" s="37"/>
    </row>
    <row r="9" spans="1:32" x14ac:dyDescent="0.2">
      <c r="A9" s="1" t="str" cm="1">
        <f t="array" ref="A9">IF(I9="","",IF(P9&lt;&gt;"",SUMPRODUCT((P$3:P$94&lt;&gt;"")*(G$3:G$94=G9)*(J$3:J$94&gt;J9)*(I$3:I$94="P"))+1,IF(O9&lt;&gt;"",SUMPRODUCT((O$3:O$94&lt;&gt;"")*(P$3:P$94="")*(G$3:G$94=G9)*(J$3:J$94&gt;J9)*(I$3:I$94="P"))+SUMPRODUCT((P$3:P$94&lt;&gt;"")*(G$3:G$94=G9)*(I$3:I$94="P"))+1,IF(N9&lt;&gt;"",SUMPRODUCT((N$3:N$94&lt;&gt;"")*(G$3:G$94=G9)*(J$3:J$94&gt;J9)*(I$3:I$94="P"))+1,IF(M9="P",SUMPRODUCT((O$3:O$94&lt;&gt;"")*(P$3:P$94="")*(G$3:G$94=G9)*(I$3:I$94="P"))+SUMPRODUCT((P$3:P$94&lt;&gt;"")*(G$3:G$94=G9)*(I$3:I$94="P"))+SUMPRODUCT((N$3:N$94&lt;&gt;"")*(G$3:G$94=G9)*(I$3:I$94="P"))+SUMPRODUCT((P$3:P$94="")*(O$3:O$94="")*(N$3:N$94="")*(M$3:M$94="P")*(G$3:G$94=G9)*(J$3:J$94&gt;J9)*(I$3:I$94="P"))+IF(H9="L5",SUMPRODUCT((P$3:P$94="")*(O$3:O$94="")*(N$3:N$94="")*(M$3:M$94="P")*(G$3:G$94=G9)*(J$3:J$94&lt;J9)*(H$3:H$94&lt;&gt;H9)*(I$3:I$94="P")),-1*SUMPRODUCT((P$3:P$94="")*(O$3:O$94="")*(N$3:N$94="")*(M$3:M$94="P")*(G$3:G$94=G9)*(J$3:J$94&gt;J9)*(H$3:H$94="L5")*(I$3:I$94="P")))+1,"")))))</f>
        <v/>
      </c>
      <c r="B9" s="1" cm="1">
        <f t="array" ref="B9">IF(P9&lt;&gt;"",SUMPRODUCT((P$3:P$94&lt;&gt;"")*(G$3:G$94=G9)*(J$3:J$94&gt;J9))+1,IF(O9&lt;&gt;"",SUMPRODUCT((O$3:O$94&lt;&gt;"")*(P$3:P$94="")*(G$3:G$94=G9)*(J$3:J$94&gt;J9))+SUMPRODUCT((P$3:P$94&lt;&gt;"")*(G$3:G$94=G9))+1,IF(N9&lt;&gt;"",SUMPRODUCT((N$3:N$94&lt;&gt;"")*(G$3:G$94=G9)*(J$3:J$94&gt;J9))+1,IF(M9="P",SUMPRODUCT((O$3:O$94&lt;&gt;"")*(P$3:P$94="")*(G$3:G$94=G9))+SUMPRODUCT((P$3:P$94&lt;&gt;"")*(G$3:G$94=G9))+SUMPRODUCT((N$3:N$94&lt;&gt;"")*(G$3:G$94=G9))+SUMPRODUCT((P$3:P$94="")*(O$3:O$94="")*(N$3:N$94="")*(M$3:M$94="P")*(G$3:G$94=G9)*(J$3:J$94&gt;J9))+IF(H9="L5",SUMPRODUCT((P$3:P$94="")*(O$3:O$94="")*(N$3:N$94="")*(M$3:M$94="P")*(G$3:G$94=G9)*(J$3:J$94&lt;J9)*(H$3:H$94&lt;&gt;H9)),-1*SUMPRODUCT((P$3:P$94="")*(O$3:O$94="")*(N$3:N$94="")*(M$3:M$94="P")*(G$3:G$94=G9)*(J$3:J$94&gt;J9)*(H$3:H$94="L5")))+1,""))))</f>
        <v>7</v>
      </c>
      <c r="C9" s="35" t="s">
        <v>240</v>
      </c>
      <c r="D9" t="str">
        <f>IF(E9="","",VLOOKUP(E9,'Coaching Points'!A:B,2,0))</f>
        <v>AB</v>
      </c>
      <c r="E9" s="35" t="s">
        <v>62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R9+S9+IF(OR(H9="Junior",H9="Senior"),0.0002,IF(OR(H9="L7",H9="L6"),0.0001,0))+MAX(Z9,AC9)*0.0000001</f>
        <v>86.900203290000007</v>
      </c>
      <c r="K9" s="3" t="str">
        <f>IF(G9="Not Age Eligible","",IF(MAX(T9,W9,Z9,AC9)&gt;=LOOKUP(G9,'Qualifying Scores'!$A$4:$A$7,'Qualifying Scores'!$G$4:$G$7),"P",""))</f>
        <v>P</v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>P</v>
      </c>
      <c r="O9" s="36">
        <v>4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48.5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38.4</v>
      </c>
      <c r="T9" s="32">
        <v>48.5</v>
      </c>
      <c r="U9" s="37">
        <v>11.2</v>
      </c>
      <c r="V9" s="37">
        <v>0</v>
      </c>
      <c r="W9" s="33">
        <v>38.4</v>
      </c>
      <c r="X9" s="37">
        <v>7.1999999999999993</v>
      </c>
      <c r="Y9" s="37">
        <v>0</v>
      </c>
      <c r="Z9" s="32">
        <v>32.9</v>
      </c>
      <c r="AA9" s="37">
        <v>2.4</v>
      </c>
      <c r="AB9" s="37">
        <v>0</v>
      </c>
      <c r="AC9" s="33"/>
      <c r="AD9" s="37"/>
      <c r="AE9" s="37"/>
    </row>
    <row r="10" spans="1:32" x14ac:dyDescent="0.2">
      <c r="A10" s="1" t="str" cm="1">
        <f t="array" ref="A10">IF(I10="","",IF(P10&lt;&gt;"",SUMPRODUCT((P$3:P$94&lt;&gt;"")*(G$3:G$94=G10)*(J$3:J$94&gt;J10)*(I$3:I$94="P"))+1,IF(O10&lt;&gt;"",SUMPRODUCT((O$3:O$94&lt;&gt;"")*(P$3:P$94="")*(G$3:G$94=G10)*(J$3:J$94&gt;J10)*(I$3:I$94="P"))+SUMPRODUCT((P$3:P$94&lt;&gt;"")*(G$3:G$94=G10)*(I$3:I$94="P"))+1,IF(N10&lt;&gt;"",SUMPRODUCT((N$3:N$94&lt;&gt;"")*(G$3:G$94=G10)*(J$3:J$94&gt;J10)*(I$3:I$94="P"))+1,IF(M10="P",SUMPRODUCT((O$3:O$94&lt;&gt;"")*(P$3:P$94="")*(G$3:G$94=G10)*(I$3:I$94="P"))+SUMPRODUCT((P$3:P$94&lt;&gt;"")*(G$3:G$94=G10)*(I$3:I$94="P"))+SUMPRODUCT((N$3:N$94&lt;&gt;"")*(G$3:G$94=G10)*(I$3:I$94="P"))+SUMPRODUCT((P$3:P$94="")*(O$3:O$94="")*(N$3:N$94="")*(M$3:M$94="P")*(G$3:G$94=G10)*(J$3:J$94&gt;J10)*(I$3:I$94="P"))+IF(H10="L5",SUMPRODUCT((P$3:P$94="")*(O$3:O$94="")*(N$3:N$94="")*(M$3:M$94="P")*(G$3:G$94=G10)*(J$3:J$94&lt;J10)*(H$3:H$94&lt;&gt;H10)*(I$3:I$94="P")),-1*SUMPRODUCT((P$3:P$94="")*(O$3:O$94="")*(N$3:N$94="")*(M$3:M$94="P")*(G$3:G$94=G10)*(J$3:J$94&gt;J10)*(H$3:H$94="L5")*(I$3:I$94="P")))+1,"")))))</f>
        <v/>
      </c>
      <c r="B10" s="1" cm="1">
        <f t="array" ref="B10">IF(P10&lt;&gt;"",SUMPRODUCT((P$3:P$94&lt;&gt;"")*(G$3:G$94=G10)*(J$3:J$94&gt;J10))+1,IF(O10&lt;&gt;"",SUMPRODUCT((O$3:O$94&lt;&gt;"")*(P$3:P$94="")*(G$3:G$94=G10)*(J$3:J$94&gt;J10))+SUMPRODUCT((P$3:P$94&lt;&gt;"")*(G$3:G$94=G10))+1,IF(N10&lt;&gt;"",SUMPRODUCT((N$3:N$94&lt;&gt;"")*(G$3:G$94=G10)*(J$3:J$94&gt;J10))+1,IF(M10="P",SUMPRODUCT((O$3:O$94&lt;&gt;"")*(P$3:P$94="")*(G$3:G$94=G10))+SUMPRODUCT((P$3:P$94&lt;&gt;"")*(G$3:G$94=G10))+SUMPRODUCT((N$3:N$94&lt;&gt;"")*(G$3:G$94=G10))+SUMPRODUCT((P$3:P$94="")*(O$3:O$94="")*(N$3:N$94="")*(M$3:M$94="P")*(G$3:G$94=G10)*(J$3:J$94&gt;J10))+IF(H10="L5",SUMPRODUCT((P$3:P$94="")*(O$3:O$94="")*(N$3:N$94="")*(M$3:M$94="P")*(G$3:G$94=G10)*(J$3:J$94&lt;J10)*(H$3:H$94&lt;&gt;H10)),-1*SUMPRODUCT((P$3:P$94="")*(O$3:O$94="")*(N$3:N$94="")*(M$3:M$94="P")*(G$3:G$94=G10)*(J$3:J$94&gt;J10)*(H$3:H$94="L5")))+1,""))))</f>
        <v>8</v>
      </c>
      <c r="C10" s="35" t="s">
        <v>363</v>
      </c>
      <c r="D10" t="str">
        <f>IF(E10="","",VLOOKUP(E10,'Coaching Points'!A:B,2,0))</f>
        <v>BC</v>
      </c>
      <c r="E10" s="35" t="s">
        <v>44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93.30010467000001</v>
      </c>
      <c r="K10" s="3" t="str">
        <f>IF(G10="Not Age Eligible","",IF(MAX(T10,W10,Z10,AC10)&gt;=LOOKUP(G10,'Qualifying Scores'!$A$4:$A$7,'Qualifying Scores'!$G$4:$G$7),"P",""))</f>
        <v>P</v>
      </c>
      <c r="L10" s="3" t="str">
        <f>IF(G10="Not Age Eligible","",IF(MAX(U10,X10,AA10,AD10)&gt;=LOOKUP(G10,'Qualifying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>P</v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46.7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46.6</v>
      </c>
      <c r="T10" s="32">
        <v>46.2</v>
      </c>
      <c r="U10" s="37">
        <v>9.6</v>
      </c>
      <c r="V10" s="37">
        <v>0.3</v>
      </c>
      <c r="W10" s="33">
        <v>46.1</v>
      </c>
      <c r="X10" s="37">
        <v>9.6</v>
      </c>
      <c r="Y10" s="37">
        <v>0.3</v>
      </c>
      <c r="Z10" s="32">
        <v>46.6</v>
      </c>
      <c r="AA10" s="37">
        <v>10.4</v>
      </c>
      <c r="AB10" s="37">
        <v>0</v>
      </c>
      <c r="AC10" s="33">
        <v>46.7</v>
      </c>
      <c r="AD10" s="37">
        <v>10.4</v>
      </c>
      <c r="AE10" s="37">
        <v>0</v>
      </c>
    </row>
    <row r="11" spans="1:32" x14ac:dyDescent="0.2">
      <c r="A11" s="1" t="str" cm="1">
        <f t="array" ref="A11">IF(I11="","",IF(P11&lt;&gt;"",SUMPRODUCT((P$3:P$94&lt;&gt;"")*(G$3:G$94=G11)*(J$3:J$94&gt;J11)*(I$3:I$94="P"))+1,IF(O11&lt;&gt;"",SUMPRODUCT((O$3:O$94&lt;&gt;"")*(P$3:P$94="")*(G$3:G$94=G11)*(J$3:J$94&gt;J11)*(I$3:I$94="P"))+SUMPRODUCT((P$3:P$94&lt;&gt;"")*(G$3:G$94=G11)*(I$3:I$94="P"))+1,IF(N11&lt;&gt;"",SUMPRODUCT((N$3:N$94&lt;&gt;"")*(G$3:G$94=G11)*(J$3:J$94&gt;J11)*(I$3:I$94="P"))+1,IF(M11="P",SUMPRODUCT((O$3:O$94&lt;&gt;"")*(P$3:P$94="")*(G$3:G$94=G11)*(I$3:I$94="P"))+SUMPRODUCT((P$3:P$94&lt;&gt;"")*(G$3:G$94=G11)*(I$3:I$94="P"))+SUMPRODUCT((N$3:N$94&lt;&gt;"")*(G$3:G$94=G11)*(I$3:I$94="P"))+SUMPRODUCT((P$3:P$94="")*(O$3:O$94="")*(N$3:N$94="")*(M$3:M$94="P")*(G$3:G$94=G11)*(J$3:J$94&gt;J11)*(I$3:I$94="P"))+IF(H11="L5",SUMPRODUCT((P$3:P$94="")*(O$3:O$94="")*(N$3:N$94="")*(M$3:M$94="P")*(G$3:G$94=G11)*(J$3:J$94&lt;J11)*(H$3:H$94&lt;&gt;H11)*(I$3:I$94="P")),-1*SUMPRODUCT((P$3:P$94="")*(O$3:O$94="")*(N$3:N$94="")*(M$3:M$94="P")*(G$3:G$94=G11)*(J$3:J$94&gt;J11)*(H$3:H$94="L5")*(I$3:I$94="P")))+1,"")))))</f>
        <v/>
      </c>
      <c r="B11" s="1" t="str" cm="1">
        <f t="array" ref="B11">IF(P11&lt;&gt;"",SUMPRODUCT((P$3:P$94&lt;&gt;"")*(G$3:G$94=G11)*(J$3:J$94&gt;J11))+1,IF(O11&lt;&gt;"",SUMPRODUCT((O$3:O$94&lt;&gt;"")*(P$3:P$94="")*(G$3:G$94=G11)*(J$3:J$94&gt;J11))+SUMPRODUCT((P$3:P$94&lt;&gt;"")*(G$3:G$94=G11))+1,IF(N11&lt;&gt;"",SUMPRODUCT((N$3:N$94&lt;&gt;"")*(G$3:G$94=G11)*(J$3:J$94&gt;J11))+1,IF(M11="P",SUMPRODUCT((O$3:O$94&lt;&gt;"")*(P$3:P$94="")*(G$3:G$94=G11))+SUMPRODUCT((P$3:P$94&lt;&gt;"")*(G$3:G$94=G11))+SUMPRODUCT((N$3:N$94&lt;&gt;"")*(G$3:G$94=G11))+SUMPRODUCT((P$3:P$94="")*(O$3:O$94="")*(N$3:N$94="")*(M$3:M$94="P")*(G$3:G$94=G11)*(J$3:J$94&gt;J11))+IF(H11="L5",SUMPRODUCT((P$3:P$94="")*(O$3:O$94="")*(N$3:N$94="")*(M$3:M$94="P")*(G$3:G$94=G11)*(J$3:J$94&lt;J11)*(H$3:H$94&lt;&gt;H11)),-1*SUMPRODUCT((P$3:P$94="")*(O$3:O$94="")*(N$3:N$94="")*(M$3:M$94="P")*(G$3:G$94=G11)*(J$3:J$94&gt;J11)*(H$3:H$94="L5")))+1,""))))</f>
        <v/>
      </c>
      <c r="C11" s="35" t="s">
        <v>434</v>
      </c>
      <c r="D11" t="str">
        <f>IF(E11="","",VLOOKUP(E11,'Coaching Points'!A:B,2,0))</f>
        <v>AB</v>
      </c>
      <c r="E11" s="35" t="s">
        <v>56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R11+S11+IF(OR(H11="Junior",H11="Senior"),0.0002,IF(OR(H11="L7",H11="L6"),0.0001,0))+MAX(Z11,AC11)*0.0000001</f>
        <v>91.200104589999995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/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45.9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45.3</v>
      </c>
      <c r="T11" s="32"/>
      <c r="U11" s="37"/>
      <c r="V11" s="37"/>
      <c r="W11" s="33"/>
      <c r="X11" s="37"/>
      <c r="Y11" s="37"/>
      <c r="Z11" s="32">
        <v>45.3</v>
      </c>
      <c r="AA11" s="37">
        <v>8.8000000000000007</v>
      </c>
      <c r="AB11" s="37">
        <v>0</v>
      </c>
      <c r="AC11" s="33">
        <v>45.9</v>
      </c>
      <c r="AD11" s="37">
        <v>9.1999999999999993</v>
      </c>
      <c r="AE11" s="37">
        <v>0</v>
      </c>
    </row>
    <row r="12" spans="1:32" x14ac:dyDescent="0.2">
      <c r="A12" s="1" t="str" cm="1">
        <f t="array" ref="A12">IF(I12="","",IF(P12&lt;&gt;"",SUMPRODUCT((P$3:P$94&lt;&gt;"")*(G$3:G$94=G12)*(J$3:J$94&gt;J12)*(I$3:I$94="P"))+1,IF(O12&lt;&gt;"",SUMPRODUCT((O$3:O$94&lt;&gt;"")*(P$3:P$94="")*(G$3:G$94=G12)*(J$3:J$94&gt;J12)*(I$3:I$94="P"))+SUMPRODUCT((P$3:P$94&lt;&gt;"")*(G$3:G$94=G12)*(I$3:I$94="P"))+1,IF(N12&lt;&gt;"",SUMPRODUCT((N$3:N$94&lt;&gt;"")*(G$3:G$94=G12)*(J$3:J$94&gt;J12)*(I$3:I$94="P"))+1,IF(M12="P",SUMPRODUCT((O$3:O$94&lt;&gt;"")*(P$3:P$94="")*(G$3:G$94=G12)*(I$3:I$94="P"))+SUMPRODUCT((P$3:P$94&lt;&gt;"")*(G$3:G$94=G12)*(I$3:I$94="P"))+SUMPRODUCT((N$3:N$94&lt;&gt;"")*(G$3:G$94=G12)*(I$3:I$94="P"))+SUMPRODUCT((P$3:P$94="")*(O$3:O$94="")*(N$3:N$94="")*(M$3:M$94="P")*(G$3:G$94=G12)*(J$3:J$94&gt;J12)*(I$3:I$94="P"))+IF(H12="L5",SUMPRODUCT((P$3:P$94="")*(O$3:O$94="")*(N$3:N$94="")*(M$3:M$94="P")*(G$3:G$94=G12)*(J$3:J$94&lt;J12)*(H$3:H$94&lt;&gt;H12)*(I$3:I$94="P")),-1*SUMPRODUCT((P$3:P$94="")*(O$3:O$94="")*(N$3:N$94="")*(M$3:M$94="P")*(G$3:G$94=G12)*(J$3:J$94&gt;J12)*(H$3:H$94="L5")*(I$3:I$94="P")))+1,"")))))</f>
        <v/>
      </c>
      <c r="B12" s="1" t="str" cm="1">
        <f t="array" ref="B12">IF(P12&lt;&gt;"",SUMPRODUCT((P$3:P$94&lt;&gt;"")*(G$3:G$94=G12)*(J$3:J$94&gt;J12))+1,IF(O12&lt;&gt;"",SUMPRODUCT((O$3:O$94&lt;&gt;"")*(P$3:P$94="")*(G$3:G$94=G12)*(J$3:J$94&gt;J12))+SUMPRODUCT((P$3:P$94&lt;&gt;"")*(G$3:G$94=G12))+1,IF(N12&lt;&gt;"",SUMPRODUCT((N$3:N$94&lt;&gt;"")*(G$3:G$94=G12)*(J$3:J$94&gt;J12))+1,IF(M12="P",SUMPRODUCT((O$3:O$94&lt;&gt;"")*(P$3:P$94="")*(G$3:G$94=G12))+SUMPRODUCT((P$3:P$94&lt;&gt;"")*(G$3:G$94=G12))+SUMPRODUCT((N$3:N$94&lt;&gt;"")*(G$3:G$94=G12))+SUMPRODUCT((P$3:P$94="")*(O$3:O$94="")*(N$3:N$94="")*(M$3:M$94="P")*(G$3:G$94=G12)*(J$3:J$94&gt;J12))+IF(H12="L5",SUMPRODUCT((P$3:P$94="")*(O$3:O$94="")*(N$3:N$94="")*(M$3:M$94="P")*(G$3:G$94=G12)*(J$3:J$94&lt;J12)*(H$3:H$94&lt;&gt;H12)),-1*SUMPRODUCT((P$3:P$94="")*(O$3:O$94="")*(N$3:N$94="")*(M$3:M$94="P")*(G$3:G$94=G12)*(J$3:J$94&gt;J12)*(H$3:H$94="L5")))+1,""))))</f>
        <v/>
      </c>
      <c r="C12" s="35" t="s">
        <v>261</v>
      </c>
      <c r="D12" t="str">
        <f>IF(E12="","",VLOOKUP(E12,'Coaching Points'!A:B,2,0))</f>
        <v>ON</v>
      </c>
      <c r="E12" s="35" t="s">
        <v>45</v>
      </c>
      <c r="F12" s="34">
        <v>2008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91.100104610000002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46.1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45</v>
      </c>
      <c r="T12" s="32">
        <v>16.600000000000001</v>
      </c>
      <c r="U12" s="37">
        <v>1.2</v>
      </c>
      <c r="V12" s="37">
        <v>0</v>
      </c>
      <c r="W12" s="33"/>
      <c r="X12" s="37"/>
      <c r="Y12" s="37"/>
      <c r="Z12" s="32">
        <v>46.1</v>
      </c>
      <c r="AA12" s="37">
        <v>8.8000000000000007</v>
      </c>
      <c r="AB12" s="37">
        <v>0</v>
      </c>
      <c r="AC12" s="33">
        <v>45</v>
      </c>
      <c r="AD12" s="37">
        <v>8.8000000000000007</v>
      </c>
      <c r="AE12" s="37">
        <v>0</v>
      </c>
    </row>
    <row r="13" spans="1:32" x14ac:dyDescent="0.2">
      <c r="A13" s="1" t="str" cm="1">
        <f t="array" ref="A13">IF(I13="","",IF(P13&lt;&gt;"",SUMPRODUCT((P$3:P$94&lt;&gt;"")*(G$3:G$94=G13)*(J$3:J$94&gt;J13)*(I$3:I$94="P"))+1,IF(O13&lt;&gt;"",SUMPRODUCT((O$3:O$94&lt;&gt;"")*(P$3:P$94="")*(G$3:G$94=G13)*(J$3:J$94&gt;J13)*(I$3:I$94="P"))+SUMPRODUCT((P$3:P$94&lt;&gt;"")*(G$3:G$94=G13)*(I$3:I$94="P"))+1,IF(N13&lt;&gt;"",SUMPRODUCT((N$3:N$94&lt;&gt;"")*(G$3:G$94=G13)*(J$3:J$94&gt;J13)*(I$3:I$94="P"))+1,IF(M13="P",SUMPRODUCT((O$3:O$94&lt;&gt;"")*(P$3:P$94="")*(G$3:G$94=G13)*(I$3:I$94="P"))+SUMPRODUCT((P$3:P$94&lt;&gt;"")*(G$3:G$94=G13)*(I$3:I$94="P"))+SUMPRODUCT((N$3:N$94&lt;&gt;"")*(G$3:G$94=G13)*(I$3:I$94="P"))+SUMPRODUCT((P$3:P$94="")*(O$3:O$94="")*(N$3:N$94="")*(M$3:M$94="P")*(G$3:G$94=G13)*(J$3:J$94&gt;J13)*(I$3:I$94="P"))+IF(H13="L5",SUMPRODUCT((P$3:P$94="")*(O$3:O$94="")*(N$3:N$94="")*(M$3:M$94="P")*(G$3:G$94=G13)*(J$3:J$94&lt;J13)*(H$3:H$94&lt;&gt;H13)*(I$3:I$94="P")),-1*SUMPRODUCT((P$3:P$94="")*(O$3:O$94="")*(N$3:N$94="")*(M$3:M$94="P")*(G$3:G$94=G13)*(J$3:J$94&gt;J13)*(H$3:H$94="L5")*(I$3:I$94="P")))+1,"")))))</f>
        <v/>
      </c>
      <c r="B13" s="1" t="str" cm="1">
        <f t="array" ref="B13">IF(P13&lt;&gt;"",SUMPRODUCT((P$3:P$94&lt;&gt;"")*(G$3:G$94=G13)*(J$3:J$94&gt;J13))+1,IF(O13&lt;&gt;"",SUMPRODUCT((O$3:O$94&lt;&gt;"")*(P$3:P$94="")*(G$3:G$94=G13)*(J$3:J$94&gt;J13))+SUMPRODUCT((P$3:P$94&lt;&gt;"")*(G$3:G$94=G13))+1,IF(N13&lt;&gt;"",SUMPRODUCT((N$3:N$94&lt;&gt;"")*(G$3:G$94=G13)*(J$3:J$94&gt;J13))+1,IF(M13="P",SUMPRODUCT((O$3:O$94&lt;&gt;"")*(P$3:P$94="")*(G$3:G$94=G13))+SUMPRODUCT((P$3:P$94&lt;&gt;"")*(G$3:G$94=G13))+SUMPRODUCT((N$3:N$94&lt;&gt;"")*(G$3:G$94=G13))+SUMPRODUCT((P$3:P$94="")*(O$3:O$94="")*(N$3:N$94="")*(M$3:M$94="P")*(G$3:G$94=G13)*(J$3:J$94&gt;J13))+IF(H13="L5",SUMPRODUCT((P$3:P$94="")*(O$3:O$94="")*(N$3:N$94="")*(M$3:M$94="P")*(G$3:G$94=G13)*(J$3:J$94&lt;J13)*(H$3:H$94&lt;&gt;H13)),-1*SUMPRODUCT((P$3:P$94="")*(O$3:O$94="")*(N$3:N$94="")*(M$3:M$94="P")*(G$3:G$94=G13)*(J$3:J$94&gt;J13)*(H$3:H$94="L5")))+1,""))))</f>
        <v/>
      </c>
      <c r="C13" s="35" t="s">
        <v>235</v>
      </c>
      <c r="D13" t="str">
        <f>IF(E13="","",VLOOKUP(E13,'Coaching Points'!A:B,2,0))</f>
        <v>AB</v>
      </c>
      <c r="E13" s="35" t="s">
        <v>28</v>
      </c>
      <c r="F13" s="34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>R13+S13+IF(OR(H13="Junior",H13="Senior"),0.0002,IF(OR(H13="L7",H13="L6"),0.0001,0))+MAX(Z13,AC13)*0.0000001</f>
        <v>90.800104600000012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45.7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45.1</v>
      </c>
      <c r="T13" s="32">
        <v>43.3</v>
      </c>
      <c r="U13" s="37">
        <v>7.9</v>
      </c>
      <c r="V13" s="37">
        <v>0</v>
      </c>
      <c r="W13" s="33">
        <v>43.5</v>
      </c>
      <c r="X13" s="37">
        <v>7.9</v>
      </c>
      <c r="Y13" s="37">
        <v>0</v>
      </c>
      <c r="Z13" s="32">
        <v>45.4</v>
      </c>
      <c r="AA13" s="37">
        <v>9.1999999999999993</v>
      </c>
      <c r="AB13" s="37">
        <v>0.3</v>
      </c>
      <c r="AC13" s="33">
        <v>46</v>
      </c>
      <c r="AD13" s="37">
        <v>10</v>
      </c>
      <c r="AE13" s="37">
        <v>0.3</v>
      </c>
    </row>
    <row r="14" spans="1:32" x14ac:dyDescent="0.2">
      <c r="A14" s="1" t="str" cm="1">
        <f t="array" ref="A14">IF(I14="","",IF(P14&lt;&gt;"",SUMPRODUCT((P$3:P$94&lt;&gt;"")*(G$3:G$94=G14)*(J$3:J$94&gt;J14)*(I$3:I$94="P"))+1,IF(O14&lt;&gt;"",SUMPRODUCT((O$3:O$94&lt;&gt;"")*(P$3:P$94="")*(G$3:G$94=G14)*(J$3:J$94&gt;J14)*(I$3:I$94="P"))+SUMPRODUCT((P$3:P$94&lt;&gt;"")*(G$3:G$94=G14)*(I$3:I$94="P"))+1,IF(N14&lt;&gt;"",SUMPRODUCT((N$3:N$94&lt;&gt;"")*(G$3:G$94=G14)*(J$3:J$94&gt;J14)*(I$3:I$94="P"))+1,IF(M14="P",SUMPRODUCT((O$3:O$94&lt;&gt;"")*(P$3:P$94="")*(G$3:G$94=G14)*(I$3:I$94="P"))+SUMPRODUCT((P$3:P$94&lt;&gt;"")*(G$3:G$94=G14)*(I$3:I$94="P"))+SUMPRODUCT((N$3:N$94&lt;&gt;"")*(G$3:G$94=G14)*(I$3:I$94="P"))+SUMPRODUCT((P$3:P$94="")*(O$3:O$94="")*(N$3:N$94="")*(M$3:M$94="P")*(G$3:G$94=G14)*(J$3:J$94&gt;J14)*(I$3:I$94="P"))+IF(H14="L5",SUMPRODUCT((P$3:P$94="")*(O$3:O$94="")*(N$3:N$94="")*(M$3:M$94="P")*(G$3:G$94=G14)*(J$3:J$94&lt;J14)*(H$3:H$94&lt;&gt;H14)*(I$3:I$94="P")),-1*SUMPRODUCT((P$3:P$94="")*(O$3:O$94="")*(N$3:N$94="")*(M$3:M$94="P")*(G$3:G$94=G14)*(J$3:J$94&gt;J14)*(H$3:H$94="L5")*(I$3:I$94="P")))+1,"")))))</f>
        <v/>
      </c>
      <c r="B14" s="1" t="str" cm="1">
        <f t="array" ref="B14">IF(P14&lt;&gt;"",SUMPRODUCT((P$3:P$94&lt;&gt;"")*(G$3:G$94=G14)*(J$3:J$94&gt;J14))+1,IF(O14&lt;&gt;"",SUMPRODUCT((O$3:O$94&lt;&gt;"")*(P$3:P$94="")*(G$3:G$94=G14)*(J$3:J$94&gt;J14))+SUMPRODUCT((P$3:P$94&lt;&gt;"")*(G$3:G$94=G14))+1,IF(N14&lt;&gt;"",SUMPRODUCT((N$3:N$94&lt;&gt;"")*(G$3:G$94=G14)*(J$3:J$94&gt;J14))+1,IF(M14="P",SUMPRODUCT((O$3:O$94&lt;&gt;"")*(P$3:P$94="")*(G$3:G$94=G14))+SUMPRODUCT((P$3:P$94&lt;&gt;"")*(G$3:G$94=G14))+SUMPRODUCT((N$3:N$94&lt;&gt;"")*(G$3:G$94=G14))+SUMPRODUCT((P$3:P$94="")*(O$3:O$94="")*(N$3:N$94="")*(M$3:M$94="P")*(G$3:G$94=G14)*(J$3:J$94&gt;J14))+IF(H14="L5",SUMPRODUCT((P$3:P$94="")*(O$3:O$94="")*(N$3:N$94="")*(M$3:M$94="P")*(G$3:G$94=G14)*(J$3:J$94&lt;J14)*(H$3:H$94&lt;&gt;H14)),-1*SUMPRODUCT((P$3:P$94="")*(O$3:O$94="")*(N$3:N$94="")*(M$3:M$94="P")*(G$3:G$94=G14)*(J$3:J$94&gt;J14)*(H$3:H$94="L5")))+1,""))))</f>
        <v/>
      </c>
      <c r="C14" s="35" t="s">
        <v>299</v>
      </c>
      <c r="D14" t="str">
        <f>IF(E14="","",VLOOKUP(E14,'Coaching Points'!A:B,2,0))</f>
        <v>AB</v>
      </c>
      <c r="E14" s="35" t="s">
        <v>28</v>
      </c>
      <c r="F14" s="34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90.80010458000001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45.5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45.300000000000004</v>
      </c>
      <c r="T14" s="32">
        <v>41.6</v>
      </c>
      <c r="U14" s="37">
        <v>8.3999999999999986</v>
      </c>
      <c r="V14" s="37">
        <v>0.3</v>
      </c>
      <c r="W14" s="33">
        <v>45.6</v>
      </c>
      <c r="X14" s="37">
        <v>10.8</v>
      </c>
      <c r="Y14" s="37">
        <v>0.3</v>
      </c>
      <c r="Z14" s="32">
        <v>45.8</v>
      </c>
      <c r="AA14" s="37">
        <v>10.399999999999999</v>
      </c>
      <c r="AB14" s="37">
        <v>0.3</v>
      </c>
      <c r="AC14" s="33">
        <v>42.6</v>
      </c>
      <c r="AD14" s="37">
        <v>10</v>
      </c>
      <c r="AE14" s="37">
        <v>0.3</v>
      </c>
    </row>
    <row r="15" spans="1:32" x14ac:dyDescent="0.2">
      <c r="A15" s="1" t="str" cm="1">
        <f t="array" ref="A15">IF(I15="","",IF(P15&lt;&gt;"",SUMPRODUCT((P$3:P$94&lt;&gt;"")*(G$3:G$94=G15)*(J$3:J$94&gt;J15)*(I$3:I$94="P"))+1,IF(O15&lt;&gt;"",SUMPRODUCT((O$3:O$94&lt;&gt;"")*(P$3:P$94="")*(G$3:G$94=G15)*(J$3:J$94&gt;J15)*(I$3:I$94="P"))+SUMPRODUCT((P$3:P$94&lt;&gt;"")*(G$3:G$94=G15)*(I$3:I$94="P"))+1,IF(N15&lt;&gt;"",SUMPRODUCT((N$3:N$94&lt;&gt;"")*(G$3:G$94=G15)*(J$3:J$94&gt;J15)*(I$3:I$94="P"))+1,IF(M15="P",SUMPRODUCT((O$3:O$94&lt;&gt;"")*(P$3:P$94="")*(G$3:G$94=G15)*(I$3:I$94="P"))+SUMPRODUCT((P$3:P$94&lt;&gt;"")*(G$3:G$94=G15)*(I$3:I$94="P"))+SUMPRODUCT((N$3:N$94&lt;&gt;"")*(G$3:G$94=G15)*(I$3:I$94="P"))+SUMPRODUCT((P$3:P$94="")*(O$3:O$94="")*(N$3:N$94="")*(M$3:M$94="P")*(G$3:G$94=G15)*(J$3:J$94&gt;J15)*(I$3:I$94="P"))+IF(H15="L5",SUMPRODUCT((P$3:P$94="")*(O$3:O$94="")*(N$3:N$94="")*(M$3:M$94="P")*(G$3:G$94=G15)*(J$3:J$94&lt;J15)*(H$3:H$94&lt;&gt;H15)*(I$3:I$94="P")),-1*SUMPRODUCT((P$3:P$94="")*(O$3:O$94="")*(N$3:N$94="")*(M$3:M$94="P")*(G$3:G$94=G15)*(J$3:J$94&gt;J15)*(H$3:H$94="L5")*(I$3:I$94="P")))+1,"")))))</f>
        <v/>
      </c>
      <c r="B15" s="1" t="str" cm="1">
        <f t="array" ref="B15">IF(P15&lt;&gt;"",SUMPRODUCT((P$3:P$94&lt;&gt;"")*(G$3:G$94=G15)*(J$3:J$94&gt;J15))+1,IF(O15&lt;&gt;"",SUMPRODUCT((O$3:O$94&lt;&gt;"")*(P$3:P$94="")*(G$3:G$94=G15)*(J$3:J$94&gt;J15))+SUMPRODUCT((P$3:P$94&lt;&gt;"")*(G$3:G$94=G15))+1,IF(N15&lt;&gt;"",SUMPRODUCT((N$3:N$94&lt;&gt;"")*(G$3:G$94=G15)*(J$3:J$94&gt;J15))+1,IF(M15="P",SUMPRODUCT((O$3:O$94&lt;&gt;"")*(P$3:P$94="")*(G$3:G$94=G15))+SUMPRODUCT((P$3:P$94&lt;&gt;"")*(G$3:G$94=G15))+SUMPRODUCT((N$3:N$94&lt;&gt;"")*(G$3:G$94=G15))+SUMPRODUCT((P$3:P$94="")*(O$3:O$94="")*(N$3:N$94="")*(M$3:M$94="P")*(G$3:G$94=G15)*(J$3:J$94&gt;J15))+IF(H15="L5",SUMPRODUCT((P$3:P$94="")*(O$3:O$94="")*(N$3:N$94="")*(M$3:M$94="P")*(G$3:G$94=G15)*(J$3:J$94&lt;J15)*(H$3:H$94&lt;&gt;H15)),-1*SUMPRODUCT((P$3:P$94="")*(O$3:O$94="")*(N$3:N$94="")*(M$3:M$94="P")*(G$3:G$94=G15)*(J$3:J$94&gt;J15)*(H$3:H$94="L5")))+1,""))))</f>
        <v/>
      </c>
      <c r="C15" s="35" t="s">
        <v>280</v>
      </c>
      <c r="D15" t="str">
        <f>IF(E15="","",VLOOKUP(E15,'Coaching Points'!A:B,2,0))</f>
        <v>SK</v>
      </c>
      <c r="E15" s="35" t="s">
        <v>58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89.900104440000007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45.1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44.800000000000004</v>
      </c>
      <c r="T15" s="32">
        <v>45.1</v>
      </c>
      <c r="U15" s="37">
        <v>9.6</v>
      </c>
      <c r="V15" s="37">
        <v>0.3</v>
      </c>
      <c r="W15" s="33">
        <v>45.4</v>
      </c>
      <c r="X15" s="37">
        <v>9.6000000000000014</v>
      </c>
      <c r="Y15" s="37">
        <v>0.3</v>
      </c>
      <c r="Z15" s="32">
        <v>44.4</v>
      </c>
      <c r="AA15" s="37">
        <v>11.2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$94&lt;&gt;"")*(G$3:G$94=G16)*(J$3:J$94&gt;J16)*(I$3:I$94="P"))+1,IF(O16&lt;&gt;"",SUMPRODUCT((O$3:O$94&lt;&gt;"")*(P$3:P$94="")*(G$3:G$94=G16)*(J$3:J$94&gt;J16)*(I$3:I$94="P"))+SUMPRODUCT((P$3:P$94&lt;&gt;"")*(G$3:G$94=G16)*(I$3:I$94="P"))+1,IF(N16&lt;&gt;"",SUMPRODUCT((N$3:N$94&lt;&gt;"")*(G$3:G$94=G16)*(J$3:J$94&gt;J16)*(I$3:I$94="P"))+1,IF(M16="P",SUMPRODUCT((O$3:O$94&lt;&gt;"")*(P$3:P$94="")*(G$3:G$94=G16)*(I$3:I$94="P"))+SUMPRODUCT((P$3:P$94&lt;&gt;"")*(G$3:G$94=G16)*(I$3:I$94="P"))+SUMPRODUCT((N$3:N$94&lt;&gt;"")*(G$3:G$94=G16)*(I$3:I$94="P"))+SUMPRODUCT((P$3:P$94="")*(O$3:O$94="")*(N$3:N$94="")*(M$3:M$94="P")*(G$3:G$94=G16)*(J$3:J$94&gt;J16)*(I$3:I$94="P"))+IF(H16="L5",SUMPRODUCT((P$3:P$94="")*(O$3:O$94="")*(N$3:N$94="")*(M$3:M$94="P")*(G$3:G$94=G16)*(J$3:J$94&lt;J16)*(H$3:H$94&lt;&gt;H16)*(I$3:I$94="P")),-1*SUMPRODUCT((P$3:P$94="")*(O$3:O$94="")*(N$3:N$94="")*(M$3:M$94="P")*(G$3:G$94=G16)*(J$3:J$94&gt;J16)*(H$3:H$94="L5")*(I$3:I$94="P")))+1,"")))))</f>
        <v/>
      </c>
      <c r="B16" s="1" t="str" cm="1">
        <f t="array" ref="B16">IF(P16&lt;&gt;"",SUMPRODUCT((P$3:P$94&lt;&gt;"")*(G$3:G$94=G16)*(J$3:J$94&gt;J16))+1,IF(O16&lt;&gt;"",SUMPRODUCT((O$3:O$94&lt;&gt;"")*(P$3:P$94="")*(G$3:G$94=G16)*(J$3:J$94&gt;J16))+SUMPRODUCT((P$3:P$94&lt;&gt;"")*(G$3:G$94=G16))+1,IF(N16&lt;&gt;"",SUMPRODUCT((N$3:N$94&lt;&gt;"")*(G$3:G$94=G16)*(J$3:J$94&gt;J16))+1,IF(M16="P",SUMPRODUCT((O$3:O$94&lt;&gt;"")*(P$3:P$94="")*(G$3:G$94=G16))+SUMPRODUCT((P$3:P$94&lt;&gt;"")*(G$3:G$94=G16))+SUMPRODUCT((N$3:N$94&lt;&gt;"")*(G$3:G$94=G16))+SUMPRODUCT((P$3:P$94="")*(O$3:O$94="")*(N$3:N$94="")*(M$3:M$94="P")*(G$3:G$94=G16)*(J$3:J$94&gt;J16))+IF(H16="L5",SUMPRODUCT((P$3:P$94="")*(O$3:O$94="")*(N$3:N$94="")*(M$3:M$94="P")*(G$3:G$94=G16)*(J$3:J$94&lt;J16)*(H$3:H$94&lt;&gt;H16)),-1*SUMPRODUCT((P$3:P$94="")*(O$3:O$94="")*(N$3:N$94="")*(M$3:M$94="P")*(G$3:G$94=G16)*(J$3:J$94&gt;J16)*(H$3:H$94="L5")))+1,""))))</f>
        <v/>
      </c>
      <c r="C16" s="35" t="s">
        <v>267</v>
      </c>
      <c r="D16" t="str">
        <f>IF(E16="","",VLOOKUP(E16,'Coaching Points'!A:B,2,0))</f>
        <v>AB</v>
      </c>
      <c r="E16" s="35" t="s">
        <v>39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R16+S16+IF(OR(H16="Junior",H16="Senior"),0.0002,IF(OR(H16="L7",H16="L6"),0.0001,0))+MAX(Z16,AC16)*0.0000001</f>
        <v>89.200104420000002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45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44.2</v>
      </c>
      <c r="T16" s="32">
        <v>38</v>
      </c>
      <c r="U16" s="37">
        <v>5.5</v>
      </c>
      <c r="V16" s="37">
        <v>0</v>
      </c>
      <c r="W16" s="33">
        <v>45</v>
      </c>
      <c r="X16" s="37">
        <v>8.3000000000000007</v>
      </c>
      <c r="Y16" s="37">
        <v>0</v>
      </c>
      <c r="Z16" s="32">
        <v>44.1</v>
      </c>
      <c r="AA16" s="37">
        <v>7.9</v>
      </c>
      <c r="AB16" s="37">
        <v>0</v>
      </c>
      <c r="AC16" s="33">
        <v>44.2</v>
      </c>
      <c r="AD16" s="37">
        <v>7.9</v>
      </c>
      <c r="AE16" s="37">
        <v>0</v>
      </c>
    </row>
    <row r="17" spans="1:31" x14ac:dyDescent="0.2">
      <c r="A17" s="1" t="str" cm="1">
        <f t="array" ref="A17">IF(I17="","",IF(P17&lt;&gt;"",SUMPRODUCT((P$3:P$94&lt;&gt;"")*(G$3:G$94=G17)*(J$3:J$94&gt;J17)*(I$3:I$94="P"))+1,IF(O17&lt;&gt;"",SUMPRODUCT((O$3:O$94&lt;&gt;"")*(P$3:P$94="")*(G$3:G$94=G17)*(J$3:J$94&gt;J17)*(I$3:I$94="P"))+SUMPRODUCT((P$3:P$94&lt;&gt;"")*(G$3:G$94=G17)*(I$3:I$94="P"))+1,IF(N17&lt;&gt;"",SUMPRODUCT((N$3:N$94&lt;&gt;"")*(G$3:G$94=G17)*(J$3:J$94&gt;J17)*(I$3:I$94="P"))+1,IF(M17="P",SUMPRODUCT((O$3:O$94&lt;&gt;"")*(P$3:P$94="")*(G$3:G$94=G17)*(I$3:I$94="P"))+SUMPRODUCT((P$3:P$94&lt;&gt;"")*(G$3:G$94=G17)*(I$3:I$94="P"))+SUMPRODUCT((N$3:N$94&lt;&gt;"")*(G$3:G$94=G17)*(I$3:I$94="P"))+SUMPRODUCT((P$3:P$94="")*(O$3:O$94="")*(N$3:N$94="")*(M$3:M$94="P")*(G$3:G$94=G17)*(J$3:J$94&gt;J17)*(I$3:I$94="P"))+IF(H17="L5",SUMPRODUCT((P$3:P$94="")*(O$3:O$94="")*(N$3:N$94="")*(M$3:M$94="P")*(G$3:G$94=G17)*(J$3:J$94&lt;J17)*(H$3:H$94&lt;&gt;H17)*(I$3:I$94="P")),-1*SUMPRODUCT((P$3:P$94="")*(O$3:O$94="")*(N$3:N$94="")*(M$3:M$94="P")*(G$3:G$94=G17)*(J$3:J$94&gt;J17)*(H$3:H$94="L5")*(I$3:I$94="P")))+1,"")))))</f>
        <v/>
      </c>
      <c r="B17" s="1" t="str" cm="1">
        <f t="array" ref="B17">IF(P17&lt;&gt;"",SUMPRODUCT((P$3:P$94&lt;&gt;"")*(G$3:G$94=G17)*(J$3:J$94&gt;J17))+1,IF(O17&lt;&gt;"",SUMPRODUCT((O$3:O$94&lt;&gt;"")*(P$3:P$94="")*(G$3:G$94=G17)*(J$3:J$94&gt;J17))+SUMPRODUCT((P$3:P$94&lt;&gt;"")*(G$3:G$94=G17))+1,IF(N17&lt;&gt;"",SUMPRODUCT((N$3:N$94&lt;&gt;"")*(G$3:G$94=G17)*(J$3:J$94&gt;J17))+1,IF(M17="P",SUMPRODUCT((O$3:O$94&lt;&gt;"")*(P$3:P$94="")*(G$3:G$94=G17))+SUMPRODUCT((P$3:P$94&lt;&gt;"")*(G$3:G$94=G17))+SUMPRODUCT((N$3:N$94&lt;&gt;"")*(G$3:G$94=G17))+SUMPRODUCT((P$3:P$94="")*(O$3:O$94="")*(N$3:N$94="")*(M$3:M$94="P")*(G$3:G$94=G17)*(J$3:J$94&gt;J17))+IF(H17="L5",SUMPRODUCT((P$3:P$94="")*(O$3:O$94="")*(N$3:N$94="")*(M$3:M$94="P")*(G$3:G$94=G17)*(J$3:J$94&lt;J17)*(H$3:H$94&lt;&gt;H17)),-1*SUMPRODUCT((P$3:P$94="")*(O$3:O$94="")*(N$3:N$94="")*(M$3:M$94="P")*(G$3:G$94=G17)*(J$3:J$94&gt;J17)*(H$3:H$94="L5")))+1,""))))</f>
        <v/>
      </c>
      <c r="C17" s="35" t="s">
        <v>364</v>
      </c>
      <c r="D17" t="str">
        <f>IF(E17="","",VLOOKUP(E17,'Coaching Points'!A:B,2,0))</f>
        <v>BC</v>
      </c>
      <c r="E17" s="35" t="s">
        <v>44</v>
      </c>
      <c r="F17" s="34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>R17+S17+IF(OR(H17="Junior",H17="Senior"),0.0002,IF(OR(H17="L7",H17="L6"),0.0001,0))+MAX(Z17,AC17)*0.0000001</f>
        <v>88.800104439999998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44.4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44.4</v>
      </c>
      <c r="T17" s="32">
        <v>39.700000000000003</v>
      </c>
      <c r="U17" s="37">
        <v>5.9</v>
      </c>
      <c r="V17" s="37">
        <v>0</v>
      </c>
      <c r="W17" s="33"/>
      <c r="X17" s="37"/>
      <c r="Y17" s="37"/>
      <c r="Z17" s="32">
        <v>44.4</v>
      </c>
      <c r="AA17" s="37">
        <v>8.6999999999999993</v>
      </c>
      <c r="AB17" s="37">
        <v>0</v>
      </c>
      <c r="AC17" s="33">
        <v>44.4</v>
      </c>
      <c r="AD17" s="37">
        <v>8.6999999999999993</v>
      </c>
      <c r="AE17" s="37">
        <v>0</v>
      </c>
    </row>
    <row r="18" spans="1:31" x14ac:dyDescent="0.2">
      <c r="A18" s="1" t="str" cm="1">
        <f t="array" ref="A18">IF(I18="","",IF(P18&lt;&gt;"",SUMPRODUCT((P$3:P$94&lt;&gt;"")*(G$3:G$94=G18)*(J$3:J$94&gt;J18)*(I$3:I$94="P"))+1,IF(O18&lt;&gt;"",SUMPRODUCT((O$3:O$94&lt;&gt;"")*(P$3:P$94="")*(G$3:G$94=G18)*(J$3:J$94&gt;J18)*(I$3:I$94="P"))+SUMPRODUCT((P$3:P$94&lt;&gt;"")*(G$3:G$94=G18)*(I$3:I$94="P"))+1,IF(N18&lt;&gt;"",SUMPRODUCT((N$3:N$94&lt;&gt;"")*(G$3:G$94=G18)*(J$3:J$94&gt;J18)*(I$3:I$94="P"))+1,IF(M18="P",SUMPRODUCT((O$3:O$94&lt;&gt;"")*(P$3:P$94="")*(G$3:G$94=G18)*(I$3:I$94="P"))+SUMPRODUCT((P$3:P$94&lt;&gt;"")*(G$3:G$94=G18)*(I$3:I$94="P"))+SUMPRODUCT((N$3:N$94&lt;&gt;"")*(G$3:G$94=G18)*(I$3:I$94="P"))+SUMPRODUCT((P$3:P$94="")*(O$3:O$94="")*(N$3:N$94="")*(M$3:M$94="P")*(G$3:G$94=G18)*(J$3:J$94&gt;J18)*(I$3:I$94="P"))+IF(H18="L5",SUMPRODUCT((P$3:P$94="")*(O$3:O$94="")*(N$3:N$94="")*(M$3:M$94="P")*(G$3:G$94=G18)*(J$3:J$94&lt;J18)*(H$3:H$94&lt;&gt;H18)*(I$3:I$94="P")),-1*SUMPRODUCT((P$3:P$94="")*(O$3:O$94="")*(N$3:N$94="")*(M$3:M$94="P")*(G$3:G$94=G18)*(J$3:J$94&gt;J18)*(H$3:H$94="L5")*(I$3:I$94="P")))+1,"")))))</f>
        <v/>
      </c>
      <c r="B18" s="1" t="str" cm="1">
        <f t="array" ref="B18">IF(P18&lt;&gt;"",SUMPRODUCT((P$3:P$94&lt;&gt;"")*(G$3:G$94=G18)*(J$3:J$94&gt;J18))+1,IF(O18&lt;&gt;"",SUMPRODUCT((O$3:O$94&lt;&gt;"")*(P$3:P$94="")*(G$3:G$94=G18)*(J$3:J$94&gt;J18))+SUMPRODUCT((P$3:P$94&lt;&gt;"")*(G$3:G$94=G18))+1,IF(N18&lt;&gt;"",SUMPRODUCT((N$3:N$94&lt;&gt;"")*(G$3:G$94=G18)*(J$3:J$94&gt;J18))+1,IF(M18="P",SUMPRODUCT((O$3:O$94&lt;&gt;"")*(P$3:P$94="")*(G$3:G$94=G18))+SUMPRODUCT((P$3:P$94&lt;&gt;"")*(G$3:G$94=G18))+SUMPRODUCT((N$3:N$94&lt;&gt;"")*(G$3:G$94=G18))+SUMPRODUCT((P$3:P$94="")*(O$3:O$94="")*(N$3:N$94="")*(M$3:M$94="P")*(G$3:G$94=G18)*(J$3:J$94&gt;J18))+IF(H18="L5",SUMPRODUCT((P$3:P$94="")*(O$3:O$94="")*(N$3:N$94="")*(M$3:M$94="P")*(G$3:G$94=G18)*(J$3:J$94&lt;J18)*(H$3:H$94&lt;&gt;H18)),-1*SUMPRODUCT((P$3:P$94="")*(O$3:O$94="")*(N$3:N$94="")*(M$3:M$94="P")*(G$3:G$94=G18)*(J$3:J$94&gt;J18)*(H$3:H$94="L5")))+1,""))))</f>
        <v/>
      </c>
      <c r="C18" s="35" t="s">
        <v>323</v>
      </c>
      <c r="D18" t="str">
        <f>IF(E18="","",VLOOKUP(E18,'Coaching Points'!A:B,2,0))</f>
        <v>AB</v>
      </c>
      <c r="E18" s="35" t="s">
        <v>61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>R18+S18+IF(OR(H18="Junior",H18="Senior"),0.0002,IF(OR(H18="L7",H18="L6"),0.0001,0))+MAX(Z18,AC18)*0.0000001</f>
        <v>88.60010389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44.4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44.2</v>
      </c>
      <c r="T18" s="32">
        <v>44.2</v>
      </c>
      <c r="U18" s="37">
        <v>7</v>
      </c>
      <c r="V18" s="37">
        <v>0</v>
      </c>
      <c r="W18" s="33">
        <v>44.4</v>
      </c>
      <c r="X18" s="37">
        <v>7</v>
      </c>
      <c r="Y18" s="37">
        <v>0</v>
      </c>
      <c r="Z18" s="32">
        <v>38.9</v>
      </c>
      <c r="AA18" s="37">
        <v>4.2</v>
      </c>
      <c r="AB18" s="37">
        <v>0</v>
      </c>
      <c r="AC18" s="33"/>
      <c r="AD18" s="37"/>
      <c r="AE18" s="37"/>
    </row>
    <row r="19" spans="1:31" x14ac:dyDescent="0.2">
      <c r="A19" s="1" t="str" cm="1">
        <f t="array" ref="A19">IF(I19="","",IF(P19&lt;&gt;"",SUMPRODUCT((P$3:P$94&lt;&gt;"")*(G$3:G$94=G19)*(J$3:J$94&gt;J19)*(I$3:I$94="P"))+1,IF(O19&lt;&gt;"",SUMPRODUCT((O$3:O$94&lt;&gt;"")*(P$3:P$94="")*(G$3:G$94=G19)*(J$3:J$94&gt;J19)*(I$3:I$94="P"))+SUMPRODUCT((P$3:P$94&lt;&gt;"")*(G$3:G$94=G19)*(I$3:I$94="P"))+1,IF(N19&lt;&gt;"",SUMPRODUCT((N$3:N$94&lt;&gt;"")*(G$3:G$94=G19)*(J$3:J$94&gt;J19)*(I$3:I$94="P"))+1,IF(M19="P",SUMPRODUCT((O$3:O$94&lt;&gt;"")*(P$3:P$94="")*(G$3:G$94=G19)*(I$3:I$94="P"))+SUMPRODUCT((P$3:P$94&lt;&gt;"")*(G$3:G$94=G19)*(I$3:I$94="P"))+SUMPRODUCT((N$3:N$94&lt;&gt;"")*(G$3:G$94=G19)*(I$3:I$94="P"))+SUMPRODUCT((P$3:P$94="")*(O$3:O$94="")*(N$3:N$94="")*(M$3:M$94="P")*(G$3:G$94=G19)*(J$3:J$94&gt;J19)*(I$3:I$94="P"))+IF(H19="L5",SUMPRODUCT((P$3:P$94="")*(O$3:O$94="")*(N$3:N$94="")*(M$3:M$94="P")*(G$3:G$94=G19)*(J$3:J$94&lt;J19)*(H$3:H$94&lt;&gt;H19)*(I$3:I$94="P")),-1*SUMPRODUCT((P$3:P$94="")*(O$3:O$94="")*(N$3:N$94="")*(M$3:M$94="P")*(G$3:G$94=G19)*(J$3:J$94&gt;J19)*(H$3:H$94="L5")*(I$3:I$94="P")))+1,"")))))</f>
        <v/>
      </c>
      <c r="B19" s="1" t="str" cm="1">
        <f t="array" ref="B19">IF(P19&lt;&gt;"",SUMPRODUCT((P$3:P$94&lt;&gt;"")*(G$3:G$94=G19)*(J$3:J$94&gt;J19))+1,IF(O19&lt;&gt;"",SUMPRODUCT((O$3:O$94&lt;&gt;"")*(P$3:P$94="")*(G$3:G$94=G19)*(J$3:J$94&gt;J19))+SUMPRODUCT((P$3:P$94&lt;&gt;"")*(G$3:G$94=G19))+1,IF(N19&lt;&gt;"",SUMPRODUCT((N$3:N$94&lt;&gt;"")*(G$3:G$94=G19)*(J$3:J$94&gt;J19))+1,IF(M19="P",SUMPRODUCT((O$3:O$94&lt;&gt;"")*(P$3:P$94="")*(G$3:G$94=G19))+SUMPRODUCT((P$3:P$94&lt;&gt;"")*(G$3:G$94=G19))+SUMPRODUCT((N$3:N$94&lt;&gt;"")*(G$3:G$94=G19))+SUMPRODUCT((P$3:P$94="")*(O$3:O$94="")*(N$3:N$94="")*(M$3:M$94="P")*(G$3:G$94=G19)*(J$3:J$94&gt;J19))+IF(H19="L5",SUMPRODUCT((P$3:P$94="")*(O$3:O$94="")*(N$3:N$94="")*(M$3:M$94="P")*(G$3:G$94=G19)*(J$3:J$94&lt;J19)*(H$3:H$94&lt;&gt;H19)),-1*SUMPRODUCT((P$3:P$94="")*(O$3:O$94="")*(N$3:N$94="")*(M$3:M$94="P")*(G$3:G$94=G19)*(J$3:J$94&gt;J19)*(H$3:H$94="L5")))+1,""))))</f>
        <v/>
      </c>
      <c r="C19" s="35" t="s">
        <v>325</v>
      </c>
      <c r="D19" t="str">
        <f>IF(E19="","",VLOOKUP(E19,'Coaching Points'!A:B,2,0))</f>
        <v>MB</v>
      </c>
      <c r="E19" s="35" t="s">
        <v>63</v>
      </c>
      <c r="F19" s="34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88.200104329999988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44.9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43.3</v>
      </c>
      <c r="T19" s="32">
        <v>44.9</v>
      </c>
      <c r="U19" s="37">
        <v>7.9</v>
      </c>
      <c r="V19" s="37">
        <v>0</v>
      </c>
      <c r="W19" s="33">
        <v>38.5</v>
      </c>
      <c r="X19" s="37">
        <v>5.1000000000000005</v>
      </c>
      <c r="Y19" s="37">
        <v>0</v>
      </c>
      <c r="Z19" s="32">
        <v>43.3</v>
      </c>
      <c r="AA19" s="37">
        <v>7.5</v>
      </c>
      <c r="AB19" s="37">
        <v>0</v>
      </c>
      <c r="AC19" s="33"/>
      <c r="AD19" s="37"/>
      <c r="AE19" s="37"/>
    </row>
    <row r="20" spans="1:31" x14ac:dyDescent="0.2">
      <c r="A20" s="1" t="str" cm="1">
        <f t="array" ref="A20">IF(I20="","",IF(P20&lt;&gt;"",SUMPRODUCT((P$3:P$94&lt;&gt;"")*(G$3:G$94=G20)*(J$3:J$94&gt;J20)*(I$3:I$94="P"))+1,IF(O20&lt;&gt;"",SUMPRODUCT((O$3:O$94&lt;&gt;"")*(P$3:P$94="")*(G$3:G$94=G20)*(J$3:J$94&gt;J20)*(I$3:I$94="P"))+SUMPRODUCT((P$3:P$94&lt;&gt;"")*(G$3:G$94=G20)*(I$3:I$94="P"))+1,IF(N20&lt;&gt;"",SUMPRODUCT((N$3:N$94&lt;&gt;"")*(G$3:G$94=G20)*(J$3:J$94&gt;J20)*(I$3:I$94="P"))+1,IF(M20="P",SUMPRODUCT((O$3:O$94&lt;&gt;"")*(P$3:P$94="")*(G$3:G$94=G20)*(I$3:I$94="P"))+SUMPRODUCT((P$3:P$94&lt;&gt;"")*(G$3:G$94=G20)*(I$3:I$94="P"))+SUMPRODUCT((N$3:N$94&lt;&gt;"")*(G$3:G$94=G20)*(I$3:I$94="P"))+SUMPRODUCT((P$3:P$94="")*(O$3:O$94="")*(N$3:N$94="")*(M$3:M$94="P")*(G$3:G$94=G20)*(J$3:J$94&gt;J20)*(I$3:I$94="P"))+IF(H20="L5",SUMPRODUCT((P$3:P$94="")*(O$3:O$94="")*(N$3:N$94="")*(M$3:M$94="P")*(G$3:G$94=G20)*(J$3:J$94&lt;J20)*(H$3:H$94&lt;&gt;H20)*(I$3:I$94="P")),-1*SUMPRODUCT((P$3:P$94="")*(O$3:O$94="")*(N$3:N$94="")*(M$3:M$94="P")*(G$3:G$94=G20)*(J$3:J$94&gt;J20)*(H$3:H$94="L5")*(I$3:I$94="P")))+1,"")))))</f>
        <v/>
      </c>
      <c r="B20" s="1" t="str" cm="1">
        <f t="array" ref="B20">IF(P20&lt;&gt;"",SUMPRODUCT((P$3:P$94&lt;&gt;"")*(G$3:G$94=G20)*(J$3:J$94&gt;J20))+1,IF(O20&lt;&gt;"",SUMPRODUCT((O$3:O$94&lt;&gt;"")*(P$3:P$94="")*(G$3:G$94=G20)*(J$3:J$94&gt;J20))+SUMPRODUCT((P$3:P$94&lt;&gt;"")*(G$3:G$94=G20))+1,IF(N20&lt;&gt;"",SUMPRODUCT((N$3:N$94&lt;&gt;"")*(G$3:G$94=G20)*(J$3:J$94&gt;J20))+1,IF(M20="P",SUMPRODUCT((O$3:O$94&lt;&gt;"")*(P$3:P$94="")*(G$3:G$94=G20))+SUMPRODUCT((P$3:P$94&lt;&gt;"")*(G$3:G$94=G20))+SUMPRODUCT((N$3:N$94&lt;&gt;"")*(G$3:G$94=G20))+SUMPRODUCT((P$3:P$94="")*(O$3:O$94="")*(N$3:N$94="")*(M$3:M$94="P")*(G$3:G$94=G20)*(J$3:J$94&gt;J20))+IF(H20="L5",SUMPRODUCT((P$3:P$94="")*(O$3:O$94="")*(N$3:N$94="")*(M$3:M$94="P")*(G$3:G$94=G20)*(J$3:J$94&lt;J20)*(H$3:H$94&lt;&gt;H20)),-1*SUMPRODUCT((P$3:P$94="")*(O$3:O$94="")*(N$3:N$94="")*(M$3:M$94="P")*(G$3:G$94=G20)*(J$3:J$94&gt;J20)*(H$3:H$94="L5")))+1,""))))</f>
        <v/>
      </c>
      <c r="C20" s="35" t="s">
        <v>284</v>
      </c>
      <c r="D20" t="str">
        <f>IF(E20="","",VLOOKUP(E20,'Coaching Points'!A:B,2,0))</f>
        <v>BC</v>
      </c>
      <c r="E20" s="35" t="s">
        <v>122</v>
      </c>
      <c r="F20" s="34">
        <v>2007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R20+S20+IF(OR(H20="Junior",H20="Senior"),0.0002,IF(OR(H20="L7",H20="L6"),0.0001,0))+MAX(Z20,AC20)*0.0000001</f>
        <v>88.10000445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44.5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43.6</v>
      </c>
      <c r="T20" s="32">
        <v>43.2</v>
      </c>
      <c r="U20" s="37">
        <v>6</v>
      </c>
      <c r="V20" s="37">
        <v>0</v>
      </c>
      <c r="W20" s="33">
        <v>43.6</v>
      </c>
      <c r="X20" s="37">
        <v>6.8</v>
      </c>
      <c r="Y20" s="37">
        <v>0</v>
      </c>
      <c r="Z20" s="32">
        <v>44.5</v>
      </c>
      <c r="AA20" s="37">
        <v>7.9</v>
      </c>
      <c r="AB20" s="37">
        <v>0</v>
      </c>
      <c r="AC20" s="33">
        <v>40.4</v>
      </c>
      <c r="AD20" s="37">
        <v>5.9</v>
      </c>
      <c r="AE20" s="37">
        <v>0</v>
      </c>
    </row>
    <row r="21" spans="1:31" x14ac:dyDescent="0.2">
      <c r="A21" s="1" t="str" cm="1">
        <f t="array" ref="A21">IF(I21="","",IF(P21&lt;&gt;"",SUMPRODUCT((P$3:P$94&lt;&gt;"")*(G$3:G$94=G21)*(J$3:J$94&gt;J21)*(I$3:I$94="P"))+1,IF(O21&lt;&gt;"",SUMPRODUCT((O$3:O$94&lt;&gt;"")*(P$3:P$94="")*(G$3:G$94=G21)*(J$3:J$94&gt;J21)*(I$3:I$94="P"))+SUMPRODUCT((P$3:P$94&lt;&gt;"")*(G$3:G$94=G21)*(I$3:I$94="P"))+1,IF(N21&lt;&gt;"",SUMPRODUCT((N$3:N$94&lt;&gt;"")*(G$3:G$94=G21)*(J$3:J$94&gt;J21)*(I$3:I$94="P"))+1,IF(M21="P",SUMPRODUCT((O$3:O$94&lt;&gt;"")*(P$3:P$94="")*(G$3:G$94=G21)*(I$3:I$94="P"))+SUMPRODUCT((P$3:P$94&lt;&gt;"")*(G$3:G$94=G21)*(I$3:I$94="P"))+SUMPRODUCT((N$3:N$94&lt;&gt;"")*(G$3:G$94=G21)*(I$3:I$94="P"))+SUMPRODUCT((P$3:P$94="")*(O$3:O$94="")*(N$3:N$94="")*(M$3:M$94="P")*(G$3:G$94=G21)*(J$3:J$94&gt;J21)*(I$3:I$94="P"))+IF(H21="L5",SUMPRODUCT((P$3:P$94="")*(O$3:O$94="")*(N$3:N$94="")*(M$3:M$94="P")*(G$3:G$94=G21)*(J$3:J$94&lt;J21)*(H$3:H$94&lt;&gt;H21)*(I$3:I$94="P")),-1*SUMPRODUCT((P$3:P$94="")*(O$3:O$94="")*(N$3:N$94="")*(M$3:M$94="P")*(G$3:G$94=G21)*(J$3:J$94&gt;J21)*(H$3:H$94="L5")*(I$3:I$94="P")))+1,"")))))</f>
        <v/>
      </c>
      <c r="B21" s="1" t="str" cm="1">
        <f t="array" ref="B21">IF(P21&lt;&gt;"",SUMPRODUCT((P$3:P$94&lt;&gt;"")*(G$3:G$94=G21)*(J$3:J$94&gt;J21))+1,IF(O21&lt;&gt;"",SUMPRODUCT((O$3:O$94&lt;&gt;"")*(P$3:P$94="")*(G$3:G$94=G21)*(J$3:J$94&gt;J21))+SUMPRODUCT((P$3:P$94&lt;&gt;"")*(G$3:G$94=G21))+1,IF(N21&lt;&gt;"",SUMPRODUCT((N$3:N$94&lt;&gt;"")*(G$3:G$94=G21)*(J$3:J$94&gt;J21))+1,IF(M21="P",SUMPRODUCT((O$3:O$94&lt;&gt;"")*(P$3:P$94="")*(G$3:G$94=G21))+SUMPRODUCT((P$3:P$94&lt;&gt;"")*(G$3:G$94=G21))+SUMPRODUCT((N$3:N$94&lt;&gt;"")*(G$3:G$94=G21))+SUMPRODUCT((P$3:P$94="")*(O$3:O$94="")*(N$3:N$94="")*(M$3:M$94="P")*(G$3:G$94=G21)*(J$3:J$94&gt;J21))+IF(H21="L5",SUMPRODUCT((P$3:P$94="")*(O$3:O$94="")*(N$3:N$94="")*(M$3:M$94="P")*(G$3:G$94=G21)*(J$3:J$94&lt;J21)*(H$3:H$94&lt;&gt;H21)),-1*SUMPRODUCT((P$3:P$94="")*(O$3:O$94="")*(N$3:N$94="")*(M$3:M$94="P")*(G$3:G$94=G21)*(J$3:J$94&gt;J21)*(H$3:H$94="L5")))+1,""))))</f>
        <v/>
      </c>
      <c r="C21" s="35" t="s">
        <v>227</v>
      </c>
      <c r="D21" t="str">
        <f>IF(E21="","",VLOOKUP(E21,'Coaching Points'!A:B,2,0))</f>
        <v>QC</v>
      </c>
      <c r="E21" s="35" t="s">
        <v>75</v>
      </c>
      <c r="F21" s="34">
        <v>2007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88.000104399999998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44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44</v>
      </c>
      <c r="T21" s="32">
        <v>43.6</v>
      </c>
      <c r="U21" s="37">
        <v>7.1</v>
      </c>
      <c r="V21" s="37">
        <v>0</v>
      </c>
      <c r="W21" s="33">
        <v>44</v>
      </c>
      <c r="X21" s="37">
        <v>7.1</v>
      </c>
      <c r="Y21" s="37">
        <v>0</v>
      </c>
      <c r="Z21" s="32">
        <v>44</v>
      </c>
      <c r="AA21" s="37">
        <v>7</v>
      </c>
      <c r="AB21" s="37">
        <v>0</v>
      </c>
      <c r="AC21" s="33">
        <v>36.700000000000003</v>
      </c>
      <c r="AD21" s="37">
        <v>3.4000000000000004</v>
      </c>
      <c r="AE21" s="37">
        <v>0</v>
      </c>
    </row>
    <row r="22" spans="1:31" x14ac:dyDescent="0.2">
      <c r="A22" s="1" t="str" cm="1">
        <f t="array" ref="A22">IF(I22="","",IF(P22&lt;&gt;"",SUMPRODUCT((P$3:P$94&lt;&gt;"")*(G$3:G$94=G22)*(J$3:J$94&gt;J22)*(I$3:I$94="P"))+1,IF(O22&lt;&gt;"",SUMPRODUCT((O$3:O$94&lt;&gt;"")*(P$3:P$94="")*(G$3:G$94=G22)*(J$3:J$94&gt;J22)*(I$3:I$94="P"))+SUMPRODUCT((P$3:P$94&lt;&gt;"")*(G$3:G$94=G22)*(I$3:I$94="P"))+1,IF(N22&lt;&gt;"",SUMPRODUCT((N$3:N$94&lt;&gt;"")*(G$3:G$94=G22)*(J$3:J$94&gt;J22)*(I$3:I$94="P"))+1,IF(M22="P",SUMPRODUCT((O$3:O$94&lt;&gt;"")*(P$3:P$94="")*(G$3:G$94=G22)*(I$3:I$94="P"))+SUMPRODUCT((P$3:P$94&lt;&gt;"")*(G$3:G$94=G22)*(I$3:I$94="P"))+SUMPRODUCT((N$3:N$94&lt;&gt;"")*(G$3:G$94=G22)*(I$3:I$94="P"))+SUMPRODUCT((P$3:P$94="")*(O$3:O$94="")*(N$3:N$94="")*(M$3:M$94="P")*(G$3:G$94=G22)*(J$3:J$94&gt;J22)*(I$3:I$94="P"))+IF(H22="L5",SUMPRODUCT((P$3:P$94="")*(O$3:O$94="")*(N$3:N$94="")*(M$3:M$94="P")*(G$3:G$94=G22)*(J$3:J$94&lt;J22)*(H$3:H$94&lt;&gt;H22)*(I$3:I$94="P")),-1*SUMPRODUCT((P$3:P$94="")*(O$3:O$94="")*(N$3:N$94="")*(M$3:M$94="P")*(G$3:G$94=G22)*(J$3:J$94&gt;J22)*(H$3:H$94="L5")*(I$3:I$94="P")))+1,"")))))</f>
        <v/>
      </c>
      <c r="B22" s="1" t="str" cm="1">
        <f t="array" ref="B22">IF(P22&lt;&gt;"",SUMPRODUCT((P$3:P$94&lt;&gt;"")*(G$3:G$94=G22)*(J$3:J$94&gt;J22))+1,IF(O22&lt;&gt;"",SUMPRODUCT((O$3:O$94&lt;&gt;"")*(P$3:P$94="")*(G$3:G$94=G22)*(J$3:J$94&gt;J22))+SUMPRODUCT((P$3:P$94&lt;&gt;"")*(G$3:G$94=G22))+1,IF(N22&lt;&gt;"",SUMPRODUCT((N$3:N$94&lt;&gt;"")*(G$3:G$94=G22)*(J$3:J$94&gt;J22))+1,IF(M22="P",SUMPRODUCT((O$3:O$94&lt;&gt;"")*(P$3:P$94="")*(G$3:G$94=G22))+SUMPRODUCT((P$3:P$94&lt;&gt;"")*(G$3:G$94=G22))+SUMPRODUCT((N$3:N$94&lt;&gt;"")*(G$3:G$94=G22))+SUMPRODUCT((P$3:P$94="")*(O$3:O$94="")*(N$3:N$94="")*(M$3:M$94="P")*(G$3:G$94=G22)*(J$3:J$94&gt;J22))+IF(H22="L5",SUMPRODUCT((P$3:P$94="")*(O$3:O$94="")*(N$3:N$94="")*(M$3:M$94="P")*(G$3:G$94=G22)*(J$3:J$94&lt;J22)*(H$3:H$94&lt;&gt;H22)),-1*SUMPRODUCT((P$3:P$94="")*(O$3:O$94="")*(N$3:N$94="")*(M$3:M$94="P")*(G$3:G$94=G22)*(J$3:J$94&gt;J22)*(H$3:H$94="L5")))+1,""))))</f>
        <v/>
      </c>
      <c r="C22" s="35" t="s">
        <v>270</v>
      </c>
      <c r="D22" t="str">
        <f>IF(E22="","",VLOOKUP(E22,'Coaching Points'!A:B,2,0))</f>
        <v>AB</v>
      </c>
      <c r="E22" s="35" t="s">
        <v>28</v>
      </c>
      <c r="F22" s="34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R22+S22+IF(OR(H22="Junior",H22="Senior"),0.0002,IF(OR(H22="L7",H22="L6"),0.0001,0))+MAX(Z22,AC22)*0.0000001</f>
        <v>87.330004430000002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44.3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43.03</v>
      </c>
      <c r="T22" s="32">
        <v>43.03</v>
      </c>
      <c r="U22" s="37">
        <v>7.1</v>
      </c>
      <c r="V22" s="37">
        <v>0</v>
      </c>
      <c r="W22" s="33">
        <v>41.5</v>
      </c>
      <c r="X22" s="37">
        <v>4.9000000000000004</v>
      </c>
      <c r="Y22" s="37">
        <v>0</v>
      </c>
      <c r="Z22" s="32">
        <v>44.3</v>
      </c>
      <c r="AA22" s="37">
        <v>7.1</v>
      </c>
      <c r="AB22" s="37">
        <v>0</v>
      </c>
      <c r="AC22" s="33">
        <v>42.2</v>
      </c>
      <c r="AD22" s="37">
        <v>4.9000000000000004</v>
      </c>
      <c r="AE22" s="37">
        <v>0</v>
      </c>
    </row>
    <row r="23" spans="1:31" x14ac:dyDescent="0.2">
      <c r="A23" s="1" t="str" cm="1">
        <f t="array" ref="A23">IF(I23="","",IF(P23&lt;&gt;"",SUMPRODUCT((P$3:P$94&lt;&gt;"")*(G$3:G$94=G23)*(J$3:J$94&gt;J23)*(I$3:I$94="P"))+1,IF(O23&lt;&gt;"",SUMPRODUCT((O$3:O$94&lt;&gt;"")*(P$3:P$94="")*(G$3:G$94=G23)*(J$3:J$94&gt;J23)*(I$3:I$94="P"))+SUMPRODUCT((P$3:P$94&lt;&gt;"")*(G$3:G$94=G23)*(I$3:I$94="P"))+1,IF(N23&lt;&gt;"",SUMPRODUCT((N$3:N$94&lt;&gt;"")*(G$3:G$94=G23)*(J$3:J$94&gt;J23)*(I$3:I$94="P"))+1,IF(M23="P",SUMPRODUCT((O$3:O$94&lt;&gt;"")*(P$3:P$94="")*(G$3:G$94=G23)*(I$3:I$94="P"))+SUMPRODUCT((P$3:P$94&lt;&gt;"")*(G$3:G$94=G23)*(I$3:I$94="P"))+SUMPRODUCT((N$3:N$94&lt;&gt;"")*(G$3:G$94=G23)*(I$3:I$94="P"))+SUMPRODUCT((P$3:P$94="")*(O$3:O$94="")*(N$3:N$94="")*(M$3:M$94="P")*(G$3:G$94=G23)*(J$3:J$94&gt;J23)*(I$3:I$94="P"))+IF(H23="L5",SUMPRODUCT((P$3:P$94="")*(O$3:O$94="")*(N$3:N$94="")*(M$3:M$94="P")*(G$3:G$94=G23)*(J$3:J$94&lt;J23)*(H$3:H$94&lt;&gt;H23)*(I$3:I$94="P")),-1*SUMPRODUCT((P$3:P$94="")*(O$3:O$94="")*(N$3:N$94="")*(M$3:M$94="P")*(G$3:G$94=G23)*(J$3:J$94&gt;J23)*(H$3:H$94="L5")*(I$3:I$94="P")))+1,"")))))</f>
        <v/>
      </c>
      <c r="B23" s="1" t="str" cm="1">
        <f t="array" ref="B23">IF(P23&lt;&gt;"",SUMPRODUCT((P$3:P$94&lt;&gt;"")*(G$3:G$94=G23)*(J$3:J$94&gt;J23))+1,IF(O23&lt;&gt;"",SUMPRODUCT((O$3:O$94&lt;&gt;"")*(P$3:P$94="")*(G$3:G$94=G23)*(J$3:J$94&gt;J23))+SUMPRODUCT((P$3:P$94&lt;&gt;"")*(G$3:G$94=G23))+1,IF(N23&lt;&gt;"",SUMPRODUCT((N$3:N$94&lt;&gt;"")*(G$3:G$94=G23)*(J$3:J$94&gt;J23))+1,IF(M23="P",SUMPRODUCT((O$3:O$94&lt;&gt;"")*(P$3:P$94="")*(G$3:G$94=G23))+SUMPRODUCT((P$3:P$94&lt;&gt;"")*(G$3:G$94=G23))+SUMPRODUCT((N$3:N$94&lt;&gt;"")*(G$3:G$94=G23))+SUMPRODUCT((P$3:P$94="")*(O$3:O$94="")*(N$3:N$94="")*(M$3:M$94="P")*(G$3:G$94=G23)*(J$3:J$94&gt;J23))+IF(H23="L5",SUMPRODUCT((P$3:P$94="")*(O$3:O$94="")*(N$3:N$94="")*(M$3:M$94="P")*(G$3:G$94=G23)*(J$3:J$94&lt;J23)*(H$3:H$94&lt;&gt;H23)),-1*SUMPRODUCT((P$3:P$94="")*(O$3:O$94="")*(N$3:N$94="")*(M$3:M$94="P")*(G$3:G$94=G23)*(J$3:J$94&gt;J23)*(H$3:H$94="L5")))+1,""))))</f>
        <v/>
      </c>
      <c r="C23" s="35" t="s">
        <v>318</v>
      </c>
      <c r="D23" t="str">
        <f>IF(E23="","",VLOOKUP(E23,'Coaching Points'!A:B,2,0))</f>
        <v>AB</v>
      </c>
      <c r="E23" s="35" t="s">
        <v>28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87.200004270000008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44.5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42.7</v>
      </c>
      <c r="T23" s="32">
        <v>44.5</v>
      </c>
      <c r="U23" s="37">
        <v>7.1</v>
      </c>
      <c r="V23" s="37">
        <v>0</v>
      </c>
      <c r="W23" s="33">
        <v>42</v>
      </c>
      <c r="X23" s="37">
        <v>6.5</v>
      </c>
      <c r="Y23" s="37">
        <v>0</v>
      </c>
      <c r="Z23" s="32">
        <v>42.7</v>
      </c>
      <c r="AA23" s="37">
        <v>7.1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$94&lt;&gt;"")*(G$3:G$94=G24)*(J$3:J$94&gt;J24)*(I$3:I$94="P"))+1,IF(O24&lt;&gt;"",SUMPRODUCT((O$3:O$94&lt;&gt;"")*(P$3:P$94="")*(G$3:G$94=G24)*(J$3:J$94&gt;J24)*(I$3:I$94="P"))+SUMPRODUCT((P$3:P$94&lt;&gt;"")*(G$3:G$94=G24)*(I$3:I$94="P"))+1,IF(N24&lt;&gt;"",SUMPRODUCT((N$3:N$94&lt;&gt;"")*(G$3:G$94=G24)*(J$3:J$94&gt;J24)*(I$3:I$94="P"))+1,IF(M24="P",SUMPRODUCT((O$3:O$94&lt;&gt;"")*(P$3:P$94="")*(G$3:G$94=G24)*(I$3:I$94="P"))+SUMPRODUCT((P$3:P$94&lt;&gt;"")*(G$3:G$94=G24)*(I$3:I$94="P"))+SUMPRODUCT((N$3:N$94&lt;&gt;"")*(G$3:G$94=G24)*(I$3:I$94="P"))+SUMPRODUCT((P$3:P$94="")*(O$3:O$94="")*(N$3:N$94="")*(M$3:M$94="P")*(G$3:G$94=G24)*(J$3:J$94&gt;J24)*(I$3:I$94="P"))+IF(H24="L5",SUMPRODUCT((P$3:P$94="")*(O$3:O$94="")*(N$3:N$94="")*(M$3:M$94="P")*(G$3:G$94=G24)*(J$3:J$94&lt;J24)*(H$3:H$94&lt;&gt;H24)*(I$3:I$94="P")),-1*SUMPRODUCT((P$3:P$94="")*(O$3:O$94="")*(N$3:N$94="")*(M$3:M$94="P")*(G$3:G$94=G24)*(J$3:J$94&gt;J24)*(H$3:H$94="L5")*(I$3:I$94="P")))+1,"")))))</f>
        <v/>
      </c>
      <c r="B24" s="1" t="str" cm="1">
        <f t="array" ref="B24">IF(P24&lt;&gt;"",SUMPRODUCT((P$3:P$94&lt;&gt;"")*(G$3:G$94=G24)*(J$3:J$94&gt;J24))+1,IF(O24&lt;&gt;"",SUMPRODUCT((O$3:O$94&lt;&gt;"")*(P$3:P$94="")*(G$3:G$94=G24)*(J$3:J$94&gt;J24))+SUMPRODUCT((P$3:P$94&lt;&gt;"")*(G$3:G$94=G24))+1,IF(N24&lt;&gt;"",SUMPRODUCT((N$3:N$94&lt;&gt;"")*(G$3:G$94=G24)*(J$3:J$94&gt;J24))+1,IF(M24="P",SUMPRODUCT((O$3:O$94&lt;&gt;"")*(P$3:P$94="")*(G$3:G$94=G24))+SUMPRODUCT((P$3:P$94&lt;&gt;"")*(G$3:G$94=G24))+SUMPRODUCT((N$3:N$94&lt;&gt;"")*(G$3:G$94=G24))+SUMPRODUCT((P$3:P$94="")*(O$3:O$94="")*(N$3:N$94="")*(M$3:M$94="P")*(G$3:G$94=G24)*(J$3:J$94&gt;J24))+IF(H24="L5",SUMPRODUCT((P$3:P$94="")*(O$3:O$94="")*(N$3:N$94="")*(M$3:M$94="P")*(G$3:G$94=G24)*(J$3:J$94&lt;J24)*(H$3:H$94&lt;&gt;H24)),-1*SUMPRODUCT((P$3:P$94="")*(O$3:O$94="")*(N$3:N$94="")*(M$3:M$94="P")*(G$3:G$94=G24)*(J$3:J$94&gt;J24)*(H$3:H$94="L5")))+1,""))))</f>
        <v/>
      </c>
      <c r="C24" s="35" t="s">
        <v>260</v>
      </c>
      <c r="D24" t="str">
        <f>IF(E24="","",VLOOKUP(E24,'Coaching Points'!A:B,2,0))</f>
        <v>BC</v>
      </c>
      <c r="E24" s="35" t="s">
        <v>36</v>
      </c>
      <c r="F24" s="34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86.800004389999998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43.9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42.9</v>
      </c>
      <c r="T24" s="32"/>
      <c r="U24" s="37"/>
      <c r="V24" s="37"/>
      <c r="W24" s="33"/>
      <c r="X24" s="37"/>
      <c r="Y24" s="37"/>
      <c r="Z24" s="32">
        <v>43.9</v>
      </c>
      <c r="AA24" s="37">
        <v>6.3000000000000007</v>
      </c>
      <c r="AB24" s="37">
        <v>0</v>
      </c>
      <c r="AC24" s="33">
        <v>42.9</v>
      </c>
      <c r="AD24" s="37">
        <v>5.9</v>
      </c>
      <c r="AE24" s="37">
        <v>0</v>
      </c>
    </row>
    <row r="25" spans="1:31" x14ac:dyDescent="0.2">
      <c r="A25" s="1" t="str" cm="1">
        <f t="array" ref="A25">IF(I25="","",IF(P25&lt;&gt;"",SUMPRODUCT((P$3:P$94&lt;&gt;"")*(G$3:G$94=G25)*(J$3:J$94&gt;J25)*(I$3:I$94="P"))+1,IF(O25&lt;&gt;"",SUMPRODUCT((O$3:O$94&lt;&gt;"")*(P$3:P$94="")*(G$3:G$94=G25)*(J$3:J$94&gt;J25)*(I$3:I$94="P"))+SUMPRODUCT((P$3:P$94&lt;&gt;"")*(G$3:G$94=G25)*(I$3:I$94="P"))+1,IF(N25&lt;&gt;"",SUMPRODUCT((N$3:N$94&lt;&gt;"")*(G$3:G$94=G25)*(J$3:J$94&gt;J25)*(I$3:I$94="P"))+1,IF(M25="P",SUMPRODUCT((O$3:O$94&lt;&gt;"")*(P$3:P$94="")*(G$3:G$94=G25)*(I$3:I$94="P"))+SUMPRODUCT((P$3:P$94&lt;&gt;"")*(G$3:G$94=G25)*(I$3:I$94="P"))+SUMPRODUCT((N$3:N$94&lt;&gt;"")*(G$3:G$94=G25)*(I$3:I$94="P"))+SUMPRODUCT((P$3:P$94="")*(O$3:O$94="")*(N$3:N$94="")*(M$3:M$94="P")*(G$3:G$94=G25)*(J$3:J$94&gt;J25)*(I$3:I$94="P"))+IF(H25="L5",SUMPRODUCT((P$3:P$94="")*(O$3:O$94="")*(N$3:N$94="")*(M$3:M$94="P")*(G$3:G$94=G25)*(J$3:J$94&lt;J25)*(H$3:H$94&lt;&gt;H25)*(I$3:I$94="P")),-1*SUMPRODUCT((P$3:P$94="")*(O$3:O$94="")*(N$3:N$94="")*(M$3:M$94="P")*(G$3:G$94=G25)*(J$3:J$94&gt;J25)*(H$3:H$94="L5")*(I$3:I$94="P")))+1,"")))))</f>
        <v/>
      </c>
      <c r="B25" s="1" t="str" cm="1">
        <f t="array" ref="B25">IF(P25&lt;&gt;"",SUMPRODUCT((P$3:P$94&lt;&gt;"")*(G$3:G$94=G25)*(J$3:J$94&gt;J25))+1,IF(O25&lt;&gt;"",SUMPRODUCT((O$3:O$94&lt;&gt;"")*(P$3:P$94="")*(G$3:G$94=G25)*(J$3:J$94&gt;J25))+SUMPRODUCT((P$3:P$94&lt;&gt;"")*(G$3:G$94=G25))+1,IF(N25&lt;&gt;"",SUMPRODUCT((N$3:N$94&lt;&gt;"")*(G$3:G$94=G25)*(J$3:J$94&gt;J25))+1,IF(M25="P",SUMPRODUCT((O$3:O$94&lt;&gt;"")*(P$3:P$94="")*(G$3:G$94=G25))+SUMPRODUCT((P$3:P$94&lt;&gt;"")*(G$3:G$94=G25))+SUMPRODUCT((N$3:N$94&lt;&gt;"")*(G$3:G$94=G25))+SUMPRODUCT((P$3:P$94="")*(O$3:O$94="")*(N$3:N$94="")*(M$3:M$94="P")*(G$3:G$94=G25)*(J$3:J$94&gt;J25))+IF(H25="L5",SUMPRODUCT((P$3:P$94="")*(O$3:O$94="")*(N$3:N$94="")*(M$3:M$94="P")*(G$3:G$94=G25)*(J$3:J$94&lt;J25)*(H$3:H$94&lt;&gt;H25)),-1*SUMPRODUCT((P$3:P$94="")*(O$3:O$94="")*(N$3:N$94="")*(M$3:M$94="P")*(G$3:G$94=G25)*(J$3:J$94&gt;J25)*(H$3:H$94="L5")))+1,""))))</f>
        <v/>
      </c>
      <c r="C25" s="35" t="s">
        <v>263</v>
      </c>
      <c r="D25" t="str">
        <f>IF(E25="","",VLOOKUP(E25,'Coaching Points'!A:B,2,0))</f>
        <v>QC</v>
      </c>
      <c r="E25" s="35" t="s">
        <v>174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86.000004340000004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43.4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42.6</v>
      </c>
      <c r="T25" s="32">
        <v>40.1</v>
      </c>
      <c r="U25" s="37">
        <v>5.8000000000000007</v>
      </c>
      <c r="V25" s="37">
        <v>0</v>
      </c>
      <c r="W25" s="33"/>
      <c r="X25" s="37"/>
      <c r="Y25" s="37"/>
      <c r="Z25" s="32">
        <v>43.4</v>
      </c>
      <c r="AA25" s="37">
        <v>6</v>
      </c>
      <c r="AB25" s="37">
        <v>0</v>
      </c>
      <c r="AC25" s="33">
        <v>42.6</v>
      </c>
      <c r="AD25" s="37">
        <v>4.9000000000000004</v>
      </c>
      <c r="AE25" s="37">
        <v>0</v>
      </c>
    </row>
    <row r="26" spans="1:31" x14ac:dyDescent="0.2">
      <c r="A26" s="1" t="str" cm="1">
        <f t="array" ref="A26">IF(I26="","",IF(P26&lt;&gt;"",SUMPRODUCT((P$3:P$94&lt;&gt;"")*(G$3:G$94=G26)*(J$3:J$94&gt;J26)*(I$3:I$94="P"))+1,IF(O26&lt;&gt;"",SUMPRODUCT((O$3:O$94&lt;&gt;"")*(P$3:P$94="")*(G$3:G$94=G26)*(J$3:J$94&gt;J26)*(I$3:I$94="P"))+SUMPRODUCT((P$3:P$94&lt;&gt;"")*(G$3:G$94=G26)*(I$3:I$94="P"))+1,IF(N26&lt;&gt;"",SUMPRODUCT((N$3:N$94&lt;&gt;"")*(G$3:G$94=G26)*(J$3:J$94&gt;J26)*(I$3:I$94="P"))+1,IF(M26="P",SUMPRODUCT((O$3:O$94&lt;&gt;"")*(P$3:P$94="")*(G$3:G$94=G26)*(I$3:I$94="P"))+SUMPRODUCT((P$3:P$94&lt;&gt;"")*(G$3:G$94=G26)*(I$3:I$94="P"))+SUMPRODUCT((N$3:N$94&lt;&gt;"")*(G$3:G$94=G26)*(I$3:I$94="P"))+SUMPRODUCT((P$3:P$94="")*(O$3:O$94="")*(N$3:N$94="")*(M$3:M$94="P")*(G$3:G$94=G26)*(J$3:J$94&gt;J26)*(I$3:I$94="P"))+IF(H26="L5",SUMPRODUCT((P$3:P$94="")*(O$3:O$94="")*(N$3:N$94="")*(M$3:M$94="P")*(G$3:G$94=G26)*(J$3:J$94&lt;J26)*(H$3:H$94&lt;&gt;H26)*(I$3:I$94="P")),-1*SUMPRODUCT((P$3:P$94="")*(O$3:O$94="")*(N$3:N$94="")*(M$3:M$94="P")*(G$3:G$94=G26)*(J$3:J$94&gt;J26)*(H$3:H$94="L5")*(I$3:I$94="P")))+1,"")))))</f>
        <v/>
      </c>
      <c r="B26" s="1" t="str" cm="1">
        <f t="array" ref="B26">IF(P26&lt;&gt;"",SUMPRODUCT((P$3:P$94&lt;&gt;"")*(G$3:G$94=G26)*(J$3:J$94&gt;J26))+1,IF(O26&lt;&gt;"",SUMPRODUCT((O$3:O$94&lt;&gt;"")*(P$3:P$94="")*(G$3:G$94=G26)*(J$3:J$94&gt;J26))+SUMPRODUCT((P$3:P$94&lt;&gt;"")*(G$3:G$94=G26))+1,IF(N26&lt;&gt;"",SUMPRODUCT((N$3:N$94&lt;&gt;"")*(G$3:G$94=G26)*(J$3:J$94&gt;J26))+1,IF(M26="P",SUMPRODUCT((O$3:O$94&lt;&gt;"")*(P$3:P$94="")*(G$3:G$94=G26))+SUMPRODUCT((P$3:P$94&lt;&gt;"")*(G$3:G$94=G26))+SUMPRODUCT((N$3:N$94&lt;&gt;"")*(G$3:G$94=G26))+SUMPRODUCT((P$3:P$94="")*(O$3:O$94="")*(N$3:N$94="")*(M$3:M$94="P")*(G$3:G$94=G26)*(J$3:J$94&gt;J26))+IF(H26="L5",SUMPRODUCT((P$3:P$94="")*(O$3:O$94="")*(N$3:N$94="")*(M$3:M$94="P")*(G$3:G$94=G26)*(J$3:J$94&lt;J26)*(H$3:H$94&lt;&gt;H26)),-1*SUMPRODUCT((P$3:P$94="")*(O$3:O$94="")*(N$3:N$94="")*(M$3:M$94="P")*(G$3:G$94=G26)*(J$3:J$94&gt;J26)*(H$3:H$94="L5")))+1,""))))</f>
        <v/>
      </c>
      <c r="C26" s="35" t="s">
        <v>422</v>
      </c>
      <c r="D26" t="str">
        <f>IF(E26="","",VLOOKUP(E26,'Coaching Points'!A:B,2,0))</f>
        <v>ON</v>
      </c>
      <c r="E26" s="35" t="s">
        <v>504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86.000004309999994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43.1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42.9</v>
      </c>
      <c r="T26" s="32"/>
      <c r="U26" s="37"/>
      <c r="V26" s="37"/>
      <c r="W26" s="33"/>
      <c r="X26" s="37"/>
      <c r="Y26" s="37"/>
      <c r="Z26" s="32">
        <v>43.1</v>
      </c>
      <c r="AA26" s="37">
        <v>6.3000000000000007</v>
      </c>
      <c r="AB26" s="37">
        <v>0</v>
      </c>
      <c r="AC26" s="33">
        <v>42.9</v>
      </c>
      <c r="AD26" s="37">
        <v>5.2</v>
      </c>
      <c r="AE26" s="37">
        <v>0</v>
      </c>
    </row>
    <row r="27" spans="1:31" x14ac:dyDescent="0.2">
      <c r="A27" s="1" t="str" cm="1">
        <f t="array" ref="A27">IF(I27="","",IF(P27&lt;&gt;"",SUMPRODUCT((P$3:P$94&lt;&gt;"")*(G$3:G$94=G27)*(J$3:J$94&gt;J27)*(I$3:I$94="P"))+1,IF(O27&lt;&gt;"",SUMPRODUCT((O$3:O$94&lt;&gt;"")*(P$3:P$94="")*(G$3:G$94=G27)*(J$3:J$94&gt;J27)*(I$3:I$94="P"))+SUMPRODUCT((P$3:P$94&lt;&gt;"")*(G$3:G$94=G27)*(I$3:I$94="P"))+1,IF(N27&lt;&gt;"",SUMPRODUCT((N$3:N$94&lt;&gt;"")*(G$3:G$94=G27)*(J$3:J$94&gt;J27)*(I$3:I$94="P"))+1,IF(M27="P",SUMPRODUCT((O$3:O$94&lt;&gt;"")*(P$3:P$94="")*(G$3:G$94=G27)*(I$3:I$94="P"))+SUMPRODUCT((P$3:P$94&lt;&gt;"")*(G$3:G$94=G27)*(I$3:I$94="P"))+SUMPRODUCT((N$3:N$94&lt;&gt;"")*(G$3:G$94=G27)*(I$3:I$94="P"))+SUMPRODUCT((P$3:P$94="")*(O$3:O$94="")*(N$3:N$94="")*(M$3:M$94="P")*(G$3:G$94=G27)*(J$3:J$94&gt;J27)*(I$3:I$94="P"))+IF(H27="L5",SUMPRODUCT((P$3:P$94="")*(O$3:O$94="")*(N$3:N$94="")*(M$3:M$94="P")*(G$3:G$94=G27)*(J$3:J$94&lt;J27)*(H$3:H$94&lt;&gt;H27)*(I$3:I$94="P")),-1*SUMPRODUCT((P$3:P$94="")*(O$3:O$94="")*(N$3:N$94="")*(M$3:M$94="P")*(G$3:G$94=G27)*(J$3:J$94&gt;J27)*(H$3:H$94="L5")*(I$3:I$94="P")))+1,"")))))</f>
        <v/>
      </c>
      <c r="B27" s="1" t="str" cm="1">
        <f t="array" ref="B27">IF(P27&lt;&gt;"",SUMPRODUCT((P$3:P$94&lt;&gt;"")*(G$3:G$94=G27)*(J$3:J$94&gt;J27))+1,IF(O27&lt;&gt;"",SUMPRODUCT((O$3:O$94&lt;&gt;"")*(P$3:P$94="")*(G$3:G$94=G27)*(J$3:J$94&gt;J27))+SUMPRODUCT((P$3:P$94&lt;&gt;"")*(G$3:G$94=G27))+1,IF(N27&lt;&gt;"",SUMPRODUCT((N$3:N$94&lt;&gt;"")*(G$3:G$94=G27)*(J$3:J$94&gt;J27))+1,IF(M27="P",SUMPRODUCT((O$3:O$94&lt;&gt;"")*(P$3:P$94="")*(G$3:G$94=G27))+SUMPRODUCT((P$3:P$94&lt;&gt;"")*(G$3:G$94=G27))+SUMPRODUCT((N$3:N$94&lt;&gt;"")*(G$3:G$94=G27))+SUMPRODUCT((P$3:P$94="")*(O$3:O$94="")*(N$3:N$94="")*(M$3:M$94="P")*(G$3:G$94=G27)*(J$3:J$94&gt;J27))+IF(H27="L5",SUMPRODUCT((P$3:P$94="")*(O$3:O$94="")*(N$3:N$94="")*(M$3:M$94="P")*(G$3:G$94=G27)*(J$3:J$94&lt;J27)*(H$3:H$94&lt;&gt;H27)),-1*SUMPRODUCT((P$3:P$94="")*(O$3:O$94="")*(N$3:N$94="")*(M$3:M$94="P")*(G$3:G$94=G27)*(J$3:J$94&gt;J27)*(H$3:H$94="L5")))+1,""))))</f>
        <v/>
      </c>
      <c r="C27" s="35" t="s">
        <v>497</v>
      </c>
      <c r="D27" t="str">
        <f>IF(E27="","",VLOOKUP(E27,'Coaching Points'!A:B,2,0))</f>
        <v>AB</v>
      </c>
      <c r="E27" s="35" t="s">
        <v>56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85.900004330000002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43.3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42.6</v>
      </c>
      <c r="T27" s="32"/>
      <c r="U27" s="37"/>
      <c r="V27" s="37"/>
      <c r="W27" s="33"/>
      <c r="X27" s="37"/>
      <c r="Y27" s="37"/>
      <c r="Z27" s="32">
        <v>43.3</v>
      </c>
      <c r="AA27" s="37">
        <v>6.5</v>
      </c>
      <c r="AB27" s="37">
        <v>0</v>
      </c>
      <c r="AC27" s="33">
        <v>42.6</v>
      </c>
      <c r="AD27" s="37">
        <v>5.3000000000000007</v>
      </c>
      <c r="AE27" s="37">
        <v>0</v>
      </c>
    </row>
    <row r="28" spans="1:31" x14ac:dyDescent="0.2">
      <c r="A28" s="1" t="str" cm="1">
        <f t="array" ref="A28">IF(I28="","",IF(P28&lt;&gt;"",SUMPRODUCT((P$3:P$94&lt;&gt;"")*(G$3:G$94=G28)*(J$3:J$94&gt;J28)*(I$3:I$94="P"))+1,IF(O28&lt;&gt;"",SUMPRODUCT((O$3:O$94&lt;&gt;"")*(P$3:P$94="")*(G$3:G$94=G28)*(J$3:J$94&gt;J28)*(I$3:I$94="P"))+SUMPRODUCT((P$3:P$94&lt;&gt;"")*(G$3:G$94=G28)*(I$3:I$94="P"))+1,IF(N28&lt;&gt;"",SUMPRODUCT((N$3:N$94&lt;&gt;"")*(G$3:G$94=G28)*(J$3:J$94&gt;J28)*(I$3:I$94="P"))+1,IF(M28="P",SUMPRODUCT((O$3:O$94&lt;&gt;"")*(P$3:P$94="")*(G$3:G$94=G28)*(I$3:I$94="P"))+SUMPRODUCT((P$3:P$94&lt;&gt;"")*(G$3:G$94=G28)*(I$3:I$94="P"))+SUMPRODUCT((N$3:N$94&lt;&gt;"")*(G$3:G$94=G28)*(I$3:I$94="P"))+SUMPRODUCT((P$3:P$94="")*(O$3:O$94="")*(N$3:N$94="")*(M$3:M$94="P")*(G$3:G$94=G28)*(J$3:J$94&gt;J28)*(I$3:I$94="P"))+IF(H28="L5",SUMPRODUCT((P$3:P$94="")*(O$3:O$94="")*(N$3:N$94="")*(M$3:M$94="P")*(G$3:G$94=G28)*(J$3:J$94&lt;J28)*(H$3:H$94&lt;&gt;H28)*(I$3:I$94="P")),-1*SUMPRODUCT((P$3:P$94="")*(O$3:O$94="")*(N$3:N$94="")*(M$3:M$94="P")*(G$3:G$94=G28)*(J$3:J$94&gt;J28)*(H$3:H$94="L5")*(I$3:I$94="P")))+1,"")))))</f>
        <v/>
      </c>
      <c r="B28" s="1" t="str" cm="1">
        <f t="array" ref="B28">IF(P28&lt;&gt;"",SUMPRODUCT((P$3:P$94&lt;&gt;"")*(G$3:G$94=G28)*(J$3:J$94&gt;J28))+1,IF(O28&lt;&gt;"",SUMPRODUCT((O$3:O$94&lt;&gt;"")*(P$3:P$94="")*(G$3:G$94=G28)*(J$3:J$94&gt;J28))+SUMPRODUCT((P$3:P$94&lt;&gt;"")*(G$3:G$94=G28))+1,IF(N28&lt;&gt;"",SUMPRODUCT((N$3:N$94&lt;&gt;"")*(G$3:G$94=G28)*(J$3:J$94&gt;J28))+1,IF(M28="P",SUMPRODUCT((O$3:O$94&lt;&gt;"")*(P$3:P$94="")*(G$3:G$94=G28))+SUMPRODUCT((P$3:P$94&lt;&gt;"")*(G$3:G$94=G28))+SUMPRODUCT((N$3:N$94&lt;&gt;"")*(G$3:G$94=G28))+SUMPRODUCT((P$3:P$94="")*(O$3:O$94="")*(N$3:N$94="")*(M$3:M$94="P")*(G$3:G$94=G28)*(J$3:J$94&gt;J28))+IF(H28="L5",SUMPRODUCT((P$3:P$94="")*(O$3:O$94="")*(N$3:N$94="")*(M$3:M$94="P")*(G$3:G$94=G28)*(J$3:J$94&lt;J28)*(H$3:H$94&lt;&gt;H28)),-1*SUMPRODUCT((P$3:P$94="")*(O$3:O$94="")*(N$3:N$94="")*(M$3:M$94="P")*(G$3:G$94=G28)*(J$3:J$94&gt;J28)*(H$3:H$94="L5")))+1,""))))</f>
        <v/>
      </c>
      <c r="C28" s="35" t="s">
        <v>269</v>
      </c>
      <c r="D28" t="str">
        <f>IF(E28="","",VLOOKUP(E28,'Coaching Points'!A:B,2,0))</f>
        <v>SK</v>
      </c>
      <c r="E28" s="35" t="s">
        <v>58</v>
      </c>
      <c r="F28" s="34">
        <v>2008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85.500004290000007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42.9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42.6</v>
      </c>
      <c r="T28" s="32">
        <v>42.6</v>
      </c>
      <c r="U28" s="37">
        <v>6.3000000000000007</v>
      </c>
      <c r="V28" s="37">
        <v>0</v>
      </c>
      <c r="W28" s="33">
        <v>33.299999999999997</v>
      </c>
      <c r="X28" s="37">
        <v>2.6</v>
      </c>
      <c r="Y28" s="37">
        <v>0</v>
      </c>
      <c r="Z28" s="32">
        <v>42.9</v>
      </c>
      <c r="AA28" s="37">
        <v>6.3000000000000007</v>
      </c>
      <c r="AB28" s="37">
        <v>0</v>
      </c>
      <c r="AC28" s="33">
        <v>42.3</v>
      </c>
      <c r="AD28" s="37">
        <v>5.7</v>
      </c>
      <c r="AE28" s="37">
        <v>0</v>
      </c>
    </row>
    <row r="29" spans="1:31" x14ac:dyDescent="0.2">
      <c r="A29" s="1" t="str" cm="1">
        <f t="array" ref="A29">IF(I29="","",IF(P29&lt;&gt;"",SUMPRODUCT((P$3:P$94&lt;&gt;"")*(G$3:G$94=G29)*(J$3:J$94&gt;J29)*(I$3:I$94="P"))+1,IF(O29&lt;&gt;"",SUMPRODUCT((O$3:O$94&lt;&gt;"")*(P$3:P$94="")*(G$3:G$94=G29)*(J$3:J$94&gt;J29)*(I$3:I$94="P"))+SUMPRODUCT((P$3:P$94&lt;&gt;"")*(G$3:G$94=G29)*(I$3:I$94="P"))+1,IF(N29&lt;&gt;"",SUMPRODUCT((N$3:N$94&lt;&gt;"")*(G$3:G$94=G29)*(J$3:J$94&gt;J29)*(I$3:I$94="P"))+1,IF(M29="P",SUMPRODUCT((O$3:O$94&lt;&gt;"")*(P$3:P$94="")*(G$3:G$94=G29)*(I$3:I$94="P"))+SUMPRODUCT((P$3:P$94&lt;&gt;"")*(G$3:G$94=G29)*(I$3:I$94="P"))+SUMPRODUCT((N$3:N$94&lt;&gt;"")*(G$3:G$94=G29)*(I$3:I$94="P"))+SUMPRODUCT((P$3:P$94="")*(O$3:O$94="")*(N$3:N$94="")*(M$3:M$94="P")*(G$3:G$94=G29)*(J$3:J$94&gt;J29)*(I$3:I$94="P"))+IF(H29="L5",SUMPRODUCT((P$3:P$94="")*(O$3:O$94="")*(N$3:N$94="")*(M$3:M$94="P")*(G$3:G$94=G29)*(J$3:J$94&lt;J29)*(H$3:H$94&lt;&gt;H29)*(I$3:I$94="P")),-1*SUMPRODUCT((P$3:P$94="")*(O$3:O$94="")*(N$3:N$94="")*(M$3:M$94="P")*(G$3:G$94=G29)*(J$3:J$94&gt;J29)*(H$3:H$94="L5")*(I$3:I$94="P")))+1,"")))))</f>
        <v/>
      </c>
      <c r="B29" s="1" t="str" cm="1">
        <f t="array" ref="B29">IF(P29&lt;&gt;"",SUMPRODUCT((P$3:P$94&lt;&gt;"")*(G$3:G$94=G29)*(J$3:J$94&gt;J29))+1,IF(O29&lt;&gt;"",SUMPRODUCT((O$3:O$94&lt;&gt;"")*(P$3:P$94="")*(G$3:G$94=G29)*(J$3:J$94&gt;J29))+SUMPRODUCT((P$3:P$94&lt;&gt;"")*(G$3:G$94=G29))+1,IF(N29&lt;&gt;"",SUMPRODUCT((N$3:N$94&lt;&gt;"")*(G$3:G$94=G29)*(J$3:J$94&gt;J29))+1,IF(M29="P",SUMPRODUCT((O$3:O$94&lt;&gt;"")*(P$3:P$94="")*(G$3:G$94=G29))+SUMPRODUCT((P$3:P$94&lt;&gt;"")*(G$3:G$94=G29))+SUMPRODUCT((N$3:N$94&lt;&gt;"")*(G$3:G$94=G29))+SUMPRODUCT((P$3:P$94="")*(O$3:O$94="")*(N$3:N$94="")*(M$3:M$94="P")*(G$3:G$94=G29)*(J$3:J$94&gt;J29))+IF(H29="L5",SUMPRODUCT((P$3:P$94="")*(O$3:O$94="")*(N$3:N$94="")*(M$3:M$94="P")*(G$3:G$94=G29)*(J$3:J$94&lt;J29)*(H$3:H$94&lt;&gt;H29)),-1*SUMPRODUCT((P$3:P$94="")*(O$3:O$94="")*(N$3:N$94="")*(M$3:M$94="P")*(G$3:G$94=G29)*(J$3:J$94&gt;J29)*(H$3:H$94="L5")))+1,""))))</f>
        <v/>
      </c>
      <c r="C29" s="35" t="s">
        <v>275</v>
      </c>
      <c r="D29" t="str">
        <f>IF(E29="","",VLOOKUP(E29,'Coaching Points'!A:B,2,0))</f>
        <v>BC</v>
      </c>
      <c r="E29" s="35" t="s">
        <v>60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85.400004290000012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42.9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42.5</v>
      </c>
      <c r="T29" s="32">
        <v>42.5</v>
      </c>
      <c r="U29" s="37">
        <v>6.4</v>
      </c>
      <c r="V29" s="37">
        <v>0</v>
      </c>
      <c r="W29" s="33">
        <v>33.799999999999997</v>
      </c>
      <c r="X29" s="37">
        <v>3.6</v>
      </c>
      <c r="Y29" s="37">
        <v>0</v>
      </c>
      <c r="Z29" s="32">
        <v>42.9</v>
      </c>
      <c r="AA29" s="37">
        <v>6.4</v>
      </c>
      <c r="AB29" s="37">
        <v>0</v>
      </c>
      <c r="AC29" s="33">
        <v>37.200000000000003</v>
      </c>
      <c r="AD29" s="37">
        <v>4.0999999999999996</v>
      </c>
      <c r="AE29" s="37">
        <v>0</v>
      </c>
    </row>
    <row r="30" spans="1:31" x14ac:dyDescent="0.2">
      <c r="A30" s="1" t="str" cm="1">
        <f t="array" ref="A30">IF(I30="","",IF(P30&lt;&gt;"",SUMPRODUCT((P$3:P$94&lt;&gt;"")*(G$3:G$94=G30)*(J$3:J$94&gt;J30)*(I$3:I$94="P"))+1,IF(O30&lt;&gt;"",SUMPRODUCT((O$3:O$94&lt;&gt;"")*(P$3:P$94="")*(G$3:G$94=G30)*(J$3:J$94&gt;J30)*(I$3:I$94="P"))+SUMPRODUCT((P$3:P$94&lt;&gt;"")*(G$3:G$94=G30)*(I$3:I$94="P"))+1,IF(N30&lt;&gt;"",SUMPRODUCT((N$3:N$94&lt;&gt;"")*(G$3:G$94=G30)*(J$3:J$94&gt;J30)*(I$3:I$94="P"))+1,IF(M30="P",SUMPRODUCT((O$3:O$94&lt;&gt;"")*(P$3:P$94="")*(G$3:G$94=G30)*(I$3:I$94="P"))+SUMPRODUCT((P$3:P$94&lt;&gt;"")*(G$3:G$94=G30)*(I$3:I$94="P"))+SUMPRODUCT((N$3:N$94&lt;&gt;"")*(G$3:G$94=G30)*(I$3:I$94="P"))+SUMPRODUCT((P$3:P$94="")*(O$3:O$94="")*(N$3:N$94="")*(M$3:M$94="P")*(G$3:G$94=G30)*(J$3:J$94&gt;J30)*(I$3:I$94="P"))+IF(H30="L5",SUMPRODUCT((P$3:P$94="")*(O$3:O$94="")*(N$3:N$94="")*(M$3:M$94="P")*(G$3:G$94=G30)*(J$3:J$94&lt;J30)*(H$3:H$94&lt;&gt;H30)*(I$3:I$94="P")),-1*SUMPRODUCT((P$3:P$94="")*(O$3:O$94="")*(N$3:N$94="")*(M$3:M$94="P")*(G$3:G$94=G30)*(J$3:J$94&gt;J30)*(H$3:H$94="L5")*(I$3:I$94="P")))+1,"")))))</f>
        <v/>
      </c>
      <c r="B30" s="1" t="str" cm="1">
        <f t="array" ref="B30">IF(P30&lt;&gt;"",SUMPRODUCT((P$3:P$94&lt;&gt;"")*(G$3:G$94=G30)*(J$3:J$94&gt;J30))+1,IF(O30&lt;&gt;"",SUMPRODUCT((O$3:O$94&lt;&gt;"")*(P$3:P$94="")*(G$3:G$94=G30)*(J$3:J$94&gt;J30))+SUMPRODUCT((P$3:P$94&lt;&gt;"")*(G$3:G$94=G30))+1,IF(N30&lt;&gt;"",SUMPRODUCT((N$3:N$94&lt;&gt;"")*(G$3:G$94=G30)*(J$3:J$94&gt;J30))+1,IF(M30="P",SUMPRODUCT((O$3:O$94&lt;&gt;"")*(P$3:P$94="")*(G$3:G$94=G30))+SUMPRODUCT((P$3:P$94&lt;&gt;"")*(G$3:G$94=G30))+SUMPRODUCT((N$3:N$94&lt;&gt;"")*(G$3:G$94=G30))+SUMPRODUCT((P$3:P$94="")*(O$3:O$94="")*(N$3:N$94="")*(M$3:M$94="P")*(G$3:G$94=G30)*(J$3:J$94&gt;J30))+IF(H30="L5",SUMPRODUCT((P$3:P$94="")*(O$3:O$94="")*(N$3:N$94="")*(M$3:M$94="P")*(G$3:G$94=G30)*(J$3:J$94&lt;J30)*(H$3:H$94&lt;&gt;H30)),-1*SUMPRODUCT((P$3:P$94="")*(O$3:O$94="")*(N$3:N$94="")*(M$3:M$94="P")*(G$3:G$94=G30)*(J$3:J$94&gt;J30)*(H$3:H$94="L5")))+1,""))))</f>
        <v/>
      </c>
      <c r="C30" s="35" t="s">
        <v>303</v>
      </c>
      <c r="D30" t="str">
        <f>IF(E30="","",VLOOKUP(E30,'Coaching Points'!A:B,2,0))</f>
        <v>AB</v>
      </c>
      <c r="E30" s="35" t="s">
        <v>61</v>
      </c>
      <c r="F30" s="34">
        <v>2008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84.700004110000009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43.6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41.1</v>
      </c>
      <c r="T30" s="32">
        <v>43.6</v>
      </c>
      <c r="U30" s="37">
        <v>6.5</v>
      </c>
      <c r="V30" s="37">
        <v>0</v>
      </c>
      <c r="W30" s="33">
        <v>36.700000000000003</v>
      </c>
      <c r="X30" s="37">
        <v>3.6</v>
      </c>
      <c r="Y30" s="37">
        <v>0</v>
      </c>
      <c r="Z30" s="32">
        <v>41.1</v>
      </c>
      <c r="AA30" s="37">
        <v>6.5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$94&lt;&gt;"")*(G$3:G$94=G31)*(J$3:J$94&gt;J31)*(I$3:I$94="P"))+1,IF(O31&lt;&gt;"",SUMPRODUCT((O$3:O$94&lt;&gt;"")*(P$3:P$94="")*(G$3:G$94=G31)*(J$3:J$94&gt;J31)*(I$3:I$94="P"))+SUMPRODUCT((P$3:P$94&lt;&gt;"")*(G$3:G$94=G31)*(I$3:I$94="P"))+1,IF(N31&lt;&gt;"",SUMPRODUCT((N$3:N$94&lt;&gt;"")*(G$3:G$94=G31)*(J$3:J$94&gt;J31)*(I$3:I$94="P"))+1,IF(M31="P",SUMPRODUCT((O$3:O$94&lt;&gt;"")*(P$3:P$94="")*(G$3:G$94=G31)*(I$3:I$94="P"))+SUMPRODUCT((P$3:P$94&lt;&gt;"")*(G$3:G$94=G31)*(I$3:I$94="P"))+SUMPRODUCT((N$3:N$94&lt;&gt;"")*(G$3:G$94=G31)*(I$3:I$94="P"))+SUMPRODUCT((P$3:P$94="")*(O$3:O$94="")*(N$3:N$94="")*(M$3:M$94="P")*(G$3:G$94=G31)*(J$3:J$94&gt;J31)*(I$3:I$94="P"))+IF(H31="L5",SUMPRODUCT((P$3:P$94="")*(O$3:O$94="")*(N$3:N$94="")*(M$3:M$94="P")*(G$3:G$94=G31)*(J$3:J$94&lt;J31)*(H$3:H$94&lt;&gt;H31)*(I$3:I$94="P")),-1*SUMPRODUCT((P$3:P$94="")*(O$3:O$94="")*(N$3:N$94="")*(M$3:M$94="P")*(G$3:G$94=G31)*(J$3:J$94&gt;J31)*(H$3:H$94="L5")*(I$3:I$94="P")))+1,"")))))</f>
        <v/>
      </c>
      <c r="B31" s="1" t="str" cm="1">
        <f t="array" ref="B31">IF(P31&lt;&gt;"",SUMPRODUCT((P$3:P$94&lt;&gt;"")*(G$3:G$94=G31)*(J$3:J$94&gt;J31))+1,IF(O31&lt;&gt;"",SUMPRODUCT((O$3:O$94&lt;&gt;"")*(P$3:P$94="")*(G$3:G$94=G31)*(J$3:J$94&gt;J31))+SUMPRODUCT((P$3:P$94&lt;&gt;"")*(G$3:G$94=G31))+1,IF(N31&lt;&gt;"",SUMPRODUCT((N$3:N$94&lt;&gt;"")*(G$3:G$94=G31)*(J$3:J$94&gt;J31))+1,IF(M31="P",SUMPRODUCT((O$3:O$94&lt;&gt;"")*(P$3:P$94="")*(G$3:G$94=G31))+SUMPRODUCT((P$3:P$94&lt;&gt;"")*(G$3:G$94=G31))+SUMPRODUCT((N$3:N$94&lt;&gt;"")*(G$3:G$94=G31))+SUMPRODUCT((P$3:P$94="")*(O$3:O$94="")*(N$3:N$94="")*(M$3:M$94="P")*(G$3:G$94=G31)*(J$3:J$94&gt;J31))+IF(H31="L5",SUMPRODUCT((P$3:P$94="")*(O$3:O$94="")*(N$3:N$94="")*(M$3:M$94="P")*(G$3:G$94=G31)*(J$3:J$94&lt;J31)*(H$3:H$94&lt;&gt;H31)),-1*SUMPRODUCT((P$3:P$94="")*(O$3:O$94="")*(N$3:N$94="")*(M$3:M$94="P")*(G$3:G$94=G31)*(J$3:J$94&gt;J31)*(H$3:H$94="L5")))+1,""))))</f>
        <v/>
      </c>
      <c r="C31" s="35" t="s">
        <v>286</v>
      </c>
      <c r="D31" t="str">
        <f>IF(E31="","",VLOOKUP(E31,'Coaching Points'!A:B,2,0))</f>
        <v>AB</v>
      </c>
      <c r="E31" s="35" t="s">
        <v>131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R31+S31+IF(OR(H31="Junior",H31="Senior"),0.0002,IF(OR(H31="L7",H31="L6"),0.0001,0))+MAX(Z31,AC31)*0.0000001</f>
        <v>84.600104489999993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44.9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39.700000000000003</v>
      </c>
      <c r="T31" s="32">
        <v>37.799999999999997</v>
      </c>
      <c r="U31" s="37">
        <v>3.9000000000000004</v>
      </c>
      <c r="V31" s="37">
        <v>0</v>
      </c>
      <c r="W31" s="33"/>
      <c r="X31" s="37"/>
      <c r="Y31" s="37"/>
      <c r="Z31" s="32">
        <v>44.9</v>
      </c>
      <c r="AA31" s="37">
        <v>7.9</v>
      </c>
      <c r="AB31" s="37">
        <v>0</v>
      </c>
      <c r="AC31" s="33">
        <v>39.700000000000003</v>
      </c>
      <c r="AD31" s="37">
        <v>5.9</v>
      </c>
      <c r="AE31" s="37">
        <v>0</v>
      </c>
    </row>
    <row r="32" spans="1:31" x14ac:dyDescent="0.2">
      <c r="A32" s="1" t="str" cm="1">
        <f t="array" ref="A32">IF(I32="","",IF(P32&lt;&gt;"",SUMPRODUCT((P$3:P$94&lt;&gt;"")*(G$3:G$94=G32)*(J$3:J$94&gt;J32)*(I$3:I$94="P"))+1,IF(O32&lt;&gt;"",SUMPRODUCT((O$3:O$94&lt;&gt;"")*(P$3:P$94="")*(G$3:G$94=G32)*(J$3:J$94&gt;J32)*(I$3:I$94="P"))+SUMPRODUCT((P$3:P$94&lt;&gt;"")*(G$3:G$94=G32)*(I$3:I$94="P"))+1,IF(N32&lt;&gt;"",SUMPRODUCT((N$3:N$94&lt;&gt;"")*(G$3:G$94=G32)*(J$3:J$94&gt;J32)*(I$3:I$94="P"))+1,IF(M32="P",SUMPRODUCT((O$3:O$94&lt;&gt;"")*(P$3:P$94="")*(G$3:G$94=G32)*(I$3:I$94="P"))+SUMPRODUCT((P$3:P$94&lt;&gt;"")*(G$3:G$94=G32)*(I$3:I$94="P"))+SUMPRODUCT((N$3:N$94&lt;&gt;"")*(G$3:G$94=G32)*(I$3:I$94="P"))+SUMPRODUCT((P$3:P$94="")*(O$3:O$94="")*(N$3:N$94="")*(M$3:M$94="P")*(G$3:G$94=G32)*(J$3:J$94&gt;J32)*(I$3:I$94="P"))+IF(H32="L5",SUMPRODUCT((P$3:P$94="")*(O$3:O$94="")*(N$3:N$94="")*(M$3:M$94="P")*(G$3:G$94=G32)*(J$3:J$94&lt;J32)*(H$3:H$94&lt;&gt;H32)*(I$3:I$94="P")),-1*SUMPRODUCT((P$3:P$94="")*(O$3:O$94="")*(N$3:N$94="")*(M$3:M$94="P")*(G$3:G$94=G32)*(J$3:J$94&gt;J32)*(H$3:H$94="L5")*(I$3:I$94="P")))+1,"")))))</f>
        <v/>
      </c>
      <c r="B32" s="1" t="str" cm="1">
        <f t="array" ref="B32">IF(P32&lt;&gt;"",SUMPRODUCT((P$3:P$94&lt;&gt;"")*(G$3:G$94=G32)*(J$3:J$94&gt;J32))+1,IF(O32&lt;&gt;"",SUMPRODUCT((O$3:O$94&lt;&gt;"")*(P$3:P$94="")*(G$3:G$94=G32)*(J$3:J$94&gt;J32))+SUMPRODUCT((P$3:P$94&lt;&gt;"")*(G$3:G$94=G32))+1,IF(N32&lt;&gt;"",SUMPRODUCT((N$3:N$94&lt;&gt;"")*(G$3:G$94=G32)*(J$3:J$94&gt;J32))+1,IF(M32="P",SUMPRODUCT((O$3:O$94&lt;&gt;"")*(P$3:P$94="")*(G$3:G$94=G32))+SUMPRODUCT((P$3:P$94&lt;&gt;"")*(G$3:G$94=G32))+SUMPRODUCT((N$3:N$94&lt;&gt;"")*(G$3:G$94=G32))+SUMPRODUCT((P$3:P$94="")*(O$3:O$94="")*(N$3:N$94="")*(M$3:M$94="P")*(G$3:G$94=G32)*(J$3:J$94&gt;J32))+IF(H32="L5",SUMPRODUCT((P$3:P$94="")*(O$3:O$94="")*(N$3:N$94="")*(M$3:M$94="P")*(G$3:G$94=G32)*(J$3:J$94&lt;J32)*(H$3:H$94&lt;&gt;H32)),-1*SUMPRODUCT((P$3:P$94="")*(O$3:O$94="")*(N$3:N$94="")*(M$3:M$94="P")*(G$3:G$94=G32)*(J$3:J$94&gt;J32)*(H$3:H$94="L5")))+1,""))))</f>
        <v/>
      </c>
      <c r="C32" s="35" t="s">
        <v>274</v>
      </c>
      <c r="D32" t="str">
        <f>IF(E32="","",VLOOKUP(E32,'Coaching Points'!A:B,2,0))</f>
        <v>ON</v>
      </c>
      <c r="E32" s="35" t="s">
        <v>45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R32+S32+IF(OR(H32="Junior",H32="Senior"),0.0002,IF(OR(H32="L7",H32="L6"),0.0001,0))+MAX(Z32,AC32)*0.0000001</f>
        <v>84.000004039999993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42.7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41.3</v>
      </c>
      <c r="T32" s="32">
        <v>42.7</v>
      </c>
      <c r="U32" s="37">
        <v>4.8000000000000007</v>
      </c>
      <c r="V32" s="37">
        <v>0</v>
      </c>
      <c r="W32" s="33">
        <v>41.3</v>
      </c>
      <c r="X32" s="37">
        <v>4.3000000000000007</v>
      </c>
      <c r="Y32" s="37">
        <v>0</v>
      </c>
      <c r="Z32" s="32">
        <v>40.4</v>
      </c>
      <c r="AA32" s="37">
        <v>4.8000000000000007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$94&lt;&gt;"")*(G$3:G$94=G33)*(J$3:J$94&gt;J33)*(I$3:I$94="P"))+1,IF(O33&lt;&gt;"",SUMPRODUCT((O$3:O$94&lt;&gt;"")*(P$3:P$94="")*(G$3:G$94=G33)*(J$3:J$94&gt;J33)*(I$3:I$94="P"))+SUMPRODUCT((P$3:P$94&lt;&gt;"")*(G$3:G$94=G33)*(I$3:I$94="P"))+1,IF(N33&lt;&gt;"",SUMPRODUCT((N$3:N$94&lt;&gt;"")*(G$3:G$94=G33)*(J$3:J$94&gt;J33)*(I$3:I$94="P"))+1,IF(M33="P",SUMPRODUCT((O$3:O$94&lt;&gt;"")*(P$3:P$94="")*(G$3:G$94=G33)*(I$3:I$94="P"))+SUMPRODUCT((P$3:P$94&lt;&gt;"")*(G$3:G$94=G33)*(I$3:I$94="P"))+SUMPRODUCT((N$3:N$94&lt;&gt;"")*(G$3:G$94=G33)*(I$3:I$94="P"))+SUMPRODUCT((P$3:P$94="")*(O$3:O$94="")*(N$3:N$94="")*(M$3:M$94="P")*(G$3:G$94=G33)*(J$3:J$94&gt;J33)*(I$3:I$94="P"))+IF(H33="L5",SUMPRODUCT((P$3:P$94="")*(O$3:O$94="")*(N$3:N$94="")*(M$3:M$94="P")*(G$3:G$94=G33)*(J$3:J$94&lt;J33)*(H$3:H$94&lt;&gt;H33)*(I$3:I$94="P")),-1*SUMPRODUCT((P$3:P$94="")*(O$3:O$94="")*(N$3:N$94="")*(M$3:M$94="P")*(G$3:G$94=G33)*(J$3:J$94&gt;J33)*(H$3:H$94="L5")*(I$3:I$94="P")))+1,"")))))</f>
        <v/>
      </c>
      <c r="B33" s="1" t="str" cm="1">
        <f t="array" ref="B33">IF(P33&lt;&gt;"",SUMPRODUCT((P$3:P$94&lt;&gt;"")*(G$3:G$94=G33)*(J$3:J$94&gt;J33))+1,IF(O33&lt;&gt;"",SUMPRODUCT((O$3:O$94&lt;&gt;"")*(P$3:P$94="")*(G$3:G$94=G33)*(J$3:J$94&gt;J33))+SUMPRODUCT((P$3:P$94&lt;&gt;"")*(G$3:G$94=G33))+1,IF(N33&lt;&gt;"",SUMPRODUCT((N$3:N$94&lt;&gt;"")*(G$3:G$94=G33)*(J$3:J$94&gt;J33))+1,IF(M33="P",SUMPRODUCT((O$3:O$94&lt;&gt;"")*(P$3:P$94="")*(G$3:G$94=G33))+SUMPRODUCT((P$3:P$94&lt;&gt;"")*(G$3:G$94=G33))+SUMPRODUCT((N$3:N$94&lt;&gt;"")*(G$3:G$94=G33))+SUMPRODUCT((P$3:P$94="")*(O$3:O$94="")*(N$3:N$94="")*(M$3:M$94="P")*(G$3:G$94=G33)*(J$3:J$94&gt;J33))+IF(H33="L5",SUMPRODUCT((P$3:P$94="")*(O$3:O$94="")*(N$3:N$94="")*(M$3:M$94="P")*(G$3:G$94=G33)*(J$3:J$94&lt;J33)*(H$3:H$94&lt;&gt;H33)),-1*SUMPRODUCT((P$3:P$94="")*(O$3:O$94="")*(N$3:N$94="")*(M$3:M$94="P")*(G$3:G$94=G33)*(J$3:J$94&gt;J33)*(H$3:H$94="L5")))+1,""))))</f>
        <v/>
      </c>
      <c r="C33" s="35" t="s">
        <v>278</v>
      </c>
      <c r="D33" t="str">
        <f>IF(E33="","",VLOOKUP(E33,'Coaching Points'!A:B,2,0))</f>
        <v>AB</v>
      </c>
      <c r="E33" s="35" t="s">
        <v>62</v>
      </c>
      <c r="F33" s="34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83.900003960000006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42.4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41.5</v>
      </c>
      <c r="T33" s="32">
        <v>42.4</v>
      </c>
      <c r="U33" s="37">
        <v>5.8000000000000007</v>
      </c>
      <c r="V33" s="37">
        <v>0</v>
      </c>
      <c r="W33" s="33">
        <v>41.5</v>
      </c>
      <c r="X33" s="37">
        <v>5</v>
      </c>
      <c r="Y33" s="37">
        <v>0</v>
      </c>
      <c r="Z33" s="32">
        <v>39.6</v>
      </c>
      <c r="AA33" s="37">
        <v>3.4000000000000004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$94&lt;&gt;"")*(G$3:G$94=G34)*(J$3:J$94&gt;J34)*(I$3:I$94="P"))+1,IF(O34&lt;&gt;"",SUMPRODUCT((O$3:O$94&lt;&gt;"")*(P$3:P$94="")*(G$3:G$94=G34)*(J$3:J$94&gt;J34)*(I$3:I$94="P"))+SUMPRODUCT((P$3:P$94&lt;&gt;"")*(G$3:G$94=G34)*(I$3:I$94="P"))+1,IF(N34&lt;&gt;"",SUMPRODUCT((N$3:N$94&lt;&gt;"")*(G$3:G$94=G34)*(J$3:J$94&gt;J34)*(I$3:I$94="P"))+1,IF(M34="P",SUMPRODUCT((O$3:O$94&lt;&gt;"")*(P$3:P$94="")*(G$3:G$94=G34)*(I$3:I$94="P"))+SUMPRODUCT((P$3:P$94&lt;&gt;"")*(G$3:G$94=G34)*(I$3:I$94="P"))+SUMPRODUCT((N$3:N$94&lt;&gt;"")*(G$3:G$94=G34)*(I$3:I$94="P"))+SUMPRODUCT((P$3:P$94="")*(O$3:O$94="")*(N$3:N$94="")*(M$3:M$94="P")*(G$3:G$94=G34)*(J$3:J$94&gt;J34)*(I$3:I$94="P"))+IF(H34="L5",SUMPRODUCT((P$3:P$94="")*(O$3:O$94="")*(N$3:N$94="")*(M$3:M$94="P")*(G$3:G$94=G34)*(J$3:J$94&lt;J34)*(H$3:H$94&lt;&gt;H34)*(I$3:I$94="P")),-1*SUMPRODUCT((P$3:P$94="")*(O$3:O$94="")*(N$3:N$94="")*(M$3:M$94="P")*(G$3:G$94=G34)*(J$3:J$94&gt;J34)*(H$3:H$94="L5")*(I$3:I$94="P")))+1,"")))))</f>
        <v/>
      </c>
      <c r="B34" s="1" t="str" cm="1">
        <f t="array" ref="B34">IF(P34&lt;&gt;"",SUMPRODUCT((P$3:P$94&lt;&gt;"")*(G$3:G$94=G34)*(J$3:J$94&gt;J34))+1,IF(O34&lt;&gt;"",SUMPRODUCT((O$3:O$94&lt;&gt;"")*(P$3:P$94="")*(G$3:G$94=G34)*(J$3:J$94&gt;J34))+SUMPRODUCT((P$3:P$94&lt;&gt;"")*(G$3:G$94=G34))+1,IF(N34&lt;&gt;"",SUMPRODUCT((N$3:N$94&lt;&gt;"")*(G$3:G$94=G34)*(J$3:J$94&gt;J34))+1,IF(M34="P",SUMPRODUCT((O$3:O$94&lt;&gt;"")*(P$3:P$94="")*(G$3:G$94=G34))+SUMPRODUCT((P$3:P$94&lt;&gt;"")*(G$3:G$94=G34))+SUMPRODUCT((N$3:N$94&lt;&gt;"")*(G$3:G$94=G34))+SUMPRODUCT((P$3:P$94="")*(O$3:O$94="")*(N$3:N$94="")*(M$3:M$94="P")*(G$3:G$94=G34)*(J$3:J$94&gt;J34))+IF(H34="L5",SUMPRODUCT((P$3:P$94="")*(O$3:O$94="")*(N$3:N$94="")*(M$3:M$94="P")*(G$3:G$94=G34)*(J$3:J$94&lt;J34)*(H$3:H$94&lt;&gt;H34)),-1*SUMPRODUCT((P$3:P$94="")*(O$3:O$94="")*(N$3:N$94="")*(M$3:M$94="P")*(G$3:G$94=G34)*(J$3:J$94&gt;J34)*(H$3:H$94="L5")))+1,""))))</f>
        <v/>
      </c>
      <c r="C34" s="35" t="s">
        <v>368</v>
      </c>
      <c r="D34" t="str">
        <f>IF(E34="","",VLOOKUP(E34,'Coaching Points'!A:B,2,0))</f>
        <v>ON</v>
      </c>
      <c r="E34" s="35" t="s">
        <v>45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81.300000000000011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MAX(T34-IF(OR(H34="L6"),V34,0),W34-IF(OR(H34="L6"),Y34,0),Z34-IF(OR(H34="L6"),AB34,0),AC34-IF(OR(H34="L6"),AE34,0))</f>
        <v>43.7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37.6</v>
      </c>
      <c r="T34" s="32">
        <v>43.7</v>
      </c>
      <c r="U34" s="37">
        <v>6.6</v>
      </c>
      <c r="V34" s="37">
        <v>0</v>
      </c>
      <c r="W34" s="33">
        <v>37.6</v>
      </c>
      <c r="X34" s="37">
        <v>4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$94&lt;&gt;"")*(G$3:G$94=G35)*(J$3:J$94&gt;J35)*(I$3:I$94="P"))+1,IF(O35&lt;&gt;"",SUMPRODUCT((O$3:O$94&lt;&gt;"")*(P$3:P$94="")*(G$3:G$94=G35)*(J$3:J$94&gt;J35)*(I$3:I$94="P"))+SUMPRODUCT((P$3:P$94&lt;&gt;"")*(G$3:G$94=G35)*(I$3:I$94="P"))+1,IF(N35&lt;&gt;"",SUMPRODUCT((N$3:N$94&lt;&gt;"")*(G$3:G$94=G35)*(J$3:J$94&gt;J35)*(I$3:I$94="P"))+1,IF(M35="P",SUMPRODUCT((O$3:O$94&lt;&gt;"")*(P$3:P$94="")*(G$3:G$94=G35)*(I$3:I$94="P"))+SUMPRODUCT((P$3:P$94&lt;&gt;"")*(G$3:G$94=G35)*(I$3:I$94="P"))+SUMPRODUCT((N$3:N$94&lt;&gt;"")*(G$3:G$94=G35)*(I$3:I$94="P"))+SUMPRODUCT((P$3:P$94="")*(O$3:O$94="")*(N$3:N$94="")*(M$3:M$94="P")*(G$3:G$94=G35)*(J$3:J$94&gt;J35)*(I$3:I$94="P"))+IF(H35="L5",SUMPRODUCT((P$3:P$94="")*(O$3:O$94="")*(N$3:N$94="")*(M$3:M$94="P")*(G$3:G$94=G35)*(J$3:J$94&lt;J35)*(H$3:H$94&lt;&gt;H35)*(I$3:I$94="P")),-1*SUMPRODUCT((P$3:P$94="")*(O$3:O$94="")*(N$3:N$94="")*(M$3:M$94="P")*(G$3:G$94=G35)*(J$3:J$94&gt;J35)*(H$3:H$94="L5")*(I$3:I$94="P")))+1,"")))))</f>
        <v/>
      </c>
      <c r="B35" s="1" t="str" cm="1">
        <f t="array" ref="B35">IF(P35&lt;&gt;"",SUMPRODUCT((P$3:P$94&lt;&gt;"")*(G$3:G$94=G35)*(J$3:J$94&gt;J35))+1,IF(O35&lt;&gt;"",SUMPRODUCT((O$3:O$94&lt;&gt;"")*(P$3:P$94="")*(G$3:G$94=G35)*(J$3:J$94&gt;J35))+SUMPRODUCT((P$3:P$94&lt;&gt;"")*(G$3:G$94=G35))+1,IF(N35&lt;&gt;"",SUMPRODUCT((N$3:N$94&lt;&gt;"")*(G$3:G$94=G35)*(J$3:J$94&gt;J35))+1,IF(M35="P",SUMPRODUCT((O$3:O$94&lt;&gt;"")*(P$3:P$94="")*(G$3:G$94=G35))+SUMPRODUCT((P$3:P$94&lt;&gt;"")*(G$3:G$94=G35))+SUMPRODUCT((N$3:N$94&lt;&gt;"")*(G$3:G$94=G35))+SUMPRODUCT((P$3:P$94="")*(O$3:O$94="")*(N$3:N$94="")*(M$3:M$94="P")*(G$3:G$94=G35)*(J$3:J$94&gt;J35))+IF(H35="L5",SUMPRODUCT((P$3:P$94="")*(O$3:O$94="")*(N$3:N$94="")*(M$3:M$94="P")*(G$3:G$94=G35)*(J$3:J$94&lt;J35)*(H$3:H$94&lt;&gt;H35)),-1*SUMPRODUCT((P$3:P$94="")*(O$3:O$94="")*(N$3:N$94="")*(M$3:M$94="P")*(G$3:G$94=G35)*(J$3:J$94&gt;J35)*(H$3:H$94="L5")))+1,""))))</f>
        <v/>
      </c>
      <c r="C35" s="35" t="s">
        <v>232</v>
      </c>
      <c r="D35" t="str">
        <f>IF(E35="","",VLOOKUP(E35,'Coaching Points'!A:B,2,0))</f>
        <v>QC</v>
      </c>
      <c r="E35" s="35" t="s">
        <v>57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79.400004240000001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MAX(T35-IF(OR(H35="L6"),V35,0),W35-IF(OR(H35="L6"),Y35,0),Z35-IF(OR(H35="L6"),AB35,0),AC35-IF(OR(H35="L6"),AE35,0))</f>
        <v>42.4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37</v>
      </c>
      <c r="T35" s="32">
        <v>37</v>
      </c>
      <c r="U35" s="37">
        <v>3.5999999999999996</v>
      </c>
      <c r="V35" s="37">
        <v>0</v>
      </c>
      <c r="W35" s="33"/>
      <c r="X35" s="37"/>
      <c r="Y35" s="37"/>
      <c r="Z35" s="32">
        <v>42.4</v>
      </c>
      <c r="AA35" s="37">
        <v>5.6</v>
      </c>
      <c r="AB35" s="37">
        <v>0</v>
      </c>
      <c r="AC35" s="33"/>
      <c r="AD35" s="37"/>
      <c r="AE35" s="37"/>
    </row>
    <row r="36" spans="1:31" x14ac:dyDescent="0.2">
      <c r="A36" s="1" t="str" cm="1">
        <f t="array" ref="A36">IF(I36="","",IF(P36&lt;&gt;"",SUMPRODUCT((P$3:P$94&lt;&gt;"")*(G$3:G$94=G36)*(J$3:J$94&gt;J36)*(I$3:I$94="P"))+1,IF(O36&lt;&gt;"",SUMPRODUCT((O$3:O$94&lt;&gt;"")*(P$3:P$94="")*(G$3:G$94=G36)*(J$3:J$94&gt;J36)*(I$3:I$94="P"))+SUMPRODUCT((P$3:P$94&lt;&gt;"")*(G$3:G$94=G36)*(I$3:I$94="P"))+1,IF(N36&lt;&gt;"",SUMPRODUCT((N$3:N$94&lt;&gt;"")*(G$3:G$94=G36)*(J$3:J$94&gt;J36)*(I$3:I$94="P"))+1,IF(M36="P",SUMPRODUCT((O$3:O$94&lt;&gt;"")*(P$3:P$94="")*(G$3:G$94=G36)*(I$3:I$94="P"))+SUMPRODUCT((P$3:P$94&lt;&gt;"")*(G$3:G$94=G36)*(I$3:I$94="P"))+SUMPRODUCT((N$3:N$94&lt;&gt;"")*(G$3:G$94=G36)*(I$3:I$94="P"))+SUMPRODUCT((P$3:P$94="")*(O$3:O$94="")*(N$3:N$94="")*(M$3:M$94="P")*(G$3:G$94=G36)*(J$3:J$94&gt;J36)*(I$3:I$94="P"))+IF(H36="L5",SUMPRODUCT((P$3:P$94="")*(O$3:O$94="")*(N$3:N$94="")*(M$3:M$94="P")*(G$3:G$94=G36)*(J$3:J$94&lt;J36)*(H$3:H$94&lt;&gt;H36)*(I$3:I$94="P")),-1*SUMPRODUCT((P$3:P$94="")*(O$3:O$94="")*(N$3:N$94="")*(M$3:M$94="P")*(G$3:G$94=G36)*(J$3:J$94&gt;J36)*(H$3:H$94="L5")*(I$3:I$94="P")))+1,"")))))</f>
        <v/>
      </c>
      <c r="B36" s="1" t="str" cm="1">
        <f t="array" ref="B36">IF(P36&lt;&gt;"",SUMPRODUCT((P$3:P$94&lt;&gt;"")*(G$3:G$94=G36)*(J$3:J$94&gt;J36))+1,IF(O36&lt;&gt;"",SUMPRODUCT((O$3:O$94&lt;&gt;"")*(P$3:P$94="")*(G$3:G$94=G36)*(J$3:J$94&gt;J36))+SUMPRODUCT((P$3:P$94&lt;&gt;"")*(G$3:G$94=G36))+1,IF(N36&lt;&gt;"",SUMPRODUCT((N$3:N$94&lt;&gt;"")*(G$3:G$94=G36)*(J$3:J$94&gt;J36))+1,IF(M36="P",SUMPRODUCT((O$3:O$94&lt;&gt;"")*(P$3:P$94="")*(G$3:G$94=G36))+SUMPRODUCT((P$3:P$94&lt;&gt;"")*(G$3:G$94=G36))+SUMPRODUCT((N$3:N$94&lt;&gt;"")*(G$3:G$94=G36))+SUMPRODUCT((P$3:P$94="")*(O$3:O$94="")*(N$3:N$94="")*(M$3:M$94="P")*(G$3:G$94=G36)*(J$3:J$94&gt;J36))+IF(H36="L5",SUMPRODUCT((P$3:P$94="")*(O$3:O$94="")*(N$3:N$94="")*(M$3:M$94="P")*(G$3:G$94=G36)*(J$3:J$94&lt;J36)*(H$3:H$94&lt;&gt;H36)),-1*SUMPRODUCT((P$3:P$94="")*(O$3:O$94="")*(N$3:N$94="")*(M$3:M$94="P")*(G$3:G$94=G36)*(J$3:J$94&gt;J36)*(H$3:H$94="L5")))+1,""))))</f>
        <v/>
      </c>
      <c r="C36" s="35" t="s">
        <v>321</v>
      </c>
      <c r="D36" t="str">
        <f>IF(E36="","",VLOOKUP(E36,'Coaching Points'!A:B,2,0))</f>
        <v>AB</v>
      </c>
      <c r="E36" s="35" t="s">
        <v>144</v>
      </c>
      <c r="F36" s="34">
        <v>2007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77.40000409000001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MAX(T36-IF(OR(H36="L6"),V36,0),W36-IF(OR(H36="L6"),Y36,0),Z36-IF(OR(H36="L6"),AB36,0),AC36-IF(OR(H36="L6"),AE36,0))</f>
        <v>40.9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36.5</v>
      </c>
      <c r="T36" s="32">
        <v>36.5</v>
      </c>
      <c r="U36" s="37">
        <v>3.9000000000000004</v>
      </c>
      <c r="V36" s="37">
        <v>0</v>
      </c>
      <c r="W36" s="33"/>
      <c r="X36" s="37"/>
      <c r="Y36" s="37"/>
      <c r="Z36" s="32">
        <v>40.9</v>
      </c>
      <c r="AA36" s="37">
        <v>5.8000000000000007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$94&lt;&gt;"")*(G$3:G$94=G37)*(J$3:J$94&gt;J37)*(I$3:I$94="P"))+1,IF(O37&lt;&gt;"",SUMPRODUCT((O$3:O$94&lt;&gt;"")*(P$3:P$94="")*(G$3:G$94=G37)*(J$3:J$94&gt;J37)*(I$3:I$94="P"))+SUMPRODUCT((P$3:P$94&lt;&gt;"")*(G$3:G$94=G37)*(I$3:I$94="P"))+1,IF(N37&lt;&gt;"",SUMPRODUCT((N$3:N$94&lt;&gt;"")*(G$3:G$94=G37)*(J$3:J$94&gt;J37)*(I$3:I$94="P"))+1,IF(M37="P",SUMPRODUCT((O$3:O$94&lt;&gt;"")*(P$3:P$94="")*(G$3:G$94=G37)*(I$3:I$94="P"))+SUMPRODUCT((P$3:P$94&lt;&gt;"")*(G$3:G$94=G37)*(I$3:I$94="P"))+SUMPRODUCT((N$3:N$94&lt;&gt;"")*(G$3:G$94=G37)*(I$3:I$94="P"))+SUMPRODUCT((P$3:P$94="")*(O$3:O$94="")*(N$3:N$94="")*(M$3:M$94="P")*(G$3:G$94=G37)*(J$3:J$94&gt;J37)*(I$3:I$94="P"))+IF(H37="L5",SUMPRODUCT((P$3:P$94="")*(O$3:O$94="")*(N$3:N$94="")*(M$3:M$94="P")*(G$3:G$94=G37)*(J$3:J$94&lt;J37)*(H$3:H$94&lt;&gt;H37)*(I$3:I$94="P")),-1*SUMPRODUCT((P$3:P$94="")*(O$3:O$94="")*(N$3:N$94="")*(M$3:M$94="P")*(G$3:G$94=G37)*(J$3:J$94&gt;J37)*(H$3:H$94="L5")*(I$3:I$94="P")))+1,"")))))</f>
        <v/>
      </c>
      <c r="B37" s="1" t="str" cm="1">
        <f t="array" ref="B37">IF(P37&lt;&gt;"",SUMPRODUCT((P$3:P$94&lt;&gt;"")*(G$3:G$94=G37)*(J$3:J$94&gt;J37))+1,IF(O37&lt;&gt;"",SUMPRODUCT((O$3:O$94&lt;&gt;"")*(P$3:P$94="")*(G$3:G$94=G37)*(J$3:J$94&gt;J37))+SUMPRODUCT((P$3:P$94&lt;&gt;"")*(G$3:G$94=G37))+1,IF(N37&lt;&gt;"",SUMPRODUCT((N$3:N$94&lt;&gt;"")*(G$3:G$94=G37)*(J$3:J$94&gt;J37))+1,IF(M37="P",SUMPRODUCT((O$3:O$94&lt;&gt;"")*(P$3:P$94="")*(G$3:G$94=G37))+SUMPRODUCT((P$3:P$94&lt;&gt;"")*(G$3:G$94=G37))+SUMPRODUCT((N$3:N$94&lt;&gt;"")*(G$3:G$94=G37))+SUMPRODUCT((P$3:P$94="")*(O$3:O$94="")*(N$3:N$94="")*(M$3:M$94="P")*(G$3:G$94=G37)*(J$3:J$94&gt;J37))+IF(H37="L5",SUMPRODUCT((P$3:P$94="")*(O$3:O$94="")*(N$3:N$94="")*(M$3:M$94="P")*(G$3:G$94=G37)*(J$3:J$94&lt;J37)*(H$3:H$94&lt;&gt;H37)),-1*SUMPRODUCT((P$3:P$94="")*(O$3:O$94="")*(N$3:N$94="")*(M$3:M$94="P")*(G$3:G$94=G37)*(J$3:J$94&gt;J37)*(H$3:H$94="L5")))+1,""))))</f>
        <v/>
      </c>
      <c r="C37" s="35" t="s">
        <v>276</v>
      </c>
      <c r="D37" t="str">
        <f>IF(E37="","",VLOOKUP(E37,'Coaching Points'!A:B,2,0))</f>
        <v>AB</v>
      </c>
      <c r="E37" s="35" t="s">
        <v>61</v>
      </c>
      <c r="F37" s="34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213</v>
      </c>
      <c r="I37" s="40"/>
      <c r="J37" s="4">
        <f>R37+S37+IF(OR(H37="Junior",H37="Senior"),0.0002,IF(OR(H37="L7",H37="L6"),0.0001,0))+MAX(Z37,AC37)*0.0000001</f>
        <v>77.100104379999991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MAX(T37-IF(OR(H37="L6"),V37,0),W37-IF(OR(H37="L6"),Y37,0),Z37-IF(OR(H37="L6"),AB37,0),AC37-IF(OR(H37="L6"),AE37,0))</f>
        <v>43.8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33.299999999999997</v>
      </c>
      <c r="T37" s="32">
        <v>33.299999999999997</v>
      </c>
      <c r="U37" s="37">
        <v>2.9</v>
      </c>
      <c r="V37" s="37">
        <v>0</v>
      </c>
      <c r="W37" s="33"/>
      <c r="X37" s="37"/>
      <c r="Y37" s="37"/>
      <c r="Z37" s="32">
        <v>43.8</v>
      </c>
      <c r="AA37" s="37">
        <v>8.1000000000000014</v>
      </c>
      <c r="AB37" s="37">
        <v>0</v>
      </c>
      <c r="AC37" s="33">
        <v>17.100000000000001</v>
      </c>
      <c r="AD37" s="37">
        <v>2</v>
      </c>
      <c r="AE37" s="37">
        <v>0</v>
      </c>
    </row>
    <row r="38" spans="1:31" x14ac:dyDescent="0.2">
      <c r="A38" s="1" t="str" cm="1">
        <f t="array" ref="A38">IF(I38="","",IF(P38&lt;&gt;"",SUMPRODUCT((P$3:P$94&lt;&gt;"")*(G$3:G$94=G38)*(J$3:J$94&gt;J38)*(I$3:I$94="P"))+1,IF(O38&lt;&gt;"",SUMPRODUCT((O$3:O$94&lt;&gt;"")*(P$3:P$94="")*(G$3:G$94=G38)*(J$3:J$94&gt;J38)*(I$3:I$94="P"))+SUMPRODUCT((P$3:P$94&lt;&gt;"")*(G$3:G$94=G38)*(I$3:I$94="P"))+1,IF(N38&lt;&gt;"",SUMPRODUCT((N$3:N$94&lt;&gt;"")*(G$3:G$94=G38)*(J$3:J$94&gt;J38)*(I$3:I$94="P"))+1,IF(M38="P",SUMPRODUCT((O$3:O$94&lt;&gt;"")*(P$3:P$94="")*(G$3:G$94=G38)*(I$3:I$94="P"))+SUMPRODUCT((P$3:P$94&lt;&gt;"")*(G$3:G$94=G38)*(I$3:I$94="P"))+SUMPRODUCT((N$3:N$94&lt;&gt;"")*(G$3:G$94=G38)*(I$3:I$94="P"))+SUMPRODUCT((P$3:P$94="")*(O$3:O$94="")*(N$3:N$94="")*(M$3:M$94="P")*(G$3:G$94=G38)*(J$3:J$94&gt;J38)*(I$3:I$94="P"))+IF(H38="L5",SUMPRODUCT((P$3:P$94="")*(O$3:O$94="")*(N$3:N$94="")*(M$3:M$94="P")*(G$3:G$94=G38)*(J$3:J$94&lt;J38)*(H$3:H$94&lt;&gt;H38)*(I$3:I$94="P")),-1*SUMPRODUCT((P$3:P$94="")*(O$3:O$94="")*(N$3:N$94="")*(M$3:M$94="P")*(G$3:G$94=G38)*(J$3:J$94&gt;J38)*(H$3:H$94="L5")*(I$3:I$94="P")))+1,"")))))</f>
        <v/>
      </c>
      <c r="B38" s="1" t="str" cm="1">
        <f t="array" ref="B38">IF(P38&lt;&gt;"",SUMPRODUCT((P$3:P$94&lt;&gt;"")*(G$3:G$94=G38)*(J$3:J$94&gt;J38))+1,IF(O38&lt;&gt;"",SUMPRODUCT((O$3:O$94&lt;&gt;"")*(P$3:P$94="")*(G$3:G$94=G38)*(J$3:J$94&gt;J38))+SUMPRODUCT((P$3:P$94&lt;&gt;"")*(G$3:G$94=G38))+1,IF(N38&lt;&gt;"",SUMPRODUCT((N$3:N$94&lt;&gt;"")*(G$3:G$94=G38)*(J$3:J$94&gt;J38))+1,IF(M38="P",SUMPRODUCT((O$3:O$94&lt;&gt;"")*(P$3:P$94="")*(G$3:G$94=G38))+SUMPRODUCT((P$3:P$94&lt;&gt;"")*(G$3:G$94=G38))+SUMPRODUCT((N$3:N$94&lt;&gt;"")*(G$3:G$94=G38))+SUMPRODUCT((P$3:P$94="")*(O$3:O$94="")*(N$3:N$94="")*(M$3:M$94="P")*(G$3:G$94=G38)*(J$3:J$94&gt;J38))+IF(H38="L5",SUMPRODUCT((P$3:P$94="")*(O$3:O$94="")*(N$3:N$94="")*(M$3:M$94="P")*(G$3:G$94=G38)*(J$3:J$94&lt;J38)*(H$3:H$94&lt;&gt;H38)),-1*SUMPRODUCT((P$3:P$94="")*(O$3:O$94="")*(N$3:N$94="")*(M$3:M$94="P")*(G$3:G$94=G38)*(J$3:J$94&gt;J38)*(H$3:H$94="L5")))+1,""))))</f>
        <v/>
      </c>
      <c r="C38" s="35" t="s">
        <v>272</v>
      </c>
      <c r="D38" t="str">
        <f>IF(E38="","",VLOOKUP(E38,'Coaching Points'!A:B,2,0))</f>
        <v>BC</v>
      </c>
      <c r="E38" s="35" t="s">
        <v>40</v>
      </c>
      <c r="F38" s="34">
        <v>2008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210</v>
      </c>
      <c r="I38" s="40"/>
      <c r="J38" s="4">
        <f>R38+S38+IF(OR(H38="Junior",H38="Senior"),0.0002,IF(OR(H38="L7",H38="L6"),0.0001,0))+MAX(Z38,AC38)*0.0000001</f>
        <v>76.900204410000015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>P</v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MAX(T38-IF(OR(H38="L6"),V38,0),W38-IF(OR(H38="L6"),Y38,0),Z38-IF(OR(H38="L6"),AB38,0),AC38-IF(OR(H38="L6"),AE38,0))</f>
        <v>44.1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32.799999999999997</v>
      </c>
      <c r="T38" s="32">
        <v>32.799999999999997</v>
      </c>
      <c r="U38" s="37">
        <v>2.4</v>
      </c>
      <c r="V38" s="37">
        <v>0</v>
      </c>
      <c r="W38" s="33"/>
      <c r="X38" s="37"/>
      <c r="Y38" s="37"/>
      <c r="Z38" s="32">
        <v>44.1</v>
      </c>
      <c r="AA38" s="37">
        <v>10.8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$94&lt;&gt;"")*(G$3:G$94=G39)*(J$3:J$94&gt;J39)*(I$3:I$94="P"))+1,IF(O39&lt;&gt;"",SUMPRODUCT((O$3:O$94&lt;&gt;"")*(P$3:P$94="")*(G$3:G$94=G39)*(J$3:J$94&gt;J39)*(I$3:I$94="P"))+SUMPRODUCT((P$3:P$94&lt;&gt;"")*(G$3:G$94=G39)*(I$3:I$94="P"))+1,IF(N39&lt;&gt;"",SUMPRODUCT((N$3:N$94&lt;&gt;"")*(G$3:G$94=G39)*(J$3:J$94&gt;J39)*(I$3:I$94="P"))+1,IF(M39="P",SUMPRODUCT((O$3:O$94&lt;&gt;"")*(P$3:P$94="")*(G$3:G$94=G39)*(I$3:I$94="P"))+SUMPRODUCT((P$3:P$94&lt;&gt;"")*(G$3:G$94=G39)*(I$3:I$94="P"))+SUMPRODUCT((N$3:N$94&lt;&gt;"")*(G$3:G$94=G39)*(I$3:I$94="P"))+SUMPRODUCT((P$3:P$94="")*(O$3:O$94="")*(N$3:N$94="")*(M$3:M$94="P")*(G$3:G$94=G39)*(J$3:J$94&gt;J39)*(I$3:I$94="P"))+IF(H39="L5",SUMPRODUCT((P$3:P$94="")*(O$3:O$94="")*(N$3:N$94="")*(M$3:M$94="P")*(G$3:G$94=G39)*(J$3:J$94&lt;J39)*(H$3:H$94&lt;&gt;H39)*(I$3:I$94="P")),-1*SUMPRODUCT((P$3:P$94="")*(O$3:O$94="")*(N$3:N$94="")*(M$3:M$94="P")*(G$3:G$94=G39)*(J$3:J$94&gt;J39)*(H$3:H$94="L5")*(I$3:I$94="P")))+1,"")))))</f>
        <v/>
      </c>
      <c r="B39" s="1" t="str" cm="1">
        <f t="array" ref="B39">IF(P39&lt;&gt;"",SUMPRODUCT((P$3:P$94&lt;&gt;"")*(G$3:G$94=G39)*(J$3:J$94&gt;J39))+1,IF(O39&lt;&gt;"",SUMPRODUCT((O$3:O$94&lt;&gt;"")*(P$3:P$94="")*(G$3:G$94=G39)*(J$3:J$94&gt;J39))+SUMPRODUCT((P$3:P$94&lt;&gt;"")*(G$3:G$94=G39))+1,IF(N39&lt;&gt;"",SUMPRODUCT((N$3:N$94&lt;&gt;"")*(G$3:G$94=G39)*(J$3:J$94&gt;J39))+1,IF(M39="P",SUMPRODUCT((O$3:O$94&lt;&gt;"")*(P$3:P$94="")*(G$3:G$94=G39))+SUMPRODUCT((P$3:P$94&lt;&gt;"")*(G$3:G$94=G39))+SUMPRODUCT((N$3:N$94&lt;&gt;"")*(G$3:G$94=G39))+SUMPRODUCT((P$3:P$94="")*(O$3:O$94="")*(N$3:N$94="")*(M$3:M$94="P")*(G$3:G$94=G39)*(J$3:J$94&gt;J39))+IF(H39="L5",SUMPRODUCT((P$3:P$94="")*(O$3:O$94="")*(N$3:N$94="")*(M$3:M$94="P")*(G$3:G$94=G39)*(J$3:J$94&lt;J39)*(H$3:H$94&lt;&gt;H39)),-1*SUMPRODUCT((P$3:P$94="")*(O$3:O$94="")*(N$3:N$94="")*(M$3:M$94="P")*(G$3:G$94=G39)*(J$3:J$94&gt;J39)*(H$3:H$94="L5")))+1,""))))</f>
        <v/>
      </c>
      <c r="C39" s="35" t="s">
        <v>238</v>
      </c>
      <c r="D39" t="str">
        <f>IF(E39="","",VLOOKUP(E39,'Coaching Points'!A:B,2,0))</f>
        <v>SK</v>
      </c>
      <c r="E39" s="35" t="s">
        <v>58</v>
      </c>
      <c r="F39" s="34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>R39+S39+IF(OR(H39="Junior",H39="Senior"),0.0002,IF(OR(H39="L7",H39="L6"),0.0001,0))+MAX(Z39,AC39)*0.0000001</f>
        <v>76.700104360000012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MAX(T39-IF(OR(H39="L6"),V39,0),W39-IF(OR(H39="L6"),Y39,0),Z39-IF(OR(H39="L6"),AB39,0),AC39-IF(OR(H39="L6"),AE39,0))</f>
        <v>43.6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33.1</v>
      </c>
      <c r="T39" s="32">
        <v>33.1</v>
      </c>
      <c r="U39" s="37">
        <v>2.1</v>
      </c>
      <c r="V39" s="37">
        <v>0</v>
      </c>
      <c r="W39" s="33"/>
      <c r="X39" s="37"/>
      <c r="Y39" s="37"/>
      <c r="Z39" s="32">
        <v>43.6</v>
      </c>
      <c r="AA39" s="37">
        <v>7.5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$94&lt;&gt;"")*(G$3:G$94=G40)*(J$3:J$94&gt;J40)*(I$3:I$94="P"))+1,IF(O40&lt;&gt;"",SUMPRODUCT((O$3:O$94&lt;&gt;"")*(P$3:P$94="")*(G$3:G$94=G40)*(J$3:J$94&gt;J40)*(I$3:I$94="P"))+SUMPRODUCT((P$3:P$94&lt;&gt;"")*(G$3:G$94=G40)*(I$3:I$94="P"))+1,IF(N40&lt;&gt;"",SUMPRODUCT((N$3:N$94&lt;&gt;"")*(G$3:G$94=G40)*(J$3:J$94&gt;J40)*(I$3:I$94="P"))+1,IF(M40="P",SUMPRODUCT((O$3:O$94&lt;&gt;"")*(P$3:P$94="")*(G$3:G$94=G40)*(I$3:I$94="P"))+SUMPRODUCT((P$3:P$94&lt;&gt;"")*(G$3:G$94=G40)*(I$3:I$94="P"))+SUMPRODUCT((N$3:N$94&lt;&gt;"")*(G$3:G$94=G40)*(I$3:I$94="P"))+SUMPRODUCT((P$3:P$94="")*(O$3:O$94="")*(N$3:N$94="")*(M$3:M$94="P")*(G$3:G$94=G40)*(J$3:J$94&gt;J40)*(I$3:I$94="P"))+IF(H40="L5",SUMPRODUCT((P$3:P$94="")*(O$3:O$94="")*(N$3:N$94="")*(M$3:M$94="P")*(G$3:G$94=G40)*(J$3:J$94&lt;J40)*(H$3:H$94&lt;&gt;H40)*(I$3:I$94="P")),-1*SUMPRODUCT((P$3:P$94="")*(O$3:O$94="")*(N$3:N$94="")*(M$3:M$94="P")*(G$3:G$94=G40)*(J$3:J$94&gt;J40)*(H$3:H$94="L5")*(I$3:I$94="P")))+1,"")))))</f>
        <v/>
      </c>
      <c r="B40" s="1" t="str" cm="1">
        <f t="array" ref="B40">IF(P40&lt;&gt;"",SUMPRODUCT((P$3:P$94&lt;&gt;"")*(G$3:G$94=G40)*(J$3:J$94&gt;J40))+1,IF(O40&lt;&gt;"",SUMPRODUCT((O$3:O$94&lt;&gt;"")*(P$3:P$94="")*(G$3:G$94=G40)*(J$3:J$94&gt;J40))+SUMPRODUCT((P$3:P$94&lt;&gt;"")*(G$3:G$94=G40))+1,IF(N40&lt;&gt;"",SUMPRODUCT((N$3:N$94&lt;&gt;"")*(G$3:G$94=G40)*(J$3:J$94&gt;J40))+1,IF(M40="P",SUMPRODUCT((O$3:O$94&lt;&gt;"")*(P$3:P$94="")*(G$3:G$94=G40))+SUMPRODUCT((P$3:P$94&lt;&gt;"")*(G$3:G$94=G40))+SUMPRODUCT((N$3:N$94&lt;&gt;"")*(G$3:G$94=G40))+SUMPRODUCT((P$3:P$94="")*(O$3:O$94="")*(N$3:N$94="")*(M$3:M$94="P")*(G$3:G$94=G40)*(J$3:J$94&gt;J40))+IF(H40="L5",SUMPRODUCT((P$3:P$94="")*(O$3:O$94="")*(N$3:N$94="")*(M$3:M$94="P")*(G$3:G$94=G40)*(J$3:J$94&lt;J40)*(H$3:H$94&lt;&gt;H40)),-1*SUMPRODUCT((P$3:P$94="")*(O$3:O$94="")*(N$3:N$94="")*(M$3:M$94="P")*(G$3:G$94=G40)*(J$3:J$94&gt;J40)*(H$3:H$94="L5")))+1,""))))</f>
        <v/>
      </c>
      <c r="C40" s="35" t="s">
        <v>370</v>
      </c>
      <c r="D40" t="str">
        <f>IF(E40="","",VLOOKUP(E40,'Coaching Points'!A:B,2,0))</f>
        <v>AB</v>
      </c>
      <c r="E40" s="35" t="s">
        <v>144</v>
      </c>
      <c r="F40" s="34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71.100003699999988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MAX(T40-IF(OR(H40="L6"),V40,0),W40-IF(OR(H40="L6"),Y40,0),Z40-IF(OR(H40="L6"),AB40,0),AC40-IF(OR(H40="L6"),AE40,0))</f>
        <v>37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34.1</v>
      </c>
      <c r="T40" s="32">
        <v>34.1</v>
      </c>
      <c r="U40" s="37">
        <v>3.4000000000000004</v>
      </c>
      <c r="V40" s="37">
        <v>0</v>
      </c>
      <c r="W40" s="33"/>
      <c r="X40" s="37"/>
      <c r="Y40" s="37"/>
      <c r="Z40" s="32">
        <v>37</v>
      </c>
      <c r="AA40" s="37">
        <v>3.8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$94&lt;&gt;"")*(G$3:G$94=G41)*(J$3:J$94&gt;J41)*(I$3:I$94="P"))+1,IF(O41&lt;&gt;"",SUMPRODUCT((O$3:O$94&lt;&gt;"")*(P$3:P$94="")*(G$3:G$94=G41)*(J$3:J$94&gt;J41)*(I$3:I$94="P"))+SUMPRODUCT((P$3:P$94&lt;&gt;"")*(G$3:G$94=G41)*(I$3:I$94="P"))+1,IF(N41&lt;&gt;"",SUMPRODUCT((N$3:N$94&lt;&gt;"")*(G$3:G$94=G41)*(J$3:J$94&gt;J41)*(I$3:I$94="P"))+1,IF(M41="P",SUMPRODUCT((O$3:O$94&lt;&gt;"")*(P$3:P$94="")*(G$3:G$94=G41)*(I$3:I$94="P"))+SUMPRODUCT((P$3:P$94&lt;&gt;"")*(G$3:G$94=G41)*(I$3:I$94="P"))+SUMPRODUCT((N$3:N$94&lt;&gt;"")*(G$3:G$94=G41)*(I$3:I$94="P"))+SUMPRODUCT((P$3:P$94="")*(O$3:O$94="")*(N$3:N$94="")*(M$3:M$94="P")*(G$3:G$94=G41)*(J$3:J$94&gt;J41)*(I$3:I$94="P"))+IF(H41="L5",SUMPRODUCT((P$3:P$94="")*(O$3:O$94="")*(N$3:N$94="")*(M$3:M$94="P")*(G$3:G$94=G41)*(J$3:J$94&lt;J41)*(H$3:H$94&lt;&gt;H41)*(I$3:I$94="P")),-1*SUMPRODUCT((P$3:P$94="")*(O$3:O$94="")*(N$3:N$94="")*(M$3:M$94="P")*(G$3:G$94=G41)*(J$3:J$94&gt;J41)*(H$3:H$94="L5")*(I$3:I$94="P")))+1,"")))))</f>
        <v/>
      </c>
      <c r="B41" s="1" t="str" cm="1">
        <f t="array" ref="B41">IF(P41&lt;&gt;"",SUMPRODUCT((P$3:P$94&lt;&gt;"")*(G$3:G$94=G41)*(J$3:J$94&gt;J41))+1,IF(O41&lt;&gt;"",SUMPRODUCT((O$3:O$94&lt;&gt;"")*(P$3:P$94="")*(G$3:G$94=G41)*(J$3:J$94&gt;J41))+SUMPRODUCT((P$3:P$94&lt;&gt;"")*(G$3:G$94=G41))+1,IF(N41&lt;&gt;"",SUMPRODUCT((N$3:N$94&lt;&gt;"")*(G$3:G$94=G41)*(J$3:J$94&gt;J41))+1,IF(M41="P",SUMPRODUCT((O$3:O$94&lt;&gt;"")*(P$3:P$94="")*(G$3:G$94=G41))+SUMPRODUCT((P$3:P$94&lt;&gt;"")*(G$3:G$94=G41))+SUMPRODUCT((N$3:N$94&lt;&gt;"")*(G$3:G$94=G41))+SUMPRODUCT((P$3:P$94="")*(O$3:O$94="")*(N$3:N$94="")*(M$3:M$94="P")*(G$3:G$94=G41)*(J$3:J$94&gt;J41))+IF(H41="L5",SUMPRODUCT((P$3:P$94="")*(O$3:O$94="")*(N$3:N$94="")*(M$3:M$94="P")*(G$3:G$94=G41)*(J$3:J$94&lt;J41)*(H$3:H$94&lt;&gt;H41)),-1*SUMPRODUCT((P$3:P$94="")*(O$3:O$94="")*(N$3:N$94="")*(M$3:M$94="P")*(G$3:G$94=G41)*(J$3:J$94&gt;J41)*(H$3:H$94="L5")))+1,""))))</f>
        <v/>
      </c>
      <c r="C41" s="35" t="s">
        <v>365</v>
      </c>
      <c r="D41" t="str">
        <f>IF(E41="","",VLOOKUP(E41,'Coaching Points'!A:B,2,0))</f>
        <v>SK</v>
      </c>
      <c r="E41" s="35" t="s">
        <v>58</v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R41+S41+IF(OR(H41="Junior",H41="Senior"),0.0002,IF(OR(H41="L7",H41="L6"),0.0001,0))+MAX(Z41,AC41)*0.0000001</f>
        <v>66.900103410000014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MAX(T41-IF(OR(H41="L6"),V41,0),W41-IF(OR(H41="L6"),Y41,0),Z41-IF(OR(H41="L6"),AB41,0),AC41-IF(OR(H41="L6"),AE41,0))</f>
        <v>34.1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32.799999999999997</v>
      </c>
      <c r="T41" s="32">
        <v>32.799999999999997</v>
      </c>
      <c r="U41" s="37">
        <v>1.9</v>
      </c>
      <c r="V41" s="37">
        <v>0</v>
      </c>
      <c r="W41" s="33"/>
      <c r="X41" s="37"/>
      <c r="Y41" s="37"/>
      <c r="Z41" s="32">
        <v>34.1</v>
      </c>
      <c r="AA41" s="37">
        <v>3.5999999999999996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$94&lt;&gt;"")*(G$3:G$94=G42)*(J$3:J$94&gt;J42)*(I$3:I$94="P"))+1,IF(O42&lt;&gt;"",SUMPRODUCT((O$3:O$94&lt;&gt;"")*(P$3:P$94="")*(G$3:G$94=G42)*(J$3:J$94&gt;J42)*(I$3:I$94="P"))+SUMPRODUCT((P$3:P$94&lt;&gt;"")*(G$3:G$94=G42)*(I$3:I$94="P"))+1,IF(N42&lt;&gt;"",SUMPRODUCT((N$3:N$94&lt;&gt;"")*(G$3:G$94=G42)*(J$3:J$94&gt;J42)*(I$3:I$94="P"))+1,IF(M42="P",SUMPRODUCT((O$3:O$94&lt;&gt;"")*(P$3:P$94="")*(G$3:G$94=G42)*(I$3:I$94="P"))+SUMPRODUCT((P$3:P$94&lt;&gt;"")*(G$3:G$94=G42)*(I$3:I$94="P"))+SUMPRODUCT((N$3:N$94&lt;&gt;"")*(G$3:G$94=G42)*(I$3:I$94="P"))+SUMPRODUCT((P$3:P$94="")*(O$3:O$94="")*(N$3:N$94="")*(M$3:M$94="P")*(G$3:G$94=G42)*(J$3:J$94&gt;J42)*(I$3:I$94="P"))+IF(H42="L5",SUMPRODUCT((P$3:P$94="")*(O$3:O$94="")*(N$3:N$94="")*(M$3:M$94="P")*(G$3:G$94=G42)*(J$3:J$94&lt;J42)*(H$3:H$94&lt;&gt;H42)*(I$3:I$94="P")),-1*SUMPRODUCT((P$3:P$94="")*(O$3:O$94="")*(N$3:N$94="")*(M$3:M$94="P")*(G$3:G$94=G42)*(J$3:J$94&gt;J42)*(H$3:H$94="L5")*(I$3:I$94="P")))+1,"")))))</f>
        <v/>
      </c>
      <c r="B42" s="1" t="str" cm="1">
        <f t="array" ref="B42">IF(P42&lt;&gt;"",SUMPRODUCT((P$3:P$94&lt;&gt;"")*(G$3:G$94=G42)*(J$3:J$94&gt;J42))+1,IF(O42&lt;&gt;"",SUMPRODUCT((O$3:O$94&lt;&gt;"")*(P$3:P$94="")*(G$3:G$94=G42)*(J$3:J$94&gt;J42))+SUMPRODUCT((P$3:P$94&lt;&gt;"")*(G$3:G$94=G42))+1,IF(N42&lt;&gt;"",SUMPRODUCT((N$3:N$94&lt;&gt;"")*(G$3:G$94=G42)*(J$3:J$94&gt;J42))+1,IF(M42="P",SUMPRODUCT((O$3:O$94&lt;&gt;"")*(P$3:P$94="")*(G$3:G$94=G42))+SUMPRODUCT((P$3:P$94&lt;&gt;"")*(G$3:G$94=G42))+SUMPRODUCT((N$3:N$94&lt;&gt;"")*(G$3:G$94=G42))+SUMPRODUCT((P$3:P$94="")*(O$3:O$94="")*(N$3:N$94="")*(M$3:M$94="P")*(G$3:G$94=G42)*(J$3:J$94&gt;J42))+IF(H42="L5",SUMPRODUCT((P$3:P$94="")*(O$3:O$94="")*(N$3:N$94="")*(M$3:M$94="P")*(G$3:G$94=G42)*(J$3:J$94&lt;J42)*(H$3:H$94&lt;&gt;H42)),-1*SUMPRODUCT((P$3:P$94="")*(O$3:O$94="")*(N$3:N$94="")*(M$3:M$94="P")*(G$3:G$94=G42)*(J$3:J$94&gt;J42)*(H$3:H$94="L5")))+1,""))))</f>
        <v/>
      </c>
      <c r="C42" s="35" t="s">
        <v>371</v>
      </c>
      <c r="D42" t="str">
        <f>IF(E42="","",VLOOKUP(E42,'Coaching Points'!A:B,2,0))</f>
        <v>BC</v>
      </c>
      <c r="E42" s="35" t="s">
        <v>55</v>
      </c>
      <c r="F42" s="34">
        <v>2008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59.000003900000003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MAX(T42-IF(OR(H42="L6"),V42,0),W42-IF(OR(H42="L6"),Y42,0),Z42-IF(OR(H42="L6"),AB42,0),AC42-IF(OR(H42="L6"),AE42,0))</f>
        <v>39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20</v>
      </c>
      <c r="T42" s="32">
        <v>20</v>
      </c>
      <c r="U42" s="37">
        <v>3.4</v>
      </c>
      <c r="V42" s="37">
        <v>0</v>
      </c>
      <c r="W42" s="33"/>
      <c r="X42" s="37"/>
      <c r="Y42" s="37"/>
      <c r="Z42" s="32">
        <v>39</v>
      </c>
      <c r="AA42" s="37">
        <v>7.8000000000000007</v>
      </c>
      <c r="AB42" s="37">
        <v>0</v>
      </c>
      <c r="AC42" s="33"/>
      <c r="AD42" s="37"/>
      <c r="AE42" s="37"/>
    </row>
    <row r="43" spans="1:31" x14ac:dyDescent="0.2">
      <c r="A43" s="1" t="str" cm="1">
        <f t="array" ref="A43">IF(I43="","",IF(P43&lt;&gt;"",SUMPRODUCT((P$3:P$94&lt;&gt;"")*(G$3:G$94=G43)*(J$3:J$94&gt;J43)*(I$3:I$94="P"))+1,IF(O43&lt;&gt;"",SUMPRODUCT((O$3:O$94&lt;&gt;"")*(P$3:P$94="")*(G$3:G$94=G43)*(J$3:J$94&gt;J43)*(I$3:I$94="P"))+SUMPRODUCT((P$3:P$94&lt;&gt;"")*(G$3:G$94=G43)*(I$3:I$94="P"))+1,IF(N43&lt;&gt;"",SUMPRODUCT((N$3:N$94&lt;&gt;"")*(G$3:G$94=G43)*(J$3:J$94&gt;J43)*(I$3:I$94="P"))+1,IF(M43="P",SUMPRODUCT((O$3:O$94&lt;&gt;"")*(P$3:P$94="")*(G$3:G$94=G43)*(I$3:I$94="P"))+SUMPRODUCT((P$3:P$94&lt;&gt;"")*(G$3:G$94=G43)*(I$3:I$94="P"))+SUMPRODUCT((N$3:N$94&lt;&gt;"")*(G$3:G$94=G43)*(I$3:I$94="P"))+SUMPRODUCT((P$3:P$94="")*(O$3:O$94="")*(N$3:N$94="")*(M$3:M$94="P")*(G$3:G$94=G43)*(J$3:J$94&gt;J43)*(I$3:I$94="P"))+IF(H43="L5",SUMPRODUCT((P$3:P$94="")*(O$3:O$94="")*(N$3:N$94="")*(M$3:M$94="P")*(G$3:G$94=G43)*(J$3:J$94&lt;J43)*(H$3:H$94&lt;&gt;H43)*(I$3:I$94="P")),-1*SUMPRODUCT((P$3:P$94="")*(O$3:O$94="")*(N$3:N$94="")*(M$3:M$94="P")*(G$3:G$94=G43)*(J$3:J$94&gt;J43)*(H$3:H$94="L5")*(I$3:I$94="P")))+1,"")))))</f>
        <v/>
      </c>
      <c r="B43" s="1" t="str" cm="1">
        <f t="array" ref="B43">IF(P43&lt;&gt;"",SUMPRODUCT((P$3:P$94&lt;&gt;"")*(G$3:G$94=G43)*(J$3:J$94&gt;J43))+1,IF(O43&lt;&gt;"",SUMPRODUCT((O$3:O$94&lt;&gt;"")*(P$3:P$94="")*(G$3:G$94=G43)*(J$3:J$94&gt;J43))+SUMPRODUCT((P$3:P$94&lt;&gt;"")*(G$3:G$94=G43))+1,IF(N43&lt;&gt;"",SUMPRODUCT((N$3:N$94&lt;&gt;"")*(G$3:G$94=G43)*(J$3:J$94&gt;J43))+1,IF(M43="P",SUMPRODUCT((O$3:O$94&lt;&gt;"")*(P$3:P$94="")*(G$3:G$94=G43))+SUMPRODUCT((P$3:P$94&lt;&gt;"")*(G$3:G$94=G43))+SUMPRODUCT((N$3:N$94&lt;&gt;"")*(G$3:G$94=G43))+SUMPRODUCT((P$3:P$94="")*(O$3:O$94="")*(N$3:N$94="")*(M$3:M$94="P")*(G$3:G$94=G43)*(J$3:J$94&gt;J43))+IF(H43="L5",SUMPRODUCT((P$3:P$94="")*(O$3:O$94="")*(N$3:N$94="")*(M$3:M$94="P")*(G$3:G$94=G43)*(J$3:J$94&lt;J43)*(H$3:H$94&lt;&gt;H43)),-1*SUMPRODUCT((P$3:P$94="")*(O$3:O$94="")*(N$3:N$94="")*(M$3:M$94="P")*(G$3:G$94=G43)*(J$3:J$94&gt;J43)*(H$3:H$94="L5")))+1,""))))</f>
        <v/>
      </c>
      <c r="C43" s="35" t="s">
        <v>429</v>
      </c>
      <c r="D43" t="str">
        <f>IF(E43="","",VLOOKUP(E43,'Coaching Points'!A:B,2,0))</f>
        <v>AB</v>
      </c>
      <c r="E43" s="35" t="s">
        <v>144</v>
      </c>
      <c r="F43" s="34">
        <v>2006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213</v>
      </c>
      <c r="I43" s="40"/>
      <c r="J43" s="4">
        <f>R43+S43+IF(OR(H43="Junior",H43="Senior"),0.0002,IF(OR(H43="L7",H43="L6"),0.0001,0))+MAX(Z43,AC43)*0.0000001</f>
        <v>43.500104350000001</v>
      </c>
      <c r="K43" s="3" t="str">
        <f>IF(G43="Not Age Eligible","",IF(MAX(T43,W43,Z43,AC43)&gt;=LOOKUP(G43,'Qualifying Scores'!$A$4:$A$7,'Qualifying Scores'!$G$4:$G$7),"P",""))</f>
        <v/>
      </c>
      <c r="L43" s="3" t="str">
        <f>IF(G43="Not Age Eligible","",IF(MAX(U43,X43,AA43,AD43)&gt;=LOOKUP(G43,'Qualifying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/>
      </c>
      <c r="Q43" s="1" t="str">
        <f>IF(A43&lt;5,IF(_xlfn.MAXIFS(A:A,G:G,G43)&gt;3,5-A43,_xlfn.MAXIFS(A:A,G:G,G43)+1-A43),"")</f>
        <v/>
      </c>
      <c r="R43" s="4">
        <f>MAX(T43-IF(OR(H43="L6"),V43,0),W43-IF(OR(H43="L6"),Y43,0),Z43-IF(OR(H43="L6"),AB43,0),AC43-IF(OR(H43="L6"),AE43,0))</f>
        <v>43.5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0</v>
      </c>
      <c r="T43" s="32"/>
      <c r="U43" s="37"/>
      <c r="V43" s="37"/>
      <c r="W43" s="33"/>
      <c r="X43" s="37"/>
      <c r="Y43" s="37"/>
      <c r="Z43" s="32">
        <v>43.5</v>
      </c>
      <c r="AA43" s="37">
        <v>8</v>
      </c>
      <c r="AB43" s="37">
        <v>0</v>
      </c>
      <c r="AC43" s="33"/>
      <c r="AD43" s="37"/>
      <c r="AE43" s="37"/>
    </row>
    <row r="44" spans="1:31" x14ac:dyDescent="0.2">
      <c r="A44" s="1" t="str" cm="1">
        <f t="array" ref="A44">IF(I44="","",IF(P44&lt;&gt;"",SUMPRODUCT((P$3:P$94&lt;&gt;"")*(G$3:G$94=G44)*(J$3:J$94&gt;J44)*(I$3:I$94="P"))+1,IF(O44&lt;&gt;"",SUMPRODUCT((O$3:O$94&lt;&gt;"")*(P$3:P$94="")*(G$3:G$94=G44)*(J$3:J$94&gt;J44)*(I$3:I$94="P"))+SUMPRODUCT((P$3:P$94&lt;&gt;"")*(G$3:G$94=G44)*(I$3:I$94="P"))+1,IF(N44&lt;&gt;"",SUMPRODUCT((N$3:N$94&lt;&gt;"")*(G$3:G$94=G44)*(J$3:J$94&gt;J44)*(I$3:I$94="P"))+1,IF(M44="P",SUMPRODUCT((O$3:O$94&lt;&gt;"")*(P$3:P$94="")*(G$3:G$94=G44)*(I$3:I$94="P"))+SUMPRODUCT((P$3:P$94&lt;&gt;"")*(G$3:G$94=G44)*(I$3:I$94="P"))+SUMPRODUCT((N$3:N$94&lt;&gt;"")*(G$3:G$94=G44)*(I$3:I$94="P"))+SUMPRODUCT((P$3:P$94="")*(O$3:O$94="")*(N$3:N$94="")*(M$3:M$94="P")*(G$3:G$94=G44)*(J$3:J$94&gt;J44)*(I$3:I$94="P"))+IF(H44="L5",SUMPRODUCT((P$3:P$94="")*(O$3:O$94="")*(N$3:N$94="")*(M$3:M$94="P")*(G$3:G$94=G44)*(J$3:J$94&lt;J44)*(H$3:H$94&lt;&gt;H44)*(I$3:I$94="P")),-1*SUMPRODUCT((P$3:P$94="")*(O$3:O$94="")*(N$3:N$94="")*(M$3:M$94="P")*(G$3:G$94=G44)*(J$3:J$94&gt;J44)*(H$3:H$94="L5")*(I$3:I$94="P")))+1,"")))))</f>
        <v/>
      </c>
      <c r="B44" s="1" t="str" cm="1">
        <f t="array" ref="B44">IF(P44&lt;&gt;"",SUMPRODUCT((P$3:P$94&lt;&gt;"")*(G$3:G$94=G44)*(J$3:J$94&gt;J44))+1,IF(O44&lt;&gt;"",SUMPRODUCT((O$3:O$94&lt;&gt;"")*(P$3:P$94="")*(G$3:G$94=G44)*(J$3:J$94&gt;J44))+SUMPRODUCT((P$3:P$94&lt;&gt;"")*(G$3:G$94=G44))+1,IF(N44&lt;&gt;"",SUMPRODUCT((N$3:N$94&lt;&gt;"")*(G$3:G$94=G44)*(J$3:J$94&gt;J44))+1,IF(M44="P",SUMPRODUCT((O$3:O$94&lt;&gt;"")*(P$3:P$94="")*(G$3:G$94=G44))+SUMPRODUCT((P$3:P$94&lt;&gt;"")*(G$3:G$94=G44))+SUMPRODUCT((N$3:N$94&lt;&gt;"")*(G$3:G$94=G44))+SUMPRODUCT((P$3:P$94="")*(O$3:O$94="")*(N$3:N$94="")*(M$3:M$94="P")*(G$3:G$94=G44)*(J$3:J$94&gt;J44))+IF(H44="L5",SUMPRODUCT((P$3:P$94="")*(O$3:O$94="")*(N$3:N$94="")*(M$3:M$94="P")*(G$3:G$94=G44)*(J$3:J$94&lt;J44)*(H$3:H$94&lt;&gt;H44)),-1*SUMPRODUCT((P$3:P$94="")*(O$3:O$94="")*(N$3:N$94="")*(M$3:M$94="P")*(G$3:G$94=G44)*(J$3:J$94&gt;J44)*(H$3:H$94="L5")))+1,""))))</f>
        <v/>
      </c>
      <c r="C44" s="35" t="s">
        <v>501</v>
      </c>
      <c r="D44" t="str">
        <f>IF(E44="","",VLOOKUP(E44,'Coaching Points'!A:B,2,0))</f>
        <v>ON</v>
      </c>
      <c r="E44" s="35" t="s">
        <v>45</v>
      </c>
      <c r="F44" s="34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>R44+S44+IF(OR(H44="Junior",H44="Senior"),0.0002,IF(OR(H44="L7",H44="L6"),0.0001,0))+MAX(Z44,AC44)*0.0000001</f>
        <v>43.300104330000003</v>
      </c>
      <c r="K44" s="3" t="str">
        <f>IF(G44="Not Age Eligible","",IF(MAX(T44,W44,Z44,AC44)&gt;=LOOKUP(G44,'Qualifying Scores'!$A$4:$A$7,'Qualifying Scores'!$G$4:$G$7),"P",""))</f>
        <v/>
      </c>
      <c r="L44" s="3" t="str">
        <f>IF(G44="Not Age Eligible","",IF(MAX(U44,X44,AA44,AD44)&gt;=LOOKUP(G44,'Qualifying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/>
      </c>
      <c r="Q44" s="1" t="str">
        <f>IF(A44&lt;5,IF(_xlfn.MAXIFS(A:A,G:G,G44)&gt;3,5-A44,_xlfn.MAXIFS(A:A,G:G,G44)+1-A44),"")</f>
        <v/>
      </c>
      <c r="R44" s="4">
        <f>MAX(T44-IF(OR(H44="L6"),V44,0),W44-IF(OR(H44="L6"),Y44,0),Z44-IF(OR(H44="L6"),AB44,0),AC44-IF(OR(H44="L6"),AE44,0))</f>
        <v>43.3</v>
      </c>
      <c r="S44" s="4">
        <f>IF(R44=T44-IF(OR(H44="L6"),V44,0),MAX(W44-IF(OR(H44="L6"),Y44,0),Z44-IF(OR(H44="L6"),AB44,0),AC44-IF(OR(H44="L6"),AE44,0)),IF(R44=W44-IF(OR(H44="L6"),Y44,0),MAX(T44-IF(OR(H44="L6"),V44,0),Z44-IF(OR(H44="L6"),AB44,0),AC44-IF(OR(H44="L6"),AE44,0)),IF(R44=Z44-IF(OR(H44="L6"),AB44,0),MAX(T44-IF(OR(H44="L6"),V44,0),W44-IF(OR(H44="L6"),Y44,0),AC44-IF(OR(H44="L6"),AE44,0)),IF(R44=AC44-IF(OR(H44="L6"),AE44,0),MAX(T44-IF(OR(H44="L6"),V44,0),W44-IF(OR(H44="L6"),Y44,0),Z44-IF(OR(H44="L6"),AB44,0)),0))))</f>
        <v>0</v>
      </c>
      <c r="T44" s="32"/>
      <c r="U44" s="37"/>
      <c r="V44" s="37"/>
      <c r="W44" s="33"/>
      <c r="X44" s="37"/>
      <c r="Y44" s="37"/>
      <c r="Z44" s="32">
        <v>43.3</v>
      </c>
      <c r="AA44" s="37">
        <v>6.3000000000000007</v>
      </c>
      <c r="AB44" s="37">
        <v>0</v>
      </c>
      <c r="AC44" s="33"/>
      <c r="AD44" s="37"/>
      <c r="AE44" s="37"/>
    </row>
    <row r="45" spans="1:31" x14ac:dyDescent="0.2">
      <c r="A45" s="1" t="str" cm="1">
        <f t="array" ref="A45">IF(I45="","",IF(P45&lt;&gt;"",SUMPRODUCT((P$3:P$94&lt;&gt;"")*(G$3:G$94=G45)*(J$3:J$94&gt;J45)*(I$3:I$94="P"))+1,IF(O45&lt;&gt;"",SUMPRODUCT((O$3:O$94&lt;&gt;"")*(P$3:P$94="")*(G$3:G$94=G45)*(J$3:J$94&gt;J45)*(I$3:I$94="P"))+SUMPRODUCT((P$3:P$94&lt;&gt;"")*(G$3:G$94=G45)*(I$3:I$94="P"))+1,IF(N45&lt;&gt;"",SUMPRODUCT((N$3:N$94&lt;&gt;"")*(G$3:G$94=G45)*(J$3:J$94&gt;J45)*(I$3:I$94="P"))+1,IF(M45="P",SUMPRODUCT((O$3:O$94&lt;&gt;"")*(P$3:P$94="")*(G$3:G$94=G45)*(I$3:I$94="P"))+SUMPRODUCT((P$3:P$94&lt;&gt;"")*(G$3:G$94=G45)*(I$3:I$94="P"))+SUMPRODUCT((N$3:N$94&lt;&gt;"")*(G$3:G$94=G45)*(I$3:I$94="P"))+SUMPRODUCT((P$3:P$94="")*(O$3:O$94="")*(N$3:N$94="")*(M$3:M$94="P")*(G$3:G$94=G45)*(J$3:J$94&gt;J45)*(I$3:I$94="P"))+IF(H45="L5",SUMPRODUCT((P$3:P$94="")*(O$3:O$94="")*(N$3:N$94="")*(M$3:M$94="P")*(G$3:G$94=G45)*(J$3:J$94&lt;J45)*(H$3:H$94&lt;&gt;H45)*(I$3:I$94="P")),-1*SUMPRODUCT((P$3:P$94="")*(O$3:O$94="")*(N$3:N$94="")*(M$3:M$94="P")*(G$3:G$94=G45)*(J$3:J$94&gt;J45)*(H$3:H$94="L5")*(I$3:I$94="P")))+1,"")))))</f>
        <v/>
      </c>
      <c r="B45" s="1" t="str" cm="1">
        <f t="array" ref="B45">IF(P45&lt;&gt;"",SUMPRODUCT((P$3:P$94&lt;&gt;"")*(G$3:G$94=G45)*(J$3:J$94&gt;J45))+1,IF(O45&lt;&gt;"",SUMPRODUCT((O$3:O$94&lt;&gt;"")*(P$3:P$94="")*(G$3:G$94=G45)*(J$3:J$94&gt;J45))+SUMPRODUCT((P$3:P$94&lt;&gt;"")*(G$3:G$94=G45))+1,IF(N45&lt;&gt;"",SUMPRODUCT((N$3:N$94&lt;&gt;"")*(G$3:G$94=G45)*(J$3:J$94&gt;J45))+1,IF(M45="P",SUMPRODUCT((O$3:O$94&lt;&gt;"")*(P$3:P$94="")*(G$3:G$94=G45))+SUMPRODUCT((P$3:P$94&lt;&gt;"")*(G$3:G$94=G45))+SUMPRODUCT((N$3:N$94&lt;&gt;"")*(G$3:G$94=G45))+SUMPRODUCT((P$3:P$94="")*(O$3:O$94="")*(N$3:N$94="")*(M$3:M$94="P")*(G$3:G$94=G45)*(J$3:J$94&gt;J45))+IF(H45="L5",SUMPRODUCT((P$3:P$94="")*(O$3:O$94="")*(N$3:N$94="")*(M$3:M$94="P")*(G$3:G$94=G45)*(J$3:J$94&lt;J45)*(H$3:H$94&lt;&gt;H45)),-1*SUMPRODUCT((P$3:P$94="")*(O$3:O$94="")*(N$3:N$94="")*(M$3:M$94="P")*(G$3:G$94=G45)*(J$3:J$94&gt;J45)*(H$3:H$94="L5")))+1,""))))</f>
        <v/>
      </c>
      <c r="C45" s="35" t="s">
        <v>419</v>
      </c>
      <c r="D45" t="str">
        <f>IF(E45="","",VLOOKUP(E45,'Coaching Points'!A:B,2,0))</f>
        <v>QC</v>
      </c>
      <c r="E45" s="35" t="s">
        <v>3</v>
      </c>
      <c r="F45" s="34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214</v>
      </c>
      <c r="I45" s="40"/>
      <c r="J45" s="4">
        <f>R45+S45+IF(OR(H45="Junior",H45="Senior"),0.0002,IF(OR(H45="L7",H45="L6"),0.0001,0))+MAX(Z45,AC45)*0.0000001</f>
        <v>42.900004289999998</v>
      </c>
      <c r="K45" s="3" t="str">
        <f>IF(G45="Not Age Eligible","",IF(MAX(T45,W45,Z45,AC45)&gt;=LOOKUP(G45,'Qualifying Scores'!$A$4:$A$7,'Qualifying Scores'!$G$4:$G$7),"P",""))</f>
        <v/>
      </c>
      <c r="L45" s="3" t="str">
        <f>IF(G45="Not Age Eligible","",IF(MAX(U45,X45,AA45,AD45)&gt;=LOOKUP(G45,'Qualifying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/>
      </c>
      <c r="Q45" s="1" t="str">
        <f>IF(A45&lt;5,IF(_xlfn.MAXIFS(A:A,G:G,G45)&gt;3,5-A45,_xlfn.MAXIFS(A:A,G:G,G45)+1-A45),"")</f>
        <v/>
      </c>
      <c r="R45" s="4">
        <f>MAX(T45-IF(OR(H45="L6"),V45,0),W45-IF(OR(H45="L6"),Y45,0),Z45-IF(OR(H45="L6"),AB45,0),AC45-IF(OR(H45="L6"),AE45,0))</f>
        <v>42.9</v>
      </c>
      <c r="S45" s="4">
        <f>IF(R45=T45-IF(OR(H45="L6"),V45,0),MAX(W45-IF(OR(H45="L6"),Y45,0),Z45-IF(OR(H45="L6"),AB45,0),AC45-IF(OR(H45="L6"),AE45,0)),IF(R45=W45-IF(OR(H45="L6"),Y45,0),MAX(T45-IF(OR(H45="L6"),V45,0),Z45-IF(OR(H45="L6"),AB45,0),AC45-IF(OR(H45="L6"),AE45,0)),IF(R45=Z45-IF(OR(H45="L6"),AB45,0),MAX(T45-IF(OR(H45="L6"),V45,0),W45-IF(OR(H45="L6"),Y45,0),AC45-IF(OR(H45="L6"),AE45,0)),IF(R45=AC45-IF(OR(H45="L6"),AE45,0),MAX(T45-IF(OR(H45="L6"),V45,0),W45-IF(OR(H45="L6"),Y45,0),Z45-IF(OR(H45="L6"),AB45,0)),0))))</f>
        <v>0</v>
      </c>
      <c r="T45" s="32"/>
      <c r="U45" s="37"/>
      <c r="V45" s="37"/>
      <c r="W45" s="33"/>
      <c r="X45" s="37"/>
      <c r="Y45" s="37"/>
      <c r="Z45" s="32">
        <v>42.9</v>
      </c>
      <c r="AA45" s="37">
        <v>5.6</v>
      </c>
      <c r="AB45" s="37">
        <v>0</v>
      </c>
      <c r="AC45" s="33"/>
      <c r="AD45" s="37"/>
      <c r="AE45" s="37"/>
    </row>
    <row r="46" spans="1:31" x14ac:dyDescent="0.2">
      <c r="A46" s="1" t="str" cm="1">
        <f t="array" ref="A46">IF(I46="","",IF(P46&lt;&gt;"",SUMPRODUCT((P$3:P$94&lt;&gt;"")*(G$3:G$94=G46)*(J$3:J$94&gt;J46)*(I$3:I$94="P"))+1,IF(O46&lt;&gt;"",SUMPRODUCT((O$3:O$94&lt;&gt;"")*(P$3:P$94="")*(G$3:G$94=G46)*(J$3:J$94&gt;J46)*(I$3:I$94="P"))+SUMPRODUCT((P$3:P$94&lt;&gt;"")*(G$3:G$94=G46)*(I$3:I$94="P"))+1,IF(N46&lt;&gt;"",SUMPRODUCT((N$3:N$94&lt;&gt;"")*(G$3:G$94=G46)*(J$3:J$94&gt;J46)*(I$3:I$94="P"))+1,IF(M46="P",SUMPRODUCT((O$3:O$94&lt;&gt;"")*(P$3:P$94="")*(G$3:G$94=G46)*(I$3:I$94="P"))+SUMPRODUCT((P$3:P$94&lt;&gt;"")*(G$3:G$94=G46)*(I$3:I$94="P"))+SUMPRODUCT((N$3:N$94&lt;&gt;"")*(G$3:G$94=G46)*(I$3:I$94="P"))+SUMPRODUCT((P$3:P$94="")*(O$3:O$94="")*(N$3:N$94="")*(M$3:M$94="P")*(G$3:G$94=G46)*(J$3:J$94&gt;J46)*(I$3:I$94="P"))+IF(H46="L5",SUMPRODUCT((P$3:P$94="")*(O$3:O$94="")*(N$3:N$94="")*(M$3:M$94="P")*(G$3:G$94=G46)*(J$3:J$94&lt;J46)*(H$3:H$94&lt;&gt;H46)*(I$3:I$94="P")),-1*SUMPRODUCT((P$3:P$94="")*(O$3:O$94="")*(N$3:N$94="")*(M$3:M$94="P")*(G$3:G$94=G46)*(J$3:J$94&gt;J46)*(H$3:H$94="L5")*(I$3:I$94="P")))+1,"")))))</f>
        <v/>
      </c>
      <c r="B46" s="1" t="str" cm="1">
        <f t="array" ref="B46">IF(P46&lt;&gt;"",SUMPRODUCT((P$3:P$94&lt;&gt;"")*(G$3:G$94=G46)*(J$3:J$94&gt;J46))+1,IF(O46&lt;&gt;"",SUMPRODUCT((O$3:O$94&lt;&gt;"")*(P$3:P$94="")*(G$3:G$94=G46)*(J$3:J$94&gt;J46))+SUMPRODUCT((P$3:P$94&lt;&gt;"")*(G$3:G$94=G46))+1,IF(N46&lt;&gt;"",SUMPRODUCT((N$3:N$94&lt;&gt;"")*(G$3:G$94=G46)*(J$3:J$94&gt;J46))+1,IF(M46="P",SUMPRODUCT((O$3:O$94&lt;&gt;"")*(P$3:P$94="")*(G$3:G$94=G46))+SUMPRODUCT((P$3:P$94&lt;&gt;"")*(G$3:G$94=G46))+SUMPRODUCT((N$3:N$94&lt;&gt;"")*(G$3:G$94=G46))+SUMPRODUCT((P$3:P$94="")*(O$3:O$94="")*(N$3:N$94="")*(M$3:M$94="P")*(G$3:G$94=G46)*(J$3:J$94&gt;J46))+IF(H46="L5",SUMPRODUCT((P$3:P$94="")*(O$3:O$94="")*(N$3:N$94="")*(M$3:M$94="P")*(G$3:G$94=G46)*(J$3:J$94&lt;J46)*(H$3:H$94&lt;&gt;H46)),-1*SUMPRODUCT((P$3:P$94="")*(O$3:O$94="")*(N$3:N$94="")*(M$3:M$94="P")*(G$3:G$94=G46)*(J$3:J$94&gt;J46)*(H$3:H$94="L5")))+1,""))))</f>
        <v/>
      </c>
      <c r="C46" s="35" t="s">
        <v>262</v>
      </c>
      <c r="D46" t="str">
        <f>IF(E46="","",VLOOKUP(E46,'Coaching Points'!A:B,2,0))</f>
        <v>QC</v>
      </c>
      <c r="E46" s="35" t="s">
        <v>3</v>
      </c>
      <c r="F46" s="34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R46+S46+IF(OR(H46="Junior",H46="Senior"),0.0002,IF(OR(H46="L7",H46="L6"),0.0001,0))+MAX(Z46,AC46)*0.0000001</f>
        <v>42.4</v>
      </c>
      <c r="K46" s="3" t="str">
        <f>IF(G46="Not Age Eligible","",IF(MAX(T46,W46,Z46,AC46)&gt;=LOOKUP(G46,'Qualifying Scores'!$A$4:$A$7,'Qualifying Scores'!$G$4:$G$7),"P",""))</f>
        <v/>
      </c>
      <c r="L46" s="3" t="str">
        <f>IF(G46="Not Age Eligible","",IF(MAX(U46,X46,AA46,AD46)&gt;=LOOKUP(G46,'Qualifying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/>
      </c>
      <c r="Q46" s="1" t="str">
        <f>IF(A46&lt;5,IF(_xlfn.MAXIFS(A:A,G:G,G46)&gt;3,5-A46,_xlfn.MAXIFS(A:A,G:G,G46)+1-A46),"")</f>
        <v/>
      </c>
      <c r="R46" s="4">
        <f>MAX(T46-IF(OR(H46="L6"),V46,0),W46-IF(OR(H46="L6"),Y46,0),Z46-IF(OR(H46="L6"),AB46,0),AC46-IF(OR(H46="L6"),AE46,0))</f>
        <v>42.4</v>
      </c>
      <c r="S46" s="4">
        <f>IF(R46=T46-IF(OR(H46="L6"),V46,0),MAX(W46-IF(OR(H46="L6"),Y46,0),Z46-IF(OR(H46="L6"),AB46,0),AC46-IF(OR(H46="L6"),AE46,0)),IF(R46=W46-IF(OR(H46="L6"),Y46,0),MAX(T46-IF(OR(H46="L6"),V46,0),Z46-IF(OR(H46="L6"),AB46,0),AC46-IF(OR(H46="L6"),AE46,0)),IF(R46=Z46-IF(OR(H46="L6"),AB46,0),MAX(T46-IF(OR(H46="L6"),V46,0),W46-IF(OR(H46="L6"),Y46,0),AC46-IF(OR(H46="L6"),AE46,0)),IF(R46=AC46-IF(OR(H46="L6"),AE46,0),MAX(T46-IF(OR(H46="L6"),V46,0),W46-IF(OR(H46="L6"),Y46,0),Z46-IF(OR(H46="L6"),AB46,0)),0))))</f>
        <v>0</v>
      </c>
      <c r="T46" s="32">
        <v>42.4</v>
      </c>
      <c r="U46" s="37">
        <v>5.6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$94&lt;&gt;"")*(G$3:G$94=G47)*(J$3:J$94&gt;J47)*(I$3:I$94="P"))+1,IF(O47&lt;&gt;"",SUMPRODUCT((O$3:O$94&lt;&gt;"")*(P$3:P$94="")*(G$3:G$94=G47)*(J$3:J$94&gt;J47)*(I$3:I$94="P"))+SUMPRODUCT((P$3:P$94&lt;&gt;"")*(G$3:G$94=G47)*(I$3:I$94="P"))+1,IF(N47&lt;&gt;"",SUMPRODUCT((N$3:N$94&lt;&gt;"")*(G$3:G$94=G47)*(J$3:J$94&gt;J47)*(I$3:I$94="P"))+1,IF(M47="P",SUMPRODUCT((O$3:O$94&lt;&gt;"")*(P$3:P$94="")*(G$3:G$94=G47)*(I$3:I$94="P"))+SUMPRODUCT((P$3:P$94&lt;&gt;"")*(G$3:G$94=G47)*(I$3:I$94="P"))+SUMPRODUCT((N$3:N$94&lt;&gt;"")*(G$3:G$94=G47)*(I$3:I$94="P"))+SUMPRODUCT((P$3:P$94="")*(O$3:O$94="")*(N$3:N$94="")*(M$3:M$94="P")*(G$3:G$94=G47)*(J$3:J$94&gt;J47)*(I$3:I$94="P"))+IF(H47="L5",SUMPRODUCT((P$3:P$94="")*(O$3:O$94="")*(N$3:N$94="")*(M$3:M$94="P")*(G$3:G$94=G47)*(J$3:J$94&lt;J47)*(H$3:H$94&lt;&gt;H47)*(I$3:I$94="P")),-1*SUMPRODUCT((P$3:P$94="")*(O$3:O$94="")*(N$3:N$94="")*(M$3:M$94="P")*(G$3:G$94=G47)*(J$3:J$94&gt;J47)*(H$3:H$94="L5")*(I$3:I$94="P")))+1,"")))))</f>
        <v/>
      </c>
      <c r="B47" s="1" t="str" cm="1">
        <f t="array" ref="B47">IF(P47&lt;&gt;"",SUMPRODUCT((P$3:P$94&lt;&gt;"")*(G$3:G$94=G47)*(J$3:J$94&gt;J47))+1,IF(O47&lt;&gt;"",SUMPRODUCT((O$3:O$94&lt;&gt;"")*(P$3:P$94="")*(G$3:G$94=G47)*(J$3:J$94&gt;J47))+SUMPRODUCT((P$3:P$94&lt;&gt;"")*(G$3:G$94=G47))+1,IF(N47&lt;&gt;"",SUMPRODUCT((N$3:N$94&lt;&gt;"")*(G$3:G$94=G47)*(J$3:J$94&gt;J47))+1,IF(M47="P",SUMPRODUCT((O$3:O$94&lt;&gt;"")*(P$3:P$94="")*(G$3:G$94=G47))+SUMPRODUCT((P$3:P$94&lt;&gt;"")*(G$3:G$94=G47))+SUMPRODUCT((N$3:N$94&lt;&gt;"")*(G$3:G$94=G47))+SUMPRODUCT((P$3:P$94="")*(O$3:O$94="")*(N$3:N$94="")*(M$3:M$94="P")*(G$3:G$94=G47)*(J$3:J$94&gt;J47))+IF(H47="L5",SUMPRODUCT((P$3:P$94="")*(O$3:O$94="")*(N$3:N$94="")*(M$3:M$94="P")*(G$3:G$94=G47)*(J$3:J$94&lt;J47)*(H$3:H$94&lt;&gt;H47)),-1*SUMPRODUCT((P$3:P$94="")*(O$3:O$94="")*(N$3:N$94="")*(M$3:M$94="P")*(G$3:G$94=G47)*(J$3:J$94&gt;J47)*(H$3:H$94="L5")))+1,""))))</f>
        <v/>
      </c>
      <c r="C47" s="35" t="s">
        <v>428</v>
      </c>
      <c r="D47" t="str">
        <f>IF(E47="","",VLOOKUP(E47,'Coaching Points'!A:B,2,0))</f>
        <v>ON</v>
      </c>
      <c r="E47" s="35" t="s">
        <v>84</v>
      </c>
      <c r="F47" s="34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R47+S47+IF(OR(H47="Junior",H47="Senior"),0.0002,IF(OR(H47="L7",H47="L6"),0.0001,0))+MAX(Z47,AC47)*0.0000001</f>
        <v>41.800004179999995</v>
      </c>
      <c r="K47" s="3" t="str">
        <f>IF(G47="Not Age Eligible","",IF(MAX(T47,W47,Z47,AC47)&gt;=LOOKUP(G47,'Qualifying Scores'!$A$4:$A$7,'Qualifying Scores'!$G$4:$G$7),"P",""))</f>
        <v/>
      </c>
      <c r="L47" s="3" t="str">
        <f>IF(G47="Not Age Eligible","",IF(MAX(U47,X47,AA47,AD47)&gt;=LOOKUP(G47,'Qualifying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/>
      </c>
      <c r="Q47" s="1" t="str">
        <f>IF(A47&lt;5,IF(_xlfn.MAXIFS(A:A,G:G,G47)&gt;3,5-A47,_xlfn.MAXIFS(A:A,G:G,G47)+1-A47),"")</f>
        <v/>
      </c>
      <c r="R47" s="4">
        <f>MAX(T47-IF(OR(H47="L6"),V47,0),W47-IF(OR(H47="L6"),Y47,0),Z47-IF(OR(H47="L6"),AB47,0),AC47-IF(OR(H47="L6"),AE47,0))</f>
        <v>41.8</v>
      </c>
      <c r="S47" s="4">
        <f>IF(R47=T47-IF(OR(H47="L6"),V47,0),MAX(W47-IF(OR(H47="L6"),Y47,0),Z47-IF(OR(H47="L6"),AB47,0),AC47-IF(OR(H47="L6"),AE47,0)),IF(R47=W47-IF(OR(H47="L6"),Y47,0),MAX(T47-IF(OR(H47="L6"),V47,0),Z47-IF(OR(H47="L6"),AB47,0),AC47-IF(OR(H47="L6"),AE47,0)),IF(R47=Z47-IF(OR(H47="L6"),AB47,0),MAX(T47-IF(OR(H47="L6"),V47,0),W47-IF(OR(H47="L6"),Y47,0),AC47-IF(OR(H47="L6"),AE47,0)),IF(R47=AC47-IF(OR(H47="L6"),AE47,0),MAX(T47-IF(OR(H47="L6"),V47,0),W47-IF(OR(H47="L6"),Y47,0),Z47-IF(OR(H47="L6"),AB47,0)),0))))</f>
        <v>0</v>
      </c>
      <c r="T47" s="32"/>
      <c r="U47" s="37"/>
      <c r="V47" s="37"/>
      <c r="W47" s="33"/>
      <c r="X47" s="37"/>
      <c r="Y47" s="37"/>
      <c r="Z47" s="32">
        <v>41.8</v>
      </c>
      <c r="AA47" s="37">
        <v>6.6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$94&lt;&gt;"")*(G$3:G$94=G48)*(J$3:J$94&gt;J48)*(I$3:I$94="P"))+1,IF(O48&lt;&gt;"",SUMPRODUCT((O$3:O$94&lt;&gt;"")*(P$3:P$94="")*(G$3:G$94=G48)*(J$3:J$94&gt;J48)*(I$3:I$94="P"))+SUMPRODUCT((P$3:P$94&lt;&gt;"")*(G$3:G$94=G48)*(I$3:I$94="P"))+1,IF(N48&lt;&gt;"",SUMPRODUCT((N$3:N$94&lt;&gt;"")*(G$3:G$94=G48)*(J$3:J$94&gt;J48)*(I$3:I$94="P"))+1,IF(M48="P",SUMPRODUCT((O$3:O$94&lt;&gt;"")*(P$3:P$94="")*(G$3:G$94=G48)*(I$3:I$94="P"))+SUMPRODUCT((P$3:P$94&lt;&gt;"")*(G$3:G$94=G48)*(I$3:I$94="P"))+SUMPRODUCT((N$3:N$94&lt;&gt;"")*(G$3:G$94=G48)*(I$3:I$94="P"))+SUMPRODUCT((P$3:P$94="")*(O$3:O$94="")*(N$3:N$94="")*(M$3:M$94="P")*(G$3:G$94=G48)*(J$3:J$94&gt;J48)*(I$3:I$94="P"))+IF(H48="L5",SUMPRODUCT((P$3:P$94="")*(O$3:O$94="")*(N$3:N$94="")*(M$3:M$94="P")*(G$3:G$94=G48)*(J$3:J$94&lt;J48)*(H$3:H$94&lt;&gt;H48)*(I$3:I$94="P")),-1*SUMPRODUCT((P$3:P$94="")*(O$3:O$94="")*(N$3:N$94="")*(M$3:M$94="P")*(G$3:G$94=G48)*(J$3:J$94&gt;J48)*(H$3:H$94="L5")*(I$3:I$94="P")))+1,"")))))</f>
        <v/>
      </c>
      <c r="B48" s="1" t="str" cm="1">
        <f t="array" ref="B48">IF(P48&lt;&gt;"",SUMPRODUCT((P$3:P$94&lt;&gt;"")*(G$3:G$94=G48)*(J$3:J$94&gt;J48))+1,IF(O48&lt;&gt;"",SUMPRODUCT((O$3:O$94&lt;&gt;"")*(P$3:P$94="")*(G$3:G$94=G48)*(J$3:J$94&gt;J48))+SUMPRODUCT((P$3:P$94&lt;&gt;"")*(G$3:G$94=G48))+1,IF(N48&lt;&gt;"",SUMPRODUCT((N$3:N$94&lt;&gt;"")*(G$3:G$94=G48)*(J$3:J$94&gt;J48))+1,IF(M48="P",SUMPRODUCT((O$3:O$94&lt;&gt;"")*(P$3:P$94="")*(G$3:G$94=G48))+SUMPRODUCT((P$3:P$94&lt;&gt;"")*(G$3:G$94=G48))+SUMPRODUCT((N$3:N$94&lt;&gt;"")*(G$3:G$94=G48))+SUMPRODUCT((P$3:P$94="")*(O$3:O$94="")*(N$3:N$94="")*(M$3:M$94="P")*(G$3:G$94=G48)*(J$3:J$94&gt;J48))+IF(H48="L5",SUMPRODUCT((P$3:P$94="")*(O$3:O$94="")*(N$3:N$94="")*(M$3:M$94="P")*(G$3:G$94=G48)*(J$3:J$94&lt;J48)*(H$3:H$94&lt;&gt;H48)),-1*SUMPRODUCT((P$3:P$94="")*(O$3:O$94="")*(N$3:N$94="")*(M$3:M$94="P")*(G$3:G$94=G48)*(J$3:J$94&gt;J48)*(H$3:H$94="L5")))+1,""))))</f>
        <v/>
      </c>
      <c r="C48" s="35" t="s">
        <v>282</v>
      </c>
      <c r="D48" t="str">
        <f>IF(E48="","",VLOOKUP(E48,'Coaching Points'!A:B,2,0))</f>
        <v>BC</v>
      </c>
      <c r="E48" s="35" t="s">
        <v>36</v>
      </c>
      <c r="F48" s="34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R48+S48+IF(OR(H48="Junior",H48="Senior"),0.0002,IF(OR(H48="L7",H48="L6"),0.0001,0))+MAX(Z48,AC48)*0.0000001</f>
        <v>41.300004129999998</v>
      </c>
      <c r="K48" s="3" t="str">
        <f>IF(G48="Not Age Eligible","",IF(MAX(T48,W48,Z48,AC48)&gt;=LOOKUP(G48,'Qualifying Scores'!$A$4:$A$7,'Qualifying Scores'!$G$4:$G$7),"P",""))</f>
        <v/>
      </c>
      <c r="L48" s="3" t="str">
        <f>IF(G48="Not Age Eligible","",IF(MAX(U48,X48,AA48,AD48)&gt;=LOOKUP(G48,'Qualifying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>MAX(T48-IF(OR(H48="L6"),V48,0),W48-IF(OR(H48="L6"),Y48,0),Z48-IF(OR(H48="L6"),AB48,0),AC48-IF(OR(H48="L6"),AE48,0))</f>
        <v>41.3</v>
      </c>
      <c r="S48" s="4">
        <f>IF(R48=T48-IF(OR(H48="L6"),V48,0),MAX(W48-IF(OR(H48="L6"),Y48,0),Z48-IF(OR(H48="L6"),AB48,0),AC48-IF(OR(H48="L6"),AE48,0)),IF(R48=W48-IF(OR(H48="L6"),Y48,0),MAX(T48-IF(OR(H48="L6"),V48,0),Z48-IF(OR(H48="L6"),AB48,0),AC48-IF(OR(H48="L6"),AE48,0)),IF(R48=Z48-IF(OR(H48="L6"),AB48,0),MAX(T48-IF(OR(H48="L6"),V48,0),W48-IF(OR(H48="L6"),Y48,0),AC48-IF(OR(H48="L6"),AE48,0)),IF(R48=AC48-IF(OR(H48="L6"),AE48,0),MAX(T48-IF(OR(H48="L6"),V48,0),W48-IF(OR(H48="L6"),Y48,0),Z48-IF(OR(H48="L6"),AB48,0)),0))))</f>
        <v>0</v>
      </c>
      <c r="T48" s="32"/>
      <c r="U48" s="37"/>
      <c r="V48" s="37"/>
      <c r="W48" s="33"/>
      <c r="X48" s="37"/>
      <c r="Y48" s="37"/>
      <c r="Z48" s="32">
        <v>41.3</v>
      </c>
      <c r="AA48" s="37">
        <v>5.8000000000000007</v>
      </c>
      <c r="AB48" s="37">
        <v>0</v>
      </c>
      <c r="AC48" s="33"/>
      <c r="AD48" s="37"/>
      <c r="AE48" s="37"/>
    </row>
    <row r="49" spans="1:31" x14ac:dyDescent="0.2">
      <c r="A49" s="1" t="str" cm="1">
        <f t="array" ref="A49">IF(I49="","",IF(P49&lt;&gt;"",SUMPRODUCT((P$3:P$94&lt;&gt;"")*(G$3:G$94=G49)*(J$3:J$94&gt;J49)*(I$3:I$94="P"))+1,IF(O49&lt;&gt;"",SUMPRODUCT((O$3:O$94&lt;&gt;"")*(P$3:P$94="")*(G$3:G$94=G49)*(J$3:J$94&gt;J49)*(I$3:I$94="P"))+SUMPRODUCT((P$3:P$94&lt;&gt;"")*(G$3:G$94=G49)*(I$3:I$94="P"))+1,IF(N49&lt;&gt;"",SUMPRODUCT((N$3:N$94&lt;&gt;"")*(G$3:G$94=G49)*(J$3:J$94&gt;J49)*(I$3:I$94="P"))+1,IF(M49="P",SUMPRODUCT((O$3:O$94&lt;&gt;"")*(P$3:P$94="")*(G$3:G$94=G49)*(I$3:I$94="P"))+SUMPRODUCT((P$3:P$94&lt;&gt;"")*(G$3:G$94=G49)*(I$3:I$94="P"))+SUMPRODUCT((N$3:N$94&lt;&gt;"")*(G$3:G$94=G49)*(I$3:I$94="P"))+SUMPRODUCT((P$3:P$94="")*(O$3:O$94="")*(N$3:N$94="")*(M$3:M$94="P")*(G$3:G$94=G49)*(J$3:J$94&gt;J49)*(I$3:I$94="P"))+IF(H49="L5",SUMPRODUCT((P$3:P$94="")*(O$3:O$94="")*(N$3:N$94="")*(M$3:M$94="P")*(G$3:G$94=G49)*(J$3:J$94&lt;J49)*(H$3:H$94&lt;&gt;H49)*(I$3:I$94="P")),-1*SUMPRODUCT((P$3:P$94="")*(O$3:O$94="")*(N$3:N$94="")*(M$3:M$94="P")*(G$3:G$94=G49)*(J$3:J$94&gt;J49)*(H$3:H$94="L5")*(I$3:I$94="P")))+1,"")))))</f>
        <v/>
      </c>
      <c r="B49" s="1" t="str" cm="1">
        <f t="array" ref="B49">IF(P49&lt;&gt;"",SUMPRODUCT((P$3:P$94&lt;&gt;"")*(G$3:G$94=G49)*(J$3:J$94&gt;J49))+1,IF(O49&lt;&gt;"",SUMPRODUCT((O$3:O$94&lt;&gt;"")*(P$3:P$94="")*(G$3:G$94=G49)*(J$3:J$94&gt;J49))+SUMPRODUCT((P$3:P$94&lt;&gt;"")*(G$3:G$94=G49))+1,IF(N49&lt;&gt;"",SUMPRODUCT((N$3:N$94&lt;&gt;"")*(G$3:G$94=G49)*(J$3:J$94&gt;J49))+1,IF(M49="P",SUMPRODUCT((O$3:O$94&lt;&gt;"")*(P$3:P$94="")*(G$3:G$94=G49))+SUMPRODUCT((P$3:P$94&lt;&gt;"")*(G$3:G$94=G49))+SUMPRODUCT((N$3:N$94&lt;&gt;"")*(G$3:G$94=G49))+SUMPRODUCT((P$3:P$94="")*(O$3:O$94="")*(N$3:N$94="")*(M$3:M$94="P")*(G$3:G$94=G49)*(J$3:J$94&gt;J49))+IF(H49="L5",SUMPRODUCT((P$3:P$94="")*(O$3:O$94="")*(N$3:N$94="")*(M$3:M$94="P")*(G$3:G$94=G49)*(J$3:J$94&lt;J49)*(H$3:H$94&lt;&gt;H49)),-1*SUMPRODUCT((P$3:P$94="")*(O$3:O$94="")*(N$3:N$94="")*(M$3:M$94="P")*(G$3:G$94=G49)*(J$3:J$94&gt;J49)*(H$3:H$94="L5")))+1,""))))</f>
        <v/>
      </c>
      <c r="C49" s="35" t="s">
        <v>281</v>
      </c>
      <c r="D49" t="str">
        <f>IF(E49="","",VLOOKUP(E49,'Coaching Points'!A:B,2,0))</f>
        <v>BC</v>
      </c>
      <c r="E49" s="35" t="s">
        <v>66</v>
      </c>
      <c r="F49" s="34">
        <v>2005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>R49+S49+IF(OR(H49="Junior",H49="Senior"),0.0002,IF(OR(H49="L7",H49="L6"),0.0001,0))+MAX(Z49,AC49)*0.0000001</f>
        <v>40</v>
      </c>
      <c r="K49" s="3" t="str">
        <f>IF(G49="Not Age Eligible","",IF(MAX(T49,W49,Z49,AC49)&gt;=LOOKUP(G49,'Qualifying Scores'!$A$4:$A$7,'Qualifying Scores'!$G$4:$G$7),"P",""))</f>
        <v/>
      </c>
      <c r="L49" s="3" t="str">
        <f>IF(G49="Not Age Eligible","",IF(MAX(U49,X49,AA49,AD49)&gt;=LOOKUP(G49,'Qualifying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MAX(T49-IF(OR(H49="L6"),V49,0),W49-IF(OR(H49="L6"),Y49,0),Z49-IF(OR(H49="L6"),AB49,0),AC49-IF(OR(H49="L6"),AE49,0))</f>
        <v>40</v>
      </c>
      <c r="S49" s="4">
        <f>IF(R49=T49-IF(OR(H49="L6"),V49,0),MAX(W49-IF(OR(H49="L6"),Y49,0),Z49-IF(OR(H49="L6"),AB49,0),AC49-IF(OR(H49="L6"),AE49,0)),IF(R49=W49-IF(OR(H49="L6"),Y49,0),MAX(T49-IF(OR(H49="L6"),V49,0),Z49-IF(OR(H49="L6"),AB49,0),AC49-IF(OR(H49="L6"),AE49,0)),IF(R49=Z49-IF(OR(H49="L6"),AB49,0),MAX(T49-IF(OR(H49="L6"),V49,0),W49-IF(OR(H49="L6"),Y49,0),AC49-IF(OR(H49="L6"),AE49,0)),IF(R49=AC49-IF(OR(H49="L6"),AE49,0),MAX(T49-IF(OR(H49="L6"),V49,0),W49-IF(OR(H49="L6"),Y49,0),Z49-IF(OR(H49="L6"),AB49,0)),0))))</f>
        <v>0</v>
      </c>
      <c r="T49" s="32">
        <v>40</v>
      </c>
      <c r="U49" s="37">
        <v>5.6</v>
      </c>
      <c r="V49" s="37">
        <v>0</v>
      </c>
      <c r="W49" s="33"/>
      <c r="X49" s="37"/>
      <c r="Y49" s="37"/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$94&lt;&gt;"")*(G$3:G$94=G50)*(J$3:J$94&gt;J50)*(I$3:I$94="P"))+1,IF(O50&lt;&gt;"",SUMPRODUCT((O$3:O$94&lt;&gt;"")*(P$3:P$94="")*(G$3:G$94=G50)*(J$3:J$94&gt;J50)*(I$3:I$94="P"))+SUMPRODUCT((P$3:P$94&lt;&gt;"")*(G$3:G$94=G50)*(I$3:I$94="P"))+1,IF(N50&lt;&gt;"",SUMPRODUCT((N$3:N$94&lt;&gt;"")*(G$3:G$94=G50)*(J$3:J$94&gt;J50)*(I$3:I$94="P"))+1,IF(M50="P",SUMPRODUCT((O$3:O$94&lt;&gt;"")*(P$3:P$94="")*(G$3:G$94=G50)*(I$3:I$94="P"))+SUMPRODUCT((P$3:P$94&lt;&gt;"")*(G$3:G$94=G50)*(I$3:I$94="P"))+SUMPRODUCT((N$3:N$94&lt;&gt;"")*(G$3:G$94=G50)*(I$3:I$94="P"))+SUMPRODUCT((P$3:P$94="")*(O$3:O$94="")*(N$3:N$94="")*(M$3:M$94="P")*(G$3:G$94=G50)*(J$3:J$94&gt;J50)*(I$3:I$94="P"))+IF(H50="L5",SUMPRODUCT((P$3:P$94="")*(O$3:O$94="")*(N$3:N$94="")*(M$3:M$94="P")*(G$3:G$94=G50)*(J$3:J$94&lt;J50)*(H$3:H$94&lt;&gt;H50)*(I$3:I$94="P")),-1*SUMPRODUCT((P$3:P$94="")*(O$3:O$94="")*(N$3:N$94="")*(M$3:M$94="P")*(G$3:G$94=G50)*(J$3:J$94&gt;J50)*(H$3:H$94="L5")*(I$3:I$94="P")))+1,"")))))</f>
        <v/>
      </c>
      <c r="B50" s="1" t="str" cm="1">
        <f t="array" ref="B50">IF(P50&lt;&gt;"",SUMPRODUCT((P$3:P$94&lt;&gt;"")*(G$3:G$94=G50)*(J$3:J$94&gt;J50))+1,IF(O50&lt;&gt;"",SUMPRODUCT((O$3:O$94&lt;&gt;"")*(P$3:P$94="")*(G$3:G$94=G50)*(J$3:J$94&gt;J50))+SUMPRODUCT((P$3:P$94&lt;&gt;"")*(G$3:G$94=G50))+1,IF(N50&lt;&gt;"",SUMPRODUCT((N$3:N$94&lt;&gt;"")*(G$3:G$94=G50)*(J$3:J$94&gt;J50))+1,IF(M50="P",SUMPRODUCT((O$3:O$94&lt;&gt;"")*(P$3:P$94="")*(G$3:G$94=G50))+SUMPRODUCT((P$3:P$94&lt;&gt;"")*(G$3:G$94=G50))+SUMPRODUCT((N$3:N$94&lt;&gt;"")*(G$3:G$94=G50))+SUMPRODUCT((P$3:P$94="")*(O$3:O$94="")*(N$3:N$94="")*(M$3:M$94="P")*(G$3:G$94=G50)*(J$3:J$94&gt;J50))+IF(H50="L5",SUMPRODUCT((P$3:P$94="")*(O$3:O$94="")*(N$3:N$94="")*(M$3:M$94="P")*(G$3:G$94=G50)*(J$3:J$94&lt;J50)*(H$3:H$94&lt;&gt;H50)),-1*SUMPRODUCT((P$3:P$94="")*(O$3:O$94="")*(N$3:N$94="")*(M$3:M$94="P")*(G$3:G$94=G50)*(J$3:J$94&gt;J50)*(H$3:H$94="L5")))+1,""))))</f>
        <v/>
      </c>
      <c r="C50" s="35" t="s">
        <v>498</v>
      </c>
      <c r="D50" t="str">
        <f>IF(E50="","",VLOOKUP(E50,'Coaching Points'!A:B,2,0))</f>
        <v>QC</v>
      </c>
      <c r="E50" s="35" t="s">
        <v>99</v>
      </c>
      <c r="F50" s="34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R50+S50+IF(OR(H50="Junior",H50="Senior"),0.0002,IF(OR(H50="L7",H50="L6"),0.0001,0))+MAX(Z50,AC50)*0.0000001</f>
        <v>39.600003960000002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MAX(T50-IF(OR(H50="L6"),V50,0),W50-IF(OR(H50="L6"),Y50,0),Z50-IF(OR(H50="L6"),AB50,0),AC50-IF(OR(H50="L6"),AE50,0))</f>
        <v>39.6</v>
      </c>
      <c r="S50" s="4">
        <f>IF(R50=T50-IF(OR(H50="L6"),V50,0),MAX(W50-IF(OR(H50="L6"),Y50,0),Z50-IF(OR(H50="L6"),AB50,0),AC50-IF(OR(H50="L6"),AE50,0)),IF(R50=W50-IF(OR(H50="L6"),Y50,0),MAX(T50-IF(OR(H50="L6"),V50,0),Z50-IF(OR(H50="L6"),AB50,0),AC50-IF(OR(H50="L6"),AE50,0)),IF(R50=Z50-IF(OR(H50="L6"),AB50,0),MAX(T50-IF(OR(H50="L6"),V50,0),W50-IF(OR(H50="L6"),Y50,0),AC50-IF(OR(H50="L6"),AE50,0)),IF(R50=AC50-IF(OR(H50="L6"),AE50,0),MAX(T50-IF(OR(H50="L6"),V50,0),W50-IF(OR(H50="L6"),Y50,0),Z50-IF(OR(H50="L6"),AB50,0)),0))))</f>
        <v>0</v>
      </c>
      <c r="T50" s="32"/>
      <c r="U50" s="37"/>
      <c r="V50" s="37"/>
      <c r="W50" s="33"/>
      <c r="X50" s="37"/>
      <c r="Y50" s="37"/>
      <c r="Z50" s="32">
        <v>39.6</v>
      </c>
      <c r="AA50" s="37">
        <v>4.9000000000000004</v>
      </c>
      <c r="AB50" s="37">
        <v>0</v>
      </c>
      <c r="AC50" s="33"/>
      <c r="AD50" s="37"/>
      <c r="AE50" s="37"/>
    </row>
    <row r="51" spans="1:31" x14ac:dyDescent="0.2">
      <c r="A51" s="1" t="str" cm="1">
        <f t="array" ref="A51">IF(I51="","",IF(P51&lt;&gt;"",SUMPRODUCT((P$3:P$94&lt;&gt;"")*(G$3:G$94=G51)*(J$3:J$94&gt;J51)*(I$3:I$94="P"))+1,IF(O51&lt;&gt;"",SUMPRODUCT((O$3:O$94&lt;&gt;"")*(P$3:P$94="")*(G$3:G$94=G51)*(J$3:J$94&gt;J51)*(I$3:I$94="P"))+SUMPRODUCT((P$3:P$94&lt;&gt;"")*(G$3:G$94=G51)*(I$3:I$94="P"))+1,IF(N51&lt;&gt;"",SUMPRODUCT((N$3:N$94&lt;&gt;"")*(G$3:G$94=G51)*(J$3:J$94&gt;J51)*(I$3:I$94="P"))+1,IF(M51="P",SUMPRODUCT((O$3:O$94&lt;&gt;"")*(P$3:P$94="")*(G$3:G$94=G51)*(I$3:I$94="P"))+SUMPRODUCT((P$3:P$94&lt;&gt;"")*(G$3:G$94=G51)*(I$3:I$94="P"))+SUMPRODUCT((N$3:N$94&lt;&gt;"")*(G$3:G$94=G51)*(I$3:I$94="P"))+SUMPRODUCT((P$3:P$94="")*(O$3:O$94="")*(N$3:N$94="")*(M$3:M$94="P")*(G$3:G$94=G51)*(J$3:J$94&gt;J51)*(I$3:I$94="P"))+IF(H51="L5",SUMPRODUCT((P$3:P$94="")*(O$3:O$94="")*(N$3:N$94="")*(M$3:M$94="P")*(G$3:G$94=G51)*(J$3:J$94&lt;J51)*(H$3:H$94&lt;&gt;H51)*(I$3:I$94="P")),-1*SUMPRODUCT((P$3:P$94="")*(O$3:O$94="")*(N$3:N$94="")*(M$3:M$94="P")*(G$3:G$94=G51)*(J$3:J$94&gt;J51)*(H$3:H$94="L5")*(I$3:I$94="P")))+1,"")))))</f>
        <v/>
      </c>
      <c r="B51" s="1" t="str" cm="1">
        <f t="array" ref="B51">IF(P51&lt;&gt;"",SUMPRODUCT((P$3:P$94&lt;&gt;"")*(G$3:G$94=G51)*(J$3:J$94&gt;J51))+1,IF(O51&lt;&gt;"",SUMPRODUCT((O$3:O$94&lt;&gt;"")*(P$3:P$94="")*(G$3:G$94=G51)*(J$3:J$94&gt;J51))+SUMPRODUCT((P$3:P$94&lt;&gt;"")*(G$3:G$94=G51))+1,IF(N51&lt;&gt;"",SUMPRODUCT((N$3:N$94&lt;&gt;"")*(G$3:G$94=G51)*(J$3:J$94&gt;J51))+1,IF(M51="P",SUMPRODUCT((O$3:O$94&lt;&gt;"")*(P$3:P$94="")*(G$3:G$94=G51))+SUMPRODUCT((P$3:P$94&lt;&gt;"")*(G$3:G$94=G51))+SUMPRODUCT((N$3:N$94&lt;&gt;"")*(G$3:G$94=G51))+SUMPRODUCT((P$3:P$94="")*(O$3:O$94="")*(N$3:N$94="")*(M$3:M$94="P")*(G$3:G$94=G51)*(J$3:J$94&gt;J51))+IF(H51="L5",SUMPRODUCT((P$3:P$94="")*(O$3:O$94="")*(N$3:N$94="")*(M$3:M$94="P")*(G$3:G$94=G51)*(J$3:J$94&lt;J51)*(H$3:H$94&lt;&gt;H51)),-1*SUMPRODUCT((P$3:P$94="")*(O$3:O$94="")*(N$3:N$94="")*(M$3:M$94="P")*(G$3:G$94=G51)*(J$3:J$94&gt;J51)*(H$3:H$94="L5")))+1,""))))</f>
        <v/>
      </c>
      <c r="C51" s="35" t="s">
        <v>499</v>
      </c>
      <c r="D51" t="str">
        <f>IF(E51="","",VLOOKUP(E51,'Coaching Points'!A:B,2,0))</f>
        <v>ON</v>
      </c>
      <c r="E51" s="35" t="s">
        <v>45</v>
      </c>
      <c r="F51" s="34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R51+S51+IF(OR(H51="Junior",H51="Senior"),0.0002,IF(OR(H51="L7",H51="L6"),0.0001,0))+MAX(Z51,AC51)*0.0000001</f>
        <v>39.600003960000002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MAX(T51-IF(OR(H51="L6"),V51,0),W51-IF(OR(H51="L6"),Y51,0),Z51-IF(OR(H51="L6"),AB51,0),AC51-IF(OR(H51="L6"),AE51,0))</f>
        <v>39.6</v>
      </c>
      <c r="S51" s="4">
        <f>IF(R51=T51-IF(OR(H51="L6"),V51,0),MAX(W51-IF(OR(H51="L6"),Y51,0),Z51-IF(OR(H51="L6"),AB51,0),AC51-IF(OR(H51="L6"),AE51,0)),IF(R51=W51-IF(OR(H51="L6"),Y51,0),MAX(T51-IF(OR(H51="L6"),V51,0),Z51-IF(OR(H51="L6"),AB51,0),AC51-IF(OR(H51="L6"),AE51,0)),IF(R51=Z51-IF(OR(H51="L6"),AB51,0),MAX(T51-IF(OR(H51="L6"),V51,0),W51-IF(OR(H51="L6"),Y51,0),AC51-IF(OR(H51="L6"),AE51,0)),IF(R51=AC51-IF(OR(H51="L6"),AE51,0),MAX(T51-IF(OR(H51="L6"),V51,0),W51-IF(OR(H51="L6"),Y51,0),Z51-IF(OR(H51="L6"),AB51,0)),0))))</f>
        <v>0</v>
      </c>
      <c r="T51" s="32"/>
      <c r="U51" s="37"/>
      <c r="V51" s="37"/>
      <c r="W51" s="33"/>
      <c r="X51" s="37"/>
      <c r="Y51" s="37"/>
      <c r="Z51" s="32">
        <v>39.6</v>
      </c>
      <c r="AA51" s="37">
        <v>5.4</v>
      </c>
      <c r="AB51" s="37">
        <v>0</v>
      </c>
      <c r="AC51" s="33"/>
      <c r="AD51" s="37"/>
      <c r="AE51" s="37"/>
    </row>
    <row r="52" spans="1:31" x14ac:dyDescent="0.2">
      <c r="A52" s="1" t="str" cm="1">
        <f t="array" ref="A52">IF(I52="","",IF(P52&lt;&gt;"",SUMPRODUCT((P$3:P$94&lt;&gt;"")*(G$3:G$94=G52)*(J$3:J$94&gt;J52)*(I$3:I$94="P"))+1,IF(O52&lt;&gt;"",SUMPRODUCT((O$3:O$94&lt;&gt;"")*(P$3:P$94="")*(G$3:G$94=G52)*(J$3:J$94&gt;J52)*(I$3:I$94="P"))+SUMPRODUCT((P$3:P$94&lt;&gt;"")*(G$3:G$94=G52)*(I$3:I$94="P"))+1,IF(N52&lt;&gt;"",SUMPRODUCT((N$3:N$94&lt;&gt;"")*(G$3:G$94=G52)*(J$3:J$94&gt;J52)*(I$3:I$94="P"))+1,IF(M52="P",SUMPRODUCT((O$3:O$94&lt;&gt;"")*(P$3:P$94="")*(G$3:G$94=G52)*(I$3:I$94="P"))+SUMPRODUCT((P$3:P$94&lt;&gt;"")*(G$3:G$94=G52)*(I$3:I$94="P"))+SUMPRODUCT((N$3:N$94&lt;&gt;"")*(G$3:G$94=G52)*(I$3:I$94="P"))+SUMPRODUCT((P$3:P$94="")*(O$3:O$94="")*(N$3:N$94="")*(M$3:M$94="P")*(G$3:G$94=G52)*(J$3:J$94&gt;J52)*(I$3:I$94="P"))+IF(H52="L5",SUMPRODUCT((P$3:P$94="")*(O$3:O$94="")*(N$3:N$94="")*(M$3:M$94="P")*(G$3:G$94=G52)*(J$3:J$94&lt;J52)*(H$3:H$94&lt;&gt;H52)*(I$3:I$94="P")),-1*SUMPRODUCT((P$3:P$94="")*(O$3:O$94="")*(N$3:N$94="")*(M$3:M$94="P")*(G$3:G$94=G52)*(J$3:J$94&gt;J52)*(H$3:H$94="L5")*(I$3:I$94="P")))+1,"")))))</f>
        <v/>
      </c>
      <c r="B52" s="1" t="str" cm="1">
        <f t="array" ref="B52">IF(P52&lt;&gt;"",SUMPRODUCT((P$3:P$94&lt;&gt;"")*(G$3:G$94=G52)*(J$3:J$94&gt;J52))+1,IF(O52&lt;&gt;"",SUMPRODUCT((O$3:O$94&lt;&gt;"")*(P$3:P$94="")*(G$3:G$94=G52)*(J$3:J$94&gt;J52))+SUMPRODUCT((P$3:P$94&lt;&gt;"")*(G$3:G$94=G52))+1,IF(N52&lt;&gt;"",SUMPRODUCT((N$3:N$94&lt;&gt;"")*(G$3:G$94=G52)*(J$3:J$94&gt;J52))+1,IF(M52="P",SUMPRODUCT((O$3:O$94&lt;&gt;"")*(P$3:P$94="")*(G$3:G$94=G52))+SUMPRODUCT((P$3:P$94&lt;&gt;"")*(G$3:G$94=G52))+SUMPRODUCT((N$3:N$94&lt;&gt;"")*(G$3:G$94=G52))+SUMPRODUCT((P$3:P$94="")*(O$3:O$94="")*(N$3:N$94="")*(M$3:M$94="P")*(G$3:G$94=G52)*(J$3:J$94&gt;J52))+IF(H52="L5",SUMPRODUCT((P$3:P$94="")*(O$3:O$94="")*(N$3:N$94="")*(M$3:M$94="P")*(G$3:G$94=G52)*(J$3:J$94&lt;J52)*(H$3:H$94&lt;&gt;H52)),-1*SUMPRODUCT((P$3:P$94="")*(O$3:O$94="")*(N$3:N$94="")*(M$3:M$94="P")*(G$3:G$94=G52)*(J$3:J$94&gt;J52)*(H$3:H$94="L5")))+1,""))))</f>
        <v/>
      </c>
      <c r="C52" s="35" t="s">
        <v>369</v>
      </c>
      <c r="D52" t="str">
        <f>IF(E52="","",VLOOKUP(E52,'Coaching Points'!A:B,2,0))</f>
        <v>BC</v>
      </c>
      <c r="E52" s="35" t="s">
        <v>40</v>
      </c>
      <c r="F52" s="34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214</v>
      </c>
      <c r="I52" s="40"/>
      <c r="J52" s="4">
        <f>R52+S52+IF(OR(H52="Junior",H52="Senior"),0.0002,IF(OR(H52="L7",H52="L6"),0.0001,0))+MAX(Z52,AC52)*0.0000001</f>
        <v>37.700000000000003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MAX(T52-IF(OR(H52="L6"),V52,0),W52-IF(OR(H52="L6"),Y52,0),Z52-IF(OR(H52="L6"),AB52,0),AC52-IF(OR(H52="L6"),AE52,0))</f>
        <v>37.700000000000003</v>
      </c>
      <c r="S52" s="4">
        <f>IF(R52=T52-IF(OR(H52="L6"),V52,0),MAX(W52-IF(OR(H52="L6"),Y52,0),Z52-IF(OR(H52="L6"),AB52,0),AC52-IF(OR(H52="L6"),AE52,0)),IF(R52=W52-IF(OR(H52="L6"),Y52,0),MAX(T52-IF(OR(H52="L6"),V52,0),Z52-IF(OR(H52="L6"),AB52,0),AC52-IF(OR(H52="L6"),AE52,0)),IF(R52=Z52-IF(OR(H52="L6"),AB52,0),MAX(T52-IF(OR(H52="L6"),V52,0),W52-IF(OR(H52="L6"),Y52,0),AC52-IF(OR(H52="L6"),AE52,0)),IF(R52=AC52-IF(OR(H52="L6"),AE52,0),MAX(T52-IF(OR(H52="L6"),V52,0),W52-IF(OR(H52="L6"),Y52,0),Z52-IF(OR(H52="L6"),AB52,0)),0))))</f>
        <v>0</v>
      </c>
      <c r="T52" s="32">
        <v>37.700000000000003</v>
      </c>
      <c r="U52" s="37">
        <v>4.3</v>
      </c>
      <c r="V52" s="37">
        <v>0</v>
      </c>
      <c r="W52" s="33"/>
      <c r="X52" s="37"/>
      <c r="Y52" s="37"/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$94&lt;&gt;"")*(G$3:G$94=G53)*(J$3:J$94&gt;J53)*(I$3:I$94="P"))+1,IF(O53&lt;&gt;"",SUMPRODUCT((O$3:O$94&lt;&gt;"")*(P$3:P$94="")*(G$3:G$94=G53)*(J$3:J$94&gt;J53)*(I$3:I$94="P"))+SUMPRODUCT((P$3:P$94&lt;&gt;"")*(G$3:G$94=G53)*(I$3:I$94="P"))+1,IF(N53&lt;&gt;"",SUMPRODUCT((N$3:N$94&lt;&gt;"")*(G$3:G$94=G53)*(J$3:J$94&gt;J53)*(I$3:I$94="P"))+1,IF(M53="P",SUMPRODUCT((O$3:O$94&lt;&gt;"")*(P$3:P$94="")*(G$3:G$94=G53)*(I$3:I$94="P"))+SUMPRODUCT((P$3:P$94&lt;&gt;"")*(G$3:G$94=G53)*(I$3:I$94="P"))+SUMPRODUCT((N$3:N$94&lt;&gt;"")*(G$3:G$94=G53)*(I$3:I$94="P"))+SUMPRODUCT((P$3:P$94="")*(O$3:O$94="")*(N$3:N$94="")*(M$3:M$94="P")*(G$3:G$94=G53)*(J$3:J$94&gt;J53)*(I$3:I$94="P"))+IF(H53="L5",SUMPRODUCT((P$3:P$94="")*(O$3:O$94="")*(N$3:N$94="")*(M$3:M$94="P")*(G$3:G$94=G53)*(J$3:J$94&lt;J53)*(H$3:H$94&lt;&gt;H53)*(I$3:I$94="P")),-1*SUMPRODUCT((P$3:P$94="")*(O$3:O$94="")*(N$3:N$94="")*(M$3:M$94="P")*(G$3:G$94=G53)*(J$3:J$94&gt;J53)*(H$3:H$94="L5")*(I$3:I$94="P")))+1,"")))))</f>
        <v/>
      </c>
      <c r="B53" s="1" t="str" cm="1">
        <f t="array" ref="B53">IF(P53&lt;&gt;"",SUMPRODUCT((P$3:P$94&lt;&gt;"")*(G$3:G$94=G53)*(J$3:J$94&gt;J53))+1,IF(O53&lt;&gt;"",SUMPRODUCT((O$3:O$94&lt;&gt;"")*(P$3:P$94="")*(G$3:G$94=G53)*(J$3:J$94&gt;J53))+SUMPRODUCT((P$3:P$94&lt;&gt;"")*(G$3:G$94=G53))+1,IF(N53&lt;&gt;"",SUMPRODUCT((N$3:N$94&lt;&gt;"")*(G$3:G$94=G53)*(J$3:J$94&gt;J53))+1,IF(M53="P",SUMPRODUCT((O$3:O$94&lt;&gt;"")*(P$3:P$94="")*(G$3:G$94=G53))+SUMPRODUCT((P$3:P$94&lt;&gt;"")*(G$3:G$94=G53))+SUMPRODUCT((N$3:N$94&lt;&gt;"")*(G$3:G$94=G53))+SUMPRODUCT((P$3:P$94="")*(O$3:O$94="")*(N$3:N$94="")*(M$3:M$94="P")*(G$3:G$94=G53)*(J$3:J$94&gt;J53))+IF(H53="L5",SUMPRODUCT((P$3:P$94="")*(O$3:O$94="")*(N$3:N$94="")*(M$3:M$94="P")*(G$3:G$94=G53)*(J$3:J$94&lt;J53)*(H$3:H$94&lt;&gt;H53)),-1*SUMPRODUCT((P$3:P$94="")*(O$3:O$94="")*(N$3:N$94="")*(M$3:M$94="P")*(G$3:G$94=G53)*(J$3:J$94&gt;J53)*(H$3:H$94="L5")))+1,""))))</f>
        <v/>
      </c>
      <c r="C53" s="35" t="s">
        <v>500</v>
      </c>
      <c r="D53" t="str">
        <f>IF(E53="","",VLOOKUP(E53,'Coaching Points'!A:B,2,0))</f>
        <v>QC</v>
      </c>
      <c r="E53" s="35" t="s">
        <v>99</v>
      </c>
      <c r="F53" s="34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R53+S53+IF(OR(H53="Junior",H53="Senior"),0.0002,IF(OR(H53="L7",H53="L6"),0.0001,0))+MAX(Z53,AC53)*0.0000001</f>
        <v>37.500003749999998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MAX(T53-IF(OR(H53="L6"),V53,0),W53-IF(OR(H53="L6"),Y53,0),Z53-IF(OR(H53="L6"),AB53,0),AC53-IF(OR(H53="L6"),AE53,0))</f>
        <v>37.5</v>
      </c>
      <c r="S53" s="4">
        <f>IF(R53=T53-IF(OR(H53="L6"),V53,0),MAX(W53-IF(OR(H53="L6"),Y53,0),Z53-IF(OR(H53="L6"),AB53,0),AC53-IF(OR(H53="L6"),AE53,0)),IF(R53=W53-IF(OR(H53="L6"),Y53,0),MAX(T53-IF(OR(H53="L6"),V53,0),Z53-IF(OR(H53="L6"),AB53,0),AC53-IF(OR(H53="L6"),AE53,0)),IF(R53=Z53-IF(OR(H53="L6"),AB53,0),MAX(T53-IF(OR(H53="L6"),V53,0),W53-IF(OR(H53="L6"),Y53,0),AC53-IF(OR(H53="L6"),AE53,0)),IF(R53=AC53-IF(OR(H53="L6"),AE53,0),MAX(T53-IF(OR(H53="L6"),V53,0),W53-IF(OR(H53="L6"),Y53,0),Z53-IF(OR(H53="L6"),AB53,0)),0))))</f>
        <v>0</v>
      </c>
      <c r="T53" s="32"/>
      <c r="U53" s="37"/>
      <c r="V53" s="37"/>
      <c r="W53" s="33"/>
      <c r="X53" s="37"/>
      <c r="Y53" s="37"/>
      <c r="Z53" s="32">
        <v>37.5</v>
      </c>
      <c r="AA53" s="37">
        <v>3.4000000000000004</v>
      </c>
      <c r="AB53" s="37">
        <v>0</v>
      </c>
      <c r="AC53" s="33"/>
      <c r="AD53" s="37"/>
      <c r="AE53" s="37"/>
    </row>
    <row r="54" spans="1:31" x14ac:dyDescent="0.2">
      <c r="A54" s="1" t="str" cm="1">
        <f t="array" ref="A54">IF(I54="","",IF(P54&lt;&gt;"",SUMPRODUCT((P$3:P$94&lt;&gt;"")*(G$3:G$94=G54)*(J$3:J$94&gt;J54)*(I$3:I$94="P"))+1,IF(O54&lt;&gt;"",SUMPRODUCT((O$3:O$94&lt;&gt;"")*(P$3:P$94="")*(G$3:G$94=G54)*(J$3:J$94&gt;J54)*(I$3:I$94="P"))+SUMPRODUCT((P$3:P$94&lt;&gt;"")*(G$3:G$94=G54)*(I$3:I$94="P"))+1,IF(N54&lt;&gt;"",SUMPRODUCT((N$3:N$94&lt;&gt;"")*(G$3:G$94=G54)*(J$3:J$94&gt;J54)*(I$3:I$94="P"))+1,IF(M54="P",SUMPRODUCT((O$3:O$94&lt;&gt;"")*(P$3:P$94="")*(G$3:G$94=G54)*(I$3:I$94="P"))+SUMPRODUCT((P$3:P$94&lt;&gt;"")*(G$3:G$94=G54)*(I$3:I$94="P"))+SUMPRODUCT((N$3:N$94&lt;&gt;"")*(G$3:G$94=G54)*(I$3:I$94="P"))+SUMPRODUCT((P$3:P$94="")*(O$3:O$94="")*(N$3:N$94="")*(M$3:M$94="P")*(G$3:G$94=G54)*(J$3:J$94&gt;J54)*(I$3:I$94="P"))+IF(H54="L5",SUMPRODUCT((P$3:P$94="")*(O$3:O$94="")*(N$3:N$94="")*(M$3:M$94="P")*(G$3:G$94=G54)*(J$3:J$94&lt;J54)*(H$3:H$94&lt;&gt;H54)*(I$3:I$94="P")),-1*SUMPRODUCT((P$3:P$94="")*(O$3:O$94="")*(N$3:N$94="")*(M$3:M$94="P")*(G$3:G$94=G54)*(J$3:J$94&gt;J54)*(H$3:H$94="L5")*(I$3:I$94="P")))+1,"")))))</f>
        <v/>
      </c>
      <c r="B54" s="1" t="str" cm="1">
        <f t="array" ref="B54">IF(P54&lt;&gt;"",SUMPRODUCT((P$3:P$94&lt;&gt;"")*(G$3:G$94=G54)*(J$3:J$94&gt;J54))+1,IF(O54&lt;&gt;"",SUMPRODUCT((O$3:O$94&lt;&gt;"")*(P$3:P$94="")*(G$3:G$94=G54)*(J$3:J$94&gt;J54))+SUMPRODUCT((P$3:P$94&lt;&gt;"")*(G$3:G$94=G54))+1,IF(N54&lt;&gt;"",SUMPRODUCT((N$3:N$94&lt;&gt;"")*(G$3:G$94=G54)*(J$3:J$94&gt;J54))+1,IF(M54="P",SUMPRODUCT((O$3:O$94&lt;&gt;"")*(P$3:P$94="")*(G$3:G$94=G54))+SUMPRODUCT((P$3:P$94&lt;&gt;"")*(G$3:G$94=G54))+SUMPRODUCT((N$3:N$94&lt;&gt;"")*(G$3:G$94=G54))+SUMPRODUCT((P$3:P$94="")*(O$3:O$94="")*(N$3:N$94="")*(M$3:M$94="P")*(G$3:G$94=G54)*(J$3:J$94&gt;J54))+IF(H54="L5",SUMPRODUCT((P$3:P$94="")*(O$3:O$94="")*(N$3:N$94="")*(M$3:M$94="P")*(G$3:G$94=G54)*(J$3:J$94&lt;J54)*(H$3:H$94&lt;&gt;H54)),-1*SUMPRODUCT((P$3:P$94="")*(O$3:O$94="")*(N$3:N$94="")*(M$3:M$94="P")*(G$3:G$94=G54)*(J$3:J$94&gt;J54)*(H$3:H$94="L5")))+1,""))))</f>
        <v/>
      </c>
      <c r="C54" s="35" t="s">
        <v>317</v>
      </c>
      <c r="D54" t="str">
        <f>IF(E54="","",VLOOKUP(E54,'Coaching Points'!A:B,2,0))</f>
        <v>BC</v>
      </c>
      <c r="E54" s="35" t="s">
        <v>60</v>
      </c>
      <c r="F54" s="34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213</v>
      </c>
      <c r="I54" s="40"/>
      <c r="J54" s="4">
        <f>R54+S54+IF(OR(H54="Junior",H54="Senior"),0.0002,IF(OR(H54="L7",H54="L6"),0.0001,0))+MAX(Z54,AC54)*0.0000001</f>
        <v>36.3001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MAX(T54-IF(OR(H54="L6"),V54,0),W54-IF(OR(H54="L6"),Y54,0),Z54-IF(OR(H54="L6"),AB54,0),AC54-IF(OR(H54="L6"),AE54,0))</f>
        <v>36.299999999999997</v>
      </c>
      <c r="S54" s="4">
        <f>IF(R54=T54-IF(OR(H54="L6"),V54,0),MAX(W54-IF(OR(H54="L6"),Y54,0),Z54-IF(OR(H54="L6"),AB54,0),AC54-IF(OR(H54="L6"),AE54,0)),IF(R54=W54-IF(OR(H54="L6"),Y54,0),MAX(T54-IF(OR(H54="L6"),V54,0),Z54-IF(OR(H54="L6"),AB54,0),AC54-IF(OR(H54="L6"),AE54,0)),IF(R54=Z54-IF(OR(H54="L6"),AB54,0),MAX(T54-IF(OR(H54="L6"),V54,0),W54-IF(OR(H54="L6"),Y54,0),AC54-IF(OR(H54="L6"),AE54,0)),IF(R54=AC54-IF(OR(H54="L6"),AE54,0),MAX(T54-IF(OR(H54="L6"),V54,0),W54-IF(OR(H54="L6"),Y54,0),Z54-IF(OR(H54="L6"),AB54,0)),0))))</f>
        <v>0</v>
      </c>
      <c r="T54" s="32">
        <v>36.299999999999997</v>
      </c>
      <c r="U54" s="37">
        <v>3.9000000000000004</v>
      </c>
      <c r="V54" s="37">
        <v>0</v>
      </c>
      <c r="W54" s="33"/>
      <c r="X54" s="37"/>
      <c r="Y54" s="37"/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$94&lt;&gt;"")*(G$3:G$94=G55)*(J$3:J$94&gt;J55)*(I$3:I$94="P"))+1,IF(O55&lt;&gt;"",SUMPRODUCT((O$3:O$94&lt;&gt;"")*(P$3:P$94="")*(G$3:G$94=G55)*(J$3:J$94&gt;J55)*(I$3:I$94="P"))+SUMPRODUCT((P$3:P$94&lt;&gt;"")*(G$3:G$94=G55)*(I$3:I$94="P"))+1,IF(N55&lt;&gt;"",SUMPRODUCT((N$3:N$94&lt;&gt;"")*(G$3:G$94=G55)*(J$3:J$94&gt;J55)*(I$3:I$94="P"))+1,IF(M55="P",SUMPRODUCT((O$3:O$94&lt;&gt;"")*(P$3:P$94="")*(G$3:G$94=G55)*(I$3:I$94="P"))+SUMPRODUCT((P$3:P$94&lt;&gt;"")*(G$3:G$94=G55)*(I$3:I$94="P"))+SUMPRODUCT((N$3:N$94&lt;&gt;"")*(G$3:G$94=G55)*(I$3:I$94="P"))+SUMPRODUCT((P$3:P$94="")*(O$3:O$94="")*(N$3:N$94="")*(M$3:M$94="P")*(G$3:G$94=G55)*(J$3:J$94&gt;J55)*(I$3:I$94="P"))+IF(H55="L5",SUMPRODUCT((P$3:P$94="")*(O$3:O$94="")*(N$3:N$94="")*(M$3:M$94="P")*(G$3:G$94=G55)*(J$3:J$94&lt;J55)*(H$3:H$94&lt;&gt;H55)*(I$3:I$94="P")),-1*SUMPRODUCT((P$3:P$94="")*(O$3:O$94="")*(N$3:N$94="")*(M$3:M$94="P")*(G$3:G$94=G55)*(J$3:J$94&gt;J55)*(H$3:H$94="L5")*(I$3:I$94="P")))+1,"")))))</f>
        <v/>
      </c>
      <c r="B55" s="1" t="str" cm="1">
        <f t="array" ref="B55">IF(P55&lt;&gt;"",SUMPRODUCT((P$3:P$94&lt;&gt;"")*(G$3:G$94=G55)*(J$3:J$94&gt;J55))+1,IF(O55&lt;&gt;"",SUMPRODUCT((O$3:O$94&lt;&gt;"")*(P$3:P$94="")*(G$3:G$94=G55)*(J$3:J$94&gt;J55))+SUMPRODUCT((P$3:P$94&lt;&gt;"")*(G$3:G$94=G55))+1,IF(N55&lt;&gt;"",SUMPRODUCT((N$3:N$94&lt;&gt;"")*(G$3:G$94=G55)*(J$3:J$94&gt;J55))+1,IF(M55="P",SUMPRODUCT((O$3:O$94&lt;&gt;"")*(P$3:P$94="")*(G$3:G$94=G55))+SUMPRODUCT((P$3:P$94&lt;&gt;"")*(G$3:G$94=G55))+SUMPRODUCT((N$3:N$94&lt;&gt;"")*(G$3:G$94=G55))+SUMPRODUCT((P$3:P$94="")*(O$3:O$94="")*(N$3:N$94="")*(M$3:M$94="P")*(G$3:G$94=G55)*(J$3:J$94&gt;J55))+IF(H55="L5",SUMPRODUCT((P$3:P$94="")*(O$3:O$94="")*(N$3:N$94="")*(M$3:M$94="P")*(G$3:G$94=G55)*(J$3:J$94&lt;J55)*(H$3:H$94&lt;&gt;H55)),-1*SUMPRODUCT((P$3:P$94="")*(O$3:O$94="")*(N$3:N$94="")*(M$3:M$94="P")*(G$3:G$94=G55)*(J$3:J$94&gt;J55)*(H$3:H$94="L5")))+1,""))))</f>
        <v/>
      </c>
      <c r="C55" s="35" t="s">
        <v>502</v>
      </c>
      <c r="D55" t="str">
        <f>IF(E55="","",VLOOKUP(E55,'Coaching Points'!A:B,2,0))</f>
        <v>AB</v>
      </c>
      <c r="E55" s="35" t="s">
        <v>28</v>
      </c>
      <c r="F55" s="34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213</v>
      </c>
      <c r="I55" s="40"/>
      <c r="J55" s="4">
        <f>R55+S55+IF(OR(H55="Junior",H55="Senior"),0.0002,IF(OR(H55="L7",H55="L6"),0.0001,0))+MAX(Z55,AC55)*0.0000001</f>
        <v>32.700103270000007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MAX(T55-IF(OR(H55="L6"),V55,0),W55-IF(OR(H55="L6"),Y55,0),Z55-IF(OR(H55="L6"),AB55,0),AC55-IF(OR(H55="L6"),AE55,0))</f>
        <v>32.700000000000003</v>
      </c>
      <c r="S55" s="4">
        <f>IF(R55=T55-IF(OR(H55="L6"),V55,0),MAX(W55-IF(OR(H55="L6"),Y55,0),Z55-IF(OR(H55="L6"),AB55,0),AC55-IF(OR(H55="L6"),AE55,0)),IF(R55=W55-IF(OR(H55="L6"),Y55,0),MAX(T55-IF(OR(H55="L6"),V55,0),Z55-IF(OR(H55="L6"),AB55,0),AC55-IF(OR(H55="L6"),AE55,0)),IF(R55=Z55-IF(OR(H55="L6"),AB55,0),MAX(T55-IF(OR(H55="L6"),V55,0),W55-IF(OR(H55="L6"),Y55,0),AC55-IF(OR(H55="L6"),AE55,0)),IF(R55=AC55-IF(OR(H55="L6"),AE55,0),MAX(T55-IF(OR(H55="L6"),V55,0),W55-IF(OR(H55="L6"),Y55,0),Z55-IF(OR(H55="L6"),AB55,0)),0))))</f>
        <v>0</v>
      </c>
      <c r="T55" s="32"/>
      <c r="U55" s="37"/>
      <c r="V55" s="37"/>
      <c r="W55" s="33"/>
      <c r="X55" s="37"/>
      <c r="Y55" s="37"/>
      <c r="Z55" s="32">
        <v>32.700000000000003</v>
      </c>
      <c r="AA55" s="37">
        <v>2.4</v>
      </c>
      <c r="AB55" s="37">
        <v>0</v>
      </c>
      <c r="AC55" s="33"/>
      <c r="AD55" s="37"/>
      <c r="AE55" s="37"/>
    </row>
    <row r="56" spans="1:31" x14ac:dyDescent="0.2">
      <c r="A56" s="1" t="str" cm="1">
        <f t="array" ref="A56">IF(I56="","",IF(P56&lt;&gt;"",SUMPRODUCT((P$3:P$94&lt;&gt;"")*(G$3:G$94=G56)*(J$3:J$94&gt;J56)*(I$3:I$94="P"))+1,IF(O56&lt;&gt;"",SUMPRODUCT((O$3:O$94&lt;&gt;"")*(P$3:P$94="")*(G$3:G$94=G56)*(J$3:J$94&gt;J56)*(I$3:I$94="P"))+SUMPRODUCT((P$3:P$94&lt;&gt;"")*(G$3:G$94=G56)*(I$3:I$94="P"))+1,IF(N56&lt;&gt;"",SUMPRODUCT((N$3:N$94&lt;&gt;"")*(G$3:G$94=G56)*(J$3:J$94&gt;J56)*(I$3:I$94="P"))+1,IF(M56="P",SUMPRODUCT((O$3:O$94&lt;&gt;"")*(P$3:P$94="")*(G$3:G$94=G56)*(I$3:I$94="P"))+SUMPRODUCT((P$3:P$94&lt;&gt;"")*(G$3:G$94=G56)*(I$3:I$94="P"))+SUMPRODUCT((N$3:N$94&lt;&gt;"")*(G$3:G$94=G56)*(I$3:I$94="P"))+SUMPRODUCT((P$3:P$94="")*(O$3:O$94="")*(N$3:N$94="")*(M$3:M$94="P")*(G$3:G$94=G56)*(J$3:J$94&gt;J56)*(I$3:I$94="P"))+IF(H56="L5",SUMPRODUCT((P$3:P$94="")*(O$3:O$94="")*(N$3:N$94="")*(M$3:M$94="P")*(G$3:G$94=G56)*(J$3:J$94&lt;J56)*(H$3:H$94&lt;&gt;H56)*(I$3:I$94="P")),-1*SUMPRODUCT((P$3:P$94="")*(O$3:O$94="")*(N$3:N$94="")*(M$3:M$94="P")*(G$3:G$94=G56)*(J$3:J$94&gt;J56)*(H$3:H$94="L5")*(I$3:I$94="P")))+1,"")))))</f>
        <v/>
      </c>
      <c r="B56" s="1" cm="1">
        <f t="array" ref="B56">IF(P56&lt;&gt;"",SUMPRODUCT((P$3:P$94&lt;&gt;"")*(G$3:G$94=G56)*(J$3:J$94&gt;J56))+1,IF(O56&lt;&gt;"",SUMPRODUCT((O$3:O$94&lt;&gt;"")*(P$3:P$94="")*(G$3:G$94=G56)*(J$3:J$94&gt;J56))+SUMPRODUCT((P$3:P$94&lt;&gt;"")*(G$3:G$94=G56))+1,IF(N56&lt;&gt;"",SUMPRODUCT((N$3:N$94&lt;&gt;"")*(G$3:G$94=G56)*(J$3:J$94&gt;J56))+1,IF(M56="P",SUMPRODUCT((O$3:O$94&lt;&gt;"")*(P$3:P$94="")*(G$3:G$94=G56))+SUMPRODUCT((P$3:P$94&lt;&gt;"")*(G$3:G$94=G56))+SUMPRODUCT((N$3:N$94&lt;&gt;"")*(G$3:G$94=G56))+SUMPRODUCT((P$3:P$94="")*(O$3:O$94="")*(N$3:N$94="")*(M$3:M$94="P")*(G$3:G$94=G56)*(J$3:J$94&gt;J56))+IF(H56="L5",SUMPRODUCT((P$3:P$94="")*(O$3:O$94="")*(N$3:N$94="")*(M$3:M$94="P")*(G$3:G$94=G56)*(J$3:J$94&lt;J56)*(H$3:H$94&lt;&gt;H56)),-1*SUMPRODUCT((P$3:P$94="")*(O$3:O$94="")*(N$3:N$94="")*(M$3:M$94="P")*(G$3:G$94=G56)*(J$3:J$94&gt;J56)*(H$3:H$94="L5")))+1,""))))</f>
        <v>1</v>
      </c>
      <c r="C56" s="35" t="s">
        <v>220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211</v>
      </c>
      <c r="I56" s="40"/>
      <c r="J56" s="4">
        <f>R56+S56+IF(OR(H56="Junior",H56="Senior"),0.0002,IF(OR(H56="L7",H56="L6"),0.0001,0))+MAX(Z56,AC56)*0.0000001</f>
        <v>103.30020521000002</v>
      </c>
      <c r="K56" s="3" t="str">
        <f>IF(G56="Not Age Eligible","",IF(MAX(T56,W56,Z56,AC56)&gt;=LOOKUP(G56,'Qualifying Scores'!$A$4:$A$7,'Qualifying Scores'!$G$4:$G$7),"P",""))</f>
        <v>P</v>
      </c>
      <c r="L56" s="3" t="str">
        <f>IF(G56="Not Age Eligible","",IF(MAX(U56,X56,AA56,AD56)&gt;=LOOKUP(G56,'Qualifying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>P</v>
      </c>
      <c r="N56" s="36">
        <v>1</v>
      </c>
      <c r="Q56" s="1" t="str">
        <f>IF(A56&lt;5,IF(_xlfn.MAXIFS(A:A,G:G,G56)&gt;3,5-A56,_xlfn.MAXIFS(A:A,G:G,G56)+1-A56),"")</f>
        <v/>
      </c>
      <c r="R56" s="4">
        <f>MAX(T56-IF(OR(H56="L6"),V56,0),W56-IF(OR(H56="L6"),Y56,0),Z56-IF(OR(H56="L6"),AB56,0),AC56-IF(OR(H56="L6"),AE56,0))</f>
        <v>52.1</v>
      </c>
      <c r="S56" s="4">
        <f>IF(R56=T56-IF(OR(H56="L6"),V56,0),MAX(W56-IF(OR(H56="L6"),Y56,0),Z56-IF(OR(H56="L6"),AB56,0),AC56-IF(OR(H56="L6"),AE56,0)),IF(R56=W56-IF(OR(H56="L6"),Y56,0),MAX(T56-IF(OR(H56="L6"),V56,0),Z56-IF(OR(H56="L6"),AB56,0),AC56-IF(OR(H56="L6"),AE56,0)),IF(R56=Z56-IF(OR(H56="L6"),AB56,0),MAX(T56-IF(OR(H56="L6"),V56,0),W56-IF(OR(H56="L6"),Y56,0),AC56-IF(OR(H56="L6"),AE56,0)),IF(R56=AC56-IF(OR(H56="L6"),AE56,0),MAX(T56-IF(OR(H56="L6"),V56,0),W56-IF(OR(H56="L6"),Y56,0),Z56-IF(OR(H56="L6"),AB56,0)),0))))</f>
        <v>51.2</v>
      </c>
      <c r="T56" s="32">
        <v>51.2</v>
      </c>
      <c r="U56" s="37">
        <v>13.2</v>
      </c>
      <c r="V56" s="37">
        <v>0</v>
      </c>
      <c r="W56" s="33">
        <v>51</v>
      </c>
      <c r="X56" s="37">
        <v>14</v>
      </c>
      <c r="Y56" s="37">
        <v>0</v>
      </c>
      <c r="Z56" s="32">
        <v>50.9</v>
      </c>
      <c r="AA56" s="37">
        <v>13.2</v>
      </c>
      <c r="AB56" s="37">
        <v>0</v>
      </c>
      <c r="AC56" s="33">
        <v>52.1</v>
      </c>
      <c r="AD56" s="37">
        <v>14.8</v>
      </c>
      <c r="AE56" s="37">
        <v>0</v>
      </c>
    </row>
    <row r="57" spans="1:31" x14ac:dyDescent="0.2">
      <c r="A57" s="1" t="str" cm="1">
        <f t="array" ref="A57">IF(I57="","",IF(P57&lt;&gt;"",SUMPRODUCT((P$3:P$94&lt;&gt;"")*(G$3:G$94=G57)*(J$3:J$94&gt;J57)*(I$3:I$94="P"))+1,IF(O57&lt;&gt;"",SUMPRODUCT((O$3:O$94&lt;&gt;"")*(P$3:P$94="")*(G$3:G$94=G57)*(J$3:J$94&gt;J57)*(I$3:I$94="P"))+SUMPRODUCT((P$3:P$94&lt;&gt;"")*(G$3:G$94=G57)*(I$3:I$94="P"))+1,IF(N57&lt;&gt;"",SUMPRODUCT((N$3:N$94&lt;&gt;"")*(G$3:G$94=G57)*(J$3:J$94&gt;J57)*(I$3:I$94="P"))+1,IF(M57="P",SUMPRODUCT((O$3:O$94&lt;&gt;"")*(P$3:P$94="")*(G$3:G$94=G57)*(I$3:I$94="P"))+SUMPRODUCT((P$3:P$94&lt;&gt;"")*(G$3:G$94=G57)*(I$3:I$94="P"))+SUMPRODUCT((N$3:N$94&lt;&gt;"")*(G$3:G$94=G57)*(I$3:I$94="P"))+SUMPRODUCT((P$3:P$94="")*(O$3:O$94="")*(N$3:N$94="")*(M$3:M$94="P")*(G$3:G$94=G57)*(J$3:J$94&gt;J57)*(I$3:I$94="P"))+IF(H57="L5",SUMPRODUCT((P$3:P$94="")*(O$3:O$94="")*(N$3:N$94="")*(M$3:M$94="P")*(G$3:G$94=G57)*(J$3:J$94&lt;J57)*(H$3:H$94&lt;&gt;H57)*(I$3:I$94="P")),-1*SUMPRODUCT((P$3:P$94="")*(O$3:O$94="")*(N$3:N$94="")*(M$3:M$94="P")*(G$3:G$94=G57)*(J$3:J$94&gt;J57)*(H$3:H$94="L5")*(I$3:I$94="P")))+1,"")))))</f>
        <v/>
      </c>
      <c r="B57" s="1" cm="1">
        <f t="array" ref="B57">IF(P57&lt;&gt;"",SUMPRODUCT((P$3:P$94&lt;&gt;"")*(G$3:G$94=G57)*(J$3:J$94&gt;J57))+1,IF(O57&lt;&gt;"",SUMPRODUCT((O$3:O$94&lt;&gt;"")*(P$3:P$94="")*(G$3:G$94=G57)*(J$3:J$94&gt;J57))+SUMPRODUCT((P$3:P$94&lt;&gt;"")*(G$3:G$94=G57))+1,IF(N57&lt;&gt;"",SUMPRODUCT((N$3:N$94&lt;&gt;"")*(G$3:G$94=G57)*(J$3:J$94&gt;J57))+1,IF(M57="P",SUMPRODUCT((O$3:O$94&lt;&gt;"")*(P$3:P$94="")*(G$3:G$94=G57))+SUMPRODUCT((P$3:P$94&lt;&gt;"")*(G$3:G$94=G57))+SUMPRODUCT((N$3:N$94&lt;&gt;"")*(G$3:G$94=G57))+SUMPRODUCT((P$3:P$94="")*(O$3:O$94="")*(N$3:N$94="")*(M$3:M$94="P")*(G$3:G$94=G57)*(J$3:J$94&gt;J57))+IF(H57="L5",SUMPRODUCT((P$3:P$94="")*(O$3:O$94="")*(N$3:N$94="")*(M$3:M$94="P")*(G$3:G$94=G57)*(J$3:J$94&lt;J57)*(H$3:H$94&lt;&gt;H57)),-1*SUMPRODUCT((P$3:P$94="")*(O$3:O$94="")*(N$3:N$94="")*(M$3:M$94="P")*(G$3:G$94=G57)*(J$3:J$94&gt;J57)*(H$3:H$94="L5")))+1,""))))</f>
        <v>2</v>
      </c>
      <c r="C57" s="35" t="s">
        <v>219</v>
      </c>
      <c r="D57" t="str">
        <f>IF(E57="","",VLOOKUP(E57,'Coaching Points'!A:B,2,0))</f>
        <v>BC</v>
      </c>
      <c r="E57" s="35" t="s">
        <v>40</v>
      </c>
      <c r="F57" s="34">
        <v>2009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/>
      <c r="J57" s="4">
        <f>R57+S57+IF(OR(H57="Junior",H57="Senior"),0.0002,IF(OR(H57="L7",H57="L6"),0.0001,0))+MAX(Z57,AC57)*0.0000001</f>
        <v>97.100204829999996</v>
      </c>
      <c r="K57" s="3" t="str">
        <f>IF(G57="Not Age Eligible","",IF(MAX(T57,W57,Z57,AC57)&gt;=LOOKUP(G57,'Qualifying Scores'!$A$4:$A$7,'Qualifying Scores'!$G$4:$G$7),"P",""))</f>
        <v>P</v>
      </c>
      <c r="L57" s="3" t="str">
        <f>IF(G57="Not Age Eligible","",IF(MAX(U57,X57,AA57,AD57)&gt;=LOOKUP(G57,'Qualifying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>P</v>
      </c>
      <c r="N57" s="36">
        <v>2</v>
      </c>
      <c r="Q57" s="1" t="str">
        <f>IF(A57&lt;5,IF(_xlfn.MAXIFS(A:A,G:G,G57)&gt;3,5-A57,_xlfn.MAXIFS(A:A,G:G,G57)+1-A57),"")</f>
        <v/>
      </c>
      <c r="R57" s="4">
        <f>MAX(T57-IF(OR(H57="L6"),V57,0),W57-IF(OR(H57="L6"),Y57,0),Z57-IF(OR(H57="L6"),AB57,0),AC57-IF(OR(H57="L6"),AE57,0))</f>
        <v>48.8</v>
      </c>
      <c r="S57" s="4">
        <f>IF(R57=T57-IF(OR(H57="L6"),V57,0),MAX(W57-IF(OR(H57="L6"),Y57,0),Z57-IF(OR(H57="L6"),AB57,0),AC57-IF(OR(H57="L6"),AE57,0)),IF(R57=W57-IF(OR(H57="L6"),Y57,0),MAX(T57-IF(OR(H57="L6"),V57,0),Z57-IF(OR(H57="L6"),AB57,0),AC57-IF(OR(H57="L6"),AE57,0)),IF(R57=Z57-IF(OR(H57="L6"),AB57,0),MAX(T57-IF(OR(H57="L6"),V57,0),W57-IF(OR(H57="L6"),Y57,0),AC57-IF(OR(H57="L6"),AE57,0)),IF(R57=AC57-IF(OR(H57="L6"),AE57,0),MAX(T57-IF(OR(H57="L6"),V57,0),W57-IF(OR(H57="L6"),Y57,0),Z57-IF(OR(H57="L6"),AB57,0)),0))))</f>
        <v>48.3</v>
      </c>
      <c r="T57" s="32">
        <v>48.8</v>
      </c>
      <c r="U57" s="37">
        <v>11.6</v>
      </c>
      <c r="V57" s="37">
        <v>0</v>
      </c>
      <c r="W57" s="33">
        <v>46.6</v>
      </c>
      <c r="X57" s="37">
        <v>10.8</v>
      </c>
      <c r="Y57" s="37">
        <v>0</v>
      </c>
      <c r="Z57" s="32">
        <v>46.8</v>
      </c>
      <c r="AA57" s="37">
        <v>11.6</v>
      </c>
      <c r="AB57" s="37">
        <v>0</v>
      </c>
      <c r="AC57" s="33">
        <v>48.3</v>
      </c>
      <c r="AD57" s="37">
        <v>11.6</v>
      </c>
      <c r="AE57" s="37">
        <v>0</v>
      </c>
    </row>
    <row r="58" spans="1:31" x14ac:dyDescent="0.2">
      <c r="A58" s="1" t="str" cm="1">
        <f t="array" ref="A58">IF(I58="","",IF(P58&lt;&gt;"",SUMPRODUCT((P$3:P$94&lt;&gt;"")*(G$3:G$94=G58)*(J$3:J$94&gt;J58)*(I$3:I$94="P"))+1,IF(O58&lt;&gt;"",SUMPRODUCT((O$3:O$94&lt;&gt;"")*(P$3:P$94="")*(G$3:G$94=G58)*(J$3:J$94&gt;J58)*(I$3:I$94="P"))+SUMPRODUCT((P$3:P$94&lt;&gt;"")*(G$3:G$94=G58)*(I$3:I$94="P"))+1,IF(N58&lt;&gt;"",SUMPRODUCT((N$3:N$94&lt;&gt;"")*(G$3:G$94=G58)*(J$3:J$94&gt;J58)*(I$3:I$94="P"))+1,IF(M58="P",SUMPRODUCT((O$3:O$94&lt;&gt;"")*(P$3:P$94="")*(G$3:G$94=G58)*(I$3:I$94="P"))+SUMPRODUCT((P$3:P$94&lt;&gt;"")*(G$3:G$94=G58)*(I$3:I$94="P"))+SUMPRODUCT((N$3:N$94&lt;&gt;"")*(G$3:G$94=G58)*(I$3:I$94="P"))+SUMPRODUCT((P$3:P$94="")*(O$3:O$94="")*(N$3:N$94="")*(M$3:M$94="P")*(G$3:G$94=G58)*(J$3:J$94&gt;J58)*(I$3:I$94="P"))+IF(H58="L5",SUMPRODUCT((P$3:P$94="")*(O$3:O$94="")*(N$3:N$94="")*(M$3:M$94="P")*(G$3:G$94=G58)*(J$3:J$94&lt;J58)*(H$3:H$94&lt;&gt;H58)*(I$3:I$94="P")),-1*SUMPRODUCT((P$3:P$94="")*(O$3:O$94="")*(N$3:N$94="")*(M$3:M$94="P")*(G$3:G$94=G58)*(J$3:J$94&gt;J58)*(H$3:H$94="L5")*(I$3:I$94="P")))+1,"")))))</f>
        <v/>
      </c>
      <c r="B58" s="1" cm="1">
        <f t="array" ref="B58">IF(P58&lt;&gt;"",SUMPRODUCT((P$3:P$94&lt;&gt;"")*(G$3:G$94=G58)*(J$3:J$94&gt;J58))+1,IF(O58&lt;&gt;"",SUMPRODUCT((O$3:O$94&lt;&gt;"")*(P$3:P$94="")*(G$3:G$94=G58)*(J$3:J$94&gt;J58))+SUMPRODUCT((P$3:P$94&lt;&gt;"")*(G$3:G$94=G58))+1,IF(N58&lt;&gt;"",SUMPRODUCT((N$3:N$94&lt;&gt;"")*(G$3:G$94=G58)*(J$3:J$94&gt;J58))+1,IF(M58="P",SUMPRODUCT((O$3:O$94&lt;&gt;"")*(P$3:P$94="")*(G$3:G$94=G58))+SUMPRODUCT((P$3:P$94&lt;&gt;"")*(G$3:G$94=G58))+SUMPRODUCT((N$3:N$94&lt;&gt;"")*(G$3:G$94=G58))+SUMPRODUCT((P$3:P$94="")*(O$3:O$94="")*(N$3:N$94="")*(M$3:M$94="P")*(G$3:G$94=G58)*(J$3:J$94&gt;J58))+IF(H58="L5",SUMPRODUCT((P$3:P$94="")*(O$3:O$94="")*(N$3:N$94="")*(M$3:M$94="P")*(G$3:G$94=G58)*(J$3:J$94&lt;J58)*(H$3:H$94&lt;&gt;H58)),-1*SUMPRODUCT((P$3:P$94="")*(O$3:O$94="")*(N$3:N$94="")*(M$3:M$94="P")*(G$3:G$94=G58)*(J$3:J$94&gt;J58)*(H$3:H$94="L5")))+1,""))))</f>
        <v>3</v>
      </c>
      <c r="C58" s="35" t="s">
        <v>218</v>
      </c>
      <c r="D58" t="str">
        <f>IF(E58="","",VLOOKUP(E58,'Coaching Points'!A:B,2,0))</f>
        <v>QC</v>
      </c>
      <c r="E58" s="35" t="s">
        <v>75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/>
      <c r="J58" s="4">
        <f>R58+S58+IF(OR(H58="Junior",H58="Senior"),0.0002,IF(OR(H58="L7",H58="L6"),0.0001,0))+MAX(Z58,AC58)*0.0000001</f>
        <v>93.400204700000018</v>
      </c>
      <c r="K58" s="3" t="str">
        <f>IF(G58="Not Age Eligible","",IF(MAX(T58,W58,Z58,AC58)&gt;=LOOKUP(G58,'Qualifying Scores'!$A$4:$A$7,'Qualifying Scores'!$G$4:$G$7),"P",""))</f>
        <v>P</v>
      </c>
      <c r="L58" s="3" t="str">
        <f>IF(G58="Not Age Eligible","",IF(MAX(U58,X58,AA58,AD58)&gt;=LOOKUP(G58,'Qualifying Scores'!$A$10:$A$13,'Qualifying Scores'!$G$10:$G$13),"P",""))</f>
        <v>P</v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>P</v>
      </c>
      <c r="N58" s="36">
        <v>4</v>
      </c>
      <c r="Q58" s="1" t="str">
        <f>IF(A58&lt;5,IF(_xlfn.MAXIFS(A:A,G:G,G58)&gt;3,5-A58,_xlfn.MAXIFS(A:A,G:G,G58)+1-A58),"")</f>
        <v/>
      </c>
      <c r="R58" s="4">
        <f>MAX(T58-IF(OR(H58="L6"),V58,0),W58-IF(OR(H58="L6"),Y58,0),Z58-IF(OR(H58="L6"),AB58,0),AC58-IF(OR(H58="L6"),AE58,0))</f>
        <v>47</v>
      </c>
      <c r="S58" s="4">
        <f>IF(R58=T58-IF(OR(H58="L6"),V58,0),MAX(W58-IF(OR(H58="L6"),Y58,0),Z58-IF(OR(H58="L6"),AB58,0),AC58-IF(OR(H58="L6"),AE58,0)),IF(R58=W58-IF(OR(H58="L6"),Y58,0),MAX(T58-IF(OR(H58="L6"),V58,0),Z58-IF(OR(H58="L6"),AB58,0),AC58-IF(OR(H58="L6"),AE58,0)),IF(R58=Z58-IF(OR(H58="L6"),AB58,0),MAX(T58-IF(OR(H58="L6"),V58,0),W58-IF(OR(H58="L6"),Y58,0),AC58-IF(OR(H58="L6"),AE58,0)),IF(R58=AC58-IF(OR(H58="L6"),AE58,0),MAX(T58-IF(OR(H58="L6"),V58,0),W58-IF(OR(H58="L6"),Y58,0),Z58-IF(OR(H58="L6"),AB58,0)),0))))</f>
        <v>46.4</v>
      </c>
      <c r="T58" s="32">
        <v>46.1</v>
      </c>
      <c r="U58" s="37">
        <v>9.1</v>
      </c>
      <c r="V58" s="37">
        <v>0</v>
      </c>
      <c r="W58" s="33">
        <v>45.4</v>
      </c>
      <c r="X58" s="37">
        <v>10</v>
      </c>
      <c r="Y58" s="37">
        <v>0</v>
      </c>
      <c r="Z58" s="32">
        <v>47</v>
      </c>
      <c r="AA58" s="37">
        <v>9.8999999999999986</v>
      </c>
      <c r="AB58" s="37">
        <v>0</v>
      </c>
      <c r="AC58" s="33">
        <v>46.4</v>
      </c>
      <c r="AD58" s="37">
        <v>9.5</v>
      </c>
      <c r="AE58" s="37">
        <v>0</v>
      </c>
    </row>
    <row r="59" spans="1:31" x14ac:dyDescent="0.2">
      <c r="A59" s="1" t="str" cm="1">
        <f t="array" ref="A59">IF(I59="","",IF(P59&lt;&gt;"",SUMPRODUCT((P$3:P$94&lt;&gt;"")*(G$3:G$94=G59)*(J$3:J$94&gt;J59)*(I$3:I$94="P"))+1,IF(O59&lt;&gt;"",SUMPRODUCT((O$3:O$94&lt;&gt;"")*(P$3:P$94="")*(G$3:G$94=G59)*(J$3:J$94&gt;J59)*(I$3:I$94="P"))+SUMPRODUCT((P$3:P$94&lt;&gt;"")*(G$3:G$94=G59)*(I$3:I$94="P"))+1,IF(N59&lt;&gt;"",SUMPRODUCT((N$3:N$94&lt;&gt;"")*(G$3:G$94=G59)*(J$3:J$94&gt;J59)*(I$3:I$94="P"))+1,IF(M59="P",SUMPRODUCT((O$3:O$94&lt;&gt;"")*(P$3:P$94="")*(G$3:G$94=G59)*(I$3:I$94="P"))+SUMPRODUCT((P$3:P$94&lt;&gt;"")*(G$3:G$94=G59)*(I$3:I$94="P"))+SUMPRODUCT((N$3:N$94&lt;&gt;"")*(G$3:G$94=G59)*(I$3:I$94="P"))+SUMPRODUCT((P$3:P$94="")*(O$3:O$94="")*(N$3:N$94="")*(M$3:M$94="P")*(G$3:G$94=G59)*(J$3:J$94&gt;J59)*(I$3:I$94="P"))+IF(H59="L5",SUMPRODUCT((P$3:P$94="")*(O$3:O$94="")*(N$3:N$94="")*(M$3:M$94="P")*(G$3:G$94=G59)*(J$3:J$94&lt;J59)*(H$3:H$94&lt;&gt;H59)*(I$3:I$94="P")),-1*SUMPRODUCT((P$3:P$94="")*(O$3:O$94="")*(N$3:N$94="")*(M$3:M$94="P")*(G$3:G$94=G59)*(J$3:J$94&gt;J59)*(H$3:H$94="L5")*(I$3:I$94="P")))+1,"")))))</f>
        <v/>
      </c>
      <c r="B59" s="1" cm="1">
        <f t="array" ref="B59">IF(P59&lt;&gt;"",SUMPRODUCT((P$3:P$94&lt;&gt;"")*(G$3:G$94=G59)*(J$3:J$94&gt;J59))+1,IF(O59&lt;&gt;"",SUMPRODUCT((O$3:O$94&lt;&gt;"")*(P$3:P$94="")*(G$3:G$94=G59)*(J$3:J$94&gt;J59))+SUMPRODUCT((P$3:P$94&lt;&gt;"")*(G$3:G$94=G59))+1,IF(N59&lt;&gt;"",SUMPRODUCT((N$3:N$94&lt;&gt;"")*(G$3:G$94=G59)*(J$3:J$94&gt;J59))+1,IF(M59="P",SUMPRODUCT((O$3:O$94&lt;&gt;"")*(P$3:P$94="")*(G$3:G$94=G59))+SUMPRODUCT((P$3:P$94&lt;&gt;"")*(G$3:G$94=G59))+SUMPRODUCT((N$3:N$94&lt;&gt;"")*(G$3:G$94=G59))+SUMPRODUCT((P$3:P$94="")*(O$3:O$94="")*(N$3:N$94="")*(M$3:M$94="P")*(G$3:G$94=G59)*(J$3:J$94&gt;J59))+IF(H59="L5",SUMPRODUCT((P$3:P$94="")*(O$3:O$94="")*(N$3:N$94="")*(M$3:M$94="P")*(G$3:G$94=G59)*(J$3:J$94&lt;J59)*(H$3:H$94&lt;&gt;H59)),-1*SUMPRODUCT((P$3:P$94="")*(O$3:O$94="")*(N$3:N$94="")*(M$3:M$94="P")*(G$3:G$94=G59)*(J$3:J$94&gt;J59)*(H$3:H$94="L5")))+1,""))))</f>
        <v>4</v>
      </c>
      <c r="C59" s="35" t="s">
        <v>362</v>
      </c>
      <c r="D59" t="str">
        <f>IF(E59="","",VLOOKUP(E59,'Coaching Points'!A:B,2,0))</f>
        <v>AB</v>
      </c>
      <c r="E59" s="35" t="s">
        <v>28</v>
      </c>
      <c r="F59" s="34">
        <v>2009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211</v>
      </c>
      <c r="I59" s="40"/>
      <c r="J59" s="4">
        <f>R59+S59+IF(OR(H59="Junior",H59="Senior"),0.0002,IF(OR(H59="L7",H59="L6"),0.0001,0))+MAX(Z59,AC59)*0.0000001</f>
        <v>91.100204469999994</v>
      </c>
      <c r="K59" s="3" t="str">
        <f>IF(G59="Not Age Eligible","",IF(MAX(T59,W59,Z59,AC59)&gt;=LOOKUP(G59,'Qualifying Scores'!$A$4:$A$7,'Qualifying Scores'!$G$4:$G$7),"P",""))</f>
        <v>P</v>
      </c>
      <c r="L59" s="3" t="str">
        <f>IF(G59="Not Age Eligible","",IF(MAX(U59,X59,AA59,AD59)&gt;=LOOKUP(G59,'Qualifying Scores'!$A$10:$A$13,'Qualifying Scores'!$G$10:$G$13),"P",""))</f>
        <v>P</v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>P</v>
      </c>
      <c r="N59" s="36">
        <v>3</v>
      </c>
      <c r="Q59" s="1" t="str">
        <f>IF(A59&lt;5,IF(_xlfn.MAXIFS(A:A,G:G,G59)&gt;3,5-A59,_xlfn.MAXIFS(A:A,G:G,G59)+1-A59),"")</f>
        <v/>
      </c>
      <c r="R59" s="4">
        <f>MAX(T59-IF(OR(H59="L6"),V59,0),W59-IF(OR(H59="L6"),Y59,0),Z59-IF(OR(H59="L6"),AB59,0),AC59-IF(OR(H59="L6"),AE59,0))</f>
        <v>46.4</v>
      </c>
      <c r="S59" s="4">
        <f>IF(R59=T59-IF(OR(H59="L6"),V59,0),MAX(W59-IF(OR(H59="L6"),Y59,0),Z59-IF(OR(H59="L6"),AB59,0),AC59-IF(OR(H59="L6"),AE59,0)),IF(R59=W59-IF(OR(H59="L6"),Y59,0),MAX(T59-IF(OR(H59="L6"),V59,0),Z59-IF(OR(H59="L6"),AB59,0),AC59-IF(OR(H59="L6"),AE59,0)),IF(R59=Z59-IF(OR(H59="L6"),AB59,0),MAX(T59-IF(OR(H59="L6"),V59,0),W59-IF(OR(H59="L6"),Y59,0),AC59-IF(OR(H59="L6"),AE59,0)),IF(R59=AC59-IF(OR(H59="L6"),AE59,0),MAX(T59-IF(OR(H59="L6"),V59,0),W59-IF(OR(H59="L6"),Y59,0),Z59-IF(OR(H59="L6"),AB59,0)),0))))</f>
        <v>44.7</v>
      </c>
      <c r="T59" s="32">
        <v>41.4</v>
      </c>
      <c r="U59" s="37">
        <v>8.8000000000000007</v>
      </c>
      <c r="V59" s="37">
        <v>0</v>
      </c>
      <c r="W59" s="33">
        <v>46.4</v>
      </c>
      <c r="X59" s="37">
        <v>10.4</v>
      </c>
      <c r="Y59" s="37">
        <v>0</v>
      </c>
      <c r="Z59" s="32">
        <v>44.7</v>
      </c>
      <c r="AA59" s="37">
        <v>10.4</v>
      </c>
      <c r="AB59" s="37">
        <v>0</v>
      </c>
      <c r="AC59" s="33">
        <v>41.2</v>
      </c>
      <c r="AD59" s="37">
        <v>7.6</v>
      </c>
      <c r="AE59" s="37">
        <v>0</v>
      </c>
    </row>
    <row r="60" spans="1:31" x14ac:dyDescent="0.2">
      <c r="A60" s="1" t="str" cm="1">
        <f t="array" ref="A60">IF(I60="","",IF(P60&lt;&gt;"",SUMPRODUCT((P$3:P$94&lt;&gt;"")*(G$3:G$94=G60)*(J$3:J$94&gt;J60)*(I$3:I$94="P"))+1,IF(O60&lt;&gt;"",SUMPRODUCT((O$3:O$94&lt;&gt;"")*(P$3:P$94="")*(G$3:G$94=G60)*(J$3:J$94&gt;J60)*(I$3:I$94="P"))+SUMPRODUCT((P$3:P$94&lt;&gt;"")*(G$3:G$94=G60)*(I$3:I$94="P"))+1,IF(N60&lt;&gt;"",SUMPRODUCT((N$3:N$94&lt;&gt;"")*(G$3:G$94=G60)*(J$3:J$94&gt;J60)*(I$3:I$94="P"))+1,IF(M60="P",SUMPRODUCT((O$3:O$94&lt;&gt;"")*(P$3:P$94="")*(G$3:G$94=G60)*(I$3:I$94="P"))+SUMPRODUCT((P$3:P$94&lt;&gt;"")*(G$3:G$94=G60)*(I$3:I$94="P"))+SUMPRODUCT((N$3:N$94&lt;&gt;"")*(G$3:G$94=G60)*(I$3:I$94="P"))+SUMPRODUCT((P$3:P$94="")*(O$3:O$94="")*(N$3:N$94="")*(M$3:M$94="P")*(G$3:G$94=G60)*(J$3:J$94&gt;J60)*(I$3:I$94="P"))+IF(H60="L5",SUMPRODUCT((P$3:P$94="")*(O$3:O$94="")*(N$3:N$94="")*(M$3:M$94="P")*(G$3:G$94=G60)*(J$3:J$94&lt;J60)*(H$3:H$94&lt;&gt;H60)*(I$3:I$94="P")),-1*SUMPRODUCT((P$3:P$94="")*(O$3:O$94="")*(N$3:N$94="")*(M$3:M$94="P")*(G$3:G$94=G60)*(J$3:J$94&gt;J60)*(H$3:H$94="L5")*(I$3:I$94="P")))+1,"")))))</f>
        <v/>
      </c>
      <c r="B60" s="1" cm="1">
        <f t="array" ref="B60">IF(P60&lt;&gt;"",SUMPRODUCT((P$3:P$94&lt;&gt;"")*(G$3:G$94=G60)*(J$3:J$94&gt;J60))+1,IF(O60&lt;&gt;"",SUMPRODUCT((O$3:O$94&lt;&gt;"")*(P$3:P$94="")*(G$3:G$94=G60)*(J$3:J$94&gt;J60))+SUMPRODUCT((P$3:P$94&lt;&gt;"")*(G$3:G$94=G60))+1,IF(N60&lt;&gt;"",SUMPRODUCT((N$3:N$94&lt;&gt;"")*(G$3:G$94=G60)*(J$3:J$94&gt;J60))+1,IF(M60="P",SUMPRODUCT((O$3:O$94&lt;&gt;"")*(P$3:P$94="")*(G$3:G$94=G60))+SUMPRODUCT((P$3:P$94&lt;&gt;"")*(G$3:G$94=G60))+SUMPRODUCT((N$3:N$94&lt;&gt;"")*(G$3:G$94=G60))+SUMPRODUCT((P$3:P$94="")*(O$3:O$94="")*(N$3:N$94="")*(M$3:M$94="P")*(G$3:G$94=G60)*(J$3:J$94&gt;J60))+IF(H60="L5",SUMPRODUCT((P$3:P$94="")*(O$3:O$94="")*(N$3:N$94="")*(M$3:M$94="P")*(G$3:G$94=G60)*(J$3:J$94&lt;J60)*(H$3:H$94&lt;&gt;H60)),-1*SUMPRODUCT((P$3:P$94="")*(O$3:O$94="")*(N$3:N$94="")*(M$3:M$94="P")*(G$3:G$94=G60)*(J$3:J$94&gt;J60)*(H$3:H$94="L5")))+1,""))))</f>
        <v>5</v>
      </c>
      <c r="C60" s="35" t="s">
        <v>250</v>
      </c>
      <c r="D60" t="str">
        <f>IF(E60="","",VLOOKUP(E60,'Coaching Points'!A:B,2,0))</f>
        <v>BC</v>
      </c>
      <c r="E60" s="35" t="s">
        <v>40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/>
      <c r="J60" s="4">
        <f>R60+S60+IF(OR(H60="Junior",H60="Senior"),0.0002,IF(OR(H60="L7",H60="L6"),0.0001,0))+MAX(Z60,AC60)*0.0000001</f>
        <v>86.700200000000009</v>
      </c>
      <c r="K60" s="3" t="str">
        <f>IF(G60="Not Age Eligible","",IF(MAX(T60,W60,Z60,AC60)&gt;=LOOKUP(G60,'Qualifying Scores'!$A$4:$A$7,'Qualifying Scores'!$G$4:$G$7),"P",""))</f>
        <v>P</v>
      </c>
      <c r="L60" s="3" t="str">
        <f>IF(G60="Not Age Eligible","",IF(MAX(U60,X60,AA60,AD60)&gt;=LOOKUP(G60,'Qualifying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>P</v>
      </c>
      <c r="Q60" s="1" t="str">
        <f>IF(A60&lt;5,IF(_xlfn.MAXIFS(A:A,G:G,G60)&gt;3,5-A60,_xlfn.MAXIFS(A:A,G:G,G60)+1-A60),"")</f>
        <v/>
      </c>
      <c r="R60" s="4">
        <f>MAX(T60-IF(OR(H60="L6"),V60,0),W60-IF(OR(H60="L6"),Y60,0),Z60-IF(OR(H60="L6"),AB60,0),AC60-IF(OR(H60="L6"),AE60,0))</f>
        <v>45.2</v>
      </c>
      <c r="S60" s="4">
        <f>IF(R60=T60-IF(OR(H60="L6"),V60,0),MAX(W60-IF(OR(H60="L6"),Y60,0),Z60-IF(OR(H60="L6"),AB60,0),AC60-IF(OR(H60="L6"),AE60,0)),IF(R60=W60-IF(OR(H60="L6"),Y60,0),MAX(T60-IF(OR(H60="L6"),V60,0),Z60-IF(OR(H60="L6"),AB60,0),AC60-IF(OR(H60="L6"),AE60,0)),IF(R60=Z60-IF(OR(H60="L6"),AB60,0),MAX(T60-IF(OR(H60="L6"),V60,0),W60-IF(OR(H60="L6"),Y60,0),AC60-IF(OR(H60="L6"),AE60,0)),IF(R60=AC60-IF(OR(H60="L6"),AE60,0),MAX(T60-IF(OR(H60="L6"),V60,0),W60-IF(OR(H60="L6"),Y60,0),Z60-IF(OR(H60="L6"),AB60,0)),0))))</f>
        <v>41.5</v>
      </c>
      <c r="T60" s="32">
        <v>45.2</v>
      </c>
      <c r="U60" s="37">
        <v>8.3000000000000007</v>
      </c>
      <c r="V60" s="37">
        <v>0</v>
      </c>
      <c r="W60" s="33">
        <v>41.5</v>
      </c>
      <c r="X60" s="37">
        <v>6.9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$94&lt;&gt;"")*(G$3:G$94=G61)*(J$3:J$94&gt;J61)*(I$3:I$94="P"))+1,IF(O61&lt;&gt;"",SUMPRODUCT((O$3:O$94&lt;&gt;"")*(P$3:P$94="")*(G$3:G$94=G61)*(J$3:J$94&gt;J61)*(I$3:I$94="P"))+SUMPRODUCT((P$3:P$94&lt;&gt;"")*(G$3:G$94=G61)*(I$3:I$94="P"))+1,IF(N61&lt;&gt;"",SUMPRODUCT((N$3:N$94&lt;&gt;"")*(G$3:G$94=G61)*(J$3:J$94&gt;J61)*(I$3:I$94="P"))+1,IF(M61="P",SUMPRODUCT((O$3:O$94&lt;&gt;"")*(P$3:P$94="")*(G$3:G$94=G61)*(I$3:I$94="P"))+SUMPRODUCT((P$3:P$94&lt;&gt;"")*(G$3:G$94=G61)*(I$3:I$94="P"))+SUMPRODUCT((N$3:N$94&lt;&gt;"")*(G$3:G$94=G61)*(I$3:I$94="P"))+SUMPRODUCT((P$3:P$94="")*(O$3:O$94="")*(N$3:N$94="")*(M$3:M$94="P")*(G$3:G$94=G61)*(J$3:J$94&gt;J61)*(I$3:I$94="P"))+IF(H61="L5",SUMPRODUCT((P$3:P$94="")*(O$3:O$94="")*(N$3:N$94="")*(M$3:M$94="P")*(G$3:G$94=G61)*(J$3:J$94&lt;J61)*(H$3:H$94&lt;&gt;H61)*(I$3:I$94="P")),-1*SUMPRODUCT((P$3:P$94="")*(O$3:O$94="")*(N$3:N$94="")*(M$3:M$94="P")*(G$3:G$94=G61)*(J$3:J$94&gt;J61)*(H$3:H$94="L5")*(I$3:I$94="P")))+1,"")))))</f>
        <v/>
      </c>
      <c r="B61" s="1" t="str" cm="1">
        <f t="array" ref="B61">IF(P61&lt;&gt;"",SUMPRODUCT((P$3:P$94&lt;&gt;"")*(G$3:G$94=G61)*(J$3:J$94&gt;J61))+1,IF(O61&lt;&gt;"",SUMPRODUCT((O$3:O$94&lt;&gt;"")*(P$3:P$94="")*(G$3:G$94=G61)*(J$3:J$94&gt;J61))+SUMPRODUCT((P$3:P$94&lt;&gt;"")*(G$3:G$94=G61))+1,IF(N61&lt;&gt;"",SUMPRODUCT((N$3:N$94&lt;&gt;"")*(G$3:G$94=G61)*(J$3:J$94&gt;J61))+1,IF(M61="P",SUMPRODUCT((O$3:O$94&lt;&gt;"")*(P$3:P$94="")*(G$3:G$94=G61))+SUMPRODUCT((P$3:P$94&lt;&gt;"")*(G$3:G$94=G61))+SUMPRODUCT((N$3:N$94&lt;&gt;"")*(G$3:G$94=G61))+SUMPRODUCT((P$3:P$94="")*(O$3:O$94="")*(N$3:N$94="")*(M$3:M$94="P")*(G$3:G$94=G61)*(J$3:J$94&gt;J61))+IF(H61="L5",SUMPRODUCT((P$3:P$94="")*(O$3:O$94="")*(N$3:N$94="")*(M$3:M$94="P")*(G$3:G$94=G61)*(J$3:J$94&lt;J61)*(H$3:H$94&lt;&gt;H61)),-1*SUMPRODUCT((P$3:P$94="")*(O$3:O$94="")*(N$3:N$94="")*(M$3:M$94="P")*(G$3:G$94=G61)*(J$3:J$94&gt;J61)*(H$3:H$94="L5")))+1,""))))</f>
        <v/>
      </c>
      <c r="C61" s="35" t="s">
        <v>257</v>
      </c>
      <c r="D61" t="str">
        <f>IF(E61="","",VLOOKUP(E61,'Coaching Points'!A:B,2,0))</f>
        <v>AB</v>
      </c>
      <c r="E61" s="35" t="s">
        <v>28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211</v>
      </c>
      <c r="I61" s="40"/>
      <c r="J61" s="4">
        <f>R61+S61+IF(OR(H61="Junior",H61="Senior"),0.0002,IF(OR(H61="L7",H61="L6"),0.0001,0))+MAX(Z61,AC61)*0.0000001</f>
        <v>89.700204510000006</v>
      </c>
      <c r="K61" s="3" t="str">
        <f>IF(G61="Not Age Eligible","",IF(MAX(T61,W61,Z61,AC61)&gt;=LOOKUP(G61,'Qualifying Scores'!$A$4:$A$7,'Qualifying Scores'!$G$4:$G$7),"P",""))</f>
        <v/>
      </c>
      <c r="L61" s="3" t="str">
        <f>IF(G61="Not Age Eligible","",IF(MAX(U61,X61,AA61,AD61)&gt;=LOOKUP(G61,'Qualifying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/>
      </c>
      <c r="Q61" s="1" t="str">
        <f>IF(A61&lt;5,IF(_xlfn.MAXIFS(A:A,G:G,G61)&gt;3,5-A61,_xlfn.MAXIFS(A:A,G:G,G61)+1-A61),"")</f>
        <v/>
      </c>
      <c r="R61" s="4">
        <f>MAX(T61-IF(OR(H61="L6"),V61,0),W61-IF(OR(H61="L6"),Y61,0),Z61-IF(OR(H61="L6"),AB61,0),AC61-IF(OR(H61="L6"),AE61,0))</f>
        <v>45.1</v>
      </c>
      <c r="S61" s="4">
        <f>IF(R61=T61-IF(OR(H61="L6"),V61,0),MAX(W61-IF(OR(H61="L6"),Y61,0),Z61-IF(OR(H61="L6"),AB61,0),AC61-IF(OR(H61="L6"),AE61,0)),IF(R61=W61-IF(OR(H61="L6"),Y61,0),MAX(T61-IF(OR(H61="L6"),V61,0),Z61-IF(OR(H61="L6"),AB61,0),AC61-IF(OR(H61="L6"),AE61,0)),IF(R61=Z61-IF(OR(H61="L6"),AB61,0),MAX(T61-IF(OR(H61="L6"),V61,0),W61-IF(OR(H61="L6"),Y61,0),AC61-IF(OR(H61="L6"),AE61,0)),IF(R61=AC61-IF(OR(H61="L6"),AE61,0),MAX(T61-IF(OR(H61="L6"),V61,0),W61-IF(OR(H61="L6"),Y61,0),Z61-IF(OR(H61="L6"),AB61,0)),0))))</f>
        <v>44.6</v>
      </c>
      <c r="T61" s="32">
        <v>33.1</v>
      </c>
      <c r="U61" s="37">
        <v>1.9</v>
      </c>
      <c r="V61" s="37">
        <v>0</v>
      </c>
      <c r="W61" s="33"/>
      <c r="X61" s="37"/>
      <c r="Y61" s="37"/>
      <c r="Z61" s="32">
        <v>44.6</v>
      </c>
      <c r="AA61" s="37">
        <v>7.1</v>
      </c>
      <c r="AB61" s="37">
        <v>0</v>
      </c>
      <c r="AC61" s="33">
        <v>45.1</v>
      </c>
      <c r="AD61" s="37">
        <v>7.1</v>
      </c>
      <c r="AE61" s="37">
        <v>0</v>
      </c>
    </row>
    <row r="62" spans="1:31" x14ac:dyDescent="0.2">
      <c r="A62" s="1" t="str" cm="1">
        <f t="array" ref="A62">IF(I62="","",IF(P62&lt;&gt;"",SUMPRODUCT((P$3:P$94&lt;&gt;"")*(G$3:G$94=G62)*(J$3:J$94&gt;J62)*(I$3:I$94="P"))+1,IF(O62&lt;&gt;"",SUMPRODUCT((O$3:O$94&lt;&gt;"")*(P$3:P$94="")*(G$3:G$94=G62)*(J$3:J$94&gt;J62)*(I$3:I$94="P"))+SUMPRODUCT((P$3:P$94&lt;&gt;"")*(G$3:G$94=G62)*(I$3:I$94="P"))+1,IF(N62&lt;&gt;"",SUMPRODUCT((N$3:N$94&lt;&gt;"")*(G$3:G$94=G62)*(J$3:J$94&gt;J62)*(I$3:I$94="P"))+1,IF(M62="P",SUMPRODUCT((O$3:O$94&lt;&gt;"")*(P$3:P$94="")*(G$3:G$94=G62)*(I$3:I$94="P"))+SUMPRODUCT((P$3:P$94&lt;&gt;"")*(G$3:G$94=G62)*(I$3:I$94="P"))+SUMPRODUCT((N$3:N$94&lt;&gt;"")*(G$3:G$94=G62)*(I$3:I$94="P"))+SUMPRODUCT((P$3:P$94="")*(O$3:O$94="")*(N$3:N$94="")*(M$3:M$94="P")*(G$3:G$94=G62)*(J$3:J$94&gt;J62)*(I$3:I$94="P"))+IF(H62="L5",SUMPRODUCT((P$3:P$94="")*(O$3:O$94="")*(N$3:N$94="")*(M$3:M$94="P")*(G$3:G$94=G62)*(J$3:J$94&lt;J62)*(H$3:H$94&lt;&gt;H62)*(I$3:I$94="P")),-1*SUMPRODUCT((P$3:P$94="")*(O$3:O$94="")*(N$3:N$94="")*(M$3:M$94="P")*(G$3:G$94=G62)*(J$3:J$94&gt;J62)*(H$3:H$94="L5")*(I$3:I$94="P")))+1,"")))))</f>
        <v/>
      </c>
      <c r="B62" s="1" t="str" cm="1">
        <f t="array" ref="B62">IF(P62&lt;&gt;"",SUMPRODUCT((P$3:P$94&lt;&gt;"")*(G$3:G$94=G62)*(J$3:J$94&gt;J62))+1,IF(O62&lt;&gt;"",SUMPRODUCT((O$3:O$94&lt;&gt;"")*(P$3:P$94="")*(G$3:G$94=G62)*(J$3:J$94&gt;J62))+SUMPRODUCT((P$3:P$94&lt;&gt;"")*(G$3:G$94=G62))+1,IF(N62&lt;&gt;"",SUMPRODUCT((N$3:N$94&lt;&gt;"")*(G$3:G$94=G62)*(J$3:J$94&gt;J62))+1,IF(M62="P",SUMPRODUCT((O$3:O$94&lt;&gt;"")*(P$3:P$94="")*(G$3:G$94=G62))+SUMPRODUCT((P$3:P$94&lt;&gt;"")*(G$3:G$94=G62))+SUMPRODUCT((N$3:N$94&lt;&gt;"")*(G$3:G$94=G62))+SUMPRODUCT((P$3:P$94="")*(O$3:O$94="")*(N$3:N$94="")*(M$3:M$94="P")*(G$3:G$94=G62)*(J$3:J$94&gt;J62))+IF(H62="L5",SUMPRODUCT((P$3:P$94="")*(O$3:O$94="")*(N$3:N$94="")*(M$3:M$94="P")*(G$3:G$94=G62)*(J$3:J$94&lt;J62)*(H$3:H$94&lt;&gt;H62)),-1*SUMPRODUCT((P$3:P$94="")*(O$3:O$94="")*(N$3:N$94="")*(M$3:M$94="P")*(G$3:G$94=G62)*(J$3:J$94&gt;J62)*(H$3:H$94="L5")))+1,""))))</f>
        <v/>
      </c>
      <c r="C62" s="35" t="s">
        <v>415</v>
      </c>
      <c r="D62" t="str">
        <f>IF(E62="","",VLOOKUP(E62,'Coaching Points'!A:B,2,0))</f>
        <v>QC</v>
      </c>
      <c r="E62" s="35" t="s">
        <v>99</v>
      </c>
      <c r="F62" s="34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>R62+S62+IF(OR(H62="Junior",H62="Senior"),0.0002,IF(OR(H62="L7",H62="L6"),0.0001,0))+MAX(Z62,AC62)*0.0000001</f>
        <v>89.100204509999998</v>
      </c>
      <c r="K62" s="3" t="str">
        <f>IF(G62="Not Age Eligible","",IF(MAX(T62,W62,Z62,AC62)&gt;=LOOKUP(G62,'Qualifying Scores'!$A$4:$A$7,'Qualifying Scores'!$G$4:$G$7),"P",""))</f>
        <v/>
      </c>
      <c r="L62" s="3" t="str">
        <f>IF(G62="Not Age Eligible","",IF(MAX(U62,X62,AA62,AD62)&gt;=LOOKUP(G62,'Qualifying Scores'!$A$10:$A$13,'Qualifying Scores'!$G$10:$G$13),"P",""))</f>
        <v/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/>
      </c>
      <c r="Q62" s="1" t="str">
        <f>IF(A62&lt;5,IF(_xlfn.MAXIFS(A:A,G:G,G62)&gt;3,5-A62,_xlfn.MAXIFS(A:A,G:G,G62)+1-A62),"")</f>
        <v/>
      </c>
      <c r="R62" s="4">
        <f>MAX(T62-IF(OR(H62="L6"),V62,0),W62-IF(OR(H62="L6"),Y62,0),Z62-IF(OR(H62="L6"),AB62,0),AC62-IF(OR(H62="L6"),AE62,0))</f>
        <v>45.1</v>
      </c>
      <c r="S62" s="4">
        <f>IF(R62=T62-IF(OR(H62="L6"),V62,0),MAX(W62-IF(OR(H62="L6"),Y62,0),Z62-IF(OR(H62="L6"),AB62,0),AC62-IF(OR(H62="L6"),AE62,0)),IF(R62=W62-IF(OR(H62="L6"),Y62,0),MAX(T62-IF(OR(H62="L6"),V62,0),Z62-IF(OR(H62="L6"),AB62,0),AC62-IF(OR(H62="L6"),AE62,0)),IF(R62=Z62-IF(OR(H62="L6"),AB62,0),MAX(T62-IF(OR(H62="L6"),V62,0),W62-IF(OR(H62="L6"),Y62,0),AC62-IF(OR(H62="L6"),AE62,0)),IF(R62=AC62-IF(OR(H62="L6"),AE62,0),MAX(T62-IF(OR(H62="L6"),V62,0),W62-IF(OR(H62="L6"),Y62,0),Z62-IF(OR(H62="L6"),AB62,0)),0))))</f>
        <v>44</v>
      </c>
      <c r="T62" s="32"/>
      <c r="U62" s="37"/>
      <c r="V62" s="37"/>
      <c r="W62" s="33"/>
      <c r="X62" s="37"/>
      <c r="Y62" s="37"/>
      <c r="Z62" s="32">
        <v>45.1</v>
      </c>
      <c r="AA62" s="37">
        <v>7.2</v>
      </c>
      <c r="AB62" s="37">
        <v>0</v>
      </c>
      <c r="AC62" s="33">
        <v>44</v>
      </c>
      <c r="AD62" s="37">
        <v>7.2</v>
      </c>
      <c r="AE62" s="37">
        <v>0</v>
      </c>
    </row>
    <row r="63" spans="1:31" x14ac:dyDescent="0.2">
      <c r="A63" s="1" t="str" cm="1">
        <f t="array" ref="A63">IF(I63="","",IF(P63&lt;&gt;"",SUMPRODUCT((P$3:P$94&lt;&gt;"")*(G$3:G$94=G63)*(J$3:J$94&gt;J63)*(I$3:I$94="P"))+1,IF(O63&lt;&gt;"",SUMPRODUCT((O$3:O$94&lt;&gt;"")*(P$3:P$94="")*(G$3:G$94=G63)*(J$3:J$94&gt;J63)*(I$3:I$94="P"))+SUMPRODUCT((P$3:P$94&lt;&gt;"")*(G$3:G$94=G63)*(I$3:I$94="P"))+1,IF(N63&lt;&gt;"",SUMPRODUCT((N$3:N$94&lt;&gt;"")*(G$3:G$94=G63)*(J$3:J$94&gt;J63)*(I$3:I$94="P"))+1,IF(M63="P",SUMPRODUCT((O$3:O$94&lt;&gt;"")*(P$3:P$94="")*(G$3:G$94=G63)*(I$3:I$94="P"))+SUMPRODUCT((P$3:P$94&lt;&gt;"")*(G$3:G$94=G63)*(I$3:I$94="P"))+SUMPRODUCT((N$3:N$94&lt;&gt;"")*(G$3:G$94=G63)*(I$3:I$94="P"))+SUMPRODUCT((P$3:P$94="")*(O$3:O$94="")*(N$3:N$94="")*(M$3:M$94="P")*(G$3:G$94=G63)*(J$3:J$94&gt;J63)*(I$3:I$94="P"))+IF(H63="L5",SUMPRODUCT((P$3:P$94="")*(O$3:O$94="")*(N$3:N$94="")*(M$3:M$94="P")*(G$3:G$94=G63)*(J$3:J$94&lt;J63)*(H$3:H$94&lt;&gt;H63)*(I$3:I$94="P")),-1*SUMPRODUCT((P$3:P$94="")*(O$3:O$94="")*(N$3:N$94="")*(M$3:M$94="P")*(G$3:G$94=G63)*(J$3:J$94&gt;J63)*(H$3:H$94="L5")*(I$3:I$94="P")))+1,"")))))</f>
        <v/>
      </c>
      <c r="B63" s="1" t="str" cm="1">
        <f t="array" ref="B63">IF(P63&lt;&gt;"",SUMPRODUCT((P$3:P$94&lt;&gt;"")*(G$3:G$94=G63)*(J$3:J$94&gt;J63))+1,IF(O63&lt;&gt;"",SUMPRODUCT((O$3:O$94&lt;&gt;"")*(P$3:P$94="")*(G$3:G$94=G63)*(J$3:J$94&gt;J63))+SUMPRODUCT((P$3:P$94&lt;&gt;"")*(G$3:G$94=G63))+1,IF(N63&lt;&gt;"",SUMPRODUCT((N$3:N$94&lt;&gt;"")*(G$3:G$94=G63)*(J$3:J$94&gt;J63))+1,IF(M63="P",SUMPRODUCT((O$3:O$94&lt;&gt;"")*(P$3:P$94="")*(G$3:G$94=G63))+SUMPRODUCT((P$3:P$94&lt;&gt;"")*(G$3:G$94=G63))+SUMPRODUCT((N$3:N$94&lt;&gt;"")*(G$3:G$94=G63))+SUMPRODUCT((P$3:P$94="")*(O$3:O$94="")*(N$3:N$94="")*(M$3:M$94="P")*(G$3:G$94=G63)*(J$3:J$94&gt;J63))+IF(H63="L5",SUMPRODUCT((P$3:P$94="")*(O$3:O$94="")*(N$3:N$94="")*(M$3:M$94="P")*(G$3:G$94=G63)*(J$3:J$94&lt;J63)*(H$3:H$94&lt;&gt;H63)),-1*SUMPRODUCT((P$3:P$94="")*(O$3:O$94="")*(N$3:N$94="")*(M$3:M$94="P")*(G$3:G$94=G63)*(J$3:J$94&gt;J63)*(H$3:H$94="L5")))+1,""))))</f>
        <v/>
      </c>
      <c r="C63" s="35" t="s">
        <v>224</v>
      </c>
      <c r="D63" t="str">
        <f>IF(E63="","",VLOOKUP(E63,'Coaching Points'!A:B,2,0))</f>
        <v>AB</v>
      </c>
      <c r="E63" s="35" t="s">
        <v>39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211</v>
      </c>
      <c r="I63" s="40"/>
      <c r="J63" s="4">
        <f>R63+S63+IF(OR(H63="Junior",H63="Senior"),0.0002,IF(OR(H63="L7",H63="L6"),0.0001,0))+MAX(Z63,AC63)*0.0000001</f>
        <v>88.600204469999994</v>
      </c>
      <c r="K63" s="3" t="str">
        <f>IF(G63="Not Age Eligible","",IF(MAX(T63,W63,Z63,AC63)&gt;=LOOKUP(G63,'Qualifying Scores'!$A$4:$A$7,'Qualifying Scores'!$G$4:$G$7),"P",""))</f>
        <v/>
      </c>
      <c r="L63" s="3" t="str">
        <f>IF(G63="Not Age Eligible","",IF(MAX(U63,X63,AA63,AD63)&gt;=LOOKUP(G63,'Qualifying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MAX(T63-IF(OR(H63="L6"),V63,0),W63-IF(OR(H63="L6"),Y63,0),Z63-IF(OR(H63="L6"),AB63,0),AC63-IF(OR(H63="L6"),AE63,0))</f>
        <v>44.7</v>
      </c>
      <c r="S63" s="4">
        <f>IF(R63=T63-IF(OR(H63="L6"),V63,0),MAX(W63-IF(OR(H63="L6"),Y63,0),Z63-IF(OR(H63="L6"),AB63,0),AC63-IF(OR(H63="L6"),AE63,0)),IF(R63=W63-IF(OR(H63="L6"),Y63,0),MAX(T63-IF(OR(H63="L6"),V63,0),Z63-IF(OR(H63="L6"),AB63,0),AC63-IF(OR(H63="L6"),AE63,0)),IF(R63=Z63-IF(OR(H63="L6"),AB63,0),MAX(T63-IF(OR(H63="L6"),V63,0),W63-IF(OR(H63="L6"),Y63,0),AC63-IF(OR(H63="L6"),AE63,0)),IF(R63=AC63-IF(OR(H63="L6"),AE63,0),MAX(T63-IF(OR(H63="L6"),V63,0),W63-IF(OR(H63="L6"),Y63,0),Z63-IF(OR(H63="L6"),AB63,0)),0))))</f>
        <v>43.9</v>
      </c>
      <c r="T63" s="32">
        <v>40.700000000000003</v>
      </c>
      <c r="U63" s="37">
        <v>7.9</v>
      </c>
      <c r="V63" s="37">
        <v>0</v>
      </c>
      <c r="W63" s="33">
        <v>38.6</v>
      </c>
      <c r="X63" s="37">
        <v>5.1000000000000005</v>
      </c>
      <c r="Y63" s="37">
        <v>0</v>
      </c>
      <c r="Z63" s="32">
        <v>44.7</v>
      </c>
      <c r="AA63" s="37">
        <v>7.9</v>
      </c>
      <c r="AB63" s="37">
        <v>0</v>
      </c>
      <c r="AC63" s="33">
        <v>43.9</v>
      </c>
      <c r="AD63" s="37">
        <v>7.9</v>
      </c>
      <c r="AE63" s="37">
        <v>0</v>
      </c>
    </row>
    <row r="64" spans="1:31" x14ac:dyDescent="0.2">
      <c r="A64" s="1" t="str" cm="1">
        <f t="array" ref="A64">IF(I64="","",IF(P64&lt;&gt;"",SUMPRODUCT((P$3:P$94&lt;&gt;"")*(G$3:G$94=G64)*(J$3:J$94&gt;J64)*(I$3:I$94="P"))+1,IF(O64&lt;&gt;"",SUMPRODUCT((O$3:O$94&lt;&gt;"")*(P$3:P$94="")*(G$3:G$94=G64)*(J$3:J$94&gt;J64)*(I$3:I$94="P"))+SUMPRODUCT((P$3:P$94&lt;&gt;"")*(G$3:G$94=G64)*(I$3:I$94="P"))+1,IF(N64&lt;&gt;"",SUMPRODUCT((N$3:N$94&lt;&gt;"")*(G$3:G$94=G64)*(J$3:J$94&gt;J64)*(I$3:I$94="P"))+1,IF(M64="P",SUMPRODUCT((O$3:O$94&lt;&gt;"")*(P$3:P$94="")*(G$3:G$94=G64)*(I$3:I$94="P"))+SUMPRODUCT((P$3:P$94&lt;&gt;"")*(G$3:G$94=G64)*(I$3:I$94="P"))+SUMPRODUCT((N$3:N$94&lt;&gt;"")*(G$3:G$94=G64)*(I$3:I$94="P"))+SUMPRODUCT((P$3:P$94="")*(O$3:O$94="")*(N$3:N$94="")*(M$3:M$94="P")*(G$3:G$94=G64)*(J$3:J$94&gt;J64)*(I$3:I$94="P"))+IF(H64="L5",SUMPRODUCT((P$3:P$94="")*(O$3:O$94="")*(N$3:N$94="")*(M$3:M$94="P")*(G$3:G$94=G64)*(J$3:J$94&lt;J64)*(H$3:H$94&lt;&gt;H64)*(I$3:I$94="P")),-1*SUMPRODUCT((P$3:P$94="")*(O$3:O$94="")*(N$3:N$94="")*(M$3:M$94="P")*(G$3:G$94=G64)*(J$3:J$94&gt;J64)*(H$3:H$94="L5")*(I$3:I$94="P")))+1,"")))))</f>
        <v/>
      </c>
      <c r="B64" s="1" t="str" cm="1">
        <f t="array" ref="B64">IF(P64&lt;&gt;"",SUMPRODUCT((P$3:P$94&lt;&gt;"")*(G$3:G$94=G64)*(J$3:J$94&gt;J64))+1,IF(O64&lt;&gt;"",SUMPRODUCT((O$3:O$94&lt;&gt;"")*(P$3:P$94="")*(G$3:G$94=G64)*(J$3:J$94&gt;J64))+SUMPRODUCT((P$3:P$94&lt;&gt;"")*(G$3:G$94=G64))+1,IF(N64&lt;&gt;"",SUMPRODUCT((N$3:N$94&lt;&gt;"")*(G$3:G$94=G64)*(J$3:J$94&gt;J64))+1,IF(M64="P",SUMPRODUCT((O$3:O$94&lt;&gt;"")*(P$3:P$94="")*(G$3:G$94=G64))+SUMPRODUCT((P$3:P$94&lt;&gt;"")*(G$3:G$94=G64))+SUMPRODUCT((N$3:N$94&lt;&gt;"")*(G$3:G$94=G64))+SUMPRODUCT((P$3:P$94="")*(O$3:O$94="")*(N$3:N$94="")*(M$3:M$94="P")*(G$3:G$94=G64)*(J$3:J$94&gt;J64))+IF(H64="L5",SUMPRODUCT((P$3:P$94="")*(O$3:O$94="")*(N$3:N$94="")*(M$3:M$94="P")*(G$3:G$94=G64)*(J$3:J$94&lt;J64)*(H$3:H$94&lt;&gt;H64)),-1*SUMPRODUCT((P$3:P$94="")*(O$3:O$94="")*(N$3:N$94="")*(M$3:M$94="P")*(G$3:G$94=G64)*(J$3:J$94&gt;J64)*(H$3:H$94="L5")))+1,""))))</f>
        <v/>
      </c>
      <c r="C64" s="35" t="s">
        <v>249</v>
      </c>
      <c r="D64" t="str">
        <f>IF(E64="","",VLOOKUP(E64,'Coaching Points'!A:B,2,0))</f>
        <v>BC</v>
      </c>
      <c r="E64" s="35" t="s">
        <v>36</v>
      </c>
      <c r="F64" s="34">
        <v>2010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211</v>
      </c>
      <c r="I64" s="40"/>
      <c r="J64" s="4">
        <f>R64+S64+IF(OR(H64="Junior",H64="Senior"),0.0002,IF(OR(H64="L7",H64="L6"),0.0001,0))+MAX(Z64,AC64)*0.0000001</f>
        <v>88.500204450000012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MAX(T64-IF(OR(H64="L6"),V64,0),W64-IF(OR(H64="L6"),Y64,0),Z64-IF(OR(H64="L6"),AB64,0),AC64-IF(OR(H64="L6"),AE64,0))</f>
        <v>44.5</v>
      </c>
      <c r="S64" s="4">
        <f>IF(R64=T64-IF(OR(H64="L6"),V64,0),MAX(W64-IF(OR(H64="L6"),Y64,0),Z64-IF(OR(H64="L6"),AB64,0),AC64-IF(OR(H64="L6"),AE64,0)),IF(R64=W64-IF(OR(H64="L6"),Y64,0),MAX(T64-IF(OR(H64="L6"),V64,0),Z64-IF(OR(H64="L6"),AB64,0),AC64-IF(OR(H64="L6"),AE64,0)),IF(R64=Z64-IF(OR(H64="L6"),AB64,0),MAX(T64-IF(OR(H64="L6"),V64,0),W64-IF(OR(H64="L6"),Y64,0),AC64-IF(OR(H64="L6"),AE64,0)),IF(R64=AC64-IF(OR(H64="L6"),AE64,0),MAX(T64-IF(OR(H64="L6"),V64,0),W64-IF(OR(H64="L6"),Y64,0),Z64-IF(OR(H64="L6"),AB64,0)),0))))</f>
        <v>44</v>
      </c>
      <c r="T64" s="32">
        <v>38.1</v>
      </c>
      <c r="U64" s="37">
        <v>5.6000000000000005</v>
      </c>
      <c r="V64" s="37">
        <v>0</v>
      </c>
      <c r="W64" s="33">
        <v>44</v>
      </c>
      <c r="X64" s="37">
        <v>8</v>
      </c>
      <c r="Y64" s="37">
        <v>0</v>
      </c>
      <c r="Z64" s="32">
        <v>44.5</v>
      </c>
      <c r="AA64" s="37">
        <v>8</v>
      </c>
      <c r="AB64" s="37">
        <v>0</v>
      </c>
      <c r="AC64" s="33">
        <v>21.8</v>
      </c>
      <c r="AD64" s="37">
        <v>4.4000000000000004</v>
      </c>
      <c r="AE64" s="37">
        <v>0</v>
      </c>
    </row>
    <row r="65" spans="1:31" x14ac:dyDescent="0.2">
      <c r="A65" s="1" t="str" cm="1">
        <f t="array" ref="A65">IF(I65="","",IF(P65&lt;&gt;"",SUMPRODUCT((P$3:P$94&lt;&gt;"")*(G$3:G$94=G65)*(J$3:J$94&gt;J65)*(I$3:I$94="P"))+1,IF(O65&lt;&gt;"",SUMPRODUCT((O$3:O$94&lt;&gt;"")*(P$3:P$94="")*(G$3:G$94=G65)*(J$3:J$94&gt;J65)*(I$3:I$94="P"))+SUMPRODUCT((P$3:P$94&lt;&gt;"")*(G$3:G$94=G65)*(I$3:I$94="P"))+1,IF(N65&lt;&gt;"",SUMPRODUCT((N$3:N$94&lt;&gt;"")*(G$3:G$94=G65)*(J$3:J$94&gt;J65)*(I$3:I$94="P"))+1,IF(M65="P",SUMPRODUCT((O$3:O$94&lt;&gt;"")*(P$3:P$94="")*(G$3:G$94=G65)*(I$3:I$94="P"))+SUMPRODUCT((P$3:P$94&lt;&gt;"")*(G$3:G$94=G65)*(I$3:I$94="P"))+SUMPRODUCT((N$3:N$94&lt;&gt;"")*(G$3:G$94=G65)*(I$3:I$94="P"))+SUMPRODUCT((P$3:P$94="")*(O$3:O$94="")*(N$3:N$94="")*(M$3:M$94="P")*(G$3:G$94=G65)*(J$3:J$94&gt;J65)*(I$3:I$94="P"))+IF(H65="L5",SUMPRODUCT((P$3:P$94="")*(O$3:O$94="")*(N$3:N$94="")*(M$3:M$94="P")*(G$3:G$94=G65)*(J$3:J$94&lt;J65)*(H$3:H$94&lt;&gt;H65)*(I$3:I$94="P")),-1*SUMPRODUCT((P$3:P$94="")*(O$3:O$94="")*(N$3:N$94="")*(M$3:M$94="P")*(G$3:G$94=G65)*(J$3:J$94&gt;J65)*(H$3:H$94="L5")*(I$3:I$94="P")))+1,"")))))</f>
        <v/>
      </c>
      <c r="B65" s="1" t="str" cm="1">
        <f t="array" ref="B65">IF(P65&lt;&gt;"",SUMPRODUCT((P$3:P$94&lt;&gt;"")*(G$3:G$94=G65)*(J$3:J$94&gt;J65))+1,IF(O65&lt;&gt;"",SUMPRODUCT((O$3:O$94&lt;&gt;"")*(P$3:P$94="")*(G$3:G$94=G65)*(J$3:J$94&gt;J65))+SUMPRODUCT((P$3:P$94&lt;&gt;"")*(G$3:G$94=G65))+1,IF(N65&lt;&gt;"",SUMPRODUCT((N$3:N$94&lt;&gt;"")*(G$3:G$94=G65)*(J$3:J$94&gt;J65))+1,IF(M65="P",SUMPRODUCT((O$3:O$94&lt;&gt;"")*(P$3:P$94="")*(G$3:G$94=G65))+SUMPRODUCT((P$3:P$94&lt;&gt;"")*(G$3:G$94=G65))+SUMPRODUCT((N$3:N$94&lt;&gt;"")*(G$3:G$94=G65))+SUMPRODUCT((P$3:P$94="")*(O$3:O$94="")*(N$3:N$94="")*(M$3:M$94="P")*(G$3:G$94=G65)*(J$3:J$94&gt;J65))+IF(H65="L5",SUMPRODUCT((P$3:P$94="")*(O$3:O$94="")*(N$3:N$94="")*(M$3:M$94="P")*(G$3:G$94=G65)*(J$3:J$94&lt;J65)*(H$3:H$94&lt;&gt;H65)),-1*SUMPRODUCT((P$3:P$94="")*(O$3:O$94="")*(N$3:N$94="")*(M$3:M$94="P")*(G$3:G$94=G65)*(J$3:J$94&gt;J65)*(H$3:H$94="L5")))+1,""))))</f>
        <v/>
      </c>
      <c r="C65" s="35" t="s">
        <v>222</v>
      </c>
      <c r="D65" t="str">
        <f>IF(E65="","",VLOOKUP(E65,'Coaching Points'!A:B,2,0))</f>
        <v>AB</v>
      </c>
      <c r="E65" s="35" t="s">
        <v>39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211</v>
      </c>
      <c r="I65" s="40"/>
      <c r="J65" s="4">
        <f>R65+S65+IF(OR(H65="Junior",H65="Senior"),0.0002,IF(OR(H65="L7",H65="L6"),0.0001,0))+MAX(Z65,AC65)*0.0000001</f>
        <v>88.200203410000015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>MAX(T65-IF(OR(H65="L6"),V65,0),W65-IF(OR(H65="L6"),Y65,0),Z65-IF(OR(H65="L6"),AB65,0),AC65-IF(OR(H65="L6"),AE65,0))</f>
        <v>44.5</v>
      </c>
      <c r="S65" s="4">
        <f>IF(R65=T65-IF(OR(H65="L6"),V65,0),MAX(W65-IF(OR(H65="L6"),Y65,0),Z65-IF(OR(H65="L6"),AB65,0),AC65-IF(OR(H65="L6"),AE65,0)),IF(R65=W65-IF(OR(H65="L6"),Y65,0),MAX(T65-IF(OR(H65="L6"),V65,0),Z65-IF(OR(H65="L6"),AB65,0),AC65-IF(OR(H65="L6"),AE65,0)),IF(R65=Z65-IF(OR(H65="L6"),AB65,0),MAX(T65-IF(OR(H65="L6"),V65,0),W65-IF(OR(H65="L6"),Y65,0),AC65-IF(OR(H65="L6"),AE65,0)),IF(R65=AC65-IF(OR(H65="L6"),AE65,0),MAX(T65-IF(OR(H65="L6"),V65,0),W65-IF(OR(H65="L6"),Y65,0),Z65-IF(OR(H65="L6"),AB65,0)),0))))</f>
        <v>43.7</v>
      </c>
      <c r="T65" s="32">
        <v>43.7</v>
      </c>
      <c r="U65" s="37">
        <v>7.9</v>
      </c>
      <c r="V65" s="37">
        <v>0</v>
      </c>
      <c r="W65" s="33">
        <v>44.5</v>
      </c>
      <c r="X65" s="37">
        <v>7.9</v>
      </c>
      <c r="Y65" s="37">
        <v>0</v>
      </c>
      <c r="Z65" s="32">
        <v>34.1</v>
      </c>
      <c r="AA65" s="37">
        <v>3.0999999999999996</v>
      </c>
      <c r="AB65" s="37">
        <v>0</v>
      </c>
      <c r="AC65" s="33"/>
      <c r="AD65" s="37"/>
      <c r="AE65" s="37"/>
    </row>
    <row r="66" spans="1:31" x14ac:dyDescent="0.2">
      <c r="A66" s="1" t="str" cm="1">
        <f t="array" ref="A66">IF(I66="","",IF(P66&lt;&gt;"",SUMPRODUCT((P$3:P$94&lt;&gt;"")*(G$3:G$94=G66)*(J$3:J$94&gt;J66)*(I$3:I$94="P"))+1,IF(O66&lt;&gt;"",SUMPRODUCT((O$3:O$94&lt;&gt;"")*(P$3:P$94="")*(G$3:G$94=G66)*(J$3:J$94&gt;J66)*(I$3:I$94="P"))+SUMPRODUCT((P$3:P$94&lt;&gt;"")*(G$3:G$94=G66)*(I$3:I$94="P"))+1,IF(N66&lt;&gt;"",SUMPRODUCT((N$3:N$94&lt;&gt;"")*(G$3:G$94=G66)*(J$3:J$94&gt;J66)*(I$3:I$94="P"))+1,IF(M66="P",SUMPRODUCT((O$3:O$94&lt;&gt;"")*(P$3:P$94="")*(G$3:G$94=G66)*(I$3:I$94="P"))+SUMPRODUCT((P$3:P$94&lt;&gt;"")*(G$3:G$94=G66)*(I$3:I$94="P"))+SUMPRODUCT((N$3:N$94&lt;&gt;"")*(G$3:G$94=G66)*(I$3:I$94="P"))+SUMPRODUCT((P$3:P$94="")*(O$3:O$94="")*(N$3:N$94="")*(M$3:M$94="P")*(G$3:G$94=G66)*(J$3:J$94&gt;J66)*(I$3:I$94="P"))+IF(H66="L5",SUMPRODUCT((P$3:P$94="")*(O$3:O$94="")*(N$3:N$94="")*(M$3:M$94="P")*(G$3:G$94=G66)*(J$3:J$94&lt;J66)*(H$3:H$94&lt;&gt;H66)*(I$3:I$94="P")),-1*SUMPRODUCT((P$3:P$94="")*(O$3:O$94="")*(N$3:N$94="")*(M$3:M$94="P")*(G$3:G$94=G66)*(J$3:J$94&gt;J66)*(H$3:H$94="L5")*(I$3:I$94="P")))+1,"")))))</f>
        <v/>
      </c>
      <c r="B66" s="1" t="str" cm="1">
        <f t="array" ref="B66">IF(P66&lt;&gt;"",SUMPRODUCT((P$3:P$94&lt;&gt;"")*(G$3:G$94=G66)*(J$3:J$94&gt;J66))+1,IF(O66&lt;&gt;"",SUMPRODUCT((O$3:O$94&lt;&gt;"")*(P$3:P$94="")*(G$3:G$94=G66)*(J$3:J$94&gt;J66))+SUMPRODUCT((P$3:P$94&lt;&gt;"")*(G$3:G$94=G66))+1,IF(N66&lt;&gt;"",SUMPRODUCT((N$3:N$94&lt;&gt;"")*(G$3:G$94=G66)*(J$3:J$94&gt;J66))+1,IF(M66="P",SUMPRODUCT((O$3:O$94&lt;&gt;"")*(P$3:P$94="")*(G$3:G$94=G66))+SUMPRODUCT((P$3:P$94&lt;&gt;"")*(G$3:G$94=G66))+SUMPRODUCT((N$3:N$94&lt;&gt;"")*(G$3:G$94=G66))+SUMPRODUCT((P$3:P$94="")*(O$3:O$94="")*(N$3:N$94="")*(M$3:M$94="P")*(G$3:G$94=G66)*(J$3:J$94&gt;J66))+IF(H66="L5",SUMPRODUCT((P$3:P$94="")*(O$3:O$94="")*(N$3:N$94="")*(M$3:M$94="P")*(G$3:G$94=G66)*(J$3:J$94&lt;J66)*(H$3:H$94&lt;&gt;H66)),-1*SUMPRODUCT((P$3:P$94="")*(O$3:O$94="")*(N$3:N$94="")*(M$3:M$94="P")*(G$3:G$94=G66)*(J$3:J$94&gt;J66)*(H$3:H$94="L5")))+1,""))))</f>
        <v/>
      </c>
      <c r="C66" s="35" t="s">
        <v>258</v>
      </c>
      <c r="D66" t="str">
        <f>IF(E66="","",VLOOKUP(E66,'Coaching Points'!A:B,2,0))</f>
        <v>BC</v>
      </c>
      <c r="E66" s="35" t="s">
        <v>40</v>
      </c>
      <c r="F66" s="34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R66+S66+IF(OR(H66="Junior",H66="Senior"),0.0002,IF(OR(H66="L7",H66="L6"),0.0001,0))+MAX(Z66,AC66)*0.0000001</f>
        <v>88.000004419999996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>P</v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MAX(T66-IF(OR(H66="L6"),V66,0),W66-IF(OR(H66="L6"),Y66,0),Z66-IF(OR(H66="L6"),AB66,0),AC66-IF(OR(H66="L6"),AE66,0))</f>
        <v>44.2</v>
      </c>
      <c r="S66" s="4">
        <f>IF(R66=T66-IF(OR(H66="L6"),V66,0),MAX(W66-IF(OR(H66="L6"),Y66,0),Z66-IF(OR(H66="L6"),AB66,0),AC66-IF(OR(H66="L6"),AE66,0)),IF(R66=W66-IF(OR(H66="L6"),Y66,0),MAX(T66-IF(OR(H66="L6"),V66,0),Z66-IF(OR(H66="L6"),AB66,0),AC66-IF(OR(H66="L6"),AE66,0)),IF(R66=Z66-IF(OR(H66="L6"),AB66,0),MAX(T66-IF(OR(H66="L6"),V66,0),W66-IF(OR(H66="L6"),Y66,0),AC66-IF(OR(H66="L6"),AE66,0)),IF(R66=AC66-IF(OR(H66="L6"),AE66,0),MAX(T66-IF(OR(H66="L6"),V66,0),W66-IF(OR(H66="L6"),Y66,0),Z66-IF(OR(H66="L6"),AB66,0)),0))))</f>
        <v>43.8</v>
      </c>
      <c r="T66" s="32">
        <v>43.8</v>
      </c>
      <c r="U66" s="37">
        <v>7.1</v>
      </c>
      <c r="V66" s="37">
        <v>0</v>
      </c>
      <c r="W66" s="33">
        <v>43.8</v>
      </c>
      <c r="X66" s="37">
        <v>7.4</v>
      </c>
      <c r="Y66" s="37">
        <v>0</v>
      </c>
      <c r="Z66" s="32">
        <v>41.7</v>
      </c>
      <c r="AA66" s="37">
        <v>7.9</v>
      </c>
      <c r="AB66" s="37">
        <v>0</v>
      </c>
      <c r="AC66" s="33">
        <v>44.2</v>
      </c>
      <c r="AD66" s="37">
        <v>8.3000000000000007</v>
      </c>
      <c r="AE66" s="37">
        <v>0</v>
      </c>
    </row>
    <row r="67" spans="1:31" x14ac:dyDescent="0.2">
      <c r="A67" s="1" t="str" cm="1">
        <f t="array" ref="A67">IF(I67="","",IF(P67&lt;&gt;"",SUMPRODUCT((P$3:P$94&lt;&gt;"")*(G$3:G$94=G67)*(J$3:J$94&gt;J67)*(I$3:I$94="P"))+1,IF(O67&lt;&gt;"",SUMPRODUCT((O$3:O$94&lt;&gt;"")*(P$3:P$94="")*(G$3:G$94=G67)*(J$3:J$94&gt;J67)*(I$3:I$94="P"))+SUMPRODUCT((P$3:P$94&lt;&gt;"")*(G$3:G$94=G67)*(I$3:I$94="P"))+1,IF(N67&lt;&gt;"",SUMPRODUCT((N$3:N$94&lt;&gt;"")*(G$3:G$94=G67)*(J$3:J$94&gt;J67)*(I$3:I$94="P"))+1,IF(M67="P",SUMPRODUCT((O$3:O$94&lt;&gt;"")*(P$3:P$94="")*(G$3:G$94=G67)*(I$3:I$94="P"))+SUMPRODUCT((P$3:P$94&lt;&gt;"")*(G$3:G$94=G67)*(I$3:I$94="P"))+SUMPRODUCT((N$3:N$94&lt;&gt;"")*(G$3:G$94=G67)*(I$3:I$94="P"))+SUMPRODUCT((P$3:P$94="")*(O$3:O$94="")*(N$3:N$94="")*(M$3:M$94="P")*(G$3:G$94=G67)*(J$3:J$94&gt;J67)*(I$3:I$94="P"))+IF(H67="L5",SUMPRODUCT((P$3:P$94="")*(O$3:O$94="")*(N$3:N$94="")*(M$3:M$94="P")*(G$3:G$94=G67)*(J$3:J$94&lt;J67)*(H$3:H$94&lt;&gt;H67)*(I$3:I$94="P")),-1*SUMPRODUCT((P$3:P$94="")*(O$3:O$94="")*(N$3:N$94="")*(M$3:M$94="P")*(G$3:G$94=G67)*(J$3:J$94&gt;J67)*(H$3:H$94="L5")*(I$3:I$94="P")))+1,"")))))</f>
        <v/>
      </c>
      <c r="B67" s="1" t="str" cm="1">
        <f t="array" ref="B67">IF(P67&lt;&gt;"",SUMPRODUCT((P$3:P$94&lt;&gt;"")*(G$3:G$94=G67)*(J$3:J$94&gt;J67))+1,IF(O67&lt;&gt;"",SUMPRODUCT((O$3:O$94&lt;&gt;"")*(P$3:P$94="")*(G$3:G$94=G67)*(J$3:J$94&gt;J67))+SUMPRODUCT((P$3:P$94&lt;&gt;"")*(G$3:G$94=G67))+1,IF(N67&lt;&gt;"",SUMPRODUCT((N$3:N$94&lt;&gt;"")*(G$3:G$94=G67)*(J$3:J$94&gt;J67))+1,IF(M67="P",SUMPRODUCT((O$3:O$94&lt;&gt;"")*(P$3:P$94="")*(G$3:G$94=G67))+SUMPRODUCT((P$3:P$94&lt;&gt;"")*(G$3:G$94=G67))+SUMPRODUCT((N$3:N$94&lt;&gt;"")*(G$3:G$94=G67))+SUMPRODUCT((P$3:P$94="")*(O$3:O$94="")*(N$3:N$94="")*(M$3:M$94="P")*(G$3:G$94=G67)*(J$3:J$94&gt;J67))+IF(H67="L5",SUMPRODUCT((P$3:P$94="")*(O$3:O$94="")*(N$3:N$94="")*(M$3:M$94="P")*(G$3:G$94=G67)*(J$3:J$94&lt;J67)*(H$3:H$94&lt;&gt;H67)),-1*SUMPRODUCT((P$3:P$94="")*(O$3:O$94="")*(N$3:N$94="")*(M$3:M$94="P")*(G$3:G$94=G67)*(J$3:J$94&gt;J67)*(H$3:H$94="L5")))+1,""))))</f>
        <v/>
      </c>
      <c r="C67" s="35" t="s">
        <v>367</v>
      </c>
      <c r="D67" t="str">
        <f>IF(E67="","",VLOOKUP(E67,'Coaching Points'!A:B,2,0))</f>
        <v>BC</v>
      </c>
      <c r="E67" s="35" t="s">
        <v>40</v>
      </c>
      <c r="F67" s="34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>R67+S67+IF(OR(H67="Junior",H67="Senior"),0.0002,IF(OR(H67="L7",H67="L6"),0.0001,0))+MAX(Z67,AC67)*0.0000001</f>
        <v>87.100004439999992</v>
      </c>
      <c r="K67" s="3" t="str">
        <f>IF(G67="Not Age Eligible","",IF(MAX(T67,W67,Z67,AC67)&gt;=LOOKUP(G67,'Qualifying Scores'!$A$4:$A$7,'Qualifying Scores'!$G$4:$G$7),"P",""))</f>
        <v/>
      </c>
      <c r="L67" s="3" t="str">
        <f>IF(G67="Not Age Eligible","",IF(MAX(U67,X67,AA67,AD67)&gt;=LOOKUP(G67,'Qualifying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Scores'!$G$10:$G$13)),AND(Z67&gt;=LOOKUP(G67,'Qualifying Scores'!$A$4:$A$7,'Qualifying Scores'!$G$4:$G$7),AA67&gt;=LOOKUP(G67,'Qualifying Scores'!$A$10:$A$13,'Qualifying Scores'!$G$10:$G$13)),AND(W67&gt;=LOOKUP(G67,'Qualifying Scores'!$A$4:$A$7,'Qualifying Scores'!$G$4:$G$7),X67&gt;=LOOKUP(G67,'Qualifying Scores'!$A$10:$A$13,'Qualifying Scores'!$G$10:$G$13)),AND(AC67&gt;=LOOKUP(G67,'Qualifying Scores'!$A$4:$A$7,'Qualifying Scores'!$G$4:$G$7),AD67&gt;=LOOKUP(G67,'Qualifying Scores'!$A$10:$A$13,'Qualifying Scores'!$G$10:$G$13))),"P",""))</f>
        <v/>
      </c>
      <c r="Q67" s="1" t="str">
        <f>IF(A67&lt;5,IF(_xlfn.MAXIFS(A:A,G:G,G67)&gt;3,5-A67,_xlfn.MAXIFS(A:A,G:G,G67)+1-A67),"")</f>
        <v/>
      </c>
      <c r="R67" s="4">
        <f>MAX(T67-IF(OR(H67="L6"),V67,0),W67-IF(OR(H67="L6"),Y67,0),Z67-IF(OR(H67="L6"),AB67,0),AC67-IF(OR(H67="L6"),AE67,0))</f>
        <v>44.4</v>
      </c>
      <c r="S67" s="4">
        <f>IF(R67=T67-IF(OR(H67="L6"),V67,0),MAX(W67-IF(OR(H67="L6"),Y67,0),Z67-IF(OR(H67="L6"),AB67,0),AC67-IF(OR(H67="L6"),AE67,0)),IF(R67=W67-IF(OR(H67="L6"),Y67,0),MAX(T67-IF(OR(H67="L6"),V67,0),Z67-IF(OR(H67="L6"),AB67,0),AC67-IF(OR(H67="L6"),AE67,0)),IF(R67=Z67-IF(OR(H67="L6"),AB67,0),MAX(T67-IF(OR(H67="L6"),V67,0),W67-IF(OR(H67="L6"),Y67,0),AC67-IF(OR(H67="L6"),AE67,0)),IF(R67=AC67-IF(OR(H67="L6"),AE67,0),MAX(T67-IF(OR(H67="L6"),V67,0),W67-IF(OR(H67="L6"),Y67,0),Z67-IF(OR(H67="L6"),AB67,0)),0))))</f>
        <v>42.7</v>
      </c>
      <c r="T67" s="32">
        <v>42.7</v>
      </c>
      <c r="U67" s="37">
        <v>6.5</v>
      </c>
      <c r="V67" s="37">
        <v>0</v>
      </c>
      <c r="W67" s="33">
        <v>37.799999999999997</v>
      </c>
      <c r="X67" s="37">
        <v>4.5999999999999996</v>
      </c>
      <c r="Y67" s="37">
        <v>0</v>
      </c>
      <c r="Z67" s="32">
        <v>44.4</v>
      </c>
      <c r="AA67" s="37">
        <v>7.9</v>
      </c>
      <c r="AB67" s="37">
        <v>0</v>
      </c>
      <c r="AC67" s="33">
        <v>33.700000000000003</v>
      </c>
      <c r="AD67" s="37">
        <v>3.0999999999999996</v>
      </c>
      <c r="AE67" s="37">
        <v>0</v>
      </c>
    </row>
    <row r="68" spans="1:31" x14ac:dyDescent="0.2">
      <c r="A68" s="1" t="str" cm="1">
        <f t="array" ref="A68">IF(I68="","",IF(P68&lt;&gt;"",SUMPRODUCT((P$3:P$94&lt;&gt;"")*(G$3:G$94=G68)*(J$3:J$94&gt;J68)*(I$3:I$94="P"))+1,IF(O68&lt;&gt;"",SUMPRODUCT((O$3:O$94&lt;&gt;"")*(P$3:P$94="")*(G$3:G$94=G68)*(J$3:J$94&gt;J68)*(I$3:I$94="P"))+SUMPRODUCT((P$3:P$94&lt;&gt;"")*(G$3:G$94=G68)*(I$3:I$94="P"))+1,IF(N68&lt;&gt;"",SUMPRODUCT((N$3:N$94&lt;&gt;"")*(G$3:G$94=G68)*(J$3:J$94&gt;J68)*(I$3:I$94="P"))+1,IF(M68="P",SUMPRODUCT((O$3:O$94&lt;&gt;"")*(P$3:P$94="")*(G$3:G$94=G68)*(I$3:I$94="P"))+SUMPRODUCT((P$3:P$94&lt;&gt;"")*(G$3:G$94=G68)*(I$3:I$94="P"))+SUMPRODUCT((N$3:N$94&lt;&gt;"")*(G$3:G$94=G68)*(I$3:I$94="P"))+SUMPRODUCT((P$3:P$94="")*(O$3:O$94="")*(N$3:N$94="")*(M$3:M$94="P")*(G$3:G$94=G68)*(J$3:J$94&gt;J68)*(I$3:I$94="P"))+IF(H68="L5",SUMPRODUCT((P$3:P$94="")*(O$3:O$94="")*(N$3:N$94="")*(M$3:M$94="P")*(G$3:G$94=G68)*(J$3:J$94&lt;J68)*(H$3:H$94&lt;&gt;H68)*(I$3:I$94="P")),-1*SUMPRODUCT((P$3:P$94="")*(O$3:O$94="")*(N$3:N$94="")*(M$3:M$94="P")*(G$3:G$94=G68)*(J$3:J$94&gt;J68)*(H$3:H$94="L5")*(I$3:I$94="P")))+1,"")))))</f>
        <v/>
      </c>
      <c r="B68" s="1" t="str" cm="1">
        <f t="array" ref="B68">IF(P68&lt;&gt;"",SUMPRODUCT((P$3:P$94&lt;&gt;"")*(G$3:G$94=G68)*(J$3:J$94&gt;J68))+1,IF(O68&lt;&gt;"",SUMPRODUCT((O$3:O$94&lt;&gt;"")*(P$3:P$94="")*(G$3:G$94=G68)*(J$3:J$94&gt;J68))+SUMPRODUCT((P$3:P$94&lt;&gt;"")*(G$3:G$94=G68))+1,IF(N68&lt;&gt;"",SUMPRODUCT((N$3:N$94&lt;&gt;"")*(G$3:G$94=G68)*(J$3:J$94&gt;J68))+1,IF(M68="P",SUMPRODUCT((O$3:O$94&lt;&gt;"")*(P$3:P$94="")*(G$3:G$94=G68))+SUMPRODUCT((P$3:P$94&lt;&gt;"")*(G$3:G$94=G68))+SUMPRODUCT((N$3:N$94&lt;&gt;"")*(G$3:G$94=G68))+SUMPRODUCT((P$3:P$94="")*(O$3:O$94="")*(N$3:N$94="")*(M$3:M$94="P")*(G$3:G$94=G68)*(J$3:J$94&gt;J68))+IF(H68="L5",SUMPRODUCT((P$3:P$94="")*(O$3:O$94="")*(N$3:N$94="")*(M$3:M$94="P")*(G$3:G$94=G68)*(J$3:J$94&lt;J68)*(H$3:H$94&lt;&gt;H68)),-1*SUMPRODUCT((P$3:P$94="")*(O$3:O$94="")*(N$3:N$94="")*(M$3:M$94="P")*(G$3:G$94=G68)*(J$3:J$94&gt;J68)*(H$3:H$94="L5")))+1,""))))</f>
        <v/>
      </c>
      <c r="C68" s="35" t="s">
        <v>255</v>
      </c>
      <c r="D68" t="str">
        <f>IF(E68="","",VLOOKUP(E68,'Coaching Points'!A:B,2,0))</f>
        <v>AB</v>
      </c>
      <c r="E68" s="35" t="s">
        <v>28</v>
      </c>
      <c r="F68" s="34">
        <v>2010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R68+S68+IF(OR(H68="Junior",H68="Senior"),0.0002,IF(OR(H68="L7",H68="L6"),0.0001,0))+MAX(Z68,AC68)*0.0000001</f>
        <v>86.400004330000002</v>
      </c>
      <c r="K68" s="3" t="str">
        <f>IF(G68="Not Age Eligible","",IF(MAX(T68,W68,Z68,AC68)&gt;=LOOKUP(G68,'Qualifying Scores'!$A$4:$A$7,'Qualifying Scores'!$G$4:$G$7),"P",""))</f>
        <v/>
      </c>
      <c r="L68" s="3" t="str">
        <f>IF(G68="Not Age Eligible","",IF(MAX(U68,X68,AA68,AD68)&gt;=LOOKUP(G68,'Qualifying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Scores'!$G$10:$G$13)),AND(Z68&gt;=LOOKUP(G68,'Qualifying Scores'!$A$4:$A$7,'Qualifying Scores'!$G$4:$G$7),AA68&gt;=LOOKUP(G68,'Qualifying Scores'!$A$10:$A$13,'Qualifying Scores'!$G$10:$G$13)),AND(W68&gt;=LOOKUP(G68,'Qualifying Scores'!$A$4:$A$7,'Qualifying Scores'!$G$4:$G$7),X68&gt;=LOOKUP(G68,'Qualifying Scores'!$A$10:$A$13,'Qualifying Scores'!$G$10:$G$13)),AND(AC68&gt;=LOOKUP(G68,'Qualifying Scores'!$A$4:$A$7,'Qualifying Scores'!$G$4:$G$7),AD68&gt;=LOOKUP(G68,'Qualifying Scores'!$A$10:$A$13,'Qualifying Scores'!$G$10:$G$13))),"P",""))</f>
        <v/>
      </c>
      <c r="Q68" s="1" t="str">
        <f>IF(A68&lt;5,IF(_xlfn.MAXIFS(A:A,G:G,G68)&gt;3,5-A68,_xlfn.MAXIFS(A:A,G:G,G68)+1-A68),"")</f>
        <v/>
      </c>
      <c r="R68" s="4">
        <f>MAX(T68-IF(OR(H68="L6"),V68,0),W68-IF(OR(H68="L6"),Y68,0),Z68-IF(OR(H68="L6"),AB68,0),AC68-IF(OR(H68="L6"),AE68,0))</f>
        <v>43.3</v>
      </c>
      <c r="S68" s="4">
        <f>IF(R68=T68-IF(OR(H68="L6"),V68,0),MAX(W68-IF(OR(H68="L6"),Y68,0),Z68-IF(OR(H68="L6"),AB68,0),AC68-IF(OR(H68="L6"),AE68,0)),IF(R68=W68-IF(OR(H68="L6"),Y68,0),MAX(T68-IF(OR(H68="L6"),V68,0),Z68-IF(OR(H68="L6"),AB68,0),AC68-IF(OR(H68="L6"),AE68,0)),IF(R68=Z68-IF(OR(H68="L6"),AB68,0),MAX(T68-IF(OR(H68="L6"),V68,0),W68-IF(OR(H68="L6"),Y68,0),AC68-IF(OR(H68="L6"),AE68,0)),IF(R68=AC68-IF(OR(H68="L6"),AE68,0),MAX(T68-IF(OR(H68="L6"),V68,0),W68-IF(OR(H68="L6"),Y68,0),Z68-IF(OR(H68="L6"),AB68,0)),0))))</f>
        <v>43.1</v>
      </c>
      <c r="T68" s="32">
        <v>43.1</v>
      </c>
      <c r="U68" s="37">
        <v>6.3000000000000007</v>
      </c>
      <c r="V68" s="37">
        <v>0</v>
      </c>
      <c r="W68" s="33">
        <v>41.6</v>
      </c>
      <c r="X68" s="37">
        <v>4.5</v>
      </c>
      <c r="Y68" s="37">
        <v>0</v>
      </c>
      <c r="Z68" s="32">
        <v>43.3</v>
      </c>
      <c r="AA68" s="37">
        <v>7.1</v>
      </c>
      <c r="AB68" s="37">
        <v>0</v>
      </c>
      <c r="AC68" s="33">
        <v>42.7</v>
      </c>
      <c r="AD68" s="37">
        <v>5.5</v>
      </c>
      <c r="AE68" s="37">
        <v>0</v>
      </c>
    </row>
    <row r="69" spans="1:31" x14ac:dyDescent="0.2">
      <c r="A69" s="1" t="str" cm="1">
        <f t="array" ref="A69">IF(I69="","",IF(P69&lt;&gt;"",SUMPRODUCT((P$3:P$94&lt;&gt;"")*(G$3:G$94=G69)*(J$3:J$94&gt;J69)*(I$3:I$94="P"))+1,IF(O69&lt;&gt;"",SUMPRODUCT((O$3:O$94&lt;&gt;"")*(P$3:P$94="")*(G$3:G$94=G69)*(J$3:J$94&gt;J69)*(I$3:I$94="P"))+SUMPRODUCT((P$3:P$94&lt;&gt;"")*(G$3:G$94=G69)*(I$3:I$94="P"))+1,IF(N69&lt;&gt;"",SUMPRODUCT((N$3:N$94&lt;&gt;"")*(G$3:G$94=G69)*(J$3:J$94&gt;J69)*(I$3:I$94="P"))+1,IF(M69="P",SUMPRODUCT((O$3:O$94&lt;&gt;"")*(P$3:P$94="")*(G$3:G$94=G69)*(I$3:I$94="P"))+SUMPRODUCT((P$3:P$94&lt;&gt;"")*(G$3:G$94=G69)*(I$3:I$94="P"))+SUMPRODUCT((N$3:N$94&lt;&gt;"")*(G$3:G$94=G69)*(I$3:I$94="P"))+SUMPRODUCT((P$3:P$94="")*(O$3:O$94="")*(N$3:N$94="")*(M$3:M$94="P")*(G$3:G$94=G69)*(J$3:J$94&gt;J69)*(I$3:I$94="P"))+IF(H69="L5",SUMPRODUCT((P$3:P$94="")*(O$3:O$94="")*(N$3:N$94="")*(M$3:M$94="P")*(G$3:G$94=G69)*(J$3:J$94&lt;J69)*(H$3:H$94&lt;&gt;H69)*(I$3:I$94="P")),-1*SUMPRODUCT((P$3:P$94="")*(O$3:O$94="")*(N$3:N$94="")*(M$3:M$94="P")*(G$3:G$94=G69)*(J$3:J$94&gt;J69)*(H$3:H$94="L5")*(I$3:I$94="P")))+1,"")))))</f>
        <v/>
      </c>
      <c r="B69" s="1" t="str" cm="1">
        <f t="array" ref="B69">IF(P69&lt;&gt;"",SUMPRODUCT((P$3:P$94&lt;&gt;"")*(G$3:G$94=G69)*(J$3:J$94&gt;J69))+1,IF(O69&lt;&gt;"",SUMPRODUCT((O$3:O$94&lt;&gt;"")*(P$3:P$94="")*(G$3:G$94=G69)*(J$3:J$94&gt;J69))+SUMPRODUCT((P$3:P$94&lt;&gt;"")*(G$3:G$94=G69))+1,IF(N69&lt;&gt;"",SUMPRODUCT((N$3:N$94&lt;&gt;"")*(G$3:G$94=G69)*(J$3:J$94&gt;J69))+1,IF(M69="P",SUMPRODUCT((O$3:O$94&lt;&gt;"")*(P$3:P$94="")*(G$3:G$94=G69))+SUMPRODUCT((P$3:P$94&lt;&gt;"")*(G$3:G$94=G69))+SUMPRODUCT((N$3:N$94&lt;&gt;"")*(G$3:G$94=G69))+SUMPRODUCT((P$3:P$94="")*(O$3:O$94="")*(N$3:N$94="")*(M$3:M$94="P")*(G$3:G$94=G69)*(J$3:J$94&gt;J69))+IF(H69="L5",SUMPRODUCT((P$3:P$94="")*(O$3:O$94="")*(N$3:N$94="")*(M$3:M$94="P")*(G$3:G$94=G69)*(J$3:J$94&lt;J69)*(H$3:H$94&lt;&gt;H69)),-1*SUMPRODUCT((P$3:P$94="")*(O$3:O$94="")*(N$3:N$94="")*(M$3:M$94="P")*(G$3:G$94=G69)*(J$3:J$94&gt;J69)*(H$3:H$94="L5")))+1,""))))</f>
        <v/>
      </c>
      <c r="C69" s="35" t="s">
        <v>310</v>
      </c>
      <c r="D69" t="str">
        <f>IF(E69="","",VLOOKUP(E69,'Coaching Points'!A:B,2,0))</f>
        <v>BC</v>
      </c>
      <c r="E69" s="35" t="s">
        <v>59</v>
      </c>
      <c r="F69" s="34">
        <v>2010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R69+S69+IF(OR(H69="Junior",H69="Senior"),0.0002,IF(OR(H69="L7",H69="L6"),0.0001,0))+MAX(Z69,AC69)*0.0000001</f>
        <v>85.900004300000006</v>
      </c>
      <c r="K69" s="3" t="str">
        <f>IF(G69="Not Age Eligible","",IF(MAX(T69,W69,Z69,AC69)&gt;=LOOKUP(G69,'Qualifying Scores'!$A$4:$A$7,'Qualifying Scores'!$G$4:$G$7),"P",""))</f>
        <v/>
      </c>
      <c r="L69" s="3" t="str">
        <f>IF(G69="Not Age Eligible","",IF(MAX(U69,X69,AA69,AD69)&gt;=LOOKUP(G69,'Qualifying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Scores'!$G$10:$G$13)),AND(Z69&gt;=LOOKUP(G69,'Qualifying Scores'!$A$4:$A$7,'Qualifying Scores'!$G$4:$G$7),AA69&gt;=LOOKUP(G69,'Qualifying Scores'!$A$10:$A$13,'Qualifying Scores'!$G$10:$G$13)),AND(W69&gt;=LOOKUP(G69,'Qualifying Scores'!$A$4:$A$7,'Qualifying Scores'!$G$4:$G$7),X69&gt;=LOOKUP(G69,'Qualifying Scores'!$A$10:$A$13,'Qualifying Scores'!$G$10:$G$13)),AND(AC69&gt;=LOOKUP(G69,'Qualifying Scores'!$A$4:$A$7,'Qualifying Scores'!$G$4:$G$7),AD69&gt;=LOOKUP(G69,'Qualifying Scores'!$A$10:$A$13,'Qualifying Scores'!$G$10:$G$13))),"P",""))</f>
        <v/>
      </c>
      <c r="Q69" s="1" t="str">
        <f>IF(A69&lt;5,IF(_xlfn.MAXIFS(A:A,G:G,G69)&gt;3,5-A69,_xlfn.MAXIFS(A:A,G:G,G69)+1-A69),"")</f>
        <v/>
      </c>
      <c r="R69" s="4">
        <f>MAX(T69-IF(OR(H69="L6"),V69,0),W69-IF(OR(H69="L6"),Y69,0),Z69-IF(OR(H69="L6"),AB69,0),AC69-IF(OR(H69="L6"),AE69,0))</f>
        <v>43</v>
      </c>
      <c r="S69" s="4">
        <f>IF(R69=T69-IF(OR(H69="L6"),V69,0),MAX(W69-IF(OR(H69="L6"),Y69,0),Z69-IF(OR(H69="L6"),AB69,0),AC69-IF(OR(H69="L6"),AE69,0)),IF(R69=W69-IF(OR(H69="L6"),Y69,0),MAX(T69-IF(OR(H69="L6"),V69,0),Z69-IF(OR(H69="L6"),AB69,0),AC69-IF(OR(H69="L6"),AE69,0)),IF(R69=Z69-IF(OR(H69="L6"),AB69,0),MAX(T69-IF(OR(H69="L6"),V69,0),W69-IF(OR(H69="L6"),Y69,0),AC69-IF(OR(H69="L6"),AE69,0)),IF(R69=AC69-IF(OR(H69="L6"),AE69,0),MAX(T69-IF(OR(H69="L6"),V69,0),W69-IF(OR(H69="L6"),Y69,0),Z69-IF(OR(H69="L6"),AB69,0)),0))))</f>
        <v>42.9</v>
      </c>
      <c r="T69" s="32">
        <v>39.200000000000003</v>
      </c>
      <c r="U69" s="37">
        <v>4.2</v>
      </c>
      <c r="V69" s="37">
        <v>0</v>
      </c>
      <c r="W69" s="33">
        <v>42.5</v>
      </c>
      <c r="X69" s="37">
        <v>4.9000000000000004</v>
      </c>
      <c r="Y69" s="37">
        <v>0</v>
      </c>
      <c r="Z69" s="32">
        <v>42.9</v>
      </c>
      <c r="AA69" s="37">
        <v>5.4</v>
      </c>
      <c r="AB69" s="37">
        <v>0</v>
      </c>
      <c r="AC69" s="33">
        <v>43</v>
      </c>
      <c r="AD69" s="37">
        <v>5.2</v>
      </c>
      <c r="AE69" s="37">
        <v>0</v>
      </c>
    </row>
    <row r="70" spans="1:31" x14ac:dyDescent="0.2">
      <c r="A70" s="1" t="str" cm="1">
        <f t="array" ref="A70">IF(I70="","",IF(P70&lt;&gt;"",SUMPRODUCT((P$3:P$94&lt;&gt;"")*(G$3:G$94=G70)*(J$3:J$94&gt;J70)*(I$3:I$94="P"))+1,IF(O70&lt;&gt;"",SUMPRODUCT((O$3:O$94&lt;&gt;"")*(P$3:P$94="")*(G$3:G$94=G70)*(J$3:J$94&gt;J70)*(I$3:I$94="P"))+SUMPRODUCT((P$3:P$94&lt;&gt;"")*(G$3:G$94=G70)*(I$3:I$94="P"))+1,IF(N70&lt;&gt;"",SUMPRODUCT((N$3:N$94&lt;&gt;"")*(G$3:G$94=G70)*(J$3:J$94&gt;J70)*(I$3:I$94="P"))+1,IF(M70="P",SUMPRODUCT((O$3:O$94&lt;&gt;"")*(P$3:P$94="")*(G$3:G$94=G70)*(I$3:I$94="P"))+SUMPRODUCT((P$3:P$94&lt;&gt;"")*(G$3:G$94=G70)*(I$3:I$94="P"))+SUMPRODUCT((N$3:N$94&lt;&gt;"")*(G$3:G$94=G70)*(I$3:I$94="P"))+SUMPRODUCT((P$3:P$94="")*(O$3:O$94="")*(N$3:N$94="")*(M$3:M$94="P")*(G$3:G$94=G70)*(J$3:J$94&gt;J70)*(I$3:I$94="P"))+IF(H70="L5",SUMPRODUCT((P$3:P$94="")*(O$3:O$94="")*(N$3:N$94="")*(M$3:M$94="P")*(G$3:G$94=G70)*(J$3:J$94&lt;J70)*(H$3:H$94&lt;&gt;H70)*(I$3:I$94="P")),-1*SUMPRODUCT((P$3:P$94="")*(O$3:O$94="")*(N$3:N$94="")*(M$3:M$94="P")*(G$3:G$94=G70)*(J$3:J$94&gt;J70)*(H$3:H$94="L5")*(I$3:I$94="P")))+1,"")))))</f>
        <v/>
      </c>
      <c r="B70" s="1" t="str" cm="1">
        <f t="array" ref="B70">IF(P70&lt;&gt;"",SUMPRODUCT((P$3:P$94&lt;&gt;"")*(G$3:G$94=G70)*(J$3:J$94&gt;J70))+1,IF(O70&lt;&gt;"",SUMPRODUCT((O$3:O$94&lt;&gt;"")*(P$3:P$94="")*(G$3:G$94=G70)*(J$3:J$94&gt;J70))+SUMPRODUCT((P$3:P$94&lt;&gt;"")*(G$3:G$94=G70))+1,IF(N70&lt;&gt;"",SUMPRODUCT((N$3:N$94&lt;&gt;"")*(G$3:G$94=G70)*(J$3:J$94&gt;J70))+1,IF(M70="P",SUMPRODUCT((O$3:O$94&lt;&gt;"")*(P$3:P$94="")*(G$3:G$94=G70))+SUMPRODUCT((P$3:P$94&lt;&gt;"")*(G$3:G$94=G70))+SUMPRODUCT((N$3:N$94&lt;&gt;"")*(G$3:G$94=G70))+SUMPRODUCT((P$3:P$94="")*(O$3:O$94="")*(N$3:N$94="")*(M$3:M$94="P")*(G$3:G$94=G70)*(J$3:J$94&gt;J70))+IF(H70="L5",SUMPRODUCT((P$3:P$94="")*(O$3:O$94="")*(N$3:N$94="")*(M$3:M$94="P")*(G$3:G$94=G70)*(J$3:J$94&lt;J70)*(H$3:H$94&lt;&gt;H70)),-1*SUMPRODUCT((P$3:P$94="")*(O$3:O$94="")*(N$3:N$94="")*(M$3:M$94="P")*(G$3:G$94=G70)*(J$3:J$94&gt;J70)*(H$3:H$94="L5")))+1,""))))</f>
        <v/>
      </c>
      <c r="C70" s="35" t="s">
        <v>254</v>
      </c>
      <c r="D70" t="str">
        <f>IF(E70="","",VLOOKUP(E70,'Coaching Points'!A:B,2,0))</f>
        <v>SK</v>
      </c>
      <c r="E70" s="35" t="s">
        <v>58</v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R70+S70+IF(OR(H70="Junior",H70="Senior"),0.0002,IF(OR(H70="L7",H70="L6"),0.0001,0))+MAX(Z70,AC70)*0.0000001</f>
        <v>85.900004240000001</v>
      </c>
      <c r="K70" s="3" t="str">
        <f>IF(G70="Not Age Eligible","",IF(MAX(T70,W70,Z70,AC70)&gt;=LOOKUP(G70,'Qualifying Scores'!$A$4:$A$7,'Qualifying Scores'!$G$4:$G$7),"P",""))</f>
        <v/>
      </c>
      <c r="L70" s="3" t="str">
        <f>IF(G70="Not Age Eligible","",IF(MAX(U70,X70,AA70,AD70)&gt;=LOOKUP(G70,'Qualifying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Scores'!$G$10:$G$13)),AND(Z70&gt;=LOOKUP(G70,'Qualifying Scores'!$A$4:$A$7,'Qualifying Scores'!$G$4:$G$7),AA70&gt;=LOOKUP(G70,'Qualifying Scores'!$A$10:$A$13,'Qualifying Scores'!$G$10:$G$13)),AND(W70&gt;=LOOKUP(G70,'Qualifying Scores'!$A$4:$A$7,'Qualifying Scores'!$G$4:$G$7),X70&gt;=LOOKUP(G70,'Qualifying Scores'!$A$10:$A$13,'Qualifying Scores'!$G$10:$G$13)),AND(AC70&gt;=LOOKUP(G70,'Qualifying Scores'!$A$4:$A$7,'Qualifying Scores'!$G$4:$G$7),AD70&gt;=LOOKUP(G70,'Qualifying Scores'!$A$10:$A$13,'Qualifying Scores'!$G$10:$G$13))),"P",""))</f>
        <v/>
      </c>
      <c r="Q70" s="1" t="str">
        <f>IF(A70&lt;5,IF(_xlfn.MAXIFS(A:A,G:G,G70)&gt;3,5-A70,_xlfn.MAXIFS(A:A,G:G,G70)+1-A70),"")</f>
        <v/>
      </c>
      <c r="R70" s="4">
        <f>MAX(T70-IF(OR(H70="L6"),V70,0),W70-IF(OR(H70="L6"),Y70,0),Z70-IF(OR(H70="L6"),AB70,0),AC70-IF(OR(H70="L6"),AE70,0))</f>
        <v>43.3</v>
      </c>
      <c r="S70" s="4">
        <f>IF(R70=T70-IF(OR(H70="L6"),V70,0),MAX(W70-IF(OR(H70="L6"),Y70,0),Z70-IF(OR(H70="L6"),AB70,0),AC70-IF(OR(H70="L6"),AE70,0)),IF(R70=W70-IF(OR(H70="L6"),Y70,0),MAX(T70-IF(OR(H70="L6"),V70,0),Z70-IF(OR(H70="L6"),AB70,0),AC70-IF(OR(H70="L6"),AE70,0)),IF(R70=Z70-IF(OR(H70="L6"),AB70,0),MAX(T70-IF(OR(H70="L6"),V70,0),W70-IF(OR(H70="L6"),Y70,0),AC70-IF(OR(H70="L6"),AE70,0)),IF(R70=AC70-IF(OR(H70="L6"),AE70,0),MAX(T70-IF(OR(H70="L6"),V70,0),W70-IF(OR(H70="L6"),Y70,0),Z70-IF(OR(H70="L6"),AB70,0)),0))))</f>
        <v>42.6</v>
      </c>
      <c r="T70" s="32">
        <v>43.3</v>
      </c>
      <c r="U70" s="37">
        <v>6.3000000000000007</v>
      </c>
      <c r="V70" s="37">
        <v>0</v>
      </c>
      <c r="W70" s="33">
        <v>42.6</v>
      </c>
      <c r="X70" s="37">
        <v>6</v>
      </c>
      <c r="Y70" s="37">
        <v>0</v>
      </c>
      <c r="Z70" s="32">
        <v>42.4</v>
      </c>
      <c r="AA70" s="37">
        <v>6.6</v>
      </c>
      <c r="AB70" s="37">
        <v>0</v>
      </c>
      <c r="AC70" s="33">
        <v>39.299999999999997</v>
      </c>
      <c r="AD70" s="37">
        <v>5.6999999999999993</v>
      </c>
      <c r="AE70" s="37">
        <v>0</v>
      </c>
    </row>
    <row r="71" spans="1:31" x14ac:dyDescent="0.2">
      <c r="A71" s="1" t="str" cm="1">
        <f t="array" ref="A71">IF(I71="","",IF(P71&lt;&gt;"",SUMPRODUCT((P$3:P$94&lt;&gt;"")*(G$3:G$94=G71)*(J$3:J$94&gt;J71)*(I$3:I$94="P"))+1,IF(O71&lt;&gt;"",SUMPRODUCT((O$3:O$94&lt;&gt;"")*(P$3:P$94="")*(G$3:G$94=G71)*(J$3:J$94&gt;J71)*(I$3:I$94="P"))+SUMPRODUCT((P$3:P$94&lt;&gt;"")*(G$3:G$94=G71)*(I$3:I$94="P"))+1,IF(N71&lt;&gt;"",SUMPRODUCT((N$3:N$94&lt;&gt;"")*(G$3:G$94=G71)*(J$3:J$94&gt;J71)*(I$3:I$94="P"))+1,IF(M71="P",SUMPRODUCT((O$3:O$94&lt;&gt;"")*(P$3:P$94="")*(G$3:G$94=G71)*(I$3:I$94="P"))+SUMPRODUCT((P$3:P$94&lt;&gt;"")*(G$3:G$94=G71)*(I$3:I$94="P"))+SUMPRODUCT((N$3:N$94&lt;&gt;"")*(G$3:G$94=G71)*(I$3:I$94="P"))+SUMPRODUCT((P$3:P$94="")*(O$3:O$94="")*(N$3:N$94="")*(M$3:M$94="P")*(G$3:G$94=G71)*(J$3:J$94&gt;J71)*(I$3:I$94="P"))+IF(H71="L5",SUMPRODUCT((P$3:P$94="")*(O$3:O$94="")*(N$3:N$94="")*(M$3:M$94="P")*(G$3:G$94=G71)*(J$3:J$94&lt;J71)*(H$3:H$94&lt;&gt;H71)*(I$3:I$94="P")),-1*SUMPRODUCT((P$3:P$94="")*(O$3:O$94="")*(N$3:N$94="")*(M$3:M$94="P")*(G$3:G$94=G71)*(J$3:J$94&gt;J71)*(H$3:H$94="L5")*(I$3:I$94="P")))+1,"")))))</f>
        <v/>
      </c>
      <c r="B71" s="1" t="str" cm="1">
        <f t="array" ref="B71">IF(P71&lt;&gt;"",SUMPRODUCT((P$3:P$94&lt;&gt;"")*(G$3:G$94=G71)*(J$3:J$94&gt;J71))+1,IF(O71&lt;&gt;"",SUMPRODUCT((O$3:O$94&lt;&gt;"")*(P$3:P$94="")*(G$3:G$94=G71)*(J$3:J$94&gt;J71))+SUMPRODUCT((P$3:P$94&lt;&gt;"")*(G$3:G$94=G71))+1,IF(N71&lt;&gt;"",SUMPRODUCT((N$3:N$94&lt;&gt;"")*(G$3:G$94=G71)*(J$3:J$94&gt;J71))+1,IF(M71="P",SUMPRODUCT((O$3:O$94&lt;&gt;"")*(P$3:P$94="")*(G$3:G$94=G71))+SUMPRODUCT((P$3:P$94&lt;&gt;"")*(G$3:G$94=G71))+SUMPRODUCT((N$3:N$94&lt;&gt;"")*(G$3:G$94=G71))+SUMPRODUCT((P$3:P$94="")*(O$3:O$94="")*(N$3:N$94="")*(M$3:M$94="P")*(G$3:G$94=G71)*(J$3:J$94&gt;J71))+IF(H71="L5",SUMPRODUCT((P$3:P$94="")*(O$3:O$94="")*(N$3:N$94="")*(M$3:M$94="P")*(G$3:G$94=G71)*(J$3:J$94&lt;J71)*(H$3:H$94&lt;&gt;H71)),-1*SUMPRODUCT((P$3:P$94="")*(O$3:O$94="")*(N$3:N$94="")*(M$3:M$94="P")*(G$3:G$94=G71)*(J$3:J$94&gt;J71)*(H$3:H$94="L5")))+1,""))))</f>
        <v/>
      </c>
      <c r="C71" s="35" t="s">
        <v>417</v>
      </c>
      <c r="D71" t="str">
        <f>IF(E71="","",VLOOKUP(E71,'Coaching Points'!A:B,2,0))</f>
        <v>QC</v>
      </c>
      <c r="E71" s="35" t="s">
        <v>125</v>
      </c>
      <c r="F71" s="34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R71+S71+IF(OR(H71="Junior",H71="Senior"),0.0002,IF(OR(H71="L7",H71="L6"),0.0001,0))+MAX(Z71,AC71)*0.0000001</f>
        <v>85.200004300000003</v>
      </c>
      <c r="K71" s="3" t="str">
        <f>IF(G71="Not Age Eligible","",IF(MAX(T71,W71,Z71,AC71)&gt;=LOOKUP(G71,'Qualifying Scores'!$A$4:$A$7,'Qualifying Scores'!$G$4:$G$7),"P",""))</f>
        <v/>
      </c>
      <c r="L71" s="3" t="str">
        <f>IF(G71="Not Age Eligible","",IF(MAX(U71,X71,AA71,AD71)&gt;=LOOKUP(G71,'Qualifying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Scores'!$G$10:$G$13)),AND(Z71&gt;=LOOKUP(G71,'Qualifying Scores'!$A$4:$A$7,'Qualifying Scores'!$G$4:$G$7),AA71&gt;=LOOKUP(G71,'Qualifying Scores'!$A$10:$A$13,'Qualifying Scores'!$G$10:$G$13)),AND(W71&gt;=LOOKUP(G71,'Qualifying Scores'!$A$4:$A$7,'Qualifying Scores'!$G$4:$G$7),X71&gt;=LOOKUP(G71,'Qualifying Scores'!$A$10:$A$13,'Qualifying Scores'!$G$10:$G$13)),AND(AC71&gt;=LOOKUP(G71,'Qualifying Scores'!$A$4:$A$7,'Qualifying Scores'!$G$4:$G$7),AD71&gt;=LOOKUP(G71,'Qualifying Scores'!$A$10:$A$13,'Qualifying Scores'!$G$10:$G$13))),"P",""))</f>
        <v/>
      </c>
      <c r="Q71" s="1" t="str">
        <f>IF(A71&lt;5,IF(_xlfn.MAXIFS(A:A,G:G,G71)&gt;3,5-A71,_xlfn.MAXIFS(A:A,G:G,G71)+1-A71),"")</f>
        <v/>
      </c>
      <c r="R71" s="4">
        <f>MAX(T71-IF(OR(H71="L6"),V71,0),W71-IF(OR(H71="L6"),Y71,0),Z71-IF(OR(H71="L6"),AB71,0),AC71-IF(OR(H71="L6"),AE71,0))</f>
        <v>43</v>
      </c>
      <c r="S71" s="4">
        <f>IF(R71=T71-IF(OR(H71="L6"),V71,0),MAX(W71-IF(OR(H71="L6"),Y71,0),Z71-IF(OR(H71="L6"),AB71,0),AC71-IF(OR(H71="L6"),AE71,0)),IF(R71=W71-IF(OR(H71="L6"),Y71,0),MAX(T71-IF(OR(H71="L6"),V71,0),Z71-IF(OR(H71="L6"),AB71,0),AC71-IF(OR(H71="L6"),AE71,0)),IF(R71=Z71-IF(OR(H71="L6"),AB71,0),MAX(T71-IF(OR(H71="L6"),V71,0),W71-IF(OR(H71="L6"),Y71,0),AC71-IF(OR(H71="L6"),AE71,0)),IF(R71=AC71-IF(OR(H71="L6"),AE71,0),MAX(T71-IF(OR(H71="L6"),V71,0),W71-IF(OR(H71="L6"),Y71,0),Z71-IF(OR(H71="L6"),AB71,0)),0))))</f>
        <v>42.2</v>
      </c>
      <c r="T71" s="32"/>
      <c r="U71" s="37"/>
      <c r="V71" s="37"/>
      <c r="W71" s="33"/>
      <c r="X71" s="37"/>
      <c r="Y71" s="37"/>
      <c r="Z71" s="32">
        <v>42.2</v>
      </c>
      <c r="AA71" s="37">
        <v>4.9000000000000004</v>
      </c>
      <c r="AB71" s="37">
        <v>0</v>
      </c>
      <c r="AC71" s="33">
        <v>43</v>
      </c>
      <c r="AD71" s="37">
        <v>5.0999999999999996</v>
      </c>
      <c r="AE71" s="37">
        <v>0</v>
      </c>
    </row>
    <row r="72" spans="1:31" x14ac:dyDescent="0.2">
      <c r="A72" s="1" t="str" cm="1">
        <f t="array" ref="A72">IF(I72="","",IF(P72&lt;&gt;"",SUMPRODUCT((P$3:P$94&lt;&gt;"")*(G$3:G$94=G72)*(J$3:J$94&gt;J72)*(I$3:I$94="P"))+1,IF(O72&lt;&gt;"",SUMPRODUCT((O$3:O$94&lt;&gt;"")*(P$3:P$94="")*(G$3:G$94=G72)*(J$3:J$94&gt;J72)*(I$3:I$94="P"))+SUMPRODUCT((P$3:P$94&lt;&gt;"")*(G$3:G$94=G72)*(I$3:I$94="P"))+1,IF(N72&lt;&gt;"",SUMPRODUCT((N$3:N$94&lt;&gt;"")*(G$3:G$94=G72)*(J$3:J$94&gt;J72)*(I$3:I$94="P"))+1,IF(M72="P",SUMPRODUCT((O$3:O$94&lt;&gt;"")*(P$3:P$94="")*(G$3:G$94=G72)*(I$3:I$94="P"))+SUMPRODUCT((P$3:P$94&lt;&gt;"")*(G$3:G$94=G72)*(I$3:I$94="P"))+SUMPRODUCT((N$3:N$94&lt;&gt;"")*(G$3:G$94=G72)*(I$3:I$94="P"))+SUMPRODUCT((P$3:P$94="")*(O$3:O$94="")*(N$3:N$94="")*(M$3:M$94="P")*(G$3:G$94=G72)*(J$3:J$94&gt;J72)*(I$3:I$94="P"))+IF(H72="L5",SUMPRODUCT((P$3:P$94="")*(O$3:O$94="")*(N$3:N$94="")*(M$3:M$94="P")*(G$3:G$94=G72)*(J$3:J$94&lt;J72)*(H$3:H$94&lt;&gt;H72)*(I$3:I$94="P")),-1*SUMPRODUCT((P$3:P$94="")*(O$3:O$94="")*(N$3:N$94="")*(M$3:M$94="P")*(G$3:G$94=G72)*(J$3:J$94&gt;J72)*(H$3:H$94="L5")*(I$3:I$94="P")))+1,"")))))</f>
        <v/>
      </c>
      <c r="B72" s="1" t="str" cm="1">
        <f t="array" ref="B72">IF(P72&lt;&gt;"",SUMPRODUCT((P$3:P$94&lt;&gt;"")*(G$3:G$94=G72)*(J$3:J$94&gt;J72))+1,IF(O72&lt;&gt;"",SUMPRODUCT((O$3:O$94&lt;&gt;"")*(P$3:P$94="")*(G$3:G$94=G72)*(J$3:J$94&gt;J72))+SUMPRODUCT((P$3:P$94&lt;&gt;"")*(G$3:G$94=G72))+1,IF(N72&lt;&gt;"",SUMPRODUCT((N$3:N$94&lt;&gt;"")*(G$3:G$94=G72)*(J$3:J$94&gt;J72))+1,IF(M72="P",SUMPRODUCT((O$3:O$94&lt;&gt;"")*(P$3:P$94="")*(G$3:G$94=G72))+SUMPRODUCT((P$3:P$94&lt;&gt;"")*(G$3:G$94=G72))+SUMPRODUCT((N$3:N$94&lt;&gt;"")*(G$3:G$94=G72))+SUMPRODUCT((P$3:P$94="")*(O$3:O$94="")*(N$3:N$94="")*(M$3:M$94="P")*(G$3:G$94=G72)*(J$3:J$94&gt;J72))+IF(H72="L5",SUMPRODUCT((P$3:P$94="")*(O$3:O$94="")*(N$3:N$94="")*(M$3:M$94="P")*(G$3:G$94=G72)*(J$3:J$94&lt;J72)*(H$3:H$94&lt;&gt;H72)),-1*SUMPRODUCT((P$3:P$94="")*(O$3:O$94="")*(N$3:N$94="")*(M$3:M$94="P")*(G$3:G$94=G72)*(J$3:J$94&gt;J72)*(H$3:H$94="L5")))+1,""))))</f>
        <v/>
      </c>
      <c r="C72" s="35" t="s">
        <v>492</v>
      </c>
      <c r="D72" t="str">
        <f>IF(E72="","",VLOOKUP(E72,'Coaching Points'!A:B,2,0))</f>
        <v>ON</v>
      </c>
      <c r="E72" s="35" t="s">
        <v>76</v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R72+S72+IF(OR(H72="Junior",H72="Senior"),0.0002,IF(OR(H72="L7",H72="L6"),0.0001,0))+MAX(Z72,AC72)*0.0000001</f>
        <v>84.600004309999989</v>
      </c>
      <c r="K72" s="3" t="str">
        <f>IF(G72="Not Age Eligible","",IF(MAX(T72,W72,Z72,AC72)&gt;=LOOKUP(G72,'Qualifying Scores'!$A$4:$A$7,'Qualifying Scores'!$G$4:$G$7),"P",""))</f>
        <v/>
      </c>
      <c r="L72" s="3" t="str">
        <f>IF(G72="Not Age Eligible","",IF(MAX(U72,X72,AA72,AD72)&gt;=LOOKUP(G72,'Qualifying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Scores'!$G$10:$G$13)),AND(Z72&gt;=LOOKUP(G72,'Qualifying Scores'!$A$4:$A$7,'Qualifying Scores'!$G$4:$G$7),AA72&gt;=LOOKUP(G72,'Qualifying Scores'!$A$10:$A$13,'Qualifying Scores'!$G$10:$G$13)),AND(W72&gt;=LOOKUP(G72,'Qualifying Scores'!$A$4:$A$7,'Qualifying Scores'!$G$4:$G$7),X72&gt;=LOOKUP(G72,'Qualifying Scores'!$A$10:$A$13,'Qualifying Scores'!$G$10:$G$13)),AND(AC72&gt;=LOOKUP(G72,'Qualifying Scores'!$A$4:$A$7,'Qualifying Scores'!$G$4:$G$7),AD72&gt;=LOOKUP(G72,'Qualifying Scores'!$A$10:$A$13,'Qualifying Scores'!$G$10:$G$13))),"P",""))</f>
        <v/>
      </c>
      <c r="Q72" s="1" t="str">
        <f>IF(A72&lt;5,IF(_xlfn.MAXIFS(A:A,G:G,G72)&gt;3,5-A72,_xlfn.MAXIFS(A:A,G:G,G72)+1-A72),"")</f>
        <v/>
      </c>
      <c r="R72" s="4">
        <f>MAX(T72-IF(OR(H72="L6"),V72,0),W72-IF(OR(H72="L6"),Y72,0),Z72-IF(OR(H72="L6"),AB72,0),AC72-IF(OR(H72="L6"),AE72,0))</f>
        <v>43.1</v>
      </c>
      <c r="S72" s="4">
        <f>IF(R72=T72-IF(OR(H72="L6"),V72,0),MAX(W72-IF(OR(H72="L6"),Y72,0),Z72-IF(OR(H72="L6"),AB72,0),AC72-IF(OR(H72="L6"),AE72,0)),IF(R72=W72-IF(OR(H72="L6"),Y72,0),MAX(T72-IF(OR(H72="L6"),V72,0),Z72-IF(OR(H72="L6"),AB72,0),AC72-IF(OR(H72="L6"),AE72,0)),IF(R72=Z72-IF(OR(H72="L6"),AB72,0),MAX(T72-IF(OR(H72="L6"),V72,0),W72-IF(OR(H72="L6"),Y72,0),AC72-IF(OR(H72="L6"),AE72,0)),IF(R72=AC72-IF(OR(H72="L6"),AE72,0),MAX(T72-IF(OR(H72="L6"),V72,0),W72-IF(OR(H72="L6"),Y72,0),Z72-IF(OR(H72="L6"),AB72,0)),0))))</f>
        <v>41.5</v>
      </c>
      <c r="T72" s="32"/>
      <c r="U72" s="37"/>
      <c r="V72" s="37"/>
      <c r="W72" s="33"/>
      <c r="X72" s="37"/>
      <c r="Y72" s="37"/>
      <c r="Z72" s="32">
        <v>43.1</v>
      </c>
      <c r="AA72" s="37">
        <v>5.8000000000000007</v>
      </c>
      <c r="AB72" s="37">
        <v>0</v>
      </c>
      <c r="AC72" s="33">
        <v>41.5</v>
      </c>
      <c r="AD72" s="37">
        <v>4.3000000000000007</v>
      </c>
      <c r="AE72" s="37">
        <v>0</v>
      </c>
    </row>
    <row r="73" spans="1:31" x14ac:dyDescent="0.2">
      <c r="A73" s="1" t="str" cm="1">
        <f t="array" ref="A73">IF(I73="","",IF(P73&lt;&gt;"",SUMPRODUCT((P$3:P$94&lt;&gt;"")*(G$3:G$94=G73)*(J$3:J$94&gt;J73)*(I$3:I$94="P"))+1,IF(O73&lt;&gt;"",SUMPRODUCT((O$3:O$94&lt;&gt;"")*(P$3:P$94="")*(G$3:G$94=G73)*(J$3:J$94&gt;J73)*(I$3:I$94="P"))+SUMPRODUCT((P$3:P$94&lt;&gt;"")*(G$3:G$94=G73)*(I$3:I$94="P"))+1,IF(N73&lt;&gt;"",SUMPRODUCT((N$3:N$94&lt;&gt;"")*(G$3:G$94=G73)*(J$3:J$94&gt;J73)*(I$3:I$94="P"))+1,IF(M73="P",SUMPRODUCT((O$3:O$94&lt;&gt;"")*(P$3:P$94="")*(G$3:G$94=G73)*(I$3:I$94="P"))+SUMPRODUCT((P$3:P$94&lt;&gt;"")*(G$3:G$94=G73)*(I$3:I$94="P"))+SUMPRODUCT((N$3:N$94&lt;&gt;"")*(G$3:G$94=G73)*(I$3:I$94="P"))+SUMPRODUCT((P$3:P$94="")*(O$3:O$94="")*(N$3:N$94="")*(M$3:M$94="P")*(G$3:G$94=G73)*(J$3:J$94&gt;J73)*(I$3:I$94="P"))+IF(H73="L5",SUMPRODUCT((P$3:P$94="")*(O$3:O$94="")*(N$3:N$94="")*(M$3:M$94="P")*(G$3:G$94=G73)*(J$3:J$94&lt;J73)*(H$3:H$94&lt;&gt;H73)*(I$3:I$94="P")),-1*SUMPRODUCT((P$3:P$94="")*(O$3:O$94="")*(N$3:N$94="")*(M$3:M$94="P")*(G$3:G$94=G73)*(J$3:J$94&gt;J73)*(H$3:H$94="L5")*(I$3:I$94="P")))+1,"")))))</f>
        <v/>
      </c>
      <c r="B73" s="1" t="str" cm="1">
        <f t="array" ref="B73">IF(P73&lt;&gt;"",SUMPRODUCT((P$3:P$94&lt;&gt;"")*(G$3:G$94=G73)*(J$3:J$94&gt;J73))+1,IF(O73&lt;&gt;"",SUMPRODUCT((O$3:O$94&lt;&gt;"")*(P$3:P$94="")*(G$3:G$94=G73)*(J$3:J$94&gt;J73))+SUMPRODUCT((P$3:P$94&lt;&gt;"")*(G$3:G$94=G73))+1,IF(N73&lt;&gt;"",SUMPRODUCT((N$3:N$94&lt;&gt;"")*(G$3:G$94=G73)*(J$3:J$94&gt;J73))+1,IF(M73="P",SUMPRODUCT((O$3:O$94&lt;&gt;"")*(P$3:P$94="")*(G$3:G$94=G73))+SUMPRODUCT((P$3:P$94&lt;&gt;"")*(G$3:G$94=G73))+SUMPRODUCT((N$3:N$94&lt;&gt;"")*(G$3:G$94=G73))+SUMPRODUCT((P$3:P$94="")*(O$3:O$94="")*(N$3:N$94="")*(M$3:M$94="P")*(G$3:G$94=G73)*(J$3:J$94&gt;J73))+IF(H73="L5",SUMPRODUCT((P$3:P$94="")*(O$3:O$94="")*(N$3:N$94="")*(M$3:M$94="P")*(G$3:G$94=G73)*(J$3:J$94&lt;J73)*(H$3:H$94&lt;&gt;H73)),-1*SUMPRODUCT((P$3:P$94="")*(O$3:O$94="")*(N$3:N$94="")*(M$3:M$94="P")*(G$3:G$94=G73)*(J$3:J$94&gt;J73)*(H$3:H$94="L5")))+1,""))))</f>
        <v/>
      </c>
      <c r="C73" s="35" t="s">
        <v>309</v>
      </c>
      <c r="D73" t="str">
        <f>IF(E73="","",VLOOKUP(E73,'Coaching Points'!A:B,2,0))</f>
        <v>ON</v>
      </c>
      <c r="E73" s="35" t="s">
        <v>45</v>
      </c>
      <c r="F73" s="34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R73+S73+IF(OR(H73="Junior",H73="Senior"),0.0002,IF(OR(H73="L7",H73="L6"),0.0001,0))+MAX(Z73,AC73)*0.0000001</f>
        <v>84.200004239999984</v>
      </c>
      <c r="K73" s="3" t="str">
        <f>IF(G73="Not Age Eligible","",IF(MAX(T73,W73,Z73,AC73)&gt;=LOOKUP(G73,'Qualifying Scores'!$A$4:$A$7,'Qualifying Scores'!$G$4:$G$7),"P",""))</f>
        <v/>
      </c>
      <c r="L73" s="3" t="str">
        <f>IF(G73="Not Age Eligible","",IF(MAX(U73,X73,AA73,AD73)&gt;=LOOKUP(G73,'Qualifying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Scores'!$G$10:$G$13)),AND(Z73&gt;=LOOKUP(G73,'Qualifying Scores'!$A$4:$A$7,'Qualifying Scores'!$G$4:$G$7),AA73&gt;=LOOKUP(G73,'Qualifying Scores'!$A$10:$A$13,'Qualifying Scores'!$G$10:$G$13)),AND(W73&gt;=LOOKUP(G73,'Qualifying Scores'!$A$4:$A$7,'Qualifying Scores'!$G$4:$G$7),X73&gt;=LOOKUP(G73,'Qualifying Scores'!$A$10:$A$13,'Qualifying Scores'!$G$10:$G$13)),AND(AC73&gt;=LOOKUP(G73,'Qualifying Scores'!$A$4:$A$7,'Qualifying Scores'!$G$4:$G$7),AD73&gt;=LOOKUP(G73,'Qualifying Scores'!$A$10:$A$13,'Qualifying Scores'!$G$10:$G$13))),"P",""))</f>
        <v/>
      </c>
      <c r="Q73" s="1" t="str">
        <f>IF(A73&lt;5,IF(_xlfn.MAXIFS(A:A,G:G,G73)&gt;3,5-A73,_xlfn.MAXIFS(A:A,G:G,G73)+1-A73),"")</f>
        <v/>
      </c>
      <c r="R73" s="4">
        <f>MAX(T73-IF(OR(H73="L6"),V73,0),W73-IF(OR(H73="L6"),Y73,0),Z73-IF(OR(H73="L6"),AB73,0),AC73-IF(OR(H73="L6"),AE73,0))</f>
        <v>42.4</v>
      </c>
      <c r="S73" s="4">
        <f>IF(R73=T73-IF(OR(H73="L6"),V73,0),MAX(W73-IF(OR(H73="L6"),Y73,0),Z73-IF(OR(H73="L6"),AB73,0),AC73-IF(OR(H73="L6"),AE73,0)),IF(R73=W73-IF(OR(H73="L6"),Y73,0),MAX(T73-IF(OR(H73="L6"),V73,0),Z73-IF(OR(H73="L6"),AB73,0),AC73-IF(OR(H73="L6"),AE73,0)),IF(R73=Z73-IF(OR(H73="L6"),AB73,0),MAX(T73-IF(OR(H73="L6"),V73,0),W73-IF(OR(H73="L6"),Y73,0),AC73-IF(OR(H73="L6"),AE73,0)),IF(R73=AC73-IF(OR(H73="L6"),AE73,0),MAX(T73-IF(OR(H73="L6"),V73,0),W73-IF(OR(H73="L6"),Y73,0),Z73-IF(OR(H73="L6"),AB73,0)),0))))</f>
        <v>41.8</v>
      </c>
      <c r="T73" s="32">
        <v>40</v>
      </c>
      <c r="U73" s="37">
        <v>4.9000000000000004</v>
      </c>
      <c r="V73" s="37">
        <v>0</v>
      </c>
      <c r="W73" s="33">
        <v>41.4</v>
      </c>
      <c r="X73" s="37">
        <v>5.2</v>
      </c>
      <c r="Y73" s="37">
        <v>0</v>
      </c>
      <c r="Z73" s="32">
        <v>41.8</v>
      </c>
      <c r="AA73" s="37">
        <v>4.9000000000000004</v>
      </c>
      <c r="AB73" s="37">
        <v>0</v>
      </c>
      <c r="AC73" s="33">
        <v>42.4</v>
      </c>
      <c r="AD73" s="37">
        <v>5.2</v>
      </c>
      <c r="AE73" s="37">
        <v>0</v>
      </c>
    </row>
    <row r="74" spans="1:31" x14ac:dyDescent="0.2">
      <c r="A74" s="1" t="str" cm="1">
        <f t="array" ref="A74">IF(I74="","",IF(P74&lt;&gt;"",SUMPRODUCT((P$3:P$94&lt;&gt;"")*(G$3:G$94=G74)*(J$3:J$94&gt;J74)*(I$3:I$94="P"))+1,IF(O74&lt;&gt;"",SUMPRODUCT((O$3:O$94&lt;&gt;"")*(P$3:P$94="")*(G$3:G$94=G74)*(J$3:J$94&gt;J74)*(I$3:I$94="P"))+SUMPRODUCT((P$3:P$94&lt;&gt;"")*(G$3:G$94=G74)*(I$3:I$94="P"))+1,IF(N74&lt;&gt;"",SUMPRODUCT((N$3:N$94&lt;&gt;"")*(G$3:G$94=G74)*(J$3:J$94&gt;J74)*(I$3:I$94="P"))+1,IF(M74="P",SUMPRODUCT((O$3:O$94&lt;&gt;"")*(P$3:P$94="")*(G$3:G$94=G74)*(I$3:I$94="P"))+SUMPRODUCT((P$3:P$94&lt;&gt;"")*(G$3:G$94=G74)*(I$3:I$94="P"))+SUMPRODUCT((N$3:N$94&lt;&gt;"")*(G$3:G$94=G74)*(I$3:I$94="P"))+SUMPRODUCT((P$3:P$94="")*(O$3:O$94="")*(N$3:N$94="")*(M$3:M$94="P")*(G$3:G$94=G74)*(J$3:J$94&gt;J74)*(I$3:I$94="P"))+IF(H74="L5",SUMPRODUCT((P$3:P$94="")*(O$3:O$94="")*(N$3:N$94="")*(M$3:M$94="P")*(G$3:G$94=G74)*(J$3:J$94&lt;J74)*(H$3:H$94&lt;&gt;H74)*(I$3:I$94="P")),-1*SUMPRODUCT((P$3:P$94="")*(O$3:O$94="")*(N$3:N$94="")*(M$3:M$94="P")*(G$3:G$94=G74)*(J$3:J$94&gt;J74)*(H$3:H$94="L5")*(I$3:I$94="P")))+1,"")))))</f>
        <v/>
      </c>
      <c r="B74" s="1" t="str" cm="1">
        <f t="array" ref="B74">IF(P74&lt;&gt;"",SUMPRODUCT((P$3:P$94&lt;&gt;"")*(G$3:G$94=G74)*(J$3:J$94&gt;J74))+1,IF(O74&lt;&gt;"",SUMPRODUCT((O$3:O$94&lt;&gt;"")*(P$3:P$94="")*(G$3:G$94=G74)*(J$3:J$94&gt;J74))+SUMPRODUCT((P$3:P$94&lt;&gt;"")*(G$3:G$94=G74))+1,IF(N74&lt;&gt;"",SUMPRODUCT((N$3:N$94&lt;&gt;"")*(G$3:G$94=G74)*(J$3:J$94&gt;J74))+1,IF(M74="P",SUMPRODUCT((O$3:O$94&lt;&gt;"")*(P$3:P$94="")*(G$3:G$94=G74))+SUMPRODUCT((P$3:P$94&lt;&gt;"")*(G$3:G$94=G74))+SUMPRODUCT((N$3:N$94&lt;&gt;"")*(G$3:G$94=G74))+SUMPRODUCT((P$3:P$94="")*(O$3:O$94="")*(N$3:N$94="")*(M$3:M$94="P")*(G$3:G$94=G74)*(J$3:J$94&gt;J74))+IF(H74="L5",SUMPRODUCT((P$3:P$94="")*(O$3:O$94="")*(N$3:N$94="")*(M$3:M$94="P")*(G$3:G$94=G74)*(J$3:J$94&lt;J74)*(H$3:H$94&lt;&gt;H74)),-1*SUMPRODUCT((P$3:P$94="")*(O$3:O$94="")*(N$3:N$94="")*(M$3:M$94="P")*(G$3:G$94=G74)*(J$3:J$94&gt;J74)*(H$3:H$94="L5")))+1,""))))</f>
        <v/>
      </c>
      <c r="C74" s="35" t="s">
        <v>493</v>
      </c>
      <c r="D74" t="str">
        <f>IF(E74="","",VLOOKUP(E74,'Coaching Points'!A:B,2,0))</f>
        <v>AB</v>
      </c>
      <c r="E74" s="35" t="s">
        <v>39</v>
      </c>
      <c r="F74" s="34">
        <v>2010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R74+S74+IF(OR(H74="Junior",H74="Senior"),0.0002,IF(OR(H74="L7",H74="L6"),0.0001,0))+MAX(Z74,AC74)*0.0000001</f>
        <v>82.000004259999997</v>
      </c>
      <c r="K74" s="3" t="str">
        <f>IF(G74="Not Age Eligible","",IF(MAX(T74,W74,Z74,AC74)&gt;=LOOKUP(G74,'Qualifying Scores'!$A$4:$A$7,'Qualifying Scores'!$G$4:$G$7),"P",""))</f>
        <v/>
      </c>
      <c r="L74" s="3" t="str">
        <f>IF(G74="Not Age Eligible","",IF(MAX(U74,X74,AA74,AD74)&gt;=LOOKUP(G74,'Qualifying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Scores'!$G$10:$G$13)),AND(Z74&gt;=LOOKUP(G74,'Qualifying Scores'!$A$4:$A$7,'Qualifying Scores'!$G$4:$G$7),AA74&gt;=LOOKUP(G74,'Qualifying Scores'!$A$10:$A$13,'Qualifying Scores'!$G$10:$G$13)),AND(W74&gt;=LOOKUP(G74,'Qualifying Scores'!$A$4:$A$7,'Qualifying Scores'!$G$4:$G$7),X74&gt;=LOOKUP(G74,'Qualifying Scores'!$A$10:$A$13,'Qualifying Scores'!$G$10:$G$13)),AND(AC74&gt;=LOOKUP(G74,'Qualifying Scores'!$A$4:$A$7,'Qualifying Scores'!$G$4:$G$7),AD74&gt;=LOOKUP(G74,'Qualifying Scores'!$A$10:$A$13,'Qualifying Scores'!$G$10:$G$13))),"P",""))</f>
        <v/>
      </c>
      <c r="Q74" s="1" t="str">
        <f>IF(A74&lt;5,IF(_xlfn.MAXIFS(A:A,G:G,G74)&gt;3,5-A74,_xlfn.MAXIFS(A:A,G:G,G74)+1-A74),"")</f>
        <v/>
      </c>
      <c r="R74" s="4">
        <f>MAX(T74-IF(OR(H74="L6"),V74,0),W74-IF(OR(H74="L6"),Y74,0),Z74-IF(OR(H74="L6"),AB74,0),AC74-IF(OR(H74="L6"),AE74,0))</f>
        <v>42.6</v>
      </c>
      <c r="S74" s="4">
        <f>IF(R74=T74-IF(OR(H74="L6"),V74,0),MAX(W74-IF(OR(H74="L6"),Y74,0),Z74-IF(OR(H74="L6"),AB74,0),AC74-IF(OR(H74="L6"),AE74,0)),IF(R74=W74-IF(OR(H74="L6"),Y74,0),MAX(T74-IF(OR(H74="L6"),V74,0),Z74-IF(OR(H74="L6"),AB74,0),AC74-IF(OR(H74="L6"),AE74,0)),IF(R74=Z74-IF(OR(H74="L6"),AB74,0),MAX(T74-IF(OR(H74="L6"),V74,0),W74-IF(OR(H74="L6"),Y74,0),AC74-IF(OR(H74="L6"),AE74,0)),IF(R74=AC74-IF(OR(H74="L6"),AE74,0),MAX(T74-IF(OR(H74="L6"),V74,0),W74-IF(OR(H74="L6"),Y74,0),Z74-IF(OR(H74="L6"),AB74,0)),0))))</f>
        <v>39.4</v>
      </c>
      <c r="T74" s="32"/>
      <c r="U74" s="37"/>
      <c r="V74" s="37"/>
      <c r="W74" s="33"/>
      <c r="X74" s="37"/>
      <c r="Y74" s="37"/>
      <c r="Z74" s="32">
        <v>42.6</v>
      </c>
      <c r="AA74" s="37">
        <v>5.8000000000000007</v>
      </c>
      <c r="AB74" s="37">
        <v>0</v>
      </c>
      <c r="AC74" s="33">
        <v>39.4</v>
      </c>
      <c r="AD74" s="37">
        <v>4.5</v>
      </c>
      <c r="AE74" s="37">
        <v>0</v>
      </c>
    </row>
    <row r="75" spans="1:31" x14ac:dyDescent="0.2">
      <c r="A75" s="1" t="str" cm="1">
        <f t="array" ref="A75">IF(I75="","",IF(P75&lt;&gt;"",SUMPRODUCT((P$3:P$94&lt;&gt;"")*(G$3:G$94=G75)*(J$3:J$94&gt;J75)*(I$3:I$94="P"))+1,IF(O75&lt;&gt;"",SUMPRODUCT((O$3:O$94&lt;&gt;"")*(P$3:P$94="")*(G$3:G$94=G75)*(J$3:J$94&gt;J75)*(I$3:I$94="P"))+SUMPRODUCT((P$3:P$94&lt;&gt;"")*(G$3:G$94=G75)*(I$3:I$94="P"))+1,IF(N75&lt;&gt;"",SUMPRODUCT((N$3:N$94&lt;&gt;"")*(G$3:G$94=G75)*(J$3:J$94&gt;J75)*(I$3:I$94="P"))+1,IF(M75="P",SUMPRODUCT((O$3:O$94&lt;&gt;"")*(P$3:P$94="")*(G$3:G$94=G75)*(I$3:I$94="P"))+SUMPRODUCT((P$3:P$94&lt;&gt;"")*(G$3:G$94=G75)*(I$3:I$94="P"))+SUMPRODUCT((N$3:N$94&lt;&gt;"")*(G$3:G$94=G75)*(I$3:I$94="P"))+SUMPRODUCT((P$3:P$94="")*(O$3:O$94="")*(N$3:N$94="")*(M$3:M$94="P")*(G$3:G$94=G75)*(J$3:J$94&gt;J75)*(I$3:I$94="P"))+IF(H75="L5",SUMPRODUCT((P$3:P$94="")*(O$3:O$94="")*(N$3:N$94="")*(M$3:M$94="P")*(G$3:G$94=G75)*(J$3:J$94&lt;J75)*(H$3:H$94&lt;&gt;H75)*(I$3:I$94="P")),-1*SUMPRODUCT((P$3:P$94="")*(O$3:O$94="")*(N$3:N$94="")*(M$3:M$94="P")*(G$3:G$94=G75)*(J$3:J$94&gt;J75)*(H$3:H$94="L5")*(I$3:I$94="P")))+1,"")))))</f>
        <v/>
      </c>
      <c r="B75" s="1" t="str" cm="1">
        <f t="array" ref="B75">IF(P75&lt;&gt;"",SUMPRODUCT((P$3:P$94&lt;&gt;"")*(G$3:G$94=G75)*(J$3:J$94&gt;J75))+1,IF(O75&lt;&gt;"",SUMPRODUCT((O$3:O$94&lt;&gt;"")*(P$3:P$94="")*(G$3:G$94=G75)*(J$3:J$94&gt;J75))+SUMPRODUCT((P$3:P$94&lt;&gt;"")*(G$3:G$94=G75))+1,IF(N75&lt;&gt;"",SUMPRODUCT((N$3:N$94&lt;&gt;"")*(G$3:G$94=G75)*(J$3:J$94&gt;J75))+1,IF(M75="P",SUMPRODUCT((O$3:O$94&lt;&gt;"")*(P$3:P$94="")*(G$3:G$94=G75))+SUMPRODUCT((P$3:P$94&lt;&gt;"")*(G$3:G$94=G75))+SUMPRODUCT((N$3:N$94&lt;&gt;"")*(G$3:G$94=G75))+SUMPRODUCT((P$3:P$94="")*(O$3:O$94="")*(N$3:N$94="")*(M$3:M$94="P")*(G$3:G$94=G75)*(J$3:J$94&gt;J75))+IF(H75="L5",SUMPRODUCT((P$3:P$94="")*(O$3:O$94="")*(N$3:N$94="")*(M$3:M$94="P")*(G$3:G$94=G75)*(J$3:J$94&lt;J75)*(H$3:H$94&lt;&gt;H75)),-1*SUMPRODUCT((P$3:P$94="")*(O$3:O$94="")*(N$3:N$94="")*(M$3:M$94="P")*(G$3:G$94=G75)*(J$3:J$94&gt;J75)*(H$3:H$94="L5")))+1,""))))</f>
        <v/>
      </c>
      <c r="C75" s="35" t="s">
        <v>313</v>
      </c>
      <c r="D75" t="str">
        <f>IF(E75="","",VLOOKUP(E75,'Coaching Points'!A:B,2,0))</f>
        <v>BC</v>
      </c>
      <c r="E75" s="35" t="s">
        <v>40</v>
      </c>
      <c r="F75" s="34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R75+S75+IF(OR(H75="Junior",H75="Senior"),0.0002,IF(OR(H75="L7",H75="L6"),0.0001,0))+MAX(Z75,AC75)*0.0000001</f>
        <v>81.599999999999994</v>
      </c>
      <c r="K75" s="3" t="str">
        <f>IF(G75="Not Age Eligible","",IF(MAX(T75,W75,Z75,AC75)&gt;=LOOKUP(G75,'Qualifying Scores'!$A$4:$A$7,'Qualifying Scores'!$G$4:$G$7),"P",""))</f>
        <v/>
      </c>
      <c r="L75" s="3" t="str">
        <f>IF(G75="Not Age Eligible","",IF(MAX(U75,X75,AA75,AD75)&gt;=LOOKUP(G75,'Qualifying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Scores'!$G$10:$G$13)),AND(Z75&gt;=LOOKUP(G75,'Qualifying Scores'!$A$4:$A$7,'Qualifying Scores'!$G$4:$G$7),AA75&gt;=LOOKUP(G75,'Qualifying Scores'!$A$10:$A$13,'Qualifying Scores'!$G$10:$G$13)),AND(W75&gt;=LOOKUP(G75,'Qualifying Scores'!$A$4:$A$7,'Qualifying Scores'!$G$4:$G$7),X75&gt;=LOOKUP(G75,'Qualifying Scores'!$A$10:$A$13,'Qualifying Scores'!$G$10:$G$13)),AND(AC75&gt;=LOOKUP(G75,'Qualifying Scores'!$A$4:$A$7,'Qualifying Scores'!$G$4:$G$7),AD75&gt;=LOOKUP(G75,'Qualifying Scores'!$A$10:$A$13,'Qualifying Scores'!$G$10:$G$13))),"P",""))</f>
        <v/>
      </c>
      <c r="Q75" s="1" t="str">
        <f>IF(A75&lt;5,IF(_xlfn.MAXIFS(A:A,G:G,G75)&gt;3,5-A75,_xlfn.MAXIFS(A:A,G:G,G75)+1-A75),"")</f>
        <v/>
      </c>
      <c r="R75" s="4">
        <f>MAX(T75-IF(OR(H75="L6"),V75,0),W75-IF(OR(H75="L6"),Y75,0),Z75-IF(OR(H75="L6"),AB75,0),AC75-IF(OR(H75="L6"),AE75,0))</f>
        <v>42</v>
      </c>
      <c r="S75" s="4">
        <f>IF(R75=T75-IF(OR(H75="L6"),V75,0),MAX(W75-IF(OR(H75="L6"),Y75,0),Z75-IF(OR(H75="L6"),AB75,0),AC75-IF(OR(H75="L6"),AE75,0)),IF(R75=W75-IF(OR(H75="L6"),Y75,0),MAX(T75-IF(OR(H75="L6"),V75,0),Z75-IF(OR(H75="L6"),AB75,0),AC75-IF(OR(H75="L6"),AE75,0)),IF(R75=Z75-IF(OR(H75="L6"),AB75,0),MAX(T75-IF(OR(H75="L6"),V75,0),W75-IF(OR(H75="L6"),Y75,0),AC75-IF(OR(H75="L6"),AE75,0)),IF(R75=AC75-IF(OR(H75="L6"),AE75,0),MAX(T75-IF(OR(H75="L6"),V75,0),W75-IF(OR(H75="L6"),Y75,0),Z75-IF(OR(H75="L6"),AB75,0)),0))))</f>
        <v>39.6</v>
      </c>
      <c r="T75" s="32">
        <v>42</v>
      </c>
      <c r="U75" s="37">
        <v>5.7</v>
      </c>
      <c r="V75" s="37">
        <v>0</v>
      </c>
      <c r="W75" s="33">
        <v>39.6</v>
      </c>
      <c r="X75" s="37">
        <v>5.2</v>
      </c>
      <c r="Y75" s="37">
        <v>0</v>
      </c>
      <c r="Z75" s="32"/>
      <c r="AA75" s="37"/>
      <c r="AB75" s="37"/>
      <c r="AC75" s="33"/>
      <c r="AD75" s="37"/>
      <c r="AE75" s="37"/>
    </row>
    <row r="76" spans="1:31" x14ac:dyDescent="0.2">
      <c r="A76" s="1" t="str" cm="1">
        <f t="array" ref="A76">IF(I76="","",IF(P76&lt;&gt;"",SUMPRODUCT((P$3:P$94&lt;&gt;"")*(G$3:G$94=G76)*(J$3:J$94&gt;J76)*(I$3:I$94="P"))+1,IF(O76&lt;&gt;"",SUMPRODUCT((O$3:O$94&lt;&gt;"")*(P$3:P$94="")*(G$3:G$94=G76)*(J$3:J$94&gt;J76)*(I$3:I$94="P"))+SUMPRODUCT((P$3:P$94&lt;&gt;"")*(G$3:G$94=G76)*(I$3:I$94="P"))+1,IF(N76&lt;&gt;"",SUMPRODUCT((N$3:N$94&lt;&gt;"")*(G$3:G$94=G76)*(J$3:J$94&gt;J76)*(I$3:I$94="P"))+1,IF(M76="P",SUMPRODUCT((O$3:O$94&lt;&gt;"")*(P$3:P$94="")*(G$3:G$94=G76)*(I$3:I$94="P"))+SUMPRODUCT((P$3:P$94&lt;&gt;"")*(G$3:G$94=G76)*(I$3:I$94="P"))+SUMPRODUCT((N$3:N$94&lt;&gt;"")*(G$3:G$94=G76)*(I$3:I$94="P"))+SUMPRODUCT((P$3:P$94="")*(O$3:O$94="")*(N$3:N$94="")*(M$3:M$94="P")*(G$3:G$94=G76)*(J$3:J$94&gt;J76)*(I$3:I$94="P"))+IF(H76="L5",SUMPRODUCT((P$3:P$94="")*(O$3:O$94="")*(N$3:N$94="")*(M$3:M$94="P")*(G$3:G$94=G76)*(J$3:J$94&lt;J76)*(H$3:H$94&lt;&gt;H76)*(I$3:I$94="P")),-1*SUMPRODUCT((P$3:P$94="")*(O$3:O$94="")*(N$3:N$94="")*(M$3:M$94="P")*(G$3:G$94=G76)*(J$3:J$94&gt;J76)*(H$3:H$94="L5")*(I$3:I$94="P")))+1,"")))))</f>
        <v/>
      </c>
      <c r="B76" s="1" t="str" cm="1">
        <f t="array" ref="B76">IF(P76&lt;&gt;"",SUMPRODUCT((P$3:P$94&lt;&gt;"")*(G$3:G$94=G76)*(J$3:J$94&gt;J76))+1,IF(O76&lt;&gt;"",SUMPRODUCT((O$3:O$94&lt;&gt;"")*(P$3:P$94="")*(G$3:G$94=G76)*(J$3:J$94&gt;J76))+SUMPRODUCT((P$3:P$94&lt;&gt;"")*(G$3:G$94=G76))+1,IF(N76&lt;&gt;"",SUMPRODUCT((N$3:N$94&lt;&gt;"")*(G$3:G$94=G76)*(J$3:J$94&gt;J76))+1,IF(M76="P",SUMPRODUCT((O$3:O$94&lt;&gt;"")*(P$3:P$94="")*(G$3:G$94=G76))+SUMPRODUCT((P$3:P$94&lt;&gt;"")*(G$3:G$94=G76))+SUMPRODUCT((N$3:N$94&lt;&gt;"")*(G$3:G$94=G76))+SUMPRODUCT((P$3:P$94="")*(O$3:O$94="")*(N$3:N$94="")*(M$3:M$94="P")*(G$3:G$94=G76)*(J$3:J$94&gt;J76))+IF(H76="L5",SUMPRODUCT((P$3:P$94="")*(O$3:O$94="")*(N$3:N$94="")*(M$3:M$94="P")*(G$3:G$94=G76)*(J$3:J$94&lt;J76)*(H$3:H$94&lt;&gt;H76)),-1*SUMPRODUCT((P$3:P$94="")*(O$3:O$94="")*(N$3:N$94="")*(M$3:M$94="P")*(G$3:G$94=G76)*(J$3:J$94&gt;J76)*(H$3:H$94="L5")))+1,""))))</f>
        <v/>
      </c>
      <c r="C76" s="35" t="s">
        <v>295</v>
      </c>
      <c r="D76" t="str">
        <f>IF(E76="","",VLOOKUP(E76,'Coaching Points'!A:B,2,0))</f>
        <v>ON</v>
      </c>
      <c r="E76" s="35" t="s">
        <v>162</v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R76+S76+IF(OR(H76="Junior",H76="Senior"),0.0002,IF(OR(H76="L7",H76="L6"),0.0001,0))+MAX(Z76,AC76)*0.0000001</f>
        <v>81.400004370000005</v>
      </c>
      <c r="K76" s="3" t="str">
        <f>IF(G76="Not Age Eligible","",IF(MAX(T76,W76,Z76,AC76)&gt;=LOOKUP(G76,'Qualifying Scores'!$A$4:$A$7,'Qualifying Scores'!$G$4:$G$7),"P",""))</f>
        <v/>
      </c>
      <c r="L76" s="3" t="str">
        <f>IF(G76="Not Age Eligible","",IF(MAX(U76,X76,AA76,AD76)&gt;=LOOKUP(G76,'Qualifying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Scores'!$G$10:$G$13)),AND(Z76&gt;=LOOKUP(G76,'Qualifying Scores'!$A$4:$A$7,'Qualifying Scores'!$G$4:$G$7),AA76&gt;=LOOKUP(G76,'Qualifying Scores'!$A$10:$A$13,'Qualifying Scores'!$G$10:$G$13)),AND(W76&gt;=LOOKUP(G76,'Qualifying Scores'!$A$4:$A$7,'Qualifying Scores'!$G$4:$G$7),X76&gt;=LOOKUP(G76,'Qualifying Scores'!$A$10:$A$13,'Qualifying Scores'!$G$10:$G$13)),AND(AC76&gt;=LOOKUP(G76,'Qualifying Scores'!$A$4:$A$7,'Qualifying Scores'!$G$4:$G$7),AD76&gt;=LOOKUP(G76,'Qualifying Scores'!$A$10:$A$13,'Qualifying Scores'!$G$10:$G$13))),"P",""))</f>
        <v/>
      </c>
      <c r="Q76" s="1" t="str">
        <f>IF(A76&lt;5,IF(_xlfn.MAXIFS(A:A,G:G,G76)&gt;3,5-A76,_xlfn.MAXIFS(A:A,G:G,G76)+1-A76),"")</f>
        <v/>
      </c>
      <c r="R76" s="4">
        <f>MAX(T76-IF(OR(H76="L6"),V76,0),W76-IF(OR(H76="L6"),Y76,0),Z76-IF(OR(H76="L6"),AB76,0),AC76-IF(OR(H76="L6"),AE76,0))</f>
        <v>43.7</v>
      </c>
      <c r="S76" s="4">
        <f>IF(R76=T76-IF(OR(H76="L6"),V76,0),MAX(W76-IF(OR(H76="L6"),Y76,0),Z76-IF(OR(H76="L6"),AB76,0),AC76-IF(OR(H76="L6"),AE76,0)),IF(R76=W76-IF(OR(H76="L6"),Y76,0),MAX(T76-IF(OR(H76="L6"),V76,0),Z76-IF(OR(H76="L6"),AB76,0),AC76-IF(OR(H76="L6"),AE76,0)),IF(R76=Z76-IF(OR(H76="L6"),AB76,0),MAX(T76-IF(OR(H76="L6"),V76,0),W76-IF(OR(H76="L6"),Y76,0),AC76-IF(OR(H76="L6"),AE76,0)),IF(R76=AC76-IF(OR(H76="L6"),AE76,0),MAX(T76-IF(OR(H76="L6"),V76,0),W76-IF(OR(H76="L6"),Y76,0),Z76-IF(OR(H76="L6"),AB76,0)),0))))</f>
        <v>37.700000000000003</v>
      </c>
      <c r="T76" s="32">
        <v>20.100000000000001</v>
      </c>
      <c r="U76" s="37">
        <v>2.7</v>
      </c>
      <c r="V76" s="37">
        <v>0</v>
      </c>
      <c r="W76" s="33"/>
      <c r="X76" s="37"/>
      <c r="Y76" s="37"/>
      <c r="Z76" s="32">
        <v>43.7</v>
      </c>
      <c r="AA76" s="37">
        <v>6.6</v>
      </c>
      <c r="AB76" s="37">
        <v>0</v>
      </c>
      <c r="AC76" s="33">
        <v>37.700000000000003</v>
      </c>
      <c r="AD76" s="37">
        <v>5.1000000000000005</v>
      </c>
      <c r="AE76" s="37">
        <v>0</v>
      </c>
    </row>
    <row r="77" spans="1:31" x14ac:dyDescent="0.2">
      <c r="A77" s="1" t="str" cm="1">
        <f t="array" ref="A77">IF(I77="","",IF(P77&lt;&gt;"",SUMPRODUCT((P$3:P$94&lt;&gt;"")*(G$3:G$94=G77)*(J$3:J$94&gt;J77)*(I$3:I$94="P"))+1,IF(O77&lt;&gt;"",SUMPRODUCT((O$3:O$94&lt;&gt;"")*(P$3:P$94="")*(G$3:G$94=G77)*(J$3:J$94&gt;J77)*(I$3:I$94="P"))+SUMPRODUCT((P$3:P$94&lt;&gt;"")*(G$3:G$94=G77)*(I$3:I$94="P"))+1,IF(N77&lt;&gt;"",SUMPRODUCT((N$3:N$94&lt;&gt;"")*(G$3:G$94=G77)*(J$3:J$94&gt;J77)*(I$3:I$94="P"))+1,IF(M77="P",SUMPRODUCT((O$3:O$94&lt;&gt;"")*(P$3:P$94="")*(G$3:G$94=G77)*(I$3:I$94="P"))+SUMPRODUCT((P$3:P$94&lt;&gt;"")*(G$3:G$94=G77)*(I$3:I$94="P"))+SUMPRODUCT((N$3:N$94&lt;&gt;"")*(G$3:G$94=G77)*(I$3:I$94="P"))+SUMPRODUCT((P$3:P$94="")*(O$3:O$94="")*(N$3:N$94="")*(M$3:M$94="P")*(G$3:G$94=G77)*(J$3:J$94&gt;J77)*(I$3:I$94="P"))+IF(H77="L5",SUMPRODUCT((P$3:P$94="")*(O$3:O$94="")*(N$3:N$94="")*(M$3:M$94="P")*(G$3:G$94=G77)*(J$3:J$94&lt;J77)*(H$3:H$94&lt;&gt;H77)*(I$3:I$94="P")),-1*SUMPRODUCT((P$3:P$94="")*(O$3:O$94="")*(N$3:N$94="")*(M$3:M$94="P")*(G$3:G$94=G77)*(J$3:J$94&gt;J77)*(H$3:H$94="L5")*(I$3:I$94="P")))+1,"")))))</f>
        <v/>
      </c>
      <c r="B77" s="1" t="str" cm="1">
        <f t="array" ref="B77">IF(P77&lt;&gt;"",SUMPRODUCT((P$3:P$94&lt;&gt;"")*(G$3:G$94=G77)*(J$3:J$94&gt;J77))+1,IF(O77&lt;&gt;"",SUMPRODUCT((O$3:O$94&lt;&gt;"")*(P$3:P$94="")*(G$3:G$94=G77)*(J$3:J$94&gt;J77))+SUMPRODUCT((P$3:P$94&lt;&gt;"")*(G$3:G$94=G77))+1,IF(N77&lt;&gt;"",SUMPRODUCT((N$3:N$94&lt;&gt;"")*(G$3:G$94=G77)*(J$3:J$94&gt;J77))+1,IF(M77="P",SUMPRODUCT((O$3:O$94&lt;&gt;"")*(P$3:P$94="")*(G$3:G$94=G77))+SUMPRODUCT((P$3:P$94&lt;&gt;"")*(G$3:G$94=G77))+SUMPRODUCT((N$3:N$94&lt;&gt;"")*(G$3:G$94=G77))+SUMPRODUCT((P$3:P$94="")*(O$3:O$94="")*(N$3:N$94="")*(M$3:M$94="P")*(G$3:G$94=G77)*(J$3:J$94&gt;J77))+IF(H77="L5",SUMPRODUCT((P$3:P$94="")*(O$3:O$94="")*(N$3:N$94="")*(M$3:M$94="P")*(G$3:G$94=G77)*(J$3:J$94&lt;J77)*(H$3:H$94&lt;&gt;H77)),-1*SUMPRODUCT((P$3:P$94="")*(O$3:O$94="")*(N$3:N$94="")*(M$3:M$94="P")*(G$3:G$94=G77)*(J$3:J$94&gt;J77)*(H$3:H$94="L5")))+1,""))))</f>
        <v/>
      </c>
      <c r="C77" s="35" t="s">
        <v>416</v>
      </c>
      <c r="D77" t="str">
        <f>IF(E77="","",VLOOKUP(E77,'Coaching Points'!A:B,2,0))</f>
        <v>AB</v>
      </c>
      <c r="E77" s="35" t="s">
        <v>39</v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R77+S77+IF(OR(H77="Junior",H77="Senior"),0.0002,IF(OR(H77="L7",H77="L6"),0.0001,0))+MAX(Z77,AC77)*0.0000001</f>
        <v>80.700004309999997</v>
      </c>
      <c r="K77" s="3" t="str">
        <f>IF(G77="Not Age Eligible","",IF(MAX(T77,W77,Z77,AC77)&gt;=LOOKUP(G77,'Qualifying Scores'!$A$4:$A$7,'Qualifying Scores'!$G$4:$G$7),"P",""))</f>
        <v/>
      </c>
      <c r="L77" s="3" t="str">
        <f>IF(G77="Not Age Eligible","",IF(MAX(U77,X77,AA77,AD77)&gt;=LOOKUP(G77,'Qualifying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Scores'!$G$10:$G$13)),AND(Z77&gt;=LOOKUP(G77,'Qualifying Scores'!$A$4:$A$7,'Qualifying Scores'!$G$4:$G$7),AA77&gt;=LOOKUP(G77,'Qualifying Scores'!$A$10:$A$13,'Qualifying Scores'!$G$10:$G$13)),AND(W77&gt;=LOOKUP(G77,'Qualifying Scores'!$A$4:$A$7,'Qualifying Scores'!$G$4:$G$7),X77&gt;=LOOKUP(G77,'Qualifying Scores'!$A$10:$A$13,'Qualifying Scores'!$G$10:$G$13)),AND(AC77&gt;=LOOKUP(G77,'Qualifying Scores'!$A$4:$A$7,'Qualifying Scores'!$G$4:$G$7),AD77&gt;=LOOKUP(G77,'Qualifying Scores'!$A$10:$A$13,'Qualifying Scores'!$G$10:$G$13))),"P",""))</f>
        <v/>
      </c>
      <c r="Q77" s="1" t="str">
        <f>IF(A77&lt;5,IF(_xlfn.MAXIFS(A:A,G:G,G77)&gt;3,5-A77,_xlfn.MAXIFS(A:A,G:G,G77)+1-A77),"")</f>
        <v/>
      </c>
      <c r="R77" s="4">
        <f>MAX(T77-IF(OR(H77="L6"),V77,0),W77-IF(OR(H77="L6"),Y77,0),Z77-IF(OR(H77="L6"),AB77,0),AC77-IF(OR(H77="L6"),AE77,0))</f>
        <v>43.1</v>
      </c>
      <c r="S77" s="4">
        <f>IF(R77=T77-IF(OR(H77="L6"),V77,0),MAX(W77-IF(OR(H77="L6"),Y77,0),Z77-IF(OR(H77="L6"),AB77,0),AC77-IF(OR(H77="L6"),AE77,0)),IF(R77=W77-IF(OR(H77="L6"),Y77,0),MAX(T77-IF(OR(H77="L6"),V77,0),Z77-IF(OR(H77="L6"),AB77,0),AC77-IF(OR(H77="L6"),AE77,0)),IF(R77=Z77-IF(OR(H77="L6"),AB77,0),MAX(T77-IF(OR(H77="L6"),V77,0),W77-IF(OR(H77="L6"),Y77,0),AC77-IF(OR(H77="L6"),AE77,0)),IF(R77=AC77-IF(OR(H77="L6"),AE77,0),MAX(T77-IF(OR(H77="L6"),V77,0),W77-IF(OR(H77="L6"),Y77,0),Z77-IF(OR(H77="L6"),AB77,0)),0))))</f>
        <v>37.6</v>
      </c>
      <c r="T77" s="32"/>
      <c r="U77" s="37"/>
      <c r="V77" s="37"/>
      <c r="W77" s="33"/>
      <c r="X77" s="37"/>
      <c r="Y77" s="37"/>
      <c r="Z77" s="32">
        <v>43.1</v>
      </c>
      <c r="AA77" s="37">
        <v>6</v>
      </c>
      <c r="AB77" s="37">
        <v>0</v>
      </c>
      <c r="AC77" s="33">
        <v>37.6</v>
      </c>
      <c r="AD77" s="37">
        <v>3.3000000000000003</v>
      </c>
      <c r="AE77" s="37">
        <v>0</v>
      </c>
    </row>
    <row r="78" spans="1:31" x14ac:dyDescent="0.2">
      <c r="A78" s="1" t="str" cm="1">
        <f t="array" ref="A78">IF(I78="","",IF(P78&lt;&gt;"",SUMPRODUCT((P$3:P$94&lt;&gt;"")*(G$3:G$94=G78)*(J$3:J$94&gt;J78)*(I$3:I$94="P"))+1,IF(O78&lt;&gt;"",SUMPRODUCT((O$3:O$94&lt;&gt;"")*(P$3:P$94="")*(G$3:G$94=G78)*(J$3:J$94&gt;J78)*(I$3:I$94="P"))+SUMPRODUCT((P$3:P$94&lt;&gt;"")*(G$3:G$94=G78)*(I$3:I$94="P"))+1,IF(N78&lt;&gt;"",SUMPRODUCT((N$3:N$94&lt;&gt;"")*(G$3:G$94=G78)*(J$3:J$94&gt;J78)*(I$3:I$94="P"))+1,IF(M78="P",SUMPRODUCT((O$3:O$94&lt;&gt;"")*(P$3:P$94="")*(G$3:G$94=G78)*(I$3:I$94="P"))+SUMPRODUCT((P$3:P$94&lt;&gt;"")*(G$3:G$94=G78)*(I$3:I$94="P"))+SUMPRODUCT((N$3:N$94&lt;&gt;"")*(G$3:G$94=G78)*(I$3:I$94="P"))+SUMPRODUCT((P$3:P$94="")*(O$3:O$94="")*(N$3:N$94="")*(M$3:M$94="P")*(G$3:G$94=G78)*(J$3:J$94&gt;J78)*(I$3:I$94="P"))+IF(H78="L5",SUMPRODUCT((P$3:P$94="")*(O$3:O$94="")*(N$3:N$94="")*(M$3:M$94="P")*(G$3:G$94=G78)*(J$3:J$94&lt;J78)*(H$3:H$94&lt;&gt;H78)*(I$3:I$94="P")),-1*SUMPRODUCT((P$3:P$94="")*(O$3:O$94="")*(N$3:N$94="")*(M$3:M$94="P")*(G$3:G$94=G78)*(J$3:J$94&gt;J78)*(H$3:H$94="L5")*(I$3:I$94="P")))+1,"")))))</f>
        <v/>
      </c>
      <c r="B78" s="1" t="str" cm="1">
        <f t="array" ref="B78">IF(P78&lt;&gt;"",SUMPRODUCT((P$3:P$94&lt;&gt;"")*(G$3:G$94=G78)*(J$3:J$94&gt;J78))+1,IF(O78&lt;&gt;"",SUMPRODUCT((O$3:O$94&lt;&gt;"")*(P$3:P$94="")*(G$3:G$94=G78)*(J$3:J$94&gt;J78))+SUMPRODUCT((P$3:P$94&lt;&gt;"")*(G$3:G$94=G78))+1,IF(N78&lt;&gt;"",SUMPRODUCT((N$3:N$94&lt;&gt;"")*(G$3:G$94=G78)*(J$3:J$94&gt;J78))+1,IF(M78="P",SUMPRODUCT((O$3:O$94&lt;&gt;"")*(P$3:P$94="")*(G$3:G$94=G78))+SUMPRODUCT((P$3:P$94&lt;&gt;"")*(G$3:G$94=G78))+SUMPRODUCT((N$3:N$94&lt;&gt;"")*(G$3:G$94=G78))+SUMPRODUCT((P$3:P$94="")*(O$3:O$94="")*(N$3:N$94="")*(M$3:M$94="P")*(G$3:G$94=G78)*(J$3:J$94&gt;J78))+IF(H78="L5",SUMPRODUCT((P$3:P$94="")*(O$3:O$94="")*(N$3:N$94="")*(M$3:M$94="P")*(G$3:G$94=G78)*(J$3:J$94&lt;J78)*(H$3:H$94&lt;&gt;H78)),-1*SUMPRODUCT((P$3:P$94="")*(O$3:O$94="")*(N$3:N$94="")*(M$3:M$94="P")*(G$3:G$94=G78)*(J$3:J$94&gt;J78)*(H$3:H$94="L5")))+1,""))))</f>
        <v/>
      </c>
      <c r="C78" s="35" t="s">
        <v>252</v>
      </c>
      <c r="D78" t="str">
        <f>IF(E78="","",VLOOKUP(E78,'Coaching Points'!A:B,2,0))</f>
        <v>QC</v>
      </c>
      <c r="E78" s="35" t="s">
        <v>75</v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>R78+S78+IF(OR(H78="Junior",H78="Senior"),0.0002,IF(OR(H78="L7",H78="L6"),0.0001,0))+MAX(Z78,AC78)*0.0000001</f>
        <v>41.800004179999995</v>
      </c>
      <c r="K78" s="3" t="str">
        <f>IF(G78="Not Age Eligible","",IF(MAX(T78,W78,Z78,AC78)&gt;=LOOKUP(G78,'Qualifying Scores'!$A$4:$A$7,'Qualifying Scores'!$G$4:$G$7),"P",""))</f>
        <v/>
      </c>
      <c r="L78" s="3" t="str">
        <f>IF(G78="Not Age Eligible","",IF(MAX(U78,X78,AA78,AD78)&gt;=LOOKUP(G78,'Qualifying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Scores'!$G$10:$G$13)),AND(Z78&gt;=LOOKUP(G78,'Qualifying Scores'!$A$4:$A$7,'Qualifying Scores'!$G$4:$G$7),AA78&gt;=LOOKUP(G78,'Qualifying Scores'!$A$10:$A$13,'Qualifying Scores'!$G$10:$G$13)),AND(W78&gt;=LOOKUP(G78,'Qualifying Scores'!$A$4:$A$7,'Qualifying Scores'!$G$4:$G$7),X78&gt;=LOOKUP(G78,'Qualifying Scores'!$A$10:$A$13,'Qualifying Scores'!$G$10:$G$13)),AND(AC78&gt;=LOOKUP(G78,'Qualifying Scores'!$A$4:$A$7,'Qualifying Scores'!$G$4:$G$7),AD78&gt;=LOOKUP(G78,'Qualifying Scores'!$A$10:$A$13,'Qualifying Scores'!$G$10:$G$13))),"P",""))</f>
        <v/>
      </c>
      <c r="Q78" s="1" t="str">
        <f>IF(A78&lt;5,IF(_xlfn.MAXIFS(A:A,G:G,G78)&gt;3,5-A78,_xlfn.MAXIFS(A:A,G:G,G78)+1-A78),"")</f>
        <v/>
      </c>
      <c r="R78" s="4">
        <f>MAX(T78-IF(OR(H78="L6"),V78,0),W78-IF(OR(H78="L6"),Y78,0),Z78-IF(OR(H78="L6"),AB78,0),AC78-IF(OR(H78="L6"),AE78,0))</f>
        <v>41.8</v>
      </c>
      <c r="S78" s="4">
        <f>IF(R78=T78-IF(OR(H78="L6"),V78,0),MAX(W78-IF(OR(H78="L6"),Y78,0),Z78-IF(OR(H78="L6"),AB78,0),AC78-IF(OR(H78="L6"),AE78,0)),IF(R78=W78-IF(OR(H78="L6"),Y78,0),MAX(T78-IF(OR(H78="L6"),V78,0),Z78-IF(OR(H78="L6"),AB78,0),AC78-IF(OR(H78="L6"),AE78,0)),IF(R78=Z78-IF(OR(H78="L6"),AB78,0),MAX(T78-IF(OR(H78="L6"),V78,0),W78-IF(OR(H78="L6"),Y78,0),AC78-IF(OR(H78="L6"),AE78,0)),IF(R78=AC78-IF(OR(H78="L6"),AE78,0),MAX(T78-IF(OR(H78="L6"),V78,0),W78-IF(OR(H78="L6"),Y78,0),Z78-IF(OR(H78="L6"),AB78,0)),0))))</f>
        <v>0</v>
      </c>
      <c r="T78" s="32"/>
      <c r="U78" s="37"/>
      <c r="V78" s="37"/>
      <c r="W78" s="33"/>
      <c r="X78" s="37"/>
      <c r="Y78" s="37"/>
      <c r="Z78" s="32">
        <v>41.8</v>
      </c>
      <c r="AA78" s="37">
        <v>5.0999999999999996</v>
      </c>
      <c r="AB78" s="37">
        <v>0</v>
      </c>
      <c r="AC78" s="33"/>
      <c r="AD78" s="37"/>
      <c r="AE78" s="37"/>
    </row>
    <row r="79" spans="1:31" x14ac:dyDescent="0.2">
      <c r="A79" s="1" t="str" cm="1">
        <f t="array" ref="A79">IF(I79="","",IF(P79&lt;&gt;"",SUMPRODUCT((P$3:P$94&lt;&gt;"")*(G$3:G$94=G79)*(J$3:J$94&gt;J79)*(I$3:I$94="P"))+1,IF(O79&lt;&gt;"",SUMPRODUCT((O$3:O$94&lt;&gt;"")*(P$3:P$94="")*(G$3:G$94=G79)*(J$3:J$94&gt;J79)*(I$3:I$94="P"))+SUMPRODUCT((P$3:P$94&lt;&gt;"")*(G$3:G$94=G79)*(I$3:I$94="P"))+1,IF(N79&lt;&gt;"",SUMPRODUCT((N$3:N$94&lt;&gt;"")*(G$3:G$94=G79)*(J$3:J$94&gt;J79)*(I$3:I$94="P"))+1,IF(M79="P",SUMPRODUCT((O$3:O$94&lt;&gt;"")*(P$3:P$94="")*(G$3:G$94=G79)*(I$3:I$94="P"))+SUMPRODUCT((P$3:P$94&lt;&gt;"")*(G$3:G$94=G79)*(I$3:I$94="P"))+SUMPRODUCT((N$3:N$94&lt;&gt;"")*(G$3:G$94=G79)*(I$3:I$94="P"))+SUMPRODUCT((P$3:P$94="")*(O$3:O$94="")*(N$3:N$94="")*(M$3:M$94="P")*(G$3:G$94=G79)*(J$3:J$94&gt;J79)*(I$3:I$94="P"))+IF(H79="L5",SUMPRODUCT((P$3:P$94="")*(O$3:O$94="")*(N$3:N$94="")*(M$3:M$94="P")*(G$3:G$94=G79)*(J$3:J$94&lt;J79)*(H$3:H$94&lt;&gt;H79)*(I$3:I$94="P")),-1*SUMPRODUCT((P$3:P$94="")*(O$3:O$94="")*(N$3:N$94="")*(M$3:M$94="P")*(G$3:G$94=G79)*(J$3:J$94&gt;J79)*(H$3:H$94="L5")*(I$3:I$94="P")))+1,"")))))</f>
        <v/>
      </c>
      <c r="B79" s="1" t="str" cm="1">
        <f t="array" ref="B79">IF(P79&lt;&gt;"",SUMPRODUCT((P$3:P$94&lt;&gt;"")*(G$3:G$94=G79)*(J$3:J$94&gt;J79))+1,IF(O79&lt;&gt;"",SUMPRODUCT((O$3:O$94&lt;&gt;"")*(P$3:P$94="")*(G$3:G$94=G79)*(J$3:J$94&gt;J79))+SUMPRODUCT((P$3:P$94&lt;&gt;"")*(G$3:G$94=G79))+1,IF(N79&lt;&gt;"",SUMPRODUCT((N$3:N$94&lt;&gt;"")*(G$3:G$94=G79)*(J$3:J$94&gt;J79))+1,IF(M79="P",SUMPRODUCT((O$3:O$94&lt;&gt;"")*(P$3:P$94="")*(G$3:G$94=G79))+SUMPRODUCT((P$3:P$94&lt;&gt;"")*(G$3:G$94=G79))+SUMPRODUCT((N$3:N$94&lt;&gt;"")*(G$3:G$94=G79))+SUMPRODUCT((P$3:P$94="")*(O$3:O$94="")*(N$3:N$94="")*(M$3:M$94="P")*(G$3:G$94=G79)*(J$3:J$94&gt;J79))+IF(H79="L5",SUMPRODUCT((P$3:P$94="")*(O$3:O$94="")*(N$3:N$94="")*(M$3:M$94="P")*(G$3:G$94=G79)*(J$3:J$94&lt;J79)*(H$3:H$94&lt;&gt;H79)),-1*SUMPRODUCT((P$3:P$94="")*(O$3:O$94="")*(N$3:N$94="")*(M$3:M$94="P")*(G$3:G$94=G79)*(J$3:J$94&gt;J79)*(H$3:H$94="L5")))+1,""))))</f>
        <v/>
      </c>
      <c r="C79" s="35" t="s">
        <v>494</v>
      </c>
      <c r="D79" t="str">
        <f>IF(E79="","",VLOOKUP(E79,'Coaching Points'!A:B,2,0))</f>
        <v>AB</v>
      </c>
      <c r="E79" s="35" t="s">
        <v>61</v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>R79+S79+IF(OR(H79="Junior",H79="Senior"),0.0002,IF(OR(H79="L7",H79="L6"),0.0001,0))+MAX(Z79,AC79)*0.0000001</f>
        <v>41.70000417</v>
      </c>
      <c r="K79" s="3" t="str">
        <f>IF(G79="Not Age Eligible","",IF(MAX(T79,W79,Z79,AC79)&gt;=LOOKUP(G79,'Qualifying Scores'!$A$4:$A$7,'Qualifying Scores'!$G$4:$G$7),"P",""))</f>
        <v/>
      </c>
      <c r="L79" s="3" t="str">
        <f>IF(G79="Not Age Eligible","",IF(MAX(U79,X79,AA79,AD79)&gt;=LOOKUP(G79,'Qualifying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Scores'!$G$10:$G$13)),AND(Z79&gt;=LOOKUP(G79,'Qualifying Scores'!$A$4:$A$7,'Qualifying Scores'!$G$4:$G$7),AA79&gt;=LOOKUP(G79,'Qualifying Scores'!$A$10:$A$13,'Qualifying Scores'!$G$10:$G$13)),AND(W79&gt;=LOOKUP(G79,'Qualifying Scores'!$A$4:$A$7,'Qualifying Scores'!$G$4:$G$7),X79&gt;=LOOKUP(G79,'Qualifying Scores'!$A$10:$A$13,'Qualifying Scores'!$G$10:$G$13)),AND(AC79&gt;=LOOKUP(G79,'Qualifying Scores'!$A$4:$A$7,'Qualifying Scores'!$G$4:$G$7),AD79&gt;=LOOKUP(G79,'Qualifying Scores'!$A$10:$A$13,'Qualifying Scores'!$G$10:$G$13))),"P",""))</f>
        <v/>
      </c>
      <c r="Q79" s="1" t="str">
        <f>IF(A79&lt;5,IF(_xlfn.MAXIFS(A:A,G:G,G79)&gt;3,5-A79,_xlfn.MAXIFS(A:A,G:G,G79)+1-A79),"")</f>
        <v/>
      </c>
      <c r="R79" s="4">
        <f>MAX(T79-IF(OR(H79="L6"),V79,0),W79-IF(OR(H79="L6"),Y79,0),Z79-IF(OR(H79="L6"),AB79,0),AC79-IF(OR(H79="L6"),AE79,0))</f>
        <v>41.7</v>
      </c>
      <c r="S79" s="4">
        <f>IF(R79=T79-IF(OR(H79="L6"),V79,0),MAX(W79-IF(OR(H79="L6"),Y79,0),Z79-IF(OR(H79="L6"),AB79,0),AC79-IF(OR(H79="L6"),AE79,0)),IF(R79=W79-IF(OR(H79="L6"),Y79,0),MAX(T79-IF(OR(H79="L6"),V79,0),Z79-IF(OR(H79="L6"),AB79,0),AC79-IF(OR(H79="L6"),AE79,0)),IF(R79=Z79-IF(OR(H79="L6"),AB79,0),MAX(T79-IF(OR(H79="L6"),V79,0),W79-IF(OR(H79="L6"),Y79,0),AC79-IF(OR(H79="L6"),AE79,0)),IF(R79=AC79-IF(OR(H79="L6"),AE79,0),MAX(T79-IF(OR(H79="L6"),V79,0),W79-IF(OR(H79="L6"),Y79,0),Z79-IF(OR(H79="L6"),AB79,0)),0))))</f>
        <v>0</v>
      </c>
      <c r="T79" s="32"/>
      <c r="U79" s="37"/>
      <c r="V79" s="37"/>
      <c r="W79" s="33"/>
      <c r="X79" s="37"/>
      <c r="Y79" s="37"/>
      <c r="Z79" s="32">
        <v>41.7</v>
      </c>
      <c r="AA79" s="37">
        <v>5.8000000000000007</v>
      </c>
      <c r="AB79" s="37">
        <v>0</v>
      </c>
      <c r="AC79" s="33"/>
      <c r="AD79" s="37"/>
      <c r="AE79" s="37"/>
    </row>
    <row r="80" spans="1:31" x14ac:dyDescent="0.2">
      <c r="A80" s="1" t="str" cm="1">
        <f t="array" ref="A80">IF(I80="","",IF(P80&lt;&gt;"",SUMPRODUCT((P$3:P$94&lt;&gt;"")*(G$3:G$94=G80)*(J$3:J$94&gt;J80)*(I$3:I$94="P"))+1,IF(O80&lt;&gt;"",SUMPRODUCT((O$3:O$94&lt;&gt;"")*(P$3:P$94="")*(G$3:G$94=G80)*(J$3:J$94&gt;J80)*(I$3:I$94="P"))+SUMPRODUCT((P$3:P$94&lt;&gt;"")*(G$3:G$94=G80)*(I$3:I$94="P"))+1,IF(N80&lt;&gt;"",SUMPRODUCT((N$3:N$94&lt;&gt;"")*(G$3:G$94=G80)*(J$3:J$94&gt;J80)*(I$3:I$94="P"))+1,IF(M80="P",SUMPRODUCT((O$3:O$94&lt;&gt;"")*(P$3:P$94="")*(G$3:G$94=G80)*(I$3:I$94="P"))+SUMPRODUCT((P$3:P$94&lt;&gt;"")*(G$3:G$94=G80)*(I$3:I$94="P"))+SUMPRODUCT((N$3:N$94&lt;&gt;"")*(G$3:G$94=G80)*(I$3:I$94="P"))+SUMPRODUCT((P$3:P$94="")*(O$3:O$94="")*(N$3:N$94="")*(M$3:M$94="P")*(G$3:G$94=G80)*(J$3:J$94&gt;J80)*(I$3:I$94="P"))+IF(H80="L5",SUMPRODUCT((P$3:P$94="")*(O$3:O$94="")*(N$3:N$94="")*(M$3:M$94="P")*(G$3:G$94=G80)*(J$3:J$94&lt;J80)*(H$3:H$94&lt;&gt;H80)*(I$3:I$94="P")),-1*SUMPRODUCT((P$3:P$94="")*(O$3:O$94="")*(N$3:N$94="")*(M$3:M$94="P")*(G$3:G$94=G80)*(J$3:J$94&gt;J80)*(H$3:H$94="L5")*(I$3:I$94="P")))+1,"")))))</f>
        <v/>
      </c>
      <c r="B80" s="1" t="str" cm="1">
        <f t="array" ref="B80">IF(P80&lt;&gt;"",SUMPRODUCT((P$3:P$94&lt;&gt;"")*(G$3:G$94=G80)*(J$3:J$94&gt;J80))+1,IF(O80&lt;&gt;"",SUMPRODUCT((O$3:O$94&lt;&gt;"")*(P$3:P$94="")*(G$3:G$94=G80)*(J$3:J$94&gt;J80))+SUMPRODUCT((P$3:P$94&lt;&gt;"")*(G$3:G$94=G80))+1,IF(N80&lt;&gt;"",SUMPRODUCT((N$3:N$94&lt;&gt;"")*(G$3:G$94=G80)*(J$3:J$94&gt;J80))+1,IF(M80="P",SUMPRODUCT((O$3:O$94&lt;&gt;"")*(P$3:P$94="")*(G$3:G$94=G80))+SUMPRODUCT((P$3:P$94&lt;&gt;"")*(G$3:G$94=G80))+SUMPRODUCT((N$3:N$94&lt;&gt;"")*(G$3:G$94=G80))+SUMPRODUCT((P$3:P$94="")*(O$3:O$94="")*(N$3:N$94="")*(M$3:M$94="P")*(G$3:G$94=G80)*(J$3:J$94&gt;J80))+IF(H80="L5",SUMPRODUCT((P$3:P$94="")*(O$3:O$94="")*(N$3:N$94="")*(M$3:M$94="P")*(G$3:G$94=G80)*(J$3:J$94&lt;J80)*(H$3:H$94&lt;&gt;H80)),-1*SUMPRODUCT((P$3:P$94="")*(O$3:O$94="")*(N$3:N$94="")*(M$3:M$94="P")*(G$3:G$94=G80)*(J$3:J$94&gt;J80)*(H$3:H$94="L5")))+1,""))))</f>
        <v/>
      </c>
      <c r="C80" s="35" t="s">
        <v>495</v>
      </c>
      <c r="D80" t="str">
        <f>IF(E80="","",VLOOKUP(E80,'Coaching Points'!A:B,2,0))</f>
        <v>AB</v>
      </c>
      <c r="E80" s="35" t="s">
        <v>56</v>
      </c>
      <c r="F80" s="34">
        <v>2009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>R80+S80+IF(OR(H80="Junior",H80="Senior"),0.0002,IF(OR(H80="L7",H80="L6"),0.0001,0))+MAX(Z80,AC80)*0.0000001</f>
        <v>41.600004160000005</v>
      </c>
      <c r="K80" s="3" t="str">
        <f>IF(G80="Not Age Eligible","",IF(MAX(T80,W80,Z80,AC80)&gt;=LOOKUP(G80,'Qualifying Scores'!$A$4:$A$7,'Qualifying Scores'!$G$4:$G$7),"P",""))</f>
        <v/>
      </c>
      <c r="L80" s="3" t="str">
        <f>IF(G80="Not Age Eligible","",IF(MAX(U80,X80,AA80,AD80)&gt;=LOOKUP(G80,'Qualifying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Scores'!$G$10:$G$13)),AND(Z80&gt;=LOOKUP(G80,'Qualifying Scores'!$A$4:$A$7,'Qualifying Scores'!$G$4:$G$7),AA80&gt;=LOOKUP(G80,'Qualifying Scores'!$A$10:$A$13,'Qualifying Scores'!$G$10:$G$13)),AND(W80&gt;=LOOKUP(G80,'Qualifying Scores'!$A$4:$A$7,'Qualifying Scores'!$G$4:$G$7),X80&gt;=LOOKUP(G80,'Qualifying Scores'!$A$10:$A$13,'Qualifying Scores'!$G$10:$G$13)),AND(AC80&gt;=LOOKUP(G80,'Qualifying Scores'!$A$4:$A$7,'Qualifying Scores'!$G$4:$G$7),AD80&gt;=LOOKUP(G80,'Qualifying Scores'!$A$10:$A$13,'Qualifying Scores'!$G$10:$G$13))),"P",""))</f>
        <v/>
      </c>
      <c r="Q80" s="1" t="str">
        <f>IF(A80&lt;5,IF(_xlfn.MAXIFS(A:A,G:G,G80)&gt;3,5-A80,_xlfn.MAXIFS(A:A,G:G,G80)+1-A80),"")</f>
        <v/>
      </c>
      <c r="R80" s="4">
        <f>MAX(T80-IF(OR(H80="L6"),V80,0),W80-IF(OR(H80="L6"),Y80,0),Z80-IF(OR(H80="L6"),AB80,0),AC80-IF(OR(H80="L6"),AE80,0))</f>
        <v>41.6</v>
      </c>
      <c r="S80" s="4">
        <f>IF(R80=T80-IF(OR(H80="L6"),V80,0),MAX(W80-IF(OR(H80="L6"),Y80,0),Z80-IF(OR(H80="L6"),AB80,0),AC80-IF(OR(H80="L6"),AE80,0)),IF(R80=W80-IF(OR(H80="L6"),Y80,0),MAX(T80-IF(OR(H80="L6"),V80,0),Z80-IF(OR(H80="L6"),AB80,0),AC80-IF(OR(H80="L6"),AE80,0)),IF(R80=Z80-IF(OR(H80="L6"),AB80,0),MAX(T80-IF(OR(H80="L6"),V80,0),W80-IF(OR(H80="L6"),Y80,0),AC80-IF(OR(H80="L6"),AE80,0)),IF(R80=AC80-IF(OR(H80="L6"),AE80,0),MAX(T80-IF(OR(H80="L6"),V80,0),W80-IF(OR(H80="L6"),Y80,0),Z80-IF(OR(H80="L6"),AB80,0)),0))))</f>
        <v>0</v>
      </c>
      <c r="T80" s="32"/>
      <c r="U80" s="37"/>
      <c r="V80" s="37"/>
      <c r="W80" s="33"/>
      <c r="X80" s="37"/>
      <c r="Y80" s="37"/>
      <c r="Z80" s="32">
        <v>41.6</v>
      </c>
      <c r="AA80" s="37">
        <v>5.4</v>
      </c>
      <c r="AB80" s="37">
        <v>0</v>
      </c>
      <c r="AC80" s="33"/>
      <c r="AD80" s="37"/>
      <c r="AE80" s="37"/>
    </row>
    <row r="81" spans="1:31" x14ac:dyDescent="0.2">
      <c r="A81" s="1" t="str" cm="1">
        <f t="array" ref="A81">IF(I81="","",IF(P81&lt;&gt;"",SUMPRODUCT((P$3:P$94&lt;&gt;"")*(G$3:G$94=G81)*(J$3:J$94&gt;J81)*(I$3:I$94="P"))+1,IF(O81&lt;&gt;"",SUMPRODUCT((O$3:O$94&lt;&gt;"")*(P$3:P$94="")*(G$3:G$94=G81)*(J$3:J$94&gt;J81)*(I$3:I$94="P"))+SUMPRODUCT((P$3:P$94&lt;&gt;"")*(G$3:G$94=G81)*(I$3:I$94="P"))+1,IF(N81&lt;&gt;"",SUMPRODUCT((N$3:N$94&lt;&gt;"")*(G$3:G$94=G81)*(J$3:J$94&gt;J81)*(I$3:I$94="P"))+1,IF(M81="P",SUMPRODUCT((O$3:O$94&lt;&gt;"")*(P$3:P$94="")*(G$3:G$94=G81)*(I$3:I$94="P"))+SUMPRODUCT((P$3:P$94&lt;&gt;"")*(G$3:G$94=G81)*(I$3:I$94="P"))+SUMPRODUCT((N$3:N$94&lt;&gt;"")*(G$3:G$94=G81)*(I$3:I$94="P"))+SUMPRODUCT((P$3:P$94="")*(O$3:O$94="")*(N$3:N$94="")*(M$3:M$94="P")*(G$3:G$94=G81)*(J$3:J$94&gt;J81)*(I$3:I$94="P"))+IF(H81="L5",SUMPRODUCT((P$3:P$94="")*(O$3:O$94="")*(N$3:N$94="")*(M$3:M$94="P")*(G$3:G$94=G81)*(J$3:J$94&lt;J81)*(H$3:H$94&lt;&gt;H81)*(I$3:I$94="P")),-1*SUMPRODUCT((P$3:P$94="")*(O$3:O$94="")*(N$3:N$94="")*(M$3:M$94="P")*(G$3:G$94=G81)*(J$3:J$94&gt;J81)*(H$3:H$94="L5")*(I$3:I$94="P")))+1,"")))))</f>
        <v/>
      </c>
      <c r="B81" s="1" t="str" cm="1">
        <f t="array" ref="B81">IF(P81&lt;&gt;"",SUMPRODUCT((P$3:P$94&lt;&gt;"")*(G$3:G$94=G81)*(J$3:J$94&gt;J81))+1,IF(O81&lt;&gt;"",SUMPRODUCT((O$3:O$94&lt;&gt;"")*(P$3:P$94="")*(G$3:G$94=G81)*(J$3:J$94&gt;J81))+SUMPRODUCT((P$3:P$94&lt;&gt;"")*(G$3:G$94=G81))+1,IF(N81&lt;&gt;"",SUMPRODUCT((N$3:N$94&lt;&gt;"")*(G$3:G$94=G81)*(J$3:J$94&gt;J81))+1,IF(M81="P",SUMPRODUCT((O$3:O$94&lt;&gt;"")*(P$3:P$94="")*(G$3:G$94=G81))+SUMPRODUCT((P$3:P$94&lt;&gt;"")*(G$3:G$94=G81))+SUMPRODUCT((N$3:N$94&lt;&gt;"")*(G$3:G$94=G81))+SUMPRODUCT((P$3:P$94="")*(O$3:O$94="")*(N$3:N$94="")*(M$3:M$94="P")*(G$3:G$94=G81)*(J$3:J$94&gt;J81))+IF(H81="L5",SUMPRODUCT((P$3:P$94="")*(O$3:O$94="")*(N$3:N$94="")*(M$3:M$94="P")*(G$3:G$94=G81)*(J$3:J$94&lt;J81)*(H$3:H$94&lt;&gt;H81)),-1*SUMPRODUCT((P$3:P$94="")*(O$3:O$94="")*(N$3:N$94="")*(M$3:M$94="P")*(G$3:G$94=G81)*(J$3:J$94&gt;J81)*(H$3:H$94="L5")))+1,""))))</f>
        <v/>
      </c>
      <c r="C81" s="35" t="s">
        <v>496</v>
      </c>
      <c r="D81" t="str">
        <f>IF(E81="","",VLOOKUP(E81,'Coaching Points'!A:B,2,0))</f>
        <v>BC</v>
      </c>
      <c r="E81" s="35" t="s">
        <v>60</v>
      </c>
      <c r="F81" s="34">
        <v>2010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214</v>
      </c>
      <c r="I81" s="40"/>
      <c r="J81" s="4">
        <f>R81+S81+IF(OR(H81="Junior",H81="Senior"),0.0002,IF(OR(H81="L7",H81="L6"),0.0001,0))+MAX(Z81,AC81)*0.0000001</f>
        <v>37.200003720000005</v>
      </c>
      <c r="K81" s="3" t="str">
        <f>IF(G81="Not Age Eligible","",IF(MAX(T81,W81,Z81,AC81)&gt;=LOOKUP(G81,'Qualifying Scores'!$A$4:$A$7,'Qualifying Scores'!$G$4:$G$7),"P",""))</f>
        <v/>
      </c>
      <c r="L81" s="3" t="str">
        <f>IF(G81="Not Age Eligible","",IF(MAX(U81,X81,AA81,AD81)&gt;=LOOKUP(G81,'Qualifying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Scores'!$G$10:$G$13)),AND(Z81&gt;=LOOKUP(G81,'Qualifying Scores'!$A$4:$A$7,'Qualifying Scores'!$G$4:$G$7),AA81&gt;=LOOKUP(G81,'Qualifying Scores'!$A$10:$A$13,'Qualifying Scores'!$G$10:$G$13)),AND(W81&gt;=LOOKUP(G81,'Qualifying Scores'!$A$4:$A$7,'Qualifying Scores'!$G$4:$G$7),X81&gt;=LOOKUP(G81,'Qualifying Scores'!$A$10:$A$13,'Qualifying Scores'!$G$10:$G$13)),AND(AC81&gt;=LOOKUP(G81,'Qualifying Scores'!$A$4:$A$7,'Qualifying Scores'!$G$4:$G$7),AD81&gt;=LOOKUP(G81,'Qualifying Scores'!$A$10:$A$13,'Qualifying Scores'!$G$10:$G$13))),"P",""))</f>
        <v/>
      </c>
      <c r="Q81" s="1" t="str">
        <f>IF(A81&lt;5,IF(_xlfn.MAXIFS(A:A,G:G,G81)&gt;3,5-A81,_xlfn.MAXIFS(A:A,G:G,G81)+1-A81),"")</f>
        <v/>
      </c>
      <c r="R81" s="4">
        <f>MAX(T81-IF(OR(H81="L6"),V81,0),W81-IF(OR(H81="L6"),Y81,0),Z81-IF(OR(H81="L6"),AB81,0),AC81-IF(OR(H81="L6"),AE81,0))</f>
        <v>37.200000000000003</v>
      </c>
      <c r="S81" s="4">
        <f>IF(R81=T81-IF(OR(H81="L6"),V81,0),MAX(W81-IF(OR(H81="L6"),Y81,0),Z81-IF(OR(H81="L6"),AB81,0),AC81-IF(OR(H81="L6"),AE81,0)),IF(R81=W81-IF(OR(H81="L6"),Y81,0),MAX(T81-IF(OR(H81="L6"),V81,0),Z81-IF(OR(H81="L6"),AB81,0),AC81-IF(OR(H81="L6"),AE81,0)),IF(R81=Z81-IF(OR(H81="L6"),AB81,0),MAX(T81-IF(OR(H81="L6"),V81,0),W81-IF(OR(H81="L6"),Y81,0),AC81-IF(OR(H81="L6"),AE81,0)),IF(R81=AC81-IF(OR(H81="L6"),AE81,0),MAX(T81-IF(OR(H81="L6"),V81,0),W81-IF(OR(H81="L6"),Y81,0),Z81-IF(OR(H81="L6"),AB81,0)),0))))</f>
        <v>0</v>
      </c>
      <c r="T81" s="32"/>
      <c r="U81" s="37"/>
      <c r="V81" s="37"/>
      <c r="W81" s="33"/>
      <c r="X81" s="37"/>
      <c r="Y81" s="37"/>
      <c r="Z81" s="32">
        <v>37.200000000000003</v>
      </c>
      <c r="AA81" s="37">
        <v>3.5999999999999996</v>
      </c>
      <c r="AB81" s="37">
        <v>0</v>
      </c>
      <c r="AC81" s="33"/>
      <c r="AD81" s="37"/>
      <c r="AE81" s="37"/>
    </row>
    <row r="82" spans="1:31" x14ac:dyDescent="0.2">
      <c r="A82" s="1" t="str" cm="1">
        <f t="array" ref="A82">IF(I82="","",IF(P82&lt;&gt;"",SUMPRODUCT((P$3:P$94&lt;&gt;"")*(G$3:G$94=G82)*(J$3:J$94&gt;J82)*(I$3:I$94="P"))+1,IF(O82&lt;&gt;"",SUMPRODUCT((O$3:O$94&lt;&gt;"")*(P$3:P$94="")*(G$3:G$94=G82)*(J$3:J$94&gt;J82)*(I$3:I$94="P"))+SUMPRODUCT((P$3:P$94&lt;&gt;"")*(G$3:G$94=G82)*(I$3:I$94="P"))+1,IF(N82&lt;&gt;"",SUMPRODUCT((N$3:N$94&lt;&gt;"")*(G$3:G$94=G82)*(J$3:J$94&gt;J82)*(I$3:I$94="P"))+1,IF(M82="P",SUMPRODUCT((O$3:O$94&lt;&gt;"")*(P$3:P$94="")*(G$3:G$94=G82)*(I$3:I$94="P"))+SUMPRODUCT((P$3:P$94&lt;&gt;"")*(G$3:G$94=G82)*(I$3:I$94="P"))+SUMPRODUCT((N$3:N$94&lt;&gt;"")*(G$3:G$94=G82)*(I$3:I$94="P"))+SUMPRODUCT((P$3:P$94="")*(O$3:O$94="")*(N$3:N$94="")*(M$3:M$94="P")*(G$3:G$94=G82)*(J$3:J$94&gt;J82)*(I$3:I$94="P"))+IF(H82="L5",SUMPRODUCT((P$3:P$94="")*(O$3:O$94="")*(N$3:N$94="")*(M$3:M$94="P")*(G$3:G$94=G82)*(J$3:J$94&lt;J82)*(H$3:H$94&lt;&gt;H82)*(I$3:I$94="P")),-1*SUMPRODUCT((P$3:P$94="")*(O$3:O$94="")*(N$3:N$94="")*(M$3:M$94="P")*(G$3:G$94=G82)*(J$3:J$94&gt;J82)*(H$3:H$94="L5")*(I$3:I$94="P")))+1,"")))))</f>
        <v/>
      </c>
      <c r="B82" s="1" t="str" cm="1">
        <f t="array" ref="B82">IF(P82&lt;&gt;"",SUMPRODUCT((P$3:P$94&lt;&gt;"")*(G$3:G$94=G82)*(J$3:J$94&gt;J82))+1,IF(O82&lt;&gt;"",SUMPRODUCT((O$3:O$94&lt;&gt;"")*(P$3:P$94="")*(G$3:G$94=G82)*(J$3:J$94&gt;J82))+SUMPRODUCT((P$3:P$94&lt;&gt;"")*(G$3:G$94=G82))+1,IF(N82&lt;&gt;"",SUMPRODUCT((N$3:N$94&lt;&gt;"")*(G$3:G$94=G82)*(J$3:J$94&gt;J82))+1,IF(M82="P",SUMPRODUCT((O$3:O$94&lt;&gt;"")*(P$3:P$94="")*(G$3:G$94=G82))+SUMPRODUCT((P$3:P$94&lt;&gt;"")*(G$3:G$94=G82))+SUMPRODUCT((N$3:N$94&lt;&gt;"")*(G$3:G$94=G82))+SUMPRODUCT((P$3:P$94="")*(O$3:O$94="")*(N$3:N$94="")*(M$3:M$94="P")*(G$3:G$94=G82)*(J$3:J$94&gt;J82))+IF(H82="L5",SUMPRODUCT((P$3:P$94="")*(O$3:O$94="")*(N$3:N$94="")*(M$3:M$94="P")*(G$3:G$94=G82)*(J$3:J$94&lt;J82)*(H$3:H$94&lt;&gt;H82)),-1*SUMPRODUCT((P$3:P$94="")*(O$3:O$94="")*(N$3:N$94="")*(M$3:M$94="P")*(G$3:G$94=G82)*(J$3:J$94&gt;J82)*(H$3:H$94="L5")))+1,""))))</f>
        <v/>
      </c>
      <c r="C82" s="35" t="s">
        <v>243</v>
      </c>
      <c r="D82" t="str">
        <f>IF(E82="","",VLOOKUP(E82,'Coaching Points'!A:B,2,0))</f>
        <v>AB</v>
      </c>
      <c r="E82" s="35" t="s">
        <v>56</v>
      </c>
      <c r="F82" s="34">
        <v>2012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R82+S82+IF(OR(H82="Junior",H82="Senior"),0.0002,IF(OR(H82="L7",H82="L6"),0.0001,0))+MAX(Z82,AC82)*0.0000001</f>
        <v>88.200004419999999</v>
      </c>
      <c r="K82" s="3" t="str">
        <f>IF(G82="Not Age Eligible","",IF(MAX(T82,W82,Z82,AC82)&gt;=LOOKUP(G82,'Qualifying Scores'!$A$4:$A$7,'Qualifying Scores'!$G$4:$G$7),"P",""))</f>
        <v/>
      </c>
      <c r="L82" s="3" t="str">
        <f>IF(G82="Not Age Eligible","",IF(MAX(U82,X82,AA82,AD82)&gt;=LOOKUP(G82,'Qualifying Scores'!$A$10:$A$13,'Qualifying Scores'!$G$10:$G$13),"P",""))</f>
        <v>P</v>
      </c>
      <c r="M82" s="3" t="str">
        <f>IF(G82="Not Age Eligible","",IF(OR(AND(T82&gt;=LOOKUP(G82,'Qualifying Scores'!$A$4:$A$7,'Qualifying Scores'!$G$4:$G$7),U82&gt;=LOOKUP(G82,'Qualifying Scores'!$A$10:$A$13,'Qualifying Scores'!$G$10:$G$13)),AND(Z82&gt;=LOOKUP(G82,'Qualifying Scores'!$A$4:$A$7,'Qualifying Scores'!$G$4:$G$7),AA82&gt;=LOOKUP(G82,'Qualifying Scores'!$A$10:$A$13,'Qualifying Scores'!$G$10:$G$13)),AND(W82&gt;=LOOKUP(G82,'Qualifying Scores'!$A$4:$A$7,'Qualifying Scores'!$G$4:$G$7),X82&gt;=LOOKUP(G82,'Qualifying Scores'!$A$10:$A$13,'Qualifying Scores'!$G$10:$G$13)),AND(AC82&gt;=LOOKUP(G82,'Qualifying Scores'!$A$4:$A$7,'Qualifying Scores'!$G$4:$G$7),AD82&gt;=LOOKUP(G82,'Qualifying Scores'!$A$10:$A$13,'Qualifying Scores'!$G$10:$G$13))),"P",""))</f>
        <v/>
      </c>
      <c r="Q82" s="1" t="str">
        <f>IF(A82&lt;5,IF(_xlfn.MAXIFS(A:A,G:G,G82)&gt;3,5-A82,_xlfn.MAXIFS(A:A,G:G,G82)+1-A82),"")</f>
        <v/>
      </c>
      <c r="R82" s="4">
        <f>MAX(T82-IF(OR(H82="L6"),V82,0),W82-IF(OR(H82="L6"),Y82,0),Z82-IF(OR(H82="L6"),AB82,0),AC82-IF(OR(H82="L6"),AE82,0))</f>
        <v>44.2</v>
      </c>
      <c r="S82" s="4">
        <f>IF(R82=T82-IF(OR(H82="L6"),V82,0),MAX(W82-IF(OR(H82="L6"),Y82,0),Z82-IF(OR(H82="L6"),AB82,0),AC82-IF(OR(H82="L6"),AE82,0)),IF(R82=W82-IF(OR(H82="L6"),Y82,0),MAX(T82-IF(OR(H82="L6"),V82,0),Z82-IF(OR(H82="L6"),AB82,0),AC82-IF(OR(H82="L6"),AE82,0)),IF(R82=Z82-IF(OR(H82="L6"),AB82,0),MAX(T82-IF(OR(H82="L6"),V82,0),W82-IF(OR(H82="L6"),Y82,0),AC82-IF(OR(H82="L6"),AE82,0)),IF(R82=AC82-IF(OR(H82="L6"),AE82,0),MAX(T82-IF(OR(H82="L6"),V82,0),W82-IF(OR(H82="L6"),Y82,0),Z82-IF(OR(H82="L6"),AB82,0)),0))))</f>
        <v>44</v>
      </c>
      <c r="T82" s="32">
        <v>42.8</v>
      </c>
      <c r="U82" s="37">
        <v>6</v>
      </c>
      <c r="V82" s="37">
        <v>0</v>
      </c>
      <c r="W82" s="33">
        <v>37.200000000000003</v>
      </c>
      <c r="X82" s="37">
        <v>4</v>
      </c>
      <c r="Y82" s="37">
        <v>0</v>
      </c>
      <c r="Z82" s="32">
        <v>44</v>
      </c>
      <c r="AA82" s="37">
        <v>6.8</v>
      </c>
      <c r="AB82" s="37">
        <v>0</v>
      </c>
      <c r="AC82" s="33">
        <v>44.2</v>
      </c>
      <c r="AD82" s="37">
        <v>7.7</v>
      </c>
      <c r="AE82" s="37">
        <v>0</v>
      </c>
    </row>
    <row r="83" spans="1:31" x14ac:dyDescent="0.2">
      <c r="A83" s="1" t="str" cm="1">
        <f t="array" ref="A83">IF(I83="","",IF(P83&lt;&gt;"",SUMPRODUCT((P$3:P$94&lt;&gt;"")*(G$3:G$94=G83)*(J$3:J$94&gt;J83)*(I$3:I$94="P"))+1,IF(O83&lt;&gt;"",SUMPRODUCT((O$3:O$94&lt;&gt;"")*(P$3:P$94="")*(G$3:G$94=G83)*(J$3:J$94&gt;J83)*(I$3:I$94="P"))+SUMPRODUCT((P$3:P$94&lt;&gt;"")*(G$3:G$94=G83)*(I$3:I$94="P"))+1,IF(N83&lt;&gt;"",SUMPRODUCT((N$3:N$94&lt;&gt;"")*(G$3:G$94=G83)*(J$3:J$94&gt;J83)*(I$3:I$94="P"))+1,IF(M83="P",SUMPRODUCT((O$3:O$94&lt;&gt;"")*(P$3:P$94="")*(G$3:G$94=G83)*(I$3:I$94="P"))+SUMPRODUCT((P$3:P$94&lt;&gt;"")*(G$3:G$94=G83)*(I$3:I$94="P"))+SUMPRODUCT((N$3:N$94&lt;&gt;"")*(G$3:G$94=G83)*(I$3:I$94="P"))+SUMPRODUCT((P$3:P$94="")*(O$3:O$94="")*(N$3:N$94="")*(M$3:M$94="P")*(G$3:G$94=G83)*(J$3:J$94&gt;J83)*(I$3:I$94="P"))+IF(H83="L5",SUMPRODUCT((P$3:P$94="")*(O$3:O$94="")*(N$3:N$94="")*(M$3:M$94="P")*(G$3:G$94=G83)*(J$3:J$94&lt;J83)*(H$3:H$94&lt;&gt;H83)*(I$3:I$94="P")),-1*SUMPRODUCT((P$3:P$94="")*(O$3:O$94="")*(N$3:N$94="")*(M$3:M$94="P")*(G$3:G$94=G83)*(J$3:J$94&gt;J83)*(H$3:H$94="L5")*(I$3:I$94="P")))+1,"")))))</f>
        <v/>
      </c>
      <c r="B83" s="1" t="str" cm="1">
        <f t="array" ref="B83">IF(P83&lt;&gt;"",SUMPRODUCT((P$3:P$94&lt;&gt;"")*(G$3:G$94=G83)*(J$3:J$94&gt;J83))+1,IF(O83&lt;&gt;"",SUMPRODUCT((O$3:O$94&lt;&gt;"")*(P$3:P$94="")*(G$3:G$94=G83)*(J$3:J$94&gt;J83))+SUMPRODUCT((P$3:P$94&lt;&gt;"")*(G$3:G$94=G83))+1,IF(N83&lt;&gt;"",SUMPRODUCT((N$3:N$94&lt;&gt;"")*(G$3:G$94=G83)*(J$3:J$94&gt;J83))+1,IF(M83="P",SUMPRODUCT((O$3:O$94&lt;&gt;"")*(P$3:P$94="")*(G$3:G$94=G83))+SUMPRODUCT((P$3:P$94&lt;&gt;"")*(G$3:G$94=G83))+SUMPRODUCT((N$3:N$94&lt;&gt;"")*(G$3:G$94=G83))+SUMPRODUCT((P$3:P$94="")*(O$3:O$94="")*(N$3:N$94="")*(M$3:M$94="P")*(G$3:G$94=G83)*(J$3:J$94&gt;J83))+IF(H83="L5",SUMPRODUCT((P$3:P$94="")*(O$3:O$94="")*(N$3:N$94="")*(M$3:M$94="P")*(G$3:G$94=G83)*(J$3:J$94&lt;J83)*(H$3:H$94&lt;&gt;H83)),-1*SUMPRODUCT((P$3:P$94="")*(O$3:O$94="")*(N$3:N$94="")*(M$3:M$94="P")*(G$3:G$94=G83)*(J$3:J$94&gt;J83)*(H$3:H$94="L5")))+1,""))))</f>
        <v/>
      </c>
      <c r="C83" s="35" t="s">
        <v>346</v>
      </c>
      <c r="D83" t="str">
        <f>IF(E83="","",VLOOKUP(E83,'Coaching Points'!A:B,2,0))</f>
        <v>AB</v>
      </c>
      <c r="E83" s="35" t="s">
        <v>56</v>
      </c>
      <c r="F83" s="34">
        <v>2011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R83+S83+IF(OR(H83="Junior",H83="Senior"),0.0002,IF(OR(H83="L7",H83="L6"),0.0001,0))+MAX(Z83,AC83)*0.0000001</f>
        <v>87.200004370000002</v>
      </c>
      <c r="K83" s="3" t="str">
        <f>IF(G83="Not Age Eligible","",IF(MAX(T83,W83,Z83,AC83)&gt;=LOOKUP(G83,'Qualifying Scores'!$A$4:$A$7,'Qualifying Scores'!$G$4:$G$7),"P",""))</f>
        <v/>
      </c>
      <c r="L83" s="3" t="str">
        <f>IF(G83="Not Age Eligible","",IF(MAX(U83,X83,AA83,AD83)&gt;=LOOKUP(G83,'Qualifying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Scores'!$G$10:$G$13)),AND(Z83&gt;=LOOKUP(G83,'Qualifying Scores'!$A$4:$A$7,'Qualifying Scores'!$G$4:$G$7),AA83&gt;=LOOKUP(G83,'Qualifying Scores'!$A$10:$A$13,'Qualifying Scores'!$G$10:$G$13)),AND(W83&gt;=LOOKUP(G83,'Qualifying Scores'!$A$4:$A$7,'Qualifying Scores'!$G$4:$G$7),X83&gt;=LOOKUP(G83,'Qualifying Scores'!$A$10:$A$13,'Qualifying Scores'!$G$10:$G$13)),AND(AC83&gt;=LOOKUP(G83,'Qualifying Scores'!$A$4:$A$7,'Qualifying Scores'!$G$4:$G$7),AD83&gt;=LOOKUP(G83,'Qualifying Scores'!$A$10:$A$13,'Qualifying Scores'!$G$10:$G$13))),"P",""))</f>
        <v/>
      </c>
      <c r="Q83" s="1" t="str">
        <f>IF(A83&lt;5,IF(_xlfn.MAXIFS(A:A,G:G,G83)&gt;3,5-A83,_xlfn.MAXIFS(A:A,G:G,G83)+1-A83),"")</f>
        <v/>
      </c>
      <c r="R83" s="4">
        <f>MAX(T83-IF(OR(H83="L6"),V83,0),W83-IF(OR(H83="L6"),Y83,0),Z83-IF(OR(H83="L6"),AB83,0),AC83-IF(OR(H83="L6"),AE83,0))</f>
        <v>43.7</v>
      </c>
      <c r="S83" s="4">
        <f>IF(R83=T83-IF(OR(H83="L6"),V83,0),MAX(W83-IF(OR(H83="L6"),Y83,0),Z83-IF(OR(H83="L6"),AB83,0),AC83-IF(OR(H83="L6"),AE83,0)),IF(R83=W83-IF(OR(H83="L6"),Y83,0),MAX(T83-IF(OR(H83="L6"),V83,0),Z83-IF(OR(H83="L6"),AB83,0),AC83-IF(OR(H83="L6"),AE83,0)),IF(R83=Z83-IF(OR(H83="L6"),AB83,0),MAX(T83-IF(OR(H83="L6"),V83,0),W83-IF(OR(H83="L6"),Y83,0),AC83-IF(OR(H83="L6"),AE83,0)),IF(R83=AC83-IF(OR(H83="L6"),AE83,0),MAX(T83-IF(OR(H83="L6"),V83,0),W83-IF(OR(H83="L6"),Y83,0),Z83-IF(OR(H83="L6"),AB83,0)),0))))</f>
        <v>43.5</v>
      </c>
      <c r="T83" s="32">
        <v>41.5</v>
      </c>
      <c r="U83" s="37">
        <v>5.8000000000000007</v>
      </c>
      <c r="V83" s="37">
        <v>0</v>
      </c>
      <c r="W83" s="33">
        <v>42.2</v>
      </c>
      <c r="X83" s="37">
        <v>6</v>
      </c>
      <c r="Y83" s="37">
        <v>0</v>
      </c>
      <c r="Z83" s="32">
        <v>43.7</v>
      </c>
      <c r="AA83" s="37">
        <v>6.9</v>
      </c>
      <c r="AB83" s="37">
        <v>0</v>
      </c>
      <c r="AC83" s="33">
        <v>43.5</v>
      </c>
      <c r="AD83" s="37">
        <v>6.6</v>
      </c>
      <c r="AE83" s="37">
        <v>0</v>
      </c>
    </row>
    <row r="84" spans="1:31" x14ac:dyDescent="0.2">
      <c r="A84" s="1" t="str" cm="1">
        <f t="array" ref="A84">IF(I84="","",IF(P84&lt;&gt;"",SUMPRODUCT((P$3:P$94&lt;&gt;"")*(G$3:G$94=G84)*(J$3:J$94&gt;J84)*(I$3:I$94="P"))+1,IF(O84&lt;&gt;"",SUMPRODUCT((O$3:O$94&lt;&gt;"")*(P$3:P$94="")*(G$3:G$94=G84)*(J$3:J$94&gt;J84)*(I$3:I$94="P"))+SUMPRODUCT((P$3:P$94&lt;&gt;"")*(G$3:G$94=G84)*(I$3:I$94="P"))+1,IF(N84&lt;&gt;"",SUMPRODUCT((N$3:N$94&lt;&gt;"")*(G$3:G$94=G84)*(J$3:J$94&gt;J84)*(I$3:I$94="P"))+1,IF(M84="P",SUMPRODUCT((O$3:O$94&lt;&gt;"")*(P$3:P$94="")*(G$3:G$94=G84)*(I$3:I$94="P"))+SUMPRODUCT((P$3:P$94&lt;&gt;"")*(G$3:G$94=G84)*(I$3:I$94="P"))+SUMPRODUCT((N$3:N$94&lt;&gt;"")*(G$3:G$94=G84)*(I$3:I$94="P"))+SUMPRODUCT((P$3:P$94="")*(O$3:O$94="")*(N$3:N$94="")*(M$3:M$94="P")*(G$3:G$94=G84)*(J$3:J$94&gt;J84)*(I$3:I$94="P"))+IF(H84="L5",SUMPRODUCT((P$3:P$94="")*(O$3:O$94="")*(N$3:N$94="")*(M$3:M$94="P")*(G$3:G$94=G84)*(J$3:J$94&lt;J84)*(H$3:H$94&lt;&gt;H84)*(I$3:I$94="P")),-1*SUMPRODUCT((P$3:P$94="")*(O$3:O$94="")*(N$3:N$94="")*(M$3:M$94="P")*(G$3:G$94=G84)*(J$3:J$94&gt;J84)*(H$3:H$94="L5")*(I$3:I$94="P")))+1,"")))))</f>
        <v/>
      </c>
      <c r="B84" s="1" t="str" cm="1">
        <f t="array" ref="B84">IF(P84&lt;&gt;"",SUMPRODUCT((P$3:P$94&lt;&gt;"")*(G$3:G$94=G84)*(J$3:J$94&gt;J84))+1,IF(O84&lt;&gt;"",SUMPRODUCT((O$3:O$94&lt;&gt;"")*(P$3:P$94="")*(G$3:G$94=G84)*(J$3:J$94&gt;J84))+SUMPRODUCT((P$3:P$94&lt;&gt;"")*(G$3:G$94=G84))+1,IF(N84&lt;&gt;"",SUMPRODUCT((N$3:N$94&lt;&gt;"")*(G$3:G$94=G84)*(J$3:J$94&gt;J84))+1,IF(M84="P",SUMPRODUCT((O$3:O$94&lt;&gt;"")*(P$3:P$94="")*(G$3:G$94=G84))+SUMPRODUCT((P$3:P$94&lt;&gt;"")*(G$3:G$94=G84))+SUMPRODUCT((N$3:N$94&lt;&gt;"")*(G$3:G$94=G84))+SUMPRODUCT((P$3:P$94="")*(O$3:O$94="")*(N$3:N$94="")*(M$3:M$94="P")*(G$3:G$94=G84)*(J$3:J$94&gt;J84))+IF(H84="L5",SUMPRODUCT((P$3:P$94="")*(O$3:O$94="")*(N$3:N$94="")*(M$3:M$94="P")*(G$3:G$94=G84)*(J$3:J$94&lt;J84)*(H$3:H$94&lt;&gt;H84)),-1*SUMPRODUCT((P$3:P$94="")*(O$3:O$94="")*(N$3:N$94="")*(M$3:M$94="P")*(G$3:G$94=G84)*(J$3:J$94&gt;J84)*(H$3:H$94="L5")))+1,""))))</f>
        <v/>
      </c>
      <c r="C84" s="35" t="s">
        <v>244</v>
      </c>
      <c r="D84" t="str">
        <f>IF(E84="","",VLOOKUP(E84,'Coaching Points'!A:B,2,0))</f>
        <v>AB</v>
      </c>
      <c r="E84" s="35" t="s">
        <v>39</v>
      </c>
      <c r="F84" s="34">
        <v>2011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R84+S84+IF(OR(H84="Junior",H84="Senior"),0.0002,IF(OR(H84="L7",H84="L6"),0.0001,0))+MAX(Z84,AC84)*0.0000001</f>
        <v>86.900003990000002</v>
      </c>
      <c r="K84" s="3" t="str">
        <f>IF(G84="Not Age Eligible","",IF(MAX(T84,W84,Z84,AC84)&gt;=LOOKUP(G84,'Qualifying Scores'!$A$4:$A$7,'Qualifying Scores'!$G$4:$G$7),"P",""))</f>
        <v/>
      </c>
      <c r="L84" s="3" t="str">
        <f>IF(G84="Not Age Eligible","",IF(MAX(U84,X84,AA84,AD84)&gt;=LOOKUP(G84,'Qualifying Scores'!$A$10:$A$13,'Qualifying Scores'!$G$10:$G$13),"P",""))</f>
        <v>P</v>
      </c>
      <c r="M84" s="3" t="str">
        <f>IF(G84="Not Age Eligible","",IF(OR(AND(T84&gt;=LOOKUP(G84,'Qualifying Scores'!$A$4:$A$7,'Qualifying Scores'!$G$4:$G$7),U84&gt;=LOOKUP(G84,'Qualifying Scores'!$A$10:$A$13,'Qualifying Scores'!$G$10:$G$13)),AND(Z84&gt;=LOOKUP(G84,'Qualifying Scores'!$A$4:$A$7,'Qualifying Scores'!$G$4:$G$7),AA84&gt;=LOOKUP(G84,'Qualifying Scores'!$A$10:$A$13,'Qualifying Scores'!$G$10:$G$13)),AND(W84&gt;=LOOKUP(G84,'Qualifying Scores'!$A$4:$A$7,'Qualifying Scores'!$G$4:$G$7),X84&gt;=LOOKUP(G84,'Qualifying Scores'!$A$10:$A$13,'Qualifying Scores'!$G$10:$G$13)),AND(AC84&gt;=LOOKUP(G84,'Qualifying Scores'!$A$4:$A$7,'Qualifying Scores'!$G$4:$G$7),AD84&gt;=LOOKUP(G84,'Qualifying Scores'!$A$10:$A$13,'Qualifying Scores'!$G$10:$G$13))),"P",""))</f>
        <v/>
      </c>
      <c r="Q84" s="1" t="str">
        <f>IF(A84&lt;5,IF(_xlfn.MAXIFS(A:A,G:G,G84)&gt;3,5-A84,_xlfn.MAXIFS(A:A,G:G,G84)+1-A84),"")</f>
        <v/>
      </c>
      <c r="R84" s="4">
        <f>MAX(T84-IF(OR(H84="L6"),V84,0),W84-IF(OR(H84="L6"),Y84,0),Z84-IF(OR(H84="L6"),AB84,0),AC84-IF(OR(H84="L6"),AE84,0))</f>
        <v>43.7</v>
      </c>
      <c r="S84" s="4">
        <f>IF(R84=T84-IF(OR(H84="L6"),V84,0),MAX(W84-IF(OR(H84="L6"),Y84,0),Z84-IF(OR(H84="L6"),AB84,0),AC84-IF(OR(H84="L6"),AE84,0)),IF(R84=W84-IF(OR(H84="L6"),Y84,0),MAX(T84-IF(OR(H84="L6"),V84,0),Z84-IF(OR(H84="L6"),AB84,0),AC84-IF(OR(H84="L6"),AE84,0)),IF(R84=Z84-IF(OR(H84="L6"),AB84,0),MAX(T84-IF(OR(H84="L6"),V84,0),W84-IF(OR(H84="L6"),Y84,0),AC84-IF(OR(H84="L6"),AE84,0)),IF(R84=AC84-IF(OR(H84="L6"),AE84,0),MAX(T84-IF(OR(H84="L6"),V84,0),W84-IF(OR(H84="L6"),Y84,0),Z84-IF(OR(H84="L6"),AB84,0)),0))))</f>
        <v>43.2</v>
      </c>
      <c r="T84" s="32">
        <v>43.2</v>
      </c>
      <c r="U84" s="37">
        <v>8</v>
      </c>
      <c r="V84" s="37">
        <v>0</v>
      </c>
      <c r="W84" s="33">
        <v>43.7</v>
      </c>
      <c r="X84" s="37">
        <v>6.9</v>
      </c>
      <c r="Y84" s="37">
        <v>0</v>
      </c>
      <c r="Z84" s="32">
        <v>39.9</v>
      </c>
      <c r="AA84" s="37">
        <v>5.9</v>
      </c>
      <c r="AB84" s="37">
        <v>0</v>
      </c>
      <c r="AC84" s="33"/>
      <c r="AD84" s="37"/>
      <c r="AE84" s="37"/>
    </row>
    <row r="85" spans="1:31" x14ac:dyDescent="0.2">
      <c r="A85" s="1" t="str" cm="1">
        <f t="array" ref="A85">IF(I85="","",IF(P85&lt;&gt;"",SUMPRODUCT((P$3:P$94&lt;&gt;"")*(G$3:G$94=G85)*(J$3:J$94&gt;J85)*(I$3:I$94="P"))+1,IF(O85&lt;&gt;"",SUMPRODUCT((O$3:O$94&lt;&gt;"")*(P$3:P$94="")*(G$3:G$94=G85)*(J$3:J$94&gt;J85)*(I$3:I$94="P"))+SUMPRODUCT((P$3:P$94&lt;&gt;"")*(G$3:G$94=G85)*(I$3:I$94="P"))+1,IF(N85&lt;&gt;"",SUMPRODUCT((N$3:N$94&lt;&gt;"")*(G$3:G$94=G85)*(J$3:J$94&gt;J85)*(I$3:I$94="P"))+1,IF(M85="P",SUMPRODUCT((O$3:O$94&lt;&gt;"")*(P$3:P$94="")*(G$3:G$94=G85)*(I$3:I$94="P"))+SUMPRODUCT((P$3:P$94&lt;&gt;"")*(G$3:G$94=G85)*(I$3:I$94="P"))+SUMPRODUCT((N$3:N$94&lt;&gt;"")*(G$3:G$94=G85)*(I$3:I$94="P"))+SUMPRODUCT((P$3:P$94="")*(O$3:O$94="")*(N$3:N$94="")*(M$3:M$94="P")*(G$3:G$94=G85)*(J$3:J$94&gt;J85)*(I$3:I$94="P"))+IF(H85="L5",SUMPRODUCT((P$3:P$94="")*(O$3:O$94="")*(N$3:N$94="")*(M$3:M$94="P")*(G$3:G$94=G85)*(J$3:J$94&lt;J85)*(H$3:H$94&lt;&gt;H85)*(I$3:I$94="P")),-1*SUMPRODUCT((P$3:P$94="")*(O$3:O$94="")*(N$3:N$94="")*(M$3:M$94="P")*(G$3:G$94=G85)*(J$3:J$94&gt;J85)*(H$3:H$94="L5")*(I$3:I$94="P")))+1,"")))))</f>
        <v/>
      </c>
      <c r="B85" s="1" t="str" cm="1">
        <f t="array" ref="B85">IF(P85&lt;&gt;"",SUMPRODUCT((P$3:P$94&lt;&gt;"")*(G$3:G$94=G85)*(J$3:J$94&gt;J85))+1,IF(O85&lt;&gt;"",SUMPRODUCT((O$3:O$94&lt;&gt;"")*(P$3:P$94="")*(G$3:G$94=G85)*(J$3:J$94&gt;J85))+SUMPRODUCT((P$3:P$94&lt;&gt;"")*(G$3:G$94=G85))+1,IF(N85&lt;&gt;"",SUMPRODUCT((N$3:N$94&lt;&gt;"")*(G$3:G$94=G85)*(J$3:J$94&gt;J85))+1,IF(M85="P",SUMPRODUCT((O$3:O$94&lt;&gt;"")*(P$3:P$94="")*(G$3:G$94=G85))+SUMPRODUCT((P$3:P$94&lt;&gt;"")*(G$3:G$94=G85))+SUMPRODUCT((N$3:N$94&lt;&gt;"")*(G$3:G$94=G85))+SUMPRODUCT((P$3:P$94="")*(O$3:O$94="")*(N$3:N$94="")*(M$3:M$94="P")*(G$3:G$94=G85)*(J$3:J$94&gt;J85))+IF(H85="L5",SUMPRODUCT((P$3:P$94="")*(O$3:O$94="")*(N$3:N$94="")*(M$3:M$94="P")*(G$3:G$94=G85)*(J$3:J$94&lt;J85)*(H$3:H$94&lt;&gt;H85)),-1*SUMPRODUCT((P$3:P$94="")*(O$3:O$94="")*(N$3:N$94="")*(M$3:M$94="P")*(G$3:G$94=G85)*(J$3:J$94&gt;J85)*(H$3:H$94="L5")))+1,""))))</f>
        <v/>
      </c>
      <c r="C85" s="35" t="s">
        <v>411</v>
      </c>
      <c r="D85" t="str">
        <f>IF(E85="","",VLOOKUP(E85,'Coaching Points'!A:B,2,0))</f>
        <v>ON</v>
      </c>
      <c r="E85" s="35" t="s">
        <v>76</v>
      </c>
      <c r="F85" s="34">
        <v>2011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R85+S85+IF(OR(H85="Junior",H85="Senior"),0.0002,IF(OR(H85="L7",H85="L6"),0.0001,0))+MAX(Z85,AC85)*0.0000001</f>
        <v>86.500004360000005</v>
      </c>
      <c r="K85" s="3" t="str">
        <f>IF(G85="Not Age Eligible","",IF(MAX(T85,W85,Z85,AC85)&gt;=LOOKUP(G85,'Qualifying Scores'!$A$4:$A$7,'Qualifying Scores'!$G$4:$G$7),"P",""))</f>
        <v/>
      </c>
      <c r="L85" s="3" t="str">
        <f>IF(G85="Not Age Eligible","",IF(MAX(U85,X85,AA85,AD85)&gt;=LOOKUP(G85,'Qualifying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Scores'!$G$10:$G$13)),AND(Z85&gt;=LOOKUP(G85,'Qualifying Scores'!$A$4:$A$7,'Qualifying Scores'!$G$4:$G$7),AA85&gt;=LOOKUP(G85,'Qualifying Scores'!$A$10:$A$13,'Qualifying Scores'!$G$10:$G$13)),AND(W85&gt;=LOOKUP(G85,'Qualifying Scores'!$A$4:$A$7,'Qualifying Scores'!$G$4:$G$7),X85&gt;=LOOKUP(G85,'Qualifying Scores'!$A$10:$A$13,'Qualifying Scores'!$G$10:$G$13)),AND(AC85&gt;=LOOKUP(G85,'Qualifying Scores'!$A$4:$A$7,'Qualifying Scores'!$G$4:$G$7),AD85&gt;=LOOKUP(G85,'Qualifying Scores'!$A$10:$A$13,'Qualifying Scores'!$G$10:$G$13))),"P",""))</f>
        <v/>
      </c>
      <c r="Q85" s="1" t="str">
        <f>IF(A85&lt;5,IF(_xlfn.MAXIFS(A:A,G:G,G85)&gt;3,5-A85,_xlfn.MAXIFS(A:A,G:G,G85)+1-A85),"")</f>
        <v/>
      </c>
      <c r="R85" s="4">
        <f>MAX(T85-IF(OR(H85="L6"),V85,0),W85-IF(OR(H85="L6"),Y85,0),Z85-IF(OR(H85="L6"),AB85,0),AC85-IF(OR(H85="L6"),AE85,0))</f>
        <v>43.6</v>
      </c>
      <c r="S85" s="4">
        <f>IF(R85=T85-IF(OR(H85="L6"),V85,0),MAX(W85-IF(OR(H85="L6"),Y85,0),Z85-IF(OR(H85="L6"),AB85,0),AC85-IF(OR(H85="L6"),AE85,0)),IF(R85=W85-IF(OR(H85="L6"),Y85,0),MAX(T85-IF(OR(H85="L6"),V85,0),Z85-IF(OR(H85="L6"),AB85,0),AC85-IF(OR(H85="L6"),AE85,0)),IF(R85=Z85-IF(OR(H85="L6"),AB85,0),MAX(T85-IF(OR(H85="L6"),V85,0),W85-IF(OR(H85="L6"),Y85,0),AC85-IF(OR(H85="L6"),AE85,0)),IF(R85=AC85-IF(OR(H85="L6"),AE85,0),MAX(T85-IF(OR(H85="L6"),V85,0),W85-IF(OR(H85="L6"),Y85,0),Z85-IF(OR(H85="L6"),AB85,0)),0))))</f>
        <v>42.9</v>
      </c>
      <c r="T85" s="32"/>
      <c r="U85" s="37"/>
      <c r="V85" s="37"/>
      <c r="W85" s="33"/>
      <c r="X85" s="37"/>
      <c r="Y85" s="37"/>
      <c r="Z85" s="32">
        <v>43.6</v>
      </c>
      <c r="AA85" s="37">
        <v>6.3</v>
      </c>
      <c r="AB85" s="37">
        <v>0</v>
      </c>
      <c r="AC85" s="33">
        <v>42.9</v>
      </c>
      <c r="AD85" s="37">
        <v>5.8000000000000007</v>
      </c>
      <c r="AE85" s="37">
        <v>0</v>
      </c>
    </row>
    <row r="86" spans="1:31" x14ac:dyDescent="0.2">
      <c r="A86" s="1" t="str" cm="1">
        <f t="array" ref="A86">IF(I86="","",IF(P86&lt;&gt;"",SUMPRODUCT((P$3:P$94&lt;&gt;"")*(G$3:G$94=G86)*(J$3:J$94&gt;J86)*(I$3:I$94="P"))+1,IF(O86&lt;&gt;"",SUMPRODUCT((O$3:O$94&lt;&gt;"")*(P$3:P$94="")*(G$3:G$94=G86)*(J$3:J$94&gt;J86)*(I$3:I$94="P"))+SUMPRODUCT((P$3:P$94&lt;&gt;"")*(G$3:G$94=G86)*(I$3:I$94="P"))+1,IF(N86&lt;&gt;"",SUMPRODUCT((N$3:N$94&lt;&gt;"")*(G$3:G$94=G86)*(J$3:J$94&gt;J86)*(I$3:I$94="P"))+1,IF(M86="P",SUMPRODUCT((O$3:O$94&lt;&gt;"")*(P$3:P$94="")*(G$3:G$94=G86)*(I$3:I$94="P"))+SUMPRODUCT((P$3:P$94&lt;&gt;"")*(G$3:G$94=G86)*(I$3:I$94="P"))+SUMPRODUCT((N$3:N$94&lt;&gt;"")*(G$3:G$94=G86)*(I$3:I$94="P"))+SUMPRODUCT((P$3:P$94="")*(O$3:O$94="")*(N$3:N$94="")*(M$3:M$94="P")*(G$3:G$94=G86)*(J$3:J$94&gt;J86)*(I$3:I$94="P"))+IF(H86="L5",SUMPRODUCT((P$3:P$94="")*(O$3:O$94="")*(N$3:N$94="")*(M$3:M$94="P")*(G$3:G$94=G86)*(J$3:J$94&lt;J86)*(H$3:H$94&lt;&gt;H86)*(I$3:I$94="P")),-1*SUMPRODUCT((P$3:P$94="")*(O$3:O$94="")*(N$3:N$94="")*(M$3:M$94="P")*(G$3:G$94=G86)*(J$3:J$94&gt;J86)*(H$3:H$94="L5")*(I$3:I$94="P")))+1,"")))))</f>
        <v/>
      </c>
      <c r="B86" s="1" t="str" cm="1">
        <f t="array" ref="B86">IF(P86&lt;&gt;"",SUMPRODUCT((P$3:P$94&lt;&gt;"")*(G$3:G$94=G86)*(J$3:J$94&gt;J86))+1,IF(O86&lt;&gt;"",SUMPRODUCT((O$3:O$94&lt;&gt;"")*(P$3:P$94="")*(G$3:G$94=G86)*(J$3:J$94&gt;J86))+SUMPRODUCT((P$3:P$94&lt;&gt;"")*(G$3:G$94=G86))+1,IF(N86&lt;&gt;"",SUMPRODUCT((N$3:N$94&lt;&gt;"")*(G$3:G$94=G86)*(J$3:J$94&gt;J86))+1,IF(M86="P",SUMPRODUCT((O$3:O$94&lt;&gt;"")*(P$3:P$94="")*(G$3:G$94=G86))+SUMPRODUCT((P$3:P$94&lt;&gt;"")*(G$3:G$94=G86))+SUMPRODUCT((N$3:N$94&lt;&gt;"")*(G$3:G$94=G86))+SUMPRODUCT((P$3:P$94="")*(O$3:O$94="")*(N$3:N$94="")*(M$3:M$94="P")*(G$3:G$94=G86)*(J$3:J$94&gt;J86))+IF(H86="L5",SUMPRODUCT((P$3:P$94="")*(O$3:O$94="")*(N$3:N$94="")*(M$3:M$94="P")*(G$3:G$94=G86)*(J$3:J$94&lt;J86)*(H$3:H$94&lt;&gt;H86)),-1*SUMPRODUCT((P$3:P$94="")*(O$3:O$94="")*(N$3:N$94="")*(M$3:M$94="P")*(G$3:G$94=G86)*(J$3:J$94&gt;J86)*(H$3:H$94="L5")))+1,""))))</f>
        <v/>
      </c>
      <c r="C86" s="35" t="s">
        <v>248</v>
      </c>
      <c r="D86" t="str">
        <f>IF(E86="","",VLOOKUP(E86,'Coaching Points'!A:B,2,0))</f>
        <v>BC</v>
      </c>
      <c r="E86" s="35" t="s">
        <v>40</v>
      </c>
      <c r="F86" s="34">
        <v>2011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R86+S86+IF(OR(H86="Junior",H86="Senior"),0.0002,IF(OR(H86="L7",H86="L6"),0.0001,0))+MAX(Z86,AC86)*0.0000001</f>
        <v>86.500003899999996</v>
      </c>
      <c r="K86" s="3" t="str">
        <f>IF(G86="Not Age Eligible","",IF(MAX(T86,W86,Z86,AC86)&gt;=LOOKUP(G86,'Qualifying Scores'!$A$4:$A$7,'Qualifying Scores'!$G$4:$G$7),"P",""))</f>
        <v/>
      </c>
      <c r="L86" s="3" t="str">
        <f>IF(G86="Not Age Eligible","",IF(MAX(U86,X86,AA86,AD86)&gt;=LOOKUP(G86,'Qualifying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Scores'!$G$10:$G$13)),AND(Z86&gt;=LOOKUP(G86,'Qualifying Scores'!$A$4:$A$7,'Qualifying Scores'!$G$4:$G$7),AA86&gt;=LOOKUP(G86,'Qualifying Scores'!$A$10:$A$13,'Qualifying Scores'!$G$10:$G$13)),AND(W86&gt;=LOOKUP(G86,'Qualifying Scores'!$A$4:$A$7,'Qualifying Scores'!$G$4:$G$7),X86&gt;=LOOKUP(G86,'Qualifying Scores'!$A$10:$A$13,'Qualifying Scores'!$G$10:$G$13)),AND(AC86&gt;=LOOKUP(G86,'Qualifying Scores'!$A$4:$A$7,'Qualifying Scores'!$G$4:$G$7),AD86&gt;=LOOKUP(G86,'Qualifying Scores'!$A$10:$A$13,'Qualifying Scores'!$G$10:$G$13))),"P",""))</f>
        <v/>
      </c>
      <c r="Q86" s="1" t="str">
        <f>IF(A86&lt;5,IF(_xlfn.MAXIFS(A:A,G:G,G86)&gt;3,5-A86,_xlfn.MAXIFS(A:A,G:G,G86)+1-A86),"")</f>
        <v/>
      </c>
      <c r="R86" s="4">
        <f>MAX(T86-IF(OR(H86="L6"),V86,0),W86-IF(OR(H86="L6"),Y86,0),Z86-IF(OR(H86="L6"),AB86,0),AC86-IF(OR(H86="L6"),AE86,0))</f>
        <v>43.5</v>
      </c>
      <c r="S86" s="4">
        <f>IF(R86=T86-IF(OR(H86="L6"),V86,0),MAX(W86-IF(OR(H86="L6"),Y86,0),Z86-IF(OR(H86="L6"),AB86,0),AC86-IF(OR(H86="L6"),AE86,0)),IF(R86=W86-IF(OR(H86="L6"),Y86,0),MAX(T86-IF(OR(H86="L6"),V86,0),Z86-IF(OR(H86="L6"),AB86,0),AC86-IF(OR(H86="L6"),AE86,0)),IF(R86=Z86-IF(OR(H86="L6"),AB86,0),MAX(T86-IF(OR(H86="L6"),V86,0),W86-IF(OR(H86="L6"),Y86,0),AC86-IF(OR(H86="L6"),AE86,0)),IF(R86=AC86-IF(OR(H86="L6"),AE86,0),MAX(T86-IF(OR(H86="L6"),V86,0),W86-IF(OR(H86="L6"),Y86,0),Z86-IF(OR(H86="L6"),AB86,0)),0))))</f>
        <v>43</v>
      </c>
      <c r="T86" s="32">
        <v>43</v>
      </c>
      <c r="U86" s="37">
        <v>6.1</v>
      </c>
      <c r="V86" s="37">
        <v>0</v>
      </c>
      <c r="W86" s="33">
        <v>43.5</v>
      </c>
      <c r="X86" s="37">
        <v>7.1</v>
      </c>
      <c r="Y86" s="37">
        <v>0</v>
      </c>
      <c r="Z86" s="32">
        <v>39</v>
      </c>
      <c r="AA86" s="37">
        <v>4.9000000000000004</v>
      </c>
      <c r="AB86" s="37">
        <v>0</v>
      </c>
      <c r="AC86" s="33">
        <v>16.100000000000001</v>
      </c>
      <c r="AD86" s="37">
        <v>0.7</v>
      </c>
      <c r="AE86" s="37">
        <v>0</v>
      </c>
    </row>
    <row r="87" spans="1:31" x14ac:dyDescent="0.2">
      <c r="A87" s="1" t="str" cm="1">
        <f t="array" ref="A87">IF(I87="","",IF(P87&lt;&gt;"",SUMPRODUCT((P$3:P$94&lt;&gt;"")*(G$3:G$94=G87)*(J$3:J$94&gt;J87)*(I$3:I$94="P"))+1,IF(O87&lt;&gt;"",SUMPRODUCT((O$3:O$94&lt;&gt;"")*(P$3:P$94="")*(G$3:G$94=G87)*(J$3:J$94&gt;J87)*(I$3:I$94="P"))+SUMPRODUCT((P$3:P$94&lt;&gt;"")*(G$3:G$94=G87)*(I$3:I$94="P"))+1,IF(N87&lt;&gt;"",SUMPRODUCT((N$3:N$94&lt;&gt;"")*(G$3:G$94=G87)*(J$3:J$94&gt;J87)*(I$3:I$94="P"))+1,IF(M87="P",SUMPRODUCT((O$3:O$94&lt;&gt;"")*(P$3:P$94="")*(G$3:G$94=G87)*(I$3:I$94="P"))+SUMPRODUCT((P$3:P$94&lt;&gt;"")*(G$3:G$94=G87)*(I$3:I$94="P"))+SUMPRODUCT((N$3:N$94&lt;&gt;"")*(G$3:G$94=G87)*(I$3:I$94="P"))+SUMPRODUCT((P$3:P$94="")*(O$3:O$94="")*(N$3:N$94="")*(M$3:M$94="P")*(G$3:G$94=G87)*(J$3:J$94&gt;J87)*(I$3:I$94="P"))+IF(H87="L5",SUMPRODUCT((P$3:P$94="")*(O$3:O$94="")*(N$3:N$94="")*(M$3:M$94="P")*(G$3:G$94=G87)*(J$3:J$94&lt;J87)*(H$3:H$94&lt;&gt;H87)*(I$3:I$94="P")),-1*SUMPRODUCT((P$3:P$94="")*(O$3:O$94="")*(N$3:N$94="")*(M$3:M$94="P")*(G$3:G$94=G87)*(J$3:J$94&gt;J87)*(H$3:H$94="L5")*(I$3:I$94="P")))+1,"")))))</f>
        <v/>
      </c>
      <c r="B87" s="1" t="str" cm="1">
        <f t="array" ref="B87">IF(P87&lt;&gt;"",SUMPRODUCT((P$3:P$94&lt;&gt;"")*(G$3:G$94=G87)*(J$3:J$94&gt;J87))+1,IF(O87&lt;&gt;"",SUMPRODUCT((O$3:O$94&lt;&gt;"")*(P$3:P$94="")*(G$3:G$94=G87)*(J$3:J$94&gt;J87))+SUMPRODUCT((P$3:P$94&lt;&gt;"")*(G$3:G$94=G87))+1,IF(N87&lt;&gt;"",SUMPRODUCT((N$3:N$94&lt;&gt;"")*(G$3:G$94=G87)*(J$3:J$94&gt;J87))+1,IF(M87="P",SUMPRODUCT((O$3:O$94&lt;&gt;"")*(P$3:P$94="")*(G$3:G$94=G87))+SUMPRODUCT((P$3:P$94&lt;&gt;"")*(G$3:G$94=G87))+SUMPRODUCT((N$3:N$94&lt;&gt;"")*(G$3:G$94=G87))+SUMPRODUCT((P$3:P$94="")*(O$3:O$94="")*(N$3:N$94="")*(M$3:M$94="P")*(G$3:G$94=G87)*(J$3:J$94&gt;J87))+IF(H87="L5",SUMPRODUCT((P$3:P$94="")*(O$3:O$94="")*(N$3:N$94="")*(M$3:M$94="P")*(G$3:G$94=G87)*(J$3:J$94&lt;J87)*(H$3:H$94&lt;&gt;H87)),-1*SUMPRODUCT((P$3:P$94="")*(O$3:O$94="")*(N$3:N$94="")*(M$3:M$94="P")*(G$3:G$94=G87)*(J$3:J$94&gt;J87)*(H$3:H$94="L5")))+1,""))))</f>
        <v/>
      </c>
      <c r="C87" s="35" t="s">
        <v>305</v>
      </c>
      <c r="D87" t="str">
        <f>IF(E87="","",VLOOKUP(E87,'Coaching Points'!A:B,2,0))</f>
        <v>AB</v>
      </c>
      <c r="E87" s="35" t="s">
        <v>62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R87+S87+IF(OR(H87="Junior",H87="Senior"),0.0002,IF(OR(H87="L7",H87="L6"),0.0001,0))+MAX(Z87,AC87)*0.0000001</f>
        <v>85.700003719999998</v>
      </c>
      <c r="K87" s="3" t="str">
        <f>IF(G87="Not Age Eligible","",IF(MAX(T87,W87,Z87,AC87)&gt;=LOOKUP(G87,'Qualifying Scores'!$A$4:$A$7,'Qualifying Scores'!$G$4:$G$7),"P",""))</f>
        <v/>
      </c>
      <c r="L87" s="3" t="str">
        <f>IF(G87="Not Age Eligible","",IF(MAX(U87,X87,AA87,AD87)&gt;=LOOKUP(G87,'Qualifying Scores'!$A$10:$A$13,'Qualifying Scores'!$G$10:$G$13),"P",""))</f>
        <v>P</v>
      </c>
      <c r="M87" s="3" t="str">
        <f>IF(G87="Not Age Eligible","",IF(OR(AND(T87&gt;=LOOKUP(G87,'Qualifying Scores'!$A$4:$A$7,'Qualifying Scores'!$G$4:$G$7),U87&gt;=LOOKUP(G87,'Qualifying Scores'!$A$10:$A$13,'Qualifying Scores'!$G$10:$G$13)),AND(Z87&gt;=LOOKUP(G87,'Qualifying Scores'!$A$4:$A$7,'Qualifying Scores'!$G$4:$G$7),AA87&gt;=LOOKUP(G87,'Qualifying Scores'!$A$10:$A$13,'Qualifying Scores'!$G$10:$G$13)),AND(W87&gt;=LOOKUP(G87,'Qualifying Scores'!$A$4:$A$7,'Qualifying Scores'!$G$4:$G$7),X87&gt;=LOOKUP(G87,'Qualifying Scores'!$A$10:$A$13,'Qualifying Scores'!$G$10:$G$13)),AND(AC87&gt;=LOOKUP(G87,'Qualifying Scores'!$A$4:$A$7,'Qualifying Scores'!$G$4:$G$7),AD87&gt;=LOOKUP(G87,'Qualifying Scores'!$A$10:$A$13,'Qualifying Scores'!$G$10:$G$13))),"P",""))</f>
        <v/>
      </c>
      <c r="Q87" s="1" t="str">
        <f>IF(A87&lt;5,IF(_xlfn.MAXIFS(A:A,G:G,G87)&gt;3,5-A87,_xlfn.MAXIFS(A:A,G:G,G87)+1-A87),"")</f>
        <v/>
      </c>
      <c r="R87" s="4">
        <f>MAX(T87-IF(OR(H87="L6"),V87,0),W87-IF(OR(H87="L6"),Y87,0),Z87-IF(OR(H87="L6"),AB87,0),AC87-IF(OR(H87="L6"),AE87,0))</f>
        <v>43</v>
      </c>
      <c r="S87" s="4">
        <f>IF(R87=T87-IF(OR(H87="L6"),V87,0),MAX(W87-IF(OR(H87="L6"),Y87,0),Z87-IF(OR(H87="L6"),AB87,0),AC87-IF(OR(H87="L6"),AE87,0)),IF(R87=W87-IF(OR(H87="L6"),Y87,0),MAX(T87-IF(OR(H87="L6"),V87,0),Z87-IF(OR(H87="L6"),AB87,0),AC87-IF(OR(H87="L6"),AE87,0)),IF(R87=Z87-IF(OR(H87="L6"),AB87,0),MAX(T87-IF(OR(H87="L6"),V87,0),W87-IF(OR(H87="L6"),Y87,0),AC87-IF(OR(H87="L6"),AE87,0)),IF(R87=AC87-IF(OR(H87="L6"),AE87,0),MAX(T87-IF(OR(H87="L6"),V87,0),W87-IF(OR(H87="L6"),Y87,0),Z87-IF(OR(H87="L6"),AB87,0)),0))))</f>
        <v>42.7</v>
      </c>
      <c r="T87" s="32">
        <v>42.7</v>
      </c>
      <c r="U87" s="37">
        <v>6.1</v>
      </c>
      <c r="V87" s="37">
        <v>0</v>
      </c>
      <c r="W87" s="33">
        <v>43</v>
      </c>
      <c r="X87" s="37">
        <v>7.2</v>
      </c>
      <c r="Y87" s="37">
        <v>0</v>
      </c>
      <c r="Z87" s="32">
        <v>37.200000000000003</v>
      </c>
      <c r="AA87" s="37">
        <v>3.6</v>
      </c>
      <c r="AB87" s="37">
        <v>0</v>
      </c>
      <c r="AC87" s="33">
        <v>33.5</v>
      </c>
      <c r="AD87" s="37">
        <v>3.0999999999999996</v>
      </c>
      <c r="AE87" s="37">
        <v>0</v>
      </c>
    </row>
    <row r="88" spans="1:31" x14ac:dyDescent="0.2">
      <c r="A88" s="1" t="str" cm="1">
        <f t="array" ref="A88">IF(I88="","",IF(P88&lt;&gt;"",SUMPRODUCT((P$3:P$94&lt;&gt;"")*(G$3:G$94=G88)*(J$3:J$94&gt;J88)*(I$3:I$94="P"))+1,IF(O88&lt;&gt;"",SUMPRODUCT((O$3:O$94&lt;&gt;"")*(P$3:P$94="")*(G$3:G$94=G88)*(J$3:J$94&gt;J88)*(I$3:I$94="P"))+SUMPRODUCT((P$3:P$94&lt;&gt;"")*(G$3:G$94=G88)*(I$3:I$94="P"))+1,IF(N88&lt;&gt;"",SUMPRODUCT((N$3:N$94&lt;&gt;"")*(G$3:G$94=G88)*(J$3:J$94&gt;J88)*(I$3:I$94="P"))+1,IF(M88="P",SUMPRODUCT((O$3:O$94&lt;&gt;"")*(P$3:P$94="")*(G$3:G$94=G88)*(I$3:I$94="P"))+SUMPRODUCT((P$3:P$94&lt;&gt;"")*(G$3:G$94=G88)*(I$3:I$94="P"))+SUMPRODUCT((N$3:N$94&lt;&gt;"")*(G$3:G$94=G88)*(I$3:I$94="P"))+SUMPRODUCT((P$3:P$94="")*(O$3:O$94="")*(N$3:N$94="")*(M$3:M$94="P")*(G$3:G$94=G88)*(J$3:J$94&gt;J88)*(I$3:I$94="P"))+IF(H88="L5",SUMPRODUCT((P$3:P$94="")*(O$3:O$94="")*(N$3:N$94="")*(M$3:M$94="P")*(G$3:G$94=G88)*(J$3:J$94&lt;J88)*(H$3:H$94&lt;&gt;H88)*(I$3:I$94="P")),-1*SUMPRODUCT((P$3:P$94="")*(O$3:O$94="")*(N$3:N$94="")*(M$3:M$94="P")*(G$3:G$94=G88)*(J$3:J$94&gt;J88)*(H$3:H$94="L5")*(I$3:I$94="P")))+1,"")))))</f>
        <v/>
      </c>
      <c r="B88" s="1" t="str" cm="1">
        <f t="array" ref="B88">IF(P88&lt;&gt;"",SUMPRODUCT((P$3:P$94&lt;&gt;"")*(G$3:G$94=G88)*(J$3:J$94&gt;J88))+1,IF(O88&lt;&gt;"",SUMPRODUCT((O$3:O$94&lt;&gt;"")*(P$3:P$94="")*(G$3:G$94=G88)*(J$3:J$94&gt;J88))+SUMPRODUCT((P$3:P$94&lt;&gt;"")*(G$3:G$94=G88))+1,IF(N88&lt;&gt;"",SUMPRODUCT((N$3:N$94&lt;&gt;"")*(G$3:G$94=G88)*(J$3:J$94&gt;J88))+1,IF(M88="P",SUMPRODUCT((O$3:O$94&lt;&gt;"")*(P$3:P$94="")*(G$3:G$94=G88))+SUMPRODUCT((P$3:P$94&lt;&gt;"")*(G$3:G$94=G88))+SUMPRODUCT((N$3:N$94&lt;&gt;"")*(G$3:G$94=G88))+SUMPRODUCT((P$3:P$94="")*(O$3:O$94="")*(N$3:N$94="")*(M$3:M$94="P")*(G$3:G$94=G88)*(J$3:J$94&gt;J88))+IF(H88="L5",SUMPRODUCT((P$3:P$94="")*(O$3:O$94="")*(N$3:N$94="")*(M$3:M$94="P")*(G$3:G$94=G88)*(J$3:J$94&lt;J88)*(H$3:H$94&lt;&gt;H88)),-1*SUMPRODUCT((P$3:P$94="")*(O$3:O$94="")*(N$3:N$94="")*(M$3:M$94="P")*(G$3:G$94=G88)*(J$3:J$94&gt;J88)*(H$3:H$94="L5")))+1,""))))</f>
        <v/>
      </c>
      <c r="C88" s="35" t="s">
        <v>247</v>
      </c>
      <c r="D88" t="str">
        <f>IF(E88="","",VLOOKUP(E88,'Coaching Points'!A:B,2,0))</f>
        <v>AB</v>
      </c>
      <c r="E88" s="35" t="s">
        <v>28</v>
      </c>
      <c r="F88" s="34">
        <v>2011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>R88+S88+IF(OR(H88="Junior",H88="Senior"),0.0002,IF(OR(H88="L7",H88="L6"),0.0001,0))+MAX(Z88,AC88)*0.0000001</f>
        <v>85.200004200000009</v>
      </c>
      <c r="K88" s="3" t="str">
        <f>IF(G88="Not Age Eligible","",IF(MAX(T88,W88,Z88,AC88)&gt;=LOOKUP(G88,'Qualifying Scores'!$A$4:$A$7,'Qualifying Scores'!$G$4:$G$7),"P",""))</f>
        <v/>
      </c>
      <c r="L88" s="3" t="str">
        <f>IF(G88="Not Age Eligible","",IF(MAX(U88,X88,AA88,AD88)&gt;=LOOKUP(G88,'Qualifying Scores'!$A$10:$A$13,'Qualifying Scores'!$G$10:$G$13),"P",""))</f>
        <v>P</v>
      </c>
      <c r="M88" s="3" t="str">
        <f>IF(G88="Not Age Eligible","",IF(OR(AND(T88&gt;=LOOKUP(G88,'Qualifying Scores'!$A$4:$A$7,'Qualifying Scores'!$G$4:$G$7),U88&gt;=LOOKUP(G88,'Qualifying Scores'!$A$10:$A$13,'Qualifying Scores'!$G$10:$G$13)),AND(Z88&gt;=LOOKUP(G88,'Qualifying Scores'!$A$4:$A$7,'Qualifying Scores'!$G$4:$G$7),AA88&gt;=LOOKUP(G88,'Qualifying Scores'!$A$10:$A$13,'Qualifying Scores'!$G$10:$G$13)),AND(W88&gt;=LOOKUP(G88,'Qualifying Scores'!$A$4:$A$7,'Qualifying Scores'!$G$4:$G$7),X88&gt;=LOOKUP(G88,'Qualifying Scores'!$A$10:$A$13,'Qualifying Scores'!$G$10:$G$13)),AND(AC88&gt;=LOOKUP(G88,'Qualifying Scores'!$A$4:$A$7,'Qualifying Scores'!$G$4:$G$7),AD88&gt;=LOOKUP(G88,'Qualifying Scores'!$A$10:$A$13,'Qualifying Scores'!$G$10:$G$13))),"P",""))</f>
        <v/>
      </c>
      <c r="Q88" s="1" t="str">
        <f>IF(A88&lt;5,IF(_xlfn.MAXIFS(A:A,G:G,G88)&gt;3,5-A88,_xlfn.MAXIFS(A:A,G:G,G88)+1-A88),"")</f>
        <v/>
      </c>
      <c r="R88" s="4">
        <f>MAX(T88-IF(OR(H88="L6"),V88,0),W88-IF(OR(H88="L6"),Y88,0),Z88-IF(OR(H88="L6"),AB88,0),AC88-IF(OR(H88="L6"),AE88,0))</f>
        <v>43.2</v>
      </c>
      <c r="S88" s="4">
        <f>IF(R88=T88-IF(OR(H88="L6"),V88,0),MAX(W88-IF(OR(H88="L6"),Y88,0),Z88-IF(OR(H88="L6"),AB88,0),AC88-IF(OR(H88="L6"),AE88,0)),IF(R88=W88-IF(OR(H88="L6"),Y88,0),MAX(T88-IF(OR(H88="L6"),V88,0),Z88-IF(OR(H88="L6"),AB88,0),AC88-IF(OR(H88="L6"),AE88,0)),IF(R88=Z88-IF(OR(H88="L6"),AB88,0),MAX(T88-IF(OR(H88="L6"),V88,0),W88-IF(OR(H88="L6"),Y88,0),AC88-IF(OR(H88="L6"),AE88,0)),IF(R88=AC88-IF(OR(H88="L6"),AE88,0),MAX(T88-IF(OR(H88="L6"),V88,0),W88-IF(OR(H88="L6"),Y88,0),Z88-IF(OR(H88="L6"),AB88,0)),0))))</f>
        <v>42</v>
      </c>
      <c r="T88" s="32">
        <v>40.6</v>
      </c>
      <c r="U88" s="37">
        <v>5.6</v>
      </c>
      <c r="V88" s="37">
        <v>0</v>
      </c>
      <c r="W88" s="33">
        <v>43.2</v>
      </c>
      <c r="X88" s="37">
        <v>7.1</v>
      </c>
      <c r="Y88" s="37">
        <v>0</v>
      </c>
      <c r="Z88" s="32">
        <v>37.799999999999997</v>
      </c>
      <c r="AA88" s="37">
        <v>4.3</v>
      </c>
      <c r="AB88" s="37">
        <v>0</v>
      </c>
      <c r="AC88" s="33">
        <v>42</v>
      </c>
      <c r="AD88" s="37">
        <v>6.8</v>
      </c>
      <c r="AE88" s="37">
        <v>0</v>
      </c>
    </row>
    <row r="89" spans="1:31" x14ac:dyDescent="0.2">
      <c r="A89" s="1" t="str" cm="1">
        <f t="array" ref="A89">IF(I89="","",IF(P89&lt;&gt;"",SUMPRODUCT((P$3:P$94&lt;&gt;"")*(G$3:G$94=G89)*(J$3:J$94&gt;J89)*(I$3:I$94="P"))+1,IF(O89&lt;&gt;"",SUMPRODUCT((O$3:O$94&lt;&gt;"")*(P$3:P$94="")*(G$3:G$94=G89)*(J$3:J$94&gt;J89)*(I$3:I$94="P"))+SUMPRODUCT((P$3:P$94&lt;&gt;"")*(G$3:G$94=G89)*(I$3:I$94="P"))+1,IF(N89&lt;&gt;"",SUMPRODUCT((N$3:N$94&lt;&gt;"")*(G$3:G$94=G89)*(J$3:J$94&gt;J89)*(I$3:I$94="P"))+1,IF(M89="P",SUMPRODUCT((O$3:O$94&lt;&gt;"")*(P$3:P$94="")*(G$3:G$94=G89)*(I$3:I$94="P"))+SUMPRODUCT((P$3:P$94&lt;&gt;"")*(G$3:G$94=G89)*(I$3:I$94="P"))+SUMPRODUCT((N$3:N$94&lt;&gt;"")*(G$3:G$94=G89)*(I$3:I$94="P"))+SUMPRODUCT((P$3:P$94="")*(O$3:O$94="")*(N$3:N$94="")*(M$3:M$94="P")*(G$3:G$94=G89)*(J$3:J$94&gt;J89)*(I$3:I$94="P"))+IF(H89="L5",SUMPRODUCT((P$3:P$94="")*(O$3:O$94="")*(N$3:N$94="")*(M$3:M$94="P")*(G$3:G$94=G89)*(J$3:J$94&lt;J89)*(H$3:H$94&lt;&gt;H89)*(I$3:I$94="P")),-1*SUMPRODUCT((P$3:P$94="")*(O$3:O$94="")*(N$3:N$94="")*(M$3:M$94="P")*(G$3:G$94=G89)*(J$3:J$94&gt;J89)*(H$3:H$94="L5")*(I$3:I$94="P")))+1,"")))))</f>
        <v/>
      </c>
      <c r="B89" s="1" t="str" cm="1">
        <f t="array" ref="B89">IF(P89&lt;&gt;"",SUMPRODUCT((P$3:P$94&lt;&gt;"")*(G$3:G$94=G89)*(J$3:J$94&gt;J89))+1,IF(O89&lt;&gt;"",SUMPRODUCT((O$3:O$94&lt;&gt;"")*(P$3:P$94="")*(G$3:G$94=G89)*(J$3:J$94&gt;J89))+SUMPRODUCT((P$3:P$94&lt;&gt;"")*(G$3:G$94=G89))+1,IF(N89&lt;&gt;"",SUMPRODUCT((N$3:N$94&lt;&gt;"")*(G$3:G$94=G89)*(J$3:J$94&gt;J89))+1,IF(M89="P",SUMPRODUCT((O$3:O$94&lt;&gt;"")*(P$3:P$94="")*(G$3:G$94=G89))+SUMPRODUCT((P$3:P$94&lt;&gt;"")*(G$3:G$94=G89))+SUMPRODUCT((N$3:N$94&lt;&gt;"")*(G$3:G$94=G89))+SUMPRODUCT((P$3:P$94="")*(O$3:O$94="")*(N$3:N$94="")*(M$3:M$94="P")*(G$3:G$94=G89)*(J$3:J$94&gt;J89))+IF(H89="L5",SUMPRODUCT((P$3:P$94="")*(O$3:O$94="")*(N$3:N$94="")*(M$3:M$94="P")*(G$3:G$94=G89)*(J$3:J$94&lt;J89)*(H$3:H$94&lt;&gt;H89)),-1*SUMPRODUCT((P$3:P$94="")*(O$3:O$94="")*(N$3:N$94="")*(M$3:M$94="P")*(G$3:G$94=G89)*(J$3:J$94&gt;J89)*(H$3:H$94="L5")))+1,""))))</f>
        <v/>
      </c>
      <c r="C89" s="35" t="s">
        <v>487</v>
      </c>
      <c r="D89" t="str">
        <f>IF(E89="","",VLOOKUP(E89,'Coaching Points'!A:B,2,0))</f>
        <v>NS</v>
      </c>
      <c r="E89" s="35" t="s">
        <v>127</v>
      </c>
      <c r="F89" s="34">
        <v>2011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6" t="s">
        <v>214</v>
      </c>
      <c r="I89" s="40"/>
      <c r="J89" s="4">
        <f>R89+S89+IF(OR(H89="Junior",H89="Senior"),0.0002,IF(OR(H89="L7",H89="L6"),0.0001,0))+MAX(Z89,AC89)*0.0000001</f>
        <v>82.100004269999999</v>
      </c>
      <c r="K89" s="3" t="str">
        <f>IF(G89="Not Age Eligible","",IF(MAX(T89,W89,Z89,AC89)&gt;=LOOKUP(G89,'Qualifying Scores'!$A$4:$A$7,'Qualifying Scores'!$G$4:$G$7),"P",""))</f>
        <v/>
      </c>
      <c r="L89" s="3" t="str">
        <f>IF(G89="Not Age Eligible","",IF(MAX(U89,X89,AA89,AD89)&gt;=LOOKUP(G89,'Qualifying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Scores'!$G$10:$G$13)),AND(Z89&gt;=LOOKUP(G89,'Qualifying Scores'!$A$4:$A$7,'Qualifying Scores'!$G$4:$G$7),AA89&gt;=LOOKUP(G89,'Qualifying Scores'!$A$10:$A$13,'Qualifying Scores'!$G$10:$G$13)),AND(W89&gt;=LOOKUP(G89,'Qualifying Scores'!$A$4:$A$7,'Qualifying Scores'!$G$4:$G$7),X89&gt;=LOOKUP(G89,'Qualifying Scores'!$A$10:$A$13,'Qualifying Scores'!$G$10:$G$13)),AND(AC89&gt;=LOOKUP(G89,'Qualifying Scores'!$A$4:$A$7,'Qualifying Scores'!$G$4:$G$7),AD89&gt;=LOOKUP(G89,'Qualifying Scores'!$A$10:$A$13,'Qualifying Scores'!$G$10:$G$13))),"P",""))</f>
        <v/>
      </c>
      <c r="Q89" s="1" t="str">
        <f>IF(A89&lt;5,IF(_xlfn.MAXIFS(A:A,G:G,G89)&gt;3,5-A89,_xlfn.MAXIFS(A:A,G:G,G89)+1-A89),"")</f>
        <v/>
      </c>
      <c r="R89" s="4">
        <f>MAX(T89-IF(OR(H89="L6"),V89,0),W89-IF(OR(H89="L6"),Y89,0),Z89-IF(OR(H89="L6"),AB89,0),AC89-IF(OR(H89="L6"),AE89,0))</f>
        <v>42.7</v>
      </c>
      <c r="S89" s="4">
        <f>IF(R89=T89-IF(OR(H89="L6"),V89,0),MAX(W89-IF(OR(H89="L6"),Y89,0),Z89-IF(OR(H89="L6"),AB89,0),AC89-IF(OR(H89="L6"),AE89,0)),IF(R89=W89-IF(OR(H89="L6"),Y89,0),MAX(T89-IF(OR(H89="L6"),V89,0),Z89-IF(OR(H89="L6"),AB89,0),AC89-IF(OR(H89="L6"),AE89,0)),IF(R89=Z89-IF(OR(H89="L6"),AB89,0),MAX(T89-IF(OR(H89="L6"),V89,0),W89-IF(OR(H89="L6"),Y89,0),AC89-IF(OR(H89="L6"),AE89,0)),IF(R89=AC89-IF(OR(H89="L6"),AE89,0),MAX(T89-IF(OR(H89="L6"),V89,0),W89-IF(OR(H89="L6"),Y89,0),Z89-IF(OR(H89="L6"),AB89,0)),0))))</f>
        <v>39.4</v>
      </c>
      <c r="T89" s="32"/>
      <c r="U89" s="37"/>
      <c r="V89" s="37"/>
      <c r="W89" s="33"/>
      <c r="X89" s="37"/>
      <c r="Y89" s="37"/>
      <c r="Z89" s="32">
        <v>39.4</v>
      </c>
      <c r="AA89" s="37">
        <v>4.0999999999999996</v>
      </c>
      <c r="AB89" s="37">
        <v>0</v>
      </c>
      <c r="AC89" s="33">
        <v>42.7</v>
      </c>
      <c r="AD89" s="37">
        <v>6.1</v>
      </c>
      <c r="AE89" s="37">
        <v>0</v>
      </c>
    </row>
    <row r="90" spans="1:31" x14ac:dyDescent="0.2">
      <c r="A90" s="1" t="str" cm="1">
        <f t="array" ref="A90">IF(I90="","",IF(P90&lt;&gt;"",SUMPRODUCT((P$3:P$94&lt;&gt;"")*(G$3:G$94=G90)*(J$3:J$94&gt;J90)*(I$3:I$94="P"))+1,IF(O90&lt;&gt;"",SUMPRODUCT((O$3:O$94&lt;&gt;"")*(P$3:P$94="")*(G$3:G$94=G90)*(J$3:J$94&gt;J90)*(I$3:I$94="P"))+SUMPRODUCT((P$3:P$94&lt;&gt;"")*(G$3:G$94=G90)*(I$3:I$94="P"))+1,IF(N90&lt;&gt;"",SUMPRODUCT((N$3:N$94&lt;&gt;"")*(G$3:G$94=G90)*(J$3:J$94&gt;J90)*(I$3:I$94="P"))+1,IF(M90="P",SUMPRODUCT((O$3:O$94&lt;&gt;"")*(P$3:P$94="")*(G$3:G$94=G90)*(I$3:I$94="P"))+SUMPRODUCT((P$3:P$94&lt;&gt;"")*(G$3:G$94=G90)*(I$3:I$94="P"))+SUMPRODUCT((N$3:N$94&lt;&gt;"")*(G$3:G$94=G90)*(I$3:I$94="P"))+SUMPRODUCT((P$3:P$94="")*(O$3:O$94="")*(N$3:N$94="")*(M$3:M$94="P")*(G$3:G$94=G90)*(J$3:J$94&gt;J90)*(I$3:I$94="P"))+IF(H90="L5",SUMPRODUCT((P$3:P$94="")*(O$3:O$94="")*(N$3:N$94="")*(M$3:M$94="P")*(G$3:G$94=G90)*(J$3:J$94&lt;J90)*(H$3:H$94&lt;&gt;H90)*(I$3:I$94="P")),-1*SUMPRODUCT((P$3:P$94="")*(O$3:O$94="")*(N$3:N$94="")*(M$3:M$94="P")*(G$3:G$94=G90)*(J$3:J$94&gt;J90)*(H$3:H$94="L5")*(I$3:I$94="P")))+1,"")))))</f>
        <v/>
      </c>
      <c r="B90" s="1" t="str" cm="1">
        <f t="array" ref="B90">IF(P90&lt;&gt;"",SUMPRODUCT((P$3:P$94&lt;&gt;"")*(G$3:G$94=G90)*(J$3:J$94&gt;J90))+1,IF(O90&lt;&gt;"",SUMPRODUCT((O$3:O$94&lt;&gt;"")*(P$3:P$94="")*(G$3:G$94=G90)*(J$3:J$94&gt;J90))+SUMPRODUCT((P$3:P$94&lt;&gt;"")*(G$3:G$94=G90))+1,IF(N90&lt;&gt;"",SUMPRODUCT((N$3:N$94&lt;&gt;"")*(G$3:G$94=G90)*(J$3:J$94&gt;J90))+1,IF(M90="P",SUMPRODUCT((O$3:O$94&lt;&gt;"")*(P$3:P$94="")*(G$3:G$94=G90))+SUMPRODUCT((P$3:P$94&lt;&gt;"")*(G$3:G$94=G90))+SUMPRODUCT((N$3:N$94&lt;&gt;"")*(G$3:G$94=G90))+SUMPRODUCT((P$3:P$94="")*(O$3:O$94="")*(N$3:N$94="")*(M$3:M$94="P")*(G$3:G$94=G90)*(J$3:J$94&gt;J90))+IF(H90="L5",SUMPRODUCT((P$3:P$94="")*(O$3:O$94="")*(N$3:N$94="")*(M$3:M$94="P")*(G$3:G$94=G90)*(J$3:J$94&lt;J90)*(H$3:H$94&lt;&gt;H90)),-1*SUMPRODUCT((P$3:P$94="")*(O$3:O$94="")*(N$3:N$94="")*(M$3:M$94="P")*(G$3:G$94=G90)*(J$3:J$94&gt;J90)*(H$3:H$94="L5")))+1,""))))</f>
        <v/>
      </c>
      <c r="C90" s="35" t="s">
        <v>488</v>
      </c>
      <c r="D90" t="str">
        <f>IF(E90="","",VLOOKUP(E90,'Coaching Points'!A:B,2,0))</f>
        <v>AB</v>
      </c>
      <c r="E90" s="35" t="s">
        <v>361</v>
      </c>
      <c r="F90" s="34">
        <v>2011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6" t="s">
        <v>214</v>
      </c>
      <c r="I90" s="40"/>
      <c r="J90" s="4">
        <f>R90+S90+IF(OR(H90="Junior",H90="Senior"),0.0002,IF(OR(H90="L7",H90="L6"),0.0001,0))+MAX(Z90,AC90)*0.0000001</f>
        <v>80.200004279999987</v>
      </c>
      <c r="K90" s="3" t="str">
        <f>IF(G90="Not Age Eligible","",IF(MAX(T90,W90,Z90,AC90)&gt;=LOOKUP(G90,'Qualifying Scores'!$A$4:$A$7,'Qualifying Scores'!$G$4:$G$7),"P",""))</f>
        <v/>
      </c>
      <c r="L90" s="3" t="str">
        <f>IF(G90="Not Age Eligible","",IF(MAX(U90,X90,AA90,AD90)&gt;=LOOKUP(G90,'Qualifying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Scores'!$G$10:$G$13)),AND(Z90&gt;=LOOKUP(G90,'Qualifying Scores'!$A$4:$A$7,'Qualifying Scores'!$G$4:$G$7),AA90&gt;=LOOKUP(G90,'Qualifying Scores'!$A$10:$A$13,'Qualifying Scores'!$G$10:$G$13)),AND(W90&gt;=LOOKUP(G90,'Qualifying Scores'!$A$4:$A$7,'Qualifying Scores'!$G$4:$G$7),X90&gt;=LOOKUP(G90,'Qualifying Scores'!$A$10:$A$13,'Qualifying Scores'!$G$10:$G$13)),AND(AC90&gt;=LOOKUP(G90,'Qualifying Scores'!$A$4:$A$7,'Qualifying Scores'!$G$4:$G$7),AD90&gt;=LOOKUP(G90,'Qualifying Scores'!$A$10:$A$13,'Qualifying Scores'!$G$10:$G$13))),"P",""))</f>
        <v/>
      </c>
      <c r="Q90" s="1" t="str">
        <f>IF(A90&lt;5,IF(_xlfn.MAXIFS(A:A,G:G,G90)&gt;3,5-A90,_xlfn.MAXIFS(A:A,G:G,G90)+1-A90),"")</f>
        <v/>
      </c>
      <c r="R90" s="4">
        <f>MAX(T90-IF(OR(H90="L6"),V90,0),W90-IF(OR(H90="L6"),Y90,0),Z90-IF(OR(H90="L6"),AB90,0),AC90-IF(OR(H90="L6"),AE90,0))</f>
        <v>42.8</v>
      </c>
      <c r="S90" s="4">
        <f>IF(R90=T90-IF(OR(H90="L6"),V90,0),MAX(W90-IF(OR(H90="L6"),Y90,0),Z90-IF(OR(H90="L6"),AB90,0),AC90-IF(OR(H90="L6"),AE90,0)),IF(R90=W90-IF(OR(H90="L6"),Y90,0),MAX(T90-IF(OR(H90="L6"),V90,0),Z90-IF(OR(H90="L6"),AB90,0),AC90-IF(OR(H90="L6"),AE90,0)),IF(R90=Z90-IF(OR(H90="L6"),AB90,0),MAX(T90-IF(OR(H90="L6"),V90,0),W90-IF(OR(H90="L6"),Y90,0),AC90-IF(OR(H90="L6"),AE90,0)),IF(R90=AC90-IF(OR(H90="L6"),AE90,0),MAX(T90-IF(OR(H90="L6"),V90,0),W90-IF(OR(H90="L6"),Y90,0),Z90-IF(OR(H90="L6"),AB90,0)),0))))</f>
        <v>37.4</v>
      </c>
      <c r="T90" s="32"/>
      <c r="U90" s="37"/>
      <c r="V90" s="37"/>
      <c r="W90" s="33"/>
      <c r="X90" s="37"/>
      <c r="Y90" s="37"/>
      <c r="Z90" s="32">
        <v>37.4</v>
      </c>
      <c r="AA90" s="37">
        <v>3.5999999999999996</v>
      </c>
      <c r="AB90" s="37">
        <v>0</v>
      </c>
      <c r="AC90" s="33">
        <v>42.8</v>
      </c>
      <c r="AD90" s="37">
        <v>6.3000000000000007</v>
      </c>
      <c r="AE90" s="37">
        <v>0</v>
      </c>
    </row>
    <row r="91" spans="1:31" x14ac:dyDescent="0.2">
      <c r="A91" s="1" t="str" cm="1">
        <f t="array" ref="A91">IF(I91="","",IF(P91&lt;&gt;"",SUMPRODUCT((P$3:P$94&lt;&gt;"")*(G$3:G$94=G91)*(J$3:J$94&gt;J91)*(I$3:I$94="P"))+1,IF(O91&lt;&gt;"",SUMPRODUCT((O$3:O$94&lt;&gt;"")*(P$3:P$94="")*(G$3:G$94=G91)*(J$3:J$94&gt;J91)*(I$3:I$94="P"))+SUMPRODUCT((P$3:P$94&lt;&gt;"")*(G$3:G$94=G91)*(I$3:I$94="P"))+1,IF(N91&lt;&gt;"",SUMPRODUCT((N$3:N$94&lt;&gt;"")*(G$3:G$94=G91)*(J$3:J$94&gt;J91)*(I$3:I$94="P"))+1,IF(M91="P",SUMPRODUCT((O$3:O$94&lt;&gt;"")*(P$3:P$94="")*(G$3:G$94=G91)*(I$3:I$94="P"))+SUMPRODUCT((P$3:P$94&lt;&gt;"")*(G$3:G$94=G91)*(I$3:I$94="P"))+SUMPRODUCT((N$3:N$94&lt;&gt;"")*(G$3:G$94=G91)*(I$3:I$94="P"))+SUMPRODUCT((P$3:P$94="")*(O$3:O$94="")*(N$3:N$94="")*(M$3:M$94="P")*(G$3:G$94=G91)*(J$3:J$94&gt;J91)*(I$3:I$94="P"))+IF(H91="L5",SUMPRODUCT((P$3:P$94="")*(O$3:O$94="")*(N$3:N$94="")*(M$3:M$94="P")*(G$3:G$94=G91)*(J$3:J$94&lt;J91)*(H$3:H$94&lt;&gt;H91)*(I$3:I$94="P")),-1*SUMPRODUCT((P$3:P$94="")*(O$3:O$94="")*(N$3:N$94="")*(M$3:M$94="P")*(G$3:G$94=G91)*(J$3:J$94&gt;J91)*(H$3:H$94="L5")*(I$3:I$94="P")))+1,"")))))</f>
        <v/>
      </c>
      <c r="B91" s="1" t="str" cm="1">
        <f t="array" ref="B91">IF(P91&lt;&gt;"",SUMPRODUCT((P$3:P$94&lt;&gt;"")*(G$3:G$94=G91)*(J$3:J$94&gt;J91))+1,IF(O91&lt;&gt;"",SUMPRODUCT((O$3:O$94&lt;&gt;"")*(P$3:P$94="")*(G$3:G$94=G91)*(J$3:J$94&gt;J91))+SUMPRODUCT((P$3:P$94&lt;&gt;"")*(G$3:G$94=G91))+1,IF(N91&lt;&gt;"",SUMPRODUCT((N$3:N$94&lt;&gt;"")*(G$3:G$94=G91)*(J$3:J$94&gt;J91))+1,IF(M91="P",SUMPRODUCT((O$3:O$94&lt;&gt;"")*(P$3:P$94="")*(G$3:G$94=G91))+SUMPRODUCT((P$3:P$94&lt;&gt;"")*(G$3:G$94=G91))+SUMPRODUCT((N$3:N$94&lt;&gt;"")*(G$3:G$94=G91))+SUMPRODUCT((P$3:P$94="")*(O$3:O$94="")*(N$3:N$94="")*(M$3:M$94="P")*(G$3:G$94=G91)*(J$3:J$94&gt;J91))+IF(H91="L5",SUMPRODUCT((P$3:P$94="")*(O$3:O$94="")*(N$3:N$94="")*(M$3:M$94="P")*(G$3:G$94=G91)*(J$3:J$94&lt;J91)*(H$3:H$94&lt;&gt;H91)),-1*SUMPRODUCT((P$3:P$94="")*(O$3:O$94="")*(N$3:N$94="")*(M$3:M$94="P")*(G$3:G$94=G91)*(J$3:J$94&gt;J91)*(H$3:H$94="L5")))+1,""))))</f>
        <v/>
      </c>
      <c r="C91" s="35" t="s">
        <v>489</v>
      </c>
      <c r="D91" t="str">
        <f>IF(E91="","",VLOOKUP(E91,'Coaching Points'!A:B,2,0))</f>
        <v>NS</v>
      </c>
      <c r="E91" s="35" t="s">
        <v>86</v>
      </c>
      <c r="F91" s="34">
        <v>2011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6" t="s">
        <v>214</v>
      </c>
      <c r="I91" s="40"/>
      <c r="J91" s="4">
        <f>R91+S91+IF(OR(H91="Junior",H91="Senior"),0.0002,IF(OR(H91="L7",H91="L6"),0.0001,0))+MAX(Z91,AC91)*0.0000001</f>
        <v>80.00000421</v>
      </c>
      <c r="K91" s="3" t="str">
        <f>IF(G91="Not Age Eligible","",IF(MAX(T91,W91,Z91,AC91)&gt;=LOOKUP(G91,'Qualifying Scores'!$A$4:$A$7,'Qualifying Scores'!$G$4:$G$7),"P",""))</f>
        <v/>
      </c>
      <c r="L91" s="3" t="str">
        <f>IF(G91="Not Age Eligible","",IF(MAX(U91,X91,AA91,AD91)&gt;=LOOKUP(G91,'Qualifying Scores'!$A$10:$A$13,'Qualifying Scores'!$G$10:$G$13),"P",""))</f>
        <v/>
      </c>
      <c r="M91" s="3" t="str">
        <f>IF(G91="Not Age Eligible","",IF(OR(AND(T91&gt;=LOOKUP(G91,'Qualifying Scores'!$A$4:$A$7,'Qualifying Scores'!$G$4:$G$7),U91&gt;=LOOKUP(G91,'Qualifying Scores'!$A$10:$A$13,'Qualifying Scores'!$G$10:$G$13)),AND(Z91&gt;=LOOKUP(G91,'Qualifying Scores'!$A$4:$A$7,'Qualifying Scores'!$G$4:$G$7),AA91&gt;=LOOKUP(G91,'Qualifying Scores'!$A$10:$A$13,'Qualifying Scores'!$G$10:$G$13)),AND(W91&gt;=LOOKUP(G91,'Qualifying Scores'!$A$4:$A$7,'Qualifying Scores'!$G$4:$G$7),X91&gt;=LOOKUP(G91,'Qualifying Scores'!$A$10:$A$13,'Qualifying Scores'!$G$10:$G$13)),AND(AC91&gt;=LOOKUP(G91,'Qualifying Scores'!$A$4:$A$7,'Qualifying Scores'!$G$4:$G$7),AD91&gt;=LOOKUP(G91,'Qualifying Scores'!$A$10:$A$13,'Qualifying Scores'!$G$10:$G$13))),"P",""))</f>
        <v/>
      </c>
      <c r="Q91" s="1" t="str">
        <f>IF(A91&lt;5,IF(_xlfn.MAXIFS(A:A,G:G,G91)&gt;3,5-A91,_xlfn.MAXIFS(A:A,G:G,G91)+1-A91),"")</f>
        <v/>
      </c>
      <c r="R91" s="4">
        <f>MAX(T91-IF(OR(H91="L6"),V91,0),W91-IF(OR(H91="L6"),Y91,0),Z91-IF(OR(H91="L6"),AB91,0),AC91-IF(OR(H91="L6"),AE91,0))</f>
        <v>42.1</v>
      </c>
      <c r="S91" s="4">
        <f>IF(R91=T91-IF(OR(H91="L6"),V91,0),MAX(W91-IF(OR(H91="L6"),Y91,0),Z91-IF(OR(H91="L6"),AB91,0),AC91-IF(OR(H91="L6"),AE91,0)),IF(R91=W91-IF(OR(H91="L6"),Y91,0),MAX(T91-IF(OR(H91="L6"),V91,0),Z91-IF(OR(H91="L6"),AB91,0),AC91-IF(OR(H91="L6"),AE91,0)),IF(R91=Z91-IF(OR(H91="L6"),AB91,0),MAX(T91-IF(OR(H91="L6"),V91,0),W91-IF(OR(H91="L6"),Y91,0),AC91-IF(OR(H91="L6"),AE91,0)),IF(R91=AC91-IF(OR(H91="L6"),AE91,0),MAX(T91-IF(OR(H91="L6"),V91,0),W91-IF(OR(H91="L6"),Y91,0),Z91-IF(OR(H91="L6"),AB91,0)),0))))</f>
        <v>37.9</v>
      </c>
      <c r="T91" s="32"/>
      <c r="U91" s="37"/>
      <c r="V91" s="37"/>
      <c r="W91" s="33"/>
      <c r="X91" s="37"/>
      <c r="Y91" s="37"/>
      <c r="Z91" s="32">
        <v>37.9</v>
      </c>
      <c r="AA91" s="37">
        <v>4.3</v>
      </c>
      <c r="AB91" s="37">
        <v>0</v>
      </c>
      <c r="AC91" s="33">
        <v>42.1</v>
      </c>
      <c r="AD91" s="37">
        <v>5.6</v>
      </c>
      <c r="AE91" s="37">
        <v>0</v>
      </c>
    </row>
    <row r="92" spans="1:31" x14ac:dyDescent="0.2">
      <c r="A92" s="1" t="str" cm="1">
        <f t="array" ref="A92">IF(I92="","",IF(P92&lt;&gt;"",SUMPRODUCT((P$3:P$94&lt;&gt;"")*(G$3:G$94=G92)*(J$3:J$94&gt;J92)*(I$3:I$94="P"))+1,IF(O92&lt;&gt;"",SUMPRODUCT((O$3:O$94&lt;&gt;"")*(P$3:P$94="")*(G$3:G$94=G92)*(J$3:J$94&gt;J92)*(I$3:I$94="P"))+SUMPRODUCT((P$3:P$94&lt;&gt;"")*(G$3:G$94=G92)*(I$3:I$94="P"))+1,IF(N92&lt;&gt;"",SUMPRODUCT((N$3:N$94&lt;&gt;"")*(G$3:G$94=G92)*(J$3:J$94&gt;J92)*(I$3:I$94="P"))+1,IF(M92="P",SUMPRODUCT((O$3:O$94&lt;&gt;"")*(P$3:P$94="")*(G$3:G$94=G92)*(I$3:I$94="P"))+SUMPRODUCT((P$3:P$94&lt;&gt;"")*(G$3:G$94=G92)*(I$3:I$94="P"))+SUMPRODUCT((N$3:N$94&lt;&gt;"")*(G$3:G$94=G92)*(I$3:I$94="P"))+SUMPRODUCT((P$3:P$94="")*(O$3:O$94="")*(N$3:N$94="")*(M$3:M$94="P")*(G$3:G$94=G92)*(J$3:J$94&gt;J92)*(I$3:I$94="P"))+IF(H92="L5",SUMPRODUCT((P$3:P$94="")*(O$3:O$94="")*(N$3:N$94="")*(M$3:M$94="P")*(G$3:G$94=G92)*(J$3:J$94&lt;J92)*(H$3:H$94&lt;&gt;H92)*(I$3:I$94="P")),-1*SUMPRODUCT((P$3:P$94="")*(O$3:O$94="")*(N$3:N$94="")*(M$3:M$94="P")*(G$3:G$94=G92)*(J$3:J$94&gt;J92)*(H$3:H$94="L5")*(I$3:I$94="P")))+1,"")))))</f>
        <v/>
      </c>
      <c r="B92" s="1" t="str" cm="1">
        <f t="array" ref="B92">IF(P92&lt;&gt;"",SUMPRODUCT((P$3:P$94&lt;&gt;"")*(G$3:G$94=G92)*(J$3:J$94&gt;J92))+1,IF(O92&lt;&gt;"",SUMPRODUCT((O$3:O$94&lt;&gt;"")*(P$3:P$94="")*(G$3:G$94=G92)*(J$3:J$94&gt;J92))+SUMPRODUCT((P$3:P$94&lt;&gt;"")*(G$3:G$94=G92))+1,IF(N92&lt;&gt;"",SUMPRODUCT((N$3:N$94&lt;&gt;"")*(G$3:G$94=G92)*(J$3:J$94&gt;J92))+1,IF(M92="P",SUMPRODUCT((O$3:O$94&lt;&gt;"")*(P$3:P$94="")*(G$3:G$94=G92))+SUMPRODUCT((P$3:P$94&lt;&gt;"")*(G$3:G$94=G92))+SUMPRODUCT((N$3:N$94&lt;&gt;"")*(G$3:G$94=G92))+SUMPRODUCT((P$3:P$94="")*(O$3:O$94="")*(N$3:N$94="")*(M$3:M$94="P")*(G$3:G$94=G92)*(J$3:J$94&gt;J92))+IF(H92="L5",SUMPRODUCT((P$3:P$94="")*(O$3:O$94="")*(N$3:N$94="")*(M$3:M$94="P")*(G$3:G$94=G92)*(J$3:J$94&lt;J92)*(H$3:H$94&lt;&gt;H92)),-1*SUMPRODUCT((P$3:P$94="")*(O$3:O$94="")*(N$3:N$94="")*(M$3:M$94="P")*(G$3:G$94=G92)*(J$3:J$94&gt;J92)*(H$3:H$94="L5")))+1,""))))</f>
        <v/>
      </c>
      <c r="C92" s="35" t="s">
        <v>366</v>
      </c>
      <c r="D92" t="str">
        <f>IF(E92="","",VLOOKUP(E92,'Coaching Points'!A:B,2,0))</f>
        <v>AB</v>
      </c>
      <c r="E92" s="35" t="s">
        <v>28</v>
      </c>
      <c r="F92" s="34">
        <v>2011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6" t="s">
        <v>214</v>
      </c>
      <c r="I92" s="40"/>
      <c r="J92" s="4">
        <f>R92+S92+IF(OR(H92="Junior",H92="Senior"),0.0002,IF(OR(H92="L7",H92="L6"),0.0001,0))+MAX(Z92,AC92)*0.0000001</f>
        <v>79.50000369</v>
      </c>
      <c r="K92" s="3" t="str">
        <f>IF(G92="Not Age Eligible","",IF(MAX(T92,W92,Z92,AC92)&gt;=LOOKUP(G92,'Qualifying Scores'!$A$4:$A$7,'Qualifying Scores'!$G$4:$G$7),"P",""))</f>
        <v/>
      </c>
      <c r="L92" s="3" t="str">
        <f>IF(G92="Not Age Eligible","",IF(MAX(U92,X92,AA92,AD92)&gt;=LOOKUP(G92,'Qualifying Scores'!$A$10:$A$13,'Qualifying Scores'!$G$10:$G$13),"P",""))</f>
        <v/>
      </c>
      <c r="M92" s="3" t="str">
        <f>IF(G92="Not Age Eligible","",IF(OR(AND(T92&gt;=LOOKUP(G92,'Qualifying Scores'!$A$4:$A$7,'Qualifying Scores'!$G$4:$G$7),U92&gt;=LOOKUP(G92,'Qualifying Scores'!$A$10:$A$13,'Qualifying Scores'!$G$10:$G$13)),AND(Z92&gt;=LOOKUP(G92,'Qualifying Scores'!$A$4:$A$7,'Qualifying Scores'!$G$4:$G$7),AA92&gt;=LOOKUP(G92,'Qualifying Scores'!$A$10:$A$13,'Qualifying Scores'!$G$10:$G$13)),AND(W92&gt;=LOOKUP(G92,'Qualifying Scores'!$A$4:$A$7,'Qualifying Scores'!$G$4:$G$7),X92&gt;=LOOKUP(G92,'Qualifying Scores'!$A$10:$A$13,'Qualifying Scores'!$G$10:$G$13)),AND(AC92&gt;=LOOKUP(G92,'Qualifying Scores'!$A$4:$A$7,'Qualifying Scores'!$G$4:$G$7),AD92&gt;=LOOKUP(G92,'Qualifying Scores'!$A$10:$A$13,'Qualifying Scores'!$G$10:$G$13))),"P",""))</f>
        <v/>
      </c>
      <c r="Q92" s="1" t="str">
        <f>IF(A92&lt;5,IF(_xlfn.MAXIFS(A:A,G:G,G92)&gt;3,5-A92,_xlfn.MAXIFS(A:A,G:G,G92)+1-A92),"")</f>
        <v/>
      </c>
      <c r="R92" s="4">
        <f>MAX(T92-IF(OR(H92="L6"),V92,0),W92-IF(OR(H92="L6"),Y92,0),Z92-IF(OR(H92="L6"),AB92,0),AC92-IF(OR(H92="L6"),AE92,0))</f>
        <v>42.6</v>
      </c>
      <c r="S92" s="4">
        <f>IF(R92=T92-IF(OR(H92="L6"),V92,0),MAX(W92-IF(OR(H92="L6"),Y92,0),Z92-IF(OR(H92="L6"),AB92,0),AC92-IF(OR(H92="L6"),AE92,0)),IF(R92=W92-IF(OR(H92="L6"),Y92,0),MAX(T92-IF(OR(H92="L6"),V92,0),Z92-IF(OR(H92="L6"),AB92,0),AC92-IF(OR(H92="L6"),AE92,0)),IF(R92=Z92-IF(OR(H92="L6"),AB92,0),MAX(T92-IF(OR(H92="L6"),V92,0),W92-IF(OR(H92="L6"),Y92,0),AC92-IF(OR(H92="L6"),AE92,0)),IF(R92=AC92-IF(OR(H92="L6"),AE92,0),MAX(T92-IF(OR(H92="L6"),V92,0),W92-IF(OR(H92="L6"),Y92,0),Z92-IF(OR(H92="L6"),AB92,0)),0))))</f>
        <v>36.9</v>
      </c>
      <c r="T92" s="32">
        <v>36.4</v>
      </c>
      <c r="U92" s="37">
        <v>2.5</v>
      </c>
      <c r="V92" s="37">
        <v>0</v>
      </c>
      <c r="W92" s="33">
        <v>42.6</v>
      </c>
      <c r="X92" s="37">
        <v>6.3000000000000007</v>
      </c>
      <c r="Y92" s="37">
        <v>0</v>
      </c>
      <c r="Z92" s="32">
        <v>36.9</v>
      </c>
      <c r="AA92" s="37">
        <v>3</v>
      </c>
      <c r="AB92" s="37">
        <v>0</v>
      </c>
      <c r="AC92" s="33"/>
      <c r="AD92" s="37"/>
      <c r="AE92" s="37"/>
    </row>
    <row r="93" spans="1:31" x14ac:dyDescent="0.2">
      <c r="A93" s="1" t="str" cm="1">
        <f t="array" ref="A93">IF(I93="","",IF(P93&lt;&gt;"",SUMPRODUCT((P$3:P$94&lt;&gt;"")*(G$3:G$94=G93)*(J$3:J$94&gt;J93)*(I$3:I$94="P"))+1,IF(O93&lt;&gt;"",SUMPRODUCT((O$3:O$94&lt;&gt;"")*(P$3:P$94="")*(G$3:G$94=G93)*(J$3:J$94&gt;J93)*(I$3:I$94="P"))+SUMPRODUCT((P$3:P$94&lt;&gt;"")*(G$3:G$94=G93)*(I$3:I$94="P"))+1,IF(N93&lt;&gt;"",SUMPRODUCT((N$3:N$94&lt;&gt;"")*(G$3:G$94=G93)*(J$3:J$94&gt;J93)*(I$3:I$94="P"))+1,IF(M93="P",SUMPRODUCT((O$3:O$94&lt;&gt;"")*(P$3:P$94="")*(G$3:G$94=G93)*(I$3:I$94="P"))+SUMPRODUCT((P$3:P$94&lt;&gt;"")*(G$3:G$94=G93)*(I$3:I$94="P"))+SUMPRODUCT((N$3:N$94&lt;&gt;"")*(G$3:G$94=G93)*(I$3:I$94="P"))+SUMPRODUCT((P$3:P$94="")*(O$3:O$94="")*(N$3:N$94="")*(M$3:M$94="P")*(G$3:G$94=G93)*(J$3:J$94&gt;J93)*(I$3:I$94="P"))+IF(H93="L5",SUMPRODUCT((P$3:P$94="")*(O$3:O$94="")*(N$3:N$94="")*(M$3:M$94="P")*(G$3:G$94=G93)*(J$3:J$94&lt;J93)*(H$3:H$94&lt;&gt;H93)*(I$3:I$94="P")),-1*SUMPRODUCT((P$3:P$94="")*(O$3:O$94="")*(N$3:N$94="")*(M$3:M$94="P")*(G$3:G$94=G93)*(J$3:J$94&gt;J93)*(H$3:H$94="L5")*(I$3:I$94="P")))+1,"")))))</f>
        <v/>
      </c>
      <c r="B93" s="1" t="str" cm="1">
        <f t="array" ref="B93">IF(P93&lt;&gt;"",SUMPRODUCT((P$3:P$94&lt;&gt;"")*(G$3:G$94=G93)*(J$3:J$94&gt;J93))+1,IF(O93&lt;&gt;"",SUMPRODUCT((O$3:O$94&lt;&gt;"")*(P$3:P$94="")*(G$3:G$94=G93)*(J$3:J$94&gt;J93))+SUMPRODUCT((P$3:P$94&lt;&gt;"")*(G$3:G$94=G93))+1,IF(N93&lt;&gt;"",SUMPRODUCT((N$3:N$94&lt;&gt;"")*(G$3:G$94=G93)*(J$3:J$94&gt;J93))+1,IF(M93="P",SUMPRODUCT((O$3:O$94&lt;&gt;"")*(P$3:P$94="")*(G$3:G$94=G93))+SUMPRODUCT((P$3:P$94&lt;&gt;"")*(G$3:G$94=G93))+SUMPRODUCT((N$3:N$94&lt;&gt;"")*(G$3:G$94=G93))+SUMPRODUCT((P$3:P$94="")*(O$3:O$94="")*(N$3:N$94="")*(M$3:M$94="P")*(G$3:G$94=G93)*(J$3:J$94&gt;J93))+IF(H93="L5",SUMPRODUCT((P$3:P$94="")*(O$3:O$94="")*(N$3:N$94="")*(M$3:M$94="P")*(G$3:G$94=G93)*(J$3:J$94&lt;J93)*(H$3:H$94&lt;&gt;H93)),-1*SUMPRODUCT((P$3:P$94="")*(O$3:O$94="")*(N$3:N$94="")*(M$3:M$94="P")*(G$3:G$94=G93)*(J$3:J$94&gt;J93)*(H$3:H$94="L5")))+1,""))))</f>
        <v/>
      </c>
      <c r="C93" s="35" t="s">
        <v>491</v>
      </c>
      <c r="D93" t="str">
        <f>IF(E93="","",VLOOKUP(E93,'Coaching Points'!A:B,2,0))</f>
        <v>QC</v>
      </c>
      <c r="E93" s="35" t="s">
        <v>124</v>
      </c>
      <c r="F93" s="34">
        <v>2011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/>
      <c r="J93" s="4">
        <f>R93+S93+IF(OR(H93="Junior",H93="Senior"),0.0002,IF(OR(H93="L7",H93="L6"),0.0001,0))+MAX(Z93,AC93)*0.0000001</f>
        <v>32.200003220000006</v>
      </c>
      <c r="K93" s="3" t="str">
        <f>IF(G93="Not Age Eligible","",IF(MAX(T93,W93,Z93,AC93)&gt;=LOOKUP(G93,'Qualifying Scores'!$A$4:$A$7,'Qualifying Scores'!$G$4:$G$7),"P",""))</f>
        <v/>
      </c>
      <c r="L93" s="3" t="str">
        <f>IF(G93="Not Age Eligible","",IF(MAX(U93,X93,AA93,AD93)&gt;=LOOKUP(G93,'Qualifying Scores'!$A$10:$A$13,'Qualifying Scores'!$G$10:$G$13),"P",""))</f>
        <v/>
      </c>
      <c r="M93" s="3" t="str">
        <f>IF(G93="Not Age Eligible","",IF(OR(AND(T93&gt;=LOOKUP(G93,'Qualifying Scores'!$A$4:$A$7,'Qualifying Scores'!$G$4:$G$7),U93&gt;=LOOKUP(G93,'Qualifying Scores'!$A$10:$A$13,'Qualifying Scores'!$G$10:$G$13)),AND(Z93&gt;=LOOKUP(G93,'Qualifying Scores'!$A$4:$A$7,'Qualifying Scores'!$G$4:$G$7),AA93&gt;=LOOKUP(G93,'Qualifying Scores'!$A$10:$A$13,'Qualifying Scores'!$G$10:$G$13)),AND(W93&gt;=LOOKUP(G93,'Qualifying Scores'!$A$4:$A$7,'Qualifying Scores'!$G$4:$G$7),X93&gt;=LOOKUP(G93,'Qualifying Scores'!$A$10:$A$13,'Qualifying Scores'!$G$10:$G$13)),AND(AC93&gt;=LOOKUP(G93,'Qualifying Scores'!$A$4:$A$7,'Qualifying Scores'!$G$4:$G$7),AD93&gt;=LOOKUP(G93,'Qualifying Scores'!$A$10:$A$13,'Qualifying Scores'!$G$10:$G$13))),"P",""))</f>
        <v/>
      </c>
      <c r="Q93" s="1" t="str">
        <f>IF(A93&lt;5,IF(_xlfn.MAXIFS(A:A,G:G,G93)&gt;3,5-A93,_xlfn.MAXIFS(A:A,G:G,G93)+1-A93),"")</f>
        <v/>
      </c>
      <c r="R93" s="4">
        <f>MAX(T93-IF(OR(H93="L6"),V93,0),W93-IF(OR(H93="L6"),Y93,0),Z93-IF(OR(H93="L6"),AB93,0),AC93-IF(OR(H93="L6"),AE93,0))</f>
        <v>32.200000000000003</v>
      </c>
      <c r="S93" s="4">
        <f>IF(R93=T93-IF(OR(H93="L6"),V93,0),MAX(W93-IF(OR(H93="L6"),Y93,0),Z93-IF(OR(H93="L6"),AB93,0),AC93-IF(OR(H93="L6"),AE93,0)),IF(R93=W93-IF(OR(H93="L6"),Y93,0),MAX(T93-IF(OR(H93="L6"),V93,0),Z93-IF(OR(H93="L6"),AB93,0),AC93-IF(OR(H93="L6"),AE93,0)),IF(R93=Z93-IF(OR(H93="L6"),AB93,0),MAX(T93-IF(OR(H93="L6"),V93,0),W93-IF(OR(H93="L6"),Y93,0),AC93-IF(OR(H93="L6"),AE93,0)),IF(R93=AC93-IF(OR(H93="L6"),AE93,0),MAX(T93-IF(OR(H93="L6"),V93,0),W93-IF(OR(H93="L6"),Y93,0),Z93-IF(OR(H93="L6"),AB93,0)),0))))</f>
        <v>0</v>
      </c>
      <c r="T93" s="32"/>
      <c r="U93" s="37"/>
      <c r="V93" s="37"/>
      <c r="W93" s="33"/>
      <c r="X93" s="37"/>
      <c r="Y93" s="37"/>
      <c r="Z93" s="32">
        <v>32.200000000000003</v>
      </c>
      <c r="AA93" s="37">
        <v>1.7999999999999998</v>
      </c>
      <c r="AB93" s="37">
        <v>0</v>
      </c>
      <c r="AC93" s="33"/>
      <c r="AD93" s="37"/>
      <c r="AE93" s="37"/>
    </row>
    <row r="94" spans="1:31" x14ac:dyDescent="0.2">
      <c r="A94" s="1" t="str" cm="1">
        <f t="array" ref="A94">IF(I94="","",IF(P94&lt;&gt;"",SUMPRODUCT((P$3:P$94&lt;&gt;"")*(G$3:G$94=G94)*(J$3:J$94&gt;J94)*(I$3:I$94="P"))+1,IF(O94&lt;&gt;"",SUMPRODUCT((O$3:O$94&lt;&gt;"")*(P$3:P$94="")*(G$3:G$94=G94)*(J$3:J$94&gt;J94)*(I$3:I$94="P"))+SUMPRODUCT((P$3:P$94&lt;&gt;"")*(G$3:G$94=G94)*(I$3:I$94="P"))+1,IF(N94&lt;&gt;"",SUMPRODUCT((N$3:N$94&lt;&gt;"")*(G$3:G$94=G94)*(J$3:J$94&gt;J94)*(I$3:I$94="P"))+1,IF(M94="P",SUMPRODUCT((O$3:O$94&lt;&gt;"")*(P$3:P$94="")*(G$3:G$94=G94)*(I$3:I$94="P"))+SUMPRODUCT((P$3:P$94&lt;&gt;"")*(G$3:G$94=G94)*(I$3:I$94="P"))+SUMPRODUCT((N$3:N$94&lt;&gt;"")*(G$3:G$94=G94)*(I$3:I$94="P"))+SUMPRODUCT((P$3:P$94="")*(O$3:O$94="")*(N$3:N$94="")*(M$3:M$94="P")*(G$3:G$94=G94)*(J$3:J$94&gt;J94)*(I$3:I$94="P"))+IF(H94="L5",SUMPRODUCT((P$3:P$94="")*(O$3:O$94="")*(N$3:N$94="")*(M$3:M$94="P")*(G$3:G$94=G94)*(J$3:J$94&lt;J94)*(H$3:H$94&lt;&gt;H94)*(I$3:I$94="P")),-1*SUMPRODUCT((P$3:P$94="")*(O$3:O$94="")*(N$3:N$94="")*(M$3:M$94="P")*(G$3:G$94=G94)*(J$3:J$94&gt;J94)*(H$3:H$94="L5")*(I$3:I$94="P")))+1,"")))))</f>
        <v/>
      </c>
      <c r="B94" s="1" t="str" cm="1">
        <f t="array" ref="B94">IF(P94&lt;&gt;"",SUMPRODUCT((P$3:P$94&lt;&gt;"")*(G$3:G$94=G94)*(J$3:J$94&gt;J94))+1,IF(O94&lt;&gt;"",SUMPRODUCT((O$3:O$94&lt;&gt;"")*(P$3:P$94="")*(G$3:G$94=G94)*(J$3:J$94&gt;J94))+SUMPRODUCT((P$3:P$94&lt;&gt;"")*(G$3:G$94=G94))+1,IF(N94&lt;&gt;"",SUMPRODUCT((N$3:N$94&lt;&gt;"")*(G$3:G$94=G94)*(J$3:J$94&gt;J94))+1,IF(M94="P",SUMPRODUCT((O$3:O$94&lt;&gt;"")*(P$3:P$94="")*(G$3:G$94=G94))+SUMPRODUCT((P$3:P$94&lt;&gt;"")*(G$3:G$94=G94))+SUMPRODUCT((N$3:N$94&lt;&gt;"")*(G$3:G$94=G94))+SUMPRODUCT((P$3:P$94="")*(O$3:O$94="")*(N$3:N$94="")*(M$3:M$94="P")*(G$3:G$94=G94)*(J$3:J$94&gt;J94))+IF(H94="L5",SUMPRODUCT((P$3:P$94="")*(O$3:O$94="")*(N$3:N$94="")*(M$3:M$94="P")*(G$3:G$94=G94)*(J$3:J$94&lt;J94)*(H$3:H$94&lt;&gt;H94)),-1*SUMPRODUCT((P$3:P$94="")*(O$3:O$94="")*(N$3:N$94="")*(M$3:M$94="P")*(G$3:G$94=G94)*(J$3:J$94&gt;J94)*(H$3:H$94="L5")))+1,""))))</f>
        <v/>
      </c>
      <c r="C94" s="35" t="s">
        <v>490</v>
      </c>
      <c r="D94" t="str">
        <f>IF(E94="","",VLOOKUP(E94,'Coaching Points'!A:B,2,0))</f>
        <v>BC</v>
      </c>
      <c r="E94" s="35" t="s">
        <v>40</v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>R94+S94+IF(OR(H94="Junior",H94="Senior"),0.0002,IF(OR(H94="L7",H94="L6"),0.0001,0))+MAX(Z94,AC94)*0.0000001</f>
        <v>77.600004319999996</v>
      </c>
      <c r="K94" s="3" t="str">
        <f>IF(G94="Not Age Eligible","",IF(MAX(T94,W94,Z94,AC94)&gt;=LOOKUP(G94,'Qualifying Scores'!$A$4:$A$7,'Qualifying Scores'!$G$4:$G$7),"P",""))</f>
        <v/>
      </c>
      <c r="L94" s="3" t="str">
        <f>IF(G94="Not Age Eligible","",IF(MAX(U94,X94,AA94,AD94)&gt;=LOOKUP(G94,'Qualifying Scores'!$A$10:$A$13,'Qualifying Scores'!$G$10:$G$13),"P",""))</f>
        <v>P</v>
      </c>
      <c r="M94" s="3" t="str">
        <f>IF(G94="Not Age Eligible","",IF(OR(AND(T94&gt;=LOOKUP(G94,'Qualifying Scores'!$A$4:$A$7,'Qualifying Scores'!$G$4:$G$7),U94&gt;=LOOKUP(G94,'Qualifying Scores'!$A$10:$A$13,'Qualifying Scores'!$G$10:$G$13)),AND(Z94&gt;=LOOKUP(G94,'Qualifying Scores'!$A$4:$A$7,'Qualifying Scores'!$G$4:$G$7),AA94&gt;=LOOKUP(G94,'Qualifying Scores'!$A$10:$A$13,'Qualifying Scores'!$G$10:$G$13)),AND(W94&gt;=LOOKUP(G94,'Qualifying Scores'!$A$4:$A$7,'Qualifying Scores'!$G$4:$G$7),X94&gt;=LOOKUP(G94,'Qualifying Scores'!$A$10:$A$13,'Qualifying Scores'!$G$10:$G$13)),AND(AC94&gt;=LOOKUP(G94,'Qualifying Scores'!$A$4:$A$7,'Qualifying Scores'!$G$4:$G$7),AD94&gt;=LOOKUP(G94,'Qualifying Scores'!$A$10:$A$13,'Qualifying Scores'!$G$10:$G$13))),"P",""))</f>
        <v/>
      </c>
      <c r="Q94" s="1" t="str">
        <f>IF(A94&lt;5,IF(_xlfn.MAXIFS(A:A,G:G,G94)&gt;3,5-A94,_xlfn.MAXIFS(A:A,G:G,G94)+1-A94),"")</f>
        <v/>
      </c>
      <c r="R94" s="4">
        <f>MAX(T94-IF(OR(H94="L6"),V94,0),W94-IF(OR(H94="L6"),Y94,0),Z94-IF(OR(H94="L6"),AB94,0),AC94-IF(OR(H94="L6"),AE94,0))</f>
        <v>43.2</v>
      </c>
      <c r="S94" s="4">
        <f>IF(R94=T94-IF(OR(H94="L6"),V94,0),MAX(W94-IF(OR(H94="L6"),Y94,0),Z94-IF(OR(H94="L6"),AB94,0),AC94-IF(OR(H94="L6"),AE94,0)),IF(R94=W94-IF(OR(H94="L6"),Y94,0),MAX(T94-IF(OR(H94="L6"),V94,0),Z94-IF(OR(H94="L6"),AB94,0),AC94-IF(OR(H94="L6"),AE94,0)),IF(R94=Z94-IF(OR(H94="L6"),AB94,0),MAX(T94-IF(OR(H94="L6"),V94,0),W94-IF(OR(H94="L6"),Y94,0),AC94-IF(OR(H94="L6"),AE94,0)),IF(R94=AC94-IF(OR(H94="L6"),AE94,0),MAX(T94-IF(OR(H94="L6"),V94,0),W94-IF(OR(H94="L6"),Y94,0),Z94-IF(OR(H94="L6"),AB94,0)),0))))</f>
        <v>34.4</v>
      </c>
      <c r="T94" s="32"/>
      <c r="U94" s="37"/>
      <c r="V94" s="37"/>
      <c r="W94" s="33"/>
      <c r="X94" s="37"/>
      <c r="Y94" s="37"/>
      <c r="Z94" s="32">
        <v>43.2</v>
      </c>
      <c r="AA94" s="37">
        <v>6.3000000000000007</v>
      </c>
      <c r="AB94" s="37">
        <v>0</v>
      </c>
      <c r="AC94" s="33">
        <v>34.4</v>
      </c>
      <c r="AD94" s="37">
        <v>3.4000000000000004</v>
      </c>
      <c r="AE94" s="37">
        <v>0</v>
      </c>
    </row>
    <row r="95" spans="1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1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</sheetData>
  <sheetProtection sheet="1" formatCells="0" formatColumns="0" formatRows="0"/>
  <autoFilter ref="A1:AE66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94">
      <sortCondition descending="1" ref="G1:G95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6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13.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$43&lt;&gt;"")*(G$3:G$43=G3)*(J$3:J$43&gt;J3)*(I$3:I$43="P"))+1,IF(O3&lt;&gt;"",SUMPRODUCT((O$3:O$43&lt;&gt;"")*(P$3:P$43="")*(G$3:G$43=G3)*(J$3:J$43&gt;J3)*(I$3:I$43="P"))+SUMPRODUCT((P$3:P$43&lt;&gt;"")*(G$3:G$43=G3)*(I$3:I$43="P"))+1,IF(N3&lt;&gt;"",SUMPRODUCT((N$3:N$43&lt;&gt;"")*(G$3:G$43=G3)*(J$3:J$43&gt;J3)*(I$3:I$43="P"))+1,IF(M3="P",SUMPRODUCT((O$3:O$43&lt;&gt;"")*(P$3:P$43="")*(G$3:G$43=G3)*(I$3:I$43="P"))+SUMPRODUCT((P$3:P$43&lt;&gt;"")*(G$3:G$43=G3)*(I$3:I$43="P"))+SUMPRODUCT((N$3:N$43&lt;&gt;"")*(G$3:G$43=G3)*(I$3:I$43="P"))+SUMPRODUCT((P$3:P$43="")*(O$3:O$43="")*(N$3:N$43="")*(M$3:M$43="P")*(G$3:G$43=G3)*(J$3:J$43&gt;J3)*(I$3:I$43="P"))+IF(H3="L5",SUMPRODUCT((P$3:P$43="")*(O$3:O$43="")*(N$3:N$43="")*(M$3:M$43="P")*(G$3:G$43=G3)*(J$3:J$43&lt;J3)*(H$3:H$43&lt;&gt;H3)*(I$3:I$43="P")),-1*SUMPRODUCT((P$3:P$43="")*(O$3:O$43="")*(N$3:N$43="")*(M$3:M$43="P")*(G$3:G$43=G3)*(J$3:J$43&gt;J3)*(H$3:H$43="L5")*(I$3:I$43="P")))+1,"")))))</f>
        <v/>
      </c>
      <c r="B3" s="1" cm="1">
        <f t="array" ref="B3">IF(P3&lt;&gt;"",SUMPRODUCT((P$3:P$43&lt;&gt;"")*(G$3:G$43=G3)*(J$3:J$43&gt;J3))+1,IF(O3&lt;&gt;"",SUMPRODUCT((O$3:O$43&lt;&gt;"")*(P$3:P$43="")*(G$3:G$43=G3)*(J$3:J$43&gt;J3))+SUMPRODUCT((P$3:P$43&lt;&gt;"")*(G$3:G$43=G3))+1,IF(N3&lt;&gt;"",SUMPRODUCT((N$3:N$43&lt;&gt;"")*(G$3:G$43=G3)*(J$3:J$43&gt;J3))+1,IF(M3="P",SUMPRODUCT((O$3:O$43&lt;&gt;"")*(P$3:P$43="")*(G$3:G$43=G3))+SUMPRODUCT((P$3:P$43&lt;&gt;"")*(G$3:G$43=G3))+SUMPRODUCT((N$3:N$43&lt;&gt;"")*(G$3:G$43=G3))+SUMPRODUCT((P$3:P$43="")*(O$3:O$43="")*(N$3:N$43="")*(M$3:M$43="P")*(G$3:G$43=G3)*(J$3:J$43&gt;J3))+IF(H3="L5",SUMPRODUCT((P$3:P$43="")*(O$3:O$43="")*(N$3:N$43="")*(M$3:M$43="P")*(G$3:G$43=G3)*(J$3:J$43&lt;J3)*(H$3:H$43&lt;&gt;H3)),-1*SUMPRODUCT((P$3:P$43="")*(O$3:O$43="")*(N$3:N$43="")*(M$3:M$43="P")*(G$3:G$43=G3)*(J$3:J$43&gt;J3)*(H$3:H$43="L5")))+1,""))))</f>
        <v>1</v>
      </c>
      <c r="C3" s="35" t="s">
        <v>327</v>
      </c>
      <c r="D3" t="str">
        <f>IF(E3="","",VLOOKUP(E3,'Coaching Points'!A:B,2,0))</f>
        <v>ON</v>
      </c>
      <c r="E3" s="35" t="s">
        <v>87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109.40020548000001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54.8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54.6</v>
      </c>
      <c r="T3" s="32">
        <v>53.4</v>
      </c>
      <c r="U3" s="37">
        <v>16.7</v>
      </c>
      <c r="V3" s="37">
        <v>0</v>
      </c>
      <c r="W3" s="33">
        <v>54.6</v>
      </c>
      <c r="X3" s="37">
        <v>17.3</v>
      </c>
      <c r="Y3" s="37">
        <v>0</v>
      </c>
      <c r="Z3" s="32">
        <v>50.5</v>
      </c>
      <c r="AA3" s="37">
        <v>14.2</v>
      </c>
      <c r="AB3" s="37">
        <v>0</v>
      </c>
      <c r="AC3" s="33">
        <v>54.8</v>
      </c>
      <c r="AD3" s="37">
        <v>18.100000000000001</v>
      </c>
      <c r="AE3" s="37">
        <v>0</v>
      </c>
    </row>
    <row r="4" spans="1:32" x14ac:dyDescent="0.2">
      <c r="A4" s="1" t="str" cm="1">
        <f t="array" ref="A4">IF(I4="","",IF(P4&lt;&gt;"",SUMPRODUCT((P$3:P$43&lt;&gt;"")*(G$3:G$43=G4)*(J$3:J$43&gt;J4)*(I$3:I$43="P"))+1,IF(O4&lt;&gt;"",SUMPRODUCT((O$3:O$43&lt;&gt;"")*(P$3:P$43="")*(G$3:G$43=G4)*(J$3:J$43&gt;J4)*(I$3:I$43="P"))+SUMPRODUCT((P$3:P$43&lt;&gt;"")*(G$3:G$43=G4)*(I$3:I$43="P"))+1,IF(N4&lt;&gt;"",SUMPRODUCT((N$3:N$43&lt;&gt;"")*(G$3:G$43=G4)*(J$3:J$43&gt;J4)*(I$3:I$43="P"))+1,IF(M4="P",SUMPRODUCT((O$3:O$43&lt;&gt;"")*(P$3:P$43="")*(G$3:G$43=G4)*(I$3:I$43="P"))+SUMPRODUCT((P$3:P$43&lt;&gt;"")*(G$3:G$43=G4)*(I$3:I$43="P"))+SUMPRODUCT((N$3:N$43&lt;&gt;"")*(G$3:G$43=G4)*(I$3:I$43="P"))+SUMPRODUCT((P$3:P$43="")*(O$3:O$43="")*(N$3:N$43="")*(M$3:M$43="P")*(G$3:G$43=G4)*(J$3:J$43&gt;J4)*(I$3:I$43="P"))+IF(H4="L5",SUMPRODUCT((P$3:P$43="")*(O$3:O$43="")*(N$3:N$43="")*(M$3:M$43="P")*(G$3:G$43=G4)*(J$3:J$43&lt;J4)*(H$3:H$43&lt;&gt;H4)*(I$3:I$43="P")),-1*SUMPRODUCT((P$3:P$43="")*(O$3:O$43="")*(N$3:N$43="")*(M$3:M$43="P")*(G$3:G$43=G4)*(J$3:J$43&gt;J4)*(H$3:H$43="L5")*(I$3:I$43="P")))+1,"")))))</f>
        <v/>
      </c>
      <c r="B4" s="1" cm="1">
        <f t="array" ref="B4">IF(P4&lt;&gt;"",SUMPRODUCT((P$3:P$43&lt;&gt;"")*(G$3:G$43=G4)*(J$3:J$43&gt;J4))+1,IF(O4&lt;&gt;"",SUMPRODUCT((O$3:O$43&lt;&gt;"")*(P$3:P$43="")*(G$3:G$43=G4)*(J$3:J$43&gt;J4))+SUMPRODUCT((P$3:P$43&lt;&gt;"")*(G$3:G$43=G4))+1,IF(N4&lt;&gt;"",SUMPRODUCT((N$3:N$43&lt;&gt;"")*(G$3:G$43=G4)*(J$3:J$43&gt;J4))+1,IF(M4="P",SUMPRODUCT((O$3:O$43&lt;&gt;"")*(P$3:P$43="")*(G$3:G$43=G4))+SUMPRODUCT((P$3:P$43&lt;&gt;"")*(G$3:G$43=G4))+SUMPRODUCT((N$3:N$43&lt;&gt;"")*(G$3:G$43=G4))+SUMPRODUCT((P$3:P$43="")*(O$3:O$43="")*(N$3:N$43="")*(M$3:M$43="P")*(G$3:G$43=G4)*(J$3:J$43&gt;J4))+IF(H4="L5",SUMPRODUCT((P$3:P$43="")*(O$3:O$43="")*(N$3:N$43="")*(M$3:M$43="P")*(G$3:G$43=G4)*(J$3:J$43&lt;J4)*(H$3:H$43&lt;&gt;H4)),-1*SUMPRODUCT((P$3:P$43="")*(O$3:O$43="")*(N$3:N$43="")*(M$3:M$43="P")*(G$3:G$43=G4)*(J$3:J$43&gt;J4)*(H$3:H$43="L5")))+1,""))))</f>
        <v>2</v>
      </c>
      <c r="C4" s="35" t="s">
        <v>328</v>
      </c>
      <c r="D4" t="str">
        <f>IF(E4="","",VLOOKUP(E4,'Coaching Points'!A:B,2,0))</f>
        <v>QC</v>
      </c>
      <c r="E4" s="35" t="s">
        <v>3</v>
      </c>
      <c r="F4" s="34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105.10020516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53.5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51.6</v>
      </c>
      <c r="T4" s="32">
        <v>50.6</v>
      </c>
      <c r="U4" s="37">
        <v>14.600000000000001</v>
      </c>
      <c r="V4" s="37">
        <v>0</v>
      </c>
      <c r="W4" s="33">
        <v>53.5</v>
      </c>
      <c r="X4" s="37">
        <v>16.200000000000003</v>
      </c>
      <c r="Y4" s="37">
        <v>0</v>
      </c>
      <c r="Z4" s="32">
        <v>51.6</v>
      </c>
      <c r="AA4" s="37">
        <v>14.4</v>
      </c>
      <c r="AB4" s="37">
        <v>0</v>
      </c>
      <c r="AC4" s="33">
        <v>46.6</v>
      </c>
      <c r="AD4" s="37">
        <v>12.8</v>
      </c>
      <c r="AE4" s="37">
        <v>0</v>
      </c>
    </row>
    <row r="5" spans="1:32" x14ac:dyDescent="0.2">
      <c r="A5" s="1" t="str" cm="1">
        <f t="array" ref="A5">IF(I5="","",IF(P5&lt;&gt;"",SUMPRODUCT((P$3:P$43&lt;&gt;"")*(G$3:G$43=G5)*(J$3:J$43&gt;J5)*(I$3:I$43="P"))+1,IF(O5&lt;&gt;"",SUMPRODUCT((O$3:O$43&lt;&gt;"")*(P$3:P$43="")*(G$3:G$43=G5)*(J$3:J$43&gt;J5)*(I$3:I$43="P"))+SUMPRODUCT((P$3:P$43&lt;&gt;"")*(G$3:G$43=G5)*(I$3:I$43="P"))+1,IF(N5&lt;&gt;"",SUMPRODUCT((N$3:N$43&lt;&gt;"")*(G$3:G$43=G5)*(J$3:J$43&gt;J5)*(I$3:I$43="P"))+1,IF(M5="P",SUMPRODUCT((O$3:O$43&lt;&gt;"")*(P$3:P$43="")*(G$3:G$43=G5)*(I$3:I$43="P"))+SUMPRODUCT((P$3:P$43&lt;&gt;"")*(G$3:G$43=G5)*(I$3:I$43="P"))+SUMPRODUCT((N$3:N$43&lt;&gt;"")*(G$3:G$43=G5)*(I$3:I$43="P"))+SUMPRODUCT((P$3:P$43="")*(O$3:O$43="")*(N$3:N$43="")*(M$3:M$43="P")*(G$3:G$43=G5)*(J$3:J$43&gt;J5)*(I$3:I$43="P"))+IF(H5="L5",SUMPRODUCT((P$3:P$43="")*(O$3:O$43="")*(N$3:N$43="")*(M$3:M$43="P")*(G$3:G$43=G5)*(J$3:J$43&lt;J5)*(H$3:H$43&lt;&gt;H5)*(I$3:I$43="P")),-1*SUMPRODUCT((P$3:P$43="")*(O$3:O$43="")*(N$3:N$43="")*(M$3:M$43="P")*(G$3:G$43=G5)*(J$3:J$43&gt;J5)*(H$3:H$43="L5")*(I$3:I$43="P")))+1,"")))))</f>
        <v/>
      </c>
      <c r="B5" s="1" cm="1">
        <f t="array" ref="B5">IF(P5&lt;&gt;"",SUMPRODUCT((P$3:P$43&lt;&gt;"")*(G$3:G$43=G5)*(J$3:J$43&gt;J5))+1,IF(O5&lt;&gt;"",SUMPRODUCT((O$3:O$43&lt;&gt;"")*(P$3:P$43="")*(G$3:G$43=G5)*(J$3:J$43&gt;J5))+SUMPRODUCT((P$3:P$43&lt;&gt;"")*(G$3:G$43=G5))+1,IF(N5&lt;&gt;"",SUMPRODUCT((N$3:N$43&lt;&gt;"")*(G$3:G$43=G5)*(J$3:J$43&gt;J5))+1,IF(M5="P",SUMPRODUCT((O$3:O$43&lt;&gt;"")*(P$3:P$43="")*(G$3:G$43=G5))+SUMPRODUCT((P$3:P$43&lt;&gt;"")*(G$3:G$43=G5))+SUMPRODUCT((N$3:N$43&lt;&gt;"")*(G$3:G$43=G5))+SUMPRODUCT((P$3:P$43="")*(O$3:O$43="")*(N$3:N$43="")*(M$3:M$43="P")*(G$3:G$43=G5)*(J$3:J$43&gt;J5))+IF(H5="L5",SUMPRODUCT((P$3:P$43="")*(O$3:O$43="")*(N$3:N$43="")*(M$3:M$43="P")*(G$3:G$43=G5)*(J$3:J$43&lt;J5)*(H$3:H$43&lt;&gt;H5)),-1*SUMPRODUCT((P$3:P$43="")*(O$3:O$43="")*(N$3:N$43="")*(M$3:M$43="P")*(G$3:G$43=G5)*(J$3:J$43&gt;J5)*(H$3:H$43="L5")))+1,""))))</f>
        <v>3</v>
      </c>
      <c r="C5" s="35" t="s">
        <v>330</v>
      </c>
      <c r="D5" t="str">
        <f>IF(E5="","",VLOOKUP(E5,'Coaching Points'!A:B,2,0))</f>
        <v>AB</v>
      </c>
      <c r="E5" s="35" t="s">
        <v>28</v>
      </c>
      <c r="F5" s="34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95.100204680000004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4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48.3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46.8</v>
      </c>
      <c r="T5" s="32">
        <v>48.3</v>
      </c>
      <c r="U5" s="37">
        <v>12</v>
      </c>
      <c r="V5" s="37">
        <v>0</v>
      </c>
      <c r="W5" s="33">
        <v>40.700000000000003</v>
      </c>
      <c r="X5" s="37">
        <v>9.3999999999999986</v>
      </c>
      <c r="Y5" s="37">
        <v>0</v>
      </c>
      <c r="Z5" s="32">
        <v>37.799999999999997</v>
      </c>
      <c r="AA5" s="37">
        <v>11.6</v>
      </c>
      <c r="AB5" s="37">
        <v>0</v>
      </c>
      <c r="AC5" s="33">
        <v>46.8</v>
      </c>
      <c r="AD5" s="37">
        <v>11.6</v>
      </c>
      <c r="AE5" s="37">
        <v>0</v>
      </c>
    </row>
    <row r="6" spans="1:32" x14ac:dyDescent="0.2">
      <c r="A6" s="1" t="str" cm="1">
        <f t="array" ref="A6">IF(I6="","",IF(P6&lt;&gt;"",SUMPRODUCT((P$3:P$43&lt;&gt;"")*(G$3:G$43=G6)*(J$3:J$43&gt;J6)*(I$3:I$43="P"))+1,IF(O6&lt;&gt;"",SUMPRODUCT((O$3:O$43&lt;&gt;"")*(P$3:P$43="")*(G$3:G$43=G6)*(J$3:J$43&gt;J6)*(I$3:I$43="P"))+SUMPRODUCT((P$3:P$43&lt;&gt;"")*(G$3:G$43=G6)*(I$3:I$43="P"))+1,IF(N6&lt;&gt;"",SUMPRODUCT((N$3:N$43&lt;&gt;"")*(G$3:G$43=G6)*(J$3:J$43&gt;J6)*(I$3:I$43="P"))+1,IF(M6="P",SUMPRODUCT((O$3:O$43&lt;&gt;"")*(P$3:P$43="")*(G$3:G$43=G6)*(I$3:I$43="P"))+SUMPRODUCT((P$3:P$43&lt;&gt;"")*(G$3:G$43=G6)*(I$3:I$43="P"))+SUMPRODUCT((N$3:N$43&lt;&gt;"")*(G$3:G$43=G6)*(I$3:I$43="P"))+SUMPRODUCT((P$3:P$43="")*(O$3:O$43="")*(N$3:N$43="")*(M$3:M$43="P")*(G$3:G$43=G6)*(J$3:J$43&gt;J6)*(I$3:I$43="P"))+IF(H6="L5",SUMPRODUCT((P$3:P$43="")*(O$3:O$43="")*(N$3:N$43="")*(M$3:M$43="P")*(G$3:G$43=G6)*(J$3:J$43&lt;J6)*(H$3:H$43&lt;&gt;H6)*(I$3:I$43="P")),-1*SUMPRODUCT((P$3:P$43="")*(O$3:O$43="")*(N$3:N$43="")*(M$3:M$43="P")*(G$3:G$43=G6)*(J$3:J$43&gt;J6)*(H$3:H$43="L5")*(I$3:I$43="P")))+1,"")))))</f>
        <v/>
      </c>
      <c r="B6" s="1" cm="1">
        <f t="array" ref="B6">IF(P6&lt;&gt;"",SUMPRODUCT((P$3:P$43&lt;&gt;"")*(G$3:G$43=G6)*(J$3:J$43&gt;J6))+1,IF(O6&lt;&gt;"",SUMPRODUCT((O$3:O$43&lt;&gt;"")*(P$3:P$43="")*(G$3:G$43=G6)*(J$3:J$43&gt;J6))+SUMPRODUCT((P$3:P$43&lt;&gt;"")*(G$3:G$43=G6))+1,IF(N6&lt;&gt;"",SUMPRODUCT((N$3:N$43&lt;&gt;"")*(G$3:G$43=G6)*(J$3:J$43&gt;J6))+1,IF(M6="P",SUMPRODUCT((O$3:O$43&lt;&gt;"")*(P$3:P$43="")*(G$3:G$43=G6))+SUMPRODUCT((P$3:P$43&lt;&gt;"")*(G$3:G$43=G6))+SUMPRODUCT((N$3:N$43&lt;&gt;"")*(G$3:G$43=G6))+SUMPRODUCT((P$3:P$43="")*(O$3:O$43="")*(N$3:N$43="")*(M$3:M$43="P")*(G$3:G$43=G6)*(J$3:J$43&gt;J6))+IF(H6="L5",SUMPRODUCT((P$3:P$43="")*(O$3:O$43="")*(N$3:N$43="")*(M$3:M$43="P")*(G$3:G$43=G6)*(J$3:J$43&lt;J6)*(H$3:H$43&lt;&gt;H6)),-1*SUMPRODUCT((P$3:P$43="")*(O$3:O$43="")*(N$3:N$43="")*(M$3:M$43="P")*(G$3:G$43=G6)*(J$3:J$43&gt;J6)*(H$3:H$43="L5")))+1,""))))</f>
        <v>4</v>
      </c>
      <c r="C6" s="35" t="s">
        <v>114</v>
      </c>
      <c r="D6" t="str">
        <f>IF(E6="","",VLOOKUP(E6,'Coaching Points'!A:B,2,0))</f>
        <v>QC</v>
      </c>
      <c r="E6" s="35" t="s">
        <v>3</v>
      </c>
      <c r="F6" s="34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93.40020426000001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P6" s="36">
        <v>6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47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46.4</v>
      </c>
      <c r="T6" s="32">
        <v>46.4</v>
      </c>
      <c r="U6" s="37">
        <v>11.7</v>
      </c>
      <c r="V6" s="37">
        <v>0</v>
      </c>
      <c r="W6" s="33">
        <v>47</v>
      </c>
      <c r="X6" s="37">
        <v>11.5</v>
      </c>
      <c r="Y6" s="37">
        <v>0</v>
      </c>
      <c r="Z6" s="32">
        <v>42.6</v>
      </c>
      <c r="AA6" s="37">
        <v>11.3</v>
      </c>
      <c r="AB6" s="37">
        <v>0</v>
      </c>
      <c r="AC6" s="33">
        <v>41.7</v>
      </c>
      <c r="AD6" s="37">
        <v>8.5</v>
      </c>
      <c r="AE6" s="37">
        <v>0</v>
      </c>
    </row>
    <row r="7" spans="1:32" x14ac:dyDescent="0.2">
      <c r="A7" s="1" t="str" cm="1">
        <f t="array" ref="A7">IF(I7="","",IF(P7&lt;&gt;"",SUMPRODUCT((P$3:P$43&lt;&gt;"")*(G$3:G$43=G7)*(J$3:J$43&gt;J7)*(I$3:I$43="P"))+1,IF(O7&lt;&gt;"",SUMPRODUCT((O$3:O$43&lt;&gt;"")*(P$3:P$43="")*(G$3:G$43=G7)*(J$3:J$43&gt;J7)*(I$3:I$43="P"))+SUMPRODUCT((P$3:P$43&lt;&gt;"")*(G$3:G$43=G7)*(I$3:I$43="P"))+1,IF(N7&lt;&gt;"",SUMPRODUCT((N$3:N$43&lt;&gt;"")*(G$3:G$43=G7)*(J$3:J$43&gt;J7)*(I$3:I$43="P"))+1,IF(M7="P",SUMPRODUCT((O$3:O$43&lt;&gt;"")*(P$3:P$43="")*(G$3:G$43=G7)*(I$3:I$43="P"))+SUMPRODUCT((P$3:P$43&lt;&gt;"")*(G$3:G$43=G7)*(I$3:I$43="P"))+SUMPRODUCT((N$3:N$43&lt;&gt;"")*(G$3:G$43=G7)*(I$3:I$43="P"))+SUMPRODUCT((P$3:P$43="")*(O$3:O$43="")*(N$3:N$43="")*(M$3:M$43="P")*(G$3:G$43=G7)*(J$3:J$43&gt;J7)*(I$3:I$43="P"))+IF(H7="L5",SUMPRODUCT((P$3:P$43="")*(O$3:O$43="")*(N$3:N$43="")*(M$3:M$43="P")*(G$3:G$43=G7)*(J$3:J$43&lt;J7)*(H$3:H$43&lt;&gt;H7)*(I$3:I$43="P")),-1*SUMPRODUCT((P$3:P$43="")*(O$3:O$43="")*(N$3:N$43="")*(M$3:M$43="P")*(G$3:G$43=G7)*(J$3:J$43&gt;J7)*(H$3:H$43="L5")*(I$3:I$43="P")))+1,"")))))</f>
        <v/>
      </c>
      <c r="B7" s="1" cm="1">
        <f t="array" ref="B7">IF(P7&lt;&gt;"",SUMPRODUCT((P$3:P$43&lt;&gt;"")*(G$3:G$43=G7)*(J$3:J$43&gt;J7))+1,IF(O7&lt;&gt;"",SUMPRODUCT((O$3:O$43&lt;&gt;"")*(P$3:P$43="")*(G$3:G$43=G7)*(J$3:J$43&gt;J7))+SUMPRODUCT((P$3:P$43&lt;&gt;"")*(G$3:G$43=G7))+1,IF(N7&lt;&gt;"",SUMPRODUCT((N$3:N$43&lt;&gt;"")*(G$3:G$43=G7)*(J$3:J$43&gt;J7))+1,IF(M7="P",SUMPRODUCT((O$3:O$43&lt;&gt;"")*(P$3:P$43="")*(G$3:G$43=G7))+SUMPRODUCT((P$3:P$43&lt;&gt;"")*(G$3:G$43=G7))+SUMPRODUCT((N$3:N$43&lt;&gt;"")*(G$3:G$43=G7))+SUMPRODUCT((P$3:P$43="")*(O$3:O$43="")*(N$3:N$43="")*(M$3:M$43="P")*(G$3:G$43=G7)*(J$3:J$43&gt;J7))+IF(H7="L5",SUMPRODUCT((P$3:P$43="")*(O$3:O$43="")*(N$3:N$43="")*(M$3:M$43="P")*(G$3:G$43=G7)*(J$3:J$43&lt;J7)*(H$3:H$43&lt;&gt;H7)),-1*SUMPRODUCT((P$3:P$43="")*(O$3:O$43="")*(N$3:N$43="")*(M$3:M$43="P")*(G$3:G$43=G7)*(J$3:J$43&gt;J7)*(H$3:H$43="L5")))+1,""))))</f>
        <v>5</v>
      </c>
      <c r="C7" s="35" t="s">
        <v>332</v>
      </c>
      <c r="D7" t="str">
        <f>IF(E7="","",VLOOKUP(E7,'Coaching Points'!A:B,2,0))</f>
        <v>AB</v>
      </c>
      <c r="E7" s="35" t="s">
        <v>62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48.900199999999998</v>
      </c>
      <c r="K7" s="3" t="str">
        <f>IF(G7="Not Age Eligible","",IF(MAX(T7,W7,Z7,AC7)&gt;=LOOKUP(G7,'Qualifying Scores'!$A$4:$A$7,'Qualifying Scores'!$H$4:$H$7),"P",""))</f>
        <v>P</v>
      </c>
      <c r="L7" s="3" t="str">
        <f>IF(G7="Not Age Eligible","",IF(MAX(U7,X7,AA7,AD7)&gt;=LOOKUP(G7,'Qualifying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>P</v>
      </c>
      <c r="P7" s="36">
        <v>7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48.9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0</v>
      </c>
      <c r="T7" s="32">
        <v>48.9</v>
      </c>
      <c r="U7" s="37">
        <v>13.8</v>
      </c>
      <c r="V7" s="37">
        <v>0</v>
      </c>
      <c r="W7" s="33"/>
      <c r="X7" s="37"/>
      <c r="Y7" s="37"/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$43&lt;&gt;"")*(G$3:G$43=G8)*(J$3:J$43&gt;J8)*(I$3:I$43="P"))+1,IF(O8&lt;&gt;"",SUMPRODUCT((O$3:O$43&lt;&gt;"")*(P$3:P$43="")*(G$3:G$43=G8)*(J$3:J$43&gt;J8)*(I$3:I$43="P"))+SUMPRODUCT((P$3:P$43&lt;&gt;"")*(G$3:G$43=G8)*(I$3:I$43="P"))+1,IF(N8&lt;&gt;"",SUMPRODUCT((N$3:N$43&lt;&gt;"")*(G$3:G$43=G8)*(J$3:J$43&gt;J8)*(I$3:I$43="P"))+1,IF(M8="P",SUMPRODUCT((O$3:O$43&lt;&gt;"")*(P$3:P$43="")*(G$3:G$43=G8)*(I$3:I$43="P"))+SUMPRODUCT((P$3:P$43&lt;&gt;"")*(G$3:G$43=G8)*(I$3:I$43="P"))+SUMPRODUCT((N$3:N$43&lt;&gt;"")*(G$3:G$43=G8)*(I$3:I$43="P"))+SUMPRODUCT((P$3:P$43="")*(O$3:O$43="")*(N$3:N$43="")*(M$3:M$43="P")*(G$3:G$43=G8)*(J$3:J$43&gt;J8)*(I$3:I$43="P"))+IF(H8="L5",SUMPRODUCT((P$3:P$43="")*(O$3:O$43="")*(N$3:N$43="")*(M$3:M$43="P")*(G$3:G$43=G8)*(J$3:J$43&lt;J8)*(H$3:H$43&lt;&gt;H8)*(I$3:I$43="P")),-1*SUMPRODUCT((P$3:P$43="")*(O$3:O$43="")*(N$3:N$43="")*(M$3:M$43="P")*(G$3:G$43=G8)*(J$3:J$43&gt;J8)*(H$3:H$43="L5")*(I$3:I$43="P")))+1,"")))))</f>
        <v/>
      </c>
      <c r="B8" s="1" cm="1">
        <f t="array" ref="B8">IF(P8&lt;&gt;"",SUMPRODUCT((P$3:P$43&lt;&gt;"")*(G$3:G$43=G8)*(J$3:J$43&gt;J8))+1,IF(O8&lt;&gt;"",SUMPRODUCT((O$3:O$43&lt;&gt;"")*(P$3:P$43="")*(G$3:G$43=G8)*(J$3:J$43&gt;J8))+SUMPRODUCT((P$3:P$43&lt;&gt;"")*(G$3:G$43=G8))+1,IF(N8&lt;&gt;"",SUMPRODUCT((N$3:N$43&lt;&gt;"")*(G$3:G$43=G8)*(J$3:J$43&gt;J8))+1,IF(M8="P",SUMPRODUCT((O$3:O$43&lt;&gt;"")*(P$3:P$43="")*(G$3:G$43=G8))+SUMPRODUCT((P$3:P$43&lt;&gt;"")*(G$3:G$43=G8))+SUMPRODUCT((N$3:N$43&lt;&gt;"")*(G$3:G$43=G8))+SUMPRODUCT((P$3:P$43="")*(O$3:O$43="")*(N$3:N$43="")*(M$3:M$43="P")*(G$3:G$43=G8)*(J$3:J$43&gt;J8))+IF(H8="L5",SUMPRODUCT((P$3:P$43="")*(O$3:O$43="")*(N$3:N$43="")*(M$3:M$43="P")*(G$3:G$43=G8)*(J$3:J$43&lt;J8)*(H$3:H$43&lt;&gt;H8)),-1*SUMPRODUCT((P$3:P$43="")*(O$3:O$43="")*(N$3:N$43="")*(M$3:M$43="P")*(G$3:G$43=G8)*(J$3:J$43&gt;J8)*(H$3:H$43="L5")))+1,""))))</f>
        <v>6</v>
      </c>
      <c r="C8" s="35" t="s">
        <v>329</v>
      </c>
      <c r="D8" t="str">
        <f>IF(E8="","",VLOOKUP(E8,'Coaching Points'!A:B,2,0))</f>
        <v>AB</v>
      </c>
      <c r="E8" s="35" t="s">
        <v>62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/>
      <c r="J8" s="4">
        <f>R8+S8+IF(OR(H8="Junior",H8="Senior"),0.0002,IF(OR(H8="L7",H8="L6"),0.0001,0))+MAX(Z8,AC8)*0.0000001</f>
        <v>89.300204500000007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O8" s="36">
        <v>1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45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44.3</v>
      </c>
      <c r="T8" s="32">
        <v>42.2</v>
      </c>
      <c r="U8" s="37">
        <v>12</v>
      </c>
      <c r="V8" s="37">
        <v>0</v>
      </c>
      <c r="W8" s="33">
        <v>41.4</v>
      </c>
      <c r="X8" s="37">
        <v>9.6999999999999993</v>
      </c>
      <c r="Y8" s="37">
        <v>0</v>
      </c>
      <c r="Z8" s="32">
        <v>44.3</v>
      </c>
      <c r="AA8" s="37">
        <v>12.3</v>
      </c>
      <c r="AB8" s="37">
        <v>0</v>
      </c>
      <c r="AC8" s="33">
        <v>45</v>
      </c>
      <c r="AD8" s="37">
        <v>12.5</v>
      </c>
      <c r="AE8" s="37">
        <v>0</v>
      </c>
    </row>
    <row r="9" spans="1:32" x14ac:dyDescent="0.2">
      <c r="A9" s="1" t="str" cm="1">
        <f t="array" ref="A9">IF(I9="","",IF(P9&lt;&gt;"",SUMPRODUCT((P$3:P$43&lt;&gt;"")*(G$3:G$43=G9)*(J$3:J$43&gt;J9)*(I$3:I$43="P"))+1,IF(O9&lt;&gt;"",SUMPRODUCT((O$3:O$43&lt;&gt;"")*(P$3:P$43="")*(G$3:G$43=G9)*(J$3:J$43&gt;J9)*(I$3:I$43="P"))+SUMPRODUCT((P$3:P$43&lt;&gt;"")*(G$3:G$43=G9)*(I$3:I$43="P"))+1,IF(N9&lt;&gt;"",SUMPRODUCT((N$3:N$43&lt;&gt;"")*(G$3:G$43=G9)*(J$3:J$43&gt;J9)*(I$3:I$43="P"))+1,IF(M9="P",SUMPRODUCT((O$3:O$43&lt;&gt;"")*(P$3:P$43="")*(G$3:G$43=G9)*(I$3:I$43="P"))+SUMPRODUCT((P$3:P$43&lt;&gt;"")*(G$3:G$43=G9)*(I$3:I$43="P"))+SUMPRODUCT((N$3:N$43&lt;&gt;"")*(G$3:G$43=G9)*(I$3:I$43="P"))+SUMPRODUCT((P$3:P$43="")*(O$3:O$43="")*(N$3:N$43="")*(M$3:M$43="P")*(G$3:G$43=G9)*(J$3:J$43&gt;J9)*(I$3:I$43="P"))+IF(H9="L5",SUMPRODUCT((P$3:P$43="")*(O$3:O$43="")*(N$3:N$43="")*(M$3:M$43="P")*(G$3:G$43=G9)*(J$3:J$43&lt;J9)*(H$3:H$43&lt;&gt;H9)*(I$3:I$43="P")),-1*SUMPRODUCT((P$3:P$43="")*(O$3:O$43="")*(N$3:N$43="")*(M$3:M$43="P")*(G$3:G$43=G9)*(J$3:J$43&gt;J9)*(H$3:H$43="L5")*(I$3:I$43="P")))+1,"")))))</f>
        <v/>
      </c>
      <c r="B9" s="1" cm="1">
        <f t="array" ref="B9">IF(P9&lt;&gt;"",SUMPRODUCT((P$3:P$43&lt;&gt;"")*(G$3:G$43=G9)*(J$3:J$43&gt;J9))+1,IF(O9&lt;&gt;"",SUMPRODUCT((O$3:O$43&lt;&gt;"")*(P$3:P$43="")*(G$3:G$43=G9)*(J$3:J$43&gt;J9))+SUMPRODUCT((P$3:P$43&lt;&gt;"")*(G$3:G$43=G9))+1,IF(N9&lt;&gt;"",SUMPRODUCT((N$3:N$43&lt;&gt;"")*(G$3:G$43=G9)*(J$3:J$43&gt;J9))+1,IF(M9="P",SUMPRODUCT((O$3:O$43&lt;&gt;"")*(P$3:P$43="")*(G$3:G$43=G9))+SUMPRODUCT((P$3:P$43&lt;&gt;"")*(G$3:G$43=G9))+SUMPRODUCT((N$3:N$43&lt;&gt;"")*(G$3:G$43=G9))+SUMPRODUCT((P$3:P$43="")*(O$3:O$43="")*(N$3:N$43="")*(M$3:M$43="P")*(G$3:G$43=G9)*(J$3:J$43&gt;J9))+IF(H9="L5",SUMPRODUCT((P$3:P$43="")*(O$3:O$43="")*(N$3:N$43="")*(M$3:M$43="P")*(G$3:G$43=G9)*(J$3:J$43&lt;J9)*(H$3:H$43&lt;&gt;H9)),-1*SUMPRODUCT((P$3:P$43="")*(O$3:O$43="")*(N$3:N$43="")*(M$3:M$43="P")*(G$3:G$43=G9)*(J$3:J$43&gt;J9)*(H$3:H$43="L5")))+1,""))))</f>
        <v>7</v>
      </c>
      <c r="C9" s="35" t="s">
        <v>71</v>
      </c>
      <c r="D9" t="str">
        <f>IF(E9="","",VLOOKUP(E9,'Coaching Points'!A:B,2,0))</f>
        <v>AB</v>
      </c>
      <c r="E9" s="35" t="s">
        <v>62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R9+S9+IF(OR(H9="Junior",H9="Senior"),0.0002,IF(OR(H9="L7",H9="L6"),0.0001,0))+MAX(Z9,AC9)*0.0000001</f>
        <v>87.300104379999993</v>
      </c>
      <c r="K9" s="3" t="str">
        <f>IF(G9="Not Age Eligible","",IF(MAX(T9,W9,Z9,AC9)&gt;=LOOKUP(G9,'Qualifying Scores'!$A$4:$A$7,'Qualifying Scores'!$H$4:$H$7),"P",""))</f>
        <v/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/>
      </c>
      <c r="O9" s="36">
        <v>2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43.8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43.5</v>
      </c>
      <c r="T9" s="32">
        <v>43.5</v>
      </c>
      <c r="U9" s="37">
        <v>11.7</v>
      </c>
      <c r="V9" s="37">
        <v>0</v>
      </c>
      <c r="W9" s="33">
        <v>42</v>
      </c>
      <c r="X9" s="37">
        <v>11.7</v>
      </c>
      <c r="Y9" s="37">
        <v>0</v>
      </c>
      <c r="Z9" s="32">
        <v>43.8</v>
      </c>
      <c r="AA9" s="37">
        <v>11.7</v>
      </c>
      <c r="AB9" s="37">
        <v>0</v>
      </c>
      <c r="AC9" s="33">
        <v>43.4</v>
      </c>
      <c r="AD9" s="37">
        <v>12.8</v>
      </c>
      <c r="AE9" s="37">
        <v>0.7</v>
      </c>
    </row>
    <row r="10" spans="1:32" x14ac:dyDescent="0.2">
      <c r="A10" s="1" t="str" cm="1">
        <f t="array" ref="A10">IF(I10="","",IF(P10&lt;&gt;"",SUMPRODUCT((P$3:P$43&lt;&gt;"")*(G$3:G$43=G10)*(J$3:J$43&gt;J10)*(I$3:I$43="P"))+1,IF(O10&lt;&gt;"",SUMPRODUCT((O$3:O$43&lt;&gt;"")*(P$3:P$43="")*(G$3:G$43=G10)*(J$3:J$43&gt;J10)*(I$3:I$43="P"))+SUMPRODUCT((P$3:P$43&lt;&gt;"")*(G$3:G$43=G10)*(I$3:I$43="P"))+1,IF(N10&lt;&gt;"",SUMPRODUCT((N$3:N$43&lt;&gt;"")*(G$3:G$43=G10)*(J$3:J$43&gt;J10)*(I$3:I$43="P"))+1,IF(M10="P",SUMPRODUCT((O$3:O$43&lt;&gt;"")*(P$3:P$43="")*(G$3:G$43=G10)*(I$3:I$43="P"))+SUMPRODUCT((P$3:P$43&lt;&gt;"")*(G$3:G$43=G10)*(I$3:I$43="P"))+SUMPRODUCT((N$3:N$43&lt;&gt;"")*(G$3:G$43=G10)*(I$3:I$43="P"))+SUMPRODUCT((P$3:P$43="")*(O$3:O$43="")*(N$3:N$43="")*(M$3:M$43="P")*(G$3:G$43=G10)*(J$3:J$43&gt;J10)*(I$3:I$43="P"))+IF(H10="L5",SUMPRODUCT((P$3:P$43="")*(O$3:O$43="")*(N$3:N$43="")*(M$3:M$43="P")*(G$3:G$43=G10)*(J$3:J$43&lt;J10)*(H$3:H$43&lt;&gt;H10)*(I$3:I$43="P")),-1*SUMPRODUCT((P$3:P$43="")*(O$3:O$43="")*(N$3:N$43="")*(M$3:M$43="P")*(G$3:G$43=G10)*(J$3:J$43&gt;J10)*(H$3:H$43="L5")*(I$3:I$43="P")))+1,"")))))</f>
        <v/>
      </c>
      <c r="B10" s="1" cm="1">
        <f t="array" ref="B10">IF(P10&lt;&gt;"",SUMPRODUCT((P$3:P$43&lt;&gt;"")*(G$3:G$43=G10)*(J$3:J$43&gt;J10))+1,IF(O10&lt;&gt;"",SUMPRODUCT((O$3:O$43&lt;&gt;"")*(P$3:P$43="")*(G$3:G$43=G10)*(J$3:J$43&gt;J10))+SUMPRODUCT((P$3:P$43&lt;&gt;"")*(G$3:G$43=G10))+1,IF(N10&lt;&gt;"",SUMPRODUCT((N$3:N$43&lt;&gt;"")*(G$3:G$43=G10)*(J$3:J$43&gt;J10))+1,IF(M10="P",SUMPRODUCT((O$3:O$43&lt;&gt;"")*(P$3:P$43="")*(G$3:G$43=G10))+SUMPRODUCT((P$3:P$43&lt;&gt;"")*(G$3:G$43=G10))+SUMPRODUCT((N$3:N$43&lt;&gt;"")*(G$3:G$43=G10))+SUMPRODUCT((P$3:P$43="")*(O$3:O$43="")*(N$3:N$43="")*(M$3:M$43="P")*(G$3:G$43=G10)*(J$3:J$43&gt;J10))+IF(H10="L5",SUMPRODUCT((P$3:P$43="")*(O$3:O$43="")*(N$3:N$43="")*(M$3:M$43="P")*(G$3:G$43=G10)*(J$3:J$43&lt;J10)*(H$3:H$43&lt;&gt;H10)),-1*SUMPRODUCT((P$3:P$43="")*(O$3:O$43="")*(N$3:N$43="")*(M$3:M$43="P")*(G$3:G$43=G10)*(J$3:J$43&gt;J10)*(H$3:H$43="L5")))+1,""))))</f>
        <v>8</v>
      </c>
      <c r="C10" s="35" t="s">
        <v>455</v>
      </c>
      <c r="D10" t="str">
        <f>IF(E10="","",VLOOKUP(E10,'Coaching Points'!A:B,2,0))</f>
        <v>AB</v>
      </c>
      <c r="E10" s="35" t="s">
        <v>28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85.400104600000006</v>
      </c>
      <c r="K10" s="3" t="str">
        <f>IF(G10="Not Age Eligible","",IF(MAX(T10,W10,Z10,AC10)&gt;=LOOKUP(G10,'Qualifying Scores'!$A$4:$A$7,'Qualifying Scores'!$H$4:$H$7),"P",""))</f>
        <v>P</v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>P</v>
      </c>
      <c r="O10" s="36">
        <v>3</v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44.6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40.800000000000004</v>
      </c>
      <c r="T10" s="32"/>
      <c r="U10" s="37"/>
      <c r="V10" s="37"/>
      <c r="W10" s="33"/>
      <c r="X10" s="37"/>
      <c r="Y10" s="37"/>
      <c r="Z10" s="32">
        <v>46</v>
      </c>
      <c r="AA10" s="37">
        <v>11</v>
      </c>
      <c r="AB10" s="37">
        <v>1.4</v>
      </c>
      <c r="AC10" s="33">
        <v>42.2</v>
      </c>
      <c r="AD10" s="37">
        <v>8.4</v>
      </c>
      <c r="AE10" s="37">
        <v>1.4</v>
      </c>
    </row>
    <row r="11" spans="1:32" x14ac:dyDescent="0.2">
      <c r="A11" s="1" t="str" cm="1">
        <f t="array" ref="A11">IF(I11="","",IF(P11&lt;&gt;"",SUMPRODUCT((P$3:P$43&lt;&gt;"")*(G$3:G$43=G11)*(J$3:J$43&gt;J11)*(I$3:I$43="P"))+1,IF(O11&lt;&gt;"",SUMPRODUCT((O$3:O$43&lt;&gt;"")*(P$3:P$43="")*(G$3:G$43=G11)*(J$3:J$43&gt;J11)*(I$3:I$43="P"))+SUMPRODUCT((P$3:P$43&lt;&gt;"")*(G$3:G$43=G11)*(I$3:I$43="P"))+1,IF(N11&lt;&gt;"",SUMPRODUCT((N$3:N$43&lt;&gt;"")*(G$3:G$43=G11)*(J$3:J$43&gt;J11)*(I$3:I$43="P"))+1,IF(M11="P",SUMPRODUCT((O$3:O$43&lt;&gt;"")*(P$3:P$43="")*(G$3:G$43=G11)*(I$3:I$43="P"))+SUMPRODUCT((P$3:P$43&lt;&gt;"")*(G$3:G$43=G11)*(I$3:I$43="P"))+SUMPRODUCT((N$3:N$43&lt;&gt;"")*(G$3:G$43=G11)*(I$3:I$43="P"))+SUMPRODUCT((P$3:P$43="")*(O$3:O$43="")*(N$3:N$43="")*(M$3:M$43="P")*(G$3:G$43=G11)*(J$3:J$43&gt;J11)*(I$3:I$43="P"))+IF(H11="L5",SUMPRODUCT((P$3:P$43="")*(O$3:O$43="")*(N$3:N$43="")*(M$3:M$43="P")*(G$3:G$43=G11)*(J$3:J$43&lt;J11)*(H$3:H$43&lt;&gt;H11)*(I$3:I$43="P")),-1*SUMPRODUCT((P$3:P$43="")*(O$3:O$43="")*(N$3:N$43="")*(M$3:M$43="P")*(G$3:G$43=G11)*(J$3:J$43&gt;J11)*(H$3:H$43="L5")*(I$3:I$43="P")))+1,"")))))</f>
        <v/>
      </c>
      <c r="B11" s="1" cm="1">
        <f t="array" ref="B11">IF(P11&lt;&gt;"",SUMPRODUCT((P$3:P$43&lt;&gt;"")*(G$3:G$43=G11)*(J$3:J$43&gt;J11))+1,IF(O11&lt;&gt;"",SUMPRODUCT((O$3:O$43&lt;&gt;"")*(P$3:P$43="")*(G$3:G$43=G11)*(J$3:J$43&gt;J11))+SUMPRODUCT((P$3:P$43&lt;&gt;"")*(G$3:G$43=G11))+1,IF(N11&lt;&gt;"",SUMPRODUCT((N$3:N$43&lt;&gt;"")*(G$3:G$43=G11)*(J$3:J$43&gt;J11))+1,IF(M11="P",SUMPRODUCT((O$3:O$43&lt;&gt;"")*(P$3:P$43="")*(G$3:G$43=G11))+SUMPRODUCT((P$3:P$43&lt;&gt;"")*(G$3:G$43=G11))+SUMPRODUCT((N$3:N$43&lt;&gt;"")*(G$3:G$43=G11))+SUMPRODUCT((P$3:P$43="")*(O$3:O$43="")*(N$3:N$43="")*(M$3:M$43="P")*(G$3:G$43=G11)*(J$3:J$43&gt;J11))+IF(H11="L5",SUMPRODUCT((P$3:P$43="")*(O$3:O$43="")*(N$3:N$43="")*(M$3:M$43="P")*(G$3:G$43=G11)*(J$3:J$43&lt;J11)*(H$3:H$43&lt;&gt;H11)),-1*SUMPRODUCT((P$3:P$43="")*(O$3:O$43="")*(N$3:N$43="")*(M$3:M$43="P")*(G$3:G$43=G11)*(J$3:J$43&gt;J11)*(H$3:H$43="L5")))+1,""))))</f>
        <v>9</v>
      </c>
      <c r="C11" s="35" t="s">
        <v>331</v>
      </c>
      <c r="D11" t="str">
        <f>IF(E11="","",VLOOKUP(E11,'Coaching Points'!A:B,2,0))</f>
        <v>ON</v>
      </c>
      <c r="E11" s="35" t="s">
        <v>130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81.600200000000001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O11" s="36">
        <v>4</v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42.8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38.799999999999997</v>
      </c>
      <c r="T11" s="32">
        <v>42.8</v>
      </c>
      <c r="U11" s="37">
        <v>11.4</v>
      </c>
      <c r="V11" s="37">
        <v>0</v>
      </c>
      <c r="W11" s="33">
        <v>38.799999999999997</v>
      </c>
      <c r="X11" s="37">
        <v>8.6999999999999993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$43&lt;&gt;"")*(G$3:G$43=G12)*(J$3:J$43&gt;J12)*(I$3:I$43="P"))+1,IF(O12&lt;&gt;"",SUMPRODUCT((O$3:O$43&lt;&gt;"")*(P$3:P$43="")*(G$3:G$43=G12)*(J$3:J$43&gt;J12)*(I$3:I$43="P"))+SUMPRODUCT((P$3:P$43&lt;&gt;"")*(G$3:G$43=G12)*(I$3:I$43="P"))+1,IF(N12&lt;&gt;"",SUMPRODUCT((N$3:N$43&lt;&gt;"")*(G$3:G$43=G12)*(J$3:J$43&gt;J12)*(I$3:I$43="P"))+1,IF(M12="P",SUMPRODUCT((O$3:O$43&lt;&gt;"")*(P$3:P$43="")*(G$3:G$43=G12)*(I$3:I$43="P"))+SUMPRODUCT((P$3:P$43&lt;&gt;"")*(G$3:G$43=G12)*(I$3:I$43="P"))+SUMPRODUCT((N$3:N$43&lt;&gt;"")*(G$3:G$43=G12)*(I$3:I$43="P"))+SUMPRODUCT((P$3:P$43="")*(O$3:O$43="")*(N$3:N$43="")*(M$3:M$43="P")*(G$3:G$43=G12)*(J$3:J$43&gt;J12)*(I$3:I$43="P"))+IF(H12="L5",SUMPRODUCT((P$3:P$43="")*(O$3:O$43="")*(N$3:N$43="")*(M$3:M$43="P")*(G$3:G$43=G12)*(J$3:J$43&lt;J12)*(H$3:H$43&lt;&gt;H12)*(I$3:I$43="P")),-1*SUMPRODUCT((P$3:P$43="")*(O$3:O$43="")*(N$3:N$43="")*(M$3:M$43="P")*(G$3:G$43=G12)*(J$3:J$43&gt;J12)*(H$3:H$43="L5")*(I$3:I$43="P")))+1,"")))))</f>
        <v/>
      </c>
      <c r="B12" s="1" t="str" cm="1">
        <f t="array" ref="B12">IF(P12&lt;&gt;"",SUMPRODUCT((P$3:P$43&lt;&gt;"")*(G$3:G$43=G12)*(J$3:J$43&gt;J12))+1,IF(O12&lt;&gt;"",SUMPRODUCT((O$3:O$43&lt;&gt;"")*(P$3:P$43="")*(G$3:G$43=G12)*(J$3:J$43&gt;J12))+SUMPRODUCT((P$3:P$43&lt;&gt;"")*(G$3:G$43=G12))+1,IF(N12&lt;&gt;"",SUMPRODUCT((N$3:N$43&lt;&gt;"")*(G$3:G$43=G12)*(J$3:J$43&gt;J12))+1,IF(M12="P",SUMPRODUCT((O$3:O$43&lt;&gt;"")*(P$3:P$43="")*(G$3:G$43=G12))+SUMPRODUCT((P$3:P$43&lt;&gt;"")*(G$3:G$43=G12))+SUMPRODUCT((N$3:N$43&lt;&gt;"")*(G$3:G$43=G12))+SUMPRODUCT((P$3:P$43="")*(O$3:O$43="")*(N$3:N$43="")*(M$3:M$43="P")*(G$3:G$43=G12)*(J$3:J$43&gt;J12))+IF(H12="L5",SUMPRODUCT((P$3:P$43="")*(O$3:O$43="")*(N$3:N$43="")*(M$3:M$43="P")*(G$3:G$43=G12)*(J$3:J$43&lt;J12)*(H$3:H$43&lt;&gt;H12)),-1*SUMPRODUCT((P$3:P$43="")*(O$3:O$43="")*(N$3:N$43="")*(M$3:M$43="P")*(G$3:G$43=G12)*(J$3:J$43&gt;J12)*(H$3:H$43="L5")))+1,""))))</f>
        <v/>
      </c>
      <c r="C12" s="35" t="s">
        <v>333</v>
      </c>
      <c r="D12" t="str">
        <f>IF(E12="","",VLOOKUP(E12,'Coaching Points'!A:B,2,0))</f>
        <v>QC</v>
      </c>
      <c r="E12" s="35" t="s">
        <v>3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89.600099999999998</v>
      </c>
      <c r="K12" s="3" t="str">
        <f>IF(G12="Not Age Eligible","",IF(MAX(T12,W12,Z12,AC12)&gt;=LOOKUP(G12,'Qualifying Scores'!$A$4:$A$7,'Qualifying Scores'!$H$4:$H$7),"P",""))</f>
        <v>P</v>
      </c>
      <c r="L12" s="3" t="str">
        <f>IF(G12="Not Age Eligible","",IF(MAX(U12,X12,AA12,AD12)&gt;=LOOKUP(G12,'Qualifying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44.9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44.7</v>
      </c>
      <c r="T12" s="32">
        <v>44.7</v>
      </c>
      <c r="U12" s="37">
        <v>8.6</v>
      </c>
      <c r="V12" s="37">
        <v>0</v>
      </c>
      <c r="W12" s="33">
        <v>44.9</v>
      </c>
      <c r="X12" s="37">
        <v>8.3999999999999986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$43&lt;&gt;"")*(G$3:G$43=G13)*(J$3:J$43&gt;J13)*(I$3:I$43="P"))+1,IF(O13&lt;&gt;"",SUMPRODUCT((O$3:O$43&lt;&gt;"")*(P$3:P$43="")*(G$3:G$43=G13)*(J$3:J$43&gt;J13)*(I$3:I$43="P"))+SUMPRODUCT((P$3:P$43&lt;&gt;"")*(G$3:G$43=G13)*(I$3:I$43="P"))+1,IF(N13&lt;&gt;"",SUMPRODUCT((N$3:N$43&lt;&gt;"")*(G$3:G$43=G13)*(J$3:J$43&gt;J13)*(I$3:I$43="P"))+1,IF(M13="P",SUMPRODUCT((O$3:O$43&lt;&gt;"")*(P$3:P$43="")*(G$3:G$43=G13)*(I$3:I$43="P"))+SUMPRODUCT((P$3:P$43&lt;&gt;"")*(G$3:G$43=G13)*(I$3:I$43="P"))+SUMPRODUCT((N$3:N$43&lt;&gt;"")*(G$3:G$43=G13)*(I$3:I$43="P"))+SUMPRODUCT((P$3:P$43="")*(O$3:O$43="")*(N$3:N$43="")*(M$3:M$43="P")*(G$3:G$43=G13)*(J$3:J$43&gt;J13)*(I$3:I$43="P"))+IF(H13="L5",SUMPRODUCT((P$3:P$43="")*(O$3:O$43="")*(N$3:N$43="")*(M$3:M$43="P")*(G$3:G$43=G13)*(J$3:J$43&lt;J13)*(H$3:H$43&lt;&gt;H13)*(I$3:I$43="P")),-1*SUMPRODUCT((P$3:P$43="")*(O$3:O$43="")*(N$3:N$43="")*(M$3:M$43="P")*(G$3:G$43=G13)*(J$3:J$43&gt;J13)*(H$3:H$43="L5")*(I$3:I$43="P")))+1,"")))))</f>
        <v/>
      </c>
      <c r="B13" s="1" t="str" cm="1">
        <f t="array" ref="B13">IF(P13&lt;&gt;"",SUMPRODUCT((P$3:P$43&lt;&gt;"")*(G$3:G$43=G13)*(J$3:J$43&gt;J13))+1,IF(O13&lt;&gt;"",SUMPRODUCT((O$3:O$43&lt;&gt;"")*(P$3:P$43="")*(G$3:G$43=G13)*(J$3:J$43&gt;J13))+SUMPRODUCT((P$3:P$43&lt;&gt;"")*(G$3:G$43=G13))+1,IF(N13&lt;&gt;"",SUMPRODUCT((N$3:N$43&lt;&gt;"")*(G$3:G$43=G13)*(J$3:J$43&gt;J13))+1,IF(M13="P",SUMPRODUCT((O$3:O$43&lt;&gt;"")*(P$3:P$43="")*(G$3:G$43=G13))+SUMPRODUCT((P$3:P$43&lt;&gt;"")*(G$3:G$43=G13))+SUMPRODUCT((N$3:N$43&lt;&gt;"")*(G$3:G$43=G13))+SUMPRODUCT((P$3:P$43="")*(O$3:O$43="")*(N$3:N$43="")*(M$3:M$43="P")*(G$3:G$43=G13)*(J$3:J$43&gt;J13))+IF(H13="L5",SUMPRODUCT((P$3:P$43="")*(O$3:O$43="")*(N$3:N$43="")*(M$3:M$43="P")*(G$3:G$43=G13)*(J$3:J$43&lt;J13)*(H$3:H$43&lt;&gt;H13)),-1*SUMPRODUCT((P$3:P$43="")*(O$3:O$43="")*(N$3:N$43="")*(M$3:M$43="P")*(G$3:G$43=G13)*(J$3:J$43&gt;J13)*(H$3:H$43="L5")))+1,""))))</f>
        <v/>
      </c>
      <c r="C13" s="35" t="s">
        <v>451</v>
      </c>
      <c r="D13" t="str">
        <f>IF(E13="","",VLOOKUP(E13,'Coaching Points'!A:B,2,0))</f>
        <v>ON</v>
      </c>
      <c r="E13" s="35" t="s">
        <v>45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87.400004379999999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43.8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43.6</v>
      </c>
      <c r="T13" s="32"/>
      <c r="U13" s="37"/>
      <c r="V13" s="37"/>
      <c r="W13" s="33"/>
      <c r="X13" s="37"/>
      <c r="Y13" s="37"/>
      <c r="Z13" s="32">
        <v>43.8</v>
      </c>
      <c r="AA13" s="37">
        <v>8</v>
      </c>
      <c r="AB13" s="37">
        <v>2</v>
      </c>
      <c r="AC13" s="33">
        <v>43.6</v>
      </c>
      <c r="AD13" s="37">
        <v>8</v>
      </c>
      <c r="AE13" s="37">
        <v>2</v>
      </c>
    </row>
    <row r="14" spans="1:32" x14ac:dyDescent="0.2">
      <c r="A14" s="1" t="str" cm="1">
        <f t="array" ref="A14">IF(I14="","",IF(P14&lt;&gt;"",SUMPRODUCT((P$3:P$43&lt;&gt;"")*(G$3:G$43=G14)*(J$3:J$43&gt;J14)*(I$3:I$43="P"))+1,IF(O14&lt;&gt;"",SUMPRODUCT((O$3:O$43&lt;&gt;"")*(P$3:P$43="")*(G$3:G$43=G14)*(J$3:J$43&gt;J14)*(I$3:I$43="P"))+SUMPRODUCT((P$3:P$43&lt;&gt;"")*(G$3:G$43=G14)*(I$3:I$43="P"))+1,IF(N14&lt;&gt;"",SUMPRODUCT((N$3:N$43&lt;&gt;"")*(G$3:G$43=G14)*(J$3:J$43&gt;J14)*(I$3:I$43="P"))+1,IF(M14="P",SUMPRODUCT((O$3:O$43&lt;&gt;"")*(P$3:P$43="")*(G$3:G$43=G14)*(I$3:I$43="P"))+SUMPRODUCT((P$3:P$43&lt;&gt;"")*(G$3:G$43=G14)*(I$3:I$43="P"))+SUMPRODUCT((N$3:N$43&lt;&gt;"")*(G$3:G$43=G14)*(I$3:I$43="P"))+SUMPRODUCT((P$3:P$43="")*(O$3:O$43="")*(N$3:N$43="")*(M$3:M$43="P")*(G$3:G$43=G14)*(J$3:J$43&gt;J14)*(I$3:I$43="P"))+IF(H14="L5",SUMPRODUCT((P$3:P$43="")*(O$3:O$43="")*(N$3:N$43="")*(M$3:M$43="P")*(G$3:G$43=G14)*(J$3:J$43&lt;J14)*(H$3:H$43&lt;&gt;H14)*(I$3:I$43="P")),-1*SUMPRODUCT((P$3:P$43="")*(O$3:O$43="")*(N$3:N$43="")*(M$3:M$43="P")*(G$3:G$43=G14)*(J$3:J$43&gt;J14)*(H$3:H$43="L5")*(I$3:I$43="P")))+1,"")))))</f>
        <v/>
      </c>
      <c r="B14" s="1" t="str" cm="1">
        <f t="array" ref="B14">IF(P14&lt;&gt;"",SUMPRODUCT((P$3:P$43&lt;&gt;"")*(G$3:G$43=G14)*(J$3:J$43&gt;J14))+1,IF(O14&lt;&gt;"",SUMPRODUCT((O$3:O$43&lt;&gt;"")*(P$3:P$43="")*(G$3:G$43=G14)*(J$3:J$43&gt;J14))+SUMPRODUCT((P$3:P$43&lt;&gt;"")*(G$3:G$43=G14))+1,IF(N14&lt;&gt;"",SUMPRODUCT((N$3:N$43&lt;&gt;"")*(G$3:G$43=G14)*(J$3:J$43&gt;J14))+1,IF(M14="P",SUMPRODUCT((O$3:O$43&lt;&gt;"")*(P$3:P$43="")*(G$3:G$43=G14))+SUMPRODUCT((P$3:P$43&lt;&gt;"")*(G$3:G$43=G14))+SUMPRODUCT((N$3:N$43&lt;&gt;"")*(G$3:G$43=G14))+SUMPRODUCT((P$3:P$43="")*(O$3:O$43="")*(N$3:N$43="")*(M$3:M$43="P")*(G$3:G$43=G14)*(J$3:J$43&gt;J14))+IF(H14="L5",SUMPRODUCT((P$3:P$43="")*(O$3:O$43="")*(N$3:N$43="")*(M$3:M$43="P")*(G$3:G$43=G14)*(J$3:J$43&lt;J14)*(H$3:H$43&lt;&gt;H14)),-1*SUMPRODUCT((P$3:P$43="")*(O$3:O$43="")*(N$3:N$43="")*(M$3:M$43="P")*(G$3:G$43=G14)*(J$3:J$43&gt;J14)*(H$3:H$43="L5")))+1,""))))</f>
        <v/>
      </c>
      <c r="C14" s="35" t="s">
        <v>335</v>
      </c>
      <c r="D14" t="str">
        <f>IF(E14="","",VLOOKUP(E14,'Coaching Points'!A:B,2,0))</f>
        <v>ON</v>
      </c>
      <c r="E14" s="35" t="s">
        <v>89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86.000104230000005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43.1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42.9</v>
      </c>
      <c r="T14" s="32">
        <v>42.9</v>
      </c>
      <c r="U14" s="37">
        <v>11</v>
      </c>
      <c r="V14" s="37">
        <v>0</v>
      </c>
      <c r="W14" s="33">
        <v>43.1</v>
      </c>
      <c r="X14" s="37">
        <v>11</v>
      </c>
      <c r="Y14" s="37">
        <v>0</v>
      </c>
      <c r="Z14" s="32">
        <v>40.4</v>
      </c>
      <c r="AA14" s="37">
        <v>8.8000000000000007</v>
      </c>
      <c r="AB14" s="37">
        <v>0</v>
      </c>
      <c r="AC14" s="33">
        <v>42.3</v>
      </c>
      <c r="AD14" s="37">
        <v>9.3000000000000007</v>
      </c>
      <c r="AE14" s="37">
        <v>0</v>
      </c>
    </row>
    <row r="15" spans="1:32" x14ac:dyDescent="0.2">
      <c r="A15" s="1" t="str" cm="1">
        <f t="array" ref="A15">IF(I15="","",IF(P15&lt;&gt;"",SUMPRODUCT((P$3:P$43&lt;&gt;"")*(G$3:G$43=G15)*(J$3:J$43&gt;J15)*(I$3:I$43="P"))+1,IF(O15&lt;&gt;"",SUMPRODUCT((O$3:O$43&lt;&gt;"")*(P$3:P$43="")*(G$3:G$43=G15)*(J$3:J$43&gt;J15)*(I$3:I$43="P"))+SUMPRODUCT((P$3:P$43&lt;&gt;"")*(G$3:G$43=G15)*(I$3:I$43="P"))+1,IF(N15&lt;&gt;"",SUMPRODUCT((N$3:N$43&lt;&gt;"")*(G$3:G$43=G15)*(J$3:J$43&gt;J15)*(I$3:I$43="P"))+1,IF(M15="P",SUMPRODUCT((O$3:O$43&lt;&gt;"")*(P$3:P$43="")*(G$3:G$43=G15)*(I$3:I$43="P"))+SUMPRODUCT((P$3:P$43&lt;&gt;"")*(G$3:G$43=G15)*(I$3:I$43="P"))+SUMPRODUCT((N$3:N$43&lt;&gt;"")*(G$3:G$43=G15)*(I$3:I$43="P"))+SUMPRODUCT((P$3:P$43="")*(O$3:O$43="")*(N$3:N$43="")*(M$3:M$43="P")*(G$3:G$43=G15)*(J$3:J$43&gt;J15)*(I$3:I$43="P"))+IF(H15="L5",SUMPRODUCT((P$3:P$43="")*(O$3:O$43="")*(N$3:N$43="")*(M$3:M$43="P")*(G$3:G$43=G15)*(J$3:J$43&lt;J15)*(H$3:H$43&lt;&gt;H15)*(I$3:I$43="P")),-1*SUMPRODUCT((P$3:P$43="")*(O$3:O$43="")*(N$3:N$43="")*(M$3:M$43="P")*(G$3:G$43=G15)*(J$3:J$43&gt;J15)*(H$3:H$43="L5")*(I$3:I$43="P")))+1,"")))))</f>
        <v/>
      </c>
      <c r="B15" s="1" t="str" cm="1">
        <f t="array" ref="B15">IF(P15&lt;&gt;"",SUMPRODUCT((P$3:P$43&lt;&gt;"")*(G$3:G$43=G15)*(J$3:J$43&gt;J15))+1,IF(O15&lt;&gt;"",SUMPRODUCT((O$3:O$43&lt;&gt;"")*(P$3:P$43="")*(G$3:G$43=G15)*(J$3:J$43&gt;J15))+SUMPRODUCT((P$3:P$43&lt;&gt;"")*(G$3:G$43=G15))+1,IF(N15&lt;&gt;"",SUMPRODUCT((N$3:N$43&lt;&gt;"")*(G$3:G$43=G15)*(J$3:J$43&gt;J15))+1,IF(M15="P",SUMPRODUCT((O$3:O$43&lt;&gt;"")*(P$3:P$43="")*(G$3:G$43=G15))+SUMPRODUCT((P$3:P$43&lt;&gt;"")*(G$3:G$43=G15))+SUMPRODUCT((N$3:N$43&lt;&gt;"")*(G$3:G$43=G15))+SUMPRODUCT((P$3:P$43="")*(O$3:O$43="")*(N$3:N$43="")*(M$3:M$43="P")*(G$3:G$43=G15)*(J$3:J$43&gt;J15))+IF(H15="L5",SUMPRODUCT((P$3:P$43="")*(O$3:O$43="")*(N$3:N$43="")*(M$3:M$43="P")*(G$3:G$43=G15)*(J$3:J$43&lt;J15)*(H$3:H$43&lt;&gt;H15)),-1*SUMPRODUCT((P$3:P$43="")*(O$3:O$43="")*(N$3:N$43="")*(M$3:M$43="P")*(G$3:G$43=G15)*(J$3:J$43&gt;J15)*(H$3:H$43="L5")))+1,""))))</f>
        <v/>
      </c>
      <c r="C15" s="35" t="s">
        <v>73</v>
      </c>
      <c r="D15" t="str">
        <f>IF(E15="","",VLOOKUP(E15,'Coaching Points'!A:B,2,0))</f>
        <v>BC</v>
      </c>
      <c r="E15" s="35" t="s">
        <v>66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83.500104360000009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42.2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41.300000000000004</v>
      </c>
      <c r="T15" s="32">
        <v>42.7</v>
      </c>
      <c r="U15" s="37">
        <v>9.1</v>
      </c>
      <c r="V15" s="37">
        <v>1.4</v>
      </c>
      <c r="W15" s="33">
        <v>37.9</v>
      </c>
      <c r="X15" s="37">
        <v>7.3</v>
      </c>
      <c r="Y15" s="37">
        <v>0</v>
      </c>
      <c r="Z15" s="32">
        <v>42.7</v>
      </c>
      <c r="AA15" s="37">
        <v>8.3999999999999986</v>
      </c>
      <c r="AB15" s="37">
        <v>1.4</v>
      </c>
      <c r="AC15" s="33">
        <v>43.6</v>
      </c>
      <c r="AD15" s="37">
        <v>9.3000000000000007</v>
      </c>
      <c r="AE15" s="37">
        <v>1.4</v>
      </c>
    </row>
    <row r="16" spans="1:32" x14ac:dyDescent="0.2">
      <c r="A16" s="1" t="str" cm="1">
        <f t="array" ref="A16">IF(I16="","",IF(P16&lt;&gt;"",SUMPRODUCT((P$3:P$43&lt;&gt;"")*(G$3:G$43=G16)*(J$3:J$43&gt;J16)*(I$3:I$43="P"))+1,IF(O16&lt;&gt;"",SUMPRODUCT((O$3:O$43&lt;&gt;"")*(P$3:P$43="")*(G$3:G$43=G16)*(J$3:J$43&gt;J16)*(I$3:I$43="P"))+SUMPRODUCT((P$3:P$43&lt;&gt;"")*(G$3:G$43=G16)*(I$3:I$43="P"))+1,IF(N16&lt;&gt;"",SUMPRODUCT((N$3:N$43&lt;&gt;"")*(G$3:G$43=G16)*(J$3:J$43&gt;J16)*(I$3:I$43="P"))+1,IF(M16="P",SUMPRODUCT((O$3:O$43&lt;&gt;"")*(P$3:P$43="")*(G$3:G$43=G16)*(I$3:I$43="P"))+SUMPRODUCT((P$3:P$43&lt;&gt;"")*(G$3:G$43=G16)*(I$3:I$43="P"))+SUMPRODUCT((N$3:N$43&lt;&gt;"")*(G$3:G$43=G16)*(I$3:I$43="P"))+SUMPRODUCT((P$3:P$43="")*(O$3:O$43="")*(N$3:N$43="")*(M$3:M$43="P")*(G$3:G$43=G16)*(J$3:J$43&gt;J16)*(I$3:I$43="P"))+IF(H16="L5",SUMPRODUCT((P$3:P$43="")*(O$3:O$43="")*(N$3:N$43="")*(M$3:M$43="P")*(G$3:G$43=G16)*(J$3:J$43&lt;J16)*(H$3:H$43&lt;&gt;H16)*(I$3:I$43="P")),-1*SUMPRODUCT((P$3:P$43="")*(O$3:O$43="")*(N$3:N$43="")*(M$3:M$43="P")*(G$3:G$43=G16)*(J$3:J$43&gt;J16)*(H$3:H$43="L5")*(I$3:I$43="P")))+1,"")))))</f>
        <v/>
      </c>
      <c r="B16" s="1" t="str" cm="1">
        <f t="array" ref="B16">IF(P16&lt;&gt;"",SUMPRODUCT((P$3:P$43&lt;&gt;"")*(G$3:G$43=G16)*(J$3:J$43&gt;J16))+1,IF(O16&lt;&gt;"",SUMPRODUCT((O$3:O$43&lt;&gt;"")*(P$3:P$43="")*(G$3:G$43=G16)*(J$3:J$43&gt;J16))+SUMPRODUCT((P$3:P$43&lt;&gt;"")*(G$3:G$43=G16))+1,IF(N16&lt;&gt;"",SUMPRODUCT((N$3:N$43&lt;&gt;"")*(G$3:G$43=G16)*(J$3:J$43&gt;J16))+1,IF(M16="P",SUMPRODUCT((O$3:O$43&lt;&gt;"")*(P$3:P$43="")*(G$3:G$43=G16))+SUMPRODUCT((P$3:P$43&lt;&gt;"")*(G$3:G$43=G16))+SUMPRODUCT((N$3:N$43&lt;&gt;"")*(G$3:G$43=G16))+SUMPRODUCT((P$3:P$43="")*(O$3:O$43="")*(N$3:N$43="")*(M$3:M$43="P")*(G$3:G$43=G16)*(J$3:J$43&gt;J16))+IF(H16="L5",SUMPRODUCT((P$3:P$43="")*(O$3:O$43="")*(N$3:N$43="")*(M$3:M$43="P")*(G$3:G$43=G16)*(J$3:J$43&lt;J16)*(H$3:H$43&lt;&gt;H16)),-1*SUMPRODUCT((P$3:P$43="")*(O$3:O$43="")*(N$3:N$43="")*(M$3:M$43="P")*(G$3:G$43=G16)*(J$3:J$43&gt;J16)*(H$3:H$43="L5")))+1,""))))</f>
        <v/>
      </c>
      <c r="C16" s="35" t="s">
        <v>119</v>
      </c>
      <c r="D16" t="str">
        <f>IF(E16="","",VLOOKUP(E16,'Coaching Points'!A:B,2,0))</f>
        <v>AB</v>
      </c>
      <c r="E16" s="35" t="s">
        <v>62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R16+S16+IF(OR(H16="Junior",H16="Senior"),0.0002,IF(OR(H16="L7",H16="L6"),0.0001,0))+MAX(Z16,AC16)*0.0000001</f>
        <v>82.800104160000018</v>
      </c>
      <c r="K16" s="3" t="str">
        <f>IF(G16="Not Age Eligible","",IF(MAX(T16,W16,Z16,AC16)&gt;=LOOKUP(G16,'Qualifying Scores'!$A$4:$A$7,'Qualifying Scores'!$H$4:$H$7),"P",""))</f>
        <v/>
      </c>
      <c r="L16" s="3" t="str">
        <f>IF(G16="Not Age Eligible","",IF(MAX(U16,X16,AA16,AD16)&gt;=LOOKUP(G16,'Qualifying Scores'!$A$10:$A$13,'Qualifying Scores'!$H$10:$H$13),"P",""))</f>
        <v>P</v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41.6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41.2</v>
      </c>
      <c r="T16" s="32">
        <v>40</v>
      </c>
      <c r="U16" s="37">
        <v>9.3999999999999986</v>
      </c>
      <c r="V16" s="37">
        <v>0</v>
      </c>
      <c r="W16" s="33">
        <v>40.4</v>
      </c>
      <c r="X16" s="37">
        <v>10.1</v>
      </c>
      <c r="Y16" s="37">
        <v>0</v>
      </c>
      <c r="Z16" s="32">
        <v>41.6</v>
      </c>
      <c r="AA16" s="37">
        <v>10.1</v>
      </c>
      <c r="AB16" s="37">
        <v>0</v>
      </c>
      <c r="AC16" s="33">
        <v>41.2</v>
      </c>
      <c r="AD16" s="37">
        <v>10.1</v>
      </c>
      <c r="AE16" s="37">
        <v>0</v>
      </c>
    </row>
    <row r="17" spans="1:31" x14ac:dyDescent="0.2">
      <c r="A17" s="1" t="str" cm="1">
        <f t="array" ref="A17">IF(I17="","",IF(P17&lt;&gt;"",SUMPRODUCT((P$3:P$43&lt;&gt;"")*(G$3:G$43=G17)*(J$3:J$43&gt;J17)*(I$3:I$43="P"))+1,IF(O17&lt;&gt;"",SUMPRODUCT((O$3:O$43&lt;&gt;"")*(P$3:P$43="")*(G$3:G$43=G17)*(J$3:J$43&gt;J17)*(I$3:I$43="P"))+SUMPRODUCT((P$3:P$43&lt;&gt;"")*(G$3:G$43=G17)*(I$3:I$43="P"))+1,IF(N17&lt;&gt;"",SUMPRODUCT((N$3:N$43&lt;&gt;"")*(G$3:G$43=G17)*(J$3:J$43&gt;J17)*(I$3:I$43="P"))+1,IF(M17="P",SUMPRODUCT((O$3:O$43&lt;&gt;"")*(P$3:P$43="")*(G$3:G$43=G17)*(I$3:I$43="P"))+SUMPRODUCT((P$3:P$43&lt;&gt;"")*(G$3:G$43=G17)*(I$3:I$43="P"))+SUMPRODUCT((N$3:N$43&lt;&gt;"")*(G$3:G$43=G17)*(I$3:I$43="P"))+SUMPRODUCT((P$3:P$43="")*(O$3:O$43="")*(N$3:N$43="")*(M$3:M$43="P")*(G$3:G$43=G17)*(J$3:J$43&gt;J17)*(I$3:I$43="P"))+IF(H17="L5",SUMPRODUCT((P$3:P$43="")*(O$3:O$43="")*(N$3:N$43="")*(M$3:M$43="P")*(G$3:G$43=G17)*(J$3:J$43&lt;J17)*(H$3:H$43&lt;&gt;H17)*(I$3:I$43="P")),-1*SUMPRODUCT((P$3:P$43="")*(O$3:O$43="")*(N$3:N$43="")*(M$3:M$43="P")*(G$3:G$43=G17)*(J$3:J$43&gt;J17)*(H$3:H$43="L5")*(I$3:I$43="P")))+1,"")))))</f>
        <v/>
      </c>
      <c r="B17" s="1" t="str" cm="1">
        <f t="array" ref="B17">IF(P17&lt;&gt;"",SUMPRODUCT((P$3:P$43&lt;&gt;"")*(G$3:G$43=G17)*(J$3:J$43&gt;J17))+1,IF(O17&lt;&gt;"",SUMPRODUCT((O$3:O$43&lt;&gt;"")*(P$3:P$43="")*(G$3:G$43=G17)*(J$3:J$43&gt;J17))+SUMPRODUCT((P$3:P$43&lt;&gt;"")*(G$3:G$43=G17))+1,IF(N17&lt;&gt;"",SUMPRODUCT((N$3:N$43&lt;&gt;"")*(G$3:G$43=G17)*(J$3:J$43&gt;J17))+1,IF(M17="P",SUMPRODUCT((O$3:O$43&lt;&gt;"")*(P$3:P$43="")*(G$3:G$43=G17))+SUMPRODUCT((P$3:P$43&lt;&gt;"")*(G$3:G$43=G17))+SUMPRODUCT((N$3:N$43&lt;&gt;"")*(G$3:G$43=G17))+SUMPRODUCT((P$3:P$43="")*(O$3:O$43="")*(N$3:N$43="")*(M$3:M$43="P")*(G$3:G$43=G17)*(J$3:J$43&gt;J17))+IF(H17="L5",SUMPRODUCT((P$3:P$43="")*(O$3:O$43="")*(N$3:N$43="")*(M$3:M$43="P")*(G$3:G$43=G17)*(J$3:J$43&lt;J17)*(H$3:H$43&lt;&gt;H17)),-1*SUMPRODUCT((P$3:P$43="")*(O$3:O$43="")*(N$3:N$43="")*(M$3:M$43="P")*(G$3:G$43=G17)*(J$3:J$43&gt;J17)*(H$3:H$43="L5")))+1,""))))</f>
        <v/>
      </c>
      <c r="C17" s="35" t="s">
        <v>340</v>
      </c>
      <c r="D17" t="str">
        <f>IF(E17="","",VLOOKUP(E17,'Coaching Points'!A:B,2,0))</f>
        <v>ON</v>
      </c>
      <c r="E17" s="35" t="s">
        <v>89</v>
      </c>
      <c r="F17" s="34">
        <v>2008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82.800004220000005</v>
      </c>
      <c r="K17" s="3" t="str">
        <f>IF(G17="Not Age Eligible","",IF(MAX(T17,W17,Z17,AC17)&gt;=LOOKUP(G17,'Qualifying Scores'!$A$4:$A$7,'Qualifying Scores'!$H$4:$H$7),"P",""))</f>
        <v/>
      </c>
      <c r="L17" s="3" t="str">
        <f>IF(G17="Not Age Eligible","",IF(MAX(U17,X17,AA17,AD17)&gt;=LOOKUP(G17,'Qualifying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42.2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40.6</v>
      </c>
      <c r="T17" s="32">
        <v>39.6</v>
      </c>
      <c r="U17" s="37">
        <v>6.4</v>
      </c>
      <c r="V17" s="37">
        <v>1</v>
      </c>
      <c r="W17" s="33">
        <v>40.299999999999997</v>
      </c>
      <c r="X17" s="37">
        <v>6.4</v>
      </c>
      <c r="Y17" s="37">
        <v>1</v>
      </c>
      <c r="Z17" s="32">
        <v>40.6</v>
      </c>
      <c r="AA17" s="37">
        <v>7.5</v>
      </c>
      <c r="AB17" s="37">
        <v>2</v>
      </c>
      <c r="AC17" s="33">
        <v>42.2</v>
      </c>
      <c r="AD17" s="37">
        <v>7.5</v>
      </c>
      <c r="AE17" s="37">
        <v>2</v>
      </c>
    </row>
    <row r="18" spans="1:31" x14ac:dyDescent="0.2">
      <c r="A18" s="1" t="str" cm="1">
        <f t="array" ref="A18">IF(I18="","",IF(P18&lt;&gt;"",SUMPRODUCT((P$3:P$43&lt;&gt;"")*(G$3:G$43=G18)*(J$3:J$43&gt;J18)*(I$3:I$43="P"))+1,IF(O18&lt;&gt;"",SUMPRODUCT((O$3:O$43&lt;&gt;"")*(P$3:P$43="")*(G$3:G$43=G18)*(J$3:J$43&gt;J18)*(I$3:I$43="P"))+SUMPRODUCT((P$3:P$43&lt;&gt;"")*(G$3:G$43=G18)*(I$3:I$43="P"))+1,IF(N18&lt;&gt;"",SUMPRODUCT((N$3:N$43&lt;&gt;"")*(G$3:G$43=G18)*(J$3:J$43&gt;J18)*(I$3:I$43="P"))+1,IF(M18="P",SUMPRODUCT((O$3:O$43&lt;&gt;"")*(P$3:P$43="")*(G$3:G$43=G18)*(I$3:I$43="P"))+SUMPRODUCT((P$3:P$43&lt;&gt;"")*(G$3:G$43=G18)*(I$3:I$43="P"))+SUMPRODUCT((N$3:N$43&lt;&gt;"")*(G$3:G$43=G18)*(I$3:I$43="P"))+SUMPRODUCT((P$3:P$43="")*(O$3:O$43="")*(N$3:N$43="")*(M$3:M$43="P")*(G$3:G$43=G18)*(J$3:J$43&gt;J18)*(I$3:I$43="P"))+IF(H18="L5",SUMPRODUCT((P$3:P$43="")*(O$3:O$43="")*(N$3:N$43="")*(M$3:M$43="P")*(G$3:G$43=G18)*(J$3:J$43&lt;J18)*(H$3:H$43&lt;&gt;H18)*(I$3:I$43="P")),-1*SUMPRODUCT((P$3:P$43="")*(O$3:O$43="")*(N$3:N$43="")*(M$3:M$43="P")*(G$3:G$43=G18)*(J$3:J$43&gt;J18)*(H$3:H$43="L5")*(I$3:I$43="P")))+1,"")))))</f>
        <v/>
      </c>
      <c r="B18" s="1" t="str" cm="1">
        <f t="array" ref="B18">IF(P18&lt;&gt;"",SUMPRODUCT((P$3:P$43&lt;&gt;"")*(G$3:G$43=G18)*(J$3:J$43&gt;J18))+1,IF(O18&lt;&gt;"",SUMPRODUCT((O$3:O$43&lt;&gt;"")*(P$3:P$43="")*(G$3:G$43=G18)*(J$3:J$43&gt;J18))+SUMPRODUCT((P$3:P$43&lt;&gt;"")*(G$3:G$43=G18))+1,IF(N18&lt;&gt;"",SUMPRODUCT((N$3:N$43&lt;&gt;"")*(G$3:G$43=G18)*(J$3:J$43&gt;J18))+1,IF(M18="P",SUMPRODUCT((O$3:O$43&lt;&gt;"")*(P$3:P$43="")*(G$3:G$43=G18))+SUMPRODUCT((P$3:P$43&lt;&gt;"")*(G$3:G$43=G18))+SUMPRODUCT((N$3:N$43&lt;&gt;"")*(G$3:G$43=G18))+SUMPRODUCT((P$3:P$43="")*(O$3:O$43="")*(N$3:N$43="")*(M$3:M$43="P")*(G$3:G$43=G18)*(J$3:J$43&gt;J18))+IF(H18="L5",SUMPRODUCT((P$3:P$43="")*(O$3:O$43="")*(N$3:N$43="")*(M$3:M$43="P")*(G$3:G$43=G18)*(J$3:J$43&lt;J18)*(H$3:H$43&lt;&gt;H18)),-1*SUMPRODUCT((P$3:P$43="")*(O$3:O$43="")*(N$3:N$43="")*(M$3:M$43="P")*(G$3:G$43=G18)*(J$3:J$43&gt;J18)*(H$3:H$43="L5")))+1,""))))</f>
        <v/>
      </c>
      <c r="C18" s="35" t="s">
        <v>452</v>
      </c>
      <c r="D18" t="str">
        <f>IF(E18="","",VLOOKUP(E18,'Coaching Points'!A:B,2,0))</f>
        <v>QC</v>
      </c>
      <c r="E18" s="35" t="s">
        <v>3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82.500004169999997</v>
      </c>
      <c r="K18" s="3" t="str">
        <f>IF(G18="Not Age Eligible","",IF(MAX(T18,W18,Z18,AC18)&gt;=LOOKUP(G18,'Qualifying Scores'!$A$4:$A$7,'Qualifying Scores'!$H$4:$H$7),"P",""))</f>
        <v/>
      </c>
      <c r="L18" s="3" t="str">
        <f>IF(G18="Not Age Eligible","",IF(MAX(U18,X18,AA18,AD18)&gt;=LOOKUP(G18,'Qualifying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41.7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40.799999999999997</v>
      </c>
      <c r="T18" s="32"/>
      <c r="U18" s="37"/>
      <c r="V18" s="37"/>
      <c r="W18" s="33"/>
      <c r="X18" s="37"/>
      <c r="Y18" s="37"/>
      <c r="Z18" s="32">
        <v>40.799999999999997</v>
      </c>
      <c r="AA18" s="37">
        <v>7.8</v>
      </c>
      <c r="AB18" s="37">
        <v>1</v>
      </c>
      <c r="AC18" s="33">
        <v>41.7</v>
      </c>
      <c r="AD18" s="37">
        <v>8.1999999999999993</v>
      </c>
      <c r="AE18" s="37">
        <v>1</v>
      </c>
    </row>
    <row r="19" spans="1:31" x14ac:dyDescent="0.2">
      <c r="A19" s="1" t="str" cm="1">
        <f t="array" ref="A19">IF(I19="","",IF(P19&lt;&gt;"",SUMPRODUCT((P$3:P$43&lt;&gt;"")*(G$3:G$43=G19)*(J$3:J$43&gt;J19)*(I$3:I$43="P"))+1,IF(O19&lt;&gt;"",SUMPRODUCT((O$3:O$43&lt;&gt;"")*(P$3:P$43="")*(G$3:G$43=G19)*(J$3:J$43&gt;J19)*(I$3:I$43="P"))+SUMPRODUCT((P$3:P$43&lt;&gt;"")*(G$3:G$43=G19)*(I$3:I$43="P"))+1,IF(N19&lt;&gt;"",SUMPRODUCT((N$3:N$43&lt;&gt;"")*(G$3:G$43=G19)*(J$3:J$43&gt;J19)*(I$3:I$43="P"))+1,IF(M19="P",SUMPRODUCT((O$3:O$43&lt;&gt;"")*(P$3:P$43="")*(G$3:G$43=G19)*(I$3:I$43="P"))+SUMPRODUCT((P$3:P$43&lt;&gt;"")*(G$3:G$43=G19)*(I$3:I$43="P"))+SUMPRODUCT((N$3:N$43&lt;&gt;"")*(G$3:G$43=G19)*(I$3:I$43="P"))+SUMPRODUCT((P$3:P$43="")*(O$3:O$43="")*(N$3:N$43="")*(M$3:M$43="P")*(G$3:G$43=G19)*(J$3:J$43&gt;J19)*(I$3:I$43="P"))+IF(H19="L5",SUMPRODUCT((P$3:P$43="")*(O$3:O$43="")*(N$3:N$43="")*(M$3:M$43="P")*(G$3:G$43=G19)*(J$3:J$43&lt;J19)*(H$3:H$43&lt;&gt;H19)*(I$3:I$43="P")),-1*SUMPRODUCT((P$3:P$43="")*(O$3:O$43="")*(N$3:N$43="")*(M$3:M$43="P")*(G$3:G$43=G19)*(J$3:J$43&gt;J19)*(H$3:H$43="L5")*(I$3:I$43="P")))+1,"")))))</f>
        <v/>
      </c>
      <c r="B19" s="1" t="str" cm="1">
        <f t="array" ref="B19">IF(P19&lt;&gt;"",SUMPRODUCT((P$3:P$43&lt;&gt;"")*(G$3:G$43=G19)*(J$3:J$43&gt;J19))+1,IF(O19&lt;&gt;"",SUMPRODUCT((O$3:O$43&lt;&gt;"")*(P$3:P$43="")*(G$3:G$43=G19)*(J$3:J$43&gt;J19))+SUMPRODUCT((P$3:P$43&lt;&gt;"")*(G$3:G$43=G19))+1,IF(N19&lt;&gt;"",SUMPRODUCT((N$3:N$43&lt;&gt;"")*(G$3:G$43=G19)*(J$3:J$43&gt;J19))+1,IF(M19="P",SUMPRODUCT((O$3:O$43&lt;&gt;"")*(P$3:P$43="")*(G$3:G$43=G19))+SUMPRODUCT((P$3:P$43&lt;&gt;"")*(G$3:G$43=G19))+SUMPRODUCT((N$3:N$43&lt;&gt;"")*(G$3:G$43=G19))+SUMPRODUCT((P$3:P$43="")*(O$3:O$43="")*(N$3:N$43="")*(M$3:M$43="P")*(G$3:G$43=G19)*(J$3:J$43&gt;J19))+IF(H19="L5",SUMPRODUCT((P$3:P$43="")*(O$3:O$43="")*(N$3:N$43="")*(M$3:M$43="P")*(G$3:G$43=G19)*(J$3:J$43&lt;J19)*(H$3:H$43&lt;&gt;H19)),-1*SUMPRODUCT((P$3:P$43="")*(O$3:O$43="")*(N$3:N$43="")*(M$3:M$43="P")*(G$3:G$43=G19)*(J$3:J$43&gt;J19)*(H$3:H$43="L5")))+1,""))))</f>
        <v/>
      </c>
      <c r="C19" s="35" t="s">
        <v>341</v>
      </c>
      <c r="D19" t="str">
        <f>IF(E19="","",VLOOKUP(E19,'Coaching Points'!A:B,2,0))</f>
        <v>ON</v>
      </c>
      <c r="E19" s="35" t="s">
        <v>45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214</v>
      </c>
      <c r="I19" s="40"/>
      <c r="J19" s="4">
        <f>R19+S19+IF(OR(H19="Junior",H19="Senior"),0.0002,IF(OR(H19="L7",H19="L6"),0.0001,0))+MAX(Z19,AC19)*0.0000001</f>
        <v>82.400004250000009</v>
      </c>
      <c r="K19" s="3" t="str">
        <f>IF(G19="Not Age Eligible","",IF(MAX(T19,W19,Z19,AC19)&gt;=LOOKUP(G19,'Qualifying Scores'!$A$4:$A$7,'Qualifying Scores'!$H$4:$H$7),"P",""))</f>
        <v/>
      </c>
      <c r="L19" s="3" t="str">
        <f>IF(G19="Not Age Eligible","",IF(MAX(U19,X19,AA19,AD19)&gt;=LOOKUP(G19,'Qualifying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42.5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39.9</v>
      </c>
      <c r="T19" s="32">
        <v>39.9</v>
      </c>
      <c r="U19" s="37">
        <v>5.3000000000000007</v>
      </c>
      <c r="V19" s="37">
        <v>1</v>
      </c>
      <c r="W19" s="33">
        <v>39.700000000000003</v>
      </c>
      <c r="X19" s="37">
        <v>5.3000000000000007</v>
      </c>
      <c r="Y19" s="37">
        <v>1</v>
      </c>
      <c r="Z19" s="32">
        <v>31</v>
      </c>
      <c r="AA19" s="37">
        <v>3.4</v>
      </c>
      <c r="AB19" s="37">
        <v>0</v>
      </c>
      <c r="AC19" s="33">
        <v>42.5</v>
      </c>
      <c r="AD19" s="37">
        <v>6.6</v>
      </c>
      <c r="AE19" s="37">
        <v>2</v>
      </c>
    </row>
    <row r="20" spans="1:31" x14ac:dyDescent="0.2">
      <c r="A20" s="1" t="str" cm="1">
        <f t="array" ref="A20">IF(I20="","",IF(P20&lt;&gt;"",SUMPRODUCT((P$3:P$43&lt;&gt;"")*(G$3:G$43=G20)*(J$3:J$43&gt;J20)*(I$3:I$43="P"))+1,IF(O20&lt;&gt;"",SUMPRODUCT((O$3:O$43&lt;&gt;"")*(P$3:P$43="")*(G$3:G$43=G20)*(J$3:J$43&gt;J20)*(I$3:I$43="P"))+SUMPRODUCT((P$3:P$43&lt;&gt;"")*(G$3:G$43=G20)*(I$3:I$43="P"))+1,IF(N20&lt;&gt;"",SUMPRODUCT((N$3:N$43&lt;&gt;"")*(G$3:G$43=G20)*(J$3:J$43&gt;J20)*(I$3:I$43="P"))+1,IF(M20="P",SUMPRODUCT((O$3:O$43&lt;&gt;"")*(P$3:P$43="")*(G$3:G$43=G20)*(I$3:I$43="P"))+SUMPRODUCT((P$3:P$43&lt;&gt;"")*(G$3:G$43=G20)*(I$3:I$43="P"))+SUMPRODUCT((N$3:N$43&lt;&gt;"")*(G$3:G$43=G20)*(I$3:I$43="P"))+SUMPRODUCT((P$3:P$43="")*(O$3:O$43="")*(N$3:N$43="")*(M$3:M$43="P")*(G$3:G$43=G20)*(J$3:J$43&gt;J20)*(I$3:I$43="P"))+IF(H20="L5",SUMPRODUCT((P$3:P$43="")*(O$3:O$43="")*(N$3:N$43="")*(M$3:M$43="P")*(G$3:G$43=G20)*(J$3:J$43&lt;J20)*(H$3:H$43&lt;&gt;H20)*(I$3:I$43="P")),-1*SUMPRODUCT((P$3:P$43="")*(O$3:O$43="")*(N$3:N$43="")*(M$3:M$43="P")*(G$3:G$43=G20)*(J$3:J$43&gt;J20)*(H$3:H$43="L5")*(I$3:I$43="P")))+1,"")))))</f>
        <v/>
      </c>
      <c r="B20" s="1" t="str" cm="1">
        <f t="array" ref="B20">IF(P20&lt;&gt;"",SUMPRODUCT((P$3:P$43&lt;&gt;"")*(G$3:G$43=G20)*(J$3:J$43&gt;J20))+1,IF(O20&lt;&gt;"",SUMPRODUCT((O$3:O$43&lt;&gt;"")*(P$3:P$43="")*(G$3:G$43=G20)*(J$3:J$43&gt;J20))+SUMPRODUCT((P$3:P$43&lt;&gt;"")*(G$3:G$43=G20))+1,IF(N20&lt;&gt;"",SUMPRODUCT((N$3:N$43&lt;&gt;"")*(G$3:G$43=G20)*(J$3:J$43&gt;J20))+1,IF(M20="P",SUMPRODUCT((O$3:O$43&lt;&gt;"")*(P$3:P$43="")*(G$3:G$43=G20))+SUMPRODUCT((P$3:P$43&lt;&gt;"")*(G$3:G$43=G20))+SUMPRODUCT((N$3:N$43&lt;&gt;"")*(G$3:G$43=G20))+SUMPRODUCT((P$3:P$43="")*(O$3:O$43="")*(N$3:N$43="")*(M$3:M$43="P")*(G$3:G$43=G20)*(J$3:J$43&gt;J20))+IF(H20="L5",SUMPRODUCT((P$3:P$43="")*(O$3:O$43="")*(N$3:N$43="")*(M$3:M$43="P")*(G$3:G$43=G20)*(J$3:J$43&lt;J20)*(H$3:H$43&lt;&gt;H20)),-1*SUMPRODUCT((P$3:P$43="")*(O$3:O$43="")*(N$3:N$43="")*(M$3:M$43="P")*(G$3:G$43=G20)*(J$3:J$43&gt;J20)*(H$3:H$43="L5")))+1,""))))</f>
        <v/>
      </c>
      <c r="C20" s="35" t="s">
        <v>334</v>
      </c>
      <c r="D20" t="str">
        <f>IF(E20="","",VLOOKUP(E20,'Coaching Points'!A:B,2,0))</f>
        <v>AB</v>
      </c>
      <c r="E20" s="35" t="s">
        <v>62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>R20+S20+IF(OR(H20="Junior",H20="Senior"),0.0002,IF(OR(H20="L7",H20="L6"),0.0001,0))+MAX(Z20,AC20)*0.0000001</f>
        <v>82.300103790000009</v>
      </c>
      <c r="K20" s="3" t="str">
        <f>IF(G20="Not Age Eligible","",IF(MAX(T20,W20,Z20,AC20)&gt;=LOOKUP(G20,'Qualifying Scores'!$A$4:$A$7,'Qualifying Scores'!$H$4:$H$7),"P",""))</f>
        <v/>
      </c>
      <c r="L20" s="3" t="str">
        <f>IF(G20="Not Age Eligible","",IF(MAX(U20,X20,AA20,AD20)&gt;=LOOKUP(G20,'Qualifying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43.6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38.700000000000003</v>
      </c>
      <c r="T20" s="32">
        <v>38.700000000000003</v>
      </c>
      <c r="U20" s="37">
        <v>9.3000000000000007</v>
      </c>
      <c r="V20" s="37">
        <v>0</v>
      </c>
      <c r="W20" s="33">
        <v>43.6</v>
      </c>
      <c r="X20" s="37">
        <v>11.5</v>
      </c>
      <c r="Y20" s="37">
        <v>0</v>
      </c>
      <c r="Z20" s="32">
        <v>37.9</v>
      </c>
      <c r="AA20" s="37">
        <v>8.5</v>
      </c>
      <c r="AB20" s="37">
        <v>0</v>
      </c>
      <c r="AC20" s="33">
        <v>18.399999999999999</v>
      </c>
      <c r="AD20" s="37">
        <v>2.9</v>
      </c>
      <c r="AE20" s="37">
        <v>0.7</v>
      </c>
    </row>
    <row r="21" spans="1:31" x14ac:dyDescent="0.2">
      <c r="A21" s="1" t="str" cm="1">
        <f t="array" ref="A21">IF(I21="","",IF(P21&lt;&gt;"",SUMPRODUCT((P$3:P$43&lt;&gt;"")*(G$3:G$43=G21)*(J$3:J$43&gt;J21)*(I$3:I$43="P"))+1,IF(O21&lt;&gt;"",SUMPRODUCT((O$3:O$43&lt;&gt;"")*(P$3:P$43="")*(G$3:G$43=G21)*(J$3:J$43&gt;J21)*(I$3:I$43="P"))+SUMPRODUCT((P$3:P$43&lt;&gt;"")*(G$3:G$43=G21)*(I$3:I$43="P"))+1,IF(N21&lt;&gt;"",SUMPRODUCT((N$3:N$43&lt;&gt;"")*(G$3:G$43=G21)*(J$3:J$43&gt;J21)*(I$3:I$43="P"))+1,IF(M21="P",SUMPRODUCT((O$3:O$43&lt;&gt;"")*(P$3:P$43="")*(G$3:G$43=G21)*(I$3:I$43="P"))+SUMPRODUCT((P$3:P$43&lt;&gt;"")*(G$3:G$43=G21)*(I$3:I$43="P"))+SUMPRODUCT((N$3:N$43&lt;&gt;"")*(G$3:G$43=G21)*(I$3:I$43="P"))+SUMPRODUCT((P$3:P$43="")*(O$3:O$43="")*(N$3:N$43="")*(M$3:M$43="P")*(G$3:G$43=G21)*(J$3:J$43&gt;J21)*(I$3:I$43="P"))+IF(H21="L5",SUMPRODUCT((P$3:P$43="")*(O$3:O$43="")*(N$3:N$43="")*(M$3:M$43="P")*(G$3:G$43=G21)*(J$3:J$43&lt;J21)*(H$3:H$43&lt;&gt;H21)*(I$3:I$43="P")),-1*SUMPRODUCT((P$3:P$43="")*(O$3:O$43="")*(N$3:N$43="")*(M$3:M$43="P")*(G$3:G$43=G21)*(J$3:J$43&gt;J21)*(H$3:H$43="L5")*(I$3:I$43="P")))+1,"")))))</f>
        <v/>
      </c>
      <c r="B21" s="1" t="str" cm="1">
        <f t="array" ref="B21">IF(P21&lt;&gt;"",SUMPRODUCT((P$3:P$43&lt;&gt;"")*(G$3:G$43=G21)*(J$3:J$43&gt;J21))+1,IF(O21&lt;&gt;"",SUMPRODUCT((O$3:O$43&lt;&gt;"")*(P$3:P$43="")*(G$3:G$43=G21)*(J$3:J$43&gt;J21))+SUMPRODUCT((P$3:P$43&lt;&gt;"")*(G$3:G$43=G21))+1,IF(N21&lt;&gt;"",SUMPRODUCT((N$3:N$43&lt;&gt;"")*(G$3:G$43=G21)*(J$3:J$43&gt;J21))+1,IF(M21="P",SUMPRODUCT((O$3:O$43&lt;&gt;"")*(P$3:P$43="")*(G$3:G$43=G21))+SUMPRODUCT((P$3:P$43&lt;&gt;"")*(G$3:G$43=G21))+SUMPRODUCT((N$3:N$43&lt;&gt;"")*(G$3:G$43=G21))+SUMPRODUCT((P$3:P$43="")*(O$3:O$43="")*(N$3:N$43="")*(M$3:M$43="P")*(G$3:G$43=G21)*(J$3:J$43&gt;J21))+IF(H21="L5",SUMPRODUCT((P$3:P$43="")*(O$3:O$43="")*(N$3:N$43="")*(M$3:M$43="P")*(G$3:G$43=G21)*(J$3:J$43&lt;J21)*(H$3:H$43&lt;&gt;H21)),-1*SUMPRODUCT((P$3:P$43="")*(O$3:O$43="")*(N$3:N$43="")*(M$3:M$43="P")*(G$3:G$43=G21)*(J$3:J$43&gt;J21)*(H$3:H$43="L5")))+1,""))))</f>
        <v/>
      </c>
      <c r="C21" s="35" t="s">
        <v>82</v>
      </c>
      <c r="D21" t="str">
        <f>IF(E21="","",VLOOKUP(E21,'Coaching Points'!A:B,2,0))</f>
        <v>BC</v>
      </c>
      <c r="E21" s="35" t="s">
        <v>40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81.900104410000012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>P</v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42.7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39.200000000000003</v>
      </c>
      <c r="T21" s="32">
        <v>35.6</v>
      </c>
      <c r="U21" s="37">
        <v>7.7</v>
      </c>
      <c r="V21" s="37">
        <v>0.7</v>
      </c>
      <c r="W21" s="33"/>
      <c r="X21" s="37"/>
      <c r="Y21" s="37"/>
      <c r="Z21" s="32">
        <v>44.1</v>
      </c>
      <c r="AA21" s="37">
        <v>11.5</v>
      </c>
      <c r="AB21" s="37">
        <v>1.4</v>
      </c>
      <c r="AC21" s="33">
        <v>40.6</v>
      </c>
      <c r="AD21" s="37">
        <v>10.3</v>
      </c>
      <c r="AE21" s="37">
        <v>1.4</v>
      </c>
    </row>
    <row r="22" spans="1:31" x14ac:dyDescent="0.2">
      <c r="A22" s="1" t="str" cm="1">
        <f t="array" ref="A22">IF(I22="","",IF(P22&lt;&gt;"",SUMPRODUCT((P$3:P$43&lt;&gt;"")*(G$3:G$43=G22)*(J$3:J$43&gt;J22)*(I$3:I$43="P"))+1,IF(O22&lt;&gt;"",SUMPRODUCT((O$3:O$43&lt;&gt;"")*(P$3:P$43="")*(G$3:G$43=G22)*(J$3:J$43&gt;J22)*(I$3:I$43="P"))+SUMPRODUCT((P$3:P$43&lt;&gt;"")*(G$3:G$43=G22)*(I$3:I$43="P"))+1,IF(N22&lt;&gt;"",SUMPRODUCT((N$3:N$43&lt;&gt;"")*(G$3:G$43=G22)*(J$3:J$43&gt;J22)*(I$3:I$43="P"))+1,IF(M22="P",SUMPRODUCT((O$3:O$43&lt;&gt;"")*(P$3:P$43="")*(G$3:G$43=G22)*(I$3:I$43="P"))+SUMPRODUCT((P$3:P$43&lt;&gt;"")*(G$3:G$43=G22)*(I$3:I$43="P"))+SUMPRODUCT((N$3:N$43&lt;&gt;"")*(G$3:G$43=G22)*(I$3:I$43="P"))+SUMPRODUCT((P$3:P$43="")*(O$3:O$43="")*(N$3:N$43="")*(M$3:M$43="P")*(G$3:G$43=G22)*(J$3:J$43&gt;J22)*(I$3:I$43="P"))+IF(H22="L5",SUMPRODUCT((P$3:P$43="")*(O$3:O$43="")*(N$3:N$43="")*(M$3:M$43="P")*(G$3:G$43=G22)*(J$3:J$43&lt;J22)*(H$3:H$43&lt;&gt;H22)*(I$3:I$43="P")),-1*SUMPRODUCT((P$3:P$43="")*(O$3:O$43="")*(N$3:N$43="")*(M$3:M$43="P")*(G$3:G$43=G22)*(J$3:J$43&gt;J22)*(H$3:H$43="L5")*(I$3:I$43="P")))+1,"")))))</f>
        <v/>
      </c>
      <c r="B22" s="1" t="str" cm="1">
        <f t="array" ref="B22">IF(P22&lt;&gt;"",SUMPRODUCT((P$3:P$43&lt;&gt;"")*(G$3:G$43=G22)*(J$3:J$43&gt;J22))+1,IF(O22&lt;&gt;"",SUMPRODUCT((O$3:O$43&lt;&gt;"")*(P$3:P$43="")*(G$3:G$43=G22)*(J$3:J$43&gt;J22))+SUMPRODUCT((P$3:P$43&lt;&gt;"")*(G$3:G$43=G22))+1,IF(N22&lt;&gt;"",SUMPRODUCT((N$3:N$43&lt;&gt;"")*(G$3:G$43=G22)*(J$3:J$43&gt;J22))+1,IF(M22="P",SUMPRODUCT((O$3:O$43&lt;&gt;"")*(P$3:P$43="")*(G$3:G$43=G22))+SUMPRODUCT((P$3:P$43&lt;&gt;"")*(G$3:G$43=G22))+SUMPRODUCT((N$3:N$43&lt;&gt;"")*(G$3:G$43=G22))+SUMPRODUCT((P$3:P$43="")*(O$3:O$43="")*(N$3:N$43="")*(M$3:M$43="P")*(G$3:G$43=G22)*(J$3:J$43&gt;J22))+IF(H22="L5",SUMPRODUCT((P$3:P$43="")*(O$3:O$43="")*(N$3:N$43="")*(M$3:M$43="P")*(G$3:G$43=G22)*(J$3:J$43&lt;J22)*(H$3:H$43&lt;&gt;H22)),-1*SUMPRODUCT((P$3:P$43="")*(O$3:O$43="")*(N$3:N$43="")*(M$3:M$43="P")*(G$3:G$43=G22)*(J$3:J$43&gt;J22)*(H$3:H$43="L5")))+1,""))))</f>
        <v/>
      </c>
      <c r="C22" s="35" t="s">
        <v>456</v>
      </c>
      <c r="D22" t="str">
        <f>IF(E22="","",VLOOKUP(E22,'Coaching Points'!A:B,2,0))</f>
        <v>AB</v>
      </c>
      <c r="E22" s="35" t="s">
        <v>62</v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80.700104179999997</v>
      </c>
      <c r="K22" s="3" t="str">
        <f>IF(G22="Not Age Eligible","",IF(MAX(T22,W22,Z22,AC22)&gt;=LOOKUP(G22,'Qualifying Scores'!$A$4:$A$7,'Qualifying Scores'!$H$4:$H$7),"P",""))</f>
        <v/>
      </c>
      <c r="L22" s="3" t="str">
        <f>IF(G22="Not Age Eligible","",IF(MAX(U22,X22,AA22,AD22)&gt;=LOOKUP(G22,'Qualifying Scores'!$A$10:$A$13,'Qualifying Scores'!$H$10:$H$13),"P",""))</f>
        <v>P</v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41.8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38.9</v>
      </c>
      <c r="T22" s="32"/>
      <c r="U22" s="37"/>
      <c r="V22" s="37"/>
      <c r="W22" s="33"/>
      <c r="X22" s="37"/>
      <c r="Y22" s="37"/>
      <c r="Z22" s="32">
        <v>38.9</v>
      </c>
      <c r="AA22" s="37">
        <v>9</v>
      </c>
      <c r="AB22" s="37">
        <v>0</v>
      </c>
      <c r="AC22" s="33">
        <v>41.8</v>
      </c>
      <c r="AD22" s="37">
        <v>10.1</v>
      </c>
      <c r="AE22" s="37">
        <v>0</v>
      </c>
    </row>
    <row r="23" spans="1:31" x14ac:dyDescent="0.2">
      <c r="A23" s="1" t="str" cm="1">
        <f t="array" ref="A23">IF(I23="","",IF(P23&lt;&gt;"",SUMPRODUCT((P$3:P$43&lt;&gt;"")*(G$3:G$43=G23)*(J$3:J$43&gt;J23)*(I$3:I$43="P"))+1,IF(O23&lt;&gt;"",SUMPRODUCT((O$3:O$43&lt;&gt;"")*(P$3:P$43="")*(G$3:G$43=G23)*(J$3:J$43&gt;J23)*(I$3:I$43="P"))+SUMPRODUCT((P$3:P$43&lt;&gt;"")*(G$3:G$43=G23)*(I$3:I$43="P"))+1,IF(N23&lt;&gt;"",SUMPRODUCT((N$3:N$43&lt;&gt;"")*(G$3:G$43=G23)*(J$3:J$43&gt;J23)*(I$3:I$43="P"))+1,IF(M23="P",SUMPRODUCT((O$3:O$43&lt;&gt;"")*(P$3:P$43="")*(G$3:G$43=G23)*(I$3:I$43="P"))+SUMPRODUCT((P$3:P$43&lt;&gt;"")*(G$3:G$43=G23)*(I$3:I$43="P"))+SUMPRODUCT((N$3:N$43&lt;&gt;"")*(G$3:G$43=G23)*(I$3:I$43="P"))+SUMPRODUCT((P$3:P$43="")*(O$3:O$43="")*(N$3:N$43="")*(M$3:M$43="P")*(G$3:G$43=G23)*(J$3:J$43&gt;J23)*(I$3:I$43="P"))+IF(H23="L5",SUMPRODUCT((P$3:P$43="")*(O$3:O$43="")*(N$3:N$43="")*(M$3:M$43="P")*(G$3:G$43=G23)*(J$3:J$43&lt;J23)*(H$3:H$43&lt;&gt;H23)*(I$3:I$43="P")),-1*SUMPRODUCT((P$3:P$43="")*(O$3:O$43="")*(N$3:N$43="")*(M$3:M$43="P")*(G$3:G$43=G23)*(J$3:J$43&gt;J23)*(H$3:H$43="L5")*(I$3:I$43="P")))+1,"")))))</f>
        <v/>
      </c>
      <c r="B23" s="1" t="str" cm="1">
        <f t="array" ref="B23">IF(P23&lt;&gt;"",SUMPRODUCT((P$3:P$43&lt;&gt;"")*(G$3:G$43=G23)*(J$3:J$43&gt;J23))+1,IF(O23&lt;&gt;"",SUMPRODUCT((O$3:O$43&lt;&gt;"")*(P$3:P$43="")*(G$3:G$43=G23)*(J$3:J$43&gt;J23))+SUMPRODUCT((P$3:P$43&lt;&gt;"")*(G$3:G$43=G23))+1,IF(N23&lt;&gt;"",SUMPRODUCT((N$3:N$43&lt;&gt;"")*(G$3:G$43=G23)*(J$3:J$43&gt;J23))+1,IF(M23="P",SUMPRODUCT((O$3:O$43&lt;&gt;"")*(P$3:P$43="")*(G$3:G$43=G23))+SUMPRODUCT((P$3:P$43&lt;&gt;"")*(G$3:G$43=G23))+SUMPRODUCT((N$3:N$43&lt;&gt;"")*(G$3:G$43=G23))+SUMPRODUCT((P$3:P$43="")*(O$3:O$43="")*(N$3:N$43="")*(M$3:M$43="P")*(G$3:G$43=G23)*(J$3:J$43&gt;J23))+IF(H23="L5",SUMPRODUCT((P$3:P$43="")*(O$3:O$43="")*(N$3:N$43="")*(M$3:M$43="P")*(G$3:G$43=G23)*(J$3:J$43&lt;J23)*(H$3:H$43&lt;&gt;H23)),-1*SUMPRODUCT((P$3:P$43="")*(O$3:O$43="")*(N$3:N$43="")*(M$3:M$43="P")*(G$3:G$43=G23)*(J$3:J$43&gt;J23)*(H$3:H$43="L5")))+1,""))))</f>
        <v/>
      </c>
      <c r="C23" s="35" t="s">
        <v>155</v>
      </c>
      <c r="D23" t="str">
        <f>IF(E23="","",VLOOKUP(E23,'Coaching Points'!A:B,2,0))</f>
        <v>BC</v>
      </c>
      <c r="E23" s="35" t="s">
        <v>60</v>
      </c>
      <c r="F23" s="34">
        <v>2007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213</v>
      </c>
      <c r="I23" s="40"/>
      <c r="J23" s="4">
        <f>R23+S23+IF(OR(H23="Junior",H23="Senior"),0.0002,IF(OR(H23="L7",H23="L6"),0.0001,0))+MAX(Z23,AC23)*0.0000001</f>
        <v>80.400103850000008</v>
      </c>
      <c r="K23" s="3" t="str">
        <f>IF(G23="Not Age Eligible","",IF(MAX(T23,W23,Z23,AC23)&gt;=LOOKUP(G23,'Qualifying Scores'!$A$4:$A$7,'Qualifying Scores'!$H$4:$H$7),"P",""))</f>
        <v/>
      </c>
      <c r="L23" s="3" t="str">
        <f>IF(G23="Not Age Eligible","",IF(MAX(U23,X23,AA23,AD23)&gt;=LOOKUP(G23,'Qualifying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40.299999999999997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40.1</v>
      </c>
      <c r="T23" s="32">
        <v>40.1</v>
      </c>
      <c r="U23" s="37">
        <v>8.1999999999999993</v>
      </c>
      <c r="V23" s="37">
        <v>0</v>
      </c>
      <c r="W23" s="33">
        <v>40.299999999999997</v>
      </c>
      <c r="X23" s="37">
        <v>8.1999999999999993</v>
      </c>
      <c r="Y23" s="37">
        <v>0</v>
      </c>
      <c r="Z23" s="32">
        <v>38.4</v>
      </c>
      <c r="AA23" s="37">
        <v>6</v>
      </c>
      <c r="AB23" s="37">
        <v>0</v>
      </c>
      <c r="AC23" s="33">
        <v>38.5</v>
      </c>
      <c r="AD23" s="37">
        <v>8.1999999999999993</v>
      </c>
      <c r="AE23" s="37">
        <v>0</v>
      </c>
    </row>
    <row r="24" spans="1:31" x14ac:dyDescent="0.2">
      <c r="A24" s="1" t="str" cm="1">
        <f t="array" ref="A24">IF(I24="","",IF(P24&lt;&gt;"",SUMPRODUCT((P$3:P$43&lt;&gt;"")*(G$3:G$43=G24)*(J$3:J$43&gt;J24)*(I$3:I$43="P"))+1,IF(O24&lt;&gt;"",SUMPRODUCT((O$3:O$43&lt;&gt;"")*(P$3:P$43="")*(G$3:G$43=G24)*(J$3:J$43&gt;J24)*(I$3:I$43="P"))+SUMPRODUCT((P$3:P$43&lt;&gt;"")*(G$3:G$43=G24)*(I$3:I$43="P"))+1,IF(N24&lt;&gt;"",SUMPRODUCT((N$3:N$43&lt;&gt;"")*(G$3:G$43=G24)*(J$3:J$43&gt;J24)*(I$3:I$43="P"))+1,IF(M24="P",SUMPRODUCT((O$3:O$43&lt;&gt;"")*(P$3:P$43="")*(G$3:G$43=G24)*(I$3:I$43="P"))+SUMPRODUCT((P$3:P$43&lt;&gt;"")*(G$3:G$43=G24)*(I$3:I$43="P"))+SUMPRODUCT((N$3:N$43&lt;&gt;"")*(G$3:G$43=G24)*(I$3:I$43="P"))+SUMPRODUCT((P$3:P$43="")*(O$3:O$43="")*(N$3:N$43="")*(M$3:M$43="P")*(G$3:G$43=G24)*(J$3:J$43&gt;J24)*(I$3:I$43="P"))+IF(H24="L5",SUMPRODUCT((P$3:P$43="")*(O$3:O$43="")*(N$3:N$43="")*(M$3:M$43="P")*(G$3:G$43=G24)*(J$3:J$43&lt;J24)*(H$3:H$43&lt;&gt;H24)*(I$3:I$43="P")),-1*SUMPRODUCT((P$3:P$43="")*(O$3:O$43="")*(N$3:N$43="")*(M$3:M$43="P")*(G$3:G$43=G24)*(J$3:J$43&gt;J24)*(H$3:H$43="L5")*(I$3:I$43="P")))+1,"")))))</f>
        <v/>
      </c>
      <c r="B24" s="1" t="str" cm="1">
        <f t="array" ref="B24">IF(P24&lt;&gt;"",SUMPRODUCT((P$3:P$43&lt;&gt;"")*(G$3:G$43=G24)*(J$3:J$43&gt;J24))+1,IF(O24&lt;&gt;"",SUMPRODUCT((O$3:O$43&lt;&gt;"")*(P$3:P$43="")*(G$3:G$43=G24)*(J$3:J$43&gt;J24))+SUMPRODUCT((P$3:P$43&lt;&gt;"")*(G$3:G$43=G24))+1,IF(N24&lt;&gt;"",SUMPRODUCT((N$3:N$43&lt;&gt;"")*(G$3:G$43=G24)*(J$3:J$43&gt;J24))+1,IF(M24="P",SUMPRODUCT((O$3:O$43&lt;&gt;"")*(P$3:P$43="")*(G$3:G$43=G24))+SUMPRODUCT((P$3:P$43&lt;&gt;"")*(G$3:G$43=G24))+SUMPRODUCT((N$3:N$43&lt;&gt;"")*(G$3:G$43=G24))+SUMPRODUCT((P$3:P$43="")*(O$3:O$43="")*(N$3:N$43="")*(M$3:M$43="P")*(G$3:G$43=G24)*(J$3:J$43&gt;J24))+IF(H24="L5",SUMPRODUCT((P$3:P$43="")*(O$3:O$43="")*(N$3:N$43="")*(M$3:M$43="P")*(G$3:G$43=G24)*(J$3:J$43&lt;J24)*(H$3:H$43&lt;&gt;H24)),-1*SUMPRODUCT((P$3:P$43="")*(O$3:O$43="")*(N$3:N$43="")*(M$3:M$43="P")*(G$3:G$43=G24)*(J$3:J$43&gt;J24)*(H$3:H$43="L5")))+1,""))))</f>
        <v/>
      </c>
      <c r="C24" s="35" t="s">
        <v>118</v>
      </c>
      <c r="D24" t="str">
        <f>IF(E24="","",VLOOKUP(E24,'Coaching Points'!A:B,2,0))</f>
        <v>MB</v>
      </c>
      <c r="E24" s="35" t="s">
        <v>63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79.300003939999996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39.9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39.4</v>
      </c>
      <c r="T24" s="32">
        <v>38.6</v>
      </c>
      <c r="U24" s="37">
        <v>8</v>
      </c>
      <c r="V24" s="37">
        <v>2</v>
      </c>
      <c r="W24" s="33">
        <v>39.9</v>
      </c>
      <c r="X24" s="37">
        <v>7.8999999999999995</v>
      </c>
      <c r="Y24" s="37">
        <v>2</v>
      </c>
      <c r="Z24" s="32">
        <v>36.700000000000003</v>
      </c>
      <c r="AA24" s="37">
        <v>6</v>
      </c>
      <c r="AB24" s="37">
        <v>1</v>
      </c>
      <c r="AC24" s="33">
        <v>39.4</v>
      </c>
      <c r="AD24" s="37">
        <v>8</v>
      </c>
      <c r="AE24" s="37">
        <v>2</v>
      </c>
    </row>
    <row r="25" spans="1:31" x14ac:dyDescent="0.2">
      <c r="A25" s="1" t="str" cm="1">
        <f t="array" ref="A25">IF(I25="","",IF(P25&lt;&gt;"",SUMPRODUCT((P$3:P$43&lt;&gt;"")*(G$3:G$43=G25)*(J$3:J$43&gt;J25)*(I$3:I$43="P"))+1,IF(O25&lt;&gt;"",SUMPRODUCT((O$3:O$43&lt;&gt;"")*(P$3:P$43="")*(G$3:G$43=G25)*(J$3:J$43&gt;J25)*(I$3:I$43="P"))+SUMPRODUCT((P$3:P$43&lt;&gt;"")*(G$3:G$43=G25)*(I$3:I$43="P"))+1,IF(N25&lt;&gt;"",SUMPRODUCT((N$3:N$43&lt;&gt;"")*(G$3:G$43=G25)*(J$3:J$43&gt;J25)*(I$3:I$43="P"))+1,IF(M25="P",SUMPRODUCT((O$3:O$43&lt;&gt;"")*(P$3:P$43="")*(G$3:G$43=G25)*(I$3:I$43="P"))+SUMPRODUCT((P$3:P$43&lt;&gt;"")*(G$3:G$43=G25)*(I$3:I$43="P"))+SUMPRODUCT((N$3:N$43&lt;&gt;"")*(G$3:G$43=G25)*(I$3:I$43="P"))+SUMPRODUCT((P$3:P$43="")*(O$3:O$43="")*(N$3:N$43="")*(M$3:M$43="P")*(G$3:G$43=G25)*(J$3:J$43&gt;J25)*(I$3:I$43="P"))+IF(H25="L5",SUMPRODUCT((P$3:P$43="")*(O$3:O$43="")*(N$3:N$43="")*(M$3:M$43="P")*(G$3:G$43=G25)*(J$3:J$43&lt;J25)*(H$3:H$43&lt;&gt;H25)*(I$3:I$43="P")),-1*SUMPRODUCT((P$3:P$43="")*(O$3:O$43="")*(N$3:N$43="")*(M$3:M$43="P")*(G$3:G$43=G25)*(J$3:J$43&gt;J25)*(H$3:H$43="L5")*(I$3:I$43="P")))+1,"")))))</f>
        <v/>
      </c>
      <c r="B25" s="1" t="str" cm="1">
        <f t="array" ref="B25">IF(P25&lt;&gt;"",SUMPRODUCT((P$3:P$43&lt;&gt;"")*(G$3:G$43=G25)*(J$3:J$43&gt;J25))+1,IF(O25&lt;&gt;"",SUMPRODUCT((O$3:O$43&lt;&gt;"")*(P$3:P$43="")*(G$3:G$43=G25)*(J$3:J$43&gt;J25))+SUMPRODUCT((P$3:P$43&lt;&gt;"")*(G$3:G$43=G25))+1,IF(N25&lt;&gt;"",SUMPRODUCT((N$3:N$43&lt;&gt;"")*(G$3:G$43=G25)*(J$3:J$43&gt;J25))+1,IF(M25="P",SUMPRODUCT((O$3:O$43&lt;&gt;"")*(P$3:P$43="")*(G$3:G$43=G25))+SUMPRODUCT((P$3:P$43&lt;&gt;"")*(G$3:G$43=G25))+SUMPRODUCT((N$3:N$43&lt;&gt;"")*(G$3:G$43=G25))+SUMPRODUCT((P$3:P$43="")*(O$3:O$43="")*(N$3:N$43="")*(M$3:M$43="P")*(G$3:G$43=G25)*(J$3:J$43&gt;J25))+IF(H25="L5",SUMPRODUCT((P$3:P$43="")*(O$3:O$43="")*(N$3:N$43="")*(M$3:M$43="P")*(G$3:G$43=G25)*(J$3:J$43&lt;J25)*(H$3:H$43&lt;&gt;H25)),-1*SUMPRODUCT((P$3:P$43="")*(O$3:O$43="")*(N$3:N$43="")*(M$3:M$43="P")*(G$3:G$43=G25)*(J$3:J$43&gt;J25)*(H$3:H$43="L5")))+1,""))))</f>
        <v/>
      </c>
      <c r="C25" s="35" t="s">
        <v>453</v>
      </c>
      <c r="D25" t="str">
        <f>IF(E25="","",VLOOKUP(E25,'Coaching Points'!A:B,2,0))</f>
        <v>ON</v>
      </c>
      <c r="E25" s="35" t="s">
        <v>150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76.600003979999997</v>
      </c>
      <c r="K25" s="3" t="str">
        <f>IF(G25="Not Age Eligible","",IF(MAX(T25,W25,Z25,AC25)&gt;=LOOKUP(G25,'Qualifying Scores'!$A$4:$A$7,'Qualifying Scores'!$H$4:$H$7),"P",""))</f>
        <v/>
      </c>
      <c r="L25" s="3" t="str">
        <f>IF(G25="Not Age Eligible","",IF(MAX(U25,X25,AA25,AD25)&gt;=LOOKUP(G25,'Qualifying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39.799999999999997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36.799999999999997</v>
      </c>
      <c r="T25" s="32"/>
      <c r="U25" s="37"/>
      <c r="V25" s="37"/>
      <c r="W25" s="33"/>
      <c r="X25" s="37"/>
      <c r="Y25" s="37"/>
      <c r="Z25" s="32">
        <v>36.799999999999997</v>
      </c>
      <c r="AA25" s="37">
        <v>4.5999999999999996</v>
      </c>
      <c r="AB25" s="37">
        <v>0</v>
      </c>
      <c r="AC25" s="33">
        <v>39.799999999999997</v>
      </c>
      <c r="AD25" s="37">
        <v>5.7</v>
      </c>
      <c r="AE25" s="37">
        <v>1</v>
      </c>
    </row>
    <row r="26" spans="1:31" x14ac:dyDescent="0.2">
      <c r="A26" s="1" t="str" cm="1">
        <f t="array" ref="A26">IF(I26="","",IF(P26&lt;&gt;"",SUMPRODUCT((P$3:P$43&lt;&gt;"")*(G$3:G$43=G26)*(J$3:J$43&gt;J26)*(I$3:I$43="P"))+1,IF(O26&lt;&gt;"",SUMPRODUCT((O$3:O$43&lt;&gt;"")*(P$3:P$43="")*(G$3:G$43=G26)*(J$3:J$43&gt;J26)*(I$3:I$43="P"))+SUMPRODUCT((P$3:P$43&lt;&gt;"")*(G$3:G$43=G26)*(I$3:I$43="P"))+1,IF(N26&lt;&gt;"",SUMPRODUCT((N$3:N$43&lt;&gt;"")*(G$3:G$43=G26)*(J$3:J$43&gt;J26)*(I$3:I$43="P"))+1,IF(M26="P",SUMPRODUCT((O$3:O$43&lt;&gt;"")*(P$3:P$43="")*(G$3:G$43=G26)*(I$3:I$43="P"))+SUMPRODUCT((P$3:P$43&lt;&gt;"")*(G$3:G$43=G26)*(I$3:I$43="P"))+SUMPRODUCT((N$3:N$43&lt;&gt;"")*(G$3:G$43=G26)*(I$3:I$43="P"))+SUMPRODUCT((P$3:P$43="")*(O$3:O$43="")*(N$3:N$43="")*(M$3:M$43="P")*(G$3:G$43=G26)*(J$3:J$43&gt;J26)*(I$3:I$43="P"))+IF(H26="L5",SUMPRODUCT((P$3:P$43="")*(O$3:O$43="")*(N$3:N$43="")*(M$3:M$43="P")*(G$3:G$43=G26)*(J$3:J$43&lt;J26)*(H$3:H$43&lt;&gt;H26)*(I$3:I$43="P")),-1*SUMPRODUCT((P$3:P$43="")*(O$3:O$43="")*(N$3:N$43="")*(M$3:M$43="P")*(G$3:G$43=G26)*(J$3:J$43&gt;J26)*(H$3:H$43="L5")*(I$3:I$43="P")))+1,"")))))</f>
        <v/>
      </c>
      <c r="B26" s="1" t="str" cm="1">
        <f t="array" ref="B26">IF(P26&lt;&gt;"",SUMPRODUCT((P$3:P$43&lt;&gt;"")*(G$3:G$43=G26)*(J$3:J$43&gt;J26))+1,IF(O26&lt;&gt;"",SUMPRODUCT((O$3:O$43&lt;&gt;"")*(P$3:P$43="")*(G$3:G$43=G26)*(J$3:J$43&gt;J26))+SUMPRODUCT((P$3:P$43&lt;&gt;"")*(G$3:G$43=G26))+1,IF(N26&lt;&gt;"",SUMPRODUCT((N$3:N$43&lt;&gt;"")*(G$3:G$43=G26)*(J$3:J$43&gt;J26))+1,IF(M26="P",SUMPRODUCT((O$3:O$43&lt;&gt;"")*(P$3:P$43="")*(G$3:G$43=G26))+SUMPRODUCT((P$3:P$43&lt;&gt;"")*(G$3:G$43=G26))+SUMPRODUCT((N$3:N$43&lt;&gt;"")*(G$3:G$43=G26))+SUMPRODUCT((P$3:P$43="")*(O$3:O$43="")*(N$3:N$43="")*(M$3:M$43="P")*(G$3:G$43=G26)*(J$3:J$43&gt;J26))+IF(H26="L5",SUMPRODUCT((P$3:P$43="")*(O$3:O$43="")*(N$3:N$43="")*(M$3:M$43="P")*(G$3:G$43=G26)*(J$3:J$43&lt;J26)*(H$3:H$43&lt;&gt;H26)),-1*SUMPRODUCT((P$3:P$43="")*(O$3:O$43="")*(N$3:N$43="")*(M$3:M$43="P")*(G$3:G$43=G26)*(J$3:J$43&gt;J26)*(H$3:H$43="L5")))+1,""))))</f>
        <v/>
      </c>
      <c r="C26" s="35" t="s">
        <v>342</v>
      </c>
      <c r="D26" t="str">
        <f>IF(E26="","",VLOOKUP(E26,'Coaching Points'!A:B,2,0))</f>
        <v>ON</v>
      </c>
      <c r="E26" s="35" t="s">
        <v>67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76.440003719999993</v>
      </c>
      <c r="K26" s="3" t="str">
        <f>IF(G26="Not Age Eligible","",IF(MAX(T26,W26,Z26,AC26)&gt;=LOOKUP(G26,'Qualifying Scores'!$A$4:$A$7,'Qualifying Scores'!$H$4:$H$7),"P",""))</f>
        <v/>
      </c>
      <c r="L26" s="3" t="str">
        <f>IF(G26="Not Age Eligible","",IF(MAX(U26,X26,AA26,AD26)&gt;=LOOKUP(G26,'Qualifying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Scores'!$H$10:$H$13)),AND(Z26&gt;=LOOKUP(G26,'Qualifying Scores'!$A$4:$A$7,'Qualifying Scores'!$H$4:$H$7),AA26&gt;=LOOKUP(G26,'Qualifying Scores'!$A$10:$A$13,'Qualifying Scores'!$H$10:$H$13)),AND(W26&gt;=LOOKUP(G26,'Qualifying Scores'!$A$4:$A$7,'Qualifying Scores'!$H$4:$H$7),X26&gt;=LOOKUP(G26,'Qualifying Scores'!$A$10:$A$13,'Qualifying Scores'!$H$10:$H$13)),AND(AC26&gt;=LOOKUP(G26,'Qualifying Scores'!$A$4:$A$7,'Qualifying Scores'!$H$4:$H$7),AD26&gt;=LOOKUP(G26,'Qualifying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39.1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37.340000000000003</v>
      </c>
      <c r="T26" s="32">
        <v>37.340000000000003</v>
      </c>
      <c r="U26" s="37">
        <v>5.4</v>
      </c>
      <c r="V26" s="37">
        <v>1</v>
      </c>
      <c r="W26" s="33">
        <v>39.1</v>
      </c>
      <c r="X26" s="37">
        <v>7.8</v>
      </c>
      <c r="Y26" s="37">
        <v>2</v>
      </c>
      <c r="Z26" s="32">
        <v>37.200000000000003</v>
      </c>
      <c r="AA26" s="37">
        <v>5.4</v>
      </c>
      <c r="AB26" s="37">
        <v>1</v>
      </c>
      <c r="AC26" s="33">
        <v>37.1</v>
      </c>
      <c r="AD26" s="37">
        <v>5</v>
      </c>
      <c r="AE26" s="37">
        <v>1</v>
      </c>
    </row>
    <row r="27" spans="1:31" x14ac:dyDescent="0.2">
      <c r="A27" s="1" t="str" cm="1">
        <f t="array" ref="A27">IF(I27="","",IF(P27&lt;&gt;"",SUMPRODUCT((P$3:P$43&lt;&gt;"")*(G$3:G$43=G27)*(J$3:J$43&gt;J27)*(I$3:I$43="P"))+1,IF(O27&lt;&gt;"",SUMPRODUCT((O$3:O$43&lt;&gt;"")*(P$3:P$43="")*(G$3:G$43=G27)*(J$3:J$43&gt;J27)*(I$3:I$43="P"))+SUMPRODUCT((P$3:P$43&lt;&gt;"")*(G$3:G$43=G27)*(I$3:I$43="P"))+1,IF(N27&lt;&gt;"",SUMPRODUCT((N$3:N$43&lt;&gt;"")*(G$3:G$43=G27)*(J$3:J$43&gt;J27)*(I$3:I$43="P"))+1,IF(M27="P",SUMPRODUCT((O$3:O$43&lt;&gt;"")*(P$3:P$43="")*(G$3:G$43=G27)*(I$3:I$43="P"))+SUMPRODUCT((P$3:P$43&lt;&gt;"")*(G$3:G$43=G27)*(I$3:I$43="P"))+SUMPRODUCT((N$3:N$43&lt;&gt;"")*(G$3:G$43=G27)*(I$3:I$43="P"))+SUMPRODUCT((P$3:P$43="")*(O$3:O$43="")*(N$3:N$43="")*(M$3:M$43="P")*(G$3:G$43=G27)*(J$3:J$43&gt;J27)*(I$3:I$43="P"))+IF(H27="L5",SUMPRODUCT((P$3:P$43="")*(O$3:O$43="")*(N$3:N$43="")*(M$3:M$43="P")*(G$3:G$43=G27)*(J$3:J$43&lt;J27)*(H$3:H$43&lt;&gt;H27)*(I$3:I$43="P")),-1*SUMPRODUCT((P$3:P$43="")*(O$3:O$43="")*(N$3:N$43="")*(M$3:M$43="P")*(G$3:G$43=G27)*(J$3:J$43&gt;J27)*(H$3:H$43="L5")*(I$3:I$43="P")))+1,"")))))</f>
        <v/>
      </c>
      <c r="B27" s="1" t="str" cm="1">
        <f t="array" ref="B27">IF(P27&lt;&gt;"",SUMPRODUCT((P$3:P$43&lt;&gt;"")*(G$3:G$43=G27)*(J$3:J$43&gt;J27))+1,IF(O27&lt;&gt;"",SUMPRODUCT((O$3:O$43&lt;&gt;"")*(P$3:P$43="")*(G$3:G$43=G27)*(J$3:J$43&gt;J27))+SUMPRODUCT((P$3:P$43&lt;&gt;"")*(G$3:G$43=G27))+1,IF(N27&lt;&gt;"",SUMPRODUCT((N$3:N$43&lt;&gt;"")*(G$3:G$43=G27)*(J$3:J$43&gt;J27))+1,IF(M27="P",SUMPRODUCT((O$3:O$43&lt;&gt;"")*(P$3:P$43="")*(G$3:G$43=G27))+SUMPRODUCT((P$3:P$43&lt;&gt;"")*(G$3:G$43=G27))+SUMPRODUCT((N$3:N$43&lt;&gt;"")*(G$3:G$43=G27))+SUMPRODUCT((P$3:P$43="")*(O$3:O$43="")*(N$3:N$43="")*(M$3:M$43="P")*(G$3:G$43=G27)*(J$3:J$43&gt;J27))+IF(H27="L5",SUMPRODUCT((P$3:P$43="")*(O$3:O$43="")*(N$3:N$43="")*(M$3:M$43="P")*(G$3:G$43=G27)*(J$3:J$43&lt;J27)*(H$3:H$43&lt;&gt;H27)),-1*SUMPRODUCT((P$3:P$43="")*(O$3:O$43="")*(N$3:N$43="")*(M$3:M$43="P")*(G$3:G$43=G27)*(J$3:J$43&gt;J27)*(H$3:H$43="L5")))+1,""))))</f>
        <v/>
      </c>
      <c r="C27" s="35" t="s">
        <v>343</v>
      </c>
      <c r="D27" t="str">
        <f>IF(E27="","",VLOOKUP(E27,'Coaching Points'!A:B,2,0))</f>
        <v>QC</v>
      </c>
      <c r="E27" s="35" t="s">
        <v>326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73</v>
      </c>
      <c r="K27" s="3" t="str">
        <f>IF(G27="Not Age Eligible","",IF(MAX(T27,W27,Z27,AC27)&gt;=LOOKUP(G27,'Qualifying Scores'!$A$4:$A$7,'Qualifying Scores'!$H$4:$H$7),"P",""))</f>
        <v/>
      </c>
      <c r="L27" s="3" t="str">
        <f>IF(G27="Not Age Eligible","",IF(MAX(U27,X27,AA27,AD27)&gt;=LOOKUP(G27,'Qualifying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Scores'!$H$10:$H$13)),AND(Z27&gt;=LOOKUP(G27,'Qualifying Scores'!$A$4:$A$7,'Qualifying Scores'!$H$4:$H$7),AA27&gt;=LOOKUP(G27,'Qualifying Scores'!$A$10:$A$13,'Qualifying Scores'!$H$10:$H$13)),AND(W27&gt;=LOOKUP(G27,'Qualifying Scores'!$A$4:$A$7,'Qualifying Scores'!$H$4:$H$7),X27&gt;=LOOKUP(G27,'Qualifying Scores'!$A$10:$A$13,'Qualifying Scores'!$H$10:$H$13)),AND(AC27&gt;=LOOKUP(G27,'Qualifying Scores'!$A$4:$A$7,'Qualifying Scores'!$H$4:$H$7),AD27&gt;=LOOKUP(G27,'Qualifying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37.4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35.6</v>
      </c>
      <c r="T27" s="32">
        <v>35.6</v>
      </c>
      <c r="U27" s="37">
        <v>5.4</v>
      </c>
      <c r="V27" s="37">
        <v>0</v>
      </c>
      <c r="W27" s="33">
        <v>37.4</v>
      </c>
      <c r="X27" s="37">
        <v>5.4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$43&lt;&gt;"")*(G$3:G$43=G28)*(J$3:J$43&gt;J28)*(I$3:I$43="P"))+1,IF(O28&lt;&gt;"",SUMPRODUCT((O$3:O$43&lt;&gt;"")*(P$3:P$43="")*(G$3:G$43=G28)*(J$3:J$43&gt;J28)*(I$3:I$43="P"))+SUMPRODUCT((P$3:P$43&lt;&gt;"")*(G$3:G$43=G28)*(I$3:I$43="P"))+1,IF(N28&lt;&gt;"",SUMPRODUCT((N$3:N$43&lt;&gt;"")*(G$3:G$43=G28)*(J$3:J$43&gt;J28)*(I$3:I$43="P"))+1,IF(M28="P",SUMPRODUCT((O$3:O$43&lt;&gt;"")*(P$3:P$43="")*(G$3:G$43=G28)*(I$3:I$43="P"))+SUMPRODUCT((P$3:P$43&lt;&gt;"")*(G$3:G$43=G28)*(I$3:I$43="P"))+SUMPRODUCT((N$3:N$43&lt;&gt;"")*(G$3:G$43=G28)*(I$3:I$43="P"))+SUMPRODUCT((P$3:P$43="")*(O$3:O$43="")*(N$3:N$43="")*(M$3:M$43="P")*(G$3:G$43=G28)*(J$3:J$43&gt;J28)*(I$3:I$43="P"))+IF(H28="L5",SUMPRODUCT((P$3:P$43="")*(O$3:O$43="")*(N$3:N$43="")*(M$3:M$43="P")*(G$3:G$43=G28)*(J$3:J$43&lt;J28)*(H$3:H$43&lt;&gt;H28)*(I$3:I$43="P")),-1*SUMPRODUCT((P$3:P$43="")*(O$3:O$43="")*(N$3:N$43="")*(M$3:M$43="P")*(G$3:G$43=G28)*(J$3:J$43&gt;J28)*(H$3:H$43="L5")*(I$3:I$43="P")))+1,"")))))</f>
        <v/>
      </c>
      <c r="B28" s="1" t="str" cm="1">
        <f t="array" ref="B28">IF(P28&lt;&gt;"",SUMPRODUCT((P$3:P$43&lt;&gt;"")*(G$3:G$43=G28)*(J$3:J$43&gt;J28))+1,IF(O28&lt;&gt;"",SUMPRODUCT((O$3:O$43&lt;&gt;"")*(P$3:P$43="")*(G$3:G$43=G28)*(J$3:J$43&gt;J28))+SUMPRODUCT((P$3:P$43&lt;&gt;"")*(G$3:G$43=G28))+1,IF(N28&lt;&gt;"",SUMPRODUCT((N$3:N$43&lt;&gt;"")*(G$3:G$43=G28)*(J$3:J$43&gt;J28))+1,IF(M28="P",SUMPRODUCT((O$3:O$43&lt;&gt;"")*(P$3:P$43="")*(G$3:G$43=G28))+SUMPRODUCT((P$3:P$43&lt;&gt;"")*(G$3:G$43=G28))+SUMPRODUCT((N$3:N$43&lt;&gt;"")*(G$3:G$43=G28))+SUMPRODUCT((P$3:P$43="")*(O$3:O$43="")*(N$3:N$43="")*(M$3:M$43="P")*(G$3:G$43=G28)*(J$3:J$43&gt;J28))+IF(H28="L5",SUMPRODUCT((P$3:P$43="")*(O$3:O$43="")*(N$3:N$43="")*(M$3:M$43="P")*(G$3:G$43=G28)*(J$3:J$43&lt;J28)*(H$3:H$43&lt;&gt;H28)),-1*SUMPRODUCT((P$3:P$43="")*(O$3:O$43="")*(N$3:N$43="")*(M$3:M$43="P")*(G$3:G$43=G28)*(J$3:J$43&gt;J28)*(H$3:H$43="L5")))+1,""))))</f>
        <v/>
      </c>
      <c r="C28" s="35" t="s">
        <v>344</v>
      </c>
      <c r="D28" t="str">
        <f>IF(E28="","",VLOOKUP(E28,'Coaching Points'!A:B,2,0))</f>
        <v>ON</v>
      </c>
      <c r="E28" s="35" t="s">
        <v>89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72.500003680000006</v>
      </c>
      <c r="K28" s="3" t="str">
        <f>IF(G28="Not Age Eligible","",IF(MAX(T28,W28,Z28,AC28)&gt;=LOOKUP(G28,'Qualifying Scores'!$A$4:$A$7,'Qualifying Scores'!$H$4:$H$7),"P",""))</f>
        <v/>
      </c>
      <c r="L28" s="3" t="str">
        <f>IF(G28="Not Age Eligible","",IF(MAX(U28,X28,AA28,AD28)&gt;=LOOKUP(G28,'Qualifying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Scores'!$H$10:$H$13)),AND(Z28&gt;=LOOKUP(G28,'Qualifying Scores'!$A$4:$A$7,'Qualifying Scores'!$H$4:$H$7),AA28&gt;=LOOKUP(G28,'Qualifying Scores'!$A$10:$A$13,'Qualifying Scores'!$H$10:$H$13)),AND(W28&gt;=LOOKUP(G28,'Qualifying Scores'!$A$4:$A$7,'Qualifying Scores'!$H$4:$H$7),X28&gt;=LOOKUP(G28,'Qualifying Scores'!$A$10:$A$13,'Qualifying Scores'!$H$10:$H$13)),AND(AC28&gt;=LOOKUP(G28,'Qualifying Scores'!$A$4:$A$7,'Qualifying Scores'!$H$4:$H$7),AD28&gt;=LOOKUP(G28,'Qualifying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36.799999999999997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35.700000000000003</v>
      </c>
      <c r="T28" s="32">
        <v>35.4</v>
      </c>
      <c r="U28" s="37">
        <v>4.5999999999999996</v>
      </c>
      <c r="V28" s="37">
        <v>0</v>
      </c>
      <c r="W28" s="33">
        <v>35.700000000000003</v>
      </c>
      <c r="X28" s="37">
        <v>4.5999999999999996</v>
      </c>
      <c r="Y28" s="37">
        <v>0</v>
      </c>
      <c r="Z28" s="32">
        <v>31</v>
      </c>
      <c r="AA28" s="37">
        <v>3.7</v>
      </c>
      <c r="AB28" s="37">
        <v>0</v>
      </c>
      <c r="AC28" s="33">
        <v>36.799999999999997</v>
      </c>
      <c r="AD28" s="37">
        <v>6</v>
      </c>
      <c r="AE28" s="37">
        <v>0</v>
      </c>
    </row>
    <row r="29" spans="1:31" x14ac:dyDescent="0.2">
      <c r="A29" s="1" t="str" cm="1">
        <f t="array" ref="A29">IF(I29="","",IF(P29&lt;&gt;"",SUMPRODUCT((P$3:P$43&lt;&gt;"")*(G$3:G$43=G29)*(J$3:J$43&gt;J29)*(I$3:I$43="P"))+1,IF(O29&lt;&gt;"",SUMPRODUCT((O$3:O$43&lt;&gt;"")*(P$3:P$43="")*(G$3:G$43=G29)*(J$3:J$43&gt;J29)*(I$3:I$43="P"))+SUMPRODUCT((P$3:P$43&lt;&gt;"")*(G$3:G$43=G29)*(I$3:I$43="P"))+1,IF(N29&lt;&gt;"",SUMPRODUCT((N$3:N$43&lt;&gt;"")*(G$3:G$43=G29)*(J$3:J$43&gt;J29)*(I$3:I$43="P"))+1,IF(M29="P",SUMPRODUCT((O$3:O$43&lt;&gt;"")*(P$3:P$43="")*(G$3:G$43=G29)*(I$3:I$43="P"))+SUMPRODUCT((P$3:P$43&lt;&gt;"")*(G$3:G$43=G29)*(I$3:I$43="P"))+SUMPRODUCT((N$3:N$43&lt;&gt;"")*(G$3:G$43=G29)*(I$3:I$43="P"))+SUMPRODUCT((P$3:P$43="")*(O$3:O$43="")*(N$3:N$43="")*(M$3:M$43="P")*(G$3:G$43=G29)*(J$3:J$43&gt;J29)*(I$3:I$43="P"))+IF(H29="L5",SUMPRODUCT((P$3:P$43="")*(O$3:O$43="")*(N$3:N$43="")*(M$3:M$43="P")*(G$3:G$43=G29)*(J$3:J$43&lt;J29)*(H$3:H$43&lt;&gt;H29)*(I$3:I$43="P")),-1*SUMPRODUCT((P$3:P$43="")*(O$3:O$43="")*(N$3:N$43="")*(M$3:M$43="P")*(G$3:G$43=G29)*(J$3:J$43&gt;J29)*(H$3:H$43="L5")*(I$3:I$43="P")))+1,"")))))</f>
        <v/>
      </c>
      <c r="B29" s="1" t="str" cm="1">
        <f t="array" ref="B29">IF(P29&lt;&gt;"",SUMPRODUCT((P$3:P$43&lt;&gt;"")*(G$3:G$43=G29)*(J$3:J$43&gt;J29))+1,IF(O29&lt;&gt;"",SUMPRODUCT((O$3:O$43&lt;&gt;"")*(P$3:P$43="")*(G$3:G$43=G29)*(J$3:J$43&gt;J29))+SUMPRODUCT((P$3:P$43&lt;&gt;"")*(G$3:G$43=G29))+1,IF(N29&lt;&gt;"",SUMPRODUCT((N$3:N$43&lt;&gt;"")*(G$3:G$43=G29)*(J$3:J$43&gt;J29))+1,IF(M29="P",SUMPRODUCT((O$3:O$43&lt;&gt;"")*(P$3:P$43="")*(G$3:G$43=G29))+SUMPRODUCT((P$3:P$43&lt;&gt;"")*(G$3:G$43=G29))+SUMPRODUCT((N$3:N$43&lt;&gt;"")*(G$3:G$43=G29))+SUMPRODUCT((P$3:P$43="")*(O$3:O$43="")*(N$3:N$43="")*(M$3:M$43="P")*(G$3:G$43=G29)*(J$3:J$43&gt;J29))+IF(H29="L5",SUMPRODUCT((P$3:P$43="")*(O$3:O$43="")*(N$3:N$43="")*(M$3:M$43="P")*(G$3:G$43=G29)*(J$3:J$43&lt;J29)*(H$3:H$43&lt;&gt;H29)),-1*SUMPRODUCT((P$3:P$43="")*(O$3:O$43="")*(N$3:N$43="")*(M$3:M$43="P")*(G$3:G$43=G29)*(J$3:J$43&gt;J29)*(H$3:H$43="L5")))+1,""))))</f>
        <v/>
      </c>
      <c r="C29" s="35" t="s">
        <v>345</v>
      </c>
      <c r="D29" t="str">
        <f>IF(E29="","",VLOOKUP(E29,'Coaching Points'!A:B,2,0))</f>
        <v>AB</v>
      </c>
      <c r="E29" s="35" t="s">
        <v>143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66.599999999999994</v>
      </c>
      <c r="K29" s="3" t="str">
        <f>IF(G29="Not Age Eligible","",IF(MAX(T29,W29,Z29,AC29)&gt;=LOOKUP(G29,'Qualifying Scores'!$A$4:$A$7,'Qualifying Scores'!$H$4:$H$7),"P",""))</f>
        <v/>
      </c>
      <c r="L29" s="3" t="str">
        <f>IF(G29="Not Age Eligible","",IF(MAX(U29,X29,AA29,AD29)&gt;=LOOKUP(G29,'Qualifying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Scores'!$H$10:$H$13)),AND(Z29&gt;=LOOKUP(G29,'Qualifying Scores'!$A$4:$A$7,'Qualifying Scores'!$H$4:$H$7),AA29&gt;=LOOKUP(G29,'Qualifying Scores'!$A$10:$A$13,'Qualifying Scores'!$H$10:$H$13)),AND(W29&gt;=LOOKUP(G29,'Qualifying Scores'!$A$4:$A$7,'Qualifying Scores'!$H$4:$H$7),X29&gt;=LOOKUP(G29,'Qualifying Scores'!$A$10:$A$13,'Qualifying Scores'!$H$10:$H$13)),AND(AC29&gt;=LOOKUP(G29,'Qualifying Scores'!$A$4:$A$7,'Qualifying Scores'!$H$4:$H$7),AD29&gt;=LOOKUP(G29,'Qualifying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34.4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32.200000000000003</v>
      </c>
      <c r="T29" s="32">
        <v>34.4</v>
      </c>
      <c r="U29" s="37">
        <v>5.8</v>
      </c>
      <c r="V29" s="37">
        <v>0</v>
      </c>
      <c r="W29" s="33">
        <v>32.200000000000003</v>
      </c>
      <c r="X29" s="37">
        <v>5</v>
      </c>
      <c r="Y29" s="37">
        <v>0</v>
      </c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$43&lt;&gt;"")*(G$3:G$43=G30)*(J$3:J$43&gt;J30)*(I$3:I$43="P"))+1,IF(O30&lt;&gt;"",SUMPRODUCT((O$3:O$43&lt;&gt;"")*(P$3:P$43="")*(G$3:G$43=G30)*(J$3:J$43&gt;J30)*(I$3:I$43="P"))+SUMPRODUCT((P$3:P$43&lt;&gt;"")*(G$3:G$43=G30)*(I$3:I$43="P"))+1,IF(N30&lt;&gt;"",SUMPRODUCT((N$3:N$43&lt;&gt;"")*(G$3:G$43=G30)*(J$3:J$43&gt;J30)*(I$3:I$43="P"))+1,IF(M30="P",SUMPRODUCT((O$3:O$43&lt;&gt;"")*(P$3:P$43="")*(G$3:G$43=G30)*(I$3:I$43="P"))+SUMPRODUCT((P$3:P$43&lt;&gt;"")*(G$3:G$43=G30)*(I$3:I$43="P"))+SUMPRODUCT((N$3:N$43&lt;&gt;"")*(G$3:G$43=G30)*(I$3:I$43="P"))+SUMPRODUCT((P$3:P$43="")*(O$3:O$43="")*(N$3:N$43="")*(M$3:M$43="P")*(G$3:G$43=G30)*(J$3:J$43&gt;J30)*(I$3:I$43="P"))+IF(H30="L5",SUMPRODUCT((P$3:P$43="")*(O$3:O$43="")*(N$3:N$43="")*(M$3:M$43="P")*(G$3:G$43=G30)*(J$3:J$43&lt;J30)*(H$3:H$43&lt;&gt;H30)*(I$3:I$43="P")),-1*SUMPRODUCT((P$3:P$43="")*(O$3:O$43="")*(N$3:N$43="")*(M$3:M$43="P")*(G$3:G$43=G30)*(J$3:J$43&gt;J30)*(H$3:H$43="L5")*(I$3:I$43="P")))+1,"")))))</f>
        <v/>
      </c>
      <c r="B30" s="1" t="str" cm="1">
        <f t="array" ref="B30">IF(P30&lt;&gt;"",SUMPRODUCT((P$3:P$43&lt;&gt;"")*(G$3:G$43=G30)*(J$3:J$43&gt;J30))+1,IF(O30&lt;&gt;"",SUMPRODUCT((O$3:O$43&lt;&gt;"")*(P$3:P$43="")*(G$3:G$43=G30)*(J$3:J$43&gt;J30))+SUMPRODUCT((P$3:P$43&lt;&gt;"")*(G$3:G$43=G30))+1,IF(N30&lt;&gt;"",SUMPRODUCT((N$3:N$43&lt;&gt;"")*(G$3:G$43=G30)*(J$3:J$43&gt;J30))+1,IF(M30="P",SUMPRODUCT((O$3:O$43&lt;&gt;"")*(P$3:P$43="")*(G$3:G$43=G30))+SUMPRODUCT((P$3:P$43&lt;&gt;"")*(G$3:G$43=G30))+SUMPRODUCT((N$3:N$43&lt;&gt;"")*(G$3:G$43=G30))+SUMPRODUCT((P$3:P$43="")*(O$3:O$43="")*(N$3:N$43="")*(M$3:M$43="P")*(G$3:G$43=G30)*(J$3:J$43&gt;J30))+IF(H30="L5",SUMPRODUCT((P$3:P$43="")*(O$3:O$43="")*(N$3:N$43="")*(M$3:M$43="P")*(G$3:G$43=G30)*(J$3:J$43&lt;J30)*(H$3:H$43&lt;&gt;H30)),-1*SUMPRODUCT((P$3:P$43="")*(O$3:O$43="")*(N$3:N$43="")*(M$3:M$43="P")*(G$3:G$43=G30)*(J$3:J$43&gt;J30)*(H$3:H$43="L5")))+1,""))))</f>
        <v/>
      </c>
      <c r="C30" s="35" t="s">
        <v>454</v>
      </c>
      <c r="D30" t="str">
        <f>IF(E30="","",VLOOKUP(E30,'Coaching Points'!A:B,2,0))</f>
        <v>QC</v>
      </c>
      <c r="E30" s="35" t="s">
        <v>508</v>
      </c>
      <c r="F30" s="34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36.500003649999996</v>
      </c>
      <c r="K30" s="3" t="str">
        <f>IF(G30="Not Age Eligible","",IF(MAX(T30,W30,Z30,AC30)&gt;=LOOKUP(G30,'Qualifying Scores'!$A$4:$A$7,'Qualifying Scores'!$H$4:$H$7),"P",""))</f>
        <v/>
      </c>
      <c r="L30" s="3" t="str">
        <f>IF(G30="Not Age Eligible","",IF(MAX(U30,X30,AA30,AD30)&gt;=LOOKUP(G30,'Qualifying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Scores'!$H$10:$H$13)),AND(Z30&gt;=LOOKUP(G30,'Qualifying Scores'!$A$4:$A$7,'Qualifying Scores'!$H$4:$H$7),AA30&gt;=LOOKUP(G30,'Qualifying Scores'!$A$10:$A$13,'Qualifying Scores'!$H$10:$H$13)),AND(W30&gt;=LOOKUP(G30,'Qualifying Scores'!$A$4:$A$7,'Qualifying Scores'!$H$4:$H$7),X30&gt;=LOOKUP(G30,'Qualifying Scores'!$A$10:$A$13,'Qualifying Scores'!$H$10:$H$13)),AND(AC30&gt;=LOOKUP(G30,'Qualifying Scores'!$A$4:$A$7,'Qualifying Scores'!$H$4:$H$7),AD30&gt;=LOOKUP(G30,'Qualifying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36.5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0</v>
      </c>
      <c r="T30" s="32"/>
      <c r="U30" s="37"/>
      <c r="V30" s="37"/>
      <c r="W30" s="33"/>
      <c r="X30" s="37"/>
      <c r="Y30" s="37"/>
      <c r="Z30" s="32">
        <v>36.5</v>
      </c>
      <c r="AA30" s="37">
        <v>4.9000000000000004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$43&lt;&gt;"")*(G$3:G$43=G31)*(J$3:J$43&gt;J31)*(I$3:I$43="P"))+1,IF(O31&lt;&gt;"",SUMPRODUCT((O$3:O$43&lt;&gt;"")*(P$3:P$43="")*(G$3:G$43=G31)*(J$3:J$43&gt;J31)*(I$3:I$43="P"))+SUMPRODUCT((P$3:P$43&lt;&gt;"")*(G$3:G$43=G31)*(I$3:I$43="P"))+1,IF(N31&lt;&gt;"",SUMPRODUCT((N$3:N$43&lt;&gt;"")*(G$3:G$43=G31)*(J$3:J$43&gt;J31)*(I$3:I$43="P"))+1,IF(M31="P",SUMPRODUCT((O$3:O$43&lt;&gt;"")*(P$3:P$43="")*(G$3:G$43=G31)*(I$3:I$43="P"))+SUMPRODUCT((P$3:P$43&lt;&gt;"")*(G$3:G$43=G31)*(I$3:I$43="P"))+SUMPRODUCT((N$3:N$43&lt;&gt;"")*(G$3:G$43=G31)*(I$3:I$43="P"))+SUMPRODUCT((P$3:P$43="")*(O$3:O$43="")*(N$3:N$43="")*(M$3:M$43="P")*(G$3:G$43=G31)*(J$3:J$43&gt;J31)*(I$3:I$43="P"))+IF(H31="L5",SUMPRODUCT((P$3:P$43="")*(O$3:O$43="")*(N$3:N$43="")*(M$3:M$43="P")*(G$3:G$43=G31)*(J$3:J$43&lt;J31)*(H$3:H$43&lt;&gt;H31)*(I$3:I$43="P")),-1*SUMPRODUCT((P$3:P$43="")*(O$3:O$43="")*(N$3:N$43="")*(M$3:M$43="P")*(G$3:G$43=G31)*(J$3:J$43&gt;J31)*(H$3:H$43="L5")*(I$3:I$43="P")))+1,"")))))</f>
        <v/>
      </c>
      <c r="B31" s="1" t="str" cm="1">
        <f t="array" ref="B31">IF(P31&lt;&gt;"",SUMPRODUCT((P$3:P$43&lt;&gt;"")*(G$3:G$43=G31)*(J$3:J$43&gt;J31))+1,IF(O31&lt;&gt;"",SUMPRODUCT((O$3:O$43&lt;&gt;"")*(P$3:P$43="")*(G$3:G$43=G31)*(J$3:J$43&gt;J31))+SUMPRODUCT((P$3:P$43&lt;&gt;"")*(G$3:G$43=G31))+1,IF(N31&lt;&gt;"",SUMPRODUCT((N$3:N$43&lt;&gt;"")*(G$3:G$43=G31)*(J$3:J$43&gt;J31))+1,IF(M31="P",SUMPRODUCT((O$3:O$43&lt;&gt;"")*(P$3:P$43="")*(G$3:G$43=G31))+SUMPRODUCT((P$3:P$43&lt;&gt;"")*(G$3:G$43=G31))+SUMPRODUCT((N$3:N$43&lt;&gt;"")*(G$3:G$43=G31))+SUMPRODUCT((P$3:P$43="")*(O$3:O$43="")*(N$3:N$43="")*(M$3:M$43="P")*(G$3:G$43=G31)*(J$3:J$43&gt;J31))+IF(H31="L5",SUMPRODUCT((P$3:P$43="")*(O$3:O$43="")*(N$3:N$43="")*(M$3:M$43="P")*(G$3:G$43=G31)*(J$3:J$43&lt;J31)*(H$3:H$43&lt;&gt;H31)),-1*SUMPRODUCT((P$3:P$43="")*(O$3:O$43="")*(N$3:N$43="")*(M$3:M$43="P")*(G$3:G$43=G31)*(J$3:J$43&gt;J31)*(H$3:H$43="L5")))+1,""))))</f>
        <v/>
      </c>
      <c r="C31" s="35" t="s">
        <v>146</v>
      </c>
      <c r="D31" t="str">
        <f>IF(E31="","",VLOOKUP(E31,'Coaching Points'!A:B,2,0))</f>
        <v>AB</v>
      </c>
      <c r="E31" s="35" t="s">
        <v>62</v>
      </c>
      <c r="F31" s="34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32.700000000000003</v>
      </c>
      <c r="K31" s="3" t="str">
        <f>IF(G31="Not Age Eligible","",IF(MAX(T31,W31,Z31,AC31)&gt;=LOOKUP(G31,'Qualifying Scores'!$A$4:$A$7,'Qualifying Scores'!$H$4:$H$7),"P",""))</f>
        <v/>
      </c>
      <c r="L31" s="3" t="str">
        <f>IF(G31="Not Age Eligible","",IF(MAX(U31,X31,AA31,AD31)&gt;=LOOKUP(G31,'Qualifying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Scores'!$H$10:$H$13)),AND(Z31&gt;=LOOKUP(G31,'Qualifying Scores'!$A$4:$A$7,'Qualifying Scores'!$H$4:$H$7),AA31&gt;=LOOKUP(G31,'Qualifying Scores'!$A$10:$A$13,'Qualifying Scores'!$H$10:$H$13)),AND(W31&gt;=LOOKUP(G31,'Qualifying Scores'!$A$4:$A$7,'Qualifying Scores'!$H$4:$H$7),X31&gt;=LOOKUP(G31,'Qualifying Scores'!$A$10:$A$13,'Qualifying Scores'!$H$10:$H$13)),AND(AC31&gt;=LOOKUP(G31,'Qualifying Scores'!$A$4:$A$7,'Qualifying Scores'!$H$4:$H$7),AD31&gt;=LOOKUP(G31,'Qualifying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32.700000000000003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0</v>
      </c>
      <c r="T31" s="32">
        <v>32.700000000000003</v>
      </c>
      <c r="U31" s="37">
        <v>2.6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$43&lt;&gt;"")*(G$3:G$43=G32)*(J$3:J$43&gt;J32)*(I$3:I$43="P"))+1,IF(O32&lt;&gt;"",SUMPRODUCT((O$3:O$43&lt;&gt;"")*(P$3:P$43="")*(G$3:G$43=G32)*(J$3:J$43&gt;J32)*(I$3:I$43="P"))+SUMPRODUCT((P$3:P$43&lt;&gt;"")*(G$3:G$43=G32)*(I$3:I$43="P"))+1,IF(N32&lt;&gt;"",SUMPRODUCT((N$3:N$43&lt;&gt;"")*(G$3:G$43=G32)*(J$3:J$43&gt;J32)*(I$3:I$43="P"))+1,IF(M32="P",SUMPRODUCT((O$3:O$43&lt;&gt;"")*(P$3:P$43="")*(G$3:G$43=G32)*(I$3:I$43="P"))+SUMPRODUCT((P$3:P$43&lt;&gt;"")*(G$3:G$43=G32)*(I$3:I$43="P"))+SUMPRODUCT((N$3:N$43&lt;&gt;"")*(G$3:G$43=G32)*(I$3:I$43="P"))+SUMPRODUCT((P$3:P$43="")*(O$3:O$43="")*(N$3:N$43="")*(M$3:M$43="P")*(G$3:G$43=G32)*(J$3:J$43&gt;J32)*(I$3:I$43="P"))+IF(H32="L5",SUMPRODUCT((P$3:P$43="")*(O$3:O$43="")*(N$3:N$43="")*(M$3:M$43="P")*(G$3:G$43=G32)*(J$3:J$43&lt;J32)*(H$3:H$43&lt;&gt;H32)*(I$3:I$43="P")),-1*SUMPRODUCT((P$3:P$43="")*(O$3:O$43="")*(N$3:N$43="")*(M$3:M$43="P")*(G$3:G$43=G32)*(J$3:J$43&gt;J32)*(H$3:H$43="L5")*(I$3:I$43="P")))+1,"")))))</f>
        <v/>
      </c>
      <c r="B32" s="1" t="str" cm="1">
        <f t="array" ref="B32">IF(P32&lt;&gt;"",SUMPRODUCT((P$3:P$43&lt;&gt;"")*(G$3:G$43=G32)*(J$3:J$43&gt;J32))+1,IF(O32&lt;&gt;"",SUMPRODUCT((O$3:O$43&lt;&gt;"")*(P$3:P$43="")*(G$3:G$43=G32)*(J$3:J$43&gt;J32))+SUMPRODUCT((P$3:P$43&lt;&gt;"")*(G$3:G$43=G32))+1,IF(N32&lt;&gt;"",SUMPRODUCT((N$3:N$43&lt;&gt;"")*(G$3:G$43=G32)*(J$3:J$43&gt;J32))+1,IF(M32="P",SUMPRODUCT((O$3:O$43&lt;&gt;"")*(P$3:P$43="")*(G$3:G$43=G32))+SUMPRODUCT((P$3:P$43&lt;&gt;"")*(G$3:G$43=G32))+SUMPRODUCT((N$3:N$43&lt;&gt;"")*(G$3:G$43=G32))+SUMPRODUCT((P$3:P$43="")*(O$3:O$43="")*(N$3:N$43="")*(M$3:M$43="P")*(G$3:G$43=G32)*(J$3:J$43&gt;J32))+IF(H32="L5",SUMPRODUCT((P$3:P$43="")*(O$3:O$43="")*(N$3:N$43="")*(M$3:M$43="P")*(G$3:G$43=G32)*(J$3:J$43&lt;J32)*(H$3:H$43&lt;&gt;H32)),-1*SUMPRODUCT((P$3:P$43="")*(O$3:O$43="")*(N$3:N$43="")*(M$3:M$43="P")*(G$3:G$43=G32)*(J$3:J$43&gt;J32)*(H$3:H$43="L5")))+1,""))))</f>
        <v/>
      </c>
      <c r="C32" s="35" t="s">
        <v>457</v>
      </c>
      <c r="D32" t="str">
        <f>IF(E32="","",VLOOKUP(E32,'Coaching Points'!A:B,2,0))</f>
        <v>ON</v>
      </c>
      <c r="E32" s="35" t="s">
        <v>87</v>
      </c>
      <c r="F32" s="34">
        <v>2010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6" t="s">
        <v>211</v>
      </c>
      <c r="I32" s="40"/>
      <c r="J32" s="4">
        <f>R32+S32+IF(OR(H32="Junior",H32="Senior"),0.0002,IF(OR(H32="L7",H32="L6"),0.0001,0))+MAX(Z32,AC32)*0.0000001</f>
        <v>86.100204320000003</v>
      </c>
      <c r="K32" s="3" t="str">
        <f>IF(G32="Not Age Eligible","",IF(MAX(T32,W32,Z32,AC32)&gt;=LOOKUP(G32,'Qualifying Scores'!$A$4:$A$7,'Qualifying Scores'!$H$4:$H$7),"P",""))</f>
        <v>P</v>
      </c>
      <c r="L32" s="3" t="str">
        <f>IF(G32="Not Age Eligible","",IF(MAX(U32,X32,AA32,AD32)&gt;=LOOKUP(G32,'Qualifying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Scores'!$H$10:$H$13)),AND(Z32&gt;=LOOKUP(G32,'Qualifying Scores'!$A$4:$A$7,'Qualifying Scores'!$H$4:$H$7),AA32&gt;=LOOKUP(G32,'Qualifying Scores'!$A$10:$A$13,'Qualifying Scores'!$H$10:$H$13)),AND(W32&gt;=LOOKUP(G32,'Qualifying Scores'!$A$4:$A$7,'Qualifying Scores'!$H$4:$H$7),X32&gt;=LOOKUP(G32,'Qualifying Scores'!$A$10:$A$13,'Qualifying Scores'!$H$10:$H$13)),AND(AC32&gt;=LOOKUP(G32,'Qualifying Scores'!$A$4:$A$7,'Qualifying Scores'!$H$4:$H$7),AD32&gt;=LOOKUP(G32,'Qualifying Scores'!$A$10:$A$13,'Qualifying Scores'!$H$10:$H$13))),"P",""))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43.2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42.9</v>
      </c>
      <c r="T32" s="32"/>
      <c r="U32" s="37"/>
      <c r="V32" s="37"/>
      <c r="W32" s="33"/>
      <c r="X32" s="37"/>
      <c r="Y32" s="37"/>
      <c r="Z32" s="32">
        <v>43.2</v>
      </c>
      <c r="AA32" s="37">
        <v>8.5</v>
      </c>
      <c r="AB32" s="37">
        <v>0</v>
      </c>
      <c r="AC32" s="33">
        <v>42.9</v>
      </c>
      <c r="AD32" s="37">
        <v>9.3999999999999986</v>
      </c>
      <c r="AE32" s="37">
        <v>0</v>
      </c>
    </row>
    <row r="33" spans="1:31" x14ac:dyDescent="0.2">
      <c r="A33" s="1" t="str" cm="1">
        <f t="array" ref="A33">IF(I33="","",IF(P33&lt;&gt;"",SUMPRODUCT((P$3:P$43&lt;&gt;"")*(G$3:G$43=G33)*(J$3:J$43&gt;J33)*(I$3:I$43="P"))+1,IF(O33&lt;&gt;"",SUMPRODUCT((O$3:O$43&lt;&gt;"")*(P$3:P$43="")*(G$3:G$43=G33)*(J$3:J$43&gt;J33)*(I$3:I$43="P"))+SUMPRODUCT((P$3:P$43&lt;&gt;"")*(G$3:G$43=G33)*(I$3:I$43="P"))+1,IF(N33&lt;&gt;"",SUMPRODUCT((N$3:N$43&lt;&gt;"")*(G$3:G$43=G33)*(J$3:J$43&gt;J33)*(I$3:I$43="P"))+1,IF(M33="P",SUMPRODUCT((O$3:O$43&lt;&gt;"")*(P$3:P$43="")*(G$3:G$43=G33)*(I$3:I$43="P"))+SUMPRODUCT((P$3:P$43&lt;&gt;"")*(G$3:G$43=G33)*(I$3:I$43="P"))+SUMPRODUCT((N$3:N$43&lt;&gt;"")*(G$3:G$43=G33)*(I$3:I$43="P"))+SUMPRODUCT((P$3:P$43="")*(O$3:O$43="")*(N$3:N$43="")*(M$3:M$43="P")*(G$3:G$43=G33)*(J$3:J$43&gt;J33)*(I$3:I$43="P"))+IF(H33="L5",SUMPRODUCT((P$3:P$43="")*(O$3:O$43="")*(N$3:N$43="")*(M$3:M$43="P")*(G$3:G$43=G33)*(J$3:J$43&lt;J33)*(H$3:H$43&lt;&gt;H33)*(I$3:I$43="P")),-1*SUMPRODUCT((P$3:P$43="")*(O$3:O$43="")*(N$3:N$43="")*(M$3:M$43="P")*(G$3:G$43=G33)*(J$3:J$43&gt;J33)*(H$3:H$43="L5")*(I$3:I$43="P")))+1,"")))))</f>
        <v/>
      </c>
      <c r="B33" s="1" t="str" cm="1">
        <f t="array" ref="B33">IF(P33&lt;&gt;"",SUMPRODUCT((P$3:P$43&lt;&gt;"")*(G$3:G$43=G33)*(J$3:J$43&gt;J33))+1,IF(O33&lt;&gt;"",SUMPRODUCT((O$3:O$43&lt;&gt;"")*(P$3:P$43="")*(G$3:G$43=G33)*(J$3:J$43&gt;J33))+SUMPRODUCT((P$3:P$43&lt;&gt;"")*(G$3:G$43=G33))+1,IF(N33&lt;&gt;"",SUMPRODUCT((N$3:N$43&lt;&gt;"")*(G$3:G$43=G33)*(J$3:J$43&gt;J33))+1,IF(M33="P",SUMPRODUCT((O$3:O$43&lt;&gt;"")*(P$3:P$43="")*(G$3:G$43=G33))+SUMPRODUCT((P$3:P$43&lt;&gt;"")*(G$3:G$43=G33))+SUMPRODUCT((N$3:N$43&lt;&gt;"")*(G$3:G$43=G33))+SUMPRODUCT((P$3:P$43="")*(O$3:O$43="")*(N$3:N$43="")*(M$3:M$43="P")*(G$3:G$43=G33)*(J$3:J$43&gt;J33))+IF(H33="L5",SUMPRODUCT((P$3:P$43="")*(O$3:O$43="")*(N$3:N$43="")*(M$3:M$43="P")*(G$3:G$43=G33)*(J$3:J$43&lt;J33)*(H$3:H$43&lt;&gt;H33)),-1*SUMPRODUCT((P$3:P$43="")*(O$3:O$43="")*(N$3:N$43="")*(M$3:M$43="P")*(G$3:G$43=G33)*(J$3:J$43&gt;J33)*(H$3:H$43="L5")))+1,""))))</f>
        <v/>
      </c>
      <c r="C33" s="35" t="s">
        <v>449</v>
      </c>
      <c r="D33" t="str">
        <f>IF(E33="","",VLOOKUP(E33,'Coaching Points'!A:B,2,0))</f>
        <v>QC</v>
      </c>
      <c r="E33" s="35" t="s">
        <v>134</v>
      </c>
      <c r="F33" s="34">
        <v>2009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214</v>
      </c>
      <c r="I33" s="40"/>
      <c r="J33" s="4">
        <f>R33+S33+IF(OR(H33="Junior",H33="Senior"),0.0002,IF(OR(H33="L7",H33="L6"),0.0001,0))+MAX(Z33,AC33)*0.0000001</f>
        <v>84.170004210000002</v>
      </c>
      <c r="K33" s="3" t="str">
        <f>IF(G33="Not Age Eligible","",IF(MAX(T33,W33,Z33,AC33)&gt;=LOOKUP(G33,'Qualifying Scores'!$A$4:$A$7,'Qualifying Scores'!$H$4:$H$7),"P",""))</f>
        <v/>
      </c>
      <c r="L33" s="3" t="str">
        <f>IF(G33="Not Age Eligible","",IF(MAX(U33,X33,AA33,AD33)&gt;=LOOKUP(G33,'Qualifying Scores'!$A$10:$A$13,'Qualifying Scores'!$H$10:$H$13),"P",""))</f>
        <v/>
      </c>
      <c r="M33" s="3" t="str">
        <f>IF(G33="Not Age Eligible","",IF(OR(AND(T33&gt;=LOOKUP(G33,'Qualifying Scores'!$A$4:$A$7,'Qualifying Scores'!$H$4:$H$7),U33&gt;=LOOKUP(G33,'Qualifying Scores'!$A$10:$A$13,'Qualifying Scores'!$H$10:$H$13)),AND(Z33&gt;=LOOKUP(G33,'Qualifying Scores'!$A$4:$A$7,'Qualifying Scores'!$H$4:$H$7),AA33&gt;=LOOKUP(G33,'Qualifying Scores'!$A$10:$A$13,'Qualifying Scores'!$H$10:$H$13)),AND(W33&gt;=LOOKUP(G33,'Qualifying Scores'!$A$4:$A$7,'Qualifying Scores'!$H$4:$H$7),X33&gt;=LOOKUP(G33,'Qualifying Scores'!$A$10:$A$13,'Qualifying Scores'!$H$10:$H$13)),AND(AC33&gt;=LOOKUP(G33,'Qualifying Scores'!$A$4:$A$7,'Qualifying Scores'!$H$4:$H$7),AD33&gt;=LOOKUP(G33,'Qualifying Scores'!$A$10:$A$13,'Qualifying Scores'!$H$10:$H$13))),"P",""))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42.1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42.07</v>
      </c>
      <c r="T33" s="32"/>
      <c r="U33" s="37"/>
      <c r="V33" s="37"/>
      <c r="W33" s="33"/>
      <c r="X33" s="37"/>
      <c r="Y33" s="37"/>
      <c r="Z33" s="32">
        <v>42.07</v>
      </c>
      <c r="AA33" s="37">
        <v>7.1999999999999993</v>
      </c>
      <c r="AB33" s="37">
        <v>2</v>
      </c>
      <c r="AC33" s="33">
        <v>42.1</v>
      </c>
      <c r="AD33" s="37">
        <v>6.4</v>
      </c>
      <c r="AE33" s="37">
        <v>2</v>
      </c>
    </row>
    <row r="34" spans="1:31" x14ac:dyDescent="0.2">
      <c r="A34" s="1" t="str" cm="1">
        <f t="array" ref="A34">IF(I34="","",IF(P34&lt;&gt;"",SUMPRODUCT((P$3:P$43&lt;&gt;"")*(G$3:G$43=G34)*(J$3:J$43&gt;J34)*(I$3:I$43="P"))+1,IF(O34&lt;&gt;"",SUMPRODUCT((O$3:O$43&lt;&gt;"")*(P$3:P$43="")*(G$3:G$43=G34)*(J$3:J$43&gt;J34)*(I$3:I$43="P"))+SUMPRODUCT((P$3:P$43&lt;&gt;"")*(G$3:G$43=G34)*(I$3:I$43="P"))+1,IF(N34&lt;&gt;"",SUMPRODUCT((N$3:N$43&lt;&gt;"")*(G$3:G$43=G34)*(J$3:J$43&gt;J34)*(I$3:I$43="P"))+1,IF(M34="P",SUMPRODUCT((O$3:O$43&lt;&gt;"")*(P$3:P$43="")*(G$3:G$43=G34)*(I$3:I$43="P"))+SUMPRODUCT((P$3:P$43&lt;&gt;"")*(G$3:G$43=G34)*(I$3:I$43="P"))+SUMPRODUCT((N$3:N$43&lt;&gt;"")*(G$3:G$43=G34)*(I$3:I$43="P"))+SUMPRODUCT((P$3:P$43="")*(O$3:O$43="")*(N$3:N$43="")*(M$3:M$43="P")*(G$3:G$43=G34)*(J$3:J$43&gt;J34)*(I$3:I$43="P"))+IF(H34="L5",SUMPRODUCT((P$3:P$43="")*(O$3:O$43="")*(N$3:N$43="")*(M$3:M$43="P")*(G$3:G$43=G34)*(J$3:J$43&lt;J34)*(H$3:H$43&lt;&gt;H34)*(I$3:I$43="P")),-1*SUMPRODUCT((P$3:P$43="")*(O$3:O$43="")*(N$3:N$43="")*(M$3:M$43="P")*(G$3:G$43=G34)*(J$3:J$43&gt;J34)*(H$3:H$43="L5")*(I$3:I$43="P")))+1,"")))))</f>
        <v/>
      </c>
      <c r="B34" s="1" t="str" cm="1">
        <f t="array" ref="B34">IF(P34&lt;&gt;"",SUMPRODUCT((P$3:P$43&lt;&gt;"")*(G$3:G$43=G34)*(J$3:J$43&gt;J34))+1,IF(O34&lt;&gt;"",SUMPRODUCT((O$3:O$43&lt;&gt;"")*(P$3:P$43="")*(G$3:G$43=G34)*(J$3:J$43&gt;J34))+SUMPRODUCT((P$3:P$43&lt;&gt;"")*(G$3:G$43=G34))+1,IF(N34&lt;&gt;"",SUMPRODUCT((N$3:N$43&lt;&gt;"")*(G$3:G$43=G34)*(J$3:J$43&gt;J34))+1,IF(M34="P",SUMPRODUCT((O$3:O$43&lt;&gt;"")*(P$3:P$43="")*(G$3:G$43=G34))+SUMPRODUCT((P$3:P$43&lt;&gt;"")*(G$3:G$43=G34))+SUMPRODUCT((N$3:N$43&lt;&gt;"")*(G$3:G$43=G34))+SUMPRODUCT((P$3:P$43="")*(O$3:O$43="")*(N$3:N$43="")*(M$3:M$43="P")*(G$3:G$43=G34)*(J$3:J$43&gt;J34))+IF(H34="L5",SUMPRODUCT((P$3:P$43="")*(O$3:O$43="")*(N$3:N$43="")*(M$3:M$43="P")*(G$3:G$43=G34)*(J$3:J$43&lt;J34)*(H$3:H$43&lt;&gt;H34)),-1*SUMPRODUCT((P$3:P$43="")*(O$3:O$43="")*(N$3:N$43="")*(M$3:M$43="P")*(G$3:G$43=G34)*(J$3:J$43&gt;J34)*(H$3:H$43="L5")))+1,""))))</f>
        <v/>
      </c>
      <c r="C34" s="35" t="s">
        <v>337</v>
      </c>
      <c r="D34" t="str">
        <f>IF(E34="","",VLOOKUP(E34,'Coaching Points'!A:B,2,0))</f>
        <v>NS</v>
      </c>
      <c r="E34" s="35" t="s">
        <v>86</v>
      </c>
      <c r="F34" s="34">
        <v>2009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214</v>
      </c>
      <c r="I34" s="40"/>
      <c r="J34" s="4">
        <f>R34+S34+IF(OR(H34="Junior",H34="Senior"),0.0002,IF(OR(H34="L7",H34="L6"),0.0001,0))+MAX(Z34,AC34)*0.0000001</f>
        <v>79.600004079999991</v>
      </c>
      <c r="K34" s="3" t="str">
        <f>IF(G34="Not Age Eligible","",IF(MAX(T34,W34,Z34,AC34)&gt;=LOOKUP(G34,'Qualifying Scores'!$A$4:$A$7,'Qualifying Scores'!$H$4:$H$7),"P",""))</f>
        <v/>
      </c>
      <c r="L34" s="3" t="str">
        <f>IF(G34="Not Age Eligible","",IF(MAX(U34,X34,AA34,AD34)&gt;=LOOKUP(G34,'Qualifying Scores'!$A$10:$A$13,'Qualifying Scores'!$H$10:$H$13),"P",""))</f>
        <v/>
      </c>
      <c r="M34" s="3" t="str">
        <f>IF(G34="Not Age Eligible","",IF(OR(AND(T34&gt;=LOOKUP(G34,'Qualifying Scores'!$A$4:$A$7,'Qualifying Scores'!$H$4:$H$7),U34&gt;=LOOKUP(G34,'Qualifying Scores'!$A$10:$A$13,'Qualifying Scores'!$H$10:$H$13)),AND(Z34&gt;=LOOKUP(G34,'Qualifying Scores'!$A$4:$A$7,'Qualifying Scores'!$H$4:$H$7),AA34&gt;=LOOKUP(G34,'Qualifying Scores'!$A$10:$A$13,'Qualifying Scores'!$H$10:$H$13)),AND(W34&gt;=LOOKUP(G34,'Qualifying Scores'!$A$4:$A$7,'Qualifying Scores'!$H$4:$H$7),X34&gt;=LOOKUP(G34,'Qualifying Scores'!$A$10:$A$13,'Qualifying Scores'!$H$10:$H$13)),AND(AC34&gt;=LOOKUP(G34,'Qualifying Scores'!$A$4:$A$7,'Qualifying Scores'!$H$4:$H$7),AD34&gt;=LOOKUP(G34,'Qualifying Scores'!$A$10:$A$13,'Qualifying Scores'!$H$10:$H$13))),"P",""))</f>
        <v/>
      </c>
      <c r="Q34" s="1" t="str">
        <f>IF(A34&lt;5,IF(_xlfn.MAXIFS(A:A,G:G,G34)&gt;3,5-A34,_xlfn.MAXIFS(A:A,G:G,G34)+1-A34),"")</f>
        <v/>
      </c>
      <c r="R34" s="4">
        <f>MAX(T34-IF(OR(H34="L6"),V34,0),W34-IF(OR(H34="L6"),Y34,0),Z34-IF(OR(H34="L6"),AB34,0),AC34-IF(OR(H34="L6"),AE34,0))</f>
        <v>40.799999999999997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38.799999999999997</v>
      </c>
      <c r="T34" s="32">
        <v>38.1</v>
      </c>
      <c r="U34" s="37">
        <v>5.0999999999999996</v>
      </c>
      <c r="V34" s="37">
        <v>0</v>
      </c>
      <c r="W34" s="33">
        <v>38.799999999999997</v>
      </c>
      <c r="X34" s="37">
        <v>5.3</v>
      </c>
      <c r="Y34" s="37">
        <v>0</v>
      </c>
      <c r="Z34" s="32">
        <v>40.799999999999997</v>
      </c>
      <c r="AA34" s="37">
        <v>6.7</v>
      </c>
      <c r="AB34" s="37">
        <v>0</v>
      </c>
      <c r="AC34" s="33">
        <v>38.4</v>
      </c>
      <c r="AD34" s="37">
        <v>7.3</v>
      </c>
      <c r="AE34" s="37">
        <v>0</v>
      </c>
    </row>
    <row r="35" spans="1:31" x14ac:dyDescent="0.2">
      <c r="A35" s="1" t="str" cm="1">
        <f t="array" ref="A35">IF(I35="","",IF(P35&lt;&gt;"",SUMPRODUCT((P$3:P$43&lt;&gt;"")*(G$3:G$43=G35)*(J$3:J$43&gt;J35)*(I$3:I$43="P"))+1,IF(O35&lt;&gt;"",SUMPRODUCT((O$3:O$43&lt;&gt;"")*(P$3:P$43="")*(G$3:G$43=G35)*(J$3:J$43&gt;J35)*(I$3:I$43="P"))+SUMPRODUCT((P$3:P$43&lt;&gt;"")*(G$3:G$43=G35)*(I$3:I$43="P"))+1,IF(N35&lt;&gt;"",SUMPRODUCT((N$3:N$43&lt;&gt;"")*(G$3:G$43=G35)*(J$3:J$43&gt;J35)*(I$3:I$43="P"))+1,IF(M35="P",SUMPRODUCT((O$3:O$43&lt;&gt;"")*(P$3:P$43="")*(G$3:G$43=G35)*(I$3:I$43="P"))+SUMPRODUCT((P$3:P$43&lt;&gt;"")*(G$3:G$43=G35)*(I$3:I$43="P"))+SUMPRODUCT((N$3:N$43&lt;&gt;"")*(G$3:G$43=G35)*(I$3:I$43="P"))+SUMPRODUCT((P$3:P$43="")*(O$3:O$43="")*(N$3:N$43="")*(M$3:M$43="P")*(G$3:G$43=G35)*(J$3:J$43&gt;J35)*(I$3:I$43="P"))+IF(H35="L5",SUMPRODUCT((P$3:P$43="")*(O$3:O$43="")*(N$3:N$43="")*(M$3:M$43="P")*(G$3:G$43=G35)*(J$3:J$43&lt;J35)*(H$3:H$43&lt;&gt;H35)*(I$3:I$43="P")),-1*SUMPRODUCT((P$3:P$43="")*(O$3:O$43="")*(N$3:N$43="")*(M$3:M$43="P")*(G$3:G$43=G35)*(J$3:J$43&gt;J35)*(H$3:H$43="L5")*(I$3:I$43="P")))+1,"")))))</f>
        <v/>
      </c>
      <c r="B35" s="1" t="str" cm="1">
        <f t="array" ref="B35">IF(P35&lt;&gt;"",SUMPRODUCT((P$3:P$43&lt;&gt;"")*(G$3:G$43=G35)*(J$3:J$43&gt;J35))+1,IF(O35&lt;&gt;"",SUMPRODUCT((O$3:O$43&lt;&gt;"")*(P$3:P$43="")*(G$3:G$43=G35)*(J$3:J$43&gt;J35))+SUMPRODUCT((P$3:P$43&lt;&gt;"")*(G$3:G$43=G35))+1,IF(N35&lt;&gt;"",SUMPRODUCT((N$3:N$43&lt;&gt;"")*(G$3:G$43=G35)*(J$3:J$43&gt;J35))+1,IF(M35="P",SUMPRODUCT((O$3:O$43&lt;&gt;"")*(P$3:P$43="")*(G$3:G$43=G35))+SUMPRODUCT((P$3:P$43&lt;&gt;"")*(G$3:G$43=G35))+SUMPRODUCT((N$3:N$43&lt;&gt;"")*(G$3:G$43=G35))+SUMPRODUCT((P$3:P$43="")*(O$3:O$43="")*(N$3:N$43="")*(M$3:M$43="P")*(G$3:G$43=G35)*(J$3:J$43&gt;J35))+IF(H35="L5",SUMPRODUCT((P$3:P$43="")*(O$3:O$43="")*(N$3:N$43="")*(M$3:M$43="P")*(G$3:G$43=G35)*(J$3:J$43&lt;J35)*(H$3:H$43&lt;&gt;H35)),-1*SUMPRODUCT((P$3:P$43="")*(O$3:O$43="")*(N$3:N$43="")*(M$3:M$43="P")*(G$3:G$43=G35)*(J$3:J$43&gt;J35)*(H$3:H$43="L5")))+1,""))))</f>
        <v/>
      </c>
      <c r="C35" s="35" t="s">
        <v>336</v>
      </c>
      <c r="D35" t="str">
        <f>IF(E35="","",VLOOKUP(E35,'Coaching Points'!A:B,2,0))</f>
        <v>ON</v>
      </c>
      <c r="E35" s="35" t="s">
        <v>89</v>
      </c>
      <c r="F35" s="34">
        <v>2010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214</v>
      </c>
      <c r="I35" s="40"/>
      <c r="J35" s="4">
        <f>R35+S35+IF(OR(H35="Junior",H35="Senior"),0.0002,IF(OR(H35="L7",H35="L6"),0.0001,0))+MAX(Z35,AC35)*0.0000001</f>
        <v>79.400003840000011</v>
      </c>
      <c r="K35" s="3" t="str">
        <f>IF(G35="Not Age Eligible","",IF(MAX(T35,W35,Z35,AC35)&gt;=LOOKUP(G35,'Qualifying Scores'!$A$4:$A$7,'Qualifying Scores'!$H$4:$H$7),"P",""))</f>
        <v/>
      </c>
      <c r="L35" s="3" t="str">
        <f>IF(G35="Not Age Eligible","",IF(MAX(U35,X35,AA35,AD35)&gt;=LOOKUP(G35,'Qualifying Scores'!$A$10:$A$13,'Qualifying Scores'!$H$10:$H$13),"P",""))</f>
        <v/>
      </c>
      <c r="M35" s="3" t="str">
        <f>IF(G35="Not Age Eligible","",IF(OR(AND(T35&gt;=LOOKUP(G35,'Qualifying Scores'!$A$4:$A$7,'Qualifying Scores'!$H$4:$H$7),U35&gt;=LOOKUP(G35,'Qualifying Scores'!$A$10:$A$13,'Qualifying Scores'!$H$10:$H$13)),AND(Z35&gt;=LOOKUP(G35,'Qualifying Scores'!$A$4:$A$7,'Qualifying Scores'!$H$4:$H$7),AA35&gt;=LOOKUP(G35,'Qualifying Scores'!$A$10:$A$13,'Qualifying Scores'!$H$10:$H$13)),AND(W35&gt;=LOOKUP(G35,'Qualifying Scores'!$A$4:$A$7,'Qualifying Scores'!$H$4:$H$7),X35&gt;=LOOKUP(G35,'Qualifying Scores'!$A$10:$A$13,'Qualifying Scores'!$H$10:$H$13)),AND(AC35&gt;=LOOKUP(G35,'Qualifying Scores'!$A$4:$A$7,'Qualifying Scores'!$H$4:$H$7),AD35&gt;=LOOKUP(G35,'Qualifying Scores'!$A$10:$A$13,'Qualifying Scores'!$H$10:$H$13))),"P",""))</f>
        <v/>
      </c>
      <c r="Q35" s="1" t="str">
        <f>IF(A35&lt;5,IF(_xlfn.MAXIFS(A:A,G:G,G35)&gt;3,5-A35,_xlfn.MAXIFS(A:A,G:G,G35)+1-A35),"")</f>
        <v/>
      </c>
      <c r="R35" s="4">
        <f>MAX(T35-IF(OR(H35="L6"),V35,0),W35-IF(OR(H35="L6"),Y35,0),Z35-IF(OR(H35="L6"),AB35,0),AC35-IF(OR(H35="L6"),AE35,0))</f>
        <v>39.799999999999997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39.6</v>
      </c>
      <c r="T35" s="32">
        <v>39.799999999999997</v>
      </c>
      <c r="U35" s="37">
        <v>4.8000000000000007</v>
      </c>
      <c r="V35" s="37">
        <v>0</v>
      </c>
      <c r="W35" s="33">
        <v>39.6</v>
      </c>
      <c r="X35" s="37">
        <v>4.8000000000000007</v>
      </c>
      <c r="Y35" s="37">
        <v>0</v>
      </c>
      <c r="Z35" s="32">
        <v>34</v>
      </c>
      <c r="AA35" s="37">
        <v>4.9000000000000004</v>
      </c>
      <c r="AB35" s="37">
        <v>1</v>
      </c>
      <c r="AC35" s="33">
        <v>38.4</v>
      </c>
      <c r="AD35" s="37">
        <v>6.5</v>
      </c>
      <c r="AE35" s="37">
        <v>1</v>
      </c>
    </row>
    <row r="36" spans="1:31" x14ac:dyDescent="0.2">
      <c r="A36" s="1" t="str" cm="1">
        <f t="array" ref="A36">IF(I36="","",IF(P36&lt;&gt;"",SUMPRODUCT((P$3:P$43&lt;&gt;"")*(G$3:G$43=G36)*(J$3:J$43&gt;J36)*(I$3:I$43="P"))+1,IF(O36&lt;&gt;"",SUMPRODUCT((O$3:O$43&lt;&gt;"")*(P$3:P$43="")*(G$3:G$43=G36)*(J$3:J$43&gt;J36)*(I$3:I$43="P"))+SUMPRODUCT((P$3:P$43&lt;&gt;"")*(G$3:G$43=G36)*(I$3:I$43="P"))+1,IF(N36&lt;&gt;"",SUMPRODUCT((N$3:N$43&lt;&gt;"")*(G$3:G$43=G36)*(J$3:J$43&gt;J36)*(I$3:I$43="P"))+1,IF(M36="P",SUMPRODUCT((O$3:O$43&lt;&gt;"")*(P$3:P$43="")*(G$3:G$43=G36)*(I$3:I$43="P"))+SUMPRODUCT((P$3:P$43&lt;&gt;"")*(G$3:G$43=G36)*(I$3:I$43="P"))+SUMPRODUCT((N$3:N$43&lt;&gt;"")*(G$3:G$43=G36)*(I$3:I$43="P"))+SUMPRODUCT((P$3:P$43="")*(O$3:O$43="")*(N$3:N$43="")*(M$3:M$43="P")*(G$3:G$43=G36)*(J$3:J$43&gt;J36)*(I$3:I$43="P"))+IF(H36="L5",SUMPRODUCT((P$3:P$43="")*(O$3:O$43="")*(N$3:N$43="")*(M$3:M$43="P")*(G$3:G$43=G36)*(J$3:J$43&lt;J36)*(H$3:H$43&lt;&gt;H36)*(I$3:I$43="P")),-1*SUMPRODUCT((P$3:P$43="")*(O$3:O$43="")*(N$3:N$43="")*(M$3:M$43="P")*(G$3:G$43=G36)*(J$3:J$43&gt;J36)*(H$3:H$43="L5")*(I$3:I$43="P")))+1,"")))))</f>
        <v/>
      </c>
      <c r="B36" s="1" t="str" cm="1">
        <f t="array" ref="B36">IF(P36&lt;&gt;"",SUMPRODUCT((P$3:P$43&lt;&gt;"")*(G$3:G$43=G36)*(J$3:J$43&gt;J36))+1,IF(O36&lt;&gt;"",SUMPRODUCT((O$3:O$43&lt;&gt;"")*(P$3:P$43="")*(G$3:G$43=G36)*(J$3:J$43&gt;J36))+SUMPRODUCT((P$3:P$43&lt;&gt;"")*(G$3:G$43=G36))+1,IF(N36&lt;&gt;"",SUMPRODUCT((N$3:N$43&lt;&gt;"")*(G$3:G$43=G36)*(J$3:J$43&gt;J36))+1,IF(M36="P",SUMPRODUCT((O$3:O$43&lt;&gt;"")*(P$3:P$43="")*(G$3:G$43=G36))+SUMPRODUCT((P$3:P$43&lt;&gt;"")*(G$3:G$43=G36))+SUMPRODUCT((N$3:N$43&lt;&gt;"")*(G$3:G$43=G36))+SUMPRODUCT((P$3:P$43="")*(O$3:O$43="")*(N$3:N$43="")*(M$3:M$43="P")*(G$3:G$43=G36)*(J$3:J$43&gt;J36))+IF(H36="L5",SUMPRODUCT((P$3:P$43="")*(O$3:O$43="")*(N$3:N$43="")*(M$3:M$43="P")*(G$3:G$43=G36)*(J$3:J$43&lt;J36)*(H$3:H$43&lt;&gt;H36)),-1*SUMPRODUCT((P$3:P$43="")*(O$3:O$43="")*(N$3:N$43="")*(M$3:M$43="P")*(G$3:G$43=G36)*(J$3:J$43&gt;J36)*(H$3:H$43="L5")))+1,""))))</f>
        <v/>
      </c>
      <c r="C36" s="35" t="s">
        <v>338</v>
      </c>
      <c r="D36" t="str">
        <f>IF(E36="","",VLOOKUP(E36,'Coaching Points'!A:B,2,0))</f>
        <v>AB</v>
      </c>
      <c r="E36" s="35" t="s">
        <v>56</v>
      </c>
      <c r="F36" s="34">
        <v>2009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214</v>
      </c>
      <c r="I36" s="40"/>
      <c r="J36" s="4">
        <f>R36+S36+IF(OR(H36="Junior",H36="Senior"),0.0002,IF(OR(H36="L7",H36="L6"),0.0001,0))+MAX(Z36,AC36)*0.0000001</f>
        <v>78.200003979999991</v>
      </c>
      <c r="K36" s="3" t="str">
        <f>IF(G36="Not Age Eligible","",IF(MAX(T36,W36,Z36,AC36)&gt;=LOOKUP(G36,'Qualifying Scores'!$A$4:$A$7,'Qualifying Scores'!$H$4:$H$7),"P",""))</f>
        <v/>
      </c>
      <c r="L36" s="3" t="str">
        <f>IF(G36="Not Age Eligible","",IF(MAX(U36,X36,AA36,AD36)&gt;=LOOKUP(G36,'Qualifying Scores'!$A$10:$A$13,'Qualifying Scores'!$H$10:$H$13),"P",""))</f>
        <v/>
      </c>
      <c r="M36" s="3" t="str">
        <f>IF(G36="Not Age Eligible","",IF(OR(AND(T36&gt;=LOOKUP(G36,'Qualifying Scores'!$A$4:$A$7,'Qualifying Scores'!$H$4:$H$7),U36&gt;=LOOKUP(G36,'Qualifying Scores'!$A$10:$A$13,'Qualifying Scores'!$H$10:$H$13)),AND(Z36&gt;=LOOKUP(G36,'Qualifying Scores'!$A$4:$A$7,'Qualifying Scores'!$H$4:$H$7),AA36&gt;=LOOKUP(G36,'Qualifying Scores'!$A$10:$A$13,'Qualifying Scores'!$H$10:$H$13)),AND(W36&gt;=LOOKUP(G36,'Qualifying Scores'!$A$4:$A$7,'Qualifying Scores'!$H$4:$H$7),X36&gt;=LOOKUP(G36,'Qualifying Scores'!$A$10:$A$13,'Qualifying Scores'!$H$10:$H$13)),AND(AC36&gt;=LOOKUP(G36,'Qualifying Scores'!$A$4:$A$7,'Qualifying Scores'!$H$4:$H$7),AD36&gt;=LOOKUP(G36,'Qualifying Scores'!$A$10:$A$13,'Qualifying Scores'!$H$10:$H$13))),"P",""))</f>
        <v/>
      </c>
      <c r="Q36" s="1" t="str">
        <f>IF(A36&lt;5,IF(_xlfn.MAXIFS(A:A,G:G,G36)&gt;3,5-A36,_xlfn.MAXIFS(A:A,G:G,G36)+1-A36),"")</f>
        <v/>
      </c>
      <c r="R36" s="4">
        <f>MAX(T36-IF(OR(H36="L6"),V36,0),W36-IF(OR(H36="L6"),Y36,0),Z36-IF(OR(H36="L6"),AB36,0),AC36-IF(OR(H36="L6"),AE36,0))</f>
        <v>39.799999999999997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38.4</v>
      </c>
      <c r="T36" s="32">
        <v>35.299999999999997</v>
      </c>
      <c r="U36" s="37">
        <v>5.6</v>
      </c>
      <c r="V36" s="37">
        <v>1</v>
      </c>
      <c r="W36" s="33">
        <v>37</v>
      </c>
      <c r="X36" s="37">
        <v>7.8</v>
      </c>
      <c r="Y36" s="37">
        <v>2</v>
      </c>
      <c r="Z36" s="32">
        <v>38.4</v>
      </c>
      <c r="AA36" s="37">
        <v>8.3000000000000007</v>
      </c>
      <c r="AB36" s="37">
        <v>1</v>
      </c>
      <c r="AC36" s="33">
        <v>39.799999999999997</v>
      </c>
      <c r="AD36" s="37">
        <v>6.6</v>
      </c>
      <c r="AE36" s="37">
        <v>2</v>
      </c>
    </row>
    <row r="37" spans="1:31" x14ac:dyDescent="0.2">
      <c r="A37" s="1" t="str" cm="1">
        <f t="array" ref="A37">IF(I37="","",IF(P37&lt;&gt;"",SUMPRODUCT((P$3:P$43&lt;&gt;"")*(G$3:G$43=G37)*(J$3:J$43&gt;J37)*(I$3:I$43="P"))+1,IF(O37&lt;&gt;"",SUMPRODUCT((O$3:O$43&lt;&gt;"")*(P$3:P$43="")*(G$3:G$43=G37)*(J$3:J$43&gt;J37)*(I$3:I$43="P"))+SUMPRODUCT((P$3:P$43&lt;&gt;"")*(G$3:G$43=G37)*(I$3:I$43="P"))+1,IF(N37&lt;&gt;"",SUMPRODUCT((N$3:N$43&lt;&gt;"")*(G$3:G$43=G37)*(J$3:J$43&gt;J37)*(I$3:I$43="P"))+1,IF(M37="P",SUMPRODUCT((O$3:O$43&lt;&gt;"")*(P$3:P$43="")*(G$3:G$43=G37)*(I$3:I$43="P"))+SUMPRODUCT((P$3:P$43&lt;&gt;"")*(G$3:G$43=G37)*(I$3:I$43="P"))+SUMPRODUCT((N$3:N$43&lt;&gt;"")*(G$3:G$43=G37)*(I$3:I$43="P"))+SUMPRODUCT((P$3:P$43="")*(O$3:O$43="")*(N$3:N$43="")*(M$3:M$43="P")*(G$3:G$43=G37)*(J$3:J$43&gt;J37)*(I$3:I$43="P"))+IF(H37="L5",SUMPRODUCT((P$3:P$43="")*(O$3:O$43="")*(N$3:N$43="")*(M$3:M$43="P")*(G$3:G$43=G37)*(J$3:J$43&lt;J37)*(H$3:H$43&lt;&gt;H37)*(I$3:I$43="P")),-1*SUMPRODUCT((P$3:P$43="")*(O$3:O$43="")*(N$3:N$43="")*(M$3:M$43="P")*(G$3:G$43=G37)*(J$3:J$43&gt;J37)*(H$3:H$43="L5")*(I$3:I$43="P")))+1,"")))))</f>
        <v/>
      </c>
      <c r="B37" s="1" t="str" cm="1">
        <f t="array" ref="B37">IF(P37&lt;&gt;"",SUMPRODUCT((P$3:P$43&lt;&gt;"")*(G$3:G$43=G37)*(J$3:J$43&gt;J37))+1,IF(O37&lt;&gt;"",SUMPRODUCT((O$3:O$43&lt;&gt;"")*(P$3:P$43="")*(G$3:G$43=G37)*(J$3:J$43&gt;J37))+SUMPRODUCT((P$3:P$43&lt;&gt;"")*(G$3:G$43=G37))+1,IF(N37&lt;&gt;"",SUMPRODUCT((N$3:N$43&lt;&gt;"")*(G$3:G$43=G37)*(J$3:J$43&gt;J37))+1,IF(M37="P",SUMPRODUCT((O$3:O$43&lt;&gt;"")*(P$3:P$43="")*(G$3:G$43=G37))+SUMPRODUCT((P$3:P$43&lt;&gt;"")*(G$3:G$43=G37))+SUMPRODUCT((N$3:N$43&lt;&gt;"")*(G$3:G$43=G37))+SUMPRODUCT((P$3:P$43="")*(O$3:O$43="")*(N$3:N$43="")*(M$3:M$43="P")*(G$3:G$43=G37)*(J$3:J$43&gt;J37))+IF(H37="L5",SUMPRODUCT((P$3:P$43="")*(O$3:O$43="")*(N$3:N$43="")*(M$3:M$43="P")*(G$3:G$43=G37)*(J$3:J$43&lt;J37)*(H$3:H$43&lt;&gt;H37)),-1*SUMPRODUCT((P$3:P$43="")*(O$3:O$43="")*(N$3:N$43="")*(M$3:M$43="P")*(G$3:G$43=G37)*(J$3:J$43&gt;J37)*(H$3:H$43="L5")))+1,""))))</f>
        <v/>
      </c>
      <c r="C37" s="35" t="s">
        <v>339</v>
      </c>
      <c r="D37" t="str">
        <f>IF(E37="","",VLOOKUP(E37,'Coaching Points'!A:B,2,0))</f>
        <v>ON</v>
      </c>
      <c r="E37" s="35" t="s">
        <v>88</v>
      </c>
      <c r="F37" s="34">
        <v>2010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214</v>
      </c>
      <c r="I37" s="40"/>
      <c r="J37" s="4">
        <f>R37+S37+IF(OR(H37="Junior",H37="Senior"),0.0002,IF(OR(H37="L7",H37="L6"),0.0001,0))+MAX(Z37,AC37)*0.0000001</f>
        <v>76.100003829999991</v>
      </c>
      <c r="K37" s="3" t="str">
        <f>IF(G37="Not Age Eligible","",IF(MAX(T37,W37,Z37,AC37)&gt;=LOOKUP(G37,'Qualifying Scores'!$A$4:$A$7,'Qualifying Scores'!$H$4:$H$7),"P",""))</f>
        <v/>
      </c>
      <c r="L37" s="3" t="str">
        <f>IF(G37="Not Age Eligible","",IF(MAX(U37,X37,AA37,AD37)&gt;=LOOKUP(G37,'Qualifying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Scores'!$H$10:$H$13)),AND(Z37&gt;=LOOKUP(G37,'Qualifying Scores'!$A$4:$A$7,'Qualifying Scores'!$H$4:$H$7),AA37&gt;=LOOKUP(G37,'Qualifying Scores'!$A$10:$A$13,'Qualifying Scores'!$H$10:$H$13)),AND(W37&gt;=LOOKUP(G37,'Qualifying Scores'!$A$4:$A$7,'Qualifying Scores'!$H$4:$H$7),X37&gt;=LOOKUP(G37,'Qualifying Scores'!$A$10:$A$13,'Qualifying Scores'!$H$10:$H$13)),AND(AC37&gt;=LOOKUP(G37,'Qualifying Scores'!$A$4:$A$7,'Qualifying Scores'!$H$4:$H$7),AD37&gt;=LOOKUP(G37,'Qualifying Scores'!$A$10:$A$13,'Qualifying Scores'!$H$10:$H$13))),"P",""))</f>
        <v/>
      </c>
      <c r="Q37" s="1" t="str">
        <f>IF(A37&lt;5,IF(_xlfn.MAXIFS(A:A,G:G,G37)&gt;3,5-A37,_xlfn.MAXIFS(A:A,G:G,G37)+1-A37),"")</f>
        <v/>
      </c>
      <c r="R37" s="4">
        <f>MAX(T37-IF(OR(H37="L6"),V37,0),W37-IF(OR(H37="L6"),Y37,0),Z37-IF(OR(H37="L6"),AB37,0),AC37-IF(OR(H37="L6"),AE37,0))</f>
        <v>38.299999999999997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37.799999999999997</v>
      </c>
      <c r="T37" s="32">
        <v>35</v>
      </c>
      <c r="U37" s="37">
        <v>6</v>
      </c>
      <c r="V37" s="37">
        <v>1</v>
      </c>
      <c r="W37" s="33">
        <v>30.7</v>
      </c>
      <c r="X37" s="37">
        <v>4.9000000000000004</v>
      </c>
      <c r="Y37" s="37">
        <v>1</v>
      </c>
      <c r="Z37" s="32">
        <v>37.799999999999997</v>
      </c>
      <c r="AA37" s="37">
        <v>7.1</v>
      </c>
      <c r="AB37" s="37">
        <v>1</v>
      </c>
      <c r="AC37" s="33">
        <v>38.299999999999997</v>
      </c>
      <c r="AD37" s="37">
        <v>6.6999999999999993</v>
      </c>
      <c r="AE37" s="37">
        <v>1</v>
      </c>
    </row>
    <row r="38" spans="1:31" x14ac:dyDescent="0.2">
      <c r="A38" s="1" t="str" cm="1">
        <f t="array" ref="A38">IF(I38="","",IF(P38&lt;&gt;"",SUMPRODUCT((P$3:P$43&lt;&gt;"")*(G$3:G$43=G38)*(J$3:J$43&gt;J38)*(I$3:I$43="P"))+1,IF(O38&lt;&gt;"",SUMPRODUCT((O$3:O$43&lt;&gt;"")*(P$3:P$43="")*(G$3:G$43=G38)*(J$3:J$43&gt;J38)*(I$3:I$43="P"))+SUMPRODUCT((P$3:P$43&lt;&gt;"")*(G$3:G$43=G38)*(I$3:I$43="P"))+1,IF(N38&lt;&gt;"",SUMPRODUCT((N$3:N$43&lt;&gt;"")*(G$3:G$43=G38)*(J$3:J$43&gt;J38)*(I$3:I$43="P"))+1,IF(M38="P",SUMPRODUCT((O$3:O$43&lt;&gt;"")*(P$3:P$43="")*(G$3:G$43=G38)*(I$3:I$43="P"))+SUMPRODUCT((P$3:P$43&lt;&gt;"")*(G$3:G$43=G38)*(I$3:I$43="P"))+SUMPRODUCT((N$3:N$43&lt;&gt;"")*(G$3:G$43=G38)*(I$3:I$43="P"))+SUMPRODUCT((P$3:P$43="")*(O$3:O$43="")*(N$3:N$43="")*(M$3:M$43="P")*(G$3:G$43=G38)*(J$3:J$43&gt;J38)*(I$3:I$43="P"))+IF(H38="L5",SUMPRODUCT((P$3:P$43="")*(O$3:O$43="")*(N$3:N$43="")*(M$3:M$43="P")*(G$3:G$43=G38)*(J$3:J$43&lt;J38)*(H$3:H$43&lt;&gt;H38)*(I$3:I$43="P")),-1*SUMPRODUCT((P$3:P$43="")*(O$3:O$43="")*(N$3:N$43="")*(M$3:M$43="P")*(G$3:G$43=G38)*(J$3:J$43&gt;J38)*(H$3:H$43="L5")*(I$3:I$43="P")))+1,"")))))</f>
        <v/>
      </c>
      <c r="B38" s="1" t="str" cm="1">
        <f t="array" ref="B38">IF(P38&lt;&gt;"",SUMPRODUCT((P$3:P$43&lt;&gt;"")*(G$3:G$43=G38)*(J$3:J$43&gt;J38))+1,IF(O38&lt;&gt;"",SUMPRODUCT((O$3:O$43&lt;&gt;"")*(P$3:P$43="")*(G$3:G$43=G38)*(J$3:J$43&gt;J38))+SUMPRODUCT((P$3:P$43&lt;&gt;"")*(G$3:G$43=G38))+1,IF(N38&lt;&gt;"",SUMPRODUCT((N$3:N$43&lt;&gt;"")*(G$3:G$43=G38)*(J$3:J$43&gt;J38))+1,IF(M38="P",SUMPRODUCT((O$3:O$43&lt;&gt;"")*(P$3:P$43="")*(G$3:G$43=G38))+SUMPRODUCT((P$3:P$43&lt;&gt;"")*(G$3:G$43=G38))+SUMPRODUCT((N$3:N$43&lt;&gt;"")*(G$3:G$43=G38))+SUMPRODUCT((P$3:P$43="")*(O$3:O$43="")*(N$3:N$43="")*(M$3:M$43="P")*(G$3:G$43=G38)*(J$3:J$43&gt;J38))+IF(H38="L5",SUMPRODUCT((P$3:P$43="")*(O$3:O$43="")*(N$3:N$43="")*(M$3:M$43="P")*(G$3:G$43=G38)*(J$3:J$43&lt;J38)*(H$3:H$43&lt;&gt;H38)),-1*SUMPRODUCT((P$3:P$43="")*(O$3:O$43="")*(N$3:N$43="")*(M$3:M$43="P")*(G$3:G$43=G38)*(J$3:J$43&gt;J38)*(H$3:H$43="L5")))+1,""))))</f>
        <v/>
      </c>
      <c r="C38" s="35" t="s">
        <v>450</v>
      </c>
      <c r="D38" t="str">
        <f>IF(E38="","",VLOOKUP(E38,'Coaching Points'!A:B,2,0))</f>
        <v>NS</v>
      </c>
      <c r="E38" s="35" t="s">
        <v>86</v>
      </c>
      <c r="F38" s="34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214</v>
      </c>
      <c r="I38" s="40"/>
      <c r="J38" s="4">
        <f>R38+S38+IF(OR(H38="Junior",H38="Senior"),0.0002,IF(OR(H38="L7",H38="L6"),0.0001,0))+MAX(Z38,AC38)*0.0000001</f>
        <v>73.700003779999989</v>
      </c>
      <c r="K38" s="3" t="str">
        <f>IF(G38="Not Age Eligible","",IF(MAX(T38,W38,Z38,AC38)&gt;=LOOKUP(G38,'Qualifying Scores'!$A$4:$A$7,'Qualifying Scores'!$H$4:$H$7),"P",""))</f>
        <v/>
      </c>
      <c r="L38" s="3" t="str">
        <f>IF(G38="Not Age Eligible","",IF(MAX(U38,X38,AA38,AD38)&gt;=LOOKUP(G38,'Qualifying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Scores'!$H$10:$H$13)),AND(Z38&gt;=LOOKUP(G38,'Qualifying Scores'!$A$4:$A$7,'Qualifying Scores'!$H$4:$H$7),AA38&gt;=LOOKUP(G38,'Qualifying Scores'!$A$10:$A$13,'Qualifying Scores'!$H$10:$H$13)),AND(W38&gt;=LOOKUP(G38,'Qualifying Scores'!$A$4:$A$7,'Qualifying Scores'!$H$4:$H$7),X38&gt;=LOOKUP(G38,'Qualifying Scores'!$A$10:$A$13,'Qualifying Scores'!$H$10:$H$13)),AND(AC38&gt;=LOOKUP(G38,'Qualifying Scores'!$A$4:$A$7,'Qualifying Scores'!$H$4:$H$7),AD38&gt;=LOOKUP(G38,'Qualifying Scores'!$A$10:$A$13,'Qualifying Scores'!$H$10:$H$13))),"P",""))</f>
        <v/>
      </c>
      <c r="Q38" s="1" t="str">
        <f>IF(A38&lt;5,IF(_xlfn.MAXIFS(A:A,G:G,G38)&gt;3,5-A38,_xlfn.MAXIFS(A:A,G:G,G38)+1-A38),"")</f>
        <v/>
      </c>
      <c r="R38" s="4">
        <f>MAX(T38-IF(OR(H38="L6"),V38,0),W38-IF(OR(H38="L6"),Y38,0),Z38-IF(OR(H38="L6"),AB38,0),AC38-IF(OR(H38="L6"),AE38,0))</f>
        <v>37.799999999999997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35.9</v>
      </c>
      <c r="T38" s="32"/>
      <c r="U38" s="37"/>
      <c r="V38" s="37"/>
      <c r="W38" s="33"/>
      <c r="X38" s="37"/>
      <c r="Y38" s="37"/>
      <c r="Z38" s="32">
        <v>37.799999999999997</v>
      </c>
      <c r="AA38" s="37">
        <v>5.1999999999999993</v>
      </c>
      <c r="AB38" s="37">
        <v>0</v>
      </c>
      <c r="AC38" s="33">
        <v>35.9</v>
      </c>
      <c r="AD38" s="37">
        <v>4.4000000000000004</v>
      </c>
      <c r="AE38" s="37">
        <v>0</v>
      </c>
    </row>
    <row r="39" spans="1:31" x14ac:dyDescent="0.2">
      <c r="A39" s="1" t="str" cm="1">
        <f t="array" ref="A39">IF(I39="","",IF(P39&lt;&gt;"",SUMPRODUCT((P$3:P$43&lt;&gt;"")*(G$3:G$43=G39)*(J$3:J$43&gt;J39)*(I$3:I$43="P"))+1,IF(O39&lt;&gt;"",SUMPRODUCT((O$3:O$43&lt;&gt;"")*(P$3:P$43="")*(G$3:G$43=G39)*(J$3:J$43&gt;J39)*(I$3:I$43="P"))+SUMPRODUCT((P$3:P$43&lt;&gt;"")*(G$3:G$43=G39)*(I$3:I$43="P"))+1,IF(N39&lt;&gt;"",SUMPRODUCT((N$3:N$43&lt;&gt;"")*(G$3:G$43=G39)*(J$3:J$43&gt;J39)*(I$3:I$43="P"))+1,IF(M39="P",SUMPRODUCT((O$3:O$43&lt;&gt;"")*(P$3:P$43="")*(G$3:G$43=G39)*(I$3:I$43="P"))+SUMPRODUCT((P$3:P$43&lt;&gt;"")*(G$3:G$43=G39)*(I$3:I$43="P"))+SUMPRODUCT((N$3:N$43&lt;&gt;"")*(G$3:G$43=G39)*(I$3:I$43="P"))+SUMPRODUCT((P$3:P$43="")*(O$3:O$43="")*(N$3:N$43="")*(M$3:M$43="P")*(G$3:G$43=G39)*(J$3:J$43&gt;J39)*(I$3:I$43="P"))+IF(H39="L5",SUMPRODUCT((P$3:P$43="")*(O$3:O$43="")*(N$3:N$43="")*(M$3:M$43="P")*(G$3:G$43=G39)*(J$3:J$43&lt;J39)*(H$3:H$43&lt;&gt;H39)*(I$3:I$43="P")),-1*SUMPRODUCT((P$3:P$43="")*(O$3:O$43="")*(N$3:N$43="")*(M$3:M$43="P")*(G$3:G$43=G39)*(J$3:J$43&gt;J39)*(H$3:H$43="L5")*(I$3:I$43="P")))+1,"")))))</f>
        <v/>
      </c>
      <c r="B39" s="1" cm="1">
        <f t="array" ref="B39">IF(P39&lt;&gt;"",SUMPRODUCT((P$3:P$43&lt;&gt;"")*(G$3:G$43=G39)*(J$3:J$43&gt;J39))+1,IF(O39&lt;&gt;"",SUMPRODUCT((O$3:O$43&lt;&gt;"")*(P$3:P$43="")*(G$3:G$43=G39)*(J$3:J$43&gt;J39))+SUMPRODUCT((P$3:P$43&lt;&gt;"")*(G$3:G$43=G39))+1,IF(N39&lt;&gt;"",SUMPRODUCT((N$3:N$43&lt;&gt;"")*(G$3:G$43=G39)*(J$3:J$43&gt;J39))+1,IF(M39="P",SUMPRODUCT((O$3:O$43&lt;&gt;"")*(P$3:P$43="")*(G$3:G$43=G39))+SUMPRODUCT((P$3:P$43&lt;&gt;"")*(G$3:G$43=G39))+SUMPRODUCT((N$3:N$43&lt;&gt;"")*(G$3:G$43=G39))+SUMPRODUCT((P$3:P$43="")*(O$3:O$43="")*(N$3:N$43="")*(M$3:M$43="P")*(G$3:G$43=G39)*(J$3:J$43&gt;J39))+IF(H39="L5",SUMPRODUCT((P$3:P$43="")*(O$3:O$43="")*(N$3:N$43="")*(M$3:M$43="P")*(G$3:G$43=G39)*(J$3:J$43&lt;J39)*(H$3:H$43&lt;&gt;H39)),-1*SUMPRODUCT((P$3:P$43="")*(O$3:O$43="")*(N$3:N$43="")*(M$3:M$43="P")*(G$3:G$43=G39)*(J$3:J$43&gt;J39)*(H$3:H$43="L5")))+1,""))))</f>
        <v>1</v>
      </c>
      <c r="C39" s="35" t="s">
        <v>160</v>
      </c>
      <c r="D39" t="str">
        <f>IF(E39="","",VLOOKUP(E39,'Coaching Points'!A:B,2,0))</f>
        <v>BC</v>
      </c>
      <c r="E39" s="35" t="s">
        <v>60</v>
      </c>
      <c r="F39" s="34">
        <v>2012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13-14</v>
      </c>
      <c r="H39" s="36" t="s">
        <v>211</v>
      </c>
      <c r="I39" s="40"/>
      <c r="J39" s="4">
        <f>R39+S39+IF(OR(H39="Junior",H39="Senior"),0.0002,IF(OR(H39="L7",H39="L6"),0.0001,0))+MAX(Z39,AC39)*0.0000001</f>
        <v>81.600204149999996</v>
      </c>
      <c r="K39" s="3" t="str">
        <f>IF(G39="Not Age Eligible","",IF(MAX(T39,W39,Z39,AC39)&gt;=LOOKUP(G39,'Qualifying Scores'!$A$4:$A$7,'Qualifying Scores'!$H$4:$H$7),"P",""))</f>
        <v>P</v>
      </c>
      <c r="L39" s="3" t="str">
        <f>IF(G39="Not Age Eligible","",IF(MAX(U39,X39,AA39,AD39)&gt;=LOOKUP(G39,'Qualifying Scores'!$A$10:$A$13,'Qualifying Scores'!$H$10:$H$13),"P",""))</f>
        <v>P</v>
      </c>
      <c r="M39" s="3" t="str">
        <f>IF(G39="Not Age Eligible","",IF(OR(AND(T39&gt;=LOOKUP(G39,'Qualifying Scores'!$A$4:$A$7,'Qualifying Scores'!$H$4:$H$7),U39&gt;=LOOKUP(G39,'Qualifying Scores'!$A$10:$A$13,'Qualifying Scores'!$H$10:$H$13)),AND(Z39&gt;=LOOKUP(G39,'Qualifying Scores'!$A$4:$A$7,'Qualifying Scores'!$H$4:$H$7),AA39&gt;=LOOKUP(G39,'Qualifying Scores'!$A$10:$A$13,'Qualifying Scores'!$H$10:$H$13)),AND(W39&gt;=LOOKUP(G39,'Qualifying Scores'!$A$4:$A$7,'Qualifying Scores'!$H$4:$H$7),X39&gt;=LOOKUP(G39,'Qualifying Scores'!$A$10:$A$13,'Qualifying Scores'!$H$10:$H$13)),AND(AC39&gt;=LOOKUP(G39,'Qualifying Scores'!$A$4:$A$7,'Qualifying Scores'!$H$4:$H$7),AD39&gt;=LOOKUP(G39,'Qualifying Scores'!$A$10:$A$13,'Qualifying Scores'!$H$10:$H$13))),"P",""))</f>
        <v>P</v>
      </c>
      <c r="Q39" s="1" t="str">
        <f>IF(A39&lt;5,IF(_xlfn.MAXIFS(A:A,G:G,G39)&gt;3,5-A39,_xlfn.MAXIFS(A:A,G:G,G39)+1-A39),"")</f>
        <v/>
      </c>
      <c r="R39" s="4">
        <f>MAX(T39-IF(OR(H39="L6"),V39,0),W39-IF(OR(H39="L6"),Y39,0),Z39-IF(OR(H39="L6"),AB39,0),AC39-IF(OR(H39="L6"),AE39,0))</f>
        <v>41.5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40.1</v>
      </c>
      <c r="T39" s="32">
        <v>38.799999999999997</v>
      </c>
      <c r="U39" s="37">
        <v>6</v>
      </c>
      <c r="V39" s="37">
        <v>0</v>
      </c>
      <c r="W39" s="33">
        <v>40.1</v>
      </c>
      <c r="X39" s="37">
        <v>7.5</v>
      </c>
      <c r="Y39" s="37">
        <v>0</v>
      </c>
      <c r="Z39" s="32">
        <v>41.5</v>
      </c>
      <c r="AA39" s="37">
        <v>8.1999999999999993</v>
      </c>
      <c r="AB39" s="37">
        <v>0</v>
      </c>
      <c r="AC39" s="33">
        <v>39.9</v>
      </c>
      <c r="AD39" s="37">
        <v>7.5</v>
      </c>
      <c r="AE39" s="37">
        <v>0</v>
      </c>
    </row>
    <row r="40" spans="1:31" x14ac:dyDescent="0.2">
      <c r="A40" s="1" t="str" cm="1">
        <f t="array" ref="A40">IF(I40="","",IF(P40&lt;&gt;"",SUMPRODUCT((P$3:P$43&lt;&gt;"")*(G$3:G$43=G40)*(J$3:J$43&gt;J40)*(I$3:I$43="P"))+1,IF(O40&lt;&gt;"",SUMPRODUCT((O$3:O$43&lt;&gt;"")*(P$3:P$43="")*(G$3:G$43=G40)*(J$3:J$43&gt;J40)*(I$3:I$43="P"))+SUMPRODUCT((P$3:P$43&lt;&gt;"")*(G$3:G$43=G40)*(I$3:I$43="P"))+1,IF(N40&lt;&gt;"",SUMPRODUCT((N$3:N$43&lt;&gt;"")*(G$3:G$43=G40)*(J$3:J$43&gt;J40)*(I$3:I$43="P"))+1,IF(M40="P",SUMPRODUCT((O$3:O$43&lt;&gt;"")*(P$3:P$43="")*(G$3:G$43=G40)*(I$3:I$43="P"))+SUMPRODUCT((P$3:P$43&lt;&gt;"")*(G$3:G$43=G40)*(I$3:I$43="P"))+SUMPRODUCT((N$3:N$43&lt;&gt;"")*(G$3:G$43=G40)*(I$3:I$43="P"))+SUMPRODUCT((P$3:P$43="")*(O$3:O$43="")*(N$3:N$43="")*(M$3:M$43="P")*(G$3:G$43=G40)*(J$3:J$43&gt;J40)*(I$3:I$43="P"))+IF(H40="L5",SUMPRODUCT((P$3:P$43="")*(O$3:O$43="")*(N$3:N$43="")*(M$3:M$43="P")*(G$3:G$43=G40)*(J$3:J$43&lt;J40)*(H$3:H$43&lt;&gt;H40)*(I$3:I$43="P")),-1*SUMPRODUCT((P$3:P$43="")*(O$3:O$43="")*(N$3:N$43="")*(M$3:M$43="P")*(G$3:G$43=G40)*(J$3:J$43&gt;J40)*(H$3:H$43="L5")*(I$3:I$43="P")))+1,"")))))</f>
        <v/>
      </c>
      <c r="B40" s="1" t="str" cm="1">
        <f t="array" ref="B40">IF(P40&lt;&gt;"",SUMPRODUCT((P$3:P$43&lt;&gt;"")*(G$3:G$43=G40)*(J$3:J$43&gt;J40))+1,IF(O40&lt;&gt;"",SUMPRODUCT((O$3:O$43&lt;&gt;"")*(P$3:P$43="")*(G$3:G$43=G40)*(J$3:J$43&gt;J40))+SUMPRODUCT((P$3:P$43&lt;&gt;"")*(G$3:G$43=G40))+1,IF(N40&lt;&gt;"",SUMPRODUCT((N$3:N$43&lt;&gt;"")*(G$3:G$43=G40)*(J$3:J$43&gt;J40))+1,IF(M40="P",SUMPRODUCT((O$3:O$43&lt;&gt;"")*(P$3:P$43="")*(G$3:G$43=G40))+SUMPRODUCT((P$3:P$43&lt;&gt;"")*(G$3:G$43=G40))+SUMPRODUCT((N$3:N$43&lt;&gt;"")*(G$3:G$43=G40))+SUMPRODUCT((P$3:P$43="")*(O$3:O$43="")*(N$3:N$43="")*(M$3:M$43="P")*(G$3:G$43=G40)*(J$3:J$43&gt;J40))+IF(H40="L5",SUMPRODUCT((P$3:P$43="")*(O$3:O$43="")*(N$3:N$43="")*(M$3:M$43="P")*(G$3:G$43=G40)*(J$3:J$43&lt;J40)*(H$3:H$43&lt;&gt;H40)),-1*SUMPRODUCT((P$3:P$43="")*(O$3:O$43="")*(N$3:N$43="")*(M$3:M$43="P")*(G$3:G$43=G40)*(J$3:J$43&gt;J40)*(H$3:H$43="L5")))+1,""))))</f>
        <v/>
      </c>
      <c r="C40" s="35" t="s">
        <v>346</v>
      </c>
      <c r="D40" t="str">
        <f>IF(E40="","",VLOOKUP(E40,'Coaching Points'!A:B,2,0))</f>
        <v>AB</v>
      </c>
      <c r="E40" s="35" t="s">
        <v>56</v>
      </c>
      <c r="F40" s="34">
        <v>2011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13-14</v>
      </c>
      <c r="H40" s="36" t="s">
        <v>214</v>
      </c>
      <c r="I40" s="40"/>
      <c r="J40" s="4">
        <f>R40+S40+IF(OR(H40="Junior",H40="Senior"),0.0002,IF(OR(H40="L7",H40="L6"),0.0001,0))+MAX(Z40,AC40)*0.0000001</f>
        <v>76.7</v>
      </c>
      <c r="K40" s="3" t="str">
        <f>IF(G40="Not Age Eligible","",IF(MAX(T40,W40,Z40,AC40)&gt;=LOOKUP(G40,'Qualifying Scores'!$A$4:$A$7,'Qualifying Scores'!$H$4:$H$7),"P",""))</f>
        <v/>
      </c>
      <c r="L40" s="3" t="str">
        <f>IF(G40="Not Age Eligible","",IF(MAX(U40,X40,AA40,AD40)&gt;=LOOKUP(G40,'Qualifying Scores'!$A$10:$A$13,'Qualifying Scores'!$H$10:$H$13),"P",""))</f>
        <v>P</v>
      </c>
      <c r="M40" s="3" t="str">
        <f>IF(G40="Not Age Eligible","",IF(OR(AND(T40&gt;=LOOKUP(G40,'Qualifying Scores'!$A$4:$A$7,'Qualifying Scores'!$H$4:$H$7),U40&gt;=LOOKUP(G40,'Qualifying Scores'!$A$10:$A$13,'Qualifying Scores'!$H$10:$H$13)),AND(Z40&gt;=LOOKUP(G40,'Qualifying Scores'!$A$4:$A$7,'Qualifying Scores'!$H$4:$H$7),AA40&gt;=LOOKUP(G40,'Qualifying Scores'!$A$10:$A$13,'Qualifying Scores'!$H$10:$H$13)),AND(W40&gt;=LOOKUP(G40,'Qualifying Scores'!$A$4:$A$7,'Qualifying Scores'!$H$4:$H$7),X40&gt;=LOOKUP(G40,'Qualifying Scores'!$A$10:$A$13,'Qualifying Scores'!$H$10:$H$13)),AND(AC40&gt;=LOOKUP(G40,'Qualifying Scores'!$A$4:$A$7,'Qualifying Scores'!$H$4:$H$7),AD40&gt;=LOOKUP(G40,'Qualifying Scores'!$A$10:$A$13,'Qualifying Scores'!$H$10:$H$13))),"P",""))</f>
        <v/>
      </c>
      <c r="Q40" s="1" t="str">
        <f>IF(A40&lt;5,IF(_xlfn.MAXIFS(A:A,G:G,G40)&gt;3,5-A40,_xlfn.MAXIFS(A:A,G:G,G40)+1-A40),"")</f>
        <v/>
      </c>
      <c r="R40" s="4">
        <f>MAX(T40-IF(OR(H40="L6"),V40,0),W40-IF(OR(H40="L6"),Y40,0),Z40-IF(OR(H40="L6"),AB40,0),AC40-IF(OR(H40="L6"),AE40,0))</f>
        <v>38.5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38.200000000000003</v>
      </c>
      <c r="T40" s="32">
        <v>38.200000000000003</v>
      </c>
      <c r="U40" s="37">
        <v>7.3</v>
      </c>
      <c r="V40" s="37">
        <v>2</v>
      </c>
      <c r="W40" s="33">
        <v>38.5</v>
      </c>
      <c r="X40" s="37">
        <v>6.8</v>
      </c>
      <c r="Y40" s="37">
        <v>2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$43&lt;&gt;"")*(G$3:G$43=G41)*(J$3:J$43&gt;J41)*(I$3:I$43="P"))+1,IF(O41&lt;&gt;"",SUMPRODUCT((O$3:O$43&lt;&gt;"")*(P$3:P$43="")*(G$3:G$43=G41)*(J$3:J$43&gt;J41)*(I$3:I$43="P"))+SUMPRODUCT((P$3:P$43&lt;&gt;"")*(G$3:G$43=G41)*(I$3:I$43="P"))+1,IF(N41&lt;&gt;"",SUMPRODUCT((N$3:N$43&lt;&gt;"")*(G$3:G$43=G41)*(J$3:J$43&gt;J41)*(I$3:I$43="P"))+1,IF(M41="P",SUMPRODUCT((O$3:O$43&lt;&gt;"")*(P$3:P$43="")*(G$3:G$43=G41)*(I$3:I$43="P"))+SUMPRODUCT((P$3:P$43&lt;&gt;"")*(G$3:G$43=G41)*(I$3:I$43="P"))+SUMPRODUCT((N$3:N$43&lt;&gt;"")*(G$3:G$43=G41)*(I$3:I$43="P"))+SUMPRODUCT((P$3:P$43="")*(O$3:O$43="")*(N$3:N$43="")*(M$3:M$43="P")*(G$3:G$43=G41)*(J$3:J$43&gt;J41)*(I$3:I$43="P"))+IF(H41="L5",SUMPRODUCT((P$3:P$43="")*(O$3:O$43="")*(N$3:N$43="")*(M$3:M$43="P")*(G$3:G$43=G41)*(J$3:J$43&lt;J41)*(H$3:H$43&lt;&gt;H41)*(I$3:I$43="P")),-1*SUMPRODUCT((P$3:P$43="")*(O$3:O$43="")*(N$3:N$43="")*(M$3:M$43="P")*(G$3:G$43=G41)*(J$3:J$43&gt;J41)*(H$3:H$43="L5")*(I$3:I$43="P")))+1,"")))))</f>
        <v/>
      </c>
      <c r="B41" s="1" t="str" cm="1">
        <f t="array" ref="B41">IF(P41&lt;&gt;"",SUMPRODUCT((P$3:P$43&lt;&gt;"")*(G$3:G$43=G41)*(J$3:J$43&gt;J41))+1,IF(O41&lt;&gt;"",SUMPRODUCT((O$3:O$43&lt;&gt;"")*(P$3:P$43="")*(G$3:G$43=G41)*(J$3:J$43&gt;J41))+SUMPRODUCT((P$3:P$43&lt;&gt;"")*(G$3:G$43=G41))+1,IF(N41&lt;&gt;"",SUMPRODUCT((N$3:N$43&lt;&gt;"")*(G$3:G$43=G41)*(J$3:J$43&gt;J41))+1,IF(M41="P",SUMPRODUCT((O$3:O$43&lt;&gt;"")*(P$3:P$43="")*(G$3:G$43=G41))+SUMPRODUCT((P$3:P$43&lt;&gt;"")*(G$3:G$43=G41))+SUMPRODUCT((N$3:N$43&lt;&gt;"")*(G$3:G$43=G41))+SUMPRODUCT((P$3:P$43="")*(O$3:O$43="")*(N$3:N$43="")*(M$3:M$43="P")*(G$3:G$43=G41)*(J$3:J$43&gt;J41))+IF(H41="L5",SUMPRODUCT((P$3:P$43="")*(O$3:O$43="")*(N$3:N$43="")*(M$3:M$43="P")*(G$3:G$43=G41)*(J$3:J$43&lt;J41)*(H$3:H$43&lt;&gt;H41)),-1*SUMPRODUCT((P$3:P$43="")*(O$3:O$43="")*(N$3:N$43="")*(M$3:M$43="P")*(G$3:G$43=G41)*(J$3:J$43&gt;J41)*(H$3:H$43="L5")))+1,""))))</f>
        <v/>
      </c>
      <c r="C41" s="35" t="s">
        <v>136</v>
      </c>
      <c r="D41" t="str">
        <f>IF(E41="","",VLOOKUP(E41,'Coaching Points'!A:B,2,0))</f>
        <v>BC</v>
      </c>
      <c r="E41" s="35" t="s">
        <v>60</v>
      </c>
      <c r="F41" s="34">
        <v>2011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13-14</v>
      </c>
      <c r="H41" s="36" t="s">
        <v>214</v>
      </c>
      <c r="I41" s="40"/>
      <c r="J41" s="4">
        <f>R41+S41+IF(OR(H41="Junior",H41="Senior"),0.0002,IF(OR(H41="L7",H41="L6"),0.0001,0))+MAX(Z41,AC41)*0.0000001</f>
        <v>76.300003660000016</v>
      </c>
      <c r="K41" s="3" t="str">
        <f>IF(G41="Not Age Eligible","",IF(MAX(T41,W41,Z41,AC41)&gt;=LOOKUP(G41,'Qualifying Scores'!$A$4:$A$7,'Qualifying Scores'!$H$4:$H$7),"P",""))</f>
        <v/>
      </c>
      <c r="L41" s="3" t="str">
        <f>IF(G41="Not Age Eligible","",IF(MAX(U41,X41,AA41,AD41)&gt;=LOOKUP(G41,'Qualifying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Scores'!$H$10:$H$13)),AND(Z41&gt;=LOOKUP(G41,'Qualifying Scores'!$A$4:$A$7,'Qualifying Scores'!$H$4:$H$7),AA41&gt;=LOOKUP(G41,'Qualifying Scores'!$A$10:$A$13,'Qualifying Scores'!$H$10:$H$13)),AND(W41&gt;=LOOKUP(G41,'Qualifying Scores'!$A$4:$A$7,'Qualifying Scores'!$H$4:$H$7),X41&gt;=LOOKUP(G41,'Qualifying Scores'!$A$10:$A$13,'Qualifying Scores'!$H$10:$H$13)),AND(AC41&gt;=LOOKUP(G41,'Qualifying Scores'!$A$4:$A$7,'Qualifying Scores'!$H$4:$H$7),AD41&gt;=LOOKUP(G41,'Qualifying Scores'!$A$10:$A$13,'Qualifying Scores'!$H$10:$H$13))),"P",""))</f>
        <v/>
      </c>
      <c r="Q41" s="1" t="str">
        <f>IF(A41&lt;5,IF(_xlfn.MAXIFS(A:A,G:G,G41)&gt;3,5-A41,_xlfn.MAXIFS(A:A,G:G,G41)+1-A41),"")</f>
        <v/>
      </c>
      <c r="R41" s="4">
        <f>MAX(T41-IF(OR(H41="L6"),V41,0),W41-IF(OR(H41="L6"),Y41,0),Z41-IF(OR(H41="L6"),AB41,0),AC41-IF(OR(H41="L6"),AE41,0))</f>
        <v>39.700000000000003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36.6</v>
      </c>
      <c r="T41" s="32">
        <v>36.299999999999997</v>
      </c>
      <c r="U41" s="37">
        <v>4.2</v>
      </c>
      <c r="V41" s="37">
        <v>0</v>
      </c>
      <c r="W41" s="33">
        <v>39.700000000000003</v>
      </c>
      <c r="X41" s="37">
        <v>5.7</v>
      </c>
      <c r="Y41" s="37">
        <v>0</v>
      </c>
      <c r="Z41" s="32">
        <v>34.799999999999997</v>
      </c>
      <c r="AA41" s="37">
        <v>4.7</v>
      </c>
      <c r="AB41" s="37">
        <v>0</v>
      </c>
      <c r="AC41" s="33">
        <v>36.6</v>
      </c>
      <c r="AD41" s="37">
        <v>4.4000000000000004</v>
      </c>
      <c r="AE41" s="37">
        <v>0</v>
      </c>
    </row>
    <row r="42" spans="1:31" x14ac:dyDescent="0.2">
      <c r="A42" s="1" t="str" cm="1">
        <f t="array" ref="A42">IF(I42="","",IF(P42&lt;&gt;"",SUMPRODUCT((P$3:P$43&lt;&gt;"")*(G$3:G$43=G42)*(J$3:J$43&gt;J42)*(I$3:I$43="P"))+1,IF(O42&lt;&gt;"",SUMPRODUCT((O$3:O$43&lt;&gt;"")*(P$3:P$43="")*(G$3:G$43=G42)*(J$3:J$43&gt;J42)*(I$3:I$43="P"))+SUMPRODUCT((P$3:P$43&lt;&gt;"")*(G$3:G$43=G42)*(I$3:I$43="P"))+1,IF(N42&lt;&gt;"",SUMPRODUCT((N$3:N$43&lt;&gt;"")*(G$3:G$43=G42)*(J$3:J$43&gt;J42)*(I$3:I$43="P"))+1,IF(M42="P",SUMPRODUCT((O$3:O$43&lt;&gt;"")*(P$3:P$43="")*(G$3:G$43=G42)*(I$3:I$43="P"))+SUMPRODUCT((P$3:P$43&lt;&gt;"")*(G$3:G$43=G42)*(I$3:I$43="P"))+SUMPRODUCT((N$3:N$43&lt;&gt;"")*(G$3:G$43=G42)*(I$3:I$43="P"))+SUMPRODUCT((P$3:P$43="")*(O$3:O$43="")*(N$3:N$43="")*(M$3:M$43="P")*(G$3:G$43=G42)*(J$3:J$43&gt;J42)*(I$3:I$43="P"))+IF(H42="L5",SUMPRODUCT((P$3:P$43="")*(O$3:O$43="")*(N$3:N$43="")*(M$3:M$43="P")*(G$3:G$43=G42)*(J$3:J$43&lt;J42)*(H$3:H$43&lt;&gt;H42)*(I$3:I$43="P")),-1*SUMPRODUCT((P$3:P$43="")*(O$3:O$43="")*(N$3:N$43="")*(M$3:M$43="P")*(G$3:G$43=G42)*(J$3:J$43&gt;J42)*(H$3:H$43="L5")*(I$3:I$43="P")))+1,"")))))</f>
        <v/>
      </c>
      <c r="B42" s="1" t="str" cm="1">
        <f t="array" ref="B42">IF(P42&lt;&gt;"",SUMPRODUCT((P$3:P$43&lt;&gt;"")*(G$3:G$43=G42)*(J$3:J$43&gt;J42))+1,IF(O42&lt;&gt;"",SUMPRODUCT((O$3:O$43&lt;&gt;"")*(P$3:P$43="")*(G$3:G$43=G42)*(J$3:J$43&gt;J42))+SUMPRODUCT((P$3:P$43&lt;&gt;"")*(G$3:G$43=G42))+1,IF(N42&lt;&gt;"",SUMPRODUCT((N$3:N$43&lt;&gt;"")*(G$3:G$43=G42)*(J$3:J$43&gt;J42))+1,IF(M42="P",SUMPRODUCT((O$3:O$43&lt;&gt;"")*(P$3:P$43="")*(G$3:G$43=G42))+SUMPRODUCT((P$3:P$43&lt;&gt;"")*(G$3:G$43=G42))+SUMPRODUCT((N$3:N$43&lt;&gt;"")*(G$3:G$43=G42))+SUMPRODUCT((P$3:P$43="")*(O$3:O$43="")*(N$3:N$43="")*(M$3:M$43="P")*(G$3:G$43=G42)*(J$3:J$43&gt;J42))+IF(H42="L5",SUMPRODUCT((P$3:P$43="")*(O$3:O$43="")*(N$3:N$43="")*(M$3:M$43="P")*(G$3:G$43=G42)*(J$3:J$43&lt;J42)*(H$3:H$43&lt;&gt;H42)),-1*SUMPRODUCT((P$3:P$43="")*(O$3:O$43="")*(N$3:N$43="")*(M$3:M$43="P")*(G$3:G$43=G42)*(J$3:J$43&gt;J42)*(H$3:H$43="L5")))+1,""))))</f>
        <v/>
      </c>
      <c r="C42" s="35" t="s">
        <v>247</v>
      </c>
      <c r="D42" t="str">
        <f>IF(E42="","",VLOOKUP(E42,'Coaching Points'!A:B,2,0))</f>
        <v>AB</v>
      </c>
      <c r="E42" s="35" t="s">
        <v>28</v>
      </c>
      <c r="F42" s="34">
        <v>2011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13-14</v>
      </c>
      <c r="H42" s="36" t="s">
        <v>214</v>
      </c>
      <c r="I42" s="40"/>
      <c r="J42" s="4">
        <f>R42+S42+IF(OR(H42="Junior",H42="Senior"),0.0002,IF(OR(H42="L7",H42="L6"),0.0001,0))+MAX(Z42,AC42)*0.0000001</f>
        <v>74.5</v>
      </c>
      <c r="K42" s="3" t="str">
        <f>IF(G42="Not Age Eligible","",IF(MAX(T42,W42,Z42,AC42)&gt;=LOOKUP(G42,'Qualifying Scores'!$A$4:$A$7,'Qualifying Scores'!$H$4:$H$7),"P",""))</f>
        <v/>
      </c>
      <c r="L42" s="3" t="str">
        <f>IF(G42="Not Age Eligible","",IF(MAX(U42,X42,AA42,AD42)&gt;=LOOKUP(G42,'Qualifying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Scores'!$H$10:$H$13)),AND(Z42&gt;=LOOKUP(G42,'Qualifying Scores'!$A$4:$A$7,'Qualifying Scores'!$H$4:$H$7),AA42&gt;=LOOKUP(G42,'Qualifying Scores'!$A$10:$A$13,'Qualifying Scores'!$H$10:$H$13)),AND(W42&gt;=LOOKUP(G42,'Qualifying Scores'!$A$4:$A$7,'Qualifying Scores'!$H$4:$H$7),X42&gt;=LOOKUP(G42,'Qualifying Scores'!$A$10:$A$13,'Qualifying Scores'!$H$10:$H$13)),AND(AC42&gt;=LOOKUP(G42,'Qualifying Scores'!$A$4:$A$7,'Qualifying Scores'!$H$4:$H$7),AD42&gt;=LOOKUP(G42,'Qualifying Scores'!$A$10:$A$13,'Qualifying Scores'!$H$10:$H$13))),"P",""))</f>
        <v/>
      </c>
      <c r="Q42" s="1" t="str">
        <f>IF(A42&lt;5,IF(_xlfn.MAXIFS(A:A,G:G,G42)&gt;3,5-A42,_xlfn.MAXIFS(A:A,G:G,G42)+1-A42),"")</f>
        <v/>
      </c>
      <c r="R42" s="4">
        <f>MAX(T42-IF(OR(H42="L6"),V42,0),W42-IF(OR(H42="L6"),Y42,0),Z42-IF(OR(H42="L6"),AB42,0),AC42-IF(OR(H42="L6"),AE42,0))</f>
        <v>37.6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36.9</v>
      </c>
      <c r="T42" s="32">
        <v>36.9</v>
      </c>
      <c r="U42" s="37">
        <v>4.3000000000000007</v>
      </c>
      <c r="V42" s="37">
        <v>0</v>
      </c>
      <c r="W42" s="33">
        <v>37.6</v>
      </c>
      <c r="X42" s="37">
        <v>4.3000000000000007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$43&lt;&gt;"")*(G$3:G$43=G43)*(J$3:J$43&gt;J43)*(I$3:I$43="P"))+1,IF(O43&lt;&gt;"",SUMPRODUCT((O$3:O$43&lt;&gt;"")*(P$3:P$43="")*(G$3:G$43=G43)*(J$3:J$43&gt;J43)*(I$3:I$43="P"))+SUMPRODUCT((P$3:P$43&lt;&gt;"")*(G$3:G$43=G43)*(I$3:I$43="P"))+1,IF(N43&lt;&gt;"",SUMPRODUCT((N$3:N$43&lt;&gt;"")*(G$3:G$43=G43)*(J$3:J$43&gt;J43)*(I$3:I$43="P"))+1,IF(M43="P",SUMPRODUCT((O$3:O$43&lt;&gt;"")*(P$3:P$43="")*(G$3:G$43=G43)*(I$3:I$43="P"))+SUMPRODUCT((P$3:P$43&lt;&gt;"")*(G$3:G$43=G43)*(I$3:I$43="P"))+SUMPRODUCT((N$3:N$43&lt;&gt;"")*(G$3:G$43=G43)*(I$3:I$43="P"))+SUMPRODUCT((P$3:P$43="")*(O$3:O$43="")*(N$3:N$43="")*(M$3:M$43="P")*(G$3:G$43=G43)*(J$3:J$43&gt;J43)*(I$3:I$43="P"))+IF(H43="L5",SUMPRODUCT((P$3:P$43="")*(O$3:O$43="")*(N$3:N$43="")*(M$3:M$43="P")*(G$3:G$43=G43)*(J$3:J$43&lt;J43)*(H$3:H$43&lt;&gt;H43)*(I$3:I$43="P")),-1*SUMPRODUCT((P$3:P$43="")*(O$3:O$43="")*(N$3:N$43="")*(M$3:M$43="P")*(G$3:G$43=G43)*(J$3:J$43&gt;J43)*(H$3:H$43="L5")*(I$3:I$43="P")))+1,"")))))</f>
        <v/>
      </c>
      <c r="B43" s="1" t="str" cm="1">
        <f t="array" ref="B43">IF(P43&lt;&gt;"",SUMPRODUCT((P$3:P$43&lt;&gt;"")*(G$3:G$43=G43)*(J$3:J$43&gt;J43))+1,IF(O43&lt;&gt;"",SUMPRODUCT((O$3:O$43&lt;&gt;"")*(P$3:P$43="")*(G$3:G$43=G43)*(J$3:J$43&gt;J43))+SUMPRODUCT((P$3:P$43&lt;&gt;"")*(G$3:G$43=G43))+1,IF(N43&lt;&gt;"",SUMPRODUCT((N$3:N$43&lt;&gt;"")*(G$3:G$43=G43)*(J$3:J$43&gt;J43))+1,IF(M43="P",SUMPRODUCT((O$3:O$43&lt;&gt;"")*(P$3:P$43="")*(G$3:G$43=G43))+SUMPRODUCT((P$3:P$43&lt;&gt;"")*(G$3:G$43=G43))+SUMPRODUCT((N$3:N$43&lt;&gt;"")*(G$3:G$43=G43))+SUMPRODUCT((P$3:P$43="")*(O$3:O$43="")*(N$3:N$43="")*(M$3:M$43="P")*(G$3:G$43=G43)*(J$3:J$43&gt;J43))+IF(H43="L5",SUMPRODUCT((P$3:P$43="")*(O$3:O$43="")*(N$3:N$43="")*(M$3:M$43="P")*(G$3:G$43=G43)*(J$3:J$43&lt;J43)*(H$3:H$43&lt;&gt;H43)),-1*SUMPRODUCT((P$3:P$43="")*(O$3:O$43="")*(N$3:N$43="")*(M$3:M$43="P")*(G$3:G$43=G43)*(J$3:J$43&gt;J43)*(H$3:H$43="L5")))+1,""))))</f>
        <v/>
      </c>
      <c r="C43" s="35" t="s">
        <v>187</v>
      </c>
      <c r="D43" t="str">
        <f>IF(E43="","",VLOOKUP(E43,'Coaching Points'!A:B,2,0))</f>
        <v>BC</v>
      </c>
      <c r="E43" s="35" t="s">
        <v>40</v>
      </c>
      <c r="F43" s="34">
        <v>2013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11-12</v>
      </c>
      <c r="H43" s="36" t="s">
        <v>214</v>
      </c>
      <c r="I43" s="40"/>
      <c r="J43" s="4">
        <f>R43+S43+IF(OR(H43="Junior",H43="Senior"),0.0002,IF(OR(H43="L7",H43="L6"),0.0001,0))+MAX(Z43,AC43)*0.0000001</f>
        <v>70.800003590000003</v>
      </c>
      <c r="K43" s="3" t="str">
        <f>IF(G43="Not Age Eligible","",IF(MAX(T43,W43,Z43,AC43)&gt;=LOOKUP(G43,'Qualifying Scores'!$A$4:$A$7,'Qualifying Scores'!$H$4:$H$7),"P",""))</f>
        <v/>
      </c>
      <c r="L43" s="3" t="str">
        <f>IF(G43="Not Age Eligible","",IF(MAX(U43,X43,AA43,AD43)&gt;=LOOKUP(G43,'Qualifying Scores'!$A$10:$A$13,'Qualifying Scores'!$H$10:$H$13),"P",""))</f>
        <v>P</v>
      </c>
      <c r="M43" s="3" t="str">
        <f>IF(G43="Not Age Eligible","",IF(OR(AND(T43&gt;=LOOKUP(G43,'Qualifying Scores'!$A$4:$A$7,'Qualifying Scores'!$H$4:$H$7),U43&gt;=LOOKUP(G43,'Qualifying Scores'!$A$10:$A$13,'Qualifying Scores'!$H$10:$H$13)),AND(Z43&gt;=LOOKUP(G43,'Qualifying Scores'!$A$4:$A$7,'Qualifying Scores'!$H$4:$H$7),AA43&gt;=LOOKUP(G43,'Qualifying Scores'!$A$10:$A$13,'Qualifying Scores'!$H$10:$H$13)),AND(W43&gt;=LOOKUP(G43,'Qualifying Scores'!$A$4:$A$7,'Qualifying Scores'!$H$4:$H$7),X43&gt;=LOOKUP(G43,'Qualifying Scores'!$A$10:$A$13,'Qualifying Scores'!$H$10:$H$13)),AND(AC43&gt;=LOOKUP(G43,'Qualifying Scores'!$A$4:$A$7,'Qualifying Scores'!$H$4:$H$7),AD43&gt;=LOOKUP(G43,'Qualifying Scores'!$A$10:$A$13,'Qualifying Scores'!$H$10:$H$13))),"P",""))</f>
        <v/>
      </c>
      <c r="Q43" s="1" t="str">
        <f>IF(A43&lt;5,IF(_xlfn.MAXIFS(A:A,G:G,G43)&gt;3,5-A43,_xlfn.MAXIFS(A:A,G:G,G43)+1-A43),"")</f>
        <v/>
      </c>
      <c r="R43" s="4">
        <f>MAX(T43-IF(OR(H43="L6"),V43,0),W43-IF(OR(H43="L6"),Y43,0),Z43-IF(OR(H43="L6"),AB43,0),AC43-IF(OR(H43="L6"),AE43,0))</f>
        <v>35.9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34.9</v>
      </c>
      <c r="T43" s="32"/>
      <c r="U43" s="37"/>
      <c r="V43" s="37"/>
      <c r="W43" s="33"/>
      <c r="X43" s="37"/>
      <c r="Y43" s="37"/>
      <c r="Z43" s="32">
        <v>35.9</v>
      </c>
      <c r="AA43" s="37">
        <v>5.8000000000000007</v>
      </c>
      <c r="AB43" s="37">
        <v>0</v>
      </c>
      <c r="AC43" s="33">
        <v>34.9</v>
      </c>
      <c r="AD43" s="37">
        <v>4.9000000000000004</v>
      </c>
      <c r="AE43" s="37">
        <v>0</v>
      </c>
    </row>
    <row r="44" spans="1:31" x14ac:dyDescent="0.2">
      <c r="B44" s="1"/>
      <c r="D44"/>
      <c r="G44" s="1"/>
      <c r="H44" s="36"/>
      <c r="I44" s="40"/>
      <c r="J44" s="4"/>
      <c r="K44" s="3"/>
      <c r="L44" s="3"/>
      <c r="R44" s="4"/>
      <c r="S44" s="4"/>
      <c r="T44" s="32"/>
      <c r="U44" s="37"/>
      <c r="V44" s="37"/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B45" s="1"/>
      <c r="D45"/>
      <c r="G45" s="1"/>
      <c r="H45" s="36"/>
      <c r="I45" s="40"/>
      <c r="J45" s="4"/>
      <c r="K45" s="3"/>
      <c r="L45" s="3"/>
      <c r="R45" s="4"/>
      <c r="S45" s="4"/>
      <c r="T45" s="32"/>
      <c r="U45" s="37"/>
      <c r="V45" s="37"/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B46" s="1"/>
      <c r="D46"/>
      <c r="G46" s="1"/>
      <c r="H46" s="36"/>
      <c r="I46" s="40"/>
      <c r="J46" s="4"/>
      <c r="K46" s="3"/>
      <c r="L46" s="3"/>
      <c r="R46" s="4"/>
      <c r="S46" s="4"/>
      <c r="T46" s="32"/>
      <c r="U46" s="37"/>
      <c r="V46" s="37"/>
      <c r="W46" s="33"/>
      <c r="X46" s="37"/>
      <c r="Y46" s="37"/>
      <c r="Z46" s="32"/>
      <c r="AA46" s="37"/>
      <c r="AB46" s="37"/>
      <c r="AC46" s="33"/>
      <c r="AD46" s="37"/>
      <c r="AE46" s="37"/>
    </row>
  </sheetData>
  <sheetProtection sheet="1" formatCells="0" formatColumns="0" formatRows="0"/>
  <autoFilter ref="A1:AE25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43">
      <sortCondition descending="1" ref="G1:G44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Z1:AE1"/>
    <mergeCell ref="T1:Y1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68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$68&lt;&gt;"")*(G$3:G$68=G3)*(J$3:J$68&gt;J3)*(I$3:I$68="P"))+1,IF(O3&lt;&gt;"",SUMPRODUCT((O$3:O$68&lt;&gt;"")*(P$3:P$68="")*(G$3:G$68=G3)*(J$3:J$68&gt;J3)*(I$3:I$68="P"))+SUMPRODUCT((P$3:P$68&lt;&gt;"")*(G$3:G$68=G3)*(I$3:I$68="P"))+1,IF(N3&lt;&gt;"",SUMPRODUCT((N$3:N$68&lt;&gt;"")*(G$3:G$68=G3)*(J$3:J$68&gt;J3)*(I$3:I$68="P"))+1,IF(M3="P",SUMPRODUCT((O$3:O$68&lt;&gt;"")*(P$3:P$68="")*(G$3:G$68=G3)*(I$3:I$68="P"))+SUMPRODUCT((P$3:P$68&lt;&gt;"")*(G$3:G$68=G3)*(I$3:I$68="P"))+SUMPRODUCT((N$3:N$68&lt;&gt;"")*(G$3:G$68=G3)*(I$3:I$68="P"))+SUMPRODUCT((P$3:P$68="")*(O$3:O$68="")*(N$3:N$68="")*(M$3:M$68="P")*(G$3:G$68=G3)*(J$3:J$68&gt;J3)*(I$3:I$68="P"))+IF(H3="L5",SUMPRODUCT((P$3:P$68="")*(O$3:O$68="")*(N$3:N$68="")*(M$3:M$68="P")*(G$3:G$68=G3)*(J$3:J$68&lt;J3)*(H$3:H$68&lt;&gt;H3)*(I$3:I$68="P")),-1*SUMPRODUCT((P$3:P$68="")*(O$3:O$68="")*(N$3:N$68="")*(M$3:M$68="P")*(G$3:G$68=G3)*(J$3:J$68&gt;J3)*(H$3:H$68="L5")*(I$3:I$68="P")))+1,"")))))</f>
        <v/>
      </c>
      <c r="B3" s="1" cm="1">
        <f t="array" ref="B3">IF(P3&lt;&gt;"",SUMPRODUCT((P$3:P$68&lt;&gt;"")*(G$3:G$68=G3)*(J$3:J$68&gt;J3))+1,IF(O3&lt;&gt;"",SUMPRODUCT((O$3:O$68&lt;&gt;"")*(P$3:P$68="")*(G$3:G$68=G3)*(J$3:J$68&gt;J3))+SUMPRODUCT((P$3:P$68&lt;&gt;"")*(G$3:G$68=G3))+1,IF(N3&lt;&gt;"",SUMPRODUCT((N$3:N$68&lt;&gt;"")*(G$3:G$68=G3)*(J$3:J$68&gt;J3))+1,IF(M3="P",SUMPRODUCT((O$3:O$68&lt;&gt;"")*(P$3:P$68="")*(G$3:G$68=G3))+SUMPRODUCT((P$3:P$68&lt;&gt;"")*(G$3:G$68=G3))+SUMPRODUCT((N$3:N$68&lt;&gt;"")*(G$3:G$68=G3))+SUMPRODUCT((P$3:P$68="")*(O$3:O$68="")*(N$3:N$68="")*(M$3:M$68="P")*(G$3:G$68=G3)*(J$3:J$68&gt;J3))+IF(H3="L5",SUMPRODUCT((P$3:P$68="")*(O$3:O$68="")*(N$3:N$68="")*(M$3:M$68="P")*(G$3:G$68=G3)*(J$3:J$68&lt;J3)*(H$3:H$68&lt;&gt;H3)),-1*SUMPRODUCT((P$3:P$68="")*(O$3:O$68="")*(N$3:N$68="")*(M$3:M$68="P")*(G$3:G$68=G3)*(J$3:J$68&gt;J3)*(H$3:H$68="L5")))+1,""))))</f>
        <v>1</v>
      </c>
      <c r="C3" s="35" t="s">
        <v>288</v>
      </c>
      <c r="D3" t="str">
        <f>IF(E3="","",VLOOKUP(E3,'Coaching Points'!A:B,2,0))</f>
        <v>AB</v>
      </c>
      <c r="E3" s="35" t="s">
        <v>62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92.900204610000017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MAX(T3-IF(OR(H3="N/A"),V3,0),W3-IF(OR(H3="N/A"),Y3,0),Z3-IF(OR(H3="N/A"),AB3,0),AC3-IF(OR(H3="N/A"),AE3,0))</f>
        <v>46.8</v>
      </c>
      <c r="S3" s="4">
        <f>IF(R3=T3-IF(OR(H3="N/A"),V3,0),MAX(W3-IF(OR(H3="N/A"),Y3,0),Z3-IF(OR(H3="N/A"),AB3,0),AC3-IF(OR(H3="N/A"),AE3,0)),IF(R3=W3-IF(OR(H3="N/A"),Y3,0),MAX(T3-IF(OR(H3="N/A"),V3,0),Z3-IF(OR(H3="N/A"),AB3,0),AC3-IF(OR(H3="N/A"),AE3,0)),IF(R3=Z3-IF(OR(H3="N/A"),AB3,0),MAX(T3-IF(OR(H3="N/A"),V3,0),W3-IF(OR(H3="N/A"),Y3,0),AC3-IF(OR(H3="N/A"),AE3,0)),IF(R3=AC3-IF(OR(H3="N/A"),AE3,0),MAX(T3-IF(OR(H3="N/A"),V3,0),W3-IF(OR(H3="N/A"),Y3,0),Z3-IF(OR(H3="N/A"),AB3,0)),0))))</f>
        <v>46.1</v>
      </c>
      <c r="T3" s="32">
        <v>45</v>
      </c>
      <c r="U3" s="37">
        <v>10.399999999999999</v>
      </c>
      <c r="V3" s="37">
        <v>1.4</v>
      </c>
      <c r="W3" s="33">
        <v>46.8</v>
      </c>
      <c r="X3" s="37">
        <v>10.399999999999999</v>
      </c>
      <c r="Y3" s="37">
        <v>1.4</v>
      </c>
      <c r="Z3" s="32">
        <v>46.1</v>
      </c>
      <c r="AA3" s="37">
        <v>10.399999999999999</v>
      </c>
      <c r="AB3" s="37">
        <v>1.4</v>
      </c>
      <c r="AC3" s="33">
        <v>45.6</v>
      </c>
      <c r="AD3" s="37">
        <v>10.399999999999999</v>
      </c>
      <c r="AE3" s="37">
        <v>1.4</v>
      </c>
    </row>
    <row r="4" spans="1:32" x14ac:dyDescent="0.2">
      <c r="A4" s="1" t="str" cm="1">
        <f t="array" ref="A4">IF(I4="","",IF(P4&lt;&gt;"",SUMPRODUCT((P$3:P$68&lt;&gt;"")*(G$3:G$68=G4)*(J$3:J$68&gt;J4)*(I$3:I$68="P"))+1,IF(O4&lt;&gt;"",SUMPRODUCT((O$3:O$68&lt;&gt;"")*(P$3:P$68="")*(G$3:G$68=G4)*(J$3:J$68&gt;J4)*(I$3:I$68="P"))+SUMPRODUCT((P$3:P$68&lt;&gt;"")*(G$3:G$68=G4)*(I$3:I$68="P"))+1,IF(N4&lt;&gt;"",SUMPRODUCT((N$3:N$68&lt;&gt;"")*(G$3:G$68=G4)*(J$3:J$68&gt;J4)*(I$3:I$68="P"))+1,IF(M4="P",SUMPRODUCT((O$3:O$68&lt;&gt;"")*(P$3:P$68="")*(G$3:G$68=G4)*(I$3:I$68="P"))+SUMPRODUCT((P$3:P$68&lt;&gt;"")*(G$3:G$68=G4)*(I$3:I$68="P"))+SUMPRODUCT((N$3:N$68&lt;&gt;"")*(G$3:G$68=G4)*(I$3:I$68="P"))+SUMPRODUCT((P$3:P$68="")*(O$3:O$68="")*(N$3:N$68="")*(M$3:M$68="P")*(G$3:G$68=G4)*(J$3:J$68&gt;J4)*(I$3:I$68="P"))+IF(H4="L5",SUMPRODUCT((P$3:P$68="")*(O$3:O$68="")*(N$3:N$68="")*(M$3:M$68="P")*(G$3:G$68=G4)*(J$3:J$68&lt;J4)*(H$3:H$68&lt;&gt;H4)*(I$3:I$68="P")),-1*SUMPRODUCT((P$3:P$68="")*(O$3:O$68="")*(N$3:N$68="")*(M$3:M$68="P")*(G$3:G$68=G4)*(J$3:J$68&gt;J4)*(H$3:H$68="L5")*(I$3:I$68="P")))+1,"")))))</f>
        <v/>
      </c>
      <c r="B4" s="1" cm="1">
        <f t="array" ref="B4">IF(P4&lt;&gt;"",SUMPRODUCT((P$3:P$68&lt;&gt;"")*(G$3:G$68=G4)*(J$3:J$68&gt;J4))+1,IF(O4&lt;&gt;"",SUMPRODUCT((O$3:O$68&lt;&gt;"")*(P$3:P$68="")*(G$3:G$68=G4)*(J$3:J$68&gt;J4))+SUMPRODUCT((P$3:P$68&lt;&gt;"")*(G$3:G$68=G4))+1,IF(N4&lt;&gt;"",SUMPRODUCT((N$3:N$68&lt;&gt;"")*(G$3:G$68=G4)*(J$3:J$68&gt;J4))+1,IF(M4="P",SUMPRODUCT((O$3:O$68&lt;&gt;"")*(P$3:P$68="")*(G$3:G$68=G4))+SUMPRODUCT((P$3:P$68&lt;&gt;"")*(G$3:G$68=G4))+SUMPRODUCT((N$3:N$68&lt;&gt;"")*(G$3:G$68=G4))+SUMPRODUCT((P$3:P$68="")*(O$3:O$68="")*(N$3:N$68="")*(M$3:M$68="P")*(G$3:G$68=G4)*(J$3:J$68&gt;J4))+IF(H4="L5",SUMPRODUCT((P$3:P$68="")*(O$3:O$68="")*(N$3:N$68="")*(M$3:M$68="P")*(G$3:G$68=G4)*(J$3:J$68&lt;J4)*(H$3:H$68&lt;&gt;H4)),-1*SUMPRODUCT((P$3:P$68="")*(O$3:O$68="")*(N$3:N$68="")*(M$3:M$68="P")*(G$3:G$68=G4)*(J$3:J$68&gt;J4)*(H$3:H$68="L5")))+1,""))))</f>
        <v>2</v>
      </c>
      <c r="C4" s="35" t="s">
        <v>290</v>
      </c>
      <c r="D4" t="str">
        <f>IF(E4="","",VLOOKUP(E4,'Coaching Points'!A:B,2,0))</f>
        <v>ON</v>
      </c>
      <c r="E4" s="35" t="s">
        <v>88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88.500203950000014</v>
      </c>
      <c r="K4" s="3" t="str">
        <f>IF(G4="Not Age Eligible","",IF(MAX(T4,W4,Z4,AC4)&gt;=LOOKUP(G4,'Qualifying Scores'!$A$4:$A$7,'Qualifying Scores'!$I$4:$I$7),"P",""))</f>
        <v>P</v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>P</v>
      </c>
      <c r="P4" s="36">
        <v>6</v>
      </c>
      <c r="Q4" s="1" t="str">
        <f>IF(A4&lt;5,IF(_xlfn.MAXIFS(A:A,G:G,G4)&gt;3,5-A4,_xlfn.MAXIFS(A:A,G:G,G4)+1-A4),"")</f>
        <v/>
      </c>
      <c r="R4" s="4">
        <f>MAX(T4-IF(OR(H4="N/A"),V4,0),W4-IF(OR(H4="N/A"),Y4,0),Z4-IF(OR(H4="N/A"),AB4,0),AC4-IF(OR(H4="N/A"),AE4,0))</f>
        <v>44.5</v>
      </c>
      <c r="S4" s="4">
        <f>IF(R4=T4-IF(OR(H4="N/A"),V4,0),MAX(W4-IF(OR(H4="N/A"),Y4,0),Z4-IF(OR(H4="N/A"),AB4,0),AC4-IF(OR(H4="N/A"),AE4,0)),IF(R4=W4-IF(OR(H4="N/A"),Y4,0),MAX(T4-IF(OR(H4="N/A"),V4,0),Z4-IF(OR(H4="N/A"),AB4,0),AC4-IF(OR(H4="N/A"),AE4,0)),IF(R4=Z4-IF(OR(H4="N/A"),AB4,0),MAX(T4-IF(OR(H4="N/A"),V4,0),W4-IF(OR(H4="N/A"),Y4,0),AC4-IF(OR(H4="N/A"),AE4,0)),IF(R4=AC4-IF(OR(H4="N/A"),AE4,0),MAX(T4-IF(OR(H4="N/A"),V4,0),W4-IF(OR(H4="N/A"),Y4,0),Z4-IF(OR(H4="N/A"),AB4,0)),0))))</f>
        <v>44</v>
      </c>
      <c r="T4" s="32">
        <v>44</v>
      </c>
      <c r="U4" s="37">
        <v>8.8000000000000007</v>
      </c>
      <c r="V4" s="37">
        <v>1.4</v>
      </c>
      <c r="W4" s="33">
        <v>44.5</v>
      </c>
      <c r="X4" s="37">
        <v>8.8000000000000007</v>
      </c>
      <c r="Y4" s="37">
        <v>1.4</v>
      </c>
      <c r="Z4" s="32">
        <v>39</v>
      </c>
      <c r="AA4" s="37">
        <v>6.1999999999999993</v>
      </c>
      <c r="AB4" s="37">
        <v>0.7</v>
      </c>
      <c r="AC4" s="33">
        <v>39.5</v>
      </c>
      <c r="AD4" s="37">
        <v>5.5</v>
      </c>
      <c r="AE4" s="37">
        <v>0.7</v>
      </c>
    </row>
    <row r="5" spans="1:32" x14ac:dyDescent="0.2">
      <c r="A5" s="1" t="str" cm="1">
        <f t="array" ref="A5">IF(I5="","",IF(P5&lt;&gt;"",SUMPRODUCT((P$3:P$68&lt;&gt;"")*(G$3:G$68=G5)*(J$3:J$68&gt;J5)*(I$3:I$68="P"))+1,IF(O5&lt;&gt;"",SUMPRODUCT((O$3:O$68&lt;&gt;"")*(P$3:P$68="")*(G$3:G$68=G5)*(J$3:J$68&gt;J5)*(I$3:I$68="P"))+SUMPRODUCT((P$3:P$68&lt;&gt;"")*(G$3:G$68=G5)*(I$3:I$68="P"))+1,IF(N5&lt;&gt;"",SUMPRODUCT((N$3:N$68&lt;&gt;"")*(G$3:G$68=G5)*(J$3:J$68&gt;J5)*(I$3:I$68="P"))+1,IF(M5="P",SUMPRODUCT((O$3:O$68&lt;&gt;"")*(P$3:P$68="")*(G$3:G$68=G5)*(I$3:I$68="P"))+SUMPRODUCT((P$3:P$68&lt;&gt;"")*(G$3:G$68=G5)*(I$3:I$68="P"))+SUMPRODUCT((N$3:N$68&lt;&gt;"")*(G$3:G$68=G5)*(I$3:I$68="P"))+SUMPRODUCT((P$3:P$68="")*(O$3:O$68="")*(N$3:N$68="")*(M$3:M$68="P")*(G$3:G$68=G5)*(J$3:J$68&gt;J5)*(I$3:I$68="P"))+IF(H5="L5",SUMPRODUCT((P$3:P$68="")*(O$3:O$68="")*(N$3:N$68="")*(M$3:M$68="P")*(G$3:G$68=G5)*(J$3:J$68&lt;J5)*(H$3:H$68&lt;&gt;H5)*(I$3:I$68="P")),-1*SUMPRODUCT((P$3:P$68="")*(O$3:O$68="")*(N$3:N$68="")*(M$3:M$68="P")*(G$3:G$68=G5)*(J$3:J$68&gt;J5)*(H$3:H$68="L5")*(I$3:I$68="P")))+1,"")))))</f>
        <v/>
      </c>
      <c r="B5" s="1" cm="1">
        <f t="array" ref="B5">IF(P5&lt;&gt;"",SUMPRODUCT((P$3:P$68&lt;&gt;"")*(G$3:G$68=G5)*(J$3:J$68&gt;J5))+1,IF(O5&lt;&gt;"",SUMPRODUCT((O$3:O$68&lt;&gt;"")*(P$3:P$68="")*(G$3:G$68=G5)*(J$3:J$68&gt;J5))+SUMPRODUCT((P$3:P$68&lt;&gt;"")*(G$3:G$68=G5))+1,IF(N5&lt;&gt;"",SUMPRODUCT((N$3:N$68&lt;&gt;"")*(G$3:G$68=G5)*(J$3:J$68&gt;J5))+1,IF(M5="P",SUMPRODUCT((O$3:O$68&lt;&gt;"")*(P$3:P$68="")*(G$3:G$68=G5))+SUMPRODUCT((P$3:P$68&lt;&gt;"")*(G$3:G$68=G5))+SUMPRODUCT((N$3:N$68&lt;&gt;"")*(G$3:G$68=G5))+SUMPRODUCT((P$3:P$68="")*(O$3:O$68="")*(N$3:N$68="")*(M$3:M$68="P")*(G$3:G$68=G5)*(J$3:J$68&gt;J5))+IF(H5="L5",SUMPRODUCT((P$3:P$68="")*(O$3:O$68="")*(N$3:N$68="")*(M$3:M$68="P")*(G$3:G$68=G5)*(J$3:J$68&lt;J5)*(H$3:H$68&lt;&gt;H5)),-1*SUMPRODUCT((P$3:P$68="")*(O$3:O$68="")*(N$3:N$68="")*(M$3:M$68="P")*(G$3:G$68=G5)*(J$3:J$68&gt;J5)*(H$3:H$68="L5")))+1,""))))</f>
        <v>3</v>
      </c>
      <c r="C5" s="35" t="s">
        <v>289</v>
      </c>
      <c r="D5" t="str">
        <f>IF(E5="","",VLOOKUP(E5,'Coaching Points'!A:B,2,0))</f>
        <v>AB</v>
      </c>
      <c r="E5" s="35" t="s">
        <v>56</v>
      </c>
      <c r="F5" s="34">
        <v>2008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86.500204100000005</v>
      </c>
      <c r="K5" s="3" t="str">
        <f>IF(G5="Not Age Eligible","",IF(MAX(T5,W5,Z5,AC5)&gt;=LOOKUP(G5,'Qualifying Scores'!$A$4:$A$7,'Qualifying Scores'!$I$4:$I$7),"P",""))</f>
        <v>P</v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>P</v>
      </c>
      <c r="P5" s="36">
        <v>8</v>
      </c>
      <c r="Q5" s="1" t="str">
        <f>IF(A5&lt;5,IF(_xlfn.MAXIFS(A:A,G:G,G5)&gt;3,5-A5,_xlfn.MAXIFS(A:A,G:G,G5)+1-A5),"")</f>
        <v/>
      </c>
      <c r="R5" s="4">
        <f>MAX(T5-IF(OR(H5="N/A"),V5,0),W5-IF(OR(H5="N/A"),Y5,0),Z5-IF(OR(H5="N/A"),AB5,0),AC5-IF(OR(H5="N/A"),AE5,0))</f>
        <v>45.5</v>
      </c>
      <c r="S5" s="4">
        <f>IF(R5=T5-IF(OR(H5="N/A"),V5,0),MAX(W5-IF(OR(H5="N/A"),Y5,0),Z5-IF(OR(H5="N/A"),AB5,0),AC5-IF(OR(H5="N/A"),AE5,0)),IF(R5=W5-IF(OR(H5="N/A"),Y5,0),MAX(T5-IF(OR(H5="N/A"),V5,0),Z5-IF(OR(H5="N/A"),AB5,0),AC5-IF(OR(H5="N/A"),AE5,0)),IF(R5=Z5-IF(OR(H5="N/A"),AB5,0),MAX(T5-IF(OR(H5="N/A"),V5,0),W5-IF(OR(H5="N/A"),Y5,0),AC5-IF(OR(H5="N/A"),AE5,0)),IF(R5=AC5-IF(OR(H5="N/A"),AE5,0),MAX(T5-IF(OR(H5="N/A"),V5,0),W5-IF(OR(H5="N/A"),Y5,0),Z5-IF(OR(H5="N/A"),AB5,0)),0))))</f>
        <v>41</v>
      </c>
      <c r="T5" s="32">
        <v>38.5</v>
      </c>
      <c r="U5" s="37">
        <v>7.5</v>
      </c>
      <c r="V5" s="37">
        <v>0.7</v>
      </c>
      <c r="W5" s="33">
        <v>45.5</v>
      </c>
      <c r="X5" s="37">
        <v>10.1</v>
      </c>
      <c r="Y5" s="37">
        <v>1.4</v>
      </c>
      <c r="Z5" s="32">
        <v>41</v>
      </c>
      <c r="AA5" s="37">
        <v>7.1999999999999993</v>
      </c>
      <c r="AB5" s="37">
        <v>1.4</v>
      </c>
      <c r="AC5" s="33">
        <v>38.9</v>
      </c>
      <c r="AD5" s="37">
        <v>7.3</v>
      </c>
      <c r="AE5" s="37">
        <v>0.7</v>
      </c>
    </row>
    <row r="6" spans="1:32" x14ac:dyDescent="0.2">
      <c r="A6" s="1" t="str" cm="1">
        <f t="array" ref="A6">IF(I6="","",IF(P6&lt;&gt;"",SUMPRODUCT((P$3:P$68&lt;&gt;"")*(G$3:G$68=G6)*(J$3:J$68&gt;J6)*(I$3:I$68="P"))+1,IF(O6&lt;&gt;"",SUMPRODUCT((O$3:O$68&lt;&gt;"")*(P$3:P$68="")*(G$3:G$68=G6)*(J$3:J$68&gt;J6)*(I$3:I$68="P"))+SUMPRODUCT((P$3:P$68&lt;&gt;"")*(G$3:G$68=G6)*(I$3:I$68="P"))+1,IF(N6&lt;&gt;"",SUMPRODUCT((N$3:N$68&lt;&gt;"")*(G$3:G$68=G6)*(J$3:J$68&gt;J6)*(I$3:I$68="P"))+1,IF(M6="P",SUMPRODUCT((O$3:O$68&lt;&gt;"")*(P$3:P$68="")*(G$3:G$68=G6)*(I$3:I$68="P"))+SUMPRODUCT((P$3:P$68&lt;&gt;"")*(G$3:G$68=G6)*(I$3:I$68="P"))+SUMPRODUCT((N$3:N$68&lt;&gt;"")*(G$3:G$68=G6)*(I$3:I$68="P"))+SUMPRODUCT((P$3:P$68="")*(O$3:O$68="")*(N$3:N$68="")*(M$3:M$68="P")*(G$3:G$68=G6)*(J$3:J$68&gt;J6)*(I$3:I$68="P"))+IF(H6="L5",SUMPRODUCT((P$3:P$68="")*(O$3:O$68="")*(N$3:N$68="")*(M$3:M$68="P")*(G$3:G$68=G6)*(J$3:J$68&lt;J6)*(H$3:H$68&lt;&gt;H6)*(I$3:I$68="P")),-1*SUMPRODUCT((P$3:P$68="")*(O$3:O$68="")*(N$3:N$68="")*(M$3:M$68="P")*(G$3:G$68=G6)*(J$3:J$68&gt;J6)*(H$3:H$68="L5")*(I$3:I$68="P")))+1,"")))))</f>
        <v/>
      </c>
      <c r="B6" s="1" cm="1">
        <f t="array" ref="B6">IF(P6&lt;&gt;"",SUMPRODUCT((P$3:P$68&lt;&gt;"")*(G$3:G$68=G6)*(J$3:J$68&gt;J6))+1,IF(O6&lt;&gt;"",SUMPRODUCT((O$3:O$68&lt;&gt;"")*(P$3:P$68="")*(G$3:G$68=G6)*(J$3:J$68&gt;J6))+SUMPRODUCT((P$3:P$68&lt;&gt;"")*(G$3:G$68=G6))+1,IF(N6&lt;&gt;"",SUMPRODUCT((N$3:N$68&lt;&gt;"")*(G$3:G$68=G6)*(J$3:J$68&gt;J6))+1,IF(M6="P",SUMPRODUCT((O$3:O$68&lt;&gt;"")*(P$3:P$68="")*(G$3:G$68=G6))+SUMPRODUCT((P$3:P$68&lt;&gt;"")*(G$3:G$68=G6))+SUMPRODUCT((N$3:N$68&lt;&gt;"")*(G$3:G$68=G6))+SUMPRODUCT((P$3:P$68="")*(O$3:O$68="")*(N$3:N$68="")*(M$3:M$68="P")*(G$3:G$68=G6)*(J$3:J$68&gt;J6))+IF(H6="L5",SUMPRODUCT((P$3:P$68="")*(O$3:O$68="")*(N$3:N$68="")*(M$3:M$68="P")*(G$3:G$68=G6)*(J$3:J$68&lt;J6)*(H$3:H$68&lt;&gt;H6)),-1*SUMPRODUCT((P$3:P$68="")*(O$3:O$68="")*(N$3:N$68="")*(M$3:M$68="P")*(G$3:G$68=G6)*(J$3:J$68&gt;J6)*(H$3:H$68="L5")))+1,""))))</f>
        <v>4</v>
      </c>
      <c r="C6" s="35" t="s">
        <v>291</v>
      </c>
      <c r="D6" t="str">
        <f>IF(E6="","",VLOOKUP(E6,'Coaching Points'!A:B,2,0))</f>
        <v>ON</v>
      </c>
      <c r="E6" s="35" t="s">
        <v>87</v>
      </c>
      <c r="F6" s="34">
        <v>2007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83.600204189999999</v>
      </c>
      <c r="K6" s="3" t="str">
        <f>IF(G6="Not Age Eligible","",IF(MAX(T6,W6,Z6,AC6)&gt;=LOOKUP(G6,'Qualifying Scores'!$A$4:$A$7,'Qualifying Scores'!$I$4:$I$7),"P",""))</f>
        <v/>
      </c>
      <c r="L6" s="3" t="str">
        <f>IF(G6="Not Age Eligible","",IF(MAX(U6,X6,AA6,AD6)&gt;=LOOKUP(G6,'Qualifying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/>
      </c>
      <c r="P6" s="36">
        <v>7</v>
      </c>
      <c r="Q6" s="1" t="str">
        <f>IF(A6&lt;5,IF(_xlfn.MAXIFS(A:A,G:G,G6)&gt;3,5-A6,_xlfn.MAXIFS(A:A,G:G,G6)+1-A6),"")</f>
        <v/>
      </c>
      <c r="R6" s="4">
        <f>MAX(T6-IF(OR(H6="N/A"),V6,0),W6-IF(OR(H6="N/A"),Y6,0),Z6-IF(OR(H6="N/A"),AB6,0),AC6-IF(OR(H6="N/A"),AE6,0))</f>
        <v>41.9</v>
      </c>
      <c r="S6" s="4">
        <f>IF(R6=T6-IF(OR(H6="N/A"),V6,0),MAX(W6-IF(OR(H6="N/A"),Y6,0),Z6-IF(OR(H6="N/A"),AB6,0),AC6-IF(OR(H6="N/A"),AE6,0)),IF(R6=W6-IF(OR(H6="N/A"),Y6,0),MAX(T6-IF(OR(H6="N/A"),V6,0),Z6-IF(OR(H6="N/A"),AB6,0),AC6-IF(OR(H6="N/A"),AE6,0)),IF(R6=Z6-IF(OR(H6="N/A"),AB6,0),MAX(T6-IF(OR(H6="N/A"),V6,0),W6-IF(OR(H6="N/A"),Y6,0),AC6-IF(OR(H6="N/A"),AE6,0)),IF(R6=AC6-IF(OR(H6="N/A"),AE6,0),MAX(T6-IF(OR(H6="N/A"),V6,0),W6-IF(OR(H6="N/A"),Y6,0),Z6-IF(OR(H6="N/A"),AB6,0)),0))))</f>
        <v>41.7</v>
      </c>
      <c r="T6" s="32">
        <v>40.1</v>
      </c>
      <c r="U6" s="37">
        <v>8.8000000000000007</v>
      </c>
      <c r="V6" s="37">
        <v>0.7</v>
      </c>
      <c r="W6" s="33">
        <v>41.6</v>
      </c>
      <c r="X6" s="37">
        <v>8.8999999999999986</v>
      </c>
      <c r="Y6" s="37">
        <v>0.7</v>
      </c>
      <c r="Z6" s="32">
        <v>41.9</v>
      </c>
      <c r="AA6" s="37">
        <v>8.8000000000000007</v>
      </c>
      <c r="AB6" s="37">
        <v>0.7</v>
      </c>
      <c r="AC6" s="33">
        <v>41.7</v>
      </c>
      <c r="AD6" s="37">
        <v>8.1</v>
      </c>
      <c r="AE6" s="37">
        <v>0.7</v>
      </c>
    </row>
    <row r="7" spans="1:32" x14ac:dyDescent="0.2">
      <c r="A7" s="1" t="str" cm="1">
        <f t="array" ref="A7">IF(I7="","",IF(P7&lt;&gt;"",SUMPRODUCT((P$3:P$68&lt;&gt;"")*(G$3:G$68=G7)*(J$3:J$68&gt;J7)*(I$3:I$68="P"))+1,IF(O7&lt;&gt;"",SUMPRODUCT((O$3:O$68&lt;&gt;"")*(P$3:P$68="")*(G$3:G$68=G7)*(J$3:J$68&gt;J7)*(I$3:I$68="P"))+SUMPRODUCT((P$3:P$68&lt;&gt;"")*(G$3:G$68=G7)*(I$3:I$68="P"))+1,IF(N7&lt;&gt;"",SUMPRODUCT((N$3:N$68&lt;&gt;"")*(G$3:G$68=G7)*(J$3:J$68&gt;J7)*(I$3:I$68="P"))+1,IF(M7="P",SUMPRODUCT((O$3:O$68&lt;&gt;"")*(P$3:P$68="")*(G$3:G$68=G7)*(I$3:I$68="P"))+SUMPRODUCT((P$3:P$68&lt;&gt;"")*(G$3:G$68=G7)*(I$3:I$68="P"))+SUMPRODUCT((N$3:N$68&lt;&gt;"")*(G$3:G$68=G7)*(I$3:I$68="P"))+SUMPRODUCT((P$3:P$68="")*(O$3:O$68="")*(N$3:N$68="")*(M$3:M$68="P")*(G$3:G$68=G7)*(J$3:J$68&gt;J7)*(I$3:I$68="P"))+IF(H7="L5",SUMPRODUCT((P$3:P$68="")*(O$3:O$68="")*(N$3:N$68="")*(M$3:M$68="P")*(G$3:G$68=G7)*(J$3:J$68&lt;J7)*(H$3:H$68&lt;&gt;H7)*(I$3:I$68="P")),-1*SUMPRODUCT((P$3:P$68="")*(O$3:O$68="")*(N$3:N$68="")*(M$3:M$68="P")*(G$3:G$68=G7)*(J$3:J$68&gt;J7)*(H$3:H$68="L5")*(I$3:I$68="P")))+1,"")))))</f>
        <v/>
      </c>
      <c r="B7" s="1" cm="1">
        <f t="array" ref="B7">IF(P7&lt;&gt;"",SUMPRODUCT((P$3:P$68&lt;&gt;"")*(G$3:G$68=G7)*(J$3:J$68&gt;J7))+1,IF(O7&lt;&gt;"",SUMPRODUCT((O$3:O$68&lt;&gt;"")*(P$3:P$68="")*(G$3:G$68=G7)*(J$3:J$68&gt;J7))+SUMPRODUCT((P$3:P$68&lt;&gt;"")*(G$3:G$68=G7))+1,IF(N7&lt;&gt;"",SUMPRODUCT((N$3:N$68&lt;&gt;"")*(G$3:G$68=G7)*(J$3:J$68&gt;J7))+1,IF(M7="P",SUMPRODUCT((O$3:O$68&lt;&gt;"")*(P$3:P$68="")*(G$3:G$68=G7))+SUMPRODUCT((P$3:P$68&lt;&gt;"")*(G$3:G$68=G7))+SUMPRODUCT((N$3:N$68&lt;&gt;"")*(G$3:G$68=G7))+SUMPRODUCT((P$3:P$68="")*(O$3:O$68="")*(N$3:N$68="")*(M$3:M$68="P")*(G$3:G$68=G7)*(J$3:J$68&gt;J7))+IF(H7="L5",SUMPRODUCT((P$3:P$68="")*(O$3:O$68="")*(N$3:N$68="")*(M$3:M$68="P")*(G$3:G$68=G7)*(J$3:J$68&lt;J7)*(H$3:H$68&lt;&gt;H7)),-1*SUMPRODUCT((P$3:P$68="")*(O$3:O$68="")*(N$3:N$68="")*(M$3:M$68="P")*(G$3:G$68=G7)*(J$3:J$68&gt;J7)*(H$3:H$68="L5")))+1,""))))</f>
        <v>5</v>
      </c>
      <c r="C7" s="35" t="s">
        <v>301</v>
      </c>
      <c r="D7" t="str">
        <f>IF(E7="","",VLOOKUP(E7,'Coaching Points'!A:B,2,0))</f>
        <v>ON</v>
      </c>
      <c r="E7" s="35" t="s">
        <v>45</v>
      </c>
      <c r="F7" s="34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213</v>
      </c>
      <c r="I7" s="40"/>
      <c r="J7" s="4">
        <f>R7+S7+IF(OR(H7="Junior",H7="Senior"),0.0002,IF(OR(H7="L7",H7="L6"),0.0001,0))+MAX(Z7,AC7)*0.0000001</f>
        <v>81.700104239999987</v>
      </c>
      <c r="K7" s="3" t="str">
        <f>IF(G7="Not Age Eligible","",IF(MAX(T7,W7,Z7,AC7)&gt;=LOOKUP(G7,'Qualifying Scores'!$A$4:$A$7,'Qualifying Scores'!$I$4:$I$7),"P",""))</f>
        <v/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/>
      </c>
      <c r="O7" s="36">
        <v>1</v>
      </c>
      <c r="Q7" s="1" t="str">
        <f>IF(A7&lt;5,IF(_xlfn.MAXIFS(A:A,G:G,G7)&gt;3,5-A7,_xlfn.MAXIFS(A:A,G:G,G7)+1-A7),"")</f>
        <v/>
      </c>
      <c r="R7" s="4">
        <f>MAX(T7-IF(OR(H7="N/A"),V7,0),W7-IF(OR(H7="N/A"),Y7,0),Z7-IF(OR(H7="N/A"),AB7,0),AC7-IF(OR(H7="N/A"),AE7,0))</f>
        <v>42.4</v>
      </c>
      <c r="S7" s="4">
        <f>IF(R7=T7-IF(OR(H7="N/A"),V7,0),MAX(W7-IF(OR(H7="N/A"),Y7,0),Z7-IF(OR(H7="N/A"),AB7,0),AC7-IF(OR(H7="N/A"),AE7,0)),IF(R7=W7-IF(OR(H7="N/A"),Y7,0),MAX(T7-IF(OR(H7="N/A"),V7,0),Z7-IF(OR(H7="N/A"),AB7,0),AC7-IF(OR(H7="N/A"),AE7,0)),IF(R7=Z7-IF(OR(H7="N/A"),AB7,0),MAX(T7-IF(OR(H7="N/A"),V7,0),W7-IF(OR(H7="N/A"),Y7,0),AC7-IF(OR(H7="N/A"),AE7,0)),IF(R7=AC7-IF(OR(H7="N/A"),AE7,0),MAX(T7-IF(OR(H7="N/A"),V7,0),W7-IF(OR(H7="N/A"),Y7,0),Z7-IF(OR(H7="N/A"),AB7,0)),0))))</f>
        <v>39.299999999999997</v>
      </c>
      <c r="T7" s="32">
        <v>38.6</v>
      </c>
      <c r="U7" s="37">
        <v>8</v>
      </c>
      <c r="V7" s="37">
        <v>0</v>
      </c>
      <c r="W7" s="33">
        <v>39.299999999999997</v>
      </c>
      <c r="X7" s="37">
        <v>8.6999999999999993</v>
      </c>
      <c r="Y7" s="37">
        <v>0</v>
      </c>
      <c r="Z7" s="32">
        <v>38.4</v>
      </c>
      <c r="AA7" s="37">
        <v>9.3999999999999986</v>
      </c>
      <c r="AB7" s="37">
        <v>0</v>
      </c>
      <c r="AC7" s="33">
        <v>42.4</v>
      </c>
      <c r="AD7" s="37">
        <v>9.3999999999999986</v>
      </c>
      <c r="AE7" s="37">
        <v>0</v>
      </c>
    </row>
    <row r="8" spans="1:32" x14ac:dyDescent="0.2">
      <c r="A8" s="1" t="str" cm="1">
        <f t="array" ref="A8">IF(I8="","",IF(P8&lt;&gt;"",SUMPRODUCT((P$3:P$68&lt;&gt;"")*(G$3:G$68=G8)*(J$3:J$68&gt;J8)*(I$3:I$68="P"))+1,IF(O8&lt;&gt;"",SUMPRODUCT((O$3:O$68&lt;&gt;"")*(P$3:P$68="")*(G$3:G$68=G8)*(J$3:J$68&gt;J8)*(I$3:I$68="P"))+SUMPRODUCT((P$3:P$68&lt;&gt;"")*(G$3:G$68=G8)*(I$3:I$68="P"))+1,IF(N8&lt;&gt;"",SUMPRODUCT((N$3:N$68&lt;&gt;"")*(G$3:G$68=G8)*(J$3:J$68&gt;J8)*(I$3:I$68="P"))+1,IF(M8="P",SUMPRODUCT((O$3:O$68&lt;&gt;"")*(P$3:P$68="")*(G$3:G$68=G8)*(I$3:I$68="P"))+SUMPRODUCT((P$3:P$68&lt;&gt;"")*(G$3:G$68=G8)*(I$3:I$68="P"))+SUMPRODUCT((N$3:N$68&lt;&gt;"")*(G$3:G$68=G8)*(I$3:I$68="P"))+SUMPRODUCT((P$3:P$68="")*(O$3:O$68="")*(N$3:N$68="")*(M$3:M$68="P")*(G$3:G$68=G8)*(J$3:J$68&gt;J8)*(I$3:I$68="P"))+IF(H8="L5",SUMPRODUCT((P$3:P$68="")*(O$3:O$68="")*(N$3:N$68="")*(M$3:M$68="P")*(G$3:G$68=G8)*(J$3:J$68&lt;J8)*(H$3:H$68&lt;&gt;H8)*(I$3:I$68="P")),-1*SUMPRODUCT((P$3:P$68="")*(O$3:O$68="")*(N$3:N$68="")*(M$3:M$68="P")*(G$3:G$68=G8)*(J$3:J$68&gt;J8)*(H$3:H$68="L5")*(I$3:I$68="P")))+1,"")))))</f>
        <v/>
      </c>
      <c r="B8" s="1" cm="1">
        <f t="array" ref="B8">IF(P8&lt;&gt;"",SUMPRODUCT((P$3:P$68&lt;&gt;"")*(G$3:G$68=G8)*(J$3:J$68&gt;J8))+1,IF(O8&lt;&gt;"",SUMPRODUCT((O$3:O$68&lt;&gt;"")*(P$3:P$68="")*(G$3:G$68=G8)*(J$3:J$68&gt;J8))+SUMPRODUCT((P$3:P$68&lt;&gt;"")*(G$3:G$68=G8))+1,IF(N8&lt;&gt;"",SUMPRODUCT((N$3:N$68&lt;&gt;"")*(G$3:G$68=G8)*(J$3:J$68&gt;J8))+1,IF(M8="P",SUMPRODUCT((O$3:O$68&lt;&gt;"")*(P$3:P$68="")*(G$3:G$68=G8))+SUMPRODUCT((P$3:P$68&lt;&gt;"")*(G$3:G$68=G8))+SUMPRODUCT((N$3:N$68&lt;&gt;"")*(G$3:G$68=G8))+SUMPRODUCT((P$3:P$68="")*(O$3:O$68="")*(N$3:N$68="")*(M$3:M$68="P")*(G$3:G$68=G8)*(J$3:J$68&gt;J8))+IF(H8="L5",SUMPRODUCT((P$3:P$68="")*(O$3:O$68="")*(N$3:N$68="")*(M$3:M$68="P")*(G$3:G$68=G8)*(J$3:J$68&lt;J8)*(H$3:H$68&lt;&gt;H8)),-1*SUMPRODUCT((P$3:P$68="")*(O$3:O$68="")*(N$3:N$68="")*(M$3:M$68="P")*(G$3:G$68=G8)*(J$3:J$68&gt;J8)*(H$3:H$68="L5")))+1,""))))</f>
        <v>6</v>
      </c>
      <c r="C8" s="35" t="s">
        <v>293</v>
      </c>
      <c r="D8" t="str">
        <f>IF(E8="","",VLOOKUP(E8,'Coaching Points'!A:B,2,0))</f>
        <v>AB</v>
      </c>
      <c r="E8" s="35" t="s">
        <v>61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/>
      <c r="J8" s="4">
        <f>R8+S8+IF(OR(H8="Junior",H8="Senior"),0.0002,IF(OR(H8="L7",H8="L6"),0.0001,0))+MAX(Z8,AC8)*0.0000001</f>
        <v>33.800199999999997</v>
      </c>
      <c r="K8" s="3" t="str">
        <f>IF(G8="Not Age Eligible","",IF(MAX(T8,W8,Z8,AC8)&gt;=LOOKUP(G8,'Qualifying Scores'!$A$4:$A$7,'Qualifying Scores'!$I$4:$I$7),"P",""))</f>
        <v/>
      </c>
      <c r="L8" s="3" t="str">
        <f>IF(G8="Not Age Eligible","",IF(MAX(U8,X8,AA8,AD8)&gt;=LOOKUP(G8,'Qualifying Scores'!$A$10:$A$13,'Qualifying Scores'!$I$10:$I$13),"P",""))</f>
        <v/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/>
      </c>
      <c r="O8" s="36">
        <v>2</v>
      </c>
      <c r="Q8" s="1" t="str">
        <f>IF(A8&lt;5,IF(_xlfn.MAXIFS(A:A,G:G,G8)&gt;3,5-A8,_xlfn.MAXIFS(A:A,G:G,G8)+1-A8),"")</f>
        <v/>
      </c>
      <c r="R8" s="4">
        <f>MAX(T8-IF(OR(H8="N/A"),V8,0),W8-IF(OR(H8="N/A"),Y8,0),Z8-IF(OR(H8="N/A"),AB8,0),AC8-IF(OR(H8="N/A"),AE8,0))</f>
        <v>33.799999999999997</v>
      </c>
      <c r="S8" s="4">
        <f>IF(R8=T8-IF(OR(H8="N/A"),V8,0),MAX(W8-IF(OR(H8="N/A"),Y8,0),Z8-IF(OR(H8="N/A"),AB8,0),AC8-IF(OR(H8="N/A"),AE8,0)),IF(R8=W8-IF(OR(H8="N/A"),Y8,0),MAX(T8-IF(OR(H8="N/A"),V8,0),Z8-IF(OR(H8="N/A"),AB8,0),AC8-IF(OR(H8="N/A"),AE8,0)),IF(R8=Z8-IF(OR(H8="N/A"),AB8,0),MAX(T8-IF(OR(H8="N/A"),V8,0),W8-IF(OR(H8="N/A"),Y8,0),AC8-IF(OR(H8="N/A"),AE8,0)),IF(R8=AC8-IF(OR(H8="N/A"),AE8,0),MAX(T8-IF(OR(H8="N/A"),V8,0),W8-IF(OR(H8="N/A"),Y8,0),Z8-IF(OR(H8="N/A"),AB8,0)),0))))</f>
        <v>0</v>
      </c>
      <c r="T8" s="32">
        <v>33.799999999999997</v>
      </c>
      <c r="U8" s="37">
        <v>6.6</v>
      </c>
      <c r="V8" s="37">
        <v>0.7</v>
      </c>
      <c r="W8" s="33"/>
      <c r="X8" s="37"/>
      <c r="Y8" s="37"/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$68&lt;&gt;"")*(G$3:G$68=G9)*(J$3:J$68&gt;J9)*(I$3:I$68="P"))+1,IF(O9&lt;&gt;"",SUMPRODUCT((O$3:O$68&lt;&gt;"")*(P$3:P$68="")*(G$3:G$68=G9)*(J$3:J$68&gt;J9)*(I$3:I$68="P"))+SUMPRODUCT((P$3:P$68&lt;&gt;"")*(G$3:G$68=G9)*(I$3:I$68="P"))+1,IF(N9&lt;&gt;"",SUMPRODUCT((N$3:N$68&lt;&gt;"")*(G$3:G$68=G9)*(J$3:J$68&gt;J9)*(I$3:I$68="P"))+1,IF(M9="P",SUMPRODUCT((O$3:O$68&lt;&gt;"")*(P$3:P$68="")*(G$3:G$68=G9)*(I$3:I$68="P"))+SUMPRODUCT((P$3:P$68&lt;&gt;"")*(G$3:G$68=G9)*(I$3:I$68="P"))+SUMPRODUCT((N$3:N$68&lt;&gt;"")*(G$3:G$68=G9)*(I$3:I$68="P"))+SUMPRODUCT((P$3:P$68="")*(O$3:O$68="")*(N$3:N$68="")*(M$3:M$68="P")*(G$3:G$68=G9)*(J$3:J$68&gt;J9)*(I$3:I$68="P"))+IF(H9="L5",SUMPRODUCT((P$3:P$68="")*(O$3:O$68="")*(N$3:N$68="")*(M$3:M$68="P")*(G$3:G$68=G9)*(J$3:J$68&lt;J9)*(H$3:H$68&lt;&gt;H9)*(I$3:I$68="P")),-1*SUMPRODUCT((P$3:P$68="")*(O$3:O$68="")*(N$3:N$68="")*(M$3:M$68="P")*(G$3:G$68=G9)*(J$3:J$68&gt;J9)*(H$3:H$68="L5")*(I$3:I$68="P")))+1,"")))))</f>
        <v/>
      </c>
      <c r="B9" s="1" t="str" cm="1">
        <f t="array" ref="B9">IF(P9&lt;&gt;"",SUMPRODUCT((P$3:P$68&lt;&gt;"")*(G$3:G$68=G9)*(J$3:J$68&gt;J9))+1,IF(O9&lt;&gt;"",SUMPRODUCT((O$3:O$68&lt;&gt;"")*(P$3:P$68="")*(G$3:G$68=G9)*(J$3:J$68&gt;J9))+SUMPRODUCT((P$3:P$68&lt;&gt;"")*(G$3:G$68=G9))+1,IF(N9&lt;&gt;"",SUMPRODUCT((N$3:N$68&lt;&gt;"")*(G$3:G$68=G9)*(J$3:J$68&gt;J9))+1,IF(M9="P",SUMPRODUCT((O$3:O$68&lt;&gt;"")*(P$3:P$68="")*(G$3:G$68=G9))+SUMPRODUCT((P$3:P$68&lt;&gt;"")*(G$3:G$68=G9))+SUMPRODUCT((N$3:N$68&lt;&gt;"")*(G$3:G$68=G9))+SUMPRODUCT((P$3:P$68="")*(O$3:O$68="")*(N$3:N$68="")*(M$3:M$68="P")*(G$3:G$68=G9)*(J$3:J$68&gt;J9))+IF(H9="L5",SUMPRODUCT((P$3:P$68="")*(O$3:O$68="")*(N$3:N$68="")*(M$3:M$68="P")*(G$3:G$68=G9)*(J$3:J$68&lt;J9)*(H$3:H$68&lt;&gt;H9)),-1*SUMPRODUCT((P$3:P$68="")*(O$3:O$68="")*(N$3:N$68="")*(M$3:M$68="P")*(G$3:G$68=G9)*(J$3:J$68&gt;J9)*(H$3:H$68="L5")))+1,""))))</f>
        <v/>
      </c>
      <c r="C9" s="35" t="s">
        <v>300</v>
      </c>
      <c r="D9" t="str">
        <f>IF(E9="","",VLOOKUP(E9,'Coaching Points'!A:B,2,0))</f>
        <v>QC</v>
      </c>
      <c r="E9" s="35" t="s">
        <v>99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R9+S9+IF(OR(H9="Junior",H9="Senior"),0.0002,IF(OR(H9="L7",H9="L6"),0.0001,0))+MAX(Z9,AC9)*0.0000001</f>
        <v>84.700104239999987</v>
      </c>
      <c r="K9" s="3" t="str">
        <f>IF(G9="Not Age Eligible","",IF(MAX(T9,W9,Z9,AC9)&gt;=LOOKUP(G9,'Qualifying Scores'!$A$4:$A$7,'Qualifying Scores'!$I$4:$I$7),"P",""))</f>
        <v/>
      </c>
      <c r="L9" s="3" t="str">
        <f>IF(G9="Not Age Eligible","",IF(MAX(U9,X9,AA9,AD9)&gt;=LOOKUP(G9,'Qualifying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/>
      </c>
      <c r="Q9" s="1" t="str">
        <f>IF(A9&lt;5,IF(_xlfn.MAXIFS(A:A,G:G,G9)&gt;3,5-A9,_xlfn.MAXIFS(A:A,G:G,G9)+1-A9),"")</f>
        <v/>
      </c>
      <c r="R9" s="4">
        <f>MAX(T9-IF(OR(H9="N/A"),V9,0),W9-IF(OR(H9="N/A"),Y9,0),Z9-IF(OR(H9="N/A"),AB9,0),AC9-IF(OR(H9="N/A"),AE9,0))</f>
        <v>42.4</v>
      </c>
      <c r="S9" s="4">
        <f>IF(R9=T9-IF(OR(H9="N/A"),V9,0),MAX(W9-IF(OR(H9="N/A"),Y9,0),Z9-IF(OR(H9="N/A"),AB9,0),AC9-IF(OR(H9="N/A"),AE9,0)),IF(R9=W9-IF(OR(H9="N/A"),Y9,0),MAX(T9-IF(OR(H9="N/A"),V9,0),Z9-IF(OR(H9="N/A"),AB9,0),AC9-IF(OR(H9="N/A"),AE9,0)),IF(R9=Z9-IF(OR(H9="N/A"),AB9,0),MAX(T9-IF(OR(H9="N/A"),V9,0),W9-IF(OR(H9="N/A"),Y9,0),AC9-IF(OR(H9="N/A"),AE9,0)),IF(R9=AC9-IF(OR(H9="N/A"),AE9,0),MAX(T9-IF(OR(H9="N/A"),V9,0),W9-IF(OR(H9="N/A"),Y9,0),Z9-IF(OR(H9="N/A"),AB9,0)),0))))</f>
        <v>42.3</v>
      </c>
      <c r="T9" s="32">
        <v>41.9</v>
      </c>
      <c r="U9" s="37">
        <v>8</v>
      </c>
      <c r="V9" s="37">
        <v>0</v>
      </c>
      <c r="W9" s="33">
        <v>40.299999999999997</v>
      </c>
      <c r="X9" s="37">
        <v>8.6999999999999993</v>
      </c>
      <c r="Y9" s="37">
        <v>0</v>
      </c>
      <c r="Z9" s="32">
        <v>42.3</v>
      </c>
      <c r="AA9" s="37">
        <v>8.6999999999999993</v>
      </c>
      <c r="AB9" s="37">
        <v>0</v>
      </c>
      <c r="AC9" s="33">
        <v>42.4</v>
      </c>
      <c r="AD9" s="37">
        <v>9.3999999999999986</v>
      </c>
      <c r="AE9" s="37">
        <v>0</v>
      </c>
    </row>
    <row r="10" spans="1:32" x14ac:dyDescent="0.2">
      <c r="A10" s="1" t="str" cm="1">
        <f t="array" ref="A10">IF(I10="","",IF(P10&lt;&gt;"",SUMPRODUCT((P$3:P$68&lt;&gt;"")*(G$3:G$68=G10)*(J$3:J$68&gt;J10)*(I$3:I$68="P"))+1,IF(O10&lt;&gt;"",SUMPRODUCT((O$3:O$68&lt;&gt;"")*(P$3:P$68="")*(G$3:G$68=G10)*(J$3:J$68&gt;J10)*(I$3:I$68="P"))+SUMPRODUCT((P$3:P$68&lt;&gt;"")*(G$3:G$68=G10)*(I$3:I$68="P"))+1,IF(N10&lt;&gt;"",SUMPRODUCT((N$3:N$68&lt;&gt;"")*(G$3:G$68=G10)*(J$3:J$68&gt;J10)*(I$3:I$68="P"))+1,IF(M10="P",SUMPRODUCT((O$3:O$68&lt;&gt;"")*(P$3:P$68="")*(G$3:G$68=G10)*(I$3:I$68="P"))+SUMPRODUCT((P$3:P$68&lt;&gt;"")*(G$3:G$68=G10)*(I$3:I$68="P"))+SUMPRODUCT((N$3:N$68&lt;&gt;"")*(G$3:G$68=G10)*(I$3:I$68="P"))+SUMPRODUCT((P$3:P$68="")*(O$3:O$68="")*(N$3:N$68="")*(M$3:M$68="P")*(G$3:G$68=G10)*(J$3:J$68&gt;J10)*(I$3:I$68="P"))+IF(H10="L5",SUMPRODUCT((P$3:P$68="")*(O$3:O$68="")*(N$3:N$68="")*(M$3:M$68="P")*(G$3:G$68=G10)*(J$3:J$68&lt;J10)*(H$3:H$68&lt;&gt;H10)*(I$3:I$68="P")),-1*SUMPRODUCT((P$3:P$68="")*(O$3:O$68="")*(N$3:N$68="")*(M$3:M$68="P")*(G$3:G$68=G10)*(J$3:J$68&gt;J10)*(H$3:H$68="L5")*(I$3:I$68="P")))+1,"")))))</f>
        <v/>
      </c>
      <c r="B10" s="1" t="str" cm="1">
        <f t="array" ref="B10">IF(P10&lt;&gt;"",SUMPRODUCT((P$3:P$68&lt;&gt;"")*(G$3:G$68=G10)*(J$3:J$68&gt;J10))+1,IF(O10&lt;&gt;"",SUMPRODUCT((O$3:O$68&lt;&gt;"")*(P$3:P$68="")*(G$3:G$68=G10)*(J$3:J$68&gt;J10))+SUMPRODUCT((P$3:P$68&lt;&gt;"")*(G$3:G$68=G10))+1,IF(N10&lt;&gt;"",SUMPRODUCT((N$3:N$68&lt;&gt;"")*(G$3:G$68=G10)*(J$3:J$68&gt;J10))+1,IF(M10="P",SUMPRODUCT((O$3:O$68&lt;&gt;"")*(P$3:P$68="")*(G$3:G$68=G10))+SUMPRODUCT((P$3:P$68&lt;&gt;"")*(G$3:G$68=G10))+SUMPRODUCT((N$3:N$68&lt;&gt;"")*(G$3:G$68=G10))+SUMPRODUCT((P$3:P$68="")*(O$3:O$68="")*(N$3:N$68="")*(M$3:M$68="P")*(G$3:G$68=G10)*(J$3:J$68&gt;J10))+IF(H10="L5",SUMPRODUCT((P$3:P$68="")*(O$3:O$68="")*(N$3:N$68="")*(M$3:M$68="P")*(G$3:G$68=G10)*(J$3:J$68&lt;J10)*(H$3:H$68&lt;&gt;H10)),-1*SUMPRODUCT((P$3:P$68="")*(O$3:O$68="")*(N$3:N$68="")*(M$3:M$68="P")*(G$3:G$68=G10)*(J$3:J$68&gt;J10)*(H$3:H$68="L5")))+1,""))))</f>
        <v/>
      </c>
      <c r="C10" s="35" t="s">
        <v>298</v>
      </c>
      <c r="D10" t="str">
        <f>IF(E10="","",VLOOKUP(E10,'Coaching Points'!A:B,2,0))</f>
        <v>QC</v>
      </c>
      <c r="E10" s="35" t="s">
        <v>134</v>
      </c>
      <c r="F10" s="34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81.800104140000002</v>
      </c>
      <c r="K10" s="3" t="str">
        <f>IF(G10="Not Age Eligible","",IF(MAX(T10,W10,Z10,AC10)&gt;=LOOKUP(G10,'Qualifying Scores'!$A$4:$A$7,'Qualifying Scores'!$I$4:$I$7),"P",""))</f>
        <v/>
      </c>
      <c r="L10" s="3" t="str">
        <f>IF(G10="Not Age Eligible","",IF(MAX(U10,X10,AA10,AD10)&gt;=LOOKUP(G10,'Qualifying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Q10" s="1" t="str">
        <f>IF(A10&lt;5,IF(_xlfn.MAXIFS(A:A,G:G,G10)&gt;3,5-A10,_xlfn.MAXIFS(A:A,G:G,G10)+1-A10),"")</f>
        <v/>
      </c>
      <c r="R10" s="4">
        <f>MAX(T10-IF(OR(H10="N/A"),V10,0),W10-IF(OR(H10="N/A"),Y10,0),Z10-IF(OR(H10="N/A"),AB10,0),AC10-IF(OR(H10="N/A"),AE10,0))</f>
        <v>41.4</v>
      </c>
      <c r="S10" s="4">
        <f>IF(R10=T10-IF(OR(H10="N/A"),V10,0),MAX(W10-IF(OR(H10="N/A"),Y10,0),Z10-IF(OR(H10="N/A"),AB10,0),AC10-IF(OR(H10="N/A"),AE10,0)),IF(R10=W10-IF(OR(H10="N/A"),Y10,0),MAX(T10-IF(OR(H10="N/A"),V10,0),Z10-IF(OR(H10="N/A"),AB10,0),AC10-IF(OR(H10="N/A"),AE10,0)),IF(R10=Z10-IF(OR(H10="N/A"),AB10,0),MAX(T10-IF(OR(H10="N/A"),V10,0),W10-IF(OR(H10="N/A"),Y10,0),AC10-IF(OR(H10="N/A"),AE10,0)),IF(R10=AC10-IF(OR(H10="N/A"),AE10,0),MAX(T10-IF(OR(H10="N/A"),V10,0),W10-IF(OR(H10="N/A"),Y10,0),Z10-IF(OR(H10="N/A"),AB10,0)),0))))</f>
        <v>40.4</v>
      </c>
      <c r="T10" s="32">
        <v>40.299999999999997</v>
      </c>
      <c r="U10" s="37">
        <v>8</v>
      </c>
      <c r="V10" s="37">
        <v>0</v>
      </c>
      <c r="W10" s="33">
        <v>40.4</v>
      </c>
      <c r="X10" s="37">
        <v>8.6999999999999993</v>
      </c>
      <c r="Y10" s="37">
        <v>0</v>
      </c>
      <c r="Z10" s="32">
        <v>41.4</v>
      </c>
      <c r="AA10" s="37">
        <v>8</v>
      </c>
      <c r="AB10" s="37">
        <v>0</v>
      </c>
      <c r="AC10" s="33">
        <v>32.299999999999997</v>
      </c>
      <c r="AD10" s="37">
        <v>4.5999999999999996</v>
      </c>
      <c r="AE10" s="37">
        <v>0</v>
      </c>
    </row>
    <row r="11" spans="1:32" x14ac:dyDescent="0.2">
      <c r="A11" s="1" t="str" cm="1">
        <f t="array" ref="A11">IF(I11="","",IF(P11&lt;&gt;"",SUMPRODUCT((P$3:P$68&lt;&gt;"")*(G$3:G$68=G11)*(J$3:J$68&gt;J11)*(I$3:I$68="P"))+1,IF(O11&lt;&gt;"",SUMPRODUCT((O$3:O$68&lt;&gt;"")*(P$3:P$68="")*(G$3:G$68=G11)*(J$3:J$68&gt;J11)*(I$3:I$68="P"))+SUMPRODUCT((P$3:P$68&lt;&gt;"")*(G$3:G$68=G11)*(I$3:I$68="P"))+1,IF(N11&lt;&gt;"",SUMPRODUCT((N$3:N$68&lt;&gt;"")*(G$3:G$68=G11)*(J$3:J$68&gt;J11)*(I$3:I$68="P"))+1,IF(M11="P",SUMPRODUCT((O$3:O$68&lt;&gt;"")*(P$3:P$68="")*(G$3:G$68=G11)*(I$3:I$68="P"))+SUMPRODUCT((P$3:P$68&lt;&gt;"")*(G$3:G$68=G11)*(I$3:I$68="P"))+SUMPRODUCT((N$3:N$68&lt;&gt;"")*(G$3:G$68=G11)*(I$3:I$68="P"))+SUMPRODUCT((P$3:P$68="")*(O$3:O$68="")*(N$3:N$68="")*(M$3:M$68="P")*(G$3:G$68=G11)*(J$3:J$68&gt;J11)*(I$3:I$68="P"))+IF(H11="L5",SUMPRODUCT((P$3:P$68="")*(O$3:O$68="")*(N$3:N$68="")*(M$3:M$68="P")*(G$3:G$68=G11)*(J$3:J$68&lt;J11)*(H$3:H$68&lt;&gt;H11)*(I$3:I$68="P")),-1*SUMPRODUCT((P$3:P$68="")*(O$3:O$68="")*(N$3:N$68="")*(M$3:M$68="P")*(G$3:G$68=G11)*(J$3:J$68&gt;J11)*(H$3:H$68="L5")*(I$3:I$68="P")))+1,"")))))</f>
        <v/>
      </c>
      <c r="B11" s="1" t="str" cm="1">
        <f t="array" ref="B11">IF(P11&lt;&gt;"",SUMPRODUCT((P$3:P$68&lt;&gt;"")*(G$3:G$68=G11)*(J$3:J$68&gt;J11))+1,IF(O11&lt;&gt;"",SUMPRODUCT((O$3:O$68&lt;&gt;"")*(P$3:P$68="")*(G$3:G$68=G11)*(J$3:J$68&gt;J11))+SUMPRODUCT((P$3:P$68&lt;&gt;"")*(G$3:G$68=G11))+1,IF(N11&lt;&gt;"",SUMPRODUCT((N$3:N$68&lt;&gt;"")*(G$3:G$68=G11)*(J$3:J$68&gt;J11))+1,IF(M11="P",SUMPRODUCT((O$3:O$68&lt;&gt;"")*(P$3:P$68="")*(G$3:G$68=G11))+SUMPRODUCT((P$3:P$68&lt;&gt;"")*(G$3:G$68=G11))+SUMPRODUCT((N$3:N$68&lt;&gt;"")*(G$3:G$68=G11))+SUMPRODUCT((P$3:P$68="")*(O$3:O$68="")*(N$3:N$68="")*(M$3:M$68="P")*(G$3:G$68=G11)*(J$3:J$68&gt;J11))+IF(H11="L5",SUMPRODUCT((P$3:P$68="")*(O$3:O$68="")*(N$3:N$68="")*(M$3:M$68="P")*(G$3:G$68=G11)*(J$3:J$68&lt;J11)*(H$3:H$68&lt;&gt;H11)),-1*SUMPRODUCT((P$3:P$68="")*(O$3:O$68="")*(N$3:N$68="")*(M$3:M$68="P")*(G$3:G$68=G11)*(J$3:J$68&gt;J11)*(H$3:H$68="L5")))+1,""))))</f>
        <v/>
      </c>
      <c r="C11" s="35" t="s">
        <v>472</v>
      </c>
      <c r="D11" t="str">
        <f>IF(E11="","",VLOOKUP(E11,'Coaching Points'!A:B,2,0))</f>
        <v>AB</v>
      </c>
      <c r="E11" s="35" t="s">
        <v>56</v>
      </c>
      <c r="F11" s="34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81.70020421000001</v>
      </c>
      <c r="K11" s="3" t="str">
        <f>IF(G11="Not Age Eligible","",IF(MAX(T11,W11,Z11,AC11)&gt;=LOOKUP(G11,'Qualifying Scores'!$A$4:$A$7,'Qualifying Scores'!$I$4:$I$7),"P",""))</f>
        <v/>
      </c>
      <c r="L11" s="3" t="str">
        <f>IF(G11="Not Age Eligible","",IF(MAX(U11,X11,AA11,AD11)&gt;=LOOKUP(G11,'Qualifying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/>
      </c>
      <c r="Q11" s="1" t="str">
        <f>IF(A11&lt;5,IF(_xlfn.MAXIFS(A:A,G:G,G11)&gt;3,5-A11,_xlfn.MAXIFS(A:A,G:G,G11)+1-A11),"")</f>
        <v/>
      </c>
      <c r="R11" s="4">
        <f>MAX(T11-IF(OR(H11="N/A"),V11,0),W11-IF(OR(H11="N/A"),Y11,0),Z11-IF(OR(H11="N/A"),AB11,0),AC11-IF(OR(H11="N/A"),AE11,0))</f>
        <v>42.1</v>
      </c>
      <c r="S11" s="4">
        <f>IF(R11=T11-IF(OR(H11="N/A"),V11,0),MAX(W11-IF(OR(H11="N/A"),Y11,0),Z11-IF(OR(H11="N/A"),AB11,0),AC11-IF(OR(H11="N/A"),AE11,0)),IF(R11=W11-IF(OR(H11="N/A"),Y11,0),MAX(T11-IF(OR(H11="N/A"),V11,0),Z11-IF(OR(H11="N/A"),AB11,0),AC11-IF(OR(H11="N/A"),AE11,0)),IF(R11=Z11-IF(OR(H11="N/A"),AB11,0),MAX(T11-IF(OR(H11="N/A"),V11,0),W11-IF(OR(H11="N/A"),Y11,0),AC11-IF(OR(H11="N/A"),AE11,0)),IF(R11=AC11-IF(OR(H11="N/A"),AE11,0),MAX(T11-IF(OR(H11="N/A"),V11,0),W11-IF(OR(H11="N/A"),Y11,0),Z11-IF(OR(H11="N/A"),AB11,0)),0))))</f>
        <v>39.6</v>
      </c>
      <c r="T11" s="32"/>
      <c r="U11" s="37"/>
      <c r="V11" s="37">
        <v>0</v>
      </c>
      <c r="W11" s="33"/>
      <c r="X11" s="37"/>
      <c r="Y11" s="37"/>
      <c r="Z11" s="32">
        <v>39.6</v>
      </c>
      <c r="AA11" s="37">
        <v>8.1999999999999993</v>
      </c>
      <c r="AB11" s="37">
        <v>0.7</v>
      </c>
      <c r="AC11" s="33">
        <v>42.1</v>
      </c>
      <c r="AD11" s="37">
        <v>8.1999999999999993</v>
      </c>
      <c r="AE11" s="37">
        <v>0.7</v>
      </c>
    </row>
    <row r="12" spans="1:32" x14ac:dyDescent="0.2">
      <c r="A12" s="1" t="str" cm="1">
        <f t="array" ref="A12">IF(I12="","",IF(P12&lt;&gt;"",SUMPRODUCT((P$3:P$68&lt;&gt;"")*(G$3:G$68=G12)*(J$3:J$68&gt;J12)*(I$3:I$68="P"))+1,IF(O12&lt;&gt;"",SUMPRODUCT((O$3:O$68&lt;&gt;"")*(P$3:P$68="")*(G$3:G$68=G12)*(J$3:J$68&gt;J12)*(I$3:I$68="P"))+SUMPRODUCT((P$3:P$68&lt;&gt;"")*(G$3:G$68=G12)*(I$3:I$68="P"))+1,IF(N12&lt;&gt;"",SUMPRODUCT((N$3:N$68&lt;&gt;"")*(G$3:G$68=G12)*(J$3:J$68&gt;J12)*(I$3:I$68="P"))+1,IF(M12="P",SUMPRODUCT((O$3:O$68&lt;&gt;"")*(P$3:P$68="")*(G$3:G$68=G12)*(I$3:I$68="P"))+SUMPRODUCT((P$3:P$68&lt;&gt;"")*(G$3:G$68=G12)*(I$3:I$68="P"))+SUMPRODUCT((N$3:N$68&lt;&gt;"")*(G$3:G$68=G12)*(I$3:I$68="P"))+SUMPRODUCT((P$3:P$68="")*(O$3:O$68="")*(N$3:N$68="")*(M$3:M$68="P")*(G$3:G$68=G12)*(J$3:J$68&gt;J12)*(I$3:I$68="P"))+IF(H12="L5",SUMPRODUCT((P$3:P$68="")*(O$3:O$68="")*(N$3:N$68="")*(M$3:M$68="P")*(G$3:G$68=G12)*(J$3:J$68&lt;J12)*(H$3:H$68&lt;&gt;H12)*(I$3:I$68="P")),-1*SUMPRODUCT((P$3:P$68="")*(O$3:O$68="")*(N$3:N$68="")*(M$3:M$68="P")*(G$3:G$68=G12)*(J$3:J$68&gt;J12)*(H$3:H$68="L5")*(I$3:I$68="P")))+1,"")))))</f>
        <v/>
      </c>
      <c r="B12" s="1" t="str" cm="1">
        <f t="array" ref="B12">IF(P12&lt;&gt;"",SUMPRODUCT((P$3:P$68&lt;&gt;"")*(G$3:G$68=G12)*(J$3:J$68&gt;J12))+1,IF(O12&lt;&gt;"",SUMPRODUCT((O$3:O$68&lt;&gt;"")*(P$3:P$68="")*(G$3:G$68=G12)*(J$3:J$68&gt;J12))+SUMPRODUCT((P$3:P$68&lt;&gt;"")*(G$3:G$68=G12))+1,IF(N12&lt;&gt;"",SUMPRODUCT((N$3:N$68&lt;&gt;"")*(G$3:G$68=G12)*(J$3:J$68&gt;J12))+1,IF(M12="P",SUMPRODUCT((O$3:O$68&lt;&gt;"")*(P$3:P$68="")*(G$3:G$68=G12))+SUMPRODUCT((P$3:P$68&lt;&gt;"")*(G$3:G$68=G12))+SUMPRODUCT((N$3:N$68&lt;&gt;"")*(G$3:G$68=G12))+SUMPRODUCT((P$3:P$68="")*(O$3:O$68="")*(N$3:N$68="")*(M$3:M$68="P")*(G$3:G$68=G12)*(J$3:J$68&gt;J12))+IF(H12="L5",SUMPRODUCT((P$3:P$68="")*(O$3:O$68="")*(N$3:N$68="")*(M$3:M$68="P")*(G$3:G$68=G12)*(J$3:J$68&lt;J12)*(H$3:H$68&lt;&gt;H12)),-1*SUMPRODUCT((P$3:P$68="")*(O$3:O$68="")*(N$3:N$68="")*(M$3:M$68="P")*(G$3:G$68=G12)*(J$3:J$68&gt;J12)*(H$3:H$68="L5")))+1,""))))</f>
        <v/>
      </c>
      <c r="C12" s="35" t="s">
        <v>371</v>
      </c>
      <c r="D12" t="str">
        <f>IF(E12="","",VLOOKUP(E12,'Coaching Points'!A:B,2,0))</f>
        <v>BC</v>
      </c>
      <c r="E12" s="35" t="s">
        <v>55</v>
      </c>
      <c r="F12" s="34">
        <v>2008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81.00000421</v>
      </c>
      <c r="K12" s="3" t="str">
        <f>IF(G12="Not Age Eligible","",IF(MAX(T12,W12,Z12,AC12)&gt;=LOOKUP(G12,'Qualifying Scores'!$A$4:$A$7,'Qualifying Scores'!$I$4:$I$7),"P",""))</f>
        <v/>
      </c>
      <c r="L12" s="3" t="str">
        <f>IF(G12="Not Age Eligible","",IF(MAX(U12,X12,AA12,AD12)&gt;=LOOKUP(G12,'Qualifying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MAX(T12-IF(OR(H12="N/A"),V12,0),W12-IF(OR(H12="N/A"),Y12,0),Z12-IF(OR(H12="N/A"),AB12,0),AC12-IF(OR(H12="N/A"),AE12,0))</f>
        <v>42.1</v>
      </c>
      <c r="S12" s="4">
        <f>IF(R12=T12-IF(OR(H12="N/A"),V12,0),MAX(W12-IF(OR(H12="N/A"),Y12,0),Z12-IF(OR(H12="N/A"),AB12,0),AC12-IF(OR(H12="N/A"),AE12,0)),IF(R12=W12-IF(OR(H12="N/A"),Y12,0),MAX(T12-IF(OR(H12="N/A"),V12,0),Z12-IF(OR(H12="N/A"),AB12,0),AC12-IF(OR(H12="N/A"),AE12,0)),IF(R12=Z12-IF(OR(H12="N/A"),AB12,0),MAX(T12-IF(OR(H12="N/A"),V12,0),W12-IF(OR(H12="N/A"),Y12,0),AC12-IF(OR(H12="N/A"),AE12,0)),IF(R12=AC12-IF(OR(H12="N/A"),AE12,0),MAX(T12-IF(OR(H12="N/A"),V12,0),W12-IF(OR(H12="N/A"),Y12,0),Z12-IF(OR(H12="N/A"),AB12,0)),0))))</f>
        <v>38.9</v>
      </c>
      <c r="T12" s="32"/>
      <c r="U12" s="37"/>
      <c r="V12" s="37">
        <v>0</v>
      </c>
      <c r="W12" s="33"/>
      <c r="X12" s="37"/>
      <c r="Y12" s="37"/>
      <c r="Z12" s="32">
        <v>38.9</v>
      </c>
      <c r="AA12" s="37">
        <v>5.7</v>
      </c>
      <c r="AB12" s="37">
        <v>1</v>
      </c>
      <c r="AC12" s="33">
        <v>42.1</v>
      </c>
      <c r="AD12" s="37">
        <v>6</v>
      </c>
      <c r="AE12" s="37">
        <v>2</v>
      </c>
    </row>
    <row r="13" spans="1:32" x14ac:dyDescent="0.2">
      <c r="A13" s="1" t="str" cm="1">
        <f t="array" ref="A13">IF(I13="","",IF(P13&lt;&gt;"",SUMPRODUCT((P$3:P$68&lt;&gt;"")*(G$3:G$68=G13)*(J$3:J$68&gt;J13)*(I$3:I$68="P"))+1,IF(O13&lt;&gt;"",SUMPRODUCT((O$3:O$68&lt;&gt;"")*(P$3:P$68="")*(G$3:G$68=G13)*(J$3:J$68&gt;J13)*(I$3:I$68="P"))+SUMPRODUCT((P$3:P$68&lt;&gt;"")*(G$3:G$68=G13)*(I$3:I$68="P"))+1,IF(N13&lt;&gt;"",SUMPRODUCT((N$3:N$68&lt;&gt;"")*(G$3:G$68=G13)*(J$3:J$68&gt;J13)*(I$3:I$68="P"))+1,IF(M13="P",SUMPRODUCT((O$3:O$68&lt;&gt;"")*(P$3:P$68="")*(G$3:G$68=G13)*(I$3:I$68="P"))+SUMPRODUCT((P$3:P$68&lt;&gt;"")*(G$3:G$68=G13)*(I$3:I$68="P"))+SUMPRODUCT((N$3:N$68&lt;&gt;"")*(G$3:G$68=G13)*(I$3:I$68="P"))+SUMPRODUCT((P$3:P$68="")*(O$3:O$68="")*(N$3:N$68="")*(M$3:M$68="P")*(G$3:G$68=G13)*(J$3:J$68&gt;J13)*(I$3:I$68="P"))+IF(H13="L5",SUMPRODUCT((P$3:P$68="")*(O$3:O$68="")*(N$3:N$68="")*(M$3:M$68="P")*(G$3:G$68=G13)*(J$3:J$68&lt;J13)*(H$3:H$68&lt;&gt;H13)*(I$3:I$68="P")),-1*SUMPRODUCT((P$3:P$68="")*(O$3:O$68="")*(N$3:N$68="")*(M$3:M$68="P")*(G$3:G$68=G13)*(J$3:J$68&gt;J13)*(H$3:H$68="L5")*(I$3:I$68="P")))+1,"")))))</f>
        <v/>
      </c>
      <c r="B13" s="1" t="str" cm="1">
        <f t="array" ref="B13">IF(P13&lt;&gt;"",SUMPRODUCT((P$3:P$68&lt;&gt;"")*(G$3:G$68=G13)*(J$3:J$68&gt;J13))+1,IF(O13&lt;&gt;"",SUMPRODUCT((O$3:O$68&lt;&gt;"")*(P$3:P$68="")*(G$3:G$68=G13)*(J$3:J$68&gt;J13))+SUMPRODUCT((P$3:P$68&lt;&gt;"")*(G$3:G$68=G13))+1,IF(N13&lt;&gt;"",SUMPRODUCT((N$3:N$68&lt;&gt;"")*(G$3:G$68=G13)*(J$3:J$68&gt;J13))+1,IF(M13="P",SUMPRODUCT((O$3:O$68&lt;&gt;"")*(P$3:P$68="")*(G$3:G$68=G13))+SUMPRODUCT((P$3:P$68&lt;&gt;"")*(G$3:G$68=G13))+SUMPRODUCT((N$3:N$68&lt;&gt;"")*(G$3:G$68=G13))+SUMPRODUCT((P$3:P$68="")*(O$3:O$68="")*(N$3:N$68="")*(M$3:M$68="P")*(G$3:G$68=G13)*(J$3:J$68&gt;J13))+IF(H13="L5",SUMPRODUCT((P$3:P$68="")*(O$3:O$68="")*(N$3:N$68="")*(M$3:M$68="P")*(G$3:G$68=G13)*(J$3:J$68&lt;J13)*(H$3:H$68&lt;&gt;H13)),-1*SUMPRODUCT((P$3:P$68="")*(O$3:O$68="")*(N$3:N$68="")*(M$3:M$68="P")*(G$3:G$68=G13)*(J$3:J$68&gt;J13)*(H$3:H$68="L5")))+1,""))))</f>
        <v/>
      </c>
      <c r="C13" s="35" t="s">
        <v>304</v>
      </c>
      <c r="D13" t="str">
        <f>IF(E13="","",VLOOKUP(E13,'Coaching Points'!A:B,2,0))</f>
        <v>ON</v>
      </c>
      <c r="E13" s="35" t="s">
        <v>45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>R13+S13+IF(OR(H13="Junior",H13="Senior"),0.0002,IF(OR(H13="L7",H13="L6"),0.0001,0))+MAX(Z13,AC13)*0.0000001</f>
        <v>80.400104060000004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MAX(T13-IF(OR(H13="N/A"),V13,0),W13-IF(OR(H13="N/A"),Y13,0),Z13-IF(OR(H13="N/A"),AB13,0),AC13-IF(OR(H13="N/A"),AE13,0))</f>
        <v>40.6</v>
      </c>
      <c r="S13" s="4">
        <f>IF(R13=T13-IF(OR(H13="N/A"),V13,0),MAX(W13-IF(OR(H13="N/A"),Y13,0),Z13-IF(OR(H13="N/A"),AB13,0),AC13-IF(OR(H13="N/A"),AE13,0)),IF(R13=W13-IF(OR(H13="N/A"),Y13,0),MAX(T13-IF(OR(H13="N/A"),V13,0),Z13-IF(OR(H13="N/A"),AB13,0),AC13-IF(OR(H13="N/A"),AE13,0)),IF(R13=Z13-IF(OR(H13="N/A"),AB13,0),MAX(T13-IF(OR(H13="N/A"),V13,0),W13-IF(OR(H13="N/A"),Y13,0),AC13-IF(OR(H13="N/A"),AE13,0)),IF(R13=AC13-IF(OR(H13="N/A"),AE13,0),MAX(T13-IF(OR(H13="N/A"),V13,0),W13-IF(OR(H13="N/A"),Y13,0),Z13-IF(OR(H13="N/A"),AB13,0)),0))))</f>
        <v>39.799999999999997</v>
      </c>
      <c r="T13" s="32">
        <v>33.4</v>
      </c>
      <c r="U13" s="37">
        <v>2.8</v>
      </c>
      <c r="V13" s="37">
        <v>0</v>
      </c>
      <c r="W13" s="33"/>
      <c r="X13" s="37"/>
      <c r="Y13" s="37"/>
      <c r="Z13" s="32">
        <v>39.799999999999997</v>
      </c>
      <c r="AA13" s="37">
        <v>6.5</v>
      </c>
      <c r="AB13" s="37">
        <v>0</v>
      </c>
      <c r="AC13" s="33">
        <v>40.6</v>
      </c>
      <c r="AD13" s="37">
        <v>6.3</v>
      </c>
      <c r="AE13" s="37">
        <v>0</v>
      </c>
    </row>
    <row r="14" spans="1:32" x14ac:dyDescent="0.2">
      <c r="A14" s="1" t="str" cm="1">
        <f t="array" ref="A14">IF(I14="","",IF(P14&lt;&gt;"",SUMPRODUCT((P$3:P$68&lt;&gt;"")*(G$3:G$68=G14)*(J$3:J$68&gt;J14)*(I$3:I$68="P"))+1,IF(O14&lt;&gt;"",SUMPRODUCT((O$3:O$68&lt;&gt;"")*(P$3:P$68="")*(G$3:G$68=G14)*(J$3:J$68&gt;J14)*(I$3:I$68="P"))+SUMPRODUCT((P$3:P$68&lt;&gt;"")*(G$3:G$68=G14)*(I$3:I$68="P"))+1,IF(N14&lt;&gt;"",SUMPRODUCT((N$3:N$68&lt;&gt;"")*(G$3:G$68=G14)*(J$3:J$68&gt;J14)*(I$3:I$68="P"))+1,IF(M14="P",SUMPRODUCT((O$3:O$68&lt;&gt;"")*(P$3:P$68="")*(G$3:G$68=G14)*(I$3:I$68="P"))+SUMPRODUCT((P$3:P$68&lt;&gt;"")*(G$3:G$68=G14)*(I$3:I$68="P"))+SUMPRODUCT((N$3:N$68&lt;&gt;"")*(G$3:G$68=G14)*(I$3:I$68="P"))+SUMPRODUCT((P$3:P$68="")*(O$3:O$68="")*(N$3:N$68="")*(M$3:M$68="P")*(G$3:G$68=G14)*(J$3:J$68&gt;J14)*(I$3:I$68="P"))+IF(H14="L5",SUMPRODUCT((P$3:P$68="")*(O$3:O$68="")*(N$3:N$68="")*(M$3:M$68="P")*(G$3:G$68=G14)*(J$3:J$68&lt;J14)*(H$3:H$68&lt;&gt;H14)*(I$3:I$68="P")),-1*SUMPRODUCT((P$3:P$68="")*(O$3:O$68="")*(N$3:N$68="")*(M$3:M$68="P")*(G$3:G$68=G14)*(J$3:J$68&gt;J14)*(H$3:H$68="L5")*(I$3:I$68="P")))+1,"")))))</f>
        <v/>
      </c>
      <c r="B14" s="1" t="str" cm="1">
        <f t="array" ref="B14">IF(P14&lt;&gt;"",SUMPRODUCT((P$3:P$68&lt;&gt;"")*(G$3:G$68=G14)*(J$3:J$68&gt;J14))+1,IF(O14&lt;&gt;"",SUMPRODUCT((O$3:O$68&lt;&gt;"")*(P$3:P$68="")*(G$3:G$68=G14)*(J$3:J$68&gt;J14))+SUMPRODUCT((P$3:P$68&lt;&gt;"")*(G$3:G$68=G14))+1,IF(N14&lt;&gt;"",SUMPRODUCT((N$3:N$68&lt;&gt;"")*(G$3:G$68=G14)*(J$3:J$68&gt;J14))+1,IF(M14="P",SUMPRODUCT((O$3:O$68&lt;&gt;"")*(P$3:P$68="")*(G$3:G$68=G14))+SUMPRODUCT((P$3:P$68&lt;&gt;"")*(G$3:G$68=G14))+SUMPRODUCT((N$3:N$68&lt;&gt;"")*(G$3:G$68=G14))+SUMPRODUCT((P$3:P$68="")*(O$3:O$68="")*(N$3:N$68="")*(M$3:M$68="P")*(G$3:G$68=G14)*(J$3:J$68&gt;J14))+IF(H14="L5",SUMPRODUCT((P$3:P$68="")*(O$3:O$68="")*(N$3:N$68="")*(M$3:M$68="P")*(G$3:G$68=G14)*(J$3:J$68&lt;J14)*(H$3:H$68&lt;&gt;H14)),-1*SUMPRODUCT((P$3:P$68="")*(O$3:O$68="")*(N$3:N$68="")*(M$3:M$68="P")*(G$3:G$68=G14)*(J$3:J$68&gt;J14)*(H$3:H$68="L5")))+1,""))))</f>
        <v/>
      </c>
      <c r="C14" s="35" t="s">
        <v>233</v>
      </c>
      <c r="D14" t="str">
        <f>IF(E14="","",VLOOKUP(E14,'Coaching Points'!A:B,2,0))</f>
        <v>AB</v>
      </c>
      <c r="E14" s="35" t="s">
        <v>28</v>
      </c>
      <c r="F14" s="34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80.10000389999999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MAX(T14-IF(OR(H14="N/A"),V14,0),W14-IF(OR(H14="N/A"),Y14,0),Z14-IF(OR(H14="N/A"),AB14,0),AC14-IF(OR(H14="N/A"),AE14,0))</f>
        <v>41.1</v>
      </c>
      <c r="S14" s="4">
        <f>IF(R14=T14-IF(OR(H14="N/A"),V14,0),MAX(W14-IF(OR(H14="N/A"),Y14,0),Z14-IF(OR(H14="N/A"),AB14,0),AC14-IF(OR(H14="N/A"),AE14,0)),IF(R14=W14-IF(OR(H14="N/A"),Y14,0),MAX(T14-IF(OR(H14="N/A"),V14,0),Z14-IF(OR(H14="N/A"),AB14,0),AC14-IF(OR(H14="N/A"),AE14,0)),IF(R14=Z14-IF(OR(H14="N/A"),AB14,0),MAX(T14-IF(OR(H14="N/A"),V14,0),W14-IF(OR(H14="N/A"),Y14,0),AC14-IF(OR(H14="N/A"),AE14,0)),IF(R14=AC14-IF(OR(H14="N/A"),AE14,0),MAX(T14-IF(OR(H14="N/A"),V14,0),W14-IF(OR(H14="N/A"),Y14,0),Z14-IF(OR(H14="N/A"),AB14,0)),0))))</f>
        <v>39</v>
      </c>
      <c r="T14" s="32">
        <v>38.700000000000003</v>
      </c>
      <c r="U14" s="37">
        <v>6.5</v>
      </c>
      <c r="V14" s="37">
        <v>0</v>
      </c>
      <c r="W14" s="33">
        <v>41.1</v>
      </c>
      <c r="X14" s="37">
        <v>6.5</v>
      </c>
      <c r="Y14" s="37">
        <v>0</v>
      </c>
      <c r="Z14" s="32">
        <v>39</v>
      </c>
      <c r="AA14" s="37">
        <v>6.5</v>
      </c>
      <c r="AB14" s="37">
        <v>0</v>
      </c>
      <c r="AC14" s="33">
        <v>38</v>
      </c>
      <c r="AD14" s="37">
        <v>6</v>
      </c>
      <c r="AE14" s="37">
        <v>0</v>
      </c>
    </row>
    <row r="15" spans="1:32" x14ac:dyDescent="0.2">
      <c r="A15" s="1" t="str" cm="1">
        <f t="array" ref="A15">IF(I15="","",IF(P15&lt;&gt;"",SUMPRODUCT((P$3:P$68&lt;&gt;"")*(G$3:G$68=G15)*(J$3:J$68&gt;J15)*(I$3:I$68="P"))+1,IF(O15&lt;&gt;"",SUMPRODUCT((O$3:O$68&lt;&gt;"")*(P$3:P$68="")*(G$3:G$68=G15)*(J$3:J$68&gt;J15)*(I$3:I$68="P"))+SUMPRODUCT((P$3:P$68&lt;&gt;"")*(G$3:G$68=G15)*(I$3:I$68="P"))+1,IF(N15&lt;&gt;"",SUMPRODUCT((N$3:N$68&lt;&gt;"")*(G$3:G$68=G15)*(J$3:J$68&gt;J15)*(I$3:I$68="P"))+1,IF(M15="P",SUMPRODUCT((O$3:O$68&lt;&gt;"")*(P$3:P$68="")*(G$3:G$68=G15)*(I$3:I$68="P"))+SUMPRODUCT((P$3:P$68&lt;&gt;"")*(G$3:G$68=G15)*(I$3:I$68="P"))+SUMPRODUCT((N$3:N$68&lt;&gt;"")*(G$3:G$68=G15)*(I$3:I$68="P"))+SUMPRODUCT((P$3:P$68="")*(O$3:O$68="")*(N$3:N$68="")*(M$3:M$68="P")*(G$3:G$68=G15)*(J$3:J$68&gt;J15)*(I$3:I$68="P"))+IF(H15="L5",SUMPRODUCT((P$3:P$68="")*(O$3:O$68="")*(N$3:N$68="")*(M$3:M$68="P")*(G$3:G$68=G15)*(J$3:J$68&lt;J15)*(H$3:H$68&lt;&gt;H15)*(I$3:I$68="P")),-1*SUMPRODUCT((P$3:P$68="")*(O$3:O$68="")*(N$3:N$68="")*(M$3:M$68="P")*(G$3:G$68=G15)*(J$3:J$68&gt;J15)*(H$3:H$68="L5")*(I$3:I$68="P")))+1,"")))))</f>
        <v/>
      </c>
      <c r="B15" s="1" t="str" cm="1">
        <f t="array" ref="B15">IF(P15&lt;&gt;"",SUMPRODUCT((P$3:P$68&lt;&gt;"")*(G$3:G$68=G15)*(J$3:J$68&gt;J15))+1,IF(O15&lt;&gt;"",SUMPRODUCT((O$3:O$68&lt;&gt;"")*(P$3:P$68="")*(G$3:G$68=G15)*(J$3:J$68&gt;J15))+SUMPRODUCT((P$3:P$68&lt;&gt;"")*(G$3:G$68=G15))+1,IF(N15&lt;&gt;"",SUMPRODUCT((N$3:N$68&lt;&gt;"")*(G$3:G$68=G15)*(J$3:J$68&gt;J15))+1,IF(M15="P",SUMPRODUCT((O$3:O$68&lt;&gt;"")*(P$3:P$68="")*(G$3:G$68=G15))+SUMPRODUCT((P$3:P$68&lt;&gt;"")*(G$3:G$68=G15))+SUMPRODUCT((N$3:N$68&lt;&gt;"")*(G$3:G$68=G15))+SUMPRODUCT((P$3:P$68="")*(O$3:O$68="")*(N$3:N$68="")*(M$3:M$68="P")*(G$3:G$68=G15)*(J$3:J$68&gt;J15))+IF(H15="L5",SUMPRODUCT((P$3:P$68="")*(O$3:O$68="")*(N$3:N$68="")*(M$3:M$68="P")*(G$3:G$68=G15)*(J$3:J$68&lt;J15)*(H$3:H$68&lt;&gt;H15)),-1*SUMPRODUCT((P$3:P$68="")*(O$3:O$68="")*(N$3:N$68="")*(M$3:M$68="P")*(G$3:G$68=G15)*(J$3:J$68&gt;J15)*(H$3:H$68="L5")))+1,""))))</f>
        <v/>
      </c>
      <c r="C15" s="35" t="s">
        <v>299</v>
      </c>
      <c r="D15" t="str">
        <f>IF(E15="","",VLOOKUP(E15,'Coaching Points'!A:B,2,0))</f>
        <v>AB</v>
      </c>
      <c r="E15" s="35" t="s">
        <v>28</v>
      </c>
      <c r="F15" s="34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80.000103960000004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MAX(T15-IF(OR(H15="N/A"),V15,0),W15-IF(OR(H15="N/A"),Y15,0),Z15-IF(OR(H15="N/A"),AB15,0),AC15-IF(OR(H15="N/A"),AE15,0))</f>
        <v>40.4</v>
      </c>
      <c r="S15" s="4">
        <f>IF(R15=T15-IF(OR(H15="N/A"),V15,0),MAX(W15-IF(OR(H15="N/A"),Y15,0),Z15-IF(OR(H15="N/A"),AB15,0),AC15-IF(OR(H15="N/A"),AE15,0)),IF(R15=W15-IF(OR(H15="N/A"),Y15,0),MAX(T15-IF(OR(H15="N/A"),V15,0),Z15-IF(OR(H15="N/A"),AB15,0),AC15-IF(OR(H15="N/A"),AE15,0)),IF(R15=Z15-IF(OR(H15="N/A"),AB15,0),MAX(T15-IF(OR(H15="N/A"),V15,0),W15-IF(OR(H15="N/A"),Y15,0),AC15-IF(OR(H15="N/A"),AE15,0)),IF(R15=AC15-IF(OR(H15="N/A"),AE15,0),MAX(T15-IF(OR(H15="N/A"),V15,0),W15-IF(OR(H15="N/A"),Y15,0),Z15-IF(OR(H15="N/A"),AB15,0)),0))))</f>
        <v>39.6</v>
      </c>
      <c r="T15" s="32">
        <v>38.1</v>
      </c>
      <c r="U15" s="37">
        <v>5.8</v>
      </c>
      <c r="V15" s="37">
        <v>0</v>
      </c>
      <c r="W15" s="33">
        <v>40.4</v>
      </c>
      <c r="X15" s="37">
        <v>8</v>
      </c>
      <c r="Y15" s="37">
        <v>0</v>
      </c>
      <c r="Z15" s="32">
        <v>39.6</v>
      </c>
      <c r="AA15" s="37">
        <v>6.6999999999999993</v>
      </c>
      <c r="AB15" s="37">
        <v>0</v>
      </c>
      <c r="AC15" s="33">
        <v>37.9</v>
      </c>
      <c r="AD15" s="37">
        <v>5.8</v>
      </c>
      <c r="AE15" s="37">
        <v>0</v>
      </c>
    </row>
    <row r="16" spans="1:32" x14ac:dyDescent="0.2">
      <c r="A16" s="1" t="str" cm="1">
        <f t="array" ref="A16">IF(I16="","",IF(P16&lt;&gt;"",SUMPRODUCT((P$3:P$68&lt;&gt;"")*(G$3:G$68=G16)*(J$3:J$68&gt;J16)*(I$3:I$68="P"))+1,IF(O16&lt;&gt;"",SUMPRODUCT((O$3:O$68&lt;&gt;"")*(P$3:P$68="")*(G$3:G$68=G16)*(J$3:J$68&gt;J16)*(I$3:I$68="P"))+SUMPRODUCT((P$3:P$68&lt;&gt;"")*(G$3:G$68=G16)*(I$3:I$68="P"))+1,IF(N16&lt;&gt;"",SUMPRODUCT((N$3:N$68&lt;&gt;"")*(G$3:G$68=G16)*(J$3:J$68&gt;J16)*(I$3:I$68="P"))+1,IF(M16="P",SUMPRODUCT((O$3:O$68&lt;&gt;"")*(P$3:P$68="")*(G$3:G$68=G16)*(I$3:I$68="P"))+SUMPRODUCT((P$3:P$68&lt;&gt;"")*(G$3:G$68=G16)*(I$3:I$68="P"))+SUMPRODUCT((N$3:N$68&lt;&gt;"")*(G$3:G$68=G16)*(I$3:I$68="P"))+SUMPRODUCT((P$3:P$68="")*(O$3:O$68="")*(N$3:N$68="")*(M$3:M$68="P")*(G$3:G$68=G16)*(J$3:J$68&gt;J16)*(I$3:I$68="P"))+IF(H16="L5",SUMPRODUCT((P$3:P$68="")*(O$3:O$68="")*(N$3:N$68="")*(M$3:M$68="P")*(G$3:G$68=G16)*(J$3:J$68&lt;J16)*(H$3:H$68&lt;&gt;H16)*(I$3:I$68="P")),-1*SUMPRODUCT((P$3:P$68="")*(O$3:O$68="")*(N$3:N$68="")*(M$3:M$68="P")*(G$3:G$68=G16)*(J$3:J$68&gt;J16)*(H$3:H$68="L5")*(I$3:I$68="P")))+1,"")))))</f>
        <v/>
      </c>
      <c r="B16" s="1" t="str" cm="1">
        <f t="array" ref="B16">IF(P16&lt;&gt;"",SUMPRODUCT((P$3:P$68&lt;&gt;"")*(G$3:G$68=G16)*(J$3:J$68&gt;J16))+1,IF(O16&lt;&gt;"",SUMPRODUCT((O$3:O$68&lt;&gt;"")*(P$3:P$68="")*(G$3:G$68=G16)*(J$3:J$68&gt;J16))+SUMPRODUCT((P$3:P$68&lt;&gt;"")*(G$3:G$68=G16))+1,IF(N16&lt;&gt;"",SUMPRODUCT((N$3:N$68&lt;&gt;"")*(G$3:G$68=G16)*(J$3:J$68&gt;J16))+1,IF(M16="P",SUMPRODUCT((O$3:O$68&lt;&gt;"")*(P$3:P$68="")*(G$3:G$68=G16))+SUMPRODUCT((P$3:P$68&lt;&gt;"")*(G$3:G$68=G16))+SUMPRODUCT((N$3:N$68&lt;&gt;"")*(G$3:G$68=G16))+SUMPRODUCT((P$3:P$68="")*(O$3:O$68="")*(N$3:N$68="")*(M$3:M$68="P")*(G$3:G$68=G16)*(J$3:J$68&gt;J16))+IF(H16="L5",SUMPRODUCT((P$3:P$68="")*(O$3:O$68="")*(N$3:N$68="")*(M$3:M$68="P")*(G$3:G$68=G16)*(J$3:J$68&lt;J16)*(H$3:H$68&lt;&gt;H16)),-1*SUMPRODUCT((P$3:P$68="")*(O$3:O$68="")*(N$3:N$68="")*(M$3:M$68="P")*(G$3:G$68=G16)*(J$3:J$68&gt;J16)*(H$3:H$68="L5")))+1,""))))</f>
        <v/>
      </c>
      <c r="C16" s="35" t="s">
        <v>314</v>
      </c>
      <c r="D16" t="str">
        <f>IF(E16="","",VLOOKUP(E16,'Coaching Points'!A:B,2,0))</f>
        <v>ON</v>
      </c>
      <c r="E16" s="35" t="s">
        <v>88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80.000003989999996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MAX(T16-IF(OR(H16="N/A"),V16,0),W16-IF(OR(H16="N/A"),Y16,0),Z16-IF(OR(H16="N/A"),AB16,0),AC16-IF(OR(H16="N/A"),AE16,0))</f>
        <v>40.1</v>
      </c>
      <c r="S16" s="4">
        <f>IF(R16=T16-IF(OR(H16="N/A"),V16,0),MAX(W16-IF(OR(H16="N/A"),Y16,0),Z16-IF(OR(H16="N/A"),AB16,0),AC16-IF(OR(H16="N/A"),AE16,0)),IF(R16=W16-IF(OR(H16="N/A"),Y16,0),MAX(T16-IF(OR(H16="N/A"),V16,0),Z16-IF(OR(H16="N/A"),AB16,0),AC16-IF(OR(H16="N/A"),AE16,0)),IF(R16=Z16-IF(OR(H16="N/A"),AB16,0),MAX(T16-IF(OR(H16="N/A"),V16,0),W16-IF(OR(H16="N/A"),Y16,0),AC16-IF(OR(H16="N/A"),AE16,0)),IF(R16=AC16-IF(OR(H16="N/A"),AE16,0),MAX(T16-IF(OR(H16="N/A"),V16,0),W16-IF(OR(H16="N/A"),Y16,0),Z16-IF(OR(H16="N/A"),AB16,0)),0))))</f>
        <v>39.9</v>
      </c>
      <c r="T16" s="32">
        <v>40.1</v>
      </c>
      <c r="U16" s="37">
        <v>5.3000000000000007</v>
      </c>
      <c r="V16" s="37">
        <v>1</v>
      </c>
      <c r="W16" s="33">
        <v>39.1</v>
      </c>
      <c r="X16" s="37">
        <v>5.5</v>
      </c>
      <c r="Y16" s="37">
        <v>1</v>
      </c>
      <c r="Z16" s="32">
        <v>39.9</v>
      </c>
      <c r="AA16" s="37">
        <v>6.2</v>
      </c>
      <c r="AB16" s="37">
        <v>1</v>
      </c>
      <c r="AC16" s="33">
        <v>39.299999999999997</v>
      </c>
      <c r="AD16" s="37">
        <v>6</v>
      </c>
      <c r="AE16" s="37">
        <v>1</v>
      </c>
    </row>
    <row r="17" spans="1:31" x14ac:dyDescent="0.2">
      <c r="A17" s="1" t="str" cm="1">
        <f t="array" ref="A17">IF(I17="","",IF(P17&lt;&gt;"",SUMPRODUCT((P$3:P$68&lt;&gt;"")*(G$3:G$68=G17)*(J$3:J$68&gt;J17)*(I$3:I$68="P"))+1,IF(O17&lt;&gt;"",SUMPRODUCT((O$3:O$68&lt;&gt;"")*(P$3:P$68="")*(G$3:G$68=G17)*(J$3:J$68&gt;J17)*(I$3:I$68="P"))+SUMPRODUCT((P$3:P$68&lt;&gt;"")*(G$3:G$68=G17)*(I$3:I$68="P"))+1,IF(N17&lt;&gt;"",SUMPRODUCT((N$3:N$68&lt;&gt;"")*(G$3:G$68=G17)*(J$3:J$68&gt;J17)*(I$3:I$68="P"))+1,IF(M17="P",SUMPRODUCT((O$3:O$68&lt;&gt;"")*(P$3:P$68="")*(G$3:G$68=G17)*(I$3:I$68="P"))+SUMPRODUCT((P$3:P$68&lt;&gt;"")*(G$3:G$68=G17)*(I$3:I$68="P"))+SUMPRODUCT((N$3:N$68&lt;&gt;"")*(G$3:G$68=G17)*(I$3:I$68="P"))+SUMPRODUCT((P$3:P$68="")*(O$3:O$68="")*(N$3:N$68="")*(M$3:M$68="P")*(G$3:G$68=G17)*(J$3:J$68&gt;J17)*(I$3:I$68="P"))+IF(H17="L5",SUMPRODUCT((P$3:P$68="")*(O$3:O$68="")*(N$3:N$68="")*(M$3:M$68="P")*(G$3:G$68=G17)*(J$3:J$68&lt;J17)*(H$3:H$68&lt;&gt;H17)*(I$3:I$68="P")),-1*SUMPRODUCT((P$3:P$68="")*(O$3:O$68="")*(N$3:N$68="")*(M$3:M$68="P")*(G$3:G$68=G17)*(J$3:J$68&gt;J17)*(H$3:H$68="L5")*(I$3:I$68="P")))+1,"")))))</f>
        <v/>
      </c>
      <c r="B17" s="1" t="str" cm="1">
        <f t="array" ref="B17">IF(P17&lt;&gt;"",SUMPRODUCT((P$3:P$68&lt;&gt;"")*(G$3:G$68=G17)*(J$3:J$68&gt;J17))+1,IF(O17&lt;&gt;"",SUMPRODUCT((O$3:O$68&lt;&gt;"")*(P$3:P$68="")*(G$3:G$68=G17)*(J$3:J$68&gt;J17))+SUMPRODUCT((P$3:P$68&lt;&gt;"")*(G$3:G$68=G17))+1,IF(N17&lt;&gt;"",SUMPRODUCT((N$3:N$68&lt;&gt;"")*(G$3:G$68=G17)*(J$3:J$68&gt;J17))+1,IF(M17="P",SUMPRODUCT((O$3:O$68&lt;&gt;"")*(P$3:P$68="")*(G$3:G$68=G17))+SUMPRODUCT((P$3:P$68&lt;&gt;"")*(G$3:G$68=G17))+SUMPRODUCT((N$3:N$68&lt;&gt;"")*(G$3:G$68=G17))+SUMPRODUCT((P$3:P$68="")*(O$3:O$68="")*(N$3:N$68="")*(M$3:M$68="P")*(G$3:G$68=G17)*(J$3:J$68&gt;J17))+IF(H17="L5",SUMPRODUCT((P$3:P$68="")*(O$3:O$68="")*(N$3:N$68="")*(M$3:M$68="P")*(G$3:G$68=G17)*(J$3:J$68&lt;J17)*(H$3:H$68&lt;&gt;H17)),-1*SUMPRODUCT((P$3:P$68="")*(O$3:O$68="")*(N$3:N$68="")*(M$3:M$68="P")*(G$3:G$68=G17)*(J$3:J$68&gt;J17)*(H$3:H$68="L5")))+1,""))))</f>
        <v/>
      </c>
      <c r="C17" s="35" t="s">
        <v>230</v>
      </c>
      <c r="D17" t="str">
        <f>IF(E17="","",VLOOKUP(E17,'Coaching Points'!A:B,2,0))</f>
        <v>AB</v>
      </c>
      <c r="E17" s="35" t="s">
        <v>28</v>
      </c>
      <c r="F17" s="34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78.600003860000001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MAX(T17-IF(OR(H17="N/A"),V17,0),W17-IF(OR(H17="N/A"),Y17,0),Z17-IF(OR(H17="N/A"),AB17,0),AC17-IF(OR(H17="N/A"),AE17,0))</f>
        <v>40</v>
      </c>
      <c r="S17" s="4">
        <f>IF(R17=T17-IF(OR(H17="N/A"),V17,0),MAX(W17-IF(OR(H17="N/A"),Y17,0),Z17-IF(OR(H17="N/A"),AB17,0),AC17-IF(OR(H17="N/A"),AE17,0)),IF(R17=W17-IF(OR(H17="N/A"),Y17,0),MAX(T17-IF(OR(H17="N/A"),V17,0),Z17-IF(OR(H17="N/A"),AB17,0),AC17-IF(OR(H17="N/A"),AE17,0)),IF(R17=Z17-IF(OR(H17="N/A"),AB17,0),MAX(T17-IF(OR(H17="N/A"),V17,0),W17-IF(OR(H17="N/A"),Y17,0),AC17-IF(OR(H17="N/A"),AE17,0)),IF(R17=AC17-IF(OR(H17="N/A"),AE17,0),MAX(T17-IF(OR(H17="N/A"),V17,0),W17-IF(OR(H17="N/A"),Y17,0),Z17-IF(OR(H17="N/A"),AB17,0)),0))))</f>
        <v>38.6</v>
      </c>
      <c r="T17" s="32">
        <v>38.200000000000003</v>
      </c>
      <c r="U17" s="37">
        <v>5.5</v>
      </c>
      <c r="V17" s="37">
        <v>0</v>
      </c>
      <c r="W17" s="33">
        <v>40</v>
      </c>
      <c r="X17" s="37">
        <v>5.5</v>
      </c>
      <c r="Y17" s="37">
        <v>0</v>
      </c>
      <c r="Z17" s="32">
        <v>38.6</v>
      </c>
      <c r="AA17" s="37">
        <v>6.1999999999999993</v>
      </c>
      <c r="AB17" s="37">
        <v>0</v>
      </c>
      <c r="AC17" s="33">
        <v>36.799999999999997</v>
      </c>
      <c r="AD17" s="37">
        <v>4.7</v>
      </c>
      <c r="AE17" s="37">
        <v>0</v>
      </c>
    </row>
    <row r="18" spans="1:31" x14ac:dyDescent="0.2">
      <c r="A18" s="1" t="str" cm="1">
        <f t="array" ref="A18">IF(I18="","",IF(P18&lt;&gt;"",SUMPRODUCT((P$3:P$68&lt;&gt;"")*(G$3:G$68=G18)*(J$3:J$68&gt;J18)*(I$3:I$68="P"))+1,IF(O18&lt;&gt;"",SUMPRODUCT((O$3:O$68&lt;&gt;"")*(P$3:P$68="")*(G$3:G$68=G18)*(J$3:J$68&gt;J18)*(I$3:I$68="P"))+SUMPRODUCT((P$3:P$68&lt;&gt;"")*(G$3:G$68=G18)*(I$3:I$68="P"))+1,IF(N18&lt;&gt;"",SUMPRODUCT((N$3:N$68&lt;&gt;"")*(G$3:G$68=G18)*(J$3:J$68&gt;J18)*(I$3:I$68="P"))+1,IF(M18="P",SUMPRODUCT((O$3:O$68&lt;&gt;"")*(P$3:P$68="")*(G$3:G$68=G18)*(I$3:I$68="P"))+SUMPRODUCT((P$3:P$68&lt;&gt;"")*(G$3:G$68=G18)*(I$3:I$68="P"))+SUMPRODUCT((N$3:N$68&lt;&gt;"")*(G$3:G$68=G18)*(I$3:I$68="P"))+SUMPRODUCT((P$3:P$68="")*(O$3:O$68="")*(N$3:N$68="")*(M$3:M$68="P")*(G$3:G$68=G18)*(J$3:J$68&gt;J18)*(I$3:I$68="P"))+IF(H18="L5",SUMPRODUCT((P$3:P$68="")*(O$3:O$68="")*(N$3:N$68="")*(M$3:M$68="P")*(G$3:G$68=G18)*(J$3:J$68&lt;J18)*(H$3:H$68&lt;&gt;H18)*(I$3:I$68="P")),-1*SUMPRODUCT((P$3:P$68="")*(O$3:O$68="")*(N$3:N$68="")*(M$3:M$68="P")*(G$3:G$68=G18)*(J$3:J$68&gt;J18)*(H$3:H$68="L5")*(I$3:I$68="P")))+1,"")))))</f>
        <v/>
      </c>
      <c r="B18" s="1" t="str" cm="1">
        <f t="array" ref="B18">IF(P18&lt;&gt;"",SUMPRODUCT((P$3:P$68&lt;&gt;"")*(G$3:G$68=G18)*(J$3:J$68&gt;J18))+1,IF(O18&lt;&gt;"",SUMPRODUCT((O$3:O$68&lt;&gt;"")*(P$3:P$68="")*(G$3:G$68=G18)*(J$3:J$68&gt;J18))+SUMPRODUCT((P$3:P$68&lt;&gt;"")*(G$3:G$68=G18))+1,IF(N18&lt;&gt;"",SUMPRODUCT((N$3:N$68&lt;&gt;"")*(G$3:G$68=G18)*(J$3:J$68&gt;J18))+1,IF(M18="P",SUMPRODUCT((O$3:O$68&lt;&gt;"")*(P$3:P$68="")*(G$3:G$68=G18))+SUMPRODUCT((P$3:P$68&lt;&gt;"")*(G$3:G$68=G18))+SUMPRODUCT((N$3:N$68&lt;&gt;"")*(G$3:G$68=G18))+SUMPRODUCT((P$3:P$68="")*(O$3:O$68="")*(N$3:N$68="")*(M$3:M$68="P")*(G$3:G$68=G18)*(J$3:J$68&gt;J18))+IF(H18="L5",SUMPRODUCT((P$3:P$68="")*(O$3:O$68="")*(N$3:N$68="")*(M$3:M$68="P")*(G$3:G$68=G18)*(J$3:J$68&lt;J18)*(H$3:H$68&lt;&gt;H18)),-1*SUMPRODUCT((P$3:P$68="")*(O$3:O$68="")*(N$3:N$68="")*(M$3:M$68="P")*(G$3:G$68=G18)*(J$3:J$68&gt;J18)*(H$3:H$68="L5")))+1,""))))</f>
        <v/>
      </c>
      <c r="C18" s="35" t="s">
        <v>318</v>
      </c>
      <c r="D18" t="str">
        <f>IF(E18="","",VLOOKUP(E18,'Coaching Points'!A:B,2,0))</f>
        <v>AB</v>
      </c>
      <c r="E18" s="35" t="s">
        <v>28</v>
      </c>
      <c r="F18" s="34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78.10000393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MAX(T18-IF(OR(H18="N/A"),V18,0),W18-IF(OR(H18="N/A"),Y18,0),Z18-IF(OR(H18="N/A"),AB18,0),AC18-IF(OR(H18="N/A"),AE18,0))</f>
        <v>39.299999999999997</v>
      </c>
      <c r="S18" s="4">
        <f>IF(R18=T18-IF(OR(H18="N/A"),V18,0),MAX(W18-IF(OR(H18="N/A"),Y18,0),Z18-IF(OR(H18="N/A"),AB18,0),AC18-IF(OR(H18="N/A"),AE18,0)),IF(R18=W18-IF(OR(H18="N/A"),Y18,0),MAX(T18-IF(OR(H18="N/A"),V18,0),Z18-IF(OR(H18="N/A"),AB18,0),AC18-IF(OR(H18="N/A"),AE18,0)),IF(R18=Z18-IF(OR(H18="N/A"),AB18,0),MAX(T18-IF(OR(H18="N/A"),V18,0),W18-IF(OR(H18="N/A"),Y18,0),AC18-IF(OR(H18="N/A"),AE18,0)),IF(R18=AC18-IF(OR(H18="N/A"),AE18,0),MAX(T18-IF(OR(H18="N/A"),V18,0),W18-IF(OR(H18="N/A"),Y18,0),Z18-IF(OR(H18="N/A"),AB18,0)),0))))</f>
        <v>38.799999999999997</v>
      </c>
      <c r="T18" s="32">
        <v>36.799999999999997</v>
      </c>
      <c r="U18" s="37">
        <v>3.3</v>
      </c>
      <c r="V18" s="37">
        <v>0</v>
      </c>
      <c r="W18" s="33">
        <v>37.9</v>
      </c>
      <c r="X18" s="37">
        <v>4.5999999999999996</v>
      </c>
      <c r="Y18" s="37">
        <v>0</v>
      </c>
      <c r="Z18" s="32">
        <v>38.799999999999997</v>
      </c>
      <c r="AA18" s="37">
        <v>4.5999999999999996</v>
      </c>
      <c r="AB18" s="37">
        <v>0</v>
      </c>
      <c r="AC18" s="33">
        <v>39.299999999999997</v>
      </c>
      <c r="AD18" s="37">
        <v>4.5999999999999996</v>
      </c>
      <c r="AE18" s="37">
        <v>0</v>
      </c>
    </row>
    <row r="19" spans="1:31" x14ac:dyDescent="0.2">
      <c r="A19" s="1" t="str" cm="1">
        <f t="array" ref="A19">IF(I19="","",IF(P19&lt;&gt;"",SUMPRODUCT((P$3:P$68&lt;&gt;"")*(G$3:G$68=G19)*(J$3:J$68&gt;J19)*(I$3:I$68="P"))+1,IF(O19&lt;&gt;"",SUMPRODUCT((O$3:O$68&lt;&gt;"")*(P$3:P$68="")*(G$3:G$68=G19)*(J$3:J$68&gt;J19)*(I$3:I$68="P"))+SUMPRODUCT((P$3:P$68&lt;&gt;"")*(G$3:G$68=G19)*(I$3:I$68="P"))+1,IF(N19&lt;&gt;"",SUMPRODUCT((N$3:N$68&lt;&gt;"")*(G$3:G$68=G19)*(J$3:J$68&gt;J19)*(I$3:I$68="P"))+1,IF(M19="P",SUMPRODUCT((O$3:O$68&lt;&gt;"")*(P$3:P$68="")*(G$3:G$68=G19)*(I$3:I$68="P"))+SUMPRODUCT((P$3:P$68&lt;&gt;"")*(G$3:G$68=G19)*(I$3:I$68="P"))+SUMPRODUCT((N$3:N$68&lt;&gt;"")*(G$3:G$68=G19)*(I$3:I$68="P"))+SUMPRODUCT((P$3:P$68="")*(O$3:O$68="")*(N$3:N$68="")*(M$3:M$68="P")*(G$3:G$68=G19)*(J$3:J$68&gt;J19)*(I$3:I$68="P"))+IF(H19="L5",SUMPRODUCT((P$3:P$68="")*(O$3:O$68="")*(N$3:N$68="")*(M$3:M$68="P")*(G$3:G$68=G19)*(J$3:J$68&lt;J19)*(H$3:H$68&lt;&gt;H19)*(I$3:I$68="P")),-1*SUMPRODUCT((P$3:P$68="")*(O$3:O$68="")*(N$3:N$68="")*(M$3:M$68="P")*(G$3:G$68=G19)*(J$3:J$68&gt;J19)*(H$3:H$68="L5")*(I$3:I$68="P")))+1,"")))))</f>
        <v/>
      </c>
      <c r="B19" s="1" t="str" cm="1">
        <f t="array" ref="B19">IF(P19&lt;&gt;"",SUMPRODUCT((P$3:P$68&lt;&gt;"")*(G$3:G$68=G19)*(J$3:J$68&gt;J19))+1,IF(O19&lt;&gt;"",SUMPRODUCT((O$3:O$68&lt;&gt;"")*(P$3:P$68="")*(G$3:G$68=G19)*(J$3:J$68&gt;J19))+SUMPRODUCT((P$3:P$68&lt;&gt;"")*(G$3:G$68=G19))+1,IF(N19&lt;&gt;"",SUMPRODUCT((N$3:N$68&lt;&gt;"")*(G$3:G$68=G19)*(J$3:J$68&gt;J19))+1,IF(M19="P",SUMPRODUCT((O$3:O$68&lt;&gt;"")*(P$3:P$68="")*(G$3:G$68=G19))+SUMPRODUCT((P$3:P$68&lt;&gt;"")*(G$3:G$68=G19))+SUMPRODUCT((N$3:N$68&lt;&gt;"")*(G$3:G$68=G19))+SUMPRODUCT((P$3:P$68="")*(O$3:O$68="")*(N$3:N$68="")*(M$3:M$68="P")*(G$3:G$68=G19)*(J$3:J$68&gt;J19))+IF(H19="L5",SUMPRODUCT((P$3:P$68="")*(O$3:O$68="")*(N$3:N$68="")*(M$3:M$68="P")*(G$3:G$68=G19)*(J$3:J$68&lt;J19)*(H$3:H$68&lt;&gt;H19)),-1*SUMPRODUCT((P$3:P$68="")*(O$3:O$68="")*(N$3:N$68="")*(M$3:M$68="P")*(G$3:G$68=G19)*(J$3:J$68&gt;J19)*(H$3:H$68="L5")))+1,""))))</f>
        <v/>
      </c>
      <c r="C19" s="35" t="s">
        <v>303</v>
      </c>
      <c r="D19" t="str">
        <f>IF(E19="","",VLOOKUP(E19,'Coaching Points'!A:B,2,0))</f>
        <v>AB</v>
      </c>
      <c r="E19" s="35" t="s">
        <v>61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77.800103620000016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>P</v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MAX(T19-IF(OR(H19="N/A"),V19,0),W19-IF(OR(H19="N/A"),Y19,0),Z19-IF(OR(H19="N/A"),AB19,0),AC19-IF(OR(H19="N/A"),AE19,0))</f>
        <v>39.200000000000003</v>
      </c>
      <c r="S19" s="4">
        <f>IF(R19=T19-IF(OR(H19="N/A"),V19,0),MAX(W19-IF(OR(H19="N/A"),Y19,0),Z19-IF(OR(H19="N/A"),AB19,0),AC19-IF(OR(H19="N/A"),AE19,0)),IF(R19=W19-IF(OR(H19="N/A"),Y19,0),MAX(T19-IF(OR(H19="N/A"),V19,0),Z19-IF(OR(H19="N/A"),AB19,0),AC19-IF(OR(H19="N/A"),AE19,0)),IF(R19=Z19-IF(OR(H19="N/A"),AB19,0),MAX(T19-IF(OR(H19="N/A"),V19,0),W19-IF(OR(H19="N/A"),Y19,0),AC19-IF(OR(H19="N/A"),AE19,0)),IF(R19=AC19-IF(OR(H19="N/A"),AE19,0),MAX(T19-IF(OR(H19="N/A"),V19,0),W19-IF(OR(H19="N/A"),Y19,0),Z19-IF(OR(H19="N/A"),AB19,0)),0))))</f>
        <v>38.6</v>
      </c>
      <c r="T19" s="32">
        <v>39.200000000000003</v>
      </c>
      <c r="U19" s="37">
        <v>8</v>
      </c>
      <c r="V19" s="37">
        <v>0</v>
      </c>
      <c r="W19" s="33">
        <v>38.6</v>
      </c>
      <c r="X19" s="37">
        <v>8</v>
      </c>
      <c r="Y19" s="37">
        <v>0</v>
      </c>
      <c r="Z19" s="32">
        <v>36.200000000000003</v>
      </c>
      <c r="AA19" s="37">
        <v>5.8</v>
      </c>
      <c r="AB19" s="37">
        <v>0</v>
      </c>
      <c r="AC19" s="33">
        <v>35.799999999999997</v>
      </c>
      <c r="AD19" s="37">
        <v>6</v>
      </c>
      <c r="AE19" s="37">
        <v>0</v>
      </c>
    </row>
    <row r="20" spans="1:31" x14ac:dyDescent="0.2">
      <c r="A20" s="1" t="str" cm="1">
        <f t="array" ref="A20">IF(I20="","",IF(P20&lt;&gt;"",SUMPRODUCT((P$3:P$68&lt;&gt;"")*(G$3:G$68=G20)*(J$3:J$68&gt;J20)*(I$3:I$68="P"))+1,IF(O20&lt;&gt;"",SUMPRODUCT((O$3:O$68&lt;&gt;"")*(P$3:P$68="")*(G$3:G$68=G20)*(J$3:J$68&gt;J20)*(I$3:I$68="P"))+SUMPRODUCT((P$3:P$68&lt;&gt;"")*(G$3:G$68=G20)*(I$3:I$68="P"))+1,IF(N20&lt;&gt;"",SUMPRODUCT((N$3:N$68&lt;&gt;"")*(G$3:G$68=G20)*(J$3:J$68&gt;J20)*(I$3:I$68="P"))+1,IF(M20="P",SUMPRODUCT((O$3:O$68&lt;&gt;"")*(P$3:P$68="")*(G$3:G$68=G20)*(I$3:I$68="P"))+SUMPRODUCT((P$3:P$68&lt;&gt;"")*(G$3:G$68=G20)*(I$3:I$68="P"))+SUMPRODUCT((N$3:N$68&lt;&gt;"")*(G$3:G$68=G20)*(I$3:I$68="P"))+SUMPRODUCT((P$3:P$68="")*(O$3:O$68="")*(N$3:N$68="")*(M$3:M$68="P")*(G$3:G$68=G20)*(J$3:J$68&gt;J20)*(I$3:I$68="P"))+IF(H20="L5",SUMPRODUCT((P$3:P$68="")*(O$3:O$68="")*(N$3:N$68="")*(M$3:M$68="P")*(G$3:G$68=G20)*(J$3:J$68&lt;J20)*(H$3:H$68&lt;&gt;H20)*(I$3:I$68="P")),-1*SUMPRODUCT((P$3:P$68="")*(O$3:O$68="")*(N$3:N$68="")*(M$3:M$68="P")*(G$3:G$68=G20)*(J$3:J$68&gt;J20)*(H$3:H$68="L5")*(I$3:I$68="P")))+1,"")))))</f>
        <v/>
      </c>
      <c r="B20" s="1" t="str" cm="1">
        <f t="array" ref="B20">IF(P20&lt;&gt;"",SUMPRODUCT((P$3:P$68&lt;&gt;"")*(G$3:G$68=G20)*(J$3:J$68&gt;J20))+1,IF(O20&lt;&gt;"",SUMPRODUCT((O$3:O$68&lt;&gt;"")*(P$3:P$68="")*(G$3:G$68=G20)*(J$3:J$68&gt;J20))+SUMPRODUCT((P$3:P$68&lt;&gt;"")*(G$3:G$68=G20))+1,IF(N20&lt;&gt;"",SUMPRODUCT((N$3:N$68&lt;&gt;"")*(G$3:G$68=G20)*(J$3:J$68&gt;J20))+1,IF(M20="P",SUMPRODUCT((O$3:O$68&lt;&gt;"")*(P$3:P$68="")*(G$3:G$68=G20))+SUMPRODUCT((P$3:P$68&lt;&gt;"")*(G$3:G$68=G20))+SUMPRODUCT((N$3:N$68&lt;&gt;"")*(G$3:G$68=G20))+SUMPRODUCT((P$3:P$68="")*(O$3:O$68="")*(N$3:N$68="")*(M$3:M$68="P")*(G$3:G$68=G20)*(J$3:J$68&gt;J20))+IF(H20="L5",SUMPRODUCT((P$3:P$68="")*(O$3:O$68="")*(N$3:N$68="")*(M$3:M$68="P")*(G$3:G$68=G20)*(J$3:J$68&lt;J20)*(H$3:H$68&lt;&gt;H20)),-1*SUMPRODUCT((P$3:P$68="")*(O$3:O$68="")*(N$3:N$68="")*(M$3:M$68="P")*(G$3:G$68=G20)*(J$3:J$68&gt;J20)*(H$3:H$68="L5")))+1,""))))</f>
        <v/>
      </c>
      <c r="C20" s="35" t="s">
        <v>292</v>
      </c>
      <c r="D20" t="str">
        <f>IF(E20="","",VLOOKUP(E20,'Coaching Points'!A:B,2,0))</f>
        <v>BC</v>
      </c>
      <c r="E20" s="35" t="s">
        <v>40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210</v>
      </c>
      <c r="I20" s="40"/>
      <c r="J20" s="4">
        <f>R20+S20+IF(OR(H20="Junior",H20="Senior"),0.0002,IF(OR(H20="L7",H20="L6"),0.0001,0))+MAX(Z20,AC20)*0.0000001</f>
        <v>77.600203759999999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MAX(T20-IF(OR(H20="N/A"),V20,0),W20-IF(OR(H20="N/A"),Y20,0),Z20-IF(OR(H20="N/A"),AB20,0),AC20-IF(OR(H20="N/A"),AE20,0))</f>
        <v>39.200000000000003</v>
      </c>
      <c r="S20" s="4">
        <f>IF(R20=T20-IF(OR(H20="N/A"),V20,0),MAX(W20-IF(OR(H20="N/A"),Y20,0),Z20-IF(OR(H20="N/A"),AB20,0),AC20-IF(OR(H20="N/A"),AE20,0)),IF(R20=W20-IF(OR(H20="N/A"),Y20,0),MAX(T20-IF(OR(H20="N/A"),V20,0),Z20-IF(OR(H20="N/A"),AB20,0),AC20-IF(OR(H20="N/A"),AE20,0)),IF(R20=Z20-IF(OR(H20="N/A"),AB20,0),MAX(T20-IF(OR(H20="N/A"),V20,0),W20-IF(OR(H20="N/A"),Y20,0),AC20-IF(OR(H20="N/A"),AE20,0)),IF(R20=AC20-IF(OR(H20="N/A"),AE20,0),MAX(T20-IF(OR(H20="N/A"),V20,0),W20-IF(OR(H20="N/A"),Y20,0),Z20-IF(OR(H20="N/A"),AB20,0)),0))))</f>
        <v>38.4</v>
      </c>
      <c r="T20" s="32">
        <v>39.200000000000003</v>
      </c>
      <c r="U20" s="37">
        <v>7.6</v>
      </c>
      <c r="V20" s="37">
        <v>0.7</v>
      </c>
      <c r="W20" s="33">
        <v>38.4</v>
      </c>
      <c r="X20" s="37">
        <v>5.6999999999999993</v>
      </c>
      <c r="Y20" s="37">
        <v>0.7</v>
      </c>
      <c r="Z20" s="32">
        <v>37.6</v>
      </c>
      <c r="AA20" s="37">
        <v>5.6999999999999993</v>
      </c>
      <c r="AB20" s="37">
        <v>0.7</v>
      </c>
      <c r="AC20" s="33"/>
      <c r="AD20" s="37"/>
      <c r="AE20" s="37"/>
    </row>
    <row r="21" spans="1:31" x14ac:dyDescent="0.2">
      <c r="A21" s="1" t="str" cm="1">
        <f t="array" ref="A21">IF(I21="","",IF(P21&lt;&gt;"",SUMPRODUCT((P$3:P$68&lt;&gt;"")*(G$3:G$68=G21)*(J$3:J$68&gt;J21)*(I$3:I$68="P"))+1,IF(O21&lt;&gt;"",SUMPRODUCT((O$3:O$68&lt;&gt;"")*(P$3:P$68="")*(G$3:G$68=G21)*(J$3:J$68&gt;J21)*(I$3:I$68="P"))+SUMPRODUCT((P$3:P$68&lt;&gt;"")*(G$3:G$68=G21)*(I$3:I$68="P"))+1,IF(N21&lt;&gt;"",SUMPRODUCT((N$3:N$68&lt;&gt;"")*(G$3:G$68=G21)*(J$3:J$68&gt;J21)*(I$3:I$68="P"))+1,IF(M21="P",SUMPRODUCT((O$3:O$68&lt;&gt;"")*(P$3:P$68="")*(G$3:G$68=G21)*(I$3:I$68="P"))+SUMPRODUCT((P$3:P$68&lt;&gt;"")*(G$3:G$68=G21)*(I$3:I$68="P"))+SUMPRODUCT((N$3:N$68&lt;&gt;"")*(G$3:G$68=G21)*(I$3:I$68="P"))+SUMPRODUCT((P$3:P$68="")*(O$3:O$68="")*(N$3:N$68="")*(M$3:M$68="P")*(G$3:G$68=G21)*(J$3:J$68&gt;J21)*(I$3:I$68="P"))+IF(H21="L5",SUMPRODUCT((P$3:P$68="")*(O$3:O$68="")*(N$3:N$68="")*(M$3:M$68="P")*(G$3:G$68=G21)*(J$3:J$68&lt;J21)*(H$3:H$68&lt;&gt;H21)*(I$3:I$68="P")),-1*SUMPRODUCT((P$3:P$68="")*(O$3:O$68="")*(N$3:N$68="")*(M$3:M$68="P")*(G$3:G$68=G21)*(J$3:J$68&gt;J21)*(H$3:H$68="L5")*(I$3:I$68="P")))+1,"")))))</f>
        <v/>
      </c>
      <c r="B21" s="1" t="str" cm="1">
        <f t="array" ref="B21">IF(P21&lt;&gt;"",SUMPRODUCT((P$3:P$68&lt;&gt;"")*(G$3:G$68=G21)*(J$3:J$68&gt;J21))+1,IF(O21&lt;&gt;"",SUMPRODUCT((O$3:O$68&lt;&gt;"")*(P$3:P$68="")*(G$3:G$68=G21)*(J$3:J$68&gt;J21))+SUMPRODUCT((P$3:P$68&lt;&gt;"")*(G$3:G$68=G21))+1,IF(N21&lt;&gt;"",SUMPRODUCT((N$3:N$68&lt;&gt;"")*(G$3:G$68=G21)*(J$3:J$68&gt;J21))+1,IF(M21="P",SUMPRODUCT((O$3:O$68&lt;&gt;"")*(P$3:P$68="")*(G$3:G$68=G21))+SUMPRODUCT((P$3:P$68&lt;&gt;"")*(G$3:G$68=G21))+SUMPRODUCT((N$3:N$68&lt;&gt;"")*(G$3:G$68=G21))+SUMPRODUCT((P$3:P$68="")*(O$3:O$68="")*(N$3:N$68="")*(M$3:M$68="P")*(G$3:G$68=G21)*(J$3:J$68&gt;J21))+IF(H21="L5",SUMPRODUCT((P$3:P$68="")*(O$3:O$68="")*(N$3:N$68="")*(M$3:M$68="P")*(G$3:G$68=G21)*(J$3:J$68&lt;J21)*(H$3:H$68&lt;&gt;H21)),-1*SUMPRODUCT((P$3:P$68="")*(O$3:O$68="")*(N$3:N$68="")*(M$3:M$68="P")*(G$3:G$68=G21)*(J$3:J$68&gt;J21)*(H$3:H$68="L5")))+1,""))))</f>
        <v/>
      </c>
      <c r="C21" s="35" t="s">
        <v>315</v>
      </c>
      <c r="D21" t="str">
        <f>IF(E21="","",VLOOKUP(E21,'Coaching Points'!A:B,2,0))</f>
        <v>ON</v>
      </c>
      <c r="E21" s="35" t="s">
        <v>89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R21+S21+IF(OR(H21="Junior",H21="Senior"),0.0002,IF(OR(H21="L7",H21="L6"),0.0001,0))+MAX(Z21,AC21)*0.0000001</f>
        <v>77.100003829999991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MAX(T21-IF(OR(H21="N/A"),V21,0),W21-IF(OR(H21="N/A"),Y21,0),Z21-IF(OR(H21="N/A"),AB21,0),AC21-IF(OR(H21="N/A"),AE21,0))</f>
        <v>38.799999999999997</v>
      </c>
      <c r="S21" s="4">
        <f>IF(R21=T21-IF(OR(H21="N/A"),V21,0),MAX(W21-IF(OR(H21="N/A"),Y21,0),Z21-IF(OR(H21="N/A"),AB21,0),AC21-IF(OR(H21="N/A"),AE21,0)),IF(R21=W21-IF(OR(H21="N/A"),Y21,0),MAX(T21-IF(OR(H21="N/A"),V21,0),Z21-IF(OR(H21="N/A"),AB21,0),AC21-IF(OR(H21="N/A"),AE21,0)),IF(R21=Z21-IF(OR(H21="N/A"),AB21,0),MAX(T21-IF(OR(H21="N/A"),V21,0),W21-IF(OR(H21="N/A"),Y21,0),AC21-IF(OR(H21="N/A"),AE21,0)),IF(R21=AC21-IF(OR(H21="N/A"),AE21,0),MAX(T21-IF(OR(H21="N/A"),V21,0),W21-IF(OR(H21="N/A"),Y21,0),Z21-IF(OR(H21="N/A"),AB21,0)),0))))</f>
        <v>38.299999999999997</v>
      </c>
      <c r="T21" s="32">
        <v>36.6</v>
      </c>
      <c r="U21" s="37">
        <v>3.7</v>
      </c>
      <c r="V21" s="37">
        <v>0</v>
      </c>
      <c r="W21" s="33">
        <v>38.799999999999997</v>
      </c>
      <c r="X21" s="37">
        <v>4.5999999999999996</v>
      </c>
      <c r="Y21" s="37">
        <v>0</v>
      </c>
      <c r="Z21" s="32">
        <v>38.200000000000003</v>
      </c>
      <c r="AA21" s="37">
        <v>4.5999999999999996</v>
      </c>
      <c r="AB21" s="37">
        <v>0</v>
      </c>
      <c r="AC21" s="33">
        <v>38.299999999999997</v>
      </c>
      <c r="AD21" s="37">
        <v>4.5999999999999996</v>
      </c>
      <c r="AE21" s="37">
        <v>0</v>
      </c>
    </row>
    <row r="22" spans="1:31" x14ac:dyDescent="0.2">
      <c r="A22" s="1" t="str" cm="1">
        <f t="array" ref="A22">IF(I22="","",IF(P22&lt;&gt;"",SUMPRODUCT((P$3:P$68&lt;&gt;"")*(G$3:G$68=G22)*(J$3:J$68&gt;J22)*(I$3:I$68="P"))+1,IF(O22&lt;&gt;"",SUMPRODUCT((O$3:O$68&lt;&gt;"")*(P$3:P$68="")*(G$3:G$68=G22)*(J$3:J$68&gt;J22)*(I$3:I$68="P"))+SUMPRODUCT((P$3:P$68&lt;&gt;"")*(G$3:G$68=G22)*(I$3:I$68="P"))+1,IF(N22&lt;&gt;"",SUMPRODUCT((N$3:N$68&lt;&gt;"")*(G$3:G$68=G22)*(J$3:J$68&gt;J22)*(I$3:I$68="P"))+1,IF(M22="P",SUMPRODUCT((O$3:O$68&lt;&gt;"")*(P$3:P$68="")*(G$3:G$68=G22)*(I$3:I$68="P"))+SUMPRODUCT((P$3:P$68&lt;&gt;"")*(G$3:G$68=G22)*(I$3:I$68="P"))+SUMPRODUCT((N$3:N$68&lt;&gt;"")*(G$3:G$68=G22)*(I$3:I$68="P"))+SUMPRODUCT((P$3:P$68="")*(O$3:O$68="")*(N$3:N$68="")*(M$3:M$68="P")*(G$3:G$68=G22)*(J$3:J$68&gt;J22)*(I$3:I$68="P"))+IF(H22="L5",SUMPRODUCT((P$3:P$68="")*(O$3:O$68="")*(N$3:N$68="")*(M$3:M$68="P")*(G$3:G$68=G22)*(J$3:J$68&lt;J22)*(H$3:H$68&lt;&gt;H22)*(I$3:I$68="P")),-1*SUMPRODUCT((P$3:P$68="")*(O$3:O$68="")*(N$3:N$68="")*(M$3:M$68="P")*(G$3:G$68=G22)*(J$3:J$68&gt;J22)*(H$3:H$68="L5")*(I$3:I$68="P")))+1,"")))))</f>
        <v/>
      </c>
      <c r="B22" s="1" t="str" cm="1">
        <f t="array" ref="B22">IF(P22&lt;&gt;"",SUMPRODUCT((P$3:P$68&lt;&gt;"")*(G$3:G$68=G22)*(J$3:J$68&gt;J22))+1,IF(O22&lt;&gt;"",SUMPRODUCT((O$3:O$68&lt;&gt;"")*(P$3:P$68="")*(G$3:G$68=G22)*(J$3:J$68&gt;J22))+SUMPRODUCT((P$3:P$68&lt;&gt;"")*(G$3:G$68=G22))+1,IF(N22&lt;&gt;"",SUMPRODUCT((N$3:N$68&lt;&gt;"")*(G$3:G$68=G22)*(J$3:J$68&gt;J22))+1,IF(M22="P",SUMPRODUCT((O$3:O$68&lt;&gt;"")*(P$3:P$68="")*(G$3:G$68=G22))+SUMPRODUCT((P$3:P$68&lt;&gt;"")*(G$3:G$68=G22))+SUMPRODUCT((N$3:N$68&lt;&gt;"")*(G$3:G$68=G22))+SUMPRODUCT((P$3:P$68="")*(O$3:O$68="")*(N$3:N$68="")*(M$3:M$68="P")*(G$3:G$68=G22)*(J$3:J$68&gt;J22))+IF(H22="L5",SUMPRODUCT((P$3:P$68="")*(O$3:O$68="")*(N$3:N$68="")*(M$3:M$68="P")*(G$3:G$68=G22)*(J$3:J$68&lt;J22)*(H$3:H$68&lt;&gt;H22)),-1*SUMPRODUCT((P$3:P$68="")*(O$3:O$68="")*(N$3:N$68="")*(M$3:M$68="P")*(G$3:G$68=G22)*(J$3:J$68&gt;J22)*(H$3:H$68="L5")))+1,""))))</f>
        <v/>
      </c>
      <c r="C22" s="35" t="s">
        <v>302</v>
      </c>
      <c r="D22" t="str">
        <f>IF(E22="","",VLOOKUP(E22,'Coaching Points'!A:B,2,0))</f>
        <v>QC</v>
      </c>
      <c r="E22" s="35" t="s">
        <v>3</v>
      </c>
      <c r="F22" s="34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77.000103809999999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MAX(T22-IF(OR(H22="N/A"),V22,0),W22-IF(OR(H22="N/A"),Y22,0),Z22-IF(OR(H22="N/A"),AB22,0),AC22-IF(OR(H22="N/A"),AE22,0))</f>
        <v>38.9</v>
      </c>
      <c r="S22" s="4">
        <f>IF(R22=T22-IF(OR(H22="N/A"),V22,0),MAX(W22-IF(OR(H22="N/A"),Y22,0),Z22-IF(OR(H22="N/A"),AB22,0),AC22-IF(OR(H22="N/A"),AE22,0)),IF(R22=W22-IF(OR(H22="N/A"),Y22,0),MAX(T22-IF(OR(H22="N/A"),V22,0),Z22-IF(OR(H22="N/A"),AB22,0),AC22-IF(OR(H22="N/A"),AE22,0)),IF(R22=Z22-IF(OR(H22="N/A"),AB22,0),MAX(T22-IF(OR(H22="N/A"),V22,0),W22-IF(OR(H22="N/A"),Y22,0),AC22-IF(OR(H22="N/A"),AE22,0)),IF(R22=AC22-IF(OR(H22="N/A"),AE22,0),MAX(T22-IF(OR(H22="N/A"),V22,0),W22-IF(OR(H22="N/A"),Y22,0),Z22-IF(OR(H22="N/A"),AB22,0)),0))))</f>
        <v>38.1</v>
      </c>
      <c r="T22" s="32">
        <v>36.299999999999997</v>
      </c>
      <c r="U22" s="37">
        <v>4.0999999999999996</v>
      </c>
      <c r="V22" s="37">
        <v>0</v>
      </c>
      <c r="W22" s="33">
        <v>38.9</v>
      </c>
      <c r="X22" s="37">
        <v>7.3000000000000007</v>
      </c>
      <c r="Y22" s="37">
        <v>0</v>
      </c>
      <c r="Z22" s="32">
        <v>37.1</v>
      </c>
      <c r="AA22" s="37">
        <v>4.2</v>
      </c>
      <c r="AB22" s="37">
        <v>0</v>
      </c>
      <c r="AC22" s="33">
        <v>38.1</v>
      </c>
      <c r="AD22" s="37">
        <v>4.8</v>
      </c>
      <c r="AE22" s="37">
        <v>0</v>
      </c>
    </row>
    <row r="23" spans="1:31" x14ac:dyDescent="0.2">
      <c r="A23" s="1" t="str" cm="1">
        <f t="array" ref="A23">IF(I23="","",IF(P23&lt;&gt;"",SUMPRODUCT((P$3:P$68&lt;&gt;"")*(G$3:G$68=G23)*(J$3:J$68&gt;J23)*(I$3:I$68="P"))+1,IF(O23&lt;&gt;"",SUMPRODUCT((O$3:O$68&lt;&gt;"")*(P$3:P$68="")*(G$3:G$68=G23)*(J$3:J$68&gt;J23)*(I$3:I$68="P"))+SUMPRODUCT((P$3:P$68&lt;&gt;"")*(G$3:G$68=G23)*(I$3:I$68="P"))+1,IF(N23&lt;&gt;"",SUMPRODUCT((N$3:N$68&lt;&gt;"")*(G$3:G$68=G23)*(J$3:J$68&gt;J23)*(I$3:I$68="P"))+1,IF(M23="P",SUMPRODUCT((O$3:O$68&lt;&gt;"")*(P$3:P$68="")*(G$3:G$68=G23)*(I$3:I$68="P"))+SUMPRODUCT((P$3:P$68&lt;&gt;"")*(G$3:G$68=G23)*(I$3:I$68="P"))+SUMPRODUCT((N$3:N$68&lt;&gt;"")*(G$3:G$68=G23)*(I$3:I$68="P"))+SUMPRODUCT((P$3:P$68="")*(O$3:O$68="")*(N$3:N$68="")*(M$3:M$68="P")*(G$3:G$68=G23)*(J$3:J$68&gt;J23)*(I$3:I$68="P"))+IF(H23="L5",SUMPRODUCT((P$3:P$68="")*(O$3:O$68="")*(N$3:N$68="")*(M$3:M$68="P")*(G$3:G$68=G23)*(J$3:J$68&lt;J23)*(H$3:H$68&lt;&gt;H23)*(I$3:I$68="P")),-1*SUMPRODUCT((P$3:P$68="")*(O$3:O$68="")*(N$3:N$68="")*(M$3:M$68="P")*(G$3:G$68=G23)*(J$3:J$68&gt;J23)*(H$3:H$68="L5")*(I$3:I$68="P")))+1,"")))))</f>
        <v/>
      </c>
      <c r="B23" s="1" t="str" cm="1">
        <f t="array" ref="B23">IF(P23&lt;&gt;"",SUMPRODUCT((P$3:P$68&lt;&gt;"")*(G$3:G$68=G23)*(J$3:J$68&gt;J23))+1,IF(O23&lt;&gt;"",SUMPRODUCT((O$3:O$68&lt;&gt;"")*(P$3:P$68="")*(G$3:G$68=G23)*(J$3:J$68&gt;J23))+SUMPRODUCT((P$3:P$68&lt;&gt;"")*(G$3:G$68=G23))+1,IF(N23&lt;&gt;"",SUMPRODUCT((N$3:N$68&lt;&gt;"")*(G$3:G$68=G23)*(J$3:J$68&gt;J23))+1,IF(M23="P",SUMPRODUCT((O$3:O$68&lt;&gt;"")*(P$3:P$68="")*(G$3:G$68=G23))+SUMPRODUCT((P$3:P$68&lt;&gt;"")*(G$3:G$68=G23))+SUMPRODUCT((N$3:N$68&lt;&gt;"")*(G$3:G$68=G23))+SUMPRODUCT((P$3:P$68="")*(O$3:O$68="")*(N$3:N$68="")*(M$3:M$68="P")*(G$3:G$68=G23)*(J$3:J$68&gt;J23))+IF(H23="L5",SUMPRODUCT((P$3:P$68="")*(O$3:O$68="")*(N$3:N$68="")*(M$3:M$68="P")*(G$3:G$68=G23)*(J$3:J$68&lt;J23)*(H$3:H$68&lt;&gt;H23)),-1*SUMPRODUCT((P$3:P$68="")*(O$3:O$68="")*(N$3:N$68="")*(M$3:M$68="P")*(G$3:G$68=G23)*(J$3:J$68&gt;J23)*(H$3:H$68="L5")))+1,""))))</f>
        <v/>
      </c>
      <c r="C23" s="35" t="s">
        <v>316</v>
      </c>
      <c r="D23" t="str">
        <f>IF(E23="","",VLOOKUP(E23,'Coaching Points'!A:B,2,0))</f>
        <v>QC</v>
      </c>
      <c r="E23" s="35" t="s">
        <v>326</v>
      </c>
      <c r="F23" s="34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76.200003629999998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MAX(T23-IF(OR(H23="N/A"),V23,0),W23-IF(OR(H23="N/A"),Y23,0),Z23-IF(OR(H23="N/A"),AB23,0),AC23-IF(OR(H23="N/A"),AE23,0))</f>
        <v>38.6</v>
      </c>
      <c r="S23" s="4">
        <f>IF(R23=T23-IF(OR(H23="N/A"),V23,0),MAX(W23-IF(OR(H23="N/A"),Y23,0),Z23-IF(OR(H23="N/A"),AB23,0),AC23-IF(OR(H23="N/A"),AE23,0)),IF(R23=W23-IF(OR(H23="N/A"),Y23,0),MAX(T23-IF(OR(H23="N/A"),V23,0),Z23-IF(OR(H23="N/A"),AB23,0),AC23-IF(OR(H23="N/A"),AE23,0)),IF(R23=Z23-IF(OR(H23="N/A"),AB23,0),MAX(T23-IF(OR(H23="N/A"),V23,0),W23-IF(OR(H23="N/A"),Y23,0),AC23-IF(OR(H23="N/A"),AE23,0)),IF(R23=AC23-IF(OR(H23="N/A"),AE23,0),MAX(T23-IF(OR(H23="N/A"),V23,0),W23-IF(OR(H23="N/A"),Y23,0),Z23-IF(OR(H23="N/A"),AB23,0)),0))))</f>
        <v>37.6</v>
      </c>
      <c r="T23" s="32">
        <v>37.6</v>
      </c>
      <c r="U23" s="37">
        <v>5</v>
      </c>
      <c r="V23" s="37">
        <v>0</v>
      </c>
      <c r="W23" s="33">
        <v>38.6</v>
      </c>
      <c r="X23" s="37">
        <v>5</v>
      </c>
      <c r="Y23" s="37">
        <v>0</v>
      </c>
      <c r="Z23" s="32">
        <v>36.299999999999997</v>
      </c>
      <c r="AA23" s="37">
        <v>5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$68&lt;&gt;"")*(G$3:G$68=G24)*(J$3:J$68&gt;J24)*(I$3:I$68="P"))+1,IF(O24&lt;&gt;"",SUMPRODUCT((O$3:O$68&lt;&gt;"")*(P$3:P$68="")*(G$3:G$68=G24)*(J$3:J$68&gt;J24)*(I$3:I$68="P"))+SUMPRODUCT((P$3:P$68&lt;&gt;"")*(G$3:G$68=G24)*(I$3:I$68="P"))+1,IF(N24&lt;&gt;"",SUMPRODUCT((N$3:N$68&lt;&gt;"")*(G$3:G$68=G24)*(J$3:J$68&gt;J24)*(I$3:I$68="P"))+1,IF(M24="P",SUMPRODUCT((O$3:O$68&lt;&gt;"")*(P$3:P$68="")*(G$3:G$68=G24)*(I$3:I$68="P"))+SUMPRODUCT((P$3:P$68&lt;&gt;"")*(G$3:G$68=G24)*(I$3:I$68="P"))+SUMPRODUCT((N$3:N$68&lt;&gt;"")*(G$3:G$68=G24)*(I$3:I$68="P"))+SUMPRODUCT((P$3:P$68="")*(O$3:O$68="")*(N$3:N$68="")*(M$3:M$68="P")*(G$3:G$68=G24)*(J$3:J$68&gt;J24)*(I$3:I$68="P"))+IF(H24="L5",SUMPRODUCT((P$3:P$68="")*(O$3:O$68="")*(N$3:N$68="")*(M$3:M$68="P")*(G$3:G$68=G24)*(J$3:J$68&lt;J24)*(H$3:H$68&lt;&gt;H24)*(I$3:I$68="P")),-1*SUMPRODUCT((P$3:P$68="")*(O$3:O$68="")*(N$3:N$68="")*(M$3:M$68="P")*(G$3:G$68=G24)*(J$3:J$68&gt;J24)*(H$3:H$68="L5")*(I$3:I$68="P")))+1,"")))))</f>
        <v/>
      </c>
      <c r="B24" s="1" t="str" cm="1">
        <f t="array" ref="B24">IF(P24&lt;&gt;"",SUMPRODUCT((P$3:P$68&lt;&gt;"")*(G$3:G$68=G24)*(J$3:J$68&gt;J24))+1,IF(O24&lt;&gt;"",SUMPRODUCT((O$3:O$68&lt;&gt;"")*(P$3:P$68="")*(G$3:G$68=G24)*(J$3:J$68&gt;J24))+SUMPRODUCT((P$3:P$68&lt;&gt;"")*(G$3:G$68=G24))+1,IF(N24&lt;&gt;"",SUMPRODUCT((N$3:N$68&lt;&gt;"")*(G$3:G$68=G24)*(J$3:J$68&gt;J24))+1,IF(M24="P",SUMPRODUCT((O$3:O$68&lt;&gt;"")*(P$3:P$68="")*(G$3:G$68=G24))+SUMPRODUCT((P$3:P$68&lt;&gt;"")*(G$3:G$68=G24))+SUMPRODUCT((N$3:N$68&lt;&gt;"")*(G$3:G$68=G24))+SUMPRODUCT((P$3:P$68="")*(O$3:O$68="")*(N$3:N$68="")*(M$3:M$68="P")*(G$3:G$68=G24)*(J$3:J$68&gt;J24))+IF(H24="L5",SUMPRODUCT((P$3:P$68="")*(O$3:O$68="")*(N$3:N$68="")*(M$3:M$68="P")*(G$3:G$68=G24)*(J$3:J$68&lt;J24)*(H$3:H$68&lt;&gt;H24)),-1*SUMPRODUCT((P$3:P$68="")*(O$3:O$68="")*(N$3:N$68="")*(M$3:M$68="P")*(G$3:G$68=G24)*(J$3:J$68&gt;J24)*(H$3:H$68="L5")))+1,""))))</f>
        <v/>
      </c>
      <c r="C24" s="35" t="s">
        <v>317</v>
      </c>
      <c r="D24" t="str">
        <f>IF(E24="","",VLOOKUP(E24,'Coaching Points'!A:B,2,0))</f>
        <v>BC</v>
      </c>
      <c r="E24" s="35" t="s">
        <v>60</v>
      </c>
      <c r="F24" s="34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76.100003629999989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MAX(T24-IF(OR(H24="N/A"),V24,0),W24-IF(OR(H24="N/A"),Y24,0),Z24-IF(OR(H24="N/A"),AB24,0),AC24-IF(OR(H24="N/A"),AE24,0))</f>
        <v>38.1</v>
      </c>
      <c r="S24" s="4">
        <f>IF(R24=T24-IF(OR(H24="N/A"),V24,0),MAX(W24-IF(OR(H24="N/A"),Y24,0),Z24-IF(OR(H24="N/A"),AB24,0),AC24-IF(OR(H24="N/A"),AE24,0)),IF(R24=W24-IF(OR(H24="N/A"),Y24,0),MAX(T24-IF(OR(H24="N/A"),V24,0),Z24-IF(OR(H24="N/A"),AB24,0),AC24-IF(OR(H24="N/A"),AE24,0)),IF(R24=Z24-IF(OR(H24="N/A"),AB24,0),MAX(T24-IF(OR(H24="N/A"),V24,0),W24-IF(OR(H24="N/A"),Y24,0),AC24-IF(OR(H24="N/A"),AE24,0)),IF(R24=AC24-IF(OR(H24="N/A"),AE24,0),MAX(T24-IF(OR(H24="N/A"),V24,0),W24-IF(OR(H24="N/A"),Y24,0),Z24-IF(OR(H24="N/A"),AB24,0)),0))))</f>
        <v>38</v>
      </c>
      <c r="T24" s="32">
        <v>38.1</v>
      </c>
      <c r="U24" s="37">
        <v>5.1999999999999993</v>
      </c>
      <c r="V24" s="37">
        <v>0</v>
      </c>
      <c r="W24" s="33">
        <v>38</v>
      </c>
      <c r="X24" s="37">
        <v>5.1999999999999993</v>
      </c>
      <c r="Y24" s="37">
        <v>0</v>
      </c>
      <c r="Z24" s="32">
        <v>36.299999999999997</v>
      </c>
      <c r="AA24" s="37">
        <v>4.1999999999999993</v>
      </c>
      <c r="AB24" s="37">
        <v>0</v>
      </c>
      <c r="AC24" s="33"/>
      <c r="AD24" s="37"/>
      <c r="AE24" s="37"/>
    </row>
    <row r="25" spans="1:31" x14ac:dyDescent="0.2">
      <c r="A25" s="1" t="str" cm="1">
        <f t="array" ref="A25">IF(I25="","",IF(P25&lt;&gt;"",SUMPRODUCT((P$3:P$68&lt;&gt;"")*(G$3:G$68=G25)*(J$3:J$68&gt;J25)*(I$3:I$68="P"))+1,IF(O25&lt;&gt;"",SUMPRODUCT((O$3:O$68&lt;&gt;"")*(P$3:P$68="")*(G$3:G$68=G25)*(J$3:J$68&gt;J25)*(I$3:I$68="P"))+SUMPRODUCT((P$3:P$68&lt;&gt;"")*(G$3:G$68=G25)*(I$3:I$68="P"))+1,IF(N25&lt;&gt;"",SUMPRODUCT((N$3:N$68&lt;&gt;"")*(G$3:G$68=G25)*(J$3:J$68&gt;J25)*(I$3:I$68="P"))+1,IF(M25="P",SUMPRODUCT((O$3:O$68&lt;&gt;"")*(P$3:P$68="")*(G$3:G$68=G25)*(I$3:I$68="P"))+SUMPRODUCT((P$3:P$68&lt;&gt;"")*(G$3:G$68=G25)*(I$3:I$68="P"))+SUMPRODUCT((N$3:N$68&lt;&gt;"")*(G$3:G$68=G25)*(I$3:I$68="P"))+SUMPRODUCT((P$3:P$68="")*(O$3:O$68="")*(N$3:N$68="")*(M$3:M$68="P")*(G$3:G$68=G25)*(J$3:J$68&gt;J25)*(I$3:I$68="P"))+IF(H25="L5",SUMPRODUCT((P$3:P$68="")*(O$3:O$68="")*(N$3:N$68="")*(M$3:M$68="P")*(G$3:G$68=G25)*(J$3:J$68&lt;J25)*(H$3:H$68&lt;&gt;H25)*(I$3:I$68="P")),-1*SUMPRODUCT((P$3:P$68="")*(O$3:O$68="")*(N$3:N$68="")*(M$3:M$68="P")*(G$3:G$68=G25)*(J$3:J$68&gt;J25)*(H$3:H$68="L5")*(I$3:I$68="P")))+1,"")))))</f>
        <v/>
      </c>
      <c r="B25" s="1" t="str" cm="1">
        <f t="array" ref="B25">IF(P25&lt;&gt;"",SUMPRODUCT((P$3:P$68&lt;&gt;"")*(G$3:G$68=G25)*(J$3:J$68&gt;J25))+1,IF(O25&lt;&gt;"",SUMPRODUCT((O$3:O$68&lt;&gt;"")*(P$3:P$68="")*(G$3:G$68=G25)*(J$3:J$68&gt;J25))+SUMPRODUCT((P$3:P$68&lt;&gt;"")*(G$3:G$68=G25))+1,IF(N25&lt;&gt;"",SUMPRODUCT((N$3:N$68&lt;&gt;"")*(G$3:G$68=G25)*(J$3:J$68&gt;J25))+1,IF(M25="P",SUMPRODUCT((O$3:O$68&lt;&gt;"")*(P$3:P$68="")*(G$3:G$68=G25))+SUMPRODUCT((P$3:P$68&lt;&gt;"")*(G$3:G$68=G25))+SUMPRODUCT((N$3:N$68&lt;&gt;"")*(G$3:G$68=G25))+SUMPRODUCT((P$3:P$68="")*(O$3:O$68="")*(N$3:N$68="")*(M$3:M$68="P")*(G$3:G$68=G25)*(J$3:J$68&gt;J25))+IF(H25="L5",SUMPRODUCT((P$3:P$68="")*(O$3:O$68="")*(N$3:N$68="")*(M$3:M$68="P")*(G$3:G$68=G25)*(J$3:J$68&lt;J25)*(H$3:H$68&lt;&gt;H25)),-1*SUMPRODUCT((P$3:P$68="")*(O$3:O$68="")*(N$3:N$68="")*(M$3:M$68="P")*(G$3:G$68=G25)*(J$3:J$68&gt;J25)*(H$3:H$68="L5")))+1,""))))</f>
        <v/>
      </c>
      <c r="C25" s="35" t="s">
        <v>320</v>
      </c>
      <c r="D25" t="str">
        <f>IF(E25="","",VLOOKUP(E25,'Coaching Points'!A:B,2,0))</f>
        <v>QC</v>
      </c>
      <c r="E25" s="35" t="s">
        <v>3</v>
      </c>
      <c r="F25" s="34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75.400003780000006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MAX(T25-IF(OR(H25="N/A"),V25,0),W25-IF(OR(H25="N/A"),Y25,0),Z25-IF(OR(H25="N/A"),AB25,0),AC25-IF(OR(H25="N/A"),AE25,0))</f>
        <v>37.799999999999997</v>
      </c>
      <c r="S25" s="4">
        <f>IF(R25=T25-IF(OR(H25="N/A"),V25,0),MAX(W25-IF(OR(H25="N/A"),Y25,0),Z25-IF(OR(H25="N/A"),AB25,0),AC25-IF(OR(H25="N/A"),AE25,0)),IF(R25=W25-IF(OR(H25="N/A"),Y25,0),MAX(T25-IF(OR(H25="N/A"),V25,0),Z25-IF(OR(H25="N/A"),AB25,0),AC25-IF(OR(H25="N/A"),AE25,0)),IF(R25=Z25-IF(OR(H25="N/A"),AB25,0),MAX(T25-IF(OR(H25="N/A"),V25,0),W25-IF(OR(H25="N/A"),Y25,0),AC25-IF(OR(H25="N/A"),AE25,0)),IF(R25=AC25-IF(OR(H25="N/A"),AE25,0),MAX(T25-IF(OR(H25="N/A"),V25,0),W25-IF(OR(H25="N/A"),Y25,0),Z25-IF(OR(H25="N/A"),AB25,0)),0))))</f>
        <v>37.6</v>
      </c>
      <c r="T25" s="32">
        <v>36.200000000000003</v>
      </c>
      <c r="U25" s="37">
        <v>4.4000000000000004</v>
      </c>
      <c r="V25" s="37">
        <v>0</v>
      </c>
      <c r="W25" s="33">
        <v>34.799999999999997</v>
      </c>
      <c r="X25" s="37">
        <v>4.4000000000000004</v>
      </c>
      <c r="Y25" s="37">
        <v>0</v>
      </c>
      <c r="Z25" s="32">
        <v>37.799999999999997</v>
      </c>
      <c r="AA25" s="37">
        <v>4.4000000000000004</v>
      </c>
      <c r="AB25" s="37">
        <v>0</v>
      </c>
      <c r="AC25" s="33">
        <v>37.6</v>
      </c>
      <c r="AD25" s="37">
        <v>4.4000000000000004</v>
      </c>
      <c r="AE25" s="37">
        <v>0</v>
      </c>
    </row>
    <row r="26" spans="1:31" x14ac:dyDescent="0.2">
      <c r="A26" s="1" t="str" cm="1">
        <f t="array" ref="A26">IF(I26="","",IF(P26&lt;&gt;"",SUMPRODUCT((P$3:P$68&lt;&gt;"")*(G$3:G$68=G26)*(J$3:J$68&gt;J26)*(I$3:I$68="P"))+1,IF(O26&lt;&gt;"",SUMPRODUCT((O$3:O$68&lt;&gt;"")*(P$3:P$68="")*(G$3:G$68=G26)*(J$3:J$68&gt;J26)*(I$3:I$68="P"))+SUMPRODUCT((P$3:P$68&lt;&gt;"")*(G$3:G$68=G26)*(I$3:I$68="P"))+1,IF(N26&lt;&gt;"",SUMPRODUCT((N$3:N$68&lt;&gt;"")*(G$3:G$68=G26)*(J$3:J$68&gt;J26)*(I$3:I$68="P"))+1,IF(M26="P",SUMPRODUCT((O$3:O$68&lt;&gt;"")*(P$3:P$68="")*(G$3:G$68=G26)*(I$3:I$68="P"))+SUMPRODUCT((P$3:P$68&lt;&gt;"")*(G$3:G$68=G26)*(I$3:I$68="P"))+SUMPRODUCT((N$3:N$68&lt;&gt;"")*(G$3:G$68=G26)*(I$3:I$68="P"))+SUMPRODUCT((P$3:P$68="")*(O$3:O$68="")*(N$3:N$68="")*(M$3:M$68="P")*(G$3:G$68=G26)*(J$3:J$68&gt;J26)*(I$3:I$68="P"))+IF(H26="L5",SUMPRODUCT((P$3:P$68="")*(O$3:O$68="")*(N$3:N$68="")*(M$3:M$68="P")*(G$3:G$68=G26)*(J$3:J$68&lt;J26)*(H$3:H$68&lt;&gt;H26)*(I$3:I$68="P")),-1*SUMPRODUCT((P$3:P$68="")*(O$3:O$68="")*(N$3:N$68="")*(M$3:M$68="P")*(G$3:G$68=G26)*(J$3:J$68&gt;J26)*(H$3:H$68="L5")*(I$3:I$68="P")))+1,"")))))</f>
        <v/>
      </c>
      <c r="B26" s="1" t="str" cm="1">
        <f t="array" ref="B26">IF(P26&lt;&gt;"",SUMPRODUCT((P$3:P$68&lt;&gt;"")*(G$3:G$68=G26)*(J$3:J$68&gt;J26))+1,IF(O26&lt;&gt;"",SUMPRODUCT((O$3:O$68&lt;&gt;"")*(P$3:P$68="")*(G$3:G$68=G26)*(J$3:J$68&gt;J26))+SUMPRODUCT((P$3:P$68&lt;&gt;"")*(G$3:G$68=G26))+1,IF(N26&lt;&gt;"",SUMPRODUCT((N$3:N$68&lt;&gt;"")*(G$3:G$68=G26)*(J$3:J$68&gt;J26))+1,IF(M26="P",SUMPRODUCT((O$3:O$68&lt;&gt;"")*(P$3:P$68="")*(G$3:G$68=G26))+SUMPRODUCT((P$3:P$68&lt;&gt;"")*(G$3:G$68=G26))+SUMPRODUCT((N$3:N$68&lt;&gt;"")*(G$3:G$68=G26))+SUMPRODUCT((P$3:P$68="")*(O$3:O$68="")*(N$3:N$68="")*(M$3:M$68="P")*(G$3:G$68=G26)*(J$3:J$68&gt;J26))+IF(H26="L5",SUMPRODUCT((P$3:P$68="")*(O$3:O$68="")*(N$3:N$68="")*(M$3:M$68="P")*(G$3:G$68=G26)*(J$3:J$68&lt;J26)*(H$3:H$68&lt;&gt;H26)),-1*SUMPRODUCT((P$3:P$68="")*(O$3:O$68="")*(N$3:N$68="")*(M$3:M$68="P")*(G$3:G$68=G26)*(J$3:J$68&gt;J26)*(H$3:H$68="L5")))+1,""))))</f>
        <v/>
      </c>
      <c r="C26" s="35" t="s">
        <v>464</v>
      </c>
      <c r="D26" t="str">
        <f>IF(E26="","",VLOOKUP(E26,'Coaching Points'!A:B,2,0))</f>
        <v>QC</v>
      </c>
      <c r="E26" s="35" t="s">
        <v>507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75.300003920000009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MAX(T26-IF(OR(H26="N/A"),V26,0),W26-IF(OR(H26="N/A"),Y26,0),Z26-IF(OR(H26="N/A"),AB26,0),AC26-IF(OR(H26="N/A"),AE26,0))</f>
        <v>39.200000000000003</v>
      </c>
      <c r="S26" s="4">
        <f>IF(R26=T26-IF(OR(H26="N/A"),V26,0),MAX(W26-IF(OR(H26="N/A"),Y26,0),Z26-IF(OR(H26="N/A"),AB26,0),AC26-IF(OR(H26="N/A"),AE26,0)),IF(R26=W26-IF(OR(H26="N/A"),Y26,0),MAX(T26-IF(OR(H26="N/A"),V26,0),Z26-IF(OR(H26="N/A"),AB26,0),AC26-IF(OR(H26="N/A"),AE26,0)),IF(R26=Z26-IF(OR(H26="N/A"),AB26,0),MAX(T26-IF(OR(H26="N/A"),V26,0),W26-IF(OR(H26="N/A"),Y26,0),AC26-IF(OR(H26="N/A"),AE26,0)),IF(R26=AC26-IF(OR(H26="N/A"),AE26,0),MAX(T26-IF(OR(H26="N/A"),V26,0),W26-IF(OR(H26="N/A"),Y26,0),Z26-IF(OR(H26="N/A"),AB26,0)),0))))</f>
        <v>36.1</v>
      </c>
      <c r="T26" s="32"/>
      <c r="U26" s="37"/>
      <c r="V26" s="37">
        <v>0</v>
      </c>
      <c r="W26" s="33"/>
      <c r="X26" s="37"/>
      <c r="Y26" s="37"/>
      <c r="Z26" s="32">
        <v>39.200000000000003</v>
      </c>
      <c r="AA26" s="37">
        <v>5.5</v>
      </c>
      <c r="AB26" s="37">
        <v>1</v>
      </c>
      <c r="AC26" s="33">
        <v>36.1</v>
      </c>
      <c r="AD26" s="37">
        <v>3.6999999999999997</v>
      </c>
      <c r="AE26" s="37">
        <v>0</v>
      </c>
    </row>
    <row r="27" spans="1:31" x14ac:dyDescent="0.2">
      <c r="A27" s="1" t="str" cm="1">
        <f t="array" ref="A27">IF(I27="","",IF(P27&lt;&gt;"",SUMPRODUCT((P$3:P$68&lt;&gt;"")*(G$3:G$68=G27)*(J$3:J$68&gt;J27)*(I$3:I$68="P"))+1,IF(O27&lt;&gt;"",SUMPRODUCT((O$3:O$68&lt;&gt;"")*(P$3:P$68="")*(G$3:G$68=G27)*(J$3:J$68&gt;J27)*(I$3:I$68="P"))+SUMPRODUCT((P$3:P$68&lt;&gt;"")*(G$3:G$68=G27)*(I$3:I$68="P"))+1,IF(N27&lt;&gt;"",SUMPRODUCT((N$3:N$68&lt;&gt;"")*(G$3:G$68=G27)*(J$3:J$68&gt;J27)*(I$3:I$68="P"))+1,IF(M27="P",SUMPRODUCT((O$3:O$68&lt;&gt;"")*(P$3:P$68="")*(G$3:G$68=G27)*(I$3:I$68="P"))+SUMPRODUCT((P$3:P$68&lt;&gt;"")*(G$3:G$68=G27)*(I$3:I$68="P"))+SUMPRODUCT((N$3:N$68&lt;&gt;"")*(G$3:G$68=G27)*(I$3:I$68="P"))+SUMPRODUCT((P$3:P$68="")*(O$3:O$68="")*(N$3:N$68="")*(M$3:M$68="P")*(G$3:G$68=G27)*(J$3:J$68&gt;J27)*(I$3:I$68="P"))+IF(H27="L5",SUMPRODUCT((P$3:P$68="")*(O$3:O$68="")*(N$3:N$68="")*(M$3:M$68="P")*(G$3:G$68=G27)*(J$3:J$68&lt;J27)*(H$3:H$68&lt;&gt;H27)*(I$3:I$68="P")),-1*SUMPRODUCT((P$3:P$68="")*(O$3:O$68="")*(N$3:N$68="")*(M$3:M$68="P")*(G$3:G$68=G27)*(J$3:J$68&gt;J27)*(H$3:H$68="L5")*(I$3:I$68="P")))+1,"")))))</f>
        <v/>
      </c>
      <c r="B27" s="1" t="str" cm="1">
        <f t="array" ref="B27">IF(P27&lt;&gt;"",SUMPRODUCT((P$3:P$68&lt;&gt;"")*(G$3:G$68=G27)*(J$3:J$68&gt;J27))+1,IF(O27&lt;&gt;"",SUMPRODUCT((O$3:O$68&lt;&gt;"")*(P$3:P$68="")*(G$3:G$68=G27)*(J$3:J$68&gt;J27))+SUMPRODUCT((P$3:P$68&lt;&gt;"")*(G$3:G$68=G27))+1,IF(N27&lt;&gt;"",SUMPRODUCT((N$3:N$68&lt;&gt;"")*(G$3:G$68=G27)*(J$3:J$68&gt;J27))+1,IF(M27="P",SUMPRODUCT((O$3:O$68&lt;&gt;"")*(P$3:P$68="")*(G$3:G$68=G27))+SUMPRODUCT((P$3:P$68&lt;&gt;"")*(G$3:G$68=G27))+SUMPRODUCT((N$3:N$68&lt;&gt;"")*(G$3:G$68=G27))+SUMPRODUCT((P$3:P$68="")*(O$3:O$68="")*(N$3:N$68="")*(M$3:M$68="P")*(G$3:G$68=G27)*(J$3:J$68&gt;J27))+IF(H27="L5",SUMPRODUCT((P$3:P$68="")*(O$3:O$68="")*(N$3:N$68="")*(M$3:M$68="P")*(G$3:G$68=G27)*(J$3:J$68&lt;J27)*(H$3:H$68&lt;&gt;H27)),-1*SUMPRODUCT((P$3:P$68="")*(O$3:O$68="")*(N$3:N$68="")*(M$3:M$68="P")*(G$3:G$68=G27)*(J$3:J$68&gt;J27)*(H$3:H$68="L5")))+1,""))))</f>
        <v/>
      </c>
      <c r="C27" s="35" t="s">
        <v>319</v>
      </c>
      <c r="D27" t="str">
        <f>IF(E27="","",VLOOKUP(E27,'Coaching Points'!A:B,2,0))</f>
        <v>NS</v>
      </c>
      <c r="E27" s="35" t="s">
        <v>86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73.400003580000003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MAX(T27-IF(OR(H27="N/A"),V27,0),W27-IF(OR(H27="N/A"),Y27,0),Z27-IF(OR(H27="N/A"),AB27,0),AC27-IF(OR(H27="N/A"),AE27,0))</f>
        <v>37.1</v>
      </c>
      <c r="S27" s="4">
        <f>IF(R27=T27-IF(OR(H27="N/A"),V27,0),MAX(W27-IF(OR(H27="N/A"),Y27,0),Z27-IF(OR(H27="N/A"),AB27,0),AC27-IF(OR(H27="N/A"),AE27,0)),IF(R27=W27-IF(OR(H27="N/A"),Y27,0),MAX(T27-IF(OR(H27="N/A"),V27,0),Z27-IF(OR(H27="N/A"),AB27,0),AC27-IF(OR(H27="N/A"),AE27,0)),IF(R27=Z27-IF(OR(H27="N/A"),AB27,0),MAX(T27-IF(OR(H27="N/A"),V27,0),W27-IF(OR(H27="N/A"),Y27,0),AC27-IF(OR(H27="N/A"),AE27,0)),IF(R27=AC27-IF(OR(H27="N/A"),AE27,0),MAX(T27-IF(OR(H27="N/A"),V27,0),W27-IF(OR(H27="N/A"),Y27,0),Z27-IF(OR(H27="N/A"),AB27,0)),0))))</f>
        <v>36.299999999999997</v>
      </c>
      <c r="T27" s="32">
        <v>36.299999999999997</v>
      </c>
      <c r="U27" s="37">
        <v>4.0999999999999996</v>
      </c>
      <c r="V27" s="37">
        <v>0</v>
      </c>
      <c r="W27" s="33">
        <v>37.1</v>
      </c>
      <c r="X27" s="37">
        <v>4.4000000000000004</v>
      </c>
      <c r="Y27" s="37">
        <v>0</v>
      </c>
      <c r="Z27" s="32">
        <v>35.799999999999997</v>
      </c>
      <c r="AA27" s="37">
        <v>4.4000000000000004</v>
      </c>
      <c r="AB27" s="37">
        <v>0</v>
      </c>
      <c r="AC27" s="33"/>
      <c r="AD27" s="37"/>
      <c r="AE27" s="37"/>
    </row>
    <row r="28" spans="1:31" x14ac:dyDescent="0.2">
      <c r="A28" s="1" t="str" cm="1">
        <f t="array" ref="A28">IF(I28="","",IF(P28&lt;&gt;"",SUMPRODUCT((P$3:P$68&lt;&gt;"")*(G$3:G$68=G28)*(J$3:J$68&gt;J28)*(I$3:I$68="P"))+1,IF(O28&lt;&gt;"",SUMPRODUCT((O$3:O$68&lt;&gt;"")*(P$3:P$68="")*(G$3:G$68=G28)*(J$3:J$68&gt;J28)*(I$3:I$68="P"))+SUMPRODUCT((P$3:P$68&lt;&gt;"")*(G$3:G$68=G28)*(I$3:I$68="P"))+1,IF(N28&lt;&gt;"",SUMPRODUCT((N$3:N$68&lt;&gt;"")*(G$3:G$68=G28)*(J$3:J$68&gt;J28)*(I$3:I$68="P"))+1,IF(M28="P",SUMPRODUCT((O$3:O$68&lt;&gt;"")*(P$3:P$68="")*(G$3:G$68=G28)*(I$3:I$68="P"))+SUMPRODUCT((P$3:P$68&lt;&gt;"")*(G$3:G$68=G28)*(I$3:I$68="P"))+SUMPRODUCT((N$3:N$68&lt;&gt;"")*(G$3:G$68=G28)*(I$3:I$68="P"))+SUMPRODUCT((P$3:P$68="")*(O$3:O$68="")*(N$3:N$68="")*(M$3:M$68="P")*(G$3:G$68=G28)*(J$3:J$68&gt;J28)*(I$3:I$68="P"))+IF(H28="L5",SUMPRODUCT((P$3:P$68="")*(O$3:O$68="")*(N$3:N$68="")*(M$3:M$68="P")*(G$3:G$68=G28)*(J$3:J$68&lt;J28)*(H$3:H$68&lt;&gt;H28)*(I$3:I$68="P")),-1*SUMPRODUCT((P$3:P$68="")*(O$3:O$68="")*(N$3:N$68="")*(M$3:M$68="P")*(G$3:G$68=G28)*(J$3:J$68&gt;J28)*(H$3:H$68="L5")*(I$3:I$68="P")))+1,"")))))</f>
        <v/>
      </c>
      <c r="B28" s="1" t="str" cm="1">
        <f t="array" ref="B28">IF(P28&lt;&gt;"",SUMPRODUCT((P$3:P$68&lt;&gt;"")*(G$3:G$68=G28)*(J$3:J$68&gt;J28))+1,IF(O28&lt;&gt;"",SUMPRODUCT((O$3:O$68&lt;&gt;"")*(P$3:P$68="")*(G$3:G$68=G28)*(J$3:J$68&gt;J28))+SUMPRODUCT((P$3:P$68&lt;&gt;"")*(G$3:G$68=G28))+1,IF(N28&lt;&gt;"",SUMPRODUCT((N$3:N$68&lt;&gt;"")*(G$3:G$68=G28)*(J$3:J$68&gt;J28))+1,IF(M28="P",SUMPRODUCT((O$3:O$68&lt;&gt;"")*(P$3:P$68="")*(G$3:G$68=G28))+SUMPRODUCT((P$3:P$68&lt;&gt;"")*(G$3:G$68=G28))+SUMPRODUCT((N$3:N$68&lt;&gt;"")*(G$3:G$68=G28))+SUMPRODUCT((P$3:P$68="")*(O$3:O$68="")*(N$3:N$68="")*(M$3:M$68="P")*(G$3:G$68=G28)*(J$3:J$68&gt;J28))+IF(H28="L5",SUMPRODUCT((P$3:P$68="")*(O$3:O$68="")*(N$3:N$68="")*(M$3:M$68="P")*(G$3:G$68=G28)*(J$3:J$68&lt;J28)*(H$3:H$68&lt;&gt;H28)),-1*SUMPRODUCT((P$3:P$68="")*(O$3:O$68="")*(N$3:N$68="")*(M$3:M$68="P")*(G$3:G$68=G28)*(J$3:J$68&gt;J28)*(H$3:H$68="L5")))+1,""))))</f>
        <v/>
      </c>
      <c r="C28" s="35" t="s">
        <v>281</v>
      </c>
      <c r="D28" t="str">
        <f>IF(E28="","",VLOOKUP(E28,'Coaching Points'!A:B,2,0))</f>
        <v>BC</v>
      </c>
      <c r="E28" s="35" t="s">
        <v>66</v>
      </c>
      <c r="F28" s="34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73.200003779999989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MAX(T28-IF(OR(H28="N/A"),V28,0),W28-IF(OR(H28="N/A"),Y28,0),Z28-IF(OR(H28="N/A"),AB28,0),AC28-IF(OR(H28="N/A"),AE28,0))</f>
        <v>37.799999999999997</v>
      </c>
      <c r="S28" s="4">
        <f>IF(R28=T28-IF(OR(H28="N/A"),V28,0),MAX(W28-IF(OR(H28="N/A"),Y28,0),Z28-IF(OR(H28="N/A"),AB28,0),AC28-IF(OR(H28="N/A"),AE28,0)),IF(R28=W28-IF(OR(H28="N/A"),Y28,0),MAX(T28-IF(OR(H28="N/A"),V28,0),Z28-IF(OR(H28="N/A"),AB28,0),AC28-IF(OR(H28="N/A"),AE28,0)),IF(R28=Z28-IF(OR(H28="N/A"),AB28,0),MAX(T28-IF(OR(H28="N/A"),V28,0),W28-IF(OR(H28="N/A"),Y28,0),AC28-IF(OR(H28="N/A"),AE28,0)),IF(R28=AC28-IF(OR(H28="N/A"),AE28,0),MAX(T28-IF(OR(H28="N/A"),V28,0),W28-IF(OR(H28="N/A"),Y28,0),Z28-IF(OR(H28="N/A"),AB28,0)),0))))</f>
        <v>35.4</v>
      </c>
      <c r="T28" s="32">
        <v>33.799999999999997</v>
      </c>
      <c r="U28" s="37">
        <v>3.3</v>
      </c>
      <c r="V28" s="37">
        <v>0</v>
      </c>
      <c r="W28" s="33"/>
      <c r="X28" s="37"/>
      <c r="Y28" s="37"/>
      <c r="Z28" s="32">
        <v>37.799999999999997</v>
      </c>
      <c r="AA28" s="37">
        <v>4.4000000000000004</v>
      </c>
      <c r="AB28" s="37">
        <v>0</v>
      </c>
      <c r="AC28" s="33">
        <v>35.4</v>
      </c>
      <c r="AD28" s="37">
        <v>3.3</v>
      </c>
      <c r="AE28" s="37">
        <v>0</v>
      </c>
    </row>
    <row r="29" spans="1:31" x14ac:dyDescent="0.2">
      <c r="A29" s="1" t="str" cm="1">
        <f t="array" ref="A29">IF(I29="","",IF(P29&lt;&gt;"",SUMPRODUCT((P$3:P$68&lt;&gt;"")*(G$3:G$68=G29)*(J$3:J$68&gt;J29)*(I$3:I$68="P"))+1,IF(O29&lt;&gt;"",SUMPRODUCT((O$3:O$68&lt;&gt;"")*(P$3:P$68="")*(G$3:G$68=G29)*(J$3:J$68&gt;J29)*(I$3:I$68="P"))+SUMPRODUCT((P$3:P$68&lt;&gt;"")*(G$3:G$68=G29)*(I$3:I$68="P"))+1,IF(N29&lt;&gt;"",SUMPRODUCT((N$3:N$68&lt;&gt;"")*(G$3:G$68=G29)*(J$3:J$68&gt;J29)*(I$3:I$68="P"))+1,IF(M29="P",SUMPRODUCT((O$3:O$68&lt;&gt;"")*(P$3:P$68="")*(G$3:G$68=G29)*(I$3:I$68="P"))+SUMPRODUCT((P$3:P$68&lt;&gt;"")*(G$3:G$68=G29)*(I$3:I$68="P"))+SUMPRODUCT((N$3:N$68&lt;&gt;"")*(G$3:G$68=G29)*(I$3:I$68="P"))+SUMPRODUCT((P$3:P$68="")*(O$3:O$68="")*(N$3:N$68="")*(M$3:M$68="P")*(G$3:G$68=G29)*(J$3:J$68&gt;J29)*(I$3:I$68="P"))+IF(H29="L5",SUMPRODUCT((P$3:P$68="")*(O$3:O$68="")*(N$3:N$68="")*(M$3:M$68="P")*(G$3:G$68=G29)*(J$3:J$68&lt;J29)*(H$3:H$68&lt;&gt;H29)*(I$3:I$68="P")),-1*SUMPRODUCT((P$3:P$68="")*(O$3:O$68="")*(N$3:N$68="")*(M$3:M$68="P")*(G$3:G$68=G29)*(J$3:J$68&gt;J29)*(H$3:H$68="L5")*(I$3:I$68="P")))+1,"")))))</f>
        <v/>
      </c>
      <c r="B29" s="1" t="str" cm="1">
        <f t="array" ref="B29">IF(P29&lt;&gt;"",SUMPRODUCT((P$3:P$68&lt;&gt;"")*(G$3:G$68=G29)*(J$3:J$68&gt;J29))+1,IF(O29&lt;&gt;"",SUMPRODUCT((O$3:O$68&lt;&gt;"")*(P$3:P$68="")*(G$3:G$68=G29)*(J$3:J$68&gt;J29))+SUMPRODUCT((P$3:P$68&lt;&gt;"")*(G$3:G$68=G29))+1,IF(N29&lt;&gt;"",SUMPRODUCT((N$3:N$68&lt;&gt;"")*(G$3:G$68=G29)*(J$3:J$68&gt;J29))+1,IF(M29="P",SUMPRODUCT((O$3:O$68&lt;&gt;"")*(P$3:P$68="")*(G$3:G$68=G29))+SUMPRODUCT((P$3:P$68&lt;&gt;"")*(G$3:G$68=G29))+SUMPRODUCT((N$3:N$68&lt;&gt;"")*(G$3:G$68=G29))+SUMPRODUCT((P$3:P$68="")*(O$3:O$68="")*(N$3:N$68="")*(M$3:M$68="P")*(G$3:G$68=G29)*(J$3:J$68&gt;J29))+IF(H29="L5",SUMPRODUCT((P$3:P$68="")*(O$3:O$68="")*(N$3:N$68="")*(M$3:M$68="P")*(G$3:G$68=G29)*(J$3:J$68&lt;J29)*(H$3:H$68&lt;&gt;H29)),-1*SUMPRODUCT((P$3:P$68="")*(O$3:O$68="")*(N$3:N$68="")*(M$3:M$68="P")*(G$3:G$68=G29)*(J$3:J$68&gt;J29)*(H$3:H$68="L5")))+1,""))))</f>
        <v/>
      </c>
      <c r="C29" s="35" t="s">
        <v>324</v>
      </c>
      <c r="D29" t="str">
        <f>IF(E29="","",VLOOKUP(E29,'Coaching Points'!A:B,2,0))</f>
        <v>AB</v>
      </c>
      <c r="E29" s="35" t="s">
        <v>28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72.700003760000001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MAX(T29-IF(OR(H29="N/A"),V29,0),W29-IF(OR(H29="N/A"),Y29,0),Z29-IF(OR(H29="N/A"),AB29,0),AC29-IF(OR(H29="N/A"),AE29,0))</f>
        <v>37.6</v>
      </c>
      <c r="S29" s="4">
        <f>IF(R29=T29-IF(OR(H29="N/A"),V29,0),MAX(W29-IF(OR(H29="N/A"),Y29,0),Z29-IF(OR(H29="N/A"),AB29,0),AC29-IF(OR(H29="N/A"),AE29,0)),IF(R29=W29-IF(OR(H29="N/A"),Y29,0),MAX(T29-IF(OR(H29="N/A"),V29,0),Z29-IF(OR(H29="N/A"),AB29,0),AC29-IF(OR(H29="N/A"),AE29,0)),IF(R29=Z29-IF(OR(H29="N/A"),AB29,0),MAX(T29-IF(OR(H29="N/A"),V29,0),W29-IF(OR(H29="N/A"),Y29,0),AC29-IF(OR(H29="N/A"),AE29,0)),IF(R29=AC29-IF(OR(H29="N/A"),AE29,0),MAX(T29-IF(OR(H29="N/A"),V29,0),W29-IF(OR(H29="N/A"),Y29,0),Z29-IF(OR(H29="N/A"),AB29,0)),0))))</f>
        <v>35.1</v>
      </c>
      <c r="T29" s="32">
        <v>35.1</v>
      </c>
      <c r="U29" s="37">
        <v>3.2</v>
      </c>
      <c r="V29" s="37">
        <v>0</v>
      </c>
      <c r="W29" s="33"/>
      <c r="X29" s="37"/>
      <c r="Y29" s="37"/>
      <c r="Z29" s="32">
        <v>37.6</v>
      </c>
      <c r="AA29" s="37">
        <v>4.3000000000000007</v>
      </c>
      <c r="AB29" s="37">
        <v>0</v>
      </c>
      <c r="AC29" s="33"/>
      <c r="AD29" s="37"/>
      <c r="AE29" s="37"/>
    </row>
    <row r="30" spans="1:31" x14ac:dyDescent="0.2">
      <c r="A30" s="1" t="str" cm="1">
        <f t="array" ref="A30">IF(I30="","",IF(P30&lt;&gt;"",SUMPRODUCT((P$3:P$68&lt;&gt;"")*(G$3:G$68=G30)*(J$3:J$68&gt;J30)*(I$3:I$68="P"))+1,IF(O30&lt;&gt;"",SUMPRODUCT((O$3:O$68&lt;&gt;"")*(P$3:P$68="")*(G$3:G$68=G30)*(J$3:J$68&gt;J30)*(I$3:I$68="P"))+SUMPRODUCT((P$3:P$68&lt;&gt;"")*(G$3:G$68=G30)*(I$3:I$68="P"))+1,IF(N30&lt;&gt;"",SUMPRODUCT((N$3:N$68&lt;&gt;"")*(G$3:G$68=G30)*(J$3:J$68&gt;J30)*(I$3:I$68="P"))+1,IF(M30="P",SUMPRODUCT((O$3:O$68&lt;&gt;"")*(P$3:P$68="")*(G$3:G$68=G30)*(I$3:I$68="P"))+SUMPRODUCT((P$3:P$68&lt;&gt;"")*(G$3:G$68=G30)*(I$3:I$68="P"))+SUMPRODUCT((N$3:N$68&lt;&gt;"")*(G$3:G$68=G30)*(I$3:I$68="P"))+SUMPRODUCT((P$3:P$68="")*(O$3:O$68="")*(N$3:N$68="")*(M$3:M$68="P")*(G$3:G$68=G30)*(J$3:J$68&gt;J30)*(I$3:I$68="P"))+IF(H30="L5",SUMPRODUCT((P$3:P$68="")*(O$3:O$68="")*(N$3:N$68="")*(M$3:M$68="P")*(G$3:G$68=G30)*(J$3:J$68&lt;J30)*(H$3:H$68&lt;&gt;H30)*(I$3:I$68="P")),-1*SUMPRODUCT((P$3:P$68="")*(O$3:O$68="")*(N$3:N$68="")*(M$3:M$68="P")*(G$3:G$68=G30)*(J$3:J$68&gt;J30)*(H$3:H$68="L5")*(I$3:I$68="P")))+1,"")))))</f>
        <v/>
      </c>
      <c r="B30" s="1" t="str" cm="1">
        <f t="array" ref="B30">IF(P30&lt;&gt;"",SUMPRODUCT((P$3:P$68&lt;&gt;"")*(G$3:G$68=G30)*(J$3:J$68&gt;J30))+1,IF(O30&lt;&gt;"",SUMPRODUCT((O$3:O$68&lt;&gt;"")*(P$3:P$68="")*(G$3:G$68=G30)*(J$3:J$68&gt;J30))+SUMPRODUCT((P$3:P$68&lt;&gt;"")*(G$3:G$68=G30))+1,IF(N30&lt;&gt;"",SUMPRODUCT((N$3:N$68&lt;&gt;"")*(G$3:G$68=G30)*(J$3:J$68&gt;J30))+1,IF(M30="P",SUMPRODUCT((O$3:O$68&lt;&gt;"")*(P$3:P$68="")*(G$3:G$68=G30))+SUMPRODUCT((P$3:P$68&lt;&gt;"")*(G$3:G$68=G30))+SUMPRODUCT((N$3:N$68&lt;&gt;"")*(G$3:G$68=G30))+SUMPRODUCT((P$3:P$68="")*(O$3:O$68="")*(N$3:N$68="")*(M$3:M$68="P")*(G$3:G$68=G30)*(J$3:J$68&gt;J30))+IF(H30="L5",SUMPRODUCT((P$3:P$68="")*(O$3:O$68="")*(N$3:N$68="")*(M$3:M$68="P")*(G$3:G$68=G30)*(J$3:J$68&lt;J30)*(H$3:H$68&lt;&gt;H30)),-1*SUMPRODUCT((P$3:P$68="")*(O$3:O$68="")*(N$3:N$68="")*(M$3:M$68="P")*(G$3:G$68=G30)*(J$3:J$68&gt;J30)*(H$3:H$68="L5")))+1,""))))</f>
        <v/>
      </c>
      <c r="C30" s="35" t="s">
        <v>322</v>
      </c>
      <c r="D30" t="str">
        <f>IF(E30="","",VLOOKUP(E30,'Coaching Points'!A:B,2,0))</f>
        <v>ON</v>
      </c>
      <c r="E30" s="35" t="s">
        <v>45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72.300003670000009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MAX(T30-IF(OR(H30="N/A"),V30,0),W30-IF(OR(H30="N/A"),Y30,0),Z30-IF(OR(H30="N/A"),AB30,0),AC30-IF(OR(H30="N/A"),AE30,0))</f>
        <v>36.700000000000003</v>
      </c>
      <c r="S30" s="4">
        <f>IF(R30=T30-IF(OR(H30="N/A"),V30,0),MAX(W30-IF(OR(H30="N/A"),Y30,0),Z30-IF(OR(H30="N/A"),AB30,0),AC30-IF(OR(H30="N/A"),AE30,0)),IF(R30=W30-IF(OR(H30="N/A"),Y30,0),MAX(T30-IF(OR(H30="N/A"),V30,0),Z30-IF(OR(H30="N/A"),AB30,0),AC30-IF(OR(H30="N/A"),AE30,0)),IF(R30=Z30-IF(OR(H30="N/A"),AB30,0),MAX(T30-IF(OR(H30="N/A"),V30,0),W30-IF(OR(H30="N/A"),Y30,0),AC30-IF(OR(H30="N/A"),AE30,0)),IF(R30=AC30-IF(OR(H30="N/A"),AE30,0),MAX(T30-IF(OR(H30="N/A"),V30,0),W30-IF(OR(H30="N/A"),Y30,0),Z30-IF(OR(H30="N/A"),AB30,0)),0))))</f>
        <v>35.6</v>
      </c>
      <c r="T30" s="32">
        <v>35.6</v>
      </c>
      <c r="U30" s="37">
        <v>3.8</v>
      </c>
      <c r="V30" s="37">
        <v>0</v>
      </c>
      <c r="W30" s="33"/>
      <c r="X30" s="37"/>
      <c r="Y30" s="37"/>
      <c r="Z30" s="32">
        <v>36.700000000000003</v>
      </c>
      <c r="AA30" s="37">
        <v>4.4000000000000004</v>
      </c>
      <c r="AB30" s="37">
        <v>1</v>
      </c>
      <c r="AC30" s="33"/>
      <c r="AD30" s="37"/>
      <c r="AE30" s="37"/>
    </row>
    <row r="31" spans="1:31" x14ac:dyDescent="0.2">
      <c r="A31" s="1" t="str" cm="1">
        <f t="array" ref="A31">IF(I31="","",IF(P31&lt;&gt;"",SUMPRODUCT((P$3:P$68&lt;&gt;"")*(G$3:G$68=G31)*(J$3:J$68&gt;J31)*(I$3:I$68="P"))+1,IF(O31&lt;&gt;"",SUMPRODUCT((O$3:O$68&lt;&gt;"")*(P$3:P$68="")*(G$3:G$68=G31)*(J$3:J$68&gt;J31)*(I$3:I$68="P"))+SUMPRODUCT((P$3:P$68&lt;&gt;"")*(G$3:G$68=G31)*(I$3:I$68="P"))+1,IF(N31&lt;&gt;"",SUMPRODUCT((N$3:N$68&lt;&gt;"")*(G$3:G$68=G31)*(J$3:J$68&gt;J31)*(I$3:I$68="P"))+1,IF(M31="P",SUMPRODUCT((O$3:O$68&lt;&gt;"")*(P$3:P$68="")*(G$3:G$68=G31)*(I$3:I$68="P"))+SUMPRODUCT((P$3:P$68&lt;&gt;"")*(G$3:G$68=G31)*(I$3:I$68="P"))+SUMPRODUCT((N$3:N$68&lt;&gt;"")*(G$3:G$68=G31)*(I$3:I$68="P"))+SUMPRODUCT((P$3:P$68="")*(O$3:O$68="")*(N$3:N$68="")*(M$3:M$68="P")*(G$3:G$68=G31)*(J$3:J$68&gt;J31)*(I$3:I$68="P"))+IF(H31="L5",SUMPRODUCT((P$3:P$68="")*(O$3:O$68="")*(N$3:N$68="")*(M$3:M$68="P")*(G$3:G$68=G31)*(J$3:J$68&lt;J31)*(H$3:H$68&lt;&gt;H31)*(I$3:I$68="P")),-1*SUMPRODUCT((P$3:P$68="")*(O$3:O$68="")*(N$3:N$68="")*(M$3:M$68="P")*(G$3:G$68=G31)*(J$3:J$68&gt;J31)*(H$3:H$68="L5")*(I$3:I$68="P")))+1,"")))))</f>
        <v/>
      </c>
      <c r="B31" s="1" t="str" cm="1">
        <f t="array" ref="B31">IF(P31&lt;&gt;"",SUMPRODUCT((P$3:P$68&lt;&gt;"")*(G$3:G$68=G31)*(J$3:J$68&gt;J31))+1,IF(O31&lt;&gt;"",SUMPRODUCT((O$3:O$68&lt;&gt;"")*(P$3:P$68="")*(G$3:G$68=G31)*(J$3:J$68&gt;J31))+SUMPRODUCT((P$3:P$68&lt;&gt;"")*(G$3:G$68=G31))+1,IF(N31&lt;&gt;"",SUMPRODUCT((N$3:N$68&lt;&gt;"")*(G$3:G$68=G31)*(J$3:J$68&gt;J31))+1,IF(M31="P",SUMPRODUCT((O$3:O$68&lt;&gt;"")*(P$3:P$68="")*(G$3:G$68=G31))+SUMPRODUCT((P$3:P$68&lt;&gt;"")*(G$3:G$68=G31))+SUMPRODUCT((N$3:N$68&lt;&gt;"")*(G$3:G$68=G31))+SUMPRODUCT((P$3:P$68="")*(O$3:O$68="")*(N$3:N$68="")*(M$3:M$68="P")*(G$3:G$68=G31)*(J$3:J$68&gt;J31))+IF(H31="L5",SUMPRODUCT((P$3:P$68="")*(O$3:O$68="")*(N$3:N$68="")*(M$3:M$68="P")*(G$3:G$68=G31)*(J$3:J$68&lt;J31)*(H$3:H$68&lt;&gt;H31)),-1*SUMPRODUCT((P$3:P$68="")*(O$3:O$68="")*(N$3:N$68="")*(M$3:M$68="P")*(G$3:G$68=G31)*(J$3:J$68&gt;J31)*(H$3:H$68="L5")))+1,""))))</f>
        <v/>
      </c>
      <c r="C31" s="35" t="s">
        <v>323</v>
      </c>
      <c r="D31" t="str">
        <f>IF(E31="","",VLOOKUP(E31,'Coaching Points'!A:B,2,0))</f>
        <v>AB</v>
      </c>
      <c r="E31" s="35" t="s">
        <v>61</v>
      </c>
      <c r="F31" s="34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71.500003609999993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MAX(T31-IF(OR(H31="N/A"),V31,0),W31-IF(OR(H31="N/A"),Y31,0),Z31-IF(OR(H31="N/A"),AB31,0),AC31-IF(OR(H31="N/A"),AE31,0))</f>
        <v>36.1</v>
      </c>
      <c r="S31" s="4">
        <f>IF(R31=T31-IF(OR(H31="N/A"),V31,0),MAX(W31-IF(OR(H31="N/A"),Y31,0),Z31-IF(OR(H31="N/A"),AB31,0),AC31-IF(OR(H31="N/A"),AE31,0)),IF(R31=W31-IF(OR(H31="N/A"),Y31,0),MAX(T31-IF(OR(H31="N/A"),V31,0),Z31-IF(OR(H31="N/A"),AB31,0),AC31-IF(OR(H31="N/A"),AE31,0)),IF(R31=Z31-IF(OR(H31="N/A"),AB31,0),MAX(T31-IF(OR(H31="N/A"),V31,0),W31-IF(OR(H31="N/A"),Y31,0),AC31-IF(OR(H31="N/A"),AE31,0)),IF(R31=AC31-IF(OR(H31="N/A"),AE31,0),MAX(T31-IF(OR(H31="N/A"),V31,0),W31-IF(OR(H31="N/A"),Y31,0),Z31-IF(OR(H31="N/A"),AB31,0)),0))))</f>
        <v>35.4</v>
      </c>
      <c r="T31" s="32">
        <v>35.4</v>
      </c>
      <c r="U31" s="37">
        <v>3.9000000000000004</v>
      </c>
      <c r="V31" s="37">
        <v>0</v>
      </c>
      <c r="W31" s="33"/>
      <c r="X31" s="37"/>
      <c r="Y31" s="37"/>
      <c r="Z31" s="32">
        <v>36.1</v>
      </c>
      <c r="AA31" s="37">
        <v>3.4000000000000004</v>
      </c>
      <c r="AB31" s="37">
        <v>0</v>
      </c>
      <c r="AC31" s="33"/>
      <c r="AD31" s="37"/>
      <c r="AE31" s="37"/>
    </row>
    <row r="32" spans="1:31" x14ac:dyDescent="0.2">
      <c r="A32" s="1" t="str" cm="1">
        <f t="array" ref="A32">IF(I32="","",IF(P32&lt;&gt;"",SUMPRODUCT((P$3:P$68&lt;&gt;"")*(G$3:G$68=G32)*(J$3:J$68&gt;J32)*(I$3:I$68="P"))+1,IF(O32&lt;&gt;"",SUMPRODUCT((O$3:O$68&lt;&gt;"")*(P$3:P$68="")*(G$3:G$68=G32)*(J$3:J$68&gt;J32)*(I$3:I$68="P"))+SUMPRODUCT((P$3:P$68&lt;&gt;"")*(G$3:G$68=G32)*(I$3:I$68="P"))+1,IF(N32&lt;&gt;"",SUMPRODUCT((N$3:N$68&lt;&gt;"")*(G$3:G$68=G32)*(J$3:J$68&gt;J32)*(I$3:I$68="P"))+1,IF(M32="P",SUMPRODUCT((O$3:O$68&lt;&gt;"")*(P$3:P$68="")*(G$3:G$68=G32)*(I$3:I$68="P"))+SUMPRODUCT((P$3:P$68&lt;&gt;"")*(G$3:G$68=G32)*(I$3:I$68="P"))+SUMPRODUCT((N$3:N$68&lt;&gt;"")*(G$3:G$68=G32)*(I$3:I$68="P"))+SUMPRODUCT((P$3:P$68="")*(O$3:O$68="")*(N$3:N$68="")*(M$3:M$68="P")*(G$3:G$68=G32)*(J$3:J$68&gt;J32)*(I$3:I$68="P"))+IF(H32="L5",SUMPRODUCT((P$3:P$68="")*(O$3:O$68="")*(N$3:N$68="")*(M$3:M$68="P")*(G$3:G$68=G32)*(J$3:J$68&lt;J32)*(H$3:H$68&lt;&gt;H32)*(I$3:I$68="P")),-1*SUMPRODUCT((P$3:P$68="")*(O$3:O$68="")*(N$3:N$68="")*(M$3:M$68="P")*(G$3:G$68=G32)*(J$3:J$68&gt;J32)*(H$3:H$68="L5")*(I$3:I$68="P")))+1,"")))))</f>
        <v/>
      </c>
      <c r="B32" s="1" t="str" cm="1">
        <f t="array" ref="B32">IF(P32&lt;&gt;"",SUMPRODUCT((P$3:P$68&lt;&gt;"")*(G$3:G$68=G32)*(J$3:J$68&gt;J32))+1,IF(O32&lt;&gt;"",SUMPRODUCT((O$3:O$68&lt;&gt;"")*(P$3:P$68="")*(G$3:G$68=G32)*(J$3:J$68&gt;J32))+SUMPRODUCT((P$3:P$68&lt;&gt;"")*(G$3:G$68=G32))+1,IF(N32&lt;&gt;"",SUMPRODUCT((N$3:N$68&lt;&gt;"")*(G$3:G$68=G32)*(J$3:J$68&gt;J32))+1,IF(M32="P",SUMPRODUCT((O$3:O$68&lt;&gt;"")*(P$3:P$68="")*(G$3:G$68=G32))+SUMPRODUCT((P$3:P$68&lt;&gt;"")*(G$3:G$68=G32))+SUMPRODUCT((N$3:N$68&lt;&gt;"")*(G$3:G$68=G32))+SUMPRODUCT((P$3:P$68="")*(O$3:O$68="")*(N$3:N$68="")*(M$3:M$68="P")*(G$3:G$68=G32)*(J$3:J$68&gt;J32))+IF(H32="L5",SUMPRODUCT((P$3:P$68="")*(O$3:O$68="")*(N$3:N$68="")*(M$3:M$68="P")*(G$3:G$68=G32)*(J$3:J$68&lt;J32)*(H$3:H$68&lt;&gt;H32)),-1*SUMPRODUCT((P$3:P$68="")*(O$3:O$68="")*(N$3:N$68="")*(M$3:M$68="P")*(G$3:G$68=G32)*(J$3:J$68&gt;J32)*(H$3:H$68="L5")))+1,""))))</f>
        <v/>
      </c>
      <c r="C32" s="35" t="s">
        <v>321</v>
      </c>
      <c r="D32" t="str">
        <f>IF(E32="","",VLOOKUP(E32,'Coaching Points'!A:B,2,0))</f>
        <v>AB</v>
      </c>
      <c r="E32" s="35" t="s">
        <v>144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R32+S32+IF(OR(H32="Junior",H32="Senior"),0.0002,IF(OR(H32="L7",H32="L6"),0.0001,0))+MAX(Z32,AC32)*0.0000001</f>
        <v>70.60000346999999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MAX(T32-IF(OR(H32="N/A"),V32,0),W32-IF(OR(H32="N/A"),Y32,0),Z32-IF(OR(H32="N/A"),AB32,0),AC32-IF(OR(H32="N/A"),AE32,0))</f>
        <v>35.9</v>
      </c>
      <c r="S32" s="4">
        <f>IF(R32=T32-IF(OR(H32="N/A"),V32,0),MAX(W32-IF(OR(H32="N/A"),Y32,0),Z32-IF(OR(H32="N/A"),AB32,0),AC32-IF(OR(H32="N/A"),AE32,0)),IF(R32=W32-IF(OR(H32="N/A"),Y32,0),MAX(T32-IF(OR(H32="N/A"),V32,0),Z32-IF(OR(H32="N/A"),AB32,0),AC32-IF(OR(H32="N/A"),AE32,0)),IF(R32=Z32-IF(OR(H32="N/A"),AB32,0),MAX(T32-IF(OR(H32="N/A"),V32,0),W32-IF(OR(H32="N/A"),Y32,0),AC32-IF(OR(H32="N/A"),AE32,0)),IF(R32=AC32-IF(OR(H32="N/A"),AE32,0),MAX(T32-IF(OR(H32="N/A"),V32,0),W32-IF(OR(H32="N/A"),Y32,0),Z32-IF(OR(H32="N/A"),AB32,0)),0))))</f>
        <v>34.700000000000003</v>
      </c>
      <c r="T32" s="32">
        <v>35.9</v>
      </c>
      <c r="U32" s="37">
        <v>5.0999999999999996</v>
      </c>
      <c r="V32" s="37">
        <v>0</v>
      </c>
      <c r="W32" s="33"/>
      <c r="X32" s="37"/>
      <c r="Y32" s="37"/>
      <c r="Z32" s="32">
        <v>34.700000000000003</v>
      </c>
      <c r="AA32" s="37">
        <v>4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$68&lt;&gt;"")*(G$3:G$68=G33)*(J$3:J$68&gt;J33)*(I$3:I$68="P"))+1,IF(O33&lt;&gt;"",SUMPRODUCT((O$3:O$68&lt;&gt;"")*(P$3:P$68="")*(G$3:G$68=G33)*(J$3:J$68&gt;J33)*(I$3:I$68="P"))+SUMPRODUCT((P$3:P$68&lt;&gt;"")*(G$3:G$68=G33)*(I$3:I$68="P"))+1,IF(N33&lt;&gt;"",SUMPRODUCT((N$3:N$68&lt;&gt;"")*(G$3:G$68=G33)*(J$3:J$68&gt;J33)*(I$3:I$68="P"))+1,IF(M33="P",SUMPRODUCT((O$3:O$68&lt;&gt;"")*(P$3:P$68="")*(G$3:G$68=G33)*(I$3:I$68="P"))+SUMPRODUCT((P$3:P$68&lt;&gt;"")*(G$3:G$68=G33)*(I$3:I$68="P"))+SUMPRODUCT((N$3:N$68&lt;&gt;"")*(G$3:G$68=G33)*(I$3:I$68="P"))+SUMPRODUCT((P$3:P$68="")*(O$3:O$68="")*(N$3:N$68="")*(M$3:M$68="P")*(G$3:G$68=G33)*(J$3:J$68&gt;J33)*(I$3:I$68="P"))+IF(H33="L5",SUMPRODUCT((P$3:P$68="")*(O$3:O$68="")*(N$3:N$68="")*(M$3:M$68="P")*(G$3:G$68=G33)*(J$3:J$68&lt;J33)*(H$3:H$68&lt;&gt;H33)*(I$3:I$68="P")),-1*SUMPRODUCT((P$3:P$68="")*(O$3:O$68="")*(N$3:N$68="")*(M$3:M$68="P")*(G$3:G$68=G33)*(J$3:J$68&gt;J33)*(H$3:H$68="L5")*(I$3:I$68="P")))+1,"")))))</f>
        <v/>
      </c>
      <c r="B33" s="1" t="str" cm="1">
        <f t="array" ref="B33">IF(P33&lt;&gt;"",SUMPRODUCT((P$3:P$68&lt;&gt;"")*(G$3:G$68=G33)*(J$3:J$68&gt;J33))+1,IF(O33&lt;&gt;"",SUMPRODUCT((O$3:O$68&lt;&gt;"")*(P$3:P$68="")*(G$3:G$68=G33)*(J$3:J$68&gt;J33))+SUMPRODUCT((P$3:P$68&lt;&gt;"")*(G$3:G$68=G33))+1,IF(N33&lt;&gt;"",SUMPRODUCT((N$3:N$68&lt;&gt;"")*(G$3:G$68=G33)*(J$3:J$68&gt;J33))+1,IF(M33="P",SUMPRODUCT((O$3:O$68&lt;&gt;"")*(P$3:P$68="")*(G$3:G$68=G33))+SUMPRODUCT((P$3:P$68&lt;&gt;"")*(G$3:G$68=G33))+SUMPRODUCT((N$3:N$68&lt;&gt;"")*(G$3:G$68=G33))+SUMPRODUCT((P$3:P$68="")*(O$3:O$68="")*(N$3:N$68="")*(M$3:M$68="P")*(G$3:G$68=G33)*(J$3:J$68&gt;J33))+IF(H33="L5",SUMPRODUCT((P$3:P$68="")*(O$3:O$68="")*(N$3:N$68="")*(M$3:M$68="P")*(G$3:G$68=G33)*(J$3:J$68&lt;J33)*(H$3:H$68&lt;&gt;H33)),-1*SUMPRODUCT((P$3:P$68="")*(O$3:O$68="")*(N$3:N$68="")*(M$3:M$68="P")*(G$3:G$68=G33)*(J$3:J$68&gt;J33)*(H$3:H$68="L5")))+1,""))))</f>
        <v/>
      </c>
      <c r="C33" s="35" t="s">
        <v>272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64.300002980000002</v>
      </c>
      <c r="K33" s="3" t="str">
        <f>IF(G33="Not Age Eligible","",IF(MAX(T33,W33,Z33,AC33)&gt;=LOOKUP(G33,'Qualifying Scores'!$A$4:$A$7,'Qualifying Scores'!$I$4:$I$7),"P",""))</f>
        <v/>
      </c>
      <c r="L33" s="3" t="str">
        <f>IF(G33="Not Age Eligible","",IF(MAX(U33,X33,AA33,AD33)&gt;=LOOKUP(G33,'Qualifying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/>
      </c>
      <c r="Q33" s="1" t="str">
        <f>IF(A33&lt;5,IF(_xlfn.MAXIFS(A:A,G:G,G33)&gt;3,5-A33,_xlfn.MAXIFS(A:A,G:G,G33)+1-A33),"")</f>
        <v/>
      </c>
      <c r="R33" s="4">
        <f>MAX(T33-IF(OR(H33="N/A"),V33,0),W33-IF(OR(H33="N/A"),Y33,0),Z33-IF(OR(H33="N/A"),AB33,0),AC33-IF(OR(H33="N/A"),AE33,0))</f>
        <v>34.5</v>
      </c>
      <c r="S33" s="4">
        <f>IF(R33=T33-IF(OR(H33="N/A"),V33,0),MAX(W33-IF(OR(H33="N/A"),Y33,0),Z33-IF(OR(H33="N/A"),AB33,0),AC33-IF(OR(H33="N/A"),AE33,0)),IF(R33=W33-IF(OR(H33="N/A"),Y33,0),MAX(T33-IF(OR(H33="N/A"),V33,0),Z33-IF(OR(H33="N/A"),AB33,0),AC33-IF(OR(H33="N/A"),AE33,0)),IF(R33=Z33-IF(OR(H33="N/A"),AB33,0),MAX(T33-IF(OR(H33="N/A"),V33,0),W33-IF(OR(H33="N/A"),Y33,0),AC33-IF(OR(H33="N/A"),AE33,0)),IF(R33=AC33-IF(OR(H33="N/A"),AE33,0),MAX(T33-IF(OR(H33="N/A"),V33,0),W33-IF(OR(H33="N/A"),Y33,0),Z33-IF(OR(H33="N/A"),AB33,0)),0))))</f>
        <v>29.8</v>
      </c>
      <c r="T33" s="32">
        <v>34.5</v>
      </c>
      <c r="U33" s="37">
        <v>4.5999999999999996</v>
      </c>
      <c r="V33" s="37">
        <v>0</v>
      </c>
      <c r="W33" s="33"/>
      <c r="X33" s="37"/>
      <c r="Y33" s="37"/>
      <c r="Z33" s="32">
        <v>29.8</v>
      </c>
      <c r="AA33" s="37">
        <v>3.5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$68&lt;&gt;"")*(G$3:G$68=G34)*(J$3:J$68&gt;J34)*(I$3:I$68="P"))+1,IF(O34&lt;&gt;"",SUMPRODUCT((O$3:O$68&lt;&gt;"")*(P$3:P$68="")*(G$3:G$68=G34)*(J$3:J$68&gt;J34)*(I$3:I$68="P"))+SUMPRODUCT((P$3:P$68&lt;&gt;"")*(G$3:G$68=G34)*(I$3:I$68="P"))+1,IF(N34&lt;&gt;"",SUMPRODUCT((N$3:N$68&lt;&gt;"")*(G$3:G$68=G34)*(J$3:J$68&gt;J34)*(I$3:I$68="P"))+1,IF(M34="P",SUMPRODUCT((O$3:O$68&lt;&gt;"")*(P$3:P$68="")*(G$3:G$68=G34)*(I$3:I$68="P"))+SUMPRODUCT((P$3:P$68&lt;&gt;"")*(G$3:G$68=G34)*(I$3:I$68="P"))+SUMPRODUCT((N$3:N$68&lt;&gt;"")*(G$3:G$68=G34)*(I$3:I$68="P"))+SUMPRODUCT((P$3:P$68="")*(O$3:O$68="")*(N$3:N$68="")*(M$3:M$68="P")*(G$3:G$68=G34)*(J$3:J$68&gt;J34)*(I$3:I$68="P"))+IF(H34="L5",SUMPRODUCT((P$3:P$68="")*(O$3:O$68="")*(N$3:N$68="")*(M$3:M$68="P")*(G$3:G$68=G34)*(J$3:J$68&lt;J34)*(H$3:H$68&lt;&gt;H34)*(I$3:I$68="P")),-1*SUMPRODUCT((P$3:P$68="")*(O$3:O$68="")*(N$3:N$68="")*(M$3:M$68="P")*(G$3:G$68=G34)*(J$3:J$68&gt;J34)*(H$3:H$68="L5")*(I$3:I$68="P")))+1,"")))))</f>
        <v/>
      </c>
      <c r="B34" s="1" t="str" cm="1">
        <f t="array" ref="B34">IF(P34&lt;&gt;"",SUMPRODUCT((P$3:P$68&lt;&gt;"")*(G$3:G$68=G34)*(J$3:J$68&gt;J34))+1,IF(O34&lt;&gt;"",SUMPRODUCT((O$3:O$68&lt;&gt;"")*(P$3:P$68="")*(G$3:G$68=G34)*(J$3:J$68&gt;J34))+SUMPRODUCT((P$3:P$68&lt;&gt;"")*(G$3:G$68=G34))+1,IF(N34&lt;&gt;"",SUMPRODUCT((N$3:N$68&lt;&gt;"")*(G$3:G$68=G34)*(J$3:J$68&gt;J34))+1,IF(M34="P",SUMPRODUCT((O$3:O$68&lt;&gt;"")*(P$3:P$68="")*(G$3:G$68=G34))+SUMPRODUCT((P$3:P$68&lt;&gt;"")*(G$3:G$68=G34))+SUMPRODUCT((N$3:N$68&lt;&gt;"")*(G$3:G$68=G34))+SUMPRODUCT((P$3:P$68="")*(O$3:O$68="")*(N$3:N$68="")*(M$3:M$68="P")*(G$3:G$68=G34)*(J$3:J$68&gt;J34))+IF(H34="L5",SUMPRODUCT((P$3:P$68="")*(O$3:O$68="")*(N$3:N$68="")*(M$3:M$68="P")*(G$3:G$68=G34)*(J$3:J$68&lt;J34)*(H$3:H$68&lt;&gt;H34)),-1*SUMPRODUCT((P$3:P$68="")*(O$3:O$68="")*(N$3:N$68="")*(M$3:M$68="P")*(G$3:G$68=G34)*(J$3:J$68&gt;J34)*(H$3:H$68="L5")))+1,""))))</f>
        <v/>
      </c>
      <c r="C34" s="35" t="s">
        <v>465</v>
      </c>
      <c r="D34" t="str">
        <f>IF(E34="","",VLOOKUP(E34,'Coaching Points'!A:B,2,0))</f>
        <v>AB</v>
      </c>
      <c r="E34" s="35" t="s">
        <v>56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37.400003739999995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MAX(T34-IF(OR(H34="N/A"),V34,0),W34-IF(OR(H34="N/A"),Y34,0),Z34-IF(OR(H34="N/A"),AB34,0),AC34-IF(OR(H34="N/A"),AE34,0))</f>
        <v>37.4</v>
      </c>
      <c r="S34" s="4">
        <f>IF(R34=T34-IF(OR(H34="N/A"),V34,0),MAX(W34-IF(OR(H34="N/A"),Y34,0),Z34-IF(OR(H34="N/A"),AB34,0),AC34-IF(OR(H34="N/A"),AE34,0)),IF(R34=W34-IF(OR(H34="N/A"),Y34,0),MAX(T34-IF(OR(H34="N/A"),V34,0),Z34-IF(OR(H34="N/A"),AB34,0),AC34-IF(OR(H34="N/A"),AE34,0)),IF(R34=Z34-IF(OR(H34="N/A"),AB34,0),MAX(T34-IF(OR(H34="N/A"),V34,0),W34-IF(OR(H34="N/A"),Y34,0),AC34-IF(OR(H34="N/A"),AE34,0)),IF(R34=AC34-IF(OR(H34="N/A"),AE34,0),MAX(T34-IF(OR(H34="N/A"),V34,0),W34-IF(OR(H34="N/A"),Y34,0),Z34-IF(OR(H34="N/A"),AB34,0)),0))))</f>
        <v>0</v>
      </c>
      <c r="T34" s="32"/>
      <c r="U34" s="37"/>
      <c r="V34" s="37">
        <v>0</v>
      </c>
      <c r="W34" s="33"/>
      <c r="X34" s="37"/>
      <c r="Y34" s="37"/>
      <c r="Z34" s="32">
        <v>37.4</v>
      </c>
      <c r="AA34" s="37">
        <v>5.3</v>
      </c>
      <c r="AB34" s="37">
        <v>1</v>
      </c>
      <c r="AC34" s="33"/>
      <c r="AD34" s="37"/>
      <c r="AE34" s="37"/>
    </row>
    <row r="35" spans="1:31" x14ac:dyDescent="0.2">
      <c r="A35" s="1" t="str" cm="1">
        <f t="array" ref="A35">IF(I35="","",IF(P35&lt;&gt;"",SUMPRODUCT((P$3:P$68&lt;&gt;"")*(G$3:G$68=G35)*(J$3:J$68&gt;J35)*(I$3:I$68="P"))+1,IF(O35&lt;&gt;"",SUMPRODUCT((O$3:O$68&lt;&gt;"")*(P$3:P$68="")*(G$3:G$68=G35)*(J$3:J$68&gt;J35)*(I$3:I$68="P"))+SUMPRODUCT((P$3:P$68&lt;&gt;"")*(G$3:G$68=G35)*(I$3:I$68="P"))+1,IF(N35&lt;&gt;"",SUMPRODUCT((N$3:N$68&lt;&gt;"")*(G$3:G$68=G35)*(J$3:J$68&gt;J35)*(I$3:I$68="P"))+1,IF(M35="P",SUMPRODUCT((O$3:O$68&lt;&gt;"")*(P$3:P$68="")*(G$3:G$68=G35)*(I$3:I$68="P"))+SUMPRODUCT((P$3:P$68&lt;&gt;"")*(G$3:G$68=G35)*(I$3:I$68="P"))+SUMPRODUCT((N$3:N$68&lt;&gt;"")*(G$3:G$68=G35)*(I$3:I$68="P"))+SUMPRODUCT((P$3:P$68="")*(O$3:O$68="")*(N$3:N$68="")*(M$3:M$68="P")*(G$3:G$68=G35)*(J$3:J$68&gt;J35)*(I$3:I$68="P"))+IF(H35="L5",SUMPRODUCT((P$3:P$68="")*(O$3:O$68="")*(N$3:N$68="")*(M$3:M$68="P")*(G$3:G$68=G35)*(J$3:J$68&lt;J35)*(H$3:H$68&lt;&gt;H35)*(I$3:I$68="P")),-1*SUMPRODUCT((P$3:P$68="")*(O$3:O$68="")*(N$3:N$68="")*(M$3:M$68="P")*(G$3:G$68=G35)*(J$3:J$68&gt;J35)*(H$3:H$68="L5")*(I$3:I$68="P")))+1,"")))))</f>
        <v/>
      </c>
      <c r="B35" s="1" t="str" cm="1">
        <f t="array" ref="B35">IF(P35&lt;&gt;"",SUMPRODUCT((P$3:P$68&lt;&gt;"")*(G$3:G$68=G35)*(J$3:J$68&gt;J35))+1,IF(O35&lt;&gt;"",SUMPRODUCT((O$3:O$68&lt;&gt;"")*(P$3:P$68="")*(G$3:G$68=G35)*(J$3:J$68&gt;J35))+SUMPRODUCT((P$3:P$68&lt;&gt;"")*(G$3:G$68=G35))+1,IF(N35&lt;&gt;"",SUMPRODUCT((N$3:N$68&lt;&gt;"")*(G$3:G$68=G35)*(J$3:J$68&gt;J35))+1,IF(M35="P",SUMPRODUCT((O$3:O$68&lt;&gt;"")*(P$3:P$68="")*(G$3:G$68=G35))+SUMPRODUCT((P$3:P$68&lt;&gt;"")*(G$3:G$68=G35))+SUMPRODUCT((N$3:N$68&lt;&gt;"")*(G$3:G$68=G35))+SUMPRODUCT((P$3:P$68="")*(O$3:O$68="")*(N$3:N$68="")*(M$3:M$68="P")*(G$3:G$68=G35)*(J$3:J$68&gt;J35))+IF(H35="L5",SUMPRODUCT((P$3:P$68="")*(O$3:O$68="")*(N$3:N$68="")*(M$3:M$68="P")*(G$3:G$68=G35)*(J$3:J$68&lt;J35)*(H$3:H$68&lt;&gt;H35)),-1*SUMPRODUCT((P$3:P$68="")*(O$3:O$68="")*(N$3:N$68="")*(M$3:M$68="P")*(G$3:G$68=G35)*(J$3:J$68&gt;J35)*(H$3:H$68="L5")))+1,""))))</f>
        <v/>
      </c>
      <c r="C35" s="35" t="s">
        <v>466</v>
      </c>
      <c r="D35" t="str">
        <f>IF(E35="","",VLOOKUP(E35,'Coaching Points'!A:B,2,0))</f>
        <v>ON</v>
      </c>
      <c r="E35" s="35" t="s">
        <v>505</v>
      </c>
      <c r="F35" s="34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37.400003739999995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MAX(T35-IF(OR(H35="N/A"),V35,0),W35-IF(OR(H35="N/A"),Y35,0),Z35-IF(OR(H35="N/A"),AB35,0),AC35-IF(OR(H35="N/A"),AE35,0))</f>
        <v>37.4</v>
      </c>
      <c r="S35" s="4">
        <f>IF(R35=T35-IF(OR(H35="N/A"),V35,0),MAX(W35-IF(OR(H35="N/A"),Y35,0),Z35-IF(OR(H35="N/A"),AB35,0),AC35-IF(OR(H35="N/A"),AE35,0)),IF(R35=W35-IF(OR(H35="N/A"),Y35,0),MAX(T35-IF(OR(H35="N/A"),V35,0),Z35-IF(OR(H35="N/A"),AB35,0),AC35-IF(OR(H35="N/A"),AE35,0)),IF(R35=Z35-IF(OR(H35="N/A"),AB35,0),MAX(T35-IF(OR(H35="N/A"),V35,0),W35-IF(OR(H35="N/A"),Y35,0),AC35-IF(OR(H35="N/A"),AE35,0)),IF(R35=AC35-IF(OR(H35="N/A"),AE35,0),MAX(T35-IF(OR(H35="N/A"),V35,0),W35-IF(OR(H35="N/A"),Y35,0),Z35-IF(OR(H35="N/A"),AB35,0)),0))))</f>
        <v>0</v>
      </c>
      <c r="T35" s="32"/>
      <c r="U35" s="37"/>
      <c r="V35" s="37">
        <v>0</v>
      </c>
      <c r="W35" s="33"/>
      <c r="X35" s="37"/>
      <c r="Y35" s="37"/>
      <c r="Z35" s="32">
        <v>37.4</v>
      </c>
      <c r="AA35" s="37">
        <v>4.4000000000000004</v>
      </c>
      <c r="AB35" s="37">
        <v>1</v>
      </c>
      <c r="AC35" s="33"/>
      <c r="AD35" s="37"/>
      <c r="AE35" s="37"/>
    </row>
    <row r="36" spans="1:31" x14ac:dyDescent="0.2">
      <c r="A36" s="1" t="str" cm="1">
        <f t="array" ref="A36">IF(I36="","",IF(P36&lt;&gt;"",SUMPRODUCT((P$3:P$68&lt;&gt;"")*(G$3:G$68=G36)*(J$3:J$68&gt;J36)*(I$3:I$68="P"))+1,IF(O36&lt;&gt;"",SUMPRODUCT((O$3:O$68&lt;&gt;"")*(P$3:P$68="")*(G$3:G$68=G36)*(J$3:J$68&gt;J36)*(I$3:I$68="P"))+SUMPRODUCT((P$3:P$68&lt;&gt;"")*(G$3:G$68=G36)*(I$3:I$68="P"))+1,IF(N36&lt;&gt;"",SUMPRODUCT((N$3:N$68&lt;&gt;"")*(G$3:G$68=G36)*(J$3:J$68&gt;J36)*(I$3:I$68="P"))+1,IF(M36="P",SUMPRODUCT((O$3:O$68&lt;&gt;"")*(P$3:P$68="")*(G$3:G$68=G36)*(I$3:I$68="P"))+SUMPRODUCT((P$3:P$68&lt;&gt;"")*(G$3:G$68=G36)*(I$3:I$68="P"))+SUMPRODUCT((N$3:N$68&lt;&gt;"")*(G$3:G$68=G36)*(I$3:I$68="P"))+SUMPRODUCT((P$3:P$68="")*(O$3:O$68="")*(N$3:N$68="")*(M$3:M$68="P")*(G$3:G$68=G36)*(J$3:J$68&gt;J36)*(I$3:I$68="P"))+IF(H36="L5",SUMPRODUCT((P$3:P$68="")*(O$3:O$68="")*(N$3:N$68="")*(M$3:M$68="P")*(G$3:G$68=G36)*(J$3:J$68&lt;J36)*(H$3:H$68&lt;&gt;H36)*(I$3:I$68="P")),-1*SUMPRODUCT((P$3:P$68="")*(O$3:O$68="")*(N$3:N$68="")*(M$3:M$68="P")*(G$3:G$68=G36)*(J$3:J$68&gt;J36)*(H$3:H$68="L5")*(I$3:I$68="P")))+1,"")))))</f>
        <v/>
      </c>
      <c r="B36" s="1" t="str" cm="1">
        <f t="array" ref="B36">IF(P36&lt;&gt;"",SUMPRODUCT((P$3:P$68&lt;&gt;"")*(G$3:G$68=G36)*(J$3:J$68&gt;J36))+1,IF(O36&lt;&gt;"",SUMPRODUCT((O$3:O$68&lt;&gt;"")*(P$3:P$68="")*(G$3:G$68=G36)*(J$3:J$68&gt;J36))+SUMPRODUCT((P$3:P$68&lt;&gt;"")*(G$3:G$68=G36))+1,IF(N36&lt;&gt;"",SUMPRODUCT((N$3:N$68&lt;&gt;"")*(G$3:G$68=G36)*(J$3:J$68&gt;J36))+1,IF(M36="P",SUMPRODUCT((O$3:O$68&lt;&gt;"")*(P$3:P$68="")*(G$3:G$68=G36))+SUMPRODUCT((P$3:P$68&lt;&gt;"")*(G$3:G$68=G36))+SUMPRODUCT((N$3:N$68&lt;&gt;"")*(G$3:G$68=G36))+SUMPRODUCT((P$3:P$68="")*(O$3:O$68="")*(N$3:N$68="")*(M$3:M$68="P")*(G$3:G$68=G36)*(J$3:J$68&gt;J36))+IF(H36="L5",SUMPRODUCT((P$3:P$68="")*(O$3:O$68="")*(N$3:N$68="")*(M$3:M$68="P")*(G$3:G$68=G36)*(J$3:J$68&lt;J36)*(H$3:H$68&lt;&gt;H36)),-1*SUMPRODUCT((P$3:P$68="")*(O$3:O$68="")*(N$3:N$68="")*(M$3:M$68="P")*(G$3:G$68=G36)*(J$3:J$68&gt;J36)*(H$3:H$68="L5")))+1,""))))</f>
        <v/>
      </c>
      <c r="C36" s="35" t="s">
        <v>276</v>
      </c>
      <c r="D36" t="str">
        <f>IF(E36="","",VLOOKUP(E36,'Coaching Points'!A:B,2,0))</f>
        <v>AB</v>
      </c>
      <c r="E36" s="35" t="s">
        <v>61</v>
      </c>
      <c r="F36" s="34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36.700003670000001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MAX(T36-IF(OR(H36="N/A"),V36,0),W36-IF(OR(H36="N/A"),Y36,0),Z36-IF(OR(H36="N/A"),AB36,0),AC36-IF(OR(H36="N/A"),AE36,0))</f>
        <v>36.700000000000003</v>
      </c>
      <c r="S36" s="4">
        <f>IF(R36=T36-IF(OR(H36="N/A"),V36,0),MAX(W36-IF(OR(H36="N/A"),Y36,0),Z36-IF(OR(H36="N/A"),AB36,0),AC36-IF(OR(H36="N/A"),AE36,0)),IF(R36=W36-IF(OR(H36="N/A"),Y36,0),MAX(T36-IF(OR(H36="N/A"),V36,0),Z36-IF(OR(H36="N/A"),AB36,0),AC36-IF(OR(H36="N/A"),AE36,0)),IF(R36=Z36-IF(OR(H36="N/A"),AB36,0),MAX(T36-IF(OR(H36="N/A"),V36,0),W36-IF(OR(H36="N/A"),Y36,0),AC36-IF(OR(H36="N/A"),AE36,0)),IF(R36=AC36-IF(OR(H36="N/A"),AE36,0),MAX(T36-IF(OR(H36="N/A"),V36,0),W36-IF(OR(H36="N/A"),Y36,0),Z36-IF(OR(H36="N/A"),AB36,0)),0))))</f>
        <v>0</v>
      </c>
      <c r="T36" s="32"/>
      <c r="U36" s="37"/>
      <c r="V36" s="37">
        <v>0</v>
      </c>
      <c r="W36" s="33"/>
      <c r="X36" s="37"/>
      <c r="Y36" s="37"/>
      <c r="Z36" s="32">
        <v>36.700000000000003</v>
      </c>
      <c r="AA36" s="37">
        <v>4.5999999999999996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$68&lt;&gt;"")*(G$3:G$68=G37)*(J$3:J$68&gt;J37)*(I$3:I$68="P"))+1,IF(O37&lt;&gt;"",SUMPRODUCT((O$3:O$68&lt;&gt;"")*(P$3:P$68="")*(G$3:G$68=G37)*(J$3:J$68&gt;J37)*(I$3:I$68="P"))+SUMPRODUCT((P$3:P$68&lt;&gt;"")*(G$3:G$68=G37)*(I$3:I$68="P"))+1,IF(N37&lt;&gt;"",SUMPRODUCT((N$3:N$68&lt;&gt;"")*(G$3:G$68=G37)*(J$3:J$68&gt;J37)*(I$3:I$68="P"))+1,IF(M37="P",SUMPRODUCT((O$3:O$68&lt;&gt;"")*(P$3:P$68="")*(G$3:G$68=G37)*(I$3:I$68="P"))+SUMPRODUCT((P$3:P$68&lt;&gt;"")*(G$3:G$68=G37)*(I$3:I$68="P"))+SUMPRODUCT((N$3:N$68&lt;&gt;"")*(G$3:G$68=G37)*(I$3:I$68="P"))+SUMPRODUCT((P$3:P$68="")*(O$3:O$68="")*(N$3:N$68="")*(M$3:M$68="P")*(G$3:G$68=G37)*(J$3:J$68&gt;J37)*(I$3:I$68="P"))+IF(H37="L5",SUMPRODUCT((P$3:P$68="")*(O$3:O$68="")*(N$3:N$68="")*(M$3:M$68="P")*(G$3:G$68=G37)*(J$3:J$68&lt;J37)*(H$3:H$68&lt;&gt;H37)*(I$3:I$68="P")),-1*SUMPRODUCT((P$3:P$68="")*(O$3:O$68="")*(N$3:N$68="")*(M$3:M$68="P")*(G$3:G$68=G37)*(J$3:J$68&gt;J37)*(H$3:H$68="L5")*(I$3:I$68="P")))+1,"")))))</f>
        <v/>
      </c>
      <c r="B37" s="1" t="str" cm="1">
        <f t="array" ref="B37">IF(P37&lt;&gt;"",SUMPRODUCT((P$3:P$68&lt;&gt;"")*(G$3:G$68=G37)*(J$3:J$68&gt;J37))+1,IF(O37&lt;&gt;"",SUMPRODUCT((O$3:O$68&lt;&gt;"")*(P$3:P$68="")*(G$3:G$68=G37)*(J$3:J$68&gt;J37))+SUMPRODUCT((P$3:P$68&lt;&gt;"")*(G$3:G$68=G37))+1,IF(N37&lt;&gt;"",SUMPRODUCT((N$3:N$68&lt;&gt;"")*(G$3:G$68=G37)*(J$3:J$68&gt;J37))+1,IF(M37="P",SUMPRODUCT((O$3:O$68&lt;&gt;"")*(P$3:P$68="")*(G$3:G$68=G37))+SUMPRODUCT((P$3:P$68&lt;&gt;"")*(G$3:G$68=G37))+SUMPRODUCT((N$3:N$68&lt;&gt;"")*(G$3:G$68=G37))+SUMPRODUCT((P$3:P$68="")*(O$3:O$68="")*(N$3:N$68="")*(M$3:M$68="P")*(G$3:G$68=G37)*(J$3:J$68&gt;J37))+IF(H37="L5",SUMPRODUCT((P$3:P$68="")*(O$3:O$68="")*(N$3:N$68="")*(M$3:M$68="P")*(G$3:G$68=G37)*(J$3:J$68&lt;J37)*(H$3:H$68&lt;&gt;H37)),-1*SUMPRODUCT((P$3:P$68="")*(O$3:O$68="")*(N$3:N$68="")*(M$3:M$68="P")*(G$3:G$68=G37)*(J$3:J$68&gt;J37)*(H$3:H$68="L5")))+1,""))))</f>
        <v/>
      </c>
      <c r="C37" s="35" t="s">
        <v>467</v>
      </c>
      <c r="D37" t="str">
        <f>IF(E37="","",VLOOKUP(E37,'Coaching Points'!A:B,2,0))</f>
        <v>QC</v>
      </c>
      <c r="E37" s="35" t="s">
        <v>70</v>
      </c>
      <c r="F37" s="34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R37+S37+IF(OR(H37="Junior",H37="Senior"),0.0002,IF(OR(H37="L7",H37="L6"),0.0001,0))+MAX(Z37,AC37)*0.0000001</f>
        <v>36.700003670000001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MAX(T37-IF(OR(H37="N/A"),V37,0),W37-IF(OR(H37="N/A"),Y37,0),Z37-IF(OR(H37="N/A"),AB37,0),AC37-IF(OR(H37="N/A"),AE37,0))</f>
        <v>36.700000000000003</v>
      </c>
      <c r="S37" s="4">
        <f>IF(R37=T37-IF(OR(H37="N/A"),V37,0),MAX(W37-IF(OR(H37="N/A"),Y37,0),Z37-IF(OR(H37="N/A"),AB37,0),AC37-IF(OR(H37="N/A"),AE37,0)),IF(R37=W37-IF(OR(H37="N/A"),Y37,0),MAX(T37-IF(OR(H37="N/A"),V37,0),Z37-IF(OR(H37="N/A"),AB37,0),AC37-IF(OR(H37="N/A"),AE37,0)),IF(R37=Z37-IF(OR(H37="N/A"),AB37,0),MAX(T37-IF(OR(H37="N/A"),V37,0),W37-IF(OR(H37="N/A"),Y37,0),AC37-IF(OR(H37="N/A"),AE37,0)),IF(R37=AC37-IF(OR(H37="N/A"),AE37,0),MAX(T37-IF(OR(H37="N/A"),V37,0),W37-IF(OR(H37="N/A"),Y37,0),Z37-IF(OR(H37="N/A"),AB37,0)),0))))</f>
        <v>0</v>
      </c>
      <c r="T37" s="32"/>
      <c r="U37" s="37"/>
      <c r="V37" s="37">
        <v>0</v>
      </c>
      <c r="W37" s="33"/>
      <c r="X37" s="37"/>
      <c r="Y37" s="37"/>
      <c r="Z37" s="32">
        <v>36.700000000000003</v>
      </c>
      <c r="AA37" s="37">
        <v>4.3000000000000007</v>
      </c>
      <c r="AB37" s="37">
        <v>0</v>
      </c>
      <c r="AC37" s="33"/>
      <c r="AD37" s="37"/>
      <c r="AE37" s="37"/>
    </row>
    <row r="38" spans="1:31" x14ac:dyDescent="0.2">
      <c r="A38" s="1" t="str" cm="1">
        <f t="array" ref="A38">IF(I38="","",IF(P38&lt;&gt;"",SUMPRODUCT((P$3:P$68&lt;&gt;"")*(G$3:G$68=G38)*(J$3:J$68&gt;J38)*(I$3:I$68="P"))+1,IF(O38&lt;&gt;"",SUMPRODUCT((O$3:O$68&lt;&gt;"")*(P$3:P$68="")*(G$3:G$68=G38)*(J$3:J$68&gt;J38)*(I$3:I$68="P"))+SUMPRODUCT((P$3:P$68&lt;&gt;"")*(G$3:G$68=G38)*(I$3:I$68="P"))+1,IF(N38&lt;&gt;"",SUMPRODUCT((N$3:N$68&lt;&gt;"")*(G$3:G$68=G38)*(J$3:J$68&gt;J38)*(I$3:I$68="P"))+1,IF(M38="P",SUMPRODUCT((O$3:O$68&lt;&gt;"")*(P$3:P$68="")*(G$3:G$68=G38)*(I$3:I$68="P"))+SUMPRODUCT((P$3:P$68&lt;&gt;"")*(G$3:G$68=G38)*(I$3:I$68="P"))+SUMPRODUCT((N$3:N$68&lt;&gt;"")*(G$3:G$68=G38)*(I$3:I$68="P"))+SUMPRODUCT((P$3:P$68="")*(O$3:O$68="")*(N$3:N$68="")*(M$3:M$68="P")*(G$3:G$68=G38)*(J$3:J$68&gt;J38)*(I$3:I$68="P"))+IF(H38="L5",SUMPRODUCT((P$3:P$68="")*(O$3:O$68="")*(N$3:N$68="")*(M$3:M$68="P")*(G$3:G$68=G38)*(J$3:J$68&lt;J38)*(H$3:H$68&lt;&gt;H38)*(I$3:I$68="P")),-1*SUMPRODUCT((P$3:P$68="")*(O$3:O$68="")*(N$3:N$68="")*(M$3:M$68="P")*(G$3:G$68=G38)*(J$3:J$68&gt;J38)*(H$3:H$68="L5")*(I$3:I$68="P")))+1,"")))))</f>
        <v/>
      </c>
      <c r="B38" s="1" t="str" cm="1">
        <f t="array" ref="B38">IF(P38&lt;&gt;"",SUMPRODUCT((P$3:P$68&lt;&gt;"")*(G$3:G$68=G38)*(J$3:J$68&gt;J38))+1,IF(O38&lt;&gt;"",SUMPRODUCT((O$3:O$68&lt;&gt;"")*(P$3:P$68="")*(G$3:G$68=G38)*(J$3:J$68&gt;J38))+SUMPRODUCT((P$3:P$68&lt;&gt;"")*(G$3:G$68=G38))+1,IF(N38&lt;&gt;"",SUMPRODUCT((N$3:N$68&lt;&gt;"")*(G$3:G$68=G38)*(J$3:J$68&gt;J38))+1,IF(M38="P",SUMPRODUCT((O$3:O$68&lt;&gt;"")*(P$3:P$68="")*(G$3:G$68=G38))+SUMPRODUCT((P$3:P$68&lt;&gt;"")*(G$3:G$68=G38))+SUMPRODUCT((N$3:N$68&lt;&gt;"")*(G$3:G$68=G38))+SUMPRODUCT((P$3:P$68="")*(O$3:O$68="")*(N$3:N$68="")*(M$3:M$68="P")*(G$3:G$68=G38)*(J$3:J$68&gt;J38))+IF(H38="L5",SUMPRODUCT((P$3:P$68="")*(O$3:O$68="")*(N$3:N$68="")*(M$3:M$68="P")*(G$3:G$68=G38)*(J$3:J$68&lt;J38)*(H$3:H$68&lt;&gt;H38)),-1*SUMPRODUCT((P$3:P$68="")*(O$3:O$68="")*(N$3:N$68="")*(M$3:M$68="P")*(G$3:G$68=G38)*(J$3:J$68&gt;J38)*(H$3:H$68="L5")))+1,""))))</f>
        <v/>
      </c>
      <c r="C38" s="35" t="s">
        <v>468</v>
      </c>
      <c r="D38" t="str">
        <f>IF(E38="","",VLOOKUP(E38,'Coaching Points'!A:B,2,0))</f>
        <v>AB</v>
      </c>
      <c r="E38" s="35" t="s">
        <v>144</v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36.600003659999999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MAX(T38-IF(OR(H38="N/A"),V38,0),W38-IF(OR(H38="N/A"),Y38,0),Z38-IF(OR(H38="N/A"),AB38,0),AC38-IF(OR(H38="N/A"),AE38,0))</f>
        <v>36.6</v>
      </c>
      <c r="S38" s="4">
        <f>IF(R38=T38-IF(OR(H38="N/A"),V38,0),MAX(W38-IF(OR(H38="N/A"),Y38,0),Z38-IF(OR(H38="N/A"),AB38,0),AC38-IF(OR(H38="N/A"),AE38,0)),IF(R38=W38-IF(OR(H38="N/A"),Y38,0),MAX(T38-IF(OR(H38="N/A"),V38,0),Z38-IF(OR(H38="N/A"),AB38,0),AC38-IF(OR(H38="N/A"),AE38,0)),IF(R38=Z38-IF(OR(H38="N/A"),AB38,0),MAX(T38-IF(OR(H38="N/A"),V38,0),W38-IF(OR(H38="N/A"),Y38,0),AC38-IF(OR(H38="N/A"),AE38,0)),IF(R38=AC38-IF(OR(H38="N/A"),AE38,0),MAX(T38-IF(OR(H38="N/A"),V38,0),W38-IF(OR(H38="N/A"),Y38,0),Z38-IF(OR(H38="N/A"),AB38,0)),0))))</f>
        <v>0</v>
      </c>
      <c r="T38" s="32"/>
      <c r="U38" s="37"/>
      <c r="V38" s="37">
        <v>0</v>
      </c>
      <c r="W38" s="33"/>
      <c r="X38" s="37"/>
      <c r="Y38" s="37"/>
      <c r="Z38" s="32">
        <v>36.6</v>
      </c>
      <c r="AA38" s="37">
        <v>4.4000000000000004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$68&lt;&gt;"")*(G$3:G$68=G39)*(J$3:J$68&gt;J39)*(I$3:I$68="P"))+1,IF(O39&lt;&gt;"",SUMPRODUCT((O$3:O$68&lt;&gt;"")*(P$3:P$68="")*(G$3:G$68=G39)*(J$3:J$68&gt;J39)*(I$3:I$68="P"))+SUMPRODUCT((P$3:P$68&lt;&gt;"")*(G$3:G$68=G39)*(I$3:I$68="P"))+1,IF(N39&lt;&gt;"",SUMPRODUCT((N$3:N$68&lt;&gt;"")*(G$3:G$68=G39)*(J$3:J$68&gt;J39)*(I$3:I$68="P"))+1,IF(M39="P",SUMPRODUCT((O$3:O$68&lt;&gt;"")*(P$3:P$68="")*(G$3:G$68=G39)*(I$3:I$68="P"))+SUMPRODUCT((P$3:P$68&lt;&gt;"")*(G$3:G$68=G39)*(I$3:I$68="P"))+SUMPRODUCT((N$3:N$68&lt;&gt;"")*(G$3:G$68=G39)*(I$3:I$68="P"))+SUMPRODUCT((P$3:P$68="")*(O$3:O$68="")*(N$3:N$68="")*(M$3:M$68="P")*(G$3:G$68=G39)*(J$3:J$68&gt;J39)*(I$3:I$68="P"))+IF(H39="L5",SUMPRODUCT((P$3:P$68="")*(O$3:O$68="")*(N$3:N$68="")*(M$3:M$68="P")*(G$3:G$68=G39)*(J$3:J$68&lt;J39)*(H$3:H$68&lt;&gt;H39)*(I$3:I$68="P")),-1*SUMPRODUCT((P$3:P$68="")*(O$3:O$68="")*(N$3:N$68="")*(M$3:M$68="P")*(G$3:G$68=G39)*(J$3:J$68&gt;J39)*(H$3:H$68="L5")*(I$3:I$68="P")))+1,"")))))</f>
        <v/>
      </c>
      <c r="B39" s="1" t="str" cm="1">
        <f t="array" ref="B39">IF(P39&lt;&gt;"",SUMPRODUCT((P$3:P$68&lt;&gt;"")*(G$3:G$68=G39)*(J$3:J$68&gt;J39))+1,IF(O39&lt;&gt;"",SUMPRODUCT((O$3:O$68&lt;&gt;"")*(P$3:P$68="")*(G$3:G$68=G39)*(J$3:J$68&gt;J39))+SUMPRODUCT((P$3:P$68&lt;&gt;"")*(G$3:G$68=G39))+1,IF(N39&lt;&gt;"",SUMPRODUCT((N$3:N$68&lt;&gt;"")*(G$3:G$68=G39)*(J$3:J$68&gt;J39))+1,IF(M39="P",SUMPRODUCT((O$3:O$68&lt;&gt;"")*(P$3:P$68="")*(G$3:G$68=G39))+SUMPRODUCT((P$3:P$68&lt;&gt;"")*(G$3:G$68=G39))+SUMPRODUCT((N$3:N$68&lt;&gt;"")*(G$3:G$68=G39))+SUMPRODUCT((P$3:P$68="")*(O$3:O$68="")*(N$3:N$68="")*(M$3:M$68="P")*(G$3:G$68=G39)*(J$3:J$68&gt;J39))+IF(H39="L5",SUMPRODUCT((P$3:P$68="")*(O$3:O$68="")*(N$3:N$68="")*(M$3:M$68="P")*(G$3:G$68=G39)*(J$3:J$68&lt;J39)*(H$3:H$68&lt;&gt;H39)),-1*SUMPRODUCT((P$3:P$68="")*(O$3:O$68="")*(N$3:N$68="")*(M$3:M$68="P")*(G$3:G$68=G39)*(J$3:J$68&gt;J39)*(H$3:H$68="L5")))+1,""))))</f>
        <v/>
      </c>
      <c r="C39" s="35" t="s">
        <v>469</v>
      </c>
      <c r="D39" t="str">
        <f>IF(E39="","",VLOOKUP(E39,'Coaching Points'!A:B,2,0))</f>
        <v>ON</v>
      </c>
      <c r="E39" s="35" t="s">
        <v>150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R39+S39+IF(OR(H39="Junior",H39="Senior"),0.0002,IF(OR(H39="L7",H39="L6"),0.0001,0))+MAX(Z39,AC39)*0.0000001</f>
        <v>36.300003629999999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MAX(T39-IF(OR(H39="N/A"),V39,0),W39-IF(OR(H39="N/A"),Y39,0),Z39-IF(OR(H39="N/A"),AB39,0),AC39-IF(OR(H39="N/A"),AE39,0))</f>
        <v>36.299999999999997</v>
      </c>
      <c r="S39" s="4">
        <f>IF(R39=T39-IF(OR(H39="N/A"),V39,0),MAX(W39-IF(OR(H39="N/A"),Y39,0),Z39-IF(OR(H39="N/A"),AB39,0),AC39-IF(OR(H39="N/A"),AE39,0)),IF(R39=W39-IF(OR(H39="N/A"),Y39,0),MAX(T39-IF(OR(H39="N/A"),V39,0),Z39-IF(OR(H39="N/A"),AB39,0),AC39-IF(OR(H39="N/A"),AE39,0)),IF(R39=Z39-IF(OR(H39="N/A"),AB39,0),MAX(T39-IF(OR(H39="N/A"),V39,0),W39-IF(OR(H39="N/A"),Y39,0),AC39-IF(OR(H39="N/A"),AE39,0)),IF(R39=AC39-IF(OR(H39="N/A"),AE39,0),MAX(T39-IF(OR(H39="N/A"),V39,0),W39-IF(OR(H39="N/A"),Y39,0),Z39-IF(OR(H39="N/A"),AB39,0)),0))))</f>
        <v>0</v>
      </c>
      <c r="T39" s="32"/>
      <c r="U39" s="37"/>
      <c r="V39" s="37">
        <v>0</v>
      </c>
      <c r="W39" s="33"/>
      <c r="X39" s="37"/>
      <c r="Y39" s="37"/>
      <c r="Z39" s="32">
        <v>36.299999999999997</v>
      </c>
      <c r="AA39" s="37">
        <v>4.4000000000000004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$68&lt;&gt;"")*(G$3:G$68=G40)*(J$3:J$68&gt;J40)*(I$3:I$68="P"))+1,IF(O40&lt;&gt;"",SUMPRODUCT((O$3:O$68&lt;&gt;"")*(P$3:P$68="")*(G$3:G$68=G40)*(J$3:J$68&gt;J40)*(I$3:I$68="P"))+SUMPRODUCT((P$3:P$68&lt;&gt;"")*(G$3:G$68=G40)*(I$3:I$68="P"))+1,IF(N40&lt;&gt;"",SUMPRODUCT((N$3:N$68&lt;&gt;"")*(G$3:G$68=G40)*(J$3:J$68&gt;J40)*(I$3:I$68="P"))+1,IF(M40="P",SUMPRODUCT((O$3:O$68&lt;&gt;"")*(P$3:P$68="")*(G$3:G$68=G40)*(I$3:I$68="P"))+SUMPRODUCT((P$3:P$68&lt;&gt;"")*(G$3:G$68=G40)*(I$3:I$68="P"))+SUMPRODUCT((N$3:N$68&lt;&gt;"")*(G$3:G$68=G40)*(I$3:I$68="P"))+SUMPRODUCT((P$3:P$68="")*(O$3:O$68="")*(N$3:N$68="")*(M$3:M$68="P")*(G$3:G$68=G40)*(J$3:J$68&gt;J40)*(I$3:I$68="P"))+IF(H40="L5",SUMPRODUCT((P$3:P$68="")*(O$3:O$68="")*(N$3:N$68="")*(M$3:M$68="P")*(G$3:G$68=G40)*(J$3:J$68&lt;J40)*(H$3:H$68&lt;&gt;H40)*(I$3:I$68="P")),-1*SUMPRODUCT((P$3:P$68="")*(O$3:O$68="")*(N$3:N$68="")*(M$3:M$68="P")*(G$3:G$68=G40)*(J$3:J$68&gt;J40)*(H$3:H$68="L5")*(I$3:I$68="P")))+1,"")))))</f>
        <v/>
      </c>
      <c r="B40" s="1" t="str" cm="1">
        <f t="array" ref="B40">IF(P40&lt;&gt;"",SUMPRODUCT((P$3:P$68&lt;&gt;"")*(G$3:G$68=G40)*(J$3:J$68&gt;J40))+1,IF(O40&lt;&gt;"",SUMPRODUCT((O$3:O$68&lt;&gt;"")*(P$3:P$68="")*(G$3:G$68=G40)*(J$3:J$68&gt;J40))+SUMPRODUCT((P$3:P$68&lt;&gt;"")*(G$3:G$68=G40))+1,IF(N40&lt;&gt;"",SUMPRODUCT((N$3:N$68&lt;&gt;"")*(G$3:G$68=G40)*(J$3:J$68&gt;J40))+1,IF(M40="P",SUMPRODUCT((O$3:O$68&lt;&gt;"")*(P$3:P$68="")*(G$3:G$68=G40))+SUMPRODUCT((P$3:P$68&lt;&gt;"")*(G$3:G$68=G40))+SUMPRODUCT((N$3:N$68&lt;&gt;"")*(G$3:G$68=G40))+SUMPRODUCT((P$3:P$68="")*(O$3:O$68="")*(N$3:N$68="")*(M$3:M$68="P")*(G$3:G$68=G40)*(J$3:J$68&gt;J40))+IF(H40="L5",SUMPRODUCT((P$3:P$68="")*(O$3:O$68="")*(N$3:N$68="")*(M$3:M$68="P")*(G$3:G$68=G40)*(J$3:J$68&lt;J40)*(H$3:H$68&lt;&gt;H40)),-1*SUMPRODUCT((P$3:P$68="")*(O$3:O$68="")*(N$3:N$68="")*(M$3:M$68="P")*(G$3:G$68=G40)*(J$3:J$68&gt;J40)*(H$3:H$68="L5")))+1,""))))</f>
        <v/>
      </c>
      <c r="C40" s="35" t="s">
        <v>470</v>
      </c>
      <c r="D40" t="str">
        <f>IF(E40="","",VLOOKUP(E40,'Coaching Points'!A:B,2,0))</f>
        <v>ON</v>
      </c>
      <c r="E40" s="35" t="s">
        <v>150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35.600003560000005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MAX(T40-IF(OR(H40="N/A"),V40,0),W40-IF(OR(H40="N/A"),Y40,0),Z40-IF(OR(H40="N/A"),AB40,0),AC40-IF(OR(H40="N/A"),AE40,0))</f>
        <v>35.6</v>
      </c>
      <c r="S40" s="4">
        <f>IF(R40=T40-IF(OR(H40="N/A"),V40,0),MAX(W40-IF(OR(H40="N/A"),Y40,0),Z40-IF(OR(H40="N/A"),AB40,0),AC40-IF(OR(H40="N/A"),AE40,0)),IF(R40=W40-IF(OR(H40="N/A"),Y40,0),MAX(T40-IF(OR(H40="N/A"),V40,0),Z40-IF(OR(H40="N/A"),AB40,0),AC40-IF(OR(H40="N/A"),AE40,0)),IF(R40=Z40-IF(OR(H40="N/A"),AB40,0),MAX(T40-IF(OR(H40="N/A"),V40,0),W40-IF(OR(H40="N/A"),Y40,0),AC40-IF(OR(H40="N/A"),AE40,0)),IF(R40=AC40-IF(OR(H40="N/A"),AE40,0),MAX(T40-IF(OR(H40="N/A"),V40,0),W40-IF(OR(H40="N/A"),Y40,0),Z40-IF(OR(H40="N/A"),AB40,0)),0))))</f>
        <v>0</v>
      </c>
      <c r="T40" s="32"/>
      <c r="U40" s="37"/>
      <c r="V40" s="37">
        <v>0</v>
      </c>
      <c r="W40" s="33"/>
      <c r="X40" s="37"/>
      <c r="Y40" s="37"/>
      <c r="Z40" s="32">
        <v>35.6</v>
      </c>
      <c r="AA40" s="37">
        <v>3.3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$68&lt;&gt;"")*(G$3:G$68=G41)*(J$3:J$68&gt;J41)*(I$3:I$68="P"))+1,IF(O41&lt;&gt;"",SUMPRODUCT((O$3:O$68&lt;&gt;"")*(P$3:P$68="")*(G$3:G$68=G41)*(J$3:J$68&gt;J41)*(I$3:I$68="P"))+SUMPRODUCT((P$3:P$68&lt;&gt;"")*(G$3:G$68=G41)*(I$3:I$68="P"))+1,IF(N41&lt;&gt;"",SUMPRODUCT((N$3:N$68&lt;&gt;"")*(G$3:G$68=G41)*(J$3:J$68&gt;J41)*(I$3:I$68="P"))+1,IF(M41="P",SUMPRODUCT((O$3:O$68&lt;&gt;"")*(P$3:P$68="")*(G$3:G$68=G41)*(I$3:I$68="P"))+SUMPRODUCT((P$3:P$68&lt;&gt;"")*(G$3:G$68=G41)*(I$3:I$68="P"))+SUMPRODUCT((N$3:N$68&lt;&gt;"")*(G$3:G$68=G41)*(I$3:I$68="P"))+SUMPRODUCT((P$3:P$68="")*(O$3:O$68="")*(N$3:N$68="")*(M$3:M$68="P")*(G$3:G$68=G41)*(J$3:J$68&gt;J41)*(I$3:I$68="P"))+IF(H41="L5",SUMPRODUCT((P$3:P$68="")*(O$3:O$68="")*(N$3:N$68="")*(M$3:M$68="P")*(G$3:G$68=G41)*(J$3:J$68&lt;J41)*(H$3:H$68&lt;&gt;H41)*(I$3:I$68="P")),-1*SUMPRODUCT((P$3:P$68="")*(O$3:O$68="")*(N$3:N$68="")*(M$3:M$68="P")*(G$3:G$68=G41)*(J$3:J$68&gt;J41)*(H$3:H$68="L5")*(I$3:I$68="P")))+1,"")))))</f>
        <v/>
      </c>
      <c r="B41" s="1" t="str" cm="1">
        <f t="array" ref="B41">IF(P41&lt;&gt;"",SUMPRODUCT((P$3:P$68&lt;&gt;"")*(G$3:G$68=G41)*(J$3:J$68&gt;J41))+1,IF(O41&lt;&gt;"",SUMPRODUCT((O$3:O$68&lt;&gt;"")*(P$3:P$68="")*(G$3:G$68=G41)*(J$3:J$68&gt;J41))+SUMPRODUCT((P$3:P$68&lt;&gt;"")*(G$3:G$68=G41))+1,IF(N41&lt;&gt;"",SUMPRODUCT((N$3:N$68&lt;&gt;"")*(G$3:G$68=G41)*(J$3:J$68&gt;J41))+1,IF(M41="P",SUMPRODUCT((O$3:O$68&lt;&gt;"")*(P$3:P$68="")*(G$3:G$68=G41))+SUMPRODUCT((P$3:P$68&lt;&gt;"")*(G$3:G$68=G41))+SUMPRODUCT((N$3:N$68&lt;&gt;"")*(G$3:G$68=G41))+SUMPRODUCT((P$3:P$68="")*(O$3:O$68="")*(N$3:N$68="")*(M$3:M$68="P")*(G$3:G$68=G41)*(J$3:J$68&gt;J41))+IF(H41="L5",SUMPRODUCT((P$3:P$68="")*(O$3:O$68="")*(N$3:N$68="")*(M$3:M$68="P")*(G$3:G$68=G41)*(J$3:J$68&lt;J41)*(H$3:H$68&lt;&gt;H41)),-1*SUMPRODUCT((P$3:P$68="")*(O$3:O$68="")*(N$3:N$68="")*(M$3:M$68="P")*(G$3:G$68=G41)*(J$3:J$68&gt;J41)*(H$3:H$68="L5")))+1,""))))</f>
        <v/>
      </c>
      <c r="C41" s="35" t="s">
        <v>471</v>
      </c>
      <c r="D41" t="str">
        <f>IF(E41="","",VLOOKUP(E41,'Coaching Points'!A:B,2,0))</f>
        <v>QC</v>
      </c>
      <c r="E41" s="35" t="s">
        <v>3</v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>R41+S41+IF(OR(H41="Junior",H41="Senior"),0.0002,IF(OR(H41="L7",H41="L6"),0.0001,0))+MAX(Z41,AC41)*0.0000001</f>
        <v>35.200003520000003</v>
      </c>
      <c r="K41" s="3" t="str">
        <f>IF(G41="Not Age Eligible","",IF(MAX(T41,W41,Z41,AC41)&gt;=LOOKUP(G41,'Qualifying Scores'!$A$4:$A$7,'Qualifying Scores'!$I$4:$I$7),"P",""))</f>
        <v/>
      </c>
      <c r="L41" s="3" t="str">
        <f>IF(G41="Not Age Eligible","",IF(MAX(U41,X41,AA41,AD41)&gt;=LOOKUP(G41,'Qualifying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MAX(T41-IF(OR(H41="N/A"),V41,0),W41-IF(OR(H41="N/A"),Y41,0),Z41-IF(OR(H41="N/A"),AB41,0),AC41-IF(OR(H41="N/A"),AE41,0))</f>
        <v>35.200000000000003</v>
      </c>
      <c r="S41" s="4">
        <f>IF(R41=T41-IF(OR(H41="N/A"),V41,0),MAX(W41-IF(OR(H41="N/A"),Y41,0),Z41-IF(OR(H41="N/A"),AB41,0),AC41-IF(OR(H41="N/A"),AE41,0)),IF(R41=W41-IF(OR(H41="N/A"),Y41,0),MAX(T41-IF(OR(H41="N/A"),V41,0),Z41-IF(OR(H41="N/A"),AB41,0),AC41-IF(OR(H41="N/A"),AE41,0)),IF(R41=Z41-IF(OR(H41="N/A"),AB41,0),MAX(T41-IF(OR(H41="N/A"),V41,0),W41-IF(OR(H41="N/A"),Y41,0),AC41-IF(OR(H41="N/A"),AE41,0)),IF(R41=AC41-IF(OR(H41="N/A"),AE41,0),MAX(T41-IF(OR(H41="N/A"),V41,0),W41-IF(OR(H41="N/A"),Y41,0),Z41-IF(OR(H41="N/A"),AB41,0)),0))))</f>
        <v>0</v>
      </c>
      <c r="T41" s="32"/>
      <c r="U41" s="37"/>
      <c r="V41" s="37">
        <v>0</v>
      </c>
      <c r="W41" s="33"/>
      <c r="X41" s="37"/>
      <c r="Y41" s="37"/>
      <c r="Z41" s="32">
        <v>35.200000000000003</v>
      </c>
      <c r="AA41" s="37">
        <v>3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$68&lt;&gt;"")*(G$3:G$68=G42)*(J$3:J$68&gt;J42)*(I$3:I$68="P"))+1,IF(O42&lt;&gt;"",SUMPRODUCT((O$3:O$68&lt;&gt;"")*(P$3:P$68="")*(G$3:G$68=G42)*(J$3:J$68&gt;J42)*(I$3:I$68="P"))+SUMPRODUCT((P$3:P$68&lt;&gt;"")*(G$3:G$68=G42)*(I$3:I$68="P"))+1,IF(N42&lt;&gt;"",SUMPRODUCT((N$3:N$68&lt;&gt;"")*(G$3:G$68=G42)*(J$3:J$68&gt;J42)*(I$3:I$68="P"))+1,IF(M42="P",SUMPRODUCT((O$3:O$68&lt;&gt;"")*(P$3:P$68="")*(G$3:G$68=G42)*(I$3:I$68="P"))+SUMPRODUCT((P$3:P$68&lt;&gt;"")*(G$3:G$68=G42)*(I$3:I$68="P"))+SUMPRODUCT((N$3:N$68&lt;&gt;"")*(G$3:G$68=G42)*(I$3:I$68="P"))+SUMPRODUCT((P$3:P$68="")*(O$3:O$68="")*(N$3:N$68="")*(M$3:M$68="P")*(G$3:G$68=G42)*(J$3:J$68&gt;J42)*(I$3:I$68="P"))+IF(H42="L5",SUMPRODUCT((P$3:P$68="")*(O$3:O$68="")*(N$3:N$68="")*(M$3:M$68="P")*(G$3:G$68=G42)*(J$3:J$68&lt;J42)*(H$3:H$68&lt;&gt;H42)*(I$3:I$68="P")),-1*SUMPRODUCT((P$3:P$68="")*(O$3:O$68="")*(N$3:N$68="")*(M$3:M$68="P")*(G$3:G$68=G42)*(J$3:J$68&gt;J42)*(H$3:H$68="L5")*(I$3:I$68="P")))+1,"")))))</f>
        <v/>
      </c>
      <c r="B42" s="1" t="str" cm="1">
        <f t="array" ref="B42">IF(P42&lt;&gt;"",SUMPRODUCT((P$3:P$68&lt;&gt;"")*(G$3:G$68=G42)*(J$3:J$68&gt;J42))+1,IF(O42&lt;&gt;"",SUMPRODUCT((O$3:O$68&lt;&gt;"")*(P$3:P$68="")*(G$3:G$68=G42)*(J$3:J$68&gt;J42))+SUMPRODUCT((P$3:P$68&lt;&gt;"")*(G$3:G$68=G42))+1,IF(N42&lt;&gt;"",SUMPRODUCT((N$3:N$68&lt;&gt;"")*(G$3:G$68=G42)*(J$3:J$68&gt;J42))+1,IF(M42="P",SUMPRODUCT((O$3:O$68&lt;&gt;"")*(P$3:P$68="")*(G$3:G$68=G42))+SUMPRODUCT((P$3:P$68&lt;&gt;"")*(G$3:G$68=G42))+SUMPRODUCT((N$3:N$68&lt;&gt;"")*(G$3:G$68=G42))+SUMPRODUCT((P$3:P$68="")*(O$3:O$68="")*(N$3:N$68="")*(M$3:M$68="P")*(G$3:G$68=G42)*(J$3:J$68&gt;J42))+IF(H42="L5",SUMPRODUCT((P$3:P$68="")*(O$3:O$68="")*(N$3:N$68="")*(M$3:M$68="P")*(G$3:G$68=G42)*(J$3:J$68&lt;J42)*(H$3:H$68&lt;&gt;H42)),-1*SUMPRODUCT((P$3:P$68="")*(O$3:O$68="")*(N$3:N$68="")*(M$3:M$68="P")*(G$3:G$68=G42)*(J$3:J$68&gt;J42)*(H$3:H$68="L5")))+1,""))))</f>
        <v/>
      </c>
      <c r="C42" s="35" t="s">
        <v>325</v>
      </c>
      <c r="D42" t="str">
        <f>IF(E42="","",VLOOKUP(E42,'Coaching Points'!A:B,2,0))</f>
        <v>MB</v>
      </c>
      <c r="E42" s="35" t="s">
        <v>63</v>
      </c>
      <c r="F42" s="34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33.5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MAX(T42-IF(OR(H42="N/A"),V42,0),W42-IF(OR(H42="N/A"),Y42,0),Z42-IF(OR(H42="N/A"),AB42,0),AC42-IF(OR(H42="N/A"),AE42,0))</f>
        <v>33.5</v>
      </c>
      <c r="S42" s="4">
        <f>IF(R42=T42-IF(OR(H42="N/A"),V42,0),MAX(W42-IF(OR(H42="N/A"),Y42,0),Z42-IF(OR(H42="N/A"),AB42,0),AC42-IF(OR(H42="N/A"),AE42,0)),IF(R42=W42-IF(OR(H42="N/A"),Y42,0),MAX(T42-IF(OR(H42="N/A"),V42,0),Z42-IF(OR(H42="N/A"),AB42,0),AC42-IF(OR(H42="N/A"),AE42,0)),IF(R42=Z42-IF(OR(H42="N/A"),AB42,0),MAX(T42-IF(OR(H42="N/A"),V42,0),W42-IF(OR(H42="N/A"),Y42,0),AC42-IF(OR(H42="N/A"),AE42,0)),IF(R42=AC42-IF(OR(H42="N/A"),AE42,0),MAX(T42-IF(OR(H42="N/A"),V42,0),W42-IF(OR(H42="N/A"),Y42,0),Z42-IF(OR(H42="N/A"),AB42,0)),0))))</f>
        <v>0</v>
      </c>
      <c r="T42" s="32">
        <v>33.5</v>
      </c>
      <c r="U42" s="37">
        <v>4.1999999999999993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$68&lt;&gt;"")*(G$3:G$68=G43)*(J$3:J$68&gt;J43)*(I$3:I$68="P"))+1,IF(O43&lt;&gt;"",SUMPRODUCT((O$3:O$68&lt;&gt;"")*(P$3:P$68="")*(G$3:G$68=G43)*(J$3:J$68&gt;J43)*(I$3:I$68="P"))+SUMPRODUCT((P$3:P$68&lt;&gt;"")*(G$3:G$68=G43)*(I$3:I$68="P"))+1,IF(N43&lt;&gt;"",SUMPRODUCT((N$3:N$68&lt;&gt;"")*(G$3:G$68=G43)*(J$3:J$68&gt;J43)*(I$3:I$68="P"))+1,IF(M43="P",SUMPRODUCT((O$3:O$68&lt;&gt;"")*(P$3:P$68="")*(G$3:G$68=G43)*(I$3:I$68="P"))+SUMPRODUCT((P$3:P$68&lt;&gt;"")*(G$3:G$68=G43)*(I$3:I$68="P"))+SUMPRODUCT((N$3:N$68&lt;&gt;"")*(G$3:G$68=G43)*(I$3:I$68="P"))+SUMPRODUCT((P$3:P$68="")*(O$3:O$68="")*(N$3:N$68="")*(M$3:M$68="P")*(G$3:G$68=G43)*(J$3:J$68&gt;J43)*(I$3:I$68="P"))+IF(H43="L5",SUMPRODUCT((P$3:P$68="")*(O$3:O$68="")*(N$3:N$68="")*(M$3:M$68="P")*(G$3:G$68=G43)*(J$3:J$68&lt;J43)*(H$3:H$68&lt;&gt;H43)*(I$3:I$68="P")),-1*SUMPRODUCT((P$3:P$68="")*(O$3:O$68="")*(N$3:N$68="")*(M$3:M$68="P")*(G$3:G$68=G43)*(J$3:J$68&gt;J43)*(H$3:H$68="L5")*(I$3:I$68="P")))+1,"")))))</f>
        <v/>
      </c>
      <c r="B43" s="1" t="str" cm="1">
        <f t="array" ref="B43">IF(P43&lt;&gt;"",SUMPRODUCT((P$3:P$68&lt;&gt;"")*(G$3:G$68=G43)*(J$3:J$68&gt;J43))+1,IF(O43&lt;&gt;"",SUMPRODUCT((O$3:O$68&lt;&gt;"")*(P$3:P$68="")*(G$3:G$68=G43)*(J$3:J$68&gt;J43))+SUMPRODUCT((P$3:P$68&lt;&gt;"")*(G$3:G$68=G43))+1,IF(N43&lt;&gt;"",SUMPRODUCT((N$3:N$68&lt;&gt;"")*(G$3:G$68=G43)*(J$3:J$68&gt;J43))+1,IF(M43="P",SUMPRODUCT((O$3:O$68&lt;&gt;"")*(P$3:P$68="")*(G$3:G$68=G43))+SUMPRODUCT((P$3:P$68&lt;&gt;"")*(G$3:G$68=G43))+SUMPRODUCT((N$3:N$68&lt;&gt;"")*(G$3:G$68=G43))+SUMPRODUCT((P$3:P$68="")*(O$3:O$68="")*(N$3:N$68="")*(M$3:M$68="P")*(G$3:G$68=G43)*(J$3:J$68&gt;J43))+IF(H43="L5",SUMPRODUCT((P$3:P$68="")*(O$3:O$68="")*(N$3:N$68="")*(M$3:M$68="P")*(G$3:G$68=G43)*(J$3:J$68&lt;J43)*(H$3:H$68&lt;&gt;H43)),-1*SUMPRODUCT((P$3:P$68="")*(O$3:O$68="")*(N$3:N$68="")*(M$3:M$68="P")*(G$3:G$68=G43)*(J$3:J$68&gt;J43)*(H$3:H$68="L5")))+1,""))))</f>
        <v/>
      </c>
      <c r="C43" s="35" t="s">
        <v>294</v>
      </c>
      <c r="D43" t="str">
        <f>IF(E43="","",VLOOKUP(E43,'Coaching Points'!A:B,2,0))</f>
        <v>ON</v>
      </c>
      <c r="E43" s="35" t="s">
        <v>162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210</v>
      </c>
      <c r="I43" s="40"/>
      <c r="J43" s="4">
        <f>R43+S43+IF(OR(H43="Junior",H43="Senior"),0.0002,IF(OR(H43="L7",H43="L6"),0.0001,0))+MAX(Z43,AC43)*0.0000001</f>
        <v>33.0002</v>
      </c>
      <c r="K43" s="3" t="str">
        <f>IF(G43="Not Age Eligible","",IF(MAX(T43,W43,Z43,AC43)&gt;=LOOKUP(G43,'Qualifying Scores'!$A$4:$A$7,'Qualifying Scores'!$I$4:$I$7),"P",""))</f>
        <v/>
      </c>
      <c r="L43" s="3" t="str">
        <f>IF(G43="Not Age Eligible","",IF(MAX(U43,X43,AA43,AD43)&gt;=LOOKUP(G43,'Qualifying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/>
      </c>
      <c r="Q43" s="1" t="str">
        <f>IF(A43&lt;5,IF(_xlfn.MAXIFS(A:A,G:G,G43)&gt;3,5-A43,_xlfn.MAXIFS(A:A,G:G,G43)+1-A43),"")</f>
        <v/>
      </c>
      <c r="R43" s="4">
        <f>MAX(T43-IF(OR(H43="N/A"),V43,0),W43-IF(OR(H43="N/A"),Y43,0),Z43-IF(OR(H43="N/A"),AB43,0),AC43-IF(OR(H43="N/A"),AE43,0))</f>
        <v>33</v>
      </c>
      <c r="S43" s="4">
        <f>IF(R43=T43-IF(OR(H43="N/A"),V43,0),MAX(W43-IF(OR(H43="N/A"),Y43,0),Z43-IF(OR(H43="N/A"),AB43,0),AC43-IF(OR(H43="N/A"),AE43,0)),IF(R43=W43-IF(OR(H43="N/A"),Y43,0),MAX(T43-IF(OR(H43="N/A"),V43,0),Z43-IF(OR(H43="N/A"),AB43,0),AC43-IF(OR(H43="N/A"),AE43,0)),IF(R43=Z43-IF(OR(H43="N/A"),AB43,0),MAX(T43-IF(OR(H43="N/A"),V43,0),W43-IF(OR(H43="N/A"),Y43,0),AC43-IF(OR(H43="N/A"),AE43,0)),IF(R43=AC43-IF(OR(H43="N/A"),AE43,0),MAX(T43-IF(OR(H43="N/A"),V43,0),W43-IF(OR(H43="N/A"),Y43,0),Z43-IF(OR(H43="N/A"),AB43,0)),0))))</f>
        <v>0</v>
      </c>
      <c r="T43" s="32">
        <v>33</v>
      </c>
      <c r="U43" s="37">
        <v>4.3</v>
      </c>
      <c r="V43" s="37">
        <v>0</v>
      </c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$68&lt;&gt;"")*(G$3:G$68=G44)*(J$3:J$68&gt;J44)*(I$3:I$68="P"))+1,IF(O44&lt;&gt;"",SUMPRODUCT((O$3:O$68&lt;&gt;"")*(P$3:P$68="")*(G$3:G$68=G44)*(J$3:J$68&gt;J44)*(I$3:I$68="P"))+SUMPRODUCT((P$3:P$68&lt;&gt;"")*(G$3:G$68=G44)*(I$3:I$68="P"))+1,IF(N44&lt;&gt;"",SUMPRODUCT((N$3:N$68&lt;&gt;"")*(G$3:G$68=G44)*(J$3:J$68&gt;J44)*(I$3:I$68="P"))+1,IF(M44="P",SUMPRODUCT((O$3:O$68&lt;&gt;"")*(P$3:P$68="")*(G$3:G$68=G44)*(I$3:I$68="P"))+SUMPRODUCT((P$3:P$68&lt;&gt;"")*(G$3:G$68=G44)*(I$3:I$68="P"))+SUMPRODUCT((N$3:N$68&lt;&gt;"")*(G$3:G$68=G44)*(I$3:I$68="P"))+SUMPRODUCT((P$3:P$68="")*(O$3:O$68="")*(N$3:N$68="")*(M$3:M$68="P")*(G$3:G$68=G44)*(J$3:J$68&gt;J44)*(I$3:I$68="P"))+IF(H44="L5",SUMPRODUCT((P$3:P$68="")*(O$3:O$68="")*(N$3:N$68="")*(M$3:M$68="P")*(G$3:G$68=G44)*(J$3:J$68&lt;J44)*(H$3:H$68&lt;&gt;H44)*(I$3:I$68="P")),-1*SUMPRODUCT((P$3:P$68="")*(O$3:O$68="")*(N$3:N$68="")*(M$3:M$68="P")*(G$3:G$68=G44)*(J$3:J$68&gt;J44)*(H$3:H$68="L5")*(I$3:I$68="P")))+1,"")))))</f>
        <v/>
      </c>
      <c r="B44" s="1" t="str" cm="1">
        <f t="array" ref="B44">IF(P44&lt;&gt;"",SUMPRODUCT((P$3:P$68&lt;&gt;"")*(G$3:G$68=G44)*(J$3:J$68&gt;J44))+1,IF(O44&lt;&gt;"",SUMPRODUCT((O$3:O$68&lt;&gt;"")*(P$3:P$68="")*(G$3:G$68=G44)*(J$3:J$68&gt;J44))+SUMPRODUCT((P$3:P$68&lt;&gt;"")*(G$3:G$68=G44))+1,IF(N44&lt;&gt;"",SUMPRODUCT((N$3:N$68&lt;&gt;"")*(G$3:G$68=G44)*(J$3:J$68&gt;J44))+1,IF(M44="P",SUMPRODUCT((O$3:O$68&lt;&gt;"")*(P$3:P$68="")*(G$3:G$68=G44))+SUMPRODUCT((P$3:P$68&lt;&gt;"")*(G$3:G$68=G44))+SUMPRODUCT((N$3:N$68&lt;&gt;"")*(G$3:G$68=G44))+SUMPRODUCT((P$3:P$68="")*(O$3:O$68="")*(N$3:N$68="")*(M$3:M$68="P")*(G$3:G$68=G44)*(J$3:J$68&gt;J44))+IF(H44="L5",SUMPRODUCT((P$3:P$68="")*(O$3:O$68="")*(N$3:N$68="")*(M$3:M$68="P")*(G$3:G$68=G44)*(J$3:J$68&lt;J44)*(H$3:H$68&lt;&gt;H44)),-1*SUMPRODUCT((P$3:P$68="")*(O$3:O$68="")*(N$3:N$68="")*(M$3:M$68="P")*(G$3:G$68=G44)*(J$3:J$68&gt;J44)*(H$3:H$68="L5")))+1,""))))</f>
        <v/>
      </c>
      <c r="C44" s="35" t="s">
        <v>286</v>
      </c>
      <c r="D44" t="str">
        <f>IF(E44="","",VLOOKUP(E44,'Coaching Points'!A:B,2,0))</f>
        <v>AB</v>
      </c>
      <c r="E44" s="35" t="s">
        <v>131</v>
      </c>
      <c r="F44" s="34">
        <v>2007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>R44+S44+IF(OR(H44="Junior",H44="Senior"),0.0002,IF(OR(H44="L7",H44="L6"),0.0001,0))+MAX(Z44,AC44)*0.0000001</f>
        <v>30.100003010000002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MAX(T44-IF(OR(H44="N/A"),V44,0),W44-IF(OR(H44="N/A"),Y44,0),Z44-IF(OR(H44="N/A"),AB44,0),AC44-IF(OR(H44="N/A"),AE44,0))</f>
        <v>30.1</v>
      </c>
      <c r="S44" s="4">
        <f>IF(R44=T44-IF(OR(H44="N/A"),V44,0),MAX(W44-IF(OR(H44="N/A"),Y44,0),Z44-IF(OR(H44="N/A"),AB44,0),AC44-IF(OR(H44="N/A"),AE44,0)),IF(R44=W44-IF(OR(H44="N/A"),Y44,0),MAX(T44-IF(OR(H44="N/A"),V44,0),Z44-IF(OR(H44="N/A"),AB44,0),AC44-IF(OR(H44="N/A"),AE44,0)),IF(R44=Z44-IF(OR(H44="N/A"),AB44,0),MAX(T44-IF(OR(H44="N/A"),V44,0),W44-IF(OR(H44="N/A"),Y44,0),AC44-IF(OR(H44="N/A"),AE44,0)),IF(R44=AC44-IF(OR(H44="N/A"),AE44,0),MAX(T44-IF(OR(H44="N/A"),V44,0),W44-IF(OR(H44="N/A"),Y44,0),Z44-IF(OR(H44="N/A"),AB44,0)),0))))</f>
        <v>0</v>
      </c>
      <c r="T44" s="32"/>
      <c r="U44" s="37"/>
      <c r="V44" s="37">
        <v>0</v>
      </c>
      <c r="W44" s="33"/>
      <c r="X44" s="37"/>
      <c r="Y44" s="37"/>
      <c r="Z44" s="32">
        <v>30.1</v>
      </c>
      <c r="AA44" s="37">
        <v>3.9</v>
      </c>
      <c r="AB44" s="37">
        <v>0</v>
      </c>
      <c r="AC44" s="33"/>
      <c r="AD44" s="37"/>
      <c r="AE44" s="37"/>
    </row>
    <row r="45" spans="1:31" x14ac:dyDescent="0.2">
      <c r="A45" s="1" t="str" cm="1">
        <f t="array" ref="A45">IF(I45="","",IF(P45&lt;&gt;"",SUMPRODUCT((P$3:P$68&lt;&gt;"")*(G$3:G$68=G45)*(J$3:J$68&gt;J45)*(I$3:I$68="P"))+1,IF(O45&lt;&gt;"",SUMPRODUCT((O$3:O$68&lt;&gt;"")*(P$3:P$68="")*(G$3:G$68=G45)*(J$3:J$68&gt;J45)*(I$3:I$68="P"))+SUMPRODUCT((P$3:P$68&lt;&gt;"")*(G$3:G$68=G45)*(I$3:I$68="P"))+1,IF(N45&lt;&gt;"",SUMPRODUCT((N$3:N$68&lt;&gt;"")*(G$3:G$68=G45)*(J$3:J$68&gt;J45)*(I$3:I$68="P"))+1,IF(M45="P",SUMPRODUCT((O$3:O$68&lt;&gt;"")*(P$3:P$68="")*(G$3:G$68=G45)*(I$3:I$68="P"))+SUMPRODUCT((P$3:P$68&lt;&gt;"")*(G$3:G$68=G45)*(I$3:I$68="P"))+SUMPRODUCT((N$3:N$68&lt;&gt;"")*(G$3:G$68=G45)*(I$3:I$68="P"))+SUMPRODUCT((P$3:P$68="")*(O$3:O$68="")*(N$3:N$68="")*(M$3:M$68="P")*(G$3:G$68=G45)*(J$3:J$68&gt;J45)*(I$3:I$68="P"))+IF(H45="L5",SUMPRODUCT((P$3:P$68="")*(O$3:O$68="")*(N$3:N$68="")*(M$3:M$68="P")*(G$3:G$68=G45)*(J$3:J$68&lt;J45)*(H$3:H$68&lt;&gt;H45)*(I$3:I$68="P")),-1*SUMPRODUCT((P$3:P$68="")*(O$3:O$68="")*(N$3:N$68="")*(M$3:M$68="P")*(G$3:G$68=G45)*(J$3:J$68&gt;J45)*(H$3:H$68="L5")*(I$3:I$68="P")))+1,"")))))</f>
        <v/>
      </c>
      <c r="B45" s="1" cm="1">
        <f t="array" ref="B45">IF(P45&lt;&gt;"",SUMPRODUCT((P$3:P$68&lt;&gt;"")*(G$3:G$68=G45)*(J$3:J$68&gt;J45))+1,IF(O45&lt;&gt;"",SUMPRODUCT((O$3:O$68&lt;&gt;"")*(P$3:P$68="")*(G$3:G$68=G45)*(J$3:J$68&gt;J45))+SUMPRODUCT((P$3:P$68&lt;&gt;"")*(G$3:G$68=G45))+1,IF(N45&lt;&gt;"",SUMPRODUCT((N$3:N$68&lt;&gt;"")*(G$3:G$68=G45)*(J$3:J$68&gt;J45))+1,IF(M45="P",SUMPRODUCT((O$3:O$68&lt;&gt;"")*(P$3:P$68="")*(G$3:G$68=G45))+SUMPRODUCT((P$3:P$68&lt;&gt;"")*(G$3:G$68=G45))+SUMPRODUCT((N$3:N$68&lt;&gt;"")*(G$3:G$68=G45))+SUMPRODUCT((P$3:P$68="")*(O$3:O$68="")*(N$3:N$68="")*(M$3:M$68="P")*(G$3:G$68=G45)*(J$3:J$68&gt;J45))+IF(H45="L5",SUMPRODUCT((P$3:P$68="")*(O$3:O$68="")*(N$3:N$68="")*(M$3:M$68="P")*(G$3:G$68=G45)*(J$3:J$68&lt;J45)*(H$3:H$68&lt;&gt;H45)),-1*SUMPRODUCT((P$3:P$68="")*(O$3:O$68="")*(N$3:N$68="")*(M$3:M$68="P")*(G$3:G$68=G45)*(J$3:J$68&gt;J45)*(H$3:H$68="L5")))+1,""))))</f>
        <v>1</v>
      </c>
      <c r="C45" s="35" t="s">
        <v>295</v>
      </c>
      <c r="D45" t="str">
        <f>IF(E45="","",VLOOKUP(E45,'Coaching Points'!A:B,2,0))</f>
        <v>ON</v>
      </c>
      <c r="E45" s="35" t="s">
        <v>162</v>
      </c>
      <c r="F45" s="34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211</v>
      </c>
      <c r="I45" s="40"/>
      <c r="J45" s="4">
        <f>R45+S45+IF(OR(H45="Junior",H45="Senior"),0.0002,IF(OR(H45="L7",H45="L6"),0.0001,0))+MAX(Z45,AC45)*0.0000001</f>
        <v>84.700204270000015</v>
      </c>
      <c r="K45" s="3" t="str">
        <f>IF(G45="Not Age Eligible","",IF(MAX(T45,W45,Z45,AC45)&gt;=LOOKUP(G45,'Qualifying Scores'!$A$4:$A$7,'Qualifying Scores'!$I$4:$I$7),"P",""))</f>
        <v>P</v>
      </c>
      <c r="L45" s="3" t="str">
        <f>IF(G45="Not Age Eligible","",IF(MAX(U45,X45,AA45,AD45)&gt;=LOOKUP(G45,'Qualifying Scores'!$A$10:$A$13,'Qualifying Scores'!$I$10:$I$13),"P",""))</f>
        <v>P</v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>P</v>
      </c>
      <c r="N45" s="36">
        <v>1</v>
      </c>
      <c r="Q45" s="1" t="str">
        <f>IF(A45&lt;5,IF(_xlfn.MAXIFS(A:A,G:G,G45)&gt;3,5-A45,_xlfn.MAXIFS(A:A,G:G,G45)+1-A45),"")</f>
        <v/>
      </c>
      <c r="R45" s="4">
        <f>MAX(T45-IF(OR(H45="N/A"),V45,0),W45-IF(OR(H45="N/A"),Y45,0),Z45-IF(OR(H45="N/A"),AB45,0),AC45-IF(OR(H45="N/A"),AE45,0))</f>
        <v>42.7</v>
      </c>
      <c r="S45" s="4">
        <f>IF(R45=T45-IF(OR(H45="N/A"),V45,0),MAX(W45-IF(OR(H45="N/A"),Y45,0),Z45-IF(OR(H45="N/A"),AB45,0),AC45-IF(OR(H45="N/A"),AE45,0)),IF(R45=W45-IF(OR(H45="N/A"),Y45,0),MAX(T45-IF(OR(H45="N/A"),V45,0),Z45-IF(OR(H45="N/A"),AB45,0),AC45-IF(OR(H45="N/A"),AE45,0)),IF(R45=Z45-IF(OR(H45="N/A"),AB45,0),MAX(T45-IF(OR(H45="N/A"),V45,0),W45-IF(OR(H45="N/A"),Y45,0),AC45-IF(OR(H45="N/A"),AE45,0)),IF(R45=AC45-IF(OR(H45="N/A"),AE45,0),MAX(T45-IF(OR(H45="N/A"),V45,0),W45-IF(OR(H45="N/A"),Y45,0),Z45-IF(OR(H45="N/A"),AB45,0)),0))))</f>
        <v>42</v>
      </c>
      <c r="T45" s="32">
        <v>38.299999999999997</v>
      </c>
      <c r="U45" s="37">
        <v>6.6999999999999993</v>
      </c>
      <c r="V45" s="37">
        <v>0</v>
      </c>
      <c r="W45" s="33">
        <v>42</v>
      </c>
      <c r="X45" s="37">
        <v>7.3</v>
      </c>
      <c r="Y45" s="37">
        <v>0</v>
      </c>
      <c r="Z45" s="32">
        <v>41.1</v>
      </c>
      <c r="AA45" s="37">
        <v>8</v>
      </c>
      <c r="AB45" s="37">
        <v>0</v>
      </c>
      <c r="AC45" s="33">
        <v>42.7</v>
      </c>
      <c r="AD45" s="37">
        <v>7.3</v>
      </c>
      <c r="AE45" s="37">
        <v>0</v>
      </c>
    </row>
    <row r="46" spans="1:31" x14ac:dyDescent="0.2">
      <c r="A46" s="1" t="str" cm="1">
        <f t="array" ref="A46">IF(I46="","",IF(P46&lt;&gt;"",SUMPRODUCT((P$3:P$68&lt;&gt;"")*(G$3:G$68=G46)*(J$3:J$68&gt;J46)*(I$3:I$68="P"))+1,IF(O46&lt;&gt;"",SUMPRODUCT((O$3:O$68&lt;&gt;"")*(P$3:P$68="")*(G$3:G$68=G46)*(J$3:J$68&gt;J46)*(I$3:I$68="P"))+SUMPRODUCT((P$3:P$68&lt;&gt;"")*(G$3:G$68=G46)*(I$3:I$68="P"))+1,IF(N46&lt;&gt;"",SUMPRODUCT((N$3:N$68&lt;&gt;"")*(G$3:G$68=G46)*(J$3:J$68&gt;J46)*(I$3:I$68="P"))+1,IF(M46="P",SUMPRODUCT((O$3:O$68&lt;&gt;"")*(P$3:P$68="")*(G$3:G$68=G46)*(I$3:I$68="P"))+SUMPRODUCT((P$3:P$68&lt;&gt;"")*(G$3:G$68=G46)*(I$3:I$68="P"))+SUMPRODUCT((N$3:N$68&lt;&gt;"")*(G$3:G$68=G46)*(I$3:I$68="P"))+SUMPRODUCT((P$3:P$68="")*(O$3:O$68="")*(N$3:N$68="")*(M$3:M$68="P")*(G$3:G$68=G46)*(J$3:J$68&gt;J46)*(I$3:I$68="P"))+IF(H46="L5",SUMPRODUCT((P$3:P$68="")*(O$3:O$68="")*(N$3:N$68="")*(M$3:M$68="P")*(G$3:G$68=G46)*(J$3:J$68&lt;J46)*(H$3:H$68&lt;&gt;H46)*(I$3:I$68="P")),-1*SUMPRODUCT((P$3:P$68="")*(O$3:O$68="")*(N$3:N$68="")*(M$3:M$68="P")*(G$3:G$68=G46)*(J$3:J$68&gt;J46)*(H$3:H$68="L5")*(I$3:I$68="P")))+1,"")))))</f>
        <v/>
      </c>
      <c r="B46" s="1" t="str" cm="1">
        <f t="array" ref="B46">IF(P46&lt;&gt;"",SUMPRODUCT((P$3:P$68&lt;&gt;"")*(G$3:G$68=G46)*(J$3:J$68&gt;J46))+1,IF(O46&lt;&gt;"",SUMPRODUCT((O$3:O$68&lt;&gt;"")*(P$3:P$68="")*(G$3:G$68=G46)*(J$3:J$68&gt;J46))+SUMPRODUCT((P$3:P$68&lt;&gt;"")*(G$3:G$68=G46))+1,IF(N46&lt;&gt;"",SUMPRODUCT((N$3:N$68&lt;&gt;"")*(G$3:G$68=G46)*(J$3:J$68&gt;J46))+1,IF(M46="P",SUMPRODUCT((O$3:O$68&lt;&gt;"")*(P$3:P$68="")*(G$3:G$68=G46))+SUMPRODUCT((P$3:P$68&lt;&gt;"")*(G$3:G$68=G46))+SUMPRODUCT((N$3:N$68&lt;&gt;"")*(G$3:G$68=G46))+SUMPRODUCT((P$3:P$68="")*(O$3:O$68="")*(N$3:N$68="")*(M$3:M$68="P")*(G$3:G$68=G46)*(J$3:J$68&gt;J46))+IF(H46="L5",SUMPRODUCT((P$3:P$68="")*(O$3:O$68="")*(N$3:N$68="")*(M$3:M$68="P")*(G$3:G$68=G46)*(J$3:J$68&lt;J46)*(H$3:H$68&lt;&gt;H46)),-1*SUMPRODUCT((P$3:P$68="")*(O$3:O$68="")*(N$3:N$68="")*(M$3:M$68="P")*(G$3:G$68=G46)*(J$3:J$68&gt;J46)*(H$3:H$68="L5")))+1,""))))</f>
        <v/>
      </c>
      <c r="C46" s="35" t="s">
        <v>306</v>
      </c>
      <c r="D46" t="str">
        <f>IF(E46="","",VLOOKUP(E46,'Coaching Points'!A:B,2,0))</f>
        <v>ON</v>
      </c>
      <c r="E46" s="35" t="s">
        <v>135</v>
      </c>
      <c r="F46" s="34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214</v>
      </c>
      <c r="I46" s="40"/>
      <c r="J46" s="4">
        <f>R46+S46+IF(OR(H46="Junior",H46="Senior"),0.0002,IF(OR(H46="L7",H46="L6"),0.0001,0))+MAX(Z46,AC46)*0.0000001</f>
        <v>81.700004149999998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MAX(T46-IF(OR(H46="N/A"),V46,0),W46-IF(OR(H46="N/A"),Y46,0),Z46-IF(OR(H46="N/A"),AB46,0),AC46-IF(OR(H46="N/A"),AE46,0))</f>
        <v>41.5</v>
      </c>
      <c r="S46" s="4">
        <f>IF(R46=T46-IF(OR(H46="N/A"),V46,0),MAX(W46-IF(OR(H46="N/A"),Y46,0),Z46-IF(OR(H46="N/A"),AB46,0),AC46-IF(OR(H46="N/A"),AE46,0)),IF(R46=W46-IF(OR(H46="N/A"),Y46,0),MAX(T46-IF(OR(H46="N/A"),V46,0),Z46-IF(OR(H46="N/A"),AB46,0),AC46-IF(OR(H46="N/A"),AE46,0)),IF(R46=Z46-IF(OR(H46="N/A"),AB46,0),MAX(T46-IF(OR(H46="N/A"),V46,0),W46-IF(OR(H46="N/A"),Y46,0),AC46-IF(OR(H46="N/A"),AE46,0)),IF(R46=AC46-IF(OR(H46="N/A"),AE46,0),MAX(T46-IF(OR(H46="N/A"),V46,0),W46-IF(OR(H46="N/A"),Y46,0),Z46-IF(OR(H46="N/A"),AB46,0)),0))))</f>
        <v>40.200000000000003</v>
      </c>
      <c r="T46" s="32">
        <v>39.200000000000003</v>
      </c>
      <c r="U46" s="37">
        <v>4.4000000000000004</v>
      </c>
      <c r="V46" s="37">
        <v>0</v>
      </c>
      <c r="W46" s="33">
        <v>40.1</v>
      </c>
      <c r="X46" s="37">
        <v>4.4000000000000004</v>
      </c>
      <c r="Y46" s="37">
        <v>0</v>
      </c>
      <c r="Z46" s="32">
        <v>40.200000000000003</v>
      </c>
      <c r="AA46" s="37">
        <v>5.3000000000000007</v>
      </c>
      <c r="AB46" s="37">
        <v>1</v>
      </c>
      <c r="AC46" s="33">
        <v>41.5</v>
      </c>
      <c r="AD46" s="37">
        <v>5.3000000000000007</v>
      </c>
      <c r="AE46" s="37">
        <v>1</v>
      </c>
    </row>
    <row r="47" spans="1:31" x14ac:dyDescent="0.2">
      <c r="A47" s="1" t="str" cm="1">
        <f t="array" ref="A47">IF(I47="","",IF(P47&lt;&gt;"",SUMPRODUCT((P$3:P$68&lt;&gt;"")*(G$3:G$68=G47)*(J$3:J$68&gt;J47)*(I$3:I$68="P"))+1,IF(O47&lt;&gt;"",SUMPRODUCT((O$3:O$68&lt;&gt;"")*(P$3:P$68="")*(G$3:G$68=G47)*(J$3:J$68&gt;J47)*(I$3:I$68="P"))+SUMPRODUCT((P$3:P$68&lt;&gt;"")*(G$3:G$68=G47)*(I$3:I$68="P"))+1,IF(N47&lt;&gt;"",SUMPRODUCT((N$3:N$68&lt;&gt;"")*(G$3:G$68=G47)*(J$3:J$68&gt;J47)*(I$3:I$68="P"))+1,IF(M47="P",SUMPRODUCT((O$3:O$68&lt;&gt;"")*(P$3:P$68="")*(G$3:G$68=G47)*(I$3:I$68="P"))+SUMPRODUCT((P$3:P$68&lt;&gt;"")*(G$3:G$68=G47)*(I$3:I$68="P"))+SUMPRODUCT((N$3:N$68&lt;&gt;"")*(G$3:G$68=G47)*(I$3:I$68="P"))+SUMPRODUCT((P$3:P$68="")*(O$3:O$68="")*(N$3:N$68="")*(M$3:M$68="P")*(G$3:G$68=G47)*(J$3:J$68&gt;J47)*(I$3:I$68="P"))+IF(H47="L5",SUMPRODUCT((P$3:P$68="")*(O$3:O$68="")*(N$3:N$68="")*(M$3:M$68="P")*(G$3:G$68=G47)*(J$3:J$68&lt;J47)*(H$3:H$68&lt;&gt;H47)*(I$3:I$68="P")),-1*SUMPRODUCT((P$3:P$68="")*(O$3:O$68="")*(N$3:N$68="")*(M$3:M$68="P")*(G$3:G$68=G47)*(J$3:J$68&gt;J47)*(H$3:H$68="L5")*(I$3:I$68="P")))+1,"")))))</f>
        <v/>
      </c>
      <c r="B47" s="1" t="str" cm="1">
        <f t="array" ref="B47">IF(P47&lt;&gt;"",SUMPRODUCT((P$3:P$68&lt;&gt;"")*(G$3:G$68=G47)*(J$3:J$68&gt;J47))+1,IF(O47&lt;&gt;"",SUMPRODUCT((O$3:O$68&lt;&gt;"")*(P$3:P$68="")*(G$3:G$68=G47)*(J$3:J$68&gt;J47))+SUMPRODUCT((P$3:P$68&lt;&gt;"")*(G$3:G$68=G47))+1,IF(N47&lt;&gt;"",SUMPRODUCT((N$3:N$68&lt;&gt;"")*(G$3:G$68=G47)*(J$3:J$68&gt;J47))+1,IF(M47="P",SUMPRODUCT((O$3:O$68&lt;&gt;"")*(P$3:P$68="")*(G$3:G$68=G47))+SUMPRODUCT((P$3:P$68&lt;&gt;"")*(G$3:G$68=G47))+SUMPRODUCT((N$3:N$68&lt;&gt;"")*(G$3:G$68=G47))+SUMPRODUCT((P$3:P$68="")*(O$3:O$68="")*(N$3:N$68="")*(M$3:M$68="P")*(G$3:G$68=G47)*(J$3:J$68&gt;J47))+IF(H47="L5",SUMPRODUCT((P$3:P$68="")*(O$3:O$68="")*(N$3:N$68="")*(M$3:M$68="P")*(G$3:G$68=G47)*(J$3:J$68&lt;J47)*(H$3:H$68&lt;&gt;H47)),-1*SUMPRODUCT((P$3:P$68="")*(O$3:O$68="")*(N$3:N$68="")*(M$3:M$68="P")*(G$3:G$68=G47)*(J$3:J$68&gt;J47)*(H$3:H$68="L5")))+1,""))))</f>
        <v/>
      </c>
      <c r="C47" s="35" t="s">
        <v>297</v>
      </c>
      <c r="D47" t="str">
        <f>IF(E47="","",VLOOKUP(E47,'Coaching Points'!A:B,2,0))</f>
        <v>QC</v>
      </c>
      <c r="E47" s="35" t="s">
        <v>75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211</v>
      </c>
      <c r="I47" s="40"/>
      <c r="J47" s="4">
        <f>R47+S47+IF(OR(H47="Junior",H47="Senior"),0.0002,IF(OR(H47="L7",H47="L6"),0.0001,0))+MAX(Z47,AC47)*0.0000001</f>
        <v>80.50020416000001</v>
      </c>
      <c r="K47" s="3" t="str">
        <f>IF(G47="Not Age Eligible","",IF(MAX(T47,W47,Z47,AC47)&gt;=LOOKUP(G47,'Qualifying Scores'!$A$4:$A$7,'Qualifying Scores'!$I$4:$I$7),"P",""))</f>
        <v/>
      </c>
      <c r="L47" s="3" t="str">
        <f>IF(G47="Not Age Eligible","",IF(MAX(U47,X47,AA47,AD47)&gt;=LOOKUP(G47,'Qualifying Scores'!$A$10:$A$13,'Qualifying Scores'!$I$10:$I$13),"P",""))</f>
        <v>P</v>
      </c>
      <c r="M47" s="3" t="str">
        <f>IF(G47="Not Age Eligible","",IF(OR(AND(T47&gt;=LOOKUP(G47,'Qualifying Scores'!$A$4:$A$7,'Qualifying Scores'!$I$4:$I$7),U47&gt;=LOOKUP(G47,'Qualifying Scores'!$A$10:$A$13,'Qualifying Scores'!$I$10:$I$13)),AND(Z47&gt;=LOOKUP(G47,'Qualifying Scores'!$A$4:$A$7,'Qualifying Scores'!$I$4:$I$7),AA47&gt;=LOOKUP(G47,'Qualifying Scores'!$A$10:$A$13,'Qualifying Scores'!$I$10:$I$13)),AND(W47&gt;=LOOKUP(G47,'Qualifying Scores'!$A$4:$A$7,'Qualifying Scores'!$I$4:$I$7),X47&gt;=LOOKUP(G47,'Qualifying Scores'!$A$10:$A$13,'Qualifying Scores'!$I$10:$I$13)),AND(AC47&gt;=LOOKUP(G47,'Qualifying Scores'!$A$4:$A$7,'Qualifying Scores'!$I$4:$I$7),AD47&gt;=LOOKUP(G47,'Qualifying Scores'!$A$10:$A$13,'Qualifying Scores'!$I$10:$I$13))),"P",""))</f>
        <v/>
      </c>
      <c r="Q47" s="1" t="str">
        <f>IF(A47&lt;5,IF(_xlfn.MAXIFS(A:A,G:G,G47)&gt;3,5-A47,_xlfn.MAXIFS(A:A,G:G,G47)+1-A47),"")</f>
        <v/>
      </c>
      <c r="R47" s="4">
        <f>MAX(T47-IF(OR(H47="N/A"),V47,0),W47-IF(OR(H47="N/A"),Y47,0),Z47-IF(OR(H47="N/A"),AB47,0),AC47-IF(OR(H47="N/A"),AE47,0))</f>
        <v>41.6</v>
      </c>
      <c r="S47" s="4">
        <f>IF(R47=T47-IF(OR(H47="N/A"),V47,0),MAX(W47-IF(OR(H47="N/A"),Y47,0),Z47-IF(OR(H47="N/A"),AB47,0),AC47-IF(OR(H47="N/A"),AE47,0)),IF(R47=W47-IF(OR(H47="N/A"),Y47,0),MAX(T47-IF(OR(H47="N/A"),V47,0),Z47-IF(OR(H47="N/A"),AB47,0),AC47-IF(OR(H47="N/A"),AE47,0)),IF(R47=Z47-IF(OR(H47="N/A"),AB47,0),MAX(T47-IF(OR(H47="N/A"),V47,0),W47-IF(OR(H47="N/A"),Y47,0),AC47-IF(OR(H47="N/A"),AE47,0)),IF(R47=AC47-IF(OR(H47="N/A"),AE47,0),MAX(T47-IF(OR(H47="N/A"),V47,0),W47-IF(OR(H47="N/A"),Y47,0),Z47-IF(OR(H47="N/A"),AB47,0)),0))))</f>
        <v>38.9</v>
      </c>
      <c r="T47" s="32">
        <v>38.9</v>
      </c>
      <c r="U47" s="37">
        <v>8</v>
      </c>
      <c r="V47" s="37">
        <v>0</v>
      </c>
      <c r="W47" s="33">
        <v>36.299999999999997</v>
      </c>
      <c r="X47" s="37">
        <v>6.3</v>
      </c>
      <c r="Y47" s="37">
        <v>0</v>
      </c>
      <c r="Z47" s="32">
        <v>38.299999999999997</v>
      </c>
      <c r="AA47" s="37">
        <v>5.8</v>
      </c>
      <c r="AB47" s="37">
        <v>0</v>
      </c>
      <c r="AC47" s="33">
        <v>41.6</v>
      </c>
      <c r="AD47" s="37">
        <v>8</v>
      </c>
      <c r="AE47" s="37">
        <v>0</v>
      </c>
    </row>
    <row r="48" spans="1:31" x14ac:dyDescent="0.2">
      <c r="A48" s="1" t="str" cm="1">
        <f t="array" ref="A48">IF(I48="","",IF(P48&lt;&gt;"",SUMPRODUCT((P$3:P$68&lt;&gt;"")*(G$3:G$68=G48)*(J$3:J$68&gt;J48)*(I$3:I$68="P"))+1,IF(O48&lt;&gt;"",SUMPRODUCT((O$3:O$68&lt;&gt;"")*(P$3:P$68="")*(G$3:G$68=G48)*(J$3:J$68&gt;J48)*(I$3:I$68="P"))+SUMPRODUCT((P$3:P$68&lt;&gt;"")*(G$3:G$68=G48)*(I$3:I$68="P"))+1,IF(N48&lt;&gt;"",SUMPRODUCT((N$3:N$68&lt;&gt;"")*(G$3:G$68=G48)*(J$3:J$68&gt;J48)*(I$3:I$68="P"))+1,IF(M48="P",SUMPRODUCT((O$3:O$68&lt;&gt;"")*(P$3:P$68="")*(G$3:G$68=G48)*(I$3:I$68="P"))+SUMPRODUCT((P$3:P$68&lt;&gt;"")*(G$3:G$68=G48)*(I$3:I$68="P"))+SUMPRODUCT((N$3:N$68&lt;&gt;"")*(G$3:G$68=G48)*(I$3:I$68="P"))+SUMPRODUCT((P$3:P$68="")*(O$3:O$68="")*(N$3:N$68="")*(M$3:M$68="P")*(G$3:G$68=G48)*(J$3:J$68&gt;J48)*(I$3:I$68="P"))+IF(H48="L5",SUMPRODUCT((P$3:P$68="")*(O$3:O$68="")*(N$3:N$68="")*(M$3:M$68="P")*(G$3:G$68=G48)*(J$3:J$68&lt;J48)*(H$3:H$68&lt;&gt;H48)*(I$3:I$68="P")),-1*SUMPRODUCT((P$3:P$68="")*(O$3:O$68="")*(N$3:N$68="")*(M$3:M$68="P")*(G$3:G$68=G48)*(J$3:J$68&gt;J48)*(H$3:H$68="L5")*(I$3:I$68="P")))+1,"")))))</f>
        <v/>
      </c>
      <c r="B48" s="1" t="str" cm="1">
        <f t="array" ref="B48">IF(P48&lt;&gt;"",SUMPRODUCT((P$3:P$68&lt;&gt;"")*(G$3:G$68=G48)*(J$3:J$68&gt;J48))+1,IF(O48&lt;&gt;"",SUMPRODUCT((O$3:O$68&lt;&gt;"")*(P$3:P$68="")*(G$3:G$68=G48)*(J$3:J$68&gt;J48))+SUMPRODUCT((P$3:P$68&lt;&gt;"")*(G$3:G$68=G48))+1,IF(N48&lt;&gt;"",SUMPRODUCT((N$3:N$68&lt;&gt;"")*(G$3:G$68=G48)*(J$3:J$68&gt;J48))+1,IF(M48="P",SUMPRODUCT((O$3:O$68&lt;&gt;"")*(P$3:P$68="")*(G$3:G$68=G48))+SUMPRODUCT((P$3:P$68&lt;&gt;"")*(G$3:G$68=G48))+SUMPRODUCT((N$3:N$68&lt;&gt;"")*(G$3:G$68=G48))+SUMPRODUCT((P$3:P$68="")*(O$3:O$68="")*(N$3:N$68="")*(M$3:M$68="P")*(G$3:G$68=G48)*(J$3:J$68&gt;J48))+IF(H48="L5",SUMPRODUCT((P$3:P$68="")*(O$3:O$68="")*(N$3:N$68="")*(M$3:M$68="P")*(G$3:G$68=G48)*(J$3:J$68&lt;J48)*(H$3:H$68&lt;&gt;H48)),-1*SUMPRODUCT((P$3:P$68="")*(O$3:O$68="")*(N$3:N$68="")*(M$3:M$68="P")*(G$3:G$68=G48)*(J$3:J$68&gt;J48)*(H$3:H$68="L5")))+1,""))))</f>
        <v/>
      </c>
      <c r="C48" s="35" t="s">
        <v>307</v>
      </c>
      <c r="D48" t="str">
        <f>IF(E48="","",VLOOKUP(E48,'Coaching Points'!A:B,2,0))</f>
        <v>ON</v>
      </c>
      <c r="E48" s="35" t="s">
        <v>176</v>
      </c>
      <c r="F48" s="34">
        <v>2009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214</v>
      </c>
      <c r="I48" s="40"/>
      <c r="J48" s="4">
        <f>R48+S48+IF(OR(H48="Junior",H48="Senior"),0.0002,IF(OR(H48="L7",H48="L6"),0.0001,0))+MAX(Z48,AC48)*0.0000001</f>
        <v>78.300000000000011</v>
      </c>
      <c r="K48" s="3" t="str">
        <f>IF(G48="Not Age Eligible","",IF(MAX(T48,W48,Z48,AC48)&gt;=LOOKUP(G48,'Qualifying Scores'!$A$4:$A$7,'Qualifying Scores'!$I$4:$I$7),"P",""))</f>
        <v/>
      </c>
      <c r="L48" s="3" t="str">
        <f>IF(G48="Not Age Eligible","",IF(MAX(U48,X48,AA48,AD48)&gt;=LOOKUP(G48,'Qualifying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Scores'!$I$10:$I$13)),AND(Z48&gt;=LOOKUP(G48,'Qualifying Scores'!$A$4:$A$7,'Qualifying Scores'!$I$4:$I$7),AA48&gt;=LOOKUP(G48,'Qualifying Scores'!$A$10:$A$13,'Qualifying Scores'!$I$10:$I$13)),AND(W48&gt;=LOOKUP(G48,'Qualifying Scores'!$A$4:$A$7,'Qualifying Scores'!$I$4:$I$7),X48&gt;=LOOKUP(G48,'Qualifying Scores'!$A$10:$A$13,'Qualifying Scores'!$I$10:$I$13)),AND(AC48&gt;=LOOKUP(G48,'Qualifying Scores'!$A$4:$A$7,'Qualifying Scores'!$I$4:$I$7),AD48&gt;=LOOKUP(G48,'Qualifying Scores'!$A$10:$A$13,'Qualifying Scores'!$I$10:$I$13))),"P",""))</f>
        <v/>
      </c>
      <c r="Q48" s="1" t="str">
        <f>IF(A48&lt;5,IF(_xlfn.MAXIFS(A:A,G:G,G48)&gt;3,5-A48,_xlfn.MAXIFS(A:A,G:G,G48)+1-A48),"")</f>
        <v/>
      </c>
      <c r="R48" s="4">
        <f>MAX(T48-IF(OR(H48="N/A"),V48,0),W48-IF(OR(H48="N/A"),Y48,0),Z48-IF(OR(H48="N/A"),AB48,0),AC48-IF(OR(H48="N/A"),AE48,0))</f>
        <v>39.200000000000003</v>
      </c>
      <c r="S48" s="4">
        <f>IF(R48=T48-IF(OR(H48="N/A"),V48,0),MAX(W48-IF(OR(H48="N/A"),Y48,0),Z48-IF(OR(H48="N/A"),AB48,0),AC48-IF(OR(H48="N/A"),AE48,0)),IF(R48=W48-IF(OR(H48="N/A"),Y48,0),MAX(T48-IF(OR(H48="N/A"),V48,0),Z48-IF(OR(H48="N/A"),AB48,0),AC48-IF(OR(H48="N/A"),AE48,0)),IF(R48=Z48-IF(OR(H48="N/A"),AB48,0),MAX(T48-IF(OR(H48="N/A"),V48,0),W48-IF(OR(H48="N/A"),Y48,0),AC48-IF(OR(H48="N/A"),AE48,0)),IF(R48=AC48-IF(OR(H48="N/A"),AE48,0),MAX(T48-IF(OR(H48="N/A"),V48,0),W48-IF(OR(H48="N/A"),Y48,0),Z48-IF(OR(H48="N/A"),AB48,0)),0))))</f>
        <v>39.1</v>
      </c>
      <c r="T48" s="32">
        <v>39.200000000000003</v>
      </c>
      <c r="U48" s="37">
        <v>4.4000000000000004</v>
      </c>
      <c r="V48" s="37">
        <v>0</v>
      </c>
      <c r="W48" s="33">
        <v>39.1</v>
      </c>
      <c r="X48" s="37">
        <v>4.4000000000000004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$68&lt;&gt;"")*(G$3:G$68=G49)*(J$3:J$68&gt;J49)*(I$3:I$68="P"))+1,IF(O49&lt;&gt;"",SUMPRODUCT((O$3:O$68&lt;&gt;"")*(P$3:P$68="")*(G$3:G$68=G49)*(J$3:J$68&gt;J49)*(I$3:I$68="P"))+SUMPRODUCT((P$3:P$68&lt;&gt;"")*(G$3:G$68=G49)*(I$3:I$68="P"))+1,IF(N49&lt;&gt;"",SUMPRODUCT((N$3:N$68&lt;&gt;"")*(G$3:G$68=G49)*(J$3:J$68&gt;J49)*(I$3:I$68="P"))+1,IF(M49="P",SUMPRODUCT((O$3:O$68&lt;&gt;"")*(P$3:P$68="")*(G$3:G$68=G49)*(I$3:I$68="P"))+SUMPRODUCT((P$3:P$68&lt;&gt;"")*(G$3:G$68=G49)*(I$3:I$68="P"))+SUMPRODUCT((N$3:N$68&lt;&gt;"")*(G$3:G$68=G49)*(I$3:I$68="P"))+SUMPRODUCT((P$3:P$68="")*(O$3:O$68="")*(N$3:N$68="")*(M$3:M$68="P")*(G$3:G$68=G49)*(J$3:J$68&gt;J49)*(I$3:I$68="P"))+IF(H49="L5",SUMPRODUCT((P$3:P$68="")*(O$3:O$68="")*(N$3:N$68="")*(M$3:M$68="P")*(G$3:G$68=G49)*(J$3:J$68&lt;J49)*(H$3:H$68&lt;&gt;H49)*(I$3:I$68="P")),-1*SUMPRODUCT((P$3:P$68="")*(O$3:O$68="")*(N$3:N$68="")*(M$3:M$68="P")*(G$3:G$68=G49)*(J$3:J$68&gt;J49)*(H$3:H$68="L5")*(I$3:I$68="P")))+1,"")))))</f>
        <v/>
      </c>
      <c r="B49" s="1" t="str" cm="1">
        <f t="array" ref="B49">IF(P49&lt;&gt;"",SUMPRODUCT((P$3:P$68&lt;&gt;"")*(G$3:G$68=G49)*(J$3:J$68&gt;J49))+1,IF(O49&lt;&gt;"",SUMPRODUCT((O$3:O$68&lt;&gt;"")*(P$3:P$68="")*(G$3:G$68=G49)*(J$3:J$68&gt;J49))+SUMPRODUCT((P$3:P$68&lt;&gt;"")*(G$3:G$68=G49))+1,IF(N49&lt;&gt;"",SUMPRODUCT((N$3:N$68&lt;&gt;"")*(G$3:G$68=G49)*(J$3:J$68&gt;J49))+1,IF(M49="P",SUMPRODUCT((O$3:O$68&lt;&gt;"")*(P$3:P$68="")*(G$3:G$68=G49))+SUMPRODUCT((P$3:P$68&lt;&gt;"")*(G$3:G$68=G49))+SUMPRODUCT((N$3:N$68&lt;&gt;"")*(G$3:G$68=G49))+SUMPRODUCT((P$3:P$68="")*(O$3:O$68="")*(N$3:N$68="")*(M$3:M$68="P")*(G$3:G$68=G49)*(J$3:J$68&gt;J49))+IF(H49="L5",SUMPRODUCT((P$3:P$68="")*(O$3:O$68="")*(N$3:N$68="")*(M$3:M$68="P")*(G$3:G$68=G49)*(J$3:J$68&lt;J49)*(H$3:H$68&lt;&gt;H49)),-1*SUMPRODUCT((P$3:P$68="")*(O$3:O$68="")*(N$3:N$68="")*(M$3:M$68="P")*(G$3:G$68=G49)*(J$3:J$68&gt;J49)*(H$3:H$68="L5")))+1,""))))</f>
        <v/>
      </c>
      <c r="C49" s="35" t="s">
        <v>362</v>
      </c>
      <c r="D49" t="str">
        <f>IF(E49="","",VLOOKUP(E49,'Coaching Points'!A:B,2,0))</f>
        <v>AB</v>
      </c>
      <c r="E49" s="35" t="s">
        <v>28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/>
      <c r="J49" s="4">
        <f>R49+S49+IF(OR(H49="Junior",H49="Senior"),0.0002,IF(OR(H49="L7",H49="L6"),0.0001,0))+MAX(Z49,AC49)*0.0000001</f>
        <v>76.200203879999989</v>
      </c>
      <c r="K49" s="3" t="str">
        <f>IF(G49="Not Age Eligible","",IF(MAX(T49,W49,Z49,AC49)&gt;=LOOKUP(G49,'Qualifying Scores'!$A$4:$A$7,'Qualifying Scores'!$I$4:$I$7),"P",""))</f>
        <v/>
      </c>
      <c r="L49" s="3" t="str">
        <f>IF(G49="Not Age Eligible","",IF(MAX(U49,X49,AA49,AD49)&gt;=LOOKUP(G49,'Qualifying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Scores'!$I$10:$I$13)),AND(Z49&gt;=LOOKUP(G49,'Qualifying Scores'!$A$4:$A$7,'Qualifying Scores'!$I$4:$I$7),AA49&gt;=LOOKUP(G49,'Qualifying Scores'!$A$10:$A$13,'Qualifying Scores'!$I$10:$I$13)),AND(W49&gt;=LOOKUP(G49,'Qualifying Scores'!$A$4:$A$7,'Qualifying Scores'!$I$4:$I$7),X49&gt;=LOOKUP(G49,'Qualifying Scores'!$A$10:$A$13,'Qualifying Scores'!$I$10:$I$13)),AND(AC49&gt;=LOOKUP(G49,'Qualifying Scores'!$A$4:$A$7,'Qualifying Scores'!$I$4:$I$7),AD49&gt;=LOOKUP(G49,'Qualifying Scores'!$A$10:$A$13,'Qualifying Scores'!$I$10:$I$13))),"P",""))</f>
        <v/>
      </c>
      <c r="Q49" s="1" t="str">
        <f>IF(A49&lt;5,IF(_xlfn.MAXIFS(A:A,G:G,G49)&gt;3,5-A49,_xlfn.MAXIFS(A:A,G:G,G49)+1-A49),"")</f>
        <v/>
      </c>
      <c r="R49" s="4">
        <f>MAX(T49-IF(OR(H49="N/A"),V49,0),W49-IF(OR(H49="N/A"),Y49,0),Z49-IF(OR(H49="N/A"),AB49,0),AC49-IF(OR(H49="N/A"),AE49,0))</f>
        <v>38.799999999999997</v>
      </c>
      <c r="S49" s="4">
        <f>IF(R49=T49-IF(OR(H49="N/A"),V49,0),MAX(W49-IF(OR(H49="N/A"),Y49,0),Z49-IF(OR(H49="N/A"),AB49,0),AC49-IF(OR(H49="N/A"),AE49,0)),IF(R49=W49-IF(OR(H49="N/A"),Y49,0),MAX(T49-IF(OR(H49="N/A"),V49,0),Z49-IF(OR(H49="N/A"),AB49,0),AC49-IF(OR(H49="N/A"),AE49,0)),IF(R49=Z49-IF(OR(H49="N/A"),AB49,0),MAX(T49-IF(OR(H49="N/A"),V49,0),W49-IF(OR(H49="N/A"),Y49,0),AC49-IF(OR(H49="N/A"),AE49,0)),IF(R49=AC49-IF(OR(H49="N/A"),AE49,0),MAX(T49-IF(OR(H49="N/A"),V49,0),W49-IF(OR(H49="N/A"),Y49,0),Z49-IF(OR(H49="N/A"),AB49,0)),0))))</f>
        <v>37.4</v>
      </c>
      <c r="T49" s="32"/>
      <c r="U49" s="37"/>
      <c r="V49" s="37">
        <v>0</v>
      </c>
      <c r="W49" s="33"/>
      <c r="X49" s="37"/>
      <c r="Y49" s="37"/>
      <c r="Z49" s="32">
        <v>38.799999999999997</v>
      </c>
      <c r="AA49" s="37">
        <v>6.1</v>
      </c>
      <c r="AB49" s="37">
        <v>0</v>
      </c>
      <c r="AC49" s="33">
        <v>37.4</v>
      </c>
      <c r="AD49" s="37">
        <v>6.1</v>
      </c>
      <c r="AE49" s="37">
        <v>0</v>
      </c>
    </row>
    <row r="50" spans="1:31" x14ac:dyDescent="0.2">
      <c r="A50" s="1" t="str" cm="1">
        <f t="array" ref="A50">IF(I50="","",IF(P50&lt;&gt;"",SUMPRODUCT((P$3:P$68&lt;&gt;"")*(G$3:G$68=G50)*(J$3:J$68&gt;J50)*(I$3:I$68="P"))+1,IF(O50&lt;&gt;"",SUMPRODUCT((O$3:O$68&lt;&gt;"")*(P$3:P$68="")*(G$3:G$68=G50)*(J$3:J$68&gt;J50)*(I$3:I$68="P"))+SUMPRODUCT((P$3:P$68&lt;&gt;"")*(G$3:G$68=G50)*(I$3:I$68="P"))+1,IF(N50&lt;&gt;"",SUMPRODUCT((N$3:N$68&lt;&gt;"")*(G$3:G$68=G50)*(J$3:J$68&gt;J50)*(I$3:I$68="P"))+1,IF(M50="P",SUMPRODUCT((O$3:O$68&lt;&gt;"")*(P$3:P$68="")*(G$3:G$68=G50)*(I$3:I$68="P"))+SUMPRODUCT((P$3:P$68&lt;&gt;"")*(G$3:G$68=G50)*(I$3:I$68="P"))+SUMPRODUCT((N$3:N$68&lt;&gt;"")*(G$3:G$68=G50)*(I$3:I$68="P"))+SUMPRODUCT((P$3:P$68="")*(O$3:O$68="")*(N$3:N$68="")*(M$3:M$68="P")*(G$3:G$68=G50)*(J$3:J$68&gt;J50)*(I$3:I$68="P"))+IF(H50="L5",SUMPRODUCT((P$3:P$68="")*(O$3:O$68="")*(N$3:N$68="")*(M$3:M$68="P")*(G$3:G$68=G50)*(J$3:J$68&lt;J50)*(H$3:H$68&lt;&gt;H50)*(I$3:I$68="P")),-1*SUMPRODUCT((P$3:P$68="")*(O$3:O$68="")*(N$3:N$68="")*(M$3:M$68="P")*(G$3:G$68=G50)*(J$3:J$68&gt;J50)*(H$3:H$68="L5")*(I$3:I$68="P")))+1,"")))))</f>
        <v/>
      </c>
      <c r="B50" s="1" t="str" cm="1">
        <f t="array" ref="B50">IF(P50&lt;&gt;"",SUMPRODUCT((P$3:P$68&lt;&gt;"")*(G$3:G$68=G50)*(J$3:J$68&gt;J50))+1,IF(O50&lt;&gt;"",SUMPRODUCT((O$3:O$68&lt;&gt;"")*(P$3:P$68="")*(G$3:G$68=G50)*(J$3:J$68&gt;J50))+SUMPRODUCT((P$3:P$68&lt;&gt;"")*(G$3:G$68=G50))+1,IF(N50&lt;&gt;"",SUMPRODUCT((N$3:N$68&lt;&gt;"")*(G$3:G$68=G50)*(J$3:J$68&gt;J50))+1,IF(M50="P",SUMPRODUCT((O$3:O$68&lt;&gt;"")*(P$3:P$68="")*(G$3:G$68=G50))+SUMPRODUCT((P$3:P$68&lt;&gt;"")*(G$3:G$68=G50))+SUMPRODUCT((N$3:N$68&lt;&gt;"")*(G$3:G$68=G50))+SUMPRODUCT((P$3:P$68="")*(O$3:O$68="")*(N$3:N$68="")*(M$3:M$68="P")*(G$3:G$68=G50)*(J$3:J$68&gt;J50))+IF(H50="L5",SUMPRODUCT((P$3:P$68="")*(O$3:O$68="")*(N$3:N$68="")*(M$3:M$68="P")*(G$3:G$68=G50)*(J$3:J$68&lt;J50)*(H$3:H$68&lt;&gt;H50)),-1*SUMPRODUCT((P$3:P$68="")*(O$3:O$68="")*(N$3:N$68="")*(M$3:M$68="P")*(G$3:G$68=G50)*(J$3:J$68&gt;J50)*(H$3:H$68="L5")))+1,""))))</f>
        <v/>
      </c>
      <c r="C50" s="35" t="s">
        <v>460</v>
      </c>
      <c r="D50" t="str">
        <f>IF(E50="","",VLOOKUP(E50,'Coaching Points'!A:B,2,0))</f>
        <v>ON</v>
      </c>
      <c r="E50" s="35" t="s">
        <v>89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214</v>
      </c>
      <c r="I50" s="40"/>
      <c r="J50" s="4">
        <f>R50+S50+IF(OR(H50="Junior",H50="Senior"),0.0002,IF(OR(H50="L7",H50="L6"),0.0001,0))+MAX(Z50,AC50)*0.0000001</f>
        <v>75.800003829999994</v>
      </c>
      <c r="K50" s="3" t="str">
        <f>IF(G50="Not Age Eligible","",IF(MAX(T50,W50,Z50,AC50)&gt;=LOOKUP(G50,'Qualifying Scores'!$A$4:$A$7,'Qualifying Scores'!$I$4:$I$7),"P",""))</f>
        <v/>
      </c>
      <c r="L50" s="3" t="str">
        <f>IF(G50="Not Age Eligible","",IF(MAX(U50,X50,AA50,AD50)&gt;=LOOKUP(G50,'Qualifying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Scores'!$I$10:$I$13)),AND(Z50&gt;=LOOKUP(G50,'Qualifying Scores'!$A$4:$A$7,'Qualifying Scores'!$I$4:$I$7),AA50&gt;=LOOKUP(G50,'Qualifying Scores'!$A$10:$A$13,'Qualifying Scores'!$I$10:$I$13)),AND(W50&gt;=LOOKUP(G50,'Qualifying Scores'!$A$4:$A$7,'Qualifying Scores'!$I$4:$I$7),X50&gt;=LOOKUP(G50,'Qualifying Scores'!$A$10:$A$13,'Qualifying Scores'!$I$10:$I$13)),AND(AC50&gt;=LOOKUP(G50,'Qualifying Scores'!$A$4:$A$7,'Qualifying Scores'!$I$4:$I$7),AD50&gt;=LOOKUP(G50,'Qualifying Scores'!$A$10:$A$13,'Qualifying Scores'!$I$10:$I$13))),"P",""))</f>
        <v/>
      </c>
      <c r="Q50" s="1" t="str">
        <f>IF(A50&lt;5,IF(_xlfn.MAXIFS(A:A,G:G,G50)&gt;3,5-A50,_xlfn.MAXIFS(A:A,G:G,G50)+1-A50),"")</f>
        <v/>
      </c>
      <c r="R50" s="4">
        <f>MAX(T50-IF(OR(H50="N/A"),V50,0),W50-IF(OR(H50="N/A"),Y50,0),Z50-IF(OR(H50="N/A"),AB50,0),AC50-IF(OR(H50="N/A"),AE50,0))</f>
        <v>38.299999999999997</v>
      </c>
      <c r="S50" s="4">
        <f>IF(R50=T50-IF(OR(H50="N/A"),V50,0),MAX(W50-IF(OR(H50="N/A"),Y50,0),Z50-IF(OR(H50="N/A"),AB50,0),AC50-IF(OR(H50="N/A"),AE50,0)),IF(R50=W50-IF(OR(H50="N/A"),Y50,0),MAX(T50-IF(OR(H50="N/A"),V50,0),Z50-IF(OR(H50="N/A"),AB50,0),AC50-IF(OR(H50="N/A"),AE50,0)),IF(R50=Z50-IF(OR(H50="N/A"),AB50,0),MAX(T50-IF(OR(H50="N/A"),V50,0),W50-IF(OR(H50="N/A"),Y50,0),AC50-IF(OR(H50="N/A"),AE50,0)),IF(R50=AC50-IF(OR(H50="N/A"),AE50,0),MAX(T50-IF(OR(H50="N/A"),V50,0),W50-IF(OR(H50="N/A"),Y50,0),Z50-IF(OR(H50="N/A"),AB50,0)),0))))</f>
        <v>37.5</v>
      </c>
      <c r="T50" s="32"/>
      <c r="U50" s="37"/>
      <c r="V50" s="37">
        <v>0</v>
      </c>
      <c r="W50" s="33"/>
      <c r="X50" s="37"/>
      <c r="Y50" s="37"/>
      <c r="Z50" s="32">
        <v>37.5</v>
      </c>
      <c r="AA50" s="37">
        <v>4.5999999999999996</v>
      </c>
      <c r="AB50" s="37">
        <v>0</v>
      </c>
      <c r="AC50" s="33">
        <v>38.299999999999997</v>
      </c>
      <c r="AD50" s="37">
        <v>4.5999999999999996</v>
      </c>
      <c r="AE50" s="37">
        <v>0</v>
      </c>
    </row>
    <row r="51" spans="1:31" x14ac:dyDescent="0.2">
      <c r="A51" s="1" t="str" cm="1">
        <f t="array" ref="A51">IF(I51="","",IF(P51&lt;&gt;"",SUMPRODUCT((P$3:P$68&lt;&gt;"")*(G$3:G$68=G51)*(J$3:J$68&gt;J51)*(I$3:I$68="P"))+1,IF(O51&lt;&gt;"",SUMPRODUCT((O$3:O$68&lt;&gt;"")*(P$3:P$68="")*(G$3:G$68=G51)*(J$3:J$68&gt;J51)*(I$3:I$68="P"))+SUMPRODUCT((P$3:P$68&lt;&gt;"")*(G$3:G$68=G51)*(I$3:I$68="P"))+1,IF(N51&lt;&gt;"",SUMPRODUCT((N$3:N$68&lt;&gt;"")*(G$3:G$68=G51)*(J$3:J$68&gt;J51)*(I$3:I$68="P"))+1,IF(M51="P",SUMPRODUCT((O$3:O$68&lt;&gt;"")*(P$3:P$68="")*(G$3:G$68=G51)*(I$3:I$68="P"))+SUMPRODUCT((P$3:P$68&lt;&gt;"")*(G$3:G$68=G51)*(I$3:I$68="P"))+SUMPRODUCT((N$3:N$68&lt;&gt;"")*(G$3:G$68=G51)*(I$3:I$68="P"))+SUMPRODUCT((P$3:P$68="")*(O$3:O$68="")*(N$3:N$68="")*(M$3:M$68="P")*(G$3:G$68=G51)*(J$3:J$68&gt;J51)*(I$3:I$68="P"))+IF(H51="L5",SUMPRODUCT((P$3:P$68="")*(O$3:O$68="")*(N$3:N$68="")*(M$3:M$68="P")*(G$3:G$68=G51)*(J$3:J$68&lt;J51)*(H$3:H$68&lt;&gt;H51)*(I$3:I$68="P")),-1*SUMPRODUCT((P$3:P$68="")*(O$3:O$68="")*(N$3:N$68="")*(M$3:M$68="P")*(G$3:G$68=G51)*(J$3:J$68&gt;J51)*(H$3:H$68="L5")*(I$3:I$68="P")))+1,"")))))</f>
        <v/>
      </c>
      <c r="B51" s="1" t="str" cm="1">
        <f t="array" ref="B51">IF(P51&lt;&gt;"",SUMPRODUCT((P$3:P$68&lt;&gt;"")*(G$3:G$68=G51)*(J$3:J$68&gt;J51))+1,IF(O51&lt;&gt;"",SUMPRODUCT((O$3:O$68&lt;&gt;"")*(P$3:P$68="")*(G$3:G$68=G51)*(J$3:J$68&gt;J51))+SUMPRODUCT((P$3:P$68&lt;&gt;"")*(G$3:G$68=G51))+1,IF(N51&lt;&gt;"",SUMPRODUCT((N$3:N$68&lt;&gt;"")*(G$3:G$68=G51)*(J$3:J$68&gt;J51))+1,IF(M51="P",SUMPRODUCT((O$3:O$68&lt;&gt;"")*(P$3:P$68="")*(G$3:G$68=G51))+SUMPRODUCT((P$3:P$68&lt;&gt;"")*(G$3:G$68=G51))+SUMPRODUCT((N$3:N$68&lt;&gt;"")*(G$3:G$68=G51))+SUMPRODUCT((P$3:P$68="")*(O$3:O$68="")*(N$3:N$68="")*(M$3:M$68="P")*(G$3:G$68=G51)*(J$3:J$68&gt;J51))+IF(H51="L5",SUMPRODUCT((P$3:P$68="")*(O$3:O$68="")*(N$3:N$68="")*(M$3:M$68="P")*(G$3:G$68=G51)*(J$3:J$68&lt;J51)*(H$3:H$68&lt;&gt;H51)),-1*SUMPRODUCT((P$3:P$68="")*(O$3:O$68="")*(N$3:N$68="")*(M$3:M$68="P")*(G$3:G$68=G51)*(J$3:J$68&gt;J51)*(H$3:H$68="L5")))+1,""))))</f>
        <v/>
      </c>
      <c r="C51" s="35" t="s">
        <v>308</v>
      </c>
      <c r="D51" t="str">
        <f>IF(E51="","",VLOOKUP(E51,'Coaching Points'!A:B,2,0))</f>
        <v>ON</v>
      </c>
      <c r="E51" s="35" t="s">
        <v>88</v>
      </c>
      <c r="F51" s="34">
        <v>2009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214</v>
      </c>
      <c r="I51" s="40"/>
      <c r="J51" s="4">
        <f>R51+S51+IF(OR(H51="Junior",H51="Senior"),0.0002,IF(OR(H51="L7",H51="L6"),0.0001,0))+MAX(Z51,AC51)*0.0000001</f>
        <v>75.800003750000002</v>
      </c>
      <c r="K51" s="3" t="str">
        <f>IF(G51="Not Age Eligible","",IF(MAX(T51,W51,Z51,AC51)&gt;=LOOKUP(G51,'Qualifying Scores'!$A$4:$A$7,'Qualifying Scores'!$I$4:$I$7),"P",""))</f>
        <v/>
      </c>
      <c r="L51" s="3" t="str">
        <f>IF(G51="Not Age Eligible","",IF(MAX(U51,X51,AA51,AD51)&gt;=LOOKUP(G51,'Qualifying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Scores'!$I$10:$I$13)),AND(Z51&gt;=LOOKUP(G51,'Qualifying Scores'!$A$4:$A$7,'Qualifying Scores'!$I$4:$I$7),AA51&gt;=LOOKUP(G51,'Qualifying Scores'!$A$10:$A$13,'Qualifying Scores'!$I$10:$I$13)),AND(W51&gt;=LOOKUP(G51,'Qualifying Scores'!$A$4:$A$7,'Qualifying Scores'!$I$4:$I$7),X51&gt;=LOOKUP(G51,'Qualifying Scores'!$A$10:$A$13,'Qualifying Scores'!$I$10:$I$13)),AND(AC51&gt;=LOOKUP(G51,'Qualifying Scores'!$A$4:$A$7,'Qualifying Scores'!$I$4:$I$7),AD51&gt;=LOOKUP(G51,'Qualifying Scores'!$A$10:$A$13,'Qualifying Scores'!$I$10:$I$13))),"P",""))</f>
        <v/>
      </c>
      <c r="Q51" s="1" t="str">
        <f>IF(A51&lt;5,IF(_xlfn.MAXIFS(A:A,G:G,G51)&gt;3,5-A51,_xlfn.MAXIFS(A:A,G:G,G51)+1-A51),"")</f>
        <v/>
      </c>
      <c r="R51" s="4">
        <f>MAX(T51-IF(OR(H51="N/A"),V51,0),W51-IF(OR(H51="N/A"),Y51,0),Z51-IF(OR(H51="N/A"),AB51,0),AC51-IF(OR(H51="N/A"),AE51,0))</f>
        <v>38.299999999999997</v>
      </c>
      <c r="S51" s="4">
        <f>IF(R51=T51-IF(OR(H51="N/A"),V51,0),MAX(W51-IF(OR(H51="N/A"),Y51,0),Z51-IF(OR(H51="N/A"),AB51,0),AC51-IF(OR(H51="N/A"),AE51,0)),IF(R51=W51-IF(OR(H51="N/A"),Y51,0),MAX(T51-IF(OR(H51="N/A"),V51,0),Z51-IF(OR(H51="N/A"),AB51,0),AC51-IF(OR(H51="N/A"),AE51,0)),IF(R51=Z51-IF(OR(H51="N/A"),AB51,0),MAX(T51-IF(OR(H51="N/A"),V51,0),W51-IF(OR(H51="N/A"),Y51,0),AC51-IF(OR(H51="N/A"),AE51,0)),IF(R51=AC51-IF(OR(H51="N/A"),AE51,0),MAX(T51-IF(OR(H51="N/A"),V51,0),W51-IF(OR(H51="N/A"),Y51,0),Z51-IF(OR(H51="N/A"),AB51,0)),0))))</f>
        <v>37.5</v>
      </c>
      <c r="T51" s="32">
        <v>36.5</v>
      </c>
      <c r="U51" s="37">
        <v>5.8</v>
      </c>
      <c r="V51" s="37">
        <v>0</v>
      </c>
      <c r="W51" s="33">
        <v>38.299999999999997</v>
      </c>
      <c r="X51" s="37">
        <v>5.8</v>
      </c>
      <c r="Y51" s="37">
        <v>0</v>
      </c>
      <c r="Z51" s="32">
        <v>37.5</v>
      </c>
      <c r="AA51" s="37">
        <v>5.8</v>
      </c>
      <c r="AB51" s="37">
        <v>0</v>
      </c>
      <c r="AC51" s="33">
        <v>35.700000000000003</v>
      </c>
      <c r="AD51" s="37">
        <v>5.3</v>
      </c>
      <c r="AE51" s="37">
        <v>0</v>
      </c>
    </row>
    <row r="52" spans="1:31" x14ac:dyDescent="0.2">
      <c r="A52" s="1" t="str" cm="1">
        <f t="array" ref="A52">IF(I52="","",IF(P52&lt;&gt;"",SUMPRODUCT((P$3:P$68&lt;&gt;"")*(G$3:G$68=G52)*(J$3:J$68&gt;J52)*(I$3:I$68="P"))+1,IF(O52&lt;&gt;"",SUMPRODUCT((O$3:O$68&lt;&gt;"")*(P$3:P$68="")*(G$3:G$68=G52)*(J$3:J$68&gt;J52)*(I$3:I$68="P"))+SUMPRODUCT((P$3:P$68&lt;&gt;"")*(G$3:G$68=G52)*(I$3:I$68="P"))+1,IF(N52&lt;&gt;"",SUMPRODUCT((N$3:N$68&lt;&gt;"")*(G$3:G$68=G52)*(J$3:J$68&gt;J52)*(I$3:I$68="P"))+1,IF(M52="P",SUMPRODUCT((O$3:O$68&lt;&gt;"")*(P$3:P$68="")*(G$3:G$68=G52)*(I$3:I$68="P"))+SUMPRODUCT((P$3:P$68&lt;&gt;"")*(G$3:G$68=G52)*(I$3:I$68="P"))+SUMPRODUCT((N$3:N$68&lt;&gt;"")*(G$3:G$68=G52)*(I$3:I$68="P"))+SUMPRODUCT((P$3:P$68="")*(O$3:O$68="")*(N$3:N$68="")*(M$3:M$68="P")*(G$3:G$68=G52)*(J$3:J$68&gt;J52)*(I$3:I$68="P"))+IF(H52="L5",SUMPRODUCT((P$3:P$68="")*(O$3:O$68="")*(N$3:N$68="")*(M$3:M$68="P")*(G$3:G$68=G52)*(J$3:J$68&lt;J52)*(H$3:H$68&lt;&gt;H52)*(I$3:I$68="P")),-1*SUMPRODUCT((P$3:P$68="")*(O$3:O$68="")*(N$3:N$68="")*(M$3:M$68="P")*(G$3:G$68=G52)*(J$3:J$68&gt;J52)*(H$3:H$68="L5")*(I$3:I$68="P")))+1,"")))))</f>
        <v/>
      </c>
      <c r="B52" s="1" t="str" cm="1">
        <f t="array" ref="B52">IF(P52&lt;&gt;"",SUMPRODUCT((P$3:P$68&lt;&gt;"")*(G$3:G$68=G52)*(J$3:J$68&gt;J52))+1,IF(O52&lt;&gt;"",SUMPRODUCT((O$3:O$68&lt;&gt;"")*(P$3:P$68="")*(G$3:G$68=G52)*(J$3:J$68&gt;J52))+SUMPRODUCT((P$3:P$68&lt;&gt;"")*(G$3:G$68=G52))+1,IF(N52&lt;&gt;"",SUMPRODUCT((N$3:N$68&lt;&gt;"")*(G$3:G$68=G52)*(J$3:J$68&gt;J52))+1,IF(M52="P",SUMPRODUCT((O$3:O$68&lt;&gt;"")*(P$3:P$68="")*(G$3:G$68=G52))+SUMPRODUCT((P$3:P$68&lt;&gt;"")*(G$3:G$68=G52))+SUMPRODUCT((N$3:N$68&lt;&gt;"")*(G$3:G$68=G52))+SUMPRODUCT((P$3:P$68="")*(O$3:O$68="")*(N$3:N$68="")*(M$3:M$68="P")*(G$3:G$68=G52)*(J$3:J$68&gt;J52))+IF(H52="L5",SUMPRODUCT((P$3:P$68="")*(O$3:O$68="")*(N$3:N$68="")*(M$3:M$68="P")*(G$3:G$68=G52)*(J$3:J$68&lt;J52)*(H$3:H$68&lt;&gt;H52)),-1*SUMPRODUCT((P$3:P$68="")*(O$3:O$68="")*(N$3:N$68="")*(M$3:M$68="P")*(G$3:G$68=G52)*(J$3:J$68&gt;J52)*(H$3:H$68="L5")))+1,""))))</f>
        <v/>
      </c>
      <c r="C52" s="35" t="s">
        <v>461</v>
      </c>
      <c r="D52" t="str">
        <f>IF(E52="","",VLOOKUP(E52,'Coaching Points'!A:B,2,0))</f>
        <v>ON</v>
      </c>
      <c r="E52" s="35" t="s">
        <v>89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214</v>
      </c>
      <c r="I52" s="40"/>
      <c r="J52" s="4">
        <f>R52+S52+IF(OR(H52="Junior",H52="Senior"),0.0002,IF(OR(H52="L7",H52="L6"),0.0001,0))+MAX(Z52,AC52)*0.0000001</f>
        <v>75.600003819999998</v>
      </c>
      <c r="K52" s="3" t="str">
        <f>IF(G52="Not Age Eligible","",IF(MAX(T52,W52,Z52,AC52)&gt;=LOOKUP(G52,'Qualifying Scores'!$A$4:$A$7,'Qualifying Scores'!$I$4:$I$7),"P",""))</f>
        <v/>
      </c>
      <c r="L52" s="3" t="str">
        <f>IF(G52="Not Age Eligible","",IF(MAX(U52,X52,AA52,AD52)&gt;=LOOKUP(G52,'Qualifying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Scores'!$I$10:$I$13)),AND(Z52&gt;=LOOKUP(G52,'Qualifying Scores'!$A$4:$A$7,'Qualifying Scores'!$I$4:$I$7),AA52&gt;=LOOKUP(G52,'Qualifying Scores'!$A$10:$A$13,'Qualifying Scores'!$I$10:$I$13)),AND(W52&gt;=LOOKUP(G52,'Qualifying Scores'!$A$4:$A$7,'Qualifying Scores'!$I$4:$I$7),X52&gt;=LOOKUP(G52,'Qualifying Scores'!$A$10:$A$13,'Qualifying Scores'!$I$10:$I$13)),AND(AC52&gt;=LOOKUP(G52,'Qualifying Scores'!$A$4:$A$7,'Qualifying Scores'!$I$4:$I$7),AD52&gt;=LOOKUP(G52,'Qualifying Scores'!$A$10:$A$13,'Qualifying Scores'!$I$10:$I$13))),"P",""))</f>
        <v/>
      </c>
      <c r="Q52" s="1" t="str">
        <f>IF(A52&lt;5,IF(_xlfn.MAXIFS(A:A,G:G,G52)&gt;3,5-A52,_xlfn.MAXIFS(A:A,G:G,G52)+1-A52),"")</f>
        <v/>
      </c>
      <c r="R52" s="4">
        <f>MAX(T52-IF(OR(H52="N/A"),V52,0),W52-IF(OR(H52="N/A"),Y52,0),Z52-IF(OR(H52="N/A"),AB52,0),AC52-IF(OR(H52="N/A"),AE52,0))</f>
        <v>38.200000000000003</v>
      </c>
      <c r="S52" s="4">
        <f>IF(R52=T52-IF(OR(H52="N/A"),V52,0),MAX(W52-IF(OR(H52="N/A"),Y52,0),Z52-IF(OR(H52="N/A"),AB52,0),AC52-IF(OR(H52="N/A"),AE52,0)),IF(R52=W52-IF(OR(H52="N/A"),Y52,0),MAX(T52-IF(OR(H52="N/A"),V52,0),Z52-IF(OR(H52="N/A"),AB52,0),AC52-IF(OR(H52="N/A"),AE52,0)),IF(R52=Z52-IF(OR(H52="N/A"),AB52,0),MAX(T52-IF(OR(H52="N/A"),V52,0),W52-IF(OR(H52="N/A"),Y52,0),AC52-IF(OR(H52="N/A"),AE52,0)),IF(R52=AC52-IF(OR(H52="N/A"),AE52,0),MAX(T52-IF(OR(H52="N/A"),V52,0),W52-IF(OR(H52="N/A"),Y52,0),Z52-IF(OR(H52="N/A"),AB52,0)),0))))</f>
        <v>37.4</v>
      </c>
      <c r="T52" s="32"/>
      <c r="U52" s="37"/>
      <c r="V52" s="37">
        <v>0</v>
      </c>
      <c r="W52" s="33"/>
      <c r="X52" s="37"/>
      <c r="Y52" s="37"/>
      <c r="Z52" s="32">
        <v>37.4</v>
      </c>
      <c r="AA52" s="37">
        <v>6</v>
      </c>
      <c r="AB52" s="37">
        <v>0</v>
      </c>
      <c r="AC52" s="33">
        <v>38.200000000000003</v>
      </c>
      <c r="AD52" s="37">
        <v>6</v>
      </c>
      <c r="AE52" s="37">
        <v>0</v>
      </c>
    </row>
    <row r="53" spans="1:31" x14ac:dyDescent="0.2">
      <c r="A53" s="1" t="str" cm="1">
        <f t="array" ref="A53">IF(I53="","",IF(P53&lt;&gt;"",SUMPRODUCT((P$3:P$68&lt;&gt;"")*(G$3:G$68=G53)*(J$3:J$68&gt;J53)*(I$3:I$68="P"))+1,IF(O53&lt;&gt;"",SUMPRODUCT((O$3:O$68&lt;&gt;"")*(P$3:P$68="")*(G$3:G$68=G53)*(J$3:J$68&gt;J53)*(I$3:I$68="P"))+SUMPRODUCT((P$3:P$68&lt;&gt;"")*(G$3:G$68=G53)*(I$3:I$68="P"))+1,IF(N53&lt;&gt;"",SUMPRODUCT((N$3:N$68&lt;&gt;"")*(G$3:G$68=G53)*(J$3:J$68&gt;J53)*(I$3:I$68="P"))+1,IF(M53="P",SUMPRODUCT((O$3:O$68&lt;&gt;"")*(P$3:P$68="")*(G$3:G$68=G53)*(I$3:I$68="P"))+SUMPRODUCT((P$3:P$68&lt;&gt;"")*(G$3:G$68=G53)*(I$3:I$68="P"))+SUMPRODUCT((N$3:N$68&lt;&gt;"")*(G$3:G$68=G53)*(I$3:I$68="P"))+SUMPRODUCT((P$3:P$68="")*(O$3:O$68="")*(N$3:N$68="")*(M$3:M$68="P")*(G$3:G$68=G53)*(J$3:J$68&gt;J53)*(I$3:I$68="P"))+IF(H53="L5",SUMPRODUCT((P$3:P$68="")*(O$3:O$68="")*(N$3:N$68="")*(M$3:M$68="P")*(G$3:G$68=G53)*(J$3:J$68&lt;J53)*(H$3:H$68&lt;&gt;H53)*(I$3:I$68="P")),-1*SUMPRODUCT((P$3:P$68="")*(O$3:O$68="")*(N$3:N$68="")*(M$3:M$68="P")*(G$3:G$68=G53)*(J$3:J$68&gt;J53)*(H$3:H$68="L5")*(I$3:I$68="P")))+1,"")))))</f>
        <v/>
      </c>
      <c r="B53" s="1" t="str" cm="1">
        <f t="array" ref="B53">IF(P53&lt;&gt;"",SUMPRODUCT((P$3:P$68&lt;&gt;"")*(G$3:G$68=G53)*(J$3:J$68&gt;J53))+1,IF(O53&lt;&gt;"",SUMPRODUCT((O$3:O$68&lt;&gt;"")*(P$3:P$68="")*(G$3:G$68=G53)*(J$3:J$68&gt;J53))+SUMPRODUCT((P$3:P$68&lt;&gt;"")*(G$3:G$68=G53))+1,IF(N53&lt;&gt;"",SUMPRODUCT((N$3:N$68&lt;&gt;"")*(G$3:G$68=G53)*(J$3:J$68&gt;J53))+1,IF(M53="P",SUMPRODUCT((O$3:O$68&lt;&gt;"")*(P$3:P$68="")*(G$3:G$68=G53))+SUMPRODUCT((P$3:P$68&lt;&gt;"")*(G$3:G$68=G53))+SUMPRODUCT((N$3:N$68&lt;&gt;"")*(G$3:G$68=G53))+SUMPRODUCT((P$3:P$68="")*(O$3:O$68="")*(N$3:N$68="")*(M$3:M$68="P")*(G$3:G$68=G53)*(J$3:J$68&gt;J53))+IF(H53="L5",SUMPRODUCT((P$3:P$68="")*(O$3:O$68="")*(N$3:N$68="")*(M$3:M$68="P")*(G$3:G$68=G53)*(J$3:J$68&lt;J53)*(H$3:H$68&lt;&gt;H53)),-1*SUMPRODUCT((P$3:P$68="")*(O$3:O$68="")*(N$3:N$68="")*(M$3:M$68="P")*(G$3:G$68=G53)*(J$3:J$68&gt;J53)*(H$3:H$68="L5")))+1,""))))</f>
        <v/>
      </c>
      <c r="C53" s="35" t="s">
        <v>309</v>
      </c>
      <c r="D53" t="str">
        <f>IF(E53="","",VLOOKUP(E53,'Coaching Points'!A:B,2,0))</f>
        <v>ON</v>
      </c>
      <c r="E53" s="35" t="s">
        <v>45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214</v>
      </c>
      <c r="I53" s="40"/>
      <c r="J53" s="4">
        <f>R53+S53+IF(OR(H53="Junior",H53="Senior"),0.0002,IF(OR(H53="L7",H53="L6"),0.0001,0))+MAX(Z53,AC53)*0.0000001</f>
        <v>75.500003750000005</v>
      </c>
      <c r="K53" s="3" t="str">
        <f>IF(G53="Not Age Eligible","",IF(MAX(T53,W53,Z53,AC53)&gt;=LOOKUP(G53,'Qualifying Scores'!$A$4:$A$7,'Qualifying Scores'!$I$4:$I$7),"P",""))</f>
        <v/>
      </c>
      <c r="L53" s="3" t="str">
        <f>IF(G53="Not Age Eligible","",IF(MAX(U53,X53,AA53,AD53)&gt;=LOOKUP(G53,'Qualifying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Scores'!$I$10:$I$13)),AND(Z53&gt;=LOOKUP(G53,'Qualifying Scores'!$A$4:$A$7,'Qualifying Scores'!$I$4:$I$7),AA53&gt;=LOOKUP(G53,'Qualifying Scores'!$A$10:$A$13,'Qualifying Scores'!$I$10:$I$13)),AND(W53&gt;=LOOKUP(G53,'Qualifying Scores'!$A$4:$A$7,'Qualifying Scores'!$I$4:$I$7),X53&gt;=LOOKUP(G53,'Qualifying Scores'!$A$10:$A$13,'Qualifying Scores'!$I$10:$I$13)),AND(AC53&gt;=LOOKUP(G53,'Qualifying Scores'!$A$4:$A$7,'Qualifying Scores'!$I$4:$I$7),AD53&gt;=LOOKUP(G53,'Qualifying Scores'!$A$10:$A$13,'Qualifying Scores'!$I$10:$I$13))),"P",""))</f>
        <v/>
      </c>
      <c r="Q53" s="1" t="str">
        <f>IF(A53&lt;5,IF(_xlfn.MAXIFS(A:A,G:G,G53)&gt;3,5-A53,_xlfn.MAXIFS(A:A,G:G,G53)+1-A53),"")</f>
        <v/>
      </c>
      <c r="R53" s="4">
        <f>MAX(T53-IF(OR(H53="N/A"),V53,0),W53-IF(OR(H53="N/A"),Y53,0),Z53-IF(OR(H53="N/A"),AB53,0),AC53-IF(OR(H53="N/A"),AE53,0))</f>
        <v>38</v>
      </c>
      <c r="S53" s="4">
        <f>IF(R53=T53-IF(OR(H53="N/A"),V53,0),MAX(W53-IF(OR(H53="N/A"),Y53,0),Z53-IF(OR(H53="N/A"),AB53,0),AC53-IF(OR(H53="N/A"),AE53,0)),IF(R53=W53-IF(OR(H53="N/A"),Y53,0),MAX(T53-IF(OR(H53="N/A"),V53,0),Z53-IF(OR(H53="N/A"),AB53,0),AC53-IF(OR(H53="N/A"),AE53,0)),IF(R53=Z53-IF(OR(H53="N/A"),AB53,0),MAX(T53-IF(OR(H53="N/A"),V53,0),W53-IF(OR(H53="N/A"),Y53,0),AC53-IF(OR(H53="N/A"),AE53,0)),IF(R53=AC53-IF(OR(H53="N/A"),AE53,0),MAX(T53-IF(OR(H53="N/A"),V53,0),W53-IF(OR(H53="N/A"),Y53,0),Z53-IF(OR(H53="N/A"),AB53,0)),0))))</f>
        <v>37.5</v>
      </c>
      <c r="T53" s="32">
        <v>38</v>
      </c>
      <c r="U53" s="37">
        <v>4.5999999999999996</v>
      </c>
      <c r="V53" s="37">
        <v>0</v>
      </c>
      <c r="W53" s="33">
        <v>37.4</v>
      </c>
      <c r="X53" s="37">
        <v>4.5999999999999996</v>
      </c>
      <c r="Y53" s="37">
        <v>0</v>
      </c>
      <c r="Z53" s="32">
        <v>37.299999999999997</v>
      </c>
      <c r="AA53" s="37">
        <v>5.3</v>
      </c>
      <c r="AB53" s="37">
        <v>0</v>
      </c>
      <c r="AC53" s="33">
        <v>37.5</v>
      </c>
      <c r="AD53" s="37">
        <v>5.3</v>
      </c>
      <c r="AE53" s="37">
        <v>0</v>
      </c>
    </row>
    <row r="54" spans="1:31" x14ac:dyDescent="0.2">
      <c r="A54" s="1" t="str" cm="1">
        <f t="array" ref="A54">IF(I54="","",IF(P54&lt;&gt;"",SUMPRODUCT((P$3:P$68&lt;&gt;"")*(G$3:G$68=G54)*(J$3:J$68&gt;J54)*(I$3:I$68="P"))+1,IF(O54&lt;&gt;"",SUMPRODUCT((O$3:O$68&lt;&gt;"")*(P$3:P$68="")*(G$3:G$68=G54)*(J$3:J$68&gt;J54)*(I$3:I$68="P"))+SUMPRODUCT((P$3:P$68&lt;&gt;"")*(G$3:G$68=G54)*(I$3:I$68="P"))+1,IF(N54&lt;&gt;"",SUMPRODUCT((N$3:N$68&lt;&gt;"")*(G$3:G$68=G54)*(J$3:J$68&gt;J54)*(I$3:I$68="P"))+1,IF(M54="P",SUMPRODUCT((O$3:O$68&lt;&gt;"")*(P$3:P$68="")*(G$3:G$68=G54)*(I$3:I$68="P"))+SUMPRODUCT((P$3:P$68&lt;&gt;"")*(G$3:G$68=G54)*(I$3:I$68="P"))+SUMPRODUCT((N$3:N$68&lt;&gt;"")*(G$3:G$68=G54)*(I$3:I$68="P"))+SUMPRODUCT((P$3:P$68="")*(O$3:O$68="")*(N$3:N$68="")*(M$3:M$68="P")*(G$3:G$68=G54)*(J$3:J$68&gt;J54)*(I$3:I$68="P"))+IF(H54="L5",SUMPRODUCT((P$3:P$68="")*(O$3:O$68="")*(N$3:N$68="")*(M$3:M$68="P")*(G$3:G$68=G54)*(J$3:J$68&lt;J54)*(H$3:H$68&lt;&gt;H54)*(I$3:I$68="P")),-1*SUMPRODUCT((P$3:P$68="")*(O$3:O$68="")*(N$3:N$68="")*(M$3:M$68="P")*(G$3:G$68=G54)*(J$3:J$68&gt;J54)*(H$3:H$68="L5")*(I$3:I$68="P")))+1,"")))))</f>
        <v/>
      </c>
      <c r="B54" s="1" t="str" cm="1">
        <f t="array" ref="B54">IF(P54&lt;&gt;"",SUMPRODUCT((P$3:P$68&lt;&gt;"")*(G$3:G$68=G54)*(J$3:J$68&gt;J54))+1,IF(O54&lt;&gt;"",SUMPRODUCT((O$3:O$68&lt;&gt;"")*(P$3:P$68="")*(G$3:G$68=G54)*(J$3:J$68&gt;J54))+SUMPRODUCT((P$3:P$68&lt;&gt;"")*(G$3:G$68=G54))+1,IF(N54&lt;&gt;"",SUMPRODUCT((N$3:N$68&lt;&gt;"")*(G$3:G$68=G54)*(J$3:J$68&gt;J54))+1,IF(M54="P",SUMPRODUCT((O$3:O$68&lt;&gt;"")*(P$3:P$68="")*(G$3:G$68=G54))+SUMPRODUCT((P$3:P$68&lt;&gt;"")*(G$3:G$68=G54))+SUMPRODUCT((N$3:N$68&lt;&gt;"")*(G$3:G$68=G54))+SUMPRODUCT((P$3:P$68="")*(O$3:O$68="")*(N$3:N$68="")*(M$3:M$68="P")*(G$3:G$68=G54)*(J$3:J$68&gt;J54))+IF(H54="L5",SUMPRODUCT((P$3:P$68="")*(O$3:O$68="")*(N$3:N$68="")*(M$3:M$68="P")*(G$3:G$68=G54)*(J$3:J$68&lt;J54)*(H$3:H$68&lt;&gt;H54)),-1*SUMPRODUCT((P$3:P$68="")*(O$3:O$68="")*(N$3:N$68="")*(M$3:M$68="P")*(G$3:G$68=G54)*(J$3:J$68&gt;J54)*(H$3:H$68="L5")))+1,""))))</f>
        <v/>
      </c>
      <c r="C54" s="35" t="s">
        <v>296</v>
      </c>
      <c r="D54" t="str">
        <f>IF(E54="","",VLOOKUP(E54,'Coaching Points'!A:B,2,0))</f>
        <v>ON</v>
      </c>
      <c r="E54" s="35" t="s">
        <v>162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>R54+S54+IF(OR(H54="Junior",H54="Senior"),0.0002,IF(OR(H54="L7",H54="L6"),0.0001,0))+MAX(Z54,AC54)*0.0000001</f>
        <v>75.200203760000008</v>
      </c>
      <c r="K54" s="3" t="str">
        <f>IF(G54="Not Age Eligible","",IF(MAX(T54,W54,Z54,AC54)&gt;=LOOKUP(G54,'Qualifying Scores'!$A$4:$A$7,'Qualifying Scores'!$I$4:$I$7),"P",""))</f>
        <v/>
      </c>
      <c r="L54" s="3" t="str">
        <f>IF(G54="Not Age Eligible","",IF(MAX(U54,X54,AA54,AD54)&gt;=LOOKUP(G54,'Qualifying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Scores'!$I$10:$I$13)),AND(Z54&gt;=LOOKUP(G54,'Qualifying Scores'!$A$4:$A$7,'Qualifying Scores'!$I$4:$I$7),AA54&gt;=LOOKUP(G54,'Qualifying Scores'!$A$10:$A$13,'Qualifying Scores'!$I$10:$I$13)),AND(W54&gt;=LOOKUP(G54,'Qualifying Scores'!$A$4:$A$7,'Qualifying Scores'!$I$4:$I$7),X54&gt;=LOOKUP(G54,'Qualifying Scores'!$A$10:$A$13,'Qualifying Scores'!$I$10:$I$13)),AND(AC54&gt;=LOOKUP(G54,'Qualifying Scores'!$A$4:$A$7,'Qualifying Scores'!$I$4:$I$7),AD54&gt;=LOOKUP(G54,'Qualifying Scores'!$A$10:$A$13,'Qualifying Scores'!$I$10:$I$13))),"P",""))</f>
        <v/>
      </c>
      <c r="Q54" s="1" t="str">
        <f>IF(A54&lt;5,IF(_xlfn.MAXIFS(A:A,G:G,G54)&gt;3,5-A54,_xlfn.MAXIFS(A:A,G:G,G54)+1-A54),"")</f>
        <v/>
      </c>
      <c r="R54" s="4">
        <f>MAX(T54-IF(OR(H54="N/A"),V54,0),W54-IF(OR(H54="N/A"),Y54,0),Z54-IF(OR(H54="N/A"),AB54,0),AC54-IF(OR(H54="N/A"),AE54,0))</f>
        <v>37.6</v>
      </c>
      <c r="S54" s="4">
        <f>IF(R54=T54-IF(OR(H54="N/A"),V54,0),MAX(W54-IF(OR(H54="N/A"),Y54,0),Z54-IF(OR(H54="N/A"),AB54,0),AC54-IF(OR(H54="N/A"),AE54,0)),IF(R54=W54-IF(OR(H54="N/A"),Y54,0),MAX(T54-IF(OR(H54="N/A"),V54,0),Z54-IF(OR(H54="N/A"),AB54,0),AC54-IF(OR(H54="N/A"),AE54,0)),IF(R54=Z54-IF(OR(H54="N/A"),AB54,0),MAX(T54-IF(OR(H54="N/A"),V54,0),W54-IF(OR(H54="N/A"),Y54,0),AC54-IF(OR(H54="N/A"),AE54,0)),IF(R54=AC54-IF(OR(H54="N/A"),AE54,0),MAX(T54-IF(OR(H54="N/A"),V54,0),W54-IF(OR(H54="N/A"),Y54,0),Z54-IF(OR(H54="N/A"),AB54,0)),0))))</f>
        <v>37.6</v>
      </c>
      <c r="T54" s="32">
        <v>36.6</v>
      </c>
      <c r="U54" s="37">
        <v>5</v>
      </c>
      <c r="V54" s="37">
        <v>0</v>
      </c>
      <c r="W54" s="33">
        <v>37.6</v>
      </c>
      <c r="X54" s="37">
        <v>4.4000000000000004</v>
      </c>
      <c r="Y54" s="37">
        <v>0</v>
      </c>
      <c r="Z54" s="32">
        <v>36.6</v>
      </c>
      <c r="AA54" s="37">
        <v>4</v>
      </c>
      <c r="AB54" s="37">
        <v>0</v>
      </c>
      <c r="AC54" s="33">
        <v>37.6</v>
      </c>
      <c r="AD54" s="37">
        <v>4</v>
      </c>
      <c r="AE54" s="37">
        <v>0</v>
      </c>
    </row>
    <row r="55" spans="1:31" x14ac:dyDescent="0.2">
      <c r="A55" s="1" t="str" cm="1">
        <f t="array" ref="A55">IF(I55="","",IF(P55&lt;&gt;"",SUMPRODUCT((P$3:P$68&lt;&gt;"")*(G$3:G$68=G55)*(J$3:J$68&gt;J55)*(I$3:I$68="P"))+1,IF(O55&lt;&gt;"",SUMPRODUCT((O$3:O$68&lt;&gt;"")*(P$3:P$68="")*(G$3:G$68=G55)*(J$3:J$68&gt;J55)*(I$3:I$68="P"))+SUMPRODUCT((P$3:P$68&lt;&gt;"")*(G$3:G$68=G55)*(I$3:I$68="P"))+1,IF(N55&lt;&gt;"",SUMPRODUCT((N$3:N$68&lt;&gt;"")*(G$3:G$68=G55)*(J$3:J$68&gt;J55)*(I$3:I$68="P"))+1,IF(M55="P",SUMPRODUCT((O$3:O$68&lt;&gt;"")*(P$3:P$68="")*(G$3:G$68=G55)*(I$3:I$68="P"))+SUMPRODUCT((P$3:P$68&lt;&gt;"")*(G$3:G$68=G55)*(I$3:I$68="P"))+SUMPRODUCT((N$3:N$68&lt;&gt;"")*(G$3:G$68=G55)*(I$3:I$68="P"))+SUMPRODUCT((P$3:P$68="")*(O$3:O$68="")*(N$3:N$68="")*(M$3:M$68="P")*(G$3:G$68=G55)*(J$3:J$68&gt;J55)*(I$3:I$68="P"))+IF(H55="L5",SUMPRODUCT((P$3:P$68="")*(O$3:O$68="")*(N$3:N$68="")*(M$3:M$68="P")*(G$3:G$68=G55)*(J$3:J$68&lt;J55)*(H$3:H$68&lt;&gt;H55)*(I$3:I$68="P")),-1*SUMPRODUCT((P$3:P$68="")*(O$3:O$68="")*(N$3:N$68="")*(M$3:M$68="P")*(G$3:G$68=G55)*(J$3:J$68&gt;J55)*(H$3:H$68="L5")*(I$3:I$68="P")))+1,"")))))</f>
        <v/>
      </c>
      <c r="B55" s="1" t="str" cm="1">
        <f t="array" ref="B55">IF(P55&lt;&gt;"",SUMPRODUCT((P$3:P$68&lt;&gt;"")*(G$3:G$68=G55)*(J$3:J$68&gt;J55))+1,IF(O55&lt;&gt;"",SUMPRODUCT((O$3:O$68&lt;&gt;"")*(P$3:P$68="")*(G$3:G$68=G55)*(J$3:J$68&gt;J55))+SUMPRODUCT((P$3:P$68&lt;&gt;"")*(G$3:G$68=G55))+1,IF(N55&lt;&gt;"",SUMPRODUCT((N$3:N$68&lt;&gt;"")*(G$3:G$68=G55)*(J$3:J$68&gt;J55))+1,IF(M55="P",SUMPRODUCT((O$3:O$68&lt;&gt;"")*(P$3:P$68="")*(G$3:G$68=G55))+SUMPRODUCT((P$3:P$68&lt;&gt;"")*(G$3:G$68=G55))+SUMPRODUCT((N$3:N$68&lt;&gt;"")*(G$3:G$68=G55))+SUMPRODUCT((P$3:P$68="")*(O$3:O$68="")*(N$3:N$68="")*(M$3:M$68="P")*(G$3:G$68=G55)*(J$3:J$68&gt;J55))+IF(H55="L5",SUMPRODUCT((P$3:P$68="")*(O$3:O$68="")*(N$3:N$68="")*(M$3:M$68="P")*(G$3:G$68=G55)*(J$3:J$68&lt;J55)*(H$3:H$68&lt;&gt;H55)),-1*SUMPRODUCT((P$3:P$68="")*(O$3:O$68="")*(N$3:N$68="")*(M$3:M$68="P")*(G$3:G$68=G55)*(J$3:J$68&gt;J55)*(H$3:H$68="L5")))+1,""))))</f>
        <v/>
      </c>
      <c r="C55" s="35" t="s">
        <v>257</v>
      </c>
      <c r="D55" t="str">
        <f>IF(E55="","",VLOOKUP(E55,'Coaching Points'!A:B,2,0))</f>
        <v>AB</v>
      </c>
      <c r="E55" s="35" t="s">
        <v>28</v>
      </c>
      <c r="F55" s="34">
        <v>2009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>R55+S55+IF(OR(H55="Junior",H55="Senior"),0.0002,IF(OR(H55="L7",H55="L6"),0.0001,0))+MAX(Z55,AC55)*0.0000001</f>
        <v>75.200003770000009</v>
      </c>
      <c r="K55" s="3" t="str">
        <f>IF(G55="Not Age Eligible","",IF(MAX(T55,W55,Z55,AC55)&gt;=LOOKUP(G55,'Qualifying Scores'!$A$4:$A$7,'Qualifying Scores'!$I$4:$I$7),"P",""))</f>
        <v/>
      </c>
      <c r="L55" s="3" t="str">
        <f>IF(G55="Not Age Eligible","",IF(MAX(U55,X55,AA55,AD55)&gt;=LOOKUP(G55,'Qualifying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Scores'!$I$10:$I$13)),AND(Z55&gt;=LOOKUP(G55,'Qualifying Scores'!$A$4:$A$7,'Qualifying Scores'!$I$4:$I$7),AA55&gt;=LOOKUP(G55,'Qualifying Scores'!$A$10:$A$13,'Qualifying Scores'!$I$10:$I$13)),AND(W55&gt;=LOOKUP(G55,'Qualifying Scores'!$A$4:$A$7,'Qualifying Scores'!$I$4:$I$7),X55&gt;=LOOKUP(G55,'Qualifying Scores'!$A$10:$A$13,'Qualifying Scores'!$I$10:$I$13)),AND(AC55&gt;=LOOKUP(G55,'Qualifying Scores'!$A$4:$A$7,'Qualifying Scores'!$I$4:$I$7),AD55&gt;=LOOKUP(G55,'Qualifying Scores'!$A$10:$A$13,'Qualifying Scores'!$I$10:$I$13))),"P",""))</f>
        <v/>
      </c>
      <c r="Q55" s="1" t="str">
        <f>IF(A55&lt;5,IF(_xlfn.MAXIFS(A:A,G:G,G55)&gt;3,5-A55,_xlfn.MAXIFS(A:A,G:G,G55)+1-A55),"")</f>
        <v/>
      </c>
      <c r="R55" s="4">
        <f>MAX(T55-IF(OR(H55="N/A"),V55,0),W55-IF(OR(H55="N/A"),Y55,0),Z55-IF(OR(H55="N/A"),AB55,0),AC55-IF(OR(H55="N/A"),AE55,0))</f>
        <v>37.700000000000003</v>
      </c>
      <c r="S55" s="4">
        <f>IF(R55=T55-IF(OR(H55="N/A"),V55,0),MAX(W55-IF(OR(H55="N/A"),Y55,0),Z55-IF(OR(H55="N/A"),AB55,0),AC55-IF(OR(H55="N/A"),AE55,0)),IF(R55=W55-IF(OR(H55="N/A"),Y55,0),MAX(T55-IF(OR(H55="N/A"),V55,0),Z55-IF(OR(H55="N/A"),AB55,0),AC55-IF(OR(H55="N/A"),AE55,0)),IF(R55=Z55-IF(OR(H55="N/A"),AB55,0),MAX(T55-IF(OR(H55="N/A"),V55,0),W55-IF(OR(H55="N/A"),Y55,0),AC55-IF(OR(H55="N/A"),AE55,0)),IF(R55=AC55-IF(OR(H55="N/A"),AE55,0),MAX(T55-IF(OR(H55="N/A"),V55,0),W55-IF(OR(H55="N/A"),Y55,0),Z55-IF(OR(H55="N/A"),AB55,0)),0))))</f>
        <v>37.5</v>
      </c>
      <c r="T55" s="32"/>
      <c r="U55" s="37"/>
      <c r="V55" s="37">
        <v>0</v>
      </c>
      <c r="W55" s="33"/>
      <c r="X55" s="37"/>
      <c r="Y55" s="37"/>
      <c r="Z55" s="32">
        <v>37.700000000000003</v>
      </c>
      <c r="AA55" s="37">
        <v>4.4000000000000004</v>
      </c>
      <c r="AB55" s="37">
        <v>0</v>
      </c>
      <c r="AC55" s="33">
        <v>37.5</v>
      </c>
      <c r="AD55" s="37">
        <v>4.4000000000000004</v>
      </c>
      <c r="AE55" s="37">
        <v>0</v>
      </c>
    </row>
    <row r="56" spans="1:31" x14ac:dyDescent="0.2">
      <c r="A56" s="1" t="str" cm="1">
        <f t="array" ref="A56">IF(I56="","",IF(P56&lt;&gt;"",SUMPRODUCT((P$3:P$68&lt;&gt;"")*(G$3:G$68=G56)*(J$3:J$68&gt;J56)*(I$3:I$68="P"))+1,IF(O56&lt;&gt;"",SUMPRODUCT((O$3:O$68&lt;&gt;"")*(P$3:P$68="")*(G$3:G$68=G56)*(J$3:J$68&gt;J56)*(I$3:I$68="P"))+SUMPRODUCT((P$3:P$68&lt;&gt;"")*(G$3:G$68=G56)*(I$3:I$68="P"))+1,IF(N56&lt;&gt;"",SUMPRODUCT((N$3:N$68&lt;&gt;"")*(G$3:G$68=G56)*(J$3:J$68&gt;J56)*(I$3:I$68="P"))+1,IF(M56="P",SUMPRODUCT((O$3:O$68&lt;&gt;"")*(P$3:P$68="")*(G$3:G$68=G56)*(I$3:I$68="P"))+SUMPRODUCT((P$3:P$68&lt;&gt;"")*(G$3:G$68=G56)*(I$3:I$68="P"))+SUMPRODUCT((N$3:N$68&lt;&gt;"")*(G$3:G$68=G56)*(I$3:I$68="P"))+SUMPRODUCT((P$3:P$68="")*(O$3:O$68="")*(N$3:N$68="")*(M$3:M$68="P")*(G$3:G$68=G56)*(J$3:J$68&gt;J56)*(I$3:I$68="P"))+IF(H56="L5",SUMPRODUCT((P$3:P$68="")*(O$3:O$68="")*(N$3:N$68="")*(M$3:M$68="P")*(G$3:G$68=G56)*(J$3:J$68&lt;J56)*(H$3:H$68&lt;&gt;H56)*(I$3:I$68="P")),-1*SUMPRODUCT((P$3:P$68="")*(O$3:O$68="")*(N$3:N$68="")*(M$3:M$68="P")*(G$3:G$68=G56)*(J$3:J$68&gt;J56)*(H$3:H$68="L5")*(I$3:I$68="P")))+1,"")))))</f>
        <v/>
      </c>
      <c r="B56" s="1" t="str" cm="1">
        <f t="array" ref="B56">IF(P56&lt;&gt;"",SUMPRODUCT((P$3:P$68&lt;&gt;"")*(G$3:G$68=G56)*(J$3:J$68&gt;J56))+1,IF(O56&lt;&gt;"",SUMPRODUCT((O$3:O$68&lt;&gt;"")*(P$3:P$68="")*(G$3:G$68=G56)*(J$3:J$68&gt;J56))+SUMPRODUCT((P$3:P$68&lt;&gt;"")*(G$3:G$68=G56))+1,IF(N56&lt;&gt;"",SUMPRODUCT((N$3:N$68&lt;&gt;"")*(G$3:G$68=G56)*(J$3:J$68&gt;J56))+1,IF(M56="P",SUMPRODUCT((O$3:O$68&lt;&gt;"")*(P$3:P$68="")*(G$3:G$68=G56))+SUMPRODUCT((P$3:P$68&lt;&gt;"")*(G$3:G$68=G56))+SUMPRODUCT((N$3:N$68&lt;&gt;"")*(G$3:G$68=G56))+SUMPRODUCT((P$3:P$68="")*(O$3:O$68="")*(N$3:N$68="")*(M$3:M$68="P")*(G$3:G$68=G56)*(J$3:J$68&gt;J56))+IF(H56="L5",SUMPRODUCT((P$3:P$68="")*(O$3:O$68="")*(N$3:N$68="")*(M$3:M$68="P")*(G$3:G$68=G56)*(J$3:J$68&lt;J56)*(H$3:H$68&lt;&gt;H56)),-1*SUMPRODUCT((P$3:P$68="")*(O$3:O$68="")*(N$3:N$68="")*(M$3:M$68="P")*(G$3:G$68=G56)*(J$3:J$68&gt;J56)*(H$3:H$68="L5")))+1,""))))</f>
        <v/>
      </c>
      <c r="C56" s="35" t="s">
        <v>310</v>
      </c>
      <c r="D56" t="str">
        <f>IF(E56="","",VLOOKUP(E56,'Coaching Points'!A:B,2,0))</f>
        <v>BC</v>
      </c>
      <c r="E56" s="35" t="s">
        <v>59</v>
      </c>
      <c r="F56" s="34">
        <v>2010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>R56+S56+IF(OR(H56="Junior",H56="Senior"),0.0002,IF(OR(H56="L7",H56="L6"),0.0001,0))+MAX(Z56,AC56)*0.0000001</f>
        <v>73.500003710000001</v>
      </c>
      <c r="K56" s="3" t="str">
        <f>IF(G56="Not Age Eligible","",IF(MAX(T56,W56,Z56,AC56)&gt;=LOOKUP(G56,'Qualifying Scores'!$A$4:$A$7,'Qualifying Scores'!$I$4:$I$7),"P",""))</f>
        <v/>
      </c>
      <c r="L56" s="3" t="str">
        <f>IF(G56="Not Age Eligible","",IF(MAX(U56,X56,AA56,AD56)&gt;=LOOKUP(G56,'Qualifying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Scores'!$I$10:$I$13)),AND(Z56&gt;=LOOKUP(G56,'Qualifying Scores'!$A$4:$A$7,'Qualifying Scores'!$I$4:$I$7),AA56&gt;=LOOKUP(G56,'Qualifying Scores'!$A$10:$A$13,'Qualifying Scores'!$I$10:$I$13)),AND(W56&gt;=LOOKUP(G56,'Qualifying Scores'!$A$4:$A$7,'Qualifying Scores'!$I$4:$I$7),X56&gt;=LOOKUP(G56,'Qualifying Scores'!$A$10:$A$13,'Qualifying Scores'!$I$10:$I$13)),AND(AC56&gt;=LOOKUP(G56,'Qualifying Scores'!$A$4:$A$7,'Qualifying Scores'!$I$4:$I$7),AD56&gt;=LOOKUP(G56,'Qualifying Scores'!$A$10:$A$13,'Qualifying Scores'!$I$10:$I$13))),"P",""))</f>
        <v/>
      </c>
      <c r="Q56" s="1" t="str">
        <f>IF(A56&lt;5,IF(_xlfn.MAXIFS(A:A,G:G,G56)&gt;3,5-A56,_xlfn.MAXIFS(A:A,G:G,G56)+1-A56),"")</f>
        <v/>
      </c>
      <c r="R56" s="4">
        <f>MAX(T56-IF(OR(H56="N/A"),V56,0),W56-IF(OR(H56="N/A"),Y56,0),Z56-IF(OR(H56="N/A"),AB56,0),AC56-IF(OR(H56="N/A"),AE56,0))</f>
        <v>37.1</v>
      </c>
      <c r="S56" s="4">
        <f>IF(R56=T56-IF(OR(H56="N/A"),V56,0),MAX(W56-IF(OR(H56="N/A"),Y56,0),Z56-IF(OR(H56="N/A"),AB56,0),AC56-IF(OR(H56="N/A"),AE56,0)),IF(R56=W56-IF(OR(H56="N/A"),Y56,0),MAX(T56-IF(OR(H56="N/A"),V56,0),Z56-IF(OR(H56="N/A"),AB56,0),AC56-IF(OR(H56="N/A"),AE56,0)),IF(R56=Z56-IF(OR(H56="N/A"),AB56,0),MAX(T56-IF(OR(H56="N/A"),V56,0),W56-IF(OR(H56="N/A"),Y56,0),AC56-IF(OR(H56="N/A"),AE56,0)),IF(R56=AC56-IF(OR(H56="N/A"),AE56,0),MAX(T56-IF(OR(H56="N/A"),V56,0),W56-IF(OR(H56="N/A"),Y56,0),Z56-IF(OR(H56="N/A"),AB56,0)),0))))</f>
        <v>36.4</v>
      </c>
      <c r="T56" s="32">
        <v>36.1</v>
      </c>
      <c r="U56" s="37">
        <v>5.3</v>
      </c>
      <c r="V56" s="37">
        <v>0</v>
      </c>
      <c r="W56" s="33">
        <v>35.799999999999997</v>
      </c>
      <c r="X56" s="37">
        <v>4.2</v>
      </c>
      <c r="Y56" s="37">
        <v>0</v>
      </c>
      <c r="Z56" s="32">
        <v>36.4</v>
      </c>
      <c r="AA56" s="37">
        <v>5.0999999999999996</v>
      </c>
      <c r="AB56" s="37">
        <v>0</v>
      </c>
      <c r="AC56" s="33">
        <v>37.1</v>
      </c>
      <c r="AD56" s="37">
        <v>5.5</v>
      </c>
      <c r="AE56" s="37">
        <v>0</v>
      </c>
    </row>
    <row r="57" spans="1:31" x14ac:dyDescent="0.2">
      <c r="A57" s="1" t="str" cm="1">
        <f t="array" ref="A57">IF(I57="","",IF(P57&lt;&gt;"",SUMPRODUCT((P$3:P$68&lt;&gt;"")*(G$3:G$68=G57)*(J$3:J$68&gt;J57)*(I$3:I$68="P"))+1,IF(O57&lt;&gt;"",SUMPRODUCT((O$3:O$68&lt;&gt;"")*(P$3:P$68="")*(G$3:G$68=G57)*(J$3:J$68&gt;J57)*(I$3:I$68="P"))+SUMPRODUCT((P$3:P$68&lt;&gt;"")*(G$3:G$68=G57)*(I$3:I$68="P"))+1,IF(N57&lt;&gt;"",SUMPRODUCT((N$3:N$68&lt;&gt;"")*(G$3:G$68=G57)*(J$3:J$68&gt;J57)*(I$3:I$68="P"))+1,IF(M57="P",SUMPRODUCT((O$3:O$68&lt;&gt;"")*(P$3:P$68="")*(G$3:G$68=G57)*(I$3:I$68="P"))+SUMPRODUCT((P$3:P$68&lt;&gt;"")*(G$3:G$68=G57)*(I$3:I$68="P"))+SUMPRODUCT((N$3:N$68&lt;&gt;"")*(G$3:G$68=G57)*(I$3:I$68="P"))+SUMPRODUCT((P$3:P$68="")*(O$3:O$68="")*(N$3:N$68="")*(M$3:M$68="P")*(G$3:G$68=G57)*(J$3:J$68&gt;J57)*(I$3:I$68="P"))+IF(H57="L5",SUMPRODUCT((P$3:P$68="")*(O$3:O$68="")*(N$3:N$68="")*(M$3:M$68="P")*(G$3:G$68=G57)*(J$3:J$68&lt;J57)*(H$3:H$68&lt;&gt;H57)*(I$3:I$68="P")),-1*SUMPRODUCT((P$3:P$68="")*(O$3:O$68="")*(N$3:N$68="")*(M$3:M$68="P")*(G$3:G$68=G57)*(J$3:J$68&gt;J57)*(H$3:H$68="L5")*(I$3:I$68="P")))+1,"")))))</f>
        <v/>
      </c>
      <c r="B57" s="1" t="str" cm="1">
        <f t="array" ref="B57">IF(P57&lt;&gt;"",SUMPRODUCT((P$3:P$68&lt;&gt;"")*(G$3:G$68=G57)*(J$3:J$68&gt;J57))+1,IF(O57&lt;&gt;"",SUMPRODUCT((O$3:O$68&lt;&gt;"")*(P$3:P$68="")*(G$3:G$68=G57)*(J$3:J$68&gt;J57))+SUMPRODUCT((P$3:P$68&lt;&gt;"")*(G$3:G$68=G57))+1,IF(N57&lt;&gt;"",SUMPRODUCT((N$3:N$68&lt;&gt;"")*(G$3:G$68=G57)*(J$3:J$68&gt;J57))+1,IF(M57="P",SUMPRODUCT((O$3:O$68&lt;&gt;"")*(P$3:P$68="")*(G$3:G$68=G57))+SUMPRODUCT((P$3:P$68&lt;&gt;"")*(G$3:G$68=G57))+SUMPRODUCT((N$3:N$68&lt;&gt;"")*(G$3:G$68=G57))+SUMPRODUCT((P$3:P$68="")*(O$3:O$68="")*(N$3:N$68="")*(M$3:M$68="P")*(G$3:G$68=G57)*(J$3:J$68&gt;J57))+IF(H57="L5",SUMPRODUCT((P$3:P$68="")*(O$3:O$68="")*(N$3:N$68="")*(M$3:M$68="P")*(G$3:G$68=G57)*(J$3:J$68&lt;J57)*(H$3:H$68&lt;&gt;H57)),-1*SUMPRODUCT((P$3:P$68="")*(O$3:O$68="")*(N$3:N$68="")*(M$3:M$68="P")*(G$3:G$68=G57)*(J$3:J$68&gt;J57)*(H$3:H$68="L5")))+1,""))))</f>
        <v/>
      </c>
      <c r="C57" s="35" t="s">
        <v>462</v>
      </c>
      <c r="D57" t="str">
        <f>IF(E57="","",VLOOKUP(E57,'Coaching Points'!A:B,2,0))</f>
        <v>ON</v>
      </c>
      <c r="E57" s="35" t="s">
        <v>87</v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>R57+S57+IF(OR(H57="Junior",H57="Senior"),0.0002,IF(OR(H57="L7",H57="L6"),0.0001,0))+MAX(Z57,AC57)*0.0000001</f>
        <v>72.000003609999993</v>
      </c>
      <c r="K57" s="3" t="str">
        <f>IF(G57="Not Age Eligible","",IF(MAX(T57,W57,Z57,AC57)&gt;=LOOKUP(G57,'Qualifying Scores'!$A$4:$A$7,'Qualifying Scores'!$I$4:$I$7),"P",""))</f>
        <v/>
      </c>
      <c r="L57" s="3" t="str">
        <f>IF(G57="Not Age Eligible","",IF(MAX(U57,X57,AA57,AD57)&gt;=LOOKUP(G57,'Qualifying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Scores'!$I$10:$I$13)),AND(Z57&gt;=LOOKUP(G57,'Qualifying Scores'!$A$4:$A$7,'Qualifying Scores'!$I$4:$I$7),AA57&gt;=LOOKUP(G57,'Qualifying Scores'!$A$10:$A$13,'Qualifying Scores'!$I$10:$I$13)),AND(W57&gt;=LOOKUP(G57,'Qualifying Scores'!$A$4:$A$7,'Qualifying Scores'!$I$4:$I$7),X57&gt;=LOOKUP(G57,'Qualifying Scores'!$A$10:$A$13,'Qualifying Scores'!$I$10:$I$13)),AND(AC57&gt;=LOOKUP(G57,'Qualifying Scores'!$A$4:$A$7,'Qualifying Scores'!$I$4:$I$7),AD57&gt;=LOOKUP(G57,'Qualifying Scores'!$A$10:$A$13,'Qualifying Scores'!$I$10:$I$13))),"P",""))</f>
        <v/>
      </c>
      <c r="Q57" s="1" t="str">
        <f>IF(A57&lt;5,IF(_xlfn.MAXIFS(A:A,G:G,G57)&gt;3,5-A57,_xlfn.MAXIFS(A:A,G:G,G57)+1-A57),"")</f>
        <v/>
      </c>
      <c r="R57" s="4">
        <f>MAX(T57-IF(OR(H57="N/A"),V57,0),W57-IF(OR(H57="N/A"),Y57,0),Z57-IF(OR(H57="N/A"),AB57,0),AC57-IF(OR(H57="N/A"),AE57,0))</f>
        <v>36.1</v>
      </c>
      <c r="S57" s="4">
        <f>IF(R57=T57-IF(OR(H57="N/A"),V57,0),MAX(W57-IF(OR(H57="N/A"),Y57,0),Z57-IF(OR(H57="N/A"),AB57,0),AC57-IF(OR(H57="N/A"),AE57,0)),IF(R57=W57-IF(OR(H57="N/A"),Y57,0),MAX(T57-IF(OR(H57="N/A"),V57,0),Z57-IF(OR(H57="N/A"),AB57,0),AC57-IF(OR(H57="N/A"),AE57,0)),IF(R57=Z57-IF(OR(H57="N/A"),AB57,0),MAX(T57-IF(OR(H57="N/A"),V57,0),W57-IF(OR(H57="N/A"),Y57,0),AC57-IF(OR(H57="N/A"),AE57,0)),IF(R57=AC57-IF(OR(H57="N/A"),AE57,0),MAX(T57-IF(OR(H57="N/A"),V57,0),W57-IF(OR(H57="N/A"),Y57,0),Z57-IF(OR(H57="N/A"),AB57,0)),0))))</f>
        <v>35.9</v>
      </c>
      <c r="T57" s="32"/>
      <c r="U57" s="37"/>
      <c r="V57" s="37">
        <v>0</v>
      </c>
      <c r="W57" s="33"/>
      <c r="X57" s="37"/>
      <c r="Y57" s="37"/>
      <c r="Z57" s="32">
        <v>35.9</v>
      </c>
      <c r="AA57" s="37">
        <v>4.4000000000000004</v>
      </c>
      <c r="AB57" s="37">
        <v>0</v>
      </c>
      <c r="AC57" s="33">
        <v>36.1</v>
      </c>
      <c r="AD57" s="37">
        <v>4.3</v>
      </c>
      <c r="AE57" s="37">
        <v>0</v>
      </c>
    </row>
    <row r="58" spans="1:31" x14ac:dyDescent="0.2">
      <c r="A58" s="1" t="str" cm="1">
        <f t="array" ref="A58">IF(I58="","",IF(P58&lt;&gt;"",SUMPRODUCT((P$3:P$68&lt;&gt;"")*(G$3:G$68=G58)*(J$3:J$68&gt;J58)*(I$3:I$68="P"))+1,IF(O58&lt;&gt;"",SUMPRODUCT((O$3:O$68&lt;&gt;"")*(P$3:P$68="")*(G$3:G$68=G58)*(J$3:J$68&gt;J58)*(I$3:I$68="P"))+SUMPRODUCT((P$3:P$68&lt;&gt;"")*(G$3:G$68=G58)*(I$3:I$68="P"))+1,IF(N58&lt;&gt;"",SUMPRODUCT((N$3:N$68&lt;&gt;"")*(G$3:G$68=G58)*(J$3:J$68&gt;J58)*(I$3:I$68="P"))+1,IF(M58="P",SUMPRODUCT((O$3:O$68&lt;&gt;"")*(P$3:P$68="")*(G$3:G$68=G58)*(I$3:I$68="P"))+SUMPRODUCT((P$3:P$68&lt;&gt;"")*(G$3:G$68=G58)*(I$3:I$68="P"))+SUMPRODUCT((N$3:N$68&lt;&gt;"")*(G$3:G$68=G58)*(I$3:I$68="P"))+SUMPRODUCT((P$3:P$68="")*(O$3:O$68="")*(N$3:N$68="")*(M$3:M$68="P")*(G$3:G$68=G58)*(J$3:J$68&gt;J58)*(I$3:I$68="P"))+IF(H58="L5",SUMPRODUCT((P$3:P$68="")*(O$3:O$68="")*(N$3:N$68="")*(M$3:M$68="P")*(G$3:G$68=G58)*(J$3:J$68&lt;J58)*(H$3:H$68&lt;&gt;H58)*(I$3:I$68="P")),-1*SUMPRODUCT((P$3:P$68="")*(O$3:O$68="")*(N$3:N$68="")*(M$3:M$68="P")*(G$3:G$68=G58)*(J$3:J$68&gt;J58)*(H$3:H$68="L5")*(I$3:I$68="P")))+1,"")))))</f>
        <v/>
      </c>
      <c r="B58" s="1" t="str" cm="1">
        <f t="array" ref="B58">IF(P58&lt;&gt;"",SUMPRODUCT((P$3:P$68&lt;&gt;"")*(G$3:G$68=G58)*(J$3:J$68&gt;J58))+1,IF(O58&lt;&gt;"",SUMPRODUCT((O$3:O$68&lt;&gt;"")*(P$3:P$68="")*(G$3:G$68=G58)*(J$3:J$68&gt;J58))+SUMPRODUCT((P$3:P$68&lt;&gt;"")*(G$3:G$68=G58))+1,IF(N58&lt;&gt;"",SUMPRODUCT((N$3:N$68&lt;&gt;"")*(G$3:G$68=G58)*(J$3:J$68&gt;J58))+1,IF(M58="P",SUMPRODUCT((O$3:O$68&lt;&gt;"")*(P$3:P$68="")*(G$3:G$68=G58))+SUMPRODUCT((P$3:P$68&lt;&gt;"")*(G$3:G$68=G58))+SUMPRODUCT((N$3:N$68&lt;&gt;"")*(G$3:G$68=G58))+SUMPRODUCT((P$3:P$68="")*(O$3:O$68="")*(N$3:N$68="")*(M$3:M$68="P")*(G$3:G$68=G58)*(J$3:J$68&gt;J58))+IF(H58="L5",SUMPRODUCT((P$3:P$68="")*(O$3:O$68="")*(N$3:N$68="")*(M$3:M$68="P")*(G$3:G$68=G58)*(J$3:J$68&lt;J58)*(H$3:H$68&lt;&gt;H58)),-1*SUMPRODUCT((P$3:P$68="")*(O$3:O$68="")*(N$3:N$68="")*(M$3:M$68="P")*(G$3:G$68=G58)*(J$3:J$68&gt;J58)*(H$3:H$68="L5")))+1,""))))</f>
        <v/>
      </c>
      <c r="C58" s="35" t="s">
        <v>258</v>
      </c>
      <c r="D58" t="str">
        <f>IF(E58="","",VLOOKUP(E58,'Coaching Points'!A:B,2,0))</f>
        <v>BC</v>
      </c>
      <c r="E58" s="35" t="s">
        <v>40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>R58+S58+IF(OR(H58="Junior",H58="Senior"),0.0002,IF(OR(H58="L7",H58="L6"),0.0001,0))+MAX(Z58,AC58)*0.0000001</f>
        <v>71.000003629999995</v>
      </c>
      <c r="K58" s="3" t="str">
        <f>IF(G58="Not Age Eligible","",IF(MAX(T58,W58,Z58,AC58)&gt;=LOOKUP(G58,'Qualifying Scores'!$A$4:$A$7,'Qualifying Scores'!$I$4:$I$7),"P",""))</f>
        <v/>
      </c>
      <c r="L58" s="3" t="str">
        <f>IF(G58="Not Age Eligible","",IF(MAX(U58,X58,AA58,AD58)&gt;=LOOKUP(G58,'Qualifying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Scores'!$I$10:$I$13)),AND(Z58&gt;=LOOKUP(G58,'Qualifying Scores'!$A$4:$A$7,'Qualifying Scores'!$I$4:$I$7),AA58&gt;=LOOKUP(G58,'Qualifying Scores'!$A$10:$A$13,'Qualifying Scores'!$I$10:$I$13)),AND(W58&gt;=LOOKUP(G58,'Qualifying Scores'!$A$4:$A$7,'Qualifying Scores'!$I$4:$I$7),X58&gt;=LOOKUP(G58,'Qualifying Scores'!$A$10:$A$13,'Qualifying Scores'!$I$10:$I$13)),AND(AC58&gt;=LOOKUP(G58,'Qualifying Scores'!$A$4:$A$7,'Qualifying Scores'!$I$4:$I$7),AD58&gt;=LOOKUP(G58,'Qualifying Scores'!$A$10:$A$13,'Qualifying Scores'!$I$10:$I$13))),"P",""))</f>
        <v/>
      </c>
      <c r="Q58" s="1" t="str">
        <f>IF(A58&lt;5,IF(_xlfn.MAXIFS(A:A,G:G,G58)&gt;3,5-A58,_xlfn.MAXIFS(A:A,G:G,G58)+1-A58),"")</f>
        <v/>
      </c>
      <c r="R58" s="4">
        <f>MAX(T58-IF(OR(H58="N/A"),V58,0),W58-IF(OR(H58="N/A"),Y58,0),Z58-IF(OR(H58="N/A"),AB58,0),AC58-IF(OR(H58="N/A"),AE58,0))</f>
        <v>36.299999999999997</v>
      </c>
      <c r="S58" s="4">
        <f>IF(R58=T58-IF(OR(H58="N/A"),V58,0),MAX(W58-IF(OR(H58="N/A"),Y58,0),Z58-IF(OR(H58="N/A"),AB58,0),AC58-IF(OR(H58="N/A"),AE58,0)),IF(R58=W58-IF(OR(H58="N/A"),Y58,0),MAX(T58-IF(OR(H58="N/A"),V58,0),Z58-IF(OR(H58="N/A"),AB58,0),AC58-IF(OR(H58="N/A"),AE58,0)),IF(R58=Z58-IF(OR(H58="N/A"),AB58,0),MAX(T58-IF(OR(H58="N/A"),V58,0),W58-IF(OR(H58="N/A"),Y58,0),AC58-IF(OR(H58="N/A"),AE58,0)),IF(R58=AC58-IF(OR(H58="N/A"),AE58,0),MAX(T58-IF(OR(H58="N/A"),V58,0),W58-IF(OR(H58="N/A"),Y58,0),Z58-IF(OR(H58="N/A"),AB58,0)),0))))</f>
        <v>34.700000000000003</v>
      </c>
      <c r="T58" s="32">
        <v>34.200000000000003</v>
      </c>
      <c r="U58" s="37">
        <v>4</v>
      </c>
      <c r="V58" s="37">
        <v>0</v>
      </c>
      <c r="W58" s="33">
        <v>34.1</v>
      </c>
      <c r="X58" s="37">
        <v>4.9000000000000004</v>
      </c>
      <c r="Y58" s="37">
        <v>0</v>
      </c>
      <c r="Z58" s="32">
        <v>34.700000000000003</v>
      </c>
      <c r="AA58" s="37">
        <v>5.0999999999999996</v>
      </c>
      <c r="AB58" s="37">
        <v>0</v>
      </c>
      <c r="AC58" s="33">
        <v>36.299999999999997</v>
      </c>
      <c r="AD58" s="37">
        <v>5.0999999999999996</v>
      </c>
      <c r="AE58" s="37">
        <v>0</v>
      </c>
    </row>
    <row r="59" spans="1:31" x14ac:dyDescent="0.2">
      <c r="A59" s="1" t="str" cm="1">
        <f t="array" ref="A59">IF(I59="","",IF(P59&lt;&gt;"",SUMPRODUCT((P$3:P$68&lt;&gt;"")*(G$3:G$68=G59)*(J$3:J$68&gt;J59)*(I$3:I$68="P"))+1,IF(O59&lt;&gt;"",SUMPRODUCT((O$3:O$68&lt;&gt;"")*(P$3:P$68="")*(G$3:G$68=G59)*(J$3:J$68&gt;J59)*(I$3:I$68="P"))+SUMPRODUCT((P$3:P$68&lt;&gt;"")*(G$3:G$68=G59)*(I$3:I$68="P"))+1,IF(N59&lt;&gt;"",SUMPRODUCT((N$3:N$68&lt;&gt;"")*(G$3:G$68=G59)*(J$3:J$68&gt;J59)*(I$3:I$68="P"))+1,IF(M59="P",SUMPRODUCT((O$3:O$68&lt;&gt;"")*(P$3:P$68="")*(G$3:G$68=G59)*(I$3:I$68="P"))+SUMPRODUCT((P$3:P$68&lt;&gt;"")*(G$3:G$68=G59)*(I$3:I$68="P"))+SUMPRODUCT((N$3:N$68&lt;&gt;"")*(G$3:G$68=G59)*(I$3:I$68="P"))+SUMPRODUCT((P$3:P$68="")*(O$3:O$68="")*(N$3:N$68="")*(M$3:M$68="P")*(G$3:G$68=G59)*(J$3:J$68&gt;J59)*(I$3:I$68="P"))+IF(H59="L5",SUMPRODUCT((P$3:P$68="")*(O$3:O$68="")*(N$3:N$68="")*(M$3:M$68="P")*(G$3:G$68=G59)*(J$3:J$68&lt;J59)*(H$3:H$68&lt;&gt;H59)*(I$3:I$68="P")),-1*SUMPRODUCT((P$3:P$68="")*(O$3:O$68="")*(N$3:N$68="")*(M$3:M$68="P")*(G$3:G$68=G59)*(J$3:J$68&gt;J59)*(H$3:H$68="L5")*(I$3:I$68="P")))+1,"")))))</f>
        <v/>
      </c>
      <c r="B59" s="1" t="str" cm="1">
        <f t="array" ref="B59">IF(P59&lt;&gt;"",SUMPRODUCT((P$3:P$68&lt;&gt;"")*(G$3:G$68=G59)*(J$3:J$68&gt;J59))+1,IF(O59&lt;&gt;"",SUMPRODUCT((O$3:O$68&lt;&gt;"")*(P$3:P$68="")*(G$3:G$68=G59)*(J$3:J$68&gt;J59))+SUMPRODUCT((P$3:P$68&lt;&gt;"")*(G$3:G$68=G59))+1,IF(N59&lt;&gt;"",SUMPRODUCT((N$3:N$68&lt;&gt;"")*(G$3:G$68=G59)*(J$3:J$68&gt;J59))+1,IF(M59="P",SUMPRODUCT((O$3:O$68&lt;&gt;"")*(P$3:P$68="")*(G$3:G$68=G59))+SUMPRODUCT((P$3:P$68&lt;&gt;"")*(G$3:G$68=G59))+SUMPRODUCT((N$3:N$68&lt;&gt;"")*(G$3:G$68=G59))+SUMPRODUCT((P$3:P$68="")*(O$3:O$68="")*(N$3:N$68="")*(M$3:M$68="P")*(G$3:G$68=G59)*(J$3:J$68&gt;J59))+IF(H59="L5",SUMPRODUCT((P$3:P$68="")*(O$3:O$68="")*(N$3:N$68="")*(M$3:M$68="P")*(G$3:G$68=G59)*(J$3:J$68&lt;J59)*(H$3:H$68&lt;&gt;H59)),-1*SUMPRODUCT((P$3:P$68="")*(O$3:O$68="")*(N$3:N$68="")*(M$3:M$68="P")*(G$3:G$68=G59)*(J$3:J$68&gt;J59)*(H$3:H$68="L5")))+1,""))))</f>
        <v/>
      </c>
      <c r="C59" s="35" t="s">
        <v>250</v>
      </c>
      <c r="D59" t="str">
        <f>IF(E59="","",VLOOKUP(E59,'Coaching Points'!A:B,2,0))</f>
        <v>BC</v>
      </c>
      <c r="E59" s="35" t="s">
        <v>40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R59+S59+IF(OR(H59="Junior",H59="Senior"),0.0002,IF(OR(H59="L7",H59="L6"),0.0001,0))+MAX(Z59,AC59)*0.0000001</f>
        <v>70.800003170000011</v>
      </c>
      <c r="K59" s="3" t="str">
        <f>IF(G59="Not Age Eligible","",IF(MAX(T59,W59,Z59,AC59)&gt;=LOOKUP(G59,'Qualifying Scores'!$A$4:$A$7,'Qualifying Scores'!$I$4:$I$7),"P",""))</f>
        <v/>
      </c>
      <c r="L59" s="3" t="str">
        <f>IF(G59="Not Age Eligible","",IF(MAX(U59,X59,AA59,AD59)&gt;=LOOKUP(G59,'Qualifying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Scores'!$I$10:$I$13)),AND(Z59&gt;=LOOKUP(G59,'Qualifying Scores'!$A$4:$A$7,'Qualifying Scores'!$I$4:$I$7),AA59&gt;=LOOKUP(G59,'Qualifying Scores'!$A$10:$A$13,'Qualifying Scores'!$I$10:$I$13)),AND(W59&gt;=LOOKUP(G59,'Qualifying Scores'!$A$4:$A$7,'Qualifying Scores'!$I$4:$I$7),X59&gt;=LOOKUP(G59,'Qualifying Scores'!$A$10:$A$13,'Qualifying Scores'!$I$10:$I$13)),AND(AC59&gt;=LOOKUP(G59,'Qualifying Scores'!$A$4:$A$7,'Qualifying Scores'!$I$4:$I$7),AD59&gt;=LOOKUP(G59,'Qualifying Scores'!$A$10:$A$13,'Qualifying Scores'!$I$10:$I$13))),"P",""))</f>
        <v/>
      </c>
      <c r="Q59" s="1" t="str">
        <f>IF(A59&lt;5,IF(_xlfn.MAXIFS(A:A,G:G,G59)&gt;3,5-A59,_xlfn.MAXIFS(A:A,G:G,G59)+1-A59),"")</f>
        <v/>
      </c>
      <c r="R59" s="4">
        <f>MAX(T59-IF(OR(H59="N/A"),V59,0),W59-IF(OR(H59="N/A"),Y59,0),Z59-IF(OR(H59="N/A"),AB59,0),AC59-IF(OR(H59="N/A"),AE59,0))</f>
        <v>37.200000000000003</v>
      </c>
      <c r="S59" s="4">
        <f>IF(R59=T59-IF(OR(H59="N/A"),V59,0),MAX(W59-IF(OR(H59="N/A"),Y59,0),Z59-IF(OR(H59="N/A"),AB59,0),AC59-IF(OR(H59="N/A"),AE59,0)),IF(R59=W59-IF(OR(H59="N/A"),Y59,0),MAX(T59-IF(OR(H59="N/A"),V59,0),Z59-IF(OR(H59="N/A"),AB59,0),AC59-IF(OR(H59="N/A"),AE59,0)),IF(R59=Z59-IF(OR(H59="N/A"),AB59,0),MAX(T59-IF(OR(H59="N/A"),V59,0),W59-IF(OR(H59="N/A"),Y59,0),AC59-IF(OR(H59="N/A"),AE59,0)),IF(R59=AC59-IF(OR(H59="N/A"),AE59,0),MAX(T59-IF(OR(H59="N/A"),V59,0),W59-IF(OR(H59="N/A"),Y59,0),Z59-IF(OR(H59="N/A"),AB59,0)),0))))</f>
        <v>33.6</v>
      </c>
      <c r="T59" s="32">
        <v>37.200000000000003</v>
      </c>
      <c r="U59" s="37">
        <v>4.5999999999999996</v>
      </c>
      <c r="V59" s="37">
        <v>0</v>
      </c>
      <c r="W59" s="33">
        <v>33.6</v>
      </c>
      <c r="X59" s="37">
        <v>4.5999999999999996</v>
      </c>
      <c r="Y59" s="37">
        <v>0</v>
      </c>
      <c r="Z59" s="32">
        <v>31.7</v>
      </c>
      <c r="AA59" s="37">
        <v>3.8</v>
      </c>
      <c r="AB59" s="37">
        <v>0</v>
      </c>
      <c r="AC59" s="33"/>
      <c r="AD59" s="37"/>
      <c r="AE59" s="37"/>
    </row>
    <row r="60" spans="1:31" x14ac:dyDescent="0.2">
      <c r="A60" s="1" t="str" cm="1">
        <f t="array" ref="A60">IF(I60="","",IF(P60&lt;&gt;"",SUMPRODUCT((P$3:P$68&lt;&gt;"")*(G$3:G$68=G60)*(J$3:J$68&gt;J60)*(I$3:I$68="P"))+1,IF(O60&lt;&gt;"",SUMPRODUCT((O$3:O$68&lt;&gt;"")*(P$3:P$68="")*(G$3:G$68=G60)*(J$3:J$68&gt;J60)*(I$3:I$68="P"))+SUMPRODUCT((P$3:P$68&lt;&gt;"")*(G$3:G$68=G60)*(I$3:I$68="P"))+1,IF(N60&lt;&gt;"",SUMPRODUCT((N$3:N$68&lt;&gt;"")*(G$3:G$68=G60)*(J$3:J$68&gt;J60)*(I$3:I$68="P"))+1,IF(M60="P",SUMPRODUCT((O$3:O$68&lt;&gt;"")*(P$3:P$68="")*(G$3:G$68=G60)*(I$3:I$68="P"))+SUMPRODUCT((P$3:P$68&lt;&gt;"")*(G$3:G$68=G60)*(I$3:I$68="P"))+SUMPRODUCT((N$3:N$68&lt;&gt;"")*(G$3:G$68=G60)*(I$3:I$68="P"))+SUMPRODUCT((P$3:P$68="")*(O$3:O$68="")*(N$3:N$68="")*(M$3:M$68="P")*(G$3:G$68=G60)*(J$3:J$68&gt;J60)*(I$3:I$68="P"))+IF(H60="L5",SUMPRODUCT((P$3:P$68="")*(O$3:O$68="")*(N$3:N$68="")*(M$3:M$68="P")*(G$3:G$68=G60)*(J$3:J$68&lt;J60)*(H$3:H$68&lt;&gt;H60)*(I$3:I$68="P")),-1*SUMPRODUCT((P$3:P$68="")*(O$3:O$68="")*(N$3:N$68="")*(M$3:M$68="P")*(G$3:G$68=G60)*(J$3:J$68&gt;J60)*(H$3:H$68="L5")*(I$3:I$68="P")))+1,"")))))</f>
        <v/>
      </c>
      <c r="B60" s="1" t="str" cm="1">
        <f t="array" ref="B60">IF(P60&lt;&gt;"",SUMPRODUCT((P$3:P$68&lt;&gt;"")*(G$3:G$68=G60)*(J$3:J$68&gt;J60))+1,IF(O60&lt;&gt;"",SUMPRODUCT((O$3:O$68&lt;&gt;"")*(P$3:P$68="")*(G$3:G$68=G60)*(J$3:J$68&gt;J60))+SUMPRODUCT((P$3:P$68&lt;&gt;"")*(G$3:G$68=G60))+1,IF(N60&lt;&gt;"",SUMPRODUCT((N$3:N$68&lt;&gt;"")*(G$3:G$68=G60)*(J$3:J$68&gt;J60))+1,IF(M60="P",SUMPRODUCT((O$3:O$68&lt;&gt;"")*(P$3:P$68="")*(G$3:G$68=G60))+SUMPRODUCT((P$3:P$68&lt;&gt;"")*(G$3:G$68=G60))+SUMPRODUCT((N$3:N$68&lt;&gt;"")*(G$3:G$68=G60))+SUMPRODUCT((P$3:P$68="")*(O$3:O$68="")*(N$3:N$68="")*(M$3:M$68="P")*(G$3:G$68=G60)*(J$3:J$68&gt;J60))+IF(H60="L5",SUMPRODUCT((P$3:P$68="")*(O$3:O$68="")*(N$3:N$68="")*(M$3:M$68="P")*(G$3:G$68=G60)*(J$3:J$68&lt;J60)*(H$3:H$68&lt;&gt;H60)),-1*SUMPRODUCT((P$3:P$68="")*(O$3:O$68="")*(N$3:N$68="")*(M$3:M$68="P")*(G$3:G$68=G60)*(J$3:J$68&gt;J60)*(H$3:H$68="L5")))+1,""))))</f>
        <v/>
      </c>
      <c r="C60" s="35" t="s">
        <v>312</v>
      </c>
      <c r="D60" t="str">
        <f>IF(E60="","",VLOOKUP(E60,'Coaching Points'!A:B,2,0))</f>
        <v>NS</v>
      </c>
      <c r="E60" s="35" t="s">
        <v>86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>R60+S60+IF(OR(H60="Junior",H60="Senior"),0.0002,IF(OR(H60="L7",H60="L6"),0.0001,0))+MAX(Z60,AC60)*0.0000001</f>
        <v>70.500003460000002</v>
      </c>
      <c r="K60" s="3" t="str">
        <f>IF(G60="Not Age Eligible","",IF(MAX(T60,W60,Z60,AC60)&gt;=LOOKUP(G60,'Qualifying Scores'!$A$4:$A$7,'Qualifying Scores'!$I$4:$I$7),"P",""))</f>
        <v/>
      </c>
      <c r="L60" s="3" t="str">
        <f>IF(G60="Not Age Eligible","",IF(MAX(U60,X60,AA60,AD60)&gt;=LOOKUP(G60,'Qualifying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Scores'!$I$10:$I$13)),AND(Z60&gt;=LOOKUP(G60,'Qualifying Scores'!$A$4:$A$7,'Qualifying Scores'!$I$4:$I$7),AA60&gt;=LOOKUP(G60,'Qualifying Scores'!$A$10:$A$13,'Qualifying Scores'!$I$10:$I$13)),AND(W60&gt;=LOOKUP(G60,'Qualifying Scores'!$A$4:$A$7,'Qualifying Scores'!$I$4:$I$7),X60&gt;=LOOKUP(G60,'Qualifying Scores'!$A$10:$A$13,'Qualifying Scores'!$I$10:$I$13)),AND(AC60&gt;=LOOKUP(G60,'Qualifying Scores'!$A$4:$A$7,'Qualifying Scores'!$I$4:$I$7),AD60&gt;=LOOKUP(G60,'Qualifying Scores'!$A$10:$A$13,'Qualifying Scores'!$I$10:$I$13))),"P",""))</f>
        <v/>
      </c>
      <c r="Q60" s="1" t="str">
        <f>IF(A60&lt;5,IF(_xlfn.MAXIFS(A:A,G:G,G60)&gt;3,5-A60,_xlfn.MAXIFS(A:A,G:G,G60)+1-A60),"")</f>
        <v/>
      </c>
      <c r="R60" s="4">
        <f>MAX(T60-IF(OR(H60="N/A"),V60,0),W60-IF(OR(H60="N/A"),Y60,0),Z60-IF(OR(H60="N/A"),AB60,0),AC60-IF(OR(H60="N/A"),AE60,0))</f>
        <v>35.299999999999997</v>
      </c>
      <c r="S60" s="4">
        <f>IF(R60=T60-IF(OR(H60="N/A"),V60,0),MAX(W60-IF(OR(H60="N/A"),Y60,0),Z60-IF(OR(H60="N/A"),AB60,0),AC60-IF(OR(H60="N/A"),AE60,0)),IF(R60=W60-IF(OR(H60="N/A"),Y60,0),MAX(T60-IF(OR(H60="N/A"),V60,0),Z60-IF(OR(H60="N/A"),AB60,0),AC60-IF(OR(H60="N/A"),AE60,0)),IF(R60=Z60-IF(OR(H60="N/A"),AB60,0),MAX(T60-IF(OR(H60="N/A"),V60,0),W60-IF(OR(H60="N/A"),Y60,0),AC60-IF(OR(H60="N/A"),AE60,0)),IF(R60=AC60-IF(OR(H60="N/A"),AE60,0),MAX(T60-IF(OR(H60="N/A"),V60,0),W60-IF(OR(H60="N/A"),Y60,0),Z60-IF(OR(H60="N/A"),AB60,0)),0))))</f>
        <v>35.200000000000003</v>
      </c>
      <c r="T60" s="32">
        <v>35.200000000000003</v>
      </c>
      <c r="U60" s="37">
        <v>4</v>
      </c>
      <c r="V60" s="37">
        <v>0</v>
      </c>
      <c r="W60" s="33">
        <v>35.299999999999997</v>
      </c>
      <c r="X60" s="37">
        <v>4.2</v>
      </c>
      <c r="Y60" s="37">
        <v>0</v>
      </c>
      <c r="Z60" s="32">
        <v>32.799999999999997</v>
      </c>
      <c r="AA60" s="37">
        <v>3.1</v>
      </c>
      <c r="AB60" s="37">
        <v>0</v>
      </c>
      <c r="AC60" s="33">
        <v>34.6</v>
      </c>
      <c r="AD60" s="37">
        <v>3.1</v>
      </c>
      <c r="AE60" s="37">
        <v>0</v>
      </c>
    </row>
    <row r="61" spans="1:31" x14ac:dyDescent="0.2">
      <c r="A61" s="1" t="str" cm="1">
        <f t="array" ref="A61">IF(I61="","",IF(P61&lt;&gt;"",SUMPRODUCT((P$3:P$68&lt;&gt;"")*(G$3:G$68=G61)*(J$3:J$68&gt;J61)*(I$3:I$68="P"))+1,IF(O61&lt;&gt;"",SUMPRODUCT((O$3:O$68&lt;&gt;"")*(P$3:P$68="")*(G$3:G$68=G61)*(J$3:J$68&gt;J61)*(I$3:I$68="P"))+SUMPRODUCT((P$3:P$68&lt;&gt;"")*(G$3:G$68=G61)*(I$3:I$68="P"))+1,IF(N61&lt;&gt;"",SUMPRODUCT((N$3:N$68&lt;&gt;"")*(G$3:G$68=G61)*(J$3:J$68&gt;J61)*(I$3:I$68="P"))+1,IF(M61="P",SUMPRODUCT((O$3:O$68&lt;&gt;"")*(P$3:P$68="")*(G$3:G$68=G61)*(I$3:I$68="P"))+SUMPRODUCT((P$3:P$68&lt;&gt;"")*(G$3:G$68=G61)*(I$3:I$68="P"))+SUMPRODUCT((N$3:N$68&lt;&gt;"")*(G$3:G$68=G61)*(I$3:I$68="P"))+SUMPRODUCT((P$3:P$68="")*(O$3:O$68="")*(N$3:N$68="")*(M$3:M$68="P")*(G$3:G$68=G61)*(J$3:J$68&gt;J61)*(I$3:I$68="P"))+IF(H61="L5",SUMPRODUCT((P$3:P$68="")*(O$3:O$68="")*(N$3:N$68="")*(M$3:M$68="P")*(G$3:G$68=G61)*(J$3:J$68&lt;J61)*(H$3:H$68&lt;&gt;H61)*(I$3:I$68="P")),-1*SUMPRODUCT((P$3:P$68="")*(O$3:O$68="")*(N$3:N$68="")*(M$3:M$68="P")*(G$3:G$68=G61)*(J$3:J$68&gt;J61)*(H$3:H$68="L5")*(I$3:I$68="P")))+1,"")))))</f>
        <v/>
      </c>
      <c r="B61" s="1" t="str" cm="1">
        <f t="array" ref="B61">IF(P61&lt;&gt;"",SUMPRODUCT((P$3:P$68&lt;&gt;"")*(G$3:G$68=G61)*(J$3:J$68&gt;J61))+1,IF(O61&lt;&gt;"",SUMPRODUCT((O$3:O$68&lt;&gt;"")*(P$3:P$68="")*(G$3:G$68=G61)*(J$3:J$68&gt;J61))+SUMPRODUCT((P$3:P$68&lt;&gt;"")*(G$3:G$68=G61))+1,IF(N61&lt;&gt;"",SUMPRODUCT((N$3:N$68&lt;&gt;"")*(G$3:G$68=G61)*(J$3:J$68&gt;J61))+1,IF(M61="P",SUMPRODUCT((O$3:O$68&lt;&gt;"")*(P$3:P$68="")*(G$3:G$68=G61))+SUMPRODUCT((P$3:P$68&lt;&gt;"")*(G$3:G$68=G61))+SUMPRODUCT((N$3:N$68&lt;&gt;"")*(G$3:G$68=G61))+SUMPRODUCT((P$3:P$68="")*(O$3:O$68="")*(N$3:N$68="")*(M$3:M$68="P")*(G$3:G$68=G61)*(J$3:J$68&gt;J61))+IF(H61="L5",SUMPRODUCT((P$3:P$68="")*(O$3:O$68="")*(N$3:N$68="")*(M$3:M$68="P")*(G$3:G$68=G61)*(J$3:J$68&lt;J61)*(H$3:H$68&lt;&gt;H61)),-1*SUMPRODUCT((P$3:P$68="")*(O$3:O$68="")*(N$3:N$68="")*(M$3:M$68="P")*(G$3:G$68=G61)*(J$3:J$68&gt;J61)*(H$3:H$68="L5")))+1,""))))</f>
        <v/>
      </c>
      <c r="C61" s="35" t="s">
        <v>311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R61+S61+IF(OR(H61="Junior",H61="Senior"),0.0002,IF(OR(H61="L7",H61="L6"),0.0001,0))+MAX(Z61,AC61)*0.0000001</f>
        <v>70.400000000000006</v>
      </c>
      <c r="K61" s="3" t="str">
        <f>IF(G61="Not Age Eligible","",IF(MAX(T61,W61,Z61,AC61)&gt;=LOOKUP(G61,'Qualifying Scores'!$A$4:$A$7,'Qualifying Scores'!$I$4:$I$7),"P",""))</f>
        <v/>
      </c>
      <c r="L61" s="3" t="str">
        <f>IF(G61="Not Age Eligible","",IF(MAX(U61,X61,AA61,AD61)&gt;=LOOKUP(G61,'Qualifying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Scores'!$I$10:$I$13)),AND(Z61&gt;=LOOKUP(G61,'Qualifying Scores'!$A$4:$A$7,'Qualifying Scores'!$I$4:$I$7),AA61&gt;=LOOKUP(G61,'Qualifying Scores'!$A$10:$A$13,'Qualifying Scores'!$I$10:$I$13)),AND(W61&gt;=LOOKUP(G61,'Qualifying Scores'!$A$4:$A$7,'Qualifying Scores'!$I$4:$I$7),X61&gt;=LOOKUP(G61,'Qualifying Scores'!$A$10:$A$13,'Qualifying Scores'!$I$10:$I$13)),AND(AC61&gt;=LOOKUP(G61,'Qualifying Scores'!$A$4:$A$7,'Qualifying Scores'!$I$4:$I$7),AD61&gt;=LOOKUP(G61,'Qualifying Scores'!$A$10:$A$13,'Qualifying Scores'!$I$10:$I$13))),"P",""))</f>
        <v/>
      </c>
      <c r="Q61" s="1" t="str">
        <f>IF(A61&lt;5,IF(_xlfn.MAXIFS(A:A,G:G,G61)&gt;3,5-A61,_xlfn.MAXIFS(A:A,G:G,G61)+1-A61),"")</f>
        <v/>
      </c>
      <c r="R61" s="4">
        <f>MAX(T61-IF(OR(H61="N/A"),V61,0),W61-IF(OR(H61="N/A"),Y61,0),Z61-IF(OR(H61="N/A"),AB61,0),AC61-IF(OR(H61="N/A"),AE61,0))</f>
        <v>35.6</v>
      </c>
      <c r="S61" s="4">
        <f>IF(R61=T61-IF(OR(H61="N/A"),V61,0),MAX(W61-IF(OR(H61="N/A"),Y61,0),Z61-IF(OR(H61="N/A"),AB61,0),AC61-IF(OR(H61="N/A"),AE61,0)),IF(R61=W61-IF(OR(H61="N/A"),Y61,0),MAX(T61-IF(OR(H61="N/A"),V61,0),Z61-IF(OR(H61="N/A"),AB61,0),AC61-IF(OR(H61="N/A"),AE61,0)),IF(R61=Z61-IF(OR(H61="N/A"),AB61,0),MAX(T61-IF(OR(H61="N/A"),V61,0),W61-IF(OR(H61="N/A"),Y61,0),AC61-IF(OR(H61="N/A"),AE61,0)),IF(R61=AC61-IF(OR(H61="N/A"),AE61,0),MAX(T61-IF(OR(H61="N/A"),V61,0),W61-IF(OR(H61="N/A"),Y61,0),Z61-IF(OR(H61="N/A"),AB61,0)),0))))</f>
        <v>34.799999999999997</v>
      </c>
      <c r="T61" s="32">
        <v>34.799999999999997</v>
      </c>
      <c r="U61" s="37">
        <v>5.0999999999999996</v>
      </c>
      <c r="V61" s="37">
        <v>0</v>
      </c>
      <c r="W61" s="33">
        <v>35.6</v>
      </c>
      <c r="X61" s="37">
        <v>5.0999999999999996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$68&lt;&gt;"")*(G$3:G$68=G62)*(J$3:J$68&gt;J62)*(I$3:I$68="P"))+1,IF(O62&lt;&gt;"",SUMPRODUCT((O$3:O$68&lt;&gt;"")*(P$3:P$68="")*(G$3:G$68=G62)*(J$3:J$68&gt;J62)*(I$3:I$68="P"))+SUMPRODUCT((P$3:P$68&lt;&gt;"")*(G$3:G$68=G62)*(I$3:I$68="P"))+1,IF(N62&lt;&gt;"",SUMPRODUCT((N$3:N$68&lt;&gt;"")*(G$3:G$68=G62)*(J$3:J$68&gt;J62)*(I$3:I$68="P"))+1,IF(M62="P",SUMPRODUCT((O$3:O$68&lt;&gt;"")*(P$3:P$68="")*(G$3:G$68=G62)*(I$3:I$68="P"))+SUMPRODUCT((P$3:P$68&lt;&gt;"")*(G$3:G$68=G62)*(I$3:I$68="P"))+SUMPRODUCT((N$3:N$68&lt;&gt;"")*(G$3:G$68=G62)*(I$3:I$68="P"))+SUMPRODUCT((P$3:P$68="")*(O$3:O$68="")*(N$3:N$68="")*(M$3:M$68="P")*(G$3:G$68=G62)*(J$3:J$68&gt;J62)*(I$3:I$68="P"))+IF(H62="L5",SUMPRODUCT((P$3:P$68="")*(O$3:O$68="")*(N$3:N$68="")*(M$3:M$68="P")*(G$3:G$68=G62)*(J$3:J$68&lt;J62)*(H$3:H$68&lt;&gt;H62)*(I$3:I$68="P")),-1*SUMPRODUCT((P$3:P$68="")*(O$3:O$68="")*(N$3:N$68="")*(M$3:M$68="P")*(G$3:G$68=G62)*(J$3:J$68&gt;J62)*(H$3:H$68="L5")*(I$3:I$68="P")))+1,"")))))</f>
        <v/>
      </c>
      <c r="B62" s="1" t="str" cm="1">
        <f t="array" ref="B62">IF(P62&lt;&gt;"",SUMPRODUCT((P$3:P$68&lt;&gt;"")*(G$3:G$68=G62)*(J$3:J$68&gt;J62))+1,IF(O62&lt;&gt;"",SUMPRODUCT((O$3:O$68&lt;&gt;"")*(P$3:P$68="")*(G$3:G$68=G62)*(J$3:J$68&gt;J62))+SUMPRODUCT((P$3:P$68&lt;&gt;"")*(G$3:G$68=G62))+1,IF(N62&lt;&gt;"",SUMPRODUCT((N$3:N$68&lt;&gt;"")*(G$3:G$68=G62)*(J$3:J$68&gt;J62))+1,IF(M62="P",SUMPRODUCT((O$3:O$68&lt;&gt;"")*(P$3:P$68="")*(G$3:G$68=G62))+SUMPRODUCT((P$3:P$68&lt;&gt;"")*(G$3:G$68=G62))+SUMPRODUCT((N$3:N$68&lt;&gt;"")*(G$3:G$68=G62))+SUMPRODUCT((P$3:P$68="")*(O$3:O$68="")*(N$3:N$68="")*(M$3:M$68="P")*(G$3:G$68=G62)*(J$3:J$68&gt;J62))+IF(H62="L5",SUMPRODUCT((P$3:P$68="")*(O$3:O$68="")*(N$3:N$68="")*(M$3:M$68="P")*(G$3:G$68=G62)*(J$3:J$68&lt;J62)*(H$3:H$68&lt;&gt;H62)),-1*SUMPRODUCT((P$3:P$68="")*(O$3:O$68="")*(N$3:N$68="")*(M$3:M$68="P")*(G$3:G$68=G62)*(J$3:J$68&gt;J62)*(H$3:H$68="L5")))+1,""))))</f>
        <v/>
      </c>
      <c r="C62" s="35" t="s">
        <v>463</v>
      </c>
      <c r="D62" t="str">
        <f>IF(E62="","",VLOOKUP(E62,'Coaching Points'!A:B,2,0))</f>
        <v>ON</v>
      </c>
      <c r="E62" s="35" t="s">
        <v>150</v>
      </c>
      <c r="F62" s="34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>R62+S62+IF(OR(H62="Junior",H62="Senior"),0.0002,IF(OR(H62="L7",H62="L6"),0.0001,0))+MAX(Z62,AC62)*0.0000001</f>
        <v>31.30000313</v>
      </c>
      <c r="K62" s="3" t="str">
        <f>IF(G62="Not Age Eligible","",IF(MAX(T62,W62,Z62,AC62)&gt;=LOOKUP(G62,'Qualifying Scores'!$A$4:$A$7,'Qualifying Scores'!$I$4:$I$7),"P",""))</f>
        <v/>
      </c>
      <c r="L62" s="3" t="str">
        <f>IF(G62="Not Age Eligible","",IF(MAX(U62,X62,AA62,AD62)&gt;=LOOKUP(G62,'Qualifying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Scores'!$I$10:$I$13)),AND(Z62&gt;=LOOKUP(G62,'Qualifying Scores'!$A$4:$A$7,'Qualifying Scores'!$I$4:$I$7),AA62&gt;=LOOKUP(G62,'Qualifying Scores'!$A$10:$A$13,'Qualifying Scores'!$I$10:$I$13)),AND(W62&gt;=LOOKUP(G62,'Qualifying Scores'!$A$4:$A$7,'Qualifying Scores'!$I$4:$I$7),X62&gt;=LOOKUP(G62,'Qualifying Scores'!$A$10:$A$13,'Qualifying Scores'!$I$10:$I$13)),AND(AC62&gt;=LOOKUP(G62,'Qualifying Scores'!$A$4:$A$7,'Qualifying Scores'!$I$4:$I$7),AD62&gt;=LOOKUP(G62,'Qualifying Scores'!$A$10:$A$13,'Qualifying Scores'!$I$10:$I$13))),"P",""))</f>
        <v/>
      </c>
      <c r="Q62" s="1" t="str">
        <f>IF(A62&lt;5,IF(_xlfn.MAXIFS(A:A,G:G,G62)&gt;3,5-A62,_xlfn.MAXIFS(A:A,G:G,G62)+1-A62),"")</f>
        <v/>
      </c>
      <c r="R62" s="4">
        <f>MAX(T62-IF(OR(H62="N/A"),V62,0),W62-IF(OR(H62="N/A"),Y62,0),Z62-IF(OR(H62="N/A"),AB62,0),AC62-IF(OR(H62="N/A"),AE62,0))</f>
        <v>31.3</v>
      </c>
      <c r="S62" s="4">
        <f>IF(R62=T62-IF(OR(H62="N/A"),V62,0),MAX(W62-IF(OR(H62="N/A"),Y62,0),Z62-IF(OR(H62="N/A"),AB62,0),AC62-IF(OR(H62="N/A"),AE62,0)),IF(R62=W62-IF(OR(H62="N/A"),Y62,0),MAX(T62-IF(OR(H62="N/A"),V62,0),Z62-IF(OR(H62="N/A"),AB62,0),AC62-IF(OR(H62="N/A"),AE62,0)),IF(R62=Z62-IF(OR(H62="N/A"),AB62,0),MAX(T62-IF(OR(H62="N/A"),V62,0),W62-IF(OR(H62="N/A"),Y62,0),AC62-IF(OR(H62="N/A"),AE62,0)),IF(R62=AC62-IF(OR(H62="N/A"),AE62,0),MAX(T62-IF(OR(H62="N/A"),V62,0),W62-IF(OR(H62="N/A"),Y62,0),Z62-IF(OR(H62="N/A"),AB62,0)),0))))</f>
        <v>0</v>
      </c>
      <c r="T62" s="32"/>
      <c r="U62" s="37"/>
      <c r="V62" s="37">
        <v>0</v>
      </c>
      <c r="W62" s="33"/>
      <c r="X62" s="37"/>
      <c r="Y62" s="37"/>
      <c r="Z62" s="32">
        <v>31.3</v>
      </c>
      <c r="AA62" s="37">
        <v>2.4</v>
      </c>
      <c r="AB62" s="37">
        <v>0</v>
      </c>
      <c r="AC62" s="33"/>
      <c r="AD62" s="37"/>
      <c r="AE62" s="37"/>
    </row>
    <row r="63" spans="1:31" x14ac:dyDescent="0.2">
      <c r="A63" s="1" t="str" cm="1">
        <f t="array" ref="A63">IF(I63="","",IF(P63&lt;&gt;"",SUMPRODUCT((P$3:P$68&lt;&gt;"")*(G$3:G$68=G63)*(J$3:J$68&gt;J63)*(I$3:I$68="P"))+1,IF(O63&lt;&gt;"",SUMPRODUCT((O$3:O$68&lt;&gt;"")*(P$3:P$68="")*(G$3:G$68=G63)*(J$3:J$68&gt;J63)*(I$3:I$68="P"))+SUMPRODUCT((P$3:P$68&lt;&gt;"")*(G$3:G$68=G63)*(I$3:I$68="P"))+1,IF(N63&lt;&gt;"",SUMPRODUCT((N$3:N$68&lt;&gt;"")*(G$3:G$68=G63)*(J$3:J$68&gt;J63)*(I$3:I$68="P"))+1,IF(M63="P",SUMPRODUCT((O$3:O$68&lt;&gt;"")*(P$3:P$68="")*(G$3:G$68=G63)*(I$3:I$68="P"))+SUMPRODUCT((P$3:P$68&lt;&gt;"")*(G$3:G$68=G63)*(I$3:I$68="P"))+SUMPRODUCT((N$3:N$68&lt;&gt;"")*(G$3:G$68=G63)*(I$3:I$68="P"))+SUMPRODUCT((P$3:P$68="")*(O$3:O$68="")*(N$3:N$68="")*(M$3:M$68="P")*(G$3:G$68=G63)*(J$3:J$68&gt;J63)*(I$3:I$68="P"))+IF(H63="L5",SUMPRODUCT((P$3:P$68="")*(O$3:O$68="")*(N$3:N$68="")*(M$3:M$68="P")*(G$3:G$68=G63)*(J$3:J$68&lt;J63)*(H$3:H$68&lt;&gt;H63)*(I$3:I$68="P")),-1*SUMPRODUCT((P$3:P$68="")*(O$3:O$68="")*(N$3:N$68="")*(M$3:M$68="P")*(G$3:G$68=G63)*(J$3:J$68&gt;J63)*(H$3:H$68="L5")*(I$3:I$68="P")))+1,"")))))</f>
        <v/>
      </c>
      <c r="B63" s="1" t="str" cm="1">
        <f t="array" ref="B63">IF(P63&lt;&gt;"",SUMPRODUCT((P$3:P$68&lt;&gt;"")*(G$3:G$68=G63)*(J$3:J$68&gt;J63))+1,IF(O63&lt;&gt;"",SUMPRODUCT((O$3:O$68&lt;&gt;"")*(P$3:P$68="")*(G$3:G$68=G63)*(J$3:J$68&gt;J63))+SUMPRODUCT((P$3:P$68&lt;&gt;"")*(G$3:G$68=G63))+1,IF(N63&lt;&gt;"",SUMPRODUCT((N$3:N$68&lt;&gt;"")*(G$3:G$68=G63)*(J$3:J$68&gt;J63))+1,IF(M63="P",SUMPRODUCT((O$3:O$68&lt;&gt;"")*(P$3:P$68="")*(G$3:G$68=G63))+SUMPRODUCT((P$3:P$68&lt;&gt;"")*(G$3:G$68=G63))+SUMPRODUCT((N$3:N$68&lt;&gt;"")*(G$3:G$68=G63))+SUMPRODUCT((P$3:P$68="")*(O$3:O$68="")*(N$3:N$68="")*(M$3:M$68="P")*(G$3:G$68=G63)*(J$3:J$68&gt;J63))+IF(H63="L5",SUMPRODUCT((P$3:P$68="")*(O$3:O$68="")*(N$3:N$68="")*(M$3:M$68="P")*(G$3:G$68=G63)*(J$3:J$68&lt;J63)*(H$3:H$68&lt;&gt;H63)),-1*SUMPRODUCT((P$3:P$68="")*(O$3:O$68="")*(N$3:N$68="")*(M$3:M$68="P")*(G$3:G$68=G63)*(J$3:J$68&gt;J63)*(H$3:H$68="L5")))+1,""))))</f>
        <v/>
      </c>
      <c r="C63" s="35" t="s">
        <v>313</v>
      </c>
      <c r="D63" t="str">
        <f>IF(E63="","",VLOOKUP(E63,'Coaching Points'!A:B,2,0))</f>
        <v>BC</v>
      </c>
      <c r="E63" s="35" t="s">
        <v>40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30.8</v>
      </c>
      <c r="K63" s="3" t="str">
        <f>IF(G63="Not Age Eligible","",IF(MAX(T63,W63,Z63,AC63)&gt;=LOOKUP(G63,'Qualifying Scores'!$A$4:$A$7,'Qualifying Scores'!$I$4:$I$7),"P",""))</f>
        <v/>
      </c>
      <c r="L63" s="3" t="str">
        <f>IF(G63="Not Age Eligible","",IF(MAX(U63,X63,AA63,AD63)&gt;=LOOKUP(G63,'Qualifying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Scores'!$I$10:$I$13)),AND(Z63&gt;=LOOKUP(G63,'Qualifying Scores'!$A$4:$A$7,'Qualifying Scores'!$I$4:$I$7),AA63&gt;=LOOKUP(G63,'Qualifying Scores'!$A$10:$A$13,'Qualifying Scores'!$I$10:$I$13)),AND(W63&gt;=LOOKUP(G63,'Qualifying Scores'!$A$4:$A$7,'Qualifying Scores'!$I$4:$I$7),X63&gt;=LOOKUP(G63,'Qualifying Scores'!$A$10:$A$13,'Qualifying Scores'!$I$10:$I$13)),AND(AC63&gt;=LOOKUP(G63,'Qualifying Scores'!$A$4:$A$7,'Qualifying Scores'!$I$4:$I$7),AD63&gt;=LOOKUP(G63,'Qualifying Scores'!$A$10:$A$13,'Qualifying Scores'!$I$10:$I$13))),"P",""))</f>
        <v/>
      </c>
      <c r="Q63" s="1" t="str">
        <f>IF(A63&lt;5,IF(_xlfn.MAXIFS(A:A,G:G,G63)&gt;3,5-A63,_xlfn.MAXIFS(A:A,G:G,G63)+1-A63),"")</f>
        <v/>
      </c>
      <c r="R63" s="4">
        <f>MAX(T63-IF(OR(H63="N/A"),V63,0),W63-IF(OR(H63="N/A"),Y63,0),Z63-IF(OR(H63="N/A"),AB63,0),AC63-IF(OR(H63="N/A"),AE63,0))</f>
        <v>30.8</v>
      </c>
      <c r="S63" s="4">
        <f>IF(R63=T63-IF(OR(H63="N/A"),V63,0),MAX(W63-IF(OR(H63="N/A"),Y63,0),Z63-IF(OR(H63="N/A"),AB63,0),AC63-IF(OR(H63="N/A"),AE63,0)),IF(R63=W63-IF(OR(H63="N/A"),Y63,0),MAX(T63-IF(OR(H63="N/A"),V63,0),Z63-IF(OR(H63="N/A"),AB63,0),AC63-IF(OR(H63="N/A"),AE63,0)),IF(R63=Z63-IF(OR(H63="N/A"),AB63,0),MAX(T63-IF(OR(H63="N/A"),V63,0),W63-IF(OR(H63="N/A"),Y63,0),AC63-IF(OR(H63="N/A"),AE63,0)),IF(R63=AC63-IF(OR(H63="N/A"),AE63,0),MAX(T63-IF(OR(H63="N/A"),V63,0),W63-IF(OR(H63="N/A"),Y63,0),Z63-IF(OR(H63="N/A"),AB63,0)),0))))</f>
        <v>0</v>
      </c>
      <c r="T63" s="32">
        <v>30.8</v>
      </c>
      <c r="U63" s="37">
        <v>3.7</v>
      </c>
      <c r="V63" s="37">
        <v>0</v>
      </c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$68&lt;&gt;"")*(G$3:G$68=G64)*(J$3:J$68&gt;J64)*(I$3:I$68="P"))+1,IF(O64&lt;&gt;"",SUMPRODUCT((O$3:O$68&lt;&gt;"")*(P$3:P$68="")*(G$3:G$68=G64)*(J$3:J$68&gt;J64)*(I$3:I$68="P"))+SUMPRODUCT((P$3:P$68&lt;&gt;"")*(G$3:G$68=G64)*(I$3:I$68="P"))+1,IF(N64&lt;&gt;"",SUMPRODUCT((N$3:N$68&lt;&gt;"")*(G$3:G$68=G64)*(J$3:J$68&gt;J64)*(I$3:I$68="P"))+1,IF(M64="P",SUMPRODUCT((O$3:O$68&lt;&gt;"")*(P$3:P$68="")*(G$3:G$68=G64)*(I$3:I$68="P"))+SUMPRODUCT((P$3:P$68&lt;&gt;"")*(G$3:G$68=G64)*(I$3:I$68="P"))+SUMPRODUCT((N$3:N$68&lt;&gt;"")*(G$3:G$68=G64)*(I$3:I$68="P"))+SUMPRODUCT((P$3:P$68="")*(O$3:O$68="")*(N$3:N$68="")*(M$3:M$68="P")*(G$3:G$68=G64)*(J$3:J$68&gt;J64)*(I$3:I$68="P"))+IF(H64="L5",SUMPRODUCT((P$3:P$68="")*(O$3:O$68="")*(N$3:N$68="")*(M$3:M$68="P")*(G$3:G$68=G64)*(J$3:J$68&lt;J64)*(H$3:H$68&lt;&gt;H64)*(I$3:I$68="P")),-1*SUMPRODUCT((P$3:P$68="")*(O$3:O$68="")*(N$3:N$68="")*(M$3:M$68="P")*(G$3:G$68=G64)*(J$3:J$68&gt;J64)*(H$3:H$68="L5")*(I$3:I$68="P")))+1,"")))))</f>
        <v/>
      </c>
      <c r="B64" s="1" cm="1">
        <f t="array" ref="B64">IF(P64&lt;&gt;"",SUMPRODUCT((P$3:P$68&lt;&gt;"")*(G$3:G$68=G64)*(J$3:J$68&gt;J64))+1,IF(O64&lt;&gt;"",SUMPRODUCT((O$3:O$68&lt;&gt;"")*(P$3:P$68="")*(G$3:G$68=G64)*(J$3:J$68&gt;J64))+SUMPRODUCT((P$3:P$68&lt;&gt;"")*(G$3:G$68=G64))+1,IF(N64&lt;&gt;"",SUMPRODUCT((N$3:N$68&lt;&gt;"")*(G$3:G$68=G64)*(J$3:J$68&gt;J64))+1,IF(M64="P",SUMPRODUCT((O$3:O$68&lt;&gt;"")*(P$3:P$68="")*(G$3:G$68=G64))+SUMPRODUCT((P$3:P$68&lt;&gt;"")*(G$3:G$68=G64))+SUMPRODUCT((N$3:N$68&lt;&gt;"")*(G$3:G$68=G64))+SUMPRODUCT((P$3:P$68="")*(O$3:O$68="")*(N$3:N$68="")*(M$3:M$68="P")*(G$3:G$68=G64)*(J$3:J$68&gt;J64))+IF(H64="L5",SUMPRODUCT((P$3:P$68="")*(O$3:O$68="")*(N$3:N$68="")*(M$3:M$68="P")*(G$3:G$68=G64)*(J$3:J$68&lt;J64)*(H$3:H$68&lt;&gt;H64)),-1*SUMPRODUCT((P$3:P$68="")*(O$3:O$68="")*(N$3:N$68="")*(M$3:M$68="P")*(G$3:G$68=G64)*(J$3:J$68&gt;J64)*(H$3:H$68="L5")))+1,""))))</f>
        <v>1</v>
      </c>
      <c r="C64" s="35" t="s">
        <v>346</v>
      </c>
      <c r="D64" t="str">
        <f>IF(E64="","",VLOOKUP(E64,'Coaching Points'!A:B,2,0))</f>
        <v>AB</v>
      </c>
      <c r="E64" s="35" t="s">
        <v>56</v>
      </c>
      <c r="F64" s="34">
        <v>2011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211</v>
      </c>
      <c r="I64" s="40"/>
      <c r="J64" s="4">
        <f>R64+S64+IF(OR(H64="Junior",H64="Senior"),0.0002,IF(OR(H64="L7",H64="L6"),0.0001,0))+MAX(Z64,AC64)*0.0000001</f>
        <v>79.600204079999997</v>
      </c>
      <c r="K64" s="3" t="str">
        <f>IF(G64="Not Age Eligible","",IF(MAX(T64,W64,Z64,AC64)&gt;=LOOKUP(G64,'Qualifying Scores'!$A$4:$A$7,'Qualifying Scores'!$I$4:$I$7),"P",""))</f>
        <v>P</v>
      </c>
      <c r="L64" s="3" t="str">
        <f>IF(G64="Not Age Eligible","",IF(MAX(U64,X64,AA64,AD64)&gt;=LOOKUP(G64,'Qualifying Scores'!$A$10:$A$13,'Qualifying Scores'!$I$10:$I$13),"P",""))</f>
        <v>P</v>
      </c>
      <c r="M64" s="3" t="str">
        <f>IF(G64="Not Age Eligible","",IF(OR(AND(T64&gt;=LOOKUP(G64,'Qualifying Scores'!$A$4:$A$7,'Qualifying Scores'!$I$4:$I$7),U64&gt;=LOOKUP(G64,'Qualifying Scores'!$A$10:$A$13,'Qualifying Scores'!$I$10:$I$13)),AND(Z64&gt;=LOOKUP(G64,'Qualifying Scores'!$A$4:$A$7,'Qualifying Scores'!$I$4:$I$7),AA64&gt;=LOOKUP(G64,'Qualifying Scores'!$A$10:$A$13,'Qualifying Scores'!$I$10:$I$13)),AND(W64&gt;=LOOKUP(G64,'Qualifying Scores'!$A$4:$A$7,'Qualifying Scores'!$I$4:$I$7),X64&gt;=LOOKUP(G64,'Qualifying Scores'!$A$10:$A$13,'Qualifying Scores'!$I$10:$I$13)),AND(AC64&gt;=LOOKUP(G64,'Qualifying Scores'!$A$4:$A$7,'Qualifying Scores'!$I$4:$I$7),AD64&gt;=LOOKUP(G64,'Qualifying Scores'!$A$10:$A$13,'Qualifying Scores'!$I$10:$I$13))),"P",""))</f>
        <v>P</v>
      </c>
      <c r="Q64" s="1" t="str">
        <f>IF(A64&lt;5,IF(_xlfn.MAXIFS(A:A,G:G,G64)&gt;3,5-A64,_xlfn.MAXIFS(A:A,G:G,G64)+1-A64),"")</f>
        <v/>
      </c>
      <c r="R64" s="4">
        <f>MAX(T64-IF(OR(H64="N/A"),V64,0),W64-IF(OR(H64="N/A"),Y64,0),Z64-IF(OR(H64="N/A"),AB64,0),AC64-IF(OR(H64="N/A"),AE64,0))</f>
        <v>40.799999999999997</v>
      </c>
      <c r="S64" s="4">
        <f>IF(R64=T64-IF(OR(H64="N/A"),V64,0),MAX(W64-IF(OR(H64="N/A"),Y64,0),Z64-IF(OR(H64="N/A"),AB64,0),AC64-IF(OR(H64="N/A"),AE64,0)),IF(R64=W64-IF(OR(H64="N/A"),Y64,0),MAX(T64-IF(OR(H64="N/A"),V64,0),Z64-IF(OR(H64="N/A"),AB64,0),AC64-IF(OR(H64="N/A"),AE64,0)),IF(R64=Z64-IF(OR(H64="N/A"),AB64,0),MAX(T64-IF(OR(H64="N/A"),V64,0),W64-IF(OR(H64="N/A"),Y64,0),AC64-IF(OR(H64="N/A"),AE64,0)),IF(R64=AC64-IF(OR(H64="N/A"),AE64,0),MAX(T64-IF(OR(H64="N/A"),V64,0),W64-IF(OR(H64="N/A"),Y64,0),Z64-IF(OR(H64="N/A"),AB64,0)),0))))</f>
        <v>38.799999999999997</v>
      </c>
      <c r="T64" s="32"/>
      <c r="U64" s="37"/>
      <c r="V64" s="37">
        <v>0</v>
      </c>
      <c r="W64" s="33"/>
      <c r="X64" s="37"/>
      <c r="Y64" s="37"/>
      <c r="Z64" s="32">
        <v>38.799999999999997</v>
      </c>
      <c r="AA64" s="37">
        <v>7.3</v>
      </c>
      <c r="AB64" s="37">
        <v>0</v>
      </c>
      <c r="AC64" s="33">
        <v>40.799999999999997</v>
      </c>
      <c r="AD64" s="37">
        <v>7.3</v>
      </c>
      <c r="AE64" s="37">
        <v>0</v>
      </c>
    </row>
    <row r="65" spans="1:31" x14ac:dyDescent="0.2">
      <c r="A65" s="1" t="str" cm="1">
        <f t="array" ref="A65">IF(I65="","",IF(P65&lt;&gt;"",SUMPRODUCT((P$3:P$68&lt;&gt;"")*(G$3:G$68=G65)*(J$3:J$68&gt;J65)*(I$3:I$68="P"))+1,IF(O65&lt;&gt;"",SUMPRODUCT((O$3:O$68&lt;&gt;"")*(P$3:P$68="")*(G$3:G$68=G65)*(J$3:J$68&gt;J65)*(I$3:I$68="P"))+SUMPRODUCT((P$3:P$68&lt;&gt;"")*(G$3:G$68=G65)*(I$3:I$68="P"))+1,IF(N65&lt;&gt;"",SUMPRODUCT((N$3:N$68&lt;&gt;"")*(G$3:G$68=G65)*(J$3:J$68&gt;J65)*(I$3:I$68="P"))+1,IF(M65="P",SUMPRODUCT((O$3:O$68&lt;&gt;"")*(P$3:P$68="")*(G$3:G$68=G65)*(I$3:I$68="P"))+SUMPRODUCT((P$3:P$68&lt;&gt;"")*(G$3:G$68=G65)*(I$3:I$68="P"))+SUMPRODUCT((N$3:N$68&lt;&gt;"")*(G$3:G$68=G65)*(I$3:I$68="P"))+SUMPRODUCT((P$3:P$68="")*(O$3:O$68="")*(N$3:N$68="")*(M$3:M$68="P")*(G$3:G$68=G65)*(J$3:J$68&gt;J65)*(I$3:I$68="P"))+IF(H65="L5",SUMPRODUCT((P$3:P$68="")*(O$3:O$68="")*(N$3:N$68="")*(M$3:M$68="P")*(G$3:G$68=G65)*(J$3:J$68&lt;J65)*(H$3:H$68&lt;&gt;H65)*(I$3:I$68="P")),-1*SUMPRODUCT((P$3:P$68="")*(O$3:O$68="")*(N$3:N$68="")*(M$3:M$68="P")*(G$3:G$68=G65)*(J$3:J$68&gt;J65)*(H$3:H$68="L5")*(I$3:I$68="P")))+1,"")))))</f>
        <v/>
      </c>
      <c r="B65" s="1" t="str" cm="1">
        <f t="array" ref="B65">IF(P65&lt;&gt;"",SUMPRODUCT((P$3:P$68&lt;&gt;"")*(G$3:G$68=G65)*(J$3:J$68&gt;J65))+1,IF(O65&lt;&gt;"",SUMPRODUCT((O$3:O$68&lt;&gt;"")*(P$3:P$68="")*(G$3:G$68=G65)*(J$3:J$68&gt;J65))+SUMPRODUCT((P$3:P$68&lt;&gt;"")*(G$3:G$68=G65))+1,IF(N65&lt;&gt;"",SUMPRODUCT((N$3:N$68&lt;&gt;"")*(G$3:G$68=G65)*(J$3:J$68&gt;J65))+1,IF(M65="P",SUMPRODUCT((O$3:O$68&lt;&gt;"")*(P$3:P$68="")*(G$3:G$68=G65))+SUMPRODUCT((P$3:P$68&lt;&gt;"")*(G$3:G$68=G65))+SUMPRODUCT((N$3:N$68&lt;&gt;"")*(G$3:G$68=G65))+SUMPRODUCT((P$3:P$68="")*(O$3:O$68="")*(N$3:N$68="")*(M$3:M$68="P")*(G$3:G$68=G65)*(J$3:J$68&gt;J65))+IF(H65="L5",SUMPRODUCT((P$3:P$68="")*(O$3:O$68="")*(N$3:N$68="")*(M$3:M$68="P")*(G$3:G$68=G65)*(J$3:J$68&lt;J65)*(H$3:H$68&lt;&gt;H65)),-1*SUMPRODUCT((P$3:P$68="")*(O$3:O$68="")*(N$3:N$68="")*(M$3:M$68="P")*(G$3:G$68=G65)*(J$3:J$68&gt;J65)*(H$3:H$68="L5")))+1,""))))</f>
        <v/>
      </c>
      <c r="C65" s="35" t="s">
        <v>458</v>
      </c>
      <c r="D65" t="str">
        <f>IF(E65="","",VLOOKUP(E65,'Coaching Points'!A:B,2,0))</f>
        <v>NS</v>
      </c>
      <c r="E65" s="35" t="s">
        <v>86</v>
      </c>
      <c r="F65" s="34">
        <v>2012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214</v>
      </c>
      <c r="I65" s="40"/>
      <c r="J65" s="4">
        <f>R65+S65+IF(OR(H65="Junior",H65="Senior"),0.0002,IF(OR(H65="L7",H65="L6"),0.0001,0))+MAX(Z65,AC65)*0.0000001</f>
        <v>72.80000373</v>
      </c>
      <c r="K65" s="3" t="str">
        <f>IF(G65="Not Age Eligible","",IF(MAX(T65,W65,Z65,AC65)&gt;=LOOKUP(G65,'Qualifying Scores'!$A$4:$A$7,'Qualifying Scores'!$I$4:$I$7),"P",""))</f>
        <v/>
      </c>
      <c r="L65" s="3" t="str">
        <f>IF(G65="Not Age Eligible","",IF(MAX(U65,X65,AA65,AD65)&gt;=LOOKUP(G65,'Qualifying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Scores'!$I$10:$I$13)),AND(Z65&gt;=LOOKUP(G65,'Qualifying Scores'!$A$4:$A$7,'Qualifying Scores'!$I$4:$I$7),AA65&gt;=LOOKUP(G65,'Qualifying Scores'!$A$10:$A$13,'Qualifying Scores'!$I$10:$I$13)),AND(W65&gt;=LOOKUP(G65,'Qualifying Scores'!$A$4:$A$7,'Qualifying Scores'!$I$4:$I$7),X65&gt;=LOOKUP(G65,'Qualifying Scores'!$A$10:$A$13,'Qualifying Scores'!$I$10:$I$13)),AND(AC65&gt;=LOOKUP(G65,'Qualifying Scores'!$A$4:$A$7,'Qualifying Scores'!$I$4:$I$7),AD65&gt;=LOOKUP(G65,'Qualifying Scores'!$A$10:$A$13,'Qualifying Scores'!$I$10:$I$13))),"P",""))</f>
        <v/>
      </c>
      <c r="Q65" s="1" t="str">
        <f>IF(A65&lt;5,IF(_xlfn.MAXIFS(A:A,G:G,G65)&gt;3,5-A65,_xlfn.MAXIFS(A:A,G:G,G65)+1-A65),"")</f>
        <v/>
      </c>
      <c r="R65" s="4">
        <f>MAX(T65-IF(OR(H65="N/A"),V65,0),W65-IF(OR(H65="N/A"),Y65,0),Z65-IF(OR(H65="N/A"),AB65,0),AC65-IF(OR(H65="N/A"),AE65,0))</f>
        <v>37.299999999999997</v>
      </c>
      <c r="S65" s="4">
        <f>IF(R65=T65-IF(OR(H65="N/A"),V65,0),MAX(W65-IF(OR(H65="N/A"),Y65,0),Z65-IF(OR(H65="N/A"),AB65,0),AC65-IF(OR(H65="N/A"),AE65,0)),IF(R65=W65-IF(OR(H65="N/A"),Y65,0),MAX(T65-IF(OR(H65="N/A"),V65,0),Z65-IF(OR(H65="N/A"),AB65,0),AC65-IF(OR(H65="N/A"),AE65,0)),IF(R65=Z65-IF(OR(H65="N/A"),AB65,0),MAX(T65-IF(OR(H65="N/A"),V65,0),W65-IF(OR(H65="N/A"),Y65,0),AC65-IF(OR(H65="N/A"),AE65,0)),IF(R65=AC65-IF(OR(H65="N/A"),AE65,0),MAX(T65-IF(OR(H65="N/A"),V65,0),W65-IF(OR(H65="N/A"),Y65,0),Z65-IF(OR(H65="N/A"),AB65,0)),0))))</f>
        <v>35.5</v>
      </c>
      <c r="T65" s="32"/>
      <c r="U65" s="37"/>
      <c r="V65" s="37">
        <v>0</v>
      </c>
      <c r="W65" s="33"/>
      <c r="X65" s="37"/>
      <c r="Y65" s="37"/>
      <c r="Z65" s="32">
        <v>35.5</v>
      </c>
      <c r="AA65" s="37">
        <v>4.1999999999999993</v>
      </c>
      <c r="AB65" s="37">
        <v>0</v>
      </c>
      <c r="AC65" s="33">
        <v>37.299999999999997</v>
      </c>
      <c r="AD65" s="37">
        <v>5.0999999999999996</v>
      </c>
      <c r="AE65" s="37">
        <v>0</v>
      </c>
    </row>
    <row r="66" spans="1:31" x14ac:dyDescent="0.2">
      <c r="A66" s="1" t="str" cm="1">
        <f t="array" ref="A66">IF(I66="","",IF(P66&lt;&gt;"",SUMPRODUCT((P$3:P$68&lt;&gt;"")*(G$3:G$68=G66)*(J$3:J$68&gt;J66)*(I$3:I$68="P"))+1,IF(O66&lt;&gt;"",SUMPRODUCT((O$3:O$68&lt;&gt;"")*(P$3:P$68="")*(G$3:G$68=G66)*(J$3:J$68&gt;J66)*(I$3:I$68="P"))+SUMPRODUCT((P$3:P$68&lt;&gt;"")*(G$3:G$68=G66)*(I$3:I$68="P"))+1,IF(N66&lt;&gt;"",SUMPRODUCT((N$3:N$68&lt;&gt;"")*(G$3:G$68=G66)*(J$3:J$68&gt;J66)*(I$3:I$68="P"))+1,IF(M66="P",SUMPRODUCT((O$3:O$68&lt;&gt;"")*(P$3:P$68="")*(G$3:G$68=G66)*(I$3:I$68="P"))+SUMPRODUCT((P$3:P$68&lt;&gt;"")*(G$3:G$68=G66)*(I$3:I$68="P"))+SUMPRODUCT((N$3:N$68&lt;&gt;"")*(G$3:G$68=G66)*(I$3:I$68="P"))+SUMPRODUCT((P$3:P$68="")*(O$3:O$68="")*(N$3:N$68="")*(M$3:M$68="P")*(G$3:G$68=G66)*(J$3:J$68&gt;J66)*(I$3:I$68="P"))+IF(H66="L5",SUMPRODUCT((P$3:P$68="")*(O$3:O$68="")*(N$3:N$68="")*(M$3:M$68="P")*(G$3:G$68=G66)*(J$3:J$68&lt;J66)*(H$3:H$68&lt;&gt;H66)*(I$3:I$68="P")),-1*SUMPRODUCT((P$3:P$68="")*(O$3:O$68="")*(N$3:N$68="")*(M$3:M$68="P")*(G$3:G$68=G66)*(J$3:J$68&gt;J66)*(H$3:H$68="L5")*(I$3:I$68="P")))+1,"")))))</f>
        <v/>
      </c>
      <c r="B66" s="1" t="str" cm="1">
        <f t="array" ref="B66">IF(P66&lt;&gt;"",SUMPRODUCT((P$3:P$68&lt;&gt;"")*(G$3:G$68=G66)*(J$3:J$68&gt;J66))+1,IF(O66&lt;&gt;"",SUMPRODUCT((O$3:O$68&lt;&gt;"")*(P$3:P$68="")*(G$3:G$68=G66)*(J$3:J$68&gt;J66))+SUMPRODUCT((P$3:P$68&lt;&gt;"")*(G$3:G$68=G66))+1,IF(N66&lt;&gt;"",SUMPRODUCT((N$3:N$68&lt;&gt;"")*(G$3:G$68=G66)*(J$3:J$68&gt;J66))+1,IF(M66="P",SUMPRODUCT((O$3:O$68&lt;&gt;"")*(P$3:P$68="")*(G$3:G$68=G66))+SUMPRODUCT((P$3:P$68&lt;&gt;"")*(G$3:G$68=G66))+SUMPRODUCT((N$3:N$68&lt;&gt;"")*(G$3:G$68=G66))+SUMPRODUCT((P$3:P$68="")*(O$3:O$68="")*(N$3:N$68="")*(M$3:M$68="P")*(G$3:G$68=G66)*(J$3:J$68&gt;J66))+IF(H66="L5",SUMPRODUCT((P$3:P$68="")*(O$3:O$68="")*(N$3:N$68="")*(M$3:M$68="P")*(G$3:G$68=G66)*(J$3:J$68&lt;J66)*(H$3:H$68&lt;&gt;H66)),-1*SUMPRODUCT((P$3:P$68="")*(O$3:O$68="")*(N$3:N$68="")*(M$3:M$68="P")*(G$3:G$68=G66)*(J$3:J$68&gt;J66)*(H$3:H$68="L5")))+1,""))))</f>
        <v/>
      </c>
      <c r="C66" s="35" t="s">
        <v>459</v>
      </c>
      <c r="D66" t="str">
        <f>IF(E66="","",VLOOKUP(E66,'Coaching Points'!A:B,2,0))</f>
        <v>ON</v>
      </c>
      <c r="E66" s="35" t="s">
        <v>45</v>
      </c>
      <c r="F66" s="34">
        <v>2011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214</v>
      </c>
      <c r="I66" s="40"/>
      <c r="J66" s="4">
        <f>R66+S66+IF(OR(H66="Junior",H66="Senior"),0.0002,IF(OR(H66="L7",H66="L6"),0.0001,0))+MAX(Z66,AC66)*0.0000001</f>
        <v>71.700003729999992</v>
      </c>
      <c r="K66" s="3" t="str">
        <f>IF(G66="Not Age Eligible","",IF(MAX(T66,W66,Z66,AC66)&gt;=LOOKUP(G66,'Qualifying Scores'!$A$4:$A$7,'Qualifying Scores'!$I$4:$I$7),"P",""))</f>
        <v/>
      </c>
      <c r="L66" s="3" t="str">
        <f>IF(G66="Not Age Eligible","",IF(MAX(U66,X66,AA66,AD66)&gt;=LOOKUP(G66,'Qualifying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Scores'!$I$10:$I$13)),AND(Z66&gt;=LOOKUP(G66,'Qualifying Scores'!$A$4:$A$7,'Qualifying Scores'!$I$4:$I$7),AA66&gt;=LOOKUP(G66,'Qualifying Scores'!$A$10:$A$13,'Qualifying Scores'!$I$10:$I$13)),AND(W66&gt;=LOOKUP(G66,'Qualifying Scores'!$A$4:$A$7,'Qualifying Scores'!$I$4:$I$7),X66&gt;=LOOKUP(G66,'Qualifying Scores'!$A$10:$A$13,'Qualifying Scores'!$I$10:$I$13)),AND(AC66&gt;=LOOKUP(G66,'Qualifying Scores'!$A$4:$A$7,'Qualifying Scores'!$I$4:$I$7),AD66&gt;=LOOKUP(G66,'Qualifying Scores'!$A$10:$A$13,'Qualifying Scores'!$I$10:$I$13))),"P",""))</f>
        <v/>
      </c>
      <c r="Q66" s="1" t="str">
        <f>IF(A66&lt;5,IF(_xlfn.MAXIFS(A:A,G:G,G66)&gt;3,5-A66,_xlfn.MAXIFS(A:A,G:G,G66)+1-A66),"")</f>
        <v/>
      </c>
      <c r="R66" s="4">
        <f>MAX(T66-IF(OR(H66="N/A"),V66,0),W66-IF(OR(H66="N/A"),Y66,0),Z66-IF(OR(H66="N/A"),AB66,0),AC66-IF(OR(H66="N/A"),AE66,0))</f>
        <v>37.299999999999997</v>
      </c>
      <c r="S66" s="4">
        <f>IF(R66=T66-IF(OR(H66="N/A"),V66,0),MAX(W66-IF(OR(H66="N/A"),Y66,0),Z66-IF(OR(H66="N/A"),AB66,0),AC66-IF(OR(H66="N/A"),AE66,0)),IF(R66=W66-IF(OR(H66="N/A"),Y66,0),MAX(T66-IF(OR(H66="N/A"),V66,0),Z66-IF(OR(H66="N/A"),AB66,0),AC66-IF(OR(H66="N/A"),AE66,0)),IF(R66=Z66-IF(OR(H66="N/A"),AB66,0),MAX(T66-IF(OR(H66="N/A"),V66,0),W66-IF(OR(H66="N/A"),Y66,0),AC66-IF(OR(H66="N/A"),AE66,0)),IF(R66=AC66-IF(OR(H66="N/A"),AE66,0),MAX(T66-IF(OR(H66="N/A"),V66,0),W66-IF(OR(H66="N/A"),Y66,0),Z66-IF(OR(H66="N/A"),AB66,0)),0))))</f>
        <v>34.4</v>
      </c>
      <c r="T66" s="32"/>
      <c r="U66" s="37"/>
      <c r="V66" s="37">
        <v>0</v>
      </c>
      <c r="W66" s="33"/>
      <c r="X66" s="37"/>
      <c r="Y66" s="37"/>
      <c r="Z66" s="32">
        <v>34.4</v>
      </c>
      <c r="AA66" s="37">
        <v>3.7</v>
      </c>
      <c r="AB66" s="37">
        <v>0</v>
      </c>
      <c r="AC66" s="33">
        <v>37.299999999999997</v>
      </c>
      <c r="AD66" s="37">
        <v>4.5999999999999996</v>
      </c>
      <c r="AE66" s="37">
        <v>0</v>
      </c>
    </row>
    <row r="67" spans="1:31" x14ac:dyDescent="0.2">
      <c r="A67" s="1" t="str" cm="1">
        <f t="array" ref="A67">IF(I67="","",IF(P67&lt;&gt;"",SUMPRODUCT((P$3:P$68&lt;&gt;"")*(G$3:G$68=G67)*(J$3:J$68&gt;J67)*(I$3:I$68="P"))+1,IF(O67&lt;&gt;"",SUMPRODUCT((O$3:O$68&lt;&gt;"")*(P$3:P$68="")*(G$3:G$68=G67)*(J$3:J$68&gt;J67)*(I$3:I$68="P"))+SUMPRODUCT((P$3:P$68&lt;&gt;"")*(G$3:G$68=G67)*(I$3:I$68="P"))+1,IF(N67&lt;&gt;"",SUMPRODUCT((N$3:N$68&lt;&gt;"")*(G$3:G$68=G67)*(J$3:J$68&gt;J67)*(I$3:I$68="P"))+1,IF(M67="P",SUMPRODUCT((O$3:O$68&lt;&gt;"")*(P$3:P$68="")*(G$3:G$68=G67)*(I$3:I$68="P"))+SUMPRODUCT((P$3:P$68&lt;&gt;"")*(G$3:G$68=G67)*(I$3:I$68="P"))+SUMPRODUCT((N$3:N$68&lt;&gt;"")*(G$3:G$68=G67)*(I$3:I$68="P"))+SUMPRODUCT((P$3:P$68="")*(O$3:O$68="")*(N$3:N$68="")*(M$3:M$68="P")*(G$3:G$68=G67)*(J$3:J$68&gt;J67)*(I$3:I$68="P"))+IF(H67="L5",SUMPRODUCT((P$3:P$68="")*(O$3:O$68="")*(N$3:N$68="")*(M$3:M$68="P")*(G$3:G$68=G67)*(J$3:J$68&lt;J67)*(H$3:H$68&lt;&gt;H67)*(I$3:I$68="P")),-1*SUMPRODUCT((P$3:P$68="")*(O$3:O$68="")*(N$3:N$68="")*(M$3:M$68="P")*(G$3:G$68=G67)*(J$3:J$68&gt;J67)*(H$3:H$68="L5")*(I$3:I$68="P")))+1,"")))))</f>
        <v/>
      </c>
      <c r="B67" s="1" t="str" cm="1">
        <f t="array" ref="B67">IF(P67&lt;&gt;"",SUMPRODUCT((P$3:P$68&lt;&gt;"")*(G$3:G$68=G67)*(J$3:J$68&gt;J67))+1,IF(O67&lt;&gt;"",SUMPRODUCT((O$3:O$68&lt;&gt;"")*(P$3:P$68="")*(G$3:G$68=G67)*(J$3:J$68&gt;J67))+SUMPRODUCT((P$3:P$68&lt;&gt;"")*(G$3:G$68=G67))+1,IF(N67&lt;&gt;"",SUMPRODUCT((N$3:N$68&lt;&gt;"")*(G$3:G$68=G67)*(J$3:J$68&gt;J67))+1,IF(M67="P",SUMPRODUCT((O$3:O$68&lt;&gt;"")*(P$3:P$68="")*(G$3:G$68=G67))+SUMPRODUCT((P$3:P$68&lt;&gt;"")*(G$3:G$68=G67))+SUMPRODUCT((N$3:N$68&lt;&gt;"")*(G$3:G$68=G67))+SUMPRODUCT((P$3:P$68="")*(O$3:O$68="")*(N$3:N$68="")*(M$3:M$68="P")*(G$3:G$68=G67)*(J$3:J$68&gt;J67))+IF(H67="L5",SUMPRODUCT((P$3:P$68="")*(O$3:O$68="")*(N$3:N$68="")*(M$3:M$68="P")*(G$3:G$68=G67)*(J$3:J$68&lt;J67)*(H$3:H$68&lt;&gt;H67)),-1*SUMPRODUCT((P$3:P$68="")*(O$3:O$68="")*(N$3:N$68="")*(M$3:M$68="P")*(G$3:G$68=G67)*(J$3:J$68&gt;J67)*(H$3:H$68="L5")))+1,""))))</f>
        <v/>
      </c>
      <c r="C67" s="35" t="s">
        <v>247</v>
      </c>
      <c r="D67" t="str">
        <f>IF(E67="","",VLOOKUP(E67,'Coaching Points'!A:B,2,0))</f>
        <v>AB</v>
      </c>
      <c r="E67" s="35" t="s">
        <v>28</v>
      </c>
      <c r="F67" s="34">
        <v>2011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6" t="s">
        <v>214</v>
      </c>
      <c r="I67" s="40"/>
      <c r="J67" s="4">
        <f>R67+S67+IF(OR(H67="Junior",H67="Senior"),0.0002,IF(OR(H67="L7",H67="L6"),0.0001,0))+MAX(Z67,AC67)*0.0000001</f>
        <v>69.300003529999998</v>
      </c>
      <c r="K67" s="3" t="str">
        <f>IF(G67="Not Age Eligible","",IF(MAX(T67,W67,Z67,AC67)&gt;=LOOKUP(G67,'Qualifying Scores'!$A$4:$A$7,'Qualifying Scores'!$I$4:$I$7),"P",""))</f>
        <v/>
      </c>
      <c r="L67" s="3" t="str">
        <f>IF(G67="Not Age Eligible","",IF(MAX(U67,X67,AA67,AD67)&gt;=LOOKUP(G67,'Qualifying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Scores'!$I$10:$I$13)),AND(Z67&gt;=LOOKUP(G67,'Qualifying Scores'!$A$4:$A$7,'Qualifying Scores'!$I$4:$I$7),AA67&gt;=LOOKUP(G67,'Qualifying Scores'!$A$10:$A$13,'Qualifying Scores'!$I$10:$I$13)),AND(W67&gt;=LOOKUP(G67,'Qualifying Scores'!$A$4:$A$7,'Qualifying Scores'!$I$4:$I$7),X67&gt;=LOOKUP(G67,'Qualifying Scores'!$A$10:$A$13,'Qualifying Scores'!$I$10:$I$13)),AND(AC67&gt;=LOOKUP(G67,'Qualifying Scores'!$A$4:$A$7,'Qualifying Scores'!$I$4:$I$7),AD67&gt;=LOOKUP(G67,'Qualifying Scores'!$A$10:$A$13,'Qualifying Scores'!$I$10:$I$13))),"P",""))</f>
        <v/>
      </c>
      <c r="Q67" s="1" t="str">
        <f>IF(A67&lt;5,IF(_xlfn.MAXIFS(A:A,G:G,G67)&gt;3,5-A67,_xlfn.MAXIFS(A:A,G:G,G67)+1-A67),"")</f>
        <v/>
      </c>
      <c r="R67" s="4">
        <f>MAX(T67-IF(OR(H67="N/A"),V67,0),W67-IF(OR(H67="N/A"),Y67,0),Z67-IF(OR(H67="N/A"),AB67,0),AC67-IF(OR(H67="N/A"),AE67,0))</f>
        <v>35.299999999999997</v>
      </c>
      <c r="S67" s="4">
        <f>IF(R67=T67-IF(OR(H67="N/A"),V67,0),MAX(W67-IF(OR(H67="N/A"),Y67,0),Z67-IF(OR(H67="N/A"),AB67,0),AC67-IF(OR(H67="N/A"),AE67,0)),IF(R67=W67-IF(OR(H67="N/A"),Y67,0),MAX(T67-IF(OR(H67="N/A"),V67,0),Z67-IF(OR(H67="N/A"),AB67,0),AC67-IF(OR(H67="N/A"),AE67,0)),IF(R67=Z67-IF(OR(H67="N/A"),AB67,0),MAX(T67-IF(OR(H67="N/A"),V67,0),W67-IF(OR(H67="N/A"),Y67,0),AC67-IF(OR(H67="N/A"),AE67,0)),IF(R67=AC67-IF(OR(H67="N/A"),AE67,0),MAX(T67-IF(OR(H67="N/A"),V67,0),W67-IF(OR(H67="N/A"),Y67,0),Z67-IF(OR(H67="N/A"),AB67,0)),0))))</f>
        <v>34</v>
      </c>
      <c r="T67" s="32"/>
      <c r="U67" s="37"/>
      <c r="V67" s="37">
        <v>0</v>
      </c>
      <c r="W67" s="33"/>
      <c r="X67" s="37"/>
      <c r="Y67" s="37"/>
      <c r="Z67" s="32">
        <v>34</v>
      </c>
      <c r="AA67" s="37">
        <v>4.3000000000000007</v>
      </c>
      <c r="AB67" s="37">
        <v>0</v>
      </c>
      <c r="AC67" s="33">
        <v>35.299999999999997</v>
      </c>
      <c r="AD67" s="37">
        <v>4</v>
      </c>
      <c r="AE67" s="37">
        <v>0</v>
      </c>
    </row>
    <row r="68" spans="1:31" x14ac:dyDescent="0.2">
      <c r="A68" s="1" t="str" cm="1">
        <f t="array" ref="A68">IF(I68="","",IF(P68&lt;&gt;"",SUMPRODUCT((P$3:P$68&lt;&gt;"")*(G$3:G$68=G68)*(J$3:J$68&gt;J68)*(I$3:I$68="P"))+1,IF(O68&lt;&gt;"",SUMPRODUCT((O$3:O$68&lt;&gt;"")*(P$3:P$68="")*(G$3:G$68=G68)*(J$3:J$68&gt;J68)*(I$3:I$68="P"))+SUMPRODUCT((P$3:P$68&lt;&gt;"")*(G$3:G$68=G68)*(I$3:I$68="P"))+1,IF(N68&lt;&gt;"",SUMPRODUCT((N$3:N$68&lt;&gt;"")*(G$3:G$68=G68)*(J$3:J$68&gt;J68)*(I$3:I$68="P"))+1,IF(M68="P",SUMPRODUCT((O$3:O$68&lt;&gt;"")*(P$3:P$68="")*(G$3:G$68=G68)*(I$3:I$68="P"))+SUMPRODUCT((P$3:P$68&lt;&gt;"")*(G$3:G$68=G68)*(I$3:I$68="P"))+SUMPRODUCT((N$3:N$68&lt;&gt;"")*(G$3:G$68=G68)*(I$3:I$68="P"))+SUMPRODUCT((P$3:P$68="")*(O$3:O$68="")*(N$3:N$68="")*(M$3:M$68="P")*(G$3:G$68=G68)*(J$3:J$68&gt;J68)*(I$3:I$68="P"))+IF(H68="L5",SUMPRODUCT((P$3:P$68="")*(O$3:O$68="")*(N$3:N$68="")*(M$3:M$68="P")*(G$3:G$68=G68)*(J$3:J$68&lt;J68)*(H$3:H$68&lt;&gt;H68)*(I$3:I$68="P")),-1*SUMPRODUCT((P$3:P$68="")*(O$3:O$68="")*(N$3:N$68="")*(M$3:M$68="P")*(G$3:G$68=G68)*(J$3:J$68&gt;J68)*(H$3:H$68="L5")*(I$3:I$68="P")))+1,"")))))</f>
        <v/>
      </c>
      <c r="B68" s="1" t="str" cm="1">
        <f t="array" ref="B68">IF(P68&lt;&gt;"",SUMPRODUCT((P$3:P$68&lt;&gt;"")*(G$3:G$68=G68)*(J$3:J$68&gt;J68))+1,IF(O68&lt;&gt;"",SUMPRODUCT((O$3:O$68&lt;&gt;"")*(P$3:P$68="")*(G$3:G$68=G68)*(J$3:J$68&gt;J68))+SUMPRODUCT((P$3:P$68&lt;&gt;"")*(G$3:G$68=G68))+1,IF(N68&lt;&gt;"",SUMPRODUCT((N$3:N$68&lt;&gt;"")*(G$3:G$68=G68)*(J$3:J$68&gt;J68))+1,IF(M68="P",SUMPRODUCT((O$3:O$68&lt;&gt;"")*(P$3:P$68="")*(G$3:G$68=G68))+SUMPRODUCT((P$3:P$68&lt;&gt;"")*(G$3:G$68=G68))+SUMPRODUCT((N$3:N$68&lt;&gt;"")*(G$3:G$68=G68))+SUMPRODUCT((P$3:P$68="")*(O$3:O$68="")*(N$3:N$68="")*(M$3:M$68="P")*(G$3:G$68=G68)*(J$3:J$68&gt;J68))+IF(H68="L5",SUMPRODUCT((P$3:P$68="")*(O$3:O$68="")*(N$3:N$68="")*(M$3:M$68="P")*(G$3:G$68=G68)*(J$3:J$68&lt;J68)*(H$3:H$68&lt;&gt;H68)),-1*SUMPRODUCT((P$3:P$68="")*(O$3:O$68="")*(N$3:N$68="")*(M$3:M$68="P")*(G$3:G$68=G68)*(J$3:J$68&gt;J68)*(H$3:H$68="L5")))+1,""))))</f>
        <v/>
      </c>
      <c r="C68" s="35" t="s">
        <v>305</v>
      </c>
      <c r="D68" t="str">
        <f>IF(E68="","",VLOOKUP(E68,'Coaching Points'!A:B,2,0))</f>
        <v>AB</v>
      </c>
      <c r="E68" s="35" t="s">
        <v>62</v>
      </c>
      <c r="F68" s="34">
        <v>2011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6" t="s">
        <v>214</v>
      </c>
      <c r="I68" s="40"/>
      <c r="J68" s="4">
        <f>R68+S68+IF(OR(H68="Junior",H68="Senior"),0.0002,IF(OR(H68="L7",H68="L6"),0.0001,0))+MAX(Z68,AC68)*0.0000001</f>
        <v>67.100003359999988</v>
      </c>
      <c r="K68" s="3" t="str">
        <f>IF(G68="Not Age Eligible","",IF(MAX(T68,W68,Z68,AC68)&gt;=LOOKUP(G68,'Qualifying Scores'!$A$4:$A$7,'Qualifying Scores'!$I$4:$I$7),"P",""))</f>
        <v/>
      </c>
      <c r="L68" s="3" t="str">
        <f>IF(G68="Not Age Eligible","",IF(MAX(U68,X68,AA68,AD68)&gt;=LOOKUP(G68,'Qualifying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Scores'!$I$10:$I$13)),AND(Z68&gt;=LOOKUP(G68,'Qualifying Scores'!$A$4:$A$7,'Qualifying Scores'!$I$4:$I$7),AA68&gt;=LOOKUP(G68,'Qualifying Scores'!$A$10:$A$13,'Qualifying Scores'!$I$10:$I$13)),AND(W68&gt;=LOOKUP(G68,'Qualifying Scores'!$A$4:$A$7,'Qualifying Scores'!$I$4:$I$7),X68&gt;=LOOKUP(G68,'Qualifying Scores'!$A$10:$A$13,'Qualifying Scores'!$I$10:$I$13)),AND(AC68&gt;=LOOKUP(G68,'Qualifying Scores'!$A$4:$A$7,'Qualifying Scores'!$I$4:$I$7),AD68&gt;=LOOKUP(G68,'Qualifying Scores'!$A$10:$A$13,'Qualifying Scores'!$I$10:$I$13))),"P",""))</f>
        <v/>
      </c>
      <c r="Q68" s="1" t="str">
        <f>IF(A68&lt;5,IF(_xlfn.MAXIFS(A:A,G:G,G68)&gt;3,5-A68,_xlfn.MAXIFS(A:A,G:G,G68)+1-A68),"")</f>
        <v/>
      </c>
      <c r="R68" s="4">
        <f>MAX(T68-IF(OR(H68="N/A"),V68,0),W68-IF(OR(H68="N/A"),Y68,0),Z68-IF(OR(H68="N/A"),AB68,0),AC68-IF(OR(H68="N/A"),AE68,0))</f>
        <v>33.6</v>
      </c>
      <c r="S68" s="4">
        <f>IF(R68=T68-IF(OR(H68="N/A"),V68,0),MAX(W68-IF(OR(H68="N/A"),Y68,0),Z68-IF(OR(H68="N/A"),AB68,0),AC68-IF(OR(H68="N/A"),AE68,0)),IF(R68=W68-IF(OR(H68="N/A"),Y68,0),MAX(T68-IF(OR(H68="N/A"),V68,0),Z68-IF(OR(H68="N/A"),AB68,0),AC68-IF(OR(H68="N/A"),AE68,0)),IF(R68=Z68-IF(OR(H68="N/A"),AB68,0),MAX(T68-IF(OR(H68="N/A"),V68,0),W68-IF(OR(H68="N/A"),Y68,0),AC68-IF(OR(H68="N/A"),AE68,0)),IF(R68=AC68-IF(OR(H68="N/A"),AE68,0),MAX(T68-IF(OR(H68="N/A"),V68,0),W68-IF(OR(H68="N/A"),Y68,0),Z68-IF(OR(H68="N/A"),AB68,0)),0))))</f>
        <v>33.5</v>
      </c>
      <c r="T68" s="32">
        <v>32.700000000000003</v>
      </c>
      <c r="U68" s="37">
        <v>3.3</v>
      </c>
      <c r="V68" s="37">
        <v>0</v>
      </c>
      <c r="W68" s="33"/>
      <c r="X68" s="37"/>
      <c r="Y68" s="37"/>
      <c r="Z68" s="32">
        <v>33.6</v>
      </c>
      <c r="AA68" s="37">
        <v>3.1</v>
      </c>
      <c r="AB68" s="37">
        <v>0</v>
      </c>
      <c r="AC68" s="33">
        <v>33.5</v>
      </c>
      <c r="AD68" s="37">
        <v>3.9000000000000004</v>
      </c>
      <c r="AE68" s="37">
        <v>0</v>
      </c>
    </row>
  </sheetData>
  <sheetProtection sheet="1" formatCells="0" formatColumns="0" formatRows="0"/>
  <autoFilter ref="A1:AE53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8">
      <sortCondition descending="1" ref="G1:G6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2025-05-31T04:32:25Z</dcterms:modified>
</cp:coreProperties>
</file>