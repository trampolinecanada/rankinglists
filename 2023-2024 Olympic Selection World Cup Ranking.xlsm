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C8C5C9AA-30A9-4A46-B9C4-E6E6C09117B9}" xr6:coauthVersionLast="47" xr6:coauthVersionMax="47" xr10:uidLastSave="{00000000-0000-0000-0000-000000000000}"/>
  <bookViews>
    <workbookView xWindow="0" yWindow="500" windowWidth="33600" windowHeight="20500" xr2:uid="{D2A48EEF-CA85-4F47-802C-95C803B4031C}"/>
  </bookViews>
  <sheets>
    <sheet name="Women" sheetId="1" r:id="rId1"/>
    <sheet name="Men" sheetId="9" r:id="rId2"/>
    <sheet name="Macros" sheetId="7" r:id="rId3"/>
    <sheet name="Continental Affiliation" sheetId="8" r:id="rId4"/>
  </sheets>
  <definedNames>
    <definedName name="_xlnm._FilterDatabase" localSheetId="3" hidden="1">'Continental Affiliation'!$A$1:$B$1</definedName>
    <definedName name="_xlnm._FilterDatabase" localSheetId="1" hidden="1">Men!$A$1:$AF$2</definedName>
    <definedName name="_xlnm._FilterDatabase" localSheetId="0" hidden="1">Women!$A$1:$AF$2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39" i="9" l="1"/>
  <c r="W39" i="9"/>
  <c r="X39" i="9"/>
  <c r="C37" i="1"/>
  <c r="M37" i="1"/>
  <c r="N37" i="1"/>
  <c r="O37" i="1"/>
  <c r="P37" i="1"/>
  <c r="Q37" i="1"/>
  <c r="V37" i="1"/>
  <c r="W37" i="1"/>
  <c r="X37" i="1"/>
  <c r="C40" i="1"/>
  <c r="M40" i="1"/>
  <c r="N40" i="1"/>
  <c r="O40" i="1"/>
  <c r="P40" i="1"/>
  <c r="Q40" i="1"/>
  <c r="V40" i="1"/>
  <c r="W40" i="1"/>
  <c r="X40" i="1"/>
  <c r="C30" i="1"/>
  <c r="M30" i="1"/>
  <c r="N30" i="1"/>
  <c r="O30" i="1"/>
  <c r="P30" i="1"/>
  <c r="Q30" i="1"/>
  <c r="V30" i="1"/>
  <c r="W30" i="1"/>
  <c r="X30" i="1"/>
  <c r="C31" i="1"/>
  <c r="M31" i="1"/>
  <c r="N31" i="1"/>
  <c r="O31" i="1"/>
  <c r="P31" i="1"/>
  <c r="Q31" i="1"/>
  <c r="V31" i="1"/>
  <c r="W31" i="1"/>
  <c r="X31" i="1"/>
  <c r="C39" i="9"/>
  <c r="M39" i="9"/>
  <c r="N39" i="9"/>
  <c r="O39" i="9"/>
  <c r="P39" i="9"/>
  <c r="Q39" i="9"/>
  <c r="C37" i="9"/>
  <c r="M37" i="9"/>
  <c r="N37" i="9"/>
  <c r="O37" i="9"/>
  <c r="P37" i="9"/>
  <c r="Q37" i="9"/>
  <c r="V37" i="9"/>
  <c r="W37" i="9"/>
  <c r="X37" i="9"/>
  <c r="O26" i="9"/>
  <c r="O25" i="9"/>
  <c r="C34" i="9"/>
  <c r="M34" i="9"/>
  <c r="N34" i="9"/>
  <c r="O34" i="9"/>
  <c r="P34" i="9"/>
  <c r="Q34" i="9"/>
  <c r="V34" i="9"/>
  <c r="W34" i="9"/>
  <c r="X34" i="9"/>
  <c r="V33" i="9"/>
  <c r="W33" i="9"/>
  <c r="X33" i="9"/>
  <c r="C33" i="9"/>
  <c r="M33" i="9"/>
  <c r="N33" i="9"/>
  <c r="O33" i="9"/>
  <c r="P33" i="9"/>
  <c r="Q33" i="9"/>
  <c r="C30" i="9"/>
  <c r="M30" i="9"/>
  <c r="N30" i="9"/>
  <c r="O30" i="9"/>
  <c r="P30" i="9"/>
  <c r="Q30" i="9"/>
  <c r="V30" i="9"/>
  <c r="W30" i="9"/>
  <c r="X30" i="9"/>
  <c r="C32" i="9"/>
  <c r="M32" i="9"/>
  <c r="N32" i="9"/>
  <c r="O32" i="9"/>
  <c r="P32" i="9"/>
  <c r="Q32" i="9"/>
  <c r="V32" i="9"/>
  <c r="W32" i="9"/>
  <c r="X32" i="9"/>
  <c r="X9" i="9"/>
  <c r="X8" i="9"/>
  <c r="X4" i="9"/>
  <c r="X6" i="9"/>
  <c r="X12" i="9"/>
  <c r="X5" i="9"/>
  <c r="X13" i="9"/>
  <c r="X14" i="9"/>
  <c r="X11" i="9"/>
  <c r="X10" i="9"/>
  <c r="X15" i="9"/>
  <c r="X17" i="9"/>
  <c r="X16" i="9"/>
  <c r="X20" i="9"/>
  <c r="X21" i="9"/>
  <c r="X22" i="9"/>
  <c r="X23" i="9"/>
  <c r="X26" i="9"/>
  <c r="X18" i="9"/>
  <c r="X27" i="9"/>
  <c r="X28" i="9"/>
  <c r="X25" i="9"/>
  <c r="X7" i="9"/>
  <c r="X29" i="9"/>
  <c r="X19" i="9"/>
  <c r="X35" i="9"/>
  <c r="X36" i="9"/>
  <c r="X31" i="9"/>
  <c r="X24" i="9"/>
  <c r="X38" i="9"/>
  <c r="X40" i="9"/>
  <c r="X3" i="9"/>
  <c r="X8" i="1"/>
  <c r="X3" i="1"/>
  <c r="X11" i="1"/>
  <c r="X12" i="1"/>
  <c r="X14" i="1"/>
  <c r="X10" i="1"/>
  <c r="X15" i="1"/>
  <c r="X13" i="1"/>
  <c r="X17" i="1"/>
  <c r="X4" i="1"/>
  <c r="X18" i="1"/>
  <c r="X20" i="1"/>
  <c r="X19" i="1"/>
  <c r="X21" i="1"/>
  <c r="X5" i="1"/>
  <c r="X24" i="1"/>
  <c r="X25" i="1"/>
  <c r="X26" i="1"/>
  <c r="X6" i="1"/>
  <c r="X22" i="1"/>
  <c r="X27" i="1"/>
  <c r="X16" i="1"/>
  <c r="X28" i="1"/>
  <c r="X23" i="1"/>
  <c r="X29" i="1"/>
  <c r="X7" i="1"/>
  <c r="X33" i="1"/>
  <c r="X36" i="1"/>
  <c r="X39" i="1"/>
  <c r="X35" i="1"/>
  <c r="X38" i="1"/>
  <c r="X34" i="1"/>
  <c r="X41" i="1"/>
  <c r="X32" i="1"/>
  <c r="X42" i="1"/>
  <c r="X9" i="1"/>
  <c r="C24" i="9"/>
  <c r="M24" i="9"/>
  <c r="N24" i="9"/>
  <c r="O24" i="9"/>
  <c r="P24" i="9"/>
  <c r="Q24" i="9"/>
  <c r="V24" i="9"/>
  <c r="W24" i="9"/>
  <c r="C38" i="9"/>
  <c r="M38" i="9"/>
  <c r="N38" i="9"/>
  <c r="O38" i="9"/>
  <c r="P38" i="9"/>
  <c r="Q38" i="9"/>
  <c r="V38" i="9"/>
  <c r="W38" i="9"/>
  <c r="C23" i="1"/>
  <c r="M23" i="1"/>
  <c r="N23" i="1"/>
  <c r="O23" i="1"/>
  <c r="P23" i="1"/>
  <c r="Q23" i="1"/>
  <c r="V23" i="1"/>
  <c r="W23" i="1"/>
  <c r="C33" i="1"/>
  <c r="M33" i="1"/>
  <c r="N33" i="1"/>
  <c r="O33" i="1"/>
  <c r="P33" i="1"/>
  <c r="Q33" i="1"/>
  <c r="V33" i="1"/>
  <c r="W33" i="1"/>
  <c r="C39" i="1"/>
  <c r="M39" i="1"/>
  <c r="N39" i="1"/>
  <c r="O39" i="1"/>
  <c r="P39" i="1"/>
  <c r="Q39" i="1"/>
  <c r="V39" i="1"/>
  <c r="W39" i="1"/>
  <c r="C38" i="1"/>
  <c r="M38" i="1"/>
  <c r="N38" i="1"/>
  <c r="O38" i="1"/>
  <c r="P38" i="1"/>
  <c r="Q38" i="1"/>
  <c r="V38" i="1"/>
  <c r="W38" i="1"/>
  <c r="C41" i="1"/>
  <c r="M41" i="1"/>
  <c r="N41" i="1"/>
  <c r="O41" i="1"/>
  <c r="P41" i="1"/>
  <c r="Q41" i="1"/>
  <c r="V41" i="1"/>
  <c r="W41" i="1"/>
  <c r="C32" i="1"/>
  <c r="M32" i="1"/>
  <c r="N32" i="1"/>
  <c r="O32" i="1"/>
  <c r="P32" i="1"/>
  <c r="Q32" i="1"/>
  <c r="V32" i="1"/>
  <c r="W32" i="1"/>
  <c r="Q2" i="9"/>
  <c r="O2" i="9"/>
  <c r="P2" i="9"/>
  <c r="N2" i="9"/>
  <c r="M2" i="9"/>
  <c r="Q2" i="1"/>
  <c r="O2" i="1"/>
  <c r="P2" i="1"/>
  <c r="N2" i="1"/>
  <c r="M2" i="1"/>
  <c r="C12" i="9"/>
  <c r="C11" i="9"/>
  <c r="C28" i="9"/>
  <c r="C5" i="9"/>
  <c r="C23" i="9"/>
  <c r="C20" i="9"/>
  <c r="C13" i="9"/>
  <c r="C9" i="9"/>
  <c r="C21" i="9"/>
  <c r="C22" i="9"/>
  <c r="C8" i="9"/>
  <c r="C40" i="9"/>
  <c r="C35" i="9"/>
  <c r="C7" i="9"/>
  <c r="C18" i="9"/>
  <c r="C17" i="9"/>
  <c r="C4" i="9"/>
  <c r="C3" i="9"/>
  <c r="C29" i="9"/>
  <c r="C16" i="9"/>
  <c r="C6" i="9"/>
  <c r="C10" i="9"/>
  <c r="C15" i="9"/>
  <c r="C14" i="9"/>
  <c r="C31" i="9"/>
  <c r="C27" i="9"/>
  <c r="C26" i="9"/>
  <c r="C36" i="9"/>
  <c r="C19" i="9"/>
  <c r="C25" i="9"/>
  <c r="C22" i="1"/>
  <c r="C7" i="1"/>
  <c r="C9" i="1"/>
  <c r="C11" i="1"/>
  <c r="C28" i="1"/>
  <c r="C14" i="1"/>
  <c r="C27" i="1"/>
  <c r="C10" i="1"/>
  <c r="C34" i="1"/>
  <c r="C35" i="1"/>
  <c r="C36" i="1"/>
  <c r="C6" i="1"/>
  <c r="C5" i="1"/>
  <c r="C12" i="1"/>
  <c r="C19" i="1"/>
  <c r="C17" i="1"/>
  <c r="C24" i="1"/>
  <c r="C29" i="1"/>
  <c r="C25" i="1"/>
  <c r="C16" i="1"/>
  <c r="C26" i="1"/>
  <c r="C21" i="1"/>
  <c r="C15" i="1"/>
  <c r="C18" i="1"/>
  <c r="C20" i="1"/>
  <c r="C4" i="1"/>
  <c r="C42" i="1"/>
  <c r="C13" i="1"/>
  <c r="C8" i="1"/>
  <c r="C3" i="1"/>
  <c r="W22" i="9"/>
  <c r="V22" i="9"/>
  <c r="Q22" i="9"/>
  <c r="P22" i="9"/>
  <c r="O22" i="9"/>
  <c r="N22" i="9"/>
  <c r="M22" i="9"/>
  <c r="W3" i="9"/>
  <c r="V3" i="9"/>
  <c r="Q3" i="9"/>
  <c r="P3" i="9"/>
  <c r="O3" i="9"/>
  <c r="N3" i="9"/>
  <c r="M3" i="9"/>
  <c r="W14" i="9"/>
  <c r="V14" i="9"/>
  <c r="Q14" i="9"/>
  <c r="P14" i="9"/>
  <c r="O14" i="9"/>
  <c r="N14" i="9"/>
  <c r="M14" i="9"/>
  <c r="W19" i="9"/>
  <c r="V19" i="9"/>
  <c r="Q19" i="9"/>
  <c r="P19" i="9"/>
  <c r="O19" i="9"/>
  <c r="N19" i="9"/>
  <c r="M19" i="9"/>
  <c r="W28" i="9"/>
  <c r="V28" i="9"/>
  <c r="Q28" i="9"/>
  <c r="P28" i="9"/>
  <c r="O28" i="9"/>
  <c r="N28" i="9"/>
  <c r="M28" i="9"/>
  <c r="W26" i="9"/>
  <c r="V26" i="9"/>
  <c r="Q26" i="9"/>
  <c r="P26" i="9"/>
  <c r="N26" i="9"/>
  <c r="M26" i="9"/>
  <c r="W6" i="9"/>
  <c r="V6" i="9"/>
  <c r="Q6" i="9"/>
  <c r="P6" i="9"/>
  <c r="O6" i="9"/>
  <c r="N6" i="9"/>
  <c r="M6" i="9"/>
  <c r="W27" i="9"/>
  <c r="V27" i="9"/>
  <c r="Q27" i="9"/>
  <c r="P27" i="9"/>
  <c r="O27" i="9"/>
  <c r="N27" i="9"/>
  <c r="M27" i="9"/>
  <c r="W31" i="9"/>
  <c r="V31" i="9"/>
  <c r="Q31" i="9"/>
  <c r="P31" i="9"/>
  <c r="O31" i="9"/>
  <c r="N31" i="9"/>
  <c r="M31" i="9"/>
  <c r="W11" i="9"/>
  <c r="V11" i="9"/>
  <c r="Q11" i="9"/>
  <c r="P11" i="9"/>
  <c r="O11" i="9"/>
  <c r="N11" i="9"/>
  <c r="M11" i="9"/>
  <c r="W25" i="9"/>
  <c r="V25" i="9"/>
  <c r="Q25" i="9"/>
  <c r="P25" i="9"/>
  <c r="N25" i="9"/>
  <c r="M25" i="9"/>
  <c r="W15" i="9"/>
  <c r="V15" i="9"/>
  <c r="Q15" i="9"/>
  <c r="P15" i="9"/>
  <c r="O15" i="9"/>
  <c r="N15" i="9"/>
  <c r="M15" i="9"/>
  <c r="W5" i="9"/>
  <c r="V5" i="9"/>
  <c r="Q5" i="9"/>
  <c r="P5" i="9"/>
  <c r="O5" i="9"/>
  <c r="N5" i="9"/>
  <c r="M5" i="9"/>
  <c r="W18" i="9"/>
  <c r="V18" i="9"/>
  <c r="Q18" i="9"/>
  <c r="P18" i="9"/>
  <c r="O18" i="9"/>
  <c r="N18" i="9"/>
  <c r="M18" i="9"/>
  <c r="W40" i="9"/>
  <c r="V40" i="9"/>
  <c r="Q40" i="9"/>
  <c r="P40" i="9"/>
  <c r="O40" i="9"/>
  <c r="N40" i="9"/>
  <c r="M40" i="9"/>
  <c r="W23" i="9"/>
  <c r="V23" i="9"/>
  <c r="Q23" i="9"/>
  <c r="P23" i="9"/>
  <c r="O23" i="9"/>
  <c r="N23" i="9"/>
  <c r="M23" i="9"/>
  <c r="W21" i="9"/>
  <c r="V21" i="9"/>
  <c r="Q21" i="9"/>
  <c r="P21" i="9"/>
  <c r="O21" i="9"/>
  <c r="N21" i="9"/>
  <c r="M21" i="9"/>
  <c r="W16" i="9"/>
  <c r="V16" i="9"/>
  <c r="Q16" i="9"/>
  <c r="P16" i="9"/>
  <c r="O16" i="9"/>
  <c r="N16" i="9"/>
  <c r="M16" i="9"/>
  <c r="W4" i="9"/>
  <c r="V4" i="9"/>
  <c r="Q4" i="9"/>
  <c r="P4" i="9"/>
  <c r="O4" i="9"/>
  <c r="N4" i="9"/>
  <c r="M4" i="9"/>
  <c r="W20" i="9"/>
  <c r="V20" i="9"/>
  <c r="Q20" i="9"/>
  <c r="P20" i="9"/>
  <c r="O20" i="9"/>
  <c r="N20" i="9"/>
  <c r="M20" i="9"/>
  <c r="W35" i="9"/>
  <c r="V35" i="9"/>
  <c r="Q35" i="9"/>
  <c r="P35" i="9"/>
  <c r="O35" i="9"/>
  <c r="N35" i="9"/>
  <c r="M35" i="9"/>
  <c r="W7" i="9"/>
  <c r="V7" i="9"/>
  <c r="Q7" i="9"/>
  <c r="P7" i="9"/>
  <c r="O7" i="9"/>
  <c r="N7" i="9"/>
  <c r="M7" i="9"/>
  <c r="W8" i="9"/>
  <c r="V8" i="9"/>
  <c r="Q8" i="9"/>
  <c r="P8" i="9"/>
  <c r="O8" i="9"/>
  <c r="N8" i="9"/>
  <c r="M8" i="9"/>
  <c r="W13" i="9"/>
  <c r="V13" i="9"/>
  <c r="Q13" i="9"/>
  <c r="P13" i="9"/>
  <c r="O13" i="9"/>
  <c r="N13" i="9"/>
  <c r="M13" i="9"/>
  <c r="W9" i="9"/>
  <c r="V9" i="9"/>
  <c r="Q9" i="9"/>
  <c r="P9" i="9"/>
  <c r="O9" i="9"/>
  <c r="N9" i="9"/>
  <c r="M9" i="9"/>
  <c r="W36" i="9"/>
  <c r="V36" i="9"/>
  <c r="Q36" i="9"/>
  <c r="P36" i="9"/>
  <c r="O36" i="9"/>
  <c r="N36" i="9"/>
  <c r="M36" i="9"/>
  <c r="W29" i="9"/>
  <c r="V29" i="9"/>
  <c r="Q29" i="9"/>
  <c r="P29" i="9"/>
  <c r="O29" i="9"/>
  <c r="N29" i="9"/>
  <c r="M29" i="9"/>
  <c r="W17" i="9"/>
  <c r="V17" i="9"/>
  <c r="Q17" i="9"/>
  <c r="P17" i="9"/>
  <c r="O17" i="9"/>
  <c r="N17" i="9"/>
  <c r="M17" i="9"/>
  <c r="W10" i="9"/>
  <c r="V10" i="9"/>
  <c r="Q10" i="9"/>
  <c r="P10" i="9"/>
  <c r="O10" i="9"/>
  <c r="N10" i="9"/>
  <c r="M10" i="9"/>
  <c r="W12" i="9"/>
  <c r="V12" i="9"/>
  <c r="Q12" i="9"/>
  <c r="P12" i="9"/>
  <c r="O12" i="9"/>
  <c r="N12" i="9"/>
  <c r="M12" i="9"/>
  <c r="V10" i="1"/>
  <c r="W10" i="1"/>
  <c r="W4" i="1"/>
  <c r="W7" i="1"/>
  <c r="W19" i="1"/>
  <c r="W6" i="1"/>
  <c r="W28" i="1"/>
  <c r="W24" i="1"/>
  <c r="W21" i="1"/>
  <c r="W20" i="1"/>
  <c r="W16" i="1"/>
  <c r="W42" i="1"/>
  <c r="W29" i="1"/>
  <c r="W5" i="1"/>
  <c r="W26" i="1"/>
  <c r="W3" i="1"/>
  <c r="W34" i="1"/>
  <c r="W36" i="1"/>
  <c r="W35" i="1"/>
  <c r="W22" i="1"/>
  <c r="W13" i="1"/>
  <c r="W25" i="1"/>
  <c r="W8" i="1"/>
  <c r="W9" i="1"/>
  <c r="W14" i="1"/>
  <c r="W17" i="1"/>
  <c r="W15" i="1"/>
  <c r="W27" i="1"/>
  <c r="W11" i="1"/>
  <c r="W18" i="1"/>
  <c r="W12" i="1"/>
  <c r="V7" i="1"/>
  <c r="V19" i="1"/>
  <c r="V6" i="1"/>
  <c r="V28" i="1"/>
  <c r="V24" i="1"/>
  <c r="V21" i="1"/>
  <c r="V20" i="1"/>
  <c r="V16" i="1"/>
  <c r="V42" i="1"/>
  <c r="V29" i="1"/>
  <c r="V4" i="1"/>
  <c r="V5" i="1"/>
  <c r="V26" i="1"/>
  <c r="V3" i="1"/>
  <c r="V34" i="1"/>
  <c r="V36" i="1"/>
  <c r="V35" i="1"/>
  <c r="V22" i="1"/>
  <c r="V13" i="1"/>
  <c r="V25" i="1"/>
  <c r="V8" i="1"/>
  <c r="V9" i="1"/>
  <c r="V14" i="1"/>
  <c r="V17" i="1"/>
  <c r="V15" i="1"/>
  <c r="V27" i="1"/>
  <c r="V11" i="1"/>
  <c r="V18" i="1"/>
  <c r="V12" i="1"/>
  <c r="M10" i="1"/>
  <c r="M25" i="1"/>
  <c r="N25" i="1"/>
  <c r="O25" i="1"/>
  <c r="P25" i="1"/>
  <c r="Q25" i="1"/>
  <c r="M7" i="1"/>
  <c r="N7" i="1"/>
  <c r="O7" i="1"/>
  <c r="P7" i="1"/>
  <c r="Q7" i="1"/>
  <c r="R36" i="9" l="1"/>
  <c r="R11" i="9"/>
  <c r="R39" i="9"/>
  <c r="T39" i="9" s="1" a="1"/>
  <c r="T39" i="9" s="1"/>
  <c r="R33" i="1"/>
  <c r="R13" i="9"/>
  <c r="R7" i="9"/>
  <c r="R5" i="9"/>
  <c r="T5" i="9" s="1" a="1"/>
  <c r="T5" i="9" s="1"/>
  <c r="R4" i="9"/>
  <c r="R28" i="9"/>
  <c r="R18" i="9"/>
  <c r="T18" i="9" s="1" a="1"/>
  <c r="T18" i="9" s="1"/>
  <c r="R23" i="9"/>
  <c r="R31" i="9"/>
  <c r="R3" i="9"/>
  <c r="R29" i="9"/>
  <c r="Z28" i="9" s="1"/>
  <c r="R37" i="9"/>
  <c r="T37" i="9" s="1" a="1"/>
  <c r="T37" i="9" s="1"/>
  <c r="R34" i="9"/>
  <c r="T34" i="9" s="1" a="1"/>
  <c r="T34" i="9" s="1"/>
  <c r="R33" i="9"/>
  <c r="T33" i="9" s="1" a="1"/>
  <c r="T33" i="9" s="1"/>
  <c r="R40" i="1"/>
  <c r="T40" i="1" s="1" a="1"/>
  <c r="T40" i="1" s="1"/>
  <c r="R37" i="1"/>
  <c r="R41" i="1"/>
  <c r="R39" i="1"/>
  <c r="T39" i="1" s="1" a="1"/>
  <c r="T39" i="1" s="1"/>
  <c r="R38" i="1"/>
  <c r="R25" i="1"/>
  <c r="T25" i="1" s="1" a="1"/>
  <c r="T25" i="1" s="1"/>
  <c r="R23" i="1"/>
  <c r="T23" i="1" s="1" a="1"/>
  <c r="T23" i="1" s="1"/>
  <c r="R32" i="1"/>
  <c r="R31" i="1"/>
  <c r="R30" i="1"/>
  <c r="T30" i="1" s="1" a="1"/>
  <c r="T30" i="1" s="1"/>
  <c r="R7" i="1"/>
  <c r="R40" i="9"/>
  <c r="R38" i="9"/>
  <c r="T38" i="9" s="1" a="1"/>
  <c r="T38" i="9" s="1"/>
  <c r="R35" i="9"/>
  <c r="Z36" i="9" s="1"/>
  <c r="R21" i="9"/>
  <c r="R20" i="9"/>
  <c r="T20" i="9" s="1" a="1"/>
  <c r="T20" i="9" s="1"/>
  <c r="R22" i="9"/>
  <c r="Z21" i="9" s="1"/>
  <c r="R27" i="9"/>
  <c r="T27" i="9" s="1" a="1"/>
  <c r="T27" i="9" s="1"/>
  <c r="R15" i="9"/>
  <c r="R12" i="9"/>
  <c r="Z12" i="9" s="1"/>
  <c r="R25" i="9"/>
  <c r="R26" i="9"/>
  <c r="R9" i="9"/>
  <c r="Z10" i="9" s="1"/>
  <c r="R16" i="9"/>
  <c r="T16" i="9" s="1" a="1"/>
  <c r="T16" i="9" s="1"/>
  <c r="R32" i="9"/>
  <c r="T32" i="9" s="1" a="1"/>
  <c r="T32" i="9" s="1"/>
  <c r="R30" i="9"/>
  <c r="R6" i="9"/>
  <c r="T6" i="9" s="1" a="1"/>
  <c r="T6" i="9" s="1"/>
  <c r="R24" i="9"/>
  <c r="Z31" i="9" s="1"/>
  <c r="R14" i="9"/>
  <c r="R17" i="9"/>
  <c r="R19" i="9"/>
  <c r="Z19" i="9" s="1"/>
  <c r="R10" i="9"/>
  <c r="T10" i="9" s="1" a="1"/>
  <c r="T10" i="9" s="1"/>
  <c r="R8" i="9"/>
  <c r="Z29" i="9"/>
  <c r="Z20" i="9"/>
  <c r="T40" i="9" a="1"/>
  <c r="T40" i="9" s="1"/>
  <c r="T21" i="9" a="1"/>
  <c r="T21" i="9" s="1"/>
  <c r="T4" i="9" a="1"/>
  <c r="T4" i="9" s="1"/>
  <c r="T35" i="9" a="1"/>
  <c r="T35" i="9" s="1"/>
  <c r="T28" i="9" a="1"/>
  <c r="T28" i="9" s="1"/>
  <c r="T41" i="1" a="1"/>
  <c r="T41" i="1" s="1"/>
  <c r="T33" i="1" a="1"/>
  <c r="T33" i="1" s="1"/>
  <c r="T7" i="1" a="1"/>
  <c r="T7" i="1" s="1"/>
  <c r="T32" i="1" a="1"/>
  <c r="T32" i="1" s="1"/>
  <c r="T38" i="1" a="1"/>
  <c r="T38" i="1" s="1"/>
  <c r="T15" i="9" a="1"/>
  <c r="T15" i="9" s="1"/>
  <c r="T29" i="9" a="1"/>
  <c r="T29" i="9" s="1"/>
  <c r="T11" i="9" a="1"/>
  <c r="T11" i="9" s="1"/>
  <c r="T13" i="9" a="1"/>
  <c r="T13" i="9" s="1"/>
  <c r="T14" i="9" a="1"/>
  <c r="T14" i="9" s="1"/>
  <c r="T7" i="9" a="1"/>
  <c r="T7" i="9" s="1"/>
  <c r="T3" i="9" a="1"/>
  <c r="T3" i="9" s="1"/>
  <c r="N19" i="1"/>
  <c r="O19" i="1"/>
  <c r="P19" i="1"/>
  <c r="Q19" i="1"/>
  <c r="N17" i="1"/>
  <c r="O17" i="1"/>
  <c r="P17" i="1"/>
  <c r="N29" i="1"/>
  <c r="O29" i="1"/>
  <c r="P29" i="1"/>
  <c r="Q29" i="1"/>
  <c r="N21" i="1"/>
  <c r="O21" i="1"/>
  <c r="P21" i="1"/>
  <c r="Q21" i="1"/>
  <c r="N15" i="1"/>
  <c r="O15" i="1"/>
  <c r="P15" i="1"/>
  <c r="Q15" i="1"/>
  <c r="N18" i="1"/>
  <c r="O18" i="1"/>
  <c r="P18" i="1"/>
  <c r="Q18" i="1"/>
  <c r="N20" i="1"/>
  <c r="O20" i="1"/>
  <c r="P20" i="1"/>
  <c r="Q20" i="1"/>
  <c r="N4" i="1"/>
  <c r="O4" i="1"/>
  <c r="P4" i="1"/>
  <c r="Q4" i="1"/>
  <c r="N13" i="1"/>
  <c r="P13" i="1"/>
  <c r="Q13" i="1"/>
  <c r="N8" i="1"/>
  <c r="O8" i="1"/>
  <c r="P8" i="1"/>
  <c r="Q8" i="1"/>
  <c r="N3" i="1"/>
  <c r="O3" i="1"/>
  <c r="P3" i="1"/>
  <c r="Q3" i="1"/>
  <c r="N22" i="1"/>
  <c r="O22" i="1"/>
  <c r="P22" i="1"/>
  <c r="Q22" i="1"/>
  <c r="N16" i="1"/>
  <c r="O16" i="1"/>
  <c r="P16" i="1"/>
  <c r="Q16" i="1"/>
  <c r="N24" i="1"/>
  <c r="O24" i="1"/>
  <c r="P24" i="1"/>
  <c r="Q24" i="1"/>
  <c r="N28" i="1"/>
  <c r="O28" i="1"/>
  <c r="P28" i="1"/>
  <c r="Q28" i="1"/>
  <c r="O36" i="1"/>
  <c r="P36" i="1"/>
  <c r="Q36" i="1"/>
  <c r="N35" i="1"/>
  <c r="O35" i="1"/>
  <c r="P35" i="1"/>
  <c r="Q35" i="1"/>
  <c r="N9" i="1"/>
  <c r="O9" i="1"/>
  <c r="Q9" i="1"/>
  <c r="N11" i="1"/>
  <c r="O11" i="1"/>
  <c r="P11" i="1"/>
  <c r="Q11" i="1"/>
  <c r="N34" i="1"/>
  <c r="O34" i="1"/>
  <c r="P34" i="1"/>
  <c r="N14" i="1"/>
  <c r="O14" i="1"/>
  <c r="P14" i="1"/>
  <c r="Q14" i="1"/>
  <c r="N42" i="1"/>
  <c r="O42" i="1"/>
  <c r="P42" i="1"/>
  <c r="Q42" i="1"/>
  <c r="O27" i="1"/>
  <c r="P27" i="1"/>
  <c r="Q27" i="1"/>
  <c r="N10" i="1"/>
  <c r="O10" i="1"/>
  <c r="P10" i="1"/>
  <c r="Q10" i="1"/>
  <c r="N6" i="1"/>
  <c r="O6" i="1"/>
  <c r="Q6" i="1"/>
  <c r="N5" i="1"/>
  <c r="O5" i="1"/>
  <c r="P5" i="1"/>
  <c r="Q5" i="1"/>
  <c r="M12" i="1"/>
  <c r="N12" i="1"/>
  <c r="O12" i="1"/>
  <c r="P12" i="1"/>
  <c r="Q12" i="1"/>
  <c r="R10" i="1" l="1"/>
  <c r="T19" i="9" a="1"/>
  <c r="T19" i="9" s="1"/>
  <c r="Z4" i="9"/>
  <c r="Z14" i="9"/>
  <c r="Z32" i="9"/>
  <c r="Z13" i="9"/>
  <c r="Z23" i="9"/>
  <c r="Z39" i="9"/>
  <c r="S34" i="9"/>
  <c r="U34" i="9" s="1"/>
  <c r="G34" i="9" s="1"/>
  <c r="Z18" i="9"/>
  <c r="T31" i="9" a="1"/>
  <c r="T31" i="9" s="1"/>
  <c r="Z7" i="9"/>
  <c r="Z22" i="9"/>
  <c r="S39" i="9"/>
  <c r="U39" i="9" s="1"/>
  <c r="S33" i="9"/>
  <c r="U33" i="9" s="1"/>
  <c r="G33" i="9" s="1"/>
  <c r="T25" i="9" a="1"/>
  <c r="T25" i="9" s="1"/>
  <c r="Z5" i="9"/>
  <c r="Z16" i="9"/>
  <c r="Z6" i="9"/>
  <c r="T8" i="9" a="1"/>
  <c r="T8" i="9" s="1"/>
  <c r="Z25" i="9"/>
  <c r="Z11" i="9"/>
  <c r="T22" i="9" a="1"/>
  <c r="T22" i="9" s="1"/>
  <c r="T12" i="9" a="1"/>
  <c r="T12" i="9" s="1"/>
  <c r="Z40" i="1"/>
  <c r="T37" i="1" a="1"/>
  <c r="T37" i="1" s="1"/>
  <c r="S37" i="9"/>
  <c r="U37" i="9" s="1"/>
  <c r="G37" i="9" s="1"/>
  <c r="Z40" i="9"/>
  <c r="Z31" i="1"/>
  <c r="T31" i="1" a="1"/>
  <c r="T31" i="1" s="1"/>
  <c r="Z35" i="9"/>
  <c r="Z26" i="9"/>
  <c r="Z27" i="9"/>
  <c r="T26" i="9" a="1"/>
  <c r="T26" i="9" s="1"/>
  <c r="S32" i="9"/>
  <c r="U32" i="9" s="1"/>
  <c r="Z30" i="9"/>
  <c r="T30" i="9" a="1"/>
  <c r="T30" i="9" s="1"/>
  <c r="S30" i="9" a="1"/>
  <c r="S30" i="9" s="1"/>
  <c r="T24" i="9" a="1"/>
  <c r="T24" i="9" s="1"/>
  <c r="Z24" i="9"/>
  <c r="Z38" i="9"/>
  <c r="Z17" i="9"/>
  <c r="T17" i="9" a="1"/>
  <c r="T17" i="9" s="1"/>
  <c r="Z15" i="9"/>
  <c r="R12" i="1"/>
  <c r="T12" i="1" s="1" a="1"/>
  <c r="T12" i="1" s="1"/>
  <c r="T9" i="9" a="1"/>
  <c r="T9" i="9" s="1"/>
  <c r="Z9" i="9"/>
  <c r="Z8" i="9"/>
  <c r="Z3" i="9"/>
  <c r="S38" i="9"/>
  <c r="U38" i="9" s="1"/>
  <c r="S24" i="9"/>
  <c r="T10" i="1" a="1"/>
  <c r="T10" i="1" s="1"/>
  <c r="S15" i="9"/>
  <c r="U15" i="9" s="1"/>
  <c r="S3" i="9"/>
  <c r="U3" i="9" s="1"/>
  <c r="S31" i="9"/>
  <c r="U31" i="9" s="1"/>
  <c r="S23" i="9"/>
  <c r="S10" i="9"/>
  <c r="U10" i="9" s="1"/>
  <c r="S16" i="9"/>
  <c r="U16" i="9" s="1"/>
  <c r="S12" i="9" a="1"/>
  <c r="S12" i="9" s="1"/>
  <c r="U12" i="9" s="1"/>
  <c r="T36" i="9" a="1"/>
  <c r="T36" i="9" s="1"/>
  <c r="S8" i="9"/>
  <c r="U8" i="9" s="1"/>
  <c r="S17" i="9"/>
  <c r="T23" i="9" a="1"/>
  <c r="T23" i="9" s="1"/>
  <c r="S14" i="9"/>
  <c r="U14" i="9" s="1"/>
  <c r="S28" i="9"/>
  <c r="U28" i="9" s="1"/>
  <c r="S27" i="9"/>
  <c r="U27" i="9" s="1"/>
  <c r="S18" i="9"/>
  <c r="U18" i="9" s="1"/>
  <c r="S35" i="9"/>
  <c r="U35" i="9" s="1"/>
  <c r="S4" i="9"/>
  <c r="U4" i="9" s="1"/>
  <c r="S21" i="9"/>
  <c r="U21" i="9" s="1"/>
  <c r="S13" i="9"/>
  <c r="U13" i="9" s="1"/>
  <c r="S29" i="9"/>
  <c r="U29" i="9" s="1"/>
  <c r="S26" i="9"/>
  <c r="U26" i="9" s="1"/>
  <c r="S11" i="9"/>
  <c r="U11" i="9" s="1"/>
  <c r="S5" i="9"/>
  <c r="U5" i="9" s="1"/>
  <c r="S7" i="9"/>
  <c r="U7" i="9" s="1"/>
  <c r="S19" i="9"/>
  <c r="U19" i="9" s="1"/>
  <c r="S36" i="9"/>
  <c r="S9" i="9"/>
  <c r="S22" i="9"/>
  <c r="U22" i="9" s="1"/>
  <c r="S6" i="9"/>
  <c r="U6" i="9" s="1"/>
  <c r="S40" i="9"/>
  <c r="U40" i="9" s="1"/>
  <c r="S25" i="9"/>
  <c r="U25" i="9" s="1"/>
  <c r="S20" i="9"/>
  <c r="U20" i="9" s="1"/>
  <c r="M17" i="1"/>
  <c r="R17" i="1" s="1"/>
  <c r="M8" i="1"/>
  <c r="R8" i="1" s="1"/>
  <c r="M21" i="1"/>
  <c r="R21" i="1" s="1"/>
  <c r="M9" i="1"/>
  <c r="R9" i="1" s="1"/>
  <c r="M5" i="1"/>
  <c r="R5" i="1" s="1"/>
  <c r="M15" i="1"/>
  <c r="R15" i="1" s="1"/>
  <c r="M28" i="1"/>
  <c r="R28" i="1" s="1"/>
  <c r="M20" i="1"/>
  <c r="R20" i="1" s="1"/>
  <c r="M16" i="1"/>
  <c r="R16" i="1" s="1"/>
  <c r="M35" i="1"/>
  <c r="R35" i="1" s="1"/>
  <c r="M34" i="1"/>
  <c r="M36" i="1"/>
  <c r="M22" i="1"/>
  <c r="R22" i="1" s="1"/>
  <c r="M13" i="1"/>
  <c r="M6" i="1"/>
  <c r="Q17" i="1"/>
  <c r="M27" i="1"/>
  <c r="M14" i="1"/>
  <c r="R14" i="1" s="1"/>
  <c r="O13" i="1"/>
  <c r="M18" i="1"/>
  <c r="R18" i="1" s="1"/>
  <c r="M19" i="1"/>
  <c r="R19" i="1" s="1"/>
  <c r="M29" i="1"/>
  <c r="R29" i="1" s="1"/>
  <c r="M4" i="1"/>
  <c r="R4" i="1" s="1"/>
  <c r="M42" i="1"/>
  <c r="R42" i="1" s="1"/>
  <c r="M24" i="1"/>
  <c r="R24" i="1" s="1"/>
  <c r="P6" i="1"/>
  <c r="N27" i="1"/>
  <c r="Q34" i="1"/>
  <c r="M11" i="1"/>
  <c r="R11" i="1" s="1"/>
  <c r="P9" i="1"/>
  <c r="N36" i="1"/>
  <c r="M3" i="1"/>
  <c r="R3" i="1" s="1"/>
  <c r="Z9" i="1" l="1"/>
  <c r="R34" i="1"/>
  <c r="Z30" i="1"/>
  <c r="R27" i="1"/>
  <c r="U30" i="9"/>
  <c r="U24" i="9"/>
  <c r="G24" i="9" s="1"/>
  <c r="U17" i="9"/>
  <c r="U9" i="9"/>
  <c r="Z16" i="1"/>
  <c r="Z11" i="1"/>
  <c r="Z18" i="1"/>
  <c r="R36" i="1"/>
  <c r="Z37" i="1" s="1"/>
  <c r="Z34" i="1"/>
  <c r="Z41" i="1"/>
  <c r="Z21" i="1"/>
  <c r="Z38" i="1"/>
  <c r="Z42" i="1"/>
  <c r="Z32" i="1"/>
  <c r="Z10" i="1"/>
  <c r="Z4" i="1"/>
  <c r="R6" i="1"/>
  <c r="T6" i="1" s="1" a="1"/>
  <c r="T6" i="1" s="1"/>
  <c r="Z23" i="1"/>
  <c r="Z29" i="1"/>
  <c r="R13" i="1"/>
  <c r="Z13" i="1" s="1"/>
  <c r="T17" i="1" a="1"/>
  <c r="T17" i="1" s="1"/>
  <c r="T24" i="1" a="1"/>
  <c r="T24" i="1" s="1"/>
  <c r="T35" i="1" a="1"/>
  <c r="T35" i="1" s="1"/>
  <c r="T28" i="1" a="1"/>
  <c r="T28" i="1" s="1"/>
  <c r="T15" i="1" a="1"/>
  <c r="T15" i="1" s="1"/>
  <c r="T14" i="1" a="1"/>
  <c r="T14" i="1" s="1"/>
  <c r="T8" i="1" a="1"/>
  <c r="T8" i="1" s="1"/>
  <c r="T16" i="1" a="1"/>
  <c r="T16" i="1" s="1"/>
  <c r="T20" i="1" a="1"/>
  <c r="T20" i="1" s="1"/>
  <c r="T4" i="1" a="1"/>
  <c r="T4" i="1" s="1"/>
  <c r="T29" i="1" a="1"/>
  <c r="T29" i="1" s="1"/>
  <c r="T11" i="1" a="1"/>
  <c r="T11" i="1" s="1"/>
  <c r="T19" i="1" a="1"/>
  <c r="T19" i="1" s="1"/>
  <c r="T22" i="1" a="1"/>
  <c r="T22" i="1" s="1"/>
  <c r="T5" i="1" a="1"/>
  <c r="T5" i="1" s="1"/>
  <c r="T21" i="1" a="1"/>
  <c r="T21" i="1" s="1"/>
  <c r="T27" i="1" a="1"/>
  <c r="T27" i="1" s="1"/>
  <c r="T42" i="1" a="1"/>
  <c r="T42" i="1" s="1"/>
  <c r="T18" i="1" a="1"/>
  <c r="T18" i="1" s="1"/>
  <c r="U36" i="9"/>
  <c r="T3" i="1" a="1"/>
  <c r="T3" i="1" s="1"/>
  <c r="U23" i="9"/>
  <c r="G38" i="9" s="1"/>
  <c r="T34" i="1" a="1"/>
  <c r="T34" i="1" s="1"/>
  <c r="Z12" i="1" l="1"/>
  <c r="Z5" i="1"/>
  <c r="Z19" i="1"/>
  <c r="Z20" i="1"/>
  <c r="Z28" i="1"/>
  <c r="Z35" i="1"/>
  <c r="Z3" i="1"/>
  <c r="Z14" i="1"/>
  <c r="Z8" i="1"/>
  <c r="T13" i="1" a="1"/>
  <c r="T13" i="1" s="1"/>
  <c r="G39" i="9"/>
  <c r="G30" i="9"/>
  <c r="G32" i="9"/>
  <c r="Z36" i="1"/>
  <c r="Z39" i="1"/>
  <c r="Z33" i="1"/>
  <c r="Z15" i="1"/>
  <c r="T9" i="1" a="1"/>
  <c r="T9" i="1" s="1"/>
  <c r="Z17" i="1"/>
  <c r="T36" i="1" a="1"/>
  <c r="T36" i="1" s="1"/>
  <c r="Z22" i="1"/>
  <c r="G28" i="9"/>
  <c r="G20" i="9"/>
  <c r="G14" i="9"/>
  <c r="G25" i="9"/>
  <c r="G11" i="9"/>
  <c r="G6" i="9"/>
  <c r="G40" i="9"/>
  <c r="G23" i="9"/>
  <c r="G3" i="9"/>
  <c r="G22" i="9"/>
  <c r="G16" i="9"/>
  <c r="G27" i="9"/>
  <c r="G18" i="9"/>
  <c r="G35" i="9"/>
  <c r="G19" i="9"/>
  <c r="G31" i="9"/>
  <c r="G21" i="9"/>
  <c r="G5" i="9"/>
  <c r="G4" i="9"/>
  <c r="G26" i="9"/>
  <c r="G15" i="9"/>
  <c r="G12" i="9"/>
  <c r="G10" i="9"/>
  <c r="G17" i="9"/>
  <c r="G36" i="9"/>
  <c r="G8" i="9"/>
  <c r="G7" i="9"/>
  <c r="G29" i="9"/>
  <c r="G13" i="9"/>
  <c r="G9" i="9"/>
  <c r="B7" i="7" l="1"/>
  <c r="C7" i="7"/>
  <c r="D7" i="7"/>
  <c r="E7" i="7"/>
  <c r="F7" i="7"/>
  <c r="N26" i="1"/>
  <c r="O26" i="1"/>
  <c r="P26" i="1"/>
  <c r="Q26" i="1"/>
  <c r="M26" i="1" l="1"/>
  <c r="R26" i="1" s="1"/>
  <c r="Z25" i="1" s="1"/>
  <c r="Z7" i="1" l="1"/>
  <c r="Z27" i="1"/>
  <c r="S37" i="1"/>
  <c r="U37" i="1" s="1"/>
  <c r="S40" i="1"/>
  <c r="U40" i="1" s="1"/>
  <c r="G40" i="1" s="1"/>
  <c r="S30" i="1"/>
  <c r="U30" i="1" s="1"/>
  <c r="S31" i="1"/>
  <c r="U31" i="1" s="1"/>
  <c r="G31" i="1" s="1"/>
  <c r="Z26" i="1"/>
  <c r="Z24" i="1"/>
  <c r="Z6" i="1"/>
  <c r="S23" i="1"/>
  <c r="U23" i="1" s="1"/>
  <c r="S32" i="1"/>
  <c r="U32" i="1" s="1"/>
  <c r="G32" i="1" s="1"/>
  <c r="S41" i="1"/>
  <c r="U41" i="1" s="1"/>
  <c r="G41" i="1" s="1"/>
  <c r="S33" i="1"/>
  <c r="U33" i="1" s="1"/>
  <c r="S39" i="1"/>
  <c r="U39" i="1" s="1"/>
  <c r="S38" i="1"/>
  <c r="U38" i="1" s="1"/>
  <c r="S10" i="1" a="1"/>
  <c r="S10" i="1" s="1"/>
  <c r="U10" i="1" s="1"/>
  <c r="S12" i="1"/>
  <c r="U12" i="1" s="1"/>
  <c r="T26" i="1" a="1"/>
  <c r="T26" i="1" s="1"/>
  <c r="S42" i="1"/>
  <c r="U42" i="1" s="1"/>
  <c r="S16" i="1"/>
  <c r="U16" i="1" s="1"/>
  <c r="S7" i="1" l="1"/>
  <c r="U7" i="1" s="1"/>
  <c r="S25" i="1"/>
  <c r="U25" i="1" s="1"/>
  <c r="S29" i="1"/>
  <c r="U29" i="1" s="1"/>
  <c r="S15" i="1"/>
  <c r="U15" i="1" s="1"/>
  <c r="S18" i="1"/>
  <c r="U18" i="1" s="1"/>
  <c r="S13" i="1"/>
  <c r="U13" i="1" s="1"/>
  <c r="S3" i="1"/>
  <c r="U3" i="1" s="1"/>
  <c r="S21" i="1"/>
  <c r="U21" i="1" s="1"/>
  <c r="S34" i="1"/>
  <c r="U34" i="1" s="1"/>
  <c r="S28" i="1"/>
  <c r="U28" i="1" s="1"/>
  <c r="S9" i="1"/>
  <c r="U9" i="1" s="1"/>
  <c r="S11" i="1"/>
  <c r="U11" i="1" s="1"/>
  <c r="S27" i="1"/>
  <c r="U27" i="1" s="1"/>
  <c r="S19" i="1"/>
  <c r="U19" i="1" s="1"/>
  <c r="S17" i="1"/>
  <c r="U17" i="1" s="1"/>
  <c r="S35" i="1"/>
  <c r="U35" i="1" s="1"/>
  <c r="S22" i="1"/>
  <c r="U22" i="1" s="1"/>
  <c r="S20" i="1"/>
  <c r="U20" i="1" s="1"/>
  <c r="S14" i="1"/>
  <c r="U14" i="1" s="1"/>
  <c r="S8" i="1"/>
  <c r="U8" i="1" s="1"/>
  <c r="S6" i="1"/>
  <c r="U6" i="1" s="1"/>
  <c r="S36" i="1"/>
  <c r="U36" i="1" s="1"/>
  <c r="S24" i="1"/>
  <c r="U24" i="1" s="1"/>
  <c r="S4" i="1"/>
  <c r="U4" i="1" s="1"/>
  <c r="S5" i="1"/>
  <c r="U5" i="1" s="1"/>
  <c r="S26" i="1" l="1"/>
  <c r="U26" i="1" s="1"/>
  <c r="G26" i="1" s="1"/>
  <c r="G37" i="1" l="1"/>
  <c r="G30" i="1"/>
  <c r="G39" i="1"/>
  <c r="G38" i="1"/>
  <c r="G33" i="1"/>
  <c r="G23" i="1"/>
  <c r="G9" i="1"/>
  <c r="G18" i="1"/>
  <c r="G35" i="1"/>
  <c r="G11" i="1"/>
  <c r="G8" i="1"/>
  <c r="G28" i="1"/>
  <c r="G27" i="1"/>
  <c r="G22" i="1"/>
  <c r="G4" i="1"/>
  <c r="G36" i="1"/>
  <c r="G24" i="1"/>
  <c r="G13" i="1"/>
  <c r="G21" i="1"/>
  <c r="G3" i="1"/>
  <c r="G7" i="1"/>
  <c r="G25" i="1"/>
  <c r="G19" i="1"/>
  <c r="G42" i="1"/>
  <c r="G6" i="1"/>
  <c r="G29" i="1"/>
  <c r="G14" i="1"/>
  <c r="G34" i="1"/>
  <c r="G17" i="1"/>
  <c r="G12" i="1"/>
  <c r="G20" i="1"/>
  <c r="G5" i="1"/>
  <c r="G15" i="1"/>
  <c r="G16" i="1"/>
  <c r="G10" i="1"/>
  <c r="B6" i="7" s="1"/>
  <c r="I7" i="7"/>
  <c r="H7" i="7"/>
  <c r="J7" i="7"/>
  <c r="K7" i="7"/>
  <c r="G7" i="7"/>
  <c r="C6" i="7" l="1"/>
  <c r="D6" i="7"/>
  <c r="E6" i="7"/>
  <c r="F6" i="7"/>
  <c r="L7" i="7"/>
  <c r="H6" i="7" l="1"/>
  <c r="I6" i="7"/>
  <c r="J6" i="7"/>
  <c r="K6" i="7"/>
  <c r="G6" i="7"/>
  <c r="L6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<sst xmlns="http://schemas.openxmlformats.org/spreadsheetml/2006/main" count="306" uniqueCount="150">
  <si>
    <t>Athlete</t>
  </si>
  <si>
    <t>Ranking</t>
  </si>
  <si>
    <t>Points</t>
  </si>
  <si>
    <t>Total</t>
  </si>
  <si>
    <t>Chisato Doihata</t>
  </si>
  <si>
    <t>Country</t>
  </si>
  <si>
    <t>CHN</t>
  </si>
  <si>
    <t>CAN</t>
  </si>
  <si>
    <t>JPN</t>
  </si>
  <si>
    <t>BLR</t>
  </si>
  <si>
    <t>RUS</t>
  </si>
  <si>
    <t>FRA</t>
  </si>
  <si>
    <t>Bryony Page</t>
  </si>
  <si>
    <t>GBR</t>
  </si>
  <si>
    <t>Reina Satake</t>
  </si>
  <si>
    <t>Nicole Ashinger</t>
  </si>
  <si>
    <t>Camilla Gomes</t>
  </si>
  <si>
    <t>Dafne Navarro Loza</t>
  </si>
  <si>
    <t>Alice Gomes</t>
  </si>
  <si>
    <t>Madaline Davidson</t>
  </si>
  <si>
    <t>Sophiane Méthot</t>
  </si>
  <si>
    <t>Sarah Milette</t>
  </si>
  <si>
    <t>Luba Golovina</t>
  </si>
  <si>
    <t>ESP</t>
  </si>
  <si>
    <t>GEO</t>
  </si>
  <si>
    <t>NZL</t>
  </si>
  <si>
    <t>USA</t>
  </si>
  <si>
    <t>BRA</t>
  </si>
  <si>
    <t>MEX</t>
  </si>
  <si>
    <t>GER</t>
  </si>
  <si>
    <t>UZB</t>
  </si>
  <si>
    <t>AUS</t>
  </si>
  <si>
    <t>SWE</t>
  </si>
  <si>
    <t>Overall Ranking</t>
  </si>
  <si>
    <t>Top Ranked in Country</t>
  </si>
  <si>
    <t>Dylan Schmidt</t>
  </si>
  <si>
    <t>Xueying Zhu</t>
  </si>
  <si>
    <t>POR</t>
  </si>
  <si>
    <t>Pedro Ferreira</t>
  </si>
  <si>
    <t>Allan Morante</t>
  </si>
  <si>
    <t>Blake Rutherford</t>
  </si>
  <si>
    <t>Fabian Vogel</t>
  </si>
  <si>
    <t>Matthais Pfleiderer</t>
  </si>
  <si>
    <t>Aliaksei Shostak</t>
  </si>
  <si>
    <t>Mykola Prostorov</t>
  </si>
  <si>
    <t>UKR</t>
  </si>
  <si>
    <t>ITA</t>
  </si>
  <si>
    <t>KAZ</t>
  </si>
  <si>
    <t>BUL</t>
  </si>
  <si>
    <t>Total of Eligible*</t>
  </si>
  <si>
    <t>*Eligible means: both the top ranked athlete in their country based on World Cups AND not more than the fourth country to earn a second spot.</t>
  </si>
  <si>
    <t>Qualified By Criteria 1 (Worlds)</t>
  </si>
  <si>
    <t>Country Already Qualified</t>
  </si>
  <si>
    <t>Ryosuke Sakai</t>
  </si>
  <si>
    <t>Diogo Abreu</t>
  </si>
  <si>
    <t>Danil Mussabayev</t>
  </si>
  <si>
    <t>POL</t>
  </si>
  <si>
    <t>Pierre Gouzou</t>
  </si>
  <si>
    <t>Benny Wizani</t>
  </si>
  <si>
    <t>AUT</t>
  </si>
  <si>
    <t>Angel Hernandez</t>
  </si>
  <si>
    <t>COL</t>
  </si>
  <si>
    <t>DEN</t>
  </si>
  <si>
    <t>GRE</t>
  </si>
  <si>
    <t>Hikaru Mori</t>
  </si>
  <si>
    <t>Xinyi Fan</t>
  </si>
  <si>
    <t>Noemi Romero Rosario</t>
  </si>
  <si>
    <t>SUI</t>
  </si>
  <si>
    <t>Jessica Stevens</t>
  </si>
  <si>
    <t>Tie Break 1 (Low Wins)</t>
  </si>
  <si>
    <t>Tie Break 2 (High Wins)</t>
  </si>
  <si>
    <t>Isabelle Songhurst</t>
  </si>
  <si>
    <t>NED</t>
  </si>
  <si>
    <t>TUR</t>
  </si>
  <si>
    <t>Léa Labrousse</t>
  </si>
  <si>
    <t>Langyu Yan</t>
  </si>
  <si>
    <t>Rayan Dutra</t>
  </si>
  <si>
    <t>Julian Chartier</t>
  </si>
  <si>
    <t>Sort Athletes Into Ranking Order</t>
  </si>
  <si>
    <t>Sort Athletes Alphabetically for Data Entry</t>
  </si>
  <si>
    <t>Rachel Tam</t>
  </si>
  <si>
    <t>Melania Rodriguez</t>
  </si>
  <si>
    <t>Andrew Stamp</t>
  </si>
  <si>
    <t>AZE</t>
  </si>
  <si>
    <t>Continent</t>
  </si>
  <si>
    <t>Asia</t>
  </si>
  <si>
    <t>Europe</t>
  </si>
  <si>
    <t>Americas</t>
  </si>
  <si>
    <t>Oceana</t>
  </si>
  <si>
    <t>Africa</t>
  </si>
  <si>
    <t>Men</t>
  </si>
  <si>
    <t>Women</t>
  </si>
  <si>
    <t>Confirmed from Worlds/Continental Championships</t>
  </si>
  <si>
    <t>In Qualifying Position</t>
  </si>
  <si>
    <t>Will be Displaced for Continental Representation</t>
  </si>
  <si>
    <t>EGY</t>
  </si>
  <si>
    <t>Ryusei Nishioka</t>
  </si>
  <si>
    <t>Removing athletes bumped for continental representation</t>
  </si>
  <si>
    <t>Continental Representation (before host country/tripartite)</t>
  </si>
  <si>
    <t>POR 2023</t>
  </si>
  <si>
    <t>Host Country/Universality (or Reallocated)</t>
  </si>
  <si>
    <t>Qualified by Criteria 3 (Continental)</t>
  </si>
  <si>
    <t>USA 2023</t>
  </si>
  <si>
    <t>BUL 2023</t>
  </si>
  <si>
    <t>Yicheng Hu</t>
  </si>
  <si>
    <t>Seljan Mahsudova</t>
  </si>
  <si>
    <t>Perle Aubree</t>
  </si>
  <si>
    <t>Abbie Watts</t>
  </si>
  <si>
    <t>Mariam Ragimovi</t>
  </si>
  <si>
    <t>Cheyenne Sarah Webster</t>
  </si>
  <si>
    <t>Ingrid Maior</t>
  </si>
  <si>
    <t>Imogen Florian</t>
  </si>
  <si>
    <t>Hristina Peneva</t>
  </si>
  <si>
    <t>Teona Janjgava</t>
  </si>
  <si>
    <t>Zisai Wang</t>
  </si>
  <si>
    <t>Longyu He</t>
  </si>
  <si>
    <t>Yuming Li</t>
  </si>
  <si>
    <t>Zak Perzamanos</t>
  </si>
  <si>
    <t>Hiroto Unno</t>
  </si>
  <si>
    <t>Gabriel Albuquerque</t>
  </si>
  <si>
    <t>Matthais Schuldt</t>
  </si>
  <si>
    <t>Rémi Aubin</t>
  </si>
  <si>
    <t>Anton Davydenko</t>
  </si>
  <si>
    <t>Lucas Santos</t>
  </si>
  <si>
    <t>Ruben Padilla</t>
  </si>
  <si>
    <t>AZE 2024</t>
  </si>
  <si>
    <t>GER 2024</t>
  </si>
  <si>
    <t>Sofia Correia</t>
  </si>
  <si>
    <t>Cao Yunzhu</t>
  </si>
  <si>
    <t>Aileen Roesler</t>
  </si>
  <si>
    <t>Romana Schuring</t>
  </si>
  <si>
    <t>Jessica Pickering</t>
  </si>
  <si>
    <t>Anano Apakidze</t>
  </si>
  <si>
    <t>Hayato Miyano</t>
  </si>
  <si>
    <t>Shaun Swadling</t>
  </si>
  <si>
    <t>Tie Break 3 (Low Wins)</t>
  </si>
  <si>
    <t>Tie Break 4 (High Wins)</t>
  </si>
  <si>
    <t>Tie Break 4 Required</t>
  </si>
  <si>
    <t>David Vega</t>
  </si>
  <si>
    <t>Jorge Martin</t>
  </si>
  <si>
    <t>Dmytro Rozhko</t>
  </si>
  <si>
    <t>Isaac Rowley</t>
  </si>
  <si>
    <t>Jérémy Chartier</t>
  </si>
  <si>
    <t>Marios Grapsas</t>
  </si>
  <si>
    <t>-</t>
  </si>
  <si>
    <t>Leonie Adam</t>
  </si>
  <si>
    <t>Kiko Tanaka</t>
  </si>
  <si>
    <t>Viktoriya Butolina</t>
  </si>
  <si>
    <t>Catarina Marianito Nunes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</si>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</sst>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8">
    <dxf>
      <font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12700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12700</xdr:rowOff>
        </xdr:from>
        <xdr:to>
          <xdr:col>1</xdr:col>
          <xdr:colOff>0</xdr:colOff>
          <xdr:row>1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Alphabetical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7C78-F112-754D-B584-7E2AB3329687}">
  <sheetPr codeName="Sheet1"/>
  <dimension ref="A1:AF55"/>
  <sheetViews>
    <sheetView tabSelected="1"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22.83203125" style="5" customWidth="1"/>
    <col min="7" max="7" width="10.83203125" style="4"/>
    <col min="8" max="12" width="10.83203125" style="7"/>
    <col min="18" max="18" width="11.6640625" bestFit="1" customWidth="1"/>
    <col min="19" max="19" width="10.83203125" style="2"/>
    <col min="20" max="20" width="14" style="2" bestFit="1" customWidth="1"/>
    <col min="21" max="21" width="10.83203125" style="12"/>
    <col min="22" max="24" width="10.83203125" hidden="1" customWidth="1"/>
    <col min="25" max="25" width="10.83203125" style="14" hidden="1" customWidth="1"/>
    <col min="26" max="26" width="10.83203125" hidden="1" customWidth="1"/>
  </cols>
  <sheetData>
    <row r="1" spans="1:32" s="8" customFormat="1" ht="16" customHeight="1" x14ac:dyDescent="0.2">
      <c r="A1" s="15" t="s">
        <v>0</v>
      </c>
      <c r="B1" s="15" t="s">
        <v>5</v>
      </c>
      <c r="C1" s="15" t="s">
        <v>84</v>
      </c>
      <c r="D1" s="20" t="s">
        <v>51</v>
      </c>
      <c r="E1" s="20" t="s">
        <v>101</v>
      </c>
      <c r="F1" s="20" t="s">
        <v>100</v>
      </c>
      <c r="G1" s="19" t="s">
        <v>33</v>
      </c>
      <c r="H1" s="16" t="s">
        <v>1</v>
      </c>
      <c r="I1" s="17"/>
      <c r="J1" s="17"/>
      <c r="K1" s="17"/>
      <c r="L1" s="18"/>
      <c r="M1" s="16" t="s">
        <v>2</v>
      </c>
      <c r="N1" s="17"/>
      <c r="O1" s="17"/>
      <c r="P1" s="17"/>
      <c r="Q1" s="18"/>
      <c r="R1" s="15" t="s">
        <v>3</v>
      </c>
      <c r="S1" s="20" t="s">
        <v>34</v>
      </c>
      <c r="T1" s="22" t="s">
        <v>52</v>
      </c>
      <c r="U1" s="20" t="s">
        <v>49</v>
      </c>
      <c r="V1" s="20" t="s">
        <v>69</v>
      </c>
      <c r="W1" s="20" t="s">
        <v>70</v>
      </c>
      <c r="X1" s="20" t="s">
        <v>135</v>
      </c>
      <c r="Y1" s="20" t="s">
        <v>136</v>
      </c>
      <c r="Z1" s="20" t="s">
        <v>137</v>
      </c>
      <c r="AA1" s="21" t="s">
        <v>50</v>
      </c>
      <c r="AB1" s="21"/>
      <c r="AC1" s="21"/>
      <c r="AD1" s="21"/>
      <c r="AE1" s="21"/>
      <c r="AF1" s="21"/>
    </row>
    <row r="2" spans="1:32" s="8" customFormat="1" ht="16" customHeight="1" x14ac:dyDescent="0.2">
      <c r="A2" s="15"/>
      <c r="B2" s="15"/>
      <c r="C2" s="15"/>
      <c r="D2" s="20"/>
      <c r="E2" s="20"/>
      <c r="F2" s="20"/>
      <c r="G2" s="19"/>
      <c r="H2" s="9" t="s">
        <v>99</v>
      </c>
      <c r="I2" s="10" t="s">
        <v>102</v>
      </c>
      <c r="J2" s="10" t="s">
        <v>103</v>
      </c>
      <c r="K2" s="10" t="s">
        <v>125</v>
      </c>
      <c r="L2" s="11" t="s">
        <v>126</v>
      </c>
      <c r="M2" s="9" t="str">
        <f>H2</f>
        <v>POR 2023</v>
      </c>
      <c r="N2" s="10" t="str">
        <f>I2</f>
        <v>USA 2023</v>
      </c>
      <c r="O2" s="10" t="str">
        <f t="shared" ref="O2:P2" si="0">J2</f>
        <v>BUL 2023</v>
      </c>
      <c r="P2" s="10" t="str">
        <f t="shared" si="0"/>
        <v>AZE 2024</v>
      </c>
      <c r="Q2" s="11" t="str">
        <f>L2</f>
        <v>GER 2024</v>
      </c>
      <c r="R2" s="15"/>
      <c r="S2" s="20"/>
      <c r="T2" s="22"/>
      <c r="U2" s="20"/>
      <c r="V2" s="20"/>
      <c r="W2" s="20"/>
      <c r="X2" s="20"/>
      <c r="Y2" s="20"/>
      <c r="Z2" s="20"/>
      <c r="AA2" s="21"/>
      <c r="AB2" s="21"/>
      <c r="AC2" s="21"/>
      <c r="AD2" s="21"/>
      <c r="AE2" s="21"/>
      <c r="AF2" s="21"/>
    </row>
    <row r="3" spans="1:32" x14ac:dyDescent="0.2">
      <c r="A3" s="7" t="s">
        <v>104</v>
      </c>
      <c r="B3" s="6" t="s">
        <v>6</v>
      </c>
      <c r="C3" s="6" t="str">
        <f>IF(A3="","",VLOOKUP(B3,'Continental Affiliation'!A:B,2,0))</f>
        <v>Asia</v>
      </c>
      <c r="D3" s="5" t="s">
        <v>149</v>
      </c>
      <c r="G3" s="3" t="str">
        <f t="shared" ref="G3:G42" si="1">IF(U3="","",RANK(U3,U:U)+COUNTIF(D:E,"P"))</f>
        <v/>
      </c>
      <c r="H3" s="6">
        <v>9</v>
      </c>
      <c r="I3" s="6">
        <v>1</v>
      </c>
      <c r="J3" s="6">
        <v>2</v>
      </c>
      <c r="K3" s="6"/>
      <c r="L3" s="6"/>
      <c r="M3" s="1">
        <f t="shared" ref="M3:M42" si="2">IF(OR(H3="",H3&gt;30),"",IF(H3=1,60,IF(H3=2,55,IF(H3=3,50,IF(H3=4,44,IF(H3=5,38,IF(H3=6,32,IF(H3=7,28,IF(H3=8,25,IF(H3=9,22,IF(H3=10,21,IF(H3=11,20,IF(H3=12,19,IF(H3=13,18,IF(H3=14,17,IF(H3=15,16,IF(H3=16,15,IF(H3=17,14,IF(H3=18,13,IF(H3=19,12,IF(H3=20,11,IF(H3=21,10,IF(H3=22,9,IF(H3=23,8,IF(H3=24,7,IF(H3=25,6,IF(H3=26,5,IF(H3=27,4,IF(H3=28,3,IF(H3=29,2,IF(H3=30,1)))))))))))))))))))))))))))))))</f>
        <v>22</v>
      </c>
      <c r="N3" s="1">
        <f t="shared" ref="N3:N42" si="3">IF(OR(I3="",I3&gt;30),"",IF(I3=1,60,IF(I3=2,55,IF(I3=3,50,IF(I3=4,44,IF(I3=5,38,IF(I3=6,32,IF(I3=7,28,IF(I3=8,25,IF(I3=9,22,IF(I3=10,21,IF(I3=11,20,IF(I3=12,19,IF(I3=13,18,IF(I3=14,17,IF(I3=15,16,IF(I3=16,15,IF(I3=17,14,IF(I3=18,13,IF(I3=19,12,IF(I3=20,11,IF(I3=21,10,IF(I3=22,9,IF(I3=23,8,IF(I3=24,7,IF(I3=25,6,IF(I3=26,5,IF(I3=27,4,IF(I3=28,3,IF(I3=29,2,IF(I3=30,1)))))))))))))))))))))))))))))))</f>
        <v>60</v>
      </c>
      <c r="O3" s="1">
        <f t="shared" ref="O3:O42" si="4">IF(OR(J3="",J3&gt;30),"",IF(J3=1,60,IF(J3=2,55,IF(J3=3,50,IF(J3=4,44,IF(J3=5,38,IF(J3=6,32,IF(J3=7,28,IF(J3=8,25,IF(J3=9,22,IF(J3=10,21,IF(J3=11,20,IF(J3=12,19,IF(J3=13,18,IF(J3=14,17,IF(J3=15,16,IF(J3=16,15,IF(J3=17,14,IF(J3=18,13,IF(J3=19,12,IF(J3=20,11,IF(J3=21,10,IF(J3=22,9,IF(J3=23,8,IF(J3=24,7,IF(J3=25,6,IF(J3=26,5,IF(J3=27,4,IF(J3=28,3,IF(J3=29,2,IF(J3=30,1)))))))))))))))))))))))))))))))</f>
        <v>55</v>
      </c>
      <c r="P3" s="1" t="str">
        <f t="shared" ref="P3:P42" si="5">IF(OR(K3="",K3&gt;30),"",IF(K3=1,60,IF(K3=2,55,IF(K3=3,50,IF(K3=4,44,IF(K3=5,38,IF(K3=6,32,IF(K3=7,28,IF(K3=8,25,IF(K3=9,22,IF(K3=10,21,IF(K3=11,20,IF(K3=12,19,IF(K3=13,18,IF(K3=14,17,IF(K3=15,16,IF(K3=16,15,IF(K3=17,14,IF(K3=18,13,IF(K3=19,12,IF(K3=20,11,IF(K3=21,10,IF(K3=22,9,IF(K3=23,8,IF(K3=24,7,IF(K3=25,6,IF(K3=26,5,IF(K3=27,4,IF(K3=28,3,IF(K3=29,2,IF(K3=30,1)))))))))))))))))))))))))))))))</f>
        <v/>
      </c>
      <c r="Q3" s="1" t="str">
        <f t="shared" ref="Q3:Q42" si="6"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R3" s="12" t="str">
        <f t="shared" ref="R3:R42" si="7">IF(A3="","",IF(OR(D3="P",E3="P"),"",IF(COUNT(M3:Q3)&lt;3,SUM(M3:Q3),LARGE(M3:Q3,1)+LARGE(M3:Q3,2))+(1000-V3)*10^-4+W3*10^-5+(100-X3)*10^-8+Y3*10^-10))</f>
        <v/>
      </c>
      <c r="S3" s="2" t="str">
        <f t="shared" ref="S3:S9" si="8">IF(OR(R3="",R3=0),"",IF(SUMPRODUCT(--(B$3:B$55=B3),--(R$3:R$55&gt;R3),--(R$3:R$55&lt;&gt;"")),"","P"))</f>
        <v/>
      </c>
      <c r="T3" s="2" t="str" cm="1">
        <f t="array" ref="T3">IF(R3="","",IF(SUMPRODUCT(--(D$3:D$55="P"),--(B$3:B$55=B3)),"P",""))</f>
        <v/>
      </c>
      <c r="U3" s="12" t="str">
        <f t="shared" ref="U3:U42" si="9">IF(AND(S3&lt;&gt;"",OR(T3="",COUNTIF(R$3:R$55,"&gt;"&amp;R3)&lt;3)),R3,"")</f>
        <v/>
      </c>
      <c r="V3" s="1">
        <f t="shared" ref="V3:V42" si="10">IF(COUNT(H3:L3)&lt;3,SUM(H3:L3),SMALL(H3:L3,1)+SMALL(H3:L3,2))</f>
        <v>3</v>
      </c>
      <c r="W3" s="1">
        <f t="shared" ref="W3:W42" si="11">COUNTIF(H3:L3,"&lt;=8")</f>
        <v>2</v>
      </c>
      <c r="X3" s="1">
        <f t="shared" ref="X3:X42" si="12">MIN(H3:L3)</f>
        <v>1</v>
      </c>
      <c r="Y3" s="13">
        <v>56.74</v>
      </c>
      <c r="Z3" s="2" t="str">
        <f t="shared" ref="Z3:Z42" si="13">IF(OR(R3=R2,R3=R4),"P","")</f>
        <v>P</v>
      </c>
    </row>
    <row r="4" spans="1:32" x14ac:dyDescent="0.2">
      <c r="A4" s="7" t="s">
        <v>20</v>
      </c>
      <c r="B4" s="6" t="s">
        <v>7</v>
      </c>
      <c r="C4" s="6" t="str">
        <f>IF(A4="","",VLOOKUP(B4,'Continental Affiliation'!A:B,2,0))</f>
        <v>Americas</v>
      </c>
      <c r="D4" s="5" t="s">
        <v>149</v>
      </c>
      <c r="G4" s="3" t="str">
        <f t="shared" si="1"/>
        <v/>
      </c>
      <c r="H4" s="6">
        <v>7</v>
      </c>
      <c r="I4" s="6">
        <v>15</v>
      </c>
      <c r="J4" s="6">
        <v>4</v>
      </c>
      <c r="K4" s="6"/>
      <c r="L4" s="6"/>
      <c r="M4" s="1">
        <f t="shared" si="2"/>
        <v>28</v>
      </c>
      <c r="N4" s="1">
        <f t="shared" si="3"/>
        <v>16</v>
      </c>
      <c r="O4" s="1">
        <f t="shared" si="4"/>
        <v>44</v>
      </c>
      <c r="P4" s="1" t="str">
        <f t="shared" si="5"/>
        <v/>
      </c>
      <c r="Q4" s="1" t="str">
        <f t="shared" si="6"/>
        <v/>
      </c>
      <c r="R4" s="12" t="str">
        <f t="shared" si="7"/>
        <v/>
      </c>
      <c r="S4" s="2" t="str">
        <f t="shared" si="8"/>
        <v/>
      </c>
      <c r="T4" s="2" t="str" cm="1">
        <f t="array" ref="T4">IF(R4="","",IF(SUMPRODUCT(--(D$3:D$55="P"),--(B$3:B$55=B4)),"P",""))</f>
        <v/>
      </c>
      <c r="U4" s="12" t="str">
        <f t="shared" si="9"/>
        <v/>
      </c>
      <c r="V4" s="1">
        <f t="shared" si="10"/>
        <v>11</v>
      </c>
      <c r="W4" s="1">
        <f t="shared" si="11"/>
        <v>2</v>
      </c>
      <c r="X4" s="1">
        <f t="shared" si="12"/>
        <v>4</v>
      </c>
      <c r="Y4" s="13"/>
      <c r="Z4" s="2" t="str">
        <f t="shared" si="13"/>
        <v>P</v>
      </c>
    </row>
    <row r="5" spans="1:32" x14ac:dyDescent="0.2">
      <c r="A5" s="7" t="s">
        <v>68</v>
      </c>
      <c r="B5" s="6" t="s">
        <v>26</v>
      </c>
      <c r="C5" s="6" t="str">
        <f>IF(A5="","",VLOOKUP(B5,'Continental Affiliation'!A:B,2,0))</f>
        <v>Americas</v>
      </c>
      <c r="D5" s="5" t="s">
        <v>149</v>
      </c>
      <c r="G5" s="3" t="str">
        <f t="shared" si="1"/>
        <v/>
      </c>
      <c r="H5" s="6">
        <v>23</v>
      </c>
      <c r="I5" s="6">
        <v>10</v>
      </c>
      <c r="J5" s="6">
        <v>6</v>
      </c>
      <c r="K5" s="6"/>
      <c r="L5" s="6"/>
      <c r="M5" s="1">
        <f t="shared" si="2"/>
        <v>8</v>
      </c>
      <c r="N5" s="1">
        <f t="shared" si="3"/>
        <v>21</v>
      </c>
      <c r="O5" s="1">
        <f t="shared" si="4"/>
        <v>32</v>
      </c>
      <c r="P5" s="1" t="str">
        <f t="shared" si="5"/>
        <v/>
      </c>
      <c r="Q5" s="1" t="str">
        <f t="shared" si="6"/>
        <v/>
      </c>
      <c r="R5" s="12" t="str">
        <f t="shared" si="7"/>
        <v/>
      </c>
      <c r="S5" s="2" t="str">
        <f t="shared" si="8"/>
        <v/>
      </c>
      <c r="T5" s="2" t="str" cm="1">
        <f t="array" ref="T5">IF(R5="","",IF(SUMPRODUCT(--(D$3:D$55="P"),--(B$3:B$55=B5)),"P",""))</f>
        <v/>
      </c>
      <c r="U5" s="12" t="str">
        <f t="shared" si="9"/>
        <v/>
      </c>
      <c r="V5" s="1">
        <f t="shared" si="10"/>
        <v>16</v>
      </c>
      <c r="W5" s="1">
        <f t="shared" si="11"/>
        <v>1</v>
      </c>
      <c r="X5" s="1">
        <f t="shared" si="12"/>
        <v>6</v>
      </c>
      <c r="Y5" s="13"/>
      <c r="Z5" s="2" t="str">
        <f t="shared" si="13"/>
        <v>P</v>
      </c>
    </row>
    <row r="6" spans="1:32" x14ac:dyDescent="0.2">
      <c r="A6" s="7" t="s">
        <v>71</v>
      </c>
      <c r="B6" s="6" t="s">
        <v>13</v>
      </c>
      <c r="C6" s="6" t="str">
        <f>IF(A6="","",VLOOKUP(B6,'Continental Affiliation'!A:B,2,0))</f>
        <v>Europe</v>
      </c>
      <c r="D6" s="5" t="s">
        <v>149</v>
      </c>
      <c r="G6" s="3" t="str">
        <f t="shared" si="1"/>
        <v/>
      </c>
      <c r="H6" s="6">
        <v>16</v>
      </c>
      <c r="I6" s="6">
        <v>22</v>
      </c>
      <c r="J6" s="6">
        <v>12</v>
      </c>
      <c r="K6" s="6"/>
      <c r="L6" s="6"/>
      <c r="M6" s="1">
        <f t="shared" si="2"/>
        <v>15</v>
      </c>
      <c r="N6" s="1">
        <f t="shared" si="3"/>
        <v>9</v>
      </c>
      <c r="O6" s="1">
        <f t="shared" si="4"/>
        <v>19</v>
      </c>
      <c r="P6" s="1" t="str">
        <f t="shared" si="5"/>
        <v/>
      </c>
      <c r="Q6" s="1" t="str">
        <f t="shared" si="6"/>
        <v/>
      </c>
      <c r="R6" s="12" t="str">
        <f t="shared" si="7"/>
        <v/>
      </c>
      <c r="S6" s="2" t="str">
        <f t="shared" si="8"/>
        <v/>
      </c>
      <c r="T6" s="2" t="str" cm="1">
        <f t="array" ref="T6">IF(R6="","",IF(SUMPRODUCT(--(D$3:D$55="P"),--(B$3:B$55=B6)),"P",""))</f>
        <v/>
      </c>
      <c r="U6" s="12" t="str">
        <f t="shared" si="9"/>
        <v/>
      </c>
      <c r="V6" s="1">
        <f t="shared" si="10"/>
        <v>28</v>
      </c>
      <c r="W6" s="1">
        <f t="shared" si="11"/>
        <v>0</v>
      </c>
      <c r="X6" s="1">
        <f t="shared" si="12"/>
        <v>12</v>
      </c>
      <c r="Y6" s="13"/>
      <c r="Z6" s="2" t="str">
        <f t="shared" si="13"/>
        <v>P</v>
      </c>
    </row>
    <row r="7" spans="1:32" x14ac:dyDescent="0.2">
      <c r="A7" s="7" t="s">
        <v>18</v>
      </c>
      <c r="B7" s="6" t="s">
        <v>27</v>
      </c>
      <c r="C7" s="6" t="str">
        <f>IF(A7="","",VLOOKUP(B7,'Continental Affiliation'!A:B,2,0))</f>
        <v>Americas</v>
      </c>
      <c r="D7" s="5" t="s">
        <v>149</v>
      </c>
      <c r="G7" s="3" t="str">
        <f t="shared" si="1"/>
        <v/>
      </c>
      <c r="H7" s="6">
        <v>24</v>
      </c>
      <c r="I7" s="6">
        <v>54</v>
      </c>
      <c r="J7" s="6">
        <v>14</v>
      </c>
      <c r="K7" s="6"/>
      <c r="L7" s="6"/>
      <c r="M7" s="1">
        <f t="shared" si="2"/>
        <v>7</v>
      </c>
      <c r="N7" s="1" t="str">
        <f t="shared" si="3"/>
        <v/>
      </c>
      <c r="O7" s="1">
        <f t="shared" si="4"/>
        <v>17</v>
      </c>
      <c r="P7" s="1" t="str">
        <f t="shared" si="5"/>
        <v/>
      </c>
      <c r="Q7" s="1" t="str">
        <f t="shared" si="6"/>
        <v/>
      </c>
      <c r="R7" s="12" t="str">
        <f t="shared" si="7"/>
        <v/>
      </c>
      <c r="S7" s="2" t="str">
        <f t="shared" si="8"/>
        <v/>
      </c>
      <c r="T7" s="2" t="str" cm="1">
        <f t="array" ref="T7">IF(R7="","",IF(SUMPRODUCT(--(D$3:D$55="P"),--(B$3:B$55=B7)),"P",""))</f>
        <v/>
      </c>
      <c r="U7" s="12" t="str">
        <f t="shared" si="9"/>
        <v/>
      </c>
      <c r="V7" s="1">
        <f t="shared" si="10"/>
        <v>38</v>
      </c>
      <c r="W7" s="1">
        <f t="shared" si="11"/>
        <v>0</v>
      </c>
      <c r="X7" s="1">
        <f t="shared" si="12"/>
        <v>14</v>
      </c>
      <c r="Y7" s="13"/>
      <c r="Z7" s="2" t="str">
        <f t="shared" si="13"/>
        <v>P</v>
      </c>
    </row>
    <row r="8" spans="1:32" x14ac:dyDescent="0.2">
      <c r="A8" s="7" t="s">
        <v>36</v>
      </c>
      <c r="B8" s="6" t="s">
        <v>6</v>
      </c>
      <c r="C8" s="6" t="str">
        <f>IF(A8="","",VLOOKUP(B8,'Continental Affiliation'!A:B,2,0))</f>
        <v>Asia</v>
      </c>
      <c r="G8" s="3">
        <f t="shared" si="1"/>
        <v>6</v>
      </c>
      <c r="H8" s="6">
        <v>2</v>
      </c>
      <c r="I8" s="6">
        <v>3</v>
      </c>
      <c r="J8" s="6">
        <v>1</v>
      </c>
      <c r="K8" s="6"/>
      <c r="L8" s="6"/>
      <c r="M8" s="1">
        <f t="shared" si="2"/>
        <v>55</v>
      </c>
      <c r="N8" s="1">
        <f t="shared" si="3"/>
        <v>50</v>
      </c>
      <c r="O8" s="1">
        <f t="shared" si="4"/>
        <v>60</v>
      </c>
      <c r="P8" s="1" t="str">
        <f t="shared" si="5"/>
        <v/>
      </c>
      <c r="Q8" s="1" t="str">
        <f t="shared" si="6"/>
        <v/>
      </c>
      <c r="R8" s="12">
        <f t="shared" si="7"/>
        <v>115.09973099</v>
      </c>
      <c r="S8" s="2" t="str">
        <f t="shared" si="8"/>
        <v>P</v>
      </c>
      <c r="T8" s="2" t="str" cm="1">
        <f t="array" ref="T8">IF(R8="","",IF(SUMPRODUCT(--(D$3:D$55="P"),--(B$3:B$55=B8)),"P",""))</f>
        <v>P</v>
      </c>
      <c r="U8" s="12">
        <f t="shared" si="9"/>
        <v>115.09973099</v>
      </c>
      <c r="V8" s="1">
        <f t="shared" si="10"/>
        <v>3</v>
      </c>
      <c r="W8" s="1">
        <f t="shared" si="11"/>
        <v>3</v>
      </c>
      <c r="X8" s="1">
        <f t="shared" si="12"/>
        <v>1</v>
      </c>
      <c r="Y8" s="13"/>
      <c r="Z8" s="2" t="str">
        <f t="shared" si="13"/>
        <v/>
      </c>
    </row>
    <row r="9" spans="1:32" x14ac:dyDescent="0.2">
      <c r="A9" s="7" t="s">
        <v>12</v>
      </c>
      <c r="B9" s="6" t="s">
        <v>13</v>
      </c>
      <c r="C9" s="6" t="str">
        <f>IF(A9="","",VLOOKUP(B9,'Continental Affiliation'!A:B,2,0))</f>
        <v>Europe</v>
      </c>
      <c r="G9" s="3">
        <f t="shared" si="1"/>
        <v>7</v>
      </c>
      <c r="H9" s="6">
        <v>1</v>
      </c>
      <c r="I9" s="6">
        <v>2</v>
      </c>
      <c r="J9" s="6">
        <v>10</v>
      </c>
      <c r="K9" s="6"/>
      <c r="L9" s="6"/>
      <c r="M9" s="1">
        <f t="shared" si="2"/>
        <v>60</v>
      </c>
      <c r="N9" s="1">
        <f t="shared" si="3"/>
        <v>55</v>
      </c>
      <c r="O9" s="1">
        <f t="shared" si="4"/>
        <v>21</v>
      </c>
      <c r="P9" s="1" t="str">
        <f t="shared" si="5"/>
        <v/>
      </c>
      <c r="Q9" s="1" t="str">
        <f t="shared" si="6"/>
        <v/>
      </c>
      <c r="R9" s="12">
        <f t="shared" si="7"/>
        <v>115.099720995693</v>
      </c>
      <c r="S9" s="2" t="str">
        <f t="shared" si="8"/>
        <v>P</v>
      </c>
      <c r="T9" s="2" t="str" cm="1">
        <f t="array" ref="T9">IF(R9="","",IF(SUMPRODUCT(--(D$3:D$55="P"),--(B$3:B$55=B9)),"P",""))</f>
        <v>P</v>
      </c>
      <c r="U9" s="12">
        <f t="shared" si="9"/>
        <v>115.099720995693</v>
      </c>
      <c r="V9" s="1">
        <f t="shared" si="10"/>
        <v>3</v>
      </c>
      <c r="W9" s="1">
        <f t="shared" si="11"/>
        <v>2</v>
      </c>
      <c r="X9" s="1">
        <f t="shared" si="12"/>
        <v>1</v>
      </c>
      <c r="Y9" s="13">
        <v>56.93</v>
      </c>
      <c r="Z9" s="2" t="str">
        <f t="shared" si="13"/>
        <v/>
      </c>
    </row>
    <row r="10" spans="1:32" x14ac:dyDescent="0.2">
      <c r="A10" s="7" t="s">
        <v>64</v>
      </c>
      <c r="B10" s="6" t="s">
        <v>8</v>
      </c>
      <c r="C10" s="6" t="str">
        <f>IF(A10="","",VLOOKUP(B10,'Continental Affiliation'!A:B,2,0))</f>
        <v>Asia</v>
      </c>
      <c r="G10" s="3">
        <f t="shared" si="1"/>
        <v>8</v>
      </c>
      <c r="H10" s="6">
        <v>13</v>
      </c>
      <c r="I10" s="6">
        <v>4</v>
      </c>
      <c r="J10" s="6">
        <v>3</v>
      </c>
      <c r="K10" s="6"/>
      <c r="L10" s="6"/>
      <c r="M10" s="1">
        <f t="shared" si="2"/>
        <v>18</v>
      </c>
      <c r="N10" s="1">
        <f t="shared" si="3"/>
        <v>44</v>
      </c>
      <c r="O10" s="1">
        <f t="shared" si="4"/>
        <v>50</v>
      </c>
      <c r="P10" s="1" t="str">
        <f t="shared" si="5"/>
        <v/>
      </c>
      <c r="Q10" s="1" t="str">
        <f t="shared" si="6"/>
        <v/>
      </c>
      <c r="R10" s="12">
        <f t="shared" si="7"/>
        <v>94.099320970000008</v>
      </c>
      <c r="S10" s="2" t="str" cm="1">
        <f t="array" ref="S10">IF(OR(R10="",R10=0),"",IF(SUMPRODUCT(--(B$3:B$55=B10),--(R$3:R$55&gt;R10),--(R$3:R$55&lt;&gt;"")),"","P"))</f>
        <v>P</v>
      </c>
      <c r="T10" s="2" t="str" cm="1">
        <f t="array" ref="T10">IF(R10="","",IF(SUMPRODUCT(--(D$3:D$55="P"),--(B$3:B$55=B10)),"P",""))</f>
        <v/>
      </c>
      <c r="U10" s="12">
        <f t="shared" si="9"/>
        <v>94.099320970000008</v>
      </c>
      <c r="V10" s="1">
        <f t="shared" si="10"/>
        <v>7</v>
      </c>
      <c r="W10" s="1">
        <f t="shared" si="11"/>
        <v>2</v>
      </c>
      <c r="X10" s="1">
        <f t="shared" si="12"/>
        <v>3</v>
      </c>
      <c r="Y10" s="13"/>
      <c r="Z10" s="2" t="str">
        <f t="shared" si="13"/>
        <v/>
      </c>
    </row>
    <row r="11" spans="1:32" x14ac:dyDescent="0.2">
      <c r="A11" s="7" t="s">
        <v>16</v>
      </c>
      <c r="B11" s="6" t="s">
        <v>27</v>
      </c>
      <c r="C11" s="6" t="str">
        <f>IF(A11="","",VLOOKUP(B11,'Continental Affiliation'!A:B,2,0))</f>
        <v>Americas</v>
      </c>
      <c r="G11" s="3" t="str">
        <f t="shared" si="1"/>
        <v/>
      </c>
      <c r="H11" s="6">
        <v>3</v>
      </c>
      <c r="I11" s="6">
        <v>7</v>
      </c>
      <c r="J11" s="6">
        <v>7</v>
      </c>
      <c r="K11" s="6"/>
      <c r="L11" s="6"/>
      <c r="M11" s="1">
        <f t="shared" si="2"/>
        <v>50</v>
      </c>
      <c r="N11" s="1">
        <f t="shared" si="3"/>
        <v>28</v>
      </c>
      <c r="O11" s="1">
        <f t="shared" si="4"/>
        <v>28</v>
      </c>
      <c r="P11" s="1" t="str">
        <f t="shared" si="5"/>
        <v/>
      </c>
      <c r="Q11" s="1" t="str">
        <f t="shared" si="6"/>
        <v/>
      </c>
      <c r="R11" s="12">
        <f t="shared" si="7"/>
        <v>78.099030970000001</v>
      </c>
      <c r="S11" s="2" t="str">
        <f t="shared" ref="S11:S42" si="14">IF(OR(R11="",R11=0),"",IF(SUMPRODUCT(--(B$3:B$55=B11),--(R$3:R$55&gt;R11),--(R$3:R$55&lt;&gt;"")),"","P"))</f>
        <v>P</v>
      </c>
      <c r="T11" s="2" t="str" cm="1">
        <f t="array" ref="T11">IF(R11="","",IF(SUMPRODUCT(--(D$3:D$55="P"),--(B$3:B$55=B11)),"P",""))</f>
        <v>P</v>
      </c>
      <c r="U11" s="12" t="str">
        <f t="shared" si="9"/>
        <v/>
      </c>
      <c r="V11" s="1">
        <f t="shared" si="10"/>
        <v>10</v>
      </c>
      <c r="W11" s="1">
        <f t="shared" si="11"/>
        <v>3</v>
      </c>
      <c r="X11" s="1">
        <f t="shared" si="12"/>
        <v>3</v>
      </c>
      <c r="Y11" s="13"/>
      <c r="Z11" s="2" t="str">
        <f t="shared" si="13"/>
        <v/>
      </c>
    </row>
    <row r="12" spans="1:32" x14ac:dyDescent="0.2">
      <c r="A12" s="7" t="s">
        <v>74</v>
      </c>
      <c r="B12" s="6" t="s">
        <v>11</v>
      </c>
      <c r="C12" s="6" t="str">
        <f>IF(A12="","",VLOOKUP(B12,'Continental Affiliation'!A:B,2,0))</f>
        <v>Europe</v>
      </c>
      <c r="G12" s="3">
        <f t="shared" si="1"/>
        <v>9</v>
      </c>
      <c r="H12" s="6">
        <v>6</v>
      </c>
      <c r="I12" s="6">
        <v>6</v>
      </c>
      <c r="J12" s="6">
        <v>5</v>
      </c>
      <c r="K12" s="6"/>
      <c r="L12" s="6"/>
      <c r="M12" s="1">
        <f t="shared" si="2"/>
        <v>32</v>
      </c>
      <c r="N12" s="1">
        <f t="shared" si="3"/>
        <v>32</v>
      </c>
      <c r="O12" s="1">
        <f t="shared" si="4"/>
        <v>38</v>
      </c>
      <c r="P12" s="1" t="str">
        <f t="shared" si="5"/>
        <v/>
      </c>
      <c r="Q12" s="1" t="str">
        <f t="shared" si="6"/>
        <v/>
      </c>
      <c r="R12" s="12">
        <f t="shared" si="7"/>
        <v>70.098930949999996</v>
      </c>
      <c r="S12" s="2" t="str">
        <f t="shared" si="14"/>
        <v>P</v>
      </c>
      <c r="T12" s="2" t="str" cm="1">
        <f t="array" ref="T12">IF(R12="","",IF(SUMPRODUCT(--(D$3:D$55="P"),--(B$3:B$55=B12)),"P",""))</f>
        <v/>
      </c>
      <c r="U12" s="12">
        <f t="shared" si="9"/>
        <v>70.098930949999996</v>
      </c>
      <c r="V12" s="1">
        <f t="shared" si="10"/>
        <v>11</v>
      </c>
      <c r="W12" s="1">
        <f t="shared" si="11"/>
        <v>3</v>
      </c>
      <c r="X12" s="1">
        <f t="shared" si="12"/>
        <v>5</v>
      </c>
      <c r="Y12" s="13"/>
      <c r="Z12" s="2" t="str">
        <f t="shared" si="13"/>
        <v/>
      </c>
    </row>
    <row r="13" spans="1:32" x14ac:dyDescent="0.2">
      <c r="A13" s="7" t="s">
        <v>65</v>
      </c>
      <c r="B13" s="6" t="s">
        <v>6</v>
      </c>
      <c r="C13" s="6" t="str">
        <f>IF(A13="","",VLOOKUP(B13,'Continental Affiliation'!A:B,2,0))</f>
        <v>Asia</v>
      </c>
      <c r="G13" s="3" t="str">
        <f t="shared" si="1"/>
        <v/>
      </c>
      <c r="H13" s="6">
        <v>4</v>
      </c>
      <c r="I13" s="6">
        <v>21</v>
      </c>
      <c r="J13" s="6">
        <v>9</v>
      </c>
      <c r="K13" s="6"/>
      <c r="L13" s="6"/>
      <c r="M13" s="1">
        <f t="shared" si="2"/>
        <v>44</v>
      </c>
      <c r="N13" s="1">
        <f t="shared" si="3"/>
        <v>10</v>
      </c>
      <c r="O13" s="1">
        <f t="shared" si="4"/>
        <v>22</v>
      </c>
      <c r="P13" s="1" t="str">
        <f t="shared" si="5"/>
        <v/>
      </c>
      <c r="Q13" s="1" t="str">
        <f t="shared" si="6"/>
        <v/>
      </c>
      <c r="R13" s="12">
        <f t="shared" si="7"/>
        <v>66.098710959999991</v>
      </c>
      <c r="S13" s="2" t="str">
        <f t="shared" si="14"/>
        <v/>
      </c>
      <c r="T13" s="2" t="str" cm="1">
        <f t="array" ref="T13">IF(R13="","",IF(SUMPRODUCT(--(D$3:D$55="P"),--(B$3:B$55=B13)),"P",""))</f>
        <v>P</v>
      </c>
      <c r="U13" s="12" t="str">
        <f t="shared" si="9"/>
        <v/>
      </c>
      <c r="V13" s="1">
        <f t="shared" si="10"/>
        <v>13</v>
      </c>
      <c r="W13" s="1">
        <f t="shared" si="11"/>
        <v>1</v>
      </c>
      <c r="X13" s="1">
        <f t="shared" si="12"/>
        <v>4</v>
      </c>
      <c r="Y13" s="13"/>
      <c r="Z13" s="2" t="str">
        <f t="shared" si="13"/>
        <v/>
      </c>
    </row>
    <row r="14" spans="1:32" x14ac:dyDescent="0.2">
      <c r="A14" s="7" t="s">
        <v>4</v>
      </c>
      <c r="B14" s="6" t="s">
        <v>8</v>
      </c>
      <c r="C14" s="6" t="str">
        <f>IF(A14="","",VLOOKUP(B14,'Continental Affiliation'!A:B,2,0))</f>
        <v>Asia</v>
      </c>
      <c r="G14" s="3" t="str">
        <f t="shared" si="1"/>
        <v/>
      </c>
      <c r="H14" s="6">
        <v>8</v>
      </c>
      <c r="I14" s="6">
        <v>5</v>
      </c>
      <c r="J14" s="6" t="s">
        <v>144</v>
      </c>
      <c r="K14" s="6"/>
      <c r="L14" s="6"/>
      <c r="M14" s="1">
        <f t="shared" si="2"/>
        <v>25</v>
      </c>
      <c r="N14" s="1">
        <f t="shared" si="3"/>
        <v>38</v>
      </c>
      <c r="O14" s="1" t="str">
        <f t="shared" si="4"/>
        <v/>
      </c>
      <c r="P14" s="1" t="str">
        <f t="shared" si="5"/>
        <v/>
      </c>
      <c r="Q14" s="1" t="str">
        <f t="shared" si="6"/>
        <v/>
      </c>
      <c r="R14" s="12">
        <f t="shared" si="7"/>
        <v>63.098720950000001</v>
      </c>
      <c r="S14" s="2" t="str">
        <f t="shared" si="14"/>
        <v/>
      </c>
      <c r="T14" s="2" t="str" cm="1">
        <f t="array" ref="T14">IF(R14="","",IF(SUMPRODUCT(--(D$3:D$55="P"),--(B$3:B$55=B14)),"P",""))</f>
        <v/>
      </c>
      <c r="U14" s="12" t="str">
        <f t="shared" si="9"/>
        <v/>
      </c>
      <c r="V14" s="1">
        <f t="shared" si="10"/>
        <v>13</v>
      </c>
      <c r="W14" s="1">
        <f t="shared" si="11"/>
        <v>2</v>
      </c>
      <c r="X14" s="1">
        <f t="shared" si="12"/>
        <v>5</v>
      </c>
      <c r="Y14" s="13"/>
      <c r="Z14" s="2" t="str">
        <f t="shared" si="13"/>
        <v/>
      </c>
    </row>
    <row r="15" spans="1:32" x14ac:dyDescent="0.2">
      <c r="A15" s="7" t="s">
        <v>14</v>
      </c>
      <c r="B15" s="6" t="s">
        <v>8</v>
      </c>
      <c r="C15" s="6" t="str">
        <f>IF(A15="","",VLOOKUP(B15,'Continental Affiliation'!A:B,2,0))</f>
        <v>Asia</v>
      </c>
      <c r="G15" s="3" t="str">
        <f t="shared" si="1"/>
        <v/>
      </c>
      <c r="H15" s="6">
        <v>5</v>
      </c>
      <c r="I15" s="6">
        <v>11</v>
      </c>
      <c r="J15" s="6">
        <v>22</v>
      </c>
      <c r="K15" s="6"/>
      <c r="L15" s="6"/>
      <c r="M15" s="1">
        <f t="shared" si="2"/>
        <v>38</v>
      </c>
      <c r="N15" s="1">
        <f t="shared" si="3"/>
        <v>20</v>
      </c>
      <c r="O15" s="1">
        <f t="shared" si="4"/>
        <v>9</v>
      </c>
      <c r="P15" s="1" t="str">
        <f t="shared" si="5"/>
        <v/>
      </c>
      <c r="Q15" s="1" t="str">
        <f t="shared" si="6"/>
        <v/>
      </c>
      <c r="R15" s="12">
        <f t="shared" si="7"/>
        <v>58.098410950000002</v>
      </c>
      <c r="S15" s="2" t="str">
        <f t="shared" si="14"/>
        <v/>
      </c>
      <c r="T15" s="2" t="str" cm="1">
        <f t="array" ref="T15">IF(R15="","",IF(SUMPRODUCT(--(D$3:D$55="P"),--(B$3:B$55=B15)),"P",""))</f>
        <v/>
      </c>
      <c r="U15" s="12" t="str">
        <f t="shared" si="9"/>
        <v/>
      </c>
      <c r="V15" s="1">
        <f t="shared" si="10"/>
        <v>16</v>
      </c>
      <c r="W15" s="1">
        <f t="shared" si="11"/>
        <v>1</v>
      </c>
      <c r="X15" s="1">
        <f t="shared" si="12"/>
        <v>5</v>
      </c>
      <c r="Y15" s="13"/>
      <c r="Z15" s="2" t="str">
        <f t="shared" si="13"/>
        <v/>
      </c>
    </row>
    <row r="16" spans="1:32" x14ac:dyDescent="0.2">
      <c r="A16" s="7" t="s">
        <v>66</v>
      </c>
      <c r="B16" s="6" t="s">
        <v>23</v>
      </c>
      <c r="C16" s="6" t="str">
        <f>IF(A16="","",VLOOKUP(B16,'Continental Affiliation'!A:B,2,0))</f>
        <v>Europe</v>
      </c>
      <c r="G16" s="3">
        <f t="shared" si="1"/>
        <v>10</v>
      </c>
      <c r="H16" s="6">
        <v>11</v>
      </c>
      <c r="I16" s="6">
        <v>42</v>
      </c>
      <c r="J16" s="6">
        <v>8</v>
      </c>
      <c r="K16" s="6"/>
      <c r="L16" s="6"/>
      <c r="M16" s="1">
        <f t="shared" si="2"/>
        <v>20</v>
      </c>
      <c r="N16" s="1" t="str">
        <f t="shared" si="3"/>
        <v/>
      </c>
      <c r="O16" s="1">
        <f t="shared" si="4"/>
        <v>25</v>
      </c>
      <c r="P16" s="1" t="str">
        <f t="shared" si="5"/>
        <v/>
      </c>
      <c r="Q16" s="1" t="str">
        <f t="shared" si="6"/>
        <v/>
      </c>
      <c r="R16" s="12">
        <f t="shared" si="7"/>
        <v>45.098110920000003</v>
      </c>
      <c r="S16" s="2" t="str">
        <f t="shared" si="14"/>
        <v>P</v>
      </c>
      <c r="T16" s="2" t="str" cm="1">
        <f t="array" ref="T16">IF(R16="","",IF(SUMPRODUCT(--(D$3:D$55="P"),--(B$3:B$55=B16)),"P",""))</f>
        <v/>
      </c>
      <c r="U16" s="12">
        <f t="shared" si="9"/>
        <v>45.098110920000003</v>
      </c>
      <c r="V16" s="1">
        <f t="shared" si="10"/>
        <v>19</v>
      </c>
      <c r="W16" s="1">
        <f t="shared" si="11"/>
        <v>1</v>
      </c>
      <c r="X16" s="1">
        <f t="shared" si="12"/>
        <v>8</v>
      </c>
      <c r="Y16" s="13"/>
      <c r="Z16" s="2" t="str">
        <f t="shared" si="13"/>
        <v/>
      </c>
    </row>
    <row r="17" spans="1:26" x14ac:dyDescent="0.2">
      <c r="A17" s="7" t="s">
        <v>19</v>
      </c>
      <c r="B17" s="6" t="s">
        <v>25</v>
      </c>
      <c r="C17" s="6" t="str">
        <f>IF(A17="","",VLOOKUP(B17,'Continental Affiliation'!A:B,2,0))</f>
        <v>Oceana</v>
      </c>
      <c r="G17" s="3">
        <f t="shared" si="1"/>
        <v>11</v>
      </c>
      <c r="H17" s="6">
        <v>12</v>
      </c>
      <c r="I17" s="6">
        <v>8</v>
      </c>
      <c r="J17" s="6">
        <v>15</v>
      </c>
      <c r="K17" s="6"/>
      <c r="L17" s="6"/>
      <c r="M17" s="1">
        <f t="shared" si="2"/>
        <v>19</v>
      </c>
      <c r="N17" s="1">
        <f t="shared" si="3"/>
        <v>25</v>
      </c>
      <c r="O17" s="1">
        <f t="shared" si="4"/>
        <v>16</v>
      </c>
      <c r="P17" s="1" t="str">
        <f t="shared" si="5"/>
        <v/>
      </c>
      <c r="Q17" s="1" t="str">
        <f t="shared" si="6"/>
        <v/>
      </c>
      <c r="R17" s="12">
        <f t="shared" si="7"/>
        <v>44.09801092</v>
      </c>
      <c r="S17" s="2" t="str">
        <f t="shared" si="14"/>
        <v>P</v>
      </c>
      <c r="T17" s="2" t="str" cm="1">
        <f t="array" ref="T17">IF(R17="","",IF(SUMPRODUCT(--(D$3:D$55="P"),--(B$3:B$55=B17)),"P",""))</f>
        <v/>
      </c>
      <c r="U17" s="12">
        <f t="shared" si="9"/>
        <v>44.09801092</v>
      </c>
      <c r="V17" s="1">
        <f t="shared" si="10"/>
        <v>20</v>
      </c>
      <c r="W17" s="1">
        <f t="shared" si="11"/>
        <v>1</v>
      </c>
      <c r="X17" s="1">
        <f t="shared" si="12"/>
        <v>8</v>
      </c>
      <c r="Y17" s="13"/>
      <c r="Z17" s="2" t="str">
        <f t="shared" si="13"/>
        <v/>
      </c>
    </row>
    <row r="18" spans="1:26" x14ac:dyDescent="0.2">
      <c r="A18" s="7" t="s">
        <v>21</v>
      </c>
      <c r="B18" s="6" t="s">
        <v>7</v>
      </c>
      <c r="C18" s="6" t="str">
        <f>IF(A18="","",VLOOKUP(B18,'Continental Affiliation'!A:B,2,0))</f>
        <v>Americas</v>
      </c>
      <c r="G18" s="3" t="str">
        <f t="shared" si="1"/>
        <v/>
      </c>
      <c r="H18" s="6">
        <v>10</v>
      </c>
      <c r="I18" s="6">
        <v>20</v>
      </c>
      <c r="J18" s="6">
        <v>13</v>
      </c>
      <c r="K18" s="6"/>
      <c r="L18" s="6"/>
      <c r="M18" s="1">
        <f t="shared" si="2"/>
        <v>21</v>
      </c>
      <c r="N18" s="1">
        <f t="shared" si="3"/>
        <v>11</v>
      </c>
      <c r="O18" s="1">
        <f t="shared" si="4"/>
        <v>18</v>
      </c>
      <c r="P18" s="1" t="str">
        <f t="shared" si="5"/>
        <v/>
      </c>
      <c r="Q18" s="1" t="str">
        <f t="shared" si="6"/>
        <v/>
      </c>
      <c r="R18" s="12">
        <f t="shared" si="7"/>
        <v>39.097700900000007</v>
      </c>
      <c r="S18" s="2" t="str">
        <f t="shared" si="14"/>
        <v>P</v>
      </c>
      <c r="T18" s="2" t="str" cm="1">
        <f t="array" ref="T18">IF(R18="","",IF(SUMPRODUCT(--(D$3:D$55="P"),--(B$3:B$55=B18)),"P",""))</f>
        <v>P</v>
      </c>
      <c r="U18" s="12" t="str">
        <f t="shared" si="9"/>
        <v/>
      </c>
      <c r="V18" s="1">
        <f t="shared" si="10"/>
        <v>23</v>
      </c>
      <c r="W18" s="1">
        <f t="shared" si="11"/>
        <v>0</v>
      </c>
      <c r="X18" s="1">
        <f t="shared" si="12"/>
        <v>10</v>
      </c>
      <c r="Y18" s="13"/>
      <c r="Z18" s="2" t="str">
        <f t="shared" si="13"/>
        <v/>
      </c>
    </row>
    <row r="19" spans="1:26" x14ac:dyDescent="0.2">
      <c r="A19" s="7" t="s">
        <v>22</v>
      </c>
      <c r="B19" s="6" t="s">
        <v>24</v>
      </c>
      <c r="C19" s="6" t="str">
        <f>IF(A19="","",VLOOKUP(B19,'Continental Affiliation'!A:B,2,0))</f>
        <v>Europe</v>
      </c>
      <c r="G19" s="3">
        <f t="shared" si="1"/>
        <v>12</v>
      </c>
      <c r="H19" s="6">
        <v>18</v>
      </c>
      <c r="I19" s="6">
        <v>13</v>
      </c>
      <c r="J19" s="6">
        <v>11</v>
      </c>
      <c r="K19" s="6"/>
      <c r="L19" s="6"/>
      <c r="M19" s="1">
        <f t="shared" si="2"/>
        <v>13</v>
      </c>
      <c r="N19" s="1">
        <f t="shared" si="3"/>
        <v>18</v>
      </c>
      <c r="O19" s="1">
        <f t="shared" si="4"/>
        <v>20</v>
      </c>
      <c r="P19" s="1" t="str">
        <f t="shared" si="5"/>
        <v/>
      </c>
      <c r="Q19" s="1" t="str">
        <f t="shared" si="6"/>
        <v/>
      </c>
      <c r="R19" s="12">
        <f t="shared" si="7"/>
        <v>38.097600890000002</v>
      </c>
      <c r="S19" s="2" t="str">
        <f t="shared" si="14"/>
        <v>P</v>
      </c>
      <c r="T19" s="2" t="str" cm="1">
        <f t="array" ref="T19">IF(R19="","",IF(SUMPRODUCT(--(D$3:D$55="P"),--(B$3:B$55=B19)),"P",""))</f>
        <v/>
      </c>
      <c r="U19" s="12">
        <f t="shared" si="9"/>
        <v>38.097600890000002</v>
      </c>
      <c r="V19" s="1">
        <f t="shared" si="10"/>
        <v>24</v>
      </c>
      <c r="W19" s="1">
        <f t="shared" si="11"/>
        <v>0</v>
      </c>
      <c r="X19" s="1">
        <f t="shared" si="12"/>
        <v>11</v>
      </c>
      <c r="Y19" s="13"/>
      <c r="Z19" s="2" t="str">
        <f t="shared" si="13"/>
        <v/>
      </c>
    </row>
    <row r="20" spans="1:26" x14ac:dyDescent="0.2">
      <c r="A20" s="7" t="s">
        <v>105</v>
      </c>
      <c r="B20" s="6" t="s">
        <v>83</v>
      </c>
      <c r="C20" s="6" t="str">
        <f>IF(A20="","",VLOOKUP(B20,'Continental Affiliation'!A:B,2,0))</f>
        <v>Europe</v>
      </c>
      <c r="G20" s="3">
        <f t="shared" si="1"/>
        <v>13</v>
      </c>
      <c r="H20" s="6">
        <v>21</v>
      </c>
      <c r="I20" s="6">
        <v>9</v>
      </c>
      <c r="J20" s="6" t="s">
        <v>144</v>
      </c>
      <c r="K20" s="6"/>
      <c r="L20" s="6"/>
      <c r="M20" s="1">
        <f t="shared" si="2"/>
        <v>10</v>
      </c>
      <c r="N20" s="1">
        <f t="shared" si="3"/>
        <v>22</v>
      </c>
      <c r="O20" s="1" t="str">
        <f t="shared" si="4"/>
        <v/>
      </c>
      <c r="P20" s="1" t="str">
        <f t="shared" si="5"/>
        <v/>
      </c>
      <c r="Q20" s="1" t="str">
        <f t="shared" si="6"/>
        <v/>
      </c>
      <c r="R20" s="12">
        <f t="shared" si="7"/>
        <v>32.097000909999998</v>
      </c>
      <c r="S20" s="2" t="str">
        <f t="shared" si="14"/>
        <v>P</v>
      </c>
      <c r="T20" s="2" t="str" cm="1">
        <f t="array" ref="T20">IF(R20="","",IF(SUMPRODUCT(--(D$3:D$55="P"),--(B$3:B$55=B20)),"P",""))</f>
        <v/>
      </c>
      <c r="U20" s="12">
        <f t="shared" si="9"/>
        <v>32.097000909999998</v>
      </c>
      <c r="V20" s="1">
        <f t="shared" si="10"/>
        <v>30</v>
      </c>
      <c r="W20" s="1">
        <f t="shared" si="11"/>
        <v>0</v>
      </c>
      <c r="X20" s="1">
        <f t="shared" si="12"/>
        <v>9</v>
      </c>
      <c r="Y20" s="13"/>
      <c r="Z20" s="2" t="str">
        <f t="shared" si="13"/>
        <v/>
      </c>
    </row>
    <row r="21" spans="1:26" x14ac:dyDescent="0.2">
      <c r="A21" s="7" t="s">
        <v>80</v>
      </c>
      <c r="B21" s="6" t="s">
        <v>7</v>
      </c>
      <c r="C21" s="6" t="str">
        <f>IF(A21="","",VLOOKUP(B21,'Continental Affiliation'!A:B,2,0))</f>
        <v>Americas</v>
      </c>
      <c r="G21" s="3" t="str">
        <f t="shared" si="1"/>
        <v/>
      </c>
      <c r="H21" s="6">
        <v>17</v>
      </c>
      <c r="I21" s="6">
        <v>16</v>
      </c>
      <c r="J21" s="6">
        <v>45</v>
      </c>
      <c r="K21" s="6"/>
      <c r="L21" s="6"/>
      <c r="M21" s="1">
        <f t="shared" si="2"/>
        <v>14</v>
      </c>
      <c r="N21" s="1">
        <f t="shared" si="3"/>
        <v>15</v>
      </c>
      <c r="O21" s="1" t="str">
        <f t="shared" si="4"/>
        <v/>
      </c>
      <c r="P21" s="1" t="str">
        <f t="shared" si="5"/>
        <v/>
      </c>
      <c r="Q21" s="1" t="str">
        <f t="shared" si="6"/>
        <v/>
      </c>
      <c r="R21" s="12">
        <f t="shared" si="7"/>
        <v>29.096700839999997</v>
      </c>
      <c r="S21" s="2" t="str">
        <f t="shared" si="14"/>
        <v/>
      </c>
      <c r="T21" s="2" t="str" cm="1">
        <f t="array" ref="T21">IF(R21="","",IF(SUMPRODUCT(--(D$3:D$55="P"),--(B$3:B$55=B21)),"P",""))</f>
        <v>P</v>
      </c>
      <c r="U21" s="12" t="str">
        <f t="shared" si="9"/>
        <v/>
      </c>
      <c r="V21" s="1">
        <f t="shared" si="10"/>
        <v>33</v>
      </c>
      <c r="W21" s="1">
        <f t="shared" si="11"/>
        <v>0</v>
      </c>
      <c r="X21" s="1">
        <f t="shared" si="12"/>
        <v>16</v>
      </c>
      <c r="Y21" s="13"/>
      <c r="Z21" s="2" t="str">
        <f t="shared" si="13"/>
        <v/>
      </c>
    </row>
    <row r="22" spans="1:26" x14ac:dyDescent="0.2">
      <c r="A22" s="7" t="s">
        <v>107</v>
      </c>
      <c r="B22" s="6" t="s">
        <v>31</v>
      </c>
      <c r="C22" s="6" t="str">
        <f>IF(A22="","",VLOOKUP(B22,'Continental Affiliation'!A:B,2,0))</f>
        <v>Oceana</v>
      </c>
      <c r="G22" s="3">
        <f t="shared" si="1"/>
        <v>14</v>
      </c>
      <c r="H22" s="6">
        <v>14</v>
      </c>
      <c r="I22" s="6">
        <v>26</v>
      </c>
      <c r="J22" s="6">
        <v>20</v>
      </c>
      <c r="K22" s="6"/>
      <c r="L22" s="6"/>
      <c r="M22" s="1">
        <f t="shared" si="2"/>
        <v>17</v>
      </c>
      <c r="N22" s="1">
        <f t="shared" si="3"/>
        <v>5</v>
      </c>
      <c r="O22" s="1">
        <f t="shared" si="4"/>
        <v>11</v>
      </c>
      <c r="P22" s="1" t="str">
        <f t="shared" si="5"/>
        <v/>
      </c>
      <c r="Q22" s="1" t="str">
        <f t="shared" si="6"/>
        <v/>
      </c>
      <c r="R22" s="12">
        <f t="shared" si="7"/>
        <v>28.096600859999999</v>
      </c>
      <c r="S22" s="2" t="str">
        <f t="shared" si="14"/>
        <v>P</v>
      </c>
      <c r="T22" s="2" t="str" cm="1">
        <f t="array" ref="T22">IF(R22="","",IF(SUMPRODUCT(--(D$3:D$55="P"),--(B$3:B$55=B22)),"P",""))</f>
        <v/>
      </c>
      <c r="U22" s="12">
        <f t="shared" si="9"/>
        <v>28.096600859999999</v>
      </c>
      <c r="V22" s="1">
        <f t="shared" si="10"/>
        <v>34</v>
      </c>
      <c r="W22" s="1">
        <f t="shared" si="11"/>
        <v>0</v>
      </c>
      <c r="X22" s="1">
        <f t="shared" si="12"/>
        <v>14</v>
      </c>
      <c r="Y22" s="13"/>
      <c r="Z22" s="2" t="str">
        <f t="shared" si="13"/>
        <v/>
      </c>
    </row>
    <row r="23" spans="1:26" x14ac:dyDescent="0.2">
      <c r="A23" s="7" t="s">
        <v>127</v>
      </c>
      <c r="B23" s="6" t="s">
        <v>37</v>
      </c>
      <c r="C23" s="6" t="str">
        <f>IF(A23="","",VLOOKUP(B23,'Continental Affiliation'!A:B,2,0))</f>
        <v>Europe</v>
      </c>
      <c r="G23" s="3">
        <f t="shared" si="1"/>
        <v>15</v>
      </c>
      <c r="H23" s="6">
        <v>37</v>
      </c>
      <c r="I23" s="6">
        <v>14</v>
      </c>
      <c r="J23" s="6">
        <v>21</v>
      </c>
      <c r="K23" s="6"/>
      <c r="L23" s="6"/>
      <c r="M23" s="1" t="str">
        <f t="shared" si="2"/>
        <v/>
      </c>
      <c r="N23" s="1">
        <f t="shared" si="3"/>
        <v>17</v>
      </c>
      <c r="O23" s="1">
        <f t="shared" si="4"/>
        <v>10</v>
      </c>
      <c r="P23" s="1" t="str">
        <f t="shared" si="5"/>
        <v/>
      </c>
      <c r="Q23" s="1" t="str">
        <f t="shared" si="6"/>
        <v/>
      </c>
      <c r="R23" s="12">
        <f t="shared" si="7"/>
        <v>27.096500859999999</v>
      </c>
      <c r="S23" s="2" t="str">
        <f t="shared" si="14"/>
        <v>P</v>
      </c>
      <c r="T23" s="2" t="str" cm="1">
        <f t="array" ref="T23">IF(R23="","",IF(SUMPRODUCT(--(D$3:D$55="P"),--(B$3:B$55=B23)),"P",""))</f>
        <v/>
      </c>
      <c r="U23" s="12">
        <f t="shared" si="9"/>
        <v>27.096500859999999</v>
      </c>
      <c r="V23" s="1">
        <f t="shared" si="10"/>
        <v>35</v>
      </c>
      <c r="W23" s="1">
        <f t="shared" si="11"/>
        <v>0</v>
      </c>
      <c r="X23" s="1">
        <f t="shared" si="12"/>
        <v>14</v>
      </c>
      <c r="Y23" s="13"/>
      <c r="Z23" s="2" t="str">
        <f t="shared" si="13"/>
        <v/>
      </c>
    </row>
    <row r="24" spans="1:26" x14ac:dyDescent="0.2">
      <c r="A24" s="7" t="s">
        <v>108</v>
      </c>
      <c r="B24" s="6" t="s">
        <v>24</v>
      </c>
      <c r="C24" s="6" t="str">
        <f>IF(A24="","",VLOOKUP(B24,'Continental Affiliation'!A:B,2,0))</f>
        <v>Europe</v>
      </c>
      <c r="G24" s="3" t="str">
        <f t="shared" si="1"/>
        <v/>
      </c>
      <c r="H24" s="6">
        <v>20</v>
      </c>
      <c r="I24" s="6">
        <v>17</v>
      </c>
      <c r="J24" s="6">
        <v>19</v>
      </c>
      <c r="K24" s="6"/>
      <c r="L24" s="6"/>
      <c r="M24" s="1">
        <f t="shared" si="2"/>
        <v>11</v>
      </c>
      <c r="N24" s="1">
        <f t="shared" si="3"/>
        <v>14</v>
      </c>
      <c r="O24" s="1">
        <f t="shared" si="4"/>
        <v>12</v>
      </c>
      <c r="P24" s="1" t="str">
        <f t="shared" si="5"/>
        <v/>
      </c>
      <c r="Q24" s="1" t="str">
        <f t="shared" si="6"/>
        <v/>
      </c>
      <c r="R24" s="12">
        <f t="shared" si="7"/>
        <v>26.09640083</v>
      </c>
      <c r="S24" s="2" t="str">
        <f t="shared" si="14"/>
        <v/>
      </c>
      <c r="T24" s="2" t="str" cm="1">
        <f t="array" ref="T24">IF(R24="","",IF(SUMPRODUCT(--(D$3:D$55="P"),--(B$3:B$55=B24)),"P",""))</f>
        <v/>
      </c>
      <c r="U24" s="12" t="str">
        <f t="shared" si="9"/>
        <v/>
      </c>
      <c r="V24" s="1">
        <f t="shared" si="10"/>
        <v>36</v>
      </c>
      <c r="W24" s="1">
        <f t="shared" si="11"/>
        <v>0</v>
      </c>
      <c r="X24" s="1">
        <f t="shared" si="12"/>
        <v>17</v>
      </c>
      <c r="Y24" s="13"/>
      <c r="Z24" s="2" t="str">
        <f t="shared" si="13"/>
        <v/>
      </c>
    </row>
    <row r="25" spans="1:26" x14ac:dyDescent="0.2">
      <c r="A25" s="7" t="s">
        <v>15</v>
      </c>
      <c r="B25" s="6" t="s">
        <v>26</v>
      </c>
      <c r="C25" s="6" t="str">
        <f>IF(A25="","",VLOOKUP(B25,'Continental Affiliation'!A:B,2,0))</f>
        <v>Americas</v>
      </c>
      <c r="G25" s="3" t="str">
        <f t="shared" si="1"/>
        <v/>
      </c>
      <c r="H25" s="6">
        <v>25</v>
      </c>
      <c r="I25" s="6">
        <v>12</v>
      </c>
      <c r="J25" s="6">
        <v>27</v>
      </c>
      <c r="K25" s="6"/>
      <c r="L25" s="6"/>
      <c r="M25" s="1">
        <f t="shared" si="2"/>
        <v>6</v>
      </c>
      <c r="N25" s="1">
        <f t="shared" si="3"/>
        <v>19</v>
      </c>
      <c r="O25" s="1">
        <f t="shared" si="4"/>
        <v>4</v>
      </c>
      <c r="P25" s="1" t="str">
        <f t="shared" si="5"/>
        <v/>
      </c>
      <c r="Q25" s="1" t="str">
        <f t="shared" si="6"/>
        <v/>
      </c>
      <c r="R25" s="12">
        <f t="shared" si="7"/>
        <v>25.096300880000001</v>
      </c>
      <c r="S25" s="2" t="str">
        <f t="shared" si="14"/>
        <v>P</v>
      </c>
      <c r="T25" s="2" t="str" cm="1">
        <f t="array" ref="T25">IF(R25="","",IF(SUMPRODUCT(--(D$3:D$55="P"),--(B$3:B$55=B25)),"P",""))</f>
        <v>P</v>
      </c>
      <c r="U25" s="12" t="str">
        <f t="shared" si="9"/>
        <v/>
      </c>
      <c r="V25" s="1">
        <f t="shared" si="10"/>
        <v>37</v>
      </c>
      <c r="W25" s="1">
        <f t="shared" si="11"/>
        <v>0</v>
      </c>
      <c r="X25" s="1">
        <f t="shared" si="12"/>
        <v>12</v>
      </c>
      <c r="Y25" s="13"/>
      <c r="Z25" s="2" t="str">
        <f t="shared" si="13"/>
        <v/>
      </c>
    </row>
    <row r="26" spans="1:26" x14ac:dyDescent="0.2">
      <c r="A26" s="7" t="s">
        <v>106</v>
      </c>
      <c r="B26" s="6" t="s">
        <v>11</v>
      </c>
      <c r="C26" s="6" t="str">
        <f>IF(A26="","",VLOOKUP(B26,'Continental Affiliation'!A:B,2,0))</f>
        <v>Europe</v>
      </c>
      <c r="G26" s="3" t="str">
        <f t="shared" si="1"/>
        <v/>
      </c>
      <c r="H26" s="6">
        <v>15</v>
      </c>
      <c r="I26" s="6">
        <v>23</v>
      </c>
      <c r="J26" s="6" t="s">
        <v>144</v>
      </c>
      <c r="K26" s="6"/>
      <c r="L26" s="6"/>
      <c r="M26" s="1">
        <f t="shared" si="2"/>
        <v>16</v>
      </c>
      <c r="N26" s="1">
        <f t="shared" si="3"/>
        <v>8</v>
      </c>
      <c r="O26" s="1" t="str">
        <f t="shared" si="4"/>
        <v/>
      </c>
      <c r="P26" s="1" t="str">
        <f t="shared" si="5"/>
        <v/>
      </c>
      <c r="Q26" s="1" t="str">
        <f t="shared" si="6"/>
        <v/>
      </c>
      <c r="R26" s="12">
        <f t="shared" si="7"/>
        <v>24.096200849999999</v>
      </c>
      <c r="S26" s="2" t="str">
        <f t="shared" si="14"/>
        <v/>
      </c>
      <c r="T26" s="2" t="str" cm="1">
        <f t="array" ref="T26">IF(R26="","",IF(SUMPRODUCT(--(D$3:D$55="P"),--(B$3:B$55=B26)),"P",""))</f>
        <v/>
      </c>
      <c r="U26" s="12" t="str">
        <f t="shared" si="9"/>
        <v/>
      </c>
      <c r="V26" s="1">
        <f t="shared" si="10"/>
        <v>38</v>
      </c>
      <c r="W26" s="1">
        <f t="shared" si="11"/>
        <v>0</v>
      </c>
      <c r="X26" s="1">
        <f t="shared" si="12"/>
        <v>15</v>
      </c>
      <c r="Y26" s="13"/>
      <c r="Z26" s="2" t="str">
        <f t="shared" si="13"/>
        <v/>
      </c>
    </row>
    <row r="27" spans="1:26" x14ac:dyDescent="0.2">
      <c r="A27" s="7" t="s">
        <v>17</v>
      </c>
      <c r="B27" s="6" t="s">
        <v>28</v>
      </c>
      <c r="C27" s="6" t="str">
        <f>IF(A27="","",VLOOKUP(B27,'Continental Affiliation'!A:B,2,0))</f>
        <v>Americas</v>
      </c>
      <c r="G27" s="3">
        <f t="shared" si="1"/>
        <v>16</v>
      </c>
      <c r="H27" s="6">
        <v>22</v>
      </c>
      <c r="I27" s="6">
        <v>18</v>
      </c>
      <c r="J27" s="6">
        <v>41</v>
      </c>
      <c r="K27" s="6"/>
      <c r="L27" s="6"/>
      <c r="M27" s="1">
        <f t="shared" si="2"/>
        <v>9</v>
      </c>
      <c r="N27" s="1">
        <f t="shared" si="3"/>
        <v>13</v>
      </c>
      <c r="O27" s="1" t="str">
        <f t="shared" si="4"/>
        <v/>
      </c>
      <c r="P27" s="1" t="str">
        <f t="shared" si="5"/>
        <v/>
      </c>
      <c r="Q27" s="1" t="str">
        <f t="shared" si="6"/>
        <v/>
      </c>
      <c r="R27" s="12">
        <f t="shared" si="7"/>
        <v>22.09600082</v>
      </c>
      <c r="S27" s="2" t="str">
        <f t="shared" si="14"/>
        <v>P</v>
      </c>
      <c r="T27" s="2" t="str" cm="1">
        <f t="array" ref="T27">IF(R27="","",IF(SUMPRODUCT(--(D$3:D$55="P"),--(B$3:B$55=B27)),"P",""))</f>
        <v/>
      </c>
      <c r="U27" s="12">
        <f t="shared" si="9"/>
        <v>22.09600082</v>
      </c>
      <c r="V27" s="1">
        <f t="shared" si="10"/>
        <v>40</v>
      </c>
      <c r="W27" s="1">
        <f t="shared" si="11"/>
        <v>0</v>
      </c>
      <c r="X27" s="1">
        <f t="shared" si="12"/>
        <v>18</v>
      </c>
      <c r="Y27" s="13"/>
      <c r="Z27" s="2" t="str">
        <f t="shared" si="13"/>
        <v/>
      </c>
    </row>
    <row r="28" spans="1:26" x14ac:dyDescent="0.2">
      <c r="A28" s="7" t="s">
        <v>109</v>
      </c>
      <c r="B28" s="6" t="s">
        <v>26</v>
      </c>
      <c r="C28" s="6" t="str">
        <f>IF(A28="","",VLOOKUP(B28,'Continental Affiliation'!A:B,2,0))</f>
        <v>Americas</v>
      </c>
      <c r="G28" s="3" t="str">
        <f t="shared" si="1"/>
        <v/>
      </c>
      <c r="H28" s="6">
        <v>19</v>
      </c>
      <c r="I28" s="6">
        <v>24</v>
      </c>
      <c r="J28" s="6">
        <v>31</v>
      </c>
      <c r="K28" s="6"/>
      <c r="L28" s="6"/>
      <c r="M28" s="1">
        <f t="shared" si="2"/>
        <v>12</v>
      </c>
      <c r="N28" s="1">
        <f t="shared" si="3"/>
        <v>7</v>
      </c>
      <c r="O28" s="1" t="str">
        <f t="shared" si="4"/>
        <v/>
      </c>
      <c r="P28" s="1" t="str">
        <f t="shared" si="5"/>
        <v/>
      </c>
      <c r="Q28" s="1" t="str">
        <f t="shared" si="6"/>
        <v/>
      </c>
      <c r="R28" s="12">
        <f t="shared" si="7"/>
        <v>19.09570081</v>
      </c>
      <c r="S28" s="2" t="str">
        <f t="shared" si="14"/>
        <v/>
      </c>
      <c r="T28" s="2" t="str" cm="1">
        <f t="array" ref="T28">IF(R28="","",IF(SUMPRODUCT(--(D$3:D$55="P"),--(B$3:B$55=B28)),"P",""))</f>
        <v>P</v>
      </c>
      <c r="U28" s="12" t="str">
        <f t="shared" si="9"/>
        <v/>
      </c>
      <c r="V28" s="1">
        <f t="shared" si="10"/>
        <v>43</v>
      </c>
      <c r="W28" s="1">
        <f t="shared" si="11"/>
        <v>0</v>
      </c>
      <c r="X28" s="1">
        <f t="shared" si="12"/>
        <v>19</v>
      </c>
      <c r="Y28" s="13"/>
      <c r="Z28" s="2" t="str">
        <f t="shared" si="13"/>
        <v/>
      </c>
    </row>
    <row r="29" spans="1:26" x14ac:dyDescent="0.2">
      <c r="A29" s="7" t="s">
        <v>81</v>
      </c>
      <c r="B29" s="6" t="s">
        <v>23</v>
      </c>
      <c r="C29" s="6" t="str">
        <f>IF(A29="","",VLOOKUP(B29,'Continental Affiliation'!A:B,2,0))</f>
        <v>Europe</v>
      </c>
      <c r="G29" s="3" t="str">
        <f t="shared" si="1"/>
        <v/>
      </c>
      <c r="H29" s="6">
        <v>27</v>
      </c>
      <c r="I29" s="6">
        <v>19</v>
      </c>
      <c r="J29" s="6">
        <v>66</v>
      </c>
      <c r="K29" s="6"/>
      <c r="L29" s="6"/>
      <c r="M29" s="1">
        <f t="shared" si="2"/>
        <v>4</v>
      </c>
      <c r="N29" s="1">
        <f t="shared" si="3"/>
        <v>12</v>
      </c>
      <c r="O29" s="1" t="str">
        <f t="shared" si="4"/>
        <v/>
      </c>
      <c r="P29" s="1" t="str">
        <f t="shared" si="5"/>
        <v/>
      </c>
      <c r="Q29" s="1" t="str">
        <f t="shared" si="6"/>
        <v/>
      </c>
      <c r="R29" s="12">
        <f t="shared" si="7"/>
        <v>16.095400810000001</v>
      </c>
      <c r="S29" s="2" t="str">
        <f t="shared" si="14"/>
        <v/>
      </c>
      <c r="T29" s="2" t="str" cm="1">
        <f t="array" ref="T29">IF(R29="","",IF(SUMPRODUCT(--(D$3:D$55="P"),--(B$3:B$55=B29)),"P",""))</f>
        <v/>
      </c>
      <c r="U29" s="12" t="str">
        <f t="shared" si="9"/>
        <v/>
      </c>
      <c r="V29" s="1">
        <f t="shared" si="10"/>
        <v>46</v>
      </c>
      <c r="W29" s="1">
        <f t="shared" si="11"/>
        <v>0</v>
      </c>
      <c r="X29" s="1">
        <f t="shared" si="12"/>
        <v>19</v>
      </c>
      <c r="Y29" s="13"/>
      <c r="Z29" s="2" t="str">
        <f t="shared" si="13"/>
        <v/>
      </c>
    </row>
    <row r="30" spans="1:26" x14ac:dyDescent="0.2">
      <c r="A30" s="7" t="s">
        <v>145</v>
      </c>
      <c r="B30" s="6" t="s">
        <v>29</v>
      </c>
      <c r="C30" s="6" t="str">
        <f>IF(A30="","",VLOOKUP(B30,'Continental Affiliation'!A:B,2,0))</f>
        <v>Europe</v>
      </c>
      <c r="G30" s="3">
        <f t="shared" si="1"/>
        <v>17</v>
      </c>
      <c r="H30" s="6">
        <v>67</v>
      </c>
      <c r="I30" s="6">
        <v>35</v>
      </c>
      <c r="J30" s="6">
        <v>16</v>
      </c>
      <c r="K30" s="6"/>
      <c r="L30" s="6"/>
      <c r="M30" s="1" t="str">
        <f t="shared" si="2"/>
        <v/>
      </c>
      <c r="N30" s="1" t="str">
        <f t="shared" si="3"/>
        <v/>
      </c>
      <c r="O30" s="1">
        <f t="shared" si="4"/>
        <v>15</v>
      </c>
      <c r="P30" s="1" t="str">
        <f t="shared" si="5"/>
        <v/>
      </c>
      <c r="Q30" s="1" t="str">
        <f t="shared" si="6"/>
        <v/>
      </c>
      <c r="R30" s="12">
        <f t="shared" si="7"/>
        <v>15.094900840000001</v>
      </c>
      <c r="S30" s="2" t="str">
        <f t="shared" si="14"/>
        <v>P</v>
      </c>
      <c r="T30" s="2" t="str" cm="1">
        <f t="array" ref="T30">IF(R30="","",IF(SUMPRODUCT(--(D$3:D$55="P"),--(B$3:B$55=B30)),"P",""))</f>
        <v/>
      </c>
      <c r="U30" s="12">
        <f t="shared" si="9"/>
        <v>15.094900840000001</v>
      </c>
      <c r="V30" s="1">
        <f t="shared" si="10"/>
        <v>51</v>
      </c>
      <c r="W30" s="1">
        <f t="shared" si="11"/>
        <v>0</v>
      </c>
      <c r="X30" s="1">
        <f t="shared" si="12"/>
        <v>16</v>
      </c>
      <c r="Y30" s="13"/>
      <c r="Z30" s="2" t="str">
        <f t="shared" si="13"/>
        <v/>
      </c>
    </row>
    <row r="31" spans="1:26" x14ac:dyDescent="0.2">
      <c r="A31" s="7" t="s">
        <v>146</v>
      </c>
      <c r="B31" s="6" t="s">
        <v>8</v>
      </c>
      <c r="C31" s="6" t="str">
        <f>IF(A31="","",VLOOKUP(B31,'Continental Affiliation'!A:B,2,0))</f>
        <v>Asia</v>
      </c>
      <c r="G31" s="3" t="str">
        <f t="shared" si="1"/>
        <v/>
      </c>
      <c r="H31" s="6" t="s">
        <v>144</v>
      </c>
      <c r="I31" s="6" t="s">
        <v>144</v>
      </c>
      <c r="J31" s="6">
        <v>17</v>
      </c>
      <c r="K31" s="6"/>
      <c r="L31" s="6"/>
      <c r="M31" s="1" t="str">
        <f t="shared" si="2"/>
        <v/>
      </c>
      <c r="N31" s="1" t="str">
        <f t="shared" si="3"/>
        <v/>
      </c>
      <c r="O31" s="1">
        <f t="shared" si="4"/>
        <v>14</v>
      </c>
      <c r="P31" s="1" t="str">
        <f t="shared" si="5"/>
        <v/>
      </c>
      <c r="Q31" s="1" t="str">
        <f t="shared" si="6"/>
        <v/>
      </c>
      <c r="R31" s="12">
        <f t="shared" si="7"/>
        <v>14.098300829999999</v>
      </c>
      <c r="S31" s="2" t="str">
        <f t="shared" si="14"/>
        <v/>
      </c>
      <c r="T31" s="2" t="str" cm="1">
        <f t="array" ref="T31">IF(R31="","",IF(SUMPRODUCT(--(D$3:D$55="P"),--(B$3:B$55=B31)),"P",""))</f>
        <v/>
      </c>
      <c r="U31" s="12" t="str">
        <f t="shared" si="9"/>
        <v/>
      </c>
      <c r="V31" s="1">
        <f t="shared" si="10"/>
        <v>17</v>
      </c>
      <c r="W31" s="1">
        <f t="shared" si="11"/>
        <v>0</v>
      </c>
      <c r="X31" s="1">
        <f t="shared" si="12"/>
        <v>17</v>
      </c>
      <c r="Y31" s="13"/>
      <c r="Z31" s="2" t="str">
        <f t="shared" si="13"/>
        <v/>
      </c>
    </row>
    <row r="32" spans="1:26" x14ac:dyDescent="0.2">
      <c r="A32" s="7" t="s">
        <v>132</v>
      </c>
      <c r="B32" s="6" t="s">
        <v>24</v>
      </c>
      <c r="C32" s="6" t="str">
        <f>IF(A32="","",VLOOKUP(B32,'Continental Affiliation'!A:B,2,0))</f>
        <v>Europe</v>
      </c>
      <c r="G32" s="3" t="str">
        <f t="shared" si="1"/>
        <v/>
      </c>
      <c r="H32" s="6">
        <v>33</v>
      </c>
      <c r="I32" s="6">
        <v>30</v>
      </c>
      <c r="J32" s="6">
        <v>18</v>
      </c>
      <c r="K32" s="6"/>
      <c r="L32" s="6"/>
      <c r="M32" s="1" t="str">
        <f t="shared" si="2"/>
        <v/>
      </c>
      <c r="N32" s="1">
        <f t="shared" si="3"/>
        <v>1</v>
      </c>
      <c r="O32" s="1">
        <f t="shared" si="4"/>
        <v>13</v>
      </c>
      <c r="P32" s="1" t="str">
        <f t="shared" si="5"/>
        <v/>
      </c>
      <c r="Q32" s="1" t="str">
        <f t="shared" si="6"/>
        <v/>
      </c>
      <c r="R32" s="12">
        <f t="shared" si="7"/>
        <v>14.095200820000001</v>
      </c>
      <c r="S32" s="2" t="str">
        <f t="shared" si="14"/>
        <v/>
      </c>
      <c r="T32" s="2" t="str" cm="1">
        <f t="array" ref="T32">IF(R32="","",IF(SUMPRODUCT(--(D$3:D$55="P"),--(B$3:B$55=B32)),"P",""))</f>
        <v/>
      </c>
      <c r="U32" s="12" t="str">
        <f t="shared" si="9"/>
        <v/>
      </c>
      <c r="V32" s="1">
        <f t="shared" si="10"/>
        <v>48</v>
      </c>
      <c r="W32" s="1">
        <f t="shared" si="11"/>
        <v>0</v>
      </c>
      <c r="X32" s="1">
        <f t="shared" si="12"/>
        <v>18</v>
      </c>
      <c r="Y32" s="13"/>
      <c r="Z32" s="2" t="str">
        <f t="shared" si="13"/>
        <v/>
      </c>
    </row>
    <row r="33" spans="1:26" x14ac:dyDescent="0.2">
      <c r="A33" s="7" t="s">
        <v>128</v>
      </c>
      <c r="B33" s="6" t="s">
        <v>6</v>
      </c>
      <c r="C33" s="6" t="str">
        <f>IF(A33="","",VLOOKUP(B33,'Continental Affiliation'!A:B,2,0))</f>
        <v>Asia</v>
      </c>
      <c r="G33" s="3" t="str">
        <f t="shared" si="1"/>
        <v/>
      </c>
      <c r="H33" s="6">
        <v>59</v>
      </c>
      <c r="I33" s="6">
        <v>25</v>
      </c>
      <c r="J33" s="6">
        <v>25</v>
      </c>
      <c r="K33" s="6"/>
      <c r="L33" s="6"/>
      <c r="M33" s="1" t="str">
        <f t="shared" si="2"/>
        <v/>
      </c>
      <c r="N33" s="1">
        <f t="shared" si="3"/>
        <v>6</v>
      </c>
      <c r="O33" s="1">
        <f t="shared" si="4"/>
        <v>6</v>
      </c>
      <c r="P33" s="1" t="str">
        <f t="shared" si="5"/>
        <v/>
      </c>
      <c r="Q33" s="1" t="str">
        <f t="shared" si="6"/>
        <v/>
      </c>
      <c r="R33" s="12">
        <f t="shared" si="7"/>
        <v>12.095000750000001</v>
      </c>
      <c r="S33" s="2" t="str">
        <f t="shared" si="14"/>
        <v/>
      </c>
      <c r="T33" s="2" t="str" cm="1">
        <f t="array" ref="T33">IF(R33="","",IF(SUMPRODUCT(--(D$3:D$55="P"),--(B$3:B$55=B33)),"P",""))</f>
        <v>P</v>
      </c>
      <c r="U33" s="12" t="str">
        <f t="shared" si="9"/>
        <v/>
      </c>
      <c r="V33" s="1">
        <f t="shared" si="10"/>
        <v>50</v>
      </c>
      <c r="W33" s="1">
        <f t="shared" si="11"/>
        <v>0</v>
      </c>
      <c r="X33" s="1">
        <f t="shared" si="12"/>
        <v>25</v>
      </c>
      <c r="Y33" s="13"/>
      <c r="Z33" s="2" t="str">
        <f t="shared" si="13"/>
        <v/>
      </c>
    </row>
    <row r="34" spans="1:26" x14ac:dyDescent="0.2">
      <c r="A34" s="7" t="s">
        <v>112</v>
      </c>
      <c r="B34" s="6" t="s">
        <v>48</v>
      </c>
      <c r="C34" s="6" t="str">
        <f>IF(A34="","",VLOOKUP(B34,'Continental Affiliation'!A:B,2,0))</f>
        <v>Europe</v>
      </c>
      <c r="G34" s="3">
        <f t="shared" si="1"/>
        <v>18</v>
      </c>
      <c r="H34" s="6">
        <v>29</v>
      </c>
      <c r="I34" s="6">
        <v>44</v>
      </c>
      <c r="J34" s="6">
        <v>23</v>
      </c>
      <c r="K34" s="6"/>
      <c r="L34" s="6"/>
      <c r="M34" s="1">
        <f t="shared" si="2"/>
        <v>2</v>
      </c>
      <c r="N34" s="1" t="str">
        <f t="shared" si="3"/>
        <v/>
      </c>
      <c r="O34" s="1">
        <f t="shared" si="4"/>
        <v>8</v>
      </c>
      <c r="P34" s="1" t="str">
        <f t="shared" si="5"/>
        <v/>
      </c>
      <c r="Q34" s="1" t="str">
        <f t="shared" si="6"/>
        <v/>
      </c>
      <c r="R34" s="12">
        <f t="shared" si="7"/>
        <v>10.094800769999999</v>
      </c>
      <c r="S34" s="2" t="str">
        <f t="shared" si="14"/>
        <v>P</v>
      </c>
      <c r="T34" s="2" t="str" cm="1">
        <f t="array" ref="T34">IF(R34="","",IF(SUMPRODUCT(--(D$3:D$55="P"),--(B$3:B$55=B34)),"P",""))</f>
        <v/>
      </c>
      <c r="U34" s="12">
        <f t="shared" si="9"/>
        <v>10.094800769999999</v>
      </c>
      <c r="V34" s="1">
        <f t="shared" si="10"/>
        <v>52</v>
      </c>
      <c r="W34" s="1">
        <f t="shared" si="11"/>
        <v>0</v>
      </c>
      <c r="X34" s="1">
        <f t="shared" si="12"/>
        <v>23</v>
      </c>
      <c r="Y34" s="13"/>
      <c r="Z34" s="2" t="str">
        <f t="shared" si="13"/>
        <v/>
      </c>
    </row>
    <row r="35" spans="1:26" x14ac:dyDescent="0.2">
      <c r="A35" s="7" t="s">
        <v>111</v>
      </c>
      <c r="B35" s="6" t="s">
        <v>31</v>
      </c>
      <c r="C35" s="6" t="str">
        <f>IF(A35="","",VLOOKUP(B35,'Continental Affiliation'!A:B,2,0))</f>
        <v>Oceana</v>
      </c>
      <c r="G35" s="3" t="str">
        <f t="shared" si="1"/>
        <v/>
      </c>
      <c r="H35" s="6">
        <v>28</v>
      </c>
      <c r="I35" s="6">
        <v>34</v>
      </c>
      <c r="J35" s="6">
        <v>24</v>
      </c>
      <c r="K35" s="6"/>
      <c r="L35" s="6"/>
      <c r="M35" s="1">
        <f t="shared" si="2"/>
        <v>3</v>
      </c>
      <c r="N35" s="1" t="str">
        <f t="shared" si="3"/>
        <v/>
      </c>
      <c r="O35" s="1">
        <f t="shared" si="4"/>
        <v>7</v>
      </c>
      <c r="P35" s="1" t="str">
        <f t="shared" si="5"/>
        <v/>
      </c>
      <c r="Q35" s="1" t="str">
        <f t="shared" si="6"/>
        <v/>
      </c>
      <c r="R35" s="12">
        <f t="shared" si="7"/>
        <v>10.09480076</v>
      </c>
      <c r="S35" s="2" t="str">
        <f t="shared" si="14"/>
        <v/>
      </c>
      <c r="T35" s="2" t="str" cm="1">
        <f t="array" ref="T35">IF(R35="","",IF(SUMPRODUCT(--(D$3:D$55="P"),--(B$3:B$55=B35)),"P",""))</f>
        <v/>
      </c>
      <c r="U35" s="12" t="str">
        <f t="shared" si="9"/>
        <v/>
      </c>
      <c r="V35" s="1">
        <f t="shared" si="10"/>
        <v>52</v>
      </c>
      <c r="W35" s="1">
        <f t="shared" si="11"/>
        <v>0</v>
      </c>
      <c r="X35" s="1">
        <f t="shared" si="12"/>
        <v>24</v>
      </c>
      <c r="Y35" s="13"/>
      <c r="Z35" s="2" t="str">
        <f t="shared" si="13"/>
        <v/>
      </c>
    </row>
    <row r="36" spans="1:26" x14ac:dyDescent="0.2">
      <c r="A36" s="7" t="s">
        <v>110</v>
      </c>
      <c r="B36" s="6" t="s">
        <v>37</v>
      </c>
      <c r="C36" s="6" t="str">
        <f>IF(A36="","",VLOOKUP(B36,'Continental Affiliation'!A:B,2,0))</f>
        <v>Europe</v>
      </c>
      <c r="G36" s="3" t="str">
        <f t="shared" si="1"/>
        <v/>
      </c>
      <c r="H36" s="6">
        <v>26</v>
      </c>
      <c r="I36" s="6">
        <v>31</v>
      </c>
      <c r="J36" s="6">
        <v>29</v>
      </c>
      <c r="K36" s="6"/>
      <c r="L36" s="6"/>
      <c r="M36" s="1">
        <f t="shared" si="2"/>
        <v>5</v>
      </c>
      <c r="N36" s="1" t="str">
        <f t="shared" si="3"/>
        <v/>
      </c>
      <c r="O36" s="1">
        <f t="shared" si="4"/>
        <v>2</v>
      </c>
      <c r="P36" s="1" t="str">
        <f t="shared" si="5"/>
        <v/>
      </c>
      <c r="Q36" s="1" t="str">
        <f t="shared" si="6"/>
        <v/>
      </c>
      <c r="R36" s="12">
        <f t="shared" si="7"/>
        <v>7.09450074</v>
      </c>
      <c r="S36" s="2" t="str">
        <f t="shared" si="14"/>
        <v/>
      </c>
      <c r="T36" s="2" t="str" cm="1">
        <f t="array" ref="T36">IF(R36="","",IF(SUMPRODUCT(--(D$3:D$55="P"),--(B$3:B$55=B36)),"P",""))</f>
        <v/>
      </c>
      <c r="U36" s="12" t="str">
        <f t="shared" si="9"/>
        <v/>
      </c>
      <c r="V36" s="1">
        <f t="shared" si="10"/>
        <v>55</v>
      </c>
      <c r="W36" s="1">
        <f t="shared" si="11"/>
        <v>0</v>
      </c>
      <c r="X36" s="1">
        <f t="shared" si="12"/>
        <v>26</v>
      </c>
      <c r="Y36" s="13"/>
      <c r="Z36" s="2" t="str">
        <f t="shared" si="13"/>
        <v/>
      </c>
    </row>
    <row r="37" spans="1:26" x14ac:dyDescent="0.2">
      <c r="A37" s="7" t="s">
        <v>147</v>
      </c>
      <c r="B37" s="6" t="s">
        <v>47</v>
      </c>
      <c r="C37" s="6" t="str">
        <f>IF(A37="","",VLOOKUP(B37,'Continental Affiliation'!A:B,2,0))</f>
        <v>Asia</v>
      </c>
      <c r="G37" s="3">
        <f t="shared" si="1"/>
        <v>19</v>
      </c>
      <c r="H37" s="6">
        <v>34</v>
      </c>
      <c r="I37" s="6">
        <v>33</v>
      </c>
      <c r="J37" s="6">
        <v>26</v>
      </c>
      <c r="K37" s="6"/>
      <c r="L37" s="6"/>
      <c r="M37" s="1" t="str">
        <f t="shared" si="2"/>
        <v/>
      </c>
      <c r="N37" s="1" t="str">
        <f t="shared" si="3"/>
        <v/>
      </c>
      <c r="O37" s="1">
        <f t="shared" si="4"/>
        <v>5</v>
      </c>
      <c r="P37" s="1" t="str">
        <f t="shared" si="5"/>
        <v/>
      </c>
      <c r="Q37" s="1" t="str">
        <f t="shared" si="6"/>
        <v/>
      </c>
      <c r="R37" s="12">
        <f t="shared" si="7"/>
        <v>5.09410074</v>
      </c>
      <c r="S37" s="2" t="str">
        <f t="shared" si="14"/>
        <v>P</v>
      </c>
      <c r="T37" s="2" t="str" cm="1">
        <f t="array" ref="T37">IF(R37="","",IF(SUMPRODUCT(--(D$3:D$55="P"),--(B$3:B$55=B37)),"P",""))</f>
        <v/>
      </c>
      <c r="U37" s="12">
        <f t="shared" si="9"/>
        <v>5.09410074</v>
      </c>
      <c r="V37" s="1">
        <f t="shared" si="10"/>
        <v>59</v>
      </c>
      <c r="W37" s="1">
        <f t="shared" si="11"/>
        <v>0</v>
      </c>
      <c r="X37" s="1">
        <f t="shared" si="12"/>
        <v>26</v>
      </c>
      <c r="Y37" s="13"/>
      <c r="Z37" s="2" t="str">
        <f t="shared" si="13"/>
        <v/>
      </c>
    </row>
    <row r="38" spans="1:26" x14ac:dyDescent="0.2">
      <c r="A38" s="7" t="s">
        <v>130</v>
      </c>
      <c r="B38" s="6" t="s">
        <v>72</v>
      </c>
      <c r="C38" s="6" t="str">
        <f>IF(A38="","",VLOOKUP(B38,'Continental Affiliation'!A:B,2,0))</f>
        <v>Europe</v>
      </c>
      <c r="G38" s="3">
        <f t="shared" si="1"/>
        <v>20</v>
      </c>
      <c r="H38" s="6">
        <v>70</v>
      </c>
      <c r="I38" s="6">
        <v>28</v>
      </c>
      <c r="J38" s="6">
        <v>30</v>
      </c>
      <c r="K38" s="6"/>
      <c r="L38" s="6"/>
      <c r="M38" s="1" t="str">
        <f t="shared" si="2"/>
        <v/>
      </c>
      <c r="N38" s="1">
        <f t="shared" si="3"/>
        <v>3</v>
      </c>
      <c r="O38" s="1">
        <f t="shared" si="4"/>
        <v>1</v>
      </c>
      <c r="P38" s="1" t="str">
        <f t="shared" si="5"/>
        <v/>
      </c>
      <c r="Q38" s="1" t="str">
        <f t="shared" si="6"/>
        <v/>
      </c>
      <c r="R38" s="12">
        <f t="shared" si="7"/>
        <v>4.0942007199999999</v>
      </c>
      <c r="S38" s="2" t="str">
        <f t="shared" si="14"/>
        <v>P</v>
      </c>
      <c r="T38" s="2" t="str" cm="1">
        <f t="array" ref="T38">IF(R38="","",IF(SUMPRODUCT(--(D$3:D$55="P"),--(B$3:B$55=B38)),"P",""))</f>
        <v/>
      </c>
      <c r="U38" s="12">
        <f t="shared" si="9"/>
        <v>4.0942007199999999</v>
      </c>
      <c r="V38" s="1">
        <f t="shared" si="10"/>
        <v>58</v>
      </c>
      <c r="W38" s="1">
        <f t="shared" si="11"/>
        <v>0</v>
      </c>
      <c r="X38" s="1">
        <f t="shared" si="12"/>
        <v>28</v>
      </c>
      <c r="Y38" s="13"/>
      <c r="Z38" s="2" t="str">
        <f t="shared" si="13"/>
        <v/>
      </c>
    </row>
    <row r="39" spans="1:26" x14ac:dyDescent="0.2">
      <c r="A39" s="7" t="s">
        <v>129</v>
      </c>
      <c r="B39" s="6" t="s">
        <v>29</v>
      </c>
      <c r="C39" s="6" t="str">
        <f>IF(A39="","",VLOOKUP(B39,'Continental Affiliation'!A:B,2,0))</f>
        <v>Europe</v>
      </c>
      <c r="G39" s="3" t="str">
        <f t="shared" si="1"/>
        <v/>
      </c>
      <c r="H39" s="6">
        <v>46</v>
      </c>
      <c r="I39" s="6">
        <v>27</v>
      </c>
      <c r="J39" s="6">
        <v>38</v>
      </c>
      <c r="K39" s="6"/>
      <c r="L39" s="6"/>
      <c r="M39" s="1" t="str">
        <f t="shared" si="2"/>
        <v/>
      </c>
      <c r="N39" s="1">
        <f t="shared" si="3"/>
        <v>4</v>
      </c>
      <c r="O39" s="1" t="str">
        <f t="shared" si="4"/>
        <v/>
      </c>
      <c r="P39" s="1" t="str">
        <f t="shared" si="5"/>
        <v/>
      </c>
      <c r="Q39" s="1" t="str">
        <f t="shared" si="6"/>
        <v/>
      </c>
      <c r="R39" s="12">
        <f t="shared" si="7"/>
        <v>4.0935007299999997</v>
      </c>
      <c r="S39" s="2" t="str">
        <f t="shared" si="14"/>
        <v/>
      </c>
      <c r="T39" s="2" t="str" cm="1">
        <f t="array" ref="T39">IF(R39="","",IF(SUMPRODUCT(--(D$3:D$55="P"),--(B$3:B$55=B39)),"P",""))</f>
        <v/>
      </c>
      <c r="U39" s="12" t="str">
        <f t="shared" si="9"/>
        <v/>
      </c>
      <c r="V39" s="1">
        <f t="shared" si="10"/>
        <v>65</v>
      </c>
      <c r="W39" s="1">
        <f t="shared" si="11"/>
        <v>0</v>
      </c>
      <c r="X39" s="1">
        <f t="shared" si="12"/>
        <v>27</v>
      </c>
      <c r="Y39" s="13"/>
      <c r="Z39" s="2" t="str">
        <f t="shared" si="13"/>
        <v/>
      </c>
    </row>
    <row r="40" spans="1:26" x14ac:dyDescent="0.2">
      <c r="A40" s="7" t="s">
        <v>148</v>
      </c>
      <c r="B40" s="6" t="s">
        <v>37</v>
      </c>
      <c r="C40" s="6" t="str">
        <f>IF(A40="","",VLOOKUP(B40,'Continental Affiliation'!A:B,2,0))</f>
        <v>Europe</v>
      </c>
      <c r="G40" s="3" t="str">
        <f t="shared" si="1"/>
        <v/>
      </c>
      <c r="H40" s="6">
        <v>39</v>
      </c>
      <c r="I40" s="6">
        <v>57</v>
      </c>
      <c r="J40" s="6">
        <v>28</v>
      </c>
      <c r="K40" s="6"/>
      <c r="L40" s="6"/>
      <c r="M40" s="1" t="str">
        <f t="shared" si="2"/>
        <v/>
      </c>
      <c r="N40" s="1" t="str">
        <f t="shared" si="3"/>
        <v/>
      </c>
      <c r="O40" s="1">
        <f t="shared" si="4"/>
        <v>3</v>
      </c>
      <c r="P40" s="1" t="str">
        <f t="shared" si="5"/>
        <v/>
      </c>
      <c r="Q40" s="1" t="str">
        <f t="shared" si="6"/>
        <v/>
      </c>
      <c r="R40" s="12">
        <f t="shared" si="7"/>
        <v>3.0933007200000002</v>
      </c>
      <c r="S40" s="2" t="str">
        <f t="shared" si="14"/>
        <v/>
      </c>
      <c r="T40" s="2" t="str" cm="1">
        <f t="array" ref="T40">IF(R40="","",IF(SUMPRODUCT(--(D$3:D$55="P"),--(B$3:B$55=B40)),"P",""))</f>
        <v/>
      </c>
      <c r="U40" s="12" t="str">
        <f t="shared" si="9"/>
        <v/>
      </c>
      <c r="V40" s="1">
        <f t="shared" si="10"/>
        <v>67</v>
      </c>
      <c r="W40" s="1">
        <f t="shared" si="11"/>
        <v>0</v>
      </c>
      <c r="X40" s="1">
        <f t="shared" si="12"/>
        <v>28</v>
      </c>
      <c r="Y40" s="13"/>
      <c r="Z40" s="2" t="str">
        <f t="shared" si="13"/>
        <v/>
      </c>
    </row>
    <row r="41" spans="1:26" x14ac:dyDescent="0.2">
      <c r="A41" s="7" t="s">
        <v>131</v>
      </c>
      <c r="B41" s="6" t="s">
        <v>31</v>
      </c>
      <c r="C41" s="6" t="str">
        <f>IF(A41="","",VLOOKUP(B41,'Continental Affiliation'!A:B,2,0))</f>
        <v>Oceana</v>
      </c>
      <c r="G41" s="3" t="str">
        <f t="shared" si="1"/>
        <v/>
      </c>
      <c r="H41" s="6">
        <v>66</v>
      </c>
      <c r="I41" s="6">
        <v>29</v>
      </c>
      <c r="J41" s="6">
        <v>35</v>
      </c>
      <c r="K41" s="6"/>
      <c r="L41" s="6"/>
      <c r="M41" s="1" t="str">
        <f t="shared" si="2"/>
        <v/>
      </c>
      <c r="N41" s="1">
        <f t="shared" si="3"/>
        <v>2</v>
      </c>
      <c r="O41" s="1" t="str">
        <f t="shared" si="4"/>
        <v/>
      </c>
      <c r="P41" s="1" t="str">
        <f t="shared" si="5"/>
        <v/>
      </c>
      <c r="Q41" s="1" t="str">
        <f t="shared" si="6"/>
        <v/>
      </c>
      <c r="R41" s="12">
        <f t="shared" si="7"/>
        <v>2.09360071</v>
      </c>
      <c r="S41" s="2" t="str">
        <f t="shared" si="14"/>
        <v/>
      </c>
      <c r="T41" s="2" t="str" cm="1">
        <f t="array" ref="T41">IF(R41="","",IF(SUMPRODUCT(--(D$3:D$55="P"),--(B$3:B$55=B41)),"P",""))</f>
        <v/>
      </c>
      <c r="U41" s="12" t="str">
        <f t="shared" si="9"/>
        <v/>
      </c>
      <c r="V41" s="1">
        <f t="shared" si="10"/>
        <v>64</v>
      </c>
      <c r="W41" s="1">
        <f t="shared" si="11"/>
        <v>0</v>
      </c>
      <c r="X41" s="1">
        <f t="shared" si="12"/>
        <v>29</v>
      </c>
      <c r="Y41" s="13"/>
      <c r="Z41" s="2" t="str">
        <f t="shared" si="13"/>
        <v/>
      </c>
    </row>
    <row r="42" spans="1:26" x14ac:dyDescent="0.2">
      <c r="A42" s="7" t="s">
        <v>113</v>
      </c>
      <c r="B42" s="6" t="s">
        <v>24</v>
      </c>
      <c r="C42" s="6" t="str">
        <f>IF(A42="","",VLOOKUP(B42,'Continental Affiliation'!A:B,2,0))</f>
        <v>Europe</v>
      </c>
      <c r="G42" s="3" t="str">
        <f t="shared" si="1"/>
        <v/>
      </c>
      <c r="H42" s="6">
        <v>30</v>
      </c>
      <c r="I42" s="6">
        <v>38</v>
      </c>
      <c r="J42" s="6">
        <v>40</v>
      </c>
      <c r="K42" s="6"/>
      <c r="L42" s="6"/>
      <c r="M42" s="1">
        <f t="shared" si="2"/>
        <v>1</v>
      </c>
      <c r="N42" s="1" t="str">
        <f t="shared" si="3"/>
        <v/>
      </c>
      <c r="O42" s="1" t="str">
        <f t="shared" si="4"/>
        <v/>
      </c>
      <c r="P42" s="1" t="str">
        <f t="shared" si="5"/>
        <v/>
      </c>
      <c r="Q42" s="1" t="str">
        <f t="shared" si="6"/>
        <v/>
      </c>
      <c r="R42" s="12">
        <f t="shared" si="7"/>
        <v>1.0932006999999999</v>
      </c>
      <c r="S42" s="2" t="str">
        <f t="shared" si="14"/>
        <v/>
      </c>
      <c r="T42" s="2" t="str" cm="1">
        <f t="array" ref="T42">IF(R42="","",IF(SUMPRODUCT(--(D$3:D$55="P"),--(B$3:B$55=B42)),"P",""))</f>
        <v/>
      </c>
      <c r="U42" s="12" t="str">
        <f t="shared" si="9"/>
        <v/>
      </c>
      <c r="V42" s="1">
        <f t="shared" si="10"/>
        <v>68</v>
      </c>
      <c r="W42" s="1">
        <f t="shared" si="11"/>
        <v>0</v>
      </c>
      <c r="X42" s="1">
        <f t="shared" si="12"/>
        <v>30</v>
      </c>
      <c r="Y42" s="13"/>
      <c r="Z42" s="2" t="str">
        <f t="shared" si="13"/>
        <v/>
      </c>
    </row>
    <row r="43" spans="1:26" x14ac:dyDescent="0.2">
      <c r="G43" s="3"/>
      <c r="H43" s="6"/>
      <c r="I43" s="6"/>
      <c r="J43" s="6"/>
      <c r="K43" s="6"/>
      <c r="L43" s="6"/>
      <c r="M43" s="1"/>
      <c r="N43" s="1"/>
      <c r="O43" s="1"/>
      <c r="P43" s="1"/>
      <c r="Q43" s="1"/>
      <c r="R43" s="12"/>
      <c r="V43" s="1"/>
      <c r="W43" s="1"/>
      <c r="X43" s="1"/>
      <c r="Y43" s="13"/>
      <c r="Z43" s="1"/>
    </row>
    <row r="44" spans="1:26" x14ac:dyDescent="0.2">
      <c r="G44" s="3"/>
      <c r="H44" s="6"/>
      <c r="I44" s="6"/>
      <c r="J44" s="6"/>
      <c r="K44" s="6"/>
      <c r="L44" s="6"/>
      <c r="M44" s="1"/>
      <c r="N44" s="1"/>
      <c r="O44" s="1"/>
      <c r="P44" s="1"/>
      <c r="Q44" s="1"/>
      <c r="R44" s="12"/>
      <c r="V44" s="1"/>
      <c r="W44" s="1"/>
      <c r="X44" s="1"/>
      <c r="Y44" s="13"/>
      <c r="Z44" s="1"/>
    </row>
    <row r="45" spans="1:26" x14ac:dyDescent="0.2">
      <c r="G45" s="3"/>
      <c r="H45" s="6"/>
      <c r="I45" s="6"/>
      <c r="J45" s="6"/>
      <c r="K45" s="6"/>
      <c r="L45" s="6"/>
      <c r="M45" s="1"/>
      <c r="N45" s="1"/>
      <c r="O45" s="1"/>
      <c r="P45" s="1"/>
      <c r="Q45" s="1"/>
      <c r="R45" s="12"/>
      <c r="V45" s="1"/>
      <c r="W45" s="1"/>
      <c r="X45" s="1"/>
      <c r="Y45" s="13"/>
      <c r="Z45" s="1"/>
    </row>
    <row r="46" spans="1:26" x14ac:dyDescent="0.2">
      <c r="G46" s="3"/>
      <c r="H46" s="6"/>
      <c r="I46" s="6"/>
      <c r="J46" s="6"/>
      <c r="K46" s="6"/>
      <c r="L46" s="6"/>
      <c r="M46" s="1"/>
      <c r="N46" s="1"/>
      <c r="O46" s="1"/>
      <c r="P46" s="1"/>
      <c r="Q46" s="1"/>
      <c r="R46" s="12"/>
      <c r="V46" s="1"/>
      <c r="W46" s="1"/>
      <c r="X46" s="1"/>
      <c r="Y46" s="13"/>
      <c r="Z46" s="1"/>
    </row>
    <row r="47" spans="1:26" x14ac:dyDescent="0.2">
      <c r="G47" s="3"/>
      <c r="H47" s="6"/>
      <c r="I47" s="6"/>
      <c r="J47" s="6"/>
      <c r="K47" s="6"/>
      <c r="L47" s="6"/>
      <c r="M47" s="1"/>
      <c r="N47" s="1"/>
      <c r="O47" s="1"/>
      <c r="P47" s="1"/>
      <c r="Q47" s="1"/>
      <c r="R47" s="12"/>
      <c r="V47" s="1"/>
      <c r="W47" s="1"/>
      <c r="X47" s="1"/>
      <c r="Y47" s="13"/>
      <c r="Z47" s="1"/>
    </row>
    <row r="48" spans="1:26" x14ac:dyDescent="0.2">
      <c r="G48" s="3"/>
      <c r="H48" s="6"/>
      <c r="I48" s="6"/>
      <c r="J48" s="6"/>
      <c r="K48" s="6"/>
      <c r="L48" s="6"/>
      <c r="M48" s="1"/>
      <c r="N48" s="1"/>
      <c r="O48" s="1"/>
      <c r="P48" s="1"/>
      <c r="Q48" s="1"/>
      <c r="R48" s="12"/>
      <c r="V48" s="1"/>
      <c r="W48" s="1"/>
      <c r="X48" s="1"/>
      <c r="Y48" s="13"/>
      <c r="Z48" s="1"/>
    </row>
    <row r="49" spans="7:18" x14ac:dyDescent="0.2">
      <c r="G49" s="3"/>
      <c r="H49" s="6"/>
      <c r="I49" s="6"/>
      <c r="J49" s="6"/>
      <c r="K49" s="6"/>
      <c r="L49" s="6"/>
      <c r="M49" s="1"/>
      <c r="N49" s="1"/>
      <c r="O49" s="1"/>
      <c r="P49" s="1"/>
      <c r="Q49" s="1"/>
      <c r="R49" s="1"/>
    </row>
    <row r="50" spans="7:18" x14ac:dyDescent="0.2">
      <c r="G50" s="3"/>
      <c r="H50" s="6"/>
      <c r="I50" s="6"/>
      <c r="J50" s="6"/>
      <c r="K50" s="6"/>
      <c r="L50" s="6"/>
      <c r="M50" s="1"/>
      <c r="N50" s="1"/>
      <c r="O50" s="1"/>
      <c r="P50" s="1"/>
      <c r="Q50" s="1"/>
      <c r="R50" s="1"/>
    </row>
    <row r="51" spans="7:18" x14ac:dyDescent="0.2">
      <c r="G51" s="3"/>
      <c r="H51" s="6"/>
      <c r="I51" s="6"/>
      <c r="J51" s="6"/>
      <c r="K51" s="6"/>
      <c r="L51" s="6"/>
      <c r="M51" s="1"/>
      <c r="N51" s="1"/>
      <c r="O51" s="1"/>
      <c r="P51" s="1"/>
      <c r="Q51" s="1"/>
      <c r="R51" s="1"/>
    </row>
    <row r="52" spans="7:18" x14ac:dyDescent="0.2">
      <c r="G52" s="3"/>
      <c r="H52" s="6"/>
      <c r="I52" s="6"/>
      <c r="J52" s="6"/>
      <c r="K52" s="6"/>
      <c r="L52" s="6"/>
      <c r="M52" s="1"/>
      <c r="N52" s="1"/>
      <c r="O52" s="1"/>
      <c r="P52" s="1"/>
      <c r="Q52" s="1"/>
      <c r="R52" s="1"/>
    </row>
    <row r="53" spans="7:18" x14ac:dyDescent="0.2">
      <c r="G53" s="3"/>
      <c r="H53" s="6"/>
      <c r="I53" s="6"/>
      <c r="J53" s="6"/>
      <c r="K53" s="6"/>
      <c r="L53" s="6"/>
      <c r="M53" s="1"/>
      <c r="N53" s="1"/>
      <c r="O53" s="1"/>
      <c r="P53" s="1"/>
      <c r="Q53" s="1"/>
      <c r="R53" s="1"/>
    </row>
    <row r="54" spans="7:18" x14ac:dyDescent="0.2">
      <c r="G54" s="3"/>
      <c r="H54" s="6"/>
      <c r="I54" s="6"/>
      <c r="J54" s="6"/>
      <c r="K54" s="6"/>
      <c r="L54" s="6"/>
      <c r="M54" s="1"/>
      <c r="N54" s="1"/>
      <c r="O54" s="1"/>
      <c r="P54" s="1"/>
      <c r="Q54" s="1"/>
      <c r="R54" s="1"/>
    </row>
    <row r="55" spans="7:18" x14ac:dyDescent="0.2">
      <c r="G55" s="3"/>
      <c r="H55" s="6"/>
      <c r="I55" s="6"/>
      <c r="J55" s="6"/>
      <c r="K55" s="6"/>
      <c r="L55" s="6"/>
      <c r="M55" s="1"/>
      <c r="N55" s="1"/>
      <c r="O55" s="1"/>
      <c r="P55" s="1"/>
      <c r="Q55" s="1"/>
      <c r="R55" s="1"/>
    </row>
  </sheetData>
  <sheetProtection sheet="1" selectLockedCells="1"/>
  <mergeCells count="19">
    <mergeCell ref="S1:S2"/>
    <mergeCell ref="U1:U2"/>
    <mergeCell ref="AA1:AF2"/>
    <mergeCell ref="V1:V2"/>
    <mergeCell ref="W1:W2"/>
    <mergeCell ref="T1:T2"/>
    <mergeCell ref="X1:X2"/>
    <mergeCell ref="Y1:Y2"/>
    <mergeCell ref="Z1:Z2"/>
    <mergeCell ref="A1:A2"/>
    <mergeCell ref="M1:Q1"/>
    <mergeCell ref="R1:R2"/>
    <mergeCell ref="G1:G2"/>
    <mergeCell ref="B1:B2"/>
    <mergeCell ref="H1:L1"/>
    <mergeCell ref="D1:D2"/>
    <mergeCell ref="E1:E2"/>
    <mergeCell ref="C1:C2"/>
    <mergeCell ref="F1:F2"/>
  </mergeCells>
  <conditionalFormatting sqref="A1:C1 A2:B2 A3:C1048576">
    <cfRule type="expression" dxfId="17" priority="3">
      <formula>IF(OR($D1="P",$E1="P",$F1="P"),1,0)</formula>
    </cfRule>
    <cfRule type="expression" dxfId="16" priority="5">
      <formula>IF(AND($G1&lt;&gt;"",$G1&lt;=16-COUNTIF($F:$F,"P")),1,0)</formula>
    </cfRule>
  </conditionalFormatting>
  <conditionalFormatting sqref="D49:U55 D3:Z48">
    <cfRule type="expression" dxfId="15" priority="2">
      <formula>IF(AND($A3&lt;&gt;"",MOD(ROW(),2)=0),1,0)</formula>
    </cfRule>
    <cfRule type="expression" dxfId="14" priority="6">
      <formula>IF(AND($A3&lt;&gt;"",MOD(ROW(),2)=1),1,0)</formula>
    </cfRule>
  </conditionalFormatting>
  <conditionalFormatting sqref="Q3:Q55 L3:L55 G3:G55">
    <cfRule type="expression" dxfId="13" priority="1">
      <formula>IF($A3&lt;&gt;"",1,0)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00000000-000E-0000-0000-000004000000}">
            <xm:f>IF(AND($G1&lt;&gt;"",$G1&lt;=16-COUNTIF($F:$F,"P")-COUNTIF(Macros!$G$6:$K$6,"=0")),1,0)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A2:B2 A3:C1048576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1B667-F441-624D-B6EC-915B2A92E067}">
  <sheetPr codeName="Sheet5"/>
  <dimension ref="A1:AF52"/>
  <sheetViews>
    <sheetView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22.83203125" style="5" customWidth="1"/>
    <col min="7" max="7" width="10.83203125" style="4"/>
    <col min="8" max="12" width="10.83203125" style="7"/>
    <col min="19" max="19" width="10.83203125" style="2"/>
    <col min="20" max="20" width="14" style="2" bestFit="1" customWidth="1"/>
    <col min="21" max="21" width="10.83203125" style="12"/>
    <col min="22" max="26" width="10.83203125" hidden="1" customWidth="1"/>
  </cols>
  <sheetData>
    <row r="1" spans="1:32" s="8" customFormat="1" ht="16" customHeight="1" x14ac:dyDescent="0.2">
      <c r="A1" s="15" t="s">
        <v>0</v>
      </c>
      <c r="B1" s="15" t="s">
        <v>5</v>
      </c>
      <c r="C1" s="15" t="s">
        <v>84</v>
      </c>
      <c r="D1" s="20" t="s">
        <v>51</v>
      </c>
      <c r="E1" s="20" t="s">
        <v>101</v>
      </c>
      <c r="F1" s="20" t="s">
        <v>100</v>
      </c>
      <c r="G1" s="19" t="s">
        <v>33</v>
      </c>
      <c r="H1" s="16" t="s">
        <v>1</v>
      </c>
      <c r="I1" s="17"/>
      <c r="J1" s="17"/>
      <c r="K1" s="17"/>
      <c r="L1" s="18"/>
      <c r="M1" s="16" t="s">
        <v>2</v>
      </c>
      <c r="N1" s="17"/>
      <c r="O1" s="17"/>
      <c r="P1" s="17"/>
      <c r="Q1" s="18"/>
      <c r="R1" s="15" t="s">
        <v>3</v>
      </c>
      <c r="S1" s="20" t="s">
        <v>34</v>
      </c>
      <c r="T1" s="22" t="s">
        <v>52</v>
      </c>
      <c r="U1" s="20" t="s">
        <v>49</v>
      </c>
      <c r="V1" s="20" t="s">
        <v>69</v>
      </c>
      <c r="W1" s="20" t="s">
        <v>70</v>
      </c>
      <c r="X1" s="20" t="s">
        <v>135</v>
      </c>
      <c r="Y1" s="20" t="s">
        <v>136</v>
      </c>
      <c r="Z1" s="20" t="s">
        <v>137</v>
      </c>
      <c r="AA1" s="21" t="s">
        <v>50</v>
      </c>
      <c r="AB1" s="21"/>
      <c r="AC1" s="21"/>
      <c r="AD1" s="21"/>
      <c r="AE1" s="21"/>
      <c r="AF1" s="21"/>
    </row>
    <row r="2" spans="1:32" s="8" customFormat="1" x14ac:dyDescent="0.2">
      <c r="A2" s="15"/>
      <c r="B2" s="15"/>
      <c r="C2" s="15"/>
      <c r="D2" s="20"/>
      <c r="E2" s="20"/>
      <c r="F2" s="20"/>
      <c r="G2" s="19"/>
      <c r="H2" s="9" t="s">
        <v>99</v>
      </c>
      <c r="I2" s="10" t="s">
        <v>102</v>
      </c>
      <c r="J2" s="10" t="s">
        <v>103</v>
      </c>
      <c r="K2" s="10" t="s">
        <v>125</v>
      </c>
      <c r="L2" s="11" t="s">
        <v>126</v>
      </c>
      <c r="M2" s="9" t="str">
        <f>H2</f>
        <v>POR 2023</v>
      </c>
      <c r="N2" s="10" t="str">
        <f>I2</f>
        <v>USA 2023</v>
      </c>
      <c r="O2" s="10" t="str">
        <f t="shared" ref="O2:P2" si="0">J2</f>
        <v>BUL 2023</v>
      </c>
      <c r="P2" s="10" t="str">
        <f t="shared" si="0"/>
        <v>AZE 2024</v>
      </c>
      <c r="Q2" s="11" t="str">
        <f>L2</f>
        <v>GER 2024</v>
      </c>
      <c r="R2" s="15"/>
      <c r="S2" s="20"/>
      <c r="T2" s="22"/>
      <c r="U2" s="20"/>
      <c r="V2" s="20"/>
      <c r="W2" s="20"/>
      <c r="X2" s="20"/>
      <c r="Y2" s="20"/>
      <c r="Z2" s="20"/>
      <c r="AA2" s="21"/>
      <c r="AB2" s="21"/>
      <c r="AC2" s="21"/>
      <c r="AD2" s="21"/>
      <c r="AE2" s="21"/>
      <c r="AF2" s="21"/>
    </row>
    <row r="3" spans="1:32" x14ac:dyDescent="0.2">
      <c r="A3" s="7" t="s">
        <v>114</v>
      </c>
      <c r="B3" s="6" t="s">
        <v>6</v>
      </c>
      <c r="C3" s="6" t="str">
        <f>IF(A3="","",VLOOKUP(B3,'Continental Affiliation'!A:B,2,0))</f>
        <v>Asia</v>
      </c>
      <c r="D3" s="5" t="s">
        <v>149</v>
      </c>
      <c r="G3" s="3" t="str">
        <f t="shared" ref="G3:G40" si="1">IF(U3="","",RANK(U3,U:U)+COUNTIF(D:E,"P"))</f>
        <v/>
      </c>
      <c r="H3" s="6">
        <v>1</v>
      </c>
      <c r="I3" s="6">
        <v>1</v>
      </c>
      <c r="J3" s="6">
        <v>2</v>
      </c>
      <c r="K3" s="6"/>
      <c r="L3" s="6"/>
      <c r="M3" s="1">
        <f t="shared" ref="M3:M40" si="2">IF(OR(H3="",H3&gt;30),"",IF(H3=1,60,IF(H3=2,55,IF(H3=3,50,IF(H3=4,44,IF(H3=5,38,IF(H3=6,32,IF(H3=7,28,IF(H3=8,25,IF(H3=9,22,IF(H3=10,21,IF(H3=11,20,IF(H3=12,19,IF(H3=13,18,IF(H3=14,17,IF(H3=15,16,IF(H3=16,15,IF(H3=17,14,IF(H3=18,13,IF(H3=19,12,IF(H3=20,11,IF(H3=21,10,IF(H3=22,9,IF(H3=23,8,IF(H3=24,7,IF(H3=25,6,IF(H3=26,5,IF(H3=27,4,IF(H3=28,3,IF(H3=29,2,IF(H3=30,1)))))))))))))))))))))))))))))))</f>
        <v>60</v>
      </c>
      <c r="N3" s="1">
        <f t="shared" ref="N3:N40" si="3">IF(OR(I3="",I3&gt;30),"",IF(I3=1,60,IF(I3=2,55,IF(I3=3,50,IF(I3=4,44,IF(I3=5,38,IF(I3=6,32,IF(I3=7,28,IF(I3=8,25,IF(I3=9,22,IF(I3=10,21,IF(I3=11,20,IF(I3=12,19,IF(I3=13,18,IF(I3=14,17,IF(I3=15,16,IF(I3=16,15,IF(I3=17,14,IF(I3=18,13,IF(I3=19,12,IF(I3=20,11,IF(I3=21,10,IF(I3=22,9,IF(I3=23,8,IF(I3=24,7,IF(I3=25,6,IF(I3=26,5,IF(I3=27,4,IF(I3=28,3,IF(I3=29,2,IF(I3=30,1)))))))))))))))))))))))))))))))</f>
        <v>60</v>
      </c>
      <c r="O3" s="1">
        <f t="shared" ref="O3:O40" si="4">IF(OR(J3="",J3&gt;30),"",IF(J3=1,60,IF(J3=2,55,IF(J3=3,50,IF(J3=4,44,IF(J3=5,38,IF(J3=6,32,IF(J3=7,28,IF(J3=8,25,IF(J3=9,22,IF(J3=10,21,IF(J3=11,20,IF(J3=12,19,IF(J3=13,18,IF(J3=14,17,IF(J3=15,16,IF(J3=16,15,IF(J3=17,14,IF(J3=18,13,IF(J3=19,12,IF(J3=20,11,IF(J3=21,10,IF(J3=22,9,IF(J3=23,8,IF(J3=24,7,IF(J3=25,6,IF(J3=26,5,IF(J3=27,4,IF(J3=28,3,IF(J3=29,2,IF(J3=30,1)))))))))))))))))))))))))))))))</f>
        <v>55</v>
      </c>
      <c r="P3" s="1" t="str">
        <f t="shared" ref="P3:P40" si="5">IF(OR(K3="",K3&gt;30),"",IF(K3=1,60,IF(K3=2,55,IF(K3=3,50,IF(K3=4,44,IF(K3=5,38,IF(K3=6,32,IF(K3=7,28,IF(K3=8,25,IF(K3=9,22,IF(K3=10,21,IF(K3=11,20,IF(K3=12,19,IF(K3=13,18,IF(K3=14,17,IF(K3=15,16,IF(K3=16,15,IF(K3=17,14,IF(K3=18,13,IF(K3=19,12,IF(K3=20,11,IF(K3=21,10,IF(K3=22,9,IF(K3=23,8,IF(K3=24,7,IF(K3=25,6,IF(K3=26,5,IF(K3=27,4,IF(K3=28,3,IF(K3=29,2,IF(K3=30,1)))))))))))))))))))))))))))))))</f>
        <v/>
      </c>
      <c r="Q3" s="1" t="str">
        <f t="shared" ref="Q3:Q40" si="6"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R3" s="12" t="str">
        <f t="shared" ref="R3:R40" si="7">IF(A3="","",IF(OR(D3="P",E3="P"),"",IF(COUNT(M3:Q3)&lt;3,SUM(M3:Q3),LARGE(M3:Q3,1)+LARGE(M3:Q3,2))+(1000-V3)*10^-4+W3*10^-5+(100-X3)*10^-8+Y3*10^-10))</f>
        <v/>
      </c>
      <c r="S3" s="2" t="str">
        <f t="shared" ref="S3:S11" si="8">IF(OR(R3="",R3=0),"",IF(SUMPRODUCT(--(B$3:B$52=B3),--(R$3:R$52&gt;R3),--(R$3:R$52&lt;&gt;"")),"","P"))</f>
        <v/>
      </c>
      <c r="T3" s="2" t="str" cm="1">
        <f t="array" ref="T3">IF(R3="","",IF(SUMPRODUCT(--(D$3:D$52="P"),--(B$3:B$52=B3)),"P",""))</f>
        <v/>
      </c>
      <c r="U3" s="12" t="str">
        <f t="shared" ref="U3:U40" si="9">IF(AND(S3&lt;&gt;"",OR(T3="",COUNTIF(R$3:R$52,"&gt;"&amp;R3)&lt;3)),R3,"")</f>
        <v/>
      </c>
      <c r="V3" s="1">
        <f t="shared" ref="V3:V40" si="10">IF(COUNT(H3:L3)&lt;3,SUM(H3:L3),SMALL(H3:L3,1)+SMALL(H3:L3,2))</f>
        <v>2</v>
      </c>
      <c r="W3" s="1">
        <f t="shared" ref="W3:W40" si="11">COUNTIF(H3:L3,"&lt;=8")</f>
        <v>3</v>
      </c>
      <c r="X3" s="1">
        <f t="shared" ref="X3:X40" si="12">MIN(H3:L3)</f>
        <v>1</v>
      </c>
      <c r="Y3" s="1"/>
      <c r="Z3" s="2" t="str">
        <f t="shared" ref="Z3:Z32" si="13">IF(OR(R3=R2,R3=R4),"P","")</f>
        <v>P</v>
      </c>
    </row>
    <row r="4" spans="1:32" x14ac:dyDescent="0.2">
      <c r="A4" s="7" t="s">
        <v>96</v>
      </c>
      <c r="B4" s="6" t="s">
        <v>8</v>
      </c>
      <c r="C4" s="6" t="str">
        <f>IF(A4="","",VLOOKUP(B4,'Continental Affiliation'!A:B,2,0))</f>
        <v>Asia</v>
      </c>
      <c r="D4" s="5" t="s">
        <v>149</v>
      </c>
      <c r="G4" s="3" t="str">
        <f t="shared" si="1"/>
        <v/>
      </c>
      <c r="H4" s="6">
        <v>10</v>
      </c>
      <c r="I4" s="6">
        <v>4</v>
      </c>
      <c r="J4" s="6">
        <v>3</v>
      </c>
      <c r="K4" s="6"/>
      <c r="L4" s="6"/>
      <c r="M4" s="1">
        <f t="shared" si="2"/>
        <v>21</v>
      </c>
      <c r="N4" s="1">
        <f t="shared" si="3"/>
        <v>44</v>
      </c>
      <c r="O4" s="1">
        <f t="shared" si="4"/>
        <v>50</v>
      </c>
      <c r="P4" s="1" t="str">
        <f t="shared" si="5"/>
        <v/>
      </c>
      <c r="Q4" s="1" t="str">
        <f t="shared" si="6"/>
        <v/>
      </c>
      <c r="R4" s="12" t="str">
        <f t="shared" si="7"/>
        <v/>
      </c>
      <c r="S4" s="2" t="str">
        <f t="shared" si="8"/>
        <v/>
      </c>
      <c r="T4" s="2" t="str" cm="1">
        <f t="array" ref="T4">IF(R4="","",IF(SUMPRODUCT(--(D$3:D$52="P"),--(B$3:B$52=B4)),"P",""))</f>
        <v/>
      </c>
      <c r="U4" s="12" t="str">
        <f t="shared" si="9"/>
        <v/>
      </c>
      <c r="V4" s="1">
        <f t="shared" si="10"/>
        <v>7</v>
      </c>
      <c r="W4" s="1">
        <f t="shared" si="11"/>
        <v>2</v>
      </c>
      <c r="X4" s="1">
        <f t="shared" si="12"/>
        <v>3</v>
      </c>
      <c r="Y4" s="1"/>
      <c r="Z4" s="2" t="str">
        <f t="shared" si="13"/>
        <v>P</v>
      </c>
    </row>
    <row r="5" spans="1:32" x14ac:dyDescent="0.2">
      <c r="A5" s="7" t="s">
        <v>58</v>
      </c>
      <c r="B5" s="6" t="s">
        <v>59</v>
      </c>
      <c r="C5" s="6" t="str">
        <f>IF(A5="","",VLOOKUP(B5,'Continental Affiliation'!A:B,2,0))</f>
        <v>Europe</v>
      </c>
      <c r="D5" s="5" t="s">
        <v>149</v>
      </c>
      <c r="G5" s="3" t="str">
        <f t="shared" si="1"/>
        <v/>
      </c>
      <c r="H5" s="6">
        <v>11</v>
      </c>
      <c r="I5" s="6">
        <v>5</v>
      </c>
      <c r="J5" s="6">
        <v>5</v>
      </c>
      <c r="K5" s="6"/>
      <c r="L5" s="6"/>
      <c r="M5" s="1">
        <f t="shared" si="2"/>
        <v>20</v>
      </c>
      <c r="N5" s="1">
        <f t="shared" si="3"/>
        <v>38</v>
      </c>
      <c r="O5" s="1">
        <f t="shared" si="4"/>
        <v>38</v>
      </c>
      <c r="P5" s="1" t="str">
        <f t="shared" si="5"/>
        <v/>
      </c>
      <c r="Q5" s="1" t="str">
        <f t="shared" si="6"/>
        <v/>
      </c>
      <c r="R5" s="12" t="str">
        <f t="shared" si="7"/>
        <v/>
      </c>
      <c r="S5" s="2" t="str">
        <f t="shared" si="8"/>
        <v/>
      </c>
      <c r="T5" s="2" t="str" cm="1">
        <f t="array" ref="T5">IF(R5="","",IF(SUMPRODUCT(--(D$3:D$52="P"),--(B$3:B$52=B5)),"P",""))</f>
        <v/>
      </c>
      <c r="U5" s="12" t="str">
        <f t="shared" si="9"/>
        <v/>
      </c>
      <c r="V5" s="1">
        <f t="shared" si="10"/>
        <v>10</v>
      </c>
      <c r="W5" s="1">
        <f t="shared" si="11"/>
        <v>2</v>
      </c>
      <c r="X5" s="1">
        <f t="shared" si="12"/>
        <v>5</v>
      </c>
      <c r="Y5" s="1"/>
      <c r="Z5" s="2" t="str">
        <f t="shared" si="13"/>
        <v>P</v>
      </c>
    </row>
    <row r="6" spans="1:32" x14ac:dyDescent="0.2">
      <c r="A6" s="7" t="s">
        <v>117</v>
      </c>
      <c r="B6" s="6" t="s">
        <v>13</v>
      </c>
      <c r="C6" s="6" t="str">
        <f>IF(A6="","",VLOOKUP(B6,'Continental Affiliation'!A:B,2,0))</f>
        <v>Europe</v>
      </c>
      <c r="D6" s="5" t="s">
        <v>149</v>
      </c>
      <c r="G6" s="3" t="str">
        <f t="shared" si="1"/>
        <v/>
      </c>
      <c r="H6" s="6">
        <v>21</v>
      </c>
      <c r="I6" s="6">
        <v>3</v>
      </c>
      <c r="J6" s="6">
        <v>12</v>
      </c>
      <c r="K6" s="6"/>
      <c r="L6" s="6"/>
      <c r="M6" s="1">
        <f t="shared" si="2"/>
        <v>10</v>
      </c>
      <c r="N6" s="1">
        <f t="shared" si="3"/>
        <v>50</v>
      </c>
      <c r="O6" s="1">
        <f t="shared" si="4"/>
        <v>19</v>
      </c>
      <c r="P6" s="1" t="str">
        <f t="shared" si="5"/>
        <v/>
      </c>
      <c r="Q6" s="1" t="str">
        <f t="shared" si="6"/>
        <v/>
      </c>
      <c r="R6" s="12" t="str">
        <f t="shared" si="7"/>
        <v/>
      </c>
      <c r="S6" s="2" t="str">
        <f t="shared" si="8"/>
        <v/>
      </c>
      <c r="T6" s="2" t="str" cm="1">
        <f t="array" ref="T6">IF(R6="","",IF(SUMPRODUCT(--(D$3:D$52="P"),--(B$3:B$52=B6)),"P",""))</f>
        <v/>
      </c>
      <c r="U6" s="12" t="str">
        <f t="shared" si="9"/>
        <v/>
      </c>
      <c r="V6" s="1">
        <f t="shared" si="10"/>
        <v>15</v>
      </c>
      <c r="W6" s="1">
        <f t="shared" si="11"/>
        <v>1</v>
      </c>
      <c r="X6" s="1">
        <f t="shared" si="12"/>
        <v>3</v>
      </c>
      <c r="Y6" s="1"/>
      <c r="Z6" s="2" t="str">
        <f t="shared" si="13"/>
        <v>P</v>
      </c>
    </row>
    <row r="7" spans="1:32" x14ac:dyDescent="0.2">
      <c r="A7" s="7" t="s">
        <v>38</v>
      </c>
      <c r="B7" s="6" t="s">
        <v>37</v>
      </c>
      <c r="C7" s="6" t="str">
        <f>IF(A7="","",VLOOKUP(B7,'Continental Affiliation'!A:B,2,0))</f>
        <v>Europe</v>
      </c>
      <c r="D7" s="5" t="s">
        <v>149</v>
      </c>
      <c r="G7" s="3" t="str">
        <f t="shared" si="1"/>
        <v/>
      </c>
      <c r="H7" s="6">
        <v>28</v>
      </c>
      <c r="I7" s="6">
        <v>19</v>
      </c>
      <c r="J7" s="6">
        <v>6</v>
      </c>
      <c r="K7" s="6"/>
      <c r="L7" s="6"/>
      <c r="M7" s="1">
        <f t="shared" si="2"/>
        <v>3</v>
      </c>
      <c r="N7" s="1">
        <f t="shared" si="3"/>
        <v>12</v>
      </c>
      <c r="O7" s="1">
        <f t="shared" si="4"/>
        <v>32</v>
      </c>
      <c r="P7" s="1" t="str">
        <f t="shared" si="5"/>
        <v/>
      </c>
      <c r="Q7" s="1" t="str">
        <f t="shared" si="6"/>
        <v/>
      </c>
      <c r="R7" s="12" t="str">
        <f t="shared" si="7"/>
        <v/>
      </c>
      <c r="S7" s="2" t="str">
        <f t="shared" si="8"/>
        <v/>
      </c>
      <c r="T7" s="2" t="str" cm="1">
        <f t="array" ref="T7">IF(R7="","",IF(SUMPRODUCT(--(D$3:D$52="P"),--(B$3:B$52=B7)),"P",""))</f>
        <v/>
      </c>
      <c r="U7" s="12" t="str">
        <f t="shared" si="9"/>
        <v/>
      </c>
      <c r="V7" s="1">
        <f t="shared" si="10"/>
        <v>25</v>
      </c>
      <c r="W7" s="1">
        <f t="shared" si="11"/>
        <v>1</v>
      </c>
      <c r="X7" s="1">
        <f t="shared" si="12"/>
        <v>6</v>
      </c>
      <c r="Y7" s="1"/>
      <c r="Z7" s="2" t="str">
        <f t="shared" si="13"/>
        <v>P</v>
      </c>
    </row>
    <row r="8" spans="1:32" x14ac:dyDescent="0.2">
      <c r="A8" s="7" t="s">
        <v>75</v>
      </c>
      <c r="B8" s="6" t="s">
        <v>6</v>
      </c>
      <c r="C8" s="6" t="str">
        <f>IF(A8="","",VLOOKUP(B8,'Continental Affiliation'!A:B,2,0))</f>
        <v>Asia</v>
      </c>
      <c r="G8" s="3">
        <f t="shared" si="1"/>
        <v>6</v>
      </c>
      <c r="H8" s="6">
        <v>2</v>
      </c>
      <c r="I8" s="6">
        <v>9</v>
      </c>
      <c r="J8" s="6">
        <v>1</v>
      </c>
      <c r="K8" s="6"/>
      <c r="L8" s="6"/>
      <c r="M8" s="1">
        <f t="shared" si="2"/>
        <v>55</v>
      </c>
      <c r="N8" s="1">
        <f t="shared" si="3"/>
        <v>22</v>
      </c>
      <c r="O8" s="1">
        <f t="shared" si="4"/>
        <v>60</v>
      </c>
      <c r="P8" s="1" t="str">
        <f t="shared" si="5"/>
        <v/>
      </c>
      <c r="Q8" s="1" t="str">
        <f t="shared" si="6"/>
        <v/>
      </c>
      <c r="R8" s="12">
        <f t="shared" si="7"/>
        <v>115.09972099000001</v>
      </c>
      <c r="S8" s="2" t="str">
        <f t="shared" si="8"/>
        <v>P</v>
      </c>
      <c r="T8" s="2" t="str" cm="1">
        <f t="array" ref="T8">IF(R8="","",IF(SUMPRODUCT(--(D$3:D$52="P"),--(B$3:B$52=B8)),"P",""))</f>
        <v>P</v>
      </c>
      <c r="U8" s="12">
        <f t="shared" si="9"/>
        <v>115.09972099000001</v>
      </c>
      <c r="V8" s="1">
        <f t="shared" si="10"/>
        <v>3</v>
      </c>
      <c r="W8" s="1">
        <f t="shared" si="11"/>
        <v>2</v>
      </c>
      <c r="X8" s="1">
        <f t="shared" si="12"/>
        <v>1</v>
      </c>
      <c r="Y8" s="1"/>
      <c r="Z8" s="2" t="str">
        <f t="shared" si="13"/>
        <v/>
      </c>
    </row>
    <row r="9" spans="1:32" x14ac:dyDescent="0.2">
      <c r="A9" s="7" t="s">
        <v>35</v>
      </c>
      <c r="B9" s="6" t="s">
        <v>25</v>
      </c>
      <c r="C9" s="6" t="str">
        <f>IF(A9="","",VLOOKUP(B9,'Continental Affiliation'!A:B,2,0))</f>
        <v>Oceana</v>
      </c>
      <c r="G9" s="3">
        <f t="shared" si="1"/>
        <v>7</v>
      </c>
      <c r="H9" s="6">
        <v>5</v>
      </c>
      <c r="I9" s="6">
        <v>2</v>
      </c>
      <c r="J9" s="6">
        <v>19</v>
      </c>
      <c r="K9" s="6"/>
      <c r="L9" s="6"/>
      <c r="M9" s="1">
        <f t="shared" si="2"/>
        <v>38</v>
      </c>
      <c r="N9" s="1">
        <f t="shared" si="3"/>
        <v>55</v>
      </c>
      <c r="O9" s="1">
        <f t="shared" si="4"/>
        <v>12</v>
      </c>
      <c r="P9" s="1" t="str">
        <f t="shared" si="5"/>
        <v/>
      </c>
      <c r="Q9" s="1" t="str">
        <f t="shared" si="6"/>
        <v/>
      </c>
      <c r="R9" s="12">
        <f t="shared" si="7"/>
        <v>93.099320980000002</v>
      </c>
      <c r="S9" s="2" t="str">
        <f t="shared" si="8"/>
        <v>P</v>
      </c>
      <c r="T9" s="2" t="str" cm="1">
        <f t="array" ref="T9">IF(R9="","",IF(SUMPRODUCT(--(D$3:D$52="P"),--(B$3:B$52=B9)),"P",""))</f>
        <v/>
      </c>
      <c r="U9" s="12">
        <f t="shared" si="9"/>
        <v>93.099320980000002</v>
      </c>
      <c r="V9" s="1">
        <f t="shared" si="10"/>
        <v>7</v>
      </c>
      <c r="W9" s="1">
        <f t="shared" si="11"/>
        <v>2</v>
      </c>
      <c r="X9" s="1">
        <f t="shared" si="12"/>
        <v>2</v>
      </c>
      <c r="Y9" s="1"/>
      <c r="Z9" s="2" t="str">
        <f t="shared" si="13"/>
        <v/>
      </c>
    </row>
    <row r="10" spans="1:32" x14ac:dyDescent="0.2">
      <c r="A10" s="7" t="s">
        <v>57</v>
      </c>
      <c r="B10" s="6" t="s">
        <v>11</v>
      </c>
      <c r="C10" s="6" t="str">
        <f>IF(A10="","",VLOOKUP(B10,'Continental Affiliation'!A:B,2,0))</f>
        <v>Europe</v>
      </c>
      <c r="G10" s="3">
        <f t="shared" si="1"/>
        <v>8</v>
      </c>
      <c r="H10" s="6">
        <v>13</v>
      </c>
      <c r="I10" s="6">
        <v>6</v>
      </c>
      <c r="J10" s="6">
        <v>4</v>
      </c>
      <c r="K10" s="6"/>
      <c r="L10" s="6"/>
      <c r="M10" s="1">
        <f t="shared" si="2"/>
        <v>18</v>
      </c>
      <c r="N10" s="1">
        <f t="shared" si="3"/>
        <v>32</v>
      </c>
      <c r="O10" s="1">
        <f t="shared" si="4"/>
        <v>44</v>
      </c>
      <c r="P10" s="1" t="str">
        <f t="shared" si="5"/>
        <v/>
      </c>
      <c r="Q10" s="1" t="str">
        <f t="shared" si="6"/>
        <v/>
      </c>
      <c r="R10" s="12">
        <f t="shared" si="7"/>
        <v>76.099020960000004</v>
      </c>
      <c r="S10" s="2" t="str">
        <f t="shared" si="8"/>
        <v>P</v>
      </c>
      <c r="T10" s="2" t="str" cm="1">
        <f t="array" ref="T10">IF(R10="","",IF(SUMPRODUCT(--(D$3:D$52="P"),--(B$3:B$52=B10)),"P",""))</f>
        <v/>
      </c>
      <c r="U10" s="12">
        <f t="shared" si="9"/>
        <v>76.099020960000004</v>
      </c>
      <c r="V10" s="1">
        <f t="shared" si="10"/>
        <v>10</v>
      </c>
      <c r="W10" s="1">
        <f t="shared" si="11"/>
        <v>2</v>
      </c>
      <c r="X10" s="1">
        <f t="shared" si="12"/>
        <v>4</v>
      </c>
      <c r="Y10" s="1"/>
      <c r="Z10" s="2" t="str">
        <f t="shared" si="13"/>
        <v/>
      </c>
    </row>
    <row r="11" spans="1:32" x14ac:dyDescent="0.2">
      <c r="A11" s="7" t="s">
        <v>82</v>
      </c>
      <c r="B11" s="6" t="s">
        <v>13</v>
      </c>
      <c r="C11" s="6" t="str">
        <f>IF(A11="","",VLOOKUP(B11,'Continental Affiliation'!A:B,2,0))</f>
        <v>Europe</v>
      </c>
      <c r="G11" s="3" t="str">
        <f t="shared" si="1"/>
        <v/>
      </c>
      <c r="H11" s="6">
        <v>6</v>
      </c>
      <c r="I11" s="6">
        <v>12</v>
      </c>
      <c r="J11" s="6">
        <v>7</v>
      </c>
      <c r="K11" s="6"/>
      <c r="L11" s="6"/>
      <c r="M11" s="1">
        <f t="shared" si="2"/>
        <v>32</v>
      </c>
      <c r="N11" s="1">
        <f t="shared" si="3"/>
        <v>19</v>
      </c>
      <c r="O11" s="1">
        <f t="shared" si="4"/>
        <v>28</v>
      </c>
      <c r="P11" s="1" t="str">
        <f t="shared" si="5"/>
        <v/>
      </c>
      <c r="Q11" s="1" t="str">
        <f t="shared" si="6"/>
        <v/>
      </c>
      <c r="R11" s="12">
        <f t="shared" si="7"/>
        <v>60.09872094</v>
      </c>
      <c r="S11" s="2" t="str">
        <f t="shared" si="8"/>
        <v>P</v>
      </c>
      <c r="T11" s="2" t="str" cm="1">
        <f t="array" ref="T11">IF(R11="","",IF(SUMPRODUCT(--(D$3:D$52="P"),--(B$3:B$52=B11)),"P",""))</f>
        <v>P</v>
      </c>
      <c r="U11" s="12" t="str">
        <f t="shared" si="9"/>
        <v/>
      </c>
      <c r="V11" s="1">
        <f t="shared" si="10"/>
        <v>13</v>
      </c>
      <c r="W11" s="1">
        <f t="shared" si="11"/>
        <v>2</v>
      </c>
      <c r="X11" s="1">
        <f t="shared" si="12"/>
        <v>6</v>
      </c>
      <c r="Y11" s="1"/>
      <c r="Z11" s="2" t="str">
        <f t="shared" si="13"/>
        <v/>
      </c>
    </row>
    <row r="12" spans="1:32" x14ac:dyDescent="0.2">
      <c r="A12" s="7" t="s">
        <v>39</v>
      </c>
      <c r="B12" s="6" t="s">
        <v>11</v>
      </c>
      <c r="C12" s="6" t="str">
        <f>IF(A12="","",VLOOKUP(B12,'Continental Affiliation'!A:B,2,0))</f>
        <v>Europe</v>
      </c>
      <c r="G12" s="3" t="str">
        <f t="shared" si="1"/>
        <v/>
      </c>
      <c r="H12" s="6">
        <v>3</v>
      </c>
      <c r="I12" s="6">
        <v>22</v>
      </c>
      <c r="J12" s="6">
        <v>23</v>
      </c>
      <c r="K12" s="6"/>
      <c r="L12" s="6"/>
      <c r="M12" s="1">
        <f t="shared" si="2"/>
        <v>50</v>
      </c>
      <c r="N12" s="1">
        <f t="shared" si="3"/>
        <v>9</v>
      </c>
      <c r="O12" s="1">
        <f t="shared" si="4"/>
        <v>8</v>
      </c>
      <c r="P12" s="1" t="str">
        <f t="shared" si="5"/>
        <v/>
      </c>
      <c r="Q12" s="1" t="str">
        <f t="shared" si="6"/>
        <v/>
      </c>
      <c r="R12" s="12">
        <f t="shared" si="7"/>
        <v>59.097510970000002</v>
      </c>
      <c r="S12" s="2" t="str" cm="1">
        <f t="array" ref="S12">IF(OR(R12="",R12=0),"",IF(SUMPRODUCT(--(B$3:B$52=B12),--(R$3:R$52&gt;R12),--(R$3:R$52&lt;&gt;"")),"","P"))</f>
        <v/>
      </c>
      <c r="T12" s="2" t="str" cm="1">
        <f t="array" ref="T12">IF(R12="","",IF(SUMPRODUCT(--(D$3:D$52="P"),--(B$3:B$52=B12)),"P",""))</f>
        <v/>
      </c>
      <c r="U12" s="12" t="str">
        <f t="shared" si="9"/>
        <v/>
      </c>
      <c r="V12" s="1">
        <f t="shared" si="10"/>
        <v>25</v>
      </c>
      <c r="W12" s="1">
        <f t="shared" si="11"/>
        <v>1</v>
      </c>
      <c r="X12" s="1">
        <f t="shared" si="12"/>
        <v>3</v>
      </c>
      <c r="Y12" s="1"/>
      <c r="Z12" s="2" t="str">
        <f t="shared" si="13"/>
        <v/>
      </c>
    </row>
    <row r="13" spans="1:32" x14ac:dyDescent="0.2">
      <c r="A13" s="7" t="s">
        <v>54</v>
      </c>
      <c r="B13" s="6" t="s">
        <v>37</v>
      </c>
      <c r="C13" s="6" t="str">
        <f>IF(A13="","",VLOOKUP(B13,'Continental Affiliation'!A:B,2,0))</f>
        <v>Europe</v>
      </c>
      <c r="G13" s="3" t="str">
        <f t="shared" si="1"/>
        <v/>
      </c>
      <c r="H13" s="6">
        <v>4</v>
      </c>
      <c r="I13" s="6">
        <v>17</v>
      </c>
      <c r="J13" s="6">
        <v>24</v>
      </c>
      <c r="K13" s="6"/>
      <c r="L13" s="6"/>
      <c r="M13" s="1">
        <f t="shared" si="2"/>
        <v>44</v>
      </c>
      <c r="N13" s="1">
        <f t="shared" si="3"/>
        <v>14</v>
      </c>
      <c r="O13" s="1">
        <f t="shared" si="4"/>
        <v>7</v>
      </c>
      <c r="P13" s="1" t="str">
        <f t="shared" si="5"/>
        <v/>
      </c>
      <c r="Q13" s="1" t="str">
        <f t="shared" si="6"/>
        <v/>
      </c>
      <c r="R13" s="12">
        <f t="shared" si="7"/>
        <v>58.097910960000007</v>
      </c>
      <c r="S13" s="2" t="str">
        <f t="shared" ref="S13:S29" si="14">IF(OR(R13="",R13=0),"",IF(SUMPRODUCT(--(B$3:B$52=B13),--(R$3:R$52&gt;R13),--(R$3:R$52&lt;&gt;"")),"","P"))</f>
        <v>P</v>
      </c>
      <c r="T13" s="2" t="str" cm="1">
        <f t="array" ref="T13">IF(R13="","",IF(SUMPRODUCT(--(D$3:D$52="P"),--(B$3:B$52=B13)),"P",""))</f>
        <v>P</v>
      </c>
      <c r="U13" s="12" t="str">
        <f t="shared" si="9"/>
        <v/>
      </c>
      <c r="V13" s="1">
        <f t="shared" si="10"/>
        <v>21</v>
      </c>
      <c r="W13" s="1">
        <f t="shared" si="11"/>
        <v>1</v>
      </c>
      <c r="X13" s="1">
        <f t="shared" si="12"/>
        <v>4</v>
      </c>
      <c r="Y13" s="1"/>
      <c r="Z13" s="2" t="str">
        <f t="shared" si="13"/>
        <v/>
      </c>
    </row>
    <row r="14" spans="1:32" x14ac:dyDescent="0.2">
      <c r="A14" s="7" t="s">
        <v>119</v>
      </c>
      <c r="B14" s="6" t="s">
        <v>37</v>
      </c>
      <c r="C14" s="6" t="str">
        <f>IF(A14="","",VLOOKUP(B14,'Continental Affiliation'!A:B,2,0))</f>
        <v>Europe</v>
      </c>
      <c r="G14" s="3" t="str">
        <f t="shared" si="1"/>
        <v/>
      </c>
      <c r="H14" s="6">
        <v>7</v>
      </c>
      <c r="I14" s="6">
        <v>8</v>
      </c>
      <c r="J14" s="6">
        <v>10</v>
      </c>
      <c r="K14" s="6"/>
      <c r="L14" s="6"/>
      <c r="M14" s="1">
        <f t="shared" si="2"/>
        <v>28</v>
      </c>
      <c r="N14" s="1">
        <f t="shared" si="3"/>
        <v>25</v>
      </c>
      <c r="O14" s="1">
        <f t="shared" si="4"/>
        <v>21</v>
      </c>
      <c r="P14" s="1" t="str">
        <f t="shared" si="5"/>
        <v/>
      </c>
      <c r="Q14" s="1" t="str">
        <f t="shared" si="6"/>
        <v/>
      </c>
      <c r="R14" s="12">
        <f t="shared" si="7"/>
        <v>53.098520929999999</v>
      </c>
      <c r="S14" s="2" t="str">
        <f t="shared" si="14"/>
        <v/>
      </c>
      <c r="T14" s="2" t="str" cm="1">
        <f t="array" ref="T14">IF(R14="","",IF(SUMPRODUCT(--(D$3:D$52="P"),--(B$3:B$52=B14)),"P",""))</f>
        <v>P</v>
      </c>
      <c r="U14" s="12" t="str">
        <f t="shared" si="9"/>
        <v/>
      </c>
      <c r="V14" s="1">
        <f t="shared" si="10"/>
        <v>15</v>
      </c>
      <c r="W14" s="1">
        <f t="shared" si="11"/>
        <v>2</v>
      </c>
      <c r="X14" s="1">
        <f t="shared" si="12"/>
        <v>7</v>
      </c>
      <c r="Y14" s="1"/>
      <c r="Z14" s="2" t="str">
        <f t="shared" si="13"/>
        <v/>
      </c>
    </row>
    <row r="15" spans="1:32" x14ac:dyDescent="0.2">
      <c r="A15" s="7" t="s">
        <v>118</v>
      </c>
      <c r="B15" s="6" t="s">
        <v>8</v>
      </c>
      <c r="C15" s="6" t="str">
        <f>IF(A15="","",VLOOKUP(B15,'Continental Affiliation'!A:B,2,0))</f>
        <v>Asia</v>
      </c>
      <c r="G15" s="3" t="str">
        <f t="shared" si="1"/>
        <v/>
      </c>
      <c r="H15" s="6">
        <v>8</v>
      </c>
      <c r="I15" s="6">
        <v>10</v>
      </c>
      <c r="J15" s="6">
        <v>26</v>
      </c>
      <c r="K15" s="6"/>
      <c r="L15" s="6"/>
      <c r="M15" s="1">
        <f t="shared" si="2"/>
        <v>25</v>
      </c>
      <c r="N15" s="1">
        <f t="shared" si="3"/>
        <v>21</v>
      </c>
      <c r="O15" s="1">
        <f t="shared" si="4"/>
        <v>5</v>
      </c>
      <c r="P15" s="1" t="str">
        <f t="shared" si="5"/>
        <v/>
      </c>
      <c r="Q15" s="1" t="str">
        <f t="shared" si="6"/>
        <v/>
      </c>
      <c r="R15" s="12">
        <f t="shared" si="7"/>
        <v>46.09821092</v>
      </c>
      <c r="S15" s="2" t="str">
        <f t="shared" si="14"/>
        <v>P</v>
      </c>
      <c r="T15" s="2" t="str" cm="1">
        <f t="array" ref="T15">IF(R15="","",IF(SUMPRODUCT(--(D$3:D$52="P"),--(B$3:B$52=B15)),"P",""))</f>
        <v>P</v>
      </c>
      <c r="U15" s="12" t="str">
        <f t="shared" si="9"/>
        <v/>
      </c>
      <c r="V15" s="1">
        <f t="shared" si="10"/>
        <v>18</v>
      </c>
      <c r="W15" s="1">
        <f t="shared" si="11"/>
        <v>1</v>
      </c>
      <c r="X15" s="1">
        <f t="shared" si="12"/>
        <v>8</v>
      </c>
      <c r="Y15" s="1"/>
      <c r="Z15" s="2" t="str">
        <f t="shared" si="13"/>
        <v/>
      </c>
    </row>
    <row r="16" spans="1:32" x14ac:dyDescent="0.2">
      <c r="A16" s="7" t="s">
        <v>116</v>
      </c>
      <c r="B16" s="6" t="s">
        <v>6</v>
      </c>
      <c r="C16" s="6" t="str">
        <f>IF(A16="","",VLOOKUP(B16,'Continental Affiliation'!A:B,2,0))</f>
        <v>Asia</v>
      </c>
      <c r="G16" s="3" t="str">
        <f t="shared" si="1"/>
        <v/>
      </c>
      <c r="H16" s="6">
        <v>25</v>
      </c>
      <c r="I16" s="6">
        <v>7</v>
      </c>
      <c r="J16" s="6">
        <v>18</v>
      </c>
      <c r="K16" s="6"/>
      <c r="L16" s="6"/>
      <c r="M16" s="1">
        <f t="shared" si="2"/>
        <v>6</v>
      </c>
      <c r="N16" s="1">
        <f t="shared" si="3"/>
        <v>28</v>
      </c>
      <c r="O16" s="1">
        <f t="shared" si="4"/>
        <v>13</v>
      </c>
      <c r="P16" s="1" t="str">
        <f t="shared" si="5"/>
        <v/>
      </c>
      <c r="Q16" s="1" t="str">
        <f t="shared" si="6"/>
        <v/>
      </c>
      <c r="R16" s="12">
        <f t="shared" si="7"/>
        <v>41.097510929999999</v>
      </c>
      <c r="S16" s="2" t="str">
        <f t="shared" si="14"/>
        <v/>
      </c>
      <c r="T16" s="2" t="str" cm="1">
        <f t="array" ref="T16">IF(R16="","",IF(SUMPRODUCT(--(D$3:D$52="P"),--(B$3:B$52=B16)),"P",""))</f>
        <v>P</v>
      </c>
      <c r="U16" s="12" t="str">
        <f t="shared" si="9"/>
        <v/>
      </c>
      <c r="V16" s="1">
        <f t="shared" si="10"/>
        <v>25</v>
      </c>
      <c r="W16" s="1">
        <f t="shared" si="11"/>
        <v>1</v>
      </c>
      <c r="X16" s="1">
        <f t="shared" si="12"/>
        <v>7</v>
      </c>
      <c r="Y16" s="1"/>
      <c r="Z16" s="2" t="str">
        <f t="shared" si="13"/>
        <v/>
      </c>
    </row>
    <row r="17" spans="1:26" x14ac:dyDescent="0.2">
      <c r="A17" s="7" t="s">
        <v>53</v>
      </c>
      <c r="B17" s="6" t="s">
        <v>8</v>
      </c>
      <c r="C17" s="6" t="str">
        <f>IF(A17="","",VLOOKUP(B17,'Continental Affiliation'!A:B,2,0))</f>
        <v>Asia</v>
      </c>
      <c r="G17" s="3" t="str">
        <f t="shared" si="1"/>
        <v/>
      </c>
      <c r="H17" s="6">
        <v>15</v>
      </c>
      <c r="I17" s="6">
        <v>13</v>
      </c>
      <c r="J17" s="6">
        <v>9</v>
      </c>
      <c r="K17" s="6"/>
      <c r="L17" s="6"/>
      <c r="M17" s="1">
        <f t="shared" si="2"/>
        <v>16</v>
      </c>
      <c r="N17" s="1">
        <f t="shared" si="3"/>
        <v>18</v>
      </c>
      <c r="O17" s="1">
        <f t="shared" si="4"/>
        <v>22</v>
      </c>
      <c r="P17" s="1" t="str">
        <f t="shared" si="5"/>
        <v/>
      </c>
      <c r="Q17" s="1" t="str">
        <f t="shared" si="6"/>
        <v/>
      </c>
      <c r="R17" s="12">
        <f t="shared" si="7"/>
        <v>40.097800909999997</v>
      </c>
      <c r="S17" s="2" t="str">
        <f t="shared" si="14"/>
        <v/>
      </c>
      <c r="T17" s="2" t="str" cm="1">
        <f t="array" ref="T17">IF(R17="","",IF(SUMPRODUCT(--(D$3:D$52="P"),--(B$3:B$52=B17)),"P",""))</f>
        <v>P</v>
      </c>
      <c r="U17" s="12" t="str">
        <f t="shared" si="9"/>
        <v/>
      </c>
      <c r="V17" s="1">
        <f t="shared" si="10"/>
        <v>22</v>
      </c>
      <c r="W17" s="1">
        <f t="shared" si="11"/>
        <v>0</v>
      </c>
      <c r="X17" s="1">
        <f t="shared" si="12"/>
        <v>9</v>
      </c>
      <c r="Y17" s="1"/>
      <c r="Z17" s="2" t="str">
        <f t="shared" si="13"/>
        <v/>
      </c>
    </row>
    <row r="18" spans="1:26" x14ac:dyDescent="0.2">
      <c r="A18" s="7" t="s">
        <v>76</v>
      </c>
      <c r="B18" s="6" t="s">
        <v>27</v>
      </c>
      <c r="C18" s="6" t="str">
        <f>IF(A18="","",VLOOKUP(B18,'Continental Affiliation'!A:B,2,0))</f>
        <v>Americas</v>
      </c>
      <c r="G18" s="3">
        <f t="shared" si="1"/>
        <v>9</v>
      </c>
      <c r="H18" s="6">
        <v>27</v>
      </c>
      <c r="I18" s="6">
        <v>11</v>
      </c>
      <c r="J18" s="6">
        <v>16</v>
      </c>
      <c r="K18" s="6"/>
      <c r="L18" s="6"/>
      <c r="M18" s="1">
        <f t="shared" si="2"/>
        <v>4</v>
      </c>
      <c r="N18" s="1">
        <f t="shared" si="3"/>
        <v>20</v>
      </c>
      <c r="O18" s="1">
        <f t="shared" si="4"/>
        <v>15</v>
      </c>
      <c r="P18" s="1" t="str">
        <f t="shared" si="5"/>
        <v/>
      </c>
      <c r="Q18" s="1" t="str">
        <f t="shared" si="6"/>
        <v/>
      </c>
      <c r="R18" s="12">
        <f t="shared" si="7"/>
        <v>35.09730089</v>
      </c>
      <c r="S18" s="2" t="str">
        <f t="shared" si="14"/>
        <v>P</v>
      </c>
      <c r="T18" s="2" t="str" cm="1">
        <f t="array" ref="T18">IF(R18="","",IF(SUMPRODUCT(--(D$3:D$52="P"),--(B$3:B$52=B18)),"P",""))</f>
        <v/>
      </c>
      <c r="U18" s="12">
        <f t="shared" si="9"/>
        <v>35.09730089</v>
      </c>
      <c r="V18" s="1">
        <f t="shared" si="10"/>
        <v>27</v>
      </c>
      <c r="W18" s="1">
        <f t="shared" si="11"/>
        <v>0</v>
      </c>
      <c r="X18" s="1">
        <f t="shared" si="12"/>
        <v>11</v>
      </c>
      <c r="Y18" s="1"/>
      <c r="Z18" s="2" t="str">
        <f t="shared" si="13"/>
        <v/>
      </c>
    </row>
    <row r="19" spans="1:26" x14ac:dyDescent="0.2">
      <c r="A19" s="7" t="s">
        <v>124</v>
      </c>
      <c r="B19" s="6" t="s">
        <v>26</v>
      </c>
      <c r="C19" s="6" t="str">
        <f>IF(A19="","",VLOOKUP(B19,'Continental Affiliation'!A:B,2,0))</f>
        <v>Americas</v>
      </c>
      <c r="G19" s="3">
        <f t="shared" si="1"/>
        <v>10</v>
      </c>
      <c r="H19" s="6">
        <v>29</v>
      </c>
      <c r="I19" s="6">
        <v>21</v>
      </c>
      <c r="J19" s="6">
        <v>8</v>
      </c>
      <c r="K19" s="6"/>
      <c r="L19" s="6"/>
      <c r="M19" s="1">
        <f t="shared" si="2"/>
        <v>2</v>
      </c>
      <c r="N19" s="1">
        <f t="shared" si="3"/>
        <v>10</v>
      </c>
      <c r="O19" s="1">
        <f t="shared" si="4"/>
        <v>25</v>
      </c>
      <c r="P19" s="1" t="str">
        <f t="shared" si="5"/>
        <v/>
      </c>
      <c r="Q19" s="1" t="str">
        <f t="shared" si="6"/>
        <v/>
      </c>
      <c r="R19" s="12">
        <f t="shared" si="7"/>
        <v>35.097110919999999</v>
      </c>
      <c r="S19" s="2" t="str">
        <f t="shared" si="14"/>
        <v>P</v>
      </c>
      <c r="T19" s="2" t="str" cm="1">
        <f t="array" ref="T19">IF(R19="","",IF(SUMPRODUCT(--(D$3:D$52="P"),--(B$3:B$52=B19)),"P",""))</f>
        <v/>
      </c>
      <c r="U19" s="12">
        <f t="shared" si="9"/>
        <v>35.097110919999999</v>
      </c>
      <c r="V19" s="1">
        <f t="shared" si="10"/>
        <v>29</v>
      </c>
      <c r="W19" s="1">
        <f t="shared" si="11"/>
        <v>1</v>
      </c>
      <c r="X19" s="1">
        <f t="shared" si="12"/>
        <v>8</v>
      </c>
      <c r="Y19" s="1"/>
      <c r="Z19" s="2" t="str">
        <f t="shared" si="13"/>
        <v/>
      </c>
    </row>
    <row r="20" spans="1:26" x14ac:dyDescent="0.2">
      <c r="A20" s="7" t="s">
        <v>55</v>
      </c>
      <c r="B20" s="6" t="s">
        <v>47</v>
      </c>
      <c r="C20" s="6" t="str">
        <f>IF(A20="","",VLOOKUP(B20,'Continental Affiliation'!A:B,2,0))</f>
        <v>Asia</v>
      </c>
      <c r="G20" s="3">
        <f t="shared" si="1"/>
        <v>11</v>
      </c>
      <c r="H20" s="6">
        <v>9</v>
      </c>
      <c r="I20" s="6">
        <v>20</v>
      </c>
      <c r="J20" s="6">
        <v>41</v>
      </c>
      <c r="K20" s="6"/>
      <c r="L20" s="6"/>
      <c r="M20" s="1">
        <f t="shared" si="2"/>
        <v>22</v>
      </c>
      <c r="N20" s="1">
        <f t="shared" si="3"/>
        <v>11</v>
      </c>
      <c r="O20" s="1" t="str">
        <f t="shared" si="4"/>
        <v/>
      </c>
      <c r="P20" s="1" t="str">
        <f t="shared" si="5"/>
        <v/>
      </c>
      <c r="Q20" s="1" t="str">
        <f t="shared" si="6"/>
        <v/>
      </c>
      <c r="R20" s="12">
        <f t="shared" si="7"/>
        <v>33.097100909999995</v>
      </c>
      <c r="S20" s="2" t="str">
        <f t="shared" si="14"/>
        <v>P</v>
      </c>
      <c r="T20" s="2" t="str" cm="1">
        <f t="array" ref="T20">IF(R20="","",IF(SUMPRODUCT(--(D$3:D$52="P"),--(B$3:B$52=B20)),"P",""))</f>
        <v/>
      </c>
      <c r="U20" s="12">
        <f t="shared" si="9"/>
        <v>33.097100909999995</v>
      </c>
      <c r="V20" s="1">
        <f t="shared" si="10"/>
        <v>29</v>
      </c>
      <c r="W20" s="1">
        <f t="shared" si="11"/>
        <v>0</v>
      </c>
      <c r="X20" s="1">
        <f t="shared" si="12"/>
        <v>9</v>
      </c>
      <c r="Y20" s="1"/>
      <c r="Z20" s="2" t="str">
        <f t="shared" si="13"/>
        <v/>
      </c>
    </row>
    <row r="21" spans="1:26" x14ac:dyDescent="0.2">
      <c r="A21" s="7" t="s">
        <v>41</v>
      </c>
      <c r="B21" s="6" t="s">
        <v>29</v>
      </c>
      <c r="C21" s="6" t="str">
        <f>IF(A21="","",VLOOKUP(B21,'Continental Affiliation'!A:B,2,0))</f>
        <v>Europe</v>
      </c>
      <c r="G21" s="3">
        <f t="shared" si="1"/>
        <v>12</v>
      </c>
      <c r="H21" s="6">
        <v>16</v>
      </c>
      <c r="I21" s="6">
        <v>15</v>
      </c>
      <c r="J21" s="6">
        <v>31</v>
      </c>
      <c r="K21" s="6"/>
      <c r="L21" s="6"/>
      <c r="M21" s="1">
        <f t="shared" si="2"/>
        <v>15</v>
      </c>
      <c r="N21" s="1">
        <f t="shared" si="3"/>
        <v>16</v>
      </c>
      <c r="O21" s="1" t="str">
        <f t="shared" si="4"/>
        <v/>
      </c>
      <c r="P21" s="1" t="str">
        <f t="shared" si="5"/>
        <v/>
      </c>
      <c r="Q21" s="1" t="str">
        <f t="shared" si="6"/>
        <v/>
      </c>
      <c r="R21" s="12">
        <f t="shared" si="7"/>
        <v>31.096900850000001</v>
      </c>
      <c r="S21" s="2" t="str">
        <f t="shared" si="14"/>
        <v>P</v>
      </c>
      <c r="T21" s="2" t="str" cm="1">
        <f t="array" ref="T21">IF(R21="","",IF(SUMPRODUCT(--(D$3:D$52="P"),--(B$3:B$52=B21)),"P",""))</f>
        <v/>
      </c>
      <c r="U21" s="12">
        <f t="shared" si="9"/>
        <v>31.096900850000001</v>
      </c>
      <c r="V21" s="1">
        <f t="shared" si="10"/>
        <v>31</v>
      </c>
      <c r="W21" s="1">
        <f t="shared" si="11"/>
        <v>0</v>
      </c>
      <c r="X21" s="1">
        <f t="shared" si="12"/>
        <v>15</v>
      </c>
      <c r="Y21" s="1"/>
      <c r="Z21" s="2" t="str">
        <f t="shared" si="13"/>
        <v/>
      </c>
    </row>
    <row r="22" spans="1:26" x14ac:dyDescent="0.2">
      <c r="A22" s="7" t="s">
        <v>77</v>
      </c>
      <c r="B22" s="6" t="s">
        <v>11</v>
      </c>
      <c r="C22" s="6" t="str">
        <f>IF(A22="","",VLOOKUP(B22,'Continental Affiliation'!A:B,2,0))</f>
        <v>Europe</v>
      </c>
      <c r="G22" s="3" t="str">
        <f t="shared" si="1"/>
        <v/>
      </c>
      <c r="H22" s="6">
        <v>19</v>
      </c>
      <c r="I22" s="6">
        <v>14</v>
      </c>
      <c r="J22" s="6">
        <v>29</v>
      </c>
      <c r="K22" s="6"/>
      <c r="L22" s="6"/>
      <c r="M22" s="1">
        <f t="shared" si="2"/>
        <v>12</v>
      </c>
      <c r="N22" s="1">
        <f t="shared" si="3"/>
        <v>17</v>
      </c>
      <c r="O22" s="1">
        <f t="shared" si="4"/>
        <v>2</v>
      </c>
      <c r="P22" s="1" t="str">
        <f t="shared" si="5"/>
        <v/>
      </c>
      <c r="Q22" s="1" t="str">
        <f t="shared" si="6"/>
        <v/>
      </c>
      <c r="R22" s="12">
        <f t="shared" si="7"/>
        <v>29.096700859999999</v>
      </c>
      <c r="S22" s="2" t="str">
        <f t="shared" si="14"/>
        <v/>
      </c>
      <c r="T22" s="2" t="str" cm="1">
        <f t="array" ref="T22">IF(R22="","",IF(SUMPRODUCT(--(D$3:D$52="P"),--(B$3:B$52=B22)),"P",""))</f>
        <v/>
      </c>
      <c r="U22" s="12" t="str">
        <f t="shared" si="9"/>
        <v/>
      </c>
      <c r="V22" s="1">
        <f t="shared" si="10"/>
        <v>33</v>
      </c>
      <c r="W22" s="1">
        <f t="shared" si="11"/>
        <v>0</v>
      </c>
      <c r="X22" s="1">
        <f t="shared" si="12"/>
        <v>14</v>
      </c>
      <c r="Y22" s="1"/>
      <c r="Z22" s="2" t="str">
        <f t="shared" si="13"/>
        <v/>
      </c>
    </row>
    <row r="23" spans="1:26" x14ac:dyDescent="0.2">
      <c r="A23" s="7" t="s">
        <v>40</v>
      </c>
      <c r="B23" s="6" t="s">
        <v>31</v>
      </c>
      <c r="C23" s="6" t="str">
        <f>IF(A23="","",VLOOKUP(B23,'Continental Affiliation'!A:B,2,0))</f>
        <v>Oceana</v>
      </c>
      <c r="G23" s="3">
        <f t="shared" si="1"/>
        <v>13</v>
      </c>
      <c r="H23" s="6">
        <v>12</v>
      </c>
      <c r="I23" s="6">
        <v>23</v>
      </c>
      <c r="J23" s="6">
        <v>39</v>
      </c>
      <c r="K23" s="6"/>
      <c r="L23" s="6"/>
      <c r="M23" s="1">
        <f t="shared" si="2"/>
        <v>19</v>
      </c>
      <c r="N23" s="1">
        <f t="shared" si="3"/>
        <v>8</v>
      </c>
      <c r="O23" s="1" t="str">
        <f t="shared" si="4"/>
        <v/>
      </c>
      <c r="P23" s="1" t="str">
        <f t="shared" si="5"/>
        <v/>
      </c>
      <c r="Q23" s="1" t="str">
        <f t="shared" si="6"/>
        <v/>
      </c>
      <c r="R23" s="12">
        <f t="shared" si="7"/>
        <v>27.096500880000001</v>
      </c>
      <c r="S23" s="2" t="str">
        <f t="shared" si="14"/>
        <v>P</v>
      </c>
      <c r="T23" s="2" t="str" cm="1">
        <f t="array" ref="T23">IF(R23="","",IF(SUMPRODUCT(--(D$3:D$52="P"),--(B$3:B$52=B23)),"P",""))</f>
        <v/>
      </c>
      <c r="U23" s="12">
        <f t="shared" si="9"/>
        <v>27.096500880000001</v>
      </c>
      <c r="V23" s="1">
        <f t="shared" si="10"/>
        <v>35</v>
      </c>
      <c r="W23" s="1">
        <f t="shared" si="11"/>
        <v>0</v>
      </c>
      <c r="X23" s="1">
        <f t="shared" si="12"/>
        <v>12</v>
      </c>
      <c r="Y23" s="1"/>
      <c r="Z23" s="2" t="str">
        <f t="shared" si="13"/>
        <v/>
      </c>
    </row>
    <row r="24" spans="1:26" x14ac:dyDescent="0.2">
      <c r="A24" s="7" t="s">
        <v>133</v>
      </c>
      <c r="B24" s="6" t="s">
        <v>8</v>
      </c>
      <c r="C24" s="6" t="str">
        <f>IF(A24="","",VLOOKUP(B24,'Continental Affiliation'!A:B,2,0))</f>
        <v>Asia</v>
      </c>
      <c r="G24" s="3" t="str">
        <f t="shared" si="1"/>
        <v/>
      </c>
      <c r="H24" s="6">
        <v>74</v>
      </c>
      <c r="I24" s="6">
        <v>25</v>
      </c>
      <c r="J24" s="6">
        <v>11</v>
      </c>
      <c r="K24" s="6"/>
      <c r="L24" s="6"/>
      <c r="M24" s="1" t="str">
        <f t="shared" si="2"/>
        <v/>
      </c>
      <c r="N24" s="1">
        <f t="shared" si="3"/>
        <v>6</v>
      </c>
      <c r="O24" s="1">
        <f t="shared" si="4"/>
        <v>20</v>
      </c>
      <c r="P24" s="1" t="str">
        <f t="shared" si="5"/>
        <v/>
      </c>
      <c r="Q24" s="1" t="str">
        <f t="shared" si="6"/>
        <v/>
      </c>
      <c r="R24" s="12">
        <f t="shared" si="7"/>
        <v>26.096400889999998</v>
      </c>
      <c r="S24" s="2" t="str">
        <f t="shared" si="14"/>
        <v/>
      </c>
      <c r="T24" s="2" t="str" cm="1">
        <f t="array" ref="T24">IF(R24="","",IF(SUMPRODUCT(--(D$3:D$52="P"),--(B$3:B$52=B24)),"P",""))</f>
        <v>P</v>
      </c>
      <c r="U24" s="12" t="str">
        <f t="shared" si="9"/>
        <v/>
      </c>
      <c r="V24" s="1">
        <f t="shared" si="10"/>
        <v>36</v>
      </c>
      <c r="W24" s="1">
        <f t="shared" si="11"/>
        <v>0</v>
      </c>
      <c r="X24" s="1">
        <f t="shared" si="12"/>
        <v>11</v>
      </c>
      <c r="Y24" s="1"/>
      <c r="Z24" s="2" t="str">
        <f t="shared" si="13"/>
        <v/>
      </c>
    </row>
    <row r="25" spans="1:26" x14ac:dyDescent="0.2">
      <c r="A25" s="7" t="s">
        <v>43</v>
      </c>
      <c r="B25" s="6" t="s">
        <v>26</v>
      </c>
      <c r="C25" s="6" t="str">
        <f>IF(A25="","",VLOOKUP(B25,'Continental Affiliation'!A:B,2,0))</f>
        <v>Americas</v>
      </c>
      <c r="G25" s="3" t="str">
        <f t="shared" si="1"/>
        <v/>
      </c>
      <c r="H25" s="6">
        <v>17</v>
      </c>
      <c r="I25" s="6">
        <v>24</v>
      </c>
      <c r="J25" s="6">
        <v>21</v>
      </c>
      <c r="K25" s="6"/>
      <c r="L25" s="6"/>
      <c r="M25" s="1">
        <f t="shared" si="2"/>
        <v>14</v>
      </c>
      <c r="N25" s="1">
        <f t="shared" si="3"/>
        <v>7</v>
      </c>
      <c r="O25" s="1">
        <f t="shared" si="4"/>
        <v>10</v>
      </c>
      <c r="P25" s="1" t="str">
        <f t="shared" si="5"/>
        <v/>
      </c>
      <c r="Q25" s="1" t="str">
        <f t="shared" si="6"/>
        <v/>
      </c>
      <c r="R25" s="12">
        <f t="shared" si="7"/>
        <v>24.096200830000001</v>
      </c>
      <c r="S25" s="2" t="str">
        <f t="shared" si="14"/>
        <v/>
      </c>
      <c r="T25" s="2" t="str" cm="1">
        <f t="array" ref="T25">IF(R25="","",IF(SUMPRODUCT(--(D$3:D$52="P"),--(B$3:B$52=B25)),"P",""))</f>
        <v/>
      </c>
      <c r="U25" s="12" t="str">
        <f t="shared" si="9"/>
        <v/>
      </c>
      <c r="V25" s="1">
        <f t="shared" si="10"/>
        <v>38</v>
      </c>
      <c r="W25" s="1">
        <f t="shared" si="11"/>
        <v>0</v>
      </c>
      <c r="X25" s="1">
        <f t="shared" si="12"/>
        <v>17</v>
      </c>
      <c r="Y25" s="1"/>
      <c r="Z25" s="2" t="str">
        <f t="shared" si="13"/>
        <v/>
      </c>
    </row>
    <row r="26" spans="1:26" x14ac:dyDescent="0.2">
      <c r="A26" s="7" t="s">
        <v>122</v>
      </c>
      <c r="B26" s="6" t="s">
        <v>45</v>
      </c>
      <c r="C26" s="6" t="str">
        <f>IF(A26="","",VLOOKUP(B26,'Continental Affiliation'!A:B,2,0))</f>
        <v>Europe</v>
      </c>
      <c r="G26" s="3">
        <f t="shared" si="1"/>
        <v>14</v>
      </c>
      <c r="H26" s="6">
        <v>20</v>
      </c>
      <c r="I26" s="6">
        <v>18</v>
      </c>
      <c r="J26" s="6">
        <v>20</v>
      </c>
      <c r="K26" s="6"/>
      <c r="L26" s="6"/>
      <c r="M26" s="1">
        <f t="shared" si="2"/>
        <v>11</v>
      </c>
      <c r="N26" s="1">
        <f t="shared" si="3"/>
        <v>13</v>
      </c>
      <c r="O26" s="1">
        <f t="shared" si="4"/>
        <v>11</v>
      </c>
      <c r="P26" s="1" t="str">
        <f t="shared" si="5"/>
        <v/>
      </c>
      <c r="Q26" s="1" t="str">
        <f t="shared" si="6"/>
        <v/>
      </c>
      <c r="R26" s="12">
        <f t="shared" si="7"/>
        <v>24.09620082</v>
      </c>
      <c r="S26" s="2" t="str">
        <f t="shared" si="14"/>
        <v>P</v>
      </c>
      <c r="T26" s="2" t="str" cm="1">
        <f t="array" ref="T26">IF(R26="","",IF(SUMPRODUCT(--(D$3:D$52="P"),--(B$3:B$52=B26)),"P",""))</f>
        <v/>
      </c>
      <c r="U26" s="12">
        <f t="shared" si="9"/>
        <v>24.09620082</v>
      </c>
      <c r="V26" s="1">
        <f t="shared" si="10"/>
        <v>38</v>
      </c>
      <c r="W26" s="1">
        <f t="shared" si="11"/>
        <v>0</v>
      </c>
      <c r="X26" s="1">
        <f t="shared" si="12"/>
        <v>18</v>
      </c>
      <c r="Y26" s="1"/>
      <c r="Z26" s="2" t="str">
        <f t="shared" si="13"/>
        <v/>
      </c>
    </row>
    <row r="27" spans="1:26" x14ac:dyDescent="0.2">
      <c r="A27" s="7" t="s">
        <v>121</v>
      </c>
      <c r="B27" s="6" t="s">
        <v>7</v>
      </c>
      <c r="C27" s="6" t="str">
        <f>IF(A27="","",VLOOKUP(B27,'Continental Affiliation'!A:B,2,0))</f>
        <v>Americas</v>
      </c>
      <c r="G27" s="3">
        <f t="shared" si="1"/>
        <v>15</v>
      </c>
      <c r="H27" s="6">
        <v>24</v>
      </c>
      <c r="I27" s="6">
        <v>16</v>
      </c>
      <c r="J27" s="6">
        <v>28</v>
      </c>
      <c r="K27" s="6"/>
      <c r="L27" s="6"/>
      <c r="M27" s="1">
        <f t="shared" si="2"/>
        <v>7</v>
      </c>
      <c r="N27" s="1">
        <f t="shared" si="3"/>
        <v>15</v>
      </c>
      <c r="O27" s="1">
        <f t="shared" si="4"/>
        <v>3</v>
      </c>
      <c r="P27" s="1" t="str">
        <f t="shared" si="5"/>
        <v/>
      </c>
      <c r="Q27" s="1" t="str">
        <f t="shared" si="6"/>
        <v/>
      </c>
      <c r="R27" s="12">
        <f t="shared" si="7"/>
        <v>22.096000839999999</v>
      </c>
      <c r="S27" s="2" t="str">
        <f t="shared" si="14"/>
        <v>P</v>
      </c>
      <c r="T27" s="2" t="str" cm="1">
        <f t="array" ref="T27">IF(R27="","",IF(SUMPRODUCT(--(D$3:D$52="P"),--(B$3:B$52=B27)),"P",""))</f>
        <v/>
      </c>
      <c r="U27" s="12">
        <f t="shared" si="9"/>
        <v>22.096000839999999</v>
      </c>
      <c r="V27" s="1">
        <f t="shared" si="10"/>
        <v>40</v>
      </c>
      <c r="W27" s="1">
        <f t="shared" si="11"/>
        <v>0</v>
      </c>
      <c r="X27" s="1">
        <f t="shared" si="12"/>
        <v>16</v>
      </c>
      <c r="Y27" s="1"/>
      <c r="Z27" s="2" t="str">
        <f t="shared" si="13"/>
        <v/>
      </c>
    </row>
    <row r="28" spans="1:26" x14ac:dyDescent="0.2">
      <c r="A28" s="7" t="s">
        <v>60</v>
      </c>
      <c r="B28" s="6" t="s">
        <v>61</v>
      </c>
      <c r="C28" s="6" t="str">
        <f>IF(A28="","",VLOOKUP(B28,'Continental Affiliation'!A:B,2,0))</f>
        <v>Americas</v>
      </c>
      <c r="G28" s="3">
        <f t="shared" si="1"/>
        <v>16</v>
      </c>
      <c r="H28" s="6">
        <v>14</v>
      </c>
      <c r="I28" s="6">
        <v>27</v>
      </c>
      <c r="J28" s="6" t="s">
        <v>144</v>
      </c>
      <c r="K28" s="6"/>
      <c r="L28" s="6"/>
      <c r="M28" s="1">
        <f t="shared" si="2"/>
        <v>17</v>
      </c>
      <c r="N28" s="1">
        <f t="shared" si="3"/>
        <v>4</v>
      </c>
      <c r="O28" s="1" t="str">
        <f t="shared" si="4"/>
        <v/>
      </c>
      <c r="P28" s="1" t="str">
        <f t="shared" si="5"/>
        <v/>
      </c>
      <c r="Q28" s="1" t="str">
        <f t="shared" si="6"/>
        <v/>
      </c>
      <c r="R28" s="12">
        <f t="shared" si="7"/>
        <v>21.09590086</v>
      </c>
      <c r="S28" s="2" t="str">
        <f t="shared" si="14"/>
        <v>P</v>
      </c>
      <c r="T28" s="2" t="str" cm="1">
        <f t="array" ref="T28">IF(R28="","",IF(SUMPRODUCT(--(D$3:D$52="P"),--(B$3:B$52=B28)),"P",""))</f>
        <v/>
      </c>
      <c r="U28" s="12">
        <f t="shared" si="9"/>
        <v>21.09590086</v>
      </c>
      <c r="V28" s="1">
        <f t="shared" si="10"/>
        <v>41</v>
      </c>
      <c r="W28" s="1">
        <f t="shared" si="11"/>
        <v>0</v>
      </c>
      <c r="X28" s="1">
        <f t="shared" si="12"/>
        <v>14</v>
      </c>
      <c r="Y28" s="1"/>
      <c r="Z28" s="2" t="str">
        <f t="shared" si="13"/>
        <v/>
      </c>
    </row>
    <row r="29" spans="1:26" x14ac:dyDescent="0.2">
      <c r="A29" s="7" t="s">
        <v>115</v>
      </c>
      <c r="B29" s="6" t="s">
        <v>6</v>
      </c>
      <c r="C29" s="6" t="str">
        <f>IF(A29="","",VLOOKUP(B29,'Continental Affiliation'!A:B,2,0))</f>
        <v>Asia</v>
      </c>
      <c r="G29" s="3" t="str">
        <f t="shared" si="1"/>
        <v/>
      </c>
      <c r="H29" s="6">
        <v>18</v>
      </c>
      <c r="I29" s="6">
        <v>30</v>
      </c>
      <c r="J29" s="6">
        <v>25</v>
      </c>
      <c r="K29" s="6"/>
      <c r="L29" s="6"/>
      <c r="M29" s="1">
        <f t="shared" si="2"/>
        <v>13</v>
      </c>
      <c r="N29" s="1">
        <f t="shared" si="3"/>
        <v>1</v>
      </c>
      <c r="O29" s="1">
        <f t="shared" si="4"/>
        <v>6</v>
      </c>
      <c r="P29" s="1" t="str">
        <f t="shared" si="5"/>
        <v/>
      </c>
      <c r="Q29" s="1" t="str">
        <f t="shared" si="6"/>
        <v/>
      </c>
      <c r="R29" s="12">
        <f t="shared" si="7"/>
        <v>19.095700820000001</v>
      </c>
      <c r="S29" s="2" t="str">
        <f t="shared" si="14"/>
        <v/>
      </c>
      <c r="T29" s="2" t="str" cm="1">
        <f t="array" ref="T29">IF(R29="","",IF(SUMPRODUCT(--(D$3:D$52="P"),--(B$3:B$52=B29)),"P",""))</f>
        <v>P</v>
      </c>
      <c r="U29" s="12" t="str">
        <f t="shared" si="9"/>
        <v/>
      </c>
      <c r="V29" s="1">
        <f t="shared" si="10"/>
        <v>43</v>
      </c>
      <c r="W29" s="1">
        <f t="shared" si="11"/>
        <v>0</v>
      </c>
      <c r="X29" s="1">
        <f t="shared" si="12"/>
        <v>18</v>
      </c>
      <c r="Y29" s="1"/>
      <c r="Z29" s="2" t="str">
        <f t="shared" si="13"/>
        <v/>
      </c>
    </row>
    <row r="30" spans="1:26" x14ac:dyDescent="0.2">
      <c r="A30" s="7" t="s">
        <v>138</v>
      </c>
      <c r="B30" s="6" t="s">
        <v>23</v>
      </c>
      <c r="C30" s="6" t="str">
        <f>IF(A30="","",VLOOKUP(B30,'Continental Affiliation'!A:B,2,0))</f>
        <v>Europe</v>
      </c>
      <c r="G30" s="3">
        <f t="shared" si="1"/>
        <v>17</v>
      </c>
      <c r="H30" s="6">
        <v>34</v>
      </c>
      <c r="I30" s="6">
        <v>34</v>
      </c>
      <c r="J30" s="6">
        <v>13</v>
      </c>
      <c r="K30" s="6"/>
      <c r="L30" s="6"/>
      <c r="M30" s="1" t="str">
        <f t="shared" si="2"/>
        <v/>
      </c>
      <c r="N30" s="1" t="str">
        <f t="shared" si="3"/>
        <v/>
      </c>
      <c r="O30" s="1">
        <f t="shared" si="4"/>
        <v>18</v>
      </c>
      <c r="P30" s="1" t="str">
        <f t="shared" si="5"/>
        <v/>
      </c>
      <c r="Q30" s="1" t="str">
        <f t="shared" si="6"/>
        <v/>
      </c>
      <c r="R30" s="12">
        <f t="shared" si="7"/>
        <v>18.095300870000003</v>
      </c>
      <c r="S30" s="2" t="str" cm="1">
        <f t="array" ref="S30">IF(OR(R30="",R30=0),"",IF(SUMPRODUCT(--(B$3:B$52=B30),--(R$3:R$52&gt;R30),--(R$3:R$52&lt;&gt;"")),"","P"))</f>
        <v>P</v>
      </c>
      <c r="T30" s="2" t="str" cm="1">
        <f t="array" ref="T30">IF(R30="","",IF(SUMPRODUCT(--(D$3:D$52="P"),--(B$3:B$52=B30)),"P",""))</f>
        <v/>
      </c>
      <c r="U30" s="12">
        <f t="shared" si="9"/>
        <v>18.095300870000003</v>
      </c>
      <c r="V30" s="1">
        <f t="shared" si="10"/>
        <v>47</v>
      </c>
      <c r="W30" s="1">
        <f t="shared" si="11"/>
        <v>0</v>
      </c>
      <c r="X30" s="1">
        <f t="shared" si="12"/>
        <v>13</v>
      </c>
      <c r="Y30" s="1"/>
      <c r="Z30" s="2" t="str">
        <f t="shared" si="13"/>
        <v/>
      </c>
    </row>
    <row r="31" spans="1:26" x14ac:dyDescent="0.2">
      <c r="A31" s="7" t="s">
        <v>120</v>
      </c>
      <c r="B31" s="6" t="s">
        <v>29</v>
      </c>
      <c r="C31" s="6" t="str">
        <f>IF(A31="","",VLOOKUP(B31,'Continental Affiliation'!A:B,2,0))</f>
        <v>Europe</v>
      </c>
      <c r="G31" s="3" t="str">
        <f t="shared" si="1"/>
        <v/>
      </c>
      <c r="H31" s="6">
        <v>23</v>
      </c>
      <c r="I31" s="6">
        <v>61</v>
      </c>
      <c r="J31" s="6">
        <v>22</v>
      </c>
      <c r="K31" s="6"/>
      <c r="L31" s="6"/>
      <c r="M31" s="1">
        <f t="shared" si="2"/>
        <v>8</v>
      </c>
      <c r="N31" s="1" t="str">
        <f t="shared" si="3"/>
        <v/>
      </c>
      <c r="O31" s="1">
        <f t="shared" si="4"/>
        <v>9</v>
      </c>
      <c r="P31" s="1" t="str">
        <f t="shared" si="5"/>
        <v/>
      </c>
      <c r="Q31" s="1" t="str">
        <f t="shared" si="6"/>
        <v/>
      </c>
      <c r="R31" s="12">
        <f t="shared" si="7"/>
        <v>17.095500780000002</v>
      </c>
      <c r="S31" s="2" t="str">
        <f t="shared" ref="S31:S40" si="15">IF(OR(R31="",R31=0),"",IF(SUMPRODUCT(--(B$3:B$52=B31),--(R$3:R$52&gt;R31),--(R$3:R$52&lt;&gt;"")),"","P"))</f>
        <v/>
      </c>
      <c r="T31" s="2" t="str" cm="1">
        <f t="array" ref="T31">IF(R31="","",IF(SUMPRODUCT(--(D$3:D$52="P"),--(B$3:B$52=B31)),"P",""))</f>
        <v/>
      </c>
      <c r="U31" s="12" t="str">
        <f t="shared" si="9"/>
        <v/>
      </c>
      <c r="V31" s="1">
        <f t="shared" si="10"/>
        <v>45</v>
      </c>
      <c r="W31" s="1">
        <f t="shared" si="11"/>
        <v>0</v>
      </c>
      <c r="X31" s="1">
        <f t="shared" si="12"/>
        <v>22</v>
      </c>
      <c r="Y31" s="1"/>
      <c r="Z31" s="2" t="str">
        <f t="shared" si="13"/>
        <v/>
      </c>
    </row>
    <row r="32" spans="1:26" x14ac:dyDescent="0.2">
      <c r="A32" s="7" t="s">
        <v>139</v>
      </c>
      <c r="B32" s="6" t="s">
        <v>23</v>
      </c>
      <c r="C32" s="6" t="str">
        <f>IF(A32="","",VLOOKUP(B32,'Continental Affiliation'!A:B,2,0))</f>
        <v>Europe</v>
      </c>
      <c r="G32" s="3" t="str">
        <f t="shared" si="1"/>
        <v/>
      </c>
      <c r="H32" s="6">
        <v>63</v>
      </c>
      <c r="I32" s="6">
        <v>35</v>
      </c>
      <c r="J32" s="6">
        <v>14</v>
      </c>
      <c r="K32" s="6"/>
      <c r="L32" s="6"/>
      <c r="M32" s="1" t="str">
        <f t="shared" si="2"/>
        <v/>
      </c>
      <c r="N32" s="1" t="str">
        <f t="shared" si="3"/>
        <v/>
      </c>
      <c r="O32" s="1">
        <f t="shared" si="4"/>
        <v>17</v>
      </c>
      <c r="P32" s="1" t="str">
        <f t="shared" si="5"/>
        <v/>
      </c>
      <c r="Q32" s="1" t="str">
        <f t="shared" si="6"/>
        <v/>
      </c>
      <c r="R32" s="12">
        <f t="shared" si="7"/>
        <v>17.095100859999999</v>
      </c>
      <c r="S32" s="2" t="str">
        <f t="shared" si="15"/>
        <v/>
      </c>
      <c r="T32" s="2" t="str" cm="1">
        <f t="array" ref="T32">IF(R32="","",IF(SUMPRODUCT(--(D$3:D$52="P"),--(B$3:B$52=B32)),"P",""))</f>
        <v/>
      </c>
      <c r="U32" s="12" t="str">
        <f t="shared" si="9"/>
        <v/>
      </c>
      <c r="V32" s="1">
        <f t="shared" si="10"/>
        <v>49</v>
      </c>
      <c r="W32" s="1">
        <f t="shared" si="11"/>
        <v>0</v>
      </c>
      <c r="X32" s="1">
        <f t="shared" si="12"/>
        <v>14</v>
      </c>
      <c r="Y32" s="1"/>
      <c r="Z32" s="2" t="str">
        <f t="shared" si="13"/>
        <v/>
      </c>
    </row>
    <row r="33" spans="1:26" x14ac:dyDescent="0.2">
      <c r="A33" s="7" t="s">
        <v>140</v>
      </c>
      <c r="B33" s="6" t="s">
        <v>45</v>
      </c>
      <c r="C33" s="6" t="str">
        <f>IF(A33="","",VLOOKUP(B33,'Continental Affiliation'!A:B,2,0))</f>
        <v>Europe</v>
      </c>
      <c r="G33" s="3" t="str">
        <f t="shared" si="1"/>
        <v/>
      </c>
      <c r="H33" s="6">
        <v>32</v>
      </c>
      <c r="I33" s="6">
        <v>43</v>
      </c>
      <c r="J33" s="6">
        <v>15</v>
      </c>
      <c r="K33" s="6"/>
      <c r="L33" s="6"/>
      <c r="M33" s="1" t="str">
        <f t="shared" si="2"/>
        <v/>
      </c>
      <c r="N33" s="1" t="str">
        <f t="shared" si="3"/>
        <v/>
      </c>
      <c r="O33" s="1">
        <f t="shared" si="4"/>
        <v>16</v>
      </c>
      <c r="P33" s="1" t="str">
        <f t="shared" si="5"/>
        <v/>
      </c>
      <c r="Q33" s="1" t="str">
        <f t="shared" si="6"/>
        <v/>
      </c>
      <c r="R33" s="12">
        <f t="shared" si="7"/>
        <v>16.095300850000001</v>
      </c>
      <c r="S33" s="2" t="str">
        <f t="shared" si="15"/>
        <v/>
      </c>
      <c r="T33" s="2" t="str" cm="1">
        <f t="array" ref="T33">IF(R33="","",IF(SUMPRODUCT(--(D$3:D$52="P"),--(B$3:B$52=B33)),"P",""))</f>
        <v/>
      </c>
      <c r="U33" s="12" t="str">
        <f t="shared" si="9"/>
        <v/>
      </c>
      <c r="V33" s="1">
        <f t="shared" si="10"/>
        <v>47</v>
      </c>
      <c r="W33" s="1">
        <f t="shared" si="11"/>
        <v>0</v>
      </c>
      <c r="X33" s="1">
        <f t="shared" si="12"/>
        <v>15</v>
      </c>
      <c r="Y33" s="1"/>
      <c r="Z33" s="1"/>
    </row>
    <row r="34" spans="1:26" x14ac:dyDescent="0.2">
      <c r="A34" s="7" t="s">
        <v>141</v>
      </c>
      <c r="B34" s="6" t="s">
        <v>26</v>
      </c>
      <c r="C34" s="6" t="str">
        <f>IF(A34="","",VLOOKUP(B34,'Continental Affiliation'!A:B,2,0))</f>
        <v>Americas</v>
      </c>
      <c r="G34" s="3" t="str">
        <f t="shared" si="1"/>
        <v/>
      </c>
      <c r="H34" s="6">
        <v>31</v>
      </c>
      <c r="I34" s="6">
        <v>33</v>
      </c>
      <c r="J34" s="6">
        <v>17</v>
      </c>
      <c r="K34" s="6"/>
      <c r="L34" s="6"/>
      <c r="M34" s="1" t="str">
        <f t="shared" si="2"/>
        <v/>
      </c>
      <c r="N34" s="1" t="str">
        <f t="shared" si="3"/>
        <v/>
      </c>
      <c r="O34" s="1">
        <f t="shared" si="4"/>
        <v>14</v>
      </c>
      <c r="P34" s="1" t="str">
        <f t="shared" si="5"/>
        <v/>
      </c>
      <c r="Q34" s="1" t="str">
        <f t="shared" si="6"/>
        <v/>
      </c>
      <c r="R34" s="12">
        <f t="shared" si="7"/>
        <v>14.09520083</v>
      </c>
      <c r="S34" s="2" t="str">
        <f t="shared" si="15"/>
        <v/>
      </c>
      <c r="T34" s="2" t="str" cm="1">
        <f t="array" ref="T34">IF(R34="","",IF(SUMPRODUCT(--(D$3:D$52="P"),--(B$3:B$52=B34)),"P",""))</f>
        <v/>
      </c>
      <c r="U34" s="12" t="str">
        <f t="shared" si="9"/>
        <v/>
      </c>
      <c r="V34" s="1">
        <f t="shared" si="10"/>
        <v>48</v>
      </c>
      <c r="W34" s="1">
        <f t="shared" si="11"/>
        <v>0</v>
      </c>
      <c r="X34" s="1">
        <f t="shared" si="12"/>
        <v>17</v>
      </c>
      <c r="Y34" s="1"/>
      <c r="Z34" s="1"/>
    </row>
    <row r="35" spans="1:26" x14ac:dyDescent="0.2">
      <c r="A35" s="7" t="s">
        <v>44</v>
      </c>
      <c r="B35" s="6" t="s">
        <v>45</v>
      </c>
      <c r="C35" s="6" t="str">
        <f>IF(A35="","",VLOOKUP(B35,'Continental Affiliation'!A:B,2,0))</f>
        <v>Europe</v>
      </c>
      <c r="G35" s="3" t="str">
        <f t="shared" si="1"/>
        <v/>
      </c>
      <c r="H35" s="6">
        <v>22</v>
      </c>
      <c r="I35" s="6">
        <v>29</v>
      </c>
      <c r="J35" s="6">
        <v>47</v>
      </c>
      <c r="K35" s="6"/>
      <c r="L35" s="6"/>
      <c r="M35" s="1">
        <f t="shared" si="2"/>
        <v>9</v>
      </c>
      <c r="N35" s="1">
        <f t="shared" si="3"/>
        <v>2</v>
      </c>
      <c r="O35" s="1" t="str">
        <f t="shared" si="4"/>
        <v/>
      </c>
      <c r="P35" s="1" t="str">
        <f t="shared" si="5"/>
        <v/>
      </c>
      <c r="Q35" s="1" t="str">
        <f t="shared" si="6"/>
        <v/>
      </c>
      <c r="R35" s="12">
        <f t="shared" si="7"/>
        <v>11.094900780000001</v>
      </c>
      <c r="S35" s="2" t="str">
        <f t="shared" si="15"/>
        <v/>
      </c>
      <c r="T35" s="2" t="str" cm="1">
        <f t="array" ref="T35">IF(R35="","",IF(SUMPRODUCT(--(D$3:D$52="P"),--(B$3:B$52=B35)),"P",""))</f>
        <v/>
      </c>
      <c r="U35" s="12" t="str">
        <f t="shared" si="9"/>
        <v/>
      </c>
      <c r="V35" s="1">
        <f t="shared" si="10"/>
        <v>51</v>
      </c>
      <c r="W35" s="1">
        <f t="shared" si="11"/>
        <v>0</v>
      </c>
      <c r="X35" s="1">
        <f t="shared" si="12"/>
        <v>22</v>
      </c>
      <c r="Y35" s="1"/>
      <c r="Z35" s="2" t="str">
        <f>IF(OR(R35=R34,R35=R36),"P","")</f>
        <v/>
      </c>
    </row>
    <row r="36" spans="1:26" x14ac:dyDescent="0.2">
      <c r="A36" s="7" t="s">
        <v>123</v>
      </c>
      <c r="B36" s="6" t="s">
        <v>37</v>
      </c>
      <c r="C36" s="6" t="str">
        <f>IF(A36="","",VLOOKUP(B36,'Continental Affiliation'!A:B,2,0))</f>
        <v>Europe</v>
      </c>
      <c r="G36" s="3" t="str">
        <f t="shared" si="1"/>
        <v/>
      </c>
      <c r="H36" s="6">
        <v>26</v>
      </c>
      <c r="I36" s="6">
        <v>26</v>
      </c>
      <c r="J36" s="6">
        <v>36</v>
      </c>
      <c r="K36" s="6"/>
      <c r="L36" s="6"/>
      <c r="M36" s="1">
        <f t="shared" si="2"/>
        <v>5</v>
      </c>
      <c r="N36" s="1">
        <f t="shared" si="3"/>
        <v>5</v>
      </c>
      <c r="O36" s="1" t="str">
        <f t="shared" si="4"/>
        <v/>
      </c>
      <c r="P36" s="1" t="str">
        <f t="shared" si="5"/>
        <v/>
      </c>
      <c r="Q36" s="1" t="str">
        <f t="shared" si="6"/>
        <v/>
      </c>
      <c r="R36" s="12">
        <f t="shared" si="7"/>
        <v>10.09480074</v>
      </c>
      <c r="S36" s="2" t="str">
        <f t="shared" si="15"/>
        <v/>
      </c>
      <c r="T36" s="2" t="str" cm="1">
        <f t="array" ref="T36">IF(R36="","",IF(SUMPRODUCT(--(D$3:D$52="P"),--(B$3:B$52=B36)),"P",""))</f>
        <v>P</v>
      </c>
      <c r="U36" s="12" t="str">
        <f t="shared" si="9"/>
        <v/>
      </c>
      <c r="V36" s="1">
        <f t="shared" si="10"/>
        <v>52</v>
      </c>
      <c r="W36" s="1">
        <f t="shared" si="11"/>
        <v>0</v>
      </c>
      <c r="X36" s="1">
        <f t="shared" si="12"/>
        <v>26</v>
      </c>
      <c r="Y36" s="1"/>
      <c r="Z36" s="2" t="str">
        <f>IF(OR(R36=R35,R36=R37),"P","")</f>
        <v/>
      </c>
    </row>
    <row r="37" spans="1:26" x14ac:dyDescent="0.2">
      <c r="A37" s="7" t="s">
        <v>142</v>
      </c>
      <c r="B37" s="6" t="s">
        <v>7</v>
      </c>
      <c r="C37" s="6" t="str">
        <f>IF(A37="","",VLOOKUP(B37,'Continental Affiliation'!A:B,2,0))</f>
        <v>Americas</v>
      </c>
      <c r="G37" s="3" t="str">
        <f t="shared" si="1"/>
        <v/>
      </c>
      <c r="H37" s="6" t="s">
        <v>144</v>
      </c>
      <c r="I37" s="6">
        <v>68</v>
      </c>
      <c r="J37" s="6">
        <v>27</v>
      </c>
      <c r="K37" s="6"/>
      <c r="L37" s="6"/>
      <c r="M37" s="1" t="str">
        <f t="shared" si="2"/>
        <v/>
      </c>
      <c r="N37" s="1" t="str">
        <f t="shared" si="3"/>
        <v/>
      </c>
      <c r="O37" s="1">
        <f t="shared" si="4"/>
        <v>4</v>
      </c>
      <c r="P37" s="1" t="str">
        <f t="shared" si="5"/>
        <v/>
      </c>
      <c r="Q37" s="1" t="str">
        <f t="shared" si="6"/>
        <v/>
      </c>
      <c r="R37" s="12">
        <f t="shared" si="7"/>
        <v>4.0905007299999996</v>
      </c>
      <c r="S37" s="2" t="str">
        <f t="shared" si="15"/>
        <v/>
      </c>
      <c r="T37" s="2" t="str" cm="1">
        <f t="array" ref="T37">IF(R37="","",IF(SUMPRODUCT(--(D$3:D$52="P"),--(B$3:B$52=B37)),"P",""))</f>
        <v/>
      </c>
      <c r="U37" s="12" t="str">
        <f t="shared" si="9"/>
        <v/>
      </c>
      <c r="V37" s="1">
        <f t="shared" si="10"/>
        <v>95</v>
      </c>
      <c r="W37" s="1">
        <f t="shared" si="11"/>
        <v>0</v>
      </c>
      <c r="X37" s="1">
        <f t="shared" si="12"/>
        <v>27</v>
      </c>
      <c r="Y37" s="1"/>
      <c r="Z37" s="1"/>
    </row>
    <row r="38" spans="1:26" x14ac:dyDescent="0.2">
      <c r="A38" s="7" t="s">
        <v>134</v>
      </c>
      <c r="B38" s="6" t="s">
        <v>31</v>
      </c>
      <c r="C38" s="6" t="str">
        <f>IF(A38="","",VLOOKUP(B38,'Continental Affiliation'!A:B,2,0))</f>
        <v>Oceana</v>
      </c>
      <c r="G38" s="3" t="str">
        <f t="shared" si="1"/>
        <v/>
      </c>
      <c r="H38" s="6">
        <v>39</v>
      </c>
      <c r="I38" s="6">
        <v>28</v>
      </c>
      <c r="J38" s="6">
        <v>38</v>
      </c>
      <c r="K38" s="6"/>
      <c r="L38" s="6"/>
      <c r="M38" s="1" t="str">
        <f t="shared" si="2"/>
        <v/>
      </c>
      <c r="N38" s="1">
        <f t="shared" si="3"/>
        <v>3</v>
      </c>
      <c r="O38" s="1" t="str">
        <f t="shared" si="4"/>
        <v/>
      </c>
      <c r="P38" s="1" t="str">
        <f t="shared" si="5"/>
        <v/>
      </c>
      <c r="Q38" s="1" t="str">
        <f t="shared" si="6"/>
        <v/>
      </c>
      <c r="R38" s="12">
        <f t="shared" si="7"/>
        <v>3.09340072</v>
      </c>
      <c r="S38" s="2" t="str">
        <f t="shared" si="15"/>
        <v/>
      </c>
      <c r="T38" s="2" t="str" cm="1">
        <f t="array" ref="T38">IF(R38="","",IF(SUMPRODUCT(--(D$3:D$52="P"),--(B$3:B$52=B38)),"P",""))</f>
        <v/>
      </c>
      <c r="U38" s="12" t="str">
        <f t="shared" si="9"/>
        <v/>
      </c>
      <c r="V38" s="1">
        <f t="shared" si="10"/>
        <v>66</v>
      </c>
      <c r="W38" s="1">
        <f t="shared" si="11"/>
        <v>0</v>
      </c>
      <c r="X38" s="1">
        <f t="shared" si="12"/>
        <v>28</v>
      </c>
      <c r="Y38" s="1"/>
      <c r="Z38" s="2" t="str">
        <f>IF(OR(R38=R37,R38=R39),"P","")</f>
        <v/>
      </c>
    </row>
    <row r="39" spans="1:26" x14ac:dyDescent="0.2">
      <c r="A39" s="7" t="s">
        <v>143</v>
      </c>
      <c r="B39" s="6" t="s">
        <v>63</v>
      </c>
      <c r="C39" s="6" t="str">
        <f>IF(A39="","",VLOOKUP(B39,'Continental Affiliation'!A:B,2,0))</f>
        <v>Europe</v>
      </c>
      <c r="G39" s="3">
        <f t="shared" si="1"/>
        <v>18</v>
      </c>
      <c r="H39" s="6">
        <v>35</v>
      </c>
      <c r="I39" s="6">
        <v>31</v>
      </c>
      <c r="J39" s="6">
        <v>30</v>
      </c>
      <c r="K39" s="6"/>
      <c r="L39" s="6"/>
      <c r="M39" s="1" t="str">
        <f t="shared" si="2"/>
        <v/>
      </c>
      <c r="N39" s="1" t="str">
        <f t="shared" si="3"/>
        <v/>
      </c>
      <c r="O39" s="1">
        <f t="shared" si="4"/>
        <v>1</v>
      </c>
      <c r="P39" s="1" t="str">
        <f t="shared" si="5"/>
        <v/>
      </c>
      <c r="Q39" s="1" t="str">
        <f t="shared" si="6"/>
        <v/>
      </c>
      <c r="R39" s="12">
        <f t="shared" si="7"/>
        <v>1.0939007000000001</v>
      </c>
      <c r="S39" s="2" t="str">
        <f t="shared" si="15"/>
        <v>P</v>
      </c>
      <c r="T39" s="2" t="str" cm="1">
        <f t="array" ref="T39">IF(R39="","",IF(SUMPRODUCT(--(D$3:D$52="P"),--(B$3:B$52=B39)),"P",""))</f>
        <v/>
      </c>
      <c r="U39" s="12">
        <f t="shared" si="9"/>
        <v>1.0939007000000001</v>
      </c>
      <c r="V39" s="1">
        <f t="shared" si="10"/>
        <v>61</v>
      </c>
      <c r="W39" s="1">
        <f t="shared" si="11"/>
        <v>0</v>
      </c>
      <c r="X39" s="1">
        <f t="shared" si="12"/>
        <v>30</v>
      </c>
      <c r="Y39" s="1"/>
      <c r="Z39" s="2" t="str">
        <f>IF(OR(R39=R38,R39=R40),"P","")</f>
        <v/>
      </c>
    </row>
    <row r="40" spans="1:26" x14ac:dyDescent="0.2">
      <c r="A40" s="7" t="s">
        <v>42</v>
      </c>
      <c r="B40" s="6" t="s">
        <v>29</v>
      </c>
      <c r="C40" s="6" t="str">
        <f>IF(A40="","",VLOOKUP(B40,'Continental Affiliation'!A:B,2,0))</f>
        <v>Europe</v>
      </c>
      <c r="G40" s="3" t="str">
        <f t="shared" si="1"/>
        <v/>
      </c>
      <c r="H40" s="6">
        <v>30</v>
      </c>
      <c r="I40" s="6">
        <v>36</v>
      </c>
      <c r="J40" s="6">
        <v>35</v>
      </c>
      <c r="K40" s="6"/>
      <c r="L40" s="6"/>
      <c r="M40" s="1">
        <f t="shared" si="2"/>
        <v>1</v>
      </c>
      <c r="N40" s="1" t="str">
        <f t="shared" si="3"/>
        <v/>
      </c>
      <c r="O40" s="1" t="str">
        <f t="shared" si="4"/>
        <v/>
      </c>
      <c r="P40" s="1" t="str">
        <f t="shared" si="5"/>
        <v/>
      </c>
      <c r="Q40" s="1" t="str">
        <f t="shared" si="6"/>
        <v/>
      </c>
      <c r="R40" s="12">
        <f t="shared" si="7"/>
        <v>1.0935006999999999</v>
      </c>
      <c r="S40" s="2" t="str">
        <f t="shared" si="15"/>
        <v/>
      </c>
      <c r="T40" s="2" t="str" cm="1">
        <f t="array" ref="T40">IF(R40="","",IF(SUMPRODUCT(--(D$3:D$52="P"),--(B$3:B$52=B40)),"P",""))</f>
        <v/>
      </c>
      <c r="U40" s="12" t="str">
        <f t="shared" si="9"/>
        <v/>
      </c>
      <c r="V40" s="1">
        <f t="shared" si="10"/>
        <v>65</v>
      </c>
      <c r="W40" s="1">
        <f t="shared" si="11"/>
        <v>0</v>
      </c>
      <c r="X40" s="1">
        <f t="shared" si="12"/>
        <v>30</v>
      </c>
      <c r="Y40" s="1"/>
      <c r="Z40" s="2" t="str">
        <f>IF(OR(R40=R39,R40=R41),"P","")</f>
        <v/>
      </c>
    </row>
    <row r="41" spans="1:26" x14ac:dyDescent="0.2">
      <c r="G41" s="3"/>
      <c r="H41" s="6"/>
      <c r="I41" s="6"/>
      <c r="J41" s="6"/>
      <c r="K41" s="6"/>
      <c r="L41" s="6"/>
      <c r="M41" s="1"/>
      <c r="N41" s="1"/>
      <c r="O41" s="1"/>
      <c r="P41" s="1"/>
      <c r="Q41" s="1"/>
      <c r="R41" s="12"/>
      <c r="V41" s="1"/>
      <c r="W41" s="1"/>
      <c r="X41" s="1"/>
      <c r="Y41" s="1"/>
      <c r="Z41" s="1"/>
    </row>
    <row r="42" spans="1:26" x14ac:dyDescent="0.2">
      <c r="G42" s="3"/>
      <c r="H42" s="6"/>
      <c r="I42" s="6"/>
      <c r="J42" s="6"/>
      <c r="K42" s="6"/>
      <c r="L42" s="6"/>
      <c r="M42" s="1"/>
      <c r="N42" s="1"/>
      <c r="O42" s="1"/>
      <c r="P42" s="1"/>
      <c r="Q42" s="1"/>
      <c r="R42" s="12"/>
      <c r="V42" s="1"/>
      <c r="W42" s="1"/>
      <c r="X42" s="1"/>
      <c r="Y42" s="1"/>
      <c r="Z42" s="1"/>
    </row>
    <row r="43" spans="1:26" x14ac:dyDescent="0.2">
      <c r="G43" s="3"/>
      <c r="H43" s="6"/>
      <c r="I43" s="6"/>
      <c r="J43" s="6"/>
      <c r="K43" s="6"/>
      <c r="L43" s="6"/>
      <c r="M43" s="1"/>
      <c r="N43" s="1"/>
      <c r="O43" s="1"/>
      <c r="P43" s="1"/>
      <c r="Q43" s="1"/>
      <c r="R43" s="1"/>
    </row>
    <row r="44" spans="1:26" x14ac:dyDescent="0.2">
      <c r="G44" s="3"/>
      <c r="H44" s="6"/>
      <c r="I44" s="6"/>
      <c r="J44" s="6"/>
      <c r="K44" s="6"/>
      <c r="L44" s="6"/>
      <c r="M44" s="1"/>
      <c r="N44" s="1"/>
      <c r="O44" s="1"/>
      <c r="P44" s="1"/>
      <c r="Q44" s="1"/>
      <c r="R44" s="1"/>
    </row>
    <row r="45" spans="1:26" x14ac:dyDescent="0.2">
      <c r="G45" s="3"/>
      <c r="H45" s="6"/>
      <c r="I45" s="6"/>
      <c r="J45" s="6"/>
      <c r="K45" s="6"/>
      <c r="L45" s="6"/>
      <c r="M45" s="1"/>
      <c r="N45" s="1"/>
      <c r="O45" s="1"/>
      <c r="P45" s="1"/>
      <c r="Q45" s="1"/>
      <c r="R45" s="1"/>
    </row>
    <row r="46" spans="1:26" x14ac:dyDescent="0.2">
      <c r="G46" s="3"/>
      <c r="H46" s="6"/>
      <c r="I46" s="6"/>
      <c r="J46" s="6"/>
      <c r="K46" s="6"/>
      <c r="L46" s="6"/>
      <c r="M46" s="1"/>
      <c r="N46" s="1"/>
      <c r="O46" s="1"/>
      <c r="P46" s="1"/>
      <c r="Q46" s="1"/>
      <c r="R46" s="1"/>
    </row>
    <row r="47" spans="1:26" x14ac:dyDescent="0.2">
      <c r="G47" s="3"/>
      <c r="H47" s="6"/>
      <c r="I47" s="6"/>
      <c r="J47" s="6"/>
      <c r="K47" s="6"/>
      <c r="L47" s="6"/>
      <c r="M47" s="1"/>
      <c r="N47" s="1"/>
      <c r="O47" s="1"/>
      <c r="P47" s="1"/>
      <c r="Q47" s="1"/>
      <c r="R47" s="1"/>
    </row>
    <row r="48" spans="1:26" x14ac:dyDescent="0.2">
      <c r="G48" s="3"/>
      <c r="H48" s="6"/>
      <c r="I48" s="6"/>
      <c r="J48" s="6"/>
      <c r="K48" s="6"/>
      <c r="L48" s="6"/>
      <c r="M48" s="1"/>
      <c r="N48" s="1"/>
      <c r="O48" s="1"/>
      <c r="P48" s="1"/>
      <c r="Q48" s="1"/>
      <c r="R48" s="1"/>
    </row>
    <row r="49" spans="7:18" x14ac:dyDescent="0.2">
      <c r="G49" s="3"/>
      <c r="H49" s="6"/>
      <c r="I49" s="6"/>
      <c r="J49" s="6"/>
      <c r="K49" s="6"/>
      <c r="L49" s="6"/>
      <c r="M49" s="1"/>
      <c r="N49" s="1"/>
      <c r="O49" s="1"/>
      <c r="P49" s="1"/>
      <c r="Q49" s="1"/>
      <c r="R49" s="1"/>
    </row>
    <row r="50" spans="7:18" x14ac:dyDescent="0.2">
      <c r="G50" s="3"/>
      <c r="H50" s="6"/>
      <c r="I50" s="6"/>
      <c r="J50" s="6"/>
      <c r="K50" s="6"/>
      <c r="L50" s="6"/>
      <c r="M50" s="1"/>
      <c r="N50" s="1"/>
      <c r="O50" s="1"/>
      <c r="P50" s="1"/>
      <c r="Q50" s="1"/>
      <c r="R50" s="1"/>
    </row>
    <row r="51" spans="7:18" x14ac:dyDescent="0.2">
      <c r="G51" s="3"/>
      <c r="H51" s="6"/>
      <c r="I51" s="6"/>
      <c r="J51" s="6"/>
      <c r="K51" s="6"/>
      <c r="L51" s="6"/>
      <c r="M51" s="1"/>
      <c r="N51" s="1"/>
      <c r="O51" s="1"/>
      <c r="P51" s="1"/>
      <c r="Q51" s="1"/>
      <c r="R51" s="1"/>
    </row>
    <row r="52" spans="7:18" x14ac:dyDescent="0.2">
      <c r="G52" s="3"/>
      <c r="H52" s="6"/>
      <c r="I52" s="6"/>
      <c r="J52" s="6"/>
      <c r="K52" s="6"/>
      <c r="L52" s="6"/>
      <c r="M52" s="1"/>
      <c r="N52" s="1"/>
      <c r="O52" s="1"/>
      <c r="P52" s="1"/>
      <c r="Q52" s="1"/>
      <c r="R52" s="1"/>
    </row>
  </sheetData>
  <sheetProtection sheet="1" selectLockedCells="1"/>
  <mergeCells count="19">
    <mergeCell ref="U1:U2"/>
    <mergeCell ref="V1:V2"/>
    <mergeCell ref="W1:W2"/>
    <mergeCell ref="AA1:AF2"/>
    <mergeCell ref="G1:G2"/>
    <mergeCell ref="H1:L1"/>
    <mergeCell ref="M1:Q1"/>
    <mergeCell ref="R1:R2"/>
    <mergeCell ref="S1:S2"/>
    <mergeCell ref="T1:T2"/>
    <mergeCell ref="X1:X2"/>
    <mergeCell ref="Y1:Y2"/>
    <mergeCell ref="Z1:Z2"/>
    <mergeCell ref="F1:F2"/>
    <mergeCell ref="A1:A2"/>
    <mergeCell ref="B1:B2"/>
    <mergeCell ref="C1:C2"/>
    <mergeCell ref="D1:D2"/>
    <mergeCell ref="E1:E2"/>
  </mergeCells>
  <conditionalFormatting sqref="A1:C1 A2:B2 A3:C1048576">
    <cfRule type="expression" dxfId="11" priority="5">
      <formula>IF(OR($D1="P",$E1="P",$F1="P"),1,0)</formula>
    </cfRule>
    <cfRule type="expression" dxfId="10" priority="7">
      <formula>IF(AND($G1&lt;&gt;"",$G1&lt;=16-COUNTIF($F:$F,"P")),1,0)</formula>
    </cfRule>
  </conditionalFormatting>
  <conditionalFormatting sqref="D43:U52 D3:Y36 D37:Z42">
    <cfRule type="expression" dxfId="9" priority="4">
      <formula>IF(AND($A3&lt;&gt;"",MOD(ROW(),2)=0),1,0)</formula>
    </cfRule>
    <cfRule type="expression" dxfId="8" priority="8">
      <formula>IF(AND($A3&lt;&gt;"",MOD(ROW(),2)=1),1,0)</formula>
    </cfRule>
  </conditionalFormatting>
  <conditionalFormatting sqref="Q3:Q52 L3:L52 G3:G52">
    <cfRule type="expression" dxfId="7" priority="3">
      <formula>IF($A3&lt;&gt;"",1,0)</formula>
    </cfRule>
  </conditionalFormatting>
  <conditionalFormatting sqref="Z3:Z36">
    <cfRule type="expression" dxfId="6" priority="1">
      <formula>IF(AND($A3&lt;&gt;"",MOD(ROW(),2)=0),1,0)</formula>
    </cfRule>
    <cfRule type="expression" dxfId="5" priority="2">
      <formula>IF(AND($A3&lt;&gt;"",MOD(ROW(),2)=1),1,0)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66130BE1-C5F2-5045-8137-E75FE9FC2976}">
            <xm:f>IF(AND($G1&lt;&gt;"",$G1&lt;=16-COUNTIF($F:$F,"P")-COUNTIF(Macros!$G$6:$K$6,"=0")),1,0)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A2:B2 A3:C1048576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B0AD-D747-9D44-948B-592A51FE61C3}">
  <sheetPr codeName="Sheet3"/>
  <dimension ref="A1:L14"/>
  <sheetViews>
    <sheetView zoomScaleNormal="100" workbookViewId="0">
      <selection activeCell="B1" sqref="B1"/>
    </sheetView>
  </sheetViews>
  <sheetFormatPr baseColWidth="10" defaultRowHeight="16" x14ac:dyDescent="0.2"/>
  <cols>
    <col min="1" max="1" width="11.33203125" customWidth="1"/>
    <col min="7" max="11" width="10.83203125" hidden="1" customWidth="1"/>
  </cols>
  <sheetData>
    <row r="1" spans="1:12" x14ac:dyDescent="0.2">
      <c r="B1" t="s">
        <v>78</v>
      </c>
    </row>
    <row r="2" spans="1:12" x14ac:dyDescent="0.2">
      <c r="B2" t="s">
        <v>79</v>
      </c>
    </row>
    <row r="4" spans="1:12" x14ac:dyDescent="0.2">
      <c r="B4" s="23" t="s">
        <v>98</v>
      </c>
      <c r="C4" s="23"/>
      <c r="D4" s="23"/>
      <c r="E4" s="23"/>
      <c r="F4" s="23"/>
      <c r="G4" s="23" t="s">
        <v>97</v>
      </c>
      <c r="H4" s="23"/>
      <c r="I4" s="23"/>
      <c r="J4" s="23"/>
      <c r="K4" s="23"/>
    </row>
    <row r="5" spans="1:12" x14ac:dyDescent="0.2">
      <c r="A5" s="1"/>
      <c r="B5" s="1" t="s">
        <v>89</v>
      </c>
      <c r="C5" s="1" t="s">
        <v>87</v>
      </c>
      <c r="D5" s="1" t="s">
        <v>85</v>
      </c>
      <c r="E5" s="1" t="s">
        <v>86</v>
      </c>
      <c r="F5" s="1" t="s">
        <v>88</v>
      </c>
      <c r="G5" s="1" t="s">
        <v>89</v>
      </c>
      <c r="H5" s="1" t="s">
        <v>87</v>
      </c>
      <c r="I5" s="1" t="s">
        <v>85</v>
      </c>
      <c r="J5" s="1" t="s">
        <v>86</v>
      </c>
      <c r="K5" s="1" t="s">
        <v>88</v>
      </c>
    </row>
    <row r="6" spans="1:12" x14ac:dyDescent="0.2">
      <c r="A6" s="1" t="s">
        <v>91</v>
      </c>
      <c r="B6" s="1">
        <f>COUNTIFS(Women!$D:$D,"P",Women!$C:$C,Macros!B$5)+COUNTIFS(Women!$E:$E,"P",Women!$C:$C,Macros!B$5)+COUNTIFS(Women!$G:$G,"&lt;="&amp;15-COUNTIF(Women!$F:$F,"P"),Women!$C:$C,Macros!B$5)</f>
        <v>0</v>
      </c>
      <c r="C6" s="1">
        <f>COUNTIFS(Women!$D:$D,"P",Women!$C:$C,Macros!C$5)+COUNTIFS(Women!$E:$E,"P",Women!$C:$C,Macros!C$5)+COUNTIFS(Women!$G:$G,"&lt;="&amp;16-COUNTIF(Women!$F:$F,"P"),Women!$C:$C,Macros!C$5)</f>
        <v>4</v>
      </c>
      <c r="D6" s="1">
        <f>COUNTIFS(Women!$D:$D,"P",Women!$C:$C,Macros!D$5)+COUNTIFS(Women!$E:$E,"P",Women!$C:$C,Macros!D$5)+COUNTIFS(Women!$G:$G,"&lt;="&amp;16-COUNTIF(Women!$F:$F,"P"),Women!$C:$C,Macros!D$5)</f>
        <v>3</v>
      </c>
      <c r="E6" s="1">
        <f>COUNTIFS(Women!$D:$D,"P",Women!$C:$C,Macros!E$5)+COUNTIFS(Women!$E:$E,"P",Women!$C:$C,Macros!E$5)+COUNTIFS(Women!$G:$G,"&lt;="&amp;16-COUNTIF(Women!$F:$F,"P"),Women!$C:$C,Macros!E$5)</f>
        <v>7</v>
      </c>
      <c r="F6" s="1">
        <f>COUNTIFS(Women!$D:$D,"P",Women!$C:$C,Macros!F$5)+COUNTIFS(Women!$E:$E,"P",Women!$C:$C,Macros!F$5)+COUNTIFS(Women!$G:$G,"&lt;="&amp;16-COUNTIF(Women!$F:$F,"P"),Women!$C:$C,Macros!F$5)</f>
        <v>2</v>
      </c>
      <c r="G6" s="1">
        <f>COUNTIFS(Women!$D:$D,"P",Women!$C:$C,Macros!G$5)+COUNTIFS(Women!$E:$E,"P",Women!$C:$C,Macros!G$5)+COUNTIFS(Women!$G:$G,"&lt;="&amp;16-COUNTIF(Women!$F:$F,"P")-COUNTIF($B6:$F6,0),Women!$C:$C,Macros!G$5)</f>
        <v>0</v>
      </c>
      <c r="H6" s="1">
        <f>COUNTIFS(Women!$D:$D,"P",Women!$C:$C,Macros!H$5)+COUNTIFS(Women!$E:$E,"P",Women!$C:$C,Macros!H$5)+COUNTIFS(Women!$G:$G,"&lt;="&amp;16-COUNTIF(Women!$F:$F,"P")-COUNTIF($B6:$F6,0),Women!$C:$C,Macros!H$5)</f>
        <v>3</v>
      </c>
      <c r="I6" s="1">
        <f>COUNTIFS(Women!$D:$D,"P",Women!$C:$C,Macros!I$5)+COUNTIFS(Women!$E:$E,"P",Women!$C:$C,Macros!I$5)+COUNTIFS(Women!$G:$G,"&lt;="&amp;16-COUNTIF(Women!$F:$F,"P")-COUNTIF($B6:$F6,0),Women!$C:$C,Macros!I$5)</f>
        <v>3</v>
      </c>
      <c r="J6" s="1">
        <f>COUNTIFS(Women!$D:$D,"P",Women!$C:$C,Macros!J$5)+COUNTIFS(Women!$E:$E,"P",Women!$C:$C,Macros!J$5)+COUNTIFS(Women!$G:$G,"&lt;="&amp;16-COUNTIF(Women!$F:$F,"P")-COUNTIF($B6:$F6,0),Women!$C:$C,Macros!J$5)</f>
        <v>7</v>
      </c>
      <c r="K6" s="1">
        <f>COUNTIFS(Women!$D:$D,"P",Women!$C:$C,Macros!K$5)+COUNTIFS(Women!$E:$E,"P",Women!$C:$C,Macros!K$5)+COUNTIFS(Women!$G:$G,"&lt;="&amp;16-COUNTIF(Women!$F:$F,"P")-COUNTIF($B6:$F6,0),Women!$C:$C,Macros!K$5)</f>
        <v>2</v>
      </c>
      <c r="L6" t="str">
        <f>IF(COUNTIF(G6:K6,0)&gt;COUNTIF(B6:F6,0),"Bumped athlete removes continental representation. Formula adjustments may be needed","")</f>
        <v/>
      </c>
    </row>
    <row r="7" spans="1:12" x14ac:dyDescent="0.2">
      <c r="A7" s="1" t="s">
        <v>90</v>
      </c>
      <c r="B7" s="1">
        <f>COUNTIFS(Men!$D:$D,"P",Men!$C:$C,Macros!B$5)+COUNTIFS(Men!$E:$E,"P",Men!$C:$C,Macros!B$5)+COUNTIFS(Men!$G:$G,"&lt;="&amp;16-COUNTIF(Men!$F:$F,"P"),Men!$C:$C,Macros!B$5)</f>
        <v>0</v>
      </c>
      <c r="C7" s="1">
        <f>COUNTIFS(Men!$D:$D,"P",Men!$C:$C,Macros!C$5)+COUNTIFS(Men!$E:$E,"P",Men!$C:$C,Macros!C$5)+COUNTIFS(Men!$G:$G,"&lt;="&amp;16-COUNTIF(Men!$F:$F,"P"),Men!$C:$C,Macros!C$5)</f>
        <v>4</v>
      </c>
      <c r="D7" s="1">
        <f>COUNTIFS(Men!$D:$D,"P",Men!$C:$C,Macros!D$5)+COUNTIFS(Men!$E:$E,"P",Men!$C:$C,Macros!D$5)+COUNTIFS(Men!$G:$G,"&lt;="&amp;16-COUNTIF(Men!$F:$F,"P"),Men!$C:$C,Macros!D$5)</f>
        <v>4</v>
      </c>
      <c r="E7" s="1">
        <f>COUNTIFS(Men!$D:$D,"P",Men!$C:$C,Macros!E$5)+COUNTIFS(Men!$E:$E,"P",Men!$C:$C,Macros!E$5)+COUNTIFS(Men!$G:$G,"&lt;="&amp;16-COUNTIF(Men!$F:$F,"P"),Men!$C:$C,Macros!E$5)</f>
        <v>6</v>
      </c>
      <c r="F7" s="1">
        <f>COUNTIFS(Men!$D:$D,"P",Men!$C:$C,Macros!F$5)+COUNTIFS(Men!$E:$E,"P",Men!$C:$C,Macros!F$5)+COUNTIFS(Men!$G:$G,"&lt;="&amp;16-COUNTIF(Men!$F:$F,"P"),Men!$C:$C,Macros!F$5)</f>
        <v>2</v>
      </c>
      <c r="G7" s="1" t="e">
        <f>COUNTIFS(#REF!,"P",#REF!,Macros!G$5)+COUNTIFS(#REF!,"P",#REF!,Macros!G$5)+COUNTIFS(#REF!,"&lt;="&amp;16-COUNTIF(#REF!,"P")-COUNTIF($B7:$F7,0),#REF!,Macros!G$5)</f>
        <v>#REF!</v>
      </c>
      <c r="H7" s="1" t="e">
        <f>COUNTIFS(#REF!,"P",#REF!,Macros!H$5)+COUNTIFS(#REF!,"P",#REF!,Macros!H$5)+COUNTIFS(#REF!,"&lt;="&amp;16-COUNTIF(#REF!,"P")-COUNTIF($B7:$F7,0),#REF!,Macros!H$5)</f>
        <v>#REF!</v>
      </c>
      <c r="I7" s="1" t="e">
        <f>COUNTIFS(#REF!,"P",#REF!,Macros!I$5)+COUNTIFS(#REF!,"P",#REF!,Macros!I$5)+COUNTIFS(#REF!,"&lt;="&amp;16-COUNTIF(#REF!,"P")-COUNTIF($B7:$F7,0),#REF!,Macros!I$5)</f>
        <v>#REF!</v>
      </c>
      <c r="J7" s="1" t="e">
        <f>COUNTIFS(#REF!,"P",#REF!,Macros!J$5)+COUNTIFS(#REF!,"P",#REF!,Macros!J$5)+COUNTIFS(#REF!,"&lt;="&amp;16-COUNTIF(#REF!,"P")-COUNTIF($B7:$F7,0),#REF!,Macros!J$5)</f>
        <v>#REF!</v>
      </c>
      <c r="K7" s="1" t="e">
        <f>COUNTIFS(#REF!,"P",#REF!,Macros!K$5)+COUNTIFS(#REF!,"P",#REF!,Macros!K$5)+COUNTIFS(#REF!,"&lt;="&amp;16-COUNTIF(#REF!,"P")-COUNTIF($B7:$F7,0),#REF!,Macros!K$5)</f>
        <v>#REF!</v>
      </c>
      <c r="L7" t="str">
        <f>IF(COUNTIF(G7:K7,0)&gt;COUNTIF(B7:F7,0),"Bumped athlete removes continental representation. Formula adjustments may be needed","")</f>
        <v/>
      </c>
    </row>
    <row r="9" spans="1:12" x14ac:dyDescent="0.2">
      <c r="A9" s="23" t="s">
        <v>92</v>
      </c>
      <c r="B9" s="23"/>
      <c r="C9" s="23"/>
      <c r="D9" s="23"/>
    </row>
    <row r="10" spans="1:12" x14ac:dyDescent="0.2">
      <c r="A10" s="23" t="s">
        <v>93</v>
      </c>
      <c r="B10" s="23"/>
      <c r="C10" s="23"/>
      <c r="D10" s="23"/>
    </row>
    <row r="11" spans="1:12" x14ac:dyDescent="0.2">
      <c r="A11" s="23" t="s">
        <v>94</v>
      </c>
      <c r="B11" s="23"/>
      <c r="C11" s="23"/>
      <c r="D11" s="23"/>
    </row>
    <row r="14" spans="1:12" x14ac:dyDescent="0.2">
      <c r="L14" s="7"/>
    </row>
  </sheetData>
  <mergeCells count="5">
    <mergeCell ref="A9:D9"/>
    <mergeCell ref="A10:D10"/>
    <mergeCell ref="A11:D11"/>
    <mergeCell ref="G4:K4"/>
    <mergeCell ref="B4:F4"/>
  </mergeCells>
  <conditionalFormatting sqref="A9:D9">
    <cfRule type="expression" dxfId="3" priority="4">
      <formula>1</formula>
    </cfRule>
  </conditionalFormatting>
  <conditionalFormatting sqref="A10:D10">
    <cfRule type="expression" dxfId="2" priority="3">
      <formula>1</formula>
    </cfRule>
  </conditionalFormatting>
  <conditionalFormatting sqref="A11:D11">
    <cfRule type="expression" dxfId="1" priority="2">
      <formula>1</formula>
    </cfRule>
  </conditionalFormatting>
  <conditionalFormatting sqref="B6:F7">
    <cfRule type="expression" dxfId="0" priority="1" stopIfTrue="1">
      <formula>IF(B$6+B$7=0,1,0)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0</xdr:colOff>
                    <xdr:row>0</xdr:row>
                    <xdr:rowOff>12700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lphabetical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4E7F4-4851-CC49-9F8D-0290102E5009}">
  <sheetPr codeName="Sheet4"/>
  <dimension ref="A1:B33"/>
  <sheetViews>
    <sheetView workbookViewId="0"/>
  </sheetViews>
  <sheetFormatPr baseColWidth="10" defaultRowHeight="16" x14ac:dyDescent="0.2"/>
  <sheetData>
    <row r="1" spans="1:2" x14ac:dyDescent="0.2">
      <c r="A1" t="s">
        <v>5</v>
      </c>
      <c r="B1" t="s">
        <v>84</v>
      </c>
    </row>
    <row r="2" spans="1:2" x14ac:dyDescent="0.2">
      <c r="A2" t="s">
        <v>31</v>
      </c>
      <c r="B2" t="s">
        <v>88</v>
      </c>
    </row>
    <row r="3" spans="1:2" x14ac:dyDescent="0.2">
      <c r="A3" t="s">
        <v>59</v>
      </c>
      <c r="B3" t="s">
        <v>86</v>
      </c>
    </row>
    <row r="4" spans="1:2" x14ac:dyDescent="0.2">
      <c r="A4" t="s">
        <v>83</v>
      </c>
      <c r="B4" t="s">
        <v>86</v>
      </c>
    </row>
    <row r="5" spans="1:2" x14ac:dyDescent="0.2">
      <c r="A5" t="s">
        <v>9</v>
      </c>
      <c r="B5" t="s">
        <v>86</v>
      </c>
    </row>
    <row r="6" spans="1:2" x14ac:dyDescent="0.2">
      <c r="A6" t="s">
        <v>27</v>
      </c>
      <c r="B6" t="s">
        <v>87</v>
      </c>
    </row>
    <row r="7" spans="1:2" x14ac:dyDescent="0.2">
      <c r="A7" t="s">
        <v>48</v>
      </c>
      <c r="B7" t="s">
        <v>86</v>
      </c>
    </row>
    <row r="8" spans="1:2" x14ac:dyDescent="0.2">
      <c r="A8" t="s">
        <v>7</v>
      </c>
      <c r="B8" t="s">
        <v>87</v>
      </c>
    </row>
    <row r="9" spans="1:2" x14ac:dyDescent="0.2">
      <c r="A9" t="s">
        <v>6</v>
      </c>
      <c r="B9" t="s">
        <v>85</v>
      </c>
    </row>
    <row r="10" spans="1:2" x14ac:dyDescent="0.2">
      <c r="A10" t="s">
        <v>61</v>
      </c>
      <c r="B10" t="s">
        <v>87</v>
      </c>
    </row>
    <row r="11" spans="1:2" x14ac:dyDescent="0.2">
      <c r="A11" t="s">
        <v>62</v>
      </c>
      <c r="B11" t="s">
        <v>86</v>
      </c>
    </row>
    <row r="12" spans="1:2" x14ac:dyDescent="0.2">
      <c r="A12" t="s">
        <v>95</v>
      </c>
      <c r="B12" t="s">
        <v>89</v>
      </c>
    </row>
    <row r="13" spans="1:2" x14ac:dyDescent="0.2">
      <c r="A13" t="s">
        <v>23</v>
      </c>
      <c r="B13" t="s">
        <v>86</v>
      </c>
    </row>
    <row r="14" spans="1:2" x14ac:dyDescent="0.2">
      <c r="A14" t="s">
        <v>11</v>
      </c>
      <c r="B14" t="s">
        <v>86</v>
      </c>
    </row>
    <row r="15" spans="1:2" x14ac:dyDescent="0.2">
      <c r="A15" t="s">
        <v>13</v>
      </c>
      <c r="B15" t="s">
        <v>86</v>
      </c>
    </row>
    <row r="16" spans="1:2" x14ac:dyDescent="0.2">
      <c r="A16" t="s">
        <v>24</v>
      </c>
      <c r="B16" t="s">
        <v>86</v>
      </c>
    </row>
    <row r="17" spans="1:2" x14ac:dyDescent="0.2">
      <c r="A17" t="s">
        <v>29</v>
      </c>
      <c r="B17" t="s">
        <v>86</v>
      </c>
    </row>
    <row r="18" spans="1:2" x14ac:dyDescent="0.2">
      <c r="A18" t="s">
        <v>63</v>
      </c>
      <c r="B18" t="s">
        <v>86</v>
      </c>
    </row>
    <row r="19" spans="1:2" x14ac:dyDescent="0.2">
      <c r="A19" t="s">
        <v>46</v>
      </c>
      <c r="B19" t="s">
        <v>86</v>
      </c>
    </row>
    <row r="20" spans="1:2" x14ac:dyDescent="0.2">
      <c r="A20" t="s">
        <v>8</v>
      </c>
      <c r="B20" t="s">
        <v>85</v>
      </c>
    </row>
    <row r="21" spans="1:2" x14ac:dyDescent="0.2">
      <c r="A21" t="s">
        <v>47</v>
      </c>
      <c r="B21" t="s">
        <v>85</v>
      </c>
    </row>
    <row r="22" spans="1:2" x14ac:dyDescent="0.2">
      <c r="A22" t="s">
        <v>28</v>
      </c>
      <c r="B22" t="s">
        <v>87</v>
      </c>
    </row>
    <row r="23" spans="1:2" x14ac:dyDescent="0.2">
      <c r="A23" t="s">
        <v>72</v>
      </c>
      <c r="B23" t="s">
        <v>86</v>
      </c>
    </row>
    <row r="24" spans="1:2" x14ac:dyDescent="0.2">
      <c r="A24" t="s">
        <v>25</v>
      </c>
      <c r="B24" t="s">
        <v>88</v>
      </c>
    </row>
    <row r="25" spans="1:2" x14ac:dyDescent="0.2">
      <c r="A25" t="s">
        <v>56</v>
      </c>
      <c r="B25" t="s">
        <v>86</v>
      </c>
    </row>
    <row r="26" spans="1:2" x14ac:dyDescent="0.2">
      <c r="A26" t="s">
        <v>37</v>
      </c>
      <c r="B26" t="s">
        <v>86</v>
      </c>
    </row>
    <row r="27" spans="1:2" x14ac:dyDescent="0.2">
      <c r="A27" t="s">
        <v>10</v>
      </c>
      <c r="B27" t="s">
        <v>86</v>
      </c>
    </row>
    <row r="28" spans="1:2" x14ac:dyDescent="0.2">
      <c r="A28" t="s">
        <v>67</v>
      </c>
      <c r="B28" t="s">
        <v>86</v>
      </c>
    </row>
    <row r="29" spans="1:2" x14ac:dyDescent="0.2">
      <c r="A29" t="s">
        <v>32</v>
      </c>
      <c r="B29" t="s">
        <v>86</v>
      </c>
    </row>
    <row r="30" spans="1:2" x14ac:dyDescent="0.2">
      <c r="A30" t="s">
        <v>73</v>
      </c>
      <c r="B30" t="s">
        <v>86</v>
      </c>
    </row>
    <row r="31" spans="1:2" x14ac:dyDescent="0.2">
      <c r="A31" t="s">
        <v>45</v>
      </c>
      <c r="B31" t="s">
        <v>86</v>
      </c>
    </row>
    <row r="32" spans="1:2" x14ac:dyDescent="0.2">
      <c r="A32" t="s">
        <v>26</v>
      </c>
      <c r="B32" t="s">
        <v>87</v>
      </c>
    </row>
    <row r="33" spans="1:2" x14ac:dyDescent="0.2">
      <c r="A33" t="s">
        <v>30</v>
      </c>
      <c r="B33" t="s">
        <v>85</v>
      </c>
    </row>
  </sheetData>
  <autoFilter ref="A1:B1" xr:uid="{CA14E7F4-4851-CC49-9F8D-0290102E5009}">
    <sortState xmlns:xlrd2="http://schemas.microsoft.com/office/spreadsheetml/2017/richdata2" ref="A2:B33">
      <sortCondition ref="A1:A33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Women</vt:lpstr>
      <vt:lpstr>Men</vt:lpstr>
      <vt:lpstr>Macros</vt:lpstr>
      <vt:lpstr>Continental Affiliation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2019-02-17T15:04:16Z</dcterms:created>
  <dcterms:modified xsi:type="dcterms:W3CDTF">2023-11-11T15:41:57Z</dcterms:modified>
</cp:coreProperties>
</file>