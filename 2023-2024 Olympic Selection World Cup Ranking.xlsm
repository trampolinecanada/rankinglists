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1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revorstirling/Library/CloudStorage/Dropbox/Documents/Trampoline/Websites/Trampoline Canada Website/Ranking Lists/"/>
    </mc:Choice>
  </mc:AlternateContent>
  <xr:revisionPtr revIDLastSave="0" documentId="13_ncr:1_{579A4216-56C8-6D4A-B2C4-1EC9F6D68306}" xr6:coauthVersionLast="47" xr6:coauthVersionMax="47" xr10:uidLastSave="{00000000-0000-0000-0000-000000000000}"/>
  <bookViews>
    <workbookView xWindow="0" yWindow="500" windowWidth="33600" windowHeight="20500" xr2:uid="{D2A48EEF-CA85-4F47-802C-95C803B4031C}"/>
  </bookViews>
  <sheets>
    <sheet name="Women" sheetId="1" r:id="rId1"/>
    <sheet name="Men" sheetId="9" r:id="rId2"/>
    <sheet name="Macros" sheetId="7" r:id="rId3"/>
    <sheet name="Continental Affiliation" sheetId="8" r:id="rId4"/>
  </sheets>
  <definedNames>
    <definedName name="_xlnm._FilterDatabase" localSheetId="3" hidden="1">'Continental Affiliation'!$A$1:$B$1</definedName>
    <definedName name="_xlnm._FilterDatabase" localSheetId="1" hidden="1">Men!$A$1:$AF$2</definedName>
    <definedName name="_xlnm._FilterDatabase" localSheetId="0" hidden="1">Women!$A$1:$AF$2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38" i="9" l="1"/>
  <c r="M38" i="9"/>
  <c r="N38" i="9"/>
  <c r="O38" i="9"/>
  <c r="P38" i="9"/>
  <c r="Q38" i="9"/>
  <c r="V38" i="9"/>
  <c r="W38" i="9"/>
  <c r="X38" i="9"/>
  <c r="C44" i="9"/>
  <c r="M44" i="9"/>
  <c r="N44" i="9"/>
  <c r="O44" i="9"/>
  <c r="P44" i="9"/>
  <c r="Q44" i="9"/>
  <c r="V44" i="9"/>
  <c r="W44" i="9"/>
  <c r="X44" i="9"/>
  <c r="C45" i="1"/>
  <c r="M45" i="1"/>
  <c r="N45" i="1"/>
  <c r="O45" i="1"/>
  <c r="P45" i="1"/>
  <c r="Q45" i="1"/>
  <c r="V45" i="1"/>
  <c r="W45" i="1"/>
  <c r="X45" i="1"/>
  <c r="C51" i="1"/>
  <c r="M51" i="1"/>
  <c r="N51" i="1"/>
  <c r="O51" i="1"/>
  <c r="P51" i="1"/>
  <c r="Q51" i="1"/>
  <c r="C46" i="9"/>
  <c r="M46" i="9"/>
  <c r="N46" i="9"/>
  <c r="O46" i="9"/>
  <c r="P46" i="9"/>
  <c r="Q46" i="9"/>
  <c r="V46" i="9"/>
  <c r="W46" i="9"/>
  <c r="X46" i="9"/>
  <c r="C39" i="1"/>
  <c r="M39" i="1"/>
  <c r="N39" i="1"/>
  <c r="O39" i="1"/>
  <c r="P39" i="1"/>
  <c r="Q39" i="1"/>
  <c r="V39" i="1"/>
  <c r="W39" i="1"/>
  <c r="X39" i="1"/>
  <c r="C21" i="1"/>
  <c r="M21" i="1"/>
  <c r="N21" i="1"/>
  <c r="O21" i="1"/>
  <c r="P21" i="1"/>
  <c r="Q21" i="1"/>
  <c r="V21" i="1"/>
  <c r="W21" i="1"/>
  <c r="X21" i="1"/>
  <c r="C36" i="1"/>
  <c r="M36" i="1"/>
  <c r="N36" i="1"/>
  <c r="O36" i="1"/>
  <c r="P36" i="1"/>
  <c r="Q36" i="1"/>
  <c r="V36" i="1"/>
  <c r="W36" i="1"/>
  <c r="X36" i="1"/>
  <c r="C47" i="1"/>
  <c r="M47" i="1"/>
  <c r="N47" i="1"/>
  <c r="O47" i="1"/>
  <c r="P47" i="1"/>
  <c r="Q47" i="1"/>
  <c r="V47" i="1"/>
  <c r="W47" i="1"/>
  <c r="X47" i="1"/>
  <c r="V51" i="1"/>
  <c r="W51" i="1"/>
  <c r="X51" i="1"/>
  <c r="C23" i="1"/>
  <c r="M23" i="1"/>
  <c r="N23" i="1"/>
  <c r="O23" i="1"/>
  <c r="P23" i="1"/>
  <c r="Q23" i="1"/>
  <c r="V23" i="1"/>
  <c r="W23" i="1"/>
  <c r="X23" i="1"/>
  <c r="C10" i="1"/>
  <c r="M10" i="1"/>
  <c r="N10" i="1"/>
  <c r="O10" i="1"/>
  <c r="P10" i="1"/>
  <c r="Q10" i="1"/>
  <c r="V10" i="1"/>
  <c r="W10" i="1"/>
  <c r="X10" i="1"/>
  <c r="C14" i="1"/>
  <c r="M14" i="1"/>
  <c r="N14" i="1"/>
  <c r="O14" i="1"/>
  <c r="P14" i="1"/>
  <c r="Q14" i="1"/>
  <c r="V14" i="1"/>
  <c r="W14" i="1"/>
  <c r="X14" i="1"/>
  <c r="C45" i="9"/>
  <c r="M45" i="9"/>
  <c r="N45" i="9"/>
  <c r="O45" i="9"/>
  <c r="P45" i="9"/>
  <c r="Q45" i="9"/>
  <c r="V45" i="9"/>
  <c r="W45" i="9"/>
  <c r="X45" i="9"/>
  <c r="C33" i="9"/>
  <c r="M33" i="9"/>
  <c r="N33" i="9"/>
  <c r="O33" i="9"/>
  <c r="P33" i="9"/>
  <c r="Q33" i="9"/>
  <c r="V33" i="9"/>
  <c r="W33" i="9"/>
  <c r="X33" i="9"/>
  <c r="C9" i="9"/>
  <c r="M9" i="9"/>
  <c r="N9" i="9"/>
  <c r="O9" i="9"/>
  <c r="P9" i="9"/>
  <c r="Q9" i="9"/>
  <c r="V9" i="9"/>
  <c r="W9" i="9"/>
  <c r="X9" i="9"/>
  <c r="C41" i="9"/>
  <c r="M41" i="9"/>
  <c r="N41" i="9"/>
  <c r="O41" i="9"/>
  <c r="P41" i="9"/>
  <c r="Q41" i="9"/>
  <c r="V41" i="9"/>
  <c r="W41" i="9"/>
  <c r="X41" i="9"/>
  <c r="C23" i="9"/>
  <c r="M23" i="9"/>
  <c r="N23" i="9"/>
  <c r="O23" i="9"/>
  <c r="P23" i="9"/>
  <c r="Q23" i="9"/>
  <c r="V23" i="9"/>
  <c r="W23" i="9"/>
  <c r="X23" i="9"/>
  <c r="C37" i="9"/>
  <c r="M37" i="9"/>
  <c r="N37" i="9"/>
  <c r="O37" i="9"/>
  <c r="P37" i="9"/>
  <c r="Q37" i="9"/>
  <c r="V37" i="9"/>
  <c r="W37" i="9"/>
  <c r="X37" i="9"/>
  <c r="C39" i="9"/>
  <c r="M39" i="9"/>
  <c r="N39" i="9"/>
  <c r="O39" i="9"/>
  <c r="P39" i="9"/>
  <c r="Q39" i="9"/>
  <c r="V39" i="9"/>
  <c r="W39" i="9"/>
  <c r="X39" i="9"/>
  <c r="V48" i="9"/>
  <c r="W48" i="9"/>
  <c r="X48" i="9"/>
  <c r="C46" i="1"/>
  <c r="M46" i="1"/>
  <c r="N46" i="1"/>
  <c r="O46" i="1"/>
  <c r="P46" i="1"/>
  <c r="Q46" i="1"/>
  <c r="V46" i="1"/>
  <c r="W46" i="1"/>
  <c r="X46" i="1"/>
  <c r="C48" i="1"/>
  <c r="M48" i="1"/>
  <c r="N48" i="1"/>
  <c r="O48" i="1"/>
  <c r="P48" i="1"/>
  <c r="Q48" i="1"/>
  <c r="V48" i="1"/>
  <c r="W48" i="1"/>
  <c r="X48" i="1"/>
  <c r="C38" i="1"/>
  <c r="M38" i="1"/>
  <c r="N38" i="1"/>
  <c r="O38" i="1"/>
  <c r="P38" i="1"/>
  <c r="Q38" i="1"/>
  <c r="V38" i="1"/>
  <c r="W38" i="1"/>
  <c r="X38" i="1"/>
  <c r="C30" i="1"/>
  <c r="M30" i="1"/>
  <c r="N30" i="1"/>
  <c r="O30" i="1"/>
  <c r="P30" i="1"/>
  <c r="Q30" i="1"/>
  <c r="V30" i="1"/>
  <c r="W30" i="1"/>
  <c r="X30" i="1"/>
  <c r="C48" i="9"/>
  <c r="M48" i="9"/>
  <c r="N48" i="9"/>
  <c r="O48" i="9"/>
  <c r="P48" i="9"/>
  <c r="Q48" i="9"/>
  <c r="C47" i="9"/>
  <c r="M47" i="9"/>
  <c r="N47" i="9"/>
  <c r="O47" i="9"/>
  <c r="P47" i="9"/>
  <c r="Q47" i="9"/>
  <c r="V47" i="9"/>
  <c r="W47" i="9"/>
  <c r="X47" i="9"/>
  <c r="O35" i="9"/>
  <c r="O21" i="9"/>
  <c r="C28" i="9"/>
  <c r="M28" i="9"/>
  <c r="N28" i="9"/>
  <c r="O28" i="9"/>
  <c r="P28" i="9"/>
  <c r="Q28" i="9"/>
  <c r="V28" i="9"/>
  <c r="W28" i="9"/>
  <c r="X28" i="9"/>
  <c r="V40" i="9"/>
  <c r="W40" i="9"/>
  <c r="X40" i="9"/>
  <c r="C40" i="9"/>
  <c r="M40" i="9"/>
  <c r="N40" i="9"/>
  <c r="O40" i="9"/>
  <c r="P40" i="9"/>
  <c r="Q40" i="9"/>
  <c r="C25" i="9"/>
  <c r="M25" i="9"/>
  <c r="N25" i="9"/>
  <c r="O25" i="9"/>
  <c r="P25" i="9"/>
  <c r="Q25" i="9"/>
  <c r="V25" i="9"/>
  <c r="W25" i="9"/>
  <c r="X25" i="9"/>
  <c r="C31" i="9"/>
  <c r="M31" i="9"/>
  <c r="N31" i="9"/>
  <c r="O31" i="9"/>
  <c r="P31" i="9"/>
  <c r="Q31" i="9"/>
  <c r="V31" i="9"/>
  <c r="W31" i="9"/>
  <c r="X31" i="9"/>
  <c r="X10" i="9"/>
  <c r="X8" i="9"/>
  <c r="X4" i="9"/>
  <c r="X6" i="9"/>
  <c r="X14" i="9"/>
  <c r="X5" i="9"/>
  <c r="X16" i="9"/>
  <c r="X15" i="9"/>
  <c r="X12" i="9"/>
  <c r="X11" i="9"/>
  <c r="X17" i="9"/>
  <c r="X18" i="9"/>
  <c r="X19" i="9"/>
  <c r="X27" i="9"/>
  <c r="X29" i="9"/>
  <c r="X13" i="9"/>
  <c r="X34" i="9"/>
  <c r="X35" i="9"/>
  <c r="X20" i="9"/>
  <c r="X36" i="9"/>
  <c r="X26" i="9"/>
  <c r="X21" i="9"/>
  <c r="X7" i="9"/>
  <c r="X32" i="9"/>
  <c r="X24" i="9"/>
  <c r="X42" i="9"/>
  <c r="X43" i="9"/>
  <c r="X30" i="9"/>
  <c r="X22" i="9"/>
  <c r="X49" i="9"/>
  <c r="X50" i="9"/>
  <c r="X3" i="9"/>
  <c r="X8" i="1"/>
  <c r="X3" i="1"/>
  <c r="X12" i="1"/>
  <c r="X13" i="1"/>
  <c r="X17" i="1"/>
  <c r="X11" i="1"/>
  <c r="X15" i="1"/>
  <c r="X16" i="1"/>
  <c r="X18" i="1"/>
  <c r="X4" i="1"/>
  <c r="X24" i="1"/>
  <c r="X22" i="1"/>
  <c r="X25" i="1"/>
  <c r="X29" i="1"/>
  <c r="X5" i="1"/>
  <c r="X27" i="1"/>
  <c r="X26" i="1"/>
  <c r="X32" i="1"/>
  <c r="X6" i="1"/>
  <c r="X31" i="1"/>
  <c r="X33" i="1"/>
  <c r="X20" i="1"/>
  <c r="X19" i="1"/>
  <c r="X28" i="1"/>
  <c r="X34" i="1"/>
  <c r="X7" i="1"/>
  <c r="X41" i="1"/>
  <c r="X44" i="1"/>
  <c r="X37" i="1"/>
  <c r="X43" i="1"/>
  <c r="X40" i="1"/>
  <c r="X42" i="1"/>
  <c r="X49" i="1"/>
  <c r="X35" i="1"/>
  <c r="X50" i="1"/>
  <c r="X9" i="1"/>
  <c r="C22" i="9"/>
  <c r="M22" i="9"/>
  <c r="N22" i="9"/>
  <c r="O22" i="9"/>
  <c r="P22" i="9"/>
  <c r="Q22" i="9"/>
  <c r="V22" i="9"/>
  <c r="W22" i="9"/>
  <c r="C49" i="9"/>
  <c r="M49" i="9"/>
  <c r="N49" i="9"/>
  <c r="O49" i="9"/>
  <c r="P49" i="9"/>
  <c r="Q49" i="9"/>
  <c r="V49" i="9"/>
  <c r="W49" i="9"/>
  <c r="C28" i="1"/>
  <c r="M28" i="1"/>
  <c r="N28" i="1"/>
  <c r="O28" i="1"/>
  <c r="P28" i="1"/>
  <c r="Q28" i="1"/>
  <c r="V28" i="1"/>
  <c r="W28" i="1"/>
  <c r="C41" i="1"/>
  <c r="M41" i="1"/>
  <c r="N41" i="1"/>
  <c r="O41" i="1"/>
  <c r="P41" i="1"/>
  <c r="Q41" i="1"/>
  <c r="V41" i="1"/>
  <c r="W41" i="1"/>
  <c r="C37" i="1"/>
  <c r="M37" i="1"/>
  <c r="N37" i="1"/>
  <c r="O37" i="1"/>
  <c r="P37" i="1"/>
  <c r="Q37" i="1"/>
  <c r="V37" i="1"/>
  <c r="W37" i="1"/>
  <c r="C40" i="1"/>
  <c r="M40" i="1"/>
  <c r="N40" i="1"/>
  <c r="O40" i="1"/>
  <c r="P40" i="1"/>
  <c r="Q40" i="1"/>
  <c r="V40" i="1"/>
  <c r="W40" i="1"/>
  <c r="C49" i="1"/>
  <c r="M49" i="1"/>
  <c r="N49" i="1"/>
  <c r="O49" i="1"/>
  <c r="P49" i="1"/>
  <c r="Q49" i="1"/>
  <c r="V49" i="1"/>
  <c r="W49" i="1"/>
  <c r="C35" i="1"/>
  <c r="M35" i="1"/>
  <c r="N35" i="1"/>
  <c r="O35" i="1"/>
  <c r="P35" i="1"/>
  <c r="Q35" i="1"/>
  <c r="V35" i="1"/>
  <c r="W35" i="1"/>
  <c r="Q2" i="9"/>
  <c r="O2" i="9"/>
  <c r="P2" i="9"/>
  <c r="N2" i="9"/>
  <c r="M2" i="9"/>
  <c r="Q2" i="1"/>
  <c r="O2" i="1"/>
  <c r="P2" i="1"/>
  <c r="N2" i="1"/>
  <c r="M2" i="1"/>
  <c r="C14" i="9"/>
  <c r="C12" i="9"/>
  <c r="C26" i="9"/>
  <c r="C5" i="9"/>
  <c r="C34" i="9"/>
  <c r="C27" i="9"/>
  <c r="C16" i="9"/>
  <c r="C10" i="9"/>
  <c r="C29" i="9"/>
  <c r="C13" i="9"/>
  <c r="C8" i="9"/>
  <c r="C50" i="9"/>
  <c r="C42" i="9"/>
  <c r="C7" i="9"/>
  <c r="C20" i="9"/>
  <c r="C18" i="9"/>
  <c r="C4" i="9"/>
  <c r="C3" i="9"/>
  <c r="C32" i="9"/>
  <c r="C19" i="9"/>
  <c r="C6" i="9"/>
  <c r="C11" i="9"/>
  <c r="C17" i="9"/>
  <c r="C15" i="9"/>
  <c r="C30" i="9"/>
  <c r="C36" i="9"/>
  <c r="C35" i="9"/>
  <c r="C43" i="9"/>
  <c r="C24" i="9"/>
  <c r="C21" i="9"/>
  <c r="C31" i="1"/>
  <c r="C7" i="1"/>
  <c r="C9" i="1"/>
  <c r="C12" i="1"/>
  <c r="C19" i="1"/>
  <c r="C17" i="1"/>
  <c r="C33" i="1"/>
  <c r="C11" i="1"/>
  <c r="C42" i="1"/>
  <c r="C43" i="1"/>
  <c r="C44" i="1"/>
  <c r="C6" i="1"/>
  <c r="C5" i="1"/>
  <c r="C13" i="1"/>
  <c r="C25" i="1"/>
  <c r="C18" i="1"/>
  <c r="C27" i="1"/>
  <c r="C34" i="1"/>
  <c r="C26" i="1"/>
  <c r="C20" i="1"/>
  <c r="C32" i="1"/>
  <c r="C29" i="1"/>
  <c r="C15" i="1"/>
  <c r="C24" i="1"/>
  <c r="C22" i="1"/>
  <c r="C4" i="1"/>
  <c r="C50" i="1"/>
  <c r="C16" i="1"/>
  <c r="C8" i="1"/>
  <c r="C3" i="1"/>
  <c r="W13" i="9"/>
  <c r="V13" i="9"/>
  <c r="Q13" i="9"/>
  <c r="P13" i="9"/>
  <c r="O13" i="9"/>
  <c r="N13" i="9"/>
  <c r="M13" i="9"/>
  <c r="W3" i="9"/>
  <c r="V3" i="9"/>
  <c r="Q3" i="9"/>
  <c r="P3" i="9"/>
  <c r="O3" i="9"/>
  <c r="N3" i="9"/>
  <c r="M3" i="9"/>
  <c r="W15" i="9"/>
  <c r="V15" i="9"/>
  <c r="Q15" i="9"/>
  <c r="P15" i="9"/>
  <c r="O15" i="9"/>
  <c r="N15" i="9"/>
  <c r="M15" i="9"/>
  <c r="W24" i="9"/>
  <c r="V24" i="9"/>
  <c r="Q24" i="9"/>
  <c r="P24" i="9"/>
  <c r="O24" i="9"/>
  <c r="N24" i="9"/>
  <c r="M24" i="9"/>
  <c r="W26" i="9"/>
  <c r="V26" i="9"/>
  <c r="Q26" i="9"/>
  <c r="P26" i="9"/>
  <c r="O26" i="9"/>
  <c r="N26" i="9"/>
  <c r="M26" i="9"/>
  <c r="W35" i="9"/>
  <c r="V35" i="9"/>
  <c r="Q35" i="9"/>
  <c r="P35" i="9"/>
  <c r="N35" i="9"/>
  <c r="M35" i="9"/>
  <c r="W6" i="9"/>
  <c r="V6" i="9"/>
  <c r="Q6" i="9"/>
  <c r="P6" i="9"/>
  <c r="O6" i="9"/>
  <c r="N6" i="9"/>
  <c r="M6" i="9"/>
  <c r="W36" i="9"/>
  <c r="V36" i="9"/>
  <c r="Q36" i="9"/>
  <c r="P36" i="9"/>
  <c r="O36" i="9"/>
  <c r="N36" i="9"/>
  <c r="M36" i="9"/>
  <c r="W30" i="9"/>
  <c r="V30" i="9"/>
  <c r="Q30" i="9"/>
  <c r="P30" i="9"/>
  <c r="O30" i="9"/>
  <c r="N30" i="9"/>
  <c r="M30" i="9"/>
  <c r="W12" i="9"/>
  <c r="V12" i="9"/>
  <c r="Q12" i="9"/>
  <c r="P12" i="9"/>
  <c r="O12" i="9"/>
  <c r="N12" i="9"/>
  <c r="M12" i="9"/>
  <c r="W21" i="9"/>
  <c r="V21" i="9"/>
  <c r="Q21" i="9"/>
  <c r="P21" i="9"/>
  <c r="N21" i="9"/>
  <c r="M21" i="9"/>
  <c r="W17" i="9"/>
  <c r="V17" i="9"/>
  <c r="Q17" i="9"/>
  <c r="P17" i="9"/>
  <c r="O17" i="9"/>
  <c r="N17" i="9"/>
  <c r="M17" i="9"/>
  <c r="W5" i="9"/>
  <c r="V5" i="9"/>
  <c r="Q5" i="9"/>
  <c r="P5" i="9"/>
  <c r="O5" i="9"/>
  <c r="N5" i="9"/>
  <c r="M5" i="9"/>
  <c r="W20" i="9"/>
  <c r="V20" i="9"/>
  <c r="Q20" i="9"/>
  <c r="P20" i="9"/>
  <c r="O20" i="9"/>
  <c r="N20" i="9"/>
  <c r="M20" i="9"/>
  <c r="W50" i="9"/>
  <c r="V50" i="9"/>
  <c r="Q50" i="9"/>
  <c r="P50" i="9"/>
  <c r="O50" i="9"/>
  <c r="N50" i="9"/>
  <c r="M50" i="9"/>
  <c r="W34" i="9"/>
  <c r="V34" i="9"/>
  <c r="Q34" i="9"/>
  <c r="P34" i="9"/>
  <c r="O34" i="9"/>
  <c r="N34" i="9"/>
  <c r="M34" i="9"/>
  <c r="W29" i="9"/>
  <c r="V29" i="9"/>
  <c r="Q29" i="9"/>
  <c r="P29" i="9"/>
  <c r="O29" i="9"/>
  <c r="N29" i="9"/>
  <c r="M29" i="9"/>
  <c r="W19" i="9"/>
  <c r="V19" i="9"/>
  <c r="Q19" i="9"/>
  <c r="P19" i="9"/>
  <c r="O19" i="9"/>
  <c r="N19" i="9"/>
  <c r="M19" i="9"/>
  <c r="W4" i="9"/>
  <c r="V4" i="9"/>
  <c r="Q4" i="9"/>
  <c r="P4" i="9"/>
  <c r="O4" i="9"/>
  <c r="N4" i="9"/>
  <c r="M4" i="9"/>
  <c r="W27" i="9"/>
  <c r="V27" i="9"/>
  <c r="Q27" i="9"/>
  <c r="P27" i="9"/>
  <c r="O27" i="9"/>
  <c r="N27" i="9"/>
  <c r="M27" i="9"/>
  <c r="W42" i="9"/>
  <c r="V42" i="9"/>
  <c r="Q42" i="9"/>
  <c r="P42" i="9"/>
  <c r="O42" i="9"/>
  <c r="N42" i="9"/>
  <c r="M42" i="9"/>
  <c r="W7" i="9"/>
  <c r="V7" i="9"/>
  <c r="Q7" i="9"/>
  <c r="P7" i="9"/>
  <c r="O7" i="9"/>
  <c r="N7" i="9"/>
  <c r="M7" i="9"/>
  <c r="W8" i="9"/>
  <c r="V8" i="9"/>
  <c r="Q8" i="9"/>
  <c r="P8" i="9"/>
  <c r="O8" i="9"/>
  <c r="N8" i="9"/>
  <c r="M8" i="9"/>
  <c r="W16" i="9"/>
  <c r="V16" i="9"/>
  <c r="Q16" i="9"/>
  <c r="P16" i="9"/>
  <c r="O16" i="9"/>
  <c r="N16" i="9"/>
  <c r="M16" i="9"/>
  <c r="W10" i="9"/>
  <c r="V10" i="9"/>
  <c r="Q10" i="9"/>
  <c r="P10" i="9"/>
  <c r="O10" i="9"/>
  <c r="N10" i="9"/>
  <c r="M10" i="9"/>
  <c r="W43" i="9"/>
  <c r="V43" i="9"/>
  <c r="Q43" i="9"/>
  <c r="P43" i="9"/>
  <c r="O43" i="9"/>
  <c r="N43" i="9"/>
  <c r="M43" i="9"/>
  <c r="W32" i="9"/>
  <c r="V32" i="9"/>
  <c r="Q32" i="9"/>
  <c r="P32" i="9"/>
  <c r="O32" i="9"/>
  <c r="N32" i="9"/>
  <c r="M32" i="9"/>
  <c r="W18" i="9"/>
  <c r="V18" i="9"/>
  <c r="Q18" i="9"/>
  <c r="P18" i="9"/>
  <c r="O18" i="9"/>
  <c r="N18" i="9"/>
  <c r="M18" i="9"/>
  <c r="W11" i="9"/>
  <c r="V11" i="9"/>
  <c r="Q11" i="9"/>
  <c r="P11" i="9"/>
  <c r="O11" i="9"/>
  <c r="N11" i="9"/>
  <c r="M11" i="9"/>
  <c r="W14" i="9"/>
  <c r="V14" i="9"/>
  <c r="Q14" i="9"/>
  <c r="P14" i="9"/>
  <c r="O14" i="9"/>
  <c r="N14" i="9"/>
  <c r="M14" i="9"/>
  <c r="V11" i="1"/>
  <c r="W11" i="1"/>
  <c r="W4" i="1"/>
  <c r="W7" i="1"/>
  <c r="W25" i="1"/>
  <c r="W6" i="1"/>
  <c r="W19" i="1"/>
  <c r="W27" i="1"/>
  <c r="W29" i="1"/>
  <c r="W22" i="1"/>
  <c r="W20" i="1"/>
  <c r="W50" i="1"/>
  <c r="W34" i="1"/>
  <c r="W5" i="1"/>
  <c r="W32" i="1"/>
  <c r="W3" i="1"/>
  <c r="W42" i="1"/>
  <c r="W44" i="1"/>
  <c r="W43" i="1"/>
  <c r="W31" i="1"/>
  <c r="W16" i="1"/>
  <c r="W26" i="1"/>
  <c r="W8" i="1"/>
  <c r="W9" i="1"/>
  <c r="W17" i="1"/>
  <c r="W18" i="1"/>
  <c r="W15" i="1"/>
  <c r="W33" i="1"/>
  <c r="W12" i="1"/>
  <c r="W24" i="1"/>
  <c r="W13" i="1"/>
  <c r="V7" i="1"/>
  <c r="V25" i="1"/>
  <c r="V6" i="1"/>
  <c r="V19" i="1"/>
  <c r="V27" i="1"/>
  <c r="V29" i="1"/>
  <c r="V22" i="1"/>
  <c r="V20" i="1"/>
  <c r="V50" i="1"/>
  <c r="V34" i="1"/>
  <c r="V4" i="1"/>
  <c r="V5" i="1"/>
  <c r="V32" i="1"/>
  <c r="V3" i="1"/>
  <c r="V42" i="1"/>
  <c r="V44" i="1"/>
  <c r="V43" i="1"/>
  <c r="V31" i="1"/>
  <c r="V16" i="1"/>
  <c r="V26" i="1"/>
  <c r="V8" i="1"/>
  <c r="V9" i="1"/>
  <c r="V17" i="1"/>
  <c r="V18" i="1"/>
  <c r="V15" i="1"/>
  <c r="V33" i="1"/>
  <c r="V12" i="1"/>
  <c r="V24" i="1"/>
  <c r="V13" i="1"/>
  <c r="M11" i="1"/>
  <c r="M26" i="1"/>
  <c r="N26" i="1"/>
  <c r="O26" i="1"/>
  <c r="P26" i="1"/>
  <c r="Q26" i="1"/>
  <c r="M7" i="1"/>
  <c r="N7" i="1"/>
  <c r="O7" i="1"/>
  <c r="P7" i="1"/>
  <c r="Q7" i="1"/>
  <c r="R51" i="1" l="1"/>
  <c r="T51" i="1" s="1" a="1"/>
  <c r="T51" i="1" s="1"/>
  <c r="R44" i="9"/>
  <c r="T44" i="9" s="1" a="1"/>
  <c r="T44" i="9" s="1"/>
  <c r="R38" i="9"/>
  <c r="R45" i="1"/>
  <c r="T45" i="1" s="1" a="1"/>
  <c r="T45" i="1" s="1"/>
  <c r="R46" i="9"/>
  <c r="R39" i="1"/>
  <c r="T39" i="1" s="1" a="1"/>
  <c r="T39" i="1" s="1"/>
  <c r="R36" i="1"/>
  <c r="T36" i="1" s="1" a="1"/>
  <c r="T36" i="1" s="1"/>
  <c r="R21" i="1"/>
  <c r="T21" i="1" s="1" a="1"/>
  <c r="T21" i="1" s="1"/>
  <c r="R10" i="1"/>
  <c r="T10" i="1" s="1" a="1"/>
  <c r="T10" i="1" s="1"/>
  <c r="R14" i="1"/>
  <c r="T14" i="1" s="1" a="1"/>
  <c r="T14" i="1" s="1"/>
  <c r="R23" i="1"/>
  <c r="T23" i="1" s="1" a="1"/>
  <c r="T23" i="1" s="1"/>
  <c r="R33" i="9"/>
  <c r="T33" i="9" s="1" a="1"/>
  <c r="T33" i="9" s="1"/>
  <c r="R23" i="9"/>
  <c r="T23" i="9" s="1" a="1"/>
  <c r="T23" i="9" s="1"/>
  <c r="R41" i="9"/>
  <c r="R9" i="9"/>
  <c r="T9" i="9" s="1" a="1"/>
  <c r="T9" i="9" s="1"/>
  <c r="R39" i="9"/>
  <c r="T39" i="9" s="1" a="1"/>
  <c r="T39" i="9" s="1"/>
  <c r="R37" i="9"/>
  <c r="R47" i="1"/>
  <c r="T47" i="1" s="1" a="1"/>
  <c r="T47" i="1" s="1"/>
  <c r="R45" i="9"/>
  <c r="T45" i="9" s="1" a="1"/>
  <c r="T45" i="9" s="1"/>
  <c r="R43" i="9"/>
  <c r="R12" i="9"/>
  <c r="T12" i="9" s="1" a="1"/>
  <c r="T12" i="9" s="1"/>
  <c r="R48" i="9"/>
  <c r="T48" i="9" s="1" a="1"/>
  <c r="T48" i="9" s="1"/>
  <c r="R41" i="1"/>
  <c r="T41" i="1" s="1" a="1"/>
  <c r="T41" i="1" s="1"/>
  <c r="R16" i="9"/>
  <c r="T16" i="9" s="1" a="1"/>
  <c r="T16" i="9" s="1"/>
  <c r="R7" i="9"/>
  <c r="T7" i="9" s="1" a="1"/>
  <c r="T7" i="9" s="1"/>
  <c r="R5" i="9"/>
  <c r="T5" i="9" s="1" a="1"/>
  <c r="T5" i="9" s="1"/>
  <c r="R4" i="9"/>
  <c r="T4" i="9" s="1" a="1"/>
  <c r="T4" i="9" s="1"/>
  <c r="R26" i="9"/>
  <c r="T26" i="9" s="1" a="1"/>
  <c r="T26" i="9" s="1"/>
  <c r="R20" i="9"/>
  <c r="T20" i="9" s="1" a="1"/>
  <c r="T20" i="9" s="1"/>
  <c r="R34" i="9"/>
  <c r="R30" i="9"/>
  <c r="R3" i="9"/>
  <c r="T3" i="9" s="1" a="1"/>
  <c r="T3" i="9" s="1"/>
  <c r="R32" i="9"/>
  <c r="R47" i="9"/>
  <c r="T47" i="9" s="1" a="1"/>
  <c r="T47" i="9" s="1"/>
  <c r="R28" i="9"/>
  <c r="T28" i="9" s="1" a="1"/>
  <c r="T28" i="9" s="1"/>
  <c r="R40" i="9"/>
  <c r="T40" i="9" s="1" a="1"/>
  <c r="T40" i="9" s="1"/>
  <c r="R48" i="1"/>
  <c r="T48" i="1" s="1" a="1"/>
  <c r="T48" i="1" s="1"/>
  <c r="R46" i="1"/>
  <c r="R49" i="1"/>
  <c r="T49" i="1" s="1" a="1"/>
  <c r="T49" i="1" s="1"/>
  <c r="R37" i="1"/>
  <c r="T37" i="1" s="1" a="1"/>
  <c r="T37" i="1" s="1"/>
  <c r="R40" i="1"/>
  <c r="T40" i="1" s="1" a="1"/>
  <c r="T40" i="1" s="1"/>
  <c r="R26" i="1"/>
  <c r="T26" i="1" s="1" a="1"/>
  <c r="T26" i="1" s="1"/>
  <c r="R28" i="1"/>
  <c r="T28" i="1" s="1" a="1"/>
  <c r="T28" i="1" s="1"/>
  <c r="R35" i="1"/>
  <c r="T35" i="1" s="1" a="1"/>
  <c r="T35" i="1" s="1"/>
  <c r="R30" i="1"/>
  <c r="R38" i="1"/>
  <c r="T38" i="1" s="1" a="1"/>
  <c r="T38" i="1" s="1"/>
  <c r="R7" i="1"/>
  <c r="T7" i="1" s="1" a="1"/>
  <c r="T7" i="1" s="1"/>
  <c r="R50" i="9"/>
  <c r="T50" i="9" s="1" a="1"/>
  <c r="T50" i="9" s="1"/>
  <c r="R49" i="9"/>
  <c r="T49" i="9" s="1" a="1"/>
  <c r="T49" i="9" s="1"/>
  <c r="R42" i="9"/>
  <c r="R29" i="9"/>
  <c r="T29" i="9" s="1" a="1"/>
  <c r="T29" i="9" s="1"/>
  <c r="R27" i="9"/>
  <c r="T27" i="9" s="1" a="1"/>
  <c r="T27" i="9" s="1"/>
  <c r="R13" i="9"/>
  <c r="R36" i="9"/>
  <c r="T36" i="9" s="1" a="1"/>
  <c r="T36" i="9" s="1"/>
  <c r="R17" i="9"/>
  <c r="T17" i="9" s="1" a="1"/>
  <c r="T17" i="9" s="1"/>
  <c r="R14" i="9"/>
  <c r="R21" i="9"/>
  <c r="R35" i="9"/>
  <c r="R10" i="9"/>
  <c r="R19" i="9"/>
  <c r="T19" i="9" s="1" a="1"/>
  <c r="T19" i="9" s="1"/>
  <c r="R31" i="9"/>
  <c r="T31" i="9" s="1" a="1"/>
  <c r="T31" i="9" s="1"/>
  <c r="R25" i="9"/>
  <c r="R6" i="9"/>
  <c r="T6" i="9" s="1" a="1"/>
  <c r="T6" i="9" s="1"/>
  <c r="R22" i="9"/>
  <c r="R15" i="9"/>
  <c r="T15" i="9" s="1" a="1"/>
  <c r="T15" i="9" s="1"/>
  <c r="R18" i="9"/>
  <c r="R24" i="9"/>
  <c r="R11" i="9"/>
  <c r="T11" i="9" s="1" a="1"/>
  <c r="T11" i="9" s="1"/>
  <c r="R8" i="9"/>
  <c r="N25" i="1"/>
  <c r="O25" i="1"/>
  <c r="P25" i="1"/>
  <c r="Q25" i="1"/>
  <c r="N18" i="1"/>
  <c r="O18" i="1"/>
  <c r="P18" i="1"/>
  <c r="N34" i="1"/>
  <c r="O34" i="1"/>
  <c r="P34" i="1"/>
  <c r="Q34" i="1"/>
  <c r="N29" i="1"/>
  <c r="O29" i="1"/>
  <c r="P29" i="1"/>
  <c r="Q29" i="1"/>
  <c r="N15" i="1"/>
  <c r="O15" i="1"/>
  <c r="P15" i="1"/>
  <c r="Q15" i="1"/>
  <c r="N24" i="1"/>
  <c r="O24" i="1"/>
  <c r="P24" i="1"/>
  <c r="Q24" i="1"/>
  <c r="N22" i="1"/>
  <c r="O22" i="1"/>
  <c r="P22" i="1"/>
  <c r="Q22" i="1"/>
  <c r="N4" i="1"/>
  <c r="O4" i="1"/>
  <c r="P4" i="1"/>
  <c r="Q4" i="1"/>
  <c r="N16" i="1"/>
  <c r="P16" i="1"/>
  <c r="Q16" i="1"/>
  <c r="N8" i="1"/>
  <c r="O8" i="1"/>
  <c r="P8" i="1"/>
  <c r="Q8" i="1"/>
  <c r="N3" i="1"/>
  <c r="O3" i="1"/>
  <c r="P3" i="1"/>
  <c r="Q3" i="1"/>
  <c r="N31" i="1"/>
  <c r="O31" i="1"/>
  <c r="P31" i="1"/>
  <c r="Q31" i="1"/>
  <c r="N20" i="1"/>
  <c r="O20" i="1"/>
  <c r="P20" i="1"/>
  <c r="Q20" i="1"/>
  <c r="N27" i="1"/>
  <c r="O27" i="1"/>
  <c r="P27" i="1"/>
  <c r="Q27" i="1"/>
  <c r="N19" i="1"/>
  <c r="O19" i="1"/>
  <c r="P19" i="1"/>
  <c r="Q19" i="1"/>
  <c r="O44" i="1"/>
  <c r="P44" i="1"/>
  <c r="Q44" i="1"/>
  <c r="N43" i="1"/>
  <c r="O43" i="1"/>
  <c r="P43" i="1"/>
  <c r="Q43" i="1"/>
  <c r="N9" i="1"/>
  <c r="O9" i="1"/>
  <c r="Q9" i="1"/>
  <c r="N12" i="1"/>
  <c r="O12" i="1"/>
  <c r="P12" i="1"/>
  <c r="Q12" i="1"/>
  <c r="N42" i="1"/>
  <c r="O42" i="1"/>
  <c r="P42" i="1"/>
  <c r="N17" i="1"/>
  <c r="O17" i="1"/>
  <c r="P17" i="1"/>
  <c r="Q17" i="1"/>
  <c r="N50" i="1"/>
  <c r="O50" i="1"/>
  <c r="P50" i="1"/>
  <c r="Q50" i="1"/>
  <c r="O33" i="1"/>
  <c r="P33" i="1"/>
  <c r="Q33" i="1"/>
  <c r="N11" i="1"/>
  <c r="O11" i="1"/>
  <c r="P11" i="1"/>
  <c r="Q11" i="1"/>
  <c r="N6" i="1"/>
  <c r="O6" i="1"/>
  <c r="Q6" i="1"/>
  <c r="N5" i="1"/>
  <c r="O5" i="1"/>
  <c r="P5" i="1"/>
  <c r="Q5" i="1"/>
  <c r="M13" i="1"/>
  <c r="N13" i="1"/>
  <c r="O13" i="1"/>
  <c r="P13" i="1"/>
  <c r="Q13" i="1"/>
  <c r="Z38" i="9" l="1"/>
  <c r="S44" i="9"/>
  <c r="U44" i="9" s="1"/>
  <c r="G44" i="9" s="1"/>
  <c r="Z44" i="9"/>
  <c r="S38" i="9"/>
  <c r="T38" i="9" a="1"/>
  <c r="T38" i="9" s="1"/>
  <c r="S46" i="9"/>
  <c r="T46" i="9" a="1"/>
  <c r="T46" i="9" s="1"/>
  <c r="Z46" i="9"/>
  <c r="Z39" i="1"/>
  <c r="Z39" i="9"/>
  <c r="Z36" i="1"/>
  <c r="Z43" i="9"/>
  <c r="Z33" i="9"/>
  <c r="Z47" i="1"/>
  <c r="Z45" i="9"/>
  <c r="Z11" i="9"/>
  <c r="Z26" i="9"/>
  <c r="Z23" i="9"/>
  <c r="T41" i="9" a="1"/>
  <c r="T41" i="9" s="1"/>
  <c r="Z41" i="9"/>
  <c r="Z37" i="9"/>
  <c r="T37" i="9" a="1"/>
  <c r="T37" i="9" s="1"/>
  <c r="Z9" i="9"/>
  <c r="Z24" i="9"/>
  <c r="S9" i="9" a="1"/>
  <c r="S9" i="9" s="1"/>
  <c r="U9" i="9" s="1"/>
  <c r="S41" i="9" a="1"/>
  <c r="S41" i="9" s="1"/>
  <c r="S39" i="9" a="1"/>
  <c r="S39" i="9" s="1"/>
  <c r="U39" i="9" s="1"/>
  <c r="S23" i="9" a="1"/>
  <c r="S23" i="9" s="1"/>
  <c r="U23" i="9" s="1"/>
  <c r="S37" i="9" a="1"/>
  <c r="S37" i="9" s="1"/>
  <c r="Z14" i="9"/>
  <c r="S45" i="9" a="1"/>
  <c r="S45" i="9" s="1"/>
  <c r="U45" i="9" s="1"/>
  <c r="S33" i="9" a="1"/>
  <c r="S33" i="9" s="1"/>
  <c r="U33" i="9" s="1"/>
  <c r="Z30" i="9"/>
  <c r="T32" i="9" a="1"/>
  <c r="T32" i="9" s="1"/>
  <c r="T42" i="9" a="1"/>
  <c r="T42" i="9" s="1"/>
  <c r="Z27" i="9"/>
  <c r="Z32" i="9"/>
  <c r="Z29" i="9"/>
  <c r="R11" i="1"/>
  <c r="T11" i="1" s="1" a="1"/>
  <c r="T11" i="1" s="1"/>
  <c r="T24" i="9" a="1"/>
  <c r="T24" i="9" s="1"/>
  <c r="Z4" i="9"/>
  <c r="Z15" i="9"/>
  <c r="Z31" i="9"/>
  <c r="Z16" i="9"/>
  <c r="Z34" i="9"/>
  <c r="Z48" i="9"/>
  <c r="S28" i="9"/>
  <c r="U28" i="9" s="1"/>
  <c r="G28" i="9" s="1"/>
  <c r="Z20" i="9"/>
  <c r="T30" i="9" a="1"/>
  <c r="T30" i="9" s="1"/>
  <c r="Z7" i="9"/>
  <c r="Z13" i="9"/>
  <c r="S48" i="9"/>
  <c r="U48" i="9" s="1"/>
  <c r="S40" i="9"/>
  <c r="U40" i="9" s="1"/>
  <c r="G40" i="9" s="1"/>
  <c r="T21" i="9" a="1"/>
  <c r="T21" i="9" s="1"/>
  <c r="Z5" i="9"/>
  <c r="Z19" i="9"/>
  <c r="Z6" i="9"/>
  <c r="T8" i="9" a="1"/>
  <c r="T8" i="9" s="1"/>
  <c r="Z21" i="9"/>
  <c r="Z12" i="9"/>
  <c r="T13" i="9" a="1"/>
  <c r="T13" i="9" s="1"/>
  <c r="T14" i="9" a="1"/>
  <c r="T14" i="9" s="1"/>
  <c r="Z48" i="1"/>
  <c r="T46" i="1" a="1"/>
  <c r="T46" i="1" s="1"/>
  <c r="S47" i="9"/>
  <c r="U47" i="9" s="1"/>
  <c r="G47" i="9" s="1"/>
  <c r="Z50" i="9"/>
  <c r="T30" i="1" a="1"/>
  <c r="T30" i="1" s="1"/>
  <c r="Z42" i="9"/>
  <c r="Z35" i="9"/>
  <c r="Z36" i="9"/>
  <c r="T35" i="9" a="1"/>
  <c r="T35" i="9" s="1"/>
  <c r="S31" i="9"/>
  <c r="U31" i="9" s="1"/>
  <c r="Z25" i="9"/>
  <c r="T25" i="9" a="1"/>
  <c r="T25" i="9" s="1"/>
  <c r="S25" i="9" a="1"/>
  <c r="S25" i="9" s="1"/>
  <c r="T22" i="9" a="1"/>
  <c r="T22" i="9" s="1"/>
  <c r="Z22" i="9"/>
  <c r="Z49" i="9"/>
  <c r="Z18" i="9"/>
  <c r="T18" i="9" a="1"/>
  <c r="T18" i="9" s="1"/>
  <c r="Z17" i="9"/>
  <c r="R13" i="1"/>
  <c r="T13" i="1" s="1" a="1"/>
  <c r="T13" i="1" s="1"/>
  <c r="T10" i="9" a="1"/>
  <c r="T10" i="9" s="1"/>
  <c r="Z10" i="9"/>
  <c r="Z8" i="9"/>
  <c r="Z3" i="9"/>
  <c r="S49" i="9"/>
  <c r="U49" i="9" s="1"/>
  <c r="S22" i="9"/>
  <c r="S17" i="9"/>
  <c r="U17" i="9" s="1"/>
  <c r="S3" i="9"/>
  <c r="U3" i="9" s="1"/>
  <c r="S30" i="9"/>
  <c r="S34" i="9"/>
  <c r="S11" i="9"/>
  <c r="U11" i="9" s="1"/>
  <c r="S19" i="9"/>
  <c r="U19" i="9" s="1"/>
  <c r="S14" i="9" a="1"/>
  <c r="S14" i="9" s="1"/>
  <c r="T43" i="9" a="1"/>
  <c r="T43" i="9" s="1"/>
  <c r="S8" i="9"/>
  <c r="S18" i="9"/>
  <c r="T34" i="9" a="1"/>
  <c r="T34" i="9" s="1"/>
  <c r="S15" i="9"/>
  <c r="U15" i="9" s="1"/>
  <c r="S26" i="9"/>
  <c r="U26" i="9" s="1"/>
  <c r="S36" i="9"/>
  <c r="U36" i="9" s="1"/>
  <c r="S20" i="9"/>
  <c r="U20" i="9" s="1"/>
  <c r="S42" i="9"/>
  <c r="S4" i="9"/>
  <c r="U4" i="9" s="1"/>
  <c r="S29" i="9"/>
  <c r="U29" i="9" s="1"/>
  <c r="S16" i="9"/>
  <c r="U16" i="9" s="1"/>
  <c r="S32" i="9"/>
  <c r="S35" i="9"/>
  <c r="S12" i="9"/>
  <c r="U12" i="9" s="1"/>
  <c r="S5" i="9"/>
  <c r="U5" i="9" s="1"/>
  <c r="S7" i="9"/>
  <c r="U7" i="9" s="1"/>
  <c r="S24" i="9"/>
  <c r="S43" i="9"/>
  <c r="S10" i="9"/>
  <c r="S13" i="9"/>
  <c r="U13" i="9" s="1"/>
  <c r="S6" i="9"/>
  <c r="U6" i="9" s="1"/>
  <c r="S50" i="9"/>
  <c r="U50" i="9" s="1"/>
  <c r="S21" i="9"/>
  <c r="S27" i="9"/>
  <c r="U27" i="9" s="1"/>
  <c r="M18" i="1"/>
  <c r="M8" i="1"/>
  <c r="R8" i="1" s="1"/>
  <c r="M29" i="1"/>
  <c r="R29" i="1" s="1"/>
  <c r="Z30" i="1" s="1"/>
  <c r="M9" i="1"/>
  <c r="M5" i="1"/>
  <c r="R5" i="1" s="1"/>
  <c r="M15" i="1"/>
  <c r="R15" i="1" s="1"/>
  <c r="M19" i="1"/>
  <c r="R19" i="1" s="1"/>
  <c r="M22" i="1"/>
  <c r="R22" i="1" s="1"/>
  <c r="M20" i="1"/>
  <c r="R20" i="1" s="1"/>
  <c r="M43" i="1"/>
  <c r="R43" i="1" s="1"/>
  <c r="M42" i="1"/>
  <c r="M44" i="1"/>
  <c r="M31" i="1"/>
  <c r="R31" i="1" s="1"/>
  <c r="M16" i="1"/>
  <c r="M6" i="1"/>
  <c r="Q18" i="1"/>
  <c r="M33" i="1"/>
  <c r="M17" i="1"/>
  <c r="R17" i="1" s="1"/>
  <c r="O16" i="1"/>
  <c r="M24" i="1"/>
  <c r="R24" i="1" s="1"/>
  <c r="M25" i="1"/>
  <c r="R25" i="1" s="1"/>
  <c r="M34" i="1"/>
  <c r="R34" i="1" s="1"/>
  <c r="M4" i="1"/>
  <c r="R4" i="1" s="1"/>
  <c r="M50" i="1"/>
  <c r="R50" i="1" s="1"/>
  <c r="M27" i="1"/>
  <c r="R27" i="1" s="1"/>
  <c r="P6" i="1"/>
  <c r="N33" i="1"/>
  <c r="Q42" i="1"/>
  <c r="M12" i="1"/>
  <c r="R12" i="1" s="1"/>
  <c r="P9" i="1"/>
  <c r="N44" i="1"/>
  <c r="M3" i="1"/>
  <c r="R3" i="1" s="1"/>
  <c r="U38" i="9" l="1"/>
  <c r="G38" i="9" s="1"/>
  <c r="U46" i="9"/>
  <c r="G46" i="9" s="1"/>
  <c r="U42" i="9"/>
  <c r="U37" i="9"/>
  <c r="Z14" i="1"/>
  <c r="R18" i="1"/>
  <c r="T18" i="1" s="1" a="1"/>
  <c r="T18" i="1" s="1"/>
  <c r="U41" i="9"/>
  <c r="R9" i="1"/>
  <c r="Z9" i="1" s="1"/>
  <c r="U21" i="9"/>
  <c r="U14" i="9"/>
  <c r="U32" i="9"/>
  <c r="U8" i="9"/>
  <c r="G33" i="9" s="1"/>
  <c r="U24" i="9"/>
  <c r="U30" i="9"/>
  <c r="U35" i="9"/>
  <c r="R42" i="1"/>
  <c r="Z38" i="1"/>
  <c r="R33" i="1"/>
  <c r="T33" i="1" s="1" a="1"/>
  <c r="T33" i="1" s="1"/>
  <c r="U25" i="9"/>
  <c r="U22" i="9"/>
  <c r="G22" i="9" s="1"/>
  <c r="U18" i="9"/>
  <c r="U10" i="9"/>
  <c r="Z12" i="1"/>
  <c r="Z24" i="1"/>
  <c r="R44" i="1"/>
  <c r="Z49" i="1"/>
  <c r="Z29" i="1"/>
  <c r="Z40" i="1"/>
  <c r="Z50" i="1"/>
  <c r="Z35" i="1"/>
  <c r="Z4" i="1"/>
  <c r="R6" i="1"/>
  <c r="T6" i="1" s="1" a="1"/>
  <c r="T6" i="1" s="1"/>
  <c r="Z28" i="1"/>
  <c r="R16" i="1"/>
  <c r="Z16" i="1" s="1"/>
  <c r="T27" i="1" a="1"/>
  <c r="T27" i="1" s="1"/>
  <c r="T43" i="1" a="1"/>
  <c r="T43" i="1" s="1"/>
  <c r="T19" i="1" a="1"/>
  <c r="T19" i="1" s="1"/>
  <c r="T15" i="1" a="1"/>
  <c r="T15" i="1" s="1"/>
  <c r="T17" i="1" a="1"/>
  <c r="T17" i="1" s="1"/>
  <c r="T8" i="1" a="1"/>
  <c r="T8" i="1" s="1"/>
  <c r="T20" i="1" a="1"/>
  <c r="T20" i="1" s="1"/>
  <c r="T22" i="1" a="1"/>
  <c r="T22" i="1" s="1"/>
  <c r="T4" i="1" a="1"/>
  <c r="T4" i="1" s="1"/>
  <c r="T34" i="1" a="1"/>
  <c r="T34" i="1" s="1"/>
  <c r="T12" i="1" a="1"/>
  <c r="T12" i="1" s="1"/>
  <c r="T25" i="1" a="1"/>
  <c r="T25" i="1" s="1"/>
  <c r="T31" i="1" a="1"/>
  <c r="T31" i="1" s="1"/>
  <c r="T5" i="1" a="1"/>
  <c r="T5" i="1" s="1"/>
  <c r="T29" i="1" a="1"/>
  <c r="T29" i="1" s="1"/>
  <c r="T50" i="1" a="1"/>
  <c r="T50" i="1" s="1"/>
  <c r="T24" i="1" a="1"/>
  <c r="T24" i="1" s="1"/>
  <c r="U43" i="9"/>
  <c r="T3" i="1" a="1"/>
  <c r="T3" i="1" s="1"/>
  <c r="U34" i="9"/>
  <c r="G49" i="9" s="1"/>
  <c r="Z21" i="1" l="1"/>
  <c r="Z45" i="1"/>
  <c r="Z34" i="1"/>
  <c r="Z20" i="1"/>
  <c r="Z11" i="1"/>
  <c r="Z42" i="1"/>
  <c r="Z51" i="1"/>
  <c r="T42" i="1" a="1"/>
  <c r="T42" i="1" s="1"/>
  <c r="Z46" i="1"/>
  <c r="Z10" i="1"/>
  <c r="G39" i="9"/>
  <c r="G37" i="9"/>
  <c r="G23" i="9"/>
  <c r="G41" i="9"/>
  <c r="G9" i="9"/>
  <c r="G45" i="9"/>
  <c r="Z13" i="1"/>
  <c r="Z5" i="1"/>
  <c r="Z25" i="1"/>
  <c r="Z22" i="1"/>
  <c r="Z19" i="1"/>
  <c r="Z43" i="1"/>
  <c r="Z3" i="1"/>
  <c r="Z17" i="1"/>
  <c r="Z8" i="1"/>
  <c r="T16" i="1" a="1"/>
  <c r="T16" i="1" s="1"/>
  <c r="G48" i="9"/>
  <c r="G25" i="9"/>
  <c r="G31" i="9"/>
  <c r="Z44" i="1"/>
  <c r="Z37" i="1"/>
  <c r="Z41" i="1"/>
  <c r="Z15" i="1"/>
  <c r="T9" i="1" a="1"/>
  <c r="T9" i="1" s="1"/>
  <c r="Z18" i="1"/>
  <c r="T44" i="1" a="1"/>
  <c r="T44" i="1" s="1"/>
  <c r="G26" i="9"/>
  <c r="G27" i="9"/>
  <c r="G15" i="9"/>
  <c r="G21" i="9"/>
  <c r="G12" i="9"/>
  <c r="G6" i="9"/>
  <c r="G50" i="9"/>
  <c r="G34" i="9"/>
  <c r="G3" i="9"/>
  <c r="G13" i="9"/>
  <c r="G19" i="9"/>
  <c r="G36" i="9"/>
  <c r="G20" i="9"/>
  <c r="G42" i="9"/>
  <c r="G24" i="9"/>
  <c r="G30" i="9"/>
  <c r="G29" i="9"/>
  <c r="G5" i="9"/>
  <c r="G4" i="9"/>
  <c r="G35" i="9"/>
  <c r="G17" i="9"/>
  <c r="G14" i="9"/>
  <c r="G11" i="9"/>
  <c r="G18" i="9"/>
  <c r="G43" i="9"/>
  <c r="G8" i="9"/>
  <c r="G7" i="9"/>
  <c r="G32" i="9"/>
  <c r="G16" i="9"/>
  <c r="G10" i="9"/>
  <c r="B7" i="7" l="1"/>
  <c r="C7" i="7"/>
  <c r="D7" i="7"/>
  <c r="E7" i="7"/>
  <c r="F7" i="7"/>
  <c r="N32" i="1"/>
  <c r="O32" i="1"/>
  <c r="P32" i="1"/>
  <c r="Q32" i="1"/>
  <c r="M32" i="1" l="1"/>
  <c r="R32" i="1" s="1"/>
  <c r="Z23" i="1" s="1"/>
  <c r="Z31" i="1" l="1"/>
  <c r="S45" i="1"/>
  <c r="U45" i="1" s="1"/>
  <c r="G45" i="1" s="1"/>
  <c r="S51" i="1"/>
  <c r="U51" i="1" s="1"/>
  <c r="S36" i="1"/>
  <c r="U36" i="1" s="1"/>
  <c r="G36" i="1" s="1"/>
  <c r="S39" i="1"/>
  <c r="U39" i="1" s="1"/>
  <c r="G39" i="1" s="1"/>
  <c r="S21" i="1"/>
  <c r="U21" i="1" s="1"/>
  <c r="Z26" i="1"/>
  <c r="S14" i="1"/>
  <c r="U14" i="1" s="1"/>
  <c r="S47" i="1"/>
  <c r="U47" i="1" s="1"/>
  <c r="G47" i="1" s="1"/>
  <c r="S23" i="1"/>
  <c r="U23" i="1" s="1"/>
  <c r="S10" i="1"/>
  <c r="U10" i="1" s="1"/>
  <c r="Z7" i="1"/>
  <c r="Z33" i="1"/>
  <c r="S46" i="1"/>
  <c r="U46" i="1" s="1"/>
  <c r="S48" i="1"/>
  <c r="U48" i="1" s="1"/>
  <c r="G48" i="1" s="1"/>
  <c r="S38" i="1"/>
  <c r="U38" i="1" s="1"/>
  <c r="S30" i="1"/>
  <c r="U30" i="1" s="1"/>
  <c r="G30" i="1" s="1"/>
  <c r="Z32" i="1"/>
  <c r="Z27" i="1"/>
  <c r="Z6" i="1"/>
  <c r="S28" i="1"/>
  <c r="U28" i="1" s="1"/>
  <c r="S35" i="1"/>
  <c r="U35" i="1" s="1"/>
  <c r="G35" i="1" s="1"/>
  <c r="S49" i="1"/>
  <c r="U49" i="1" s="1"/>
  <c r="G49" i="1" s="1"/>
  <c r="S41" i="1"/>
  <c r="U41" i="1" s="1"/>
  <c r="S37" i="1"/>
  <c r="U37" i="1" s="1"/>
  <c r="S40" i="1"/>
  <c r="U40" i="1" s="1"/>
  <c r="S11" i="1" a="1"/>
  <c r="S11" i="1" s="1"/>
  <c r="U11" i="1" s="1"/>
  <c r="S13" i="1"/>
  <c r="U13" i="1" s="1"/>
  <c r="T32" i="1" a="1"/>
  <c r="T32" i="1" s="1"/>
  <c r="S50" i="1"/>
  <c r="U50" i="1" s="1"/>
  <c r="S20" i="1"/>
  <c r="U20" i="1" s="1"/>
  <c r="S7" i="1" l="1"/>
  <c r="U7" i="1" s="1"/>
  <c r="S26" i="1"/>
  <c r="U26" i="1" s="1"/>
  <c r="S34" i="1"/>
  <c r="U34" i="1" s="1"/>
  <c r="S15" i="1"/>
  <c r="U15" i="1" s="1"/>
  <c r="S24" i="1"/>
  <c r="U24" i="1" s="1"/>
  <c r="S16" i="1"/>
  <c r="U16" i="1" s="1"/>
  <c r="S3" i="1"/>
  <c r="U3" i="1" s="1"/>
  <c r="S29" i="1"/>
  <c r="U29" i="1" s="1"/>
  <c r="S42" i="1"/>
  <c r="U42" i="1" s="1"/>
  <c r="S19" i="1"/>
  <c r="U19" i="1" s="1"/>
  <c r="S9" i="1"/>
  <c r="U9" i="1" s="1"/>
  <c r="S12" i="1"/>
  <c r="U12" i="1" s="1"/>
  <c r="S33" i="1"/>
  <c r="U33" i="1" s="1"/>
  <c r="S25" i="1"/>
  <c r="U25" i="1" s="1"/>
  <c r="S18" i="1"/>
  <c r="U18" i="1" s="1"/>
  <c r="S43" i="1"/>
  <c r="U43" i="1" s="1"/>
  <c r="S31" i="1"/>
  <c r="U31" i="1" s="1"/>
  <c r="S22" i="1"/>
  <c r="U22" i="1" s="1"/>
  <c r="S17" i="1"/>
  <c r="U17" i="1" s="1"/>
  <c r="S8" i="1"/>
  <c r="U8" i="1" s="1"/>
  <c r="S6" i="1"/>
  <c r="U6" i="1" s="1"/>
  <c r="S44" i="1"/>
  <c r="U44" i="1" s="1"/>
  <c r="S27" i="1"/>
  <c r="U27" i="1" s="1"/>
  <c r="S4" i="1"/>
  <c r="U4" i="1" s="1"/>
  <c r="S5" i="1"/>
  <c r="U5" i="1" s="1"/>
  <c r="S32" i="1" l="1"/>
  <c r="U32" i="1" s="1"/>
  <c r="G32" i="1" s="1"/>
  <c r="G51" i="1" l="1"/>
  <c r="G21" i="1"/>
  <c r="G14" i="1"/>
  <c r="G10" i="1"/>
  <c r="G23" i="1"/>
  <c r="G46" i="1"/>
  <c r="G38" i="1"/>
  <c r="G37" i="1"/>
  <c r="G40" i="1"/>
  <c r="G41" i="1"/>
  <c r="G28" i="1"/>
  <c r="G9" i="1"/>
  <c r="G24" i="1"/>
  <c r="G43" i="1"/>
  <c r="G12" i="1"/>
  <c r="G8" i="1"/>
  <c r="G19" i="1"/>
  <c r="G33" i="1"/>
  <c r="G31" i="1"/>
  <c r="G4" i="1"/>
  <c r="G44" i="1"/>
  <c r="G27" i="1"/>
  <c r="G16" i="1"/>
  <c r="G29" i="1"/>
  <c r="G3" i="1"/>
  <c r="G7" i="1"/>
  <c r="G26" i="1"/>
  <c r="G25" i="1"/>
  <c r="G50" i="1"/>
  <c r="G6" i="1"/>
  <c r="G34" i="1"/>
  <c r="G17" i="1"/>
  <c r="G42" i="1"/>
  <c r="G18" i="1"/>
  <c r="G13" i="1"/>
  <c r="G22" i="1"/>
  <c r="G5" i="1"/>
  <c r="G15" i="1"/>
  <c r="G20" i="1"/>
  <c r="G11" i="1"/>
  <c r="B6" i="7" s="1"/>
  <c r="I7" i="7"/>
  <c r="H7" i="7"/>
  <c r="J7" i="7"/>
  <c r="K7" i="7"/>
  <c r="G7" i="7"/>
  <c r="C6" i="7" l="1"/>
  <c r="D6" i="7"/>
  <c r="E6" i="7"/>
  <c r="F6" i="7"/>
  <c r="L7" i="7"/>
  <c r="H6" i="7" l="1"/>
  <c r="I6" i="7"/>
  <c r="J6" i="7"/>
  <c r="K6" i="7"/>
  <c r="G6" i="7"/>
  <c r="L6" i="7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<sst xmlns="http://schemas.openxmlformats.org/spreadsheetml/2006/main" count="415" uniqueCount="171">
  <si>
    <t>Athlete</t>
  </si>
  <si>
    <t>Ranking</t>
  </si>
  <si>
    <t>Points</t>
  </si>
  <si>
    <t>Total</t>
  </si>
  <si>
    <t>Chisato Doihata</t>
  </si>
  <si>
    <t>Country</t>
  </si>
  <si>
    <t>CHN</t>
  </si>
  <si>
    <t>CAN</t>
  </si>
  <si>
    <t>JPN</t>
  </si>
  <si>
    <t>BLR</t>
  </si>
  <si>
    <t>RUS</t>
  </si>
  <si>
    <t>FRA</t>
  </si>
  <si>
    <t>Bryony Page</t>
  </si>
  <si>
    <t>GBR</t>
  </si>
  <si>
    <t>Reina Satake</t>
  </si>
  <si>
    <t>Camilla Gomes</t>
  </si>
  <si>
    <t>Dafne Navarro Loza</t>
  </si>
  <si>
    <t>Alice Gomes</t>
  </si>
  <si>
    <t>Madaline Davidson</t>
  </si>
  <si>
    <t>Sophiane Méthot</t>
  </si>
  <si>
    <t>Sarah Milette</t>
  </si>
  <si>
    <t>Luba Golovina</t>
  </si>
  <si>
    <t>ESP</t>
  </si>
  <si>
    <t>GEO</t>
  </si>
  <si>
    <t>NZL</t>
  </si>
  <si>
    <t>USA</t>
  </si>
  <si>
    <t>BRA</t>
  </si>
  <si>
    <t>MEX</t>
  </si>
  <si>
    <t>GER</t>
  </si>
  <si>
    <t>UZB</t>
  </si>
  <si>
    <t>AUS</t>
  </si>
  <si>
    <t>SWE</t>
  </si>
  <si>
    <t>Overall Ranking</t>
  </si>
  <si>
    <t>Top Ranked in Country</t>
  </si>
  <si>
    <t>Dylan Schmidt</t>
  </si>
  <si>
    <t>Xueying Zhu</t>
  </si>
  <si>
    <t>POR</t>
  </si>
  <si>
    <t>Pedro Ferreira</t>
  </si>
  <si>
    <t>Allan Morante</t>
  </si>
  <si>
    <t>Blake Rutherford</t>
  </si>
  <si>
    <t>Fabian Vogel</t>
  </si>
  <si>
    <t>Matthais Pfleiderer</t>
  </si>
  <si>
    <t>Aliaksei Shostak</t>
  </si>
  <si>
    <t>Mykola Prostorov</t>
  </si>
  <si>
    <t>UKR</t>
  </si>
  <si>
    <t>ITA</t>
  </si>
  <si>
    <t>KAZ</t>
  </si>
  <si>
    <t>BUL</t>
  </si>
  <si>
    <t>Total of Eligible*</t>
  </si>
  <si>
    <t>*Eligible means: both the top ranked athlete in their country based on World Cups AND not more than the fourth country to earn a second spot.</t>
  </si>
  <si>
    <t>Qualified By Criteria 1 (Worlds)</t>
  </si>
  <si>
    <t>Country Already Qualified</t>
  </si>
  <si>
    <t>Ryosuke Sakai</t>
  </si>
  <si>
    <t>Diogo Abreu</t>
  </si>
  <si>
    <t>Danil Mussabayev</t>
  </si>
  <si>
    <t>POL</t>
  </si>
  <si>
    <t>Pierre Gouzou</t>
  </si>
  <si>
    <t>Benny Wizani</t>
  </si>
  <si>
    <t>AUT</t>
  </si>
  <si>
    <t>Angel Hernandez</t>
  </si>
  <si>
    <t>COL</t>
  </si>
  <si>
    <t>DEN</t>
  </si>
  <si>
    <t>GRE</t>
  </si>
  <si>
    <t>Hikaru Mori</t>
  </si>
  <si>
    <t>Xinyi Fan</t>
  </si>
  <si>
    <t>Noemi Romero Rosario</t>
  </si>
  <si>
    <t>SUI</t>
  </si>
  <si>
    <t>Jessica Stevens</t>
  </si>
  <si>
    <t>Tie Break 1 (Low Wins)</t>
  </si>
  <si>
    <t>Tie Break 2 (High Wins)</t>
  </si>
  <si>
    <t>Isabelle Songhurst</t>
  </si>
  <si>
    <t>NED</t>
  </si>
  <si>
    <t>TUR</t>
  </si>
  <si>
    <t>Léa Labrousse</t>
  </si>
  <si>
    <t>Langyu Yan</t>
  </si>
  <si>
    <t>Rayan Dutra</t>
  </si>
  <si>
    <t>Julian Chartier</t>
  </si>
  <si>
    <t>Sort Athletes Into Ranking Order</t>
  </si>
  <si>
    <t>Sort Athletes Alphabetically for Data Entry</t>
  </si>
  <si>
    <t>Rachel Tam</t>
  </si>
  <si>
    <t>Melania Rodriguez</t>
  </si>
  <si>
    <t>Andrew Stamp</t>
  </si>
  <si>
    <t>AZE</t>
  </si>
  <si>
    <t>Continent</t>
  </si>
  <si>
    <t>Asia</t>
  </si>
  <si>
    <t>Europe</t>
  </si>
  <si>
    <t>Americas</t>
  </si>
  <si>
    <t>Oceana</t>
  </si>
  <si>
    <t>Africa</t>
  </si>
  <si>
    <t>Men</t>
  </si>
  <si>
    <t>Women</t>
  </si>
  <si>
    <t>Confirmed from Worlds/Continental Championships</t>
  </si>
  <si>
    <t>In Qualifying Position</t>
  </si>
  <si>
    <t>Will be Displaced for Continental Representation</t>
  </si>
  <si>
    <t>EGY</t>
  </si>
  <si>
    <t>Ryusei Nishioka</t>
  </si>
  <si>
    <t>Removing athletes bumped for continental representation</t>
  </si>
  <si>
    <t>Continental Representation (before host country/tripartite)</t>
  </si>
  <si>
    <t>POR 2023</t>
  </si>
  <si>
    <t>Host Country/Universality (or Reallocated)</t>
  </si>
  <si>
    <t>Qualified by Criteria 3 (Continental)</t>
  </si>
  <si>
    <t>USA 2023</t>
  </si>
  <si>
    <t>BUL 2023</t>
  </si>
  <si>
    <t>Yicheng Hu</t>
  </si>
  <si>
    <t>Seljan Mahsudova</t>
  </si>
  <si>
    <t>Perle Aubree</t>
  </si>
  <si>
    <t>Abbie Watts</t>
  </si>
  <si>
    <t>Mariam Ragimovi</t>
  </si>
  <si>
    <t>Cheyenne Sarah Webster</t>
  </si>
  <si>
    <t>Ingrid Maior</t>
  </si>
  <si>
    <t>Imogen Florian</t>
  </si>
  <si>
    <t>Hristina Peneva</t>
  </si>
  <si>
    <t>Teona Janjgava</t>
  </si>
  <si>
    <t>Zisai Wang</t>
  </si>
  <si>
    <t>Longyu He</t>
  </si>
  <si>
    <t>Yuming Li</t>
  </si>
  <si>
    <t>Zak Perzamanos</t>
  </si>
  <si>
    <t>Hiroto Unno</t>
  </si>
  <si>
    <t>Gabriel Albuquerque</t>
  </si>
  <si>
    <t>Matthais Schuldt</t>
  </si>
  <si>
    <t>Rémi Aubin</t>
  </si>
  <si>
    <t>Anton Davydenko</t>
  </si>
  <si>
    <t>Lucas Santos</t>
  </si>
  <si>
    <t>Ruben Padilla</t>
  </si>
  <si>
    <t>AZE 2024</t>
  </si>
  <si>
    <t>GER 2024</t>
  </si>
  <si>
    <t>Sofia Correia</t>
  </si>
  <si>
    <t>Cao Yunzhu</t>
  </si>
  <si>
    <t>Aileen Roesler</t>
  </si>
  <si>
    <t>Romana Schuring</t>
  </si>
  <si>
    <t>Jessica Pickering</t>
  </si>
  <si>
    <t>Anano Apakidze</t>
  </si>
  <si>
    <t>Hayato Miyano</t>
  </si>
  <si>
    <t>Shaun Swadling</t>
  </si>
  <si>
    <t>Tie Break 3 (Low Wins)</t>
  </si>
  <si>
    <t>Tie Break 4 (High Wins)</t>
  </si>
  <si>
    <t>Tie Break 4 Required</t>
  </si>
  <si>
    <t>David Vega</t>
  </si>
  <si>
    <t>Jorge Martin</t>
  </si>
  <si>
    <t>Dmytro Rozhko</t>
  </si>
  <si>
    <t>Isaac Rowley</t>
  </si>
  <si>
    <t>Jérémy Chartier</t>
  </si>
  <si>
    <t>Marios Grapsas</t>
  </si>
  <si>
    <t>-</t>
  </si>
  <si>
    <t>Leonie Adam</t>
  </si>
  <si>
    <t>Kiko Tanaka</t>
  </si>
  <si>
    <t>Viktoriya Butolina</t>
  </si>
  <si>
    <t>Catarina Marianito Nunes</t>
  </si>
  <si>
    <t>P</t>
  </si>
  <si>
    <t>Stanislau Yaskevich</t>
  </si>
  <si>
    <t>AIN (RUS)</t>
  </si>
  <si>
    <t>AIN (BLR)</t>
  </si>
  <si>
    <t>Ivan Litvinovitch</t>
  </si>
  <si>
    <t>Kirill Kozlov</t>
  </si>
  <si>
    <t>Andrei Builou</t>
  </si>
  <si>
    <t>Aleh Rabtsau</t>
  </si>
  <si>
    <t>Danila Kazimov</t>
  </si>
  <si>
    <t>Clea Brousse</t>
  </si>
  <si>
    <t>Lila Kasapoglou</t>
  </si>
  <si>
    <t>Viyaleta Bardzilouskaya</t>
  </si>
  <si>
    <t>Iana Lebedeva</t>
  </si>
  <si>
    <t>Anzhela Bladtceva</t>
  </si>
  <si>
    <t>Tong Bao</t>
  </si>
  <si>
    <t>Katsiaryna Yarshova</t>
  </si>
  <si>
    <t>Maryia Siarheyeva</t>
  </si>
  <si>
    <t>Qianqi Lin</t>
  </si>
  <si>
    <t>Brock Batty</t>
  </si>
  <si>
    <t>Marine Jurbert</t>
  </si>
  <si>
    <t>Nicole Ahsinger</t>
  </si>
  <si>
    <t>Corey Walkes</t>
  </si>
  <si>
    <t>David Franco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</si>
</sst>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Wingdings 2"/>
      <charset val="2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/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2" borderId="0" xfId="0" applyFill="1"/>
    <xf numFmtId="0" fontId="0" fillId="2" borderId="1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2" xfId="0" applyFill="1" applyBorder="1" applyAlignment="1">
      <alignment horizontal="center"/>
    </xf>
    <xf numFmtId="1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164" fontId="0" fillId="0" borderId="0" xfId="0" applyNumberFormat="1"/>
    <xf numFmtId="0" fontId="0" fillId="2" borderId="0" xfId="0" applyFill="1" applyAlignment="1">
      <alignment horizontal="center" vertical="center"/>
    </xf>
    <xf numFmtId="0" fontId="0" fillId="2" borderId="1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2" xfId="0" applyFill="1" applyBorder="1" applyAlignment="1">
      <alignment horizontal="center"/>
    </xf>
    <xf numFmtId="0" fontId="1" fillId="2" borderId="2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0" fillId="2" borderId="0" xfId="0" applyFill="1" applyAlignment="1">
      <alignment horizontal="center" wrapText="1"/>
    </xf>
    <xf numFmtId="0" fontId="0" fillId="0" borderId="0" xfId="0" applyAlignment="1">
      <alignment horizontal="center"/>
    </xf>
  </cellXfs>
  <cellStyles count="1">
    <cellStyle name="Normal" xfId="0" builtinId="0"/>
  </cellStyles>
  <dxfs count="18">
    <dxf>
      <font>
        <color theme="5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border>
        <right style="thin">
          <color auto="1"/>
        </right>
        <vertical/>
        <horizontal/>
      </border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border>
        <right style="thin">
          <color auto="1"/>
        </right>
        <vertical/>
        <horizontal/>
      </border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12700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Rank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12700</xdr:rowOff>
        </xdr:from>
        <xdr:to>
          <xdr:col>1</xdr:col>
          <xdr:colOff>0</xdr:colOff>
          <xdr:row>1</xdr:row>
          <xdr:rowOff>203200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Alphabetical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3E7C78-F112-754D-B584-7E2AB3329687}">
  <sheetPr codeName="Sheet1"/>
  <dimension ref="A1:AF64"/>
  <sheetViews>
    <sheetView tabSelected="1" zoomScaleNormal="100" workbookViewId="0">
      <pane xSplit="3" topLeftCell="D1" activePane="topRight" state="frozen"/>
      <selection pane="topRight" activeCell="A3" sqref="A3"/>
    </sheetView>
  </sheetViews>
  <sheetFormatPr baseColWidth="10" defaultRowHeight="16" x14ac:dyDescent="0.2"/>
  <cols>
    <col min="1" max="1" width="26.6640625" style="7" customWidth="1"/>
    <col min="2" max="2" width="9.5" style="6" bestFit="1" customWidth="1"/>
    <col min="3" max="3" width="9" style="6" bestFit="1" customWidth="1"/>
    <col min="4" max="4" width="16.5" style="5" bestFit="1" customWidth="1"/>
    <col min="5" max="5" width="17.6640625" style="5" bestFit="1" customWidth="1"/>
    <col min="6" max="6" width="22.83203125" style="5" customWidth="1"/>
    <col min="7" max="7" width="10.83203125" style="4"/>
    <col min="8" max="12" width="10.83203125" style="7"/>
    <col min="18" max="18" width="11.6640625" bestFit="1" customWidth="1"/>
    <col min="19" max="19" width="10.83203125" style="2"/>
    <col min="20" max="20" width="14" style="2" bestFit="1" customWidth="1"/>
    <col min="21" max="21" width="10.83203125" style="12"/>
    <col min="22" max="24" width="10.83203125" hidden="1" customWidth="1"/>
    <col min="25" max="25" width="10.83203125" style="14" hidden="1" customWidth="1"/>
    <col min="26" max="26" width="10.83203125" hidden="1" customWidth="1"/>
  </cols>
  <sheetData>
    <row r="1" spans="1:32" s="8" customFormat="1" ht="16" customHeight="1" x14ac:dyDescent="0.2">
      <c r="A1" s="15" t="s">
        <v>0</v>
      </c>
      <c r="B1" s="15" t="s">
        <v>5</v>
      </c>
      <c r="C1" s="15" t="s">
        <v>83</v>
      </c>
      <c r="D1" s="20" t="s">
        <v>50</v>
      </c>
      <c r="E1" s="20" t="s">
        <v>100</v>
      </c>
      <c r="F1" s="20" t="s">
        <v>99</v>
      </c>
      <c r="G1" s="19" t="s">
        <v>32</v>
      </c>
      <c r="H1" s="16" t="s">
        <v>1</v>
      </c>
      <c r="I1" s="17"/>
      <c r="J1" s="17"/>
      <c r="K1" s="17"/>
      <c r="L1" s="18"/>
      <c r="M1" s="16" t="s">
        <v>2</v>
      </c>
      <c r="N1" s="17"/>
      <c r="O1" s="17"/>
      <c r="P1" s="17"/>
      <c r="Q1" s="18"/>
      <c r="R1" s="15" t="s">
        <v>3</v>
      </c>
      <c r="S1" s="20" t="s">
        <v>33</v>
      </c>
      <c r="T1" s="22" t="s">
        <v>51</v>
      </c>
      <c r="U1" s="20" t="s">
        <v>48</v>
      </c>
      <c r="V1" s="20" t="s">
        <v>68</v>
      </c>
      <c r="W1" s="20" t="s">
        <v>69</v>
      </c>
      <c r="X1" s="20" t="s">
        <v>134</v>
      </c>
      <c r="Y1" s="20" t="s">
        <v>135</v>
      </c>
      <c r="Z1" s="20" t="s">
        <v>136</v>
      </c>
      <c r="AA1" s="21" t="s">
        <v>49</v>
      </c>
      <c r="AB1" s="21"/>
      <c r="AC1" s="21"/>
      <c r="AD1" s="21"/>
      <c r="AE1" s="21"/>
      <c r="AF1" s="21"/>
    </row>
    <row r="2" spans="1:32" s="8" customFormat="1" ht="16" customHeight="1" x14ac:dyDescent="0.2">
      <c r="A2" s="15"/>
      <c r="B2" s="15"/>
      <c r="C2" s="15"/>
      <c r="D2" s="20"/>
      <c r="E2" s="20"/>
      <c r="F2" s="20"/>
      <c r="G2" s="19"/>
      <c r="H2" s="9" t="s">
        <v>98</v>
      </c>
      <c r="I2" s="10" t="s">
        <v>101</v>
      </c>
      <c r="J2" s="10" t="s">
        <v>102</v>
      </c>
      <c r="K2" s="10" t="s">
        <v>124</v>
      </c>
      <c r="L2" s="11" t="s">
        <v>125</v>
      </c>
      <c r="M2" s="9" t="str">
        <f>H2</f>
        <v>POR 2023</v>
      </c>
      <c r="N2" s="10" t="str">
        <f>I2</f>
        <v>USA 2023</v>
      </c>
      <c r="O2" s="10" t="str">
        <f t="shared" ref="O2:P2" si="0">J2</f>
        <v>BUL 2023</v>
      </c>
      <c r="P2" s="10" t="str">
        <f t="shared" si="0"/>
        <v>AZE 2024</v>
      </c>
      <c r="Q2" s="11" t="str">
        <f>L2</f>
        <v>GER 2024</v>
      </c>
      <c r="R2" s="15"/>
      <c r="S2" s="20"/>
      <c r="T2" s="22"/>
      <c r="U2" s="20"/>
      <c r="V2" s="20"/>
      <c r="W2" s="20"/>
      <c r="X2" s="20"/>
      <c r="Y2" s="20"/>
      <c r="Z2" s="20"/>
      <c r="AA2" s="21"/>
      <c r="AB2" s="21"/>
      <c r="AC2" s="21"/>
      <c r="AD2" s="21"/>
      <c r="AE2" s="21"/>
      <c r="AF2" s="21"/>
    </row>
    <row r="3" spans="1:32" x14ac:dyDescent="0.2">
      <c r="A3" s="7" t="s">
        <v>103</v>
      </c>
      <c r="B3" s="6" t="s">
        <v>6</v>
      </c>
      <c r="C3" s="6" t="str">
        <f>IF(A3="","",VLOOKUP(B3,'Continental Affiliation'!A:B,2,0))</f>
        <v>Asia</v>
      </c>
      <c r="D3" s="5" t="s">
        <v>148</v>
      </c>
      <c r="G3" s="3" t="str">
        <f>IF(U3="","",RANK(U3,U:U)+COUNTIF(D:E,"P"))</f>
        <v/>
      </c>
      <c r="H3" s="6">
        <v>9</v>
      </c>
      <c r="I3" s="6">
        <v>1</v>
      </c>
      <c r="J3" s="6">
        <v>2</v>
      </c>
      <c r="K3" s="6">
        <v>4</v>
      </c>
      <c r="L3" s="6">
        <v>1</v>
      </c>
      <c r="M3" s="1">
        <f>IF(OR(H3="",H3&gt;30),"",IF(H3=1,60,IF(H3=2,55,IF(H3=3,50,IF(H3=4,44,IF(H3=5,38,IF(H3=6,32,IF(H3=7,28,IF(H3=8,25,IF(H3=9,22,IF(H3=10,21,IF(H3=11,20,IF(H3=12,19,IF(H3=13,18,IF(H3=14,17,IF(H3=15,16,IF(H3=16,15,IF(H3=17,14,IF(H3=18,13,IF(H3=19,12,IF(H3=20,11,IF(H3=21,10,IF(H3=22,9,IF(H3=23,8,IF(H3=24,7,IF(H3=25,6,IF(H3=26,5,IF(H3=27,4,IF(H3=28,3,IF(H3=29,2,IF(H3=30,1)))))))))))))))))))))))))))))))</f>
        <v>22</v>
      </c>
      <c r="N3" s="1">
        <f>IF(OR(I3="",I3&gt;30),"",IF(I3=1,60,IF(I3=2,55,IF(I3=3,50,IF(I3=4,44,IF(I3=5,38,IF(I3=6,32,IF(I3=7,28,IF(I3=8,25,IF(I3=9,22,IF(I3=10,21,IF(I3=11,20,IF(I3=12,19,IF(I3=13,18,IF(I3=14,17,IF(I3=15,16,IF(I3=16,15,IF(I3=17,14,IF(I3=18,13,IF(I3=19,12,IF(I3=20,11,IF(I3=21,10,IF(I3=22,9,IF(I3=23,8,IF(I3=24,7,IF(I3=25,6,IF(I3=26,5,IF(I3=27,4,IF(I3=28,3,IF(I3=29,2,IF(I3=30,1)))))))))))))))))))))))))))))))</f>
        <v>60</v>
      </c>
      <c r="O3" s="1">
        <f>IF(OR(J3="",J3&gt;30),"",IF(J3=1,60,IF(J3=2,55,IF(J3=3,50,IF(J3=4,44,IF(J3=5,38,IF(J3=6,32,IF(J3=7,28,IF(J3=8,25,IF(J3=9,22,IF(J3=10,21,IF(J3=11,20,IF(J3=12,19,IF(J3=13,18,IF(J3=14,17,IF(J3=15,16,IF(J3=16,15,IF(J3=17,14,IF(J3=18,13,IF(J3=19,12,IF(J3=20,11,IF(J3=21,10,IF(J3=22,9,IF(J3=23,8,IF(J3=24,7,IF(J3=25,6,IF(J3=26,5,IF(J3=27,4,IF(J3=28,3,IF(J3=29,2,IF(J3=30,1)))))))))))))))))))))))))))))))</f>
        <v>55</v>
      </c>
      <c r="P3" s="1">
        <f>IF(OR(K3="",K3&gt;30),"",IF(K3=1,60,IF(K3=2,55,IF(K3=3,50,IF(K3=4,44,IF(K3=5,38,IF(K3=6,32,IF(K3=7,28,IF(K3=8,25,IF(K3=9,22,IF(K3=10,21,IF(K3=11,20,IF(K3=12,19,IF(K3=13,18,IF(K3=14,17,IF(K3=15,16,IF(K3=16,15,IF(K3=17,14,IF(K3=18,13,IF(K3=19,12,IF(K3=20,11,IF(K3=21,10,IF(K3=22,9,IF(K3=23,8,IF(K3=24,7,IF(K3=25,6,IF(K3=26,5,IF(K3=27,4,IF(K3=28,3,IF(K3=29,2,IF(K3=30,1)))))))))))))))))))))))))))))))</f>
        <v>44</v>
      </c>
      <c r="Q3" s="1">
        <f>IF(OR(L3="",L3&gt;30),"",IF(L3=1,60,IF(L3=2,55,IF(L3=3,50,IF(L3=4,44,IF(L3=5,38,IF(L3=6,32,IF(L3=7,28,IF(L3=8,25,IF(L3=9,22,IF(L3=10,21,IF(L3=11,20,IF(L3=12,19,IF(L3=13,18,IF(L3=14,17,IF(L3=15,16,IF(L3=16,15,IF(L3=17,14,IF(L3=18,13,IF(L3=19,12,IF(L3=20,11,IF(L3=21,10,IF(L3=22,9,IF(L3=23,8,IF(L3=24,7,IF(L3=25,6,IF(L3=26,5,IF(L3=27,4,IF(L3=28,3,IF(L3=29,2,IF(L3=30,1)))))))))))))))))))))))))))))))</f>
        <v>60</v>
      </c>
      <c r="R3" s="12" t="str">
        <f>IF(A3="","",IF(OR(D3="P",E3="P"),"",IF(COUNT(M3:Q3)&lt;3,SUM(M3:Q3),LARGE(M3:Q3,1)+LARGE(M3:Q3,2))+(1000-V3)*10^-4+W3*10^-5+(100-X3)*10^-8+Y3*10^-10))</f>
        <v/>
      </c>
      <c r="S3" s="2" t="str">
        <f>IF(OR(R3="",R3=0),"",IF(SUMPRODUCT(--(B$3:B$64=B3),--(R$3:R$64&gt;R3),--(R$3:R$64&lt;&gt;"")),"","P"))</f>
        <v/>
      </c>
      <c r="T3" s="2" t="str" cm="1">
        <f t="array" ref="T3">IF(R3="","",IF(SUMPRODUCT(--(D$3:D$64="P"),--(B$3:B$64=B3)),"P",""))</f>
        <v/>
      </c>
      <c r="U3" s="12" t="str">
        <f>IF(AND(S3&lt;&gt;"",OR(T3="",COUNTIF(R$3:R$64,"&gt;"&amp;R3)&lt;3)),R3,"")</f>
        <v/>
      </c>
      <c r="V3" s="1">
        <f>IF(COUNT(H3:L3)&lt;3,SUM(H3:L3),SMALL(H3:L3,1)+SMALL(H3:L3,2))</f>
        <v>2</v>
      </c>
      <c r="W3" s="1">
        <f>COUNTIF(H3:L3,"&lt;=8")</f>
        <v>4</v>
      </c>
      <c r="X3" s="1">
        <f>MIN(H3:L3)</f>
        <v>1</v>
      </c>
      <c r="Y3" s="13">
        <v>56.74</v>
      </c>
      <c r="Z3" s="2" t="str">
        <f>IF(OR(R3=R2,R3=R4),"P","")</f>
        <v>P</v>
      </c>
    </row>
    <row r="4" spans="1:32" x14ac:dyDescent="0.2">
      <c r="A4" s="7" t="s">
        <v>19</v>
      </c>
      <c r="B4" s="6" t="s">
        <v>7</v>
      </c>
      <c r="C4" s="6" t="str">
        <f>IF(A4="","",VLOOKUP(B4,'Continental Affiliation'!A:B,2,0))</f>
        <v>Americas</v>
      </c>
      <c r="D4" s="5" t="s">
        <v>148</v>
      </c>
      <c r="G4" s="3" t="str">
        <f>IF(U4="","",RANK(U4,U:U)+COUNTIF(D:E,"P"))</f>
        <v/>
      </c>
      <c r="H4" s="6">
        <v>7</v>
      </c>
      <c r="I4" s="6">
        <v>15</v>
      </c>
      <c r="J4" s="6">
        <v>4</v>
      </c>
      <c r="K4" s="6">
        <v>8</v>
      </c>
      <c r="L4" s="6">
        <v>37</v>
      </c>
      <c r="M4" s="1">
        <f>IF(OR(H4="",H4&gt;30),"",IF(H4=1,60,IF(H4=2,55,IF(H4=3,50,IF(H4=4,44,IF(H4=5,38,IF(H4=6,32,IF(H4=7,28,IF(H4=8,25,IF(H4=9,22,IF(H4=10,21,IF(H4=11,20,IF(H4=12,19,IF(H4=13,18,IF(H4=14,17,IF(H4=15,16,IF(H4=16,15,IF(H4=17,14,IF(H4=18,13,IF(H4=19,12,IF(H4=20,11,IF(H4=21,10,IF(H4=22,9,IF(H4=23,8,IF(H4=24,7,IF(H4=25,6,IF(H4=26,5,IF(H4=27,4,IF(H4=28,3,IF(H4=29,2,IF(H4=30,1)))))))))))))))))))))))))))))))</f>
        <v>28</v>
      </c>
      <c r="N4" s="1">
        <f>IF(OR(I4="",I4&gt;30),"",IF(I4=1,60,IF(I4=2,55,IF(I4=3,50,IF(I4=4,44,IF(I4=5,38,IF(I4=6,32,IF(I4=7,28,IF(I4=8,25,IF(I4=9,22,IF(I4=10,21,IF(I4=11,20,IF(I4=12,19,IF(I4=13,18,IF(I4=14,17,IF(I4=15,16,IF(I4=16,15,IF(I4=17,14,IF(I4=18,13,IF(I4=19,12,IF(I4=20,11,IF(I4=21,10,IF(I4=22,9,IF(I4=23,8,IF(I4=24,7,IF(I4=25,6,IF(I4=26,5,IF(I4=27,4,IF(I4=28,3,IF(I4=29,2,IF(I4=30,1)))))))))))))))))))))))))))))))</f>
        <v>16</v>
      </c>
      <c r="O4" s="1">
        <f>IF(OR(J4="",J4&gt;30),"",IF(J4=1,60,IF(J4=2,55,IF(J4=3,50,IF(J4=4,44,IF(J4=5,38,IF(J4=6,32,IF(J4=7,28,IF(J4=8,25,IF(J4=9,22,IF(J4=10,21,IF(J4=11,20,IF(J4=12,19,IF(J4=13,18,IF(J4=14,17,IF(J4=15,16,IF(J4=16,15,IF(J4=17,14,IF(J4=18,13,IF(J4=19,12,IF(J4=20,11,IF(J4=21,10,IF(J4=22,9,IF(J4=23,8,IF(J4=24,7,IF(J4=25,6,IF(J4=26,5,IF(J4=27,4,IF(J4=28,3,IF(J4=29,2,IF(J4=30,1)))))))))))))))))))))))))))))))</f>
        <v>44</v>
      </c>
      <c r="P4" s="1">
        <f>IF(OR(K4="",K4&gt;30),"",IF(K4=1,60,IF(K4=2,55,IF(K4=3,50,IF(K4=4,44,IF(K4=5,38,IF(K4=6,32,IF(K4=7,28,IF(K4=8,25,IF(K4=9,22,IF(K4=10,21,IF(K4=11,20,IF(K4=12,19,IF(K4=13,18,IF(K4=14,17,IF(K4=15,16,IF(K4=16,15,IF(K4=17,14,IF(K4=18,13,IF(K4=19,12,IF(K4=20,11,IF(K4=21,10,IF(K4=22,9,IF(K4=23,8,IF(K4=24,7,IF(K4=25,6,IF(K4=26,5,IF(K4=27,4,IF(K4=28,3,IF(K4=29,2,IF(K4=30,1)))))))))))))))))))))))))))))))</f>
        <v>25</v>
      </c>
      <c r="Q4" s="1" t="str">
        <f>IF(OR(L4="",L4&gt;30),"",IF(L4=1,60,IF(L4=2,55,IF(L4=3,50,IF(L4=4,44,IF(L4=5,38,IF(L4=6,32,IF(L4=7,28,IF(L4=8,25,IF(L4=9,22,IF(L4=10,21,IF(L4=11,20,IF(L4=12,19,IF(L4=13,18,IF(L4=14,17,IF(L4=15,16,IF(L4=16,15,IF(L4=17,14,IF(L4=18,13,IF(L4=19,12,IF(L4=20,11,IF(L4=21,10,IF(L4=22,9,IF(L4=23,8,IF(L4=24,7,IF(L4=25,6,IF(L4=26,5,IF(L4=27,4,IF(L4=28,3,IF(L4=29,2,IF(L4=30,1)))))))))))))))))))))))))))))))</f>
        <v/>
      </c>
      <c r="R4" s="12" t="str">
        <f>IF(A4="","",IF(OR(D4="P",E4="P"),"",IF(COUNT(M4:Q4)&lt;3,SUM(M4:Q4),LARGE(M4:Q4,1)+LARGE(M4:Q4,2))+(1000-V4)*10^-4+W4*10^-5+(100-X4)*10^-8+Y4*10^-10))</f>
        <v/>
      </c>
      <c r="S4" s="2" t="str">
        <f>IF(OR(R4="",R4=0),"",IF(SUMPRODUCT(--(B$3:B$64=B4),--(R$3:R$64&gt;R4),--(R$3:R$64&lt;&gt;"")),"","P"))</f>
        <v/>
      </c>
      <c r="T4" s="2" t="str" cm="1">
        <f t="array" ref="T4">IF(R4="","",IF(SUMPRODUCT(--(D$3:D$64="P"),--(B$3:B$64=B4)),"P",""))</f>
        <v/>
      </c>
      <c r="U4" s="12" t="str">
        <f>IF(AND(S4&lt;&gt;"",OR(T4="",COUNTIF(R$3:R$64,"&gt;"&amp;R4)&lt;3)),R4,"")</f>
        <v/>
      </c>
      <c r="V4" s="1">
        <f>IF(COUNT(H4:L4)&lt;3,SUM(H4:L4),SMALL(H4:L4,1)+SMALL(H4:L4,2))</f>
        <v>11</v>
      </c>
      <c r="W4" s="1">
        <f>COUNTIF(H4:L4,"&lt;=8")</f>
        <v>3</v>
      </c>
      <c r="X4" s="1">
        <f>MIN(H4:L4)</f>
        <v>4</v>
      </c>
      <c r="Y4" s="13"/>
      <c r="Z4" s="2" t="str">
        <f>IF(OR(R4=R3,R4=R5),"P","")</f>
        <v>P</v>
      </c>
    </row>
    <row r="5" spans="1:32" x14ac:dyDescent="0.2">
      <c r="A5" s="7" t="s">
        <v>67</v>
      </c>
      <c r="B5" s="6" t="s">
        <v>25</v>
      </c>
      <c r="C5" s="6" t="str">
        <f>IF(A5="","",VLOOKUP(B5,'Continental Affiliation'!A:B,2,0))</f>
        <v>Americas</v>
      </c>
      <c r="D5" s="5" t="s">
        <v>148</v>
      </c>
      <c r="G5" s="3" t="str">
        <f>IF(U5="","",RANK(U5,U:U)+COUNTIF(D:E,"P"))</f>
        <v/>
      </c>
      <c r="H5" s="6">
        <v>23</v>
      </c>
      <c r="I5" s="6">
        <v>10</v>
      </c>
      <c r="J5" s="6">
        <v>6</v>
      </c>
      <c r="K5" s="6" t="s">
        <v>143</v>
      </c>
      <c r="L5" s="6">
        <v>7</v>
      </c>
      <c r="M5" s="1">
        <f>IF(OR(H5="",H5&gt;30),"",IF(H5=1,60,IF(H5=2,55,IF(H5=3,50,IF(H5=4,44,IF(H5=5,38,IF(H5=6,32,IF(H5=7,28,IF(H5=8,25,IF(H5=9,22,IF(H5=10,21,IF(H5=11,20,IF(H5=12,19,IF(H5=13,18,IF(H5=14,17,IF(H5=15,16,IF(H5=16,15,IF(H5=17,14,IF(H5=18,13,IF(H5=19,12,IF(H5=20,11,IF(H5=21,10,IF(H5=22,9,IF(H5=23,8,IF(H5=24,7,IF(H5=25,6,IF(H5=26,5,IF(H5=27,4,IF(H5=28,3,IF(H5=29,2,IF(H5=30,1)))))))))))))))))))))))))))))))</f>
        <v>8</v>
      </c>
      <c r="N5" s="1">
        <f>IF(OR(I5="",I5&gt;30),"",IF(I5=1,60,IF(I5=2,55,IF(I5=3,50,IF(I5=4,44,IF(I5=5,38,IF(I5=6,32,IF(I5=7,28,IF(I5=8,25,IF(I5=9,22,IF(I5=10,21,IF(I5=11,20,IF(I5=12,19,IF(I5=13,18,IF(I5=14,17,IF(I5=15,16,IF(I5=16,15,IF(I5=17,14,IF(I5=18,13,IF(I5=19,12,IF(I5=20,11,IF(I5=21,10,IF(I5=22,9,IF(I5=23,8,IF(I5=24,7,IF(I5=25,6,IF(I5=26,5,IF(I5=27,4,IF(I5=28,3,IF(I5=29,2,IF(I5=30,1)))))))))))))))))))))))))))))))</f>
        <v>21</v>
      </c>
      <c r="O5" s="1">
        <f>IF(OR(J5="",J5&gt;30),"",IF(J5=1,60,IF(J5=2,55,IF(J5=3,50,IF(J5=4,44,IF(J5=5,38,IF(J5=6,32,IF(J5=7,28,IF(J5=8,25,IF(J5=9,22,IF(J5=10,21,IF(J5=11,20,IF(J5=12,19,IF(J5=13,18,IF(J5=14,17,IF(J5=15,16,IF(J5=16,15,IF(J5=17,14,IF(J5=18,13,IF(J5=19,12,IF(J5=20,11,IF(J5=21,10,IF(J5=22,9,IF(J5=23,8,IF(J5=24,7,IF(J5=25,6,IF(J5=26,5,IF(J5=27,4,IF(J5=28,3,IF(J5=29,2,IF(J5=30,1)))))))))))))))))))))))))))))))</f>
        <v>32</v>
      </c>
      <c r="P5" s="1" t="str">
        <f>IF(OR(K5="",K5&gt;30),"",IF(K5=1,60,IF(K5=2,55,IF(K5=3,50,IF(K5=4,44,IF(K5=5,38,IF(K5=6,32,IF(K5=7,28,IF(K5=8,25,IF(K5=9,22,IF(K5=10,21,IF(K5=11,20,IF(K5=12,19,IF(K5=13,18,IF(K5=14,17,IF(K5=15,16,IF(K5=16,15,IF(K5=17,14,IF(K5=18,13,IF(K5=19,12,IF(K5=20,11,IF(K5=21,10,IF(K5=22,9,IF(K5=23,8,IF(K5=24,7,IF(K5=25,6,IF(K5=26,5,IF(K5=27,4,IF(K5=28,3,IF(K5=29,2,IF(K5=30,1)))))))))))))))))))))))))))))))</f>
        <v/>
      </c>
      <c r="Q5" s="1">
        <f>IF(OR(L5="",L5&gt;30),"",IF(L5=1,60,IF(L5=2,55,IF(L5=3,50,IF(L5=4,44,IF(L5=5,38,IF(L5=6,32,IF(L5=7,28,IF(L5=8,25,IF(L5=9,22,IF(L5=10,21,IF(L5=11,20,IF(L5=12,19,IF(L5=13,18,IF(L5=14,17,IF(L5=15,16,IF(L5=16,15,IF(L5=17,14,IF(L5=18,13,IF(L5=19,12,IF(L5=20,11,IF(L5=21,10,IF(L5=22,9,IF(L5=23,8,IF(L5=24,7,IF(L5=25,6,IF(L5=26,5,IF(L5=27,4,IF(L5=28,3,IF(L5=29,2,IF(L5=30,1)))))))))))))))))))))))))))))))</f>
        <v>28</v>
      </c>
      <c r="R5" s="12" t="str">
        <f>IF(A5="","",IF(OR(D5="P",E5="P"),"",IF(COUNT(M5:Q5)&lt;3,SUM(M5:Q5),LARGE(M5:Q5,1)+LARGE(M5:Q5,2))+(1000-V5)*10^-4+W5*10^-5+(100-X5)*10^-8+Y5*10^-10))</f>
        <v/>
      </c>
      <c r="S5" s="2" t="str">
        <f>IF(OR(R5="",R5=0),"",IF(SUMPRODUCT(--(B$3:B$64=B5),--(R$3:R$64&gt;R5),--(R$3:R$64&lt;&gt;"")),"","P"))</f>
        <v/>
      </c>
      <c r="T5" s="2" t="str" cm="1">
        <f t="array" ref="T5">IF(R5="","",IF(SUMPRODUCT(--(D$3:D$64="P"),--(B$3:B$64=B5)),"P",""))</f>
        <v/>
      </c>
      <c r="U5" s="12" t="str">
        <f>IF(AND(S5&lt;&gt;"",OR(T5="",COUNTIF(R$3:R$64,"&gt;"&amp;R5)&lt;3)),R5,"")</f>
        <v/>
      </c>
      <c r="V5" s="1">
        <f>IF(COUNT(H5:L5)&lt;3,SUM(H5:L5),SMALL(H5:L5,1)+SMALL(H5:L5,2))</f>
        <v>13</v>
      </c>
      <c r="W5" s="1">
        <f>COUNTIF(H5:L5,"&lt;=8")</f>
        <v>2</v>
      </c>
      <c r="X5" s="1">
        <f>MIN(H5:L5)</f>
        <v>6</v>
      </c>
      <c r="Y5" s="13"/>
      <c r="Z5" s="2" t="str">
        <f>IF(OR(R5=R4,R5=R6),"P","")</f>
        <v>P</v>
      </c>
    </row>
    <row r="6" spans="1:32" x14ac:dyDescent="0.2">
      <c r="A6" s="7" t="s">
        <v>70</v>
      </c>
      <c r="B6" s="6" t="s">
        <v>13</v>
      </c>
      <c r="C6" s="6" t="str">
        <f>IF(A6="","",VLOOKUP(B6,'Continental Affiliation'!A:B,2,0))</f>
        <v>Europe</v>
      </c>
      <c r="D6" s="5" t="s">
        <v>148</v>
      </c>
      <c r="G6" s="3" t="str">
        <f>IF(U6="","",RANK(U6,U:U)+COUNTIF(D:E,"P"))</f>
        <v/>
      </c>
      <c r="H6" s="6">
        <v>16</v>
      </c>
      <c r="I6" s="6">
        <v>22</v>
      </c>
      <c r="J6" s="6">
        <v>12</v>
      </c>
      <c r="K6" s="6" t="s">
        <v>143</v>
      </c>
      <c r="L6" s="6">
        <v>20</v>
      </c>
      <c r="M6" s="1">
        <f>IF(OR(H6="",H6&gt;30),"",IF(H6=1,60,IF(H6=2,55,IF(H6=3,50,IF(H6=4,44,IF(H6=5,38,IF(H6=6,32,IF(H6=7,28,IF(H6=8,25,IF(H6=9,22,IF(H6=10,21,IF(H6=11,20,IF(H6=12,19,IF(H6=13,18,IF(H6=14,17,IF(H6=15,16,IF(H6=16,15,IF(H6=17,14,IF(H6=18,13,IF(H6=19,12,IF(H6=20,11,IF(H6=21,10,IF(H6=22,9,IF(H6=23,8,IF(H6=24,7,IF(H6=25,6,IF(H6=26,5,IF(H6=27,4,IF(H6=28,3,IF(H6=29,2,IF(H6=30,1)))))))))))))))))))))))))))))))</f>
        <v>15</v>
      </c>
      <c r="N6" s="1">
        <f>IF(OR(I6="",I6&gt;30),"",IF(I6=1,60,IF(I6=2,55,IF(I6=3,50,IF(I6=4,44,IF(I6=5,38,IF(I6=6,32,IF(I6=7,28,IF(I6=8,25,IF(I6=9,22,IF(I6=10,21,IF(I6=11,20,IF(I6=12,19,IF(I6=13,18,IF(I6=14,17,IF(I6=15,16,IF(I6=16,15,IF(I6=17,14,IF(I6=18,13,IF(I6=19,12,IF(I6=20,11,IF(I6=21,10,IF(I6=22,9,IF(I6=23,8,IF(I6=24,7,IF(I6=25,6,IF(I6=26,5,IF(I6=27,4,IF(I6=28,3,IF(I6=29,2,IF(I6=30,1)))))))))))))))))))))))))))))))</f>
        <v>9</v>
      </c>
      <c r="O6" s="1">
        <f>IF(OR(J6="",J6&gt;30),"",IF(J6=1,60,IF(J6=2,55,IF(J6=3,50,IF(J6=4,44,IF(J6=5,38,IF(J6=6,32,IF(J6=7,28,IF(J6=8,25,IF(J6=9,22,IF(J6=10,21,IF(J6=11,20,IF(J6=12,19,IF(J6=13,18,IF(J6=14,17,IF(J6=15,16,IF(J6=16,15,IF(J6=17,14,IF(J6=18,13,IF(J6=19,12,IF(J6=20,11,IF(J6=21,10,IF(J6=22,9,IF(J6=23,8,IF(J6=24,7,IF(J6=25,6,IF(J6=26,5,IF(J6=27,4,IF(J6=28,3,IF(J6=29,2,IF(J6=30,1)))))))))))))))))))))))))))))))</f>
        <v>19</v>
      </c>
      <c r="P6" s="1" t="str">
        <f>IF(OR(K6="",K6&gt;30),"",IF(K6=1,60,IF(K6=2,55,IF(K6=3,50,IF(K6=4,44,IF(K6=5,38,IF(K6=6,32,IF(K6=7,28,IF(K6=8,25,IF(K6=9,22,IF(K6=10,21,IF(K6=11,20,IF(K6=12,19,IF(K6=13,18,IF(K6=14,17,IF(K6=15,16,IF(K6=16,15,IF(K6=17,14,IF(K6=18,13,IF(K6=19,12,IF(K6=20,11,IF(K6=21,10,IF(K6=22,9,IF(K6=23,8,IF(K6=24,7,IF(K6=25,6,IF(K6=26,5,IF(K6=27,4,IF(K6=28,3,IF(K6=29,2,IF(K6=30,1)))))))))))))))))))))))))))))))</f>
        <v/>
      </c>
      <c r="Q6" s="1">
        <f>IF(OR(L6="",L6&gt;30),"",IF(L6=1,60,IF(L6=2,55,IF(L6=3,50,IF(L6=4,44,IF(L6=5,38,IF(L6=6,32,IF(L6=7,28,IF(L6=8,25,IF(L6=9,22,IF(L6=10,21,IF(L6=11,20,IF(L6=12,19,IF(L6=13,18,IF(L6=14,17,IF(L6=15,16,IF(L6=16,15,IF(L6=17,14,IF(L6=18,13,IF(L6=19,12,IF(L6=20,11,IF(L6=21,10,IF(L6=22,9,IF(L6=23,8,IF(L6=24,7,IF(L6=25,6,IF(L6=26,5,IF(L6=27,4,IF(L6=28,3,IF(L6=29,2,IF(L6=30,1)))))))))))))))))))))))))))))))</f>
        <v>11</v>
      </c>
      <c r="R6" s="12" t="str">
        <f>IF(A6="","",IF(OR(D6="P",E6="P"),"",IF(COUNT(M6:Q6)&lt;3,SUM(M6:Q6),LARGE(M6:Q6,1)+LARGE(M6:Q6,2))+(1000-V6)*10^-4+W6*10^-5+(100-X6)*10^-8+Y6*10^-10))</f>
        <v/>
      </c>
      <c r="S6" s="2" t="str">
        <f>IF(OR(R6="",R6=0),"",IF(SUMPRODUCT(--(B$3:B$64=B6),--(R$3:R$64&gt;R6),--(R$3:R$64&lt;&gt;"")),"","P"))</f>
        <v/>
      </c>
      <c r="T6" s="2" t="str" cm="1">
        <f t="array" ref="T6">IF(R6="","",IF(SUMPRODUCT(--(D$3:D$64="P"),--(B$3:B$64=B6)),"P",""))</f>
        <v/>
      </c>
      <c r="U6" s="12" t="str">
        <f>IF(AND(S6&lt;&gt;"",OR(T6="",COUNTIF(R$3:R$64,"&gt;"&amp;R6)&lt;3)),R6,"")</f>
        <v/>
      </c>
      <c r="V6" s="1">
        <f>IF(COUNT(H6:L6)&lt;3,SUM(H6:L6),SMALL(H6:L6,1)+SMALL(H6:L6,2))</f>
        <v>28</v>
      </c>
      <c r="W6" s="1">
        <f>COUNTIF(H6:L6,"&lt;=8")</f>
        <v>0</v>
      </c>
      <c r="X6" s="1">
        <f>MIN(H6:L6)</f>
        <v>12</v>
      </c>
      <c r="Y6" s="13"/>
      <c r="Z6" s="2" t="str">
        <f>IF(OR(R6=R5,R6=R7),"P","")</f>
        <v>P</v>
      </c>
    </row>
    <row r="7" spans="1:32" x14ac:dyDescent="0.2">
      <c r="A7" s="7" t="s">
        <v>17</v>
      </c>
      <c r="B7" s="6" t="s">
        <v>26</v>
      </c>
      <c r="C7" s="6" t="str">
        <f>IF(A7="","",VLOOKUP(B7,'Continental Affiliation'!A:B,2,0))</f>
        <v>Americas</v>
      </c>
      <c r="D7" s="5" t="s">
        <v>148</v>
      </c>
      <c r="G7" s="3" t="str">
        <f>IF(U7="","",RANK(U7,U:U)+COUNTIF(D:E,"P"))</f>
        <v/>
      </c>
      <c r="H7" s="6">
        <v>24</v>
      </c>
      <c r="I7" s="6">
        <v>54</v>
      </c>
      <c r="J7" s="6">
        <v>14</v>
      </c>
      <c r="K7" s="6">
        <v>15</v>
      </c>
      <c r="L7" s="6">
        <v>15</v>
      </c>
      <c r="M7" s="1">
        <f>IF(OR(H7="",H7&gt;30),"",IF(H7=1,60,IF(H7=2,55,IF(H7=3,50,IF(H7=4,44,IF(H7=5,38,IF(H7=6,32,IF(H7=7,28,IF(H7=8,25,IF(H7=9,22,IF(H7=10,21,IF(H7=11,20,IF(H7=12,19,IF(H7=13,18,IF(H7=14,17,IF(H7=15,16,IF(H7=16,15,IF(H7=17,14,IF(H7=18,13,IF(H7=19,12,IF(H7=20,11,IF(H7=21,10,IF(H7=22,9,IF(H7=23,8,IF(H7=24,7,IF(H7=25,6,IF(H7=26,5,IF(H7=27,4,IF(H7=28,3,IF(H7=29,2,IF(H7=30,1)))))))))))))))))))))))))))))))</f>
        <v>7</v>
      </c>
      <c r="N7" s="1" t="str">
        <f>IF(OR(I7="",I7&gt;30),"",IF(I7=1,60,IF(I7=2,55,IF(I7=3,50,IF(I7=4,44,IF(I7=5,38,IF(I7=6,32,IF(I7=7,28,IF(I7=8,25,IF(I7=9,22,IF(I7=10,21,IF(I7=11,20,IF(I7=12,19,IF(I7=13,18,IF(I7=14,17,IF(I7=15,16,IF(I7=16,15,IF(I7=17,14,IF(I7=18,13,IF(I7=19,12,IF(I7=20,11,IF(I7=21,10,IF(I7=22,9,IF(I7=23,8,IF(I7=24,7,IF(I7=25,6,IF(I7=26,5,IF(I7=27,4,IF(I7=28,3,IF(I7=29,2,IF(I7=30,1)))))))))))))))))))))))))))))))</f>
        <v/>
      </c>
      <c r="O7" s="1">
        <f>IF(OR(J7="",J7&gt;30),"",IF(J7=1,60,IF(J7=2,55,IF(J7=3,50,IF(J7=4,44,IF(J7=5,38,IF(J7=6,32,IF(J7=7,28,IF(J7=8,25,IF(J7=9,22,IF(J7=10,21,IF(J7=11,20,IF(J7=12,19,IF(J7=13,18,IF(J7=14,17,IF(J7=15,16,IF(J7=16,15,IF(J7=17,14,IF(J7=18,13,IF(J7=19,12,IF(J7=20,11,IF(J7=21,10,IF(J7=22,9,IF(J7=23,8,IF(J7=24,7,IF(J7=25,6,IF(J7=26,5,IF(J7=27,4,IF(J7=28,3,IF(J7=29,2,IF(J7=30,1)))))))))))))))))))))))))))))))</f>
        <v>17</v>
      </c>
      <c r="P7" s="1">
        <f>IF(OR(K7="",K7&gt;30),"",IF(K7=1,60,IF(K7=2,55,IF(K7=3,50,IF(K7=4,44,IF(K7=5,38,IF(K7=6,32,IF(K7=7,28,IF(K7=8,25,IF(K7=9,22,IF(K7=10,21,IF(K7=11,20,IF(K7=12,19,IF(K7=13,18,IF(K7=14,17,IF(K7=15,16,IF(K7=16,15,IF(K7=17,14,IF(K7=18,13,IF(K7=19,12,IF(K7=20,11,IF(K7=21,10,IF(K7=22,9,IF(K7=23,8,IF(K7=24,7,IF(K7=25,6,IF(K7=26,5,IF(K7=27,4,IF(K7=28,3,IF(K7=29,2,IF(K7=30,1)))))))))))))))))))))))))))))))</f>
        <v>16</v>
      </c>
      <c r="Q7" s="1">
        <f>IF(OR(L7="",L7&gt;30),"",IF(L7=1,60,IF(L7=2,55,IF(L7=3,50,IF(L7=4,44,IF(L7=5,38,IF(L7=6,32,IF(L7=7,28,IF(L7=8,25,IF(L7=9,22,IF(L7=10,21,IF(L7=11,20,IF(L7=12,19,IF(L7=13,18,IF(L7=14,17,IF(L7=15,16,IF(L7=16,15,IF(L7=17,14,IF(L7=18,13,IF(L7=19,12,IF(L7=20,11,IF(L7=21,10,IF(L7=22,9,IF(L7=23,8,IF(L7=24,7,IF(L7=25,6,IF(L7=26,5,IF(L7=27,4,IF(L7=28,3,IF(L7=29,2,IF(L7=30,1)))))))))))))))))))))))))))))))</f>
        <v>16</v>
      </c>
      <c r="R7" s="12" t="str">
        <f>IF(A7="","",IF(OR(D7="P",E7="P"),"",IF(COUNT(M7:Q7)&lt;3,SUM(M7:Q7),LARGE(M7:Q7,1)+LARGE(M7:Q7,2))+(1000-V7)*10^-4+W7*10^-5+(100-X7)*10^-8+Y7*10^-10))</f>
        <v/>
      </c>
      <c r="S7" s="2" t="str">
        <f>IF(OR(R7="",R7=0),"",IF(SUMPRODUCT(--(B$3:B$64=B7),--(R$3:R$64&gt;R7),--(R$3:R$64&lt;&gt;"")),"","P"))</f>
        <v/>
      </c>
      <c r="T7" s="2" t="str" cm="1">
        <f t="array" ref="T7">IF(R7="","",IF(SUMPRODUCT(--(D$3:D$64="P"),--(B$3:B$64=B7)),"P",""))</f>
        <v/>
      </c>
      <c r="U7" s="12" t="str">
        <f>IF(AND(S7&lt;&gt;"",OR(T7="",COUNTIF(R$3:R$64,"&gt;"&amp;R7)&lt;3)),R7,"")</f>
        <v/>
      </c>
      <c r="V7" s="1">
        <f>IF(COUNT(H7:L7)&lt;3,SUM(H7:L7),SMALL(H7:L7,1)+SMALL(H7:L7,2))</f>
        <v>29</v>
      </c>
      <c r="W7" s="1">
        <f>COUNTIF(H7:L7,"&lt;=8")</f>
        <v>0</v>
      </c>
      <c r="X7" s="1">
        <f>MIN(H7:L7)</f>
        <v>14</v>
      </c>
      <c r="Y7" s="13"/>
      <c r="Z7" s="2" t="str">
        <f>IF(OR(R7=R6,R7=R8),"P","")</f>
        <v>P</v>
      </c>
    </row>
    <row r="8" spans="1:32" x14ac:dyDescent="0.2">
      <c r="A8" s="7" t="s">
        <v>35</v>
      </c>
      <c r="B8" s="6" t="s">
        <v>6</v>
      </c>
      <c r="C8" s="6" t="str">
        <f>IF(A8="","",VLOOKUP(B8,'Continental Affiliation'!A:B,2,0))</f>
        <v>Asia</v>
      </c>
      <c r="G8" s="3">
        <f>IF(U8="","",RANK(U8,U:U)+COUNTIF(D:E,"P"))</f>
        <v>6</v>
      </c>
      <c r="H8" s="6">
        <v>2</v>
      </c>
      <c r="I8" s="6">
        <v>3</v>
      </c>
      <c r="J8" s="6">
        <v>1</v>
      </c>
      <c r="K8" s="6">
        <v>1</v>
      </c>
      <c r="L8" s="6">
        <v>2</v>
      </c>
      <c r="M8" s="1">
        <f>IF(OR(H8="",H8&gt;30),"",IF(H8=1,60,IF(H8=2,55,IF(H8=3,50,IF(H8=4,44,IF(H8=5,38,IF(H8=6,32,IF(H8=7,28,IF(H8=8,25,IF(H8=9,22,IF(H8=10,21,IF(H8=11,20,IF(H8=12,19,IF(H8=13,18,IF(H8=14,17,IF(H8=15,16,IF(H8=16,15,IF(H8=17,14,IF(H8=18,13,IF(H8=19,12,IF(H8=20,11,IF(H8=21,10,IF(H8=22,9,IF(H8=23,8,IF(H8=24,7,IF(H8=25,6,IF(H8=26,5,IF(H8=27,4,IF(H8=28,3,IF(H8=29,2,IF(H8=30,1)))))))))))))))))))))))))))))))</f>
        <v>55</v>
      </c>
      <c r="N8" s="1">
        <f>IF(OR(I8="",I8&gt;30),"",IF(I8=1,60,IF(I8=2,55,IF(I8=3,50,IF(I8=4,44,IF(I8=5,38,IF(I8=6,32,IF(I8=7,28,IF(I8=8,25,IF(I8=9,22,IF(I8=10,21,IF(I8=11,20,IF(I8=12,19,IF(I8=13,18,IF(I8=14,17,IF(I8=15,16,IF(I8=16,15,IF(I8=17,14,IF(I8=18,13,IF(I8=19,12,IF(I8=20,11,IF(I8=21,10,IF(I8=22,9,IF(I8=23,8,IF(I8=24,7,IF(I8=25,6,IF(I8=26,5,IF(I8=27,4,IF(I8=28,3,IF(I8=29,2,IF(I8=30,1)))))))))))))))))))))))))))))))</f>
        <v>50</v>
      </c>
      <c r="O8" s="1">
        <f>IF(OR(J8="",J8&gt;30),"",IF(J8=1,60,IF(J8=2,55,IF(J8=3,50,IF(J8=4,44,IF(J8=5,38,IF(J8=6,32,IF(J8=7,28,IF(J8=8,25,IF(J8=9,22,IF(J8=10,21,IF(J8=11,20,IF(J8=12,19,IF(J8=13,18,IF(J8=14,17,IF(J8=15,16,IF(J8=16,15,IF(J8=17,14,IF(J8=18,13,IF(J8=19,12,IF(J8=20,11,IF(J8=21,10,IF(J8=22,9,IF(J8=23,8,IF(J8=24,7,IF(J8=25,6,IF(J8=26,5,IF(J8=27,4,IF(J8=28,3,IF(J8=29,2,IF(J8=30,1)))))))))))))))))))))))))))))))</f>
        <v>60</v>
      </c>
      <c r="P8" s="1">
        <f>IF(OR(K8="",K8&gt;30),"",IF(K8=1,60,IF(K8=2,55,IF(K8=3,50,IF(K8=4,44,IF(K8=5,38,IF(K8=6,32,IF(K8=7,28,IF(K8=8,25,IF(K8=9,22,IF(K8=10,21,IF(K8=11,20,IF(K8=12,19,IF(K8=13,18,IF(K8=14,17,IF(K8=15,16,IF(K8=16,15,IF(K8=17,14,IF(K8=18,13,IF(K8=19,12,IF(K8=20,11,IF(K8=21,10,IF(K8=22,9,IF(K8=23,8,IF(K8=24,7,IF(K8=25,6,IF(K8=26,5,IF(K8=27,4,IF(K8=28,3,IF(K8=29,2,IF(K8=30,1)))))))))))))))))))))))))))))))</f>
        <v>60</v>
      </c>
      <c r="Q8" s="1">
        <f>IF(OR(L8="",L8&gt;30),"",IF(L8=1,60,IF(L8=2,55,IF(L8=3,50,IF(L8=4,44,IF(L8=5,38,IF(L8=6,32,IF(L8=7,28,IF(L8=8,25,IF(L8=9,22,IF(L8=10,21,IF(L8=11,20,IF(L8=12,19,IF(L8=13,18,IF(L8=14,17,IF(L8=15,16,IF(L8=16,15,IF(L8=17,14,IF(L8=18,13,IF(L8=19,12,IF(L8=20,11,IF(L8=21,10,IF(L8=22,9,IF(L8=23,8,IF(L8=24,7,IF(L8=25,6,IF(L8=26,5,IF(L8=27,4,IF(L8=28,3,IF(L8=29,2,IF(L8=30,1)))))))))))))))))))))))))))))))</f>
        <v>55</v>
      </c>
      <c r="R8" s="12">
        <f>IF(A8="","",IF(OR(D8="P",E8="P"),"",IF(COUNT(M8:Q8)&lt;3,SUM(M8:Q8),LARGE(M8:Q8,1)+LARGE(M8:Q8,2))+(1000-V8)*10^-4+W8*10^-5+(100-X8)*10^-8+Y8*10^-10))</f>
        <v>120.09985099000001</v>
      </c>
      <c r="S8" s="2" t="str">
        <f>IF(OR(R8="",R8=0),"",IF(SUMPRODUCT(--(B$3:B$64=B8),--(R$3:R$64&gt;R8),--(R$3:R$64&lt;&gt;"")),"","P"))</f>
        <v>P</v>
      </c>
      <c r="T8" s="2" t="str" cm="1">
        <f t="array" ref="T8">IF(R8="","",IF(SUMPRODUCT(--(D$3:D$64="P"),--(B$3:B$64=B8)),"P",""))</f>
        <v>P</v>
      </c>
      <c r="U8" s="12">
        <f>IF(AND(S8&lt;&gt;"",OR(T8="",COUNTIF(R$3:R$64,"&gt;"&amp;R8)&lt;3)),R8,"")</f>
        <v>120.09985099000001</v>
      </c>
      <c r="V8" s="1">
        <f>IF(COUNT(H8:L8)&lt;3,SUM(H8:L8),SMALL(H8:L8,1)+SMALL(H8:L8,2))</f>
        <v>2</v>
      </c>
      <c r="W8" s="1">
        <f>COUNTIF(H8:L8,"&lt;=8")</f>
        <v>5</v>
      </c>
      <c r="X8" s="1">
        <f>MIN(H8:L8)</f>
        <v>1</v>
      </c>
      <c r="Y8" s="13"/>
      <c r="Z8" s="2" t="str">
        <f>IF(OR(R8=R7,R8=R9),"P","")</f>
        <v/>
      </c>
    </row>
    <row r="9" spans="1:32" x14ac:dyDescent="0.2">
      <c r="A9" s="7" t="s">
        <v>12</v>
      </c>
      <c r="B9" s="6" t="s">
        <v>13</v>
      </c>
      <c r="C9" s="6" t="str">
        <f>IF(A9="","",VLOOKUP(B9,'Continental Affiliation'!A:B,2,0))</f>
        <v>Europe</v>
      </c>
      <c r="G9" s="3">
        <f>IF(U9="","",RANK(U9,U:U)+COUNTIF(D:E,"P"))</f>
        <v>7</v>
      </c>
      <c r="H9" s="6">
        <v>1</v>
      </c>
      <c r="I9" s="6">
        <v>2</v>
      </c>
      <c r="J9" s="6">
        <v>10</v>
      </c>
      <c r="K9" s="6">
        <v>6</v>
      </c>
      <c r="L9" s="6">
        <v>4</v>
      </c>
      <c r="M9" s="1">
        <f>IF(OR(H9="",H9&gt;30),"",IF(H9=1,60,IF(H9=2,55,IF(H9=3,50,IF(H9=4,44,IF(H9=5,38,IF(H9=6,32,IF(H9=7,28,IF(H9=8,25,IF(H9=9,22,IF(H9=10,21,IF(H9=11,20,IF(H9=12,19,IF(H9=13,18,IF(H9=14,17,IF(H9=15,16,IF(H9=16,15,IF(H9=17,14,IF(H9=18,13,IF(H9=19,12,IF(H9=20,11,IF(H9=21,10,IF(H9=22,9,IF(H9=23,8,IF(H9=24,7,IF(H9=25,6,IF(H9=26,5,IF(H9=27,4,IF(H9=28,3,IF(H9=29,2,IF(H9=30,1)))))))))))))))))))))))))))))))</f>
        <v>60</v>
      </c>
      <c r="N9" s="1">
        <f>IF(OR(I9="",I9&gt;30),"",IF(I9=1,60,IF(I9=2,55,IF(I9=3,50,IF(I9=4,44,IF(I9=5,38,IF(I9=6,32,IF(I9=7,28,IF(I9=8,25,IF(I9=9,22,IF(I9=10,21,IF(I9=11,20,IF(I9=12,19,IF(I9=13,18,IF(I9=14,17,IF(I9=15,16,IF(I9=16,15,IF(I9=17,14,IF(I9=18,13,IF(I9=19,12,IF(I9=20,11,IF(I9=21,10,IF(I9=22,9,IF(I9=23,8,IF(I9=24,7,IF(I9=25,6,IF(I9=26,5,IF(I9=27,4,IF(I9=28,3,IF(I9=29,2,IF(I9=30,1)))))))))))))))))))))))))))))))</f>
        <v>55</v>
      </c>
      <c r="O9" s="1">
        <f>IF(OR(J9="",J9&gt;30),"",IF(J9=1,60,IF(J9=2,55,IF(J9=3,50,IF(J9=4,44,IF(J9=5,38,IF(J9=6,32,IF(J9=7,28,IF(J9=8,25,IF(J9=9,22,IF(J9=10,21,IF(J9=11,20,IF(J9=12,19,IF(J9=13,18,IF(J9=14,17,IF(J9=15,16,IF(J9=16,15,IF(J9=17,14,IF(J9=18,13,IF(J9=19,12,IF(J9=20,11,IF(J9=21,10,IF(J9=22,9,IF(J9=23,8,IF(J9=24,7,IF(J9=25,6,IF(J9=26,5,IF(J9=27,4,IF(J9=28,3,IF(J9=29,2,IF(J9=30,1)))))))))))))))))))))))))))))))</f>
        <v>21</v>
      </c>
      <c r="P9" s="1">
        <f>IF(OR(K9="",K9&gt;30),"",IF(K9=1,60,IF(K9=2,55,IF(K9=3,50,IF(K9=4,44,IF(K9=5,38,IF(K9=6,32,IF(K9=7,28,IF(K9=8,25,IF(K9=9,22,IF(K9=10,21,IF(K9=11,20,IF(K9=12,19,IF(K9=13,18,IF(K9=14,17,IF(K9=15,16,IF(K9=16,15,IF(K9=17,14,IF(K9=18,13,IF(K9=19,12,IF(K9=20,11,IF(K9=21,10,IF(K9=22,9,IF(K9=23,8,IF(K9=24,7,IF(K9=25,6,IF(K9=26,5,IF(K9=27,4,IF(K9=28,3,IF(K9=29,2,IF(K9=30,1)))))))))))))))))))))))))))))))</f>
        <v>32</v>
      </c>
      <c r="Q9" s="1">
        <f>IF(OR(L9="",L9&gt;30),"",IF(L9=1,60,IF(L9=2,55,IF(L9=3,50,IF(L9=4,44,IF(L9=5,38,IF(L9=6,32,IF(L9=7,28,IF(L9=8,25,IF(L9=9,22,IF(L9=10,21,IF(L9=11,20,IF(L9=12,19,IF(L9=13,18,IF(L9=14,17,IF(L9=15,16,IF(L9=16,15,IF(L9=17,14,IF(L9=18,13,IF(L9=19,12,IF(L9=20,11,IF(L9=21,10,IF(L9=22,9,IF(L9=23,8,IF(L9=24,7,IF(L9=25,6,IF(L9=26,5,IF(L9=27,4,IF(L9=28,3,IF(L9=29,2,IF(L9=30,1)))))))))))))))))))))))))))))))</f>
        <v>44</v>
      </c>
      <c r="R9" s="12">
        <f>IF(A9="","",IF(OR(D9="P",E9="P"),"",IF(COUNT(M9:Q9)&lt;3,SUM(M9:Q9),LARGE(M9:Q9,1)+LARGE(M9:Q9,2))+(1000-V9)*10^-4+W9*10^-5+(100-X9)*10^-8+Y9*10^-10))</f>
        <v>115.099740995693</v>
      </c>
      <c r="S9" s="2" t="str">
        <f>IF(OR(R9="",R9=0),"",IF(SUMPRODUCT(--(B$3:B$64=B9),--(R$3:R$64&gt;R9),--(R$3:R$64&lt;&gt;"")),"","P"))</f>
        <v>P</v>
      </c>
      <c r="T9" s="2" t="str" cm="1">
        <f t="array" ref="T9">IF(R9="","",IF(SUMPRODUCT(--(D$3:D$64="P"),--(B$3:B$64=B9)),"P",""))</f>
        <v>P</v>
      </c>
      <c r="U9" s="12">
        <f>IF(AND(S9&lt;&gt;"",OR(T9="",COUNTIF(R$3:R$64,"&gt;"&amp;R9)&lt;3)),R9,"")</f>
        <v>115.099740995693</v>
      </c>
      <c r="V9" s="1">
        <f>IF(COUNT(H9:L9)&lt;3,SUM(H9:L9),SMALL(H9:L9,1)+SMALL(H9:L9,2))</f>
        <v>3</v>
      </c>
      <c r="W9" s="1">
        <f>COUNTIF(H9:L9,"&lt;=8")</f>
        <v>4</v>
      </c>
      <c r="X9" s="1">
        <f>MIN(H9:L9)</f>
        <v>1</v>
      </c>
      <c r="Y9" s="13">
        <v>56.93</v>
      </c>
      <c r="Z9" s="2" t="str">
        <f>IF(OR(R9=R8,R9=R10),"P","")</f>
        <v/>
      </c>
    </row>
    <row r="10" spans="1:32" x14ac:dyDescent="0.2">
      <c r="A10" s="7" t="s">
        <v>160</v>
      </c>
      <c r="B10" s="6" t="s">
        <v>150</v>
      </c>
      <c r="C10" s="6" t="str">
        <f>IF(A10="","",VLOOKUP(B10,'Continental Affiliation'!A:B,2,0))</f>
        <v>Europe</v>
      </c>
      <c r="G10" s="3">
        <f>IF(U10="","",RANK(U10,U:U)+COUNTIF(D:E,"P"))</f>
        <v>8</v>
      </c>
      <c r="H10" s="6" t="s">
        <v>143</v>
      </c>
      <c r="I10" s="6" t="s">
        <v>143</v>
      </c>
      <c r="J10" s="6" t="s">
        <v>143</v>
      </c>
      <c r="K10" s="6">
        <v>3</v>
      </c>
      <c r="L10" s="6">
        <v>3</v>
      </c>
      <c r="M10" s="1" t="str">
        <f>IF(OR(H10="",H10&gt;30),"",IF(H10=1,60,IF(H10=2,55,IF(H10=3,50,IF(H10=4,44,IF(H10=5,38,IF(H10=6,32,IF(H10=7,28,IF(H10=8,25,IF(H10=9,22,IF(H10=10,21,IF(H10=11,20,IF(H10=12,19,IF(H10=13,18,IF(H10=14,17,IF(H10=15,16,IF(H10=16,15,IF(H10=17,14,IF(H10=18,13,IF(H10=19,12,IF(H10=20,11,IF(H10=21,10,IF(H10=22,9,IF(H10=23,8,IF(H10=24,7,IF(H10=25,6,IF(H10=26,5,IF(H10=27,4,IF(H10=28,3,IF(H10=29,2,IF(H10=30,1)))))))))))))))))))))))))))))))</f>
        <v/>
      </c>
      <c r="N10" s="1" t="str">
        <f>IF(OR(I10="",I10&gt;30),"",IF(I10=1,60,IF(I10=2,55,IF(I10=3,50,IF(I10=4,44,IF(I10=5,38,IF(I10=6,32,IF(I10=7,28,IF(I10=8,25,IF(I10=9,22,IF(I10=10,21,IF(I10=11,20,IF(I10=12,19,IF(I10=13,18,IF(I10=14,17,IF(I10=15,16,IF(I10=16,15,IF(I10=17,14,IF(I10=18,13,IF(I10=19,12,IF(I10=20,11,IF(I10=21,10,IF(I10=22,9,IF(I10=23,8,IF(I10=24,7,IF(I10=25,6,IF(I10=26,5,IF(I10=27,4,IF(I10=28,3,IF(I10=29,2,IF(I10=30,1)))))))))))))))))))))))))))))))</f>
        <v/>
      </c>
      <c r="O10" s="1" t="str">
        <f>IF(OR(J10="",J10&gt;30),"",IF(J10=1,60,IF(J10=2,55,IF(J10=3,50,IF(J10=4,44,IF(J10=5,38,IF(J10=6,32,IF(J10=7,28,IF(J10=8,25,IF(J10=9,22,IF(J10=10,21,IF(J10=11,20,IF(J10=12,19,IF(J10=13,18,IF(J10=14,17,IF(J10=15,16,IF(J10=16,15,IF(J10=17,14,IF(J10=18,13,IF(J10=19,12,IF(J10=20,11,IF(J10=21,10,IF(J10=22,9,IF(J10=23,8,IF(J10=24,7,IF(J10=25,6,IF(J10=26,5,IF(J10=27,4,IF(J10=28,3,IF(J10=29,2,IF(J10=30,1)))))))))))))))))))))))))))))))</f>
        <v/>
      </c>
      <c r="P10" s="1">
        <f>IF(OR(K10="",K10&gt;30),"",IF(K10=1,60,IF(K10=2,55,IF(K10=3,50,IF(K10=4,44,IF(K10=5,38,IF(K10=6,32,IF(K10=7,28,IF(K10=8,25,IF(K10=9,22,IF(K10=10,21,IF(K10=11,20,IF(K10=12,19,IF(K10=13,18,IF(K10=14,17,IF(K10=15,16,IF(K10=16,15,IF(K10=17,14,IF(K10=18,13,IF(K10=19,12,IF(K10=20,11,IF(K10=21,10,IF(K10=22,9,IF(K10=23,8,IF(K10=24,7,IF(K10=25,6,IF(K10=26,5,IF(K10=27,4,IF(K10=28,3,IF(K10=29,2,IF(K10=30,1)))))))))))))))))))))))))))))))</f>
        <v>50</v>
      </c>
      <c r="Q10" s="1">
        <f>IF(OR(L10="",L10&gt;30),"",IF(L10=1,60,IF(L10=2,55,IF(L10=3,50,IF(L10=4,44,IF(L10=5,38,IF(L10=6,32,IF(L10=7,28,IF(L10=8,25,IF(L10=9,22,IF(L10=10,21,IF(L10=11,20,IF(L10=12,19,IF(L10=13,18,IF(L10=14,17,IF(L10=15,16,IF(L10=16,15,IF(L10=17,14,IF(L10=18,13,IF(L10=19,12,IF(L10=20,11,IF(L10=21,10,IF(L10=22,9,IF(L10=23,8,IF(L10=24,7,IF(L10=25,6,IF(L10=26,5,IF(L10=27,4,IF(L10=28,3,IF(L10=29,2,IF(L10=30,1)))))))))))))))))))))))))))))))</f>
        <v>50</v>
      </c>
      <c r="R10" s="12">
        <f>IF(A10="","",IF(OR(D10="P",E10="P"),"",IF(COUNT(M10:Q10)&lt;3,SUM(M10:Q10),LARGE(M10:Q10,1)+LARGE(M10:Q10,2))+(1000-V10)*10^-4+W10*10^-5+(100-X10)*10^-8+Y10*10^-10))</f>
        <v>100.09942097000001</v>
      </c>
      <c r="S10" s="2" t="str">
        <f>IF(OR(R10="",R10=0),"",IF(SUMPRODUCT(--(B$3:B$64=B10),--(R$3:R$64&gt;R10),--(R$3:R$64&lt;&gt;"")),"","P"))</f>
        <v>P</v>
      </c>
      <c r="T10" s="2" t="str" cm="1">
        <f t="array" ref="T10">IF(R10="","",IF(SUMPRODUCT(--(D$3:D$64="P"),--(B$3:B$64=B10)),"P",""))</f>
        <v/>
      </c>
      <c r="U10" s="12">
        <f>IF(AND(S10&lt;&gt;"",OR(T10="",COUNTIF(R$3:R$64,"&gt;"&amp;R10)&lt;3)),R10,"")</f>
        <v>100.09942097000001</v>
      </c>
      <c r="V10" s="1">
        <f>IF(COUNT(H10:L10)&lt;3,SUM(H10:L10),SMALL(H10:L10,1)+SMALL(H10:L10,2))</f>
        <v>6</v>
      </c>
      <c r="W10" s="1">
        <f>COUNTIF(H10:L10,"&lt;=8")</f>
        <v>2</v>
      </c>
      <c r="X10" s="1">
        <f>MIN(H10:L10)</f>
        <v>3</v>
      </c>
      <c r="Y10" s="13"/>
      <c r="Z10" s="2" t="str">
        <f>IF(OR(R10=R9,R10=R19),"P","")</f>
        <v/>
      </c>
    </row>
    <row r="11" spans="1:32" x14ac:dyDescent="0.2">
      <c r="A11" s="7" t="s">
        <v>63</v>
      </c>
      <c r="B11" s="6" t="s">
        <v>8</v>
      </c>
      <c r="C11" s="6" t="str">
        <f>IF(A11="","",VLOOKUP(B11,'Continental Affiliation'!A:B,2,0))</f>
        <v>Asia</v>
      </c>
      <c r="G11" s="3">
        <f>IF(U11="","",RANK(U11,U:U)+COUNTIF(D:E,"P"))</f>
        <v>9</v>
      </c>
      <c r="H11" s="6">
        <v>13</v>
      </c>
      <c r="I11" s="6">
        <v>4</v>
      </c>
      <c r="J11" s="6">
        <v>3</v>
      </c>
      <c r="K11" s="6">
        <v>5</v>
      </c>
      <c r="L11" s="6">
        <v>8</v>
      </c>
      <c r="M11" s="1">
        <f>IF(OR(H11="",H11&gt;30),"",IF(H11=1,60,IF(H11=2,55,IF(H11=3,50,IF(H11=4,44,IF(H11=5,38,IF(H11=6,32,IF(H11=7,28,IF(H11=8,25,IF(H11=9,22,IF(H11=10,21,IF(H11=11,20,IF(H11=12,19,IF(H11=13,18,IF(H11=14,17,IF(H11=15,16,IF(H11=16,15,IF(H11=17,14,IF(H11=18,13,IF(H11=19,12,IF(H11=20,11,IF(H11=21,10,IF(H11=22,9,IF(H11=23,8,IF(H11=24,7,IF(H11=25,6,IF(H11=26,5,IF(H11=27,4,IF(H11=28,3,IF(H11=29,2,IF(H11=30,1)))))))))))))))))))))))))))))))</f>
        <v>18</v>
      </c>
      <c r="N11" s="1">
        <f>IF(OR(I11="",I11&gt;30),"",IF(I11=1,60,IF(I11=2,55,IF(I11=3,50,IF(I11=4,44,IF(I11=5,38,IF(I11=6,32,IF(I11=7,28,IF(I11=8,25,IF(I11=9,22,IF(I11=10,21,IF(I11=11,20,IF(I11=12,19,IF(I11=13,18,IF(I11=14,17,IF(I11=15,16,IF(I11=16,15,IF(I11=17,14,IF(I11=18,13,IF(I11=19,12,IF(I11=20,11,IF(I11=21,10,IF(I11=22,9,IF(I11=23,8,IF(I11=24,7,IF(I11=25,6,IF(I11=26,5,IF(I11=27,4,IF(I11=28,3,IF(I11=29,2,IF(I11=30,1)))))))))))))))))))))))))))))))</f>
        <v>44</v>
      </c>
      <c r="O11" s="1">
        <f>IF(OR(J11="",J11&gt;30),"",IF(J11=1,60,IF(J11=2,55,IF(J11=3,50,IF(J11=4,44,IF(J11=5,38,IF(J11=6,32,IF(J11=7,28,IF(J11=8,25,IF(J11=9,22,IF(J11=10,21,IF(J11=11,20,IF(J11=12,19,IF(J11=13,18,IF(J11=14,17,IF(J11=15,16,IF(J11=16,15,IF(J11=17,14,IF(J11=18,13,IF(J11=19,12,IF(J11=20,11,IF(J11=21,10,IF(J11=22,9,IF(J11=23,8,IF(J11=24,7,IF(J11=25,6,IF(J11=26,5,IF(J11=27,4,IF(J11=28,3,IF(J11=29,2,IF(J11=30,1)))))))))))))))))))))))))))))))</f>
        <v>50</v>
      </c>
      <c r="P11" s="1">
        <f>IF(OR(K11="",K11&gt;30),"",IF(K11=1,60,IF(K11=2,55,IF(K11=3,50,IF(K11=4,44,IF(K11=5,38,IF(K11=6,32,IF(K11=7,28,IF(K11=8,25,IF(K11=9,22,IF(K11=10,21,IF(K11=11,20,IF(K11=12,19,IF(K11=13,18,IF(K11=14,17,IF(K11=15,16,IF(K11=16,15,IF(K11=17,14,IF(K11=18,13,IF(K11=19,12,IF(K11=20,11,IF(K11=21,10,IF(K11=22,9,IF(K11=23,8,IF(K11=24,7,IF(K11=25,6,IF(K11=26,5,IF(K11=27,4,IF(K11=28,3,IF(K11=29,2,IF(K11=30,1)))))))))))))))))))))))))))))))</f>
        <v>38</v>
      </c>
      <c r="Q11" s="1">
        <f>IF(OR(L11="",L11&gt;30),"",IF(L11=1,60,IF(L11=2,55,IF(L11=3,50,IF(L11=4,44,IF(L11=5,38,IF(L11=6,32,IF(L11=7,28,IF(L11=8,25,IF(L11=9,22,IF(L11=10,21,IF(L11=11,20,IF(L11=12,19,IF(L11=13,18,IF(L11=14,17,IF(L11=15,16,IF(L11=16,15,IF(L11=17,14,IF(L11=18,13,IF(L11=19,12,IF(L11=20,11,IF(L11=21,10,IF(L11=22,9,IF(L11=23,8,IF(L11=24,7,IF(L11=25,6,IF(L11=26,5,IF(L11=27,4,IF(L11=28,3,IF(L11=29,2,IF(L11=30,1)))))))))))))))))))))))))))))))</f>
        <v>25</v>
      </c>
      <c r="R11" s="12">
        <f>IF(A11="","",IF(OR(D11="P",E11="P"),"",IF(COUNT(M11:Q11)&lt;3,SUM(M11:Q11),LARGE(M11:Q11,1)+LARGE(M11:Q11,2))+(1000-V11)*10^-4+W11*10^-5+(100-X11)*10^-8+Y11*10^-10))</f>
        <v>94.09934097</v>
      </c>
      <c r="S11" s="2" t="str" cm="1">
        <f t="array" ref="S11">IF(OR(R11="",R11=0),"",IF(SUMPRODUCT(--(B$3:B$64=B11),--(R$3:R$64&gt;R11),--(R$3:R$64&lt;&gt;"")),"","P"))</f>
        <v>P</v>
      </c>
      <c r="T11" s="2" t="str" cm="1">
        <f t="array" ref="T11">IF(R11="","",IF(SUMPRODUCT(--(D$3:D$64="P"),--(B$3:B$64=B11)),"P",""))</f>
        <v/>
      </c>
      <c r="U11" s="12">
        <f>IF(AND(S11&lt;&gt;"",OR(T11="",COUNTIF(R$3:R$64,"&gt;"&amp;R11)&lt;3)),R11,"")</f>
        <v>94.09934097</v>
      </c>
      <c r="V11" s="1">
        <f>IF(COUNT(H11:L11)&lt;3,SUM(H11:L11),SMALL(H11:L11,1)+SMALL(H11:L11,2))</f>
        <v>7</v>
      </c>
      <c r="W11" s="1">
        <f>COUNTIF(H11:L11,"&lt;=8")</f>
        <v>4</v>
      </c>
      <c r="X11" s="1">
        <f>MIN(H11:L11)</f>
        <v>3</v>
      </c>
      <c r="Y11" s="13"/>
      <c r="Z11" s="2" t="str">
        <f>IF(OR(R11=R10,R11=R12),"P","")</f>
        <v/>
      </c>
    </row>
    <row r="12" spans="1:32" x14ac:dyDescent="0.2">
      <c r="A12" s="7" t="s">
        <v>15</v>
      </c>
      <c r="B12" s="6" t="s">
        <v>26</v>
      </c>
      <c r="C12" s="6" t="str">
        <f>IF(A12="","",VLOOKUP(B12,'Continental Affiliation'!A:B,2,0))</f>
        <v>Americas</v>
      </c>
      <c r="G12" s="3" t="str">
        <f>IF(U12="","",RANK(U12,U:U)+COUNTIF(D:E,"P"))</f>
        <v/>
      </c>
      <c r="H12" s="6">
        <v>3</v>
      </c>
      <c r="I12" s="6">
        <v>7</v>
      </c>
      <c r="J12" s="6">
        <v>7</v>
      </c>
      <c r="K12" s="6">
        <v>23</v>
      </c>
      <c r="L12" s="6">
        <v>21</v>
      </c>
      <c r="M12" s="1">
        <f>IF(OR(H12="",H12&gt;30),"",IF(H12=1,60,IF(H12=2,55,IF(H12=3,50,IF(H12=4,44,IF(H12=5,38,IF(H12=6,32,IF(H12=7,28,IF(H12=8,25,IF(H12=9,22,IF(H12=10,21,IF(H12=11,20,IF(H12=12,19,IF(H12=13,18,IF(H12=14,17,IF(H12=15,16,IF(H12=16,15,IF(H12=17,14,IF(H12=18,13,IF(H12=19,12,IF(H12=20,11,IF(H12=21,10,IF(H12=22,9,IF(H12=23,8,IF(H12=24,7,IF(H12=25,6,IF(H12=26,5,IF(H12=27,4,IF(H12=28,3,IF(H12=29,2,IF(H12=30,1)))))))))))))))))))))))))))))))</f>
        <v>50</v>
      </c>
      <c r="N12" s="1">
        <f>IF(OR(I12="",I12&gt;30),"",IF(I12=1,60,IF(I12=2,55,IF(I12=3,50,IF(I12=4,44,IF(I12=5,38,IF(I12=6,32,IF(I12=7,28,IF(I12=8,25,IF(I12=9,22,IF(I12=10,21,IF(I12=11,20,IF(I12=12,19,IF(I12=13,18,IF(I12=14,17,IF(I12=15,16,IF(I12=16,15,IF(I12=17,14,IF(I12=18,13,IF(I12=19,12,IF(I12=20,11,IF(I12=21,10,IF(I12=22,9,IF(I12=23,8,IF(I12=24,7,IF(I12=25,6,IF(I12=26,5,IF(I12=27,4,IF(I12=28,3,IF(I12=29,2,IF(I12=30,1)))))))))))))))))))))))))))))))</f>
        <v>28</v>
      </c>
      <c r="O12" s="1">
        <f>IF(OR(J12="",J12&gt;30),"",IF(J12=1,60,IF(J12=2,55,IF(J12=3,50,IF(J12=4,44,IF(J12=5,38,IF(J12=6,32,IF(J12=7,28,IF(J12=8,25,IF(J12=9,22,IF(J12=10,21,IF(J12=11,20,IF(J12=12,19,IF(J12=13,18,IF(J12=14,17,IF(J12=15,16,IF(J12=16,15,IF(J12=17,14,IF(J12=18,13,IF(J12=19,12,IF(J12=20,11,IF(J12=21,10,IF(J12=22,9,IF(J12=23,8,IF(J12=24,7,IF(J12=25,6,IF(J12=26,5,IF(J12=27,4,IF(J12=28,3,IF(J12=29,2,IF(J12=30,1)))))))))))))))))))))))))))))))</f>
        <v>28</v>
      </c>
      <c r="P12" s="1">
        <f>IF(OR(K12="",K12&gt;30),"",IF(K12=1,60,IF(K12=2,55,IF(K12=3,50,IF(K12=4,44,IF(K12=5,38,IF(K12=6,32,IF(K12=7,28,IF(K12=8,25,IF(K12=9,22,IF(K12=10,21,IF(K12=11,20,IF(K12=12,19,IF(K12=13,18,IF(K12=14,17,IF(K12=15,16,IF(K12=16,15,IF(K12=17,14,IF(K12=18,13,IF(K12=19,12,IF(K12=20,11,IF(K12=21,10,IF(K12=22,9,IF(K12=23,8,IF(K12=24,7,IF(K12=25,6,IF(K12=26,5,IF(K12=27,4,IF(K12=28,3,IF(K12=29,2,IF(K12=30,1)))))))))))))))))))))))))))))))</f>
        <v>8</v>
      </c>
      <c r="Q12" s="1">
        <f>IF(OR(L12="",L12&gt;30),"",IF(L12=1,60,IF(L12=2,55,IF(L12=3,50,IF(L12=4,44,IF(L12=5,38,IF(L12=6,32,IF(L12=7,28,IF(L12=8,25,IF(L12=9,22,IF(L12=10,21,IF(L12=11,20,IF(L12=12,19,IF(L12=13,18,IF(L12=14,17,IF(L12=15,16,IF(L12=16,15,IF(L12=17,14,IF(L12=18,13,IF(L12=19,12,IF(L12=20,11,IF(L12=21,10,IF(L12=22,9,IF(L12=23,8,IF(L12=24,7,IF(L12=25,6,IF(L12=26,5,IF(L12=27,4,IF(L12=28,3,IF(L12=29,2,IF(L12=30,1)))))))))))))))))))))))))))))))</f>
        <v>10</v>
      </c>
      <c r="R12" s="12">
        <f>IF(A12="","",IF(OR(D12="P",E12="P"),"",IF(COUNT(M12:Q12)&lt;3,SUM(M12:Q12),LARGE(M12:Q12,1)+LARGE(M12:Q12,2))+(1000-V12)*10^-4+W12*10^-5+(100-X12)*10^-8+Y12*10^-10))</f>
        <v>78.099030970000001</v>
      </c>
      <c r="S12" s="2" t="str">
        <f>IF(OR(R12="",R12=0),"",IF(SUMPRODUCT(--(B$3:B$64=B12),--(R$3:R$64&gt;R12),--(R$3:R$64&lt;&gt;"")),"","P"))</f>
        <v>P</v>
      </c>
      <c r="T12" s="2" t="str" cm="1">
        <f t="array" ref="T12">IF(R12="","",IF(SUMPRODUCT(--(D$3:D$64="P"),--(B$3:B$64=B12)),"P",""))</f>
        <v>P</v>
      </c>
      <c r="U12" s="12" t="str">
        <f>IF(AND(S12&lt;&gt;"",OR(T12="",COUNTIF(R$3:R$64,"&gt;"&amp;R12)&lt;3)),R12,"")</f>
        <v/>
      </c>
      <c r="V12" s="1">
        <f>IF(COUNT(H12:L12)&lt;3,SUM(H12:L12),SMALL(H12:L12,1)+SMALL(H12:L12,2))</f>
        <v>10</v>
      </c>
      <c r="W12" s="1">
        <f>COUNTIF(H12:L12,"&lt;=8")</f>
        <v>3</v>
      </c>
      <c r="X12" s="1">
        <f>MIN(H12:L12)</f>
        <v>3</v>
      </c>
      <c r="Y12" s="13"/>
      <c r="Z12" s="2" t="str">
        <f>IF(OR(R12=R11,R12=R13),"P","")</f>
        <v/>
      </c>
    </row>
    <row r="13" spans="1:32" x14ac:dyDescent="0.2">
      <c r="A13" s="7" t="s">
        <v>73</v>
      </c>
      <c r="B13" s="6" t="s">
        <v>11</v>
      </c>
      <c r="C13" s="6" t="str">
        <f>IF(A13="","",VLOOKUP(B13,'Continental Affiliation'!A:B,2,0))</f>
        <v>Europe</v>
      </c>
      <c r="G13" s="3">
        <f>IF(U13="","",RANK(U13,U:U)+COUNTIF(D:E,"P"))</f>
        <v>10</v>
      </c>
      <c r="H13" s="6">
        <v>6</v>
      </c>
      <c r="I13" s="6">
        <v>6</v>
      </c>
      <c r="J13" s="6">
        <v>5</v>
      </c>
      <c r="K13" s="6" t="s">
        <v>143</v>
      </c>
      <c r="L13" s="6" t="s">
        <v>143</v>
      </c>
      <c r="M13" s="1">
        <f>IF(OR(H13="",H13&gt;30),"",IF(H13=1,60,IF(H13=2,55,IF(H13=3,50,IF(H13=4,44,IF(H13=5,38,IF(H13=6,32,IF(H13=7,28,IF(H13=8,25,IF(H13=9,22,IF(H13=10,21,IF(H13=11,20,IF(H13=12,19,IF(H13=13,18,IF(H13=14,17,IF(H13=15,16,IF(H13=16,15,IF(H13=17,14,IF(H13=18,13,IF(H13=19,12,IF(H13=20,11,IF(H13=21,10,IF(H13=22,9,IF(H13=23,8,IF(H13=24,7,IF(H13=25,6,IF(H13=26,5,IF(H13=27,4,IF(H13=28,3,IF(H13=29,2,IF(H13=30,1)))))))))))))))))))))))))))))))</f>
        <v>32</v>
      </c>
      <c r="N13" s="1">
        <f>IF(OR(I13="",I13&gt;30),"",IF(I13=1,60,IF(I13=2,55,IF(I13=3,50,IF(I13=4,44,IF(I13=5,38,IF(I13=6,32,IF(I13=7,28,IF(I13=8,25,IF(I13=9,22,IF(I13=10,21,IF(I13=11,20,IF(I13=12,19,IF(I13=13,18,IF(I13=14,17,IF(I13=15,16,IF(I13=16,15,IF(I13=17,14,IF(I13=18,13,IF(I13=19,12,IF(I13=20,11,IF(I13=21,10,IF(I13=22,9,IF(I13=23,8,IF(I13=24,7,IF(I13=25,6,IF(I13=26,5,IF(I13=27,4,IF(I13=28,3,IF(I13=29,2,IF(I13=30,1)))))))))))))))))))))))))))))))</f>
        <v>32</v>
      </c>
      <c r="O13" s="1">
        <f>IF(OR(J13="",J13&gt;30),"",IF(J13=1,60,IF(J13=2,55,IF(J13=3,50,IF(J13=4,44,IF(J13=5,38,IF(J13=6,32,IF(J13=7,28,IF(J13=8,25,IF(J13=9,22,IF(J13=10,21,IF(J13=11,20,IF(J13=12,19,IF(J13=13,18,IF(J13=14,17,IF(J13=15,16,IF(J13=16,15,IF(J13=17,14,IF(J13=18,13,IF(J13=19,12,IF(J13=20,11,IF(J13=21,10,IF(J13=22,9,IF(J13=23,8,IF(J13=24,7,IF(J13=25,6,IF(J13=26,5,IF(J13=27,4,IF(J13=28,3,IF(J13=29,2,IF(J13=30,1)))))))))))))))))))))))))))))))</f>
        <v>38</v>
      </c>
      <c r="P13" s="1" t="str">
        <f>IF(OR(K13="",K13&gt;30),"",IF(K13=1,60,IF(K13=2,55,IF(K13=3,50,IF(K13=4,44,IF(K13=5,38,IF(K13=6,32,IF(K13=7,28,IF(K13=8,25,IF(K13=9,22,IF(K13=10,21,IF(K13=11,20,IF(K13=12,19,IF(K13=13,18,IF(K13=14,17,IF(K13=15,16,IF(K13=16,15,IF(K13=17,14,IF(K13=18,13,IF(K13=19,12,IF(K13=20,11,IF(K13=21,10,IF(K13=22,9,IF(K13=23,8,IF(K13=24,7,IF(K13=25,6,IF(K13=26,5,IF(K13=27,4,IF(K13=28,3,IF(K13=29,2,IF(K13=30,1)))))))))))))))))))))))))))))))</f>
        <v/>
      </c>
      <c r="Q13" s="1" t="str">
        <f>IF(OR(L13="",L13&gt;30),"",IF(L13=1,60,IF(L13=2,55,IF(L13=3,50,IF(L13=4,44,IF(L13=5,38,IF(L13=6,32,IF(L13=7,28,IF(L13=8,25,IF(L13=9,22,IF(L13=10,21,IF(L13=11,20,IF(L13=12,19,IF(L13=13,18,IF(L13=14,17,IF(L13=15,16,IF(L13=16,15,IF(L13=17,14,IF(L13=18,13,IF(L13=19,12,IF(L13=20,11,IF(L13=21,10,IF(L13=22,9,IF(L13=23,8,IF(L13=24,7,IF(L13=25,6,IF(L13=26,5,IF(L13=27,4,IF(L13=28,3,IF(L13=29,2,IF(L13=30,1)))))))))))))))))))))))))))))))</f>
        <v/>
      </c>
      <c r="R13" s="12">
        <f>IF(A13="","",IF(OR(D13="P",E13="P"),"",IF(COUNT(M13:Q13)&lt;3,SUM(M13:Q13),LARGE(M13:Q13,1)+LARGE(M13:Q13,2))+(1000-V13)*10^-4+W13*10^-5+(100-X13)*10^-8+Y13*10^-10))</f>
        <v>70.098930949999996</v>
      </c>
      <c r="S13" s="2" t="str">
        <f>IF(OR(R13="",R13=0),"",IF(SUMPRODUCT(--(B$3:B$64=B13),--(R$3:R$64&gt;R13),--(R$3:R$64&lt;&gt;"")),"","P"))</f>
        <v>P</v>
      </c>
      <c r="T13" s="2" t="str" cm="1">
        <f t="array" ref="T13">IF(R13="","",IF(SUMPRODUCT(--(D$3:D$64="P"),--(B$3:B$64=B13)),"P",""))</f>
        <v/>
      </c>
      <c r="U13" s="12">
        <f>IF(AND(S13&lt;&gt;"",OR(T13="",COUNTIF(R$3:R$64,"&gt;"&amp;R13)&lt;3)),R13,"")</f>
        <v>70.098930949999996</v>
      </c>
      <c r="V13" s="1">
        <f>IF(COUNT(H13:L13)&lt;3,SUM(H13:L13),SMALL(H13:L13,1)+SMALL(H13:L13,2))</f>
        <v>11</v>
      </c>
      <c r="W13" s="1">
        <f>COUNTIF(H13:L13,"&lt;=8")</f>
        <v>3</v>
      </c>
      <c r="X13" s="1">
        <f>MIN(H13:L13)</f>
        <v>5</v>
      </c>
      <c r="Y13" s="13"/>
      <c r="Z13" s="2" t="str">
        <f>IF(OR(R13=R12,R13=R14),"P","")</f>
        <v/>
      </c>
    </row>
    <row r="14" spans="1:32" x14ac:dyDescent="0.2">
      <c r="A14" s="7" t="s">
        <v>161</v>
      </c>
      <c r="B14" s="6" t="s">
        <v>150</v>
      </c>
      <c r="C14" s="6" t="str">
        <f>IF(A14="","",VLOOKUP(B14,'Continental Affiliation'!A:B,2,0))</f>
        <v>Europe</v>
      </c>
      <c r="G14" s="3" t="str">
        <f>IF(U14="","",RANK(U14,U:U)+COUNTIF(D:E,"P"))</f>
        <v/>
      </c>
      <c r="H14" s="6" t="s">
        <v>143</v>
      </c>
      <c r="I14" s="6" t="s">
        <v>143</v>
      </c>
      <c r="J14" s="6" t="s">
        <v>143</v>
      </c>
      <c r="K14" s="6">
        <v>2</v>
      </c>
      <c r="L14" s="6">
        <v>19</v>
      </c>
      <c r="M14" s="1" t="str">
        <f>IF(OR(H14="",H14&gt;30),"",IF(H14=1,60,IF(H14=2,55,IF(H14=3,50,IF(H14=4,44,IF(H14=5,38,IF(H14=6,32,IF(H14=7,28,IF(H14=8,25,IF(H14=9,22,IF(H14=10,21,IF(H14=11,20,IF(H14=12,19,IF(H14=13,18,IF(H14=14,17,IF(H14=15,16,IF(H14=16,15,IF(H14=17,14,IF(H14=18,13,IF(H14=19,12,IF(H14=20,11,IF(H14=21,10,IF(H14=22,9,IF(H14=23,8,IF(H14=24,7,IF(H14=25,6,IF(H14=26,5,IF(H14=27,4,IF(H14=28,3,IF(H14=29,2,IF(H14=30,1)))))))))))))))))))))))))))))))</f>
        <v/>
      </c>
      <c r="N14" s="1" t="str">
        <f>IF(OR(I14="",I14&gt;30),"",IF(I14=1,60,IF(I14=2,55,IF(I14=3,50,IF(I14=4,44,IF(I14=5,38,IF(I14=6,32,IF(I14=7,28,IF(I14=8,25,IF(I14=9,22,IF(I14=10,21,IF(I14=11,20,IF(I14=12,19,IF(I14=13,18,IF(I14=14,17,IF(I14=15,16,IF(I14=16,15,IF(I14=17,14,IF(I14=18,13,IF(I14=19,12,IF(I14=20,11,IF(I14=21,10,IF(I14=22,9,IF(I14=23,8,IF(I14=24,7,IF(I14=25,6,IF(I14=26,5,IF(I14=27,4,IF(I14=28,3,IF(I14=29,2,IF(I14=30,1)))))))))))))))))))))))))))))))</f>
        <v/>
      </c>
      <c r="O14" s="1" t="str">
        <f>IF(OR(J14="",J14&gt;30),"",IF(J14=1,60,IF(J14=2,55,IF(J14=3,50,IF(J14=4,44,IF(J14=5,38,IF(J14=6,32,IF(J14=7,28,IF(J14=8,25,IF(J14=9,22,IF(J14=10,21,IF(J14=11,20,IF(J14=12,19,IF(J14=13,18,IF(J14=14,17,IF(J14=15,16,IF(J14=16,15,IF(J14=17,14,IF(J14=18,13,IF(J14=19,12,IF(J14=20,11,IF(J14=21,10,IF(J14=22,9,IF(J14=23,8,IF(J14=24,7,IF(J14=25,6,IF(J14=26,5,IF(J14=27,4,IF(J14=28,3,IF(J14=29,2,IF(J14=30,1)))))))))))))))))))))))))))))))</f>
        <v/>
      </c>
      <c r="P14" s="1">
        <f>IF(OR(K14="",K14&gt;30),"",IF(K14=1,60,IF(K14=2,55,IF(K14=3,50,IF(K14=4,44,IF(K14=5,38,IF(K14=6,32,IF(K14=7,28,IF(K14=8,25,IF(K14=9,22,IF(K14=10,21,IF(K14=11,20,IF(K14=12,19,IF(K14=13,18,IF(K14=14,17,IF(K14=15,16,IF(K14=16,15,IF(K14=17,14,IF(K14=18,13,IF(K14=19,12,IF(K14=20,11,IF(K14=21,10,IF(K14=22,9,IF(K14=23,8,IF(K14=24,7,IF(K14=25,6,IF(K14=26,5,IF(K14=27,4,IF(K14=28,3,IF(K14=29,2,IF(K14=30,1)))))))))))))))))))))))))))))))</f>
        <v>55</v>
      </c>
      <c r="Q14" s="1">
        <f>IF(OR(L14="",L14&gt;30),"",IF(L14=1,60,IF(L14=2,55,IF(L14=3,50,IF(L14=4,44,IF(L14=5,38,IF(L14=6,32,IF(L14=7,28,IF(L14=8,25,IF(L14=9,22,IF(L14=10,21,IF(L14=11,20,IF(L14=12,19,IF(L14=13,18,IF(L14=14,17,IF(L14=15,16,IF(L14=16,15,IF(L14=17,14,IF(L14=18,13,IF(L14=19,12,IF(L14=20,11,IF(L14=21,10,IF(L14=22,9,IF(L14=23,8,IF(L14=24,7,IF(L14=25,6,IF(L14=26,5,IF(L14=27,4,IF(L14=28,3,IF(L14=29,2,IF(L14=30,1)))))))))))))))))))))))))))))))</f>
        <v>12</v>
      </c>
      <c r="R14" s="12">
        <f>IF(A14="","",IF(OR(D14="P",E14="P"),"",IF(COUNT(M14:Q14)&lt;3,SUM(M14:Q14),LARGE(M14:Q14,1)+LARGE(M14:Q14,2))+(1000-V14)*10^-4+W14*10^-5+(100-X14)*10^-8+Y14*10^-10))</f>
        <v>67.097910979999995</v>
      </c>
      <c r="S14" s="2" t="str">
        <f>IF(OR(R14="",R14=0),"",IF(SUMPRODUCT(--(B$3:B$64=B14),--(R$3:R$64&gt;R14),--(R$3:R$64&lt;&gt;"")),"","P"))</f>
        <v/>
      </c>
      <c r="T14" s="2" t="str" cm="1">
        <f t="array" ref="T14">IF(R14="","",IF(SUMPRODUCT(--(D$3:D$64="P"),--(B$3:B$64=B14)),"P",""))</f>
        <v/>
      </c>
      <c r="U14" s="12" t="str">
        <f>IF(AND(S14&lt;&gt;"",OR(T14="",COUNTIF(R$3:R$64,"&gt;"&amp;R14)&lt;3)),R14,"")</f>
        <v/>
      </c>
      <c r="V14" s="1">
        <f>IF(COUNT(H14:L14)&lt;3,SUM(H14:L14),SMALL(H14:L14,1)+SMALL(H14:L14,2))</f>
        <v>21</v>
      </c>
      <c r="W14" s="1">
        <f>COUNTIF(H14:L14,"&lt;=8")</f>
        <v>1</v>
      </c>
      <c r="X14" s="1">
        <f>MIN(H14:L14)</f>
        <v>2</v>
      </c>
      <c r="Y14" s="13"/>
      <c r="Z14" s="2" t="str">
        <f>IF(OR(R14=R13,R14=R23),"P","")</f>
        <v/>
      </c>
    </row>
    <row r="15" spans="1:32" x14ac:dyDescent="0.2">
      <c r="A15" s="7" t="s">
        <v>14</v>
      </c>
      <c r="B15" s="6" t="s">
        <v>8</v>
      </c>
      <c r="C15" s="6" t="str">
        <f>IF(A15="","",VLOOKUP(B15,'Continental Affiliation'!A:B,2,0))</f>
        <v>Asia</v>
      </c>
      <c r="G15" s="3" t="str">
        <f>IF(U15="","",RANK(U15,U:U)+COUNTIF(D:E,"P"))</f>
        <v/>
      </c>
      <c r="H15" s="6">
        <v>5</v>
      </c>
      <c r="I15" s="6">
        <v>11</v>
      </c>
      <c r="J15" s="6">
        <v>22</v>
      </c>
      <c r="K15" s="6">
        <v>7</v>
      </c>
      <c r="L15" s="6">
        <v>14</v>
      </c>
      <c r="M15" s="1">
        <f>IF(OR(H15="",H15&gt;30),"",IF(H15=1,60,IF(H15=2,55,IF(H15=3,50,IF(H15=4,44,IF(H15=5,38,IF(H15=6,32,IF(H15=7,28,IF(H15=8,25,IF(H15=9,22,IF(H15=10,21,IF(H15=11,20,IF(H15=12,19,IF(H15=13,18,IF(H15=14,17,IF(H15=15,16,IF(H15=16,15,IF(H15=17,14,IF(H15=18,13,IF(H15=19,12,IF(H15=20,11,IF(H15=21,10,IF(H15=22,9,IF(H15=23,8,IF(H15=24,7,IF(H15=25,6,IF(H15=26,5,IF(H15=27,4,IF(H15=28,3,IF(H15=29,2,IF(H15=30,1)))))))))))))))))))))))))))))))</f>
        <v>38</v>
      </c>
      <c r="N15" s="1">
        <f>IF(OR(I15="",I15&gt;30),"",IF(I15=1,60,IF(I15=2,55,IF(I15=3,50,IF(I15=4,44,IF(I15=5,38,IF(I15=6,32,IF(I15=7,28,IF(I15=8,25,IF(I15=9,22,IF(I15=10,21,IF(I15=11,20,IF(I15=12,19,IF(I15=13,18,IF(I15=14,17,IF(I15=15,16,IF(I15=16,15,IF(I15=17,14,IF(I15=18,13,IF(I15=19,12,IF(I15=20,11,IF(I15=21,10,IF(I15=22,9,IF(I15=23,8,IF(I15=24,7,IF(I15=25,6,IF(I15=26,5,IF(I15=27,4,IF(I15=28,3,IF(I15=29,2,IF(I15=30,1)))))))))))))))))))))))))))))))</f>
        <v>20</v>
      </c>
      <c r="O15" s="1">
        <f>IF(OR(J15="",J15&gt;30),"",IF(J15=1,60,IF(J15=2,55,IF(J15=3,50,IF(J15=4,44,IF(J15=5,38,IF(J15=6,32,IF(J15=7,28,IF(J15=8,25,IF(J15=9,22,IF(J15=10,21,IF(J15=11,20,IF(J15=12,19,IF(J15=13,18,IF(J15=14,17,IF(J15=15,16,IF(J15=16,15,IF(J15=17,14,IF(J15=18,13,IF(J15=19,12,IF(J15=20,11,IF(J15=21,10,IF(J15=22,9,IF(J15=23,8,IF(J15=24,7,IF(J15=25,6,IF(J15=26,5,IF(J15=27,4,IF(J15=28,3,IF(J15=29,2,IF(J15=30,1)))))))))))))))))))))))))))))))</f>
        <v>9</v>
      </c>
      <c r="P15" s="1">
        <f>IF(OR(K15="",K15&gt;30),"",IF(K15=1,60,IF(K15=2,55,IF(K15=3,50,IF(K15=4,44,IF(K15=5,38,IF(K15=6,32,IF(K15=7,28,IF(K15=8,25,IF(K15=9,22,IF(K15=10,21,IF(K15=11,20,IF(K15=12,19,IF(K15=13,18,IF(K15=14,17,IF(K15=15,16,IF(K15=16,15,IF(K15=17,14,IF(K15=18,13,IF(K15=19,12,IF(K15=20,11,IF(K15=21,10,IF(K15=22,9,IF(K15=23,8,IF(K15=24,7,IF(K15=25,6,IF(K15=26,5,IF(K15=27,4,IF(K15=28,3,IF(K15=29,2,IF(K15=30,1)))))))))))))))))))))))))))))))</f>
        <v>28</v>
      </c>
      <c r="Q15" s="1">
        <f>IF(OR(L15="",L15&gt;30),"",IF(L15=1,60,IF(L15=2,55,IF(L15=3,50,IF(L15=4,44,IF(L15=5,38,IF(L15=6,32,IF(L15=7,28,IF(L15=8,25,IF(L15=9,22,IF(L15=10,21,IF(L15=11,20,IF(L15=12,19,IF(L15=13,18,IF(L15=14,17,IF(L15=15,16,IF(L15=16,15,IF(L15=17,14,IF(L15=18,13,IF(L15=19,12,IF(L15=20,11,IF(L15=21,10,IF(L15=22,9,IF(L15=23,8,IF(L15=24,7,IF(L15=25,6,IF(L15=26,5,IF(L15=27,4,IF(L15=28,3,IF(L15=29,2,IF(L15=30,1)))))))))))))))))))))))))))))))</f>
        <v>17</v>
      </c>
      <c r="R15" s="12">
        <f>IF(A15="","",IF(OR(D15="P",E15="P"),"",IF(COUNT(M15:Q15)&lt;3,SUM(M15:Q15),LARGE(M15:Q15,1)+LARGE(M15:Q15,2))+(1000-V15)*10^-4+W15*10^-5+(100-X15)*10^-8+Y15*10^-10))</f>
        <v>66.098820950000004</v>
      </c>
      <c r="S15" s="2" t="str">
        <f>IF(OR(R15="",R15=0),"",IF(SUMPRODUCT(--(B$3:B$64=B15),--(R$3:R$64&gt;R15),--(R$3:R$64&lt;&gt;"")),"","P"))</f>
        <v/>
      </c>
      <c r="T15" s="2" t="str" cm="1">
        <f t="array" ref="T15">IF(R15="","",IF(SUMPRODUCT(--(D$3:D$64="P"),--(B$3:B$64=B15)),"P",""))</f>
        <v/>
      </c>
      <c r="U15" s="12" t="str">
        <f>IF(AND(S15&lt;&gt;"",OR(T15="",COUNTIF(R$3:R$64,"&gt;"&amp;R15)&lt;3)),R15,"")</f>
        <v/>
      </c>
      <c r="V15" s="1">
        <f>IF(COUNT(H15:L15)&lt;3,SUM(H15:L15),SMALL(H15:L15,1)+SMALL(H15:L15,2))</f>
        <v>12</v>
      </c>
      <c r="W15" s="1">
        <f>COUNTIF(H15:L15,"&lt;=8")</f>
        <v>2</v>
      </c>
      <c r="X15" s="1">
        <f>MIN(H15:L15)</f>
        <v>5</v>
      </c>
      <c r="Y15" s="13"/>
      <c r="Z15" s="2" t="str">
        <f>IF(OR(R15=R14,R15=R16),"P","")</f>
        <v/>
      </c>
    </row>
    <row r="16" spans="1:32" x14ac:dyDescent="0.2">
      <c r="A16" s="7" t="s">
        <v>64</v>
      </c>
      <c r="B16" s="6" t="s">
        <v>6</v>
      </c>
      <c r="C16" s="6" t="str">
        <f>IF(A16="","",VLOOKUP(B16,'Continental Affiliation'!A:B,2,0))</f>
        <v>Asia</v>
      </c>
      <c r="G16" s="3" t="str">
        <f>IF(U16="","",RANK(U16,U:U)+COUNTIF(D:E,"P"))</f>
        <v/>
      </c>
      <c r="H16" s="6">
        <v>4</v>
      </c>
      <c r="I16" s="6">
        <v>21</v>
      </c>
      <c r="J16" s="6">
        <v>9</v>
      </c>
      <c r="K16" s="6">
        <v>25</v>
      </c>
      <c r="L16" s="6">
        <v>66</v>
      </c>
      <c r="M16" s="1">
        <f>IF(OR(H16="",H16&gt;30),"",IF(H16=1,60,IF(H16=2,55,IF(H16=3,50,IF(H16=4,44,IF(H16=5,38,IF(H16=6,32,IF(H16=7,28,IF(H16=8,25,IF(H16=9,22,IF(H16=10,21,IF(H16=11,20,IF(H16=12,19,IF(H16=13,18,IF(H16=14,17,IF(H16=15,16,IF(H16=16,15,IF(H16=17,14,IF(H16=18,13,IF(H16=19,12,IF(H16=20,11,IF(H16=21,10,IF(H16=22,9,IF(H16=23,8,IF(H16=24,7,IF(H16=25,6,IF(H16=26,5,IF(H16=27,4,IF(H16=28,3,IF(H16=29,2,IF(H16=30,1)))))))))))))))))))))))))))))))</f>
        <v>44</v>
      </c>
      <c r="N16" s="1">
        <f>IF(OR(I16="",I16&gt;30),"",IF(I16=1,60,IF(I16=2,55,IF(I16=3,50,IF(I16=4,44,IF(I16=5,38,IF(I16=6,32,IF(I16=7,28,IF(I16=8,25,IF(I16=9,22,IF(I16=10,21,IF(I16=11,20,IF(I16=12,19,IF(I16=13,18,IF(I16=14,17,IF(I16=15,16,IF(I16=16,15,IF(I16=17,14,IF(I16=18,13,IF(I16=19,12,IF(I16=20,11,IF(I16=21,10,IF(I16=22,9,IF(I16=23,8,IF(I16=24,7,IF(I16=25,6,IF(I16=26,5,IF(I16=27,4,IF(I16=28,3,IF(I16=29,2,IF(I16=30,1)))))))))))))))))))))))))))))))</f>
        <v>10</v>
      </c>
      <c r="O16" s="1">
        <f>IF(OR(J16="",J16&gt;30),"",IF(J16=1,60,IF(J16=2,55,IF(J16=3,50,IF(J16=4,44,IF(J16=5,38,IF(J16=6,32,IF(J16=7,28,IF(J16=8,25,IF(J16=9,22,IF(J16=10,21,IF(J16=11,20,IF(J16=12,19,IF(J16=13,18,IF(J16=14,17,IF(J16=15,16,IF(J16=16,15,IF(J16=17,14,IF(J16=18,13,IF(J16=19,12,IF(J16=20,11,IF(J16=21,10,IF(J16=22,9,IF(J16=23,8,IF(J16=24,7,IF(J16=25,6,IF(J16=26,5,IF(J16=27,4,IF(J16=28,3,IF(J16=29,2,IF(J16=30,1)))))))))))))))))))))))))))))))</f>
        <v>22</v>
      </c>
      <c r="P16" s="1">
        <f>IF(OR(K16="",K16&gt;30),"",IF(K16=1,60,IF(K16=2,55,IF(K16=3,50,IF(K16=4,44,IF(K16=5,38,IF(K16=6,32,IF(K16=7,28,IF(K16=8,25,IF(K16=9,22,IF(K16=10,21,IF(K16=11,20,IF(K16=12,19,IF(K16=13,18,IF(K16=14,17,IF(K16=15,16,IF(K16=16,15,IF(K16=17,14,IF(K16=18,13,IF(K16=19,12,IF(K16=20,11,IF(K16=21,10,IF(K16=22,9,IF(K16=23,8,IF(K16=24,7,IF(K16=25,6,IF(K16=26,5,IF(K16=27,4,IF(K16=28,3,IF(K16=29,2,IF(K16=30,1)))))))))))))))))))))))))))))))</f>
        <v>6</v>
      </c>
      <c r="Q16" s="1" t="str">
        <f>IF(OR(L16="",L16&gt;30),"",IF(L16=1,60,IF(L16=2,55,IF(L16=3,50,IF(L16=4,44,IF(L16=5,38,IF(L16=6,32,IF(L16=7,28,IF(L16=8,25,IF(L16=9,22,IF(L16=10,21,IF(L16=11,20,IF(L16=12,19,IF(L16=13,18,IF(L16=14,17,IF(L16=15,16,IF(L16=16,15,IF(L16=17,14,IF(L16=18,13,IF(L16=19,12,IF(L16=20,11,IF(L16=21,10,IF(L16=22,9,IF(L16=23,8,IF(L16=24,7,IF(L16=25,6,IF(L16=26,5,IF(L16=27,4,IF(L16=28,3,IF(L16=29,2,IF(L16=30,1)))))))))))))))))))))))))))))))</f>
        <v/>
      </c>
      <c r="R16" s="12">
        <f>IF(A16="","",IF(OR(D16="P",E16="P"),"",IF(COUNT(M16:Q16)&lt;3,SUM(M16:Q16),LARGE(M16:Q16,1)+LARGE(M16:Q16,2))+(1000-V16)*10^-4+W16*10^-5+(100-X16)*10^-8+Y16*10^-10))</f>
        <v>66.098710959999991</v>
      </c>
      <c r="S16" s="2" t="str">
        <f>IF(OR(R16="",R16=0),"",IF(SUMPRODUCT(--(B$3:B$64=B16),--(R$3:R$64&gt;R16),--(R$3:R$64&lt;&gt;"")),"","P"))</f>
        <v/>
      </c>
      <c r="T16" s="2" t="str" cm="1">
        <f t="array" ref="T16">IF(R16="","",IF(SUMPRODUCT(--(D$3:D$64="P"),--(B$3:B$64=B16)),"P",""))</f>
        <v>P</v>
      </c>
      <c r="U16" s="12" t="str">
        <f>IF(AND(S16&lt;&gt;"",OR(T16="",COUNTIF(R$3:R$64,"&gt;"&amp;R16)&lt;3)),R16,"")</f>
        <v/>
      </c>
      <c r="V16" s="1">
        <f>IF(COUNT(H16:L16)&lt;3,SUM(H16:L16),SMALL(H16:L16,1)+SMALL(H16:L16,2))</f>
        <v>13</v>
      </c>
      <c r="W16" s="1">
        <f>COUNTIF(H16:L16,"&lt;=8")</f>
        <v>1</v>
      </c>
      <c r="X16" s="1">
        <f>MIN(H16:L16)</f>
        <v>4</v>
      </c>
      <c r="Y16" s="13"/>
      <c r="Z16" s="2" t="str">
        <f>IF(OR(R16=R15,R16=R17),"P","")</f>
        <v/>
      </c>
    </row>
    <row r="17" spans="1:26" x14ac:dyDescent="0.2">
      <c r="A17" s="7" t="s">
        <v>4</v>
      </c>
      <c r="B17" s="6" t="s">
        <v>8</v>
      </c>
      <c r="C17" s="6" t="str">
        <f>IF(A17="","",VLOOKUP(B17,'Continental Affiliation'!A:B,2,0))</f>
        <v>Asia</v>
      </c>
      <c r="G17" s="3" t="str">
        <f>IF(U17="","",RANK(U17,U:U)+COUNTIF(D:E,"P"))</f>
        <v/>
      </c>
      <c r="H17" s="6">
        <v>8</v>
      </c>
      <c r="I17" s="6">
        <v>5</v>
      </c>
      <c r="J17" s="6" t="s">
        <v>143</v>
      </c>
      <c r="K17" s="6" t="s">
        <v>143</v>
      </c>
      <c r="L17" s="6" t="s">
        <v>143</v>
      </c>
      <c r="M17" s="1">
        <f>IF(OR(H17="",H17&gt;30),"",IF(H17=1,60,IF(H17=2,55,IF(H17=3,50,IF(H17=4,44,IF(H17=5,38,IF(H17=6,32,IF(H17=7,28,IF(H17=8,25,IF(H17=9,22,IF(H17=10,21,IF(H17=11,20,IF(H17=12,19,IF(H17=13,18,IF(H17=14,17,IF(H17=15,16,IF(H17=16,15,IF(H17=17,14,IF(H17=18,13,IF(H17=19,12,IF(H17=20,11,IF(H17=21,10,IF(H17=22,9,IF(H17=23,8,IF(H17=24,7,IF(H17=25,6,IF(H17=26,5,IF(H17=27,4,IF(H17=28,3,IF(H17=29,2,IF(H17=30,1)))))))))))))))))))))))))))))))</f>
        <v>25</v>
      </c>
      <c r="N17" s="1">
        <f>IF(OR(I17="",I17&gt;30),"",IF(I17=1,60,IF(I17=2,55,IF(I17=3,50,IF(I17=4,44,IF(I17=5,38,IF(I17=6,32,IF(I17=7,28,IF(I17=8,25,IF(I17=9,22,IF(I17=10,21,IF(I17=11,20,IF(I17=12,19,IF(I17=13,18,IF(I17=14,17,IF(I17=15,16,IF(I17=16,15,IF(I17=17,14,IF(I17=18,13,IF(I17=19,12,IF(I17=20,11,IF(I17=21,10,IF(I17=22,9,IF(I17=23,8,IF(I17=24,7,IF(I17=25,6,IF(I17=26,5,IF(I17=27,4,IF(I17=28,3,IF(I17=29,2,IF(I17=30,1)))))))))))))))))))))))))))))))</f>
        <v>38</v>
      </c>
      <c r="O17" s="1" t="str">
        <f>IF(OR(J17="",J17&gt;30),"",IF(J17=1,60,IF(J17=2,55,IF(J17=3,50,IF(J17=4,44,IF(J17=5,38,IF(J17=6,32,IF(J17=7,28,IF(J17=8,25,IF(J17=9,22,IF(J17=10,21,IF(J17=11,20,IF(J17=12,19,IF(J17=13,18,IF(J17=14,17,IF(J17=15,16,IF(J17=16,15,IF(J17=17,14,IF(J17=18,13,IF(J17=19,12,IF(J17=20,11,IF(J17=21,10,IF(J17=22,9,IF(J17=23,8,IF(J17=24,7,IF(J17=25,6,IF(J17=26,5,IF(J17=27,4,IF(J17=28,3,IF(J17=29,2,IF(J17=30,1)))))))))))))))))))))))))))))))</f>
        <v/>
      </c>
      <c r="P17" s="1" t="str">
        <f>IF(OR(K17="",K17&gt;30),"",IF(K17=1,60,IF(K17=2,55,IF(K17=3,50,IF(K17=4,44,IF(K17=5,38,IF(K17=6,32,IF(K17=7,28,IF(K17=8,25,IF(K17=9,22,IF(K17=10,21,IF(K17=11,20,IF(K17=12,19,IF(K17=13,18,IF(K17=14,17,IF(K17=15,16,IF(K17=16,15,IF(K17=17,14,IF(K17=18,13,IF(K17=19,12,IF(K17=20,11,IF(K17=21,10,IF(K17=22,9,IF(K17=23,8,IF(K17=24,7,IF(K17=25,6,IF(K17=26,5,IF(K17=27,4,IF(K17=28,3,IF(K17=29,2,IF(K17=30,1)))))))))))))))))))))))))))))))</f>
        <v/>
      </c>
      <c r="Q17" s="1" t="str">
        <f>IF(OR(L17="",L17&gt;30),"",IF(L17=1,60,IF(L17=2,55,IF(L17=3,50,IF(L17=4,44,IF(L17=5,38,IF(L17=6,32,IF(L17=7,28,IF(L17=8,25,IF(L17=9,22,IF(L17=10,21,IF(L17=11,20,IF(L17=12,19,IF(L17=13,18,IF(L17=14,17,IF(L17=15,16,IF(L17=16,15,IF(L17=17,14,IF(L17=18,13,IF(L17=19,12,IF(L17=20,11,IF(L17=21,10,IF(L17=22,9,IF(L17=23,8,IF(L17=24,7,IF(L17=25,6,IF(L17=26,5,IF(L17=27,4,IF(L17=28,3,IF(L17=29,2,IF(L17=30,1)))))))))))))))))))))))))))))))</f>
        <v/>
      </c>
      <c r="R17" s="12">
        <f>IF(A17="","",IF(OR(D17="P",E17="P"),"",IF(COUNT(M17:Q17)&lt;3,SUM(M17:Q17),LARGE(M17:Q17,1)+LARGE(M17:Q17,2))+(1000-V17)*10^-4+W17*10^-5+(100-X17)*10^-8+Y17*10^-10))</f>
        <v>63.098720950000001</v>
      </c>
      <c r="S17" s="2" t="str">
        <f>IF(OR(R17="",R17=0),"",IF(SUMPRODUCT(--(B$3:B$64=B17),--(R$3:R$64&gt;R17),--(R$3:R$64&lt;&gt;"")),"","P"))</f>
        <v/>
      </c>
      <c r="T17" s="2" t="str" cm="1">
        <f t="array" ref="T17">IF(R17="","",IF(SUMPRODUCT(--(D$3:D$64="P"),--(B$3:B$64=B17)),"P",""))</f>
        <v/>
      </c>
      <c r="U17" s="12" t="str">
        <f>IF(AND(S17&lt;&gt;"",OR(T17="",COUNTIF(R$3:R$64,"&gt;"&amp;R17)&lt;3)),R17,"")</f>
        <v/>
      </c>
      <c r="V17" s="1">
        <f>IF(COUNT(H17:L17)&lt;3,SUM(H17:L17),SMALL(H17:L17,1)+SMALL(H17:L17,2))</f>
        <v>13</v>
      </c>
      <c r="W17" s="1">
        <f>COUNTIF(H17:L17,"&lt;=8")</f>
        <v>2</v>
      </c>
      <c r="X17" s="1">
        <f>MIN(H17:L17)</f>
        <v>5</v>
      </c>
      <c r="Y17" s="13"/>
      <c r="Z17" s="2" t="str">
        <f>IF(OR(R17=R16,R17=R18),"P","")</f>
        <v/>
      </c>
    </row>
    <row r="18" spans="1:26" x14ac:dyDescent="0.2">
      <c r="A18" s="7" t="s">
        <v>18</v>
      </c>
      <c r="B18" s="6" t="s">
        <v>24</v>
      </c>
      <c r="C18" s="6" t="str">
        <f>IF(A18="","",VLOOKUP(B18,'Continental Affiliation'!A:B,2,0))</f>
        <v>Oceana</v>
      </c>
      <c r="G18" s="3">
        <f>IF(U18="","",RANK(U18,U:U)+COUNTIF(D:E,"P"))</f>
        <v>11</v>
      </c>
      <c r="H18" s="6">
        <v>12</v>
      </c>
      <c r="I18" s="6">
        <v>8</v>
      </c>
      <c r="J18" s="6">
        <v>15</v>
      </c>
      <c r="K18" s="6">
        <v>11</v>
      </c>
      <c r="L18" s="6">
        <v>6</v>
      </c>
      <c r="M18" s="1">
        <f>IF(OR(H18="",H18&gt;30),"",IF(H18=1,60,IF(H18=2,55,IF(H18=3,50,IF(H18=4,44,IF(H18=5,38,IF(H18=6,32,IF(H18=7,28,IF(H18=8,25,IF(H18=9,22,IF(H18=10,21,IF(H18=11,20,IF(H18=12,19,IF(H18=13,18,IF(H18=14,17,IF(H18=15,16,IF(H18=16,15,IF(H18=17,14,IF(H18=18,13,IF(H18=19,12,IF(H18=20,11,IF(H18=21,10,IF(H18=22,9,IF(H18=23,8,IF(H18=24,7,IF(H18=25,6,IF(H18=26,5,IF(H18=27,4,IF(H18=28,3,IF(H18=29,2,IF(H18=30,1)))))))))))))))))))))))))))))))</f>
        <v>19</v>
      </c>
      <c r="N18" s="1">
        <f>IF(OR(I18="",I18&gt;30),"",IF(I18=1,60,IF(I18=2,55,IF(I18=3,50,IF(I18=4,44,IF(I18=5,38,IF(I18=6,32,IF(I18=7,28,IF(I18=8,25,IF(I18=9,22,IF(I18=10,21,IF(I18=11,20,IF(I18=12,19,IF(I18=13,18,IF(I18=14,17,IF(I18=15,16,IF(I18=16,15,IF(I18=17,14,IF(I18=18,13,IF(I18=19,12,IF(I18=20,11,IF(I18=21,10,IF(I18=22,9,IF(I18=23,8,IF(I18=24,7,IF(I18=25,6,IF(I18=26,5,IF(I18=27,4,IF(I18=28,3,IF(I18=29,2,IF(I18=30,1)))))))))))))))))))))))))))))))</f>
        <v>25</v>
      </c>
      <c r="O18" s="1">
        <f>IF(OR(J18="",J18&gt;30),"",IF(J18=1,60,IF(J18=2,55,IF(J18=3,50,IF(J18=4,44,IF(J18=5,38,IF(J18=6,32,IF(J18=7,28,IF(J18=8,25,IF(J18=9,22,IF(J18=10,21,IF(J18=11,20,IF(J18=12,19,IF(J18=13,18,IF(J18=14,17,IF(J18=15,16,IF(J18=16,15,IF(J18=17,14,IF(J18=18,13,IF(J18=19,12,IF(J18=20,11,IF(J18=21,10,IF(J18=22,9,IF(J18=23,8,IF(J18=24,7,IF(J18=25,6,IF(J18=26,5,IF(J18=27,4,IF(J18=28,3,IF(J18=29,2,IF(J18=30,1)))))))))))))))))))))))))))))))</f>
        <v>16</v>
      </c>
      <c r="P18" s="1">
        <f>IF(OR(K18="",K18&gt;30),"",IF(K18=1,60,IF(K18=2,55,IF(K18=3,50,IF(K18=4,44,IF(K18=5,38,IF(K18=6,32,IF(K18=7,28,IF(K18=8,25,IF(K18=9,22,IF(K18=10,21,IF(K18=11,20,IF(K18=12,19,IF(K18=13,18,IF(K18=14,17,IF(K18=15,16,IF(K18=16,15,IF(K18=17,14,IF(K18=18,13,IF(K18=19,12,IF(K18=20,11,IF(K18=21,10,IF(K18=22,9,IF(K18=23,8,IF(K18=24,7,IF(K18=25,6,IF(K18=26,5,IF(K18=27,4,IF(K18=28,3,IF(K18=29,2,IF(K18=30,1)))))))))))))))))))))))))))))))</f>
        <v>20</v>
      </c>
      <c r="Q18" s="1">
        <f>IF(OR(L18="",L18&gt;30),"",IF(L18=1,60,IF(L18=2,55,IF(L18=3,50,IF(L18=4,44,IF(L18=5,38,IF(L18=6,32,IF(L18=7,28,IF(L18=8,25,IF(L18=9,22,IF(L18=10,21,IF(L18=11,20,IF(L18=12,19,IF(L18=13,18,IF(L18=14,17,IF(L18=15,16,IF(L18=16,15,IF(L18=17,14,IF(L18=18,13,IF(L18=19,12,IF(L18=20,11,IF(L18=21,10,IF(L18=22,9,IF(L18=23,8,IF(L18=24,7,IF(L18=25,6,IF(L18=26,5,IF(L18=27,4,IF(L18=28,3,IF(L18=29,2,IF(L18=30,1)))))))))))))))))))))))))))))))</f>
        <v>32</v>
      </c>
      <c r="R18" s="12">
        <f>IF(A18="","",IF(OR(D18="P",E18="P"),"",IF(COUNT(M18:Q18)&lt;3,SUM(M18:Q18),LARGE(M18:Q18,1)+LARGE(M18:Q18,2))+(1000-V18)*10^-4+W18*10^-5+(100-X18)*10^-8+Y18*10^-10))</f>
        <v>57.098620939999996</v>
      </c>
      <c r="S18" s="2" t="str">
        <f>IF(OR(R18="",R18=0),"",IF(SUMPRODUCT(--(B$3:B$64=B18),--(R$3:R$64&gt;R18),--(R$3:R$64&lt;&gt;"")),"","P"))</f>
        <v>P</v>
      </c>
      <c r="T18" s="2" t="str" cm="1">
        <f t="array" ref="T18">IF(R18="","",IF(SUMPRODUCT(--(D$3:D$64="P"),--(B$3:B$64=B18)),"P",""))</f>
        <v/>
      </c>
      <c r="U18" s="12">
        <f>IF(AND(S18&lt;&gt;"",OR(T18="",COUNTIF(R$3:R$64,"&gt;"&amp;R18)&lt;3)),R18,"")</f>
        <v>57.098620939999996</v>
      </c>
      <c r="V18" s="1">
        <f>IF(COUNT(H18:L18)&lt;3,SUM(H18:L18),SMALL(H18:L18,1)+SMALL(H18:L18,2))</f>
        <v>14</v>
      </c>
      <c r="W18" s="1">
        <f>COUNTIF(H18:L18,"&lt;=8")</f>
        <v>2</v>
      </c>
      <c r="X18" s="1">
        <f>MIN(H18:L18)</f>
        <v>6</v>
      </c>
      <c r="Y18" s="13"/>
      <c r="Z18" s="2" t="str">
        <f>IF(OR(R18=R17,R18=R19),"P","")</f>
        <v/>
      </c>
    </row>
    <row r="19" spans="1:26" x14ac:dyDescent="0.2">
      <c r="A19" s="7" t="s">
        <v>108</v>
      </c>
      <c r="B19" s="6" t="s">
        <v>25</v>
      </c>
      <c r="C19" s="6" t="str">
        <f>IF(A19="","",VLOOKUP(B19,'Continental Affiliation'!A:B,2,0))</f>
        <v>Americas</v>
      </c>
      <c r="G19" s="3" t="str">
        <f>IF(U19="","",RANK(U19,U:U)+COUNTIF(D:E,"P"))</f>
        <v/>
      </c>
      <c r="H19" s="6">
        <v>19</v>
      </c>
      <c r="I19" s="6">
        <v>24</v>
      </c>
      <c r="J19" s="6">
        <v>31</v>
      </c>
      <c r="K19" s="6">
        <v>12</v>
      </c>
      <c r="L19" s="6">
        <v>5</v>
      </c>
      <c r="M19" s="1">
        <f>IF(OR(H19="",H19&gt;30),"",IF(H19=1,60,IF(H19=2,55,IF(H19=3,50,IF(H19=4,44,IF(H19=5,38,IF(H19=6,32,IF(H19=7,28,IF(H19=8,25,IF(H19=9,22,IF(H19=10,21,IF(H19=11,20,IF(H19=12,19,IF(H19=13,18,IF(H19=14,17,IF(H19=15,16,IF(H19=16,15,IF(H19=17,14,IF(H19=18,13,IF(H19=19,12,IF(H19=20,11,IF(H19=21,10,IF(H19=22,9,IF(H19=23,8,IF(H19=24,7,IF(H19=25,6,IF(H19=26,5,IF(H19=27,4,IF(H19=28,3,IF(H19=29,2,IF(H19=30,1)))))))))))))))))))))))))))))))</f>
        <v>12</v>
      </c>
      <c r="N19" s="1">
        <f>IF(OR(I19="",I19&gt;30),"",IF(I19=1,60,IF(I19=2,55,IF(I19=3,50,IF(I19=4,44,IF(I19=5,38,IF(I19=6,32,IF(I19=7,28,IF(I19=8,25,IF(I19=9,22,IF(I19=10,21,IF(I19=11,20,IF(I19=12,19,IF(I19=13,18,IF(I19=14,17,IF(I19=15,16,IF(I19=16,15,IF(I19=17,14,IF(I19=18,13,IF(I19=19,12,IF(I19=20,11,IF(I19=21,10,IF(I19=22,9,IF(I19=23,8,IF(I19=24,7,IF(I19=25,6,IF(I19=26,5,IF(I19=27,4,IF(I19=28,3,IF(I19=29,2,IF(I19=30,1)))))))))))))))))))))))))))))))</f>
        <v>7</v>
      </c>
      <c r="O19" s="1" t="str">
        <f>IF(OR(J19="",J19&gt;30),"",IF(J19=1,60,IF(J19=2,55,IF(J19=3,50,IF(J19=4,44,IF(J19=5,38,IF(J19=6,32,IF(J19=7,28,IF(J19=8,25,IF(J19=9,22,IF(J19=10,21,IF(J19=11,20,IF(J19=12,19,IF(J19=13,18,IF(J19=14,17,IF(J19=15,16,IF(J19=16,15,IF(J19=17,14,IF(J19=18,13,IF(J19=19,12,IF(J19=20,11,IF(J19=21,10,IF(J19=22,9,IF(J19=23,8,IF(J19=24,7,IF(J19=25,6,IF(J19=26,5,IF(J19=27,4,IF(J19=28,3,IF(J19=29,2,IF(J19=30,1)))))))))))))))))))))))))))))))</f>
        <v/>
      </c>
      <c r="P19" s="1">
        <f>IF(OR(K19="",K19&gt;30),"",IF(K19=1,60,IF(K19=2,55,IF(K19=3,50,IF(K19=4,44,IF(K19=5,38,IF(K19=6,32,IF(K19=7,28,IF(K19=8,25,IF(K19=9,22,IF(K19=10,21,IF(K19=11,20,IF(K19=12,19,IF(K19=13,18,IF(K19=14,17,IF(K19=15,16,IF(K19=16,15,IF(K19=17,14,IF(K19=18,13,IF(K19=19,12,IF(K19=20,11,IF(K19=21,10,IF(K19=22,9,IF(K19=23,8,IF(K19=24,7,IF(K19=25,6,IF(K19=26,5,IF(K19=27,4,IF(K19=28,3,IF(K19=29,2,IF(K19=30,1)))))))))))))))))))))))))))))))</f>
        <v>19</v>
      </c>
      <c r="Q19" s="1">
        <f>IF(OR(L19="",L19&gt;30),"",IF(L19=1,60,IF(L19=2,55,IF(L19=3,50,IF(L19=4,44,IF(L19=5,38,IF(L19=6,32,IF(L19=7,28,IF(L19=8,25,IF(L19=9,22,IF(L19=10,21,IF(L19=11,20,IF(L19=12,19,IF(L19=13,18,IF(L19=14,17,IF(L19=15,16,IF(L19=16,15,IF(L19=17,14,IF(L19=18,13,IF(L19=19,12,IF(L19=20,11,IF(L19=21,10,IF(L19=22,9,IF(L19=23,8,IF(L19=24,7,IF(L19=25,6,IF(L19=26,5,IF(L19=27,4,IF(L19=28,3,IF(L19=29,2,IF(L19=30,1)))))))))))))))))))))))))))))))</f>
        <v>38</v>
      </c>
      <c r="R19" s="12">
        <f>IF(A19="","",IF(OR(D19="P",E19="P"),"",IF(COUNT(M19:Q19)&lt;3,SUM(M19:Q19),LARGE(M19:Q19,1)+LARGE(M19:Q19,2))+(1000-V19)*10^-4+W19*10^-5+(100-X19)*10^-8+Y19*10^-10))</f>
        <v>57.098310950000005</v>
      </c>
      <c r="S19" s="2" t="str">
        <f>IF(OR(R19="",R19=0),"",IF(SUMPRODUCT(--(B$3:B$64=B19),--(R$3:R$64&gt;R19),--(R$3:R$64&lt;&gt;"")),"","P"))</f>
        <v>P</v>
      </c>
      <c r="T19" s="2" t="str" cm="1">
        <f t="array" ref="T19">IF(R19="","",IF(SUMPRODUCT(--(D$3:D$64="P"),--(B$3:B$64=B19)),"P",""))</f>
        <v>P</v>
      </c>
      <c r="U19" s="12" t="str">
        <f>IF(AND(S19&lt;&gt;"",OR(T19="",COUNTIF(R$3:R$64,"&gt;"&amp;R19)&lt;3)),R19,"")</f>
        <v/>
      </c>
      <c r="V19" s="1">
        <f>IF(COUNT(H19:L19)&lt;3,SUM(H19:L19),SMALL(H19:L19,1)+SMALL(H19:L19,2))</f>
        <v>17</v>
      </c>
      <c r="W19" s="1">
        <f>COUNTIF(H19:L19,"&lt;=8")</f>
        <v>1</v>
      </c>
      <c r="X19" s="1">
        <f>MIN(H19:L19)</f>
        <v>5</v>
      </c>
      <c r="Y19" s="13"/>
      <c r="Z19" s="2" t="str">
        <f>IF(OR(R19=R18,R19=R20),"P","")</f>
        <v/>
      </c>
    </row>
    <row r="20" spans="1:26" x14ac:dyDescent="0.2">
      <c r="A20" s="7" t="s">
        <v>65</v>
      </c>
      <c r="B20" s="6" t="s">
        <v>22</v>
      </c>
      <c r="C20" s="6" t="str">
        <f>IF(A20="","",VLOOKUP(B20,'Continental Affiliation'!A:B,2,0))</f>
        <v>Europe</v>
      </c>
      <c r="G20" s="3">
        <f>IF(U20="","",RANK(U20,U:U)+COUNTIF(D:E,"P"))</f>
        <v>12</v>
      </c>
      <c r="H20" s="6">
        <v>11</v>
      </c>
      <c r="I20" s="6">
        <v>42</v>
      </c>
      <c r="J20" s="6">
        <v>8</v>
      </c>
      <c r="K20" s="6">
        <v>13</v>
      </c>
      <c r="L20" s="6">
        <v>33</v>
      </c>
      <c r="M20" s="1">
        <f>IF(OR(H20="",H20&gt;30),"",IF(H20=1,60,IF(H20=2,55,IF(H20=3,50,IF(H20=4,44,IF(H20=5,38,IF(H20=6,32,IF(H20=7,28,IF(H20=8,25,IF(H20=9,22,IF(H20=10,21,IF(H20=11,20,IF(H20=12,19,IF(H20=13,18,IF(H20=14,17,IF(H20=15,16,IF(H20=16,15,IF(H20=17,14,IF(H20=18,13,IF(H20=19,12,IF(H20=20,11,IF(H20=21,10,IF(H20=22,9,IF(H20=23,8,IF(H20=24,7,IF(H20=25,6,IF(H20=26,5,IF(H20=27,4,IF(H20=28,3,IF(H20=29,2,IF(H20=30,1)))))))))))))))))))))))))))))))</f>
        <v>20</v>
      </c>
      <c r="N20" s="1" t="str">
        <f>IF(OR(I20="",I20&gt;30),"",IF(I20=1,60,IF(I20=2,55,IF(I20=3,50,IF(I20=4,44,IF(I20=5,38,IF(I20=6,32,IF(I20=7,28,IF(I20=8,25,IF(I20=9,22,IF(I20=10,21,IF(I20=11,20,IF(I20=12,19,IF(I20=13,18,IF(I20=14,17,IF(I20=15,16,IF(I20=16,15,IF(I20=17,14,IF(I20=18,13,IF(I20=19,12,IF(I20=20,11,IF(I20=21,10,IF(I20=22,9,IF(I20=23,8,IF(I20=24,7,IF(I20=25,6,IF(I20=26,5,IF(I20=27,4,IF(I20=28,3,IF(I20=29,2,IF(I20=30,1)))))))))))))))))))))))))))))))</f>
        <v/>
      </c>
      <c r="O20" s="1">
        <f>IF(OR(J20="",J20&gt;30),"",IF(J20=1,60,IF(J20=2,55,IF(J20=3,50,IF(J20=4,44,IF(J20=5,38,IF(J20=6,32,IF(J20=7,28,IF(J20=8,25,IF(J20=9,22,IF(J20=10,21,IF(J20=11,20,IF(J20=12,19,IF(J20=13,18,IF(J20=14,17,IF(J20=15,16,IF(J20=16,15,IF(J20=17,14,IF(J20=18,13,IF(J20=19,12,IF(J20=20,11,IF(J20=21,10,IF(J20=22,9,IF(J20=23,8,IF(J20=24,7,IF(J20=25,6,IF(J20=26,5,IF(J20=27,4,IF(J20=28,3,IF(J20=29,2,IF(J20=30,1)))))))))))))))))))))))))))))))</f>
        <v>25</v>
      </c>
      <c r="P20" s="1">
        <f>IF(OR(K20="",K20&gt;30),"",IF(K20=1,60,IF(K20=2,55,IF(K20=3,50,IF(K20=4,44,IF(K20=5,38,IF(K20=6,32,IF(K20=7,28,IF(K20=8,25,IF(K20=9,22,IF(K20=10,21,IF(K20=11,20,IF(K20=12,19,IF(K20=13,18,IF(K20=14,17,IF(K20=15,16,IF(K20=16,15,IF(K20=17,14,IF(K20=18,13,IF(K20=19,12,IF(K20=20,11,IF(K20=21,10,IF(K20=22,9,IF(K20=23,8,IF(K20=24,7,IF(K20=25,6,IF(K20=26,5,IF(K20=27,4,IF(K20=28,3,IF(K20=29,2,IF(K20=30,1)))))))))))))))))))))))))))))))</f>
        <v>18</v>
      </c>
      <c r="Q20" s="1" t="str">
        <f>IF(OR(L20="",L20&gt;30),"",IF(L20=1,60,IF(L20=2,55,IF(L20=3,50,IF(L20=4,44,IF(L20=5,38,IF(L20=6,32,IF(L20=7,28,IF(L20=8,25,IF(L20=9,22,IF(L20=10,21,IF(L20=11,20,IF(L20=12,19,IF(L20=13,18,IF(L20=14,17,IF(L20=15,16,IF(L20=16,15,IF(L20=17,14,IF(L20=18,13,IF(L20=19,12,IF(L20=20,11,IF(L20=21,10,IF(L20=22,9,IF(L20=23,8,IF(L20=24,7,IF(L20=25,6,IF(L20=26,5,IF(L20=27,4,IF(L20=28,3,IF(L20=29,2,IF(L20=30,1)))))))))))))))))))))))))))))))</f>
        <v/>
      </c>
      <c r="R20" s="12">
        <f>IF(A20="","",IF(OR(D20="P",E20="P"),"",IF(COUNT(M20:Q20)&lt;3,SUM(M20:Q20),LARGE(M20:Q20,1)+LARGE(M20:Q20,2))+(1000-V20)*10^-4+W20*10^-5+(100-X20)*10^-8+Y20*10^-10))</f>
        <v>45.098110920000003</v>
      </c>
      <c r="S20" s="2" t="str">
        <f>IF(OR(R20="",R20=0),"",IF(SUMPRODUCT(--(B$3:B$64=B20),--(R$3:R$64&gt;R20),--(R$3:R$64&lt;&gt;"")),"","P"))</f>
        <v>P</v>
      </c>
      <c r="T20" s="2" t="str" cm="1">
        <f t="array" ref="T20">IF(R20="","",IF(SUMPRODUCT(--(D$3:D$64="P"),--(B$3:B$64=B20)),"P",""))</f>
        <v/>
      </c>
      <c r="U20" s="12">
        <f>IF(AND(S20&lt;&gt;"",OR(T20="",COUNTIF(R$3:R$64,"&gt;"&amp;R20)&lt;3)),R20,"")</f>
        <v>45.098110920000003</v>
      </c>
      <c r="V20" s="1">
        <f>IF(COUNT(H20:L20)&lt;3,SUM(H20:L20),SMALL(H20:L20,1)+SMALL(H20:L20,2))</f>
        <v>19</v>
      </c>
      <c r="W20" s="1">
        <f>COUNTIF(H20:L20,"&lt;=8")</f>
        <v>1</v>
      </c>
      <c r="X20" s="1">
        <f>MIN(H20:L20)</f>
        <v>8</v>
      </c>
      <c r="Y20" s="13"/>
      <c r="Z20" s="2" t="str">
        <f>IF(OR(R20=R19,R20=R21),"P","")</f>
        <v/>
      </c>
    </row>
    <row r="21" spans="1:26" x14ac:dyDescent="0.2">
      <c r="A21" s="7" t="s">
        <v>165</v>
      </c>
      <c r="B21" s="6" t="s">
        <v>6</v>
      </c>
      <c r="C21" s="6" t="str">
        <f>IF(A21="","",VLOOKUP(B21,'Continental Affiliation'!A:B,2,0))</f>
        <v>Asia</v>
      </c>
      <c r="G21" s="3" t="str">
        <f>IF(U21="","",RANK(U21,U:U)+COUNTIF(D:E,"P"))</f>
        <v/>
      </c>
      <c r="H21" s="6" t="s">
        <v>143</v>
      </c>
      <c r="I21" s="6" t="s">
        <v>143</v>
      </c>
      <c r="J21" s="6" t="s">
        <v>143</v>
      </c>
      <c r="K21" s="6">
        <v>9</v>
      </c>
      <c r="L21" s="6">
        <v>9</v>
      </c>
      <c r="M21" s="1" t="str">
        <f>IF(OR(H21="",H21&gt;30),"",IF(H21=1,60,IF(H21=2,55,IF(H21=3,50,IF(H21=4,44,IF(H21=5,38,IF(H21=6,32,IF(H21=7,28,IF(H21=8,25,IF(H21=9,22,IF(H21=10,21,IF(H21=11,20,IF(H21=12,19,IF(H21=13,18,IF(H21=14,17,IF(H21=15,16,IF(H21=16,15,IF(H21=17,14,IF(H21=18,13,IF(H21=19,12,IF(H21=20,11,IF(H21=21,10,IF(H21=22,9,IF(H21=23,8,IF(H21=24,7,IF(H21=25,6,IF(H21=26,5,IF(H21=27,4,IF(H21=28,3,IF(H21=29,2,IF(H21=30,1)))))))))))))))))))))))))))))))</f>
        <v/>
      </c>
      <c r="N21" s="1" t="str">
        <f>IF(OR(I21="",I21&gt;30),"",IF(I21=1,60,IF(I21=2,55,IF(I21=3,50,IF(I21=4,44,IF(I21=5,38,IF(I21=6,32,IF(I21=7,28,IF(I21=8,25,IF(I21=9,22,IF(I21=10,21,IF(I21=11,20,IF(I21=12,19,IF(I21=13,18,IF(I21=14,17,IF(I21=15,16,IF(I21=16,15,IF(I21=17,14,IF(I21=18,13,IF(I21=19,12,IF(I21=20,11,IF(I21=21,10,IF(I21=22,9,IF(I21=23,8,IF(I21=24,7,IF(I21=25,6,IF(I21=26,5,IF(I21=27,4,IF(I21=28,3,IF(I21=29,2,IF(I21=30,1)))))))))))))))))))))))))))))))</f>
        <v/>
      </c>
      <c r="O21" s="1" t="str">
        <f>IF(OR(J21="",J21&gt;30),"",IF(J21=1,60,IF(J21=2,55,IF(J21=3,50,IF(J21=4,44,IF(J21=5,38,IF(J21=6,32,IF(J21=7,28,IF(J21=8,25,IF(J21=9,22,IF(J21=10,21,IF(J21=11,20,IF(J21=12,19,IF(J21=13,18,IF(J21=14,17,IF(J21=15,16,IF(J21=16,15,IF(J21=17,14,IF(J21=18,13,IF(J21=19,12,IF(J21=20,11,IF(J21=21,10,IF(J21=22,9,IF(J21=23,8,IF(J21=24,7,IF(J21=25,6,IF(J21=26,5,IF(J21=27,4,IF(J21=28,3,IF(J21=29,2,IF(J21=30,1)))))))))))))))))))))))))))))))</f>
        <v/>
      </c>
      <c r="P21" s="1">
        <f>IF(OR(K21="",K21&gt;30),"",IF(K21=1,60,IF(K21=2,55,IF(K21=3,50,IF(K21=4,44,IF(K21=5,38,IF(K21=6,32,IF(K21=7,28,IF(K21=8,25,IF(K21=9,22,IF(K21=10,21,IF(K21=11,20,IF(K21=12,19,IF(K21=13,18,IF(K21=14,17,IF(K21=15,16,IF(K21=16,15,IF(K21=17,14,IF(K21=18,13,IF(K21=19,12,IF(K21=20,11,IF(K21=21,10,IF(K21=22,9,IF(K21=23,8,IF(K21=24,7,IF(K21=25,6,IF(K21=26,5,IF(K21=27,4,IF(K21=28,3,IF(K21=29,2,IF(K21=30,1)))))))))))))))))))))))))))))))</f>
        <v>22</v>
      </c>
      <c r="Q21" s="1">
        <f>IF(OR(L21="",L21&gt;30),"",IF(L21=1,60,IF(L21=2,55,IF(L21=3,50,IF(L21=4,44,IF(L21=5,38,IF(L21=6,32,IF(L21=7,28,IF(L21=8,25,IF(L21=9,22,IF(L21=10,21,IF(L21=11,20,IF(L21=12,19,IF(L21=13,18,IF(L21=14,17,IF(L21=15,16,IF(L21=16,15,IF(L21=17,14,IF(L21=18,13,IF(L21=19,12,IF(L21=20,11,IF(L21=21,10,IF(L21=22,9,IF(L21=23,8,IF(L21=24,7,IF(L21=25,6,IF(L21=26,5,IF(L21=27,4,IF(L21=28,3,IF(L21=29,2,IF(L21=30,1)))))))))))))))))))))))))))))))</f>
        <v>22</v>
      </c>
      <c r="R21" s="12">
        <f>IF(A21="","",IF(OR(D21="P",E21="P"),"",IF(COUNT(M21:Q21)&lt;3,SUM(M21:Q21),LARGE(M21:Q21,1)+LARGE(M21:Q21,2))+(1000-V21)*10^-4+W21*10^-5+(100-X21)*10^-8+Y21*10^-10))</f>
        <v>44.098200909999996</v>
      </c>
      <c r="S21" s="2" t="str">
        <f>IF(OR(R21="",R21=0),"",IF(SUMPRODUCT(--(B$3:B$64=B21),--(R$3:R$64&gt;R21),--(R$3:R$64&lt;&gt;"")),"","P"))</f>
        <v/>
      </c>
      <c r="T21" s="2" t="str" cm="1">
        <f t="array" ref="T21">IF(R21="","",IF(SUMPRODUCT(--(D$3:D$64="P"),--(B$3:B$64=B21)),"P",""))</f>
        <v>P</v>
      </c>
      <c r="U21" s="12" t="str">
        <f>IF(AND(S21&lt;&gt;"",OR(T21="",COUNTIF(R$3:R$64,"&gt;"&amp;R21)&lt;3)),R21,"")</f>
        <v/>
      </c>
      <c r="V21" s="1">
        <f>IF(COUNT(H21:L21)&lt;3,SUM(H21:L21),SMALL(H21:L21,1)+SMALL(H21:L21,2))</f>
        <v>18</v>
      </c>
      <c r="W21" s="1">
        <f>COUNTIF(H21:L21,"&lt;=8")</f>
        <v>0</v>
      </c>
      <c r="X21" s="1">
        <f>MIN(H21:L21)</f>
        <v>9</v>
      </c>
      <c r="Y21" s="13"/>
      <c r="Z21" s="2" t="str">
        <f>IF(OR(R21=R20,R21=R30),"P","")</f>
        <v/>
      </c>
    </row>
    <row r="22" spans="1:26" x14ac:dyDescent="0.2">
      <c r="A22" s="7" t="s">
        <v>104</v>
      </c>
      <c r="B22" s="6" t="s">
        <v>82</v>
      </c>
      <c r="C22" s="6" t="str">
        <f>IF(A22="","",VLOOKUP(B22,'Continental Affiliation'!A:B,2,0))</f>
        <v>Europe</v>
      </c>
      <c r="G22" s="3">
        <f>IF(U22="","",RANK(U22,U:U)+COUNTIF(D:E,"P"))</f>
        <v>13</v>
      </c>
      <c r="H22" s="6">
        <v>21</v>
      </c>
      <c r="I22" s="6">
        <v>9</v>
      </c>
      <c r="J22" s="6" t="s">
        <v>143</v>
      </c>
      <c r="K22" s="6">
        <v>24</v>
      </c>
      <c r="L22" s="6">
        <v>10</v>
      </c>
      <c r="M22" s="1">
        <f>IF(OR(H22="",H22&gt;30),"",IF(H22=1,60,IF(H22=2,55,IF(H22=3,50,IF(H22=4,44,IF(H22=5,38,IF(H22=6,32,IF(H22=7,28,IF(H22=8,25,IF(H22=9,22,IF(H22=10,21,IF(H22=11,20,IF(H22=12,19,IF(H22=13,18,IF(H22=14,17,IF(H22=15,16,IF(H22=16,15,IF(H22=17,14,IF(H22=18,13,IF(H22=19,12,IF(H22=20,11,IF(H22=21,10,IF(H22=22,9,IF(H22=23,8,IF(H22=24,7,IF(H22=25,6,IF(H22=26,5,IF(H22=27,4,IF(H22=28,3,IF(H22=29,2,IF(H22=30,1)))))))))))))))))))))))))))))))</f>
        <v>10</v>
      </c>
      <c r="N22" s="1">
        <f>IF(OR(I22="",I22&gt;30),"",IF(I22=1,60,IF(I22=2,55,IF(I22=3,50,IF(I22=4,44,IF(I22=5,38,IF(I22=6,32,IF(I22=7,28,IF(I22=8,25,IF(I22=9,22,IF(I22=10,21,IF(I22=11,20,IF(I22=12,19,IF(I22=13,18,IF(I22=14,17,IF(I22=15,16,IF(I22=16,15,IF(I22=17,14,IF(I22=18,13,IF(I22=19,12,IF(I22=20,11,IF(I22=21,10,IF(I22=22,9,IF(I22=23,8,IF(I22=24,7,IF(I22=25,6,IF(I22=26,5,IF(I22=27,4,IF(I22=28,3,IF(I22=29,2,IF(I22=30,1)))))))))))))))))))))))))))))))</f>
        <v>22</v>
      </c>
      <c r="O22" s="1" t="str">
        <f>IF(OR(J22="",J22&gt;30),"",IF(J22=1,60,IF(J22=2,55,IF(J22=3,50,IF(J22=4,44,IF(J22=5,38,IF(J22=6,32,IF(J22=7,28,IF(J22=8,25,IF(J22=9,22,IF(J22=10,21,IF(J22=11,20,IF(J22=12,19,IF(J22=13,18,IF(J22=14,17,IF(J22=15,16,IF(J22=16,15,IF(J22=17,14,IF(J22=18,13,IF(J22=19,12,IF(J22=20,11,IF(J22=21,10,IF(J22=22,9,IF(J22=23,8,IF(J22=24,7,IF(J22=25,6,IF(J22=26,5,IF(J22=27,4,IF(J22=28,3,IF(J22=29,2,IF(J22=30,1)))))))))))))))))))))))))))))))</f>
        <v/>
      </c>
      <c r="P22" s="1">
        <f>IF(OR(K22="",K22&gt;30),"",IF(K22=1,60,IF(K22=2,55,IF(K22=3,50,IF(K22=4,44,IF(K22=5,38,IF(K22=6,32,IF(K22=7,28,IF(K22=8,25,IF(K22=9,22,IF(K22=10,21,IF(K22=11,20,IF(K22=12,19,IF(K22=13,18,IF(K22=14,17,IF(K22=15,16,IF(K22=16,15,IF(K22=17,14,IF(K22=18,13,IF(K22=19,12,IF(K22=20,11,IF(K22=21,10,IF(K22=22,9,IF(K22=23,8,IF(K22=24,7,IF(K22=25,6,IF(K22=26,5,IF(K22=27,4,IF(K22=28,3,IF(K22=29,2,IF(K22=30,1)))))))))))))))))))))))))))))))</f>
        <v>7</v>
      </c>
      <c r="Q22" s="1">
        <f>IF(OR(L22="",L22&gt;30),"",IF(L22=1,60,IF(L22=2,55,IF(L22=3,50,IF(L22=4,44,IF(L22=5,38,IF(L22=6,32,IF(L22=7,28,IF(L22=8,25,IF(L22=9,22,IF(L22=10,21,IF(L22=11,20,IF(L22=12,19,IF(L22=13,18,IF(L22=14,17,IF(L22=15,16,IF(L22=16,15,IF(L22=17,14,IF(L22=18,13,IF(L22=19,12,IF(L22=20,11,IF(L22=21,10,IF(L22=22,9,IF(L22=23,8,IF(L22=24,7,IF(L22=25,6,IF(L22=26,5,IF(L22=27,4,IF(L22=28,3,IF(L22=29,2,IF(L22=30,1)))))))))))))))))))))))))))))))</f>
        <v>21</v>
      </c>
      <c r="R22" s="12">
        <f>IF(A22="","",IF(OR(D22="P",E22="P"),"",IF(COUNT(M22:Q22)&lt;3,SUM(M22:Q22),LARGE(M22:Q22,1)+LARGE(M22:Q22,2))+(1000-V22)*10^-4+W22*10^-5+(100-X22)*10^-8+Y22*10^-10))</f>
        <v>43.098100909999999</v>
      </c>
      <c r="S22" s="2" t="str">
        <f>IF(OR(R22="",R22=0),"",IF(SUMPRODUCT(--(B$3:B$64=B22),--(R$3:R$64&gt;R22),--(R$3:R$64&lt;&gt;"")),"","P"))</f>
        <v>P</v>
      </c>
      <c r="T22" s="2" t="str" cm="1">
        <f t="array" ref="T22">IF(R22="","",IF(SUMPRODUCT(--(D$3:D$64="P"),--(B$3:B$64=B22)),"P",""))</f>
        <v/>
      </c>
      <c r="U22" s="12">
        <f>IF(AND(S22&lt;&gt;"",OR(T22="",COUNTIF(R$3:R$64,"&gt;"&amp;R22)&lt;3)),R22,"")</f>
        <v>43.098100909999999</v>
      </c>
      <c r="V22" s="1">
        <f>IF(COUNT(H22:L22)&lt;3,SUM(H22:L22),SMALL(H22:L22,1)+SMALL(H22:L22,2))</f>
        <v>19</v>
      </c>
      <c r="W22" s="1">
        <f>COUNTIF(H22:L22,"&lt;=8")</f>
        <v>0</v>
      </c>
      <c r="X22" s="1">
        <f>MIN(H22:L22)</f>
        <v>9</v>
      </c>
      <c r="Y22" s="13"/>
      <c r="Z22" s="2" t="str">
        <f>IF(OR(R22=R21,R22=R23),"P","")</f>
        <v/>
      </c>
    </row>
    <row r="23" spans="1:26" x14ac:dyDescent="0.2">
      <c r="A23" s="7" t="s">
        <v>159</v>
      </c>
      <c r="B23" s="6" t="s">
        <v>151</v>
      </c>
      <c r="C23" s="6" t="str">
        <f>IF(A23="","",VLOOKUP(B23,'Continental Affiliation'!A:B,2,0))</f>
        <v>Europe</v>
      </c>
      <c r="G23" s="3">
        <f>IF(U23="","",RANK(U23,U:U)+COUNTIF(D:E,"P"))</f>
        <v>14</v>
      </c>
      <c r="H23" s="6" t="s">
        <v>143</v>
      </c>
      <c r="I23" s="6" t="s">
        <v>143</v>
      </c>
      <c r="J23" s="6" t="s">
        <v>143</v>
      </c>
      <c r="K23" s="6">
        <v>10</v>
      </c>
      <c r="L23" s="6">
        <v>12</v>
      </c>
      <c r="M23" s="1" t="str">
        <f>IF(OR(H23="",H23&gt;30),"",IF(H23=1,60,IF(H23=2,55,IF(H23=3,50,IF(H23=4,44,IF(H23=5,38,IF(H23=6,32,IF(H23=7,28,IF(H23=8,25,IF(H23=9,22,IF(H23=10,21,IF(H23=11,20,IF(H23=12,19,IF(H23=13,18,IF(H23=14,17,IF(H23=15,16,IF(H23=16,15,IF(H23=17,14,IF(H23=18,13,IF(H23=19,12,IF(H23=20,11,IF(H23=21,10,IF(H23=22,9,IF(H23=23,8,IF(H23=24,7,IF(H23=25,6,IF(H23=26,5,IF(H23=27,4,IF(H23=28,3,IF(H23=29,2,IF(H23=30,1)))))))))))))))))))))))))))))))</f>
        <v/>
      </c>
      <c r="N23" s="1" t="str">
        <f>IF(OR(I23="",I23&gt;30),"",IF(I23=1,60,IF(I23=2,55,IF(I23=3,50,IF(I23=4,44,IF(I23=5,38,IF(I23=6,32,IF(I23=7,28,IF(I23=8,25,IF(I23=9,22,IF(I23=10,21,IF(I23=11,20,IF(I23=12,19,IF(I23=13,18,IF(I23=14,17,IF(I23=15,16,IF(I23=16,15,IF(I23=17,14,IF(I23=18,13,IF(I23=19,12,IF(I23=20,11,IF(I23=21,10,IF(I23=22,9,IF(I23=23,8,IF(I23=24,7,IF(I23=25,6,IF(I23=26,5,IF(I23=27,4,IF(I23=28,3,IF(I23=29,2,IF(I23=30,1)))))))))))))))))))))))))))))))</f>
        <v/>
      </c>
      <c r="O23" s="1" t="str">
        <f>IF(OR(J23="",J23&gt;30),"",IF(J23=1,60,IF(J23=2,55,IF(J23=3,50,IF(J23=4,44,IF(J23=5,38,IF(J23=6,32,IF(J23=7,28,IF(J23=8,25,IF(J23=9,22,IF(J23=10,21,IF(J23=11,20,IF(J23=12,19,IF(J23=13,18,IF(J23=14,17,IF(J23=15,16,IF(J23=16,15,IF(J23=17,14,IF(J23=18,13,IF(J23=19,12,IF(J23=20,11,IF(J23=21,10,IF(J23=22,9,IF(J23=23,8,IF(J23=24,7,IF(J23=25,6,IF(J23=26,5,IF(J23=27,4,IF(J23=28,3,IF(J23=29,2,IF(J23=30,1)))))))))))))))))))))))))))))))</f>
        <v/>
      </c>
      <c r="P23" s="1">
        <f>IF(OR(K23="",K23&gt;30),"",IF(K23=1,60,IF(K23=2,55,IF(K23=3,50,IF(K23=4,44,IF(K23=5,38,IF(K23=6,32,IF(K23=7,28,IF(K23=8,25,IF(K23=9,22,IF(K23=10,21,IF(K23=11,20,IF(K23=12,19,IF(K23=13,18,IF(K23=14,17,IF(K23=15,16,IF(K23=16,15,IF(K23=17,14,IF(K23=18,13,IF(K23=19,12,IF(K23=20,11,IF(K23=21,10,IF(K23=22,9,IF(K23=23,8,IF(K23=24,7,IF(K23=25,6,IF(K23=26,5,IF(K23=27,4,IF(K23=28,3,IF(K23=29,2,IF(K23=30,1)))))))))))))))))))))))))))))))</f>
        <v>21</v>
      </c>
      <c r="Q23" s="1">
        <f>IF(OR(L23="",L23&gt;30),"",IF(L23=1,60,IF(L23=2,55,IF(L23=3,50,IF(L23=4,44,IF(L23=5,38,IF(L23=6,32,IF(L23=7,28,IF(L23=8,25,IF(L23=9,22,IF(L23=10,21,IF(L23=11,20,IF(L23=12,19,IF(L23=13,18,IF(L23=14,17,IF(L23=15,16,IF(L23=16,15,IF(L23=17,14,IF(L23=18,13,IF(L23=19,12,IF(L23=20,11,IF(L23=21,10,IF(L23=22,9,IF(L23=23,8,IF(L23=24,7,IF(L23=25,6,IF(L23=26,5,IF(L23=27,4,IF(L23=28,3,IF(L23=29,2,IF(L23=30,1)))))))))))))))))))))))))))))))</f>
        <v>19</v>
      </c>
      <c r="R23" s="12">
        <f>IF(A23="","",IF(OR(D23="P",E23="P"),"",IF(COUNT(M23:Q23)&lt;3,SUM(M23:Q23),LARGE(M23:Q23,1)+LARGE(M23:Q23,2))+(1000-V23)*10^-4+W23*10^-5+(100-X23)*10^-8+Y23*10^-10))</f>
        <v>40.097800900000003</v>
      </c>
      <c r="S23" s="2" t="str">
        <f>IF(OR(R23="",R23=0),"",IF(SUMPRODUCT(--(B$3:B$64=B23),--(R$3:R$64&gt;R23),--(R$3:R$64&lt;&gt;"")),"","P"))</f>
        <v>P</v>
      </c>
      <c r="T23" s="2" t="str" cm="1">
        <f t="array" ref="T23">IF(R23="","",IF(SUMPRODUCT(--(D$3:D$64="P"),--(B$3:B$64=B23)),"P",""))</f>
        <v/>
      </c>
      <c r="U23" s="12">
        <f>IF(AND(S23&lt;&gt;"",OR(T23="",COUNTIF(R$3:R$64,"&gt;"&amp;R23)&lt;3)),R23,"")</f>
        <v>40.097800900000003</v>
      </c>
      <c r="V23" s="1">
        <f>IF(COUNT(H23:L23)&lt;3,SUM(H23:L23),SMALL(H23:L23,1)+SMALL(H23:L23,2))</f>
        <v>22</v>
      </c>
      <c r="W23" s="1">
        <f>COUNTIF(H23:L23,"&lt;=8")</f>
        <v>0</v>
      </c>
      <c r="X23" s="1">
        <f>MIN(H23:L23)</f>
        <v>10</v>
      </c>
      <c r="Y23" s="13"/>
      <c r="Z23" s="2" t="str">
        <f>IF(OR(R23=R22,R23=R32),"P","")</f>
        <v/>
      </c>
    </row>
    <row r="24" spans="1:26" x14ac:dyDescent="0.2">
      <c r="A24" s="7" t="s">
        <v>20</v>
      </c>
      <c r="B24" s="6" t="s">
        <v>7</v>
      </c>
      <c r="C24" s="6" t="str">
        <f>IF(A24="","",VLOOKUP(B24,'Continental Affiliation'!A:B,2,0))</f>
        <v>Americas</v>
      </c>
      <c r="G24" s="3" t="str">
        <f>IF(U24="","",RANK(U24,U:U)+COUNTIF(D:E,"P"))</f>
        <v/>
      </c>
      <c r="H24" s="6">
        <v>10</v>
      </c>
      <c r="I24" s="6">
        <v>20</v>
      </c>
      <c r="J24" s="6">
        <v>13</v>
      </c>
      <c r="K24" s="6">
        <v>27</v>
      </c>
      <c r="L24" s="6">
        <v>18</v>
      </c>
      <c r="M24" s="1">
        <f>IF(OR(H24="",H24&gt;30),"",IF(H24=1,60,IF(H24=2,55,IF(H24=3,50,IF(H24=4,44,IF(H24=5,38,IF(H24=6,32,IF(H24=7,28,IF(H24=8,25,IF(H24=9,22,IF(H24=10,21,IF(H24=11,20,IF(H24=12,19,IF(H24=13,18,IF(H24=14,17,IF(H24=15,16,IF(H24=16,15,IF(H24=17,14,IF(H24=18,13,IF(H24=19,12,IF(H24=20,11,IF(H24=21,10,IF(H24=22,9,IF(H24=23,8,IF(H24=24,7,IF(H24=25,6,IF(H24=26,5,IF(H24=27,4,IF(H24=28,3,IF(H24=29,2,IF(H24=30,1)))))))))))))))))))))))))))))))</f>
        <v>21</v>
      </c>
      <c r="N24" s="1">
        <f>IF(OR(I24="",I24&gt;30),"",IF(I24=1,60,IF(I24=2,55,IF(I24=3,50,IF(I24=4,44,IF(I24=5,38,IF(I24=6,32,IF(I24=7,28,IF(I24=8,25,IF(I24=9,22,IF(I24=10,21,IF(I24=11,20,IF(I24=12,19,IF(I24=13,18,IF(I24=14,17,IF(I24=15,16,IF(I24=16,15,IF(I24=17,14,IF(I24=18,13,IF(I24=19,12,IF(I24=20,11,IF(I24=21,10,IF(I24=22,9,IF(I24=23,8,IF(I24=24,7,IF(I24=25,6,IF(I24=26,5,IF(I24=27,4,IF(I24=28,3,IF(I24=29,2,IF(I24=30,1)))))))))))))))))))))))))))))))</f>
        <v>11</v>
      </c>
      <c r="O24" s="1">
        <f>IF(OR(J24="",J24&gt;30),"",IF(J24=1,60,IF(J24=2,55,IF(J24=3,50,IF(J24=4,44,IF(J24=5,38,IF(J24=6,32,IF(J24=7,28,IF(J24=8,25,IF(J24=9,22,IF(J24=10,21,IF(J24=11,20,IF(J24=12,19,IF(J24=13,18,IF(J24=14,17,IF(J24=15,16,IF(J24=16,15,IF(J24=17,14,IF(J24=18,13,IF(J24=19,12,IF(J24=20,11,IF(J24=21,10,IF(J24=22,9,IF(J24=23,8,IF(J24=24,7,IF(J24=25,6,IF(J24=26,5,IF(J24=27,4,IF(J24=28,3,IF(J24=29,2,IF(J24=30,1)))))))))))))))))))))))))))))))</f>
        <v>18</v>
      </c>
      <c r="P24" s="1">
        <f>IF(OR(K24="",K24&gt;30),"",IF(K24=1,60,IF(K24=2,55,IF(K24=3,50,IF(K24=4,44,IF(K24=5,38,IF(K24=6,32,IF(K24=7,28,IF(K24=8,25,IF(K24=9,22,IF(K24=10,21,IF(K24=11,20,IF(K24=12,19,IF(K24=13,18,IF(K24=14,17,IF(K24=15,16,IF(K24=16,15,IF(K24=17,14,IF(K24=18,13,IF(K24=19,12,IF(K24=20,11,IF(K24=21,10,IF(K24=22,9,IF(K24=23,8,IF(K24=24,7,IF(K24=25,6,IF(K24=26,5,IF(K24=27,4,IF(K24=28,3,IF(K24=29,2,IF(K24=30,1)))))))))))))))))))))))))))))))</f>
        <v>4</v>
      </c>
      <c r="Q24" s="1">
        <f>IF(OR(L24="",L24&gt;30),"",IF(L24=1,60,IF(L24=2,55,IF(L24=3,50,IF(L24=4,44,IF(L24=5,38,IF(L24=6,32,IF(L24=7,28,IF(L24=8,25,IF(L24=9,22,IF(L24=10,21,IF(L24=11,20,IF(L24=12,19,IF(L24=13,18,IF(L24=14,17,IF(L24=15,16,IF(L24=16,15,IF(L24=17,14,IF(L24=18,13,IF(L24=19,12,IF(L24=20,11,IF(L24=21,10,IF(L24=22,9,IF(L24=23,8,IF(L24=24,7,IF(L24=25,6,IF(L24=26,5,IF(L24=27,4,IF(L24=28,3,IF(L24=29,2,IF(L24=30,1)))))))))))))))))))))))))))))))</f>
        <v>13</v>
      </c>
      <c r="R24" s="12">
        <f>IF(A24="","",IF(OR(D24="P",E24="P"),"",IF(COUNT(M24:Q24)&lt;3,SUM(M24:Q24),LARGE(M24:Q24,1)+LARGE(M24:Q24,2))+(1000-V24)*10^-4+W24*10^-5+(100-X24)*10^-8+Y24*10^-10))</f>
        <v>39.097700900000007</v>
      </c>
      <c r="S24" s="2" t="str">
        <f>IF(OR(R24="",R24=0),"",IF(SUMPRODUCT(--(B$3:B$64=B24),--(R$3:R$64&gt;R24),--(R$3:R$64&lt;&gt;"")),"","P"))</f>
        <v>P</v>
      </c>
      <c r="T24" s="2" t="str" cm="1">
        <f t="array" ref="T24">IF(R24="","",IF(SUMPRODUCT(--(D$3:D$64="P"),--(B$3:B$64=B24)),"P",""))</f>
        <v>P</v>
      </c>
      <c r="U24" s="12" t="str">
        <f>IF(AND(S24&lt;&gt;"",OR(T24="",COUNTIF(R$3:R$64,"&gt;"&amp;R24)&lt;3)),R24,"")</f>
        <v/>
      </c>
      <c r="V24" s="1">
        <f>IF(COUNT(H24:L24)&lt;3,SUM(H24:L24),SMALL(H24:L24,1)+SMALL(H24:L24,2))</f>
        <v>23</v>
      </c>
      <c r="W24" s="1">
        <f>COUNTIF(H24:L24,"&lt;=8")</f>
        <v>0</v>
      </c>
      <c r="X24" s="1">
        <f>MIN(H24:L24)</f>
        <v>10</v>
      </c>
      <c r="Y24" s="13"/>
      <c r="Z24" s="2" t="str">
        <f>IF(OR(R24=R23,R24=R25),"P","")</f>
        <v/>
      </c>
    </row>
    <row r="25" spans="1:26" x14ac:dyDescent="0.2">
      <c r="A25" s="7" t="s">
        <v>21</v>
      </c>
      <c r="B25" s="6" t="s">
        <v>23</v>
      </c>
      <c r="C25" s="6" t="str">
        <f>IF(A25="","",VLOOKUP(B25,'Continental Affiliation'!A:B,2,0))</f>
        <v>Europe</v>
      </c>
      <c r="G25" s="3">
        <f>IF(U25="","",RANK(U25,U:U)+COUNTIF(D:E,"P"))</f>
        <v>15</v>
      </c>
      <c r="H25" s="6">
        <v>18</v>
      </c>
      <c r="I25" s="6">
        <v>13</v>
      </c>
      <c r="J25" s="6">
        <v>11</v>
      </c>
      <c r="K25" s="6">
        <v>22</v>
      </c>
      <c r="L25" s="6">
        <v>13</v>
      </c>
      <c r="M25" s="1">
        <f>IF(OR(H25="",H25&gt;30),"",IF(H25=1,60,IF(H25=2,55,IF(H25=3,50,IF(H25=4,44,IF(H25=5,38,IF(H25=6,32,IF(H25=7,28,IF(H25=8,25,IF(H25=9,22,IF(H25=10,21,IF(H25=11,20,IF(H25=12,19,IF(H25=13,18,IF(H25=14,17,IF(H25=15,16,IF(H25=16,15,IF(H25=17,14,IF(H25=18,13,IF(H25=19,12,IF(H25=20,11,IF(H25=21,10,IF(H25=22,9,IF(H25=23,8,IF(H25=24,7,IF(H25=25,6,IF(H25=26,5,IF(H25=27,4,IF(H25=28,3,IF(H25=29,2,IF(H25=30,1)))))))))))))))))))))))))))))))</f>
        <v>13</v>
      </c>
      <c r="N25" s="1">
        <f>IF(OR(I25="",I25&gt;30),"",IF(I25=1,60,IF(I25=2,55,IF(I25=3,50,IF(I25=4,44,IF(I25=5,38,IF(I25=6,32,IF(I25=7,28,IF(I25=8,25,IF(I25=9,22,IF(I25=10,21,IF(I25=11,20,IF(I25=12,19,IF(I25=13,18,IF(I25=14,17,IF(I25=15,16,IF(I25=16,15,IF(I25=17,14,IF(I25=18,13,IF(I25=19,12,IF(I25=20,11,IF(I25=21,10,IF(I25=22,9,IF(I25=23,8,IF(I25=24,7,IF(I25=25,6,IF(I25=26,5,IF(I25=27,4,IF(I25=28,3,IF(I25=29,2,IF(I25=30,1)))))))))))))))))))))))))))))))</f>
        <v>18</v>
      </c>
      <c r="O25" s="1">
        <f>IF(OR(J25="",J25&gt;30),"",IF(J25=1,60,IF(J25=2,55,IF(J25=3,50,IF(J25=4,44,IF(J25=5,38,IF(J25=6,32,IF(J25=7,28,IF(J25=8,25,IF(J25=9,22,IF(J25=10,21,IF(J25=11,20,IF(J25=12,19,IF(J25=13,18,IF(J25=14,17,IF(J25=15,16,IF(J25=16,15,IF(J25=17,14,IF(J25=18,13,IF(J25=19,12,IF(J25=20,11,IF(J25=21,10,IF(J25=22,9,IF(J25=23,8,IF(J25=24,7,IF(J25=25,6,IF(J25=26,5,IF(J25=27,4,IF(J25=28,3,IF(J25=29,2,IF(J25=30,1)))))))))))))))))))))))))))))))</f>
        <v>20</v>
      </c>
      <c r="P25" s="1">
        <f>IF(OR(K25="",K25&gt;30),"",IF(K25=1,60,IF(K25=2,55,IF(K25=3,50,IF(K25=4,44,IF(K25=5,38,IF(K25=6,32,IF(K25=7,28,IF(K25=8,25,IF(K25=9,22,IF(K25=10,21,IF(K25=11,20,IF(K25=12,19,IF(K25=13,18,IF(K25=14,17,IF(K25=15,16,IF(K25=16,15,IF(K25=17,14,IF(K25=18,13,IF(K25=19,12,IF(K25=20,11,IF(K25=21,10,IF(K25=22,9,IF(K25=23,8,IF(K25=24,7,IF(K25=25,6,IF(K25=26,5,IF(K25=27,4,IF(K25=28,3,IF(K25=29,2,IF(K25=30,1)))))))))))))))))))))))))))))))</f>
        <v>9</v>
      </c>
      <c r="Q25" s="1">
        <f>IF(OR(L25="",L25&gt;30),"",IF(L25=1,60,IF(L25=2,55,IF(L25=3,50,IF(L25=4,44,IF(L25=5,38,IF(L25=6,32,IF(L25=7,28,IF(L25=8,25,IF(L25=9,22,IF(L25=10,21,IF(L25=11,20,IF(L25=12,19,IF(L25=13,18,IF(L25=14,17,IF(L25=15,16,IF(L25=16,15,IF(L25=17,14,IF(L25=18,13,IF(L25=19,12,IF(L25=20,11,IF(L25=21,10,IF(L25=22,9,IF(L25=23,8,IF(L25=24,7,IF(L25=25,6,IF(L25=26,5,IF(L25=27,4,IF(L25=28,3,IF(L25=29,2,IF(L25=30,1)))))))))))))))))))))))))))))))</f>
        <v>18</v>
      </c>
      <c r="R25" s="12">
        <f>IF(A25="","",IF(OR(D25="P",E25="P"),"",IF(COUNT(M25:Q25)&lt;3,SUM(M25:Q25),LARGE(M25:Q25,1)+LARGE(M25:Q25,2))+(1000-V25)*10^-4+W25*10^-5+(100-X25)*10^-8+Y25*10^-10))</f>
        <v>38.097600890000002</v>
      </c>
      <c r="S25" s="2" t="str">
        <f>IF(OR(R25="",R25=0),"",IF(SUMPRODUCT(--(B$3:B$64=B25),--(R$3:R$64&gt;R25),--(R$3:R$64&lt;&gt;"")),"","P"))</f>
        <v>P</v>
      </c>
      <c r="T25" s="2" t="str" cm="1">
        <f t="array" ref="T25">IF(R25="","",IF(SUMPRODUCT(--(D$3:D$64="P"),--(B$3:B$64=B25)),"P",""))</f>
        <v/>
      </c>
      <c r="U25" s="12">
        <f>IF(AND(S25&lt;&gt;"",OR(T25="",COUNTIF(R$3:R$64,"&gt;"&amp;R25)&lt;3)),R25,"")</f>
        <v>38.097600890000002</v>
      </c>
      <c r="V25" s="1">
        <f>IF(COUNT(H25:L25)&lt;3,SUM(H25:L25),SMALL(H25:L25,1)+SMALL(H25:L25,2))</f>
        <v>24</v>
      </c>
      <c r="W25" s="1">
        <f>COUNTIF(H25:L25,"&lt;=8")</f>
        <v>0</v>
      </c>
      <c r="X25" s="1">
        <f>MIN(H25:L25)</f>
        <v>11</v>
      </c>
      <c r="Y25" s="13"/>
      <c r="Z25" s="2" t="str">
        <f>IF(OR(R25=R24,R25=R26),"P","")</f>
        <v/>
      </c>
    </row>
    <row r="26" spans="1:26" x14ac:dyDescent="0.2">
      <c r="A26" s="7" t="s">
        <v>168</v>
      </c>
      <c r="B26" s="6" t="s">
        <v>25</v>
      </c>
      <c r="C26" s="6" t="str">
        <f>IF(A26="","",VLOOKUP(B26,'Continental Affiliation'!A:B,2,0))</f>
        <v>Americas</v>
      </c>
      <c r="G26" s="3" t="str">
        <f>IF(U26="","",RANK(U26,U:U)+COUNTIF(D:E,"P"))</f>
        <v/>
      </c>
      <c r="H26" s="6">
        <v>25</v>
      </c>
      <c r="I26" s="6">
        <v>12</v>
      </c>
      <c r="J26" s="6">
        <v>27</v>
      </c>
      <c r="K26" s="6">
        <v>14</v>
      </c>
      <c r="L26" s="6">
        <v>32</v>
      </c>
      <c r="M26" s="1">
        <f>IF(OR(H26="",H26&gt;30),"",IF(H26=1,60,IF(H26=2,55,IF(H26=3,50,IF(H26=4,44,IF(H26=5,38,IF(H26=6,32,IF(H26=7,28,IF(H26=8,25,IF(H26=9,22,IF(H26=10,21,IF(H26=11,20,IF(H26=12,19,IF(H26=13,18,IF(H26=14,17,IF(H26=15,16,IF(H26=16,15,IF(H26=17,14,IF(H26=18,13,IF(H26=19,12,IF(H26=20,11,IF(H26=21,10,IF(H26=22,9,IF(H26=23,8,IF(H26=24,7,IF(H26=25,6,IF(H26=26,5,IF(H26=27,4,IF(H26=28,3,IF(H26=29,2,IF(H26=30,1)))))))))))))))))))))))))))))))</f>
        <v>6</v>
      </c>
      <c r="N26" s="1">
        <f>IF(OR(I26="",I26&gt;30),"",IF(I26=1,60,IF(I26=2,55,IF(I26=3,50,IF(I26=4,44,IF(I26=5,38,IF(I26=6,32,IF(I26=7,28,IF(I26=8,25,IF(I26=9,22,IF(I26=10,21,IF(I26=11,20,IF(I26=12,19,IF(I26=13,18,IF(I26=14,17,IF(I26=15,16,IF(I26=16,15,IF(I26=17,14,IF(I26=18,13,IF(I26=19,12,IF(I26=20,11,IF(I26=21,10,IF(I26=22,9,IF(I26=23,8,IF(I26=24,7,IF(I26=25,6,IF(I26=26,5,IF(I26=27,4,IF(I26=28,3,IF(I26=29,2,IF(I26=30,1)))))))))))))))))))))))))))))))</f>
        <v>19</v>
      </c>
      <c r="O26" s="1">
        <f>IF(OR(J26="",J26&gt;30),"",IF(J26=1,60,IF(J26=2,55,IF(J26=3,50,IF(J26=4,44,IF(J26=5,38,IF(J26=6,32,IF(J26=7,28,IF(J26=8,25,IF(J26=9,22,IF(J26=10,21,IF(J26=11,20,IF(J26=12,19,IF(J26=13,18,IF(J26=14,17,IF(J26=15,16,IF(J26=16,15,IF(J26=17,14,IF(J26=18,13,IF(J26=19,12,IF(J26=20,11,IF(J26=21,10,IF(J26=22,9,IF(J26=23,8,IF(J26=24,7,IF(J26=25,6,IF(J26=26,5,IF(J26=27,4,IF(J26=28,3,IF(J26=29,2,IF(J26=30,1)))))))))))))))))))))))))))))))</f>
        <v>4</v>
      </c>
      <c r="P26" s="1">
        <f>IF(OR(K26="",K26&gt;30),"",IF(K26=1,60,IF(K26=2,55,IF(K26=3,50,IF(K26=4,44,IF(K26=5,38,IF(K26=6,32,IF(K26=7,28,IF(K26=8,25,IF(K26=9,22,IF(K26=10,21,IF(K26=11,20,IF(K26=12,19,IF(K26=13,18,IF(K26=14,17,IF(K26=15,16,IF(K26=16,15,IF(K26=17,14,IF(K26=18,13,IF(K26=19,12,IF(K26=20,11,IF(K26=21,10,IF(K26=22,9,IF(K26=23,8,IF(K26=24,7,IF(K26=25,6,IF(K26=26,5,IF(K26=27,4,IF(K26=28,3,IF(K26=29,2,IF(K26=30,1)))))))))))))))))))))))))))))))</f>
        <v>17</v>
      </c>
      <c r="Q26" s="1" t="str">
        <f>IF(OR(L26="",L26&gt;30),"",IF(L26=1,60,IF(L26=2,55,IF(L26=3,50,IF(L26=4,44,IF(L26=5,38,IF(L26=6,32,IF(L26=7,28,IF(L26=8,25,IF(L26=9,22,IF(L26=10,21,IF(L26=11,20,IF(L26=12,19,IF(L26=13,18,IF(L26=14,17,IF(L26=15,16,IF(L26=16,15,IF(L26=17,14,IF(L26=18,13,IF(L26=19,12,IF(L26=20,11,IF(L26=21,10,IF(L26=22,9,IF(L26=23,8,IF(L26=24,7,IF(L26=25,6,IF(L26=26,5,IF(L26=27,4,IF(L26=28,3,IF(L26=29,2,IF(L26=30,1)))))))))))))))))))))))))))))))</f>
        <v/>
      </c>
      <c r="R26" s="12">
        <f>IF(A26="","",IF(OR(D26="P",E26="P"),"",IF(COUNT(M26:Q26)&lt;3,SUM(M26:Q26),LARGE(M26:Q26,1)+LARGE(M26:Q26,2))+(1000-V26)*10^-4+W26*10^-5+(100-X26)*10^-8+Y26*10^-10))</f>
        <v>36.097400880000002</v>
      </c>
      <c r="S26" s="2" t="str">
        <f>IF(OR(R26="",R26=0),"",IF(SUMPRODUCT(--(B$3:B$64=B26),--(R$3:R$64&gt;R26),--(R$3:R$64&lt;&gt;"")),"","P"))</f>
        <v/>
      </c>
      <c r="T26" s="2" t="str" cm="1">
        <f t="array" ref="T26">IF(R26="","",IF(SUMPRODUCT(--(D$3:D$64="P"),--(B$3:B$64=B26)),"P",""))</f>
        <v>P</v>
      </c>
      <c r="U26" s="12" t="str">
        <f>IF(AND(S26&lt;&gt;"",OR(T26="",COUNTIF(R$3:R$64,"&gt;"&amp;R26)&lt;3)),R26,"")</f>
        <v/>
      </c>
      <c r="V26" s="1">
        <f>IF(COUNT(H26:L26)&lt;3,SUM(H26:L26),SMALL(H26:L26,1)+SMALL(H26:L26,2))</f>
        <v>26</v>
      </c>
      <c r="W26" s="1">
        <f>COUNTIF(H26:L26,"&lt;=8")</f>
        <v>0</v>
      </c>
      <c r="X26" s="1">
        <f>MIN(H26:L26)</f>
        <v>12</v>
      </c>
      <c r="Y26" s="13"/>
      <c r="Z26" s="2" t="str">
        <f>IF(OR(R26=R25,R26=R27),"P","")</f>
        <v/>
      </c>
    </row>
    <row r="27" spans="1:26" x14ac:dyDescent="0.2">
      <c r="A27" s="7" t="s">
        <v>107</v>
      </c>
      <c r="B27" s="6" t="s">
        <v>23</v>
      </c>
      <c r="C27" s="6" t="str">
        <f>IF(A27="","",VLOOKUP(B27,'Continental Affiliation'!A:B,2,0))</f>
        <v>Europe</v>
      </c>
      <c r="G27" s="3" t="str">
        <f>IF(U27="","",RANK(U27,U:U)+COUNTIF(D:E,"P"))</f>
        <v/>
      </c>
      <c r="H27" s="6">
        <v>20</v>
      </c>
      <c r="I27" s="6">
        <v>17</v>
      </c>
      <c r="J27" s="6">
        <v>19</v>
      </c>
      <c r="K27" s="6">
        <v>16</v>
      </c>
      <c r="L27" s="6">
        <v>11</v>
      </c>
      <c r="M27" s="1">
        <f>IF(OR(H27="",H27&gt;30),"",IF(H27=1,60,IF(H27=2,55,IF(H27=3,50,IF(H27=4,44,IF(H27=5,38,IF(H27=6,32,IF(H27=7,28,IF(H27=8,25,IF(H27=9,22,IF(H27=10,21,IF(H27=11,20,IF(H27=12,19,IF(H27=13,18,IF(H27=14,17,IF(H27=15,16,IF(H27=16,15,IF(H27=17,14,IF(H27=18,13,IF(H27=19,12,IF(H27=20,11,IF(H27=21,10,IF(H27=22,9,IF(H27=23,8,IF(H27=24,7,IF(H27=25,6,IF(H27=26,5,IF(H27=27,4,IF(H27=28,3,IF(H27=29,2,IF(H27=30,1)))))))))))))))))))))))))))))))</f>
        <v>11</v>
      </c>
      <c r="N27" s="1">
        <f>IF(OR(I27="",I27&gt;30),"",IF(I27=1,60,IF(I27=2,55,IF(I27=3,50,IF(I27=4,44,IF(I27=5,38,IF(I27=6,32,IF(I27=7,28,IF(I27=8,25,IF(I27=9,22,IF(I27=10,21,IF(I27=11,20,IF(I27=12,19,IF(I27=13,18,IF(I27=14,17,IF(I27=15,16,IF(I27=16,15,IF(I27=17,14,IF(I27=18,13,IF(I27=19,12,IF(I27=20,11,IF(I27=21,10,IF(I27=22,9,IF(I27=23,8,IF(I27=24,7,IF(I27=25,6,IF(I27=26,5,IF(I27=27,4,IF(I27=28,3,IF(I27=29,2,IF(I27=30,1)))))))))))))))))))))))))))))))</f>
        <v>14</v>
      </c>
      <c r="O27" s="1">
        <f>IF(OR(J27="",J27&gt;30),"",IF(J27=1,60,IF(J27=2,55,IF(J27=3,50,IF(J27=4,44,IF(J27=5,38,IF(J27=6,32,IF(J27=7,28,IF(J27=8,25,IF(J27=9,22,IF(J27=10,21,IF(J27=11,20,IF(J27=12,19,IF(J27=13,18,IF(J27=14,17,IF(J27=15,16,IF(J27=16,15,IF(J27=17,14,IF(J27=18,13,IF(J27=19,12,IF(J27=20,11,IF(J27=21,10,IF(J27=22,9,IF(J27=23,8,IF(J27=24,7,IF(J27=25,6,IF(J27=26,5,IF(J27=27,4,IF(J27=28,3,IF(J27=29,2,IF(J27=30,1)))))))))))))))))))))))))))))))</f>
        <v>12</v>
      </c>
      <c r="P27" s="1">
        <f>IF(OR(K27="",K27&gt;30),"",IF(K27=1,60,IF(K27=2,55,IF(K27=3,50,IF(K27=4,44,IF(K27=5,38,IF(K27=6,32,IF(K27=7,28,IF(K27=8,25,IF(K27=9,22,IF(K27=10,21,IF(K27=11,20,IF(K27=12,19,IF(K27=13,18,IF(K27=14,17,IF(K27=15,16,IF(K27=16,15,IF(K27=17,14,IF(K27=18,13,IF(K27=19,12,IF(K27=20,11,IF(K27=21,10,IF(K27=22,9,IF(K27=23,8,IF(K27=24,7,IF(K27=25,6,IF(K27=26,5,IF(K27=27,4,IF(K27=28,3,IF(K27=29,2,IF(K27=30,1)))))))))))))))))))))))))))))))</f>
        <v>15</v>
      </c>
      <c r="Q27" s="1">
        <f>IF(OR(L27="",L27&gt;30),"",IF(L27=1,60,IF(L27=2,55,IF(L27=3,50,IF(L27=4,44,IF(L27=5,38,IF(L27=6,32,IF(L27=7,28,IF(L27=8,25,IF(L27=9,22,IF(L27=10,21,IF(L27=11,20,IF(L27=12,19,IF(L27=13,18,IF(L27=14,17,IF(L27=15,16,IF(L27=16,15,IF(L27=17,14,IF(L27=18,13,IF(L27=19,12,IF(L27=20,11,IF(L27=21,10,IF(L27=22,9,IF(L27=23,8,IF(L27=24,7,IF(L27=25,6,IF(L27=26,5,IF(L27=27,4,IF(L27=28,3,IF(L27=29,2,IF(L27=30,1)))))))))))))))))))))))))))))))</f>
        <v>20</v>
      </c>
      <c r="R27" s="12">
        <f>IF(A27="","",IF(OR(D27="P",E27="P"),"",IF(COUNT(M27:Q27)&lt;3,SUM(M27:Q27),LARGE(M27:Q27,1)+LARGE(M27:Q27,2))+(1000-V27)*10^-4+W27*10^-5+(100-X27)*10^-8+Y27*10^-10))</f>
        <v>35.09730089</v>
      </c>
      <c r="S27" s="2" t="str">
        <f>IF(OR(R27="",R27=0),"",IF(SUMPRODUCT(--(B$3:B$64=B27),--(R$3:R$64&gt;R27),--(R$3:R$64&lt;&gt;"")),"","P"))</f>
        <v/>
      </c>
      <c r="T27" s="2" t="str" cm="1">
        <f t="array" ref="T27">IF(R27="","",IF(SUMPRODUCT(--(D$3:D$64="P"),--(B$3:B$64=B27)),"P",""))</f>
        <v/>
      </c>
      <c r="U27" s="12" t="str">
        <f>IF(AND(S27&lt;&gt;"",OR(T27="",COUNTIF(R$3:R$64,"&gt;"&amp;R27)&lt;3)),R27,"")</f>
        <v/>
      </c>
      <c r="V27" s="1">
        <f>IF(COUNT(H27:L27)&lt;3,SUM(H27:L27),SMALL(H27:L27,1)+SMALL(H27:L27,2))</f>
        <v>27</v>
      </c>
      <c r="W27" s="1">
        <f>COUNTIF(H27:L27,"&lt;=8")</f>
        <v>0</v>
      </c>
      <c r="X27" s="1">
        <f>MIN(H27:L27)</f>
        <v>11</v>
      </c>
      <c r="Y27" s="13"/>
      <c r="Z27" s="2" t="str">
        <f>IF(OR(R27=R26,R27=R28),"P","")</f>
        <v/>
      </c>
    </row>
    <row r="28" spans="1:26" x14ac:dyDescent="0.2">
      <c r="A28" s="7" t="s">
        <v>126</v>
      </c>
      <c r="B28" s="6" t="s">
        <v>36</v>
      </c>
      <c r="C28" s="6" t="str">
        <f>IF(A28="","",VLOOKUP(B28,'Continental Affiliation'!A:B,2,0))</f>
        <v>Europe</v>
      </c>
      <c r="G28" s="3">
        <f>IF(U28="","",RANK(U28,U:U)+COUNTIF(D:E,"P"))</f>
        <v>16</v>
      </c>
      <c r="H28" s="6">
        <v>37</v>
      </c>
      <c r="I28" s="6">
        <v>14</v>
      </c>
      <c r="J28" s="6">
        <v>21</v>
      </c>
      <c r="K28" s="6">
        <v>17</v>
      </c>
      <c r="L28" s="6">
        <v>29</v>
      </c>
      <c r="M28" s="1" t="str">
        <f>IF(OR(H28="",H28&gt;30),"",IF(H28=1,60,IF(H28=2,55,IF(H28=3,50,IF(H28=4,44,IF(H28=5,38,IF(H28=6,32,IF(H28=7,28,IF(H28=8,25,IF(H28=9,22,IF(H28=10,21,IF(H28=11,20,IF(H28=12,19,IF(H28=13,18,IF(H28=14,17,IF(H28=15,16,IF(H28=16,15,IF(H28=17,14,IF(H28=18,13,IF(H28=19,12,IF(H28=20,11,IF(H28=21,10,IF(H28=22,9,IF(H28=23,8,IF(H28=24,7,IF(H28=25,6,IF(H28=26,5,IF(H28=27,4,IF(H28=28,3,IF(H28=29,2,IF(H28=30,1)))))))))))))))))))))))))))))))</f>
        <v/>
      </c>
      <c r="N28" s="1">
        <f>IF(OR(I28="",I28&gt;30),"",IF(I28=1,60,IF(I28=2,55,IF(I28=3,50,IF(I28=4,44,IF(I28=5,38,IF(I28=6,32,IF(I28=7,28,IF(I28=8,25,IF(I28=9,22,IF(I28=10,21,IF(I28=11,20,IF(I28=12,19,IF(I28=13,18,IF(I28=14,17,IF(I28=15,16,IF(I28=16,15,IF(I28=17,14,IF(I28=18,13,IF(I28=19,12,IF(I28=20,11,IF(I28=21,10,IF(I28=22,9,IF(I28=23,8,IF(I28=24,7,IF(I28=25,6,IF(I28=26,5,IF(I28=27,4,IF(I28=28,3,IF(I28=29,2,IF(I28=30,1)))))))))))))))))))))))))))))))</f>
        <v>17</v>
      </c>
      <c r="O28" s="1">
        <f>IF(OR(J28="",J28&gt;30),"",IF(J28=1,60,IF(J28=2,55,IF(J28=3,50,IF(J28=4,44,IF(J28=5,38,IF(J28=6,32,IF(J28=7,28,IF(J28=8,25,IF(J28=9,22,IF(J28=10,21,IF(J28=11,20,IF(J28=12,19,IF(J28=13,18,IF(J28=14,17,IF(J28=15,16,IF(J28=16,15,IF(J28=17,14,IF(J28=18,13,IF(J28=19,12,IF(J28=20,11,IF(J28=21,10,IF(J28=22,9,IF(J28=23,8,IF(J28=24,7,IF(J28=25,6,IF(J28=26,5,IF(J28=27,4,IF(J28=28,3,IF(J28=29,2,IF(J28=30,1)))))))))))))))))))))))))))))))</f>
        <v>10</v>
      </c>
      <c r="P28" s="1">
        <f>IF(OR(K28="",K28&gt;30),"",IF(K28=1,60,IF(K28=2,55,IF(K28=3,50,IF(K28=4,44,IF(K28=5,38,IF(K28=6,32,IF(K28=7,28,IF(K28=8,25,IF(K28=9,22,IF(K28=10,21,IF(K28=11,20,IF(K28=12,19,IF(K28=13,18,IF(K28=14,17,IF(K28=15,16,IF(K28=16,15,IF(K28=17,14,IF(K28=18,13,IF(K28=19,12,IF(K28=20,11,IF(K28=21,10,IF(K28=22,9,IF(K28=23,8,IF(K28=24,7,IF(K28=25,6,IF(K28=26,5,IF(K28=27,4,IF(K28=28,3,IF(K28=29,2,IF(K28=30,1)))))))))))))))))))))))))))))))</f>
        <v>14</v>
      </c>
      <c r="Q28" s="1">
        <f>IF(OR(L28="",L28&gt;30),"",IF(L28=1,60,IF(L28=2,55,IF(L28=3,50,IF(L28=4,44,IF(L28=5,38,IF(L28=6,32,IF(L28=7,28,IF(L28=8,25,IF(L28=9,22,IF(L28=10,21,IF(L28=11,20,IF(L28=12,19,IF(L28=13,18,IF(L28=14,17,IF(L28=15,16,IF(L28=16,15,IF(L28=17,14,IF(L28=18,13,IF(L28=19,12,IF(L28=20,11,IF(L28=21,10,IF(L28=22,9,IF(L28=23,8,IF(L28=24,7,IF(L28=25,6,IF(L28=26,5,IF(L28=27,4,IF(L28=28,3,IF(L28=29,2,IF(L28=30,1)))))))))))))))))))))))))))))))</f>
        <v>2</v>
      </c>
      <c r="R28" s="12">
        <f>IF(A28="","",IF(OR(D28="P",E28="P"),"",IF(COUNT(M28:Q28)&lt;3,SUM(M28:Q28),LARGE(M28:Q28,1)+LARGE(M28:Q28,2))+(1000-V28)*10^-4+W28*10^-5+(100-X28)*10^-8+Y28*10^-10))</f>
        <v>31.096900860000002</v>
      </c>
      <c r="S28" s="2" t="str">
        <f>IF(OR(R28="",R28=0),"",IF(SUMPRODUCT(--(B$3:B$64=B28),--(R$3:R$64&gt;R28),--(R$3:R$64&lt;&gt;"")),"","P"))</f>
        <v>P</v>
      </c>
      <c r="T28" s="2" t="str" cm="1">
        <f t="array" ref="T28">IF(R28="","",IF(SUMPRODUCT(--(D$3:D$64="P"),--(B$3:B$64=B28)),"P",""))</f>
        <v/>
      </c>
      <c r="U28" s="12">
        <f>IF(AND(S28&lt;&gt;"",OR(T28="",COUNTIF(R$3:R$64,"&gt;"&amp;R28)&lt;3)),R28,"")</f>
        <v>31.096900860000002</v>
      </c>
      <c r="V28" s="1">
        <f>IF(COUNT(H28:L28)&lt;3,SUM(H28:L28),SMALL(H28:L28,1)+SMALL(H28:L28,2))</f>
        <v>31</v>
      </c>
      <c r="W28" s="1">
        <f>COUNTIF(H28:L28,"&lt;=8")</f>
        <v>0</v>
      </c>
      <c r="X28" s="1">
        <f>MIN(H28:L28)</f>
        <v>14</v>
      </c>
      <c r="Y28" s="13"/>
      <c r="Z28" s="2" t="str">
        <f>IF(OR(R28=R27,R28=R29),"P","")</f>
        <v/>
      </c>
    </row>
    <row r="29" spans="1:26" x14ac:dyDescent="0.2">
      <c r="A29" s="7" t="s">
        <v>79</v>
      </c>
      <c r="B29" s="6" t="s">
        <v>7</v>
      </c>
      <c r="C29" s="6" t="str">
        <f>IF(A29="","",VLOOKUP(B29,'Continental Affiliation'!A:B,2,0))</f>
        <v>Americas</v>
      </c>
      <c r="G29" s="3" t="str">
        <f>IF(U29="","",RANK(U29,U:U)+COUNTIF(D:E,"P"))</f>
        <v/>
      </c>
      <c r="H29" s="6">
        <v>17</v>
      </c>
      <c r="I29" s="6">
        <v>16</v>
      </c>
      <c r="J29" s="6">
        <v>45</v>
      </c>
      <c r="K29" s="6">
        <v>58</v>
      </c>
      <c r="L29" s="6">
        <v>40</v>
      </c>
      <c r="M29" s="1">
        <f>IF(OR(H29="",H29&gt;30),"",IF(H29=1,60,IF(H29=2,55,IF(H29=3,50,IF(H29=4,44,IF(H29=5,38,IF(H29=6,32,IF(H29=7,28,IF(H29=8,25,IF(H29=9,22,IF(H29=10,21,IF(H29=11,20,IF(H29=12,19,IF(H29=13,18,IF(H29=14,17,IF(H29=15,16,IF(H29=16,15,IF(H29=17,14,IF(H29=18,13,IF(H29=19,12,IF(H29=20,11,IF(H29=21,10,IF(H29=22,9,IF(H29=23,8,IF(H29=24,7,IF(H29=25,6,IF(H29=26,5,IF(H29=27,4,IF(H29=28,3,IF(H29=29,2,IF(H29=30,1)))))))))))))))))))))))))))))))</f>
        <v>14</v>
      </c>
      <c r="N29" s="1">
        <f>IF(OR(I29="",I29&gt;30),"",IF(I29=1,60,IF(I29=2,55,IF(I29=3,50,IF(I29=4,44,IF(I29=5,38,IF(I29=6,32,IF(I29=7,28,IF(I29=8,25,IF(I29=9,22,IF(I29=10,21,IF(I29=11,20,IF(I29=12,19,IF(I29=13,18,IF(I29=14,17,IF(I29=15,16,IF(I29=16,15,IF(I29=17,14,IF(I29=18,13,IF(I29=19,12,IF(I29=20,11,IF(I29=21,10,IF(I29=22,9,IF(I29=23,8,IF(I29=24,7,IF(I29=25,6,IF(I29=26,5,IF(I29=27,4,IF(I29=28,3,IF(I29=29,2,IF(I29=30,1)))))))))))))))))))))))))))))))</f>
        <v>15</v>
      </c>
      <c r="O29" s="1" t="str">
        <f>IF(OR(J29="",J29&gt;30),"",IF(J29=1,60,IF(J29=2,55,IF(J29=3,50,IF(J29=4,44,IF(J29=5,38,IF(J29=6,32,IF(J29=7,28,IF(J29=8,25,IF(J29=9,22,IF(J29=10,21,IF(J29=11,20,IF(J29=12,19,IF(J29=13,18,IF(J29=14,17,IF(J29=15,16,IF(J29=16,15,IF(J29=17,14,IF(J29=18,13,IF(J29=19,12,IF(J29=20,11,IF(J29=21,10,IF(J29=22,9,IF(J29=23,8,IF(J29=24,7,IF(J29=25,6,IF(J29=26,5,IF(J29=27,4,IF(J29=28,3,IF(J29=29,2,IF(J29=30,1)))))))))))))))))))))))))))))))</f>
        <v/>
      </c>
      <c r="P29" s="1" t="str">
        <f>IF(OR(K29="",K29&gt;30),"",IF(K29=1,60,IF(K29=2,55,IF(K29=3,50,IF(K29=4,44,IF(K29=5,38,IF(K29=6,32,IF(K29=7,28,IF(K29=8,25,IF(K29=9,22,IF(K29=10,21,IF(K29=11,20,IF(K29=12,19,IF(K29=13,18,IF(K29=14,17,IF(K29=15,16,IF(K29=16,15,IF(K29=17,14,IF(K29=18,13,IF(K29=19,12,IF(K29=20,11,IF(K29=21,10,IF(K29=22,9,IF(K29=23,8,IF(K29=24,7,IF(K29=25,6,IF(K29=26,5,IF(K29=27,4,IF(K29=28,3,IF(K29=29,2,IF(K29=30,1)))))))))))))))))))))))))))))))</f>
        <v/>
      </c>
      <c r="Q29" s="1" t="str">
        <f>IF(OR(L29="",L29&gt;30),"",IF(L29=1,60,IF(L29=2,55,IF(L29=3,50,IF(L29=4,44,IF(L29=5,38,IF(L29=6,32,IF(L29=7,28,IF(L29=8,25,IF(L29=9,22,IF(L29=10,21,IF(L29=11,20,IF(L29=12,19,IF(L29=13,18,IF(L29=14,17,IF(L29=15,16,IF(L29=16,15,IF(L29=17,14,IF(L29=18,13,IF(L29=19,12,IF(L29=20,11,IF(L29=21,10,IF(L29=22,9,IF(L29=23,8,IF(L29=24,7,IF(L29=25,6,IF(L29=26,5,IF(L29=27,4,IF(L29=28,3,IF(L29=29,2,IF(L29=30,1)))))))))))))))))))))))))))))))</f>
        <v/>
      </c>
      <c r="R29" s="12">
        <f>IF(A29="","",IF(OR(D29="P",E29="P"),"",IF(COUNT(M29:Q29)&lt;3,SUM(M29:Q29),LARGE(M29:Q29,1)+LARGE(M29:Q29,2))+(1000-V29)*10^-4+W29*10^-5+(100-X29)*10^-8+Y29*10^-10))</f>
        <v>29.096700839999997</v>
      </c>
      <c r="S29" s="2" t="str">
        <f>IF(OR(R29="",R29=0),"",IF(SUMPRODUCT(--(B$3:B$64=B29),--(R$3:R$64&gt;R29),--(R$3:R$64&lt;&gt;"")),"","P"))</f>
        <v/>
      </c>
      <c r="T29" s="2" t="str" cm="1">
        <f t="array" ref="T29">IF(R29="","",IF(SUMPRODUCT(--(D$3:D$64="P"),--(B$3:B$64=B29)),"P",""))</f>
        <v>P</v>
      </c>
      <c r="U29" s="12" t="str">
        <f>IF(AND(S29&lt;&gt;"",OR(T29="",COUNTIF(R$3:R$64,"&gt;"&amp;R29)&lt;3)),R29,"")</f>
        <v/>
      </c>
      <c r="V29" s="1">
        <f>IF(COUNT(H29:L29)&lt;3,SUM(H29:L29),SMALL(H29:L29,1)+SMALL(H29:L29,2))</f>
        <v>33</v>
      </c>
      <c r="W29" s="1">
        <f>COUNTIF(H29:L29,"&lt;=8")</f>
        <v>0</v>
      </c>
      <c r="X29" s="1">
        <f>MIN(H29:L29)</f>
        <v>16</v>
      </c>
      <c r="Y29" s="13"/>
      <c r="Z29" s="2" t="str">
        <f>IF(OR(R29=R28,R29=R30),"P","")</f>
        <v>P</v>
      </c>
    </row>
    <row r="30" spans="1:26" x14ac:dyDescent="0.2">
      <c r="A30" s="7" t="s">
        <v>145</v>
      </c>
      <c r="B30" s="6" t="s">
        <v>8</v>
      </c>
      <c r="C30" s="6" t="str">
        <f>IF(A30="","",VLOOKUP(B30,'Continental Affiliation'!A:B,2,0))</f>
        <v>Asia</v>
      </c>
      <c r="G30" s="3" t="str">
        <f>IF(U30="","",RANK(U30,U:U)+COUNTIF(D:E,"P"))</f>
        <v/>
      </c>
      <c r="H30" s="6" t="s">
        <v>143</v>
      </c>
      <c r="I30" s="6" t="s">
        <v>143</v>
      </c>
      <c r="J30" s="6">
        <v>17</v>
      </c>
      <c r="K30" s="6">
        <v>29</v>
      </c>
      <c r="L30" s="6">
        <v>16</v>
      </c>
      <c r="M30" s="1" t="str">
        <f>IF(OR(H30="",H30&gt;30),"",IF(H30=1,60,IF(H30=2,55,IF(H30=3,50,IF(H30=4,44,IF(H30=5,38,IF(H30=6,32,IF(H30=7,28,IF(H30=8,25,IF(H30=9,22,IF(H30=10,21,IF(H30=11,20,IF(H30=12,19,IF(H30=13,18,IF(H30=14,17,IF(H30=15,16,IF(H30=16,15,IF(H30=17,14,IF(H30=18,13,IF(H30=19,12,IF(H30=20,11,IF(H30=21,10,IF(H30=22,9,IF(H30=23,8,IF(H30=24,7,IF(H30=25,6,IF(H30=26,5,IF(H30=27,4,IF(H30=28,3,IF(H30=29,2,IF(H30=30,1)))))))))))))))))))))))))))))))</f>
        <v/>
      </c>
      <c r="N30" s="1" t="str">
        <f>IF(OR(I30="",I30&gt;30),"",IF(I30=1,60,IF(I30=2,55,IF(I30=3,50,IF(I30=4,44,IF(I30=5,38,IF(I30=6,32,IF(I30=7,28,IF(I30=8,25,IF(I30=9,22,IF(I30=10,21,IF(I30=11,20,IF(I30=12,19,IF(I30=13,18,IF(I30=14,17,IF(I30=15,16,IF(I30=16,15,IF(I30=17,14,IF(I30=18,13,IF(I30=19,12,IF(I30=20,11,IF(I30=21,10,IF(I30=22,9,IF(I30=23,8,IF(I30=24,7,IF(I30=25,6,IF(I30=26,5,IF(I30=27,4,IF(I30=28,3,IF(I30=29,2,IF(I30=30,1)))))))))))))))))))))))))))))))</f>
        <v/>
      </c>
      <c r="O30" s="1">
        <f>IF(OR(J30="",J30&gt;30),"",IF(J30=1,60,IF(J30=2,55,IF(J30=3,50,IF(J30=4,44,IF(J30=5,38,IF(J30=6,32,IF(J30=7,28,IF(J30=8,25,IF(J30=9,22,IF(J30=10,21,IF(J30=11,20,IF(J30=12,19,IF(J30=13,18,IF(J30=14,17,IF(J30=15,16,IF(J30=16,15,IF(J30=17,14,IF(J30=18,13,IF(J30=19,12,IF(J30=20,11,IF(J30=21,10,IF(J30=22,9,IF(J30=23,8,IF(J30=24,7,IF(J30=25,6,IF(J30=26,5,IF(J30=27,4,IF(J30=28,3,IF(J30=29,2,IF(J30=30,1)))))))))))))))))))))))))))))))</f>
        <v>14</v>
      </c>
      <c r="P30" s="1">
        <f>IF(OR(K30="",K30&gt;30),"",IF(K30=1,60,IF(K30=2,55,IF(K30=3,50,IF(K30=4,44,IF(K30=5,38,IF(K30=6,32,IF(K30=7,28,IF(K30=8,25,IF(K30=9,22,IF(K30=10,21,IF(K30=11,20,IF(K30=12,19,IF(K30=13,18,IF(K30=14,17,IF(K30=15,16,IF(K30=16,15,IF(K30=17,14,IF(K30=18,13,IF(K30=19,12,IF(K30=20,11,IF(K30=21,10,IF(K30=22,9,IF(K30=23,8,IF(K30=24,7,IF(K30=25,6,IF(K30=26,5,IF(K30=27,4,IF(K30=28,3,IF(K30=29,2,IF(K30=30,1)))))))))))))))))))))))))))))))</f>
        <v>2</v>
      </c>
      <c r="Q30" s="1">
        <f>IF(OR(L30="",L30&gt;30),"",IF(L30=1,60,IF(L30=2,55,IF(L30=3,50,IF(L30=4,44,IF(L30=5,38,IF(L30=6,32,IF(L30=7,28,IF(L30=8,25,IF(L30=9,22,IF(L30=10,21,IF(L30=11,20,IF(L30=12,19,IF(L30=13,18,IF(L30=14,17,IF(L30=15,16,IF(L30=16,15,IF(L30=17,14,IF(L30=18,13,IF(L30=19,12,IF(L30=20,11,IF(L30=21,10,IF(L30=22,9,IF(L30=23,8,IF(L30=24,7,IF(L30=25,6,IF(L30=26,5,IF(L30=27,4,IF(L30=28,3,IF(L30=29,2,IF(L30=30,1)))))))))))))))))))))))))))))))</f>
        <v>15</v>
      </c>
      <c r="R30" s="12">
        <f>IF(A30="","",IF(OR(D30="P",E30="P"),"",IF(COUNT(M30:Q30)&lt;3,SUM(M30:Q30),LARGE(M30:Q30,1)+LARGE(M30:Q30,2))+(1000-V30)*10^-4+W30*10^-5+(100-X30)*10^-8+Y30*10^-10))</f>
        <v>29.096700839999997</v>
      </c>
      <c r="S30" s="2" t="str">
        <f>IF(OR(R30="",R30=0),"",IF(SUMPRODUCT(--(B$3:B$64=B30),--(R$3:R$64&gt;R30),--(R$3:R$64&lt;&gt;"")),"","P"))</f>
        <v/>
      </c>
      <c r="T30" s="2" t="str" cm="1">
        <f t="array" ref="T30">IF(R30="","",IF(SUMPRODUCT(--(D$3:D$64="P"),--(B$3:B$64=B30)),"P",""))</f>
        <v/>
      </c>
      <c r="U30" s="12" t="str">
        <f>IF(AND(S30&lt;&gt;"",OR(T30="",COUNTIF(R$3:R$64,"&gt;"&amp;R30)&lt;3)),R30,"")</f>
        <v/>
      </c>
      <c r="V30" s="1">
        <f>IF(COUNT(H30:L30)&lt;3,SUM(H30:L30),SMALL(H30:L30,1)+SMALL(H30:L30,2))</f>
        <v>33</v>
      </c>
      <c r="W30" s="1">
        <f>COUNTIF(H30:L30,"&lt;=8")</f>
        <v>0</v>
      </c>
      <c r="X30" s="1">
        <f>MIN(H30:L30)</f>
        <v>16</v>
      </c>
      <c r="Y30" s="13"/>
      <c r="Z30" s="2" t="str">
        <f>IF(OR(R30=R29,R30=R39),"P","")</f>
        <v>P</v>
      </c>
    </row>
    <row r="31" spans="1:26" x14ac:dyDescent="0.2">
      <c r="A31" s="7" t="s">
        <v>106</v>
      </c>
      <c r="B31" s="6" t="s">
        <v>30</v>
      </c>
      <c r="C31" s="6" t="str">
        <f>IF(A31="","",VLOOKUP(B31,'Continental Affiliation'!A:B,2,0))</f>
        <v>Oceana</v>
      </c>
      <c r="G31" s="3">
        <f>IF(U31="","",RANK(U31,U:U)+COUNTIF(D:E,"P"))</f>
        <v>17</v>
      </c>
      <c r="H31" s="6">
        <v>14</v>
      </c>
      <c r="I31" s="6">
        <v>26</v>
      </c>
      <c r="J31" s="6">
        <v>20</v>
      </c>
      <c r="K31" s="6">
        <v>35</v>
      </c>
      <c r="L31" s="6">
        <v>28</v>
      </c>
      <c r="M31" s="1">
        <f>IF(OR(H31="",H31&gt;30),"",IF(H31=1,60,IF(H31=2,55,IF(H31=3,50,IF(H31=4,44,IF(H31=5,38,IF(H31=6,32,IF(H31=7,28,IF(H31=8,25,IF(H31=9,22,IF(H31=10,21,IF(H31=11,20,IF(H31=12,19,IF(H31=13,18,IF(H31=14,17,IF(H31=15,16,IF(H31=16,15,IF(H31=17,14,IF(H31=18,13,IF(H31=19,12,IF(H31=20,11,IF(H31=21,10,IF(H31=22,9,IF(H31=23,8,IF(H31=24,7,IF(H31=25,6,IF(H31=26,5,IF(H31=27,4,IF(H31=28,3,IF(H31=29,2,IF(H31=30,1)))))))))))))))))))))))))))))))</f>
        <v>17</v>
      </c>
      <c r="N31" s="1">
        <f>IF(OR(I31="",I31&gt;30),"",IF(I31=1,60,IF(I31=2,55,IF(I31=3,50,IF(I31=4,44,IF(I31=5,38,IF(I31=6,32,IF(I31=7,28,IF(I31=8,25,IF(I31=9,22,IF(I31=10,21,IF(I31=11,20,IF(I31=12,19,IF(I31=13,18,IF(I31=14,17,IF(I31=15,16,IF(I31=16,15,IF(I31=17,14,IF(I31=18,13,IF(I31=19,12,IF(I31=20,11,IF(I31=21,10,IF(I31=22,9,IF(I31=23,8,IF(I31=24,7,IF(I31=25,6,IF(I31=26,5,IF(I31=27,4,IF(I31=28,3,IF(I31=29,2,IF(I31=30,1)))))))))))))))))))))))))))))))</f>
        <v>5</v>
      </c>
      <c r="O31" s="1">
        <f>IF(OR(J31="",J31&gt;30),"",IF(J31=1,60,IF(J31=2,55,IF(J31=3,50,IF(J31=4,44,IF(J31=5,38,IF(J31=6,32,IF(J31=7,28,IF(J31=8,25,IF(J31=9,22,IF(J31=10,21,IF(J31=11,20,IF(J31=12,19,IF(J31=13,18,IF(J31=14,17,IF(J31=15,16,IF(J31=16,15,IF(J31=17,14,IF(J31=18,13,IF(J31=19,12,IF(J31=20,11,IF(J31=21,10,IF(J31=22,9,IF(J31=23,8,IF(J31=24,7,IF(J31=25,6,IF(J31=26,5,IF(J31=27,4,IF(J31=28,3,IF(J31=29,2,IF(J31=30,1)))))))))))))))))))))))))))))))</f>
        <v>11</v>
      </c>
      <c r="P31" s="1" t="str">
        <f>IF(OR(K31="",K31&gt;30),"",IF(K31=1,60,IF(K31=2,55,IF(K31=3,50,IF(K31=4,44,IF(K31=5,38,IF(K31=6,32,IF(K31=7,28,IF(K31=8,25,IF(K31=9,22,IF(K31=10,21,IF(K31=11,20,IF(K31=12,19,IF(K31=13,18,IF(K31=14,17,IF(K31=15,16,IF(K31=16,15,IF(K31=17,14,IF(K31=18,13,IF(K31=19,12,IF(K31=20,11,IF(K31=21,10,IF(K31=22,9,IF(K31=23,8,IF(K31=24,7,IF(K31=25,6,IF(K31=26,5,IF(K31=27,4,IF(K31=28,3,IF(K31=29,2,IF(K31=30,1)))))))))))))))))))))))))))))))</f>
        <v/>
      </c>
      <c r="Q31" s="1">
        <f>IF(OR(L31="",L31&gt;30),"",IF(L31=1,60,IF(L31=2,55,IF(L31=3,50,IF(L31=4,44,IF(L31=5,38,IF(L31=6,32,IF(L31=7,28,IF(L31=8,25,IF(L31=9,22,IF(L31=10,21,IF(L31=11,20,IF(L31=12,19,IF(L31=13,18,IF(L31=14,17,IF(L31=15,16,IF(L31=16,15,IF(L31=17,14,IF(L31=18,13,IF(L31=19,12,IF(L31=20,11,IF(L31=21,10,IF(L31=22,9,IF(L31=23,8,IF(L31=24,7,IF(L31=25,6,IF(L31=26,5,IF(L31=27,4,IF(L31=28,3,IF(L31=29,2,IF(L31=30,1)))))))))))))))))))))))))))))))</f>
        <v>3</v>
      </c>
      <c r="R31" s="12">
        <f>IF(A31="","",IF(OR(D31="P",E31="P"),"",IF(COUNT(M31:Q31)&lt;3,SUM(M31:Q31),LARGE(M31:Q31,1)+LARGE(M31:Q31,2))+(1000-V31)*10^-4+W31*10^-5+(100-X31)*10^-8+Y31*10^-10))</f>
        <v>28.096600859999999</v>
      </c>
      <c r="S31" s="2" t="str">
        <f>IF(OR(R31="",R31=0),"",IF(SUMPRODUCT(--(B$3:B$64=B31),--(R$3:R$64&gt;R31),--(R$3:R$64&lt;&gt;"")),"","P"))</f>
        <v>P</v>
      </c>
      <c r="T31" s="2" t="str" cm="1">
        <f t="array" ref="T31">IF(R31="","",IF(SUMPRODUCT(--(D$3:D$64="P"),--(B$3:B$64=B31)),"P",""))</f>
        <v/>
      </c>
      <c r="U31" s="12">
        <f>IF(AND(S31&lt;&gt;"",OR(T31="",COUNTIF(R$3:R$64,"&gt;"&amp;R31)&lt;3)),R31,"")</f>
        <v>28.096600859999999</v>
      </c>
      <c r="V31" s="1">
        <f>IF(COUNT(H31:L31)&lt;3,SUM(H31:L31),SMALL(H31:L31,1)+SMALL(H31:L31,2))</f>
        <v>34</v>
      </c>
      <c r="W31" s="1">
        <f>COUNTIF(H31:L31,"&lt;=8")</f>
        <v>0</v>
      </c>
      <c r="X31" s="1">
        <f>MIN(H31:L31)</f>
        <v>14</v>
      </c>
      <c r="Y31" s="13"/>
      <c r="Z31" s="2" t="str">
        <f>IF(OR(R31=R30,R31=R32),"P","")</f>
        <v/>
      </c>
    </row>
    <row r="32" spans="1:26" x14ac:dyDescent="0.2">
      <c r="A32" s="7" t="s">
        <v>105</v>
      </c>
      <c r="B32" s="6" t="s">
        <v>11</v>
      </c>
      <c r="C32" s="6" t="str">
        <f>IF(A32="","",VLOOKUP(B32,'Continental Affiliation'!A:B,2,0))</f>
        <v>Europe</v>
      </c>
      <c r="G32" s="3" t="str">
        <f>IF(U32="","",RANK(U32,U:U)+COUNTIF(D:E,"P"))</f>
        <v/>
      </c>
      <c r="H32" s="6">
        <v>15</v>
      </c>
      <c r="I32" s="6">
        <v>23</v>
      </c>
      <c r="J32" s="6" t="s">
        <v>143</v>
      </c>
      <c r="K32" s="6" t="s">
        <v>143</v>
      </c>
      <c r="L32" s="6" t="s">
        <v>143</v>
      </c>
      <c r="M32" s="1">
        <f>IF(OR(H32="",H32&gt;30),"",IF(H32=1,60,IF(H32=2,55,IF(H32=3,50,IF(H32=4,44,IF(H32=5,38,IF(H32=6,32,IF(H32=7,28,IF(H32=8,25,IF(H32=9,22,IF(H32=10,21,IF(H32=11,20,IF(H32=12,19,IF(H32=13,18,IF(H32=14,17,IF(H32=15,16,IF(H32=16,15,IF(H32=17,14,IF(H32=18,13,IF(H32=19,12,IF(H32=20,11,IF(H32=21,10,IF(H32=22,9,IF(H32=23,8,IF(H32=24,7,IF(H32=25,6,IF(H32=26,5,IF(H32=27,4,IF(H32=28,3,IF(H32=29,2,IF(H32=30,1)))))))))))))))))))))))))))))))</f>
        <v>16</v>
      </c>
      <c r="N32" s="1">
        <f>IF(OR(I32="",I32&gt;30),"",IF(I32=1,60,IF(I32=2,55,IF(I32=3,50,IF(I32=4,44,IF(I32=5,38,IF(I32=6,32,IF(I32=7,28,IF(I32=8,25,IF(I32=9,22,IF(I32=10,21,IF(I32=11,20,IF(I32=12,19,IF(I32=13,18,IF(I32=14,17,IF(I32=15,16,IF(I32=16,15,IF(I32=17,14,IF(I32=18,13,IF(I32=19,12,IF(I32=20,11,IF(I32=21,10,IF(I32=22,9,IF(I32=23,8,IF(I32=24,7,IF(I32=25,6,IF(I32=26,5,IF(I32=27,4,IF(I32=28,3,IF(I32=29,2,IF(I32=30,1)))))))))))))))))))))))))))))))</f>
        <v>8</v>
      </c>
      <c r="O32" s="1" t="str">
        <f>IF(OR(J32="",J32&gt;30),"",IF(J32=1,60,IF(J32=2,55,IF(J32=3,50,IF(J32=4,44,IF(J32=5,38,IF(J32=6,32,IF(J32=7,28,IF(J32=8,25,IF(J32=9,22,IF(J32=10,21,IF(J32=11,20,IF(J32=12,19,IF(J32=13,18,IF(J32=14,17,IF(J32=15,16,IF(J32=16,15,IF(J32=17,14,IF(J32=18,13,IF(J32=19,12,IF(J32=20,11,IF(J32=21,10,IF(J32=22,9,IF(J32=23,8,IF(J32=24,7,IF(J32=25,6,IF(J32=26,5,IF(J32=27,4,IF(J32=28,3,IF(J32=29,2,IF(J32=30,1)))))))))))))))))))))))))))))))</f>
        <v/>
      </c>
      <c r="P32" s="1" t="str">
        <f>IF(OR(K32="",K32&gt;30),"",IF(K32=1,60,IF(K32=2,55,IF(K32=3,50,IF(K32=4,44,IF(K32=5,38,IF(K32=6,32,IF(K32=7,28,IF(K32=8,25,IF(K32=9,22,IF(K32=10,21,IF(K32=11,20,IF(K32=12,19,IF(K32=13,18,IF(K32=14,17,IF(K32=15,16,IF(K32=16,15,IF(K32=17,14,IF(K32=18,13,IF(K32=19,12,IF(K32=20,11,IF(K32=21,10,IF(K32=22,9,IF(K32=23,8,IF(K32=24,7,IF(K32=25,6,IF(K32=26,5,IF(K32=27,4,IF(K32=28,3,IF(K32=29,2,IF(K32=30,1)))))))))))))))))))))))))))))))</f>
        <v/>
      </c>
      <c r="Q32" s="1" t="str">
        <f>IF(OR(L32="",L32&gt;30),"",IF(L32=1,60,IF(L32=2,55,IF(L32=3,50,IF(L32=4,44,IF(L32=5,38,IF(L32=6,32,IF(L32=7,28,IF(L32=8,25,IF(L32=9,22,IF(L32=10,21,IF(L32=11,20,IF(L32=12,19,IF(L32=13,18,IF(L32=14,17,IF(L32=15,16,IF(L32=16,15,IF(L32=17,14,IF(L32=18,13,IF(L32=19,12,IF(L32=20,11,IF(L32=21,10,IF(L32=22,9,IF(L32=23,8,IF(L32=24,7,IF(L32=25,6,IF(L32=26,5,IF(L32=27,4,IF(L32=28,3,IF(L32=29,2,IF(L32=30,1)))))))))))))))))))))))))))))))</f>
        <v/>
      </c>
      <c r="R32" s="12">
        <f>IF(A32="","",IF(OR(D32="P",E32="P"),"",IF(COUNT(M32:Q32)&lt;3,SUM(M32:Q32),LARGE(M32:Q32,1)+LARGE(M32:Q32,2))+(1000-V32)*10^-4+W32*10^-5+(100-X32)*10^-8+Y32*10^-10))</f>
        <v>24.096200849999999</v>
      </c>
      <c r="S32" s="2" t="str">
        <f>IF(OR(R32="",R32=0),"",IF(SUMPRODUCT(--(B$3:B$64=B32),--(R$3:R$64&gt;R32),--(R$3:R$64&lt;&gt;"")),"","P"))</f>
        <v/>
      </c>
      <c r="T32" s="2" t="str" cm="1">
        <f t="array" ref="T32">IF(R32="","",IF(SUMPRODUCT(--(D$3:D$64="P"),--(B$3:B$64=B32)),"P",""))</f>
        <v/>
      </c>
      <c r="U32" s="12" t="str">
        <f>IF(AND(S32&lt;&gt;"",OR(T32="",COUNTIF(R$3:R$64,"&gt;"&amp;R32)&lt;3)),R32,"")</f>
        <v/>
      </c>
      <c r="V32" s="1">
        <f>IF(COUNT(H32:L32)&lt;3,SUM(H32:L32),SMALL(H32:L32,1)+SMALL(H32:L32,2))</f>
        <v>38</v>
      </c>
      <c r="W32" s="1">
        <f>COUNTIF(H32:L32,"&lt;=8")</f>
        <v>0</v>
      </c>
      <c r="X32" s="1">
        <f>MIN(H32:L32)</f>
        <v>15</v>
      </c>
      <c r="Y32" s="13"/>
      <c r="Z32" s="2" t="str">
        <f>IF(OR(R32=R31,R32=R33),"P","")</f>
        <v/>
      </c>
    </row>
    <row r="33" spans="1:26" x14ac:dyDescent="0.2">
      <c r="A33" s="7" t="s">
        <v>16</v>
      </c>
      <c r="B33" s="6" t="s">
        <v>27</v>
      </c>
      <c r="C33" s="6" t="str">
        <f>IF(A33="","",VLOOKUP(B33,'Continental Affiliation'!A:B,2,0))</f>
        <v>Americas</v>
      </c>
      <c r="G33" s="3">
        <f>IF(U33="","",RANK(U33,U:U)+COUNTIF(D:E,"P"))</f>
        <v>18</v>
      </c>
      <c r="H33" s="6">
        <v>22</v>
      </c>
      <c r="I33" s="6">
        <v>18</v>
      </c>
      <c r="J33" s="6">
        <v>41</v>
      </c>
      <c r="K33" s="6">
        <v>21</v>
      </c>
      <c r="L33" s="6">
        <v>27</v>
      </c>
      <c r="M33" s="1">
        <f>IF(OR(H33="",H33&gt;30),"",IF(H33=1,60,IF(H33=2,55,IF(H33=3,50,IF(H33=4,44,IF(H33=5,38,IF(H33=6,32,IF(H33=7,28,IF(H33=8,25,IF(H33=9,22,IF(H33=10,21,IF(H33=11,20,IF(H33=12,19,IF(H33=13,18,IF(H33=14,17,IF(H33=15,16,IF(H33=16,15,IF(H33=17,14,IF(H33=18,13,IF(H33=19,12,IF(H33=20,11,IF(H33=21,10,IF(H33=22,9,IF(H33=23,8,IF(H33=24,7,IF(H33=25,6,IF(H33=26,5,IF(H33=27,4,IF(H33=28,3,IF(H33=29,2,IF(H33=30,1)))))))))))))))))))))))))))))))</f>
        <v>9</v>
      </c>
      <c r="N33" s="1">
        <f>IF(OR(I33="",I33&gt;30),"",IF(I33=1,60,IF(I33=2,55,IF(I33=3,50,IF(I33=4,44,IF(I33=5,38,IF(I33=6,32,IF(I33=7,28,IF(I33=8,25,IF(I33=9,22,IF(I33=10,21,IF(I33=11,20,IF(I33=12,19,IF(I33=13,18,IF(I33=14,17,IF(I33=15,16,IF(I33=16,15,IF(I33=17,14,IF(I33=18,13,IF(I33=19,12,IF(I33=20,11,IF(I33=21,10,IF(I33=22,9,IF(I33=23,8,IF(I33=24,7,IF(I33=25,6,IF(I33=26,5,IF(I33=27,4,IF(I33=28,3,IF(I33=29,2,IF(I33=30,1)))))))))))))))))))))))))))))))</f>
        <v>13</v>
      </c>
      <c r="O33" s="1" t="str">
        <f>IF(OR(J33="",J33&gt;30),"",IF(J33=1,60,IF(J33=2,55,IF(J33=3,50,IF(J33=4,44,IF(J33=5,38,IF(J33=6,32,IF(J33=7,28,IF(J33=8,25,IF(J33=9,22,IF(J33=10,21,IF(J33=11,20,IF(J33=12,19,IF(J33=13,18,IF(J33=14,17,IF(J33=15,16,IF(J33=16,15,IF(J33=17,14,IF(J33=18,13,IF(J33=19,12,IF(J33=20,11,IF(J33=21,10,IF(J33=22,9,IF(J33=23,8,IF(J33=24,7,IF(J33=25,6,IF(J33=26,5,IF(J33=27,4,IF(J33=28,3,IF(J33=29,2,IF(J33=30,1)))))))))))))))))))))))))))))))</f>
        <v/>
      </c>
      <c r="P33" s="1">
        <f>IF(OR(K33="",K33&gt;30),"",IF(K33=1,60,IF(K33=2,55,IF(K33=3,50,IF(K33=4,44,IF(K33=5,38,IF(K33=6,32,IF(K33=7,28,IF(K33=8,25,IF(K33=9,22,IF(K33=10,21,IF(K33=11,20,IF(K33=12,19,IF(K33=13,18,IF(K33=14,17,IF(K33=15,16,IF(K33=16,15,IF(K33=17,14,IF(K33=18,13,IF(K33=19,12,IF(K33=20,11,IF(K33=21,10,IF(K33=22,9,IF(K33=23,8,IF(K33=24,7,IF(K33=25,6,IF(K33=26,5,IF(K33=27,4,IF(K33=28,3,IF(K33=29,2,IF(K33=30,1)))))))))))))))))))))))))))))))</f>
        <v>10</v>
      </c>
      <c r="Q33" s="1">
        <f>IF(OR(L33="",L33&gt;30),"",IF(L33=1,60,IF(L33=2,55,IF(L33=3,50,IF(L33=4,44,IF(L33=5,38,IF(L33=6,32,IF(L33=7,28,IF(L33=8,25,IF(L33=9,22,IF(L33=10,21,IF(L33=11,20,IF(L33=12,19,IF(L33=13,18,IF(L33=14,17,IF(L33=15,16,IF(L33=16,15,IF(L33=17,14,IF(L33=18,13,IF(L33=19,12,IF(L33=20,11,IF(L33=21,10,IF(L33=22,9,IF(L33=23,8,IF(L33=24,7,IF(L33=25,6,IF(L33=26,5,IF(L33=27,4,IF(L33=28,3,IF(L33=29,2,IF(L33=30,1)))))))))))))))))))))))))))))))</f>
        <v>4</v>
      </c>
      <c r="R33" s="12">
        <f>IF(A33="","",IF(OR(D33="P",E33="P"),"",IF(COUNT(M33:Q33)&lt;3,SUM(M33:Q33),LARGE(M33:Q33,1)+LARGE(M33:Q33,2))+(1000-V33)*10^-4+W33*10^-5+(100-X33)*10^-8+Y33*10^-10))</f>
        <v>23.09610082</v>
      </c>
      <c r="S33" s="2" t="str">
        <f>IF(OR(R33="",R33=0),"",IF(SUMPRODUCT(--(B$3:B$64=B33),--(R$3:R$64&gt;R33),--(R$3:R$64&lt;&gt;"")),"","P"))</f>
        <v>P</v>
      </c>
      <c r="T33" s="2" t="str" cm="1">
        <f t="array" ref="T33">IF(R33="","",IF(SUMPRODUCT(--(D$3:D$64="P"),--(B$3:B$64=B33)),"P",""))</f>
        <v/>
      </c>
      <c r="U33" s="12">
        <f>IF(AND(S33&lt;&gt;"",OR(T33="",COUNTIF(R$3:R$64,"&gt;"&amp;R33)&lt;3)),R33,"")</f>
        <v>23.09610082</v>
      </c>
      <c r="V33" s="1">
        <f>IF(COUNT(H33:L33)&lt;3,SUM(H33:L33),SMALL(H33:L33,1)+SMALL(H33:L33,2))</f>
        <v>39</v>
      </c>
      <c r="W33" s="1">
        <f>COUNTIF(H33:L33,"&lt;=8")</f>
        <v>0</v>
      </c>
      <c r="X33" s="1">
        <f>MIN(H33:L33)</f>
        <v>18</v>
      </c>
      <c r="Y33" s="13"/>
      <c r="Z33" s="2" t="str">
        <f>IF(OR(R33=R32,R33=R34),"P","")</f>
        <v/>
      </c>
    </row>
    <row r="34" spans="1:26" x14ac:dyDescent="0.2">
      <c r="A34" s="7" t="s">
        <v>80</v>
      </c>
      <c r="B34" s="6" t="s">
        <v>22</v>
      </c>
      <c r="C34" s="6" t="str">
        <f>IF(A34="","",VLOOKUP(B34,'Continental Affiliation'!A:B,2,0))</f>
        <v>Europe</v>
      </c>
      <c r="G34" s="3" t="str">
        <f>IF(U34="","",RANK(U34,U:U)+COUNTIF(D:E,"P"))</f>
        <v/>
      </c>
      <c r="H34" s="6">
        <v>27</v>
      </c>
      <c r="I34" s="6">
        <v>19</v>
      </c>
      <c r="J34" s="6">
        <v>66</v>
      </c>
      <c r="K34" s="6">
        <v>20</v>
      </c>
      <c r="L34" s="6">
        <v>23</v>
      </c>
      <c r="M34" s="1">
        <f>IF(OR(H34="",H34&gt;30),"",IF(H34=1,60,IF(H34=2,55,IF(H34=3,50,IF(H34=4,44,IF(H34=5,38,IF(H34=6,32,IF(H34=7,28,IF(H34=8,25,IF(H34=9,22,IF(H34=10,21,IF(H34=11,20,IF(H34=12,19,IF(H34=13,18,IF(H34=14,17,IF(H34=15,16,IF(H34=16,15,IF(H34=17,14,IF(H34=18,13,IF(H34=19,12,IF(H34=20,11,IF(H34=21,10,IF(H34=22,9,IF(H34=23,8,IF(H34=24,7,IF(H34=25,6,IF(H34=26,5,IF(H34=27,4,IF(H34=28,3,IF(H34=29,2,IF(H34=30,1)))))))))))))))))))))))))))))))</f>
        <v>4</v>
      </c>
      <c r="N34" s="1">
        <f>IF(OR(I34="",I34&gt;30),"",IF(I34=1,60,IF(I34=2,55,IF(I34=3,50,IF(I34=4,44,IF(I34=5,38,IF(I34=6,32,IF(I34=7,28,IF(I34=8,25,IF(I34=9,22,IF(I34=10,21,IF(I34=11,20,IF(I34=12,19,IF(I34=13,18,IF(I34=14,17,IF(I34=15,16,IF(I34=16,15,IF(I34=17,14,IF(I34=18,13,IF(I34=19,12,IF(I34=20,11,IF(I34=21,10,IF(I34=22,9,IF(I34=23,8,IF(I34=24,7,IF(I34=25,6,IF(I34=26,5,IF(I34=27,4,IF(I34=28,3,IF(I34=29,2,IF(I34=30,1)))))))))))))))))))))))))))))))</f>
        <v>12</v>
      </c>
      <c r="O34" s="1" t="str">
        <f>IF(OR(J34="",J34&gt;30),"",IF(J34=1,60,IF(J34=2,55,IF(J34=3,50,IF(J34=4,44,IF(J34=5,38,IF(J34=6,32,IF(J34=7,28,IF(J34=8,25,IF(J34=9,22,IF(J34=10,21,IF(J34=11,20,IF(J34=12,19,IF(J34=13,18,IF(J34=14,17,IF(J34=15,16,IF(J34=16,15,IF(J34=17,14,IF(J34=18,13,IF(J34=19,12,IF(J34=20,11,IF(J34=21,10,IF(J34=22,9,IF(J34=23,8,IF(J34=24,7,IF(J34=25,6,IF(J34=26,5,IF(J34=27,4,IF(J34=28,3,IF(J34=29,2,IF(J34=30,1)))))))))))))))))))))))))))))))</f>
        <v/>
      </c>
      <c r="P34" s="1">
        <f>IF(OR(K34="",K34&gt;30),"",IF(K34=1,60,IF(K34=2,55,IF(K34=3,50,IF(K34=4,44,IF(K34=5,38,IF(K34=6,32,IF(K34=7,28,IF(K34=8,25,IF(K34=9,22,IF(K34=10,21,IF(K34=11,20,IF(K34=12,19,IF(K34=13,18,IF(K34=14,17,IF(K34=15,16,IF(K34=16,15,IF(K34=17,14,IF(K34=18,13,IF(K34=19,12,IF(K34=20,11,IF(K34=21,10,IF(K34=22,9,IF(K34=23,8,IF(K34=24,7,IF(K34=25,6,IF(K34=26,5,IF(K34=27,4,IF(K34=28,3,IF(K34=29,2,IF(K34=30,1)))))))))))))))))))))))))))))))</f>
        <v>11</v>
      </c>
      <c r="Q34" s="1">
        <f>IF(OR(L34="",L34&gt;30),"",IF(L34=1,60,IF(L34=2,55,IF(L34=3,50,IF(L34=4,44,IF(L34=5,38,IF(L34=6,32,IF(L34=7,28,IF(L34=8,25,IF(L34=9,22,IF(L34=10,21,IF(L34=11,20,IF(L34=12,19,IF(L34=13,18,IF(L34=14,17,IF(L34=15,16,IF(L34=16,15,IF(L34=17,14,IF(L34=18,13,IF(L34=19,12,IF(L34=20,11,IF(L34=21,10,IF(L34=22,9,IF(L34=23,8,IF(L34=24,7,IF(L34=25,6,IF(L34=26,5,IF(L34=27,4,IF(L34=28,3,IF(L34=29,2,IF(L34=30,1)))))))))))))))))))))))))))))))</f>
        <v>8</v>
      </c>
      <c r="R34" s="12">
        <f>IF(A34="","",IF(OR(D34="P",E34="P"),"",IF(COUNT(M34:Q34)&lt;3,SUM(M34:Q34),LARGE(M34:Q34,1)+LARGE(M34:Q34,2))+(1000-V34)*10^-4+W34*10^-5+(100-X34)*10^-8+Y34*10^-10))</f>
        <v>23.096100809999999</v>
      </c>
      <c r="S34" s="2" t="str">
        <f>IF(OR(R34="",R34=0),"",IF(SUMPRODUCT(--(B$3:B$64=B34),--(R$3:R$64&gt;R34),--(R$3:R$64&lt;&gt;"")),"","P"))</f>
        <v/>
      </c>
      <c r="T34" s="2" t="str" cm="1">
        <f t="array" ref="T34">IF(R34="","",IF(SUMPRODUCT(--(D$3:D$64="P"),--(B$3:B$64=B34)),"P",""))</f>
        <v/>
      </c>
      <c r="U34" s="12" t="str">
        <f>IF(AND(S34&lt;&gt;"",OR(T34="",COUNTIF(R$3:R$64,"&gt;"&amp;R34)&lt;3)),R34,"")</f>
        <v/>
      </c>
      <c r="V34" s="1">
        <f>IF(COUNT(H34:L34)&lt;3,SUM(H34:L34),SMALL(H34:L34,1)+SMALL(H34:L34,2))</f>
        <v>39</v>
      </c>
      <c r="W34" s="1">
        <f>COUNTIF(H34:L34,"&lt;=8")</f>
        <v>0</v>
      </c>
      <c r="X34" s="1">
        <f>MIN(H34:L34)</f>
        <v>19</v>
      </c>
      <c r="Y34" s="13"/>
      <c r="Z34" s="2" t="str">
        <f>IF(OR(R34=R33,R34=R35),"P","")</f>
        <v/>
      </c>
    </row>
    <row r="35" spans="1:26" x14ac:dyDescent="0.2">
      <c r="A35" s="7" t="s">
        <v>131</v>
      </c>
      <c r="B35" s="6" t="s">
        <v>23</v>
      </c>
      <c r="C35" s="6" t="str">
        <f>IF(A35="","",VLOOKUP(B35,'Continental Affiliation'!A:B,2,0))</f>
        <v>Europe</v>
      </c>
      <c r="G35" s="3" t="str">
        <f>IF(U35="","",RANK(U35,U:U)+COUNTIF(D:E,"P"))</f>
        <v/>
      </c>
      <c r="H35" s="6">
        <v>33</v>
      </c>
      <c r="I35" s="6">
        <v>30</v>
      </c>
      <c r="J35" s="6">
        <v>18</v>
      </c>
      <c r="K35" s="6">
        <v>59</v>
      </c>
      <c r="L35" s="6">
        <v>24</v>
      </c>
      <c r="M35" s="1" t="str">
        <f>IF(OR(H35="",H35&gt;30),"",IF(H35=1,60,IF(H35=2,55,IF(H35=3,50,IF(H35=4,44,IF(H35=5,38,IF(H35=6,32,IF(H35=7,28,IF(H35=8,25,IF(H35=9,22,IF(H35=10,21,IF(H35=11,20,IF(H35=12,19,IF(H35=13,18,IF(H35=14,17,IF(H35=15,16,IF(H35=16,15,IF(H35=17,14,IF(H35=18,13,IF(H35=19,12,IF(H35=20,11,IF(H35=21,10,IF(H35=22,9,IF(H35=23,8,IF(H35=24,7,IF(H35=25,6,IF(H35=26,5,IF(H35=27,4,IF(H35=28,3,IF(H35=29,2,IF(H35=30,1)))))))))))))))))))))))))))))))</f>
        <v/>
      </c>
      <c r="N35" s="1">
        <f>IF(OR(I35="",I35&gt;30),"",IF(I35=1,60,IF(I35=2,55,IF(I35=3,50,IF(I35=4,44,IF(I35=5,38,IF(I35=6,32,IF(I35=7,28,IF(I35=8,25,IF(I35=9,22,IF(I35=10,21,IF(I35=11,20,IF(I35=12,19,IF(I35=13,18,IF(I35=14,17,IF(I35=15,16,IF(I35=16,15,IF(I35=17,14,IF(I35=18,13,IF(I35=19,12,IF(I35=20,11,IF(I35=21,10,IF(I35=22,9,IF(I35=23,8,IF(I35=24,7,IF(I35=25,6,IF(I35=26,5,IF(I35=27,4,IF(I35=28,3,IF(I35=29,2,IF(I35=30,1)))))))))))))))))))))))))))))))</f>
        <v>1</v>
      </c>
      <c r="O35" s="1">
        <f>IF(OR(J35="",J35&gt;30),"",IF(J35=1,60,IF(J35=2,55,IF(J35=3,50,IF(J35=4,44,IF(J35=5,38,IF(J35=6,32,IF(J35=7,28,IF(J35=8,25,IF(J35=9,22,IF(J35=10,21,IF(J35=11,20,IF(J35=12,19,IF(J35=13,18,IF(J35=14,17,IF(J35=15,16,IF(J35=16,15,IF(J35=17,14,IF(J35=18,13,IF(J35=19,12,IF(J35=20,11,IF(J35=21,10,IF(J35=22,9,IF(J35=23,8,IF(J35=24,7,IF(J35=25,6,IF(J35=26,5,IF(J35=27,4,IF(J35=28,3,IF(J35=29,2,IF(J35=30,1)))))))))))))))))))))))))))))))</f>
        <v>13</v>
      </c>
      <c r="P35" s="1" t="str">
        <f>IF(OR(K35="",K35&gt;30),"",IF(K35=1,60,IF(K35=2,55,IF(K35=3,50,IF(K35=4,44,IF(K35=5,38,IF(K35=6,32,IF(K35=7,28,IF(K35=8,25,IF(K35=9,22,IF(K35=10,21,IF(K35=11,20,IF(K35=12,19,IF(K35=13,18,IF(K35=14,17,IF(K35=15,16,IF(K35=16,15,IF(K35=17,14,IF(K35=18,13,IF(K35=19,12,IF(K35=20,11,IF(K35=21,10,IF(K35=22,9,IF(K35=23,8,IF(K35=24,7,IF(K35=25,6,IF(K35=26,5,IF(K35=27,4,IF(K35=28,3,IF(K35=29,2,IF(K35=30,1)))))))))))))))))))))))))))))))</f>
        <v/>
      </c>
      <c r="Q35" s="1">
        <f>IF(OR(L35="",L35&gt;30),"",IF(L35=1,60,IF(L35=2,55,IF(L35=3,50,IF(L35=4,44,IF(L35=5,38,IF(L35=6,32,IF(L35=7,28,IF(L35=8,25,IF(L35=9,22,IF(L35=10,21,IF(L35=11,20,IF(L35=12,19,IF(L35=13,18,IF(L35=14,17,IF(L35=15,16,IF(L35=16,15,IF(L35=17,14,IF(L35=18,13,IF(L35=19,12,IF(L35=20,11,IF(L35=21,10,IF(L35=22,9,IF(L35=23,8,IF(L35=24,7,IF(L35=25,6,IF(L35=26,5,IF(L35=27,4,IF(L35=28,3,IF(L35=29,2,IF(L35=30,1)))))))))))))))))))))))))))))))</f>
        <v>7</v>
      </c>
      <c r="R35" s="12">
        <f>IF(A35="","",IF(OR(D35="P",E35="P"),"",IF(COUNT(M35:Q35)&lt;3,SUM(M35:Q35),LARGE(M35:Q35,1)+LARGE(M35:Q35,2))+(1000-V35)*10^-4+W35*10^-5+(100-X35)*10^-8+Y35*10^-10))</f>
        <v>20.095800820000001</v>
      </c>
      <c r="S35" s="2" t="str">
        <f>IF(OR(R35="",R35=0),"",IF(SUMPRODUCT(--(B$3:B$64=B35),--(R$3:R$64&gt;R35),--(R$3:R$64&lt;&gt;"")),"","P"))</f>
        <v/>
      </c>
      <c r="T35" s="2" t="str" cm="1">
        <f t="array" ref="T35">IF(R35="","",IF(SUMPRODUCT(--(D$3:D$64="P"),--(B$3:B$64=B35)),"P",""))</f>
        <v/>
      </c>
      <c r="U35" s="12" t="str">
        <f>IF(AND(S35&lt;&gt;"",OR(T35="",COUNTIF(R$3:R$64,"&gt;"&amp;R35)&lt;3)),R35,"")</f>
        <v/>
      </c>
      <c r="V35" s="1">
        <f>IF(COUNT(H35:L35)&lt;3,SUM(H35:L35),SMALL(H35:L35,1)+SMALL(H35:L35,2))</f>
        <v>42</v>
      </c>
      <c r="W35" s="1">
        <f>COUNTIF(H35:L35,"&lt;=8")</f>
        <v>0</v>
      </c>
      <c r="X35" s="1">
        <f>MIN(H35:L35)</f>
        <v>18</v>
      </c>
      <c r="Y35" s="13"/>
      <c r="Z35" s="2" t="str">
        <f>IF(OR(R35=R26,R35=R36),"P","")</f>
        <v/>
      </c>
    </row>
    <row r="36" spans="1:26" x14ac:dyDescent="0.2">
      <c r="A36" s="7" t="s">
        <v>163</v>
      </c>
      <c r="B36" s="6" t="s">
        <v>151</v>
      </c>
      <c r="C36" s="6" t="str">
        <f>IF(A36="","",VLOOKUP(B36,'Continental Affiliation'!A:B,2,0))</f>
        <v>Europe</v>
      </c>
      <c r="G36" s="3" t="str">
        <f>IF(U36="","",RANK(U36,U:U)+COUNTIF(D:E,"P"))</f>
        <v/>
      </c>
      <c r="H36" s="6" t="s">
        <v>143</v>
      </c>
      <c r="I36" s="6" t="s">
        <v>143</v>
      </c>
      <c r="J36" s="6" t="s">
        <v>143</v>
      </c>
      <c r="K36" s="6">
        <v>18</v>
      </c>
      <c r="L36" s="6">
        <v>25</v>
      </c>
      <c r="M36" s="1" t="str">
        <f>IF(OR(H36="",H36&gt;30),"",IF(H36=1,60,IF(H36=2,55,IF(H36=3,50,IF(H36=4,44,IF(H36=5,38,IF(H36=6,32,IF(H36=7,28,IF(H36=8,25,IF(H36=9,22,IF(H36=10,21,IF(H36=11,20,IF(H36=12,19,IF(H36=13,18,IF(H36=14,17,IF(H36=15,16,IF(H36=16,15,IF(H36=17,14,IF(H36=18,13,IF(H36=19,12,IF(H36=20,11,IF(H36=21,10,IF(H36=22,9,IF(H36=23,8,IF(H36=24,7,IF(H36=25,6,IF(H36=26,5,IF(H36=27,4,IF(H36=28,3,IF(H36=29,2,IF(H36=30,1)))))))))))))))))))))))))))))))</f>
        <v/>
      </c>
      <c r="N36" s="1" t="str">
        <f>IF(OR(I36="",I36&gt;30),"",IF(I36=1,60,IF(I36=2,55,IF(I36=3,50,IF(I36=4,44,IF(I36=5,38,IF(I36=6,32,IF(I36=7,28,IF(I36=8,25,IF(I36=9,22,IF(I36=10,21,IF(I36=11,20,IF(I36=12,19,IF(I36=13,18,IF(I36=14,17,IF(I36=15,16,IF(I36=16,15,IF(I36=17,14,IF(I36=18,13,IF(I36=19,12,IF(I36=20,11,IF(I36=21,10,IF(I36=22,9,IF(I36=23,8,IF(I36=24,7,IF(I36=25,6,IF(I36=26,5,IF(I36=27,4,IF(I36=28,3,IF(I36=29,2,IF(I36=30,1)))))))))))))))))))))))))))))))</f>
        <v/>
      </c>
      <c r="O36" s="1" t="str">
        <f>IF(OR(J36="",J36&gt;30),"",IF(J36=1,60,IF(J36=2,55,IF(J36=3,50,IF(J36=4,44,IF(J36=5,38,IF(J36=6,32,IF(J36=7,28,IF(J36=8,25,IF(J36=9,22,IF(J36=10,21,IF(J36=11,20,IF(J36=12,19,IF(J36=13,18,IF(J36=14,17,IF(J36=15,16,IF(J36=16,15,IF(J36=17,14,IF(J36=18,13,IF(J36=19,12,IF(J36=20,11,IF(J36=21,10,IF(J36=22,9,IF(J36=23,8,IF(J36=24,7,IF(J36=25,6,IF(J36=26,5,IF(J36=27,4,IF(J36=28,3,IF(J36=29,2,IF(J36=30,1)))))))))))))))))))))))))))))))</f>
        <v/>
      </c>
      <c r="P36" s="1">
        <f>IF(OR(K36="",K36&gt;30),"",IF(K36=1,60,IF(K36=2,55,IF(K36=3,50,IF(K36=4,44,IF(K36=5,38,IF(K36=6,32,IF(K36=7,28,IF(K36=8,25,IF(K36=9,22,IF(K36=10,21,IF(K36=11,20,IF(K36=12,19,IF(K36=13,18,IF(K36=14,17,IF(K36=15,16,IF(K36=16,15,IF(K36=17,14,IF(K36=18,13,IF(K36=19,12,IF(K36=20,11,IF(K36=21,10,IF(K36=22,9,IF(K36=23,8,IF(K36=24,7,IF(K36=25,6,IF(K36=26,5,IF(K36=27,4,IF(K36=28,3,IF(K36=29,2,IF(K36=30,1)))))))))))))))))))))))))))))))</f>
        <v>13</v>
      </c>
      <c r="Q36" s="1">
        <f>IF(OR(L36="",L36&gt;30),"",IF(L36=1,60,IF(L36=2,55,IF(L36=3,50,IF(L36=4,44,IF(L36=5,38,IF(L36=6,32,IF(L36=7,28,IF(L36=8,25,IF(L36=9,22,IF(L36=10,21,IF(L36=11,20,IF(L36=12,19,IF(L36=13,18,IF(L36=14,17,IF(L36=15,16,IF(L36=16,15,IF(L36=17,14,IF(L36=18,13,IF(L36=19,12,IF(L36=20,11,IF(L36=21,10,IF(L36=22,9,IF(L36=23,8,IF(L36=24,7,IF(L36=25,6,IF(L36=26,5,IF(L36=27,4,IF(L36=28,3,IF(L36=29,2,IF(L36=30,1)))))))))))))))))))))))))))))))</f>
        <v>6</v>
      </c>
      <c r="R36" s="12">
        <f>IF(A36="","",IF(OR(D36="P",E36="P"),"",IF(COUNT(M36:Q36)&lt;3,SUM(M36:Q36),LARGE(M36:Q36,1)+LARGE(M36:Q36,2))+(1000-V36)*10^-4+W36*10^-5+(100-X36)*10^-8+Y36*10^-10))</f>
        <v>19.095700820000001</v>
      </c>
      <c r="S36" s="2" t="str">
        <f>IF(OR(R36="",R36=0),"",IF(SUMPRODUCT(--(B$3:B$64=B36),--(R$3:R$64&gt;R36),--(R$3:R$64&lt;&gt;"")),"","P"))</f>
        <v/>
      </c>
      <c r="T36" s="2" t="str" cm="1">
        <f t="array" ref="T36">IF(R36="","",IF(SUMPRODUCT(--(D$3:D$64="P"),--(B$3:B$64=B36)),"P",""))</f>
        <v/>
      </c>
      <c r="U36" s="12" t="str">
        <f>IF(AND(S36&lt;&gt;"",OR(T36="",COUNTIF(R$3:R$64,"&gt;"&amp;R36)&lt;3)),R36,"")</f>
        <v/>
      </c>
      <c r="V36" s="1">
        <f>IF(COUNT(H36:L36)&lt;3,SUM(H36:L36),SMALL(H36:L36,1)+SMALL(H36:L36,2))</f>
        <v>43</v>
      </c>
      <c r="W36" s="1">
        <f>COUNTIF(H36:L36,"&lt;=8")</f>
        <v>0</v>
      </c>
      <c r="X36" s="1">
        <f>MIN(H36:L36)</f>
        <v>18</v>
      </c>
      <c r="Y36" s="13"/>
      <c r="Z36" s="2" t="str">
        <f>IF(OR(R36=R35,R36=R45),"P","")</f>
        <v/>
      </c>
    </row>
    <row r="37" spans="1:26" x14ac:dyDescent="0.2">
      <c r="A37" s="7" t="s">
        <v>128</v>
      </c>
      <c r="B37" s="6" t="s">
        <v>28</v>
      </c>
      <c r="C37" s="6" t="str">
        <f>IF(A37="","",VLOOKUP(B37,'Continental Affiliation'!A:B,2,0))</f>
        <v>Europe</v>
      </c>
      <c r="G37" s="3">
        <f>IF(U37="","",RANK(U37,U:U)+COUNTIF(D:E,"P"))</f>
        <v>19</v>
      </c>
      <c r="H37" s="6">
        <v>46</v>
      </c>
      <c r="I37" s="6">
        <v>27</v>
      </c>
      <c r="J37" s="6">
        <v>38</v>
      </c>
      <c r="K37" s="6">
        <v>28</v>
      </c>
      <c r="L37" s="6">
        <v>17</v>
      </c>
      <c r="M37" s="1" t="str">
        <f>IF(OR(H37="",H37&gt;30),"",IF(H37=1,60,IF(H37=2,55,IF(H37=3,50,IF(H37=4,44,IF(H37=5,38,IF(H37=6,32,IF(H37=7,28,IF(H37=8,25,IF(H37=9,22,IF(H37=10,21,IF(H37=11,20,IF(H37=12,19,IF(H37=13,18,IF(H37=14,17,IF(H37=15,16,IF(H37=16,15,IF(H37=17,14,IF(H37=18,13,IF(H37=19,12,IF(H37=20,11,IF(H37=21,10,IF(H37=22,9,IF(H37=23,8,IF(H37=24,7,IF(H37=25,6,IF(H37=26,5,IF(H37=27,4,IF(H37=28,3,IF(H37=29,2,IF(H37=30,1)))))))))))))))))))))))))))))))</f>
        <v/>
      </c>
      <c r="N37" s="1">
        <f>IF(OR(I37="",I37&gt;30),"",IF(I37=1,60,IF(I37=2,55,IF(I37=3,50,IF(I37=4,44,IF(I37=5,38,IF(I37=6,32,IF(I37=7,28,IF(I37=8,25,IF(I37=9,22,IF(I37=10,21,IF(I37=11,20,IF(I37=12,19,IF(I37=13,18,IF(I37=14,17,IF(I37=15,16,IF(I37=16,15,IF(I37=17,14,IF(I37=18,13,IF(I37=19,12,IF(I37=20,11,IF(I37=21,10,IF(I37=22,9,IF(I37=23,8,IF(I37=24,7,IF(I37=25,6,IF(I37=26,5,IF(I37=27,4,IF(I37=28,3,IF(I37=29,2,IF(I37=30,1)))))))))))))))))))))))))))))))</f>
        <v>4</v>
      </c>
      <c r="O37" s="1" t="str">
        <f>IF(OR(J37="",J37&gt;30),"",IF(J37=1,60,IF(J37=2,55,IF(J37=3,50,IF(J37=4,44,IF(J37=5,38,IF(J37=6,32,IF(J37=7,28,IF(J37=8,25,IF(J37=9,22,IF(J37=10,21,IF(J37=11,20,IF(J37=12,19,IF(J37=13,18,IF(J37=14,17,IF(J37=15,16,IF(J37=16,15,IF(J37=17,14,IF(J37=18,13,IF(J37=19,12,IF(J37=20,11,IF(J37=21,10,IF(J37=22,9,IF(J37=23,8,IF(J37=24,7,IF(J37=25,6,IF(J37=26,5,IF(J37=27,4,IF(J37=28,3,IF(J37=29,2,IF(J37=30,1)))))))))))))))))))))))))))))))</f>
        <v/>
      </c>
      <c r="P37" s="1">
        <f>IF(OR(K37="",K37&gt;30),"",IF(K37=1,60,IF(K37=2,55,IF(K37=3,50,IF(K37=4,44,IF(K37=5,38,IF(K37=6,32,IF(K37=7,28,IF(K37=8,25,IF(K37=9,22,IF(K37=10,21,IF(K37=11,20,IF(K37=12,19,IF(K37=13,18,IF(K37=14,17,IF(K37=15,16,IF(K37=16,15,IF(K37=17,14,IF(K37=18,13,IF(K37=19,12,IF(K37=20,11,IF(K37=21,10,IF(K37=22,9,IF(K37=23,8,IF(K37=24,7,IF(K37=25,6,IF(K37=26,5,IF(K37=27,4,IF(K37=28,3,IF(K37=29,2,IF(K37=30,1)))))))))))))))))))))))))))))))</f>
        <v>3</v>
      </c>
      <c r="Q37" s="1">
        <f>IF(OR(L37="",L37&gt;30),"",IF(L37=1,60,IF(L37=2,55,IF(L37=3,50,IF(L37=4,44,IF(L37=5,38,IF(L37=6,32,IF(L37=7,28,IF(L37=8,25,IF(L37=9,22,IF(L37=10,21,IF(L37=11,20,IF(L37=12,19,IF(L37=13,18,IF(L37=14,17,IF(L37=15,16,IF(L37=16,15,IF(L37=17,14,IF(L37=18,13,IF(L37=19,12,IF(L37=20,11,IF(L37=21,10,IF(L37=22,9,IF(L37=23,8,IF(L37=24,7,IF(L37=25,6,IF(L37=26,5,IF(L37=27,4,IF(L37=28,3,IF(L37=29,2,IF(L37=30,1)))))))))))))))))))))))))))))))</f>
        <v>14</v>
      </c>
      <c r="R37" s="12">
        <f>IF(A37="","",IF(OR(D37="P",E37="P"),"",IF(COUNT(M37:Q37)&lt;3,SUM(M37:Q37),LARGE(M37:Q37,1)+LARGE(M37:Q37,2))+(1000-V37)*10^-4+W37*10^-5+(100-X37)*10^-8+Y37*10^-10))</f>
        <v>18.095600830000002</v>
      </c>
      <c r="S37" s="2" t="str">
        <f>IF(OR(R37="",R37=0),"",IF(SUMPRODUCT(--(B$3:B$64=B37),--(R$3:R$64&gt;R37),--(R$3:R$64&lt;&gt;"")),"","P"))</f>
        <v>P</v>
      </c>
      <c r="T37" s="2" t="str" cm="1">
        <f t="array" ref="T37">IF(R37="","",IF(SUMPRODUCT(--(D$3:D$64="P"),--(B$3:B$64=B37)),"P",""))</f>
        <v/>
      </c>
      <c r="U37" s="12">
        <f>IF(AND(S37&lt;&gt;"",OR(T37="",COUNTIF(R$3:R$64,"&gt;"&amp;R37)&lt;3)),R37,"")</f>
        <v>18.095600830000002</v>
      </c>
      <c r="V37" s="1">
        <f>IF(COUNT(H37:L37)&lt;3,SUM(H37:L37),SMALL(H37:L37,1)+SMALL(H37:L37,2))</f>
        <v>44</v>
      </c>
      <c r="W37" s="1">
        <f>COUNTIF(H37:L37,"&lt;=8")</f>
        <v>0</v>
      </c>
      <c r="X37" s="1">
        <f>MIN(H37:L37)</f>
        <v>17</v>
      </c>
      <c r="Y37" s="13"/>
      <c r="Z37" s="2" t="str">
        <f>IF(OR(R37=R36,R37=R38),"P","")</f>
        <v/>
      </c>
    </row>
    <row r="38" spans="1:26" x14ac:dyDescent="0.2">
      <c r="A38" s="7" t="s">
        <v>144</v>
      </c>
      <c r="B38" s="6" t="s">
        <v>28</v>
      </c>
      <c r="C38" s="6" t="str">
        <f>IF(A38="","",VLOOKUP(B38,'Continental Affiliation'!A:B,2,0))</f>
        <v>Europe</v>
      </c>
      <c r="G38" s="3" t="str">
        <f>IF(U38="","",RANK(U38,U:U)+COUNTIF(D:E,"P"))</f>
        <v/>
      </c>
      <c r="H38" s="6">
        <v>67</v>
      </c>
      <c r="I38" s="6">
        <v>35</v>
      </c>
      <c r="J38" s="6">
        <v>16</v>
      </c>
      <c r="K38" s="6">
        <v>32</v>
      </c>
      <c r="L38" s="6">
        <v>34</v>
      </c>
      <c r="M38" s="1" t="str">
        <f>IF(OR(H38="",H38&gt;30),"",IF(H38=1,60,IF(H38=2,55,IF(H38=3,50,IF(H38=4,44,IF(H38=5,38,IF(H38=6,32,IF(H38=7,28,IF(H38=8,25,IF(H38=9,22,IF(H38=10,21,IF(H38=11,20,IF(H38=12,19,IF(H38=13,18,IF(H38=14,17,IF(H38=15,16,IF(H38=16,15,IF(H38=17,14,IF(H38=18,13,IF(H38=19,12,IF(H38=20,11,IF(H38=21,10,IF(H38=22,9,IF(H38=23,8,IF(H38=24,7,IF(H38=25,6,IF(H38=26,5,IF(H38=27,4,IF(H38=28,3,IF(H38=29,2,IF(H38=30,1)))))))))))))))))))))))))))))))</f>
        <v/>
      </c>
      <c r="N38" s="1" t="str">
        <f>IF(OR(I38="",I38&gt;30),"",IF(I38=1,60,IF(I38=2,55,IF(I38=3,50,IF(I38=4,44,IF(I38=5,38,IF(I38=6,32,IF(I38=7,28,IF(I38=8,25,IF(I38=9,22,IF(I38=10,21,IF(I38=11,20,IF(I38=12,19,IF(I38=13,18,IF(I38=14,17,IF(I38=15,16,IF(I38=16,15,IF(I38=17,14,IF(I38=18,13,IF(I38=19,12,IF(I38=20,11,IF(I38=21,10,IF(I38=22,9,IF(I38=23,8,IF(I38=24,7,IF(I38=25,6,IF(I38=26,5,IF(I38=27,4,IF(I38=28,3,IF(I38=29,2,IF(I38=30,1)))))))))))))))))))))))))))))))</f>
        <v/>
      </c>
      <c r="O38" s="1">
        <f>IF(OR(J38="",J38&gt;30),"",IF(J38=1,60,IF(J38=2,55,IF(J38=3,50,IF(J38=4,44,IF(J38=5,38,IF(J38=6,32,IF(J38=7,28,IF(J38=8,25,IF(J38=9,22,IF(J38=10,21,IF(J38=11,20,IF(J38=12,19,IF(J38=13,18,IF(J38=14,17,IF(J38=15,16,IF(J38=16,15,IF(J38=17,14,IF(J38=18,13,IF(J38=19,12,IF(J38=20,11,IF(J38=21,10,IF(J38=22,9,IF(J38=23,8,IF(J38=24,7,IF(J38=25,6,IF(J38=26,5,IF(J38=27,4,IF(J38=28,3,IF(J38=29,2,IF(J38=30,1)))))))))))))))))))))))))))))))</f>
        <v>15</v>
      </c>
      <c r="P38" s="1" t="str">
        <f>IF(OR(K38="",K38&gt;30),"",IF(K38=1,60,IF(K38=2,55,IF(K38=3,50,IF(K38=4,44,IF(K38=5,38,IF(K38=6,32,IF(K38=7,28,IF(K38=8,25,IF(K38=9,22,IF(K38=10,21,IF(K38=11,20,IF(K38=12,19,IF(K38=13,18,IF(K38=14,17,IF(K38=15,16,IF(K38=16,15,IF(K38=17,14,IF(K38=18,13,IF(K38=19,12,IF(K38=20,11,IF(K38=21,10,IF(K38=22,9,IF(K38=23,8,IF(K38=24,7,IF(K38=25,6,IF(K38=26,5,IF(K38=27,4,IF(K38=28,3,IF(K38=29,2,IF(K38=30,1)))))))))))))))))))))))))))))))</f>
        <v/>
      </c>
      <c r="Q38" s="1" t="str">
        <f>IF(OR(L38="",L38&gt;30),"",IF(L38=1,60,IF(L38=2,55,IF(L38=3,50,IF(L38=4,44,IF(L38=5,38,IF(L38=6,32,IF(L38=7,28,IF(L38=8,25,IF(L38=9,22,IF(L38=10,21,IF(L38=11,20,IF(L38=12,19,IF(L38=13,18,IF(L38=14,17,IF(L38=15,16,IF(L38=16,15,IF(L38=17,14,IF(L38=18,13,IF(L38=19,12,IF(L38=20,11,IF(L38=21,10,IF(L38=22,9,IF(L38=23,8,IF(L38=24,7,IF(L38=25,6,IF(L38=26,5,IF(L38=27,4,IF(L38=28,3,IF(L38=29,2,IF(L38=30,1)))))))))))))))))))))))))))))))</f>
        <v/>
      </c>
      <c r="R38" s="12">
        <f>IF(A38="","",IF(OR(D38="P",E38="P"),"",IF(COUNT(M38:Q38)&lt;3,SUM(M38:Q38),LARGE(M38:Q38,1)+LARGE(M38:Q38,2))+(1000-V38)*10^-4+W38*10^-5+(100-X38)*10^-8+Y38*10^-10))</f>
        <v>15.09520084</v>
      </c>
      <c r="S38" s="2" t="str">
        <f>IF(OR(R38="",R38=0),"",IF(SUMPRODUCT(--(B$3:B$64=B38),--(R$3:R$64&gt;R38),--(R$3:R$64&lt;&gt;"")),"","P"))</f>
        <v/>
      </c>
      <c r="T38" s="2" t="str" cm="1">
        <f t="array" ref="T38">IF(R38="","",IF(SUMPRODUCT(--(D$3:D$64="P"),--(B$3:B$64=B38)),"P",""))</f>
        <v/>
      </c>
      <c r="U38" s="12" t="str">
        <f>IF(AND(S38&lt;&gt;"",OR(T38="",COUNTIF(R$3:R$64,"&gt;"&amp;R38)&lt;3)),R38,"")</f>
        <v/>
      </c>
      <c r="V38" s="1">
        <f>IF(COUNT(H38:L38)&lt;3,SUM(H38:L38),SMALL(H38:L38,1)+SMALL(H38:L38,2))</f>
        <v>48</v>
      </c>
      <c r="W38" s="1">
        <f>COUNTIF(H38:L38,"&lt;=8")</f>
        <v>0</v>
      </c>
      <c r="X38" s="1">
        <f>MIN(H38:L38)</f>
        <v>16</v>
      </c>
      <c r="Y38" s="13"/>
      <c r="Z38" s="2" t="str">
        <f>IF(OR(R38=R37,R38=R39),"P","")</f>
        <v/>
      </c>
    </row>
    <row r="39" spans="1:26" x14ac:dyDescent="0.2">
      <c r="A39" s="7" t="s">
        <v>164</v>
      </c>
      <c r="B39" s="6" t="s">
        <v>151</v>
      </c>
      <c r="C39" s="6" t="str">
        <f>IF(A39="","",VLOOKUP(B39,'Continental Affiliation'!A:B,2,0))</f>
        <v>Europe</v>
      </c>
      <c r="G39" s="3" t="str">
        <f>IF(U39="","",RANK(U39,U:U)+COUNTIF(D:E,"P"))</f>
        <v/>
      </c>
      <c r="H39" s="6" t="s">
        <v>143</v>
      </c>
      <c r="I39" s="6" t="s">
        <v>143</v>
      </c>
      <c r="J39" s="6" t="s">
        <v>143</v>
      </c>
      <c r="K39" s="6">
        <v>19</v>
      </c>
      <c r="L39" s="6">
        <v>31</v>
      </c>
      <c r="M39" s="1" t="str">
        <f>IF(OR(H39="",H39&gt;30),"",IF(H39=1,60,IF(H39=2,55,IF(H39=3,50,IF(H39=4,44,IF(H39=5,38,IF(H39=6,32,IF(H39=7,28,IF(H39=8,25,IF(H39=9,22,IF(H39=10,21,IF(H39=11,20,IF(H39=12,19,IF(H39=13,18,IF(H39=14,17,IF(H39=15,16,IF(H39=16,15,IF(H39=17,14,IF(H39=18,13,IF(H39=19,12,IF(H39=20,11,IF(H39=21,10,IF(H39=22,9,IF(H39=23,8,IF(H39=24,7,IF(H39=25,6,IF(H39=26,5,IF(H39=27,4,IF(H39=28,3,IF(H39=29,2,IF(H39=30,1)))))))))))))))))))))))))))))))</f>
        <v/>
      </c>
      <c r="N39" s="1" t="str">
        <f>IF(OR(I39="",I39&gt;30),"",IF(I39=1,60,IF(I39=2,55,IF(I39=3,50,IF(I39=4,44,IF(I39=5,38,IF(I39=6,32,IF(I39=7,28,IF(I39=8,25,IF(I39=9,22,IF(I39=10,21,IF(I39=11,20,IF(I39=12,19,IF(I39=13,18,IF(I39=14,17,IF(I39=15,16,IF(I39=16,15,IF(I39=17,14,IF(I39=18,13,IF(I39=19,12,IF(I39=20,11,IF(I39=21,10,IF(I39=22,9,IF(I39=23,8,IF(I39=24,7,IF(I39=25,6,IF(I39=26,5,IF(I39=27,4,IF(I39=28,3,IF(I39=29,2,IF(I39=30,1)))))))))))))))))))))))))))))))</f>
        <v/>
      </c>
      <c r="O39" s="1" t="str">
        <f>IF(OR(J39="",J39&gt;30),"",IF(J39=1,60,IF(J39=2,55,IF(J39=3,50,IF(J39=4,44,IF(J39=5,38,IF(J39=6,32,IF(J39=7,28,IF(J39=8,25,IF(J39=9,22,IF(J39=10,21,IF(J39=11,20,IF(J39=12,19,IF(J39=13,18,IF(J39=14,17,IF(J39=15,16,IF(J39=16,15,IF(J39=17,14,IF(J39=18,13,IF(J39=19,12,IF(J39=20,11,IF(J39=21,10,IF(J39=22,9,IF(J39=23,8,IF(J39=24,7,IF(J39=25,6,IF(J39=26,5,IF(J39=27,4,IF(J39=28,3,IF(J39=29,2,IF(J39=30,1)))))))))))))))))))))))))))))))</f>
        <v/>
      </c>
      <c r="P39" s="1">
        <f>IF(OR(K39="",K39&gt;30),"",IF(K39=1,60,IF(K39=2,55,IF(K39=3,50,IF(K39=4,44,IF(K39=5,38,IF(K39=6,32,IF(K39=7,28,IF(K39=8,25,IF(K39=9,22,IF(K39=10,21,IF(K39=11,20,IF(K39=12,19,IF(K39=13,18,IF(K39=14,17,IF(K39=15,16,IF(K39=16,15,IF(K39=17,14,IF(K39=18,13,IF(K39=19,12,IF(K39=20,11,IF(K39=21,10,IF(K39=22,9,IF(K39=23,8,IF(K39=24,7,IF(K39=25,6,IF(K39=26,5,IF(K39=27,4,IF(K39=28,3,IF(K39=29,2,IF(K39=30,1)))))))))))))))))))))))))))))))</f>
        <v>12</v>
      </c>
      <c r="Q39" s="1" t="str">
        <f>IF(OR(L39="",L39&gt;30),"",IF(L39=1,60,IF(L39=2,55,IF(L39=3,50,IF(L39=4,44,IF(L39=5,38,IF(L39=6,32,IF(L39=7,28,IF(L39=8,25,IF(L39=9,22,IF(L39=10,21,IF(L39=11,20,IF(L39=12,19,IF(L39=13,18,IF(L39=14,17,IF(L39=15,16,IF(L39=16,15,IF(L39=17,14,IF(L39=18,13,IF(L39=19,12,IF(L39=20,11,IF(L39=21,10,IF(L39=22,9,IF(L39=23,8,IF(L39=24,7,IF(L39=25,6,IF(L39=26,5,IF(L39=27,4,IF(L39=28,3,IF(L39=29,2,IF(L39=30,1)))))))))))))))))))))))))))))))</f>
        <v/>
      </c>
      <c r="R39" s="12">
        <f>IF(A39="","",IF(OR(D39="P",E39="P"),"",IF(COUNT(M39:Q39)&lt;3,SUM(M39:Q39),LARGE(M39:Q39,1)+LARGE(M39:Q39,2))+(1000-V39)*10^-4+W39*10^-5+(100-X39)*10^-8+Y39*10^-10))</f>
        <v>12.09500081</v>
      </c>
      <c r="S39" s="2" t="str">
        <f>IF(OR(R39="",R39=0),"",IF(SUMPRODUCT(--(B$3:B$64=B39),--(R$3:R$64&gt;R39),--(R$3:R$64&lt;&gt;"")),"","P"))</f>
        <v/>
      </c>
      <c r="T39" s="2" t="str" cm="1">
        <f t="array" ref="T39">IF(R39="","",IF(SUMPRODUCT(--(D$3:D$64="P"),--(B$3:B$64=B39)),"P",""))</f>
        <v/>
      </c>
      <c r="U39" s="12" t="str">
        <f>IF(AND(S39&lt;&gt;"",OR(T39="",COUNTIF(R$3:R$64,"&gt;"&amp;R39)&lt;3)),R39,"")</f>
        <v/>
      </c>
      <c r="V39" s="1">
        <f>IF(COUNT(H39:L39)&lt;3,SUM(H39:L39),SMALL(H39:L39,1)+SMALL(H39:L39,2))</f>
        <v>50</v>
      </c>
      <c r="W39" s="1">
        <f>COUNTIF(H39:L39,"&lt;=8")</f>
        <v>0</v>
      </c>
      <c r="X39" s="1">
        <f>MIN(H39:L39)</f>
        <v>19</v>
      </c>
      <c r="Y39" s="13"/>
      <c r="Z39" s="2" t="str">
        <f>IF(OR(R39=R38,R39=R48),"P","")</f>
        <v/>
      </c>
    </row>
    <row r="40" spans="1:26" x14ac:dyDescent="0.2">
      <c r="A40" s="7" t="s">
        <v>129</v>
      </c>
      <c r="B40" s="6" t="s">
        <v>71</v>
      </c>
      <c r="C40" s="6" t="str">
        <f>IF(A40="","",VLOOKUP(B40,'Continental Affiliation'!A:B,2,0))</f>
        <v>Europe</v>
      </c>
      <c r="G40" s="3">
        <f>IF(U40="","",RANK(U40,U:U)+COUNTIF(D:E,"P"))</f>
        <v>20</v>
      </c>
      <c r="H40" s="6">
        <v>70</v>
      </c>
      <c r="I40" s="6">
        <v>28</v>
      </c>
      <c r="J40" s="6">
        <v>30</v>
      </c>
      <c r="K40" s="6">
        <v>36</v>
      </c>
      <c r="L40" s="6">
        <v>22</v>
      </c>
      <c r="M40" s="1" t="str">
        <f>IF(OR(H40="",H40&gt;30),"",IF(H40=1,60,IF(H40=2,55,IF(H40=3,50,IF(H40=4,44,IF(H40=5,38,IF(H40=6,32,IF(H40=7,28,IF(H40=8,25,IF(H40=9,22,IF(H40=10,21,IF(H40=11,20,IF(H40=12,19,IF(H40=13,18,IF(H40=14,17,IF(H40=15,16,IF(H40=16,15,IF(H40=17,14,IF(H40=18,13,IF(H40=19,12,IF(H40=20,11,IF(H40=21,10,IF(H40=22,9,IF(H40=23,8,IF(H40=24,7,IF(H40=25,6,IF(H40=26,5,IF(H40=27,4,IF(H40=28,3,IF(H40=29,2,IF(H40=30,1)))))))))))))))))))))))))))))))</f>
        <v/>
      </c>
      <c r="N40" s="1">
        <f>IF(OR(I40="",I40&gt;30),"",IF(I40=1,60,IF(I40=2,55,IF(I40=3,50,IF(I40=4,44,IF(I40=5,38,IF(I40=6,32,IF(I40=7,28,IF(I40=8,25,IF(I40=9,22,IF(I40=10,21,IF(I40=11,20,IF(I40=12,19,IF(I40=13,18,IF(I40=14,17,IF(I40=15,16,IF(I40=16,15,IF(I40=17,14,IF(I40=18,13,IF(I40=19,12,IF(I40=20,11,IF(I40=21,10,IF(I40=22,9,IF(I40=23,8,IF(I40=24,7,IF(I40=25,6,IF(I40=26,5,IF(I40=27,4,IF(I40=28,3,IF(I40=29,2,IF(I40=30,1)))))))))))))))))))))))))))))))</f>
        <v>3</v>
      </c>
      <c r="O40" s="1">
        <f>IF(OR(J40="",J40&gt;30),"",IF(J40=1,60,IF(J40=2,55,IF(J40=3,50,IF(J40=4,44,IF(J40=5,38,IF(J40=6,32,IF(J40=7,28,IF(J40=8,25,IF(J40=9,22,IF(J40=10,21,IF(J40=11,20,IF(J40=12,19,IF(J40=13,18,IF(J40=14,17,IF(J40=15,16,IF(J40=16,15,IF(J40=17,14,IF(J40=18,13,IF(J40=19,12,IF(J40=20,11,IF(J40=21,10,IF(J40=22,9,IF(J40=23,8,IF(J40=24,7,IF(J40=25,6,IF(J40=26,5,IF(J40=27,4,IF(J40=28,3,IF(J40=29,2,IF(J40=30,1)))))))))))))))))))))))))))))))</f>
        <v>1</v>
      </c>
      <c r="P40" s="1" t="str">
        <f>IF(OR(K40="",K40&gt;30),"",IF(K40=1,60,IF(K40=2,55,IF(K40=3,50,IF(K40=4,44,IF(K40=5,38,IF(K40=6,32,IF(K40=7,28,IF(K40=8,25,IF(K40=9,22,IF(K40=10,21,IF(K40=11,20,IF(K40=12,19,IF(K40=13,18,IF(K40=14,17,IF(K40=15,16,IF(K40=16,15,IF(K40=17,14,IF(K40=18,13,IF(K40=19,12,IF(K40=20,11,IF(K40=21,10,IF(K40=22,9,IF(K40=23,8,IF(K40=24,7,IF(K40=25,6,IF(K40=26,5,IF(K40=27,4,IF(K40=28,3,IF(K40=29,2,IF(K40=30,1)))))))))))))))))))))))))))))))</f>
        <v/>
      </c>
      <c r="Q40" s="1">
        <f>IF(OR(L40="",L40&gt;30),"",IF(L40=1,60,IF(L40=2,55,IF(L40=3,50,IF(L40=4,44,IF(L40=5,38,IF(L40=6,32,IF(L40=7,28,IF(L40=8,25,IF(L40=9,22,IF(L40=10,21,IF(L40=11,20,IF(L40=12,19,IF(L40=13,18,IF(L40=14,17,IF(L40=15,16,IF(L40=16,15,IF(L40=17,14,IF(L40=18,13,IF(L40=19,12,IF(L40=20,11,IF(L40=21,10,IF(L40=22,9,IF(L40=23,8,IF(L40=24,7,IF(L40=25,6,IF(L40=26,5,IF(L40=27,4,IF(L40=28,3,IF(L40=29,2,IF(L40=30,1)))))))))))))))))))))))))))))))</f>
        <v>9</v>
      </c>
      <c r="R40" s="12">
        <f>IF(A40="","",IF(OR(D40="P",E40="P"),"",IF(COUNT(M40:Q40)&lt;3,SUM(M40:Q40),LARGE(M40:Q40,1)+LARGE(M40:Q40,2))+(1000-V40)*10^-4+W40*10^-5+(100-X40)*10^-8+Y40*10^-10))</f>
        <v>12.095000780000001</v>
      </c>
      <c r="S40" s="2" t="str">
        <f>IF(OR(R40="",R40=0),"",IF(SUMPRODUCT(--(B$3:B$64=B40),--(R$3:R$64&gt;R40),--(R$3:R$64&lt;&gt;"")),"","P"))</f>
        <v>P</v>
      </c>
      <c r="T40" s="2" t="str" cm="1">
        <f t="array" ref="T40">IF(R40="","",IF(SUMPRODUCT(--(D$3:D$64="P"),--(B$3:B$64=B40)),"P",""))</f>
        <v/>
      </c>
      <c r="U40" s="12">
        <f>IF(AND(S40&lt;&gt;"",OR(T40="",COUNTIF(R$3:R$64,"&gt;"&amp;R40)&lt;3)),R40,"")</f>
        <v>12.095000780000001</v>
      </c>
      <c r="V40" s="1">
        <f>IF(COUNT(H40:L40)&lt;3,SUM(H40:L40),SMALL(H40:L40,1)+SMALL(H40:L40,2))</f>
        <v>50</v>
      </c>
      <c r="W40" s="1">
        <f>COUNTIF(H40:L40,"&lt;=8")</f>
        <v>0</v>
      </c>
      <c r="X40" s="1">
        <f>MIN(H40:L40)</f>
        <v>22</v>
      </c>
      <c r="Y40" s="13"/>
      <c r="Z40" s="2" t="str">
        <f>IF(OR(R40=R39,R40=R41),"P","")</f>
        <v/>
      </c>
    </row>
    <row r="41" spans="1:26" x14ac:dyDescent="0.2">
      <c r="A41" s="7" t="s">
        <v>127</v>
      </c>
      <c r="B41" s="6" t="s">
        <v>6</v>
      </c>
      <c r="C41" s="6" t="str">
        <f>IF(A41="","",VLOOKUP(B41,'Continental Affiliation'!A:B,2,0))</f>
        <v>Asia</v>
      </c>
      <c r="G41" s="3" t="str">
        <f>IF(U41="","",RANK(U41,U:U)+COUNTIF(D:E,"P"))</f>
        <v/>
      </c>
      <c r="H41" s="6">
        <v>59</v>
      </c>
      <c r="I41" s="6">
        <v>25</v>
      </c>
      <c r="J41" s="6">
        <v>25</v>
      </c>
      <c r="K41" s="6" t="s">
        <v>143</v>
      </c>
      <c r="L41" s="6" t="s">
        <v>143</v>
      </c>
      <c r="M41" s="1" t="str">
        <f>IF(OR(H41="",H41&gt;30),"",IF(H41=1,60,IF(H41=2,55,IF(H41=3,50,IF(H41=4,44,IF(H41=5,38,IF(H41=6,32,IF(H41=7,28,IF(H41=8,25,IF(H41=9,22,IF(H41=10,21,IF(H41=11,20,IF(H41=12,19,IF(H41=13,18,IF(H41=14,17,IF(H41=15,16,IF(H41=16,15,IF(H41=17,14,IF(H41=18,13,IF(H41=19,12,IF(H41=20,11,IF(H41=21,10,IF(H41=22,9,IF(H41=23,8,IF(H41=24,7,IF(H41=25,6,IF(H41=26,5,IF(H41=27,4,IF(H41=28,3,IF(H41=29,2,IF(H41=30,1)))))))))))))))))))))))))))))))</f>
        <v/>
      </c>
      <c r="N41" s="1">
        <f>IF(OR(I41="",I41&gt;30),"",IF(I41=1,60,IF(I41=2,55,IF(I41=3,50,IF(I41=4,44,IF(I41=5,38,IF(I41=6,32,IF(I41=7,28,IF(I41=8,25,IF(I41=9,22,IF(I41=10,21,IF(I41=11,20,IF(I41=12,19,IF(I41=13,18,IF(I41=14,17,IF(I41=15,16,IF(I41=16,15,IF(I41=17,14,IF(I41=18,13,IF(I41=19,12,IF(I41=20,11,IF(I41=21,10,IF(I41=22,9,IF(I41=23,8,IF(I41=24,7,IF(I41=25,6,IF(I41=26,5,IF(I41=27,4,IF(I41=28,3,IF(I41=29,2,IF(I41=30,1)))))))))))))))))))))))))))))))</f>
        <v>6</v>
      </c>
      <c r="O41" s="1">
        <f>IF(OR(J41="",J41&gt;30),"",IF(J41=1,60,IF(J41=2,55,IF(J41=3,50,IF(J41=4,44,IF(J41=5,38,IF(J41=6,32,IF(J41=7,28,IF(J41=8,25,IF(J41=9,22,IF(J41=10,21,IF(J41=11,20,IF(J41=12,19,IF(J41=13,18,IF(J41=14,17,IF(J41=15,16,IF(J41=16,15,IF(J41=17,14,IF(J41=18,13,IF(J41=19,12,IF(J41=20,11,IF(J41=21,10,IF(J41=22,9,IF(J41=23,8,IF(J41=24,7,IF(J41=25,6,IF(J41=26,5,IF(J41=27,4,IF(J41=28,3,IF(J41=29,2,IF(J41=30,1)))))))))))))))))))))))))))))))</f>
        <v>6</v>
      </c>
      <c r="P41" s="1" t="str">
        <f>IF(OR(K41="",K41&gt;30),"",IF(K41=1,60,IF(K41=2,55,IF(K41=3,50,IF(K41=4,44,IF(K41=5,38,IF(K41=6,32,IF(K41=7,28,IF(K41=8,25,IF(K41=9,22,IF(K41=10,21,IF(K41=11,20,IF(K41=12,19,IF(K41=13,18,IF(K41=14,17,IF(K41=15,16,IF(K41=16,15,IF(K41=17,14,IF(K41=18,13,IF(K41=19,12,IF(K41=20,11,IF(K41=21,10,IF(K41=22,9,IF(K41=23,8,IF(K41=24,7,IF(K41=25,6,IF(K41=26,5,IF(K41=27,4,IF(K41=28,3,IF(K41=29,2,IF(K41=30,1)))))))))))))))))))))))))))))))</f>
        <v/>
      </c>
      <c r="Q41" s="1" t="str">
        <f>IF(OR(L41="",L41&gt;30),"",IF(L41=1,60,IF(L41=2,55,IF(L41=3,50,IF(L41=4,44,IF(L41=5,38,IF(L41=6,32,IF(L41=7,28,IF(L41=8,25,IF(L41=9,22,IF(L41=10,21,IF(L41=11,20,IF(L41=12,19,IF(L41=13,18,IF(L41=14,17,IF(L41=15,16,IF(L41=16,15,IF(L41=17,14,IF(L41=18,13,IF(L41=19,12,IF(L41=20,11,IF(L41=21,10,IF(L41=22,9,IF(L41=23,8,IF(L41=24,7,IF(L41=25,6,IF(L41=26,5,IF(L41=27,4,IF(L41=28,3,IF(L41=29,2,IF(L41=30,1)))))))))))))))))))))))))))))))</f>
        <v/>
      </c>
      <c r="R41" s="12">
        <f>IF(A41="","",IF(OR(D41="P",E41="P"),"",IF(COUNT(M41:Q41)&lt;3,SUM(M41:Q41),LARGE(M41:Q41,1)+LARGE(M41:Q41,2))+(1000-V41)*10^-4+W41*10^-5+(100-X41)*10^-8+Y41*10^-10))</f>
        <v>12.095000750000001</v>
      </c>
      <c r="S41" s="2" t="str">
        <f>IF(OR(R41="",R41=0),"",IF(SUMPRODUCT(--(B$3:B$64=B41),--(R$3:R$64&gt;R41),--(R$3:R$64&lt;&gt;"")),"","P"))</f>
        <v/>
      </c>
      <c r="T41" s="2" t="str" cm="1">
        <f t="array" ref="T41">IF(R41="","",IF(SUMPRODUCT(--(D$3:D$64="P"),--(B$3:B$64=B41)),"P",""))</f>
        <v>P</v>
      </c>
      <c r="U41" s="12" t="str">
        <f>IF(AND(S41&lt;&gt;"",OR(T41="",COUNTIF(R$3:R$64,"&gt;"&amp;R41)&lt;3)),R41,"")</f>
        <v/>
      </c>
      <c r="V41" s="1">
        <f>IF(COUNT(H41:L41)&lt;3,SUM(H41:L41),SMALL(H41:L41,1)+SMALL(H41:L41,2))</f>
        <v>50</v>
      </c>
      <c r="W41" s="1">
        <f>COUNTIF(H41:L41,"&lt;=8")</f>
        <v>0</v>
      </c>
      <c r="X41" s="1">
        <f>MIN(H41:L41)</f>
        <v>25</v>
      </c>
      <c r="Y41" s="13"/>
      <c r="Z41" s="2" t="str">
        <f>IF(OR(R41=R40,R41=R42),"P","")</f>
        <v/>
      </c>
    </row>
    <row r="42" spans="1:26" x14ac:dyDescent="0.2">
      <c r="A42" s="7" t="s">
        <v>111</v>
      </c>
      <c r="B42" s="6" t="s">
        <v>47</v>
      </c>
      <c r="C42" s="6" t="str">
        <f>IF(A42="","",VLOOKUP(B42,'Continental Affiliation'!A:B,2,0))</f>
        <v>Europe</v>
      </c>
      <c r="G42" s="3">
        <f>IF(U42="","",RANK(U42,U:U)+COUNTIF(D:E,"P"))</f>
        <v>21</v>
      </c>
      <c r="H42" s="6">
        <v>29</v>
      </c>
      <c r="I42" s="6">
        <v>44</v>
      </c>
      <c r="J42" s="6">
        <v>23</v>
      </c>
      <c r="K42" s="6">
        <v>39</v>
      </c>
      <c r="L42" s="6">
        <v>67</v>
      </c>
      <c r="M42" s="1">
        <f>IF(OR(H42="",H42&gt;30),"",IF(H42=1,60,IF(H42=2,55,IF(H42=3,50,IF(H42=4,44,IF(H42=5,38,IF(H42=6,32,IF(H42=7,28,IF(H42=8,25,IF(H42=9,22,IF(H42=10,21,IF(H42=11,20,IF(H42=12,19,IF(H42=13,18,IF(H42=14,17,IF(H42=15,16,IF(H42=16,15,IF(H42=17,14,IF(H42=18,13,IF(H42=19,12,IF(H42=20,11,IF(H42=21,10,IF(H42=22,9,IF(H42=23,8,IF(H42=24,7,IF(H42=25,6,IF(H42=26,5,IF(H42=27,4,IF(H42=28,3,IF(H42=29,2,IF(H42=30,1)))))))))))))))))))))))))))))))</f>
        <v>2</v>
      </c>
      <c r="N42" s="1" t="str">
        <f>IF(OR(I42="",I42&gt;30),"",IF(I42=1,60,IF(I42=2,55,IF(I42=3,50,IF(I42=4,44,IF(I42=5,38,IF(I42=6,32,IF(I42=7,28,IF(I42=8,25,IF(I42=9,22,IF(I42=10,21,IF(I42=11,20,IF(I42=12,19,IF(I42=13,18,IF(I42=14,17,IF(I42=15,16,IF(I42=16,15,IF(I42=17,14,IF(I42=18,13,IF(I42=19,12,IF(I42=20,11,IF(I42=21,10,IF(I42=22,9,IF(I42=23,8,IF(I42=24,7,IF(I42=25,6,IF(I42=26,5,IF(I42=27,4,IF(I42=28,3,IF(I42=29,2,IF(I42=30,1)))))))))))))))))))))))))))))))</f>
        <v/>
      </c>
      <c r="O42" s="1">
        <f>IF(OR(J42="",J42&gt;30),"",IF(J42=1,60,IF(J42=2,55,IF(J42=3,50,IF(J42=4,44,IF(J42=5,38,IF(J42=6,32,IF(J42=7,28,IF(J42=8,25,IF(J42=9,22,IF(J42=10,21,IF(J42=11,20,IF(J42=12,19,IF(J42=13,18,IF(J42=14,17,IF(J42=15,16,IF(J42=16,15,IF(J42=17,14,IF(J42=18,13,IF(J42=19,12,IF(J42=20,11,IF(J42=21,10,IF(J42=22,9,IF(J42=23,8,IF(J42=24,7,IF(J42=25,6,IF(J42=26,5,IF(J42=27,4,IF(J42=28,3,IF(J42=29,2,IF(J42=30,1)))))))))))))))))))))))))))))))</f>
        <v>8</v>
      </c>
      <c r="P42" s="1" t="str">
        <f>IF(OR(K42="",K42&gt;30),"",IF(K42=1,60,IF(K42=2,55,IF(K42=3,50,IF(K42=4,44,IF(K42=5,38,IF(K42=6,32,IF(K42=7,28,IF(K42=8,25,IF(K42=9,22,IF(K42=10,21,IF(K42=11,20,IF(K42=12,19,IF(K42=13,18,IF(K42=14,17,IF(K42=15,16,IF(K42=16,15,IF(K42=17,14,IF(K42=18,13,IF(K42=19,12,IF(K42=20,11,IF(K42=21,10,IF(K42=22,9,IF(K42=23,8,IF(K42=24,7,IF(K42=25,6,IF(K42=26,5,IF(K42=27,4,IF(K42=28,3,IF(K42=29,2,IF(K42=30,1)))))))))))))))))))))))))))))))</f>
        <v/>
      </c>
      <c r="Q42" s="1" t="str">
        <f>IF(OR(L42="",L42&gt;30),"",IF(L42=1,60,IF(L42=2,55,IF(L42=3,50,IF(L42=4,44,IF(L42=5,38,IF(L42=6,32,IF(L42=7,28,IF(L42=8,25,IF(L42=9,22,IF(L42=10,21,IF(L42=11,20,IF(L42=12,19,IF(L42=13,18,IF(L42=14,17,IF(L42=15,16,IF(L42=16,15,IF(L42=17,14,IF(L42=18,13,IF(L42=19,12,IF(L42=20,11,IF(L42=21,10,IF(L42=22,9,IF(L42=23,8,IF(L42=24,7,IF(L42=25,6,IF(L42=26,5,IF(L42=27,4,IF(L42=28,3,IF(L42=29,2,IF(L42=30,1)))))))))))))))))))))))))))))))</f>
        <v/>
      </c>
      <c r="R42" s="12">
        <f>IF(A42="","",IF(OR(D42="P",E42="P"),"",IF(COUNT(M42:Q42)&lt;3,SUM(M42:Q42),LARGE(M42:Q42,1)+LARGE(M42:Q42,2))+(1000-V42)*10^-4+W42*10^-5+(100-X42)*10^-8+Y42*10^-10))</f>
        <v>10.094800769999999</v>
      </c>
      <c r="S42" s="2" t="str">
        <f>IF(OR(R42="",R42=0),"",IF(SUMPRODUCT(--(B$3:B$64=B42),--(R$3:R$64&gt;R42),--(R$3:R$64&lt;&gt;"")),"","P"))</f>
        <v>P</v>
      </c>
      <c r="T42" s="2" t="str" cm="1">
        <f t="array" ref="T42">IF(R42="","",IF(SUMPRODUCT(--(D$3:D$64="P"),--(B$3:B$64=B42)),"P",""))</f>
        <v/>
      </c>
      <c r="U42" s="12">
        <f>IF(AND(S42&lt;&gt;"",OR(T42="",COUNTIF(R$3:R$64,"&gt;"&amp;R42)&lt;3)),R42,"")</f>
        <v>10.094800769999999</v>
      </c>
      <c r="V42" s="1">
        <f>IF(COUNT(H42:L42)&lt;3,SUM(H42:L42),SMALL(H42:L42,1)+SMALL(H42:L42,2))</f>
        <v>52</v>
      </c>
      <c r="W42" s="1">
        <f>COUNTIF(H42:L42,"&lt;=8")</f>
        <v>0</v>
      </c>
      <c r="X42" s="1">
        <f>MIN(H42:L42)</f>
        <v>23</v>
      </c>
      <c r="Y42" s="13"/>
      <c r="Z42" s="2" t="str">
        <f>IF(OR(R42=R41,R42=R43),"P","")</f>
        <v/>
      </c>
    </row>
    <row r="43" spans="1:26" x14ac:dyDescent="0.2">
      <c r="A43" s="7" t="s">
        <v>110</v>
      </c>
      <c r="B43" s="6" t="s">
        <v>30</v>
      </c>
      <c r="C43" s="6" t="str">
        <f>IF(A43="","",VLOOKUP(B43,'Continental Affiliation'!A:B,2,0))</f>
        <v>Oceana</v>
      </c>
      <c r="G43" s="3" t="str">
        <f>IF(U43="","",RANK(U43,U:U)+COUNTIF(D:E,"P"))</f>
        <v/>
      </c>
      <c r="H43" s="6">
        <v>28</v>
      </c>
      <c r="I43" s="6">
        <v>34</v>
      </c>
      <c r="J43" s="6">
        <v>24</v>
      </c>
      <c r="K43" s="6">
        <v>31</v>
      </c>
      <c r="L43" s="6">
        <v>41</v>
      </c>
      <c r="M43" s="1">
        <f>IF(OR(H43="",H43&gt;30),"",IF(H43=1,60,IF(H43=2,55,IF(H43=3,50,IF(H43=4,44,IF(H43=5,38,IF(H43=6,32,IF(H43=7,28,IF(H43=8,25,IF(H43=9,22,IF(H43=10,21,IF(H43=11,20,IF(H43=12,19,IF(H43=13,18,IF(H43=14,17,IF(H43=15,16,IF(H43=16,15,IF(H43=17,14,IF(H43=18,13,IF(H43=19,12,IF(H43=20,11,IF(H43=21,10,IF(H43=22,9,IF(H43=23,8,IF(H43=24,7,IF(H43=25,6,IF(H43=26,5,IF(H43=27,4,IF(H43=28,3,IF(H43=29,2,IF(H43=30,1)))))))))))))))))))))))))))))))</f>
        <v>3</v>
      </c>
      <c r="N43" s="1" t="str">
        <f>IF(OR(I43="",I43&gt;30),"",IF(I43=1,60,IF(I43=2,55,IF(I43=3,50,IF(I43=4,44,IF(I43=5,38,IF(I43=6,32,IF(I43=7,28,IF(I43=8,25,IF(I43=9,22,IF(I43=10,21,IF(I43=11,20,IF(I43=12,19,IF(I43=13,18,IF(I43=14,17,IF(I43=15,16,IF(I43=16,15,IF(I43=17,14,IF(I43=18,13,IF(I43=19,12,IF(I43=20,11,IF(I43=21,10,IF(I43=22,9,IF(I43=23,8,IF(I43=24,7,IF(I43=25,6,IF(I43=26,5,IF(I43=27,4,IF(I43=28,3,IF(I43=29,2,IF(I43=30,1)))))))))))))))))))))))))))))))</f>
        <v/>
      </c>
      <c r="O43" s="1">
        <f>IF(OR(J43="",J43&gt;30),"",IF(J43=1,60,IF(J43=2,55,IF(J43=3,50,IF(J43=4,44,IF(J43=5,38,IF(J43=6,32,IF(J43=7,28,IF(J43=8,25,IF(J43=9,22,IF(J43=10,21,IF(J43=11,20,IF(J43=12,19,IF(J43=13,18,IF(J43=14,17,IF(J43=15,16,IF(J43=16,15,IF(J43=17,14,IF(J43=18,13,IF(J43=19,12,IF(J43=20,11,IF(J43=21,10,IF(J43=22,9,IF(J43=23,8,IF(J43=24,7,IF(J43=25,6,IF(J43=26,5,IF(J43=27,4,IF(J43=28,3,IF(J43=29,2,IF(J43=30,1)))))))))))))))))))))))))))))))</f>
        <v>7</v>
      </c>
      <c r="P43" s="1" t="str">
        <f>IF(OR(K43="",K43&gt;30),"",IF(K43=1,60,IF(K43=2,55,IF(K43=3,50,IF(K43=4,44,IF(K43=5,38,IF(K43=6,32,IF(K43=7,28,IF(K43=8,25,IF(K43=9,22,IF(K43=10,21,IF(K43=11,20,IF(K43=12,19,IF(K43=13,18,IF(K43=14,17,IF(K43=15,16,IF(K43=16,15,IF(K43=17,14,IF(K43=18,13,IF(K43=19,12,IF(K43=20,11,IF(K43=21,10,IF(K43=22,9,IF(K43=23,8,IF(K43=24,7,IF(K43=25,6,IF(K43=26,5,IF(K43=27,4,IF(K43=28,3,IF(K43=29,2,IF(K43=30,1)))))))))))))))))))))))))))))))</f>
        <v/>
      </c>
      <c r="Q43" s="1" t="str">
        <f>IF(OR(L43="",L43&gt;30),"",IF(L43=1,60,IF(L43=2,55,IF(L43=3,50,IF(L43=4,44,IF(L43=5,38,IF(L43=6,32,IF(L43=7,28,IF(L43=8,25,IF(L43=9,22,IF(L43=10,21,IF(L43=11,20,IF(L43=12,19,IF(L43=13,18,IF(L43=14,17,IF(L43=15,16,IF(L43=16,15,IF(L43=17,14,IF(L43=18,13,IF(L43=19,12,IF(L43=20,11,IF(L43=21,10,IF(L43=22,9,IF(L43=23,8,IF(L43=24,7,IF(L43=25,6,IF(L43=26,5,IF(L43=27,4,IF(L43=28,3,IF(L43=29,2,IF(L43=30,1)))))))))))))))))))))))))))))))</f>
        <v/>
      </c>
      <c r="R43" s="12">
        <f>IF(A43="","",IF(OR(D43="P",E43="P"),"",IF(COUNT(M43:Q43)&lt;3,SUM(M43:Q43),LARGE(M43:Q43,1)+LARGE(M43:Q43,2))+(1000-V43)*10^-4+W43*10^-5+(100-X43)*10^-8+Y43*10^-10))</f>
        <v>10.09480076</v>
      </c>
      <c r="S43" s="2" t="str">
        <f>IF(OR(R43="",R43=0),"",IF(SUMPRODUCT(--(B$3:B$64=B43),--(R$3:R$64&gt;R43),--(R$3:R$64&lt;&gt;"")),"","P"))</f>
        <v/>
      </c>
      <c r="T43" s="2" t="str" cm="1">
        <f t="array" ref="T43">IF(R43="","",IF(SUMPRODUCT(--(D$3:D$64="P"),--(B$3:B$64=B43)),"P",""))</f>
        <v/>
      </c>
      <c r="U43" s="12" t="str">
        <f>IF(AND(S43&lt;&gt;"",OR(T43="",COUNTIF(R$3:R$64,"&gt;"&amp;R43)&lt;3)),R43,"")</f>
        <v/>
      </c>
      <c r="V43" s="1">
        <f>IF(COUNT(H43:L43)&lt;3,SUM(H43:L43),SMALL(H43:L43,1)+SMALL(H43:L43,2))</f>
        <v>52</v>
      </c>
      <c r="W43" s="1">
        <f>COUNTIF(H43:L43,"&lt;=8")</f>
        <v>0</v>
      </c>
      <c r="X43" s="1">
        <f>MIN(H43:L43)</f>
        <v>24</v>
      </c>
      <c r="Y43" s="13"/>
      <c r="Z43" s="2" t="str">
        <f>IF(OR(R43=R42,R43=R44),"P","")</f>
        <v/>
      </c>
    </row>
    <row r="44" spans="1:26" x14ac:dyDescent="0.2">
      <c r="A44" s="7" t="s">
        <v>109</v>
      </c>
      <c r="B44" s="6" t="s">
        <v>36</v>
      </c>
      <c r="C44" s="6" t="str">
        <f>IF(A44="","",VLOOKUP(B44,'Continental Affiliation'!A:B,2,0))</f>
        <v>Europe</v>
      </c>
      <c r="G44" s="3" t="str">
        <f>IF(U44="","",RANK(U44,U:U)+COUNTIF(D:E,"P"))</f>
        <v/>
      </c>
      <c r="H44" s="6">
        <v>26</v>
      </c>
      <c r="I44" s="6">
        <v>31</v>
      </c>
      <c r="J44" s="6">
        <v>29</v>
      </c>
      <c r="K44" s="6">
        <v>44</v>
      </c>
      <c r="L44" s="6">
        <v>30</v>
      </c>
      <c r="M44" s="1">
        <f>IF(OR(H44="",H44&gt;30),"",IF(H44=1,60,IF(H44=2,55,IF(H44=3,50,IF(H44=4,44,IF(H44=5,38,IF(H44=6,32,IF(H44=7,28,IF(H44=8,25,IF(H44=9,22,IF(H44=10,21,IF(H44=11,20,IF(H44=12,19,IF(H44=13,18,IF(H44=14,17,IF(H44=15,16,IF(H44=16,15,IF(H44=17,14,IF(H44=18,13,IF(H44=19,12,IF(H44=20,11,IF(H44=21,10,IF(H44=22,9,IF(H44=23,8,IF(H44=24,7,IF(H44=25,6,IF(H44=26,5,IF(H44=27,4,IF(H44=28,3,IF(H44=29,2,IF(H44=30,1)))))))))))))))))))))))))))))))</f>
        <v>5</v>
      </c>
      <c r="N44" s="1" t="str">
        <f>IF(OR(I44="",I44&gt;30),"",IF(I44=1,60,IF(I44=2,55,IF(I44=3,50,IF(I44=4,44,IF(I44=5,38,IF(I44=6,32,IF(I44=7,28,IF(I44=8,25,IF(I44=9,22,IF(I44=10,21,IF(I44=11,20,IF(I44=12,19,IF(I44=13,18,IF(I44=14,17,IF(I44=15,16,IF(I44=16,15,IF(I44=17,14,IF(I44=18,13,IF(I44=19,12,IF(I44=20,11,IF(I44=21,10,IF(I44=22,9,IF(I44=23,8,IF(I44=24,7,IF(I44=25,6,IF(I44=26,5,IF(I44=27,4,IF(I44=28,3,IF(I44=29,2,IF(I44=30,1)))))))))))))))))))))))))))))))</f>
        <v/>
      </c>
      <c r="O44" s="1">
        <f>IF(OR(J44="",J44&gt;30),"",IF(J44=1,60,IF(J44=2,55,IF(J44=3,50,IF(J44=4,44,IF(J44=5,38,IF(J44=6,32,IF(J44=7,28,IF(J44=8,25,IF(J44=9,22,IF(J44=10,21,IF(J44=11,20,IF(J44=12,19,IF(J44=13,18,IF(J44=14,17,IF(J44=15,16,IF(J44=16,15,IF(J44=17,14,IF(J44=18,13,IF(J44=19,12,IF(J44=20,11,IF(J44=21,10,IF(J44=22,9,IF(J44=23,8,IF(J44=24,7,IF(J44=25,6,IF(J44=26,5,IF(J44=27,4,IF(J44=28,3,IF(J44=29,2,IF(J44=30,1)))))))))))))))))))))))))))))))</f>
        <v>2</v>
      </c>
      <c r="P44" s="1" t="str">
        <f>IF(OR(K44="",K44&gt;30),"",IF(K44=1,60,IF(K44=2,55,IF(K44=3,50,IF(K44=4,44,IF(K44=5,38,IF(K44=6,32,IF(K44=7,28,IF(K44=8,25,IF(K44=9,22,IF(K44=10,21,IF(K44=11,20,IF(K44=12,19,IF(K44=13,18,IF(K44=14,17,IF(K44=15,16,IF(K44=16,15,IF(K44=17,14,IF(K44=18,13,IF(K44=19,12,IF(K44=20,11,IF(K44=21,10,IF(K44=22,9,IF(K44=23,8,IF(K44=24,7,IF(K44=25,6,IF(K44=26,5,IF(K44=27,4,IF(K44=28,3,IF(K44=29,2,IF(K44=30,1)))))))))))))))))))))))))))))))</f>
        <v/>
      </c>
      <c r="Q44" s="1">
        <f>IF(OR(L44="",L44&gt;30),"",IF(L44=1,60,IF(L44=2,55,IF(L44=3,50,IF(L44=4,44,IF(L44=5,38,IF(L44=6,32,IF(L44=7,28,IF(L44=8,25,IF(L44=9,22,IF(L44=10,21,IF(L44=11,20,IF(L44=12,19,IF(L44=13,18,IF(L44=14,17,IF(L44=15,16,IF(L44=16,15,IF(L44=17,14,IF(L44=18,13,IF(L44=19,12,IF(L44=20,11,IF(L44=21,10,IF(L44=22,9,IF(L44=23,8,IF(L44=24,7,IF(L44=25,6,IF(L44=26,5,IF(L44=27,4,IF(L44=28,3,IF(L44=29,2,IF(L44=30,1)))))))))))))))))))))))))))))))</f>
        <v>1</v>
      </c>
      <c r="R44" s="12">
        <f>IF(A44="","",IF(OR(D44="P",E44="P"),"",IF(COUNT(M44:Q44)&lt;3,SUM(M44:Q44),LARGE(M44:Q44,1)+LARGE(M44:Q44,2))+(1000-V44)*10^-4+W44*10^-5+(100-X44)*10^-8+Y44*10^-10))</f>
        <v>7.09450074</v>
      </c>
      <c r="S44" s="2" t="str">
        <f>IF(OR(R44="",R44=0),"",IF(SUMPRODUCT(--(B$3:B$64=B44),--(R$3:R$64&gt;R44),--(R$3:R$64&lt;&gt;"")),"","P"))</f>
        <v/>
      </c>
      <c r="T44" s="2" t="str" cm="1">
        <f t="array" ref="T44">IF(R44="","",IF(SUMPRODUCT(--(D$3:D$64="P"),--(B$3:B$64=B44)),"P",""))</f>
        <v/>
      </c>
      <c r="U44" s="12" t="str">
        <f>IF(AND(S44&lt;&gt;"",OR(T44="",COUNTIF(R$3:R$64,"&gt;"&amp;R44)&lt;3)),R44,"")</f>
        <v/>
      </c>
      <c r="V44" s="1">
        <f>IF(COUNT(H44:L44)&lt;3,SUM(H44:L44),SMALL(H44:L44,1)+SMALL(H44:L44,2))</f>
        <v>55</v>
      </c>
      <c r="W44" s="1">
        <f>COUNTIF(H44:L44,"&lt;=8")</f>
        <v>0</v>
      </c>
      <c r="X44" s="1">
        <f>MIN(H44:L44)</f>
        <v>26</v>
      </c>
      <c r="Y44" s="13"/>
      <c r="Z44" s="2" t="str">
        <f>IF(OR(R44=R43,R44=R45),"P","")</f>
        <v/>
      </c>
    </row>
    <row r="45" spans="1:26" x14ac:dyDescent="0.2">
      <c r="A45" s="7" t="s">
        <v>167</v>
      </c>
      <c r="B45" s="6" t="s">
        <v>11</v>
      </c>
      <c r="C45" s="6" t="str">
        <f>IF(A45="","",VLOOKUP(B45,'Continental Affiliation'!A:B,2,0))</f>
        <v>Europe</v>
      </c>
      <c r="G45" s="3" t="str">
        <f>IF(U45="","",RANK(U45,U:U)+COUNTIF(D:E,"P"))</f>
        <v/>
      </c>
      <c r="H45" s="6">
        <v>31</v>
      </c>
      <c r="I45" s="6">
        <v>52</v>
      </c>
      <c r="J45" s="6">
        <v>42</v>
      </c>
      <c r="K45" s="6" t="s">
        <v>143</v>
      </c>
      <c r="L45" s="6">
        <v>26</v>
      </c>
      <c r="M45" s="1" t="str">
        <f>IF(OR(H45="",H45&gt;30),"",IF(H45=1,60,IF(H45=2,55,IF(H45=3,50,IF(H45=4,44,IF(H45=5,38,IF(H45=6,32,IF(H45=7,28,IF(H45=8,25,IF(H45=9,22,IF(H45=10,21,IF(H45=11,20,IF(H45=12,19,IF(H45=13,18,IF(H45=14,17,IF(H45=15,16,IF(H45=16,15,IF(H45=17,14,IF(H45=18,13,IF(H45=19,12,IF(H45=20,11,IF(H45=21,10,IF(H45=22,9,IF(H45=23,8,IF(H45=24,7,IF(H45=25,6,IF(H45=26,5,IF(H45=27,4,IF(H45=28,3,IF(H45=29,2,IF(H45=30,1)))))))))))))))))))))))))))))))</f>
        <v/>
      </c>
      <c r="N45" s="1" t="str">
        <f>IF(OR(I45="",I45&gt;30),"",IF(I45=1,60,IF(I45=2,55,IF(I45=3,50,IF(I45=4,44,IF(I45=5,38,IF(I45=6,32,IF(I45=7,28,IF(I45=8,25,IF(I45=9,22,IF(I45=10,21,IF(I45=11,20,IF(I45=12,19,IF(I45=13,18,IF(I45=14,17,IF(I45=15,16,IF(I45=16,15,IF(I45=17,14,IF(I45=18,13,IF(I45=19,12,IF(I45=20,11,IF(I45=21,10,IF(I45=22,9,IF(I45=23,8,IF(I45=24,7,IF(I45=25,6,IF(I45=26,5,IF(I45=27,4,IF(I45=28,3,IF(I45=29,2,IF(I45=30,1)))))))))))))))))))))))))))))))</f>
        <v/>
      </c>
      <c r="O45" s="1" t="str">
        <f>IF(OR(J45="",J45&gt;30),"",IF(J45=1,60,IF(J45=2,55,IF(J45=3,50,IF(J45=4,44,IF(J45=5,38,IF(J45=6,32,IF(J45=7,28,IF(J45=8,25,IF(J45=9,22,IF(J45=10,21,IF(J45=11,20,IF(J45=12,19,IF(J45=13,18,IF(J45=14,17,IF(J45=15,16,IF(J45=16,15,IF(J45=17,14,IF(J45=18,13,IF(J45=19,12,IF(J45=20,11,IF(J45=21,10,IF(J45=22,9,IF(J45=23,8,IF(J45=24,7,IF(J45=25,6,IF(J45=26,5,IF(J45=27,4,IF(J45=28,3,IF(J45=29,2,IF(J45=30,1)))))))))))))))))))))))))))))))</f>
        <v/>
      </c>
      <c r="P45" s="1" t="str">
        <f>IF(OR(K45="",K45&gt;30),"",IF(K45=1,60,IF(K45=2,55,IF(K45=3,50,IF(K45=4,44,IF(K45=5,38,IF(K45=6,32,IF(K45=7,28,IF(K45=8,25,IF(K45=9,22,IF(K45=10,21,IF(K45=11,20,IF(K45=12,19,IF(K45=13,18,IF(K45=14,17,IF(K45=15,16,IF(K45=16,15,IF(K45=17,14,IF(K45=18,13,IF(K45=19,12,IF(K45=20,11,IF(K45=21,10,IF(K45=22,9,IF(K45=23,8,IF(K45=24,7,IF(K45=25,6,IF(K45=26,5,IF(K45=27,4,IF(K45=28,3,IF(K45=29,2,IF(K45=30,1)))))))))))))))))))))))))))))))</f>
        <v/>
      </c>
      <c r="Q45" s="1">
        <f>IF(OR(L45="",L45&gt;30),"",IF(L45=1,60,IF(L45=2,55,IF(L45=3,50,IF(L45=4,44,IF(L45=5,38,IF(L45=6,32,IF(L45=7,28,IF(L45=8,25,IF(L45=9,22,IF(L45=10,21,IF(L45=11,20,IF(L45=12,19,IF(L45=13,18,IF(L45=14,17,IF(L45=15,16,IF(L45=16,15,IF(L45=17,14,IF(L45=18,13,IF(L45=19,12,IF(L45=20,11,IF(L45=21,10,IF(L45=22,9,IF(L45=23,8,IF(L45=24,7,IF(L45=25,6,IF(L45=26,5,IF(L45=27,4,IF(L45=28,3,IF(L45=29,2,IF(L45=30,1)))))))))))))))))))))))))))))))</f>
        <v>5</v>
      </c>
      <c r="R45" s="12">
        <f>IF(A45="","",IF(OR(D45="P",E45="P"),"",IF(COUNT(M45:Q45)&lt;3,SUM(M45:Q45),LARGE(M45:Q45,1)+LARGE(M45:Q45,2))+(1000-V45)*10^-4+W45*10^-5+(100-X45)*10^-8+Y45*10^-10))</f>
        <v>5.0943007399999995</v>
      </c>
      <c r="S45" s="2" t="str">
        <f>IF(OR(R45="",R45=0),"",IF(SUMPRODUCT(--(B$3:B$64=B45),--(R$3:R$64&gt;R45),--(R$3:R$64&lt;&gt;"")),"","P"))</f>
        <v/>
      </c>
      <c r="T45" s="2" t="str" cm="1">
        <f t="array" ref="T45">IF(R45="","",IF(SUMPRODUCT(--(D$3:D$64="P"),--(B$3:B$64=B45)),"P",""))</f>
        <v/>
      </c>
      <c r="U45" s="12" t="str">
        <f>IF(AND(S45&lt;&gt;"",OR(T45="",COUNTIF(R$3:R$64,"&gt;"&amp;R45)&lt;3)),R45,"")</f>
        <v/>
      </c>
      <c r="V45" s="1">
        <f>IF(COUNT(H45:L45)&lt;3,SUM(H45:L45),SMALL(H45:L45,1)+SMALL(H45:L45,2))</f>
        <v>57</v>
      </c>
      <c r="W45" s="1">
        <f>COUNTIF(H45:L45,"&lt;=8")</f>
        <v>0</v>
      </c>
      <c r="X45" s="1">
        <f>MIN(H45:L45)</f>
        <v>26</v>
      </c>
      <c r="Y45" s="13"/>
      <c r="Z45" s="2" t="str">
        <f>IF(OR(R45=R44,R45=R47),"P","")</f>
        <v/>
      </c>
    </row>
    <row r="46" spans="1:26" x14ac:dyDescent="0.2">
      <c r="A46" s="7" t="s">
        <v>146</v>
      </c>
      <c r="B46" s="6" t="s">
        <v>46</v>
      </c>
      <c r="C46" s="6" t="str">
        <f>IF(A46="","",VLOOKUP(B46,'Continental Affiliation'!A:B,2,0))</f>
        <v>Asia</v>
      </c>
      <c r="G46" s="3">
        <f>IF(U46="","",RANK(U46,U:U)+COUNTIF(D:E,"P"))</f>
        <v>22</v>
      </c>
      <c r="H46" s="6">
        <v>34</v>
      </c>
      <c r="I46" s="6">
        <v>33</v>
      </c>
      <c r="J46" s="6">
        <v>26</v>
      </c>
      <c r="K46" s="6" t="s">
        <v>143</v>
      </c>
      <c r="L46" s="6" t="s">
        <v>143</v>
      </c>
      <c r="M46" s="1" t="str">
        <f>IF(OR(H46="",H46&gt;30),"",IF(H46=1,60,IF(H46=2,55,IF(H46=3,50,IF(H46=4,44,IF(H46=5,38,IF(H46=6,32,IF(H46=7,28,IF(H46=8,25,IF(H46=9,22,IF(H46=10,21,IF(H46=11,20,IF(H46=12,19,IF(H46=13,18,IF(H46=14,17,IF(H46=15,16,IF(H46=16,15,IF(H46=17,14,IF(H46=18,13,IF(H46=19,12,IF(H46=20,11,IF(H46=21,10,IF(H46=22,9,IF(H46=23,8,IF(H46=24,7,IF(H46=25,6,IF(H46=26,5,IF(H46=27,4,IF(H46=28,3,IF(H46=29,2,IF(H46=30,1)))))))))))))))))))))))))))))))</f>
        <v/>
      </c>
      <c r="N46" s="1" t="str">
        <f>IF(OR(I46="",I46&gt;30),"",IF(I46=1,60,IF(I46=2,55,IF(I46=3,50,IF(I46=4,44,IF(I46=5,38,IF(I46=6,32,IF(I46=7,28,IF(I46=8,25,IF(I46=9,22,IF(I46=10,21,IF(I46=11,20,IF(I46=12,19,IF(I46=13,18,IF(I46=14,17,IF(I46=15,16,IF(I46=16,15,IF(I46=17,14,IF(I46=18,13,IF(I46=19,12,IF(I46=20,11,IF(I46=21,10,IF(I46=22,9,IF(I46=23,8,IF(I46=24,7,IF(I46=25,6,IF(I46=26,5,IF(I46=27,4,IF(I46=28,3,IF(I46=29,2,IF(I46=30,1)))))))))))))))))))))))))))))))</f>
        <v/>
      </c>
      <c r="O46" s="1">
        <f>IF(OR(J46="",J46&gt;30),"",IF(J46=1,60,IF(J46=2,55,IF(J46=3,50,IF(J46=4,44,IF(J46=5,38,IF(J46=6,32,IF(J46=7,28,IF(J46=8,25,IF(J46=9,22,IF(J46=10,21,IF(J46=11,20,IF(J46=12,19,IF(J46=13,18,IF(J46=14,17,IF(J46=15,16,IF(J46=16,15,IF(J46=17,14,IF(J46=18,13,IF(J46=19,12,IF(J46=20,11,IF(J46=21,10,IF(J46=22,9,IF(J46=23,8,IF(J46=24,7,IF(J46=25,6,IF(J46=26,5,IF(J46=27,4,IF(J46=28,3,IF(J46=29,2,IF(J46=30,1)))))))))))))))))))))))))))))))</f>
        <v>5</v>
      </c>
      <c r="P46" s="1" t="str">
        <f>IF(OR(K46="",K46&gt;30),"",IF(K46=1,60,IF(K46=2,55,IF(K46=3,50,IF(K46=4,44,IF(K46=5,38,IF(K46=6,32,IF(K46=7,28,IF(K46=8,25,IF(K46=9,22,IF(K46=10,21,IF(K46=11,20,IF(K46=12,19,IF(K46=13,18,IF(K46=14,17,IF(K46=15,16,IF(K46=16,15,IF(K46=17,14,IF(K46=18,13,IF(K46=19,12,IF(K46=20,11,IF(K46=21,10,IF(K46=22,9,IF(K46=23,8,IF(K46=24,7,IF(K46=25,6,IF(K46=26,5,IF(K46=27,4,IF(K46=28,3,IF(K46=29,2,IF(K46=30,1)))))))))))))))))))))))))))))))</f>
        <v/>
      </c>
      <c r="Q46" s="1" t="str">
        <f>IF(OR(L46="",L46&gt;30),"",IF(L46=1,60,IF(L46=2,55,IF(L46=3,50,IF(L46=4,44,IF(L46=5,38,IF(L46=6,32,IF(L46=7,28,IF(L46=8,25,IF(L46=9,22,IF(L46=10,21,IF(L46=11,20,IF(L46=12,19,IF(L46=13,18,IF(L46=14,17,IF(L46=15,16,IF(L46=16,15,IF(L46=17,14,IF(L46=18,13,IF(L46=19,12,IF(L46=20,11,IF(L46=21,10,IF(L46=22,9,IF(L46=23,8,IF(L46=24,7,IF(L46=25,6,IF(L46=26,5,IF(L46=27,4,IF(L46=28,3,IF(L46=29,2,IF(L46=30,1)))))))))))))))))))))))))))))))</f>
        <v/>
      </c>
      <c r="R46" s="12">
        <f>IF(A46="","",IF(OR(D46="P",E46="P"),"",IF(COUNT(M46:Q46)&lt;3,SUM(M46:Q46),LARGE(M46:Q46,1)+LARGE(M46:Q46,2))+(1000-V46)*10^-4+W46*10^-5+(100-X46)*10^-8+Y46*10^-10))</f>
        <v>5.09410074</v>
      </c>
      <c r="S46" s="2" t="str">
        <f>IF(OR(R46="",R46=0),"",IF(SUMPRODUCT(--(B$3:B$64=B46),--(R$3:R$64&gt;R46),--(R$3:R$64&lt;&gt;"")),"","P"))</f>
        <v>P</v>
      </c>
      <c r="T46" s="2" t="str" cm="1">
        <f t="array" ref="T46">IF(R46="","",IF(SUMPRODUCT(--(D$3:D$64="P"),--(B$3:B$64=B46)),"P",""))</f>
        <v/>
      </c>
      <c r="U46" s="12">
        <f>IF(AND(S46&lt;&gt;"",OR(T46="",COUNTIF(R$3:R$64,"&gt;"&amp;R46)&lt;3)),R46,"")</f>
        <v>5.09410074</v>
      </c>
      <c r="V46" s="1">
        <f>IF(COUNT(H46:L46)&lt;3,SUM(H46:L46),SMALL(H46:L46,1)+SMALL(H46:L46,2))</f>
        <v>59</v>
      </c>
      <c r="W46" s="1">
        <f>COUNTIF(H46:L46,"&lt;=8")</f>
        <v>0</v>
      </c>
      <c r="X46" s="1">
        <f>MIN(H46:L46)</f>
        <v>26</v>
      </c>
      <c r="Y46" s="13"/>
      <c r="Z46" s="2" t="str">
        <f>IF(OR(R46=R45,R46=R47),"P","")</f>
        <v/>
      </c>
    </row>
    <row r="47" spans="1:26" x14ac:dyDescent="0.2">
      <c r="A47" s="7" t="s">
        <v>157</v>
      </c>
      <c r="B47" s="6" t="s">
        <v>11</v>
      </c>
      <c r="C47" s="6" t="str">
        <f>IF(A47="","",VLOOKUP(B47,'Continental Affiliation'!A:B,2,0))</f>
        <v>Europe</v>
      </c>
      <c r="G47" s="3" t="str">
        <f>IF(U47="","",RANK(U47,U:U)+COUNTIF(D:E,"P"))</f>
        <v/>
      </c>
      <c r="H47" s="6">
        <v>56</v>
      </c>
      <c r="I47" s="6">
        <v>36</v>
      </c>
      <c r="J47" s="6">
        <v>37</v>
      </c>
      <c r="K47" s="6">
        <v>26</v>
      </c>
      <c r="L47" s="6">
        <v>59</v>
      </c>
      <c r="M47" s="1" t="str">
        <f>IF(OR(H47="",H47&gt;30),"",IF(H47=1,60,IF(H47=2,55,IF(H47=3,50,IF(H47=4,44,IF(H47=5,38,IF(H47=6,32,IF(H47=7,28,IF(H47=8,25,IF(H47=9,22,IF(H47=10,21,IF(H47=11,20,IF(H47=12,19,IF(H47=13,18,IF(H47=14,17,IF(H47=15,16,IF(H47=16,15,IF(H47=17,14,IF(H47=18,13,IF(H47=19,12,IF(H47=20,11,IF(H47=21,10,IF(H47=22,9,IF(H47=23,8,IF(H47=24,7,IF(H47=25,6,IF(H47=26,5,IF(H47=27,4,IF(H47=28,3,IF(H47=29,2,IF(H47=30,1)))))))))))))))))))))))))))))))</f>
        <v/>
      </c>
      <c r="N47" s="1" t="str">
        <f>IF(OR(I47="",I47&gt;30),"",IF(I47=1,60,IF(I47=2,55,IF(I47=3,50,IF(I47=4,44,IF(I47=5,38,IF(I47=6,32,IF(I47=7,28,IF(I47=8,25,IF(I47=9,22,IF(I47=10,21,IF(I47=11,20,IF(I47=12,19,IF(I47=13,18,IF(I47=14,17,IF(I47=15,16,IF(I47=16,15,IF(I47=17,14,IF(I47=18,13,IF(I47=19,12,IF(I47=20,11,IF(I47=21,10,IF(I47=22,9,IF(I47=23,8,IF(I47=24,7,IF(I47=25,6,IF(I47=26,5,IF(I47=27,4,IF(I47=28,3,IF(I47=29,2,IF(I47=30,1)))))))))))))))))))))))))))))))</f>
        <v/>
      </c>
      <c r="O47" s="1" t="str">
        <f>IF(OR(J47="",J47&gt;30),"",IF(J47=1,60,IF(J47=2,55,IF(J47=3,50,IF(J47=4,44,IF(J47=5,38,IF(J47=6,32,IF(J47=7,28,IF(J47=8,25,IF(J47=9,22,IF(J47=10,21,IF(J47=11,20,IF(J47=12,19,IF(J47=13,18,IF(J47=14,17,IF(J47=15,16,IF(J47=16,15,IF(J47=17,14,IF(J47=18,13,IF(J47=19,12,IF(J47=20,11,IF(J47=21,10,IF(J47=22,9,IF(J47=23,8,IF(J47=24,7,IF(J47=25,6,IF(J47=26,5,IF(J47=27,4,IF(J47=28,3,IF(J47=29,2,IF(J47=30,1)))))))))))))))))))))))))))))))</f>
        <v/>
      </c>
      <c r="P47" s="1">
        <f>IF(OR(K47="",K47&gt;30),"",IF(K47=1,60,IF(K47=2,55,IF(K47=3,50,IF(K47=4,44,IF(K47=5,38,IF(K47=6,32,IF(K47=7,28,IF(K47=8,25,IF(K47=9,22,IF(K47=10,21,IF(K47=11,20,IF(K47=12,19,IF(K47=13,18,IF(K47=14,17,IF(K47=15,16,IF(K47=16,15,IF(K47=17,14,IF(K47=18,13,IF(K47=19,12,IF(K47=20,11,IF(K47=21,10,IF(K47=22,9,IF(K47=23,8,IF(K47=24,7,IF(K47=25,6,IF(K47=26,5,IF(K47=27,4,IF(K47=28,3,IF(K47=29,2,IF(K47=30,1)))))))))))))))))))))))))))))))</f>
        <v>5</v>
      </c>
      <c r="Q47" s="1" t="str">
        <f>IF(OR(L47="",L47&gt;30),"",IF(L47=1,60,IF(L47=2,55,IF(L47=3,50,IF(L47=4,44,IF(L47=5,38,IF(L47=6,32,IF(L47=7,28,IF(L47=8,25,IF(L47=9,22,IF(L47=10,21,IF(L47=11,20,IF(L47=12,19,IF(L47=13,18,IF(L47=14,17,IF(L47=15,16,IF(L47=16,15,IF(L47=17,14,IF(L47=18,13,IF(L47=19,12,IF(L47=20,11,IF(L47=21,10,IF(L47=22,9,IF(L47=23,8,IF(L47=24,7,IF(L47=25,6,IF(L47=26,5,IF(L47=27,4,IF(L47=28,3,IF(L47=29,2,IF(L47=30,1)))))))))))))))))))))))))))))))</f>
        <v/>
      </c>
      <c r="R47" s="12">
        <f>IF(A47="","",IF(OR(D47="P",E47="P"),"",IF(COUNT(M47:Q47)&lt;3,SUM(M47:Q47),LARGE(M47:Q47,1)+LARGE(M47:Q47,2))+(1000-V47)*10^-4+W47*10^-5+(100-X47)*10^-8+Y47*10^-10))</f>
        <v>5.0938007399999998</v>
      </c>
      <c r="S47" s="2" t="str">
        <f>IF(OR(R47="",R47=0),"",IF(SUMPRODUCT(--(B$3:B$64=B47),--(R$3:R$64&gt;R47),--(R$3:R$64&lt;&gt;"")),"","P"))</f>
        <v/>
      </c>
      <c r="T47" s="2" t="str" cm="1">
        <f t="array" ref="T47">IF(R47="","",IF(SUMPRODUCT(--(D$3:D$64="P"),--(B$3:B$64=B47)),"P",""))</f>
        <v/>
      </c>
      <c r="U47" s="12" t="str">
        <f>IF(AND(S47&lt;&gt;"",OR(T47="",COUNTIF(R$3:R$64,"&gt;"&amp;R47)&lt;3)),R47,"")</f>
        <v/>
      </c>
      <c r="V47" s="1">
        <f>IF(COUNT(H47:L47)&lt;3,SUM(H47:L47),SMALL(H47:L47,1)+SMALL(H47:L47,2))</f>
        <v>62</v>
      </c>
      <c r="W47" s="1">
        <f>COUNTIF(H47:L47,"&lt;=8")</f>
        <v>0</v>
      </c>
      <c r="X47" s="1">
        <f>MIN(H47:L47)</f>
        <v>26</v>
      </c>
      <c r="Y47" s="13"/>
      <c r="Z47" s="2" t="str">
        <f>IF(OR(R47=R46,R47=R57),"P","")</f>
        <v/>
      </c>
    </row>
    <row r="48" spans="1:26" x14ac:dyDescent="0.2">
      <c r="A48" s="7" t="s">
        <v>147</v>
      </c>
      <c r="B48" s="6" t="s">
        <v>36</v>
      </c>
      <c r="C48" s="6" t="str">
        <f>IF(A48="","",VLOOKUP(B48,'Continental Affiliation'!A:B,2,0))</f>
        <v>Europe</v>
      </c>
      <c r="G48" s="3" t="str">
        <f>IF(U48="","",RANK(U48,U:U)+COUNTIF(D:E,"P"))</f>
        <v/>
      </c>
      <c r="H48" s="6">
        <v>39</v>
      </c>
      <c r="I48" s="6">
        <v>57</v>
      </c>
      <c r="J48" s="6">
        <v>28</v>
      </c>
      <c r="K48" s="6">
        <v>49</v>
      </c>
      <c r="L48" s="6">
        <v>43</v>
      </c>
      <c r="M48" s="1" t="str">
        <f>IF(OR(H48="",H48&gt;30),"",IF(H48=1,60,IF(H48=2,55,IF(H48=3,50,IF(H48=4,44,IF(H48=5,38,IF(H48=6,32,IF(H48=7,28,IF(H48=8,25,IF(H48=9,22,IF(H48=10,21,IF(H48=11,20,IF(H48=12,19,IF(H48=13,18,IF(H48=14,17,IF(H48=15,16,IF(H48=16,15,IF(H48=17,14,IF(H48=18,13,IF(H48=19,12,IF(H48=20,11,IF(H48=21,10,IF(H48=22,9,IF(H48=23,8,IF(H48=24,7,IF(H48=25,6,IF(H48=26,5,IF(H48=27,4,IF(H48=28,3,IF(H48=29,2,IF(H48=30,1)))))))))))))))))))))))))))))))</f>
        <v/>
      </c>
      <c r="N48" s="1" t="str">
        <f>IF(OR(I48="",I48&gt;30),"",IF(I48=1,60,IF(I48=2,55,IF(I48=3,50,IF(I48=4,44,IF(I48=5,38,IF(I48=6,32,IF(I48=7,28,IF(I48=8,25,IF(I48=9,22,IF(I48=10,21,IF(I48=11,20,IF(I48=12,19,IF(I48=13,18,IF(I48=14,17,IF(I48=15,16,IF(I48=16,15,IF(I48=17,14,IF(I48=18,13,IF(I48=19,12,IF(I48=20,11,IF(I48=21,10,IF(I48=22,9,IF(I48=23,8,IF(I48=24,7,IF(I48=25,6,IF(I48=26,5,IF(I48=27,4,IF(I48=28,3,IF(I48=29,2,IF(I48=30,1)))))))))))))))))))))))))))))))</f>
        <v/>
      </c>
      <c r="O48" s="1">
        <f>IF(OR(J48="",J48&gt;30),"",IF(J48=1,60,IF(J48=2,55,IF(J48=3,50,IF(J48=4,44,IF(J48=5,38,IF(J48=6,32,IF(J48=7,28,IF(J48=8,25,IF(J48=9,22,IF(J48=10,21,IF(J48=11,20,IF(J48=12,19,IF(J48=13,18,IF(J48=14,17,IF(J48=15,16,IF(J48=16,15,IF(J48=17,14,IF(J48=18,13,IF(J48=19,12,IF(J48=20,11,IF(J48=21,10,IF(J48=22,9,IF(J48=23,8,IF(J48=24,7,IF(J48=25,6,IF(J48=26,5,IF(J48=27,4,IF(J48=28,3,IF(J48=29,2,IF(J48=30,1)))))))))))))))))))))))))))))))</f>
        <v>3</v>
      </c>
      <c r="P48" s="1" t="str">
        <f>IF(OR(K48="",K48&gt;30),"",IF(K48=1,60,IF(K48=2,55,IF(K48=3,50,IF(K48=4,44,IF(K48=5,38,IF(K48=6,32,IF(K48=7,28,IF(K48=8,25,IF(K48=9,22,IF(K48=10,21,IF(K48=11,20,IF(K48=12,19,IF(K48=13,18,IF(K48=14,17,IF(K48=15,16,IF(K48=16,15,IF(K48=17,14,IF(K48=18,13,IF(K48=19,12,IF(K48=20,11,IF(K48=21,10,IF(K48=22,9,IF(K48=23,8,IF(K48=24,7,IF(K48=25,6,IF(K48=26,5,IF(K48=27,4,IF(K48=28,3,IF(K48=29,2,IF(K48=30,1)))))))))))))))))))))))))))))))</f>
        <v/>
      </c>
      <c r="Q48" s="1" t="str">
        <f>IF(OR(L48="",L48&gt;30),"",IF(L48=1,60,IF(L48=2,55,IF(L48=3,50,IF(L48=4,44,IF(L48=5,38,IF(L48=6,32,IF(L48=7,28,IF(L48=8,25,IF(L48=9,22,IF(L48=10,21,IF(L48=11,20,IF(L48=12,19,IF(L48=13,18,IF(L48=14,17,IF(L48=15,16,IF(L48=16,15,IF(L48=17,14,IF(L48=18,13,IF(L48=19,12,IF(L48=20,11,IF(L48=21,10,IF(L48=22,9,IF(L48=23,8,IF(L48=24,7,IF(L48=25,6,IF(L48=26,5,IF(L48=27,4,IF(L48=28,3,IF(L48=29,2,IF(L48=30,1)))))))))))))))))))))))))))))))</f>
        <v/>
      </c>
      <c r="R48" s="12">
        <f>IF(A48="","",IF(OR(D48="P",E48="P"),"",IF(COUNT(M48:Q48)&lt;3,SUM(M48:Q48),LARGE(M48:Q48,1)+LARGE(M48:Q48,2))+(1000-V48)*10^-4+W48*10^-5+(100-X48)*10^-8+Y48*10^-10))</f>
        <v>3.0933007200000002</v>
      </c>
      <c r="S48" s="2" t="str">
        <f>IF(OR(R48="",R48=0),"",IF(SUMPRODUCT(--(B$3:B$64=B48),--(R$3:R$64&gt;R48),--(R$3:R$64&lt;&gt;"")),"","P"))</f>
        <v/>
      </c>
      <c r="T48" s="2" t="str" cm="1">
        <f t="array" ref="T48">IF(R48="","",IF(SUMPRODUCT(--(D$3:D$64="P"),--(B$3:B$64=B48)),"P",""))</f>
        <v/>
      </c>
      <c r="U48" s="12" t="str">
        <f>IF(AND(S48&lt;&gt;"",OR(T48="",COUNTIF(R$3:R$64,"&gt;"&amp;R48)&lt;3)),R48,"")</f>
        <v/>
      </c>
      <c r="V48" s="1">
        <f>IF(COUNT(H48:L48)&lt;3,SUM(H48:L48),SMALL(H48:L48,1)+SMALL(H48:L48,2))</f>
        <v>67</v>
      </c>
      <c r="W48" s="1">
        <f>COUNTIF(H48:L48,"&lt;=8")</f>
        <v>0</v>
      </c>
      <c r="X48" s="1">
        <f>MIN(H48:L48)</f>
        <v>28</v>
      </c>
      <c r="Y48" s="13"/>
      <c r="Z48" s="2" t="str">
        <f>IF(OR(R48=R47,R48=R49),"P","")</f>
        <v/>
      </c>
    </row>
    <row r="49" spans="1:26" x14ac:dyDescent="0.2">
      <c r="A49" s="7" t="s">
        <v>130</v>
      </c>
      <c r="B49" s="6" t="s">
        <v>30</v>
      </c>
      <c r="C49" s="6" t="str">
        <f>IF(A49="","",VLOOKUP(B49,'Continental Affiliation'!A:B,2,0))</f>
        <v>Oceana</v>
      </c>
      <c r="G49" s="3" t="str">
        <f>IF(U49="","",RANK(U49,U:U)+COUNTIF(D:E,"P"))</f>
        <v/>
      </c>
      <c r="H49" s="6">
        <v>66</v>
      </c>
      <c r="I49" s="6">
        <v>29</v>
      </c>
      <c r="J49" s="6">
        <v>35</v>
      </c>
      <c r="K49" s="6" t="s">
        <v>143</v>
      </c>
      <c r="L49" s="6" t="s">
        <v>143</v>
      </c>
      <c r="M49" s="1" t="str">
        <f>IF(OR(H49="",H49&gt;30),"",IF(H49=1,60,IF(H49=2,55,IF(H49=3,50,IF(H49=4,44,IF(H49=5,38,IF(H49=6,32,IF(H49=7,28,IF(H49=8,25,IF(H49=9,22,IF(H49=10,21,IF(H49=11,20,IF(H49=12,19,IF(H49=13,18,IF(H49=14,17,IF(H49=15,16,IF(H49=16,15,IF(H49=17,14,IF(H49=18,13,IF(H49=19,12,IF(H49=20,11,IF(H49=21,10,IF(H49=22,9,IF(H49=23,8,IF(H49=24,7,IF(H49=25,6,IF(H49=26,5,IF(H49=27,4,IF(H49=28,3,IF(H49=29,2,IF(H49=30,1)))))))))))))))))))))))))))))))</f>
        <v/>
      </c>
      <c r="N49" s="1">
        <f>IF(OR(I49="",I49&gt;30),"",IF(I49=1,60,IF(I49=2,55,IF(I49=3,50,IF(I49=4,44,IF(I49=5,38,IF(I49=6,32,IF(I49=7,28,IF(I49=8,25,IF(I49=9,22,IF(I49=10,21,IF(I49=11,20,IF(I49=12,19,IF(I49=13,18,IF(I49=14,17,IF(I49=15,16,IF(I49=16,15,IF(I49=17,14,IF(I49=18,13,IF(I49=19,12,IF(I49=20,11,IF(I49=21,10,IF(I49=22,9,IF(I49=23,8,IF(I49=24,7,IF(I49=25,6,IF(I49=26,5,IF(I49=27,4,IF(I49=28,3,IF(I49=29,2,IF(I49=30,1)))))))))))))))))))))))))))))))</f>
        <v>2</v>
      </c>
      <c r="O49" s="1" t="str">
        <f>IF(OR(J49="",J49&gt;30),"",IF(J49=1,60,IF(J49=2,55,IF(J49=3,50,IF(J49=4,44,IF(J49=5,38,IF(J49=6,32,IF(J49=7,28,IF(J49=8,25,IF(J49=9,22,IF(J49=10,21,IF(J49=11,20,IF(J49=12,19,IF(J49=13,18,IF(J49=14,17,IF(J49=15,16,IF(J49=16,15,IF(J49=17,14,IF(J49=18,13,IF(J49=19,12,IF(J49=20,11,IF(J49=21,10,IF(J49=22,9,IF(J49=23,8,IF(J49=24,7,IF(J49=25,6,IF(J49=26,5,IF(J49=27,4,IF(J49=28,3,IF(J49=29,2,IF(J49=30,1)))))))))))))))))))))))))))))))</f>
        <v/>
      </c>
      <c r="P49" s="1" t="str">
        <f>IF(OR(K49="",K49&gt;30),"",IF(K49=1,60,IF(K49=2,55,IF(K49=3,50,IF(K49=4,44,IF(K49=5,38,IF(K49=6,32,IF(K49=7,28,IF(K49=8,25,IF(K49=9,22,IF(K49=10,21,IF(K49=11,20,IF(K49=12,19,IF(K49=13,18,IF(K49=14,17,IF(K49=15,16,IF(K49=16,15,IF(K49=17,14,IF(K49=18,13,IF(K49=19,12,IF(K49=20,11,IF(K49=21,10,IF(K49=22,9,IF(K49=23,8,IF(K49=24,7,IF(K49=25,6,IF(K49=26,5,IF(K49=27,4,IF(K49=28,3,IF(K49=29,2,IF(K49=30,1)))))))))))))))))))))))))))))))</f>
        <v/>
      </c>
      <c r="Q49" s="1" t="str">
        <f>IF(OR(L49="",L49&gt;30),"",IF(L49=1,60,IF(L49=2,55,IF(L49=3,50,IF(L49=4,44,IF(L49=5,38,IF(L49=6,32,IF(L49=7,28,IF(L49=8,25,IF(L49=9,22,IF(L49=10,21,IF(L49=11,20,IF(L49=12,19,IF(L49=13,18,IF(L49=14,17,IF(L49=15,16,IF(L49=16,15,IF(L49=17,14,IF(L49=18,13,IF(L49=19,12,IF(L49=20,11,IF(L49=21,10,IF(L49=22,9,IF(L49=23,8,IF(L49=24,7,IF(L49=25,6,IF(L49=26,5,IF(L49=27,4,IF(L49=28,3,IF(L49=29,2,IF(L49=30,1)))))))))))))))))))))))))))))))</f>
        <v/>
      </c>
      <c r="R49" s="12">
        <f>IF(A49="","",IF(OR(D49="P",E49="P"),"",IF(COUNT(M49:Q49)&lt;3,SUM(M49:Q49),LARGE(M49:Q49,1)+LARGE(M49:Q49,2))+(1000-V49)*10^-4+W49*10^-5+(100-X49)*10^-8+Y49*10^-10))</f>
        <v>2.09360071</v>
      </c>
      <c r="S49" s="2" t="str">
        <f>IF(OR(R49="",R49=0),"",IF(SUMPRODUCT(--(B$3:B$64=B49),--(R$3:R$64&gt;R49),--(R$3:R$64&lt;&gt;"")),"","P"))</f>
        <v/>
      </c>
      <c r="T49" s="2" t="str" cm="1">
        <f t="array" ref="T49">IF(R49="","",IF(SUMPRODUCT(--(D$3:D$64="P"),--(B$3:B$64=B49)),"P",""))</f>
        <v/>
      </c>
      <c r="U49" s="12" t="str">
        <f>IF(AND(S49&lt;&gt;"",OR(T49="",COUNTIF(R$3:R$64,"&gt;"&amp;R49)&lt;3)),R49,"")</f>
        <v/>
      </c>
      <c r="V49" s="1">
        <f>IF(COUNT(H49:L49)&lt;3,SUM(H49:L49),SMALL(H49:L49,1)+SMALL(H49:L49,2))</f>
        <v>64</v>
      </c>
      <c r="W49" s="1">
        <f>COUNTIF(H49:L49,"&lt;=8")</f>
        <v>0</v>
      </c>
      <c r="X49" s="1">
        <f>MIN(H49:L49)</f>
        <v>29</v>
      </c>
      <c r="Y49" s="13"/>
      <c r="Z49" s="2" t="str">
        <f>IF(OR(R49=R48,R49=R50),"P","")</f>
        <v/>
      </c>
    </row>
    <row r="50" spans="1:26" x14ac:dyDescent="0.2">
      <c r="A50" s="7" t="s">
        <v>112</v>
      </c>
      <c r="B50" s="6" t="s">
        <v>23</v>
      </c>
      <c r="C50" s="6" t="str">
        <f>IF(A50="","",VLOOKUP(B50,'Continental Affiliation'!A:B,2,0))</f>
        <v>Europe</v>
      </c>
      <c r="G50" s="3" t="str">
        <f>IF(U50="","",RANK(U50,U:U)+COUNTIF(D:E,"P"))</f>
        <v/>
      </c>
      <c r="H50" s="6">
        <v>30</v>
      </c>
      <c r="I50" s="6">
        <v>38</v>
      </c>
      <c r="J50" s="6">
        <v>40</v>
      </c>
      <c r="K50" s="6">
        <v>34</v>
      </c>
      <c r="L50" s="6">
        <v>42</v>
      </c>
      <c r="M50" s="1">
        <f>IF(OR(H50="",H50&gt;30),"",IF(H50=1,60,IF(H50=2,55,IF(H50=3,50,IF(H50=4,44,IF(H50=5,38,IF(H50=6,32,IF(H50=7,28,IF(H50=8,25,IF(H50=9,22,IF(H50=10,21,IF(H50=11,20,IF(H50=12,19,IF(H50=13,18,IF(H50=14,17,IF(H50=15,16,IF(H50=16,15,IF(H50=17,14,IF(H50=18,13,IF(H50=19,12,IF(H50=20,11,IF(H50=21,10,IF(H50=22,9,IF(H50=23,8,IF(H50=24,7,IF(H50=25,6,IF(H50=26,5,IF(H50=27,4,IF(H50=28,3,IF(H50=29,2,IF(H50=30,1)))))))))))))))))))))))))))))))</f>
        <v>1</v>
      </c>
      <c r="N50" s="1" t="str">
        <f>IF(OR(I50="",I50&gt;30),"",IF(I50=1,60,IF(I50=2,55,IF(I50=3,50,IF(I50=4,44,IF(I50=5,38,IF(I50=6,32,IF(I50=7,28,IF(I50=8,25,IF(I50=9,22,IF(I50=10,21,IF(I50=11,20,IF(I50=12,19,IF(I50=13,18,IF(I50=14,17,IF(I50=15,16,IF(I50=16,15,IF(I50=17,14,IF(I50=18,13,IF(I50=19,12,IF(I50=20,11,IF(I50=21,10,IF(I50=22,9,IF(I50=23,8,IF(I50=24,7,IF(I50=25,6,IF(I50=26,5,IF(I50=27,4,IF(I50=28,3,IF(I50=29,2,IF(I50=30,1)))))))))))))))))))))))))))))))</f>
        <v/>
      </c>
      <c r="O50" s="1" t="str">
        <f>IF(OR(J50="",J50&gt;30),"",IF(J50=1,60,IF(J50=2,55,IF(J50=3,50,IF(J50=4,44,IF(J50=5,38,IF(J50=6,32,IF(J50=7,28,IF(J50=8,25,IF(J50=9,22,IF(J50=10,21,IF(J50=11,20,IF(J50=12,19,IF(J50=13,18,IF(J50=14,17,IF(J50=15,16,IF(J50=16,15,IF(J50=17,14,IF(J50=18,13,IF(J50=19,12,IF(J50=20,11,IF(J50=21,10,IF(J50=22,9,IF(J50=23,8,IF(J50=24,7,IF(J50=25,6,IF(J50=26,5,IF(J50=27,4,IF(J50=28,3,IF(J50=29,2,IF(J50=30,1)))))))))))))))))))))))))))))))</f>
        <v/>
      </c>
      <c r="P50" s="1" t="str">
        <f>IF(OR(K50="",K50&gt;30),"",IF(K50=1,60,IF(K50=2,55,IF(K50=3,50,IF(K50=4,44,IF(K50=5,38,IF(K50=6,32,IF(K50=7,28,IF(K50=8,25,IF(K50=9,22,IF(K50=10,21,IF(K50=11,20,IF(K50=12,19,IF(K50=13,18,IF(K50=14,17,IF(K50=15,16,IF(K50=16,15,IF(K50=17,14,IF(K50=18,13,IF(K50=19,12,IF(K50=20,11,IF(K50=21,10,IF(K50=22,9,IF(K50=23,8,IF(K50=24,7,IF(K50=25,6,IF(K50=26,5,IF(K50=27,4,IF(K50=28,3,IF(K50=29,2,IF(K50=30,1)))))))))))))))))))))))))))))))</f>
        <v/>
      </c>
      <c r="Q50" s="1" t="str">
        <f>IF(OR(L50="",L50&gt;30),"",IF(L50=1,60,IF(L50=2,55,IF(L50=3,50,IF(L50=4,44,IF(L50=5,38,IF(L50=6,32,IF(L50=7,28,IF(L50=8,25,IF(L50=9,22,IF(L50=10,21,IF(L50=11,20,IF(L50=12,19,IF(L50=13,18,IF(L50=14,17,IF(L50=15,16,IF(L50=16,15,IF(L50=17,14,IF(L50=18,13,IF(L50=19,12,IF(L50=20,11,IF(L50=21,10,IF(L50=22,9,IF(L50=23,8,IF(L50=24,7,IF(L50=25,6,IF(L50=26,5,IF(L50=27,4,IF(L50=28,3,IF(L50=29,2,IF(L50=30,1)))))))))))))))))))))))))))))))</f>
        <v/>
      </c>
      <c r="R50" s="12">
        <f>IF(A50="","",IF(OR(D50="P",E50="P"),"",IF(COUNT(M50:Q50)&lt;3,SUM(M50:Q50),LARGE(M50:Q50,1)+LARGE(M50:Q50,2))+(1000-V50)*10^-4+W50*10^-5+(100-X50)*10^-8+Y50*10^-10))</f>
        <v>1.0936006999999999</v>
      </c>
      <c r="S50" s="2" t="str">
        <f>IF(OR(R50="",R50=0),"",IF(SUMPRODUCT(--(B$3:B$64=B50),--(R$3:R$64&gt;R50),--(R$3:R$64&lt;&gt;"")),"","P"))</f>
        <v/>
      </c>
      <c r="T50" s="2" t="str" cm="1">
        <f t="array" ref="T50">IF(R50="","",IF(SUMPRODUCT(--(D$3:D$64="P"),--(B$3:B$64=B50)),"P",""))</f>
        <v/>
      </c>
      <c r="U50" s="12" t="str">
        <f>IF(AND(S50&lt;&gt;"",OR(T50="",COUNTIF(R$3:R$64,"&gt;"&amp;R50)&lt;3)),R50,"")</f>
        <v/>
      </c>
      <c r="V50" s="1">
        <f>IF(COUNT(H50:L50)&lt;3,SUM(H50:L50),SMALL(H50:L50,1)+SMALL(H50:L50,2))</f>
        <v>64</v>
      </c>
      <c r="W50" s="1">
        <f>COUNTIF(H50:L50,"&lt;=8")</f>
        <v>0</v>
      </c>
      <c r="X50" s="1">
        <f>MIN(H50:L50)</f>
        <v>30</v>
      </c>
      <c r="Y50" s="13"/>
      <c r="Z50" s="2" t="str">
        <f>IF(OR(R50=R49,R50=R52),"P","")</f>
        <v/>
      </c>
    </row>
    <row r="51" spans="1:26" x14ac:dyDescent="0.2">
      <c r="A51" s="7" t="s">
        <v>158</v>
      </c>
      <c r="B51" s="6" t="s">
        <v>62</v>
      </c>
      <c r="C51" s="6" t="str">
        <f>IF(A51="","",VLOOKUP(B51,'Continental Affiliation'!A:B,2,0))</f>
        <v>Europe</v>
      </c>
      <c r="G51" s="3">
        <f>IF(U51="","",RANK(U51,U:U)+COUNTIF(D:E,"P"))</f>
        <v>23</v>
      </c>
      <c r="H51" s="6">
        <v>38</v>
      </c>
      <c r="I51" s="6">
        <v>40</v>
      </c>
      <c r="J51" s="6">
        <v>43</v>
      </c>
      <c r="K51" s="6">
        <v>30</v>
      </c>
      <c r="L51" s="6">
        <v>36</v>
      </c>
      <c r="M51" s="1" t="str">
        <f>IF(OR(H51="",H51&gt;30),"",IF(H51=1,60,IF(H51=2,55,IF(H51=3,50,IF(H51=4,44,IF(H51=5,38,IF(H51=6,32,IF(H51=7,28,IF(H51=8,25,IF(H51=9,22,IF(H51=10,21,IF(H51=11,20,IF(H51=12,19,IF(H51=13,18,IF(H51=14,17,IF(H51=15,16,IF(H51=16,15,IF(H51=17,14,IF(H51=18,13,IF(H51=19,12,IF(H51=20,11,IF(H51=21,10,IF(H51=22,9,IF(H51=23,8,IF(H51=24,7,IF(H51=25,6,IF(H51=26,5,IF(H51=27,4,IF(H51=28,3,IF(H51=29,2,IF(H51=30,1)))))))))))))))))))))))))))))))</f>
        <v/>
      </c>
      <c r="N51" s="1" t="str">
        <f>IF(OR(I51="",I51&gt;30),"",IF(I51=1,60,IF(I51=2,55,IF(I51=3,50,IF(I51=4,44,IF(I51=5,38,IF(I51=6,32,IF(I51=7,28,IF(I51=8,25,IF(I51=9,22,IF(I51=10,21,IF(I51=11,20,IF(I51=12,19,IF(I51=13,18,IF(I51=14,17,IF(I51=15,16,IF(I51=16,15,IF(I51=17,14,IF(I51=18,13,IF(I51=19,12,IF(I51=20,11,IF(I51=21,10,IF(I51=22,9,IF(I51=23,8,IF(I51=24,7,IF(I51=25,6,IF(I51=26,5,IF(I51=27,4,IF(I51=28,3,IF(I51=29,2,IF(I51=30,1)))))))))))))))))))))))))))))))</f>
        <v/>
      </c>
      <c r="O51" s="1" t="str">
        <f>IF(OR(J51="",J51&gt;30),"",IF(J51=1,60,IF(J51=2,55,IF(J51=3,50,IF(J51=4,44,IF(J51=5,38,IF(J51=6,32,IF(J51=7,28,IF(J51=8,25,IF(J51=9,22,IF(J51=10,21,IF(J51=11,20,IF(J51=12,19,IF(J51=13,18,IF(J51=14,17,IF(J51=15,16,IF(J51=16,15,IF(J51=17,14,IF(J51=18,13,IF(J51=19,12,IF(J51=20,11,IF(J51=21,10,IF(J51=22,9,IF(J51=23,8,IF(J51=24,7,IF(J51=25,6,IF(J51=26,5,IF(J51=27,4,IF(J51=28,3,IF(J51=29,2,IF(J51=30,1)))))))))))))))))))))))))))))))</f>
        <v/>
      </c>
      <c r="P51" s="1">
        <f>IF(OR(K51="",K51&gt;30),"",IF(K51=1,60,IF(K51=2,55,IF(K51=3,50,IF(K51=4,44,IF(K51=5,38,IF(K51=6,32,IF(K51=7,28,IF(K51=8,25,IF(K51=9,22,IF(K51=10,21,IF(K51=11,20,IF(K51=12,19,IF(K51=13,18,IF(K51=14,17,IF(K51=15,16,IF(K51=16,15,IF(K51=17,14,IF(K51=18,13,IF(K51=19,12,IF(K51=20,11,IF(K51=21,10,IF(K51=22,9,IF(K51=23,8,IF(K51=24,7,IF(K51=25,6,IF(K51=26,5,IF(K51=27,4,IF(K51=28,3,IF(K51=29,2,IF(K51=30,1)))))))))))))))))))))))))))))))</f>
        <v>1</v>
      </c>
      <c r="Q51" s="1" t="str">
        <f>IF(OR(L51="",L51&gt;30),"",IF(L51=1,60,IF(L51=2,55,IF(L51=3,50,IF(L51=4,44,IF(L51=5,38,IF(L51=6,32,IF(L51=7,28,IF(L51=8,25,IF(L51=9,22,IF(L51=10,21,IF(L51=11,20,IF(L51=12,19,IF(L51=13,18,IF(L51=14,17,IF(L51=15,16,IF(L51=16,15,IF(L51=17,14,IF(L51=18,13,IF(L51=19,12,IF(L51=20,11,IF(L51=21,10,IF(L51=22,9,IF(L51=23,8,IF(L51=24,7,IF(L51=25,6,IF(L51=26,5,IF(L51=27,4,IF(L51=28,3,IF(L51=29,2,IF(L51=30,1)))))))))))))))))))))))))))))))</f>
        <v/>
      </c>
      <c r="R51" s="12">
        <f>IF(A51="","",IF(OR(D51="P",E51="P"),"",IF(COUNT(M51:Q51)&lt;3,SUM(M51:Q51),LARGE(M51:Q51,1)+LARGE(M51:Q51,2))+(1000-V51)*10^-4+W51*10^-5+(100-X51)*10^-8+Y51*10^-10))</f>
        <v>1.0934006999999999</v>
      </c>
      <c r="S51" s="2" t="str">
        <f>IF(OR(R51="",R51=0),"",IF(SUMPRODUCT(--(B$3:B$64=B51),--(R$3:R$64&gt;R51),--(R$3:R$64&lt;&gt;"")),"","P"))</f>
        <v>P</v>
      </c>
      <c r="T51" s="2" t="str" cm="1">
        <f t="array" ref="T51">IF(R51="","",IF(SUMPRODUCT(--(D$3:D$64="P"),--(B$3:B$64=B51)),"P",""))</f>
        <v/>
      </c>
      <c r="U51" s="12">
        <f>IF(AND(S51&lt;&gt;"",OR(T51="",COUNTIF(R$3:R$64,"&gt;"&amp;R51)&lt;3)),R51,"")</f>
        <v>1.0934006999999999</v>
      </c>
      <c r="V51" s="1">
        <f>IF(COUNT(H51:L51)&lt;3,SUM(H51:L51),SMALL(H51:L51,1)+SMALL(H51:L51,2))</f>
        <v>66</v>
      </c>
      <c r="W51" s="1">
        <f>COUNTIF(H51:L51,"&lt;=8")</f>
        <v>0</v>
      </c>
      <c r="X51" s="1">
        <f>MIN(H51:L51)</f>
        <v>30</v>
      </c>
      <c r="Y51" s="13"/>
      <c r="Z51" s="2" t="str">
        <f>IF(OR(R51=R49,R51=R60),"P","")</f>
        <v/>
      </c>
    </row>
    <row r="52" spans="1:26" x14ac:dyDescent="0.2">
      <c r="G52" s="3"/>
      <c r="H52" s="6"/>
      <c r="I52" s="6"/>
      <c r="J52" s="6"/>
      <c r="K52" s="6"/>
      <c r="L52" s="6"/>
      <c r="M52" s="1"/>
      <c r="N52" s="1"/>
      <c r="O52" s="1"/>
      <c r="P52" s="1"/>
      <c r="Q52" s="1"/>
      <c r="R52" s="12"/>
      <c r="V52" s="1"/>
      <c r="W52" s="1"/>
      <c r="X52" s="1"/>
      <c r="Y52" s="13"/>
      <c r="Z52" s="1"/>
    </row>
    <row r="53" spans="1:26" x14ac:dyDescent="0.2">
      <c r="G53" s="3"/>
      <c r="H53" s="6"/>
      <c r="I53" s="6"/>
      <c r="J53" s="6"/>
      <c r="K53" s="6"/>
      <c r="L53" s="6"/>
      <c r="M53" s="1"/>
      <c r="N53" s="1"/>
      <c r="O53" s="1"/>
      <c r="P53" s="1"/>
      <c r="Q53" s="1"/>
      <c r="R53" s="12"/>
      <c r="V53" s="1"/>
      <c r="W53" s="1"/>
      <c r="X53" s="1"/>
      <c r="Y53" s="13"/>
      <c r="Z53" s="1"/>
    </row>
    <row r="54" spans="1:26" x14ac:dyDescent="0.2">
      <c r="G54" s="3"/>
      <c r="H54" s="6"/>
      <c r="I54" s="6"/>
      <c r="J54" s="6"/>
      <c r="K54" s="6"/>
      <c r="L54" s="6"/>
      <c r="M54" s="1"/>
      <c r="N54" s="1"/>
      <c r="O54" s="1"/>
      <c r="P54" s="1"/>
      <c r="Q54" s="1"/>
      <c r="R54" s="12"/>
      <c r="V54" s="1"/>
      <c r="W54" s="1"/>
      <c r="X54" s="1"/>
      <c r="Y54" s="13"/>
      <c r="Z54" s="1"/>
    </row>
    <row r="55" spans="1:26" x14ac:dyDescent="0.2">
      <c r="G55" s="3"/>
      <c r="H55" s="6"/>
      <c r="I55" s="6"/>
      <c r="J55" s="6"/>
      <c r="K55" s="6"/>
      <c r="L55" s="6"/>
      <c r="M55" s="1"/>
      <c r="N55" s="1"/>
      <c r="O55" s="1"/>
      <c r="P55" s="1"/>
      <c r="Q55" s="1"/>
      <c r="R55" s="12"/>
      <c r="V55" s="1"/>
      <c r="W55" s="1"/>
      <c r="X55" s="1"/>
      <c r="Y55" s="13"/>
      <c r="Z55" s="1"/>
    </row>
    <row r="56" spans="1:26" x14ac:dyDescent="0.2">
      <c r="G56" s="3"/>
      <c r="H56" s="6"/>
      <c r="I56" s="6"/>
      <c r="J56" s="6"/>
      <c r="K56" s="6"/>
      <c r="L56" s="6"/>
      <c r="M56" s="1"/>
      <c r="N56" s="1"/>
      <c r="O56" s="1"/>
      <c r="P56" s="1"/>
      <c r="Q56" s="1"/>
      <c r="R56" s="12"/>
      <c r="V56" s="1"/>
      <c r="W56" s="1"/>
      <c r="X56" s="1"/>
      <c r="Y56" s="13"/>
      <c r="Z56" s="1"/>
    </row>
    <row r="57" spans="1:26" x14ac:dyDescent="0.2">
      <c r="G57" s="3"/>
      <c r="H57" s="6"/>
      <c r="I57" s="6"/>
      <c r="J57" s="6"/>
      <c r="K57" s="6"/>
      <c r="L57" s="6"/>
      <c r="M57" s="1"/>
      <c r="N57" s="1"/>
      <c r="O57" s="1"/>
      <c r="P57" s="1"/>
      <c r="Q57" s="1"/>
      <c r="R57" s="12"/>
      <c r="V57" s="1"/>
      <c r="W57" s="1"/>
      <c r="X57" s="1"/>
      <c r="Y57" s="13"/>
      <c r="Z57" s="1"/>
    </row>
    <row r="58" spans="1:26" x14ac:dyDescent="0.2">
      <c r="G58" s="3"/>
      <c r="H58" s="6"/>
      <c r="I58" s="6"/>
      <c r="J58" s="6"/>
      <c r="K58" s="6"/>
      <c r="L58" s="6"/>
      <c r="M58" s="1"/>
      <c r="N58" s="1"/>
      <c r="O58" s="1"/>
      <c r="P58" s="1"/>
      <c r="Q58" s="1"/>
      <c r="R58" s="1"/>
    </row>
    <row r="59" spans="1:26" x14ac:dyDescent="0.2">
      <c r="G59" s="3"/>
      <c r="H59" s="6"/>
      <c r="I59" s="6"/>
      <c r="J59" s="6"/>
      <c r="K59" s="6"/>
      <c r="L59" s="6"/>
      <c r="M59" s="1"/>
      <c r="N59" s="1"/>
      <c r="O59" s="1"/>
      <c r="P59" s="1"/>
      <c r="Q59" s="1"/>
      <c r="R59" s="1"/>
    </row>
    <row r="60" spans="1:26" x14ac:dyDescent="0.2">
      <c r="G60" s="3"/>
      <c r="H60" s="6"/>
      <c r="I60" s="6"/>
      <c r="J60" s="6"/>
      <c r="K60" s="6"/>
      <c r="L60" s="6"/>
      <c r="M60" s="1"/>
      <c r="N60" s="1"/>
      <c r="O60" s="1"/>
      <c r="P60" s="1"/>
      <c r="Q60" s="1"/>
      <c r="R60" s="1"/>
    </row>
    <row r="61" spans="1:26" x14ac:dyDescent="0.2">
      <c r="G61" s="3"/>
      <c r="H61" s="6"/>
      <c r="I61" s="6"/>
      <c r="J61" s="6"/>
      <c r="K61" s="6"/>
      <c r="L61" s="6"/>
      <c r="M61" s="1"/>
      <c r="N61" s="1"/>
      <c r="O61" s="1"/>
      <c r="P61" s="1"/>
      <c r="Q61" s="1"/>
      <c r="R61" s="1"/>
    </row>
    <row r="62" spans="1:26" x14ac:dyDescent="0.2">
      <c r="G62" s="3"/>
      <c r="H62" s="6"/>
      <c r="I62" s="6"/>
      <c r="J62" s="6"/>
      <c r="K62" s="6"/>
      <c r="L62" s="6"/>
      <c r="M62" s="1"/>
      <c r="N62" s="1"/>
      <c r="O62" s="1"/>
      <c r="P62" s="1"/>
      <c r="Q62" s="1"/>
      <c r="R62" s="1"/>
    </row>
    <row r="63" spans="1:26" x14ac:dyDescent="0.2">
      <c r="G63" s="3"/>
      <c r="H63" s="6"/>
      <c r="I63" s="6"/>
      <c r="J63" s="6"/>
      <c r="K63" s="6"/>
      <c r="L63" s="6"/>
      <c r="M63" s="1"/>
      <c r="N63" s="1"/>
      <c r="O63" s="1"/>
      <c r="P63" s="1"/>
      <c r="Q63" s="1"/>
      <c r="R63" s="1"/>
    </row>
    <row r="64" spans="1:26" x14ac:dyDescent="0.2">
      <c r="G64" s="3"/>
      <c r="H64" s="6"/>
      <c r="I64" s="6"/>
      <c r="J64" s="6"/>
      <c r="K64" s="6"/>
      <c r="L64" s="6"/>
      <c r="M64" s="1"/>
      <c r="N64" s="1"/>
      <c r="O64" s="1"/>
      <c r="P64" s="1"/>
      <c r="Q64" s="1"/>
      <c r="R64" s="1"/>
    </row>
  </sheetData>
  <sheetProtection sheet="1" selectLockedCells="1"/>
  <mergeCells count="19">
    <mergeCell ref="S1:S2"/>
    <mergeCell ref="U1:U2"/>
    <mergeCell ref="AA1:AF2"/>
    <mergeCell ref="V1:V2"/>
    <mergeCell ref="W1:W2"/>
    <mergeCell ref="T1:T2"/>
    <mergeCell ref="X1:X2"/>
    <mergeCell ref="Y1:Y2"/>
    <mergeCell ref="Z1:Z2"/>
    <mergeCell ref="A1:A2"/>
    <mergeCell ref="M1:Q1"/>
    <mergeCell ref="R1:R2"/>
    <mergeCell ref="G1:G2"/>
    <mergeCell ref="B1:B2"/>
    <mergeCell ref="H1:L1"/>
    <mergeCell ref="D1:D2"/>
    <mergeCell ref="E1:E2"/>
    <mergeCell ref="C1:C2"/>
    <mergeCell ref="F1:F2"/>
  </mergeCells>
  <conditionalFormatting sqref="A1:C1 A2:B2 A3:C1048576">
    <cfRule type="expression" dxfId="17" priority="3">
      <formula>IF(OR($D1="P",$E1="P",$F1="P"),1,0)</formula>
    </cfRule>
    <cfRule type="expression" dxfId="16" priority="5">
      <formula>IF(AND($G1&lt;&gt;"",$G1&lt;=16-COUNTIF($F:$F,"P")),1,0)</formula>
    </cfRule>
  </conditionalFormatting>
  <conditionalFormatting sqref="D58:U64 D3:Z57">
    <cfRule type="expression" dxfId="15" priority="2">
      <formula>IF(AND($A3&lt;&gt;"",MOD(ROW(),2)=0),1,0)</formula>
    </cfRule>
    <cfRule type="expression" dxfId="14" priority="6">
      <formula>IF(AND($A3&lt;&gt;"",MOD(ROW(),2)=1),1,0)</formula>
    </cfRule>
  </conditionalFormatting>
  <conditionalFormatting sqref="Q3:Q64 L3:L64 G3:G64">
    <cfRule type="expression" dxfId="13" priority="1">
      <formula>IF($A3&lt;&gt;"",1,0)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" id="{00000000-000E-0000-0000-000004000000}">
            <xm:f>IF(AND($G1&lt;&gt;"",$G1&lt;=16-COUNTIF($F:$F,"P")-COUNTIF(Macros!$G$6:$K$6,"=0")),1,0)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m:sqref>A1:C1 A2:B2 A3:C1048576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71B667-F441-624D-B6EC-915B2A92E067}">
  <sheetPr codeName="Sheet5"/>
  <dimension ref="A1:AF62"/>
  <sheetViews>
    <sheetView zoomScaleNormal="100" workbookViewId="0">
      <pane xSplit="3" topLeftCell="D1" activePane="topRight" state="frozen"/>
      <selection pane="topRight" activeCell="A3" sqref="A3"/>
    </sheetView>
  </sheetViews>
  <sheetFormatPr baseColWidth="10" defaultRowHeight="16" x14ac:dyDescent="0.2"/>
  <cols>
    <col min="1" max="1" width="26.6640625" style="7" customWidth="1"/>
    <col min="2" max="2" width="9.5" style="6" bestFit="1" customWidth="1"/>
    <col min="3" max="3" width="9" style="6" bestFit="1" customWidth="1"/>
    <col min="4" max="4" width="16.5" style="5" bestFit="1" customWidth="1"/>
    <col min="5" max="5" width="17.6640625" style="5" bestFit="1" customWidth="1"/>
    <col min="6" max="6" width="22.83203125" style="5" customWidth="1"/>
    <col min="7" max="7" width="10.83203125" style="4"/>
    <col min="8" max="12" width="10.83203125" style="7"/>
    <col min="19" max="19" width="10.83203125" style="2"/>
    <col min="20" max="20" width="14" style="2" bestFit="1" customWidth="1"/>
    <col min="21" max="21" width="10.83203125" style="12"/>
    <col min="22" max="26" width="10.83203125" hidden="1" customWidth="1"/>
  </cols>
  <sheetData>
    <row r="1" spans="1:32" s="8" customFormat="1" ht="16" customHeight="1" x14ac:dyDescent="0.2">
      <c r="A1" s="15" t="s">
        <v>0</v>
      </c>
      <c r="B1" s="15" t="s">
        <v>5</v>
      </c>
      <c r="C1" s="15" t="s">
        <v>83</v>
      </c>
      <c r="D1" s="20" t="s">
        <v>50</v>
      </c>
      <c r="E1" s="20" t="s">
        <v>100</v>
      </c>
      <c r="F1" s="20" t="s">
        <v>99</v>
      </c>
      <c r="G1" s="19" t="s">
        <v>32</v>
      </c>
      <c r="H1" s="16" t="s">
        <v>1</v>
      </c>
      <c r="I1" s="17"/>
      <c r="J1" s="17"/>
      <c r="K1" s="17"/>
      <c r="L1" s="18"/>
      <c r="M1" s="16" t="s">
        <v>2</v>
      </c>
      <c r="N1" s="17"/>
      <c r="O1" s="17"/>
      <c r="P1" s="17"/>
      <c r="Q1" s="18"/>
      <c r="R1" s="15" t="s">
        <v>3</v>
      </c>
      <c r="S1" s="20" t="s">
        <v>33</v>
      </c>
      <c r="T1" s="22" t="s">
        <v>51</v>
      </c>
      <c r="U1" s="20" t="s">
        <v>48</v>
      </c>
      <c r="V1" s="20" t="s">
        <v>68</v>
      </c>
      <c r="W1" s="20" t="s">
        <v>69</v>
      </c>
      <c r="X1" s="20" t="s">
        <v>134</v>
      </c>
      <c r="Y1" s="20" t="s">
        <v>135</v>
      </c>
      <c r="Z1" s="20" t="s">
        <v>136</v>
      </c>
      <c r="AA1" s="21" t="s">
        <v>49</v>
      </c>
      <c r="AB1" s="21"/>
      <c r="AC1" s="21"/>
      <c r="AD1" s="21"/>
      <c r="AE1" s="21"/>
      <c r="AF1" s="21"/>
    </row>
    <row r="2" spans="1:32" s="8" customFormat="1" x14ac:dyDescent="0.2">
      <c r="A2" s="15"/>
      <c r="B2" s="15"/>
      <c r="C2" s="15"/>
      <c r="D2" s="20"/>
      <c r="E2" s="20"/>
      <c r="F2" s="20"/>
      <c r="G2" s="19"/>
      <c r="H2" s="9" t="s">
        <v>98</v>
      </c>
      <c r="I2" s="10" t="s">
        <v>101</v>
      </c>
      <c r="J2" s="10" t="s">
        <v>102</v>
      </c>
      <c r="K2" s="10" t="s">
        <v>124</v>
      </c>
      <c r="L2" s="11" t="s">
        <v>125</v>
      </c>
      <c r="M2" s="9" t="str">
        <f>H2</f>
        <v>POR 2023</v>
      </c>
      <c r="N2" s="10" t="str">
        <f>I2</f>
        <v>USA 2023</v>
      </c>
      <c r="O2" s="10" t="str">
        <f t="shared" ref="O2:P2" si="0">J2</f>
        <v>BUL 2023</v>
      </c>
      <c r="P2" s="10" t="str">
        <f t="shared" si="0"/>
        <v>AZE 2024</v>
      </c>
      <c r="Q2" s="11" t="str">
        <f>L2</f>
        <v>GER 2024</v>
      </c>
      <c r="R2" s="15"/>
      <c r="S2" s="20"/>
      <c r="T2" s="22"/>
      <c r="U2" s="20"/>
      <c r="V2" s="20"/>
      <c r="W2" s="20"/>
      <c r="X2" s="20"/>
      <c r="Y2" s="20"/>
      <c r="Z2" s="20"/>
      <c r="AA2" s="21"/>
      <c r="AB2" s="21"/>
      <c r="AC2" s="21"/>
      <c r="AD2" s="21"/>
      <c r="AE2" s="21"/>
      <c r="AF2" s="21"/>
    </row>
    <row r="3" spans="1:32" x14ac:dyDescent="0.2">
      <c r="A3" s="7" t="s">
        <v>113</v>
      </c>
      <c r="B3" s="6" t="s">
        <v>6</v>
      </c>
      <c r="C3" s="6" t="str">
        <f>IF(A3="","",VLOOKUP(B3,'Continental Affiliation'!A:B,2,0))</f>
        <v>Asia</v>
      </c>
      <c r="D3" s="5" t="s">
        <v>148</v>
      </c>
      <c r="G3" s="3" t="str">
        <f>IF(U3="","",RANK(U3,U:U)+COUNTIF(D:E,"P"))</f>
        <v/>
      </c>
      <c r="H3" s="6">
        <v>1</v>
      </c>
      <c r="I3" s="6">
        <v>1</v>
      </c>
      <c r="J3" s="6">
        <v>2</v>
      </c>
      <c r="K3" s="6">
        <v>1</v>
      </c>
      <c r="L3" s="6">
        <v>2</v>
      </c>
      <c r="M3" s="1">
        <f>IF(OR(H3="",H3&gt;30),"",IF(H3=1,60,IF(H3=2,55,IF(H3=3,50,IF(H3=4,44,IF(H3=5,38,IF(H3=6,32,IF(H3=7,28,IF(H3=8,25,IF(H3=9,22,IF(H3=10,21,IF(H3=11,20,IF(H3=12,19,IF(H3=13,18,IF(H3=14,17,IF(H3=15,16,IF(H3=16,15,IF(H3=17,14,IF(H3=18,13,IF(H3=19,12,IF(H3=20,11,IF(H3=21,10,IF(H3=22,9,IF(H3=23,8,IF(H3=24,7,IF(H3=25,6,IF(H3=26,5,IF(H3=27,4,IF(H3=28,3,IF(H3=29,2,IF(H3=30,1)))))))))))))))))))))))))))))))</f>
        <v>60</v>
      </c>
      <c r="N3" s="1">
        <f>IF(OR(I3="",I3&gt;30),"",IF(I3=1,60,IF(I3=2,55,IF(I3=3,50,IF(I3=4,44,IF(I3=5,38,IF(I3=6,32,IF(I3=7,28,IF(I3=8,25,IF(I3=9,22,IF(I3=10,21,IF(I3=11,20,IF(I3=12,19,IF(I3=13,18,IF(I3=14,17,IF(I3=15,16,IF(I3=16,15,IF(I3=17,14,IF(I3=18,13,IF(I3=19,12,IF(I3=20,11,IF(I3=21,10,IF(I3=22,9,IF(I3=23,8,IF(I3=24,7,IF(I3=25,6,IF(I3=26,5,IF(I3=27,4,IF(I3=28,3,IF(I3=29,2,IF(I3=30,1)))))))))))))))))))))))))))))))</f>
        <v>60</v>
      </c>
      <c r="O3" s="1">
        <f>IF(OR(J3="",J3&gt;30),"",IF(J3=1,60,IF(J3=2,55,IF(J3=3,50,IF(J3=4,44,IF(J3=5,38,IF(J3=6,32,IF(J3=7,28,IF(J3=8,25,IF(J3=9,22,IF(J3=10,21,IF(J3=11,20,IF(J3=12,19,IF(J3=13,18,IF(J3=14,17,IF(J3=15,16,IF(J3=16,15,IF(J3=17,14,IF(J3=18,13,IF(J3=19,12,IF(J3=20,11,IF(J3=21,10,IF(J3=22,9,IF(J3=23,8,IF(J3=24,7,IF(J3=25,6,IF(J3=26,5,IF(J3=27,4,IF(J3=28,3,IF(J3=29,2,IF(J3=30,1)))))))))))))))))))))))))))))))</f>
        <v>55</v>
      </c>
      <c r="P3" s="1">
        <f>IF(OR(K3="",K3&gt;30),"",IF(K3=1,60,IF(K3=2,55,IF(K3=3,50,IF(K3=4,44,IF(K3=5,38,IF(K3=6,32,IF(K3=7,28,IF(K3=8,25,IF(K3=9,22,IF(K3=10,21,IF(K3=11,20,IF(K3=12,19,IF(K3=13,18,IF(K3=14,17,IF(K3=15,16,IF(K3=16,15,IF(K3=17,14,IF(K3=18,13,IF(K3=19,12,IF(K3=20,11,IF(K3=21,10,IF(K3=22,9,IF(K3=23,8,IF(K3=24,7,IF(K3=25,6,IF(K3=26,5,IF(K3=27,4,IF(K3=28,3,IF(K3=29,2,IF(K3=30,1)))))))))))))))))))))))))))))))</f>
        <v>60</v>
      </c>
      <c r="Q3" s="1">
        <f>IF(OR(L3="",L3&gt;30),"",IF(L3=1,60,IF(L3=2,55,IF(L3=3,50,IF(L3=4,44,IF(L3=5,38,IF(L3=6,32,IF(L3=7,28,IF(L3=8,25,IF(L3=9,22,IF(L3=10,21,IF(L3=11,20,IF(L3=12,19,IF(L3=13,18,IF(L3=14,17,IF(L3=15,16,IF(L3=16,15,IF(L3=17,14,IF(L3=18,13,IF(L3=19,12,IF(L3=20,11,IF(L3=21,10,IF(L3=22,9,IF(L3=23,8,IF(L3=24,7,IF(L3=25,6,IF(L3=26,5,IF(L3=27,4,IF(L3=28,3,IF(L3=29,2,IF(L3=30,1)))))))))))))))))))))))))))))))</f>
        <v>55</v>
      </c>
      <c r="R3" s="12" t="str">
        <f>IF(A3="","",IF(OR(D3="P",E3="P"),"",IF(COUNT(M3:Q3)&lt;3,SUM(M3:Q3),LARGE(M3:Q3,1)+LARGE(M3:Q3,2))+(1000-V3)*10^-4+W3*10^-5+(100-X3)*10^-8+Y3*10^-10))</f>
        <v/>
      </c>
      <c r="S3" s="2" t="str">
        <f>IF(OR(R3="",R3=0),"",IF(SUMPRODUCT(--(B$3:B$62=B3),--(R$3:R$62&gt;R3),--(R$3:R$62&lt;&gt;"")),"","P"))</f>
        <v/>
      </c>
      <c r="T3" s="2" t="str" cm="1">
        <f t="array" ref="T3">IF(R3="","",IF(SUMPRODUCT(--(D$3:D$62="P"),--(B$3:B$62=B3)),"P",""))</f>
        <v/>
      </c>
      <c r="U3" s="12" t="str">
        <f>IF(AND(S3&lt;&gt;"",OR(T3="",COUNTIF(R$3:R$62,"&gt;"&amp;R3)&lt;3)),R3,"")</f>
        <v/>
      </c>
      <c r="V3" s="1">
        <f>IF(COUNT(H3:L3)&lt;3,SUM(H3:L3),SMALL(H3:L3,1)+SMALL(H3:L3,2))</f>
        <v>2</v>
      </c>
      <c r="W3" s="1">
        <f>COUNTIF(H3:L3,"&lt;=8")</f>
        <v>5</v>
      </c>
      <c r="X3" s="1">
        <f>MIN(H3:L3)</f>
        <v>1</v>
      </c>
      <c r="Y3" s="1"/>
      <c r="Z3" s="2" t="str">
        <f>IF(OR(R3=R2,R3=R4),"P","")</f>
        <v>P</v>
      </c>
    </row>
    <row r="4" spans="1:32" x14ac:dyDescent="0.2">
      <c r="A4" s="7" t="s">
        <v>95</v>
      </c>
      <c r="B4" s="6" t="s">
        <v>8</v>
      </c>
      <c r="C4" s="6" t="str">
        <f>IF(A4="","",VLOOKUP(B4,'Continental Affiliation'!A:B,2,0))</f>
        <v>Asia</v>
      </c>
      <c r="D4" s="5" t="s">
        <v>148</v>
      </c>
      <c r="G4" s="3" t="str">
        <f>IF(U4="","",RANK(U4,U:U)+COUNTIF(D:E,"P"))</f>
        <v/>
      </c>
      <c r="H4" s="6">
        <v>10</v>
      </c>
      <c r="I4" s="6">
        <v>4</v>
      </c>
      <c r="J4" s="6">
        <v>3</v>
      </c>
      <c r="K4" s="6" t="s">
        <v>143</v>
      </c>
      <c r="L4" s="6">
        <v>5</v>
      </c>
      <c r="M4" s="1">
        <f>IF(OR(H4="",H4&gt;30),"",IF(H4=1,60,IF(H4=2,55,IF(H4=3,50,IF(H4=4,44,IF(H4=5,38,IF(H4=6,32,IF(H4=7,28,IF(H4=8,25,IF(H4=9,22,IF(H4=10,21,IF(H4=11,20,IF(H4=12,19,IF(H4=13,18,IF(H4=14,17,IF(H4=15,16,IF(H4=16,15,IF(H4=17,14,IF(H4=18,13,IF(H4=19,12,IF(H4=20,11,IF(H4=21,10,IF(H4=22,9,IF(H4=23,8,IF(H4=24,7,IF(H4=25,6,IF(H4=26,5,IF(H4=27,4,IF(H4=28,3,IF(H4=29,2,IF(H4=30,1)))))))))))))))))))))))))))))))</f>
        <v>21</v>
      </c>
      <c r="N4" s="1">
        <f>IF(OR(I4="",I4&gt;30),"",IF(I4=1,60,IF(I4=2,55,IF(I4=3,50,IF(I4=4,44,IF(I4=5,38,IF(I4=6,32,IF(I4=7,28,IF(I4=8,25,IF(I4=9,22,IF(I4=10,21,IF(I4=11,20,IF(I4=12,19,IF(I4=13,18,IF(I4=14,17,IF(I4=15,16,IF(I4=16,15,IF(I4=17,14,IF(I4=18,13,IF(I4=19,12,IF(I4=20,11,IF(I4=21,10,IF(I4=22,9,IF(I4=23,8,IF(I4=24,7,IF(I4=25,6,IF(I4=26,5,IF(I4=27,4,IF(I4=28,3,IF(I4=29,2,IF(I4=30,1)))))))))))))))))))))))))))))))</f>
        <v>44</v>
      </c>
      <c r="O4" s="1">
        <f>IF(OR(J4="",J4&gt;30),"",IF(J4=1,60,IF(J4=2,55,IF(J4=3,50,IF(J4=4,44,IF(J4=5,38,IF(J4=6,32,IF(J4=7,28,IF(J4=8,25,IF(J4=9,22,IF(J4=10,21,IF(J4=11,20,IF(J4=12,19,IF(J4=13,18,IF(J4=14,17,IF(J4=15,16,IF(J4=16,15,IF(J4=17,14,IF(J4=18,13,IF(J4=19,12,IF(J4=20,11,IF(J4=21,10,IF(J4=22,9,IF(J4=23,8,IF(J4=24,7,IF(J4=25,6,IF(J4=26,5,IF(J4=27,4,IF(J4=28,3,IF(J4=29,2,IF(J4=30,1)))))))))))))))))))))))))))))))</f>
        <v>50</v>
      </c>
      <c r="P4" s="1" t="str">
        <f>IF(OR(K4="",K4&gt;30),"",IF(K4=1,60,IF(K4=2,55,IF(K4=3,50,IF(K4=4,44,IF(K4=5,38,IF(K4=6,32,IF(K4=7,28,IF(K4=8,25,IF(K4=9,22,IF(K4=10,21,IF(K4=11,20,IF(K4=12,19,IF(K4=13,18,IF(K4=14,17,IF(K4=15,16,IF(K4=16,15,IF(K4=17,14,IF(K4=18,13,IF(K4=19,12,IF(K4=20,11,IF(K4=21,10,IF(K4=22,9,IF(K4=23,8,IF(K4=24,7,IF(K4=25,6,IF(K4=26,5,IF(K4=27,4,IF(K4=28,3,IF(K4=29,2,IF(K4=30,1)))))))))))))))))))))))))))))))</f>
        <v/>
      </c>
      <c r="Q4" s="1">
        <f>IF(OR(L4="",L4&gt;30),"",IF(L4=1,60,IF(L4=2,55,IF(L4=3,50,IF(L4=4,44,IF(L4=5,38,IF(L4=6,32,IF(L4=7,28,IF(L4=8,25,IF(L4=9,22,IF(L4=10,21,IF(L4=11,20,IF(L4=12,19,IF(L4=13,18,IF(L4=14,17,IF(L4=15,16,IF(L4=16,15,IF(L4=17,14,IF(L4=18,13,IF(L4=19,12,IF(L4=20,11,IF(L4=21,10,IF(L4=22,9,IF(L4=23,8,IF(L4=24,7,IF(L4=25,6,IF(L4=26,5,IF(L4=27,4,IF(L4=28,3,IF(L4=29,2,IF(L4=30,1)))))))))))))))))))))))))))))))</f>
        <v>38</v>
      </c>
      <c r="R4" s="12" t="str">
        <f>IF(A4="","",IF(OR(D4="P",E4="P"),"",IF(COUNT(M4:Q4)&lt;3,SUM(M4:Q4),LARGE(M4:Q4,1)+LARGE(M4:Q4,2))+(1000-V4)*10^-4+W4*10^-5+(100-X4)*10^-8+Y4*10^-10))</f>
        <v/>
      </c>
      <c r="S4" s="2" t="str">
        <f>IF(OR(R4="",R4=0),"",IF(SUMPRODUCT(--(B$3:B$62=B4),--(R$3:R$62&gt;R4),--(R$3:R$62&lt;&gt;"")),"","P"))</f>
        <v/>
      </c>
      <c r="T4" s="2" t="str" cm="1">
        <f t="array" ref="T4">IF(R4="","",IF(SUMPRODUCT(--(D$3:D$62="P"),--(B$3:B$62=B4)),"P",""))</f>
        <v/>
      </c>
      <c r="U4" s="12" t="str">
        <f>IF(AND(S4&lt;&gt;"",OR(T4="",COUNTIF(R$3:R$62,"&gt;"&amp;R4)&lt;3)),R4,"")</f>
        <v/>
      </c>
      <c r="V4" s="1">
        <f>IF(COUNT(H4:L4)&lt;3,SUM(H4:L4),SMALL(H4:L4,1)+SMALL(H4:L4,2))</f>
        <v>7</v>
      </c>
      <c r="W4" s="1">
        <f>COUNTIF(H4:L4,"&lt;=8")</f>
        <v>3</v>
      </c>
      <c r="X4" s="1">
        <f>MIN(H4:L4)</f>
        <v>3</v>
      </c>
      <c r="Y4" s="1"/>
      <c r="Z4" s="2" t="str">
        <f>IF(OR(R4=R3,R4=R5),"P","")</f>
        <v>P</v>
      </c>
    </row>
    <row r="5" spans="1:32" x14ac:dyDescent="0.2">
      <c r="A5" s="7" t="s">
        <v>57</v>
      </c>
      <c r="B5" s="6" t="s">
        <v>58</v>
      </c>
      <c r="C5" s="6" t="str">
        <f>IF(A5="","",VLOOKUP(B5,'Continental Affiliation'!A:B,2,0))</f>
        <v>Europe</v>
      </c>
      <c r="D5" s="5" t="s">
        <v>148</v>
      </c>
      <c r="G5" s="3" t="str">
        <f>IF(U5="","",RANK(U5,U:U)+COUNTIF(D:E,"P"))</f>
        <v/>
      </c>
      <c r="H5" s="6">
        <v>11</v>
      </c>
      <c r="I5" s="6">
        <v>5</v>
      </c>
      <c r="J5" s="6">
        <v>5</v>
      </c>
      <c r="K5" s="6" t="s">
        <v>143</v>
      </c>
      <c r="L5" s="6" t="s">
        <v>143</v>
      </c>
      <c r="M5" s="1">
        <f>IF(OR(H5="",H5&gt;30),"",IF(H5=1,60,IF(H5=2,55,IF(H5=3,50,IF(H5=4,44,IF(H5=5,38,IF(H5=6,32,IF(H5=7,28,IF(H5=8,25,IF(H5=9,22,IF(H5=10,21,IF(H5=11,20,IF(H5=12,19,IF(H5=13,18,IF(H5=14,17,IF(H5=15,16,IF(H5=16,15,IF(H5=17,14,IF(H5=18,13,IF(H5=19,12,IF(H5=20,11,IF(H5=21,10,IF(H5=22,9,IF(H5=23,8,IF(H5=24,7,IF(H5=25,6,IF(H5=26,5,IF(H5=27,4,IF(H5=28,3,IF(H5=29,2,IF(H5=30,1)))))))))))))))))))))))))))))))</f>
        <v>20</v>
      </c>
      <c r="N5" s="1">
        <f>IF(OR(I5="",I5&gt;30),"",IF(I5=1,60,IF(I5=2,55,IF(I5=3,50,IF(I5=4,44,IF(I5=5,38,IF(I5=6,32,IF(I5=7,28,IF(I5=8,25,IF(I5=9,22,IF(I5=10,21,IF(I5=11,20,IF(I5=12,19,IF(I5=13,18,IF(I5=14,17,IF(I5=15,16,IF(I5=16,15,IF(I5=17,14,IF(I5=18,13,IF(I5=19,12,IF(I5=20,11,IF(I5=21,10,IF(I5=22,9,IF(I5=23,8,IF(I5=24,7,IF(I5=25,6,IF(I5=26,5,IF(I5=27,4,IF(I5=28,3,IF(I5=29,2,IF(I5=30,1)))))))))))))))))))))))))))))))</f>
        <v>38</v>
      </c>
      <c r="O5" s="1">
        <f>IF(OR(J5="",J5&gt;30),"",IF(J5=1,60,IF(J5=2,55,IF(J5=3,50,IF(J5=4,44,IF(J5=5,38,IF(J5=6,32,IF(J5=7,28,IF(J5=8,25,IF(J5=9,22,IF(J5=10,21,IF(J5=11,20,IF(J5=12,19,IF(J5=13,18,IF(J5=14,17,IF(J5=15,16,IF(J5=16,15,IF(J5=17,14,IF(J5=18,13,IF(J5=19,12,IF(J5=20,11,IF(J5=21,10,IF(J5=22,9,IF(J5=23,8,IF(J5=24,7,IF(J5=25,6,IF(J5=26,5,IF(J5=27,4,IF(J5=28,3,IF(J5=29,2,IF(J5=30,1)))))))))))))))))))))))))))))))</f>
        <v>38</v>
      </c>
      <c r="P5" s="1" t="str">
        <f>IF(OR(K5="",K5&gt;30),"",IF(K5=1,60,IF(K5=2,55,IF(K5=3,50,IF(K5=4,44,IF(K5=5,38,IF(K5=6,32,IF(K5=7,28,IF(K5=8,25,IF(K5=9,22,IF(K5=10,21,IF(K5=11,20,IF(K5=12,19,IF(K5=13,18,IF(K5=14,17,IF(K5=15,16,IF(K5=16,15,IF(K5=17,14,IF(K5=18,13,IF(K5=19,12,IF(K5=20,11,IF(K5=21,10,IF(K5=22,9,IF(K5=23,8,IF(K5=24,7,IF(K5=25,6,IF(K5=26,5,IF(K5=27,4,IF(K5=28,3,IF(K5=29,2,IF(K5=30,1)))))))))))))))))))))))))))))))</f>
        <v/>
      </c>
      <c r="Q5" s="1" t="str">
        <f>IF(OR(L5="",L5&gt;30),"",IF(L5=1,60,IF(L5=2,55,IF(L5=3,50,IF(L5=4,44,IF(L5=5,38,IF(L5=6,32,IF(L5=7,28,IF(L5=8,25,IF(L5=9,22,IF(L5=10,21,IF(L5=11,20,IF(L5=12,19,IF(L5=13,18,IF(L5=14,17,IF(L5=15,16,IF(L5=16,15,IF(L5=17,14,IF(L5=18,13,IF(L5=19,12,IF(L5=20,11,IF(L5=21,10,IF(L5=22,9,IF(L5=23,8,IF(L5=24,7,IF(L5=25,6,IF(L5=26,5,IF(L5=27,4,IF(L5=28,3,IF(L5=29,2,IF(L5=30,1)))))))))))))))))))))))))))))))</f>
        <v/>
      </c>
      <c r="R5" s="12" t="str">
        <f>IF(A5="","",IF(OR(D5="P",E5="P"),"",IF(COUNT(M5:Q5)&lt;3,SUM(M5:Q5),LARGE(M5:Q5,1)+LARGE(M5:Q5,2))+(1000-V5)*10^-4+W5*10^-5+(100-X5)*10^-8+Y5*10^-10))</f>
        <v/>
      </c>
      <c r="S5" s="2" t="str">
        <f>IF(OR(R5="",R5=0),"",IF(SUMPRODUCT(--(B$3:B$62=B5),--(R$3:R$62&gt;R5),--(R$3:R$62&lt;&gt;"")),"","P"))</f>
        <v/>
      </c>
      <c r="T5" s="2" t="str" cm="1">
        <f t="array" ref="T5">IF(R5="","",IF(SUMPRODUCT(--(D$3:D$62="P"),--(B$3:B$62=B5)),"P",""))</f>
        <v/>
      </c>
      <c r="U5" s="12" t="str">
        <f>IF(AND(S5&lt;&gt;"",OR(T5="",COUNTIF(R$3:R$62,"&gt;"&amp;R5)&lt;3)),R5,"")</f>
        <v/>
      </c>
      <c r="V5" s="1">
        <f>IF(COUNT(H5:L5)&lt;3,SUM(H5:L5),SMALL(H5:L5,1)+SMALL(H5:L5,2))</f>
        <v>10</v>
      </c>
      <c r="W5" s="1">
        <f>COUNTIF(H5:L5,"&lt;=8")</f>
        <v>2</v>
      </c>
      <c r="X5" s="1">
        <f>MIN(H5:L5)</f>
        <v>5</v>
      </c>
      <c r="Y5" s="1"/>
      <c r="Z5" s="2" t="str">
        <f>IF(OR(R5=R4,R5=R6),"P","")</f>
        <v>P</v>
      </c>
    </row>
    <row r="6" spans="1:32" x14ac:dyDescent="0.2">
      <c r="A6" s="7" t="s">
        <v>116</v>
      </c>
      <c r="B6" s="6" t="s">
        <v>13</v>
      </c>
      <c r="C6" s="6" t="str">
        <f>IF(A6="","",VLOOKUP(B6,'Continental Affiliation'!A:B,2,0))</f>
        <v>Europe</v>
      </c>
      <c r="D6" s="5" t="s">
        <v>148</v>
      </c>
      <c r="G6" s="3" t="str">
        <f>IF(U6="","",RANK(U6,U:U)+COUNTIF(D:E,"P"))</f>
        <v/>
      </c>
      <c r="H6" s="6">
        <v>21</v>
      </c>
      <c r="I6" s="6">
        <v>3</v>
      </c>
      <c r="J6" s="6">
        <v>12</v>
      </c>
      <c r="K6" s="6">
        <v>23</v>
      </c>
      <c r="L6" s="6">
        <v>21</v>
      </c>
      <c r="M6" s="1">
        <f>IF(OR(H6="",H6&gt;30),"",IF(H6=1,60,IF(H6=2,55,IF(H6=3,50,IF(H6=4,44,IF(H6=5,38,IF(H6=6,32,IF(H6=7,28,IF(H6=8,25,IF(H6=9,22,IF(H6=10,21,IF(H6=11,20,IF(H6=12,19,IF(H6=13,18,IF(H6=14,17,IF(H6=15,16,IF(H6=16,15,IF(H6=17,14,IF(H6=18,13,IF(H6=19,12,IF(H6=20,11,IF(H6=21,10,IF(H6=22,9,IF(H6=23,8,IF(H6=24,7,IF(H6=25,6,IF(H6=26,5,IF(H6=27,4,IF(H6=28,3,IF(H6=29,2,IF(H6=30,1)))))))))))))))))))))))))))))))</f>
        <v>10</v>
      </c>
      <c r="N6" s="1">
        <f>IF(OR(I6="",I6&gt;30),"",IF(I6=1,60,IF(I6=2,55,IF(I6=3,50,IF(I6=4,44,IF(I6=5,38,IF(I6=6,32,IF(I6=7,28,IF(I6=8,25,IF(I6=9,22,IF(I6=10,21,IF(I6=11,20,IF(I6=12,19,IF(I6=13,18,IF(I6=14,17,IF(I6=15,16,IF(I6=16,15,IF(I6=17,14,IF(I6=18,13,IF(I6=19,12,IF(I6=20,11,IF(I6=21,10,IF(I6=22,9,IF(I6=23,8,IF(I6=24,7,IF(I6=25,6,IF(I6=26,5,IF(I6=27,4,IF(I6=28,3,IF(I6=29,2,IF(I6=30,1)))))))))))))))))))))))))))))))</f>
        <v>50</v>
      </c>
      <c r="O6" s="1">
        <f>IF(OR(J6="",J6&gt;30),"",IF(J6=1,60,IF(J6=2,55,IF(J6=3,50,IF(J6=4,44,IF(J6=5,38,IF(J6=6,32,IF(J6=7,28,IF(J6=8,25,IF(J6=9,22,IF(J6=10,21,IF(J6=11,20,IF(J6=12,19,IF(J6=13,18,IF(J6=14,17,IF(J6=15,16,IF(J6=16,15,IF(J6=17,14,IF(J6=18,13,IF(J6=19,12,IF(J6=20,11,IF(J6=21,10,IF(J6=22,9,IF(J6=23,8,IF(J6=24,7,IF(J6=25,6,IF(J6=26,5,IF(J6=27,4,IF(J6=28,3,IF(J6=29,2,IF(J6=30,1)))))))))))))))))))))))))))))))</f>
        <v>19</v>
      </c>
      <c r="P6" s="1">
        <f>IF(OR(K6="",K6&gt;30),"",IF(K6=1,60,IF(K6=2,55,IF(K6=3,50,IF(K6=4,44,IF(K6=5,38,IF(K6=6,32,IF(K6=7,28,IF(K6=8,25,IF(K6=9,22,IF(K6=10,21,IF(K6=11,20,IF(K6=12,19,IF(K6=13,18,IF(K6=14,17,IF(K6=15,16,IF(K6=16,15,IF(K6=17,14,IF(K6=18,13,IF(K6=19,12,IF(K6=20,11,IF(K6=21,10,IF(K6=22,9,IF(K6=23,8,IF(K6=24,7,IF(K6=25,6,IF(K6=26,5,IF(K6=27,4,IF(K6=28,3,IF(K6=29,2,IF(K6=30,1)))))))))))))))))))))))))))))))</f>
        <v>8</v>
      </c>
      <c r="Q6" s="1">
        <f>IF(OR(L6="",L6&gt;30),"",IF(L6=1,60,IF(L6=2,55,IF(L6=3,50,IF(L6=4,44,IF(L6=5,38,IF(L6=6,32,IF(L6=7,28,IF(L6=8,25,IF(L6=9,22,IF(L6=10,21,IF(L6=11,20,IF(L6=12,19,IF(L6=13,18,IF(L6=14,17,IF(L6=15,16,IF(L6=16,15,IF(L6=17,14,IF(L6=18,13,IF(L6=19,12,IF(L6=20,11,IF(L6=21,10,IF(L6=22,9,IF(L6=23,8,IF(L6=24,7,IF(L6=25,6,IF(L6=26,5,IF(L6=27,4,IF(L6=28,3,IF(L6=29,2,IF(L6=30,1)))))))))))))))))))))))))))))))</f>
        <v>10</v>
      </c>
      <c r="R6" s="12" t="str">
        <f>IF(A6="","",IF(OR(D6="P",E6="P"),"",IF(COUNT(M6:Q6)&lt;3,SUM(M6:Q6),LARGE(M6:Q6,1)+LARGE(M6:Q6,2))+(1000-V6)*10^-4+W6*10^-5+(100-X6)*10^-8+Y6*10^-10))</f>
        <v/>
      </c>
      <c r="S6" s="2" t="str">
        <f>IF(OR(R6="",R6=0),"",IF(SUMPRODUCT(--(B$3:B$62=B6),--(R$3:R$62&gt;R6),--(R$3:R$62&lt;&gt;"")),"","P"))</f>
        <v/>
      </c>
      <c r="T6" s="2" t="str" cm="1">
        <f t="array" ref="T6">IF(R6="","",IF(SUMPRODUCT(--(D$3:D$62="P"),--(B$3:B$62=B6)),"P",""))</f>
        <v/>
      </c>
      <c r="U6" s="12" t="str">
        <f>IF(AND(S6&lt;&gt;"",OR(T6="",COUNTIF(R$3:R$62,"&gt;"&amp;R6)&lt;3)),R6,"")</f>
        <v/>
      </c>
      <c r="V6" s="1">
        <f>IF(COUNT(H6:L6)&lt;3,SUM(H6:L6),SMALL(H6:L6,1)+SMALL(H6:L6,2))</f>
        <v>15</v>
      </c>
      <c r="W6" s="1">
        <f>COUNTIF(H6:L6,"&lt;=8")</f>
        <v>1</v>
      </c>
      <c r="X6" s="1">
        <f>MIN(H6:L6)</f>
        <v>3</v>
      </c>
      <c r="Y6" s="1"/>
      <c r="Z6" s="2" t="str">
        <f>IF(OR(R6=R5,R6=R7),"P","")</f>
        <v>P</v>
      </c>
    </row>
    <row r="7" spans="1:32" x14ac:dyDescent="0.2">
      <c r="A7" s="7" t="s">
        <v>37</v>
      </c>
      <c r="B7" s="6" t="s">
        <v>36</v>
      </c>
      <c r="C7" s="6" t="str">
        <f>IF(A7="","",VLOOKUP(B7,'Continental Affiliation'!A:B,2,0))</f>
        <v>Europe</v>
      </c>
      <c r="D7" s="5" t="s">
        <v>148</v>
      </c>
      <c r="G7" s="3" t="str">
        <f>IF(U7="","",RANK(U7,U:U)+COUNTIF(D:E,"P"))</f>
        <v/>
      </c>
      <c r="H7" s="6">
        <v>28</v>
      </c>
      <c r="I7" s="6">
        <v>19</v>
      </c>
      <c r="J7" s="6">
        <v>6</v>
      </c>
      <c r="K7" s="6">
        <v>6</v>
      </c>
      <c r="L7" s="6">
        <v>7</v>
      </c>
      <c r="M7" s="1">
        <f>IF(OR(H7="",H7&gt;30),"",IF(H7=1,60,IF(H7=2,55,IF(H7=3,50,IF(H7=4,44,IF(H7=5,38,IF(H7=6,32,IF(H7=7,28,IF(H7=8,25,IF(H7=9,22,IF(H7=10,21,IF(H7=11,20,IF(H7=12,19,IF(H7=13,18,IF(H7=14,17,IF(H7=15,16,IF(H7=16,15,IF(H7=17,14,IF(H7=18,13,IF(H7=19,12,IF(H7=20,11,IF(H7=21,10,IF(H7=22,9,IF(H7=23,8,IF(H7=24,7,IF(H7=25,6,IF(H7=26,5,IF(H7=27,4,IF(H7=28,3,IF(H7=29,2,IF(H7=30,1)))))))))))))))))))))))))))))))</f>
        <v>3</v>
      </c>
      <c r="N7" s="1">
        <f>IF(OR(I7="",I7&gt;30),"",IF(I7=1,60,IF(I7=2,55,IF(I7=3,50,IF(I7=4,44,IF(I7=5,38,IF(I7=6,32,IF(I7=7,28,IF(I7=8,25,IF(I7=9,22,IF(I7=10,21,IF(I7=11,20,IF(I7=12,19,IF(I7=13,18,IF(I7=14,17,IF(I7=15,16,IF(I7=16,15,IF(I7=17,14,IF(I7=18,13,IF(I7=19,12,IF(I7=20,11,IF(I7=21,10,IF(I7=22,9,IF(I7=23,8,IF(I7=24,7,IF(I7=25,6,IF(I7=26,5,IF(I7=27,4,IF(I7=28,3,IF(I7=29,2,IF(I7=30,1)))))))))))))))))))))))))))))))</f>
        <v>12</v>
      </c>
      <c r="O7" s="1">
        <f>IF(OR(J7="",J7&gt;30),"",IF(J7=1,60,IF(J7=2,55,IF(J7=3,50,IF(J7=4,44,IF(J7=5,38,IF(J7=6,32,IF(J7=7,28,IF(J7=8,25,IF(J7=9,22,IF(J7=10,21,IF(J7=11,20,IF(J7=12,19,IF(J7=13,18,IF(J7=14,17,IF(J7=15,16,IF(J7=16,15,IF(J7=17,14,IF(J7=18,13,IF(J7=19,12,IF(J7=20,11,IF(J7=21,10,IF(J7=22,9,IF(J7=23,8,IF(J7=24,7,IF(J7=25,6,IF(J7=26,5,IF(J7=27,4,IF(J7=28,3,IF(J7=29,2,IF(J7=30,1)))))))))))))))))))))))))))))))</f>
        <v>32</v>
      </c>
      <c r="P7" s="1">
        <f>IF(OR(K7="",K7&gt;30),"",IF(K7=1,60,IF(K7=2,55,IF(K7=3,50,IF(K7=4,44,IF(K7=5,38,IF(K7=6,32,IF(K7=7,28,IF(K7=8,25,IF(K7=9,22,IF(K7=10,21,IF(K7=11,20,IF(K7=12,19,IF(K7=13,18,IF(K7=14,17,IF(K7=15,16,IF(K7=16,15,IF(K7=17,14,IF(K7=18,13,IF(K7=19,12,IF(K7=20,11,IF(K7=21,10,IF(K7=22,9,IF(K7=23,8,IF(K7=24,7,IF(K7=25,6,IF(K7=26,5,IF(K7=27,4,IF(K7=28,3,IF(K7=29,2,IF(K7=30,1)))))))))))))))))))))))))))))))</f>
        <v>32</v>
      </c>
      <c r="Q7" s="1">
        <f>IF(OR(L7="",L7&gt;30),"",IF(L7=1,60,IF(L7=2,55,IF(L7=3,50,IF(L7=4,44,IF(L7=5,38,IF(L7=6,32,IF(L7=7,28,IF(L7=8,25,IF(L7=9,22,IF(L7=10,21,IF(L7=11,20,IF(L7=12,19,IF(L7=13,18,IF(L7=14,17,IF(L7=15,16,IF(L7=16,15,IF(L7=17,14,IF(L7=18,13,IF(L7=19,12,IF(L7=20,11,IF(L7=21,10,IF(L7=22,9,IF(L7=23,8,IF(L7=24,7,IF(L7=25,6,IF(L7=26,5,IF(L7=27,4,IF(L7=28,3,IF(L7=29,2,IF(L7=30,1)))))))))))))))))))))))))))))))</f>
        <v>28</v>
      </c>
      <c r="R7" s="12" t="str">
        <f>IF(A7="","",IF(OR(D7="P",E7="P"),"",IF(COUNT(M7:Q7)&lt;3,SUM(M7:Q7),LARGE(M7:Q7,1)+LARGE(M7:Q7,2))+(1000-V7)*10^-4+W7*10^-5+(100-X7)*10^-8+Y7*10^-10))</f>
        <v/>
      </c>
      <c r="S7" s="2" t="str">
        <f>IF(OR(R7="",R7=0),"",IF(SUMPRODUCT(--(B$3:B$62=B7),--(R$3:R$62&gt;R7),--(R$3:R$62&lt;&gt;"")),"","P"))</f>
        <v/>
      </c>
      <c r="T7" s="2" t="str" cm="1">
        <f t="array" ref="T7">IF(R7="","",IF(SUMPRODUCT(--(D$3:D$62="P"),--(B$3:B$62=B7)),"P",""))</f>
        <v/>
      </c>
      <c r="U7" s="12" t="str">
        <f>IF(AND(S7&lt;&gt;"",OR(T7="",COUNTIF(R$3:R$62,"&gt;"&amp;R7)&lt;3)),R7,"")</f>
        <v/>
      </c>
      <c r="V7" s="1">
        <f>IF(COUNT(H7:L7)&lt;3,SUM(H7:L7),SMALL(H7:L7,1)+SMALL(H7:L7,2))</f>
        <v>12</v>
      </c>
      <c r="W7" s="1">
        <f>COUNTIF(H7:L7,"&lt;=8")</f>
        <v>3</v>
      </c>
      <c r="X7" s="1">
        <f>MIN(H7:L7)</f>
        <v>6</v>
      </c>
      <c r="Y7" s="1"/>
      <c r="Z7" s="2" t="str">
        <f>IF(OR(R7=R6,R7=R8),"P","")</f>
        <v>P</v>
      </c>
    </row>
    <row r="8" spans="1:32" x14ac:dyDescent="0.2">
      <c r="A8" s="7" t="s">
        <v>74</v>
      </c>
      <c r="B8" s="6" t="s">
        <v>6</v>
      </c>
      <c r="C8" s="6" t="str">
        <f>IF(A8="","",VLOOKUP(B8,'Continental Affiliation'!A:B,2,0))</f>
        <v>Asia</v>
      </c>
      <c r="G8" s="3">
        <f>IF(U8="","",RANK(U8,U:U)+COUNTIF(D:E,"P"))</f>
        <v>6</v>
      </c>
      <c r="H8" s="6">
        <v>2</v>
      </c>
      <c r="I8" s="6">
        <v>9</v>
      </c>
      <c r="J8" s="6">
        <v>1</v>
      </c>
      <c r="K8" s="6">
        <v>2</v>
      </c>
      <c r="L8" s="6">
        <v>1</v>
      </c>
      <c r="M8" s="1">
        <f>IF(OR(H8="",H8&gt;30),"",IF(H8=1,60,IF(H8=2,55,IF(H8=3,50,IF(H8=4,44,IF(H8=5,38,IF(H8=6,32,IF(H8=7,28,IF(H8=8,25,IF(H8=9,22,IF(H8=10,21,IF(H8=11,20,IF(H8=12,19,IF(H8=13,18,IF(H8=14,17,IF(H8=15,16,IF(H8=16,15,IF(H8=17,14,IF(H8=18,13,IF(H8=19,12,IF(H8=20,11,IF(H8=21,10,IF(H8=22,9,IF(H8=23,8,IF(H8=24,7,IF(H8=25,6,IF(H8=26,5,IF(H8=27,4,IF(H8=28,3,IF(H8=29,2,IF(H8=30,1)))))))))))))))))))))))))))))))</f>
        <v>55</v>
      </c>
      <c r="N8" s="1">
        <f>IF(OR(I8="",I8&gt;30),"",IF(I8=1,60,IF(I8=2,55,IF(I8=3,50,IF(I8=4,44,IF(I8=5,38,IF(I8=6,32,IF(I8=7,28,IF(I8=8,25,IF(I8=9,22,IF(I8=10,21,IF(I8=11,20,IF(I8=12,19,IF(I8=13,18,IF(I8=14,17,IF(I8=15,16,IF(I8=16,15,IF(I8=17,14,IF(I8=18,13,IF(I8=19,12,IF(I8=20,11,IF(I8=21,10,IF(I8=22,9,IF(I8=23,8,IF(I8=24,7,IF(I8=25,6,IF(I8=26,5,IF(I8=27,4,IF(I8=28,3,IF(I8=29,2,IF(I8=30,1)))))))))))))))))))))))))))))))</f>
        <v>22</v>
      </c>
      <c r="O8" s="1">
        <f>IF(OR(J8="",J8&gt;30),"",IF(J8=1,60,IF(J8=2,55,IF(J8=3,50,IF(J8=4,44,IF(J8=5,38,IF(J8=6,32,IF(J8=7,28,IF(J8=8,25,IF(J8=9,22,IF(J8=10,21,IF(J8=11,20,IF(J8=12,19,IF(J8=13,18,IF(J8=14,17,IF(J8=15,16,IF(J8=16,15,IF(J8=17,14,IF(J8=18,13,IF(J8=19,12,IF(J8=20,11,IF(J8=21,10,IF(J8=22,9,IF(J8=23,8,IF(J8=24,7,IF(J8=25,6,IF(J8=26,5,IF(J8=27,4,IF(J8=28,3,IF(J8=29,2,IF(J8=30,1)))))))))))))))))))))))))))))))</f>
        <v>60</v>
      </c>
      <c r="P8" s="1">
        <f>IF(OR(K8="",K8&gt;30),"",IF(K8=1,60,IF(K8=2,55,IF(K8=3,50,IF(K8=4,44,IF(K8=5,38,IF(K8=6,32,IF(K8=7,28,IF(K8=8,25,IF(K8=9,22,IF(K8=10,21,IF(K8=11,20,IF(K8=12,19,IF(K8=13,18,IF(K8=14,17,IF(K8=15,16,IF(K8=16,15,IF(K8=17,14,IF(K8=18,13,IF(K8=19,12,IF(K8=20,11,IF(K8=21,10,IF(K8=22,9,IF(K8=23,8,IF(K8=24,7,IF(K8=25,6,IF(K8=26,5,IF(K8=27,4,IF(K8=28,3,IF(K8=29,2,IF(K8=30,1)))))))))))))))))))))))))))))))</f>
        <v>55</v>
      </c>
      <c r="Q8" s="1">
        <f>IF(OR(L8="",L8&gt;30),"",IF(L8=1,60,IF(L8=2,55,IF(L8=3,50,IF(L8=4,44,IF(L8=5,38,IF(L8=6,32,IF(L8=7,28,IF(L8=8,25,IF(L8=9,22,IF(L8=10,21,IF(L8=11,20,IF(L8=12,19,IF(L8=13,18,IF(L8=14,17,IF(L8=15,16,IF(L8=16,15,IF(L8=17,14,IF(L8=18,13,IF(L8=19,12,IF(L8=20,11,IF(L8=21,10,IF(L8=22,9,IF(L8=23,8,IF(L8=24,7,IF(L8=25,6,IF(L8=26,5,IF(L8=27,4,IF(L8=28,3,IF(L8=29,2,IF(L8=30,1)))))))))))))))))))))))))))))))</f>
        <v>60</v>
      </c>
      <c r="R8" s="12">
        <f>IF(A8="","",IF(OR(D8="P",E8="P"),"",IF(COUNT(M8:Q8)&lt;3,SUM(M8:Q8),LARGE(M8:Q8,1)+LARGE(M8:Q8,2))+(1000-V8)*10^-4+W8*10^-5+(100-X8)*10^-8+Y8*10^-10))</f>
        <v>120.09984099</v>
      </c>
      <c r="S8" s="2" t="str">
        <f>IF(OR(R8="",R8=0),"",IF(SUMPRODUCT(--(B$3:B$62=B8),--(R$3:R$62&gt;R8),--(R$3:R$62&lt;&gt;"")),"","P"))</f>
        <v>P</v>
      </c>
      <c r="T8" s="2" t="str" cm="1">
        <f t="array" ref="T8">IF(R8="","",IF(SUMPRODUCT(--(D$3:D$62="P"),--(B$3:B$62=B8)),"P",""))</f>
        <v>P</v>
      </c>
      <c r="U8" s="12">
        <f>IF(AND(S8&lt;&gt;"",OR(T8="",COUNTIF(R$3:R$62,"&gt;"&amp;R8)&lt;3)),R8,"")</f>
        <v>120.09984099</v>
      </c>
      <c r="V8" s="1">
        <f>IF(COUNT(H8:L8)&lt;3,SUM(H8:L8),SMALL(H8:L8,1)+SMALL(H8:L8,2))</f>
        <v>2</v>
      </c>
      <c r="W8" s="1">
        <f>COUNTIF(H8:L8,"&lt;=8")</f>
        <v>4</v>
      </c>
      <c r="X8" s="1">
        <f>MIN(H8:L8)</f>
        <v>1</v>
      </c>
      <c r="Y8" s="1"/>
      <c r="Z8" s="2" t="str">
        <f>IF(OR(R8=R7,R8=R9),"P","")</f>
        <v/>
      </c>
    </row>
    <row r="9" spans="1:32" x14ac:dyDescent="0.2">
      <c r="A9" s="7" t="s">
        <v>152</v>
      </c>
      <c r="B9" s="6" t="s">
        <v>151</v>
      </c>
      <c r="C9" s="6" t="str">
        <f>IF(A9="","",VLOOKUP(B9,'Continental Affiliation'!A:B,2,0))</f>
        <v>Europe</v>
      </c>
      <c r="G9" s="3">
        <f>IF(U9="","",RANK(U9,U:U)+COUNTIF(D:E,"P"))</f>
        <v>7</v>
      </c>
      <c r="H9" s="6" t="s">
        <v>143</v>
      </c>
      <c r="I9" s="6" t="s">
        <v>143</v>
      </c>
      <c r="J9" s="6" t="s">
        <v>143</v>
      </c>
      <c r="K9" s="6">
        <v>3</v>
      </c>
      <c r="L9" s="6">
        <v>3</v>
      </c>
      <c r="M9" s="1" t="str">
        <f>IF(OR(H9="",H9&gt;30),"",IF(H9=1,60,IF(H9=2,55,IF(H9=3,50,IF(H9=4,44,IF(H9=5,38,IF(H9=6,32,IF(H9=7,28,IF(H9=8,25,IF(H9=9,22,IF(H9=10,21,IF(H9=11,20,IF(H9=12,19,IF(H9=13,18,IF(H9=14,17,IF(H9=15,16,IF(H9=16,15,IF(H9=17,14,IF(H9=18,13,IF(H9=19,12,IF(H9=20,11,IF(H9=21,10,IF(H9=22,9,IF(H9=23,8,IF(H9=24,7,IF(H9=25,6,IF(H9=26,5,IF(H9=27,4,IF(H9=28,3,IF(H9=29,2,IF(H9=30,1)))))))))))))))))))))))))))))))</f>
        <v/>
      </c>
      <c r="N9" s="1" t="str">
        <f>IF(OR(I9="",I9&gt;30),"",IF(I9=1,60,IF(I9=2,55,IF(I9=3,50,IF(I9=4,44,IF(I9=5,38,IF(I9=6,32,IF(I9=7,28,IF(I9=8,25,IF(I9=9,22,IF(I9=10,21,IF(I9=11,20,IF(I9=12,19,IF(I9=13,18,IF(I9=14,17,IF(I9=15,16,IF(I9=16,15,IF(I9=17,14,IF(I9=18,13,IF(I9=19,12,IF(I9=20,11,IF(I9=21,10,IF(I9=22,9,IF(I9=23,8,IF(I9=24,7,IF(I9=25,6,IF(I9=26,5,IF(I9=27,4,IF(I9=28,3,IF(I9=29,2,IF(I9=30,1)))))))))))))))))))))))))))))))</f>
        <v/>
      </c>
      <c r="O9" s="1" t="str">
        <f>IF(OR(J9="",J9&gt;30),"",IF(J9=1,60,IF(J9=2,55,IF(J9=3,50,IF(J9=4,44,IF(J9=5,38,IF(J9=6,32,IF(J9=7,28,IF(J9=8,25,IF(J9=9,22,IF(J9=10,21,IF(J9=11,20,IF(J9=12,19,IF(J9=13,18,IF(J9=14,17,IF(J9=15,16,IF(J9=16,15,IF(J9=17,14,IF(J9=18,13,IF(J9=19,12,IF(J9=20,11,IF(J9=21,10,IF(J9=22,9,IF(J9=23,8,IF(J9=24,7,IF(J9=25,6,IF(J9=26,5,IF(J9=27,4,IF(J9=28,3,IF(J9=29,2,IF(J9=30,1)))))))))))))))))))))))))))))))</f>
        <v/>
      </c>
      <c r="P9" s="1">
        <f>IF(OR(K9="",K9&gt;30),"",IF(K9=1,60,IF(K9=2,55,IF(K9=3,50,IF(K9=4,44,IF(K9=5,38,IF(K9=6,32,IF(K9=7,28,IF(K9=8,25,IF(K9=9,22,IF(K9=10,21,IF(K9=11,20,IF(K9=12,19,IF(K9=13,18,IF(K9=14,17,IF(K9=15,16,IF(K9=16,15,IF(K9=17,14,IF(K9=18,13,IF(K9=19,12,IF(K9=20,11,IF(K9=21,10,IF(K9=22,9,IF(K9=23,8,IF(K9=24,7,IF(K9=25,6,IF(K9=26,5,IF(K9=27,4,IF(K9=28,3,IF(K9=29,2,IF(K9=30,1)))))))))))))))))))))))))))))))</f>
        <v>50</v>
      </c>
      <c r="Q9" s="1">
        <f>IF(OR(L9="",L9&gt;30),"",IF(L9=1,60,IF(L9=2,55,IF(L9=3,50,IF(L9=4,44,IF(L9=5,38,IF(L9=6,32,IF(L9=7,28,IF(L9=8,25,IF(L9=9,22,IF(L9=10,21,IF(L9=11,20,IF(L9=12,19,IF(L9=13,18,IF(L9=14,17,IF(L9=15,16,IF(L9=16,15,IF(L9=17,14,IF(L9=18,13,IF(L9=19,12,IF(L9=20,11,IF(L9=21,10,IF(L9=22,9,IF(L9=23,8,IF(L9=24,7,IF(L9=25,6,IF(L9=26,5,IF(L9=27,4,IF(L9=28,3,IF(L9=29,2,IF(L9=30,1)))))))))))))))))))))))))))))))</f>
        <v>50</v>
      </c>
      <c r="R9" s="12">
        <f>IF(A9="","",IF(OR(D9="P",E9="P"),"",IF(COUNT(M9:Q9)&lt;3,SUM(M9:Q9),LARGE(M9:Q9,1)+LARGE(M9:Q9,2))+(1000-V9)*10^-4+W9*10^-5+(100-X9)*10^-8+Y9*10^-10))</f>
        <v>100.09942097000001</v>
      </c>
      <c r="S9" s="2" t="str" cm="1">
        <f t="array" ref="S9">IF(OR(R9="",R9=0),"",IF(SUMPRODUCT(--(B$3:B$62=B9),--(R$3:R$62&gt;R9),--(R$3:R$62&lt;&gt;"")),"","P"))</f>
        <v>P</v>
      </c>
      <c r="T9" s="2" t="str" cm="1">
        <f t="array" ref="T9">IF(R9="","",IF(SUMPRODUCT(--(D$3:D$62="P"),--(B$3:B$62=B9)),"P",""))</f>
        <v/>
      </c>
      <c r="U9" s="12">
        <f>IF(AND(S9&lt;&gt;"",OR(T9="",COUNTIF(R$3:R$62,"&gt;"&amp;R9)&lt;3)),R9,"")</f>
        <v>100.09942097000001</v>
      </c>
      <c r="V9" s="1">
        <f>IF(COUNT(H9:L9)&lt;3,SUM(H9:L9),SMALL(H9:L9,1)+SMALL(H9:L9,2))</f>
        <v>6</v>
      </c>
      <c r="W9" s="1">
        <f>COUNTIF(H9:L9,"&lt;=8")</f>
        <v>2</v>
      </c>
      <c r="X9" s="1">
        <f>MIN(H9:L9)</f>
        <v>3</v>
      </c>
      <c r="Y9" s="1"/>
      <c r="Z9" s="2" t="str">
        <f>IF(OR(R9=R8,R9=R17),"P","")</f>
        <v/>
      </c>
    </row>
    <row r="10" spans="1:32" x14ac:dyDescent="0.2">
      <c r="A10" s="7" t="s">
        <v>34</v>
      </c>
      <c r="B10" s="6" t="s">
        <v>24</v>
      </c>
      <c r="C10" s="6" t="str">
        <f>IF(A10="","",VLOOKUP(B10,'Continental Affiliation'!A:B,2,0))</f>
        <v>Oceana</v>
      </c>
      <c r="G10" s="3">
        <f>IF(U10="","",RANK(U10,U:U)+COUNTIF(D:E,"P"))</f>
        <v>8</v>
      </c>
      <c r="H10" s="6">
        <v>5</v>
      </c>
      <c r="I10" s="6">
        <v>2</v>
      </c>
      <c r="J10" s="6">
        <v>19</v>
      </c>
      <c r="K10" s="6">
        <v>10</v>
      </c>
      <c r="L10" s="6">
        <v>4</v>
      </c>
      <c r="M10" s="1">
        <f>IF(OR(H10="",H10&gt;30),"",IF(H10=1,60,IF(H10=2,55,IF(H10=3,50,IF(H10=4,44,IF(H10=5,38,IF(H10=6,32,IF(H10=7,28,IF(H10=8,25,IF(H10=9,22,IF(H10=10,21,IF(H10=11,20,IF(H10=12,19,IF(H10=13,18,IF(H10=14,17,IF(H10=15,16,IF(H10=16,15,IF(H10=17,14,IF(H10=18,13,IF(H10=19,12,IF(H10=20,11,IF(H10=21,10,IF(H10=22,9,IF(H10=23,8,IF(H10=24,7,IF(H10=25,6,IF(H10=26,5,IF(H10=27,4,IF(H10=28,3,IF(H10=29,2,IF(H10=30,1)))))))))))))))))))))))))))))))</f>
        <v>38</v>
      </c>
      <c r="N10" s="1">
        <f>IF(OR(I10="",I10&gt;30),"",IF(I10=1,60,IF(I10=2,55,IF(I10=3,50,IF(I10=4,44,IF(I10=5,38,IF(I10=6,32,IF(I10=7,28,IF(I10=8,25,IF(I10=9,22,IF(I10=10,21,IF(I10=11,20,IF(I10=12,19,IF(I10=13,18,IF(I10=14,17,IF(I10=15,16,IF(I10=16,15,IF(I10=17,14,IF(I10=18,13,IF(I10=19,12,IF(I10=20,11,IF(I10=21,10,IF(I10=22,9,IF(I10=23,8,IF(I10=24,7,IF(I10=25,6,IF(I10=26,5,IF(I10=27,4,IF(I10=28,3,IF(I10=29,2,IF(I10=30,1)))))))))))))))))))))))))))))))</f>
        <v>55</v>
      </c>
      <c r="O10" s="1">
        <f>IF(OR(J10="",J10&gt;30),"",IF(J10=1,60,IF(J10=2,55,IF(J10=3,50,IF(J10=4,44,IF(J10=5,38,IF(J10=6,32,IF(J10=7,28,IF(J10=8,25,IF(J10=9,22,IF(J10=10,21,IF(J10=11,20,IF(J10=12,19,IF(J10=13,18,IF(J10=14,17,IF(J10=15,16,IF(J10=16,15,IF(J10=17,14,IF(J10=18,13,IF(J10=19,12,IF(J10=20,11,IF(J10=21,10,IF(J10=22,9,IF(J10=23,8,IF(J10=24,7,IF(J10=25,6,IF(J10=26,5,IF(J10=27,4,IF(J10=28,3,IF(J10=29,2,IF(J10=30,1)))))))))))))))))))))))))))))))</f>
        <v>12</v>
      </c>
      <c r="P10" s="1">
        <f>IF(OR(K10="",K10&gt;30),"",IF(K10=1,60,IF(K10=2,55,IF(K10=3,50,IF(K10=4,44,IF(K10=5,38,IF(K10=6,32,IF(K10=7,28,IF(K10=8,25,IF(K10=9,22,IF(K10=10,21,IF(K10=11,20,IF(K10=12,19,IF(K10=13,18,IF(K10=14,17,IF(K10=15,16,IF(K10=16,15,IF(K10=17,14,IF(K10=18,13,IF(K10=19,12,IF(K10=20,11,IF(K10=21,10,IF(K10=22,9,IF(K10=23,8,IF(K10=24,7,IF(K10=25,6,IF(K10=26,5,IF(K10=27,4,IF(K10=28,3,IF(K10=29,2,IF(K10=30,1)))))))))))))))))))))))))))))))</f>
        <v>21</v>
      </c>
      <c r="Q10" s="1">
        <f>IF(OR(L10="",L10&gt;30),"",IF(L10=1,60,IF(L10=2,55,IF(L10=3,50,IF(L10=4,44,IF(L10=5,38,IF(L10=6,32,IF(L10=7,28,IF(L10=8,25,IF(L10=9,22,IF(L10=10,21,IF(L10=11,20,IF(L10=12,19,IF(L10=13,18,IF(L10=14,17,IF(L10=15,16,IF(L10=16,15,IF(L10=17,14,IF(L10=18,13,IF(L10=19,12,IF(L10=20,11,IF(L10=21,10,IF(L10=22,9,IF(L10=23,8,IF(L10=24,7,IF(L10=25,6,IF(L10=26,5,IF(L10=27,4,IF(L10=28,3,IF(L10=29,2,IF(L10=30,1)))))))))))))))))))))))))))))))</f>
        <v>44</v>
      </c>
      <c r="R10" s="12">
        <f>IF(A10="","",IF(OR(D10="P",E10="P"),"",IF(COUNT(M10:Q10)&lt;3,SUM(M10:Q10),LARGE(M10:Q10,1)+LARGE(M10:Q10,2))+(1000-V10)*10^-4+W10*10^-5+(100-X10)*10^-8+Y10*10^-10))</f>
        <v>99.099430979999994</v>
      </c>
      <c r="S10" s="2" t="str">
        <f>IF(OR(R10="",R10=0),"",IF(SUMPRODUCT(--(B$3:B$62=B10),--(R$3:R$62&gt;R10),--(R$3:R$62&lt;&gt;"")),"","P"))</f>
        <v>P</v>
      </c>
      <c r="T10" s="2" t="str" cm="1">
        <f t="array" ref="T10">IF(R10="","",IF(SUMPRODUCT(--(D$3:D$62="P"),--(B$3:B$62=B10)),"P",""))</f>
        <v/>
      </c>
      <c r="U10" s="12">
        <f>IF(AND(S10&lt;&gt;"",OR(T10="",COUNTIF(R$3:R$62,"&gt;"&amp;R10)&lt;3)),R10,"")</f>
        <v>99.099430979999994</v>
      </c>
      <c r="V10" s="1">
        <f>IF(COUNT(H10:L10)&lt;3,SUM(H10:L10),SMALL(H10:L10,1)+SMALL(H10:L10,2))</f>
        <v>6</v>
      </c>
      <c r="W10" s="1">
        <f>COUNTIF(H10:L10,"&lt;=8")</f>
        <v>3</v>
      </c>
      <c r="X10" s="1">
        <f>MIN(H10:L10)</f>
        <v>2</v>
      </c>
      <c r="Y10" s="1"/>
      <c r="Z10" s="2" t="str">
        <f>IF(OR(R10=R9,R10=R11),"P","")</f>
        <v/>
      </c>
    </row>
    <row r="11" spans="1:32" x14ac:dyDescent="0.2">
      <c r="A11" s="7" t="s">
        <v>56</v>
      </c>
      <c r="B11" s="6" t="s">
        <v>11</v>
      </c>
      <c r="C11" s="6" t="str">
        <f>IF(A11="","",VLOOKUP(B11,'Continental Affiliation'!A:B,2,0))</f>
        <v>Europe</v>
      </c>
      <c r="G11" s="3">
        <f>IF(U11="","",RANK(U11,U:U)+COUNTIF(D:E,"P"))</f>
        <v>9</v>
      </c>
      <c r="H11" s="6">
        <v>13</v>
      </c>
      <c r="I11" s="6">
        <v>6</v>
      </c>
      <c r="J11" s="6">
        <v>4</v>
      </c>
      <c r="K11" s="6">
        <v>18</v>
      </c>
      <c r="L11" s="6">
        <v>12</v>
      </c>
      <c r="M11" s="1">
        <f>IF(OR(H11="",H11&gt;30),"",IF(H11=1,60,IF(H11=2,55,IF(H11=3,50,IF(H11=4,44,IF(H11=5,38,IF(H11=6,32,IF(H11=7,28,IF(H11=8,25,IF(H11=9,22,IF(H11=10,21,IF(H11=11,20,IF(H11=12,19,IF(H11=13,18,IF(H11=14,17,IF(H11=15,16,IF(H11=16,15,IF(H11=17,14,IF(H11=18,13,IF(H11=19,12,IF(H11=20,11,IF(H11=21,10,IF(H11=22,9,IF(H11=23,8,IF(H11=24,7,IF(H11=25,6,IF(H11=26,5,IF(H11=27,4,IF(H11=28,3,IF(H11=29,2,IF(H11=30,1)))))))))))))))))))))))))))))))</f>
        <v>18</v>
      </c>
      <c r="N11" s="1">
        <f>IF(OR(I11="",I11&gt;30),"",IF(I11=1,60,IF(I11=2,55,IF(I11=3,50,IF(I11=4,44,IF(I11=5,38,IF(I11=6,32,IF(I11=7,28,IF(I11=8,25,IF(I11=9,22,IF(I11=10,21,IF(I11=11,20,IF(I11=12,19,IF(I11=13,18,IF(I11=14,17,IF(I11=15,16,IF(I11=16,15,IF(I11=17,14,IF(I11=18,13,IF(I11=19,12,IF(I11=20,11,IF(I11=21,10,IF(I11=22,9,IF(I11=23,8,IF(I11=24,7,IF(I11=25,6,IF(I11=26,5,IF(I11=27,4,IF(I11=28,3,IF(I11=29,2,IF(I11=30,1)))))))))))))))))))))))))))))))</f>
        <v>32</v>
      </c>
      <c r="O11" s="1">
        <f>IF(OR(J11="",J11&gt;30),"",IF(J11=1,60,IF(J11=2,55,IF(J11=3,50,IF(J11=4,44,IF(J11=5,38,IF(J11=6,32,IF(J11=7,28,IF(J11=8,25,IF(J11=9,22,IF(J11=10,21,IF(J11=11,20,IF(J11=12,19,IF(J11=13,18,IF(J11=14,17,IF(J11=15,16,IF(J11=16,15,IF(J11=17,14,IF(J11=18,13,IF(J11=19,12,IF(J11=20,11,IF(J11=21,10,IF(J11=22,9,IF(J11=23,8,IF(J11=24,7,IF(J11=25,6,IF(J11=26,5,IF(J11=27,4,IF(J11=28,3,IF(J11=29,2,IF(J11=30,1)))))))))))))))))))))))))))))))</f>
        <v>44</v>
      </c>
      <c r="P11" s="1">
        <f>IF(OR(K11="",K11&gt;30),"",IF(K11=1,60,IF(K11=2,55,IF(K11=3,50,IF(K11=4,44,IF(K11=5,38,IF(K11=6,32,IF(K11=7,28,IF(K11=8,25,IF(K11=9,22,IF(K11=10,21,IF(K11=11,20,IF(K11=12,19,IF(K11=13,18,IF(K11=14,17,IF(K11=15,16,IF(K11=16,15,IF(K11=17,14,IF(K11=18,13,IF(K11=19,12,IF(K11=20,11,IF(K11=21,10,IF(K11=22,9,IF(K11=23,8,IF(K11=24,7,IF(K11=25,6,IF(K11=26,5,IF(K11=27,4,IF(K11=28,3,IF(K11=29,2,IF(K11=30,1)))))))))))))))))))))))))))))))</f>
        <v>13</v>
      </c>
      <c r="Q11" s="1">
        <f>IF(OR(L11="",L11&gt;30),"",IF(L11=1,60,IF(L11=2,55,IF(L11=3,50,IF(L11=4,44,IF(L11=5,38,IF(L11=6,32,IF(L11=7,28,IF(L11=8,25,IF(L11=9,22,IF(L11=10,21,IF(L11=11,20,IF(L11=12,19,IF(L11=13,18,IF(L11=14,17,IF(L11=15,16,IF(L11=16,15,IF(L11=17,14,IF(L11=18,13,IF(L11=19,12,IF(L11=20,11,IF(L11=21,10,IF(L11=22,9,IF(L11=23,8,IF(L11=24,7,IF(L11=25,6,IF(L11=26,5,IF(L11=27,4,IF(L11=28,3,IF(L11=29,2,IF(L11=30,1)))))))))))))))))))))))))))))))</f>
        <v>19</v>
      </c>
      <c r="R11" s="12">
        <f>IF(A11="","",IF(OR(D11="P",E11="P"),"",IF(COUNT(M11:Q11)&lt;3,SUM(M11:Q11),LARGE(M11:Q11,1)+LARGE(M11:Q11,2))+(1000-V11)*10^-4+W11*10^-5+(100-X11)*10^-8+Y11*10^-10))</f>
        <v>76.099020960000004</v>
      </c>
      <c r="S11" s="2" t="str">
        <f>IF(OR(R11="",R11=0),"",IF(SUMPRODUCT(--(B$3:B$62=B11),--(R$3:R$62&gt;R11),--(R$3:R$62&lt;&gt;"")),"","P"))</f>
        <v>P</v>
      </c>
      <c r="T11" s="2" t="str" cm="1">
        <f t="array" ref="T11">IF(R11="","",IF(SUMPRODUCT(--(D$3:D$62="P"),--(B$3:B$62=B11)),"P",""))</f>
        <v/>
      </c>
      <c r="U11" s="12">
        <f>IF(AND(S11&lt;&gt;"",OR(T11="",COUNTIF(R$3:R$62,"&gt;"&amp;R11)&lt;3)),R11,"")</f>
        <v>76.099020960000004</v>
      </c>
      <c r="V11" s="1">
        <f>IF(COUNT(H11:L11)&lt;3,SUM(H11:L11),SMALL(H11:L11,1)+SMALL(H11:L11,2))</f>
        <v>10</v>
      </c>
      <c r="W11" s="1">
        <f>COUNTIF(H11:L11,"&lt;=8")</f>
        <v>2</v>
      </c>
      <c r="X11" s="1">
        <f>MIN(H11:L11)</f>
        <v>4</v>
      </c>
      <c r="Y11" s="1"/>
      <c r="Z11" s="2" t="str">
        <f>IF(OR(R11=R10,R11=R12),"P","")</f>
        <v/>
      </c>
    </row>
    <row r="12" spans="1:32" x14ac:dyDescent="0.2">
      <c r="A12" s="7" t="s">
        <v>81</v>
      </c>
      <c r="B12" s="6" t="s">
        <v>13</v>
      </c>
      <c r="C12" s="6" t="str">
        <f>IF(A12="","",VLOOKUP(B12,'Continental Affiliation'!A:B,2,0))</f>
        <v>Europe</v>
      </c>
      <c r="G12" s="3" t="str">
        <f>IF(U12="","",RANK(U12,U:U)+COUNTIF(D:E,"P"))</f>
        <v/>
      </c>
      <c r="H12" s="6">
        <v>6</v>
      </c>
      <c r="I12" s="6">
        <v>12</v>
      </c>
      <c r="J12" s="6">
        <v>7</v>
      </c>
      <c r="K12" s="6">
        <v>5</v>
      </c>
      <c r="L12" s="6">
        <v>41</v>
      </c>
      <c r="M12" s="1">
        <f>IF(OR(H12="",H12&gt;30),"",IF(H12=1,60,IF(H12=2,55,IF(H12=3,50,IF(H12=4,44,IF(H12=5,38,IF(H12=6,32,IF(H12=7,28,IF(H12=8,25,IF(H12=9,22,IF(H12=10,21,IF(H12=11,20,IF(H12=12,19,IF(H12=13,18,IF(H12=14,17,IF(H12=15,16,IF(H12=16,15,IF(H12=17,14,IF(H12=18,13,IF(H12=19,12,IF(H12=20,11,IF(H12=21,10,IF(H12=22,9,IF(H12=23,8,IF(H12=24,7,IF(H12=25,6,IF(H12=26,5,IF(H12=27,4,IF(H12=28,3,IF(H12=29,2,IF(H12=30,1)))))))))))))))))))))))))))))))</f>
        <v>32</v>
      </c>
      <c r="N12" s="1">
        <f>IF(OR(I12="",I12&gt;30),"",IF(I12=1,60,IF(I12=2,55,IF(I12=3,50,IF(I12=4,44,IF(I12=5,38,IF(I12=6,32,IF(I12=7,28,IF(I12=8,25,IF(I12=9,22,IF(I12=10,21,IF(I12=11,20,IF(I12=12,19,IF(I12=13,18,IF(I12=14,17,IF(I12=15,16,IF(I12=16,15,IF(I12=17,14,IF(I12=18,13,IF(I12=19,12,IF(I12=20,11,IF(I12=21,10,IF(I12=22,9,IF(I12=23,8,IF(I12=24,7,IF(I12=25,6,IF(I12=26,5,IF(I12=27,4,IF(I12=28,3,IF(I12=29,2,IF(I12=30,1)))))))))))))))))))))))))))))))</f>
        <v>19</v>
      </c>
      <c r="O12" s="1">
        <f>IF(OR(J12="",J12&gt;30),"",IF(J12=1,60,IF(J12=2,55,IF(J12=3,50,IF(J12=4,44,IF(J12=5,38,IF(J12=6,32,IF(J12=7,28,IF(J12=8,25,IF(J12=9,22,IF(J12=10,21,IF(J12=11,20,IF(J12=12,19,IF(J12=13,18,IF(J12=14,17,IF(J12=15,16,IF(J12=16,15,IF(J12=17,14,IF(J12=18,13,IF(J12=19,12,IF(J12=20,11,IF(J12=21,10,IF(J12=22,9,IF(J12=23,8,IF(J12=24,7,IF(J12=25,6,IF(J12=26,5,IF(J12=27,4,IF(J12=28,3,IF(J12=29,2,IF(J12=30,1)))))))))))))))))))))))))))))))</f>
        <v>28</v>
      </c>
      <c r="P12" s="1">
        <f>IF(OR(K12="",K12&gt;30),"",IF(K12=1,60,IF(K12=2,55,IF(K12=3,50,IF(K12=4,44,IF(K12=5,38,IF(K12=6,32,IF(K12=7,28,IF(K12=8,25,IF(K12=9,22,IF(K12=10,21,IF(K12=11,20,IF(K12=12,19,IF(K12=13,18,IF(K12=14,17,IF(K12=15,16,IF(K12=16,15,IF(K12=17,14,IF(K12=18,13,IF(K12=19,12,IF(K12=20,11,IF(K12=21,10,IF(K12=22,9,IF(K12=23,8,IF(K12=24,7,IF(K12=25,6,IF(K12=26,5,IF(K12=27,4,IF(K12=28,3,IF(K12=29,2,IF(K12=30,1)))))))))))))))))))))))))))))))</f>
        <v>38</v>
      </c>
      <c r="Q12" s="1" t="str">
        <f>IF(OR(L12="",L12&gt;30),"",IF(L12=1,60,IF(L12=2,55,IF(L12=3,50,IF(L12=4,44,IF(L12=5,38,IF(L12=6,32,IF(L12=7,28,IF(L12=8,25,IF(L12=9,22,IF(L12=10,21,IF(L12=11,20,IF(L12=12,19,IF(L12=13,18,IF(L12=14,17,IF(L12=15,16,IF(L12=16,15,IF(L12=17,14,IF(L12=18,13,IF(L12=19,12,IF(L12=20,11,IF(L12=21,10,IF(L12=22,9,IF(L12=23,8,IF(L12=24,7,IF(L12=25,6,IF(L12=26,5,IF(L12=27,4,IF(L12=28,3,IF(L12=29,2,IF(L12=30,1)))))))))))))))))))))))))))))))</f>
        <v/>
      </c>
      <c r="R12" s="12">
        <f>IF(A12="","",IF(OR(D12="P",E12="P"),"",IF(COUNT(M12:Q12)&lt;3,SUM(M12:Q12),LARGE(M12:Q12,1)+LARGE(M12:Q12,2))+(1000-V12)*10^-4+W12*10^-5+(100-X12)*10^-8+Y12*10^-10))</f>
        <v>70.098930949999996</v>
      </c>
      <c r="S12" s="2" t="str">
        <f>IF(OR(R12="",R12=0),"",IF(SUMPRODUCT(--(B$3:B$62=B12),--(R$3:R$62&gt;R12),--(R$3:R$62&lt;&gt;"")),"","P"))</f>
        <v>P</v>
      </c>
      <c r="T12" s="2" t="str" cm="1">
        <f t="array" ref="T12">IF(R12="","",IF(SUMPRODUCT(--(D$3:D$62="P"),--(B$3:B$62=B12)),"P",""))</f>
        <v>P</v>
      </c>
      <c r="U12" s="12" t="str">
        <f>IF(AND(S12&lt;&gt;"",OR(T12="",COUNTIF(R$3:R$62,"&gt;"&amp;R12)&lt;3)),R12,"")</f>
        <v/>
      </c>
      <c r="V12" s="1">
        <f>IF(COUNT(H12:L12)&lt;3,SUM(H12:L12),SMALL(H12:L12,1)+SMALL(H12:L12,2))</f>
        <v>11</v>
      </c>
      <c r="W12" s="1">
        <f>COUNTIF(H12:L12,"&lt;=8")</f>
        <v>3</v>
      </c>
      <c r="X12" s="1">
        <f>MIN(H12:L12)</f>
        <v>5</v>
      </c>
      <c r="Y12" s="1"/>
      <c r="Z12" s="2" t="str">
        <f>IF(OR(R12=R11,R12=R13),"P","")</f>
        <v/>
      </c>
    </row>
    <row r="13" spans="1:32" x14ac:dyDescent="0.2">
      <c r="A13" s="7" t="s">
        <v>76</v>
      </c>
      <c r="B13" s="6" t="s">
        <v>11</v>
      </c>
      <c r="C13" s="6" t="str">
        <f>IF(A13="","",VLOOKUP(B13,'Continental Affiliation'!A:B,2,0))</f>
        <v>Europe</v>
      </c>
      <c r="G13" s="3" t="str">
        <f>IF(U13="","",RANK(U13,U:U)+COUNTIF(D:E,"P"))</f>
        <v/>
      </c>
      <c r="H13" s="6">
        <v>19</v>
      </c>
      <c r="I13" s="6">
        <v>14</v>
      </c>
      <c r="J13" s="6">
        <v>29</v>
      </c>
      <c r="K13" s="6">
        <v>4</v>
      </c>
      <c r="L13" s="6">
        <v>17</v>
      </c>
      <c r="M13" s="1">
        <f>IF(OR(H13="",H13&gt;30),"",IF(H13=1,60,IF(H13=2,55,IF(H13=3,50,IF(H13=4,44,IF(H13=5,38,IF(H13=6,32,IF(H13=7,28,IF(H13=8,25,IF(H13=9,22,IF(H13=10,21,IF(H13=11,20,IF(H13=12,19,IF(H13=13,18,IF(H13=14,17,IF(H13=15,16,IF(H13=16,15,IF(H13=17,14,IF(H13=18,13,IF(H13=19,12,IF(H13=20,11,IF(H13=21,10,IF(H13=22,9,IF(H13=23,8,IF(H13=24,7,IF(H13=25,6,IF(H13=26,5,IF(H13=27,4,IF(H13=28,3,IF(H13=29,2,IF(H13=30,1)))))))))))))))))))))))))))))))</f>
        <v>12</v>
      </c>
      <c r="N13" s="1">
        <f>IF(OR(I13="",I13&gt;30),"",IF(I13=1,60,IF(I13=2,55,IF(I13=3,50,IF(I13=4,44,IF(I13=5,38,IF(I13=6,32,IF(I13=7,28,IF(I13=8,25,IF(I13=9,22,IF(I13=10,21,IF(I13=11,20,IF(I13=12,19,IF(I13=13,18,IF(I13=14,17,IF(I13=15,16,IF(I13=16,15,IF(I13=17,14,IF(I13=18,13,IF(I13=19,12,IF(I13=20,11,IF(I13=21,10,IF(I13=22,9,IF(I13=23,8,IF(I13=24,7,IF(I13=25,6,IF(I13=26,5,IF(I13=27,4,IF(I13=28,3,IF(I13=29,2,IF(I13=30,1)))))))))))))))))))))))))))))))</f>
        <v>17</v>
      </c>
      <c r="O13" s="1">
        <f>IF(OR(J13="",J13&gt;30),"",IF(J13=1,60,IF(J13=2,55,IF(J13=3,50,IF(J13=4,44,IF(J13=5,38,IF(J13=6,32,IF(J13=7,28,IF(J13=8,25,IF(J13=9,22,IF(J13=10,21,IF(J13=11,20,IF(J13=12,19,IF(J13=13,18,IF(J13=14,17,IF(J13=15,16,IF(J13=16,15,IF(J13=17,14,IF(J13=18,13,IF(J13=19,12,IF(J13=20,11,IF(J13=21,10,IF(J13=22,9,IF(J13=23,8,IF(J13=24,7,IF(J13=25,6,IF(J13=26,5,IF(J13=27,4,IF(J13=28,3,IF(J13=29,2,IF(J13=30,1)))))))))))))))))))))))))))))))</f>
        <v>2</v>
      </c>
      <c r="P13" s="1">
        <f>IF(OR(K13="",K13&gt;30),"",IF(K13=1,60,IF(K13=2,55,IF(K13=3,50,IF(K13=4,44,IF(K13=5,38,IF(K13=6,32,IF(K13=7,28,IF(K13=8,25,IF(K13=9,22,IF(K13=10,21,IF(K13=11,20,IF(K13=12,19,IF(K13=13,18,IF(K13=14,17,IF(K13=15,16,IF(K13=16,15,IF(K13=17,14,IF(K13=18,13,IF(K13=19,12,IF(K13=20,11,IF(K13=21,10,IF(K13=22,9,IF(K13=23,8,IF(K13=24,7,IF(K13=25,6,IF(K13=26,5,IF(K13=27,4,IF(K13=28,3,IF(K13=29,2,IF(K13=30,1)))))))))))))))))))))))))))))))</f>
        <v>44</v>
      </c>
      <c r="Q13" s="1">
        <f>IF(OR(L13="",L13&gt;30),"",IF(L13=1,60,IF(L13=2,55,IF(L13=3,50,IF(L13=4,44,IF(L13=5,38,IF(L13=6,32,IF(L13=7,28,IF(L13=8,25,IF(L13=9,22,IF(L13=10,21,IF(L13=11,20,IF(L13=12,19,IF(L13=13,18,IF(L13=14,17,IF(L13=15,16,IF(L13=16,15,IF(L13=17,14,IF(L13=18,13,IF(L13=19,12,IF(L13=20,11,IF(L13=21,10,IF(L13=22,9,IF(L13=23,8,IF(L13=24,7,IF(L13=25,6,IF(L13=26,5,IF(L13=27,4,IF(L13=28,3,IF(L13=29,2,IF(L13=30,1)))))))))))))))))))))))))))))))</f>
        <v>14</v>
      </c>
      <c r="R13" s="12">
        <f>IF(A13="","",IF(OR(D13="P",E13="P"),"",IF(COUNT(M13:Q13)&lt;3,SUM(M13:Q13),LARGE(M13:Q13,1)+LARGE(M13:Q13,2))+(1000-V13)*10^-4+W13*10^-5+(100-X13)*10^-8+Y13*10^-10))</f>
        <v>61.098210960000003</v>
      </c>
      <c r="S13" s="2" t="str">
        <f>IF(OR(R13="",R13=0),"",IF(SUMPRODUCT(--(B$3:B$62=B13),--(R$3:R$62&gt;R13),--(R$3:R$62&lt;&gt;"")),"","P"))</f>
        <v/>
      </c>
      <c r="T13" s="2" t="str" cm="1">
        <f t="array" ref="T13">IF(R13="","",IF(SUMPRODUCT(--(D$3:D$62="P"),--(B$3:B$62=B13)),"P",""))</f>
        <v/>
      </c>
      <c r="U13" s="12" t="str">
        <f>IF(AND(S13&lt;&gt;"",OR(T13="",COUNTIF(R$3:R$62,"&gt;"&amp;R13)&lt;3)),R13,"")</f>
        <v/>
      </c>
      <c r="V13" s="1">
        <f>IF(COUNT(H13:L13)&lt;3,SUM(H13:L13),SMALL(H13:L13,1)+SMALL(H13:L13,2))</f>
        <v>18</v>
      </c>
      <c r="W13" s="1">
        <f>COUNTIF(H13:L13,"&lt;=8")</f>
        <v>1</v>
      </c>
      <c r="X13" s="1">
        <f>MIN(H13:L13)</f>
        <v>4</v>
      </c>
      <c r="Y13" s="1"/>
      <c r="Z13" s="2" t="str">
        <f>IF(OR(R13=R12,R13=R14),"P","")</f>
        <v/>
      </c>
    </row>
    <row r="14" spans="1:32" x14ac:dyDescent="0.2">
      <c r="A14" s="7" t="s">
        <v>38</v>
      </c>
      <c r="B14" s="6" t="s">
        <v>11</v>
      </c>
      <c r="C14" s="6" t="str">
        <f>IF(A14="","",VLOOKUP(B14,'Continental Affiliation'!A:B,2,0))</f>
        <v>Europe</v>
      </c>
      <c r="G14" s="3" t="str">
        <f>IF(U14="","",RANK(U14,U:U)+COUNTIF(D:E,"P"))</f>
        <v/>
      </c>
      <c r="H14" s="6">
        <v>3</v>
      </c>
      <c r="I14" s="6">
        <v>22</v>
      </c>
      <c r="J14" s="6">
        <v>23</v>
      </c>
      <c r="K14" s="6">
        <v>48</v>
      </c>
      <c r="L14" s="6">
        <v>20</v>
      </c>
      <c r="M14" s="1">
        <f>IF(OR(H14="",H14&gt;30),"",IF(H14=1,60,IF(H14=2,55,IF(H14=3,50,IF(H14=4,44,IF(H14=5,38,IF(H14=6,32,IF(H14=7,28,IF(H14=8,25,IF(H14=9,22,IF(H14=10,21,IF(H14=11,20,IF(H14=12,19,IF(H14=13,18,IF(H14=14,17,IF(H14=15,16,IF(H14=16,15,IF(H14=17,14,IF(H14=18,13,IF(H14=19,12,IF(H14=20,11,IF(H14=21,10,IF(H14=22,9,IF(H14=23,8,IF(H14=24,7,IF(H14=25,6,IF(H14=26,5,IF(H14=27,4,IF(H14=28,3,IF(H14=29,2,IF(H14=30,1)))))))))))))))))))))))))))))))</f>
        <v>50</v>
      </c>
      <c r="N14" s="1">
        <f>IF(OR(I14="",I14&gt;30),"",IF(I14=1,60,IF(I14=2,55,IF(I14=3,50,IF(I14=4,44,IF(I14=5,38,IF(I14=6,32,IF(I14=7,28,IF(I14=8,25,IF(I14=9,22,IF(I14=10,21,IF(I14=11,20,IF(I14=12,19,IF(I14=13,18,IF(I14=14,17,IF(I14=15,16,IF(I14=16,15,IF(I14=17,14,IF(I14=18,13,IF(I14=19,12,IF(I14=20,11,IF(I14=21,10,IF(I14=22,9,IF(I14=23,8,IF(I14=24,7,IF(I14=25,6,IF(I14=26,5,IF(I14=27,4,IF(I14=28,3,IF(I14=29,2,IF(I14=30,1)))))))))))))))))))))))))))))))</f>
        <v>9</v>
      </c>
      <c r="O14" s="1">
        <f>IF(OR(J14="",J14&gt;30),"",IF(J14=1,60,IF(J14=2,55,IF(J14=3,50,IF(J14=4,44,IF(J14=5,38,IF(J14=6,32,IF(J14=7,28,IF(J14=8,25,IF(J14=9,22,IF(J14=10,21,IF(J14=11,20,IF(J14=12,19,IF(J14=13,18,IF(J14=14,17,IF(J14=15,16,IF(J14=16,15,IF(J14=17,14,IF(J14=18,13,IF(J14=19,12,IF(J14=20,11,IF(J14=21,10,IF(J14=22,9,IF(J14=23,8,IF(J14=24,7,IF(J14=25,6,IF(J14=26,5,IF(J14=27,4,IF(J14=28,3,IF(J14=29,2,IF(J14=30,1)))))))))))))))))))))))))))))))</f>
        <v>8</v>
      </c>
      <c r="P14" s="1" t="str">
        <f>IF(OR(K14="",K14&gt;30),"",IF(K14=1,60,IF(K14=2,55,IF(K14=3,50,IF(K14=4,44,IF(K14=5,38,IF(K14=6,32,IF(K14=7,28,IF(K14=8,25,IF(K14=9,22,IF(K14=10,21,IF(K14=11,20,IF(K14=12,19,IF(K14=13,18,IF(K14=14,17,IF(K14=15,16,IF(K14=16,15,IF(K14=17,14,IF(K14=18,13,IF(K14=19,12,IF(K14=20,11,IF(K14=21,10,IF(K14=22,9,IF(K14=23,8,IF(K14=24,7,IF(K14=25,6,IF(K14=26,5,IF(K14=27,4,IF(K14=28,3,IF(K14=29,2,IF(K14=30,1)))))))))))))))))))))))))))))))</f>
        <v/>
      </c>
      <c r="Q14" s="1">
        <f>IF(OR(L14="",L14&gt;30),"",IF(L14=1,60,IF(L14=2,55,IF(L14=3,50,IF(L14=4,44,IF(L14=5,38,IF(L14=6,32,IF(L14=7,28,IF(L14=8,25,IF(L14=9,22,IF(L14=10,21,IF(L14=11,20,IF(L14=12,19,IF(L14=13,18,IF(L14=14,17,IF(L14=15,16,IF(L14=16,15,IF(L14=17,14,IF(L14=18,13,IF(L14=19,12,IF(L14=20,11,IF(L14=21,10,IF(L14=22,9,IF(L14=23,8,IF(L14=24,7,IF(L14=25,6,IF(L14=26,5,IF(L14=27,4,IF(L14=28,3,IF(L14=29,2,IF(L14=30,1)))))))))))))))))))))))))))))))</f>
        <v>11</v>
      </c>
      <c r="R14" s="12">
        <f>IF(A14="","",IF(OR(D14="P",E14="P"),"",IF(COUNT(M14:Q14)&lt;3,SUM(M14:Q14),LARGE(M14:Q14,1)+LARGE(M14:Q14,2))+(1000-V14)*10^-4+W14*10^-5+(100-X14)*10^-8+Y14*10^-10))</f>
        <v>61.097710970000009</v>
      </c>
      <c r="S14" s="2" t="str" cm="1">
        <f t="array" ref="S14">IF(OR(R14="",R14=0),"",IF(SUMPRODUCT(--(B$3:B$62=B14),--(R$3:R$62&gt;R14),--(R$3:R$62&lt;&gt;"")),"","P"))</f>
        <v/>
      </c>
      <c r="T14" s="2" t="str" cm="1">
        <f t="array" ref="T14">IF(R14="","",IF(SUMPRODUCT(--(D$3:D$62="P"),--(B$3:B$62=B14)),"P",""))</f>
        <v/>
      </c>
      <c r="U14" s="12" t="str">
        <f>IF(AND(S14&lt;&gt;"",OR(T14="",COUNTIF(R$3:R$62,"&gt;"&amp;R14)&lt;3)),R14,"")</f>
        <v/>
      </c>
      <c r="V14" s="1">
        <f>IF(COUNT(H14:L14)&lt;3,SUM(H14:L14),SMALL(H14:L14,1)+SMALL(H14:L14,2))</f>
        <v>23</v>
      </c>
      <c r="W14" s="1">
        <f>COUNTIF(H14:L14,"&lt;=8")</f>
        <v>1</v>
      </c>
      <c r="X14" s="1">
        <f>MIN(H14:L14)</f>
        <v>3</v>
      </c>
      <c r="Y14" s="1"/>
      <c r="Z14" s="2" t="str">
        <f>IF(OR(R14=R13,R14=R15),"P","")</f>
        <v/>
      </c>
    </row>
    <row r="15" spans="1:32" x14ac:dyDescent="0.2">
      <c r="A15" s="7" t="s">
        <v>118</v>
      </c>
      <c r="B15" s="6" t="s">
        <v>36</v>
      </c>
      <c r="C15" s="6" t="str">
        <f>IF(A15="","",VLOOKUP(B15,'Continental Affiliation'!A:B,2,0))</f>
        <v>Europe</v>
      </c>
      <c r="G15" s="3" t="str">
        <f>IF(U15="","",RANK(U15,U:U)+COUNTIF(D:E,"P"))</f>
        <v/>
      </c>
      <c r="H15" s="6">
        <v>7</v>
      </c>
      <c r="I15" s="6">
        <v>8</v>
      </c>
      <c r="J15" s="6">
        <v>10</v>
      </c>
      <c r="K15" s="6">
        <v>7</v>
      </c>
      <c r="L15" s="6">
        <v>6</v>
      </c>
      <c r="M15" s="1">
        <f>IF(OR(H15="",H15&gt;30),"",IF(H15=1,60,IF(H15=2,55,IF(H15=3,50,IF(H15=4,44,IF(H15=5,38,IF(H15=6,32,IF(H15=7,28,IF(H15=8,25,IF(H15=9,22,IF(H15=10,21,IF(H15=11,20,IF(H15=12,19,IF(H15=13,18,IF(H15=14,17,IF(H15=15,16,IF(H15=16,15,IF(H15=17,14,IF(H15=18,13,IF(H15=19,12,IF(H15=20,11,IF(H15=21,10,IF(H15=22,9,IF(H15=23,8,IF(H15=24,7,IF(H15=25,6,IF(H15=26,5,IF(H15=27,4,IF(H15=28,3,IF(H15=29,2,IF(H15=30,1)))))))))))))))))))))))))))))))</f>
        <v>28</v>
      </c>
      <c r="N15" s="1">
        <f>IF(OR(I15="",I15&gt;30),"",IF(I15=1,60,IF(I15=2,55,IF(I15=3,50,IF(I15=4,44,IF(I15=5,38,IF(I15=6,32,IF(I15=7,28,IF(I15=8,25,IF(I15=9,22,IF(I15=10,21,IF(I15=11,20,IF(I15=12,19,IF(I15=13,18,IF(I15=14,17,IF(I15=15,16,IF(I15=16,15,IF(I15=17,14,IF(I15=18,13,IF(I15=19,12,IF(I15=20,11,IF(I15=21,10,IF(I15=22,9,IF(I15=23,8,IF(I15=24,7,IF(I15=25,6,IF(I15=26,5,IF(I15=27,4,IF(I15=28,3,IF(I15=29,2,IF(I15=30,1)))))))))))))))))))))))))))))))</f>
        <v>25</v>
      </c>
      <c r="O15" s="1">
        <f>IF(OR(J15="",J15&gt;30),"",IF(J15=1,60,IF(J15=2,55,IF(J15=3,50,IF(J15=4,44,IF(J15=5,38,IF(J15=6,32,IF(J15=7,28,IF(J15=8,25,IF(J15=9,22,IF(J15=10,21,IF(J15=11,20,IF(J15=12,19,IF(J15=13,18,IF(J15=14,17,IF(J15=15,16,IF(J15=16,15,IF(J15=17,14,IF(J15=18,13,IF(J15=19,12,IF(J15=20,11,IF(J15=21,10,IF(J15=22,9,IF(J15=23,8,IF(J15=24,7,IF(J15=25,6,IF(J15=26,5,IF(J15=27,4,IF(J15=28,3,IF(J15=29,2,IF(J15=30,1)))))))))))))))))))))))))))))))</f>
        <v>21</v>
      </c>
      <c r="P15" s="1">
        <f>IF(OR(K15="",K15&gt;30),"",IF(K15=1,60,IF(K15=2,55,IF(K15=3,50,IF(K15=4,44,IF(K15=5,38,IF(K15=6,32,IF(K15=7,28,IF(K15=8,25,IF(K15=9,22,IF(K15=10,21,IF(K15=11,20,IF(K15=12,19,IF(K15=13,18,IF(K15=14,17,IF(K15=15,16,IF(K15=16,15,IF(K15=17,14,IF(K15=18,13,IF(K15=19,12,IF(K15=20,11,IF(K15=21,10,IF(K15=22,9,IF(K15=23,8,IF(K15=24,7,IF(K15=25,6,IF(K15=26,5,IF(K15=27,4,IF(K15=28,3,IF(K15=29,2,IF(K15=30,1)))))))))))))))))))))))))))))))</f>
        <v>28</v>
      </c>
      <c r="Q15" s="1">
        <f>IF(OR(L15="",L15&gt;30),"",IF(L15=1,60,IF(L15=2,55,IF(L15=3,50,IF(L15=4,44,IF(L15=5,38,IF(L15=6,32,IF(L15=7,28,IF(L15=8,25,IF(L15=9,22,IF(L15=10,21,IF(L15=11,20,IF(L15=12,19,IF(L15=13,18,IF(L15=14,17,IF(L15=15,16,IF(L15=16,15,IF(L15=17,14,IF(L15=18,13,IF(L15=19,12,IF(L15=20,11,IF(L15=21,10,IF(L15=22,9,IF(L15=23,8,IF(L15=24,7,IF(L15=25,6,IF(L15=26,5,IF(L15=27,4,IF(L15=28,3,IF(L15=29,2,IF(L15=30,1)))))))))))))))))))))))))))))))</f>
        <v>32</v>
      </c>
      <c r="R15" s="12">
        <f>IF(A15="","",IF(OR(D15="P",E15="P"),"",IF(COUNT(M15:Q15)&lt;3,SUM(M15:Q15),LARGE(M15:Q15,1)+LARGE(M15:Q15,2))+(1000-V15)*10^-4+W15*10^-5+(100-X15)*10^-8+Y15*10^-10))</f>
        <v>60.098740939999999</v>
      </c>
      <c r="S15" s="2" t="str">
        <f>IF(OR(R15="",R15=0),"",IF(SUMPRODUCT(--(B$3:B$62=B15),--(R$3:R$62&gt;R15),--(R$3:R$62&lt;&gt;"")),"","P"))</f>
        <v>P</v>
      </c>
      <c r="T15" s="2" t="str" cm="1">
        <f t="array" ref="T15">IF(R15="","",IF(SUMPRODUCT(--(D$3:D$62="P"),--(B$3:B$62=B15)),"P",""))</f>
        <v>P</v>
      </c>
      <c r="U15" s="12" t="str">
        <f>IF(AND(S15&lt;&gt;"",OR(T15="",COUNTIF(R$3:R$62,"&gt;"&amp;R15)&lt;3)),R15,"")</f>
        <v/>
      </c>
      <c r="V15" s="1">
        <f>IF(COUNT(H15:L15)&lt;3,SUM(H15:L15),SMALL(H15:L15,1)+SMALL(H15:L15,2))</f>
        <v>13</v>
      </c>
      <c r="W15" s="1">
        <f>COUNTIF(H15:L15,"&lt;=8")</f>
        <v>4</v>
      </c>
      <c r="X15" s="1">
        <f>MIN(H15:L15)</f>
        <v>6</v>
      </c>
      <c r="Y15" s="1"/>
      <c r="Z15" s="2" t="str">
        <f>IF(OR(R15=R14,R15=R16),"P","")</f>
        <v/>
      </c>
    </row>
    <row r="16" spans="1:32" x14ac:dyDescent="0.2">
      <c r="A16" s="7" t="s">
        <v>53</v>
      </c>
      <c r="B16" s="6" t="s">
        <v>36</v>
      </c>
      <c r="C16" s="6" t="str">
        <f>IF(A16="","",VLOOKUP(B16,'Continental Affiliation'!A:B,2,0))</f>
        <v>Europe</v>
      </c>
      <c r="G16" s="3" t="str">
        <f>IF(U16="","",RANK(U16,U:U)+COUNTIF(D:E,"P"))</f>
        <v/>
      </c>
      <c r="H16" s="6">
        <v>4</v>
      </c>
      <c r="I16" s="6">
        <v>17</v>
      </c>
      <c r="J16" s="6">
        <v>24</v>
      </c>
      <c r="K16" s="6">
        <v>28</v>
      </c>
      <c r="L16" s="6">
        <v>23</v>
      </c>
      <c r="M16" s="1">
        <f>IF(OR(H16="",H16&gt;30),"",IF(H16=1,60,IF(H16=2,55,IF(H16=3,50,IF(H16=4,44,IF(H16=5,38,IF(H16=6,32,IF(H16=7,28,IF(H16=8,25,IF(H16=9,22,IF(H16=10,21,IF(H16=11,20,IF(H16=12,19,IF(H16=13,18,IF(H16=14,17,IF(H16=15,16,IF(H16=16,15,IF(H16=17,14,IF(H16=18,13,IF(H16=19,12,IF(H16=20,11,IF(H16=21,10,IF(H16=22,9,IF(H16=23,8,IF(H16=24,7,IF(H16=25,6,IF(H16=26,5,IF(H16=27,4,IF(H16=28,3,IF(H16=29,2,IF(H16=30,1)))))))))))))))))))))))))))))))</f>
        <v>44</v>
      </c>
      <c r="N16" s="1">
        <f>IF(OR(I16="",I16&gt;30),"",IF(I16=1,60,IF(I16=2,55,IF(I16=3,50,IF(I16=4,44,IF(I16=5,38,IF(I16=6,32,IF(I16=7,28,IF(I16=8,25,IF(I16=9,22,IF(I16=10,21,IF(I16=11,20,IF(I16=12,19,IF(I16=13,18,IF(I16=14,17,IF(I16=15,16,IF(I16=16,15,IF(I16=17,14,IF(I16=18,13,IF(I16=19,12,IF(I16=20,11,IF(I16=21,10,IF(I16=22,9,IF(I16=23,8,IF(I16=24,7,IF(I16=25,6,IF(I16=26,5,IF(I16=27,4,IF(I16=28,3,IF(I16=29,2,IF(I16=30,1)))))))))))))))))))))))))))))))</f>
        <v>14</v>
      </c>
      <c r="O16" s="1">
        <f>IF(OR(J16="",J16&gt;30),"",IF(J16=1,60,IF(J16=2,55,IF(J16=3,50,IF(J16=4,44,IF(J16=5,38,IF(J16=6,32,IF(J16=7,28,IF(J16=8,25,IF(J16=9,22,IF(J16=10,21,IF(J16=11,20,IF(J16=12,19,IF(J16=13,18,IF(J16=14,17,IF(J16=15,16,IF(J16=16,15,IF(J16=17,14,IF(J16=18,13,IF(J16=19,12,IF(J16=20,11,IF(J16=21,10,IF(J16=22,9,IF(J16=23,8,IF(J16=24,7,IF(J16=25,6,IF(J16=26,5,IF(J16=27,4,IF(J16=28,3,IF(J16=29,2,IF(J16=30,1)))))))))))))))))))))))))))))))</f>
        <v>7</v>
      </c>
      <c r="P16" s="1">
        <f>IF(OR(K16="",K16&gt;30),"",IF(K16=1,60,IF(K16=2,55,IF(K16=3,50,IF(K16=4,44,IF(K16=5,38,IF(K16=6,32,IF(K16=7,28,IF(K16=8,25,IF(K16=9,22,IF(K16=10,21,IF(K16=11,20,IF(K16=12,19,IF(K16=13,18,IF(K16=14,17,IF(K16=15,16,IF(K16=16,15,IF(K16=17,14,IF(K16=18,13,IF(K16=19,12,IF(K16=20,11,IF(K16=21,10,IF(K16=22,9,IF(K16=23,8,IF(K16=24,7,IF(K16=25,6,IF(K16=26,5,IF(K16=27,4,IF(K16=28,3,IF(K16=29,2,IF(K16=30,1)))))))))))))))))))))))))))))))</f>
        <v>3</v>
      </c>
      <c r="Q16" s="1">
        <f>IF(OR(L16="",L16&gt;30),"",IF(L16=1,60,IF(L16=2,55,IF(L16=3,50,IF(L16=4,44,IF(L16=5,38,IF(L16=6,32,IF(L16=7,28,IF(L16=8,25,IF(L16=9,22,IF(L16=10,21,IF(L16=11,20,IF(L16=12,19,IF(L16=13,18,IF(L16=14,17,IF(L16=15,16,IF(L16=16,15,IF(L16=17,14,IF(L16=18,13,IF(L16=19,12,IF(L16=20,11,IF(L16=21,10,IF(L16=22,9,IF(L16=23,8,IF(L16=24,7,IF(L16=25,6,IF(L16=26,5,IF(L16=27,4,IF(L16=28,3,IF(L16=29,2,IF(L16=30,1)))))))))))))))))))))))))))))))</f>
        <v>8</v>
      </c>
      <c r="R16" s="12">
        <f>IF(A16="","",IF(OR(D16="P",E16="P"),"",IF(COUNT(M16:Q16)&lt;3,SUM(M16:Q16),LARGE(M16:Q16,1)+LARGE(M16:Q16,2))+(1000-V16)*10^-4+W16*10^-5+(100-X16)*10^-8+Y16*10^-10))</f>
        <v>58.097910960000007</v>
      </c>
      <c r="S16" s="2" t="str">
        <f>IF(OR(R16="",R16=0),"",IF(SUMPRODUCT(--(B$3:B$62=B16),--(R$3:R$62&gt;R16),--(R$3:R$62&lt;&gt;"")),"","P"))</f>
        <v/>
      </c>
      <c r="T16" s="2" t="str" cm="1">
        <f t="array" ref="T16">IF(R16="","",IF(SUMPRODUCT(--(D$3:D$62="P"),--(B$3:B$62=B16)),"P",""))</f>
        <v>P</v>
      </c>
      <c r="U16" s="12" t="str">
        <f>IF(AND(S16&lt;&gt;"",OR(T16="",COUNTIF(R$3:R$62,"&gt;"&amp;R16)&lt;3)),R16,"")</f>
        <v/>
      </c>
      <c r="V16" s="1">
        <f>IF(COUNT(H16:L16)&lt;3,SUM(H16:L16),SMALL(H16:L16,1)+SMALL(H16:L16,2))</f>
        <v>21</v>
      </c>
      <c r="W16" s="1">
        <f>COUNTIF(H16:L16,"&lt;=8")</f>
        <v>1</v>
      </c>
      <c r="X16" s="1">
        <f>MIN(H16:L16)</f>
        <v>4</v>
      </c>
      <c r="Y16" s="1"/>
      <c r="Z16" s="2" t="str">
        <f>IF(OR(R16=R15,R16=R17),"P","")</f>
        <v/>
      </c>
    </row>
    <row r="17" spans="1:26" x14ac:dyDescent="0.2">
      <c r="A17" s="7" t="s">
        <v>117</v>
      </c>
      <c r="B17" s="6" t="s">
        <v>8</v>
      </c>
      <c r="C17" s="6" t="str">
        <f>IF(A17="","",VLOOKUP(B17,'Continental Affiliation'!A:B,2,0))</f>
        <v>Asia</v>
      </c>
      <c r="G17" s="3" t="str">
        <f>IF(U17="","",RANK(U17,U:U)+COUNTIF(D:E,"P"))</f>
        <v/>
      </c>
      <c r="H17" s="6">
        <v>8</v>
      </c>
      <c r="I17" s="6">
        <v>10</v>
      </c>
      <c r="J17" s="6">
        <v>26</v>
      </c>
      <c r="K17" s="6">
        <v>15</v>
      </c>
      <c r="L17" s="6" t="s">
        <v>143</v>
      </c>
      <c r="M17" s="1">
        <f>IF(OR(H17="",H17&gt;30),"",IF(H17=1,60,IF(H17=2,55,IF(H17=3,50,IF(H17=4,44,IF(H17=5,38,IF(H17=6,32,IF(H17=7,28,IF(H17=8,25,IF(H17=9,22,IF(H17=10,21,IF(H17=11,20,IF(H17=12,19,IF(H17=13,18,IF(H17=14,17,IF(H17=15,16,IF(H17=16,15,IF(H17=17,14,IF(H17=18,13,IF(H17=19,12,IF(H17=20,11,IF(H17=21,10,IF(H17=22,9,IF(H17=23,8,IF(H17=24,7,IF(H17=25,6,IF(H17=26,5,IF(H17=27,4,IF(H17=28,3,IF(H17=29,2,IF(H17=30,1)))))))))))))))))))))))))))))))</f>
        <v>25</v>
      </c>
      <c r="N17" s="1">
        <f>IF(OR(I17="",I17&gt;30),"",IF(I17=1,60,IF(I17=2,55,IF(I17=3,50,IF(I17=4,44,IF(I17=5,38,IF(I17=6,32,IF(I17=7,28,IF(I17=8,25,IF(I17=9,22,IF(I17=10,21,IF(I17=11,20,IF(I17=12,19,IF(I17=13,18,IF(I17=14,17,IF(I17=15,16,IF(I17=16,15,IF(I17=17,14,IF(I17=18,13,IF(I17=19,12,IF(I17=20,11,IF(I17=21,10,IF(I17=22,9,IF(I17=23,8,IF(I17=24,7,IF(I17=25,6,IF(I17=26,5,IF(I17=27,4,IF(I17=28,3,IF(I17=29,2,IF(I17=30,1)))))))))))))))))))))))))))))))</f>
        <v>21</v>
      </c>
      <c r="O17" s="1">
        <f>IF(OR(J17="",J17&gt;30),"",IF(J17=1,60,IF(J17=2,55,IF(J17=3,50,IF(J17=4,44,IF(J17=5,38,IF(J17=6,32,IF(J17=7,28,IF(J17=8,25,IF(J17=9,22,IF(J17=10,21,IF(J17=11,20,IF(J17=12,19,IF(J17=13,18,IF(J17=14,17,IF(J17=15,16,IF(J17=16,15,IF(J17=17,14,IF(J17=18,13,IF(J17=19,12,IF(J17=20,11,IF(J17=21,10,IF(J17=22,9,IF(J17=23,8,IF(J17=24,7,IF(J17=25,6,IF(J17=26,5,IF(J17=27,4,IF(J17=28,3,IF(J17=29,2,IF(J17=30,1)))))))))))))))))))))))))))))))</f>
        <v>5</v>
      </c>
      <c r="P17" s="1">
        <f>IF(OR(K17="",K17&gt;30),"",IF(K17=1,60,IF(K17=2,55,IF(K17=3,50,IF(K17=4,44,IF(K17=5,38,IF(K17=6,32,IF(K17=7,28,IF(K17=8,25,IF(K17=9,22,IF(K17=10,21,IF(K17=11,20,IF(K17=12,19,IF(K17=13,18,IF(K17=14,17,IF(K17=15,16,IF(K17=16,15,IF(K17=17,14,IF(K17=18,13,IF(K17=19,12,IF(K17=20,11,IF(K17=21,10,IF(K17=22,9,IF(K17=23,8,IF(K17=24,7,IF(K17=25,6,IF(K17=26,5,IF(K17=27,4,IF(K17=28,3,IF(K17=29,2,IF(K17=30,1)))))))))))))))))))))))))))))))</f>
        <v>16</v>
      </c>
      <c r="Q17" s="1" t="str">
        <f>IF(OR(L17="",L17&gt;30),"",IF(L17=1,60,IF(L17=2,55,IF(L17=3,50,IF(L17=4,44,IF(L17=5,38,IF(L17=6,32,IF(L17=7,28,IF(L17=8,25,IF(L17=9,22,IF(L17=10,21,IF(L17=11,20,IF(L17=12,19,IF(L17=13,18,IF(L17=14,17,IF(L17=15,16,IF(L17=16,15,IF(L17=17,14,IF(L17=18,13,IF(L17=19,12,IF(L17=20,11,IF(L17=21,10,IF(L17=22,9,IF(L17=23,8,IF(L17=24,7,IF(L17=25,6,IF(L17=26,5,IF(L17=27,4,IF(L17=28,3,IF(L17=29,2,IF(L17=30,1)))))))))))))))))))))))))))))))</f>
        <v/>
      </c>
      <c r="R17" s="12">
        <f>IF(A17="","",IF(OR(D17="P",E17="P"),"",IF(COUNT(M17:Q17)&lt;3,SUM(M17:Q17),LARGE(M17:Q17,1)+LARGE(M17:Q17,2))+(1000-V17)*10^-4+W17*10^-5+(100-X17)*10^-8+Y17*10^-10))</f>
        <v>46.09821092</v>
      </c>
      <c r="S17" s="2" t="str">
        <f>IF(OR(R17="",R17=0),"",IF(SUMPRODUCT(--(B$3:B$62=B17),--(R$3:R$62&gt;R17),--(R$3:R$62&lt;&gt;"")),"","P"))</f>
        <v>P</v>
      </c>
      <c r="T17" s="2" t="str" cm="1">
        <f t="array" ref="T17">IF(R17="","",IF(SUMPRODUCT(--(D$3:D$62="P"),--(B$3:B$62=B17)),"P",""))</f>
        <v>P</v>
      </c>
      <c r="U17" s="12" t="str">
        <f>IF(AND(S17&lt;&gt;"",OR(T17="",COUNTIF(R$3:R$62,"&gt;"&amp;R17)&lt;3)),R17,"")</f>
        <v/>
      </c>
      <c r="V17" s="1">
        <f>IF(COUNT(H17:L17)&lt;3,SUM(H17:L17),SMALL(H17:L17,1)+SMALL(H17:L17,2))</f>
        <v>18</v>
      </c>
      <c r="W17" s="1">
        <f>COUNTIF(H17:L17,"&lt;=8")</f>
        <v>1</v>
      </c>
      <c r="X17" s="1">
        <f>MIN(H17:L17)</f>
        <v>8</v>
      </c>
      <c r="Y17" s="1"/>
      <c r="Z17" s="2" t="str">
        <f>IF(OR(R17=R16,R17=R18),"P","")</f>
        <v/>
      </c>
    </row>
    <row r="18" spans="1:26" x14ac:dyDescent="0.2">
      <c r="A18" s="7" t="s">
        <v>52</v>
      </c>
      <c r="B18" s="6" t="s">
        <v>8</v>
      </c>
      <c r="C18" s="6" t="str">
        <f>IF(A18="","",VLOOKUP(B18,'Continental Affiliation'!A:B,2,0))</f>
        <v>Asia</v>
      </c>
      <c r="G18" s="3" t="str">
        <f>IF(U18="","",RANK(U18,U:U)+COUNTIF(D:E,"P"))</f>
        <v/>
      </c>
      <c r="H18" s="6">
        <v>15</v>
      </c>
      <c r="I18" s="6">
        <v>13</v>
      </c>
      <c r="J18" s="6">
        <v>9</v>
      </c>
      <c r="K18" s="6">
        <v>38</v>
      </c>
      <c r="L18" s="6">
        <v>11</v>
      </c>
      <c r="M18" s="1">
        <f>IF(OR(H18="",H18&gt;30),"",IF(H18=1,60,IF(H18=2,55,IF(H18=3,50,IF(H18=4,44,IF(H18=5,38,IF(H18=6,32,IF(H18=7,28,IF(H18=8,25,IF(H18=9,22,IF(H18=10,21,IF(H18=11,20,IF(H18=12,19,IF(H18=13,18,IF(H18=14,17,IF(H18=15,16,IF(H18=16,15,IF(H18=17,14,IF(H18=18,13,IF(H18=19,12,IF(H18=20,11,IF(H18=21,10,IF(H18=22,9,IF(H18=23,8,IF(H18=24,7,IF(H18=25,6,IF(H18=26,5,IF(H18=27,4,IF(H18=28,3,IF(H18=29,2,IF(H18=30,1)))))))))))))))))))))))))))))))</f>
        <v>16</v>
      </c>
      <c r="N18" s="1">
        <f>IF(OR(I18="",I18&gt;30),"",IF(I18=1,60,IF(I18=2,55,IF(I18=3,50,IF(I18=4,44,IF(I18=5,38,IF(I18=6,32,IF(I18=7,28,IF(I18=8,25,IF(I18=9,22,IF(I18=10,21,IF(I18=11,20,IF(I18=12,19,IF(I18=13,18,IF(I18=14,17,IF(I18=15,16,IF(I18=16,15,IF(I18=17,14,IF(I18=18,13,IF(I18=19,12,IF(I18=20,11,IF(I18=21,10,IF(I18=22,9,IF(I18=23,8,IF(I18=24,7,IF(I18=25,6,IF(I18=26,5,IF(I18=27,4,IF(I18=28,3,IF(I18=29,2,IF(I18=30,1)))))))))))))))))))))))))))))))</f>
        <v>18</v>
      </c>
      <c r="O18" s="1">
        <f>IF(OR(J18="",J18&gt;30),"",IF(J18=1,60,IF(J18=2,55,IF(J18=3,50,IF(J18=4,44,IF(J18=5,38,IF(J18=6,32,IF(J18=7,28,IF(J18=8,25,IF(J18=9,22,IF(J18=10,21,IF(J18=11,20,IF(J18=12,19,IF(J18=13,18,IF(J18=14,17,IF(J18=15,16,IF(J18=16,15,IF(J18=17,14,IF(J18=18,13,IF(J18=19,12,IF(J18=20,11,IF(J18=21,10,IF(J18=22,9,IF(J18=23,8,IF(J18=24,7,IF(J18=25,6,IF(J18=26,5,IF(J18=27,4,IF(J18=28,3,IF(J18=29,2,IF(J18=30,1)))))))))))))))))))))))))))))))</f>
        <v>22</v>
      </c>
      <c r="P18" s="1" t="str">
        <f>IF(OR(K18="",K18&gt;30),"",IF(K18=1,60,IF(K18=2,55,IF(K18=3,50,IF(K18=4,44,IF(K18=5,38,IF(K18=6,32,IF(K18=7,28,IF(K18=8,25,IF(K18=9,22,IF(K18=10,21,IF(K18=11,20,IF(K18=12,19,IF(K18=13,18,IF(K18=14,17,IF(K18=15,16,IF(K18=16,15,IF(K18=17,14,IF(K18=18,13,IF(K18=19,12,IF(K18=20,11,IF(K18=21,10,IF(K18=22,9,IF(K18=23,8,IF(K18=24,7,IF(K18=25,6,IF(K18=26,5,IF(K18=27,4,IF(K18=28,3,IF(K18=29,2,IF(K18=30,1)))))))))))))))))))))))))))))))</f>
        <v/>
      </c>
      <c r="Q18" s="1">
        <f>IF(OR(L18="",L18&gt;30),"",IF(L18=1,60,IF(L18=2,55,IF(L18=3,50,IF(L18=4,44,IF(L18=5,38,IF(L18=6,32,IF(L18=7,28,IF(L18=8,25,IF(L18=9,22,IF(L18=10,21,IF(L18=11,20,IF(L18=12,19,IF(L18=13,18,IF(L18=14,17,IF(L18=15,16,IF(L18=16,15,IF(L18=17,14,IF(L18=18,13,IF(L18=19,12,IF(L18=20,11,IF(L18=21,10,IF(L18=22,9,IF(L18=23,8,IF(L18=24,7,IF(L18=25,6,IF(L18=26,5,IF(L18=27,4,IF(L18=28,3,IF(L18=29,2,IF(L18=30,1)))))))))))))))))))))))))))))))</f>
        <v>20</v>
      </c>
      <c r="R18" s="12">
        <f>IF(A18="","",IF(OR(D18="P",E18="P"),"",IF(COUNT(M18:Q18)&lt;3,SUM(M18:Q18),LARGE(M18:Q18,1)+LARGE(M18:Q18,2))+(1000-V18)*10^-4+W18*10^-5+(100-X18)*10^-8+Y18*10^-10))</f>
        <v>42.098000909999996</v>
      </c>
      <c r="S18" s="2" t="str">
        <f>IF(OR(R18="",R18=0),"",IF(SUMPRODUCT(--(B$3:B$62=B18),--(R$3:R$62&gt;R18),--(R$3:R$62&lt;&gt;"")),"","P"))</f>
        <v/>
      </c>
      <c r="T18" s="2" t="str" cm="1">
        <f t="array" ref="T18">IF(R18="","",IF(SUMPRODUCT(--(D$3:D$62="P"),--(B$3:B$62=B18)),"P",""))</f>
        <v>P</v>
      </c>
      <c r="U18" s="12" t="str">
        <f>IF(AND(S18&lt;&gt;"",OR(T18="",COUNTIF(R$3:R$62,"&gt;"&amp;R18)&lt;3)),R18,"")</f>
        <v/>
      </c>
      <c r="V18" s="1">
        <f>IF(COUNT(H18:L18)&lt;3,SUM(H18:L18),SMALL(H18:L18,1)+SMALL(H18:L18,2))</f>
        <v>20</v>
      </c>
      <c r="W18" s="1">
        <f>COUNTIF(H18:L18,"&lt;=8")</f>
        <v>0</v>
      </c>
      <c r="X18" s="1">
        <f>MIN(H18:L18)</f>
        <v>9</v>
      </c>
      <c r="Y18" s="1"/>
      <c r="Z18" s="2" t="str">
        <f>IF(OR(R18=R17,R18=R19),"P","")</f>
        <v/>
      </c>
    </row>
    <row r="19" spans="1:26" x14ac:dyDescent="0.2">
      <c r="A19" s="7" t="s">
        <v>115</v>
      </c>
      <c r="B19" s="6" t="s">
        <v>6</v>
      </c>
      <c r="C19" s="6" t="str">
        <f>IF(A19="","",VLOOKUP(B19,'Continental Affiliation'!A:B,2,0))</f>
        <v>Asia</v>
      </c>
      <c r="G19" s="3" t="str">
        <f>IF(U19="","",RANK(U19,U:U)+COUNTIF(D:E,"P"))</f>
        <v/>
      </c>
      <c r="H19" s="6">
        <v>25</v>
      </c>
      <c r="I19" s="6">
        <v>7</v>
      </c>
      <c r="J19" s="6">
        <v>18</v>
      </c>
      <c r="K19" s="6" t="s">
        <v>143</v>
      </c>
      <c r="L19" s="6" t="s">
        <v>143</v>
      </c>
      <c r="M19" s="1">
        <f>IF(OR(H19="",H19&gt;30),"",IF(H19=1,60,IF(H19=2,55,IF(H19=3,50,IF(H19=4,44,IF(H19=5,38,IF(H19=6,32,IF(H19=7,28,IF(H19=8,25,IF(H19=9,22,IF(H19=10,21,IF(H19=11,20,IF(H19=12,19,IF(H19=13,18,IF(H19=14,17,IF(H19=15,16,IF(H19=16,15,IF(H19=17,14,IF(H19=18,13,IF(H19=19,12,IF(H19=20,11,IF(H19=21,10,IF(H19=22,9,IF(H19=23,8,IF(H19=24,7,IF(H19=25,6,IF(H19=26,5,IF(H19=27,4,IF(H19=28,3,IF(H19=29,2,IF(H19=30,1)))))))))))))))))))))))))))))))</f>
        <v>6</v>
      </c>
      <c r="N19" s="1">
        <f>IF(OR(I19="",I19&gt;30),"",IF(I19=1,60,IF(I19=2,55,IF(I19=3,50,IF(I19=4,44,IF(I19=5,38,IF(I19=6,32,IF(I19=7,28,IF(I19=8,25,IF(I19=9,22,IF(I19=10,21,IF(I19=11,20,IF(I19=12,19,IF(I19=13,18,IF(I19=14,17,IF(I19=15,16,IF(I19=16,15,IF(I19=17,14,IF(I19=18,13,IF(I19=19,12,IF(I19=20,11,IF(I19=21,10,IF(I19=22,9,IF(I19=23,8,IF(I19=24,7,IF(I19=25,6,IF(I19=26,5,IF(I19=27,4,IF(I19=28,3,IF(I19=29,2,IF(I19=30,1)))))))))))))))))))))))))))))))</f>
        <v>28</v>
      </c>
      <c r="O19" s="1">
        <f>IF(OR(J19="",J19&gt;30),"",IF(J19=1,60,IF(J19=2,55,IF(J19=3,50,IF(J19=4,44,IF(J19=5,38,IF(J19=6,32,IF(J19=7,28,IF(J19=8,25,IF(J19=9,22,IF(J19=10,21,IF(J19=11,20,IF(J19=12,19,IF(J19=13,18,IF(J19=14,17,IF(J19=15,16,IF(J19=16,15,IF(J19=17,14,IF(J19=18,13,IF(J19=19,12,IF(J19=20,11,IF(J19=21,10,IF(J19=22,9,IF(J19=23,8,IF(J19=24,7,IF(J19=25,6,IF(J19=26,5,IF(J19=27,4,IF(J19=28,3,IF(J19=29,2,IF(J19=30,1)))))))))))))))))))))))))))))))</f>
        <v>13</v>
      </c>
      <c r="P19" s="1" t="str">
        <f>IF(OR(K19="",K19&gt;30),"",IF(K19=1,60,IF(K19=2,55,IF(K19=3,50,IF(K19=4,44,IF(K19=5,38,IF(K19=6,32,IF(K19=7,28,IF(K19=8,25,IF(K19=9,22,IF(K19=10,21,IF(K19=11,20,IF(K19=12,19,IF(K19=13,18,IF(K19=14,17,IF(K19=15,16,IF(K19=16,15,IF(K19=17,14,IF(K19=18,13,IF(K19=19,12,IF(K19=20,11,IF(K19=21,10,IF(K19=22,9,IF(K19=23,8,IF(K19=24,7,IF(K19=25,6,IF(K19=26,5,IF(K19=27,4,IF(K19=28,3,IF(K19=29,2,IF(K19=30,1)))))))))))))))))))))))))))))))</f>
        <v/>
      </c>
      <c r="Q19" s="1" t="str">
        <f>IF(OR(L19="",L19&gt;30),"",IF(L19=1,60,IF(L19=2,55,IF(L19=3,50,IF(L19=4,44,IF(L19=5,38,IF(L19=6,32,IF(L19=7,28,IF(L19=8,25,IF(L19=9,22,IF(L19=10,21,IF(L19=11,20,IF(L19=12,19,IF(L19=13,18,IF(L19=14,17,IF(L19=15,16,IF(L19=16,15,IF(L19=17,14,IF(L19=18,13,IF(L19=19,12,IF(L19=20,11,IF(L19=21,10,IF(L19=22,9,IF(L19=23,8,IF(L19=24,7,IF(L19=25,6,IF(L19=26,5,IF(L19=27,4,IF(L19=28,3,IF(L19=29,2,IF(L19=30,1)))))))))))))))))))))))))))))))</f>
        <v/>
      </c>
      <c r="R19" s="12">
        <f>IF(A19="","",IF(OR(D19="P",E19="P"),"",IF(COUNT(M19:Q19)&lt;3,SUM(M19:Q19),LARGE(M19:Q19,1)+LARGE(M19:Q19,2))+(1000-V19)*10^-4+W19*10^-5+(100-X19)*10^-8+Y19*10^-10))</f>
        <v>41.097510929999999</v>
      </c>
      <c r="S19" s="2" t="str">
        <f>IF(OR(R19="",R19=0),"",IF(SUMPRODUCT(--(B$3:B$62=B19),--(R$3:R$62&gt;R19),--(R$3:R$62&lt;&gt;"")),"","P"))</f>
        <v/>
      </c>
      <c r="T19" s="2" t="str" cm="1">
        <f t="array" ref="T19">IF(R19="","",IF(SUMPRODUCT(--(D$3:D$62="P"),--(B$3:B$62=B19)),"P",""))</f>
        <v>P</v>
      </c>
      <c r="U19" s="12" t="str">
        <f>IF(AND(S19&lt;&gt;"",OR(T19="",COUNTIF(R$3:R$62,"&gt;"&amp;R19)&lt;3)),R19,"")</f>
        <v/>
      </c>
      <c r="V19" s="1">
        <f>IF(COUNT(H19:L19)&lt;3,SUM(H19:L19),SMALL(H19:L19,1)+SMALL(H19:L19,2))</f>
        <v>25</v>
      </c>
      <c r="W19" s="1">
        <f>COUNTIF(H19:L19,"&lt;=8")</f>
        <v>1</v>
      </c>
      <c r="X19" s="1">
        <f>MIN(H19:L19)</f>
        <v>7</v>
      </c>
      <c r="Y19" s="1"/>
      <c r="Z19" s="2" t="str">
        <f>IF(OR(R19=R18,R19=R20),"P","")</f>
        <v/>
      </c>
    </row>
    <row r="20" spans="1:26" x14ac:dyDescent="0.2">
      <c r="A20" s="7" t="s">
        <v>75</v>
      </c>
      <c r="B20" s="6" t="s">
        <v>26</v>
      </c>
      <c r="C20" s="6" t="str">
        <f>IF(A20="","",VLOOKUP(B20,'Continental Affiliation'!A:B,2,0))</f>
        <v>Americas</v>
      </c>
      <c r="G20" s="3">
        <f>IF(U20="","",RANK(U20,U:U)+COUNTIF(D:E,"P"))</f>
        <v>10</v>
      </c>
      <c r="H20" s="6">
        <v>27</v>
      </c>
      <c r="I20" s="6">
        <v>11</v>
      </c>
      <c r="J20" s="6">
        <v>16</v>
      </c>
      <c r="K20" s="6">
        <v>11</v>
      </c>
      <c r="L20" s="6">
        <v>16</v>
      </c>
      <c r="M20" s="1">
        <f>IF(OR(H20="",H20&gt;30),"",IF(H20=1,60,IF(H20=2,55,IF(H20=3,50,IF(H20=4,44,IF(H20=5,38,IF(H20=6,32,IF(H20=7,28,IF(H20=8,25,IF(H20=9,22,IF(H20=10,21,IF(H20=11,20,IF(H20=12,19,IF(H20=13,18,IF(H20=14,17,IF(H20=15,16,IF(H20=16,15,IF(H20=17,14,IF(H20=18,13,IF(H20=19,12,IF(H20=20,11,IF(H20=21,10,IF(H20=22,9,IF(H20=23,8,IF(H20=24,7,IF(H20=25,6,IF(H20=26,5,IF(H20=27,4,IF(H20=28,3,IF(H20=29,2,IF(H20=30,1)))))))))))))))))))))))))))))))</f>
        <v>4</v>
      </c>
      <c r="N20" s="1">
        <f>IF(OR(I20="",I20&gt;30),"",IF(I20=1,60,IF(I20=2,55,IF(I20=3,50,IF(I20=4,44,IF(I20=5,38,IF(I20=6,32,IF(I20=7,28,IF(I20=8,25,IF(I20=9,22,IF(I20=10,21,IF(I20=11,20,IF(I20=12,19,IF(I20=13,18,IF(I20=14,17,IF(I20=15,16,IF(I20=16,15,IF(I20=17,14,IF(I20=18,13,IF(I20=19,12,IF(I20=20,11,IF(I20=21,10,IF(I20=22,9,IF(I20=23,8,IF(I20=24,7,IF(I20=25,6,IF(I20=26,5,IF(I20=27,4,IF(I20=28,3,IF(I20=29,2,IF(I20=30,1)))))))))))))))))))))))))))))))</f>
        <v>20</v>
      </c>
      <c r="O20" s="1">
        <f>IF(OR(J20="",J20&gt;30),"",IF(J20=1,60,IF(J20=2,55,IF(J20=3,50,IF(J20=4,44,IF(J20=5,38,IF(J20=6,32,IF(J20=7,28,IF(J20=8,25,IF(J20=9,22,IF(J20=10,21,IF(J20=11,20,IF(J20=12,19,IF(J20=13,18,IF(J20=14,17,IF(J20=15,16,IF(J20=16,15,IF(J20=17,14,IF(J20=18,13,IF(J20=19,12,IF(J20=20,11,IF(J20=21,10,IF(J20=22,9,IF(J20=23,8,IF(J20=24,7,IF(J20=25,6,IF(J20=26,5,IF(J20=27,4,IF(J20=28,3,IF(J20=29,2,IF(J20=30,1)))))))))))))))))))))))))))))))</f>
        <v>15</v>
      </c>
      <c r="P20" s="1">
        <f>IF(OR(K20="",K20&gt;30),"",IF(K20=1,60,IF(K20=2,55,IF(K20=3,50,IF(K20=4,44,IF(K20=5,38,IF(K20=6,32,IF(K20=7,28,IF(K20=8,25,IF(K20=9,22,IF(K20=10,21,IF(K20=11,20,IF(K20=12,19,IF(K20=13,18,IF(K20=14,17,IF(K20=15,16,IF(K20=16,15,IF(K20=17,14,IF(K20=18,13,IF(K20=19,12,IF(K20=20,11,IF(K20=21,10,IF(K20=22,9,IF(K20=23,8,IF(K20=24,7,IF(K20=25,6,IF(K20=26,5,IF(K20=27,4,IF(K20=28,3,IF(K20=29,2,IF(K20=30,1)))))))))))))))))))))))))))))))</f>
        <v>20</v>
      </c>
      <c r="Q20" s="1">
        <f>IF(OR(L20="",L20&gt;30),"",IF(L20=1,60,IF(L20=2,55,IF(L20=3,50,IF(L20=4,44,IF(L20=5,38,IF(L20=6,32,IF(L20=7,28,IF(L20=8,25,IF(L20=9,22,IF(L20=10,21,IF(L20=11,20,IF(L20=12,19,IF(L20=13,18,IF(L20=14,17,IF(L20=15,16,IF(L20=16,15,IF(L20=17,14,IF(L20=18,13,IF(L20=19,12,IF(L20=20,11,IF(L20=21,10,IF(L20=22,9,IF(L20=23,8,IF(L20=24,7,IF(L20=25,6,IF(L20=26,5,IF(L20=27,4,IF(L20=28,3,IF(L20=29,2,IF(L20=30,1)))))))))))))))))))))))))))))))</f>
        <v>15</v>
      </c>
      <c r="R20" s="12">
        <f>IF(A20="","",IF(OR(D20="P",E20="P"),"",IF(COUNT(M20:Q20)&lt;3,SUM(M20:Q20),LARGE(M20:Q20,1)+LARGE(M20:Q20,2))+(1000-V20)*10^-4+W20*10^-5+(100-X20)*10^-8+Y20*10^-10))</f>
        <v>40.097800890000002</v>
      </c>
      <c r="S20" s="2" t="str">
        <f>IF(OR(R20="",R20=0),"",IF(SUMPRODUCT(--(B$3:B$62=B20),--(R$3:R$62&gt;R20),--(R$3:R$62&lt;&gt;"")),"","P"))</f>
        <v>P</v>
      </c>
      <c r="T20" s="2" t="str" cm="1">
        <f t="array" ref="T20">IF(R20="","",IF(SUMPRODUCT(--(D$3:D$62="P"),--(B$3:B$62=B20)),"P",""))</f>
        <v/>
      </c>
      <c r="U20" s="12">
        <f>IF(AND(S20&lt;&gt;"",OR(T20="",COUNTIF(R$3:R$62,"&gt;"&amp;R20)&lt;3)),R20,"")</f>
        <v>40.097800890000002</v>
      </c>
      <c r="V20" s="1">
        <f>IF(COUNT(H20:L20)&lt;3,SUM(H20:L20),SMALL(H20:L20,1)+SMALL(H20:L20,2))</f>
        <v>22</v>
      </c>
      <c r="W20" s="1">
        <f>COUNTIF(H20:L20,"&lt;=8")</f>
        <v>0</v>
      </c>
      <c r="X20" s="1">
        <f>MIN(H20:L20)</f>
        <v>11</v>
      </c>
      <c r="Y20" s="1"/>
      <c r="Z20" s="2" t="str">
        <f>IF(OR(R20=R19,R20=R21),"P","")</f>
        <v/>
      </c>
    </row>
    <row r="21" spans="1:26" x14ac:dyDescent="0.2">
      <c r="A21" s="7" t="s">
        <v>42</v>
      </c>
      <c r="B21" s="6" t="s">
        <v>25</v>
      </c>
      <c r="C21" s="6" t="str">
        <f>IF(A21="","",VLOOKUP(B21,'Continental Affiliation'!A:B,2,0))</f>
        <v>Americas</v>
      </c>
      <c r="G21" s="3">
        <f>IF(U21="","",RANK(U21,U:U)+COUNTIF(D:E,"P"))</f>
        <v>11</v>
      </c>
      <c r="H21" s="6">
        <v>17</v>
      </c>
      <c r="I21" s="6">
        <v>24</v>
      </c>
      <c r="J21" s="6">
        <v>21</v>
      </c>
      <c r="K21" s="6">
        <v>70</v>
      </c>
      <c r="L21" s="6">
        <v>8</v>
      </c>
      <c r="M21" s="1">
        <f>IF(OR(H21="",H21&gt;30),"",IF(H21=1,60,IF(H21=2,55,IF(H21=3,50,IF(H21=4,44,IF(H21=5,38,IF(H21=6,32,IF(H21=7,28,IF(H21=8,25,IF(H21=9,22,IF(H21=10,21,IF(H21=11,20,IF(H21=12,19,IF(H21=13,18,IF(H21=14,17,IF(H21=15,16,IF(H21=16,15,IF(H21=17,14,IF(H21=18,13,IF(H21=19,12,IF(H21=20,11,IF(H21=21,10,IF(H21=22,9,IF(H21=23,8,IF(H21=24,7,IF(H21=25,6,IF(H21=26,5,IF(H21=27,4,IF(H21=28,3,IF(H21=29,2,IF(H21=30,1)))))))))))))))))))))))))))))))</f>
        <v>14</v>
      </c>
      <c r="N21" s="1">
        <f>IF(OR(I21="",I21&gt;30),"",IF(I21=1,60,IF(I21=2,55,IF(I21=3,50,IF(I21=4,44,IF(I21=5,38,IF(I21=6,32,IF(I21=7,28,IF(I21=8,25,IF(I21=9,22,IF(I21=10,21,IF(I21=11,20,IF(I21=12,19,IF(I21=13,18,IF(I21=14,17,IF(I21=15,16,IF(I21=16,15,IF(I21=17,14,IF(I21=18,13,IF(I21=19,12,IF(I21=20,11,IF(I21=21,10,IF(I21=22,9,IF(I21=23,8,IF(I21=24,7,IF(I21=25,6,IF(I21=26,5,IF(I21=27,4,IF(I21=28,3,IF(I21=29,2,IF(I21=30,1)))))))))))))))))))))))))))))))</f>
        <v>7</v>
      </c>
      <c r="O21" s="1">
        <f>IF(OR(J21="",J21&gt;30),"",IF(J21=1,60,IF(J21=2,55,IF(J21=3,50,IF(J21=4,44,IF(J21=5,38,IF(J21=6,32,IF(J21=7,28,IF(J21=8,25,IF(J21=9,22,IF(J21=10,21,IF(J21=11,20,IF(J21=12,19,IF(J21=13,18,IF(J21=14,17,IF(J21=15,16,IF(J21=16,15,IF(J21=17,14,IF(J21=18,13,IF(J21=19,12,IF(J21=20,11,IF(J21=21,10,IF(J21=22,9,IF(J21=23,8,IF(J21=24,7,IF(J21=25,6,IF(J21=26,5,IF(J21=27,4,IF(J21=28,3,IF(J21=29,2,IF(J21=30,1)))))))))))))))))))))))))))))))</f>
        <v>10</v>
      </c>
      <c r="P21" s="1" t="str">
        <f>IF(OR(K21="",K21&gt;30),"",IF(K21=1,60,IF(K21=2,55,IF(K21=3,50,IF(K21=4,44,IF(K21=5,38,IF(K21=6,32,IF(K21=7,28,IF(K21=8,25,IF(K21=9,22,IF(K21=10,21,IF(K21=11,20,IF(K21=12,19,IF(K21=13,18,IF(K21=14,17,IF(K21=15,16,IF(K21=16,15,IF(K21=17,14,IF(K21=18,13,IF(K21=19,12,IF(K21=20,11,IF(K21=21,10,IF(K21=22,9,IF(K21=23,8,IF(K21=24,7,IF(K21=25,6,IF(K21=26,5,IF(K21=27,4,IF(K21=28,3,IF(K21=29,2,IF(K21=30,1)))))))))))))))))))))))))))))))</f>
        <v/>
      </c>
      <c r="Q21" s="1">
        <f>IF(OR(L21="",L21&gt;30),"",IF(L21=1,60,IF(L21=2,55,IF(L21=3,50,IF(L21=4,44,IF(L21=5,38,IF(L21=6,32,IF(L21=7,28,IF(L21=8,25,IF(L21=9,22,IF(L21=10,21,IF(L21=11,20,IF(L21=12,19,IF(L21=13,18,IF(L21=14,17,IF(L21=15,16,IF(L21=16,15,IF(L21=17,14,IF(L21=18,13,IF(L21=19,12,IF(L21=20,11,IF(L21=21,10,IF(L21=22,9,IF(L21=23,8,IF(L21=24,7,IF(L21=25,6,IF(L21=26,5,IF(L21=27,4,IF(L21=28,3,IF(L21=29,2,IF(L21=30,1)))))))))))))))))))))))))))))))</f>
        <v>25</v>
      </c>
      <c r="R21" s="12">
        <f>IF(A21="","",IF(OR(D21="P",E21="P"),"",IF(COUNT(M21:Q21)&lt;3,SUM(M21:Q21),LARGE(M21:Q21,1)+LARGE(M21:Q21,2))+(1000-V21)*10^-4+W21*10^-5+(100-X21)*10^-8+Y21*10^-10))</f>
        <v>39.097510919999998</v>
      </c>
      <c r="S21" s="2" t="str">
        <f>IF(OR(R21="",R21=0),"",IF(SUMPRODUCT(--(B$3:B$62=B21),--(R$3:R$62&gt;R21),--(R$3:R$62&lt;&gt;"")),"","P"))</f>
        <v>P</v>
      </c>
      <c r="T21" s="2" t="str" cm="1">
        <f t="array" ref="T21">IF(R21="","",IF(SUMPRODUCT(--(D$3:D$62="P"),--(B$3:B$62=B21)),"P",""))</f>
        <v/>
      </c>
      <c r="U21" s="12">
        <f>IF(AND(S21&lt;&gt;"",OR(T21="",COUNTIF(R$3:R$62,"&gt;"&amp;R21)&lt;3)),R21,"")</f>
        <v>39.097510919999998</v>
      </c>
      <c r="V21" s="1">
        <f>IF(COUNT(H21:L21)&lt;3,SUM(H21:L21),SMALL(H21:L21,1)+SMALL(H21:L21,2))</f>
        <v>25</v>
      </c>
      <c r="W21" s="1">
        <f>COUNTIF(H21:L21,"&lt;=8")</f>
        <v>1</v>
      </c>
      <c r="X21" s="1">
        <f>MIN(H21:L21)</f>
        <v>8</v>
      </c>
      <c r="Y21" s="1"/>
      <c r="Z21" s="2" t="str">
        <f>IF(OR(R21=R20,R21=R22),"P","")</f>
        <v/>
      </c>
    </row>
    <row r="22" spans="1:26" x14ac:dyDescent="0.2">
      <c r="A22" s="7" t="s">
        <v>132</v>
      </c>
      <c r="B22" s="6" t="s">
        <v>8</v>
      </c>
      <c r="C22" s="6" t="str">
        <f>IF(A22="","",VLOOKUP(B22,'Continental Affiliation'!A:B,2,0))</f>
        <v>Asia</v>
      </c>
      <c r="G22" s="3" t="str">
        <f>IF(U22="","",RANK(U22,U:U)+COUNTIF(D:E,"P"))</f>
        <v/>
      </c>
      <c r="H22" s="6">
        <v>74</v>
      </c>
      <c r="I22" s="6">
        <v>25</v>
      </c>
      <c r="J22" s="6">
        <v>11</v>
      </c>
      <c r="K22" s="6">
        <v>20</v>
      </c>
      <c r="L22" s="6">
        <v>14</v>
      </c>
      <c r="M22" s="1" t="str">
        <f>IF(OR(H22="",H22&gt;30),"",IF(H22=1,60,IF(H22=2,55,IF(H22=3,50,IF(H22=4,44,IF(H22=5,38,IF(H22=6,32,IF(H22=7,28,IF(H22=8,25,IF(H22=9,22,IF(H22=10,21,IF(H22=11,20,IF(H22=12,19,IF(H22=13,18,IF(H22=14,17,IF(H22=15,16,IF(H22=16,15,IF(H22=17,14,IF(H22=18,13,IF(H22=19,12,IF(H22=20,11,IF(H22=21,10,IF(H22=22,9,IF(H22=23,8,IF(H22=24,7,IF(H22=25,6,IF(H22=26,5,IF(H22=27,4,IF(H22=28,3,IF(H22=29,2,IF(H22=30,1)))))))))))))))))))))))))))))))</f>
        <v/>
      </c>
      <c r="N22" s="1">
        <f>IF(OR(I22="",I22&gt;30),"",IF(I22=1,60,IF(I22=2,55,IF(I22=3,50,IF(I22=4,44,IF(I22=5,38,IF(I22=6,32,IF(I22=7,28,IF(I22=8,25,IF(I22=9,22,IF(I22=10,21,IF(I22=11,20,IF(I22=12,19,IF(I22=13,18,IF(I22=14,17,IF(I22=15,16,IF(I22=16,15,IF(I22=17,14,IF(I22=18,13,IF(I22=19,12,IF(I22=20,11,IF(I22=21,10,IF(I22=22,9,IF(I22=23,8,IF(I22=24,7,IF(I22=25,6,IF(I22=26,5,IF(I22=27,4,IF(I22=28,3,IF(I22=29,2,IF(I22=30,1)))))))))))))))))))))))))))))))</f>
        <v>6</v>
      </c>
      <c r="O22" s="1">
        <f>IF(OR(J22="",J22&gt;30),"",IF(J22=1,60,IF(J22=2,55,IF(J22=3,50,IF(J22=4,44,IF(J22=5,38,IF(J22=6,32,IF(J22=7,28,IF(J22=8,25,IF(J22=9,22,IF(J22=10,21,IF(J22=11,20,IF(J22=12,19,IF(J22=13,18,IF(J22=14,17,IF(J22=15,16,IF(J22=16,15,IF(J22=17,14,IF(J22=18,13,IF(J22=19,12,IF(J22=20,11,IF(J22=21,10,IF(J22=22,9,IF(J22=23,8,IF(J22=24,7,IF(J22=25,6,IF(J22=26,5,IF(J22=27,4,IF(J22=28,3,IF(J22=29,2,IF(J22=30,1)))))))))))))))))))))))))))))))</f>
        <v>20</v>
      </c>
      <c r="P22" s="1">
        <f>IF(OR(K22="",K22&gt;30),"",IF(K22=1,60,IF(K22=2,55,IF(K22=3,50,IF(K22=4,44,IF(K22=5,38,IF(K22=6,32,IF(K22=7,28,IF(K22=8,25,IF(K22=9,22,IF(K22=10,21,IF(K22=11,20,IF(K22=12,19,IF(K22=13,18,IF(K22=14,17,IF(K22=15,16,IF(K22=16,15,IF(K22=17,14,IF(K22=18,13,IF(K22=19,12,IF(K22=20,11,IF(K22=21,10,IF(K22=22,9,IF(K22=23,8,IF(K22=24,7,IF(K22=25,6,IF(K22=26,5,IF(K22=27,4,IF(K22=28,3,IF(K22=29,2,IF(K22=30,1)))))))))))))))))))))))))))))))</f>
        <v>11</v>
      </c>
      <c r="Q22" s="1">
        <f>IF(OR(L22="",L22&gt;30),"",IF(L22=1,60,IF(L22=2,55,IF(L22=3,50,IF(L22=4,44,IF(L22=5,38,IF(L22=6,32,IF(L22=7,28,IF(L22=8,25,IF(L22=9,22,IF(L22=10,21,IF(L22=11,20,IF(L22=12,19,IF(L22=13,18,IF(L22=14,17,IF(L22=15,16,IF(L22=16,15,IF(L22=17,14,IF(L22=18,13,IF(L22=19,12,IF(L22=20,11,IF(L22=21,10,IF(L22=22,9,IF(L22=23,8,IF(L22=24,7,IF(L22=25,6,IF(L22=26,5,IF(L22=27,4,IF(L22=28,3,IF(L22=29,2,IF(L22=30,1)))))))))))))))))))))))))))))))</f>
        <v>17</v>
      </c>
      <c r="R22" s="12">
        <f>IF(A22="","",IF(OR(D22="P",E22="P"),"",IF(COUNT(M22:Q22)&lt;3,SUM(M22:Q22),LARGE(M22:Q22,1)+LARGE(M22:Q22,2))+(1000-V22)*10^-4+W22*10^-5+(100-X22)*10^-8+Y22*10^-10))</f>
        <v>37.097500889999999</v>
      </c>
      <c r="S22" s="2" t="str">
        <f>IF(OR(R22="",R22=0),"",IF(SUMPRODUCT(--(B$3:B$62=B22),--(R$3:R$62&gt;R22),--(R$3:R$62&lt;&gt;"")),"","P"))</f>
        <v/>
      </c>
      <c r="T22" s="2" t="str" cm="1">
        <f t="array" ref="T22">IF(R22="","",IF(SUMPRODUCT(--(D$3:D$62="P"),--(B$3:B$62=B22)),"P",""))</f>
        <v>P</v>
      </c>
      <c r="U22" s="12" t="str">
        <f>IF(AND(S22&lt;&gt;"",OR(T22="",COUNTIF(R$3:R$62,"&gt;"&amp;R22)&lt;3)),R22,"")</f>
        <v/>
      </c>
      <c r="V22" s="1">
        <f>IF(COUNT(H22:L22)&lt;3,SUM(H22:L22),SMALL(H22:L22,1)+SMALL(H22:L22,2))</f>
        <v>25</v>
      </c>
      <c r="W22" s="1">
        <f>COUNTIF(H22:L22,"&lt;=8")</f>
        <v>0</v>
      </c>
      <c r="X22" s="1">
        <f>MIN(H22:L22)</f>
        <v>11</v>
      </c>
      <c r="Y22" s="1"/>
      <c r="Z22" s="2" t="str">
        <f>IF(OR(R22=R21,R22=R23),"P","")</f>
        <v/>
      </c>
    </row>
    <row r="23" spans="1:26" x14ac:dyDescent="0.2">
      <c r="A23" s="7" t="s">
        <v>154</v>
      </c>
      <c r="B23" s="6" t="s">
        <v>151</v>
      </c>
      <c r="C23" s="6" t="str">
        <f>IF(A23="","",VLOOKUP(B23,'Continental Affiliation'!A:B,2,0))</f>
        <v>Europe</v>
      </c>
      <c r="G23" s="3" t="str">
        <f>IF(U23="","",RANK(U23,U:U)+COUNTIF(D:E,"P"))</f>
        <v/>
      </c>
      <c r="H23" s="6" t="s">
        <v>143</v>
      </c>
      <c r="I23" s="6" t="s">
        <v>143</v>
      </c>
      <c r="J23" s="6" t="s">
        <v>143</v>
      </c>
      <c r="K23" s="6">
        <v>8</v>
      </c>
      <c r="L23" s="6">
        <v>19</v>
      </c>
      <c r="M23" s="1" t="str">
        <f>IF(OR(H23="",H23&gt;30),"",IF(H23=1,60,IF(H23=2,55,IF(H23=3,50,IF(H23=4,44,IF(H23=5,38,IF(H23=6,32,IF(H23=7,28,IF(H23=8,25,IF(H23=9,22,IF(H23=10,21,IF(H23=11,20,IF(H23=12,19,IF(H23=13,18,IF(H23=14,17,IF(H23=15,16,IF(H23=16,15,IF(H23=17,14,IF(H23=18,13,IF(H23=19,12,IF(H23=20,11,IF(H23=21,10,IF(H23=22,9,IF(H23=23,8,IF(H23=24,7,IF(H23=25,6,IF(H23=26,5,IF(H23=27,4,IF(H23=28,3,IF(H23=29,2,IF(H23=30,1)))))))))))))))))))))))))))))))</f>
        <v/>
      </c>
      <c r="N23" s="1" t="str">
        <f>IF(OR(I23="",I23&gt;30),"",IF(I23=1,60,IF(I23=2,55,IF(I23=3,50,IF(I23=4,44,IF(I23=5,38,IF(I23=6,32,IF(I23=7,28,IF(I23=8,25,IF(I23=9,22,IF(I23=10,21,IF(I23=11,20,IF(I23=12,19,IF(I23=13,18,IF(I23=14,17,IF(I23=15,16,IF(I23=16,15,IF(I23=17,14,IF(I23=18,13,IF(I23=19,12,IF(I23=20,11,IF(I23=21,10,IF(I23=22,9,IF(I23=23,8,IF(I23=24,7,IF(I23=25,6,IF(I23=26,5,IF(I23=27,4,IF(I23=28,3,IF(I23=29,2,IF(I23=30,1)))))))))))))))))))))))))))))))</f>
        <v/>
      </c>
      <c r="O23" s="1" t="str">
        <f>IF(OR(J23="",J23&gt;30),"",IF(J23=1,60,IF(J23=2,55,IF(J23=3,50,IF(J23=4,44,IF(J23=5,38,IF(J23=6,32,IF(J23=7,28,IF(J23=8,25,IF(J23=9,22,IF(J23=10,21,IF(J23=11,20,IF(J23=12,19,IF(J23=13,18,IF(J23=14,17,IF(J23=15,16,IF(J23=16,15,IF(J23=17,14,IF(J23=18,13,IF(J23=19,12,IF(J23=20,11,IF(J23=21,10,IF(J23=22,9,IF(J23=23,8,IF(J23=24,7,IF(J23=25,6,IF(J23=26,5,IF(J23=27,4,IF(J23=28,3,IF(J23=29,2,IF(J23=30,1)))))))))))))))))))))))))))))))</f>
        <v/>
      </c>
      <c r="P23" s="1">
        <f>IF(OR(K23="",K23&gt;30),"",IF(K23=1,60,IF(K23=2,55,IF(K23=3,50,IF(K23=4,44,IF(K23=5,38,IF(K23=6,32,IF(K23=7,28,IF(K23=8,25,IF(K23=9,22,IF(K23=10,21,IF(K23=11,20,IF(K23=12,19,IF(K23=13,18,IF(K23=14,17,IF(K23=15,16,IF(K23=16,15,IF(K23=17,14,IF(K23=18,13,IF(K23=19,12,IF(K23=20,11,IF(K23=21,10,IF(K23=22,9,IF(K23=23,8,IF(K23=24,7,IF(K23=25,6,IF(K23=26,5,IF(K23=27,4,IF(K23=28,3,IF(K23=29,2,IF(K23=30,1)))))))))))))))))))))))))))))))</f>
        <v>25</v>
      </c>
      <c r="Q23" s="1">
        <f>IF(OR(L23="",L23&gt;30),"",IF(L23=1,60,IF(L23=2,55,IF(L23=3,50,IF(L23=4,44,IF(L23=5,38,IF(L23=6,32,IF(L23=7,28,IF(L23=8,25,IF(L23=9,22,IF(L23=10,21,IF(L23=11,20,IF(L23=12,19,IF(L23=13,18,IF(L23=14,17,IF(L23=15,16,IF(L23=16,15,IF(L23=17,14,IF(L23=18,13,IF(L23=19,12,IF(L23=20,11,IF(L23=21,10,IF(L23=22,9,IF(L23=23,8,IF(L23=24,7,IF(L23=25,6,IF(L23=26,5,IF(L23=27,4,IF(L23=28,3,IF(L23=29,2,IF(L23=30,1)))))))))))))))))))))))))))))))</f>
        <v>12</v>
      </c>
      <c r="R23" s="12">
        <f>IF(A23="","",IF(OR(D23="P",E23="P"),"",IF(COUNT(M23:Q23)&lt;3,SUM(M23:Q23),LARGE(M23:Q23,1)+LARGE(M23:Q23,2))+(1000-V23)*10^-4+W23*10^-5+(100-X23)*10^-8+Y23*10^-10))</f>
        <v>37.097310919999998</v>
      </c>
      <c r="S23" s="2" t="str" cm="1">
        <f t="array" ref="S23">IF(OR(R23="",R23=0),"",IF(SUMPRODUCT(--(B$3:B$62=B23),--(R$3:R$62&gt;R23),--(R$3:R$62&lt;&gt;"")),"","P"))</f>
        <v/>
      </c>
      <c r="T23" s="2" t="str" cm="1">
        <f t="array" ref="T23">IF(R23="","",IF(SUMPRODUCT(--(D$3:D$62="P"),--(B$3:B$62=B23)),"P",""))</f>
        <v/>
      </c>
      <c r="U23" s="12" t="str">
        <f>IF(AND(S23&lt;&gt;"",OR(T23="",COUNTIF(R$3:R$62,"&gt;"&amp;R23)&lt;3)),R23,"")</f>
        <v/>
      </c>
      <c r="V23" s="1">
        <f>IF(COUNT(H23:L23)&lt;3,SUM(H23:L23),SMALL(H23:L23,1)+SMALL(H23:L23,2))</f>
        <v>27</v>
      </c>
      <c r="W23" s="1">
        <f>COUNTIF(H23:L23,"&lt;=8")</f>
        <v>1</v>
      </c>
      <c r="X23" s="1">
        <f>MIN(H23:L23)</f>
        <v>8</v>
      </c>
      <c r="Y23" s="1"/>
      <c r="Z23" s="2" t="str">
        <f>IF(OR(R23=R22,R23=R31),"P","")</f>
        <v/>
      </c>
    </row>
    <row r="24" spans="1:26" x14ac:dyDescent="0.2">
      <c r="A24" s="7" t="s">
        <v>123</v>
      </c>
      <c r="B24" s="6" t="s">
        <v>25</v>
      </c>
      <c r="C24" s="6" t="str">
        <f>IF(A24="","",VLOOKUP(B24,'Continental Affiliation'!A:B,2,0))</f>
        <v>Americas</v>
      </c>
      <c r="G24" s="3" t="str">
        <f>IF(U24="","",RANK(U24,U:U)+COUNTIF(D:E,"P"))</f>
        <v/>
      </c>
      <c r="H24" s="6">
        <v>29</v>
      </c>
      <c r="I24" s="6">
        <v>21</v>
      </c>
      <c r="J24" s="6">
        <v>8</v>
      </c>
      <c r="K24" s="6">
        <v>22</v>
      </c>
      <c r="L24" s="6">
        <v>37</v>
      </c>
      <c r="M24" s="1">
        <f>IF(OR(H24="",H24&gt;30),"",IF(H24=1,60,IF(H24=2,55,IF(H24=3,50,IF(H24=4,44,IF(H24=5,38,IF(H24=6,32,IF(H24=7,28,IF(H24=8,25,IF(H24=9,22,IF(H24=10,21,IF(H24=11,20,IF(H24=12,19,IF(H24=13,18,IF(H24=14,17,IF(H24=15,16,IF(H24=16,15,IF(H24=17,14,IF(H24=18,13,IF(H24=19,12,IF(H24=20,11,IF(H24=21,10,IF(H24=22,9,IF(H24=23,8,IF(H24=24,7,IF(H24=25,6,IF(H24=26,5,IF(H24=27,4,IF(H24=28,3,IF(H24=29,2,IF(H24=30,1)))))))))))))))))))))))))))))))</f>
        <v>2</v>
      </c>
      <c r="N24" s="1">
        <f>IF(OR(I24="",I24&gt;30),"",IF(I24=1,60,IF(I24=2,55,IF(I24=3,50,IF(I24=4,44,IF(I24=5,38,IF(I24=6,32,IF(I24=7,28,IF(I24=8,25,IF(I24=9,22,IF(I24=10,21,IF(I24=11,20,IF(I24=12,19,IF(I24=13,18,IF(I24=14,17,IF(I24=15,16,IF(I24=16,15,IF(I24=17,14,IF(I24=18,13,IF(I24=19,12,IF(I24=20,11,IF(I24=21,10,IF(I24=22,9,IF(I24=23,8,IF(I24=24,7,IF(I24=25,6,IF(I24=26,5,IF(I24=27,4,IF(I24=28,3,IF(I24=29,2,IF(I24=30,1)))))))))))))))))))))))))))))))</f>
        <v>10</v>
      </c>
      <c r="O24" s="1">
        <f>IF(OR(J24="",J24&gt;30),"",IF(J24=1,60,IF(J24=2,55,IF(J24=3,50,IF(J24=4,44,IF(J24=5,38,IF(J24=6,32,IF(J24=7,28,IF(J24=8,25,IF(J24=9,22,IF(J24=10,21,IF(J24=11,20,IF(J24=12,19,IF(J24=13,18,IF(J24=14,17,IF(J24=15,16,IF(J24=16,15,IF(J24=17,14,IF(J24=18,13,IF(J24=19,12,IF(J24=20,11,IF(J24=21,10,IF(J24=22,9,IF(J24=23,8,IF(J24=24,7,IF(J24=25,6,IF(J24=26,5,IF(J24=27,4,IF(J24=28,3,IF(J24=29,2,IF(J24=30,1)))))))))))))))))))))))))))))))</f>
        <v>25</v>
      </c>
      <c r="P24" s="1">
        <f>IF(OR(K24="",K24&gt;30),"",IF(K24=1,60,IF(K24=2,55,IF(K24=3,50,IF(K24=4,44,IF(K24=5,38,IF(K24=6,32,IF(K24=7,28,IF(K24=8,25,IF(K24=9,22,IF(K24=10,21,IF(K24=11,20,IF(K24=12,19,IF(K24=13,18,IF(K24=14,17,IF(K24=15,16,IF(K24=16,15,IF(K24=17,14,IF(K24=18,13,IF(K24=19,12,IF(K24=20,11,IF(K24=21,10,IF(K24=22,9,IF(K24=23,8,IF(K24=24,7,IF(K24=25,6,IF(K24=26,5,IF(K24=27,4,IF(K24=28,3,IF(K24=29,2,IF(K24=30,1)))))))))))))))))))))))))))))))</f>
        <v>9</v>
      </c>
      <c r="Q24" s="1" t="str">
        <f>IF(OR(L24="",L24&gt;30),"",IF(L24=1,60,IF(L24=2,55,IF(L24=3,50,IF(L24=4,44,IF(L24=5,38,IF(L24=6,32,IF(L24=7,28,IF(L24=8,25,IF(L24=9,22,IF(L24=10,21,IF(L24=11,20,IF(L24=12,19,IF(L24=13,18,IF(L24=14,17,IF(L24=15,16,IF(L24=16,15,IF(L24=17,14,IF(L24=18,13,IF(L24=19,12,IF(L24=20,11,IF(L24=21,10,IF(L24=22,9,IF(L24=23,8,IF(L24=24,7,IF(L24=25,6,IF(L24=26,5,IF(L24=27,4,IF(L24=28,3,IF(L24=29,2,IF(L24=30,1)))))))))))))))))))))))))))))))</f>
        <v/>
      </c>
      <c r="R24" s="12">
        <f>IF(A24="","",IF(OR(D24="P",E24="P"),"",IF(COUNT(M24:Q24)&lt;3,SUM(M24:Q24),LARGE(M24:Q24,1)+LARGE(M24:Q24,2))+(1000-V24)*10^-4+W24*10^-5+(100-X24)*10^-8+Y24*10^-10))</f>
        <v>35.097110919999999</v>
      </c>
      <c r="S24" s="2" t="str">
        <f>IF(OR(R24="",R24=0),"",IF(SUMPRODUCT(--(B$3:B$62=B24),--(R$3:R$62&gt;R24),--(R$3:R$62&lt;&gt;"")),"","P"))</f>
        <v/>
      </c>
      <c r="T24" s="2" t="str" cm="1">
        <f t="array" ref="T24">IF(R24="","",IF(SUMPRODUCT(--(D$3:D$62="P"),--(B$3:B$62=B24)),"P",""))</f>
        <v/>
      </c>
      <c r="U24" s="12" t="str">
        <f>IF(AND(S24&lt;&gt;"",OR(T24="",COUNTIF(R$3:R$62,"&gt;"&amp;R24)&lt;3)),R24,"")</f>
        <v/>
      </c>
      <c r="V24" s="1">
        <f>IF(COUNT(H24:L24)&lt;3,SUM(H24:L24),SMALL(H24:L24,1)+SMALL(H24:L24,2))</f>
        <v>29</v>
      </c>
      <c r="W24" s="1">
        <f>COUNTIF(H24:L24,"&lt;=8")</f>
        <v>1</v>
      </c>
      <c r="X24" s="1">
        <f>MIN(H24:L24)</f>
        <v>8</v>
      </c>
      <c r="Y24" s="1"/>
      <c r="Z24" s="2" t="str">
        <f>IF(OR(R24=R23,R24=R25),"P","")</f>
        <v/>
      </c>
    </row>
    <row r="25" spans="1:26" x14ac:dyDescent="0.2">
      <c r="A25" s="7" t="s">
        <v>137</v>
      </c>
      <c r="B25" s="6" t="s">
        <v>22</v>
      </c>
      <c r="C25" s="6" t="str">
        <f>IF(A25="","",VLOOKUP(B25,'Continental Affiliation'!A:B,2,0))</f>
        <v>Europe</v>
      </c>
      <c r="G25" s="3">
        <f>IF(U25="","",RANK(U25,U:U)+COUNTIF(D:E,"P"))</f>
        <v>12</v>
      </c>
      <c r="H25" s="6">
        <v>34</v>
      </c>
      <c r="I25" s="6">
        <v>34</v>
      </c>
      <c r="J25" s="6">
        <v>13</v>
      </c>
      <c r="K25" s="6">
        <v>65</v>
      </c>
      <c r="L25" s="6">
        <v>15</v>
      </c>
      <c r="M25" s="1" t="str">
        <f>IF(OR(H25="",H25&gt;30),"",IF(H25=1,60,IF(H25=2,55,IF(H25=3,50,IF(H25=4,44,IF(H25=5,38,IF(H25=6,32,IF(H25=7,28,IF(H25=8,25,IF(H25=9,22,IF(H25=10,21,IF(H25=11,20,IF(H25=12,19,IF(H25=13,18,IF(H25=14,17,IF(H25=15,16,IF(H25=16,15,IF(H25=17,14,IF(H25=18,13,IF(H25=19,12,IF(H25=20,11,IF(H25=21,10,IF(H25=22,9,IF(H25=23,8,IF(H25=24,7,IF(H25=25,6,IF(H25=26,5,IF(H25=27,4,IF(H25=28,3,IF(H25=29,2,IF(H25=30,1)))))))))))))))))))))))))))))))</f>
        <v/>
      </c>
      <c r="N25" s="1" t="str">
        <f>IF(OR(I25="",I25&gt;30),"",IF(I25=1,60,IF(I25=2,55,IF(I25=3,50,IF(I25=4,44,IF(I25=5,38,IF(I25=6,32,IF(I25=7,28,IF(I25=8,25,IF(I25=9,22,IF(I25=10,21,IF(I25=11,20,IF(I25=12,19,IF(I25=13,18,IF(I25=14,17,IF(I25=15,16,IF(I25=16,15,IF(I25=17,14,IF(I25=18,13,IF(I25=19,12,IF(I25=20,11,IF(I25=21,10,IF(I25=22,9,IF(I25=23,8,IF(I25=24,7,IF(I25=25,6,IF(I25=26,5,IF(I25=27,4,IF(I25=28,3,IF(I25=29,2,IF(I25=30,1)))))))))))))))))))))))))))))))</f>
        <v/>
      </c>
      <c r="O25" s="1">
        <f>IF(OR(J25="",J25&gt;30),"",IF(J25=1,60,IF(J25=2,55,IF(J25=3,50,IF(J25=4,44,IF(J25=5,38,IF(J25=6,32,IF(J25=7,28,IF(J25=8,25,IF(J25=9,22,IF(J25=10,21,IF(J25=11,20,IF(J25=12,19,IF(J25=13,18,IF(J25=14,17,IF(J25=15,16,IF(J25=16,15,IF(J25=17,14,IF(J25=18,13,IF(J25=19,12,IF(J25=20,11,IF(J25=21,10,IF(J25=22,9,IF(J25=23,8,IF(J25=24,7,IF(J25=25,6,IF(J25=26,5,IF(J25=27,4,IF(J25=28,3,IF(J25=29,2,IF(J25=30,1)))))))))))))))))))))))))))))))</f>
        <v>18</v>
      </c>
      <c r="P25" s="1" t="str">
        <f>IF(OR(K25="",K25&gt;30),"",IF(K25=1,60,IF(K25=2,55,IF(K25=3,50,IF(K25=4,44,IF(K25=5,38,IF(K25=6,32,IF(K25=7,28,IF(K25=8,25,IF(K25=9,22,IF(K25=10,21,IF(K25=11,20,IF(K25=12,19,IF(K25=13,18,IF(K25=14,17,IF(K25=15,16,IF(K25=16,15,IF(K25=17,14,IF(K25=18,13,IF(K25=19,12,IF(K25=20,11,IF(K25=21,10,IF(K25=22,9,IF(K25=23,8,IF(K25=24,7,IF(K25=25,6,IF(K25=26,5,IF(K25=27,4,IF(K25=28,3,IF(K25=29,2,IF(K25=30,1)))))))))))))))))))))))))))))))</f>
        <v/>
      </c>
      <c r="Q25" s="1">
        <f>IF(OR(L25="",L25&gt;30),"",IF(L25=1,60,IF(L25=2,55,IF(L25=3,50,IF(L25=4,44,IF(L25=5,38,IF(L25=6,32,IF(L25=7,28,IF(L25=8,25,IF(L25=9,22,IF(L25=10,21,IF(L25=11,20,IF(L25=12,19,IF(L25=13,18,IF(L25=14,17,IF(L25=15,16,IF(L25=16,15,IF(L25=17,14,IF(L25=18,13,IF(L25=19,12,IF(L25=20,11,IF(L25=21,10,IF(L25=22,9,IF(L25=23,8,IF(L25=24,7,IF(L25=25,6,IF(L25=26,5,IF(L25=27,4,IF(L25=28,3,IF(L25=29,2,IF(L25=30,1)))))))))))))))))))))))))))))))</f>
        <v>16</v>
      </c>
      <c r="R25" s="12">
        <f>IF(A25="","",IF(OR(D25="P",E25="P"),"",IF(COUNT(M25:Q25)&lt;3,SUM(M25:Q25),LARGE(M25:Q25,1)+LARGE(M25:Q25,2))+(1000-V25)*10^-4+W25*10^-5+(100-X25)*10^-8+Y25*10^-10))</f>
        <v>34.097200870000002</v>
      </c>
      <c r="S25" s="2" t="str" cm="1">
        <f t="array" ref="S25">IF(OR(R25="",R25=0),"",IF(SUMPRODUCT(--(B$3:B$62=B25),--(R$3:R$62&gt;R25),--(R$3:R$62&lt;&gt;"")),"","P"))</f>
        <v>P</v>
      </c>
      <c r="T25" s="2" t="str" cm="1">
        <f t="array" ref="T25">IF(R25="","",IF(SUMPRODUCT(--(D$3:D$62="P"),--(B$3:B$62=B25)),"P",""))</f>
        <v/>
      </c>
      <c r="U25" s="12">
        <f>IF(AND(S25&lt;&gt;"",OR(T25="",COUNTIF(R$3:R$62,"&gt;"&amp;R25)&lt;3)),R25,"")</f>
        <v>34.097200870000002</v>
      </c>
      <c r="V25" s="1">
        <f>IF(COUNT(H25:L25)&lt;3,SUM(H25:L25),SMALL(H25:L25,1)+SMALL(H25:L25,2))</f>
        <v>28</v>
      </c>
      <c r="W25" s="1">
        <f>COUNTIF(H25:L25,"&lt;=8")</f>
        <v>0</v>
      </c>
      <c r="X25" s="1">
        <f>MIN(H25:L25)</f>
        <v>13</v>
      </c>
      <c r="Y25" s="1"/>
      <c r="Z25" s="2" t="str">
        <f>IF(OR(R25=R24,R25=R33),"P","")</f>
        <v/>
      </c>
    </row>
    <row r="26" spans="1:26" x14ac:dyDescent="0.2">
      <c r="A26" s="7" t="s">
        <v>59</v>
      </c>
      <c r="B26" s="6" t="s">
        <v>60</v>
      </c>
      <c r="C26" s="6" t="str">
        <f>IF(A26="","",VLOOKUP(B26,'Continental Affiliation'!A:B,2,0))</f>
        <v>Americas</v>
      </c>
      <c r="G26" s="3">
        <f>IF(U26="","",RANK(U26,U:U)+COUNTIF(D:E,"P"))</f>
        <v>13</v>
      </c>
      <c r="H26" s="6">
        <v>14</v>
      </c>
      <c r="I26" s="6">
        <v>27</v>
      </c>
      <c r="J26" s="6" t="s">
        <v>143</v>
      </c>
      <c r="K26" s="6">
        <v>14</v>
      </c>
      <c r="L26" s="6">
        <v>18</v>
      </c>
      <c r="M26" s="1">
        <f>IF(OR(H26="",H26&gt;30),"",IF(H26=1,60,IF(H26=2,55,IF(H26=3,50,IF(H26=4,44,IF(H26=5,38,IF(H26=6,32,IF(H26=7,28,IF(H26=8,25,IF(H26=9,22,IF(H26=10,21,IF(H26=11,20,IF(H26=12,19,IF(H26=13,18,IF(H26=14,17,IF(H26=15,16,IF(H26=16,15,IF(H26=17,14,IF(H26=18,13,IF(H26=19,12,IF(H26=20,11,IF(H26=21,10,IF(H26=22,9,IF(H26=23,8,IF(H26=24,7,IF(H26=25,6,IF(H26=26,5,IF(H26=27,4,IF(H26=28,3,IF(H26=29,2,IF(H26=30,1)))))))))))))))))))))))))))))))</f>
        <v>17</v>
      </c>
      <c r="N26" s="1">
        <f>IF(OR(I26="",I26&gt;30),"",IF(I26=1,60,IF(I26=2,55,IF(I26=3,50,IF(I26=4,44,IF(I26=5,38,IF(I26=6,32,IF(I26=7,28,IF(I26=8,25,IF(I26=9,22,IF(I26=10,21,IF(I26=11,20,IF(I26=12,19,IF(I26=13,18,IF(I26=14,17,IF(I26=15,16,IF(I26=16,15,IF(I26=17,14,IF(I26=18,13,IF(I26=19,12,IF(I26=20,11,IF(I26=21,10,IF(I26=22,9,IF(I26=23,8,IF(I26=24,7,IF(I26=25,6,IF(I26=26,5,IF(I26=27,4,IF(I26=28,3,IF(I26=29,2,IF(I26=30,1)))))))))))))))))))))))))))))))</f>
        <v>4</v>
      </c>
      <c r="O26" s="1" t="str">
        <f>IF(OR(J26="",J26&gt;30),"",IF(J26=1,60,IF(J26=2,55,IF(J26=3,50,IF(J26=4,44,IF(J26=5,38,IF(J26=6,32,IF(J26=7,28,IF(J26=8,25,IF(J26=9,22,IF(J26=10,21,IF(J26=11,20,IF(J26=12,19,IF(J26=13,18,IF(J26=14,17,IF(J26=15,16,IF(J26=16,15,IF(J26=17,14,IF(J26=18,13,IF(J26=19,12,IF(J26=20,11,IF(J26=21,10,IF(J26=22,9,IF(J26=23,8,IF(J26=24,7,IF(J26=25,6,IF(J26=26,5,IF(J26=27,4,IF(J26=28,3,IF(J26=29,2,IF(J26=30,1)))))))))))))))))))))))))))))))</f>
        <v/>
      </c>
      <c r="P26" s="1">
        <f>IF(OR(K26="",K26&gt;30),"",IF(K26=1,60,IF(K26=2,55,IF(K26=3,50,IF(K26=4,44,IF(K26=5,38,IF(K26=6,32,IF(K26=7,28,IF(K26=8,25,IF(K26=9,22,IF(K26=10,21,IF(K26=11,20,IF(K26=12,19,IF(K26=13,18,IF(K26=14,17,IF(K26=15,16,IF(K26=16,15,IF(K26=17,14,IF(K26=18,13,IF(K26=19,12,IF(K26=20,11,IF(K26=21,10,IF(K26=22,9,IF(K26=23,8,IF(K26=24,7,IF(K26=25,6,IF(K26=26,5,IF(K26=27,4,IF(K26=28,3,IF(K26=29,2,IF(K26=30,1)))))))))))))))))))))))))))))))</f>
        <v>17</v>
      </c>
      <c r="Q26" s="1">
        <f>IF(OR(L26="",L26&gt;30),"",IF(L26=1,60,IF(L26=2,55,IF(L26=3,50,IF(L26=4,44,IF(L26=5,38,IF(L26=6,32,IF(L26=7,28,IF(L26=8,25,IF(L26=9,22,IF(L26=10,21,IF(L26=11,20,IF(L26=12,19,IF(L26=13,18,IF(L26=14,17,IF(L26=15,16,IF(L26=16,15,IF(L26=17,14,IF(L26=18,13,IF(L26=19,12,IF(L26=20,11,IF(L26=21,10,IF(L26=22,9,IF(L26=23,8,IF(L26=24,7,IF(L26=25,6,IF(L26=26,5,IF(L26=27,4,IF(L26=28,3,IF(L26=29,2,IF(L26=30,1)))))))))))))))))))))))))))))))</f>
        <v>13</v>
      </c>
      <c r="R26" s="12">
        <f>IF(A26="","",IF(OR(D26="P",E26="P"),"",IF(COUNT(M26:Q26)&lt;3,SUM(M26:Q26),LARGE(M26:Q26,1)+LARGE(M26:Q26,2))+(1000-V26)*10^-4+W26*10^-5+(100-X26)*10^-8+Y26*10^-10))</f>
        <v>34.097200860000001</v>
      </c>
      <c r="S26" s="2" t="str">
        <f>IF(OR(R26="",R26=0),"",IF(SUMPRODUCT(--(B$3:B$62=B26),--(R$3:R$62&gt;R26),--(R$3:R$62&lt;&gt;"")),"","P"))</f>
        <v>P</v>
      </c>
      <c r="T26" s="2" t="str" cm="1">
        <f t="array" ref="T26">IF(R26="","",IF(SUMPRODUCT(--(D$3:D$62="P"),--(B$3:B$62=B26)),"P",""))</f>
        <v/>
      </c>
      <c r="U26" s="12">
        <f>IF(AND(S26&lt;&gt;"",OR(T26="",COUNTIF(R$3:R$62,"&gt;"&amp;R26)&lt;3)),R26,"")</f>
        <v>34.097200860000001</v>
      </c>
      <c r="V26" s="1">
        <f>IF(COUNT(H26:L26)&lt;3,SUM(H26:L26),SMALL(H26:L26,1)+SMALL(H26:L26,2))</f>
        <v>28</v>
      </c>
      <c r="W26" s="1">
        <f>COUNTIF(H26:L26,"&lt;=8")</f>
        <v>0</v>
      </c>
      <c r="X26" s="1">
        <f>MIN(H26:L26)</f>
        <v>14</v>
      </c>
      <c r="Y26" s="1"/>
      <c r="Z26" s="2" t="str">
        <f>IF(OR(R26=R25,R26=R27),"P","")</f>
        <v/>
      </c>
    </row>
    <row r="27" spans="1:26" x14ac:dyDescent="0.2">
      <c r="A27" s="7" t="s">
        <v>54</v>
      </c>
      <c r="B27" s="6" t="s">
        <v>46</v>
      </c>
      <c r="C27" s="6" t="str">
        <f>IF(A27="","",VLOOKUP(B27,'Continental Affiliation'!A:B,2,0))</f>
        <v>Asia</v>
      </c>
      <c r="G27" s="3">
        <f>IF(U27="","",RANK(U27,U:U)+COUNTIF(D:E,"P"))</f>
        <v>14</v>
      </c>
      <c r="H27" s="6">
        <v>9</v>
      </c>
      <c r="I27" s="6">
        <v>20</v>
      </c>
      <c r="J27" s="6">
        <v>41</v>
      </c>
      <c r="K27" s="6">
        <v>21</v>
      </c>
      <c r="L27" s="6">
        <v>47</v>
      </c>
      <c r="M27" s="1">
        <f>IF(OR(H27="",H27&gt;30),"",IF(H27=1,60,IF(H27=2,55,IF(H27=3,50,IF(H27=4,44,IF(H27=5,38,IF(H27=6,32,IF(H27=7,28,IF(H27=8,25,IF(H27=9,22,IF(H27=10,21,IF(H27=11,20,IF(H27=12,19,IF(H27=13,18,IF(H27=14,17,IF(H27=15,16,IF(H27=16,15,IF(H27=17,14,IF(H27=18,13,IF(H27=19,12,IF(H27=20,11,IF(H27=21,10,IF(H27=22,9,IF(H27=23,8,IF(H27=24,7,IF(H27=25,6,IF(H27=26,5,IF(H27=27,4,IF(H27=28,3,IF(H27=29,2,IF(H27=30,1)))))))))))))))))))))))))))))))</f>
        <v>22</v>
      </c>
      <c r="N27" s="1">
        <f>IF(OR(I27="",I27&gt;30),"",IF(I27=1,60,IF(I27=2,55,IF(I27=3,50,IF(I27=4,44,IF(I27=5,38,IF(I27=6,32,IF(I27=7,28,IF(I27=8,25,IF(I27=9,22,IF(I27=10,21,IF(I27=11,20,IF(I27=12,19,IF(I27=13,18,IF(I27=14,17,IF(I27=15,16,IF(I27=16,15,IF(I27=17,14,IF(I27=18,13,IF(I27=19,12,IF(I27=20,11,IF(I27=21,10,IF(I27=22,9,IF(I27=23,8,IF(I27=24,7,IF(I27=25,6,IF(I27=26,5,IF(I27=27,4,IF(I27=28,3,IF(I27=29,2,IF(I27=30,1)))))))))))))))))))))))))))))))</f>
        <v>11</v>
      </c>
      <c r="O27" s="1" t="str">
        <f>IF(OR(J27="",J27&gt;30),"",IF(J27=1,60,IF(J27=2,55,IF(J27=3,50,IF(J27=4,44,IF(J27=5,38,IF(J27=6,32,IF(J27=7,28,IF(J27=8,25,IF(J27=9,22,IF(J27=10,21,IF(J27=11,20,IF(J27=12,19,IF(J27=13,18,IF(J27=14,17,IF(J27=15,16,IF(J27=16,15,IF(J27=17,14,IF(J27=18,13,IF(J27=19,12,IF(J27=20,11,IF(J27=21,10,IF(J27=22,9,IF(J27=23,8,IF(J27=24,7,IF(J27=25,6,IF(J27=26,5,IF(J27=27,4,IF(J27=28,3,IF(J27=29,2,IF(J27=30,1)))))))))))))))))))))))))))))))</f>
        <v/>
      </c>
      <c r="P27" s="1">
        <f>IF(OR(K27="",K27&gt;30),"",IF(K27=1,60,IF(K27=2,55,IF(K27=3,50,IF(K27=4,44,IF(K27=5,38,IF(K27=6,32,IF(K27=7,28,IF(K27=8,25,IF(K27=9,22,IF(K27=10,21,IF(K27=11,20,IF(K27=12,19,IF(K27=13,18,IF(K27=14,17,IF(K27=15,16,IF(K27=16,15,IF(K27=17,14,IF(K27=18,13,IF(K27=19,12,IF(K27=20,11,IF(K27=21,10,IF(K27=22,9,IF(K27=23,8,IF(K27=24,7,IF(K27=25,6,IF(K27=26,5,IF(K27=27,4,IF(K27=28,3,IF(K27=29,2,IF(K27=30,1)))))))))))))))))))))))))))))))</f>
        <v>10</v>
      </c>
      <c r="Q27" s="1" t="str">
        <f>IF(OR(L27="",L27&gt;30),"",IF(L27=1,60,IF(L27=2,55,IF(L27=3,50,IF(L27=4,44,IF(L27=5,38,IF(L27=6,32,IF(L27=7,28,IF(L27=8,25,IF(L27=9,22,IF(L27=10,21,IF(L27=11,20,IF(L27=12,19,IF(L27=13,18,IF(L27=14,17,IF(L27=15,16,IF(L27=16,15,IF(L27=17,14,IF(L27=18,13,IF(L27=19,12,IF(L27=20,11,IF(L27=21,10,IF(L27=22,9,IF(L27=23,8,IF(L27=24,7,IF(L27=25,6,IF(L27=26,5,IF(L27=27,4,IF(L27=28,3,IF(L27=29,2,IF(L27=30,1)))))))))))))))))))))))))))))))</f>
        <v/>
      </c>
      <c r="R27" s="12">
        <f>IF(A27="","",IF(OR(D27="P",E27="P"),"",IF(COUNT(M27:Q27)&lt;3,SUM(M27:Q27),LARGE(M27:Q27,1)+LARGE(M27:Q27,2))+(1000-V27)*10^-4+W27*10^-5+(100-X27)*10^-8+Y27*10^-10))</f>
        <v>33.097100909999995</v>
      </c>
      <c r="S27" s="2" t="str">
        <f>IF(OR(R27="",R27=0),"",IF(SUMPRODUCT(--(B$3:B$62=B27),--(R$3:R$62&gt;R27),--(R$3:R$62&lt;&gt;"")),"","P"))</f>
        <v>P</v>
      </c>
      <c r="T27" s="2" t="str" cm="1">
        <f t="array" ref="T27">IF(R27="","",IF(SUMPRODUCT(--(D$3:D$62="P"),--(B$3:B$62=B27)),"P",""))</f>
        <v/>
      </c>
      <c r="U27" s="12">
        <f>IF(AND(S27&lt;&gt;"",OR(T27="",COUNTIF(R$3:R$62,"&gt;"&amp;R27)&lt;3)),R27,"")</f>
        <v>33.097100909999995</v>
      </c>
      <c r="V27" s="1">
        <f>IF(COUNT(H27:L27)&lt;3,SUM(H27:L27),SMALL(H27:L27,1)+SMALL(H27:L27,2))</f>
        <v>29</v>
      </c>
      <c r="W27" s="1">
        <f>COUNTIF(H27:L27,"&lt;=8")</f>
        <v>0</v>
      </c>
      <c r="X27" s="1">
        <f>MIN(H27:L27)</f>
        <v>9</v>
      </c>
      <c r="Y27" s="1"/>
      <c r="Z27" s="2" t="str">
        <f>IF(OR(R27=R26,R27=R28),"P","")</f>
        <v/>
      </c>
    </row>
    <row r="28" spans="1:26" x14ac:dyDescent="0.2">
      <c r="A28" s="7" t="s">
        <v>140</v>
      </c>
      <c r="B28" s="6" t="s">
        <v>25</v>
      </c>
      <c r="C28" s="6" t="str">
        <f>IF(A28="","",VLOOKUP(B28,'Continental Affiliation'!A:B,2,0))</f>
        <v>Americas</v>
      </c>
      <c r="G28" s="3" t="str">
        <f>IF(U28="","",RANK(U28,U:U)+COUNTIF(D:E,"P"))</f>
        <v/>
      </c>
      <c r="H28" s="6">
        <v>31</v>
      </c>
      <c r="I28" s="6">
        <v>33</v>
      </c>
      <c r="J28" s="6">
        <v>17</v>
      </c>
      <c r="K28" s="6">
        <v>12</v>
      </c>
      <c r="L28" s="6">
        <v>46</v>
      </c>
      <c r="M28" s="1" t="str">
        <f>IF(OR(H28="",H28&gt;30),"",IF(H28=1,60,IF(H28=2,55,IF(H28=3,50,IF(H28=4,44,IF(H28=5,38,IF(H28=6,32,IF(H28=7,28,IF(H28=8,25,IF(H28=9,22,IF(H28=10,21,IF(H28=11,20,IF(H28=12,19,IF(H28=13,18,IF(H28=14,17,IF(H28=15,16,IF(H28=16,15,IF(H28=17,14,IF(H28=18,13,IF(H28=19,12,IF(H28=20,11,IF(H28=21,10,IF(H28=22,9,IF(H28=23,8,IF(H28=24,7,IF(H28=25,6,IF(H28=26,5,IF(H28=27,4,IF(H28=28,3,IF(H28=29,2,IF(H28=30,1)))))))))))))))))))))))))))))))</f>
        <v/>
      </c>
      <c r="N28" s="1" t="str">
        <f>IF(OR(I28="",I28&gt;30),"",IF(I28=1,60,IF(I28=2,55,IF(I28=3,50,IF(I28=4,44,IF(I28=5,38,IF(I28=6,32,IF(I28=7,28,IF(I28=8,25,IF(I28=9,22,IF(I28=10,21,IF(I28=11,20,IF(I28=12,19,IF(I28=13,18,IF(I28=14,17,IF(I28=15,16,IF(I28=16,15,IF(I28=17,14,IF(I28=18,13,IF(I28=19,12,IF(I28=20,11,IF(I28=21,10,IF(I28=22,9,IF(I28=23,8,IF(I28=24,7,IF(I28=25,6,IF(I28=26,5,IF(I28=27,4,IF(I28=28,3,IF(I28=29,2,IF(I28=30,1)))))))))))))))))))))))))))))))</f>
        <v/>
      </c>
      <c r="O28" s="1">
        <f>IF(OR(J28="",J28&gt;30),"",IF(J28=1,60,IF(J28=2,55,IF(J28=3,50,IF(J28=4,44,IF(J28=5,38,IF(J28=6,32,IF(J28=7,28,IF(J28=8,25,IF(J28=9,22,IF(J28=10,21,IF(J28=11,20,IF(J28=12,19,IF(J28=13,18,IF(J28=14,17,IF(J28=15,16,IF(J28=16,15,IF(J28=17,14,IF(J28=18,13,IF(J28=19,12,IF(J28=20,11,IF(J28=21,10,IF(J28=22,9,IF(J28=23,8,IF(J28=24,7,IF(J28=25,6,IF(J28=26,5,IF(J28=27,4,IF(J28=28,3,IF(J28=29,2,IF(J28=30,1)))))))))))))))))))))))))))))))</f>
        <v>14</v>
      </c>
      <c r="P28" s="1">
        <f>IF(OR(K28="",K28&gt;30),"",IF(K28=1,60,IF(K28=2,55,IF(K28=3,50,IF(K28=4,44,IF(K28=5,38,IF(K28=6,32,IF(K28=7,28,IF(K28=8,25,IF(K28=9,22,IF(K28=10,21,IF(K28=11,20,IF(K28=12,19,IF(K28=13,18,IF(K28=14,17,IF(K28=15,16,IF(K28=16,15,IF(K28=17,14,IF(K28=18,13,IF(K28=19,12,IF(K28=20,11,IF(K28=21,10,IF(K28=22,9,IF(K28=23,8,IF(K28=24,7,IF(K28=25,6,IF(K28=26,5,IF(K28=27,4,IF(K28=28,3,IF(K28=29,2,IF(K28=30,1)))))))))))))))))))))))))))))))</f>
        <v>19</v>
      </c>
      <c r="Q28" s="1" t="str">
        <f>IF(OR(L28="",L28&gt;30),"",IF(L28=1,60,IF(L28=2,55,IF(L28=3,50,IF(L28=4,44,IF(L28=5,38,IF(L28=6,32,IF(L28=7,28,IF(L28=8,25,IF(L28=9,22,IF(L28=10,21,IF(L28=11,20,IF(L28=12,19,IF(L28=13,18,IF(L28=14,17,IF(L28=15,16,IF(L28=16,15,IF(L28=17,14,IF(L28=18,13,IF(L28=19,12,IF(L28=20,11,IF(L28=21,10,IF(L28=22,9,IF(L28=23,8,IF(L28=24,7,IF(L28=25,6,IF(L28=26,5,IF(L28=27,4,IF(L28=28,3,IF(L28=29,2,IF(L28=30,1)))))))))))))))))))))))))))))))</f>
        <v/>
      </c>
      <c r="R28" s="12">
        <f>IF(A28="","",IF(OR(D28="P",E28="P"),"",IF(COUNT(M28:Q28)&lt;3,SUM(M28:Q28),LARGE(M28:Q28,1)+LARGE(M28:Q28,2))+(1000-V28)*10^-4+W28*10^-5+(100-X28)*10^-8+Y28*10^-10))</f>
        <v>33.097100879999999</v>
      </c>
      <c r="S28" s="2" t="str">
        <f>IF(OR(R28="",R28=0),"",IF(SUMPRODUCT(--(B$3:B$62=B28),--(R$3:R$62&gt;R28),--(R$3:R$62&lt;&gt;"")),"","P"))</f>
        <v/>
      </c>
      <c r="T28" s="2" t="str" cm="1">
        <f t="array" ref="T28">IF(R28="","",IF(SUMPRODUCT(--(D$3:D$62="P"),--(B$3:B$62=B28)),"P",""))</f>
        <v/>
      </c>
      <c r="U28" s="12" t="str">
        <f>IF(AND(S28&lt;&gt;"",OR(T28="",COUNTIF(R$3:R$62,"&gt;"&amp;R28)&lt;3)),R28,"")</f>
        <v/>
      </c>
      <c r="V28" s="1">
        <f>IF(COUNT(H28:L28)&lt;3,SUM(H28:L28),SMALL(H28:L28,1)+SMALL(H28:L28,2))</f>
        <v>29</v>
      </c>
      <c r="W28" s="1">
        <f>COUNTIF(H28:L28,"&lt;=8")</f>
        <v>0</v>
      </c>
      <c r="X28" s="1">
        <f>MIN(H28:L28)</f>
        <v>12</v>
      </c>
      <c r="Y28" s="1"/>
      <c r="Z28" s="1"/>
    </row>
    <row r="29" spans="1:26" x14ac:dyDescent="0.2">
      <c r="A29" s="7" t="s">
        <v>40</v>
      </c>
      <c r="B29" s="6" t="s">
        <v>28</v>
      </c>
      <c r="C29" s="6" t="str">
        <f>IF(A29="","",VLOOKUP(B29,'Continental Affiliation'!A:B,2,0))</f>
        <v>Europe</v>
      </c>
      <c r="G29" s="3">
        <f>IF(U29="","",RANK(U29,U:U)+COUNTIF(D:E,"P"))</f>
        <v>15</v>
      </c>
      <c r="H29" s="6">
        <v>16</v>
      </c>
      <c r="I29" s="6">
        <v>15</v>
      </c>
      <c r="J29" s="6">
        <v>31</v>
      </c>
      <c r="K29" s="6">
        <v>27</v>
      </c>
      <c r="L29" s="6">
        <v>34</v>
      </c>
      <c r="M29" s="1">
        <f>IF(OR(H29="",H29&gt;30),"",IF(H29=1,60,IF(H29=2,55,IF(H29=3,50,IF(H29=4,44,IF(H29=5,38,IF(H29=6,32,IF(H29=7,28,IF(H29=8,25,IF(H29=9,22,IF(H29=10,21,IF(H29=11,20,IF(H29=12,19,IF(H29=13,18,IF(H29=14,17,IF(H29=15,16,IF(H29=16,15,IF(H29=17,14,IF(H29=18,13,IF(H29=19,12,IF(H29=20,11,IF(H29=21,10,IF(H29=22,9,IF(H29=23,8,IF(H29=24,7,IF(H29=25,6,IF(H29=26,5,IF(H29=27,4,IF(H29=28,3,IF(H29=29,2,IF(H29=30,1)))))))))))))))))))))))))))))))</f>
        <v>15</v>
      </c>
      <c r="N29" s="1">
        <f>IF(OR(I29="",I29&gt;30),"",IF(I29=1,60,IF(I29=2,55,IF(I29=3,50,IF(I29=4,44,IF(I29=5,38,IF(I29=6,32,IF(I29=7,28,IF(I29=8,25,IF(I29=9,22,IF(I29=10,21,IF(I29=11,20,IF(I29=12,19,IF(I29=13,18,IF(I29=14,17,IF(I29=15,16,IF(I29=16,15,IF(I29=17,14,IF(I29=18,13,IF(I29=19,12,IF(I29=20,11,IF(I29=21,10,IF(I29=22,9,IF(I29=23,8,IF(I29=24,7,IF(I29=25,6,IF(I29=26,5,IF(I29=27,4,IF(I29=28,3,IF(I29=29,2,IF(I29=30,1)))))))))))))))))))))))))))))))</f>
        <v>16</v>
      </c>
      <c r="O29" s="1" t="str">
        <f>IF(OR(J29="",J29&gt;30),"",IF(J29=1,60,IF(J29=2,55,IF(J29=3,50,IF(J29=4,44,IF(J29=5,38,IF(J29=6,32,IF(J29=7,28,IF(J29=8,25,IF(J29=9,22,IF(J29=10,21,IF(J29=11,20,IF(J29=12,19,IF(J29=13,18,IF(J29=14,17,IF(J29=15,16,IF(J29=16,15,IF(J29=17,14,IF(J29=18,13,IF(J29=19,12,IF(J29=20,11,IF(J29=21,10,IF(J29=22,9,IF(J29=23,8,IF(J29=24,7,IF(J29=25,6,IF(J29=26,5,IF(J29=27,4,IF(J29=28,3,IF(J29=29,2,IF(J29=30,1)))))))))))))))))))))))))))))))</f>
        <v/>
      </c>
      <c r="P29" s="1">
        <f>IF(OR(K29="",K29&gt;30),"",IF(K29=1,60,IF(K29=2,55,IF(K29=3,50,IF(K29=4,44,IF(K29=5,38,IF(K29=6,32,IF(K29=7,28,IF(K29=8,25,IF(K29=9,22,IF(K29=10,21,IF(K29=11,20,IF(K29=12,19,IF(K29=13,18,IF(K29=14,17,IF(K29=15,16,IF(K29=16,15,IF(K29=17,14,IF(K29=18,13,IF(K29=19,12,IF(K29=20,11,IF(K29=21,10,IF(K29=22,9,IF(K29=23,8,IF(K29=24,7,IF(K29=25,6,IF(K29=26,5,IF(K29=27,4,IF(K29=28,3,IF(K29=29,2,IF(K29=30,1)))))))))))))))))))))))))))))))</f>
        <v>4</v>
      </c>
      <c r="Q29" s="1" t="str">
        <f>IF(OR(L29="",L29&gt;30),"",IF(L29=1,60,IF(L29=2,55,IF(L29=3,50,IF(L29=4,44,IF(L29=5,38,IF(L29=6,32,IF(L29=7,28,IF(L29=8,25,IF(L29=9,22,IF(L29=10,21,IF(L29=11,20,IF(L29=12,19,IF(L29=13,18,IF(L29=14,17,IF(L29=15,16,IF(L29=16,15,IF(L29=17,14,IF(L29=18,13,IF(L29=19,12,IF(L29=20,11,IF(L29=21,10,IF(L29=22,9,IF(L29=23,8,IF(L29=24,7,IF(L29=25,6,IF(L29=26,5,IF(L29=27,4,IF(L29=28,3,IF(L29=29,2,IF(L29=30,1)))))))))))))))))))))))))))))))</f>
        <v/>
      </c>
      <c r="R29" s="12">
        <f>IF(A29="","",IF(OR(D29="P",E29="P"),"",IF(COUNT(M29:Q29)&lt;3,SUM(M29:Q29),LARGE(M29:Q29,1)+LARGE(M29:Q29,2))+(1000-V29)*10^-4+W29*10^-5+(100-X29)*10^-8+Y29*10^-10))</f>
        <v>31.096900850000001</v>
      </c>
      <c r="S29" s="2" t="str">
        <f>IF(OR(R29="",R29=0),"",IF(SUMPRODUCT(--(B$3:B$62=B29),--(R$3:R$62&gt;R29),--(R$3:R$62&lt;&gt;"")),"","P"))</f>
        <v>P</v>
      </c>
      <c r="T29" s="2" t="str" cm="1">
        <f t="array" ref="T29">IF(R29="","",IF(SUMPRODUCT(--(D$3:D$62="P"),--(B$3:B$62=B29)),"P",""))</f>
        <v/>
      </c>
      <c r="U29" s="12">
        <f>IF(AND(S29&lt;&gt;"",OR(T29="",COUNTIF(R$3:R$62,"&gt;"&amp;R29)&lt;3)),R29,"")</f>
        <v>31.096900850000001</v>
      </c>
      <c r="V29" s="1">
        <f>IF(COUNT(H29:L29)&lt;3,SUM(H29:L29),SMALL(H29:L29,1)+SMALL(H29:L29,2))</f>
        <v>31</v>
      </c>
      <c r="W29" s="1">
        <f>COUNTIF(H29:L29,"&lt;=8")</f>
        <v>0</v>
      </c>
      <c r="X29" s="1">
        <f>MIN(H29:L29)</f>
        <v>15</v>
      </c>
      <c r="Y29" s="1"/>
      <c r="Z29" s="2" t="str">
        <f>IF(OR(R29=R28,R29=R30),"P","")</f>
        <v/>
      </c>
    </row>
    <row r="30" spans="1:26" x14ac:dyDescent="0.2">
      <c r="A30" s="7" t="s">
        <v>119</v>
      </c>
      <c r="B30" s="6" t="s">
        <v>28</v>
      </c>
      <c r="C30" s="6" t="str">
        <f>IF(A30="","",VLOOKUP(B30,'Continental Affiliation'!A:B,2,0))</f>
        <v>Europe</v>
      </c>
      <c r="G30" s="3" t="str">
        <f>IF(U30="","",RANK(U30,U:U)+COUNTIF(D:E,"P"))</f>
        <v/>
      </c>
      <c r="H30" s="6">
        <v>23</v>
      </c>
      <c r="I30" s="6">
        <v>61</v>
      </c>
      <c r="J30" s="6">
        <v>22</v>
      </c>
      <c r="K30" s="6">
        <v>68</v>
      </c>
      <c r="L30" s="6">
        <v>10</v>
      </c>
      <c r="M30" s="1">
        <f>IF(OR(H30="",H30&gt;30),"",IF(H30=1,60,IF(H30=2,55,IF(H30=3,50,IF(H30=4,44,IF(H30=5,38,IF(H30=6,32,IF(H30=7,28,IF(H30=8,25,IF(H30=9,22,IF(H30=10,21,IF(H30=11,20,IF(H30=12,19,IF(H30=13,18,IF(H30=14,17,IF(H30=15,16,IF(H30=16,15,IF(H30=17,14,IF(H30=18,13,IF(H30=19,12,IF(H30=20,11,IF(H30=21,10,IF(H30=22,9,IF(H30=23,8,IF(H30=24,7,IF(H30=25,6,IF(H30=26,5,IF(H30=27,4,IF(H30=28,3,IF(H30=29,2,IF(H30=30,1)))))))))))))))))))))))))))))))</f>
        <v>8</v>
      </c>
      <c r="N30" s="1" t="str">
        <f>IF(OR(I30="",I30&gt;30),"",IF(I30=1,60,IF(I30=2,55,IF(I30=3,50,IF(I30=4,44,IF(I30=5,38,IF(I30=6,32,IF(I30=7,28,IF(I30=8,25,IF(I30=9,22,IF(I30=10,21,IF(I30=11,20,IF(I30=12,19,IF(I30=13,18,IF(I30=14,17,IF(I30=15,16,IF(I30=16,15,IF(I30=17,14,IF(I30=18,13,IF(I30=19,12,IF(I30=20,11,IF(I30=21,10,IF(I30=22,9,IF(I30=23,8,IF(I30=24,7,IF(I30=25,6,IF(I30=26,5,IF(I30=27,4,IF(I30=28,3,IF(I30=29,2,IF(I30=30,1)))))))))))))))))))))))))))))))</f>
        <v/>
      </c>
      <c r="O30" s="1">
        <f>IF(OR(J30="",J30&gt;30),"",IF(J30=1,60,IF(J30=2,55,IF(J30=3,50,IF(J30=4,44,IF(J30=5,38,IF(J30=6,32,IF(J30=7,28,IF(J30=8,25,IF(J30=9,22,IF(J30=10,21,IF(J30=11,20,IF(J30=12,19,IF(J30=13,18,IF(J30=14,17,IF(J30=15,16,IF(J30=16,15,IF(J30=17,14,IF(J30=18,13,IF(J30=19,12,IF(J30=20,11,IF(J30=21,10,IF(J30=22,9,IF(J30=23,8,IF(J30=24,7,IF(J30=25,6,IF(J30=26,5,IF(J30=27,4,IF(J30=28,3,IF(J30=29,2,IF(J30=30,1)))))))))))))))))))))))))))))))</f>
        <v>9</v>
      </c>
      <c r="P30" s="1" t="str">
        <f>IF(OR(K30="",K30&gt;30),"",IF(K30=1,60,IF(K30=2,55,IF(K30=3,50,IF(K30=4,44,IF(K30=5,38,IF(K30=6,32,IF(K30=7,28,IF(K30=8,25,IF(K30=9,22,IF(K30=10,21,IF(K30=11,20,IF(K30=12,19,IF(K30=13,18,IF(K30=14,17,IF(K30=15,16,IF(K30=16,15,IF(K30=17,14,IF(K30=18,13,IF(K30=19,12,IF(K30=20,11,IF(K30=21,10,IF(K30=22,9,IF(K30=23,8,IF(K30=24,7,IF(K30=25,6,IF(K30=26,5,IF(K30=27,4,IF(K30=28,3,IF(K30=29,2,IF(K30=30,1)))))))))))))))))))))))))))))))</f>
        <v/>
      </c>
      <c r="Q30" s="1">
        <f>IF(OR(L30="",L30&gt;30),"",IF(L30=1,60,IF(L30=2,55,IF(L30=3,50,IF(L30=4,44,IF(L30=5,38,IF(L30=6,32,IF(L30=7,28,IF(L30=8,25,IF(L30=9,22,IF(L30=10,21,IF(L30=11,20,IF(L30=12,19,IF(L30=13,18,IF(L30=14,17,IF(L30=15,16,IF(L30=16,15,IF(L30=17,14,IF(L30=18,13,IF(L30=19,12,IF(L30=20,11,IF(L30=21,10,IF(L30=22,9,IF(L30=23,8,IF(L30=24,7,IF(L30=25,6,IF(L30=26,5,IF(L30=27,4,IF(L30=28,3,IF(L30=29,2,IF(L30=30,1)))))))))))))))))))))))))))))))</f>
        <v>21</v>
      </c>
      <c r="R30" s="12">
        <f>IF(A30="","",IF(OR(D30="P",E30="P"),"",IF(COUNT(M30:Q30)&lt;3,SUM(M30:Q30),LARGE(M30:Q30,1)+LARGE(M30:Q30,2))+(1000-V30)*10^-4+W30*10^-5+(100-X30)*10^-8+Y30*10^-10))</f>
        <v>30.096800900000002</v>
      </c>
      <c r="S30" s="2" t="str">
        <f>IF(OR(R30="",R30=0),"",IF(SUMPRODUCT(--(B$3:B$62=B30),--(R$3:R$62&gt;R30),--(R$3:R$62&lt;&gt;"")),"","P"))</f>
        <v/>
      </c>
      <c r="T30" s="2" t="str" cm="1">
        <f t="array" ref="T30">IF(R30="","",IF(SUMPRODUCT(--(D$3:D$62="P"),--(B$3:B$62=B30)),"P",""))</f>
        <v/>
      </c>
      <c r="U30" s="12" t="str">
        <f>IF(AND(S30&lt;&gt;"",OR(T30="",COUNTIF(R$3:R$62,"&gt;"&amp;R30)&lt;3)),R30,"")</f>
        <v/>
      </c>
      <c r="V30" s="1">
        <f>IF(COUNT(H30:L30)&lt;3,SUM(H30:L30),SMALL(H30:L30,1)+SMALL(H30:L30,2))</f>
        <v>32</v>
      </c>
      <c r="W30" s="1">
        <f>COUNTIF(H30:L30,"&lt;=8")</f>
        <v>0</v>
      </c>
      <c r="X30" s="1">
        <f>MIN(H30:L30)</f>
        <v>10</v>
      </c>
      <c r="Y30" s="1"/>
      <c r="Z30" s="2" t="str">
        <f>IF(OR(R30=R22,R30=R31),"P","")</f>
        <v/>
      </c>
    </row>
    <row r="31" spans="1:26" x14ac:dyDescent="0.2">
      <c r="A31" s="7" t="s">
        <v>138</v>
      </c>
      <c r="B31" s="6" t="s">
        <v>22</v>
      </c>
      <c r="C31" s="6" t="str">
        <f>IF(A31="","",VLOOKUP(B31,'Continental Affiliation'!A:B,2,0))</f>
        <v>Europe</v>
      </c>
      <c r="G31" s="3" t="str">
        <f>IF(U31="","",RANK(U31,U:U)+COUNTIF(D:E,"P"))</f>
        <v/>
      </c>
      <c r="H31" s="6">
        <v>63</v>
      </c>
      <c r="I31" s="6">
        <v>35</v>
      </c>
      <c r="J31" s="6">
        <v>14</v>
      </c>
      <c r="K31" s="6">
        <v>19</v>
      </c>
      <c r="L31" s="6">
        <v>28</v>
      </c>
      <c r="M31" s="1" t="str">
        <f>IF(OR(H31="",H31&gt;30),"",IF(H31=1,60,IF(H31=2,55,IF(H31=3,50,IF(H31=4,44,IF(H31=5,38,IF(H31=6,32,IF(H31=7,28,IF(H31=8,25,IF(H31=9,22,IF(H31=10,21,IF(H31=11,20,IF(H31=12,19,IF(H31=13,18,IF(H31=14,17,IF(H31=15,16,IF(H31=16,15,IF(H31=17,14,IF(H31=18,13,IF(H31=19,12,IF(H31=20,11,IF(H31=21,10,IF(H31=22,9,IF(H31=23,8,IF(H31=24,7,IF(H31=25,6,IF(H31=26,5,IF(H31=27,4,IF(H31=28,3,IF(H31=29,2,IF(H31=30,1)))))))))))))))))))))))))))))))</f>
        <v/>
      </c>
      <c r="N31" s="1" t="str">
        <f>IF(OR(I31="",I31&gt;30),"",IF(I31=1,60,IF(I31=2,55,IF(I31=3,50,IF(I31=4,44,IF(I31=5,38,IF(I31=6,32,IF(I31=7,28,IF(I31=8,25,IF(I31=9,22,IF(I31=10,21,IF(I31=11,20,IF(I31=12,19,IF(I31=13,18,IF(I31=14,17,IF(I31=15,16,IF(I31=16,15,IF(I31=17,14,IF(I31=18,13,IF(I31=19,12,IF(I31=20,11,IF(I31=21,10,IF(I31=22,9,IF(I31=23,8,IF(I31=24,7,IF(I31=25,6,IF(I31=26,5,IF(I31=27,4,IF(I31=28,3,IF(I31=29,2,IF(I31=30,1)))))))))))))))))))))))))))))))</f>
        <v/>
      </c>
      <c r="O31" s="1">
        <f>IF(OR(J31="",J31&gt;30),"",IF(J31=1,60,IF(J31=2,55,IF(J31=3,50,IF(J31=4,44,IF(J31=5,38,IF(J31=6,32,IF(J31=7,28,IF(J31=8,25,IF(J31=9,22,IF(J31=10,21,IF(J31=11,20,IF(J31=12,19,IF(J31=13,18,IF(J31=14,17,IF(J31=15,16,IF(J31=16,15,IF(J31=17,14,IF(J31=18,13,IF(J31=19,12,IF(J31=20,11,IF(J31=21,10,IF(J31=22,9,IF(J31=23,8,IF(J31=24,7,IF(J31=25,6,IF(J31=26,5,IF(J31=27,4,IF(J31=28,3,IF(J31=29,2,IF(J31=30,1)))))))))))))))))))))))))))))))</f>
        <v>17</v>
      </c>
      <c r="P31" s="1">
        <f>IF(OR(K31="",K31&gt;30),"",IF(K31=1,60,IF(K31=2,55,IF(K31=3,50,IF(K31=4,44,IF(K31=5,38,IF(K31=6,32,IF(K31=7,28,IF(K31=8,25,IF(K31=9,22,IF(K31=10,21,IF(K31=11,20,IF(K31=12,19,IF(K31=13,18,IF(K31=14,17,IF(K31=15,16,IF(K31=16,15,IF(K31=17,14,IF(K31=18,13,IF(K31=19,12,IF(K31=20,11,IF(K31=21,10,IF(K31=22,9,IF(K31=23,8,IF(K31=24,7,IF(K31=25,6,IF(K31=26,5,IF(K31=27,4,IF(K31=28,3,IF(K31=29,2,IF(K31=30,1)))))))))))))))))))))))))))))))</f>
        <v>12</v>
      </c>
      <c r="Q31" s="1">
        <f>IF(OR(L31="",L31&gt;30),"",IF(L31=1,60,IF(L31=2,55,IF(L31=3,50,IF(L31=4,44,IF(L31=5,38,IF(L31=6,32,IF(L31=7,28,IF(L31=8,25,IF(L31=9,22,IF(L31=10,21,IF(L31=11,20,IF(L31=12,19,IF(L31=13,18,IF(L31=14,17,IF(L31=15,16,IF(L31=16,15,IF(L31=17,14,IF(L31=18,13,IF(L31=19,12,IF(L31=20,11,IF(L31=21,10,IF(L31=22,9,IF(L31=23,8,IF(L31=24,7,IF(L31=25,6,IF(L31=26,5,IF(L31=27,4,IF(L31=28,3,IF(L31=29,2,IF(L31=30,1)))))))))))))))))))))))))))))))</f>
        <v>3</v>
      </c>
      <c r="R31" s="12">
        <f>IF(A31="","",IF(OR(D31="P",E31="P"),"",IF(COUNT(M31:Q31)&lt;3,SUM(M31:Q31),LARGE(M31:Q31,1)+LARGE(M31:Q31,2))+(1000-V31)*10^-4+W31*10^-5+(100-X31)*10^-8+Y31*10^-10))</f>
        <v>29.096700859999999</v>
      </c>
      <c r="S31" s="2" t="str">
        <f>IF(OR(R31="",R31=0),"",IF(SUMPRODUCT(--(B$3:B$62=B31),--(R$3:R$62&gt;R31),--(R$3:R$62&lt;&gt;"")),"","P"))</f>
        <v/>
      </c>
      <c r="T31" s="2" t="str" cm="1">
        <f t="array" ref="T31">IF(R31="","",IF(SUMPRODUCT(--(D$3:D$62="P"),--(B$3:B$62=B31)),"P",""))</f>
        <v/>
      </c>
      <c r="U31" s="12" t="str">
        <f>IF(AND(S31&lt;&gt;"",OR(T31="",COUNTIF(R$3:R$62,"&gt;"&amp;R31)&lt;3)),R31,"")</f>
        <v/>
      </c>
      <c r="V31" s="1">
        <f>IF(COUNT(H31:L31)&lt;3,SUM(H31:L31),SMALL(H31:L31,1)+SMALL(H31:L31,2))</f>
        <v>33</v>
      </c>
      <c r="W31" s="1">
        <f>COUNTIF(H31:L31,"&lt;=8")</f>
        <v>0</v>
      </c>
      <c r="X31" s="1">
        <f>MIN(H31:L31)</f>
        <v>14</v>
      </c>
      <c r="Y31" s="1"/>
      <c r="Z31" s="2" t="str">
        <f>IF(OR(R31=R30,R31=R32),"P","")</f>
        <v/>
      </c>
    </row>
    <row r="32" spans="1:26" x14ac:dyDescent="0.2">
      <c r="A32" s="7" t="s">
        <v>114</v>
      </c>
      <c r="B32" s="6" t="s">
        <v>6</v>
      </c>
      <c r="C32" s="6" t="str">
        <f>IF(A32="","",VLOOKUP(B32,'Continental Affiliation'!A:B,2,0))</f>
        <v>Asia</v>
      </c>
      <c r="G32" s="3" t="str">
        <f>IF(U32="","",RANK(U32,U:U)+COUNTIF(D:E,"P"))</f>
        <v/>
      </c>
      <c r="H32" s="6">
        <v>18</v>
      </c>
      <c r="I32" s="6">
        <v>30</v>
      </c>
      <c r="J32" s="6">
        <v>25</v>
      </c>
      <c r="K32" s="6">
        <v>16</v>
      </c>
      <c r="L32" s="6">
        <v>25</v>
      </c>
      <c r="M32" s="1">
        <f>IF(OR(H32="",H32&gt;30),"",IF(H32=1,60,IF(H32=2,55,IF(H32=3,50,IF(H32=4,44,IF(H32=5,38,IF(H32=6,32,IF(H32=7,28,IF(H32=8,25,IF(H32=9,22,IF(H32=10,21,IF(H32=11,20,IF(H32=12,19,IF(H32=13,18,IF(H32=14,17,IF(H32=15,16,IF(H32=16,15,IF(H32=17,14,IF(H32=18,13,IF(H32=19,12,IF(H32=20,11,IF(H32=21,10,IF(H32=22,9,IF(H32=23,8,IF(H32=24,7,IF(H32=25,6,IF(H32=26,5,IF(H32=27,4,IF(H32=28,3,IF(H32=29,2,IF(H32=30,1)))))))))))))))))))))))))))))))</f>
        <v>13</v>
      </c>
      <c r="N32" s="1">
        <f>IF(OR(I32="",I32&gt;30),"",IF(I32=1,60,IF(I32=2,55,IF(I32=3,50,IF(I32=4,44,IF(I32=5,38,IF(I32=6,32,IF(I32=7,28,IF(I32=8,25,IF(I32=9,22,IF(I32=10,21,IF(I32=11,20,IF(I32=12,19,IF(I32=13,18,IF(I32=14,17,IF(I32=15,16,IF(I32=16,15,IF(I32=17,14,IF(I32=18,13,IF(I32=19,12,IF(I32=20,11,IF(I32=21,10,IF(I32=22,9,IF(I32=23,8,IF(I32=24,7,IF(I32=25,6,IF(I32=26,5,IF(I32=27,4,IF(I32=28,3,IF(I32=29,2,IF(I32=30,1)))))))))))))))))))))))))))))))</f>
        <v>1</v>
      </c>
      <c r="O32" s="1">
        <f>IF(OR(J32="",J32&gt;30),"",IF(J32=1,60,IF(J32=2,55,IF(J32=3,50,IF(J32=4,44,IF(J32=5,38,IF(J32=6,32,IF(J32=7,28,IF(J32=8,25,IF(J32=9,22,IF(J32=10,21,IF(J32=11,20,IF(J32=12,19,IF(J32=13,18,IF(J32=14,17,IF(J32=15,16,IF(J32=16,15,IF(J32=17,14,IF(J32=18,13,IF(J32=19,12,IF(J32=20,11,IF(J32=21,10,IF(J32=22,9,IF(J32=23,8,IF(J32=24,7,IF(J32=25,6,IF(J32=26,5,IF(J32=27,4,IF(J32=28,3,IF(J32=29,2,IF(J32=30,1)))))))))))))))))))))))))))))))</f>
        <v>6</v>
      </c>
      <c r="P32" s="1">
        <f>IF(OR(K32="",K32&gt;30),"",IF(K32=1,60,IF(K32=2,55,IF(K32=3,50,IF(K32=4,44,IF(K32=5,38,IF(K32=6,32,IF(K32=7,28,IF(K32=8,25,IF(K32=9,22,IF(K32=10,21,IF(K32=11,20,IF(K32=12,19,IF(K32=13,18,IF(K32=14,17,IF(K32=15,16,IF(K32=16,15,IF(K32=17,14,IF(K32=18,13,IF(K32=19,12,IF(K32=20,11,IF(K32=21,10,IF(K32=22,9,IF(K32=23,8,IF(K32=24,7,IF(K32=25,6,IF(K32=26,5,IF(K32=27,4,IF(K32=28,3,IF(K32=29,2,IF(K32=30,1)))))))))))))))))))))))))))))))</f>
        <v>15</v>
      </c>
      <c r="Q32" s="1">
        <f>IF(OR(L32="",L32&gt;30),"",IF(L32=1,60,IF(L32=2,55,IF(L32=3,50,IF(L32=4,44,IF(L32=5,38,IF(L32=6,32,IF(L32=7,28,IF(L32=8,25,IF(L32=9,22,IF(L32=10,21,IF(L32=11,20,IF(L32=12,19,IF(L32=13,18,IF(L32=14,17,IF(L32=15,16,IF(L32=16,15,IF(L32=17,14,IF(L32=18,13,IF(L32=19,12,IF(L32=20,11,IF(L32=21,10,IF(L32=22,9,IF(L32=23,8,IF(L32=24,7,IF(L32=25,6,IF(L32=26,5,IF(L32=27,4,IF(L32=28,3,IF(L32=29,2,IF(L32=30,1)))))))))))))))))))))))))))))))</f>
        <v>6</v>
      </c>
      <c r="R32" s="12">
        <f>IF(A32="","",IF(OR(D32="P",E32="P"),"",IF(COUNT(M32:Q32)&lt;3,SUM(M32:Q32),LARGE(M32:Q32,1)+LARGE(M32:Q32,2))+(1000-V32)*10^-4+W32*10^-5+(100-X32)*10^-8+Y32*10^-10))</f>
        <v>28.096600839999997</v>
      </c>
      <c r="S32" s="2" t="str">
        <f>IF(OR(R32="",R32=0),"",IF(SUMPRODUCT(--(B$3:B$62=B32),--(R$3:R$62&gt;R32),--(R$3:R$62&lt;&gt;"")),"","P"))</f>
        <v/>
      </c>
      <c r="T32" s="2" t="str" cm="1">
        <f t="array" ref="T32">IF(R32="","",IF(SUMPRODUCT(--(D$3:D$62="P"),--(B$3:B$62=B32)),"P",""))</f>
        <v>P</v>
      </c>
      <c r="U32" s="12" t="str">
        <f>IF(AND(S32&lt;&gt;"",OR(T32="",COUNTIF(R$3:R$62,"&gt;"&amp;R32)&lt;3)),R32,"")</f>
        <v/>
      </c>
      <c r="V32" s="1">
        <f>IF(COUNT(H32:L32)&lt;3,SUM(H32:L32),SMALL(H32:L32,1)+SMALL(H32:L32,2))</f>
        <v>34</v>
      </c>
      <c r="W32" s="1">
        <f>COUNTIF(H32:L32,"&lt;=8")</f>
        <v>0</v>
      </c>
      <c r="X32" s="1">
        <f>MIN(H32:L32)</f>
        <v>16</v>
      </c>
      <c r="Y32" s="1"/>
      <c r="Z32" s="2" t="str">
        <f>IF(OR(R32=R31,R32=R33),"P","")</f>
        <v/>
      </c>
    </row>
    <row r="33" spans="1:26" x14ac:dyDescent="0.2">
      <c r="A33" s="7" t="s">
        <v>162</v>
      </c>
      <c r="B33" s="6" t="s">
        <v>6</v>
      </c>
      <c r="C33" s="6" t="str">
        <f>IF(A33="","",VLOOKUP(B33,'Continental Affiliation'!A:B,2,0))</f>
        <v>Asia</v>
      </c>
      <c r="G33" s="3" t="str">
        <f>IF(U33="","",RANK(U33,U:U)+COUNTIF(D:E,"P"))</f>
        <v/>
      </c>
      <c r="H33" s="6" t="s">
        <v>143</v>
      </c>
      <c r="I33" s="6" t="s">
        <v>143</v>
      </c>
      <c r="J33" s="6" t="s">
        <v>143</v>
      </c>
      <c r="K33" s="6">
        <v>26</v>
      </c>
      <c r="L33" s="6">
        <v>9</v>
      </c>
      <c r="M33" s="1" t="str">
        <f>IF(OR(H33="",H33&gt;30),"",IF(H33=1,60,IF(H33=2,55,IF(H33=3,50,IF(H33=4,44,IF(H33=5,38,IF(H33=6,32,IF(H33=7,28,IF(H33=8,25,IF(H33=9,22,IF(H33=10,21,IF(H33=11,20,IF(H33=12,19,IF(H33=13,18,IF(H33=14,17,IF(H33=15,16,IF(H33=16,15,IF(H33=17,14,IF(H33=18,13,IF(H33=19,12,IF(H33=20,11,IF(H33=21,10,IF(H33=22,9,IF(H33=23,8,IF(H33=24,7,IF(H33=25,6,IF(H33=26,5,IF(H33=27,4,IF(H33=28,3,IF(H33=29,2,IF(H33=30,1)))))))))))))))))))))))))))))))</f>
        <v/>
      </c>
      <c r="N33" s="1" t="str">
        <f>IF(OR(I33="",I33&gt;30),"",IF(I33=1,60,IF(I33=2,55,IF(I33=3,50,IF(I33=4,44,IF(I33=5,38,IF(I33=6,32,IF(I33=7,28,IF(I33=8,25,IF(I33=9,22,IF(I33=10,21,IF(I33=11,20,IF(I33=12,19,IF(I33=13,18,IF(I33=14,17,IF(I33=15,16,IF(I33=16,15,IF(I33=17,14,IF(I33=18,13,IF(I33=19,12,IF(I33=20,11,IF(I33=21,10,IF(I33=22,9,IF(I33=23,8,IF(I33=24,7,IF(I33=25,6,IF(I33=26,5,IF(I33=27,4,IF(I33=28,3,IF(I33=29,2,IF(I33=30,1)))))))))))))))))))))))))))))))</f>
        <v/>
      </c>
      <c r="O33" s="1" t="str">
        <f>IF(OR(J33="",J33&gt;30),"",IF(J33=1,60,IF(J33=2,55,IF(J33=3,50,IF(J33=4,44,IF(J33=5,38,IF(J33=6,32,IF(J33=7,28,IF(J33=8,25,IF(J33=9,22,IF(J33=10,21,IF(J33=11,20,IF(J33=12,19,IF(J33=13,18,IF(J33=14,17,IF(J33=15,16,IF(J33=16,15,IF(J33=17,14,IF(J33=18,13,IF(J33=19,12,IF(J33=20,11,IF(J33=21,10,IF(J33=22,9,IF(J33=23,8,IF(J33=24,7,IF(J33=25,6,IF(J33=26,5,IF(J33=27,4,IF(J33=28,3,IF(J33=29,2,IF(J33=30,1)))))))))))))))))))))))))))))))</f>
        <v/>
      </c>
      <c r="P33" s="1">
        <f>IF(OR(K33="",K33&gt;30),"",IF(K33=1,60,IF(K33=2,55,IF(K33=3,50,IF(K33=4,44,IF(K33=5,38,IF(K33=6,32,IF(K33=7,28,IF(K33=8,25,IF(K33=9,22,IF(K33=10,21,IF(K33=11,20,IF(K33=12,19,IF(K33=13,18,IF(K33=14,17,IF(K33=15,16,IF(K33=16,15,IF(K33=17,14,IF(K33=18,13,IF(K33=19,12,IF(K33=20,11,IF(K33=21,10,IF(K33=22,9,IF(K33=23,8,IF(K33=24,7,IF(K33=25,6,IF(K33=26,5,IF(K33=27,4,IF(K33=28,3,IF(K33=29,2,IF(K33=30,1)))))))))))))))))))))))))))))))</f>
        <v>5</v>
      </c>
      <c r="Q33" s="1">
        <f>IF(OR(L33="",L33&gt;30),"",IF(L33=1,60,IF(L33=2,55,IF(L33=3,50,IF(L33=4,44,IF(L33=5,38,IF(L33=6,32,IF(L33=7,28,IF(L33=8,25,IF(L33=9,22,IF(L33=10,21,IF(L33=11,20,IF(L33=12,19,IF(L33=13,18,IF(L33=14,17,IF(L33=15,16,IF(L33=16,15,IF(L33=17,14,IF(L33=18,13,IF(L33=19,12,IF(L33=20,11,IF(L33=21,10,IF(L33=22,9,IF(L33=23,8,IF(L33=24,7,IF(L33=25,6,IF(L33=26,5,IF(L33=27,4,IF(L33=28,3,IF(L33=29,2,IF(L33=30,1)))))))))))))))))))))))))))))))</f>
        <v>22</v>
      </c>
      <c r="R33" s="12">
        <f>IF(A33="","",IF(OR(D33="P",E33="P"),"",IF(COUNT(M33:Q33)&lt;3,SUM(M33:Q33),LARGE(M33:Q33,1)+LARGE(M33:Q33,2))+(1000-V33)*10^-4+W33*10^-5+(100-X33)*10^-8+Y33*10^-10))</f>
        <v>27.09650091</v>
      </c>
      <c r="S33" s="2" t="str" cm="1">
        <f t="array" ref="S33">IF(OR(R33="",R33=0),"",IF(SUMPRODUCT(--(B$3:B$62=B33),--(R$3:R$62&gt;R33),--(R$3:R$62&lt;&gt;"")),"","P"))</f>
        <v/>
      </c>
      <c r="T33" s="2" t="str" cm="1">
        <f t="array" ref="T33">IF(R33="","",IF(SUMPRODUCT(--(D$3:D$62="P"),--(B$3:B$62=B33)),"P",""))</f>
        <v>P</v>
      </c>
      <c r="U33" s="12" t="str">
        <f>IF(AND(S33&lt;&gt;"",OR(T33="",COUNTIF(R$3:R$62,"&gt;"&amp;R33)&lt;3)),R33,"")</f>
        <v/>
      </c>
      <c r="V33" s="1">
        <f>IF(COUNT(H33:L33)&lt;3,SUM(H33:L33),SMALL(H33:L33,1)+SMALL(H33:L33,2))</f>
        <v>35</v>
      </c>
      <c r="W33" s="1">
        <f>COUNTIF(H33:L33,"&lt;=8")</f>
        <v>0</v>
      </c>
      <c r="X33" s="1">
        <f>MIN(H33:L33)</f>
        <v>9</v>
      </c>
      <c r="Y33" s="1"/>
      <c r="Z33" s="2" t="str">
        <f>IF(OR(R33=R32,R33=R44),"P","")</f>
        <v/>
      </c>
    </row>
    <row r="34" spans="1:26" x14ac:dyDescent="0.2">
      <c r="A34" s="7" t="s">
        <v>39</v>
      </c>
      <c r="B34" s="6" t="s">
        <v>30</v>
      </c>
      <c r="C34" s="6" t="str">
        <f>IF(A34="","",VLOOKUP(B34,'Continental Affiliation'!A:B,2,0))</f>
        <v>Oceana</v>
      </c>
      <c r="G34" s="3">
        <f>IF(U34="","",RANK(U34,U:U)+COUNTIF(D:E,"P"))</f>
        <v>16</v>
      </c>
      <c r="H34" s="6">
        <v>12</v>
      </c>
      <c r="I34" s="6">
        <v>23</v>
      </c>
      <c r="J34" s="6">
        <v>39</v>
      </c>
      <c r="K34" s="6">
        <v>32</v>
      </c>
      <c r="L34" s="6">
        <v>40</v>
      </c>
      <c r="M34" s="1">
        <f>IF(OR(H34="",H34&gt;30),"",IF(H34=1,60,IF(H34=2,55,IF(H34=3,50,IF(H34=4,44,IF(H34=5,38,IF(H34=6,32,IF(H34=7,28,IF(H34=8,25,IF(H34=9,22,IF(H34=10,21,IF(H34=11,20,IF(H34=12,19,IF(H34=13,18,IF(H34=14,17,IF(H34=15,16,IF(H34=16,15,IF(H34=17,14,IF(H34=18,13,IF(H34=19,12,IF(H34=20,11,IF(H34=21,10,IF(H34=22,9,IF(H34=23,8,IF(H34=24,7,IF(H34=25,6,IF(H34=26,5,IF(H34=27,4,IF(H34=28,3,IF(H34=29,2,IF(H34=30,1)))))))))))))))))))))))))))))))</f>
        <v>19</v>
      </c>
      <c r="N34" s="1">
        <f>IF(OR(I34="",I34&gt;30),"",IF(I34=1,60,IF(I34=2,55,IF(I34=3,50,IF(I34=4,44,IF(I34=5,38,IF(I34=6,32,IF(I34=7,28,IF(I34=8,25,IF(I34=9,22,IF(I34=10,21,IF(I34=11,20,IF(I34=12,19,IF(I34=13,18,IF(I34=14,17,IF(I34=15,16,IF(I34=16,15,IF(I34=17,14,IF(I34=18,13,IF(I34=19,12,IF(I34=20,11,IF(I34=21,10,IF(I34=22,9,IF(I34=23,8,IF(I34=24,7,IF(I34=25,6,IF(I34=26,5,IF(I34=27,4,IF(I34=28,3,IF(I34=29,2,IF(I34=30,1)))))))))))))))))))))))))))))))</f>
        <v>8</v>
      </c>
      <c r="O34" s="1" t="str">
        <f>IF(OR(J34="",J34&gt;30),"",IF(J34=1,60,IF(J34=2,55,IF(J34=3,50,IF(J34=4,44,IF(J34=5,38,IF(J34=6,32,IF(J34=7,28,IF(J34=8,25,IF(J34=9,22,IF(J34=10,21,IF(J34=11,20,IF(J34=12,19,IF(J34=13,18,IF(J34=14,17,IF(J34=15,16,IF(J34=16,15,IF(J34=17,14,IF(J34=18,13,IF(J34=19,12,IF(J34=20,11,IF(J34=21,10,IF(J34=22,9,IF(J34=23,8,IF(J34=24,7,IF(J34=25,6,IF(J34=26,5,IF(J34=27,4,IF(J34=28,3,IF(J34=29,2,IF(J34=30,1)))))))))))))))))))))))))))))))</f>
        <v/>
      </c>
      <c r="P34" s="1" t="str">
        <f>IF(OR(K34="",K34&gt;30),"",IF(K34=1,60,IF(K34=2,55,IF(K34=3,50,IF(K34=4,44,IF(K34=5,38,IF(K34=6,32,IF(K34=7,28,IF(K34=8,25,IF(K34=9,22,IF(K34=10,21,IF(K34=11,20,IF(K34=12,19,IF(K34=13,18,IF(K34=14,17,IF(K34=15,16,IF(K34=16,15,IF(K34=17,14,IF(K34=18,13,IF(K34=19,12,IF(K34=20,11,IF(K34=21,10,IF(K34=22,9,IF(K34=23,8,IF(K34=24,7,IF(K34=25,6,IF(K34=26,5,IF(K34=27,4,IF(K34=28,3,IF(K34=29,2,IF(K34=30,1)))))))))))))))))))))))))))))))</f>
        <v/>
      </c>
      <c r="Q34" s="1" t="str">
        <f>IF(OR(L34="",L34&gt;30),"",IF(L34=1,60,IF(L34=2,55,IF(L34=3,50,IF(L34=4,44,IF(L34=5,38,IF(L34=6,32,IF(L34=7,28,IF(L34=8,25,IF(L34=9,22,IF(L34=10,21,IF(L34=11,20,IF(L34=12,19,IF(L34=13,18,IF(L34=14,17,IF(L34=15,16,IF(L34=16,15,IF(L34=17,14,IF(L34=18,13,IF(L34=19,12,IF(L34=20,11,IF(L34=21,10,IF(L34=22,9,IF(L34=23,8,IF(L34=24,7,IF(L34=25,6,IF(L34=26,5,IF(L34=27,4,IF(L34=28,3,IF(L34=29,2,IF(L34=30,1)))))))))))))))))))))))))))))))</f>
        <v/>
      </c>
      <c r="R34" s="12">
        <f>IF(A34="","",IF(OR(D34="P",E34="P"),"",IF(COUNT(M34:Q34)&lt;3,SUM(M34:Q34),LARGE(M34:Q34,1)+LARGE(M34:Q34,2))+(1000-V34)*10^-4+W34*10^-5+(100-X34)*10^-8+Y34*10^-10))</f>
        <v>27.096500880000001</v>
      </c>
      <c r="S34" s="2" t="str">
        <f>IF(OR(R34="",R34=0),"",IF(SUMPRODUCT(--(B$3:B$62=B34),--(R$3:R$62&gt;R34),--(R$3:R$62&lt;&gt;"")),"","P"))</f>
        <v>P</v>
      </c>
      <c r="T34" s="2" t="str" cm="1">
        <f t="array" ref="T34">IF(R34="","",IF(SUMPRODUCT(--(D$3:D$62="P"),--(B$3:B$62=B34)),"P",""))</f>
        <v/>
      </c>
      <c r="U34" s="12">
        <f>IF(AND(S34&lt;&gt;"",OR(T34="",COUNTIF(R$3:R$62,"&gt;"&amp;R34)&lt;3)),R34,"")</f>
        <v>27.096500880000001</v>
      </c>
      <c r="V34" s="1">
        <f>IF(COUNT(H34:L34)&lt;3,SUM(H34:L34),SMALL(H34:L34,1)+SMALL(H34:L34,2))</f>
        <v>35</v>
      </c>
      <c r="W34" s="1">
        <f>COUNTIF(H34:L34,"&lt;=8")</f>
        <v>0</v>
      </c>
      <c r="X34" s="1">
        <f>MIN(H34:L34)</f>
        <v>12</v>
      </c>
      <c r="Y34" s="1"/>
      <c r="Z34" s="2" t="str">
        <f>IF(OR(R34=R33,R34=R35),"P","")</f>
        <v/>
      </c>
    </row>
    <row r="35" spans="1:26" x14ac:dyDescent="0.2">
      <c r="A35" s="7" t="s">
        <v>121</v>
      </c>
      <c r="B35" s="6" t="s">
        <v>44</v>
      </c>
      <c r="C35" s="6" t="str">
        <f>IF(A35="","",VLOOKUP(B35,'Continental Affiliation'!A:B,2,0))</f>
        <v>Europe</v>
      </c>
      <c r="G35" s="3">
        <f>IF(U35="","",RANK(U35,U:U)+COUNTIF(D:E,"P"))</f>
        <v>17</v>
      </c>
      <c r="H35" s="6">
        <v>20</v>
      </c>
      <c r="I35" s="6">
        <v>18</v>
      </c>
      <c r="J35" s="6">
        <v>20</v>
      </c>
      <c r="K35" s="6">
        <v>30</v>
      </c>
      <c r="L35" s="6">
        <v>22</v>
      </c>
      <c r="M35" s="1">
        <f>IF(OR(H35="",H35&gt;30),"",IF(H35=1,60,IF(H35=2,55,IF(H35=3,50,IF(H35=4,44,IF(H35=5,38,IF(H35=6,32,IF(H35=7,28,IF(H35=8,25,IF(H35=9,22,IF(H35=10,21,IF(H35=11,20,IF(H35=12,19,IF(H35=13,18,IF(H35=14,17,IF(H35=15,16,IF(H35=16,15,IF(H35=17,14,IF(H35=18,13,IF(H35=19,12,IF(H35=20,11,IF(H35=21,10,IF(H35=22,9,IF(H35=23,8,IF(H35=24,7,IF(H35=25,6,IF(H35=26,5,IF(H35=27,4,IF(H35=28,3,IF(H35=29,2,IF(H35=30,1)))))))))))))))))))))))))))))))</f>
        <v>11</v>
      </c>
      <c r="N35" s="1">
        <f>IF(OR(I35="",I35&gt;30),"",IF(I35=1,60,IF(I35=2,55,IF(I35=3,50,IF(I35=4,44,IF(I35=5,38,IF(I35=6,32,IF(I35=7,28,IF(I35=8,25,IF(I35=9,22,IF(I35=10,21,IF(I35=11,20,IF(I35=12,19,IF(I35=13,18,IF(I35=14,17,IF(I35=15,16,IF(I35=16,15,IF(I35=17,14,IF(I35=18,13,IF(I35=19,12,IF(I35=20,11,IF(I35=21,10,IF(I35=22,9,IF(I35=23,8,IF(I35=24,7,IF(I35=25,6,IF(I35=26,5,IF(I35=27,4,IF(I35=28,3,IF(I35=29,2,IF(I35=30,1)))))))))))))))))))))))))))))))</f>
        <v>13</v>
      </c>
      <c r="O35" s="1">
        <f>IF(OR(J35="",J35&gt;30),"",IF(J35=1,60,IF(J35=2,55,IF(J35=3,50,IF(J35=4,44,IF(J35=5,38,IF(J35=6,32,IF(J35=7,28,IF(J35=8,25,IF(J35=9,22,IF(J35=10,21,IF(J35=11,20,IF(J35=12,19,IF(J35=13,18,IF(J35=14,17,IF(J35=15,16,IF(J35=16,15,IF(J35=17,14,IF(J35=18,13,IF(J35=19,12,IF(J35=20,11,IF(J35=21,10,IF(J35=22,9,IF(J35=23,8,IF(J35=24,7,IF(J35=25,6,IF(J35=26,5,IF(J35=27,4,IF(J35=28,3,IF(J35=29,2,IF(J35=30,1)))))))))))))))))))))))))))))))</f>
        <v>11</v>
      </c>
      <c r="P35" s="1">
        <f>IF(OR(K35="",K35&gt;30),"",IF(K35=1,60,IF(K35=2,55,IF(K35=3,50,IF(K35=4,44,IF(K35=5,38,IF(K35=6,32,IF(K35=7,28,IF(K35=8,25,IF(K35=9,22,IF(K35=10,21,IF(K35=11,20,IF(K35=12,19,IF(K35=13,18,IF(K35=14,17,IF(K35=15,16,IF(K35=16,15,IF(K35=17,14,IF(K35=18,13,IF(K35=19,12,IF(K35=20,11,IF(K35=21,10,IF(K35=22,9,IF(K35=23,8,IF(K35=24,7,IF(K35=25,6,IF(K35=26,5,IF(K35=27,4,IF(K35=28,3,IF(K35=29,2,IF(K35=30,1)))))))))))))))))))))))))))))))</f>
        <v>1</v>
      </c>
      <c r="Q35" s="1">
        <f>IF(OR(L35="",L35&gt;30),"",IF(L35=1,60,IF(L35=2,55,IF(L35=3,50,IF(L35=4,44,IF(L35=5,38,IF(L35=6,32,IF(L35=7,28,IF(L35=8,25,IF(L35=9,22,IF(L35=10,21,IF(L35=11,20,IF(L35=12,19,IF(L35=13,18,IF(L35=14,17,IF(L35=15,16,IF(L35=16,15,IF(L35=17,14,IF(L35=18,13,IF(L35=19,12,IF(L35=20,11,IF(L35=21,10,IF(L35=22,9,IF(L35=23,8,IF(L35=24,7,IF(L35=25,6,IF(L35=26,5,IF(L35=27,4,IF(L35=28,3,IF(L35=29,2,IF(L35=30,1)))))))))))))))))))))))))))))))</f>
        <v>9</v>
      </c>
      <c r="R35" s="12">
        <f>IF(A35="","",IF(OR(D35="P",E35="P"),"",IF(COUNT(M35:Q35)&lt;3,SUM(M35:Q35),LARGE(M35:Q35,1)+LARGE(M35:Q35,2))+(1000-V35)*10^-4+W35*10^-5+(100-X35)*10^-8+Y35*10^-10))</f>
        <v>24.09620082</v>
      </c>
      <c r="S35" s="2" t="str">
        <f>IF(OR(R35="",R35=0),"",IF(SUMPRODUCT(--(B$3:B$62=B35),--(R$3:R$62&gt;R35),--(R$3:R$62&lt;&gt;"")),"","P"))</f>
        <v>P</v>
      </c>
      <c r="T35" s="2" t="str" cm="1">
        <f t="array" ref="T35">IF(R35="","",IF(SUMPRODUCT(--(D$3:D$62="P"),--(B$3:B$62=B35)),"P",""))</f>
        <v/>
      </c>
      <c r="U35" s="12">
        <f>IF(AND(S35&lt;&gt;"",OR(T35="",COUNTIF(R$3:R$62,"&gt;"&amp;R35)&lt;3)),R35,"")</f>
        <v>24.09620082</v>
      </c>
      <c r="V35" s="1">
        <f>IF(COUNT(H35:L35)&lt;3,SUM(H35:L35),SMALL(H35:L35,1)+SMALL(H35:L35,2))</f>
        <v>38</v>
      </c>
      <c r="W35" s="1">
        <f>COUNTIF(H35:L35,"&lt;=8")</f>
        <v>0</v>
      </c>
      <c r="X35" s="1">
        <f>MIN(H35:L35)</f>
        <v>18</v>
      </c>
      <c r="Y35" s="1"/>
      <c r="Z35" s="2" t="str">
        <f>IF(OR(R35=R34,R35=R36),"P","")</f>
        <v/>
      </c>
    </row>
    <row r="36" spans="1:26" x14ac:dyDescent="0.2">
      <c r="A36" s="7" t="s">
        <v>120</v>
      </c>
      <c r="B36" s="6" t="s">
        <v>7</v>
      </c>
      <c r="C36" s="6" t="str">
        <f>IF(A36="","",VLOOKUP(B36,'Continental Affiliation'!A:B,2,0))</f>
        <v>Americas</v>
      </c>
      <c r="G36" s="3">
        <f>IF(U36="","",RANK(U36,U:U)+COUNTIF(D:E,"P"))</f>
        <v>18</v>
      </c>
      <c r="H36" s="6">
        <v>24</v>
      </c>
      <c r="I36" s="6">
        <v>16</v>
      </c>
      <c r="J36" s="6">
        <v>28</v>
      </c>
      <c r="K36" s="6">
        <v>24</v>
      </c>
      <c r="L36" s="6">
        <v>44</v>
      </c>
      <c r="M36" s="1">
        <f>IF(OR(H36="",H36&gt;30),"",IF(H36=1,60,IF(H36=2,55,IF(H36=3,50,IF(H36=4,44,IF(H36=5,38,IF(H36=6,32,IF(H36=7,28,IF(H36=8,25,IF(H36=9,22,IF(H36=10,21,IF(H36=11,20,IF(H36=12,19,IF(H36=13,18,IF(H36=14,17,IF(H36=15,16,IF(H36=16,15,IF(H36=17,14,IF(H36=18,13,IF(H36=19,12,IF(H36=20,11,IF(H36=21,10,IF(H36=22,9,IF(H36=23,8,IF(H36=24,7,IF(H36=25,6,IF(H36=26,5,IF(H36=27,4,IF(H36=28,3,IF(H36=29,2,IF(H36=30,1)))))))))))))))))))))))))))))))</f>
        <v>7</v>
      </c>
      <c r="N36" s="1">
        <f>IF(OR(I36="",I36&gt;30),"",IF(I36=1,60,IF(I36=2,55,IF(I36=3,50,IF(I36=4,44,IF(I36=5,38,IF(I36=6,32,IF(I36=7,28,IF(I36=8,25,IF(I36=9,22,IF(I36=10,21,IF(I36=11,20,IF(I36=12,19,IF(I36=13,18,IF(I36=14,17,IF(I36=15,16,IF(I36=16,15,IF(I36=17,14,IF(I36=18,13,IF(I36=19,12,IF(I36=20,11,IF(I36=21,10,IF(I36=22,9,IF(I36=23,8,IF(I36=24,7,IF(I36=25,6,IF(I36=26,5,IF(I36=27,4,IF(I36=28,3,IF(I36=29,2,IF(I36=30,1)))))))))))))))))))))))))))))))</f>
        <v>15</v>
      </c>
      <c r="O36" s="1">
        <f>IF(OR(J36="",J36&gt;30),"",IF(J36=1,60,IF(J36=2,55,IF(J36=3,50,IF(J36=4,44,IF(J36=5,38,IF(J36=6,32,IF(J36=7,28,IF(J36=8,25,IF(J36=9,22,IF(J36=10,21,IF(J36=11,20,IF(J36=12,19,IF(J36=13,18,IF(J36=14,17,IF(J36=15,16,IF(J36=16,15,IF(J36=17,14,IF(J36=18,13,IF(J36=19,12,IF(J36=20,11,IF(J36=21,10,IF(J36=22,9,IF(J36=23,8,IF(J36=24,7,IF(J36=25,6,IF(J36=26,5,IF(J36=27,4,IF(J36=28,3,IF(J36=29,2,IF(J36=30,1)))))))))))))))))))))))))))))))</f>
        <v>3</v>
      </c>
      <c r="P36" s="1">
        <f>IF(OR(K36="",K36&gt;30),"",IF(K36=1,60,IF(K36=2,55,IF(K36=3,50,IF(K36=4,44,IF(K36=5,38,IF(K36=6,32,IF(K36=7,28,IF(K36=8,25,IF(K36=9,22,IF(K36=10,21,IF(K36=11,20,IF(K36=12,19,IF(K36=13,18,IF(K36=14,17,IF(K36=15,16,IF(K36=16,15,IF(K36=17,14,IF(K36=18,13,IF(K36=19,12,IF(K36=20,11,IF(K36=21,10,IF(K36=22,9,IF(K36=23,8,IF(K36=24,7,IF(K36=25,6,IF(K36=26,5,IF(K36=27,4,IF(K36=28,3,IF(K36=29,2,IF(K36=30,1)))))))))))))))))))))))))))))))</f>
        <v>7</v>
      </c>
      <c r="Q36" s="1" t="str">
        <f>IF(OR(L36="",L36&gt;30),"",IF(L36=1,60,IF(L36=2,55,IF(L36=3,50,IF(L36=4,44,IF(L36=5,38,IF(L36=6,32,IF(L36=7,28,IF(L36=8,25,IF(L36=9,22,IF(L36=10,21,IF(L36=11,20,IF(L36=12,19,IF(L36=13,18,IF(L36=14,17,IF(L36=15,16,IF(L36=16,15,IF(L36=17,14,IF(L36=18,13,IF(L36=19,12,IF(L36=20,11,IF(L36=21,10,IF(L36=22,9,IF(L36=23,8,IF(L36=24,7,IF(L36=25,6,IF(L36=26,5,IF(L36=27,4,IF(L36=28,3,IF(L36=29,2,IF(L36=30,1)))))))))))))))))))))))))))))))</f>
        <v/>
      </c>
      <c r="R36" s="12">
        <f>IF(A36="","",IF(OR(D36="P",E36="P"),"",IF(COUNT(M36:Q36)&lt;3,SUM(M36:Q36),LARGE(M36:Q36,1)+LARGE(M36:Q36,2))+(1000-V36)*10^-4+W36*10^-5+(100-X36)*10^-8+Y36*10^-10))</f>
        <v>22.096000839999999</v>
      </c>
      <c r="S36" s="2" t="str">
        <f>IF(OR(R36="",R36=0),"",IF(SUMPRODUCT(--(B$3:B$62=B36),--(R$3:R$62&gt;R36),--(R$3:R$62&lt;&gt;"")),"","P"))</f>
        <v>P</v>
      </c>
      <c r="T36" s="2" t="str" cm="1">
        <f t="array" ref="T36">IF(R36="","",IF(SUMPRODUCT(--(D$3:D$62="P"),--(B$3:B$62=B36)),"P",""))</f>
        <v/>
      </c>
      <c r="U36" s="12">
        <f>IF(AND(S36&lt;&gt;"",OR(T36="",COUNTIF(R$3:R$62,"&gt;"&amp;R36)&lt;3)),R36,"")</f>
        <v>22.096000839999999</v>
      </c>
      <c r="V36" s="1">
        <f>IF(COUNT(H36:L36)&lt;3,SUM(H36:L36),SMALL(H36:L36,1)+SMALL(H36:L36,2))</f>
        <v>40</v>
      </c>
      <c r="W36" s="1">
        <f>COUNTIF(H36:L36,"&lt;=8")</f>
        <v>0</v>
      </c>
      <c r="X36" s="1">
        <f>MIN(H36:L36)</f>
        <v>16</v>
      </c>
      <c r="Y36" s="1"/>
      <c r="Z36" s="2" t="str">
        <f>IF(OR(R36=R35,R36=R37),"P","")</f>
        <v/>
      </c>
    </row>
    <row r="37" spans="1:26" x14ac:dyDescent="0.2">
      <c r="A37" s="7" t="s">
        <v>155</v>
      </c>
      <c r="B37" s="6" t="s">
        <v>151</v>
      </c>
      <c r="C37" s="6" t="str">
        <f>IF(A37="","",VLOOKUP(B37,'Continental Affiliation'!A:B,2,0))</f>
        <v>Europe</v>
      </c>
      <c r="G37" s="3" t="str">
        <f>IF(U37="","",RANK(U37,U:U)+COUNTIF(D:E,"P"))</f>
        <v/>
      </c>
      <c r="H37" s="6" t="s">
        <v>143</v>
      </c>
      <c r="I37" s="6" t="s">
        <v>143</v>
      </c>
      <c r="J37" s="6" t="s">
        <v>143</v>
      </c>
      <c r="K37" s="6">
        <v>9</v>
      </c>
      <c r="L37" s="6">
        <v>81</v>
      </c>
      <c r="M37" s="1" t="str">
        <f>IF(OR(H37="",H37&gt;30),"",IF(H37=1,60,IF(H37=2,55,IF(H37=3,50,IF(H37=4,44,IF(H37=5,38,IF(H37=6,32,IF(H37=7,28,IF(H37=8,25,IF(H37=9,22,IF(H37=10,21,IF(H37=11,20,IF(H37=12,19,IF(H37=13,18,IF(H37=14,17,IF(H37=15,16,IF(H37=16,15,IF(H37=17,14,IF(H37=18,13,IF(H37=19,12,IF(H37=20,11,IF(H37=21,10,IF(H37=22,9,IF(H37=23,8,IF(H37=24,7,IF(H37=25,6,IF(H37=26,5,IF(H37=27,4,IF(H37=28,3,IF(H37=29,2,IF(H37=30,1)))))))))))))))))))))))))))))))</f>
        <v/>
      </c>
      <c r="N37" s="1" t="str">
        <f>IF(OR(I37="",I37&gt;30),"",IF(I37=1,60,IF(I37=2,55,IF(I37=3,50,IF(I37=4,44,IF(I37=5,38,IF(I37=6,32,IF(I37=7,28,IF(I37=8,25,IF(I37=9,22,IF(I37=10,21,IF(I37=11,20,IF(I37=12,19,IF(I37=13,18,IF(I37=14,17,IF(I37=15,16,IF(I37=16,15,IF(I37=17,14,IF(I37=18,13,IF(I37=19,12,IF(I37=20,11,IF(I37=21,10,IF(I37=22,9,IF(I37=23,8,IF(I37=24,7,IF(I37=25,6,IF(I37=26,5,IF(I37=27,4,IF(I37=28,3,IF(I37=29,2,IF(I37=30,1)))))))))))))))))))))))))))))))</f>
        <v/>
      </c>
      <c r="O37" s="1" t="str">
        <f>IF(OR(J37="",J37&gt;30),"",IF(J37=1,60,IF(J37=2,55,IF(J37=3,50,IF(J37=4,44,IF(J37=5,38,IF(J37=6,32,IF(J37=7,28,IF(J37=8,25,IF(J37=9,22,IF(J37=10,21,IF(J37=11,20,IF(J37=12,19,IF(J37=13,18,IF(J37=14,17,IF(J37=15,16,IF(J37=16,15,IF(J37=17,14,IF(J37=18,13,IF(J37=19,12,IF(J37=20,11,IF(J37=21,10,IF(J37=22,9,IF(J37=23,8,IF(J37=24,7,IF(J37=25,6,IF(J37=26,5,IF(J37=27,4,IF(J37=28,3,IF(J37=29,2,IF(J37=30,1)))))))))))))))))))))))))))))))</f>
        <v/>
      </c>
      <c r="P37" s="1">
        <f>IF(OR(K37="",K37&gt;30),"",IF(K37=1,60,IF(K37=2,55,IF(K37=3,50,IF(K37=4,44,IF(K37=5,38,IF(K37=6,32,IF(K37=7,28,IF(K37=8,25,IF(K37=9,22,IF(K37=10,21,IF(K37=11,20,IF(K37=12,19,IF(K37=13,18,IF(K37=14,17,IF(K37=15,16,IF(K37=16,15,IF(K37=17,14,IF(K37=18,13,IF(K37=19,12,IF(K37=20,11,IF(K37=21,10,IF(K37=22,9,IF(K37=23,8,IF(K37=24,7,IF(K37=25,6,IF(K37=26,5,IF(K37=27,4,IF(K37=28,3,IF(K37=29,2,IF(K37=30,1)))))))))))))))))))))))))))))))</f>
        <v>22</v>
      </c>
      <c r="Q37" s="1" t="str">
        <f>IF(OR(L37="",L37&gt;30),"",IF(L37=1,60,IF(L37=2,55,IF(L37=3,50,IF(L37=4,44,IF(L37=5,38,IF(L37=6,32,IF(L37=7,28,IF(L37=8,25,IF(L37=9,22,IF(L37=10,21,IF(L37=11,20,IF(L37=12,19,IF(L37=13,18,IF(L37=14,17,IF(L37=15,16,IF(L37=16,15,IF(L37=17,14,IF(L37=18,13,IF(L37=19,12,IF(L37=20,11,IF(L37=21,10,IF(L37=22,9,IF(L37=23,8,IF(L37=24,7,IF(L37=25,6,IF(L37=26,5,IF(L37=27,4,IF(L37=28,3,IF(L37=29,2,IF(L37=30,1)))))))))))))))))))))))))))))))</f>
        <v/>
      </c>
      <c r="R37" s="12">
        <f>IF(A37="","",IF(OR(D37="P",E37="P"),"",IF(COUNT(M37:Q37)&lt;3,SUM(M37:Q37),LARGE(M37:Q37,1)+LARGE(M37:Q37,2))+(1000-V37)*10^-4+W37*10^-5+(100-X37)*10^-8+Y37*10^-10))</f>
        <v>22.091000910000002</v>
      </c>
      <c r="S37" s="2" t="str" cm="1">
        <f t="array" ref="S37">IF(OR(R37="",R37=0),"",IF(SUMPRODUCT(--(B$3:B$62=B37),--(R$3:R$62&gt;R37),--(R$3:R$62&lt;&gt;"")),"","P"))</f>
        <v/>
      </c>
      <c r="T37" s="2" t="str" cm="1">
        <f t="array" ref="T37">IF(R37="","",IF(SUMPRODUCT(--(D$3:D$62="P"),--(B$3:B$62=B37)),"P",""))</f>
        <v/>
      </c>
      <c r="U37" s="12" t="str">
        <f>IF(AND(S37&lt;&gt;"",OR(T37="",COUNTIF(R$3:R$62,"&gt;"&amp;R37)&lt;3)),R37,"")</f>
        <v/>
      </c>
      <c r="V37" s="1">
        <f>IF(COUNT(H37:L37)&lt;3,SUM(H37:L37),SMALL(H37:L37,1)+SMALL(H37:L37,2))</f>
        <v>90</v>
      </c>
      <c r="W37" s="1">
        <f>COUNTIF(H37:L37,"&lt;=8")</f>
        <v>0</v>
      </c>
      <c r="X37" s="1">
        <f>MIN(H37:L37)</f>
        <v>9</v>
      </c>
      <c r="Y37" s="1"/>
      <c r="Z37" s="2" t="str">
        <f>IF(OR(R37=R36,R37=R45),"P","")</f>
        <v/>
      </c>
    </row>
    <row r="38" spans="1:26" x14ac:dyDescent="0.2">
      <c r="A38" s="7" t="s">
        <v>170</v>
      </c>
      <c r="B38" s="6" t="s">
        <v>22</v>
      </c>
      <c r="C38" s="6" t="str">
        <f>IF(A38="","",VLOOKUP(B38,'Continental Affiliation'!A:B,2,0))</f>
        <v>Europe</v>
      </c>
      <c r="G38" s="3" t="str">
        <f>IF(U38="","",RANK(U38,U:U)+COUNTIF(D:E,"P"))</f>
        <v/>
      </c>
      <c r="H38" s="6">
        <v>43</v>
      </c>
      <c r="I38" s="6">
        <v>67</v>
      </c>
      <c r="J38" s="6">
        <v>32</v>
      </c>
      <c r="K38" s="6">
        <v>49</v>
      </c>
      <c r="L38" s="6">
        <v>13</v>
      </c>
      <c r="M38" s="1" t="str">
        <f>IF(OR(H38="",H38&gt;30),"",IF(H38=1,60,IF(H38=2,55,IF(H38=3,50,IF(H38=4,44,IF(H38=5,38,IF(H38=6,32,IF(H38=7,28,IF(H38=8,25,IF(H38=9,22,IF(H38=10,21,IF(H38=11,20,IF(H38=12,19,IF(H38=13,18,IF(H38=14,17,IF(H38=15,16,IF(H38=16,15,IF(H38=17,14,IF(H38=18,13,IF(H38=19,12,IF(H38=20,11,IF(H38=21,10,IF(H38=22,9,IF(H38=23,8,IF(H38=24,7,IF(H38=25,6,IF(H38=26,5,IF(H38=27,4,IF(H38=28,3,IF(H38=29,2,IF(H38=30,1)))))))))))))))))))))))))))))))</f>
        <v/>
      </c>
      <c r="N38" s="1" t="str">
        <f>IF(OR(I38="",I38&gt;30),"",IF(I38=1,60,IF(I38=2,55,IF(I38=3,50,IF(I38=4,44,IF(I38=5,38,IF(I38=6,32,IF(I38=7,28,IF(I38=8,25,IF(I38=9,22,IF(I38=10,21,IF(I38=11,20,IF(I38=12,19,IF(I38=13,18,IF(I38=14,17,IF(I38=15,16,IF(I38=16,15,IF(I38=17,14,IF(I38=18,13,IF(I38=19,12,IF(I38=20,11,IF(I38=21,10,IF(I38=22,9,IF(I38=23,8,IF(I38=24,7,IF(I38=25,6,IF(I38=26,5,IF(I38=27,4,IF(I38=28,3,IF(I38=29,2,IF(I38=30,1)))))))))))))))))))))))))))))))</f>
        <v/>
      </c>
      <c r="O38" s="1" t="str">
        <f>IF(OR(J38="",J38&gt;30),"",IF(J38=1,60,IF(J38=2,55,IF(J38=3,50,IF(J38=4,44,IF(J38=5,38,IF(J38=6,32,IF(J38=7,28,IF(J38=8,25,IF(J38=9,22,IF(J38=10,21,IF(J38=11,20,IF(J38=12,19,IF(J38=13,18,IF(J38=14,17,IF(J38=15,16,IF(J38=16,15,IF(J38=17,14,IF(J38=18,13,IF(J38=19,12,IF(J38=20,11,IF(J38=21,10,IF(J38=22,9,IF(J38=23,8,IF(J38=24,7,IF(J38=25,6,IF(J38=26,5,IF(J38=27,4,IF(J38=28,3,IF(J38=29,2,IF(J38=30,1)))))))))))))))))))))))))))))))</f>
        <v/>
      </c>
      <c r="P38" s="1" t="str">
        <f>IF(OR(K38="",K38&gt;30),"",IF(K38=1,60,IF(K38=2,55,IF(K38=3,50,IF(K38=4,44,IF(K38=5,38,IF(K38=6,32,IF(K38=7,28,IF(K38=8,25,IF(K38=9,22,IF(K38=10,21,IF(K38=11,20,IF(K38=12,19,IF(K38=13,18,IF(K38=14,17,IF(K38=15,16,IF(K38=16,15,IF(K38=17,14,IF(K38=18,13,IF(K38=19,12,IF(K38=20,11,IF(K38=21,10,IF(K38=22,9,IF(K38=23,8,IF(K38=24,7,IF(K38=25,6,IF(K38=26,5,IF(K38=27,4,IF(K38=28,3,IF(K38=29,2,IF(K38=30,1)))))))))))))))))))))))))))))))</f>
        <v/>
      </c>
      <c r="Q38" s="1">
        <f>IF(OR(L38="",L38&gt;30),"",IF(L38=1,60,IF(L38=2,55,IF(L38=3,50,IF(L38=4,44,IF(L38=5,38,IF(L38=6,32,IF(L38=7,28,IF(L38=8,25,IF(L38=9,22,IF(L38=10,21,IF(L38=11,20,IF(L38=12,19,IF(L38=13,18,IF(L38=14,17,IF(L38=15,16,IF(L38=16,15,IF(L38=17,14,IF(L38=18,13,IF(L38=19,12,IF(L38=20,11,IF(L38=21,10,IF(L38=22,9,IF(L38=23,8,IF(L38=24,7,IF(L38=25,6,IF(L38=26,5,IF(L38=27,4,IF(L38=28,3,IF(L38=29,2,IF(L38=30,1)))))))))))))))))))))))))))))))</f>
        <v>18</v>
      </c>
      <c r="R38" s="12">
        <f>IF(A38="","",IF(OR(D38="P",E38="P"),"",IF(COUNT(M38:Q38)&lt;3,SUM(M38:Q38),LARGE(M38:Q38,1)+LARGE(M38:Q38,2))+(1000-V38)*10^-4+W38*10^-5+(100-X38)*10^-8+Y38*10^-10))</f>
        <v>18.095500870000002</v>
      </c>
      <c r="S38" s="2" t="str">
        <f>IF(OR(R38="",R38=0),"",IF(SUMPRODUCT(--(B$3:B$62=B38),--(R$3:R$62&gt;R38),--(R$3:R$62&lt;&gt;"")),"","P"))</f>
        <v/>
      </c>
      <c r="T38" s="2" t="str" cm="1">
        <f t="array" ref="T38">IF(R38="","",IF(SUMPRODUCT(--(D$3:D$62="P"),--(B$3:B$62=B38)),"P",""))</f>
        <v/>
      </c>
      <c r="U38" s="12" t="str">
        <f>IF(AND(S38&lt;&gt;"",OR(T38="",COUNTIF(R$3:R$62,"&gt;"&amp;R38)&lt;3)),R38,"")</f>
        <v/>
      </c>
      <c r="V38" s="1">
        <f>IF(COUNT(H38:L38)&lt;3,SUM(H38:L38),SMALL(H38:L38,1)+SMALL(H38:L38,2))</f>
        <v>45</v>
      </c>
      <c r="W38" s="1">
        <f>COUNTIF(H38:L38,"&lt;=8")</f>
        <v>0</v>
      </c>
      <c r="X38" s="1">
        <f>MIN(H38:L38)</f>
        <v>13</v>
      </c>
      <c r="Y38" s="1"/>
      <c r="Z38" s="2" t="str">
        <f>IF(OR(R38=R37,R38=R42),"P","")</f>
        <v/>
      </c>
    </row>
    <row r="39" spans="1:26" x14ac:dyDescent="0.2">
      <c r="A39" s="7" t="s">
        <v>156</v>
      </c>
      <c r="B39" s="6" t="s">
        <v>150</v>
      </c>
      <c r="C39" s="6" t="str">
        <f>IF(A39="","",VLOOKUP(B39,'Continental Affiliation'!A:B,2,0))</f>
        <v>Europe</v>
      </c>
      <c r="G39" s="3">
        <f>IF(U39="","",RANK(U39,U:U)+COUNTIF(D:E,"P"))</f>
        <v>19</v>
      </c>
      <c r="H39" s="6" t="s">
        <v>143</v>
      </c>
      <c r="I39" s="6" t="s">
        <v>143</v>
      </c>
      <c r="J39" s="6" t="s">
        <v>143</v>
      </c>
      <c r="K39" s="6">
        <v>13</v>
      </c>
      <c r="L39" s="6">
        <v>39</v>
      </c>
      <c r="M39" s="1" t="str">
        <f>IF(OR(H39="",H39&gt;30),"",IF(H39=1,60,IF(H39=2,55,IF(H39=3,50,IF(H39=4,44,IF(H39=5,38,IF(H39=6,32,IF(H39=7,28,IF(H39=8,25,IF(H39=9,22,IF(H39=10,21,IF(H39=11,20,IF(H39=12,19,IF(H39=13,18,IF(H39=14,17,IF(H39=15,16,IF(H39=16,15,IF(H39=17,14,IF(H39=18,13,IF(H39=19,12,IF(H39=20,11,IF(H39=21,10,IF(H39=22,9,IF(H39=23,8,IF(H39=24,7,IF(H39=25,6,IF(H39=26,5,IF(H39=27,4,IF(H39=28,3,IF(H39=29,2,IF(H39=30,1)))))))))))))))))))))))))))))))</f>
        <v/>
      </c>
      <c r="N39" s="1" t="str">
        <f>IF(OR(I39="",I39&gt;30),"",IF(I39=1,60,IF(I39=2,55,IF(I39=3,50,IF(I39=4,44,IF(I39=5,38,IF(I39=6,32,IF(I39=7,28,IF(I39=8,25,IF(I39=9,22,IF(I39=10,21,IF(I39=11,20,IF(I39=12,19,IF(I39=13,18,IF(I39=14,17,IF(I39=15,16,IF(I39=16,15,IF(I39=17,14,IF(I39=18,13,IF(I39=19,12,IF(I39=20,11,IF(I39=21,10,IF(I39=22,9,IF(I39=23,8,IF(I39=24,7,IF(I39=25,6,IF(I39=26,5,IF(I39=27,4,IF(I39=28,3,IF(I39=29,2,IF(I39=30,1)))))))))))))))))))))))))))))))</f>
        <v/>
      </c>
      <c r="O39" s="1" t="str">
        <f>IF(OR(J39="",J39&gt;30),"",IF(J39=1,60,IF(J39=2,55,IF(J39=3,50,IF(J39=4,44,IF(J39=5,38,IF(J39=6,32,IF(J39=7,28,IF(J39=8,25,IF(J39=9,22,IF(J39=10,21,IF(J39=11,20,IF(J39=12,19,IF(J39=13,18,IF(J39=14,17,IF(J39=15,16,IF(J39=16,15,IF(J39=17,14,IF(J39=18,13,IF(J39=19,12,IF(J39=20,11,IF(J39=21,10,IF(J39=22,9,IF(J39=23,8,IF(J39=24,7,IF(J39=25,6,IF(J39=26,5,IF(J39=27,4,IF(J39=28,3,IF(J39=29,2,IF(J39=30,1)))))))))))))))))))))))))))))))</f>
        <v/>
      </c>
      <c r="P39" s="1">
        <f>IF(OR(K39="",K39&gt;30),"",IF(K39=1,60,IF(K39=2,55,IF(K39=3,50,IF(K39=4,44,IF(K39=5,38,IF(K39=6,32,IF(K39=7,28,IF(K39=8,25,IF(K39=9,22,IF(K39=10,21,IF(K39=11,20,IF(K39=12,19,IF(K39=13,18,IF(K39=14,17,IF(K39=15,16,IF(K39=16,15,IF(K39=17,14,IF(K39=18,13,IF(K39=19,12,IF(K39=20,11,IF(K39=21,10,IF(K39=22,9,IF(K39=23,8,IF(K39=24,7,IF(K39=25,6,IF(K39=26,5,IF(K39=27,4,IF(K39=28,3,IF(K39=29,2,IF(K39=30,1)))))))))))))))))))))))))))))))</f>
        <v>18</v>
      </c>
      <c r="Q39" s="1" t="str">
        <f>IF(OR(L39="",L39&gt;30),"",IF(L39=1,60,IF(L39=2,55,IF(L39=3,50,IF(L39=4,44,IF(L39=5,38,IF(L39=6,32,IF(L39=7,28,IF(L39=8,25,IF(L39=9,22,IF(L39=10,21,IF(L39=11,20,IF(L39=12,19,IF(L39=13,18,IF(L39=14,17,IF(L39=15,16,IF(L39=16,15,IF(L39=17,14,IF(L39=18,13,IF(L39=19,12,IF(L39=20,11,IF(L39=21,10,IF(L39=22,9,IF(L39=23,8,IF(L39=24,7,IF(L39=25,6,IF(L39=26,5,IF(L39=27,4,IF(L39=28,3,IF(L39=29,2,IF(L39=30,1)))))))))))))))))))))))))))))))</f>
        <v/>
      </c>
      <c r="R39" s="12">
        <f>IF(A39="","",IF(OR(D39="P",E39="P"),"",IF(COUNT(M39:Q39)&lt;3,SUM(M39:Q39),LARGE(M39:Q39,1)+LARGE(M39:Q39,2))+(1000-V39)*10^-4+W39*10^-5+(100-X39)*10^-8+Y39*10^-10))</f>
        <v>18.09480087</v>
      </c>
      <c r="S39" s="2" t="str" cm="1">
        <f t="array" ref="S39">IF(OR(R39="",R39=0),"",IF(SUMPRODUCT(--(B$3:B$62=B39),--(R$3:R$62&gt;R39),--(R$3:R$62&lt;&gt;"")),"","P"))</f>
        <v>P</v>
      </c>
      <c r="T39" s="2" t="str" cm="1">
        <f t="array" ref="T39">IF(R39="","",IF(SUMPRODUCT(--(D$3:D$62="P"),--(B$3:B$62=B39)),"P",""))</f>
        <v/>
      </c>
      <c r="U39" s="12">
        <f>IF(AND(S39&lt;&gt;"",OR(T39="",COUNTIF(R$3:R$62,"&gt;"&amp;R39)&lt;3)),R39,"")</f>
        <v>18.09480087</v>
      </c>
      <c r="V39" s="1">
        <f>IF(COUNT(H39:L39)&lt;3,SUM(H39:L39),SMALL(H39:L39,1)+SMALL(H39:L39,2))</f>
        <v>52</v>
      </c>
      <c r="W39" s="1">
        <f>COUNTIF(H39:L39,"&lt;=8")</f>
        <v>0</v>
      </c>
      <c r="X39" s="1">
        <f>MIN(H39:L39)</f>
        <v>13</v>
      </c>
      <c r="Y39" s="1"/>
      <c r="Z39" s="2" t="str">
        <f>IF(OR(R39=R38,R39=R47),"P","")</f>
        <v/>
      </c>
    </row>
    <row r="40" spans="1:26" x14ac:dyDescent="0.2">
      <c r="A40" s="7" t="s">
        <v>139</v>
      </c>
      <c r="B40" s="6" t="s">
        <v>44</v>
      </c>
      <c r="C40" s="6" t="str">
        <f>IF(A40="","",VLOOKUP(B40,'Continental Affiliation'!A:B,2,0))</f>
        <v>Europe</v>
      </c>
      <c r="G40" s="3" t="str">
        <f>IF(U40="","",RANK(U40,U:U)+COUNTIF(D:E,"P"))</f>
        <v/>
      </c>
      <c r="H40" s="6">
        <v>32</v>
      </c>
      <c r="I40" s="6">
        <v>43</v>
      </c>
      <c r="J40" s="6">
        <v>15</v>
      </c>
      <c r="K40" s="6">
        <v>56</v>
      </c>
      <c r="L40" s="6">
        <v>31</v>
      </c>
      <c r="M40" s="1" t="str">
        <f>IF(OR(H40="",H40&gt;30),"",IF(H40=1,60,IF(H40=2,55,IF(H40=3,50,IF(H40=4,44,IF(H40=5,38,IF(H40=6,32,IF(H40=7,28,IF(H40=8,25,IF(H40=9,22,IF(H40=10,21,IF(H40=11,20,IF(H40=12,19,IF(H40=13,18,IF(H40=14,17,IF(H40=15,16,IF(H40=16,15,IF(H40=17,14,IF(H40=18,13,IF(H40=19,12,IF(H40=20,11,IF(H40=21,10,IF(H40=22,9,IF(H40=23,8,IF(H40=24,7,IF(H40=25,6,IF(H40=26,5,IF(H40=27,4,IF(H40=28,3,IF(H40=29,2,IF(H40=30,1)))))))))))))))))))))))))))))))</f>
        <v/>
      </c>
      <c r="N40" s="1" t="str">
        <f>IF(OR(I40="",I40&gt;30),"",IF(I40=1,60,IF(I40=2,55,IF(I40=3,50,IF(I40=4,44,IF(I40=5,38,IF(I40=6,32,IF(I40=7,28,IF(I40=8,25,IF(I40=9,22,IF(I40=10,21,IF(I40=11,20,IF(I40=12,19,IF(I40=13,18,IF(I40=14,17,IF(I40=15,16,IF(I40=16,15,IF(I40=17,14,IF(I40=18,13,IF(I40=19,12,IF(I40=20,11,IF(I40=21,10,IF(I40=22,9,IF(I40=23,8,IF(I40=24,7,IF(I40=25,6,IF(I40=26,5,IF(I40=27,4,IF(I40=28,3,IF(I40=29,2,IF(I40=30,1)))))))))))))))))))))))))))))))</f>
        <v/>
      </c>
      <c r="O40" s="1">
        <f>IF(OR(J40="",J40&gt;30),"",IF(J40=1,60,IF(J40=2,55,IF(J40=3,50,IF(J40=4,44,IF(J40=5,38,IF(J40=6,32,IF(J40=7,28,IF(J40=8,25,IF(J40=9,22,IF(J40=10,21,IF(J40=11,20,IF(J40=12,19,IF(J40=13,18,IF(J40=14,17,IF(J40=15,16,IF(J40=16,15,IF(J40=17,14,IF(J40=18,13,IF(J40=19,12,IF(J40=20,11,IF(J40=21,10,IF(J40=22,9,IF(J40=23,8,IF(J40=24,7,IF(J40=25,6,IF(J40=26,5,IF(J40=27,4,IF(J40=28,3,IF(J40=29,2,IF(J40=30,1)))))))))))))))))))))))))))))))</f>
        <v>16</v>
      </c>
      <c r="P40" s="1" t="str">
        <f>IF(OR(K40="",K40&gt;30),"",IF(K40=1,60,IF(K40=2,55,IF(K40=3,50,IF(K40=4,44,IF(K40=5,38,IF(K40=6,32,IF(K40=7,28,IF(K40=8,25,IF(K40=9,22,IF(K40=10,21,IF(K40=11,20,IF(K40=12,19,IF(K40=13,18,IF(K40=14,17,IF(K40=15,16,IF(K40=16,15,IF(K40=17,14,IF(K40=18,13,IF(K40=19,12,IF(K40=20,11,IF(K40=21,10,IF(K40=22,9,IF(K40=23,8,IF(K40=24,7,IF(K40=25,6,IF(K40=26,5,IF(K40=27,4,IF(K40=28,3,IF(K40=29,2,IF(K40=30,1)))))))))))))))))))))))))))))))</f>
        <v/>
      </c>
      <c r="Q40" s="1" t="str">
        <f>IF(OR(L40="",L40&gt;30),"",IF(L40=1,60,IF(L40=2,55,IF(L40=3,50,IF(L40=4,44,IF(L40=5,38,IF(L40=6,32,IF(L40=7,28,IF(L40=8,25,IF(L40=9,22,IF(L40=10,21,IF(L40=11,20,IF(L40=12,19,IF(L40=13,18,IF(L40=14,17,IF(L40=15,16,IF(L40=16,15,IF(L40=17,14,IF(L40=18,13,IF(L40=19,12,IF(L40=20,11,IF(L40=21,10,IF(L40=22,9,IF(L40=23,8,IF(L40=24,7,IF(L40=25,6,IF(L40=26,5,IF(L40=27,4,IF(L40=28,3,IF(L40=29,2,IF(L40=30,1)))))))))))))))))))))))))))))))</f>
        <v/>
      </c>
      <c r="R40" s="12">
        <f>IF(A40="","",IF(OR(D40="P",E40="P"),"",IF(COUNT(M40:Q40)&lt;3,SUM(M40:Q40),LARGE(M40:Q40,1)+LARGE(M40:Q40,2))+(1000-V40)*10^-4+W40*10^-5+(100-X40)*10^-8+Y40*10^-10))</f>
        <v>16.095400850000001</v>
      </c>
      <c r="S40" s="2" t="str">
        <f>IF(OR(R40="",R40=0),"",IF(SUMPRODUCT(--(B$3:B$62=B40),--(R$3:R$62&gt;R40),--(R$3:R$62&lt;&gt;"")),"","P"))</f>
        <v/>
      </c>
      <c r="T40" s="2" t="str" cm="1">
        <f t="array" ref="T40">IF(R40="","",IF(SUMPRODUCT(--(D$3:D$62="P"),--(B$3:B$62=B40)),"P",""))</f>
        <v/>
      </c>
      <c r="U40" s="12" t="str">
        <f>IF(AND(S40&lt;&gt;"",OR(T40="",COUNTIF(R$3:R$62,"&gt;"&amp;R40)&lt;3)),R40,"")</f>
        <v/>
      </c>
      <c r="V40" s="1">
        <f>IF(COUNT(H40:L40)&lt;3,SUM(H40:L40),SMALL(H40:L40,1)+SMALL(H40:L40,2))</f>
        <v>46</v>
      </c>
      <c r="W40" s="1">
        <f>COUNTIF(H40:L40,"&lt;=8")</f>
        <v>0</v>
      </c>
      <c r="X40" s="1">
        <f>MIN(H40:L40)</f>
        <v>15</v>
      </c>
      <c r="Y40" s="1"/>
      <c r="Z40" s="1"/>
    </row>
    <row r="41" spans="1:26" x14ac:dyDescent="0.2">
      <c r="A41" s="7" t="s">
        <v>153</v>
      </c>
      <c r="B41" s="6" t="s">
        <v>150</v>
      </c>
      <c r="C41" s="6" t="str">
        <f>IF(A41="","",VLOOKUP(B41,'Continental Affiliation'!A:B,2,0))</f>
        <v>Europe</v>
      </c>
      <c r="G41" s="3" t="str">
        <f>IF(U41="","",RANK(U41,U:U)+COUNTIF(D:E,"P"))</f>
        <v/>
      </c>
      <c r="H41" s="6" t="s">
        <v>143</v>
      </c>
      <c r="I41" s="6" t="s">
        <v>143</v>
      </c>
      <c r="J41" s="6" t="s">
        <v>143</v>
      </c>
      <c r="K41" s="6">
        <v>17</v>
      </c>
      <c r="L41" s="6">
        <v>88</v>
      </c>
      <c r="M41" s="1" t="str">
        <f>IF(OR(H41="",H41&gt;30),"",IF(H41=1,60,IF(H41=2,55,IF(H41=3,50,IF(H41=4,44,IF(H41=5,38,IF(H41=6,32,IF(H41=7,28,IF(H41=8,25,IF(H41=9,22,IF(H41=10,21,IF(H41=11,20,IF(H41=12,19,IF(H41=13,18,IF(H41=14,17,IF(H41=15,16,IF(H41=16,15,IF(H41=17,14,IF(H41=18,13,IF(H41=19,12,IF(H41=20,11,IF(H41=21,10,IF(H41=22,9,IF(H41=23,8,IF(H41=24,7,IF(H41=25,6,IF(H41=26,5,IF(H41=27,4,IF(H41=28,3,IF(H41=29,2,IF(H41=30,1)))))))))))))))))))))))))))))))</f>
        <v/>
      </c>
      <c r="N41" s="1" t="str">
        <f>IF(OR(I41="",I41&gt;30),"",IF(I41=1,60,IF(I41=2,55,IF(I41=3,50,IF(I41=4,44,IF(I41=5,38,IF(I41=6,32,IF(I41=7,28,IF(I41=8,25,IF(I41=9,22,IF(I41=10,21,IF(I41=11,20,IF(I41=12,19,IF(I41=13,18,IF(I41=14,17,IF(I41=15,16,IF(I41=16,15,IF(I41=17,14,IF(I41=18,13,IF(I41=19,12,IF(I41=20,11,IF(I41=21,10,IF(I41=22,9,IF(I41=23,8,IF(I41=24,7,IF(I41=25,6,IF(I41=26,5,IF(I41=27,4,IF(I41=28,3,IF(I41=29,2,IF(I41=30,1)))))))))))))))))))))))))))))))</f>
        <v/>
      </c>
      <c r="O41" s="1" t="str">
        <f>IF(OR(J41="",J41&gt;30),"",IF(J41=1,60,IF(J41=2,55,IF(J41=3,50,IF(J41=4,44,IF(J41=5,38,IF(J41=6,32,IF(J41=7,28,IF(J41=8,25,IF(J41=9,22,IF(J41=10,21,IF(J41=11,20,IF(J41=12,19,IF(J41=13,18,IF(J41=14,17,IF(J41=15,16,IF(J41=16,15,IF(J41=17,14,IF(J41=18,13,IF(J41=19,12,IF(J41=20,11,IF(J41=21,10,IF(J41=22,9,IF(J41=23,8,IF(J41=24,7,IF(J41=25,6,IF(J41=26,5,IF(J41=27,4,IF(J41=28,3,IF(J41=29,2,IF(J41=30,1)))))))))))))))))))))))))))))))</f>
        <v/>
      </c>
      <c r="P41" s="1">
        <f>IF(OR(K41="",K41&gt;30),"",IF(K41=1,60,IF(K41=2,55,IF(K41=3,50,IF(K41=4,44,IF(K41=5,38,IF(K41=6,32,IF(K41=7,28,IF(K41=8,25,IF(K41=9,22,IF(K41=10,21,IF(K41=11,20,IF(K41=12,19,IF(K41=13,18,IF(K41=14,17,IF(K41=15,16,IF(K41=16,15,IF(K41=17,14,IF(K41=18,13,IF(K41=19,12,IF(K41=20,11,IF(K41=21,10,IF(K41=22,9,IF(K41=23,8,IF(K41=24,7,IF(K41=25,6,IF(K41=26,5,IF(K41=27,4,IF(K41=28,3,IF(K41=29,2,IF(K41=30,1)))))))))))))))))))))))))))))))</f>
        <v>14</v>
      </c>
      <c r="Q41" s="1" t="str">
        <f>IF(OR(L41="",L41&gt;30),"",IF(L41=1,60,IF(L41=2,55,IF(L41=3,50,IF(L41=4,44,IF(L41=5,38,IF(L41=6,32,IF(L41=7,28,IF(L41=8,25,IF(L41=9,22,IF(L41=10,21,IF(L41=11,20,IF(L41=12,19,IF(L41=13,18,IF(L41=14,17,IF(L41=15,16,IF(L41=16,15,IF(L41=17,14,IF(L41=18,13,IF(L41=19,12,IF(L41=20,11,IF(L41=21,10,IF(L41=22,9,IF(L41=23,8,IF(L41=24,7,IF(L41=25,6,IF(L41=26,5,IF(L41=27,4,IF(L41=28,3,IF(L41=29,2,IF(L41=30,1)))))))))))))))))))))))))))))))</f>
        <v/>
      </c>
      <c r="R41" s="12">
        <f>IF(A41="","",IF(OR(D41="P",E41="P"),"",IF(COUNT(M41:Q41)&lt;3,SUM(M41:Q41),LARGE(M41:Q41,1)+LARGE(M41:Q41,2))+(1000-V41)*10^-4+W41*10^-5+(100-X41)*10^-8+Y41*10^-10))</f>
        <v>14.089500829999999</v>
      </c>
      <c r="S41" s="2" t="str" cm="1">
        <f t="array" ref="S41">IF(OR(R41="",R41=0),"",IF(SUMPRODUCT(--(B$3:B$62=B41),--(R$3:R$62&gt;R41),--(R$3:R$62&lt;&gt;"")),"","P"))</f>
        <v/>
      </c>
      <c r="T41" s="2" t="str" cm="1">
        <f t="array" ref="T41">IF(R41="","",IF(SUMPRODUCT(--(D$3:D$62="P"),--(B$3:B$62=B41)),"P",""))</f>
        <v/>
      </c>
      <c r="U41" s="12" t="str">
        <f>IF(AND(S41&lt;&gt;"",OR(T41="",COUNTIF(R$3:R$62,"&gt;"&amp;R41)&lt;3)),R41,"")</f>
        <v/>
      </c>
      <c r="V41" s="1">
        <f>IF(COUNT(H41:L41)&lt;3,SUM(H41:L41),SMALL(H41:L41,1)+SMALL(H41:L41,2))</f>
        <v>105</v>
      </c>
      <c r="W41" s="1">
        <f>COUNTIF(H41:L41,"&lt;=8")</f>
        <v>0</v>
      </c>
      <c r="X41" s="1">
        <f>MIN(H41:L41)</f>
        <v>17</v>
      </c>
      <c r="Y41" s="1"/>
      <c r="Z41" s="2" t="str">
        <f>IF(OR(R41=R40,R41=R52),"P","")</f>
        <v/>
      </c>
    </row>
    <row r="42" spans="1:26" x14ac:dyDescent="0.2">
      <c r="A42" s="7" t="s">
        <v>43</v>
      </c>
      <c r="B42" s="6" t="s">
        <v>44</v>
      </c>
      <c r="C42" s="6" t="str">
        <f>IF(A42="","",VLOOKUP(B42,'Continental Affiliation'!A:B,2,0))</f>
        <v>Europe</v>
      </c>
      <c r="G42" s="3" t="str">
        <f>IF(U42="","",RANK(U42,U:U)+COUNTIF(D:E,"P"))</f>
        <v/>
      </c>
      <c r="H42" s="6">
        <v>22</v>
      </c>
      <c r="I42" s="6">
        <v>29</v>
      </c>
      <c r="J42" s="6">
        <v>47</v>
      </c>
      <c r="K42" s="6">
        <v>59</v>
      </c>
      <c r="L42" s="6">
        <v>29</v>
      </c>
      <c r="M42" s="1">
        <f>IF(OR(H42="",H42&gt;30),"",IF(H42=1,60,IF(H42=2,55,IF(H42=3,50,IF(H42=4,44,IF(H42=5,38,IF(H42=6,32,IF(H42=7,28,IF(H42=8,25,IF(H42=9,22,IF(H42=10,21,IF(H42=11,20,IF(H42=12,19,IF(H42=13,18,IF(H42=14,17,IF(H42=15,16,IF(H42=16,15,IF(H42=17,14,IF(H42=18,13,IF(H42=19,12,IF(H42=20,11,IF(H42=21,10,IF(H42=22,9,IF(H42=23,8,IF(H42=24,7,IF(H42=25,6,IF(H42=26,5,IF(H42=27,4,IF(H42=28,3,IF(H42=29,2,IF(H42=30,1)))))))))))))))))))))))))))))))</f>
        <v>9</v>
      </c>
      <c r="N42" s="1">
        <f>IF(OR(I42="",I42&gt;30),"",IF(I42=1,60,IF(I42=2,55,IF(I42=3,50,IF(I42=4,44,IF(I42=5,38,IF(I42=6,32,IF(I42=7,28,IF(I42=8,25,IF(I42=9,22,IF(I42=10,21,IF(I42=11,20,IF(I42=12,19,IF(I42=13,18,IF(I42=14,17,IF(I42=15,16,IF(I42=16,15,IF(I42=17,14,IF(I42=18,13,IF(I42=19,12,IF(I42=20,11,IF(I42=21,10,IF(I42=22,9,IF(I42=23,8,IF(I42=24,7,IF(I42=25,6,IF(I42=26,5,IF(I42=27,4,IF(I42=28,3,IF(I42=29,2,IF(I42=30,1)))))))))))))))))))))))))))))))</f>
        <v>2</v>
      </c>
      <c r="O42" s="1" t="str">
        <f>IF(OR(J42="",J42&gt;30),"",IF(J42=1,60,IF(J42=2,55,IF(J42=3,50,IF(J42=4,44,IF(J42=5,38,IF(J42=6,32,IF(J42=7,28,IF(J42=8,25,IF(J42=9,22,IF(J42=10,21,IF(J42=11,20,IF(J42=12,19,IF(J42=13,18,IF(J42=14,17,IF(J42=15,16,IF(J42=16,15,IF(J42=17,14,IF(J42=18,13,IF(J42=19,12,IF(J42=20,11,IF(J42=21,10,IF(J42=22,9,IF(J42=23,8,IF(J42=24,7,IF(J42=25,6,IF(J42=26,5,IF(J42=27,4,IF(J42=28,3,IF(J42=29,2,IF(J42=30,1)))))))))))))))))))))))))))))))</f>
        <v/>
      </c>
      <c r="P42" s="1" t="str">
        <f>IF(OR(K42="",K42&gt;30),"",IF(K42=1,60,IF(K42=2,55,IF(K42=3,50,IF(K42=4,44,IF(K42=5,38,IF(K42=6,32,IF(K42=7,28,IF(K42=8,25,IF(K42=9,22,IF(K42=10,21,IF(K42=11,20,IF(K42=12,19,IF(K42=13,18,IF(K42=14,17,IF(K42=15,16,IF(K42=16,15,IF(K42=17,14,IF(K42=18,13,IF(K42=19,12,IF(K42=20,11,IF(K42=21,10,IF(K42=22,9,IF(K42=23,8,IF(K42=24,7,IF(K42=25,6,IF(K42=26,5,IF(K42=27,4,IF(K42=28,3,IF(K42=29,2,IF(K42=30,1)))))))))))))))))))))))))))))))</f>
        <v/>
      </c>
      <c r="Q42" s="1">
        <f>IF(OR(L42="",L42&gt;30),"",IF(L42=1,60,IF(L42=2,55,IF(L42=3,50,IF(L42=4,44,IF(L42=5,38,IF(L42=6,32,IF(L42=7,28,IF(L42=8,25,IF(L42=9,22,IF(L42=10,21,IF(L42=11,20,IF(L42=12,19,IF(L42=13,18,IF(L42=14,17,IF(L42=15,16,IF(L42=16,15,IF(L42=17,14,IF(L42=18,13,IF(L42=19,12,IF(L42=20,11,IF(L42=21,10,IF(L42=22,9,IF(L42=23,8,IF(L42=24,7,IF(L42=25,6,IF(L42=26,5,IF(L42=27,4,IF(L42=28,3,IF(L42=29,2,IF(L42=30,1)))))))))))))))))))))))))))))))</f>
        <v>2</v>
      </c>
      <c r="R42" s="12">
        <f>IF(A42="","",IF(OR(D42="P",E42="P"),"",IF(COUNT(M42:Q42)&lt;3,SUM(M42:Q42),LARGE(M42:Q42,1)+LARGE(M42:Q42,2))+(1000-V42)*10^-4+W42*10^-5+(100-X42)*10^-8+Y42*10^-10))</f>
        <v>11.094900780000001</v>
      </c>
      <c r="S42" s="2" t="str">
        <f>IF(OR(R42="",R42=0),"",IF(SUMPRODUCT(--(B$3:B$62=B42),--(R$3:R$62&gt;R42),--(R$3:R$62&lt;&gt;"")),"","P"))</f>
        <v/>
      </c>
      <c r="T42" s="2" t="str" cm="1">
        <f t="array" ref="T42">IF(R42="","",IF(SUMPRODUCT(--(D$3:D$62="P"),--(B$3:B$62=B42)),"P",""))</f>
        <v/>
      </c>
      <c r="U42" s="12" t="str">
        <f>IF(AND(S42&lt;&gt;"",OR(T42="",COUNTIF(R$3:R$62,"&gt;"&amp;R42)&lt;3)),R42,"")</f>
        <v/>
      </c>
      <c r="V42" s="1">
        <f>IF(COUNT(H42:L42)&lt;3,SUM(H42:L42),SMALL(H42:L42,1)+SMALL(H42:L42,2))</f>
        <v>51</v>
      </c>
      <c r="W42" s="1">
        <f>COUNTIF(H42:L42,"&lt;=8")</f>
        <v>0</v>
      </c>
      <c r="X42" s="1">
        <f>MIN(H42:L42)</f>
        <v>22</v>
      </c>
      <c r="Y42" s="1"/>
      <c r="Z42" s="2" t="str">
        <f>IF(OR(R42=R41,R42=R43),"P","")</f>
        <v/>
      </c>
    </row>
    <row r="43" spans="1:26" x14ac:dyDescent="0.2">
      <c r="A43" s="7" t="s">
        <v>122</v>
      </c>
      <c r="B43" s="6" t="s">
        <v>36</v>
      </c>
      <c r="C43" s="6" t="str">
        <f>IF(A43="","",VLOOKUP(B43,'Continental Affiliation'!A:B,2,0))</f>
        <v>Europe</v>
      </c>
      <c r="G43" s="3" t="str">
        <f>IF(U43="","",RANK(U43,U:U)+COUNTIF(D:E,"P"))</f>
        <v/>
      </c>
      <c r="H43" s="6">
        <v>26</v>
      </c>
      <c r="I43" s="6">
        <v>26</v>
      </c>
      <c r="J43" s="6">
        <v>36</v>
      </c>
      <c r="K43" s="6">
        <v>69</v>
      </c>
      <c r="L43" s="6">
        <v>26</v>
      </c>
      <c r="M43" s="1">
        <f>IF(OR(H43="",H43&gt;30),"",IF(H43=1,60,IF(H43=2,55,IF(H43=3,50,IF(H43=4,44,IF(H43=5,38,IF(H43=6,32,IF(H43=7,28,IF(H43=8,25,IF(H43=9,22,IF(H43=10,21,IF(H43=11,20,IF(H43=12,19,IF(H43=13,18,IF(H43=14,17,IF(H43=15,16,IF(H43=16,15,IF(H43=17,14,IF(H43=18,13,IF(H43=19,12,IF(H43=20,11,IF(H43=21,10,IF(H43=22,9,IF(H43=23,8,IF(H43=24,7,IF(H43=25,6,IF(H43=26,5,IF(H43=27,4,IF(H43=28,3,IF(H43=29,2,IF(H43=30,1)))))))))))))))))))))))))))))))</f>
        <v>5</v>
      </c>
      <c r="N43" s="1">
        <f>IF(OR(I43="",I43&gt;30),"",IF(I43=1,60,IF(I43=2,55,IF(I43=3,50,IF(I43=4,44,IF(I43=5,38,IF(I43=6,32,IF(I43=7,28,IF(I43=8,25,IF(I43=9,22,IF(I43=10,21,IF(I43=11,20,IF(I43=12,19,IF(I43=13,18,IF(I43=14,17,IF(I43=15,16,IF(I43=16,15,IF(I43=17,14,IF(I43=18,13,IF(I43=19,12,IF(I43=20,11,IF(I43=21,10,IF(I43=22,9,IF(I43=23,8,IF(I43=24,7,IF(I43=25,6,IF(I43=26,5,IF(I43=27,4,IF(I43=28,3,IF(I43=29,2,IF(I43=30,1)))))))))))))))))))))))))))))))</f>
        <v>5</v>
      </c>
      <c r="O43" s="1" t="str">
        <f>IF(OR(J43="",J43&gt;30),"",IF(J43=1,60,IF(J43=2,55,IF(J43=3,50,IF(J43=4,44,IF(J43=5,38,IF(J43=6,32,IF(J43=7,28,IF(J43=8,25,IF(J43=9,22,IF(J43=10,21,IF(J43=11,20,IF(J43=12,19,IF(J43=13,18,IF(J43=14,17,IF(J43=15,16,IF(J43=16,15,IF(J43=17,14,IF(J43=18,13,IF(J43=19,12,IF(J43=20,11,IF(J43=21,10,IF(J43=22,9,IF(J43=23,8,IF(J43=24,7,IF(J43=25,6,IF(J43=26,5,IF(J43=27,4,IF(J43=28,3,IF(J43=29,2,IF(J43=30,1)))))))))))))))))))))))))))))))</f>
        <v/>
      </c>
      <c r="P43" s="1" t="str">
        <f>IF(OR(K43="",K43&gt;30),"",IF(K43=1,60,IF(K43=2,55,IF(K43=3,50,IF(K43=4,44,IF(K43=5,38,IF(K43=6,32,IF(K43=7,28,IF(K43=8,25,IF(K43=9,22,IF(K43=10,21,IF(K43=11,20,IF(K43=12,19,IF(K43=13,18,IF(K43=14,17,IF(K43=15,16,IF(K43=16,15,IF(K43=17,14,IF(K43=18,13,IF(K43=19,12,IF(K43=20,11,IF(K43=21,10,IF(K43=22,9,IF(K43=23,8,IF(K43=24,7,IF(K43=25,6,IF(K43=26,5,IF(K43=27,4,IF(K43=28,3,IF(K43=29,2,IF(K43=30,1)))))))))))))))))))))))))))))))</f>
        <v/>
      </c>
      <c r="Q43" s="1">
        <f>IF(OR(L43="",L43&gt;30),"",IF(L43=1,60,IF(L43=2,55,IF(L43=3,50,IF(L43=4,44,IF(L43=5,38,IF(L43=6,32,IF(L43=7,28,IF(L43=8,25,IF(L43=9,22,IF(L43=10,21,IF(L43=11,20,IF(L43=12,19,IF(L43=13,18,IF(L43=14,17,IF(L43=15,16,IF(L43=16,15,IF(L43=17,14,IF(L43=18,13,IF(L43=19,12,IF(L43=20,11,IF(L43=21,10,IF(L43=22,9,IF(L43=23,8,IF(L43=24,7,IF(L43=25,6,IF(L43=26,5,IF(L43=27,4,IF(L43=28,3,IF(L43=29,2,IF(L43=30,1)))))))))))))))))))))))))))))))</f>
        <v>5</v>
      </c>
      <c r="R43" s="12">
        <f>IF(A43="","",IF(OR(D43="P",E43="P"),"",IF(COUNT(M43:Q43)&lt;3,SUM(M43:Q43),LARGE(M43:Q43,1)+LARGE(M43:Q43,2))+(1000-V43)*10^-4+W43*10^-5+(100-X43)*10^-8+Y43*10^-10))</f>
        <v>10.09480074</v>
      </c>
      <c r="S43" s="2" t="str">
        <f>IF(OR(R43="",R43=0),"",IF(SUMPRODUCT(--(B$3:B$62=B43),--(R$3:R$62&gt;R43),--(R$3:R$62&lt;&gt;"")),"","P"))</f>
        <v/>
      </c>
      <c r="T43" s="2" t="str" cm="1">
        <f t="array" ref="T43">IF(R43="","",IF(SUMPRODUCT(--(D$3:D$62="P"),--(B$3:B$62=B43)),"P",""))</f>
        <v>P</v>
      </c>
      <c r="U43" s="12" t="str">
        <f>IF(AND(S43&lt;&gt;"",OR(T43="",COUNTIF(R$3:R$62,"&gt;"&amp;R43)&lt;3)),R43,"")</f>
        <v/>
      </c>
      <c r="V43" s="1">
        <f>IF(COUNT(H43:L43)&lt;3,SUM(H43:L43),SMALL(H43:L43,1)+SMALL(H43:L43,2))</f>
        <v>52</v>
      </c>
      <c r="W43" s="1">
        <f>COUNTIF(H43:L43,"&lt;=8")</f>
        <v>0</v>
      </c>
      <c r="X43" s="1">
        <f>MIN(H43:L43)</f>
        <v>26</v>
      </c>
      <c r="Y43" s="1"/>
      <c r="Z43" s="2" t="str">
        <f>IF(OR(R43=R42,R43=R44),"P","")</f>
        <v/>
      </c>
    </row>
    <row r="44" spans="1:26" x14ac:dyDescent="0.2">
      <c r="A44" s="7" t="s">
        <v>169</v>
      </c>
      <c r="B44" s="6" t="s">
        <v>13</v>
      </c>
      <c r="C44" s="6" t="str">
        <f>IF(A44="","",VLOOKUP(B44,'Continental Affiliation'!A:B,2,0))</f>
        <v>Europe</v>
      </c>
      <c r="G44" s="3" t="str">
        <f>IF(U44="","",RANK(U44,U:U)+COUNTIF(D:E,"P"))</f>
        <v/>
      </c>
      <c r="H44" s="6" t="s">
        <v>143</v>
      </c>
      <c r="I44" s="6" t="s">
        <v>143</v>
      </c>
      <c r="J44" s="6">
        <v>54</v>
      </c>
      <c r="K44" s="6">
        <v>31</v>
      </c>
      <c r="L44" s="6">
        <v>24</v>
      </c>
      <c r="M44" s="1" t="str">
        <f>IF(OR(H44="",H44&gt;30),"",IF(H44=1,60,IF(H44=2,55,IF(H44=3,50,IF(H44=4,44,IF(H44=5,38,IF(H44=6,32,IF(H44=7,28,IF(H44=8,25,IF(H44=9,22,IF(H44=10,21,IF(H44=11,20,IF(H44=12,19,IF(H44=13,18,IF(H44=14,17,IF(H44=15,16,IF(H44=16,15,IF(H44=17,14,IF(H44=18,13,IF(H44=19,12,IF(H44=20,11,IF(H44=21,10,IF(H44=22,9,IF(H44=23,8,IF(H44=24,7,IF(H44=25,6,IF(H44=26,5,IF(H44=27,4,IF(H44=28,3,IF(H44=29,2,IF(H44=30,1)))))))))))))))))))))))))))))))</f>
        <v/>
      </c>
      <c r="N44" s="1" t="str">
        <f>IF(OR(I44="",I44&gt;30),"",IF(I44=1,60,IF(I44=2,55,IF(I44=3,50,IF(I44=4,44,IF(I44=5,38,IF(I44=6,32,IF(I44=7,28,IF(I44=8,25,IF(I44=9,22,IF(I44=10,21,IF(I44=11,20,IF(I44=12,19,IF(I44=13,18,IF(I44=14,17,IF(I44=15,16,IF(I44=16,15,IF(I44=17,14,IF(I44=18,13,IF(I44=19,12,IF(I44=20,11,IF(I44=21,10,IF(I44=22,9,IF(I44=23,8,IF(I44=24,7,IF(I44=25,6,IF(I44=26,5,IF(I44=27,4,IF(I44=28,3,IF(I44=29,2,IF(I44=30,1)))))))))))))))))))))))))))))))</f>
        <v/>
      </c>
      <c r="O44" s="1" t="str">
        <f>IF(OR(J44="",J44&gt;30),"",IF(J44=1,60,IF(J44=2,55,IF(J44=3,50,IF(J44=4,44,IF(J44=5,38,IF(J44=6,32,IF(J44=7,28,IF(J44=8,25,IF(J44=9,22,IF(J44=10,21,IF(J44=11,20,IF(J44=12,19,IF(J44=13,18,IF(J44=14,17,IF(J44=15,16,IF(J44=16,15,IF(J44=17,14,IF(J44=18,13,IF(J44=19,12,IF(J44=20,11,IF(J44=21,10,IF(J44=22,9,IF(J44=23,8,IF(J44=24,7,IF(J44=25,6,IF(J44=26,5,IF(J44=27,4,IF(J44=28,3,IF(J44=29,2,IF(J44=30,1)))))))))))))))))))))))))))))))</f>
        <v/>
      </c>
      <c r="P44" s="1" t="str">
        <f>IF(OR(K44="",K44&gt;30),"",IF(K44=1,60,IF(K44=2,55,IF(K44=3,50,IF(K44=4,44,IF(K44=5,38,IF(K44=6,32,IF(K44=7,28,IF(K44=8,25,IF(K44=9,22,IF(K44=10,21,IF(K44=11,20,IF(K44=12,19,IF(K44=13,18,IF(K44=14,17,IF(K44=15,16,IF(K44=16,15,IF(K44=17,14,IF(K44=18,13,IF(K44=19,12,IF(K44=20,11,IF(K44=21,10,IF(K44=22,9,IF(K44=23,8,IF(K44=24,7,IF(K44=25,6,IF(K44=26,5,IF(K44=27,4,IF(K44=28,3,IF(K44=29,2,IF(K44=30,1)))))))))))))))))))))))))))))))</f>
        <v/>
      </c>
      <c r="Q44" s="1">
        <f>IF(OR(L44="",L44&gt;30),"",IF(L44=1,60,IF(L44=2,55,IF(L44=3,50,IF(L44=4,44,IF(L44=5,38,IF(L44=6,32,IF(L44=7,28,IF(L44=8,25,IF(L44=9,22,IF(L44=10,21,IF(L44=11,20,IF(L44=12,19,IF(L44=13,18,IF(L44=14,17,IF(L44=15,16,IF(L44=16,15,IF(L44=17,14,IF(L44=18,13,IF(L44=19,12,IF(L44=20,11,IF(L44=21,10,IF(L44=22,9,IF(L44=23,8,IF(L44=24,7,IF(L44=25,6,IF(L44=26,5,IF(L44=27,4,IF(L44=28,3,IF(L44=29,2,IF(L44=30,1)))))))))))))))))))))))))))))))</f>
        <v>7</v>
      </c>
      <c r="R44" s="12">
        <f>IF(A44="","",IF(OR(D44="P",E44="P"),"",IF(COUNT(M44:Q44)&lt;3,SUM(M44:Q44),LARGE(M44:Q44,1)+LARGE(M44:Q44,2))+(1000-V44)*10^-4+W44*10^-5+(100-X44)*10^-8+Y44*10^-10))</f>
        <v>7.0945007599999999</v>
      </c>
      <c r="S44" s="2" t="str">
        <f>IF(OR(R44="",R44=0),"",IF(SUMPRODUCT(--(B$3:B$62=B44),--(R$3:R$62&gt;R44),--(R$3:R$62&lt;&gt;"")),"","P"))</f>
        <v/>
      </c>
      <c r="T44" s="2" t="str" cm="1">
        <f t="array" ref="T44">IF(R44="","",IF(SUMPRODUCT(--(D$3:D$62="P"),--(B$3:B$62=B44)),"P",""))</f>
        <v>P</v>
      </c>
      <c r="U44" s="12" t="str">
        <f>IF(AND(S44&lt;&gt;"",OR(T44="",COUNTIF(R$3:R$62,"&gt;"&amp;R44)&lt;3)),R44,"")</f>
        <v/>
      </c>
      <c r="V44" s="1">
        <f>IF(COUNT(H44:L44)&lt;3,SUM(H44:L44),SMALL(H44:L44,1)+SMALL(H44:L44,2))</f>
        <v>55</v>
      </c>
      <c r="W44" s="1">
        <f>COUNTIF(H44:L44,"&lt;=8")</f>
        <v>0</v>
      </c>
      <c r="X44" s="1">
        <f>MIN(H44:L44)</f>
        <v>24</v>
      </c>
      <c r="Y44" s="1"/>
      <c r="Z44" s="2" t="str">
        <f>IF(OR(R44=R43,R44=R48),"P","")</f>
        <v/>
      </c>
    </row>
    <row r="45" spans="1:26" x14ac:dyDescent="0.2">
      <c r="A45" s="7" t="s">
        <v>149</v>
      </c>
      <c r="B45" s="6" t="s">
        <v>151</v>
      </c>
      <c r="C45" s="6" t="str">
        <f>IF(A45="","",VLOOKUP(B45,'Continental Affiliation'!A:B,2,0))</f>
        <v>Europe</v>
      </c>
      <c r="G45" s="3" t="str">
        <f>IF(U45="","",RANK(U45,U:U)+COUNTIF(D:E,"P"))</f>
        <v/>
      </c>
      <c r="H45" s="6" t="s">
        <v>143</v>
      </c>
      <c r="I45" s="6" t="s">
        <v>143</v>
      </c>
      <c r="J45" s="6" t="s">
        <v>143</v>
      </c>
      <c r="K45" s="6">
        <v>25</v>
      </c>
      <c r="L45" s="6">
        <v>79</v>
      </c>
      <c r="M45" s="1" t="str">
        <f>IF(OR(H45="",H45&gt;30),"",IF(H45=1,60,IF(H45=2,55,IF(H45=3,50,IF(H45=4,44,IF(H45=5,38,IF(H45=6,32,IF(H45=7,28,IF(H45=8,25,IF(H45=9,22,IF(H45=10,21,IF(H45=11,20,IF(H45=12,19,IF(H45=13,18,IF(H45=14,17,IF(H45=15,16,IF(H45=16,15,IF(H45=17,14,IF(H45=18,13,IF(H45=19,12,IF(H45=20,11,IF(H45=21,10,IF(H45=22,9,IF(H45=23,8,IF(H45=24,7,IF(H45=25,6,IF(H45=26,5,IF(H45=27,4,IF(H45=28,3,IF(H45=29,2,IF(H45=30,1)))))))))))))))))))))))))))))))</f>
        <v/>
      </c>
      <c r="N45" s="1" t="str">
        <f>IF(OR(I45="",I45&gt;30),"",IF(I45=1,60,IF(I45=2,55,IF(I45=3,50,IF(I45=4,44,IF(I45=5,38,IF(I45=6,32,IF(I45=7,28,IF(I45=8,25,IF(I45=9,22,IF(I45=10,21,IF(I45=11,20,IF(I45=12,19,IF(I45=13,18,IF(I45=14,17,IF(I45=15,16,IF(I45=16,15,IF(I45=17,14,IF(I45=18,13,IF(I45=19,12,IF(I45=20,11,IF(I45=21,10,IF(I45=22,9,IF(I45=23,8,IF(I45=24,7,IF(I45=25,6,IF(I45=26,5,IF(I45=27,4,IF(I45=28,3,IF(I45=29,2,IF(I45=30,1)))))))))))))))))))))))))))))))</f>
        <v/>
      </c>
      <c r="O45" s="1" t="str">
        <f>IF(OR(J45="",J45&gt;30),"",IF(J45=1,60,IF(J45=2,55,IF(J45=3,50,IF(J45=4,44,IF(J45=5,38,IF(J45=6,32,IF(J45=7,28,IF(J45=8,25,IF(J45=9,22,IF(J45=10,21,IF(J45=11,20,IF(J45=12,19,IF(J45=13,18,IF(J45=14,17,IF(J45=15,16,IF(J45=16,15,IF(J45=17,14,IF(J45=18,13,IF(J45=19,12,IF(J45=20,11,IF(J45=21,10,IF(J45=22,9,IF(J45=23,8,IF(J45=24,7,IF(J45=25,6,IF(J45=26,5,IF(J45=27,4,IF(J45=28,3,IF(J45=29,2,IF(J45=30,1)))))))))))))))))))))))))))))))</f>
        <v/>
      </c>
      <c r="P45" s="1">
        <f>IF(OR(K45="",K45&gt;30),"",IF(K45=1,60,IF(K45=2,55,IF(K45=3,50,IF(K45=4,44,IF(K45=5,38,IF(K45=6,32,IF(K45=7,28,IF(K45=8,25,IF(K45=9,22,IF(K45=10,21,IF(K45=11,20,IF(K45=12,19,IF(K45=13,18,IF(K45=14,17,IF(K45=15,16,IF(K45=16,15,IF(K45=17,14,IF(K45=18,13,IF(K45=19,12,IF(K45=20,11,IF(K45=21,10,IF(K45=22,9,IF(K45=23,8,IF(K45=24,7,IF(K45=25,6,IF(K45=26,5,IF(K45=27,4,IF(K45=28,3,IF(K45=29,2,IF(K45=30,1)))))))))))))))))))))))))))))))</f>
        <v>6</v>
      </c>
      <c r="Q45" s="1" t="str">
        <f>IF(OR(L45="",L45&gt;30),"",IF(L45=1,60,IF(L45=2,55,IF(L45=3,50,IF(L45=4,44,IF(L45=5,38,IF(L45=6,32,IF(L45=7,28,IF(L45=8,25,IF(L45=9,22,IF(L45=10,21,IF(L45=11,20,IF(L45=12,19,IF(L45=13,18,IF(L45=14,17,IF(L45=15,16,IF(L45=16,15,IF(L45=17,14,IF(L45=18,13,IF(L45=19,12,IF(L45=20,11,IF(L45=21,10,IF(L45=22,9,IF(L45=23,8,IF(L45=24,7,IF(L45=25,6,IF(L45=26,5,IF(L45=27,4,IF(L45=28,3,IF(L45=29,2,IF(L45=30,1)))))))))))))))))))))))))))))))</f>
        <v/>
      </c>
      <c r="R45" s="12">
        <f>IF(A45="","",IF(OR(D45="P",E45="P"),"",IF(COUNT(M45:Q45)&lt;3,SUM(M45:Q45),LARGE(M45:Q45,1)+LARGE(M45:Q45,2))+(1000-V45)*10^-4+W45*10^-5+(100-X45)*10^-8+Y45*10^-10))</f>
        <v>6.0896007499999998</v>
      </c>
      <c r="S45" s="2" t="str" cm="1">
        <f t="array" ref="S45">IF(OR(R45="",R45=0),"",IF(SUMPRODUCT(--(B$3:B$62=B45),--(R$3:R$62&gt;R45),--(R$3:R$62&lt;&gt;"")),"","P"))</f>
        <v/>
      </c>
      <c r="T45" s="2" t="str" cm="1">
        <f t="array" ref="T45">IF(R45="","",IF(SUMPRODUCT(--(D$3:D$62="P"),--(B$3:B$62=B45)),"P",""))</f>
        <v/>
      </c>
      <c r="U45" s="12" t="str">
        <f>IF(AND(S45&lt;&gt;"",OR(T45="",COUNTIF(R$3:R$62,"&gt;"&amp;R45)&lt;3)),R45,"")</f>
        <v/>
      </c>
      <c r="V45" s="1">
        <f>IF(COUNT(H45:L45)&lt;3,SUM(H45:L45),SMALL(H45:L45,1)+SMALL(H45:L45,2))</f>
        <v>104</v>
      </c>
      <c r="W45" s="1">
        <f>COUNTIF(H45:L45,"&lt;=8")</f>
        <v>0</v>
      </c>
      <c r="X45" s="1">
        <f>MIN(H45:L45)</f>
        <v>25</v>
      </c>
      <c r="Y45" s="1"/>
      <c r="Z45" s="2" t="str">
        <f>IF(OR(R45=R44,R45=R56),"P","")</f>
        <v/>
      </c>
    </row>
    <row r="46" spans="1:26" x14ac:dyDescent="0.2">
      <c r="A46" s="7" t="s">
        <v>166</v>
      </c>
      <c r="B46" s="6" t="s">
        <v>30</v>
      </c>
      <c r="C46" s="6" t="str">
        <f>IF(A46="","",VLOOKUP(B46,'Continental Affiliation'!A:B,2,0))</f>
        <v>Oceana</v>
      </c>
      <c r="G46" s="3" t="str">
        <f>IF(U46="","",RANK(U46,U:U)+COUNTIF(D:E,"P"))</f>
        <v/>
      </c>
      <c r="H46" s="6" t="s">
        <v>143</v>
      </c>
      <c r="I46" s="6" t="s">
        <v>143</v>
      </c>
      <c r="J46" s="6" t="s">
        <v>143</v>
      </c>
      <c r="K46" s="6">
        <v>44</v>
      </c>
      <c r="L46" s="6">
        <v>27</v>
      </c>
      <c r="M46" s="1" t="str">
        <f>IF(OR(H46="",H46&gt;30),"",IF(H46=1,60,IF(H46=2,55,IF(H46=3,50,IF(H46=4,44,IF(H46=5,38,IF(H46=6,32,IF(H46=7,28,IF(H46=8,25,IF(H46=9,22,IF(H46=10,21,IF(H46=11,20,IF(H46=12,19,IF(H46=13,18,IF(H46=14,17,IF(H46=15,16,IF(H46=16,15,IF(H46=17,14,IF(H46=18,13,IF(H46=19,12,IF(H46=20,11,IF(H46=21,10,IF(H46=22,9,IF(H46=23,8,IF(H46=24,7,IF(H46=25,6,IF(H46=26,5,IF(H46=27,4,IF(H46=28,3,IF(H46=29,2,IF(H46=30,1)))))))))))))))))))))))))))))))</f>
        <v/>
      </c>
      <c r="N46" s="1" t="str">
        <f>IF(OR(I46="",I46&gt;30),"",IF(I46=1,60,IF(I46=2,55,IF(I46=3,50,IF(I46=4,44,IF(I46=5,38,IF(I46=6,32,IF(I46=7,28,IF(I46=8,25,IF(I46=9,22,IF(I46=10,21,IF(I46=11,20,IF(I46=12,19,IF(I46=13,18,IF(I46=14,17,IF(I46=15,16,IF(I46=16,15,IF(I46=17,14,IF(I46=18,13,IF(I46=19,12,IF(I46=20,11,IF(I46=21,10,IF(I46=22,9,IF(I46=23,8,IF(I46=24,7,IF(I46=25,6,IF(I46=26,5,IF(I46=27,4,IF(I46=28,3,IF(I46=29,2,IF(I46=30,1)))))))))))))))))))))))))))))))</f>
        <v/>
      </c>
      <c r="O46" s="1" t="str">
        <f>IF(OR(J46="",J46&gt;30),"",IF(J46=1,60,IF(J46=2,55,IF(J46=3,50,IF(J46=4,44,IF(J46=5,38,IF(J46=6,32,IF(J46=7,28,IF(J46=8,25,IF(J46=9,22,IF(J46=10,21,IF(J46=11,20,IF(J46=12,19,IF(J46=13,18,IF(J46=14,17,IF(J46=15,16,IF(J46=16,15,IF(J46=17,14,IF(J46=18,13,IF(J46=19,12,IF(J46=20,11,IF(J46=21,10,IF(J46=22,9,IF(J46=23,8,IF(J46=24,7,IF(J46=25,6,IF(J46=26,5,IF(J46=27,4,IF(J46=28,3,IF(J46=29,2,IF(J46=30,1)))))))))))))))))))))))))))))))</f>
        <v/>
      </c>
      <c r="P46" s="1" t="str">
        <f>IF(OR(K46="",K46&gt;30),"",IF(K46=1,60,IF(K46=2,55,IF(K46=3,50,IF(K46=4,44,IF(K46=5,38,IF(K46=6,32,IF(K46=7,28,IF(K46=8,25,IF(K46=9,22,IF(K46=10,21,IF(K46=11,20,IF(K46=12,19,IF(K46=13,18,IF(K46=14,17,IF(K46=15,16,IF(K46=16,15,IF(K46=17,14,IF(K46=18,13,IF(K46=19,12,IF(K46=20,11,IF(K46=21,10,IF(K46=22,9,IF(K46=23,8,IF(K46=24,7,IF(K46=25,6,IF(K46=26,5,IF(K46=27,4,IF(K46=28,3,IF(K46=29,2,IF(K46=30,1)))))))))))))))))))))))))))))))</f>
        <v/>
      </c>
      <c r="Q46" s="1">
        <f>IF(OR(L46="",L46&gt;30),"",IF(L46=1,60,IF(L46=2,55,IF(L46=3,50,IF(L46=4,44,IF(L46=5,38,IF(L46=6,32,IF(L46=7,28,IF(L46=8,25,IF(L46=9,22,IF(L46=10,21,IF(L46=11,20,IF(L46=12,19,IF(L46=13,18,IF(L46=14,17,IF(L46=15,16,IF(L46=16,15,IF(L46=17,14,IF(L46=18,13,IF(L46=19,12,IF(L46=20,11,IF(L46=21,10,IF(L46=22,9,IF(L46=23,8,IF(L46=24,7,IF(L46=25,6,IF(L46=26,5,IF(L46=27,4,IF(L46=28,3,IF(L46=29,2,IF(L46=30,1)))))))))))))))))))))))))))))))</f>
        <v>4</v>
      </c>
      <c r="R46" s="12">
        <f>IF(A46="","",IF(OR(D46="P",E46="P"),"",IF(COUNT(M46:Q46)&lt;3,SUM(M46:Q46),LARGE(M46:Q46,1)+LARGE(M46:Q46,2))+(1000-V46)*10^-4+W46*10^-5+(100-X46)*10^-8+Y46*10^-10))</f>
        <v>4.0929007300000002</v>
      </c>
      <c r="S46" s="2" t="str">
        <f>IF(OR(R46="",R46=0),"",IF(SUMPRODUCT(--(B$3:B$62=B46),--(R$3:R$62&gt;R46),--(R$3:R$62&lt;&gt;"")),"","P"))</f>
        <v/>
      </c>
      <c r="T46" s="2" t="str" cm="1">
        <f t="array" ref="T46">IF(R46="","",IF(SUMPRODUCT(--(D$3:D$62="P"),--(B$3:B$62=B46)),"P",""))</f>
        <v/>
      </c>
      <c r="U46" s="12" t="str">
        <f>IF(AND(S46&lt;&gt;"",OR(T46="",COUNTIF(R$3:R$62,"&gt;"&amp;R46)&lt;3)),R46,"")</f>
        <v/>
      </c>
      <c r="V46" s="1">
        <f>IF(COUNT(H46:L46)&lt;3,SUM(H46:L46),SMALL(H46:L46,1)+SMALL(H46:L46,2))</f>
        <v>71</v>
      </c>
      <c r="W46" s="1">
        <f>COUNTIF(H46:L46,"&lt;=8")</f>
        <v>0</v>
      </c>
      <c r="X46" s="1">
        <f>MIN(H46:L46)</f>
        <v>27</v>
      </c>
      <c r="Y46" s="1"/>
      <c r="Z46" s="2" t="str">
        <f>IF(OR(R46=R45,R46=R50),"P","")</f>
        <v/>
      </c>
    </row>
    <row r="47" spans="1:26" x14ac:dyDescent="0.2">
      <c r="A47" s="7" t="s">
        <v>141</v>
      </c>
      <c r="B47" s="6" t="s">
        <v>7</v>
      </c>
      <c r="C47" s="6" t="str">
        <f>IF(A47="","",VLOOKUP(B47,'Continental Affiliation'!A:B,2,0))</f>
        <v>Americas</v>
      </c>
      <c r="G47" s="3" t="str">
        <f>IF(U47="","",RANK(U47,U:U)+COUNTIF(D:E,"P"))</f>
        <v/>
      </c>
      <c r="H47" s="6" t="s">
        <v>143</v>
      </c>
      <c r="I47" s="6">
        <v>68</v>
      </c>
      <c r="J47" s="6">
        <v>27</v>
      </c>
      <c r="K47" s="6" t="s">
        <v>143</v>
      </c>
      <c r="L47" s="6" t="s">
        <v>143</v>
      </c>
      <c r="M47" s="1" t="str">
        <f>IF(OR(H47="",H47&gt;30),"",IF(H47=1,60,IF(H47=2,55,IF(H47=3,50,IF(H47=4,44,IF(H47=5,38,IF(H47=6,32,IF(H47=7,28,IF(H47=8,25,IF(H47=9,22,IF(H47=10,21,IF(H47=11,20,IF(H47=12,19,IF(H47=13,18,IF(H47=14,17,IF(H47=15,16,IF(H47=16,15,IF(H47=17,14,IF(H47=18,13,IF(H47=19,12,IF(H47=20,11,IF(H47=21,10,IF(H47=22,9,IF(H47=23,8,IF(H47=24,7,IF(H47=25,6,IF(H47=26,5,IF(H47=27,4,IF(H47=28,3,IF(H47=29,2,IF(H47=30,1)))))))))))))))))))))))))))))))</f>
        <v/>
      </c>
      <c r="N47" s="1" t="str">
        <f>IF(OR(I47="",I47&gt;30),"",IF(I47=1,60,IF(I47=2,55,IF(I47=3,50,IF(I47=4,44,IF(I47=5,38,IF(I47=6,32,IF(I47=7,28,IF(I47=8,25,IF(I47=9,22,IF(I47=10,21,IF(I47=11,20,IF(I47=12,19,IF(I47=13,18,IF(I47=14,17,IF(I47=15,16,IF(I47=16,15,IF(I47=17,14,IF(I47=18,13,IF(I47=19,12,IF(I47=20,11,IF(I47=21,10,IF(I47=22,9,IF(I47=23,8,IF(I47=24,7,IF(I47=25,6,IF(I47=26,5,IF(I47=27,4,IF(I47=28,3,IF(I47=29,2,IF(I47=30,1)))))))))))))))))))))))))))))))</f>
        <v/>
      </c>
      <c r="O47" s="1">
        <f>IF(OR(J47="",J47&gt;30),"",IF(J47=1,60,IF(J47=2,55,IF(J47=3,50,IF(J47=4,44,IF(J47=5,38,IF(J47=6,32,IF(J47=7,28,IF(J47=8,25,IF(J47=9,22,IF(J47=10,21,IF(J47=11,20,IF(J47=12,19,IF(J47=13,18,IF(J47=14,17,IF(J47=15,16,IF(J47=16,15,IF(J47=17,14,IF(J47=18,13,IF(J47=19,12,IF(J47=20,11,IF(J47=21,10,IF(J47=22,9,IF(J47=23,8,IF(J47=24,7,IF(J47=25,6,IF(J47=26,5,IF(J47=27,4,IF(J47=28,3,IF(J47=29,2,IF(J47=30,1)))))))))))))))))))))))))))))))</f>
        <v>4</v>
      </c>
      <c r="P47" s="1" t="str">
        <f>IF(OR(K47="",K47&gt;30),"",IF(K47=1,60,IF(K47=2,55,IF(K47=3,50,IF(K47=4,44,IF(K47=5,38,IF(K47=6,32,IF(K47=7,28,IF(K47=8,25,IF(K47=9,22,IF(K47=10,21,IF(K47=11,20,IF(K47=12,19,IF(K47=13,18,IF(K47=14,17,IF(K47=15,16,IF(K47=16,15,IF(K47=17,14,IF(K47=18,13,IF(K47=19,12,IF(K47=20,11,IF(K47=21,10,IF(K47=22,9,IF(K47=23,8,IF(K47=24,7,IF(K47=25,6,IF(K47=26,5,IF(K47=27,4,IF(K47=28,3,IF(K47=29,2,IF(K47=30,1)))))))))))))))))))))))))))))))</f>
        <v/>
      </c>
      <c r="Q47" s="1" t="str">
        <f>IF(OR(L47="",L47&gt;30),"",IF(L47=1,60,IF(L47=2,55,IF(L47=3,50,IF(L47=4,44,IF(L47=5,38,IF(L47=6,32,IF(L47=7,28,IF(L47=8,25,IF(L47=9,22,IF(L47=10,21,IF(L47=11,20,IF(L47=12,19,IF(L47=13,18,IF(L47=14,17,IF(L47=15,16,IF(L47=16,15,IF(L47=17,14,IF(L47=18,13,IF(L47=19,12,IF(L47=20,11,IF(L47=21,10,IF(L47=22,9,IF(L47=23,8,IF(L47=24,7,IF(L47=25,6,IF(L47=26,5,IF(L47=27,4,IF(L47=28,3,IF(L47=29,2,IF(L47=30,1)))))))))))))))))))))))))))))))</f>
        <v/>
      </c>
      <c r="R47" s="12">
        <f>IF(A47="","",IF(OR(D47="P",E47="P"),"",IF(COUNT(M47:Q47)&lt;3,SUM(M47:Q47),LARGE(M47:Q47,1)+LARGE(M47:Q47,2))+(1000-V47)*10^-4+W47*10^-5+(100-X47)*10^-8+Y47*10^-10))</f>
        <v>4.0905007299999996</v>
      </c>
      <c r="S47" s="2" t="str">
        <f>IF(OR(R47="",R47=0),"",IF(SUMPRODUCT(--(B$3:B$62=B47),--(R$3:R$62&gt;R47),--(R$3:R$62&lt;&gt;"")),"","P"))</f>
        <v/>
      </c>
      <c r="T47" s="2" t="str" cm="1">
        <f t="array" ref="T47">IF(R47="","",IF(SUMPRODUCT(--(D$3:D$62="P"),--(B$3:B$62=B47)),"P",""))</f>
        <v/>
      </c>
      <c r="U47" s="12" t="str">
        <f>IF(AND(S47&lt;&gt;"",OR(T47="",COUNTIF(R$3:R$62,"&gt;"&amp;R47)&lt;3)),R47,"")</f>
        <v/>
      </c>
      <c r="V47" s="1">
        <f>IF(COUNT(H47:L47)&lt;3,SUM(H47:L47),SMALL(H47:L47,1)+SMALL(H47:L47,2))</f>
        <v>95</v>
      </c>
      <c r="W47" s="1">
        <f>COUNTIF(H47:L47,"&lt;=8")</f>
        <v>0</v>
      </c>
      <c r="X47" s="1">
        <f>MIN(H47:L47)</f>
        <v>27</v>
      </c>
      <c r="Y47" s="1"/>
      <c r="Z47" s="1"/>
    </row>
    <row r="48" spans="1:26" x14ac:dyDescent="0.2">
      <c r="A48" s="7" t="s">
        <v>142</v>
      </c>
      <c r="B48" s="6" t="s">
        <v>62</v>
      </c>
      <c r="C48" s="6" t="str">
        <f>IF(A48="","",VLOOKUP(B48,'Continental Affiliation'!A:B,2,0))</f>
        <v>Europe</v>
      </c>
      <c r="G48" s="3">
        <f>IF(U48="","",RANK(U48,U:U)+COUNTIF(D:E,"P"))</f>
        <v>20</v>
      </c>
      <c r="H48" s="6">
        <v>35</v>
      </c>
      <c r="I48" s="6">
        <v>31</v>
      </c>
      <c r="J48" s="6">
        <v>30</v>
      </c>
      <c r="K48" s="6">
        <v>29</v>
      </c>
      <c r="L48" s="6">
        <v>30</v>
      </c>
      <c r="M48" s="1" t="str">
        <f>IF(OR(H48="",H48&gt;30),"",IF(H48=1,60,IF(H48=2,55,IF(H48=3,50,IF(H48=4,44,IF(H48=5,38,IF(H48=6,32,IF(H48=7,28,IF(H48=8,25,IF(H48=9,22,IF(H48=10,21,IF(H48=11,20,IF(H48=12,19,IF(H48=13,18,IF(H48=14,17,IF(H48=15,16,IF(H48=16,15,IF(H48=17,14,IF(H48=18,13,IF(H48=19,12,IF(H48=20,11,IF(H48=21,10,IF(H48=22,9,IF(H48=23,8,IF(H48=24,7,IF(H48=25,6,IF(H48=26,5,IF(H48=27,4,IF(H48=28,3,IF(H48=29,2,IF(H48=30,1)))))))))))))))))))))))))))))))</f>
        <v/>
      </c>
      <c r="N48" s="1" t="str">
        <f>IF(OR(I48="",I48&gt;30),"",IF(I48=1,60,IF(I48=2,55,IF(I48=3,50,IF(I48=4,44,IF(I48=5,38,IF(I48=6,32,IF(I48=7,28,IF(I48=8,25,IF(I48=9,22,IF(I48=10,21,IF(I48=11,20,IF(I48=12,19,IF(I48=13,18,IF(I48=14,17,IF(I48=15,16,IF(I48=16,15,IF(I48=17,14,IF(I48=18,13,IF(I48=19,12,IF(I48=20,11,IF(I48=21,10,IF(I48=22,9,IF(I48=23,8,IF(I48=24,7,IF(I48=25,6,IF(I48=26,5,IF(I48=27,4,IF(I48=28,3,IF(I48=29,2,IF(I48=30,1)))))))))))))))))))))))))))))))</f>
        <v/>
      </c>
      <c r="O48" s="1">
        <f>IF(OR(J48="",J48&gt;30),"",IF(J48=1,60,IF(J48=2,55,IF(J48=3,50,IF(J48=4,44,IF(J48=5,38,IF(J48=6,32,IF(J48=7,28,IF(J48=8,25,IF(J48=9,22,IF(J48=10,21,IF(J48=11,20,IF(J48=12,19,IF(J48=13,18,IF(J48=14,17,IF(J48=15,16,IF(J48=16,15,IF(J48=17,14,IF(J48=18,13,IF(J48=19,12,IF(J48=20,11,IF(J48=21,10,IF(J48=22,9,IF(J48=23,8,IF(J48=24,7,IF(J48=25,6,IF(J48=26,5,IF(J48=27,4,IF(J48=28,3,IF(J48=29,2,IF(J48=30,1)))))))))))))))))))))))))))))))</f>
        <v>1</v>
      </c>
      <c r="P48" s="1">
        <f>IF(OR(K48="",K48&gt;30),"",IF(K48=1,60,IF(K48=2,55,IF(K48=3,50,IF(K48=4,44,IF(K48=5,38,IF(K48=6,32,IF(K48=7,28,IF(K48=8,25,IF(K48=9,22,IF(K48=10,21,IF(K48=11,20,IF(K48=12,19,IF(K48=13,18,IF(K48=14,17,IF(K48=15,16,IF(K48=16,15,IF(K48=17,14,IF(K48=18,13,IF(K48=19,12,IF(K48=20,11,IF(K48=21,10,IF(K48=22,9,IF(K48=23,8,IF(K48=24,7,IF(K48=25,6,IF(K48=26,5,IF(K48=27,4,IF(K48=28,3,IF(K48=29,2,IF(K48=30,1)))))))))))))))))))))))))))))))</f>
        <v>2</v>
      </c>
      <c r="Q48" s="1">
        <f>IF(OR(L48="",L48&gt;30),"",IF(L48=1,60,IF(L48=2,55,IF(L48=3,50,IF(L48=4,44,IF(L48=5,38,IF(L48=6,32,IF(L48=7,28,IF(L48=8,25,IF(L48=9,22,IF(L48=10,21,IF(L48=11,20,IF(L48=12,19,IF(L48=13,18,IF(L48=14,17,IF(L48=15,16,IF(L48=16,15,IF(L48=17,14,IF(L48=18,13,IF(L48=19,12,IF(L48=20,11,IF(L48=21,10,IF(L48=22,9,IF(L48=23,8,IF(L48=24,7,IF(L48=25,6,IF(L48=26,5,IF(L48=27,4,IF(L48=28,3,IF(L48=29,2,IF(L48=30,1)))))))))))))))))))))))))))))))</f>
        <v>1</v>
      </c>
      <c r="R48" s="12">
        <f>IF(A48="","",IF(OR(D48="P",E48="P"),"",IF(COUNT(M48:Q48)&lt;3,SUM(M48:Q48),LARGE(M48:Q48,1)+LARGE(M48:Q48,2))+(1000-V48)*10^-4+W48*10^-5+(100-X48)*10^-8+Y48*10^-10))</f>
        <v>3.0941007100000002</v>
      </c>
      <c r="S48" s="2" t="str">
        <f>IF(OR(R48="",R48=0),"",IF(SUMPRODUCT(--(B$3:B$62=B48),--(R$3:R$62&gt;R48),--(R$3:R$62&lt;&gt;"")),"","P"))</f>
        <v>P</v>
      </c>
      <c r="T48" s="2" t="str" cm="1">
        <f t="array" ref="T48">IF(R48="","",IF(SUMPRODUCT(--(D$3:D$62="P"),--(B$3:B$62=B48)),"P",""))</f>
        <v/>
      </c>
      <c r="U48" s="12">
        <f>IF(AND(S48&lt;&gt;"",OR(T48="",COUNTIF(R$3:R$62,"&gt;"&amp;R48)&lt;3)),R48,"")</f>
        <v>3.0941007100000002</v>
      </c>
      <c r="V48" s="1">
        <f>IF(COUNT(H48:L48)&lt;3,SUM(H48:L48),SMALL(H48:L48,1)+SMALL(H48:L48,2))</f>
        <v>59</v>
      </c>
      <c r="W48" s="1">
        <f>COUNTIF(H48:L48,"&lt;=8")</f>
        <v>0</v>
      </c>
      <c r="X48" s="1">
        <f>MIN(H48:L48)</f>
        <v>29</v>
      </c>
      <c r="Y48" s="1"/>
      <c r="Z48" s="2" t="str">
        <f>IF(OR(R48=R47,R48=R49),"P","")</f>
        <v/>
      </c>
    </row>
    <row r="49" spans="1:26" x14ac:dyDescent="0.2">
      <c r="A49" s="7" t="s">
        <v>133</v>
      </c>
      <c r="B49" s="6" t="s">
        <v>30</v>
      </c>
      <c r="C49" s="6" t="str">
        <f>IF(A49="","",VLOOKUP(B49,'Continental Affiliation'!A:B,2,0))</f>
        <v>Oceana</v>
      </c>
      <c r="G49" s="3" t="str">
        <f>IF(U49="","",RANK(U49,U:U)+COUNTIF(D:E,"P"))</f>
        <v/>
      </c>
      <c r="H49" s="6">
        <v>39</v>
      </c>
      <c r="I49" s="6">
        <v>28</v>
      </c>
      <c r="J49" s="6">
        <v>38</v>
      </c>
      <c r="K49" s="6">
        <v>41</v>
      </c>
      <c r="L49" s="6">
        <v>43</v>
      </c>
      <c r="M49" s="1" t="str">
        <f>IF(OR(H49="",H49&gt;30),"",IF(H49=1,60,IF(H49=2,55,IF(H49=3,50,IF(H49=4,44,IF(H49=5,38,IF(H49=6,32,IF(H49=7,28,IF(H49=8,25,IF(H49=9,22,IF(H49=10,21,IF(H49=11,20,IF(H49=12,19,IF(H49=13,18,IF(H49=14,17,IF(H49=15,16,IF(H49=16,15,IF(H49=17,14,IF(H49=18,13,IF(H49=19,12,IF(H49=20,11,IF(H49=21,10,IF(H49=22,9,IF(H49=23,8,IF(H49=24,7,IF(H49=25,6,IF(H49=26,5,IF(H49=27,4,IF(H49=28,3,IF(H49=29,2,IF(H49=30,1)))))))))))))))))))))))))))))))</f>
        <v/>
      </c>
      <c r="N49" s="1">
        <f>IF(OR(I49="",I49&gt;30),"",IF(I49=1,60,IF(I49=2,55,IF(I49=3,50,IF(I49=4,44,IF(I49=5,38,IF(I49=6,32,IF(I49=7,28,IF(I49=8,25,IF(I49=9,22,IF(I49=10,21,IF(I49=11,20,IF(I49=12,19,IF(I49=13,18,IF(I49=14,17,IF(I49=15,16,IF(I49=16,15,IF(I49=17,14,IF(I49=18,13,IF(I49=19,12,IF(I49=20,11,IF(I49=21,10,IF(I49=22,9,IF(I49=23,8,IF(I49=24,7,IF(I49=25,6,IF(I49=26,5,IF(I49=27,4,IF(I49=28,3,IF(I49=29,2,IF(I49=30,1)))))))))))))))))))))))))))))))</f>
        <v>3</v>
      </c>
      <c r="O49" s="1" t="str">
        <f>IF(OR(J49="",J49&gt;30),"",IF(J49=1,60,IF(J49=2,55,IF(J49=3,50,IF(J49=4,44,IF(J49=5,38,IF(J49=6,32,IF(J49=7,28,IF(J49=8,25,IF(J49=9,22,IF(J49=10,21,IF(J49=11,20,IF(J49=12,19,IF(J49=13,18,IF(J49=14,17,IF(J49=15,16,IF(J49=16,15,IF(J49=17,14,IF(J49=18,13,IF(J49=19,12,IF(J49=20,11,IF(J49=21,10,IF(J49=22,9,IF(J49=23,8,IF(J49=24,7,IF(J49=25,6,IF(J49=26,5,IF(J49=27,4,IF(J49=28,3,IF(J49=29,2,IF(J49=30,1)))))))))))))))))))))))))))))))</f>
        <v/>
      </c>
      <c r="P49" s="1" t="str">
        <f>IF(OR(K49="",K49&gt;30),"",IF(K49=1,60,IF(K49=2,55,IF(K49=3,50,IF(K49=4,44,IF(K49=5,38,IF(K49=6,32,IF(K49=7,28,IF(K49=8,25,IF(K49=9,22,IF(K49=10,21,IF(K49=11,20,IF(K49=12,19,IF(K49=13,18,IF(K49=14,17,IF(K49=15,16,IF(K49=16,15,IF(K49=17,14,IF(K49=18,13,IF(K49=19,12,IF(K49=20,11,IF(K49=21,10,IF(K49=22,9,IF(K49=23,8,IF(K49=24,7,IF(K49=25,6,IF(K49=26,5,IF(K49=27,4,IF(K49=28,3,IF(K49=29,2,IF(K49=30,1)))))))))))))))))))))))))))))))</f>
        <v/>
      </c>
      <c r="Q49" s="1" t="str">
        <f>IF(OR(L49="",L49&gt;30),"",IF(L49=1,60,IF(L49=2,55,IF(L49=3,50,IF(L49=4,44,IF(L49=5,38,IF(L49=6,32,IF(L49=7,28,IF(L49=8,25,IF(L49=9,22,IF(L49=10,21,IF(L49=11,20,IF(L49=12,19,IF(L49=13,18,IF(L49=14,17,IF(L49=15,16,IF(L49=16,15,IF(L49=17,14,IF(L49=18,13,IF(L49=19,12,IF(L49=20,11,IF(L49=21,10,IF(L49=22,9,IF(L49=23,8,IF(L49=24,7,IF(L49=25,6,IF(L49=26,5,IF(L49=27,4,IF(L49=28,3,IF(L49=29,2,IF(L49=30,1)))))))))))))))))))))))))))))))</f>
        <v/>
      </c>
      <c r="R49" s="12">
        <f>IF(A49="","",IF(OR(D49="P",E49="P"),"",IF(COUNT(M49:Q49)&lt;3,SUM(M49:Q49),LARGE(M49:Q49,1)+LARGE(M49:Q49,2))+(1000-V49)*10^-4+W49*10^-5+(100-X49)*10^-8+Y49*10^-10))</f>
        <v>3.09340072</v>
      </c>
      <c r="S49" s="2" t="str">
        <f>IF(OR(R49="",R49=0),"",IF(SUMPRODUCT(--(B$3:B$62=B49),--(R$3:R$62&gt;R49),--(R$3:R$62&lt;&gt;"")),"","P"))</f>
        <v/>
      </c>
      <c r="T49" s="2" t="str" cm="1">
        <f t="array" ref="T49">IF(R49="","",IF(SUMPRODUCT(--(D$3:D$62="P"),--(B$3:B$62=B49)),"P",""))</f>
        <v/>
      </c>
      <c r="U49" s="12" t="str">
        <f>IF(AND(S49&lt;&gt;"",OR(T49="",COUNTIF(R$3:R$62,"&gt;"&amp;R49)&lt;3)),R49,"")</f>
        <v/>
      </c>
      <c r="V49" s="1">
        <f>IF(COUNT(H49:L49)&lt;3,SUM(H49:L49),SMALL(H49:L49,1)+SMALL(H49:L49,2))</f>
        <v>66</v>
      </c>
      <c r="W49" s="1">
        <f>COUNTIF(H49:L49,"&lt;=8")</f>
        <v>0</v>
      </c>
      <c r="X49" s="1">
        <f>MIN(H49:L49)</f>
        <v>28</v>
      </c>
      <c r="Y49" s="1"/>
      <c r="Z49" s="2" t="str">
        <f>IF(OR(R49=R48,R49=R53),"P","")</f>
        <v/>
      </c>
    </row>
    <row r="50" spans="1:26" x14ac:dyDescent="0.2">
      <c r="A50" s="7" t="s">
        <v>41</v>
      </c>
      <c r="B50" s="6" t="s">
        <v>28</v>
      </c>
      <c r="C50" s="6" t="str">
        <f>IF(A50="","",VLOOKUP(B50,'Continental Affiliation'!A:B,2,0))</f>
        <v>Europe</v>
      </c>
      <c r="G50" s="3" t="str">
        <f>IF(U50="","",RANK(U50,U:U)+COUNTIF(D:E,"P"))</f>
        <v/>
      </c>
      <c r="H50" s="6">
        <v>30</v>
      </c>
      <c r="I50" s="6">
        <v>36</v>
      </c>
      <c r="J50" s="6">
        <v>35</v>
      </c>
      <c r="K50" s="6">
        <v>63</v>
      </c>
      <c r="L50" s="6">
        <v>33</v>
      </c>
      <c r="M50" s="1">
        <f>IF(OR(H50="",H50&gt;30),"",IF(H50=1,60,IF(H50=2,55,IF(H50=3,50,IF(H50=4,44,IF(H50=5,38,IF(H50=6,32,IF(H50=7,28,IF(H50=8,25,IF(H50=9,22,IF(H50=10,21,IF(H50=11,20,IF(H50=12,19,IF(H50=13,18,IF(H50=14,17,IF(H50=15,16,IF(H50=16,15,IF(H50=17,14,IF(H50=18,13,IF(H50=19,12,IF(H50=20,11,IF(H50=21,10,IF(H50=22,9,IF(H50=23,8,IF(H50=24,7,IF(H50=25,6,IF(H50=26,5,IF(H50=27,4,IF(H50=28,3,IF(H50=29,2,IF(H50=30,1)))))))))))))))))))))))))))))))</f>
        <v>1</v>
      </c>
      <c r="N50" s="1" t="str">
        <f>IF(OR(I50="",I50&gt;30),"",IF(I50=1,60,IF(I50=2,55,IF(I50=3,50,IF(I50=4,44,IF(I50=5,38,IF(I50=6,32,IF(I50=7,28,IF(I50=8,25,IF(I50=9,22,IF(I50=10,21,IF(I50=11,20,IF(I50=12,19,IF(I50=13,18,IF(I50=14,17,IF(I50=15,16,IF(I50=16,15,IF(I50=17,14,IF(I50=18,13,IF(I50=19,12,IF(I50=20,11,IF(I50=21,10,IF(I50=22,9,IF(I50=23,8,IF(I50=24,7,IF(I50=25,6,IF(I50=26,5,IF(I50=27,4,IF(I50=28,3,IF(I50=29,2,IF(I50=30,1)))))))))))))))))))))))))))))))</f>
        <v/>
      </c>
      <c r="O50" s="1" t="str">
        <f>IF(OR(J50="",J50&gt;30),"",IF(J50=1,60,IF(J50=2,55,IF(J50=3,50,IF(J50=4,44,IF(J50=5,38,IF(J50=6,32,IF(J50=7,28,IF(J50=8,25,IF(J50=9,22,IF(J50=10,21,IF(J50=11,20,IF(J50=12,19,IF(J50=13,18,IF(J50=14,17,IF(J50=15,16,IF(J50=16,15,IF(J50=17,14,IF(J50=18,13,IF(J50=19,12,IF(J50=20,11,IF(J50=21,10,IF(J50=22,9,IF(J50=23,8,IF(J50=24,7,IF(J50=25,6,IF(J50=26,5,IF(J50=27,4,IF(J50=28,3,IF(J50=29,2,IF(J50=30,1)))))))))))))))))))))))))))))))</f>
        <v/>
      </c>
      <c r="P50" s="1" t="str">
        <f>IF(OR(K50="",K50&gt;30),"",IF(K50=1,60,IF(K50=2,55,IF(K50=3,50,IF(K50=4,44,IF(K50=5,38,IF(K50=6,32,IF(K50=7,28,IF(K50=8,25,IF(K50=9,22,IF(K50=10,21,IF(K50=11,20,IF(K50=12,19,IF(K50=13,18,IF(K50=14,17,IF(K50=15,16,IF(K50=16,15,IF(K50=17,14,IF(K50=18,13,IF(K50=19,12,IF(K50=20,11,IF(K50=21,10,IF(K50=22,9,IF(K50=23,8,IF(K50=24,7,IF(K50=25,6,IF(K50=26,5,IF(K50=27,4,IF(K50=28,3,IF(K50=29,2,IF(K50=30,1)))))))))))))))))))))))))))))))</f>
        <v/>
      </c>
      <c r="Q50" s="1" t="str">
        <f>IF(OR(L50="",L50&gt;30),"",IF(L50=1,60,IF(L50=2,55,IF(L50=3,50,IF(L50=4,44,IF(L50=5,38,IF(L50=6,32,IF(L50=7,28,IF(L50=8,25,IF(L50=9,22,IF(L50=10,21,IF(L50=11,20,IF(L50=12,19,IF(L50=13,18,IF(L50=14,17,IF(L50=15,16,IF(L50=16,15,IF(L50=17,14,IF(L50=18,13,IF(L50=19,12,IF(L50=20,11,IF(L50=21,10,IF(L50=22,9,IF(L50=23,8,IF(L50=24,7,IF(L50=25,6,IF(L50=26,5,IF(L50=27,4,IF(L50=28,3,IF(L50=29,2,IF(L50=30,1)))))))))))))))))))))))))))))))</f>
        <v/>
      </c>
      <c r="R50" s="12">
        <f>IF(A50="","",IF(OR(D50="P",E50="P"),"",IF(COUNT(M50:Q50)&lt;3,SUM(M50:Q50),LARGE(M50:Q50,1)+LARGE(M50:Q50,2))+(1000-V50)*10^-4+W50*10^-5+(100-X50)*10^-8+Y50*10^-10))</f>
        <v>1.0937007000000001</v>
      </c>
      <c r="S50" s="2" t="str">
        <f>IF(OR(R50="",R50=0),"",IF(SUMPRODUCT(--(B$3:B$62=B50),--(R$3:R$62&gt;R50),--(R$3:R$62&lt;&gt;"")),"","P"))</f>
        <v/>
      </c>
      <c r="T50" s="2" t="str" cm="1">
        <f t="array" ref="T50">IF(R50="","",IF(SUMPRODUCT(--(D$3:D$62="P"),--(B$3:B$62=B50)),"P",""))</f>
        <v/>
      </c>
      <c r="U50" s="12" t="str">
        <f>IF(AND(S50&lt;&gt;"",OR(T50="",COUNTIF(R$3:R$62,"&gt;"&amp;R50)&lt;3)),R50,"")</f>
        <v/>
      </c>
      <c r="V50" s="1">
        <f>IF(COUNT(H50:L50)&lt;3,SUM(H50:L50),SMALL(H50:L50,1)+SMALL(H50:L50,2))</f>
        <v>63</v>
      </c>
      <c r="W50" s="1">
        <f>COUNTIF(H50:L50,"&lt;=8")</f>
        <v>0</v>
      </c>
      <c r="X50" s="1">
        <f>MIN(H50:L50)</f>
        <v>30</v>
      </c>
      <c r="Y50" s="1"/>
      <c r="Z50" s="2" t="str">
        <f>IF(OR(R50=R46,R50=R51),"P","")</f>
        <v/>
      </c>
    </row>
    <row r="51" spans="1:26" x14ac:dyDescent="0.2">
      <c r="G51" s="3"/>
      <c r="H51" s="6"/>
      <c r="I51" s="6"/>
      <c r="J51" s="6"/>
      <c r="K51" s="6"/>
      <c r="L51" s="6"/>
      <c r="M51" s="1"/>
      <c r="N51" s="1"/>
      <c r="O51" s="1"/>
      <c r="P51" s="1"/>
      <c r="Q51" s="1"/>
      <c r="R51" s="12"/>
      <c r="V51" s="1"/>
      <c r="W51" s="1"/>
      <c r="X51" s="1"/>
      <c r="Y51" s="1"/>
      <c r="Z51" s="1"/>
    </row>
    <row r="52" spans="1:26" x14ac:dyDescent="0.2">
      <c r="G52" s="3"/>
      <c r="H52" s="6"/>
      <c r="I52" s="6"/>
      <c r="J52" s="6"/>
      <c r="K52" s="6"/>
      <c r="L52" s="6"/>
      <c r="M52" s="1"/>
      <c r="N52" s="1"/>
      <c r="O52" s="1"/>
      <c r="P52" s="1"/>
      <c r="Q52" s="1"/>
      <c r="R52" s="12"/>
      <c r="V52" s="1"/>
      <c r="W52" s="1"/>
      <c r="X52" s="1"/>
      <c r="Y52" s="1"/>
      <c r="Z52" s="1"/>
    </row>
    <row r="53" spans="1:26" x14ac:dyDescent="0.2">
      <c r="G53" s="3"/>
      <c r="H53" s="6"/>
      <c r="I53" s="6"/>
      <c r="J53" s="6"/>
      <c r="K53" s="6"/>
      <c r="L53" s="6"/>
      <c r="M53" s="1"/>
      <c r="N53" s="1"/>
      <c r="O53" s="1"/>
      <c r="P53" s="1"/>
      <c r="Q53" s="1"/>
      <c r="R53" s="1"/>
    </row>
    <row r="54" spans="1:26" x14ac:dyDescent="0.2">
      <c r="G54" s="3"/>
      <c r="H54" s="6"/>
      <c r="I54" s="6"/>
      <c r="J54" s="6"/>
      <c r="K54" s="6"/>
      <c r="L54" s="6"/>
      <c r="M54" s="1"/>
      <c r="N54" s="1"/>
      <c r="O54" s="1"/>
      <c r="P54" s="1"/>
      <c r="Q54" s="1"/>
      <c r="R54" s="1"/>
    </row>
    <row r="55" spans="1:26" x14ac:dyDescent="0.2">
      <c r="G55" s="3"/>
      <c r="H55" s="6"/>
      <c r="I55" s="6"/>
      <c r="J55" s="6"/>
      <c r="K55" s="6"/>
      <c r="L55" s="6"/>
      <c r="M55" s="1"/>
      <c r="N55" s="1"/>
      <c r="O55" s="1"/>
      <c r="P55" s="1"/>
      <c r="Q55" s="1"/>
      <c r="R55" s="1"/>
    </row>
    <row r="56" spans="1:26" x14ac:dyDescent="0.2">
      <c r="G56" s="3"/>
      <c r="H56" s="6"/>
      <c r="I56" s="6"/>
      <c r="J56" s="6"/>
      <c r="K56" s="6"/>
      <c r="L56" s="6"/>
      <c r="M56" s="1"/>
      <c r="N56" s="1"/>
      <c r="O56" s="1"/>
      <c r="P56" s="1"/>
      <c r="Q56" s="1"/>
      <c r="R56" s="1"/>
    </row>
    <row r="57" spans="1:26" x14ac:dyDescent="0.2">
      <c r="G57" s="3"/>
      <c r="H57" s="6"/>
      <c r="I57" s="6"/>
      <c r="J57" s="6"/>
      <c r="K57" s="6"/>
      <c r="L57" s="6"/>
      <c r="M57" s="1"/>
      <c r="N57" s="1"/>
      <c r="O57" s="1"/>
      <c r="P57" s="1"/>
      <c r="Q57" s="1"/>
      <c r="R57" s="1"/>
    </row>
    <row r="58" spans="1:26" x14ac:dyDescent="0.2">
      <c r="G58" s="3"/>
      <c r="H58" s="6"/>
      <c r="I58" s="6"/>
      <c r="J58" s="6"/>
      <c r="K58" s="6"/>
      <c r="L58" s="6"/>
      <c r="M58" s="1"/>
      <c r="N58" s="1"/>
      <c r="O58" s="1"/>
      <c r="P58" s="1"/>
      <c r="Q58" s="1"/>
      <c r="R58" s="1"/>
    </row>
    <row r="59" spans="1:26" x14ac:dyDescent="0.2">
      <c r="G59" s="3"/>
      <c r="H59" s="6"/>
      <c r="I59" s="6"/>
      <c r="J59" s="6"/>
      <c r="K59" s="6"/>
      <c r="L59" s="6"/>
      <c r="M59" s="1"/>
      <c r="N59" s="1"/>
      <c r="O59" s="1"/>
      <c r="P59" s="1"/>
      <c r="Q59" s="1"/>
      <c r="R59" s="1"/>
    </row>
    <row r="60" spans="1:26" x14ac:dyDescent="0.2">
      <c r="G60" s="3"/>
      <c r="H60" s="6"/>
      <c r="I60" s="6"/>
      <c r="J60" s="6"/>
      <c r="K60" s="6"/>
      <c r="L60" s="6"/>
      <c r="M60" s="1"/>
      <c r="N60" s="1"/>
      <c r="O60" s="1"/>
      <c r="P60" s="1"/>
      <c r="Q60" s="1"/>
      <c r="R60" s="1"/>
    </row>
    <row r="61" spans="1:26" x14ac:dyDescent="0.2">
      <c r="G61" s="3"/>
      <c r="H61" s="6"/>
      <c r="I61" s="6"/>
      <c r="J61" s="6"/>
      <c r="K61" s="6"/>
      <c r="L61" s="6"/>
      <c r="M61" s="1"/>
      <c r="N61" s="1"/>
      <c r="O61" s="1"/>
      <c r="P61" s="1"/>
      <c r="Q61" s="1"/>
      <c r="R61" s="1"/>
    </row>
    <row r="62" spans="1:26" x14ac:dyDescent="0.2">
      <c r="G62" s="3"/>
      <c r="H62" s="6"/>
      <c r="I62" s="6"/>
      <c r="J62" s="6"/>
      <c r="K62" s="6"/>
      <c r="L62" s="6"/>
      <c r="M62" s="1"/>
      <c r="N62" s="1"/>
      <c r="O62" s="1"/>
      <c r="P62" s="1"/>
      <c r="Q62" s="1"/>
      <c r="R62" s="1"/>
    </row>
  </sheetData>
  <sheetProtection sheet="1" selectLockedCells="1"/>
  <mergeCells count="19">
    <mergeCell ref="U1:U2"/>
    <mergeCell ref="V1:V2"/>
    <mergeCell ref="W1:W2"/>
    <mergeCell ref="AA1:AF2"/>
    <mergeCell ref="G1:G2"/>
    <mergeCell ref="H1:L1"/>
    <mergeCell ref="M1:Q1"/>
    <mergeCell ref="R1:R2"/>
    <mergeCell ref="S1:S2"/>
    <mergeCell ref="T1:T2"/>
    <mergeCell ref="X1:X2"/>
    <mergeCell ref="Y1:Y2"/>
    <mergeCell ref="Z1:Z2"/>
    <mergeCell ref="F1:F2"/>
    <mergeCell ref="A1:A2"/>
    <mergeCell ref="B1:B2"/>
    <mergeCell ref="C1:C2"/>
    <mergeCell ref="D1:D2"/>
    <mergeCell ref="E1:E2"/>
  </mergeCells>
  <conditionalFormatting sqref="A1:C1 A2:B2 A3:C1048576">
    <cfRule type="expression" dxfId="11" priority="5">
      <formula>IF(OR($D1="P",$E1="P",$F1="P"),1,0)</formula>
    </cfRule>
    <cfRule type="expression" dxfId="10" priority="7">
      <formula>IF(AND($G1&lt;&gt;"",$G1&lt;=16-COUNTIF($F:$F,"P")),1,0)</formula>
    </cfRule>
  </conditionalFormatting>
  <conditionalFormatting sqref="D53:U62 D3:Y43 D44:Z52">
    <cfRule type="expression" dxfId="9" priority="4">
      <formula>IF(AND($A3&lt;&gt;"",MOD(ROW(),2)=0),1,0)</formula>
    </cfRule>
    <cfRule type="expression" dxfId="8" priority="8">
      <formula>IF(AND($A3&lt;&gt;"",MOD(ROW(),2)=1),1,0)</formula>
    </cfRule>
  </conditionalFormatting>
  <conditionalFormatting sqref="Q3:Q62 L3:L62 G3:G62">
    <cfRule type="expression" dxfId="7" priority="3">
      <formula>IF($A3&lt;&gt;"",1,0)</formula>
    </cfRule>
  </conditionalFormatting>
  <conditionalFormatting sqref="Z3:Z43">
    <cfRule type="expression" dxfId="6" priority="1">
      <formula>IF(AND($A3&lt;&gt;"",MOD(ROW(),2)=0),1,0)</formula>
    </cfRule>
    <cfRule type="expression" dxfId="5" priority="2">
      <formula>IF(AND($A3&lt;&gt;"",MOD(ROW(),2)=1),1,0)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6" id="{66130BE1-C5F2-5045-8137-E75FE9FC2976}">
            <xm:f>IF(AND($G1&lt;&gt;"",$G1&lt;=16-COUNTIF($F:$F,"P")-COUNTIF(Macros!$G$6:$K$6,"=0")),1,0)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m:sqref>A1:C1 A2:B2 A3:C1048576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95B0AD-D747-9D44-948B-592A51FE61C3}">
  <sheetPr codeName="Sheet3"/>
  <dimension ref="A1:L14"/>
  <sheetViews>
    <sheetView zoomScaleNormal="100" workbookViewId="0">
      <selection activeCell="B1" sqref="B1"/>
    </sheetView>
  </sheetViews>
  <sheetFormatPr baseColWidth="10" defaultRowHeight="16" x14ac:dyDescent="0.2"/>
  <cols>
    <col min="1" max="1" width="11.33203125" customWidth="1"/>
    <col min="7" max="11" width="10.83203125" hidden="1" customWidth="1"/>
  </cols>
  <sheetData>
    <row r="1" spans="1:12" x14ac:dyDescent="0.2">
      <c r="B1" t="s">
        <v>77</v>
      </c>
    </row>
    <row r="2" spans="1:12" x14ac:dyDescent="0.2">
      <c r="B2" t="s">
        <v>78</v>
      </c>
    </row>
    <row r="4" spans="1:12" x14ac:dyDescent="0.2">
      <c r="B4" s="23" t="s">
        <v>97</v>
      </c>
      <c r="C4" s="23"/>
      <c r="D4" s="23"/>
      <c r="E4" s="23"/>
      <c r="F4" s="23"/>
      <c r="G4" s="23" t="s">
        <v>96</v>
      </c>
      <c r="H4" s="23"/>
      <c r="I4" s="23"/>
      <c r="J4" s="23"/>
      <c r="K4" s="23"/>
    </row>
    <row r="5" spans="1:12" x14ac:dyDescent="0.2">
      <c r="A5" s="1"/>
      <c r="B5" s="1" t="s">
        <v>88</v>
      </c>
      <c r="C5" s="1" t="s">
        <v>86</v>
      </c>
      <c r="D5" s="1" t="s">
        <v>84</v>
      </c>
      <c r="E5" s="1" t="s">
        <v>85</v>
      </c>
      <c r="F5" s="1" t="s">
        <v>87</v>
      </c>
      <c r="G5" s="1" t="s">
        <v>88</v>
      </c>
      <c r="H5" s="1" t="s">
        <v>86</v>
      </c>
      <c r="I5" s="1" t="s">
        <v>84</v>
      </c>
      <c r="J5" s="1" t="s">
        <v>85</v>
      </c>
      <c r="K5" s="1" t="s">
        <v>87</v>
      </c>
    </row>
    <row r="6" spans="1:12" x14ac:dyDescent="0.2">
      <c r="A6" s="1" t="s">
        <v>90</v>
      </c>
      <c r="B6" s="1">
        <f>COUNTIFS(Women!$D:$D,"P",Women!$C:$C,Macros!B$5)+COUNTIFS(Women!$E:$E,"P",Women!$C:$C,Macros!B$5)+COUNTIFS(Women!$G:$G,"&lt;="&amp;15-COUNTIF(Women!$F:$F,"P"),Women!$C:$C,Macros!B$5)</f>
        <v>0</v>
      </c>
      <c r="C6" s="1">
        <f>COUNTIFS(Women!$D:$D,"P",Women!$C:$C,Macros!C$5)+COUNTIFS(Women!$E:$E,"P",Women!$C:$C,Macros!C$5)+COUNTIFS(Women!$G:$G,"&lt;="&amp;16-COUNTIF(Women!$F:$F,"P"),Women!$C:$C,Macros!C$5)</f>
        <v>3</v>
      </c>
      <c r="D6" s="1">
        <f>COUNTIFS(Women!$D:$D,"P",Women!$C:$C,Macros!D$5)+COUNTIFS(Women!$E:$E,"P",Women!$C:$C,Macros!D$5)+COUNTIFS(Women!$G:$G,"&lt;="&amp;16-COUNTIF(Women!$F:$F,"P"),Women!$C:$C,Macros!D$5)</f>
        <v>3</v>
      </c>
      <c r="E6" s="1">
        <f>COUNTIFS(Women!$D:$D,"P",Women!$C:$C,Macros!E$5)+COUNTIFS(Women!$E:$E,"P",Women!$C:$C,Macros!E$5)+COUNTIFS(Women!$G:$G,"&lt;="&amp;16-COUNTIF(Women!$F:$F,"P"),Women!$C:$C,Macros!E$5)</f>
        <v>9</v>
      </c>
      <c r="F6" s="1">
        <f>COUNTIFS(Women!$D:$D,"P",Women!$C:$C,Macros!F$5)+COUNTIFS(Women!$E:$E,"P",Women!$C:$C,Macros!F$5)+COUNTIFS(Women!$G:$G,"&lt;="&amp;16-COUNTIF(Women!$F:$F,"P"),Women!$C:$C,Macros!F$5)</f>
        <v>1</v>
      </c>
      <c r="G6" s="1">
        <f>COUNTIFS(Women!$D:$D,"P",Women!$C:$C,Macros!G$5)+COUNTIFS(Women!$E:$E,"P",Women!$C:$C,Macros!G$5)+COUNTIFS(Women!$G:$G,"&lt;="&amp;16-COUNTIF(Women!$F:$F,"P")-COUNTIF($B6:$F6,0),Women!$C:$C,Macros!G$5)</f>
        <v>0</v>
      </c>
      <c r="H6" s="1">
        <f>COUNTIFS(Women!$D:$D,"P",Women!$C:$C,Macros!H$5)+COUNTIFS(Women!$E:$E,"P",Women!$C:$C,Macros!H$5)+COUNTIFS(Women!$G:$G,"&lt;="&amp;16-COUNTIF(Women!$F:$F,"P")-COUNTIF($B6:$F6,0),Women!$C:$C,Macros!H$5)</f>
        <v>3</v>
      </c>
      <c r="I6" s="1">
        <f>COUNTIFS(Women!$D:$D,"P",Women!$C:$C,Macros!I$5)+COUNTIFS(Women!$E:$E,"P",Women!$C:$C,Macros!I$5)+COUNTIFS(Women!$G:$G,"&lt;="&amp;16-COUNTIF(Women!$F:$F,"P")-COUNTIF($B6:$F6,0),Women!$C:$C,Macros!I$5)</f>
        <v>3</v>
      </c>
      <c r="J6" s="1">
        <f>COUNTIFS(Women!$D:$D,"P",Women!$C:$C,Macros!J$5)+COUNTIFS(Women!$E:$E,"P",Women!$C:$C,Macros!J$5)+COUNTIFS(Women!$G:$G,"&lt;="&amp;16-COUNTIF(Women!$F:$F,"P")-COUNTIF($B6:$F6,0),Women!$C:$C,Macros!J$5)</f>
        <v>8</v>
      </c>
      <c r="K6" s="1">
        <f>COUNTIFS(Women!$D:$D,"P",Women!$C:$C,Macros!K$5)+COUNTIFS(Women!$E:$E,"P",Women!$C:$C,Macros!K$5)+COUNTIFS(Women!$G:$G,"&lt;="&amp;16-COUNTIF(Women!$F:$F,"P")-COUNTIF($B6:$F6,0),Women!$C:$C,Macros!K$5)</f>
        <v>1</v>
      </c>
      <c r="L6" t="str">
        <f>IF(COUNTIF(G6:K6,0)&gt;COUNTIF(B6:F6,0),"Bumped athlete removes continental representation. Formula adjustments may be needed","")</f>
        <v/>
      </c>
    </row>
    <row r="7" spans="1:12" x14ac:dyDescent="0.2">
      <c r="A7" s="1" t="s">
        <v>89</v>
      </c>
      <c r="B7" s="1">
        <f>COUNTIFS(Men!$D:$D,"P",Men!$C:$C,Macros!B$5)+COUNTIFS(Men!$E:$E,"P",Men!$C:$C,Macros!B$5)+COUNTIFS(Men!$G:$G,"&lt;="&amp;16-COUNTIF(Men!$F:$F,"P"),Men!$C:$C,Macros!B$5)</f>
        <v>0</v>
      </c>
      <c r="C7" s="1">
        <f>COUNTIFS(Men!$D:$D,"P",Men!$C:$C,Macros!C$5)+COUNTIFS(Men!$E:$E,"P",Men!$C:$C,Macros!C$5)+COUNTIFS(Men!$G:$G,"&lt;="&amp;16-COUNTIF(Men!$F:$F,"P"),Men!$C:$C,Macros!C$5)</f>
        <v>3</v>
      </c>
      <c r="D7" s="1">
        <f>COUNTIFS(Men!$D:$D,"P",Men!$C:$C,Macros!D$5)+COUNTIFS(Men!$E:$E,"P",Men!$C:$C,Macros!D$5)+COUNTIFS(Men!$G:$G,"&lt;="&amp;16-COUNTIF(Men!$F:$F,"P"),Men!$C:$C,Macros!D$5)</f>
        <v>4</v>
      </c>
      <c r="E7" s="1">
        <f>COUNTIFS(Men!$D:$D,"P",Men!$C:$C,Macros!E$5)+COUNTIFS(Men!$E:$E,"P",Men!$C:$C,Macros!E$5)+COUNTIFS(Men!$G:$G,"&lt;="&amp;16-COUNTIF(Men!$F:$F,"P"),Men!$C:$C,Macros!E$5)</f>
        <v>7</v>
      </c>
      <c r="F7" s="1">
        <f>COUNTIFS(Men!$D:$D,"P",Men!$C:$C,Macros!F$5)+COUNTIFS(Men!$E:$E,"P",Men!$C:$C,Macros!F$5)+COUNTIFS(Men!$G:$G,"&lt;="&amp;16-COUNTIF(Men!$F:$F,"P"),Men!$C:$C,Macros!F$5)</f>
        <v>2</v>
      </c>
      <c r="G7" s="1" t="e">
        <f>COUNTIFS(#REF!,"P",#REF!,Macros!G$5)+COUNTIFS(#REF!,"P",#REF!,Macros!G$5)+COUNTIFS(#REF!,"&lt;="&amp;16-COUNTIF(#REF!,"P")-COUNTIF($B7:$F7,0),#REF!,Macros!G$5)</f>
        <v>#REF!</v>
      </c>
      <c r="H7" s="1" t="e">
        <f>COUNTIFS(#REF!,"P",#REF!,Macros!H$5)+COUNTIFS(#REF!,"P",#REF!,Macros!H$5)+COUNTIFS(#REF!,"&lt;="&amp;16-COUNTIF(#REF!,"P")-COUNTIF($B7:$F7,0),#REF!,Macros!H$5)</f>
        <v>#REF!</v>
      </c>
      <c r="I7" s="1" t="e">
        <f>COUNTIFS(#REF!,"P",#REF!,Macros!I$5)+COUNTIFS(#REF!,"P",#REF!,Macros!I$5)+COUNTIFS(#REF!,"&lt;="&amp;16-COUNTIF(#REF!,"P")-COUNTIF($B7:$F7,0),#REF!,Macros!I$5)</f>
        <v>#REF!</v>
      </c>
      <c r="J7" s="1" t="e">
        <f>COUNTIFS(#REF!,"P",#REF!,Macros!J$5)+COUNTIFS(#REF!,"P",#REF!,Macros!J$5)+COUNTIFS(#REF!,"&lt;="&amp;16-COUNTIF(#REF!,"P")-COUNTIF($B7:$F7,0),#REF!,Macros!J$5)</f>
        <v>#REF!</v>
      </c>
      <c r="K7" s="1" t="e">
        <f>COUNTIFS(#REF!,"P",#REF!,Macros!K$5)+COUNTIFS(#REF!,"P",#REF!,Macros!K$5)+COUNTIFS(#REF!,"&lt;="&amp;16-COUNTIF(#REF!,"P")-COUNTIF($B7:$F7,0),#REF!,Macros!K$5)</f>
        <v>#REF!</v>
      </c>
      <c r="L7" t="str">
        <f>IF(COUNTIF(G7:K7,0)&gt;COUNTIF(B7:F7,0),"Bumped athlete removes continental representation. Formula adjustments may be needed","")</f>
        <v/>
      </c>
    </row>
    <row r="9" spans="1:12" x14ac:dyDescent="0.2">
      <c r="A9" s="23" t="s">
        <v>91</v>
      </c>
      <c r="B9" s="23"/>
      <c r="C9" s="23"/>
      <c r="D9" s="23"/>
    </row>
    <row r="10" spans="1:12" x14ac:dyDescent="0.2">
      <c r="A10" s="23" t="s">
        <v>92</v>
      </c>
      <c r="B10" s="23"/>
      <c r="C10" s="23"/>
      <c r="D10" s="23"/>
    </row>
    <row r="11" spans="1:12" x14ac:dyDescent="0.2">
      <c r="A11" s="23" t="s">
        <v>93</v>
      </c>
      <c r="B11" s="23"/>
      <c r="C11" s="23"/>
      <c r="D11" s="23"/>
    </row>
    <row r="14" spans="1:12" x14ac:dyDescent="0.2">
      <c r="L14" s="7"/>
    </row>
  </sheetData>
  <mergeCells count="5">
    <mergeCell ref="A9:D9"/>
    <mergeCell ref="A10:D10"/>
    <mergeCell ref="A11:D11"/>
    <mergeCell ref="G4:K4"/>
    <mergeCell ref="B4:F4"/>
  </mergeCells>
  <conditionalFormatting sqref="A9:D9">
    <cfRule type="expression" dxfId="3" priority="4">
      <formula>1</formula>
    </cfRule>
  </conditionalFormatting>
  <conditionalFormatting sqref="A10:D10">
    <cfRule type="expression" dxfId="2" priority="3">
      <formula>1</formula>
    </cfRule>
  </conditionalFormatting>
  <conditionalFormatting sqref="A11:D11">
    <cfRule type="expression" dxfId="1" priority="2">
      <formula>1</formula>
    </cfRule>
  </conditionalFormatting>
  <conditionalFormatting sqref="B6:F7">
    <cfRule type="expression" dxfId="0" priority="1" stopIfTrue="1">
      <formula>IF(B$6+B$7=0,1,0)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_xludf.Sort">
                <anchor moveWithCells="1" sizeWithCells="1">
                  <from>
                    <xdr:col>0</xdr:col>
                    <xdr:colOff>0</xdr:colOff>
                    <xdr:row>0</xdr:row>
                    <xdr:rowOff>12700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Alphabetical">
                <anchor moveWithCells="1" sizeWithCells="1">
                  <from>
                    <xdr:col>0</xdr:col>
                    <xdr:colOff>0</xdr:colOff>
                    <xdr:row>1</xdr:row>
                    <xdr:rowOff>12700</xdr:rowOff>
                  </from>
                  <to>
                    <xdr:col>1</xdr:col>
                    <xdr:colOff>0</xdr:colOff>
                    <xdr:row>1</xdr:row>
                    <xdr:rowOff>203200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14E7F4-4851-CC49-9F8D-0290102E5009}">
  <sheetPr codeName="Sheet4"/>
  <dimension ref="A1:B35"/>
  <sheetViews>
    <sheetView workbookViewId="0">
      <selection activeCell="B36" sqref="B36"/>
    </sheetView>
  </sheetViews>
  <sheetFormatPr baseColWidth="10" defaultRowHeight="16" x14ac:dyDescent="0.2"/>
  <sheetData>
    <row r="1" spans="1:2" x14ac:dyDescent="0.2">
      <c r="A1" t="s">
        <v>5</v>
      </c>
      <c r="B1" t="s">
        <v>83</v>
      </c>
    </row>
    <row r="2" spans="1:2" x14ac:dyDescent="0.2">
      <c r="A2" t="s">
        <v>30</v>
      </c>
      <c r="B2" t="s">
        <v>87</v>
      </c>
    </row>
    <row r="3" spans="1:2" x14ac:dyDescent="0.2">
      <c r="A3" t="s">
        <v>58</v>
      </c>
      <c r="B3" t="s">
        <v>85</v>
      </c>
    </row>
    <row r="4" spans="1:2" x14ac:dyDescent="0.2">
      <c r="A4" t="s">
        <v>82</v>
      </c>
      <c r="B4" t="s">
        <v>85</v>
      </c>
    </row>
    <row r="5" spans="1:2" x14ac:dyDescent="0.2">
      <c r="A5" t="s">
        <v>9</v>
      </c>
      <c r="B5" t="s">
        <v>85</v>
      </c>
    </row>
    <row r="6" spans="1:2" x14ac:dyDescent="0.2">
      <c r="A6" t="s">
        <v>26</v>
      </c>
      <c r="B6" t="s">
        <v>86</v>
      </c>
    </row>
    <row r="7" spans="1:2" x14ac:dyDescent="0.2">
      <c r="A7" t="s">
        <v>47</v>
      </c>
      <c r="B7" t="s">
        <v>85</v>
      </c>
    </row>
    <row r="8" spans="1:2" x14ac:dyDescent="0.2">
      <c r="A8" t="s">
        <v>7</v>
      </c>
      <c r="B8" t="s">
        <v>86</v>
      </c>
    </row>
    <row r="9" spans="1:2" x14ac:dyDescent="0.2">
      <c r="A9" t="s">
        <v>6</v>
      </c>
      <c r="B9" t="s">
        <v>84</v>
      </c>
    </row>
    <row r="10" spans="1:2" x14ac:dyDescent="0.2">
      <c r="A10" t="s">
        <v>60</v>
      </c>
      <c r="B10" t="s">
        <v>86</v>
      </c>
    </row>
    <row r="11" spans="1:2" x14ac:dyDescent="0.2">
      <c r="A11" t="s">
        <v>61</v>
      </c>
      <c r="B11" t="s">
        <v>85</v>
      </c>
    </row>
    <row r="12" spans="1:2" x14ac:dyDescent="0.2">
      <c r="A12" t="s">
        <v>94</v>
      </c>
      <c r="B12" t="s">
        <v>88</v>
      </c>
    </row>
    <row r="13" spans="1:2" x14ac:dyDescent="0.2">
      <c r="A13" t="s">
        <v>22</v>
      </c>
      <c r="B13" t="s">
        <v>85</v>
      </c>
    </row>
    <row r="14" spans="1:2" x14ac:dyDescent="0.2">
      <c r="A14" t="s">
        <v>11</v>
      </c>
      <c r="B14" t="s">
        <v>85</v>
      </c>
    </row>
    <row r="15" spans="1:2" x14ac:dyDescent="0.2">
      <c r="A15" t="s">
        <v>13</v>
      </c>
      <c r="B15" t="s">
        <v>85</v>
      </c>
    </row>
    <row r="16" spans="1:2" x14ac:dyDescent="0.2">
      <c r="A16" t="s">
        <v>23</v>
      </c>
      <c r="B16" t="s">
        <v>85</v>
      </c>
    </row>
    <row r="17" spans="1:2" x14ac:dyDescent="0.2">
      <c r="A17" t="s">
        <v>28</v>
      </c>
      <c r="B17" t="s">
        <v>85</v>
      </c>
    </row>
    <row r="18" spans="1:2" x14ac:dyDescent="0.2">
      <c r="A18" t="s">
        <v>62</v>
      </c>
      <c r="B18" t="s">
        <v>85</v>
      </c>
    </row>
    <row r="19" spans="1:2" x14ac:dyDescent="0.2">
      <c r="A19" t="s">
        <v>45</v>
      </c>
      <c r="B19" t="s">
        <v>85</v>
      </c>
    </row>
    <row r="20" spans="1:2" x14ac:dyDescent="0.2">
      <c r="A20" t="s">
        <v>8</v>
      </c>
      <c r="B20" t="s">
        <v>84</v>
      </c>
    </row>
    <row r="21" spans="1:2" x14ac:dyDescent="0.2">
      <c r="A21" t="s">
        <v>46</v>
      </c>
      <c r="B21" t="s">
        <v>84</v>
      </c>
    </row>
    <row r="22" spans="1:2" x14ac:dyDescent="0.2">
      <c r="A22" t="s">
        <v>27</v>
      </c>
      <c r="B22" t="s">
        <v>86</v>
      </c>
    </row>
    <row r="23" spans="1:2" x14ac:dyDescent="0.2">
      <c r="A23" t="s">
        <v>71</v>
      </c>
      <c r="B23" t="s">
        <v>85</v>
      </c>
    </row>
    <row r="24" spans="1:2" x14ac:dyDescent="0.2">
      <c r="A24" t="s">
        <v>24</v>
      </c>
      <c r="B24" t="s">
        <v>87</v>
      </c>
    </row>
    <row r="25" spans="1:2" x14ac:dyDescent="0.2">
      <c r="A25" t="s">
        <v>55</v>
      </c>
      <c r="B25" t="s">
        <v>85</v>
      </c>
    </row>
    <row r="26" spans="1:2" x14ac:dyDescent="0.2">
      <c r="A26" t="s">
        <v>36</v>
      </c>
      <c r="B26" t="s">
        <v>85</v>
      </c>
    </row>
    <row r="27" spans="1:2" x14ac:dyDescent="0.2">
      <c r="A27" t="s">
        <v>10</v>
      </c>
      <c r="B27" t="s">
        <v>85</v>
      </c>
    </row>
    <row r="28" spans="1:2" x14ac:dyDescent="0.2">
      <c r="A28" t="s">
        <v>66</v>
      </c>
      <c r="B28" t="s">
        <v>85</v>
      </c>
    </row>
    <row r="29" spans="1:2" x14ac:dyDescent="0.2">
      <c r="A29" t="s">
        <v>31</v>
      </c>
      <c r="B29" t="s">
        <v>85</v>
      </c>
    </row>
    <row r="30" spans="1:2" x14ac:dyDescent="0.2">
      <c r="A30" t="s">
        <v>72</v>
      </c>
      <c r="B30" t="s">
        <v>85</v>
      </c>
    </row>
    <row r="31" spans="1:2" x14ac:dyDescent="0.2">
      <c r="A31" t="s">
        <v>44</v>
      </c>
      <c r="B31" t="s">
        <v>85</v>
      </c>
    </row>
    <row r="32" spans="1:2" x14ac:dyDescent="0.2">
      <c r="A32" t="s">
        <v>25</v>
      </c>
      <c r="B32" t="s">
        <v>86</v>
      </c>
    </row>
    <row r="33" spans="1:2" x14ac:dyDescent="0.2">
      <c r="A33" t="s">
        <v>29</v>
      </c>
      <c r="B33" t="s">
        <v>84</v>
      </c>
    </row>
    <row r="34" spans="1:2" x14ac:dyDescent="0.2">
      <c r="A34" t="s">
        <v>151</v>
      </c>
      <c r="B34" t="s">
        <v>85</v>
      </c>
    </row>
    <row r="35" spans="1:2" x14ac:dyDescent="0.2">
      <c r="A35" t="s">
        <v>150</v>
      </c>
      <c r="B35" t="s">
        <v>85</v>
      </c>
    </row>
  </sheetData>
  <autoFilter ref="A1:B1" xr:uid="{CA14E7F4-4851-CC49-9F8D-0290102E5009}">
    <sortState xmlns:xlrd2="http://schemas.microsoft.com/office/spreadsheetml/2017/richdata2" ref="A2:B33">
      <sortCondition ref="A1:A33"/>
    </sortState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Women</vt:lpstr>
      <vt:lpstr>Men</vt:lpstr>
      <vt:lpstr>Macros</vt:lpstr>
      <vt:lpstr>Continental Affiliation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2019-02-17T15:04:16Z</dcterms:created>
  <dcterms:modified xsi:type="dcterms:W3CDTF">2024-03-24T14:40:40Z</dcterms:modified>
</cp:coreProperties>
</file>