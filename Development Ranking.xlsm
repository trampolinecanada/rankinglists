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436C7A5-3EDC-3B4E-A904-716C1411DD4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26" i="21" l="1"/>
  <c r="OZ26" i="21"/>
  <c r="OX26" i="21"/>
  <c r="OW26" i="21"/>
  <c r="OV26" i="21"/>
  <c r="PB26" i="21" s="1"/>
  <c r="OU26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PB21" i="21" s="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PB17" i="21" s="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PB13" i="21" s="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10" i="21"/>
  <c r="OZ10" i="21"/>
  <c r="OX10" i="21"/>
  <c r="OW10" i="21"/>
  <c r="OV10" i="21"/>
  <c r="PB10" i="21" s="1"/>
  <c r="OU10" i="21"/>
  <c r="PA25" i="21"/>
  <c r="OZ25" i="21"/>
  <c r="OX25" i="21"/>
  <c r="OW25" i="21"/>
  <c r="OV25" i="21"/>
  <c r="PB25" i="21" s="1"/>
  <c r="OU25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4" i="21"/>
  <c r="NX24" i="21"/>
  <c r="NV24" i="21"/>
  <c r="NU24" i="21"/>
  <c r="NT24" i="21"/>
  <c r="NZ24" i="21" s="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Z20" i="21" s="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Z16" i="21" s="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Z12" i="21" s="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25" i="21"/>
  <c r="NX25" i="21"/>
  <c r="NV25" i="21"/>
  <c r="NU25" i="21"/>
  <c r="NT25" i="21"/>
  <c r="NZ25" i="21" s="1"/>
  <c r="NS25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X23" i="21" s="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X19" i="21" s="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X11" i="21" s="1"/>
  <c r="MQ11" i="21"/>
  <c r="MW10" i="21"/>
  <c r="MV10" i="21"/>
  <c r="MT10" i="21"/>
  <c r="MS10" i="21"/>
  <c r="MR10" i="21"/>
  <c r="MQ10" i="21"/>
  <c r="MW25" i="21"/>
  <c r="MV25" i="21"/>
  <c r="MT25" i="21"/>
  <c r="MS25" i="21"/>
  <c r="MR25" i="21"/>
  <c r="MQ25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S26" i="21" s="1"/>
  <c r="LP26" i="21"/>
  <c r="LO26" i="21"/>
  <c r="LU24" i="21"/>
  <c r="LT24" i="21"/>
  <c r="LS24" i="21"/>
  <c r="LR24" i="21"/>
  <c r="LQ24" i="21"/>
  <c r="LP24" i="21"/>
  <c r="LV24" i="21" s="1"/>
  <c r="LO24" i="21"/>
  <c r="LU23" i="21"/>
  <c r="LT23" i="21"/>
  <c r="LR23" i="21"/>
  <c r="LQ23" i="21"/>
  <c r="LP23" i="21"/>
  <c r="LS23" i="21" s="1"/>
  <c r="LO23" i="21"/>
  <c r="LU22" i="21"/>
  <c r="LT22" i="21"/>
  <c r="LR22" i="21"/>
  <c r="LQ22" i="21"/>
  <c r="LP22" i="21"/>
  <c r="LV22" i="21" s="1"/>
  <c r="LO22" i="21"/>
  <c r="LU21" i="21"/>
  <c r="LT21" i="21"/>
  <c r="LR21" i="21"/>
  <c r="LQ21" i="21"/>
  <c r="LP21" i="21"/>
  <c r="LV21" i="21" s="1"/>
  <c r="LO21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S16" i="21" s="1"/>
  <c r="LP16" i="21"/>
  <c r="LO16" i="21"/>
  <c r="LU15" i="21"/>
  <c r="LT15" i="21"/>
  <c r="LS15" i="21"/>
  <c r="LR15" i="21"/>
  <c r="LQ15" i="21"/>
  <c r="LP15" i="21"/>
  <c r="LO15" i="21"/>
  <c r="LU14" i="21"/>
  <c r="LT14" i="21"/>
  <c r="LR14" i="21"/>
  <c r="LQ14" i="21"/>
  <c r="LS14" i="21" s="1"/>
  <c r="LP14" i="21"/>
  <c r="LO14" i="21"/>
  <c r="LU13" i="21"/>
  <c r="LT13" i="21"/>
  <c r="LR13" i="21"/>
  <c r="LQ13" i="21"/>
  <c r="LP13" i="21"/>
  <c r="LV13" i="21" s="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S11" i="21" s="1"/>
  <c r="LP11" i="21"/>
  <c r="LO11" i="21"/>
  <c r="LU10" i="21"/>
  <c r="LT10" i="21"/>
  <c r="LR10" i="21"/>
  <c r="LQ10" i="21"/>
  <c r="LP10" i="21"/>
  <c r="LO10" i="21"/>
  <c r="LU25" i="21"/>
  <c r="LT25" i="21"/>
  <c r="LR25" i="21"/>
  <c r="LQ25" i="21"/>
  <c r="LP25" i="21"/>
  <c r="LO25" i="21"/>
  <c r="LU9" i="21"/>
  <c r="LT9" i="21"/>
  <c r="LR9" i="21"/>
  <c r="LQ9" i="21"/>
  <c r="LS9" i="21" s="1"/>
  <c r="LP9" i="21"/>
  <c r="LO9" i="21"/>
  <c r="LU8" i="21"/>
  <c r="LT8" i="21"/>
  <c r="LR8" i="21"/>
  <c r="LQ8" i="21"/>
  <c r="LP8" i="21"/>
  <c r="LS8" i="21" s="1"/>
  <c r="LO8" i="21"/>
  <c r="LU7" i="21"/>
  <c r="LT7" i="21"/>
  <c r="LR7" i="21"/>
  <c r="LQ7" i="21"/>
  <c r="LS7" i="21" s="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V5" i="21" s="1"/>
  <c r="LO5" i="21"/>
  <c r="LU4" i="21"/>
  <c r="LT4" i="21"/>
  <c r="LR4" i="21"/>
  <c r="LQ4" i="21"/>
  <c r="LP4" i="21"/>
  <c r="LV4" i="21" s="1"/>
  <c r="LO4" i="21"/>
  <c r="KS26" i="21"/>
  <c r="KR26" i="21"/>
  <c r="KP26" i="21"/>
  <c r="KO26" i="21"/>
  <c r="KN26" i="21"/>
  <c r="KM26" i="21"/>
  <c r="KS24" i="21"/>
  <c r="KR24" i="21"/>
  <c r="KP24" i="21"/>
  <c r="KO24" i="21"/>
  <c r="KN24" i="21"/>
  <c r="KM24" i="21"/>
  <c r="KS23" i="21"/>
  <c r="KR23" i="21"/>
  <c r="KP23" i="21"/>
  <c r="KO23" i="21"/>
  <c r="KN23" i="21"/>
  <c r="KT23" i="21" s="1"/>
  <c r="KM23" i="21"/>
  <c r="KS22" i="21"/>
  <c r="KR22" i="21"/>
  <c r="KP22" i="21"/>
  <c r="KO22" i="21"/>
  <c r="KN22" i="21"/>
  <c r="KT22" i="21" s="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25" i="21"/>
  <c r="KR25" i="21"/>
  <c r="KP25" i="21"/>
  <c r="KO25" i="21"/>
  <c r="KN25" i="21"/>
  <c r="KM25" i="21"/>
  <c r="KS9" i="21"/>
  <c r="KR9" i="21"/>
  <c r="KP9" i="21"/>
  <c r="KO9" i="21"/>
  <c r="KN9" i="21"/>
  <c r="KM9" i="21"/>
  <c r="KS8" i="21"/>
  <c r="KR8" i="21"/>
  <c r="KP8" i="21"/>
  <c r="KO8" i="21"/>
  <c r="KN8" i="21"/>
  <c r="KT8" i="21" s="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T4" i="21" s="1"/>
  <c r="KM4" i="21"/>
  <c r="JQ26" i="21"/>
  <c r="JP26" i="21"/>
  <c r="JN26" i="21"/>
  <c r="JM26" i="21"/>
  <c r="JL26" i="21"/>
  <c r="JO26" i="21" s="1"/>
  <c r="JK26" i="21"/>
  <c r="JQ24" i="21"/>
  <c r="JP24" i="21"/>
  <c r="JN24" i="21"/>
  <c r="JM24" i="21"/>
  <c r="JL24" i="21"/>
  <c r="JK24" i="21"/>
  <c r="JR23" i="21"/>
  <c r="JQ23" i="21"/>
  <c r="JP23" i="21"/>
  <c r="JN23" i="21"/>
  <c r="JM23" i="21"/>
  <c r="JL23" i="21"/>
  <c r="JK23" i="21"/>
  <c r="JQ22" i="21"/>
  <c r="JP22" i="21"/>
  <c r="JN22" i="21"/>
  <c r="JM22" i="21"/>
  <c r="JL22" i="21"/>
  <c r="JR22" i="21" s="1"/>
  <c r="JK22" i="21"/>
  <c r="JQ21" i="21"/>
  <c r="JP21" i="21"/>
  <c r="JN21" i="21"/>
  <c r="JM21" i="21"/>
  <c r="JL21" i="21"/>
  <c r="JO21" i="21" s="1"/>
  <c r="JK21" i="21"/>
  <c r="JR20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K18" i="21"/>
  <c r="JQ17" i="21"/>
  <c r="JP17" i="21"/>
  <c r="JN17" i="21"/>
  <c r="JM17" i="21"/>
  <c r="JL17" i="21"/>
  <c r="JO17" i="21" s="1"/>
  <c r="JK17" i="21"/>
  <c r="JQ16" i="21"/>
  <c r="JP16" i="21"/>
  <c r="JN16" i="21"/>
  <c r="JM16" i="21"/>
  <c r="JL16" i="21"/>
  <c r="JK16" i="21"/>
  <c r="JR15" i="21"/>
  <c r="JQ15" i="21"/>
  <c r="JP15" i="21"/>
  <c r="JN15" i="21"/>
  <c r="JM15" i="21"/>
  <c r="JL15" i="21"/>
  <c r="JO15" i="21" s="1"/>
  <c r="JK15" i="21"/>
  <c r="JQ14" i="21"/>
  <c r="JR14" i="21" s="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R12" i="21" s="1"/>
  <c r="JK12" i="21"/>
  <c r="JQ11" i="21"/>
  <c r="JP11" i="21"/>
  <c r="JN11" i="21"/>
  <c r="JM11" i="21"/>
  <c r="JL11" i="21"/>
  <c r="JR11" i="21" s="1"/>
  <c r="JK11" i="21"/>
  <c r="JQ10" i="21"/>
  <c r="JP10" i="21"/>
  <c r="JN10" i="21"/>
  <c r="JM10" i="21"/>
  <c r="JL10" i="21"/>
  <c r="JO10" i="21" s="1"/>
  <c r="JK10" i="21"/>
  <c r="JQ25" i="21"/>
  <c r="JP25" i="21"/>
  <c r="JN25" i="21"/>
  <c r="JM25" i="21"/>
  <c r="JL25" i="21"/>
  <c r="JO25" i="21" s="1"/>
  <c r="JK25" i="21"/>
  <c r="JQ9" i="21"/>
  <c r="JP9" i="21"/>
  <c r="JN9" i="21"/>
  <c r="JM9" i="21"/>
  <c r="JL9" i="21"/>
  <c r="JK9" i="21"/>
  <c r="JQ8" i="21"/>
  <c r="JP8" i="21"/>
  <c r="JN8" i="21"/>
  <c r="JM8" i="21"/>
  <c r="JL8" i="21"/>
  <c r="JO8" i="21" s="1"/>
  <c r="JK8" i="21"/>
  <c r="JQ7" i="21"/>
  <c r="JR7" i="21" s="1"/>
  <c r="JP7" i="21"/>
  <c r="JN7" i="21"/>
  <c r="JM7" i="21"/>
  <c r="JL7" i="21"/>
  <c r="JK7" i="21"/>
  <c r="JQ6" i="21"/>
  <c r="JR6" i="21" s="1"/>
  <c r="JP6" i="21"/>
  <c r="JN6" i="21"/>
  <c r="JM6" i="21"/>
  <c r="JL6" i="2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P26" i="21" s="1"/>
  <c r="II26" i="21"/>
  <c r="IO24" i="21"/>
  <c r="IN24" i="21"/>
  <c r="IL24" i="21"/>
  <c r="IK24" i="21"/>
  <c r="IJ24" i="21"/>
  <c r="IP24" i="21" s="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P21" i="21" s="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25" i="21"/>
  <c r="IN25" i="21"/>
  <c r="IL25" i="21"/>
  <c r="IK25" i="21"/>
  <c r="IJ25" i="21"/>
  <c r="IP25" i="21" s="1"/>
  <c r="II25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P6" i="21" s="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I4" i="21"/>
  <c r="HM26" i="21"/>
  <c r="HL26" i="21"/>
  <c r="HJ26" i="21"/>
  <c r="HI26" i="21"/>
  <c r="HH26" i="21"/>
  <c r="HG26" i="21"/>
  <c r="HM24" i="21"/>
  <c r="HL24" i="21"/>
  <c r="HJ24" i="21"/>
  <c r="HI24" i="21"/>
  <c r="HH24" i="21"/>
  <c r="HN24" i="21" s="1"/>
  <c r="HG24" i="21"/>
  <c r="HM23" i="21"/>
  <c r="HL23" i="21"/>
  <c r="HJ23" i="21"/>
  <c r="HI23" i="21"/>
  <c r="HH23" i="21"/>
  <c r="HN23" i="21" s="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N19" i="21" s="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25" i="21"/>
  <c r="HL25" i="21"/>
  <c r="HJ25" i="21"/>
  <c r="HI25" i="21"/>
  <c r="HH25" i="21"/>
  <c r="HG25" i="21"/>
  <c r="HM9" i="21"/>
  <c r="HL9" i="21"/>
  <c r="HJ9" i="21"/>
  <c r="HI9" i="21"/>
  <c r="HH9" i="21"/>
  <c r="HN9" i="21" s="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N5" i="21" s="1"/>
  <c r="HG5" i="21"/>
  <c r="HM4" i="21"/>
  <c r="HL4" i="21"/>
  <c r="HJ4" i="21"/>
  <c r="HI4" i="21"/>
  <c r="HH4" i="21"/>
  <c r="HN4" i="21" s="1"/>
  <c r="HG4" i="21"/>
  <c r="GK26" i="21"/>
  <c r="GJ26" i="21"/>
  <c r="GH26" i="21"/>
  <c r="GG26" i="21"/>
  <c r="GF26" i="21"/>
  <c r="GE26" i="21"/>
  <c r="GK24" i="21"/>
  <c r="GJ24" i="21"/>
  <c r="GH24" i="21"/>
  <c r="GG24" i="21"/>
  <c r="GF24" i="21"/>
  <c r="GE24" i="21"/>
  <c r="GK23" i="21"/>
  <c r="GJ23" i="21"/>
  <c r="GH23" i="21"/>
  <c r="GG23" i="21"/>
  <c r="GF23" i="21"/>
  <c r="GL23" i="21" s="1"/>
  <c r="GE23" i="21"/>
  <c r="GK22" i="21"/>
  <c r="GJ22" i="21"/>
  <c r="GH22" i="21"/>
  <c r="GG22" i="21"/>
  <c r="GF22" i="21"/>
  <c r="GL22" i="21" s="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25" i="21"/>
  <c r="GJ25" i="21"/>
  <c r="GH25" i="21"/>
  <c r="GG25" i="21"/>
  <c r="GF25" i="21"/>
  <c r="GE25" i="21"/>
  <c r="GK9" i="21"/>
  <c r="GJ9" i="21"/>
  <c r="GH9" i="21"/>
  <c r="GG9" i="21"/>
  <c r="GF9" i="21"/>
  <c r="GE9" i="21"/>
  <c r="GK8" i="21"/>
  <c r="GJ8" i="21"/>
  <c r="GH8" i="21"/>
  <c r="GG8" i="21"/>
  <c r="GF8" i="21"/>
  <c r="GL8" i="21" s="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L4" i="21" s="1"/>
  <c r="GE4" i="21"/>
  <c r="FI26" i="21"/>
  <c r="FH26" i="21"/>
  <c r="FF26" i="21"/>
  <c r="FE26" i="21"/>
  <c r="FD26" i="21"/>
  <c r="FJ26" i="21" s="1"/>
  <c r="FC26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J22" i="21" s="1"/>
  <c r="FC22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25" i="21"/>
  <c r="FH25" i="21"/>
  <c r="FF25" i="21"/>
  <c r="FE25" i="21"/>
  <c r="FD25" i="21"/>
  <c r="FJ25" i="21" s="1"/>
  <c r="FC25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J7" i="21" s="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H26" i="21" s="1"/>
  <c r="EA26" i="21"/>
  <c r="EG24" i="21"/>
  <c r="EF24" i="21"/>
  <c r="ED24" i="21"/>
  <c r="EC24" i="21"/>
  <c r="EB24" i="21"/>
  <c r="EH24" i="21" s="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E21" i="21" s="1"/>
  <c r="EA21" i="21"/>
  <c r="EG20" i="21"/>
  <c r="EF20" i="21"/>
  <c r="ED20" i="21"/>
  <c r="EC20" i="21"/>
  <c r="EB20" i="21"/>
  <c r="EH20" i="21" s="1"/>
  <c r="EA20" i="21"/>
  <c r="EG19" i="21"/>
  <c r="EF19" i="21"/>
  <c r="ED19" i="21"/>
  <c r="EC19" i="21"/>
  <c r="EE19" i="21" s="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E15" i="21" s="1"/>
  <c r="EB15" i="21"/>
  <c r="EA15" i="21"/>
  <c r="EG14" i="21"/>
  <c r="EF14" i="21"/>
  <c r="ED14" i="21"/>
  <c r="EC14" i="21"/>
  <c r="EB14" i="21"/>
  <c r="EA14" i="21"/>
  <c r="EG13" i="21"/>
  <c r="EF13" i="21"/>
  <c r="EE13" i="21"/>
  <c r="ED13" i="21"/>
  <c r="EC13" i="21"/>
  <c r="EB13" i="21"/>
  <c r="EA13" i="21"/>
  <c r="EG12" i="21"/>
  <c r="EF12" i="21"/>
  <c r="EE12" i="21"/>
  <c r="ED12" i="21"/>
  <c r="EC12" i="21"/>
  <c r="EB12" i="21"/>
  <c r="EA12" i="21"/>
  <c r="EG11" i="21"/>
  <c r="EF11" i="21"/>
  <c r="ED11" i="21"/>
  <c r="EC11" i="21"/>
  <c r="EB11" i="21"/>
  <c r="EE11" i="21" s="1"/>
  <c r="EA11" i="21"/>
  <c r="EG10" i="21"/>
  <c r="EF10" i="21"/>
  <c r="ED10" i="21"/>
  <c r="EC10" i="21"/>
  <c r="EB10" i="21"/>
  <c r="EH10" i="21" s="1"/>
  <c r="EA10" i="21"/>
  <c r="EG25" i="21"/>
  <c r="EF25" i="21"/>
  <c r="ED25" i="21"/>
  <c r="EC25" i="21"/>
  <c r="EB25" i="21"/>
  <c r="EH25" i="21" s="1"/>
  <c r="EA25" i="21"/>
  <c r="EG9" i="21"/>
  <c r="EF9" i="21"/>
  <c r="ED9" i="21"/>
  <c r="EC9" i="21"/>
  <c r="EB9" i="21"/>
  <c r="EA9" i="21"/>
  <c r="EG8" i="21"/>
  <c r="EF8" i="21"/>
  <c r="ED8" i="21"/>
  <c r="EC8" i="21"/>
  <c r="EE8" i="21" s="1"/>
  <c r="EB8" i="21"/>
  <c r="EA8" i="21"/>
  <c r="EG7" i="21"/>
  <c r="EF7" i="21"/>
  <c r="ED7" i="21"/>
  <c r="EC7" i="21"/>
  <c r="EB7" i="21"/>
  <c r="EA7" i="21"/>
  <c r="EG6" i="21"/>
  <c r="EF6" i="21"/>
  <c r="ED6" i="21"/>
  <c r="EC6" i="21"/>
  <c r="EE6" i="21" s="1"/>
  <c r="EB6" i="21"/>
  <c r="EA6" i="21"/>
  <c r="EG5" i="21"/>
  <c r="EF5" i="21"/>
  <c r="ED5" i="21"/>
  <c r="EC5" i="21"/>
  <c r="EB5" i="21"/>
  <c r="EA5" i="21"/>
  <c r="EG4" i="21"/>
  <c r="EF4" i="21"/>
  <c r="EE4" i="21"/>
  <c r="ED4" i="21"/>
  <c r="EC4" i="21"/>
  <c r="EB4" i="21"/>
  <c r="EA4" i="21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PB28" i="19" s="1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4" i="19"/>
  <c r="OZ24" i="19"/>
  <c r="OX24" i="19"/>
  <c r="OW24" i="19"/>
  <c r="OV24" i="19"/>
  <c r="OU24" i="19"/>
  <c r="PA23" i="19"/>
  <c r="OZ23" i="19"/>
  <c r="OX23" i="19"/>
  <c r="OW23" i="19"/>
  <c r="OV23" i="19"/>
  <c r="PB23" i="19" s="1"/>
  <c r="OU23" i="19"/>
  <c r="PA22" i="19"/>
  <c r="OZ22" i="19"/>
  <c r="OX22" i="19"/>
  <c r="OW22" i="19"/>
  <c r="OV22" i="19"/>
  <c r="OU22" i="19"/>
  <c r="PA25" i="19"/>
  <c r="OZ25" i="19"/>
  <c r="OX25" i="19"/>
  <c r="OW25" i="19"/>
  <c r="OV25" i="19"/>
  <c r="OU25" i="19"/>
  <c r="PA21" i="19"/>
  <c r="OZ21" i="19"/>
  <c r="OX21" i="19"/>
  <c r="OW21" i="19"/>
  <c r="OV21" i="19"/>
  <c r="OU21" i="19"/>
  <c r="PA20" i="19"/>
  <c r="OZ20" i="19"/>
  <c r="OX20" i="19"/>
  <c r="OW20" i="19"/>
  <c r="OV20" i="19"/>
  <c r="PB20" i="19" s="1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PB14" i="19" s="1"/>
  <c r="OU14" i="19"/>
  <c r="PA13" i="19"/>
  <c r="OZ13" i="19"/>
  <c r="OX13" i="19"/>
  <c r="OW13" i="19"/>
  <c r="OV13" i="19"/>
  <c r="OU13" i="19"/>
  <c r="PA16" i="19"/>
  <c r="OZ16" i="19"/>
  <c r="OX16" i="19"/>
  <c r="OW16" i="19"/>
  <c r="OV16" i="19"/>
  <c r="OU16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17" i="19"/>
  <c r="OZ17" i="19"/>
  <c r="OX17" i="19"/>
  <c r="OW17" i="19"/>
  <c r="OV17" i="19"/>
  <c r="PB17" i="19" s="1"/>
  <c r="OU17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PB5" i="19" s="1"/>
  <c r="OU5" i="19"/>
  <c r="PA4" i="19"/>
  <c r="OZ4" i="19"/>
  <c r="OX4" i="19"/>
  <c r="OW4" i="19"/>
  <c r="OV4" i="19"/>
  <c r="PB4" i="19" s="1"/>
  <c r="OU4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Z32" i="19" s="1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Z29" i="19" s="1"/>
  <c r="NS29" i="19"/>
  <c r="NY28" i="19"/>
  <c r="NX28" i="19"/>
  <c r="NV28" i="19"/>
  <c r="NU28" i="19"/>
  <c r="NT28" i="19"/>
  <c r="NZ28" i="19" s="1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Z23" i="19" s="1"/>
  <c r="NS23" i="19"/>
  <c r="NY22" i="19"/>
  <c r="NX22" i="19"/>
  <c r="NV22" i="19"/>
  <c r="NU22" i="19"/>
  <c r="NT22" i="19"/>
  <c r="NS22" i="19"/>
  <c r="NY25" i="19"/>
  <c r="NX25" i="19"/>
  <c r="NV25" i="19"/>
  <c r="NU25" i="19"/>
  <c r="NT25" i="19"/>
  <c r="NS25" i="19"/>
  <c r="NY21" i="19"/>
  <c r="NX21" i="19"/>
  <c r="NV21" i="19"/>
  <c r="NU21" i="19"/>
  <c r="NT21" i="19"/>
  <c r="NZ21" i="19" s="1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6" i="19"/>
  <c r="NX16" i="19"/>
  <c r="NV16" i="19"/>
  <c r="NU16" i="19"/>
  <c r="NT16" i="19"/>
  <c r="NS16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17" i="19"/>
  <c r="NX17" i="19"/>
  <c r="NV17" i="19"/>
  <c r="NU17" i="19"/>
  <c r="NT17" i="19"/>
  <c r="NZ17" i="19" s="1"/>
  <c r="NS17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Z5" i="19" s="1"/>
  <c r="NS5" i="19"/>
  <c r="NY4" i="19"/>
  <c r="NX4" i="19"/>
  <c r="NV4" i="19"/>
  <c r="NU4" i="19"/>
  <c r="NT4" i="19"/>
  <c r="NS4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X33" i="19" s="1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4" i="19"/>
  <c r="MV24" i="19"/>
  <c r="MT24" i="19"/>
  <c r="MS24" i="19"/>
  <c r="MR24" i="19"/>
  <c r="MX24" i="19" s="1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5" i="19"/>
  <c r="MV25" i="19"/>
  <c r="MT25" i="19"/>
  <c r="MS25" i="19"/>
  <c r="MR25" i="19"/>
  <c r="MQ25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6" i="19"/>
  <c r="MV16" i="19"/>
  <c r="MT16" i="19"/>
  <c r="MS16" i="19"/>
  <c r="MR16" i="19"/>
  <c r="MQ16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S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5" i="19"/>
  <c r="LT25" i="19"/>
  <c r="LS25" i="19"/>
  <c r="LR25" i="19"/>
  <c r="LQ25" i="19"/>
  <c r="LP25" i="19"/>
  <c r="LO25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S13" i="19" s="1"/>
  <c r="LO13" i="19"/>
  <c r="LU16" i="19"/>
  <c r="LT16" i="19"/>
  <c r="LR16" i="19"/>
  <c r="LQ16" i="19"/>
  <c r="LP16" i="19"/>
  <c r="LO16" i="19"/>
  <c r="LU12" i="19"/>
  <c r="LT12" i="19"/>
  <c r="LR12" i="19"/>
  <c r="LQ12" i="19"/>
  <c r="LP12" i="19"/>
  <c r="LO12" i="19"/>
  <c r="LU11" i="19"/>
  <c r="LT11" i="19"/>
  <c r="LR11" i="19"/>
  <c r="LQ11" i="19"/>
  <c r="LP11" i="19"/>
  <c r="LV11" i="19" s="1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5" i="19"/>
  <c r="KR35" i="19"/>
  <c r="KP35" i="19"/>
  <c r="KO35" i="19"/>
  <c r="KN35" i="19"/>
  <c r="KT35" i="19" s="1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Q32" i="19" s="1"/>
  <c r="KM32" i="19"/>
  <c r="KS31" i="19"/>
  <c r="KR31" i="19"/>
  <c r="KP31" i="19"/>
  <c r="KO31" i="19"/>
  <c r="KN31" i="19"/>
  <c r="KT31" i="19" s="1"/>
  <c r="KM31" i="19"/>
  <c r="KS30" i="19"/>
  <c r="KR30" i="19"/>
  <c r="KP30" i="19"/>
  <c r="KO30" i="19"/>
  <c r="KN30" i="19"/>
  <c r="KM30" i="19"/>
  <c r="KS29" i="19"/>
  <c r="KT29" i="19" s="1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Q26" i="19" s="1"/>
  <c r="KM26" i="19"/>
  <c r="KS24" i="19"/>
  <c r="KT24" i="19" s="1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T22" i="19" s="1"/>
  <c r="KM22" i="19"/>
  <c r="KS25" i="19"/>
  <c r="KR25" i="19"/>
  <c r="KP25" i="19"/>
  <c r="KO25" i="19"/>
  <c r="KN25" i="19"/>
  <c r="KQ25" i="19" s="1"/>
  <c r="KM25" i="19"/>
  <c r="KS21" i="19"/>
  <c r="KR21" i="19"/>
  <c r="KP21" i="19"/>
  <c r="KO21" i="19"/>
  <c r="KN21" i="19"/>
  <c r="KM21" i="19"/>
  <c r="KS20" i="19"/>
  <c r="KT20" i="19" s="1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Q18" i="19" s="1"/>
  <c r="KM18" i="19"/>
  <c r="KS15" i="19"/>
  <c r="KR15" i="19"/>
  <c r="KP15" i="19"/>
  <c r="KO15" i="19"/>
  <c r="KN15" i="19"/>
  <c r="KQ15" i="19" s="1"/>
  <c r="KM15" i="19"/>
  <c r="KS14" i="19"/>
  <c r="KT14" i="19" s="1"/>
  <c r="KR14" i="19"/>
  <c r="KP14" i="19"/>
  <c r="KO14" i="19"/>
  <c r="KN14" i="19"/>
  <c r="KM14" i="19"/>
  <c r="KS13" i="19"/>
  <c r="KT13" i="19" s="1"/>
  <c r="KR13" i="19"/>
  <c r="KP13" i="19"/>
  <c r="KO13" i="19"/>
  <c r="KN13" i="19"/>
  <c r="KM13" i="19"/>
  <c r="KS16" i="19"/>
  <c r="KR16" i="19"/>
  <c r="KP16" i="19"/>
  <c r="KO16" i="19"/>
  <c r="KN16" i="19"/>
  <c r="KT16" i="19" s="1"/>
  <c r="KM16" i="19"/>
  <c r="KS12" i="19"/>
  <c r="KR12" i="19"/>
  <c r="KP12" i="19"/>
  <c r="KO12" i="19"/>
  <c r="KN12" i="19"/>
  <c r="KT12" i="19" s="1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17" i="19"/>
  <c r="KR17" i="19"/>
  <c r="KP17" i="19"/>
  <c r="KO17" i="19"/>
  <c r="KN17" i="19"/>
  <c r="KT17" i="19" s="1"/>
  <c r="KM17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M4" i="19"/>
  <c r="JQ35" i="19"/>
  <c r="JR35" i="19" s="1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R31" i="19" s="1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O29" i="19" s="1"/>
  <c r="JK29" i="19"/>
  <c r="JQ28" i="19"/>
  <c r="JP28" i="19"/>
  <c r="JN28" i="19"/>
  <c r="JM28" i="19"/>
  <c r="JL28" i="19"/>
  <c r="JO28" i="19" s="1"/>
  <c r="JK28" i="19"/>
  <c r="JQ27" i="19"/>
  <c r="JP27" i="19"/>
  <c r="JN27" i="19"/>
  <c r="JM27" i="19"/>
  <c r="JL27" i="19"/>
  <c r="JK27" i="19"/>
  <c r="JQ26" i="19"/>
  <c r="JR26" i="19" s="1"/>
  <c r="JP26" i="19"/>
  <c r="JN26" i="19"/>
  <c r="JM26" i="19"/>
  <c r="JL26" i="19"/>
  <c r="JK26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5" i="19"/>
  <c r="JP25" i="19"/>
  <c r="JN25" i="19"/>
  <c r="JM25" i="19"/>
  <c r="JL25" i="19"/>
  <c r="JK25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O19" i="19" s="1"/>
  <c r="JK19" i="19"/>
  <c r="JQ18" i="19"/>
  <c r="JP18" i="19"/>
  <c r="JN18" i="19"/>
  <c r="JM18" i="19"/>
  <c r="JL18" i="19"/>
  <c r="JK18" i="19"/>
  <c r="JQ15" i="19"/>
  <c r="JP15" i="19"/>
  <c r="JN15" i="19"/>
  <c r="JM15" i="19"/>
  <c r="JL15" i="19"/>
  <c r="JO15" i="19" s="1"/>
  <c r="JK15" i="19"/>
  <c r="JQ14" i="19"/>
  <c r="JP14" i="19"/>
  <c r="JN14" i="19"/>
  <c r="JM14" i="19"/>
  <c r="JL14" i="19"/>
  <c r="JR14" i="19" s="1"/>
  <c r="JK14" i="19"/>
  <c r="JQ13" i="19"/>
  <c r="JP13" i="19"/>
  <c r="JN13" i="19"/>
  <c r="JM13" i="19"/>
  <c r="JL13" i="19"/>
  <c r="JK13" i="19"/>
  <c r="JQ16" i="19"/>
  <c r="JP16" i="19"/>
  <c r="JN16" i="19"/>
  <c r="JM16" i="19"/>
  <c r="JL16" i="19"/>
  <c r="JO16" i="19" s="1"/>
  <c r="JK16" i="19"/>
  <c r="JQ12" i="19"/>
  <c r="JP12" i="19"/>
  <c r="JN12" i="19"/>
  <c r="JM12" i="19"/>
  <c r="JL12" i="19"/>
  <c r="JK12" i="19"/>
  <c r="JQ11" i="19"/>
  <c r="JP11" i="19"/>
  <c r="JN11" i="19"/>
  <c r="JM11" i="19"/>
  <c r="JL11" i="19"/>
  <c r="JR11" i="19" s="1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8" i="19"/>
  <c r="JP8" i="19"/>
  <c r="JN8" i="19"/>
  <c r="JM8" i="19"/>
  <c r="JL8" i="19"/>
  <c r="JR8" i="19" s="1"/>
  <c r="JK8" i="19"/>
  <c r="JQ7" i="19"/>
  <c r="JP7" i="19"/>
  <c r="JN7" i="19"/>
  <c r="JM7" i="19"/>
  <c r="JL7" i="19"/>
  <c r="JO7" i="19" s="1"/>
  <c r="JK7" i="19"/>
  <c r="JR6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5" i="19"/>
  <c r="IN25" i="19"/>
  <c r="IL25" i="19"/>
  <c r="IK25" i="19"/>
  <c r="IJ25" i="19"/>
  <c r="II25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6" i="19"/>
  <c r="IN16" i="19"/>
  <c r="IL16" i="19"/>
  <c r="IK16" i="19"/>
  <c r="IJ16" i="19"/>
  <c r="II16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5" i="19"/>
  <c r="HL25" i="19"/>
  <c r="HJ25" i="19"/>
  <c r="HI25" i="19"/>
  <c r="HH25" i="19"/>
  <c r="HG25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K18" i="19" s="1"/>
  <c r="HG18" i="19"/>
  <c r="HM15" i="19"/>
  <c r="HN15" i="19" s="1"/>
  <c r="HL15" i="19"/>
  <c r="HJ15" i="19"/>
  <c r="HI15" i="19"/>
  <c r="HH15" i="19"/>
  <c r="HG15" i="19"/>
  <c r="HM14" i="19"/>
  <c r="HN14" i="19" s="1"/>
  <c r="HL14" i="19"/>
  <c r="HJ14" i="19"/>
  <c r="HI14" i="19"/>
  <c r="HH14" i="19"/>
  <c r="HG14" i="19"/>
  <c r="HM13" i="19"/>
  <c r="HL13" i="19"/>
  <c r="HJ13" i="19"/>
  <c r="HI13" i="19"/>
  <c r="HH13" i="19"/>
  <c r="HK13" i="19" s="1"/>
  <c r="HG13" i="19"/>
  <c r="HM16" i="19"/>
  <c r="HL16" i="19"/>
  <c r="HJ16" i="19"/>
  <c r="HI16" i="19"/>
  <c r="HH16" i="19"/>
  <c r="HK16" i="19" s="1"/>
  <c r="HG16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K9" i="19" s="1"/>
  <c r="HG9" i="19"/>
  <c r="HN17" i="19"/>
  <c r="HM17" i="19"/>
  <c r="HL17" i="19"/>
  <c r="HJ17" i="19"/>
  <c r="HI17" i="19"/>
  <c r="HH17" i="19"/>
  <c r="HG17" i="19"/>
  <c r="HM8" i="19"/>
  <c r="HN8" i="19" s="1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K6" i="19" s="1"/>
  <c r="HG6" i="19"/>
  <c r="HM5" i="19"/>
  <c r="HL5" i="19"/>
  <c r="HJ5" i="19"/>
  <c r="HI5" i="19"/>
  <c r="HH5" i="19"/>
  <c r="HG5" i="19"/>
  <c r="HM4" i="19"/>
  <c r="HL4" i="19"/>
  <c r="HJ4" i="19"/>
  <c r="HI4" i="19"/>
  <c r="HH4" i="19"/>
  <c r="HK4" i="19" s="1"/>
  <c r="HG4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I31" i="19" s="1"/>
  <c r="GF31" i="19"/>
  <c r="GE31" i="19"/>
  <c r="GK30" i="19"/>
  <c r="GJ30" i="19"/>
  <c r="GH30" i="19"/>
  <c r="GG30" i="19"/>
  <c r="GF30" i="19"/>
  <c r="GI30" i="19" s="1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5" i="19"/>
  <c r="GJ25" i="19"/>
  <c r="GH25" i="19"/>
  <c r="GG25" i="19"/>
  <c r="GF25" i="19"/>
  <c r="GI25" i="19" s="1"/>
  <c r="GE25" i="19"/>
  <c r="GK21" i="19"/>
  <c r="GJ21" i="19"/>
  <c r="GH21" i="19"/>
  <c r="GG21" i="19"/>
  <c r="GF21" i="19"/>
  <c r="GI21" i="19" s="1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5" i="19"/>
  <c r="GJ15" i="19"/>
  <c r="GH15" i="19"/>
  <c r="GG15" i="19"/>
  <c r="GF15" i="19"/>
  <c r="GE15" i="19"/>
  <c r="GK14" i="19"/>
  <c r="GJ14" i="19"/>
  <c r="GH14" i="19"/>
  <c r="GG14" i="19"/>
  <c r="GI14" i="19" s="1"/>
  <c r="GF14" i="19"/>
  <c r="GE14" i="19"/>
  <c r="GK13" i="19"/>
  <c r="GJ13" i="19"/>
  <c r="GH13" i="19"/>
  <c r="GG13" i="19"/>
  <c r="GF13" i="19"/>
  <c r="GE13" i="19"/>
  <c r="GK16" i="19"/>
  <c r="GJ16" i="19"/>
  <c r="GH16" i="19"/>
  <c r="GG16" i="19"/>
  <c r="GI16" i="19" s="1"/>
  <c r="GF16" i="19"/>
  <c r="GE16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8" i="19"/>
  <c r="GJ8" i="19"/>
  <c r="GH8" i="19"/>
  <c r="GG8" i="19"/>
  <c r="GF8" i="19"/>
  <c r="GI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I5" i="19" s="1"/>
  <c r="GE5" i="19"/>
  <c r="GK4" i="19"/>
  <c r="GJ4" i="19"/>
  <c r="GH4" i="19"/>
  <c r="GG4" i="19"/>
  <c r="GF4" i="19"/>
  <c r="GE4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5" i="19"/>
  <c r="FH25" i="19"/>
  <c r="FF25" i="19"/>
  <c r="FE25" i="19"/>
  <c r="FD25" i="19"/>
  <c r="FC25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6" i="19"/>
  <c r="FH16" i="19"/>
  <c r="FF16" i="19"/>
  <c r="FE16" i="19"/>
  <c r="FD16" i="19"/>
  <c r="FC16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5" i="19"/>
  <c r="EF25" i="19"/>
  <c r="ED25" i="19"/>
  <c r="EC25" i="19"/>
  <c r="EB25" i="19"/>
  <c r="EA25" i="19"/>
  <c r="EG21" i="19"/>
  <c r="EF21" i="19"/>
  <c r="ED21" i="19"/>
  <c r="EC21" i="19"/>
  <c r="EB21" i="19"/>
  <c r="EA21" i="19"/>
  <c r="EG20" i="19"/>
  <c r="EF20" i="19"/>
  <c r="ED20" i="19"/>
  <c r="EC20" i="19"/>
  <c r="EB20" i="19"/>
  <c r="EH20" i="19" s="1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5" i="19"/>
  <c r="EF15" i="19"/>
  <c r="ED15" i="19"/>
  <c r="EC15" i="19"/>
  <c r="EB15" i="19"/>
  <c r="EA15" i="19"/>
  <c r="EG14" i="19"/>
  <c r="EF14" i="19"/>
  <c r="ED14" i="19"/>
  <c r="EC14" i="19"/>
  <c r="EB14" i="19"/>
  <c r="EH14" i="19" s="1"/>
  <c r="EA14" i="19"/>
  <c r="EG13" i="19"/>
  <c r="EF13" i="19"/>
  <c r="ED13" i="19"/>
  <c r="EC13" i="19"/>
  <c r="EB13" i="19"/>
  <c r="EA13" i="19"/>
  <c r="EG16" i="19"/>
  <c r="EF16" i="19"/>
  <c r="ED16" i="19"/>
  <c r="EC16" i="19"/>
  <c r="EB16" i="19"/>
  <c r="EA16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2" i="27"/>
  <c r="OZ22" i="27"/>
  <c r="OX22" i="27"/>
  <c r="OW22" i="27"/>
  <c r="OV22" i="27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OU15" i="27"/>
  <c r="PA14" i="27"/>
  <c r="OZ14" i="27"/>
  <c r="OX14" i="27"/>
  <c r="OW14" i="27"/>
  <c r="OV14" i="27"/>
  <c r="PB14" i="27" s="1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9" i="27"/>
  <c r="OZ19" i="27"/>
  <c r="OX19" i="27"/>
  <c r="OW19" i="27"/>
  <c r="OV19" i="27"/>
  <c r="OU19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PB8" i="27" s="1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22" i="27"/>
  <c r="NX22" i="27"/>
  <c r="NV22" i="27"/>
  <c r="NU22" i="27"/>
  <c r="NT22" i="27"/>
  <c r="NS22" i="27"/>
  <c r="NY21" i="27"/>
  <c r="NX21" i="27"/>
  <c r="NV21" i="27"/>
  <c r="NU21" i="27"/>
  <c r="NT21" i="27"/>
  <c r="NS21" i="27"/>
  <c r="NY20" i="27"/>
  <c r="NX20" i="27"/>
  <c r="NV20" i="27"/>
  <c r="NU20" i="27"/>
  <c r="NT20" i="27"/>
  <c r="NS20" i="27"/>
  <c r="NY18" i="27"/>
  <c r="NX18" i="27"/>
  <c r="NV18" i="27"/>
  <c r="NU18" i="27"/>
  <c r="NT18" i="27"/>
  <c r="NZ18" i="27" s="1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Z14" i="27" s="1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9" i="27"/>
  <c r="NX19" i="27"/>
  <c r="NV19" i="27"/>
  <c r="NU19" i="27"/>
  <c r="NT19" i="27"/>
  <c r="NS19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22" i="27"/>
  <c r="MV22" i="27"/>
  <c r="MT22" i="27"/>
  <c r="MS22" i="27"/>
  <c r="MR22" i="27"/>
  <c r="MQ22" i="27"/>
  <c r="MW21" i="27"/>
  <c r="MV21" i="27"/>
  <c r="MT21" i="27"/>
  <c r="MS21" i="27"/>
  <c r="MR21" i="27"/>
  <c r="MQ21" i="27"/>
  <c r="MW20" i="27"/>
  <c r="MV20" i="27"/>
  <c r="MT20" i="27"/>
  <c r="MS20" i="27"/>
  <c r="MR20" i="27"/>
  <c r="MQ20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9" i="27"/>
  <c r="MV19" i="27"/>
  <c r="MT19" i="27"/>
  <c r="MS19" i="27"/>
  <c r="MR19" i="27"/>
  <c r="MQ19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2" i="27"/>
  <c r="LT22" i="27"/>
  <c r="LR22" i="27"/>
  <c r="LQ22" i="27"/>
  <c r="LP22" i="27"/>
  <c r="LO22" i="27"/>
  <c r="LU21" i="27"/>
  <c r="LT21" i="27"/>
  <c r="LR21" i="27"/>
  <c r="LQ21" i="27"/>
  <c r="LP21" i="27"/>
  <c r="LO21" i="27"/>
  <c r="LU20" i="27"/>
  <c r="LT20" i="27"/>
  <c r="LR20" i="27"/>
  <c r="LQ20" i="27"/>
  <c r="LP20" i="27"/>
  <c r="LO20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V11" i="27" s="1"/>
  <c r="LO11" i="27"/>
  <c r="LU19" i="27"/>
  <c r="LT19" i="27"/>
  <c r="LR19" i="27"/>
  <c r="LQ19" i="27"/>
  <c r="LP19" i="27"/>
  <c r="LO19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V8" i="27" s="1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V4" i="27" s="1"/>
  <c r="LO4" i="27"/>
  <c r="KS22" i="27"/>
  <c r="KR22" i="27"/>
  <c r="KP22" i="27"/>
  <c r="KO22" i="27"/>
  <c r="KN22" i="27"/>
  <c r="KM22" i="27"/>
  <c r="KS21" i="27"/>
  <c r="KR21" i="27"/>
  <c r="KP21" i="27"/>
  <c r="KO21" i="27"/>
  <c r="KN21" i="27"/>
  <c r="KM21" i="27"/>
  <c r="KS20" i="27"/>
  <c r="KR20" i="27"/>
  <c r="KP20" i="27"/>
  <c r="KO20" i="27"/>
  <c r="KN20" i="27"/>
  <c r="KM20" i="27"/>
  <c r="KS18" i="27"/>
  <c r="KR18" i="27"/>
  <c r="KP18" i="27"/>
  <c r="KO18" i="27"/>
  <c r="KN18" i="27"/>
  <c r="KT18" i="27" s="1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T14" i="27" s="1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T11" i="27" s="1"/>
  <c r="KM11" i="27"/>
  <c r="KS19" i="27"/>
  <c r="KR19" i="27"/>
  <c r="KP19" i="27"/>
  <c r="KO19" i="27"/>
  <c r="KN19" i="27"/>
  <c r="KM19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T8" i="27" s="1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22" i="27"/>
  <c r="JP22" i="27"/>
  <c r="JN22" i="27"/>
  <c r="JM22" i="27"/>
  <c r="JL22" i="27"/>
  <c r="JK22" i="27"/>
  <c r="JQ21" i="27"/>
  <c r="JP21" i="27"/>
  <c r="JN21" i="27"/>
  <c r="JM21" i="27"/>
  <c r="JL21" i="27"/>
  <c r="JK21" i="27"/>
  <c r="JQ20" i="27"/>
  <c r="JP20" i="27"/>
  <c r="JN20" i="27"/>
  <c r="JM20" i="27"/>
  <c r="JL20" i="27"/>
  <c r="JK20" i="27"/>
  <c r="JQ18" i="27"/>
  <c r="JP18" i="27"/>
  <c r="JN18" i="27"/>
  <c r="JM18" i="27"/>
  <c r="JL18" i="27"/>
  <c r="JR18" i="27" s="1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R14" i="27" s="1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9" i="27"/>
  <c r="JP19" i="27"/>
  <c r="JN19" i="27"/>
  <c r="JM19" i="27"/>
  <c r="JL19" i="27"/>
  <c r="JK19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2" i="27"/>
  <c r="IN22" i="27"/>
  <c r="IL22" i="27"/>
  <c r="IK22" i="27"/>
  <c r="IJ22" i="27"/>
  <c r="II22" i="27"/>
  <c r="IO21" i="27"/>
  <c r="IN21" i="27"/>
  <c r="IL21" i="27"/>
  <c r="IK21" i="27"/>
  <c r="IJ21" i="27"/>
  <c r="II21" i="27"/>
  <c r="IO20" i="27"/>
  <c r="IN20" i="27"/>
  <c r="IL20" i="27"/>
  <c r="IK20" i="27"/>
  <c r="IJ20" i="27"/>
  <c r="II20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9" i="27"/>
  <c r="IN19" i="27"/>
  <c r="IL19" i="27"/>
  <c r="IK19" i="27"/>
  <c r="IJ19" i="27"/>
  <c r="II19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2" i="27"/>
  <c r="HL22" i="27"/>
  <c r="HJ22" i="27"/>
  <c r="HI22" i="27"/>
  <c r="HH22" i="27"/>
  <c r="HG22" i="27"/>
  <c r="HM21" i="27"/>
  <c r="HL21" i="27"/>
  <c r="HJ21" i="27"/>
  <c r="HI21" i="27"/>
  <c r="HH21" i="27"/>
  <c r="HG21" i="27"/>
  <c r="HM20" i="27"/>
  <c r="HL20" i="27"/>
  <c r="HJ20" i="27"/>
  <c r="HI20" i="27"/>
  <c r="HH20" i="27"/>
  <c r="HG20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N11" i="27" s="1"/>
  <c r="HG11" i="27"/>
  <c r="HM19" i="27"/>
  <c r="HL19" i="27"/>
  <c r="HJ19" i="27"/>
  <c r="HI19" i="27"/>
  <c r="HH19" i="27"/>
  <c r="HG19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N8" i="27" s="1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N4" i="27" s="1"/>
  <c r="HG4" i="27"/>
  <c r="GK22" i="27"/>
  <c r="GJ22" i="27"/>
  <c r="GH22" i="27"/>
  <c r="GG22" i="27"/>
  <c r="GF22" i="27"/>
  <c r="GE22" i="27"/>
  <c r="GK21" i="27"/>
  <c r="GJ21" i="27"/>
  <c r="GH21" i="27"/>
  <c r="GG21" i="27"/>
  <c r="GF21" i="27"/>
  <c r="GE21" i="27"/>
  <c r="GK20" i="27"/>
  <c r="GJ20" i="27"/>
  <c r="GH20" i="27"/>
  <c r="GG20" i="27"/>
  <c r="GF20" i="27"/>
  <c r="GE20" i="27"/>
  <c r="GK18" i="27"/>
  <c r="GJ18" i="27"/>
  <c r="GH18" i="27"/>
  <c r="GG18" i="27"/>
  <c r="GF18" i="27"/>
  <c r="GL18" i="27" s="1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L14" i="27" s="1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L11" i="27" s="1"/>
  <c r="GE11" i="27"/>
  <c r="GK19" i="27"/>
  <c r="GJ19" i="27"/>
  <c r="GH19" i="27"/>
  <c r="GG19" i="27"/>
  <c r="GF19" i="27"/>
  <c r="GE19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L8" i="27" s="1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8" i="27"/>
  <c r="FH18" i="27"/>
  <c r="FF18" i="27"/>
  <c r="FE18" i="27"/>
  <c r="FD18" i="27"/>
  <c r="FJ18" i="27" s="1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J14" i="27" s="1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9" i="27"/>
  <c r="FH19" i="27"/>
  <c r="FF19" i="27"/>
  <c r="FE19" i="27"/>
  <c r="FD19" i="27"/>
  <c r="FC19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9" i="27"/>
  <c r="EF19" i="27"/>
  <c r="ED19" i="27"/>
  <c r="EC19" i="27"/>
  <c r="EB19" i="27"/>
  <c r="EA19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PB15" i="26" s="1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Z13" i="26" s="1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X15" i="26" s="1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V17" i="26" s="1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V9" i="26" s="1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V5" i="26" s="1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T15" i="26" s="1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7" i="26"/>
  <c r="JP17" i="26"/>
  <c r="JN17" i="26"/>
  <c r="JM17" i="26"/>
  <c r="JL17" i="26"/>
  <c r="JR17" i="26" s="1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R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R9" i="26" s="1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P15" i="26" s="1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P8" i="26"/>
  <c r="IO8" i="26"/>
  <c r="IN8" i="26"/>
  <c r="IL8" i="26"/>
  <c r="IK8" i="26"/>
  <c r="IJ8" i="26"/>
  <c r="II8" i="26"/>
  <c r="IO7" i="26"/>
  <c r="IN7" i="26"/>
  <c r="IL7" i="26"/>
  <c r="IK7" i="26"/>
  <c r="IJ7" i="26"/>
  <c r="IP7" i="26" s="1"/>
  <c r="II7" i="26"/>
  <c r="IO6" i="26"/>
  <c r="IN6" i="26"/>
  <c r="IL6" i="26"/>
  <c r="IK6" i="26"/>
  <c r="IJ6" i="26"/>
  <c r="IM6" i="26" s="1"/>
  <c r="II6" i="26"/>
  <c r="IO5" i="26"/>
  <c r="IN5" i="26"/>
  <c r="IL5" i="26"/>
  <c r="IK5" i="26"/>
  <c r="IJ5" i="26"/>
  <c r="IM5" i="26" s="1"/>
  <c r="II5" i="26"/>
  <c r="IO4" i="26"/>
  <c r="IP4" i="26" s="1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L17" i="26" s="1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L13" i="26" s="1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J15" i="26" s="1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H17" i="26" s="1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H13" i="26" s="1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H9" i="26" s="1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RJ30" i="22"/>
  <c r="RI30" i="22"/>
  <c r="RH30" i="22"/>
  <c r="RG30" i="22"/>
  <c r="RF30" i="22"/>
  <c r="RE30" i="22"/>
  <c r="RC30" i="22"/>
  <c r="RB30" i="22"/>
  <c r="RA30" i="22"/>
  <c r="QZ30" i="22"/>
  <c r="RD30" i="22" s="1"/>
  <c r="QY30" i="22"/>
  <c r="QX30" i="22"/>
  <c r="RJ31" i="22"/>
  <c r="RI31" i="22"/>
  <c r="RH31" i="22"/>
  <c r="RG31" i="22"/>
  <c r="RF31" i="22"/>
  <c r="RE31" i="22"/>
  <c r="RC31" i="22"/>
  <c r="RD31" i="22" s="1"/>
  <c r="RK31" i="22" s="1"/>
  <c r="RB31" i="22"/>
  <c r="RA31" i="22"/>
  <c r="QZ31" i="22"/>
  <c r="QY31" i="22"/>
  <c r="QX3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26" i="22"/>
  <c r="RI26" i="22"/>
  <c r="RH26" i="22"/>
  <c r="RG26" i="22"/>
  <c r="RF26" i="22"/>
  <c r="RE26" i="22"/>
  <c r="RC26" i="22"/>
  <c r="RB26" i="22"/>
  <c r="RA26" i="22"/>
  <c r="QZ26" i="22"/>
  <c r="QY26" i="22"/>
  <c r="QX26" i="22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25" i="22"/>
  <c r="RI25" i="22"/>
  <c r="RH25" i="22"/>
  <c r="RG25" i="22"/>
  <c r="RF25" i="22"/>
  <c r="RE25" i="22"/>
  <c r="RC25" i="22"/>
  <c r="RB25" i="22"/>
  <c r="RA25" i="22"/>
  <c r="QZ25" i="22"/>
  <c r="RD25" i="22" s="1"/>
  <c r="RK25" i="22" s="1"/>
  <c r="QY25" i="22"/>
  <c r="QX25" i="22"/>
  <c r="RJ21" i="22"/>
  <c r="RI21" i="22"/>
  <c r="RH21" i="22"/>
  <c r="RG21" i="22"/>
  <c r="RF21" i="22"/>
  <c r="RE21" i="22"/>
  <c r="RC21" i="22"/>
  <c r="RB21" i="22"/>
  <c r="RA21" i="22"/>
  <c r="QZ21" i="22"/>
  <c r="RD21" i="22" s="1"/>
  <c r="RK21" i="22" s="1"/>
  <c r="QY21" i="22"/>
  <c r="QX21" i="22"/>
  <c r="RJ20" i="22"/>
  <c r="RI20" i="22"/>
  <c r="RH20" i="22"/>
  <c r="RG20" i="22"/>
  <c r="RF20" i="22"/>
  <c r="RE20" i="22"/>
  <c r="RC20" i="22"/>
  <c r="RB20" i="22"/>
  <c r="RA20" i="22"/>
  <c r="QZ20" i="22"/>
  <c r="RD20" i="22" s="1"/>
  <c r="RK20" i="22" s="1"/>
  <c r="QY20" i="22"/>
  <c r="QX20" i="22"/>
  <c r="RJ19" i="22"/>
  <c r="RI19" i="22"/>
  <c r="RH19" i="22"/>
  <c r="RG19" i="22"/>
  <c r="RF19" i="22"/>
  <c r="RE19" i="22"/>
  <c r="RC19" i="22"/>
  <c r="RB19" i="22"/>
  <c r="RA19" i="22"/>
  <c r="QZ19" i="22"/>
  <c r="RD19" i="22" s="1"/>
  <c r="RK19" i="22" s="1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RD18" i="22" s="1"/>
  <c r="RK18" i="22" s="1"/>
  <c r="QY18" i="22"/>
  <c r="QX18" i="22"/>
  <c r="RJ16" i="22"/>
  <c r="RI16" i="22"/>
  <c r="RH16" i="22"/>
  <c r="RG16" i="22"/>
  <c r="RF16" i="22"/>
  <c r="RE16" i="22"/>
  <c r="RC16" i="22"/>
  <c r="RB16" i="22"/>
  <c r="RA16" i="22"/>
  <c r="QZ16" i="22"/>
  <c r="RD16" i="22" s="1"/>
  <c r="QY16" i="22"/>
  <c r="QX16" i="22"/>
  <c r="RJ15" i="22"/>
  <c r="RI15" i="22"/>
  <c r="RH15" i="22"/>
  <c r="RG15" i="22"/>
  <c r="RF15" i="22"/>
  <c r="RE15" i="22"/>
  <c r="RC15" i="22"/>
  <c r="RB15" i="22"/>
  <c r="RA15" i="22"/>
  <c r="QZ15" i="22"/>
  <c r="RD15" i="22" s="1"/>
  <c r="RK15" i="22" s="1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RD14" i="22" s="1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RD13" i="22" s="1"/>
  <c r="RK13" i="22" s="1"/>
  <c r="QY13" i="22"/>
  <c r="QX13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2" i="22"/>
  <c r="RI22" i="22"/>
  <c r="RH22" i="22"/>
  <c r="RG22" i="22"/>
  <c r="RF22" i="22"/>
  <c r="RE22" i="22"/>
  <c r="RC22" i="22"/>
  <c r="RB22" i="22"/>
  <c r="RA22" i="22"/>
  <c r="QZ22" i="22"/>
  <c r="RD22" i="22" s="1"/>
  <c r="RK22" i="22" s="1"/>
  <c r="QY22" i="22"/>
  <c r="QX22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9" i="22"/>
  <c r="RI9" i="22"/>
  <c r="RH9" i="22"/>
  <c r="RG9" i="22"/>
  <c r="RF9" i="22"/>
  <c r="RE9" i="22"/>
  <c r="RC9" i="22"/>
  <c r="RB9" i="22"/>
  <c r="RA9" i="22"/>
  <c r="QZ9" i="22"/>
  <c r="RD9" i="22" s="1"/>
  <c r="RK9" i="22" s="1"/>
  <c r="QY9" i="22"/>
  <c r="QX9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RD7" i="22" s="1"/>
  <c r="RK7" i="22" s="1"/>
  <c r="QY7" i="22"/>
  <c r="QX7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5" i="22"/>
  <c r="RI5" i="22"/>
  <c r="RH5" i="22"/>
  <c r="RG5" i="22"/>
  <c r="RF5" i="22"/>
  <c r="RE5" i="22"/>
  <c r="RC5" i="22"/>
  <c r="RB5" i="22"/>
  <c r="RA5" i="22"/>
  <c r="QZ5" i="22"/>
  <c r="RD5" i="22" s="1"/>
  <c r="RK5" i="22" s="1"/>
  <c r="QY5" i="22"/>
  <c r="QX5" i="22"/>
  <c r="RJ4" i="22"/>
  <c r="RI4" i="22"/>
  <c r="RH4" i="22"/>
  <c r="RG4" i="22"/>
  <c r="RF4" i="22"/>
  <c r="RE4" i="22"/>
  <c r="RC4" i="22"/>
  <c r="RB4" i="22"/>
  <c r="RA4" i="22"/>
  <c r="QZ4" i="22"/>
  <c r="RD4" i="22" s="1"/>
  <c r="RK4" i="22" s="1"/>
  <c r="QY4" i="22"/>
  <c r="QX4" i="22"/>
  <c r="QB30" i="22"/>
  <c r="QA30" i="22"/>
  <c r="PZ30" i="22"/>
  <c r="PY30" i="22"/>
  <c r="PX30" i="22"/>
  <c r="PW30" i="22"/>
  <c r="PU30" i="22"/>
  <c r="PT30" i="22"/>
  <c r="PS30" i="22"/>
  <c r="PR30" i="22"/>
  <c r="PV30" i="22" s="1"/>
  <c r="QC30" i="22" s="1"/>
  <c r="PQ30" i="22"/>
  <c r="PP30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29" i="22"/>
  <c r="QA29" i="22"/>
  <c r="PZ29" i="22"/>
  <c r="PY29" i="22"/>
  <c r="PX29" i="22"/>
  <c r="PW29" i="22"/>
  <c r="PU29" i="22"/>
  <c r="PT29" i="22"/>
  <c r="PS29" i="22"/>
  <c r="PR29" i="22"/>
  <c r="PV29" i="22" s="1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V28" i="22" s="1"/>
  <c r="QC28" i="22" s="1"/>
  <c r="PQ28" i="22"/>
  <c r="PP28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26" i="22"/>
  <c r="QA26" i="22"/>
  <c r="PZ26" i="22"/>
  <c r="PY26" i="22"/>
  <c r="PX26" i="22"/>
  <c r="PW26" i="22"/>
  <c r="PU26" i="22"/>
  <c r="PT26" i="22"/>
  <c r="PS26" i="22"/>
  <c r="PR26" i="22"/>
  <c r="PQ26" i="22"/>
  <c r="PP26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25" i="22"/>
  <c r="QA25" i="22"/>
  <c r="PZ25" i="22"/>
  <c r="PY25" i="22"/>
  <c r="PX25" i="22"/>
  <c r="PW25" i="22"/>
  <c r="PU25" i="22"/>
  <c r="PT25" i="22"/>
  <c r="PS25" i="22"/>
  <c r="PR25" i="22"/>
  <c r="PQ25" i="22"/>
  <c r="PP25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20" i="22"/>
  <c r="QA20" i="22"/>
  <c r="PZ20" i="22"/>
  <c r="PY20" i="22"/>
  <c r="PX20" i="22"/>
  <c r="PW20" i="22"/>
  <c r="PU20" i="22"/>
  <c r="PT20" i="22"/>
  <c r="PS20" i="22"/>
  <c r="PR20" i="22"/>
  <c r="PQ20" i="22"/>
  <c r="PP20" i="22"/>
  <c r="QB19" i="22"/>
  <c r="QA19" i="22"/>
  <c r="PZ19" i="22"/>
  <c r="PY19" i="22"/>
  <c r="PX19" i="22"/>
  <c r="PW19" i="22"/>
  <c r="PU19" i="22"/>
  <c r="PT19" i="22"/>
  <c r="PS19" i="22"/>
  <c r="PR19" i="22"/>
  <c r="PV19" i="22" s="1"/>
  <c r="QC19" i="22" s="1"/>
  <c r="PQ19" i="22"/>
  <c r="PP19" i="22"/>
  <c r="QB18" i="22"/>
  <c r="QA18" i="22"/>
  <c r="PZ18" i="22"/>
  <c r="PY18" i="22"/>
  <c r="PX18" i="22"/>
  <c r="PW18" i="22"/>
  <c r="PU18" i="22"/>
  <c r="PV18" i="22" s="1"/>
  <c r="QC18" i="22" s="1"/>
  <c r="PT18" i="22"/>
  <c r="PS18" i="22"/>
  <c r="PR18" i="22"/>
  <c r="PQ18" i="22"/>
  <c r="PP1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V14" i="22" s="1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0" i="22"/>
  <c r="QA10" i="22"/>
  <c r="PZ10" i="22"/>
  <c r="PY10" i="22"/>
  <c r="PX10" i="22"/>
  <c r="PW10" i="22"/>
  <c r="PU10" i="22"/>
  <c r="PT10" i="22"/>
  <c r="PS10" i="22"/>
  <c r="PR10" i="22"/>
  <c r="PV10" i="22" s="1"/>
  <c r="PQ10" i="22"/>
  <c r="PP10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9" i="22"/>
  <c r="QA9" i="22"/>
  <c r="PZ9" i="22"/>
  <c r="PY9" i="22"/>
  <c r="PX9" i="22"/>
  <c r="PW9" i="22"/>
  <c r="PU9" i="22"/>
  <c r="PT9" i="22"/>
  <c r="PS9" i="22"/>
  <c r="PR9" i="22"/>
  <c r="PQ9" i="22"/>
  <c r="PP9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6" i="22"/>
  <c r="QA6" i="22"/>
  <c r="PZ6" i="22"/>
  <c r="PY6" i="22"/>
  <c r="PX6" i="22"/>
  <c r="PW6" i="22"/>
  <c r="PU6" i="22"/>
  <c r="PV6" i="22" s="1"/>
  <c r="QC6" i="22" s="1"/>
  <c r="PT6" i="22"/>
  <c r="PS6" i="22"/>
  <c r="PR6" i="22"/>
  <c r="PQ6" i="22"/>
  <c r="PP6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30" i="22"/>
  <c r="OS30" i="22"/>
  <c r="OR30" i="22"/>
  <c r="OQ30" i="22"/>
  <c r="OP30" i="22"/>
  <c r="OO30" i="22"/>
  <c r="OM30" i="22"/>
  <c r="OL30" i="22"/>
  <c r="OK30" i="22"/>
  <c r="OJ30" i="22"/>
  <c r="OI30" i="22"/>
  <c r="OH30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26" i="22"/>
  <c r="OS26" i="22"/>
  <c r="OR26" i="22"/>
  <c r="OQ26" i="22"/>
  <c r="OP26" i="22"/>
  <c r="OO26" i="22"/>
  <c r="OM26" i="22"/>
  <c r="OL26" i="22"/>
  <c r="OK26" i="22"/>
  <c r="OJ26" i="22"/>
  <c r="OI26" i="22"/>
  <c r="OH26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25" i="22"/>
  <c r="OS25" i="22"/>
  <c r="OR25" i="22"/>
  <c r="OQ25" i="22"/>
  <c r="OP25" i="22"/>
  <c r="OO25" i="22"/>
  <c r="OM25" i="22"/>
  <c r="ON25" i="22" s="1"/>
  <c r="OU25" i="22" s="1"/>
  <c r="OL25" i="22"/>
  <c r="OK25" i="22"/>
  <c r="OJ25" i="22"/>
  <c r="OI25" i="22"/>
  <c r="OH25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20" i="22"/>
  <c r="OS20" i="22"/>
  <c r="OR20" i="22"/>
  <c r="OQ20" i="22"/>
  <c r="OP20" i="22"/>
  <c r="OO20" i="22"/>
  <c r="OM20" i="22"/>
  <c r="OL20" i="22"/>
  <c r="OK20" i="22"/>
  <c r="OJ20" i="22"/>
  <c r="OI20" i="22"/>
  <c r="OH20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N18" i="22" s="1"/>
  <c r="OU18" i="22" s="1"/>
  <c r="OL18" i="22"/>
  <c r="OK18" i="22"/>
  <c r="OJ18" i="22"/>
  <c r="OI18" i="22"/>
  <c r="OH1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N13" i="22"/>
  <c r="OU13" i="22" s="1"/>
  <c r="OM13" i="22"/>
  <c r="OL13" i="22"/>
  <c r="OK13" i="22"/>
  <c r="OJ13" i="22"/>
  <c r="OI13" i="22"/>
  <c r="OH13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12" i="22"/>
  <c r="OS12" i="22"/>
  <c r="OR12" i="22"/>
  <c r="OQ12" i="22"/>
  <c r="OP12" i="22"/>
  <c r="OO12" i="22"/>
  <c r="OM12" i="22"/>
  <c r="OL12" i="22"/>
  <c r="OK12" i="22"/>
  <c r="OJ12" i="22"/>
  <c r="ON12" i="22" s="1"/>
  <c r="OU12" i="22" s="1"/>
  <c r="OI12" i="22"/>
  <c r="OH12" i="22"/>
  <c r="OT10" i="22"/>
  <c r="OS10" i="22"/>
  <c r="OR10" i="22"/>
  <c r="OQ10" i="22"/>
  <c r="OP10" i="22"/>
  <c r="OO10" i="22"/>
  <c r="OM10" i="22"/>
  <c r="OL10" i="22"/>
  <c r="OK10" i="22"/>
  <c r="OJ10" i="22"/>
  <c r="ON10" i="22" s="1"/>
  <c r="OU10" i="22" s="1"/>
  <c r="OI10" i="22"/>
  <c r="OH10" i="22"/>
  <c r="OT22" i="22"/>
  <c r="OS22" i="22"/>
  <c r="OR22" i="22"/>
  <c r="OQ22" i="22"/>
  <c r="OP22" i="22"/>
  <c r="OO22" i="22"/>
  <c r="OM22" i="22"/>
  <c r="OL22" i="22"/>
  <c r="OK22" i="22"/>
  <c r="OJ22" i="22"/>
  <c r="ON22" i="22" s="1"/>
  <c r="OU22" i="22" s="1"/>
  <c r="OI22" i="22"/>
  <c r="OH22" i="22"/>
  <c r="OT11" i="22"/>
  <c r="OS11" i="22"/>
  <c r="OR11" i="22"/>
  <c r="OQ11" i="22"/>
  <c r="OP11" i="22"/>
  <c r="OO11" i="22"/>
  <c r="OM11" i="22"/>
  <c r="OL11" i="22"/>
  <c r="OK11" i="22"/>
  <c r="OJ11" i="22"/>
  <c r="ON11" i="22" s="1"/>
  <c r="OI11" i="22"/>
  <c r="OH11" i="22"/>
  <c r="OT9" i="22"/>
  <c r="OS9" i="22"/>
  <c r="OR9" i="22"/>
  <c r="OQ9" i="22"/>
  <c r="OP9" i="22"/>
  <c r="OO9" i="22"/>
  <c r="OM9" i="22"/>
  <c r="OL9" i="22"/>
  <c r="OK9" i="22"/>
  <c r="OJ9" i="22"/>
  <c r="ON9" i="22" s="1"/>
  <c r="OI9" i="22"/>
  <c r="OH9" i="22"/>
  <c r="OT8" i="22"/>
  <c r="OS8" i="22"/>
  <c r="OR8" i="22"/>
  <c r="OQ8" i="22"/>
  <c r="OP8" i="22"/>
  <c r="OO8" i="22"/>
  <c r="OM8" i="22"/>
  <c r="OL8" i="22"/>
  <c r="OK8" i="22"/>
  <c r="OJ8" i="22"/>
  <c r="ON8" i="22" s="1"/>
  <c r="OI8" i="22"/>
  <c r="OH8" i="22"/>
  <c r="OT7" i="22"/>
  <c r="OS7" i="22"/>
  <c r="OR7" i="22"/>
  <c r="OQ7" i="22"/>
  <c r="OP7" i="22"/>
  <c r="OO7" i="22"/>
  <c r="OM7" i="22"/>
  <c r="OL7" i="22"/>
  <c r="OK7" i="22"/>
  <c r="OJ7" i="22"/>
  <c r="ON7" i="22" s="1"/>
  <c r="OU7" i="22" s="1"/>
  <c r="OI7" i="22"/>
  <c r="OH7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5" i="22"/>
  <c r="OS5" i="22"/>
  <c r="OR5" i="22"/>
  <c r="OQ5" i="22"/>
  <c r="OP5" i="22"/>
  <c r="OO5" i="22"/>
  <c r="OM5" i="22"/>
  <c r="OL5" i="22"/>
  <c r="OK5" i="22"/>
  <c r="OJ5" i="22"/>
  <c r="ON5" i="22" s="1"/>
  <c r="OU5" i="22" s="1"/>
  <c r="OI5" i="22"/>
  <c r="OH5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30" i="22"/>
  <c r="NK30" i="22"/>
  <c r="NJ30" i="22"/>
  <c r="NI30" i="22"/>
  <c r="NH30" i="22"/>
  <c r="NG30" i="22"/>
  <c r="NE30" i="22"/>
  <c r="ND30" i="22"/>
  <c r="NC30" i="22"/>
  <c r="NB30" i="22"/>
  <c r="NF30" i="22" s="1"/>
  <c r="NM30" i="22" s="1"/>
  <c r="NA30" i="22"/>
  <c r="MZ30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29" i="22"/>
  <c r="NK29" i="22"/>
  <c r="NJ29" i="22"/>
  <c r="NI29" i="22"/>
  <c r="NH29" i="22"/>
  <c r="NG29" i="22"/>
  <c r="NE29" i="22"/>
  <c r="ND29" i="22"/>
  <c r="NC29" i="22"/>
  <c r="NB29" i="22"/>
  <c r="NF29" i="22" s="1"/>
  <c r="NM29" i="22" s="1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27" i="22"/>
  <c r="NK27" i="22"/>
  <c r="NJ27" i="22"/>
  <c r="NI27" i="22"/>
  <c r="NH27" i="22"/>
  <c r="NG27" i="22"/>
  <c r="NE27" i="22"/>
  <c r="ND27" i="22"/>
  <c r="NC27" i="22"/>
  <c r="NB27" i="22"/>
  <c r="NF27" i="22" s="1"/>
  <c r="NM27" i="22" s="1"/>
  <c r="NA27" i="22"/>
  <c r="MZ27" i="22"/>
  <c r="NL26" i="22"/>
  <c r="NK26" i="22"/>
  <c r="NJ26" i="22"/>
  <c r="NI26" i="22"/>
  <c r="NH26" i="22"/>
  <c r="NG26" i="22"/>
  <c r="NE26" i="22"/>
  <c r="ND26" i="22"/>
  <c r="NC26" i="22"/>
  <c r="NB26" i="22"/>
  <c r="NF26" i="22" s="1"/>
  <c r="NM26" i="22" s="1"/>
  <c r="NA26" i="22"/>
  <c r="MZ26" i="22"/>
  <c r="NL24" i="22"/>
  <c r="NK24" i="22"/>
  <c r="NJ24" i="22"/>
  <c r="NI24" i="22"/>
  <c r="NH24" i="22"/>
  <c r="NG24" i="22"/>
  <c r="NE24" i="22"/>
  <c r="ND24" i="22"/>
  <c r="NC24" i="22"/>
  <c r="NB24" i="22"/>
  <c r="NF24" i="22" s="1"/>
  <c r="NA24" i="22"/>
  <c r="MZ24" i="22"/>
  <c r="NL23" i="22"/>
  <c r="NK23" i="22"/>
  <c r="NJ23" i="22"/>
  <c r="NI23" i="22"/>
  <c r="NH23" i="22"/>
  <c r="NG23" i="22"/>
  <c r="NE23" i="22"/>
  <c r="ND23" i="22"/>
  <c r="NC23" i="22"/>
  <c r="NB23" i="22"/>
  <c r="NF23" i="22" s="1"/>
  <c r="NM23" i="22" s="1"/>
  <c r="NA23" i="22"/>
  <c r="MZ23" i="22"/>
  <c r="NL25" i="22"/>
  <c r="NK25" i="22"/>
  <c r="NJ25" i="22"/>
  <c r="NI25" i="22"/>
  <c r="NH25" i="22"/>
  <c r="NG25" i="22"/>
  <c r="NE25" i="22"/>
  <c r="ND25" i="22"/>
  <c r="NC25" i="22"/>
  <c r="NB25" i="22"/>
  <c r="NF25" i="22" s="1"/>
  <c r="NM25" i="22" s="1"/>
  <c r="NA25" i="22"/>
  <c r="MZ25" i="22"/>
  <c r="NL21" i="22"/>
  <c r="NK21" i="22"/>
  <c r="NJ21" i="22"/>
  <c r="NI21" i="22"/>
  <c r="NH21" i="22"/>
  <c r="NG21" i="22"/>
  <c r="NE21" i="22"/>
  <c r="ND21" i="22"/>
  <c r="NC21" i="22"/>
  <c r="NB21" i="22"/>
  <c r="NF21" i="22" s="1"/>
  <c r="NM21" i="22" s="1"/>
  <c r="NA21" i="22"/>
  <c r="MZ21" i="22"/>
  <c r="NL20" i="22"/>
  <c r="NK20" i="22"/>
  <c r="NJ20" i="22"/>
  <c r="NI20" i="22"/>
  <c r="NH20" i="22"/>
  <c r="NG20" i="22"/>
  <c r="NE20" i="22"/>
  <c r="ND20" i="22"/>
  <c r="NC20" i="22"/>
  <c r="NB20" i="22"/>
  <c r="NA20" i="22"/>
  <c r="MZ20" i="22"/>
  <c r="NL19" i="22"/>
  <c r="NK19" i="22"/>
  <c r="NJ19" i="22"/>
  <c r="NI19" i="22"/>
  <c r="NH19" i="22"/>
  <c r="NG19" i="22"/>
  <c r="NE19" i="22"/>
  <c r="ND19" i="22"/>
  <c r="NC19" i="22"/>
  <c r="NB19" i="22"/>
  <c r="NF19" i="22" s="1"/>
  <c r="NM19" i="22" s="1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F18" i="22" s="1"/>
  <c r="NM18" i="22" s="1"/>
  <c r="NA18" i="22"/>
  <c r="MZ18" i="22"/>
  <c r="NL16" i="22"/>
  <c r="NK16" i="22"/>
  <c r="NJ16" i="22"/>
  <c r="NI16" i="22"/>
  <c r="NH16" i="22"/>
  <c r="NG16" i="22"/>
  <c r="NE16" i="22"/>
  <c r="ND16" i="22"/>
  <c r="NC16" i="22"/>
  <c r="NB16" i="22"/>
  <c r="NF16" i="22" s="1"/>
  <c r="NA16" i="22"/>
  <c r="MZ16" i="22"/>
  <c r="NL15" i="22"/>
  <c r="NK15" i="22"/>
  <c r="NJ15" i="22"/>
  <c r="NI15" i="22"/>
  <c r="NH15" i="22"/>
  <c r="NG15" i="22"/>
  <c r="NE15" i="22"/>
  <c r="ND15" i="22"/>
  <c r="NC15" i="22"/>
  <c r="NB15" i="22"/>
  <c r="NF15" i="22" s="1"/>
  <c r="NM15" i="22" s="1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F14" i="22" s="1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F13" i="22" s="1"/>
  <c r="NM13" i="22" s="1"/>
  <c r="NA13" i="22"/>
  <c r="MZ13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12" i="22"/>
  <c r="NK12" i="22"/>
  <c r="NJ12" i="22"/>
  <c r="NI12" i="22"/>
  <c r="NH12" i="22"/>
  <c r="NG12" i="22"/>
  <c r="NE12" i="22"/>
  <c r="ND12" i="22"/>
  <c r="NC12" i="22"/>
  <c r="NB12" i="22"/>
  <c r="NF12" i="22" s="1"/>
  <c r="NM12" i="22" s="1"/>
  <c r="NA12" i="22"/>
  <c r="MZ12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2" i="22"/>
  <c r="NK22" i="22"/>
  <c r="NJ22" i="22"/>
  <c r="NI22" i="22"/>
  <c r="NH22" i="22"/>
  <c r="NG22" i="22"/>
  <c r="NE22" i="22"/>
  <c r="ND22" i="22"/>
  <c r="NC22" i="22"/>
  <c r="NB22" i="22"/>
  <c r="NF22" i="22" s="1"/>
  <c r="NM22" i="22" s="1"/>
  <c r="NA22" i="22"/>
  <c r="MZ22" i="22"/>
  <c r="NL11" i="22"/>
  <c r="NK11" i="22"/>
  <c r="NJ11" i="22"/>
  <c r="NI11" i="22"/>
  <c r="NH11" i="22"/>
  <c r="NG11" i="22"/>
  <c r="NE11" i="22"/>
  <c r="ND11" i="22"/>
  <c r="NC11" i="22"/>
  <c r="NB11" i="22"/>
  <c r="NF11" i="22" s="1"/>
  <c r="NM11" i="22" s="1"/>
  <c r="NA11" i="22"/>
  <c r="MZ11" i="22"/>
  <c r="NL9" i="22"/>
  <c r="NK9" i="22"/>
  <c r="NJ9" i="22"/>
  <c r="NI9" i="22"/>
  <c r="NH9" i="22"/>
  <c r="NG9" i="22"/>
  <c r="NE9" i="22"/>
  <c r="ND9" i="22"/>
  <c r="NC9" i="22"/>
  <c r="NB9" i="22"/>
  <c r="NF9" i="22" s="1"/>
  <c r="NA9" i="22"/>
  <c r="MZ9" i="22"/>
  <c r="NL8" i="22"/>
  <c r="NK8" i="22"/>
  <c r="NJ8" i="22"/>
  <c r="NI8" i="22"/>
  <c r="NH8" i="22"/>
  <c r="NG8" i="22"/>
  <c r="NE8" i="22"/>
  <c r="ND8" i="22"/>
  <c r="NC8" i="22"/>
  <c r="NB8" i="22"/>
  <c r="NF8" i="22" s="1"/>
  <c r="NM8" i="22" s="1"/>
  <c r="NA8" i="22"/>
  <c r="MZ8" i="22"/>
  <c r="NL7" i="22"/>
  <c r="NK7" i="22"/>
  <c r="NJ7" i="22"/>
  <c r="NI7" i="22"/>
  <c r="NH7" i="22"/>
  <c r="NG7" i="22"/>
  <c r="NE7" i="22"/>
  <c r="ND7" i="22"/>
  <c r="NC7" i="22"/>
  <c r="NB7" i="22"/>
  <c r="NF7" i="22" s="1"/>
  <c r="NM7" i="22" s="1"/>
  <c r="NA7" i="22"/>
  <c r="MZ7" i="22"/>
  <c r="NL6" i="22"/>
  <c r="NK6" i="22"/>
  <c r="NJ6" i="22"/>
  <c r="NI6" i="22"/>
  <c r="NH6" i="22"/>
  <c r="NG6" i="22"/>
  <c r="NE6" i="22"/>
  <c r="ND6" i="22"/>
  <c r="NC6" i="22"/>
  <c r="NB6" i="22"/>
  <c r="NF6" i="22" s="1"/>
  <c r="NM6" i="22" s="1"/>
  <c r="NA6" i="22"/>
  <c r="MZ6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4" i="22"/>
  <c r="NK4" i="22"/>
  <c r="NJ4" i="22"/>
  <c r="NI4" i="22"/>
  <c r="NH4" i="22"/>
  <c r="NG4" i="22"/>
  <c r="NE4" i="22"/>
  <c r="ND4" i="22"/>
  <c r="NC4" i="22"/>
  <c r="NB4" i="22"/>
  <c r="NF4" i="22" s="1"/>
  <c r="NM4" i="22" s="1"/>
  <c r="NA4" i="22"/>
  <c r="MZ4" i="22"/>
  <c r="MD30" i="22"/>
  <c r="MC30" i="22"/>
  <c r="MB30" i="22"/>
  <c r="MA30" i="22"/>
  <c r="LZ30" i="22"/>
  <c r="LY30" i="22"/>
  <c r="LW30" i="22"/>
  <c r="LV30" i="22"/>
  <c r="LU30" i="22"/>
  <c r="LT30" i="22"/>
  <c r="LX30" i="22" s="1"/>
  <c r="ME30" i="22" s="1"/>
  <c r="LS30" i="22"/>
  <c r="LR30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26" i="22"/>
  <c r="MC26" i="22"/>
  <c r="MB26" i="22"/>
  <c r="MA26" i="22"/>
  <c r="LZ26" i="22"/>
  <c r="LY26" i="22"/>
  <c r="LW26" i="22"/>
  <c r="LV26" i="22"/>
  <c r="LU26" i="22"/>
  <c r="LT26" i="22"/>
  <c r="LS26" i="22"/>
  <c r="LR26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25" i="22"/>
  <c r="MC25" i="22"/>
  <c r="MB25" i="22"/>
  <c r="MA25" i="22"/>
  <c r="LZ25" i="22"/>
  <c r="LY25" i="22"/>
  <c r="LW25" i="22"/>
  <c r="LV25" i="22"/>
  <c r="LU25" i="22"/>
  <c r="LT25" i="22"/>
  <c r="LS25" i="22"/>
  <c r="LR25" i="22"/>
  <c r="MD21" i="22"/>
  <c r="MC21" i="22"/>
  <c r="MB21" i="22"/>
  <c r="MA21" i="22"/>
  <c r="LZ21" i="22"/>
  <c r="LY21" i="22"/>
  <c r="LW21" i="22"/>
  <c r="LX21" i="22" s="1"/>
  <c r="ME21" i="22" s="1"/>
  <c r="LV21" i="22"/>
  <c r="LU21" i="22"/>
  <c r="LT21" i="22"/>
  <c r="LS21" i="22"/>
  <c r="LR21" i="22"/>
  <c r="MD20" i="22"/>
  <c r="MC20" i="22"/>
  <c r="MB20" i="22"/>
  <c r="MA20" i="22"/>
  <c r="LZ20" i="22"/>
  <c r="LY20" i="22"/>
  <c r="LW20" i="22"/>
  <c r="LV20" i="22"/>
  <c r="LU20" i="22"/>
  <c r="LT20" i="22"/>
  <c r="LS20" i="22"/>
  <c r="LR20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6" i="22"/>
  <c r="MC16" i="22"/>
  <c r="MB16" i="22"/>
  <c r="MA16" i="22"/>
  <c r="LZ16" i="22"/>
  <c r="LY16" i="22"/>
  <c r="LW16" i="22"/>
  <c r="LX16" i="22" s="1"/>
  <c r="ME16" i="22" s="1"/>
  <c r="LV16" i="22"/>
  <c r="LU16" i="22"/>
  <c r="LT16" i="22"/>
  <c r="LS16" i="22"/>
  <c r="LR16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2" i="22"/>
  <c r="MC22" i="22"/>
  <c r="MB22" i="22"/>
  <c r="MA22" i="22"/>
  <c r="LZ22" i="22"/>
  <c r="LY22" i="22"/>
  <c r="LW22" i="22"/>
  <c r="LV22" i="22"/>
  <c r="LU22" i="22"/>
  <c r="LT22" i="22"/>
  <c r="LX22" i="22" s="1"/>
  <c r="LS22" i="22"/>
  <c r="LR22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9" i="22"/>
  <c r="MC9" i="22"/>
  <c r="MB9" i="22"/>
  <c r="MA9" i="22"/>
  <c r="LZ9" i="22"/>
  <c r="LY9" i="22"/>
  <c r="LW9" i="22"/>
  <c r="LV9" i="22"/>
  <c r="LU9" i="22"/>
  <c r="LT9" i="22"/>
  <c r="LX9" i="22" s="1"/>
  <c r="LS9" i="22"/>
  <c r="LR9" i="22"/>
  <c r="MD8" i="22"/>
  <c r="MC8" i="22"/>
  <c r="MB8" i="22"/>
  <c r="MA8" i="22"/>
  <c r="LZ8" i="22"/>
  <c r="LY8" i="22"/>
  <c r="LW8" i="22"/>
  <c r="LV8" i="22"/>
  <c r="LU8" i="22"/>
  <c r="LT8" i="22"/>
  <c r="LX8" i="22" s="1"/>
  <c r="ME8" i="22" s="1"/>
  <c r="LS8" i="22"/>
  <c r="LR8" i="22"/>
  <c r="MD7" i="22"/>
  <c r="MC7" i="22"/>
  <c r="MB7" i="22"/>
  <c r="MA7" i="22"/>
  <c r="LZ7" i="22"/>
  <c r="LY7" i="22"/>
  <c r="LW7" i="22"/>
  <c r="LV7" i="22"/>
  <c r="LU7" i="22"/>
  <c r="LT7" i="22"/>
  <c r="LX7" i="22" s="1"/>
  <c r="ME7" i="22" s="1"/>
  <c r="LS7" i="22"/>
  <c r="LR7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30" i="22"/>
  <c r="KU30" i="22"/>
  <c r="KT30" i="22"/>
  <c r="KS30" i="22"/>
  <c r="KR30" i="22"/>
  <c r="KQ30" i="22"/>
  <c r="KO30" i="22"/>
  <c r="KN30" i="22"/>
  <c r="KM30" i="22"/>
  <c r="KL30" i="22"/>
  <c r="KK30" i="22"/>
  <c r="KJ30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P28" i="22" s="1"/>
  <c r="KW28" i="22" s="1"/>
  <c r="KK28" i="22"/>
  <c r="KJ28" i="22"/>
  <c r="KV27" i="22"/>
  <c r="KU27" i="22"/>
  <c r="KT27" i="22"/>
  <c r="KS27" i="22"/>
  <c r="KR27" i="22"/>
  <c r="KQ27" i="22"/>
  <c r="KO27" i="22"/>
  <c r="KN27" i="22"/>
  <c r="KM27" i="22"/>
  <c r="KL27" i="22"/>
  <c r="KP27" i="22" s="1"/>
  <c r="KW27" i="22" s="1"/>
  <c r="KK27" i="22"/>
  <c r="KJ27" i="22"/>
  <c r="KV26" i="22"/>
  <c r="KU26" i="22"/>
  <c r="KT26" i="22"/>
  <c r="KS26" i="22"/>
  <c r="KR26" i="22"/>
  <c r="KQ26" i="22"/>
  <c r="KO26" i="22"/>
  <c r="KN26" i="22"/>
  <c r="KM26" i="22"/>
  <c r="KL26" i="22"/>
  <c r="KK26" i="22"/>
  <c r="KJ26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25" i="22"/>
  <c r="KU25" i="22"/>
  <c r="KT25" i="22"/>
  <c r="KS25" i="22"/>
  <c r="KR25" i="22"/>
  <c r="KQ25" i="22"/>
  <c r="KO25" i="22"/>
  <c r="KN25" i="22"/>
  <c r="KM25" i="22"/>
  <c r="KL25" i="22"/>
  <c r="KK25" i="22"/>
  <c r="KJ25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20" i="22"/>
  <c r="KU20" i="22"/>
  <c r="KT20" i="22"/>
  <c r="KS20" i="22"/>
  <c r="KR20" i="22"/>
  <c r="KQ20" i="22"/>
  <c r="KO20" i="22"/>
  <c r="KN20" i="22"/>
  <c r="KM20" i="22"/>
  <c r="KL20" i="22"/>
  <c r="KP20" i="22" s="1"/>
  <c r="KK20" i="22"/>
  <c r="KJ20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P18" i="22" s="1"/>
  <c r="KK18" i="22"/>
  <c r="KJ18" i="22"/>
  <c r="KV16" i="22"/>
  <c r="KU16" i="22"/>
  <c r="KT16" i="22"/>
  <c r="KS16" i="22"/>
  <c r="KR16" i="22"/>
  <c r="KQ16" i="22"/>
  <c r="KO16" i="22"/>
  <c r="KP16" i="22" s="1"/>
  <c r="KN16" i="22"/>
  <c r="KM16" i="22"/>
  <c r="KL16" i="22"/>
  <c r="KK16" i="22"/>
  <c r="KJ16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P13" i="22" s="1"/>
  <c r="KK13" i="22"/>
  <c r="KJ13" i="22"/>
  <c r="KV17" i="22"/>
  <c r="KU17" i="22"/>
  <c r="KT17" i="22"/>
  <c r="KS17" i="22"/>
  <c r="KR17" i="22"/>
  <c r="KQ17" i="22"/>
  <c r="KO17" i="22"/>
  <c r="KP17" i="22" s="1"/>
  <c r="KW17" i="22" s="1"/>
  <c r="KN17" i="22"/>
  <c r="KM17" i="22"/>
  <c r="KL17" i="22"/>
  <c r="KK17" i="22"/>
  <c r="KJ17" i="22"/>
  <c r="KV12" i="22"/>
  <c r="KU12" i="22"/>
  <c r="KT12" i="22"/>
  <c r="KS12" i="22"/>
  <c r="KR12" i="22"/>
  <c r="KQ12" i="22"/>
  <c r="KO12" i="22"/>
  <c r="KN12" i="22"/>
  <c r="KM12" i="22"/>
  <c r="KL12" i="22"/>
  <c r="KP12" i="22" s="1"/>
  <c r="KK12" i="22"/>
  <c r="KJ12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2" i="22"/>
  <c r="KU22" i="22"/>
  <c r="KT22" i="22"/>
  <c r="KS22" i="22"/>
  <c r="KR22" i="22"/>
  <c r="KQ22" i="22"/>
  <c r="KO22" i="22"/>
  <c r="KN22" i="22"/>
  <c r="KM22" i="22"/>
  <c r="KL22" i="22"/>
  <c r="KP22" i="22" s="1"/>
  <c r="KK22" i="22"/>
  <c r="KJ22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9" i="22"/>
  <c r="KU9" i="22"/>
  <c r="KT9" i="22"/>
  <c r="KS9" i="22"/>
  <c r="KR9" i="22"/>
  <c r="KQ9" i="22"/>
  <c r="KO9" i="22"/>
  <c r="KN9" i="22"/>
  <c r="KM9" i="22"/>
  <c r="KL9" i="22"/>
  <c r="KP9" i="22" s="1"/>
  <c r="KK9" i="22"/>
  <c r="KJ9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P7" i="22" s="1"/>
  <c r="KK7" i="22"/>
  <c r="KJ7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5" i="22"/>
  <c r="KU5" i="22"/>
  <c r="KT5" i="22"/>
  <c r="KS5" i="22"/>
  <c r="KR5" i="22"/>
  <c r="KQ5" i="22"/>
  <c r="KO5" i="22"/>
  <c r="KN5" i="22"/>
  <c r="KM5" i="22"/>
  <c r="KL5" i="22"/>
  <c r="KP5" i="22" s="1"/>
  <c r="KK5" i="22"/>
  <c r="KJ5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30" i="22"/>
  <c r="JM30" i="22"/>
  <c r="JL30" i="22"/>
  <c r="JK30" i="22"/>
  <c r="JJ30" i="22"/>
  <c r="JI30" i="22"/>
  <c r="JG30" i="22"/>
  <c r="JF30" i="22"/>
  <c r="JE30" i="22"/>
  <c r="JD30" i="22"/>
  <c r="JH30" i="22" s="1"/>
  <c r="JC30" i="22"/>
  <c r="JB30" i="22"/>
  <c r="JN31" i="22"/>
  <c r="JM31" i="22"/>
  <c r="JL31" i="22"/>
  <c r="JK31" i="22"/>
  <c r="JJ31" i="22"/>
  <c r="JI31" i="22"/>
  <c r="JG31" i="22"/>
  <c r="JH31" i="22" s="1"/>
  <c r="JO31" i="22" s="1"/>
  <c r="JF31" i="22"/>
  <c r="JE31" i="22"/>
  <c r="JD31" i="22"/>
  <c r="JC31" i="22"/>
  <c r="JB3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26" i="22"/>
  <c r="JM26" i="22"/>
  <c r="JL26" i="22"/>
  <c r="JK26" i="22"/>
  <c r="JJ26" i="22"/>
  <c r="JI26" i="22"/>
  <c r="JG26" i="22"/>
  <c r="JF26" i="22"/>
  <c r="JE26" i="22"/>
  <c r="JD26" i="22"/>
  <c r="JC26" i="22"/>
  <c r="JB26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25" i="22"/>
  <c r="JM25" i="22"/>
  <c r="JL25" i="22"/>
  <c r="JK25" i="22"/>
  <c r="JJ25" i="22"/>
  <c r="JI25" i="22"/>
  <c r="JG25" i="22"/>
  <c r="JF25" i="22"/>
  <c r="JE25" i="22"/>
  <c r="JD25" i="22"/>
  <c r="JH25" i="22" s="1"/>
  <c r="JO25" i="22" s="1"/>
  <c r="JC25" i="22"/>
  <c r="JB25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20" i="22"/>
  <c r="JM20" i="22"/>
  <c r="JL20" i="22"/>
  <c r="JK20" i="22"/>
  <c r="JJ20" i="22"/>
  <c r="JI20" i="22"/>
  <c r="JG20" i="22"/>
  <c r="JF20" i="22"/>
  <c r="JE20" i="22"/>
  <c r="JD20" i="22"/>
  <c r="JH20" i="22" s="1"/>
  <c r="JO20" i="22" s="1"/>
  <c r="JC20" i="22"/>
  <c r="JB20" i="22"/>
  <c r="JN19" i="22"/>
  <c r="JM19" i="22"/>
  <c r="JL19" i="22"/>
  <c r="JK19" i="22"/>
  <c r="JJ19" i="22"/>
  <c r="JI19" i="22"/>
  <c r="JG19" i="22"/>
  <c r="JF19" i="22"/>
  <c r="JE19" i="22"/>
  <c r="JD19" i="22"/>
  <c r="JH19" i="22" s="1"/>
  <c r="JO19" i="22" s="1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H18" i="22" s="1"/>
  <c r="JO18" i="22" s="1"/>
  <c r="JC18" i="22"/>
  <c r="JB1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5" i="22"/>
  <c r="JM15" i="22"/>
  <c r="JL15" i="22"/>
  <c r="JK15" i="22"/>
  <c r="JJ15" i="22"/>
  <c r="JI15" i="22"/>
  <c r="JG15" i="22"/>
  <c r="JF15" i="22"/>
  <c r="JE15" i="22"/>
  <c r="JD15" i="22"/>
  <c r="JH15" i="22" s="1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H14" i="22" s="1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H13" i="22" s="1"/>
  <c r="JO13" i="22" s="1"/>
  <c r="JC13" i="22"/>
  <c r="JB13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2" i="22"/>
  <c r="JM22" i="22"/>
  <c r="JL22" i="22"/>
  <c r="JK22" i="22"/>
  <c r="JJ22" i="22"/>
  <c r="JI22" i="22"/>
  <c r="JG22" i="22"/>
  <c r="JF22" i="22"/>
  <c r="JE22" i="22"/>
  <c r="JD22" i="22"/>
  <c r="JH22" i="22" s="1"/>
  <c r="JO22" i="22" s="1"/>
  <c r="JC22" i="22"/>
  <c r="JB22" i="22"/>
  <c r="JN11" i="22"/>
  <c r="JM11" i="22"/>
  <c r="JL11" i="22"/>
  <c r="JK11" i="22"/>
  <c r="JJ11" i="22"/>
  <c r="JI11" i="22"/>
  <c r="JG11" i="22"/>
  <c r="JH11" i="22" s="1"/>
  <c r="JO11" i="22" s="1"/>
  <c r="JF11" i="22"/>
  <c r="JE11" i="22"/>
  <c r="JD11" i="22"/>
  <c r="JC11" i="22"/>
  <c r="JB11" i="22"/>
  <c r="JN9" i="22"/>
  <c r="JM9" i="22"/>
  <c r="JL9" i="22"/>
  <c r="JK9" i="22"/>
  <c r="JJ9" i="22"/>
  <c r="JI9" i="22"/>
  <c r="JG9" i="22"/>
  <c r="JF9" i="22"/>
  <c r="JE9" i="22"/>
  <c r="JD9" i="22"/>
  <c r="JH9" i="22" s="1"/>
  <c r="JO9" i="22" s="1"/>
  <c r="JC9" i="22"/>
  <c r="JB9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H7" i="22" s="1"/>
  <c r="JO7" i="22" s="1"/>
  <c r="JC7" i="22"/>
  <c r="JB7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5" i="22"/>
  <c r="JM5" i="22"/>
  <c r="JL5" i="22"/>
  <c r="JK5" i="22"/>
  <c r="JJ5" i="22"/>
  <c r="JI5" i="22"/>
  <c r="JG5" i="22"/>
  <c r="JF5" i="22"/>
  <c r="JE5" i="22"/>
  <c r="JD5" i="22"/>
  <c r="JH5" i="22" s="1"/>
  <c r="JO5" i="22" s="1"/>
  <c r="JC5" i="22"/>
  <c r="JB5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30" i="22"/>
  <c r="IE30" i="22"/>
  <c r="ID30" i="22"/>
  <c r="IC30" i="22"/>
  <c r="IB30" i="22"/>
  <c r="IA30" i="22"/>
  <c r="HY30" i="22"/>
  <c r="HX30" i="22"/>
  <c r="HW30" i="22"/>
  <c r="HV30" i="22"/>
  <c r="HZ30" i="22" s="1"/>
  <c r="HU30" i="22"/>
  <c r="HT30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26" i="22"/>
  <c r="IE26" i="22"/>
  <c r="ID26" i="22"/>
  <c r="IC26" i="22"/>
  <c r="IB26" i="22"/>
  <c r="IA26" i="22"/>
  <c r="HY26" i="22"/>
  <c r="HZ26" i="22" s="1"/>
  <c r="HX26" i="22"/>
  <c r="HW26" i="22"/>
  <c r="HV26" i="22"/>
  <c r="HU26" i="22"/>
  <c r="HT26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25" i="22"/>
  <c r="IE25" i="22"/>
  <c r="ID25" i="22"/>
  <c r="IC25" i="22"/>
  <c r="IB25" i="22"/>
  <c r="IA25" i="22"/>
  <c r="HY25" i="22"/>
  <c r="HZ25" i="22" s="1"/>
  <c r="HX25" i="22"/>
  <c r="HW25" i="22"/>
  <c r="HV25" i="22"/>
  <c r="HU25" i="22"/>
  <c r="HT25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20" i="22"/>
  <c r="IE20" i="22"/>
  <c r="ID20" i="22"/>
  <c r="IC20" i="22"/>
  <c r="IB20" i="22"/>
  <c r="IA20" i="22"/>
  <c r="HY20" i="22"/>
  <c r="HX20" i="22"/>
  <c r="HW20" i="22"/>
  <c r="HV20" i="22"/>
  <c r="HU20" i="22"/>
  <c r="HT20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Z18" i="22" s="1"/>
  <c r="IG18" i="22" s="1"/>
  <c r="HU18" i="22"/>
  <c r="HT1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5" i="22"/>
  <c r="IE15" i="22"/>
  <c r="ID15" i="22"/>
  <c r="IC15" i="22"/>
  <c r="IB15" i="22"/>
  <c r="IA15" i="22"/>
  <c r="HY15" i="22"/>
  <c r="HX15" i="22"/>
  <c r="HW15" i="22"/>
  <c r="HV15" i="22"/>
  <c r="HZ15" i="22" s="1"/>
  <c r="IG15" i="22" s="1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Z14" i="22" s="1"/>
  <c r="IG14" i="22" s="1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Z13" i="22" s="1"/>
  <c r="IG13" i="22" s="1"/>
  <c r="HU13" i="22"/>
  <c r="HT13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12" i="22"/>
  <c r="IE12" i="22"/>
  <c r="ID12" i="22"/>
  <c r="IC12" i="22"/>
  <c r="IB12" i="22"/>
  <c r="IA12" i="22"/>
  <c r="HY12" i="22"/>
  <c r="HX12" i="22"/>
  <c r="HW12" i="22"/>
  <c r="HV12" i="22"/>
  <c r="HZ12" i="22" s="1"/>
  <c r="IG12" i="22" s="1"/>
  <c r="HU12" i="22"/>
  <c r="HT12" i="22"/>
  <c r="IF10" i="22"/>
  <c r="IE10" i="22"/>
  <c r="ID10" i="22"/>
  <c r="IC10" i="22"/>
  <c r="IB10" i="22"/>
  <c r="IA10" i="22"/>
  <c r="HY10" i="22"/>
  <c r="HX10" i="22"/>
  <c r="HW10" i="22"/>
  <c r="HV10" i="22"/>
  <c r="HZ10" i="22" s="1"/>
  <c r="HU10" i="22"/>
  <c r="HT10" i="22"/>
  <c r="IF22" i="22"/>
  <c r="IE22" i="22"/>
  <c r="ID22" i="22"/>
  <c r="IC22" i="22"/>
  <c r="IB22" i="22"/>
  <c r="IA22" i="22"/>
  <c r="HY22" i="22"/>
  <c r="HX22" i="22"/>
  <c r="HW22" i="22"/>
  <c r="HV22" i="22"/>
  <c r="HZ22" i="22" s="1"/>
  <c r="IG22" i="22" s="1"/>
  <c r="HU22" i="22"/>
  <c r="HT22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9" i="22"/>
  <c r="IE9" i="22"/>
  <c r="ID9" i="22"/>
  <c r="IC9" i="22"/>
  <c r="IB9" i="22"/>
  <c r="IA9" i="22"/>
  <c r="HY9" i="22"/>
  <c r="HX9" i="22"/>
  <c r="HW9" i="22"/>
  <c r="HV9" i="22"/>
  <c r="HU9" i="22"/>
  <c r="HT9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Z7" i="22" s="1"/>
  <c r="IG7" i="22" s="1"/>
  <c r="HU7" i="22"/>
  <c r="HT7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5" i="22"/>
  <c r="IE5" i="22"/>
  <c r="ID5" i="22"/>
  <c r="IC5" i="22"/>
  <c r="IB5" i="22"/>
  <c r="IA5" i="22"/>
  <c r="HY5" i="22"/>
  <c r="HX5" i="22"/>
  <c r="HW5" i="22"/>
  <c r="HV5" i="22"/>
  <c r="HZ5" i="22" s="1"/>
  <c r="IG5" i="22" s="1"/>
  <c r="HU5" i="22"/>
  <c r="HT5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30" i="22"/>
  <c r="GW30" i="22"/>
  <c r="GV30" i="22"/>
  <c r="GU30" i="22"/>
  <c r="GT30" i="22"/>
  <c r="GS30" i="22"/>
  <c r="GQ30" i="22"/>
  <c r="GP30" i="22"/>
  <c r="GO30" i="22"/>
  <c r="GN30" i="22"/>
  <c r="GR30" i="22" s="1"/>
  <c r="GY30" i="22" s="1"/>
  <c r="GM30" i="22"/>
  <c r="GL30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29" i="22"/>
  <c r="GW29" i="22"/>
  <c r="GV29" i="22"/>
  <c r="GU29" i="22"/>
  <c r="GT29" i="22"/>
  <c r="GS29" i="22"/>
  <c r="GQ29" i="22"/>
  <c r="GP29" i="22"/>
  <c r="GO29" i="22"/>
  <c r="GN29" i="22"/>
  <c r="GR29" i="22" s="1"/>
  <c r="GY29" i="22" s="1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R28" i="22" s="1"/>
  <c r="GY28" i="22" s="1"/>
  <c r="GM28" i="22"/>
  <c r="GL28" i="22"/>
  <c r="GX27" i="22"/>
  <c r="GW27" i="22"/>
  <c r="GV27" i="22"/>
  <c r="GU27" i="22"/>
  <c r="GT27" i="22"/>
  <c r="GS27" i="22"/>
  <c r="GQ27" i="22"/>
  <c r="GP27" i="22"/>
  <c r="GO27" i="22"/>
  <c r="GN27" i="22"/>
  <c r="GR27" i="22" s="1"/>
  <c r="GM27" i="22"/>
  <c r="GL27" i="22"/>
  <c r="GX26" i="22"/>
  <c r="GW26" i="22"/>
  <c r="GV26" i="22"/>
  <c r="GU26" i="22"/>
  <c r="GT26" i="22"/>
  <c r="GS26" i="22"/>
  <c r="GQ26" i="22"/>
  <c r="GP26" i="22"/>
  <c r="GO26" i="22"/>
  <c r="GN26" i="22"/>
  <c r="GM26" i="22"/>
  <c r="GL26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25" i="22"/>
  <c r="GW25" i="22"/>
  <c r="GV25" i="22"/>
  <c r="GU25" i="22"/>
  <c r="GT25" i="22"/>
  <c r="GS25" i="22"/>
  <c r="GQ25" i="22"/>
  <c r="GP25" i="22"/>
  <c r="GO25" i="22"/>
  <c r="GN25" i="22"/>
  <c r="GM25" i="22"/>
  <c r="GL25" i="22"/>
  <c r="GX21" i="22"/>
  <c r="GW21" i="22"/>
  <c r="GV21" i="22"/>
  <c r="GU21" i="22"/>
  <c r="GT21" i="22"/>
  <c r="GS21" i="22"/>
  <c r="GQ21" i="22"/>
  <c r="GR21" i="22" s="1"/>
  <c r="GP21" i="22"/>
  <c r="GO21" i="22"/>
  <c r="GN21" i="22"/>
  <c r="GM21" i="22"/>
  <c r="GL21" i="22"/>
  <c r="GX20" i="22"/>
  <c r="GW20" i="22"/>
  <c r="GV20" i="22"/>
  <c r="GU20" i="22"/>
  <c r="GT20" i="22"/>
  <c r="GS20" i="22"/>
  <c r="GQ20" i="22"/>
  <c r="GP20" i="22"/>
  <c r="GO20" i="22"/>
  <c r="GN20" i="22"/>
  <c r="GM20" i="22"/>
  <c r="GL20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R18" i="22" s="1"/>
  <c r="GY18" i="22" s="1"/>
  <c r="GP18" i="22"/>
  <c r="GO18" i="22"/>
  <c r="GN18" i="22"/>
  <c r="GM18" i="22"/>
  <c r="GL1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R13" i="22"/>
  <c r="GY13" i="22" s="1"/>
  <c r="GQ13" i="22"/>
  <c r="GP13" i="22"/>
  <c r="GO13" i="22"/>
  <c r="GN13" i="22"/>
  <c r="GM13" i="22"/>
  <c r="GL13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12" i="22"/>
  <c r="GW12" i="22"/>
  <c r="GV12" i="22"/>
  <c r="GU12" i="22"/>
  <c r="GT12" i="22"/>
  <c r="GS12" i="22"/>
  <c r="GQ12" i="22"/>
  <c r="GP12" i="22"/>
  <c r="GO12" i="22"/>
  <c r="GN12" i="22"/>
  <c r="GR12" i="22" s="1"/>
  <c r="GY12" i="22" s="1"/>
  <c r="GM12" i="22"/>
  <c r="GL12" i="22"/>
  <c r="GX10" i="22"/>
  <c r="GW10" i="22"/>
  <c r="GV10" i="22"/>
  <c r="GU10" i="22"/>
  <c r="GT10" i="22"/>
  <c r="GS10" i="22"/>
  <c r="GQ10" i="22"/>
  <c r="GP10" i="22"/>
  <c r="GO10" i="22"/>
  <c r="GN10" i="22"/>
  <c r="GR10" i="22" s="1"/>
  <c r="GY10" i="22" s="1"/>
  <c r="GM10" i="22"/>
  <c r="GL10" i="22"/>
  <c r="GX22" i="22"/>
  <c r="GW22" i="22"/>
  <c r="GV22" i="22"/>
  <c r="GU22" i="22"/>
  <c r="GT22" i="22"/>
  <c r="GS22" i="22"/>
  <c r="GQ22" i="22"/>
  <c r="GP22" i="22"/>
  <c r="GO22" i="22"/>
  <c r="GN22" i="22"/>
  <c r="GR22" i="22" s="1"/>
  <c r="GY22" i="22" s="1"/>
  <c r="GM22" i="22"/>
  <c r="GL22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9" i="22"/>
  <c r="GW9" i="22"/>
  <c r="GV9" i="22"/>
  <c r="GU9" i="22"/>
  <c r="GT9" i="22"/>
  <c r="GS9" i="22"/>
  <c r="GQ9" i="22"/>
  <c r="GP9" i="22"/>
  <c r="GO9" i="22"/>
  <c r="GN9" i="22"/>
  <c r="GR9" i="22" s="1"/>
  <c r="GM9" i="22"/>
  <c r="GL9" i="22"/>
  <c r="GX8" i="22"/>
  <c r="GW8" i="22"/>
  <c r="GV8" i="22"/>
  <c r="GU8" i="22"/>
  <c r="GT8" i="22"/>
  <c r="GS8" i="22"/>
  <c r="GQ8" i="22"/>
  <c r="GP8" i="22"/>
  <c r="GO8" i="22"/>
  <c r="GN8" i="22"/>
  <c r="GR8" i="22" s="1"/>
  <c r="GM8" i="22"/>
  <c r="GL8" i="22"/>
  <c r="GX7" i="22"/>
  <c r="GW7" i="22"/>
  <c r="GV7" i="22"/>
  <c r="GU7" i="22"/>
  <c r="GT7" i="22"/>
  <c r="GS7" i="22"/>
  <c r="GQ7" i="22"/>
  <c r="GP7" i="22"/>
  <c r="GO7" i="22"/>
  <c r="GN7" i="22"/>
  <c r="GR7" i="22" s="1"/>
  <c r="GY7" i="22" s="1"/>
  <c r="GM7" i="22"/>
  <c r="GL7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30" i="22"/>
  <c r="FO30" i="22"/>
  <c r="FN30" i="22"/>
  <c r="FM30" i="22"/>
  <c r="FL30" i="22"/>
  <c r="FK30" i="22"/>
  <c r="FI30" i="22"/>
  <c r="FH30" i="22"/>
  <c r="FG30" i="22"/>
  <c r="FF30" i="22"/>
  <c r="FJ30" i="22" s="1"/>
  <c r="FQ30" i="22" s="1"/>
  <c r="FE30" i="22"/>
  <c r="FD30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29" i="22"/>
  <c r="FO29" i="22"/>
  <c r="FN29" i="22"/>
  <c r="FM29" i="22"/>
  <c r="FL29" i="22"/>
  <c r="FK29" i="22"/>
  <c r="FI29" i="22"/>
  <c r="FH29" i="22"/>
  <c r="FG29" i="22"/>
  <c r="FF29" i="22"/>
  <c r="FJ29" i="22" s="1"/>
  <c r="FQ29" i="22" s="1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27" i="22"/>
  <c r="FO27" i="22"/>
  <c r="FN27" i="22"/>
  <c r="FM27" i="22"/>
  <c r="FL27" i="22"/>
  <c r="FK27" i="22"/>
  <c r="FI27" i="22"/>
  <c r="FH27" i="22"/>
  <c r="FG27" i="22"/>
  <c r="FF27" i="22"/>
  <c r="FJ27" i="22" s="1"/>
  <c r="FQ27" i="22" s="1"/>
  <c r="FE27" i="22"/>
  <c r="FD27" i="22"/>
  <c r="FP26" i="22"/>
  <c r="FO26" i="22"/>
  <c r="FN26" i="22"/>
  <c r="FM26" i="22"/>
  <c r="FL26" i="22"/>
  <c r="FK26" i="22"/>
  <c r="FI26" i="22"/>
  <c r="FH26" i="22"/>
  <c r="FG26" i="22"/>
  <c r="FF26" i="22"/>
  <c r="FE26" i="22"/>
  <c r="FD26" i="22"/>
  <c r="FP24" i="22"/>
  <c r="FO24" i="22"/>
  <c r="FN24" i="22"/>
  <c r="FM24" i="22"/>
  <c r="FL24" i="22"/>
  <c r="FK24" i="22"/>
  <c r="FI24" i="22"/>
  <c r="FH24" i="22"/>
  <c r="FG24" i="22"/>
  <c r="FF24" i="22"/>
  <c r="FJ24" i="22" s="1"/>
  <c r="FQ24" i="22" s="1"/>
  <c r="FE24" i="22"/>
  <c r="FD24" i="22"/>
  <c r="FP23" i="22"/>
  <c r="FO23" i="22"/>
  <c r="FN23" i="22"/>
  <c r="FM23" i="22"/>
  <c r="FL23" i="22"/>
  <c r="FK23" i="22"/>
  <c r="FI23" i="22"/>
  <c r="FH23" i="22"/>
  <c r="FG23" i="22"/>
  <c r="FF23" i="22"/>
  <c r="FJ23" i="22" s="1"/>
  <c r="FQ23" i="22" s="1"/>
  <c r="FE23" i="22"/>
  <c r="FD23" i="22"/>
  <c r="FP25" i="22"/>
  <c r="FO25" i="22"/>
  <c r="FN25" i="22"/>
  <c r="FM25" i="22"/>
  <c r="FL25" i="22"/>
  <c r="FK25" i="22"/>
  <c r="FI25" i="22"/>
  <c r="FH25" i="22"/>
  <c r="FG25" i="22"/>
  <c r="FF25" i="22"/>
  <c r="FJ25" i="22" s="1"/>
  <c r="FE25" i="22"/>
  <c r="FD25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20" i="22"/>
  <c r="FO20" i="22"/>
  <c r="FN20" i="22"/>
  <c r="FM20" i="22"/>
  <c r="FL20" i="22"/>
  <c r="FK20" i="22"/>
  <c r="FI20" i="22"/>
  <c r="FH20" i="22"/>
  <c r="FG20" i="22"/>
  <c r="FF20" i="22"/>
  <c r="FE20" i="22"/>
  <c r="FD20" i="22"/>
  <c r="FP19" i="22"/>
  <c r="FO19" i="22"/>
  <c r="FN19" i="22"/>
  <c r="FM19" i="22"/>
  <c r="FL19" i="22"/>
  <c r="FK19" i="22"/>
  <c r="FI19" i="22"/>
  <c r="FH19" i="22"/>
  <c r="FG19" i="22"/>
  <c r="FF19" i="22"/>
  <c r="FJ19" i="22" s="1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6" i="22"/>
  <c r="FO16" i="22"/>
  <c r="FN16" i="22"/>
  <c r="FM16" i="22"/>
  <c r="FL16" i="22"/>
  <c r="FK16" i="22"/>
  <c r="FI16" i="22"/>
  <c r="FJ16" i="22" s="1"/>
  <c r="FH16" i="22"/>
  <c r="FG16" i="22"/>
  <c r="FF16" i="22"/>
  <c r="FE16" i="22"/>
  <c r="FD16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J13" i="22" s="1"/>
  <c r="FH13" i="22"/>
  <c r="FG13" i="22"/>
  <c r="FF13" i="22"/>
  <c r="FE13" i="22"/>
  <c r="FD13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9" i="22"/>
  <c r="FO9" i="22"/>
  <c r="FN9" i="22"/>
  <c r="FM9" i="22"/>
  <c r="FL9" i="22"/>
  <c r="FK9" i="22"/>
  <c r="FI9" i="22"/>
  <c r="FH9" i="22"/>
  <c r="FG9" i="22"/>
  <c r="FF9" i="22"/>
  <c r="FJ9" i="22" s="1"/>
  <c r="FQ9" i="22" s="1"/>
  <c r="FE9" i="22"/>
  <c r="FD9" i="22"/>
  <c r="FP8" i="22"/>
  <c r="FO8" i="22"/>
  <c r="FN8" i="22"/>
  <c r="FM8" i="22"/>
  <c r="FL8" i="22"/>
  <c r="FK8" i="22"/>
  <c r="FI8" i="22"/>
  <c r="FH8" i="22"/>
  <c r="FG8" i="22"/>
  <c r="FF8" i="22"/>
  <c r="FJ8" i="22" s="1"/>
  <c r="FQ8" i="22" s="1"/>
  <c r="FE8" i="22"/>
  <c r="FD8" i="22"/>
  <c r="FP7" i="22"/>
  <c r="FO7" i="22"/>
  <c r="FN7" i="22"/>
  <c r="FM7" i="22"/>
  <c r="FL7" i="22"/>
  <c r="FK7" i="22"/>
  <c r="FI7" i="22"/>
  <c r="FH7" i="22"/>
  <c r="FG7" i="22"/>
  <c r="FF7" i="22"/>
  <c r="FJ7" i="22" s="1"/>
  <c r="FQ7" i="22" s="1"/>
  <c r="FE7" i="22"/>
  <c r="FD7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5" i="22"/>
  <c r="FO5" i="22"/>
  <c r="FN5" i="22"/>
  <c r="FM5" i="22"/>
  <c r="FL5" i="22"/>
  <c r="FK5" i="22"/>
  <c r="FI5" i="22"/>
  <c r="FH5" i="22"/>
  <c r="FG5" i="22"/>
  <c r="FF5" i="22"/>
  <c r="FJ5" i="22" s="1"/>
  <c r="FE5" i="22"/>
  <c r="FD5" i="22"/>
  <c r="FP4" i="22"/>
  <c r="FO4" i="22"/>
  <c r="FN4" i="22"/>
  <c r="FM4" i="22"/>
  <c r="FL4" i="22"/>
  <c r="FK4" i="22"/>
  <c r="FI4" i="22"/>
  <c r="FH4" i="22"/>
  <c r="FG4" i="22"/>
  <c r="FF4" i="22"/>
  <c r="FJ4" i="22" s="1"/>
  <c r="FE4" i="22"/>
  <c r="FD4" i="22"/>
  <c r="EH30" i="22"/>
  <c r="EG30" i="22"/>
  <c r="EF30" i="22"/>
  <c r="EE30" i="22"/>
  <c r="ED30" i="22"/>
  <c r="EC30" i="22"/>
  <c r="EA30" i="22"/>
  <c r="DZ30" i="22"/>
  <c r="DY30" i="22"/>
  <c r="DX30" i="22"/>
  <c r="EB30" i="22" s="1"/>
  <c r="EI30" i="22" s="1"/>
  <c r="DW30" i="22"/>
  <c r="DV30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27" i="22"/>
  <c r="EG27" i="22"/>
  <c r="EF27" i="22"/>
  <c r="EE27" i="22"/>
  <c r="ED27" i="22"/>
  <c r="EC27" i="22"/>
  <c r="EA27" i="22"/>
  <c r="DZ27" i="22"/>
  <c r="DY27" i="22"/>
  <c r="DX27" i="22"/>
  <c r="EB27" i="22" s="1"/>
  <c r="EI27" i="22" s="1"/>
  <c r="DW27" i="22"/>
  <c r="DV27" i="22"/>
  <c r="EH26" i="22"/>
  <c r="EG26" i="22"/>
  <c r="EF26" i="22"/>
  <c r="EE26" i="22"/>
  <c r="ED26" i="22"/>
  <c r="EC26" i="22"/>
  <c r="EA26" i="22"/>
  <c r="DZ26" i="22"/>
  <c r="DY26" i="22"/>
  <c r="DX26" i="22"/>
  <c r="DW26" i="22"/>
  <c r="DV26" i="22"/>
  <c r="EH24" i="22"/>
  <c r="EG24" i="22"/>
  <c r="EF24" i="22"/>
  <c r="EE24" i="22"/>
  <c r="ED24" i="22"/>
  <c r="EC24" i="22"/>
  <c r="EA24" i="22"/>
  <c r="DZ24" i="22"/>
  <c r="DY24" i="22"/>
  <c r="DX24" i="22"/>
  <c r="EB24" i="22" s="1"/>
  <c r="EI24" i="22" s="1"/>
  <c r="DW24" i="22"/>
  <c r="DV2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25" i="22"/>
  <c r="EG25" i="22"/>
  <c r="EF25" i="22"/>
  <c r="EE25" i="22"/>
  <c r="ED25" i="22"/>
  <c r="EC25" i="22"/>
  <c r="EA25" i="22"/>
  <c r="DZ25" i="22"/>
  <c r="DY25" i="22"/>
  <c r="DX25" i="22"/>
  <c r="EB25" i="22" s="1"/>
  <c r="EI25" i="22" s="1"/>
  <c r="DW25" i="22"/>
  <c r="DV25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20" i="22"/>
  <c r="EG20" i="22"/>
  <c r="EF20" i="22"/>
  <c r="EE20" i="22"/>
  <c r="ED20" i="22"/>
  <c r="EC20" i="22"/>
  <c r="EA20" i="22"/>
  <c r="DZ20" i="22"/>
  <c r="DY20" i="22"/>
  <c r="DX20" i="22"/>
  <c r="EB20" i="22" s="1"/>
  <c r="EI20" i="22" s="1"/>
  <c r="DW20" i="22"/>
  <c r="DV20" i="22"/>
  <c r="EH19" i="22"/>
  <c r="EG19" i="22"/>
  <c r="EF19" i="22"/>
  <c r="EE19" i="22"/>
  <c r="ED19" i="22"/>
  <c r="EC19" i="22"/>
  <c r="EA19" i="22"/>
  <c r="DZ19" i="22"/>
  <c r="DY19" i="22"/>
  <c r="DX19" i="22"/>
  <c r="EB19" i="22" s="1"/>
  <c r="EI19" i="22" s="1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EB18" i="22" s="1"/>
  <c r="EI18" i="22" s="1"/>
  <c r="DW18" i="22"/>
  <c r="DV1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5" i="22"/>
  <c r="EG15" i="22"/>
  <c r="EF15" i="22"/>
  <c r="EE15" i="22"/>
  <c r="ED15" i="22"/>
  <c r="EC15" i="22"/>
  <c r="EA15" i="22"/>
  <c r="DZ15" i="22"/>
  <c r="DY15" i="22"/>
  <c r="DX15" i="22"/>
  <c r="EB15" i="22" s="1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EB14" i="22" s="1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EB13" i="22" s="1"/>
  <c r="EI13" i="22" s="1"/>
  <c r="DW13" i="22"/>
  <c r="DV13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9" i="22"/>
  <c r="EG9" i="22"/>
  <c r="EF9" i="22"/>
  <c r="EE9" i="22"/>
  <c r="ED9" i="22"/>
  <c r="EC9" i="22"/>
  <c r="EA9" i="22"/>
  <c r="DZ9" i="22"/>
  <c r="DY9" i="22"/>
  <c r="DX9" i="22"/>
  <c r="DW9" i="22"/>
  <c r="DV9" i="22"/>
  <c r="EH8" i="22"/>
  <c r="EG8" i="22"/>
  <c r="EF8" i="22"/>
  <c r="EE8" i="22"/>
  <c r="ED8" i="22"/>
  <c r="EC8" i="22"/>
  <c r="EA8" i="22"/>
  <c r="DZ8" i="22"/>
  <c r="DY8" i="22"/>
  <c r="DX8" i="22"/>
  <c r="EB8" i="22" s="1"/>
  <c r="EI8" i="22" s="1"/>
  <c r="DW8" i="22"/>
  <c r="DV8" i="22"/>
  <c r="EH7" i="22"/>
  <c r="EG7" i="22"/>
  <c r="EF7" i="22"/>
  <c r="EE7" i="22"/>
  <c r="ED7" i="22"/>
  <c r="EC7" i="22"/>
  <c r="EA7" i="22"/>
  <c r="DZ7" i="22"/>
  <c r="DY7" i="22"/>
  <c r="DX7" i="22"/>
  <c r="EB7" i="22" s="1"/>
  <c r="EI7" i="22" s="1"/>
  <c r="DW7" i="22"/>
  <c r="DV7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EH4" i="27" l="1"/>
  <c r="EH8" i="27"/>
  <c r="EH11" i="27"/>
  <c r="HN14" i="27"/>
  <c r="HN18" i="27"/>
  <c r="IP4" i="27"/>
  <c r="IP8" i="27"/>
  <c r="IP11" i="27"/>
  <c r="LV14" i="27"/>
  <c r="LV18" i="27"/>
  <c r="MX4" i="27"/>
  <c r="MX8" i="27"/>
  <c r="MX11" i="27"/>
  <c r="EH14" i="27"/>
  <c r="EH18" i="27"/>
  <c r="FJ4" i="27"/>
  <c r="FJ8" i="27"/>
  <c r="FJ11" i="27"/>
  <c r="IP14" i="27"/>
  <c r="IP18" i="27"/>
  <c r="JR4" i="27"/>
  <c r="JR8" i="27"/>
  <c r="JR11" i="27"/>
  <c r="MX14" i="27"/>
  <c r="MX18" i="27"/>
  <c r="GI29" i="19"/>
  <c r="HN12" i="19"/>
  <c r="JO32" i="19"/>
  <c r="JR34" i="19"/>
  <c r="EH22" i="19"/>
  <c r="EH27" i="19"/>
  <c r="EH31" i="19"/>
  <c r="EH35" i="19"/>
  <c r="FJ7" i="19"/>
  <c r="FJ10" i="19"/>
  <c r="FJ13" i="19"/>
  <c r="FJ19" i="19"/>
  <c r="FJ27" i="19"/>
  <c r="FJ31" i="19"/>
  <c r="FJ35" i="19"/>
  <c r="GL10" i="19"/>
  <c r="GL28" i="19"/>
  <c r="HN6" i="19"/>
  <c r="HN21" i="19"/>
  <c r="HN24" i="19"/>
  <c r="HN29" i="19"/>
  <c r="HN33" i="19"/>
  <c r="IP5" i="19"/>
  <c r="IP17" i="19"/>
  <c r="IP12" i="19"/>
  <c r="IP15" i="19"/>
  <c r="JR22" i="19"/>
  <c r="JR24" i="19"/>
  <c r="JR27" i="19"/>
  <c r="LV31" i="19"/>
  <c r="LV35" i="19"/>
  <c r="MX7" i="19"/>
  <c r="MX10" i="19"/>
  <c r="MX13" i="19"/>
  <c r="MX19" i="19"/>
  <c r="PB22" i="19"/>
  <c r="PB27" i="19"/>
  <c r="PB31" i="19"/>
  <c r="PB35" i="19"/>
  <c r="GI7" i="19"/>
  <c r="GI13" i="19"/>
  <c r="HK11" i="19"/>
  <c r="HN16" i="19"/>
  <c r="JR10" i="19"/>
  <c r="KQ33" i="19"/>
  <c r="LV18" i="19"/>
  <c r="FJ25" i="19"/>
  <c r="FJ26" i="19"/>
  <c r="FJ30" i="19"/>
  <c r="FJ34" i="19"/>
  <c r="GI6" i="19"/>
  <c r="GI22" i="19"/>
  <c r="GL27" i="19"/>
  <c r="GL35" i="19"/>
  <c r="HN5" i="19"/>
  <c r="HK7" i="19"/>
  <c r="HN23" i="19"/>
  <c r="HN28" i="19"/>
  <c r="HN32" i="19"/>
  <c r="IP23" i="19"/>
  <c r="IP28" i="19"/>
  <c r="IP32" i="19"/>
  <c r="JR4" i="19"/>
  <c r="JO12" i="19"/>
  <c r="JO25" i="19"/>
  <c r="KT30" i="19"/>
  <c r="LS12" i="19"/>
  <c r="LS30" i="19"/>
  <c r="MX6" i="19"/>
  <c r="MX9" i="19"/>
  <c r="MX16" i="19"/>
  <c r="MX18" i="19"/>
  <c r="MX25" i="19"/>
  <c r="MX26" i="19"/>
  <c r="MX30" i="19"/>
  <c r="MX34" i="19"/>
  <c r="NZ6" i="19"/>
  <c r="NZ9" i="19"/>
  <c r="NZ16" i="19"/>
  <c r="NZ18" i="19"/>
  <c r="PB34" i="19"/>
  <c r="JR13" i="21"/>
  <c r="LV9" i="21"/>
  <c r="LS25" i="21"/>
  <c r="LS22" i="21"/>
  <c r="EH5" i="21"/>
  <c r="EH18" i="21"/>
  <c r="EE20" i="21"/>
  <c r="JO6" i="21"/>
  <c r="JR19" i="21"/>
  <c r="LS4" i="21"/>
  <c r="LV16" i="21"/>
  <c r="LS17" i="21"/>
  <c r="EH9" i="21"/>
  <c r="JR8" i="21"/>
  <c r="JR21" i="21"/>
  <c r="LV7" i="21"/>
  <c r="LV11" i="21"/>
  <c r="LV20" i="21"/>
  <c r="EE5" i="21"/>
  <c r="EH12" i="21"/>
  <c r="EH17" i="21"/>
  <c r="EE23" i="21"/>
  <c r="JO13" i="21"/>
  <c r="JO23" i="21"/>
  <c r="JR4" i="21"/>
  <c r="LV6" i="21"/>
  <c r="LV14" i="21"/>
  <c r="LV19" i="21"/>
  <c r="JO18" i="21"/>
  <c r="EH8" i="21"/>
  <c r="EE10" i="21"/>
  <c r="EH15" i="21"/>
  <c r="EE18" i="21"/>
  <c r="EH23" i="21"/>
  <c r="JO9" i="21"/>
  <c r="JO16" i="21"/>
  <c r="JO24" i="21"/>
  <c r="EH7" i="21"/>
  <c r="EE25" i="21"/>
  <c r="EH14" i="21"/>
  <c r="EE17" i="21"/>
  <c r="EH22" i="21"/>
  <c r="EE26" i="21"/>
  <c r="LS6" i="21"/>
  <c r="LV10" i="21"/>
  <c r="LS13" i="21"/>
  <c r="LV18" i="21"/>
  <c r="LS21" i="21"/>
  <c r="EH6" i="21"/>
  <c r="EE9" i="21"/>
  <c r="EH13" i="21"/>
  <c r="EE16" i="21"/>
  <c r="EH21" i="21"/>
  <c r="EE24" i="21"/>
  <c r="JO7" i="21"/>
  <c r="JO14" i="21"/>
  <c r="JO22" i="21"/>
  <c r="KT6" i="21"/>
  <c r="KT25" i="21"/>
  <c r="KT13" i="21"/>
  <c r="KT17" i="21"/>
  <c r="KT21" i="21"/>
  <c r="KT26" i="21"/>
  <c r="LS5" i="21"/>
  <c r="LV25" i="21"/>
  <c r="LS12" i="21"/>
  <c r="LV17" i="21"/>
  <c r="LS20" i="21"/>
  <c r="LV26" i="21"/>
  <c r="FJ5" i="21"/>
  <c r="FJ9" i="21"/>
  <c r="FJ12" i="21"/>
  <c r="FJ16" i="21"/>
  <c r="FJ20" i="21"/>
  <c r="FJ24" i="21"/>
  <c r="GL6" i="21"/>
  <c r="GL25" i="21"/>
  <c r="GL13" i="21"/>
  <c r="GL17" i="21"/>
  <c r="GL21" i="21"/>
  <c r="GL26" i="21"/>
  <c r="HN7" i="21"/>
  <c r="HN10" i="21"/>
  <c r="HN14" i="21"/>
  <c r="HN18" i="21"/>
  <c r="HN22" i="21"/>
  <c r="IP4" i="21"/>
  <c r="IP8" i="21"/>
  <c r="IP11" i="21"/>
  <c r="IP15" i="21"/>
  <c r="IP19" i="21"/>
  <c r="IP23" i="21"/>
  <c r="JR10" i="21"/>
  <c r="JR18" i="21"/>
  <c r="LS19" i="21"/>
  <c r="MX7" i="21"/>
  <c r="MX10" i="21"/>
  <c r="MX14" i="21"/>
  <c r="MX18" i="21"/>
  <c r="MX22" i="21"/>
  <c r="NZ4" i="21"/>
  <c r="NZ8" i="21"/>
  <c r="NZ11" i="21"/>
  <c r="NZ15" i="21"/>
  <c r="NZ19" i="21"/>
  <c r="NZ23" i="21"/>
  <c r="PB5" i="21"/>
  <c r="PB9" i="21"/>
  <c r="PB12" i="21"/>
  <c r="PB16" i="21"/>
  <c r="PB20" i="21"/>
  <c r="PB24" i="21"/>
  <c r="EH4" i="21"/>
  <c r="EE7" i="21"/>
  <c r="EH11" i="21"/>
  <c r="EE14" i="21"/>
  <c r="EH19" i="21"/>
  <c r="EE22" i="21"/>
  <c r="JO5" i="21"/>
  <c r="JR25" i="21"/>
  <c r="JO12" i="21"/>
  <c r="JR17" i="21"/>
  <c r="JO20" i="21"/>
  <c r="JR26" i="21"/>
  <c r="KT5" i="21"/>
  <c r="KT9" i="21"/>
  <c r="KT12" i="21"/>
  <c r="KT16" i="21"/>
  <c r="KT20" i="21"/>
  <c r="KT24" i="21"/>
  <c r="LV8" i="21"/>
  <c r="LS10" i="21"/>
  <c r="LV15" i="21"/>
  <c r="LS18" i="21"/>
  <c r="LV23" i="21"/>
  <c r="FJ4" i="21"/>
  <c r="FJ8" i="21"/>
  <c r="FJ11" i="21"/>
  <c r="FJ15" i="21"/>
  <c r="FJ19" i="21"/>
  <c r="FJ23" i="21"/>
  <c r="GL5" i="21"/>
  <c r="GL9" i="21"/>
  <c r="GL12" i="21"/>
  <c r="GL16" i="21"/>
  <c r="GL20" i="21"/>
  <c r="GL24" i="21"/>
  <c r="HN6" i="21"/>
  <c r="HN25" i="21"/>
  <c r="HN13" i="21"/>
  <c r="HN17" i="21"/>
  <c r="HN21" i="21"/>
  <c r="HN26" i="21"/>
  <c r="IP7" i="21"/>
  <c r="IP10" i="21"/>
  <c r="IP14" i="21"/>
  <c r="IP18" i="21"/>
  <c r="IP22" i="21"/>
  <c r="JO4" i="21"/>
  <c r="JR9" i="21"/>
  <c r="JO11" i="21"/>
  <c r="JR16" i="21"/>
  <c r="JO19" i="21"/>
  <c r="JR24" i="21"/>
  <c r="MX6" i="21"/>
  <c r="MX25" i="21"/>
  <c r="MX13" i="21"/>
  <c r="MX17" i="21"/>
  <c r="MX21" i="21"/>
  <c r="MX26" i="21"/>
  <c r="NZ7" i="21"/>
  <c r="NZ10" i="21"/>
  <c r="NZ14" i="21"/>
  <c r="NZ18" i="21"/>
  <c r="NZ22" i="21"/>
  <c r="PB4" i="21"/>
  <c r="PB8" i="21"/>
  <c r="PB11" i="21"/>
  <c r="PB15" i="21"/>
  <c r="PB19" i="21"/>
  <c r="PB23" i="21"/>
  <c r="JR9" i="19"/>
  <c r="JO21" i="19"/>
  <c r="JO26" i="19"/>
  <c r="JR29" i="19"/>
  <c r="KQ24" i="19"/>
  <c r="KQ30" i="19"/>
  <c r="KT33" i="19"/>
  <c r="LS34" i="19"/>
  <c r="EH7" i="19"/>
  <c r="EH10" i="19"/>
  <c r="EH13" i="19"/>
  <c r="EH19" i="19"/>
  <c r="EH25" i="19"/>
  <c r="EH26" i="19"/>
  <c r="EH30" i="19"/>
  <c r="EH34" i="19"/>
  <c r="FJ6" i="19"/>
  <c r="FJ9" i="19"/>
  <c r="FJ16" i="19"/>
  <c r="FJ18" i="19"/>
  <c r="FJ21" i="19"/>
  <c r="GL20" i="19"/>
  <c r="GL34" i="19"/>
  <c r="HN10" i="19"/>
  <c r="HN20" i="19"/>
  <c r="HN22" i="19"/>
  <c r="HN27" i="19"/>
  <c r="HN31" i="19"/>
  <c r="HN35" i="19"/>
  <c r="IP7" i="19"/>
  <c r="IP10" i="19"/>
  <c r="JR19" i="19"/>
  <c r="JR33" i="19"/>
  <c r="KT25" i="19"/>
  <c r="LV7" i="19"/>
  <c r="LV10" i="19"/>
  <c r="LV14" i="19"/>
  <c r="LV20" i="19"/>
  <c r="LV33" i="19"/>
  <c r="JO6" i="19"/>
  <c r="JO10" i="19"/>
  <c r="JR16" i="19"/>
  <c r="JO30" i="19"/>
  <c r="KQ13" i="19"/>
  <c r="KT18" i="19"/>
  <c r="KQ23" i="19"/>
  <c r="KQ34" i="19"/>
  <c r="GL4" i="19"/>
  <c r="GL19" i="19"/>
  <c r="HN19" i="19"/>
  <c r="HN25" i="19"/>
  <c r="HN26" i="19"/>
  <c r="HN30" i="19"/>
  <c r="HN34" i="19"/>
  <c r="IP6" i="19"/>
  <c r="IP9" i="19"/>
  <c r="IP16" i="19"/>
  <c r="IP18" i="19"/>
  <c r="IP21" i="19"/>
  <c r="IP24" i="19"/>
  <c r="IP29" i="19"/>
  <c r="IP33" i="19"/>
  <c r="JR18" i="19"/>
  <c r="KT21" i="19"/>
  <c r="LV22" i="19"/>
  <c r="LV27" i="19"/>
  <c r="HN7" i="19"/>
  <c r="HK17" i="19"/>
  <c r="JO5" i="19"/>
  <c r="JO13" i="19"/>
  <c r="JO23" i="19"/>
  <c r="KQ19" i="19"/>
  <c r="KQ28" i="19"/>
  <c r="LS19" i="19"/>
  <c r="PB32" i="19"/>
  <c r="HN13" i="19"/>
  <c r="HK15" i="19"/>
  <c r="JO17" i="19"/>
  <c r="JO33" i="19"/>
  <c r="LS26" i="19"/>
  <c r="EH5" i="19"/>
  <c r="EH17" i="19"/>
  <c r="EH12" i="19"/>
  <c r="EH15" i="19"/>
  <c r="EH23" i="19"/>
  <c r="EH28" i="19"/>
  <c r="EH32" i="19"/>
  <c r="FJ4" i="19"/>
  <c r="FJ8" i="19"/>
  <c r="FJ11" i="19"/>
  <c r="FJ14" i="19"/>
  <c r="FJ20" i="19"/>
  <c r="FJ22" i="19"/>
  <c r="GL9" i="19"/>
  <c r="GI12" i="19"/>
  <c r="GL18" i="19"/>
  <c r="GL24" i="19"/>
  <c r="GI28" i="19"/>
  <c r="GL33" i="19"/>
  <c r="HK20" i="19"/>
  <c r="HK21" i="19"/>
  <c r="HK25" i="19"/>
  <c r="HK22" i="19"/>
  <c r="HK23" i="19"/>
  <c r="HK24" i="19"/>
  <c r="HK26" i="19"/>
  <c r="HK27" i="19"/>
  <c r="HK28" i="19"/>
  <c r="HK29" i="19"/>
  <c r="HK30" i="19"/>
  <c r="HK31" i="19"/>
  <c r="HK32" i="19"/>
  <c r="HK33" i="19"/>
  <c r="HK34" i="19"/>
  <c r="LS11" i="19"/>
  <c r="LV15" i="19"/>
  <c r="LS20" i="19"/>
  <c r="LV23" i="19"/>
  <c r="LS27" i="19"/>
  <c r="LV32" i="19"/>
  <c r="GI4" i="19"/>
  <c r="GL17" i="19"/>
  <c r="GI11" i="19"/>
  <c r="GL15" i="19"/>
  <c r="GI20" i="19"/>
  <c r="GL23" i="19"/>
  <c r="GI27" i="19"/>
  <c r="GL32" i="19"/>
  <c r="GI35" i="19"/>
  <c r="HK8" i="19"/>
  <c r="HK14" i="19"/>
  <c r="KT4" i="19"/>
  <c r="KT8" i="19"/>
  <c r="KT11" i="19"/>
  <c r="LV6" i="19"/>
  <c r="LV9" i="19"/>
  <c r="MX5" i="19"/>
  <c r="MX17" i="19"/>
  <c r="MX12" i="19"/>
  <c r="MX15" i="19"/>
  <c r="MX23" i="19"/>
  <c r="MX28" i="19"/>
  <c r="MX32" i="19"/>
  <c r="NZ4" i="19"/>
  <c r="NZ8" i="19"/>
  <c r="NZ11" i="19"/>
  <c r="NZ14" i="19"/>
  <c r="NZ20" i="19"/>
  <c r="NZ22" i="19"/>
  <c r="NZ27" i="19"/>
  <c r="NZ31" i="19"/>
  <c r="NZ35" i="19"/>
  <c r="PB7" i="19"/>
  <c r="PB10" i="19"/>
  <c r="PB13" i="19"/>
  <c r="PB19" i="19"/>
  <c r="PB25" i="19"/>
  <c r="PB26" i="19"/>
  <c r="PB30" i="19"/>
  <c r="GL8" i="19"/>
  <c r="GI10" i="19"/>
  <c r="GL14" i="19"/>
  <c r="GI19" i="19"/>
  <c r="GL22" i="19"/>
  <c r="GI26" i="19"/>
  <c r="GL31" i="19"/>
  <c r="GI34" i="19"/>
  <c r="HN4" i="19"/>
  <c r="HN11" i="19"/>
  <c r="JO4" i="19"/>
  <c r="JR17" i="19"/>
  <c r="JO11" i="19"/>
  <c r="JR15" i="19"/>
  <c r="JO20" i="19"/>
  <c r="JR23" i="19"/>
  <c r="JO27" i="19"/>
  <c r="JR32" i="19"/>
  <c r="JO35" i="19"/>
  <c r="KQ14" i="19"/>
  <c r="KQ22" i="19"/>
  <c r="KT28" i="19"/>
  <c r="KQ31" i="19"/>
  <c r="LV13" i="19"/>
  <c r="LS18" i="19"/>
  <c r="LV25" i="19"/>
  <c r="LS24" i="19"/>
  <c r="LV30" i="19"/>
  <c r="LS33" i="19"/>
  <c r="GL7" i="19"/>
  <c r="GI9" i="19"/>
  <c r="GL13" i="19"/>
  <c r="GI18" i="19"/>
  <c r="GL25" i="19"/>
  <c r="GI24" i="19"/>
  <c r="GL30" i="19"/>
  <c r="GI33" i="19"/>
  <c r="KT7" i="19"/>
  <c r="KT10" i="19"/>
  <c r="LV5" i="19"/>
  <c r="LV17" i="19"/>
  <c r="LV16" i="19"/>
  <c r="LS15" i="19"/>
  <c r="LV21" i="19"/>
  <c r="LS23" i="19"/>
  <c r="LV29" i="19"/>
  <c r="LS32" i="19"/>
  <c r="MX4" i="19"/>
  <c r="MX8" i="19"/>
  <c r="MX11" i="19"/>
  <c r="MX14" i="19"/>
  <c r="MX20" i="19"/>
  <c r="MX22" i="19"/>
  <c r="MX27" i="19"/>
  <c r="MX31" i="19"/>
  <c r="MX35" i="19"/>
  <c r="NZ7" i="19"/>
  <c r="NZ10" i="19"/>
  <c r="NZ13" i="19"/>
  <c r="NZ19" i="19"/>
  <c r="NZ25" i="19"/>
  <c r="NZ26" i="19"/>
  <c r="NZ30" i="19"/>
  <c r="NZ34" i="19"/>
  <c r="PB6" i="19"/>
  <c r="PB9" i="19"/>
  <c r="PB16" i="19"/>
  <c r="PB18" i="19"/>
  <c r="PB21" i="19"/>
  <c r="PB24" i="19"/>
  <c r="PB29" i="19"/>
  <c r="PB33" i="19"/>
  <c r="FJ24" i="19"/>
  <c r="FJ29" i="19"/>
  <c r="FJ33" i="19"/>
  <c r="GL6" i="19"/>
  <c r="GI17" i="19"/>
  <c r="GL16" i="19"/>
  <c r="GI15" i="19"/>
  <c r="GL21" i="19"/>
  <c r="GI23" i="19"/>
  <c r="GL29" i="19"/>
  <c r="GI32" i="19"/>
  <c r="HK5" i="19"/>
  <c r="HN9" i="19"/>
  <c r="HK12" i="19"/>
  <c r="HN18" i="19"/>
  <c r="IP4" i="19"/>
  <c r="IP8" i="19"/>
  <c r="IP11" i="19"/>
  <c r="IP14" i="19"/>
  <c r="IP20" i="19"/>
  <c r="IP22" i="19"/>
  <c r="IP27" i="19"/>
  <c r="IP31" i="19"/>
  <c r="IP35" i="19"/>
  <c r="JR7" i="19"/>
  <c r="JO9" i="19"/>
  <c r="JR13" i="19"/>
  <c r="JO18" i="19"/>
  <c r="JR25" i="19"/>
  <c r="JO24" i="19"/>
  <c r="JR30" i="19"/>
  <c r="JO34" i="19"/>
  <c r="KT19" i="19"/>
  <c r="KQ21" i="19"/>
  <c r="KT26" i="19"/>
  <c r="KQ29" i="19"/>
  <c r="KT34" i="19"/>
  <c r="LV12" i="19"/>
  <c r="LS14" i="19"/>
  <c r="LS22" i="19"/>
  <c r="LV28" i="19"/>
  <c r="LS31" i="19"/>
  <c r="GL5" i="19"/>
  <c r="EH6" i="19"/>
  <c r="EH9" i="19"/>
  <c r="EH16" i="19"/>
  <c r="EH18" i="19"/>
  <c r="EH21" i="19"/>
  <c r="EH24" i="19"/>
  <c r="EH29" i="19"/>
  <c r="EH33" i="19"/>
  <c r="FJ5" i="19"/>
  <c r="FJ17" i="19"/>
  <c r="FJ12" i="19"/>
  <c r="FJ15" i="19"/>
  <c r="FJ23" i="19"/>
  <c r="FJ28" i="19"/>
  <c r="FJ32" i="19"/>
  <c r="HK10" i="19"/>
  <c r="HK19" i="19"/>
  <c r="HK35" i="19"/>
  <c r="IP13" i="19"/>
  <c r="IP19" i="19"/>
  <c r="IP25" i="19"/>
  <c r="IP26" i="19"/>
  <c r="IP30" i="19"/>
  <c r="IP34" i="19"/>
  <c r="JR5" i="19"/>
  <c r="JO8" i="19"/>
  <c r="JR12" i="19"/>
  <c r="JO14" i="19"/>
  <c r="JO22" i="19"/>
  <c r="JR28" i="19"/>
  <c r="JO31" i="19"/>
  <c r="KT15" i="19"/>
  <c r="KQ20" i="19"/>
  <c r="KT23" i="19"/>
  <c r="KQ27" i="19"/>
  <c r="KT32" i="19"/>
  <c r="KQ35" i="19"/>
  <c r="LS16" i="19"/>
  <c r="LV19" i="19"/>
  <c r="LS21" i="19"/>
  <c r="LV26" i="19"/>
  <c r="LS29" i="19"/>
  <c r="LV34" i="19"/>
  <c r="EH7" i="27"/>
  <c r="EH19" i="27"/>
  <c r="EH13" i="27"/>
  <c r="EH17" i="27"/>
  <c r="EH22" i="27"/>
  <c r="FJ7" i="27"/>
  <c r="FJ19" i="27"/>
  <c r="FJ13" i="27"/>
  <c r="FJ17" i="27"/>
  <c r="FJ22" i="27"/>
  <c r="GL7" i="27"/>
  <c r="GL19" i="27"/>
  <c r="GL13" i="27"/>
  <c r="GL17" i="27"/>
  <c r="GL22" i="27"/>
  <c r="HN7" i="27"/>
  <c r="HN19" i="27"/>
  <c r="HN13" i="27"/>
  <c r="HN17" i="27"/>
  <c r="HN22" i="27"/>
  <c r="IP7" i="27"/>
  <c r="IP19" i="27"/>
  <c r="IP13" i="27"/>
  <c r="IP17" i="27"/>
  <c r="IP22" i="27"/>
  <c r="JR7" i="27"/>
  <c r="JR19" i="27"/>
  <c r="JR13" i="27"/>
  <c r="JR17" i="27"/>
  <c r="JR22" i="27"/>
  <c r="KT7" i="27"/>
  <c r="KT19" i="27"/>
  <c r="KT13" i="27"/>
  <c r="KT17" i="27"/>
  <c r="KT22" i="27"/>
  <c r="LV7" i="27"/>
  <c r="LV19" i="27"/>
  <c r="LV13" i="27"/>
  <c r="LV17" i="27"/>
  <c r="LV22" i="27"/>
  <c r="MX7" i="27"/>
  <c r="MX19" i="27"/>
  <c r="MX13" i="27"/>
  <c r="MX17" i="27"/>
  <c r="MX22" i="27"/>
  <c r="NZ7" i="27"/>
  <c r="NZ19" i="27"/>
  <c r="NZ13" i="27"/>
  <c r="NZ17" i="27"/>
  <c r="NZ22" i="27"/>
  <c r="PB7" i="27"/>
  <c r="PB19" i="27"/>
  <c r="PB13" i="27"/>
  <c r="PB17" i="27"/>
  <c r="PB22" i="27"/>
  <c r="LV21" i="27"/>
  <c r="MX6" i="27"/>
  <c r="MX10" i="27"/>
  <c r="MX16" i="27"/>
  <c r="MX21" i="27"/>
  <c r="NZ6" i="27"/>
  <c r="NZ10" i="27"/>
  <c r="NZ16" i="27"/>
  <c r="NZ21" i="27"/>
  <c r="PB6" i="27"/>
  <c r="PB10" i="27"/>
  <c r="PB16" i="27"/>
  <c r="PB21" i="27"/>
  <c r="EH5" i="27"/>
  <c r="EH9" i="27"/>
  <c r="EH12" i="27"/>
  <c r="EH15" i="27"/>
  <c r="EH20" i="27"/>
  <c r="FJ5" i="27"/>
  <c r="FJ9" i="27"/>
  <c r="FJ12" i="27"/>
  <c r="FJ15" i="27"/>
  <c r="FJ20" i="27"/>
  <c r="GL5" i="27"/>
  <c r="GL9" i="27"/>
  <c r="GL12" i="27"/>
  <c r="GL15" i="27"/>
  <c r="GL20" i="27"/>
  <c r="HN5" i="27"/>
  <c r="HN9" i="27"/>
  <c r="HN12" i="27"/>
  <c r="HN15" i="27"/>
  <c r="HN20" i="27"/>
  <c r="IP5" i="27"/>
  <c r="IP9" i="27"/>
  <c r="IP12" i="27"/>
  <c r="IP15" i="27"/>
  <c r="IP20" i="27"/>
  <c r="JR5" i="27"/>
  <c r="JR9" i="27"/>
  <c r="JR12" i="27"/>
  <c r="JR15" i="27"/>
  <c r="JR20" i="27"/>
  <c r="KT5" i="27"/>
  <c r="KT9" i="27"/>
  <c r="KT12" i="27"/>
  <c r="KT15" i="27"/>
  <c r="KT20" i="27"/>
  <c r="LV5" i="27"/>
  <c r="LV9" i="27"/>
  <c r="LV12" i="27"/>
  <c r="LV15" i="27"/>
  <c r="LV20" i="27"/>
  <c r="MX5" i="27"/>
  <c r="MX9" i="27"/>
  <c r="MX12" i="27"/>
  <c r="MX15" i="27"/>
  <c r="MX20" i="27"/>
  <c r="NZ5" i="27"/>
  <c r="NZ9" i="27"/>
  <c r="NZ12" i="27"/>
  <c r="NZ15" i="27"/>
  <c r="NZ20" i="27"/>
  <c r="PB5" i="27"/>
  <c r="PB9" i="27"/>
  <c r="PB12" i="27"/>
  <c r="PB15" i="27"/>
  <c r="PB20" i="27"/>
  <c r="NZ4" i="27"/>
  <c r="NZ8" i="27"/>
  <c r="NZ11" i="27"/>
  <c r="PB18" i="27"/>
  <c r="EH6" i="27"/>
  <c r="EH10" i="27"/>
  <c r="EH16" i="27"/>
  <c r="EH21" i="27"/>
  <c r="FJ6" i="27"/>
  <c r="FJ10" i="27"/>
  <c r="FJ16" i="27"/>
  <c r="FJ21" i="27"/>
  <c r="GL6" i="27"/>
  <c r="GL10" i="27"/>
  <c r="GL16" i="27"/>
  <c r="GL21" i="27"/>
  <c r="HN6" i="27"/>
  <c r="HN10" i="27"/>
  <c r="HN16" i="27"/>
  <c r="HN21" i="27"/>
  <c r="IP6" i="27"/>
  <c r="IP10" i="27"/>
  <c r="IP16" i="27"/>
  <c r="IP21" i="27"/>
  <c r="JR6" i="27"/>
  <c r="JR10" i="27"/>
  <c r="JR16" i="27"/>
  <c r="JR21" i="27"/>
  <c r="KT6" i="27"/>
  <c r="KT10" i="27"/>
  <c r="KT16" i="27"/>
  <c r="KT21" i="27"/>
  <c r="LV6" i="27"/>
  <c r="LV10" i="27"/>
  <c r="LV16" i="27"/>
  <c r="HN11" i="26"/>
  <c r="IP10" i="26"/>
  <c r="IP14" i="26"/>
  <c r="JR4" i="26"/>
  <c r="JR8" i="26"/>
  <c r="JR12" i="26"/>
  <c r="JR16" i="26"/>
  <c r="KT6" i="26"/>
  <c r="KT10" i="26"/>
  <c r="KT14" i="26"/>
  <c r="LV4" i="26"/>
  <c r="LV8" i="26"/>
  <c r="MX6" i="26"/>
  <c r="MX10" i="26"/>
  <c r="MX14" i="26"/>
  <c r="NZ4" i="26"/>
  <c r="NZ8" i="26"/>
  <c r="NZ16" i="26"/>
  <c r="PB6" i="26"/>
  <c r="PB10" i="26"/>
  <c r="EH4" i="26"/>
  <c r="EH8" i="26"/>
  <c r="EH12" i="26"/>
  <c r="EH16" i="26"/>
  <c r="FJ6" i="26"/>
  <c r="FJ10" i="26"/>
  <c r="FJ14" i="26"/>
  <c r="GL4" i="26"/>
  <c r="GL8" i="26"/>
  <c r="GL12" i="26"/>
  <c r="GL16" i="26"/>
  <c r="HN6" i="26"/>
  <c r="HN10" i="26"/>
  <c r="HN14" i="26"/>
  <c r="LV15" i="26"/>
  <c r="MX5" i="26"/>
  <c r="MX9" i="26"/>
  <c r="MX13" i="26"/>
  <c r="MX17" i="26"/>
  <c r="NZ7" i="26"/>
  <c r="NZ11" i="26"/>
  <c r="NZ15" i="26"/>
  <c r="PB5" i="26"/>
  <c r="PB9" i="26"/>
  <c r="PB13" i="26"/>
  <c r="PB17" i="26"/>
  <c r="IM4" i="26"/>
  <c r="LV12" i="26"/>
  <c r="LV16" i="26"/>
  <c r="NZ12" i="26"/>
  <c r="PB14" i="26"/>
  <c r="EH7" i="26"/>
  <c r="EH11" i="26"/>
  <c r="EH15" i="26"/>
  <c r="FJ5" i="26"/>
  <c r="FJ9" i="26"/>
  <c r="FJ13" i="26"/>
  <c r="FJ17" i="26"/>
  <c r="GL7" i="26"/>
  <c r="GL11" i="26"/>
  <c r="GL15" i="26"/>
  <c r="HN5" i="26"/>
  <c r="HN9" i="26"/>
  <c r="HN13" i="26"/>
  <c r="HN17" i="26"/>
  <c r="IP6" i="26"/>
  <c r="IP9" i="26"/>
  <c r="IP13" i="26"/>
  <c r="IP17" i="26"/>
  <c r="JR7" i="26"/>
  <c r="JR11" i="26"/>
  <c r="JR15" i="26"/>
  <c r="KT5" i="26"/>
  <c r="KT9" i="26"/>
  <c r="KT13" i="26"/>
  <c r="KT17" i="26"/>
  <c r="LV7" i="26"/>
  <c r="LV11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5" i="26"/>
  <c r="IM8" i="26"/>
  <c r="IM7" i="26"/>
  <c r="IP12" i="26"/>
  <c r="IP16" i="26"/>
  <c r="JR6" i="26"/>
  <c r="JR10" i="26"/>
  <c r="JR14" i="26"/>
  <c r="KT4" i="26"/>
  <c r="KT8" i="26"/>
  <c r="KT12" i="26"/>
  <c r="PB12" i="26"/>
  <c r="FQ16" i="22"/>
  <c r="IG25" i="22"/>
  <c r="FJ18" i="22"/>
  <c r="FQ18" i="22" s="1"/>
  <c r="FJ20" i="22"/>
  <c r="FJ31" i="22"/>
  <c r="FQ31" i="22" s="1"/>
  <c r="GR6" i="22"/>
  <c r="GY6" i="22" s="1"/>
  <c r="HZ19" i="22"/>
  <c r="IG19" i="22" s="1"/>
  <c r="HZ28" i="22"/>
  <c r="IG28" i="22" s="1"/>
  <c r="LX12" i="22"/>
  <c r="ME12" i="22" s="1"/>
  <c r="LX13" i="22"/>
  <c r="ME13" i="22" s="1"/>
  <c r="LX15" i="22"/>
  <c r="ME15" i="22" s="1"/>
  <c r="LX18" i="22"/>
  <c r="ME18" i="22" s="1"/>
  <c r="LX25" i="22"/>
  <c r="ME25" i="22" s="1"/>
  <c r="LX24" i="22"/>
  <c r="ME24" i="22" s="1"/>
  <c r="LX27" i="22"/>
  <c r="ME27" i="22" s="1"/>
  <c r="LX29" i="22"/>
  <c r="ME29" i="22" s="1"/>
  <c r="NF17" i="22"/>
  <c r="NM17" i="22" s="1"/>
  <c r="ON14" i="22"/>
  <c r="OU14" i="22" s="1"/>
  <c r="ON19" i="22"/>
  <c r="OU19" i="22" s="1"/>
  <c r="ON23" i="22"/>
  <c r="OU23" i="22" s="1"/>
  <c r="ON28" i="22"/>
  <c r="OU28" i="22" s="1"/>
  <c r="QC14" i="22"/>
  <c r="PV25" i="22"/>
  <c r="QC25" i="22" s="1"/>
  <c r="PV27" i="22"/>
  <c r="QC27" i="22" s="1"/>
  <c r="JH4" i="22"/>
  <c r="JO4" i="22" s="1"/>
  <c r="JH27" i="22"/>
  <c r="JO27" i="22" s="1"/>
  <c r="RD27" i="22"/>
  <c r="RK27" i="22" s="1"/>
  <c r="EB4" i="22"/>
  <c r="EI4" i="22" s="1"/>
  <c r="EB22" i="22"/>
  <c r="EI22" i="22" s="1"/>
  <c r="GR25" i="22"/>
  <c r="GY25" i="22" s="1"/>
  <c r="GR24" i="22"/>
  <c r="HZ6" i="22"/>
  <c r="IG6" i="22" s="1"/>
  <c r="HZ11" i="22"/>
  <c r="IG11" i="22" s="1"/>
  <c r="JH23" i="22"/>
  <c r="JO23" i="22" s="1"/>
  <c r="KP4" i="22"/>
  <c r="KP8" i="22"/>
  <c r="KW8" i="22" s="1"/>
  <c r="KP19" i="22"/>
  <c r="KP23" i="22"/>
  <c r="KW23" i="22" s="1"/>
  <c r="KP30" i="22"/>
  <c r="KW30" i="22" s="1"/>
  <c r="NF31" i="22"/>
  <c r="NM31" i="22" s="1"/>
  <c r="RD23" i="22"/>
  <c r="RK23" i="22" s="1"/>
  <c r="FQ22" i="22"/>
  <c r="FQ13" i="22"/>
  <c r="PV11" i="22"/>
  <c r="QC11" i="22" s="1"/>
  <c r="FJ10" i="22"/>
  <c r="FQ10" i="22" s="1"/>
  <c r="HZ27" i="22"/>
  <c r="IG27" i="22" s="1"/>
  <c r="HZ29" i="22"/>
  <c r="IG29" i="22" s="1"/>
  <c r="JH17" i="22"/>
  <c r="JO17" i="22" s="1"/>
  <c r="LX10" i="22"/>
  <c r="ME10" i="22" s="1"/>
  <c r="LX23" i="22"/>
  <c r="LX28" i="22"/>
  <c r="ME28" i="22" s="1"/>
  <c r="ON24" i="22"/>
  <c r="ON27" i="22"/>
  <c r="OU27" i="22" s="1"/>
  <c r="ON29" i="22"/>
  <c r="OU29" i="22" s="1"/>
  <c r="ON30" i="22"/>
  <c r="OU30" i="22" s="1"/>
  <c r="PV5" i="22"/>
  <c r="QC5" i="22" s="1"/>
  <c r="PV7" i="22"/>
  <c r="QC7" i="22" s="1"/>
  <c r="PV9" i="22"/>
  <c r="QC9" i="22" s="1"/>
  <c r="PV22" i="22"/>
  <c r="QC22" i="22" s="1"/>
  <c r="PV12" i="22"/>
  <c r="QC12" i="22" s="1"/>
  <c r="PV13" i="22"/>
  <c r="QC13" i="22" s="1"/>
  <c r="PV15" i="22"/>
  <c r="QC15" i="22" s="1"/>
  <c r="PV26" i="22"/>
  <c r="QC26" i="22" s="1"/>
  <c r="KW16" i="22"/>
  <c r="EB5" i="22"/>
  <c r="EI5" i="22" s="1"/>
  <c r="EB17" i="22"/>
  <c r="EI17" i="22" s="1"/>
  <c r="EB26" i="22"/>
  <c r="EI26" i="22" s="1"/>
  <c r="EB31" i="22"/>
  <c r="EI31" i="22" s="1"/>
  <c r="GR14" i="22"/>
  <c r="GY14" i="22" s="1"/>
  <c r="GR23" i="22"/>
  <c r="JO30" i="22"/>
  <c r="KW7" i="22"/>
  <c r="KW9" i="22"/>
  <c r="KW22" i="22"/>
  <c r="KW12" i="22"/>
  <c r="KW13" i="22"/>
  <c r="KW18" i="22"/>
  <c r="KP25" i="22"/>
  <c r="KW25" i="22" s="1"/>
  <c r="KP24" i="22"/>
  <c r="KW24" i="22" s="1"/>
  <c r="LX6" i="22"/>
  <c r="ME6" i="22" s="1"/>
  <c r="RK30" i="22"/>
  <c r="EB10" i="22"/>
  <c r="EI10" i="22" s="1"/>
  <c r="EB29" i="22"/>
  <c r="EI29" i="22" s="1"/>
  <c r="FJ6" i="22"/>
  <c r="FQ6" i="22" s="1"/>
  <c r="FJ14" i="22"/>
  <c r="FQ14" i="22" s="1"/>
  <c r="GR5" i="22"/>
  <c r="GY5" i="22" s="1"/>
  <c r="GR11" i="22"/>
  <c r="GY11" i="22" s="1"/>
  <c r="GR19" i="22"/>
  <c r="GY19" i="22" s="1"/>
  <c r="HZ9" i="22"/>
  <c r="IG9" i="22" s="1"/>
  <c r="HZ17" i="22"/>
  <c r="IG17" i="22" s="1"/>
  <c r="HZ23" i="22"/>
  <c r="IG23" i="22" s="1"/>
  <c r="JH12" i="22"/>
  <c r="JO12" i="22" s="1"/>
  <c r="JH16" i="22"/>
  <c r="JO16" i="22" s="1"/>
  <c r="JH28" i="22"/>
  <c r="JO28" i="22" s="1"/>
  <c r="KP15" i="22"/>
  <c r="KW15" i="22" s="1"/>
  <c r="KP21" i="22"/>
  <c r="KW21" i="22" s="1"/>
  <c r="LX4" i="22"/>
  <c r="ME4" i="22" s="1"/>
  <c r="LX20" i="22"/>
  <c r="ME20" i="22" s="1"/>
  <c r="LX26" i="22"/>
  <c r="ME26" i="22" s="1"/>
  <c r="PV17" i="22"/>
  <c r="QC17" i="22" s="1"/>
  <c r="PV23" i="22"/>
  <c r="QC23" i="22" s="1"/>
  <c r="RD12" i="22"/>
  <c r="RK12" i="22" s="1"/>
  <c r="RD28" i="22"/>
  <c r="RK28" i="22" s="1"/>
  <c r="EB6" i="22"/>
  <c r="EI6" i="22" s="1"/>
  <c r="EI14" i="22"/>
  <c r="FQ5" i="22"/>
  <c r="FJ11" i="22"/>
  <c r="FQ11" i="22" s="1"/>
  <c r="FQ19" i="22"/>
  <c r="FQ25" i="22"/>
  <c r="GY9" i="22"/>
  <c r="GR17" i="22"/>
  <c r="GY17" i="22" s="1"/>
  <c r="GY23" i="22"/>
  <c r="GY27" i="22"/>
  <c r="HZ16" i="22"/>
  <c r="IG16" i="22" s="1"/>
  <c r="IG30" i="22"/>
  <c r="JO15" i="22"/>
  <c r="JH21" i="22"/>
  <c r="JO21" i="22" s="1"/>
  <c r="KW4" i="22"/>
  <c r="KW20" i="22"/>
  <c r="KP26" i="22"/>
  <c r="KW26" i="22" s="1"/>
  <c r="ME22" i="22"/>
  <c r="LX31" i="22"/>
  <c r="ME31" i="22" s="1"/>
  <c r="NM16" i="22"/>
  <c r="OU9" i="22"/>
  <c r="ON17" i="22"/>
  <c r="OU17" i="22" s="1"/>
  <c r="PV16" i="22"/>
  <c r="QC16" i="22" s="1"/>
  <c r="EB11" i="22"/>
  <c r="EI11" i="22" s="1"/>
  <c r="FJ17" i="22"/>
  <c r="FQ17" i="22" s="1"/>
  <c r="GR16" i="22"/>
  <c r="GY16" i="22" s="1"/>
  <c r="HZ21" i="22"/>
  <c r="IG21" i="22" s="1"/>
  <c r="JH26" i="22"/>
  <c r="JO26" i="22" s="1"/>
  <c r="KP31" i="22"/>
  <c r="KW31" i="22" s="1"/>
  <c r="ON16" i="22"/>
  <c r="OU16" i="22" s="1"/>
  <c r="PV21" i="22"/>
  <c r="QC21" i="22" s="1"/>
  <c r="RD6" i="22"/>
  <c r="RK6" i="22" s="1"/>
  <c r="RD26" i="22"/>
  <c r="RK26" i="22" s="1"/>
  <c r="EB9" i="22"/>
  <c r="EI9" i="22" s="1"/>
  <c r="EB23" i="22"/>
  <c r="EI23" i="22" s="1"/>
  <c r="FJ12" i="22"/>
  <c r="FQ12" i="22" s="1"/>
  <c r="FJ28" i="22"/>
  <c r="FQ28" i="22" s="1"/>
  <c r="GR15" i="22"/>
  <c r="GY15" i="22" s="1"/>
  <c r="GY21" i="22"/>
  <c r="HZ4" i="22"/>
  <c r="IG4" i="22" s="1"/>
  <c r="HZ20" i="22"/>
  <c r="IG20" i="22" s="1"/>
  <c r="IG26" i="22"/>
  <c r="JH8" i="22"/>
  <c r="JO8" i="22" s="1"/>
  <c r="JH24" i="22"/>
  <c r="JO24" i="22" s="1"/>
  <c r="KP10" i="22"/>
  <c r="KW10" i="22" s="1"/>
  <c r="KP29" i="22"/>
  <c r="KW29" i="22" s="1"/>
  <c r="LX14" i="22"/>
  <c r="ME14" i="22" s="1"/>
  <c r="NF5" i="22"/>
  <c r="NM5" i="22" s="1"/>
  <c r="NF10" i="22"/>
  <c r="NM10" i="22" s="1"/>
  <c r="NF20" i="22"/>
  <c r="NM20" i="22" s="1"/>
  <c r="NF28" i="22"/>
  <c r="NM28" i="22" s="1"/>
  <c r="ON15" i="22"/>
  <c r="OU15" i="22" s="1"/>
  <c r="ON21" i="22"/>
  <c r="OU21" i="22" s="1"/>
  <c r="PV4" i="22"/>
  <c r="QC4" i="22" s="1"/>
  <c r="PV20" i="22"/>
  <c r="QC20" i="22" s="1"/>
  <c r="RD8" i="22"/>
  <c r="RK8" i="22" s="1"/>
  <c r="RD11" i="22"/>
  <c r="RK11" i="22" s="1"/>
  <c r="RD24" i="22"/>
  <c r="RK24" i="22" s="1"/>
  <c r="EB12" i="22"/>
  <c r="EI12" i="22" s="1"/>
  <c r="EB16" i="22"/>
  <c r="EI16" i="22" s="1"/>
  <c r="EB28" i="22"/>
  <c r="EI28" i="22" s="1"/>
  <c r="FJ15" i="22"/>
  <c r="FQ15" i="22" s="1"/>
  <c r="FJ21" i="22"/>
  <c r="FQ21" i="22" s="1"/>
  <c r="GR4" i="22"/>
  <c r="GY4" i="22" s="1"/>
  <c r="GR20" i="22"/>
  <c r="GY20" i="22" s="1"/>
  <c r="GR26" i="22"/>
  <c r="GY26" i="22" s="1"/>
  <c r="HZ8" i="22"/>
  <c r="IG8" i="22" s="1"/>
  <c r="HZ24" i="22"/>
  <c r="IG24" i="22" s="1"/>
  <c r="HZ31" i="22"/>
  <c r="IG31" i="22" s="1"/>
  <c r="JH10" i="22"/>
  <c r="JO10" i="22" s="1"/>
  <c r="JH29" i="22"/>
  <c r="JO29" i="22" s="1"/>
  <c r="KP6" i="22"/>
  <c r="KW6" i="22" s="1"/>
  <c r="KP14" i="22"/>
  <c r="KW14" i="22" s="1"/>
  <c r="LX5" i="22"/>
  <c r="ME5" i="22" s="1"/>
  <c r="LX11" i="22"/>
  <c r="ME11" i="22" s="1"/>
  <c r="LX19" i="22"/>
  <c r="ME19" i="22" s="1"/>
  <c r="ON4" i="22"/>
  <c r="OU4" i="22" s="1"/>
  <c r="ON6" i="22"/>
  <c r="OU6" i="22" s="1"/>
  <c r="ON20" i="22"/>
  <c r="OU20" i="22" s="1"/>
  <c r="ON26" i="22"/>
  <c r="OU26" i="22" s="1"/>
  <c r="PV8" i="22"/>
  <c r="QC8" i="22" s="1"/>
  <c r="PV24" i="22"/>
  <c r="QC24" i="22" s="1"/>
  <c r="PV31" i="22"/>
  <c r="QC31" i="22" s="1"/>
  <c r="RD10" i="22"/>
  <c r="RK10" i="22" s="1"/>
  <c r="RD17" i="22"/>
  <c r="RK17" i="22" s="1"/>
  <c r="RD29" i="22"/>
  <c r="RK29" i="22" s="1"/>
  <c r="EI15" i="22"/>
  <c r="EB21" i="22"/>
  <c r="EI21" i="22" s="1"/>
  <c r="FQ4" i="22"/>
  <c r="FQ20" i="22"/>
  <c r="FJ26" i="22"/>
  <c r="FQ26" i="22" s="1"/>
  <c r="GY8" i="22"/>
  <c r="GY24" i="22"/>
  <c r="GR31" i="22"/>
  <c r="GY31" i="22" s="1"/>
  <c r="IG10" i="22"/>
  <c r="JH6" i="22"/>
  <c r="JO6" i="22" s="1"/>
  <c r="JO14" i="22"/>
  <c r="KW5" i="22"/>
  <c r="KP11" i="22"/>
  <c r="KW11" i="22" s="1"/>
  <c r="KW19" i="22"/>
  <c r="ME9" i="22"/>
  <c r="LX17" i="22"/>
  <c r="ME17" i="22" s="1"/>
  <c r="ME23" i="22"/>
  <c r="NM9" i="22"/>
  <c r="NM14" i="22"/>
  <c r="NM24" i="22"/>
  <c r="OU8" i="22"/>
  <c r="OU11" i="22"/>
  <c r="OU24" i="22"/>
  <c r="ON31" i="22"/>
  <c r="OU31" i="22" s="1"/>
  <c r="QC10" i="22"/>
  <c r="QC29" i="22"/>
  <c r="RK14" i="22"/>
  <c r="RK16" i="22"/>
  <c r="OY4" i="21"/>
  <c r="OY5" i="21"/>
  <c r="OY6" i="21"/>
  <c r="OY7" i="21"/>
  <c r="OY8" i="21"/>
  <c r="OY9" i="21"/>
  <c r="OY25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6" i="21"/>
  <c r="NW4" i="21"/>
  <c r="NW5" i="21"/>
  <c r="NW6" i="21"/>
  <c r="NW7" i="21"/>
  <c r="NW8" i="21"/>
  <c r="NW9" i="21"/>
  <c r="NW25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6" i="21"/>
  <c r="MU4" i="21"/>
  <c r="MU5" i="21"/>
  <c r="MU6" i="21"/>
  <c r="MU7" i="21"/>
  <c r="MU8" i="21"/>
  <c r="MU9" i="21"/>
  <c r="MU25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6" i="21"/>
  <c r="KQ4" i="21"/>
  <c r="KQ5" i="21"/>
  <c r="KQ6" i="21"/>
  <c r="KQ7" i="21"/>
  <c r="KQ8" i="21"/>
  <c r="KQ9" i="21"/>
  <c r="KQ25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6" i="21"/>
  <c r="IM4" i="21"/>
  <c r="IM5" i="21"/>
  <c r="IM6" i="21"/>
  <c r="IM7" i="21"/>
  <c r="IM8" i="21"/>
  <c r="IM9" i="21"/>
  <c r="IM25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6" i="21"/>
  <c r="HK4" i="21"/>
  <c r="HK5" i="21"/>
  <c r="HK6" i="21"/>
  <c r="HK7" i="21"/>
  <c r="HK8" i="21"/>
  <c r="HK9" i="21"/>
  <c r="HK25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6" i="21"/>
  <c r="GI4" i="21"/>
  <c r="GI5" i="21"/>
  <c r="GI6" i="21"/>
  <c r="GI7" i="21"/>
  <c r="GI8" i="21"/>
  <c r="GI9" i="21"/>
  <c r="GI25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6" i="21"/>
  <c r="FG4" i="21"/>
  <c r="FG5" i="21"/>
  <c r="FG6" i="21"/>
  <c r="FG7" i="21"/>
  <c r="FG8" i="21"/>
  <c r="FG9" i="21"/>
  <c r="FG25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6" i="21"/>
  <c r="OY4" i="19"/>
  <c r="OY5" i="19"/>
  <c r="OY6" i="19"/>
  <c r="OY7" i="19"/>
  <c r="OY8" i="19"/>
  <c r="OY17" i="19"/>
  <c r="OY9" i="19"/>
  <c r="OY10" i="19"/>
  <c r="OY11" i="19"/>
  <c r="OY12" i="19"/>
  <c r="OY16" i="19"/>
  <c r="OY13" i="19"/>
  <c r="OY14" i="19"/>
  <c r="OY15" i="19"/>
  <c r="OY18" i="19"/>
  <c r="OY19" i="19"/>
  <c r="OY20" i="19"/>
  <c r="OY21" i="19"/>
  <c r="OY25" i="19"/>
  <c r="OY22" i="19"/>
  <c r="OY23" i="19"/>
  <c r="OY24" i="19"/>
  <c r="OY26" i="19"/>
  <c r="OY27" i="19"/>
  <c r="OY28" i="19"/>
  <c r="OY29" i="19"/>
  <c r="OY30" i="19"/>
  <c r="OY31" i="19"/>
  <c r="OY32" i="19"/>
  <c r="OY33" i="19"/>
  <c r="OY34" i="19"/>
  <c r="OY35" i="19"/>
  <c r="NW4" i="19"/>
  <c r="NW5" i="19"/>
  <c r="NW6" i="19"/>
  <c r="NW7" i="19"/>
  <c r="NW8" i="19"/>
  <c r="NW17" i="19"/>
  <c r="NW9" i="19"/>
  <c r="NW10" i="19"/>
  <c r="NW11" i="19"/>
  <c r="NW12" i="19"/>
  <c r="NW16" i="19"/>
  <c r="NW13" i="19"/>
  <c r="NW14" i="19"/>
  <c r="NW15" i="19"/>
  <c r="NW18" i="19"/>
  <c r="NW19" i="19"/>
  <c r="NW20" i="19"/>
  <c r="NW21" i="19"/>
  <c r="NW25" i="19"/>
  <c r="NW22" i="19"/>
  <c r="NW23" i="19"/>
  <c r="NW24" i="19"/>
  <c r="NW26" i="19"/>
  <c r="NW27" i="19"/>
  <c r="NW28" i="19"/>
  <c r="NW29" i="19"/>
  <c r="NW30" i="19"/>
  <c r="NW31" i="19"/>
  <c r="NW32" i="19"/>
  <c r="NW33" i="19"/>
  <c r="NW34" i="19"/>
  <c r="NW35" i="19"/>
  <c r="MU4" i="19"/>
  <c r="MU5" i="19"/>
  <c r="MU6" i="19"/>
  <c r="MU7" i="19"/>
  <c r="MU8" i="19"/>
  <c r="MU17" i="19"/>
  <c r="MU9" i="19"/>
  <c r="MU10" i="19"/>
  <c r="MU11" i="19"/>
  <c r="MU12" i="19"/>
  <c r="MU16" i="19"/>
  <c r="MU13" i="19"/>
  <c r="MU14" i="19"/>
  <c r="MU15" i="19"/>
  <c r="MU18" i="19"/>
  <c r="MU19" i="19"/>
  <c r="MU20" i="19"/>
  <c r="MU21" i="19"/>
  <c r="MU25" i="19"/>
  <c r="MU22" i="19"/>
  <c r="MU23" i="19"/>
  <c r="MU24" i="19"/>
  <c r="MU26" i="19"/>
  <c r="MU27" i="19"/>
  <c r="MU28" i="19"/>
  <c r="MU29" i="19"/>
  <c r="MU30" i="19"/>
  <c r="MU31" i="19"/>
  <c r="MU32" i="19"/>
  <c r="MU33" i="19"/>
  <c r="MU34" i="19"/>
  <c r="MU35" i="19"/>
  <c r="LS4" i="19"/>
  <c r="LS5" i="19"/>
  <c r="LS6" i="19"/>
  <c r="LS7" i="19"/>
  <c r="LS8" i="19"/>
  <c r="LS17" i="19"/>
  <c r="LS9" i="19"/>
  <c r="LS10" i="19"/>
  <c r="LS35" i="19"/>
  <c r="KQ4" i="19"/>
  <c r="KQ5" i="19"/>
  <c r="KQ6" i="19"/>
  <c r="KQ7" i="19"/>
  <c r="KQ8" i="19"/>
  <c r="KQ17" i="19"/>
  <c r="KQ9" i="19"/>
  <c r="KQ10" i="19"/>
  <c r="KQ11" i="19"/>
  <c r="KQ12" i="19"/>
  <c r="KQ16" i="19"/>
  <c r="IM4" i="19"/>
  <c r="IM5" i="19"/>
  <c r="IM6" i="19"/>
  <c r="IM7" i="19"/>
  <c r="IM8" i="19"/>
  <c r="IM17" i="19"/>
  <c r="IM9" i="19"/>
  <c r="IM10" i="19"/>
  <c r="IM11" i="19"/>
  <c r="IM12" i="19"/>
  <c r="IM16" i="19"/>
  <c r="IM13" i="19"/>
  <c r="IM14" i="19"/>
  <c r="IM15" i="19"/>
  <c r="IM18" i="19"/>
  <c r="IM19" i="19"/>
  <c r="IM20" i="19"/>
  <c r="IM21" i="19"/>
  <c r="IM25" i="19"/>
  <c r="IM22" i="19"/>
  <c r="IM23" i="19"/>
  <c r="IM24" i="19"/>
  <c r="IM26" i="19"/>
  <c r="IM27" i="19"/>
  <c r="IM28" i="19"/>
  <c r="IM29" i="19"/>
  <c r="IM30" i="19"/>
  <c r="IM31" i="19"/>
  <c r="IM32" i="19"/>
  <c r="IM33" i="19"/>
  <c r="IM34" i="19"/>
  <c r="IM35" i="19"/>
  <c r="FG4" i="19"/>
  <c r="FG5" i="19"/>
  <c r="FG6" i="19"/>
  <c r="FG7" i="19"/>
  <c r="FG8" i="19"/>
  <c r="FG17" i="19"/>
  <c r="FG9" i="19"/>
  <c r="FG10" i="19"/>
  <c r="FG11" i="19"/>
  <c r="FG12" i="19"/>
  <c r="FG16" i="19"/>
  <c r="FG13" i="19"/>
  <c r="FG14" i="19"/>
  <c r="FG15" i="19"/>
  <c r="FG18" i="19"/>
  <c r="FG19" i="19"/>
  <c r="FG20" i="19"/>
  <c r="FG21" i="19"/>
  <c r="FG25" i="19"/>
  <c r="FG22" i="19"/>
  <c r="FG23" i="19"/>
  <c r="FG24" i="19"/>
  <c r="FG26" i="19"/>
  <c r="FG27" i="19"/>
  <c r="FG28" i="19"/>
  <c r="FG29" i="19"/>
  <c r="FG30" i="19"/>
  <c r="FG31" i="19"/>
  <c r="FG32" i="19"/>
  <c r="FG33" i="19"/>
  <c r="FG34" i="19"/>
  <c r="FG35" i="19"/>
  <c r="EE4" i="19"/>
  <c r="EE5" i="19"/>
  <c r="EE6" i="19"/>
  <c r="EE7" i="19"/>
  <c r="EE8" i="19"/>
  <c r="EE17" i="19"/>
  <c r="EE9" i="19"/>
  <c r="EE10" i="19"/>
  <c r="EE11" i="19"/>
  <c r="EE12" i="19"/>
  <c r="EE16" i="19"/>
  <c r="EE13" i="19"/>
  <c r="EE14" i="19"/>
  <c r="EE15" i="19"/>
  <c r="EE18" i="19"/>
  <c r="EE19" i="19"/>
  <c r="EE20" i="19"/>
  <c r="EE21" i="19"/>
  <c r="EE25" i="19"/>
  <c r="EE22" i="19"/>
  <c r="EE23" i="19"/>
  <c r="EE24" i="19"/>
  <c r="EE26" i="19"/>
  <c r="EE27" i="19"/>
  <c r="EE28" i="19"/>
  <c r="EE29" i="19"/>
  <c r="EE30" i="19"/>
  <c r="EE31" i="19"/>
  <c r="EE32" i="19"/>
  <c r="EE33" i="19"/>
  <c r="EE34" i="19"/>
  <c r="EE35" i="19"/>
  <c r="OY4" i="27"/>
  <c r="OY5" i="27"/>
  <c r="OY6" i="27"/>
  <c r="OY7" i="27"/>
  <c r="OY8" i="27"/>
  <c r="OY9" i="27"/>
  <c r="OY10" i="27"/>
  <c r="OY19" i="27"/>
  <c r="OY11" i="27"/>
  <c r="OY12" i="27"/>
  <c r="OY13" i="27"/>
  <c r="OY14" i="27"/>
  <c r="OY15" i="27"/>
  <c r="OY16" i="27"/>
  <c r="OY17" i="27"/>
  <c r="OY18" i="27"/>
  <c r="OY20" i="27"/>
  <c r="OY21" i="27"/>
  <c r="OY22" i="27"/>
  <c r="NW4" i="27"/>
  <c r="NW5" i="27"/>
  <c r="NW6" i="27"/>
  <c r="NW7" i="27"/>
  <c r="NW8" i="27"/>
  <c r="NW9" i="27"/>
  <c r="NW10" i="27"/>
  <c r="NW19" i="27"/>
  <c r="NW11" i="27"/>
  <c r="NW12" i="27"/>
  <c r="NW13" i="27"/>
  <c r="NW14" i="27"/>
  <c r="NW15" i="27"/>
  <c r="NW16" i="27"/>
  <c r="NW17" i="27"/>
  <c r="NW18" i="27"/>
  <c r="NW20" i="27"/>
  <c r="NW21" i="27"/>
  <c r="NW22" i="27"/>
  <c r="MU4" i="27"/>
  <c r="MU5" i="27"/>
  <c r="MU6" i="27"/>
  <c r="MU7" i="27"/>
  <c r="MU8" i="27"/>
  <c r="MU9" i="27"/>
  <c r="MU10" i="27"/>
  <c r="MU19" i="27"/>
  <c r="MU11" i="27"/>
  <c r="MU12" i="27"/>
  <c r="MU13" i="27"/>
  <c r="MU14" i="27"/>
  <c r="MU15" i="27"/>
  <c r="MU16" i="27"/>
  <c r="MU17" i="27"/>
  <c r="MU18" i="27"/>
  <c r="MU20" i="27"/>
  <c r="MU21" i="27"/>
  <c r="MU22" i="27"/>
  <c r="LS4" i="27"/>
  <c r="LS5" i="27"/>
  <c r="LS6" i="27"/>
  <c r="LS7" i="27"/>
  <c r="LS8" i="27"/>
  <c r="LS9" i="27"/>
  <c r="LS10" i="27"/>
  <c r="LS19" i="27"/>
  <c r="LS11" i="27"/>
  <c r="LS12" i="27"/>
  <c r="LS13" i="27"/>
  <c r="LS14" i="27"/>
  <c r="LS15" i="27"/>
  <c r="LS16" i="27"/>
  <c r="LS17" i="27"/>
  <c r="LS18" i="27"/>
  <c r="LS20" i="27"/>
  <c r="LS21" i="27"/>
  <c r="LS22" i="27"/>
  <c r="KQ4" i="27"/>
  <c r="KQ5" i="27"/>
  <c r="KQ6" i="27"/>
  <c r="KQ7" i="27"/>
  <c r="KQ8" i="27"/>
  <c r="KQ9" i="27"/>
  <c r="KQ10" i="27"/>
  <c r="KQ19" i="27"/>
  <c r="KQ11" i="27"/>
  <c r="KQ12" i="27"/>
  <c r="KQ13" i="27"/>
  <c r="KQ14" i="27"/>
  <c r="KQ15" i="27"/>
  <c r="KQ16" i="27"/>
  <c r="KQ17" i="27"/>
  <c r="KQ18" i="27"/>
  <c r="KQ20" i="27"/>
  <c r="KQ21" i="27"/>
  <c r="KQ22" i="27"/>
  <c r="JO4" i="27"/>
  <c r="JO5" i="27"/>
  <c r="JO6" i="27"/>
  <c r="JO7" i="27"/>
  <c r="JO8" i="27"/>
  <c r="JO9" i="27"/>
  <c r="JO10" i="27"/>
  <c r="JO19" i="27"/>
  <c r="JO11" i="27"/>
  <c r="JO12" i="27"/>
  <c r="JO13" i="27"/>
  <c r="JO14" i="27"/>
  <c r="JO15" i="27"/>
  <c r="JO16" i="27"/>
  <c r="JO17" i="27"/>
  <c r="JO18" i="27"/>
  <c r="JO20" i="27"/>
  <c r="JO21" i="27"/>
  <c r="JO22" i="27"/>
  <c r="IM4" i="27"/>
  <c r="IM5" i="27"/>
  <c r="IM6" i="27"/>
  <c r="IM7" i="27"/>
  <c r="IM8" i="27"/>
  <c r="IM9" i="27"/>
  <c r="IM10" i="27"/>
  <c r="IM19" i="27"/>
  <c r="IM11" i="27"/>
  <c r="IM12" i="27"/>
  <c r="IM13" i="27"/>
  <c r="IM14" i="27"/>
  <c r="IM15" i="27"/>
  <c r="IM16" i="27"/>
  <c r="IM17" i="27"/>
  <c r="IM18" i="27"/>
  <c r="IM20" i="27"/>
  <c r="IM21" i="27"/>
  <c r="IM22" i="27"/>
  <c r="HK4" i="27"/>
  <c r="HK5" i="27"/>
  <c r="HK6" i="27"/>
  <c r="HK7" i="27"/>
  <c r="HK8" i="27"/>
  <c r="HK9" i="27"/>
  <c r="HK10" i="27"/>
  <c r="HK19" i="27"/>
  <c r="HK11" i="27"/>
  <c r="HK12" i="27"/>
  <c r="HK13" i="27"/>
  <c r="HK14" i="27"/>
  <c r="HK15" i="27"/>
  <c r="HK16" i="27"/>
  <c r="HK17" i="27"/>
  <c r="HK18" i="27"/>
  <c r="HK20" i="27"/>
  <c r="HK21" i="27"/>
  <c r="HK22" i="27"/>
  <c r="GI4" i="27"/>
  <c r="GI5" i="27"/>
  <c r="GI6" i="27"/>
  <c r="GI7" i="27"/>
  <c r="GI8" i="27"/>
  <c r="GI9" i="27"/>
  <c r="GI10" i="27"/>
  <c r="GI19" i="27"/>
  <c r="GI11" i="27"/>
  <c r="GI12" i="27"/>
  <c r="GI13" i="27"/>
  <c r="GI14" i="27"/>
  <c r="GI15" i="27"/>
  <c r="GI16" i="27"/>
  <c r="GI17" i="27"/>
  <c r="GI18" i="27"/>
  <c r="GI20" i="27"/>
  <c r="GI21" i="27"/>
  <c r="GI22" i="27"/>
  <c r="FG4" i="27"/>
  <c r="FG5" i="27"/>
  <c r="FG6" i="27"/>
  <c r="FG7" i="27"/>
  <c r="FG8" i="27"/>
  <c r="FG9" i="27"/>
  <c r="FG10" i="27"/>
  <c r="FG19" i="27"/>
  <c r="FG11" i="27"/>
  <c r="FG12" i="27"/>
  <c r="FG13" i="27"/>
  <c r="FG14" i="27"/>
  <c r="FG15" i="27"/>
  <c r="FG16" i="27"/>
  <c r="FG17" i="27"/>
  <c r="FG18" i="27"/>
  <c r="FG20" i="27"/>
  <c r="FG21" i="27"/>
  <c r="FG22" i="27"/>
  <c r="EE4" i="27"/>
  <c r="EE5" i="27"/>
  <c r="EE6" i="27"/>
  <c r="EE7" i="27"/>
  <c r="EE8" i="27"/>
  <c r="EE9" i="27"/>
  <c r="EE10" i="27"/>
  <c r="EE19" i="27"/>
  <c r="EE11" i="27"/>
  <c r="EE12" i="27"/>
  <c r="EE13" i="27"/>
  <c r="EE14" i="27"/>
  <c r="EE15" i="27"/>
  <c r="EE16" i="27"/>
  <c r="EE17" i="27"/>
  <c r="EE18" i="27"/>
  <c r="EE20" i="27"/>
  <c r="EE21" i="27"/>
  <c r="EE22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4" i="26"/>
  <c r="JO5" i="26"/>
  <c r="JO6" i="26"/>
  <c r="JO7" i="26"/>
  <c r="JO8" i="26"/>
  <c r="JO9" i="26"/>
  <c r="JO10" i="26"/>
  <c r="JO11" i="26"/>
  <c r="JO12" i="26"/>
  <c r="JO13" i="26"/>
  <c r="JO14" i="26"/>
  <c r="JO15" i="26"/>
  <c r="JO16" i="26"/>
  <c r="JO17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19" i="21"/>
  <c r="AQ19" i="21"/>
  <c r="AR19" i="21"/>
  <c r="AS19" i="21"/>
  <c r="AU19" i="21"/>
  <c r="AV19" i="21"/>
  <c r="BS19" i="21"/>
  <c r="BT19" i="21"/>
  <c r="BU19" i="21"/>
  <c r="BV19" i="21"/>
  <c r="BX19" i="21"/>
  <c r="BY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9" i="19"/>
  <c r="AQ29" i="19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AP15" i="19"/>
  <c r="AQ15" i="19"/>
  <c r="AR15" i="19"/>
  <c r="AS15" i="19"/>
  <c r="AU15" i="19"/>
  <c r="AV15" i="19"/>
  <c r="BS15" i="19"/>
  <c r="BT15" i="19"/>
  <c r="BU15" i="19"/>
  <c r="BV15" i="19"/>
  <c r="BX15" i="19"/>
  <c r="BY15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T26" i="21" l="1"/>
  <c r="BW26" i="21"/>
  <c r="RE24" i="19"/>
  <c r="BW9" i="21"/>
  <c r="AT9" i="21"/>
  <c r="BW11" i="21"/>
  <c r="DC24" i="19"/>
  <c r="P24" i="19"/>
  <c r="DF24" i="19" s="1"/>
  <c r="RE29" i="19"/>
  <c r="BZ29" i="19"/>
  <c r="DC22" i="19"/>
  <c r="QZ24" i="19"/>
  <c r="QA24" i="19"/>
  <c r="AT11" i="21"/>
  <c r="BZ19" i="21"/>
  <c r="QA26" i="21"/>
  <c r="DC26" i="21"/>
  <c r="P26" i="21"/>
  <c r="DF26" i="21" s="1"/>
  <c r="DC19" i="21"/>
  <c r="AT22" i="19"/>
  <c r="BZ24" i="19"/>
  <c r="QA5" i="26"/>
  <c r="BZ5" i="26"/>
  <c r="DC5" i="26"/>
  <c r="RA26" i="21"/>
  <c r="P19" i="21"/>
  <c r="Q19" i="21" s="1"/>
  <c r="RE26" i="21"/>
  <c r="QZ26" i="21"/>
  <c r="DC11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1" i="21"/>
  <c r="QA19" i="21"/>
  <c r="QA9" i="21"/>
  <c r="P9" i="21"/>
  <c r="Q9" i="21" s="1"/>
  <c r="P11" i="21"/>
  <c r="DF11" i="21" s="1"/>
  <c r="QZ9" i="21"/>
  <c r="QZ11" i="21"/>
  <c r="QZ19" i="21"/>
  <c r="RF19" i="21"/>
  <c r="RE19" i="21"/>
  <c r="CZ19" i="21"/>
  <c r="RA19" i="21"/>
  <c r="BW19" i="21"/>
  <c r="N19" i="21"/>
  <c r="DE19" i="21" s="1"/>
  <c r="L19" i="21"/>
  <c r="M19" i="21" s="1"/>
  <c r="RB19" i="21"/>
  <c r="AT19" i="21"/>
  <c r="F19" i="21"/>
  <c r="J19" i="21"/>
  <c r="K19" i="21" s="1"/>
  <c r="RC19" i="21"/>
  <c r="QD19" i="21"/>
  <c r="G19" i="21"/>
  <c r="AW19" i="21"/>
  <c r="RB11" i="21"/>
  <c r="RA11" i="21"/>
  <c r="RE11" i="21"/>
  <c r="CZ11" i="21"/>
  <c r="N11" i="21"/>
  <c r="O11" i="21" s="1"/>
  <c r="L11" i="21"/>
  <c r="M11" i="21" s="1"/>
  <c r="RF11" i="21"/>
  <c r="BZ11" i="21"/>
  <c r="J11" i="21"/>
  <c r="K11" i="21" s="1"/>
  <c r="RC11" i="21"/>
  <c r="QD11" i="21"/>
  <c r="G11" i="21"/>
  <c r="F11" i="21"/>
  <c r="AW11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29" i="19"/>
  <c r="RF24" i="19"/>
  <c r="RC24" i="19"/>
  <c r="N24" i="19"/>
  <c r="DE24" i="19" s="1"/>
  <c r="RB24" i="19"/>
  <c r="L24" i="19"/>
  <c r="M24" i="19" s="1"/>
  <c r="RA24" i="19"/>
  <c r="F24" i="19"/>
  <c r="J24" i="19"/>
  <c r="CZ24" i="19"/>
  <c r="BW24" i="19"/>
  <c r="AT24" i="19"/>
  <c r="QD24" i="19"/>
  <c r="G24" i="19"/>
  <c r="AW24" i="19"/>
  <c r="AT15" i="19"/>
  <c r="DC15" i="19"/>
  <c r="BW22" i="19"/>
  <c r="QA22" i="19"/>
  <c r="RB22" i="19"/>
  <c r="RA22" i="19"/>
  <c r="RE22" i="19"/>
  <c r="QZ22" i="19"/>
  <c r="CZ22" i="19"/>
  <c r="N22" i="19"/>
  <c r="DE22" i="19" s="1"/>
  <c r="L22" i="19"/>
  <c r="M22" i="19" s="1"/>
  <c r="RF22" i="19"/>
  <c r="BZ22" i="19"/>
  <c r="F22" i="19"/>
  <c r="G22" i="19"/>
  <c r="J22" i="19"/>
  <c r="K22" i="19" s="1"/>
  <c r="P22" i="19"/>
  <c r="RC22" i="19"/>
  <c r="QD22" i="19"/>
  <c r="AW22" i="19"/>
  <c r="QA15" i="19"/>
  <c r="BW15" i="19"/>
  <c r="RE15" i="19"/>
  <c r="QZ15" i="19"/>
  <c r="QA29" i="19"/>
  <c r="RF29" i="19"/>
  <c r="P29" i="19"/>
  <c r="DF29" i="19" s="1"/>
  <c r="RB29" i="19"/>
  <c r="RA29" i="19"/>
  <c r="QZ29" i="19"/>
  <c r="L29" i="19"/>
  <c r="M29" i="19" s="1"/>
  <c r="N29" i="19"/>
  <c r="O29" i="19" s="1"/>
  <c r="F29" i="19"/>
  <c r="J29" i="19"/>
  <c r="K29" i="19" s="1"/>
  <c r="CZ29" i="19"/>
  <c r="BW29" i="19"/>
  <c r="AT29" i="19"/>
  <c r="RC29" i="19"/>
  <c r="QD29" i="19"/>
  <c r="G29" i="19"/>
  <c r="AW29" i="19"/>
  <c r="RB15" i="19"/>
  <c r="RA15" i="19"/>
  <c r="P15" i="19"/>
  <c r="DF15" i="19" s="1"/>
  <c r="CZ15" i="19"/>
  <c r="L15" i="19"/>
  <c r="M15" i="19" s="1"/>
  <c r="N15" i="19"/>
  <c r="DE15" i="19" s="1"/>
  <c r="RF15" i="19"/>
  <c r="BZ15" i="19"/>
  <c r="F15" i="19"/>
  <c r="J15" i="19"/>
  <c r="K15" i="19" s="1"/>
  <c r="RC15" i="19"/>
  <c r="QD15" i="19"/>
  <c r="G15" i="19"/>
  <c r="AW15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2" i="19"/>
  <c r="Q24" i="19"/>
  <c r="Q29" i="19"/>
  <c r="DF19" i="21"/>
  <c r="M26" i="21"/>
  <c r="RD26" i="21"/>
  <c r="I11" i="21"/>
  <c r="H11" i="21" s="1"/>
  <c r="RD19" i="21"/>
  <c r="RG19" i="21"/>
  <c r="I26" i="21"/>
  <c r="H26" i="21" s="1"/>
  <c r="RG11" i="21"/>
  <c r="RG24" i="19"/>
  <c r="O24" i="19"/>
  <c r="DF9" i="21"/>
  <c r="DD9" i="21"/>
  <c r="RD9" i="21"/>
  <c r="RD11" i="21"/>
  <c r="A26" i="21"/>
  <c r="O26" i="21"/>
  <c r="R26" i="21"/>
  <c r="Q11" i="21"/>
  <c r="I19" i="21"/>
  <c r="H19" i="21" s="1"/>
  <c r="O19" i="21"/>
  <c r="DD19" i="21"/>
  <c r="A19" i="21"/>
  <c r="I9" i="21"/>
  <c r="H9" i="21" s="1"/>
  <c r="RG9" i="21"/>
  <c r="DD11" i="21"/>
  <c r="DE11" i="21"/>
  <c r="A11" i="21"/>
  <c r="O9" i="21"/>
  <c r="DD24" i="19"/>
  <c r="R24" i="19" s="1"/>
  <c r="RD24" i="19"/>
  <c r="I24" i="19"/>
  <c r="H24" i="19" s="1"/>
  <c r="K24" i="19"/>
  <c r="A24" i="19"/>
  <c r="RG22" i="19"/>
  <c r="I15" i="19"/>
  <c r="H15" i="19" s="1"/>
  <c r="RG29" i="19"/>
  <c r="O22" i="19"/>
  <c r="I22" i="19"/>
  <c r="H22" i="19" s="1"/>
  <c r="A22" i="19"/>
  <c r="DD22" i="19"/>
  <c r="Q22" i="19"/>
  <c r="DF22" i="19"/>
  <c r="DD15" i="19"/>
  <c r="R15" i="19" s="1"/>
  <c r="I29" i="19"/>
  <c r="H29" i="19" s="1"/>
  <c r="RG15" i="19"/>
  <c r="DE29" i="19"/>
  <c r="RD29" i="19"/>
  <c r="DD29" i="19"/>
  <c r="A29" i="19"/>
  <c r="RD15" i="19"/>
  <c r="Q15" i="19"/>
  <c r="O15" i="19"/>
  <c r="RG5" i="26"/>
  <c r="I5" i="26"/>
  <c r="H5" i="26" s="1"/>
  <c r="RD5" i="26"/>
  <c r="DD5" i="26"/>
  <c r="R5" i="26" s="1"/>
  <c r="Q5" i="26"/>
  <c r="O5" i="26"/>
  <c r="R19" i="21" l="1"/>
  <c r="E19" i="21" s="1"/>
  <c r="R9" i="21"/>
  <c r="T9" i="21" s="1"/>
  <c r="R11" i="21"/>
  <c r="E11" i="21" s="1"/>
  <c r="T26" i="21"/>
  <c r="S26" i="21"/>
  <c r="E26" i="21"/>
  <c r="E24" i="19"/>
  <c r="T24" i="19"/>
  <c r="S24" i="19"/>
  <c r="E15" i="19"/>
  <c r="R22" i="19"/>
  <c r="T22" i="19" s="1"/>
  <c r="R29" i="19"/>
  <c r="E29" i="19" s="1"/>
  <c r="T15" i="19"/>
  <c r="S15" i="19"/>
  <c r="T5" i="26"/>
  <c r="S5" i="26"/>
  <c r="E5" i="26"/>
  <c r="E9" i="21" l="1"/>
  <c r="S19" i="21"/>
  <c r="T19" i="21"/>
  <c r="S9" i="21"/>
  <c r="S11" i="21"/>
  <c r="T11" i="21"/>
  <c r="S22" i="19"/>
  <c r="E22" i="19"/>
  <c r="T29" i="19"/>
  <c r="S29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BT6" i="22" l="1"/>
  <c r="N6" i="22"/>
  <c r="O6" i="22" s="1"/>
  <c r="N7" i="22"/>
  <c r="O7" i="22" s="1"/>
  <c r="CU8" i="4"/>
  <c r="CY8" i="4" s="1"/>
  <c r="BX8" i="4"/>
  <c r="SL7" i="22"/>
  <c r="SS7" i="22" s="1"/>
  <c r="CU7" i="22"/>
  <c r="CY7" i="22" s="1"/>
  <c r="BT7" i="22"/>
  <c r="BX7" i="22" s="1"/>
  <c r="CU6" i="22"/>
  <c r="CY6" i="22" s="1"/>
  <c r="SL6" i="22"/>
  <c r="SS6" i="22" s="1"/>
  <c r="HZ8" i="4"/>
  <c r="IG8" i="4" s="1"/>
  <c r="SL8" i="4"/>
  <c r="SS8" i="4" s="1"/>
  <c r="NF8" i="4"/>
  <c r="NM8" i="4" s="1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TL7" i="22"/>
  <c r="TS7" i="22"/>
  <c r="I7" i="22"/>
  <c r="L7" i="22"/>
  <c r="M7" i="22" s="1"/>
  <c r="R7" i="22"/>
  <c r="S7" i="22" s="1"/>
  <c r="F7" i="22"/>
  <c r="J7" i="22"/>
  <c r="G7" i="22"/>
  <c r="AS7" i="22"/>
  <c r="AW7" i="22" s="1"/>
  <c r="P7" i="22"/>
  <c r="Q7" i="22" s="1"/>
  <c r="TL6" i="22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DA7" i="22"/>
  <c r="CZ7" i="22"/>
  <c r="H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 l="1"/>
  <c r="V6" i="22"/>
  <c r="E7" i="22"/>
  <c r="U6" i="22"/>
  <c r="U8" i="4"/>
  <c r="V8" i="4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2" i="27" l="1"/>
  <c r="BW4" i="27"/>
  <c r="QA12" i="27"/>
  <c r="AT12" i="27"/>
  <c r="BW12" i="27"/>
  <c r="DC4" i="27"/>
  <c r="QZ12" i="27"/>
  <c r="RE4" i="27"/>
  <c r="QZ4" i="27"/>
  <c r="N12" i="27"/>
  <c r="DE12" i="27" s="1"/>
  <c r="QA4" i="27"/>
  <c r="AT4" i="27"/>
  <c r="RB12" i="27"/>
  <c r="RA12" i="27"/>
  <c r="P12" i="27"/>
  <c r="DF12" i="27" s="1"/>
  <c r="RE12" i="27"/>
  <c r="CZ12" i="27"/>
  <c r="L12" i="27"/>
  <c r="DD12" i="27" s="1"/>
  <c r="RF12" i="27"/>
  <c r="BZ12" i="27"/>
  <c r="F12" i="27"/>
  <c r="J12" i="27"/>
  <c r="K12" i="27" s="1"/>
  <c r="O12" i="27"/>
  <c r="RC12" i="27"/>
  <c r="QD12" i="27"/>
  <c r="G12" i="27"/>
  <c r="AW12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RD12" i="27" l="1"/>
  <c r="DF4" i="27"/>
  <c r="RD4" i="27"/>
  <c r="Q12" i="27"/>
  <c r="RG12" i="27"/>
  <c r="I12" i="27"/>
  <c r="H12" i="27" s="1"/>
  <c r="RG4" i="27"/>
  <c r="M12" i="27"/>
  <c r="R12" i="27"/>
  <c r="O4" i="27"/>
  <c r="DD4" i="27"/>
  <c r="I4" i="27"/>
  <c r="H4" i="27" s="1"/>
  <c r="R4" i="27" l="1"/>
  <c r="T4" i="27" s="1"/>
  <c r="T12" i="27"/>
  <c r="S12" i="27"/>
  <c r="E12" i="27"/>
  <c r="E4" i="27" l="1"/>
  <c r="S4" i="27"/>
  <c r="AP21" i="27"/>
  <c r="AQ21" i="27"/>
  <c r="AR21" i="27"/>
  <c r="AT21" i="27" s="1"/>
  <c r="AS21" i="27"/>
  <c r="AU21" i="27"/>
  <c r="AV21" i="27"/>
  <c r="BS21" i="27"/>
  <c r="BT21" i="27"/>
  <c r="BU21" i="27"/>
  <c r="BV21" i="27"/>
  <c r="BX21" i="27"/>
  <c r="BY21" i="27"/>
  <c r="CV21" i="27"/>
  <c r="CW21" i="27"/>
  <c r="DC21" i="27" s="1"/>
  <c r="CX21" i="27"/>
  <c r="CY21" i="27"/>
  <c r="DA21" i="27"/>
  <c r="DB21" i="27"/>
  <c r="PW21" i="27"/>
  <c r="PX21" i="27"/>
  <c r="PY21" i="27"/>
  <c r="PZ21" i="27"/>
  <c r="QB21" i="27"/>
  <c r="QC21" i="27"/>
  <c r="QE21" i="27"/>
  <c r="QF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7" i="4"/>
  <c r="AN17" i="4"/>
  <c r="AO17" i="4"/>
  <c r="AP17" i="4"/>
  <c r="AQ17" i="4"/>
  <c r="AR17" i="4"/>
  <c r="AT17" i="4"/>
  <c r="AU17" i="4"/>
  <c r="AV17" i="4"/>
  <c r="BN17" i="4"/>
  <c r="BO17" i="4"/>
  <c r="BP17" i="4"/>
  <c r="BT17" i="4" s="1"/>
  <c r="BQ17" i="4"/>
  <c r="BR17" i="4"/>
  <c r="BS17" i="4"/>
  <c r="BU17" i="4"/>
  <c r="BV17" i="4"/>
  <c r="BW17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AP33" i="19"/>
  <c r="AQ33" i="19"/>
  <c r="AR33" i="19"/>
  <c r="AS33" i="19"/>
  <c r="AU33" i="19"/>
  <c r="AV33" i="19"/>
  <c r="BS33" i="19"/>
  <c r="BT33" i="19"/>
  <c r="BU33" i="19"/>
  <c r="BV33" i="19"/>
  <c r="BX33" i="19"/>
  <c r="BY33" i="19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AM19" i="22"/>
  <c r="AN19" i="22"/>
  <c r="AO19" i="22"/>
  <c r="AP19" i="22"/>
  <c r="AQ19" i="22"/>
  <c r="AR19" i="22"/>
  <c r="AT19" i="22"/>
  <c r="AU19" i="22"/>
  <c r="AV19" i="22"/>
  <c r="BN19" i="22"/>
  <c r="BO19" i="22"/>
  <c r="BP19" i="22"/>
  <c r="BT19" i="22" s="1"/>
  <c r="BQ19" i="22"/>
  <c r="BR19" i="22"/>
  <c r="BS19" i="22"/>
  <c r="BU19" i="22"/>
  <c r="BV19" i="22"/>
  <c r="BW19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AM10" i="22"/>
  <c r="AN10" i="22"/>
  <c r="AO10" i="22"/>
  <c r="AP10" i="22"/>
  <c r="AQ10" i="22"/>
  <c r="AR10" i="22"/>
  <c r="AT10" i="22"/>
  <c r="AU10" i="22"/>
  <c r="AV10" i="22"/>
  <c r="BN10" i="22"/>
  <c r="BO10" i="22"/>
  <c r="BP10" i="22"/>
  <c r="BT10" i="22" s="1"/>
  <c r="BQ10" i="22"/>
  <c r="BR10" i="22"/>
  <c r="BS10" i="22"/>
  <c r="BU10" i="22"/>
  <c r="BV10" i="22"/>
  <c r="BW10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BY22" i="21"/>
  <c r="BX22" i="21"/>
  <c r="BV22" i="21"/>
  <c r="BU22" i="21"/>
  <c r="BT22" i="21"/>
  <c r="BS22" i="21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12" i="21"/>
  <c r="BX12" i="21"/>
  <c r="BV12" i="21"/>
  <c r="BU12" i="21"/>
  <c r="BT12" i="21"/>
  <c r="BS12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14" i="21"/>
  <c r="BX14" i="21"/>
  <c r="BV14" i="21"/>
  <c r="BU14" i="21"/>
  <c r="BT14" i="21"/>
  <c r="BS14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8" i="21"/>
  <c r="BX18" i="21"/>
  <c r="BV18" i="21"/>
  <c r="BU18" i="21"/>
  <c r="BT18" i="21"/>
  <c r="BS18" i="21"/>
  <c r="BY25" i="21"/>
  <c r="BX25" i="21"/>
  <c r="BV25" i="21"/>
  <c r="BU25" i="21"/>
  <c r="BT25" i="21"/>
  <c r="BS25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12" i="21"/>
  <c r="AU12" i="21"/>
  <c r="AS12" i="21"/>
  <c r="AR12" i="21"/>
  <c r="AQ12" i="21"/>
  <c r="AP12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14" i="21"/>
  <c r="AU14" i="21"/>
  <c r="AS14" i="21"/>
  <c r="AR14" i="21"/>
  <c r="AQ14" i="21"/>
  <c r="AP14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8" i="21"/>
  <c r="AU18" i="21"/>
  <c r="AS18" i="21"/>
  <c r="AR18" i="21"/>
  <c r="AQ18" i="21"/>
  <c r="AP18" i="21"/>
  <c r="AV25" i="21"/>
  <c r="AU25" i="21"/>
  <c r="AS25" i="21"/>
  <c r="AR25" i="21"/>
  <c r="AQ25" i="21"/>
  <c r="AP25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5" i="19"/>
  <c r="BX35" i="19"/>
  <c r="BV35" i="19"/>
  <c r="BU35" i="19"/>
  <c r="BT35" i="19"/>
  <c r="BS35" i="19"/>
  <c r="BY18" i="19"/>
  <c r="BX18" i="19"/>
  <c r="BV18" i="19"/>
  <c r="BU18" i="19"/>
  <c r="BT18" i="19"/>
  <c r="BS18" i="19"/>
  <c r="BY26" i="19"/>
  <c r="BX26" i="19"/>
  <c r="BV26" i="19"/>
  <c r="BU26" i="19"/>
  <c r="BT26" i="19"/>
  <c r="BS26" i="19"/>
  <c r="BY32" i="19"/>
  <c r="BX32" i="19"/>
  <c r="BV32" i="19"/>
  <c r="BU32" i="19"/>
  <c r="BT32" i="19"/>
  <c r="BS32" i="19"/>
  <c r="BY14" i="19"/>
  <c r="BX14" i="19"/>
  <c r="BV14" i="19"/>
  <c r="BU14" i="19"/>
  <c r="BT14" i="19"/>
  <c r="BS14" i="19"/>
  <c r="BY16" i="19"/>
  <c r="BX16" i="19"/>
  <c r="BV16" i="19"/>
  <c r="BU16" i="19"/>
  <c r="BT16" i="19"/>
  <c r="BS16" i="19"/>
  <c r="BY20" i="19"/>
  <c r="BX20" i="19"/>
  <c r="BV20" i="19"/>
  <c r="BU20" i="19"/>
  <c r="BT20" i="19"/>
  <c r="BS20" i="19"/>
  <c r="BY34" i="19"/>
  <c r="BX34" i="19"/>
  <c r="BV34" i="19"/>
  <c r="BU34" i="19"/>
  <c r="BT34" i="19"/>
  <c r="BS34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31" i="19"/>
  <c r="BX31" i="19"/>
  <c r="BV31" i="19"/>
  <c r="BU31" i="19"/>
  <c r="BT31" i="19"/>
  <c r="BS31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10" i="19"/>
  <c r="BX10" i="19"/>
  <c r="BV10" i="19"/>
  <c r="BU10" i="19"/>
  <c r="BT10" i="19"/>
  <c r="BS10" i="19"/>
  <c r="BY30" i="19"/>
  <c r="BX30" i="19"/>
  <c r="BV30" i="19"/>
  <c r="BU30" i="19"/>
  <c r="BT30" i="19"/>
  <c r="BS30" i="19"/>
  <c r="BY19" i="19"/>
  <c r="BX19" i="19"/>
  <c r="BV19" i="19"/>
  <c r="BU19" i="19"/>
  <c r="BT19" i="19"/>
  <c r="BS19" i="19"/>
  <c r="BY7" i="19"/>
  <c r="BX7" i="19"/>
  <c r="BV7" i="19"/>
  <c r="BU7" i="19"/>
  <c r="BT7" i="19"/>
  <c r="BS7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17" i="19"/>
  <c r="BX17" i="19"/>
  <c r="BV17" i="19"/>
  <c r="BU17" i="19"/>
  <c r="BT17" i="19"/>
  <c r="BS1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5" i="19"/>
  <c r="AU35" i="19"/>
  <c r="AS35" i="19"/>
  <c r="AR35" i="19"/>
  <c r="AQ35" i="19"/>
  <c r="AP35" i="19"/>
  <c r="AV18" i="19"/>
  <c r="AU18" i="19"/>
  <c r="AS18" i="19"/>
  <c r="AR18" i="19"/>
  <c r="AQ18" i="19"/>
  <c r="AP18" i="19"/>
  <c r="AV26" i="19"/>
  <c r="AU26" i="19"/>
  <c r="AS26" i="19"/>
  <c r="AR26" i="19"/>
  <c r="AQ26" i="19"/>
  <c r="AP26" i="19"/>
  <c r="AV32" i="19"/>
  <c r="AU32" i="19"/>
  <c r="AS32" i="19"/>
  <c r="AR32" i="19"/>
  <c r="AQ32" i="19"/>
  <c r="AP32" i="19"/>
  <c r="AV14" i="19"/>
  <c r="AU14" i="19"/>
  <c r="AS14" i="19"/>
  <c r="AR14" i="19"/>
  <c r="AQ14" i="19"/>
  <c r="AP14" i="19"/>
  <c r="AV16" i="19"/>
  <c r="AU16" i="19"/>
  <c r="AS16" i="19"/>
  <c r="AR16" i="19"/>
  <c r="AQ16" i="19"/>
  <c r="AP16" i="19"/>
  <c r="AV20" i="19"/>
  <c r="AU20" i="19"/>
  <c r="AS20" i="19"/>
  <c r="AR20" i="19"/>
  <c r="AQ20" i="19"/>
  <c r="AP20" i="19"/>
  <c r="AV34" i="19"/>
  <c r="AU34" i="19"/>
  <c r="AS34" i="19"/>
  <c r="AR34" i="19"/>
  <c r="AQ34" i="19"/>
  <c r="AP34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31" i="19"/>
  <c r="AU31" i="19"/>
  <c r="AS31" i="19"/>
  <c r="AR31" i="19"/>
  <c r="AQ31" i="19"/>
  <c r="AP31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10" i="19"/>
  <c r="AU10" i="19"/>
  <c r="AS10" i="19"/>
  <c r="AR10" i="19"/>
  <c r="AQ10" i="19"/>
  <c r="AP10" i="19"/>
  <c r="AV30" i="19"/>
  <c r="AU30" i="19"/>
  <c r="AS30" i="19"/>
  <c r="AR30" i="19"/>
  <c r="AQ30" i="19"/>
  <c r="AP30" i="19"/>
  <c r="AV19" i="19"/>
  <c r="AU19" i="19"/>
  <c r="AS19" i="19"/>
  <c r="AR19" i="19"/>
  <c r="AQ19" i="19"/>
  <c r="AP19" i="19"/>
  <c r="AV7" i="19"/>
  <c r="AU7" i="19"/>
  <c r="AS7" i="19"/>
  <c r="AR7" i="19"/>
  <c r="AQ7" i="19"/>
  <c r="AP7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17" i="19"/>
  <c r="AU17" i="19"/>
  <c r="AS17" i="19"/>
  <c r="AR17" i="19"/>
  <c r="AQ17" i="19"/>
  <c r="AP1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0" i="27"/>
  <c r="BX20" i="27"/>
  <c r="BV20" i="27"/>
  <c r="BU20" i="27"/>
  <c r="BT20" i="27"/>
  <c r="BS20" i="27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8" i="27"/>
  <c r="BX8" i="27"/>
  <c r="BV8" i="27"/>
  <c r="BU8" i="27"/>
  <c r="BT8" i="27"/>
  <c r="BS8" i="27"/>
  <c r="BY22" i="27"/>
  <c r="BX22" i="27"/>
  <c r="BV22" i="27"/>
  <c r="BU22" i="27"/>
  <c r="BT22" i="27"/>
  <c r="BS22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16" i="27"/>
  <c r="BX16" i="27"/>
  <c r="BV16" i="27"/>
  <c r="BU16" i="27"/>
  <c r="BT16" i="27"/>
  <c r="BS16" i="27"/>
  <c r="BY11" i="27"/>
  <c r="BX11" i="27"/>
  <c r="BV11" i="27"/>
  <c r="BU11" i="27"/>
  <c r="BT11" i="27"/>
  <c r="BS11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9" i="27"/>
  <c r="BX19" i="27"/>
  <c r="BV19" i="27"/>
  <c r="BU19" i="27"/>
  <c r="BT19" i="27"/>
  <c r="BS19" i="27"/>
  <c r="AV20" i="27"/>
  <c r="AU20" i="27"/>
  <c r="AS20" i="27"/>
  <c r="AR20" i="27"/>
  <c r="AQ20" i="27"/>
  <c r="AP20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8" i="27"/>
  <c r="AU8" i="27"/>
  <c r="AS8" i="27"/>
  <c r="AR8" i="27"/>
  <c r="AQ8" i="27"/>
  <c r="AP8" i="27"/>
  <c r="AV22" i="27"/>
  <c r="AU22" i="27"/>
  <c r="AS22" i="27"/>
  <c r="AR22" i="27"/>
  <c r="AQ22" i="27"/>
  <c r="AP22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16" i="27"/>
  <c r="AU16" i="27"/>
  <c r="AS16" i="27"/>
  <c r="AR16" i="27"/>
  <c r="AQ16" i="27"/>
  <c r="AP16" i="27"/>
  <c r="AV11" i="27"/>
  <c r="AU11" i="27"/>
  <c r="AS11" i="27"/>
  <c r="AR11" i="27"/>
  <c r="AQ11" i="27"/>
  <c r="AP11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9" i="27"/>
  <c r="AU19" i="27"/>
  <c r="AS19" i="27"/>
  <c r="AR19" i="27"/>
  <c r="AQ19" i="27"/>
  <c r="AP19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2" i="22"/>
  <c r="BV12" i="22"/>
  <c r="BU12" i="22"/>
  <c r="BS12" i="22"/>
  <c r="BR12" i="22"/>
  <c r="BQ12" i="22"/>
  <c r="BP12" i="22"/>
  <c r="BO12" i="22"/>
  <c r="BN12" i="22"/>
  <c r="BW26" i="22"/>
  <c r="BV26" i="22"/>
  <c r="BU26" i="22"/>
  <c r="BS26" i="22"/>
  <c r="BR26" i="22"/>
  <c r="BQ26" i="22"/>
  <c r="BP26" i="22"/>
  <c r="BT26" i="22" s="1"/>
  <c r="BO26" i="22"/>
  <c r="BN26" i="22"/>
  <c r="BW24" i="22"/>
  <c r="BV24" i="22"/>
  <c r="BU24" i="22"/>
  <c r="BS24" i="22"/>
  <c r="BR24" i="22"/>
  <c r="BQ24" i="22"/>
  <c r="BP24" i="22"/>
  <c r="BT24" i="22" s="1"/>
  <c r="BO24" i="22"/>
  <c r="BN24" i="22"/>
  <c r="BW13" i="22"/>
  <c r="BV13" i="22"/>
  <c r="BU13" i="22"/>
  <c r="BS13" i="22"/>
  <c r="BR13" i="22"/>
  <c r="BQ13" i="22"/>
  <c r="BP13" i="22"/>
  <c r="BT13" i="22" s="1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23" i="22"/>
  <c r="BV23" i="22"/>
  <c r="BU23" i="22"/>
  <c r="BS23" i="22"/>
  <c r="BR23" i="22"/>
  <c r="BQ23" i="22"/>
  <c r="BP23" i="22"/>
  <c r="BT23" i="22" s="1"/>
  <c r="BO23" i="22"/>
  <c r="BN23" i="22"/>
  <c r="BW27" i="22"/>
  <c r="BV27" i="22"/>
  <c r="BU27" i="22"/>
  <c r="BS27" i="22"/>
  <c r="BR27" i="22"/>
  <c r="BQ27" i="22"/>
  <c r="BP27" i="22"/>
  <c r="BT27" i="22" s="1"/>
  <c r="BO27" i="22"/>
  <c r="BN27" i="22"/>
  <c r="BW30" i="22"/>
  <c r="BV30" i="22"/>
  <c r="BU30" i="22"/>
  <c r="BS30" i="22"/>
  <c r="BR30" i="22"/>
  <c r="BQ30" i="22"/>
  <c r="BP30" i="22"/>
  <c r="BT30" i="22" s="1"/>
  <c r="BO30" i="22"/>
  <c r="BN30" i="22"/>
  <c r="BW31" i="22"/>
  <c r="BV31" i="22"/>
  <c r="BU31" i="22"/>
  <c r="BS31" i="22"/>
  <c r="BR31" i="22"/>
  <c r="BQ31" i="22"/>
  <c r="BP31" i="22"/>
  <c r="BT31" i="22" s="1"/>
  <c r="BO31" i="22"/>
  <c r="BN31" i="22"/>
  <c r="BW16" i="22"/>
  <c r="BV16" i="22"/>
  <c r="BU16" i="22"/>
  <c r="BS16" i="22"/>
  <c r="BR16" i="22"/>
  <c r="BQ16" i="22"/>
  <c r="BP16" i="22"/>
  <c r="BO16" i="22"/>
  <c r="BN16" i="22"/>
  <c r="BW15" i="22"/>
  <c r="BV15" i="22"/>
  <c r="BU15" i="22"/>
  <c r="BS15" i="22"/>
  <c r="BR15" i="22"/>
  <c r="BQ15" i="22"/>
  <c r="BP15" i="22"/>
  <c r="BT15" i="22" s="1"/>
  <c r="BO15" i="22"/>
  <c r="BN15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T20" i="22" s="1"/>
  <c r="BO20" i="22"/>
  <c r="BN20" i="22"/>
  <c r="BW17" i="22"/>
  <c r="BV17" i="22"/>
  <c r="BU17" i="22"/>
  <c r="BS17" i="22"/>
  <c r="BR17" i="22"/>
  <c r="BQ17" i="22"/>
  <c r="BP17" i="22"/>
  <c r="BO17" i="22"/>
  <c r="BN17" i="22"/>
  <c r="BW22" i="22"/>
  <c r="BV22" i="22"/>
  <c r="BU22" i="22"/>
  <c r="BS22" i="22"/>
  <c r="BR22" i="22"/>
  <c r="BQ22" i="22"/>
  <c r="BP22" i="22"/>
  <c r="BT22" i="22" s="1"/>
  <c r="BO22" i="22"/>
  <c r="BN22" i="22"/>
  <c r="BW25" i="22"/>
  <c r="BV25" i="22"/>
  <c r="BU25" i="22"/>
  <c r="BS25" i="22"/>
  <c r="BR25" i="22"/>
  <c r="BQ25" i="22"/>
  <c r="BP25" i="22"/>
  <c r="BT25" i="22" s="1"/>
  <c r="BO25" i="22"/>
  <c r="BN25" i="22"/>
  <c r="BW11" i="22"/>
  <c r="BV11" i="22"/>
  <c r="BU11" i="22"/>
  <c r="BS11" i="22"/>
  <c r="BR11" i="22"/>
  <c r="BQ11" i="22"/>
  <c r="BP11" i="22"/>
  <c r="BT11" i="22" s="1"/>
  <c r="BO11" i="22"/>
  <c r="BN11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2" i="22"/>
  <c r="AU12" i="22"/>
  <c r="AT12" i="22"/>
  <c r="AR12" i="22"/>
  <c r="AQ12" i="22"/>
  <c r="AP12" i="22"/>
  <c r="AO12" i="22"/>
  <c r="AN12" i="22"/>
  <c r="AM12" i="22"/>
  <c r="AV26" i="22"/>
  <c r="AU26" i="22"/>
  <c r="AT26" i="22"/>
  <c r="AR26" i="22"/>
  <c r="AQ26" i="22"/>
  <c r="AP26" i="22"/>
  <c r="AO26" i="22"/>
  <c r="AN26" i="22"/>
  <c r="AM26" i="22"/>
  <c r="AV24" i="22"/>
  <c r="AU24" i="22"/>
  <c r="AT24" i="22"/>
  <c r="AR24" i="22"/>
  <c r="AQ24" i="22"/>
  <c r="AP24" i="22"/>
  <c r="AO24" i="22"/>
  <c r="AN24" i="22"/>
  <c r="AM24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23" i="22"/>
  <c r="AU23" i="22"/>
  <c r="AT23" i="22"/>
  <c r="AR23" i="22"/>
  <c r="AQ23" i="22"/>
  <c r="AP23" i="22"/>
  <c r="AO23" i="22"/>
  <c r="AN23" i="22"/>
  <c r="AM23" i="22"/>
  <c r="AV27" i="22"/>
  <c r="AU27" i="22"/>
  <c r="AT27" i="22"/>
  <c r="AR27" i="22"/>
  <c r="AQ27" i="22"/>
  <c r="AP27" i="22"/>
  <c r="AO27" i="22"/>
  <c r="AN27" i="22"/>
  <c r="AM27" i="22"/>
  <c r="AV30" i="22"/>
  <c r="AU30" i="22"/>
  <c r="AT30" i="22"/>
  <c r="AR30" i="22"/>
  <c r="AQ30" i="22"/>
  <c r="AP30" i="22"/>
  <c r="AO30" i="22"/>
  <c r="AN30" i="22"/>
  <c r="AM30" i="22"/>
  <c r="AV31" i="22"/>
  <c r="AU31" i="22"/>
  <c r="AT31" i="22"/>
  <c r="AR31" i="22"/>
  <c r="AQ31" i="22"/>
  <c r="AP31" i="22"/>
  <c r="AO31" i="22"/>
  <c r="AN31" i="22"/>
  <c r="AM31" i="22"/>
  <c r="AV16" i="22"/>
  <c r="AU16" i="22"/>
  <c r="AT16" i="22"/>
  <c r="AR16" i="22"/>
  <c r="AQ16" i="22"/>
  <c r="AP16" i="22"/>
  <c r="AO16" i="22"/>
  <c r="AN16" i="22"/>
  <c r="AM16" i="22"/>
  <c r="AV15" i="22"/>
  <c r="AU15" i="22"/>
  <c r="AT15" i="22"/>
  <c r="AR15" i="22"/>
  <c r="AQ15" i="22"/>
  <c r="AP15" i="22"/>
  <c r="AO15" i="22"/>
  <c r="AN15" i="22"/>
  <c r="AM15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N20" i="22"/>
  <c r="AM20" i="22"/>
  <c r="AV17" i="22"/>
  <c r="AU17" i="22"/>
  <c r="AT17" i="22"/>
  <c r="AR17" i="22"/>
  <c r="AQ17" i="22"/>
  <c r="AP17" i="22"/>
  <c r="AO17" i="22"/>
  <c r="AN17" i="22"/>
  <c r="AM17" i="22"/>
  <c r="AV22" i="22"/>
  <c r="AU22" i="22"/>
  <c r="AT22" i="22"/>
  <c r="AR22" i="22"/>
  <c r="AQ22" i="22"/>
  <c r="AP22" i="22"/>
  <c r="AO22" i="22"/>
  <c r="AN22" i="22"/>
  <c r="AM22" i="22"/>
  <c r="AV25" i="22"/>
  <c r="AU25" i="22"/>
  <c r="AT25" i="22"/>
  <c r="AR25" i="22"/>
  <c r="AQ25" i="22"/>
  <c r="AP25" i="22"/>
  <c r="AO25" i="22"/>
  <c r="AN25" i="22"/>
  <c r="AM25" i="22"/>
  <c r="AV11" i="22"/>
  <c r="AU11" i="22"/>
  <c r="AT11" i="22"/>
  <c r="AR11" i="22"/>
  <c r="AQ11" i="22"/>
  <c r="AP11" i="22"/>
  <c r="AO11" i="22"/>
  <c r="AN11" i="22"/>
  <c r="AM11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6" i="4"/>
  <c r="BV16" i="4"/>
  <c r="BU16" i="4"/>
  <c r="BS16" i="4"/>
  <c r="BR16" i="4"/>
  <c r="BQ16" i="4"/>
  <c r="BP16" i="4"/>
  <c r="BT16" i="4" s="1"/>
  <c r="BO16" i="4"/>
  <c r="BN16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6" i="4"/>
  <c r="AU16" i="4"/>
  <c r="AT16" i="4"/>
  <c r="AR16" i="4"/>
  <c r="AQ16" i="4"/>
  <c r="AP16" i="4"/>
  <c r="AO16" i="4"/>
  <c r="AN16" i="4"/>
  <c r="AM16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1" i="22"/>
  <c r="CP31" i="22"/>
  <c r="CQ31" i="22"/>
  <c r="CU31" i="22" s="1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0" i="22"/>
  <c r="CP20" i="22"/>
  <c r="CQ20" i="22"/>
  <c r="CR20" i="22"/>
  <c r="CS20" i="22"/>
  <c r="CT20" i="22"/>
  <c r="CV20" i="22"/>
  <c r="CW20" i="22"/>
  <c r="CX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1" i="22"/>
  <c r="CP21" i="22"/>
  <c r="CQ21" i="22"/>
  <c r="CU21" i="22" s="1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2" i="22"/>
  <c r="CP22" i="22"/>
  <c r="CQ22" i="22"/>
  <c r="CU22" i="22" s="1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25" i="22"/>
  <c r="CP25" i="22"/>
  <c r="CQ25" i="22"/>
  <c r="CU25" i="22" s="1"/>
  <c r="CR25" i="22"/>
  <c r="CS25" i="22"/>
  <c r="CT25" i="22"/>
  <c r="CV25" i="22"/>
  <c r="CW25" i="22"/>
  <c r="CX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30" i="22"/>
  <c r="CP30" i="22"/>
  <c r="CQ30" i="22"/>
  <c r="CU30" i="22" s="1"/>
  <c r="CR30" i="22"/>
  <c r="CS30" i="22"/>
  <c r="CT30" i="22"/>
  <c r="CV30" i="22"/>
  <c r="CW30" i="22"/>
  <c r="CX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B27" i="22"/>
  <c r="TN27" i="22" s="1"/>
  <c r="TC27" i="22"/>
  <c r="TD27" i="22"/>
  <c r="TE27" i="22"/>
  <c r="TF27" i="22"/>
  <c r="TQ27" i="22" s="1"/>
  <c r="TG27" i="22"/>
  <c r="TR27" i="22" s="1"/>
  <c r="TH27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CO29" i="22"/>
  <c r="CP29" i="22"/>
  <c r="CQ29" i="22"/>
  <c r="CU29" i="22" s="1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6" i="22"/>
  <c r="CP26" i="22"/>
  <c r="CQ26" i="22"/>
  <c r="CR26" i="22"/>
  <c r="CS26" i="22"/>
  <c r="CT26" i="22"/>
  <c r="CV26" i="22"/>
  <c r="CW26" i="22"/>
  <c r="CX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B16" i="4"/>
  <c r="TN16" i="4" s="1"/>
  <c r="TC16" i="4"/>
  <c r="TD16" i="4"/>
  <c r="TE16" i="4"/>
  <c r="TF16" i="4"/>
  <c r="TQ16" i="4" s="1"/>
  <c r="TG16" i="4"/>
  <c r="TR16" i="4" s="1"/>
  <c r="TH16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BW21" i="27" l="1"/>
  <c r="BX24" i="22"/>
  <c r="N8" i="22"/>
  <c r="O8" i="22" s="1"/>
  <c r="N9" i="22"/>
  <c r="O9" i="22" s="1"/>
  <c r="N15" i="22"/>
  <c r="O15" i="22" s="1"/>
  <c r="N13" i="22"/>
  <c r="O13" i="22" s="1"/>
  <c r="N18" i="22"/>
  <c r="O18" i="22" s="1"/>
  <c r="N21" i="22"/>
  <c r="O21" i="22" s="1"/>
  <c r="N11" i="22"/>
  <c r="O11" i="22" s="1"/>
  <c r="N16" i="22"/>
  <c r="O16" i="22" s="1"/>
  <c r="N24" i="22"/>
  <c r="O24" i="22" s="1"/>
  <c r="N14" i="22"/>
  <c r="O14" i="22" s="1"/>
  <c r="N25" i="22"/>
  <c r="O25" i="22" s="1"/>
  <c r="N31" i="22"/>
  <c r="O31" i="22" s="1"/>
  <c r="AS26" i="22"/>
  <c r="N26" i="22"/>
  <c r="O26" i="22" s="1"/>
  <c r="N22" i="22"/>
  <c r="O22" i="22" s="1"/>
  <c r="N30" i="22"/>
  <c r="O30" i="22" s="1"/>
  <c r="N12" i="22"/>
  <c r="O12" i="22" s="1"/>
  <c r="N17" i="22"/>
  <c r="O17" i="22" s="1"/>
  <c r="N27" i="22"/>
  <c r="O27" i="22" s="1"/>
  <c r="N10" i="22"/>
  <c r="O10" i="22" s="1"/>
  <c r="N20" i="22"/>
  <c r="O20" i="22" s="1"/>
  <c r="N23" i="22"/>
  <c r="O23" i="22" s="1"/>
  <c r="N4" i="22"/>
  <c r="O4" i="22" s="1"/>
  <c r="N28" i="22"/>
  <c r="O28" i="22" s="1"/>
  <c r="N29" i="22"/>
  <c r="O29" i="22" s="1"/>
  <c r="N19" i="22"/>
  <c r="O19" i="22" s="1"/>
  <c r="AW6" i="21"/>
  <c r="AW10" i="21"/>
  <c r="AW13" i="21"/>
  <c r="AW20" i="21"/>
  <c r="AW22" i="21"/>
  <c r="BZ7" i="21"/>
  <c r="BZ15" i="21"/>
  <c r="BZ17" i="21"/>
  <c r="AW16" i="26"/>
  <c r="BZ15" i="26"/>
  <c r="BZ14" i="26"/>
  <c r="AW17" i="19"/>
  <c r="AW7" i="19"/>
  <c r="AW10" i="19"/>
  <c r="AW21" i="19"/>
  <c r="AW11" i="19"/>
  <c r="AW14" i="19"/>
  <c r="AW35" i="19"/>
  <c r="BZ17" i="19"/>
  <c r="BZ7" i="19"/>
  <c r="BZ10" i="19"/>
  <c r="BZ21" i="19"/>
  <c r="BZ11" i="19"/>
  <c r="BZ14" i="19"/>
  <c r="CU19" i="22"/>
  <c r="BX31" i="22"/>
  <c r="ON14" i="4"/>
  <c r="OU14" i="4" s="1"/>
  <c r="LX14" i="4"/>
  <c r="ME14" i="4" s="1"/>
  <c r="BZ10" i="21"/>
  <c r="BZ13" i="21"/>
  <c r="BZ20" i="21"/>
  <c r="BZ22" i="21"/>
  <c r="QA17" i="26"/>
  <c r="AW11" i="26"/>
  <c r="CU18" i="22"/>
  <c r="CY18" i="22" s="1"/>
  <c r="BX33" i="4"/>
  <c r="JH14" i="4"/>
  <c r="JO14" i="4" s="1"/>
  <c r="AS21" i="4"/>
  <c r="AW21" i="4" s="1"/>
  <c r="NF14" i="4"/>
  <c r="NM14" i="4" s="1"/>
  <c r="CU23" i="4"/>
  <c r="CY23" i="4" s="1"/>
  <c r="CU17" i="4"/>
  <c r="CY17" i="4" s="1"/>
  <c r="GR14" i="4"/>
  <c r="GY14" i="4" s="1"/>
  <c r="EB14" i="4"/>
  <c r="EI14" i="4" s="1"/>
  <c r="QA30" i="19"/>
  <c r="RE21" i="27"/>
  <c r="QZ21" i="27"/>
  <c r="QA21" i="27"/>
  <c r="AW18" i="27"/>
  <c r="BZ7" i="27"/>
  <c r="BZ15" i="27"/>
  <c r="BZ8" i="27"/>
  <c r="BW11" i="26"/>
  <c r="AT17" i="26"/>
  <c r="AT11" i="26"/>
  <c r="QA11" i="26"/>
  <c r="QZ11" i="26"/>
  <c r="BX29" i="22"/>
  <c r="CU10" i="22"/>
  <c r="CY10" i="22" s="1"/>
  <c r="BX19" i="22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2" i="21"/>
  <c r="BZ11" i="26"/>
  <c r="BW17" i="26"/>
  <c r="AW9" i="26"/>
  <c r="BZ6" i="26"/>
  <c r="BZ12" i="26"/>
  <c r="BZ16" i="26"/>
  <c r="RB11" i="26"/>
  <c r="CZ11" i="26"/>
  <c r="RA11" i="26"/>
  <c r="N11" i="26"/>
  <c r="O11" i="26" s="1"/>
  <c r="CU24" i="22"/>
  <c r="CY24" i="22" s="1"/>
  <c r="CU13" i="22"/>
  <c r="CY13" i="22" s="1"/>
  <c r="CU14" i="22"/>
  <c r="CY14" i="22" s="1"/>
  <c r="CU15" i="22"/>
  <c r="CY15" i="22" s="1"/>
  <c r="CU11" i="22"/>
  <c r="CY11" i="22" s="1"/>
  <c r="BX28" i="22"/>
  <c r="BX29" i="4"/>
  <c r="AS11" i="4"/>
  <c r="AW11" i="4" s="1"/>
  <c r="AS15" i="4"/>
  <c r="AW15" i="4" s="1"/>
  <c r="CU15" i="4"/>
  <c r="CU21" i="4"/>
  <c r="CY21" i="4" s="1"/>
  <c r="BX27" i="4"/>
  <c r="CU26" i="22"/>
  <c r="CY26" i="22" s="1"/>
  <c r="CU23" i="22"/>
  <c r="CY23" i="22" s="1"/>
  <c r="CU27" i="4"/>
  <c r="CY27" i="4" s="1"/>
  <c r="CU16" i="4"/>
  <c r="CY16" i="4" s="1"/>
  <c r="P21" i="27"/>
  <c r="DF21" i="27" s="1"/>
  <c r="RB21" i="27"/>
  <c r="RA21" i="27"/>
  <c r="CZ21" i="27"/>
  <c r="L21" i="27"/>
  <c r="M21" i="27" s="1"/>
  <c r="N21" i="27"/>
  <c r="DE21" i="27" s="1"/>
  <c r="RF21" i="27"/>
  <c r="BZ21" i="27"/>
  <c r="F21" i="27"/>
  <c r="J21" i="27"/>
  <c r="K21" i="27" s="1"/>
  <c r="RC21" i="27"/>
  <c r="QD21" i="27"/>
  <c r="G21" i="27"/>
  <c r="AW21" i="27"/>
  <c r="BZ20" i="27"/>
  <c r="CZ15" i="27"/>
  <c r="QA11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AW26" i="22"/>
  <c r="BX22" i="22"/>
  <c r="BX30" i="22"/>
  <c r="AS5" i="22"/>
  <c r="AW5" i="22" s="1"/>
  <c r="BT5" i="22"/>
  <c r="AW7" i="21"/>
  <c r="AW15" i="21"/>
  <c r="AW17" i="21"/>
  <c r="AW12" i="21"/>
  <c r="BZ4" i="21"/>
  <c r="AW5" i="21"/>
  <c r="AW18" i="21"/>
  <c r="AW8" i="21"/>
  <c r="AW16" i="21"/>
  <c r="AW23" i="21"/>
  <c r="BZ6" i="21"/>
  <c r="AW4" i="21"/>
  <c r="AW25" i="21"/>
  <c r="AW14" i="21"/>
  <c r="AW21" i="21"/>
  <c r="AW24" i="21"/>
  <c r="BZ5" i="21"/>
  <c r="BZ18" i="21"/>
  <c r="BZ8" i="21"/>
  <c r="BZ16" i="21"/>
  <c r="BZ23" i="21"/>
  <c r="BZ25" i="21"/>
  <c r="BZ14" i="21"/>
  <c r="BZ21" i="21"/>
  <c r="BZ24" i="21"/>
  <c r="QD33" i="19"/>
  <c r="AW5" i="19"/>
  <c r="AW8" i="19"/>
  <c r="AW27" i="19"/>
  <c r="AW28" i="19"/>
  <c r="AW34" i="19"/>
  <c r="AW32" i="19"/>
  <c r="BZ5" i="19"/>
  <c r="BZ8" i="19"/>
  <c r="BZ27" i="19"/>
  <c r="BZ28" i="19"/>
  <c r="BZ34" i="19"/>
  <c r="BZ32" i="19"/>
  <c r="RE33" i="19"/>
  <c r="QZ33" i="19"/>
  <c r="BZ35" i="19"/>
  <c r="BZ33" i="19"/>
  <c r="DC33" i="19"/>
  <c r="DC35" i="19"/>
  <c r="QA33" i="19"/>
  <c r="AW7" i="27"/>
  <c r="AW15" i="27"/>
  <c r="AW8" i="27"/>
  <c r="BZ6" i="27"/>
  <c r="BZ16" i="27"/>
  <c r="BZ14" i="27"/>
  <c r="BZ18" i="27"/>
  <c r="AW19" i="27"/>
  <c r="AW5" i="27"/>
  <c r="AW9" i="27"/>
  <c r="AW22" i="27"/>
  <c r="AW20" i="27"/>
  <c r="BZ10" i="27"/>
  <c r="BZ11" i="27"/>
  <c r="BZ13" i="27"/>
  <c r="AW6" i="27"/>
  <c r="AW16" i="27"/>
  <c r="AW14" i="27"/>
  <c r="AW10" i="27"/>
  <c r="AW11" i="27"/>
  <c r="AW13" i="27"/>
  <c r="AW17" i="27"/>
  <c r="BZ19" i="27"/>
  <c r="BZ5" i="27"/>
  <c r="BZ9" i="27"/>
  <c r="BZ22" i="27"/>
  <c r="BZ17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SL19" i="22"/>
  <c r="SS19" i="22" s="1"/>
  <c r="CY19" i="22"/>
  <c r="BX18" i="22"/>
  <c r="NF27" i="4"/>
  <c r="NM27" i="4" s="1"/>
  <c r="GR27" i="4"/>
  <c r="GY27" i="4" s="1"/>
  <c r="NF24" i="4"/>
  <c r="NM24" i="4" s="1"/>
  <c r="HZ24" i="4"/>
  <c r="IG24" i="4" s="1"/>
  <c r="BX17" i="4"/>
  <c r="IG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7" i="4"/>
  <c r="SS17" i="4" s="1"/>
  <c r="NF17" i="4"/>
  <c r="NM17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6" i="4"/>
  <c r="BX22" i="4"/>
  <c r="TL23" i="4"/>
  <c r="RD17" i="4"/>
  <c r="RK17" i="4" s="1"/>
  <c r="ON17" i="4"/>
  <c r="OU17" i="4" s="1"/>
  <c r="AS4" i="4"/>
  <c r="AW4" i="4" s="1"/>
  <c r="AS12" i="4"/>
  <c r="AW12" i="4" s="1"/>
  <c r="AS28" i="4"/>
  <c r="AW28" i="4" s="1"/>
  <c r="LX17" i="4"/>
  <c r="ME17" i="4" s="1"/>
  <c r="JH17" i="4"/>
  <c r="JO17" i="4" s="1"/>
  <c r="GR17" i="4"/>
  <c r="GY17" i="4" s="1"/>
  <c r="EB17" i="4"/>
  <c r="EI17" i="4" s="1"/>
  <c r="NF29" i="4"/>
  <c r="NM29" i="4" s="1"/>
  <c r="KP29" i="4"/>
  <c r="KW29" i="4" s="1"/>
  <c r="HZ29" i="4"/>
  <c r="IG29" i="4" s="1"/>
  <c r="AS5" i="4"/>
  <c r="AW5" i="4" s="1"/>
  <c r="HZ17" i="4"/>
  <c r="IG17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7" i="4"/>
  <c r="AS22" i="4"/>
  <c r="AW22" i="4" s="1"/>
  <c r="BT4" i="4"/>
  <c r="BX4" i="4" s="1"/>
  <c r="BT12" i="4"/>
  <c r="BX12" i="4" s="1"/>
  <c r="TL17" i="4"/>
  <c r="KP17" i="4"/>
  <c r="KW17" i="4" s="1"/>
  <c r="PV23" i="4"/>
  <c r="QC23" i="4" s="1"/>
  <c r="KP23" i="4"/>
  <c r="KW23" i="4" s="1"/>
  <c r="HZ23" i="4"/>
  <c r="IG23" i="4" s="1"/>
  <c r="AS30" i="4"/>
  <c r="AW30" i="4" s="1"/>
  <c r="PV17" i="4"/>
  <c r="QC17" i="4" s="1"/>
  <c r="FJ17" i="4"/>
  <c r="FQ17" i="4" s="1"/>
  <c r="TS17" i="4"/>
  <c r="R17" i="4"/>
  <c r="S17" i="4" s="1"/>
  <c r="L17" i="4"/>
  <c r="M17" i="4" s="1"/>
  <c r="J17" i="4"/>
  <c r="F17" i="4"/>
  <c r="I17" i="4"/>
  <c r="P17" i="4"/>
  <c r="Q17" i="4" s="1"/>
  <c r="G17" i="4"/>
  <c r="N17" i="4"/>
  <c r="AS17" i="4"/>
  <c r="AW17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6" i="4"/>
  <c r="AW16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3" i="19"/>
  <c r="RF33" i="19"/>
  <c r="P33" i="19"/>
  <c r="DF33" i="19" s="1"/>
  <c r="RA33" i="19"/>
  <c r="G33" i="19"/>
  <c r="RC33" i="19"/>
  <c r="N33" i="19"/>
  <c r="DE33" i="19" s="1"/>
  <c r="L33" i="19"/>
  <c r="DD33" i="19" s="1"/>
  <c r="F33" i="19"/>
  <c r="J33" i="19"/>
  <c r="CZ33" i="19"/>
  <c r="BW33" i="19"/>
  <c r="AT33" i="19"/>
  <c r="AW33" i="19"/>
  <c r="AW6" i="19"/>
  <c r="AW12" i="19"/>
  <c r="AW30" i="19"/>
  <c r="AW31" i="19"/>
  <c r="AW13" i="19"/>
  <c r="AW16" i="19"/>
  <c r="AW18" i="19"/>
  <c r="BZ6" i="19"/>
  <c r="BZ12" i="19"/>
  <c r="BZ30" i="19"/>
  <c r="BZ31" i="19"/>
  <c r="BZ13" i="19"/>
  <c r="BZ16" i="19"/>
  <c r="BZ18" i="19"/>
  <c r="RE35" i="19"/>
  <c r="AW4" i="19"/>
  <c r="AW9" i="19"/>
  <c r="AW19" i="19"/>
  <c r="AW25" i="19"/>
  <c r="AW23" i="19"/>
  <c r="AW20" i="19"/>
  <c r="AW26" i="19"/>
  <c r="BZ4" i="19"/>
  <c r="BZ9" i="19"/>
  <c r="BZ19" i="19"/>
  <c r="BZ25" i="19"/>
  <c r="BZ23" i="19"/>
  <c r="BZ20" i="19"/>
  <c r="BZ26" i="19"/>
  <c r="CZ35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18" i="22"/>
  <c r="SS18" i="22" s="1"/>
  <c r="AS8" i="22"/>
  <c r="AW8" i="22" s="1"/>
  <c r="AS29" i="22"/>
  <c r="AW29" i="22" s="1"/>
  <c r="BT8" i="22"/>
  <c r="BX8" i="22" s="1"/>
  <c r="TO18" i="22"/>
  <c r="TL18" i="22"/>
  <c r="TS18" i="22"/>
  <c r="P18" i="22"/>
  <c r="Q18" i="22" s="1"/>
  <c r="L18" i="22"/>
  <c r="M18" i="22" s="1"/>
  <c r="F18" i="22"/>
  <c r="R18" i="22"/>
  <c r="S18" i="22" s="1"/>
  <c r="J18" i="22"/>
  <c r="I18" i="22"/>
  <c r="G18" i="22"/>
  <c r="AS18" i="22"/>
  <c r="AW18" i="22" s="1"/>
  <c r="BX15" i="22"/>
  <c r="BX11" i="22"/>
  <c r="BX13" i="22"/>
  <c r="BX10" i="22"/>
  <c r="SL10" i="22"/>
  <c r="SS10" i="22" s="1"/>
  <c r="AS12" i="22"/>
  <c r="AW12" i="22" s="1"/>
  <c r="BT12" i="22"/>
  <c r="BX12" i="22" s="1"/>
  <c r="TL19" i="22"/>
  <c r="TS19" i="22"/>
  <c r="P19" i="22"/>
  <c r="Q19" i="22" s="1"/>
  <c r="TO19" i="22"/>
  <c r="L19" i="22"/>
  <c r="M19" i="22" s="1"/>
  <c r="F19" i="22"/>
  <c r="R19" i="22"/>
  <c r="S19" i="22" s="1"/>
  <c r="J19" i="22"/>
  <c r="I19" i="22"/>
  <c r="G19" i="22"/>
  <c r="AS19" i="22"/>
  <c r="AW19" i="22" s="1"/>
  <c r="BX5" i="22"/>
  <c r="BX20" i="22"/>
  <c r="BX26" i="22"/>
  <c r="AS17" i="22"/>
  <c r="AW17" i="22" s="1"/>
  <c r="BX4" i="22"/>
  <c r="BX27" i="22"/>
  <c r="TL10" i="22"/>
  <c r="AS4" i="22"/>
  <c r="AW4" i="22" s="1"/>
  <c r="AS11" i="22"/>
  <c r="AW11" i="22" s="1"/>
  <c r="AS16" i="22"/>
  <c r="AW16" i="22" s="1"/>
  <c r="BX21" i="22"/>
  <c r="BX23" i="22"/>
  <c r="AS25" i="22"/>
  <c r="AW25" i="22" s="1"/>
  <c r="AS31" i="22"/>
  <c r="AW31" i="22" s="1"/>
  <c r="AS13" i="22"/>
  <c r="AW13" i="22" s="1"/>
  <c r="AS22" i="22"/>
  <c r="AW22" i="22" s="1"/>
  <c r="AS30" i="22"/>
  <c r="AW30" i="22" s="1"/>
  <c r="BX25" i="22"/>
  <c r="TS10" i="22"/>
  <c r="P10" i="22"/>
  <c r="Q10" i="22" s="1"/>
  <c r="TO10" i="22"/>
  <c r="L10" i="22"/>
  <c r="M10" i="22" s="1"/>
  <c r="F10" i="22"/>
  <c r="J10" i="22"/>
  <c r="I10" i="22"/>
  <c r="R10" i="22"/>
  <c r="S10" i="22" s="1"/>
  <c r="G10" i="22"/>
  <c r="AS10" i="22"/>
  <c r="AW10" i="22" s="1"/>
  <c r="AS28" i="22"/>
  <c r="AW28" i="22" s="1"/>
  <c r="R27" i="22"/>
  <c r="S27" i="22" s="1"/>
  <c r="AS14" i="22"/>
  <c r="AW14" i="22" s="1"/>
  <c r="AS23" i="22"/>
  <c r="AW23" i="22" s="1"/>
  <c r="BX14" i="22"/>
  <c r="AS20" i="22"/>
  <c r="AW20" i="22" s="1"/>
  <c r="BT16" i="22"/>
  <c r="BX16" i="22" s="1"/>
  <c r="AS9" i="22"/>
  <c r="AW9" i="22" s="1"/>
  <c r="AS24" i="22"/>
  <c r="AW24" i="22" s="1"/>
  <c r="BT9" i="22"/>
  <c r="BX9" i="22" s="1"/>
  <c r="AS21" i="22"/>
  <c r="AW21" i="22" s="1"/>
  <c r="BT17" i="22"/>
  <c r="BX17" i="22" s="1"/>
  <c r="AS15" i="22"/>
  <c r="AW15" i="22" s="1"/>
  <c r="AS27" i="22"/>
  <c r="AW27" i="22" s="1"/>
  <c r="BW4" i="21"/>
  <c r="BW5" i="21"/>
  <c r="BW6" i="21"/>
  <c r="BW7" i="21"/>
  <c r="BW25" i="21"/>
  <c r="BW18" i="21"/>
  <c r="BW10" i="21"/>
  <c r="BW15" i="21"/>
  <c r="BW14" i="21"/>
  <c r="BW8" i="21"/>
  <c r="BW13" i="21"/>
  <c r="BW17" i="21"/>
  <c r="BW21" i="21"/>
  <c r="BW16" i="21"/>
  <c r="BW20" i="21"/>
  <c r="BW12" i="21"/>
  <c r="BW24" i="21"/>
  <c r="BW23" i="21"/>
  <c r="BW22" i="21"/>
  <c r="AT4" i="21"/>
  <c r="AT5" i="21"/>
  <c r="AT6" i="21"/>
  <c r="AT7" i="21"/>
  <c r="AT25" i="21"/>
  <c r="AT18" i="21"/>
  <c r="AT10" i="21"/>
  <c r="AT15" i="21"/>
  <c r="AT14" i="21"/>
  <c r="AT8" i="21"/>
  <c r="AT13" i="21"/>
  <c r="AT17" i="21"/>
  <c r="AT21" i="21"/>
  <c r="AT16" i="21"/>
  <c r="AT20" i="21"/>
  <c r="AT12" i="21"/>
  <c r="AT24" i="21"/>
  <c r="AT23" i="21"/>
  <c r="AT22" i="21"/>
  <c r="BW5" i="19"/>
  <c r="BW4" i="19"/>
  <c r="BW6" i="19"/>
  <c r="BW17" i="19"/>
  <c r="BW8" i="19"/>
  <c r="BW9" i="19"/>
  <c r="BW12" i="19"/>
  <c r="BW7" i="19"/>
  <c r="BW19" i="19"/>
  <c r="BW30" i="19"/>
  <c r="BW10" i="19"/>
  <c r="BW27" i="19"/>
  <c r="BW25" i="19"/>
  <c r="BW31" i="19"/>
  <c r="BW21" i="19"/>
  <c r="BW28" i="19"/>
  <c r="BW23" i="19"/>
  <c r="BW13" i="19"/>
  <c r="BW11" i="19"/>
  <c r="BW34" i="19"/>
  <c r="BW20" i="19"/>
  <c r="BW16" i="19"/>
  <c r="BW14" i="19"/>
  <c r="BW32" i="19"/>
  <c r="BW26" i="19"/>
  <c r="BW18" i="19"/>
  <c r="BW35" i="19"/>
  <c r="AT5" i="19"/>
  <c r="AT4" i="19"/>
  <c r="AT6" i="19"/>
  <c r="AT17" i="19"/>
  <c r="AT8" i="19"/>
  <c r="AT9" i="19"/>
  <c r="AT12" i="19"/>
  <c r="AT7" i="19"/>
  <c r="AT19" i="19"/>
  <c r="AT30" i="19"/>
  <c r="AT10" i="19"/>
  <c r="AT27" i="19"/>
  <c r="AT25" i="19"/>
  <c r="AT31" i="19"/>
  <c r="AT21" i="19"/>
  <c r="AT28" i="19"/>
  <c r="AT23" i="19"/>
  <c r="AT13" i="19"/>
  <c r="AT11" i="19"/>
  <c r="AT34" i="19"/>
  <c r="AT20" i="19"/>
  <c r="AT16" i="19"/>
  <c r="AT14" i="19"/>
  <c r="AT32" i="19"/>
  <c r="AT26" i="19"/>
  <c r="AT18" i="19"/>
  <c r="AT35" i="19"/>
  <c r="BW19" i="27"/>
  <c r="BW7" i="27"/>
  <c r="BW10" i="27"/>
  <c r="BW6" i="27"/>
  <c r="BW5" i="27"/>
  <c r="BW11" i="27"/>
  <c r="BW16" i="27"/>
  <c r="BW9" i="27"/>
  <c r="BW15" i="27"/>
  <c r="BW13" i="27"/>
  <c r="BW14" i="27"/>
  <c r="BW22" i="27"/>
  <c r="BW8" i="27"/>
  <c r="BW17" i="27"/>
  <c r="BW18" i="27"/>
  <c r="BW20" i="27"/>
  <c r="AT19" i="27"/>
  <c r="AT7" i="27"/>
  <c r="AT10" i="27"/>
  <c r="AT6" i="27"/>
  <c r="AT5" i="27"/>
  <c r="AT11" i="27"/>
  <c r="AT16" i="27"/>
  <c r="AT9" i="27"/>
  <c r="AT15" i="27"/>
  <c r="AT13" i="27"/>
  <c r="AT14" i="27"/>
  <c r="AT22" i="27"/>
  <c r="AT8" i="27"/>
  <c r="AT17" i="27"/>
  <c r="AT18" i="27"/>
  <c r="AT20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6" i="22"/>
  <c r="S26" i="22" s="1"/>
  <c r="R24" i="22"/>
  <c r="S24" i="22" s="1"/>
  <c r="R29" i="22"/>
  <c r="S29" i="22" s="1"/>
  <c r="R30" i="22"/>
  <c r="S30" i="22" s="1"/>
  <c r="R25" i="22"/>
  <c r="S25" i="22" s="1"/>
  <c r="R22" i="22"/>
  <c r="S22" i="22" s="1"/>
  <c r="R20" i="22"/>
  <c r="S20" i="22" s="1"/>
  <c r="R31" i="22"/>
  <c r="S31" i="22" s="1"/>
  <c r="R9" i="22"/>
  <c r="S9" i="22" s="1"/>
  <c r="R11" i="22"/>
  <c r="S11" i="22" s="1"/>
  <c r="R28" i="22"/>
  <c r="S28" i="22" s="1"/>
  <c r="R8" i="22"/>
  <c r="S8" i="22" s="1"/>
  <c r="R15" i="22"/>
  <c r="S15" i="22" s="1"/>
  <c r="R16" i="22"/>
  <c r="S16" i="22" s="1"/>
  <c r="R13" i="22"/>
  <c r="S13" i="22" s="1"/>
  <c r="R23" i="22"/>
  <c r="S23" i="22" s="1"/>
  <c r="R4" i="22"/>
  <c r="S4" i="22" s="1"/>
  <c r="R12" i="22"/>
  <c r="S12" i="22" s="1"/>
  <c r="R17" i="22"/>
  <c r="S17" i="22" s="1"/>
  <c r="R14" i="22"/>
  <c r="S14" i="22" s="1"/>
  <c r="R21" i="22"/>
  <c r="S21" i="22" s="1"/>
  <c r="R16" i="4"/>
  <c r="S16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5" i="19"/>
  <c r="N35" i="19"/>
  <c r="DE35" i="19" s="1"/>
  <c r="RB35" i="19"/>
  <c r="RA35" i="19"/>
  <c r="RF35" i="19"/>
  <c r="QZ35" i="19"/>
  <c r="G35" i="19"/>
  <c r="L35" i="19"/>
  <c r="M35" i="19" s="1"/>
  <c r="F35" i="19"/>
  <c r="J35" i="19"/>
  <c r="K35" i="19" s="1"/>
  <c r="P35" i="19"/>
  <c r="RC35" i="19"/>
  <c r="QD35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D19" i="19"/>
  <c r="RE12" i="19"/>
  <c r="QA10" i="21"/>
  <c r="QA15" i="21"/>
  <c r="N5" i="21"/>
  <c r="O5" i="21" s="1"/>
  <c r="QD20" i="21"/>
  <c r="QZ7" i="21"/>
  <c r="QD10" i="19"/>
  <c r="CZ10" i="19"/>
  <c r="RB7" i="19"/>
  <c r="CZ7" i="19"/>
  <c r="QZ30" i="19"/>
  <c r="QD12" i="19"/>
  <c r="RE11" i="27"/>
  <c r="QZ11" i="27"/>
  <c r="L7" i="27"/>
  <c r="M7" i="27" s="1"/>
  <c r="QA15" i="26"/>
  <c r="QD13" i="26"/>
  <c r="QD10" i="26"/>
  <c r="RE7" i="26"/>
  <c r="QZ7" i="26"/>
  <c r="CY22" i="22"/>
  <c r="SL4" i="22"/>
  <c r="SS4" i="22" s="1"/>
  <c r="SL15" i="22"/>
  <c r="SS15" i="22" s="1"/>
  <c r="SL25" i="22"/>
  <c r="SS25" i="22" s="1"/>
  <c r="L4" i="22"/>
  <c r="M4" i="22" s="1"/>
  <c r="ON11" i="4"/>
  <c r="OU11" i="4" s="1"/>
  <c r="RD5" i="4"/>
  <c r="RK5" i="4" s="1"/>
  <c r="LX5" i="4"/>
  <c r="ME5" i="4" s="1"/>
  <c r="NF13" i="4"/>
  <c r="NM13" i="4" s="1"/>
  <c r="ON10" i="4"/>
  <c r="OU10" i="4" s="1"/>
  <c r="CY15" i="4"/>
  <c r="QA8" i="21"/>
  <c r="DC13" i="21"/>
  <c r="P13" i="21"/>
  <c r="Q13" i="21" s="1"/>
  <c r="RE25" i="21"/>
  <c r="QA20" i="21"/>
  <c r="DC15" i="21"/>
  <c r="P15" i="21"/>
  <c r="Q15" i="21" s="1"/>
  <c r="QD30" i="19"/>
  <c r="DC12" i="19"/>
  <c r="P12" i="19"/>
  <c r="Q12" i="19" s="1"/>
  <c r="CZ19" i="19"/>
  <c r="RC12" i="19"/>
  <c r="QZ12" i="19"/>
  <c r="N10" i="19"/>
  <c r="O10" i="19" s="1"/>
  <c r="RE30" i="19"/>
  <c r="N19" i="19"/>
  <c r="O19" i="19" s="1"/>
  <c r="DC10" i="19"/>
  <c r="P30" i="19"/>
  <c r="Q30" i="19" s="1"/>
  <c r="RE7" i="19"/>
  <c r="RE15" i="27"/>
  <c r="QZ15" i="27"/>
  <c r="RB11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SL22" i="22"/>
  <c r="SS22" i="22" s="1"/>
  <c r="SL21" i="22"/>
  <c r="SS21" i="22" s="1"/>
  <c r="DA17" i="22"/>
  <c r="DA14" i="22"/>
  <c r="DA16" i="22"/>
  <c r="DA20" i="22"/>
  <c r="DA24" i="22"/>
  <c r="DA25" i="22"/>
  <c r="DA29" i="22"/>
  <c r="SL17" i="22"/>
  <c r="SS17" i="22" s="1"/>
  <c r="DA26" i="22"/>
  <c r="DA9" i="22"/>
  <c r="DA15" i="22"/>
  <c r="DA30" i="22"/>
  <c r="DA21" i="22"/>
  <c r="SL29" i="22"/>
  <c r="SS29" i="22" s="1"/>
  <c r="DA27" i="22"/>
  <c r="DA8" i="22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DA23" i="22"/>
  <c r="CY29" i="22"/>
  <c r="TO29" i="22"/>
  <c r="TO15" i="22"/>
  <c r="SL20" i="22"/>
  <c r="SS20" i="22" s="1"/>
  <c r="SL16" i="22"/>
  <c r="SS16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6" i="4"/>
  <c r="RK16" i="4" s="1"/>
  <c r="ON16" i="4"/>
  <c r="OU16" i="4" s="1"/>
  <c r="LX16" i="4"/>
  <c r="ME16" i="4" s="1"/>
  <c r="JH16" i="4"/>
  <c r="JO16" i="4" s="1"/>
  <c r="GR16" i="4"/>
  <c r="GY16" i="4" s="1"/>
  <c r="N16" i="4"/>
  <c r="DA16" i="4" s="1"/>
  <c r="N13" i="4"/>
  <c r="DA13" i="4" s="1"/>
  <c r="N5" i="4"/>
  <c r="O5" i="4" s="1"/>
  <c r="N12" i="4"/>
  <c r="DA12" i="4" s="1"/>
  <c r="EB11" i="4"/>
  <c r="EI11" i="4" s="1"/>
  <c r="SL15" i="4"/>
  <c r="SS15" i="4" s="1"/>
  <c r="PV16" i="4"/>
  <c r="QC16" i="4" s="1"/>
  <c r="KP16" i="4"/>
  <c r="KW16" i="4" s="1"/>
  <c r="FJ16" i="4"/>
  <c r="FQ16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6" i="4"/>
  <c r="SS16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6" i="4"/>
  <c r="NM16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6" i="4"/>
  <c r="IG16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8" i="21"/>
  <c r="RB10" i="21"/>
  <c r="QD6" i="21"/>
  <c r="N20" i="21"/>
  <c r="DE20" i="21" s="1"/>
  <c r="DC4" i="21"/>
  <c r="DC8" i="21"/>
  <c r="DC14" i="21"/>
  <c r="CZ6" i="21"/>
  <c r="RE10" i="21"/>
  <c r="QZ10" i="21"/>
  <c r="P14" i="21"/>
  <c r="Q14" i="21" s="1"/>
  <c r="N18" i="21"/>
  <c r="O18" i="21" s="1"/>
  <c r="J5" i="21"/>
  <c r="K5" i="21" s="1"/>
  <c r="N13" i="21"/>
  <c r="O13" i="21" s="1"/>
  <c r="QZ14" i="21"/>
  <c r="N15" i="21"/>
  <c r="O15" i="21" s="1"/>
  <c r="RB15" i="21"/>
  <c r="RF7" i="21"/>
  <c r="RE6" i="21"/>
  <c r="P4" i="21"/>
  <c r="Q4" i="21" s="1"/>
  <c r="RE15" i="21"/>
  <c r="QZ15" i="21"/>
  <c r="QZ25" i="21"/>
  <c r="P8" i="21"/>
  <c r="DF8" i="21" s="1"/>
  <c r="N25" i="21"/>
  <c r="O25" i="21" s="1"/>
  <c r="N7" i="21"/>
  <c r="O7" i="21" s="1"/>
  <c r="N14" i="21"/>
  <c r="O14" i="21" s="1"/>
  <c r="QA13" i="21"/>
  <c r="RB14" i="21"/>
  <c r="N6" i="21"/>
  <c r="O6" i="21" s="1"/>
  <c r="RB18" i="21"/>
  <c r="RA18" i="21"/>
  <c r="RC13" i="21"/>
  <c r="N10" i="21"/>
  <c r="O10" i="21" s="1"/>
  <c r="RB7" i="21"/>
  <c r="RB13" i="21"/>
  <c r="N8" i="21"/>
  <c r="O8" i="21" s="1"/>
  <c r="RE14" i="21"/>
  <c r="DC10" i="21"/>
  <c r="P10" i="21"/>
  <c r="Q10" i="21" s="1"/>
  <c r="P5" i="21"/>
  <c r="Q5" i="21" s="1"/>
  <c r="RE4" i="21"/>
  <c r="QA7" i="21"/>
  <c r="RA8" i="21"/>
  <c r="RE8" i="21"/>
  <c r="QZ8" i="21"/>
  <c r="QA18" i="21"/>
  <c r="RA10" i="21"/>
  <c r="RB20" i="21"/>
  <c r="RA15" i="21"/>
  <c r="QD13" i="21"/>
  <c r="RF10" i="21"/>
  <c r="J4" i="21"/>
  <c r="K4" i="21" s="1"/>
  <c r="CZ7" i="21"/>
  <c r="RA13" i="21"/>
  <c r="RF14" i="21"/>
  <c r="RF15" i="21"/>
  <c r="RE18" i="21"/>
  <c r="QZ18" i="21"/>
  <c r="F8" i="21"/>
  <c r="CZ13" i="21"/>
  <c r="CZ20" i="21"/>
  <c r="RE13" i="21"/>
  <c r="QZ13" i="21"/>
  <c r="RB8" i="21"/>
  <c r="QD8" i="21"/>
  <c r="QD14" i="21"/>
  <c r="RF18" i="21"/>
  <c r="DC18" i="21"/>
  <c r="RF6" i="21"/>
  <c r="P20" i="21"/>
  <c r="Q20" i="21" s="1"/>
  <c r="L13" i="21"/>
  <c r="M13" i="21" s="1"/>
  <c r="RA14" i="21"/>
  <c r="F18" i="21"/>
  <c r="RA7" i="21"/>
  <c r="CZ4" i="21"/>
  <c r="N4" i="21"/>
  <c r="DE4" i="21" s="1"/>
  <c r="RB4" i="21"/>
  <c r="RA20" i="21"/>
  <c r="RE20" i="21"/>
  <c r="QZ20" i="21"/>
  <c r="RF13" i="21"/>
  <c r="F13" i="21"/>
  <c r="CZ8" i="21"/>
  <c r="RE7" i="21"/>
  <c r="L4" i="21"/>
  <c r="M4" i="21" s="1"/>
  <c r="RB19" i="19"/>
  <c r="DC7" i="19"/>
  <c r="RC19" i="19"/>
  <c r="DC19" i="19"/>
  <c r="N12" i="19"/>
  <c r="O12" i="19" s="1"/>
  <c r="CZ12" i="19"/>
  <c r="J7" i="19"/>
  <c r="K7" i="19" s="1"/>
  <c r="RB10" i="19"/>
  <c r="P19" i="19"/>
  <c r="Q19" i="19" s="1"/>
  <c r="RE10" i="19"/>
  <c r="RF7" i="19"/>
  <c r="RF12" i="19"/>
  <c r="RB12" i="19"/>
  <c r="N7" i="19"/>
  <c r="DE7" i="19" s="1"/>
  <c r="RF30" i="19"/>
  <c r="RB30" i="19"/>
  <c r="RA30" i="19"/>
  <c r="L7" i="19"/>
  <c r="M7" i="19" s="1"/>
  <c r="P10" i="19"/>
  <c r="DF10" i="19" s="1"/>
  <c r="RC30" i="19"/>
  <c r="J10" i="19"/>
  <c r="K10" i="19" s="1"/>
  <c r="RC10" i="27"/>
  <c r="RE7" i="27"/>
  <c r="QZ7" i="27"/>
  <c r="CZ9" i="27"/>
  <c r="RE16" i="27"/>
  <c r="QA15" i="27"/>
  <c r="CZ6" i="27"/>
  <c r="RE13" i="27"/>
  <c r="N9" i="27"/>
  <c r="O9" i="27" s="1"/>
  <c r="DC11" i="27"/>
  <c r="P11" i="27"/>
  <c r="Q11" i="27" s="1"/>
  <c r="N15" i="27"/>
  <c r="O15" i="27" s="1"/>
  <c r="CZ13" i="27"/>
  <c r="P13" i="27"/>
  <c r="DF13" i="27" s="1"/>
  <c r="RA5" i="27"/>
  <c r="RF6" i="27"/>
  <c r="RB10" i="27"/>
  <c r="N6" i="27"/>
  <c r="DE6" i="27" s="1"/>
  <c r="J10" i="27"/>
  <c r="K10" i="27" s="1"/>
  <c r="QD9" i="27"/>
  <c r="N11" i="27"/>
  <c r="DE11" i="27" s="1"/>
  <c r="CZ11" i="27"/>
  <c r="J5" i="27"/>
  <c r="K5" i="27" s="1"/>
  <c r="RE6" i="27"/>
  <c r="QD7" i="27"/>
  <c r="DC7" i="27"/>
  <c r="P7" i="27"/>
  <c r="Q7" i="27" s="1"/>
  <c r="RB13" i="27"/>
  <c r="N13" i="27"/>
  <c r="O13" i="27" s="1"/>
  <c r="F13" i="27"/>
  <c r="N16" i="27"/>
  <c r="O16" i="27" s="1"/>
  <c r="RB9" i="27"/>
  <c r="N5" i="27"/>
  <c r="O5" i="27" s="1"/>
  <c r="J7" i="27"/>
  <c r="K7" i="27" s="1"/>
  <c r="F16" i="27"/>
  <c r="RA16" i="27"/>
  <c r="QD13" i="27"/>
  <c r="RB16" i="27"/>
  <c r="QD16" i="27"/>
  <c r="P16" i="27"/>
  <c r="DF16" i="27" s="1"/>
  <c r="RC11" i="27"/>
  <c r="F11" i="27"/>
  <c r="QD6" i="27"/>
  <c r="RF7" i="27"/>
  <c r="RA13" i="27"/>
  <c r="RE9" i="27"/>
  <c r="QZ9" i="27"/>
  <c r="QA9" i="27"/>
  <c r="RF5" i="27"/>
  <c r="RA6" i="27"/>
  <c r="G6" i="27"/>
  <c r="RB15" i="27"/>
  <c r="RA15" i="27"/>
  <c r="DC15" i="27"/>
  <c r="RC16" i="27"/>
  <c r="RB5" i="27"/>
  <c r="DC10" i="27"/>
  <c r="P10" i="27"/>
  <c r="Q10" i="27" s="1"/>
  <c r="RC7" i="27"/>
  <c r="RF13" i="27"/>
  <c r="F15" i="27"/>
  <c r="RA11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SL12" i="22"/>
  <c r="SS12" i="22" s="1"/>
  <c r="TO26" i="22"/>
  <c r="SL26" i="22"/>
  <c r="SS26" i="22" s="1"/>
  <c r="SL28" i="22"/>
  <c r="SS28" i="22" s="1"/>
  <c r="SL9" i="22"/>
  <c r="SS9" i="22" s="1"/>
  <c r="SL24" i="22"/>
  <c r="SS24" i="22" s="1"/>
  <c r="CU9" i="22"/>
  <c r="CY9" i="22" s="1"/>
  <c r="CU8" i="22"/>
  <c r="CY8" i="22" s="1"/>
  <c r="CY30" i="22"/>
  <c r="CU20" i="22"/>
  <c r="CY20" i="22" s="1"/>
  <c r="SL8" i="22"/>
  <c r="SS8" i="22" s="1"/>
  <c r="TS14" i="22"/>
  <c r="TS22" i="22"/>
  <c r="CU17" i="22"/>
  <c r="CY17" i="22" s="1"/>
  <c r="SL13" i="22"/>
  <c r="SS13" i="22" s="1"/>
  <c r="SL30" i="22"/>
  <c r="SS30" i="22" s="1"/>
  <c r="CU16" i="22"/>
  <c r="CY16" i="22" s="1"/>
  <c r="SL14" i="22"/>
  <c r="SS14" i="22" s="1"/>
  <c r="TS11" i="22"/>
  <c r="SL27" i="22"/>
  <c r="SS27" i="22" s="1"/>
  <c r="TL16" i="22"/>
  <c r="CY21" i="22"/>
  <c r="SL23" i="22"/>
  <c r="SS23" i="22" s="1"/>
  <c r="TO28" i="22"/>
  <c r="TS17" i="22"/>
  <c r="TS9" i="22"/>
  <c r="TS13" i="22"/>
  <c r="TO12" i="22"/>
  <c r="TO31" i="22"/>
  <c r="CY31" i="22"/>
  <c r="TS4" i="22"/>
  <c r="TO13" i="22"/>
  <c r="TO25" i="22"/>
  <c r="TO11" i="22"/>
  <c r="TS16" i="22"/>
  <c r="TL8" i="22"/>
  <c r="TL15" i="22"/>
  <c r="CU12" i="22"/>
  <c r="CY12" i="22" s="1"/>
  <c r="TS12" i="22"/>
  <c r="TL24" i="22"/>
  <c r="TS21" i="22"/>
  <c r="TS29" i="22"/>
  <c r="TL25" i="22"/>
  <c r="TL23" i="22"/>
  <c r="TS28" i="22"/>
  <c r="TJ24" i="22"/>
  <c r="TO27" i="22"/>
  <c r="TL22" i="22"/>
  <c r="TO22" i="22"/>
  <c r="J20" i="22"/>
  <c r="TO9" i="22"/>
  <c r="TL9" i="22"/>
  <c r="TS24" i="22"/>
  <c r="TO30" i="22"/>
  <c r="TL28" i="22"/>
  <c r="TS8" i="22"/>
  <c r="TL13" i="22"/>
  <c r="TL14" i="22"/>
  <c r="TO23" i="22"/>
  <c r="TL30" i="22"/>
  <c r="L16" i="22"/>
  <c r="TS15" i="22"/>
  <c r="J15" i="22"/>
  <c r="TO8" i="22"/>
  <c r="G24" i="22"/>
  <c r="L17" i="22"/>
  <c r="J8" i="22"/>
  <c r="J30" i="22"/>
  <c r="I13" i="22"/>
  <c r="P29" i="22"/>
  <c r="Q29" i="22" s="1"/>
  <c r="L30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6" i="4"/>
  <c r="EI16" i="4" s="1"/>
  <c r="TO15" i="4"/>
  <c r="TL15" i="4"/>
  <c r="TO25" i="4"/>
  <c r="CU11" i="4"/>
  <c r="CY11" i="4" s="1"/>
  <c r="TL21" i="4"/>
  <c r="L25" i="4"/>
  <c r="TO16" i="4"/>
  <c r="TO7" i="4"/>
  <c r="CU7" i="4"/>
  <c r="CY7" i="4" s="1"/>
  <c r="TO11" i="4"/>
  <c r="CU6" i="4"/>
  <c r="CY6" i="4" s="1"/>
  <c r="TL16" i="4"/>
  <c r="TS13" i="4"/>
  <c r="TS7" i="4"/>
  <c r="TO6" i="4"/>
  <c r="TM16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6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0" i="21"/>
  <c r="F14" i="21"/>
  <c r="F10" i="21"/>
  <c r="F15" i="21"/>
  <c r="G13" i="21"/>
  <c r="J13" i="21"/>
  <c r="G7" i="21"/>
  <c r="F7" i="21"/>
  <c r="J7" i="21"/>
  <c r="RF20" i="21"/>
  <c r="RF8" i="21"/>
  <c r="G25" i="21"/>
  <c r="J25" i="21"/>
  <c r="L20" i="21"/>
  <c r="F25" i="21"/>
  <c r="RC20" i="21"/>
  <c r="L8" i="21"/>
  <c r="G6" i="21"/>
  <c r="F6" i="21"/>
  <c r="QA5" i="21"/>
  <c r="QD5" i="21"/>
  <c r="DC5" i="21"/>
  <c r="CZ5" i="21"/>
  <c r="J20" i="21"/>
  <c r="G8" i="21"/>
  <c r="J8" i="21"/>
  <c r="QA14" i="21"/>
  <c r="G18" i="21"/>
  <c r="RF25" i="21"/>
  <c r="L7" i="21"/>
  <c r="RB5" i="21"/>
  <c r="RA5" i="21"/>
  <c r="CZ14" i="21"/>
  <c r="CZ10" i="21"/>
  <c r="CZ15" i="21"/>
  <c r="QD25" i="21"/>
  <c r="QA25" i="21"/>
  <c r="CZ25" i="21"/>
  <c r="DC25" i="21"/>
  <c r="L25" i="21"/>
  <c r="RE5" i="21"/>
  <c r="RF5" i="21"/>
  <c r="QZ5" i="21"/>
  <c r="RC5" i="21"/>
  <c r="DC20" i="21"/>
  <c r="G20" i="21"/>
  <c r="G14" i="21"/>
  <c r="J14" i="21"/>
  <c r="L14" i="21"/>
  <c r="G10" i="21"/>
  <c r="J10" i="21"/>
  <c r="L10" i="21"/>
  <c r="G15" i="21"/>
  <c r="J15" i="21"/>
  <c r="L15" i="21"/>
  <c r="RB25" i="21"/>
  <c r="RA25" i="21"/>
  <c r="RC25" i="21"/>
  <c r="P6" i="21"/>
  <c r="L18" i="21"/>
  <c r="P25" i="21"/>
  <c r="QZ6" i="21"/>
  <c r="RC6" i="21"/>
  <c r="L5" i="21"/>
  <c r="F5" i="21"/>
  <c r="G5" i="21"/>
  <c r="RA4" i="21"/>
  <c r="QD10" i="21"/>
  <c r="QD15" i="21"/>
  <c r="QD18" i="21"/>
  <c r="RB6" i="21"/>
  <c r="QZ4" i="21"/>
  <c r="RC4" i="21"/>
  <c r="RC8" i="21"/>
  <c r="RC14" i="21"/>
  <c r="RC10" i="21"/>
  <c r="RC15" i="21"/>
  <c r="RC18" i="21"/>
  <c r="J18" i="21"/>
  <c r="QD7" i="21"/>
  <c r="P7" i="21"/>
  <c r="RF4" i="21"/>
  <c r="P18" i="21"/>
  <c r="RC7" i="21"/>
  <c r="DC7" i="21"/>
  <c r="RA6" i="21"/>
  <c r="L6" i="21"/>
  <c r="J6" i="21"/>
  <c r="DC6" i="21"/>
  <c r="QA6" i="21"/>
  <c r="QA4" i="21"/>
  <c r="QD4" i="21"/>
  <c r="F4" i="21"/>
  <c r="G4" i="21"/>
  <c r="DC30" i="19"/>
  <c r="CZ30" i="19"/>
  <c r="RC10" i="19"/>
  <c r="J30" i="19"/>
  <c r="L19" i="19"/>
  <c r="F19" i="19"/>
  <c r="G19" i="19"/>
  <c r="RF10" i="19"/>
  <c r="F10" i="19"/>
  <c r="N30" i="19"/>
  <c r="L30" i="19"/>
  <c r="G30" i="19"/>
  <c r="RA19" i="19"/>
  <c r="RA10" i="19"/>
  <c r="QA10" i="19"/>
  <c r="F30" i="19"/>
  <c r="RE19" i="19"/>
  <c r="RF19" i="19"/>
  <c r="J19" i="19"/>
  <c r="QZ10" i="19"/>
  <c r="G10" i="19"/>
  <c r="L10" i="19"/>
  <c r="L12" i="19"/>
  <c r="G12" i="19"/>
  <c r="J12" i="19"/>
  <c r="QA7" i="19"/>
  <c r="QD7" i="19"/>
  <c r="RA7" i="19"/>
  <c r="QA19" i="19"/>
  <c r="F12" i="19"/>
  <c r="QZ7" i="19"/>
  <c r="RC7" i="19"/>
  <c r="P7" i="19"/>
  <c r="QZ19" i="19"/>
  <c r="RA12" i="19"/>
  <c r="QA12" i="19"/>
  <c r="G7" i="19"/>
  <c r="F7" i="19"/>
  <c r="G13" i="27"/>
  <c r="J13" i="27"/>
  <c r="G9" i="27"/>
  <c r="J9" i="27"/>
  <c r="L9" i="27"/>
  <c r="RC13" i="27"/>
  <c r="DC13" i="27"/>
  <c r="P15" i="27"/>
  <c r="CZ16" i="27"/>
  <c r="DC16" i="27"/>
  <c r="P6" i="27"/>
  <c r="F6" i="27"/>
  <c r="RF9" i="27"/>
  <c r="RF15" i="27"/>
  <c r="RC9" i="27"/>
  <c r="DC9" i="27"/>
  <c r="P9" i="27"/>
  <c r="RA10" i="27"/>
  <c r="N10" i="27"/>
  <c r="L13" i="27"/>
  <c r="G15" i="27"/>
  <c r="J15" i="27"/>
  <c r="L15" i="27"/>
  <c r="RF11" i="27"/>
  <c r="F5" i="27"/>
  <c r="QZ6" i="27"/>
  <c r="RC6" i="27"/>
  <c r="RE10" i="27"/>
  <c r="RF10" i="27"/>
  <c r="L10" i="27"/>
  <c r="F10" i="27"/>
  <c r="G10" i="27"/>
  <c r="RA9" i="27"/>
  <c r="QA13" i="27"/>
  <c r="QD15" i="27"/>
  <c r="G16" i="27"/>
  <c r="J16" i="27"/>
  <c r="L16" i="27"/>
  <c r="RB6" i="27"/>
  <c r="F9" i="27"/>
  <c r="QZ13" i="27"/>
  <c r="RC15" i="27"/>
  <c r="RF16" i="27"/>
  <c r="QD11" i="27"/>
  <c r="DC5" i="27"/>
  <c r="CZ5" i="27"/>
  <c r="G5" i="27"/>
  <c r="QZ16" i="27"/>
  <c r="QA16" i="27"/>
  <c r="L11" i="27"/>
  <c r="QA5" i="27"/>
  <c r="J11" i="27"/>
  <c r="P5" i="27"/>
  <c r="L6" i="27"/>
  <c r="QA10" i="27"/>
  <c r="QD5" i="27"/>
  <c r="QZ10" i="27"/>
  <c r="RA7" i="27"/>
  <c r="QA7" i="27"/>
  <c r="RC5" i="27"/>
  <c r="DC6" i="27"/>
  <c r="J6" i="27"/>
  <c r="G11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8" i="22"/>
  <c r="P28" i="22"/>
  <c r="Q28" i="22" s="1"/>
  <c r="P12" i="22"/>
  <c r="Q12" i="22" s="1"/>
  <c r="I26" i="22"/>
  <c r="G26" i="22"/>
  <c r="F13" i="22"/>
  <c r="J13" i="22"/>
  <c r="TO14" i="22"/>
  <c r="TS30" i="22"/>
  <c r="CU28" i="22"/>
  <c r="CY28" i="22" s="1"/>
  <c r="J28" i="22"/>
  <c r="TL12" i="22"/>
  <c r="J12" i="22"/>
  <c r="L12" i="22"/>
  <c r="P26" i="22"/>
  <c r="Q26" i="22" s="1"/>
  <c r="F26" i="22"/>
  <c r="F24" i="22"/>
  <c r="P14" i="22"/>
  <c r="Q14" i="22" s="1"/>
  <c r="I29" i="22"/>
  <c r="G27" i="22"/>
  <c r="G13" i="22"/>
  <c r="J27" i="22"/>
  <c r="L27" i="22"/>
  <c r="F27" i="22"/>
  <c r="G30" i="22"/>
  <c r="P31" i="22"/>
  <c r="Q31" i="22" s="1"/>
  <c r="G29" i="22"/>
  <c r="F12" i="22"/>
  <c r="G12" i="22"/>
  <c r="TS26" i="22"/>
  <c r="P24" i="22"/>
  <c r="Q24" i="22" s="1"/>
  <c r="I23" i="22"/>
  <c r="F30" i="22"/>
  <c r="P30" i="22"/>
  <c r="Q30" i="22" s="1"/>
  <c r="TO24" i="22"/>
  <c r="G15" i="22"/>
  <c r="L24" i="22"/>
  <c r="TL26" i="22"/>
  <c r="J24" i="22"/>
  <c r="J29" i="22"/>
  <c r="TS23" i="22"/>
  <c r="TM27" i="22"/>
  <c r="F15" i="22"/>
  <c r="L13" i="22"/>
  <c r="J26" i="22"/>
  <c r="I24" i="22"/>
  <c r="P13" i="22"/>
  <c r="Q13" i="22" s="1"/>
  <c r="J14" i="22"/>
  <c r="L14" i="22"/>
  <c r="TL29" i="22"/>
  <c r="G23" i="22"/>
  <c r="J23" i="22"/>
  <c r="I30" i="22"/>
  <c r="F16" i="22"/>
  <c r="P20" i="22"/>
  <c r="Q20" i="22" s="1"/>
  <c r="TS27" i="22"/>
  <c r="P27" i="22"/>
  <c r="Q27" i="22" s="1"/>
  <c r="P16" i="22"/>
  <c r="Q16" i="22" s="1"/>
  <c r="I12" i="22"/>
  <c r="L26" i="22"/>
  <c r="L23" i="22"/>
  <c r="P23" i="22"/>
  <c r="Q23" i="22" s="1"/>
  <c r="CU27" i="22"/>
  <c r="CY27" i="22" s="1"/>
  <c r="P22" i="22"/>
  <c r="Q22" i="22" s="1"/>
  <c r="I21" i="22"/>
  <c r="P21" i="22"/>
  <c r="Q21" i="22" s="1"/>
  <c r="I14" i="22"/>
  <c r="TL27" i="22"/>
  <c r="I15" i="22"/>
  <c r="P15" i="22"/>
  <c r="Q15" i="22" s="1"/>
  <c r="F11" i="22"/>
  <c r="P11" i="22"/>
  <c r="Q11" i="22" s="1"/>
  <c r="J31" i="22"/>
  <c r="G16" i="22"/>
  <c r="TS25" i="22"/>
  <c r="L25" i="22"/>
  <c r="G21" i="22"/>
  <c r="F14" i="22"/>
  <c r="G14" i="22"/>
  <c r="F23" i="22"/>
  <c r="I27" i="22"/>
  <c r="G28" i="22"/>
  <c r="L28" i="22"/>
  <c r="G25" i="22"/>
  <c r="I11" i="22"/>
  <c r="F21" i="22"/>
  <c r="P25" i="22"/>
  <c r="Q25" i="22" s="1"/>
  <c r="F25" i="22"/>
  <c r="G22" i="22"/>
  <c r="L22" i="22"/>
  <c r="J22" i="22"/>
  <c r="I9" i="22"/>
  <c r="TO4" i="22"/>
  <c r="F4" i="22"/>
  <c r="F28" i="22"/>
  <c r="CY25" i="22"/>
  <c r="J25" i="22"/>
  <c r="I22" i="22"/>
  <c r="J21" i="22"/>
  <c r="TS20" i="22"/>
  <c r="TJ20" i="22"/>
  <c r="TL20" i="22"/>
  <c r="J16" i="22"/>
  <c r="L15" i="22"/>
  <c r="SL11" i="22"/>
  <c r="SS11" i="22" s="1"/>
  <c r="F22" i="22"/>
  <c r="TO17" i="22"/>
  <c r="L20" i="22"/>
  <c r="P8" i="22"/>
  <c r="Q8" i="22" s="1"/>
  <c r="F8" i="22"/>
  <c r="I8" i="22"/>
  <c r="I16" i="22"/>
  <c r="I25" i="22"/>
  <c r="TL11" i="22"/>
  <c r="TL17" i="22"/>
  <c r="G20" i="22"/>
  <c r="TO16" i="22"/>
  <c r="L11" i="22"/>
  <c r="G11" i="22"/>
  <c r="J11" i="22"/>
  <c r="TO21" i="22"/>
  <c r="F20" i="22"/>
  <c r="I20" i="22"/>
  <c r="F31" i="22"/>
  <c r="I31" i="22"/>
  <c r="P9" i="22"/>
  <c r="Q9" i="22" s="1"/>
  <c r="P4" i="22"/>
  <c r="Q4" i="22" s="1"/>
  <c r="J17" i="22"/>
  <c r="I17" i="22"/>
  <c r="L21" i="22"/>
  <c r="TO20" i="22"/>
  <c r="G8" i="22"/>
  <c r="TS31" i="22"/>
  <c r="TL4" i="22"/>
  <c r="P17" i="22"/>
  <c r="Q17" i="22" s="1"/>
  <c r="G17" i="22"/>
  <c r="TL21" i="22"/>
  <c r="SL31" i="22"/>
  <c r="SS31" i="22" s="1"/>
  <c r="J9" i="22"/>
  <c r="L9" i="22"/>
  <c r="F9" i="22"/>
  <c r="CU4" i="22"/>
  <c r="CY4" i="22" s="1"/>
  <c r="F17" i="22"/>
  <c r="TL31" i="22"/>
  <c r="L31" i="22"/>
  <c r="G31" i="22"/>
  <c r="J4" i="22"/>
  <c r="I4" i="22"/>
  <c r="L8" i="22"/>
  <c r="G4" i="22"/>
  <c r="G15" i="4"/>
  <c r="J25" i="4"/>
  <c r="I9" i="4"/>
  <c r="F15" i="4"/>
  <c r="I25" i="4"/>
  <c r="G12" i="4"/>
  <c r="I11" i="4"/>
  <c r="TL9" i="4"/>
  <c r="P16" i="4"/>
  <c r="Q16" i="4" s="1"/>
  <c r="F25" i="4"/>
  <c r="F12" i="4"/>
  <c r="F16" i="4"/>
  <c r="G11" i="4"/>
  <c r="L12" i="4"/>
  <c r="P9" i="4"/>
  <c r="Q9" i="4" s="1"/>
  <c r="TS16" i="4"/>
  <c r="J9" i="4"/>
  <c r="F9" i="4"/>
  <c r="G9" i="4"/>
  <c r="J12" i="4"/>
  <c r="J16" i="4"/>
  <c r="F10" i="4"/>
  <c r="L6" i="4"/>
  <c r="G5" i="4"/>
  <c r="J4" i="4"/>
  <c r="I16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6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DA4" i="22" l="1"/>
  <c r="DA11" i="22"/>
  <c r="DA22" i="22"/>
  <c r="DA13" i="22"/>
  <c r="DA31" i="22"/>
  <c r="DA28" i="22"/>
  <c r="DA12" i="22"/>
  <c r="K15" i="22"/>
  <c r="K30" i="22"/>
  <c r="K8" i="22"/>
  <c r="K20" i="22"/>
  <c r="K10" i="22"/>
  <c r="K19" i="22"/>
  <c r="K15" i="4"/>
  <c r="K14" i="4"/>
  <c r="K5" i="4"/>
  <c r="K17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3" i="19"/>
  <c r="DD7" i="27"/>
  <c r="Q21" i="27"/>
  <c r="DD11" i="26"/>
  <c r="I11" i="26"/>
  <c r="H11" i="26" s="1"/>
  <c r="DE11" i="26"/>
  <c r="DE10" i="21"/>
  <c r="O7" i="26"/>
  <c r="RD11" i="26"/>
  <c r="DD21" i="27"/>
  <c r="R21" i="27" s="1"/>
  <c r="I21" i="27"/>
  <c r="H21" i="27" s="1"/>
  <c r="RD21" i="27"/>
  <c r="DD17" i="26"/>
  <c r="TP24" i="4"/>
  <c r="TT24" i="4" s="1"/>
  <c r="RG21" i="27"/>
  <c r="O21" i="27"/>
  <c r="A21" i="27"/>
  <c r="DF11" i="26"/>
  <c r="Q11" i="26"/>
  <c r="RD17" i="26"/>
  <c r="O17" i="26"/>
  <c r="I17" i="26"/>
  <c r="H17" i="26" s="1"/>
  <c r="A17" i="26"/>
  <c r="DF17" i="26"/>
  <c r="Q17" i="26"/>
  <c r="RD33" i="19"/>
  <c r="Q18" i="19"/>
  <c r="RD35" i="19"/>
  <c r="DE16" i="27"/>
  <c r="DE15" i="26"/>
  <c r="DE6" i="26"/>
  <c r="CZ23" i="22"/>
  <c r="TP19" i="22"/>
  <c r="TT19" i="22" s="1"/>
  <c r="CZ18" i="22"/>
  <c r="TP18" i="22"/>
  <c r="TT18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7" i="4"/>
  <c r="TP29" i="4"/>
  <c r="TT29" i="4" s="1"/>
  <c r="A27" i="4" a="1"/>
  <c r="A27" i="4" s="1"/>
  <c r="O27" i="4"/>
  <c r="DA27" i="4"/>
  <c r="H27" i="4"/>
  <c r="TP23" i="4"/>
  <c r="TT23" i="4" s="1"/>
  <c r="TP17" i="4"/>
  <c r="TT17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7" i="4" a="1"/>
  <c r="A17" i="4" s="1"/>
  <c r="O17" i="4"/>
  <c r="DA17" i="4"/>
  <c r="H17" i="4"/>
  <c r="CZ21" i="4"/>
  <c r="A33" i="19"/>
  <c r="M33" i="19"/>
  <c r="O33" i="19"/>
  <c r="RG33" i="19"/>
  <c r="R33" i="19"/>
  <c r="S33" i="19" s="1"/>
  <c r="K33" i="19"/>
  <c r="I33" i="19"/>
  <c r="H33" i="19" s="1"/>
  <c r="I35" i="19"/>
  <c r="H35" i="19" s="1"/>
  <c r="I18" i="19"/>
  <c r="H18" i="19" s="1"/>
  <c r="H23" i="4"/>
  <c r="CZ23" i="4"/>
  <c r="M23" i="4"/>
  <c r="DA23" i="4"/>
  <c r="O23" i="4"/>
  <c r="CZ15" i="4"/>
  <c r="T15" i="4" s="1"/>
  <c r="H18" i="22"/>
  <c r="DA18" i="22"/>
  <c r="K18" i="22"/>
  <c r="A18" i="22" a="1"/>
  <c r="A18" i="22" s="1"/>
  <c r="H19" i="22"/>
  <c r="A19" i="22" a="1"/>
  <c r="A19" i="22" s="1"/>
  <c r="DA19" i="22"/>
  <c r="CZ19" i="22"/>
  <c r="CZ25" i="22"/>
  <c r="TP10" i="22"/>
  <c r="TT10" i="22" s="1"/>
  <c r="CZ10" i="22"/>
  <c r="H10" i="22"/>
  <c r="A10" i="22" a="1"/>
  <c r="A10" i="22" s="1"/>
  <c r="DA10" i="22"/>
  <c r="RG10" i="21"/>
  <c r="DE18" i="19"/>
  <c r="DD7" i="19"/>
  <c r="DD35" i="19"/>
  <c r="RG35" i="19"/>
  <c r="DD18" i="19"/>
  <c r="O35" i="19"/>
  <c r="Q16" i="27"/>
  <c r="DF11" i="27"/>
  <c r="CZ31" i="22"/>
  <c r="CZ25" i="4"/>
  <c r="CZ16" i="4"/>
  <c r="T16" i="4" s="1"/>
  <c r="V16" i="4" s="1"/>
  <c r="CZ6" i="4"/>
  <c r="T6" i="4" s="1"/>
  <c r="TP5" i="4"/>
  <c r="TT5" i="4" s="1"/>
  <c r="CZ9" i="4"/>
  <c r="A35" i="19"/>
  <c r="DF35" i="19"/>
  <c r="Q35" i="19"/>
  <c r="RG18" i="19"/>
  <c r="DF30" i="19"/>
  <c r="DE12" i="19"/>
  <c r="DE6" i="21"/>
  <c r="DF14" i="21"/>
  <c r="DE19" i="19"/>
  <c r="O7" i="19"/>
  <c r="Q10" i="19"/>
  <c r="CZ15" i="22"/>
  <c r="T15" i="22" s="1"/>
  <c r="CZ22" i="22"/>
  <c r="CZ8" i="22"/>
  <c r="T8" i="22" s="1"/>
  <c r="CZ4" i="4"/>
  <c r="T4" i="4" s="1"/>
  <c r="V4" i="4" s="1"/>
  <c r="DA11" i="4"/>
  <c r="TP10" i="4"/>
  <c r="TT10" i="4" s="1"/>
  <c r="DE7" i="21"/>
  <c r="DE5" i="21"/>
  <c r="RD20" i="21"/>
  <c r="RG7" i="21"/>
  <c r="RG8" i="21"/>
  <c r="Q8" i="21"/>
  <c r="O20" i="21"/>
  <c r="DE15" i="21"/>
  <c r="RD10" i="21"/>
  <c r="RD18" i="21"/>
  <c r="DF15" i="21"/>
  <c r="DF4" i="21"/>
  <c r="DF13" i="21"/>
  <c r="DE25" i="21"/>
  <c r="DE14" i="21"/>
  <c r="RD8" i="21"/>
  <c r="RD7" i="21"/>
  <c r="DF12" i="19"/>
  <c r="O6" i="27"/>
  <c r="RD11" i="27"/>
  <c r="Q13" i="26"/>
  <c r="DD6" i="26"/>
  <c r="CZ28" i="22"/>
  <c r="CZ12" i="22"/>
  <c r="CZ14" i="22"/>
  <c r="T14" i="22" s="1"/>
  <c r="CZ20" i="22"/>
  <c r="CZ27" i="22"/>
  <c r="T27" i="22" s="1"/>
  <c r="CZ4" i="22"/>
  <c r="T4" i="22" s="1"/>
  <c r="CZ24" i="22"/>
  <c r="CZ21" i="22"/>
  <c r="T21" i="22" s="1"/>
  <c r="U21" i="22" s="1"/>
  <c r="CZ26" i="22"/>
  <c r="CZ30" i="22"/>
  <c r="CZ13" i="22"/>
  <c r="CZ9" i="22"/>
  <c r="CZ11" i="22"/>
  <c r="TP26" i="22"/>
  <c r="TT26" i="22" s="1"/>
  <c r="TP14" i="22"/>
  <c r="TT14" i="22" s="1"/>
  <c r="CZ16" i="22"/>
  <c r="CZ29" i="22"/>
  <c r="T29" i="22" s="1"/>
  <c r="CZ17" i="22"/>
  <c r="TP15" i="22"/>
  <c r="TT15" i="22" s="1"/>
  <c r="CZ13" i="4"/>
  <c r="CZ5" i="4"/>
  <c r="TP11" i="4"/>
  <c r="TT11" i="4" s="1"/>
  <c r="TP16" i="4"/>
  <c r="TT16" i="4" s="1"/>
  <c r="CZ12" i="4"/>
  <c r="T12" i="4" s="1"/>
  <c r="V12" i="4" s="1"/>
  <c r="CZ11" i="4"/>
  <c r="CZ7" i="4"/>
  <c r="CZ10" i="4"/>
  <c r="O4" i="21"/>
  <c r="DD4" i="21"/>
  <c r="DE8" i="21"/>
  <c r="DE10" i="19"/>
  <c r="RG30" i="19"/>
  <c r="I30" i="19"/>
  <c r="H30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8" i="22"/>
  <c r="TT28" i="22" s="1"/>
  <c r="M28" i="22"/>
  <c r="M11" i="22"/>
  <c r="M15" i="22"/>
  <c r="M24" i="22"/>
  <c r="M12" i="22"/>
  <c r="M17" i="22"/>
  <c r="M20" i="22"/>
  <c r="M23" i="22"/>
  <c r="TP13" i="22"/>
  <c r="TT13" i="22" s="1"/>
  <c r="M16" i="22"/>
  <c r="M14" i="22"/>
  <c r="M13" i="22"/>
  <c r="M21" i="22"/>
  <c r="M9" i="22"/>
  <c r="M8" i="22"/>
  <c r="M31" i="22"/>
  <c r="M22" i="22"/>
  <c r="M26" i="22"/>
  <c r="M29" i="22"/>
  <c r="M30" i="22"/>
  <c r="M25" i="22"/>
  <c r="M27" i="22"/>
  <c r="TP15" i="4"/>
  <c r="TT15" i="4" s="1"/>
  <c r="O16" i="4"/>
  <c r="DA9" i="4"/>
  <c r="O6" i="4"/>
  <c r="DA10" i="4"/>
  <c r="O12" i="4"/>
  <c r="O4" i="4"/>
  <c r="TP29" i="22"/>
  <c r="TT29" i="22" s="1"/>
  <c r="TP25" i="22"/>
  <c r="TT25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6" i="4"/>
  <c r="M9" i="4"/>
  <c r="M5" i="4"/>
  <c r="M21" i="4"/>
  <c r="TP9" i="4"/>
  <c r="TT9" i="4" s="1"/>
  <c r="DF10" i="21"/>
  <c r="RD14" i="21"/>
  <c r="I20" i="21"/>
  <c r="H20" i="21" s="1"/>
  <c r="RD13" i="21"/>
  <c r="DE13" i="21"/>
  <c r="RG15" i="21"/>
  <c r="RG13" i="21"/>
  <c r="RG18" i="21"/>
  <c r="DE18" i="21"/>
  <c r="DD13" i="21"/>
  <c r="RD15" i="21"/>
  <c r="I18" i="21"/>
  <c r="H18" i="21" s="1"/>
  <c r="I14" i="21"/>
  <c r="H14" i="21" s="1"/>
  <c r="RG14" i="21"/>
  <c r="I15" i="21"/>
  <c r="H15" i="21" s="1"/>
  <c r="I8" i="21"/>
  <c r="H8" i="21" s="1"/>
  <c r="I10" i="21"/>
  <c r="H10" i="21" s="1"/>
  <c r="I7" i="21"/>
  <c r="H7" i="21" s="1"/>
  <c r="RG20" i="21"/>
  <c r="DF20" i="21"/>
  <c r="I4" i="21"/>
  <c r="H4" i="21" s="1"/>
  <c r="I6" i="21"/>
  <c r="H6" i="21" s="1"/>
  <c r="I10" i="19"/>
  <c r="H10" i="19" s="1"/>
  <c r="I12" i="19"/>
  <c r="H12" i="19" s="1"/>
  <c r="DF19" i="19"/>
  <c r="RD30" i="19"/>
  <c r="I7" i="19"/>
  <c r="H7" i="19" s="1"/>
  <c r="O11" i="27"/>
  <c r="DE9" i="27"/>
  <c r="RD15" i="27"/>
  <c r="DF7" i="27"/>
  <c r="RG16" i="27"/>
  <c r="DE5" i="27"/>
  <c r="RG6" i="27"/>
  <c r="RD16" i="27"/>
  <c r="DE15" i="27"/>
  <c r="I11" i="27"/>
  <c r="H11" i="27" s="1"/>
  <c r="DE13" i="27"/>
  <c r="RD13" i="27"/>
  <c r="DF10" i="27"/>
  <c r="RD5" i="27"/>
  <c r="RG5" i="27"/>
  <c r="RD6" i="27"/>
  <c r="Q13" i="27"/>
  <c r="RG11" i="27"/>
  <c r="O7" i="27"/>
  <c r="I15" i="27"/>
  <c r="H15" i="27" s="1"/>
  <c r="RG15" i="27"/>
  <c r="RG13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6" i="22"/>
  <c r="TT16" i="22" s="1"/>
  <c r="TP31" i="22"/>
  <c r="TT31" i="22" s="1"/>
  <c r="TP4" i="22"/>
  <c r="TT4" i="22" s="1"/>
  <c r="TP24" i="22"/>
  <c r="TT24" i="22" s="1"/>
  <c r="H24" i="22"/>
  <c r="TP12" i="22"/>
  <c r="TT12" i="22" s="1"/>
  <c r="TP11" i="22"/>
  <c r="TT11" i="22" s="1"/>
  <c r="TP27" i="22"/>
  <c r="TT27" i="22" s="1"/>
  <c r="TP30" i="22"/>
  <c r="TT30" i="22" s="1"/>
  <c r="TP9" i="22"/>
  <c r="TT9" i="22" s="1"/>
  <c r="H9" i="22"/>
  <c r="H11" i="22"/>
  <c r="TP22" i="22"/>
  <c r="TT22" i="22" s="1"/>
  <c r="H16" i="22"/>
  <c r="H12" i="22"/>
  <c r="H28" i="22"/>
  <c r="TP23" i="22"/>
  <c r="TT23" i="22" s="1"/>
  <c r="TP21" i="22"/>
  <c r="TT21" i="22" s="1"/>
  <c r="H31" i="22"/>
  <c r="H8" i="22"/>
  <c r="H29" i="22"/>
  <c r="H21" i="22"/>
  <c r="H27" i="22"/>
  <c r="H26" i="22"/>
  <c r="H11" i="4"/>
  <c r="H21" i="4"/>
  <c r="TP25" i="4"/>
  <c r="TT25" i="4" s="1"/>
  <c r="TP12" i="4"/>
  <c r="TT12" i="4" s="1"/>
  <c r="H6" i="4"/>
  <c r="TP4" i="4"/>
  <c r="TT4" i="4" s="1"/>
  <c r="H16" i="4"/>
  <c r="H5" i="4"/>
  <c r="H9" i="4"/>
  <c r="H10" i="4"/>
  <c r="M6" i="21"/>
  <c r="DD6" i="21"/>
  <c r="K25" i="21"/>
  <c r="K13" i="21"/>
  <c r="I25" i="21"/>
  <c r="H25" i="21" s="1"/>
  <c r="M5" i="21"/>
  <c r="DD5" i="21"/>
  <c r="DF6" i="21"/>
  <c r="Q6" i="21"/>
  <c r="K10" i="21"/>
  <c r="DD7" i="21"/>
  <c r="M7" i="21"/>
  <c r="RD4" i="21"/>
  <c r="RG4" i="21"/>
  <c r="DD15" i="21"/>
  <c r="M15" i="21"/>
  <c r="DD14" i="21"/>
  <c r="M14" i="21"/>
  <c r="K7" i="21"/>
  <c r="I5" i="21"/>
  <c r="H5" i="21" s="1"/>
  <c r="M25" i="21"/>
  <c r="DD25" i="21"/>
  <c r="I13" i="21"/>
  <c r="H13" i="21" s="1"/>
  <c r="DD20" i="21"/>
  <c r="M20" i="21"/>
  <c r="K6" i="21"/>
  <c r="K15" i="21"/>
  <c r="K14" i="21"/>
  <c r="K8" i="21"/>
  <c r="K20" i="21"/>
  <c r="DD18" i="21"/>
  <c r="M18" i="21"/>
  <c r="RD5" i="21"/>
  <c r="RG5" i="21"/>
  <c r="RG6" i="21"/>
  <c r="RD6" i="21"/>
  <c r="DF18" i="21"/>
  <c r="Q18" i="21"/>
  <c r="DF7" i="21"/>
  <c r="Q7" i="21"/>
  <c r="K18" i="21"/>
  <c r="RD25" i="21"/>
  <c r="RG25" i="21"/>
  <c r="DF25" i="21"/>
  <c r="Q25" i="21"/>
  <c r="DD10" i="21"/>
  <c r="M10" i="21"/>
  <c r="M8" i="21"/>
  <c r="DD8" i="21"/>
  <c r="M10" i="19"/>
  <c r="DD10" i="19"/>
  <c r="DD30" i="19"/>
  <c r="M30" i="19"/>
  <c r="O30" i="19"/>
  <c r="DE30" i="19"/>
  <c r="I19" i="19"/>
  <c r="H19" i="19" s="1"/>
  <c r="K30" i="19"/>
  <c r="K19" i="19"/>
  <c r="M12" i="19"/>
  <c r="DD12" i="19"/>
  <c r="K12" i="19"/>
  <c r="RG12" i="19"/>
  <c r="RD12" i="19"/>
  <c r="RG7" i="19"/>
  <c r="RD7" i="19"/>
  <c r="DF7" i="19"/>
  <c r="Q7" i="19"/>
  <c r="RD10" i="19"/>
  <c r="RG10" i="19"/>
  <c r="M19" i="19"/>
  <c r="DD19" i="19"/>
  <c r="RG19" i="19"/>
  <c r="RD19" i="19"/>
  <c r="M10" i="27"/>
  <c r="DD10" i="27"/>
  <c r="Q5" i="27"/>
  <c r="DF5" i="27"/>
  <c r="DD11" i="27"/>
  <c r="M11" i="27"/>
  <c r="M16" i="27"/>
  <c r="DD16" i="27"/>
  <c r="I9" i="27"/>
  <c r="H9" i="27" s="1"/>
  <c r="I13" i="27"/>
  <c r="H13" i="27" s="1"/>
  <c r="DF15" i="27"/>
  <c r="Q15" i="27"/>
  <c r="K16" i="27"/>
  <c r="RD9" i="27"/>
  <c r="RG9" i="27"/>
  <c r="M5" i="27"/>
  <c r="DD5" i="27"/>
  <c r="K11" i="27"/>
  <c r="I16" i="27"/>
  <c r="H16" i="27" s="1"/>
  <c r="DD15" i="27"/>
  <c r="M15" i="27"/>
  <c r="M13" i="27"/>
  <c r="DD13" i="27"/>
  <c r="DF9" i="27"/>
  <c r="Q9" i="27"/>
  <c r="M9" i="27"/>
  <c r="DD9" i="27"/>
  <c r="I10" i="27"/>
  <c r="H10" i="27" s="1"/>
  <c r="K15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I5" i="27"/>
  <c r="H5" i="27" s="1"/>
  <c r="K13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3" i="22"/>
  <c r="K12" i="22"/>
  <c r="K11" i="22"/>
  <c r="H20" i="22"/>
  <c r="K22" i="22"/>
  <c r="K23" i="22"/>
  <c r="K24" i="22"/>
  <c r="K9" i="22"/>
  <c r="K25" i="22"/>
  <c r="H23" i="22"/>
  <c r="H17" i="22"/>
  <c r="TP20" i="22"/>
  <c r="TT20" i="22" s="1"/>
  <c r="K26" i="22"/>
  <c r="K28" i="22"/>
  <c r="K21" i="22"/>
  <c r="K16" i="22"/>
  <c r="K31" i="22"/>
  <c r="K14" i="22"/>
  <c r="K17" i="22"/>
  <c r="H4" i="22"/>
  <c r="TP17" i="22"/>
  <c r="TT17" i="22" s="1"/>
  <c r="H25" i="22"/>
  <c r="K4" i="22"/>
  <c r="K29" i="22"/>
  <c r="H30" i="22"/>
  <c r="H22" i="22"/>
  <c r="H15" i="22"/>
  <c r="K27" i="22"/>
  <c r="K13" i="22"/>
  <c r="K7" i="4"/>
  <c r="H12" i="4"/>
  <c r="H25" i="4"/>
  <c r="H13" i="4"/>
  <c r="H7" i="4"/>
  <c r="K25" i="4"/>
  <c r="H15" i="4"/>
  <c r="K9" i="4"/>
  <c r="K6" i="4"/>
  <c r="H4" i="4"/>
  <c r="K21" i="4"/>
  <c r="K4" i="4"/>
  <c r="K16" i="4"/>
  <c r="K12" i="4"/>
  <c r="T31" i="22" l="1"/>
  <c r="E6" i="4"/>
  <c r="E12" i="4"/>
  <c r="E4" i="4"/>
  <c r="E29" i="22"/>
  <c r="E27" i="22"/>
  <c r="E4" i="22"/>
  <c r="E21" i="22"/>
  <c r="R7" i="27"/>
  <c r="S7" i="27" s="1"/>
  <c r="E14" i="22"/>
  <c r="E31" i="22"/>
  <c r="E8" i="22"/>
  <c r="E15" i="22"/>
  <c r="E15" i="4"/>
  <c r="E16" i="4"/>
  <c r="R17" i="26"/>
  <c r="E17" i="26" s="1"/>
  <c r="R11" i="26"/>
  <c r="E11" i="26" s="1"/>
  <c r="T17" i="4"/>
  <c r="E17" i="4" s="1"/>
  <c r="R18" i="19"/>
  <c r="E18" i="19" s="1"/>
  <c r="T18" i="22"/>
  <c r="V18" i="22" s="1"/>
  <c r="T27" i="4"/>
  <c r="V27" i="4" s="1"/>
  <c r="R16" i="27"/>
  <c r="E16" i="27" s="1"/>
  <c r="T21" i="27"/>
  <c r="S21" i="27"/>
  <c r="E21" i="27"/>
  <c r="R15" i="26"/>
  <c r="S15" i="26" s="1"/>
  <c r="R13" i="26"/>
  <c r="S13" i="26" s="1"/>
  <c r="R6" i="26"/>
  <c r="S6" i="26" s="1"/>
  <c r="R7" i="19"/>
  <c r="T7" i="19" s="1"/>
  <c r="T33" i="19"/>
  <c r="T14" i="4"/>
  <c r="E14" i="4" s="1"/>
  <c r="T24" i="4"/>
  <c r="E24" i="4" s="1"/>
  <c r="T29" i="4"/>
  <c r="E29" i="4" s="1"/>
  <c r="E33" i="19"/>
  <c r="T23" i="4"/>
  <c r="E23" i="4" s="1"/>
  <c r="T19" i="22"/>
  <c r="E19" i="22" s="1"/>
  <c r="T10" i="22"/>
  <c r="E10" i="22" s="1"/>
  <c r="R5" i="21"/>
  <c r="E5" i="21" s="1"/>
  <c r="R35" i="19"/>
  <c r="E35" i="19" s="1"/>
  <c r="R11" i="27"/>
  <c r="T11" i="27" s="1"/>
  <c r="R12" i="26"/>
  <c r="T12" i="26" s="1"/>
  <c r="T11" i="4"/>
  <c r="V11" i="4" s="1"/>
  <c r="R10" i="19"/>
  <c r="E10" i="19" s="1"/>
  <c r="R12" i="19"/>
  <c r="S12" i="19" s="1"/>
  <c r="R4" i="21"/>
  <c r="E4" i="21" s="1"/>
  <c r="R10" i="21"/>
  <c r="T10" i="21" s="1"/>
  <c r="R8" i="21"/>
  <c r="S8" i="21" s="1"/>
  <c r="R15" i="21"/>
  <c r="E15" i="21" s="1"/>
  <c r="R14" i="21"/>
  <c r="T14" i="21" s="1"/>
  <c r="R9" i="26"/>
  <c r="E9" i="26" s="1"/>
  <c r="T10" i="4"/>
  <c r="V10" i="4" s="1"/>
  <c r="R19" i="19"/>
  <c r="E19" i="19" s="1"/>
  <c r="S10" i="26"/>
  <c r="T10" i="26"/>
  <c r="T5" i="4"/>
  <c r="V5" i="4" s="1"/>
  <c r="T21" i="4"/>
  <c r="V21" i="4" s="1"/>
  <c r="T9" i="4"/>
  <c r="V9" i="4" s="1"/>
  <c r="T9" i="22"/>
  <c r="E9" i="22" s="1"/>
  <c r="T24" i="22"/>
  <c r="V24" i="22" s="1"/>
  <c r="V6" i="4"/>
  <c r="V15" i="4"/>
  <c r="U6" i="4"/>
  <c r="R13" i="21"/>
  <c r="R20" i="21"/>
  <c r="R6" i="27"/>
  <c r="R15" i="27"/>
  <c r="R13" i="27"/>
  <c r="R5" i="27"/>
  <c r="R10" i="27"/>
  <c r="E10" i="26"/>
  <c r="R8" i="26"/>
  <c r="R7" i="26"/>
  <c r="E7" i="26" s="1"/>
  <c r="T26" i="22"/>
  <c r="E26" i="22" s="1"/>
  <c r="T28" i="22"/>
  <c r="U28" i="22" s="1"/>
  <c r="T12" i="22"/>
  <c r="E12" i="22" s="1"/>
  <c r="T11" i="22"/>
  <c r="E11" i="22" s="1"/>
  <c r="T30" i="22"/>
  <c r="E30" i="22" s="1"/>
  <c r="T20" i="22"/>
  <c r="E20" i="22" s="1"/>
  <c r="T22" i="22"/>
  <c r="V22" i="22" s="1"/>
  <c r="V21" i="22"/>
  <c r="T25" i="22"/>
  <c r="U25" i="22" s="1"/>
  <c r="T23" i="22"/>
  <c r="U23" i="22" s="1"/>
  <c r="T13" i="22"/>
  <c r="E13" i="22" s="1"/>
  <c r="T7" i="4"/>
  <c r="E7" i="4" s="1"/>
  <c r="T13" i="4"/>
  <c r="E13" i="4" s="1"/>
  <c r="U15" i="4"/>
  <c r="R25" i="21"/>
  <c r="R6" i="21"/>
  <c r="R7" i="21"/>
  <c r="R18" i="21"/>
  <c r="R30" i="19"/>
  <c r="R9" i="27"/>
  <c r="U14" i="22"/>
  <c r="V14" i="22"/>
  <c r="T16" i="22"/>
  <c r="E16" i="22" s="1"/>
  <c r="U15" i="22"/>
  <c r="V15" i="22"/>
  <c r="U4" i="22"/>
  <c r="V4" i="22"/>
  <c r="U27" i="22"/>
  <c r="V27" i="22"/>
  <c r="U31" i="22"/>
  <c r="V31" i="22"/>
  <c r="U8" i="22"/>
  <c r="V8" i="22"/>
  <c r="U29" i="22"/>
  <c r="V29" i="22"/>
  <c r="T17" i="22"/>
  <c r="E17" i="22" s="1"/>
  <c r="U12" i="4"/>
  <c r="T25" i="4"/>
  <c r="E25" i="4" s="1"/>
  <c r="U4" i="4"/>
  <c r="U16" i="4"/>
  <c r="E7" i="27" l="1"/>
  <c r="T7" i="27"/>
  <c r="E22" i="22"/>
  <c r="V17" i="4"/>
  <c r="U17" i="4"/>
  <c r="E28" i="22"/>
  <c r="E23" i="22"/>
  <c r="E25" i="22"/>
  <c r="E24" i="22"/>
  <c r="E18" i="22"/>
  <c r="E11" i="4"/>
  <c r="E21" i="4"/>
  <c r="E10" i="4"/>
  <c r="E9" i="4"/>
  <c r="E5" i="4"/>
  <c r="E27" i="4"/>
  <c r="S17" i="26"/>
  <c r="T17" i="26"/>
  <c r="S11" i="26"/>
  <c r="T11" i="26"/>
  <c r="U18" i="22"/>
  <c r="S16" i="27"/>
  <c r="T16" i="27"/>
  <c r="T18" i="19"/>
  <c r="S18" i="19"/>
  <c r="V24" i="4"/>
  <c r="U27" i="4"/>
  <c r="T15" i="21"/>
  <c r="E7" i="19"/>
  <c r="S7" i="19"/>
  <c r="U24" i="4"/>
  <c r="T15" i="26"/>
  <c r="E15" i="26"/>
  <c r="T6" i="26"/>
  <c r="E13" i="26"/>
  <c r="T13" i="26"/>
  <c r="E6" i="26"/>
  <c r="S12" i="26"/>
  <c r="T5" i="21"/>
  <c r="S5" i="21"/>
  <c r="E12" i="26"/>
  <c r="V10" i="22"/>
  <c r="U10" i="22"/>
  <c r="V19" i="22"/>
  <c r="U14" i="4"/>
  <c r="V14" i="4"/>
  <c r="U29" i="4"/>
  <c r="V29" i="4"/>
  <c r="S35" i="19"/>
  <c r="T35" i="19"/>
  <c r="U23" i="4"/>
  <c r="V23" i="4"/>
  <c r="U21" i="4"/>
  <c r="U19" i="22"/>
  <c r="T4" i="21"/>
  <c r="S4" i="21"/>
  <c r="S10" i="21"/>
  <c r="E10" i="21"/>
  <c r="E8" i="21"/>
  <c r="S15" i="21"/>
  <c r="E11" i="27"/>
  <c r="S11" i="27"/>
  <c r="T9" i="26"/>
  <c r="S9" i="26"/>
  <c r="U11" i="4"/>
  <c r="U10" i="4"/>
  <c r="S10" i="19"/>
  <c r="T10" i="19"/>
  <c r="T12" i="19"/>
  <c r="E12" i="19"/>
  <c r="T8" i="21"/>
  <c r="E14" i="21"/>
  <c r="U5" i="4"/>
  <c r="S14" i="21"/>
  <c r="U26" i="22"/>
  <c r="U24" i="22"/>
  <c r="U9" i="4"/>
  <c r="U9" i="22"/>
  <c r="V9" i="22"/>
  <c r="V11" i="22"/>
  <c r="E6" i="21"/>
  <c r="S6" i="21"/>
  <c r="T6" i="21"/>
  <c r="E25" i="21"/>
  <c r="T25" i="21"/>
  <c r="S25" i="21"/>
  <c r="E20" i="21"/>
  <c r="S20" i="21"/>
  <c r="T20" i="21"/>
  <c r="S13" i="21"/>
  <c r="T13" i="21"/>
  <c r="E13" i="21"/>
  <c r="S18" i="21"/>
  <c r="T18" i="21"/>
  <c r="E7" i="21"/>
  <c r="S7" i="21"/>
  <c r="T7" i="21"/>
  <c r="S30" i="19"/>
  <c r="T30" i="19"/>
  <c r="S19" i="19"/>
  <c r="T19" i="19"/>
  <c r="S6" i="27"/>
  <c r="T6" i="27"/>
  <c r="E6" i="27"/>
  <c r="E10" i="27"/>
  <c r="S10" i="27"/>
  <c r="T10" i="27"/>
  <c r="S5" i="27"/>
  <c r="T5" i="27"/>
  <c r="E13" i="27"/>
  <c r="T13" i="27"/>
  <c r="S13" i="27"/>
  <c r="S9" i="27"/>
  <c r="T9" i="27"/>
  <c r="E15" i="27"/>
  <c r="S15" i="27"/>
  <c r="T15" i="27"/>
  <c r="S7" i="26"/>
  <c r="T7" i="26"/>
  <c r="T8" i="26"/>
  <c r="S8" i="26"/>
  <c r="V30" i="22"/>
  <c r="V26" i="22"/>
  <c r="U12" i="22"/>
  <c r="V12" i="22"/>
  <c r="U7" i="4"/>
  <c r="V7" i="4"/>
  <c r="V13" i="4"/>
  <c r="V25" i="4"/>
  <c r="U13" i="4"/>
  <c r="E5" i="27"/>
  <c r="E8" i="26"/>
  <c r="U11" i="22"/>
  <c r="V28" i="22"/>
  <c r="U30" i="22"/>
  <c r="U20" i="22"/>
  <c r="V20" i="22"/>
  <c r="U22" i="22"/>
  <c r="V25" i="22"/>
  <c r="V23" i="22"/>
  <c r="V13" i="22"/>
  <c r="U13" i="22"/>
  <c r="E18" i="21"/>
  <c r="E30" i="19"/>
  <c r="E9" i="27"/>
  <c r="V17" i="22"/>
  <c r="U17" i="22"/>
  <c r="V16" i="22"/>
  <c r="U16" i="22"/>
  <c r="U25" i="4"/>
  <c r="QX20" i="27" l="1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8" i="27"/>
  <c r="QW18" i="27"/>
  <c r="QV18" i="27"/>
  <c r="QU18" i="27"/>
  <c r="QT18" i="27"/>
  <c r="QS18" i="27"/>
  <c r="QR18" i="27"/>
  <c r="QQ18" i="27"/>
  <c r="QP18" i="27"/>
  <c r="QO18" i="27"/>
  <c r="QN18" i="27"/>
  <c r="QM18" i="27"/>
  <c r="QL18" i="27"/>
  <c r="QK18" i="27"/>
  <c r="QJ18" i="27"/>
  <c r="QI18" i="27"/>
  <c r="QH18" i="27"/>
  <c r="QG18" i="27"/>
  <c r="QF18" i="27"/>
  <c r="QE18" i="27"/>
  <c r="QC18" i="27"/>
  <c r="QB18" i="27"/>
  <c r="PZ18" i="27"/>
  <c r="PY18" i="27"/>
  <c r="PX18" i="27"/>
  <c r="PW18" i="27"/>
  <c r="DB18" i="27"/>
  <c r="DA18" i="27"/>
  <c r="CY18" i="27"/>
  <c r="CX18" i="27"/>
  <c r="CW18" i="27"/>
  <c r="CV18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17" i="27"/>
  <c r="QW17" i="27"/>
  <c r="QV17" i="27"/>
  <c r="QU17" i="27"/>
  <c r="QT17" i="27"/>
  <c r="QS17" i="27"/>
  <c r="QR17" i="27"/>
  <c r="QQ17" i="27"/>
  <c r="QP17" i="27"/>
  <c r="QO17" i="27"/>
  <c r="QN17" i="27"/>
  <c r="QM17" i="27"/>
  <c r="QL17" i="27"/>
  <c r="QK17" i="27"/>
  <c r="QJ17" i="27"/>
  <c r="QI17" i="27"/>
  <c r="QH17" i="27"/>
  <c r="QG17" i="27"/>
  <c r="QF17" i="27"/>
  <c r="QE17" i="27"/>
  <c r="QC17" i="27"/>
  <c r="QB17" i="27"/>
  <c r="PZ17" i="27"/>
  <c r="PY17" i="27"/>
  <c r="PX17" i="27"/>
  <c r="PW17" i="27"/>
  <c r="DB17" i="27"/>
  <c r="DA17" i="27"/>
  <c r="CY17" i="27"/>
  <c r="CX17" i="27"/>
  <c r="CW17" i="27"/>
  <c r="CV17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2" i="27"/>
  <c r="QW22" i="27"/>
  <c r="QV22" i="27"/>
  <c r="QU22" i="27"/>
  <c r="QT22" i="27"/>
  <c r="QS22" i="27"/>
  <c r="QR22" i="27"/>
  <c r="QQ22" i="27"/>
  <c r="QP22" i="27"/>
  <c r="QO22" i="27"/>
  <c r="QN22" i="27"/>
  <c r="QM22" i="27"/>
  <c r="QL22" i="27"/>
  <c r="QK22" i="27"/>
  <c r="QJ22" i="27"/>
  <c r="QI22" i="27"/>
  <c r="QH22" i="27"/>
  <c r="QG22" i="27"/>
  <c r="QF22" i="27"/>
  <c r="QE22" i="27"/>
  <c r="QC22" i="27"/>
  <c r="QB22" i="27"/>
  <c r="PZ22" i="27"/>
  <c r="PY22" i="27"/>
  <c r="PX22" i="27"/>
  <c r="PW22" i="27"/>
  <c r="DB22" i="27"/>
  <c r="DA22" i="27"/>
  <c r="CY22" i="27"/>
  <c r="CX22" i="27"/>
  <c r="CW22" i="27"/>
  <c r="CV22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F14" i="27"/>
  <c r="QE14" i="27"/>
  <c r="QC14" i="27"/>
  <c r="QB14" i="27"/>
  <c r="PZ14" i="27"/>
  <c r="PY14" i="27"/>
  <c r="PX14" i="27"/>
  <c r="PW14" i="27"/>
  <c r="DB14" i="27"/>
  <c r="DA14" i="27"/>
  <c r="CY14" i="27"/>
  <c r="CX14" i="27"/>
  <c r="CW14" i="27"/>
  <c r="CV14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0" i="27"/>
  <c r="QD14" i="27"/>
  <c r="RC20" i="27"/>
  <c r="RE20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0" i="27"/>
  <c r="QD19" i="27"/>
  <c r="QZ4" i="26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0" i="27"/>
  <c r="Q20" i="27" s="1"/>
  <c r="QD8" i="27"/>
  <c r="QD22" i="27"/>
  <c r="QD18" i="27"/>
  <c r="P17" i="27"/>
  <c r="Q17" i="27" s="1"/>
  <c r="DC17" i="27"/>
  <c r="QD17" i="27"/>
  <c r="QA20" i="27"/>
  <c r="RB20" i="27"/>
  <c r="QA19" i="27"/>
  <c r="QZ22" i="27"/>
  <c r="RE22" i="27"/>
  <c r="RC19" i="27"/>
  <c r="RE19" i="27"/>
  <c r="N16" i="26"/>
  <c r="O16" i="26" s="1"/>
  <c r="QA4" i="26"/>
  <c r="QZ14" i="26"/>
  <c r="QD4" i="26"/>
  <c r="CZ14" i="26"/>
  <c r="QA14" i="26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18" i="27"/>
  <c r="QZ20" i="27"/>
  <c r="RA22" i="27"/>
  <c r="RB22" i="27"/>
  <c r="DC8" i="27"/>
  <c r="RB19" i="27"/>
  <c r="N8" i="27"/>
  <c r="O8" i="27" s="1"/>
  <c r="P18" i="27"/>
  <c r="DF18" i="27" s="1"/>
  <c r="P14" i="27"/>
  <c r="Q14" i="27" s="1"/>
  <c r="QZ8" i="27"/>
  <c r="RE8" i="27"/>
  <c r="P8" i="27"/>
  <c r="Q8" i="27" s="1"/>
  <c r="RF20" i="27"/>
  <c r="RB8" i="27"/>
  <c r="RA17" i="27"/>
  <c r="RB17" i="27"/>
  <c r="F19" i="27"/>
  <c r="P19" i="27"/>
  <c r="Q19" i="27" s="1"/>
  <c r="N14" i="27"/>
  <c r="DE14" i="27" s="1"/>
  <c r="G20" i="27"/>
  <c r="L17" i="27"/>
  <c r="M17" i="27" s="1"/>
  <c r="G8" i="27"/>
  <c r="CZ18" i="27"/>
  <c r="N20" i="27"/>
  <c r="DE20" i="27" s="1"/>
  <c r="J14" i="27"/>
  <c r="K14" i="27" s="1"/>
  <c r="P22" i="27"/>
  <c r="Q22" i="27" s="1"/>
  <c r="N19" i="27"/>
  <c r="DE19" i="27" s="1"/>
  <c r="RA20" i="27"/>
  <c r="F17" i="27"/>
  <c r="G18" i="27"/>
  <c r="QA18" i="27"/>
  <c r="RA14" i="27"/>
  <c r="RB14" i="27"/>
  <c r="F8" i="27"/>
  <c r="J17" i="27"/>
  <c r="K17" i="27" s="1"/>
  <c r="QA17" i="27"/>
  <c r="N18" i="27"/>
  <c r="O18" i="27" s="1"/>
  <c r="F18" i="27"/>
  <c r="QZ18" i="27"/>
  <c r="RE18" i="27"/>
  <c r="F20" i="27"/>
  <c r="F14" i="27"/>
  <c r="J8" i="27"/>
  <c r="K8" i="27" s="1"/>
  <c r="N17" i="27"/>
  <c r="DE17" i="27" s="1"/>
  <c r="QZ17" i="27"/>
  <c r="RE17" i="27"/>
  <c r="DC19" i="27"/>
  <c r="G14" i="27"/>
  <c r="RC14" i="27"/>
  <c r="RE14" i="27"/>
  <c r="J22" i="27"/>
  <c r="K22" i="27" s="1"/>
  <c r="N22" i="27"/>
  <c r="O22" i="27" s="1"/>
  <c r="QA22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18" i="27"/>
  <c r="DC14" i="27"/>
  <c r="CZ14" i="27"/>
  <c r="G22" i="27"/>
  <c r="L19" i="27"/>
  <c r="J19" i="27"/>
  <c r="RA8" i="27"/>
  <c r="RC22" i="27"/>
  <c r="L8" i="27"/>
  <c r="RC8" i="27"/>
  <c r="RC17" i="27"/>
  <c r="RC18" i="27"/>
  <c r="DC20" i="27"/>
  <c r="F22" i="27"/>
  <c r="DC22" i="27"/>
  <c r="CZ22" i="27"/>
  <c r="L22" i="27"/>
  <c r="RF22" i="27"/>
  <c r="CZ8" i="27"/>
  <c r="CZ17" i="27"/>
  <c r="RF19" i="27"/>
  <c r="QZ19" i="27"/>
  <c r="L18" i="27"/>
  <c r="J18" i="27"/>
  <c r="L14" i="27"/>
  <c r="RF14" i="27"/>
  <c r="RA19" i="27"/>
  <c r="QZ14" i="27"/>
  <c r="QA14" i="27"/>
  <c r="RF8" i="27"/>
  <c r="G17" i="27"/>
  <c r="RF17" i="27"/>
  <c r="G19" i="27"/>
  <c r="CZ19" i="27"/>
  <c r="DC18" i="27"/>
  <c r="RF18" i="27"/>
  <c r="L20" i="27"/>
  <c r="J20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7" i="27"/>
  <c r="RG22" i="27"/>
  <c r="RG17" i="27"/>
  <c r="I16" i="26"/>
  <c r="H16" i="26" s="1"/>
  <c r="O14" i="27"/>
  <c r="RD22" i="27"/>
  <c r="DF20" i="27"/>
  <c r="RD4" i="26"/>
  <c r="O14" i="26"/>
  <c r="RG20" i="27"/>
  <c r="RD17" i="27"/>
  <c r="Q18" i="27"/>
  <c r="DF4" i="26"/>
  <c r="RG14" i="26"/>
  <c r="RD20" i="27"/>
  <c r="O19" i="27"/>
  <c r="DE8" i="27"/>
  <c r="RG14" i="27"/>
  <c r="DF22" i="27"/>
  <c r="DF8" i="27"/>
  <c r="RD14" i="27"/>
  <c r="I22" i="27"/>
  <c r="H22" i="27" s="1"/>
  <c r="O17" i="27"/>
  <c r="DF14" i="27"/>
  <c r="O20" i="27"/>
  <c r="DE22" i="27"/>
  <c r="DF19" i="27"/>
  <c r="I18" i="27"/>
  <c r="H18" i="27" s="1"/>
  <c r="I8" i="27"/>
  <c r="H8" i="27" s="1"/>
  <c r="DE18" i="27"/>
  <c r="I14" i="27"/>
  <c r="H14" i="27" s="1"/>
  <c r="DD17" i="27"/>
  <c r="RG4" i="26"/>
  <c r="RD14" i="26"/>
  <c r="DE4" i="26"/>
  <c r="DF16" i="26"/>
  <c r="I4" i="26"/>
  <c r="H4" i="26" s="1"/>
  <c r="DF14" i="26"/>
  <c r="DD8" i="27"/>
  <c r="M8" i="27"/>
  <c r="DD22" i="27"/>
  <c r="M22" i="27"/>
  <c r="RG8" i="27"/>
  <c r="RD8" i="27"/>
  <c r="I17" i="27"/>
  <c r="H17" i="27" s="1"/>
  <c r="DD14" i="27"/>
  <c r="M14" i="27"/>
  <c r="K18" i="27"/>
  <c r="RG18" i="27"/>
  <c r="RD18" i="27"/>
  <c r="DD18" i="27"/>
  <c r="M18" i="27"/>
  <c r="I19" i="27"/>
  <c r="H19" i="27" s="1"/>
  <c r="K20" i="27"/>
  <c r="DD19" i="27"/>
  <c r="M19" i="27"/>
  <c r="DD20" i="27"/>
  <c r="M20" i="27"/>
  <c r="I20" i="27"/>
  <c r="H20" i="27" s="1"/>
  <c r="RG19" i="27"/>
  <c r="RD19" i="27"/>
  <c r="K19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7" i="27" l="1"/>
  <c r="T17" i="27" s="1"/>
  <c r="R20" i="27"/>
  <c r="E20" i="27" s="1"/>
  <c r="R18" i="27"/>
  <c r="R14" i="27"/>
  <c r="R8" i="27"/>
  <c r="R22" i="27"/>
  <c r="R19" i="27"/>
  <c r="R4" i="26"/>
  <c r="E4" i="26" s="1"/>
  <c r="R16" i="26"/>
  <c r="R14" i="26"/>
  <c r="E17" i="27" l="1"/>
  <c r="S17" i="27"/>
  <c r="S18" i="27"/>
  <c r="T18" i="27"/>
  <c r="S19" i="27"/>
  <c r="T19" i="27"/>
  <c r="S20" i="27"/>
  <c r="T20" i="27"/>
  <c r="E22" i="27"/>
  <c r="S22" i="27"/>
  <c r="T22" i="27"/>
  <c r="E14" i="27"/>
  <c r="S14" i="27"/>
  <c r="T14" i="27"/>
  <c r="E8" i="27"/>
  <c r="S8" i="27"/>
  <c r="T8" i="27"/>
  <c r="S14" i="26"/>
  <c r="T14" i="26"/>
  <c r="E16" i="26"/>
  <c r="S16" i="26"/>
  <c r="T16" i="26"/>
  <c r="S4" i="26"/>
  <c r="T4" i="26"/>
  <c r="E18" i="27"/>
  <c r="E19" i="27"/>
  <c r="E14" i="26"/>
  <c r="A20" i="27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5" i="26" l="1"/>
  <c r="A12" i="27"/>
  <c r="A4" i="27"/>
  <c r="A9" i="26"/>
  <c r="A11" i="26"/>
  <c r="A6" i="26"/>
  <c r="A15" i="26"/>
  <c r="A10" i="26"/>
  <c r="A12" i="26"/>
  <c r="A13" i="26"/>
  <c r="A7" i="26"/>
  <c r="A8" i="26"/>
  <c r="A7" i="27"/>
  <c r="A11" i="27"/>
  <c r="A13" i="27"/>
  <c r="A16" i="27"/>
  <c r="A6" i="27"/>
  <c r="A5" i="27"/>
  <c r="A10" i="27"/>
  <c r="A15" i="27"/>
  <c r="A9" i="27"/>
  <c r="A19" i="27"/>
  <c r="A22" i="27"/>
  <c r="A14" i="27"/>
  <c r="A18" i="27"/>
  <c r="A8" i="27" a="1"/>
  <c r="A8" i="27" s="1"/>
  <c r="A17" i="27"/>
  <c r="A4" i="26"/>
  <c r="A16" i="26" a="1"/>
  <c r="A16" i="26" s="1"/>
  <c r="A14" i="26"/>
  <c r="RE23" i="21"/>
  <c r="QA27" i="19"/>
  <c r="QZ27" i="19"/>
  <c r="DC27" i="19"/>
  <c r="P27" i="19"/>
  <c r="N27" i="19"/>
  <c r="DE27" i="19" s="1"/>
  <c r="RE27" i="19"/>
  <c r="CZ27" i="19"/>
  <c r="RB27" i="19"/>
  <c r="RF27" i="19"/>
  <c r="RA27" i="19"/>
  <c r="L27" i="19"/>
  <c r="J27" i="19"/>
  <c r="RC27" i="19"/>
  <c r="QD27" i="19"/>
  <c r="G27" i="19"/>
  <c r="F27" i="19"/>
  <c r="DC23" i="21"/>
  <c r="P23" i="21"/>
  <c r="QA23" i="21"/>
  <c r="N23" i="21"/>
  <c r="DE23" i="21" s="1"/>
  <c r="RA23" i="21"/>
  <c r="RB23" i="21"/>
  <c r="QZ23" i="21"/>
  <c r="RF23" i="21"/>
  <c r="L23" i="21"/>
  <c r="F23" i="21"/>
  <c r="CZ23" i="21"/>
  <c r="J23" i="21"/>
  <c r="RC23" i="21"/>
  <c r="QD23" i="21"/>
  <c r="G23" i="21"/>
  <c r="Q23" i="21" l="1"/>
  <c r="DF23" i="21"/>
  <c r="M23" i="21"/>
  <c r="DD23" i="21"/>
  <c r="M27" i="19"/>
  <c r="DD27" i="19"/>
  <c r="Q27" i="19"/>
  <c r="DF27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3" i="21"/>
  <c r="O27" i="19"/>
  <c r="RG27" i="19"/>
  <c r="I27" i="19"/>
  <c r="H27" i="19" s="1"/>
  <c r="RD27" i="19"/>
  <c r="K27" i="19"/>
  <c r="RG23" i="21"/>
  <c r="RD23" i="21"/>
  <c r="I23" i="21"/>
  <c r="H23" i="21" s="1"/>
  <c r="K23" i="21"/>
  <c r="R27" i="19" l="1"/>
  <c r="R23" i="21"/>
  <c r="E23" i="21" l="1"/>
  <c r="S23" i="21"/>
  <c r="T23" i="21"/>
  <c r="T27" i="19"/>
  <c r="S27" i="19"/>
  <c r="E27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DC16" i="19" l="1"/>
  <c r="CZ17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17" i="19"/>
  <c r="DC13" i="19"/>
  <c r="RE11" i="19"/>
  <c r="QA17" i="19"/>
  <c r="RB17" i="19"/>
  <c r="RA17" i="19"/>
  <c r="P17" i="19"/>
  <c r="DF17" i="19" s="1"/>
  <c r="RF17" i="19"/>
  <c r="N17" i="19"/>
  <c r="DE17" i="19" s="1"/>
  <c r="RE17" i="19"/>
  <c r="F17" i="19"/>
  <c r="L17" i="19"/>
  <c r="DD17" i="19" s="1"/>
  <c r="J17" i="19"/>
  <c r="RC17" i="19"/>
  <c r="QD17" i="19"/>
  <c r="G17" i="19"/>
  <c r="DC17" i="19"/>
  <c r="DC11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F11" i="19"/>
  <c r="J11" i="19"/>
  <c r="K11" i="19" s="1"/>
  <c r="QD11" i="19"/>
  <c r="G11" i="19"/>
  <c r="RC11" i="19"/>
  <c r="RE13" i="19"/>
  <c r="QA13" i="19"/>
  <c r="RA13" i="19"/>
  <c r="N13" i="19"/>
  <c r="DE13" i="19" s="1"/>
  <c r="CZ13" i="19"/>
  <c r="QZ13" i="19"/>
  <c r="P13" i="19"/>
  <c r="DF13" i="19" s="1"/>
  <c r="RB13" i="19"/>
  <c r="RF13" i="19"/>
  <c r="L13" i="19"/>
  <c r="DD13" i="19" s="1"/>
  <c r="F13" i="19"/>
  <c r="J13" i="19"/>
  <c r="RC13" i="19"/>
  <c r="QD13" i="19"/>
  <c r="G13" i="19"/>
  <c r="Q16" i="19" l="1"/>
  <c r="DF16" i="19"/>
  <c r="M16" i="19"/>
  <c r="DD16" i="19"/>
  <c r="O17" i="19"/>
  <c r="O16" i="19"/>
  <c r="O13" i="19"/>
  <c r="R13" i="19"/>
  <c r="O11" i="19"/>
  <c r="R11" i="19"/>
  <c r="RD17" i="19"/>
  <c r="I17" i="19"/>
  <c r="H17" i="19" s="1"/>
  <c r="I16" i="19"/>
  <c r="H16" i="19" s="1"/>
  <c r="RG17" i="19"/>
  <c r="Q11" i="19"/>
  <c r="RG11" i="19"/>
  <c r="RG16" i="19"/>
  <c r="RD13" i="19"/>
  <c r="RD16" i="19"/>
  <c r="K16" i="19"/>
  <c r="Q17" i="19"/>
  <c r="M17" i="19"/>
  <c r="R17" i="19"/>
  <c r="K17" i="19"/>
  <c r="Q13" i="19"/>
  <c r="I11" i="19"/>
  <c r="H11" i="19" s="1"/>
  <c r="RD11" i="19"/>
  <c r="RG13" i="19"/>
  <c r="M11" i="19"/>
  <c r="I13" i="19"/>
  <c r="H13" i="19" s="1"/>
  <c r="M13" i="19"/>
  <c r="K13" i="19"/>
  <c r="T17" i="19" l="1"/>
  <c r="S17" i="19"/>
  <c r="S13" i="19"/>
  <c r="T13" i="19"/>
  <c r="T11" i="19"/>
  <c r="S11" i="19"/>
  <c r="R16" i="19"/>
  <c r="E17" i="19"/>
  <c r="E11" i="19"/>
  <c r="E13" i="19"/>
  <c r="T16" i="19" l="1"/>
  <c r="S16" i="19"/>
  <c r="E16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K28" i="4" l="1"/>
  <c r="CZ28" i="4"/>
  <c r="M28" i="4"/>
  <c r="DA28" i="4"/>
  <c r="O28" i="4"/>
  <c r="TP28" i="4"/>
  <c r="TT28" i="4" s="1"/>
  <c r="H28" i="4"/>
  <c r="DC12" i="21"/>
  <c r="P12" i="21"/>
  <c r="DF12" i="21" s="1"/>
  <c r="DC25" i="19"/>
  <c r="QA25" i="19"/>
  <c r="RE12" i="21"/>
  <c r="QZ12" i="21"/>
  <c r="QA12" i="21"/>
  <c r="CZ12" i="21"/>
  <c r="RB12" i="21"/>
  <c r="RA12" i="21"/>
  <c r="N12" i="21"/>
  <c r="DE12" i="21" s="1"/>
  <c r="RF12" i="21"/>
  <c r="L12" i="21"/>
  <c r="F12" i="21"/>
  <c r="J12" i="21"/>
  <c r="QD12" i="21"/>
  <c r="G12" i="21"/>
  <c r="RC12" i="21"/>
  <c r="QZ25" i="19"/>
  <c r="RE25" i="19"/>
  <c r="P25" i="19"/>
  <c r="CZ25" i="19"/>
  <c r="RB25" i="19"/>
  <c r="RA25" i="19"/>
  <c r="RF25" i="19"/>
  <c r="N25" i="19"/>
  <c r="DE25" i="19" s="1"/>
  <c r="L25" i="19"/>
  <c r="J25" i="19"/>
  <c r="K25" i="19" s="1"/>
  <c r="QD25" i="19"/>
  <c r="RC25" i="19"/>
  <c r="G25" i="19"/>
  <c r="F25" i="19"/>
  <c r="M12" i="21" l="1"/>
  <c r="DD12" i="21"/>
  <c r="Q25" i="19"/>
  <c r="DF25" i="19"/>
  <c r="M25" i="19"/>
  <c r="DD25" i="19"/>
  <c r="K12" i="21"/>
  <c r="O12" i="21"/>
  <c r="O25" i="19"/>
  <c r="RD25" i="19"/>
  <c r="T28" i="4"/>
  <c r="E28" i="4" s="1"/>
  <c r="RG12" i="21"/>
  <c r="I12" i="21"/>
  <c r="H12" i="21" s="1"/>
  <c r="Q12" i="21"/>
  <c r="RD12" i="21"/>
  <c r="RG25" i="19"/>
  <c r="I25" i="19"/>
  <c r="H25" i="19" s="1"/>
  <c r="V28" i="4" l="1"/>
  <c r="U28" i="4"/>
  <c r="R12" i="21"/>
  <c r="R25" i="19"/>
  <c r="S12" i="21" l="1"/>
  <c r="T12" i="21"/>
  <c r="T25" i="19"/>
  <c r="S25" i="19"/>
  <c r="E12" i="21"/>
  <c r="E25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N5" i="22" l="1"/>
  <c r="O5" i="22" s="1"/>
  <c r="R5" i="22"/>
  <c r="S5" i="22" s="1"/>
  <c r="P5" i="22"/>
  <c r="Q5" i="22" s="1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F28" i="19"/>
  <c r="RC28" i="19"/>
  <c r="QD28" i="19"/>
  <c r="G28" i="19"/>
  <c r="K5" i="22" l="1"/>
  <c r="CZ5" i="22"/>
  <c r="DA5" i="22"/>
  <c r="O28" i="19"/>
  <c r="TP5" i="22"/>
  <c r="TT5" i="22" s="1"/>
  <c r="H5" i="22"/>
  <c r="M5" i="22"/>
  <c r="Q28" i="19"/>
  <c r="M28" i="19"/>
  <c r="RD28" i="19"/>
  <c r="I28" i="19"/>
  <c r="H28" i="19" s="1"/>
  <c r="RG28" i="19"/>
  <c r="T5" i="22" l="1"/>
  <c r="E5" i="22" s="1"/>
  <c r="R28" i="19"/>
  <c r="A6" i="22" l="1" a="1"/>
  <c r="A6" i="22" s="1"/>
  <c r="A7" i="22" a="1"/>
  <c r="A7" i="22" s="1"/>
  <c r="U5" i="22"/>
  <c r="V5" i="22"/>
  <c r="S28" i="19"/>
  <c r="T28" i="19"/>
  <c r="A25" i="22" a="1"/>
  <c r="A25" i="22" s="1"/>
  <c r="A8" i="22" a="1"/>
  <c r="A8" i="22" s="1"/>
  <c r="A16" i="22" a="1"/>
  <c r="A16" i="22" s="1"/>
  <c r="A13" i="22" a="1"/>
  <c r="A13" i="22" s="1"/>
  <c r="A24" i="22" a="1"/>
  <c r="A24" i="22" s="1"/>
  <c r="A27" i="22" a="1"/>
  <c r="A27" i="22" s="1"/>
  <c r="A17" i="22" a="1"/>
  <c r="A17" i="22" s="1"/>
  <c r="A20" i="22" a="1"/>
  <c r="A20" i="22" s="1"/>
  <c r="A15" i="22" a="1"/>
  <c r="A15" i="22" s="1"/>
  <c r="A12" i="22" a="1"/>
  <c r="A12" i="22" s="1"/>
  <c r="A14" i="22" a="1"/>
  <c r="A14" i="22" s="1"/>
  <c r="A11" i="22" a="1"/>
  <c r="A11" i="22" s="1"/>
  <c r="A22" i="22" a="1"/>
  <c r="A22" i="22" s="1"/>
  <c r="A31" i="22" a="1"/>
  <c r="A31" i="22" s="1"/>
  <c r="A26" i="22" a="1"/>
  <c r="A26" i="22" s="1"/>
  <c r="A23" i="22" a="1"/>
  <c r="A23" i="22" s="1"/>
  <c r="A30" i="22" a="1"/>
  <c r="A30" i="22" s="1"/>
  <c r="A21" i="22" a="1"/>
  <c r="A21" i="22" s="1"/>
  <c r="A4" i="22" a="1"/>
  <c r="A4" i="22" s="1"/>
  <c r="A28" i="22" a="1"/>
  <c r="A28" i="22" s="1"/>
  <c r="A9" i="22" a="1"/>
  <c r="A9" i="22" s="1"/>
  <c r="A29" i="22" a="1"/>
  <c r="A29" i="22" s="1"/>
  <c r="E28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5" i="22" l="1" a="1"/>
  <c r="A5" i="22" s="1"/>
  <c r="DC26" i="19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F26" i="19"/>
  <c r="J26" i="19"/>
  <c r="K26" i="19" s="1"/>
  <c r="RC26" i="19"/>
  <c r="QD26" i="19"/>
  <c r="G26" i="19"/>
  <c r="O26" i="19" l="1"/>
  <c r="D6" i="11"/>
  <c r="C6" i="11"/>
  <c r="D7" i="11"/>
  <c r="C7" i="11"/>
  <c r="D8" i="11"/>
  <c r="C8" i="11"/>
  <c r="D9" i="11"/>
  <c r="C9" i="11"/>
  <c r="M26" i="19"/>
  <c r="Q26" i="19"/>
  <c r="I26" i="19"/>
  <c r="H26" i="19" s="1"/>
  <c r="RG26" i="19"/>
  <c r="RD26" i="19"/>
  <c r="A26" i="19"/>
  <c r="R26" i="19" l="1"/>
  <c r="S26" i="19" l="1"/>
  <c r="T26" i="19"/>
  <c r="E26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21" i="21"/>
  <c r="QW21" i="21"/>
  <c r="QV21" i="21"/>
  <c r="QU21" i="21"/>
  <c r="QT21" i="21"/>
  <c r="QS21" i="21"/>
  <c r="QR21" i="21"/>
  <c r="QQ21" i="21"/>
  <c r="QP21" i="21"/>
  <c r="QO21" i="21"/>
  <c r="QN21" i="21"/>
  <c r="QM21" i="21"/>
  <c r="QL21" i="21"/>
  <c r="QK21" i="21"/>
  <c r="QJ21" i="21"/>
  <c r="QI21" i="21"/>
  <c r="QH21" i="21"/>
  <c r="QG21" i="21"/>
  <c r="QF21" i="21"/>
  <c r="QE21" i="21"/>
  <c r="QC21" i="21"/>
  <c r="QB21" i="21"/>
  <c r="PZ21" i="21"/>
  <c r="PY21" i="21"/>
  <c r="PX21" i="21"/>
  <c r="PW21" i="21"/>
  <c r="DB21" i="21"/>
  <c r="DA21" i="21"/>
  <c r="CY21" i="21"/>
  <c r="CX21" i="21"/>
  <c r="CW21" i="21"/>
  <c r="CV21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PZ23" i="19"/>
  <c r="PZ31" i="19"/>
  <c r="PZ20" i="19"/>
  <c r="PZ14" i="19"/>
  <c r="PZ8" i="19"/>
  <c r="PZ34" i="19"/>
  <c r="PZ21" i="19"/>
  <c r="PZ32" i="19"/>
  <c r="PZ6" i="19"/>
  <c r="PZ9" i="19"/>
  <c r="PZ4" i="19"/>
  <c r="PZ5" i="19"/>
  <c r="CY23" i="19"/>
  <c r="CY31" i="19"/>
  <c r="CY20" i="19"/>
  <c r="CY14" i="19"/>
  <c r="CY8" i="19"/>
  <c r="CY34" i="19"/>
  <c r="CY21" i="19"/>
  <c r="CY32" i="19"/>
  <c r="CY6" i="19"/>
  <c r="CY9" i="19"/>
  <c r="CY4" i="19"/>
  <c r="CY5" i="19"/>
  <c r="PY4" i="19"/>
  <c r="PY9" i="19"/>
  <c r="PY6" i="19"/>
  <c r="PY32" i="19"/>
  <c r="PY21" i="19"/>
  <c r="PY34" i="19"/>
  <c r="PY8" i="19"/>
  <c r="PY14" i="19"/>
  <c r="PY20" i="19"/>
  <c r="PY31" i="19"/>
  <c r="PY23" i="19"/>
  <c r="PY5" i="19"/>
  <c r="CX5" i="19"/>
  <c r="CX4" i="19"/>
  <c r="CX9" i="19"/>
  <c r="CX6" i="19"/>
  <c r="CX32" i="19"/>
  <c r="CX21" i="19"/>
  <c r="CX34" i="19"/>
  <c r="CX8" i="19"/>
  <c r="CX14" i="19"/>
  <c r="CX20" i="19"/>
  <c r="CX31" i="19"/>
  <c r="CX23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1" i="19"/>
  <c r="CW21" i="19"/>
  <c r="DA21" i="19"/>
  <c r="DB21" i="19"/>
  <c r="PW21" i="19"/>
  <c r="PX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4" i="19"/>
  <c r="CW34" i="19"/>
  <c r="DA34" i="19"/>
  <c r="DB34" i="19"/>
  <c r="PW34" i="19"/>
  <c r="PX34" i="19"/>
  <c r="QA34" i="19" s="1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3" i="19"/>
  <c r="CW23" i="19"/>
  <c r="DA23" i="19"/>
  <c r="DB23" i="19"/>
  <c r="PW23" i="19"/>
  <c r="PX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4" i="19" l="1"/>
  <c r="CZ6" i="19"/>
  <c r="CZ21" i="19"/>
  <c r="QA21" i="19"/>
  <c r="QA8" i="19"/>
  <c r="QA31" i="19"/>
  <c r="CZ20" i="19"/>
  <c r="CZ4" i="19"/>
  <c r="QA4" i="19"/>
  <c r="QA9" i="19"/>
  <c r="N23" i="19"/>
  <c r="DE23" i="19" s="1"/>
  <c r="CZ23" i="19"/>
  <c r="QA32" i="19"/>
  <c r="QA5" i="19"/>
  <c r="CZ32" i="19"/>
  <c r="QZ21" i="21"/>
  <c r="P17" i="21"/>
  <c r="DF17" i="21" s="1"/>
  <c r="QZ24" i="21"/>
  <c r="RE24" i="21"/>
  <c r="QA20" i="19"/>
  <c r="QD17" i="21"/>
  <c r="CZ17" i="21"/>
  <c r="RE21" i="21"/>
  <c r="RF24" i="21"/>
  <c r="CZ34" i="19"/>
  <c r="QA17" i="21"/>
  <c r="L24" i="21"/>
  <c r="DD24" i="21" s="1"/>
  <c r="DC16" i="21"/>
  <c r="RC22" i="21"/>
  <c r="P21" i="21"/>
  <c r="DF21" i="21" s="1"/>
  <c r="DC21" i="21"/>
  <c r="L17" i="21"/>
  <c r="DD17" i="21" s="1"/>
  <c r="P22" i="21"/>
  <c r="DF22" i="21" s="1"/>
  <c r="DC22" i="21"/>
  <c r="QD22" i="21"/>
  <c r="P24" i="21"/>
  <c r="DF24" i="21" s="1"/>
  <c r="RB24" i="21"/>
  <c r="QA23" i="19"/>
  <c r="CZ31" i="19"/>
  <c r="CZ9" i="19"/>
  <c r="QA6" i="19"/>
  <c r="P16" i="21"/>
  <c r="DF16" i="21" s="1"/>
  <c r="CZ16" i="21"/>
  <c r="N21" i="21"/>
  <c r="DE21" i="21" s="1"/>
  <c r="RC17" i="21"/>
  <c r="CZ24" i="21"/>
  <c r="RE22" i="21"/>
  <c r="RA21" i="21"/>
  <c r="RB21" i="21"/>
  <c r="RA22" i="21"/>
  <c r="RB22" i="21"/>
  <c r="RF22" i="21"/>
  <c r="QA21" i="21"/>
  <c r="QA24" i="21"/>
  <c r="G22" i="21"/>
  <c r="RF17" i="21"/>
  <c r="N17" i="21"/>
  <c r="DE17" i="21" s="1"/>
  <c r="QZ17" i="21"/>
  <c r="RE17" i="21"/>
  <c r="G24" i="21"/>
  <c r="L16" i="21"/>
  <c r="DD16" i="21" s="1"/>
  <c r="RC16" i="21"/>
  <c r="RE16" i="21"/>
  <c r="CZ22" i="21"/>
  <c r="N24" i="21"/>
  <c r="DE24" i="21" s="1"/>
  <c r="QD24" i="21"/>
  <c r="N16" i="21"/>
  <c r="DE16" i="21" s="1"/>
  <c r="RB16" i="21"/>
  <c r="QD16" i="21"/>
  <c r="RF21" i="21"/>
  <c r="RB17" i="21"/>
  <c r="RC24" i="21"/>
  <c r="RF16" i="21"/>
  <c r="RC5" i="19"/>
  <c r="RC6" i="19"/>
  <c r="CZ14" i="19"/>
  <c r="RC32" i="19"/>
  <c r="CZ8" i="19"/>
  <c r="RC21" i="19"/>
  <c r="RC23" i="19"/>
  <c r="RC4" i="19"/>
  <c r="RC31" i="19"/>
  <c r="RC20" i="19"/>
  <c r="RC9" i="19"/>
  <c r="RC14" i="19"/>
  <c r="F5" i="19"/>
  <c r="RC8" i="19"/>
  <c r="G5" i="19"/>
  <c r="CZ5" i="19"/>
  <c r="RC34" i="19"/>
  <c r="G16" i="21"/>
  <c r="RA16" i="21"/>
  <c r="F21" i="21"/>
  <c r="G21" i="21"/>
  <c r="J16" i="21"/>
  <c r="F24" i="21"/>
  <c r="RA24" i="21"/>
  <c r="F16" i="21"/>
  <c r="J22" i="21"/>
  <c r="J21" i="21"/>
  <c r="L22" i="21"/>
  <c r="DD22" i="21" s="1"/>
  <c r="F22" i="21"/>
  <c r="QD21" i="21"/>
  <c r="RC21" i="21"/>
  <c r="F17" i="21"/>
  <c r="DC17" i="21"/>
  <c r="RA17" i="21"/>
  <c r="G17" i="21"/>
  <c r="DC24" i="21"/>
  <c r="QA16" i="21"/>
  <c r="QZ16" i="21"/>
  <c r="CZ21" i="21"/>
  <c r="QA22" i="21"/>
  <c r="QZ22" i="21"/>
  <c r="L21" i="21"/>
  <c r="DD21" i="21" s="1"/>
  <c r="J17" i="21"/>
  <c r="N22" i="21"/>
  <c r="DE22" i="21" s="1"/>
  <c r="J24" i="21"/>
  <c r="J5" i="19"/>
  <c r="N31" i="19"/>
  <c r="DE31" i="19" s="1"/>
  <c r="N5" i="19"/>
  <c r="DE5" i="19" s="1"/>
  <c r="DC23" i="19"/>
  <c r="QD23" i="19"/>
  <c r="QD20" i="19"/>
  <c r="N20" i="19"/>
  <c r="DE20" i="19" s="1"/>
  <c r="N9" i="19"/>
  <c r="DE9" i="19" s="1"/>
  <c r="N4" i="19"/>
  <c r="DE4" i="19" s="1"/>
  <c r="N32" i="19"/>
  <c r="DE32" i="19" s="1"/>
  <c r="N34" i="19"/>
  <c r="DE34" i="19" s="1"/>
  <c r="N21" i="19"/>
  <c r="DE21" i="19" s="1"/>
  <c r="N6" i="19"/>
  <c r="DE6" i="19" s="1"/>
  <c r="N14" i="19"/>
  <c r="DE14" i="19" s="1"/>
  <c r="N8" i="19"/>
  <c r="DE8" i="19" s="1"/>
  <c r="DC32" i="19"/>
  <c r="QD21" i="19"/>
  <c r="QD31" i="19"/>
  <c r="RE20" i="19"/>
  <c r="DC8" i="19"/>
  <c r="RB20" i="19"/>
  <c r="J31" i="19"/>
  <c r="K31" i="19" s="1"/>
  <c r="DC21" i="19"/>
  <c r="QZ20" i="19"/>
  <c r="QD32" i="19"/>
  <c r="P8" i="19"/>
  <c r="DF8" i="19" s="1"/>
  <c r="RE23" i="19"/>
  <c r="QZ23" i="19"/>
  <c r="RA8" i="19"/>
  <c r="P34" i="19"/>
  <c r="DF34" i="19" s="1"/>
  <c r="DC34" i="19"/>
  <c r="P32" i="19"/>
  <c r="DF32" i="19" s="1"/>
  <c r="RE31" i="19"/>
  <c r="P20" i="19"/>
  <c r="DF20" i="19" s="1"/>
  <c r="RB14" i="19"/>
  <c r="RB32" i="19"/>
  <c r="RA32" i="19"/>
  <c r="DC20" i="19"/>
  <c r="RE32" i="19"/>
  <c r="QZ32" i="19"/>
  <c r="RB8" i="19"/>
  <c r="QZ34" i="19"/>
  <c r="QD34" i="19"/>
  <c r="RA20" i="19"/>
  <c r="F20" i="19"/>
  <c r="G14" i="19"/>
  <c r="RF23" i="19"/>
  <c r="RB23" i="19"/>
  <c r="P23" i="19"/>
  <c r="DF23" i="19" s="1"/>
  <c r="RF34" i="19"/>
  <c r="P21" i="19"/>
  <c r="DF21" i="19" s="1"/>
  <c r="F23" i="19"/>
  <c r="RF31" i="19"/>
  <c r="RB31" i="19"/>
  <c r="RA31" i="19"/>
  <c r="RF20" i="19"/>
  <c r="J20" i="19"/>
  <c r="RA14" i="19"/>
  <c r="DC14" i="19"/>
  <c r="G34" i="19"/>
  <c r="RA23" i="19"/>
  <c r="RE14" i="19"/>
  <c r="QZ14" i="19"/>
  <c r="QD14" i="19"/>
  <c r="RB34" i="19"/>
  <c r="RA34" i="19"/>
  <c r="L23" i="19"/>
  <c r="DD23" i="19" s="1"/>
  <c r="P31" i="19"/>
  <c r="DF31" i="19" s="1"/>
  <c r="RF14" i="19"/>
  <c r="RE8" i="19"/>
  <c r="QZ8" i="19"/>
  <c r="QD8" i="19"/>
  <c r="RE34" i="19"/>
  <c r="G21" i="19"/>
  <c r="QZ31" i="19"/>
  <c r="DC31" i="19"/>
  <c r="RF8" i="19"/>
  <c r="RB21" i="19"/>
  <c r="RA21" i="19"/>
  <c r="F21" i="19"/>
  <c r="L32" i="19"/>
  <c r="DD32" i="19" s="1"/>
  <c r="RE21" i="19"/>
  <c r="QZ21" i="19"/>
  <c r="F32" i="19"/>
  <c r="G8" i="19"/>
  <c r="F14" i="19"/>
  <c r="F34" i="19"/>
  <c r="F31" i="19"/>
  <c r="F8" i="19"/>
  <c r="L21" i="19"/>
  <c r="DD21" i="19" s="1"/>
  <c r="G20" i="19"/>
  <c r="P14" i="19"/>
  <c r="DF14" i="19" s="1"/>
  <c r="L34" i="19"/>
  <c r="DD34" i="19" s="1"/>
  <c r="J32" i="19"/>
  <c r="J23" i="19"/>
  <c r="G31" i="19"/>
  <c r="L8" i="19"/>
  <c r="DD8" i="19" s="1"/>
  <c r="J21" i="19"/>
  <c r="RF32" i="19"/>
  <c r="G23" i="19"/>
  <c r="L14" i="19"/>
  <c r="DD14" i="19" s="1"/>
  <c r="J34" i="19"/>
  <c r="RF21" i="19"/>
  <c r="L20" i="19"/>
  <c r="DD20" i="19" s="1"/>
  <c r="J8" i="19"/>
  <c r="G32" i="19"/>
  <c r="L31" i="19"/>
  <c r="DD31" i="19" s="1"/>
  <c r="J14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P4" i="19"/>
  <c r="DF4" i="19" s="1"/>
  <c r="RF4" i="19"/>
  <c r="P5" i="19"/>
  <c r="DF5" i="19" s="1"/>
  <c r="DC5" i="19"/>
  <c r="J4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L4" i="19"/>
  <c r="DD4" i="19" s="1"/>
  <c r="F6" i="19"/>
  <c r="F9" i="19"/>
  <c r="G6" i="19"/>
  <c r="F4" i="19"/>
  <c r="G9" i="19"/>
  <c r="G4" i="19"/>
  <c r="A23" i="21" l="1"/>
  <c r="O22" i="21"/>
  <c r="O17" i="21"/>
  <c r="K16" i="21"/>
  <c r="O24" i="21"/>
  <c r="O16" i="21"/>
  <c r="O21" i="21"/>
  <c r="O14" i="19"/>
  <c r="O6" i="19"/>
  <c r="O21" i="19"/>
  <c r="R21" i="19"/>
  <c r="O5" i="19"/>
  <c r="O34" i="19"/>
  <c r="O31" i="19"/>
  <c r="O32" i="19"/>
  <c r="O4" i="19"/>
  <c r="O9" i="19"/>
  <c r="O20" i="19"/>
  <c r="O8" i="19"/>
  <c r="O23" i="19"/>
  <c r="RG22" i="21"/>
  <c r="RD24" i="21"/>
  <c r="Q16" i="21"/>
  <c r="Q24" i="21"/>
  <c r="M24" i="21"/>
  <c r="Q17" i="21"/>
  <c r="R22" i="21"/>
  <c r="R16" i="21"/>
  <c r="Q21" i="21"/>
  <c r="Q4" i="19"/>
  <c r="Q9" i="19"/>
  <c r="Q32" i="19"/>
  <c r="M5" i="19"/>
  <c r="R23" i="19"/>
  <c r="M6" i="19"/>
  <c r="M32" i="19"/>
  <c r="Q20" i="19"/>
  <c r="Q31" i="19"/>
  <c r="Q8" i="19"/>
  <c r="Q6" i="19"/>
  <c r="Q34" i="19"/>
  <c r="M17" i="21"/>
  <c r="M16" i="21"/>
  <c r="I24" i="21"/>
  <c r="H24" i="21" s="1"/>
  <c r="RD16" i="21"/>
  <c r="RD22" i="21"/>
  <c r="I32" i="19"/>
  <c r="H32" i="19" s="1"/>
  <c r="I17" i="21"/>
  <c r="H17" i="21" s="1"/>
  <c r="RG21" i="21"/>
  <c r="I31" i="19"/>
  <c r="H31" i="19" s="1"/>
  <c r="I20" i="19"/>
  <c r="H20" i="19" s="1"/>
  <c r="I4" i="19"/>
  <c r="H4" i="19" s="1"/>
  <c r="I21" i="19"/>
  <c r="H21" i="19" s="1"/>
  <c r="RD21" i="21"/>
  <c r="RD31" i="19"/>
  <c r="RD6" i="19"/>
  <c r="I34" i="19"/>
  <c r="H34" i="19" s="1"/>
  <c r="A22" i="21"/>
  <c r="RG16" i="21"/>
  <c r="Q22" i="21"/>
  <c r="K21" i="21"/>
  <c r="K22" i="21"/>
  <c r="I8" i="19"/>
  <c r="H8" i="19" s="1"/>
  <c r="K4" i="19"/>
  <c r="K6" i="19"/>
  <c r="K9" i="19"/>
  <c r="K20" i="19"/>
  <c r="I23" i="19"/>
  <c r="H23" i="19" s="1"/>
  <c r="M22" i="21"/>
  <c r="RD21" i="19"/>
  <c r="I9" i="19"/>
  <c r="H9" i="19" s="1"/>
  <c r="I14" i="19"/>
  <c r="H14" i="19" s="1"/>
  <c r="I6" i="19"/>
  <c r="H6" i="19" s="1"/>
  <c r="I16" i="21"/>
  <c r="H16" i="21" s="1"/>
  <c r="I22" i="21"/>
  <c r="H22" i="21" s="1"/>
  <c r="RG24" i="21"/>
  <c r="RD32" i="19"/>
  <c r="RD4" i="19"/>
  <c r="RD14" i="19"/>
  <c r="RD9" i="19"/>
  <c r="I5" i="19"/>
  <c r="H5" i="19" s="1"/>
  <c r="RD8" i="19"/>
  <c r="RG5" i="19"/>
  <c r="RD5" i="19"/>
  <c r="RD34" i="19"/>
  <c r="RG23" i="19"/>
  <c r="RD23" i="19"/>
  <c r="RD20" i="19"/>
  <c r="I21" i="21"/>
  <c r="H21" i="21" s="1"/>
  <c r="RG17" i="21"/>
  <c r="RD17" i="21"/>
  <c r="K24" i="21"/>
  <c r="M21" i="21"/>
  <c r="K17" i="21"/>
  <c r="Q21" i="19"/>
  <c r="RG31" i="19"/>
  <c r="RG21" i="19"/>
  <c r="RG34" i="19"/>
  <c r="M23" i="19"/>
  <c r="RG14" i="19"/>
  <c r="Q23" i="19"/>
  <c r="RG8" i="19"/>
  <c r="RG32" i="19"/>
  <c r="RG20" i="19"/>
  <c r="M8" i="19"/>
  <c r="M31" i="19"/>
  <c r="M21" i="19"/>
  <c r="M20" i="19"/>
  <c r="K21" i="19"/>
  <c r="Q14" i="19"/>
  <c r="K34" i="19"/>
  <c r="M14" i="19"/>
  <c r="K14" i="19"/>
  <c r="K23" i="19"/>
  <c r="K32" i="19"/>
  <c r="K8" i="19"/>
  <c r="M34" i="19"/>
  <c r="Q5" i="19"/>
  <c r="RG6" i="19"/>
  <c r="RG4" i="19"/>
  <c r="RG9" i="19"/>
  <c r="M9" i="19"/>
  <c r="M4" i="19"/>
  <c r="K5" i="19"/>
  <c r="S16" i="21" l="1"/>
  <c r="T16" i="21"/>
  <c r="S22" i="21"/>
  <c r="T22" i="21"/>
  <c r="S23" i="19"/>
  <c r="T23" i="19"/>
  <c r="S21" i="19"/>
  <c r="T21" i="19"/>
  <c r="E16" i="21"/>
  <c r="E22" i="21"/>
  <c r="R17" i="21"/>
  <c r="R21" i="21"/>
  <c r="R5" i="19"/>
  <c r="R24" i="21"/>
  <c r="R32" i="19"/>
  <c r="E23" i="19"/>
  <c r="E21" i="19"/>
  <c r="R34" i="19"/>
  <c r="R8" i="19"/>
  <c r="R20" i="19"/>
  <c r="R31" i="19"/>
  <c r="R14" i="19"/>
  <c r="R9" i="19"/>
  <c r="R4" i="19"/>
  <c r="R6" i="19"/>
  <c r="S24" i="21" l="1"/>
  <c r="T24" i="21"/>
  <c r="E21" i="21"/>
  <c r="S21" i="21"/>
  <c r="T21" i="21"/>
  <c r="S17" i="21"/>
  <c r="T17" i="21"/>
  <c r="T8" i="19"/>
  <c r="S8" i="19"/>
  <c r="E6" i="19"/>
  <c r="S6" i="19"/>
  <c r="T6" i="19"/>
  <c r="E34" i="19"/>
  <c r="T34" i="19"/>
  <c r="S34" i="19"/>
  <c r="S4" i="19"/>
  <c r="T4" i="19"/>
  <c r="S32" i="19"/>
  <c r="T32" i="19"/>
  <c r="S31" i="19"/>
  <c r="T31" i="19"/>
  <c r="S9" i="19"/>
  <c r="T9" i="19"/>
  <c r="E14" i="19"/>
  <c r="S14" i="19"/>
  <c r="T14" i="19"/>
  <c r="E20" i="19"/>
  <c r="T20" i="19"/>
  <c r="S20" i="19"/>
  <c r="S5" i="19"/>
  <c r="T5" i="19"/>
  <c r="E17" i="21"/>
  <c r="E24" i="21"/>
  <c r="E4" i="19"/>
  <c r="E5" i="19"/>
  <c r="E32" i="19"/>
  <c r="E8" i="19"/>
  <c r="E9" i="19"/>
  <c r="E31" i="19"/>
  <c r="A34" i="19"/>
  <c r="A18" i="19" l="1"/>
  <c r="A13" i="21"/>
  <c r="A9" i="21"/>
  <c r="A15" i="19"/>
  <c r="A14" i="21"/>
  <c r="A18" i="21"/>
  <c r="A30" i="19"/>
  <c r="A19" i="19"/>
  <c r="A12" i="19"/>
  <c r="A10" i="19"/>
  <c r="A7" i="19"/>
  <c r="A4" i="21"/>
  <c r="A20" i="21"/>
  <c r="A7" i="21"/>
  <c r="A8" i="21"/>
  <c r="A5" i="21"/>
  <c r="A25" i="21"/>
  <c r="A15" i="21"/>
  <c r="A6" i="21"/>
  <c r="A10" i="21"/>
  <c r="A24" i="21"/>
  <c r="A27" i="19"/>
  <c r="A21" i="19"/>
  <c r="A31" i="19"/>
  <c r="A16" i="21"/>
  <c r="A13" i="19"/>
  <c r="A16" i="19"/>
  <c r="A11" i="19"/>
  <c r="A17" i="19"/>
  <c r="A25" i="19"/>
  <c r="A12" i="21"/>
  <c r="A21" i="21"/>
  <c r="A17" i="21"/>
  <c r="A28" i="19"/>
  <c r="A5" i="19" a="1"/>
  <c r="A5" i="19" s="1"/>
  <c r="A6" i="19"/>
  <c r="A14" i="19"/>
  <c r="A20" i="19"/>
  <c r="A32" i="19"/>
  <c r="A23" i="19"/>
  <c r="A8" i="19"/>
  <c r="A4" i="19"/>
  <c r="A9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T32" i="4" s="1"/>
  <c r="V32" i="4" s="1"/>
  <c r="O32" i="4"/>
  <c r="T33" i="4"/>
  <c r="H32" i="4"/>
  <c r="TP32" i="4"/>
  <c r="TT32" i="4" s="1"/>
  <c r="K33" i="4"/>
  <c r="H33" i="4"/>
  <c r="TP33" i="4"/>
  <c r="TT33" i="4" s="1"/>
  <c r="M32" i="4"/>
  <c r="M33" i="4"/>
  <c r="E33" i="4" l="1"/>
  <c r="E32" i="4"/>
  <c r="U34" i="4"/>
  <c r="E34" i="4"/>
  <c r="V33" i="4"/>
  <c r="U33" i="4"/>
  <c r="U32" i="4"/>
  <c r="SX18" i="4" l="1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22" i="4"/>
  <c r="U31" i="4"/>
  <c r="U18" i="4"/>
  <c r="E31" i="4" l="1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l="1"/>
  <c r="A8" i="4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6" i="4" a="1"/>
  <c r="A16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<sst xmlns="http://schemas.openxmlformats.org/spreadsheetml/2006/main" count="4002" uniqueCount="219">
  <si>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</si>
  <si>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</si>
  <si>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</si>
  <si>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</si>
  <si>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</si>
  <si>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</si>
  <si>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</si>
  <si>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</si>
  <si>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</si>
  <si>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</si>
  <si>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</si>
  <si>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</si>
  <si>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</si>
  <si>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</si>
  <si>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</si>
  <si>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</si>
  <si>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</si>
  <si>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</si>
  <si>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</si>
  <si>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</si>
  <si>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</si>
  <si>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</si>
  <si>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</si>
  <si>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</si>
  <si>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</si>
  <si>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</si>
  <si>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</si>
  <si>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</si>
  <si>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</si>
  <si>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</si>
  <si>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</si>
  <si>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</si>
  <si>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</si>
  <si>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</si>
  <si>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</si>
  <si>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</si>
  <si>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</si>
  <si>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</si>
  <si>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</si>
  <si>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</si>
  <si>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</si>
  <si>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</si>
  <si>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</si>
  <si>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</si>
  <si>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</si>
  <si>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</si>
  <si>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</si>
  <si>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</si>
  <si>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</si>
  <si>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</si>
  <si>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</si>
  <si>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</si>
  <si>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</si>
  <si>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</si>
  <si>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</si>
  <si>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</si>
  <si>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</si>
  <si>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</si>
  <si>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</si>
  <si>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</si>
  <si>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</si>
  <si>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</si>
  <si>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</si>
  <si>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</si>
  <si>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</si>
  <si>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</si>
  <si>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</si>
  <si>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</si>
  <si>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</si>
  <si>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</si>
  <si>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</si>
  <si>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</si>
  <si>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</si>
  <si>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</si>
  <si>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</si>
  <si>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</si>
  <si>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</si>
  <si>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</si>
  <si>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</si>
  <si>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</si>
  <si>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</si>
  <si>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</si>
  <si>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</si>
  <si>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</si>
  <si>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</si>
  <si>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</si>
  <si>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</si>
  <si>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</si>
  <si>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</si>
  <si>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</si>
  <si>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</si>
  <si>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</si>
  <si>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</si>
  <si>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</si>
  <si>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</si>
  <si>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</si>
  <si>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</si>
  <si>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</si>
  <si>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</si>
  <si>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</si>
  <si>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</si>
  <si>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</si>
  <si>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</si>
  <si>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</si>
  <si>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</si>
  <si>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</si>
  <si>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</si>
  <si>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</si>
  <si>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</si>
  <si>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THOMPSON, Abby</t>
  </si>
  <si>
    <t>MEYER, Jeremy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</si>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</sst>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45109</v>
      </c>
      <c r="C34" s="64"/>
    </row>
    <row r="35" spans="1:3" x14ac:dyDescent="0.2">
      <c r="B35" t="s">
        <v>218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186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114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192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134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216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187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 t="shared" ref="E4:E34" si="0">SUM(J4:T4)+SUM(J4:R4)*0.0000001+SUM(J4)*0.0000000000001</f>
        <v>197.26001972600557</v>
      </c>
      <c r="F4" s="3" t="str">
        <f t="shared" ref="F4:F34" si="1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 t="shared" ref="G4:G34" si="2"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 t="shared" ref="H4:H34" si="3"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 t="shared" ref="I4:I34" si="4"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 t="shared" ref="K4:K34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 t="shared" ref="M4:M34" si="6"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34" si="7">IF(N4="","",IF(OR(N4=CQ4,N4=CT4,N4=CX4),$BY$1,IF(OR(N4=BP4,N4=BS4,N4=BW4),$AX$1,IF(OR(N4=AO4,N4=AR4,N4=AV4),$W$1,""))))</f>
        <v>2022 3rd Domestic Trial</v>
      </c>
      <c r="P4" s="8">
        <f t="shared" ref="P4:P34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4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4" si="10"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 t="shared" ref="S4:S34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 t="shared" ref="T4:T34" si="12">IF(MAX(CZ4,DA4)&gt;0,MAX(CZ4,DA4),"")</f>
        <v/>
      </c>
      <c r="U4" s="11" t="str">
        <f t="shared" ref="U4:U34" si="13">IF(T4="","",IF(T4=CZ4,"("&amp;CZ$2&amp;")",IF(T4=DA4,"("&amp;DA$2&amp;")")))</f>
        <v/>
      </c>
      <c r="V4" s="8" t="str">
        <f t="shared" ref="V4:V34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 t="shared" ref="AM4:AM34" si="15">IF(Y4&gt;0,Y4,"")</f>
        <v>13.1</v>
      </c>
      <c r="AN4" s="38">
        <f t="shared" ref="AN4:AN34" si="16">IF(Z4&gt;0,Z4,"")</f>
        <v>16.38</v>
      </c>
      <c r="AO4" s="40">
        <f t="shared" ref="AO4:AO34" si="17">IF(SUM(W4:Z4)-AA4&gt;0,SUM(W4:Z4)-AA4,"")</f>
        <v>53.48</v>
      </c>
      <c r="AP4" s="40">
        <f t="shared" ref="AP4:AP34" si="18">IF(AD4&gt;0,AD4,"")</f>
        <v>6.9</v>
      </c>
      <c r="AQ4" s="40">
        <f t="shared" ref="AQ4:AQ34" si="19">IF(AE4&gt;0,AE4,"")</f>
        <v>6.87</v>
      </c>
      <c r="AR4" s="40">
        <f t="shared" ref="AR4:AR34" si="20">IF(SUM(AB4:AE4)-AF4&gt;0,SUM(AB4:AE4)-AF4,"")</f>
        <v>24.070000000000004</v>
      </c>
      <c r="AS4" s="40">
        <f t="shared" ref="AS4:AS34" si="21">IF(AO4="","",MAX(AO4,AR4))</f>
        <v>53.48</v>
      </c>
      <c r="AT4" s="40">
        <f t="shared" ref="AT4:AT34" si="22">IF(AI4&gt;0,AI4,"")</f>
        <v>13.7</v>
      </c>
      <c r="AU4" s="40">
        <f t="shared" ref="AU4:AU34" si="23">IF(AJ4&gt;0,AJ4,"")</f>
        <v>15.99</v>
      </c>
      <c r="AV4" s="40">
        <f t="shared" ref="AV4:AV34" si="24">IF(SUM(AG4:AJ4)-AK4&gt;0,SUM(AG4:AJ4)-AK4,"")</f>
        <v>53.589999999999996</v>
      </c>
      <c r="AW4" s="40">
        <f t="shared" ref="AW4:AW34" si="25"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 t="shared" ref="BN4:BN34" si="26">IF(AZ4&gt;0,AZ4,"")</f>
        <v>15.8</v>
      </c>
      <c r="BO4" s="39">
        <f t="shared" ref="BO4:BO34" si="27">IF(BA4&gt;0,BA4,"")</f>
        <v>16.12</v>
      </c>
      <c r="BP4" s="11">
        <f t="shared" ref="BP4:BP34" si="28">IF(SUM(AX4:BA4)-BB4&gt;0,SUM(AX4:BA4)-BB4,"")</f>
        <v>54.739999999999995</v>
      </c>
      <c r="BQ4" s="11">
        <f t="shared" ref="BQ4:BQ34" si="29">IF(BE4&gt;0,BE4,"")</f>
        <v>8.6</v>
      </c>
      <c r="BR4" s="11">
        <f t="shared" ref="BR4:BR34" si="30">IF(BF4&gt;0,BF4,"")</f>
        <v>8.41</v>
      </c>
      <c r="BS4" s="11">
        <f t="shared" ref="BS4:BS34" si="31">IF(SUM(BC4:BF4)-BG4&gt;0,SUM(BC4:BF4)-BG4,"")</f>
        <v>28.41</v>
      </c>
      <c r="BT4" s="11">
        <f t="shared" ref="BT4:BT34" si="32">IF(BP4="","",MAX(BP4,BS4))</f>
        <v>54.739999999999995</v>
      </c>
      <c r="BU4" s="11">
        <f t="shared" ref="BU4:BU34" si="33">IF(BJ4&gt;0,BJ4,"")</f>
        <v>15.8</v>
      </c>
      <c r="BV4" s="11">
        <f t="shared" ref="BV4:BV34" si="34">IF(BK4&gt;0,BK4,"")</f>
        <v>16.27</v>
      </c>
      <c r="BW4" s="11">
        <f t="shared" ref="BW4:BW34" si="35">IF(SUM(BH4:BK4)-BL4&gt;0,SUM(BH4:BK4)-BL4,"")</f>
        <v>54.870000000000005</v>
      </c>
      <c r="BX4" s="11">
        <f t="shared" ref="BX4:BX34" si="36"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 t="shared" ref="CO4:CO34" si="37">IF(CA4&gt;0,CA4,"")</f>
        <v>14.8</v>
      </c>
      <c r="CP4" s="38">
        <f t="shared" ref="CP4:CP34" si="38">IF(CB4&gt;0,CB4,"")</f>
        <v>15.62</v>
      </c>
      <c r="CQ4" s="40">
        <f t="shared" ref="CQ4:CQ34" si="39">IF(SUM(BY4:CB4)-CC4&gt;0,SUM(BY4:CB4)-CC4,"")</f>
        <v>54.02</v>
      </c>
      <c r="CR4" s="40">
        <f t="shared" ref="CR4:CR34" si="40">IF(CF4&gt;0,CF4,"")</f>
        <v>15.8</v>
      </c>
      <c r="CS4" s="40">
        <f t="shared" ref="CS4:CS34" si="41">IF(CG4&gt;0,CG4,"")</f>
        <v>15.84</v>
      </c>
      <c r="CT4" s="40">
        <f t="shared" ref="CT4:CT34" si="42">IF(SUM(CD4:CG4)-CH4&gt;0,SUM(CD4:CG4)-CH4,"")</f>
        <v>55.540000000000006</v>
      </c>
      <c r="CU4" s="40">
        <f t="shared" ref="CU4:CU34" si="43">IF(CQ4="","",MAX(CQ4,CT4))</f>
        <v>55.540000000000006</v>
      </c>
      <c r="CV4" s="40">
        <f t="shared" ref="CV4:CV34" si="44">IF(CK4&gt;0,CK4,"")</f>
        <v>14.8</v>
      </c>
      <c r="CW4" s="40">
        <f t="shared" ref="CW4:CW34" si="45">IF(CL4&gt;0,CL4,"")</f>
        <v>15.82</v>
      </c>
      <c r="CX4" s="40">
        <f t="shared" ref="CX4:CX34" si="46">IF(SUM(CI4:CL4)-CM4&gt;0,SUM(CI4:CL4)-CM4,"")</f>
        <v>54.32</v>
      </c>
      <c r="CY4" s="40">
        <f t="shared" ref="CY4:CY34" si="47">IF(SUM(CU4,CX4)&gt;0,SUM(CU4,CX4),"")</f>
        <v>109.86000000000001</v>
      </c>
      <c r="CZ4" s="50" t="str">
        <f t="shared" ref="CZ4:CZ34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4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4" si="50">IF(DD4&gt;0,DD4,"")</f>
        <v/>
      </c>
      <c r="DW4" s="40" t="str">
        <f t="shared" ref="DW4:DW34" si="51">IF(DE4&gt;0,DE4,"")</f>
        <v/>
      </c>
      <c r="DX4" s="40" t="str">
        <f t="shared" ref="DX4:DX34" si="52">IF(SUM(DB4:DE4)-DF4&gt;0,SUM(DB4:DE4)-DF4,"")</f>
        <v/>
      </c>
      <c r="DY4" s="40">
        <f t="shared" ref="DY4:DY34" si="53">IF(DI4&gt;0,DI4,"")</f>
        <v>15</v>
      </c>
      <c r="DZ4" s="40">
        <f t="shared" ref="DZ4:DZ34" si="54">IF(DJ4&gt;0,DJ4,"")</f>
        <v>16.309999999999999</v>
      </c>
      <c r="EA4" s="40">
        <f t="shared" ref="EA4:EA34" si="55">IF(SUM(DG4:DJ4)-DK4&gt;0,SUM(DG4:DJ4)-DK4,"")</f>
        <v>52.61</v>
      </c>
      <c r="EB4" s="40">
        <f t="shared" ref="EB4:EB34" si="56">IF(MAX(DX4,EA4)&gt;0,MAX(DX4,EA4),"")</f>
        <v>52.61</v>
      </c>
      <c r="EC4" s="40" t="str">
        <f t="shared" ref="EC4:EC34" si="57">IF(DN4&gt;0,DN4,"")</f>
        <v/>
      </c>
      <c r="ED4" s="40" t="str">
        <f t="shared" ref="ED4:ED34" si="58">IF(DO4&gt;0,DO4,"")</f>
        <v/>
      </c>
      <c r="EE4" s="40" t="str">
        <f t="shared" ref="EE4:EE34" si="59">IF(SUM(DL4:DO4)-DP4&gt;0,SUM(DL4:DO4)-DP4,"")</f>
        <v/>
      </c>
      <c r="EF4" s="40" t="str">
        <f t="shared" ref="EF4:EF34" si="60">IF(DS4&gt;0,DS4,"")</f>
        <v/>
      </c>
      <c r="EG4" s="40" t="str">
        <f t="shared" ref="EG4:EG34" si="61">IF(DT4&gt;0,DT4,"")</f>
        <v/>
      </c>
      <c r="EH4" s="40" t="str">
        <f t="shared" ref="EH4:EH34" si="62">IF(SUM(DQ4:DT4)-DU4&gt;0,SUM(DQ4:DT4)-DU4,"")</f>
        <v/>
      </c>
      <c r="EI4" s="40">
        <f t="shared" ref="EI4:EI34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4" si="64">IF(EL4&gt;0,EL4,"")</f>
        <v/>
      </c>
      <c r="FE4" s="11" t="str">
        <f t="shared" ref="FE4:FE34" si="65">IF(EM4&gt;0,EM4,"")</f>
        <v/>
      </c>
      <c r="FF4" s="11" t="str">
        <f t="shared" ref="FF4:FF34" si="66">IF(SUM(EJ4:EM4)-EN4&gt;0,SUM(EJ4:EM4)-EN4,"")</f>
        <v/>
      </c>
      <c r="FG4" s="11" t="str">
        <f t="shared" ref="FG4:FG34" si="67">IF(EQ4&gt;0,EQ4,"")</f>
        <v/>
      </c>
      <c r="FH4" s="11" t="str">
        <f t="shared" ref="FH4:FH34" si="68">IF(ER4&gt;0,ER4,"")</f>
        <v/>
      </c>
      <c r="FI4" s="11" t="str">
        <f t="shared" ref="FI4:FI34" si="69">IF(SUM(EO4:ER4)-ES4&gt;0,SUM(EO4:ER4)-ES4,"")</f>
        <v/>
      </c>
      <c r="FJ4" s="11" t="str">
        <f t="shared" ref="FJ4:FJ34" si="70">IF(MAX(FF4,FI4)&gt;0,MAX(FF4,FI4),"")</f>
        <v/>
      </c>
      <c r="FK4" s="11" t="str">
        <f t="shared" ref="FK4:FK34" si="71">IF(EV4&gt;0,EV4,"")</f>
        <v/>
      </c>
      <c r="FL4" s="11" t="str">
        <f t="shared" ref="FL4:FL34" si="72">IF(EW4&gt;0,EW4,"")</f>
        <v/>
      </c>
      <c r="FM4" s="11" t="str">
        <f t="shared" ref="FM4:FM34" si="73">IF(SUM(ET4:EW4)-EX4&gt;0,SUM(ET4:EW4)-EX4,"")</f>
        <v/>
      </c>
      <c r="FN4" s="11" t="str">
        <f t="shared" ref="FN4:FN34" si="74">IF(FA4&gt;0,FA4,"")</f>
        <v/>
      </c>
      <c r="FO4" s="11" t="str">
        <f t="shared" ref="FO4:FO34" si="75">IF(FB4&gt;0,FB4,"")</f>
        <v/>
      </c>
      <c r="FP4" s="11" t="str">
        <f t="shared" ref="FP4:FP34" si="76">IF(SUM(EY4:FB4)-FC4&gt;0,SUM(EY4:FB4)-FC4,"")</f>
        <v/>
      </c>
      <c r="FQ4" s="11" t="str">
        <f t="shared" ref="FQ4:FQ34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4" si="78">IF(FT4&gt;0,FT4,"")</f>
        <v/>
      </c>
      <c r="GM4" s="40" t="str">
        <f t="shared" ref="GM4:GM34" si="79">IF(FU4&gt;0,FU4,"")</f>
        <v/>
      </c>
      <c r="GN4" s="40" t="str">
        <f t="shared" ref="GN4:GN34" si="80">IF(SUM(FR4:FU4)-FV4&gt;0,SUM(FR4:FU4)-FV4,"")</f>
        <v/>
      </c>
      <c r="GO4" s="40" t="str">
        <f t="shared" ref="GO4:GO34" si="81">IF(FY4&gt;0,FY4,"")</f>
        <v/>
      </c>
      <c r="GP4" s="40" t="str">
        <f t="shared" ref="GP4:GP34" si="82">IF(FZ4&gt;0,FZ4,"")</f>
        <v/>
      </c>
      <c r="GQ4" s="40" t="str">
        <f t="shared" ref="GQ4:GQ34" si="83">IF(SUM(FW4:FZ4)-GA4&gt;0,SUM(FW4:FZ4)-GA4,"")</f>
        <v/>
      </c>
      <c r="GR4" s="40" t="str">
        <f t="shared" ref="GR4:GR34" si="84">IF(MAX(GN4,GQ4)&gt;0,MAX(GN4,GQ4),"")</f>
        <v/>
      </c>
      <c r="GS4" s="40" t="str">
        <f t="shared" ref="GS4:GS34" si="85">IF(GD4&gt;0,GD4,"")</f>
        <v/>
      </c>
      <c r="GT4" s="40" t="str">
        <f t="shared" ref="GT4:GT34" si="86">IF(GE4&gt;0,GE4,"")</f>
        <v/>
      </c>
      <c r="GU4" s="40" t="str">
        <f t="shared" ref="GU4:GU34" si="87">IF(SUM(GB4:GE4)-GF4&gt;0,SUM(GB4:GE4)-GF4,"")</f>
        <v/>
      </c>
      <c r="GV4" s="40" t="str">
        <f t="shared" ref="GV4:GV34" si="88">IF(GI4&gt;0,GI4,"")</f>
        <v/>
      </c>
      <c r="GW4" s="40" t="str">
        <f t="shared" ref="GW4:GW34" si="89">IF(GJ4&gt;0,GJ4,"")</f>
        <v/>
      </c>
      <c r="GX4" s="40" t="str">
        <f t="shared" ref="GX4:GX34" si="90">IF(SUM(GG4:GJ4)-GK4&gt;0,SUM(GG4:GJ4)-GK4,"")</f>
        <v/>
      </c>
      <c r="GY4" s="40" t="str">
        <f t="shared" ref="GY4:GY34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4" si="92">IF(HB4&gt;0,HB4,"")</f>
        <v/>
      </c>
      <c r="HU4" s="11" t="str">
        <f t="shared" ref="HU4:HU34" si="93">IF(HC4&gt;0,HC4,"")</f>
        <v/>
      </c>
      <c r="HV4" s="11" t="str">
        <f t="shared" ref="HV4:HV34" si="94">IF(SUM(GZ4:HC4)-HD4&gt;0,SUM(GZ4:HC4)-HD4,"")</f>
        <v/>
      </c>
      <c r="HW4" s="11" t="str">
        <f t="shared" ref="HW4:HW34" si="95">IF(HG4&gt;0,HG4,"")</f>
        <v/>
      </c>
      <c r="HX4" s="11" t="str">
        <f t="shared" ref="HX4:HX34" si="96">IF(HH4&gt;0,HH4,"")</f>
        <v/>
      </c>
      <c r="HY4" s="11" t="str">
        <f t="shared" ref="HY4:HY34" si="97">IF(SUM(HE4:HH4)-HI4&gt;0,SUM(HE4:HH4)-HI4,"")</f>
        <v/>
      </c>
      <c r="HZ4" s="11" t="str">
        <f t="shared" ref="HZ4:HZ34" si="98">IF(MAX(HV4,HY4)&gt;0,MAX(HV4,HY4),"")</f>
        <v/>
      </c>
      <c r="IA4" s="11" t="str">
        <f t="shared" ref="IA4:IA34" si="99">IF(HL4&gt;0,HL4,"")</f>
        <v/>
      </c>
      <c r="IB4" s="11" t="str">
        <f t="shared" ref="IB4:IB34" si="100">IF(HM4&gt;0,HM4,"")</f>
        <v/>
      </c>
      <c r="IC4" s="11" t="str">
        <f t="shared" ref="IC4:IC34" si="101">IF(SUM(HJ4:HM4)-HN4&gt;0,SUM(HJ4:HM4)-HN4,"")</f>
        <v/>
      </c>
      <c r="ID4" s="11" t="str">
        <f t="shared" ref="ID4:ID34" si="102">IF(HQ4&gt;0,HQ4,"")</f>
        <v/>
      </c>
      <c r="IE4" s="11" t="str">
        <f t="shared" ref="IE4:IE34" si="103">IF(HR4&gt;0,HR4,"")</f>
        <v/>
      </c>
      <c r="IF4" s="11" t="str">
        <f t="shared" ref="IF4:IF34" si="104">IF(SUM(HO4:HR4)-HS4&gt;0,SUM(HO4:HR4)-HS4,"")</f>
        <v/>
      </c>
      <c r="IG4" s="11" t="str">
        <f t="shared" ref="IG4:IG34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4" si="106">IF(IJ4&gt;0,IJ4,"")</f>
        <v/>
      </c>
      <c r="JC4" s="40" t="str">
        <f t="shared" ref="JC4:JC34" si="107">IF(IK4&gt;0,IK4,"")</f>
        <v/>
      </c>
      <c r="JD4" s="40" t="str">
        <f t="shared" ref="JD4:JD34" si="108">IF(SUM(IH4:IK4)-IL4&gt;0,SUM(IH4:IK4)-IL4,"")</f>
        <v/>
      </c>
      <c r="JE4" s="40" t="str">
        <f t="shared" ref="JE4:JE34" si="109">IF(IO4&gt;0,IO4,"")</f>
        <v/>
      </c>
      <c r="JF4" s="40" t="str">
        <f t="shared" ref="JF4:JF34" si="110">IF(IP4&gt;0,IP4,"")</f>
        <v/>
      </c>
      <c r="JG4" s="40" t="str">
        <f t="shared" ref="JG4:JG34" si="111">IF(SUM(IM4:IP4)-IQ4&gt;0,SUM(IM4:IP4)-IQ4,"")</f>
        <v/>
      </c>
      <c r="JH4" s="40" t="str">
        <f t="shared" ref="JH4:JH34" si="112">IF(MAX(JD4,JG4)&gt;0,MAX(JD4,JG4),"")</f>
        <v/>
      </c>
      <c r="JI4" s="40" t="str">
        <f t="shared" ref="JI4:JI34" si="113">IF(IT4&gt;0,IT4,"")</f>
        <v/>
      </c>
      <c r="JJ4" s="40" t="str">
        <f t="shared" ref="JJ4:JJ34" si="114">IF(IU4&gt;0,IU4,"")</f>
        <v/>
      </c>
      <c r="JK4" s="40" t="str">
        <f t="shared" ref="JK4:JK34" si="115">IF(SUM(IR4:IU4)-IV4&gt;0,SUM(IR4:IU4)-IV4,"")</f>
        <v/>
      </c>
      <c r="JL4" s="40" t="str">
        <f t="shared" ref="JL4:JL34" si="116">IF(IY4&gt;0,IY4,"")</f>
        <v/>
      </c>
      <c r="JM4" s="40" t="str">
        <f t="shared" ref="JM4:JM34" si="117">IF(IZ4&gt;0,IZ4,"")</f>
        <v/>
      </c>
      <c r="JN4" s="40" t="str">
        <f t="shared" ref="JN4:JN34" si="118">IF(SUM(IW4:IZ4)-JA4&gt;0,SUM(IW4:IZ4)-JA4,"")</f>
        <v/>
      </c>
      <c r="JO4" s="40" t="str">
        <f t="shared" ref="JO4:JO34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4" si="120">IF(JR4&gt;0,JR4,"")</f>
        <v/>
      </c>
      <c r="KK4" s="11" t="str">
        <f t="shared" ref="KK4:KK34" si="121">IF(JS4&gt;0,JS4,"")</f>
        <v/>
      </c>
      <c r="KL4" s="11" t="str">
        <f t="shared" ref="KL4:KL34" si="122">IF(SUM(JP4:JS4)-JT4&gt;0,SUM(JP4:JS4)-JT4,"")</f>
        <v/>
      </c>
      <c r="KM4" s="11" t="str">
        <f t="shared" ref="KM4:KM34" si="123">IF(JW4&gt;0,JW4,"")</f>
        <v/>
      </c>
      <c r="KN4" s="11" t="str">
        <f t="shared" ref="KN4:KN34" si="124">IF(JX4&gt;0,JX4,"")</f>
        <v/>
      </c>
      <c r="KO4" s="11" t="str">
        <f t="shared" ref="KO4:KO34" si="125">IF(SUM(JU4:JX4)-JY4&gt;0,SUM(JU4:JX4)-JY4,"")</f>
        <v/>
      </c>
      <c r="KP4" s="11" t="str">
        <f t="shared" ref="KP4:KP34" si="126">IF(MAX(KL4,KO4)&gt;0,MAX(KL4,KO4),"")</f>
        <v/>
      </c>
      <c r="KQ4" s="11" t="str">
        <f t="shared" ref="KQ4:KQ34" si="127">IF(KB4&gt;0,KB4,"")</f>
        <v/>
      </c>
      <c r="KR4" s="11" t="str">
        <f t="shared" ref="KR4:KR34" si="128">IF(KC4&gt;0,KC4,"")</f>
        <v/>
      </c>
      <c r="KS4" s="11" t="str">
        <f t="shared" ref="KS4:KS34" si="129">IF(SUM(JZ4:KC4)-KD4&gt;0,SUM(JZ4:KC4)-KD4,"")</f>
        <v/>
      </c>
      <c r="KT4" s="11" t="str">
        <f t="shared" ref="KT4:KT34" si="130">IF(KG4&gt;0,KG4,"")</f>
        <v/>
      </c>
      <c r="KU4" s="11" t="str">
        <f t="shared" ref="KU4:KU34" si="131">IF(KH4&gt;0,KH4,"")</f>
        <v/>
      </c>
      <c r="KV4" s="11" t="str">
        <f t="shared" ref="KV4:KV34" si="132">IF(SUM(KE4:KH4)-KI4&gt;0,SUM(KE4:KH4)-KI4,"")</f>
        <v/>
      </c>
      <c r="KW4" s="11" t="str">
        <f t="shared" ref="KW4:KW34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4" si="134">IF(KZ4&gt;0,KZ4,"")</f>
        <v/>
      </c>
      <c r="LS4" s="40" t="str">
        <f t="shared" ref="LS4:LS34" si="135">IF(LA4&gt;0,LA4,"")</f>
        <v/>
      </c>
      <c r="LT4" s="40" t="str">
        <f t="shared" ref="LT4:LT34" si="136">IF(SUM(KX4:LA4)-LB4&gt;0,SUM(KX4:LA4)-LB4,"")</f>
        <v/>
      </c>
      <c r="LU4" s="40" t="str">
        <f t="shared" ref="LU4:LU34" si="137">IF(LE4&gt;0,LE4,"")</f>
        <v/>
      </c>
      <c r="LV4" s="40" t="str">
        <f t="shared" ref="LV4:LV34" si="138">IF(LF4&gt;0,LF4,"")</f>
        <v/>
      </c>
      <c r="LW4" s="40" t="str">
        <f t="shared" ref="LW4:LW34" si="139">IF(SUM(LC4:LF4)-LG4&gt;0,SUM(LC4:LF4)-LG4,"")</f>
        <v/>
      </c>
      <c r="LX4" s="40" t="str">
        <f t="shared" ref="LX4:LX34" si="140">IF(MAX(LT4,LW4)&gt;0,MAX(LT4,LW4),"")</f>
        <v/>
      </c>
      <c r="LY4" s="40" t="str">
        <f t="shared" ref="LY4:LY34" si="141">IF(LJ4&gt;0,LJ4,"")</f>
        <v/>
      </c>
      <c r="LZ4" s="40" t="str">
        <f t="shared" ref="LZ4:LZ34" si="142">IF(LK4&gt;0,LK4,"")</f>
        <v/>
      </c>
      <c r="MA4" s="40" t="str">
        <f t="shared" ref="MA4:MA34" si="143">IF(SUM(LH4:LK4)-LL4&gt;0,SUM(LH4:LK4)-LL4,"")</f>
        <v/>
      </c>
      <c r="MB4" s="40" t="str">
        <f t="shared" ref="MB4:MB34" si="144">IF(LO4&gt;0,LO4,"")</f>
        <v/>
      </c>
      <c r="MC4" s="40" t="str">
        <f t="shared" ref="MC4:MC34" si="145">IF(LP4&gt;0,LP4,"")</f>
        <v/>
      </c>
      <c r="MD4" s="40" t="str">
        <f t="shared" ref="MD4:MD34" si="146">IF(SUM(LM4:LP4)-LQ4&gt;0,SUM(LM4:LP4)-LQ4,"")</f>
        <v/>
      </c>
      <c r="ME4" s="40" t="str">
        <f t="shared" ref="ME4:ME34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4" si="148">IF(MH4&gt;0,MH4,"")</f>
        <v/>
      </c>
      <c r="NA4" s="11" t="str">
        <f t="shared" ref="NA4:NA34" si="149">IF(MI4&gt;0,MI4,"")</f>
        <v/>
      </c>
      <c r="NB4" s="11" t="str">
        <f t="shared" ref="NB4:NB34" si="150">IF(SUM(MF4:MI4)-MJ4&gt;0,SUM(MF4:MI4)-MJ4,"")</f>
        <v/>
      </c>
      <c r="NC4" s="11" t="str">
        <f t="shared" ref="NC4:NC34" si="151">IF(MM4&gt;0,MM4,"")</f>
        <v/>
      </c>
      <c r="ND4" s="11" t="str">
        <f t="shared" ref="ND4:ND34" si="152">IF(MN4&gt;0,MN4,"")</f>
        <v/>
      </c>
      <c r="NE4" s="11" t="str">
        <f t="shared" ref="NE4:NE34" si="153">IF(SUM(MK4:MN4)-MO4&gt;0,SUM(MK4:MN4)-MO4,"")</f>
        <v/>
      </c>
      <c r="NF4" s="11" t="str">
        <f t="shared" ref="NF4:NF34" si="154">IF(MAX(NB4,NE4)&gt;0,MAX(NB4,NE4),"")</f>
        <v/>
      </c>
      <c r="NG4" s="11" t="str">
        <f t="shared" ref="NG4:NG34" si="155">IF(MR4&gt;0,MR4,"")</f>
        <v/>
      </c>
      <c r="NH4" s="11" t="str">
        <f t="shared" ref="NH4:NH34" si="156">IF(MS4&gt;0,MS4,"")</f>
        <v/>
      </c>
      <c r="NI4" s="11" t="str">
        <f t="shared" ref="NI4:NI34" si="157">IF(SUM(MP4:MS4)-MT4&gt;0,SUM(MP4:MS4)-MT4,"")</f>
        <v/>
      </c>
      <c r="NJ4" s="11" t="str">
        <f t="shared" ref="NJ4:NJ34" si="158">IF(MW4&gt;0,MW4,"")</f>
        <v/>
      </c>
      <c r="NK4" s="11" t="str">
        <f t="shared" ref="NK4:NK34" si="159">IF(MX4&gt;0,MX4,"")</f>
        <v/>
      </c>
      <c r="NL4" s="11" t="str">
        <f t="shared" ref="NL4:NL34" si="160">IF(SUM(MU4:MX4)-MY4&gt;0,SUM(MU4:MX4)-MY4,"")</f>
        <v/>
      </c>
      <c r="NM4" s="11" t="str">
        <f t="shared" ref="NM4:NM34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4" si="162">IF(NP4&gt;0,NP4,"")</f>
        <v/>
      </c>
      <c r="OI4" s="40" t="str">
        <f t="shared" ref="OI4:OI34" si="163">IF(NQ4&gt;0,NQ4,"")</f>
        <v/>
      </c>
      <c r="OJ4" s="40" t="str">
        <f t="shared" ref="OJ4:OJ34" si="164">IF(SUM(NN4:NQ4)-NR4&gt;0,SUM(NN4:NQ4)-NR4,"")</f>
        <v/>
      </c>
      <c r="OK4" s="40" t="str">
        <f t="shared" ref="OK4:OK34" si="165">IF(NU4&gt;0,NU4,"")</f>
        <v/>
      </c>
      <c r="OL4" s="40" t="str">
        <f t="shared" ref="OL4:OL34" si="166">IF(NV4&gt;0,NV4,"")</f>
        <v/>
      </c>
      <c r="OM4" s="40" t="str">
        <f t="shared" ref="OM4:OM34" si="167">IF(SUM(NS4:NV4)-NW4&gt;0,SUM(NS4:NV4)-NW4,"")</f>
        <v/>
      </c>
      <c r="ON4" s="40" t="str">
        <f t="shared" ref="ON4:ON34" si="168">IF(MAX(OJ4,OM4)&gt;0,MAX(OJ4,OM4),"")</f>
        <v/>
      </c>
      <c r="OO4" s="40" t="str">
        <f t="shared" ref="OO4:OO34" si="169">IF(NZ4&gt;0,NZ4,"")</f>
        <v/>
      </c>
      <c r="OP4" s="40" t="str">
        <f t="shared" ref="OP4:OP34" si="170">IF(OA4&gt;0,OA4,"")</f>
        <v/>
      </c>
      <c r="OQ4" s="40" t="str">
        <f t="shared" ref="OQ4:OQ34" si="171">IF(SUM(NX4:OA4)-OB4&gt;0,SUM(NX4:OA4)-OB4,"")</f>
        <v/>
      </c>
      <c r="OR4" s="40" t="str">
        <f t="shared" ref="OR4:OR34" si="172">IF(OE4&gt;0,OE4,"")</f>
        <v/>
      </c>
      <c r="OS4" s="40" t="str">
        <f t="shared" ref="OS4:OS34" si="173">IF(OF4&gt;0,OF4,"")</f>
        <v/>
      </c>
      <c r="OT4" s="40" t="str">
        <f t="shared" ref="OT4:OT34" si="174">IF(SUM(OC4:OF4)-OG4&gt;0,SUM(OC4:OF4)-OG4,"")</f>
        <v/>
      </c>
      <c r="OU4" s="40" t="str">
        <f t="shared" ref="OU4:OU34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4" si="176">IF(OX4&gt;0,OX4,"")</f>
        <v/>
      </c>
      <c r="PQ4" s="11" t="str">
        <f t="shared" ref="PQ4:PQ34" si="177">IF(OY4&gt;0,OY4,"")</f>
        <v/>
      </c>
      <c r="PR4" s="11" t="str">
        <f t="shared" ref="PR4:PR34" si="178">IF(SUM(OV4:OY4)-OZ4&gt;0,SUM(OV4:OY4)-OZ4,"")</f>
        <v/>
      </c>
      <c r="PS4" s="11" t="str">
        <f t="shared" ref="PS4:PS34" si="179">IF(PC4&gt;0,PC4,"")</f>
        <v/>
      </c>
      <c r="PT4" s="11" t="str">
        <f t="shared" ref="PT4:PT34" si="180">IF(PD4&gt;0,PD4,"")</f>
        <v/>
      </c>
      <c r="PU4" s="11" t="str">
        <f t="shared" ref="PU4:PU34" si="181">IF(SUM(PA4:PD4)-PE4&gt;0,SUM(PA4:PD4)-PE4,"")</f>
        <v/>
      </c>
      <c r="PV4" s="11" t="str">
        <f t="shared" ref="PV4:PV34" si="182">IF(MAX(PR4,PU4)&gt;0,MAX(PR4,PU4),"")</f>
        <v/>
      </c>
      <c r="PW4" s="11" t="str">
        <f t="shared" ref="PW4:PW34" si="183">IF(PH4&gt;0,PH4,"")</f>
        <v/>
      </c>
      <c r="PX4" s="11" t="str">
        <f t="shared" ref="PX4:PX34" si="184">IF(PI4&gt;0,PI4,"")</f>
        <v/>
      </c>
      <c r="PY4" s="11" t="str">
        <f t="shared" ref="PY4:PY34" si="185">IF(SUM(PF4:PI4)-PJ4&gt;0,SUM(PF4:PI4)-PJ4,"")</f>
        <v/>
      </c>
      <c r="PZ4" s="11" t="str">
        <f t="shared" ref="PZ4:PZ34" si="186">IF(PM4&gt;0,PM4,"")</f>
        <v/>
      </c>
      <c r="QA4" s="11" t="str">
        <f t="shared" ref="QA4:QA34" si="187">IF(PN4&gt;0,PN4,"")</f>
        <v/>
      </c>
      <c r="QB4" s="11" t="str">
        <f t="shared" ref="QB4:QB34" si="188">IF(SUM(PK4:PN4)-PO4&gt;0,SUM(PK4:PN4)-PO4,"")</f>
        <v/>
      </c>
      <c r="QC4" s="11" t="str">
        <f t="shared" ref="QC4:QC34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4" si="190">IF(QF4&gt;0,QF4,"")</f>
        <v/>
      </c>
      <c r="QY4" s="40" t="str">
        <f t="shared" ref="QY4:QY34" si="191">IF(QG4&gt;0,QG4,"")</f>
        <v/>
      </c>
      <c r="QZ4" s="40" t="str">
        <f t="shared" ref="QZ4:QZ34" si="192">IF(SUM(QD4:QG4)-QH4&gt;0,SUM(QD4:QG4)-QH4,"")</f>
        <v/>
      </c>
      <c r="RA4" s="40" t="str">
        <f t="shared" ref="RA4:RA34" si="193">IF(QK4&gt;0,QK4,"")</f>
        <v/>
      </c>
      <c r="RB4" s="40" t="str">
        <f t="shared" ref="RB4:RB34" si="194">IF(QL4&gt;0,QL4,"")</f>
        <v/>
      </c>
      <c r="RC4" s="40" t="str">
        <f t="shared" ref="RC4:RC34" si="195">IF(SUM(QI4:QL4)-QM4&gt;0,SUM(QI4:QL4)-QM4,"")</f>
        <v/>
      </c>
      <c r="RD4" s="40" t="str">
        <f t="shared" ref="RD4:RD34" si="196">IF(MAX(QZ4,RC4)&gt;0,MAX(QZ4,RC4),"")</f>
        <v/>
      </c>
      <c r="RE4" s="40" t="str">
        <f t="shared" ref="RE4:RE34" si="197">IF(QP4&gt;0,QP4,"")</f>
        <v/>
      </c>
      <c r="RF4" s="40" t="str">
        <f t="shared" ref="RF4:RF34" si="198">IF(QQ4&gt;0,QQ4,"")</f>
        <v/>
      </c>
      <c r="RG4" s="40" t="str">
        <f t="shared" ref="RG4:RG34" si="199">IF(SUM(QN4:QQ4)-QR4&gt;0,SUM(QN4:QQ4)-QR4,"")</f>
        <v/>
      </c>
      <c r="RH4" s="40" t="str">
        <f t="shared" ref="RH4:RH34" si="200">IF(QU4&gt;0,QU4,"")</f>
        <v/>
      </c>
      <c r="RI4" s="40" t="str">
        <f t="shared" ref="RI4:RI34" si="201">IF(QV4&gt;0,QV4,"")</f>
        <v/>
      </c>
      <c r="RJ4" s="40" t="str">
        <f t="shared" ref="RJ4:RJ34" si="202">IF(SUM(QS4:QV4)-QW4&gt;0,SUM(QS4:QV4)-QW4,"")</f>
        <v/>
      </c>
      <c r="RK4" s="40" t="str">
        <f t="shared" ref="RK4:RK34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4" si="204">IF(RN4&gt;0,RN4,"")</f>
        <v/>
      </c>
      <c r="SG4" s="11" t="str">
        <f t="shared" ref="SG4:SG34" si="205">IF(RO4&gt;0,RO4,"")</f>
        <v/>
      </c>
      <c r="SH4" s="11" t="str">
        <f t="shared" ref="SH4:SH34" si="206">IF(SUM(RL4:RO4)-RP4&gt;0,SUM(RL4:RO4)-RP4,"")</f>
        <v/>
      </c>
      <c r="SI4" s="11" t="str">
        <f t="shared" ref="SI4:SI34" si="207">IF(RS4&gt;0,RS4,"")</f>
        <v/>
      </c>
      <c r="SJ4" s="11" t="str">
        <f t="shared" ref="SJ4:SJ34" si="208">IF(RT4&gt;0,RT4,"")</f>
        <v/>
      </c>
      <c r="SK4" s="11" t="str">
        <f t="shared" ref="SK4:SK34" si="209">IF(SUM(RQ4:RT4)-RU4&gt;0,SUM(RQ4:RT4)-RU4,"")</f>
        <v/>
      </c>
      <c r="SL4" s="11" t="str">
        <f t="shared" ref="SL4:SL34" si="210">IF(MAX(SH4,SK4)&gt;0,MAX(SH4,SK4),"")</f>
        <v/>
      </c>
      <c r="SM4" s="11" t="str">
        <f t="shared" ref="SM4:SM34" si="211">IF(RX4&gt;0,RX4,"")</f>
        <v/>
      </c>
      <c r="SN4" s="11" t="str">
        <f t="shared" ref="SN4:SN34" si="212">IF(RY4&gt;0,RY4,"")</f>
        <v/>
      </c>
      <c r="SO4" s="11" t="str">
        <f t="shared" ref="SO4:SO34" si="213">IF(SUM(RV4:RY4)-RZ4&gt;0,SUM(RV4:RY4)-RZ4,"")</f>
        <v/>
      </c>
      <c r="SP4" s="11" t="str">
        <f t="shared" ref="SP4:SP34" si="214">IF(SC4&gt;0,SC4,"")</f>
        <v/>
      </c>
      <c r="SQ4" s="11" t="str">
        <f t="shared" ref="SQ4:SQ34" si="215">IF(SD4&gt;0,SD4,"")</f>
        <v/>
      </c>
      <c r="SR4" s="11" t="str">
        <f t="shared" ref="SR4:SR34" si="216">IF(SUM(SA4:SD4)-SE4&gt;0,SUM(SA4:SD4)-SE4,"")</f>
        <v/>
      </c>
      <c r="SS4" s="11" t="str">
        <f t="shared" ref="SS4:SS34" si="217">IF(SUM(SL4,SR4)&gt;0,SUM(SL4,SR4),"")</f>
        <v/>
      </c>
      <c r="ST4" s="22">
        <f t="shared" ref="ST4:ST34" si="218">IF($CN4="P",BY4,(BY4+AX4)/2)</f>
        <v>14.309999999999999</v>
      </c>
      <c r="SU4" s="22">
        <f t="shared" ref="SU4:SU34" si="219">IF($CN4="P",BZ4,(BZ4+AY4)/2)</f>
        <v>9</v>
      </c>
      <c r="SV4" s="22">
        <f t="shared" ref="SV4:SV34" si="220">IF($CN4="P",CA4,(CA4+AZ4)/2)</f>
        <v>15.3</v>
      </c>
      <c r="SW4" s="22">
        <f t="shared" ref="SW4:SW34" si="221">IF($CN4="P",CB4,(CB4+BA4)/2)</f>
        <v>15.870000000000001</v>
      </c>
      <c r="SX4" s="22">
        <f t="shared" ref="SX4:SX34" si="222">IF($CN4="P",CC4,(CC4+BB4)/2)</f>
        <v>0.1</v>
      </c>
      <c r="SY4" s="22">
        <f t="shared" ref="SY4:SY34" si="223">IF($CN4="P",CD4,(CD4+BC4)/2)</f>
        <v>10.75</v>
      </c>
      <c r="SZ4" s="22">
        <f t="shared" ref="SZ4:SZ34" si="224">IF($CN4="P",CE4,(CE4+BD4)/2)</f>
        <v>6.9</v>
      </c>
      <c r="TA4" s="22">
        <f t="shared" ref="TA4:TA34" si="225">IF($CN4="P",CF4,(CF4+BE4)/2)</f>
        <v>12.2</v>
      </c>
      <c r="TB4" s="22">
        <f t="shared" ref="TB4:TB34" si="226">IF($CN4="P",CG4,(CG4+BF4)/2)</f>
        <v>12.125</v>
      </c>
      <c r="TC4" s="22">
        <f t="shared" ref="TC4:TC34" si="227">IF($CN4="P",CH4,(CH4+BG4)/2)</f>
        <v>0</v>
      </c>
      <c r="TD4" s="22">
        <f t="shared" ref="TD4:TD34" si="228">IF($CN4="P",CI4,(CI4+BH4)/2)</f>
        <v>14.35</v>
      </c>
      <c r="TE4" s="22">
        <f t="shared" ref="TE4:TE34" si="229">IF($CN4="P",CJ4,(CJ4+BI4)/2)</f>
        <v>8.9</v>
      </c>
      <c r="TF4" s="22">
        <f t="shared" ref="TF4:TF34" si="230">IF($CN4="P",CK4,(CK4+BJ4)/2)</f>
        <v>15.3</v>
      </c>
      <c r="TG4" s="22">
        <f t="shared" ref="TG4:TG34" si="231">IF($CN4="P",CL4,(CL4+BK4)/2)</f>
        <v>16.045000000000002</v>
      </c>
      <c r="TH4" s="22">
        <f t="shared" ref="TH4:TH34" si="232">IF($CN4="P",CM4,(CM4+BL4)/2)</f>
        <v>0</v>
      </c>
      <c r="TI4" s="27" t="s">
        <v>46</v>
      </c>
      <c r="TJ4" s="40">
        <f t="shared" ref="TJ4:TJ34" si="233">IF(SV4&gt;0,SV4,"")</f>
        <v>15.3</v>
      </c>
      <c r="TK4" s="40">
        <f t="shared" ref="TK4:TK34" si="234">IF(SW4&gt;0,SW4,"")</f>
        <v>15.870000000000001</v>
      </c>
      <c r="TL4" s="40">
        <f t="shared" ref="TL4:TL34" si="235">IF(SUM(ST4:SW4)-SX4&gt;0,SUM(ST4:SW4)-SX4,"")</f>
        <v>54.38</v>
      </c>
      <c r="TM4" s="40">
        <f t="shared" ref="TM4:TM34" si="236">IF(TA4&gt;0,TA4,"")</f>
        <v>12.2</v>
      </c>
      <c r="TN4" s="40">
        <f t="shared" ref="TN4:TN34" si="237">IF(TB4&gt;0,TB4,"")</f>
        <v>12.125</v>
      </c>
      <c r="TO4" s="40">
        <f t="shared" ref="TO4:TO34" si="238">IF(SUM(SY4:TB4)-TC4&gt;0,SUM(SY4:TB4)-TC4,"")</f>
        <v>41.974999999999994</v>
      </c>
      <c r="TP4" s="40">
        <f t="shared" ref="TP4:TP34" si="239">IF(MAX(TL4,TO4)&gt;0,MAX(TL4,TO4),"")</f>
        <v>54.38</v>
      </c>
      <c r="TQ4" s="40">
        <f t="shared" ref="TQ4:TQ34" si="240">IF(TF4&gt;0,TF4,"")</f>
        <v>15.3</v>
      </c>
      <c r="TR4" s="40">
        <f t="shared" ref="TR4:TR34" si="241">IF(TG4&gt;0,TG4,"")</f>
        <v>16.045000000000002</v>
      </c>
      <c r="TS4" s="40">
        <f t="shared" ref="TS4:TS34" si="242">IF(SUM(TD4:TG4)-TH4&gt;0,SUM(TD4:TG4)-TH4,"")</f>
        <v>54.594999999999999</v>
      </c>
      <c r="TT4" s="40">
        <f t="shared" ref="TT4:TT34" si="243"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116</v>
      </c>
      <c r="C5" s="4" t="s">
        <v>115</v>
      </c>
      <c r="D5" s="4">
        <v>2004</v>
      </c>
      <c r="E5" s="9">
        <f t="shared" si="0"/>
        <v>191.74001911200548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54.769999999999996</v>
      </c>
      <c r="K5" s="8" t="str">
        <f t="shared" si="5"/>
        <v>2023 Elite Canada</v>
      </c>
      <c r="L5" s="8">
        <f>IF(COUNT(AO5,AR5,BP5,BS5,CQ5,CT5)&gt;1,LARGE((AO5,AR5,BP5,BS5,CQ5,CT5),2),0)</f>
        <v>52.91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 t="shared" si="7"/>
        <v>2022 Nationals</v>
      </c>
      <c r="P5" s="8">
        <f t="shared" si="8"/>
        <v>13.8</v>
      </c>
      <c r="Q5" s="8" t="str">
        <f t="shared" si="9"/>
        <v>2023 Pan Am Club Championships (May 14)</v>
      </c>
      <c r="R5" s="8">
        <f t="shared" si="10"/>
        <v>15.97</v>
      </c>
      <c r="S5" s="8" t="str">
        <f t="shared" si="11"/>
        <v>2023 Elite Canada</v>
      </c>
      <c r="T5" s="8">
        <f t="shared" si="12"/>
        <v>0.62000000000000455</v>
      </c>
      <c r="U5" s="11" t="str">
        <f t="shared" si="13"/>
        <v>(Optional)</v>
      </c>
      <c r="V5" s="8" t="str">
        <f t="shared" si="14"/>
        <v>2023 Pan Am Club Championships (May 14)</v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 t="shared" si="15"/>
        <v>13.6</v>
      </c>
      <c r="AN5" s="38">
        <f t="shared" si="16"/>
        <v>15.61</v>
      </c>
      <c r="AO5" s="40">
        <f t="shared" si="17"/>
        <v>52.91</v>
      </c>
      <c r="AP5" s="40">
        <f t="shared" si="18"/>
        <v>12.3</v>
      </c>
      <c r="AQ5" s="40">
        <f t="shared" si="19"/>
        <v>16.18</v>
      </c>
      <c r="AR5" s="40">
        <f t="shared" si="20"/>
        <v>47.98</v>
      </c>
      <c r="AS5" s="40">
        <f t="shared" si="21"/>
        <v>52.91</v>
      </c>
      <c r="AT5" s="40">
        <f t="shared" si="22"/>
        <v>13.6</v>
      </c>
      <c r="AU5" s="40">
        <f t="shared" si="23"/>
        <v>15.97</v>
      </c>
      <c r="AV5" s="40">
        <f t="shared" si="24"/>
        <v>53.67</v>
      </c>
      <c r="AW5" s="40">
        <f t="shared" si="25"/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 t="shared" si="26"/>
        <v>2</v>
      </c>
      <c r="BO5" s="39">
        <f t="shared" si="27"/>
        <v>1.81</v>
      </c>
      <c r="BP5" s="11">
        <f t="shared" si="28"/>
        <v>6.3100000000000005</v>
      </c>
      <c r="BQ5" s="11">
        <f t="shared" si="29"/>
        <v>5.5</v>
      </c>
      <c r="BR5" s="11">
        <f t="shared" si="30"/>
        <v>7.01</v>
      </c>
      <c r="BS5" s="11">
        <f t="shared" si="31"/>
        <v>22.11</v>
      </c>
      <c r="BT5" s="11">
        <f t="shared" si="32"/>
        <v>22.11</v>
      </c>
      <c r="BU5" s="11" t="str">
        <f t="shared" si="33"/>
        <v/>
      </c>
      <c r="BV5" s="11" t="str">
        <f t="shared" si="34"/>
        <v/>
      </c>
      <c r="BW5" s="11" t="str">
        <f t="shared" si="35"/>
        <v/>
      </c>
      <c r="BX5" s="11">
        <f t="shared" si="36"/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 t="shared" si="37"/>
        <v>10.7</v>
      </c>
      <c r="CP5" s="38">
        <f t="shared" si="38"/>
        <v>12.55</v>
      </c>
      <c r="CQ5" s="40">
        <f t="shared" si="39"/>
        <v>43.65</v>
      </c>
      <c r="CR5" s="40">
        <f t="shared" si="40"/>
        <v>13.4</v>
      </c>
      <c r="CS5" s="40">
        <f t="shared" si="41"/>
        <v>15.97</v>
      </c>
      <c r="CT5" s="40">
        <f t="shared" si="42"/>
        <v>54.769999999999996</v>
      </c>
      <c r="CU5" s="40">
        <f t="shared" si="43"/>
        <v>54.769999999999996</v>
      </c>
      <c r="CV5" s="40">
        <f t="shared" si="44"/>
        <v>13.4</v>
      </c>
      <c r="CW5" s="40">
        <f t="shared" si="45"/>
        <v>15.87</v>
      </c>
      <c r="CX5" s="40">
        <f t="shared" si="46"/>
        <v>52.769999999999996</v>
      </c>
      <c r="CY5" s="40">
        <f t="shared" si="47"/>
        <v>107.53999999999999</v>
      </c>
      <c r="CZ5" s="50">
        <f t="shared" si="48"/>
        <v>0.62000000000000455</v>
      </c>
      <c r="DA5" s="50" t="str">
        <f t="shared" si="49"/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2</v>
      </c>
      <c r="DZ5" s="40">
        <f t="shared" si="54"/>
        <v>1.76</v>
      </c>
      <c r="EA5" s="40">
        <f t="shared" si="55"/>
        <v>5.56</v>
      </c>
      <c r="EB5" s="40">
        <f t="shared" si="56"/>
        <v>5.56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 t="shared" si="64"/>
        <v>12.3</v>
      </c>
      <c r="FE5" s="11">
        <f t="shared" si="65"/>
        <v>15.58</v>
      </c>
      <c r="FF5" s="11">
        <f t="shared" si="66"/>
        <v>50.58</v>
      </c>
      <c r="FG5" s="11">
        <f t="shared" si="67"/>
        <v>13.8</v>
      </c>
      <c r="FH5" s="11">
        <f t="shared" si="68"/>
        <v>15.83</v>
      </c>
      <c r="FI5" s="11">
        <f t="shared" si="69"/>
        <v>53.53</v>
      </c>
      <c r="FJ5" s="11">
        <f t="shared" si="70"/>
        <v>53.53</v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>
        <f t="shared" si="74"/>
        <v>13.8</v>
      </c>
      <c r="FO5" s="11">
        <f t="shared" si="75"/>
        <v>15.76</v>
      </c>
      <c r="FP5" s="11">
        <f t="shared" si="76"/>
        <v>53.46</v>
      </c>
      <c r="FQ5" s="11">
        <f t="shared" si="77"/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6.85</v>
      </c>
      <c r="SU5" s="22">
        <f t="shared" si="219"/>
        <v>4.5999999999999996</v>
      </c>
      <c r="SV5" s="22">
        <f t="shared" si="220"/>
        <v>6.35</v>
      </c>
      <c r="SW5" s="22">
        <f t="shared" si="221"/>
        <v>7.1800000000000006</v>
      </c>
      <c r="SX5" s="22">
        <f t="shared" si="222"/>
        <v>0</v>
      </c>
      <c r="SY5" s="22">
        <f t="shared" si="223"/>
        <v>10.9</v>
      </c>
      <c r="SZ5" s="22">
        <f t="shared" si="224"/>
        <v>6.65</v>
      </c>
      <c r="TA5" s="22">
        <f t="shared" si="225"/>
        <v>9.4499999999999993</v>
      </c>
      <c r="TB5" s="22">
        <f t="shared" si="226"/>
        <v>11.49</v>
      </c>
      <c r="TC5" s="22">
        <f t="shared" si="227"/>
        <v>0.05</v>
      </c>
      <c r="TD5" s="22">
        <f t="shared" si="228"/>
        <v>7.35</v>
      </c>
      <c r="TE5" s="22">
        <f t="shared" si="229"/>
        <v>4.45</v>
      </c>
      <c r="TF5" s="22">
        <f t="shared" si="230"/>
        <v>6.7</v>
      </c>
      <c r="TG5" s="22">
        <f t="shared" si="231"/>
        <v>7.9349999999999996</v>
      </c>
      <c r="TH5" s="22">
        <f t="shared" si="232"/>
        <v>0.05</v>
      </c>
      <c r="TI5" s="27" t="s">
        <v>46</v>
      </c>
      <c r="TJ5" s="40">
        <f t="shared" si="233"/>
        <v>6.35</v>
      </c>
      <c r="TK5" s="40">
        <f t="shared" si="234"/>
        <v>7.1800000000000006</v>
      </c>
      <c r="TL5" s="40">
        <f t="shared" si="235"/>
        <v>24.979999999999997</v>
      </c>
      <c r="TM5" s="40">
        <f t="shared" si="236"/>
        <v>9.4499999999999993</v>
      </c>
      <c r="TN5" s="40">
        <f t="shared" si="237"/>
        <v>11.49</v>
      </c>
      <c r="TO5" s="40">
        <f t="shared" si="238"/>
        <v>38.440000000000005</v>
      </c>
      <c r="TP5" s="40">
        <f t="shared" si="239"/>
        <v>38.440000000000005</v>
      </c>
      <c r="TQ5" s="40">
        <f t="shared" si="240"/>
        <v>6.7</v>
      </c>
      <c r="TR5" s="40">
        <f t="shared" si="241"/>
        <v>7.9349999999999996</v>
      </c>
      <c r="TS5" s="40">
        <f t="shared" si="242"/>
        <v>26.384999999999998</v>
      </c>
      <c r="TT5" s="40">
        <f t="shared" si="243"/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 t="shared" si="0"/>
        <v>190.81001897900541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53.98</v>
      </c>
      <c r="K6" s="8" t="str">
        <f t="shared" si="5"/>
        <v>2023 Elite Canada</v>
      </c>
      <c r="L6" s="8">
        <f>IF(COUNT(AO6,AR6,BP6,BS6,CQ6,CT6)&gt;1,LARGE((AO6,AR6,BP6,BS6,CQ6,CT6),2),0)</f>
        <v>53.21</v>
      </c>
      <c r="M6" s="8" t="str">
        <f t="shared" si="6"/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 t="shared" si="7"/>
        <v>2022 3rd Domestic Trial</v>
      </c>
      <c r="P6" s="8">
        <f t="shared" si="8"/>
        <v>14.4</v>
      </c>
      <c r="Q6" s="8" t="str">
        <f t="shared" si="9"/>
        <v>2023 Elite Canada</v>
      </c>
      <c r="R6" s="8">
        <f t="shared" si="10"/>
        <v>15.05</v>
      </c>
      <c r="S6" s="8" t="str">
        <f t="shared" si="11"/>
        <v>2022 3rd Domestic Trial</v>
      </c>
      <c r="T6" s="8">
        <f t="shared" si="12"/>
        <v>1.0199999999999889</v>
      </c>
      <c r="U6" s="11" t="str">
        <f t="shared" si="13"/>
        <v>(Optional)</v>
      </c>
      <c r="V6" s="8" t="str">
        <f t="shared" si="14"/>
        <v>2023 Pan Am Club Championships (May 14)</v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 t="shared" si="15"/>
        <v>4.4000000000000004</v>
      </c>
      <c r="AN6" s="38">
        <f t="shared" si="16"/>
        <v>4.54</v>
      </c>
      <c r="AO6" s="40">
        <f t="shared" si="17"/>
        <v>15.84</v>
      </c>
      <c r="AP6" s="40">
        <f t="shared" si="18"/>
        <v>13.5</v>
      </c>
      <c r="AQ6" s="40">
        <f t="shared" si="19"/>
        <v>14.46</v>
      </c>
      <c r="AR6" s="40">
        <f t="shared" si="20"/>
        <v>51.86</v>
      </c>
      <c r="AS6" s="40">
        <f t="shared" si="21"/>
        <v>51.86</v>
      </c>
      <c r="AT6" s="40">
        <f t="shared" si="22"/>
        <v>13.5</v>
      </c>
      <c r="AU6" s="40">
        <f t="shared" si="23"/>
        <v>14.37</v>
      </c>
      <c r="AV6" s="40">
        <f t="shared" si="24"/>
        <v>52.069999999999993</v>
      </c>
      <c r="AW6" s="40">
        <f t="shared" si="25"/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 t="shared" si="26"/>
        <v>13.5</v>
      </c>
      <c r="BO6" s="39">
        <f t="shared" si="27"/>
        <v>15.05</v>
      </c>
      <c r="BP6" s="11">
        <f t="shared" si="28"/>
        <v>53.150000000000006</v>
      </c>
      <c r="BQ6" s="11">
        <f t="shared" si="29"/>
        <v>12.3</v>
      </c>
      <c r="BR6" s="11">
        <f t="shared" si="30"/>
        <v>14.56</v>
      </c>
      <c r="BS6" s="11">
        <f t="shared" si="31"/>
        <v>48.66</v>
      </c>
      <c r="BT6" s="11">
        <f t="shared" si="32"/>
        <v>53.150000000000006</v>
      </c>
      <c r="BU6" s="11">
        <f t="shared" si="33"/>
        <v>5.8</v>
      </c>
      <c r="BV6" s="11">
        <f t="shared" si="34"/>
        <v>6</v>
      </c>
      <c r="BW6" s="11">
        <f t="shared" si="35"/>
        <v>21.5</v>
      </c>
      <c r="BX6" s="11">
        <f t="shared" si="36"/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 t="shared" si="37"/>
        <v>14.4</v>
      </c>
      <c r="CP6" s="38">
        <f t="shared" si="38"/>
        <v>14.78</v>
      </c>
      <c r="CQ6" s="40">
        <f t="shared" si="39"/>
        <v>53.98</v>
      </c>
      <c r="CR6" s="40">
        <f t="shared" si="40"/>
        <v>14.2</v>
      </c>
      <c r="CS6" s="40">
        <f t="shared" si="41"/>
        <v>14.51</v>
      </c>
      <c r="CT6" s="40">
        <f t="shared" si="42"/>
        <v>53.21</v>
      </c>
      <c r="CU6" s="40">
        <f t="shared" si="43"/>
        <v>53.98</v>
      </c>
      <c r="CV6" s="40">
        <f t="shared" si="44"/>
        <v>6.1</v>
      </c>
      <c r="CW6" s="40">
        <f t="shared" si="45"/>
        <v>6.26</v>
      </c>
      <c r="CX6" s="40">
        <f t="shared" si="46"/>
        <v>22.559999999999995</v>
      </c>
      <c r="CY6" s="40">
        <f t="shared" si="47"/>
        <v>76.539999999999992</v>
      </c>
      <c r="CZ6" s="50">
        <f t="shared" si="48"/>
        <v>1.0199999999999889</v>
      </c>
      <c r="DA6" s="50">
        <f t="shared" si="49"/>
        <v>0.14999999999999147</v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13.3</v>
      </c>
      <c r="DZ6" s="40">
        <f t="shared" si="54"/>
        <v>15.04</v>
      </c>
      <c r="EA6" s="40">
        <f t="shared" si="55"/>
        <v>51.839999999999996</v>
      </c>
      <c r="EB6" s="40">
        <f t="shared" si="56"/>
        <v>51.839999999999996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 t="shared" si="64"/>
        <v>14.4</v>
      </c>
      <c r="FE6" s="11">
        <f t="shared" si="65"/>
        <v>14.7</v>
      </c>
      <c r="FF6" s="11">
        <f t="shared" si="66"/>
        <v>53.8</v>
      </c>
      <c r="FG6" s="11">
        <f t="shared" si="67"/>
        <v>14.4</v>
      </c>
      <c r="FH6" s="11">
        <f t="shared" si="68"/>
        <v>14.97</v>
      </c>
      <c r="FI6" s="11">
        <f t="shared" si="69"/>
        <v>54.169999999999995</v>
      </c>
      <c r="FJ6" s="11">
        <f t="shared" si="70"/>
        <v>54.169999999999995</v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>
        <f t="shared" si="74"/>
        <v>14.4</v>
      </c>
      <c r="FO6" s="11">
        <f t="shared" si="75"/>
        <v>14.8</v>
      </c>
      <c r="FP6" s="11">
        <f t="shared" si="76"/>
        <v>53.3</v>
      </c>
      <c r="FQ6" s="11">
        <f t="shared" si="77"/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15.55</v>
      </c>
      <c r="SU6" s="22">
        <f t="shared" si="219"/>
        <v>9.1499999999999986</v>
      </c>
      <c r="SV6" s="22">
        <f t="shared" si="220"/>
        <v>13.95</v>
      </c>
      <c r="SW6" s="22">
        <f t="shared" si="221"/>
        <v>14.914999999999999</v>
      </c>
      <c r="SX6" s="22">
        <f t="shared" si="222"/>
        <v>0</v>
      </c>
      <c r="SY6" s="22">
        <f t="shared" si="223"/>
        <v>14.5</v>
      </c>
      <c r="SZ6" s="22">
        <f t="shared" si="224"/>
        <v>9.25</v>
      </c>
      <c r="TA6" s="22">
        <f t="shared" si="225"/>
        <v>13.25</v>
      </c>
      <c r="TB6" s="22">
        <f t="shared" si="226"/>
        <v>14.535</v>
      </c>
      <c r="TC6" s="22">
        <f t="shared" si="227"/>
        <v>0.6</v>
      </c>
      <c r="TD6" s="22">
        <f t="shared" si="228"/>
        <v>6.3</v>
      </c>
      <c r="TE6" s="22">
        <f t="shared" si="229"/>
        <v>3.6500000000000004</v>
      </c>
      <c r="TF6" s="22">
        <f t="shared" si="230"/>
        <v>5.9499999999999993</v>
      </c>
      <c r="TG6" s="22">
        <f t="shared" si="231"/>
        <v>6.13</v>
      </c>
      <c r="TH6" s="22">
        <f t="shared" si="232"/>
        <v>0</v>
      </c>
      <c r="TI6" s="27" t="s">
        <v>46</v>
      </c>
      <c r="TJ6" s="40">
        <f t="shared" si="233"/>
        <v>13.95</v>
      </c>
      <c r="TK6" s="40">
        <f t="shared" si="234"/>
        <v>14.914999999999999</v>
      </c>
      <c r="TL6" s="40">
        <f t="shared" si="235"/>
        <v>53.564999999999998</v>
      </c>
      <c r="TM6" s="40">
        <f t="shared" si="236"/>
        <v>13.25</v>
      </c>
      <c r="TN6" s="40">
        <f t="shared" si="237"/>
        <v>14.535</v>
      </c>
      <c r="TO6" s="40">
        <f t="shared" si="238"/>
        <v>50.934999999999995</v>
      </c>
      <c r="TP6" s="40">
        <f t="shared" si="239"/>
        <v>53.564999999999998</v>
      </c>
      <c r="TQ6" s="40">
        <f t="shared" si="240"/>
        <v>5.9499999999999993</v>
      </c>
      <c r="TR6" s="40">
        <f t="shared" si="241"/>
        <v>6.13</v>
      </c>
      <c r="TS6" s="40">
        <f t="shared" si="242"/>
        <v>22.029999999999998</v>
      </c>
      <c r="TT6" s="40">
        <f t="shared" si="243"/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 t="shared" si="0"/>
        <v>187.23001868600528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52.599999999999994</v>
      </c>
      <c r="K7" s="8" t="str">
        <f t="shared" si="5"/>
        <v>2023 Elite Canada</v>
      </c>
      <c r="L7" s="8">
        <f>IF(COUNT(AO7,AR7,BP7,BS7,CQ7,CT7)&gt;1,LARGE((AO7,AR7,BP7,BS7,CQ7,CT7),2),0)</f>
        <v>51.78</v>
      </c>
      <c r="M7" s="8" t="str">
        <f t="shared" si="6"/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 t="shared" si="7"/>
        <v>2023 Elite Canada</v>
      </c>
      <c r="P7" s="8">
        <f t="shared" si="8"/>
        <v>13.5</v>
      </c>
      <c r="Q7" s="8" t="str">
        <f t="shared" si="9"/>
        <v>2023 Elite Canada</v>
      </c>
      <c r="R7" s="8">
        <f t="shared" si="10"/>
        <v>15.14</v>
      </c>
      <c r="S7" s="8" t="str">
        <f t="shared" si="11"/>
        <v>2023 Elite Canada</v>
      </c>
      <c r="T7" s="8">
        <f t="shared" si="12"/>
        <v>0.36999999999999744</v>
      </c>
      <c r="U7" s="11" t="str">
        <f t="shared" si="13"/>
        <v>(Optional)</v>
      </c>
      <c r="V7" s="8" t="str">
        <f t="shared" si="14"/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 t="shared" si="15"/>
        <v>13.5</v>
      </c>
      <c r="AN7" s="38">
        <f t="shared" si="16"/>
        <v>14.2</v>
      </c>
      <c r="AO7" s="40">
        <f t="shared" si="17"/>
        <v>51.5</v>
      </c>
      <c r="AP7" s="40">
        <f t="shared" si="18"/>
        <v>13.5</v>
      </c>
      <c r="AQ7" s="40">
        <f t="shared" si="19"/>
        <v>14.28</v>
      </c>
      <c r="AR7" s="40">
        <f t="shared" si="20"/>
        <v>51.78</v>
      </c>
      <c r="AS7" s="40">
        <f t="shared" si="21"/>
        <v>51.78</v>
      </c>
      <c r="AT7" s="40">
        <f t="shared" si="22"/>
        <v>13.3</v>
      </c>
      <c r="AU7" s="40">
        <f t="shared" si="23"/>
        <v>14.1</v>
      </c>
      <c r="AV7" s="40">
        <f t="shared" si="24"/>
        <v>49.300000000000004</v>
      </c>
      <c r="AW7" s="40">
        <f t="shared" si="25"/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 t="shared" si="26"/>
        <v>1.7</v>
      </c>
      <c r="BO7" s="39">
        <f t="shared" si="27"/>
        <v>1.65</v>
      </c>
      <c r="BP7" s="11">
        <f t="shared" si="28"/>
        <v>5.65</v>
      </c>
      <c r="BQ7" s="11">
        <f t="shared" si="29"/>
        <v>10.8</v>
      </c>
      <c r="BR7" s="11">
        <f t="shared" si="30"/>
        <v>12.28</v>
      </c>
      <c r="BS7" s="11">
        <f t="shared" si="31"/>
        <v>41.28</v>
      </c>
      <c r="BT7" s="11">
        <f t="shared" si="32"/>
        <v>41.28</v>
      </c>
      <c r="BU7" s="11" t="str">
        <f t="shared" si="33"/>
        <v/>
      </c>
      <c r="BV7" s="11" t="str">
        <f t="shared" si="34"/>
        <v/>
      </c>
      <c r="BW7" s="11" t="str">
        <f t="shared" si="35"/>
        <v/>
      </c>
      <c r="BX7" s="11">
        <f t="shared" si="36"/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 t="shared" si="37"/>
        <v>4.4000000000000004</v>
      </c>
      <c r="CP7" s="38">
        <f t="shared" si="38"/>
        <v>4.6900000000000004</v>
      </c>
      <c r="CQ7" s="40">
        <f t="shared" si="39"/>
        <v>16.79</v>
      </c>
      <c r="CR7" s="40">
        <f t="shared" si="40"/>
        <v>13.5</v>
      </c>
      <c r="CS7" s="40">
        <f t="shared" si="41"/>
        <v>14.8</v>
      </c>
      <c r="CT7" s="40">
        <f t="shared" si="42"/>
        <v>52.599999999999994</v>
      </c>
      <c r="CU7" s="40">
        <f t="shared" si="43"/>
        <v>52.599999999999994</v>
      </c>
      <c r="CV7" s="40">
        <f t="shared" si="44"/>
        <v>13.5</v>
      </c>
      <c r="CW7" s="40">
        <f t="shared" si="45"/>
        <v>15.14</v>
      </c>
      <c r="CX7" s="40">
        <f t="shared" si="46"/>
        <v>53.84</v>
      </c>
      <c r="CY7" s="40">
        <f t="shared" si="47"/>
        <v>106.44</v>
      </c>
      <c r="CZ7" s="50">
        <f t="shared" si="48"/>
        <v>0.36999999999999744</v>
      </c>
      <c r="DA7" s="50" t="str">
        <f t="shared" si="49"/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13.5</v>
      </c>
      <c r="DZ7" s="40">
        <f t="shared" si="54"/>
        <v>14.75</v>
      </c>
      <c r="EA7" s="40">
        <f t="shared" si="55"/>
        <v>52.15</v>
      </c>
      <c r="EB7" s="40">
        <f t="shared" si="56"/>
        <v>52.15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3.0999999999999996</v>
      </c>
      <c r="SU7" s="22">
        <f t="shared" si="219"/>
        <v>1.9</v>
      </c>
      <c r="SV7" s="22">
        <f t="shared" si="220"/>
        <v>3.0500000000000003</v>
      </c>
      <c r="SW7" s="22">
        <f t="shared" si="221"/>
        <v>3.17</v>
      </c>
      <c r="SX7" s="22">
        <f t="shared" si="222"/>
        <v>0</v>
      </c>
      <c r="SY7" s="22">
        <f t="shared" si="223"/>
        <v>12.850000000000001</v>
      </c>
      <c r="SZ7" s="22">
        <f t="shared" si="224"/>
        <v>8.4</v>
      </c>
      <c r="TA7" s="22">
        <f t="shared" si="225"/>
        <v>12.15</v>
      </c>
      <c r="TB7" s="22">
        <f t="shared" si="226"/>
        <v>13.54</v>
      </c>
      <c r="TC7" s="22">
        <f t="shared" si="227"/>
        <v>0</v>
      </c>
      <c r="TD7" s="22">
        <f t="shared" si="228"/>
        <v>7.75</v>
      </c>
      <c r="TE7" s="22">
        <f t="shared" si="229"/>
        <v>4.8499999999999996</v>
      </c>
      <c r="TF7" s="22">
        <f t="shared" si="230"/>
        <v>6.75</v>
      </c>
      <c r="TG7" s="22">
        <f t="shared" si="231"/>
        <v>7.57</v>
      </c>
      <c r="TH7" s="22">
        <f t="shared" si="232"/>
        <v>0</v>
      </c>
      <c r="TI7" s="27" t="s">
        <v>46</v>
      </c>
      <c r="TJ7" s="40">
        <f t="shared" si="233"/>
        <v>3.0500000000000003</v>
      </c>
      <c r="TK7" s="40">
        <f t="shared" si="234"/>
        <v>3.17</v>
      </c>
      <c r="TL7" s="40">
        <f t="shared" si="235"/>
        <v>11.22</v>
      </c>
      <c r="TM7" s="40">
        <f t="shared" si="236"/>
        <v>12.15</v>
      </c>
      <c r="TN7" s="40">
        <f t="shared" si="237"/>
        <v>13.54</v>
      </c>
      <c r="TO7" s="40">
        <f t="shared" si="238"/>
        <v>46.94</v>
      </c>
      <c r="TP7" s="40">
        <f t="shared" si="239"/>
        <v>46.94</v>
      </c>
      <c r="TQ7" s="40">
        <f t="shared" si="240"/>
        <v>6.75</v>
      </c>
      <c r="TR7" s="40">
        <f t="shared" si="241"/>
        <v>7.57</v>
      </c>
      <c r="TS7" s="40">
        <f t="shared" si="242"/>
        <v>26.92</v>
      </c>
      <c r="TT7" s="40">
        <f t="shared" si="243"/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204</v>
      </c>
      <c r="C8" s="4" t="s">
        <v>6</v>
      </c>
      <c r="D8" s="4">
        <v>2006</v>
      </c>
      <c r="E8" s="9">
        <f t="shared" si="0"/>
        <v>186.48001846600545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54.68</v>
      </c>
      <c r="K8" s="8" t="str">
        <f t="shared" si="5"/>
        <v>2023 Elite Canada</v>
      </c>
      <c r="L8" s="8">
        <f>IF(COUNT(AO8,AR8,BP8,BS8,CQ8,CT8)&gt;1,LARGE((AO8,AR8,BP8,BS8,CQ8,CT8),2),0)</f>
        <v>50.769999999999996</v>
      </c>
      <c r="M8" s="8" t="str">
        <f t="shared" si="6"/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 t="shared" si="7"/>
        <v>2022 3rd Domestic Trial</v>
      </c>
      <c r="P8" s="8">
        <f t="shared" si="8"/>
        <v>14.4</v>
      </c>
      <c r="Q8" s="8" t="str">
        <f t="shared" si="9"/>
        <v>2023 Elite Canada</v>
      </c>
      <c r="R8" s="8">
        <f t="shared" si="10"/>
        <v>15.58</v>
      </c>
      <c r="S8" s="8" t="str">
        <f t="shared" si="11"/>
        <v>2023 Elite Canada</v>
      </c>
      <c r="T8" s="8">
        <f t="shared" si="12"/>
        <v>1.8200000000000003</v>
      </c>
      <c r="U8" s="11" t="str">
        <f t="shared" si="13"/>
        <v>(Optional)</v>
      </c>
      <c r="V8" s="8" t="str">
        <f t="shared" si="14"/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 t="shared" si="15"/>
        <v/>
      </c>
      <c r="AN8" s="38" t="str">
        <f t="shared" si="16"/>
        <v/>
      </c>
      <c r="AO8" s="40" t="str">
        <f t="shared" si="17"/>
        <v/>
      </c>
      <c r="AP8" s="40">
        <f t="shared" si="18"/>
        <v>12.4</v>
      </c>
      <c r="AQ8" s="40">
        <f t="shared" si="19"/>
        <v>14.87</v>
      </c>
      <c r="AR8" s="40">
        <f t="shared" si="20"/>
        <v>50.769999999999996</v>
      </c>
      <c r="AS8" s="40" t="str">
        <f t="shared" si="21"/>
        <v/>
      </c>
      <c r="AT8" s="40">
        <f t="shared" si="22"/>
        <v>3.2</v>
      </c>
      <c r="AU8" s="40">
        <f t="shared" si="23"/>
        <v>4.7699999999999996</v>
      </c>
      <c r="AV8" s="40">
        <f t="shared" si="24"/>
        <v>15.07</v>
      </c>
      <c r="AW8" s="40">
        <f t="shared" si="25"/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 t="shared" si="26"/>
        <v/>
      </c>
      <c r="BO8" s="39" t="str">
        <f t="shared" si="27"/>
        <v/>
      </c>
      <c r="BP8" s="11" t="str">
        <f t="shared" si="28"/>
        <v/>
      </c>
      <c r="BQ8" s="11">
        <f t="shared" si="29"/>
        <v>12.4</v>
      </c>
      <c r="BR8" s="11">
        <f t="shared" si="30"/>
        <v>15.33</v>
      </c>
      <c r="BS8" s="11">
        <f t="shared" si="31"/>
        <v>49.23</v>
      </c>
      <c r="BT8" s="11" t="str">
        <f t="shared" si="32"/>
        <v/>
      </c>
      <c r="BU8" s="11">
        <f t="shared" si="33"/>
        <v>12.2</v>
      </c>
      <c r="BV8" s="11">
        <f t="shared" si="34"/>
        <v>15.22</v>
      </c>
      <c r="BW8" s="11">
        <f t="shared" si="35"/>
        <v>49.22</v>
      </c>
      <c r="BX8" s="11">
        <f t="shared" si="36"/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 t="shared" si="37"/>
        <v>6.1</v>
      </c>
      <c r="CP8" s="38">
        <f t="shared" si="38"/>
        <v>6.49</v>
      </c>
      <c r="CQ8" s="40">
        <f t="shared" si="39"/>
        <v>21.09</v>
      </c>
      <c r="CR8" s="40">
        <f t="shared" si="40"/>
        <v>14.4</v>
      </c>
      <c r="CS8" s="40">
        <f t="shared" si="41"/>
        <v>15.58</v>
      </c>
      <c r="CT8" s="40">
        <f t="shared" si="42"/>
        <v>54.68</v>
      </c>
      <c r="CU8" s="40">
        <f t="shared" si="43"/>
        <v>54.68</v>
      </c>
      <c r="CV8" s="40">
        <f t="shared" si="44"/>
        <v>3.2</v>
      </c>
      <c r="CW8" s="40">
        <f t="shared" si="45"/>
        <v>3.37</v>
      </c>
      <c r="CX8" s="40">
        <f t="shared" si="46"/>
        <v>11.07</v>
      </c>
      <c r="CY8" s="40">
        <f t="shared" si="47"/>
        <v>65.75</v>
      </c>
      <c r="CZ8" s="50">
        <f t="shared" si="48"/>
        <v>1.8200000000000003</v>
      </c>
      <c r="DA8" s="50" t="str">
        <f t="shared" si="49"/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>
        <f t="shared" si="53"/>
        <v>13.5</v>
      </c>
      <c r="DZ8" s="40">
        <f t="shared" si="54"/>
        <v>14.65</v>
      </c>
      <c r="EA8" s="40">
        <f t="shared" si="55"/>
        <v>51.05</v>
      </c>
      <c r="EB8" s="40">
        <f t="shared" si="56"/>
        <v>51.05</v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>
        <f t="shared" si="63"/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2.5499999999999998</v>
      </c>
      <c r="SU8" s="22">
        <f t="shared" si="219"/>
        <v>1.7</v>
      </c>
      <c r="SV8" s="22">
        <f t="shared" si="220"/>
        <v>3.05</v>
      </c>
      <c r="SW8" s="22">
        <f t="shared" si="221"/>
        <v>3.2450000000000001</v>
      </c>
      <c r="SX8" s="22">
        <f t="shared" si="222"/>
        <v>0</v>
      </c>
      <c r="SY8" s="22">
        <f t="shared" si="223"/>
        <v>14.1</v>
      </c>
      <c r="SZ8" s="22">
        <f t="shared" si="224"/>
        <v>9</v>
      </c>
      <c r="TA8" s="22">
        <f t="shared" si="225"/>
        <v>13.4</v>
      </c>
      <c r="TB8" s="22">
        <f t="shared" si="226"/>
        <v>15.455</v>
      </c>
      <c r="TC8" s="22">
        <f t="shared" si="227"/>
        <v>0</v>
      </c>
      <c r="TD8" s="22">
        <f t="shared" si="228"/>
        <v>7.75</v>
      </c>
      <c r="TE8" s="22">
        <f t="shared" si="229"/>
        <v>5.3999999999999995</v>
      </c>
      <c r="TF8" s="22">
        <f t="shared" si="230"/>
        <v>7.6999999999999993</v>
      </c>
      <c r="TG8" s="22">
        <f t="shared" si="231"/>
        <v>9.2949999999999999</v>
      </c>
      <c r="TH8" s="22">
        <f t="shared" si="232"/>
        <v>0</v>
      </c>
      <c r="TI8" s="27" t="s">
        <v>46</v>
      </c>
      <c r="TJ8" s="40">
        <f t="shared" si="233"/>
        <v>3.05</v>
      </c>
      <c r="TK8" s="40">
        <f t="shared" si="234"/>
        <v>3.2450000000000001</v>
      </c>
      <c r="TL8" s="40">
        <f t="shared" si="235"/>
        <v>10.545</v>
      </c>
      <c r="TM8" s="40">
        <f t="shared" si="236"/>
        <v>13.4</v>
      </c>
      <c r="TN8" s="40">
        <f t="shared" si="237"/>
        <v>15.455</v>
      </c>
      <c r="TO8" s="40">
        <f t="shared" si="238"/>
        <v>51.954999999999998</v>
      </c>
      <c r="TP8" s="40">
        <f t="shared" si="239"/>
        <v>51.954999999999998</v>
      </c>
      <c r="TQ8" s="40">
        <f t="shared" si="240"/>
        <v>7.6999999999999993</v>
      </c>
      <c r="TR8" s="40">
        <f t="shared" si="241"/>
        <v>9.2949999999999999</v>
      </c>
      <c r="TS8" s="40">
        <f t="shared" si="242"/>
        <v>30.144999999999996</v>
      </c>
      <c r="TT8" s="40">
        <f t="shared" si="243"/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137</v>
      </c>
      <c r="C9" s="4" t="s">
        <v>3</v>
      </c>
      <c r="D9" s="4">
        <v>2002</v>
      </c>
      <c r="E9" s="9">
        <f t="shared" si="0"/>
        <v>186.33001863300518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51.78</v>
      </c>
      <c r="K9" s="8" t="str">
        <f t="shared" si="5"/>
        <v>2023 Elite Canada</v>
      </c>
      <c r="L9" s="8">
        <f>IF(COUNT(AO9,AR9,BP9,BS9,CQ9,CT9)&gt;1,LARGE((AO9,AR9,BP9,BS9,CQ9,CT9),2),0)</f>
        <v>51.47</v>
      </c>
      <c r="M9" s="8" t="str">
        <f t="shared" si="6"/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 t="shared" si="7"/>
        <v>2023 Elite Canada</v>
      </c>
      <c r="P9" s="8">
        <f t="shared" si="8"/>
        <v>14.5</v>
      </c>
      <c r="Q9" s="8" t="str">
        <f t="shared" si="9"/>
        <v>2023 Elite Canada</v>
      </c>
      <c r="R9" s="8">
        <f t="shared" si="10"/>
        <v>15.41</v>
      </c>
      <c r="S9" s="8" t="str">
        <f t="shared" si="11"/>
        <v>2022 3rd Domestic Trial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5"/>
        <v/>
      </c>
      <c r="AN9" s="38" t="str">
        <f t="shared" si="16"/>
        <v/>
      </c>
      <c r="AO9" s="40" t="str">
        <f t="shared" si="17"/>
        <v/>
      </c>
      <c r="AP9" s="40" t="str">
        <f t="shared" si="18"/>
        <v/>
      </c>
      <c r="AQ9" s="40" t="str">
        <f t="shared" si="19"/>
        <v/>
      </c>
      <c r="AR9" s="40" t="str">
        <f t="shared" si="20"/>
        <v/>
      </c>
      <c r="AS9" s="40" t="str">
        <f t="shared" si="21"/>
        <v/>
      </c>
      <c r="AT9" s="40" t="str">
        <f t="shared" si="22"/>
        <v/>
      </c>
      <c r="AU9" s="40" t="str">
        <f t="shared" si="23"/>
        <v/>
      </c>
      <c r="AV9" s="40" t="str">
        <f t="shared" si="24"/>
        <v/>
      </c>
      <c r="AW9" s="40" t="str">
        <f t="shared" si="25"/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 t="shared" si="26"/>
        <v>4</v>
      </c>
      <c r="BO9" s="39">
        <f t="shared" si="27"/>
        <v>4.93</v>
      </c>
      <c r="BP9" s="11">
        <f t="shared" si="28"/>
        <v>15.73</v>
      </c>
      <c r="BQ9" s="11">
        <f t="shared" si="29"/>
        <v>13.1</v>
      </c>
      <c r="BR9" s="11">
        <f t="shared" si="30"/>
        <v>15.37</v>
      </c>
      <c r="BS9" s="11">
        <f t="shared" si="31"/>
        <v>51.47</v>
      </c>
      <c r="BT9" s="11">
        <f t="shared" si="32"/>
        <v>51.47</v>
      </c>
      <c r="BU9" s="11">
        <f t="shared" si="33"/>
        <v>13.9</v>
      </c>
      <c r="BV9" s="11">
        <f t="shared" si="34"/>
        <v>15.41</v>
      </c>
      <c r="BW9" s="11">
        <f t="shared" si="35"/>
        <v>50.309999999999995</v>
      </c>
      <c r="BX9" s="11">
        <f t="shared" si="36"/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 t="shared" si="37"/>
        <v>13.5</v>
      </c>
      <c r="CP9" s="38">
        <f t="shared" si="38"/>
        <v>14.79</v>
      </c>
      <c r="CQ9" s="40">
        <f t="shared" si="39"/>
        <v>51.39</v>
      </c>
      <c r="CR9" s="40">
        <f t="shared" si="40"/>
        <v>14.5</v>
      </c>
      <c r="CS9" s="40">
        <f t="shared" si="41"/>
        <v>15.08</v>
      </c>
      <c r="CT9" s="40">
        <f t="shared" si="42"/>
        <v>51.78</v>
      </c>
      <c r="CU9" s="40">
        <f t="shared" si="43"/>
        <v>51.78</v>
      </c>
      <c r="CV9" s="40">
        <f t="shared" si="44"/>
        <v>14.5</v>
      </c>
      <c r="CW9" s="40">
        <f t="shared" si="45"/>
        <v>15.07</v>
      </c>
      <c r="CX9" s="40">
        <f t="shared" si="46"/>
        <v>53.17</v>
      </c>
      <c r="CY9" s="40">
        <f t="shared" si="47"/>
        <v>104.95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9.0500000000000007</v>
      </c>
      <c r="SU9" s="22">
        <f t="shared" si="219"/>
        <v>5.8999999999999995</v>
      </c>
      <c r="SV9" s="22">
        <f t="shared" si="220"/>
        <v>8.75</v>
      </c>
      <c r="SW9" s="22">
        <f t="shared" si="221"/>
        <v>9.86</v>
      </c>
      <c r="SX9" s="22">
        <f t="shared" si="222"/>
        <v>0</v>
      </c>
      <c r="SY9" s="22">
        <f t="shared" si="223"/>
        <v>13.5</v>
      </c>
      <c r="SZ9" s="22">
        <f t="shared" si="224"/>
        <v>9.3000000000000007</v>
      </c>
      <c r="TA9" s="22">
        <f t="shared" si="225"/>
        <v>13.8</v>
      </c>
      <c r="TB9" s="22">
        <f t="shared" si="226"/>
        <v>15.225</v>
      </c>
      <c r="TC9" s="22">
        <f t="shared" si="227"/>
        <v>0.2</v>
      </c>
      <c r="TD9" s="22">
        <f t="shared" si="228"/>
        <v>13.65</v>
      </c>
      <c r="TE9" s="22">
        <f t="shared" si="229"/>
        <v>8.85</v>
      </c>
      <c r="TF9" s="22">
        <f t="shared" si="230"/>
        <v>14.2</v>
      </c>
      <c r="TG9" s="22">
        <f t="shared" si="231"/>
        <v>15.24</v>
      </c>
      <c r="TH9" s="22">
        <f t="shared" si="232"/>
        <v>0.2</v>
      </c>
      <c r="TI9" s="27" t="s">
        <v>46</v>
      </c>
      <c r="TJ9" s="40">
        <f t="shared" si="233"/>
        <v>8.75</v>
      </c>
      <c r="TK9" s="40">
        <f t="shared" si="234"/>
        <v>9.86</v>
      </c>
      <c r="TL9" s="40">
        <f t="shared" si="235"/>
        <v>33.56</v>
      </c>
      <c r="TM9" s="40">
        <f t="shared" si="236"/>
        <v>13.8</v>
      </c>
      <c r="TN9" s="40">
        <f t="shared" si="237"/>
        <v>15.225</v>
      </c>
      <c r="TO9" s="40">
        <f t="shared" si="238"/>
        <v>51.625</v>
      </c>
      <c r="TP9" s="40">
        <f t="shared" si="239"/>
        <v>51.625</v>
      </c>
      <c r="TQ9" s="40">
        <f t="shared" si="240"/>
        <v>14.2</v>
      </c>
      <c r="TR9" s="40">
        <f t="shared" si="241"/>
        <v>15.24</v>
      </c>
      <c r="TS9" s="40">
        <f t="shared" si="242"/>
        <v>51.74</v>
      </c>
      <c r="TT9" s="40">
        <f t="shared" si="243"/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 t="shared" si="0"/>
        <v>105.29001052900531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53.239999999999995</v>
      </c>
      <c r="K10" s="8" t="str">
        <f t="shared" si="5"/>
        <v>2022 Nationals</v>
      </c>
      <c r="L10" s="8">
        <f>IF(COUNT(AO10,AR10,BP10,BS10,CQ10,CT10)&gt;1,LARGE((AO10,AR10,BP10,BS10,CQ10,CT10),2),0)</f>
        <v>11.42</v>
      </c>
      <c r="M10" s="8" t="str">
        <f t="shared" si="6"/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 t="shared" si="7"/>
        <v>2022 Nationals</v>
      </c>
      <c r="P10" s="8">
        <f t="shared" si="8"/>
        <v>14.4</v>
      </c>
      <c r="Q10" s="8" t="str">
        <f t="shared" si="9"/>
        <v>2022 Nationals</v>
      </c>
      <c r="R10" s="8">
        <f t="shared" si="10"/>
        <v>15.04</v>
      </c>
      <c r="S10" s="8" t="str">
        <f t="shared" si="11"/>
        <v>2022 Nationals</v>
      </c>
      <c r="T10" s="8" t="str">
        <f t="shared" si="12"/>
        <v/>
      </c>
      <c r="U10" s="11" t="str">
        <f t="shared" si="13"/>
        <v/>
      </c>
      <c r="V10" s="8" t="str">
        <f t="shared" si="14"/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 t="shared" si="15"/>
        <v>14.4</v>
      </c>
      <c r="AN10" s="38">
        <f t="shared" si="16"/>
        <v>15.04</v>
      </c>
      <c r="AO10" s="40">
        <f t="shared" si="17"/>
        <v>53.239999999999995</v>
      </c>
      <c r="AP10" s="40">
        <f t="shared" si="18"/>
        <v>3.4</v>
      </c>
      <c r="AQ10" s="40">
        <f t="shared" si="19"/>
        <v>3.32</v>
      </c>
      <c r="AR10" s="40">
        <f t="shared" si="20"/>
        <v>11.42</v>
      </c>
      <c r="AS10" s="40">
        <f t="shared" si="21"/>
        <v>53.239999999999995</v>
      </c>
      <c r="AT10" s="40">
        <f t="shared" si="22"/>
        <v>3.4</v>
      </c>
      <c r="AU10" s="40">
        <f t="shared" si="23"/>
        <v>3.19</v>
      </c>
      <c r="AV10" s="40">
        <f t="shared" si="24"/>
        <v>11.19</v>
      </c>
      <c r="AW10" s="40">
        <f t="shared" si="25"/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6"/>
        <v/>
      </c>
      <c r="BO10" s="39" t="str">
        <f t="shared" si="27"/>
        <v/>
      </c>
      <c r="BP10" s="11" t="str">
        <f t="shared" si="28"/>
        <v/>
      </c>
      <c r="BQ10" s="11" t="str">
        <f t="shared" si="29"/>
        <v/>
      </c>
      <c r="BR10" s="11" t="str">
        <f t="shared" si="30"/>
        <v/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 t="str">
        <f t="shared" si="34"/>
        <v/>
      </c>
      <c r="BW10" s="11" t="str">
        <f t="shared" si="35"/>
        <v/>
      </c>
      <c r="BX10" s="11" t="str">
        <f t="shared" si="36"/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7"/>
        <v/>
      </c>
      <c r="CP10" s="38" t="str">
        <f t="shared" si="38"/>
        <v/>
      </c>
      <c r="CQ10" s="40" t="str">
        <f t="shared" si="39"/>
        <v/>
      </c>
      <c r="CR10" s="40" t="str">
        <f t="shared" si="40"/>
        <v/>
      </c>
      <c r="CS10" s="40" t="str">
        <f t="shared" si="41"/>
        <v/>
      </c>
      <c r="CT10" s="40" t="str">
        <f t="shared" si="42"/>
        <v/>
      </c>
      <c r="CU10" s="40" t="str">
        <f t="shared" si="43"/>
        <v/>
      </c>
      <c r="CV10" s="40" t="str">
        <f t="shared" si="44"/>
        <v/>
      </c>
      <c r="CW10" s="40" t="str">
        <f t="shared" si="45"/>
        <v/>
      </c>
      <c r="CX10" s="40" t="str">
        <f t="shared" si="46"/>
        <v/>
      </c>
      <c r="CY10" s="40" t="str">
        <f t="shared" si="47"/>
        <v/>
      </c>
      <c r="CZ10" s="50" t="str">
        <f t="shared" si="48"/>
        <v/>
      </c>
      <c r="DA10" s="50" t="str">
        <f t="shared" si="49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0</v>
      </c>
      <c r="SU10" s="22">
        <f t="shared" si="219"/>
        <v>0</v>
      </c>
      <c r="SV10" s="22">
        <f t="shared" si="220"/>
        <v>0</v>
      </c>
      <c r="SW10" s="22">
        <f t="shared" si="221"/>
        <v>0</v>
      </c>
      <c r="SX10" s="22">
        <f t="shared" si="222"/>
        <v>0</v>
      </c>
      <c r="SY10" s="22">
        <f t="shared" si="223"/>
        <v>0</v>
      </c>
      <c r="SZ10" s="22">
        <f t="shared" si="224"/>
        <v>0</v>
      </c>
      <c r="TA10" s="22">
        <f t="shared" si="225"/>
        <v>0</v>
      </c>
      <c r="TB10" s="22">
        <f t="shared" si="226"/>
        <v>0</v>
      </c>
      <c r="TC10" s="22">
        <f t="shared" si="227"/>
        <v>0</v>
      </c>
      <c r="TD10" s="22">
        <f t="shared" si="228"/>
        <v>0</v>
      </c>
      <c r="TE10" s="22">
        <f t="shared" si="229"/>
        <v>0</v>
      </c>
      <c r="TF10" s="22">
        <f t="shared" si="230"/>
        <v>0</v>
      </c>
      <c r="TG10" s="22">
        <f t="shared" si="231"/>
        <v>0</v>
      </c>
      <c r="TH10" s="22">
        <f t="shared" si="232"/>
        <v>0</v>
      </c>
      <c r="TI10" s="27" t="s">
        <v>46</v>
      </c>
      <c r="TJ10" s="40" t="str">
        <f t="shared" si="233"/>
        <v/>
      </c>
      <c r="TK10" s="40" t="str">
        <f t="shared" si="234"/>
        <v/>
      </c>
      <c r="TL10" s="40" t="str">
        <f t="shared" si="235"/>
        <v/>
      </c>
      <c r="TM10" s="40" t="str">
        <f t="shared" si="236"/>
        <v/>
      </c>
      <c r="TN10" s="40" t="str">
        <f t="shared" si="237"/>
        <v/>
      </c>
      <c r="TO10" s="40" t="str">
        <f t="shared" si="238"/>
        <v/>
      </c>
      <c r="TP10" s="40" t="str">
        <f t="shared" si="239"/>
        <v/>
      </c>
      <c r="TQ10" s="40" t="str">
        <f t="shared" si="240"/>
        <v/>
      </c>
      <c r="TR10" s="40" t="str">
        <f t="shared" si="241"/>
        <v/>
      </c>
      <c r="TS10" s="40" t="str">
        <f t="shared" si="242"/>
        <v/>
      </c>
      <c r="TT10" s="40" t="str">
        <f t="shared" si="243"/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 t="shared" si="0"/>
        <v>183.55001820600509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50.85</v>
      </c>
      <c r="K11" s="8" t="str">
        <f t="shared" si="5"/>
        <v>2023 Elite Canada</v>
      </c>
      <c r="L11" s="8">
        <f>IF(COUNT(AO11,AR11,BP11,BS11,CQ11,CT11)&gt;1,LARGE((AO11,AR11,BP11,BS11,CQ11,CT11),2),0)</f>
        <v>50.39</v>
      </c>
      <c r="M11" s="8" t="str">
        <f t="shared" si="6"/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 t="shared" si="7"/>
        <v>2023 Elite Canada</v>
      </c>
      <c r="P11" s="8">
        <f t="shared" si="8"/>
        <v>13.9</v>
      </c>
      <c r="Q11" s="8" t="str">
        <f t="shared" si="9"/>
        <v>2023 Elite Canada</v>
      </c>
      <c r="R11" s="8">
        <f t="shared" si="10"/>
        <v>14.78</v>
      </c>
      <c r="S11" s="8" t="str">
        <f t="shared" si="11"/>
        <v>2023 Pan Am Club Championships (May 14)</v>
      </c>
      <c r="T11" s="8">
        <f t="shared" si="12"/>
        <v>1.4899999999999949</v>
      </c>
      <c r="U11" s="11" t="str">
        <f t="shared" si="13"/>
        <v>(Optional)</v>
      </c>
      <c r="V11" s="8" t="str">
        <f t="shared" si="14"/>
        <v>2023 Pan Am Club Championships (May 14)</v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 t="shared" si="15"/>
        <v>2.9</v>
      </c>
      <c r="AN11" s="38">
        <f t="shared" si="16"/>
        <v>3.15</v>
      </c>
      <c r="AO11" s="40">
        <f t="shared" si="17"/>
        <v>10.85</v>
      </c>
      <c r="AP11" s="40">
        <f t="shared" si="18"/>
        <v>13.7</v>
      </c>
      <c r="AQ11" s="40">
        <f t="shared" si="19"/>
        <v>14.42</v>
      </c>
      <c r="AR11" s="40">
        <f t="shared" si="20"/>
        <v>48.620000000000005</v>
      </c>
      <c r="AS11" s="40">
        <f t="shared" si="21"/>
        <v>48.620000000000005</v>
      </c>
      <c r="AT11" s="40" t="str">
        <f t="shared" si="22"/>
        <v/>
      </c>
      <c r="AU11" s="40" t="str">
        <f t="shared" si="23"/>
        <v/>
      </c>
      <c r="AV11" s="40" t="str">
        <f t="shared" si="24"/>
        <v/>
      </c>
      <c r="AW11" s="40">
        <f t="shared" si="25"/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 t="shared" si="26"/>
        <v>13.9</v>
      </c>
      <c r="BO11" s="39">
        <f t="shared" si="27"/>
        <v>14.43</v>
      </c>
      <c r="BP11" s="11">
        <f t="shared" si="28"/>
        <v>49.83</v>
      </c>
      <c r="BQ11" s="11">
        <f t="shared" si="29"/>
        <v>1.7</v>
      </c>
      <c r="BR11" s="11">
        <f t="shared" si="30"/>
        <v>1.6</v>
      </c>
      <c r="BS11" s="11">
        <f t="shared" si="31"/>
        <v>5.5</v>
      </c>
      <c r="BT11" s="11">
        <f t="shared" si="32"/>
        <v>49.83</v>
      </c>
      <c r="BU11" s="11">
        <f t="shared" si="33"/>
        <v>13.7</v>
      </c>
      <c r="BV11" s="11">
        <f t="shared" si="34"/>
        <v>14.72</v>
      </c>
      <c r="BW11" s="11">
        <f t="shared" si="35"/>
        <v>49.92</v>
      </c>
      <c r="BX11" s="11">
        <f t="shared" si="36"/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 t="shared" si="37"/>
        <v>13.9</v>
      </c>
      <c r="CP11" s="38">
        <f t="shared" si="38"/>
        <v>13.99</v>
      </c>
      <c r="CQ11" s="40">
        <f t="shared" si="39"/>
        <v>50.39</v>
      </c>
      <c r="CR11" s="40">
        <f t="shared" si="40"/>
        <v>13.7</v>
      </c>
      <c r="CS11" s="40">
        <f t="shared" si="41"/>
        <v>14.35</v>
      </c>
      <c r="CT11" s="40">
        <f t="shared" si="42"/>
        <v>50.85</v>
      </c>
      <c r="CU11" s="40">
        <f t="shared" si="43"/>
        <v>50.85</v>
      </c>
      <c r="CV11" s="40">
        <f t="shared" si="44"/>
        <v>13.7</v>
      </c>
      <c r="CW11" s="40">
        <f t="shared" si="45"/>
        <v>14.64</v>
      </c>
      <c r="CX11" s="40">
        <f t="shared" si="46"/>
        <v>52.14</v>
      </c>
      <c r="CY11" s="40">
        <f t="shared" si="47"/>
        <v>102.99000000000001</v>
      </c>
      <c r="CZ11" s="50">
        <f t="shared" si="48"/>
        <v>1.4899999999999949</v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 t="shared" si="64"/>
        <v>13.7</v>
      </c>
      <c r="FE11" s="11">
        <f t="shared" si="65"/>
        <v>14.78</v>
      </c>
      <c r="FF11" s="11">
        <f t="shared" si="66"/>
        <v>51.879999999999995</v>
      </c>
      <c r="FG11" s="11">
        <f t="shared" si="67"/>
        <v>3.2</v>
      </c>
      <c r="FH11" s="11">
        <f t="shared" si="68"/>
        <v>3.28</v>
      </c>
      <c r="FI11" s="11">
        <f t="shared" si="69"/>
        <v>10.78</v>
      </c>
      <c r="FJ11" s="11">
        <f t="shared" si="70"/>
        <v>51.879999999999995</v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>
        <f t="shared" si="74"/>
        <v>5.8</v>
      </c>
      <c r="FO11" s="11">
        <f t="shared" si="75"/>
        <v>6.33</v>
      </c>
      <c r="FP11" s="11">
        <f t="shared" si="76"/>
        <v>21.33</v>
      </c>
      <c r="FQ11" s="11">
        <f t="shared" si="77"/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13</v>
      </c>
      <c r="SU11" s="22">
        <f t="shared" si="219"/>
        <v>9</v>
      </c>
      <c r="SV11" s="22">
        <f t="shared" si="220"/>
        <v>13.9</v>
      </c>
      <c r="SW11" s="22">
        <f t="shared" si="221"/>
        <v>14.21</v>
      </c>
      <c r="SX11" s="22">
        <f t="shared" si="222"/>
        <v>0</v>
      </c>
      <c r="SY11" s="22">
        <f t="shared" si="223"/>
        <v>7.3999999999999995</v>
      </c>
      <c r="SZ11" s="22">
        <f t="shared" si="224"/>
        <v>5.0999999999999996</v>
      </c>
      <c r="TA11" s="22">
        <f t="shared" si="225"/>
        <v>7.6999999999999993</v>
      </c>
      <c r="TB11" s="22">
        <f t="shared" si="226"/>
        <v>7.9749999999999996</v>
      </c>
      <c r="TC11" s="22">
        <f t="shared" si="227"/>
        <v>0</v>
      </c>
      <c r="TD11" s="22">
        <f t="shared" si="228"/>
        <v>13.3</v>
      </c>
      <c r="TE11" s="22">
        <f t="shared" si="229"/>
        <v>9.3500000000000014</v>
      </c>
      <c r="TF11" s="22">
        <f t="shared" si="230"/>
        <v>13.7</v>
      </c>
      <c r="TG11" s="22">
        <f t="shared" si="231"/>
        <v>14.68</v>
      </c>
      <c r="TH11" s="22">
        <f t="shared" si="232"/>
        <v>0</v>
      </c>
      <c r="TI11" s="27" t="s">
        <v>46</v>
      </c>
      <c r="TJ11" s="40">
        <f t="shared" si="233"/>
        <v>13.9</v>
      </c>
      <c r="TK11" s="40">
        <f t="shared" si="234"/>
        <v>14.21</v>
      </c>
      <c r="TL11" s="40">
        <f t="shared" si="235"/>
        <v>50.11</v>
      </c>
      <c r="TM11" s="40">
        <f t="shared" si="236"/>
        <v>7.6999999999999993</v>
      </c>
      <c r="TN11" s="40">
        <f t="shared" si="237"/>
        <v>7.9749999999999996</v>
      </c>
      <c r="TO11" s="40">
        <f t="shared" si="238"/>
        <v>28.174999999999997</v>
      </c>
      <c r="TP11" s="40">
        <f t="shared" si="239"/>
        <v>50.11</v>
      </c>
      <c r="TQ11" s="40">
        <f t="shared" si="240"/>
        <v>13.7</v>
      </c>
      <c r="TR11" s="40">
        <f t="shared" si="241"/>
        <v>14.68</v>
      </c>
      <c r="TS11" s="40">
        <f t="shared" si="242"/>
        <v>51.03</v>
      </c>
      <c r="TT11" s="40">
        <f t="shared" si="243"/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 t="shared" si="0"/>
        <v>180.25001802500503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50.2</v>
      </c>
      <c r="K12" s="8" t="str">
        <f t="shared" si="5"/>
        <v>2022 3rd Domestic Trial</v>
      </c>
      <c r="L12" s="8">
        <f>IF(COUNT(AO12,AR12,BP12,BS12,CQ12,CT12)&gt;1,LARGE((AO12,AR12,BP12,BS12,CQ12,CT12),2),0)</f>
        <v>50.2</v>
      </c>
      <c r="M12" s="8" t="str">
        <f t="shared" si="6"/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 t="shared" si="7"/>
        <v>2022 Nationals</v>
      </c>
      <c r="P12" s="8">
        <f t="shared" si="8"/>
        <v>13.5</v>
      </c>
      <c r="Q12" s="8" t="str">
        <f t="shared" si="9"/>
        <v>2022 3rd Domestic Trial</v>
      </c>
      <c r="R12" s="8">
        <f t="shared" si="10"/>
        <v>15.5</v>
      </c>
      <c r="S12" s="8" t="str">
        <f t="shared" si="11"/>
        <v>2022 3rd Domestic Trial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 t="shared" si="15"/>
        <v>12.2</v>
      </c>
      <c r="AN12" s="38">
        <f t="shared" si="16"/>
        <v>15.2</v>
      </c>
      <c r="AO12" s="40">
        <f t="shared" si="17"/>
        <v>50.2</v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>
        <f t="shared" si="21"/>
        <v>50.2</v>
      </c>
      <c r="AT12" s="40">
        <f t="shared" si="22"/>
        <v>12.2</v>
      </c>
      <c r="AU12" s="40">
        <f t="shared" si="23"/>
        <v>14.55</v>
      </c>
      <c r="AV12" s="40">
        <f t="shared" si="24"/>
        <v>50.849999999999994</v>
      </c>
      <c r="AW12" s="40">
        <f t="shared" si="25"/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 t="shared" si="26"/>
        <v>13.5</v>
      </c>
      <c r="BO12" s="39">
        <f t="shared" si="27"/>
        <v>15.5</v>
      </c>
      <c r="BP12" s="11">
        <f t="shared" si="28"/>
        <v>50.2</v>
      </c>
      <c r="BQ12" s="11" t="str">
        <f t="shared" si="29"/>
        <v/>
      </c>
      <c r="BR12" s="11" t="str">
        <f t="shared" si="30"/>
        <v/>
      </c>
      <c r="BS12" s="11" t="str">
        <f t="shared" si="31"/>
        <v/>
      </c>
      <c r="BT12" s="11">
        <f t="shared" si="32"/>
        <v>50.2</v>
      </c>
      <c r="BU12" s="11">
        <f t="shared" si="33"/>
        <v>11.9</v>
      </c>
      <c r="BV12" s="11">
        <f t="shared" si="34"/>
        <v>13.89</v>
      </c>
      <c r="BW12" s="11">
        <f t="shared" si="35"/>
        <v>45.089999999999996</v>
      </c>
      <c r="BX12" s="11">
        <f t="shared" si="36"/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 t="shared" si="37"/>
        <v/>
      </c>
      <c r="CP12" s="38" t="str">
        <f t="shared" si="38"/>
        <v/>
      </c>
      <c r="CQ12" s="40" t="str">
        <f t="shared" si="39"/>
        <v/>
      </c>
      <c r="CR12" s="40" t="str">
        <f t="shared" si="40"/>
        <v/>
      </c>
      <c r="CS12" s="40" t="str">
        <f t="shared" si="41"/>
        <v/>
      </c>
      <c r="CT12" s="40" t="str">
        <f t="shared" si="42"/>
        <v/>
      </c>
      <c r="CU12" s="40" t="str">
        <f t="shared" si="43"/>
        <v/>
      </c>
      <c r="CV12" s="40" t="str">
        <f t="shared" si="44"/>
        <v/>
      </c>
      <c r="CW12" s="40" t="str">
        <f t="shared" si="45"/>
        <v/>
      </c>
      <c r="CX12" s="40" t="str">
        <f t="shared" si="46"/>
        <v/>
      </c>
      <c r="CY12" s="40" t="str">
        <f t="shared" si="47"/>
        <v/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6.45</v>
      </c>
      <c r="SU12" s="22">
        <f t="shared" si="219"/>
        <v>4.1500000000000004</v>
      </c>
      <c r="SV12" s="22">
        <f t="shared" si="220"/>
        <v>6.75</v>
      </c>
      <c r="SW12" s="22">
        <f t="shared" si="221"/>
        <v>7.75</v>
      </c>
      <c r="SX12" s="22">
        <f t="shared" si="222"/>
        <v>0</v>
      </c>
      <c r="SY12" s="22">
        <f t="shared" si="223"/>
        <v>0</v>
      </c>
      <c r="SZ12" s="22">
        <f t="shared" si="224"/>
        <v>0</v>
      </c>
      <c r="TA12" s="22">
        <f t="shared" si="225"/>
        <v>0</v>
      </c>
      <c r="TB12" s="22">
        <f t="shared" si="226"/>
        <v>0</v>
      </c>
      <c r="TC12" s="22">
        <f t="shared" si="227"/>
        <v>0</v>
      </c>
      <c r="TD12" s="22">
        <f t="shared" si="228"/>
        <v>5.85</v>
      </c>
      <c r="TE12" s="22">
        <f t="shared" si="229"/>
        <v>3.8</v>
      </c>
      <c r="TF12" s="22">
        <f t="shared" si="230"/>
        <v>5.95</v>
      </c>
      <c r="TG12" s="22">
        <f t="shared" si="231"/>
        <v>6.9450000000000003</v>
      </c>
      <c r="TH12" s="22">
        <f t="shared" si="232"/>
        <v>0</v>
      </c>
      <c r="TI12" s="27" t="s">
        <v>46</v>
      </c>
      <c r="TJ12" s="40">
        <f t="shared" si="233"/>
        <v>6.75</v>
      </c>
      <c r="TK12" s="40">
        <f t="shared" si="234"/>
        <v>7.75</v>
      </c>
      <c r="TL12" s="40">
        <f t="shared" si="235"/>
        <v>25.1</v>
      </c>
      <c r="TM12" s="40" t="str">
        <f t="shared" si="236"/>
        <v/>
      </c>
      <c r="TN12" s="40" t="str">
        <f t="shared" si="237"/>
        <v/>
      </c>
      <c r="TO12" s="40" t="str">
        <f t="shared" si="238"/>
        <v/>
      </c>
      <c r="TP12" s="40">
        <f t="shared" si="239"/>
        <v>25.1</v>
      </c>
      <c r="TQ12" s="40">
        <f t="shared" si="240"/>
        <v>5.95</v>
      </c>
      <c r="TR12" s="40">
        <f t="shared" si="241"/>
        <v>6.9450000000000003</v>
      </c>
      <c r="TS12" s="40">
        <f t="shared" si="242"/>
        <v>22.544999999999998</v>
      </c>
      <c r="TT12" s="40">
        <f t="shared" si="243"/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136</v>
      </c>
      <c r="C13" s="4" t="s">
        <v>3</v>
      </c>
      <c r="D13" s="4">
        <v>2005</v>
      </c>
      <c r="E13" s="9">
        <f t="shared" si="0"/>
        <v>165.70001657000529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IF(COUNT(AO13,AR13,BP13,BS13,CQ13,CT13)&gt;0,LARGE((AO13,AR13,BP13,BS13,CQ13,CT13),1),0)</f>
        <v>52.9</v>
      </c>
      <c r="K13" s="8" t="str">
        <f t="shared" si="5"/>
        <v>2022 Nationals</v>
      </c>
      <c r="L13" s="8">
        <f>IF(COUNT(AO13,AR13,BP13,BS13,CQ13,CT13)&gt;1,LARGE((AO13,AR13,BP13,BS13,CQ13,CT13),2),0)</f>
        <v>49.25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 t="shared" si="7"/>
        <v>2022 Nationals</v>
      </c>
      <c r="P13" s="8">
        <f t="shared" si="8"/>
        <v>12.7</v>
      </c>
      <c r="Q13" s="8" t="str">
        <f t="shared" si="9"/>
        <v>2023 Elite Canada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 t="shared" si="15"/>
        <v>11.8</v>
      </c>
      <c r="AN13" s="38">
        <f t="shared" si="16"/>
        <v>15.4</v>
      </c>
      <c r="AO13" s="40">
        <f t="shared" si="17"/>
        <v>52.9</v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>
        <f t="shared" si="21"/>
        <v>52.9</v>
      </c>
      <c r="AT13" s="40">
        <f t="shared" si="22"/>
        <v>11.8</v>
      </c>
      <c r="AU13" s="40">
        <f t="shared" si="23"/>
        <v>15.05</v>
      </c>
      <c r="AV13" s="40">
        <f t="shared" si="24"/>
        <v>50.849999999999994</v>
      </c>
      <c r="AW13" s="40">
        <f t="shared" si="25"/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6"/>
        <v/>
      </c>
      <c r="BO13" s="39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 t="shared" si="37"/>
        <v>5.6</v>
      </c>
      <c r="CP13" s="38">
        <f t="shared" si="38"/>
        <v>6.37</v>
      </c>
      <c r="CQ13" s="40">
        <f t="shared" si="39"/>
        <v>33.669999999999995</v>
      </c>
      <c r="CR13" s="40">
        <f t="shared" si="40"/>
        <v>11.5</v>
      </c>
      <c r="CS13" s="40">
        <f t="shared" si="41"/>
        <v>14.05</v>
      </c>
      <c r="CT13" s="40">
        <f t="shared" si="42"/>
        <v>49.25</v>
      </c>
      <c r="CU13" s="40">
        <f t="shared" si="43"/>
        <v>49.25</v>
      </c>
      <c r="CV13" s="40">
        <f t="shared" si="44"/>
        <v>12.7</v>
      </c>
      <c r="CW13" s="40">
        <f t="shared" si="45"/>
        <v>15.13</v>
      </c>
      <c r="CX13" s="40">
        <f t="shared" si="46"/>
        <v>48.73</v>
      </c>
      <c r="CY13" s="40">
        <f t="shared" si="47"/>
        <v>97.97999999999999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8.9</v>
      </c>
      <c r="SU13" s="22">
        <f t="shared" si="219"/>
        <v>1.95</v>
      </c>
      <c r="SV13" s="22">
        <f t="shared" si="220"/>
        <v>2.8</v>
      </c>
      <c r="SW13" s="22">
        <f t="shared" si="221"/>
        <v>3.1850000000000001</v>
      </c>
      <c r="SX13" s="22">
        <f t="shared" si="222"/>
        <v>0</v>
      </c>
      <c r="SY13" s="22">
        <f t="shared" si="223"/>
        <v>7.8</v>
      </c>
      <c r="SZ13" s="22">
        <f t="shared" si="224"/>
        <v>4.05</v>
      </c>
      <c r="TA13" s="22">
        <f t="shared" si="225"/>
        <v>5.75</v>
      </c>
      <c r="TB13" s="22">
        <f t="shared" si="226"/>
        <v>7.0250000000000004</v>
      </c>
      <c r="TC13" s="22">
        <f t="shared" si="227"/>
        <v>0</v>
      </c>
      <c r="TD13" s="22">
        <f t="shared" si="228"/>
        <v>6.05</v>
      </c>
      <c r="TE13" s="22">
        <f t="shared" si="229"/>
        <v>4.4000000000000004</v>
      </c>
      <c r="TF13" s="22">
        <f t="shared" si="230"/>
        <v>6.35</v>
      </c>
      <c r="TG13" s="22">
        <f t="shared" si="231"/>
        <v>7.5650000000000004</v>
      </c>
      <c r="TH13" s="22">
        <f t="shared" si="232"/>
        <v>0</v>
      </c>
      <c r="TI13" s="27" t="s">
        <v>46</v>
      </c>
      <c r="TJ13" s="40">
        <f t="shared" si="233"/>
        <v>2.8</v>
      </c>
      <c r="TK13" s="40">
        <f t="shared" si="234"/>
        <v>3.1850000000000001</v>
      </c>
      <c r="TL13" s="40">
        <f t="shared" si="235"/>
        <v>16.834999999999997</v>
      </c>
      <c r="TM13" s="40">
        <f t="shared" si="236"/>
        <v>5.75</v>
      </c>
      <c r="TN13" s="40">
        <f t="shared" si="237"/>
        <v>7.0250000000000004</v>
      </c>
      <c r="TO13" s="40">
        <f t="shared" si="238"/>
        <v>24.625</v>
      </c>
      <c r="TP13" s="40">
        <f t="shared" si="239"/>
        <v>24.625</v>
      </c>
      <c r="TQ13" s="40">
        <f t="shared" si="240"/>
        <v>6.35</v>
      </c>
      <c r="TR13" s="40">
        <f t="shared" si="241"/>
        <v>7.5650000000000004</v>
      </c>
      <c r="TS13" s="40">
        <f t="shared" si="242"/>
        <v>24.364999999999998</v>
      </c>
      <c r="TT13" s="40">
        <f t="shared" si="243"/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201</v>
      </c>
      <c r="C14" s="4" t="s">
        <v>6</v>
      </c>
      <c r="D14" s="4">
        <v>2006</v>
      </c>
      <c r="E14" s="9">
        <f t="shared" si="0"/>
        <v>162.38001623800508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50.769999999999996</v>
      </c>
      <c r="K14" s="8" t="str">
        <f t="shared" si="5"/>
        <v>2023 Elite Canada</v>
      </c>
      <c r="L14" s="8">
        <f>IF(COUNT(AO14,AR14,BP14,BS14,CQ14,CT14)&gt;1,LARGE((AO14,AR14,BP14,BS14,CQ14,CT14),2),0)</f>
        <v>49.86</v>
      </c>
      <c r="M14" s="8" t="str">
        <f t="shared" si="6"/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 t="shared" si="7"/>
        <v>2023 Elite Canada</v>
      </c>
      <c r="P14" s="8">
        <f t="shared" si="8"/>
        <v>10.6</v>
      </c>
      <c r="Q14" s="8" t="str">
        <f t="shared" si="9"/>
        <v>2023 Elite Canada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 t="shared" si="15"/>
        <v>10.5</v>
      </c>
      <c r="AN14" s="38">
        <f t="shared" si="16"/>
        <v>14.76</v>
      </c>
      <c r="AO14" s="40">
        <f t="shared" si="17"/>
        <v>49.86</v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>
        <f t="shared" si="21"/>
        <v>49.86</v>
      </c>
      <c r="AT14" s="40">
        <f t="shared" si="22"/>
        <v>10.5</v>
      </c>
      <c r="AU14" s="40">
        <f t="shared" si="23"/>
        <v>15</v>
      </c>
      <c r="AV14" s="40">
        <f t="shared" si="24"/>
        <v>50.8</v>
      </c>
      <c r="AW14" s="40">
        <f t="shared" si="25"/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6"/>
        <v/>
      </c>
      <c r="BO14" s="39" t="str">
        <f t="shared" si="27"/>
        <v/>
      </c>
      <c r="BP14" s="11" t="str">
        <f t="shared" si="28"/>
        <v/>
      </c>
      <c r="BQ14" s="11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 t="shared" si="37"/>
        <v>8.1</v>
      </c>
      <c r="CP14" s="38">
        <f t="shared" si="38"/>
        <v>15.19</v>
      </c>
      <c r="CQ14" s="40">
        <f t="shared" si="39"/>
        <v>44.79</v>
      </c>
      <c r="CR14" s="40">
        <f t="shared" si="40"/>
        <v>10.6</v>
      </c>
      <c r="CS14" s="40">
        <f t="shared" si="41"/>
        <v>14.87</v>
      </c>
      <c r="CT14" s="40">
        <f t="shared" si="42"/>
        <v>50.769999999999996</v>
      </c>
      <c r="CU14" s="40">
        <f t="shared" si="43"/>
        <v>50.769999999999996</v>
      </c>
      <c r="CV14" s="40">
        <f t="shared" si="44"/>
        <v>10.6</v>
      </c>
      <c r="CW14" s="40">
        <f t="shared" si="45"/>
        <v>14.95</v>
      </c>
      <c r="CX14" s="40">
        <f t="shared" si="46"/>
        <v>51.150000000000006</v>
      </c>
      <c r="CY14" s="40">
        <f t="shared" si="47"/>
        <v>101.92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6.6</v>
      </c>
      <c r="SU14" s="22">
        <f t="shared" si="219"/>
        <v>4.6500000000000004</v>
      </c>
      <c r="SV14" s="22">
        <f t="shared" si="220"/>
        <v>4.05</v>
      </c>
      <c r="SW14" s="22">
        <f t="shared" si="221"/>
        <v>7.5949999999999998</v>
      </c>
      <c r="SX14" s="22">
        <f t="shared" si="222"/>
        <v>0.5</v>
      </c>
      <c r="SY14" s="22">
        <f t="shared" si="223"/>
        <v>7.95</v>
      </c>
      <c r="SZ14" s="22">
        <f t="shared" si="224"/>
        <v>4.7</v>
      </c>
      <c r="TA14" s="22">
        <f t="shared" si="225"/>
        <v>5.3</v>
      </c>
      <c r="TB14" s="22">
        <f t="shared" si="226"/>
        <v>7.4349999999999996</v>
      </c>
      <c r="TC14" s="22">
        <f t="shared" si="227"/>
        <v>0</v>
      </c>
      <c r="TD14" s="22">
        <f t="shared" si="228"/>
        <v>8.1</v>
      </c>
      <c r="TE14" s="22">
        <f t="shared" si="229"/>
        <v>4.7</v>
      </c>
      <c r="TF14" s="22">
        <f t="shared" si="230"/>
        <v>5.3</v>
      </c>
      <c r="TG14" s="22">
        <f t="shared" si="231"/>
        <v>7.4749999999999996</v>
      </c>
      <c r="TH14" s="22">
        <f t="shared" si="232"/>
        <v>0</v>
      </c>
      <c r="TI14" s="27" t="s">
        <v>46</v>
      </c>
      <c r="TJ14" s="40">
        <f t="shared" si="233"/>
        <v>4.05</v>
      </c>
      <c r="TK14" s="40">
        <f t="shared" si="234"/>
        <v>7.5949999999999998</v>
      </c>
      <c r="TL14" s="40">
        <f t="shared" si="235"/>
        <v>22.395</v>
      </c>
      <c r="TM14" s="40">
        <f t="shared" si="236"/>
        <v>5.3</v>
      </c>
      <c r="TN14" s="40">
        <f t="shared" si="237"/>
        <v>7.4349999999999996</v>
      </c>
      <c r="TO14" s="40">
        <f t="shared" si="238"/>
        <v>25.384999999999998</v>
      </c>
      <c r="TP14" s="40">
        <f t="shared" si="239"/>
        <v>25.384999999999998</v>
      </c>
      <c r="TQ14" s="40">
        <f t="shared" si="240"/>
        <v>5.3</v>
      </c>
      <c r="TR14" s="40">
        <f t="shared" si="241"/>
        <v>7.4749999999999996</v>
      </c>
      <c r="TS14" s="40">
        <f t="shared" si="242"/>
        <v>25.575000000000003</v>
      </c>
      <c r="TT14" s="40">
        <f t="shared" si="243"/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138</v>
      </c>
      <c r="C15" s="4" t="s">
        <v>3</v>
      </c>
      <c r="D15" s="4">
        <v>2004</v>
      </c>
      <c r="E15" s="9">
        <f t="shared" si="0"/>
        <v>161.29001612900493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49.500000000000007</v>
      </c>
      <c r="K15" s="8" t="str">
        <f t="shared" si="5"/>
        <v>2022 Nationals</v>
      </c>
      <c r="L15" s="8">
        <f>IF(COUNT(AO15,AR15,BP15,BS15,CQ15,CT15)&gt;1,LARGE((AO15,AR15,BP15,BS15,CQ15,CT15),2),0)</f>
        <v>48.94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 t="shared" si="7"/>
        <v>2023 Elite Canada</v>
      </c>
      <c r="P15" s="8">
        <f t="shared" si="8"/>
        <v>12.4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 t="shared" si="15"/>
        <v>11.2</v>
      </c>
      <c r="AN15" s="38">
        <f t="shared" si="16"/>
        <v>14.6</v>
      </c>
      <c r="AO15" s="40">
        <f t="shared" si="17"/>
        <v>49.500000000000007</v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>
        <f t="shared" si="21"/>
        <v>49.500000000000007</v>
      </c>
      <c r="AT15" s="40">
        <f t="shared" si="22"/>
        <v>11.2</v>
      </c>
      <c r="AU15" s="40">
        <f t="shared" si="23"/>
        <v>14.88</v>
      </c>
      <c r="AV15" s="40">
        <f t="shared" si="24"/>
        <v>50.28</v>
      </c>
      <c r="AW15" s="40">
        <f t="shared" si="25"/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6"/>
        <v/>
      </c>
      <c r="BO15" s="39" t="str">
        <f t="shared" si="27"/>
        <v/>
      </c>
      <c r="BP15" s="11" t="str">
        <f t="shared" si="28"/>
        <v/>
      </c>
      <c r="BQ15" s="11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 t="shared" si="37"/>
        <v>11</v>
      </c>
      <c r="CP15" s="38">
        <f t="shared" si="38"/>
        <v>14.7</v>
      </c>
      <c r="CQ15" s="40">
        <f t="shared" si="39"/>
        <v>47</v>
      </c>
      <c r="CR15" s="40">
        <f t="shared" si="40"/>
        <v>11</v>
      </c>
      <c r="CS15" s="40">
        <f t="shared" si="41"/>
        <v>15.14</v>
      </c>
      <c r="CT15" s="40">
        <f t="shared" si="42"/>
        <v>48.94</v>
      </c>
      <c r="CU15" s="40">
        <f t="shared" si="43"/>
        <v>48.94</v>
      </c>
      <c r="CV15" s="40">
        <f t="shared" si="44"/>
        <v>12.4</v>
      </c>
      <c r="CW15" s="40">
        <f t="shared" si="45"/>
        <v>14.75</v>
      </c>
      <c r="CX15" s="40">
        <f t="shared" si="46"/>
        <v>50.45</v>
      </c>
      <c r="CY15" s="40">
        <f t="shared" si="47"/>
        <v>99.39</v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6.15</v>
      </c>
      <c r="SU15" s="22">
        <f t="shared" si="219"/>
        <v>4.5</v>
      </c>
      <c r="SV15" s="22">
        <f t="shared" si="220"/>
        <v>5.5</v>
      </c>
      <c r="SW15" s="22">
        <f t="shared" si="221"/>
        <v>7.35</v>
      </c>
      <c r="SX15" s="22">
        <f t="shared" si="222"/>
        <v>0</v>
      </c>
      <c r="SY15" s="22">
        <f t="shared" si="223"/>
        <v>6.75</v>
      </c>
      <c r="SZ15" s="22">
        <f t="shared" si="224"/>
        <v>4.6500000000000004</v>
      </c>
      <c r="TA15" s="22">
        <f t="shared" si="225"/>
        <v>5.5</v>
      </c>
      <c r="TB15" s="22">
        <f t="shared" si="226"/>
        <v>7.57</v>
      </c>
      <c r="TC15" s="22">
        <f t="shared" si="227"/>
        <v>0</v>
      </c>
      <c r="TD15" s="22">
        <f t="shared" si="228"/>
        <v>6.95</v>
      </c>
      <c r="TE15" s="22">
        <f t="shared" si="229"/>
        <v>4.7</v>
      </c>
      <c r="TF15" s="22">
        <f t="shared" si="230"/>
        <v>6.2</v>
      </c>
      <c r="TG15" s="22">
        <f t="shared" si="231"/>
        <v>7.375</v>
      </c>
      <c r="TH15" s="22">
        <f t="shared" si="232"/>
        <v>0</v>
      </c>
      <c r="TI15" s="27" t="s">
        <v>46</v>
      </c>
      <c r="TJ15" s="40">
        <f t="shared" si="233"/>
        <v>5.5</v>
      </c>
      <c r="TK15" s="40">
        <f t="shared" si="234"/>
        <v>7.35</v>
      </c>
      <c r="TL15" s="40">
        <f t="shared" si="235"/>
        <v>23.5</v>
      </c>
      <c r="TM15" s="40">
        <f t="shared" si="236"/>
        <v>5.5</v>
      </c>
      <c r="TN15" s="40">
        <f t="shared" si="237"/>
        <v>7.57</v>
      </c>
      <c r="TO15" s="40">
        <f t="shared" si="238"/>
        <v>24.47</v>
      </c>
      <c r="TP15" s="40">
        <f t="shared" si="239"/>
        <v>24.47</v>
      </c>
      <c r="TQ15" s="40">
        <f t="shared" si="240"/>
        <v>6.2</v>
      </c>
      <c r="TR15" s="40">
        <f t="shared" si="241"/>
        <v>7.375</v>
      </c>
      <c r="TS15" s="40">
        <f t="shared" si="242"/>
        <v>25.225000000000001</v>
      </c>
      <c r="TT15" s="40">
        <f t="shared" si="243"/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110</v>
      </c>
      <c r="C16" s="4" t="s">
        <v>4</v>
      </c>
      <c r="D16" s="4">
        <v>2004</v>
      </c>
      <c r="E16" s="9">
        <f t="shared" si="0"/>
        <v>160.78001577400508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50.699999999999996</v>
      </c>
      <c r="K16" s="8" t="str">
        <f t="shared" si="5"/>
        <v>2022 Nationals</v>
      </c>
      <c r="L16" s="8">
        <f>IF(COUNT(AO16,AR16,BP16,BS16,CQ16,CT16)&gt;1,LARGE((AO16,AR16,BP16,BS16,CQ16,CT16),2),0)</f>
        <v>44.629999999999995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50.11</v>
      </c>
      <c r="O16" s="8" t="str">
        <f t="shared" si="7"/>
        <v>2022 Nationals</v>
      </c>
      <c r="P16" s="8">
        <f t="shared" si="8"/>
        <v>12.3</v>
      </c>
      <c r="Q16" s="8" t="str">
        <f t="shared" si="9"/>
        <v>2022 Nationals</v>
      </c>
      <c r="R16" s="8">
        <f t="shared" si="10"/>
        <v>0</v>
      </c>
      <c r="S16" s="8" t="str">
        <f t="shared" si="11"/>
        <v/>
      </c>
      <c r="T16" s="8">
        <f t="shared" si="12"/>
        <v>3.0400000000000063</v>
      </c>
      <c r="U16" s="11" t="str">
        <f t="shared" si="13"/>
        <v>(Optional)</v>
      </c>
      <c r="V16" s="8" t="str">
        <f t="shared" si="14"/>
        <v>2023 Pan Am Club Championships (May 14)</v>
      </c>
      <c r="W16" s="22">
        <v>14.1</v>
      </c>
      <c r="X16" s="22">
        <v>8.9</v>
      </c>
      <c r="Y16" s="22">
        <v>12.3</v>
      </c>
      <c r="Z16" s="22">
        <v>15.4</v>
      </c>
      <c r="AA16" s="22">
        <v>0</v>
      </c>
      <c r="AB16" s="22"/>
      <c r="AC16" s="22"/>
      <c r="AD16" s="22"/>
      <c r="AE16" s="22"/>
      <c r="AF16" s="22"/>
      <c r="AG16" s="22">
        <v>13.3</v>
      </c>
      <c r="AH16" s="22">
        <v>9.6999999999999993</v>
      </c>
      <c r="AI16" s="22">
        <v>12.3</v>
      </c>
      <c r="AJ16" s="22">
        <v>14.81</v>
      </c>
      <c r="AK16" s="22">
        <v>0</v>
      </c>
      <c r="AL16" s="27"/>
      <c r="AM16" s="38">
        <f t="shared" si="15"/>
        <v>12.3</v>
      </c>
      <c r="AN16" s="38">
        <f t="shared" si="16"/>
        <v>15.4</v>
      </c>
      <c r="AO16" s="40">
        <f t="shared" si="17"/>
        <v>50.699999999999996</v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>
        <f t="shared" si="21"/>
        <v>50.699999999999996</v>
      </c>
      <c r="AT16" s="40">
        <f t="shared" si="22"/>
        <v>12.3</v>
      </c>
      <c r="AU16" s="40">
        <f t="shared" si="23"/>
        <v>14.81</v>
      </c>
      <c r="AV16" s="40">
        <f t="shared" si="24"/>
        <v>50.11</v>
      </c>
      <c r="AW16" s="40">
        <f t="shared" si="25"/>
        <v>100.81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6"/>
        <v/>
      </c>
      <c r="BO16" s="39" t="str">
        <f t="shared" si="27"/>
        <v/>
      </c>
      <c r="BP16" s="11" t="str">
        <f t="shared" si="28"/>
        <v/>
      </c>
      <c r="BQ16" s="11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22">
        <v>5.8</v>
      </c>
      <c r="BZ16" s="22">
        <v>3.8</v>
      </c>
      <c r="CA16" s="22">
        <v>5.4</v>
      </c>
      <c r="CB16" s="22">
        <v>6.49</v>
      </c>
      <c r="CC16" s="22">
        <v>0.2</v>
      </c>
      <c r="CD16" s="22">
        <v>10.8</v>
      </c>
      <c r="CE16" s="22">
        <v>8.1</v>
      </c>
      <c r="CF16" s="22">
        <v>11.9</v>
      </c>
      <c r="CG16" s="22">
        <v>13.83</v>
      </c>
      <c r="CH16" s="22">
        <v>0</v>
      </c>
      <c r="CI16" s="22"/>
      <c r="CJ16" s="22"/>
      <c r="CK16" s="22"/>
      <c r="CL16" s="22"/>
      <c r="CM16" s="22"/>
      <c r="CN16" s="27"/>
      <c r="CO16" s="38">
        <f t="shared" si="37"/>
        <v>5.4</v>
      </c>
      <c r="CP16" s="38">
        <f t="shared" si="38"/>
        <v>6.49</v>
      </c>
      <c r="CQ16" s="40">
        <f t="shared" si="39"/>
        <v>21.290000000000003</v>
      </c>
      <c r="CR16" s="40">
        <f t="shared" si="40"/>
        <v>11.9</v>
      </c>
      <c r="CS16" s="40">
        <f t="shared" si="41"/>
        <v>13.83</v>
      </c>
      <c r="CT16" s="40">
        <f t="shared" si="42"/>
        <v>44.629999999999995</v>
      </c>
      <c r="CU16" s="40">
        <f t="shared" si="43"/>
        <v>44.629999999999995</v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>
        <f t="shared" si="47"/>
        <v>44.629999999999995</v>
      </c>
      <c r="CZ16" s="50">
        <f t="shared" si="48"/>
        <v>3.0400000000000063</v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>
        <v>11.6</v>
      </c>
      <c r="EK16" s="18">
        <v>8.6</v>
      </c>
      <c r="EL16" s="18">
        <v>10.5</v>
      </c>
      <c r="EM16" s="18">
        <v>15.95</v>
      </c>
      <c r="EN16" s="18">
        <v>0</v>
      </c>
      <c r="EO16" s="18">
        <v>11.5</v>
      </c>
      <c r="EP16" s="18">
        <v>9.4</v>
      </c>
      <c r="EQ16" s="18">
        <v>11.6</v>
      </c>
      <c r="ER16" s="18">
        <v>15.17</v>
      </c>
      <c r="ES16" s="18">
        <v>0</v>
      </c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>
        <f t="shared" si="64"/>
        <v>10.5</v>
      </c>
      <c r="FE16" s="11">
        <f t="shared" si="65"/>
        <v>15.95</v>
      </c>
      <c r="FF16" s="11">
        <f t="shared" si="66"/>
        <v>46.65</v>
      </c>
      <c r="FG16" s="11">
        <f t="shared" si="67"/>
        <v>11.6</v>
      </c>
      <c r="FH16" s="11">
        <f t="shared" si="68"/>
        <v>15.17</v>
      </c>
      <c r="FI16" s="11">
        <f t="shared" si="69"/>
        <v>47.67</v>
      </c>
      <c r="FJ16" s="11">
        <f t="shared" si="70"/>
        <v>47.67</v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>
        <f t="shared" si="77"/>
        <v>47.67</v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2.9</v>
      </c>
      <c r="SU16" s="22">
        <f t="shared" si="219"/>
        <v>1.9</v>
      </c>
      <c r="SV16" s="22">
        <f t="shared" si="220"/>
        <v>2.7</v>
      </c>
      <c r="SW16" s="22">
        <f t="shared" si="221"/>
        <v>3.2450000000000001</v>
      </c>
      <c r="SX16" s="22">
        <f t="shared" si="222"/>
        <v>0.1</v>
      </c>
      <c r="SY16" s="22">
        <f t="shared" si="223"/>
        <v>5.4</v>
      </c>
      <c r="SZ16" s="22">
        <f t="shared" si="224"/>
        <v>4.05</v>
      </c>
      <c r="TA16" s="22">
        <f t="shared" si="225"/>
        <v>5.95</v>
      </c>
      <c r="TB16" s="22">
        <f t="shared" si="226"/>
        <v>6.915</v>
      </c>
      <c r="TC16" s="22">
        <f t="shared" si="227"/>
        <v>0</v>
      </c>
      <c r="TD16" s="22">
        <f t="shared" si="228"/>
        <v>0</v>
      </c>
      <c r="TE16" s="22">
        <f t="shared" si="229"/>
        <v>0</v>
      </c>
      <c r="TF16" s="22">
        <f t="shared" si="230"/>
        <v>0</v>
      </c>
      <c r="TG16" s="22">
        <f t="shared" si="231"/>
        <v>0</v>
      </c>
      <c r="TH16" s="22">
        <f t="shared" si="232"/>
        <v>0</v>
      </c>
      <c r="TI16" s="27" t="s">
        <v>46</v>
      </c>
      <c r="TJ16" s="40">
        <f t="shared" si="233"/>
        <v>2.7</v>
      </c>
      <c r="TK16" s="40">
        <f t="shared" si="234"/>
        <v>3.2450000000000001</v>
      </c>
      <c r="TL16" s="40">
        <f t="shared" si="235"/>
        <v>10.645000000000001</v>
      </c>
      <c r="TM16" s="40">
        <f t="shared" si="236"/>
        <v>5.95</v>
      </c>
      <c r="TN16" s="40">
        <f t="shared" si="237"/>
        <v>6.915</v>
      </c>
      <c r="TO16" s="40">
        <f t="shared" si="238"/>
        <v>22.314999999999998</v>
      </c>
      <c r="TP16" s="40">
        <f t="shared" si="239"/>
        <v>22.314999999999998</v>
      </c>
      <c r="TQ16" s="40" t="str">
        <f t="shared" si="240"/>
        <v/>
      </c>
      <c r="TR16" s="40" t="str">
        <f t="shared" si="241"/>
        <v/>
      </c>
      <c r="TS16" s="40" t="str">
        <f t="shared" si="242"/>
        <v/>
      </c>
      <c r="TT16" s="40">
        <f t="shared" si="243"/>
        <v>22.314999999999998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198</v>
      </c>
      <c r="C17" s="4" t="s">
        <v>6</v>
      </c>
      <c r="D17" s="4">
        <v>2004</v>
      </c>
      <c r="E17" s="9">
        <f t="shared" si="0"/>
        <v>160.07001600700497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49.809999999999995</v>
      </c>
      <c r="K17" s="8" t="str">
        <f t="shared" si="5"/>
        <v>2023 Elite Canada</v>
      </c>
      <c r="L17" s="8">
        <f>IF(COUNT(AO17,AR17,BP17,BS17,CQ17,CT17)&gt;1,LARGE((AO17,AR17,BP17,BS17,CQ17,CT17),2),0)</f>
        <v>48.64</v>
      </c>
      <c r="M17" s="8" t="str">
        <f t="shared" si="6"/>
        <v>2023 Elite Canada</v>
      </c>
      <c r="N17" s="8">
        <f>IF(COUNT(AO17,AR17,BP17,BS17,CQ17,CT17)&gt;2,MAX(AV17,BW17,CX17,LARGE((AO17,AR17,BP17,BS17,CQ17,CT17),3)),IF(MAX(AV17,BW17,CX17)&gt;0,MAX(AV17,BW17,CX17),0))</f>
        <v>49.42</v>
      </c>
      <c r="O17" s="8" t="str">
        <f t="shared" si="7"/>
        <v>2023 Elite Canada</v>
      </c>
      <c r="P17" s="8">
        <f t="shared" si="8"/>
        <v>12.2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5"/>
        <v/>
      </c>
      <c r="AN17" s="38" t="str">
        <f t="shared" si="16"/>
        <v/>
      </c>
      <c r="AO17" s="40" t="str">
        <f t="shared" si="17"/>
        <v/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 t="str">
        <f t="shared" si="21"/>
        <v/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 t="str">
        <f t="shared" si="25"/>
        <v/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 t="shared" si="26"/>
        <v/>
      </c>
      <c r="BO17" s="39" t="str">
        <f t="shared" si="27"/>
        <v/>
      </c>
      <c r="BP17" s="11" t="str">
        <f t="shared" si="28"/>
        <v/>
      </c>
      <c r="BQ17" s="11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22">
        <v>12.7</v>
      </c>
      <c r="BZ17" s="22">
        <v>9.6</v>
      </c>
      <c r="CA17" s="22">
        <v>10.7</v>
      </c>
      <c r="CB17" s="22">
        <v>15.64</v>
      </c>
      <c r="CC17" s="22">
        <v>0</v>
      </c>
      <c r="CD17" s="22">
        <v>13.8</v>
      </c>
      <c r="CE17" s="22">
        <v>9.6</v>
      </c>
      <c r="CF17" s="22">
        <v>11.2</v>
      </c>
      <c r="CG17" s="22">
        <v>15.21</v>
      </c>
      <c r="CH17" s="22">
        <v>0</v>
      </c>
      <c r="CI17" s="22">
        <v>12.8</v>
      </c>
      <c r="CJ17" s="22">
        <v>9.4</v>
      </c>
      <c r="CK17" s="22">
        <v>12.2</v>
      </c>
      <c r="CL17" s="22">
        <v>15.02</v>
      </c>
      <c r="CM17" s="22">
        <v>0</v>
      </c>
      <c r="CN17" s="27"/>
      <c r="CO17" s="38">
        <f t="shared" si="37"/>
        <v>10.7</v>
      </c>
      <c r="CP17" s="38">
        <f t="shared" si="38"/>
        <v>15.64</v>
      </c>
      <c r="CQ17" s="40">
        <f t="shared" si="39"/>
        <v>48.64</v>
      </c>
      <c r="CR17" s="40">
        <f t="shared" si="40"/>
        <v>11.2</v>
      </c>
      <c r="CS17" s="40">
        <f t="shared" si="41"/>
        <v>15.21</v>
      </c>
      <c r="CT17" s="40">
        <f t="shared" si="42"/>
        <v>49.809999999999995</v>
      </c>
      <c r="CU17" s="40">
        <f t="shared" si="43"/>
        <v>49.809999999999995</v>
      </c>
      <c r="CV17" s="40">
        <f t="shared" si="44"/>
        <v>12.2</v>
      </c>
      <c r="CW17" s="40">
        <f t="shared" si="45"/>
        <v>15.02</v>
      </c>
      <c r="CX17" s="40">
        <f t="shared" si="46"/>
        <v>49.42</v>
      </c>
      <c r="CY17" s="40">
        <f t="shared" si="47"/>
        <v>99.22999999999999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6.35</v>
      </c>
      <c r="SU17" s="22">
        <f t="shared" si="219"/>
        <v>4.8</v>
      </c>
      <c r="SV17" s="22">
        <f t="shared" si="220"/>
        <v>5.35</v>
      </c>
      <c r="SW17" s="22">
        <f t="shared" si="221"/>
        <v>7.82</v>
      </c>
      <c r="SX17" s="22">
        <f t="shared" si="222"/>
        <v>0</v>
      </c>
      <c r="SY17" s="22">
        <f t="shared" si="223"/>
        <v>6.9</v>
      </c>
      <c r="SZ17" s="22">
        <f t="shared" si="224"/>
        <v>4.8</v>
      </c>
      <c r="TA17" s="22">
        <f t="shared" si="225"/>
        <v>5.6</v>
      </c>
      <c r="TB17" s="22">
        <f t="shared" si="226"/>
        <v>7.6050000000000004</v>
      </c>
      <c r="TC17" s="22">
        <f t="shared" si="227"/>
        <v>0</v>
      </c>
      <c r="TD17" s="22">
        <f t="shared" si="228"/>
        <v>6.4</v>
      </c>
      <c r="TE17" s="22">
        <f t="shared" si="229"/>
        <v>4.7</v>
      </c>
      <c r="TF17" s="22">
        <f t="shared" si="230"/>
        <v>6.1</v>
      </c>
      <c r="TG17" s="22">
        <f t="shared" si="231"/>
        <v>7.51</v>
      </c>
      <c r="TH17" s="22">
        <f t="shared" si="232"/>
        <v>0</v>
      </c>
      <c r="TI17" s="27" t="s">
        <v>46</v>
      </c>
      <c r="TJ17" s="40">
        <f t="shared" si="233"/>
        <v>5.35</v>
      </c>
      <c r="TK17" s="40">
        <f t="shared" si="234"/>
        <v>7.82</v>
      </c>
      <c r="TL17" s="40">
        <f t="shared" si="235"/>
        <v>24.32</v>
      </c>
      <c r="TM17" s="40">
        <f t="shared" si="236"/>
        <v>5.6</v>
      </c>
      <c r="TN17" s="40">
        <f t="shared" si="237"/>
        <v>7.6050000000000004</v>
      </c>
      <c r="TO17" s="40">
        <f t="shared" si="238"/>
        <v>24.904999999999998</v>
      </c>
      <c r="TP17" s="40">
        <f t="shared" si="239"/>
        <v>24.904999999999998</v>
      </c>
      <c r="TQ17" s="40">
        <f t="shared" si="240"/>
        <v>6.1</v>
      </c>
      <c r="TR17" s="40">
        <f t="shared" si="241"/>
        <v>7.51</v>
      </c>
      <c r="TS17" s="40">
        <f t="shared" si="242"/>
        <v>24.71</v>
      </c>
      <c r="TT17" s="40">
        <f t="shared" si="243"/>
        <v>49.614999999999995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140</v>
      </c>
      <c r="C18" s="4" t="s">
        <v>6</v>
      </c>
      <c r="D18" s="4">
        <v>2003</v>
      </c>
      <c r="E18" s="9">
        <f t="shared" si="0"/>
        <v>156.97001569700492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49.31</v>
      </c>
      <c r="K18" s="8" t="str">
        <f t="shared" si="5"/>
        <v>2023 Elite Canada</v>
      </c>
      <c r="L18" s="8">
        <f>IF(COUNT(AO18,AR18,BP18,BS18,CQ18,CT18)&gt;1,LARGE((AO18,AR18,BP18,BS18,CQ18,CT18),2),0)</f>
        <v>48.47</v>
      </c>
      <c r="M18" s="8" t="str">
        <f t="shared" si="6"/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 t="shared" si="7"/>
        <v>2022 Nationals</v>
      </c>
      <c r="P18" s="8">
        <f t="shared" si="8"/>
        <v>11.4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 t="shared" si="15"/>
        <v>10.1</v>
      </c>
      <c r="AN18" s="38">
        <f t="shared" si="16"/>
        <v>14.17</v>
      </c>
      <c r="AO18" s="40">
        <f t="shared" si="17"/>
        <v>48.47</v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>
        <f t="shared" si="21"/>
        <v>48.47</v>
      </c>
      <c r="AT18" s="40">
        <f t="shared" si="22"/>
        <v>10.1</v>
      </c>
      <c r="AU18" s="40">
        <f t="shared" si="23"/>
        <v>13.49</v>
      </c>
      <c r="AV18" s="40">
        <f t="shared" si="24"/>
        <v>47.790000000000006</v>
      </c>
      <c r="AW18" s="40">
        <f t="shared" si="25"/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6"/>
        <v/>
      </c>
      <c r="BO18" s="39" t="str">
        <f t="shared" si="27"/>
        <v/>
      </c>
      <c r="BP18" s="11" t="str">
        <f t="shared" si="28"/>
        <v/>
      </c>
      <c r="BQ18" s="11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 t="shared" si="37"/>
        <v>11.4</v>
      </c>
      <c r="CP18" s="38">
        <f t="shared" si="38"/>
        <v>13.91</v>
      </c>
      <c r="CQ18" s="40">
        <f t="shared" si="39"/>
        <v>49.31</v>
      </c>
      <c r="CR18" s="40">
        <f t="shared" si="40"/>
        <v>8.9</v>
      </c>
      <c r="CS18" s="40">
        <f t="shared" si="41"/>
        <v>12.54</v>
      </c>
      <c r="CT18" s="40">
        <f t="shared" si="42"/>
        <v>42.44</v>
      </c>
      <c r="CU18" s="40">
        <f t="shared" si="43"/>
        <v>49.31</v>
      </c>
      <c r="CV18" s="40">
        <f t="shared" si="44"/>
        <v>11.4</v>
      </c>
      <c r="CW18" s="40">
        <f t="shared" si="45"/>
        <v>14.5</v>
      </c>
      <c r="CX18" s="40">
        <f t="shared" si="46"/>
        <v>47.699999999999996</v>
      </c>
      <c r="CY18" s="40">
        <f t="shared" si="47"/>
        <v>97.009999999999991</v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7.2</v>
      </c>
      <c r="SU18" s="22">
        <f t="shared" si="219"/>
        <v>4.8</v>
      </c>
      <c r="SV18" s="22">
        <f t="shared" si="220"/>
        <v>5.7</v>
      </c>
      <c r="SW18" s="22">
        <f t="shared" si="221"/>
        <v>6.9550000000000001</v>
      </c>
      <c r="SX18" s="22">
        <f t="shared" si="222"/>
        <v>0</v>
      </c>
      <c r="SY18" s="22">
        <f t="shared" si="223"/>
        <v>6.35</v>
      </c>
      <c r="SZ18" s="22">
        <f t="shared" si="224"/>
        <v>4.1500000000000004</v>
      </c>
      <c r="TA18" s="22">
        <f t="shared" si="225"/>
        <v>4.45</v>
      </c>
      <c r="TB18" s="22">
        <f t="shared" si="226"/>
        <v>6.27</v>
      </c>
      <c r="TC18" s="22">
        <f t="shared" si="227"/>
        <v>0</v>
      </c>
      <c r="TD18" s="22">
        <f t="shared" si="228"/>
        <v>6.1</v>
      </c>
      <c r="TE18" s="22">
        <f t="shared" si="229"/>
        <v>4.8</v>
      </c>
      <c r="TF18" s="22">
        <f t="shared" si="230"/>
        <v>5.7</v>
      </c>
      <c r="TG18" s="22">
        <f t="shared" si="231"/>
        <v>7.25</v>
      </c>
      <c r="TH18" s="22">
        <f t="shared" si="232"/>
        <v>0</v>
      </c>
      <c r="TI18" s="27" t="s">
        <v>46</v>
      </c>
      <c r="TJ18" s="40">
        <f t="shared" si="233"/>
        <v>5.7</v>
      </c>
      <c r="TK18" s="40">
        <f t="shared" si="234"/>
        <v>6.9550000000000001</v>
      </c>
      <c r="TL18" s="40">
        <f t="shared" si="235"/>
        <v>24.655000000000001</v>
      </c>
      <c r="TM18" s="40">
        <f t="shared" si="236"/>
        <v>4.45</v>
      </c>
      <c r="TN18" s="40">
        <f t="shared" si="237"/>
        <v>6.27</v>
      </c>
      <c r="TO18" s="40">
        <f t="shared" si="238"/>
        <v>21.22</v>
      </c>
      <c r="TP18" s="40">
        <f t="shared" si="239"/>
        <v>24.655000000000001</v>
      </c>
      <c r="TQ18" s="40">
        <f t="shared" si="240"/>
        <v>5.7</v>
      </c>
      <c r="TR18" s="40">
        <f t="shared" si="241"/>
        <v>7.25</v>
      </c>
      <c r="TS18" s="40">
        <f t="shared" si="242"/>
        <v>23.849999999999998</v>
      </c>
      <c r="TT18" s="40">
        <f t="shared" si="243"/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139</v>
      </c>
      <c r="C19" s="4" t="s">
        <v>3</v>
      </c>
      <c r="D19" s="4">
        <v>2002</v>
      </c>
      <c r="E19" s="9">
        <f t="shared" si="0"/>
        <v>156.68001566800498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49.65</v>
      </c>
      <c r="K19" s="8" t="str">
        <f t="shared" si="5"/>
        <v>2022 Nationals</v>
      </c>
      <c r="L19" s="8">
        <f>IF(COUNT(AO19,AR19,BP19,BS19,CQ19,CT19)&gt;1,LARGE((AO19,AR19,BP19,BS19,CQ19,CT19),2),0)</f>
        <v>46.96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 t="shared" si="7"/>
        <v>2022 Nationals</v>
      </c>
      <c r="P19" s="8">
        <f t="shared" si="8"/>
        <v>12.2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 t="shared" si="15"/>
        <v>11.8</v>
      </c>
      <c r="AN19" s="38">
        <f t="shared" si="16"/>
        <v>14.65</v>
      </c>
      <c r="AO19" s="40">
        <f t="shared" si="17"/>
        <v>49.65</v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>
        <f t="shared" si="21"/>
        <v>49.65</v>
      </c>
      <c r="AT19" s="40">
        <f t="shared" si="22"/>
        <v>11.6</v>
      </c>
      <c r="AU19" s="40">
        <f t="shared" si="23"/>
        <v>14.27</v>
      </c>
      <c r="AV19" s="40">
        <f t="shared" si="24"/>
        <v>47.870000000000005</v>
      </c>
      <c r="AW19" s="40">
        <f t="shared" si="25"/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 t="shared" si="26"/>
        <v>1.7</v>
      </c>
      <c r="BO19" s="39">
        <f t="shared" si="27"/>
        <v>1.58</v>
      </c>
      <c r="BP19" s="11">
        <f t="shared" si="28"/>
        <v>5.38</v>
      </c>
      <c r="BQ19" s="11" t="str">
        <f t="shared" si="29"/>
        <v/>
      </c>
      <c r="BR19" s="11" t="str">
        <f t="shared" si="30"/>
        <v/>
      </c>
      <c r="BS19" s="11" t="str">
        <f t="shared" si="31"/>
        <v/>
      </c>
      <c r="BT19" s="11">
        <f t="shared" si="32"/>
        <v>5.38</v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>
        <f t="shared" si="36"/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7"/>
        <v>8.6999999999999993</v>
      </c>
      <c r="CP19" s="38">
        <f t="shared" si="38"/>
        <v>11.16</v>
      </c>
      <c r="CQ19" s="40">
        <f t="shared" si="39"/>
        <v>35.760000000000005</v>
      </c>
      <c r="CR19" s="40">
        <f t="shared" si="40"/>
        <v>12.2</v>
      </c>
      <c r="CS19" s="40">
        <f t="shared" si="41"/>
        <v>14.26</v>
      </c>
      <c r="CT19" s="40">
        <f t="shared" si="42"/>
        <v>46.96</v>
      </c>
      <c r="CU19" s="40">
        <f t="shared" si="43"/>
        <v>46.96</v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>
        <f t="shared" si="47"/>
        <v>46.96</v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5</v>
      </c>
      <c r="SU19" s="22">
        <f t="shared" si="219"/>
        <v>4</v>
      </c>
      <c r="SV19" s="22">
        <f t="shared" si="220"/>
        <v>5.1999999999999993</v>
      </c>
      <c r="SW19" s="22">
        <f t="shared" si="221"/>
        <v>6.37</v>
      </c>
      <c r="SX19" s="22">
        <f t="shared" si="222"/>
        <v>0</v>
      </c>
      <c r="SY19" s="22">
        <f t="shared" si="223"/>
        <v>5.8</v>
      </c>
      <c r="SZ19" s="22">
        <f t="shared" si="224"/>
        <v>4.45</v>
      </c>
      <c r="TA19" s="22">
        <f t="shared" si="225"/>
        <v>6.1</v>
      </c>
      <c r="TB19" s="22">
        <f t="shared" si="226"/>
        <v>7.13</v>
      </c>
      <c r="TC19" s="22">
        <f t="shared" si="227"/>
        <v>0</v>
      </c>
      <c r="TD19" s="22">
        <f t="shared" si="228"/>
        <v>0</v>
      </c>
      <c r="TE19" s="22">
        <f t="shared" si="229"/>
        <v>0</v>
      </c>
      <c r="TF19" s="22">
        <f t="shared" si="230"/>
        <v>0</v>
      </c>
      <c r="TG19" s="22">
        <f t="shared" si="231"/>
        <v>0</v>
      </c>
      <c r="TH19" s="22">
        <f t="shared" si="232"/>
        <v>0</v>
      </c>
      <c r="TI19" s="27" t="s">
        <v>46</v>
      </c>
      <c r="TJ19" s="40">
        <f t="shared" si="233"/>
        <v>5.1999999999999993</v>
      </c>
      <c r="TK19" s="40">
        <f t="shared" si="234"/>
        <v>6.37</v>
      </c>
      <c r="TL19" s="40">
        <f t="shared" si="235"/>
        <v>20.57</v>
      </c>
      <c r="TM19" s="40">
        <f t="shared" si="236"/>
        <v>6.1</v>
      </c>
      <c r="TN19" s="40">
        <f t="shared" si="237"/>
        <v>7.13</v>
      </c>
      <c r="TO19" s="40">
        <f t="shared" si="238"/>
        <v>23.48</v>
      </c>
      <c r="TP19" s="40">
        <f t="shared" si="239"/>
        <v>23.48</v>
      </c>
      <c r="TQ19" s="40" t="str">
        <f t="shared" si="240"/>
        <v/>
      </c>
      <c r="TR19" s="40" t="str">
        <f t="shared" si="241"/>
        <v/>
      </c>
      <c r="TS19" s="40" t="str">
        <f t="shared" si="242"/>
        <v/>
      </c>
      <c r="TT19" s="40">
        <f t="shared" si="243"/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142</v>
      </c>
      <c r="C20" s="4" t="s">
        <v>3</v>
      </c>
      <c r="D20" s="4">
        <v>2005</v>
      </c>
      <c r="E20" s="9">
        <f t="shared" si="0"/>
        <v>156.66001566600494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49.319999999999993</v>
      </c>
      <c r="K20" s="8" t="str">
        <f t="shared" si="5"/>
        <v>2023 Elite Canada</v>
      </c>
      <c r="L20" s="8">
        <f>IF(COUNT(AO20,AR20,BP20,BS20,CQ20,CT20)&gt;1,LARGE((AO20,AR20,BP20,BS20,CQ20,CT20),2),0)</f>
        <v>43.42</v>
      </c>
      <c r="M20" s="8" t="str">
        <f t="shared" si="6"/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 t="shared" si="7"/>
        <v>2023 Elite Canada</v>
      </c>
      <c r="P20" s="8">
        <f t="shared" si="8"/>
        <v>12.9</v>
      </c>
      <c r="Q20" s="8" t="str">
        <f t="shared" si="9"/>
        <v>2023 Elite Canada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5"/>
        <v/>
      </c>
      <c r="AN20" s="38" t="str">
        <f t="shared" si="16"/>
        <v/>
      </c>
      <c r="AO20" s="40" t="str">
        <f t="shared" si="17"/>
        <v/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6"/>
        <v/>
      </c>
      <c r="BO20" s="39" t="str">
        <f t="shared" si="27"/>
        <v/>
      </c>
      <c r="BP20" s="11" t="str">
        <f t="shared" si="28"/>
        <v/>
      </c>
      <c r="BQ20" s="11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 t="shared" si="37"/>
        <v>12.3</v>
      </c>
      <c r="CP20" s="38">
        <f t="shared" si="38"/>
        <v>14.52</v>
      </c>
      <c r="CQ20" s="40">
        <f t="shared" si="39"/>
        <v>49.319999999999993</v>
      </c>
      <c r="CR20" s="40">
        <f t="shared" si="40"/>
        <v>9.1999999999999993</v>
      </c>
      <c r="CS20" s="40">
        <f t="shared" si="41"/>
        <v>13.32</v>
      </c>
      <c r="CT20" s="40">
        <f t="shared" si="42"/>
        <v>43.42</v>
      </c>
      <c r="CU20" s="40">
        <f t="shared" si="43"/>
        <v>49.319999999999993</v>
      </c>
      <c r="CV20" s="40">
        <f t="shared" si="44"/>
        <v>12.9</v>
      </c>
      <c r="CW20" s="40">
        <f t="shared" si="45"/>
        <v>14.72</v>
      </c>
      <c r="CX20" s="40">
        <f t="shared" si="46"/>
        <v>51.019999999999996</v>
      </c>
      <c r="CY20" s="40">
        <f t="shared" si="47"/>
        <v>100.33999999999999</v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6.7</v>
      </c>
      <c r="SU20" s="22">
        <f t="shared" si="219"/>
        <v>4.55</v>
      </c>
      <c r="SV20" s="22">
        <f t="shared" si="220"/>
        <v>6.15</v>
      </c>
      <c r="SW20" s="22">
        <f t="shared" si="221"/>
        <v>7.26</v>
      </c>
      <c r="SX20" s="22">
        <f t="shared" si="222"/>
        <v>0</v>
      </c>
      <c r="SY20" s="22">
        <f t="shared" si="223"/>
        <v>6.3</v>
      </c>
      <c r="SZ20" s="22">
        <f t="shared" si="224"/>
        <v>4.1500000000000004</v>
      </c>
      <c r="TA20" s="22">
        <f t="shared" si="225"/>
        <v>4.5999999999999996</v>
      </c>
      <c r="TB20" s="22">
        <f t="shared" si="226"/>
        <v>6.66</v>
      </c>
      <c r="TC20" s="22">
        <f t="shared" si="227"/>
        <v>0</v>
      </c>
      <c r="TD20" s="22">
        <f t="shared" si="228"/>
        <v>7</v>
      </c>
      <c r="TE20" s="22">
        <f t="shared" si="229"/>
        <v>4.7</v>
      </c>
      <c r="TF20" s="22">
        <f t="shared" si="230"/>
        <v>6.45</v>
      </c>
      <c r="TG20" s="22">
        <f t="shared" si="231"/>
        <v>7.36</v>
      </c>
      <c r="TH20" s="22">
        <f t="shared" si="232"/>
        <v>0</v>
      </c>
      <c r="TI20" s="27" t="s">
        <v>46</v>
      </c>
      <c r="TJ20" s="40">
        <f t="shared" si="233"/>
        <v>6.15</v>
      </c>
      <c r="TK20" s="40">
        <f t="shared" si="234"/>
        <v>7.26</v>
      </c>
      <c r="TL20" s="40">
        <f t="shared" si="235"/>
        <v>24.659999999999997</v>
      </c>
      <c r="TM20" s="40">
        <f t="shared" si="236"/>
        <v>4.5999999999999996</v>
      </c>
      <c r="TN20" s="40">
        <f t="shared" si="237"/>
        <v>6.66</v>
      </c>
      <c r="TO20" s="40">
        <f t="shared" si="238"/>
        <v>21.71</v>
      </c>
      <c r="TP20" s="40">
        <f t="shared" si="239"/>
        <v>24.659999999999997</v>
      </c>
      <c r="TQ20" s="40">
        <f t="shared" si="240"/>
        <v>6.45</v>
      </c>
      <c r="TR20" s="40">
        <f t="shared" si="241"/>
        <v>7.36</v>
      </c>
      <c r="TS20" s="40">
        <f t="shared" si="242"/>
        <v>25.509999999999998</v>
      </c>
      <c r="TT20" s="40">
        <f t="shared" si="243"/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196</v>
      </c>
      <c r="C21" s="4" t="s">
        <v>3</v>
      </c>
      <c r="D21" s="4">
        <v>2006</v>
      </c>
      <c r="E21" s="9">
        <f t="shared" si="0"/>
        <v>156.03001560300478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48.07</v>
      </c>
      <c r="K21" s="8" t="str">
        <f t="shared" si="5"/>
        <v>2023 Elite Canada</v>
      </c>
      <c r="L21" s="8">
        <f>IF(COUNT(AO21,AR21,BP21,BS21,CQ21,CT21)&gt;1,LARGE((AO21,AR21,BP21,BS21,CQ21,CT21),2),0)</f>
        <v>44.679999999999993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 t="shared" si="7"/>
        <v>2022 Nationals</v>
      </c>
      <c r="P21" s="8">
        <f t="shared" si="8"/>
        <v>12.2</v>
      </c>
      <c r="Q21" s="8" t="str">
        <f t="shared" si="9"/>
        <v>2022 Nationals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 t="shared" si="15"/>
        <v>8.9</v>
      </c>
      <c r="AN21" s="38">
        <f t="shared" si="16"/>
        <v>13.62</v>
      </c>
      <c r="AO21" s="40">
        <f t="shared" si="17"/>
        <v>43.419999999999995</v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>
        <f t="shared" si="21"/>
        <v>43.419999999999995</v>
      </c>
      <c r="AT21" s="40">
        <f t="shared" si="22"/>
        <v>12.2</v>
      </c>
      <c r="AU21" s="40">
        <f t="shared" si="23"/>
        <v>14.98</v>
      </c>
      <c r="AV21" s="40">
        <f t="shared" si="24"/>
        <v>51.08</v>
      </c>
      <c r="AW21" s="40">
        <f t="shared" si="25"/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6"/>
        <v/>
      </c>
      <c r="BO21" s="39" t="str">
        <f t="shared" si="27"/>
        <v/>
      </c>
      <c r="BP21" s="11" t="str">
        <f t="shared" si="28"/>
        <v/>
      </c>
      <c r="BQ21" s="11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 t="shared" si="37"/>
        <v>8.6999999999999993</v>
      </c>
      <c r="CP21" s="38">
        <f t="shared" si="38"/>
        <v>12.68</v>
      </c>
      <c r="CQ21" s="40">
        <f t="shared" si="39"/>
        <v>44.679999999999993</v>
      </c>
      <c r="CR21" s="40">
        <f t="shared" si="40"/>
        <v>9.6</v>
      </c>
      <c r="CS21" s="40">
        <f t="shared" si="41"/>
        <v>14.17</v>
      </c>
      <c r="CT21" s="40">
        <f t="shared" si="42"/>
        <v>48.07</v>
      </c>
      <c r="CU21" s="40">
        <f t="shared" si="43"/>
        <v>48.07</v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>
        <f t="shared" si="47"/>
        <v>48.07</v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>
        <f t="shared" si="53"/>
        <v>7</v>
      </c>
      <c r="DZ21" s="40">
        <f t="shared" si="54"/>
        <v>9.06</v>
      </c>
      <c r="EA21" s="40">
        <f t="shared" si="55"/>
        <v>30.060000000000002</v>
      </c>
      <c r="EB21" s="40">
        <f t="shared" si="56"/>
        <v>30.060000000000002</v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>
        <f t="shared" si="63"/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7.55</v>
      </c>
      <c r="SU21" s="22">
        <f t="shared" si="219"/>
        <v>4.0999999999999996</v>
      </c>
      <c r="SV21" s="22">
        <f t="shared" si="220"/>
        <v>4.3499999999999996</v>
      </c>
      <c r="SW21" s="22">
        <f t="shared" si="221"/>
        <v>6.34</v>
      </c>
      <c r="SX21" s="22">
        <f t="shared" si="222"/>
        <v>0</v>
      </c>
      <c r="SY21" s="22">
        <f t="shared" si="223"/>
        <v>7.3</v>
      </c>
      <c r="SZ21" s="22">
        <f t="shared" si="224"/>
        <v>4.8499999999999996</v>
      </c>
      <c r="TA21" s="22">
        <f t="shared" si="225"/>
        <v>4.8</v>
      </c>
      <c r="TB21" s="22">
        <f t="shared" si="226"/>
        <v>7.085</v>
      </c>
      <c r="TC21" s="22">
        <f t="shared" si="227"/>
        <v>0</v>
      </c>
      <c r="TD21" s="22">
        <f t="shared" si="228"/>
        <v>0</v>
      </c>
      <c r="TE21" s="22">
        <f t="shared" si="229"/>
        <v>0</v>
      </c>
      <c r="TF21" s="22">
        <f t="shared" si="230"/>
        <v>0</v>
      </c>
      <c r="TG21" s="22">
        <f t="shared" si="231"/>
        <v>0</v>
      </c>
      <c r="TH21" s="22">
        <f t="shared" si="232"/>
        <v>0</v>
      </c>
      <c r="TI21" s="27" t="s">
        <v>46</v>
      </c>
      <c r="TJ21" s="40">
        <f t="shared" si="233"/>
        <v>4.3499999999999996</v>
      </c>
      <c r="TK21" s="40">
        <f t="shared" si="234"/>
        <v>6.34</v>
      </c>
      <c r="TL21" s="40">
        <f t="shared" si="235"/>
        <v>22.339999999999996</v>
      </c>
      <c r="TM21" s="40">
        <f t="shared" si="236"/>
        <v>4.8</v>
      </c>
      <c r="TN21" s="40">
        <f t="shared" si="237"/>
        <v>7.085</v>
      </c>
      <c r="TO21" s="40">
        <f t="shared" si="238"/>
        <v>24.035</v>
      </c>
      <c r="TP21" s="40">
        <f t="shared" si="239"/>
        <v>24.035</v>
      </c>
      <c r="TQ21" s="40" t="str">
        <f t="shared" si="240"/>
        <v/>
      </c>
      <c r="TR21" s="40" t="str">
        <f t="shared" si="241"/>
        <v/>
      </c>
      <c r="TS21" s="40" t="str">
        <f t="shared" si="242"/>
        <v/>
      </c>
      <c r="TT21" s="40">
        <f t="shared" si="243"/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143</v>
      </c>
      <c r="C22" s="4" t="s">
        <v>3</v>
      </c>
      <c r="D22" s="4">
        <v>2002</v>
      </c>
      <c r="E22" s="9">
        <f t="shared" si="0"/>
        <v>151.91001519100467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47.069999999999993</v>
      </c>
      <c r="K22" s="8" t="str">
        <f t="shared" si="5"/>
        <v>2023 Elite Canada</v>
      </c>
      <c r="L22" s="8">
        <f>IF(COUNT(AO22,AR22,BP22,BS22,CQ22,CT22)&gt;1,LARGE((AO22,AR22,BP22,BS22,CQ22,CT22),2),0)</f>
        <v>47.03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 t="shared" si="7"/>
        <v>2022 Nationals</v>
      </c>
      <c r="P22" s="8">
        <f t="shared" si="8"/>
        <v>11.2</v>
      </c>
      <c r="Q22" s="8" t="str">
        <f t="shared" si="9"/>
        <v>2022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 t="shared" si="15"/>
        <v>11.2</v>
      </c>
      <c r="AN22" s="38">
        <f t="shared" si="16"/>
        <v>14.41</v>
      </c>
      <c r="AO22" s="40">
        <f t="shared" si="17"/>
        <v>46.61</v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>
        <f t="shared" si="21"/>
        <v>46.61</v>
      </c>
      <c r="AT22" s="40">
        <f t="shared" si="22"/>
        <v>9.9</v>
      </c>
      <c r="AU22" s="40">
        <f t="shared" si="23"/>
        <v>14.07</v>
      </c>
      <c r="AV22" s="40">
        <f t="shared" si="24"/>
        <v>45.37</v>
      </c>
      <c r="AW22" s="40">
        <f t="shared" si="25"/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6"/>
        <v/>
      </c>
      <c r="BO22" s="39" t="str">
        <f t="shared" si="27"/>
        <v/>
      </c>
      <c r="BP22" s="11" t="str">
        <f t="shared" si="28"/>
        <v/>
      </c>
      <c r="BQ22" s="11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 t="shared" si="37"/>
        <v>9.3000000000000007</v>
      </c>
      <c r="CP22" s="38">
        <f t="shared" si="38"/>
        <v>14.77</v>
      </c>
      <c r="CQ22" s="40">
        <f t="shared" si="39"/>
        <v>47.069999999999993</v>
      </c>
      <c r="CR22" s="40">
        <f t="shared" si="40"/>
        <v>9.3000000000000007</v>
      </c>
      <c r="CS22" s="40">
        <f t="shared" si="41"/>
        <v>14.53</v>
      </c>
      <c r="CT22" s="40">
        <f t="shared" si="42"/>
        <v>47.03</v>
      </c>
      <c r="CU22" s="40">
        <f t="shared" si="43"/>
        <v>47.069999999999993</v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>
        <f t="shared" si="47"/>
        <v>47.069999999999993</v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6.75</v>
      </c>
      <c r="SU22" s="22">
        <f t="shared" si="219"/>
        <v>4.75</v>
      </c>
      <c r="SV22" s="22">
        <f t="shared" si="220"/>
        <v>4.6500000000000004</v>
      </c>
      <c r="SW22" s="22">
        <f t="shared" si="221"/>
        <v>7.3849999999999998</v>
      </c>
      <c r="SX22" s="22">
        <f t="shared" si="222"/>
        <v>0</v>
      </c>
      <c r="SY22" s="22">
        <f t="shared" si="223"/>
        <v>6.9</v>
      </c>
      <c r="SZ22" s="22">
        <f t="shared" si="224"/>
        <v>4.7</v>
      </c>
      <c r="TA22" s="22">
        <f t="shared" si="225"/>
        <v>4.6500000000000004</v>
      </c>
      <c r="TB22" s="22">
        <f t="shared" si="226"/>
        <v>7.2649999999999997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>
        <f t="shared" si="233"/>
        <v>4.6500000000000004</v>
      </c>
      <c r="TK22" s="40">
        <f t="shared" si="234"/>
        <v>7.3849999999999998</v>
      </c>
      <c r="TL22" s="40">
        <f t="shared" si="235"/>
        <v>23.534999999999997</v>
      </c>
      <c r="TM22" s="40">
        <f t="shared" si="236"/>
        <v>4.6500000000000004</v>
      </c>
      <c r="TN22" s="40">
        <f t="shared" si="237"/>
        <v>7.2649999999999997</v>
      </c>
      <c r="TO22" s="40">
        <f t="shared" si="238"/>
        <v>23.515000000000001</v>
      </c>
      <c r="TP22" s="40">
        <f t="shared" si="239"/>
        <v>23.534999999999997</v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>
        <f t="shared" si="243"/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197</v>
      </c>
      <c r="C23" s="4" t="s">
        <v>6</v>
      </c>
      <c r="D23" s="4">
        <v>2003</v>
      </c>
      <c r="E23" s="9">
        <f t="shared" si="0"/>
        <v>151.38001513800504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50.169999999999995</v>
      </c>
      <c r="K23" s="8" t="str">
        <f t="shared" si="5"/>
        <v>2023 Elite Canada</v>
      </c>
      <c r="L23" s="8">
        <f>IF(COUNT(AO23,AR23,BP23,BS23,CQ23,CT23)&gt;1,LARGE((AO23,AR23,BP23,BS23,CQ23,CT23),2),0)</f>
        <v>39.96</v>
      </c>
      <c r="M23" s="8" t="str">
        <f t="shared" si="6"/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 t="shared" si="7"/>
        <v>2023 Elite Canada</v>
      </c>
      <c r="P23" s="8">
        <f t="shared" si="8"/>
        <v>11.2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 t="shared" si="14"/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5"/>
        <v/>
      </c>
      <c r="AN23" s="38" t="str">
        <f t="shared" si="16"/>
        <v/>
      </c>
      <c r="AO23" s="40" t="str">
        <f t="shared" si="17"/>
        <v/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6"/>
        <v/>
      </c>
      <c r="BO23" s="39" t="str">
        <f t="shared" si="27"/>
        <v/>
      </c>
      <c r="BP23" s="11" t="str">
        <f t="shared" si="28"/>
        <v/>
      </c>
      <c r="BQ23" s="11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 t="shared" si="37"/>
        <v>8.5</v>
      </c>
      <c r="CP23" s="38">
        <f t="shared" si="38"/>
        <v>11.66</v>
      </c>
      <c r="CQ23" s="40">
        <f t="shared" si="39"/>
        <v>39.96</v>
      </c>
      <c r="CR23" s="40">
        <f t="shared" si="40"/>
        <v>11.2</v>
      </c>
      <c r="CS23" s="40">
        <f t="shared" si="41"/>
        <v>14.57</v>
      </c>
      <c r="CT23" s="40">
        <f t="shared" si="42"/>
        <v>50.169999999999995</v>
      </c>
      <c r="CU23" s="40">
        <f t="shared" si="43"/>
        <v>50.169999999999995</v>
      </c>
      <c r="CV23" s="40">
        <f t="shared" si="44"/>
        <v>11.2</v>
      </c>
      <c r="CW23" s="40">
        <f t="shared" si="45"/>
        <v>14.55</v>
      </c>
      <c r="CX23" s="40">
        <f t="shared" si="46"/>
        <v>50.05</v>
      </c>
      <c r="CY23" s="40">
        <f t="shared" si="47"/>
        <v>100.22</v>
      </c>
      <c r="CZ23" s="50" t="str">
        <f t="shared" si="48"/>
        <v/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6.2</v>
      </c>
      <c r="SU23" s="22">
        <f t="shared" si="219"/>
        <v>3.7</v>
      </c>
      <c r="SV23" s="22">
        <f t="shared" si="220"/>
        <v>4.25</v>
      </c>
      <c r="SW23" s="22">
        <f t="shared" si="221"/>
        <v>5.83</v>
      </c>
      <c r="SX23" s="22">
        <f t="shared" si="222"/>
        <v>0</v>
      </c>
      <c r="SY23" s="22">
        <f t="shared" si="223"/>
        <v>7.45</v>
      </c>
      <c r="SZ23" s="22">
        <f t="shared" si="224"/>
        <v>4.75</v>
      </c>
      <c r="TA23" s="22">
        <f t="shared" si="225"/>
        <v>5.6</v>
      </c>
      <c r="TB23" s="22">
        <f t="shared" si="226"/>
        <v>7.2850000000000001</v>
      </c>
      <c r="TC23" s="22">
        <f t="shared" si="227"/>
        <v>0</v>
      </c>
      <c r="TD23" s="22">
        <f t="shared" si="228"/>
        <v>7.5</v>
      </c>
      <c r="TE23" s="22">
        <f t="shared" si="229"/>
        <v>4.8</v>
      </c>
      <c r="TF23" s="22">
        <f t="shared" si="230"/>
        <v>5.6</v>
      </c>
      <c r="TG23" s="22">
        <f t="shared" si="231"/>
        <v>7.2750000000000004</v>
      </c>
      <c r="TH23" s="22">
        <f t="shared" si="232"/>
        <v>0.15</v>
      </c>
      <c r="TI23" s="27" t="s">
        <v>46</v>
      </c>
      <c r="TJ23" s="40">
        <f t="shared" si="233"/>
        <v>4.25</v>
      </c>
      <c r="TK23" s="40">
        <f t="shared" si="234"/>
        <v>5.83</v>
      </c>
      <c r="TL23" s="40">
        <f t="shared" si="235"/>
        <v>19.98</v>
      </c>
      <c r="TM23" s="40">
        <f t="shared" si="236"/>
        <v>5.6</v>
      </c>
      <c r="TN23" s="40">
        <f t="shared" si="237"/>
        <v>7.2850000000000001</v>
      </c>
      <c r="TO23" s="40">
        <f t="shared" si="238"/>
        <v>25.084999999999997</v>
      </c>
      <c r="TP23" s="40">
        <f t="shared" si="239"/>
        <v>25.084999999999997</v>
      </c>
      <c r="TQ23" s="40">
        <f t="shared" si="240"/>
        <v>5.6</v>
      </c>
      <c r="TR23" s="40">
        <f t="shared" si="241"/>
        <v>7.2750000000000004</v>
      </c>
      <c r="TS23" s="40">
        <f t="shared" si="242"/>
        <v>25.024999999999999</v>
      </c>
      <c r="TT23" s="40">
        <f t="shared" si="243"/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189</v>
      </c>
      <c r="C24" s="4" t="s">
        <v>6</v>
      </c>
      <c r="D24" s="4">
        <v>2006</v>
      </c>
      <c r="E24" s="9">
        <f t="shared" si="0"/>
        <v>117.11001171100494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49.41</v>
      </c>
      <c r="K24" s="8" t="str">
        <f t="shared" si="5"/>
        <v>2023 Elite Canada</v>
      </c>
      <c r="L24" s="8">
        <f>IF(COUNT(AO24,AR24,BP24,BS24,CQ24,CT24)&gt;1,LARGE((AO24,AR24,BP24,BS24,CQ24,CT24),2),0)</f>
        <v>5.6099999999999994</v>
      </c>
      <c r="M24" s="8" t="str">
        <f t="shared" si="6"/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 t="shared" si="7"/>
        <v>2023 Elite Canada</v>
      </c>
      <c r="P24" s="8">
        <f t="shared" si="8"/>
        <v>12.3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5"/>
        <v/>
      </c>
      <c r="AN24" s="38" t="str">
        <f t="shared" si="16"/>
        <v/>
      </c>
      <c r="AO24" s="40" t="str">
        <f t="shared" si="17"/>
        <v/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6"/>
        <v/>
      </c>
      <c r="BO24" s="39" t="str">
        <f t="shared" si="27"/>
        <v/>
      </c>
      <c r="BP24" s="11" t="str">
        <f t="shared" si="28"/>
        <v/>
      </c>
      <c r="BQ24" s="11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 t="shared" si="37"/>
        <v>1.5</v>
      </c>
      <c r="CP24" s="38">
        <f t="shared" si="38"/>
        <v>1.51</v>
      </c>
      <c r="CQ24" s="40">
        <f t="shared" si="39"/>
        <v>5.6099999999999994</v>
      </c>
      <c r="CR24" s="40">
        <f t="shared" si="40"/>
        <v>12.3</v>
      </c>
      <c r="CS24" s="40">
        <f t="shared" si="41"/>
        <v>14.41</v>
      </c>
      <c r="CT24" s="40">
        <f t="shared" si="42"/>
        <v>49.41</v>
      </c>
      <c r="CU24" s="40">
        <f t="shared" si="43"/>
        <v>49.41</v>
      </c>
      <c r="CV24" s="40">
        <f t="shared" si="44"/>
        <v>12.3</v>
      </c>
      <c r="CW24" s="40">
        <f t="shared" si="45"/>
        <v>14.09</v>
      </c>
      <c r="CX24" s="40">
        <f t="shared" si="46"/>
        <v>49.790000000000006</v>
      </c>
      <c r="CY24" s="40">
        <f t="shared" si="47"/>
        <v>99.2</v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0.8</v>
      </c>
      <c r="SU24" s="22">
        <f t="shared" si="219"/>
        <v>0.5</v>
      </c>
      <c r="SV24" s="22">
        <f t="shared" si="220"/>
        <v>0.75</v>
      </c>
      <c r="SW24" s="22">
        <f t="shared" si="221"/>
        <v>0.755</v>
      </c>
      <c r="SX24" s="22">
        <f t="shared" si="222"/>
        <v>0</v>
      </c>
      <c r="SY24" s="22">
        <f t="shared" si="223"/>
        <v>6.9</v>
      </c>
      <c r="SZ24" s="22">
        <f t="shared" si="224"/>
        <v>4.45</v>
      </c>
      <c r="TA24" s="22">
        <f t="shared" si="225"/>
        <v>6.15</v>
      </c>
      <c r="TB24" s="22">
        <f t="shared" si="226"/>
        <v>7.2050000000000001</v>
      </c>
      <c r="TC24" s="22">
        <f t="shared" si="227"/>
        <v>0</v>
      </c>
      <c r="TD24" s="22">
        <f t="shared" si="228"/>
        <v>7.25</v>
      </c>
      <c r="TE24" s="22">
        <f t="shared" si="229"/>
        <v>4.45</v>
      </c>
      <c r="TF24" s="22">
        <f t="shared" si="230"/>
        <v>6.15</v>
      </c>
      <c r="TG24" s="22">
        <f t="shared" si="231"/>
        <v>7.0449999999999999</v>
      </c>
      <c r="TH24" s="22">
        <f t="shared" si="232"/>
        <v>0</v>
      </c>
      <c r="TI24" s="27" t="s">
        <v>46</v>
      </c>
      <c r="TJ24" s="40">
        <f t="shared" si="233"/>
        <v>0.75</v>
      </c>
      <c r="TK24" s="40">
        <f t="shared" si="234"/>
        <v>0.755</v>
      </c>
      <c r="TL24" s="40">
        <f t="shared" si="235"/>
        <v>2.8049999999999997</v>
      </c>
      <c r="TM24" s="40">
        <f t="shared" si="236"/>
        <v>6.15</v>
      </c>
      <c r="TN24" s="40">
        <f t="shared" si="237"/>
        <v>7.2050000000000001</v>
      </c>
      <c r="TO24" s="40">
        <f t="shared" si="238"/>
        <v>24.704999999999998</v>
      </c>
      <c r="TP24" s="40">
        <f t="shared" si="239"/>
        <v>24.704999999999998</v>
      </c>
      <c r="TQ24" s="40">
        <f t="shared" si="240"/>
        <v>6.15</v>
      </c>
      <c r="TR24" s="40">
        <f t="shared" si="241"/>
        <v>7.0449999999999999</v>
      </c>
      <c r="TS24" s="40">
        <f t="shared" si="242"/>
        <v>24.895000000000003</v>
      </c>
      <c r="TT24" s="40">
        <f t="shared" si="243"/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125</v>
      </c>
      <c r="C25" s="4" t="s">
        <v>3</v>
      </c>
      <c r="D25" s="4">
        <v>2002</v>
      </c>
      <c r="E25" s="9">
        <f t="shared" si="0"/>
        <v>112.35001123500516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51.54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 t="shared" si="7"/>
        <v>2022 Nationals</v>
      </c>
      <c r="P25" s="8">
        <f t="shared" si="8"/>
        <v>11.6</v>
      </c>
      <c r="Q25" s="8" t="str">
        <f t="shared" si="9"/>
        <v>2022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 t="shared" si="15"/>
        <v>11.6</v>
      </c>
      <c r="AN25" s="38">
        <f t="shared" si="16"/>
        <v>15.44</v>
      </c>
      <c r="AO25" s="40">
        <f t="shared" si="17"/>
        <v>51.54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51.54</v>
      </c>
      <c r="AT25" s="40">
        <f t="shared" si="22"/>
        <v>11.4</v>
      </c>
      <c r="AU25" s="40">
        <f t="shared" si="23"/>
        <v>14.81</v>
      </c>
      <c r="AV25" s="40">
        <f t="shared" si="24"/>
        <v>49.21</v>
      </c>
      <c r="AW25" s="40">
        <f t="shared" si="25"/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144</v>
      </c>
      <c r="C26" s="4" t="s">
        <v>5</v>
      </c>
      <c r="D26" s="4">
        <v>2005</v>
      </c>
      <c r="E26" s="9">
        <f t="shared" si="0"/>
        <v>100.70001007000472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47.16</v>
      </c>
      <c r="K26" s="8" t="str">
        <f t="shared" si="5"/>
        <v>2023 Elite Canada</v>
      </c>
      <c r="L26" s="8">
        <f>IF(COUNT(AO26,AR26,BP26,BS26,CQ26,CT26)&gt;1,LARGE((AO26,AR26,BP26,BS26,CQ26,CT26),2),0)</f>
        <v>25.18</v>
      </c>
      <c r="M26" s="8" t="str">
        <f t="shared" si="6"/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13.5</v>
      </c>
      <c r="Q26" s="8" t="str">
        <f t="shared" si="9"/>
        <v>2023 Elite Canada</v>
      </c>
      <c r="R26" s="8">
        <f t="shared" si="10"/>
        <v>14.86</v>
      </c>
      <c r="S26" s="8" t="str">
        <f t="shared" si="11"/>
        <v>2023 Elite Canada</v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5"/>
        <v/>
      </c>
      <c r="AN26" s="38" t="str">
        <f t="shared" si="16"/>
        <v/>
      </c>
      <c r="AO26" s="40" t="str">
        <f t="shared" si="17"/>
        <v/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6"/>
        <v/>
      </c>
      <c r="BO26" s="39" t="str">
        <f t="shared" si="27"/>
        <v/>
      </c>
      <c r="BP26" s="11" t="str">
        <f t="shared" si="28"/>
        <v/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 t="shared" si="37"/>
        <v>7.3</v>
      </c>
      <c r="CP26" s="38">
        <f t="shared" si="38"/>
        <v>7.58</v>
      </c>
      <c r="CQ26" s="40">
        <f t="shared" si="39"/>
        <v>25.18</v>
      </c>
      <c r="CR26" s="40">
        <f t="shared" si="40"/>
        <v>13.5</v>
      </c>
      <c r="CS26" s="40">
        <f t="shared" si="41"/>
        <v>14.86</v>
      </c>
      <c r="CT26" s="40">
        <f t="shared" si="42"/>
        <v>47.16</v>
      </c>
      <c r="CU26" s="40">
        <f t="shared" si="43"/>
        <v>47.16</v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>
        <f t="shared" si="47"/>
        <v>47.16</v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2.95</v>
      </c>
      <c r="SU26" s="22">
        <f t="shared" si="219"/>
        <v>2.2000000000000002</v>
      </c>
      <c r="SV26" s="22">
        <f t="shared" si="220"/>
        <v>3.65</v>
      </c>
      <c r="SW26" s="22">
        <f t="shared" si="221"/>
        <v>3.79</v>
      </c>
      <c r="SX26" s="22">
        <f t="shared" si="222"/>
        <v>0</v>
      </c>
      <c r="SY26" s="22">
        <f t="shared" si="223"/>
        <v>4.8499999999999996</v>
      </c>
      <c r="SZ26" s="22">
        <f t="shared" si="224"/>
        <v>4.55</v>
      </c>
      <c r="TA26" s="22">
        <f t="shared" si="225"/>
        <v>6.75</v>
      </c>
      <c r="TB26" s="22">
        <f t="shared" si="226"/>
        <v>7.43</v>
      </c>
      <c r="TC26" s="22">
        <f t="shared" si="227"/>
        <v>0</v>
      </c>
      <c r="TD26" s="22">
        <f t="shared" si="228"/>
        <v>0</v>
      </c>
      <c r="TE26" s="22">
        <f t="shared" si="229"/>
        <v>0</v>
      </c>
      <c r="TF26" s="22">
        <f t="shared" si="230"/>
        <v>0</v>
      </c>
      <c r="TG26" s="22">
        <f t="shared" si="231"/>
        <v>0</v>
      </c>
      <c r="TH26" s="22">
        <f t="shared" si="232"/>
        <v>0</v>
      </c>
      <c r="TI26" s="27" t="s">
        <v>46</v>
      </c>
      <c r="TJ26" s="40">
        <f t="shared" si="233"/>
        <v>3.65</v>
      </c>
      <c r="TK26" s="40">
        <f t="shared" si="234"/>
        <v>3.79</v>
      </c>
      <c r="TL26" s="40">
        <f t="shared" si="235"/>
        <v>12.59</v>
      </c>
      <c r="TM26" s="40">
        <f t="shared" si="236"/>
        <v>6.75</v>
      </c>
      <c r="TN26" s="40">
        <f t="shared" si="237"/>
        <v>7.43</v>
      </c>
      <c r="TO26" s="40">
        <f t="shared" si="238"/>
        <v>23.58</v>
      </c>
      <c r="TP26" s="40">
        <f t="shared" si="239"/>
        <v>23.58</v>
      </c>
      <c r="TQ26" s="40" t="str">
        <f t="shared" si="240"/>
        <v/>
      </c>
      <c r="TR26" s="40" t="str">
        <f t="shared" si="241"/>
        <v/>
      </c>
      <c r="TS26" s="40" t="str">
        <f t="shared" si="242"/>
        <v/>
      </c>
      <c r="TT26" s="40">
        <f t="shared" si="243"/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200</v>
      </c>
      <c r="C27" s="4" t="s">
        <v>3</v>
      </c>
      <c r="D27" s="4">
        <v>2004</v>
      </c>
      <c r="E27" s="9">
        <f t="shared" si="0"/>
        <v>65.630006563004528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45.4</v>
      </c>
      <c r="K27" s="8" t="str">
        <f t="shared" si="5"/>
        <v>2023 Elite Canada</v>
      </c>
      <c r="L27" s="8">
        <f>IF(COUNT(AO27,AR27,BP27,BS27,CQ27,CT27)&gt;1,LARGE((AO27,AR27,BP27,BS27,CQ27,CT27),2),0)</f>
        <v>10.33</v>
      </c>
      <c r="M27" s="8" t="str">
        <f t="shared" si="6"/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9.9</v>
      </c>
      <c r="Q27" s="8" t="str">
        <f t="shared" si="9"/>
        <v>2023 Elite Canada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6"/>
        <v/>
      </c>
      <c r="BO27" s="39" t="str">
        <f t="shared" si="27"/>
        <v/>
      </c>
      <c r="BP27" s="11" t="str">
        <f t="shared" si="28"/>
        <v/>
      </c>
      <c r="BQ27" s="11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7"/>
        <v>9.9</v>
      </c>
      <c r="CP27" s="38">
        <f t="shared" si="38"/>
        <v>12.5</v>
      </c>
      <c r="CQ27" s="40">
        <f t="shared" si="39"/>
        <v>45.4</v>
      </c>
      <c r="CR27" s="40">
        <f t="shared" si="40"/>
        <v>2.9</v>
      </c>
      <c r="CS27" s="40">
        <f t="shared" si="41"/>
        <v>2.73</v>
      </c>
      <c r="CT27" s="40">
        <f t="shared" si="42"/>
        <v>10.33</v>
      </c>
      <c r="CU27" s="40">
        <f t="shared" si="43"/>
        <v>45.4</v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>
        <f t="shared" si="47"/>
        <v>45.4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7.45</v>
      </c>
      <c r="SU27" s="22">
        <f t="shared" si="219"/>
        <v>4.05</v>
      </c>
      <c r="SV27" s="22">
        <f t="shared" si="220"/>
        <v>4.95</v>
      </c>
      <c r="SW27" s="22">
        <f t="shared" si="221"/>
        <v>6.25</v>
      </c>
      <c r="SX27" s="22">
        <f t="shared" si="222"/>
        <v>0</v>
      </c>
      <c r="SY27" s="22">
        <f t="shared" si="223"/>
        <v>1.45</v>
      </c>
      <c r="SZ27" s="22">
        <f t="shared" si="224"/>
        <v>0.9</v>
      </c>
      <c r="TA27" s="22">
        <f t="shared" si="225"/>
        <v>1.45</v>
      </c>
      <c r="TB27" s="22">
        <f t="shared" si="226"/>
        <v>1.365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4.95</v>
      </c>
      <c r="TK27" s="40">
        <f t="shared" si="234"/>
        <v>6.25</v>
      </c>
      <c r="TL27" s="40">
        <f t="shared" si="235"/>
        <v>22.7</v>
      </c>
      <c r="TM27" s="40">
        <f t="shared" si="236"/>
        <v>1.45</v>
      </c>
      <c r="TN27" s="40">
        <f t="shared" si="237"/>
        <v>1.365</v>
      </c>
      <c r="TO27" s="40">
        <f t="shared" si="238"/>
        <v>5.165</v>
      </c>
      <c r="TP27" s="40">
        <f t="shared" si="239"/>
        <v>22.7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141</v>
      </c>
      <c r="C28" s="4" t="s">
        <v>6</v>
      </c>
      <c r="D28" s="4">
        <v>2005</v>
      </c>
      <c r="E28" s="9">
        <f t="shared" si="0"/>
        <v>57.41000574100476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47.61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9.8000000000000007</v>
      </c>
      <c r="Q28" s="8" t="str">
        <f t="shared" si="9"/>
        <v>2022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 t="shared" si="15"/>
        <v>9.8000000000000007</v>
      </c>
      <c r="AN28" s="38">
        <f t="shared" si="16"/>
        <v>14.31</v>
      </c>
      <c r="AO28" s="40">
        <f t="shared" si="17"/>
        <v>47.61</v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>
        <f t="shared" si="21"/>
        <v>47.61</v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>
        <f t="shared" si="25"/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6"/>
        <v/>
      </c>
      <c r="BO28" s="39" t="str">
        <f t="shared" si="27"/>
        <v/>
      </c>
      <c r="BP28" s="11" t="str">
        <f t="shared" si="28"/>
        <v/>
      </c>
      <c r="BQ28" s="11" t="str">
        <f t="shared" si="29"/>
        <v/>
      </c>
      <c r="BR28" s="11" t="str">
        <f t="shared" si="30"/>
        <v/>
      </c>
      <c r="BS28" s="11" t="str">
        <f t="shared" si="31"/>
        <v/>
      </c>
      <c r="BT28" s="11" t="str">
        <f t="shared" si="32"/>
        <v/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 t="str">
        <f t="shared" si="36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7"/>
        <v/>
      </c>
      <c r="CP28" s="38" t="str">
        <f t="shared" si="38"/>
        <v/>
      </c>
      <c r="CQ28" s="40" t="str">
        <f t="shared" si="39"/>
        <v/>
      </c>
      <c r="CR28" s="40" t="str">
        <f t="shared" si="40"/>
        <v/>
      </c>
      <c r="CS28" s="40" t="str">
        <f t="shared" si="41"/>
        <v/>
      </c>
      <c r="CT28" s="40" t="str">
        <f t="shared" si="42"/>
        <v/>
      </c>
      <c r="CU28" s="40" t="str">
        <f t="shared" si="43"/>
        <v/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 t="str">
        <f t="shared" si="47"/>
        <v/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0</v>
      </c>
      <c r="SU28" s="22">
        <f t="shared" si="219"/>
        <v>0</v>
      </c>
      <c r="SV28" s="22">
        <f t="shared" si="220"/>
        <v>0</v>
      </c>
      <c r="SW28" s="22">
        <f t="shared" si="221"/>
        <v>0</v>
      </c>
      <c r="SX28" s="22">
        <f t="shared" si="222"/>
        <v>0</v>
      </c>
      <c r="SY28" s="22">
        <f t="shared" si="223"/>
        <v>0</v>
      </c>
      <c r="SZ28" s="22">
        <f t="shared" si="224"/>
        <v>0</v>
      </c>
      <c r="TA28" s="22">
        <f t="shared" si="225"/>
        <v>0</v>
      </c>
      <c r="TB28" s="22">
        <f t="shared" si="226"/>
        <v>0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 t="str">
        <f t="shared" si="233"/>
        <v/>
      </c>
      <c r="TK28" s="40" t="str">
        <f t="shared" si="234"/>
        <v/>
      </c>
      <c r="TL28" s="40" t="str">
        <f t="shared" si="235"/>
        <v/>
      </c>
      <c r="TM28" s="40" t="str">
        <f t="shared" si="236"/>
        <v/>
      </c>
      <c r="TN28" s="40" t="str">
        <f t="shared" si="237"/>
        <v/>
      </c>
      <c r="TO28" s="40" t="str">
        <f t="shared" si="238"/>
        <v/>
      </c>
      <c r="TP28" s="40" t="str">
        <f t="shared" si="239"/>
        <v/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 t="str">
        <f t="shared" si="243"/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199</v>
      </c>
      <c r="C29" s="4" t="s">
        <v>3</v>
      </c>
      <c r="D29" s="4">
        <v>2003</v>
      </c>
      <c r="E29" s="9">
        <f t="shared" si="0"/>
        <v>43.460004346003039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30.42</v>
      </c>
      <c r="K29" s="8" t="str">
        <f t="shared" si="5"/>
        <v>2023 Elite Canada</v>
      </c>
      <c r="L29" s="8">
        <f>IF(COUNT(AO29,AR29,BP29,BS29,CQ29,CT29)&gt;1,LARGE((AO29,AR29,BP29,BS29,CQ29,CT29),2),0)</f>
        <v>9.64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3.4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6"/>
        <v/>
      </c>
      <c r="BO29" s="39" t="str">
        <f t="shared" si="27"/>
        <v/>
      </c>
      <c r="BP29" s="11" t="str">
        <f t="shared" si="28"/>
        <v/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 t="str">
        <f t="shared" si="32"/>
        <v/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 t="str">
        <f t="shared" si="36"/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 t="shared" si="37"/>
        <v>2.1</v>
      </c>
      <c r="CP29" s="38">
        <f t="shared" si="38"/>
        <v>3.04</v>
      </c>
      <c r="CQ29" s="40">
        <f t="shared" si="39"/>
        <v>9.64</v>
      </c>
      <c r="CR29" s="40">
        <f t="shared" si="40"/>
        <v>3.4</v>
      </c>
      <c r="CS29" s="40">
        <f t="shared" si="41"/>
        <v>6.12</v>
      </c>
      <c r="CT29" s="40">
        <f t="shared" si="42"/>
        <v>30.42</v>
      </c>
      <c r="CU29" s="40">
        <f t="shared" si="43"/>
        <v>30.42</v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>
        <f t="shared" si="47"/>
        <v>30.42</v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1.4</v>
      </c>
      <c r="SU29" s="22">
        <f t="shared" si="219"/>
        <v>0.85</v>
      </c>
      <c r="SV29" s="22">
        <f t="shared" si="220"/>
        <v>1.05</v>
      </c>
      <c r="SW29" s="22">
        <f t="shared" si="221"/>
        <v>1.52</v>
      </c>
      <c r="SX29" s="22">
        <f t="shared" si="222"/>
        <v>0</v>
      </c>
      <c r="SY29" s="22">
        <f t="shared" si="223"/>
        <v>8.8000000000000007</v>
      </c>
      <c r="SZ29" s="22">
        <f t="shared" si="224"/>
        <v>1.85</v>
      </c>
      <c r="TA29" s="22">
        <f t="shared" si="225"/>
        <v>1.7</v>
      </c>
      <c r="TB29" s="22">
        <f t="shared" si="226"/>
        <v>3.06</v>
      </c>
      <c r="TC29" s="22">
        <f t="shared" si="227"/>
        <v>0.2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1.05</v>
      </c>
      <c r="TK29" s="40">
        <f t="shared" si="234"/>
        <v>1.52</v>
      </c>
      <c r="TL29" s="40">
        <f t="shared" si="235"/>
        <v>4.82</v>
      </c>
      <c r="TM29" s="40">
        <f t="shared" si="236"/>
        <v>1.7</v>
      </c>
      <c r="TN29" s="40">
        <f t="shared" si="237"/>
        <v>3.06</v>
      </c>
      <c r="TO29" s="40">
        <f t="shared" si="238"/>
        <v>15.21</v>
      </c>
      <c r="TP29" s="40">
        <f t="shared" si="239"/>
        <v>15.21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145</v>
      </c>
      <c r="C30" s="4" t="s">
        <v>5</v>
      </c>
      <c r="D30" s="4">
        <v>2004</v>
      </c>
      <c r="E30" s="9">
        <f t="shared" si="0"/>
        <v>35.600003560002882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28.8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6.8</v>
      </c>
      <c r="Q30" s="8" t="str">
        <f t="shared" si="9"/>
        <v>2022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5"/>
        <v>6.8</v>
      </c>
      <c r="AN30" s="38">
        <f t="shared" si="16"/>
        <v>8.6999999999999993</v>
      </c>
      <c r="AO30" s="40">
        <f t="shared" si="17"/>
        <v>28.8</v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>
        <f t="shared" si="21"/>
        <v>28.8</v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>
        <f t="shared" si="25"/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7"/>
        <v/>
      </c>
      <c r="CP30" s="38" t="str">
        <f t="shared" si="38"/>
        <v/>
      </c>
      <c r="CQ30" s="40" t="str">
        <f t="shared" si="39"/>
        <v/>
      </c>
      <c r="CR30" s="40" t="str">
        <f t="shared" si="40"/>
        <v/>
      </c>
      <c r="CS30" s="40" t="str">
        <f t="shared" si="41"/>
        <v/>
      </c>
      <c r="CT30" s="40" t="str">
        <f t="shared" si="42"/>
        <v/>
      </c>
      <c r="CU30" s="40" t="str">
        <f t="shared" si="43"/>
        <v/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 t="str">
        <f t="shared" si="47"/>
        <v/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0</v>
      </c>
      <c r="SU30" s="22">
        <f t="shared" si="219"/>
        <v>0</v>
      </c>
      <c r="SV30" s="22">
        <f t="shared" si="220"/>
        <v>0</v>
      </c>
      <c r="SW30" s="22">
        <f t="shared" si="221"/>
        <v>0</v>
      </c>
      <c r="SX30" s="22">
        <f t="shared" si="222"/>
        <v>0</v>
      </c>
      <c r="SY30" s="22">
        <f t="shared" si="223"/>
        <v>0</v>
      </c>
      <c r="SZ30" s="22">
        <f t="shared" si="224"/>
        <v>0</v>
      </c>
      <c r="TA30" s="22">
        <f t="shared" si="225"/>
        <v>0</v>
      </c>
      <c r="TB30" s="22">
        <f t="shared" si="226"/>
        <v>0</v>
      </c>
      <c r="TC30" s="22">
        <f t="shared" si="227"/>
        <v>0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 t="str">
        <f t="shared" si="233"/>
        <v/>
      </c>
      <c r="TK30" s="40" t="str">
        <f t="shared" si="234"/>
        <v/>
      </c>
      <c r="TL30" s="40" t="str">
        <f t="shared" si="235"/>
        <v/>
      </c>
      <c r="TM30" s="40" t="str">
        <f t="shared" si="236"/>
        <v/>
      </c>
      <c r="TN30" s="40" t="str">
        <f t="shared" si="237"/>
        <v/>
      </c>
      <c r="TO30" s="40" t="str">
        <f t="shared" si="238"/>
        <v/>
      </c>
      <c r="TP30" s="40" t="str">
        <f t="shared" si="239"/>
        <v/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 t="str">
        <f t="shared" si="243"/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146</v>
      </c>
      <c r="C31" s="4" t="s">
        <v>5</v>
      </c>
      <c r="D31" s="4">
        <v>2003</v>
      </c>
      <c r="E31" s="9">
        <f t="shared" si="0"/>
        <v>30.080003008002407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24.08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6</v>
      </c>
      <c r="Q31" s="8" t="str">
        <f t="shared" si="9"/>
        <v>2022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5"/>
        <v>6</v>
      </c>
      <c r="AN31" s="38">
        <f t="shared" si="16"/>
        <v>7.18</v>
      </c>
      <c r="AO31" s="40">
        <f t="shared" si="17"/>
        <v>24.08</v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>
        <f t="shared" si="21"/>
        <v>24.08</v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>
        <f t="shared" si="25"/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6"/>
        <v/>
      </c>
      <c r="BO31" s="39" t="str">
        <f t="shared" si="27"/>
        <v/>
      </c>
      <c r="BP31" s="11" t="str">
        <f t="shared" si="28"/>
        <v/>
      </c>
      <c r="BQ31" s="11" t="str">
        <f t="shared" si="29"/>
        <v/>
      </c>
      <c r="BR31" s="11" t="str">
        <f t="shared" si="30"/>
        <v/>
      </c>
      <c r="BS31" s="11" t="str">
        <f t="shared" si="31"/>
        <v/>
      </c>
      <c r="BT31" s="11" t="str">
        <f t="shared" si="32"/>
        <v/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 t="str">
        <f t="shared" si="36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7"/>
        <v/>
      </c>
      <c r="CP31" s="38" t="str">
        <f t="shared" si="38"/>
        <v/>
      </c>
      <c r="CQ31" s="40" t="str">
        <f t="shared" si="39"/>
        <v/>
      </c>
      <c r="CR31" s="40" t="str">
        <f t="shared" si="40"/>
        <v/>
      </c>
      <c r="CS31" s="40" t="str">
        <f t="shared" si="41"/>
        <v/>
      </c>
      <c r="CT31" s="40" t="str">
        <f t="shared" si="42"/>
        <v/>
      </c>
      <c r="CU31" s="40" t="str">
        <f t="shared" si="43"/>
        <v/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 t="str">
        <f t="shared" si="47"/>
        <v/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0</v>
      </c>
      <c r="SU31" s="22">
        <f t="shared" si="219"/>
        <v>0</v>
      </c>
      <c r="SV31" s="22">
        <f t="shared" si="220"/>
        <v>0</v>
      </c>
      <c r="SW31" s="22">
        <f t="shared" si="221"/>
        <v>0</v>
      </c>
      <c r="SX31" s="22">
        <f t="shared" si="222"/>
        <v>0</v>
      </c>
      <c r="SY31" s="22">
        <f t="shared" si="223"/>
        <v>0</v>
      </c>
      <c r="SZ31" s="22">
        <f t="shared" si="224"/>
        <v>0</v>
      </c>
      <c r="TA31" s="22">
        <f t="shared" si="225"/>
        <v>0</v>
      </c>
      <c r="TB31" s="22">
        <f t="shared" si="226"/>
        <v>0</v>
      </c>
      <c r="TC31" s="22">
        <f t="shared" si="227"/>
        <v>0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 t="str">
        <f t="shared" si="233"/>
        <v/>
      </c>
      <c r="TK31" s="40" t="str">
        <f t="shared" si="234"/>
        <v/>
      </c>
      <c r="TL31" s="40" t="str">
        <f t="shared" si="235"/>
        <v/>
      </c>
      <c r="TM31" s="40" t="str">
        <f t="shared" si="236"/>
        <v/>
      </c>
      <c r="TN31" s="40" t="str">
        <f t="shared" si="237"/>
        <v/>
      </c>
      <c r="TO31" s="40" t="str">
        <f t="shared" si="238"/>
        <v/>
      </c>
      <c r="TP31" s="40" t="str">
        <f t="shared" si="239"/>
        <v/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 t="str">
        <f t="shared" si="243"/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147</v>
      </c>
      <c r="C32" s="4" t="s">
        <v>5</v>
      </c>
      <c r="D32" s="4">
        <v>2005</v>
      </c>
      <c r="E32" s="9">
        <f t="shared" si="0"/>
        <v>23.310002331001893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18.91</v>
      </c>
      <c r="K32" s="8" t="str">
        <f t="shared" si="5"/>
        <v>2022 Nationals</v>
      </c>
      <c r="L32" s="8">
        <f>IF(COUNT(AO32,AR32,BP32,BS32,CQ32,CT32)&gt;1,LARGE((AO32,AR32,BP32,BS32,CQ32,CT32),2),0)</f>
        <v>0</v>
      </c>
      <c r="M32" s="8" t="str">
        <f t="shared" si="6"/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4.4000000000000004</v>
      </c>
      <c r="Q32" s="8" t="str">
        <f t="shared" si="9"/>
        <v>2022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 t="shared" si="15"/>
        <v>4.4000000000000004</v>
      </c>
      <c r="AN32" s="38">
        <f t="shared" si="16"/>
        <v>5.61</v>
      </c>
      <c r="AO32" s="40">
        <f t="shared" si="17"/>
        <v>18.91</v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>
        <f t="shared" si="21"/>
        <v>18.91</v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>
        <f t="shared" si="25"/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6"/>
        <v/>
      </c>
      <c r="BO32" s="39" t="str">
        <f t="shared" si="27"/>
        <v/>
      </c>
      <c r="BP32" s="11" t="str">
        <f t="shared" si="28"/>
        <v/>
      </c>
      <c r="BQ32" s="11" t="str">
        <f t="shared" si="29"/>
        <v/>
      </c>
      <c r="BR32" s="11" t="str">
        <f t="shared" si="30"/>
        <v/>
      </c>
      <c r="BS32" s="11" t="str">
        <f t="shared" si="31"/>
        <v/>
      </c>
      <c r="BT32" s="11" t="str">
        <f t="shared" si="32"/>
        <v/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 t="str">
        <f t="shared" si="36"/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 t="shared" si="37"/>
        <v/>
      </c>
      <c r="CP32" s="38" t="str">
        <f t="shared" si="38"/>
        <v/>
      </c>
      <c r="CQ32" s="40" t="str">
        <f t="shared" si="39"/>
        <v/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 t="str">
        <f t="shared" si="43"/>
        <v/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 t="str">
        <f t="shared" si="47"/>
        <v/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0</v>
      </c>
      <c r="SU32" s="22">
        <f t="shared" si="219"/>
        <v>0</v>
      </c>
      <c r="SV32" s="22">
        <f t="shared" si="220"/>
        <v>0</v>
      </c>
      <c r="SW32" s="22">
        <f t="shared" si="221"/>
        <v>0</v>
      </c>
      <c r="SX32" s="22">
        <f t="shared" si="222"/>
        <v>0</v>
      </c>
      <c r="SY32" s="22">
        <f t="shared" si="223"/>
        <v>0</v>
      </c>
      <c r="SZ32" s="22">
        <f t="shared" si="224"/>
        <v>0</v>
      </c>
      <c r="TA32" s="22">
        <f t="shared" si="225"/>
        <v>0</v>
      </c>
      <c r="TB32" s="22">
        <f t="shared" si="226"/>
        <v>0</v>
      </c>
      <c r="TC32" s="22">
        <f t="shared" si="227"/>
        <v>0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 t="str">
        <f t="shared" si="233"/>
        <v/>
      </c>
      <c r="TK32" s="40" t="str">
        <f t="shared" si="234"/>
        <v/>
      </c>
      <c r="TL32" s="40" t="str">
        <f t="shared" si="235"/>
        <v/>
      </c>
      <c r="TM32" s="40" t="str">
        <f t="shared" si="236"/>
        <v/>
      </c>
      <c r="TN32" s="40" t="str">
        <f t="shared" si="237"/>
        <v/>
      </c>
      <c r="TO32" s="40" t="str">
        <f t="shared" si="238"/>
        <v/>
      </c>
      <c r="TP32" s="40" t="str">
        <f t="shared" si="239"/>
        <v/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 t="str">
        <f t="shared" si="243"/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 t="shared" si="0"/>
        <v>11.790001179000978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9.7899999999999991</v>
      </c>
      <c r="K33" s="8" t="str">
        <f t="shared" si="5"/>
        <v>2022 Nationals</v>
      </c>
      <c r="L33" s="8">
        <f>IF(COUNT(AO33,AR33,BP33,BS33,CQ33,CT33)&gt;1,LARGE((AO33,AR33,BP33,BS33,CQ33,CT33),2),0)</f>
        <v>0</v>
      </c>
      <c r="M33" s="8" t="str">
        <f t="shared" si="6"/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2</v>
      </c>
      <c r="Q33" s="8" t="str">
        <f t="shared" si="9"/>
        <v>2022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 t="shared" si="14"/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 t="shared" si="15"/>
        <v>2</v>
      </c>
      <c r="AN33" s="38">
        <f t="shared" si="16"/>
        <v>2.99</v>
      </c>
      <c r="AO33" s="40">
        <f t="shared" si="17"/>
        <v>9.7899999999999991</v>
      </c>
      <c r="AP33" s="40" t="str">
        <f t="shared" si="18"/>
        <v/>
      </c>
      <c r="AQ33" s="40" t="str">
        <f t="shared" si="19"/>
        <v/>
      </c>
      <c r="AR33" s="40" t="str">
        <f t="shared" si="20"/>
        <v/>
      </c>
      <c r="AS33" s="40">
        <f t="shared" si="21"/>
        <v>9.7899999999999991</v>
      </c>
      <c r="AT33" s="40" t="str">
        <f t="shared" si="22"/>
        <v/>
      </c>
      <c r="AU33" s="40" t="str">
        <f t="shared" si="23"/>
        <v/>
      </c>
      <c r="AV33" s="40" t="str">
        <f t="shared" si="24"/>
        <v/>
      </c>
      <c r="AW33" s="40">
        <f t="shared" si="25"/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 t="shared" si="26"/>
        <v/>
      </c>
      <c r="BO33" s="39" t="str">
        <f t="shared" si="27"/>
        <v/>
      </c>
      <c r="BP33" s="11" t="str">
        <f t="shared" si="28"/>
        <v/>
      </c>
      <c r="BQ33" s="11" t="str">
        <f t="shared" si="29"/>
        <v/>
      </c>
      <c r="BR33" s="11" t="str">
        <f t="shared" si="30"/>
        <v/>
      </c>
      <c r="BS33" s="11" t="str">
        <f t="shared" si="31"/>
        <v/>
      </c>
      <c r="BT33" s="11" t="str">
        <f t="shared" si="32"/>
        <v/>
      </c>
      <c r="BU33" s="11" t="str">
        <f t="shared" si="33"/>
        <v/>
      </c>
      <c r="BV33" s="11" t="str">
        <f t="shared" si="34"/>
        <v/>
      </c>
      <c r="BW33" s="11" t="str">
        <f t="shared" si="35"/>
        <v/>
      </c>
      <c r="BX33" s="11" t="str">
        <f t="shared" si="36"/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 t="shared" si="37"/>
        <v/>
      </c>
      <c r="CP33" s="38" t="str">
        <f t="shared" si="38"/>
        <v/>
      </c>
      <c r="CQ33" s="40" t="str">
        <f t="shared" si="39"/>
        <v/>
      </c>
      <c r="CR33" s="40" t="str">
        <f t="shared" si="40"/>
        <v/>
      </c>
      <c r="CS33" s="40" t="str">
        <f t="shared" si="41"/>
        <v/>
      </c>
      <c r="CT33" s="40" t="str">
        <f t="shared" si="42"/>
        <v/>
      </c>
      <c r="CU33" s="40" t="str">
        <f t="shared" si="43"/>
        <v/>
      </c>
      <c r="CV33" s="40" t="str">
        <f t="shared" si="44"/>
        <v/>
      </c>
      <c r="CW33" s="40" t="str">
        <f t="shared" si="45"/>
        <v/>
      </c>
      <c r="CX33" s="40" t="str">
        <f t="shared" si="46"/>
        <v/>
      </c>
      <c r="CY33" s="40" t="str">
        <f t="shared" si="47"/>
        <v/>
      </c>
      <c r="CZ33" s="50" t="str">
        <f t="shared" si="48"/>
        <v/>
      </c>
      <c r="DA33" s="50" t="str">
        <f t="shared" si="49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50"/>
        <v/>
      </c>
      <c r="DW33" s="40" t="str">
        <f t="shared" si="51"/>
        <v/>
      </c>
      <c r="DX33" s="40" t="str">
        <f t="shared" si="52"/>
        <v/>
      </c>
      <c r="DY33" s="40" t="str">
        <f t="shared" si="53"/>
        <v/>
      </c>
      <c r="DZ33" s="40" t="str">
        <f t="shared" si="54"/>
        <v/>
      </c>
      <c r="EA33" s="40" t="str">
        <f t="shared" si="55"/>
        <v/>
      </c>
      <c r="EB33" s="40" t="str">
        <f t="shared" si="56"/>
        <v/>
      </c>
      <c r="EC33" s="40" t="str">
        <f t="shared" si="57"/>
        <v/>
      </c>
      <c r="ED33" s="40" t="str">
        <f t="shared" si="58"/>
        <v/>
      </c>
      <c r="EE33" s="40" t="str">
        <f t="shared" si="59"/>
        <v/>
      </c>
      <c r="EF33" s="40" t="str">
        <f t="shared" si="60"/>
        <v/>
      </c>
      <c r="EG33" s="40" t="str">
        <f t="shared" si="61"/>
        <v/>
      </c>
      <c r="EH33" s="40" t="str">
        <f t="shared" si="62"/>
        <v/>
      </c>
      <c r="EI33" s="40" t="str">
        <f t="shared" si="63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4"/>
        <v/>
      </c>
      <c r="FE33" s="11" t="str">
        <f t="shared" si="65"/>
        <v/>
      </c>
      <c r="FF33" s="11" t="str">
        <f t="shared" si="66"/>
        <v/>
      </c>
      <c r="FG33" s="11" t="str">
        <f t="shared" si="67"/>
        <v/>
      </c>
      <c r="FH33" s="11" t="str">
        <f t="shared" si="68"/>
        <v/>
      </c>
      <c r="FI33" s="11" t="str">
        <f t="shared" si="69"/>
        <v/>
      </c>
      <c r="FJ33" s="11" t="str">
        <f t="shared" si="70"/>
        <v/>
      </c>
      <c r="FK33" s="11" t="str">
        <f t="shared" si="71"/>
        <v/>
      </c>
      <c r="FL33" s="11" t="str">
        <f t="shared" si="72"/>
        <v/>
      </c>
      <c r="FM33" s="11" t="str">
        <f t="shared" si="73"/>
        <v/>
      </c>
      <c r="FN33" s="11" t="str">
        <f t="shared" si="74"/>
        <v/>
      </c>
      <c r="FO33" s="11" t="str">
        <f t="shared" si="75"/>
        <v/>
      </c>
      <c r="FP33" s="11" t="str">
        <f t="shared" si="76"/>
        <v/>
      </c>
      <c r="FQ33" s="11" t="str">
        <f t="shared" si="77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8"/>
        <v/>
      </c>
      <c r="GM33" s="40" t="str">
        <f t="shared" si="79"/>
        <v/>
      </c>
      <c r="GN33" s="40" t="str">
        <f t="shared" si="80"/>
        <v/>
      </c>
      <c r="GO33" s="40" t="str">
        <f t="shared" si="81"/>
        <v/>
      </c>
      <c r="GP33" s="40" t="str">
        <f t="shared" si="82"/>
        <v/>
      </c>
      <c r="GQ33" s="40" t="str">
        <f t="shared" si="83"/>
        <v/>
      </c>
      <c r="GR33" s="40" t="str">
        <f t="shared" si="84"/>
        <v/>
      </c>
      <c r="GS33" s="40" t="str">
        <f t="shared" si="85"/>
        <v/>
      </c>
      <c r="GT33" s="40" t="str">
        <f t="shared" si="86"/>
        <v/>
      </c>
      <c r="GU33" s="40" t="str">
        <f t="shared" si="87"/>
        <v/>
      </c>
      <c r="GV33" s="40" t="str">
        <f t="shared" si="88"/>
        <v/>
      </c>
      <c r="GW33" s="40" t="str">
        <f t="shared" si="89"/>
        <v/>
      </c>
      <c r="GX33" s="40" t="str">
        <f t="shared" si="90"/>
        <v/>
      </c>
      <c r="GY33" s="40" t="str">
        <f t="shared" si="91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2"/>
        <v/>
      </c>
      <c r="HU33" s="11" t="str">
        <f t="shared" si="93"/>
        <v/>
      </c>
      <c r="HV33" s="11" t="str">
        <f t="shared" si="94"/>
        <v/>
      </c>
      <c r="HW33" s="11" t="str">
        <f t="shared" si="95"/>
        <v/>
      </c>
      <c r="HX33" s="11" t="str">
        <f t="shared" si="96"/>
        <v/>
      </c>
      <c r="HY33" s="11" t="str">
        <f t="shared" si="97"/>
        <v/>
      </c>
      <c r="HZ33" s="11" t="str">
        <f t="shared" si="98"/>
        <v/>
      </c>
      <c r="IA33" s="11" t="str">
        <f t="shared" si="99"/>
        <v/>
      </c>
      <c r="IB33" s="11" t="str">
        <f t="shared" si="100"/>
        <v/>
      </c>
      <c r="IC33" s="11" t="str">
        <f t="shared" si="101"/>
        <v/>
      </c>
      <c r="ID33" s="11" t="str">
        <f t="shared" si="102"/>
        <v/>
      </c>
      <c r="IE33" s="11" t="str">
        <f t="shared" si="103"/>
        <v/>
      </c>
      <c r="IF33" s="11" t="str">
        <f t="shared" si="104"/>
        <v/>
      </c>
      <c r="IG33" s="11" t="str">
        <f t="shared" si="105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6"/>
        <v/>
      </c>
      <c r="JC33" s="40" t="str">
        <f t="shared" si="107"/>
        <v/>
      </c>
      <c r="JD33" s="40" t="str">
        <f t="shared" si="108"/>
        <v/>
      </c>
      <c r="JE33" s="40" t="str">
        <f t="shared" si="109"/>
        <v/>
      </c>
      <c r="JF33" s="40" t="str">
        <f t="shared" si="110"/>
        <v/>
      </c>
      <c r="JG33" s="40" t="str">
        <f t="shared" si="111"/>
        <v/>
      </c>
      <c r="JH33" s="40" t="str">
        <f t="shared" si="112"/>
        <v/>
      </c>
      <c r="JI33" s="40" t="str">
        <f t="shared" si="113"/>
        <v/>
      </c>
      <c r="JJ33" s="40" t="str">
        <f t="shared" si="114"/>
        <v/>
      </c>
      <c r="JK33" s="40" t="str">
        <f t="shared" si="115"/>
        <v/>
      </c>
      <c r="JL33" s="40" t="str">
        <f t="shared" si="116"/>
        <v/>
      </c>
      <c r="JM33" s="40" t="str">
        <f t="shared" si="117"/>
        <v/>
      </c>
      <c r="JN33" s="40" t="str">
        <f t="shared" si="118"/>
        <v/>
      </c>
      <c r="JO33" s="40" t="str">
        <f t="shared" si="119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20"/>
        <v/>
      </c>
      <c r="KK33" s="11" t="str">
        <f t="shared" si="121"/>
        <v/>
      </c>
      <c r="KL33" s="11" t="str">
        <f t="shared" si="122"/>
        <v/>
      </c>
      <c r="KM33" s="11" t="str">
        <f t="shared" si="123"/>
        <v/>
      </c>
      <c r="KN33" s="11" t="str">
        <f t="shared" si="124"/>
        <v/>
      </c>
      <c r="KO33" s="11" t="str">
        <f t="shared" si="125"/>
        <v/>
      </c>
      <c r="KP33" s="11" t="str">
        <f t="shared" si="126"/>
        <v/>
      </c>
      <c r="KQ33" s="11" t="str">
        <f t="shared" si="127"/>
        <v/>
      </c>
      <c r="KR33" s="11" t="str">
        <f t="shared" si="128"/>
        <v/>
      </c>
      <c r="KS33" s="11" t="str">
        <f t="shared" si="129"/>
        <v/>
      </c>
      <c r="KT33" s="11" t="str">
        <f t="shared" si="130"/>
        <v/>
      </c>
      <c r="KU33" s="11" t="str">
        <f t="shared" si="131"/>
        <v/>
      </c>
      <c r="KV33" s="11" t="str">
        <f t="shared" si="132"/>
        <v/>
      </c>
      <c r="KW33" s="11" t="str">
        <f t="shared" si="133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4"/>
        <v/>
      </c>
      <c r="LS33" s="40" t="str">
        <f t="shared" si="135"/>
        <v/>
      </c>
      <c r="LT33" s="40" t="str">
        <f t="shared" si="136"/>
        <v/>
      </c>
      <c r="LU33" s="40" t="str">
        <f t="shared" si="137"/>
        <v/>
      </c>
      <c r="LV33" s="40" t="str">
        <f t="shared" si="138"/>
        <v/>
      </c>
      <c r="LW33" s="40" t="str">
        <f t="shared" si="139"/>
        <v/>
      </c>
      <c r="LX33" s="40" t="str">
        <f t="shared" si="140"/>
        <v/>
      </c>
      <c r="LY33" s="40" t="str">
        <f t="shared" si="141"/>
        <v/>
      </c>
      <c r="LZ33" s="40" t="str">
        <f t="shared" si="142"/>
        <v/>
      </c>
      <c r="MA33" s="40" t="str">
        <f t="shared" si="143"/>
        <v/>
      </c>
      <c r="MB33" s="40" t="str">
        <f t="shared" si="144"/>
        <v/>
      </c>
      <c r="MC33" s="40" t="str">
        <f t="shared" si="145"/>
        <v/>
      </c>
      <c r="MD33" s="40" t="str">
        <f t="shared" si="146"/>
        <v/>
      </c>
      <c r="ME33" s="40" t="str">
        <f t="shared" si="147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8"/>
        <v/>
      </c>
      <c r="NA33" s="11" t="str">
        <f t="shared" si="149"/>
        <v/>
      </c>
      <c r="NB33" s="11" t="str">
        <f t="shared" si="150"/>
        <v/>
      </c>
      <c r="NC33" s="11" t="str">
        <f t="shared" si="151"/>
        <v/>
      </c>
      <c r="ND33" s="11" t="str">
        <f t="shared" si="152"/>
        <v/>
      </c>
      <c r="NE33" s="11" t="str">
        <f t="shared" si="153"/>
        <v/>
      </c>
      <c r="NF33" s="11" t="str">
        <f t="shared" si="154"/>
        <v/>
      </c>
      <c r="NG33" s="11" t="str">
        <f t="shared" si="155"/>
        <v/>
      </c>
      <c r="NH33" s="11" t="str">
        <f t="shared" si="156"/>
        <v/>
      </c>
      <c r="NI33" s="11" t="str">
        <f t="shared" si="157"/>
        <v/>
      </c>
      <c r="NJ33" s="11" t="str">
        <f t="shared" si="158"/>
        <v/>
      </c>
      <c r="NK33" s="11" t="str">
        <f t="shared" si="159"/>
        <v/>
      </c>
      <c r="NL33" s="11" t="str">
        <f t="shared" si="160"/>
        <v/>
      </c>
      <c r="NM33" s="11" t="str">
        <f t="shared" si="161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2"/>
        <v/>
      </c>
      <c r="OI33" s="40" t="str">
        <f t="shared" si="163"/>
        <v/>
      </c>
      <c r="OJ33" s="40" t="str">
        <f t="shared" si="164"/>
        <v/>
      </c>
      <c r="OK33" s="40" t="str">
        <f t="shared" si="165"/>
        <v/>
      </c>
      <c r="OL33" s="40" t="str">
        <f t="shared" si="166"/>
        <v/>
      </c>
      <c r="OM33" s="40" t="str">
        <f t="shared" si="167"/>
        <v/>
      </c>
      <c r="ON33" s="40" t="str">
        <f t="shared" si="168"/>
        <v/>
      </c>
      <c r="OO33" s="40" t="str">
        <f t="shared" si="169"/>
        <v/>
      </c>
      <c r="OP33" s="40" t="str">
        <f t="shared" si="170"/>
        <v/>
      </c>
      <c r="OQ33" s="40" t="str">
        <f t="shared" si="171"/>
        <v/>
      </c>
      <c r="OR33" s="40" t="str">
        <f t="shared" si="172"/>
        <v/>
      </c>
      <c r="OS33" s="40" t="str">
        <f t="shared" si="173"/>
        <v/>
      </c>
      <c r="OT33" s="40" t="str">
        <f t="shared" si="174"/>
        <v/>
      </c>
      <c r="OU33" s="40" t="str">
        <f t="shared" si="175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6"/>
        <v/>
      </c>
      <c r="PQ33" s="11" t="str">
        <f t="shared" si="177"/>
        <v/>
      </c>
      <c r="PR33" s="11" t="str">
        <f t="shared" si="178"/>
        <v/>
      </c>
      <c r="PS33" s="11" t="str">
        <f t="shared" si="179"/>
        <v/>
      </c>
      <c r="PT33" s="11" t="str">
        <f t="shared" si="180"/>
        <v/>
      </c>
      <c r="PU33" s="11" t="str">
        <f t="shared" si="181"/>
        <v/>
      </c>
      <c r="PV33" s="11" t="str">
        <f t="shared" si="182"/>
        <v/>
      </c>
      <c r="PW33" s="11" t="str">
        <f t="shared" si="183"/>
        <v/>
      </c>
      <c r="PX33" s="11" t="str">
        <f t="shared" si="184"/>
        <v/>
      </c>
      <c r="PY33" s="11" t="str">
        <f t="shared" si="185"/>
        <v/>
      </c>
      <c r="PZ33" s="11" t="str">
        <f t="shared" si="186"/>
        <v/>
      </c>
      <c r="QA33" s="11" t="str">
        <f t="shared" si="187"/>
        <v/>
      </c>
      <c r="QB33" s="11" t="str">
        <f t="shared" si="188"/>
        <v/>
      </c>
      <c r="QC33" s="11" t="str">
        <f t="shared" si="189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90"/>
        <v/>
      </c>
      <c r="QY33" s="40" t="str">
        <f t="shared" si="191"/>
        <v/>
      </c>
      <c r="QZ33" s="40" t="str">
        <f t="shared" si="192"/>
        <v/>
      </c>
      <c r="RA33" s="40" t="str">
        <f t="shared" si="193"/>
        <v/>
      </c>
      <c r="RB33" s="40" t="str">
        <f t="shared" si="194"/>
        <v/>
      </c>
      <c r="RC33" s="40" t="str">
        <f t="shared" si="195"/>
        <v/>
      </c>
      <c r="RD33" s="40" t="str">
        <f t="shared" si="196"/>
        <v/>
      </c>
      <c r="RE33" s="40" t="str">
        <f t="shared" si="197"/>
        <v/>
      </c>
      <c r="RF33" s="40" t="str">
        <f t="shared" si="198"/>
        <v/>
      </c>
      <c r="RG33" s="40" t="str">
        <f t="shared" si="199"/>
        <v/>
      </c>
      <c r="RH33" s="40" t="str">
        <f t="shared" si="200"/>
        <v/>
      </c>
      <c r="RI33" s="40" t="str">
        <f t="shared" si="201"/>
        <v/>
      </c>
      <c r="RJ33" s="40" t="str">
        <f t="shared" si="202"/>
        <v/>
      </c>
      <c r="RK33" s="40" t="str">
        <f t="shared" si="203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4"/>
        <v/>
      </c>
      <c r="SG33" s="11" t="str">
        <f t="shared" si="205"/>
        <v/>
      </c>
      <c r="SH33" s="11" t="str">
        <f t="shared" si="206"/>
        <v/>
      </c>
      <c r="SI33" s="11" t="str">
        <f t="shared" si="207"/>
        <v/>
      </c>
      <c r="SJ33" s="11" t="str">
        <f t="shared" si="208"/>
        <v/>
      </c>
      <c r="SK33" s="11" t="str">
        <f t="shared" si="209"/>
        <v/>
      </c>
      <c r="SL33" s="11" t="str">
        <f t="shared" si="210"/>
        <v/>
      </c>
      <c r="SM33" s="11" t="str">
        <f t="shared" si="211"/>
        <v/>
      </c>
      <c r="SN33" s="11" t="str">
        <f t="shared" si="212"/>
        <v/>
      </c>
      <c r="SO33" s="11" t="str">
        <f t="shared" si="213"/>
        <v/>
      </c>
      <c r="SP33" s="11" t="str">
        <f t="shared" si="214"/>
        <v/>
      </c>
      <c r="SQ33" s="11" t="str">
        <f t="shared" si="215"/>
        <v/>
      </c>
      <c r="SR33" s="11" t="str">
        <f t="shared" si="216"/>
        <v/>
      </c>
      <c r="SS33" s="11" t="str">
        <f t="shared" si="217"/>
        <v/>
      </c>
      <c r="ST33" s="22">
        <f t="shared" si="218"/>
        <v>0</v>
      </c>
      <c r="SU33" s="22">
        <f t="shared" si="219"/>
        <v>0</v>
      </c>
      <c r="SV33" s="22">
        <f t="shared" si="220"/>
        <v>0</v>
      </c>
      <c r="SW33" s="22">
        <f t="shared" si="221"/>
        <v>0</v>
      </c>
      <c r="SX33" s="22">
        <f t="shared" si="222"/>
        <v>0</v>
      </c>
      <c r="SY33" s="22">
        <f t="shared" si="223"/>
        <v>0</v>
      </c>
      <c r="SZ33" s="22">
        <f t="shared" si="224"/>
        <v>0</v>
      </c>
      <c r="TA33" s="22">
        <f t="shared" si="225"/>
        <v>0</v>
      </c>
      <c r="TB33" s="22">
        <f t="shared" si="226"/>
        <v>0</v>
      </c>
      <c r="TC33" s="22">
        <f t="shared" si="227"/>
        <v>0</v>
      </c>
      <c r="TD33" s="22">
        <f t="shared" si="228"/>
        <v>0</v>
      </c>
      <c r="TE33" s="22">
        <f t="shared" si="229"/>
        <v>0</v>
      </c>
      <c r="TF33" s="22">
        <f t="shared" si="230"/>
        <v>0</v>
      </c>
      <c r="TG33" s="22">
        <f t="shared" si="231"/>
        <v>0</v>
      </c>
      <c r="TH33" s="22">
        <f t="shared" si="232"/>
        <v>0</v>
      </c>
      <c r="TI33" s="27" t="s">
        <v>46</v>
      </c>
      <c r="TJ33" s="40" t="str">
        <f t="shared" si="233"/>
        <v/>
      </c>
      <c r="TK33" s="40" t="str">
        <f t="shared" si="234"/>
        <v/>
      </c>
      <c r="TL33" s="40" t="str">
        <f t="shared" si="235"/>
        <v/>
      </c>
      <c r="TM33" s="40" t="str">
        <f t="shared" si="236"/>
        <v/>
      </c>
      <c r="TN33" s="40" t="str">
        <f t="shared" si="237"/>
        <v/>
      </c>
      <c r="TO33" s="40" t="str">
        <f t="shared" si="238"/>
        <v/>
      </c>
      <c r="TP33" s="40" t="str">
        <f t="shared" si="239"/>
        <v/>
      </c>
      <c r="TQ33" s="40" t="str">
        <f t="shared" si="240"/>
        <v/>
      </c>
      <c r="TR33" s="40" t="str">
        <f t="shared" si="241"/>
        <v/>
      </c>
      <c r="TS33" s="40" t="str">
        <f t="shared" si="242"/>
        <v/>
      </c>
      <c r="TT33" s="40" t="str">
        <f t="shared" si="243"/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148</v>
      </c>
      <c r="C34" s="4" t="s">
        <v>4</v>
      </c>
      <c r="D34" s="4">
        <v>2002</v>
      </c>
      <c r="E34" s="9">
        <f t="shared" si="0"/>
        <v>7.1900007190005688</v>
      </c>
      <c r="F34" s="3" t="str">
        <f t="shared" si="1"/>
        <v/>
      </c>
      <c r="G34" s="3" t="str">
        <f t="shared" si="2"/>
        <v/>
      </c>
      <c r="H34" s="36" t="str">
        <f t="shared" si="3"/>
        <v/>
      </c>
      <c r="I34" s="3" t="str">
        <f t="shared" si="4"/>
        <v/>
      </c>
      <c r="J34" s="8">
        <f>IF(COUNT(AO34,AR34,BP34,BS34,CQ34,CT34)&gt;0,LARGE((AO34,AR34,BP34,BS34,CQ34,CT34),1),0)</f>
        <v>5.6899999999999995</v>
      </c>
      <c r="K34" s="8" t="str">
        <f t="shared" si="5"/>
        <v>2022 Nationals</v>
      </c>
      <c r="L34" s="8">
        <f>IF(COUNT(AO34,AR34,BP34,BS34,CQ34,CT34)&gt;1,LARGE((AO34,AR34,BP34,BS34,CQ34,CT34),2),0)</f>
        <v>0</v>
      </c>
      <c r="M34" s="8" t="str">
        <f t="shared" si="6"/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 t="shared" si="7"/>
        <v/>
      </c>
      <c r="P34" s="8">
        <f t="shared" si="8"/>
        <v>1.5</v>
      </c>
      <c r="Q34" s="8" t="str">
        <f t="shared" si="9"/>
        <v>2022 Nationals</v>
      </c>
      <c r="R34" s="8">
        <f t="shared" si="10"/>
        <v>0</v>
      </c>
      <c r="S34" s="8" t="str">
        <f t="shared" si="11"/>
        <v/>
      </c>
      <c r="T34" s="8" t="str">
        <f t="shared" si="12"/>
        <v/>
      </c>
      <c r="U34" s="11" t="str">
        <f t="shared" si="13"/>
        <v/>
      </c>
      <c r="V34" s="8" t="str">
        <f t="shared" si="14"/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 t="shared" si="15"/>
        <v>1.5</v>
      </c>
      <c r="AN34" s="38">
        <f t="shared" si="16"/>
        <v>1.59</v>
      </c>
      <c r="AO34" s="40">
        <f t="shared" si="17"/>
        <v>5.6899999999999995</v>
      </c>
      <c r="AP34" s="40" t="str">
        <f t="shared" si="18"/>
        <v/>
      </c>
      <c r="AQ34" s="40" t="str">
        <f t="shared" si="19"/>
        <v/>
      </c>
      <c r="AR34" s="40" t="str">
        <f t="shared" si="20"/>
        <v/>
      </c>
      <c r="AS34" s="40">
        <f t="shared" si="21"/>
        <v>5.6899999999999995</v>
      </c>
      <c r="AT34" s="40" t="str">
        <f t="shared" si="22"/>
        <v/>
      </c>
      <c r="AU34" s="40" t="str">
        <f t="shared" si="23"/>
        <v/>
      </c>
      <c r="AV34" s="40" t="str">
        <f t="shared" si="24"/>
        <v/>
      </c>
      <c r="AW34" s="40">
        <f t="shared" si="25"/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 t="shared" si="26"/>
        <v/>
      </c>
      <c r="BO34" s="39" t="str">
        <f t="shared" si="27"/>
        <v/>
      </c>
      <c r="BP34" s="11" t="str">
        <f t="shared" si="28"/>
        <v/>
      </c>
      <c r="BQ34" s="11" t="str">
        <f t="shared" si="29"/>
        <v/>
      </c>
      <c r="BR34" s="11" t="str">
        <f t="shared" si="30"/>
        <v/>
      </c>
      <c r="BS34" s="11" t="str">
        <f t="shared" si="31"/>
        <v/>
      </c>
      <c r="BT34" s="11" t="str">
        <f t="shared" si="32"/>
        <v/>
      </c>
      <c r="BU34" s="11" t="str">
        <f t="shared" si="33"/>
        <v/>
      </c>
      <c r="BV34" s="11" t="str">
        <f t="shared" si="34"/>
        <v/>
      </c>
      <c r="BW34" s="11" t="str">
        <f t="shared" si="35"/>
        <v/>
      </c>
      <c r="BX34" s="11" t="str">
        <f t="shared" si="36"/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 t="shared" si="37"/>
        <v/>
      </c>
      <c r="CP34" s="38" t="str">
        <f t="shared" si="38"/>
        <v/>
      </c>
      <c r="CQ34" s="40" t="str">
        <f t="shared" si="39"/>
        <v/>
      </c>
      <c r="CR34" s="40" t="str">
        <f t="shared" si="40"/>
        <v/>
      </c>
      <c r="CS34" s="40" t="str">
        <f t="shared" si="41"/>
        <v/>
      </c>
      <c r="CT34" s="40" t="str">
        <f t="shared" si="42"/>
        <v/>
      </c>
      <c r="CU34" s="40" t="str">
        <f t="shared" si="43"/>
        <v/>
      </c>
      <c r="CV34" s="40" t="str">
        <f t="shared" si="44"/>
        <v/>
      </c>
      <c r="CW34" s="40" t="str">
        <f t="shared" si="45"/>
        <v/>
      </c>
      <c r="CX34" s="40" t="str">
        <f t="shared" si="46"/>
        <v/>
      </c>
      <c r="CY34" s="40" t="str">
        <f t="shared" si="47"/>
        <v/>
      </c>
      <c r="CZ34" s="50" t="str">
        <f t="shared" si="48"/>
        <v/>
      </c>
      <c r="DA34" s="50" t="str">
        <f t="shared" si="49"/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 t="shared" si="50"/>
        <v/>
      </c>
      <c r="DW34" s="40" t="str">
        <f t="shared" si="51"/>
        <v/>
      </c>
      <c r="DX34" s="40" t="str">
        <f t="shared" si="52"/>
        <v/>
      </c>
      <c r="DY34" s="40" t="str">
        <f t="shared" si="53"/>
        <v/>
      </c>
      <c r="DZ34" s="40" t="str">
        <f t="shared" si="54"/>
        <v/>
      </c>
      <c r="EA34" s="40" t="str">
        <f t="shared" si="55"/>
        <v/>
      </c>
      <c r="EB34" s="40" t="str">
        <f t="shared" si="56"/>
        <v/>
      </c>
      <c r="EC34" s="40" t="str">
        <f t="shared" si="57"/>
        <v/>
      </c>
      <c r="ED34" s="40" t="str">
        <f t="shared" si="58"/>
        <v/>
      </c>
      <c r="EE34" s="40" t="str">
        <f t="shared" si="59"/>
        <v/>
      </c>
      <c r="EF34" s="40" t="str">
        <f t="shared" si="60"/>
        <v/>
      </c>
      <c r="EG34" s="40" t="str">
        <f t="shared" si="61"/>
        <v/>
      </c>
      <c r="EH34" s="40" t="str">
        <f t="shared" si="62"/>
        <v/>
      </c>
      <c r="EI34" s="40" t="str">
        <f t="shared" si="63"/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 t="shared" si="64"/>
        <v/>
      </c>
      <c r="FE34" s="11" t="str">
        <f t="shared" si="65"/>
        <v/>
      </c>
      <c r="FF34" s="11" t="str">
        <f t="shared" si="66"/>
        <v/>
      </c>
      <c r="FG34" s="11" t="str">
        <f t="shared" si="67"/>
        <v/>
      </c>
      <c r="FH34" s="11" t="str">
        <f t="shared" si="68"/>
        <v/>
      </c>
      <c r="FI34" s="11" t="str">
        <f t="shared" si="69"/>
        <v/>
      </c>
      <c r="FJ34" s="11" t="str">
        <f t="shared" si="70"/>
        <v/>
      </c>
      <c r="FK34" s="11" t="str">
        <f t="shared" si="71"/>
        <v/>
      </c>
      <c r="FL34" s="11" t="str">
        <f t="shared" si="72"/>
        <v/>
      </c>
      <c r="FM34" s="11" t="str">
        <f t="shared" si="73"/>
        <v/>
      </c>
      <c r="FN34" s="11" t="str">
        <f t="shared" si="74"/>
        <v/>
      </c>
      <c r="FO34" s="11" t="str">
        <f t="shared" si="75"/>
        <v/>
      </c>
      <c r="FP34" s="11" t="str">
        <f t="shared" si="76"/>
        <v/>
      </c>
      <c r="FQ34" s="11" t="str">
        <f t="shared" si="77"/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 t="shared" si="78"/>
        <v/>
      </c>
      <c r="GM34" s="40" t="str">
        <f t="shared" si="79"/>
        <v/>
      </c>
      <c r="GN34" s="40" t="str">
        <f t="shared" si="80"/>
        <v/>
      </c>
      <c r="GO34" s="40" t="str">
        <f t="shared" si="81"/>
        <v/>
      </c>
      <c r="GP34" s="40" t="str">
        <f t="shared" si="82"/>
        <v/>
      </c>
      <c r="GQ34" s="40" t="str">
        <f t="shared" si="83"/>
        <v/>
      </c>
      <c r="GR34" s="40" t="str">
        <f t="shared" si="84"/>
        <v/>
      </c>
      <c r="GS34" s="40" t="str">
        <f t="shared" si="85"/>
        <v/>
      </c>
      <c r="GT34" s="40" t="str">
        <f t="shared" si="86"/>
        <v/>
      </c>
      <c r="GU34" s="40" t="str">
        <f t="shared" si="87"/>
        <v/>
      </c>
      <c r="GV34" s="40" t="str">
        <f t="shared" si="88"/>
        <v/>
      </c>
      <c r="GW34" s="40" t="str">
        <f t="shared" si="89"/>
        <v/>
      </c>
      <c r="GX34" s="40" t="str">
        <f t="shared" si="90"/>
        <v/>
      </c>
      <c r="GY34" s="40" t="str">
        <f t="shared" si="91"/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 t="shared" si="92"/>
        <v/>
      </c>
      <c r="HU34" s="11" t="str">
        <f t="shared" si="93"/>
        <v/>
      </c>
      <c r="HV34" s="11" t="str">
        <f t="shared" si="94"/>
        <v/>
      </c>
      <c r="HW34" s="11" t="str">
        <f t="shared" si="95"/>
        <v/>
      </c>
      <c r="HX34" s="11" t="str">
        <f t="shared" si="96"/>
        <v/>
      </c>
      <c r="HY34" s="11" t="str">
        <f t="shared" si="97"/>
        <v/>
      </c>
      <c r="HZ34" s="11" t="str">
        <f t="shared" si="98"/>
        <v/>
      </c>
      <c r="IA34" s="11" t="str">
        <f t="shared" si="99"/>
        <v/>
      </c>
      <c r="IB34" s="11" t="str">
        <f t="shared" si="100"/>
        <v/>
      </c>
      <c r="IC34" s="11" t="str">
        <f t="shared" si="101"/>
        <v/>
      </c>
      <c r="ID34" s="11" t="str">
        <f t="shared" si="102"/>
        <v/>
      </c>
      <c r="IE34" s="11" t="str">
        <f t="shared" si="103"/>
        <v/>
      </c>
      <c r="IF34" s="11" t="str">
        <f t="shared" si="104"/>
        <v/>
      </c>
      <c r="IG34" s="11" t="str">
        <f t="shared" si="105"/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 t="shared" si="106"/>
        <v/>
      </c>
      <c r="JC34" s="40" t="str">
        <f t="shared" si="107"/>
        <v/>
      </c>
      <c r="JD34" s="40" t="str">
        <f t="shared" si="108"/>
        <v/>
      </c>
      <c r="JE34" s="40" t="str">
        <f t="shared" si="109"/>
        <v/>
      </c>
      <c r="JF34" s="40" t="str">
        <f t="shared" si="110"/>
        <v/>
      </c>
      <c r="JG34" s="40" t="str">
        <f t="shared" si="111"/>
        <v/>
      </c>
      <c r="JH34" s="40" t="str">
        <f t="shared" si="112"/>
        <v/>
      </c>
      <c r="JI34" s="40" t="str">
        <f t="shared" si="113"/>
        <v/>
      </c>
      <c r="JJ34" s="40" t="str">
        <f t="shared" si="114"/>
        <v/>
      </c>
      <c r="JK34" s="40" t="str">
        <f t="shared" si="115"/>
        <v/>
      </c>
      <c r="JL34" s="40" t="str">
        <f t="shared" si="116"/>
        <v/>
      </c>
      <c r="JM34" s="40" t="str">
        <f t="shared" si="117"/>
        <v/>
      </c>
      <c r="JN34" s="40" t="str">
        <f t="shared" si="118"/>
        <v/>
      </c>
      <c r="JO34" s="40" t="str">
        <f t="shared" si="119"/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 t="shared" si="120"/>
        <v/>
      </c>
      <c r="KK34" s="11" t="str">
        <f t="shared" si="121"/>
        <v/>
      </c>
      <c r="KL34" s="11" t="str">
        <f t="shared" si="122"/>
        <v/>
      </c>
      <c r="KM34" s="11" t="str">
        <f t="shared" si="123"/>
        <v/>
      </c>
      <c r="KN34" s="11" t="str">
        <f t="shared" si="124"/>
        <v/>
      </c>
      <c r="KO34" s="11" t="str">
        <f t="shared" si="125"/>
        <v/>
      </c>
      <c r="KP34" s="11" t="str">
        <f t="shared" si="126"/>
        <v/>
      </c>
      <c r="KQ34" s="11" t="str">
        <f t="shared" si="127"/>
        <v/>
      </c>
      <c r="KR34" s="11" t="str">
        <f t="shared" si="128"/>
        <v/>
      </c>
      <c r="KS34" s="11" t="str">
        <f t="shared" si="129"/>
        <v/>
      </c>
      <c r="KT34" s="11" t="str">
        <f t="shared" si="130"/>
        <v/>
      </c>
      <c r="KU34" s="11" t="str">
        <f t="shared" si="131"/>
        <v/>
      </c>
      <c r="KV34" s="11" t="str">
        <f t="shared" si="132"/>
        <v/>
      </c>
      <c r="KW34" s="11" t="str">
        <f t="shared" si="133"/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 t="shared" si="134"/>
        <v/>
      </c>
      <c r="LS34" s="40" t="str">
        <f t="shared" si="135"/>
        <v/>
      </c>
      <c r="LT34" s="40" t="str">
        <f t="shared" si="136"/>
        <v/>
      </c>
      <c r="LU34" s="40" t="str">
        <f t="shared" si="137"/>
        <v/>
      </c>
      <c r="LV34" s="40" t="str">
        <f t="shared" si="138"/>
        <v/>
      </c>
      <c r="LW34" s="40" t="str">
        <f t="shared" si="139"/>
        <v/>
      </c>
      <c r="LX34" s="40" t="str">
        <f t="shared" si="140"/>
        <v/>
      </c>
      <c r="LY34" s="40" t="str">
        <f t="shared" si="141"/>
        <v/>
      </c>
      <c r="LZ34" s="40" t="str">
        <f t="shared" si="142"/>
        <v/>
      </c>
      <c r="MA34" s="40" t="str">
        <f t="shared" si="143"/>
        <v/>
      </c>
      <c r="MB34" s="40" t="str">
        <f t="shared" si="144"/>
        <v/>
      </c>
      <c r="MC34" s="40" t="str">
        <f t="shared" si="145"/>
        <v/>
      </c>
      <c r="MD34" s="40" t="str">
        <f t="shared" si="146"/>
        <v/>
      </c>
      <c r="ME34" s="40" t="str">
        <f t="shared" si="147"/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 t="shared" si="148"/>
        <v/>
      </c>
      <c r="NA34" s="11" t="str">
        <f t="shared" si="149"/>
        <v/>
      </c>
      <c r="NB34" s="11" t="str">
        <f t="shared" si="150"/>
        <v/>
      </c>
      <c r="NC34" s="11" t="str">
        <f t="shared" si="151"/>
        <v/>
      </c>
      <c r="ND34" s="11" t="str">
        <f t="shared" si="152"/>
        <v/>
      </c>
      <c r="NE34" s="11" t="str">
        <f t="shared" si="153"/>
        <v/>
      </c>
      <c r="NF34" s="11" t="str">
        <f t="shared" si="154"/>
        <v/>
      </c>
      <c r="NG34" s="11" t="str">
        <f t="shared" si="155"/>
        <v/>
      </c>
      <c r="NH34" s="11" t="str">
        <f t="shared" si="156"/>
        <v/>
      </c>
      <c r="NI34" s="11" t="str">
        <f t="shared" si="157"/>
        <v/>
      </c>
      <c r="NJ34" s="11" t="str">
        <f t="shared" si="158"/>
        <v/>
      </c>
      <c r="NK34" s="11" t="str">
        <f t="shared" si="159"/>
        <v/>
      </c>
      <c r="NL34" s="11" t="str">
        <f t="shared" si="160"/>
        <v/>
      </c>
      <c r="NM34" s="11" t="str">
        <f t="shared" si="161"/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 t="shared" si="162"/>
        <v/>
      </c>
      <c r="OI34" s="40" t="str">
        <f t="shared" si="163"/>
        <v/>
      </c>
      <c r="OJ34" s="40" t="str">
        <f t="shared" si="164"/>
        <v/>
      </c>
      <c r="OK34" s="40" t="str">
        <f t="shared" si="165"/>
        <v/>
      </c>
      <c r="OL34" s="40" t="str">
        <f t="shared" si="166"/>
        <v/>
      </c>
      <c r="OM34" s="40" t="str">
        <f t="shared" si="167"/>
        <v/>
      </c>
      <c r="ON34" s="40" t="str">
        <f t="shared" si="168"/>
        <v/>
      </c>
      <c r="OO34" s="40" t="str">
        <f t="shared" si="169"/>
        <v/>
      </c>
      <c r="OP34" s="40" t="str">
        <f t="shared" si="170"/>
        <v/>
      </c>
      <c r="OQ34" s="40" t="str">
        <f t="shared" si="171"/>
        <v/>
      </c>
      <c r="OR34" s="40" t="str">
        <f t="shared" si="172"/>
        <v/>
      </c>
      <c r="OS34" s="40" t="str">
        <f t="shared" si="173"/>
        <v/>
      </c>
      <c r="OT34" s="40" t="str">
        <f t="shared" si="174"/>
        <v/>
      </c>
      <c r="OU34" s="40" t="str">
        <f t="shared" si="175"/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 t="shared" si="176"/>
        <v/>
      </c>
      <c r="PQ34" s="11" t="str">
        <f t="shared" si="177"/>
        <v/>
      </c>
      <c r="PR34" s="11" t="str">
        <f t="shared" si="178"/>
        <v/>
      </c>
      <c r="PS34" s="11" t="str">
        <f t="shared" si="179"/>
        <v/>
      </c>
      <c r="PT34" s="11" t="str">
        <f t="shared" si="180"/>
        <v/>
      </c>
      <c r="PU34" s="11" t="str">
        <f t="shared" si="181"/>
        <v/>
      </c>
      <c r="PV34" s="11" t="str">
        <f t="shared" si="182"/>
        <v/>
      </c>
      <c r="PW34" s="11" t="str">
        <f t="shared" si="183"/>
        <v/>
      </c>
      <c r="PX34" s="11" t="str">
        <f t="shared" si="184"/>
        <v/>
      </c>
      <c r="PY34" s="11" t="str">
        <f t="shared" si="185"/>
        <v/>
      </c>
      <c r="PZ34" s="11" t="str">
        <f t="shared" si="186"/>
        <v/>
      </c>
      <c r="QA34" s="11" t="str">
        <f t="shared" si="187"/>
        <v/>
      </c>
      <c r="QB34" s="11" t="str">
        <f t="shared" si="188"/>
        <v/>
      </c>
      <c r="QC34" s="11" t="str">
        <f t="shared" si="189"/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 t="shared" si="190"/>
        <v/>
      </c>
      <c r="QY34" s="40" t="str">
        <f t="shared" si="191"/>
        <v/>
      </c>
      <c r="QZ34" s="40" t="str">
        <f t="shared" si="192"/>
        <v/>
      </c>
      <c r="RA34" s="40" t="str">
        <f t="shared" si="193"/>
        <v/>
      </c>
      <c r="RB34" s="40" t="str">
        <f t="shared" si="194"/>
        <v/>
      </c>
      <c r="RC34" s="40" t="str">
        <f t="shared" si="195"/>
        <v/>
      </c>
      <c r="RD34" s="40" t="str">
        <f t="shared" si="196"/>
        <v/>
      </c>
      <c r="RE34" s="40" t="str">
        <f t="shared" si="197"/>
        <v/>
      </c>
      <c r="RF34" s="40" t="str">
        <f t="shared" si="198"/>
        <v/>
      </c>
      <c r="RG34" s="40" t="str">
        <f t="shared" si="199"/>
        <v/>
      </c>
      <c r="RH34" s="40" t="str">
        <f t="shared" si="200"/>
        <v/>
      </c>
      <c r="RI34" s="40" t="str">
        <f t="shared" si="201"/>
        <v/>
      </c>
      <c r="RJ34" s="40" t="str">
        <f t="shared" si="202"/>
        <v/>
      </c>
      <c r="RK34" s="40" t="str">
        <f t="shared" si="203"/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 t="shared" si="204"/>
        <v/>
      </c>
      <c r="SG34" s="11" t="str">
        <f t="shared" si="205"/>
        <v/>
      </c>
      <c r="SH34" s="11" t="str">
        <f t="shared" si="206"/>
        <v/>
      </c>
      <c r="SI34" s="11" t="str">
        <f t="shared" si="207"/>
        <v/>
      </c>
      <c r="SJ34" s="11" t="str">
        <f t="shared" si="208"/>
        <v/>
      </c>
      <c r="SK34" s="11" t="str">
        <f t="shared" si="209"/>
        <v/>
      </c>
      <c r="SL34" s="11" t="str">
        <f t="shared" si="210"/>
        <v/>
      </c>
      <c r="SM34" s="11" t="str">
        <f t="shared" si="211"/>
        <v/>
      </c>
      <c r="SN34" s="11" t="str">
        <f t="shared" si="212"/>
        <v/>
      </c>
      <c r="SO34" s="11" t="str">
        <f t="shared" si="213"/>
        <v/>
      </c>
      <c r="SP34" s="11" t="str">
        <f t="shared" si="214"/>
        <v/>
      </c>
      <c r="SQ34" s="11" t="str">
        <f t="shared" si="215"/>
        <v/>
      </c>
      <c r="SR34" s="11" t="str">
        <f t="shared" si="216"/>
        <v/>
      </c>
      <c r="SS34" s="11" t="str">
        <f t="shared" si="217"/>
        <v/>
      </c>
      <c r="ST34" s="22">
        <f t="shared" si="218"/>
        <v>0</v>
      </c>
      <c r="SU34" s="22">
        <f t="shared" si="219"/>
        <v>0</v>
      </c>
      <c r="SV34" s="22">
        <f t="shared" si="220"/>
        <v>0</v>
      </c>
      <c r="SW34" s="22">
        <f t="shared" si="221"/>
        <v>0</v>
      </c>
      <c r="SX34" s="22">
        <f t="shared" si="222"/>
        <v>0</v>
      </c>
      <c r="SY34" s="22">
        <f t="shared" si="223"/>
        <v>0</v>
      </c>
      <c r="SZ34" s="22">
        <f t="shared" si="224"/>
        <v>0</v>
      </c>
      <c r="TA34" s="22">
        <f t="shared" si="225"/>
        <v>0</v>
      </c>
      <c r="TB34" s="22">
        <f t="shared" si="226"/>
        <v>0</v>
      </c>
      <c r="TC34" s="22">
        <f t="shared" si="227"/>
        <v>0</v>
      </c>
      <c r="TD34" s="22">
        <f t="shared" si="228"/>
        <v>0</v>
      </c>
      <c r="TE34" s="22">
        <f t="shared" si="229"/>
        <v>0</v>
      </c>
      <c r="TF34" s="22">
        <f t="shared" si="230"/>
        <v>0</v>
      </c>
      <c r="TG34" s="22">
        <f t="shared" si="231"/>
        <v>0</v>
      </c>
      <c r="TH34" s="22">
        <f t="shared" si="232"/>
        <v>0</v>
      </c>
      <c r="TI34" s="27" t="s">
        <v>46</v>
      </c>
      <c r="TJ34" s="40" t="str">
        <f t="shared" si="233"/>
        <v/>
      </c>
      <c r="TK34" s="40" t="str">
        <f t="shared" si="234"/>
        <v/>
      </c>
      <c r="TL34" s="40" t="str">
        <f t="shared" si="235"/>
        <v/>
      </c>
      <c r="TM34" s="40" t="str">
        <f t="shared" si="236"/>
        <v/>
      </c>
      <c r="TN34" s="40" t="str">
        <f t="shared" si="237"/>
        <v/>
      </c>
      <c r="TO34" s="40" t="str">
        <f t="shared" si="238"/>
        <v/>
      </c>
      <c r="TP34" s="40" t="str">
        <f t="shared" si="239"/>
        <v/>
      </c>
      <c r="TQ34" s="40" t="str">
        <f t="shared" si="240"/>
        <v/>
      </c>
      <c r="TR34" s="40" t="str">
        <f t="shared" si="241"/>
        <v/>
      </c>
      <c r="TS34" s="40" t="str">
        <f t="shared" si="242"/>
        <v/>
      </c>
      <c r="TT34" s="40" t="str">
        <f t="shared" si="243"/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186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114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192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134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188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216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187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117</v>
      </c>
      <c r="C4" s="4" t="s">
        <v>3</v>
      </c>
      <c r="D4" s="4">
        <v>2004</v>
      </c>
      <c r="E4" s="9">
        <f t="shared" ref="E4:E31" si="0">SUM(J4:T4)+SUM(J4:R4)*0.0000001+SUM(J4)*0.0000000000001</f>
        <v>181.10001811000512</v>
      </c>
      <c r="F4" s="3" t="str">
        <f t="shared" ref="F4:F31" si="1"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 t="shared" ref="G4:G31" si="2"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 t="shared" ref="H4:H31" si="3"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 t="shared" ref="I4:I31" si="4"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 t="shared" ref="K4:K31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 t="shared" ref="M4:M31" si="6">IF(L4="","",IF(OR(L4=CQ4,L4=CT4),$BY$1,IF(OR(L4=BP4,L4=BS4),$AX$1,IF(OR(L4=AO4,L4=AR4),$W$1,""))))</f>
        <v>2022 Nationals</v>
      </c>
      <c r="N4" s="8">
        <f>IF(COUNT(AO4,AR4,BP4,BS4,CQ4,CT4)&gt;2,MAX(AV4,BW4,CX4,LARGE((AO4,AR4,BP4,BS4,CQ4,CT4),3)),IF(MAX(AV4,BW4,CX4)&gt;0,MAX(AV4,BW4,CX4),0))</f>
        <v>51.629999999999995</v>
      </c>
      <c r="O4" s="8" t="str">
        <f t="shared" ref="O4:O31" si="7">IF(N4="","",IF(OR(N4=CQ4,N4=CT4,N4=CX4),$BY$1,IF(OR(N4=BP4,N4=BS4,N4=BW4),$AX$1,IF(OR(N4=AO4,N4=AR4,N4=AV4),$W$1,""))))</f>
        <v>2023 Elite Canada</v>
      </c>
      <c r="P4" s="8">
        <f t="shared" ref="P4:P31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12.9</v>
      </c>
      <c r="Q4" s="8" t="str">
        <f t="shared" ref="Q4:Q31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Pan Am Club Championships (May 14)</v>
      </c>
      <c r="R4" s="8">
        <f t="shared" ref="R4:R31" si="10"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14.7</v>
      </c>
      <c r="S4" s="8" t="str">
        <f t="shared" ref="S4:S31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Pan Am Club Championships (May 14)</v>
      </c>
      <c r="T4" s="8" t="str">
        <f t="shared" ref="T4:T31" si="12">IF(MAX(CZ4,DA4)&gt;0,MAX(CZ4,DA4),"")</f>
        <v/>
      </c>
      <c r="U4" s="11" t="str">
        <f t="shared" ref="U4:U31" si="13"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 t="shared" ref="AM4:AM31" si="14">IF(Y4&gt;0,Y4,"")</f>
        <v>11.8</v>
      </c>
      <c r="AN4" s="38">
        <f t="shared" ref="AN4:AN31" si="15">IF(Z4&gt;0,Z4,"")</f>
        <v>14.31</v>
      </c>
      <c r="AO4" s="40">
        <f t="shared" ref="AO4:AO31" si="16">IF(SUM(W4:Z4)-AA4&gt;0,SUM(W4:Z4)-AA4,"")</f>
        <v>50.410000000000004</v>
      </c>
      <c r="AP4" s="40">
        <f t="shared" ref="AP4:AP31" si="17">IF(AD4&gt;0,AD4,"")</f>
        <v>11.8</v>
      </c>
      <c r="AQ4" s="40">
        <f t="shared" ref="AQ4:AQ31" si="18">IF(AE4&gt;0,AE4,"")</f>
        <v>14.62</v>
      </c>
      <c r="AR4" s="40">
        <f t="shared" ref="AR4:AR31" si="19">IF(SUM(AB4:AE4)-AF4&gt;0,SUM(AB4:AE4)-AF4,"")</f>
        <v>50.72</v>
      </c>
      <c r="AS4" s="40">
        <f t="shared" ref="AS4:AS31" si="20">IF(AO4="","",MAX(AO4,AR4))</f>
        <v>50.72</v>
      </c>
      <c r="AT4" s="40">
        <f t="shared" ref="AT4:AT31" si="21">IF(AI4&gt;0,AI4,"")</f>
        <v>11.8</v>
      </c>
      <c r="AU4" s="40">
        <f t="shared" ref="AU4:AU31" si="22">IF(AJ4&gt;0,AJ4,"")</f>
        <v>14.22</v>
      </c>
      <c r="AV4" s="40">
        <f t="shared" ref="AV4:AV31" si="23">IF(SUM(AG4:AJ4)-AK4&gt;0,SUM(AG4:AJ4)-AK4,"")</f>
        <v>50.019999999999996</v>
      </c>
      <c r="AW4" s="40">
        <f t="shared" ref="AW4:AW31" si="24"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 t="shared" ref="BN4:BN31" si="25">IF(AZ4&gt;0,AZ4,"")</f>
        <v/>
      </c>
      <c r="BO4" s="39" t="str">
        <f t="shared" ref="BO4:BO31" si="26">IF(BA4&gt;0,BA4,"")</f>
        <v/>
      </c>
      <c r="BP4" s="11" t="str">
        <f t="shared" ref="BP4:BP31" si="27">IF(SUM(AX4:BA4)-BB4&gt;0,SUM(AX4:BA4)-BB4,"")</f>
        <v/>
      </c>
      <c r="BQ4" s="11" t="str">
        <f t="shared" ref="BQ4:BQ31" si="28">IF(BE4&gt;0,BE4,"")</f>
        <v/>
      </c>
      <c r="BR4" s="11" t="str">
        <f t="shared" ref="BR4:BR31" si="29">IF(BF4&gt;0,BF4,"")</f>
        <v/>
      </c>
      <c r="BS4" s="11" t="str">
        <f t="shared" ref="BS4:BS31" si="30">IF(SUM(BC4:BF4)-BG4&gt;0,SUM(BC4:BF4)-BG4,"")</f>
        <v/>
      </c>
      <c r="BT4" s="11" t="str">
        <f t="shared" ref="BT4:BT31" si="31">IF(BP4="","",MAX(BP4,BS4))</f>
        <v/>
      </c>
      <c r="BU4" s="11" t="str">
        <f t="shared" ref="BU4:BU31" si="32">IF(BJ4&gt;0,BJ4,"")</f>
        <v/>
      </c>
      <c r="BV4" s="11" t="str">
        <f t="shared" ref="BV4:BV31" si="33">IF(BK4&gt;0,BK4,"")</f>
        <v/>
      </c>
      <c r="BW4" s="11" t="str">
        <f t="shared" ref="BW4:BW31" si="34">IF(SUM(BH4:BK4)-BL4&gt;0,SUM(BH4:BK4)-BL4,"")</f>
        <v/>
      </c>
      <c r="BX4" s="11" t="str">
        <f t="shared" ref="BX4:BX31" si="35"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 t="shared" ref="CO4:CO31" si="36">IF(CA4&gt;0,CA4,"")</f>
        <v>11.5</v>
      </c>
      <c r="CP4" s="38">
        <f t="shared" ref="CP4:CP31" si="37">IF(CB4&gt;0,CB4,"")</f>
        <v>14.25</v>
      </c>
      <c r="CQ4" s="40">
        <f t="shared" ref="CQ4:CQ31" si="38">IF(SUM(BY4:CB4)-CC4&gt;0,SUM(BY4:CB4)-CC4,"")</f>
        <v>46.05</v>
      </c>
      <c r="CR4" s="40">
        <f t="shared" ref="CR4:CR31" si="39">IF(CF4&gt;0,CF4,"")</f>
        <v>12.7</v>
      </c>
      <c r="CS4" s="40">
        <f t="shared" ref="CS4:CS31" si="40">IF(CG4&gt;0,CG4,"")</f>
        <v>14.05</v>
      </c>
      <c r="CT4" s="40">
        <f t="shared" ref="CT4:CT31" si="41">IF(SUM(CD4:CG4)-CH4&gt;0,SUM(CD4:CG4)-CH4,"")</f>
        <v>51.149999999999991</v>
      </c>
      <c r="CU4" s="40">
        <f t="shared" ref="CU4:CU31" si="42">IF(CQ4="","",MAX(CQ4,CT4))</f>
        <v>51.149999999999991</v>
      </c>
      <c r="CV4" s="40">
        <f t="shared" ref="CV4:CV31" si="43">IF(CK4&gt;0,CK4,"")</f>
        <v>12.7</v>
      </c>
      <c r="CW4" s="40">
        <f t="shared" ref="CW4:CW31" si="44">IF(CL4&gt;0,CL4,"")</f>
        <v>14.33</v>
      </c>
      <c r="CX4" s="40">
        <f t="shared" ref="CX4:CX31" si="45">IF(SUM(CI4:CL4)-CM4&gt;0,SUM(CI4:CL4)-CM4,"")</f>
        <v>51.629999999999995</v>
      </c>
      <c r="CY4" s="40">
        <f t="shared" ref="CY4:CY31" si="46">IF(SUM(CU4,CX4)&gt;0,SUM(CU4,CX4),"")</f>
        <v>102.77999999999999</v>
      </c>
      <c r="CZ4" s="50" t="str">
        <f t="shared" ref="CZ4:CZ31" si="47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1" si="48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1" si="49">IF(DD4&gt;0,DD4,"")</f>
        <v/>
      </c>
      <c r="DW4" s="40" t="str">
        <f t="shared" ref="DW4:DW31" si="50">IF(DE4&gt;0,DE4,"")</f>
        <v/>
      </c>
      <c r="DX4" s="40" t="str">
        <f t="shared" ref="DX4:DX31" si="51">IF(SUM(DB4:DE4)-DF4&gt;0,SUM(DB4:DE4)-DF4,"")</f>
        <v/>
      </c>
      <c r="DY4" s="40" t="str">
        <f t="shared" ref="DY4:DY31" si="52">IF(DI4&gt;0,DI4,"")</f>
        <v/>
      </c>
      <c r="DZ4" s="40" t="str">
        <f t="shared" ref="DZ4:DZ31" si="53">IF(DJ4&gt;0,DJ4,"")</f>
        <v/>
      </c>
      <c r="EA4" s="40" t="str">
        <f t="shared" ref="EA4:EA31" si="54">IF(SUM(DG4:DJ4)-DK4&gt;0,SUM(DG4:DJ4)-DK4,"")</f>
        <v/>
      </c>
      <c r="EB4" s="40" t="str">
        <f t="shared" ref="EB4:EB31" si="55">IF(MAX(DX4,EA4)&gt;0,MAX(DX4,EA4),"")</f>
        <v/>
      </c>
      <c r="EC4" s="40" t="str">
        <f t="shared" ref="EC4:EC31" si="56">IF(DN4&gt;0,DN4,"")</f>
        <v/>
      </c>
      <c r="ED4" s="40" t="str">
        <f t="shared" ref="ED4:ED31" si="57">IF(DO4&gt;0,DO4,"")</f>
        <v/>
      </c>
      <c r="EE4" s="40" t="str">
        <f t="shared" ref="EE4:EE31" si="58">IF(SUM(DL4:DO4)-DP4&gt;0,SUM(DL4:DO4)-DP4,"")</f>
        <v/>
      </c>
      <c r="EF4" s="40" t="str">
        <f t="shared" ref="EF4:EF31" si="59">IF(DS4&gt;0,DS4,"")</f>
        <v/>
      </c>
      <c r="EG4" s="40" t="str">
        <f t="shared" ref="EG4:EG31" si="60">IF(DT4&gt;0,DT4,"")</f>
        <v/>
      </c>
      <c r="EH4" s="40" t="str">
        <f t="shared" ref="EH4:EH31" si="61">IF(SUM(DQ4:DT4)-DU4&gt;0,SUM(DQ4:DT4)-DU4,"")</f>
        <v/>
      </c>
      <c r="EI4" s="40" t="str">
        <f t="shared" ref="EI4:EI31" si="62"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1" si="63">IF(EL4&gt;0,EL4,"")</f>
        <v/>
      </c>
      <c r="FE4" s="11" t="str">
        <f t="shared" ref="FE4:FE31" si="64">IF(EM4&gt;0,EM4,"")</f>
        <v/>
      </c>
      <c r="FF4" s="11" t="str">
        <f t="shared" ref="FF4:FF31" si="65">IF(SUM(EJ4:EM4)-EN4&gt;0,SUM(EJ4:EM4)-EN4,"")</f>
        <v/>
      </c>
      <c r="FG4" s="11" t="str">
        <f t="shared" ref="FG4:FG31" si="66">IF(EQ4&gt;0,EQ4,"")</f>
        <v/>
      </c>
      <c r="FH4" s="11" t="str">
        <f t="shared" ref="FH4:FH31" si="67">IF(ER4&gt;0,ER4,"")</f>
        <v/>
      </c>
      <c r="FI4" s="11" t="str">
        <f t="shared" ref="FI4:FI31" si="68">IF(SUM(EO4:ER4)-ES4&gt;0,SUM(EO4:ER4)-ES4,"")</f>
        <v/>
      </c>
      <c r="FJ4" s="11" t="str">
        <f t="shared" ref="FJ4:FJ31" si="69">IF(MAX(FF4,FI4)&gt;0,MAX(FF4,FI4),"")</f>
        <v/>
      </c>
      <c r="FK4" s="11" t="str">
        <f t="shared" ref="FK4:FK31" si="70">IF(EV4&gt;0,EV4,"")</f>
        <v/>
      </c>
      <c r="FL4" s="11" t="str">
        <f t="shared" ref="FL4:FL31" si="71">IF(EW4&gt;0,EW4,"")</f>
        <v/>
      </c>
      <c r="FM4" s="11" t="str">
        <f t="shared" ref="FM4:FM31" si="72">IF(SUM(ET4:EW4)-EX4&gt;0,SUM(ET4:EW4)-EX4,"")</f>
        <v/>
      </c>
      <c r="FN4" s="11" t="str">
        <f t="shared" ref="FN4:FN31" si="73">IF(FA4&gt;0,FA4,"")</f>
        <v/>
      </c>
      <c r="FO4" s="11" t="str">
        <f t="shared" ref="FO4:FO31" si="74">IF(FB4&gt;0,FB4,"")</f>
        <v/>
      </c>
      <c r="FP4" s="11" t="str">
        <f t="shared" ref="FP4:FP31" si="75">IF(SUM(EY4:FB4)-FC4&gt;0,SUM(EY4:FB4)-FC4,"")</f>
        <v/>
      </c>
      <c r="FQ4" s="11" t="str">
        <f t="shared" ref="FQ4:FQ31" si="76"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 t="shared" ref="GL4:GL31" si="77">IF(FT4&gt;0,FT4,"")</f>
        <v>12.7</v>
      </c>
      <c r="GM4" s="40">
        <f t="shared" ref="GM4:GM31" si="78">IF(FU4&gt;0,FU4,"")</f>
        <v>14.7</v>
      </c>
      <c r="GN4" s="40">
        <f t="shared" ref="GN4:GN31" si="79">IF(SUM(FR4:FU4)-FV4&gt;0,SUM(FR4:FU4)-FV4,"")</f>
        <v>50.7</v>
      </c>
      <c r="GO4" s="40">
        <f t="shared" ref="GO4:GO31" si="80">IF(FY4&gt;0,FY4,"")</f>
        <v>12.9</v>
      </c>
      <c r="GP4" s="40">
        <f t="shared" ref="GP4:GP31" si="81">IF(FZ4&gt;0,FZ4,"")</f>
        <v>14.44</v>
      </c>
      <c r="GQ4" s="40">
        <f t="shared" ref="GQ4:GQ31" si="82">IF(SUM(FW4:FZ4)-GA4&gt;0,SUM(FW4:FZ4)-GA4,"")</f>
        <v>50.14</v>
      </c>
      <c r="GR4" s="40">
        <f t="shared" ref="GR4:GR31" si="83">IF(MAX(GN4,GQ4)&gt;0,MAX(GN4,GQ4),"")</f>
        <v>50.7</v>
      </c>
      <c r="GS4" s="40" t="str">
        <f t="shared" ref="GS4:GS31" si="84">IF(GD4&gt;0,GD4,"")</f>
        <v/>
      </c>
      <c r="GT4" s="40" t="str">
        <f t="shared" ref="GT4:GT31" si="85">IF(GE4&gt;0,GE4,"")</f>
        <v/>
      </c>
      <c r="GU4" s="40" t="str">
        <f t="shared" ref="GU4:GU31" si="86">IF(SUM(GB4:GE4)-GF4&gt;0,SUM(GB4:GE4)-GF4,"")</f>
        <v/>
      </c>
      <c r="GV4" s="40">
        <f t="shared" ref="GV4:GV31" si="87">IF(GI4&gt;0,GI4,"")</f>
        <v>12.9</v>
      </c>
      <c r="GW4" s="40">
        <f t="shared" ref="GW4:GW31" si="88">IF(GJ4&gt;0,GJ4,"")</f>
        <v>14.59</v>
      </c>
      <c r="GX4" s="40">
        <f t="shared" ref="GX4:GX31" si="89">IF(SUM(GG4:GJ4)-GK4&gt;0,SUM(GG4:GJ4)-GK4,"")</f>
        <v>51.09</v>
      </c>
      <c r="GY4" s="40">
        <f t="shared" ref="GY4:GY31" si="90">IF(SUM(GR4,GX4)&gt;0,SUM(GR4,GX4),"")</f>
        <v>101.79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1" si="91">IF(HB4&gt;0,HB4,"")</f>
        <v/>
      </c>
      <c r="HU4" s="11" t="str">
        <f t="shared" ref="HU4:HU31" si="92">IF(HC4&gt;0,HC4,"")</f>
        <v/>
      </c>
      <c r="HV4" s="11" t="str">
        <f t="shared" ref="HV4:HV31" si="93">IF(SUM(GZ4:HC4)-HD4&gt;0,SUM(GZ4:HC4)-HD4,"")</f>
        <v/>
      </c>
      <c r="HW4" s="11" t="str">
        <f t="shared" ref="HW4:HW31" si="94">IF(HG4&gt;0,HG4,"")</f>
        <v/>
      </c>
      <c r="HX4" s="11" t="str">
        <f t="shared" ref="HX4:HX31" si="95">IF(HH4&gt;0,HH4,"")</f>
        <v/>
      </c>
      <c r="HY4" s="11" t="str">
        <f t="shared" ref="HY4:HY31" si="96">IF(SUM(HE4:HH4)-HI4&gt;0,SUM(HE4:HH4)-HI4,"")</f>
        <v/>
      </c>
      <c r="HZ4" s="11" t="str">
        <f t="shared" ref="HZ4:HZ31" si="97">IF(MAX(HV4,HY4)&gt;0,MAX(HV4,HY4),"")</f>
        <v/>
      </c>
      <c r="IA4" s="11" t="str">
        <f t="shared" ref="IA4:IA31" si="98">IF(HL4&gt;0,HL4,"")</f>
        <v/>
      </c>
      <c r="IB4" s="11" t="str">
        <f t="shared" ref="IB4:IB31" si="99">IF(HM4&gt;0,HM4,"")</f>
        <v/>
      </c>
      <c r="IC4" s="11" t="str">
        <f t="shared" ref="IC4:IC31" si="100">IF(SUM(HJ4:HM4)-HN4&gt;0,SUM(HJ4:HM4)-HN4,"")</f>
        <v/>
      </c>
      <c r="ID4" s="11" t="str">
        <f t="shared" ref="ID4:ID31" si="101">IF(HQ4&gt;0,HQ4,"")</f>
        <v/>
      </c>
      <c r="IE4" s="11" t="str">
        <f t="shared" ref="IE4:IE31" si="102">IF(HR4&gt;0,HR4,"")</f>
        <v/>
      </c>
      <c r="IF4" s="11" t="str">
        <f t="shared" ref="IF4:IF31" si="103">IF(SUM(HO4:HR4)-HS4&gt;0,SUM(HO4:HR4)-HS4,"")</f>
        <v/>
      </c>
      <c r="IG4" s="11" t="str">
        <f t="shared" ref="IG4:IG31" si="104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1" si="105">IF(IJ4&gt;0,IJ4,"")</f>
        <v/>
      </c>
      <c r="JC4" s="40" t="str">
        <f t="shared" ref="JC4:JC31" si="106">IF(IK4&gt;0,IK4,"")</f>
        <v/>
      </c>
      <c r="JD4" s="40" t="str">
        <f t="shared" ref="JD4:JD31" si="107">IF(SUM(IH4:IK4)-IL4&gt;0,SUM(IH4:IK4)-IL4,"")</f>
        <v/>
      </c>
      <c r="JE4" s="40" t="str">
        <f t="shared" ref="JE4:JE31" si="108">IF(IO4&gt;0,IO4,"")</f>
        <v/>
      </c>
      <c r="JF4" s="40" t="str">
        <f t="shared" ref="JF4:JF31" si="109">IF(IP4&gt;0,IP4,"")</f>
        <v/>
      </c>
      <c r="JG4" s="40" t="str">
        <f t="shared" ref="JG4:JG31" si="110">IF(SUM(IM4:IP4)-IQ4&gt;0,SUM(IM4:IP4)-IQ4,"")</f>
        <v/>
      </c>
      <c r="JH4" s="40" t="str">
        <f t="shared" ref="JH4:JH31" si="111">IF(MAX(JD4,JG4)&gt;0,MAX(JD4,JG4),"")</f>
        <v/>
      </c>
      <c r="JI4" s="40" t="str">
        <f t="shared" ref="JI4:JI31" si="112">IF(IT4&gt;0,IT4,"")</f>
        <v/>
      </c>
      <c r="JJ4" s="40" t="str">
        <f t="shared" ref="JJ4:JJ31" si="113">IF(IU4&gt;0,IU4,"")</f>
        <v/>
      </c>
      <c r="JK4" s="40" t="str">
        <f t="shared" ref="JK4:JK31" si="114">IF(SUM(IR4:IU4)-IV4&gt;0,SUM(IR4:IU4)-IV4,"")</f>
        <v/>
      </c>
      <c r="JL4" s="40" t="str">
        <f t="shared" ref="JL4:JL31" si="115">IF(IY4&gt;0,IY4,"")</f>
        <v/>
      </c>
      <c r="JM4" s="40" t="str">
        <f t="shared" ref="JM4:JM31" si="116">IF(IZ4&gt;0,IZ4,"")</f>
        <v/>
      </c>
      <c r="JN4" s="40" t="str">
        <f t="shared" ref="JN4:JN31" si="117">IF(SUM(IW4:IZ4)-JA4&gt;0,SUM(IW4:IZ4)-JA4,"")</f>
        <v/>
      </c>
      <c r="JO4" s="40" t="str">
        <f t="shared" ref="JO4:JO31" si="118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1" si="119">IF(JR4&gt;0,JR4,"")</f>
        <v/>
      </c>
      <c r="KK4" s="11" t="str">
        <f t="shared" ref="KK4:KK31" si="120">IF(JS4&gt;0,JS4,"")</f>
        <v/>
      </c>
      <c r="KL4" s="11" t="str">
        <f t="shared" ref="KL4:KL31" si="121">IF(SUM(JP4:JS4)-JT4&gt;0,SUM(JP4:JS4)-JT4,"")</f>
        <v/>
      </c>
      <c r="KM4" s="11" t="str">
        <f t="shared" ref="KM4:KM31" si="122">IF(JW4&gt;0,JW4,"")</f>
        <v/>
      </c>
      <c r="KN4" s="11" t="str">
        <f t="shared" ref="KN4:KN31" si="123">IF(JX4&gt;0,JX4,"")</f>
        <v/>
      </c>
      <c r="KO4" s="11" t="str">
        <f t="shared" ref="KO4:KO31" si="124">IF(SUM(JU4:JX4)-JY4&gt;0,SUM(JU4:JX4)-JY4,"")</f>
        <v/>
      </c>
      <c r="KP4" s="11" t="str">
        <f t="shared" ref="KP4:KP31" si="125">IF(MAX(KL4,KO4)&gt;0,MAX(KL4,KO4),"")</f>
        <v/>
      </c>
      <c r="KQ4" s="11" t="str">
        <f t="shared" ref="KQ4:KQ31" si="126">IF(KB4&gt;0,KB4,"")</f>
        <v/>
      </c>
      <c r="KR4" s="11" t="str">
        <f t="shared" ref="KR4:KR31" si="127">IF(KC4&gt;0,KC4,"")</f>
        <v/>
      </c>
      <c r="KS4" s="11" t="str">
        <f t="shared" ref="KS4:KS31" si="128">IF(SUM(JZ4:KC4)-KD4&gt;0,SUM(JZ4:KC4)-KD4,"")</f>
        <v/>
      </c>
      <c r="KT4" s="11" t="str">
        <f t="shared" ref="KT4:KT31" si="129">IF(KG4&gt;0,KG4,"")</f>
        <v/>
      </c>
      <c r="KU4" s="11" t="str">
        <f t="shared" ref="KU4:KU31" si="130">IF(KH4&gt;0,KH4,"")</f>
        <v/>
      </c>
      <c r="KV4" s="11" t="str">
        <f t="shared" ref="KV4:KV31" si="131">IF(SUM(KE4:KH4)-KI4&gt;0,SUM(KE4:KH4)-KI4,"")</f>
        <v/>
      </c>
      <c r="KW4" s="11" t="str">
        <f t="shared" ref="KW4:KW31" si="132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1" si="133">IF(KZ4&gt;0,KZ4,"")</f>
        <v/>
      </c>
      <c r="LS4" s="40" t="str">
        <f t="shared" ref="LS4:LS31" si="134">IF(LA4&gt;0,LA4,"")</f>
        <v/>
      </c>
      <c r="LT4" s="40" t="str">
        <f t="shared" ref="LT4:LT31" si="135">IF(SUM(KX4:LA4)-LB4&gt;0,SUM(KX4:LA4)-LB4,"")</f>
        <v/>
      </c>
      <c r="LU4" s="40" t="str">
        <f t="shared" ref="LU4:LU31" si="136">IF(LE4&gt;0,LE4,"")</f>
        <v/>
      </c>
      <c r="LV4" s="40" t="str">
        <f t="shared" ref="LV4:LV31" si="137">IF(LF4&gt;0,LF4,"")</f>
        <v/>
      </c>
      <c r="LW4" s="40" t="str">
        <f t="shared" ref="LW4:LW31" si="138">IF(SUM(LC4:LF4)-LG4&gt;0,SUM(LC4:LF4)-LG4,"")</f>
        <v/>
      </c>
      <c r="LX4" s="40" t="str">
        <f t="shared" ref="LX4:LX31" si="139">IF(MAX(LT4,LW4)&gt;0,MAX(LT4,LW4),"")</f>
        <v/>
      </c>
      <c r="LY4" s="40" t="str">
        <f t="shared" ref="LY4:LY31" si="140">IF(LJ4&gt;0,LJ4,"")</f>
        <v/>
      </c>
      <c r="LZ4" s="40" t="str">
        <f t="shared" ref="LZ4:LZ31" si="141">IF(LK4&gt;0,LK4,"")</f>
        <v/>
      </c>
      <c r="MA4" s="40" t="str">
        <f t="shared" ref="MA4:MA31" si="142">IF(SUM(LH4:LK4)-LL4&gt;0,SUM(LH4:LK4)-LL4,"")</f>
        <v/>
      </c>
      <c r="MB4" s="40" t="str">
        <f t="shared" ref="MB4:MB31" si="143">IF(LO4&gt;0,LO4,"")</f>
        <v/>
      </c>
      <c r="MC4" s="40" t="str">
        <f t="shared" ref="MC4:MC31" si="144">IF(LP4&gt;0,LP4,"")</f>
        <v/>
      </c>
      <c r="MD4" s="40" t="str">
        <f t="shared" ref="MD4:MD31" si="145">IF(SUM(LM4:LP4)-LQ4&gt;0,SUM(LM4:LP4)-LQ4,"")</f>
        <v/>
      </c>
      <c r="ME4" s="40" t="str">
        <f t="shared" ref="ME4:ME31" si="146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1" si="147">IF(MH4&gt;0,MH4,"")</f>
        <v/>
      </c>
      <c r="NA4" s="11" t="str">
        <f t="shared" ref="NA4:NA31" si="148">IF(MI4&gt;0,MI4,"")</f>
        <v/>
      </c>
      <c r="NB4" s="11" t="str">
        <f t="shared" ref="NB4:NB31" si="149">IF(SUM(MF4:MI4)-MJ4&gt;0,SUM(MF4:MI4)-MJ4,"")</f>
        <v/>
      </c>
      <c r="NC4" s="11" t="str">
        <f t="shared" ref="NC4:NC31" si="150">IF(MM4&gt;0,MM4,"")</f>
        <v/>
      </c>
      <c r="ND4" s="11" t="str">
        <f t="shared" ref="ND4:ND31" si="151">IF(MN4&gt;0,MN4,"")</f>
        <v/>
      </c>
      <c r="NE4" s="11" t="str">
        <f t="shared" ref="NE4:NE31" si="152">IF(SUM(MK4:MN4)-MO4&gt;0,SUM(MK4:MN4)-MO4,"")</f>
        <v/>
      </c>
      <c r="NF4" s="11" t="str">
        <f t="shared" ref="NF4:NF31" si="153">IF(MAX(NB4,NE4)&gt;0,MAX(NB4,NE4),"")</f>
        <v/>
      </c>
      <c r="NG4" s="11" t="str">
        <f t="shared" ref="NG4:NG31" si="154">IF(MR4&gt;0,MR4,"")</f>
        <v/>
      </c>
      <c r="NH4" s="11" t="str">
        <f t="shared" ref="NH4:NH31" si="155">IF(MS4&gt;0,MS4,"")</f>
        <v/>
      </c>
      <c r="NI4" s="11" t="str">
        <f t="shared" ref="NI4:NI31" si="156">IF(SUM(MP4:MS4)-MT4&gt;0,SUM(MP4:MS4)-MT4,"")</f>
        <v/>
      </c>
      <c r="NJ4" s="11" t="str">
        <f t="shared" ref="NJ4:NJ31" si="157">IF(MW4&gt;0,MW4,"")</f>
        <v/>
      </c>
      <c r="NK4" s="11" t="str">
        <f t="shared" ref="NK4:NK31" si="158">IF(MX4&gt;0,MX4,"")</f>
        <v/>
      </c>
      <c r="NL4" s="11" t="str">
        <f t="shared" ref="NL4:NL31" si="159">IF(SUM(MU4:MX4)-MY4&gt;0,SUM(MU4:MX4)-MY4,"")</f>
        <v/>
      </c>
      <c r="NM4" s="11" t="str">
        <f t="shared" ref="NM4:NM31" si="160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1" si="161">IF(NP4&gt;0,NP4,"")</f>
        <v/>
      </c>
      <c r="OI4" s="40" t="str">
        <f t="shared" ref="OI4:OI31" si="162">IF(NQ4&gt;0,NQ4,"")</f>
        <v/>
      </c>
      <c r="OJ4" s="40" t="str">
        <f t="shared" ref="OJ4:OJ31" si="163">IF(SUM(NN4:NQ4)-NR4&gt;0,SUM(NN4:NQ4)-NR4,"")</f>
        <v/>
      </c>
      <c r="OK4" s="40" t="str">
        <f t="shared" ref="OK4:OK31" si="164">IF(NU4&gt;0,NU4,"")</f>
        <v/>
      </c>
      <c r="OL4" s="40" t="str">
        <f t="shared" ref="OL4:OL31" si="165">IF(NV4&gt;0,NV4,"")</f>
        <v/>
      </c>
      <c r="OM4" s="40" t="str">
        <f t="shared" ref="OM4:OM31" si="166">IF(SUM(NS4:NV4)-NW4&gt;0,SUM(NS4:NV4)-NW4,"")</f>
        <v/>
      </c>
      <c r="ON4" s="40" t="str">
        <f t="shared" ref="ON4:ON31" si="167">IF(MAX(OJ4,OM4)&gt;0,MAX(OJ4,OM4),"")</f>
        <v/>
      </c>
      <c r="OO4" s="40" t="str">
        <f t="shared" ref="OO4:OO31" si="168">IF(NZ4&gt;0,NZ4,"")</f>
        <v/>
      </c>
      <c r="OP4" s="40" t="str">
        <f t="shared" ref="OP4:OP31" si="169">IF(OA4&gt;0,OA4,"")</f>
        <v/>
      </c>
      <c r="OQ4" s="40" t="str">
        <f t="shared" ref="OQ4:OQ31" si="170">IF(SUM(NX4:OA4)-OB4&gt;0,SUM(NX4:OA4)-OB4,"")</f>
        <v/>
      </c>
      <c r="OR4" s="40" t="str">
        <f t="shared" ref="OR4:OR31" si="171">IF(OE4&gt;0,OE4,"")</f>
        <v/>
      </c>
      <c r="OS4" s="40" t="str">
        <f t="shared" ref="OS4:OS31" si="172">IF(OF4&gt;0,OF4,"")</f>
        <v/>
      </c>
      <c r="OT4" s="40" t="str">
        <f t="shared" ref="OT4:OT31" si="173">IF(SUM(OC4:OF4)-OG4&gt;0,SUM(OC4:OF4)-OG4,"")</f>
        <v/>
      </c>
      <c r="OU4" s="40" t="str">
        <f t="shared" ref="OU4:OU31" si="174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1" si="175">IF(OX4&gt;0,OX4,"")</f>
        <v/>
      </c>
      <c r="PQ4" s="11" t="str">
        <f t="shared" ref="PQ4:PQ31" si="176">IF(OY4&gt;0,OY4,"")</f>
        <v/>
      </c>
      <c r="PR4" s="11" t="str">
        <f t="shared" ref="PR4:PR31" si="177">IF(SUM(OV4:OY4)-OZ4&gt;0,SUM(OV4:OY4)-OZ4,"")</f>
        <v/>
      </c>
      <c r="PS4" s="11" t="str">
        <f t="shared" ref="PS4:PS31" si="178">IF(PC4&gt;0,PC4,"")</f>
        <v/>
      </c>
      <c r="PT4" s="11" t="str">
        <f t="shared" ref="PT4:PT31" si="179">IF(PD4&gt;0,PD4,"")</f>
        <v/>
      </c>
      <c r="PU4" s="11" t="str">
        <f t="shared" ref="PU4:PU31" si="180">IF(SUM(PA4:PD4)-PE4&gt;0,SUM(PA4:PD4)-PE4,"")</f>
        <v/>
      </c>
      <c r="PV4" s="11" t="str">
        <f t="shared" ref="PV4:PV31" si="181">IF(MAX(PR4,PU4)&gt;0,MAX(PR4,PU4),"")</f>
        <v/>
      </c>
      <c r="PW4" s="11" t="str">
        <f t="shared" ref="PW4:PW31" si="182">IF(PH4&gt;0,PH4,"")</f>
        <v/>
      </c>
      <c r="PX4" s="11" t="str">
        <f t="shared" ref="PX4:PX31" si="183">IF(PI4&gt;0,PI4,"")</f>
        <v/>
      </c>
      <c r="PY4" s="11" t="str">
        <f t="shared" ref="PY4:PY31" si="184">IF(SUM(PF4:PI4)-PJ4&gt;0,SUM(PF4:PI4)-PJ4,"")</f>
        <v/>
      </c>
      <c r="PZ4" s="11" t="str">
        <f t="shared" ref="PZ4:PZ31" si="185">IF(PM4&gt;0,PM4,"")</f>
        <v/>
      </c>
      <c r="QA4" s="11" t="str">
        <f t="shared" ref="QA4:QA31" si="186">IF(PN4&gt;0,PN4,"")</f>
        <v/>
      </c>
      <c r="QB4" s="11" t="str">
        <f t="shared" ref="QB4:QB31" si="187">IF(SUM(PK4:PN4)-PO4&gt;0,SUM(PK4:PN4)-PO4,"")</f>
        <v/>
      </c>
      <c r="QC4" s="11" t="str">
        <f t="shared" ref="QC4:QC31" si="188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1" si="189">IF(QF4&gt;0,QF4,"")</f>
        <v/>
      </c>
      <c r="QY4" s="40" t="str">
        <f t="shared" ref="QY4:QY31" si="190">IF(QG4&gt;0,QG4,"")</f>
        <v/>
      </c>
      <c r="QZ4" s="40" t="str">
        <f t="shared" ref="QZ4:QZ31" si="191">IF(SUM(QD4:QG4)-QH4&gt;0,SUM(QD4:QG4)-QH4,"")</f>
        <v/>
      </c>
      <c r="RA4" s="40" t="str">
        <f t="shared" ref="RA4:RA31" si="192">IF(QK4&gt;0,QK4,"")</f>
        <v/>
      </c>
      <c r="RB4" s="40" t="str">
        <f t="shared" ref="RB4:RB31" si="193">IF(QL4&gt;0,QL4,"")</f>
        <v/>
      </c>
      <c r="RC4" s="40" t="str">
        <f t="shared" ref="RC4:RC31" si="194">IF(SUM(QI4:QL4)-QM4&gt;0,SUM(QI4:QL4)-QM4,"")</f>
        <v/>
      </c>
      <c r="RD4" s="40" t="str">
        <f t="shared" ref="RD4:RD31" si="195">IF(MAX(QZ4,RC4)&gt;0,MAX(QZ4,RC4),"")</f>
        <v/>
      </c>
      <c r="RE4" s="40" t="str">
        <f t="shared" ref="RE4:RE31" si="196">IF(QP4&gt;0,QP4,"")</f>
        <v/>
      </c>
      <c r="RF4" s="40" t="str">
        <f t="shared" ref="RF4:RF31" si="197">IF(QQ4&gt;0,QQ4,"")</f>
        <v/>
      </c>
      <c r="RG4" s="40" t="str">
        <f t="shared" ref="RG4:RG31" si="198">IF(SUM(QN4:QQ4)-QR4&gt;0,SUM(QN4:QQ4)-QR4,"")</f>
        <v/>
      </c>
      <c r="RH4" s="40" t="str">
        <f t="shared" ref="RH4:RH31" si="199">IF(QU4&gt;0,QU4,"")</f>
        <v/>
      </c>
      <c r="RI4" s="40" t="str">
        <f t="shared" ref="RI4:RI31" si="200">IF(QV4&gt;0,QV4,"")</f>
        <v/>
      </c>
      <c r="RJ4" s="40" t="str">
        <f t="shared" ref="RJ4:RJ31" si="201">IF(SUM(QS4:QV4)-QW4&gt;0,SUM(QS4:QV4)-QW4,"")</f>
        <v/>
      </c>
      <c r="RK4" s="40" t="str">
        <f t="shared" ref="RK4:RK31" si="202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1" si="203">IF(RN4&gt;0,RN4,"")</f>
        <v/>
      </c>
      <c r="SG4" s="11" t="str">
        <f t="shared" ref="SG4:SG31" si="204">IF(RO4&gt;0,RO4,"")</f>
        <v/>
      </c>
      <c r="SH4" s="11" t="str">
        <f t="shared" ref="SH4:SH31" si="205">IF(SUM(RL4:RO4)-RP4&gt;0,SUM(RL4:RO4)-RP4,"")</f>
        <v/>
      </c>
      <c r="SI4" s="11" t="str">
        <f t="shared" ref="SI4:SI31" si="206">IF(RS4&gt;0,RS4,"")</f>
        <v/>
      </c>
      <c r="SJ4" s="11" t="str">
        <f t="shared" ref="SJ4:SJ31" si="207">IF(RT4&gt;0,RT4,"")</f>
        <v/>
      </c>
      <c r="SK4" s="11" t="str">
        <f t="shared" ref="SK4:SK31" si="208">IF(SUM(RQ4:RT4)-RU4&gt;0,SUM(RQ4:RT4)-RU4,"")</f>
        <v/>
      </c>
      <c r="SL4" s="11" t="str">
        <f t="shared" ref="SL4:SL31" si="209">IF(MAX(SH4,SK4)&gt;0,MAX(SH4,SK4),"")</f>
        <v/>
      </c>
      <c r="SM4" s="11" t="str">
        <f t="shared" ref="SM4:SM31" si="210">IF(RX4&gt;0,RX4,"")</f>
        <v/>
      </c>
      <c r="SN4" s="11" t="str">
        <f t="shared" ref="SN4:SN31" si="211">IF(RY4&gt;0,RY4,"")</f>
        <v/>
      </c>
      <c r="SO4" s="11" t="str">
        <f t="shared" ref="SO4:SO31" si="212">IF(SUM(RV4:RY4)-RZ4&gt;0,SUM(RV4:RY4)-RZ4,"")</f>
        <v/>
      </c>
      <c r="SP4" s="11" t="str">
        <f t="shared" ref="SP4:SP31" si="213">IF(SC4&gt;0,SC4,"")</f>
        <v/>
      </c>
      <c r="SQ4" s="11" t="str">
        <f t="shared" ref="SQ4:SQ31" si="214">IF(SD4&gt;0,SD4,"")</f>
        <v/>
      </c>
      <c r="SR4" s="11" t="str">
        <f t="shared" ref="SR4:SR31" si="215">IF(SUM(SA4:SD4)-SE4&gt;0,SUM(SA4:SD4)-SE4,"")</f>
        <v/>
      </c>
      <c r="SS4" s="11" t="str">
        <f t="shared" ref="SS4:SS31" si="216">IF(SUM(SL4,SR4)&gt;0,SUM(SL4,SR4),"")</f>
        <v/>
      </c>
      <c r="ST4" s="22">
        <f t="shared" ref="ST4:ST31" si="217">IF($CN4="P",BY4,(BY4+AX4)/2)</f>
        <v>5.6</v>
      </c>
      <c r="SU4" s="22">
        <f t="shared" ref="SU4:SU31" si="218">IF($CN4="P",BZ4,(BZ4+AY4)/2)</f>
        <v>4.55</v>
      </c>
      <c r="SV4" s="22">
        <f t="shared" ref="SV4:SV31" si="219">IF($CN4="P",CA4,(CA4+AZ4)/2)</f>
        <v>5.75</v>
      </c>
      <c r="SW4" s="22">
        <f t="shared" ref="SW4:SW31" si="220">IF($CN4="P",CB4,(CB4+BA4)/2)</f>
        <v>7.125</v>
      </c>
      <c r="SX4" s="22">
        <f t="shared" ref="SX4:SX31" si="221">IF($CN4="P",CC4,(CC4+BB4)/2)</f>
        <v>0</v>
      </c>
      <c r="SY4" s="22">
        <f t="shared" ref="SY4:SY31" si="222">IF($CN4="P",CD4,(CD4+BC4)/2)</f>
        <v>7.4</v>
      </c>
      <c r="SZ4" s="22">
        <f t="shared" ref="SZ4:SZ31" si="223">IF($CN4="P",CE4,(CE4+BD4)/2)</f>
        <v>4.8</v>
      </c>
      <c r="TA4" s="22">
        <f t="shared" ref="TA4:TA31" si="224">IF($CN4="P",CF4,(CF4+BE4)/2)</f>
        <v>6.35</v>
      </c>
      <c r="TB4" s="22">
        <f t="shared" ref="TB4:TB31" si="225">IF($CN4="P",CG4,(CG4+BF4)/2)</f>
        <v>7.0250000000000004</v>
      </c>
      <c r="TC4" s="22">
        <f t="shared" ref="TC4:TC31" si="226">IF($CN4="P",CH4,(CH4+BG4)/2)</f>
        <v>0</v>
      </c>
      <c r="TD4" s="22">
        <f t="shared" ref="TD4:TD31" si="227">IF($CN4="P",CI4,(CI4+BH4)/2)</f>
        <v>7.45</v>
      </c>
      <c r="TE4" s="22">
        <f t="shared" ref="TE4:TE31" si="228">IF($CN4="P",CJ4,(CJ4+BI4)/2)</f>
        <v>4.8499999999999996</v>
      </c>
      <c r="TF4" s="22">
        <f t="shared" ref="TF4:TF31" si="229">IF($CN4="P",CK4,(CK4+BJ4)/2)</f>
        <v>6.35</v>
      </c>
      <c r="TG4" s="22">
        <f t="shared" ref="TG4:TG31" si="230">IF($CN4="P",CL4,(CL4+BK4)/2)</f>
        <v>7.165</v>
      </c>
      <c r="TH4" s="22">
        <f t="shared" ref="TH4:TH31" si="231">IF($CN4="P",CM4,(CM4+BL4)/2)</f>
        <v>0</v>
      </c>
      <c r="TI4" s="27" t="s">
        <v>46</v>
      </c>
      <c r="TJ4" s="40">
        <f t="shared" ref="TJ4:TJ31" si="232">IF(SV4&gt;0,SV4,"")</f>
        <v>5.75</v>
      </c>
      <c r="TK4" s="40">
        <f t="shared" ref="TK4:TK31" si="233">IF(SW4&gt;0,SW4,"")</f>
        <v>7.125</v>
      </c>
      <c r="TL4" s="40">
        <f t="shared" ref="TL4:TL31" si="234">IF(SUM(ST4:SW4)-SX4&gt;0,SUM(ST4:SW4)-SX4,"")</f>
        <v>23.024999999999999</v>
      </c>
      <c r="TM4" s="40">
        <f t="shared" ref="TM4:TM31" si="235">IF(TA4&gt;0,TA4,"")</f>
        <v>6.35</v>
      </c>
      <c r="TN4" s="40">
        <f t="shared" ref="TN4:TN31" si="236">IF(TB4&gt;0,TB4,"")</f>
        <v>7.0250000000000004</v>
      </c>
      <c r="TO4" s="40">
        <f t="shared" ref="TO4:TO31" si="237">IF(SUM(SY4:TB4)-TC4&gt;0,SUM(SY4:TB4)-TC4,"")</f>
        <v>25.574999999999996</v>
      </c>
      <c r="TP4" s="40">
        <f t="shared" ref="TP4:TP31" si="238">IF(MAX(TL4,TO4)&gt;0,MAX(TL4,TO4),"")</f>
        <v>25.574999999999996</v>
      </c>
      <c r="TQ4" s="40">
        <f t="shared" ref="TQ4:TQ31" si="239">IF(TF4&gt;0,TF4,"")</f>
        <v>6.35</v>
      </c>
      <c r="TR4" s="40">
        <f t="shared" ref="TR4:TR31" si="240">IF(TG4&gt;0,TG4,"")</f>
        <v>7.165</v>
      </c>
      <c r="TS4" s="40">
        <f t="shared" ref="TS4:TS31" si="241">IF(SUM(TD4:TG4)-TH4&gt;0,SUM(TD4:TG4)-TH4,"")</f>
        <v>25.814999999999998</v>
      </c>
      <c r="TT4" s="40">
        <f t="shared" ref="TT4:TT31" si="242"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 t="shared" si="0"/>
        <v>179.07001790700517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51.75</v>
      </c>
      <c r="K5" s="8" t="str">
        <f t="shared" si="5"/>
        <v>2022 Nationals</v>
      </c>
      <c r="L5" s="8">
        <f>IF(COUNT(AO5,AR5,BP5,BS5,CQ5,CT5)&gt;1,LARGE((AO5,AR5,BP5,BS5,CQ5,CT5),2),0)</f>
        <v>50.309999999999995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 t="shared" si="7"/>
        <v>2022 Nationals</v>
      </c>
      <c r="P5" s="8">
        <f t="shared" si="8"/>
        <v>12</v>
      </c>
      <c r="Q5" s="8" t="str">
        <f t="shared" si="9"/>
        <v>2022 Nationals</v>
      </c>
      <c r="R5" s="8">
        <f t="shared" si="10"/>
        <v>14.85</v>
      </c>
      <c r="S5" s="8" t="str">
        <f t="shared" si="11"/>
        <v>2022 Nationals</v>
      </c>
      <c r="T5" s="8" t="str">
        <f t="shared" si="12"/>
        <v/>
      </c>
      <c r="U5" s="11" t="str">
        <f t="shared" si="13"/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 t="shared" si="14"/>
        <v>12</v>
      </c>
      <c r="AN5" s="38">
        <f t="shared" si="15"/>
        <v>14.51</v>
      </c>
      <c r="AO5" s="40">
        <f t="shared" si="16"/>
        <v>50.309999999999995</v>
      </c>
      <c r="AP5" s="40">
        <f t="shared" si="17"/>
        <v>12</v>
      </c>
      <c r="AQ5" s="40">
        <f t="shared" si="18"/>
        <v>14.85</v>
      </c>
      <c r="AR5" s="40">
        <f t="shared" si="19"/>
        <v>51.75</v>
      </c>
      <c r="AS5" s="40">
        <f t="shared" si="20"/>
        <v>51.75</v>
      </c>
      <c r="AT5" s="40">
        <f t="shared" si="21"/>
        <v>11.3</v>
      </c>
      <c r="AU5" s="40">
        <f t="shared" si="22"/>
        <v>14.66</v>
      </c>
      <c r="AV5" s="40">
        <f t="shared" si="23"/>
        <v>50.16</v>
      </c>
      <c r="AW5" s="40">
        <f t="shared" si="24"/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 t="shared" si="25"/>
        <v>11.7</v>
      </c>
      <c r="BO5" s="39">
        <f t="shared" si="26"/>
        <v>12.72</v>
      </c>
      <c r="BP5" s="11">
        <f t="shared" si="27"/>
        <v>44.22</v>
      </c>
      <c r="BQ5" s="11">
        <f t="shared" si="28"/>
        <v>2.7</v>
      </c>
      <c r="BR5" s="11">
        <f t="shared" si="29"/>
        <v>2.89</v>
      </c>
      <c r="BS5" s="11">
        <f t="shared" si="30"/>
        <v>9.49</v>
      </c>
      <c r="BT5" s="11">
        <f t="shared" si="31"/>
        <v>44.22</v>
      </c>
      <c r="BU5" s="11">
        <f t="shared" si="32"/>
        <v>8.1</v>
      </c>
      <c r="BV5" s="11">
        <f t="shared" si="33"/>
        <v>8.7899999999999991</v>
      </c>
      <c r="BW5" s="11">
        <f t="shared" si="34"/>
        <v>30.189999999999998</v>
      </c>
      <c r="BX5" s="11">
        <f t="shared" si="35"/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 t="shared" si="36"/>
        <v>8.1</v>
      </c>
      <c r="CP5" s="38">
        <f t="shared" si="37"/>
        <v>8.59</v>
      </c>
      <c r="CQ5" s="40">
        <f t="shared" si="38"/>
        <v>29.889999999999997</v>
      </c>
      <c r="CR5" s="40">
        <f t="shared" si="39"/>
        <v>0.6</v>
      </c>
      <c r="CS5" s="40">
        <f t="shared" si="40"/>
        <v>1.59</v>
      </c>
      <c r="CT5" s="40">
        <f t="shared" si="41"/>
        <v>5.09</v>
      </c>
      <c r="CU5" s="40">
        <f t="shared" si="42"/>
        <v>29.889999999999997</v>
      </c>
      <c r="CV5" s="40" t="str">
        <f t="shared" si="43"/>
        <v/>
      </c>
      <c r="CW5" s="40" t="str">
        <f t="shared" si="44"/>
        <v/>
      </c>
      <c r="CX5" s="40" t="str">
        <f t="shared" si="45"/>
        <v/>
      </c>
      <c r="CY5" s="40">
        <f t="shared" si="46"/>
        <v>29.889999999999997</v>
      </c>
      <c r="CZ5" s="50" t="str">
        <f t="shared" si="47"/>
        <v/>
      </c>
      <c r="DA5" s="50" t="str">
        <f t="shared" si="48"/>
        <v/>
      </c>
      <c r="DB5" s="17"/>
      <c r="DC5" s="17"/>
      <c r="DD5" s="17"/>
      <c r="DE5" s="17"/>
      <c r="DF5" s="17"/>
      <c r="DG5" s="17">
        <v>13.7</v>
      </c>
      <c r="DH5" s="17">
        <v>9.3000000000000007</v>
      </c>
      <c r="DI5" s="17">
        <v>11.8</v>
      </c>
      <c r="DJ5" s="17">
        <v>13.62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9"/>
        <v/>
      </c>
      <c r="DW5" s="40" t="str">
        <f t="shared" si="50"/>
        <v/>
      </c>
      <c r="DX5" s="40" t="str">
        <f t="shared" si="51"/>
        <v/>
      </c>
      <c r="DY5" s="40">
        <f t="shared" si="52"/>
        <v>11.8</v>
      </c>
      <c r="DZ5" s="40">
        <f t="shared" si="53"/>
        <v>13.62</v>
      </c>
      <c r="EA5" s="40">
        <f t="shared" si="54"/>
        <v>48.419999999999995</v>
      </c>
      <c r="EB5" s="40">
        <f t="shared" si="55"/>
        <v>48.419999999999995</v>
      </c>
      <c r="EC5" s="40" t="str">
        <f t="shared" si="56"/>
        <v/>
      </c>
      <c r="ED5" s="40" t="str">
        <f t="shared" si="57"/>
        <v/>
      </c>
      <c r="EE5" s="40" t="str">
        <f t="shared" si="58"/>
        <v/>
      </c>
      <c r="EF5" s="40" t="str">
        <f t="shared" si="59"/>
        <v/>
      </c>
      <c r="EG5" s="40" t="str">
        <f t="shared" si="60"/>
        <v/>
      </c>
      <c r="EH5" s="40" t="str">
        <f t="shared" si="61"/>
        <v/>
      </c>
      <c r="EI5" s="40">
        <f t="shared" si="62"/>
        <v>48.419999999999995</v>
      </c>
      <c r="EJ5" s="18">
        <v>11.6</v>
      </c>
      <c r="EK5" s="18">
        <v>8.9</v>
      </c>
      <c r="EL5" s="18">
        <v>11.7</v>
      </c>
      <c r="EM5" s="18">
        <v>13.42</v>
      </c>
      <c r="EN5" s="18">
        <v>0</v>
      </c>
      <c r="EO5" s="18">
        <v>1.2</v>
      </c>
      <c r="EP5" s="18">
        <v>1</v>
      </c>
      <c r="EQ5" s="18">
        <v>1.7</v>
      </c>
      <c r="ER5" s="18">
        <v>1.5</v>
      </c>
      <c r="ES5" s="18">
        <v>0</v>
      </c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>
        <f t="shared" si="63"/>
        <v>11.7</v>
      </c>
      <c r="FE5" s="11">
        <f t="shared" si="64"/>
        <v>13.42</v>
      </c>
      <c r="FF5" s="11">
        <f t="shared" si="65"/>
        <v>45.620000000000005</v>
      </c>
      <c r="FG5" s="11">
        <f t="shared" si="66"/>
        <v>1.7</v>
      </c>
      <c r="FH5" s="11">
        <f t="shared" si="67"/>
        <v>1.5</v>
      </c>
      <c r="FI5" s="11">
        <f t="shared" si="68"/>
        <v>5.4</v>
      </c>
      <c r="FJ5" s="11">
        <f t="shared" si="69"/>
        <v>45.620000000000005</v>
      </c>
      <c r="FK5" s="11" t="str">
        <f t="shared" si="70"/>
        <v/>
      </c>
      <c r="FL5" s="11" t="str">
        <f t="shared" si="71"/>
        <v/>
      </c>
      <c r="FM5" s="11" t="str">
        <f t="shared" si="72"/>
        <v/>
      </c>
      <c r="FN5" s="11" t="str">
        <f t="shared" si="73"/>
        <v/>
      </c>
      <c r="FO5" s="11" t="str">
        <f t="shared" si="74"/>
        <v/>
      </c>
      <c r="FP5" s="11" t="str">
        <f t="shared" si="75"/>
        <v/>
      </c>
      <c r="FQ5" s="11">
        <f t="shared" si="76"/>
        <v>45.620000000000005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7"/>
        <v/>
      </c>
      <c r="GM5" s="40" t="str">
        <f t="shared" si="78"/>
        <v/>
      </c>
      <c r="GN5" s="40" t="str">
        <f t="shared" si="79"/>
        <v/>
      </c>
      <c r="GO5" s="40" t="str">
        <f t="shared" si="80"/>
        <v/>
      </c>
      <c r="GP5" s="40" t="str">
        <f t="shared" si="81"/>
        <v/>
      </c>
      <c r="GQ5" s="40" t="str">
        <f t="shared" si="82"/>
        <v/>
      </c>
      <c r="GR5" s="40" t="str">
        <f t="shared" si="83"/>
        <v/>
      </c>
      <c r="GS5" s="40" t="str">
        <f t="shared" si="84"/>
        <v/>
      </c>
      <c r="GT5" s="40" t="str">
        <f t="shared" si="85"/>
        <v/>
      </c>
      <c r="GU5" s="40" t="str">
        <f t="shared" si="86"/>
        <v/>
      </c>
      <c r="GV5" s="40" t="str">
        <f t="shared" si="87"/>
        <v/>
      </c>
      <c r="GW5" s="40" t="str">
        <f t="shared" si="88"/>
        <v/>
      </c>
      <c r="GX5" s="40" t="str">
        <f t="shared" si="89"/>
        <v/>
      </c>
      <c r="GY5" s="40" t="str">
        <f t="shared" si="90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1"/>
        <v/>
      </c>
      <c r="HU5" s="11" t="str">
        <f t="shared" si="92"/>
        <v/>
      </c>
      <c r="HV5" s="11" t="str">
        <f t="shared" si="93"/>
        <v/>
      </c>
      <c r="HW5" s="11" t="str">
        <f t="shared" si="94"/>
        <v/>
      </c>
      <c r="HX5" s="11" t="str">
        <f t="shared" si="95"/>
        <v/>
      </c>
      <c r="HY5" s="11" t="str">
        <f t="shared" si="96"/>
        <v/>
      </c>
      <c r="HZ5" s="11" t="str">
        <f t="shared" si="97"/>
        <v/>
      </c>
      <c r="IA5" s="11" t="str">
        <f t="shared" si="98"/>
        <v/>
      </c>
      <c r="IB5" s="11" t="str">
        <f t="shared" si="99"/>
        <v/>
      </c>
      <c r="IC5" s="11" t="str">
        <f t="shared" si="100"/>
        <v/>
      </c>
      <c r="ID5" s="11" t="str">
        <f t="shared" si="101"/>
        <v/>
      </c>
      <c r="IE5" s="11" t="str">
        <f t="shared" si="102"/>
        <v/>
      </c>
      <c r="IF5" s="11" t="str">
        <f t="shared" si="103"/>
        <v/>
      </c>
      <c r="IG5" s="11" t="str">
        <f t="shared" si="104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5"/>
        <v/>
      </c>
      <c r="JC5" s="40" t="str">
        <f t="shared" si="106"/>
        <v/>
      </c>
      <c r="JD5" s="40" t="str">
        <f t="shared" si="107"/>
        <v/>
      </c>
      <c r="JE5" s="40" t="str">
        <f t="shared" si="108"/>
        <v/>
      </c>
      <c r="JF5" s="40" t="str">
        <f t="shared" si="109"/>
        <v/>
      </c>
      <c r="JG5" s="40" t="str">
        <f t="shared" si="110"/>
        <v/>
      </c>
      <c r="JH5" s="40" t="str">
        <f t="shared" si="111"/>
        <v/>
      </c>
      <c r="JI5" s="40" t="str">
        <f t="shared" si="112"/>
        <v/>
      </c>
      <c r="JJ5" s="40" t="str">
        <f t="shared" si="113"/>
        <v/>
      </c>
      <c r="JK5" s="40" t="str">
        <f t="shared" si="114"/>
        <v/>
      </c>
      <c r="JL5" s="40" t="str">
        <f t="shared" si="115"/>
        <v/>
      </c>
      <c r="JM5" s="40" t="str">
        <f t="shared" si="116"/>
        <v/>
      </c>
      <c r="JN5" s="40" t="str">
        <f t="shared" si="117"/>
        <v/>
      </c>
      <c r="JO5" s="40" t="str">
        <f t="shared" si="118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9"/>
        <v/>
      </c>
      <c r="KK5" s="11" t="str">
        <f t="shared" si="120"/>
        <v/>
      </c>
      <c r="KL5" s="11" t="str">
        <f t="shared" si="121"/>
        <v/>
      </c>
      <c r="KM5" s="11" t="str">
        <f t="shared" si="122"/>
        <v/>
      </c>
      <c r="KN5" s="11" t="str">
        <f t="shared" si="123"/>
        <v/>
      </c>
      <c r="KO5" s="11" t="str">
        <f t="shared" si="124"/>
        <v/>
      </c>
      <c r="KP5" s="11" t="str">
        <f t="shared" si="125"/>
        <v/>
      </c>
      <c r="KQ5" s="11" t="str">
        <f t="shared" si="126"/>
        <v/>
      </c>
      <c r="KR5" s="11" t="str">
        <f t="shared" si="127"/>
        <v/>
      </c>
      <c r="KS5" s="11" t="str">
        <f t="shared" si="128"/>
        <v/>
      </c>
      <c r="KT5" s="11" t="str">
        <f t="shared" si="129"/>
        <v/>
      </c>
      <c r="KU5" s="11" t="str">
        <f t="shared" si="130"/>
        <v/>
      </c>
      <c r="KV5" s="11" t="str">
        <f t="shared" si="131"/>
        <v/>
      </c>
      <c r="KW5" s="11" t="str">
        <f t="shared" si="132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3"/>
        <v/>
      </c>
      <c r="LS5" s="40" t="str">
        <f t="shared" si="134"/>
        <v/>
      </c>
      <c r="LT5" s="40" t="str">
        <f t="shared" si="135"/>
        <v/>
      </c>
      <c r="LU5" s="40" t="str">
        <f t="shared" si="136"/>
        <v/>
      </c>
      <c r="LV5" s="40" t="str">
        <f t="shared" si="137"/>
        <v/>
      </c>
      <c r="LW5" s="40" t="str">
        <f t="shared" si="138"/>
        <v/>
      </c>
      <c r="LX5" s="40" t="str">
        <f t="shared" si="139"/>
        <v/>
      </c>
      <c r="LY5" s="40" t="str">
        <f t="shared" si="140"/>
        <v/>
      </c>
      <c r="LZ5" s="40" t="str">
        <f t="shared" si="141"/>
        <v/>
      </c>
      <c r="MA5" s="40" t="str">
        <f t="shared" si="142"/>
        <v/>
      </c>
      <c r="MB5" s="40" t="str">
        <f t="shared" si="143"/>
        <v/>
      </c>
      <c r="MC5" s="40" t="str">
        <f t="shared" si="144"/>
        <v/>
      </c>
      <c r="MD5" s="40" t="str">
        <f t="shared" si="145"/>
        <v/>
      </c>
      <c r="ME5" s="40" t="str">
        <f t="shared" si="146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7"/>
        <v/>
      </c>
      <c r="NA5" s="11" t="str">
        <f t="shared" si="148"/>
        <v/>
      </c>
      <c r="NB5" s="11" t="str">
        <f t="shared" si="149"/>
        <v/>
      </c>
      <c r="NC5" s="11" t="str">
        <f t="shared" si="150"/>
        <v/>
      </c>
      <c r="ND5" s="11" t="str">
        <f t="shared" si="151"/>
        <v/>
      </c>
      <c r="NE5" s="11" t="str">
        <f t="shared" si="152"/>
        <v/>
      </c>
      <c r="NF5" s="11" t="str">
        <f t="shared" si="153"/>
        <v/>
      </c>
      <c r="NG5" s="11" t="str">
        <f t="shared" si="154"/>
        <v/>
      </c>
      <c r="NH5" s="11" t="str">
        <f t="shared" si="155"/>
        <v/>
      </c>
      <c r="NI5" s="11" t="str">
        <f t="shared" si="156"/>
        <v/>
      </c>
      <c r="NJ5" s="11" t="str">
        <f t="shared" si="157"/>
        <v/>
      </c>
      <c r="NK5" s="11" t="str">
        <f t="shared" si="158"/>
        <v/>
      </c>
      <c r="NL5" s="11" t="str">
        <f t="shared" si="159"/>
        <v/>
      </c>
      <c r="NM5" s="11" t="str">
        <f t="shared" si="160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1"/>
        <v/>
      </c>
      <c r="OI5" s="40" t="str">
        <f t="shared" si="162"/>
        <v/>
      </c>
      <c r="OJ5" s="40" t="str">
        <f t="shared" si="163"/>
        <v/>
      </c>
      <c r="OK5" s="40" t="str">
        <f t="shared" si="164"/>
        <v/>
      </c>
      <c r="OL5" s="40" t="str">
        <f t="shared" si="165"/>
        <v/>
      </c>
      <c r="OM5" s="40" t="str">
        <f t="shared" si="166"/>
        <v/>
      </c>
      <c r="ON5" s="40" t="str">
        <f t="shared" si="167"/>
        <v/>
      </c>
      <c r="OO5" s="40" t="str">
        <f t="shared" si="168"/>
        <v/>
      </c>
      <c r="OP5" s="40" t="str">
        <f t="shared" si="169"/>
        <v/>
      </c>
      <c r="OQ5" s="40" t="str">
        <f t="shared" si="170"/>
        <v/>
      </c>
      <c r="OR5" s="40" t="str">
        <f t="shared" si="171"/>
        <v/>
      </c>
      <c r="OS5" s="40" t="str">
        <f t="shared" si="172"/>
        <v/>
      </c>
      <c r="OT5" s="40" t="str">
        <f t="shared" si="173"/>
        <v/>
      </c>
      <c r="OU5" s="40" t="str">
        <f t="shared" si="174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5"/>
        <v/>
      </c>
      <c r="PQ5" s="11" t="str">
        <f t="shared" si="176"/>
        <v/>
      </c>
      <c r="PR5" s="11" t="str">
        <f t="shared" si="177"/>
        <v/>
      </c>
      <c r="PS5" s="11" t="str">
        <f t="shared" si="178"/>
        <v/>
      </c>
      <c r="PT5" s="11" t="str">
        <f t="shared" si="179"/>
        <v/>
      </c>
      <c r="PU5" s="11" t="str">
        <f t="shared" si="180"/>
        <v/>
      </c>
      <c r="PV5" s="11" t="str">
        <f t="shared" si="181"/>
        <v/>
      </c>
      <c r="PW5" s="11" t="str">
        <f t="shared" si="182"/>
        <v/>
      </c>
      <c r="PX5" s="11" t="str">
        <f t="shared" si="183"/>
        <v/>
      </c>
      <c r="PY5" s="11" t="str">
        <f t="shared" si="184"/>
        <v/>
      </c>
      <c r="PZ5" s="11" t="str">
        <f t="shared" si="185"/>
        <v/>
      </c>
      <c r="QA5" s="11" t="str">
        <f t="shared" si="186"/>
        <v/>
      </c>
      <c r="QB5" s="11" t="str">
        <f t="shared" si="187"/>
        <v/>
      </c>
      <c r="QC5" s="11" t="str">
        <f t="shared" si="188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9"/>
        <v/>
      </c>
      <c r="QY5" s="40" t="str">
        <f t="shared" si="190"/>
        <v/>
      </c>
      <c r="QZ5" s="40" t="str">
        <f t="shared" si="191"/>
        <v/>
      </c>
      <c r="RA5" s="40" t="str">
        <f t="shared" si="192"/>
        <v/>
      </c>
      <c r="RB5" s="40" t="str">
        <f t="shared" si="193"/>
        <v/>
      </c>
      <c r="RC5" s="40" t="str">
        <f t="shared" si="194"/>
        <v/>
      </c>
      <c r="RD5" s="40" t="str">
        <f t="shared" si="195"/>
        <v/>
      </c>
      <c r="RE5" s="40" t="str">
        <f t="shared" si="196"/>
        <v/>
      </c>
      <c r="RF5" s="40" t="str">
        <f t="shared" si="197"/>
        <v/>
      </c>
      <c r="RG5" s="40" t="str">
        <f t="shared" si="198"/>
        <v/>
      </c>
      <c r="RH5" s="40" t="str">
        <f t="shared" si="199"/>
        <v/>
      </c>
      <c r="RI5" s="40" t="str">
        <f t="shared" si="200"/>
        <v/>
      </c>
      <c r="RJ5" s="40" t="str">
        <f t="shared" si="201"/>
        <v/>
      </c>
      <c r="RK5" s="40" t="str">
        <f t="shared" si="202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3"/>
        <v/>
      </c>
      <c r="SG5" s="11" t="str">
        <f t="shared" si="204"/>
        <v/>
      </c>
      <c r="SH5" s="11" t="str">
        <f t="shared" si="205"/>
        <v/>
      </c>
      <c r="SI5" s="11" t="str">
        <f t="shared" si="206"/>
        <v/>
      </c>
      <c r="SJ5" s="11" t="str">
        <f t="shared" si="207"/>
        <v/>
      </c>
      <c r="SK5" s="11" t="str">
        <f t="shared" si="208"/>
        <v/>
      </c>
      <c r="SL5" s="11" t="str">
        <f t="shared" si="209"/>
        <v/>
      </c>
      <c r="SM5" s="11" t="str">
        <f t="shared" si="210"/>
        <v/>
      </c>
      <c r="SN5" s="11" t="str">
        <f t="shared" si="211"/>
        <v/>
      </c>
      <c r="SO5" s="11" t="str">
        <f t="shared" si="212"/>
        <v/>
      </c>
      <c r="SP5" s="11" t="str">
        <f t="shared" si="213"/>
        <v/>
      </c>
      <c r="SQ5" s="11" t="str">
        <f t="shared" si="214"/>
        <v/>
      </c>
      <c r="SR5" s="11" t="str">
        <f t="shared" si="215"/>
        <v/>
      </c>
      <c r="SS5" s="11" t="str">
        <f t="shared" si="216"/>
        <v/>
      </c>
      <c r="ST5" s="22">
        <f t="shared" si="217"/>
        <v>9.6999999999999993</v>
      </c>
      <c r="SU5" s="22">
        <f t="shared" si="218"/>
        <v>6.8</v>
      </c>
      <c r="SV5" s="22">
        <f t="shared" si="219"/>
        <v>9.8999999999999986</v>
      </c>
      <c r="SW5" s="22">
        <f t="shared" si="220"/>
        <v>10.655000000000001</v>
      </c>
      <c r="SX5" s="22">
        <f t="shared" si="221"/>
        <v>0</v>
      </c>
      <c r="SY5" s="22">
        <f t="shared" si="222"/>
        <v>2.1</v>
      </c>
      <c r="SZ5" s="22">
        <f t="shared" si="223"/>
        <v>1.3</v>
      </c>
      <c r="TA5" s="22">
        <f t="shared" si="224"/>
        <v>1.6500000000000001</v>
      </c>
      <c r="TB5" s="22">
        <f t="shared" si="225"/>
        <v>2.2400000000000002</v>
      </c>
      <c r="TC5" s="22">
        <f t="shared" si="226"/>
        <v>0</v>
      </c>
      <c r="TD5" s="22">
        <f t="shared" si="227"/>
        <v>3.85</v>
      </c>
      <c r="TE5" s="22">
        <f t="shared" si="228"/>
        <v>2.8</v>
      </c>
      <c r="TF5" s="22">
        <f t="shared" si="229"/>
        <v>4.05</v>
      </c>
      <c r="TG5" s="22">
        <f t="shared" si="230"/>
        <v>4.3949999999999996</v>
      </c>
      <c r="TH5" s="22">
        <f t="shared" si="231"/>
        <v>0</v>
      </c>
      <c r="TI5" s="27" t="s">
        <v>46</v>
      </c>
      <c r="TJ5" s="40">
        <f t="shared" si="232"/>
        <v>9.8999999999999986</v>
      </c>
      <c r="TK5" s="40">
        <f t="shared" si="233"/>
        <v>10.655000000000001</v>
      </c>
      <c r="TL5" s="40">
        <f t="shared" si="234"/>
        <v>37.055</v>
      </c>
      <c r="TM5" s="40">
        <f t="shared" si="235"/>
        <v>1.6500000000000001</v>
      </c>
      <c r="TN5" s="40">
        <f t="shared" si="236"/>
        <v>2.2400000000000002</v>
      </c>
      <c r="TO5" s="40">
        <f t="shared" si="237"/>
        <v>7.2900000000000009</v>
      </c>
      <c r="TP5" s="40">
        <f t="shared" si="238"/>
        <v>37.055</v>
      </c>
      <c r="TQ5" s="40">
        <f t="shared" si="239"/>
        <v>4.05</v>
      </c>
      <c r="TR5" s="40">
        <f t="shared" si="240"/>
        <v>4.3949999999999996</v>
      </c>
      <c r="TS5" s="40">
        <f t="shared" si="241"/>
        <v>15.094999999999999</v>
      </c>
      <c r="TT5" s="40">
        <f t="shared" si="242"/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205</v>
      </c>
      <c r="C6" s="4" t="s">
        <v>6</v>
      </c>
      <c r="D6" s="4">
        <v>2006</v>
      </c>
      <c r="E6" s="9">
        <f t="shared" si="0"/>
        <v>177.54001774400504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50.75</v>
      </c>
      <c r="K6" s="8" t="str">
        <f t="shared" si="5"/>
        <v>2023 Elite Canada</v>
      </c>
      <c r="L6" s="8">
        <f>IF(COUNT(AO6,AR6,BP6,BS6,CQ6,CT6)&gt;1,LARGE((AO6,AR6,BP6,BS6,CQ6,CT6),2),0)</f>
        <v>48.97</v>
      </c>
      <c r="M6" s="8" t="str">
        <f t="shared" si="6"/>
        <v>2023 Elite Canada</v>
      </c>
      <c r="N6" s="8">
        <f>IF(COUNT(AO6,AR6,BP6,BS6,CQ6,CT6)&gt;2,MAX(AV6,BW6,CX6,LARGE((AO6,AR6,BP6,BS6,CQ6,CT6),3)),IF(MAX(AV6,BW6,CX6)&gt;0,MAX(AV6,BW6,CX6),0))</f>
        <v>51.17</v>
      </c>
      <c r="O6" s="8" t="str">
        <f t="shared" si="7"/>
        <v>2023 Elite Canada</v>
      </c>
      <c r="P6" s="8">
        <f t="shared" si="8"/>
        <v>11.2</v>
      </c>
      <c r="Q6" s="8" t="str">
        <f t="shared" si="9"/>
        <v>2023 Elite Canada</v>
      </c>
      <c r="R6" s="8">
        <f t="shared" si="10"/>
        <v>15.35</v>
      </c>
      <c r="S6" s="8" t="str">
        <f t="shared" si="11"/>
        <v>2023 Elite Canada</v>
      </c>
      <c r="T6" s="8">
        <f t="shared" si="12"/>
        <v>0.10000000000000142</v>
      </c>
      <c r="U6" s="11" t="str">
        <f t="shared" si="13"/>
        <v>(Optional)</v>
      </c>
      <c r="V6" s="8" t="b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0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 t="shared" si="14"/>
        <v>5</v>
      </c>
      <c r="AN6" s="38">
        <f t="shared" si="15"/>
        <v>5.8</v>
      </c>
      <c r="AO6" s="40">
        <f t="shared" si="16"/>
        <v>20.100000000000001</v>
      </c>
      <c r="AP6" s="40" t="str">
        <f t="shared" si="17"/>
        <v/>
      </c>
      <c r="AQ6" s="40" t="str">
        <f t="shared" si="18"/>
        <v/>
      </c>
      <c r="AR6" s="40" t="str">
        <f t="shared" si="19"/>
        <v/>
      </c>
      <c r="AS6" s="40">
        <f t="shared" si="20"/>
        <v>20.100000000000001</v>
      </c>
      <c r="AT6" s="40">
        <f t="shared" si="21"/>
        <v>3.8</v>
      </c>
      <c r="AU6" s="40">
        <f t="shared" si="22"/>
        <v>4.62</v>
      </c>
      <c r="AV6" s="40">
        <f t="shared" si="23"/>
        <v>15.82</v>
      </c>
      <c r="AW6" s="40">
        <f t="shared" si="24"/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 t="shared" si="25"/>
        <v>9.8000000000000007</v>
      </c>
      <c r="BO6" s="39">
        <f t="shared" si="26"/>
        <v>13.65</v>
      </c>
      <c r="BP6" s="11">
        <f t="shared" si="27"/>
        <v>43.95</v>
      </c>
      <c r="BQ6" s="11" t="str">
        <f t="shared" si="28"/>
        <v/>
      </c>
      <c r="BR6" s="11" t="str">
        <f t="shared" si="29"/>
        <v/>
      </c>
      <c r="BS6" s="11" t="str">
        <f t="shared" si="30"/>
        <v/>
      </c>
      <c r="BT6" s="11">
        <f t="shared" si="31"/>
        <v>43.95</v>
      </c>
      <c r="BU6" s="11">
        <f t="shared" si="32"/>
        <v>6.2</v>
      </c>
      <c r="BV6" s="11">
        <f t="shared" si="33"/>
        <v>9.23</v>
      </c>
      <c r="BW6" s="11">
        <f t="shared" si="34"/>
        <v>30.63</v>
      </c>
      <c r="BX6" s="11">
        <f t="shared" si="35"/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 t="shared" si="36"/>
        <v>11.2</v>
      </c>
      <c r="CP6" s="38">
        <f t="shared" si="37"/>
        <v>15.35</v>
      </c>
      <c r="CQ6" s="40">
        <f t="shared" si="38"/>
        <v>50.75</v>
      </c>
      <c r="CR6" s="40">
        <f t="shared" si="39"/>
        <v>11.2</v>
      </c>
      <c r="CS6" s="40">
        <f t="shared" si="40"/>
        <v>14.57</v>
      </c>
      <c r="CT6" s="40">
        <f t="shared" si="41"/>
        <v>48.97</v>
      </c>
      <c r="CU6" s="40">
        <f t="shared" si="42"/>
        <v>50.75</v>
      </c>
      <c r="CV6" s="40">
        <f t="shared" si="43"/>
        <v>11.2</v>
      </c>
      <c r="CW6" s="40">
        <f t="shared" si="44"/>
        <v>15.27</v>
      </c>
      <c r="CX6" s="40">
        <f t="shared" si="45"/>
        <v>51.17</v>
      </c>
      <c r="CY6" s="40">
        <f t="shared" si="46"/>
        <v>101.92</v>
      </c>
      <c r="CZ6" s="50">
        <f t="shared" si="47"/>
        <v>0.10000000000000142</v>
      </c>
      <c r="DA6" s="50" t="str">
        <f t="shared" si="48"/>
        <v/>
      </c>
      <c r="DB6" s="17"/>
      <c r="DC6" s="17"/>
      <c r="DD6" s="17"/>
      <c r="DE6" s="17"/>
      <c r="DF6" s="17"/>
      <c r="DG6" s="17">
        <v>14.6</v>
      </c>
      <c r="DH6" s="17">
        <v>9.5</v>
      </c>
      <c r="DI6" s="17">
        <v>10.5</v>
      </c>
      <c r="DJ6" s="17">
        <v>14.47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9"/>
        <v/>
      </c>
      <c r="DW6" s="40" t="str">
        <f t="shared" si="50"/>
        <v/>
      </c>
      <c r="DX6" s="40" t="str">
        <f t="shared" si="51"/>
        <v/>
      </c>
      <c r="DY6" s="40">
        <f t="shared" si="52"/>
        <v>10.5</v>
      </c>
      <c r="DZ6" s="40">
        <f t="shared" si="53"/>
        <v>14.47</v>
      </c>
      <c r="EA6" s="40">
        <f t="shared" si="54"/>
        <v>49.07</v>
      </c>
      <c r="EB6" s="40">
        <f t="shared" si="55"/>
        <v>49.07</v>
      </c>
      <c r="EC6" s="40" t="str">
        <f t="shared" si="56"/>
        <v/>
      </c>
      <c r="ED6" s="40" t="str">
        <f t="shared" si="57"/>
        <v/>
      </c>
      <c r="EE6" s="40" t="str">
        <f t="shared" si="58"/>
        <v/>
      </c>
      <c r="EF6" s="40" t="str">
        <f t="shared" si="59"/>
        <v/>
      </c>
      <c r="EG6" s="40" t="str">
        <f t="shared" si="60"/>
        <v/>
      </c>
      <c r="EH6" s="40" t="str">
        <f t="shared" si="61"/>
        <v/>
      </c>
      <c r="EI6" s="40">
        <f t="shared" si="62"/>
        <v>49.07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3"/>
        <v/>
      </c>
      <c r="FE6" s="11" t="str">
        <f t="shared" si="64"/>
        <v/>
      </c>
      <c r="FF6" s="11" t="str">
        <f t="shared" si="65"/>
        <v/>
      </c>
      <c r="FG6" s="11" t="str">
        <f t="shared" si="66"/>
        <v/>
      </c>
      <c r="FH6" s="11" t="str">
        <f t="shared" si="67"/>
        <v/>
      </c>
      <c r="FI6" s="11" t="str">
        <f t="shared" si="68"/>
        <v/>
      </c>
      <c r="FJ6" s="11" t="str">
        <f t="shared" si="69"/>
        <v/>
      </c>
      <c r="FK6" s="11" t="str">
        <f t="shared" si="70"/>
        <v/>
      </c>
      <c r="FL6" s="11" t="str">
        <f t="shared" si="71"/>
        <v/>
      </c>
      <c r="FM6" s="11" t="str">
        <f t="shared" si="72"/>
        <v/>
      </c>
      <c r="FN6" s="11" t="str">
        <f t="shared" si="73"/>
        <v/>
      </c>
      <c r="FO6" s="11" t="str">
        <f t="shared" si="74"/>
        <v/>
      </c>
      <c r="FP6" s="11" t="str">
        <f t="shared" si="75"/>
        <v/>
      </c>
      <c r="FQ6" s="11" t="str">
        <f t="shared" si="76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7"/>
        <v/>
      </c>
      <c r="GM6" s="40" t="str">
        <f t="shared" si="78"/>
        <v/>
      </c>
      <c r="GN6" s="40" t="str">
        <f t="shared" si="79"/>
        <v/>
      </c>
      <c r="GO6" s="40" t="str">
        <f t="shared" si="80"/>
        <v/>
      </c>
      <c r="GP6" s="40" t="str">
        <f t="shared" si="81"/>
        <v/>
      </c>
      <c r="GQ6" s="40" t="str">
        <f t="shared" si="82"/>
        <v/>
      </c>
      <c r="GR6" s="40" t="str">
        <f t="shared" si="83"/>
        <v/>
      </c>
      <c r="GS6" s="40" t="str">
        <f t="shared" si="84"/>
        <v/>
      </c>
      <c r="GT6" s="40" t="str">
        <f t="shared" si="85"/>
        <v/>
      </c>
      <c r="GU6" s="40" t="str">
        <f t="shared" si="86"/>
        <v/>
      </c>
      <c r="GV6" s="40" t="str">
        <f t="shared" si="87"/>
        <v/>
      </c>
      <c r="GW6" s="40" t="str">
        <f t="shared" si="88"/>
        <v/>
      </c>
      <c r="GX6" s="40" t="str">
        <f t="shared" si="89"/>
        <v/>
      </c>
      <c r="GY6" s="40" t="str">
        <f t="shared" si="90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1"/>
        <v/>
      </c>
      <c r="HU6" s="11" t="str">
        <f t="shared" si="92"/>
        <v/>
      </c>
      <c r="HV6" s="11" t="str">
        <f t="shared" si="93"/>
        <v/>
      </c>
      <c r="HW6" s="11" t="str">
        <f t="shared" si="94"/>
        <v/>
      </c>
      <c r="HX6" s="11" t="str">
        <f t="shared" si="95"/>
        <v/>
      </c>
      <c r="HY6" s="11" t="str">
        <f t="shared" si="96"/>
        <v/>
      </c>
      <c r="HZ6" s="11" t="str">
        <f t="shared" si="97"/>
        <v/>
      </c>
      <c r="IA6" s="11" t="str">
        <f t="shared" si="98"/>
        <v/>
      </c>
      <c r="IB6" s="11" t="str">
        <f t="shared" si="99"/>
        <v/>
      </c>
      <c r="IC6" s="11" t="str">
        <f t="shared" si="100"/>
        <v/>
      </c>
      <c r="ID6" s="11" t="str">
        <f t="shared" si="101"/>
        <v/>
      </c>
      <c r="IE6" s="11" t="str">
        <f t="shared" si="102"/>
        <v/>
      </c>
      <c r="IF6" s="11" t="str">
        <f t="shared" si="103"/>
        <v/>
      </c>
      <c r="IG6" s="11" t="str">
        <f t="shared" si="104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5"/>
        <v/>
      </c>
      <c r="JC6" s="40" t="str">
        <f t="shared" si="106"/>
        <v/>
      </c>
      <c r="JD6" s="40" t="str">
        <f t="shared" si="107"/>
        <v/>
      </c>
      <c r="JE6" s="40" t="str">
        <f t="shared" si="108"/>
        <v/>
      </c>
      <c r="JF6" s="40" t="str">
        <f t="shared" si="109"/>
        <v/>
      </c>
      <c r="JG6" s="40" t="str">
        <f t="shared" si="110"/>
        <v/>
      </c>
      <c r="JH6" s="40" t="str">
        <f t="shared" si="111"/>
        <v/>
      </c>
      <c r="JI6" s="40" t="str">
        <f t="shared" si="112"/>
        <v/>
      </c>
      <c r="JJ6" s="40" t="str">
        <f t="shared" si="113"/>
        <v/>
      </c>
      <c r="JK6" s="40" t="str">
        <f t="shared" si="114"/>
        <v/>
      </c>
      <c r="JL6" s="40" t="str">
        <f t="shared" si="115"/>
        <v/>
      </c>
      <c r="JM6" s="40" t="str">
        <f t="shared" si="116"/>
        <v/>
      </c>
      <c r="JN6" s="40" t="str">
        <f t="shared" si="117"/>
        <v/>
      </c>
      <c r="JO6" s="40" t="str">
        <f t="shared" si="118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9"/>
        <v/>
      </c>
      <c r="KK6" s="11" t="str">
        <f t="shared" si="120"/>
        <v/>
      </c>
      <c r="KL6" s="11" t="str">
        <f t="shared" si="121"/>
        <v/>
      </c>
      <c r="KM6" s="11" t="str">
        <f t="shared" si="122"/>
        <v/>
      </c>
      <c r="KN6" s="11" t="str">
        <f t="shared" si="123"/>
        <v/>
      </c>
      <c r="KO6" s="11" t="str">
        <f t="shared" si="124"/>
        <v/>
      </c>
      <c r="KP6" s="11" t="str">
        <f t="shared" si="125"/>
        <v/>
      </c>
      <c r="KQ6" s="11" t="str">
        <f t="shared" si="126"/>
        <v/>
      </c>
      <c r="KR6" s="11" t="str">
        <f t="shared" si="127"/>
        <v/>
      </c>
      <c r="KS6" s="11" t="str">
        <f t="shared" si="128"/>
        <v/>
      </c>
      <c r="KT6" s="11" t="str">
        <f t="shared" si="129"/>
        <v/>
      </c>
      <c r="KU6" s="11" t="str">
        <f t="shared" si="130"/>
        <v/>
      </c>
      <c r="KV6" s="11" t="str">
        <f t="shared" si="131"/>
        <v/>
      </c>
      <c r="KW6" s="11" t="str">
        <f t="shared" si="132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3"/>
        <v/>
      </c>
      <c r="LS6" s="40" t="str">
        <f t="shared" si="134"/>
        <v/>
      </c>
      <c r="LT6" s="40" t="str">
        <f t="shared" si="135"/>
        <v/>
      </c>
      <c r="LU6" s="40" t="str">
        <f t="shared" si="136"/>
        <v/>
      </c>
      <c r="LV6" s="40" t="str">
        <f t="shared" si="137"/>
        <v/>
      </c>
      <c r="LW6" s="40" t="str">
        <f t="shared" si="138"/>
        <v/>
      </c>
      <c r="LX6" s="40" t="str">
        <f t="shared" si="139"/>
        <v/>
      </c>
      <c r="LY6" s="40" t="str">
        <f t="shared" si="140"/>
        <v/>
      </c>
      <c r="LZ6" s="40" t="str">
        <f t="shared" si="141"/>
        <v/>
      </c>
      <c r="MA6" s="40" t="str">
        <f t="shared" si="142"/>
        <v/>
      </c>
      <c r="MB6" s="40" t="str">
        <f t="shared" si="143"/>
        <v/>
      </c>
      <c r="MC6" s="40" t="str">
        <f t="shared" si="144"/>
        <v/>
      </c>
      <c r="MD6" s="40" t="str">
        <f t="shared" si="145"/>
        <v/>
      </c>
      <c r="ME6" s="40" t="str">
        <f t="shared" si="146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7"/>
        <v/>
      </c>
      <c r="NA6" s="11" t="str">
        <f t="shared" si="148"/>
        <v/>
      </c>
      <c r="NB6" s="11" t="str">
        <f t="shared" si="149"/>
        <v/>
      </c>
      <c r="NC6" s="11" t="str">
        <f t="shared" si="150"/>
        <v/>
      </c>
      <c r="ND6" s="11" t="str">
        <f t="shared" si="151"/>
        <v/>
      </c>
      <c r="NE6" s="11" t="str">
        <f t="shared" si="152"/>
        <v/>
      </c>
      <c r="NF6" s="11" t="str">
        <f t="shared" si="153"/>
        <v/>
      </c>
      <c r="NG6" s="11" t="str">
        <f t="shared" si="154"/>
        <v/>
      </c>
      <c r="NH6" s="11" t="str">
        <f t="shared" si="155"/>
        <v/>
      </c>
      <c r="NI6" s="11" t="str">
        <f t="shared" si="156"/>
        <v/>
      </c>
      <c r="NJ6" s="11" t="str">
        <f t="shared" si="157"/>
        <v/>
      </c>
      <c r="NK6" s="11" t="str">
        <f t="shared" si="158"/>
        <v/>
      </c>
      <c r="NL6" s="11" t="str">
        <f t="shared" si="159"/>
        <v/>
      </c>
      <c r="NM6" s="11" t="str">
        <f t="shared" si="160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1"/>
        <v/>
      </c>
      <c r="OI6" s="40" t="str">
        <f t="shared" si="162"/>
        <v/>
      </c>
      <c r="OJ6" s="40" t="str">
        <f t="shared" si="163"/>
        <v/>
      </c>
      <c r="OK6" s="40" t="str">
        <f t="shared" si="164"/>
        <v/>
      </c>
      <c r="OL6" s="40" t="str">
        <f t="shared" si="165"/>
        <v/>
      </c>
      <c r="OM6" s="40" t="str">
        <f t="shared" si="166"/>
        <v/>
      </c>
      <c r="ON6" s="40" t="str">
        <f t="shared" si="167"/>
        <v/>
      </c>
      <c r="OO6" s="40" t="str">
        <f t="shared" si="168"/>
        <v/>
      </c>
      <c r="OP6" s="40" t="str">
        <f t="shared" si="169"/>
        <v/>
      </c>
      <c r="OQ6" s="40" t="str">
        <f t="shared" si="170"/>
        <v/>
      </c>
      <c r="OR6" s="40" t="str">
        <f t="shared" si="171"/>
        <v/>
      </c>
      <c r="OS6" s="40" t="str">
        <f t="shared" si="172"/>
        <v/>
      </c>
      <c r="OT6" s="40" t="str">
        <f t="shared" si="173"/>
        <v/>
      </c>
      <c r="OU6" s="40" t="str">
        <f t="shared" si="174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5"/>
        <v/>
      </c>
      <c r="PQ6" s="11" t="str">
        <f t="shared" si="176"/>
        <v/>
      </c>
      <c r="PR6" s="11" t="str">
        <f t="shared" si="177"/>
        <v/>
      </c>
      <c r="PS6" s="11" t="str">
        <f t="shared" si="178"/>
        <v/>
      </c>
      <c r="PT6" s="11" t="str">
        <f t="shared" si="179"/>
        <v/>
      </c>
      <c r="PU6" s="11" t="str">
        <f t="shared" si="180"/>
        <v/>
      </c>
      <c r="PV6" s="11" t="str">
        <f t="shared" si="181"/>
        <v/>
      </c>
      <c r="PW6" s="11" t="str">
        <f t="shared" si="182"/>
        <v/>
      </c>
      <c r="PX6" s="11" t="str">
        <f t="shared" si="183"/>
        <v/>
      </c>
      <c r="PY6" s="11" t="str">
        <f t="shared" si="184"/>
        <v/>
      </c>
      <c r="PZ6" s="11" t="str">
        <f t="shared" si="185"/>
        <v/>
      </c>
      <c r="QA6" s="11" t="str">
        <f t="shared" si="186"/>
        <v/>
      </c>
      <c r="QB6" s="11" t="str">
        <f t="shared" si="187"/>
        <v/>
      </c>
      <c r="QC6" s="11" t="str">
        <f t="shared" si="188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9"/>
        <v/>
      </c>
      <c r="QY6" s="40" t="str">
        <f t="shared" si="190"/>
        <v/>
      </c>
      <c r="QZ6" s="40" t="str">
        <f t="shared" si="191"/>
        <v/>
      </c>
      <c r="RA6" s="40" t="str">
        <f t="shared" si="192"/>
        <v/>
      </c>
      <c r="RB6" s="40" t="str">
        <f t="shared" si="193"/>
        <v/>
      </c>
      <c r="RC6" s="40" t="str">
        <f t="shared" si="194"/>
        <v/>
      </c>
      <c r="RD6" s="40" t="str">
        <f t="shared" si="195"/>
        <v/>
      </c>
      <c r="RE6" s="40" t="str">
        <f t="shared" si="196"/>
        <v/>
      </c>
      <c r="RF6" s="40" t="str">
        <f t="shared" si="197"/>
        <v/>
      </c>
      <c r="RG6" s="40" t="str">
        <f t="shared" si="198"/>
        <v/>
      </c>
      <c r="RH6" s="40" t="str">
        <f t="shared" si="199"/>
        <v/>
      </c>
      <c r="RI6" s="40" t="str">
        <f t="shared" si="200"/>
        <v/>
      </c>
      <c r="RJ6" s="40" t="str">
        <f t="shared" si="201"/>
        <v/>
      </c>
      <c r="RK6" s="40" t="str">
        <f t="shared" si="202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3"/>
        <v/>
      </c>
      <c r="SG6" s="11" t="str">
        <f t="shared" si="204"/>
        <v/>
      </c>
      <c r="SH6" s="11" t="str">
        <f t="shared" si="205"/>
        <v/>
      </c>
      <c r="SI6" s="11" t="str">
        <f t="shared" si="206"/>
        <v/>
      </c>
      <c r="SJ6" s="11" t="str">
        <f t="shared" si="207"/>
        <v/>
      </c>
      <c r="SK6" s="11" t="str">
        <f t="shared" si="208"/>
        <v/>
      </c>
      <c r="SL6" s="11" t="str">
        <f t="shared" si="209"/>
        <v/>
      </c>
      <c r="SM6" s="11" t="str">
        <f t="shared" si="210"/>
        <v/>
      </c>
      <c r="SN6" s="11" t="str">
        <f t="shared" si="211"/>
        <v/>
      </c>
      <c r="SO6" s="11" t="str">
        <f t="shared" si="212"/>
        <v/>
      </c>
      <c r="SP6" s="11" t="str">
        <f t="shared" si="213"/>
        <v/>
      </c>
      <c r="SQ6" s="11" t="str">
        <f t="shared" si="214"/>
        <v/>
      </c>
      <c r="SR6" s="11" t="str">
        <f t="shared" si="215"/>
        <v/>
      </c>
      <c r="SS6" s="11" t="str">
        <f t="shared" si="216"/>
        <v/>
      </c>
      <c r="ST6" s="22">
        <f t="shared" si="217"/>
        <v>13.55</v>
      </c>
      <c r="SU6" s="22">
        <f t="shared" si="218"/>
        <v>8.8000000000000007</v>
      </c>
      <c r="SV6" s="22">
        <f t="shared" si="219"/>
        <v>10.5</v>
      </c>
      <c r="SW6" s="22">
        <f t="shared" si="220"/>
        <v>14.5</v>
      </c>
      <c r="SX6" s="22">
        <f t="shared" si="221"/>
        <v>0</v>
      </c>
      <c r="SY6" s="22">
        <f t="shared" si="222"/>
        <v>7.1</v>
      </c>
      <c r="SZ6" s="22">
        <f t="shared" si="223"/>
        <v>4.5</v>
      </c>
      <c r="TA6" s="22">
        <f t="shared" si="224"/>
        <v>5.6</v>
      </c>
      <c r="TB6" s="22">
        <f t="shared" si="225"/>
        <v>7.2850000000000001</v>
      </c>
      <c r="TC6" s="22">
        <f t="shared" si="226"/>
        <v>0</v>
      </c>
      <c r="TD6" s="22">
        <f t="shared" si="227"/>
        <v>12.5</v>
      </c>
      <c r="TE6" s="22">
        <f t="shared" si="228"/>
        <v>7.45</v>
      </c>
      <c r="TF6" s="22">
        <f t="shared" si="229"/>
        <v>8.6999999999999993</v>
      </c>
      <c r="TG6" s="22">
        <f t="shared" si="230"/>
        <v>12.25</v>
      </c>
      <c r="TH6" s="22">
        <f t="shared" si="231"/>
        <v>0</v>
      </c>
      <c r="TI6" s="27" t="s">
        <v>46</v>
      </c>
      <c r="TJ6" s="40">
        <f t="shared" si="232"/>
        <v>10.5</v>
      </c>
      <c r="TK6" s="40">
        <f t="shared" si="233"/>
        <v>14.5</v>
      </c>
      <c r="TL6" s="40">
        <f t="shared" si="234"/>
        <v>47.35</v>
      </c>
      <c r="TM6" s="40">
        <f t="shared" si="235"/>
        <v>5.6</v>
      </c>
      <c r="TN6" s="40">
        <f t="shared" si="236"/>
        <v>7.2850000000000001</v>
      </c>
      <c r="TO6" s="40">
        <f t="shared" si="237"/>
        <v>24.484999999999999</v>
      </c>
      <c r="TP6" s="40">
        <f t="shared" si="238"/>
        <v>47.35</v>
      </c>
      <c r="TQ6" s="40">
        <f t="shared" si="239"/>
        <v>8.6999999999999993</v>
      </c>
      <c r="TR6" s="40">
        <f t="shared" si="240"/>
        <v>12.25</v>
      </c>
      <c r="TS6" s="40">
        <f t="shared" si="241"/>
        <v>40.9</v>
      </c>
      <c r="TT6" s="40">
        <f t="shared" si="242"/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206</v>
      </c>
      <c r="C7" s="4" t="s">
        <v>3</v>
      </c>
      <c r="D7" s="4">
        <v>2006</v>
      </c>
      <c r="E7" s="9">
        <f t="shared" si="0"/>
        <v>176.42001764200492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49.180000000000007</v>
      </c>
      <c r="M7" s="8" t="str">
        <f t="shared" si="6"/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 t="shared" si="7"/>
        <v>2023 Elite Canada</v>
      </c>
      <c r="P7" s="8">
        <f t="shared" si="8"/>
        <v>12.4</v>
      </c>
      <c r="Q7" s="8" t="str">
        <f t="shared" si="9"/>
        <v>2023 Elite Canada</v>
      </c>
      <c r="R7" s="8">
        <f t="shared" si="10"/>
        <v>14.98</v>
      </c>
      <c r="S7" s="8" t="str">
        <f t="shared" si="11"/>
        <v>2022 3rd Domestic Trial</v>
      </c>
      <c r="T7" s="8" t="str">
        <f t="shared" si="12"/>
        <v/>
      </c>
      <c r="U7" s="11" t="str">
        <f t="shared" si="13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 t="shared" si="14"/>
        <v>11.3</v>
      </c>
      <c r="AN7" s="38">
        <f t="shared" si="15"/>
        <v>14.06</v>
      </c>
      <c r="AO7" s="40">
        <f t="shared" si="16"/>
        <v>48.06</v>
      </c>
      <c r="AP7" s="40" t="str">
        <f t="shared" si="17"/>
        <v/>
      </c>
      <c r="AQ7" s="40" t="str">
        <f t="shared" si="18"/>
        <v/>
      </c>
      <c r="AR7" s="40" t="str">
        <f t="shared" si="19"/>
        <v/>
      </c>
      <c r="AS7" s="40">
        <f t="shared" si="20"/>
        <v>48.06</v>
      </c>
      <c r="AT7" s="40">
        <f t="shared" si="21"/>
        <v>11.3</v>
      </c>
      <c r="AU7" s="40">
        <f t="shared" si="22"/>
        <v>13.9</v>
      </c>
      <c r="AV7" s="40">
        <f t="shared" si="23"/>
        <v>48.300000000000004</v>
      </c>
      <c r="AW7" s="40">
        <f t="shared" si="24"/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 t="shared" si="25"/>
        <v>12.2</v>
      </c>
      <c r="BO7" s="39">
        <f t="shared" si="26"/>
        <v>14.98</v>
      </c>
      <c r="BP7" s="11">
        <f t="shared" si="27"/>
        <v>49.180000000000007</v>
      </c>
      <c r="BQ7" s="11" t="str">
        <f t="shared" si="28"/>
        <v/>
      </c>
      <c r="BR7" s="11" t="str">
        <f t="shared" si="29"/>
        <v/>
      </c>
      <c r="BS7" s="11" t="str">
        <f t="shared" si="30"/>
        <v/>
      </c>
      <c r="BT7" s="11">
        <f t="shared" si="31"/>
        <v>49.180000000000007</v>
      </c>
      <c r="BU7" s="11">
        <f t="shared" si="32"/>
        <v>12</v>
      </c>
      <c r="BV7" s="11">
        <f t="shared" si="33"/>
        <v>14.13</v>
      </c>
      <c r="BW7" s="11">
        <f t="shared" si="34"/>
        <v>47.63</v>
      </c>
      <c r="BX7" s="11">
        <f t="shared" si="35"/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 t="shared" si="36"/>
        <v>11.3</v>
      </c>
      <c r="CP7" s="38">
        <f t="shared" si="37"/>
        <v>13.99</v>
      </c>
      <c r="CQ7" s="40">
        <f t="shared" si="38"/>
        <v>49.09</v>
      </c>
      <c r="CR7" s="40">
        <f t="shared" si="39"/>
        <v>11.1</v>
      </c>
      <c r="CS7" s="40">
        <f t="shared" si="40"/>
        <v>13.91</v>
      </c>
      <c r="CT7" s="40">
        <f t="shared" si="41"/>
        <v>49.31</v>
      </c>
      <c r="CU7" s="40">
        <f t="shared" si="42"/>
        <v>49.31</v>
      </c>
      <c r="CV7" s="40">
        <f t="shared" si="43"/>
        <v>12.4</v>
      </c>
      <c r="CW7" s="40">
        <f t="shared" si="44"/>
        <v>14.75</v>
      </c>
      <c r="CX7" s="40">
        <f t="shared" si="45"/>
        <v>50.55</v>
      </c>
      <c r="CY7" s="40">
        <f t="shared" si="46"/>
        <v>99.86</v>
      </c>
      <c r="CZ7" s="50" t="str">
        <f t="shared" si="47"/>
        <v/>
      </c>
      <c r="DA7" s="50" t="str">
        <f t="shared" si="48"/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9"/>
        <v/>
      </c>
      <c r="DW7" s="40" t="str">
        <f t="shared" si="50"/>
        <v/>
      </c>
      <c r="DX7" s="40" t="str">
        <f t="shared" si="51"/>
        <v/>
      </c>
      <c r="DY7" s="40">
        <f t="shared" si="52"/>
        <v>11.3</v>
      </c>
      <c r="DZ7" s="40">
        <f t="shared" si="53"/>
        <v>13.48</v>
      </c>
      <c r="EA7" s="40">
        <f t="shared" si="54"/>
        <v>45.980000000000004</v>
      </c>
      <c r="EB7" s="40">
        <f t="shared" si="55"/>
        <v>45.980000000000004</v>
      </c>
      <c r="EC7" s="40" t="str">
        <f t="shared" si="56"/>
        <v/>
      </c>
      <c r="ED7" s="40" t="str">
        <f t="shared" si="57"/>
        <v/>
      </c>
      <c r="EE7" s="40" t="str">
        <f t="shared" si="58"/>
        <v/>
      </c>
      <c r="EF7" s="40" t="str">
        <f t="shared" si="59"/>
        <v/>
      </c>
      <c r="EG7" s="40" t="str">
        <f t="shared" si="60"/>
        <v/>
      </c>
      <c r="EH7" s="40" t="str">
        <f t="shared" si="61"/>
        <v/>
      </c>
      <c r="EI7" s="40">
        <f t="shared" si="62"/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3"/>
        <v/>
      </c>
      <c r="FE7" s="11" t="str">
        <f t="shared" si="64"/>
        <v/>
      </c>
      <c r="FF7" s="11" t="str">
        <f t="shared" si="65"/>
        <v/>
      </c>
      <c r="FG7" s="11" t="str">
        <f t="shared" si="66"/>
        <v/>
      </c>
      <c r="FH7" s="11" t="str">
        <f t="shared" si="67"/>
        <v/>
      </c>
      <c r="FI7" s="11" t="str">
        <f t="shared" si="68"/>
        <v/>
      </c>
      <c r="FJ7" s="11" t="str">
        <f t="shared" si="69"/>
        <v/>
      </c>
      <c r="FK7" s="11" t="str">
        <f t="shared" si="70"/>
        <v/>
      </c>
      <c r="FL7" s="11" t="str">
        <f t="shared" si="71"/>
        <v/>
      </c>
      <c r="FM7" s="11" t="str">
        <f t="shared" si="72"/>
        <v/>
      </c>
      <c r="FN7" s="11" t="str">
        <f t="shared" si="73"/>
        <v/>
      </c>
      <c r="FO7" s="11" t="str">
        <f t="shared" si="74"/>
        <v/>
      </c>
      <c r="FP7" s="11" t="str">
        <f t="shared" si="75"/>
        <v/>
      </c>
      <c r="FQ7" s="11" t="str">
        <f t="shared" si="76"/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 t="shared" si="77"/>
        <v>12.4</v>
      </c>
      <c r="GM7" s="40">
        <f t="shared" si="78"/>
        <v>13.89</v>
      </c>
      <c r="GN7" s="40">
        <f t="shared" si="79"/>
        <v>48.89</v>
      </c>
      <c r="GO7" s="40">
        <f t="shared" si="80"/>
        <v>12.2</v>
      </c>
      <c r="GP7" s="40">
        <f t="shared" si="81"/>
        <v>13.41</v>
      </c>
      <c r="GQ7" s="40">
        <f t="shared" si="82"/>
        <v>47.709999999999994</v>
      </c>
      <c r="GR7" s="40">
        <f t="shared" si="83"/>
        <v>48.89</v>
      </c>
      <c r="GS7" s="40" t="str">
        <f t="shared" si="84"/>
        <v/>
      </c>
      <c r="GT7" s="40" t="str">
        <f t="shared" si="85"/>
        <v/>
      </c>
      <c r="GU7" s="40" t="str">
        <f t="shared" si="86"/>
        <v/>
      </c>
      <c r="GV7" s="40">
        <f t="shared" si="87"/>
        <v>1.5</v>
      </c>
      <c r="GW7" s="40">
        <f t="shared" si="88"/>
        <v>1.5</v>
      </c>
      <c r="GX7" s="40">
        <f t="shared" si="89"/>
        <v>5.3</v>
      </c>
      <c r="GY7" s="40">
        <f t="shared" si="90"/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1"/>
        <v/>
      </c>
      <c r="HU7" s="11" t="str">
        <f t="shared" si="92"/>
        <v/>
      </c>
      <c r="HV7" s="11" t="str">
        <f t="shared" si="93"/>
        <v/>
      </c>
      <c r="HW7" s="11" t="str">
        <f t="shared" si="94"/>
        <v/>
      </c>
      <c r="HX7" s="11" t="str">
        <f t="shared" si="95"/>
        <v/>
      </c>
      <c r="HY7" s="11" t="str">
        <f t="shared" si="96"/>
        <v/>
      </c>
      <c r="HZ7" s="11" t="str">
        <f t="shared" si="97"/>
        <v/>
      </c>
      <c r="IA7" s="11" t="str">
        <f t="shared" si="98"/>
        <v/>
      </c>
      <c r="IB7" s="11" t="str">
        <f t="shared" si="99"/>
        <v/>
      </c>
      <c r="IC7" s="11" t="str">
        <f t="shared" si="100"/>
        <v/>
      </c>
      <c r="ID7" s="11" t="str">
        <f t="shared" si="101"/>
        <v/>
      </c>
      <c r="IE7" s="11" t="str">
        <f t="shared" si="102"/>
        <v/>
      </c>
      <c r="IF7" s="11" t="str">
        <f t="shared" si="103"/>
        <v/>
      </c>
      <c r="IG7" s="11" t="str">
        <f t="shared" si="104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5"/>
        <v/>
      </c>
      <c r="JC7" s="40" t="str">
        <f t="shared" si="106"/>
        <v/>
      </c>
      <c r="JD7" s="40" t="str">
        <f t="shared" si="107"/>
        <v/>
      </c>
      <c r="JE7" s="40" t="str">
        <f t="shared" si="108"/>
        <v/>
      </c>
      <c r="JF7" s="40" t="str">
        <f t="shared" si="109"/>
        <v/>
      </c>
      <c r="JG7" s="40" t="str">
        <f t="shared" si="110"/>
        <v/>
      </c>
      <c r="JH7" s="40" t="str">
        <f t="shared" si="111"/>
        <v/>
      </c>
      <c r="JI7" s="40" t="str">
        <f t="shared" si="112"/>
        <v/>
      </c>
      <c r="JJ7" s="40" t="str">
        <f t="shared" si="113"/>
        <v/>
      </c>
      <c r="JK7" s="40" t="str">
        <f t="shared" si="114"/>
        <v/>
      </c>
      <c r="JL7" s="40" t="str">
        <f t="shared" si="115"/>
        <v/>
      </c>
      <c r="JM7" s="40" t="str">
        <f t="shared" si="116"/>
        <v/>
      </c>
      <c r="JN7" s="40" t="str">
        <f t="shared" si="117"/>
        <v/>
      </c>
      <c r="JO7" s="40" t="str">
        <f t="shared" si="118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9"/>
        <v/>
      </c>
      <c r="KK7" s="11" t="str">
        <f t="shared" si="120"/>
        <v/>
      </c>
      <c r="KL7" s="11" t="str">
        <f t="shared" si="121"/>
        <v/>
      </c>
      <c r="KM7" s="11" t="str">
        <f t="shared" si="122"/>
        <v/>
      </c>
      <c r="KN7" s="11" t="str">
        <f t="shared" si="123"/>
        <v/>
      </c>
      <c r="KO7" s="11" t="str">
        <f t="shared" si="124"/>
        <v/>
      </c>
      <c r="KP7" s="11" t="str">
        <f t="shared" si="125"/>
        <v/>
      </c>
      <c r="KQ7" s="11" t="str">
        <f t="shared" si="126"/>
        <v/>
      </c>
      <c r="KR7" s="11" t="str">
        <f t="shared" si="127"/>
        <v/>
      </c>
      <c r="KS7" s="11" t="str">
        <f t="shared" si="128"/>
        <v/>
      </c>
      <c r="KT7" s="11" t="str">
        <f t="shared" si="129"/>
        <v/>
      </c>
      <c r="KU7" s="11" t="str">
        <f t="shared" si="130"/>
        <v/>
      </c>
      <c r="KV7" s="11" t="str">
        <f t="shared" si="131"/>
        <v/>
      </c>
      <c r="KW7" s="11" t="str">
        <f t="shared" si="132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3"/>
        <v/>
      </c>
      <c r="LS7" s="40" t="str">
        <f t="shared" si="134"/>
        <v/>
      </c>
      <c r="LT7" s="40" t="str">
        <f t="shared" si="135"/>
        <v/>
      </c>
      <c r="LU7" s="40" t="str">
        <f t="shared" si="136"/>
        <v/>
      </c>
      <c r="LV7" s="40" t="str">
        <f t="shared" si="137"/>
        <v/>
      </c>
      <c r="LW7" s="40" t="str">
        <f t="shared" si="138"/>
        <v/>
      </c>
      <c r="LX7" s="40" t="str">
        <f t="shared" si="139"/>
        <v/>
      </c>
      <c r="LY7" s="40" t="str">
        <f t="shared" si="140"/>
        <v/>
      </c>
      <c r="LZ7" s="40" t="str">
        <f t="shared" si="141"/>
        <v/>
      </c>
      <c r="MA7" s="40" t="str">
        <f t="shared" si="142"/>
        <v/>
      </c>
      <c r="MB7" s="40" t="str">
        <f t="shared" si="143"/>
        <v/>
      </c>
      <c r="MC7" s="40" t="str">
        <f t="shared" si="144"/>
        <v/>
      </c>
      <c r="MD7" s="40" t="str">
        <f t="shared" si="145"/>
        <v/>
      </c>
      <c r="ME7" s="40" t="str">
        <f t="shared" si="146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7"/>
        <v/>
      </c>
      <c r="NA7" s="11" t="str">
        <f t="shared" si="148"/>
        <v/>
      </c>
      <c r="NB7" s="11" t="str">
        <f t="shared" si="149"/>
        <v/>
      </c>
      <c r="NC7" s="11" t="str">
        <f t="shared" si="150"/>
        <v/>
      </c>
      <c r="ND7" s="11" t="str">
        <f t="shared" si="151"/>
        <v/>
      </c>
      <c r="NE7" s="11" t="str">
        <f t="shared" si="152"/>
        <v/>
      </c>
      <c r="NF7" s="11" t="str">
        <f t="shared" si="153"/>
        <v/>
      </c>
      <c r="NG7" s="11" t="str">
        <f t="shared" si="154"/>
        <v/>
      </c>
      <c r="NH7" s="11" t="str">
        <f t="shared" si="155"/>
        <v/>
      </c>
      <c r="NI7" s="11" t="str">
        <f t="shared" si="156"/>
        <v/>
      </c>
      <c r="NJ7" s="11" t="str">
        <f t="shared" si="157"/>
        <v/>
      </c>
      <c r="NK7" s="11" t="str">
        <f t="shared" si="158"/>
        <v/>
      </c>
      <c r="NL7" s="11" t="str">
        <f t="shared" si="159"/>
        <v/>
      </c>
      <c r="NM7" s="11" t="str">
        <f t="shared" si="160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1"/>
        <v/>
      </c>
      <c r="OI7" s="40" t="str">
        <f t="shared" si="162"/>
        <v/>
      </c>
      <c r="OJ7" s="40" t="str">
        <f t="shared" si="163"/>
        <v/>
      </c>
      <c r="OK7" s="40" t="str">
        <f t="shared" si="164"/>
        <v/>
      </c>
      <c r="OL7" s="40" t="str">
        <f t="shared" si="165"/>
        <v/>
      </c>
      <c r="OM7" s="40" t="str">
        <f t="shared" si="166"/>
        <v/>
      </c>
      <c r="ON7" s="40" t="str">
        <f t="shared" si="167"/>
        <v/>
      </c>
      <c r="OO7" s="40" t="str">
        <f t="shared" si="168"/>
        <v/>
      </c>
      <c r="OP7" s="40" t="str">
        <f t="shared" si="169"/>
        <v/>
      </c>
      <c r="OQ7" s="40" t="str">
        <f t="shared" si="170"/>
        <v/>
      </c>
      <c r="OR7" s="40" t="str">
        <f t="shared" si="171"/>
        <v/>
      </c>
      <c r="OS7" s="40" t="str">
        <f t="shared" si="172"/>
        <v/>
      </c>
      <c r="OT7" s="40" t="str">
        <f t="shared" si="173"/>
        <v/>
      </c>
      <c r="OU7" s="40" t="str">
        <f t="shared" si="174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5"/>
        <v/>
      </c>
      <c r="PQ7" s="11" t="str">
        <f t="shared" si="176"/>
        <v/>
      </c>
      <c r="PR7" s="11" t="str">
        <f t="shared" si="177"/>
        <v/>
      </c>
      <c r="PS7" s="11" t="str">
        <f t="shared" si="178"/>
        <v/>
      </c>
      <c r="PT7" s="11" t="str">
        <f t="shared" si="179"/>
        <v/>
      </c>
      <c r="PU7" s="11" t="str">
        <f t="shared" si="180"/>
        <v/>
      </c>
      <c r="PV7" s="11" t="str">
        <f t="shared" si="181"/>
        <v/>
      </c>
      <c r="PW7" s="11" t="str">
        <f t="shared" si="182"/>
        <v/>
      </c>
      <c r="PX7" s="11" t="str">
        <f t="shared" si="183"/>
        <v/>
      </c>
      <c r="PY7" s="11" t="str">
        <f t="shared" si="184"/>
        <v/>
      </c>
      <c r="PZ7" s="11" t="str">
        <f t="shared" si="185"/>
        <v/>
      </c>
      <c r="QA7" s="11" t="str">
        <f t="shared" si="186"/>
        <v/>
      </c>
      <c r="QB7" s="11" t="str">
        <f t="shared" si="187"/>
        <v/>
      </c>
      <c r="QC7" s="11" t="str">
        <f t="shared" si="188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9"/>
        <v/>
      </c>
      <c r="QY7" s="40" t="str">
        <f t="shared" si="190"/>
        <v/>
      </c>
      <c r="QZ7" s="40" t="str">
        <f t="shared" si="191"/>
        <v/>
      </c>
      <c r="RA7" s="40" t="str">
        <f t="shared" si="192"/>
        <v/>
      </c>
      <c r="RB7" s="40" t="str">
        <f t="shared" si="193"/>
        <v/>
      </c>
      <c r="RC7" s="40" t="str">
        <f t="shared" si="194"/>
        <v/>
      </c>
      <c r="RD7" s="40" t="str">
        <f t="shared" si="195"/>
        <v/>
      </c>
      <c r="RE7" s="40" t="str">
        <f t="shared" si="196"/>
        <v/>
      </c>
      <c r="RF7" s="40" t="str">
        <f t="shared" si="197"/>
        <v/>
      </c>
      <c r="RG7" s="40" t="str">
        <f t="shared" si="198"/>
        <v/>
      </c>
      <c r="RH7" s="40" t="str">
        <f t="shared" si="199"/>
        <v/>
      </c>
      <c r="RI7" s="40" t="str">
        <f t="shared" si="200"/>
        <v/>
      </c>
      <c r="RJ7" s="40" t="str">
        <f t="shared" si="201"/>
        <v/>
      </c>
      <c r="RK7" s="40" t="str">
        <f t="shared" si="202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3"/>
        <v/>
      </c>
      <c r="SG7" s="11" t="str">
        <f t="shared" si="204"/>
        <v/>
      </c>
      <c r="SH7" s="11" t="str">
        <f t="shared" si="205"/>
        <v/>
      </c>
      <c r="SI7" s="11" t="str">
        <f t="shared" si="206"/>
        <v/>
      </c>
      <c r="SJ7" s="11" t="str">
        <f t="shared" si="207"/>
        <v/>
      </c>
      <c r="SK7" s="11" t="str">
        <f t="shared" si="208"/>
        <v/>
      </c>
      <c r="SL7" s="11" t="str">
        <f t="shared" si="209"/>
        <v/>
      </c>
      <c r="SM7" s="11" t="str">
        <f t="shared" si="210"/>
        <v/>
      </c>
      <c r="SN7" s="11" t="str">
        <f t="shared" si="211"/>
        <v/>
      </c>
      <c r="SO7" s="11" t="str">
        <f t="shared" si="212"/>
        <v/>
      </c>
      <c r="SP7" s="11" t="str">
        <f t="shared" si="213"/>
        <v/>
      </c>
      <c r="SQ7" s="11" t="str">
        <f t="shared" si="214"/>
        <v/>
      </c>
      <c r="SR7" s="11" t="str">
        <f t="shared" si="215"/>
        <v/>
      </c>
      <c r="SS7" s="11" t="str">
        <f t="shared" si="216"/>
        <v/>
      </c>
      <c r="ST7" s="22">
        <f t="shared" si="217"/>
        <v>13.95</v>
      </c>
      <c r="SU7" s="22">
        <f t="shared" si="218"/>
        <v>8.9499999999999993</v>
      </c>
      <c r="SV7" s="22">
        <f t="shared" si="219"/>
        <v>11.75</v>
      </c>
      <c r="SW7" s="22">
        <f t="shared" si="220"/>
        <v>14.484999999999999</v>
      </c>
      <c r="SX7" s="22">
        <f t="shared" si="221"/>
        <v>0</v>
      </c>
      <c r="SY7" s="22">
        <f t="shared" si="222"/>
        <v>7.35</v>
      </c>
      <c r="SZ7" s="22">
        <f t="shared" si="223"/>
        <v>4.8</v>
      </c>
      <c r="TA7" s="22">
        <f t="shared" si="224"/>
        <v>5.55</v>
      </c>
      <c r="TB7" s="22">
        <f t="shared" si="225"/>
        <v>6.9550000000000001</v>
      </c>
      <c r="TC7" s="22">
        <f t="shared" si="226"/>
        <v>0</v>
      </c>
      <c r="TD7" s="22">
        <f t="shared" si="227"/>
        <v>13.5</v>
      </c>
      <c r="TE7" s="22">
        <f t="shared" si="228"/>
        <v>8.9499999999999993</v>
      </c>
      <c r="TF7" s="22">
        <f t="shared" si="229"/>
        <v>12.2</v>
      </c>
      <c r="TG7" s="22">
        <f t="shared" si="230"/>
        <v>14.440000000000001</v>
      </c>
      <c r="TH7" s="22">
        <f t="shared" si="231"/>
        <v>0</v>
      </c>
      <c r="TI7" s="27" t="s">
        <v>46</v>
      </c>
      <c r="TJ7" s="40">
        <f t="shared" si="232"/>
        <v>11.75</v>
      </c>
      <c r="TK7" s="40">
        <f t="shared" si="233"/>
        <v>14.484999999999999</v>
      </c>
      <c r="TL7" s="40">
        <f t="shared" si="234"/>
        <v>49.134999999999998</v>
      </c>
      <c r="TM7" s="40">
        <f t="shared" si="235"/>
        <v>5.55</v>
      </c>
      <c r="TN7" s="40">
        <f t="shared" si="236"/>
        <v>6.9550000000000001</v>
      </c>
      <c r="TO7" s="40">
        <f t="shared" si="237"/>
        <v>24.655000000000001</v>
      </c>
      <c r="TP7" s="40">
        <f t="shared" si="238"/>
        <v>49.134999999999998</v>
      </c>
      <c r="TQ7" s="40">
        <f t="shared" si="239"/>
        <v>12.2</v>
      </c>
      <c r="TR7" s="40">
        <f t="shared" si="240"/>
        <v>14.440000000000001</v>
      </c>
      <c r="TS7" s="40">
        <f t="shared" si="241"/>
        <v>49.09</v>
      </c>
      <c r="TT7" s="40">
        <f t="shared" si="242"/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 t="shared" si="0"/>
        <v>168.42001684200486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48.37</v>
      </c>
      <c r="K8" s="8" t="str">
        <f t="shared" si="5"/>
        <v>2022 Nationals</v>
      </c>
      <c r="L8" s="8">
        <f>IF(COUNT(AO8,AR8,BP8,BS8,CQ8,CT8)&gt;1,LARGE((AO8,AR8,BP8,BS8,CQ8,CT8),2),0)</f>
        <v>48.36</v>
      </c>
      <c r="M8" s="8" t="str">
        <f t="shared" si="6"/>
        <v>2022 3rd Domestic Trial</v>
      </c>
      <c r="N8" s="8">
        <f>IF(COUNT(AO8,AR8,BP8,BS8,CQ8,CT8)&gt;2,MAX(AV8,BW8,CX8,LARGE((AO8,AR8,BP8,BS8,CQ8,CT8),3)),IF(MAX(AV8,BW8,CX8)&gt;0,MAX(AV8,BW8,CX8),0))</f>
        <v>46.029999999999994</v>
      </c>
      <c r="O8" s="8" t="str">
        <f t="shared" si="7"/>
        <v>2022 Nationals</v>
      </c>
      <c r="P8" s="8">
        <f t="shared" si="8"/>
        <v>11.3</v>
      </c>
      <c r="Q8" s="8" t="str">
        <f t="shared" si="9"/>
        <v>2022 3rd Domestic Trial</v>
      </c>
      <c r="R8" s="8">
        <f t="shared" si="10"/>
        <v>14.36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 t="shared" si="14"/>
        <v>11.3</v>
      </c>
      <c r="AN8" s="38">
        <f t="shared" si="15"/>
        <v>13.87</v>
      </c>
      <c r="AO8" s="40">
        <f t="shared" si="16"/>
        <v>48.37</v>
      </c>
      <c r="AP8" s="40">
        <f t="shared" si="17"/>
        <v>10.6</v>
      </c>
      <c r="AQ8" s="40">
        <f t="shared" si="18"/>
        <v>13.73</v>
      </c>
      <c r="AR8" s="40">
        <f t="shared" si="19"/>
        <v>46.029999999999994</v>
      </c>
      <c r="AS8" s="40">
        <f t="shared" si="20"/>
        <v>48.37</v>
      </c>
      <c r="AT8" s="40" t="str">
        <f t="shared" si="21"/>
        <v/>
      </c>
      <c r="AU8" s="40" t="str">
        <f t="shared" si="22"/>
        <v/>
      </c>
      <c r="AV8" s="40" t="str">
        <f t="shared" si="23"/>
        <v/>
      </c>
      <c r="AW8" s="40">
        <f t="shared" si="24"/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 t="shared" si="25"/>
        <v>11.3</v>
      </c>
      <c r="BO8" s="39">
        <f t="shared" si="26"/>
        <v>14.36</v>
      </c>
      <c r="BP8" s="11">
        <f t="shared" si="27"/>
        <v>48.36</v>
      </c>
      <c r="BQ8" s="11">
        <f t="shared" si="28"/>
        <v>8.8000000000000007</v>
      </c>
      <c r="BR8" s="11">
        <f t="shared" si="29"/>
        <v>11.63</v>
      </c>
      <c r="BS8" s="11">
        <f t="shared" si="30"/>
        <v>38.43</v>
      </c>
      <c r="BT8" s="11">
        <f t="shared" si="31"/>
        <v>48.36</v>
      </c>
      <c r="BU8" s="11">
        <f t="shared" si="32"/>
        <v>3.5</v>
      </c>
      <c r="BV8" s="11">
        <f t="shared" si="33"/>
        <v>4.5999999999999996</v>
      </c>
      <c r="BW8" s="11">
        <f t="shared" si="34"/>
        <v>14.799999999999999</v>
      </c>
      <c r="BX8" s="11">
        <f t="shared" si="35"/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 t="shared" si="36"/>
        <v>9.9</v>
      </c>
      <c r="CP8" s="38">
        <f t="shared" si="37"/>
        <v>12.8</v>
      </c>
      <c r="CQ8" s="40">
        <f t="shared" si="38"/>
        <v>45.2</v>
      </c>
      <c r="CR8" s="40">
        <f t="shared" si="39"/>
        <v>1.5</v>
      </c>
      <c r="CS8" s="40">
        <f t="shared" si="40"/>
        <v>1.55</v>
      </c>
      <c r="CT8" s="40">
        <f t="shared" si="41"/>
        <v>5.35</v>
      </c>
      <c r="CU8" s="40">
        <f t="shared" si="42"/>
        <v>45.2</v>
      </c>
      <c r="CV8" s="40" t="str">
        <f t="shared" si="43"/>
        <v/>
      </c>
      <c r="CW8" s="40" t="str">
        <f t="shared" si="44"/>
        <v/>
      </c>
      <c r="CX8" s="40" t="str">
        <f t="shared" si="45"/>
        <v/>
      </c>
      <c r="CY8" s="40">
        <f t="shared" si="46"/>
        <v>45.2</v>
      </c>
      <c r="CZ8" s="50" t="str">
        <f t="shared" si="47"/>
        <v/>
      </c>
      <c r="DA8" s="50" t="str">
        <f t="shared" si="48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9"/>
        <v/>
      </c>
      <c r="DW8" s="40" t="str">
        <f t="shared" si="50"/>
        <v/>
      </c>
      <c r="DX8" s="40" t="str">
        <f t="shared" si="51"/>
        <v/>
      </c>
      <c r="DY8" s="40" t="str">
        <f t="shared" si="52"/>
        <v/>
      </c>
      <c r="DZ8" s="40" t="str">
        <f t="shared" si="53"/>
        <v/>
      </c>
      <c r="EA8" s="40" t="str">
        <f t="shared" si="54"/>
        <v/>
      </c>
      <c r="EB8" s="40" t="str">
        <f t="shared" si="55"/>
        <v/>
      </c>
      <c r="EC8" s="40" t="str">
        <f t="shared" si="56"/>
        <v/>
      </c>
      <c r="ED8" s="40" t="str">
        <f t="shared" si="57"/>
        <v/>
      </c>
      <c r="EE8" s="40" t="str">
        <f t="shared" si="58"/>
        <v/>
      </c>
      <c r="EF8" s="40" t="str">
        <f t="shared" si="59"/>
        <v/>
      </c>
      <c r="EG8" s="40" t="str">
        <f t="shared" si="60"/>
        <v/>
      </c>
      <c r="EH8" s="40" t="str">
        <f t="shared" si="61"/>
        <v/>
      </c>
      <c r="EI8" s="40" t="str">
        <f t="shared" si="62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3"/>
        <v/>
      </c>
      <c r="FE8" s="11" t="str">
        <f t="shared" si="64"/>
        <v/>
      </c>
      <c r="FF8" s="11" t="str">
        <f t="shared" si="65"/>
        <v/>
      </c>
      <c r="FG8" s="11" t="str">
        <f t="shared" si="66"/>
        <v/>
      </c>
      <c r="FH8" s="11" t="str">
        <f t="shared" si="67"/>
        <v/>
      </c>
      <c r="FI8" s="11" t="str">
        <f t="shared" si="68"/>
        <v/>
      </c>
      <c r="FJ8" s="11" t="str">
        <f t="shared" si="69"/>
        <v/>
      </c>
      <c r="FK8" s="11" t="str">
        <f t="shared" si="70"/>
        <v/>
      </c>
      <c r="FL8" s="11" t="str">
        <f t="shared" si="71"/>
        <v/>
      </c>
      <c r="FM8" s="11" t="str">
        <f t="shared" si="72"/>
        <v/>
      </c>
      <c r="FN8" s="11" t="str">
        <f t="shared" si="73"/>
        <v/>
      </c>
      <c r="FO8" s="11" t="str">
        <f t="shared" si="74"/>
        <v/>
      </c>
      <c r="FP8" s="11" t="str">
        <f t="shared" si="75"/>
        <v/>
      </c>
      <c r="FQ8" s="11" t="str">
        <f t="shared" si="76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7"/>
        <v/>
      </c>
      <c r="GM8" s="40" t="str">
        <f t="shared" si="78"/>
        <v/>
      </c>
      <c r="GN8" s="40" t="str">
        <f t="shared" si="79"/>
        <v/>
      </c>
      <c r="GO8" s="40" t="str">
        <f t="shared" si="80"/>
        <v/>
      </c>
      <c r="GP8" s="40" t="str">
        <f t="shared" si="81"/>
        <v/>
      </c>
      <c r="GQ8" s="40" t="str">
        <f t="shared" si="82"/>
        <v/>
      </c>
      <c r="GR8" s="40" t="str">
        <f t="shared" si="83"/>
        <v/>
      </c>
      <c r="GS8" s="40" t="str">
        <f t="shared" si="84"/>
        <v/>
      </c>
      <c r="GT8" s="40" t="str">
        <f t="shared" si="85"/>
        <v/>
      </c>
      <c r="GU8" s="40" t="str">
        <f t="shared" si="86"/>
        <v/>
      </c>
      <c r="GV8" s="40" t="str">
        <f t="shared" si="87"/>
        <v/>
      </c>
      <c r="GW8" s="40" t="str">
        <f t="shared" si="88"/>
        <v/>
      </c>
      <c r="GX8" s="40" t="str">
        <f t="shared" si="89"/>
        <v/>
      </c>
      <c r="GY8" s="40" t="str">
        <f t="shared" si="90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1"/>
        <v/>
      </c>
      <c r="HU8" s="11" t="str">
        <f t="shared" si="92"/>
        <v/>
      </c>
      <c r="HV8" s="11" t="str">
        <f t="shared" si="93"/>
        <v/>
      </c>
      <c r="HW8" s="11" t="str">
        <f t="shared" si="94"/>
        <v/>
      </c>
      <c r="HX8" s="11" t="str">
        <f t="shared" si="95"/>
        <v/>
      </c>
      <c r="HY8" s="11" t="str">
        <f t="shared" si="96"/>
        <v/>
      </c>
      <c r="HZ8" s="11" t="str">
        <f t="shared" si="97"/>
        <v/>
      </c>
      <c r="IA8" s="11" t="str">
        <f t="shared" si="98"/>
        <v/>
      </c>
      <c r="IB8" s="11" t="str">
        <f t="shared" si="99"/>
        <v/>
      </c>
      <c r="IC8" s="11" t="str">
        <f t="shared" si="100"/>
        <v/>
      </c>
      <c r="ID8" s="11" t="str">
        <f t="shared" si="101"/>
        <v/>
      </c>
      <c r="IE8" s="11" t="str">
        <f t="shared" si="102"/>
        <v/>
      </c>
      <c r="IF8" s="11" t="str">
        <f t="shared" si="103"/>
        <v/>
      </c>
      <c r="IG8" s="11" t="str">
        <f t="shared" si="104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5"/>
        <v/>
      </c>
      <c r="JC8" s="40" t="str">
        <f t="shared" si="106"/>
        <v/>
      </c>
      <c r="JD8" s="40" t="str">
        <f t="shared" si="107"/>
        <v/>
      </c>
      <c r="JE8" s="40" t="str">
        <f t="shared" si="108"/>
        <v/>
      </c>
      <c r="JF8" s="40" t="str">
        <f t="shared" si="109"/>
        <v/>
      </c>
      <c r="JG8" s="40" t="str">
        <f t="shared" si="110"/>
        <v/>
      </c>
      <c r="JH8" s="40" t="str">
        <f t="shared" si="111"/>
        <v/>
      </c>
      <c r="JI8" s="40" t="str">
        <f t="shared" si="112"/>
        <v/>
      </c>
      <c r="JJ8" s="40" t="str">
        <f t="shared" si="113"/>
        <v/>
      </c>
      <c r="JK8" s="40" t="str">
        <f t="shared" si="114"/>
        <v/>
      </c>
      <c r="JL8" s="40" t="str">
        <f t="shared" si="115"/>
        <v/>
      </c>
      <c r="JM8" s="40" t="str">
        <f t="shared" si="116"/>
        <v/>
      </c>
      <c r="JN8" s="40" t="str">
        <f t="shared" si="117"/>
        <v/>
      </c>
      <c r="JO8" s="40" t="str">
        <f t="shared" si="118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9"/>
        <v/>
      </c>
      <c r="KK8" s="11" t="str">
        <f t="shared" si="120"/>
        <v/>
      </c>
      <c r="KL8" s="11" t="str">
        <f t="shared" si="121"/>
        <v/>
      </c>
      <c r="KM8" s="11" t="str">
        <f t="shared" si="122"/>
        <v/>
      </c>
      <c r="KN8" s="11" t="str">
        <f t="shared" si="123"/>
        <v/>
      </c>
      <c r="KO8" s="11" t="str">
        <f t="shared" si="124"/>
        <v/>
      </c>
      <c r="KP8" s="11" t="str">
        <f t="shared" si="125"/>
        <v/>
      </c>
      <c r="KQ8" s="11" t="str">
        <f t="shared" si="126"/>
        <v/>
      </c>
      <c r="KR8" s="11" t="str">
        <f t="shared" si="127"/>
        <v/>
      </c>
      <c r="KS8" s="11" t="str">
        <f t="shared" si="128"/>
        <v/>
      </c>
      <c r="KT8" s="11" t="str">
        <f t="shared" si="129"/>
        <v/>
      </c>
      <c r="KU8" s="11" t="str">
        <f t="shared" si="130"/>
        <v/>
      </c>
      <c r="KV8" s="11" t="str">
        <f t="shared" si="131"/>
        <v/>
      </c>
      <c r="KW8" s="11" t="str">
        <f t="shared" si="132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3"/>
        <v/>
      </c>
      <c r="LS8" s="40" t="str">
        <f t="shared" si="134"/>
        <v/>
      </c>
      <c r="LT8" s="40" t="str">
        <f t="shared" si="135"/>
        <v/>
      </c>
      <c r="LU8" s="40" t="str">
        <f t="shared" si="136"/>
        <v/>
      </c>
      <c r="LV8" s="40" t="str">
        <f t="shared" si="137"/>
        <v/>
      </c>
      <c r="LW8" s="40" t="str">
        <f t="shared" si="138"/>
        <v/>
      </c>
      <c r="LX8" s="40" t="str">
        <f t="shared" si="139"/>
        <v/>
      </c>
      <c r="LY8" s="40" t="str">
        <f t="shared" si="140"/>
        <v/>
      </c>
      <c r="LZ8" s="40" t="str">
        <f t="shared" si="141"/>
        <v/>
      </c>
      <c r="MA8" s="40" t="str">
        <f t="shared" si="142"/>
        <v/>
      </c>
      <c r="MB8" s="40" t="str">
        <f t="shared" si="143"/>
        <v/>
      </c>
      <c r="MC8" s="40" t="str">
        <f t="shared" si="144"/>
        <v/>
      </c>
      <c r="MD8" s="40" t="str">
        <f t="shared" si="145"/>
        <v/>
      </c>
      <c r="ME8" s="40" t="str">
        <f t="shared" si="146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7"/>
        <v/>
      </c>
      <c r="NA8" s="11" t="str">
        <f t="shared" si="148"/>
        <v/>
      </c>
      <c r="NB8" s="11" t="str">
        <f t="shared" si="149"/>
        <v/>
      </c>
      <c r="NC8" s="11" t="str">
        <f t="shared" si="150"/>
        <v/>
      </c>
      <c r="ND8" s="11" t="str">
        <f t="shared" si="151"/>
        <v/>
      </c>
      <c r="NE8" s="11" t="str">
        <f t="shared" si="152"/>
        <v/>
      </c>
      <c r="NF8" s="11" t="str">
        <f t="shared" si="153"/>
        <v/>
      </c>
      <c r="NG8" s="11" t="str">
        <f t="shared" si="154"/>
        <v/>
      </c>
      <c r="NH8" s="11" t="str">
        <f t="shared" si="155"/>
        <v/>
      </c>
      <c r="NI8" s="11" t="str">
        <f t="shared" si="156"/>
        <v/>
      </c>
      <c r="NJ8" s="11" t="str">
        <f t="shared" si="157"/>
        <v/>
      </c>
      <c r="NK8" s="11" t="str">
        <f t="shared" si="158"/>
        <v/>
      </c>
      <c r="NL8" s="11" t="str">
        <f t="shared" si="159"/>
        <v/>
      </c>
      <c r="NM8" s="11" t="str">
        <f t="shared" si="160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1"/>
        <v/>
      </c>
      <c r="OI8" s="40" t="str">
        <f t="shared" si="162"/>
        <v/>
      </c>
      <c r="OJ8" s="40" t="str">
        <f t="shared" si="163"/>
        <v/>
      </c>
      <c r="OK8" s="40" t="str">
        <f t="shared" si="164"/>
        <v/>
      </c>
      <c r="OL8" s="40" t="str">
        <f t="shared" si="165"/>
        <v/>
      </c>
      <c r="OM8" s="40" t="str">
        <f t="shared" si="166"/>
        <v/>
      </c>
      <c r="ON8" s="40" t="str">
        <f t="shared" si="167"/>
        <v/>
      </c>
      <c r="OO8" s="40" t="str">
        <f t="shared" si="168"/>
        <v/>
      </c>
      <c r="OP8" s="40" t="str">
        <f t="shared" si="169"/>
        <v/>
      </c>
      <c r="OQ8" s="40" t="str">
        <f t="shared" si="170"/>
        <v/>
      </c>
      <c r="OR8" s="40" t="str">
        <f t="shared" si="171"/>
        <v/>
      </c>
      <c r="OS8" s="40" t="str">
        <f t="shared" si="172"/>
        <v/>
      </c>
      <c r="OT8" s="40" t="str">
        <f t="shared" si="173"/>
        <v/>
      </c>
      <c r="OU8" s="40" t="str">
        <f t="shared" si="174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5"/>
        <v/>
      </c>
      <c r="PQ8" s="11" t="str">
        <f t="shared" si="176"/>
        <v/>
      </c>
      <c r="PR8" s="11" t="str">
        <f t="shared" si="177"/>
        <v/>
      </c>
      <c r="PS8" s="11" t="str">
        <f t="shared" si="178"/>
        <v/>
      </c>
      <c r="PT8" s="11" t="str">
        <f t="shared" si="179"/>
        <v/>
      </c>
      <c r="PU8" s="11" t="str">
        <f t="shared" si="180"/>
        <v/>
      </c>
      <c r="PV8" s="11" t="str">
        <f t="shared" si="181"/>
        <v/>
      </c>
      <c r="PW8" s="11" t="str">
        <f t="shared" si="182"/>
        <v/>
      </c>
      <c r="PX8" s="11" t="str">
        <f t="shared" si="183"/>
        <v/>
      </c>
      <c r="PY8" s="11" t="str">
        <f t="shared" si="184"/>
        <v/>
      </c>
      <c r="PZ8" s="11" t="str">
        <f t="shared" si="185"/>
        <v/>
      </c>
      <c r="QA8" s="11" t="str">
        <f t="shared" si="186"/>
        <v/>
      </c>
      <c r="QB8" s="11" t="str">
        <f t="shared" si="187"/>
        <v/>
      </c>
      <c r="QC8" s="11" t="str">
        <f t="shared" si="188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9"/>
        <v/>
      </c>
      <c r="QY8" s="40" t="str">
        <f t="shared" si="190"/>
        <v/>
      </c>
      <c r="QZ8" s="40" t="str">
        <f t="shared" si="191"/>
        <v/>
      </c>
      <c r="RA8" s="40" t="str">
        <f t="shared" si="192"/>
        <v/>
      </c>
      <c r="RB8" s="40" t="str">
        <f t="shared" si="193"/>
        <v/>
      </c>
      <c r="RC8" s="40" t="str">
        <f t="shared" si="194"/>
        <v/>
      </c>
      <c r="RD8" s="40" t="str">
        <f t="shared" si="195"/>
        <v/>
      </c>
      <c r="RE8" s="40" t="str">
        <f t="shared" si="196"/>
        <v/>
      </c>
      <c r="RF8" s="40" t="str">
        <f t="shared" si="197"/>
        <v/>
      </c>
      <c r="RG8" s="40" t="str">
        <f t="shared" si="198"/>
        <v/>
      </c>
      <c r="RH8" s="40" t="str">
        <f t="shared" si="199"/>
        <v/>
      </c>
      <c r="RI8" s="40" t="str">
        <f t="shared" si="200"/>
        <v/>
      </c>
      <c r="RJ8" s="40" t="str">
        <f t="shared" si="201"/>
        <v/>
      </c>
      <c r="RK8" s="40" t="str">
        <f t="shared" si="202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3"/>
        <v/>
      </c>
      <c r="SG8" s="11" t="str">
        <f t="shared" si="204"/>
        <v/>
      </c>
      <c r="SH8" s="11" t="str">
        <f t="shared" si="205"/>
        <v/>
      </c>
      <c r="SI8" s="11" t="str">
        <f t="shared" si="206"/>
        <v/>
      </c>
      <c r="SJ8" s="11" t="str">
        <f t="shared" si="207"/>
        <v/>
      </c>
      <c r="SK8" s="11" t="str">
        <f t="shared" si="208"/>
        <v/>
      </c>
      <c r="SL8" s="11" t="str">
        <f t="shared" si="209"/>
        <v/>
      </c>
      <c r="SM8" s="11" t="str">
        <f t="shared" si="210"/>
        <v/>
      </c>
      <c r="SN8" s="11" t="str">
        <f t="shared" si="211"/>
        <v/>
      </c>
      <c r="SO8" s="11" t="str">
        <f t="shared" si="212"/>
        <v/>
      </c>
      <c r="SP8" s="11" t="str">
        <f t="shared" si="213"/>
        <v/>
      </c>
      <c r="SQ8" s="11" t="str">
        <f t="shared" si="214"/>
        <v/>
      </c>
      <c r="SR8" s="11" t="str">
        <f t="shared" si="215"/>
        <v/>
      </c>
      <c r="SS8" s="11" t="str">
        <f t="shared" si="216"/>
        <v/>
      </c>
      <c r="ST8" s="22">
        <f t="shared" si="217"/>
        <v>13.85</v>
      </c>
      <c r="SU8" s="22">
        <f t="shared" si="218"/>
        <v>8.75</v>
      </c>
      <c r="SV8" s="22">
        <f t="shared" si="219"/>
        <v>10.600000000000001</v>
      </c>
      <c r="SW8" s="22">
        <f t="shared" si="220"/>
        <v>13.58</v>
      </c>
      <c r="SX8" s="22">
        <f t="shared" si="221"/>
        <v>0</v>
      </c>
      <c r="SY8" s="22">
        <f t="shared" si="222"/>
        <v>6.1000000000000005</v>
      </c>
      <c r="SZ8" s="22">
        <f t="shared" si="223"/>
        <v>4.05</v>
      </c>
      <c r="TA8" s="22">
        <f t="shared" si="224"/>
        <v>5.15</v>
      </c>
      <c r="TB8" s="22">
        <f t="shared" si="225"/>
        <v>6.5900000000000007</v>
      </c>
      <c r="TC8" s="22">
        <f t="shared" si="226"/>
        <v>0</v>
      </c>
      <c r="TD8" s="22">
        <f t="shared" si="227"/>
        <v>1.95</v>
      </c>
      <c r="TE8" s="22">
        <f t="shared" si="228"/>
        <v>1.4</v>
      </c>
      <c r="TF8" s="22">
        <f t="shared" si="229"/>
        <v>1.75</v>
      </c>
      <c r="TG8" s="22">
        <f t="shared" si="230"/>
        <v>2.2999999999999998</v>
      </c>
      <c r="TH8" s="22">
        <f t="shared" si="231"/>
        <v>0</v>
      </c>
      <c r="TI8" s="27" t="s">
        <v>46</v>
      </c>
      <c r="TJ8" s="40">
        <f t="shared" si="232"/>
        <v>10.600000000000001</v>
      </c>
      <c r="TK8" s="40">
        <f t="shared" si="233"/>
        <v>13.58</v>
      </c>
      <c r="TL8" s="40">
        <f t="shared" si="234"/>
        <v>46.78</v>
      </c>
      <c r="TM8" s="40">
        <f t="shared" si="235"/>
        <v>5.15</v>
      </c>
      <c r="TN8" s="40">
        <f t="shared" si="236"/>
        <v>6.5900000000000007</v>
      </c>
      <c r="TO8" s="40">
        <f t="shared" si="237"/>
        <v>21.89</v>
      </c>
      <c r="TP8" s="40">
        <f t="shared" si="238"/>
        <v>46.78</v>
      </c>
      <c r="TQ8" s="40">
        <f t="shared" si="239"/>
        <v>1.75</v>
      </c>
      <c r="TR8" s="40">
        <f t="shared" si="240"/>
        <v>2.2999999999999998</v>
      </c>
      <c r="TS8" s="40">
        <f t="shared" si="241"/>
        <v>7.3999999999999995</v>
      </c>
      <c r="TT8" s="40">
        <f t="shared" si="242"/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149</v>
      </c>
      <c r="C9" s="4" t="s">
        <v>4</v>
      </c>
      <c r="D9" s="4">
        <v>2004</v>
      </c>
      <c r="E9" s="9">
        <f t="shared" si="0"/>
        <v>129.77001297700485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48.730000000000004</v>
      </c>
      <c r="K9" s="8" t="str">
        <f t="shared" si="5"/>
        <v>2022 Nationals</v>
      </c>
      <c r="L9" s="8">
        <f>IF(COUNT(AO9,AR9,BP9,BS9,CQ9,CT9)&gt;1,LARGE((AO9,AR9,BP9,BS9,CQ9,CT9),2),0)</f>
        <v>10.46</v>
      </c>
      <c r="M9" s="8" t="str">
        <f t="shared" si="6"/>
        <v>2022 3rd Domestic Trial</v>
      </c>
      <c r="N9" s="8">
        <f>IF(COUNT(AO9,AR9,BP9,BS9,CQ9,CT9)&gt;2,MAX(AV9,BW9,CX9,LARGE((AO9,AR9,BP9,BS9,CQ9,CT9),3)),IF(MAX(AV9,BW9,CX9)&gt;0,MAX(AV9,BW9,CX9),0))</f>
        <v>43.849999999999994</v>
      </c>
      <c r="O9" s="8" t="str">
        <f t="shared" si="7"/>
        <v>2022 Nationals</v>
      </c>
      <c r="P9" s="8">
        <f t="shared" si="8"/>
        <v>12.7</v>
      </c>
      <c r="Q9" s="8" t="str">
        <f t="shared" si="9"/>
        <v>2022 Nationals</v>
      </c>
      <c r="R9" s="8">
        <f t="shared" si="10"/>
        <v>14.03</v>
      </c>
      <c r="S9" s="8" t="str">
        <f t="shared" si="11"/>
        <v>2022 Nationals</v>
      </c>
      <c r="T9" s="8" t="str">
        <f t="shared" si="12"/>
        <v/>
      </c>
      <c r="U9" s="11" t="str">
        <f t="shared" si="13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 t="shared" si="14"/>
        <v>1.5</v>
      </c>
      <c r="AN9" s="38">
        <f t="shared" si="15"/>
        <v>1.58</v>
      </c>
      <c r="AO9" s="40">
        <f t="shared" si="16"/>
        <v>5.48</v>
      </c>
      <c r="AP9" s="40">
        <f t="shared" si="17"/>
        <v>12.7</v>
      </c>
      <c r="AQ9" s="40">
        <f t="shared" si="18"/>
        <v>14.03</v>
      </c>
      <c r="AR9" s="40">
        <f t="shared" si="19"/>
        <v>48.730000000000004</v>
      </c>
      <c r="AS9" s="40">
        <f t="shared" si="20"/>
        <v>48.730000000000004</v>
      </c>
      <c r="AT9" s="40">
        <f t="shared" si="21"/>
        <v>11.3</v>
      </c>
      <c r="AU9" s="40">
        <f t="shared" si="22"/>
        <v>12.75</v>
      </c>
      <c r="AV9" s="40">
        <f t="shared" si="23"/>
        <v>43.849999999999994</v>
      </c>
      <c r="AW9" s="40">
        <f t="shared" si="24"/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 t="shared" si="25"/>
        <v>2.7</v>
      </c>
      <c r="BO9" s="39">
        <f t="shared" si="26"/>
        <v>3.16</v>
      </c>
      <c r="BP9" s="11">
        <f t="shared" si="27"/>
        <v>10.46</v>
      </c>
      <c r="BQ9" s="11">
        <f t="shared" si="28"/>
        <v>2.7</v>
      </c>
      <c r="BR9" s="11">
        <f t="shared" si="29"/>
        <v>3.06</v>
      </c>
      <c r="BS9" s="11">
        <f t="shared" si="30"/>
        <v>10.16</v>
      </c>
      <c r="BT9" s="11">
        <f t="shared" si="31"/>
        <v>10.46</v>
      </c>
      <c r="BU9" s="11" t="str">
        <f t="shared" si="32"/>
        <v/>
      </c>
      <c r="BV9" s="11" t="str">
        <f t="shared" si="33"/>
        <v/>
      </c>
      <c r="BW9" s="11" t="str">
        <f t="shared" si="34"/>
        <v/>
      </c>
      <c r="BX9" s="11">
        <f t="shared" si="35"/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 t="shared" si="36"/>
        <v/>
      </c>
      <c r="CP9" s="38" t="str">
        <f t="shared" si="37"/>
        <v/>
      </c>
      <c r="CQ9" s="40" t="str">
        <f t="shared" si="38"/>
        <v/>
      </c>
      <c r="CR9" s="40" t="str">
        <f t="shared" si="39"/>
        <v/>
      </c>
      <c r="CS9" s="40" t="str">
        <f t="shared" si="40"/>
        <v/>
      </c>
      <c r="CT9" s="40" t="str">
        <f t="shared" si="41"/>
        <v/>
      </c>
      <c r="CU9" s="40" t="str">
        <f t="shared" si="42"/>
        <v/>
      </c>
      <c r="CV9" s="40" t="str">
        <f t="shared" si="43"/>
        <v/>
      </c>
      <c r="CW9" s="40" t="str">
        <f t="shared" si="44"/>
        <v/>
      </c>
      <c r="CX9" s="40" t="str">
        <f t="shared" si="45"/>
        <v/>
      </c>
      <c r="CY9" s="40" t="str">
        <f t="shared" si="46"/>
        <v/>
      </c>
      <c r="CZ9" s="50" t="str">
        <f t="shared" si="47"/>
        <v/>
      </c>
      <c r="DA9" s="50" t="str">
        <f t="shared" si="48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9"/>
        <v/>
      </c>
      <c r="DW9" s="40" t="str">
        <f t="shared" si="50"/>
        <v/>
      </c>
      <c r="DX9" s="40" t="str">
        <f t="shared" si="51"/>
        <v/>
      </c>
      <c r="DY9" s="40" t="str">
        <f t="shared" si="52"/>
        <v/>
      </c>
      <c r="DZ9" s="40" t="str">
        <f t="shared" si="53"/>
        <v/>
      </c>
      <c r="EA9" s="40" t="str">
        <f t="shared" si="54"/>
        <v/>
      </c>
      <c r="EB9" s="40" t="str">
        <f t="shared" si="55"/>
        <v/>
      </c>
      <c r="EC9" s="40" t="str">
        <f t="shared" si="56"/>
        <v/>
      </c>
      <c r="ED9" s="40" t="str">
        <f t="shared" si="57"/>
        <v/>
      </c>
      <c r="EE9" s="40" t="str">
        <f t="shared" si="58"/>
        <v/>
      </c>
      <c r="EF9" s="40" t="str">
        <f t="shared" si="59"/>
        <v/>
      </c>
      <c r="EG9" s="40" t="str">
        <f t="shared" si="60"/>
        <v/>
      </c>
      <c r="EH9" s="40" t="str">
        <f t="shared" si="61"/>
        <v/>
      </c>
      <c r="EI9" s="40" t="str">
        <f t="shared" si="62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3"/>
        <v/>
      </c>
      <c r="FE9" s="11" t="str">
        <f t="shared" si="64"/>
        <v/>
      </c>
      <c r="FF9" s="11" t="str">
        <f t="shared" si="65"/>
        <v/>
      </c>
      <c r="FG9" s="11" t="str">
        <f t="shared" si="66"/>
        <v/>
      </c>
      <c r="FH9" s="11" t="str">
        <f t="shared" si="67"/>
        <v/>
      </c>
      <c r="FI9" s="11" t="str">
        <f t="shared" si="68"/>
        <v/>
      </c>
      <c r="FJ9" s="11" t="str">
        <f t="shared" si="69"/>
        <v/>
      </c>
      <c r="FK9" s="11" t="str">
        <f t="shared" si="70"/>
        <v/>
      </c>
      <c r="FL9" s="11" t="str">
        <f t="shared" si="71"/>
        <v/>
      </c>
      <c r="FM9" s="11" t="str">
        <f t="shared" si="72"/>
        <v/>
      </c>
      <c r="FN9" s="11" t="str">
        <f t="shared" si="73"/>
        <v/>
      </c>
      <c r="FO9" s="11" t="str">
        <f t="shared" si="74"/>
        <v/>
      </c>
      <c r="FP9" s="11" t="str">
        <f t="shared" si="75"/>
        <v/>
      </c>
      <c r="FQ9" s="11" t="str">
        <f t="shared" si="76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7"/>
        <v/>
      </c>
      <c r="GM9" s="40" t="str">
        <f t="shared" si="78"/>
        <v/>
      </c>
      <c r="GN9" s="40" t="str">
        <f t="shared" si="79"/>
        <v/>
      </c>
      <c r="GO9" s="40" t="str">
        <f t="shared" si="80"/>
        <v/>
      </c>
      <c r="GP9" s="40" t="str">
        <f t="shared" si="81"/>
        <v/>
      </c>
      <c r="GQ9" s="40" t="str">
        <f t="shared" si="82"/>
        <v/>
      </c>
      <c r="GR9" s="40" t="str">
        <f t="shared" si="83"/>
        <v/>
      </c>
      <c r="GS9" s="40" t="str">
        <f t="shared" si="84"/>
        <v/>
      </c>
      <c r="GT9" s="40" t="str">
        <f t="shared" si="85"/>
        <v/>
      </c>
      <c r="GU9" s="40" t="str">
        <f t="shared" si="86"/>
        <v/>
      </c>
      <c r="GV9" s="40" t="str">
        <f t="shared" si="87"/>
        <v/>
      </c>
      <c r="GW9" s="40" t="str">
        <f t="shared" si="88"/>
        <v/>
      </c>
      <c r="GX9" s="40" t="str">
        <f t="shared" si="89"/>
        <v/>
      </c>
      <c r="GY9" s="40" t="str">
        <f t="shared" si="90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1"/>
        <v/>
      </c>
      <c r="HU9" s="11" t="str">
        <f t="shared" si="92"/>
        <v/>
      </c>
      <c r="HV9" s="11" t="str">
        <f t="shared" si="93"/>
        <v/>
      </c>
      <c r="HW9" s="11" t="str">
        <f t="shared" si="94"/>
        <v/>
      </c>
      <c r="HX9" s="11" t="str">
        <f t="shared" si="95"/>
        <v/>
      </c>
      <c r="HY9" s="11" t="str">
        <f t="shared" si="96"/>
        <v/>
      </c>
      <c r="HZ9" s="11" t="str">
        <f t="shared" si="97"/>
        <v/>
      </c>
      <c r="IA9" s="11" t="str">
        <f t="shared" si="98"/>
        <v/>
      </c>
      <c r="IB9" s="11" t="str">
        <f t="shared" si="99"/>
        <v/>
      </c>
      <c r="IC9" s="11" t="str">
        <f t="shared" si="100"/>
        <v/>
      </c>
      <c r="ID9" s="11" t="str">
        <f t="shared" si="101"/>
        <v/>
      </c>
      <c r="IE9" s="11" t="str">
        <f t="shared" si="102"/>
        <v/>
      </c>
      <c r="IF9" s="11" t="str">
        <f t="shared" si="103"/>
        <v/>
      </c>
      <c r="IG9" s="11" t="str">
        <f t="shared" si="104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5"/>
        <v/>
      </c>
      <c r="JC9" s="40" t="str">
        <f t="shared" si="106"/>
        <v/>
      </c>
      <c r="JD9" s="40" t="str">
        <f t="shared" si="107"/>
        <v/>
      </c>
      <c r="JE9" s="40" t="str">
        <f t="shared" si="108"/>
        <v/>
      </c>
      <c r="JF9" s="40" t="str">
        <f t="shared" si="109"/>
        <v/>
      </c>
      <c r="JG9" s="40" t="str">
        <f t="shared" si="110"/>
        <v/>
      </c>
      <c r="JH9" s="40" t="str">
        <f t="shared" si="111"/>
        <v/>
      </c>
      <c r="JI9" s="40" t="str">
        <f t="shared" si="112"/>
        <v/>
      </c>
      <c r="JJ9" s="40" t="str">
        <f t="shared" si="113"/>
        <v/>
      </c>
      <c r="JK9" s="40" t="str">
        <f t="shared" si="114"/>
        <v/>
      </c>
      <c r="JL9" s="40" t="str">
        <f t="shared" si="115"/>
        <v/>
      </c>
      <c r="JM9" s="40" t="str">
        <f t="shared" si="116"/>
        <v/>
      </c>
      <c r="JN9" s="40" t="str">
        <f t="shared" si="117"/>
        <v/>
      </c>
      <c r="JO9" s="40" t="str">
        <f t="shared" si="118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9"/>
        <v/>
      </c>
      <c r="KK9" s="11" t="str">
        <f t="shared" si="120"/>
        <v/>
      </c>
      <c r="KL9" s="11" t="str">
        <f t="shared" si="121"/>
        <v/>
      </c>
      <c r="KM9" s="11" t="str">
        <f t="shared" si="122"/>
        <v/>
      </c>
      <c r="KN9" s="11" t="str">
        <f t="shared" si="123"/>
        <v/>
      </c>
      <c r="KO9" s="11" t="str">
        <f t="shared" si="124"/>
        <v/>
      </c>
      <c r="KP9" s="11" t="str">
        <f t="shared" si="125"/>
        <v/>
      </c>
      <c r="KQ9" s="11" t="str">
        <f t="shared" si="126"/>
        <v/>
      </c>
      <c r="KR9" s="11" t="str">
        <f t="shared" si="127"/>
        <v/>
      </c>
      <c r="KS9" s="11" t="str">
        <f t="shared" si="128"/>
        <v/>
      </c>
      <c r="KT9" s="11" t="str">
        <f t="shared" si="129"/>
        <v/>
      </c>
      <c r="KU9" s="11" t="str">
        <f t="shared" si="130"/>
        <v/>
      </c>
      <c r="KV9" s="11" t="str">
        <f t="shared" si="131"/>
        <v/>
      </c>
      <c r="KW9" s="11" t="str">
        <f t="shared" si="132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3"/>
        <v/>
      </c>
      <c r="LS9" s="40" t="str">
        <f t="shared" si="134"/>
        <v/>
      </c>
      <c r="LT9" s="40" t="str">
        <f t="shared" si="135"/>
        <v/>
      </c>
      <c r="LU9" s="40" t="str">
        <f t="shared" si="136"/>
        <v/>
      </c>
      <c r="LV9" s="40" t="str">
        <f t="shared" si="137"/>
        <v/>
      </c>
      <c r="LW9" s="40" t="str">
        <f t="shared" si="138"/>
        <v/>
      </c>
      <c r="LX9" s="40" t="str">
        <f t="shared" si="139"/>
        <v/>
      </c>
      <c r="LY9" s="40" t="str">
        <f t="shared" si="140"/>
        <v/>
      </c>
      <c r="LZ9" s="40" t="str">
        <f t="shared" si="141"/>
        <v/>
      </c>
      <c r="MA9" s="40" t="str">
        <f t="shared" si="142"/>
        <v/>
      </c>
      <c r="MB9" s="40" t="str">
        <f t="shared" si="143"/>
        <v/>
      </c>
      <c r="MC9" s="40" t="str">
        <f t="shared" si="144"/>
        <v/>
      </c>
      <c r="MD9" s="40" t="str">
        <f t="shared" si="145"/>
        <v/>
      </c>
      <c r="ME9" s="40" t="str">
        <f t="shared" si="146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7"/>
        <v/>
      </c>
      <c r="NA9" s="11" t="str">
        <f t="shared" si="148"/>
        <v/>
      </c>
      <c r="NB9" s="11" t="str">
        <f t="shared" si="149"/>
        <v/>
      </c>
      <c r="NC9" s="11" t="str">
        <f t="shared" si="150"/>
        <v/>
      </c>
      <c r="ND9" s="11" t="str">
        <f t="shared" si="151"/>
        <v/>
      </c>
      <c r="NE9" s="11" t="str">
        <f t="shared" si="152"/>
        <v/>
      </c>
      <c r="NF9" s="11" t="str">
        <f t="shared" si="153"/>
        <v/>
      </c>
      <c r="NG9" s="11" t="str">
        <f t="shared" si="154"/>
        <v/>
      </c>
      <c r="NH9" s="11" t="str">
        <f t="shared" si="155"/>
        <v/>
      </c>
      <c r="NI9" s="11" t="str">
        <f t="shared" si="156"/>
        <v/>
      </c>
      <c r="NJ9" s="11" t="str">
        <f t="shared" si="157"/>
        <v/>
      </c>
      <c r="NK9" s="11" t="str">
        <f t="shared" si="158"/>
        <v/>
      </c>
      <c r="NL9" s="11" t="str">
        <f t="shared" si="159"/>
        <v/>
      </c>
      <c r="NM9" s="11" t="str">
        <f t="shared" si="160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1"/>
        <v/>
      </c>
      <c r="OI9" s="40" t="str">
        <f t="shared" si="162"/>
        <v/>
      </c>
      <c r="OJ9" s="40" t="str">
        <f t="shared" si="163"/>
        <v/>
      </c>
      <c r="OK9" s="40" t="str">
        <f t="shared" si="164"/>
        <v/>
      </c>
      <c r="OL9" s="40" t="str">
        <f t="shared" si="165"/>
        <v/>
      </c>
      <c r="OM9" s="40" t="str">
        <f t="shared" si="166"/>
        <v/>
      </c>
      <c r="ON9" s="40" t="str">
        <f t="shared" si="167"/>
        <v/>
      </c>
      <c r="OO9" s="40" t="str">
        <f t="shared" si="168"/>
        <v/>
      </c>
      <c r="OP9" s="40" t="str">
        <f t="shared" si="169"/>
        <v/>
      </c>
      <c r="OQ9" s="40" t="str">
        <f t="shared" si="170"/>
        <v/>
      </c>
      <c r="OR9" s="40" t="str">
        <f t="shared" si="171"/>
        <v/>
      </c>
      <c r="OS9" s="40" t="str">
        <f t="shared" si="172"/>
        <v/>
      </c>
      <c r="OT9" s="40" t="str">
        <f t="shared" si="173"/>
        <v/>
      </c>
      <c r="OU9" s="40" t="str">
        <f t="shared" si="174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5"/>
        <v/>
      </c>
      <c r="PQ9" s="11" t="str">
        <f t="shared" si="176"/>
        <v/>
      </c>
      <c r="PR9" s="11" t="str">
        <f t="shared" si="177"/>
        <v/>
      </c>
      <c r="PS9" s="11" t="str">
        <f t="shared" si="178"/>
        <v/>
      </c>
      <c r="PT9" s="11" t="str">
        <f t="shared" si="179"/>
        <v/>
      </c>
      <c r="PU9" s="11" t="str">
        <f t="shared" si="180"/>
        <v/>
      </c>
      <c r="PV9" s="11" t="str">
        <f t="shared" si="181"/>
        <v/>
      </c>
      <c r="PW9" s="11" t="str">
        <f t="shared" si="182"/>
        <v/>
      </c>
      <c r="PX9" s="11" t="str">
        <f t="shared" si="183"/>
        <v/>
      </c>
      <c r="PY9" s="11" t="str">
        <f t="shared" si="184"/>
        <v/>
      </c>
      <c r="PZ9" s="11" t="str">
        <f t="shared" si="185"/>
        <v/>
      </c>
      <c r="QA9" s="11" t="str">
        <f t="shared" si="186"/>
        <v/>
      </c>
      <c r="QB9" s="11" t="str">
        <f t="shared" si="187"/>
        <v/>
      </c>
      <c r="QC9" s="11" t="str">
        <f t="shared" si="188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9"/>
        <v/>
      </c>
      <c r="QY9" s="40" t="str">
        <f t="shared" si="190"/>
        <v/>
      </c>
      <c r="QZ9" s="40" t="str">
        <f t="shared" si="191"/>
        <v/>
      </c>
      <c r="RA9" s="40" t="str">
        <f t="shared" si="192"/>
        <v/>
      </c>
      <c r="RB9" s="40" t="str">
        <f t="shared" si="193"/>
        <v/>
      </c>
      <c r="RC9" s="40" t="str">
        <f t="shared" si="194"/>
        <v/>
      </c>
      <c r="RD9" s="40" t="str">
        <f t="shared" si="195"/>
        <v/>
      </c>
      <c r="RE9" s="40" t="str">
        <f t="shared" si="196"/>
        <v/>
      </c>
      <c r="RF9" s="40" t="str">
        <f t="shared" si="197"/>
        <v/>
      </c>
      <c r="RG9" s="40" t="str">
        <f t="shared" si="198"/>
        <v/>
      </c>
      <c r="RH9" s="40" t="str">
        <f t="shared" si="199"/>
        <v/>
      </c>
      <c r="RI9" s="40" t="str">
        <f t="shared" si="200"/>
        <v/>
      </c>
      <c r="RJ9" s="40" t="str">
        <f t="shared" si="201"/>
        <v/>
      </c>
      <c r="RK9" s="40" t="str">
        <f t="shared" si="202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3"/>
        <v/>
      </c>
      <c r="SG9" s="11" t="str">
        <f t="shared" si="204"/>
        <v/>
      </c>
      <c r="SH9" s="11" t="str">
        <f t="shared" si="205"/>
        <v/>
      </c>
      <c r="SI9" s="11" t="str">
        <f t="shared" si="206"/>
        <v/>
      </c>
      <c r="SJ9" s="11" t="str">
        <f t="shared" si="207"/>
        <v/>
      </c>
      <c r="SK9" s="11" t="str">
        <f t="shared" si="208"/>
        <v/>
      </c>
      <c r="SL9" s="11" t="str">
        <f t="shared" si="209"/>
        <v/>
      </c>
      <c r="SM9" s="11" t="str">
        <f t="shared" si="210"/>
        <v/>
      </c>
      <c r="SN9" s="11" t="str">
        <f t="shared" si="211"/>
        <v/>
      </c>
      <c r="SO9" s="11" t="str">
        <f t="shared" si="212"/>
        <v/>
      </c>
      <c r="SP9" s="11" t="str">
        <f t="shared" si="213"/>
        <v/>
      </c>
      <c r="SQ9" s="11" t="str">
        <f t="shared" si="214"/>
        <v/>
      </c>
      <c r="SR9" s="11" t="str">
        <f t="shared" si="215"/>
        <v/>
      </c>
      <c r="SS9" s="11" t="str">
        <f t="shared" si="216"/>
        <v/>
      </c>
      <c r="ST9" s="22">
        <f t="shared" si="217"/>
        <v>1.45</v>
      </c>
      <c r="SU9" s="22">
        <f t="shared" si="218"/>
        <v>0.85</v>
      </c>
      <c r="SV9" s="22">
        <f t="shared" si="219"/>
        <v>1.35</v>
      </c>
      <c r="SW9" s="22">
        <f t="shared" si="220"/>
        <v>1.58</v>
      </c>
      <c r="SX9" s="22">
        <f t="shared" si="221"/>
        <v>0</v>
      </c>
      <c r="SY9" s="22">
        <f t="shared" si="222"/>
        <v>1.3</v>
      </c>
      <c r="SZ9" s="22">
        <f t="shared" si="223"/>
        <v>0.9</v>
      </c>
      <c r="TA9" s="22">
        <f t="shared" si="224"/>
        <v>1.35</v>
      </c>
      <c r="TB9" s="22">
        <f t="shared" si="225"/>
        <v>1.53</v>
      </c>
      <c r="TC9" s="22">
        <f t="shared" si="226"/>
        <v>0</v>
      </c>
      <c r="TD9" s="22">
        <f t="shared" si="227"/>
        <v>0</v>
      </c>
      <c r="TE9" s="22">
        <f t="shared" si="228"/>
        <v>0</v>
      </c>
      <c r="TF9" s="22">
        <f t="shared" si="229"/>
        <v>0</v>
      </c>
      <c r="TG9" s="22">
        <f t="shared" si="230"/>
        <v>0</v>
      </c>
      <c r="TH9" s="22">
        <f t="shared" si="231"/>
        <v>0</v>
      </c>
      <c r="TI9" s="27" t="s">
        <v>46</v>
      </c>
      <c r="TJ9" s="40">
        <f t="shared" si="232"/>
        <v>1.35</v>
      </c>
      <c r="TK9" s="40">
        <f t="shared" si="233"/>
        <v>1.58</v>
      </c>
      <c r="TL9" s="40">
        <f t="shared" si="234"/>
        <v>5.23</v>
      </c>
      <c r="TM9" s="40">
        <f t="shared" si="235"/>
        <v>1.35</v>
      </c>
      <c r="TN9" s="40">
        <f t="shared" si="236"/>
        <v>1.53</v>
      </c>
      <c r="TO9" s="40">
        <f t="shared" si="237"/>
        <v>5.08</v>
      </c>
      <c r="TP9" s="40">
        <f t="shared" si="238"/>
        <v>5.23</v>
      </c>
      <c r="TQ9" s="40" t="str">
        <f t="shared" si="239"/>
        <v/>
      </c>
      <c r="TR9" s="40" t="str">
        <f t="shared" si="240"/>
        <v/>
      </c>
      <c r="TS9" s="40" t="str">
        <f t="shared" si="241"/>
        <v/>
      </c>
      <c r="TT9" s="40">
        <f t="shared" si="242"/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193</v>
      </c>
      <c r="C10" s="4" t="s">
        <v>6</v>
      </c>
      <c r="D10" s="4">
        <v>2004</v>
      </c>
      <c r="E10" s="9">
        <f t="shared" si="0"/>
        <v>147.37001473700462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46.35</v>
      </c>
      <c r="K10" s="8" t="str">
        <f t="shared" si="5"/>
        <v>2023 Elite Canada</v>
      </c>
      <c r="L10" s="8">
        <f>IF(COUNT(AO10,AR10,BP10,BS10,CQ10,CT10)&gt;1,LARGE((AO10,AR10,BP10,BS10,CQ10,CT10),2),0)</f>
        <v>45.34</v>
      </c>
      <c r="M10" s="8" t="str">
        <f t="shared" si="6"/>
        <v>2023 Elite Canada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 t="shared" si="7"/>
        <v>2023 Elite Canada</v>
      </c>
      <c r="P10" s="8">
        <f t="shared" si="8"/>
        <v>8.8000000000000007</v>
      </c>
      <c r="Q10" s="8" t="str">
        <f t="shared" si="9"/>
        <v>2023 Elite Canada</v>
      </c>
      <c r="R10" s="8">
        <f t="shared" si="10"/>
        <v>0</v>
      </c>
      <c r="S10" s="8" t="str">
        <f t="shared" si="11"/>
        <v/>
      </c>
      <c r="T10" s="8" t="str">
        <f t="shared" si="12"/>
        <v/>
      </c>
      <c r="U10" s="11" t="str">
        <f t="shared" si="13"/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7"/>
      <c r="AM10" s="38" t="str">
        <f t="shared" si="14"/>
        <v/>
      </c>
      <c r="AN10" s="38" t="str">
        <f t="shared" si="15"/>
        <v/>
      </c>
      <c r="AO10" s="40" t="str">
        <f t="shared" si="16"/>
        <v/>
      </c>
      <c r="AP10" s="40" t="str">
        <f t="shared" si="17"/>
        <v/>
      </c>
      <c r="AQ10" s="40" t="str">
        <f t="shared" si="18"/>
        <v/>
      </c>
      <c r="AR10" s="40" t="str">
        <f t="shared" si="19"/>
        <v/>
      </c>
      <c r="AS10" s="40" t="str">
        <f t="shared" si="20"/>
        <v/>
      </c>
      <c r="AT10" s="40" t="str">
        <f t="shared" si="21"/>
        <v/>
      </c>
      <c r="AU10" s="40" t="str">
        <f t="shared" si="22"/>
        <v/>
      </c>
      <c r="AV10" s="40" t="str">
        <f t="shared" si="23"/>
        <v/>
      </c>
      <c r="AW10" s="40" t="str">
        <f t="shared" si="24"/>
        <v/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5"/>
        <v/>
      </c>
      <c r="BO10" s="39" t="str">
        <f t="shared" si="26"/>
        <v/>
      </c>
      <c r="BP10" s="11" t="str">
        <f t="shared" si="27"/>
        <v/>
      </c>
      <c r="BQ10" s="11" t="str">
        <f t="shared" si="28"/>
        <v/>
      </c>
      <c r="BR10" s="11" t="str">
        <f t="shared" si="29"/>
        <v/>
      </c>
      <c r="BS10" s="11" t="str">
        <f t="shared" si="30"/>
        <v/>
      </c>
      <c r="BT10" s="11" t="str">
        <f t="shared" si="31"/>
        <v/>
      </c>
      <c r="BU10" s="11" t="str">
        <f t="shared" si="32"/>
        <v/>
      </c>
      <c r="BV10" s="11" t="str">
        <f t="shared" si="33"/>
        <v/>
      </c>
      <c r="BW10" s="11" t="str">
        <f t="shared" si="34"/>
        <v/>
      </c>
      <c r="BX10" s="11" t="str">
        <f t="shared" si="35"/>
        <v/>
      </c>
      <c r="BY10" s="22">
        <v>14.5</v>
      </c>
      <c r="BZ10" s="22">
        <v>9.1999999999999993</v>
      </c>
      <c r="CA10" s="22">
        <v>8.8000000000000007</v>
      </c>
      <c r="CB10" s="22">
        <v>13.85</v>
      </c>
      <c r="CC10" s="22">
        <v>0</v>
      </c>
      <c r="CD10" s="22">
        <v>14.7</v>
      </c>
      <c r="CE10" s="22">
        <v>9</v>
      </c>
      <c r="CF10" s="22">
        <v>8.5</v>
      </c>
      <c r="CG10" s="22">
        <v>13.44</v>
      </c>
      <c r="CH10" s="22">
        <v>0.3</v>
      </c>
      <c r="CI10" s="22">
        <v>15.1</v>
      </c>
      <c r="CJ10" s="22">
        <v>9.3000000000000007</v>
      </c>
      <c r="CK10" s="22">
        <v>8.8000000000000007</v>
      </c>
      <c r="CL10" s="22">
        <v>13.68</v>
      </c>
      <c r="CM10" s="22">
        <v>0</v>
      </c>
      <c r="CN10" s="27"/>
      <c r="CO10" s="38">
        <f t="shared" si="36"/>
        <v>8.8000000000000007</v>
      </c>
      <c r="CP10" s="38">
        <f t="shared" si="37"/>
        <v>13.85</v>
      </c>
      <c r="CQ10" s="40">
        <f t="shared" si="38"/>
        <v>46.35</v>
      </c>
      <c r="CR10" s="40">
        <f t="shared" si="39"/>
        <v>8.5</v>
      </c>
      <c r="CS10" s="40">
        <f t="shared" si="40"/>
        <v>13.44</v>
      </c>
      <c r="CT10" s="40">
        <f t="shared" si="41"/>
        <v>45.34</v>
      </c>
      <c r="CU10" s="40">
        <f t="shared" si="42"/>
        <v>46.35</v>
      </c>
      <c r="CV10" s="40">
        <f t="shared" si="43"/>
        <v>8.8000000000000007</v>
      </c>
      <c r="CW10" s="40">
        <f t="shared" si="44"/>
        <v>13.68</v>
      </c>
      <c r="CX10" s="40">
        <f t="shared" si="45"/>
        <v>46.88</v>
      </c>
      <c r="CY10" s="40">
        <f t="shared" si="46"/>
        <v>93.23</v>
      </c>
      <c r="CZ10" s="50" t="str">
        <f t="shared" si="47"/>
        <v/>
      </c>
      <c r="DA10" s="50" t="str">
        <f t="shared" si="48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49"/>
        <v/>
      </c>
      <c r="DW10" s="40" t="str">
        <f t="shared" si="50"/>
        <v/>
      </c>
      <c r="DX10" s="40" t="str">
        <f t="shared" si="51"/>
        <v/>
      </c>
      <c r="DY10" s="40" t="str">
        <f t="shared" si="52"/>
        <v/>
      </c>
      <c r="DZ10" s="40" t="str">
        <f t="shared" si="53"/>
        <v/>
      </c>
      <c r="EA10" s="40" t="str">
        <f t="shared" si="54"/>
        <v/>
      </c>
      <c r="EB10" s="40" t="str">
        <f t="shared" si="55"/>
        <v/>
      </c>
      <c r="EC10" s="40" t="str">
        <f t="shared" si="56"/>
        <v/>
      </c>
      <c r="ED10" s="40" t="str">
        <f t="shared" si="57"/>
        <v/>
      </c>
      <c r="EE10" s="40" t="str">
        <f t="shared" si="58"/>
        <v/>
      </c>
      <c r="EF10" s="40" t="str">
        <f t="shared" si="59"/>
        <v/>
      </c>
      <c r="EG10" s="40" t="str">
        <f t="shared" si="60"/>
        <v/>
      </c>
      <c r="EH10" s="40" t="str">
        <f t="shared" si="61"/>
        <v/>
      </c>
      <c r="EI10" s="40" t="str">
        <f t="shared" si="62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3"/>
        <v/>
      </c>
      <c r="FE10" s="11" t="str">
        <f t="shared" si="64"/>
        <v/>
      </c>
      <c r="FF10" s="11" t="str">
        <f t="shared" si="65"/>
        <v/>
      </c>
      <c r="FG10" s="11" t="str">
        <f t="shared" si="66"/>
        <v/>
      </c>
      <c r="FH10" s="11" t="str">
        <f t="shared" si="67"/>
        <v/>
      </c>
      <c r="FI10" s="11" t="str">
        <f t="shared" si="68"/>
        <v/>
      </c>
      <c r="FJ10" s="11" t="str">
        <f t="shared" si="69"/>
        <v/>
      </c>
      <c r="FK10" s="11" t="str">
        <f t="shared" si="70"/>
        <v/>
      </c>
      <c r="FL10" s="11" t="str">
        <f t="shared" si="71"/>
        <v/>
      </c>
      <c r="FM10" s="11" t="str">
        <f t="shared" si="72"/>
        <v/>
      </c>
      <c r="FN10" s="11" t="str">
        <f t="shared" si="73"/>
        <v/>
      </c>
      <c r="FO10" s="11" t="str">
        <f t="shared" si="74"/>
        <v/>
      </c>
      <c r="FP10" s="11" t="str">
        <f t="shared" si="75"/>
        <v/>
      </c>
      <c r="FQ10" s="11" t="str">
        <f t="shared" si="76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7"/>
        <v/>
      </c>
      <c r="GM10" s="40" t="str">
        <f t="shared" si="78"/>
        <v/>
      </c>
      <c r="GN10" s="40" t="str">
        <f t="shared" si="79"/>
        <v/>
      </c>
      <c r="GO10" s="40" t="str">
        <f t="shared" si="80"/>
        <v/>
      </c>
      <c r="GP10" s="40" t="str">
        <f t="shared" si="81"/>
        <v/>
      </c>
      <c r="GQ10" s="40" t="str">
        <f t="shared" si="82"/>
        <v/>
      </c>
      <c r="GR10" s="40" t="str">
        <f t="shared" si="83"/>
        <v/>
      </c>
      <c r="GS10" s="40" t="str">
        <f t="shared" si="84"/>
        <v/>
      </c>
      <c r="GT10" s="40" t="str">
        <f t="shared" si="85"/>
        <v/>
      </c>
      <c r="GU10" s="40" t="str">
        <f t="shared" si="86"/>
        <v/>
      </c>
      <c r="GV10" s="40" t="str">
        <f t="shared" si="87"/>
        <v/>
      </c>
      <c r="GW10" s="40" t="str">
        <f t="shared" si="88"/>
        <v/>
      </c>
      <c r="GX10" s="40" t="str">
        <f t="shared" si="89"/>
        <v/>
      </c>
      <c r="GY10" s="40" t="str">
        <f t="shared" si="90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1"/>
        <v/>
      </c>
      <c r="HU10" s="11" t="str">
        <f t="shared" si="92"/>
        <v/>
      </c>
      <c r="HV10" s="11" t="str">
        <f t="shared" si="93"/>
        <v/>
      </c>
      <c r="HW10" s="11" t="str">
        <f t="shared" si="94"/>
        <v/>
      </c>
      <c r="HX10" s="11" t="str">
        <f t="shared" si="95"/>
        <v/>
      </c>
      <c r="HY10" s="11" t="str">
        <f t="shared" si="96"/>
        <v/>
      </c>
      <c r="HZ10" s="11" t="str">
        <f t="shared" si="97"/>
        <v/>
      </c>
      <c r="IA10" s="11" t="str">
        <f t="shared" si="98"/>
        <v/>
      </c>
      <c r="IB10" s="11" t="str">
        <f t="shared" si="99"/>
        <v/>
      </c>
      <c r="IC10" s="11" t="str">
        <f t="shared" si="100"/>
        <v/>
      </c>
      <c r="ID10" s="11" t="str">
        <f t="shared" si="101"/>
        <v/>
      </c>
      <c r="IE10" s="11" t="str">
        <f t="shared" si="102"/>
        <v/>
      </c>
      <c r="IF10" s="11" t="str">
        <f t="shared" si="103"/>
        <v/>
      </c>
      <c r="IG10" s="11" t="str">
        <f t="shared" si="104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5"/>
        <v/>
      </c>
      <c r="JC10" s="40" t="str">
        <f t="shared" si="106"/>
        <v/>
      </c>
      <c r="JD10" s="40" t="str">
        <f t="shared" si="107"/>
        <v/>
      </c>
      <c r="JE10" s="40" t="str">
        <f t="shared" si="108"/>
        <v/>
      </c>
      <c r="JF10" s="40" t="str">
        <f t="shared" si="109"/>
        <v/>
      </c>
      <c r="JG10" s="40" t="str">
        <f t="shared" si="110"/>
        <v/>
      </c>
      <c r="JH10" s="40" t="str">
        <f t="shared" si="111"/>
        <v/>
      </c>
      <c r="JI10" s="40" t="str">
        <f t="shared" si="112"/>
        <v/>
      </c>
      <c r="JJ10" s="40" t="str">
        <f t="shared" si="113"/>
        <v/>
      </c>
      <c r="JK10" s="40" t="str">
        <f t="shared" si="114"/>
        <v/>
      </c>
      <c r="JL10" s="40" t="str">
        <f t="shared" si="115"/>
        <v/>
      </c>
      <c r="JM10" s="40" t="str">
        <f t="shared" si="116"/>
        <v/>
      </c>
      <c r="JN10" s="40" t="str">
        <f t="shared" si="117"/>
        <v/>
      </c>
      <c r="JO10" s="40" t="str">
        <f t="shared" si="118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9"/>
        <v/>
      </c>
      <c r="KK10" s="11" t="str">
        <f t="shared" si="120"/>
        <v/>
      </c>
      <c r="KL10" s="11" t="str">
        <f t="shared" si="121"/>
        <v/>
      </c>
      <c r="KM10" s="11" t="str">
        <f t="shared" si="122"/>
        <v/>
      </c>
      <c r="KN10" s="11" t="str">
        <f t="shared" si="123"/>
        <v/>
      </c>
      <c r="KO10" s="11" t="str">
        <f t="shared" si="124"/>
        <v/>
      </c>
      <c r="KP10" s="11" t="str">
        <f t="shared" si="125"/>
        <v/>
      </c>
      <c r="KQ10" s="11" t="str">
        <f t="shared" si="126"/>
        <v/>
      </c>
      <c r="KR10" s="11" t="str">
        <f t="shared" si="127"/>
        <v/>
      </c>
      <c r="KS10" s="11" t="str">
        <f t="shared" si="128"/>
        <v/>
      </c>
      <c r="KT10" s="11" t="str">
        <f t="shared" si="129"/>
        <v/>
      </c>
      <c r="KU10" s="11" t="str">
        <f t="shared" si="130"/>
        <v/>
      </c>
      <c r="KV10" s="11" t="str">
        <f t="shared" si="131"/>
        <v/>
      </c>
      <c r="KW10" s="11" t="str">
        <f t="shared" si="132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3"/>
        <v/>
      </c>
      <c r="LS10" s="40" t="str">
        <f t="shared" si="134"/>
        <v/>
      </c>
      <c r="LT10" s="40" t="str">
        <f t="shared" si="135"/>
        <v/>
      </c>
      <c r="LU10" s="40" t="str">
        <f t="shared" si="136"/>
        <v/>
      </c>
      <c r="LV10" s="40" t="str">
        <f t="shared" si="137"/>
        <v/>
      </c>
      <c r="LW10" s="40" t="str">
        <f t="shared" si="138"/>
        <v/>
      </c>
      <c r="LX10" s="40" t="str">
        <f t="shared" si="139"/>
        <v/>
      </c>
      <c r="LY10" s="40" t="str">
        <f t="shared" si="140"/>
        <v/>
      </c>
      <c r="LZ10" s="40" t="str">
        <f t="shared" si="141"/>
        <v/>
      </c>
      <c r="MA10" s="40" t="str">
        <f t="shared" si="142"/>
        <v/>
      </c>
      <c r="MB10" s="40" t="str">
        <f t="shared" si="143"/>
        <v/>
      </c>
      <c r="MC10" s="40" t="str">
        <f t="shared" si="144"/>
        <v/>
      </c>
      <c r="MD10" s="40" t="str">
        <f t="shared" si="145"/>
        <v/>
      </c>
      <c r="ME10" s="40" t="str">
        <f t="shared" si="146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7"/>
        <v/>
      </c>
      <c r="NA10" s="11" t="str">
        <f t="shared" si="148"/>
        <v/>
      </c>
      <c r="NB10" s="11" t="str">
        <f t="shared" si="149"/>
        <v/>
      </c>
      <c r="NC10" s="11" t="str">
        <f t="shared" si="150"/>
        <v/>
      </c>
      <c r="ND10" s="11" t="str">
        <f t="shared" si="151"/>
        <v/>
      </c>
      <c r="NE10" s="11" t="str">
        <f t="shared" si="152"/>
        <v/>
      </c>
      <c r="NF10" s="11" t="str">
        <f t="shared" si="153"/>
        <v/>
      </c>
      <c r="NG10" s="11" t="str">
        <f t="shared" si="154"/>
        <v/>
      </c>
      <c r="NH10" s="11" t="str">
        <f t="shared" si="155"/>
        <v/>
      </c>
      <c r="NI10" s="11" t="str">
        <f t="shared" si="156"/>
        <v/>
      </c>
      <c r="NJ10" s="11" t="str">
        <f t="shared" si="157"/>
        <v/>
      </c>
      <c r="NK10" s="11" t="str">
        <f t="shared" si="158"/>
        <v/>
      </c>
      <c r="NL10" s="11" t="str">
        <f t="shared" si="159"/>
        <v/>
      </c>
      <c r="NM10" s="11" t="str">
        <f t="shared" si="160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1"/>
        <v/>
      </c>
      <c r="OI10" s="40" t="str">
        <f t="shared" si="162"/>
        <v/>
      </c>
      <c r="OJ10" s="40" t="str">
        <f t="shared" si="163"/>
        <v/>
      </c>
      <c r="OK10" s="40" t="str">
        <f t="shared" si="164"/>
        <v/>
      </c>
      <c r="OL10" s="40" t="str">
        <f t="shared" si="165"/>
        <v/>
      </c>
      <c r="OM10" s="40" t="str">
        <f t="shared" si="166"/>
        <v/>
      </c>
      <c r="ON10" s="40" t="str">
        <f t="shared" si="167"/>
        <v/>
      </c>
      <c r="OO10" s="40" t="str">
        <f t="shared" si="168"/>
        <v/>
      </c>
      <c r="OP10" s="40" t="str">
        <f t="shared" si="169"/>
        <v/>
      </c>
      <c r="OQ10" s="40" t="str">
        <f t="shared" si="170"/>
        <v/>
      </c>
      <c r="OR10" s="40" t="str">
        <f t="shared" si="171"/>
        <v/>
      </c>
      <c r="OS10" s="40" t="str">
        <f t="shared" si="172"/>
        <v/>
      </c>
      <c r="OT10" s="40" t="str">
        <f t="shared" si="173"/>
        <v/>
      </c>
      <c r="OU10" s="40" t="str">
        <f t="shared" si="174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5"/>
        <v/>
      </c>
      <c r="PQ10" s="11" t="str">
        <f t="shared" si="176"/>
        <v/>
      </c>
      <c r="PR10" s="11" t="str">
        <f t="shared" si="177"/>
        <v/>
      </c>
      <c r="PS10" s="11" t="str">
        <f t="shared" si="178"/>
        <v/>
      </c>
      <c r="PT10" s="11" t="str">
        <f t="shared" si="179"/>
        <v/>
      </c>
      <c r="PU10" s="11" t="str">
        <f t="shared" si="180"/>
        <v/>
      </c>
      <c r="PV10" s="11" t="str">
        <f t="shared" si="181"/>
        <v/>
      </c>
      <c r="PW10" s="11" t="str">
        <f t="shared" si="182"/>
        <v/>
      </c>
      <c r="PX10" s="11" t="str">
        <f t="shared" si="183"/>
        <v/>
      </c>
      <c r="PY10" s="11" t="str">
        <f t="shared" si="184"/>
        <v/>
      </c>
      <c r="PZ10" s="11" t="str">
        <f t="shared" si="185"/>
        <v/>
      </c>
      <c r="QA10" s="11" t="str">
        <f t="shared" si="186"/>
        <v/>
      </c>
      <c r="QB10" s="11" t="str">
        <f t="shared" si="187"/>
        <v/>
      </c>
      <c r="QC10" s="11" t="str">
        <f t="shared" si="188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9"/>
        <v/>
      </c>
      <c r="QY10" s="40" t="str">
        <f t="shared" si="190"/>
        <v/>
      </c>
      <c r="QZ10" s="40" t="str">
        <f t="shared" si="191"/>
        <v/>
      </c>
      <c r="RA10" s="40" t="str">
        <f t="shared" si="192"/>
        <v/>
      </c>
      <c r="RB10" s="40" t="str">
        <f t="shared" si="193"/>
        <v/>
      </c>
      <c r="RC10" s="40" t="str">
        <f t="shared" si="194"/>
        <v/>
      </c>
      <c r="RD10" s="40" t="str">
        <f t="shared" si="195"/>
        <v/>
      </c>
      <c r="RE10" s="40" t="str">
        <f t="shared" si="196"/>
        <v/>
      </c>
      <c r="RF10" s="40" t="str">
        <f t="shared" si="197"/>
        <v/>
      </c>
      <c r="RG10" s="40" t="str">
        <f t="shared" si="198"/>
        <v/>
      </c>
      <c r="RH10" s="40" t="str">
        <f t="shared" si="199"/>
        <v/>
      </c>
      <c r="RI10" s="40" t="str">
        <f t="shared" si="200"/>
        <v/>
      </c>
      <c r="RJ10" s="40" t="str">
        <f t="shared" si="201"/>
        <v/>
      </c>
      <c r="RK10" s="40" t="str">
        <f t="shared" si="202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3"/>
        <v/>
      </c>
      <c r="SG10" s="11" t="str">
        <f t="shared" si="204"/>
        <v/>
      </c>
      <c r="SH10" s="11" t="str">
        <f t="shared" si="205"/>
        <v/>
      </c>
      <c r="SI10" s="11" t="str">
        <f t="shared" si="206"/>
        <v/>
      </c>
      <c r="SJ10" s="11" t="str">
        <f t="shared" si="207"/>
        <v/>
      </c>
      <c r="SK10" s="11" t="str">
        <f t="shared" si="208"/>
        <v/>
      </c>
      <c r="SL10" s="11" t="str">
        <f t="shared" si="209"/>
        <v/>
      </c>
      <c r="SM10" s="11" t="str">
        <f t="shared" si="210"/>
        <v/>
      </c>
      <c r="SN10" s="11" t="str">
        <f t="shared" si="211"/>
        <v/>
      </c>
      <c r="SO10" s="11" t="str">
        <f t="shared" si="212"/>
        <v/>
      </c>
      <c r="SP10" s="11" t="str">
        <f t="shared" si="213"/>
        <v/>
      </c>
      <c r="SQ10" s="11" t="str">
        <f t="shared" si="214"/>
        <v/>
      </c>
      <c r="SR10" s="11" t="str">
        <f t="shared" si="215"/>
        <v/>
      </c>
      <c r="SS10" s="11" t="str">
        <f t="shared" si="216"/>
        <v/>
      </c>
      <c r="ST10" s="22">
        <f t="shared" si="217"/>
        <v>7.25</v>
      </c>
      <c r="SU10" s="22">
        <f t="shared" si="218"/>
        <v>4.5999999999999996</v>
      </c>
      <c r="SV10" s="22">
        <f t="shared" si="219"/>
        <v>4.4000000000000004</v>
      </c>
      <c r="SW10" s="22">
        <f t="shared" si="220"/>
        <v>6.9249999999999998</v>
      </c>
      <c r="SX10" s="22">
        <f t="shared" si="221"/>
        <v>0</v>
      </c>
      <c r="SY10" s="22">
        <f t="shared" si="222"/>
        <v>7.35</v>
      </c>
      <c r="SZ10" s="22">
        <f t="shared" si="223"/>
        <v>4.5</v>
      </c>
      <c r="TA10" s="22">
        <f t="shared" si="224"/>
        <v>4.25</v>
      </c>
      <c r="TB10" s="22">
        <f t="shared" si="225"/>
        <v>6.72</v>
      </c>
      <c r="TC10" s="22">
        <f t="shared" si="226"/>
        <v>0.15</v>
      </c>
      <c r="TD10" s="22">
        <f t="shared" si="227"/>
        <v>7.55</v>
      </c>
      <c r="TE10" s="22">
        <f t="shared" si="228"/>
        <v>4.6500000000000004</v>
      </c>
      <c r="TF10" s="22">
        <f t="shared" si="229"/>
        <v>4.4000000000000004</v>
      </c>
      <c r="TG10" s="22">
        <f t="shared" si="230"/>
        <v>6.84</v>
      </c>
      <c r="TH10" s="22">
        <f t="shared" si="231"/>
        <v>0</v>
      </c>
      <c r="TI10" s="27" t="s">
        <v>46</v>
      </c>
      <c r="TJ10" s="40">
        <f t="shared" si="232"/>
        <v>4.4000000000000004</v>
      </c>
      <c r="TK10" s="40">
        <f t="shared" si="233"/>
        <v>6.9249999999999998</v>
      </c>
      <c r="TL10" s="40">
        <f t="shared" si="234"/>
        <v>23.175000000000001</v>
      </c>
      <c r="TM10" s="40">
        <f t="shared" si="235"/>
        <v>4.25</v>
      </c>
      <c r="TN10" s="40">
        <f t="shared" si="236"/>
        <v>6.72</v>
      </c>
      <c r="TO10" s="40">
        <f t="shared" si="237"/>
        <v>22.67</v>
      </c>
      <c r="TP10" s="40">
        <f t="shared" si="238"/>
        <v>23.175000000000001</v>
      </c>
      <c r="TQ10" s="40">
        <f t="shared" si="239"/>
        <v>4.4000000000000004</v>
      </c>
      <c r="TR10" s="40">
        <f t="shared" si="240"/>
        <v>6.84</v>
      </c>
      <c r="TS10" s="40">
        <f t="shared" si="241"/>
        <v>23.44</v>
      </c>
      <c r="TT10" s="40">
        <f t="shared" si="242"/>
        <v>46.615000000000002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154</v>
      </c>
      <c r="C11" s="4" t="s">
        <v>4</v>
      </c>
      <c r="D11" s="4">
        <v>2004</v>
      </c>
      <c r="E11" s="9">
        <f t="shared" si="0"/>
        <v>147.07001470700467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46.68</v>
      </c>
      <c r="K11" s="8" t="str">
        <f t="shared" si="5"/>
        <v>2023 Elite Canada</v>
      </c>
      <c r="L11" s="8">
        <f>IF(COUNT(AO11,AR11,BP11,BS11,CQ11,CT11)&gt;1,LARGE((AO11,AR11,BP11,BS11,CQ11,CT11),2),0)</f>
        <v>44.650000000000006</v>
      </c>
      <c r="M11" s="8" t="str">
        <f t="shared" si="6"/>
        <v>2022 Nationals</v>
      </c>
      <c r="N11" s="8">
        <f>IF(COUNT(AO11,AR11,BP11,BS11,CQ11,CT11)&gt;2,MAX(AV11,BW11,CX11,LARGE((AO11,AR11,BP11,BS11,CQ11,CT11),3)),IF(MAX(AV11,BW11,CX11)&gt;0,MAX(AV11,BW11,CX11),0))</f>
        <v>47.24</v>
      </c>
      <c r="O11" s="8" t="str">
        <f t="shared" si="7"/>
        <v>2023 Elite Canada</v>
      </c>
      <c r="P11" s="8">
        <f t="shared" si="8"/>
        <v>8.5</v>
      </c>
      <c r="Q11" s="8" t="str">
        <f t="shared" si="9"/>
        <v>2023 Elite Canada</v>
      </c>
      <c r="R11" s="8">
        <f t="shared" si="10"/>
        <v>0</v>
      </c>
      <c r="S11" s="8" t="str">
        <f t="shared" si="11"/>
        <v/>
      </c>
      <c r="T11" s="8" t="str">
        <f t="shared" si="12"/>
        <v/>
      </c>
      <c r="U11" s="11" t="str">
        <f t="shared" si="13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13.1</v>
      </c>
      <c r="X11" s="22">
        <v>9.3000000000000007</v>
      </c>
      <c r="Y11" s="22">
        <v>8.5</v>
      </c>
      <c r="Z11" s="22">
        <v>14.05</v>
      </c>
      <c r="AA11" s="22">
        <v>0.3</v>
      </c>
      <c r="AB11" s="22"/>
      <c r="AC11" s="22"/>
      <c r="AD11" s="22"/>
      <c r="AE11" s="22"/>
      <c r="AF11" s="22"/>
      <c r="AG11" s="22">
        <v>15.4</v>
      </c>
      <c r="AH11" s="22">
        <v>9.3000000000000007</v>
      </c>
      <c r="AI11" s="22">
        <v>8.5</v>
      </c>
      <c r="AJ11" s="22">
        <v>13.71</v>
      </c>
      <c r="AK11" s="22">
        <v>0</v>
      </c>
      <c r="AL11" s="27"/>
      <c r="AM11" s="38">
        <f t="shared" si="14"/>
        <v>8.5</v>
      </c>
      <c r="AN11" s="38">
        <f t="shared" si="15"/>
        <v>14.05</v>
      </c>
      <c r="AO11" s="40">
        <f t="shared" si="16"/>
        <v>44.650000000000006</v>
      </c>
      <c r="AP11" s="40" t="str">
        <f t="shared" si="17"/>
        <v/>
      </c>
      <c r="AQ11" s="40" t="str">
        <f t="shared" si="18"/>
        <v/>
      </c>
      <c r="AR11" s="40" t="str">
        <f t="shared" si="19"/>
        <v/>
      </c>
      <c r="AS11" s="40">
        <f t="shared" si="20"/>
        <v>44.650000000000006</v>
      </c>
      <c r="AT11" s="40">
        <f t="shared" si="21"/>
        <v>8.5</v>
      </c>
      <c r="AU11" s="40">
        <f t="shared" si="22"/>
        <v>13.71</v>
      </c>
      <c r="AV11" s="40">
        <f t="shared" si="23"/>
        <v>46.910000000000004</v>
      </c>
      <c r="AW11" s="40">
        <f t="shared" si="24"/>
        <v>91.56</v>
      </c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8"/>
      <c r="BN11" s="39" t="str">
        <f t="shared" si="25"/>
        <v/>
      </c>
      <c r="BO11" s="39" t="str">
        <f t="shared" si="26"/>
        <v/>
      </c>
      <c r="BP11" s="11" t="str">
        <f t="shared" si="27"/>
        <v/>
      </c>
      <c r="BQ11" s="11" t="str">
        <f t="shared" si="28"/>
        <v/>
      </c>
      <c r="BR11" s="11" t="str">
        <f t="shared" si="29"/>
        <v/>
      </c>
      <c r="BS11" s="11" t="str">
        <f t="shared" si="30"/>
        <v/>
      </c>
      <c r="BT11" s="11" t="str">
        <f t="shared" si="31"/>
        <v/>
      </c>
      <c r="BU11" s="11" t="str">
        <f t="shared" si="32"/>
        <v/>
      </c>
      <c r="BV11" s="11" t="str">
        <f t="shared" si="33"/>
        <v/>
      </c>
      <c r="BW11" s="11" t="str">
        <f t="shared" si="34"/>
        <v/>
      </c>
      <c r="BX11" s="11" t="str">
        <f t="shared" si="35"/>
        <v/>
      </c>
      <c r="BY11" s="22">
        <v>15.4</v>
      </c>
      <c r="BZ11" s="22">
        <v>9.4</v>
      </c>
      <c r="CA11" s="22">
        <v>8.5</v>
      </c>
      <c r="CB11" s="22">
        <v>13.68</v>
      </c>
      <c r="CC11" s="22">
        <v>0.3</v>
      </c>
      <c r="CD11" s="22">
        <v>5.9</v>
      </c>
      <c r="CE11" s="22">
        <v>3.5</v>
      </c>
      <c r="CF11" s="22">
        <v>3.9</v>
      </c>
      <c r="CG11" s="22">
        <v>5.44</v>
      </c>
      <c r="CH11" s="22">
        <v>0</v>
      </c>
      <c r="CI11" s="22">
        <v>16</v>
      </c>
      <c r="CJ11" s="22">
        <v>9.3000000000000007</v>
      </c>
      <c r="CK11" s="22">
        <v>8.5</v>
      </c>
      <c r="CL11" s="22">
        <v>13.74</v>
      </c>
      <c r="CM11" s="22">
        <v>0.3</v>
      </c>
      <c r="CN11" s="27"/>
      <c r="CO11" s="38">
        <f t="shared" si="36"/>
        <v>8.5</v>
      </c>
      <c r="CP11" s="38">
        <f t="shared" si="37"/>
        <v>13.68</v>
      </c>
      <c r="CQ11" s="40">
        <f t="shared" si="38"/>
        <v>46.68</v>
      </c>
      <c r="CR11" s="40">
        <f t="shared" si="39"/>
        <v>3.9</v>
      </c>
      <c r="CS11" s="40">
        <f t="shared" si="40"/>
        <v>5.44</v>
      </c>
      <c r="CT11" s="40">
        <f t="shared" si="41"/>
        <v>18.740000000000002</v>
      </c>
      <c r="CU11" s="40">
        <f t="shared" si="42"/>
        <v>46.68</v>
      </c>
      <c r="CV11" s="40">
        <f t="shared" si="43"/>
        <v>8.5</v>
      </c>
      <c r="CW11" s="40">
        <f t="shared" si="44"/>
        <v>13.74</v>
      </c>
      <c r="CX11" s="40">
        <f t="shared" si="45"/>
        <v>47.24</v>
      </c>
      <c r="CY11" s="40">
        <f t="shared" si="46"/>
        <v>93.92</v>
      </c>
      <c r="CZ11" s="50" t="str">
        <f t="shared" si="47"/>
        <v/>
      </c>
      <c r="DA11" s="50" t="str">
        <f t="shared" si="48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9"/>
        <v/>
      </c>
      <c r="DW11" s="40" t="str">
        <f t="shared" si="50"/>
        <v/>
      </c>
      <c r="DX11" s="40" t="str">
        <f t="shared" si="51"/>
        <v/>
      </c>
      <c r="DY11" s="40" t="str">
        <f t="shared" si="52"/>
        <v/>
      </c>
      <c r="DZ11" s="40" t="str">
        <f t="shared" si="53"/>
        <v/>
      </c>
      <c r="EA11" s="40" t="str">
        <f t="shared" si="54"/>
        <v/>
      </c>
      <c r="EB11" s="40" t="str">
        <f t="shared" si="55"/>
        <v/>
      </c>
      <c r="EC11" s="40" t="str">
        <f t="shared" si="56"/>
        <v/>
      </c>
      <c r="ED11" s="40" t="str">
        <f t="shared" si="57"/>
        <v/>
      </c>
      <c r="EE11" s="40" t="str">
        <f t="shared" si="58"/>
        <v/>
      </c>
      <c r="EF11" s="40" t="str">
        <f t="shared" si="59"/>
        <v/>
      </c>
      <c r="EG11" s="40" t="str">
        <f t="shared" si="60"/>
        <v/>
      </c>
      <c r="EH11" s="40" t="str">
        <f t="shared" si="61"/>
        <v/>
      </c>
      <c r="EI11" s="40" t="str">
        <f t="shared" si="62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3"/>
        <v/>
      </c>
      <c r="FE11" s="11" t="str">
        <f t="shared" si="64"/>
        <v/>
      </c>
      <c r="FF11" s="11" t="str">
        <f t="shared" si="65"/>
        <v/>
      </c>
      <c r="FG11" s="11" t="str">
        <f t="shared" si="66"/>
        <v/>
      </c>
      <c r="FH11" s="11" t="str">
        <f t="shared" si="67"/>
        <v/>
      </c>
      <c r="FI11" s="11" t="str">
        <f t="shared" si="68"/>
        <v/>
      </c>
      <c r="FJ11" s="11" t="str">
        <f t="shared" si="69"/>
        <v/>
      </c>
      <c r="FK11" s="11" t="str">
        <f t="shared" si="70"/>
        <v/>
      </c>
      <c r="FL11" s="11" t="str">
        <f t="shared" si="71"/>
        <v/>
      </c>
      <c r="FM11" s="11" t="str">
        <f t="shared" si="72"/>
        <v/>
      </c>
      <c r="FN11" s="11" t="str">
        <f t="shared" si="73"/>
        <v/>
      </c>
      <c r="FO11" s="11" t="str">
        <f t="shared" si="74"/>
        <v/>
      </c>
      <c r="FP11" s="11" t="str">
        <f t="shared" si="75"/>
        <v/>
      </c>
      <c r="FQ11" s="11" t="str">
        <f t="shared" si="76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7"/>
        <v/>
      </c>
      <c r="GM11" s="40" t="str">
        <f t="shared" si="78"/>
        <v/>
      </c>
      <c r="GN11" s="40" t="str">
        <f t="shared" si="79"/>
        <v/>
      </c>
      <c r="GO11" s="40" t="str">
        <f t="shared" si="80"/>
        <v/>
      </c>
      <c r="GP11" s="40" t="str">
        <f t="shared" si="81"/>
        <v/>
      </c>
      <c r="GQ11" s="40" t="str">
        <f t="shared" si="82"/>
        <v/>
      </c>
      <c r="GR11" s="40" t="str">
        <f t="shared" si="83"/>
        <v/>
      </c>
      <c r="GS11" s="40" t="str">
        <f t="shared" si="84"/>
        <v/>
      </c>
      <c r="GT11" s="40" t="str">
        <f t="shared" si="85"/>
        <v/>
      </c>
      <c r="GU11" s="40" t="str">
        <f t="shared" si="86"/>
        <v/>
      </c>
      <c r="GV11" s="40" t="str">
        <f t="shared" si="87"/>
        <v/>
      </c>
      <c r="GW11" s="40" t="str">
        <f t="shared" si="88"/>
        <v/>
      </c>
      <c r="GX11" s="40" t="str">
        <f t="shared" si="89"/>
        <v/>
      </c>
      <c r="GY11" s="40" t="str">
        <f t="shared" si="90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1"/>
        <v/>
      </c>
      <c r="HU11" s="11" t="str">
        <f t="shared" si="92"/>
        <v/>
      </c>
      <c r="HV11" s="11" t="str">
        <f t="shared" si="93"/>
        <v/>
      </c>
      <c r="HW11" s="11" t="str">
        <f t="shared" si="94"/>
        <v/>
      </c>
      <c r="HX11" s="11" t="str">
        <f t="shared" si="95"/>
        <v/>
      </c>
      <c r="HY11" s="11" t="str">
        <f t="shared" si="96"/>
        <v/>
      </c>
      <c r="HZ11" s="11" t="str">
        <f t="shared" si="97"/>
        <v/>
      </c>
      <c r="IA11" s="11" t="str">
        <f t="shared" si="98"/>
        <v/>
      </c>
      <c r="IB11" s="11" t="str">
        <f t="shared" si="99"/>
        <v/>
      </c>
      <c r="IC11" s="11" t="str">
        <f t="shared" si="100"/>
        <v/>
      </c>
      <c r="ID11" s="11" t="str">
        <f t="shared" si="101"/>
        <v/>
      </c>
      <c r="IE11" s="11" t="str">
        <f t="shared" si="102"/>
        <v/>
      </c>
      <c r="IF11" s="11" t="str">
        <f t="shared" si="103"/>
        <v/>
      </c>
      <c r="IG11" s="11" t="str">
        <f t="shared" si="104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5"/>
        <v/>
      </c>
      <c r="JC11" s="40" t="str">
        <f t="shared" si="106"/>
        <v/>
      </c>
      <c r="JD11" s="40" t="str">
        <f t="shared" si="107"/>
        <v/>
      </c>
      <c r="JE11" s="40" t="str">
        <f t="shared" si="108"/>
        <v/>
      </c>
      <c r="JF11" s="40" t="str">
        <f t="shared" si="109"/>
        <v/>
      </c>
      <c r="JG11" s="40" t="str">
        <f t="shared" si="110"/>
        <v/>
      </c>
      <c r="JH11" s="40" t="str">
        <f t="shared" si="111"/>
        <v/>
      </c>
      <c r="JI11" s="40" t="str">
        <f t="shared" si="112"/>
        <v/>
      </c>
      <c r="JJ11" s="40" t="str">
        <f t="shared" si="113"/>
        <v/>
      </c>
      <c r="JK11" s="40" t="str">
        <f t="shared" si="114"/>
        <v/>
      </c>
      <c r="JL11" s="40" t="str">
        <f t="shared" si="115"/>
        <v/>
      </c>
      <c r="JM11" s="40" t="str">
        <f t="shared" si="116"/>
        <v/>
      </c>
      <c r="JN11" s="40" t="str">
        <f t="shared" si="117"/>
        <v/>
      </c>
      <c r="JO11" s="40" t="str">
        <f t="shared" si="118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9"/>
        <v/>
      </c>
      <c r="KK11" s="11" t="str">
        <f t="shared" si="120"/>
        <v/>
      </c>
      <c r="KL11" s="11" t="str">
        <f t="shared" si="121"/>
        <v/>
      </c>
      <c r="KM11" s="11" t="str">
        <f t="shared" si="122"/>
        <v/>
      </c>
      <c r="KN11" s="11" t="str">
        <f t="shared" si="123"/>
        <v/>
      </c>
      <c r="KO11" s="11" t="str">
        <f t="shared" si="124"/>
        <v/>
      </c>
      <c r="KP11" s="11" t="str">
        <f t="shared" si="125"/>
        <v/>
      </c>
      <c r="KQ11" s="11" t="str">
        <f t="shared" si="126"/>
        <v/>
      </c>
      <c r="KR11" s="11" t="str">
        <f t="shared" si="127"/>
        <v/>
      </c>
      <c r="KS11" s="11" t="str">
        <f t="shared" si="128"/>
        <v/>
      </c>
      <c r="KT11" s="11" t="str">
        <f t="shared" si="129"/>
        <v/>
      </c>
      <c r="KU11" s="11" t="str">
        <f t="shared" si="130"/>
        <v/>
      </c>
      <c r="KV11" s="11" t="str">
        <f t="shared" si="131"/>
        <v/>
      </c>
      <c r="KW11" s="11" t="str">
        <f t="shared" si="132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3"/>
        <v/>
      </c>
      <c r="LS11" s="40" t="str">
        <f t="shared" si="134"/>
        <v/>
      </c>
      <c r="LT11" s="40" t="str">
        <f t="shared" si="135"/>
        <v/>
      </c>
      <c r="LU11" s="40" t="str">
        <f t="shared" si="136"/>
        <v/>
      </c>
      <c r="LV11" s="40" t="str">
        <f t="shared" si="137"/>
        <v/>
      </c>
      <c r="LW11" s="40" t="str">
        <f t="shared" si="138"/>
        <v/>
      </c>
      <c r="LX11" s="40" t="str">
        <f t="shared" si="139"/>
        <v/>
      </c>
      <c r="LY11" s="40" t="str">
        <f t="shared" si="140"/>
        <v/>
      </c>
      <c r="LZ11" s="40" t="str">
        <f t="shared" si="141"/>
        <v/>
      </c>
      <c r="MA11" s="40" t="str">
        <f t="shared" si="142"/>
        <v/>
      </c>
      <c r="MB11" s="40" t="str">
        <f t="shared" si="143"/>
        <v/>
      </c>
      <c r="MC11" s="40" t="str">
        <f t="shared" si="144"/>
        <v/>
      </c>
      <c r="MD11" s="40" t="str">
        <f t="shared" si="145"/>
        <v/>
      </c>
      <c r="ME11" s="40" t="str">
        <f t="shared" si="146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7"/>
        <v/>
      </c>
      <c r="NA11" s="11" t="str">
        <f t="shared" si="148"/>
        <v/>
      </c>
      <c r="NB11" s="11" t="str">
        <f t="shared" si="149"/>
        <v/>
      </c>
      <c r="NC11" s="11" t="str">
        <f t="shared" si="150"/>
        <v/>
      </c>
      <c r="ND11" s="11" t="str">
        <f t="shared" si="151"/>
        <v/>
      </c>
      <c r="NE11" s="11" t="str">
        <f t="shared" si="152"/>
        <v/>
      </c>
      <c r="NF11" s="11" t="str">
        <f t="shared" si="153"/>
        <v/>
      </c>
      <c r="NG11" s="11" t="str">
        <f t="shared" si="154"/>
        <v/>
      </c>
      <c r="NH11" s="11" t="str">
        <f t="shared" si="155"/>
        <v/>
      </c>
      <c r="NI11" s="11" t="str">
        <f t="shared" si="156"/>
        <v/>
      </c>
      <c r="NJ11" s="11" t="str">
        <f t="shared" si="157"/>
        <v/>
      </c>
      <c r="NK11" s="11" t="str">
        <f t="shared" si="158"/>
        <v/>
      </c>
      <c r="NL11" s="11" t="str">
        <f t="shared" si="159"/>
        <v/>
      </c>
      <c r="NM11" s="11" t="str">
        <f t="shared" si="160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1"/>
        <v/>
      </c>
      <c r="OI11" s="40" t="str">
        <f t="shared" si="162"/>
        <v/>
      </c>
      <c r="OJ11" s="40" t="str">
        <f t="shared" si="163"/>
        <v/>
      </c>
      <c r="OK11" s="40" t="str">
        <f t="shared" si="164"/>
        <v/>
      </c>
      <c r="OL11" s="40" t="str">
        <f t="shared" si="165"/>
        <v/>
      </c>
      <c r="OM11" s="40" t="str">
        <f t="shared" si="166"/>
        <v/>
      </c>
      <c r="ON11" s="40" t="str">
        <f t="shared" si="167"/>
        <v/>
      </c>
      <c r="OO11" s="40" t="str">
        <f t="shared" si="168"/>
        <v/>
      </c>
      <c r="OP11" s="40" t="str">
        <f t="shared" si="169"/>
        <v/>
      </c>
      <c r="OQ11" s="40" t="str">
        <f t="shared" si="170"/>
        <v/>
      </c>
      <c r="OR11" s="40" t="str">
        <f t="shared" si="171"/>
        <v/>
      </c>
      <c r="OS11" s="40" t="str">
        <f t="shared" si="172"/>
        <v/>
      </c>
      <c r="OT11" s="40" t="str">
        <f t="shared" si="173"/>
        <v/>
      </c>
      <c r="OU11" s="40" t="str">
        <f t="shared" si="174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5"/>
        <v/>
      </c>
      <c r="PQ11" s="11" t="str">
        <f t="shared" si="176"/>
        <v/>
      </c>
      <c r="PR11" s="11" t="str">
        <f t="shared" si="177"/>
        <v/>
      </c>
      <c r="PS11" s="11" t="str">
        <f t="shared" si="178"/>
        <v/>
      </c>
      <c r="PT11" s="11" t="str">
        <f t="shared" si="179"/>
        <v/>
      </c>
      <c r="PU11" s="11" t="str">
        <f t="shared" si="180"/>
        <v/>
      </c>
      <c r="PV11" s="11" t="str">
        <f t="shared" si="181"/>
        <v/>
      </c>
      <c r="PW11" s="11" t="str">
        <f t="shared" si="182"/>
        <v/>
      </c>
      <c r="PX11" s="11" t="str">
        <f t="shared" si="183"/>
        <v/>
      </c>
      <c r="PY11" s="11" t="str">
        <f t="shared" si="184"/>
        <v/>
      </c>
      <c r="PZ11" s="11" t="str">
        <f t="shared" si="185"/>
        <v/>
      </c>
      <c r="QA11" s="11" t="str">
        <f t="shared" si="186"/>
        <v/>
      </c>
      <c r="QB11" s="11" t="str">
        <f t="shared" si="187"/>
        <v/>
      </c>
      <c r="QC11" s="11" t="str">
        <f t="shared" si="188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9"/>
        <v/>
      </c>
      <c r="QY11" s="40" t="str">
        <f t="shared" si="190"/>
        <v/>
      </c>
      <c r="QZ11" s="40" t="str">
        <f t="shared" si="191"/>
        <v/>
      </c>
      <c r="RA11" s="40" t="str">
        <f t="shared" si="192"/>
        <v/>
      </c>
      <c r="RB11" s="40" t="str">
        <f t="shared" si="193"/>
        <v/>
      </c>
      <c r="RC11" s="40" t="str">
        <f t="shared" si="194"/>
        <v/>
      </c>
      <c r="RD11" s="40" t="str">
        <f t="shared" si="195"/>
        <v/>
      </c>
      <c r="RE11" s="40" t="str">
        <f t="shared" si="196"/>
        <v/>
      </c>
      <c r="RF11" s="40" t="str">
        <f t="shared" si="197"/>
        <v/>
      </c>
      <c r="RG11" s="40" t="str">
        <f t="shared" si="198"/>
        <v/>
      </c>
      <c r="RH11" s="40" t="str">
        <f t="shared" si="199"/>
        <v/>
      </c>
      <c r="RI11" s="40" t="str">
        <f t="shared" si="200"/>
        <v/>
      </c>
      <c r="RJ11" s="40" t="str">
        <f t="shared" si="201"/>
        <v/>
      </c>
      <c r="RK11" s="40" t="str">
        <f t="shared" si="202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3"/>
        <v/>
      </c>
      <c r="SG11" s="11" t="str">
        <f t="shared" si="204"/>
        <v/>
      </c>
      <c r="SH11" s="11" t="str">
        <f t="shared" si="205"/>
        <v/>
      </c>
      <c r="SI11" s="11" t="str">
        <f t="shared" si="206"/>
        <v/>
      </c>
      <c r="SJ11" s="11" t="str">
        <f t="shared" si="207"/>
        <v/>
      </c>
      <c r="SK11" s="11" t="str">
        <f t="shared" si="208"/>
        <v/>
      </c>
      <c r="SL11" s="11" t="str">
        <f t="shared" si="209"/>
        <v/>
      </c>
      <c r="SM11" s="11" t="str">
        <f t="shared" si="210"/>
        <v/>
      </c>
      <c r="SN11" s="11" t="str">
        <f t="shared" si="211"/>
        <v/>
      </c>
      <c r="SO11" s="11" t="str">
        <f t="shared" si="212"/>
        <v/>
      </c>
      <c r="SP11" s="11" t="str">
        <f t="shared" si="213"/>
        <v/>
      </c>
      <c r="SQ11" s="11" t="str">
        <f t="shared" si="214"/>
        <v/>
      </c>
      <c r="SR11" s="11" t="str">
        <f t="shared" si="215"/>
        <v/>
      </c>
      <c r="SS11" s="11" t="str">
        <f t="shared" si="216"/>
        <v/>
      </c>
      <c r="ST11" s="22">
        <f t="shared" si="217"/>
        <v>7.7</v>
      </c>
      <c r="SU11" s="22">
        <f t="shared" si="218"/>
        <v>4.7</v>
      </c>
      <c r="SV11" s="22">
        <f t="shared" si="219"/>
        <v>4.25</v>
      </c>
      <c r="SW11" s="22">
        <f t="shared" si="220"/>
        <v>6.84</v>
      </c>
      <c r="SX11" s="22">
        <f t="shared" si="221"/>
        <v>0.15</v>
      </c>
      <c r="SY11" s="22">
        <f t="shared" si="222"/>
        <v>2.95</v>
      </c>
      <c r="SZ11" s="22">
        <f t="shared" si="223"/>
        <v>1.75</v>
      </c>
      <c r="TA11" s="22">
        <f t="shared" si="224"/>
        <v>1.95</v>
      </c>
      <c r="TB11" s="22">
        <f t="shared" si="225"/>
        <v>2.72</v>
      </c>
      <c r="TC11" s="22">
        <f t="shared" si="226"/>
        <v>0</v>
      </c>
      <c r="TD11" s="22">
        <f t="shared" si="227"/>
        <v>8</v>
      </c>
      <c r="TE11" s="22">
        <f t="shared" si="228"/>
        <v>4.6500000000000004</v>
      </c>
      <c r="TF11" s="22">
        <f t="shared" si="229"/>
        <v>4.25</v>
      </c>
      <c r="TG11" s="22">
        <f t="shared" si="230"/>
        <v>6.87</v>
      </c>
      <c r="TH11" s="22">
        <f t="shared" si="231"/>
        <v>0.15</v>
      </c>
      <c r="TI11" s="27" t="s">
        <v>46</v>
      </c>
      <c r="TJ11" s="40">
        <f t="shared" si="232"/>
        <v>4.25</v>
      </c>
      <c r="TK11" s="40">
        <f t="shared" si="233"/>
        <v>6.84</v>
      </c>
      <c r="TL11" s="40">
        <f t="shared" si="234"/>
        <v>23.34</v>
      </c>
      <c r="TM11" s="40">
        <f t="shared" si="235"/>
        <v>1.95</v>
      </c>
      <c r="TN11" s="40">
        <f t="shared" si="236"/>
        <v>2.72</v>
      </c>
      <c r="TO11" s="40">
        <f t="shared" si="237"/>
        <v>9.370000000000001</v>
      </c>
      <c r="TP11" s="40">
        <f t="shared" si="238"/>
        <v>23.34</v>
      </c>
      <c r="TQ11" s="40">
        <f t="shared" si="239"/>
        <v>4.25</v>
      </c>
      <c r="TR11" s="40">
        <f t="shared" si="240"/>
        <v>6.87</v>
      </c>
      <c r="TS11" s="40">
        <f t="shared" si="241"/>
        <v>23.62</v>
      </c>
      <c r="TT11" s="40">
        <f t="shared" si="242"/>
        <v>46.96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191</v>
      </c>
      <c r="C12" s="4" t="s">
        <v>3</v>
      </c>
      <c r="D12" s="4">
        <v>2006</v>
      </c>
      <c r="E12" s="9">
        <f t="shared" si="0"/>
        <v>147.03001470300472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47.16</v>
      </c>
      <c r="K12" s="8" t="str">
        <f t="shared" si="5"/>
        <v>2022 Nationals</v>
      </c>
      <c r="L12" s="8">
        <f>IF(COUNT(AO12,AR12,BP12,BS12,CQ12,CT12)&gt;1,LARGE((AO12,AR12,BP12,BS12,CQ12,CT12),2),0)</f>
        <v>44.67</v>
      </c>
      <c r="M12" s="8" t="str">
        <f t="shared" si="6"/>
        <v>2022 3rd Domestic Trial</v>
      </c>
      <c r="N12" s="8">
        <f>IF(COUNT(AO12,AR12,BP12,BS12,CQ12,CT12)&gt;2,MAX(AV12,BW12,CX12,LARGE((AO12,AR12,BP12,BS12,CQ12,CT12),3)),IF(MAX(AV12,BW12,CX12)&gt;0,MAX(AV12,BW12,CX12),0))</f>
        <v>45.600000000000009</v>
      </c>
      <c r="O12" s="8" t="str">
        <f t="shared" si="7"/>
        <v>2022 Nationals</v>
      </c>
      <c r="P12" s="8">
        <f t="shared" si="8"/>
        <v>9.6</v>
      </c>
      <c r="Q12" s="8" t="str">
        <f t="shared" si="9"/>
        <v>2022 3rd Domestic Trial</v>
      </c>
      <c r="R12" s="8">
        <f t="shared" si="10"/>
        <v>0</v>
      </c>
      <c r="S12" s="8" t="str">
        <f t="shared" si="11"/>
        <v/>
      </c>
      <c r="T12" s="8" t="str">
        <f t="shared" si="12"/>
        <v/>
      </c>
      <c r="U12" s="11" t="str">
        <f t="shared" si="13"/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14.5</v>
      </c>
      <c r="X12" s="22">
        <v>9.6999999999999993</v>
      </c>
      <c r="Y12" s="22">
        <v>9.6</v>
      </c>
      <c r="Z12" s="22">
        <v>13.36</v>
      </c>
      <c r="AA12" s="22">
        <v>0</v>
      </c>
      <c r="AB12" s="22"/>
      <c r="AC12" s="22"/>
      <c r="AD12" s="22"/>
      <c r="AE12" s="22"/>
      <c r="AF12" s="22"/>
      <c r="AG12" s="22">
        <v>13.9</v>
      </c>
      <c r="AH12" s="22">
        <v>9.3000000000000007</v>
      </c>
      <c r="AI12" s="22">
        <v>9.6</v>
      </c>
      <c r="AJ12" s="22">
        <v>12.8</v>
      </c>
      <c r="AK12" s="22">
        <v>0</v>
      </c>
      <c r="AL12" s="27"/>
      <c r="AM12" s="38">
        <f t="shared" si="14"/>
        <v>9.6</v>
      </c>
      <c r="AN12" s="38">
        <f t="shared" si="15"/>
        <v>13.36</v>
      </c>
      <c r="AO12" s="40">
        <f t="shared" si="16"/>
        <v>47.16</v>
      </c>
      <c r="AP12" s="40" t="str">
        <f t="shared" si="17"/>
        <v/>
      </c>
      <c r="AQ12" s="40" t="str">
        <f t="shared" si="18"/>
        <v/>
      </c>
      <c r="AR12" s="40" t="str">
        <f t="shared" si="19"/>
        <v/>
      </c>
      <c r="AS12" s="40">
        <f t="shared" si="20"/>
        <v>47.16</v>
      </c>
      <c r="AT12" s="40">
        <f t="shared" si="21"/>
        <v>9.6</v>
      </c>
      <c r="AU12" s="40">
        <f t="shared" si="22"/>
        <v>12.8</v>
      </c>
      <c r="AV12" s="40">
        <f t="shared" si="23"/>
        <v>45.600000000000009</v>
      </c>
      <c r="AW12" s="40">
        <f t="shared" si="24"/>
        <v>92.76</v>
      </c>
      <c r="AX12" s="26">
        <v>12.76</v>
      </c>
      <c r="AY12" s="26">
        <v>9.4</v>
      </c>
      <c r="AZ12" s="26">
        <v>9.6</v>
      </c>
      <c r="BA12" s="26">
        <v>12.91</v>
      </c>
      <c r="BB12" s="26">
        <v>0</v>
      </c>
      <c r="BC12" s="26"/>
      <c r="BD12" s="26"/>
      <c r="BE12" s="26"/>
      <c r="BF12" s="26"/>
      <c r="BG12" s="26"/>
      <c r="BH12" s="26">
        <v>12.6</v>
      </c>
      <c r="BI12" s="26">
        <v>8.8000000000000007</v>
      </c>
      <c r="BJ12" s="26">
        <v>9.6</v>
      </c>
      <c r="BK12" s="26">
        <v>12.89</v>
      </c>
      <c r="BL12" s="26">
        <v>0</v>
      </c>
      <c r="BM12" s="28"/>
      <c r="BN12" s="39">
        <f t="shared" si="25"/>
        <v>9.6</v>
      </c>
      <c r="BO12" s="39">
        <f t="shared" si="26"/>
        <v>12.91</v>
      </c>
      <c r="BP12" s="11">
        <f t="shared" si="27"/>
        <v>44.67</v>
      </c>
      <c r="BQ12" s="11" t="str">
        <f t="shared" si="28"/>
        <v/>
      </c>
      <c r="BR12" s="11" t="str">
        <f t="shared" si="29"/>
        <v/>
      </c>
      <c r="BS12" s="11" t="str">
        <f t="shared" si="30"/>
        <v/>
      </c>
      <c r="BT12" s="11">
        <f t="shared" si="31"/>
        <v>44.67</v>
      </c>
      <c r="BU12" s="11">
        <f t="shared" si="32"/>
        <v>9.6</v>
      </c>
      <c r="BV12" s="11">
        <f t="shared" si="33"/>
        <v>12.89</v>
      </c>
      <c r="BW12" s="11">
        <f t="shared" si="34"/>
        <v>43.89</v>
      </c>
      <c r="BX12" s="11">
        <f t="shared" si="35"/>
        <v>88.56</v>
      </c>
      <c r="BY12" s="22">
        <v>13.3</v>
      </c>
      <c r="BZ12" s="22">
        <v>9.1</v>
      </c>
      <c r="CA12" s="22">
        <v>9.3000000000000007</v>
      </c>
      <c r="CB12" s="22">
        <v>12.4</v>
      </c>
      <c r="CC12" s="22">
        <v>0</v>
      </c>
      <c r="CD12" s="22">
        <v>8.9</v>
      </c>
      <c r="CE12" s="22">
        <v>5.7</v>
      </c>
      <c r="CF12" s="22">
        <v>1.7</v>
      </c>
      <c r="CG12" s="22">
        <v>7.93</v>
      </c>
      <c r="CH12" s="22">
        <v>0</v>
      </c>
      <c r="CI12" s="22">
        <v>1.6</v>
      </c>
      <c r="CJ12" s="22">
        <v>1</v>
      </c>
      <c r="CK12" s="22">
        <v>1.5</v>
      </c>
      <c r="CL12" s="22">
        <v>1.41</v>
      </c>
      <c r="CM12" s="22">
        <v>0</v>
      </c>
      <c r="CN12" s="27"/>
      <c r="CO12" s="38">
        <f t="shared" si="36"/>
        <v>9.3000000000000007</v>
      </c>
      <c r="CP12" s="38">
        <f t="shared" si="37"/>
        <v>12.4</v>
      </c>
      <c r="CQ12" s="40">
        <f t="shared" si="38"/>
        <v>44.1</v>
      </c>
      <c r="CR12" s="40">
        <f t="shared" si="39"/>
        <v>1.7</v>
      </c>
      <c r="CS12" s="40">
        <f t="shared" si="40"/>
        <v>7.93</v>
      </c>
      <c r="CT12" s="40">
        <f t="shared" si="41"/>
        <v>24.23</v>
      </c>
      <c r="CU12" s="40">
        <f t="shared" si="42"/>
        <v>44.1</v>
      </c>
      <c r="CV12" s="40">
        <f t="shared" si="43"/>
        <v>1.5</v>
      </c>
      <c r="CW12" s="40">
        <f t="shared" si="44"/>
        <v>1.41</v>
      </c>
      <c r="CX12" s="40">
        <f t="shared" si="45"/>
        <v>5.51</v>
      </c>
      <c r="CY12" s="40">
        <f t="shared" si="46"/>
        <v>49.61</v>
      </c>
      <c r="CZ12" s="50" t="str">
        <f t="shared" si="47"/>
        <v/>
      </c>
      <c r="DA12" s="50" t="str">
        <f t="shared" si="48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49"/>
        <v/>
      </c>
      <c r="DW12" s="40" t="str">
        <f t="shared" si="50"/>
        <v/>
      </c>
      <c r="DX12" s="40" t="str">
        <f t="shared" si="51"/>
        <v/>
      </c>
      <c r="DY12" s="40" t="str">
        <f t="shared" si="52"/>
        <v/>
      </c>
      <c r="DZ12" s="40" t="str">
        <f t="shared" si="53"/>
        <v/>
      </c>
      <c r="EA12" s="40" t="str">
        <f t="shared" si="54"/>
        <v/>
      </c>
      <c r="EB12" s="40" t="str">
        <f t="shared" si="55"/>
        <v/>
      </c>
      <c r="EC12" s="40" t="str">
        <f t="shared" si="56"/>
        <v/>
      </c>
      <c r="ED12" s="40" t="str">
        <f t="shared" si="57"/>
        <v/>
      </c>
      <c r="EE12" s="40" t="str">
        <f t="shared" si="58"/>
        <v/>
      </c>
      <c r="EF12" s="40" t="str">
        <f t="shared" si="59"/>
        <v/>
      </c>
      <c r="EG12" s="40" t="str">
        <f t="shared" si="60"/>
        <v/>
      </c>
      <c r="EH12" s="40" t="str">
        <f t="shared" si="61"/>
        <v/>
      </c>
      <c r="EI12" s="40" t="str">
        <f t="shared" si="62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3"/>
        <v/>
      </c>
      <c r="FE12" s="11" t="str">
        <f t="shared" si="64"/>
        <v/>
      </c>
      <c r="FF12" s="11" t="str">
        <f t="shared" si="65"/>
        <v/>
      </c>
      <c r="FG12" s="11" t="str">
        <f t="shared" si="66"/>
        <v/>
      </c>
      <c r="FH12" s="11" t="str">
        <f t="shared" si="67"/>
        <v/>
      </c>
      <c r="FI12" s="11" t="str">
        <f t="shared" si="68"/>
        <v/>
      </c>
      <c r="FJ12" s="11" t="str">
        <f t="shared" si="69"/>
        <v/>
      </c>
      <c r="FK12" s="11" t="str">
        <f t="shared" si="70"/>
        <v/>
      </c>
      <c r="FL12" s="11" t="str">
        <f t="shared" si="71"/>
        <v/>
      </c>
      <c r="FM12" s="11" t="str">
        <f t="shared" si="72"/>
        <v/>
      </c>
      <c r="FN12" s="11" t="str">
        <f t="shared" si="73"/>
        <v/>
      </c>
      <c r="FO12" s="11" t="str">
        <f t="shared" si="74"/>
        <v/>
      </c>
      <c r="FP12" s="11" t="str">
        <f t="shared" si="75"/>
        <v/>
      </c>
      <c r="FQ12" s="11" t="str">
        <f t="shared" si="76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7"/>
        <v/>
      </c>
      <c r="GM12" s="40" t="str">
        <f t="shared" si="78"/>
        <v/>
      </c>
      <c r="GN12" s="40" t="str">
        <f t="shared" si="79"/>
        <v/>
      </c>
      <c r="GO12" s="40" t="str">
        <f t="shared" si="80"/>
        <v/>
      </c>
      <c r="GP12" s="40" t="str">
        <f t="shared" si="81"/>
        <v/>
      </c>
      <c r="GQ12" s="40" t="str">
        <f t="shared" si="82"/>
        <v/>
      </c>
      <c r="GR12" s="40" t="str">
        <f t="shared" si="83"/>
        <v/>
      </c>
      <c r="GS12" s="40" t="str">
        <f t="shared" si="84"/>
        <v/>
      </c>
      <c r="GT12" s="40" t="str">
        <f t="shared" si="85"/>
        <v/>
      </c>
      <c r="GU12" s="40" t="str">
        <f t="shared" si="86"/>
        <v/>
      </c>
      <c r="GV12" s="40" t="str">
        <f t="shared" si="87"/>
        <v/>
      </c>
      <c r="GW12" s="40" t="str">
        <f t="shared" si="88"/>
        <v/>
      </c>
      <c r="GX12" s="40" t="str">
        <f t="shared" si="89"/>
        <v/>
      </c>
      <c r="GY12" s="40" t="str">
        <f t="shared" si="90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1"/>
        <v/>
      </c>
      <c r="HU12" s="11" t="str">
        <f t="shared" si="92"/>
        <v/>
      </c>
      <c r="HV12" s="11" t="str">
        <f t="shared" si="93"/>
        <v/>
      </c>
      <c r="HW12" s="11" t="str">
        <f t="shared" si="94"/>
        <v/>
      </c>
      <c r="HX12" s="11" t="str">
        <f t="shared" si="95"/>
        <v/>
      </c>
      <c r="HY12" s="11" t="str">
        <f t="shared" si="96"/>
        <v/>
      </c>
      <c r="HZ12" s="11" t="str">
        <f t="shared" si="97"/>
        <v/>
      </c>
      <c r="IA12" s="11" t="str">
        <f t="shared" si="98"/>
        <v/>
      </c>
      <c r="IB12" s="11" t="str">
        <f t="shared" si="99"/>
        <v/>
      </c>
      <c r="IC12" s="11" t="str">
        <f t="shared" si="100"/>
        <v/>
      </c>
      <c r="ID12" s="11" t="str">
        <f t="shared" si="101"/>
        <v/>
      </c>
      <c r="IE12" s="11" t="str">
        <f t="shared" si="102"/>
        <v/>
      </c>
      <c r="IF12" s="11" t="str">
        <f t="shared" si="103"/>
        <v/>
      </c>
      <c r="IG12" s="11" t="str">
        <f t="shared" si="104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5"/>
        <v/>
      </c>
      <c r="JC12" s="40" t="str">
        <f t="shared" si="106"/>
        <v/>
      </c>
      <c r="JD12" s="40" t="str">
        <f t="shared" si="107"/>
        <v/>
      </c>
      <c r="JE12" s="40" t="str">
        <f t="shared" si="108"/>
        <v/>
      </c>
      <c r="JF12" s="40" t="str">
        <f t="shared" si="109"/>
        <v/>
      </c>
      <c r="JG12" s="40" t="str">
        <f t="shared" si="110"/>
        <v/>
      </c>
      <c r="JH12" s="40" t="str">
        <f t="shared" si="111"/>
        <v/>
      </c>
      <c r="JI12" s="40" t="str">
        <f t="shared" si="112"/>
        <v/>
      </c>
      <c r="JJ12" s="40" t="str">
        <f t="shared" si="113"/>
        <v/>
      </c>
      <c r="JK12" s="40" t="str">
        <f t="shared" si="114"/>
        <v/>
      </c>
      <c r="JL12" s="40" t="str">
        <f t="shared" si="115"/>
        <v/>
      </c>
      <c r="JM12" s="40" t="str">
        <f t="shared" si="116"/>
        <v/>
      </c>
      <c r="JN12" s="40" t="str">
        <f t="shared" si="117"/>
        <v/>
      </c>
      <c r="JO12" s="40" t="str">
        <f t="shared" si="118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9"/>
        <v/>
      </c>
      <c r="KK12" s="11" t="str">
        <f t="shared" si="120"/>
        <v/>
      </c>
      <c r="KL12" s="11" t="str">
        <f t="shared" si="121"/>
        <v/>
      </c>
      <c r="KM12" s="11" t="str">
        <f t="shared" si="122"/>
        <v/>
      </c>
      <c r="KN12" s="11" t="str">
        <f t="shared" si="123"/>
        <v/>
      </c>
      <c r="KO12" s="11" t="str">
        <f t="shared" si="124"/>
        <v/>
      </c>
      <c r="KP12" s="11" t="str">
        <f t="shared" si="125"/>
        <v/>
      </c>
      <c r="KQ12" s="11" t="str">
        <f t="shared" si="126"/>
        <v/>
      </c>
      <c r="KR12" s="11" t="str">
        <f t="shared" si="127"/>
        <v/>
      </c>
      <c r="KS12" s="11" t="str">
        <f t="shared" si="128"/>
        <v/>
      </c>
      <c r="KT12" s="11" t="str">
        <f t="shared" si="129"/>
        <v/>
      </c>
      <c r="KU12" s="11" t="str">
        <f t="shared" si="130"/>
        <v/>
      </c>
      <c r="KV12" s="11" t="str">
        <f t="shared" si="131"/>
        <v/>
      </c>
      <c r="KW12" s="11" t="str">
        <f t="shared" si="132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3"/>
        <v/>
      </c>
      <c r="LS12" s="40" t="str">
        <f t="shared" si="134"/>
        <v/>
      </c>
      <c r="LT12" s="40" t="str">
        <f t="shared" si="135"/>
        <v/>
      </c>
      <c r="LU12" s="40" t="str">
        <f t="shared" si="136"/>
        <v/>
      </c>
      <c r="LV12" s="40" t="str">
        <f t="shared" si="137"/>
        <v/>
      </c>
      <c r="LW12" s="40" t="str">
        <f t="shared" si="138"/>
        <v/>
      </c>
      <c r="LX12" s="40" t="str">
        <f t="shared" si="139"/>
        <v/>
      </c>
      <c r="LY12" s="40" t="str">
        <f t="shared" si="140"/>
        <v/>
      </c>
      <c r="LZ12" s="40" t="str">
        <f t="shared" si="141"/>
        <v/>
      </c>
      <c r="MA12" s="40" t="str">
        <f t="shared" si="142"/>
        <v/>
      </c>
      <c r="MB12" s="40" t="str">
        <f t="shared" si="143"/>
        <v/>
      </c>
      <c r="MC12" s="40" t="str">
        <f t="shared" si="144"/>
        <v/>
      </c>
      <c r="MD12" s="40" t="str">
        <f t="shared" si="145"/>
        <v/>
      </c>
      <c r="ME12" s="40" t="str">
        <f t="shared" si="146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7"/>
        <v/>
      </c>
      <c r="NA12" s="11" t="str">
        <f t="shared" si="148"/>
        <v/>
      </c>
      <c r="NB12" s="11" t="str">
        <f t="shared" si="149"/>
        <v/>
      </c>
      <c r="NC12" s="11" t="str">
        <f t="shared" si="150"/>
        <v/>
      </c>
      <c r="ND12" s="11" t="str">
        <f t="shared" si="151"/>
        <v/>
      </c>
      <c r="NE12" s="11" t="str">
        <f t="shared" si="152"/>
        <v/>
      </c>
      <c r="NF12" s="11" t="str">
        <f t="shared" si="153"/>
        <v/>
      </c>
      <c r="NG12" s="11" t="str">
        <f t="shared" si="154"/>
        <v/>
      </c>
      <c r="NH12" s="11" t="str">
        <f t="shared" si="155"/>
        <v/>
      </c>
      <c r="NI12" s="11" t="str">
        <f t="shared" si="156"/>
        <v/>
      </c>
      <c r="NJ12" s="11" t="str">
        <f t="shared" si="157"/>
        <v/>
      </c>
      <c r="NK12" s="11" t="str">
        <f t="shared" si="158"/>
        <v/>
      </c>
      <c r="NL12" s="11" t="str">
        <f t="shared" si="159"/>
        <v/>
      </c>
      <c r="NM12" s="11" t="str">
        <f t="shared" si="160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1"/>
        <v/>
      </c>
      <c r="OI12" s="40" t="str">
        <f t="shared" si="162"/>
        <v/>
      </c>
      <c r="OJ12" s="40" t="str">
        <f t="shared" si="163"/>
        <v/>
      </c>
      <c r="OK12" s="40" t="str">
        <f t="shared" si="164"/>
        <v/>
      </c>
      <c r="OL12" s="40" t="str">
        <f t="shared" si="165"/>
        <v/>
      </c>
      <c r="OM12" s="40" t="str">
        <f t="shared" si="166"/>
        <v/>
      </c>
      <c r="ON12" s="40" t="str">
        <f t="shared" si="167"/>
        <v/>
      </c>
      <c r="OO12" s="40" t="str">
        <f t="shared" si="168"/>
        <v/>
      </c>
      <c r="OP12" s="40" t="str">
        <f t="shared" si="169"/>
        <v/>
      </c>
      <c r="OQ12" s="40" t="str">
        <f t="shared" si="170"/>
        <v/>
      </c>
      <c r="OR12" s="40" t="str">
        <f t="shared" si="171"/>
        <v/>
      </c>
      <c r="OS12" s="40" t="str">
        <f t="shared" si="172"/>
        <v/>
      </c>
      <c r="OT12" s="40" t="str">
        <f t="shared" si="173"/>
        <v/>
      </c>
      <c r="OU12" s="40" t="str">
        <f t="shared" si="174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5"/>
        <v/>
      </c>
      <c r="PQ12" s="11" t="str">
        <f t="shared" si="176"/>
        <v/>
      </c>
      <c r="PR12" s="11" t="str">
        <f t="shared" si="177"/>
        <v/>
      </c>
      <c r="PS12" s="11" t="str">
        <f t="shared" si="178"/>
        <v/>
      </c>
      <c r="PT12" s="11" t="str">
        <f t="shared" si="179"/>
        <v/>
      </c>
      <c r="PU12" s="11" t="str">
        <f t="shared" si="180"/>
        <v/>
      </c>
      <c r="PV12" s="11" t="str">
        <f t="shared" si="181"/>
        <v/>
      </c>
      <c r="PW12" s="11" t="str">
        <f t="shared" si="182"/>
        <v/>
      </c>
      <c r="PX12" s="11" t="str">
        <f t="shared" si="183"/>
        <v/>
      </c>
      <c r="PY12" s="11" t="str">
        <f t="shared" si="184"/>
        <v/>
      </c>
      <c r="PZ12" s="11" t="str">
        <f t="shared" si="185"/>
        <v/>
      </c>
      <c r="QA12" s="11" t="str">
        <f t="shared" si="186"/>
        <v/>
      </c>
      <c r="QB12" s="11" t="str">
        <f t="shared" si="187"/>
        <v/>
      </c>
      <c r="QC12" s="11" t="str">
        <f t="shared" si="188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9"/>
        <v/>
      </c>
      <c r="QY12" s="40" t="str">
        <f t="shared" si="190"/>
        <v/>
      </c>
      <c r="QZ12" s="40" t="str">
        <f t="shared" si="191"/>
        <v/>
      </c>
      <c r="RA12" s="40" t="str">
        <f t="shared" si="192"/>
        <v/>
      </c>
      <c r="RB12" s="40" t="str">
        <f t="shared" si="193"/>
        <v/>
      </c>
      <c r="RC12" s="40" t="str">
        <f t="shared" si="194"/>
        <v/>
      </c>
      <c r="RD12" s="40" t="str">
        <f t="shared" si="195"/>
        <v/>
      </c>
      <c r="RE12" s="40" t="str">
        <f t="shared" si="196"/>
        <v/>
      </c>
      <c r="RF12" s="40" t="str">
        <f t="shared" si="197"/>
        <v/>
      </c>
      <c r="RG12" s="40" t="str">
        <f t="shared" si="198"/>
        <v/>
      </c>
      <c r="RH12" s="40" t="str">
        <f t="shared" si="199"/>
        <v/>
      </c>
      <c r="RI12" s="40" t="str">
        <f t="shared" si="200"/>
        <v/>
      </c>
      <c r="RJ12" s="40" t="str">
        <f t="shared" si="201"/>
        <v/>
      </c>
      <c r="RK12" s="40" t="str">
        <f t="shared" si="202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3"/>
        <v/>
      </c>
      <c r="SG12" s="11" t="str">
        <f t="shared" si="204"/>
        <v/>
      </c>
      <c r="SH12" s="11" t="str">
        <f t="shared" si="205"/>
        <v/>
      </c>
      <c r="SI12" s="11" t="str">
        <f t="shared" si="206"/>
        <v/>
      </c>
      <c r="SJ12" s="11" t="str">
        <f t="shared" si="207"/>
        <v/>
      </c>
      <c r="SK12" s="11" t="str">
        <f t="shared" si="208"/>
        <v/>
      </c>
      <c r="SL12" s="11" t="str">
        <f t="shared" si="209"/>
        <v/>
      </c>
      <c r="SM12" s="11" t="str">
        <f t="shared" si="210"/>
        <v/>
      </c>
      <c r="SN12" s="11" t="str">
        <f t="shared" si="211"/>
        <v/>
      </c>
      <c r="SO12" s="11" t="str">
        <f t="shared" si="212"/>
        <v/>
      </c>
      <c r="SP12" s="11" t="str">
        <f t="shared" si="213"/>
        <v/>
      </c>
      <c r="SQ12" s="11" t="str">
        <f t="shared" si="214"/>
        <v/>
      </c>
      <c r="SR12" s="11" t="str">
        <f t="shared" si="215"/>
        <v/>
      </c>
      <c r="SS12" s="11" t="str">
        <f t="shared" si="216"/>
        <v/>
      </c>
      <c r="ST12" s="22">
        <f t="shared" si="217"/>
        <v>13.030000000000001</v>
      </c>
      <c r="SU12" s="22">
        <f t="shared" si="218"/>
        <v>9.25</v>
      </c>
      <c r="SV12" s="22">
        <f t="shared" si="219"/>
        <v>9.4499999999999993</v>
      </c>
      <c r="SW12" s="22">
        <f t="shared" si="220"/>
        <v>12.655000000000001</v>
      </c>
      <c r="SX12" s="22">
        <f t="shared" si="221"/>
        <v>0</v>
      </c>
      <c r="SY12" s="22">
        <f t="shared" si="222"/>
        <v>4.45</v>
      </c>
      <c r="SZ12" s="22">
        <f t="shared" si="223"/>
        <v>2.85</v>
      </c>
      <c r="TA12" s="22">
        <f t="shared" si="224"/>
        <v>0.85</v>
      </c>
      <c r="TB12" s="22">
        <f t="shared" si="225"/>
        <v>3.9649999999999999</v>
      </c>
      <c r="TC12" s="22">
        <f t="shared" si="226"/>
        <v>0</v>
      </c>
      <c r="TD12" s="22">
        <f t="shared" si="227"/>
        <v>7.1</v>
      </c>
      <c r="TE12" s="22">
        <f t="shared" si="228"/>
        <v>4.9000000000000004</v>
      </c>
      <c r="TF12" s="22">
        <f t="shared" si="229"/>
        <v>5.55</v>
      </c>
      <c r="TG12" s="22">
        <f t="shared" si="230"/>
        <v>7.15</v>
      </c>
      <c r="TH12" s="22">
        <f t="shared" si="231"/>
        <v>0</v>
      </c>
      <c r="TI12" s="27" t="s">
        <v>46</v>
      </c>
      <c r="TJ12" s="40">
        <f t="shared" si="232"/>
        <v>9.4499999999999993</v>
      </c>
      <c r="TK12" s="40">
        <f t="shared" si="233"/>
        <v>12.655000000000001</v>
      </c>
      <c r="TL12" s="40">
        <f t="shared" si="234"/>
        <v>44.385000000000005</v>
      </c>
      <c r="TM12" s="40">
        <f t="shared" si="235"/>
        <v>0.85</v>
      </c>
      <c r="TN12" s="40">
        <f t="shared" si="236"/>
        <v>3.9649999999999999</v>
      </c>
      <c r="TO12" s="40">
        <f t="shared" si="237"/>
        <v>12.115</v>
      </c>
      <c r="TP12" s="40">
        <f t="shared" si="238"/>
        <v>44.385000000000005</v>
      </c>
      <c r="TQ12" s="40">
        <f t="shared" si="239"/>
        <v>5.55</v>
      </c>
      <c r="TR12" s="40">
        <f t="shared" si="240"/>
        <v>7.15</v>
      </c>
      <c r="TS12" s="40">
        <f t="shared" si="241"/>
        <v>24.700000000000003</v>
      </c>
      <c r="TT12" s="40">
        <f t="shared" si="242"/>
        <v>69.085000000000008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4</v>
      </c>
      <c r="D13" s="4">
        <v>2004</v>
      </c>
      <c r="E13" s="9">
        <f t="shared" si="0"/>
        <v>142.35001423500449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44.89</v>
      </c>
      <c r="K13" s="8" t="str">
        <f t="shared" si="5"/>
        <v>2023 Elite Canada</v>
      </c>
      <c r="L13" s="8">
        <f>IF(COUNT(AO13,AR13,BP13,BS13,CQ13,CT13)&gt;1,LARGE((AO13,AR13,BP13,BS13,CQ13,CT13),2),0)</f>
        <v>41.92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46.34</v>
      </c>
      <c r="O13" s="8" t="str">
        <f t="shared" si="7"/>
        <v>2023 Elite Canada</v>
      </c>
      <c r="P13" s="8">
        <f t="shared" si="8"/>
        <v>9.1999999999999993</v>
      </c>
      <c r="Q13" s="8" t="str">
        <f t="shared" si="9"/>
        <v>2023 Elite Canada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2.5</v>
      </c>
      <c r="X13" s="22">
        <v>1.8</v>
      </c>
      <c r="Y13" s="22">
        <v>2.2999999999999998</v>
      </c>
      <c r="Z13" s="22">
        <v>2.81</v>
      </c>
      <c r="AA13" s="22">
        <v>0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 t="shared" si="14"/>
        <v>2.2999999999999998</v>
      </c>
      <c r="AN13" s="38">
        <f t="shared" si="15"/>
        <v>2.81</v>
      </c>
      <c r="AO13" s="40">
        <f t="shared" si="16"/>
        <v>9.41</v>
      </c>
      <c r="AP13" s="40" t="str">
        <f t="shared" si="17"/>
        <v/>
      </c>
      <c r="AQ13" s="40" t="str">
        <f t="shared" si="18"/>
        <v/>
      </c>
      <c r="AR13" s="40" t="str">
        <f t="shared" si="19"/>
        <v/>
      </c>
      <c r="AS13" s="40">
        <f t="shared" si="20"/>
        <v>9.41</v>
      </c>
      <c r="AT13" s="40" t="str">
        <f t="shared" si="21"/>
        <v/>
      </c>
      <c r="AU13" s="40" t="str">
        <f t="shared" si="22"/>
        <v/>
      </c>
      <c r="AV13" s="40" t="str">
        <f t="shared" si="23"/>
        <v/>
      </c>
      <c r="AW13" s="40">
        <f t="shared" si="24"/>
        <v>9.41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5"/>
        <v/>
      </c>
      <c r="BO13" s="39" t="str">
        <f t="shared" si="26"/>
        <v/>
      </c>
      <c r="BP13" s="11" t="str">
        <f t="shared" si="27"/>
        <v/>
      </c>
      <c r="BQ13" s="11" t="str">
        <f t="shared" si="28"/>
        <v/>
      </c>
      <c r="BR13" s="11" t="str">
        <f t="shared" si="29"/>
        <v/>
      </c>
      <c r="BS13" s="11" t="str">
        <f t="shared" si="30"/>
        <v/>
      </c>
      <c r="BT13" s="11" t="str">
        <f t="shared" si="31"/>
        <v/>
      </c>
      <c r="BU13" s="11" t="str">
        <f t="shared" si="32"/>
        <v/>
      </c>
      <c r="BV13" s="11" t="str">
        <f t="shared" si="33"/>
        <v/>
      </c>
      <c r="BW13" s="11" t="str">
        <f t="shared" si="34"/>
        <v/>
      </c>
      <c r="BX13" s="11" t="str">
        <f t="shared" si="35"/>
        <v/>
      </c>
      <c r="BY13" s="22">
        <v>10.4</v>
      </c>
      <c r="BZ13" s="22">
        <v>9.1999999999999993</v>
      </c>
      <c r="CA13" s="22">
        <v>9.1999999999999993</v>
      </c>
      <c r="CB13" s="22">
        <v>13.12</v>
      </c>
      <c r="CC13" s="22">
        <v>0</v>
      </c>
      <c r="CD13" s="22">
        <v>12.9</v>
      </c>
      <c r="CE13" s="22">
        <v>9.5</v>
      </c>
      <c r="CF13" s="22">
        <v>9.1</v>
      </c>
      <c r="CG13" s="22">
        <v>13.39</v>
      </c>
      <c r="CH13" s="22">
        <v>0</v>
      </c>
      <c r="CI13" s="22">
        <v>14.3</v>
      </c>
      <c r="CJ13" s="22">
        <v>9.4</v>
      </c>
      <c r="CK13" s="22">
        <v>9.1999999999999993</v>
      </c>
      <c r="CL13" s="22">
        <v>13.44</v>
      </c>
      <c r="CM13" s="22">
        <v>0</v>
      </c>
      <c r="CN13" s="27"/>
      <c r="CO13" s="38">
        <f t="shared" si="36"/>
        <v>9.1999999999999993</v>
      </c>
      <c r="CP13" s="38">
        <f t="shared" si="37"/>
        <v>13.12</v>
      </c>
      <c r="CQ13" s="40">
        <f t="shared" si="38"/>
        <v>41.92</v>
      </c>
      <c r="CR13" s="40">
        <f t="shared" si="39"/>
        <v>9.1</v>
      </c>
      <c r="CS13" s="40">
        <f t="shared" si="40"/>
        <v>13.39</v>
      </c>
      <c r="CT13" s="40">
        <f t="shared" si="41"/>
        <v>44.89</v>
      </c>
      <c r="CU13" s="40">
        <f t="shared" si="42"/>
        <v>44.89</v>
      </c>
      <c r="CV13" s="40">
        <f t="shared" si="43"/>
        <v>9.1999999999999993</v>
      </c>
      <c r="CW13" s="40">
        <f t="shared" si="44"/>
        <v>13.44</v>
      </c>
      <c r="CX13" s="40">
        <f t="shared" si="45"/>
        <v>46.34</v>
      </c>
      <c r="CY13" s="40">
        <f t="shared" si="46"/>
        <v>91.23</v>
      </c>
      <c r="CZ13" s="50" t="str">
        <f t="shared" si="47"/>
        <v/>
      </c>
      <c r="DA13" s="50" t="str">
        <f t="shared" si="48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9"/>
        <v/>
      </c>
      <c r="DW13" s="40" t="str">
        <f t="shared" si="50"/>
        <v/>
      </c>
      <c r="DX13" s="40" t="str">
        <f t="shared" si="51"/>
        <v/>
      </c>
      <c r="DY13" s="40" t="str">
        <f t="shared" si="52"/>
        <v/>
      </c>
      <c r="DZ13" s="40" t="str">
        <f t="shared" si="53"/>
        <v/>
      </c>
      <c r="EA13" s="40" t="str">
        <f t="shared" si="54"/>
        <v/>
      </c>
      <c r="EB13" s="40" t="str">
        <f t="shared" si="55"/>
        <v/>
      </c>
      <c r="EC13" s="40" t="str">
        <f t="shared" si="56"/>
        <v/>
      </c>
      <c r="ED13" s="40" t="str">
        <f t="shared" si="57"/>
        <v/>
      </c>
      <c r="EE13" s="40" t="str">
        <f t="shared" si="58"/>
        <v/>
      </c>
      <c r="EF13" s="40" t="str">
        <f t="shared" si="59"/>
        <v/>
      </c>
      <c r="EG13" s="40" t="str">
        <f t="shared" si="60"/>
        <v/>
      </c>
      <c r="EH13" s="40" t="str">
        <f t="shared" si="61"/>
        <v/>
      </c>
      <c r="EI13" s="40" t="str">
        <f t="shared" si="62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3"/>
        <v/>
      </c>
      <c r="FE13" s="11" t="str">
        <f t="shared" si="64"/>
        <v/>
      </c>
      <c r="FF13" s="11" t="str">
        <f t="shared" si="65"/>
        <v/>
      </c>
      <c r="FG13" s="11" t="str">
        <f t="shared" si="66"/>
        <v/>
      </c>
      <c r="FH13" s="11" t="str">
        <f t="shared" si="67"/>
        <v/>
      </c>
      <c r="FI13" s="11" t="str">
        <f t="shared" si="68"/>
        <v/>
      </c>
      <c r="FJ13" s="11" t="str">
        <f t="shared" si="69"/>
        <v/>
      </c>
      <c r="FK13" s="11" t="str">
        <f t="shared" si="70"/>
        <v/>
      </c>
      <c r="FL13" s="11" t="str">
        <f t="shared" si="71"/>
        <v/>
      </c>
      <c r="FM13" s="11" t="str">
        <f t="shared" si="72"/>
        <v/>
      </c>
      <c r="FN13" s="11" t="str">
        <f t="shared" si="73"/>
        <v/>
      </c>
      <c r="FO13" s="11" t="str">
        <f t="shared" si="74"/>
        <v/>
      </c>
      <c r="FP13" s="11" t="str">
        <f t="shared" si="75"/>
        <v/>
      </c>
      <c r="FQ13" s="11" t="str">
        <f t="shared" si="76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7"/>
        <v/>
      </c>
      <c r="GM13" s="40" t="str">
        <f t="shared" si="78"/>
        <v/>
      </c>
      <c r="GN13" s="40" t="str">
        <f t="shared" si="79"/>
        <v/>
      </c>
      <c r="GO13" s="40" t="str">
        <f t="shared" si="80"/>
        <v/>
      </c>
      <c r="GP13" s="40" t="str">
        <f t="shared" si="81"/>
        <v/>
      </c>
      <c r="GQ13" s="40" t="str">
        <f t="shared" si="82"/>
        <v/>
      </c>
      <c r="GR13" s="40" t="str">
        <f t="shared" si="83"/>
        <v/>
      </c>
      <c r="GS13" s="40" t="str">
        <f t="shared" si="84"/>
        <v/>
      </c>
      <c r="GT13" s="40" t="str">
        <f t="shared" si="85"/>
        <v/>
      </c>
      <c r="GU13" s="40" t="str">
        <f t="shared" si="86"/>
        <v/>
      </c>
      <c r="GV13" s="40" t="str">
        <f t="shared" si="87"/>
        <v/>
      </c>
      <c r="GW13" s="40" t="str">
        <f t="shared" si="88"/>
        <v/>
      </c>
      <c r="GX13" s="40" t="str">
        <f t="shared" si="89"/>
        <v/>
      </c>
      <c r="GY13" s="40" t="str">
        <f t="shared" si="90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1"/>
        <v/>
      </c>
      <c r="HU13" s="11" t="str">
        <f t="shared" si="92"/>
        <v/>
      </c>
      <c r="HV13" s="11" t="str">
        <f t="shared" si="93"/>
        <v/>
      </c>
      <c r="HW13" s="11" t="str">
        <f t="shared" si="94"/>
        <v/>
      </c>
      <c r="HX13" s="11" t="str">
        <f t="shared" si="95"/>
        <v/>
      </c>
      <c r="HY13" s="11" t="str">
        <f t="shared" si="96"/>
        <v/>
      </c>
      <c r="HZ13" s="11" t="str">
        <f t="shared" si="97"/>
        <v/>
      </c>
      <c r="IA13" s="11" t="str">
        <f t="shared" si="98"/>
        <v/>
      </c>
      <c r="IB13" s="11" t="str">
        <f t="shared" si="99"/>
        <v/>
      </c>
      <c r="IC13" s="11" t="str">
        <f t="shared" si="100"/>
        <v/>
      </c>
      <c r="ID13" s="11" t="str">
        <f t="shared" si="101"/>
        <v/>
      </c>
      <c r="IE13" s="11" t="str">
        <f t="shared" si="102"/>
        <v/>
      </c>
      <c r="IF13" s="11" t="str">
        <f t="shared" si="103"/>
        <v/>
      </c>
      <c r="IG13" s="11" t="str">
        <f t="shared" si="104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5"/>
        <v/>
      </c>
      <c r="JC13" s="40" t="str">
        <f t="shared" si="106"/>
        <v/>
      </c>
      <c r="JD13" s="40" t="str">
        <f t="shared" si="107"/>
        <v/>
      </c>
      <c r="JE13" s="40" t="str">
        <f t="shared" si="108"/>
        <v/>
      </c>
      <c r="JF13" s="40" t="str">
        <f t="shared" si="109"/>
        <v/>
      </c>
      <c r="JG13" s="40" t="str">
        <f t="shared" si="110"/>
        <v/>
      </c>
      <c r="JH13" s="40" t="str">
        <f t="shared" si="111"/>
        <v/>
      </c>
      <c r="JI13" s="40" t="str">
        <f t="shared" si="112"/>
        <v/>
      </c>
      <c r="JJ13" s="40" t="str">
        <f t="shared" si="113"/>
        <v/>
      </c>
      <c r="JK13" s="40" t="str">
        <f t="shared" si="114"/>
        <v/>
      </c>
      <c r="JL13" s="40" t="str">
        <f t="shared" si="115"/>
        <v/>
      </c>
      <c r="JM13" s="40" t="str">
        <f t="shared" si="116"/>
        <v/>
      </c>
      <c r="JN13" s="40" t="str">
        <f t="shared" si="117"/>
        <v/>
      </c>
      <c r="JO13" s="40" t="str">
        <f t="shared" si="118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9"/>
        <v/>
      </c>
      <c r="KK13" s="11" t="str">
        <f t="shared" si="120"/>
        <v/>
      </c>
      <c r="KL13" s="11" t="str">
        <f t="shared" si="121"/>
        <v/>
      </c>
      <c r="KM13" s="11" t="str">
        <f t="shared" si="122"/>
        <v/>
      </c>
      <c r="KN13" s="11" t="str">
        <f t="shared" si="123"/>
        <v/>
      </c>
      <c r="KO13" s="11" t="str">
        <f t="shared" si="124"/>
        <v/>
      </c>
      <c r="KP13" s="11" t="str">
        <f t="shared" si="125"/>
        <v/>
      </c>
      <c r="KQ13" s="11" t="str">
        <f t="shared" si="126"/>
        <v/>
      </c>
      <c r="KR13" s="11" t="str">
        <f t="shared" si="127"/>
        <v/>
      </c>
      <c r="KS13" s="11" t="str">
        <f t="shared" si="128"/>
        <v/>
      </c>
      <c r="KT13" s="11" t="str">
        <f t="shared" si="129"/>
        <v/>
      </c>
      <c r="KU13" s="11" t="str">
        <f t="shared" si="130"/>
        <v/>
      </c>
      <c r="KV13" s="11" t="str">
        <f t="shared" si="131"/>
        <v/>
      </c>
      <c r="KW13" s="11" t="str">
        <f t="shared" si="132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3"/>
        <v/>
      </c>
      <c r="LS13" s="40" t="str">
        <f t="shared" si="134"/>
        <v/>
      </c>
      <c r="LT13" s="40" t="str">
        <f t="shared" si="135"/>
        <v/>
      </c>
      <c r="LU13" s="40" t="str">
        <f t="shared" si="136"/>
        <v/>
      </c>
      <c r="LV13" s="40" t="str">
        <f t="shared" si="137"/>
        <v/>
      </c>
      <c r="LW13" s="40" t="str">
        <f t="shared" si="138"/>
        <v/>
      </c>
      <c r="LX13" s="40" t="str">
        <f t="shared" si="139"/>
        <v/>
      </c>
      <c r="LY13" s="40" t="str">
        <f t="shared" si="140"/>
        <v/>
      </c>
      <c r="LZ13" s="40" t="str">
        <f t="shared" si="141"/>
        <v/>
      </c>
      <c r="MA13" s="40" t="str">
        <f t="shared" si="142"/>
        <v/>
      </c>
      <c r="MB13" s="40" t="str">
        <f t="shared" si="143"/>
        <v/>
      </c>
      <c r="MC13" s="40" t="str">
        <f t="shared" si="144"/>
        <v/>
      </c>
      <c r="MD13" s="40" t="str">
        <f t="shared" si="145"/>
        <v/>
      </c>
      <c r="ME13" s="40" t="str">
        <f t="shared" si="146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7"/>
        <v/>
      </c>
      <c r="NA13" s="11" t="str">
        <f t="shared" si="148"/>
        <v/>
      </c>
      <c r="NB13" s="11" t="str">
        <f t="shared" si="149"/>
        <v/>
      </c>
      <c r="NC13" s="11" t="str">
        <f t="shared" si="150"/>
        <v/>
      </c>
      <c r="ND13" s="11" t="str">
        <f t="shared" si="151"/>
        <v/>
      </c>
      <c r="NE13" s="11" t="str">
        <f t="shared" si="152"/>
        <v/>
      </c>
      <c r="NF13" s="11" t="str">
        <f t="shared" si="153"/>
        <v/>
      </c>
      <c r="NG13" s="11" t="str">
        <f t="shared" si="154"/>
        <v/>
      </c>
      <c r="NH13" s="11" t="str">
        <f t="shared" si="155"/>
        <v/>
      </c>
      <c r="NI13" s="11" t="str">
        <f t="shared" si="156"/>
        <v/>
      </c>
      <c r="NJ13" s="11" t="str">
        <f t="shared" si="157"/>
        <v/>
      </c>
      <c r="NK13" s="11" t="str">
        <f t="shared" si="158"/>
        <v/>
      </c>
      <c r="NL13" s="11" t="str">
        <f t="shared" si="159"/>
        <v/>
      </c>
      <c r="NM13" s="11" t="str">
        <f t="shared" si="160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1"/>
        <v/>
      </c>
      <c r="OI13" s="40" t="str">
        <f t="shared" si="162"/>
        <v/>
      </c>
      <c r="OJ13" s="40" t="str">
        <f t="shared" si="163"/>
        <v/>
      </c>
      <c r="OK13" s="40" t="str">
        <f t="shared" si="164"/>
        <v/>
      </c>
      <c r="OL13" s="40" t="str">
        <f t="shared" si="165"/>
        <v/>
      </c>
      <c r="OM13" s="40" t="str">
        <f t="shared" si="166"/>
        <v/>
      </c>
      <c r="ON13" s="40" t="str">
        <f t="shared" si="167"/>
        <v/>
      </c>
      <c r="OO13" s="40" t="str">
        <f t="shared" si="168"/>
        <v/>
      </c>
      <c r="OP13" s="40" t="str">
        <f t="shared" si="169"/>
        <v/>
      </c>
      <c r="OQ13" s="40" t="str">
        <f t="shared" si="170"/>
        <v/>
      </c>
      <c r="OR13" s="40" t="str">
        <f t="shared" si="171"/>
        <v/>
      </c>
      <c r="OS13" s="40" t="str">
        <f t="shared" si="172"/>
        <v/>
      </c>
      <c r="OT13" s="40" t="str">
        <f t="shared" si="173"/>
        <v/>
      </c>
      <c r="OU13" s="40" t="str">
        <f t="shared" si="174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5"/>
        <v/>
      </c>
      <c r="PQ13" s="11" t="str">
        <f t="shared" si="176"/>
        <v/>
      </c>
      <c r="PR13" s="11" t="str">
        <f t="shared" si="177"/>
        <v/>
      </c>
      <c r="PS13" s="11" t="str">
        <f t="shared" si="178"/>
        <v/>
      </c>
      <c r="PT13" s="11" t="str">
        <f t="shared" si="179"/>
        <v/>
      </c>
      <c r="PU13" s="11" t="str">
        <f t="shared" si="180"/>
        <v/>
      </c>
      <c r="PV13" s="11" t="str">
        <f t="shared" si="181"/>
        <v/>
      </c>
      <c r="PW13" s="11" t="str">
        <f t="shared" si="182"/>
        <v/>
      </c>
      <c r="PX13" s="11" t="str">
        <f t="shared" si="183"/>
        <v/>
      </c>
      <c r="PY13" s="11" t="str">
        <f t="shared" si="184"/>
        <v/>
      </c>
      <c r="PZ13" s="11" t="str">
        <f t="shared" si="185"/>
        <v/>
      </c>
      <c r="QA13" s="11" t="str">
        <f t="shared" si="186"/>
        <v/>
      </c>
      <c r="QB13" s="11" t="str">
        <f t="shared" si="187"/>
        <v/>
      </c>
      <c r="QC13" s="11" t="str">
        <f t="shared" si="188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9"/>
        <v/>
      </c>
      <c r="QY13" s="40" t="str">
        <f t="shared" si="190"/>
        <v/>
      </c>
      <c r="QZ13" s="40" t="str">
        <f t="shared" si="191"/>
        <v/>
      </c>
      <c r="RA13" s="40" t="str">
        <f t="shared" si="192"/>
        <v/>
      </c>
      <c r="RB13" s="40" t="str">
        <f t="shared" si="193"/>
        <v/>
      </c>
      <c r="RC13" s="40" t="str">
        <f t="shared" si="194"/>
        <v/>
      </c>
      <c r="RD13" s="40" t="str">
        <f t="shared" si="195"/>
        <v/>
      </c>
      <c r="RE13" s="40" t="str">
        <f t="shared" si="196"/>
        <v/>
      </c>
      <c r="RF13" s="40" t="str">
        <f t="shared" si="197"/>
        <v/>
      </c>
      <c r="RG13" s="40" t="str">
        <f t="shared" si="198"/>
        <v/>
      </c>
      <c r="RH13" s="40" t="str">
        <f t="shared" si="199"/>
        <v/>
      </c>
      <c r="RI13" s="40" t="str">
        <f t="shared" si="200"/>
        <v/>
      </c>
      <c r="RJ13" s="40" t="str">
        <f t="shared" si="201"/>
        <v/>
      </c>
      <c r="RK13" s="40" t="str">
        <f t="shared" si="202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3"/>
        <v/>
      </c>
      <c r="SG13" s="11" t="str">
        <f t="shared" si="204"/>
        <v/>
      </c>
      <c r="SH13" s="11" t="str">
        <f t="shared" si="205"/>
        <v/>
      </c>
      <c r="SI13" s="11" t="str">
        <f t="shared" si="206"/>
        <v/>
      </c>
      <c r="SJ13" s="11" t="str">
        <f t="shared" si="207"/>
        <v/>
      </c>
      <c r="SK13" s="11" t="str">
        <f t="shared" si="208"/>
        <v/>
      </c>
      <c r="SL13" s="11" t="str">
        <f t="shared" si="209"/>
        <v/>
      </c>
      <c r="SM13" s="11" t="str">
        <f t="shared" si="210"/>
        <v/>
      </c>
      <c r="SN13" s="11" t="str">
        <f t="shared" si="211"/>
        <v/>
      </c>
      <c r="SO13" s="11" t="str">
        <f t="shared" si="212"/>
        <v/>
      </c>
      <c r="SP13" s="11" t="str">
        <f t="shared" si="213"/>
        <v/>
      </c>
      <c r="SQ13" s="11" t="str">
        <f t="shared" si="214"/>
        <v/>
      </c>
      <c r="SR13" s="11" t="str">
        <f t="shared" si="215"/>
        <v/>
      </c>
      <c r="SS13" s="11" t="str">
        <f t="shared" si="216"/>
        <v/>
      </c>
      <c r="ST13" s="22">
        <f t="shared" si="217"/>
        <v>5.2</v>
      </c>
      <c r="SU13" s="22">
        <f t="shared" si="218"/>
        <v>4.5999999999999996</v>
      </c>
      <c r="SV13" s="22">
        <f t="shared" si="219"/>
        <v>4.5999999999999996</v>
      </c>
      <c r="SW13" s="22">
        <f t="shared" si="220"/>
        <v>6.56</v>
      </c>
      <c r="SX13" s="22">
        <f t="shared" si="221"/>
        <v>0</v>
      </c>
      <c r="SY13" s="22">
        <f t="shared" si="222"/>
        <v>6.45</v>
      </c>
      <c r="SZ13" s="22">
        <f t="shared" si="223"/>
        <v>4.75</v>
      </c>
      <c r="TA13" s="22">
        <f t="shared" si="224"/>
        <v>4.55</v>
      </c>
      <c r="TB13" s="22">
        <f t="shared" si="225"/>
        <v>6.6950000000000003</v>
      </c>
      <c r="TC13" s="22">
        <f t="shared" si="226"/>
        <v>0</v>
      </c>
      <c r="TD13" s="22">
        <f t="shared" si="227"/>
        <v>7.15</v>
      </c>
      <c r="TE13" s="22">
        <f t="shared" si="228"/>
        <v>4.7</v>
      </c>
      <c r="TF13" s="22">
        <f t="shared" si="229"/>
        <v>4.5999999999999996</v>
      </c>
      <c r="TG13" s="22">
        <f t="shared" si="230"/>
        <v>6.72</v>
      </c>
      <c r="TH13" s="22">
        <f t="shared" si="231"/>
        <v>0</v>
      </c>
      <c r="TI13" s="27" t="s">
        <v>46</v>
      </c>
      <c r="TJ13" s="40">
        <f t="shared" si="232"/>
        <v>4.5999999999999996</v>
      </c>
      <c r="TK13" s="40">
        <f t="shared" si="233"/>
        <v>6.56</v>
      </c>
      <c r="TL13" s="40">
        <f t="shared" si="234"/>
        <v>20.96</v>
      </c>
      <c r="TM13" s="40">
        <f t="shared" si="235"/>
        <v>4.55</v>
      </c>
      <c r="TN13" s="40">
        <f t="shared" si="236"/>
        <v>6.6950000000000003</v>
      </c>
      <c r="TO13" s="40">
        <f t="shared" si="237"/>
        <v>22.445</v>
      </c>
      <c r="TP13" s="40">
        <f t="shared" si="238"/>
        <v>22.445</v>
      </c>
      <c r="TQ13" s="40">
        <f t="shared" si="239"/>
        <v>4.5999999999999996</v>
      </c>
      <c r="TR13" s="40">
        <f t="shared" si="240"/>
        <v>6.72</v>
      </c>
      <c r="TS13" s="40">
        <f t="shared" si="241"/>
        <v>23.17</v>
      </c>
      <c r="TT13" s="40">
        <f t="shared" si="242"/>
        <v>45.615000000000002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162</v>
      </c>
      <c r="C14" s="4" t="s">
        <v>5</v>
      </c>
      <c r="D14" s="4">
        <v>2003</v>
      </c>
      <c r="E14" s="9">
        <f t="shared" si="0"/>
        <v>139.70001397000448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44.78</v>
      </c>
      <c r="K14" s="8" t="str">
        <f t="shared" si="5"/>
        <v>2023 Elite Canada</v>
      </c>
      <c r="L14" s="8">
        <f>IF(COUNT(AO14,AR14,BP14,BS14,CQ14,CT14)&gt;1,LARGE((AO14,AR14,BP14,BS14,CQ14,CT14),2),0)</f>
        <v>41.61</v>
      </c>
      <c r="M14" s="8" t="str">
        <f t="shared" si="6"/>
        <v>2023 Elite Canada</v>
      </c>
      <c r="N14" s="8">
        <f>IF(COUNT(AO14,AR14,BP14,BS14,CQ14,CT14)&gt;2,MAX(AV14,BW14,CX14,LARGE((AO14,AR14,BP14,BS14,CQ14,CT14),3)),IF(MAX(AV14,BW14,CX14)&gt;0,MAX(AV14,BW14,CX14),0))</f>
        <v>43.909999999999989</v>
      </c>
      <c r="O14" s="8" t="str">
        <f t="shared" si="7"/>
        <v>2023 Elite Canada</v>
      </c>
      <c r="P14" s="8">
        <f t="shared" si="8"/>
        <v>9.4</v>
      </c>
      <c r="Q14" s="8" t="str">
        <f t="shared" si="9"/>
        <v>2023 Elite Canada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 t="shared" si="14"/>
        <v>5.4</v>
      </c>
      <c r="AN14" s="38">
        <f t="shared" si="15"/>
        <v>6.18</v>
      </c>
      <c r="AO14" s="40">
        <f t="shared" si="16"/>
        <v>22.880000000000003</v>
      </c>
      <c r="AP14" s="40" t="str">
        <f t="shared" si="17"/>
        <v/>
      </c>
      <c r="AQ14" s="40" t="str">
        <f t="shared" si="18"/>
        <v/>
      </c>
      <c r="AR14" s="40" t="str">
        <f t="shared" si="19"/>
        <v/>
      </c>
      <c r="AS14" s="40">
        <f t="shared" si="20"/>
        <v>22.880000000000003</v>
      </c>
      <c r="AT14" s="40" t="str">
        <f t="shared" si="21"/>
        <v/>
      </c>
      <c r="AU14" s="40" t="str">
        <f t="shared" si="22"/>
        <v/>
      </c>
      <c r="AV14" s="40" t="str">
        <f t="shared" si="23"/>
        <v/>
      </c>
      <c r="AW14" s="40">
        <f t="shared" si="24"/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5"/>
        <v/>
      </c>
      <c r="BO14" s="39" t="str">
        <f t="shared" si="26"/>
        <v/>
      </c>
      <c r="BP14" s="11" t="str">
        <f t="shared" si="27"/>
        <v/>
      </c>
      <c r="BQ14" s="11" t="str">
        <f t="shared" si="28"/>
        <v/>
      </c>
      <c r="BR14" s="11" t="str">
        <f t="shared" si="29"/>
        <v/>
      </c>
      <c r="BS14" s="11" t="str">
        <f t="shared" si="30"/>
        <v/>
      </c>
      <c r="BT14" s="11" t="str">
        <f t="shared" si="31"/>
        <v/>
      </c>
      <c r="BU14" s="11" t="str">
        <f t="shared" si="32"/>
        <v/>
      </c>
      <c r="BV14" s="11" t="str">
        <f t="shared" si="33"/>
        <v/>
      </c>
      <c r="BW14" s="11" t="str">
        <f t="shared" si="34"/>
        <v/>
      </c>
      <c r="BX14" s="11" t="str">
        <f t="shared" si="35"/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 t="shared" si="36"/>
        <v>9.4</v>
      </c>
      <c r="CP14" s="38">
        <f t="shared" si="37"/>
        <v>12.18</v>
      </c>
      <c r="CQ14" s="40">
        <f t="shared" si="38"/>
        <v>44.78</v>
      </c>
      <c r="CR14" s="40">
        <f t="shared" si="39"/>
        <v>7.6</v>
      </c>
      <c r="CS14" s="40">
        <f t="shared" si="40"/>
        <v>12.61</v>
      </c>
      <c r="CT14" s="40">
        <f t="shared" si="41"/>
        <v>41.61</v>
      </c>
      <c r="CU14" s="40">
        <f t="shared" si="42"/>
        <v>44.78</v>
      </c>
      <c r="CV14" s="40">
        <f t="shared" si="43"/>
        <v>8.1999999999999993</v>
      </c>
      <c r="CW14" s="40">
        <f t="shared" si="44"/>
        <v>12.41</v>
      </c>
      <c r="CX14" s="40">
        <f t="shared" si="45"/>
        <v>43.909999999999989</v>
      </c>
      <c r="CY14" s="40">
        <f t="shared" si="46"/>
        <v>88.69</v>
      </c>
      <c r="CZ14" s="50" t="str">
        <f t="shared" si="47"/>
        <v/>
      </c>
      <c r="DA14" s="50" t="str">
        <f t="shared" si="48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9"/>
        <v/>
      </c>
      <c r="DW14" s="40" t="str">
        <f t="shared" si="50"/>
        <v/>
      </c>
      <c r="DX14" s="40" t="str">
        <f t="shared" si="51"/>
        <v/>
      </c>
      <c r="DY14" s="40" t="str">
        <f t="shared" si="52"/>
        <v/>
      </c>
      <c r="DZ14" s="40" t="str">
        <f t="shared" si="53"/>
        <v/>
      </c>
      <c r="EA14" s="40" t="str">
        <f t="shared" si="54"/>
        <v/>
      </c>
      <c r="EB14" s="40" t="str">
        <f t="shared" si="55"/>
        <v/>
      </c>
      <c r="EC14" s="40" t="str">
        <f t="shared" si="56"/>
        <v/>
      </c>
      <c r="ED14" s="40" t="str">
        <f t="shared" si="57"/>
        <v/>
      </c>
      <c r="EE14" s="40" t="str">
        <f t="shared" si="58"/>
        <v/>
      </c>
      <c r="EF14" s="40" t="str">
        <f t="shared" si="59"/>
        <v/>
      </c>
      <c r="EG14" s="40" t="str">
        <f t="shared" si="60"/>
        <v/>
      </c>
      <c r="EH14" s="40" t="str">
        <f t="shared" si="61"/>
        <v/>
      </c>
      <c r="EI14" s="40" t="str">
        <f t="shared" si="62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3"/>
        <v/>
      </c>
      <c r="FE14" s="11" t="str">
        <f t="shared" si="64"/>
        <v/>
      </c>
      <c r="FF14" s="11" t="str">
        <f t="shared" si="65"/>
        <v/>
      </c>
      <c r="FG14" s="11" t="str">
        <f t="shared" si="66"/>
        <v/>
      </c>
      <c r="FH14" s="11" t="str">
        <f t="shared" si="67"/>
        <v/>
      </c>
      <c r="FI14" s="11" t="str">
        <f t="shared" si="68"/>
        <v/>
      </c>
      <c r="FJ14" s="11" t="str">
        <f t="shared" si="69"/>
        <v/>
      </c>
      <c r="FK14" s="11" t="str">
        <f t="shared" si="70"/>
        <v/>
      </c>
      <c r="FL14" s="11" t="str">
        <f t="shared" si="71"/>
        <v/>
      </c>
      <c r="FM14" s="11" t="str">
        <f t="shared" si="72"/>
        <v/>
      </c>
      <c r="FN14" s="11" t="str">
        <f t="shared" si="73"/>
        <v/>
      </c>
      <c r="FO14" s="11" t="str">
        <f t="shared" si="74"/>
        <v/>
      </c>
      <c r="FP14" s="11" t="str">
        <f t="shared" si="75"/>
        <v/>
      </c>
      <c r="FQ14" s="11" t="str">
        <f t="shared" si="76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7"/>
        <v/>
      </c>
      <c r="GM14" s="40" t="str">
        <f t="shared" si="78"/>
        <v/>
      </c>
      <c r="GN14" s="40" t="str">
        <f t="shared" si="79"/>
        <v/>
      </c>
      <c r="GO14" s="40" t="str">
        <f t="shared" si="80"/>
        <v/>
      </c>
      <c r="GP14" s="40" t="str">
        <f t="shared" si="81"/>
        <v/>
      </c>
      <c r="GQ14" s="40" t="str">
        <f t="shared" si="82"/>
        <v/>
      </c>
      <c r="GR14" s="40" t="str">
        <f t="shared" si="83"/>
        <v/>
      </c>
      <c r="GS14" s="40" t="str">
        <f t="shared" si="84"/>
        <v/>
      </c>
      <c r="GT14" s="40" t="str">
        <f t="shared" si="85"/>
        <v/>
      </c>
      <c r="GU14" s="40" t="str">
        <f t="shared" si="86"/>
        <v/>
      </c>
      <c r="GV14" s="40" t="str">
        <f t="shared" si="87"/>
        <v/>
      </c>
      <c r="GW14" s="40" t="str">
        <f t="shared" si="88"/>
        <v/>
      </c>
      <c r="GX14" s="40" t="str">
        <f t="shared" si="89"/>
        <v/>
      </c>
      <c r="GY14" s="40" t="str">
        <f t="shared" si="90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1"/>
        <v/>
      </c>
      <c r="HU14" s="11" t="str">
        <f t="shared" si="92"/>
        <v/>
      </c>
      <c r="HV14" s="11" t="str">
        <f t="shared" si="93"/>
        <v/>
      </c>
      <c r="HW14" s="11" t="str">
        <f t="shared" si="94"/>
        <v/>
      </c>
      <c r="HX14" s="11" t="str">
        <f t="shared" si="95"/>
        <v/>
      </c>
      <c r="HY14" s="11" t="str">
        <f t="shared" si="96"/>
        <v/>
      </c>
      <c r="HZ14" s="11" t="str">
        <f t="shared" si="97"/>
        <v/>
      </c>
      <c r="IA14" s="11" t="str">
        <f t="shared" si="98"/>
        <v/>
      </c>
      <c r="IB14" s="11" t="str">
        <f t="shared" si="99"/>
        <v/>
      </c>
      <c r="IC14" s="11" t="str">
        <f t="shared" si="100"/>
        <v/>
      </c>
      <c r="ID14" s="11" t="str">
        <f t="shared" si="101"/>
        <v/>
      </c>
      <c r="IE14" s="11" t="str">
        <f t="shared" si="102"/>
        <v/>
      </c>
      <c r="IF14" s="11" t="str">
        <f t="shared" si="103"/>
        <v/>
      </c>
      <c r="IG14" s="11" t="str">
        <f t="shared" si="104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5"/>
        <v/>
      </c>
      <c r="JC14" s="40" t="str">
        <f t="shared" si="106"/>
        <v/>
      </c>
      <c r="JD14" s="40" t="str">
        <f t="shared" si="107"/>
        <v/>
      </c>
      <c r="JE14" s="40" t="str">
        <f t="shared" si="108"/>
        <v/>
      </c>
      <c r="JF14" s="40" t="str">
        <f t="shared" si="109"/>
        <v/>
      </c>
      <c r="JG14" s="40" t="str">
        <f t="shared" si="110"/>
        <v/>
      </c>
      <c r="JH14" s="40" t="str">
        <f t="shared" si="111"/>
        <v/>
      </c>
      <c r="JI14" s="40" t="str">
        <f t="shared" si="112"/>
        <v/>
      </c>
      <c r="JJ14" s="40" t="str">
        <f t="shared" si="113"/>
        <v/>
      </c>
      <c r="JK14" s="40" t="str">
        <f t="shared" si="114"/>
        <v/>
      </c>
      <c r="JL14" s="40" t="str">
        <f t="shared" si="115"/>
        <v/>
      </c>
      <c r="JM14" s="40" t="str">
        <f t="shared" si="116"/>
        <v/>
      </c>
      <c r="JN14" s="40" t="str">
        <f t="shared" si="117"/>
        <v/>
      </c>
      <c r="JO14" s="40" t="str">
        <f t="shared" si="118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9"/>
        <v/>
      </c>
      <c r="KK14" s="11" t="str">
        <f t="shared" si="120"/>
        <v/>
      </c>
      <c r="KL14" s="11" t="str">
        <f t="shared" si="121"/>
        <v/>
      </c>
      <c r="KM14" s="11" t="str">
        <f t="shared" si="122"/>
        <v/>
      </c>
      <c r="KN14" s="11" t="str">
        <f t="shared" si="123"/>
        <v/>
      </c>
      <c r="KO14" s="11" t="str">
        <f t="shared" si="124"/>
        <v/>
      </c>
      <c r="KP14" s="11" t="str">
        <f t="shared" si="125"/>
        <v/>
      </c>
      <c r="KQ14" s="11" t="str">
        <f t="shared" si="126"/>
        <v/>
      </c>
      <c r="KR14" s="11" t="str">
        <f t="shared" si="127"/>
        <v/>
      </c>
      <c r="KS14" s="11" t="str">
        <f t="shared" si="128"/>
        <v/>
      </c>
      <c r="KT14" s="11" t="str">
        <f t="shared" si="129"/>
        <v/>
      </c>
      <c r="KU14" s="11" t="str">
        <f t="shared" si="130"/>
        <v/>
      </c>
      <c r="KV14" s="11" t="str">
        <f t="shared" si="131"/>
        <v/>
      </c>
      <c r="KW14" s="11" t="str">
        <f t="shared" si="132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3"/>
        <v/>
      </c>
      <c r="LS14" s="40" t="str">
        <f t="shared" si="134"/>
        <v/>
      </c>
      <c r="LT14" s="40" t="str">
        <f t="shared" si="135"/>
        <v/>
      </c>
      <c r="LU14" s="40" t="str">
        <f t="shared" si="136"/>
        <v/>
      </c>
      <c r="LV14" s="40" t="str">
        <f t="shared" si="137"/>
        <v/>
      </c>
      <c r="LW14" s="40" t="str">
        <f t="shared" si="138"/>
        <v/>
      </c>
      <c r="LX14" s="40" t="str">
        <f t="shared" si="139"/>
        <v/>
      </c>
      <c r="LY14" s="40" t="str">
        <f t="shared" si="140"/>
        <v/>
      </c>
      <c r="LZ14" s="40" t="str">
        <f t="shared" si="141"/>
        <v/>
      </c>
      <c r="MA14" s="40" t="str">
        <f t="shared" si="142"/>
        <v/>
      </c>
      <c r="MB14" s="40" t="str">
        <f t="shared" si="143"/>
        <v/>
      </c>
      <c r="MC14" s="40" t="str">
        <f t="shared" si="144"/>
        <v/>
      </c>
      <c r="MD14" s="40" t="str">
        <f t="shared" si="145"/>
        <v/>
      </c>
      <c r="ME14" s="40" t="str">
        <f t="shared" si="146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7"/>
        <v/>
      </c>
      <c r="NA14" s="11" t="str">
        <f t="shared" si="148"/>
        <v/>
      </c>
      <c r="NB14" s="11" t="str">
        <f t="shared" si="149"/>
        <v/>
      </c>
      <c r="NC14" s="11" t="str">
        <f t="shared" si="150"/>
        <v/>
      </c>
      <c r="ND14" s="11" t="str">
        <f t="shared" si="151"/>
        <v/>
      </c>
      <c r="NE14" s="11" t="str">
        <f t="shared" si="152"/>
        <v/>
      </c>
      <c r="NF14" s="11" t="str">
        <f t="shared" si="153"/>
        <v/>
      </c>
      <c r="NG14" s="11" t="str">
        <f t="shared" si="154"/>
        <v/>
      </c>
      <c r="NH14" s="11" t="str">
        <f t="shared" si="155"/>
        <v/>
      </c>
      <c r="NI14" s="11" t="str">
        <f t="shared" si="156"/>
        <v/>
      </c>
      <c r="NJ14" s="11" t="str">
        <f t="shared" si="157"/>
        <v/>
      </c>
      <c r="NK14" s="11" t="str">
        <f t="shared" si="158"/>
        <v/>
      </c>
      <c r="NL14" s="11" t="str">
        <f t="shared" si="159"/>
        <v/>
      </c>
      <c r="NM14" s="11" t="str">
        <f t="shared" si="160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1"/>
        <v/>
      </c>
      <c r="OI14" s="40" t="str">
        <f t="shared" si="162"/>
        <v/>
      </c>
      <c r="OJ14" s="40" t="str">
        <f t="shared" si="163"/>
        <v/>
      </c>
      <c r="OK14" s="40" t="str">
        <f t="shared" si="164"/>
        <v/>
      </c>
      <c r="OL14" s="40" t="str">
        <f t="shared" si="165"/>
        <v/>
      </c>
      <c r="OM14" s="40" t="str">
        <f t="shared" si="166"/>
        <v/>
      </c>
      <c r="ON14" s="40" t="str">
        <f t="shared" si="167"/>
        <v/>
      </c>
      <c r="OO14" s="40" t="str">
        <f t="shared" si="168"/>
        <v/>
      </c>
      <c r="OP14" s="40" t="str">
        <f t="shared" si="169"/>
        <v/>
      </c>
      <c r="OQ14" s="40" t="str">
        <f t="shared" si="170"/>
        <v/>
      </c>
      <c r="OR14" s="40" t="str">
        <f t="shared" si="171"/>
        <v/>
      </c>
      <c r="OS14" s="40" t="str">
        <f t="shared" si="172"/>
        <v/>
      </c>
      <c r="OT14" s="40" t="str">
        <f t="shared" si="173"/>
        <v/>
      </c>
      <c r="OU14" s="40" t="str">
        <f t="shared" si="174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5"/>
        <v/>
      </c>
      <c r="PQ14" s="11" t="str">
        <f t="shared" si="176"/>
        <v/>
      </c>
      <c r="PR14" s="11" t="str">
        <f t="shared" si="177"/>
        <v/>
      </c>
      <c r="PS14" s="11" t="str">
        <f t="shared" si="178"/>
        <v/>
      </c>
      <c r="PT14" s="11" t="str">
        <f t="shared" si="179"/>
        <v/>
      </c>
      <c r="PU14" s="11" t="str">
        <f t="shared" si="180"/>
        <v/>
      </c>
      <c r="PV14" s="11" t="str">
        <f t="shared" si="181"/>
        <v/>
      </c>
      <c r="PW14" s="11" t="str">
        <f t="shared" si="182"/>
        <v/>
      </c>
      <c r="PX14" s="11" t="str">
        <f t="shared" si="183"/>
        <v/>
      </c>
      <c r="PY14" s="11" t="str">
        <f t="shared" si="184"/>
        <v/>
      </c>
      <c r="PZ14" s="11" t="str">
        <f t="shared" si="185"/>
        <v/>
      </c>
      <c r="QA14" s="11" t="str">
        <f t="shared" si="186"/>
        <v/>
      </c>
      <c r="QB14" s="11" t="str">
        <f t="shared" si="187"/>
        <v/>
      </c>
      <c r="QC14" s="11" t="str">
        <f t="shared" si="188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9"/>
        <v/>
      </c>
      <c r="QY14" s="40" t="str">
        <f t="shared" si="190"/>
        <v/>
      </c>
      <c r="QZ14" s="40" t="str">
        <f t="shared" si="191"/>
        <v/>
      </c>
      <c r="RA14" s="40" t="str">
        <f t="shared" si="192"/>
        <v/>
      </c>
      <c r="RB14" s="40" t="str">
        <f t="shared" si="193"/>
        <v/>
      </c>
      <c r="RC14" s="40" t="str">
        <f t="shared" si="194"/>
        <v/>
      </c>
      <c r="RD14" s="40" t="str">
        <f t="shared" si="195"/>
        <v/>
      </c>
      <c r="RE14" s="40" t="str">
        <f t="shared" si="196"/>
        <v/>
      </c>
      <c r="RF14" s="40" t="str">
        <f t="shared" si="197"/>
        <v/>
      </c>
      <c r="RG14" s="40" t="str">
        <f t="shared" si="198"/>
        <v/>
      </c>
      <c r="RH14" s="40" t="str">
        <f t="shared" si="199"/>
        <v/>
      </c>
      <c r="RI14" s="40" t="str">
        <f t="shared" si="200"/>
        <v/>
      </c>
      <c r="RJ14" s="40" t="str">
        <f t="shared" si="201"/>
        <v/>
      </c>
      <c r="RK14" s="40" t="str">
        <f t="shared" si="202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3"/>
        <v/>
      </c>
      <c r="SG14" s="11" t="str">
        <f t="shared" si="204"/>
        <v/>
      </c>
      <c r="SH14" s="11" t="str">
        <f t="shared" si="205"/>
        <v/>
      </c>
      <c r="SI14" s="11" t="str">
        <f t="shared" si="206"/>
        <v/>
      </c>
      <c r="SJ14" s="11" t="str">
        <f t="shared" si="207"/>
        <v/>
      </c>
      <c r="SK14" s="11" t="str">
        <f t="shared" si="208"/>
        <v/>
      </c>
      <c r="SL14" s="11" t="str">
        <f t="shared" si="209"/>
        <v/>
      </c>
      <c r="SM14" s="11" t="str">
        <f t="shared" si="210"/>
        <v/>
      </c>
      <c r="SN14" s="11" t="str">
        <f t="shared" si="211"/>
        <v/>
      </c>
      <c r="SO14" s="11" t="str">
        <f t="shared" si="212"/>
        <v/>
      </c>
      <c r="SP14" s="11" t="str">
        <f t="shared" si="213"/>
        <v/>
      </c>
      <c r="SQ14" s="11" t="str">
        <f t="shared" si="214"/>
        <v/>
      </c>
      <c r="SR14" s="11" t="str">
        <f t="shared" si="215"/>
        <v/>
      </c>
      <c r="SS14" s="11" t="str">
        <f t="shared" si="216"/>
        <v/>
      </c>
      <c r="ST14" s="22">
        <f t="shared" si="217"/>
        <v>6.85</v>
      </c>
      <c r="SU14" s="22">
        <f t="shared" si="218"/>
        <v>4.75</v>
      </c>
      <c r="SV14" s="22">
        <f t="shared" si="219"/>
        <v>4.7</v>
      </c>
      <c r="SW14" s="22">
        <f t="shared" si="220"/>
        <v>6.09</v>
      </c>
      <c r="SX14" s="22">
        <f t="shared" si="221"/>
        <v>0</v>
      </c>
      <c r="SY14" s="22">
        <f t="shared" si="222"/>
        <v>6.8</v>
      </c>
      <c r="SZ14" s="22">
        <f t="shared" si="223"/>
        <v>4.5</v>
      </c>
      <c r="TA14" s="22">
        <f t="shared" si="224"/>
        <v>3.8</v>
      </c>
      <c r="TB14" s="22">
        <f t="shared" si="225"/>
        <v>6.3049999999999997</v>
      </c>
      <c r="TC14" s="22">
        <f t="shared" si="226"/>
        <v>0.6</v>
      </c>
      <c r="TD14" s="22">
        <f t="shared" si="227"/>
        <v>7.1</v>
      </c>
      <c r="TE14" s="22">
        <f t="shared" si="228"/>
        <v>4.8499999999999996</v>
      </c>
      <c r="TF14" s="22">
        <f t="shared" si="229"/>
        <v>4.0999999999999996</v>
      </c>
      <c r="TG14" s="22">
        <f t="shared" si="230"/>
        <v>6.2050000000000001</v>
      </c>
      <c r="TH14" s="22">
        <f t="shared" si="231"/>
        <v>0.3</v>
      </c>
      <c r="TI14" s="27" t="s">
        <v>46</v>
      </c>
      <c r="TJ14" s="40">
        <f t="shared" si="232"/>
        <v>4.7</v>
      </c>
      <c r="TK14" s="40">
        <f t="shared" si="233"/>
        <v>6.09</v>
      </c>
      <c r="TL14" s="40">
        <f t="shared" si="234"/>
        <v>22.39</v>
      </c>
      <c r="TM14" s="40">
        <f t="shared" si="235"/>
        <v>3.8</v>
      </c>
      <c r="TN14" s="40">
        <f t="shared" si="236"/>
        <v>6.3049999999999997</v>
      </c>
      <c r="TO14" s="40">
        <f t="shared" si="237"/>
        <v>20.805</v>
      </c>
      <c r="TP14" s="40">
        <f t="shared" si="238"/>
        <v>22.39</v>
      </c>
      <c r="TQ14" s="40">
        <f t="shared" si="239"/>
        <v>4.0999999999999996</v>
      </c>
      <c r="TR14" s="40">
        <f t="shared" si="240"/>
        <v>6.2050000000000001</v>
      </c>
      <c r="TS14" s="40">
        <f t="shared" si="241"/>
        <v>21.954999999999995</v>
      </c>
      <c r="TT14" s="40">
        <f t="shared" si="242"/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156</v>
      </c>
      <c r="C15" s="4" t="s">
        <v>4</v>
      </c>
      <c r="D15" s="4">
        <v>2004</v>
      </c>
      <c r="E15" s="9">
        <f t="shared" si="0"/>
        <v>135.56001355600429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42.879999999999995</v>
      </c>
      <c r="K15" s="8" t="str">
        <f t="shared" si="5"/>
        <v>2022 Nationals</v>
      </c>
      <c r="L15" s="8">
        <f>IF(COUNT(AO15,AR15,BP15,BS15,CQ15,CT15)&gt;1,LARGE((AO15,AR15,BP15,BS15,CQ15,CT15),2),0)</f>
        <v>39.92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44.46</v>
      </c>
      <c r="O15" s="8" t="str">
        <f t="shared" si="7"/>
        <v>2022 Nationals</v>
      </c>
      <c r="P15" s="8">
        <f t="shared" si="8"/>
        <v>8.3000000000000007</v>
      </c>
      <c r="Q15" s="8" t="str">
        <f t="shared" si="9"/>
        <v>2022 Nationals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 t="shared" si="14"/>
        <v>8.3000000000000007</v>
      </c>
      <c r="AN15" s="38">
        <f t="shared" si="15"/>
        <v>12.78</v>
      </c>
      <c r="AO15" s="40">
        <f t="shared" si="16"/>
        <v>42.879999999999995</v>
      </c>
      <c r="AP15" s="40" t="str">
        <f t="shared" si="17"/>
        <v/>
      </c>
      <c r="AQ15" s="40" t="str">
        <f t="shared" si="18"/>
        <v/>
      </c>
      <c r="AR15" s="40" t="str">
        <f t="shared" si="19"/>
        <v/>
      </c>
      <c r="AS15" s="40">
        <f t="shared" si="20"/>
        <v>42.879999999999995</v>
      </c>
      <c r="AT15" s="40">
        <f t="shared" si="21"/>
        <v>8.3000000000000007</v>
      </c>
      <c r="AU15" s="40">
        <f t="shared" si="22"/>
        <v>13.16</v>
      </c>
      <c r="AV15" s="40">
        <f t="shared" si="23"/>
        <v>44.46</v>
      </c>
      <c r="AW15" s="40">
        <f t="shared" si="24"/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5"/>
        <v/>
      </c>
      <c r="BO15" s="39" t="str">
        <f t="shared" si="26"/>
        <v/>
      </c>
      <c r="BP15" s="11" t="str">
        <f t="shared" si="27"/>
        <v/>
      </c>
      <c r="BQ15" s="11" t="str">
        <f t="shared" si="28"/>
        <v/>
      </c>
      <c r="BR15" s="11" t="str">
        <f t="shared" si="29"/>
        <v/>
      </c>
      <c r="BS15" s="11" t="str">
        <f t="shared" si="30"/>
        <v/>
      </c>
      <c r="BT15" s="11" t="str">
        <f t="shared" si="31"/>
        <v/>
      </c>
      <c r="BU15" s="11" t="str">
        <f t="shared" si="32"/>
        <v/>
      </c>
      <c r="BV15" s="11" t="str">
        <f t="shared" si="33"/>
        <v/>
      </c>
      <c r="BW15" s="11" t="str">
        <f t="shared" si="34"/>
        <v/>
      </c>
      <c r="BX15" s="11" t="str">
        <f t="shared" si="35"/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6"/>
        <v>7.9</v>
      </c>
      <c r="CP15" s="38">
        <f t="shared" si="37"/>
        <v>11.32</v>
      </c>
      <c r="CQ15" s="40">
        <f t="shared" si="38"/>
        <v>39.92</v>
      </c>
      <c r="CR15" s="40">
        <f t="shared" si="39"/>
        <v>5</v>
      </c>
      <c r="CS15" s="40">
        <f t="shared" si="40"/>
        <v>5.12</v>
      </c>
      <c r="CT15" s="40">
        <f t="shared" si="41"/>
        <v>18.920000000000002</v>
      </c>
      <c r="CU15" s="40">
        <f t="shared" si="42"/>
        <v>39.92</v>
      </c>
      <c r="CV15" s="40" t="str">
        <f t="shared" si="43"/>
        <v/>
      </c>
      <c r="CW15" s="40" t="str">
        <f t="shared" si="44"/>
        <v/>
      </c>
      <c r="CX15" s="40" t="str">
        <f t="shared" si="45"/>
        <v/>
      </c>
      <c r="CY15" s="40">
        <f t="shared" si="46"/>
        <v>39.92</v>
      </c>
      <c r="CZ15" s="50" t="str">
        <f t="shared" si="47"/>
        <v/>
      </c>
      <c r="DA15" s="50" t="str">
        <f t="shared" si="48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9"/>
        <v/>
      </c>
      <c r="DW15" s="40" t="str">
        <f t="shared" si="50"/>
        <v/>
      </c>
      <c r="DX15" s="40" t="str">
        <f t="shared" si="51"/>
        <v/>
      </c>
      <c r="DY15" s="40" t="str">
        <f t="shared" si="52"/>
        <v/>
      </c>
      <c r="DZ15" s="40" t="str">
        <f t="shared" si="53"/>
        <v/>
      </c>
      <c r="EA15" s="40" t="str">
        <f t="shared" si="54"/>
        <v/>
      </c>
      <c r="EB15" s="40" t="str">
        <f t="shared" si="55"/>
        <v/>
      </c>
      <c r="EC15" s="40" t="str">
        <f t="shared" si="56"/>
        <v/>
      </c>
      <c r="ED15" s="40" t="str">
        <f t="shared" si="57"/>
        <v/>
      </c>
      <c r="EE15" s="40" t="str">
        <f t="shared" si="58"/>
        <v/>
      </c>
      <c r="EF15" s="40" t="str">
        <f t="shared" si="59"/>
        <v/>
      </c>
      <c r="EG15" s="40" t="str">
        <f t="shared" si="60"/>
        <v/>
      </c>
      <c r="EH15" s="40" t="str">
        <f t="shared" si="61"/>
        <v/>
      </c>
      <c r="EI15" s="40" t="str">
        <f t="shared" si="62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3"/>
        <v/>
      </c>
      <c r="FE15" s="11" t="str">
        <f t="shared" si="64"/>
        <v/>
      </c>
      <c r="FF15" s="11" t="str">
        <f t="shared" si="65"/>
        <v/>
      </c>
      <c r="FG15" s="11" t="str">
        <f t="shared" si="66"/>
        <v/>
      </c>
      <c r="FH15" s="11" t="str">
        <f t="shared" si="67"/>
        <v/>
      </c>
      <c r="FI15" s="11" t="str">
        <f t="shared" si="68"/>
        <v/>
      </c>
      <c r="FJ15" s="11" t="str">
        <f t="shared" si="69"/>
        <v/>
      </c>
      <c r="FK15" s="11" t="str">
        <f t="shared" si="70"/>
        <v/>
      </c>
      <c r="FL15" s="11" t="str">
        <f t="shared" si="71"/>
        <v/>
      </c>
      <c r="FM15" s="11" t="str">
        <f t="shared" si="72"/>
        <v/>
      </c>
      <c r="FN15" s="11" t="str">
        <f t="shared" si="73"/>
        <v/>
      </c>
      <c r="FO15" s="11" t="str">
        <f t="shared" si="74"/>
        <v/>
      </c>
      <c r="FP15" s="11" t="str">
        <f t="shared" si="75"/>
        <v/>
      </c>
      <c r="FQ15" s="11" t="str">
        <f t="shared" si="76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7"/>
        <v/>
      </c>
      <c r="GM15" s="40" t="str">
        <f t="shared" si="78"/>
        <v/>
      </c>
      <c r="GN15" s="40" t="str">
        <f t="shared" si="79"/>
        <v/>
      </c>
      <c r="GO15" s="40" t="str">
        <f t="shared" si="80"/>
        <v/>
      </c>
      <c r="GP15" s="40" t="str">
        <f t="shared" si="81"/>
        <v/>
      </c>
      <c r="GQ15" s="40" t="str">
        <f t="shared" si="82"/>
        <v/>
      </c>
      <c r="GR15" s="40" t="str">
        <f t="shared" si="83"/>
        <v/>
      </c>
      <c r="GS15" s="40" t="str">
        <f t="shared" si="84"/>
        <v/>
      </c>
      <c r="GT15" s="40" t="str">
        <f t="shared" si="85"/>
        <v/>
      </c>
      <c r="GU15" s="40" t="str">
        <f t="shared" si="86"/>
        <v/>
      </c>
      <c r="GV15" s="40" t="str">
        <f t="shared" si="87"/>
        <v/>
      </c>
      <c r="GW15" s="40" t="str">
        <f t="shared" si="88"/>
        <v/>
      </c>
      <c r="GX15" s="40" t="str">
        <f t="shared" si="89"/>
        <v/>
      </c>
      <c r="GY15" s="40" t="str">
        <f t="shared" si="90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1"/>
        <v/>
      </c>
      <c r="HU15" s="11" t="str">
        <f t="shared" si="92"/>
        <v/>
      </c>
      <c r="HV15" s="11" t="str">
        <f t="shared" si="93"/>
        <v/>
      </c>
      <c r="HW15" s="11" t="str">
        <f t="shared" si="94"/>
        <v/>
      </c>
      <c r="HX15" s="11" t="str">
        <f t="shared" si="95"/>
        <v/>
      </c>
      <c r="HY15" s="11" t="str">
        <f t="shared" si="96"/>
        <v/>
      </c>
      <c r="HZ15" s="11" t="str">
        <f t="shared" si="97"/>
        <v/>
      </c>
      <c r="IA15" s="11" t="str">
        <f t="shared" si="98"/>
        <v/>
      </c>
      <c r="IB15" s="11" t="str">
        <f t="shared" si="99"/>
        <v/>
      </c>
      <c r="IC15" s="11" t="str">
        <f t="shared" si="100"/>
        <v/>
      </c>
      <c r="ID15" s="11" t="str">
        <f t="shared" si="101"/>
        <v/>
      </c>
      <c r="IE15" s="11" t="str">
        <f t="shared" si="102"/>
        <v/>
      </c>
      <c r="IF15" s="11" t="str">
        <f t="shared" si="103"/>
        <v/>
      </c>
      <c r="IG15" s="11" t="str">
        <f t="shared" si="104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5"/>
        <v/>
      </c>
      <c r="JC15" s="40" t="str">
        <f t="shared" si="106"/>
        <v/>
      </c>
      <c r="JD15" s="40" t="str">
        <f t="shared" si="107"/>
        <v/>
      </c>
      <c r="JE15" s="40" t="str">
        <f t="shared" si="108"/>
        <v/>
      </c>
      <c r="JF15" s="40" t="str">
        <f t="shared" si="109"/>
        <v/>
      </c>
      <c r="JG15" s="40" t="str">
        <f t="shared" si="110"/>
        <v/>
      </c>
      <c r="JH15" s="40" t="str">
        <f t="shared" si="111"/>
        <v/>
      </c>
      <c r="JI15" s="40" t="str">
        <f t="shared" si="112"/>
        <v/>
      </c>
      <c r="JJ15" s="40" t="str">
        <f t="shared" si="113"/>
        <v/>
      </c>
      <c r="JK15" s="40" t="str">
        <f t="shared" si="114"/>
        <v/>
      </c>
      <c r="JL15" s="40" t="str">
        <f t="shared" si="115"/>
        <v/>
      </c>
      <c r="JM15" s="40" t="str">
        <f t="shared" si="116"/>
        <v/>
      </c>
      <c r="JN15" s="40" t="str">
        <f t="shared" si="117"/>
        <v/>
      </c>
      <c r="JO15" s="40" t="str">
        <f t="shared" si="118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9"/>
        <v/>
      </c>
      <c r="KK15" s="11" t="str">
        <f t="shared" si="120"/>
        <v/>
      </c>
      <c r="KL15" s="11" t="str">
        <f t="shared" si="121"/>
        <v/>
      </c>
      <c r="KM15" s="11" t="str">
        <f t="shared" si="122"/>
        <v/>
      </c>
      <c r="KN15" s="11" t="str">
        <f t="shared" si="123"/>
        <v/>
      </c>
      <c r="KO15" s="11" t="str">
        <f t="shared" si="124"/>
        <v/>
      </c>
      <c r="KP15" s="11" t="str">
        <f t="shared" si="125"/>
        <v/>
      </c>
      <c r="KQ15" s="11" t="str">
        <f t="shared" si="126"/>
        <v/>
      </c>
      <c r="KR15" s="11" t="str">
        <f t="shared" si="127"/>
        <v/>
      </c>
      <c r="KS15" s="11" t="str">
        <f t="shared" si="128"/>
        <v/>
      </c>
      <c r="KT15" s="11" t="str">
        <f t="shared" si="129"/>
        <v/>
      </c>
      <c r="KU15" s="11" t="str">
        <f t="shared" si="130"/>
        <v/>
      </c>
      <c r="KV15" s="11" t="str">
        <f t="shared" si="131"/>
        <v/>
      </c>
      <c r="KW15" s="11" t="str">
        <f t="shared" si="132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3"/>
        <v/>
      </c>
      <c r="LS15" s="40" t="str">
        <f t="shared" si="134"/>
        <v/>
      </c>
      <c r="LT15" s="40" t="str">
        <f t="shared" si="135"/>
        <v/>
      </c>
      <c r="LU15" s="40" t="str">
        <f t="shared" si="136"/>
        <v/>
      </c>
      <c r="LV15" s="40" t="str">
        <f t="shared" si="137"/>
        <v/>
      </c>
      <c r="LW15" s="40" t="str">
        <f t="shared" si="138"/>
        <v/>
      </c>
      <c r="LX15" s="40" t="str">
        <f t="shared" si="139"/>
        <v/>
      </c>
      <c r="LY15" s="40" t="str">
        <f t="shared" si="140"/>
        <v/>
      </c>
      <c r="LZ15" s="40" t="str">
        <f t="shared" si="141"/>
        <v/>
      </c>
      <c r="MA15" s="40" t="str">
        <f t="shared" si="142"/>
        <v/>
      </c>
      <c r="MB15" s="40" t="str">
        <f t="shared" si="143"/>
        <v/>
      </c>
      <c r="MC15" s="40" t="str">
        <f t="shared" si="144"/>
        <v/>
      </c>
      <c r="MD15" s="40" t="str">
        <f t="shared" si="145"/>
        <v/>
      </c>
      <c r="ME15" s="40" t="str">
        <f t="shared" si="146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7"/>
        <v/>
      </c>
      <c r="NA15" s="11" t="str">
        <f t="shared" si="148"/>
        <v/>
      </c>
      <c r="NB15" s="11" t="str">
        <f t="shared" si="149"/>
        <v/>
      </c>
      <c r="NC15" s="11" t="str">
        <f t="shared" si="150"/>
        <v/>
      </c>
      <c r="ND15" s="11" t="str">
        <f t="shared" si="151"/>
        <v/>
      </c>
      <c r="NE15" s="11" t="str">
        <f t="shared" si="152"/>
        <v/>
      </c>
      <c r="NF15" s="11" t="str">
        <f t="shared" si="153"/>
        <v/>
      </c>
      <c r="NG15" s="11" t="str">
        <f t="shared" si="154"/>
        <v/>
      </c>
      <c r="NH15" s="11" t="str">
        <f t="shared" si="155"/>
        <v/>
      </c>
      <c r="NI15" s="11" t="str">
        <f t="shared" si="156"/>
        <v/>
      </c>
      <c r="NJ15" s="11" t="str">
        <f t="shared" si="157"/>
        <v/>
      </c>
      <c r="NK15" s="11" t="str">
        <f t="shared" si="158"/>
        <v/>
      </c>
      <c r="NL15" s="11" t="str">
        <f t="shared" si="159"/>
        <v/>
      </c>
      <c r="NM15" s="11" t="str">
        <f t="shared" si="160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1"/>
        <v/>
      </c>
      <c r="OI15" s="40" t="str">
        <f t="shared" si="162"/>
        <v/>
      </c>
      <c r="OJ15" s="40" t="str">
        <f t="shared" si="163"/>
        <v/>
      </c>
      <c r="OK15" s="40" t="str">
        <f t="shared" si="164"/>
        <v/>
      </c>
      <c r="OL15" s="40" t="str">
        <f t="shared" si="165"/>
        <v/>
      </c>
      <c r="OM15" s="40" t="str">
        <f t="shared" si="166"/>
        <v/>
      </c>
      <c r="ON15" s="40" t="str">
        <f t="shared" si="167"/>
        <v/>
      </c>
      <c r="OO15" s="40" t="str">
        <f t="shared" si="168"/>
        <v/>
      </c>
      <c r="OP15" s="40" t="str">
        <f t="shared" si="169"/>
        <v/>
      </c>
      <c r="OQ15" s="40" t="str">
        <f t="shared" si="170"/>
        <v/>
      </c>
      <c r="OR15" s="40" t="str">
        <f t="shared" si="171"/>
        <v/>
      </c>
      <c r="OS15" s="40" t="str">
        <f t="shared" si="172"/>
        <v/>
      </c>
      <c r="OT15" s="40" t="str">
        <f t="shared" si="173"/>
        <v/>
      </c>
      <c r="OU15" s="40" t="str">
        <f t="shared" si="174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5"/>
        <v/>
      </c>
      <c r="PQ15" s="11" t="str">
        <f t="shared" si="176"/>
        <v/>
      </c>
      <c r="PR15" s="11" t="str">
        <f t="shared" si="177"/>
        <v/>
      </c>
      <c r="PS15" s="11" t="str">
        <f t="shared" si="178"/>
        <v/>
      </c>
      <c r="PT15" s="11" t="str">
        <f t="shared" si="179"/>
        <v/>
      </c>
      <c r="PU15" s="11" t="str">
        <f t="shared" si="180"/>
        <v/>
      </c>
      <c r="PV15" s="11" t="str">
        <f t="shared" si="181"/>
        <v/>
      </c>
      <c r="PW15" s="11" t="str">
        <f t="shared" si="182"/>
        <v/>
      </c>
      <c r="PX15" s="11" t="str">
        <f t="shared" si="183"/>
        <v/>
      </c>
      <c r="PY15" s="11" t="str">
        <f t="shared" si="184"/>
        <v/>
      </c>
      <c r="PZ15" s="11" t="str">
        <f t="shared" si="185"/>
        <v/>
      </c>
      <c r="QA15" s="11" t="str">
        <f t="shared" si="186"/>
        <v/>
      </c>
      <c r="QB15" s="11" t="str">
        <f t="shared" si="187"/>
        <v/>
      </c>
      <c r="QC15" s="11" t="str">
        <f t="shared" si="188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9"/>
        <v/>
      </c>
      <c r="QY15" s="40" t="str">
        <f t="shared" si="190"/>
        <v/>
      </c>
      <c r="QZ15" s="40" t="str">
        <f t="shared" si="191"/>
        <v/>
      </c>
      <c r="RA15" s="40" t="str">
        <f t="shared" si="192"/>
        <v/>
      </c>
      <c r="RB15" s="40" t="str">
        <f t="shared" si="193"/>
        <v/>
      </c>
      <c r="RC15" s="40" t="str">
        <f t="shared" si="194"/>
        <v/>
      </c>
      <c r="RD15" s="40" t="str">
        <f t="shared" si="195"/>
        <v/>
      </c>
      <c r="RE15" s="40" t="str">
        <f t="shared" si="196"/>
        <v/>
      </c>
      <c r="RF15" s="40" t="str">
        <f t="shared" si="197"/>
        <v/>
      </c>
      <c r="RG15" s="40" t="str">
        <f t="shared" si="198"/>
        <v/>
      </c>
      <c r="RH15" s="40" t="str">
        <f t="shared" si="199"/>
        <v/>
      </c>
      <c r="RI15" s="40" t="str">
        <f t="shared" si="200"/>
        <v/>
      </c>
      <c r="RJ15" s="40" t="str">
        <f t="shared" si="201"/>
        <v/>
      </c>
      <c r="RK15" s="40" t="str">
        <f t="shared" si="202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3"/>
        <v/>
      </c>
      <c r="SG15" s="11" t="str">
        <f t="shared" si="204"/>
        <v/>
      </c>
      <c r="SH15" s="11" t="str">
        <f t="shared" si="205"/>
        <v/>
      </c>
      <c r="SI15" s="11" t="str">
        <f t="shared" si="206"/>
        <v/>
      </c>
      <c r="SJ15" s="11" t="str">
        <f t="shared" si="207"/>
        <v/>
      </c>
      <c r="SK15" s="11" t="str">
        <f t="shared" si="208"/>
        <v/>
      </c>
      <c r="SL15" s="11" t="str">
        <f t="shared" si="209"/>
        <v/>
      </c>
      <c r="SM15" s="11" t="str">
        <f t="shared" si="210"/>
        <v/>
      </c>
      <c r="SN15" s="11" t="str">
        <f t="shared" si="211"/>
        <v/>
      </c>
      <c r="SO15" s="11" t="str">
        <f t="shared" si="212"/>
        <v/>
      </c>
      <c r="SP15" s="11" t="str">
        <f t="shared" si="213"/>
        <v/>
      </c>
      <c r="SQ15" s="11" t="str">
        <f t="shared" si="214"/>
        <v/>
      </c>
      <c r="SR15" s="11" t="str">
        <f t="shared" si="215"/>
        <v/>
      </c>
      <c r="SS15" s="11" t="str">
        <f t="shared" si="216"/>
        <v/>
      </c>
      <c r="ST15" s="22">
        <f t="shared" si="217"/>
        <v>6.15</v>
      </c>
      <c r="SU15" s="22">
        <f t="shared" si="218"/>
        <v>4.6500000000000004</v>
      </c>
      <c r="SV15" s="22">
        <f t="shared" si="219"/>
        <v>3.95</v>
      </c>
      <c r="SW15" s="22">
        <f t="shared" si="220"/>
        <v>5.66</v>
      </c>
      <c r="SX15" s="22">
        <f t="shared" si="221"/>
        <v>0.45</v>
      </c>
      <c r="SY15" s="22">
        <f t="shared" si="222"/>
        <v>2.65</v>
      </c>
      <c r="SZ15" s="22">
        <f t="shared" si="223"/>
        <v>1.75</v>
      </c>
      <c r="TA15" s="22">
        <f t="shared" si="224"/>
        <v>2.5</v>
      </c>
      <c r="TB15" s="22">
        <f t="shared" si="225"/>
        <v>2.56</v>
      </c>
      <c r="TC15" s="22">
        <f t="shared" si="226"/>
        <v>0</v>
      </c>
      <c r="TD15" s="22">
        <f t="shared" si="227"/>
        <v>0</v>
      </c>
      <c r="TE15" s="22">
        <f t="shared" si="228"/>
        <v>0</v>
      </c>
      <c r="TF15" s="22">
        <f t="shared" si="229"/>
        <v>0</v>
      </c>
      <c r="TG15" s="22">
        <f t="shared" si="230"/>
        <v>0</v>
      </c>
      <c r="TH15" s="22">
        <f t="shared" si="231"/>
        <v>0</v>
      </c>
      <c r="TI15" s="27" t="s">
        <v>46</v>
      </c>
      <c r="TJ15" s="40">
        <f t="shared" si="232"/>
        <v>3.95</v>
      </c>
      <c r="TK15" s="40">
        <f t="shared" si="233"/>
        <v>5.66</v>
      </c>
      <c r="TL15" s="40">
        <f t="shared" si="234"/>
        <v>19.96</v>
      </c>
      <c r="TM15" s="40">
        <f t="shared" si="235"/>
        <v>2.5</v>
      </c>
      <c r="TN15" s="40">
        <f t="shared" si="236"/>
        <v>2.56</v>
      </c>
      <c r="TO15" s="40">
        <f t="shared" si="237"/>
        <v>9.4600000000000009</v>
      </c>
      <c r="TP15" s="40">
        <f t="shared" si="238"/>
        <v>19.96</v>
      </c>
      <c r="TQ15" s="40" t="str">
        <f t="shared" si="239"/>
        <v/>
      </c>
      <c r="TR15" s="40" t="str">
        <f t="shared" si="240"/>
        <v/>
      </c>
      <c r="TS15" s="40" t="str">
        <f t="shared" si="241"/>
        <v/>
      </c>
      <c r="TT15" s="40">
        <f t="shared" si="242"/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157</v>
      </c>
      <c r="C16" s="4" t="s">
        <v>3</v>
      </c>
      <c r="D16" s="4">
        <v>2005</v>
      </c>
      <c r="E16" s="9">
        <f t="shared" si="0"/>
        <v>128.31001283100426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42.72</v>
      </c>
      <c r="K16" s="8" t="str">
        <f t="shared" si="5"/>
        <v>2022 Nationals</v>
      </c>
      <c r="L16" s="8">
        <f>IF(COUNT(AO16,AR16,BP16,BS16,CQ16,CT16)&gt;1,LARGE((AO16,AR16,BP16,BS16,CQ16,CT16),2),0)</f>
        <v>38.299999999999997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38.99</v>
      </c>
      <c r="O16" s="8" t="str">
        <f t="shared" si="7"/>
        <v>2022 3rd Domestic Trial</v>
      </c>
      <c r="P16" s="8">
        <f t="shared" si="8"/>
        <v>8.3000000000000007</v>
      </c>
      <c r="Q16" s="8" t="str">
        <f t="shared" si="9"/>
        <v>2022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</v>
      </c>
      <c r="Y16" s="22">
        <v>8.3000000000000007</v>
      </c>
      <c r="Z16" s="22">
        <v>12.62</v>
      </c>
      <c r="AA16" s="22">
        <v>0.5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 t="shared" si="14"/>
        <v>8.3000000000000007</v>
      </c>
      <c r="AN16" s="38">
        <f t="shared" si="15"/>
        <v>12.62</v>
      </c>
      <c r="AO16" s="40">
        <f t="shared" si="16"/>
        <v>42.72</v>
      </c>
      <c r="AP16" s="40" t="str">
        <f t="shared" si="17"/>
        <v/>
      </c>
      <c r="AQ16" s="40" t="str">
        <f t="shared" si="18"/>
        <v/>
      </c>
      <c r="AR16" s="40" t="str">
        <f t="shared" si="19"/>
        <v/>
      </c>
      <c r="AS16" s="40">
        <f t="shared" si="20"/>
        <v>42.72</v>
      </c>
      <c r="AT16" s="40" t="str">
        <f t="shared" si="21"/>
        <v/>
      </c>
      <c r="AU16" s="40" t="str">
        <f t="shared" si="22"/>
        <v/>
      </c>
      <c r="AV16" s="40" t="str">
        <f t="shared" si="23"/>
        <v/>
      </c>
      <c r="AW16" s="40">
        <f t="shared" si="24"/>
        <v>42.72</v>
      </c>
      <c r="AX16" s="26">
        <v>11.6</v>
      </c>
      <c r="AY16" s="26">
        <v>8.5</v>
      </c>
      <c r="AZ16" s="26">
        <v>7.1</v>
      </c>
      <c r="BA16" s="26">
        <v>12.65</v>
      </c>
      <c r="BB16" s="26">
        <v>1.7</v>
      </c>
      <c r="BC16" s="26"/>
      <c r="BD16" s="26"/>
      <c r="BE16" s="26"/>
      <c r="BF16" s="26"/>
      <c r="BG16" s="26"/>
      <c r="BH16" s="26">
        <v>12.2</v>
      </c>
      <c r="BI16" s="26">
        <v>8.9</v>
      </c>
      <c r="BJ16" s="26">
        <v>7</v>
      </c>
      <c r="BK16" s="26">
        <v>12.69</v>
      </c>
      <c r="BL16" s="26">
        <v>1.8</v>
      </c>
      <c r="BM16" s="28"/>
      <c r="BN16" s="39">
        <f t="shared" si="25"/>
        <v>7.1</v>
      </c>
      <c r="BO16" s="39">
        <f t="shared" si="26"/>
        <v>12.65</v>
      </c>
      <c r="BP16" s="11">
        <f t="shared" si="27"/>
        <v>38.15</v>
      </c>
      <c r="BQ16" s="11" t="str">
        <f t="shared" si="28"/>
        <v/>
      </c>
      <c r="BR16" s="11" t="str">
        <f t="shared" si="29"/>
        <v/>
      </c>
      <c r="BS16" s="11" t="str">
        <f t="shared" si="30"/>
        <v/>
      </c>
      <c r="BT16" s="11">
        <f t="shared" si="31"/>
        <v>38.15</v>
      </c>
      <c r="BU16" s="11">
        <f t="shared" si="32"/>
        <v>7</v>
      </c>
      <c r="BV16" s="11">
        <f t="shared" si="33"/>
        <v>12.69</v>
      </c>
      <c r="BW16" s="11">
        <f t="shared" si="34"/>
        <v>38.99</v>
      </c>
      <c r="BX16" s="11">
        <f t="shared" si="35"/>
        <v>77.14</v>
      </c>
      <c r="BY16" s="22">
        <v>11.4</v>
      </c>
      <c r="BZ16" s="22">
        <v>8.1</v>
      </c>
      <c r="CA16" s="22">
        <v>7.8</v>
      </c>
      <c r="CB16" s="22">
        <v>11</v>
      </c>
      <c r="CC16" s="22">
        <v>0</v>
      </c>
      <c r="CD16" s="22">
        <v>11.8</v>
      </c>
      <c r="CE16" s="22">
        <v>8.6999999999999993</v>
      </c>
      <c r="CF16" s="22">
        <v>6.6</v>
      </c>
      <c r="CG16" s="22">
        <v>11.78</v>
      </c>
      <c r="CH16" s="22">
        <v>2.2000000000000002</v>
      </c>
      <c r="CI16" s="22"/>
      <c r="CJ16" s="22"/>
      <c r="CK16" s="22"/>
      <c r="CL16" s="22"/>
      <c r="CM16" s="22"/>
      <c r="CN16" s="27"/>
      <c r="CO16" s="38">
        <f t="shared" si="36"/>
        <v>7.8</v>
      </c>
      <c r="CP16" s="38">
        <f t="shared" si="37"/>
        <v>11</v>
      </c>
      <c r="CQ16" s="40">
        <f t="shared" si="38"/>
        <v>38.299999999999997</v>
      </c>
      <c r="CR16" s="40">
        <f t="shared" si="39"/>
        <v>6.6</v>
      </c>
      <c r="CS16" s="40">
        <f t="shared" si="40"/>
        <v>11.78</v>
      </c>
      <c r="CT16" s="40">
        <f t="shared" si="41"/>
        <v>36.68</v>
      </c>
      <c r="CU16" s="40">
        <f t="shared" si="42"/>
        <v>38.299999999999997</v>
      </c>
      <c r="CV16" s="40" t="str">
        <f t="shared" si="43"/>
        <v/>
      </c>
      <c r="CW16" s="40" t="str">
        <f t="shared" si="44"/>
        <v/>
      </c>
      <c r="CX16" s="40" t="str">
        <f t="shared" si="45"/>
        <v/>
      </c>
      <c r="CY16" s="40">
        <f t="shared" si="46"/>
        <v>38.299999999999997</v>
      </c>
      <c r="CZ16" s="50" t="str">
        <f t="shared" si="47"/>
        <v/>
      </c>
      <c r="DA16" s="50" t="str">
        <f t="shared" si="48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9"/>
        <v/>
      </c>
      <c r="DW16" s="40" t="str">
        <f t="shared" si="50"/>
        <v/>
      </c>
      <c r="DX16" s="40" t="str">
        <f t="shared" si="51"/>
        <v/>
      </c>
      <c r="DY16" s="40" t="str">
        <f t="shared" si="52"/>
        <v/>
      </c>
      <c r="DZ16" s="40" t="str">
        <f t="shared" si="53"/>
        <v/>
      </c>
      <c r="EA16" s="40" t="str">
        <f t="shared" si="54"/>
        <v/>
      </c>
      <c r="EB16" s="40" t="str">
        <f t="shared" si="55"/>
        <v/>
      </c>
      <c r="EC16" s="40" t="str">
        <f t="shared" si="56"/>
        <v/>
      </c>
      <c r="ED16" s="40" t="str">
        <f t="shared" si="57"/>
        <v/>
      </c>
      <c r="EE16" s="40" t="str">
        <f t="shared" si="58"/>
        <v/>
      </c>
      <c r="EF16" s="40" t="str">
        <f t="shared" si="59"/>
        <v/>
      </c>
      <c r="EG16" s="40" t="str">
        <f t="shared" si="60"/>
        <v/>
      </c>
      <c r="EH16" s="40" t="str">
        <f t="shared" si="61"/>
        <v/>
      </c>
      <c r="EI16" s="40" t="str">
        <f t="shared" si="62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3"/>
        <v/>
      </c>
      <c r="FE16" s="11" t="str">
        <f t="shared" si="64"/>
        <v/>
      </c>
      <c r="FF16" s="11" t="str">
        <f t="shared" si="65"/>
        <v/>
      </c>
      <c r="FG16" s="11" t="str">
        <f t="shared" si="66"/>
        <v/>
      </c>
      <c r="FH16" s="11" t="str">
        <f t="shared" si="67"/>
        <v/>
      </c>
      <c r="FI16" s="11" t="str">
        <f t="shared" si="68"/>
        <v/>
      </c>
      <c r="FJ16" s="11" t="str">
        <f t="shared" si="69"/>
        <v/>
      </c>
      <c r="FK16" s="11" t="str">
        <f t="shared" si="70"/>
        <v/>
      </c>
      <c r="FL16" s="11" t="str">
        <f t="shared" si="71"/>
        <v/>
      </c>
      <c r="FM16" s="11" t="str">
        <f t="shared" si="72"/>
        <v/>
      </c>
      <c r="FN16" s="11" t="str">
        <f t="shared" si="73"/>
        <v/>
      </c>
      <c r="FO16" s="11" t="str">
        <f t="shared" si="74"/>
        <v/>
      </c>
      <c r="FP16" s="11" t="str">
        <f t="shared" si="75"/>
        <v/>
      </c>
      <c r="FQ16" s="11" t="str">
        <f t="shared" si="76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7"/>
        <v/>
      </c>
      <c r="GM16" s="40" t="str">
        <f t="shared" si="78"/>
        <v/>
      </c>
      <c r="GN16" s="40" t="str">
        <f t="shared" si="79"/>
        <v/>
      </c>
      <c r="GO16" s="40" t="str">
        <f t="shared" si="80"/>
        <v/>
      </c>
      <c r="GP16" s="40" t="str">
        <f t="shared" si="81"/>
        <v/>
      </c>
      <c r="GQ16" s="40" t="str">
        <f t="shared" si="82"/>
        <v/>
      </c>
      <c r="GR16" s="40" t="str">
        <f t="shared" si="83"/>
        <v/>
      </c>
      <c r="GS16" s="40" t="str">
        <f t="shared" si="84"/>
        <v/>
      </c>
      <c r="GT16" s="40" t="str">
        <f t="shared" si="85"/>
        <v/>
      </c>
      <c r="GU16" s="40" t="str">
        <f t="shared" si="86"/>
        <v/>
      </c>
      <c r="GV16" s="40" t="str">
        <f t="shared" si="87"/>
        <v/>
      </c>
      <c r="GW16" s="40" t="str">
        <f t="shared" si="88"/>
        <v/>
      </c>
      <c r="GX16" s="40" t="str">
        <f t="shared" si="89"/>
        <v/>
      </c>
      <c r="GY16" s="40" t="str">
        <f t="shared" si="90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1"/>
        <v/>
      </c>
      <c r="HU16" s="11" t="str">
        <f t="shared" si="92"/>
        <v/>
      </c>
      <c r="HV16" s="11" t="str">
        <f t="shared" si="93"/>
        <v/>
      </c>
      <c r="HW16" s="11" t="str">
        <f t="shared" si="94"/>
        <v/>
      </c>
      <c r="HX16" s="11" t="str">
        <f t="shared" si="95"/>
        <v/>
      </c>
      <c r="HY16" s="11" t="str">
        <f t="shared" si="96"/>
        <v/>
      </c>
      <c r="HZ16" s="11" t="str">
        <f t="shared" si="97"/>
        <v/>
      </c>
      <c r="IA16" s="11" t="str">
        <f t="shared" si="98"/>
        <v/>
      </c>
      <c r="IB16" s="11" t="str">
        <f t="shared" si="99"/>
        <v/>
      </c>
      <c r="IC16" s="11" t="str">
        <f t="shared" si="100"/>
        <v/>
      </c>
      <c r="ID16" s="11" t="str">
        <f t="shared" si="101"/>
        <v/>
      </c>
      <c r="IE16" s="11" t="str">
        <f t="shared" si="102"/>
        <v/>
      </c>
      <c r="IF16" s="11" t="str">
        <f t="shared" si="103"/>
        <v/>
      </c>
      <c r="IG16" s="11" t="str">
        <f t="shared" si="104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5"/>
        <v/>
      </c>
      <c r="JC16" s="40" t="str">
        <f t="shared" si="106"/>
        <v/>
      </c>
      <c r="JD16" s="40" t="str">
        <f t="shared" si="107"/>
        <v/>
      </c>
      <c r="JE16" s="40" t="str">
        <f t="shared" si="108"/>
        <v/>
      </c>
      <c r="JF16" s="40" t="str">
        <f t="shared" si="109"/>
        <v/>
      </c>
      <c r="JG16" s="40" t="str">
        <f t="shared" si="110"/>
        <v/>
      </c>
      <c r="JH16" s="40" t="str">
        <f t="shared" si="111"/>
        <v/>
      </c>
      <c r="JI16" s="40" t="str">
        <f t="shared" si="112"/>
        <v/>
      </c>
      <c r="JJ16" s="40" t="str">
        <f t="shared" si="113"/>
        <v/>
      </c>
      <c r="JK16" s="40" t="str">
        <f t="shared" si="114"/>
        <v/>
      </c>
      <c r="JL16" s="40" t="str">
        <f t="shared" si="115"/>
        <v/>
      </c>
      <c r="JM16" s="40" t="str">
        <f t="shared" si="116"/>
        <v/>
      </c>
      <c r="JN16" s="40" t="str">
        <f t="shared" si="117"/>
        <v/>
      </c>
      <c r="JO16" s="40" t="str">
        <f t="shared" si="118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9"/>
        <v/>
      </c>
      <c r="KK16" s="11" t="str">
        <f t="shared" si="120"/>
        <v/>
      </c>
      <c r="KL16" s="11" t="str">
        <f t="shared" si="121"/>
        <v/>
      </c>
      <c r="KM16" s="11" t="str">
        <f t="shared" si="122"/>
        <v/>
      </c>
      <c r="KN16" s="11" t="str">
        <f t="shared" si="123"/>
        <v/>
      </c>
      <c r="KO16" s="11" t="str">
        <f t="shared" si="124"/>
        <v/>
      </c>
      <c r="KP16" s="11" t="str">
        <f t="shared" si="125"/>
        <v/>
      </c>
      <c r="KQ16" s="11" t="str">
        <f t="shared" si="126"/>
        <v/>
      </c>
      <c r="KR16" s="11" t="str">
        <f t="shared" si="127"/>
        <v/>
      </c>
      <c r="KS16" s="11" t="str">
        <f t="shared" si="128"/>
        <v/>
      </c>
      <c r="KT16" s="11" t="str">
        <f t="shared" si="129"/>
        <v/>
      </c>
      <c r="KU16" s="11" t="str">
        <f t="shared" si="130"/>
        <v/>
      </c>
      <c r="KV16" s="11" t="str">
        <f t="shared" si="131"/>
        <v/>
      </c>
      <c r="KW16" s="11" t="str">
        <f t="shared" si="132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3"/>
        <v/>
      </c>
      <c r="LS16" s="40" t="str">
        <f t="shared" si="134"/>
        <v/>
      </c>
      <c r="LT16" s="40" t="str">
        <f t="shared" si="135"/>
        <v/>
      </c>
      <c r="LU16" s="40" t="str">
        <f t="shared" si="136"/>
        <v/>
      </c>
      <c r="LV16" s="40" t="str">
        <f t="shared" si="137"/>
        <v/>
      </c>
      <c r="LW16" s="40" t="str">
        <f t="shared" si="138"/>
        <v/>
      </c>
      <c r="LX16" s="40" t="str">
        <f t="shared" si="139"/>
        <v/>
      </c>
      <c r="LY16" s="40" t="str">
        <f t="shared" si="140"/>
        <v/>
      </c>
      <c r="LZ16" s="40" t="str">
        <f t="shared" si="141"/>
        <v/>
      </c>
      <c r="MA16" s="40" t="str">
        <f t="shared" si="142"/>
        <v/>
      </c>
      <c r="MB16" s="40" t="str">
        <f t="shared" si="143"/>
        <v/>
      </c>
      <c r="MC16" s="40" t="str">
        <f t="shared" si="144"/>
        <v/>
      </c>
      <c r="MD16" s="40" t="str">
        <f t="shared" si="145"/>
        <v/>
      </c>
      <c r="ME16" s="40" t="str">
        <f t="shared" si="146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7"/>
        <v/>
      </c>
      <c r="NA16" s="11" t="str">
        <f t="shared" si="148"/>
        <v/>
      </c>
      <c r="NB16" s="11" t="str">
        <f t="shared" si="149"/>
        <v/>
      </c>
      <c r="NC16" s="11" t="str">
        <f t="shared" si="150"/>
        <v/>
      </c>
      <c r="ND16" s="11" t="str">
        <f t="shared" si="151"/>
        <v/>
      </c>
      <c r="NE16" s="11" t="str">
        <f t="shared" si="152"/>
        <v/>
      </c>
      <c r="NF16" s="11" t="str">
        <f t="shared" si="153"/>
        <v/>
      </c>
      <c r="NG16" s="11" t="str">
        <f t="shared" si="154"/>
        <v/>
      </c>
      <c r="NH16" s="11" t="str">
        <f t="shared" si="155"/>
        <v/>
      </c>
      <c r="NI16" s="11" t="str">
        <f t="shared" si="156"/>
        <v/>
      </c>
      <c r="NJ16" s="11" t="str">
        <f t="shared" si="157"/>
        <v/>
      </c>
      <c r="NK16" s="11" t="str">
        <f t="shared" si="158"/>
        <v/>
      </c>
      <c r="NL16" s="11" t="str">
        <f t="shared" si="159"/>
        <v/>
      </c>
      <c r="NM16" s="11" t="str">
        <f t="shared" si="160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1"/>
        <v/>
      </c>
      <c r="OI16" s="40" t="str">
        <f t="shared" si="162"/>
        <v/>
      </c>
      <c r="OJ16" s="40" t="str">
        <f t="shared" si="163"/>
        <v/>
      </c>
      <c r="OK16" s="40" t="str">
        <f t="shared" si="164"/>
        <v/>
      </c>
      <c r="OL16" s="40" t="str">
        <f t="shared" si="165"/>
        <v/>
      </c>
      <c r="OM16" s="40" t="str">
        <f t="shared" si="166"/>
        <v/>
      </c>
      <c r="ON16" s="40" t="str">
        <f t="shared" si="167"/>
        <v/>
      </c>
      <c r="OO16" s="40" t="str">
        <f t="shared" si="168"/>
        <v/>
      </c>
      <c r="OP16" s="40" t="str">
        <f t="shared" si="169"/>
        <v/>
      </c>
      <c r="OQ16" s="40" t="str">
        <f t="shared" si="170"/>
        <v/>
      </c>
      <c r="OR16" s="40" t="str">
        <f t="shared" si="171"/>
        <v/>
      </c>
      <c r="OS16" s="40" t="str">
        <f t="shared" si="172"/>
        <v/>
      </c>
      <c r="OT16" s="40" t="str">
        <f t="shared" si="173"/>
        <v/>
      </c>
      <c r="OU16" s="40" t="str">
        <f t="shared" si="174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5"/>
        <v/>
      </c>
      <c r="PQ16" s="11" t="str">
        <f t="shared" si="176"/>
        <v/>
      </c>
      <c r="PR16" s="11" t="str">
        <f t="shared" si="177"/>
        <v/>
      </c>
      <c r="PS16" s="11" t="str">
        <f t="shared" si="178"/>
        <v/>
      </c>
      <c r="PT16" s="11" t="str">
        <f t="shared" si="179"/>
        <v/>
      </c>
      <c r="PU16" s="11" t="str">
        <f t="shared" si="180"/>
        <v/>
      </c>
      <c r="PV16" s="11" t="str">
        <f t="shared" si="181"/>
        <v/>
      </c>
      <c r="PW16" s="11" t="str">
        <f t="shared" si="182"/>
        <v/>
      </c>
      <c r="PX16" s="11" t="str">
        <f t="shared" si="183"/>
        <v/>
      </c>
      <c r="PY16" s="11" t="str">
        <f t="shared" si="184"/>
        <v/>
      </c>
      <c r="PZ16" s="11" t="str">
        <f t="shared" si="185"/>
        <v/>
      </c>
      <c r="QA16" s="11" t="str">
        <f t="shared" si="186"/>
        <v/>
      </c>
      <c r="QB16" s="11" t="str">
        <f t="shared" si="187"/>
        <v/>
      </c>
      <c r="QC16" s="11" t="str">
        <f t="shared" si="188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9"/>
        <v/>
      </c>
      <c r="QY16" s="40" t="str">
        <f t="shared" si="190"/>
        <v/>
      </c>
      <c r="QZ16" s="40" t="str">
        <f t="shared" si="191"/>
        <v/>
      </c>
      <c r="RA16" s="40" t="str">
        <f t="shared" si="192"/>
        <v/>
      </c>
      <c r="RB16" s="40" t="str">
        <f t="shared" si="193"/>
        <v/>
      </c>
      <c r="RC16" s="40" t="str">
        <f t="shared" si="194"/>
        <v/>
      </c>
      <c r="RD16" s="40" t="str">
        <f t="shared" si="195"/>
        <v/>
      </c>
      <c r="RE16" s="40" t="str">
        <f t="shared" si="196"/>
        <v/>
      </c>
      <c r="RF16" s="40" t="str">
        <f t="shared" si="197"/>
        <v/>
      </c>
      <c r="RG16" s="40" t="str">
        <f t="shared" si="198"/>
        <v/>
      </c>
      <c r="RH16" s="40" t="str">
        <f t="shared" si="199"/>
        <v/>
      </c>
      <c r="RI16" s="40" t="str">
        <f t="shared" si="200"/>
        <v/>
      </c>
      <c r="RJ16" s="40" t="str">
        <f t="shared" si="201"/>
        <v/>
      </c>
      <c r="RK16" s="40" t="str">
        <f t="shared" si="202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3"/>
        <v/>
      </c>
      <c r="SG16" s="11" t="str">
        <f t="shared" si="204"/>
        <v/>
      </c>
      <c r="SH16" s="11" t="str">
        <f t="shared" si="205"/>
        <v/>
      </c>
      <c r="SI16" s="11" t="str">
        <f t="shared" si="206"/>
        <v/>
      </c>
      <c r="SJ16" s="11" t="str">
        <f t="shared" si="207"/>
        <v/>
      </c>
      <c r="SK16" s="11" t="str">
        <f t="shared" si="208"/>
        <v/>
      </c>
      <c r="SL16" s="11" t="str">
        <f t="shared" si="209"/>
        <v/>
      </c>
      <c r="SM16" s="11" t="str">
        <f t="shared" si="210"/>
        <v/>
      </c>
      <c r="SN16" s="11" t="str">
        <f t="shared" si="211"/>
        <v/>
      </c>
      <c r="SO16" s="11" t="str">
        <f t="shared" si="212"/>
        <v/>
      </c>
      <c r="SP16" s="11" t="str">
        <f t="shared" si="213"/>
        <v/>
      </c>
      <c r="SQ16" s="11" t="str">
        <f t="shared" si="214"/>
        <v/>
      </c>
      <c r="SR16" s="11" t="str">
        <f t="shared" si="215"/>
        <v/>
      </c>
      <c r="SS16" s="11" t="str">
        <f t="shared" si="216"/>
        <v/>
      </c>
      <c r="ST16" s="22">
        <f t="shared" si="217"/>
        <v>11.5</v>
      </c>
      <c r="SU16" s="22">
        <f t="shared" si="218"/>
        <v>8.3000000000000007</v>
      </c>
      <c r="SV16" s="22">
        <f t="shared" si="219"/>
        <v>7.4499999999999993</v>
      </c>
      <c r="SW16" s="22">
        <f t="shared" si="220"/>
        <v>11.824999999999999</v>
      </c>
      <c r="SX16" s="22">
        <f t="shared" si="221"/>
        <v>0.85</v>
      </c>
      <c r="SY16" s="22">
        <f t="shared" si="222"/>
        <v>5.9</v>
      </c>
      <c r="SZ16" s="22">
        <f t="shared" si="223"/>
        <v>4.3499999999999996</v>
      </c>
      <c r="TA16" s="22">
        <f t="shared" si="224"/>
        <v>3.3</v>
      </c>
      <c r="TB16" s="22">
        <f t="shared" si="225"/>
        <v>5.89</v>
      </c>
      <c r="TC16" s="22">
        <f t="shared" si="226"/>
        <v>1.1000000000000001</v>
      </c>
      <c r="TD16" s="22">
        <f t="shared" si="227"/>
        <v>6.1</v>
      </c>
      <c r="TE16" s="22">
        <f t="shared" si="228"/>
        <v>4.45</v>
      </c>
      <c r="TF16" s="22">
        <f t="shared" si="229"/>
        <v>3.5</v>
      </c>
      <c r="TG16" s="22">
        <f t="shared" si="230"/>
        <v>6.3449999999999998</v>
      </c>
      <c r="TH16" s="22">
        <f t="shared" si="231"/>
        <v>0.9</v>
      </c>
      <c r="TI16" s="27" t="s">
        <v>46</v>
      </c>
      <c r="TJ16" s="40">
        <f t="shared" si="232"/>
        <v>7.4499999999999993</v>
      </c>
      <c r="TK16" s="40">
        <f t="shared" si="233"/>
        <v>11.824999999999999</v>
      </c>
      <c r="TL16" s="40">
        <f t="shared" si="234"/>
        <v>38.225000000000001</v>
      </c>
      <c r="TM16" s="40">
        <f t="shared" si="235"/>
        <v>3.3</v>
      </c>
      <c r="TN16" s="40">
        <f t="shared" si="236"/>
        <v>5.89</v>
      </c>
      <c r="TO16" s="40">
        <f t="shared" si="237"/>
        <v>18.34</v>
      </c>
      <c r="TP16" s="40">
        <f t="shared" si="238"/>
        <v>38.225000000000001</v>
      </c>
      <c r="TQ16" s="40">
        <f t="shared" si="239"/>
        <v>3.5</v>
      </c>
      <c r="TR16" s="40">
        <f t="shared" si="240"/>
        <v>6.3449999999999998</v>
      </c>
      <c r="TS16" s="40">
        <f t="shared" si="241"/>
        <v>19.495000000000001</v>
      </c>
      <c r="TT16" s="40">
        <f t="shared" si="242"/>
        <v>57.72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153</v>
      </c>
      <c r="C17" s="4" t="s">
        <v>4</v>
      </c>
      <c r="D17" s="4">
        <v>2005</v>
      </c>
      <c r="E17" s="9">
        <f t="shared" si="0"/>
        <v>125.25001252500468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46.69</v>
      </c>
      <c r="K17" s="8" t="str">
        <f t="shared" si="5"/>
        <v>2022 3rd Domestic Trial</v>
      </c>
      <c r="L17" s="8">
        <f>IF(COUNT(AO17,AR17,BP17,BS17,CQ17,CT17)&gt;1,LARGE((AO17,AR17,BP17,BS17,CQ17,CT17),2),0)</f>
        <v>46.410000000000004</v>
      </c>
      <c r="M17" s="8" t="str">
        <f t="shared" si="6"/>
        <v>2022 Nationals</v>
      </c>
      <c r="N17" s="8">
        <f>IF(COUNT(AO17,AR17,BP17,BS17,CQ17,CT17)&gt;2,MAX(AV17,BW17,CX17,LARGE((AO17,AR17,BP17,BS17,CQ17,CT17),3)),IF(MAX(AV17,BW17,CX17)&gt;0,MAX(AV17,BW17,CX17),0))</f>
        <v>22.450000000000003</v>
      </c>
      <c r="O17" s="8" t="str">
        <f t="shared" si="7"/>
        <v>2022 3rd Domestic Trial</v>
      </c>
      <c r="P17" s="8">
        <f t="shared" si="8"/>
        <v>9.6999999999999993</v>
      </c>
      <c r="Q17" s="8" t="str">
        <f t="shared" si="9"/>
        <v>2022 3rd Domestic Trial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>
        <v>13.3</v>
      </c>
      <c r="X17" s="22">
        <v>9.1999999999999993</v>
      </c>
      <c r="Y17" s="22">
        <v>9.6999999999999993</v>
      </c>
      <c r="Z17" s="22">
        <v>14.21</v>
      </c>
      <c r="AA17" s="22">
        <v>0</v>
      </c>
      <c r="AB17" s="22"/>
      <c r="AC17" s="22"/>
      <c r="AD17" s="22"/>
      <c r="AE17" s="22"/>
      <c r="AF17" s="22"/>
      <c r="AG17" s="22">
        <v>1.4</v>
      </c>
      <c r="AH17" s="22">
        <v>0.8</v>
      </c>
      <c r="AI17" s="22">
        <v>1.5</v>
      </c>
      <c r="AJ17" s="22">
        <v>1.48</v>
      </c>
      <c r="AK17" s="22">
        <v>0</v>
      </c>
      <c r="AL17" s="27"/>
      <c r="AM17" s="38">
        <f t="shared" si="14"/>
        <v>9.6999999999999993</v>
      </c>
      <c r="AN17" s="38">
        <f t="shared" si="15"/>
        <v>14.21</v>
      </c>
      <c r="AO17" s="40">
        <f t="shared" si="16"/>
        <v>46.410000000000004</v>
      </c>
      <c r="AP17" s="40" t="str">
        <f t="shared" si="17"/>
        <v/>
      </c>
      <c r="AQ17" s="40" t="str">
        <f t="shared" si="18"/>
        <v/>
      </c>
      <c r="AR17" s="40" t="str">
        <f t="shared" si="19"/>
        <v/>
      </c>
      <c r="AS17" s="40">
        <f t="shared" si="20"/>
        <v>46.410000000000004</v>
      </c>
      <c r="AT17" s="40">
        <f t="shared" si="21"/>
        <v>1.5</v>
      </c>
      <c r="AU17" s="40">
        <f t="shared" si="22"/>
        <v>1.48</v>
      </c>
      <c r="AV17" s="40">
        <f t="shared" si="23"/>
        <v>5.18</v>
      </c>
      <c r="AW17" s="40">
        <f t="shared" si="24"/>
        <v>51.59</v>
      </c>
      <c r="AX17" s="26">
        <v>13.3</v>
      </c>
      <c r="AY17" s="26">
        <v>9.6</v>
      </c>
      <c r="AZ17" s="26">
        <v>9.6999999999999993</v>
      </c>
      <c r="BA17" s="26">
        <v>14.09</v>
      </c>
      <c r="BB17" s="26">
        <v>0</v>
      </c>
      <c r="BC17" s="26"/>
      <c r="BD17" s="26"/>
      <c r="BE17" s="26"/>
      <c r="BF17" s="26"/>
      <c r="BG17" s="26"/>
      <c r="BH17" s="26">
        <v>6.28</v>
      </c>
      <c r="BI17" s="26">
        <v>4.5</v>
      </c>
      <c r="BJ17" s="26">
        <v>4.8</v>
      </c>
      <c r="BK17" s="26">
        <v>6.87</v>
      </c>
      <c r="BL17" s="26">
        <v>0</v>
      </c>
      <c r="BM17" s="28"/>
      <c r="BN17" s="39">
        <f t="shared" si="25"/>
        <v>9.6999999999999993</v>
      </c>
      <c r="BO17" s="39">
        <f t="shared" si="26"/>
        <v>14.09</v>
      </c>
      <c r="BP17" s="11">
        <f t="shared" si="27"/>
        <v>46.69</v>
      </c>
      <c r="BQ17" s="11" t="str">
        <f t="shared" si="28"/>
        <v/>
      </c>
      <c r="BR17" s="11" t="str">
        <f t="shared" si="29"/>
        <v/>
      </c>
      <c r="BS17" s="11" t="str">
        <f t="shared" si="30"/>
        <v/>
      </c>
      <c r="BT17" s="11">
        <f t="shared" si="31"/>
        <v>46.69</v>
      </c>
      <c r="BU17" s="11">
        <f t="shared" si="32"/>
        <v>4.8</v>
      </c>
      <c r="BV17" s="11">
        <f t="shared" si="33"/>
        <v>6.87</v>
      </c>
      <c r="BW17" s="11">
        <f t="shared" si="34"/>
        <v>22.450000000000003</v>
      </c>
      <c r="BX17" s="11">
        <f t="shared" si="35"/>
        <v>69.14</v>
      </c>
      <c r="BY17" s="22">
        <v>1.3</v>
      </c>
      <c r="BZ17" s="22">
        <v>1</v>
      </c>
      <c r="CA17" s="22">
        <v>1.5</v>
      </c>
      <c r="CB17" s="22">
        <v>1.45</v>
      </c>
      <c r="CC17" s="22">
        <v>0</v>
      </c>
      <c r="CD17" s="22">
        <v>1.2</v>
      </c>
      <c r="CE17" s="22">
        <v>1</v>
      </c>
      <c r="CF17" s="22">
        <v>1.5</v>
      </c>
      <c r="CG17" s="22">
        <v>1.45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6"/>
        <v>1.5</v>
      </c>
      <c r="CP17" s="38">
        <f t="shared" si="37"/>
        <v>1.45</v>
      </c>
      <c r="CQ17" s="40">
        <f t="shared" si="38"/>
        <v>5.25</v>
      </c>
      <c r="CR17" s="40">
        <f t="shared" si="39"/>
        <v>1.5</v>
      </c>
      <c r="CS17" s="40">
        <f t="shared" si="40"/>
        <v>1.45</v>
      </c>
      <c r="CT17" s="40">
        <f t="shared" si="41"/>
        <v>5.15</v>
      </c>
      <c r="CU17" s="40">
        <f t="shared" si="42"/>
        <v>5.25</v>
      </c>
      <c r="CV17" s="40" t="str">
        <f t="shared" si="43"/>
        <v/>
      </c>
      <c r="CW17" s="40" t="str">
        <f t="shared" si="44"/>
        <v/>
      </c>
      <c r="CX17" s="40" t="str">
        <f t="shared" si="45"/>
        <v/>
      </c>
      <c r="CY17" s="40">
        <f t="shared" si="46"/>
        <v>5.25</v>
      </c>
      <c r="CZ17" s="50" t="str">
        <f t="shared" si="47"/>
        <v/>
      </c>
      <c r="DA17" s="50" t="str">
        <f t="shared" si="48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49"/>
        <v/>
      </c>
      <c r="DW17" s="40" t="str">
        <f t="shared" si="50"/>
        <v/>
      </c>
      <c r="DX17" s="40" t="str">
        <f t="shared" si="51"/>
        <v/>
      </c>
      <c r="DY17" s="40" t="str">
        <f t="shared" si="52"/>
        <v/>
      </c>
      <c r="DZ17" s="40" t="str">
        <f t="shared" si="53"/>
        <v/>
      </c>
      <c r="EA17" s="40" t="str">
        <f t="shared" si="54"/>
        <v/>
      </c>
      <c r="EB17" s="40" t="str">
        <f t="shared" si="55"/>
        <v/>
      </c>
      <c r="EC17" s="40" t="str">
        <f t="shared" si="56"/>
        <v/>
      </c>
      <c r="ED17" s="40" t="str">
        <f t="shared" si="57"/>
        <v/>
      </c>
      <c r="EE17" s="40" t="str">
        <f t="shared" si="58"/>
        <v/>
      </c>
      <c r="EF17" s="40" t="str">
        <f t="shared" si="59"/>
        <v/>
      </c>
      <c r="EG17" s="40" t="str">
        <f t="shared" si="60"/>
        <v/>
      </c>
      <c r="EH17" s="40" t="str">
        <f t="shared" si="61"/>
        <v/>
      </c>
      <c r="EI17" s="40" t="str">
        <f t="shared" si="62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3"/>
        <v/>
      </c>
      <c r="FE17" s="11" t="str">
        <f t="shared" si="64"/>
        <v/>
      </c>
      <c r="FF17" s="11" t="str">
        <f t="shared" si="65"/>
        <v/>
      </c>
      <c r="FG17" s="11" t="str">
        <f t="shared" si="66"/>
        <v/>
      </c>
      <c r="FH17" s="11" t="str">
        <f t="shared" si="67"/>
        <v/>
      </c>
      <c r="FI17" s="11" t="str">
        <f t="shared" si="68"/>
        <v/>
      </c>
      <c r="FJ17" s="11" t="str">
        <f t="shared" si="69"/>
        <v/>
      </c>
      <c r="FK17" s="11" t="str">
        <f t="shared" si="70"/>
        <v/>
      </c>
      <c r="FL17" s="11" t="str">
        <f t="shared" si="71"/>
        <v/>
      </c>
      <c r="FM17" s="11" t="str">
        <f t="shared" si="72"/>
        <v/>
      </c>
      <c r="FN17" s="11" t="str">
        <f t="shared" si="73"/>
        <v/>
      </c>
      <c r="FO17" s="11" t="str">
        <f t="shared" si="74"/>
        <v/>
      </c>
      <c r="FP17" s="11" t="str">
        <f t="shared" si="75"/>
        <v/>
      </c>
      <c r="FQ17" s="11" t="str">
        <f t="shared" si="76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7"/>
        <v/>
      </c>
      <c r="GM17" s="40" t="str">
        <f t="shared" si="78"/>
        <v/>
      </c>
      <c r="GN17" s="40" t="str">
        <f t="shared" si="79"/>
        <v/>
      </c>
      <c r="GO17" s="40" t="str">
        <f t="shared" si="80"/>
        <v/>
      </c>
      <c r="GP17" s="40" t="str">
        <f t="shared" si="81"/>
        <v/>
      </c>
      <c r="GQ17" s="40" t="str">
        <f t="shared" si="82"/>
        <v/>
      </c>
      <c r="GR17" s="40" t="str">
        <f t="shared" si="83"/>
        <v/>
      </c>
      <c r="GS17" s="40" t="str">
        <f t="shared" si="84"/>
        <v/>
      </c>
      <c r="GT17" s="40" t="str">
        <f t="shared" si="85"/>
        <v/>
      </c>
      <c r="GU17" s="40" t="str">
        <f t="shared" si="86"/>
        <v/>
      </c>
      <c r="GV17" s="40" t="str">
        <f t="shared" si="87"/>
        <v/>
      </c>
      <c r="GW17" s="40" t="str">
        <f t="shared" si="88"/>
        <v/>
      </c>
      <c r="GX17" s="40" t="str">
        <f t="shared" si="89"/>
        <v/>
      </c>
      <c r="GY17" s="40" t="str">
        <f t="shared" si="90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1"/>
        <v/>
      </c>
      <c r="HU17" s="11" t="str">
        <f t="shared" si="92"/>
        <v/>
      </c>
      <c r="HV17" s="11" t="str">
        <f t="shared" si="93"/>
        <v/>
      </c>
      <c r="HW17" s="11" t="str">
        <f t="shared" si="94"/>
        <v/>
      </c>
      <c r="HX17" s="11" t="str">
        <f t="shared" si="95"/>
        <v/>
      </c>
      <c r="HY17" s="11" t="str">
        <f t="shared" si="96"/>
        <v/>
      </c>
      <c r="HZ17" s="11" t="str">
        <f t="shared" si="97"/>
        <v/>
      </c>
      <c r="IA17" s="11" t="str">
        <f t="shared" si="98"/>
        <v/>
      </c>
      <c r="IB17" s="11" t="str">
        <f t="shared" si="99"/>
        <v/>
      </c>
      <c r="IC17" s="11" t="str">
        <f t="shared" si="100"/>
        <v/>
      </c>
      <c r="ID17" s="11" t="str">
        <f t="shared" si="101"/>
        <v/>
      </c>
      <c r="IE17" s="11" t="str">
        <f t="shared" si="102"/>
        <v/>
      </c>
      <c r="IF17" s="11" t="str">
        <f t="shared" si="103"/>
        <v/>
      </c>
      <c r="IG17" s="11" t="str">
        <f t="shared" si="104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5"/>
        <v/>
      </c>
      <c r="JC17" s="40" t="str">
        <f t="shared" si="106"/>
        <v/>
      </c>
      <c r="JD17" s="40" t="str">
        <f t="shared" si="107"/>
        <v/>
      </c>
      <c r="JE17" s="40" t="str">
        <f t="shared" si="108"/>
        <v/>
      </c>
      <c r="JF17" s="40" t="str">
        <f t="shared" si="109"/>
        <v/>
      </c>
      <c r="JG17" s="40" t="str">
        <f t="shared" si="110"/>
        <v/>
      </c>
      <c r="JH17" s="40" t="str">
        <f t="shared" si="111"/>
        <v/>
      </c>
      <c r="JI17" s="40" t="str">
        <f t="shared" si="112"/>
        <v/>
      </c>
      <c r="JJ17" s="40" t="str">
        <f t="shared" si="113"/>
        <v/>
      </c>
      <c r="JK17" s="40" t="str">
        <f t="shared" si="114"/>
        <v/>
      </c>
      <c r="JL17" s="40" t="str">
        <f t="shared" si="115"/>
        <v/>
      </c>
      <c r="JM17" s="40" t="str">
        <f t="shared" si="116"/>
        <v/>
      </c>
      <c r="JN17" s="40" t="str">
        <f t="shared" si="117"/>
        <v/>
      </c>
      <c r="JO17" s="40" t="str">
        <f t="shared" si="118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9"/>
        <v/>
      </c>
      <c r="KK17" s="11" t="str">
        <f t="shared" si="120"/>
        <v/>
      </c>
      <c r="KL17" s="11" t="str">
        <f t="shared" si="121"/>
        <v/>
      </c>
      <c r="KM17" s="11" t="str">
        <f t="shared" si="122"/>
        <v/>
      </c>
      <c r="KN17" s="11" t="str">
        <f t="shared" si="123"/>
        <v/>
      </c>
      <c r="KO17" s="11" t="str">
        <f t="shared" si="124"/>
        <v/>
      </c>
      <c r="KP17" s="11" t="str">
        <f t="shared" si="125"/>
        <v/>
      </c>
      <c r="KQ17" s="11" t="str">
        <f t="shared" si="126"/>
        <v/>
      </c>
      <c r="KR17" s="11" t="str">
        <f t="shared" si="127"/>
        <v/>
      </c>
      <c r="KS17" s="11" t="str">
        <f t="shared" si="128"/>
        <v/>
      </c>
      <c r="KT17" s="11" t="str">
        <f t="shared" si="129"/>
        <v/>
      </c>
      <c r="KU17" s="11" t="str">
        <f t="shared" si="130"/>
        <v/>
      </c>
      <c r="KV17" s="11" t="str">
        <f t="shared" si="131"/>
        <v/>
      </c>
      <c r="KW17" s="11" t="str">
        <f t="shared" si="132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3"/>
        <v/>
      </c>
      <c r="LS17" s="40" t="str">
        <f t="shared" si="134"/>
        <v/>
      </c>
      <c r="LT17" s="40" t="str">
        <f t="shared" si="135"/>
        <v/>
      </c>
      <c r="LU17" s="40" t="str">
        <f t="shared" si="136"/>
        <v/>
      </c>
      <c r="LV17" s="40" t="str">
        <f t="shared" si="137"/>
        <v/>
      </c>
      <c r="LW17" s="40" t="str">
        <f t="shared" si="138"/>
        <v/>
      </c>
      <c r="LX17" s="40" t="str">
        <f t="shared" si="139"/>
        <v/>
      </c>
      <c r="LY17" s="40" t="str">
        <f t="shared" si="140"/>
        <v/>
      </c>
      <c r="LZ17" s="40" t="str">
        <f t="shared" si="141"/>
        <v/>
      </c>
      <c r="MA17" s="40" t="str">
        <f t="shared" si="142"/>
        <v/>
      </c>
      <c r="MB17" s="40" t="str">
        <f t="shared" si="143"/>
        <v/>
      </c>
      <c r="MC17" s="40" t="str">
        <f t="shared" si="144"/>
        <v/>
      </c>
      <c r="MD17" s="40" t="str">
        <f t="shared" si="145"/>
        <v/>
      </c>
      <c r="ME17" s="40" t="str">
        <f t="shared" si="146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7"/>
        <v/>
      </c>
      <c r="NA17" s="11" t="str">
        <f t="shared" si="148"/>
        <v/>
      </c>
      <c r="NB17" s="11" t="str">
        <f t="shared" si="149"/>
        <v/>
      </c>
      <c r="NC17" s="11" t="str">
        <f t="shared" si="150"/>
        <v/>
      </c>
      <c r="ND17" s="11" t="str">
        <f t="shared" si="151"/>
        <v/>
      </c>
      <c r="NE17" s="11" t="str">
        <f t="shared" si="152"/>
        <v/>
      </c>
      <c r="NF17" s="11" t="str">
        <f t="shared" si="153"/>
        <v/>
      </c>
      <c r="NG17" s="11" t="str">
        <f t="shared" si="154"/>
        <v/>
      </c>
      <c r="NH17" s="11" t="str">
        <f t="shared" si="155"/>
        <v/>
      </c>
      <c r="NI17" s="11" t="str">
        <f t="shared" si="156"/>
        <v/>
      </c>
      <c r="NJ17" s="11" t="str">
        <f t="shared" si="157"/>
        <v/>
      </c>
      <c r="NK17" s="11" t="str">
        <f t="shared" si="158"/>
        <v/>
      </c>
      <c r="NL17" s="11" t="str">
        <f t="shared" si="159"/>
        <v/>
      </c>
      <c r="NM17" s="11" t="str">
        <f t="shared" si="160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1"/>
        <v/>
      </c>
      <c r="OI17" s="40" t="str">
        <f t="shared" si="162"/>
        <v/>
      </c>
      <c r="OJ17" s="40" t="str">
        <f t="shared" si="163"/>
        <v/>
      </c>
      <c r="OK17" s="40" t="str">
        <f t="shared" si="164"/>
        <v/>
      </c>
      <c r="OL17" s="40" t="str">
        <f t="shared" si="165"/>
        <v/>
      </c>
      <c r="OM17" s="40" t="str">
        <f t="shared" si="166"/>
        <v/>
      </c>
      <c r="ON17" s="40" t="str">
        <f t="shared" si="167"/>
        <v/>
      </c>
      <c r="OO17" s="40" t="str">
        <f t="shared" si="168"/>
        <v/>
      </c>
      <c r="OP17" s="40" t="str">
        <f t="shared" si="169"/>
        <v/>
      </c>
      <c r="OQ17" s="40" t="str">
        <f t="shared" si="170"/>
        <v/>
      </c>
      <c r="OR17" s="40" t="str">
        <f t="shared" si="171"/>
        <v/>
      </c>
      <c r="OS17" s="40" t="str">
        <f t="shared" si="172"/>
        <v/>
      </c>
      <c r="OT17" s="40" t="str">
        <f t="shared" si="173"/>
        <v/>
      </c>
      <c r="OU17" s="40" t="str">
        <f t="shared" si="174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5"/>
        <v/>
      </c>
      <c r="PQ17" s="11" t="str">
        <f t="shared" si="176"/>
        <v/>
      </c>
      <c r="PR17" s="11" t="str">
        <f t="shared" si="177"/>
        <v/>
      </c>
      <c r="PS17" s="11" t="str">
        <f t="shared" si="178"/>
        <v/>
      </c>
      <c r="PT17" s="11" t="str">
        <f t="shared" si="179"/>
        <v/>
      </c>
      <c r="PU17" s="11" t="str">
        <f t="shared" si="180"/>
        <v/>
      </c>
      <c r="PV17" s="11" t="str">
        <f t="shared" si="181"/>
        <v/>
      </c>
      <c r="PW17" s="11" t="str">
        <f t="shared" si="182"/>
        <v/>
      </c>
      <c r="PX17" s="11" t="str">
        <f t="shared" si="183"/>
        <v/>
      </c>
      <c r="PY17" s="11" t="str">
        <f t="shared" si="184"/>
        <v/>
      </c>
      <c r="PZ17" s="11" t="str">
        <f t="shared" si="185"/>
        <v/>
      </c>
      <c r="QA17" s="11" t="str">
        <f t="shared" si="186"/>
        <v/>
      </c>
      <c r="QB17" s="11" t="str">
        <f t="shared" si="187"/>
        <v/>
      </c>
      <c r="QC17" s="11" t="str">
        <f t="shared" si="188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9"/>
        <v/>
      </c>
      <c r="QY17" s="40" t="str">
        <f t="shared" si="190"/>
        <v/>
      </c>
      <c r="QZ17" s="40" t="str">
        <f t="shared" si="191"/>
        <v/>
      </c>
      <c r="RA17" s="40" t="str">
        <f t="shared" si="192"/>
        <v/>
      </c>
      <c r="RB17" s="40" t="str">
        <f t="shared" si="193"/>
        <v/>
      </c>
      <c r="RC17" s="40" t="str">
        <f t="shared" si="194"/>
        <v/>
      </c>
      <c r="RD17" s="40" t="str">
        <f t="shared" si="195"/>
        <v/>
      </c>
      <c r="RE17" s="40" t="str">
        <f t="shared" si="196"/>
        <v/>
      </c>
      <c r="RF17" s="40" t="str">
        <f t="shared" si="197"/>
        <v/>
      </c>
      <c r="RG17" s="40" t="str">
        <f t="shared" si="198"/>
        <v/>
      </c>
      <c r="RH17" s="40" t="str">
        <f t="shared" si="199"/>
        <v/>
      </c>
      <c r="RI17" s="40" t="str">
        <f t="shared" si="200"/>
        <v/>
      </c>
      <c r="RJ17" s="40" t="str">
        <f t="shared" si="201"/>
        <v/>
      </c>
      <c r="RK17" s="40" t="str">
        <f t="shared" si="202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3"/>
        <v/>
      </c>
      <c r="SG17" s="11" t="str">
        <f t="shared" si="204"/>
        <v/>
      </c>
      <c r="SH17" s="11" t="str">
        <f t="shared" si="205"/>
        <v/>
      </c>
      <c r="SI17" s="11" t="str">
        <f t="shared" si="206"/>
        <v/>
      </c>
      <c r="SJ17" s="11" t="str">
        <f t="shared" si="207"/>
        <v/>
      </c>
      <c r="SK17" s="11" t="str">
        <f t="shared" si="208"/>
        <v/>
      </c>
      <c r="SL17" s="11" t="str">
        <f t="shared" si="209"/>
        <v/>
      </c>
      <c r="SM17" s="11" t="str">
        <f t="shared" si="210"/>
        <v/>
      </c>
      <c r="SN17" s="11" t="str">
        <f t="shared" si="211"/>
        <v/>
      </c>
      <c r="SO17" s="11" t="str">
        <f t="shared" si="212"/>
        <v/>
      </c>
      <c r="SP17" s="11" t="str">
        <f t="shared" si="213"/>
        <v/>
      </c>
      <c r="SQ17" s="11" t="str">
        <f t="shared" si="214"/>
        <v/>
      </c>
      <c r="SR17" s="11" t="str">
        <f t="shared" si="215"/>
        <v/>
      </c>
      <c r="SS17" s="11" t="str">
        <f t="shared" si="216"/>
        <v/>
      </c>
      <c r="ST17" s="22">
        <f t="shared" si="217"/>
        <v>7.3000000000000007</v>
      </c>
      <c r="SU17" s="22">
        <f t="shared" si="218"/>
        <v>5.3</v>
      </c>
      <c r="SV17" s="22">
        <f t="shared" si="219"/>
        <v>5.6</v>
      </c>
      <c r="SW17" s="22">
        <f t="shared" si="220"/>
        <v>7.77</v>
      </c>
      <c r="SX17" s="22">
        <f t="shared" si="221"/>
        <v>0</v>
      </c>
      <c r="SY17" s="22">
        <f t="shared" si="222"/>
        <v>0.6</v>
      </c>
      <c r="SZ17" s="22">
        <f t="shared" si="223"/>
        <v>0.5</v>
      </c>
      <c r="TA17" s="22">
        <f t="shared" si="224"/>
        <v>0.75</v>
      </c>
      <c r="TB17" s="22">
        <f t="shared" si="225"/>
        <v>0.72499999999999998</v>
      </c>
      <c r="TC17" s="22">
        <f t="shared" si="226"/>
        <v>0</v>
      </c>
      <c r="TD17" s="22">
        <f t="shared" si="227"/>
        <v>3.14</v>
      </c>
      <c r="TE17" s="22">
        <f t="shared" si="228"/>
        <v>2.25</v>
      </c>
      <c r="TF17" s="22">
        <f t="shared" si="229"/>
        <v>2.4</v>
      </c>
      <c r="TG17" s="22">
        <f t="shared" si="230"/>
        <v>3.4350000000000001</v>
      </c>
      <c r="TH17" s="22">
        <f t="shared" si="231"/>
        <v>0</v>
      </c>
      <c r="TI17" s="27" t="s">
        <v>46</v>
      </c>
      <c r="TJ17" s="40">
        <f t="shared" si="232"/>
        <v>5.6</v>
      </c>
      <c r="TK17" s="40">
        <f t="shared" si="233"/>
        <v>7.77</v>
      </c>
      <c r="TL17" s="40">
        <f t="shared" si="234"/>
        <v>25.970000000000002</v>
      </c>
      <c r="TM17" s="40">
        <f t="shared" si="235"/>
        <v>0.75</v>
      </c>
      <c r="TN17" s="40">
        <f t="shared" si="236"/>
        <v>0.72499999999999998</v>
      </c>
      <c r="TO17" s="40">
        <f t="shared" si="237"/>
        <v>2.5750000000000002</v>
      </c>
      <c r="TP17" s="40">
        <f t="shared" si="238"/>
        <v>25.970000000000002</v>
      </c>
      <c r="TQ17" s="40">
        <f t="shared" si="239"/>
        <v>2.4</v>
      </c>
      <c r="TR17" s="40">
        <f t="shared" si="240"/>
        <v>3.4350000000000001</v>
      </c>
      <c r="TS17" s="40">
        <f t="shared" si="241"/>
        <v>11.225000000000001</v>
      </c>
      <c r="TT17" s="40">
        <f t="shared" si="242"/>
        <v>37.195000000000007</v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195</v>
      </c>
      <c r="C18" s="4" t="s">
        <v>31</v>
      </c>
      <c r="D18" s="4">
        <v>2006</v>
      </c>
      <c r="E18" s="9">
        <f t="shared" si="0"/>
        <v>106.39001063900443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44.46</v>
      </c>
      <c r="K18" s="8" t="str">
        <f t="shared" si="5"/>
        <v>2023 Elite Canada</v>
      </c>
      <c r="L18" s="8">
        <f>IF(COUNT(AO18,AR18,BP18,BS18,CQ18,CT18)&gt;1,LARGE((AO18,AR18,BP18,BS18,CQ18,CT18),2),0)</f>
        <v>9.32</v>
      </c>
      <c r="M18" s="8" t="str">
        <f t="shared" si="6"/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 t="shared" si="7"/>
        <v>2023 Elite Canada</v>
      </c>
      <c r="P18" s="8">
        <f t="shared" si="8"/>
        <v>9.1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1.4</v>
      </c>
      <c r="X18" s="22">
        <v>0.8</v>
      </c>
      <c r="Y18" s="22">
        <v>1.3</v>
      </c>
      <c r="Z18" s="22">
        <v>1.36</v>
      </c>
      <c r="AA18" s="22">
        <v>0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>
        <f t="shared" si="14"/>
        <v>1.3</v>
      </c>
      <c r="AN18" s="38">
        <f t="shared" si="15"/>
        <v>1.36</v>
      </c>
      <c r="AO18" s="40">
        <f t="shared" si="16"/>
        <v>4.8600000000000003</v>
      </c>
      <c r="AP18" s="40" t="str">
        <f t="shared" si="17"/>
        <v/>
      </c>
      <c r="AQ18" s="40" t="str">
        <f t="shared" si="18"/>
        <v/>
      </c>
      <c r="AR18" s="40" t="str">
        <f t="shared" si="19"/>
        <v/>
      </c>
      <c r="AS18" s="40">
        <f t="shared" si="20"/>
        <v>4.8600000000000003</v>
      </c>
      <c r="AT18" s="40" t="str">
        <f t="shared" si="21"/>
        <v/>
      </c>
      <c r="AU18" s="40" t="str">
        <f t="shared" si="22"/>
        <v/>
      </c>
      <c r="AV18" s="40" t="str">
        <f t="shared" si="23"/>
        <v/>
      </c>
      <c r="AW18" s="40">
        <f t="shared" si="24"/>
        <v>4.8600000000000003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5"/>
        <v/>
      </c>
      <c r="BO18" s="39" t="str">
        <f t="shared" si="26"/>
        <v/>
      </c>
      <c r="BP18" s="11" t="str">
        <f t="shared" si="27"/>
        <v/>
      </c>
      <c r="BQ18" s="11" t="str">
        <f t="shared" si="28"/>
        <v/>
      </c>
      <c r="BR18" s="11" t="str">
        <f t="shared" si="29"/>
        <v/>
      </c>
      <c r="BS18" s="11" t="str">
        <f t="shared" si="30"/>
        <v/>
      </c>
      <c r="BT18" s="11" t="str">
        <f t="shared" si="31"/>
        <v/>
      </c>
      <c r="BU18" s="11" t="str">
        <f t="shared" si="32"/>
        <v/>
      </c>
      <c r="BV18" s="11" t="str">
        <f t="shared" si="33"/>
        <v/>
      </c>
      <c r="BW18" s="11" t="str">
        <f t="shared" si="34"/>
        <v/>
      </c>
      <c r="BX18" s="11" t="str">
        <f t="shared" si="35"/>
        <v/>
      </c>
      <c r="BY18" s="22">
        <v>2.8</v>
      </c>
      <c r="BZ18" s="22">
        <v>1.8</v>
      </c>
      <c r="CA18" s="22">
        <v>2</v>
      </c>
      <c r="CB18" s="22">
        <v>2.72</v>
      </c>
      <c r="CC18" s="22">
        <v>0</v>
      </c>
      <c r="CD18" s="22">
        <v>13.6</v>
      </c>
      <c r="CE18" s="22">
        <v>9.3000000000000007</v>
      </c>
      <c r="CF18" s="22">
        <v>9.1</v>
      </c>
      <c r="CG18" s="22">
        <v>12.46</v>
      </c>
      <c r="CH18" s="22">
        <v>0</v>
      </c>
      <c r="CI18" s="22">
        <v>12.6</v>
      </c>
      <c r="CJ18" s="22">
        <v>9.3000000000000007</v>
      </c>
      <c r="CK18" s="22">
        <v>9.1</v>
      </c>
      <c r="CL18" s="22">
        <v>12.51</v>
      </c>
      <c r="CM18" s="22">
        <v>0</v>
      </c>
      <c r="CN18" s="27"/>
      <c r="CO18" s="38">
        <f t="shared" si="36"/>
        <v>2</v>
      </c>
      <c r="CP18" s="38">
        <f t="shared" si="37"/>
        <v>2.72</v>
      </c>
      <c r="CQ18" s="40">
        <f t="shared" si="38"/>
        <v>9.32</v>
      </c>
      <c r="CR18" s="40">
        <f t="shared" si="39"/>
        <v>9.1</v>
      </c>
      <c r="CS18" s="40">
        <f t="shared" si="40"/>
        <v>12.46</v>
      </c>
      <c r="CT18" s="40">
        <f t="shared" si="41"/>
        <v>44.46</v>
      </c>
      <c r="CU18" s="40">
        <f t="shared" si="42"/>
        <v>44.46</v>
      </c>
      <c r="CV18" s="40">
        <f t="shared" si="43"/>
        <v>9.1</v>
      </c>
      <c r="CW18" s="40">
        <f t="shared" si="44"/>
        <v>12.51</v>
      </c>
      <c r="CX18" s="40">
        <f t="shared" si="45"/>
        <v>43.51</v>
      </c>
      <c r="CY18" s="40">
        <f t="shared" si="46"/>
        <v>87.97</v>
      </c>
      <c r="CZ18" s="50" t="str">
        <f t="shared" si="47"/>
        <v/>
      </c>
      <c r="DA18" s="50" t="str">
        <f t="shared" si="48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9"/>
        <v/>
      </c>
      <c r="DW18" s="40" t="str">
        <f t="shared" si="50"/>
        <v/>
      </c>
      <c r="DX18" s="40" t="str">
        <f t="shared" si="51"/>
        <v/>
      </c>
      <c r="DY18" s="40" t="str">
        <f t="shared" si="52"/>
        <v/>
      </c>
      <c r="DZ18" s="40" t="str">
        <f t="shared" si="53"/>
        <v/>
      </c>
      <c r="EA18" s="40" t="str">
        <f t="shared" si="54"/>
        <v/>
      </c>
      <c r="EB18" s="40" t="str">
        <f t="shared" si="55"/>
        <v/>
      </c>
      <c r="EC18" s="40" t="str">
        <f t="shared" si="56"/>
        <v/>
      </c>
      <c r="ED18" s="40" t="str">
        <f t="shared" si="57"/>
        <v/>
      </c>
      <c r="EE18" s="40" t="str">
        <f t="shared" si="58"/>
        <v/>
      </c>
      <c r="EF18" s="40" t="str">
        <f t="shared" si="59"/>
        <v/>
      </c>
      <c r="EG18" s="40" t="str">
        <f t="shared" si="60"/>
        <v/>
      </c>
      <c r="EH18" s="40" t="str">
        <f t="shared" si="61"/>
        <v/>
      </c>
      <c r="EI18" s="40" t="str">
        <f t="shared" si="62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3"/>
        <v/>
      </c>
      <c r="FE18" s="11" t="str">
        <f t="shared" si="64"/>
        <v/>
      </c>
      <c r="FF18" s="11" t="str">
        <f t="shared" si="65"/>
        <v/>
      </c>
      <c r="FG18" s="11" t="str">
        <f t="shared" si="66"/>
        <v/>
      </c>
      <c r="FH18" s="11" t="str">
        <f t="shared" si="67"/>
        <v/>
      </c>
      <c r="FI18" s="11" t="str">
        <f t="shared" si="68"/>
        <v/>
      </c>
      <c r="FJ18" s="11" t="str">
        <f t="shared" si="69"/>
        <v/>
      </c>
      <c r="FK18" s="11" t="str">
        <f t="shared" si="70"/>
        <v/>
      </c>
      <c r="FL18" s="11" t="str">
        <f t="shared" si="71"/>
        <v/>
      </c>
      <c r="FM18" s="11" t="str">
        <f t="shared" si="72"/>
        <v/>
      </c>
      <c r="FN18" s="11" t="str">
        <f t="shared" si="73"/>
        <v/>
      </c>
      <c r="FO18" s="11" t="str">
        <f t="shared" si="74"/>
        <v/>
      </c>
      <c r="FP18" s="11" t="str">
        <f t="shared" si="75"/>
        <v/>
      </c>
      <c r="FQ18" s="11" t="str">
        <f t="shared" si="76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7"/>
        <v/>
      </c>
      <c r="GM18" s="40" t="str">
        <f t="shared" si="78"/>
        <v/>
      </c>
      <c r="GN18" s="40" t="str">
        <f t="shared" si="79"/>
        <v/>
      </c>
      <c r="GO18" s="40" t="str">
        <f t="shared" si="80"/>
        <v/>
      </c>
      <c r="GP18" s="40" t="str">
        <f t="shared" si="81"/>
        <v/>
      </c>
      <c r="GQ18" s="40" t="str">
        <f t="shared" si="82"/>
        <v/>
      </c>
      <c r="GR18" s="40" t="str">
        <f t="shared" si="83"/>
        <v/>
      </c>
      <c r="GS18" s="40" t="str">
        <f t="shared" si="84"/>
        <v/>
      </c>
      <c r="GT18" s="40" t="str">
        <f t="shared" si="85"/>
        <v/>
      </c>
      <c r="GU18" s="40" t="str">
        <f t="shared" si="86"/>
        <v/>
      </c>
      <c r="GV18" s="40" t="str">
        <f t="shared" si="87"/>
        <v/>
      </c>
      <c r="GW18" s="40" t="str">
        <f t="shared" si="88"/>
        <v/>
      </c>
      <c r="GX18" s="40" t="str">
        <f t="shared" si="89"/>
        <v/>
      </c>
      <c r="GY18" s="40" t="str">
        <f t="shared" si="90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1"/>
        <v/>
      </c>
      <c r="HU18" s="11" t="str">
        <f t="shared" si="92"/>
        <v/>
      </c>
      <c r="HV18" s="11" t="str">
        <f t="shared" si="93"/>
        <v/>
      </c>
      <c r="HW18" s="11" t="str">
        <f t="shared" si="94"/>
        <v/>
      </c>
      <c r="HX18" s="11" t="str">
        <f t="shared" si="95"/>
        <v/>
      </c>
      <c r="HY18" s="11" t="str">
        <f t="shared" si="96"/>
        <v/>
      </c>
      <c r="HZ18" s="11" t="str">
        <f t="shared" si="97"/>
        <v/>
      </c>
      <c r="IA18" s="11" t="str">
        <f t="shared" si="98"/>
        <v/>
      </c>
      <c r="IB18" s="11" t="str">
        <f t="shared" si="99"/>
        <v/>
      </c>
      <c r="IC18" s="11" t="str">
        <f t="shared" si="100"/>
        <v/>
      </c>
      <c r="ID18" s="11" t="str">
        <f t="shared" si="101"/>
        <v/>
      </c>
      <c r="IE18" s="11" t="str">
        <f t="shared" si="102"/>
        <v/>
      </c>
      <c r="IF18" s="11" t="str">
        <f t="shared" si="103"/>
        <v/>
      </c>
      <c r="IG18" s="11" t="str">
        <f t="shared" si="104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5"/>
        <v/>
      </c>
      <c r="JC18" s="40" t="str">
        <f t="shared" si="106"/>
        <v/>
      </c>
      <c r="JD18" s="40" t="str">
        <f t="shared" si="107"/>
        <v/>
      </c>
      <c r="JE18" s="40" t="str">
        <f t="shared" si="108"/>
        <v/>
      </c>
      <c r="JF18" s="40" t="str">
        <f t="shared" si="109"/>
        <v/>
      </c>
      <c r="JG18" s="40" t="str">
        <f t="shared" si="110"/>
        <v/>
      </c>
      <c r="JH18" s="40" t="str">
        <f t="shared" si="111"/>
        <v/>
      </c>
      <c r="JI18" s="40" t="str">
        <f t="shared" si="112"/>
        <v/>
      </c>
      <c r="JJ18" s="40" t="str">
        <f t="shared" si="113"/>
        <v/>
      </c>
      <c r="JK18" s="40" t="str">
        <f t="shared" si="114"/>
        <v/>
      </c>
      <c r="JL18" s="40" t="str">
        <f t="shared" si="115"/>
        <v/>
      </c>
      <c r="JM18" s="40" t="str">
        <f t="shared" si="116"/>
        <v/>
      </c>
      <c r="JN18" s="40" t="str">
        <f t="shared" si="117"/>
        <v/>
      </c>
      <c r="JO18" s="40" t="str">
        <f t="shared" si="118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9"/>
        <v/>
      </c>
      <c r="KK18" s="11" t="str">
        <f t="shared" si="120"/>
        <v/>
      </c>
      <c r="KL18" s="11" t="str">
        <f t="shared" si="121"/>
        <v/>
      </c>
      <c r="KM18" s="11" t="str">
        <f t="shared" si="122"/>
        <v/>
      </c>
      <c r="KN18" s="11" t="str">
        <f t="shared" si="123"/>
        <v/>
      </c>
      <c r="KO18" s="11" t="str">
        <f t="shared" si="124"/>
        <v/>
      </c>
      <c r="KP18" s="11" t="str">
        <f t="shared" si="125"/>
        <v/>
      </c>
      <c r="KQ18" s="11" t="str">
        <f t="shared" si="126"/>
        <v/>
      </c>
      <c r="KR18" s="11" t="str">
        <f t="shared" si="127"/>
        <v/>
      </c>
      <c r="KS18" s="11" t="str">
        <f t="shared" si="128"/>
        <v/>
      </c>
      <c r="KT18" s="11" t="str">
        <f t="shared" si="129"/>
        <v/>
      </c>
      <c r="KU18" s="11" t="str">
        <f t="shared" si="130"/>
        <v/>
      </c>
      <c r="KV18" s="11" t="str">
        <f t="shared" si="131"/>
        <v/>
      </c>
      <c r="KW18" s="11" t="str">
        <f t="shared" si="132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3"/>
        <v/>
      </c>
      <c r="LS18" s="40" t="str">
        <f t="shared" si="134"/>
        <v/>
      </c>
      <c r="LT18" s="40" t="str">
        <f t="shared" si="135"/>
        <v/>
      </c>
      <c r="LU18" s="40" t="str">
        <f t="shared" si="136"/>
        <v/>
      </c>
      <c r="LV18" s="40" t="str">
        <f t="shared" si="137"/>
        <v/>
      </c>
      <c r="LW18" s="40" t="str">
        <f t="shared" si="138"/>
        <v/>
      </c>
      <c r="LX18" s="40" t="str">
        <f t="shared" si="139"/>
        <v/>
      </c>
      <c r="LY18" s="40" t="str">
        <f t="shared" si="140"/>
        <v/>
      </c>
      <c r="LZ18" s="40" t="str">
        <f t="shared" si="141"/>
        <v/>
      </c>
      <c r="MA18" s="40" t="str">
        <f t="shared" si="142"/>
        <v/>
      </c>
      <c r="MB18" s="40" t="str">
        <f t="shared" si="143"/>
        <v/>
      </c>
      <c r="MC18" s="40" t="str">
        <f t="shared" si="144"/>
        <v/>
      </c>
      <c r="MD18" s="40" t="str">
        <f t="shared" si="145"/>
        <v/>
      </c>
      <c r="ME18" s="40" t="str">
        <f t="shared" si="146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7"/>
        <v/>
      </c>
      <c r="NA18" s="11" t="str">
        <f t="shared" si="148"/>
        <v/>
      </c>
      <c r="NB18" s="11" t="str">
        <f t="shared" si="149"/>
        <v/>
      </c>
      <c r="NC18" s="11" t="str">
        <f t="shared" si="150"/>
        <v/>
      </c>
      <c r="ND18" s="11" t="str">
        <f t="shared" si="151"/>
        <v/>
      </c>
      <c r="NE18" s="11" t="str">
        <f t="shared" si="152"/>
        <v/>
      </c>
      <c r="NF18" s="11" t="str">
        <f t="shared" si="153"/>
        <v/>
      </c>
      <c r="NG18" s="11" t="str">
        <f t="shared" si="154"/>
        <v/>
      </c>
      <c r="NH18" s="11" t="str">
        <f t="shared" si="155"/>
        <v/>
      </c>
      <c r="NI18" s="11" t="str">
        <f t="shared" si="156"/>
        <v/>
      </c>
      <c r="NJ18" s="11" t="str">
        <f t="shared" si="157"/>
        <v/>
      </c>
      <c r="NK18" s="11" t="str">
        <f t="shared" si="158"/>
        <v/>
      </c>
      <c r="NL18" s="11" t="str">
        <f t="shared" si="159"/>
        <v/>
      </c>
      <c r="NM18" s="11" t="str">
        <f t="shared" si="160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1"/>
        <v/>
      </c>
      <c r="OI18" s="40" t="str">
        <f t="shared" si="162"/>
        <v/>
      </c>
      <c r="OJ18" s="40" t="str">
        <f t="shared" si="163"/>
        <v/>
      </c>
      <c r="OK18" s="40" t="str">
        <f t="shared" si="164"/>
        <v/>
      </c>
      <c r="OL18" s="40" t="str">
        <f t="shared" si="165"/>
        <v/>
      </c>
      <c r="OM18" s="40" t="str">
        <f t="shared" si="166"/>
        <v/>
      </c>
      <c r="ON18" s="40" t="str">
        <f t="shared" si="167"/>
        <v/>
      </c>
      <c r="OO18" s="40" t="str">
        <f t="shared" si="168"/>
        <v/>
      </c>
      <c r="OP18" s="40" t="str">
        <f t="shared" si="169"/>
        <v/>
      </c>
      <c r="OQ18" s="40" t="str">
        <f t="shared" si="170"/>
        <v/>
      </c>
      <c r="OR18" s="40" t="str">
        <f t="shared" si="171"/>
        <v/>
      </c>
      <c r="OS18" s="40" t="str">
        <f t="shared" si="172"/>
        <v/>
      </c>
      <c r="OT18" s="40" t="str">
        <f t="shared" si="173"/>
        <v/>
      </c>
      <c r="OU18" s="40" t="str">
        <f t="shared" si="174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5"/>
        <v/>
      </c>
      <c r="PQ18" s="11" t="str">
        <f t="shared" si="176"/>
        <v/>
      </c>
      <c r="PR18" s="11" t="str">
        <f t="shared" si="177"/>
        <v/>
      </c>
      <c r="PS18" s="11" t="str">
        <f t="shared" si="178"/>
        <v/>
      </c>
      <c r="PT18" s="11" t="str">
        <f t="shared" si="179"/>
        <v/>
      </c>
      <c r="PU18" s="11" t="str">
        <f t="shared" si="180"/>
        <v/>
      </c>
      <c r="PV18" s="11" t="str">
        <f t="shared" si="181"/>
        <v/>
      </c>
      <c r="PW18" s="11" t="str">
        <f t="shared" si="182"/>
        <v/>
      </c>
      <c r="PX18" s="11" t="str">
        <f t="shared" si="183"/>
        <v/>
      </c>
      <c r="PY18" s="11" t="str">
        <f t="shared" si="184"/>
        <v/>
      </c>
      <c r="PZ18" s="11" t="str">
        <f t="shared" si="185"/>
        <v/>
      </c>
      <c r="QA18" s="11" t="str">
        <f t="shared" si="186"/>
        <v/>
      </c>
      <c r="QB18" s="11" t="str">
        <f t="shared" si="187"/>
        <v/>
      </c>
      <c r="QC18" s="11" t="str">
        <f t="shared" si="188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9"/>
        <v/>
      </c>
      <c r="QY18" s="40" t="str">
        <f t="shared" si="190"/>
        <v/>
      </c>
      <c r="QZ18" s="40" t="str">
        <f t="shared" si="191"/>
        <v/>
      </c>
      <c r="RA18" s="40" t="str">
        <f t="shared" si="192"/>
        <v/>
      </c>
      <c r="RB18" s="40" t="str">
        <f t="shared" si="193"/>
        <v/>
      </c>
      <c r="RC18" s="40" t="str">
        <f t="shared" si="194"/>
        <v/>
      </c>
      <c r="RD18" s="40" t="str">
        <f t="shared" si="195"/>
        <v/>
      </c>
      <c r="RE18" s="40" t="str">
        <f t="shared" si="196"/>
        <v/>
      </c>
      <c r="RF18" s="40" t="str">
        <f t="shared" si="197"/>
        <v/>
      </c>
      <c r="RG18" s="40" t="str">
        <f t="shared" si="198"/>
        <v/>
      </c>
      <c r="RH18" s="40" t="str">
        <f t="shared" si="199"/>
        <v/>
      </c>
      <c r="RI18" s="40" t="str">
        <f t="shared" si="200"/>
        <v/>
      </c>
      <c r="RJ18" s="40" t="str">
        <f t="shared" si="201"/>
        <v/>
      </c>
      <c r="RK18" s="40" t="str">
        <f t="shared" si="202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3"/>
        <v/>
      </c>
      <c r="SG18" s="11" t="str">
        <f t="shared" si="204"/>
        <v/>
      </c>
      <c r="SH18" s="11" t="str">
        <f t="shared" si="205"/>
        <v/>
      </c>
      <c r="SI18" s="11" t="str">
        <f t="shared" si="206"/>
        <v/>
      </c>
      <c r="SJ18" s="11" t="str">
        <f t="shared" si="207"/>
        <v/>
      </c>
      <c r="SK18" s="11" t="str">
        <f t="shared" si="208"/>
        <v/>
      </c>
      <c r="SL18" s="11" t="str">
        <f t="shared" si="209"/>
        <v/>
      </c>
      <c r="SM18" s="11" t="str">
        <f t="shared" si="210"/>
        <v/>
      </c>
      <c r="SN18" s="11" t="str">
        <f t="shared" si="211"/>
        <v/>
      </c>
      <c r="SO18" s="11" t="str">
        <f t="shared" si="212"/>
        <v/>
      </c>
      <c r="SP18" s="11" t="str">
        <f t="shared" si="213"/>
        <v/>
      </c>
      <c r="SQ18" s="11" t="str">
        <f t="shared" si="214"/>
        <v/>
      </c>
      <c r="SR18" s="11" t="str">
        <f t="shared" si="215"/>
        <v/>
      </c>
      <c r="SS18" s="11" t="str">
        <f t="shared" si="216"/>
        <v/>
      </c>
      <c r="ST18" s="22">
        <f t="shared" si="217"/>
        <v>1.4</v>
      </c>
      <c r="SU18" s="22">
        <f t="shared" si="218"/>
        <v>0.9</v>
      </c>
      <c r="SV18" s="22">
        <f t="shared" si="219"/>
        <v>1</v>
      </c>
      <c r="SW18" s="22">
        <f t="shared" si="220"/>
        <v>1.36</v>
      </c>
      <c r="SX18" s="22">
        <f t="shared" si="221"/>
        <v>0</v>
      </c>
      <c r="SY18" s="22">
        <f t="shared" si="222"/>
        <v>6.8</v>
      </c>
      <c r="SZ18" s="22">
        <f t="shared" si="223"/>
        <v>4.6500000000000004</v>
      </c>
      <c r="TA18" s="22">
        <f t="shared" si="224"/>
        <v>4.55</v>
      </c>
      <c r="TB18" s="22">
        <f t="shared" si="225"/>
        <v>6.23</v>
      </c>
      <c r="TC18" s="22">
        <f t="shared" si="226"/>
        <v>0</v>
      </c>
      <c r="TD18" s="22">
        <f t="shared" si="227"/>
        <v>6.3</v>
      </c>
      <c r="TE18" s="22">
        <f t="shared" si="228"/>
        <v>4.6500000000000004</v>
      </c>
      <c r="TF18" s="22">
        <f t="shared" si="229"/>
        <v>4.55</v>
      </c>
      <c r="TG18" s="22">
        <f t="shared" si="230"/>
        <v>6.2549999999999999</v>
      </c>
      <c r="TH18" s="22">
        <f t="shared" si="231"/>
        <v>0</v>
      </c>
      <c r="TI18" s="27" t="s">
        <v>46</v>
      </c>
      <c r="TJ18" s="40">
        <f t="shared" si="232"/>
        <v>1</v>
      </c>
      <c r="TK18" s="40">
        <f t="shared" si="233"/>
        <v>1.36</v>
      </c>
      <c r="TL18" s="40">
        <f t="shared" si="234"/>
        <v>4.66</v>
      </c>
      <c r="TM18" s="40">
        <f t="shared" si="235"/>
        <v>4.55</v>
      </c>
      <c r="TN18" s="40">
        <f t="shared" si="236"/>
        <v>6.23</v>
      </c>
      <c r="TO18" s="40">
        <f t="shared" si="237"/>
        <v>22.23</v>
      </c>
      <c r="TP18" s="40">
        <f t="shared" si="238"/>
        <v>22.23</v>
      </c>
      <c r="TQ18" s="40">
        <f t="shared" si="239"/>
        <v>4.55</v>
      </c>
      <c r="TR18" s="40">
        <f t="shared" si="240"/>
        <v>6.2549999999999999</v>
      </c>
      <c r="TS18" s="40">
        <f t="shared" si="241"/>
        <v>21.754999999999999</v>
      </c>
      <c r="TT18" s="40">
        <f t="shared" si="242"/>
        <v>43.984999999999999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194</v>
      </c>
      <c r="C19" s="4" t="s">
        <v>3</v>
      </c>
      <c r="D19" s="4">
        <v>2006</v>
      </c>
      <c r="E19" s="9">
        <f t="shared" si="0"/>
        <v>106.32001063200435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43.53</v>
      </c>
      <c r="K19" s="8" t="str">
        <f t="shared" si="5"/>
        <v>2023 Elite Canada</v>
      </c>
      <c r="L19" s="8">
        <f>IF(COUNT(AO19,AR19,BP19,BS19,CQ19,CT19)&gt;1,LARGE((AO19,AR19,BP19,BS19,CQ19,CT19),2),0)</f>
        <v>5.17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 t="shared" si="7"/>
        <v>2023 Elite Canada</v>
      </c>
      <c r="P19" s="8">
        <f t="shared" si="8"/>
        <v>10.5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1.4</v>
      </c>
      <c r="X19" s="22">
        <v>1</v>
      </c>
      <c r="Y19" s="22">
        <v>1.3</v>
      </c>
      <c r="Z19" s="22">
        <v>1.446</v>
      </c>
      <c r="AA19" s="22">
        <v>0.2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 t="shared" si="14"/>
        <v>1.3</v>
      </c>
      <c r="AN19" s="38">
        <f t="shared" si="15"/>
        <v>1.446</v>
      </c>
      <c r="AO19" s="40">
        <f t="shared" si="16"/>
        <v>4.9459999999999997</v>
      </c>
      <c r="AP19" s="40" t="str">
        <f t="shared" si="17"/>
        <v/>
      </c>
      <c r="AQ19" s="40" t="str">
        <f t="shared" si="18"/>
        <v/>
      </c>
      <c r="AR19" s="40" t="str">
        <f t="shared" si="19"/>
        <v/>
      </c>
      <c r="AS19" s="40">
        <f t="shared" si="20"/>
        <v>4.9459999999999997</v>
      </c>
      <c r="AT19" s="40" t="str">
        <f t="shared" si="21"/>
        <v/>
      </c>
      <c r="AU19" s="40" t="str">
        <f t="shared" si="22"/>
        <v/>
      </c>
      <c r="AV19" s="40" t="str">
        <f t="shared" si="23"/>
        <v/>
      </c>
      <c r="AW19" s="40">
        <f t="shared" si="24"/>
        <v>4.9459999999999997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 t="shared" si="25"/>
        <v/>
      </c>
      <c r="BO19" s="39" t="str">
        <f t="shared" si="26"/>
        <v/>
      </c>
      <c r="BP19" s="11" t="str">
        <f t="shared" si="27"/>
        <v/>
      </c>
      <c r="BQ19" s="11" t="str">
        <f t="shared" si="28"/>
        <v/>
      </c>
      <c r="BR19" s="11" t="str">
        <f t="shared" si="29"/>
        <v/>
      </c>
      <c r="BS19" s="11" t="str">
        <f t="shared" si="30"/>
        <v/>
      </c>
      <c r="BT19" s="11" t="str">
        <f t="shared" si="31"/>
        <v/>
      </c>
      <c r="BU19" s="11" t="str">
        <f t="shared" si="32"/>
        <v/>
      </c>
      <c r="BV19" s="11" t="str">
        <f t="shared" si="33"/>
        <v/>
      </c>
      <c r="BW19" s="11" t="str">
        <f t="shared" si="34"/>
        <v/>
      </c>
      <c r="BX19" s="11" t="str">
        <f t="shared" si="35"/>
        <v/>
      </c>
      <c r="BY19" s="22">
        <v>1.2</v>
      </c>
      <c r="BZ19" s="22">
        <v>1</v>
      </c>
      <c r="CA19" s="22">
        <v>1.5</v>
      </c>
      <c r="CB19" s="22">
        <v>1.47</v>
      </c>
      <c r="CC19" s="22">
        <v>0</v>
      </c>
      <c r="CD19" s="22">
        <v>12</v>
      </c>
      <c r="CE19" s="22">
        <v>8.9</v>
      </c>
      <c r="CF19" s="22">
        <v>9.8000000000000007</v>
      </c>
      <c r="CG19" s="22">
        <v>12.83</v>
      </c>
      <c r="CH19" s="22">
        <v>0</v>
      </c>
      <c r="CI19" s="22">
        <v>13.9</v>
      </c>
      <c r="CJ19" s="22">
        <v>9.3000000000000007</v>
      </c>
      <c r="CK19" s="22">
        <v>10.5</v>
      </c>
      <c r="CL19" s="22">
        <v>13.42</v>
      </c>
      <c r="CM19" s="22">
        <v>0</v>
      </c>
      <c r="CN19" s="27"/>
      <c r="CO19" s="38">
        <f t="shared" si="36"/>
        <v>1.5</v>
      </c>
      <c r="CP19" s="38">
        <f t="shared" si="37"/>
        <v>1.47</v>
      </c>
      <c r="CQ19" s="40">
        <f t="shared" si="38"/>
        <v>5.17</v>
      </c>
      <c r="CR19" s="40">
        <f t="shared" si="39"/>
        <v>9.8000000000000007</v>
      </c>
      <c r="CS19" s="40">
        <f t="shared" si="40"/>
        <v>12.83</v>
      </c>
      <c r="CT19" s="40">
        <f t="shared" si="41"/>
        <v>43.53</v>
      </c>
      <c r="CU19" s="40">
        <f t="shared" si="42"/>
        <v>43.53</v>
      </c>
      <c r="CV19" s="40">
        <f t="shared" si="43"/>
        <v>10.5</v>
      </c>
      <c r="CW19" s="40">
        <f t="shared" si="44"/>
        <v>13.42</v>
      </c>
      <c r="CX19" s="40">
        <f t="shared" si="45"/>
        <v>47.120000000000005</v>
      </c>
      <c r="CY19" s="40">
        <f t="shared" si="46"/>
        <v>90.65</v>
      </c>
      <c r="CZ19" s="50" t="str">
        <f t="shared" si="47"/>
        <v/>
      </c>
      <c r="DA19" s="50" t="str">
        <f t="shared" si="48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9"/>
        <v/>
      </c>
      <c r="DW19" s="40" t="str">
        <f t="shared" si="50"/>
        <v/>
      </c>
      <c r="DX19" s="40" t="str">
        <f t="shared" si="51"/>
        <v/>
      </c>
      <c r="DY19" s="40" t="str">
        <f t="shared" si="52"/>
        <v/>
      </c>
      <c r="DZ19" s="40" t="str">
        <f t="shared" si="53"/>
        <v/>
      </c>
      <c r="EA19" s="40" t="str">
        <f t="shared" si="54"/>
        <v/>
      </c>
      <c r="EB19" s="40" t="str">
        <f t="shared" si="55"/>
        <v/>
      </c>
      <c r="EC19" s="40" t="str">
        <f t="shared" si="56"/>
        <v/>
      </c>
      <c r="ED19" s="40" t="str">
        <f t="shared" si="57"/>
        <v/>
      </c>
      <c r="EE19" s="40" t="str">
        <f t="shared" si="58"/>
        <v/>
      </c>
      <c r="EF19" s="40" t="str">
        <f t="shared" si="59"/>
        <v/>
      </c>
      <c r="EG19" s="40" t="str">
        <f t="shared" si="60"/>
        <v/>
      </c>
      <c r="EH19" s="40" t="str">
        <f t="shared" si="61"/>
        <v/>
      </c>
      <c r="EI19" s="40" t="str">
        <f t="shared" si="62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3"/>
        <v/>
      </c>
      <c r="FE19" s="11" t="str">
        <f t="shared" si="64"/>
        <v/>
      </c>
      <c r="FF19" s="11" t="str">
        <f t="shared" si="65"/>
        <v/>
      </c>
      <c r="FG19" s="11" t="str">
        <f t="shared" si="66"/>
        <v/>
      </c>
      <c r="FH19" s="11" t="str">
        <f t="shared" si="67"/>
        <v/>
      </c>
      <c r="FI19" s="11" t="str">
        <f t="shared" si="68"/>
        <v/>
      </c>
      <c r="FJ19" s="11" t="str">
        <f t="shared" si="69"/>
        <v/>
      </c>
      <c r="FK19" s="11" t="str">
        <f t="shared" si="70"/>
        <v/>
      </c>
      <c r="FL19" s="11" t="str">
        <f t="shared" si="71"/>
        <v/>
      </c>
      <c r="FM19" s="11" t="str">
        <f t="shared" si="72"/>
        <v/>
      </c>
      <c r="FN19" s="11" t="str">
        <f t="shared" si="73"/>
        <v/>
      </c>
      <c r="FO19" s="11" t="str">
        <f t="shared" si="74"/>
        <v/>
      </c>
      <c r="FP19" s="11" t="str">
        <f t="shared" si="75"/>
        <v/>
      </c>
      <c r="FQ19" s="11" t="str">
        <f t="shared" si="76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7"/>
        <v/>
      </c>
      <c r="GM19" s="40" t="str">
        <f t="shared" si="78"/>
        <v/>
      </c>
      <c r="GN19" s="40" t="str">
        <f t="shared" si="79"/>
        <v/>
      </c>
      <c r="GO19" s="40" t="str">
        <f t="shared" si="80"/>
        <v/>
      </c>
      <c r="GP19" s="40" t="str">
        <f t="shared" si="81"/>
        <v/>
      </c>
      <c r="GQ19" s="40" t="str">
        <f t="shared" si="82"/>
        <v/>
      </c>
      <c r="GR19" s="40" t="str">
        <f t="shared" si="83"/>
        <v/>
      </c>
      <c r="GS19" s="40" t="str">
        <f t="shared" si="84"/>
        <v/>
      </c>
      <c r="GT19" s="40" t="str">
        <f t="shared" si="85"/>
        <v/>
      </c>
      <c r="GU19" s="40" t="str">
        <f t="shared" si="86"/>
        <v/>
      </c>
      <c r="GV19" s="40" t="str">
        <f t="shared" si="87"/>
        <v/>
      </c>
      <c r="GW19" s="40" t="str">
        <f t="shared" si="88"/>
        <v/>
      </c>
      <c r="GX19" s="40" t="str">
        <f t="shared" si="89"/>
        <v/>
      </c>
      <c r="GY19" s="40" t="str">
        <f t="shared" si="90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1"/>
        <v/>
      </c>
      <c r="HU19" s="11" t="str">
        <f t="shared" si="92"/>
        <v/>
      </c>
      <c r="HV19" s="11" t="str">
        <f t="shared" si="93"/>
        <v/>
      </c>
      <c r="HW19" s="11" t="str">
        <f t="shared" si="94"/>
        <v/>
      </c>
      <c r="HX19" s="11" t="str">
        <f t="shared" si="95"/>
        <v/>
      </c>
      <c r="HY19" s="11" t="str">
        <f t="shared" si="96"/>
        <v/>
      </c>
      <c r="HZ19" s="11" t="str">
        <f t="shared" si="97"/>
        <v/>
      </c>
      <c r="IA19" s="11" t="str">
        <f t="shared" si="98"/>
        <v/>
      </c>
      <c r="IB19" s="11" t="str">
        <f t="shared" si="99"/>
        <v/>
      </c>
      <c r="IC19" s="11" t="str">
        <f t="shared" si="100"/>
        <v/>
      </c>
      <c r="ID19" s="11" t="str">
        <f t="shared" si="101"/>
        <v/>
      </c>
      <c r="IE19" s="11" t="str">
        <f t="shared" si="102"/>
        <v/>
      </c>
      <c r="IF19" s="11" t="str">
        <f t="shared" si="103"/>
        <v/>
      </c>
      <c r="IG19" s="11" t="str">
        <f t="shared" si="104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5"/>
        <v/>
      </c>
      <c r="JC19" s="40" t="str">
        <f t="shared" si="106"/>
        <v/>
      </c>
      <c r="JD19" s="40" t="str">
        <f t="shared" si="107"/>
        <v/>
      </c>
      <c r="JE19" s="40" t="str">
        <f t="shared" si="108"/>
        <v/>
      </c>
      <c r="JF19" s="40" t="str">
        <f t="shared" si="109"/>
        <v/>
      </c>
      <c r="JG19" s="40" t="str">
        <f t="shared" si="110"/>
        <v/>
      </c>
      <c r="JH19" s="40" t="str">
        <f t="shared" si="111"/>
        <v/>
      </c>
      <c r="JI19" s="40" t="str">
        <f t="shared" si="112"/>
        <v/>
      </c>
      <c r="JJ19" s="40" t="str">
        <f t="shared" si="113"/>
        <v/>
      </c>
      <c r="JK19" s="40" t="str">
        <f t="shared" si="114"/>
        <v/>
      </c>
      <c r="JL19" s="40" t="str">
        <f t="shared" si="115"/>
        <v/>
      </c>
      <c r="JM19" s="40" t="str">
        <f t="shared" si="116"/>
        <v/>
      </c>
      <c r="JN19" s="40" t="str">
        <f t="shared" si="117"/>
        <v/>
      </c>
      <c r="JO19" s="40" t="str">
        <f t="shared" si="118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9"/>
        <v/>
      </c>
      <c r="KK19" s="11" t="str">
        <f t="shared" si="120"/>
        <v/>
      </c>
      <c r="KL19" s="11" t="str">
        <f t="shared" si="121"/>
        <v/>
      </c>
      <c r="KM19" s="11" t="str">
        <f t="shared" si="122"/>
        <v/>
      </c>
      <c r="KN19" s="11" t="str">
        <f t="shared" si="123"/>
        <v/>
      </c>
      <c r="KO19" s="11" t="str">
        <f t="shared" si="124"/>
        <v/>
      </c>
      <c r="KP19" s="11" t="str">
        <f t="shared" si="125"/>
        <v/>
      </c>
      <c r="KQ19" s="11" t="str">
        <f t="shared" si="126"/>
        <v/>
      </c>
      <c r="KR19" s="11" t="str">
        <f t="shared" si="127"/>
        <v/>
      </c>
      <c r="KS19" s="11" t="str">
        <f t="shared" si="128"/>
        <v/>
      </c>
      <c r="KT19" s="11" t="str">
        <f t="shared" si="129"/>
        <v/>
      </c>
      <c r="KU19" s="11" t="str">
        <f t="shared" si="130"/>
        <v/>
      </c>
      <c r="KV19" s="11" t="str">
        <f t="shared" si="131"/>
        <v/>
      </c>
      <c r="KW19" s="11" t="str">
        <f t="shared" si="132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3"/>
        <v/>
      </c>
      <c r="LS19" s="40" t="str">
        <f t="shared" si="134"/>
        <v/>
      </c>
      <c r="LT19" s="40" t="str">
        <f t="shared" si="135"/>
        <v/>
      </c>
      <c r="LU19" s="40" t="str">
        <f t="shared" si="136"/>
        <v/>
      </c>
      <c r="LV19" s="40" t="str">
        <f t="shared" si="137"/>
        <v/>
      </c>
      <c r="LW19" s="40" t="str">
        <f t="shared" si="138"/>
        <v/>
      </c>
      <c r="LX19" s="40" t="str">
        <f t="shared" si="139"/>
        <v/>
      </c>
      <c r="LY19" s="40" t="str">
        <f t="shared" si="140"/>
        <v/>
      </c>
      <c r="LZ19" s="40" t="str">
        <f t="shared" si="141"/>
        <v/>
      </c>
      <c r="MA19" s="40" t="str">
        <f t="shared" si="142"/>
        <v/>
      </c>
      <c r="MB19" s="40" t="str">
        <f t="shared" si="143"/>
        <v/>
      </c>
      <c r="MC19" s="40" t="str">
        <f t="shared" si="144"/>
        <v/>
      </c>
      <c r="MD19" s="40" t="str">
        <f t="shared" si="145"/>
        <v/>
      </c>
      <c r="ME19" s="40" t="str">
        <f t="shared" si="146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7"/>
        <v/>
      </c>
      <c r="NA19" s="11" t="str">
        <f t="shared" si="148"/>
        <v/>
      </c>
      <c r="NB19" s="11" t="str">
        <f t="shared" si="149"/>
        <v/>
      </c>
      <c r="NC19" s="11" t="str">
        <f t="shared" si="150"/>
        <v/>
      </c>
      <c r="ND19" s="11" t="str">
        <f t="shared" si="151"/>
        <v/>
      </c>
      <c r="NE19" s="11" t="str">
        <f t="shared" si="152"/>
        <v/>
      </c>
      <c r="NF19" s="11" t="str">
        <f t="shared" si="153"/>
        <v/>
      </c>
      <c r="NG19" s="11" t="str">
        <f t="shared" si="154"/>
        <v/>
      </c>
      <c r="NH19" s="11" t="str">
        <f t="shared" si="155"/>
        <v/>
      </c>
      <c r="NI19" s="11" t="str">
        <f t="shared" si="156"/>
        <v/>
      </c>
      <c r="NJ19" s="11" t="str">
        <f t="shared" si="157"/>
        <v/>
      </c>
      <c r="NK19" s="11" t="str">
        <f t="shared" si="158"/>
        <v/>
      </c>
      <c r="NL19" s="11" t="str">
        <f t="shared" si="159"/>
        <v/>
      </c>
      <c r="NM19" s="11" t="str">
        <f t="shared" si="160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1"/>
        <v/>
      </c>
      <c r="OI19" s="40" t="str">
        <f t="shared" si="162"/>
        <v/>
      </c>
      <c r="OJ19" s="40" t="str">
        <f t="shared" si="163"/>
        <v/>
      </c>
      <c r="OK19" s="40" t="str">
        <f t="shared" si="164"/>
        <v/>
      </c>
      <c r="OL19" s="40" t="str">
        <f t="shared" si="165"/>
        <v/>
      </c>
      <c r="OM19" s="40" t="str">
        <f t="shared" si="166"/>
        <v/>
      </c>
      <c r="ON19" s="40" t="str">
        <f t="shared" si="167"/>
        <v/>
      </c>
      <c r="OO19" s="40" t="str">
        <f t="shared" si="168"/>
        <v/>
      </c>
      <c r="OP19" s="40" t="str">
        <f t="shared" si="169"/>
        <v/>
      </c>
      <c r="OQ19" s="40" t="str">
        <f t="shared" si="170"/>
        <v/>
      </c>
      <c r="OR19" s="40" t="str">
        <f t="shared" si="171"/>
        <v/>
      </c>
      <c r="OS19" s="40" t="str">
        <f t="shared" si="172"/>
        <v/>
      </c>
      <c r="OT19" s="40" t="str">
        <f t="shared" si="173"/>
        <v/>
      </c>
      <c r="OU19" s="40" t="str">
        <f t="shared" si="174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5"/>
        <v/>
      </c>
      <c r="PQ19" s="11" t="str">
        <f t="shared" si="176"/>
        <v/>
      </c>
      <c r="PR19" s="11" t="str">
        <f t="shared" si="177"/>
        <v/>
      </c>
      <c r="PS19" s="11" t="str">
        <f t="shared" si="178"/>
        <v/>
      </c>
      <c r="PT19" s="11" t="str">
        <f t="shared" si="179"/>
        <v/>
      </c>
      <c r="PU19" s="11" t="str">
        <f t="shared" si="180"/>
        <v/>
      </c>
      <c r="PV19" s="11" t="str">
        <f t="shared" si="181"/>
        <v/>
      </c>
      <c r="PW19" s="11" t="str">
        <f t="shared" si="182"/>
        <v/>
      </c>
      <c r="PX19" s="11" t="str">
        <f t="shared" si="183"/>
        <v/>
      </c>
      <c r="PY19" s="11" t="str">
        <f t="shared" si="184"/>
        <v/>
      </c>
      <c r="PZ19" s="11" t="str">
        <f t="shared" si="185"/>
        <v/>
      </c>
      <c r="QA19" s="11" t="str">
        <f t="shared" si="186"/>
        <v/>
      </c>
      <c r="QB19" s="11" t="str">
        <f t="shared" si="187"/>
        <v/>
      </c>
      <c r="QC19" s="11" t="str">
        <f t="shared" si="188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9"/>
        <v/>
      </c>
      <c r="QY19" s="40" t="str">
        <f t="shared" si="190"/>
        <v/>
      </c>
      <c r="QZ19" s="40" t="str">
        <f t="shared" si="191"/>
        <v/>
      </c>
      <c r="RA19" s="40" t="str">
        <f t="shared" si="192"/>
        <v/>
      </c>
      <c r="RB19" s="40" t="str">
        <f t="shared" si="193"/>
        <v/>
      </c>
      <c r="RC19" s="40" t="str">
        <f t="shared" si="194"/>
        <v/>
      </c>
      <c r="RD19" s="40" t="str">
        <f t="shared" si="195"/>
        <v/>
      </c>
      <c r="RE19" s="40" t="str">
        <f t="shared" si="196"/>
        <v/>
      </c>
      <c r="RF19" s="40" t="str">
        <f t="shared" si="197"/>
        <v/>
      </c>
      <c r="RG19" s="40" t="str">
        <f t="shared" si="198"/>
        <v/>
      </c>
      <c r="RH19" s="40" t="str">
        <f t="shared" si="199"/>
        <v/>
      </c>
      <c r="RI19" s="40" t="str">
        <f t="shared" si="200"/>
        <v/>
      </c>
      <c r="RJ19" s="40" t="str">
        <f t="shared" si="201"/>
        <v/>
      </c>
      <c r="RK19" s="40" t="str">
        <f t="shared" si="202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3"/>
        <v/>
      </c>
      <c r="SG19" s="11" t="str">
        <f t="shared" si="204"/>
        <v/>
      </c>
      <c r="SH19" s="11" t="str">
        <f t="shared" si="205"/>
        <v/>
      </c>
      <c r="SI19" s="11" t="str">
        <f t="shared" si="206"/>
        <v/>
      </c>
      <c r="SJ19" s="11" t="str">
        <f t="shared" si="207"/>
        <v/>
      </c>
      <c r="SK19" s="11" t="str">
        <f t="shared" si="208"/>
        <v/>
      </c>
      <c r="SL19" s="11" t="str">
        <f t="shared" si="209"/>
        <v/>
      </c>
      <c r="SM19" s="11" t="str">
        <f t="shared" si="210"/>
        <v/>
      </c>
      <c r="SN19" s="11" t="str">
        <f t="shared" si="211"/>
        <v/>
      </c>
      <c r="SO19" s="11" t="str">
        <f t="shared" si="212"/>
        <v/>
      </c>
      <c r="SP19" s="11" t="str">
        <f t="shared" si="213"/>
        <v/>
      </c>
      <c r="SQ19" s="11" t="str">
        <f t="shared" si="214"/>
        <v/>
      </c>
      <c r="SR19" s="11" t="str">
        <f t="shared" si="215"/>
        <v/>
      </c>
      <c r="SS19" s="11" t="str">
        <f t="shared" si="216"/>
        <v/>
      </c>
      <c r="ST19" s="22">
        <f t="shared" si="217"/>
        <v>0.6</v>
      </c>
      <c r="SU19" s="22">
        <f t="shared" si="218"/>
        <v>0.5</v>
      </c>
      <c r="SV19" s="22">
        <f t="shared" si="219"/>
        <v>0.75</v>
      </c>
      <c r="SW19" s="22">
        <f t="shared" si="220"/>
        <v>0.73499999999999999</v>
      </c>
      <c r="SX19" s="22">
        <f t="shared" si="221"/>
        <v>0</v>
      </c>
      <c r="SY19" s="22">
        <f t="shared" si="222"/>
        <v>6</v>
      </c>
      <c r="SZ19" s="22">
        <f t="shared" si="223"/>
        <v>4.45</v>
      </c>
      <c r="TA19" s="22">
        <f t="shared" si="224"/>
        <v>4.9000000000000004</v>
      </c>
      <c r="TB19" s="22">
        <f t="shared" si="225"/>
        <v>6.415</v>
      </c>
      <c r="TC19" s="22">
        <f t="shared" si="226"/>
        <v>0</v>
      </c>
      <c r="TD19" s="22">
        <f t="shared" si="227"/>
        <v>6.95</v>
      </c>
      <c r="TE19" s="22">
        <f t="shared" si="228"/>
        <v>4.6500000000000004</v>
      </c>
      <c r="TF19" s="22">
        <f t="shared" si="229"/>
        <v>5.25</v>
      </c>
      <c r="TG19" s="22">
        <f t="shared" si="230"/>
        <v>6.71</v>
      </c>
      <c r="TH19" s="22">
        <f t="shared" si="231"/>
        <v>0</v>
      </c>
      <c r="TI19" s="27" t="s">
        <v>46</v>
      </c>
      <c r="TJ19" s="40">
        <f t="shared" si="232"/>
        <v>0.75</v>
      </c>
      <c r="TK19" s="40">
        <f t="shared" si="233"/>
        <v>0.73499999999999999</v>
      </c>
      <c r="TL19" s="40">
        <f t="shared" si="234"/>
        <v>2.585</v>
      </c>
      <c r="TM19" s="40">
        <f t="shared" si="235"/>
        <v>4.9000000000000004</v>
      </c>
      <c r="TN19" s="40">
        <f t="shared" si="236"/>
        <v>6.415</v>
      </c>
      <c r="TO19" s="40">
        <f t="shared" si="237"/>
        <v>21.765000000000001</v>
      </c>
      <c r="TP19" s="40">
        <f t="shared" si="238"/>
        <v>21.765000000000001</v>
      </c>
      <c r="TQ19" s="40">
        <f t="shared" si="239"/>
        <v>5.25</v>
      </c>
      <c r="TR19" s="40">
        <f t="shared" si="240"/>
        <v>6.71</v>
      </c>
      <c r="TS19" s="40">
        <f t="shared" si="241"/>
        <v>23.560000000000002</v>
      </c>
      <c r="TT19" s="40">
        <f t="shared" si="242"/>
        <v>45.325000000000003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151</v>
      </c>
      <c r="C20" s="4" t="s">
        <v>6</v>
      </c>
      <c r="D20" s="4">
        <v>2004</v>
      </c>
      <c r="E20" s="9">
        <f t="shared" si="0"/>
        <v>104.40001044000465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46.54</v>
      </c>
      <c r="K20" s="8" t="str">
        <f t="shared" si="5"/>
        <v>2022 Nationals</v>
      </c>
      <c r="L20" s="8">
        <f>IF(COUNT(AO20,AR20,BP20,BS20,CQ20,CT20)&gt;1,LARGE((AO20,AR20,BP20,BS20,CQ20,CT20),2),0)</f>
        <v>0</v>
      </c>
      <c r="M20" s="8" t="str">
        <f t="shared" si="6"/>
        <v/>
      </c>
      <c r="N20" s="8">
        <f>IF(COUNT(AO20,AR20,BP20,BS20,CQ20,CT20)&gt;2,MAX(AV20,BW20,CX20,LARGE((AO20,AR20,BP20,BS20,CQ20,CT20),3)),IF(MAX(AV20,BW20,CX20)&gt;0,MAX(AV20,BW20,CX20),0))</f>
        <v>47.86</v>
      </c>
      <c r="O20" s="8" t="str">
        <f t="shared" si="7"/>
        <v>2022 Nationals</v>
      </c>
      <c r="P20" s="8">
        <f t="shared" si="8"/>
        <v>10</v>
      </c>
      <c r="Q20" s="8" t="str">
        <f t="shared" si="9"/>
        <v>2022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>
        <v>14.4</v>
      </c>
      <c r="X20" s="22">
        <v>9.1999999999999993</v>
      </c>
      <c r="Y20" s="22">
        <v>10</v>
      </c>
      <c r="Z20" s="22">
        <v>12.94</v>
      </c>
      <c r="AA20" s="22">
        <v>0</v>
      </c>
      <c r="AB20" s="22"/>
      <c r="AC20" s="22"/>
      <c r="AD20" s="22"/>
      <c r="AE20" s="22"/>
      <c r="AF20" s="22"/>
      <c r="AG20" s="22">
        <v>15.4</v>
      </c>
      <c r="AH20" s="22">
        <v>9.3000000000000007</v>
      </c>
      <c r="AI20" s="22">
        <v>10</v>
      </c>
      <c r="AJ20" s="22">
        <v>13.16</v>
      </c>
      <c r="AK20" s="22">
        <v>0</v>
      </c>
      <c r="AL20" s="27"/>
      <c r="AM20" s="38">
        <f t="shared" si="14"/>
        <v>10</v>
      </c>
      <c r="AN20" s="38">
        <f t="shared" si="15"/>
        <v>12.94</v>
      </c>
      <c r="AO20" s="40">
        <f t="shared" si="16"/>
        <v>46.54</v>
      </c>
      <c r="AP20" s="40" t="str">
        <f t="shared" si="17"/>
        <v/>
      </c>
      <c r="AQ20" s="40" t="str">
        <f t="shared" si="18"/>
        <v/>
      </c>
      <c r="AR20" s="40" t="str">
        <f t="shared" si="19"/>
        <v/>
      </c>
      <c r="AS20" s="40">
        <f t="shared" si="20"/>
        <v>46.54</v>
      </c>
      <c r="AT20" s="40">
        <f t="shared" si="21"/>
        <v>10</v>
      </c>
      <c r="AU20" s="40">
        <f t="shared" si="22"/>
        <v>13.16</v>
      </c>
      <c r="AV20" s="40">
        <f t="shared" si="23"/>
        <v>47.86</v>
      </c>
      <c r="AW20" s="40">
        <f t="shared" si="24"/>
        <v>94.4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5"/>
        <v/>
      </c>
      <c r="BO20" s="39" t="str">
        <f t="shared" si="26"/>
        <v/>
      </c>
      <c r="BP20" s="11" t="str">
        <f t="shared" si="27"/>
        <v/>
      </c>
      <c r="BQ20" s="11" t="str">
        <f t="shared" si="28"/>
        <v/>
      </c>
      <c r="BR20" s="11" t="str">
        <f t="shared" si="29"/>
        <v/>
      </c>
      <c r="BS20" s="11" t="str">
        <f t="shared" si="30"/>
        <v/>
      </c>
      <c r="BT20" s="11" t="str">
        <f t="shared" si="31"/>
        <v/>
      </c>
      <c r="BU20" s="11" t="str">
        <f t="shared" si="32"/>
        <v/>
      </c>
      <c r="BV20" s="11" t="str">
        <f t="shared" si="33"/>
        <v/>
      </c>
      <c r="BW20" s="11" t="str">
        <f t="shared" si="34"/>
        <v/>
      </c>
      <c r="BX20" s="11" t="str">
        <f t="shared" si="35"/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6"/>
        <v/>
      </c>
      <c r="CP20" s="38" t="str">
        <f t="shared" si="37"/>
        <v/>
      </c>
      <c r="CQ20" s="40" t="str">
        <f t="shared" si="38"/>
        <v/>
      </c>
      <c r="CR20" s="40" t="str">
        <f t="shared" si="39"/>
        <v/>
      </c>
      <c r="CS20" s="40" t="str">
        <f t="shared" si="40"/>
        <v/>
      </c>
      <c r="CT20" s="40" t="str">
        <f t="shared" si="41"/>
        <v/>
      </c>
      <c r="CU20" s="40" t="str">
        <f t="shared" si="42"/>
        <v/>
      </c>
      <c r="CV20" s="40" t="str">
        <f t="shared" si="43"/>
        <v/>
      </c>
      <c r="CW20" s="40" t="str">
        <f t="shared" si="44"/>
        <v/>
      </c>
      <c r="CX20" s="40" t="str">
        <f t="shared" si="45"/>
        <v/>
      </c>
      <c r="CY20" s="40" t="str">
        <f t="shared" si="46"/>
        <v/>
      </c>
      <c r="CZ20" s="50" t="str">
        <f t="shared" si="47"/>
        <v/>
      </c>
      <c r="DA20" s="50" t="str">
        <f t="shared" si="48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49"/>
        <v/>
      </c>
      <c r="DW20" s="40" t="str">
        <f t="shared" si="50"/>
        <v/>
      </c>
      <c r="DX20" s="40" t="str">
        <f t="shared" si="51"/>
        <v/>
      </c>
      <c r="DY20" s="40" t="str">
        <f t="shared" si="52"/>
        <v/>
      </c>
      <c r="DZ20" s="40" t="str">
        <f t="shared" si="53"/>
        <v/>
      </c>
      <c r="EA20" s="40" t="str">
        <f t="shared" si="54"/>
        <v/>
      </c>
      <c r="EB20" s="40" t="str">
        <f t="shared" si="55"/>
        <v/>
      </c>
      <c r="EC20" s="40" t="str">
        <f t="shared" si="56"/>
        <v/>
      </c>
      <c r="ED20" s="40" t="str">
        <f t="shared" si="57"/>
        <v/>
      </c>
      <c r="EE20" s="40" t="str">
        <f t="shared" si="58"/>
        <v/>
      </c>
      <c r="EF20" s="40" t="str">
        <f t="shared" si="59"/>
        <v/>
      </c>
      <c r="EG20" s="40" t="str">
        <f t="shared" si="60"/>
        <v/>
      </c>
      <c r="EH20" s="40" t="str">
        <f t="shared" si="61"/>
        <v/>
      </c>
      <c r="EI20" s="40" t="str">
        <f t="shared" si="62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3"/>
        <v/>
      </c>
      <c r="FE20" s="11" t="str">
        <f t="shared" si="64"/>
        <v/>
      </c>
      <c r="FF20" s="11" t="str">
        <f t="shared" si="65"/>
        <v/>
      </c>
      <c r="FG20" s="11" t="str">
        <f t="shared" si="66"/>
        <v/>
      </c>
      <c r="FH20" s="11" t="str">
        <f t="shared" si="67"/>
        <v/>
      </c>
      <c r="FI20" s="11" t="str">
        <f t="shared" si="68"/>
        <v/>
      </c>
      <c r="FJ20" s="11" t="str">
        <f t="shared" si="69"/>
        <v/>
      </c>
      <c r="FK20" s="11" t="str">
        <f t="shared" si="70"/>
        <v/>
      </c>
      <c r="FL20" s="11" t="str">
        <f t="shared" si="71"/>
        <v/>
      </c>
      <c r="FM20" s="11" t="str">
        <f t="shared" si="72"/>
        <v/>
      </c>
      <c r="FN20" s="11" t="str">
        <f t="shared" si="73"/>
        <v/>
      </c>
      <c r="FO20" s="11" t="str">
        <f t="shared" si="74"/>
        <v/>
      </c>
      <c r="FP20" s="11" t="str">
        <f t="shared" si="75"/>
        <v/>
      </c>
      <c r="FQ20" s="11" t="str">
        <f t="shared" si="76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7"/>
        <v/>
      </c>
      <c r="GM20" s="40" t="str">
        <f t="shared" si="78"/>
        <v/>
      </c>
      <c r="GN20" s="40" t="str">
        <f t="shared" si="79"/>
        <v/>
      </c>
      <c r="GO20" s="40" t="str">
        <f t="shared" si="80"/>
        <v/>
      </c>
      <c r="GP20" s="40" t="str">
        <f t="shared" si="81"/>
        <v/>
      </c>
      <c r="GQ20" s="40" t="str">
        <f t="shared" si="82"/>
        <v/>
      </c>
      <c r="GR20" s="40" t="str">
        <f t="shared" si="83"/>
        <v/>
      </c>
      <c r="GS20" s="40" t="str">
        <f t="shared" si="84"/>
        <v/>
      </c>
      <c r="GT20" s="40" t="str">
        <f t="shared" si="85"/>
        <v/>
      </c>
      <c r="GU20" s="40" t="str">
        <f t="shared" si="86"/>
        <v/>
      </c>
      <c r="GV20" s="40" t="str">
        <f t="shared" si="87"/>
        <v/>
      </c>
      <c r="GW20" s="40" t="str">
        <f t="shared" si="88"/>
        <v/>
      </c>
      <c r="GX20" s="40" t="str">
        <f t="shared" si="89"/>
        <v/>
      </c>
      <c r="GY20" s="40" t="str">
        <f t="shared" si="90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1"/>
        <v/>
      </c>
      <c r="HU20" s="11" t="str">
        <f t="shared" si="92"/>
        <v/>
      </c>
      <c r="HV20" s="11" t="str">
        <f t="shared" si="93"/>
        <v/>
      </c>
      <c r="HW20" s="11" t="str">
        <f t="shared" si="94"/>
        <v/>
      </c>
      <c r="HX20" s="11" t="str">
        <f t="shared" si="95"/>
        <v/>
      </c>
      <c r="HY20" s="11" t="str">
        <f t="shared" si="96"/>
        <v/>
      </c>
      <c r="HZ20" s="11" t="str">
        <f t="shared" si="97"/>
        <v/>
      </c>
      <c r="IA20" s="11" t="str">
        <f t="shared" si="98"/>
        <v/>
      </c>
      <c r="IB20" s="11" t="str">
        <f t="shared" si="99"/>
        <v/>
      </c>
      <c r="IC20" s="11" t="str">
        <f t="shared" si="100"/>
        <v/>
      </c>
      <c r="ID20" s="11" t="str">
        <f t="shared" si="101"/>
        <v/>
      </c>
      <c r="IE20" s="11" t="str">
        <f t="shared" si="102"/>
        <v/>
      </c>
      <c r="IF20" s="11" t="str">
        <f t="shared" si="103"/>
        <v/>
      </c>
      <c r="IG20" s="11" t="str">
        <f t="shared" si="104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5"/>
        <v/>
      </c>
      <c r="JC20" s="40" t="str">
        <f t="shared" si="106"/>
        <v/>
      </c>
      <c r="JD20" s="40" t="str">
        <f t="shared" si="107"/>
        <v/>
      </c>
      <c r="JE20" s="40" t="str">
        <f t="shared" si="108"/>
        <v/>
      </c>
      <c r="JF20" s="40" t="str">
        <f t="shared" si="109"/>
        <v/>
      </c>
      <c r="JG20" s="40" t="str">
        <f t="shared" si="110"/>
        <v/>
      </c>
      <c r="JH20" s="40" t="str">
        <f t="shared" si="111"/>
        <v/>
      </c>
      <c r="JI20" s="40" t="str">
        <f t="shared" si="112"/>
        <v/>
      </c>
      <c r="JJ20" s="40" t="str">
        <f t="shared" si="113"/>
        <v/>
      </c>
      <c r="JK20" s="40" t="str">
        <f t="shared" si="114"/>
        <v/>
      </c>
      <c r="JL20" s="40" t="str">
        <f t="shared" si="115"/>
        <v/>
      </c>
      <c r="JM20" s="40" t="str">
        <f t="shared" si="116"/>
        <v/>
      </c>
      <c r="JN20" s="40" t="str">
        <f t="shared" si="117"/>
        <v/>
      </c>
      <c r="JO20" s="40" t="str">
        <f t="shared" si="118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9"/>
        <v/>
      </c>
      <c r="KK20" s="11" t="str">
        <f t="shared" si="120"/>
        <v/>
      </c>
      <c r="KL20" s="11" t="str">
        <f t="shared" si="121"/>
        <v/>
      </c>
      <c r="KM20" s="11" t="str">
        <f t="shared" si="122"/>
        <v/>
      </c>
      <c r="KN20" s="11" t="str">
        <f t="shared" si="123"/>
        <v/>
      </c>
      <c r="KO20" s="11" t="str">
        <f t="shared" si="124"/>
        <v/>
      </c>
      <c r="KP20" s="11" t="str">
        <f t="shared" si="125"/>
        <v/>
      </c>
      <c r="KQ20" s="11" t="str">
        <f t="shared" si="126"/>
        <v/>
      </c>
      <c r="KR20" s="11" t="str">
        <f t="shared" si="127"/>
        <v/>
      </c>
      <c r="KS20" s="11" t="str">
        <f t="shared" si="128"/>
        <v/>
      </c>
      <c r="KT20" s="11" t="str">
        <f t="shared" si="129"/>
        <v/>
      </c>
      <c r="KU20" s="11" t="str">
        <f t="shared" si="130"/>
        <v/>
      </c>
      <c r="KV20" s="11" t="str">
        <f t="shared" si="131"/>
        <v/>
      </c>
      <c r="KW20" s="11" t="str">
        <f t="shared" si="132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3"/>
        <v/>
      </c>
      <c r="LS20" s="40" t="str">
        <f t="shared" si="134"/>
        <v/>
      </c>
      <c r="LT20" s="40" t="str">
        <f t="shared" si="135"/>
        <v/>
      </c>
      <c r="LU20" s="40" t="str">
        <f t="shared" si="136"/>
        <v/>
      </c>
      <c r="LV20" s="40" t="str">
        <f t="shared" si="137"/>
        <v/>
      </c>
      <c r="LW20" s="40" t="str">
        <f t="shared" si="138"/>
        <v/>
      </c>
      <c r="LX20" s="40" t="str">
        <f t="shared" si="139"/>
        <v/>
      </c>
      <c r="LY20" s="40" t="str">
        <f t="shared" si="140"/>
        <v/>
      </c>
      <c r="LZ20" s="40" t="str">
        <f t="shared" si="141"/>
        <v/>
      </c>
      <c r="MA20" s="40" t="str">
        <f t="shared" si="142"/>
        <v/>
      </c>
      <c r="MB20" s="40" t="str">
        <f t="shared" si="143"/>
        <v/>
      </c>
      <c r="MC20" s="40" t="str">
        <f t="shared" si="144"/>
        <v/>
      </c>
      <c r="MD20" s="40" t="str">
        <f t="shared" si="145"/>
        <v/>
      </c>
      <c r="ME20" s="40" t="str">
        <f t="shared" si="146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7"/>
        <v/>
      </c>
      <c r="NA20" s="11" t="str">
        <f t="shared" si="148"/>
        <v/>
      </c>
      <c r="NB20" s="11" t="str">
        <f t="shared" si="149"/>
        <v/>
      </c>
      <c r="NC20" s="11" t="str">
        <f t="shared" si="150"/>
        <v/>
      </c>
      <c r="ND20" s="11" t="str">
        <f t="shared" si="151"/>
        <v/>
      </c>
      <c r="NE20" s="11" t="str">
        <f t="shared" si="152"/>
        <v/>
      </c>
      <c r="NF20" s="11" t="str">
        <f t="shared" si="153"/>
        <v/>
      </c>
      <c r="NG20" s="11" t="str">
        <f t="shared" si="154"/>
        <v/>
      </c>
      <c r="NH20" s="11" t="str">
        <f t="shared" si="155"/>
        <v/>
      </c>
      <c r="NI20" s="11" t="str">
        <f t="shared" si="156"/>
        <v/>
      </c>
      <c r="NJ20" s="11" t="str">
        <f t="shared" si="157"/>
        <v/>
      </c>
      <c r="NK20" s="11" t="str">
        <f t="shared" si="158"/>
        <v/>
      </c>
      <c r="NL20" s="11" t="str">
        <f t="shared" si="159"/>
        <v/>
      </c>
      <c r="NM20" s="11" t="str">
        <f t="shared" si="160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1"/>
        <v/>
      </c>
      <c r="OI20" s="40" t="str">
        <f t="shared" si="162"/>
        <v/>
      </c>
      <c r="OJ20" s="40" t="str">
        <f t="shared" si="163"/>
        <v/>
      </c>
      <c r="OK20" s="40" t="str">
        <f t="shared" si="164"/>
        <v/>
      </c>
      <c r="OL20" s="40" t="str">
        <f t="shared" si="165"/>
        <v/>
      </c>
      <c r="OM20" s="40" t="str">
        <f t="shared" si="166"/>
        <v/>
      </c>
      <c r="ON20" s="40" t="str">
        <f t="shared" si="167"/>
        <v/>
      </c>
      <c r="OO20" s="40" t="str">
        <f t="shared" si="168"/>
        <v/>
      </c>
      <c r="OP20" s="40" t="str">
        <f t="shared" si="169"/>
        <v/>
      </c>
      <c r="OQ20" s="40" t="str">
        <f t="shared" si="170"/>
        <v/>
      </c>
      <c r="OR20" s="40" t="str">
        <f t="shared" si="171"/>
        <v/>
      </c>
      <c r="OS20" s="40" t="str">
        <f t="shared" si="172"/>
        <v/>
      </c>
      <c r="OT20" s="40" t="str">
        <f t="shared" si="173"/>
        <v/>
      </c>
      <c r="OU20" s="40" t="str">
        <f t="shared" si="174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5"/>
        <v/>
      </c>
      <c r="PQ20" s="11" t="str">
        <f t="shared" si="176"/>
        <v/>
      </c>
      <c r="PR20" s="11" t="str">
        <f t="shared" si="177"/>
        <v/>
      </c>
      <c r="PS20" s="11" t="str">
        <f t="shared" si="178"/>
        <v/>
      </c>
      <c r="PT20" s="11" t="str">
        <f t="shared" si="179"/>
        <v/>
      </c>
      <c r="PU20" s="11" t="str">
        <f t="shared" si="180"/>
        <v/>
      </c>
      <c r="PV20" s="11" t="str">
        <f t="shared" si="181"/>
        <v/>
      </c>
      <c r="PW20" s="11" t="str">
        <f t="shared" si="182"/>
        <v/>
      </c>
      <c r="PX20" s="11" t="str">
        <f t="shared" si="183"/>
        <v/>
      </c>
      <c r="PY20" s="11" t="str">
        <f t="shared" si="184"/>
        <v/>
      </c>
      <c r="PZ20" s="11" t="str">
        <f t="shared" si="185"/>
        <v/>
      </c>
      <c r="QA20" s="11" t="str">
        <f t="shared" si="186"/>
        <v/>
      </c>
      <c r="QB20" s="11" t="str">
        <f t="shared" si="187"/>
        <v/>
      </c>
      <c r="QC20" s="11" t="str">
        <f t="shared" si="188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9"/>
        <v/>
      </c>
      <c r="QY20" s="40" t="str">
        <f t="shared" si="190"/>
        <v/>
      </c>
      <c r="QZ20" s="40" t="str">
        <f t="shared" si="191"/>
        <v/>
      </c>
      <c r="RA20" s="40" t="str">
        <f t="shared" si="192"/>
        <v/>
      </c>
      <c r="RB20" s="40" t="str">
        <f t="shared" si="193"/>
        <v/>
      </c>
      <c r="RC20" s="40" t="str">
        <f t="shared" si="194"/>
        <v/>
      </c>
      <c r="RD20" s="40" t="str">
        <f t="shared" si="195"/>
        <v/>
      </c>
      <c r="RE20" s="40" t="str">
        <f t="shared" si="196"/>
        <v/>
      </c>
      <c r="RF20" s="40" t="str">
        <f t="shared" si="197"/>
        <v/>
      </c>
      <c r="RG20" s="40" t="str">
        <f t="shared" si="198"/>
        <v/>
      </c>
      <c r="RH20" s="40" t="str">
        <f t="shared" si="199"/>
        <v/>
      </c>
      <c r="RI20" s="40" t="str">
        <f t="shared" si="200"/>
        <v/>
      </c>
      <c r="RJ20" s="40" t="str">
        <f t="shared" si="201"/>
        <v/>
      </c>
      <c r="RK20" s="40" t="str">
        <f t="shared" si="202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3"/>
        <v/>
      </c>
      <c r="SG20" s="11" t="str">
        <f t="shared" si="204"/>
        <v/>
      </c>
      <c r="SH20" s="11" t="str">
        <f t="shared" si="205"/>
        <v/>
      </c>
      <c r="SI20" s="11" t="str">
        <f t="shared" si="206"/>
        <v/>
      </c>
      <c r="SJ20" s="11" t="str">
        <f t="shared" si="207"/>
        <v/>
      </c>
      <c r="SK20" s="11" t="str">
        <f t="shared" si="208"/>
        <v/>
      </c>
      <c r="SL20" s="11" t="str">
        <f t="shared" si="209"/>
        <v/>
      </c>
      <c r="SM20" s="11" t="str">
        <f t="shared" si="210"/>
        <v/>
      </c>
      <c r="SN20" s="11" t="str">
        <f t="shared" si="211"/>
        <v/>
      </c>
      <c r="SO20" s="11" t="str">
        <f t="shared" si="212"/>
        <v/>
      </c>
      <c r="SP20" s="11" t="str">
        <f t="shared" si="213"/>
        <v/>
      </c>
      <c r="SQ20" s="11" t="str">
        <f t="shared" si="214"/>
        <v/>
      </c>
      <c r="SR20" s="11" t="str">
        <f t="shared" si="215"/>
        <v/>
      </c>
      <c r="SS20" s="11" t="str">
        <f t="shared" si="216"/>
        <v/>
      </c>
      <c r="ST20" s="22">
        <f t="shared" si="217"/>
        <v>0</v>
      </c>
      <c r="SU20" s="22">
        <f t="shared" si="218"/>
        <v>0</v>
      </c>
      <c r="SV20" s="22">
        <f t="shared" si="219"/>
        <v>0</v>
      </c>
      <c r="SW20" s="22">
        <f t="shared" si="220"/>
        <v>0</v>
      </c>
      <c r="SX20" s="22">
        <f t="shared" si="221"/>
        <v>0</v>
      </c>
      <c r="SY20" s="22">
        <f t="shared" si="222"/>
        <v>0</v>
      </c>
      <c r="SZ20" s="22">
        <f t="shared" si="223"/>
        <v>0</v>
      </c>
      <c r="TA20" s="22">
        <f t="shared" si="224"/>
        <v>0</v>
      </c>
      <c r="TB20" s="22">
        <f t="shared" si="225"/>
        <v>0</v>
      </c>
      <c r="TC20" s="22">
        <f t="shared" si="226"/>
        <v>0</v>
      </c>
      <c r="TD20" s="22">
        <f t="shared" si="227"/>
        <v>0</v>
      </c>
      <c r="TE20" s="22">
        <f t="shared" si="228"/>
        <v>0</v>
      </c>
      <c r="TF20" s="22">
        <f t="shared" si="229"/>
        <v>0</v>
      </c>
      <c r="TG20" s="22">
        <f t="shared" si="230"/>
        <v>0</v>
      </c>
      <c r="TH20" s="22">
        <f t="shared" si="231"/>
        <v>0</v>
      </c>
      <c r="TI20" s="27" t="s">
        <v>46</v>
      </c>
      <c r="TJ20" s="40" t="str">
        <f t="shared" si="232"/>
        <v/>
      </c>
      <c r="TK20" s="40" t="str">
        <f t="shared" si="233"/>
        <v/>
      </c>
      <c r="TL20" s="40" t="str">
        <f t="shared" si="234"/>
        <v/>
      </c>
      <c r="TM20" s="40" t="str">
        <f t="shared" si="235"/>
        <v/>
      </c>
      <c r="TN20" s="40" t="str">
        <f t="shared" si="236"/>
        <v/>
      </c>
      <c r="TO20" s="40" t="str">
        <f t="shared" si="237"/>
        <v/>
      </c>
      <c r="TP20" s="40" t="str">
        <f t="shared" si="238"/>
        <v/>
      </c>
      <c r="TQ20" s="40" t="str">
        <f t="shared" si="239"/>
        <v/>
      </c>
      <c r="TR20" s="40" t="str">
        <f t="shared" si="240"/>
        <v/>
      </c>
      <c r="TS20" s="40" t="str">
        <f t="shared" si="241"/>
        <v/>
      </c>
      <c r="TT20" s="40" t="str">
        <f t="shared" si="242"/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152</v>
      </c>
      <c r="C21" s="4" t="s">
        <v>3</v>
      </c>
      <c r="D21" s="4">
        <v>2004</v>
      </c>
      <c r="E21" s="9">
        <f t="shared" si="0"/>
        <v>103.46001034600467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46.67</v>
      </c>
      <c r="K21" s="8" t="str">
        <f t="shared" si="5"/>
        <v>2022 Nationals</v>
      </c>
      <c r="L21" s="8">
        <f>IF(COUNT(AO21,AR21,BP21,BS21,CQ21,CT21)&gt;1,LARGE((AO21,AR21,BP21,BS21,CQ21,CT21),2),0)</f>
        <v>0</v>
      </c>
      <c r="M21" s="8" t="str">
        <f t="shared" si="6"/>
        <v/>
      </c>
      <c r="N21" s="8">
        <f>IF(COUNT(AO21,AR21,BP21,BS21,CQ21,CT21)&gt;2,MAX(AV21,BW21,CX21,LARGE((AO21,AR21,BP21,BS21,CQ21,CT21),3)),IF(MAX(AV21,BW21,CX21)&gt;0,MAX(AV21,BW21,CX21),0))</f>
        <v>47.39</v>
      </c>
      <c r="O21" s="8" t="str">
        <f t="shared" si="7"/>
        <v>2022 Nationals</v>
      </c>
      <c r="P21" s="8">
        <f t="shared" si="8"/>
        <v>9.4</v>
      </c>
      <c r="Q21" s="8" t="str">
        <f t="shared" si="9"/>
        <v>2022 Nationals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14.3</v>
      </c>
      <c r="X21" s="22">
        <v>9.1999999999999993</v>
      </c>
      <c r="Y21" s="22">
        <v>9.4</v>
      </c>
      <c r="Z21" s="22">
        <v>13.77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9.5</v>
      </c>
      <c r="AI21" s="22">
        <v>9.4</v>
      </c>
      <c r="AJ21" s="22">
        <v>13.69</v>
      </c>
      <c r="AK21" s="22">
        <v>0</v>
      </c>
      <c r="AL21" s="27"/>
      <c r="AM21" s="38">
        <f t="shared" si="14"/>
        <v>9.4</v>
      </c>
      <c r="AN21" s="38">
        <f t="shared" si="15"/>
        <v>13.77</v>
      </c>
      <c r="AO21" s="40">
        <f t="shared" si="16"/>
        <v>46.67</v>
      </c>
      <c r="AP21" s="40" t="str">
        <f t="shared" si="17"/>
        <v/>
      </c>
      <c r="AQ21" s="40" t="str">
        <f t="shared" si="18"/>
        <v/>
      </c>
      <c r="AR21" s="40" t="str">
        <f t="shared" si="19"/>
        <v/>
      </c>
      <c r="AS21" s="40">
        <f t="shared" si="20"/>
        <v>46.67</v>
      </c>
      <c r="AT21" s="40">
        <f t="shared" si="21"/>
        <v>9.4</v>
      </c>
      <c r="AU21" s="40">
        <f t="shared" si="22"/>
        <v>13.69</v>
      </c>
      <c r="AV21" s="40">
        <f t="shared" si="23"/>
        <v>47.39</v>
      </c>
      <c r="AW21" s="40">
        <f t="shared" si="24"/>
        <v>94.06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5"/>
        <v/>
      </c>
      <c r="BO21" s="39" t="str">
        <f t="shared" si="26"/>
        <v/>
      </c>
      <c r="BP21" s="11" t="str">
        <f t="shared" si="27"/>
        <v/>
      </c>
      <c r="BQ21" s="11" t="str">
        <f t="shared" si="28"/>
        <v/>
      </c>
      <c r="BR21" s="11" t="str">
        <f t="shared" si="29"/>
        <v/>
      </c>
      <c r="BS21" s="11" t="str">
        <f t="shared" si="30"/>
        <v/>
      </c>
      <c r="BT21" s="11" t="str">
        <f t="shared" si="31"/>
        <v/>
      </c>
      <c r="BU21" s="11" t="str">
        <f t="shared" si="32"/>
        <v/>
      </c>
      <c r="BV21" s="11" t="str">
        <f t="shared" si="33"/>
        <v/>
      </c>
      <c r="BW21" s="11" t="str">
        <f t="shared" si="34"/>
        <v/>
      </c>
      <c r="BX21" s="11" t="str">
        <f t="shared" si="35"/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6"/>
        <v/>
      </c>
      <c r="CP21" s="38" t="str">
        <f t="shared" si="37"/>
        <v/>
      </c>
      <c r="CQ21" s="40" t="str">
        <f t="shared" si="38"/>
        <v/>
      </c>
      <c r="CR21" s="40" t="str">
        <f t="shared" si="39"/>
        <v/>
      </c>
      <c r="CS21" s="40" t="str">
        <f t="shared" si="40"/>
        <v/>
      </c>
      <c r="CT21" s="40" t="str">
        <f t="shared" si="41"/>
        <v/>
      </c>
      <c r="CU21" s="40" t="str">
        <f t="shared" si="42"/>
        <v/>
      </c>
      <c r="CV21" s="40" t="str">
        <f t="shared" si="43"/>
        <v/>
      </c>
      <c r="CW21" s="40" t="str">
        <f t="shared" si="44"/>
        <v/>
      </c>
      <c r="CX21" s="40" t="str">
        <f t="shared" si="45"/>
        <v/>
      </c>
      <c r="CY21" s="40" t="str">
        <f t="shared" si="46"/>
        <v/>
      </c>
      <c r="CZ21" s="50" t="str">
        <f t="shared" si="47"/>
        <v/>
      </c>
      <c r="DA21" s="50" t="str">
        <f t="shared" si="48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9"/>
        <v/>
      </c>
      <c r="DW21" s="40" t="str">
        <f t="shared" si="50"/>
        <v/>
      </c>
      <c r="DX21" s="40" t="str">
        <f t="shared" si="51"/>
        <v/>
      </c>
      <c r="DY21" s="40" t="str">
        <f t="shared" si="52"/>
        <v/>
      </c>
      <c r="DZ21" s="40" t="str">
        <f t="shared" si="53"/>
        <v/>
      </c>
      <c r="EA21" s="40" t="str">
        <f t="shared" si="54"/>
        <v/>
      </c>
      <c r="EB21" s="40" t="str">
        <f t="shared" si="55"/>
        <v/>
      </c>
      <c r="EC21" s="40" t="str">
        <f t="shared" si="56"/>
        <v/>
      </c>
      <c r="ED21" s="40" t="str">
        <f t="shared" si="57"/>
        <v/>
      </c>
      <c r="EE21" s="40" t="str">
        <f t="shared" si="58"/>
        <v/>
      </c>
      <c r="EF21" s="40" t="str">
        <f t="shared" si="59"/>
        <v/>
      </c>
      <c r="EG21" s="40" t="str">
        <f t="shared" si="60"/>
        <v/>
      </c>
      <c r="EH21" s="40" t="str">
        <f t="shared" si="61"/>
        <v/>
      </c>
      <c r="EI21" s="40" t="str">
        <f t="shared" si="62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3"/>
        <v/>
      </c>
      <c r="FE21" s="11" t="str">
        <f t="shared" si="64"/>
        <v/>
      </c>
      <c r="FF21" s="11" t="str">
        <f t="shared" si="65"/>
        <v/>
      </c>
      <c r="FG21" s="11" t="str">
        <f t="shared" si="66"/>
        <v/>
      </c>
      <c r="FH21" s="11" t="str">
        <f t="shared" si="67"/>
        <v/>
      </c>
      <c r="FI21" s="11" t="str">
        <f t="shared" si="68"/>
        <v/>
      </c>
      <c r="FJ21" s="11" t="str">
        <f t="shared" si="69"/>
        <v/>
      </c>
      <c r="FK21" s="11" t="str">
        <f t="shared" si="70"/>
        <v/>
      </c>
      <c r="FL21" s="11" t="str">
        <f t="shared" si="71"/>
        <v/>
      </c>
      <c r="FM21" s="11" t="str">
        <f t="shared" si="72"/>
        <v/>
      </c>
      <c r="FN21" s="11" t="str">
        <f t="shared" si="73"/>
        <v/>
      </c>
      <c r="FO21" s="11" t="str">
        <f t="shared" si="74"/>
        <v/>
      </c>
      <c r="FP21" s="11" t="str">
        <f t="shared" si="75"/>
        <v/>
      </c>
      <c r="FQ21" s="11" t="str">
        <f t="shared" si="76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7"/>
        <v/>
      </c>
      <c r="GM21" s="40" t="str">
        <f t="shared" si="78"/>
        <v/>
      </c>
      <c r="GN21" s="40" t="str">
        <f t="shared" si="79"/>
        <v/>
      </c>
      <c r="GO21" s="40" t="str">
        <f t="shared" si="80"/>
        <v/>
      </c>
      <c r="GP21" s="40" t="str">
        <f t="shared" si="81"/>
        <v/>
      </c>
      <c r="GQ21" s="40" t="str">
        <f t="shared" si="82"/>
        <v/>
      </c>
      <c r="GR21" s="40" t="str">
        <f t="shared" si="83"/>
        <v/>
      </c>
      <c r="GS21" s="40" t="str">
        <f t="shared" si="84"/>
        <v/>
      </c>
      <c r="GT21" s="40" t="str">
        <f t="shared" si="85"/>
        <v/>
      </c>
      <c r="GU21" s="40" t="str">
        <f t="shared" si="86"/>
        <v/>
      </c>
      <c r="GV21" s="40" t="str">
        <f t="shared" si="87"/>
        <v/>
      </c>
      <c r="GW21" s="40" t="str">
        <f t="shared" si="88"/>
        <v/>
      </c>
      <c r="GX21" s="40" t="str">
        <f t="shared" si="89"/>
        <v/>
      </c>
      <c r="GY21" s="40" t="str">
        <f t="shared" si="90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1"/>
        <v/>
      </c>
      <c r="HU21" s="11" t="str">
        <f t="shared" si="92"/>
        <v/>
      </c>
      <c r="HV21" s="11" t="str">
        <f t="shared" si="93"/>
        <v/>
      </c>
      <c r="HW21" s="11" t="str">
        <f t="shared" si="94"/>
        <v/>
      </c>
      <c r="HX21" s="11" t="str">
        <f t="shared" si="95"/>
        <v/>
      </c>
      <c r="HY21" s="11" t="str">
        <f t="shared" si="96"/>
        <v/>
      </c>
      <c r="HZ21" s="11" t="str">
        <f t="shared" si="97"/>
        <v/>
      </c>
      <c r="IA21" s="11" t="str">
        <f t="shared" si="98"/>
        <v/>
      </c>
      <c r="IB21" s="11" t="str">
        <f t="shared" si="99"/>
        <v/>
      </c>
      <c r="IC21" s="11" t="str">
        <f t="shared" si="100"/>
        <v/>
      </c>
      <c r="ID21" s="11" t="str">
        <f t="shared" si="101"/>
        <v/>
      </c>
      <c r="IE21" s="11" t="str">
        <f t="shared" si="102"/>
        <v/>
      </c>
      <c r="IF21" s="11" t="str">
        <f t="shared" si="103"/>
        <v/>
      </c>
      <c r="IG21" s="11" t="str">
        <f t="shared" si="104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5"/>
        <v/>
      </c>
      <c r="JC21" s="40" t="str">
        <f t="shared" si="106"/>
        <v/>
      </c>
      <c r="JD21" s="40" t="str">
        <f t="shared" si="107"/>
        <v/>
      </c>
      <c r="JE21" s="40" t="str">
        <f t="shared" si="108"/>
        <v/>
      </c>
      <c r="JF21" s="40" t="str">
        <f t="shared" si="109"/>
        <v/>
      </c>
      <c r="JG21" s="40" t="str">
        <f t="shared" si="110"/>
        <v/>
      </c>
      <c r="JH21" s="40" t="str">
        <f t="shared" si="111"/>
        <v/>
      </c>
      <c r="JI21" s="40" t="str">
        <f t="shared" si="112"/>
        <v/>
      </c>
      <c r="JJ21" s="40" t="str">
        <f t="shared" si="113"/>
        <v/>
      </c>
      <c r="JK21" s="40" t="str">
        <f t="shared" si="114"/>
        <v/>
      </c>
      <c r="JL21" s="40" t="str">
        <f t="shared" si="115"/>
        <v/>
      </c>
      <c r="JM21" s="40" t="str">
        <f t="shared" si="116"/>
        <v/>
      </c>
      <c r="JN21" s="40" t="str">
        <f t="shared" si="117"/>
        <v/>
      </c>
      <c r="JO21" s="40" t="str">
        <f t="shared" si="118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9"/>
        <v/>
      </c>
      <c r="KK21" s="11" t="str">
        <f t="shared" si="120"/>
        <v/>
      </c>
      <c r="KL21" s="11" t="str">
        <f t="shared" si="121"/>
        <v/>
      </c>
      <c r="KM21" s="11" t="str">
        <f t="shared" si="122"/>
        <v/>
      </c>
      <c r="KN21" s="11" t="str">
        <f t="shared" si="123"/>
        <v/>
      </c>
      <c r="KO21" s="11" t="str">
        <f t="shared" si="124"/>
        <v/>
      </c>
      <c r="KP21" s="11" t="str">
        <f t="shared" si="125"/>
        <v/>
      </c>
      <c r="KQ21" s="11" t="str">
        <f t="shared" si="126"/>
        <v/>
      </c>
      <c r="KR21" s="11" t="str">
        <f t="shared" si="127"/>
        <v/>
      </c>
      <c r="KS21" s="11" t="str">
        <f t="shared" si="128"/>
        <v/>
      </c>
      <c r="KT21" s="11" t="str">
        <f t="shared" si="129"/>
        <v/>
      </c>
      <c r="KU21" s="11" t="str">
        <f t="shared" si="130"/>
        <v/>
      </c>
      <c r="KV21" s="11" t="str">
        <f t="shared" si="131"/>
        <v/>
      </c>
      <c r="KW21" s="11" t="str">
        <f t="shared" si="132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3"/>
        <v/>
      </c>
      <c r="LS21" s="40" t="str">
        <f t="shared" si="134"/>
        <v/>
      </c>
      <c r="LT21" s="40" t="str">
        <f t="shared" si="135"/>
        <v/>
      </c>
      <c r="LU21" s="40" t="str">
        <f t="shared" si="136"/>
        <v/>
      </c>
      <c r="LV21" s="40" t="str">
        <f t="shared" si="137"/>
        <v/>
      </c>
      <c r="LW21" s="40" t="str">
        <f t="shared" si="138"/>
        <v/>
      </c>
      <c r="LX21" s="40" t="str">
        <f t="shared" si="139"/>
        <v/>
      </c>
      <c r="LY21" s="40" t="str">
        <f t="shared" si="140"/>
        <v/>
      </c>
      <c r="LZ21" s="40" t="str">
        <f t="shared" si="141"/>
        <v/>
      </c>
      <c r="MA21" s="40" t="str">
        <f t="shared" si="142"/>
        <v/>
      </c>
      <c r="MB21" s="40" t="str">
        <f t="shared" si="143"/>
        <v/>
      </c>
      <c r="MC21" s="40" t="str">
        <f t="shared" si="144"/>
        <v/>
      </c>
      <c r="MD21" s="40" t="str">
        <f t="shared" si="145"/>
        <v/>
      </c>
      <c r="ME21" s="40" t="str">
        <f t="shared" si="146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7"/>
        <v/>
      </c>
      <c r="NA21" s="11" t="str">
        <f t="shared" si="148"/>
        <v/>
      </c>
      <c r="NB21" s="11" t="str">
        <f t="shared" si="149"/>
        <v/>
      </c>
      <c r="NC21" s="11" t="str">
        <f t="shared" si="150"/>
        <v/>
      </c>
      <c r="ND21" s="11" t="str">
        <f t="shared" si="151"/>
        <v/>
      </c>
      <c r="NE21" s="11" t="str">
        <f t="shared" si="152"/>
        <v/>
      </c>
      <c r="NF21" s="11" t="str">
        <f t="shared" si="153"/>
        <v/>
      </c>
      <c r="NG21" s="11" t="str">
        <f t="shared" si="154"/>
        <v/>
      </c>
      <c r="NH21" s="11" t="str">
        <f t="shared" si="155"/>
        <v/>
      </c>
      <c r="NI21" s="11" t="str">
        <f t="shared" si="156"/>
        <v/>
      </c>
      <c r="NJ21" s="11" t="str">
        <f t="shared" si="157"/>
        <v/>
      </c>
      <c r="NK21" s="11" t="str">
        <f t="shared" si="158"/>
        <v/>
      </c>
      <c r="NL21" s="11" t="str">
        <f t="shared" si="159"/>
        <v/>
      </c>
      <c r="NM21" s="11" t="str">
        <f t="shared" si="160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1"/>
        <v/>
      </c>
      <c r="OI21" s="40" t="str">
        <f t="shared" si="162"/>
        <v/>
      </c>
      <c r="OJ21" s="40" t="str">
        <f t="shared" si="163"/>
        <v/>
      </c>
      <c r="OK21" s="40" t="str">
        <f t="shared" si="164"/>
        <v/>
      </c>
      <c r="OL21" s="40" t="str">
        <f t="shared" si="165"/>
        <v/>
      </c>
      <c r="OM21" s="40" t="str">
        <f t="shared" si="166"/>
        <v/>
      </c>
      <c r="ON21" s="40" t="str">
        <f t="shared" si="167"/>
        <v/>
      </c>
      <c r="OO21" s="40" t="str">
        <f t="shared" si="168"/>
        <v/>
      </c>
      <c r="OP21" s="40" t="str">
        <f t="shared" si="169"/>
        <v/>
      </c>
      <c r="OQ21" s="40" t="str">
        <f t="shared" si="170"/>
        <v/>
      </c>
      <c r="OR21" s="40" t="str">
        <f t="shared" si="171"/>
        <v/>
      </c>
      <c r="OS21" s="40" t="str">
        <f t="shared" si="172"/>
        <v/>
      </c>
      <c r="OT21" s="40" t="str">
        <f t="shared" si="173"/>
        <v/>
      </c>
      <c r="OU21" s="40" t="str">
        <f t="shared" si="174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5"/>
        <v/>
      </c>
      <c r="PQ21" s="11" t="str">
        <f t="shared" si="176"/>
        <v/>
      </c>
      <c r="PR21" s="11" t="str">
        <f t="shared" si="177"/>
        <v/>
      </c>
      <c r="PS21" s="11" t="str">
        <f t="shared" si="178"/>
        <v/>
      </c>
      <c r="PT21" s="11" t="str">
        <f t="shared" si="179"/>
        <v/>
      </c>
      <c r="PU21" s="11" t="str">
        <f t="shared" si="180"/>
        <v/>
      </c>
      <c r="PV21" s="11" t="str">
        <f t="shared" si="181"/>
        <v/>
      </c>
      <c r="PW21" s="11" t="str">
        <f t="shared" si="182"/>
        <v/>
      </c>
      <c r="PX21" s="11" t="str">
        <f t="shared" si="183"/>
        <v/>
      </c>
      <c r="PY21" s="11" t="str">
        <f t="shared" si="184"/>
        <v/>
      </c>
      <c r="PZ21" s="11" t="str">
        <f t="shared" si="185"/>
        <v/>
      </c>
      <c r="QA21" s="11" t="str">
        <f t="shared" si="186"/>
        <v/>
      </c>
      <c r="QB21" s="11" t="str">
        <f t="shared" si="187"/>
        <v/>
      </c>
      <c r="QC21" s="11" t="str">
        <f t="shared" si="188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9"/>
        <v/>
      </c>
      <c r="QY21" s="40" t="str">
        <f t="shared" si="190"/>
        <v/>
      </c>
      <c r="QZ21" s="40" t="str">
        <f t="shared" si="191"/>
        <v/>
      </c>
      <c r="RA21" s="40" t="str">
        <f t="shared" si="192"/>
        <v/>
      </c>
      <c r="RB21" s="40" t="str">
        <f t="shared" si="193"/>
        <v/>
      </c>
      <c r="RC21" s="40" t="str">
        <f t="shared" si="194"/>
        <v/>
      </c>
      <c r="RD21" s="40" t="str">
        <f t="shared" si="195"/>
        <v/>
      </c>
      <c r="RE21" s="40" t="str">
        <f t="shared" si="196"/>
        <v/>
      </c>
      <c r="RF21" s="40" t="str">
        <f t="shared" si="197"/>
        <v/>
      </c>
      <c r="RG21" s="40" t="str">
        <f t="shared" si="198"/>
        <v/>
      </c>
      <c r="RH21" s="40" t="str">
        <f t="shared" si="199"/>
        <v/>
      </c>
      <c r="RI21" s="40" t="str">
        <f t="shared" si="200"/>
        <v/>
      </c>
      <c r="RJ21" s="40" t="str">
        <f t="shared" si="201"/>
        <v/>
      </c>
      <c r="RK21" s="40" t="str">
        <f t="shared" si="202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3"/>
        <v/>
      </c>
      <c r="SG21" s="11" t="str">
        <f t="shared" si="204"/>
        <v/>
      </c>
      <c r="SH21" s="11" t="str">
        <f t="shared" si="205"/>
        <v/>
      </c>
      <c r="SI21" s="11" t="str">
        <f t="shared" si="206"/>
        <v/>
      </c>
      <c r="SJ21" s="11" t="str">
        <f t="shared" si="207"/>
        <v/>
      </c>
      <c r="SK21" s="11" t="str">
        <f t="shared" si="208"/>
        <v/>
      </c>
      <c r="SL21" s="11" t="str">
        <f t="shared" si="209"/>
        <v/>
      </c>
      <c r="SM21" s="11" t="str">
        <f t="shared" si="210"/>
        <v/>
      </c>
      <c r="SN21" s="11" t="str">
        <f t="shared" si="211"/>
        <v/>
      </c>
      <c r="SO21" s="11" t="str">
        <f t="shared" si="212"/>
        <v/>
      </c>
      <c r="SP21" s="11" t="str">
        <f t="shared" si="213"/>
        <v/>
      </c>
      <c r="SQ21" s="11" t="str">
        <f t="shared" si="214"/>
        <v/>
      </c>
      <c r="SR21" s="11" t="str">
        <f t="shared" si="215"/>
        <v/>
      </c>
      <c r="SS21" s="11" t="str">
        <f t="shared" si="216"/>
        <v/>
      </c>
      <c r="ST21" s="22">
        <f t="shared" si="217"/>
        <v>0</v>
      </c>
      <c r="SU21" s="22">
        <f t="shared" si="218"/>
        <v>0</v>
      </c>
      <c r="SV21" s="22">
        <f t="shared" si="219"/>
        <v>0</v>
      </c>
      <c r="SW21" s="22">
        <f t="shared" si="220"/>
        <v>0</v>
      </c>
      <c r="SX21" s="22">
        <f t="shared" si="221"/>
        <v>0</v>
      </c>
      <c r="SY21" s="22">
        <f t="shared" si="222"/>
        <v>0</v>
      </c>
      <c r="SZ21" s="22">
        <f t="shared" si="223"/>
        <v>0</v>
      </c>
      <c r="TA21" s="22">
        <f t="shared" si="224"/>
        <v>0</v>
      </c>
      <c r="TB21" s="22">
        <f t="shared" si="225"/>
        <v>0</v>
      </c>
      <c r="TC21" s="22">
        <f t="shared" si="226"/>
        <v>0</v>
      </c>
      <c r="TD21" s="22">
        <f t="shared" si="227"/>
        <v>0</v>
      </c>
      <c r="TE21" s="22">
        <f t="shared" si="228"/>
        <v>0</v>
      </c>
      <c r="TF21" s="22">
        <f t="shared" si="229"/>
        <v>0</v>
      </c>
      <c r="TG21" s="22">
        <f t="shared" si="230"/>
        <v>0</v>
      </c>
      <c r="TH21" s="22">
        <f t="shared" si="231"/>
        <v>0</v>
      </c>
      <c r="TI21" s="27" t="s">
        <v>46</v>
      </c>
      <c r="TJ21" s="40" t="str">
        <f t="shared" si="232"/>
        <v/>
      </c>
      <c r="TK21" s="40" t="str">
        <f t="shared" si="233"/>
        <v/>
      </c>
      <c r="TL21" s="40" t="str">
        <f t="shared" si="234"/>
        <v/>
      </c>
      <c r="TM21" s="40" t="str">
        <f t="shared" si="235"/>
        <v/>
      </c>
      <c r="TN21" s="40" t="str">
        <f t="shared" si="236"/>
        <v/>
      </c>
      <c r="TO21" s="40" t="str">
        <f t="shared" si="237"/>
        <v/>
      </c>
      <c r="TP21" s="40" t="str">
        <f t="shared" si="238"/>
        <v/>
      </c>
      <c r="TQ21" s="40" t="str">
        <f t="shared" si="239"/>
        <v/>
      </c>
      <c r="TR21" s="40" t="str">
        <f t="shared" si="240"/>
        <v/>
      </c>
      <c r="TS21" s="40" t="str">
        <f t="shared" si="241"/>
        <v/>
      </c>
      <c r="TT21" s="40" t="str">
        <f t="shared" si="242"/>
        <v/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77</v>
      </c>
      <c r="C22" s="4" t="s">
        <v>5</v>
      </c>
      <c r="D22" s="4">
        <v>2004</v>
      </c>
      <c r="E22" s="9">
        <f t="shared" si="0"/>
        <v>102.68001026800468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46.730000000000004</v>
      </c>
      <c r="K22" s="8" t="str">
        <f t="shared" si="5"/>
        <v>2022 Nationals</v>
      </c>
      <c r="L22" s="8">
        <f>IF(COUNT(AO22,AR22,BP22,BS22,CQ22,CT22)&gt;1,LARGE((AO22,AR22,BP22,BS22,CQ22,CT22),2),0)</f>
        <v>0</v>
      </c>
      <c r="M22" s="8" t="str">
        <f t="shared" si="6"/>
        <v/>
      </c>
      <c r="N22" s="8">
        <f>IF(COUNT(AO22,AR22,BP22,BS22,CQ22,CT22)&gt;2,MAX(AV22,BW22,CX22,LARGE((AO22,AR22,BP22,BS22,CQ22,CT22),3)),IF(MAX(AV22,BW22,CX22)&gt;0,MAX(AV22,BW22,CX22),0))</f>
        <v>46.85</v>
      </c>
      <c r="O22" s="8" t="str">
        <f t="shared" si="7"/>
        <v>2022 Nationals</v>
      </c>
      <c r="P22" s="8">
        <f t="shared" si="8"/>
        <v>9.1</v>
      </c>
      <c r="Q22" s="8" t="str">
        <f t="shared" si="9"/>
        <v>2022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14.9</v>
      </c>
      <c r="X22" s="22">
        <v>9.4</v>
      </c>
      <c r="Y22" s="22">
        <v>8.9</v>
      </c>
      <c r="Z22" s="22">
        <v>13.53</v>
      </c>
      <c r="AA22" s="22">
        <v>0</v>
      </c>
      <c r="AB22" s="22"/>
      <c r="AC22" s="22"/>
      <c r="AD22" s="22"/>
      <c r="AE22" s="22"/>
      <c r="AF22" s="22"/>
      <c r="AG22" s="22">
        <v>15.3</v>
      </c>
      <c r="AH22" s="22">
        <v>9.1</v>
      </c>
      <c r="AI22" s="22">
        <v>9.1</v>
      </c>
      <c r="AJ22" s="22">
        <v>13.35</v>
      </c>
      <c r="AK22" s="22">
        <v>0</v>
      </c>
      <c r="AL22" s="27"/>
      <c r="AM22" s="38">
        <f t="shared" si="14"/>
        <v>8.9</v>
      </c>
      <c r="AN22" s="38">
        <f t="shared" si="15"/>
        <v>13.53</v>
      </c>
      <c r="AO22" s="40">
        <f t="shared" si="16"/>
        <v>46.730000000000004</v>
      </c>
      <c r="AP22" s="40" t="str">
        <f t="shared" si="17"/>
        <v/>
      </c>
      <c r="AQ22" s="40" t="str">
        <f t="shared" si="18"/>
        <v/>
      </c>
      <c r="AR22" s="40" t="str">
        <f t="shared" si="19"/>
        <v/>
      </c>
      <c r="AS22" s="40">
        <f t="shared" si="20"/>
        <v>46.730000000000004</v>
      </c>
      <c r="AT22" s="40">
        <f t="shared" si="21"/>
        <v>9.1</v>
      </c>
      <c r="AU22" s="40">
        <f t="shared" si="22"/>
        <v>13.35</v>
      </c>
      <c r="AV22" s="40">
        <f t="shared" si="23"/>
        <v>46.85</v>
      </c>
      <c r="AW22" s="40">
        <f t="shared" si="24"/>
        <v>93.580000000000013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5"/>
        <v/>
      </c>
      <c r="BO22" s="39" t="str">
        <f t="shared" si="26"/>
        <v/>
      </c>
      <c r="BP22" s="11" t="str">
        <f t="shared" si="27"/>
        <v/>
      </c>
      <c r="BQ22" s="11" t="str">
        <f t="shared" si="28"/>
        <v/>
      </c>
      <c r="BR22" s="11" t="str">
        <f t="shared" si="29"/>
        <v/>
      </c>
      <c r="BS22" s="11" t="str">
        <f t="shared" si="30"/>
        <v/>
      </c>
      <c r="BT22" s="11" t="str">
        <f t="shared" si="31"/>
        <v/>
      </c>
      <c r="BU22" s="11" t="str">
        <f t="shared" si="32"/>
        <v/>
      </c>
      <c r="BV22" s="11" t="str">
        <f t="shared" si="33"/>
        <v/>
      </c>
      <c r="BW22" s="11" t="str">
        <f t="shared" si="34"/>
        <v/>
      </c>
      <c r="BX22" s="11" t="str">
        <f t="shared" si="35"/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6"/>
        <v/>
      </c>
      <c r="CP22" s="38" t="str">
        <f t="shared" si="37"/>
        <v/>
      </c>
      <c r="CQ22" s="40" t="str">
        <f t="shared" si="38"/>
        <v/>
      </c>
      <c r="CR22" s="40" t="str">
        <f t="shared" si="39"/>
        <v/>
      </c>
      <c r="CS22" s="40" t="str">
        <f t="shared" si="40"/>
        <v/>
      </c>
      <c r="CT22" s="40" t="str">
        <f t="shared" si="41"/>
        <v/>
      </c>
      <c r="CU22" s="40" t="str">
        <f t="shared" si="42"/>
        <v/>
      </c>
      <c r="CV22" s="40" t="str">
        <f t="shared" si="43"/>
        <v/>
      </c>
      <c r="CW22" s="40" t="str">
        <f t="shared" si="44"/>
        <v/>
      </c>
      <c r="CX22" s="40" t="str">
        <f t="shared" si="45"/>
        <v/>
      </c>
      <c r="CY22" s="40" t="str">
        <f t="shared" si="46"/>
        <v/>
      </c>
      <c r="CZ22" s="50" t="str">
        <f t="shared" si="47"/>
        <v/>
      </c>
      <c r="DA22" s="50" t="str">
        <f t="shared" si="48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9"/>
        <v/>
      </c>
      <c r="DW22" s="40" t="str">
        <f t="shared" si="50"/>
        <v/>
      </c>
      <c r="DX22" s="40" t="str">
        <f t="shared" si="51"/>
        <v/>
      </c>
      <c r="DY22" s="40" t="str">
        <f t="shared" si="52"/>
        <v/>
      </c>
      <c r="DZ22" s="40" t="str">
        <f t="shared" si="53"/>
        <v/>
      </c>
      <c r="EA22" s="40" t="str">
        <f t="shared" si="54"/>
        <v/>
      </c>
      <c r="EB22" s="40" t="str">
        <f t="shared" si="55"/>
        <v/>
      </c>
      <c r="EC22" s="40" t="str">
        <f t="shared" si="56"/>
        <v/>
      </c>
      <c r="ED22" s="40" t="str">
        <f t="shared" si="57"/>
        <v/>
      </c>
      <c r="EE22" s="40" t="str">
        <f t="shared" si="58"/>
        <v/>
      </c>
      <c r="EF22" s="40" t="str">
        <f t="shared" si="59"/>
        <v/>
      </c>
      <c r="EG22" s="40" t="str">
        <f t="shared" si="60"/>
        <v/>
      </c>
      <c r="EH22" s="40" t="str">
        <f t="shared" si="61"/>
        <v/>
      </c>
      <c r="EI22" s="40" t="str">
        <f t="shared" si="62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3"/>
        <v/>
      </c>
      <c r="FE22" s="11" t="str">
        <f t="shared" si="64"/>
        <v/>
      </c>
      <c r="FF22" s="11" t="str">
        <f t="shared" si="65"/>
        <v/>
      </c>
      <c r="FG22" s="11" t="str">
        <f t="shared" si="66"/>
        <v/>
      </c>
      <c r="FH22" s="11" t="str">
        <f t="shared" si="67"/>
        <v/>
      </c>
      <c r="FI22" s="11" t="str">
        <f t="shared" si="68"/>
        <v/>
      </c>
      <c r="FJ22" s="11" t="str">
        <f t="shared" si="69"/>
        <v/>
      </c>
      <c r="FK22" s="11" t="str">
        <f t="shared" si="70"/>
        <v/>
      </c>
      <c r="FL22" s="11" t="str">
        <f t="shared" si="71"/>
        <v/>
      </c>
      <c r="FM22" s="11" t="str">
        <f t="shared" si="72"/>
        <v/>
      </c>
      <c r="FN22" s="11" t="str">
        <f t="shared" si="73"/>
        <v/>
      </c>
      <c r="FO22" s="11" t="str">
        <f t="shared" si="74"/>
        <v/>
      </c>
      <c r="FP22" s="11" t="str">
        <f t="shared" si="75"/>
        <v/>
      </c>
      <c r="FQ22" s="11" t="str">
        <f t="shared" si="76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7"/>
        <v/>
      </c>
      <c r="GM22" s="40" t="str">
        <f t="shared" si="78"/>
        <v/>
      </c>
      <c r="GN22" s="40" t="str">
        <f t="shared" si="79"/>
        <v/>
      </c>
      <c r="GO22" s="40" t="str">
        <f t="shared" si="80"/>
        <v/>
      </c>
      <c r="GP22" s="40" t="str">
        <f t="shared" si="81"/>
        <v/>
      </c>
      <c r="GQ22" s="40" t="str">
        <f t="shared" si="82"/>
        <v/>
      </c>
      <c r="GR22" s="40" t="str">
        <f t="shared" si="83"/>
        <v/>
      </c>
      <c r="GS22" s="40" t="str">
        <f t="shared" si="84"/>
        <v/>
      </c>
      <c r="GT22" s="40" t="str">
        <f t="shared" si="85"/>
        <v/>
      </c>
      <c r="GU22" s="40" t="str">
        <f t="shared" si="86"/>
        <v/>
      </c>
      <c r="GV22" s="40" t="str">
        <f t="shared" si="87"/>
        <v/>
      </c>
      <c r="GW22" s="40" t="str">
        <f t="shared" si="88"/>
        <v/>
      </c>
      <c r="GX22" s="40" t="str">
        <f t="shared" si="89"/>
        <v/>
      </c>
      <c r="GY22" s="40" t="str">
        <f t="shared" si="90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1"/>
        <v/>
      </c>
      <c r="HU22" s="11" t="str">
        <f t="shared" si="92"/>
        <v/>
      </c>
      <c r="HV22" s="11" t="str">
        <f t="shared" si="93"/>
        <v/>
      </c>
      <c r="HW22" s="11" t="str">
        <f t="shared" si="94"/>
        <v/>
      </c>
      <c r="HX22" s="11" t="str">
        <f t="shared" si="95"/>
        <v/>
      </c>
      <c r="HY22" s="11" t="str">
        <f t="shared" si="96"/>
        <v/>
      </c>
      <c r="HZ22" s="11" t="str">
        <f t="shared" si="97"/>
        <v/>
      </c>
      <c r="IA22" s="11" t="str">
        <f t="shared" si="98"/>
        <v/>
      </c>
      <c r="IB22" s="11" t="str">
        <f t="shared" si="99"/>
        <v/>
      </c>
      <c r="IC22" s="11" t="str">
        <f t="shared" si="100"/>
        <v/>
      </c>
      <c r="ID22" s="11" t="str">
        <f t="shared" si="101"/>
        <v/>
      </c>
      <c r="IE22" s="11" t="str">
        <f t="shared" si="102"/>
        <v/>
      </c>
      <c r="IF22" s="11" t="str">
        <f t="shared" si="103"/>
        <v/>
      </c>
      <c r="IG22" s="11" t="str">
        <f t="shared" si="104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5"/>
        <v/>
      </c>
      <c r="JC22" s="40" t="str">
        <f t="shared" si="106"/>
        <v/>
      </c>
      <c r="JD22" s="40" t="str">
        <f t="shared" si="107"/>
        <v/>
      </c>
      <c r="JE22" s="40" t="str">
        <f t="shared" si="108"/>
        <v/>
      </c>
      <c r="JF22" s="40" t="str">
        <f t="shared" si="109"/>
        <v/>
      </c>
      <c r="JG22" s="40" t="str">
        <f t="shared" si="110"/>
        <v/>
      </c>
      <c r="JH22" s="40" t="str">
        <f t="shared" si="111"/>
        <v/>
      </c>
      <c r="JI22" s="40" t="str">
        <f t="shared" si="112"/>
        <v/>
      </c>
      <c r="JJ22" s="40" t="str">
        <f t="shared" si="113"/>
        <v/>
      </c>
      <c r="JK22" s="40" t="str">
        <f t="shared" si="114"/>
        <v/>
      </c>
      <c r="JL22" s="40" t="str">
        <f t="shared" si="115"/>
        <v/>
      </c>
      <c r="JM22" s="40" t="str">
        <f t="shared" si="116"/>
        <v/>
      </c>
      <c r="JN22" s="40" t="str">
        <f t="shared" si="117"/>
        <v/>
      </c>
      <c r="JO22" s="40" t="str">
        <f t="shared" si="118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9"/>
        <v/>
      </c>
      <c r="KK22" s="11" t="str">
        <f t="shared" si="120"/>
        <v/>
      </c>
      <c r="KL22" s="11" t="str">
        <f t="shared" si="121"/>
        <v/>
      </c>
      <c r="KM22" s="11" t="str">
        <f t="shared" si="122"/>
        <v/>
      </c>
      <c r="KN22" s="11" t="str">
        <f t="shared" si="123"/>
        <v/>
      </c>
      <c r="KO22" s="11" t="str">
        <f t="shared" si="124"/>
        <v/>
      </c>
      <c r="KP22" s="11" t="str">
        <f t="shared" si="125"/>
        <v/>
      </c>
      <c r="KQ22" s="11" t="str">
        <f t="shared" si="126"/>
        <v/>
      </c>
      <c r="KR22" s="11" t="str">
        <f t="shared" si="127"/>
        <v/>
      </c>
      <c r="KS22" s="11" t="str">
        <f t="shared" si="128"/>
        <v/>
      </c>
      <c r="KT22" s="11" t="str">
        <f t="shared" si="129"/>
        <v/>
      </c>
      <c r="KU22" s="11" t="str">
        <f t="shared" si="130"/>
        <v/>
      </c>
      <c r="KV22" s="11" t="str">
        <f t="shared" si="131"/>
        <v/>
      </c>
      <c r="KW22" s="11" t="str">
        <f t="shared" si="132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3"/>
        <v/>
      </c>
      <c r="LS22" s="40" t="str">
        <f t="shared" si="134"/>
        <v/>
      </c>
      <c r="LT22" s="40" t="str">
        <f t="shared" si="135"/>
        <v/>
      </c>
      <c r="LU22" s="40" t="str">
        <f t="shared" si="136"/>
        <v/>
      </c>
      <c r="LV22" s="40" t="str">
        <f t="shared" si="137"/>
        <v/>
      </c>
      <c r="LW22" s="40" t="str">
        <f t="shared" si="138"/>
        <v/>
      </c>
      <c r="LX22" s="40" t="str">
        <f t="shared" si="139"/>
        <v/>
      </c>
      <c r="LY22" s="40" t="str">
        <f t="shared" si="140"/>
        <v/>
      </c>
      <c r="LZ22" s="40" t="str">
        <f t="shared" si="141"/>
        <v/>
      </c>
      <c r="MA22" s="40" t="str">
        <f t="shared" si="142"/>
        <v/>
      </c>
      <c r="MB22" s="40" t="str">
        <f t="shared" si="143"/>
        <v/>
      </c>
      <c r="MC22" s="40" t="str">
        <f t="shared" si="144"/>
        <v/>
      </c>
      <c r="MD22" s="40" t="str">
        <f t="shared" si="145"/>
        <v/>
      </c>
      <c r="ME22" s="40" t="str">
        <f t="shared" si="146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7"/>
        <v/>
      </c>
      <c r="NA22" s="11" t="str">
        <f t="shared" si="148"/>
        <v/>
      </c>
      <c r="NB22" s="11" t="str">
        <f t="shared" si="149"/>
        <v/>
      </c>
      <c r="NC22" s="11" t="str">
        <f t="shared" si="150"/>
        <v/>
      </c>
      <c r="ND22" s="11" t="str">
        <f t="shared" si="151"/>
        <v/>
      </c>
      <c r="NE22" s="11" t="str">
        <f t="shared" si="152"/>
        <v/>
      </c>
      <c r="NF22" s="11" t="str">
        <f t="shared" si="153"/>
        <v/>
      </c>
      <c r="NG22" s="11" t="str">
        <f t="shared" si="154"/>
        <v/>
      </c>
      <c r="NH22" s="11" t="str">
        <f t="shared" si="155"/>
        <v/>
      </c>
      <c r="NI22" s="11" t="str">
        <f t="shared" si="156"/>
        <v/>
      </c>
      <c r="NJ22" s="11" t="str">
        <f t="shared" si="157"/>
        <v/>
      </c>
      <c r="NK22" s="11" t="str">
        <f t="shared" si="158"/>
        <v/>
      </c>
      <c r="NL22" s="11" t="str">
        <f t="shared" si="159"/>
        <v/>
      </c>
      <c r="NM22" s="11" t="str">
        <f t="shared" si="160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1"/>
        <v/>
      </c>
      <c r="OI22" s="40" t="str">
        <f t="shared" si="162"/>
        <v/>
      </c>
      <c r="OJ22" s="40" t="str">
        <f t="shared" si="163"/>
        <v/>
      </c>
      <c r="OK22" s="40" t="str">
        <f t="shared" si="164"/>
        <v/>
      </c>
      <c r="OL22" s="40" t="str">
        <f t="shared" si="165"/>
        <v/>
      </c>
      <c r="OM22" s="40" t="str">
        <f t="shared" si="166"/>
        <v/>
      </c>
      <c r="ON22" s="40" t="str">
        <f t="shared" si="167"/>
        <v/>
      </c>
      <c r="OO22" s="40" t="str">
        <f t="shared" si="168"/>
        <v/>
      </c>
      <c r="OP22" s="40" t="str">
        <f t="shared" si="169"/>
        <v/>
      </c>
      <c r="OQ22" s="40" t="str">
        <f t="shared" si="170"/>
        <v/>
      </c>
      <c r="OR22" s="40" t="str">
        <f t="shared" si="171"/>
        <v/>
      </c>
      <c r="OS22" s="40" t="str">
        <f t="shared" si="172"/>
        <v/>
      </c>
      <c r="OT22" s="40" t="str">
        <f t="shared" si="173"/>
        <v/>
      </c>
      <c r="OU22" s="40" t="str">
        <f t="shared" si="174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5"/>
        <v/>
      </c>
      <c r="PQ22" s="11" t="str">
        <f t="shared" si="176"/>
        <v/>
      </c>
      <c r="PR22" s="11" t="str">
        <f t="shared" si="177"/>
        <v/>
      </c>
      <c r="PS22" s="11" t="str">
        <f t="shared" si="178"/>
        <v/>
      </c>
      <c r="PT22" s="11" t="str">
        <f t="shared" si="179"/>
        <v/>
      </c>
      <c r="PU22" s="11" t="str">
        <f t="shared" si="180"/>
        <v/>
      </c>
      <c r="PV22" s="11" t="str">
        <f t="shared" si="181"/>
        <v/>
      </c>
      <c r="PW22" s="11" t="str">
        <f t="shared" si="182"/>
        <v/>
      </c>
      <c r="PX22" s="11" t="str">
        <f t="shared" si="183"/>
        <v/>
      </c>
      <c r="PY22" s="11" t="str">
        <f t="shared" si="184"/>
        <v/>
      </c>
      <c r="PZ22" s="11" t="str">
        <f t="shared" si="185"/>
        <v/>
      </c>
      <c r="QA22" s="11" t="str">
        <f t="shared" si="186"/>
        <v/>
      </c>
      <c r="QB22" s="11" t="str">
        <f t="shared" si="187"/>
        <v/>
      </c>
      <c r="QC22" s="11" t="str">
        <f t="shared" si="188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9"/>
        <v/>
      </c>
      <c r="QY22" s="40" t="str">
        <f t="shared" si="190"/>
        <v/>
      </c>
      <c r="QZ22" s="40" t="str">
        <f t="shared" si="191"/>
        <v/>
      </c>
      <c r="RA22" s="40" t="str">
        <f t="shared" si="192"/>
        <v/>
      </c>
      <c r="RB22" s="40" t="str">
        <f t="shared" si="193"/>
        <v/>
      </c>
      <c r="RC22" s="40" t="str">
        <f t="shared" si="194"/>
        <v/>
      </c>
      <c r="RD22" s="40" t="str">
        <f t="shared" si="195"/>
        <v/>
      </c>
      <c r="RE22" s="40" t="str">
        <f t="shared" si="196"/>
        <v/>
      </c>
      <c r="RF22" s="40" t="str">
        <f t="shared" si="197"/>
        <v/>
      </c>
      <c r="RG22" s="40" t="str">
        <f t="shared" si="198"/>
        <v/>
      </c>
      <c r="RH22" s="40" t="str">
        <f t="shared" si="199"/>
        <v/>
      </c>
      <c r="RI22" s="40" t="str">
        <f t="shared" si="200"/>
        <v/>
      </c>
      <c r="RJ22" s="40" t="str">
        <f t="shared" si="201"/>
        <v/>
      </c>
      <c r="RK22" s="40" t="str">
        <f t="shared" si="202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3"/>
        <v/>
      </c>
      <c r="SG22" s="11" t="str">
        <f t="shared" si="204"/>
        <v/>
      </c>
      <c r="SH22" s="11" t="str">
        <f t="shared" si="205"/>
        <v/>
      </c>
      <c r="SI22" s="11" t="str">
        <f t="shared" si="206"/>
        <v/>
      </c>
      <c r="SJ22" s="11" t="str">
        <f t="shared" si="207"/>
        <v/>
      </c>
      <c r="SK22" s="11" t="str">
        <f t="shared" si="208"/>
        <v/>
      </c>
      <c r="SL22" s="11" t="str">
        <f t="shared" si="209"/>
        <v/>
      </c>
      <c r="SM22" s="11" t="str">
        <f t="shared" si="210"/>
        <v/>
      </c>
      <c r="SN22" s="11" t="str">
        <f t="shared" si="211"/>
        <v/>
      </c>
      <c r="SO22" s="11" t="str">
        <f t="shared" si="212"/>
        <v/>
      </c>
      <c r="SP22" s="11" t="str">
        <f t="shared" si="213"/>
        <v/>
      </c>
      <c r="SQ22" s="11" t="str">
        <f t="shared" si="214"/>
        <v/>
      </c>
      <c r="SR22" s="11" t="str">
        <f t="shared" si="215"/>
        <v/>
      </c>
      <c r="SS22" s="11" t="str">
        <f t="shared" si="216"/>
        <v/>
      </c>
      <c r="ST22" s="22">
        <f t="shared" si="217"/>
        <v>0</v>
      </c>
      <c r="SU22" s="22">
        <f t="shared" si="218"/>
        <v>0</v>
      </c>
      <c r="SV22" s="22">
        <f t="shared" si="219"/>
        <v>0</v>
      </c>
      <c r="SW22" s="22">
        <f t="shared" si="220"/>
        <v>0</v>
      </c>
      <c r="SX22" s="22">
        <f t="shared" si="221"/>
        <v>0</v>
      </c>
      <c r="SY22" s="22">
        <f t="shared" si="222"/>
        <v>0</v>
      </c>
      <c r="SZ22" s="22">
        <f t="shared" si="223"/>
        <v>0</v>
      </c>
      <c r="TA22" s="22">
        <f t="shared" si="224"/>
        <v>0</v>
      </c>
      <c r="TB22" s="22">
        <f t="shared" si="225"/>
        <v>0</v>
      </c>
      <c r="TC22" s="22">
        <f t="shared" si="226"/>
        <v>0</v>
      </c>
      <c r="TD22" s="22">
        <f t="shared" si="227"/>
        <v>0</v>
      </c>
      <c r="TE22" s="22">
        <f t="shared" si="228"/>
        <v>0</v>
      </c>
      <c r="TF22" s="22">
        <f t="shared" si="229"/>
        <v>0</v>
      </c>
      <c r="TG22" s="22">
        <f t="shared" si="230"/>
        <v>0</v>
      </c>
      <c r="TH22" s="22">
        <f t="shared" si="231"/>
        <v>0</v>
      </c>
      <c r="TI22" s="27" t="s">
        <v>46</v>
      </c>
      <c r="TJ22" s="40" t="str">
        <f t="shared" si="232"/>
        <v/>
      </c>
      <c r="TK22" s="40" t="str">
        <f t="shared" si="233"/>
        <v/>
      </c>
      <c r="TL22" s="40" t="str">
        <f t="shared" si="234"/>
        <v/>
      </c>
      <c r="TM22" s="40" t="str">
        <f t="shared" si="235"/>
        <v/>
      </c>
      <c r="TN22" s="40" t="str">
        <f t="shared" si="236"/>
        <v/>
      </c>
      <c r="TO22" s="40" t="str">
        <f t="shared" si="237"/>
        <v/>
      </c>
      <c r="TP22" s="40" t="str">
        <f t="shared" si="238"/>
        <v/>
      </c>
      <c r="TQ22" s="40" t="str">
        <f t="shared" si="239"/>
        <v/>
      </c>
      <c r="TR22" s="40" t="str">
        <f t="shared" si="240"/>
        <v/>
      </c>
      <c r="TS22" s="40" t="str">
        <f t="shared" si="241"/>
        <v/>
      </c>
      <c r="TT22" s="40" t="str">
        <f t="shared" si="242"/>
        <v/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160</v>
      </c>
      <c r="C23" s="4" t="s">
        <v>31</v>
      </c>
      <c r="D23" s="4">
        <v>2003</v>
      </c>
      <c r="E23" s="9">
        <f t="shared" si="0"/>
        <v>94.470009447004117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41.24</v>
      </c>
      <c r="K23" s="8" t="str">
        <f t="shared" si="5"/>
        <v>2022 Nationals</v>
      </c>
      <c r="L23" s="8">
        <f>IF(COUNT(AO23,AR23,BP23,BS23,CQ23,CT23)&gt;1,LARGE((AO23,AR23,BP23,BS23,CQ23,CT23),2),0)</f>
        <v>39.51</v>
      </c>
      <c r="M23" s="8" t="str">
        <f t="shared" si="6"/>
        <v>2023 Elite Canada</v>
      </c>
      <c r="N23" s="8">
        <f>IF(COUNT(AO23,AR23,BP23,BS23,CQ23,CT23)&gt;2,MAX(AV23,BW23,CX23,LARGE((AO23,AR23,BP23,BS23,CQ23,CT23),3)),IF(MAX(AV23,BW23,CX23)&gt;0,MAX(AV23,BW23,CX23),0))</f>
        <v>4.82</v>
      </c>
      <c r="O23" s="8" t="str">
        <f t="shared" si="7"/>
        <v>2023 Elite Canada</v>
      </c>
      <c r="P23" s="8">
        <f t="shared" si="8"/>
        <v>8.9</v>
      </c>
      <c r="Q23" s="8" t="str">
        <f t="shared" si="9"/>
        <v>2022 Nationals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10.7</v>
      </c>
      <c r="X23" s="22">
        <v>8.9</v>
      </c>
      <c r="Y23" s="22">
        <v>8.9</v>
      </c>
      <c r="Z23" s="22">
        <v>12.74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 t="shared" si="14"/>
        <v>8.9</v>
      </c>
      <c r="AN23" s="38">
        <f t="shared" si="15"/>
        <v>12.74</v>
      </c>
      <c r="AO23" s="40">
        <f t="shared" si="16"/>
        <v>41.24</v>
      </c>
      <c r="AP23" s="40" t="str">
        <f t="shared" si="17"/>
        <v/>
      </c>
      <c r="AQ23" s="40" t="str">
        <f t="shared" si="18"/>
        <v/>
      </c>
      <c r="AR23" s="40" t="str">
        <f t="shared" si="19"/>
        <v/>
      </c>
      <c r="AS23" s="40">
        <f t="shared" si="20"/>
        <v>41.24</v>
      </c>
      <c r="AT23" s="40" t="str">
        <f t="shared" si="21"/>
        <v/>
      </c>
      <c r="AU23" s="40" t="str">
        <f t="shared" si="22"/>
        <v/>
      </c>
      <c r="AV23" s="40" t="str">
        <f t="shared" si="23"/>
        <v/>
      </c>
      <c r="AW23" s="40">
        <f t="shared" si="24"/>
        <v>41.24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5"/>
        <v/>
      </c>
      <c r="BO23" s="39" t="str">
        <f t="shared" si="26"/>
        <v/>
      </c>
      <c r="BP23" s="11" t="str">
        <f t="shared" si="27"/>
        <v/>
      </c>
      <c r="BQ23" s="11" t="str">
        <f t="shared" si="28"/>
        <v/>
      </c>
      <c r="BR23" s="11" t="str">
        <f t="shared" si="29"/>
        <v/>
      </c>
      <c r="BS23" s="11" t="str">
        <f t="shared" si="30"/>
        <v/>
      </c>
      <c r="BT23" s="11" t="str">
        <f t="shared" si="31"/>
        <v/>
      </c>
      <c r="BU23" s="11" t="str">
        <f t="shared" si="32"/>
        <v/>
      </c>
      <c r="BV23" s="11" t="str">
        <f t="shared" si="33"/>
        <v/>
      </c>
      <c r="BW23" s="11" t="str">
        <f t="shared" si="34"/>
        <v/>
      </c>
      <c r="BX23" s="11" t="str">
        <f t="shared" si="35"/>
        <v/>
      </c>
      <c r="BY23" s="22">
        <v>1.2</v>
      </c>
      <c r="BZ23" s="22">
        <v>0.8</v>
      </c>
      <c r="CA23" s="22">
        <v>1.5</v>
      </c>
      <c r="CB23" s="22">
        <v>1.32</v>
      </c>
      <c r="CC23" s="22">
        <v>0</v>
      </c>
      <c r="CD23" s="22">
        <v>11.6</v>
      </c>
      <c r="CE23" s="22">
        <v>8.3000000000000007</v>
      </c>
      <c r="CF23" s="22">
        <v>8.5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 t="shared" si="36"/>
        <v>1.5</v>
      </c>
      <c r="CP23" s="38">
        <f t="shared" si="37"/>
        <v>1.32</v>
      </c>
      <c r="CQ23" s="40">
        <f t="shared" si="38"/>
        <v>4.82</v>
      </c>
      <c r="CR23" s="40">
        <f t="shared" si="39"/>
        <v>8.5</v>
      </c>
      <c r="CS23" s="40">
        <f t="shared" si="40"/>
        <v>11.11</v>
      </c>
      <c r="CT23" s="40">
        <f t="shared" si="41"/>
        <v>39.51</v>
      </c>
      <c r="CU23" s="40">
        <f t="shared" si="42"/>
        <v>39.51</v>
      </c>
      <c r="CV23" s="40" t="str">
        <f t="shared" si="43"/>
        <v/>
      </c>
      <c r="CW23" s="40" t="str">
        <f t="shared" si="44"/>
        <v/>
      </c>
      <c r="CX23" s="40" t="str">
        <f t="shared" si="45"/>
        <v/>
      </c>
      <c r="CY23" s="40">
        <f t="shared" si="46"/>
        <v>39.51</v>
      </c>
      <c r="CZ23" s="50" t="str">
        <f t="shared" si="47"/>
        <v/>
      </c>
      <c r="DA23" s="50" t="str">
        <f t="shared" si="48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9"/>
        <v/>
      </c>
      <c r="DW23" s="40" t="str">
        <f t="shared" si="50"/>
        <v/>
      </c>
      <c r="DX23" s="40" t="str">
        <f t="shared" si="51"/>
        <v/>
      </c>
      <c r="DY23" s="40" t="str">
        <f t="shared" si="52"/>
        <v/>
      </c>
      <c r="DZ23" s="40" t="str">
        <f t="shared" si="53"/>
        <v/>
      </c>
      <c r="EA23" s="40" t="str">
        <f t="shared" si="54"/>
        <v/>
      </c>
      <c r="EB23" s="40" t="str">
        <f t="shared" si="55"/>
        <v/>
      </c>
      <c r="EC23" s="40" t="str">
        <f t="shared" si="56"/>
        <v/>
      </c>
      <c r="ED23" s="40" t="str">
        <f t="shared" si="57"/>
        <v/>
      </c>
      <c r="EE23" s="40" t="str">
        <f t="shared" si="58"/>
        <v/>
      </c>
      <c r="EF23" s="40" t="str">
        <f t="shared" si="59"/>
        <v/>
      </c>
      <c r="EG23" s="40" t="str">
        <f t="shared" si="60"/>
        <v/>
      </c>
      <c r="EH23" s="40" t="str">
        <f t="shared" si="61"/>
        <v/>
      </c>
      <c r="EI23" s="40" t="str">
        <f t="shared" si="62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3"/>
        <v/>
      </c>
      <c r="FE23" s="11" t="str">
        <f t="shared" si="64"/>
        <v/>
      </c>
      <c r="FF23" s="11" t="str">
        <f t="shared" si="65"/>
        <v/>
      </c>
      <c r="FG23" s="11" t="str">
        <f t="shared" si="66"/>
        <v/>
      </c>
      <c r="FH23" s="11" t="str">
        <f t="shared" si="67"/>
        <v/>
      </c>
      <c r="FI23" s="11" t="str">
        <f t="shared" si="68"/>
        <v/>
      </c>
      <c r="FJ23" s="11" t="str">
        <f t="shared" si="69"/>
        <v/>
      </c>
      <c r="FK23" s="11" t="str">
        <f t="shared" si="70"/>
        <v/>
      </c>
      <c r="FL23" s="11" t="str">
        <f t="shared" si="71"/>
        <v/>
      </c>
      <c r="FM23" s="11" t="str">
        <f t="shared" si="72"/>
        <v/>
      </c>
      <c r="FN23" s="11" t="str">
        <f t="shared" si="73"/>
        <v/>
      </c>
      <c r="FO23" s="11" t="str">
        <f t="shared" si="74"/>
        <v/>
      </c>
      <c r="FP23" s="11" t="str">
        <f t="shared" si="75"/>
        <v/>
      </c>
      <c r="FQ23" s="11" t="str">
        <f t="shared" si="76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7"/>
        <v/>
      </c>
      <c r="GM23" s="40" t="str">
        <f t="shared" si="78"/>
        <v/>
      </c>
      <c r="GN23" s="40" t="str">
        <f t="shared" si="79"/>
        <v/>
      </c>
      <c r="GO23" s="40" t="str">
        <f t="shared" si="80"/>
        <v/>
      </c>
      <c r="GP23" s="40" t="str">
        <f t="shared" si="81"/>
        <v/>
      </c>
      <c r="GQ23" s="40" t="str">
        <f t="shared" si="82"/>
        <v/>
      </c>
      <c r="GR23" s="40" t="str">
        <f t="shared" si="83"/>
        <v/>
      </c>
      <c r="GS23" s="40" t="str">
        <f t="shared" si="84"/>
        <v/>
      </c>
      <c r="GT23" s="40" t="str">
        <f t="shared" si="85"/>
        <v/>
      </c>
      <c r="GU23" s="40" t="str">
        <f t="shared" si="86"/>
        <v/>
      </c>
      <c r="GV23" s="40" t="str">
        <f t="shared" si="87"/>
        <v/>
      </c>
      <c r="GW23" s="40" t="str">
        <f t="shared" si="88"/>
        <v/>
      </c>
      <c r="GX23" s="40" t="str">
        <f t="shared" si="89"/>
        <v/>
      </c>
      <c r="GY23" s="40" t="str">
        <f t="shared" si="90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1"/>
        <v/>
      </c>
      <c r="HU23" s="11" t="str">
        <f t="shared" si="92"/>
        <v/>
      </c>
      <c r="HV23" s="11" t="str">
        <f t="shared" si="93"/>
        <v/>
      </c>
      <c r="HW23" s="11" t="str">
        <f t="shared" si="94"/>
        <v/>
      </c>
      <c r="HX23" s="11" t="str">
        <f t="shared" si="95"/>
        <v/>
      </c>
      <c r="HY23" s="11" t="str">
        <f t="shared" si="96"/>
        <v/>
      </c>
      <c r="HZ23" s="11" t="str">
        <f t="shared" si="97"/>
        <v/>
      </c>
      <c r="IA23" s="11" t="str">
        <f t="shared" si="98"/>
        <v/>
      </c>
      <c r="IB23" s="11" t="str">
        <f t="shared" si="99"/>
        <v/>
      </c>
      <c r="IC23" s="11" t="str">
        <f t="shared" si="100"/>
        <v/>
      </c>
      <c r="ID23" s="11" t="str">
        <f t="shared" si="101"/>
        <v/>
      </c>
      <c r="IE23" s="11" t="str">
        <f t="shared" si="102"/>
        <v/>
      </c>
      <c r="IF23" s="11" t="str">
        <f t="shared" si="103"/>
        <v/>
      </c>
      <c r="IG23" s="11" t="str">
        <f t="shared" si="104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5"/>
        <v/>
      </c>
      <c r="JC23" s="40" t="str">
        <f t="shared" si="106"/>
        <v/>
      </c>
      <c r="JD23" s="40" t="str">
        <f t="shared" si="107"/>
        <v/>
      </c>
      <c r="JE23" s="40" t="str">
        <f t="shared" si="108"/>
        <v/>
      </c>
      <c r="JF23" s="40" t="str">
        <f t="shared" si="109"/>
        <v/>
      </c>
      <c r="JG23" s="40" t="str">
        <f t="shared" si="110"/>
        <v/>
      </c>
      <c r="JH23" s="40" t="str">
        <f t="shared" si="111"/>
        <v/>
      </c>
      <c r="JI23" s="40" t="str">
        <f t="shared" si="112"/>
        <v/>
      </c>
      <c r="JJ23" s="40" t="str">
        <f t="shared" si="113"/>
        <v/>
      </c>
      <c r="JK23" s="40" t="str">
        <f t="shared" si="114"/>
        <v/>
      </c>
      <c r="JL23" s="40" t="str">
        <f t="shared" si="115"/>
        <v/>
      </c>
      <c r="JM23" s="40" t="str">
        <f t="shared" si="116"/>
        <v/>
      </c>
      <c r="JN23" s="40" t="str">
        <f t="shared" si="117"/>
        <v/>
      </c>
      <c r="JO23" s="40" t="str">
        <f t="shared" si="118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9"/>
        <v/>
      </c>
      <c r="KK23" s="11" t="str">
        <f t="shared" si="120"/>
        <v/>
      </c>
      <c r="KL23" s="11" t="str">
        <f t="shared" si="121"/>
        <v/>
      </c>
      <c r="KM23" s="11" t="str">
        <f t="shared" si="122"/>
        <v/>
      </c>
      <c r="KN23" s="11" t="str">
        <f t="shared" si="123"/>
        <v/>
      </c>
      <c r="KO23" s="11" t="str">
        <f t="shared" si="124"/>
        <v/>
      </c>
      <c r="KP23" s="11" t="str">
        <f t="shared" si="125"/>
        <v/>
      </c>
      <c r="KQ23" s="11" t="str">
        <f t="shared" si="126"/>
        <v/>
      </c>
      <c r="KR23" s="11" t="str">
        <f t="shared" si="127"/>
        <v/>
      </c>
      <c r="KS23" s="11" t="str">
        <f t="shared" si="128"/>
        <v/>
      </c>
      <c r="KT23" s="11" t="str">
        <f t="shared" si="129"/>
        <v/>
      </c>
      <c r="KU23" s="11" t="str">
        <f t="shared" si="130"/>
        <v/>
      </c>
      <c r="KV23" s="11" t="str">
        <f t="shared" si="131"/>
        <v/>
      </c>
      <c r="KW23" s="11" t="str">
        <f t="shared" si="132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3"/>
        <v/>
      </c>
      <c r="LS23" s="40" t="str">
        <f t="shared" si="134"/>
        <v/>
      </c>
      <c r="LT23" s="40" t="str">
        <f t="shared" si="135"/>
        <v/>
      </c>
      <c r="LU23" s="40" t="str">
        <f t="shared" si="136"/>
        <v/>
      </c>
      <c r="LV23" s="40" t="str">
        <f t="shared" si="137"/>
        <v/>
      </c>
      <c r="LW23" s="40" t="str">
        <f t="shared" si="138"/>
        <v/>
      </c>
      <c r="LX23" s="40" t="str">
        <f t="shared" si="139"/>
        <v/>
      </c>
      <c r="LY23" s="40" t="str">
        <f t="shared" si="140"/>
        <v/>
      </c>
      <c r="LZ23" s="40" t="str">
        <f t="shared" si="141"/>
        <v/>
      </c>
      <c r="MA23" s="40" t="str">
        <f t="shared" si="142"/>
        <v/>
      </c>
      <c r="MB23" s="40" t="str">
        <f t="shared" si="143"/>
        <v/>
      </c>
      <c r="MC23" s="40" t="str">
        <f t="shared" si="144"/>
        <v/>
      </c>
      <c r="MD23" s="40" t="str">
        <f t="shared" si="145"/>
        <v/>
      </c>
      <c r="ME23" s="40" t="str">
        <f t="shared" si="146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7"/>
        <v/>
      </c>
      <c r="NA23" s="11" t="str">
        <f t="shared" si="148"/>
        <v/>
      </c>
      <c r="NB23" s="11" t="str">
        <f t="shared" si="149"/>
        <v/>
      </c>
      <c r="NC23" s="11" t="str">
        <f t="shared" si="150"/>
        <v/>
      </c>
      <c r="ND23" s="11" t="str">
        <f t="shared" si="151"/>
        <v/>
      </c>
      <c r="NE23" s="11" t="str">
        <f t="shared" si="152"/>
        <v/>
      </c>
      <c r="NF23" s="11" t="str">
        <f t="shared" si="153"/>
        <v/>
      </c>
      <c r="NG23" s="11" t="str">
        <f t="shared" si="154"/>
        <v/>
      </c>
      <c r="NH23" s="11" t="str">
        <f t="shared" si="155"/>
        <v/>
      </c>
      <c r="NI23" s="11" t="str">
        <f t="shared" si="156"/>
        <v/>
      </c>
      <c r="NJ23" s="11" t="str">
        <f t="shared" si="157"/>
        <v/>
      </c>
      <c r="NK23" s="11" t="str">
        <f t="shared" si="158"/>
        <v/>
      </c>
      <c r="NL23" s="11" t="str">
        <f t="shared" si="159"/>
        <v/>
      </c>
      <c r="NM23" s="11" t="str">
        <f t="shared" si="160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1"/>
        <v/>
      </c>
      <c r="OI23" s="40" t="str">
        <f t="shared" si="162"/>
        <v/>
      </c>
      <c r="OJ23" s="40" t="str">
        <f t="shared" si="163"/>
        <v/>
      </c>
      <c r="OK23" s="40" t="str">
        <f t="shared" si="164"/>
        <v/>
      </c>
      <c r="OL23" s="40" t="str">
        <f t="shared" si="165"/>
        <v/>
      </c>
      <c r="OM23" s="40" t="str">
        <f t="shared" si="166"/>
        <v/>
      </c>
      <c r="ON23" s="40" t="str">
        <f t="shared" si="167"/>
        <v/>
      </c>
      <c r="OO23" s="40" t="str">
        <f t="shared" si="168"/>
        <v/>
      </c>
      <c r="OP23" s="40" t="str">
        <f t="shared" si="169"/>
        <v/>
      </c>
      <c r="OQ23" s="40" t="str">
        <f t="shared" si="170"/>
        <v/>
      </c>
      <c r="OR23" s="40" t="str">
        <f t="shared" si="171"/>
        <v/>
      </c>
      <c r="OS23" s="40" t="str">
        <f t="shared" si="172"/>
        <v/>
      </c>
      <c r="OT23" s="40" t="str">
        <f t="shared" si="173"/>
        <v/>
      </c>
      <c r="OU23" s="40" t="str">
        <f t="shared" si="174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5"/>
        <v/>
      </c>
      <c r="PQ23" s="11" t="str">
        <f t="shared" si="176"/>
        <v/>
      </c>
      <c r="PR23" s="11" t="str">
        <f t="shared" si="177"/>
        <v/>
      </c>
      <c r="PS23" s="11" t="str">
        <f t="shared" si="178"/>
        <v/>
      </c>
      <c r="PT23" s="11" t="str">
        <f t="shared" si="179"/>
        <v/>
      </c>
      <c r="PU23" s="11" t="str">
        <f t="shared" si="180"/>
        <v/>
      </c>
      <c r="PV23" s="11" t="str">
        <f t="shared" si="181"/>
        <v/>
      </c>
      <c r="PW23" s="11" t="str">
        <f t="shared" si="182"/>
        <v/>
      </c>
      <c r="PX23" s="11" t="str">
        <f t="shared" si="183"/>
        <v/>
      </c>
      <c r="PY23" s="11" t="str">
        <f t="shared" si="184"/>
        <v/>
      </c>
      <c r="PZ23" s="11" t="str">
        <f t="shared" si="185"/>
        <v/>
      </c>
      <c r="QA23" s="11" t="str">
        <f t="shared" si="186"/>
        <v/>
      </c>
      <c r="QB23" s="11" t="str">
        <f t="shared" si="187"/>
        <v/>
      </c>
      <c r="QC23" s="11" t="str">
        <f t="shared" si="188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9"/>
        <v/>
      </c>
      <c r="QY23" s="40" t="str">
        <f t="shared" si="190"/>
        <v/>
      </c>
      <c r="QZ23" s="40" t="str">
        <f t="shared" si="191"/>
        <v/>
      </c>
      <c r="RA23" s="40" t="str">
        <f t="shared" si="192"/>
        <v/>
      </c>
      <c r="RB23" s="40" t="str">
        <f t="shared" si="193"/>
        <v/>
      </c>
      <c r="RC23" s="40" t="str">
        <f t="shared" si="194"/>
        <v/>
      </c>
      <c r="RD23" s="40" t="str">
        <f t="shared" si="195"/>
        <v/>
      </c>
      <c r="RE23" s="40" t="str">
        <f t="shared" si="196"/>
        <v/>
      </c>
      <c r="RF23" s="40" t="str">
        <f t="shared" si="197"/>
        <v/>
      </c>
      <c r="RG23" s="40" t="str">
        <f t="shared" si="198"/>
        <v/>
      </c>
      <c r="RH23" s="40" t="str">
        <f t="shared" si="199"/>
        <v/>
      </c>
      <c r="RI23" s="40" t="str">
        <f t="shared" si="200"/>
        <v/>
      </c>
      <c r="RJ23" s="40" t="str">
        <f t="shared" si="201"/>
        <v/>
      </c>
      <c r="RK23" s="40" t="str">
        <f t="shared" si="202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3"/>
        <v/>
      </c>
      <c r="SG23" s="11" t="str">
        <f t="shared" si="204"/>
        <v/>
      </c>
      <c r="SH23" s="11" t="str">
        <f t="shared" si="205"/>
        <v/>
      </c>
      <c r="SI23" s="11" t="str">
        <f t="shared" si="206"/>
        <v/>
      </c>
      <c r="SJ23" s="11" t="str">
        <f t="shared" si="207"/>
        <v/>
      </c>
      <c r="SK23" s="11" t="str">
        <f t="shared" si="208"/>
        <v/>
      </c>
      <c r="SL23" s="11" t="str">
        <f t="shared" si="209"/>
        <v/>
      </c>
      <c r="SM23" s="11" t="str">
        <f t="shared" si="210"/>
        <v/>
      </c>
      <c r="SN23" s="11" t="str">
        <f t="shared" si="211"/>
        <v/>
      </c>
      <c r="SO23" s="11" t="str">
        <f t="shared" si="212"/>
        <v/>
      </c>
      <c r="SP23" s="11" t="str">
        <f t="shared" si="213"/>
        <v/>
      </c>
      <c r="SQ23" s="11" t="str">
        <f t="shared" si="214"/>
        <v/>
      </c>
      <c r="SR23" s="11" t="str">
        <f t="shared" si="215"/>
        <v/>
      </c>
      <c r="SS23" s="11" t="str">
        <f t="shared" si="216"/>
        <v/>
      </c>
      <c r="ST23" s="22">
        <f t="shared" si="217"/>
        <v>0.6</v>
      </c>
      <c r="SU23" s="22">
        <f t="shared" si="218"/>
        <v>0.4</v>
      </c>
      <c r="SV23" s="22">
        <f t="shared" si="219"/>
        <v>0.75</v>
      </c>
      <c r="SW23" s="22">
        <f t="shared" si="220"/>
        <v>0.66</v>
      </c>
      <c r="SX23" s="22">
        <f t="shared" si="221"/>
        <v>0</v>
      </c>
      <c r="SY23" s="22">
        <f t="shared" si="222"/>
        <v>5.8</v>
      </c>
      <c r="SZ23" s="22">
        <f t="shared" si="223"/>
        <v>4.1500000000000004</v>
      </c>
      <c r="TA23" s="22">
        <f t="shared" si="224"/>
        <v>4.25</v>
      </c>
      <c r="TB23" s="22">
        <f t="shared" si="225"/>
        <v>5.5549999999999997</v>
      </c>
      <c r="TC23" s="22">
        <f t="shared" si="226"/>
        <v>0</v>
      </c>
      <c r="TD23" s="22">
        <f t="shared" si="227"/>
        <v>0</v>
      </c>
      <c r="TE23" s="22">
        <f t="shared" si="228"/>
        <v>0</v>
      </c>
      <c r="TF23" s="22">
        <f t="shared" si="229"/>
        <v>0</v>
      </c>
      <c r="TG23" s="22">
        <f t="shared" si="230"/>
        <v>0</v>
      </c>
      <c r="TH23" s="22">
        <f t="shared" si="231"/>
        <v>0</v>
      </c>
      <c r="TI23" s="27" t="s">
        <v>46</v>
      </c>
      <c r="TJ23" s="40">
        <f t="shared" si="232"/>
        <v>0.75</v>
      </c>
      <c r="TK23" s="40">
        <f t="shared" si="233"/>
        <v>0.66</v>
      </c>
      <c r="TL23" s="40">
        <f t="shared" si="234"/>
        <v>2.41</v>
      </c>
      <c r="TM23" s="40">
        <f t="shared" si="235"/>
        <v>4.25</v>
      </c>
      <c r="TN23" s="40">
        <f t="shared" si="236"/>
        <v>5.5549999999999997</v>
      </c>
      <c r="TO23" s="40">
        <f t="shared" si="237"/>
        <v>19.754999999999999</v>
      </c>
      <c r="TP23" s="40">
        <f t="shared" si="238"/>
        <v>19.754999999999999</v>
      </c>
      <c r="TQ23" s="40" t="str">
        <f t="shared" si="239"/>
        <v/>
      </c>
      <c r="TR23" s="40" t="str">
        <f t="shared" si="240"/>
        <v/>
      </c>
      <c r="TS23" s="40" t="str">
        <f t="shared" si="241"/>
        <v/>
      </c>
      <c r="TT23" s="40">
        <f t="shared" si="242"/>
        <v>19.754999999999999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164</v>
      </c>
      <c r="C24" s="4" t="s">
        <v>3</v>
      </c>
      <c r="D24" s="4">
        <v>2002</v>
      </c>
      <c r="E24" s="9">
        <f t="shared" si="0"/>
        <v>81.610008161004529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45.339999999999996</v>
      </c>
      <c r="K24" s="8" t="str">
        <f t="shared" si="5"/>
        <v>2023 Elite Canada</v>
      </c>
      <c r="L24" s="8">
        <f>IF(COUNT(AO24,AR24,BP24,BS24,CQ24,CT24)&gt;1,LARGE((AO24,AR24,BP24,BS24,CQ24,CT24),2),0)</f>
        <v>8.74</v>
      </c>
      <c r="M24" s="8" t="str">
        <f t="shared" si="6"/>
        <v>2022 Nationals</v>
      </c>
      <c r="N24" s="8">
        <f>IF(COUNT(AO24,AR24,BP24,BS24,CQ24,CT24)&gt;2,MAX(AV24,BW24,CX24,LARGE((AO24,AR24,BP24,BS24,CQ24,CT24),3)),IF(MAX(AV24,BW24,CX24)&gt;0,MAX(AV24,BW24,CX24),0))</f>
        <v>18.329999999999998</v>
      </c>
      <c r="O24" s="8" t="str">
        <f t="shared" si="7"/>
        <v>2023 Elite Canada</v>
      </c>
      <c r="P24" s="8">
        <f t="shared" si="8"/>
        <v>9.1999999999999993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2.2000000000000002</v>
      </c>
      <c r="X24" s="22">
        <v>1.7</v>
      </c>
      <c r="Y24" s="22">
        <v>2</v>
      </c>
      <c r="Z24" s="22">
        <v>2.84</v>
      </c>
      <c r="AA24" s="22">
        <v>0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 t="shared" si="14"/>
        <v>2</v>
      </c>
      <c r="AN24" s="38">
        <f t="shared" si="15"/>
        <v>2.84</v>
      </c>
      <c r="AO24" s="40">
        <f t="shared" si="16"/>
        <v>8.74</v>
      </c>
      <c r="AP24" s="40" t="str">
        <f t="shared" si="17"/>
        <v/>
      </c>
      <c r="AQ24" s="40" t="str">
        <f t="shared" si="18"/>
        <v/>
      </c>
      <c r="AR24" s="40" t="str">
        <f t="shared" si="19"/>
        <v/>
      </c>
      <c r="AS24" s="40">
        <f t="shared" si="20"/>
        <v>8.74</v>
      </c>
      <c r="AT24" s="40" t="str">
        <f t="shared" si="21"/>
        <v/>
      </c>
      <c r="AU24" s="40" t="str">
        <f t="shared" si="22"/>
        <v/>
      </c>
      <c r="AV24" s="40" t="str">
        <f t="shared" si="23"/>
        <v/>
      </c>
      <c r="AW24" s="40">
        <f t="shared" si="24"/>
        <v>8.74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5"/>
        <v/>
      </c>
      <c r="BO24" s="39" t="str">
        <f t="shared" si="26"/>
        <v/>
      </c>
      <c r="BP24" s="11" t="str">
        <f t="shared" si="27"/>
        <v/>
      </c>
      <c r="BQ24" s="11" t="str">
        <f t="shared" si="28"/>
        <v/>
      </c>
      <c r="BR24" s="11" t="str">
        <f t="shared" si="29"/>
        <v/>
      </c>
      <c r="BS24" s="11" t="str">
        <f t="shared" si="30"/>
        <v/>
      </c>
      <c r="BT24" s="11" t="str">
        <f t="shared" si="31"/>
        <v/>
      </c>
      <c r="BU24" s="11" t="str">
        <f t="shared" si="32"/>
        <v/>
      </c>
      <c r="BV24" s="11" t="str">
        <f t="shared" si="33"/>
        <v/>
      </c>
      <c r="BW24" s="11" t="str">
        <f t="shared" si="34"/>
        <v/>
      </c>
      <c r="BX24" s="11" t="str">
        <f t="shared" si="35"/>
        <v/>
      </c>
      <c r="BY24" s="22">
        <v>13.7</v>
      </c>
      <c r="BZ24" s="22">
        <v>9.1</v>
      </c>
      <c r="CA24" s="22">
        <v>9.1999999999999993</v>
      </c>
      <c r="CB24" s="22">
        <v>13.34</v>
      </c>
      <c r="CC24" s="22">
        <v>0</v>
      </c>
      <c r="CD24" s="22">
        <v>1.4</v>
      </c>
      <c r="CE24" s="22">
        <v>0.9</v>
      </c>
      <c r="CF24" s="22">
        <v>1.5</v>
      </c>
      <c r="CG24" s="22">
        <v>1.44</v>
      </c>
      <c r="CH24" s="22">
        <v>0</v>
      </c>
      <c r="CI24" s="22">
        <v>5.2</v>
      </c>
      <c r="CJ24" s="22">
        <v>3.5</v>
      </c>
      <c r="CK24" s="22">
        <v>4.3</v>
      </c>
      <c r="CL24" s="22">
        <v>5.33</v>
      </c>
      <c r="CM24" s="22">
        <v>0</v>
      </c>
      <c r="CN24" s="27"/>
      <c r="CO24" s="38">
        <f t="shared" si="36"/>
        <v>9.1999999999999993</v>
      </c>
      <c r="CP24" s="38">
        <f t="shared" si="37"/>
        <v>13.34</v>
      </c>
      <c r="CQ24" s="40">
        <f t="shared" si="38"/>
        <v>45.339999999999996</v>
      </c>
      <c r="CR24" s="40">
        <f t="shared" si="39"/>
        <v>1.5</v>
      </c>
      <c r="CS24" s="40">
        <f t="shared" si="40"/>
        <v>1.44</v>
      </c>
      <c r="CT24" s="40">
        <f t="shared" si="41"/>
        <v>5.24</v>
      </c>
      <c r="CU24" s="40">
        <f t="shared" si="42"/>
        <v>45.339999999999996</v>
      </c>
      <c r="CV24" s="40">
        <f t="shared" si="43"/>
        <v>4.3</v>
      </c>
      <c r="CW24" s="40">
        <f t="shared" si="44"/>
        <v>5.33</v>
      </c>
      <c r="CX24" s="40">
        <f t="shared" si="45"/>
        <v>18.329999999999998</v>
      </c>
      <c r="CY24" s="40">
        <f t="shared" si="46"/>
        <v>63.669999999999995</v>
      </c>
      <c r="CZ24" s="50" t="str">
        <f t="shared" si="47"/>
        <v/>
      </c>
      <c r="DA24" s="50" t="str">
        <f t="shared" si="48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9"/>
        <v/>
      </c>
      <c r="DW24" s="40" t="str">
        <f t="shared" si="50"/>
        <v/>
      </c>
      <c r="DX24" s="40" t="str">
        <f t="shared" si="51"/>
        <v/>
      </c>
      <c r="DY24" s="40" t="str">
        <f t="shared" si="52"/>
        <v/>
      </c>
      <c r="DZ24" s="40" t="str">
        <f t="shared" si="53"/>
        <v/>
      </c>
      <c r="EA24" s="40" t="str">
        <f t="shared" si="54"/>
        <v/>
      </c>
      <c r="EB24" s="40" t="str">
        <f t="shared" si="55"/>
        <v/>
      </c>
      <c r="EC24" s="40" t="str">
        <f t="shared" si="56"/>
        <v/>
      </c>
      <c r="ED24" s="40" t="str">
        <f t="shared" si="57"/>
        <v/>
      </c>
      <c r="EE24" s="40" t="str">
        <f t="shared" si="58"/>
        <v/>
      </c>
      <c r="EF24" s="40" t="str">
        <f t="shared" si="59"/>
        <v/>
      </c>
      <c r="EG24" s="40" t="str">
        <f t="shared" si="60"/>
        <v/>
      </c>
      <c r="EH24" s="40" t="str">
        <f t="shared" si="61"/>
        <v/>
      </c>
      <c r="EI24" s="40" t="str">
        <f t="shared" si="62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3"/>
        <v/>
      </c>
      <c r="FE24" s="11" t="str">
        <f t="shared" si="64"/>
        <v/>
      </c>
      <c r="FF24" s="11" t="str">
        <f t="shared" si="65"/>
        <v/>
      </c>
      <c r="FG24" s="11" t="str">
        <f t="shared" si="66"/>
        <v/>
      </c>
      <c r="FH24" s="11" t="str">
        <f t="shared" si="67"/>
        <v/>
      </c>
      <c r="FI24" s="11" t="str">
        <f t="shared" si="68"/>
        <v/>
      </c>
      <c r="FJ24" s="11" t="str">
        <f t="shared" si="69"/>
        <v/>
      </c>
      <c r="FK24" s="11" t="str">
        <f t="shared" si="70"/>
        <v/>
      </c>
      <c r="FL24" s="11" t="str">
        <f t="shared" si="71"/>
        <v/>
      </c>
      <c r="FM24" s="11" t="str">
        <f t="shared" si="72"/>
        <v/>
      </c>
      <c r="FN24" s="11" t="str">
        <f t="shared" si="73"/>
        <v/>
      </c>
      <c r="FO24" s="11" t="str">
        <f t="shared" si="74"/>
        <v/>
      </c>
      <c r="FP24" s="11" t="str">
        <f t="shared" si="75"/>
        <v/>
      </c>
      <c r="FQ24" s="11" t="str">
        <f t="shared" si="76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7"/>
        <v/>
      </c>
      <c r="GM24" s="40" t="str">
        <f t="shared" si="78"/>
        <v/>
      </c>
      <c r="GN24" s="40" t="str">
        <f t="shared" si="79"/>
        <v/>
      </c>
      <c r="GO24" s="40" t="str">
        <f t="shared" si="80"/>
        <v/>
      </c>
      <c r="GP24" s="40" t="str">
        <f t="shared" si="81"/>
        <v/>
      </c>
      <c r="GQ24" s="40" t="str">
        <f t="shared" si="82"/>
        <v/>
      </c>
      <c r="GR24" s="40" t="str">
        <f t="shared" si="83"/>
        <v/>
      </c>
      <c r="GS24" s="40" t="str">
        <f t="shared" si="84"/>
        <v/>
      </c>
      <c r="GT24" s="40" t="str">
        <f t="shared" si="85"/>
        <v/>
      </c>
      <c r="GU24" s="40" t="str">
        <f t="shared" si="86"/>
        <v/>
      </c>
      <c r="GV24" s="40" t="str">
        <f t="shared" si="87"/>
        <v/>
      </c>
      <c r="GW24" s="40" t="str">
        <f t="shared" si="88"/>
        <v/>
      </c>
      <c r="GX24" s="40" t="str">
        <f t="shared" si="89"/>
        <v/>
      </c>
      <c r="GY24" s="40" t="str">
        <f t="shared" si="90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1"/>
        <v/>
      </c>
      <c r="HU24" s="11" t="str">
        <f t="shared" si="92"/>
        <v/>
      </c>
      <c r="HV24" s="11" t="str">
        <f t="shared" si="93"/>
        <v/>
      </c>
      <c r="HW24" s="11" t="str">
        <f t="shared" si="94"/>
        <v/>
      </c>
      <c r="HX24" s="11" t="str">
        <f t="shared" si="95"/>
        <v/>
      </c>
      <c r="HY24" s="11" t="str">
        <f t="shared" si="96"/>
        <v/>
      </c>
      <c r="HZ24" s="11" t="str">
        <f t="shared" si="97"/>
        <v/>
      </c>
      <c r="IA24" s="11" t="str">
        <f t="shared" si="98"/>
        <v/>
      </c>
      <c r="IB24" s="11" t="str">
        <f t="shared" si="99"/>
        <v/>
      </c>
      <c r="IC24" s="11" t="str">
        <f t="shared" si="100"/>
        <v/>
      </c>
      <c r="ID24" s="11" t="str">
        <f t="shared" si="101"/>
        <v/>
      </c>
      <c r="IE24" s="11" t="str">
        <f t="shared" si="102"/>
        <v/>
      </c>
      <c r="IF24" s="11" t="str">
        <f t="shared" si="103"/>
        <v/>
      </c>
      <c r="IG24" s="11" t="str">
        <f t="shared" si="104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5"/>
        <v/>
      </c>
      <c r="JC24" s="40" t="str">
        <f t="shared" si="106"/>
        <v/>
      </c>
      <c r="JD24" s="40" t="str">
        <f t="shared" si="107"/>
        <v/>
      </c>
      <c r="JE24" s="40" t="str">
        <f t="shared" si="108"/>
        <v/>
      </c>
      <c r="JF24" s="40" t="str">
        <f t="shared" si="109"/>
        <v/>
      </c>
      <c r="JG24" s="40" t="str">
        <f t="shared" si="110"/>
        <v/>
      </c>
      <c r="JH24" s="40" t="str">
        <f t="shared" si="111"/>
        <v/>
      </c>
      <c r="JI24" s="40" t="str">
        <f t="shared" si="112"/>
        <v/>
      </c>
      <c r="JJ24" s="40" t="str">
        <f t="shared" si="113"/>
        <v/>
      </c>
      <c r="JK24" s="40" t="str">
        <f t="shared" si="114"/>
        <v/>
      </c>
      <c r="JL24" s="40" t="str">
        <f t="shared" si="115"/>
        <v/>
      </c>
      <c r="JM24" s="40" t="str">
        <f t="shared" si="116"/>
        <v/>
      </c>
      <c r="JN24" s="40" t="str">
        <f t="shared" si="117"/>
        <v/>
      </c>
      <c r="JO24" s="40" t="str">
        <f t="shared" si="118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9"/>
        <v/>
      </c>
      <c r="KK24" s="11" t="str">
        <f t="shared" si="120"/>
        <v/>
      </c>
      <c r="KL24" s="11" t="str">
        <f t="shared" si="121"/>
        <v/>
      </c>
      <c r="KM24" s="11" t="str">
        <f t="shared" si="122"/>
        <v/>
      </c>
      <c r="KN24" s="11" t="str">
        <f t="shared" si="123"/>
        <v/>
      </c>
      <c r="KO24" s="11" t="str">
        <f t="shared" si="124"/>
        <v/>
      </c>
      <c r="KP24" s="11" t="str">
        <f t="shared" si="125"/>
        <v/>
      </c>
      <c r="KQ24" s="11" t="str">
        <f t="shared" si="126"/>
        <v/>
      </c>
      <c r="KR24" s="11" t="str">
        <f t="shared" si="127"/>
        <v/>
      </c>
      <c r="KS24" s="11" t="str">
        <f t="shared" si="128"/>
        <v/>
      </c>
      <c r="KT24" s="11" t="str">
        <f t="shared" si="129"/>
        <v/>
      </c>
      <c r="KU24" s="11" t="str">
        <f t="shared" si="130"/>
        <v/>
      </c>
      <c r="KV24" s="11" t="str">
        <f t="shared" si="131"/>
        <v/>
      </c>
      <c r="KW24" s="11" t="str">
        <f t="shared" si="132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3"/>
        <v/>
      </c>
      <c r="LS24" s="40" t="str">
        <f t="shared" si="134"/>
        <v/>
      </c>
      <c r="LT24" s="40" t="str">
        <f t="shared" si="135"/>
        <v/>
      </c>
      <c r="LU24" s="40" t="str">
        <f t="shared" si="136"/>
        <v/>
      </c>
      <c r="LV24" s="40" t="str">
        <f t="shared" si="137"/>
        <v/>
      </c>
      <c r="LW24" s="40" t="str">
        <f t="shared" si="138"/>
        <v/>
      </c>
      <c r="LX24" s="40" t="str">
        <f t="shared" si="139"/>
        <v/>
      </c>
      <c r="LY24" s="40" t="str">
        <f t="shared" si="140"/>
        <v/>
      </c>
      <c r="LZ24" s="40" t="str">
        <f t="shared" si="141"/>
        <v/>
      </c>
      <c r="MA24" s="40" t="str">
        <f t="shared" si="142"/>
        <v/>
      </c>
      <c r="MB24" s="40" t="str">
        <f t="shared" si="143"/>
        <v/>
      </c>
      <c r="MC24" s="40" t="str">
        <f t="shared" si="144"/>
        <v/>
      </c>
      <c r="MD24" s="40" t="str">
        <f t="shared" si="145"/>
        <v/>
      </c>
      <c r="ME24" s="40" t="str">
        <f t="shared" si="146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7"/>
        <v/>
      </c>
      <c r="NA24" s="11" t="str">
        <f t="shared" si="148"/>
        <v/>
      </c>
      <c r="NB24" s="11" t="str">
        <f t="shared" si="149"/>
        <v/>
      </c>
      <c r="NC24" s="11" t="str">
        <f t="shared" si="150"/>
        <v/>
      </c>
      <c r="ND24" s="11" t="str">
        <f t="shared" si="151"/>
        <v/>
      </c>
      <c r="NE24" s="11" t="str">
        <f t="shared" si="152"/>
        <v/>
      </c>
      <c r="NF24" s="11" t="str">
        <f t="shared" si="153"/>
        <v/>
      </c>
      <c r="NG24" s="11" t="str">
        <f t="shared" si="154"/>
        <v/>
      </c>
      <c r="NH24" s="11" t="str">
        <f t="shared" si="155"/>
        <v/>
      </c>
      <c r="NI24" s="11" t="str">
        <f t="shared" si="156"/>
        <v/>
      </c>
      <c r="NJ24" s="11" t="str">
        <f t="shared" si="157"/>
        <v/>
      </c>
      <c r="NK24" s="11" t="str">
        <f t="shared" si="158"/>
        <v/>
      </c>
      <c r="NL24" s="11" t="str">
        <f t="shared" si="159"/>
        <v/>
      </c>
      <c r="NM24" s="11" t="str">
        <f t="shared" si="160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1"/>
        <v/>
      </c>
      <c r="OI24" s="40" t="str">
        <f t="shared" si="162"/>
        <v/>
      </c>
      <c r="OJ24" s="40" t="str">
        <f t="shared" si="163"/>
        <v/>
      </c>
      <c r="OK24" s="40" t="str">
        <f t="shared" si="164"/>
        <v/>
      </c>
      <c r="OL24" s="40" t="str">
        <f t="shared" si="165"/>
        <v/>
      </c>
      <c r="OM24" s="40" t="str">
        <f t="shared" si="166"/>
        <v/>
      </c>
      <c r="ON24" s="40" t="str">
        <f t="shared" si="167"/>
        <v/>
      </c>
      <c r="OO24" s="40" t="str">
        <f t="shared" si="168"/>
        <v/>
      </c>
      <c r="OP24" s="40" t="str">
        <f t="shared" si="169"/>
        <v/>
      </c>
      <c r="OQ24" s="40" t="str">
        <f t="shared" si="170"/>
        <v/>
      </c>
      <c r="OR24" s="40" t="str">
        <f t="shared" si="171"/>
        <v/>
      </c>
      <c r="OS24" s="40" t="str">
        <f t="shared" si="172"/>
        <v/>
      </c>
      <c r="OT24" s="40" t="str">
        <f t="shared" si="173"/>
        <v/>
      </c>
      <c r="OU24" s="40" t="str">
        <f t="shared" si="174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5"/>
        <v/>
      </c>
      <c r="PQ24" s="11" t="str">
        <f t="shared" si="176"/>
        <v/>
      </c>
      <c r="PR24" s="11" t="str">
        <f t="shared" si="177"/>
        <v/>
      </c>
      <c r="PS24" s="11" t="str">
        <f t="shared" si="178"/>
        <v/>
      </c>
      <c r="PT24" s="11" t="str">
        <f t="shared" si="179"/>
        <v/>
      </c>
      <c r="PU24" s="11" t="str">
        <f t="shared" si="180"/>
        <v/>
      </c>
      <c r="PV24" s="11" t="str">
        <f t="shared" si="181"/>
        <v/>
      </c>
      <c r="PW24" s="11" t="str">
        <f t="shared" si="182"/>
        <v/>
      </c>
      <c r="PX24" s="11" t="str">
        <f t="shared" si="183"/>
        <v/>
      </c>
      <c r="PY24" s="11" t="str">
        <f t="shared" si="184"/>
        <v/>
      </c>
      <c r="PZ24" s="11" t="str">
        <f t="shared" si="185"/>
        <v/>
      </c>
      <c r="QA24" s="11" t="str">
        <f t="shared" si="186"/>
        <v/>
      </c>
      <c r="QB24" s="11" t="str">
        <f t="shared" si="187"/>
        <v/>
      </c>
      <c r="QC24" s="11" t="str">
        <f t="shared" si="188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9"/>
        <v/>
      </c>
      <c r="QY24" s="40" t="str">
        <f t="shared" si="190"/>
        <v/>
      </c>
      <c r="QZ24" s="40" t="str">
        <f t="shared" si="191"/>
        <v/>
      </c>
      <c r="RA24" s="40" t="str">
        <f t="shared" si="192"/>
        <v/>
      </c>
      <c r="RB24" s="40" t="str">
        <f t="shared" si="193"/>
        <v/>
      </c>
      <c r="RC24" s="40" t="str">
        <f t="shared" si="194"/>
        <v/>
      </c>
      <c r="RD24" s="40" t="str">
        <f t="shared" si="195"/>
        <v/>
      </c>
      <c r="RE24" s="40" t="str">
        <f t="shared" si="196"/>
        <v/>
      </c>
      <c r="RF24" s="40" t="str">
        <f t="shared" si="197"/>
        <v/>
      </c>
      <c r="RG24" s="40" t="str">
        <f t="shared" si="198"/>
        <v/>
      </c>
      <c r="RH24" s="40" t="str">
        <f t="shared" si="199"/>
        <v/>
      </c>
      <c r="RI24" s="40" t="str">
        <f t="shared" si="200"/>
        <v/>
      </c>
      <c r="RJ24" s="40" t="str">
        <f t="shared" si="201"/>
        <v/>
      </c>
      <c r="RK24" s="40" t="str">
        <f t="shared" si="202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3"/>
        <v/>
      </c>
      <c r="SG24" s="11" t="str">
        <f t="shared" si="204"/>
        <v/>
      </c>
      <c r="SH24" s="11" t="str">
        <f t="shared" si="205"/>
        <v/>
      </c>
      <c r="SI24" s="11" t="str">
        <f t="shared" si="206"/>
        <v/>
      </c>
      <c r="SJ24" s="11" t="str">
        <f t="shared" si="207"/>
        <v/>
      </c>
      <c r="SK24" s="11" t="str">
        <f t="shared" si="208"/>
        <v/>
      </c>
      <c r="SL24" s="11" t="str">
        <f t="shared" si="209"/>
        <v/>
      </c>
      <c r="SM24" s="11" t="str">
        <f t="shared" si="210"/>
        <v/>
      </c>
      <c r="SN24" s="11" t="str">
        <f t="shared" si="211"/>
        <v/>
      </c>
      <c r="SO24" s="11" t="str">
        <f t="shared" si="212"/>
        <v/>
      </c>
      <c r="SP24" s="11" t="str">
        <f t="shared" si="213"/>
        <v/>
      </c>
      <c r="SQ24" s="11" t="str">
        <f t="shared" si="214"/>
        <v/>
      </c>
      <c r="SR24" s="11" t="str">
        <f t="shared" si="215"/>
        <v/>
      </c>
      <c r="SS24" s="11" t="str">
        <f t="shared" si="216"/>
        <v/>
      </c>
      <c r="ST24" s="22">
        <f t="shared" si="217"/>
        <v>6.85</v>
      </c>
      <c r="SU24" s="22">
        <f t="shared" si="218"/>
        <v>4.55</v>
      </c>
      <c r="SV24" s="22">
        <f t="shared" si="219"/>
        <v>4.5999999999999996</v>
      </c>
      <c r="SW24" s="22">
        <f t="shared" si="220"/>
        <v>6.67</v>
      </c>
      <c r="SX24" s="22">
        <f t="shared" si="221"/>
        <v>0</v>
      </c>
      <c r="SY24" s="22">
        <f t="shared" si="222"/>
        <v>0.7</v>
      </c>
      <c r="SZ24" s="22">
        <f t="shared" si="223"/>
        <v>0.45</v>
      </c>
      <c r="TA24" s="22">
        <f t="shared" si="224"/>
        <v>0.75</v>
      </c>
      <c r="TB24" s="22">
        <f t="shared" si="225"/>
        <v>0.72</v>
      </c>
      <c r="TC24" s="22">
        <f t="shared" si="226"/>
        <v>0</v>
      </c>
      <c r="TD24" s="22">
        <f t="shared" si="227"/>
        <v>2.6</v>
      </c>
      <c r="TE24" s="22">
        <f t="shared" si="228"/>
        <v>1.75</v>
      </c>
      <c r="TF24" s="22">
        <f t="shared" si="229"/>
        <v>2.15</v>
      </c>
      <c r="TG24" s="22">
        <f t="shared" si="230"/>
        <v>2.665</v>
      </c>
      <c r="TH24" s="22">
        <f t="shared" si="231"/>
        <v>0</v>
      </c>
      <c r="TI24" s="27" t="s">
        <v>46</v>
      </c>
      <c r="TJ24" s="40">
        <f t="shared" si="232"/>
        <v>4.5999999999999996</v>
      </c>
      <c r="TK24" s="40">
        <f t="shared" si="233"/>
        <v>6.67</v>
      </c>
      <c r="TL24" s="40">
        <f t="shared" si="234"/>
        <v>22.669999999999998</v>
      </c>
      <c r="TM24" s="40">
        <f t="shared" si="235"/>
        <v>0.75</v>
      </c>
      <c r="TN24" s="40">
        <f t="shared" si="236"/>
        <v>0.72</v>
      </c>
      <c r="TO24" s="40">
        <f t="shared" si="237"/>
        <v>2.62</v>
      </c>
      <c r="TP24" s="40">
        <f t="shared" si="238"/>
        <v>22.669999999999998</v>
      </c>
      <c r="TQ24" s="40">
        <f t="shared" si="239"/>
        <v>2.15</v>
      </c>
      <c r="TR24" s="40">
        <f t="shared" si="240"/>
        <v>2.665</v>
      </c>
      <c r="TS24" s="40">
        <f t="shared" si="241"/>
        <v>9.1649999999999991</v>
      </c>
      <c r="TT24" s="40">
        <f t="shared" si="242"/>
        <v>31.834999999999997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73</v>
      </c>
      <c r="C25" s="4" t="s">
        <v>5</v>
      </c>
      <c r="D25" s="4">
        <v>2003</v>
      </c>
      <c r="E25" s="9">
        <f t="shared" si="0"/>
        <v>69.880006988004581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45.9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14.08</v>
      </c>
      <c r="O25" s="8" t="str">
        <f t="shared" si="7"/>
        <v>2022 Nationals</v>
      </c>
      <c r="P25" s="8">
        <f t="shared" si="8"/>
        <v>9.9</v>
      </c>
      <c r="Q25" s="8" t="str">
        <f t="shared" si="9"/>
        <v>2022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13.7</v>
      </c>
      <c r="X25" s="22">
        <v>9.3000000000000007</v>
      </c>
      <c r="Y25" s="22">
        <v>9.9</v>
      </c>
      <c r="Z25" s="22">
        <v>13</v>
      </c>
      <c r="AA25" s="22">
        <v>0</v>
      </c>
      <c r="AB25" s="22"/>
      <c r="AC25" s="22"/>
      <c r="AD25" s="22"/>
      <c r="AE25" s="22"/>
      <c r="AF25" s="22"/>
      <c r="AG25" s="22">
        <v>4.4000000000000004</v>
      </c>
      <c r="AH25" s="22">
        <v>2.5</v>
      </c>
      <c r="AI25" s="22">
        <v>3.1</v>
      </c>
      <c r="AJ25" s="22">
        <v>4.08</v>
      </c>
      <c r="AK25" s="22">
        <v>0</v>
      </c>
      <c r="AL25" s="27"/>
      <c r="AM25" s="38">
        <f t="shared" si="14"/>
        <v>9.9</v>
      </c>
      <c r="AN25" s="38">
        <f t="shared" si="15"/>
        <v>13</v>
      </c>
      <c r="AO25" s="40">
        <f t="shared" si="16"/>
        <v>45.9</v>
      </c>
      <c r="AP25" s="40" t="str">
        <f t="shared" si="17"/>
        <v/>
      </c>
      <c r="AQ25" s="40" t="str">
        <f t="shared" si="18"/>
        <v/>
      </c>
      <c r="AR25" s="40" t="str">
        <f t="shared" si="19"/>
        <v/>
      </c>
      <c r="AS25" s="40">
        <f t="shared" si="20"/>
        <v>45.9</v>
      </c>
      <c r="AT25" s="40">
        <f t="shared" si="21"/>
        <v>3.1</v>
      </c>
      <c r="AU25" s="40">
        <f t="shared" si="22"/>
        <v>4.08</v>
      </c>
      <c r="AV25" s="40">
        <f t="shared" si="23"/>
        <v>14.08</v>
      </c>
      <c r="AW25" s="40">
        <f t="shared" si="24"/>
        <v>59.98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5"/>
        <v/>
      </c>
      <c r="BO25" s="39" t="str">
        <f t="shared" si="26"/>
        <v/>
      </c>
      <c r="BP25" s="11" t="str">
        <f t="shared" si="27"/>
        <v/>
      </c>
      <c r="BQ25" s="11" t="str">
        <f t="shared" si="28"/>
        <v/>
      </c>
      <c r="BR25" s="11" t="str">
        <f t="shared" si="29"/>
        <v/>
      </c>
      <c r="BS25" s="11" t="str">
        <f t="shared" si="30"/>
        <v/>
      </c>
      <c r="BT25" s="11" t="str">
        <f t="shared" si="31"/>
        <v/>
      </c>
      <c r="BU25" s="11" t="str">
        <f t="shared" si="32"/>
        <v/>
      </c>
      <c r="BV25" s="11" t="str">
        <f t="shared" si="33"/>
        <v/>
      </c>
      <c r="BW25" s="11" t="str">
        <f t="shared" si="34"/>
        <v/>
      </c>
      <c r="BX25" s="11" t="str">
        <f t="shared" si="35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6"/>
        <v/>
      </c>
      <c r="CP25" s="38" t="str">
        <f t="shared" si="37"/>
        <v/>
      </c>
      <c r="CQ25" s="40" t="str">
        <f t="shared" si="38"/>
        <v/>
      </c>
      <c r="CR25" s="40" t="str">
        <f t="shared" si="39"/>
        <v/>
      </c>
      <c r="CS25" s="40" t="str">
        <f t="shared" si="40"/>
        <v/>
      </c>
      <c r="CT25" s="40" t="str">
        <f t="shared" si="41"/>
        <v/>
      </c>
      <c r="CU25" s="40" t="str">
        <f t="shared" si="42"/>
        <v/>
      </c>
      <c r="CV25" s="40" t="str">
        <f t="shared" si="43"/>
        <v/>
      </c>
      <c r="CW25" s="40" t="str">
        <f t="shared" si="44"/>
        <v/>
      </c>
      <c r="CX25" s="40" t="str">
        <f t="shared" si="45"/>
        <v/>
      </c>
      <c r="CY25" s="40" t="str">
        <f t="shared" si="46"/>
        <v/>
      </c>
      <c r="CZ25" s="50" t="str">
        <f t="shared" si="47"/>
        <v/>
      </c>
      <c r="DA25" s="50" t="str">
        <f t="shared" si="48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9"/>
        <v/>
      </c>
      <c r="DW25" s="40" t="str">
        <f t="shared" si="50"/>
        <v/>
      </c>
      <c r="DX25" s="40" t="str">
        <f t="shared" si="51"/>
        <v/>
      </c>
      <c r="DY25" s="40" t="str">
        <f t="shared" si="52"/>
        <v/>
      </c>
      <c r="DZ25" s="40" t="str">
        <f t="shared" si="53"/>
        <v/>
      </c>
      <c r="EA25" s="40" t="str">
        <f t="shared" si="54"/>
        <v/>
      </c>
      <c r="EB25" s="40" t="str">
        <f t="shared" si="55"/>
        <v/>
      </c>
      <c r="EC25" s="40" t="str">
        <f t="shared" si="56"/>
        <v/>
      </c>
      <c r="ED25" s="40" t="str">
        <f t="shared" si="57"/>
        <v/>
      </c>
      <c r="EE25" s="40" t="str">
        <f t="shared" si="58"/>
        <v/>
      </c>
      <c r="EF25" s="40" t="str">
        <f t="shared" si="59"/>
        <v/>
      </c>
      <c r="EG25" s="40" t="str">
        <f t="shared" si="60"/>
        <v/>
      </c>
      <c r="EH25" s="40" t="str">
        <f t="shared" si="61"/>
        <v/>
      </c>
      <c r="EI25" s="40" t="str">
        <f t="shared" si="62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3"/>
        <v/>
      </c>
      <c r="FE25" s="11" t="str">
        <f t="shared" si="64"/>
        <v/>
      </c>
      <c r="FF25" s="11" t="str">
        <f t="shared" si="65"/>
        <v/>
      </c>
      <c r="FG25" s="11" t="str">
        <f t="shared" si="66"/>
        <v/>
      </c>
      <c r="FH25" s="11" t="str">
        <f t="shared" si="67"/>
        <v/>
      </c>
      <c r="FI25" s="11" t="str">
        <f t="shared" si="68"/>
        <v/>
      </c>
      <c r="FJ25" s="11" t="str">
        <f t="shared" si="69"/>
        <v/>
      </c>
      <c r="FK25" s="11" t="str">
        <f t="shared" si="70"/>
        <v/>
      </c>
      <c r="FL25" s="11" t="str">
        <f t="shared" si="71"/>
        <v/>
      </c>
      <c r="FM25" s="11" t="str">
        <f t="shared" si="72"/>
        <v/>
      </c>
      <c r="FN25" s="11" t="str">
        <f t="shared" si="73"/>
        <v/>
      </c>
      <c r="FO25" s="11" t="str">
        <f t="shared" si="74"/>
        <v/>
      </c>
      <c r="FP25" s="11" t="str">
        <f t="shared" si="75"/>
        <v/>
      </c>
      <c r="FQ25" s="11" t="str">
        <f t="shared" si="76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7"/>
        <v/>
      </c>
      <c r="GM25" s="40" t="str">
        <f t="shared" si="78"/>
        <v/>
      </c>
      <c r="GN25" s="40" t="str">
        <f t="shared" si="79"/>
        <v/>
      </c>
      <c r="GO25" s="40" t="str">
        <f t="shared" si="80"/>
        <v/>
      </c>
      <c r="GP25" s="40" t="str">
        <f t="shared" si="81"/>
        <v/>
      </c>
      <c r="GQ25" s="40" t="str">
        <f t="shared" si="82"/>
        <v/>
      </c>
      <c r="GR25" s="40" t="str">
        <f t="shared" si="83"/>
        <v/>
      </c>
      <c r="GS25" s="40" t="str">
        <f t="shared" si="84"/>
        <v/>
      </c>
      <c r="GT25" s="40" t="str">
        <f t="shared" si="85"/>
        <v/>
      </c>
      <c r="GU25" s="40" t="str">
        <f t="shared" si="86"/>
        <v/>
      </c>
      <c r="GV25" s="40" t="str">
        <f t="shared" si="87"/>
        <v/>
      </c>
      <c r="GW25" s="40" t="str">
        <f t="shared" si="88"/>
        <v/>
      </c>
      <c r="GX25" s="40" t="str">
        <f t="shared" si="89"/>
        <v/>
      </c>
      <c r="GY25" s="40" t="str">
        <f t="shared" si="90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1"/>
        <v/>
      </c>
      <c r="HU25" s="11" t="str">
        <f t="shared" si="92"/>
        <v/>
      </c>
      <c r="HV25" s="11" t="str">
        <f t="shared" si="93"/>
        <v/>
      </c>
      <c r="HW25" s="11" t="str">
        <f t="shared" si="94"/>
        <v/>
      </c>
      <c r="HX25" s="11" t="str">
        <f t="shared" si="95"/>
        <v/>
      </c>
      <c r="HY25" s="11" t="str">
        <f t="shared" si="96"/>
        <v/>
      </c>
      <c r="HZ25" s="11" t="str">
        <f t="shared" si="97"/>
        <v/>
      </c>
      <c r="IA25" s="11" t="str">
        <f t="shared" si="98"/>
        <v/>
      </c>
      <c r="IB25" s="11" t="str">
        <f t="shared" si="99"/>
        <v/>
      </c>
      <c r="IC25" s="11" t="str">
        <f t="shared" si="100"/>
        <v/>
      </c>
      <c r="ID25" s="11" t="str">
        <f t="shared" si="101"/>
        <v/>
      </c>
      <c r="IE25" s="11" t="str">
        <f t="shared" si="102"/>
        <v/>
      </c>
      <c r="IF25" s="11" t="str">
        <f t="shared" si="103"/>
        <v/>
      </c>
      <c r="IG25" s="11" t="str">
        <f t="shared" si="104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5"/>
        <v/>
      </c>
      <c r="JC25" s="40" t="str">
        <f t="shared" si="106"/>
        <v/>
      </c>
      <c r="JD25" s="40" t="str">
        <f t="shared" si="107"/>
        <v/>
      </c>
      <c r="JE25" s="40" t="str">
        <f t="shared" si="108"/>
        <v/>
      </c>
      <c r="JF25" s="40" t="str">
        <f t="shared" si="109"/>
        <v/>
      </c>
      <c r="JG25" s="40" t="str">
        <f t="shared" si="110"/>
        <v/>
      </c>
      <c r="JH25" s="40" t="str">
        <f t="shared" si="111"/>
        <v/>
      </c>
      <c r="JI25" s="40" t="str">
        <f t="shared" si="112"/>
        <v/>
      </c>
      <c r="JJ25" s="40" t="str">
        <f t="shared" si="113"/>
        <v/>
      </c>
      <c r="JK25" s="40" t="str">
        <f t="shared" si="114"/>
        <v/>
      </c>
      <c r="JL25" s="40" t="str">
        <f t="shared" si="115"/>
        <v/>
      </c>
      <c r="JM25" s="40" t="str">
        <f t="shared" si="116"/>
        <v/>
      </c>
      <c r="JN25" s="40" t="str">
        <f t="shared" si="117"/>
        <v/>
      </c>
      <c r="JO25" s="40" t="str">
        <f t="shared" si="118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9"/>
        <v/>
      </c>
      <c r="KK25" s="11" t="str">
        <f t="shared" si="120"/>
        <v/>
      </c>
      <c r="KL25" s="11" t="str">
        <f t="shared" si="121"/>
        <v/>
      </c>
      <c r="KM25" s="11" t="str">
        <f t="shared" si="122"/>
        <v/>
      </c>
      <c r="KN25" s="11" t="str">
        <f t="shared" si="123"/>
        <v/>
      </c>
      <c r="KO25" s="11" t="str">
        <f t="shared" si="124"/>
        <v/>
      </c>
      <c r="KP25" s="11" t="str">
        <f t="shared" si="125"/>
        <v/>
      </c>
      <c r="KQ25" s="11" t="str">
        <f t="shared" si="126"/>
        <v/>
      </c>
      <c r="KR25" s="11" t="str">
        <f t="shared" si="127"/>
        <v/>
      </c>
      <c r="KS25" s="11" t="str">
        <f t="shared" si="128"/>
        <v/>
      </c>
      <c r="KT25" s="11" t="str">
        <f t="shared" si="129"/>
        <v/>
      </c>
      <c r="KU25" s="11" t="str">
        <f t="shared" si="130"/>
        <v/>
      </c>
      <c r="KV25" s="11" t="str">
        <f t="shared" si="131"/>
        <v/>
      </c>
      <c r="KW25" s="11" t="str">
        <f t="shared" si="132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3"/>
        <v/>
      </c>
      <c r="LS25" s="40" t="str">
        <f t="shared" si="134"/>
        <v/>
      </c>
      <c r="LT25" s="40" t="str">
        <f t="shared" si="135"/>
        <v/>
      </c>
      <c r="LU25" s="40" t="str">
        <f t="shared" si="136"/>
        <v/>
      </c>
      <c r="LV25" s="40" t="str">
        <f t="shared" si="137"/>
        <v/>
      </c>
      <c r="LW25" s="40" t="str">
        <f t="shared" si="138"/>
        <v/>
      </c>
      <c r="LX25" s="40" t="str">
        <f t="shared" si="139"/>
        <v/>
      </c>
      <c r="LY25" s="40" t="str">
        <f t="shared" si="140"/>
        <v/>
      </c>
      <c r="LZ25" s="40" t="str">
        <f t="shared" si="141"/>
        <v/>
      </c>
      <c r="MA25" s="40" t="str">
        <f t="shared" si="142"/>
        <v/>
      </c>
      <c r="MB25" s="40" t="str">
        <f t="shared" si="143"/>
        <v/>
      </c>
      <c r="MC25" s="40" t="str">
        <f t="shared" si="144"/>
        <v/>
      </c>
      <c r="MD25" s="40" t="str">
        <f t="shared" si="145"/>
        <v/>
      </c>
      <c r="ME25" s="40" t="str">
        <f t="shared" si="146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7"/>
        <v/>
      </c>
      <c r="NA25" s="11" t="str">
        <f t="shared" si="148"/>
        <v/>
      </c>
      <c r="NB25" s="11" t="str">
        <f t="shared" si="149"/>
        <v/>
      </c>
      <c r="NC25" s="11" t="str">
        <f t="shared" si="150"/>
        <v/>
      </c>
      <c r="ND25" s="11" t="str">
        <f t="shared" si="151"/>
        <v/>
      </c>
      <c r="NE25" s="11" t="str">
        <f t="shared" si="152"/>
        <v/>
      </c>
      <c r="NF25" s="11" t="str">
        <f t="shared" si="153"/>
        <v/>
      </c>
      <c r="NG25" s="11" t="str">
        <f t="shared" si="154"/>
        <v/>
      </c>
      <c r="NH25" s="11" t="str">
        <f t="shared" si="155"/>
        <v/>
      </c>
      <c r="NI25" s="11" t="str">
        <f t="shared" si="156"/>
        <v/>
      </c>
      <c r="NJ25" s="11" t="str">
        <f t="shared" si="157"/>
        <v/>
      </c>
      <c r="NK25" s="11" t="str">
        <f t="shared" si="158"/>
        <v/>
      </c>
      <c r="NL25" s="11" t="str">
        <f t="shared" si="159"/>
        <v/>
      </c>
      <c r="NM25" s="11" t="str">
        <f t="shared" si="160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1"/>
        <v/>
      </c>
      <c r="OI25" s="40" t="str">
        <f t="shared" si="162"/>
        <v/>
      </c>
      <c r="OJ25" s="40" t="str">
        <f t="shared" si="163"/>
        <v/>
      </c>
      <c r="OK25" s="40" t="str">
        <f t="shared" si="164"/>
        <v/>
      </c>
      <c r="OL25" s="40" t="str">
        <f t="shared" si="165"/>
        <v/>
      </c>
      <c r="OM25" s="40" t="str">
        <f t="shared" si="166"/>
        <v/>
      </c>
      <c r="ON25" s="40" t="str">
        <f t="shared" si="167"/>
        <v/>
      </c>
      <c r="OO25" s="40" t="str">
        <f t="shared" si="168"/>
        <v/>
      </c>
      <c r="OP25" s="40" t="str">
        <f t="shared" si="169"/>
        <v/>
      </c>
      <c r="OQ25" s="40" t="str">
        <f t="shared" si="170"/>
        <v/>
      </c>
      <c r="OR25" s="40" t="str">
        <f t="shared" si="171"/>
        <v/>
      </c>
      <c r="OS25" s="40" t="str">
        <f t="shared" si="172"/>
        <v/>
      </c>
      <c r="OT25" s="40" t="str">
        <f t="shared" si="173"/>
        <v/>
      </c>
      <c r="OU25" s="40" t="str">
        <f t="shared" si="174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5"/>
        <v/>
      </c>
      <c r="PQ25" s="11" t="str">
        <f t="shared" si="176"/>
        <v/>
      </c>
      <c r="PR25" s="11" t="str">
        <f t="shared" si="177"/>
        <v/>
      </c>
      <c r="PS25" s="11" t="str">
        <f t="shared" si="178"/>
        <v/>
      </c>
      <c r="PT25" s="11" t="str">
        <f t="shared" si="179"/>
        <v/>
      </c>
      <c r="PU25" s="11" t="str">
        <f t="shared" si="180"/>
        <v/>
      </c>
      <c r="PV25" s="11" t="str">
        <f t="shared" si="181"/>
        <v/>
      </c>
      <c r="PW25" s="11" t="str">
        <f t="shared" si="182"/>
        <v/>
      </c>
      <c r="PX25" s="11" t="str">
        <f t="shared" si="183"/>
        <v/>
      </c>
      <c r="PY25" s="11" t="str">
        <f t="shared" si="184"/>
        <v/>
      </c>
      <c r="PZ25" s="11" t="str">
        <f t="shared" si="185"/>
        <v/>
      </c>
      <c r="QA25" s="11" t="str">
        <f t="shared" si="186"/>
        <v/>
      </c>
      <c r="QB25" s="11" t="str">
        <f t="shared" si="187"/>
        <v/>
      </c>
      <c r="QC25" s="11" t="str">
        <f t="shared" si="188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9"/>
        <v/>
      </c>
      <c r="QY25" s="40" t="str">
        <f t="shared" si="190"/>
        <v/>
      </c>
      <c r="QZ25" s="40" t="str">
        <f t="shared" si="191"/>
        <v/>
      </c>
      <c r="RA25" s="40" t="str">
        <f t="shared" si="192"/>
        <v/>
      </c>
      <c r="RB25" s="40" t="str">
        <f t="shared" si="193"/>
        <v/>
      </c>
      <c r="RC25" s="40" t="str">
        <f t="shared" si="194"/>
        <v/>
      </c>
      <c r="RD25" s="40" t="str">
        <f t="shared" si="195"/>
        <v/>
      </c>
      <c r="RE25" s="40" t="str">
        <f t="shared" si="196"/>
        <v/>
      </c>
      <c r="RF25" s="40" t="str">
        <f t="shared" si="197"/>
        <v/>
      </c>
      <c r="RG25" s="40" t="str">
        <f t="shared" si="198"/>
        <v/>
      </c>
      <c r="RH25" s="40" t="str">
        <f t="shared" si="199"/>
        <v/>
      </c>
      <c r="RI25" s="40" t="str">
        <f t="shared" si="200"/>
        <v/>
      </c>
      <c r="RJ25" s="40" t="str">
        <f t="shared" si="201"/>
        <v/>
      </c>
      <c r="RK25" s="40" t="str">
        <f t="shared" si="202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3"/>
        <v/>
      </c>
      <c r="SG25" s="11" t="str">
        <f t="shared" si="204"/>
        <v/>
      </c>
      <c r="SH25" s="11" t="str">
        <f t="shared" si="205"/>
        <v/>
      </c>
      <c r="SI25" s="11" t="str">
        <f t="shared" si="206"/>
        <v/>
      </c>
      <c r="SJ25" s="11" t="str">
        <f t="shared" si="207"/>
        <v/>
      </c>
      <c r="SK25" s="11" t="str">
        <f t="shared" si="208"/>
        <v/>
      </c>
      <c r="SL25" s="11" t="str">
        <f t="shared" si="209"/>
        <v/>
      </c>
      <c r="SM25" s="11" t="str">
        <f t="shared" si="210"/>
        <v/>
      </c>
      <c r="SN25" s="11" t="str">
        <f t="shared" si="211"/>
        <v/>
      </c>
      <c r="SO25" s="11" t="str">
        <f t="shared" si="212"/>
        <v/>
      </c>
      <c r="SP25" s="11" t="str">
        <f t="shared" si="213"/>
        <v/>
      </c>
      <c r="SQ25" s="11" t="str">
        <f t="shared" si="214"/>
        <v/>
      </c>
      <c r="SR25" s="11" t="str">
        <f t="shared" si="215"/>
        <v/>
      </c>
      <c r="SS25" s="11" t="str">
        <f t="shared" si="216"/>
        <v/>
      </c>
      <c r="ST25" s="22">
        <f t="shared" si="217"/>
        <v>0</v>
      </c>
      <c r="SU25" s="22">
        <f t="shared" si="218"/>
        <v>0</v>
      </c>
      <c r="SV25" s="22">
        <f t="shared" si="219"/>
        <v>0</v>
      </c>
      <c r="SW25" s="22">
        <f t="shared" si="220"/>
        <v>0</v>
      </c>
      <c r="SX25" s="22">
        <f t="shared" si="221"/>
        <v>0</v>
      </c>
      <c r="SY25" s="22">
        <f t="shared" si="222"/>
        <v>0</v>
      </c>
      <c r="SZ25" s="22">
        <f t="shared" si="223"/>
        <v>0</v>
      </c>
      <c r="TA25" s="22">
        <f t="shared" si="224"/>
        <v>0</v>
      </c>
      <c r="TB25" s="22">
        <f t="shared" si="225"/>
        <v>0</v>
      </c>
      <c r="TC25" s="22">
        <f t="shared" si="226"/>
        <v>0</v>
      </c>
      <c r="TD25" s="22">
        <f t="shared" si="227"/>
        <v>0</v>
      </c>
      <c r="TE25" s="22">
        <f t="shared" si="228"/>
        <v>0</v>
      </c>
      <c r="TF25" s="22">
        <f t="shared" si="229"/>
        <v>0</v>
      </c>
      <c r="TG25" s="22">
        <f t="shared" si="230"/>
        <v>0</v>
      </c>
      <c r="TH25" s="22">
        <f t="shared" si="231"/>
        <v>0</v>
      </c>
      <c r="TI25" s="27" t="s">
        <v>46</v>
      </c>
      <c r="TJ25" s="40" t="str">
        <f t="shared" si="232"/>
        <v/>
      </c>
      <c r="TK25" s="40" t="str">
        <f t="shared" si="233"/>
        <v/>
      </c>
      <c r="TL25" s="40" t="str">
        <f t="shared" si="234"/>
        <v/>
      </c>
      <c r="TM25" s="40" t="str">
        <f t="shared" si="235"/>
        <v/>
      </c>
      <c r="TN25" s="40" t="str">
        <f t="shared" si="236"/>
        <v/>
      </c>
      <c r="TO25" s="40" t="str">
        <f t="shared" si="237"/>
        <v/>
      </c>
      <c r="TP25" s="40" t="str">
        <f t="shared" si="238"/>
        <v/>
      </c>
      <c r="TQ25" s="40" t="str">
        <f t="shared" si="239"/>
        <v/>
      </c>
      <c r="TR25" s="40" t="str">
        <f t="shared" si="240"/>
        <v/>
      </c>
      <c r="TS25" s="40" t="str">
        <f t="shared" si="241"/>
        <v/>
      </c>
      <c r="TT25" s="40" t="str">
        <f t="shared" si="242"/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190</v>
      </c>
      <c r="C26" s="4" t="s">
        <v>6</v>
      </c>
      <c r="D26" s="4">
        <v>2005</v>
      </c>
      <c r="E26" s="9">
        <f t="shared" si="0"/>
        <v>69.640006964004328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43.519999999999996</v>
      </c>
      <c r="K26" s="8" t="str">
        <f t="shared" si="5"/>
        <v>2023 Elite Canada</v>
      </c>
      <c r="L26" s="8">
        <f>IF(COUNT(AO26,AR26,BP26,BS26,CQ26,CT26)&gt;1,LARGE((AO26,AR26,BP26,BS26,CQ26,CT26),2),0)</f>
        <v>18.52</v>
      </c>
      <c r="M26" s="8" t="str">
        <f t="shared" si="6"/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7.6</v>
      </c>
      <c r="Q26" s="8" t="str">
        <f t="shared" si="9"/>
        <v>2023 Elite Canada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4"/>
        <v/>
      </c>
      <c r="AN26" s="38" t="str">
        <f t="shared" si="15"/>
        <v/>
      </c>
      <c r="AO26" s="40" t="str">
        <f t="shared" si="16"/>
        <v/>
      </c>
      <c r="AP26" s="40" t="str">
        <f t="shared" si="17"/>
        <v/>
      </c>
      <c r="AQ26" s="40" t="str">
        <f t="shared" si="18"/>
        <v/>
      </c>
      <c r="AR26" s="40" t="str">
        <f t="shared" si="19"/>
        <v/>
      </c>
      <c r="AS26" s="40" t="str">
        <f t="shared" si="20"/>
        <v/>
      </c>
      <c r="AT26" s="40" t="str">
        <f t="shared" si="21"/>
        <v/>
      </c>
      <c r="AU26" s="40" t="str">
        <f t="shared" si="22"/>
        <v/>
      </c>
      <c r="AV26" s="40" t="str">
        <f t="shared" si="23"/>
        <v/>
      </c>
      <c r="AW26" s="40" t="str">
        <f t="shared" si="24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5"/>
        <v/>
      </c>
      <c r="BO26" s="39" t="str">
        <f t="shared" si="26"/>
        <v/>
      </c>
      <c r="BP26" s="11" t="str">
        <f t="shared" si="27"/>
        <v/>
      </c>
      <c r="BQ26" s="11" t="str">
        <f t="shared" si="28"/>
        <v/>
      </c>
      <c r="BR26" s="11" t="str">
        <f t="shared" si="29"/>
        <v/>
      </c>
      <c r="BS26" s="11" t="str">
        <f t="shared" si="30"/>
        <v/>
      </c>
      <c r="BT26" s="11" t="str">
        <f t="shared" si="31"/>
        <v/>
      </c>
      <c r="BU26" s="11" t="str">
        <f t="shared" si="32"/>
        <v/>
      </c>
      <c r="BV26" s="11" t="str">
        <f t="shared" si="33"/>
        <v/>
      </c>
      <c r="BW26" s="11" t="str">
        <f t="shared" si="34"/>
        <v/>
      </c>
      <c r="BX26" s="11" t="str">
        <f t="shared" si="35"/>
        <v/>
      </c>
      <c r="BY26" s="22">
        <v>14.3</v>
      </c>
      <c r="BZ26" s="22">
        <v>9.1999999999999993</v>
      </c>
      <c r="CA26" s="22">
        <v>7.6</v>
      </c>
      <c r="CB26" s="22">
        <v>13.62</v>
      </c>
      <c r="CC26" s="22">
        <v>1.2</v>
      </c>
      <c r="CD26" s="22">
        <v>5.6</v>
      </c>
      <c r="CE26" s="22">
        <v>3.5</v>
      </c>
      <c r="CF26" s="22">
        <v>3.9</v>
      </c>
      <c r="CG26" s="22">
        <v>5.52</v>
      </c>
      <c r="CH26" s="22">
        <v>0</v>
      </c>
      <c r="CI26" s="22"/>
      <c r="CJ26" s="22"/>
      <c r="CK26" s="22"/>
      <c r="CL26" s="22"/>
      <c r="CM26" s="22"/>
      <c r="CN26" s="27"/>
      <c r="CO26" s="38">
        <f t="shared" si="36"/>
        <v>7.6</v>
      </c>
      <c r="CP26" s="38">
        <f t="shared" si="37"/>
        <v>13.62</v>
      </c>
      <c r="CQ26" s="40">
        <f t="shared" si="38"/>
        <v>43.519999999999996</v>
      </c>
      <c r="CR26" s="40">
        <f t="shared" si="39"/>
        <v>3.9</v>
      </c>
      <c r="CS26" s="40">
        <f t="shared" si="40"/>
        <v>5.52</v>
      </c>
      <c r="CT26" s="40">
        <f t="shared" si="41"/>
        <v>18.52</v>
      </c>
      <c r="CU26" s="40">
        <f t="shared" si="42"/>
        <v>43.519999999999996</v>
      </c>
      <c r="CV26" s="40" t="str">
        <f t="shared" si="43"/>
        <v/>
      </c>
      <c r="CW26" s="40" t="str">
        <f t="shared" si="44"/>
        <v/>
      </c>
      <c r="CX26" s="40" t="str">
        <f t="shared" si="45"/>
        <v/>
      </c>
      <c r="CY26" s="40">
        <f t="shared" si="46"/>
        <v>43.519999999999996</v>
      </c>
      <c r="CZ26" s="50" t="str">
        <f t="shared" si="47"/>
        <v/>
      </c>
      <c r="DA26" s="50" t="str">
        <f t="shared" si="48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9"/>
        <v/>
      </c>
      <c r="DW26" s="40" t="str">
        <f t="shared" si="50"/>
        <v/>
      </c>
      <c r="DX26" s="40" t="str">
        <f t="shared" si="51"/>
        <v/>
      </c>
      <c r="DY26" s="40" t="str">
        <f t="shared" si="52"/>
        <v/>
      </c>
      <c r="DZ26" s="40" t="str">
        <f t="shared" si="53"/>
        <v/>
      </c>
      <c r="EA26" s="40" t="str">
        <f t="shared" si="54"/>
        <v/>
      </c>
      <c r="EB26" s="40" t="str">
        <f t="shared" si="55"/>
        <v/>
      </c>
      <c r="EC26" s="40" t="str">
        <f t="shared" si="56"/>
        <v/>
      </c>
      <c r="ED26" s="40" t="str">
        <f t="shared" si="57"/>
        <v/>
      </c>
      <c r="EE26" s="40" t="str">
        <f t="shared" si="58"/>
        <v/>
      </c>
      <c r="EF26" s="40" t="str">
        <f t="shared" si="59"/>
        <v/>
      </c>
      <c r="EG26" s="40" t="str">
        <f t="shared" si="60"/>
        <v/>
      </c>
      <c r="EH26" s="40" t="str">
        <f t="shared" si="61"/>
        <v/>
      </c>
      <c r="EI26" s="40" t="str">
        <f t="shared" si="62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3"/>
        <v/>
      </c>
      <c r="FE26" s="11" t="str">
        <f t="shared" si="64"/>
        <v/>
      </c>
      <c r="FF26" s="11" t="str">
        <f t="shared" si="65"/>
        <v/>
      </c>
      <c r="FG26" s="11" t="str">
        <f t="shared" si="66"/>
        <v/>
      </c>
      <c r="FH26" s="11" t="str">
        <f t="shared" si="67"/>
        <v/>
      </c>
      <c r="FI26" s="11" t="str">
        <f t="shared" si="68"/>
        <v/>
      </c>
      <c r="FJ26" s="11" t="str">
        <f t="shared" si="69"/>
        <v/>
      </c>
      <c r="FK26" s="11" t="str">
        <f t="shared" si="70"/>
        <v/>
      </c>
      <c r="FL26" s="11" t="str">
        <f t="shared" si="71"/>
        <v/>
      </c>
      <c r="FM26" s="11" t="str">
        <f t="shared" si="72"/>
        <v/>
      </c>
      <c r="FN26" s="11" t="str">
        <f t="shared" si="73"/>
        <v/>
      </c>
      <c r="FO26" s="11" t="str">
        <f t="shared" si="74"/>
        <v/>
      </c>
      <c r="FP26" s="11" t="str">
        <f t="shared" si="75"/>
        <v/>
      </c>
      <c r="FQ26" s="11" t="str">
        <f t="shared" si="76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7"/>
        <v/>
      </c>
      <c r="GM26" s="40" t="str">
        <f t="shared" si="78"/>
        <v/>
      </c>
      <c r="GN26" s="40" t="str">
        <f t="shared" si="79"/>
        <v/>
      </c>
      <c r="GO26" s="40" t="str">
        <f t="shared" si="80"/>
        <v/>
      </c>
      <c r="GP26" s="40" t="str">
        <f t="shared" si="81"/>
        <v/>
      </c>
      <c r="GQ26" s="40" t="str">
        <f t="shared" si="82"/>
        <v/>
      </c>
      <c r="GR26" s="40" t="str">
        <f t="shared" si="83"/>
        <v/>
      </c>
      <c r="GS26" s="40" t="str">
        <f t="shared" si="84"/>
        <v/>
      </c>
      <c r="GT26" s="40" t="str">
        <f t="shared" si="85"/>
        <v/>
      </c>
      <c r="GU26" s="40" t="str">
        <f t="shared" si="86"/>
        <v/>
      </c>
      <c r="GV26" s="40" t="str">
        <f t="shared" si="87"/>
        <v/>
      </c>
      <c r="GW26" s="40" t="str">
        <f t="shared" si="88"/>
        <v/>
      </c>
      <c r="GX26" s="40" t="str">
        <f t="shared" si="89"/>
        <v/>
      </c>
      <c r="GY26" s="40" t="str">
        <f t="shared" si="90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1"/>
        <v/>
      </c>
      <c r="HU26" s="11" t="str">
        <f t="shared" si="92"/>
        <v/>
      </c>
      <c r="HV26" s="11" t="str">
        <f t="shared" si="93"/>
        <v/>
      </c>
      <c r="HW26" s="11" t="str">
        <f t="shared" si="94"/>
        <v/>
      </c>
      <c r="HX26" s="11" t="str">
        <f t="shared" si="95"/>
        <v/>
      </c>
      <c r="HY26" s="11" t="str">
        <f t="shared" si="96"/>
        <v/>
      </c>
      <c r="HZ26" s="11" t="str">
        <f t="shared" si="97"/>
        <v/>
      </c>
      <c r="IA26" s="11" t="str">
        <f t="shared" si="98"/>
        <v/>
      </c>
      <c r="IB26" s="11" t="str">
        <f t="shared" si="99"/>
        <v/>
      </c>
      <c r="IC26" s="11" t="str">
        <f t="shared" si="100"/>
        <v/>
      </c>
      <c r="ID26" s="11" t="str">
        <f t="shared" si="101"/>
        <v/>
      </c>
      <c r="IE26" s="11" t="str">
        <f t="shared" si="102"/>
        <v/>
      </c>
      <c r="IF26" s="11" t="str">
        <f t="shared" si="103"/>
        <v/>
      </c>
      <c r="IG26" s="11" t="str">
        <f t="shared" si="104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5"/>
        <v/>
      </c>
      <c r="JC26" s="40" t="str">
        <f t="shared" si="106"/>
        <v/>
      </c>
      <c r="JD26" s="40" t="str">
        <f t="shared" si="107"/>
        <v/>
      </c>
      <c r="JE26" s="40" t="str">
        <f t="shared" si="108"/>
        <v/>
      </c>
      <c r="JF26" s="40" t="str">
        <f t="shared" si="109"/>
        <v/>
      </c>
      <c r="JG26" s="40" t="str">
        <f t="shared" si="110"/>
        <v/>
      </c>
      <c r="JH26" s="40" t="str">
        <f t="shared" si="111"/>
        <v/>
      </c>
      <c r="JI26" s="40" t="str">
        <f t="shared" si="112"/>
        <v/>
      </c>
      <c r="JJ26" s="40" t="str">
        <f t="shared" si="113"/>
        <v/>
      </c>
      <c r="JK26" s="40" t="str">
        <f t="shared" si="114"/>
        <v/>
      </c>
      <c r="JL26" s="40" t="str">
        <f t="shared" si="115"/>
        <v/>
      </c>
      <c r="JM26" s="40" t="str">
        <f t="shared" si="116"/>
        <v/>
      </c>
      <c r="JN26" s="40" t="str">
        <f t="shared" si="117"/>
        <v/>
      </c>
      <c r="JO26" s="40" t="str">
        <f t="shared" si="118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9"/>
        <v/>
      </c>
      <c r="KK26" s="11" t="str">
        <f t="shared" si="120"/>
        <v/>
      </c>
      <c r="KL26" s="11" t="str">
        <f t="shared" si="121"/>
        <v/>
      </c>
      <c r="KM26" s="11" t="str">
        <f t="shared" si="122"/>
        <v/>
      </c>
      <c r="KN26" s="11" t="str">
        <f t="shared" si="123"/>
        <v/>
      </c>
      <c r="KO26" s="11" t="str">
        <f t="shared" si="124"/>
        <v/>
      </c>
      <c r="KP26" s="11" t="str">
        <f t="shared" si="125"/>
        <v/>
      </c>
      <c r="KQ26" s="11" t="str">
        <f t="shared" si="126"/>
        <v/>
      </c>
      <c r="KR26" s="11" t="str">
        <f t="shared" si="127"/>
        <v/>
      </c>
      <c r="KS26" s="11" t="str">
        <f t="shared" si="128"/>
        <v/>
      </c>
      <c r="KT26" s="11" t="str">
        <f t="shared" si="129"/>
        <v/>
      </c>
      <c r="KU26" s="11" t="str">
        <f t="shared" si="130"/>
        <v/>
      </c>
      <c r="KV26" s="11" t="str">
        <f t="shared" si="131"/>
        <v/>
      </c>
      <c r="KW26" s="11" t="str">
        <f t="shared" si="132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3"/>
        <v/>
      </c>
      <c r="LS26" s="40" t="str">
        <f t="shared" si="134"/>
        <v/>
      </c>
      <c r="LT26" s="40" t="str">
        <f t="shared" si="135"/>
        <v/>
      </c>
      <c r="LU26" s="40" t="str">
        <f t="shared" si="136"/>
        <v/>
      </c>
      <c r="LV26" s="40" t="str">
        <f t="shared" si="137"/>
        <v/>
      </c>
      <c r="LW26" s="40" t="str">
        <f t="shared" si="138"/>
        <v/>
      </c>
      <c r="LX26" s="40" t="str">
        <f t="shared" si="139"/>
        <v/>
      </c>
      <c r="LY26" s="40" t="str">
        <f t="shared" si="140"/>
        <v/>
      </c>
      <c r="LZ26" s="40" t="str">
        <f t="shared" si="141"/>
        <v/>
      </c>
      <c r="MA26" s="40" t="str">
        <f t="shared" si="142"/>
        <v/>
      </c>
      <c r="MB26" s="40" t="str">
        <f t="shared" si="143"/>
        <v/>
      </c>
      <c r="MC26" s="40" t="str">
        <f t="shared" si="144"/>
        <v/>
      </c>
      <c r="MD26" s="40" t="str">
        <f t="shared" si="145"/>
        <v/>
      </c>
      <c r="ME26" s="40" t="str">
        <f t="shared" si="146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7"/>
        <v/>
      </c>
      <c r="NA26" s="11" t="str">
        <f t="shared" si="148"/>
        <v/>
      </c>
      <c r="NB26" s="11" t="str">
        <f t="shared" si="149"/>
        <v/>
      </c>
      <c r="NC26" s="11" t="str">
        <f t="shared" si="150"/>
        <v/>
      </c>
      <c r="ND26" s="11" t="str">
        <f t="shared" si="151"/>
        <v/>
      </c>
      <c r="NE26" s="11" t="str">
        <f t="shared" si="152"/>
        <v/>
      </c>
      <c r="NF26" s="11" t="str">
        <f t="shared" si="153"/>
        <v/>
      </c>
      <c r="NG26" s="11" t="str">
        <f t="shared" si="154"/>
        <v/>
      </c>
      <c r="NH26" s="11" t="str">
        <f t="shared" si="155"/>
        <v/>
      </c>
      <c r="NI26" s="11" t="str">
        <f t="shared" si="156"/>
        <v/>
      </c>
      <c r="NJ26" s="11" t="str">
        <f t="shared" si="157"/>
        <v/>
      </c>
      <c r="NK26" s="11" t="str">
        <f t="shared" si="158"/>
        <v/>
      </c>
      <c r="NL26" s="11" t="str">
        <f t="shared" si="159"/>
        <v/>
      </c>
      <c r="NM26" s="11" t="str">
        <f t="shared" si="160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1"/>
        <v/>
      </c>
      <c r="OI26" s="40" t="str">
        <f t="shared" si="162"/>
        <v/>
      </c>
      <c r="OJ26" s="40" t="str">
        <f t="shared" si="163"/>
        <v/>
      </c>
      <c r="OK26" s="40" t="str">
        <f t="shared" si="164"/>
        <v/>
      </c>
      <c r="OL26" s="40" t="str">
        <f t="shared" si="165"/>
        <v/>
      </c>
      <c r="OM26" s="40" t="str">
        <f t="shared" si="166"/>
        <v/>
      </c>
      <c r="ON26" s="40" t="str">
        <f t="shared" si="167"/>
        <v/>
      </c>
      <c r="OO26" s="40" t="str">
        <f t="shared" si="168"/>
        <v/>
      </c>
      <c r="OP26" s="40" t="str">
        <f t="shared" si="169"/>
        <v/>
      </c>
      <c r="OQ26" s="40" t="str">
        <f t="shared" si="170"/>
        <v/>
      </c>
      <c r="OR26" s="40" t="str">
        <f t="shared" si="171"/>
        <v/>
      </c>
      <c r="OS26" s="40" t="str">
        <f t="shared" si="172"/>
        <v/>
      </c>
      <c r="OT26" s="40" t="str">
        <f t="shared" si="173"/>
        <v/>
      </c>
      <c r="OU26" s="40" t="str">
        <f t="shared" si="174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5"/>
        <v/>
      </c>
      <c r="PQ26" s="11" t="str">
        <f t="shared" si="176"/>
        <v/>
      </c>
      <c r="PR26" s="11" t="str">
        <f t="shared" si="177"/>
        <v/>
      </c>
      <c r="PS26" s="11" t="str">
        <f t="shared" si="178"/>
        <v/>
      </c>
      <c r="PT26" s="11" t="str">
        <f t="shared" si="179"/>
        <v/>
      </c>
      <c r="PU26" s="11" t="str">
        <f t="shared" si="180"/>
        <v/>
      </c>
      <c r="PV26" s="11" t="str">
        <f t="shared" si="181"/>
        <v/>
      </c>
      <c r="PW26" s="11" t="str">
        <f t="shared" si="182"/>
        <v/>
      </c>
      <c r="PX26" s="11" t="str">
        <f t="shared" si="183"/>
        <v/>
      </c>
      <c r="PY26" s="11" t="str">
        <f t="shared" si="184"/>
        <v/>
      </c>
      <c r="PZ26" s="11" t="str">
        <f t="shared" si="185"/>
        <v/>
      </c>
      <c r="QA26" s="11" t="str">
        <f t="shared" si="186"/>
        <v/>
      </c>
      <c r="QB26" s="11" t="str">
        <f t="shared" si="187"/>
        <v/>
      </c>
      <c r="QC26" s="11" t="str">
        <f t="shared" si="188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9"/>
        <v/>
      </c>
      <c r="QY26" s="40" t="str">
        <f t="shared" si="190"/>
        <v/>
      </c>
      <c r="QZ26" s="40" t="str">
        <f t="shared" si="191"/>
        <v/>
      </c>
      <c r="RA26" s="40" t="str">
        <f t="shared" si="192"/>
        <v/>
      </c>
      <c r="RB26" s="40" t="str">
        <f t="shared" si="193"/>
        <v/>
      </c>
      <c r="RC26" s="40" t="str">
        <f t="shared" si="194"/>
        <v/>
      </c>
      <c r="RD26" s="40" t="str">
        <f t="shared" si="195"/>
        <v/>
      </c>
      <c r="RE26" s="40" t="str">
        <f t="shared" si="196"/>
        <v/>
      </c>
      <c r="RF26" s="40" t="str">
        <f t="shared" si="197"/>
        <v/>
      </c>
      <c r="RG26" s="40" t="str">
        <f t="shared" si="198"/>
        <v/>
      </c>
      <c r="RH26" s="40" t="str">
        <f t="shared" si="199"/>
        <v/>
      </c>
      <c r="RI26" s="40" t="str">
        <f t="shared" si="200"/>
        <v/>
      </c>
      <c r="RJ26" s="40" t="str">
        <f t="shared" si="201"/>
        <v/>
      </c>
      <c r="RK26" s="40" t="str">
        <f t="shared" si="202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3"/>
        <v/>
      </c>
      <c r="SG26" s="11" t="str">
        <f t="shared" si="204"/>
        <v/>
      </c>
      <c r="SH26" s="11" t="str">
        <f t="shared" si="205"/>
        <v/>
      </c>
      <c r="SI26" s="11" t="str">
        <f t="shared" si="206"/>
        <v/>
      </c>
      <c r="SJ26" s="11" t="str">
        <f t="shared" si="207"/>
        <v/>
      </c>
      <c r="SK26" s="11" t="str">
        <f t="shared" si="208"/>
        <v/>
      </c>
      <c r="SL26" s="11" t="str">
        <f t="shared" si="209"/>
        <v/>
      </c>
      <c r="SM26" s="11" t="str">
        <f t="shared" si="210"/>
        <v/>
      </c>
      <c r="SN26" s="11" t="str">
        <f t="shared" si="211"/>
        <v/>
      </c>
      <c r="SO26" s="11" t="str">
        <f t="shared" si="212"/>
        <v/>
      </c>
      <c r="SP26" s="11" t="str">
        <f t="shared" si="213"/>
        <v/>
      </c>
      <c r="SQ26" s="11" t="str">
        <f t="shared" si="214"/>
        <v/>
      </c>
      <c r="SR26" s="11" t="str">
        <f t="shared" si="215"/>
        <v/>
      </c>
      <c r="SS26" s="11" t="str">
        <f t="shared" si="216"/>
        <v/>
      </c>
      <c r="ST26" s="22">
        <f t="shared" si="217"/>
        <v>7.15</v>
      </c>
      <c r="SU26" s="22">
        <f t="shared" si="218"/>
        <v>4.5999999999999996</v>
      </c>
      <c r="SV26" s="22">
        <f t="shared" si="219"/>
        <v>3.8</v>
      </c>
      <c r="SW26" s="22">
        <f t="shared" si="220"/>
        <v>6.81</v>
      </c>
      <c r="SX26" s="22">
        <f t="shared" si="221"/>
        <v>0.6</v>
      </c>
      <c r="SY26" s="22">
        <f t="shared" si="222"/>
        <v>2.8</v>
      </c>
      <c r="SZ26" s="22">
        <f t="shared" si="223"/>
        <v>1.75</v>
      </c>
      <c r="TA26" s="22">
        <f t="shared" si="224"/>
        <v>1.95</v>
      </c>
      <c r="TB26" s="22">
        <f t="shared" si="225"/>
        <v>2.76</v>
      </c>
      <c r="TC26" s="22">
        <f t="shared" si="226"/>
        <v>0</v>
      </c>
      <c r="TD26" s="22">
        <f t="shared" si="227"/>
        <v>0</v>
      </c>
      <c r="TE26" s="22">
        <f t="shared" si="228"/>
        <v>0</v>
      </c>
      <c r="TF26" s="22">
        <f t="shared" si="229"/>
        <v>0</v>
      </c>
      <c r="TG26" s="22">
        <f t="shared" si="230"/>
        <v>0</v>
      </c>
      <c r="TH26" s="22">
        <f t="shared" si="231"/>
        <v>0</v>
      </c>
      <c r="TI26" s="27" t="s">
        <v>46</v>
      </c>
      <c r="TJ26" s="40">
        <f t="shared" si="232"/>
        <v>3.8</v>
      </c>
      <c r="TK26" s="40">
        <f t="shared" si="233"/>
        <v>6.81</v>
      </c>
      <c r="TL26" s="40">
        <f t="shared" si="234"/>
        <v>21.759999999999998</v>
      </c>
      <c r="TM26" s="40">
        <f t="shared" si="235"/>
        <v>1.95</v>
      </c>
      <c r="TN26" s="40">
        <f t="shared" si="236"/>
        <v>2.76</v>
      </c>
      <c r="TO26" s="40">
        <f t="shared" si="237"/>
        <v>9.26</v>
      </c>
      <c r="TP26" s="40">
        <f t="shared" si="238"/>
        <v>21.759999999999998</v>
      </c>
      <c r="TQ26" s="40" t="str">
        <f t="shared" si="239"/>
        <v/>
      </c>
      <c r="TR26" s="40" t="str">
        <f t="shared" si="240"/>
        <v/>
      </c>
      <c r="TS26" s="40" t="str">
        <f t="shared" si="241"/>
        <v/>
      </c>
      <c r="TT26" s="40">
        <f t="shared" si="242"/>
        <v>21.759999999999998</v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159</v>
      </c>
      <c r="C27" s="4" t="s">
        <v>6</v>
      </c>
      <c r="D27" s="4">
        <v>2002</v>
      </c>
      <c r="E27" s="9">
        <f t="shared" si="0"/>
        <v>62.100006210004366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43.56</v>
      </c>
      <c r="K27" s="8" t="str">
        <f t="shared" si="5"/>
        <v>2022 Nationals</v>
      </c>
      <c r="L27" s="8">
        <f>IF(COUNT(AO27,AR27,BP27,BS27,CQ27,CT27)&gt;1,LARGE((AO27,AR27,BP27,BS27,CQ27,CT27),2),0)</f>
        <v>0</v>
      </c>
      <c r="M27" s="8" t="str">
        <f t="shared" si="6"/>
        <v/>
      </c>
      <c r="N27" s="8">
        <f>IF(COUNT(AO27,AR27,BP27,BS27,CQ27,CT27)&gt;2,MAX(AV27,BW27,CX27,LARGE((AO27,AR27,BP27,BS27,CQ27,CT27),3)),IF(MAX(AV27,BW27,CX27)&gt;0,MAX(AV27,BW27,CX27),0))</f>
        <v>10.24</v>
      </c>
      <c r="O27" s="8" t="str">
        <f t="shared" si="7"/>
        <v>2022 Nationals</v>
      </c>
      <c r="P27" s="8">
        <f t="shared" si="8"/>
        <v>8.3000000000000007</v>
      </c>
      <c r="Q27" s="8" t="str">
        <f t="shared" si="9"/>
        <v>2022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</v>
      </c>
      <c r="X27" s="22">
        <v>8.9</v>
      </c>
      <c r="Y27" s="22">
        <v>8.3000000000000007</v>
      </c>
      <c r="Z27" s="22">
        <v>13.86</v>
      </c>
      <c r="AA27" s="22">
        <v>0.5</v>
      </c>
      <c r="AB27" s="22"/>
      <c r="AC27" s="22"/>
      <c r="AD27" s="22"/>
      <c r="AE27" s="22"/>
      <c r="AF27" s="22"/>
      <c r="AG27" s="22">
        <v>3</v>
      </c>
      <c r="AH27" s="22">
        <v>1.8</v>
      </c>
      <c r="AI27" s="22">
        <v>2.5</v>
      </c>
      <c r="AJ27" s="22">
        <v>2.94</v>
      </c>
      <c r="AK27" s="22">
        <v>0</v>
      </c>
      <c r="AL27" s="27"/>
      <c r="AM27" s="38">
        <f t="shared" si="14"/>
        <v>8.3000000000000007</v>
      </c>
      <c r="AN27" s="38">
        <f t="shared" si="15"/>
        <v>13.86</v>
      </c>
      <c r="AO27" s="40">
        <f t="shared" si="16"/>
        <v>43.56</v>
      </c>
      <c r="AP27" s="40" t="str">
        <f t="shared" si="17"/>
        <v/>
      </c>
      <c r="AQ27" s="40" t="str">
        <f t="shared" si="18"/>
        <v/>
      </c>
      <c r="AR27" s="40" t="str">
        <f t="shared" si="19"/>
        <v/>
      </c>
      <c r="AS27" s="40">
        <f t="shared" si="20"/>
        <v>43.56</v>
      </c>
      <c r="AT27" s="40">
        <f t="shared" si="21"/>
        <v>2.5</v>
      </c>
      <c r="AU27" s="40">
        <f t="shared" si="22"/>
        <v>2.94</v>
      </c>
      <c r="AV27" s="40">
        <f t="shared" si="23"/>
        <v>10.24</v>
      </c>
      <c r="AW27" s="40">
        <f t="shared" si="24"/>
        <v>53.800000000000004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5"/>
        <v/>
      </c>
      <c r="BO27" s="39" t="str">
        <f t="shared" si="26"/>
        <v/>
      </c>
      <c r="BP27" s="11" t="str">
        <f t="shared" si="27"/>
        <v/>
      </c>
      <c r="BQ27" s="11" t="str">
        <f t="shared" si="28"/>
        <v/>
      </c>
      <c r="BR27" s="11" t="str">
        <f t="shared" si="29"/>
        <v/>
      </c>
      <c r="BS27" s="11" t="str">
        <f t="shared" si="30"/>
        <v/>
      </c>
      <c r="BT27" s="11" t="str">
        <f t="shared" si="31"/>
        <v/>
      </c>
      <c r="BU27" s="11" t="str">
        <f t="shared" si="32"/>
        <v/>
      </c>
      <c r="BV27" s="11" t="str">
        <f t="shared" si="33"/>
        <v/>
      </c>
      <c r="BW27" s="11" t="str">
        <f t="shared" si="34"/>
        <v/>
      </c>
      <c r="BX27" s="11" t="str">
        <f t="shared" si="35"/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6"/>
        <v/>
      </c>
      <c r="CP27" s="38" t="str">
        <f t="shared" si="37"/>
        <v/>
      </c>
      <c r="CQ27" s="40" t="str">
        <f t="shared" si="38"/>
        <v/>
      </c>
      <c r="CR27" s="40" t="str">
        <f t="shared" si="39"/>
        <v/>
      </c>
      <c r="CS27" s="40" t="str">
        <f t="shared" si="40"/>
        <v/>
      </c>
      <c r="CT27" s="40" t="str">
        <f t="shared" si="41"/>
        <v/>
      </c>
      <c r="CU27" s="40" t="str">
        <f t="shared" si="42"/>
        <v/>
      </c>
      <c r="CV27" s="40" t="str">
        <f t="shared" si="43"/>
        <v/>
      </c>
      <c r="CW27" s="40" t="str">
        <f t="shared" si="44"/>
        <v/>
      </c>
      <c r="CX27" s="40" t="str">
        <f t="shared" si="45"/>
        <v/>
      </c>
      <c r="CY27" s="40" t="str">
        <f t="shared" si="46"/>
        <v/>
      </c>
      <c r="CZ27" s="50" t="str">
        <f t="shared" si="47"/>
        <v/>
      </c>
      <c r="DA27" s="50" t="str">
        <f t="shared" si="48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9"/>
        <v/>
      </c>
      <c r="DW27" s="40" t="str">
        <f t="shared" si="50"/>
        <v/>
      </c>
      <c r="DX27" s="40" t="str">
        <f t="shared" si="51"/>
        <v/>
      </c>
      <c r="DY27" s="40" t="str">
        <f t="shared" si="52"/>
        <v/>
      </c>
      <c r="DZ27" s="40" t="str">
        <f t="shared" si="53"/>
        <v/>
      </c>
      <c r="EA27" s="40" t="str">
        <f t="shared" si="54"/>
        <v/>
      </c>
      <c r="EB27" s="40" t="str">
        <f t="shared" si="55"/>
        <v/>
      </c>
      <c r="EC27" s="40" t="str">
        <f t="shared" si="56"/>
        <v/>
      </c>
      <c r="ED27" s="40" t="str">
        <f t="shared" si="57"/>
        <v/>
      </c>
      <c r="EE27" s="40" t="str">
        <f t="shared" si="58"/>
        <v/>
      </c>
      <c r="EF27" s="40" t="str">
        <f t="shared" si="59"/>
        <v/>
      </c>
      <c r="EG27" s="40" t="str">
        <f t="shared" si="60"/>
        <v/>
      </c>
      <c r="EH27" s="40" t="str">
        <f t="shared" si="61"/>
        <v/>
      </c>
      <c r="EI27" s="40" t="str">
        <f t="shared" si="62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3"/>
        <v/>
      </c>
      <c r="FE27" s="11" t="str">
        <f t="shared" si="64"/>
        <v/>
      </c>
      <c r="FF27" s="11" t="str">
        <f t="shared" si="65"/>
        <v/>
      </c>
      <c r="FG27" s="11" t="str">
        <f t="shared" si="66"/>
        <v/>
      </c>
      <c r="FH27" s="11" t="str">
        <f t="shared" si="67"/>
        <v/>
      </c>
      <c r="FI27" s="11" t="str">
        <f t="shared" si="68"/>
        <v/>
      </c>
      <c r="FJ27" s="11" t="str">
        <f t="shared" si="69"/>
        <v/>
      </c>
      <c r="FK27" s="11" t="str">
        <f t="shared" si="70"/>
        <v/>
      </c>
      <c r="FL27" s="11" t="str">
        <f t="shared" si="71"/>
        <v/>
      </c>
      <c r="FM27" s="11" t="str">
        <f t="shared" si="72"/>
        <v/>
      </c>
      <c r="FN27" s="11" t="str">
        <f t="shared" si="73"/>
        <v/>
      </c>
      <c r="FO27" s="11" t="str">
        <f t="shared" si="74"/>
        <v/>
      </c>
      <c r="FP27" s="11" t="str">
        <f t="shared" si="75"/>
        <v/>
      </c>
      <c r="FQ27" s="11" t="str">
        <f t="shared" si="76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7"/>
        <v/>
      </c>
      <c r="GM27" s="40" t="str">
        <f t="shared" si="78"/>
        <v/>
      </c>
      <c r="GN27" s="40" t="str">
        <f t="shared" si="79"/>
        <v/>
      </c>
      <c r="GO27" s="40" t="str">
        <f t="shared" si="80"/>
        <v/>
      </c>
      <c r="GP27" s="40" t="str">
        <f t="shared" si="81"/>
        <v/>
      </c>
      <c r="GQ27" s="40" t="str">
        <f t="shared" si="82"/>
        <v/>
      </c>
      <c r="GR27" s="40" t="str">
        <f t="shared" si="83"/>
        <v/>
      </c>
      <c r="GS27" s="40" t="str">
        <f t="shared" si="84"/>
        <v/>
      </c>
      <c r="GT27" s="40" t="str">
        <f t="shared" si="85"/>
        <v/>
      </c>
      <c r="GU27" s="40" t="str">
        <f t="shared" si="86"/>
        <v/>
      </c>
      <c r="GV27" s="40" t="str">
        <f t="shared" si="87"/>
        <v/>
      </c>
      <c r="GW27" s="40" t="str">
        <f t="shared" si="88"/>
        <v/>
      </c>
      <c r="GX27" s="40" t="str">
        <f t="shared" si="89"/>
        <v/>
      </c>
      <c r="GY27" s="40" t="str">
        <f t="shared" si="90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1"/>
        <v/>
      </c>
      <c r="HU27" s="11" t="str">
        <f t="shared" si="92"/>
        <v/>
      </c>
      <c r="HV27" s="11" t="str">
        <f t="shared" si="93"/>
        <v/>
      </c>
      <c r="HW27" s="11" t="str">
        <f t="shared" si="94"/>
        <v/>
      </c>
      <c r="HX27" s="11" t="str">
        <f t="shared" si="95"/>
        <v/>
      </c>
      <c r="HY27" s="11" t="str">
        <f t="shared" si="96"/>
        <v/>
      </c>
      <c r="HZ27" s="11" t="str">
        <f t="shared" si="97"/>
        <v/>
      </c>
      <c r="IA27" s="11" t="str">
        <f t="shared" si="98"/>
        <v/>
      </c>
      <c r="IB27" s="11" t="str">
        <f t="shared" si="99"/>
        <v/>
      </c>
      <c r="IC27" s="11" t="str">
        <f t="shared" si="100"/>
        <v/>
      </c>
      <c r="ID27" s="11" t="str">
        <f t="shared" si="101"/>
        <v/>
      </c>
      <c r="IE27" s="11" t="str">
        <f t="shared" si="102"/>
        <v/>
      </c>
      <c r="IF27" s="11" t="str">
        <f t="shared" si="103"/>
        <v/>
      </c>
      <c r="IG27" s="11" t="str">
        <f t="shared" si="104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5"/>
        <v/>
      </c>
      <c r="JC27" s="40" t="str">
        <f t="shared" si="106"/>
        <v/>
      </c>
      <c r="JD27" s="40" t="str">
        <f t="shared" si="107"/>
        <v/>
      </c>
      <c r="JE27" s="40" t="str">
        <f t="shared" si="108"/>
        <v/>
      </c>
      <c r="JF27" s="40" t="str">
        <f t="shared" si="109"/>
        <v/>
      </c>
      <c r="JG27" s="40" t="str">
        <f t="shared" si="110"/>
        <v/>
      </c>
      <c r="JH27" s="40" t="str">
        <f t="shared" si="111"/>
        <v/>
      </c>
      <c r="JI27" s="40" t="str">
        <f t="shared" si="112"/>
        <v/>
      </c>
      <c r="JJ27" s="40" t="str">
        <f t="shared" si="113"/>
        <v/>
      </c>
      <c r="JK27" s="40" t="str">
        <f t="shared" si="114"/>
        <v/>
      </c>
      <c r="JL27" s="40" t="str">
        <f t="shared" si="115"/>
        <v/>
      </c>
      <c r="JM27" s="40" t="str">
        <f t="shared" si="116"/>
        <v/>
      </c>
      <c r="JN27" s="40" t="str">
        <f t="shared" si="117"/>
        <v/>
      </c>
      <c r="JO27" s="40" t="str">
        <f t="shared" si="118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9"/>
        <v/>
      </c>
      <c r="KK27" s="11" t="str">
        <f t="shared" si="120"/>
        <v/>
      </c>
      <c r="KL27" s="11" t="str">
        <f t="shared" si="121"/>
        <v/>
      </c>
      <c r="KM27" s="11" t="str">
        <f t="shared" si="122"/>
        <v/>
      </c>
      <c r="KN27" s="11" t="str">
        <f t="shared" si="123"/>
        <v/>
      </c>
      <c r="KO27" s="11" t="str">
        <f t="shared" si="124"/>
        <v/>
      </c>
      <c r="KP27" s="11" t="str">
        <f t="shared" si="125"/>
        <v/>
      </c>
      <c r="KQ27" s="11" t="str">
        <f t="shared" si="126"/>
        <v/>
      </c>
      <c r="KR27" s="11" t="str">
        <f t="shared" si="127"/>
        <v/>
      </c>
      <c r="KS27" s="11" t="str">
        <f t="shared" si="128"/>
        <v/>
      </c>
      <c r="KT27" s="11" t="str">
        <f t="shared" si="129"/>
        <v/>
      </c>
      <c r="KU27" s="11" t="str">
        <f t="shared" si="130"/>
        <v/>
      </c>
      <c r="KV27" s="11" t="str">
        <f t="shared" si="131"/>
        <v/>
      </c>
      <c r="KW27" s="11" t="str">
        <f t="shared" si="132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3"/>
        <v/>
      </c>
      <c r="LS27" s="40" t="str">
        <f t="shared" si="134"/>
        <v/>
      </c>
      <c r="LT27" s="40" t="str">
        <f t="shared" si="135"/>
        <v/>
      </c>
      <c r="LU27" s="40" t="str">
        <f t="shared" si="136"/>
        <v/>
      </c>
      <c r="LV27" s="40" t="str">
        <f t="shared" si="137"/>
        <v/>
      </c>
      <c r="LW27" s="40" t="str">
        <f t="shared" si="138"/>
        <v/>
      </c>
      <c r="LX27" s="40" t="str">
        <f t="shared" si="139"/>
        <v/>
      </c>
      <c r="LY27" s="40" t="str">
        <f t="shared" si="140"/>
        <v/>
      </c>
      <c r="LZ27" s="40" t="str">
        <f t="shared" si="141"/>
        <v/>
      </c>
      <c r="MA27" s="40" t="str">
        <f t="shared" si="142"/>
        <v/>
      </c>
      <c r="MB27" s="40" t="str">
        <f t="shared" si="143"/>
        <v/>
      </c>
      <c r="MC27" s="40" t="str">
        <f t="shared" si="144"/>
        <v/>
      </c>
      <c r="MD27" s="40" t="str">
        <f t="shared" si="145"/>
        <v/>
      </c>
      <c r="ME27" s="40" t="str">
        <f t="shared" si="146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7"/>
        <v/>
      </c>
      <c r="NA27" s="11" t="str">
        <f t="shared" si="148"/>
        <v/>
      </c>
      <c r="NB27" s="11" t="str">
        <f t="shared" si="149"/>
        <v/>
      </c>
      <c r="NC27" s="11" t="str">
        <f t="shared" si="150"/>
        <v/>
      </c>
      <c r="ND27" s="11" t="str">
        <f t="shared" si="151"/>
        <v/>
      </c>
      <c r="NE27" s="11" t="str">
        <f t="shared" si="152"/>
        <v/>
      </c>
      <c r="NF27" s="11" t="str">
        <f t="shared" si="153"/>
        <v/>
      </c>
      <c r="NG27" s="11" t="str">
        <f t="shared" si="154"/>
        <v/>
      </c>
      <c r="NH27" s="11" t="str">
        <f t="shared" si="155"/>
        <v/>
      </c>
      <c r="NI27" s="11" t="str">
        <f t="shared" si="156"/>
        <v/>
      </c>
      <c r="NJ27" s="11" t="str">
        <f t="shared" si="157"/>
        <v/>
      </c>
      <c r="NK27" s="11" t="str">
        <f t="shared" si="158"/>
        <v/>
      </c>
      <c r="NL27" s="11" t="str">
        <f t="shared" si="159"/>
        <v/>
      </c>
      <c r="NM27" s="11" t="str">
        <f t="shared" si="160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1"/>
        <v/>
      </c>
      <c r="OI27" s="40" t="str">
        <f t="shared" si="162"/>
        <v/>
      </c>
      <c r="OJ27" s="40" t="str">
        <f t="shared" si="163"/>
        <v/>
      </c>
      <c r="OK27" s="40" t="str">
        <f t="shared" si="164"/>
        <v/>
      </c>
      <c r="OL27" s="40" t="str">
        <f t="shared" si="165"/>
        <v/>
      </c>
      <c r="OM27" s="40" t="str">
        <f t="shared" si="166"/>
        <v/>
      </c>
      <c r="ON27" s="40" t="str">
        <f t="shared" si="167"/>
        <v/>
      </c>
      <c r="OO27" s="40" t="str">
        <f t="shared" si="168"/>
        <v/>
      </c>
      <c r="OP27" s="40" t="str">
        <f t="shared" si="169"/>
        <v/>
      </c>
      <c r="OQ27" s="40" t="str">
        <f t="shared" si="170"/>
        <v/>
      </c>
      <c r="OR27" s="40" t="str">
        <f t="shared" si="171"/>
        <v/>
      </c>
      <c r="OS27" s="40" t="str">
        <f t="shared" si="172"/>
        <v/>
      </c>
      <c r="OT27" s="40" t="str">
        <f t="shared" si="173"/>
        <v/>
      </c>
      <c r="OU27" s="40" t="str">
        <f t="shared" si="174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5"/>
        <v/>
      </c>
      <c r="PQ27" s="11" t="str">
        <f t="shared" si="176"/>
        <v/>
      </c>
      <c r="PR27" s="11" t="str">
        <f t="shared" si="177"/>
        <v/>
      </c>
      <c r="PS27" s="11" t="str">
        <f t="shared" si="178"/>
        <v/>
      </c>
      <c r="PT27" s="11" t="str">
        <f t="shared" si="179"/>
        <v/>
      </c>
      <c r="PU27" s="11" t="str">
        <f t="shared" si="180"/>
        <v/>
      </c>
      <c r="PV27" s="11" t="str">
        <f t="shared" si="181"/>
        <v/>
      </c>
      <c r="PW27" s="11" t="str">
        <f t="shared" si="182"/>
        <v/>
      </c>
      <c r="PX27" s="11" t="str">
        <f t="shared" si="183"/>
        <v/>
      </c>
      <c r="PY27" s="11" t="str">
        <f t="shared" si="184"/>
        <v/>
      </c>
      <c r="PZ27" s="11" t="str">
        <f t="shared" si="185"/>
        <v/>
      </c>
      <c r="QA27" s="11" t="str">
        <f t="shared" si="186"/>
        <v/>
      </c>
      <c r="QB27" s="11" t="str">
        <f t="shared" si="187"/>
        <v/>
      </c>
      <c r="QC27" s="11" t="str">
        <f t="shared" si="188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9"/>
        <v/>
      </c>
      <c r="QY27" s="40" t="str">
        <f t="shared" si="190"/>
        <v/>
      </c>
      <c r="QZ27" s="40" t="str">
        <f t="shared" si="191"/>
        <v/>
      </c>
      <c r="RA27" s="40" t="str">
        <f t="shared" si="192"/>
        <v/>
      </c>
      <c r="RB27" s="40" t="str">
        <f t="shared" si="193"/>
        <v/>
      </c>
      <c r="RC27" s="40" t="str">
        <f t="shared" si="194"/>
        <v/>
      </c>
      <c r="RD27" s="40" t="str">
        <f t="shared" si="195"/>
        <v/>
      </c>
      <c r="RE27" s="40" t="str">
        <f t="shared" si="196"/>
        <v/>
      </c>
      <c r="RF27" s="40" t="str">
        <f t="shared" si="197"/>
        <v/>
      </c>
      <c r="RG27" s="40" t="str">
        <f t="shared" si="198"/>
        <v/>
      </c>
      <c r="RH27" s="40" t="str">
        <f t="shared" si="199"/>
        <v/>
      </c>
      <c r="RI27" s="40" t="str">
        <f t="shared" si="200"/>
        <v/>
      </c>
      <c r="RJ27" s="40" t="str">
        <f t="shared" si="201"/>
        <v/>
      </c>
      <c r="RK27" s="40" t="str">
        <f t="shared" si="202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3"/>
        <v/>
      </c>
      <c r="SG27" s="11" t="str">
        <f t="shared" si="204"/>
        <v/>
      </c>
      <c r="SH27" s="11" t="str">
        <f t="shared" si="205"/>
        <v/>
      </c>
      <c r="SI27" s="11" t="str">
        <f t="shared" si="206"/>
        <v/>
      </c>
      <c r="SJ27" s="11" t="str">
        <f t="shared" si="207"/>
        <v/>
      </c>
      <c r="SK27" s="11" t="str">
        <f t="shared" si="208"/>
        <v/>
      </c>
      <c r="SL27" s="11" t="str">
        <f t="shared" si="209"/>
        <v/>
      </c>
      <c r="SM27" s="11" t="str">
        <f t="shared" si="210"/>
        <v/>
      </c>
      <c r="SN27" s="11" t="str">
        <f t="shared" si="211"/>
        <v/>
      </c>
      <c r="SO27" s="11" t="str">
        <f t="shared" si="212"/>
        <v/>
      </c>
      <c r="SP27" s="11" t="str">
        <f t="shared" si="213"/>
        <v/>
      </c>
      <c r="SQ27" s="11" t="str">
        <f t="shared" si="214"/>
        <v/>
      </c>
      <c r="SR27" s="11" t="str">
        <f t="shared" si="215"/>
        <v/>
      </c>
      <c r="SS27" s="11" t="str">
        <f t="shared" si="216"/>
        <v/>
      </c>
      <c r="ST27" s="22">
        <f t="shared" si="217"/>
        <v>0</v>
      </c>
      <c r="SU27" s="22">
        <f t="shared" si="218"/>
        <v>0</v>
      </c>
      <c r="SV27" s="22">
        <f t="shared" si="219"/>
        <v>0</v>
      </c>
      <c r="SW27" s="22">
        <f t="shared" si="220"/>
        <v>0</v>
      </c>
      <c r="SX27" s="22">
        <f t="shared" si="221"/>
        <v>0</v>
      </c>
      <c r="SY27" s="22">
        <f t="shared" si="222"/>
        <v>0</v>
      </c>
      <c r="SZ27" s="22">
        <f t="shared" si="223"/>
        <v>0</v>
      </c>
      <c r="TA27" s="22">
        <f t="shared" si="224"/>
        <v>0</v>
      </c>
      <c r="TB27" s="22">
        <f t="shared" si="225"/>
        <v>0</v>
      </c>
      <c r="TC27" s="22">
        <f t="shared" si="226"/>
        <v>0</v>
      </c>
      <c r="TD27" s="22">
        <f t="shared" si="227"/>
        <v>0</v>
      </c>
      <c r="TE27" s="22">
        <f t="shared" si="228"/>
        <v>0</v>
      </c>
      <c r="TF27" s="22">
        <f t="shared" si="229"/>
        <v>0</v>
      </c>
      <c r="TG27" s="22">
        <f t="shared" si="230"/>
        <v>0</v>
      </c>
      <c r="TH27" s="22">
        <f t="shared" si="231"/>
        <v>0</v>
      </c>
      <c r="TI27" s="27" t="s">
        <v>46</v>
      </c>
      <c r="TJ27" s="40" t="str">
        <f t="shared" si="232"/>
        <v/>
      </c>
      <c r="TK27" s="40" t="str">
        <f t="shared" si="233"/>
        <v/>
      </c>
      <c r="TL27" s="40" t="str">
        <f t="shared" si="234"/>
        <v/>
      </c>
      <c r="TM27" s="40" t="str">
        <f t="shared" si="235"/>
        <v/>
      </c>
      <c r="TN27" s="40" t="str">
        <f t="shared" si="236"/>
        <v/>
      </c>
      <c r="TO27" s="40" t="str">
        <f t="shared" si="237"/>
        <v/>
      </c>
      <c r="TP27" s="40" t="str">
        <f t="shared" si="238"/>
        <v/>
      </c>
      <c r="TQ27" s="40" t="str">
        <f t="shared" si="239"/>
        <v/>
      </c>
      <c r="TR27" s="40" t="str">
        <f t="shared" si="240"/>
        <v/>
      </c>
      <c r="TS27" s="40" t="str">
        <f t="shared" si="241"/>
        <v/>
      </c>
      <c r="TT27" s="40" t="str">
        <f t="shared" si="242"/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155</v>
      </c>
      <c r="C28" s="4" t="s">
        <v>6</v>
      </c>
      <c r="D28" s="4">
        <v>2003</v>
      </c>
      <c r="E28" s="9">
        <f t="shared" si="0"/>
        <v>53.990005399004467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44.69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9.3000000000000007</v>
      </c>
      <c r="Q28" s="8" t="str">
        <f t="shared" si="9"/>
        <v>2022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13.2</v>
      </c>
      <c r="X28" s="22">
        <v>9.1999999999999993</v>
      </c>
      <c r="Y28" s="22">
        <v>9.3000000000000007</v>
      </c>
      <c r="Z28" s="22">
        <v>12.99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 t="shared" si="14"/>
        <v>9.3000000000000007</v>
      </c>
      <c r="AN28" s="38">
        <f t="shared" si="15"/>
        <v>12.99</v>
      </c>
      <c r="AO28" s="40">
        <f t="shared" si="16"/>
        <v>44.69</v>
      </c>
      <c r="AP28" s="40" t="str">
        <f t="shared" si="17"/>
        <v/>
      </c>
      <c r="AQ28" s="40" t="str">
        <f t="shared" si="18"/>
        <v/>
      </c>
      <c r="AR28" s="40" t="str">
        <f t="shared" si="19"/>
        <v/>
      </c>
      <c r="AS28" s="40">
        <f t="shared" si="20"/>
        <v>44.69</v>
      </c>
      <c r="AT28" s="40" t="str">
        <f t="shared" si="21"/>
        <v/>
      </c>
      <c r="AU28" s="40" t="str">
        <f t="shared" si="22"/>
        <v/>
      </c>
      <c r="AV28" s="40" t="str">
        <f t="shared" si="23"/>
        <v/>
      </c>
      <c r="AW28" s="40">
        <f t="shared" si="24"/>
        <v>44.69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5"/>
        <v/>
      </c>
      <c r="BO28" s="39" t="str">
        <f t="shared" si="26"/>
        <v/>
      </c>
      <c r="BP28" s="11" t="str">
        <f t="shared" si="27"/>
        <v/>
      </c>
      <c r="BQ28" s="11" t="str">
        <f t="shared" si="28"/>
        <v/>
      </c>
      <c r="BR28" s="11" t="str">
        <f t="shared" si="29"/>
        <v/>
      </c>
      <c r="BS28" s="11" t="str">
        <f t="shared" si="30"/>
        <v/>
      </c>
      <c r="BT28" s="11" t="str">
        <f t="shared" si="31"/>
        <v/>
      </c>
      <c r="BU28" s="11" t="str">
        <f t="shared" si="32"/>
        <v/>
      </c>
      <c r="BV28" s="11" t="str">
        <f t="shared" si="33"/>
        <v/>
      </c>
      <c r="BW28" s="11" t="str">
        <f t="shared" si="34"/>
        <v/>
      </c>
      <c r="BX28" s="11" t="str">
        <f t="shared" si="35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6"/>
        <v/>
      </c>
      <c r="CP28" s="38" t="str">
        <f t="shared" si="37"/>
        <v/>
      </c>
      <c r="CQ28" s="40" t="str">
        <f t="shared" si="38"/>
        <v/>
      </c>
      <c r="CR28" s="40" t="str">
        <f t="shared" si="39"/>
        <v/>
      </c>
      <c r="CS28" s="40" t="str">
        <f t="shared" si="40"/>
        <v/>
      </c>
      <c r="CT28" s="40" t="str">
        <f t="shared" si="41"/>
        <v/>
      </c>
      <c r="CU28" s="40" t="str">
        <f t="shared" si="42"/>
        <v/>
      </c>
      <c r="CV28" s="40" t="str">
        <f t="shared" si="43"/>
        <v/>
      </c>
      <c r="CW28" s="40" t="str">
        <f t="shared" si="44"/>
        <v/>
      </c>
      <c r="CX28" s="40" t="str">
        <f t="shared" si="45"/>
        <v/>
      </c>
      <c r="CY28" s="40" t="str">
        <f t="shared" si="46"/>
        <v/>
      </c>
      <c r="CZ28" s="50" t="str">
        <f t="shared" si="47"/>
        <v/>
      </c>
      <c r="DA28" s="50" t="str">
        <f t="shared" si="48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9"/>
        <v/>
      </c>
      <c r="DW28" s="40" t="str">
        <f t="shared" si="50"/>
        <v/>
      </c>
      <c r="DX28" s="40" t="str">
        <f t="shared" si="51"/>
        <v/>
      </c>
      <c r="DY28" s="40" t="str">
        <f t="shared" si="52"/>
        <v/>
      </c>
      <c r="DZ28" s="40" t="str">
        <f t="shared" si="53"/>
        <v/>
      </c>
      <c r="EA28" s="40" t="str">
        <f t="shared" si="54"/>
        <v/>
      </c>
      <c r="EB28" s="40" t="str">
        <f t="shared" si="55"/>
        <v/>
      </c>
      <c r="EC28" s="40" t="str">
        <f t="shared" si="56"/>
        <v/>
      </c>
      <c r="ED28" s="40" t="str">
        <f t="shared" si="57"/>
        <v/>
      </c>
      <c r="EE28" s="40" t="str">
        <f t="shared" si="58"/>
        <v/>
      </c>
      <c r="EF28" s="40" t="str">
        <f t="shared" si="59"/>
        <v/>
      </c>
      <c r="EG28" s="40" t="str">
        <f t="shared" si="60"/>
        <v/>
      </c>
      <c r="EH28" s="40" t="str">
        <f t="shared" si="61"/>
        <v/>
      </c>
      <c r="EI28" s="40" t="str">
        <f t="shared" si="62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3"/>
        <v/>
      </c>
      <c r="FE28" s="11" t="str">
        <f t="shared" si="64"/>
        <v/>
      </c>
      <c r="FF28" s="11" t="str">
        <f t="shared" si="65"/>
        <v/>
      </c>
      <c r="FG28" s="11" t="str">
        <f t="shared" si="66"/>
        <v/>
      </c>
      <c r="FH28" s="11" t="str">
        <f t="shared" si="67"/>
        <v/>
      </c>
      <c r="FI28" s="11" t="str">
        <f t="shared" si="68"/>
        <v/>
      </c>
      <c r="FJ28" s="11" t="str">
        <f t="shared" si="69"/>
        <v/>
      </c>
      <c r="FK28" s="11" t="str">
        <f t="shared" si="70"/>
        <v/>
      </c>
      <c r="FL28" s="11" t="str">
        <f t="shared" si="71"/>
        <v/>
      </c>
      <c r="FM28" s="11" t="str">
        <f t="shared" si="72"/>
        <v/>
      </c>
      <c r="FN28" s="11" t="str">
        <f t="shared" si="73"/>
        <v/>
      </c>
      <c r="FO28" s="11" t="str">
        <f t="shared" si="74"/>
        <v/>
      </c>
      <c r="FP28" s="11" t="str">
        <f t="shared" si="75"/>
        <v/>
      </c>
      <c r="FQ28" s="11" t="str">
        <f t="shared" si="76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7"/>
        <v/>
      </c>
      <c r="GM28" s="40" t="str">
        <f t="shared" si="78"/>
        <v/>
      </c>
      <c r="GN28" s="40" t="str">
        <f t="shared" si="79"/>
        <v/>
      </c>
      <c r="GO28" s="40" t="str">
        <f t="shared" si="80"/>
        <v/>
      </c>
      <c r="GP28" s="40" t="str">
        <f t="shared" si="81"/>
        <v/>
      </c>
      <c r="GQ28" s="40" t="str">
        <f t="shared" si="82"/>
        <v/>
      </c>
      <c r="GR28" s="40" t="str">
        <f t="shared" si="83"/>
        <v/>
      </c>
      <c r="GS28" s="40" t="str">
        <f t="shared" si="84"/>
        <v/>
      </c>
      <c r="GT28" s="40" t="str">
        <f t="shared" si="85"/>
        <v/>
      </c>
      <c r="GU28" s="40" t="str">
        <f t="shared" si="86"/>
        <v/>
      </c>
      <c r="GV28" s="40" t="str">
        <f t="shared" si="87"/>
        <v/>
      </c>
      <c r="GW28" s="40" t="str">
        <f t="shared" si="88"/>
        <v/>
      </c>
      <c r="GX28" s="40" t="str">
        <f t="shared" si="89"/>
        <v/>
      </c>
      <c r="GY28" s="40" t="str">
        <f t="shared" si="90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1"/>
        <v/>
      </c>
      <c r="HU28" s="11" t="str">
        <f t="shared" si="92"/>
        <v/>
      </c>
      <c r="HV28" s="11" t="str">
        <f t="shared" si="93"/>
        <v/>
      </c>
      <c r="HW28" s="11" t="str">
        <f t="shared" si="94"/>
        <v/>
      </c>
      <c r="HX28" s="11" t="str">
        <f t="shared" si="95"/>
        <v/>
      </c>
      <c r="HY28" s="11" t="str">
        <f t="shared" si="96"/>
        <v/>
      </c>
      <c r="HZ28" s="11" t="str">
        <f t="shared" si="97"/>
        <v/>
      </c>
      <c r="IA28" s="11" t="str">
        <f t="shared" si="98"/>
        <v/>
      </c>
      <c r="IB28" s="11" t="str">
        <f t="shared" si="99"/>
        <v/>
      </c>
      <c r="IC28" s="11" t="str">
        <f t="shared" si="100"/>
        <v/>
      </c>
      <c r="ID28" s="11" t="str">
        <f t="shared" si="101"/>
        <v/>
      </c>
      <c r="IE28" s="11" t="str">
        <f t="shared" si="102"/>
        <v/>
      </c>
      <c r="IF28" s="11" t="str">
        <f t="shared" si="103"/>
        <v/>
      </c>
      <c r="IG28" s="11" t="str">
        <f t="shared" si="104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5"/>
        <v/>
      </c>
      <c r="JC28" s="40" t="str">
        <f t="shared" si="106"/>
        <v/>
      </c>
      <c r="JD28" s="40" t="str">
        <f t="shared" si="107"/>
        <v/>
      </c>
      <c r="JE28" s="40" t="str">
        <f t="shared" si="108"/>
        <v/>
      </c>
      <c r="JF28" s="40" t="str">
        <f t="shared" si="109"/>
        <v/>
      </c>
      <c r="JG28" s="40" t="str">
        <f t="shared" si="110"/>
        <v/>
      </c>
      <c r="JH28" s="40" t="str">
        <f t="shared" si="111"/>
        <v/>
      </c>
      <c r="JI28" s="40" t="str">
        <f t="shared" si="112"/>
        <v/>
      </c>
      <c r="JJ28" s="40" t="str">
        <f t="shared" si="113"/>
        <v/>
      </c>
      <c r="JK28" s="40" t="str">
        <f t="shared" si="114"/>
        <v/>
      </c>
      <c r="JL28" s="40" t="str">
        <f t="shared" si="115"/>
        <v/>
      </c>
      <c r="JM28" s="40" t="str">
        <f t="shared" si="116"/>
        <v/>
      </c>
      <c r="JN28" s="40" t="str">
        <f t="shared" si="117"/>
        <v/>
      </c>
      <c r="JO28" s="40" t="str">
        <f t="shared" si="118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9"/>
        <v/>
      </c>
      <c r="KK28" s="11" t="str">
        <f t="shared" si="120"/>
        <v/>
      </c>
      <c r="KL28" s="11" t="str">
        <f t="shared" si="121"/>
        <v/>
      </c>
      <c r="KM28" s="11" t="str">
        <f t="shared" si="122"/>
        <v/>
      </c>
      <c r="KN28" s="11" t="str">
        <f t="shared" si="123"/>
        <v/>
      </c>
      <c r="KO28" s="11" t="str">
        <f t="shared" si="124"/>
        <v/>
      </c>
      <c r="KP28" s="11" t="str">
        <f t="shared" si="125"/>
        <v/>
      </c>
      <c r="KQ28" s="11" t="str">
        <f t="shared" si="126"/>
        <v/>
      </c>
      <c r="KR28" s="11" t="str">
        <f t="shared" si="127"/>
        <v/>
      </c>
      <c r="KS28" s="11" t="str">
        <f t="shared" si="128"/>
        <v/>
      </c>
      <c r="KT28" s="11" t="str">
        <f t="shared" si="129"/>
        <v/>
      </c>
      <c r="KU28" s="11" t="str">
        <f t="shared" si="130"/>
        <v/>
      </c>
      <c r="KV28" s="11" t="str">
        <f t="shared" si="131"/>
        <v/>
      </c>
      <c r="KW28" s="11" t="str">
        <f t="shared" si="132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3"/>
        <v/>
      </c>
      <c r="LS28" s="40" t="str">
        <f t="shared" si="134"/>
        <v/>
      </c>
      <c r="LT28" s="40" t="str">
        <f t="shared" si="135"/>
        <v/>
      </c>
      <c r="LU28" s="40" t="str">
        <f t="shared" si="136"/>
        <v/>
      </c>
      <c r="LV28" s="40" t="str">
        <f t="shared" si="137"/>
        <v/>
      </c>
      <c r="LW28" s="40" t="str">
        <f t="shared" si="138"/>
        <v/>
      </c>
      <c r="LX28" s="40" t="str">
        <f t="shared" si="139"/>
        <v/>
      </c>
      <c r="LY28" s="40" t="str">
        <f t="shared" si="140"/>
        <v/>
      </c>
      <c r="LZ28" s="40" t="str">
        <f t="shared" si="141"/>
        <v/>
      </c>
      <c r="MA28" s="40" t="str">
        <f t="shared" si="142"/>
        <v/>
      </c>
      <c r="MB28" s="40" t="str">
        <f t="shared" si="143"/>
        <v/>
      </c>
      <c r="MC28" s="40" t="str">
        <f t="shared" si="144"/>
        <v/>
      </c>
      <c r="MD28" s="40" t="str">
        <f t="shared" si="145"/>
        <v/>
      </c>
      <c r="ME28" s="40" t="str">
        <f t="shared" si="146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7"/>
        <v/>
      </c>
      <c r="NA28" s="11" t="str">
        <f t="shared" si="148"/>
        <v/>
      </c>
      <c r="NB28" s="11" t="str">
        <f t="shared" si="149"/>
        <v/>
      </c>
      <c r="NC28" s="11" t="str">
        <f t="shared" si="150"/>
        <v/>
      </c>
      <c r="ND28" s="11" t="str">
        <f t="shared" si="151"/>
        <v/>
      </c>
      <c r="NE28" s="11" t="str">
        <f t="shared" si="152"/>
        <v/>
      </c>
      <c r="NF28" s="11" t="str">
        <f t="shared" si="153"/>
        <v/>
      </c>
      <c r="NG28" s="11" t="str">
        <f t="shared" si="154"/>
        <v/>
      </c>
      <c r="NH28" s="11" t="str">
        <f t="shared" si="155"/>
        <v/>
      </c>
      <c r="NI28" s="11" t="str">
        <f t="shared" si="156"/>
        <v/>
      </c>
      <c r="NJ28" s="11" t="str">
        <f t="shared" si="157"/>
        <v/>
      </c>
      <c r="NK28" s="11" t="str">
        <f t="shared" si="158"/>
        <v/>
      </c>
      <c r="NL28" s="11" t="str">
        <f t="shared" si="159"/>
        <v/>
      </c>
      <c r="NM28" s="11" t="str">
        <f t="shared" si="160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1"/>
        <v/>
      </c>
      <c r="OI28" s="40" t="str">
        <f t="shared" si="162"/>
        <v/>
      </c>
      <c r="OJ28" s="40" t="str">
        <f t="shared" si="163"/>
        <v/>
      </c>
      <c r="OK28" s="40" t="str">
        <f t="shared" si="164"/>
        <v/>
      </c>
      <c r="OL28" s="40" t="str">
        <f t="shared" si="165"/>
        <v/>
      </c>
      <c r="OM28" s="40" t="str">
        <f t="shared" si="166"/>
        <v/>
      </c>
      <c r="ON28" s="40" t="str">
        <f t="shared" si="167"/>
        <v/>
      </c>
      <c r="OO28" s="40" t="str">
        <f t="shared" si="168"/>
        <v/>
      </c>
      <c r="OP28" s="40" t="str">
        <f t="shared" si="169"/>
        <v/>
      </c>
      <c r="OQ28" s="40" t="str">
        <f t="shared" si="170"/>
        <v/>
      </c>
      <c r="OR28" s="40" t="str">
        <f t="shared" si="171"/>
        <v/>
      </c>
      <c r="OS28" s="40" t="str">
        <f t="shared" si="172"/>
        <v/>
      </c>
      <c r="OT28" s="40" t="str">
        <f t="shared" si="173"/>
        <v/>
      </c>
      <c r="OU28" s="40" t="str">
        <f t="shared" si="174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5"/>
        <v/>
      </c>
      <c r="PQ28" s="11" t="str">
        <f t="shared" si="176"/>
        <v/>
      </c>
      <c r="PR28" s="11" t="str">
        <f t="shared" si="177"/>
        <v/>
      </c>
      <c r="PS28" s="11" t="str">
        <f t="shared" si="178"/>
        <v/>
      </c>
      <c r="PT28" s="11" t="str">
        <f t="shared" si="179"/>
        <v/>
      </c>
      <c r="PU28" s="11" t="str">
        <f t="shared" si="180"/>
        <v/>
      </c>
      <c r="PV28" s="11" t="str">
        <f t="shared" si="181"/>
        <v/>
      </c>
      <c r="PW28" s="11" t="str">
        <f t="shared" si="182"/>
        <v/>
      </c>
      <c r="PX28" s="11" t="str">
        <f t="shared" si="183"/>
        <v/>
      </c>
      <c r="PY28" s="11" t="str">
        <f t="shared" si="184"/>
        <v/>
      </c>
      <c r="PZ28" s="11" t="str">
        <f t="shared" si="185"/>
        <v/>
      </c>
      <c r="QA28" s="11" t="str">
        <f t="shared" si="186"/>
        <v/>
      </c>
      <c r="QB28" s="11" t="str">
        <f t="shared" si="187"/>
        <v/>
      </c>
      <c r="QC28" s="11" t="str">
        <f t="shared" si="188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9"/>
        <v/>
      </c>
      <c r="QY28" s="40" t="str">
        <f t="shared" si="190"/>
        <v/>
      </c>
      <c r="QZ28" s="40" t="str">
        <f t="shared" si="191"/>
        <v/>
      </c>
      <c r="RA28" s="40" t="str">
        <f t="shared" si="192"/>
        <v/>
      </c>
      <c r="RB28" s="40" t="str">
        <f t="shared" si="193"/>
        <v/>
      </c>
      <c r="RC28" s="40" t="str">
        <f t="shared" si="194"/>
        <v/>
      </c>
      <c r="RD28" s="40" t="str">
        <f t="shared" si="195"/>
        <v/>
      </c>
      <c r="RE28" s="40" t="str">
        <f t="shared" si="196"/>
        <v/>
      </c>
      <c r="RF28" s="40" t="str">
        <f t="shared" si="197"/>
        <v/>
      </c>
      <c r="RG28" s="40" t="str">
        <f t="shared" si="198"/>
        <v/>
      </c>
      <c r="RH28" s="40" t="str">
        <f t="shared" si="199"/>
        <v/>
      </c>
      <c r="RI28" s="40" t="str">
        <f t="shared" si="200"/>
        <v/>
      </c>
      <c r="RJ28" s="40" t="str">
        <f t="shared" si="201"/>
        <v/>
      </c>
      <c r="RK28" s="40" t="str">
        <f t="shared" si="202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3"/>
        <v/>
      </c>
      <c r="SG28" s="11" t="str">
        <f t="shared" si="204"/>
        <v/>
      </c>
      <c r="SH28" s="11" t="str">
        <f t="shared" si="205"/>
        <v/>
      </c>
      <c r="SI28" s="11" t="str">
        <f t="shared" si="206"/>
        <v/>
      </c>
      <c r="SJ28" s="11" t="str">
        <f t="shared" si="207"/>
        <v/>
      </c>
      <c r="SK28" s="11" t="str">
        <f t="shared" si="208"/>
        <v/>
      </c>
      <c r="SL28" s="11" t="str">
        <f t="shared" si="209"/>
        <v/>
      </c>
      <c r="SM28" s="11" t="str">
        <f t="shared" si="210"/>
        <v/>
      </c>
      <c r="SN28" s="11" t="str">
        <f t="shared" si="211"/>
        <v/>
      </c>
      <c r="SO28" s="11" t="str">
        <f t="shared" si="212"/>
        <v/>
      </c>
      <c r="SP28" s="11" t="str">
        <f t="shared" si="213"/>
        <v/>
      </c>
      <c r="SQ28" s="11" t="str">
        <f t="shared" si="214"/>
        <v/>
      </c>
      <c r="SR28" s="11" t="str">
        <f t="shared" si="215"/>
        <v/>
      </c>
      <c r="SS28" s="11" t="str">
        <f t="shared" si="216"/>
        <v/>
      </c>
      <c r="ST28" s="22">
        <f t="shared" si="217"/>
        <v>0</v>
      </c>
      <c r="SU28" s="22">
        <f t="shared" si="218"/>
        <v>0</v>
      </c>
      <c r="SV28" s="22">
        <f t="shared" si="219"/>
        <v>0</v>
      </c>
      <c r="SW28" s="22">
        <f t="shared" si="220"/>
        <v>0</v>
      </c>
      <c r="SX28" s="22">
        <f t="shared" si="221"/>
        <v>0</v>
      </c>
      <c r="SY28" s="22">
        <f t="shared" si="222"/>
        <v>0</v>
      </c>
      <c r="SZ28" s="22">
        <f t="shared" si="223"/>
        <v>0</v>
      </c>
      <c r="TA28" s="22">
        <f t="shared" si="224"/>
        <v>0</v>
      </c>
      <c r="TB28" s="22">
        <f t="shared" si="225"/>
        <v>0</v>
      </c>
      <c r="TC28" s="22">
        <f t="shared" si="226"/>
        <v>0</v>
      </c>
      <c r="TD28" s="22">
        <f t="shared" si="227"/>
        <v>0</v>
      </c>
      <c r="TE28" s="22">
        <f t="shared" si="228"/>
        <v>0</v>
      </c>
      <c r="TF28" s="22">
        <f t="shared" si="229"/>
        <v>0</v>
      </c>
      <c r="TG28" s="22">
        <f t="shared" si="230"/>
        <v>0</v>
      </c>
      <c r="TH28" s="22">
        <f t="shared" si="231"/>
        <v>0</v>
      </c>
      <c r="TI28" s="27" t="s">
        <v>46</v>
      </c>
      <c r="TJ28" s="40" t="str">
        <f t="shared" si="232"/>
        <v/>
      </c>
      <c r="TK28" s="40" t="str">
        <f t="shared" si="233"/>
        <v/>
      </c>
      <c r="TL28" s="40" t="str">
        <f t="shared" si="234"/>
        <v/>
      </c>
      <c r="TM28" s="40" t="str">
        <f t="shared" si="235"/>
        <v/>
      </c>
      <c r="TN28" s="40" t="str">
        <f t="shared" si="236"/>
        <v/>
      </c>
      <c r="TO28" s="40" t="str">
        <f t="shared" si="237"/>
        <v/>
      </c>
      <c r="TP28" s="40" t="str">
        <f t="shared" si="238"/>
        <v/>
      </c>
      <c r="TQ28" s="40" t="str">
        <f t="shared" si="239"/>
        <v/>
      </c>
      <c r="TR28" s="40" t="str">
        <f t="shared" si="240"/>
        <v/>
      </c>
      <c r="TS28" s="40" t="str">
        <f t="shared" si="241"/>
        <v/>
      </c>
      <c r="TT28" s="40" t="str">
        <f t="shared" si="242"/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161</v>
      </c>
      <c r="C29" s="4" t="s">
        <v>31</v>
      </c>
      <c r="D29" s="4">
        <v>2003</v>
      </c>
      <c r="E29" s="9">
        <f t="shared" si="0"/>
        <v>36.670003667003002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29.97</v>
      </c>
      <c r="K29" s="8" t="str">
        <f t="shared" si="5"/>
        <v>2022 Nationals</v>
      </c>
      <c r="L29" s="8">
        <f>IF(COUNT(AO29,AR29,BP29,BS29,CQ29,CT29)&gt;1,LARGE((AO29,AR29,BP29,BS29,CQ29,CT29),2),0)</f>
        <v>0</v>
      </c>
      <c r="M29" s="8" t="str">
        <f t="shared" si="6"/>
        <v/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6.7</v>
      </c>
      <c r="Q29" s="8" t="str">
        <f t="shared" si="9"/>
        <v>2022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 t="shared" si="14"/>
        <v>6.7</v>
      </c>
      <c r="AN29" s="38">
        <f t="shared" si="15"/>
        <v>7.87</v>
      </c>
      <c r="AO29" s="40">
        <f t="shared" si="16"/>
        <v>29.97</v>
      </c>
      <c r="AP29" s="40" t="str">
        <f t="shared" si="17"/>
        <v/>
      </c>
      <c r="AQ29" s="40" t="str">
        <f t="shared" si="18"/>
        <v/>
      </c>
      <c r="AR29" s="40" t="str">
        <f t="shared" si="19"/>
        <v/>
      </c>
      <c r="AS29" s="40">
        <f t="shared" si="20"/>
        <v>29.97</v>
      </c>
      <c r="AT29" s="40" t="str">
        <f t="shared" si="21"/>
        <v/>
      </c>
      <c r="AU29" s="40" t="str">
        <f t="shared" si="22"/>
        <v/>
      </c>
      <c r="AV29" s="40" t="str">
        <f t="shared" si="23"/>
        <v/>
      </c>
      <c r="AW29" s="40">
        <f t="shared" si="24"/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5"/>
        <v/>
      </c>
      <c r="BO29" s="39" t="str">
        <f t="shared" si="26"/>
        <v/>
      </c>
      <c r="BP29" s="11" t="str">
        <f t="shared" si="27"/>
        <v/>
      </c>
      <c r="BQ29" s="11" t="str">
        <f t="shared" si="28"/>
        <v/>
      </c>
      <c r="BR29" s="11" t="str">
        <f t="shared" si="29"/>
        <v/>
      </c>
      <c r="BS29" s="11" t="str">
        <f t="shared" si="30"/>
        <v/>
      </c>
      <c r="BT29" s="11" t="str">
        <f t="shared" si="31"/>
        <v/>
      </c>
      <c r="BU29" s="11" t="str">
        <f t="shared" si="32"/>
        <v/>
      </c>
      <c r="BV29" s="11" t="str">
        <f t="shared" si="33"/>
        <v/>
      </c>
      <c r="BW29" s="11" t="str">
        <f t="shared" si="34"/>
        <v/>
      </c>
      <c r="BX29" s="11" t="str">
        <f t="shared" si="35"/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6"/>
        <v/>
      </c>
      <c r="CP29" s="38" t="str">
        <f t="shared" si="37"/>
        <v/>
      </c>
      <c r="CQ29" s="40" t="str">
        <f t="shared" si="38"/>
        <v/>
      </c>
      <c r="CR29" s="40" t="str">
        <f t="shared" si="39"/>
        <v/>
      </c>
      <c r="CS29" s="40" t="str">
        <f t="shared" si="40"/>
        <v/>
      </c>
      <c r="CT29" s="40" t="str">
        <f t="shared" si="41"/>
        <v/>
      </c>
      <c r="CU29" s="40" t="str">
        <f t="shared" si="42"/>
        <v/>
      </c>
      <c r="CV29" s="40" t="str">
        <f t="shared" si="43"/>
        <v/>
      </c>
      <c r="CW29" s="40" t="str">
        <f t="shared" si="44"/>
        <v/>
      </c>
      <c r="CX29" s="40" t="str">
        <f t="shared" si="45"/>
        <v/>
      </c>
      <c r="CY29" s="40" t="str">
        <f t="shared" si="46"/>
        <v/>
      </c>
      <c r="CZ29" s="50" t="str">
        <f t="shared" si="47"/>
        <v/>
      </c>
      <c r="DA29" s="50" t="str">
        <f t="shared" si="48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9"/>
        <v/>
      </c>
      <c r="DW29" s="40" t="str">
        <f t="shared" si="50"/>
        <v/>
      </c>
      <c r="DX29" s="40" t="str">
        <f t="shared" si="51"/>
        <v/>
      </c>
      <c r="DY29" s="40" t="str">
        <f t="shared" si="52"/>
        <v/>
      </c>
      <c r="DZ29" s="40" t="str">
        <f t="shared" si="53"/>
        <v/>
      </c>
      <c r="EA29" s="40" t="str">
        <f t="shared" si="54"/>
        <v/>
      </c>
      <c r="EB29" s="40" t="str">
        <f t="shared" si="55"/>
        <v/>
      </c>
      <c r="EC29" s="40" t="str">
        <f t="shared" si="56"/>
        <v/>
      </c>
      <c r="ED29" s="40" t="str">
        <f t="shared" si="57"/>
        <v/>
      </c>
      <c r="EE29" s="40" t="str">
        <f t="shared" si="58"/>
        <v/>
      </c>
      <c r="EF29" s="40" t="str">
        <f t="shared" si="59"/>
        <v/>
      </c>
      <c r="EG29" s="40" t="str">
        <f t="shared" si="60"/>
        <v/>
      </c>
      <c r="EH29" s="40" t="str">
        <f t="shared" si="61"/>
        <v/>
      </c>
      <c r="EI29" s="40" t="str">
        <f t="shared" si="62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3"/>
        <v/>
      </c>
      <c r="FE29" s="11" t="str">
        <f t="shared" si="64"/>
        <v/>
      </c>
      <c r="FF29" s="11" t="str">
        <f t="shared" si="65"/>
        <v/>
      </c>
      <c r="FG29" s="11" t="str">
        <f t="shared" si="66"/>
        <v/>
      </c>
      <c r="FH29" s="11" t="str">
        <f t="shared" si="67"/>
        <v/>
      </c>
      <c r="FI29" s="11" t="str">
        <f t="shared" si="68"/>
        <v/>
      </c>
      <c r="FJ29" s="11" t="str">
        <f t="shared" si="69"/>
        <v/>
      </c>
      <c r="FK29" s="11" t="str">
        <f t="shared" si="70"/>
        <v/>
      </c>
      <c r="FL29" s="11" t="str">
        <f t="shared" si="71"/>
        <v/>
      </c>
      <c r="FM29" s="11" t="str">
        <f t="shared" si="72"/>
        <v/>
      </c>
      <c r="FN29" s="11" t="str">
        <f t="shared" si="73"/>
        <v/>
      </c>
      <c r="FO29" s="11" t="str">
        <f t="shared" si="74"/>
        <v/>
      </c>
      <c r="FP29" s="11" t="str">
        <f t="shared" si="75"/>
        <v/>
      </c>
      <c r="FQ29" s="11" t="str">
        <f t="shared" si="76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7"/>
        <v/>
      </c>
      <c r="GM29" s="40" t="str">
        <f t="shared" si="78"/>
        <v/>
      </c>
      <c r="GN29" s="40" t="str">
        <f t="shared" si="79"/>
        <v/>
      </c>
      <c r="GO29" s="40" t="str">
        <f t="shared" si="80"/>
        <v/>
      </c>
      <c r="GP29" s="40" t="str">
        <f t="shared" si="81"/>
        <v/>
      </c>
      <c r="GQ29" s="40" t="str">
        <f t="shared" si="82"/>
        <v/>
      </c>
      <c r="GR29" s="40" t="str">
        <f t="shared" si="83"/>
        <v/>
      </c>
      <c r="GS29" s="40" t="str">
        <f t="shared" si="84"/>
        <v/>
      </c>
      <c r="GT29" s="40" t="str">
        <f t="shared" si="85"/>
        <v/>
      </c>
      <c r="GU29" s="40" t="str">
        <f t="shared" si="86"/>
        <v/>
      </c>
      <c r="GV29" s="40" t="str">
        <f t="shared" si="87"/>
        <v/>
      </c>
      <c r="GW29" s="40" t="str">
        <f t="shared" si="88"/>
        <v/>
      </c>
      <c r="GX29" s="40" t="str">
        <f t="shared" si="89"/>
        <v/>
      </c>
      <c r="GY29" s="40" t="str">
        <f t="shared" si="90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1"/>
        <v/>
      </c>
      <c r="HU29" s="11" t="str">
        <f t="shared" si="92"/>
        <v/>
      </c>
      <c r="HV29" s="11" t="str">
        <f t="shared" si="93"/>
        <v/>
      </c>
      <c r="HW29" s="11" t="str">
        <f t="shared" si="94"/>
        <v/>
      </c>
      <c r="HX29" s="11" t="str">
        <f t="shared" si="95"/>
        <v/>
      </c>
      <c r="HY29" s="11" t="str">
        <f t="shared" si="96"/>
        <v/>
      </c>
      <c r="HZ29" s="11" t="str">
        <f t="shared" si="97"/>
        <v/>
      </c>
      <c r="IA29" s="11" t="str">
        <f t="shared" si="98"/>
        <v/>
      </c>
      <c r="IB29" s="11" t="str">
        <f t="shared" si="99"/>
        <v/>
      </c>
      <c r="IC29" s="11" t="str">
        <f t="shared" si="100"/>
        <v/>
      </c>
      <c r="ID29" s="11" t="str">
        <f t="shared" si="101"/>
        <v/>
      </c>
      <c r="IE29" s="11" t="str">
        <f t="shared" si="102"/>
        <v/>
      </c>
      <c r="IF29" s="11" t="str">
        <f t="shared" si="103"/>
        <v/>
      </c>
      <c r="IG29" s="11" t="str">
        <f t="shared" si="104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5"/>
        <v/>
      </c>
      <c r="JC29" s="40" t="str">
        <f t="shared" si="106"/>
        <v/>
      </c>
      <c r="JD29" s="40" t="str">
        <f t="shared" si="107"/>
        <v/>
      </c>
      <c r="JE29" s="40" t="str">
        <f t="shared" si="108"/>
        <v/>
      </c>
      <c r="JF29" s="40" t="str">
        <f t="shared" si="109"/>
        <v/>
      </c>
      <c r="JG29" s="40" t="str">
        <f t="shared" si="110"/>
        <v/>
      </c>
      <c r="JH29" s="40" t="str">
        <f t="shared" si="111"/>
        <v/>
      </c>
      <c r="JI29" s="40" t="str">
        <f t="shared" si="112"/>
        <v/>
      </c>
      <c r="JJ29" s="40" t="str">
        <f t="shared" si="113"/>
        <v/>
      </c>
      <c r="JK29" s="40" t="str">
        <f t="shared" si="114"/>
        <v/>
      </c>
      <c r="JL29" s="40" t="str">
        <f t="shared" si="115"/>
        <v/>
      </c>
      <c r="JM29" s="40" t="str">
        <f t="shared" si="116"/>
        <v/>
      </c>
      <c r="JN29" s="40" t="str">
        <f t="shared" si="117"/>
        <v/>
      </c>
      <c r="JO29" s="40" t="str">
        <f t="shared" si="118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9"/>
        <v/>
      </c>
      <c r="KK29" s="11" t="str">
        <f t="shared" si="120"/>
        <v/>
      </c>
      <c r="KL29" s="11" t="str">
        <f t="shared" si="121"/>
        <v/>
      </c>
      <c r="KM29" s="11" t="str">
        <f t="shared" si="122"/>
        <v/>
      </c>
      <c r="KN29" s="11" t="str">
        <f t="shared" si="123"/>
        <v/>
      </c>
      <c r="KO29" s="11" t="str">
        <f t="shared" si="124"/>
        <v/>
      </c>
      <c r="KP29" s="11" t="str">
        <f t="shared" si="125"/>
        <v/>
      </c>
      <c r="KQ29" s="11" t="str">
        <f t="shared" si="126"/>
        <v/>
      </c>
      <c r="KR29" s="11" t="str">
        <f t="shared" si="127"/>
        <v/>
      </c>
      <c r="KS29" s="11" t="str">
        <f t="shared" si="128"/>
        <v/>
      </c>
      <c r="KT29" s="11" t="str">
        <f t="shared" si="129"/>
        <v/>
      </c>
      <c r="KU29" s="11" t="str">
        <f t="shared" si="130"/>
        <v/>
      </c>
      <c r="KV29" s="11" t="str">
        <f t="shared" si="131"/>
        <v/>
      </c>
      <c r="KW29" s="11" t="str">
        <f t="shared" si="132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3"/>
        <v/>
      </c>
      <c r="LS29" s="40" t="str">
        <f t="shared" si="134"/>
        <v/>
      </c>
      <c r="LT29" s="40" t="str">
        <f t="shared" si="135"/>
        <v/>
      </c>
      <c r="LU29" s="40" t="str">
        <f t="shared" si="136"/>
        <v/>
      </c>
      <c r="LV29" s="40" t="str">
        <f t="shared" si="137"/>
        <v/>
      </c>
      <c r="LW29" s="40" t="str">
        <f t="shared" si="138"/>
        <v/>
      </c>
      <c r="LX29" s="40" t="str">
        <f t="shared" si="139"/>
        <v/>
      </c>
      <c r="LY29" s="40" t="str">
        <f t="shared" si="140"/>
        <v/>
      </c>
      <c r="LZ29" s="40" t="str">
        <f t="shared" si="141"/>
        <v/>
      </c>
      <c r="MA29" s="40" t="str">
        <f t="shared" si="142"/>
        <v/>
      </c>
      <c r="MB29" s="40" t="str">
        <f t="shared" si="143"/>
        <v/>
      </c>
      <c r="MC29" s="40" t="str">
        <f t="shared" si="144"/>
        <v/>
      </c>
      <c r="MD29" s="40" t="str">
        <f t="shared" si="145"/>
        <v/>
      </c>
      <c r="ME29" s="40" t="str">
        <f t="shared" si="146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7"/>
        <v/>
      </c>
      <c r="NA29" s="11" t="str">
        <f t="shared" si="148"/>
        <v/>
      </c>
      <c r="NB29" s="11" t="str">
        <f t="shared" si="149"/>
        <v/>
      </c>
      <c r="NC29" s="11" t="str">
        <f t="shared" si="150"/>
        <v/>
      </c>
      <c r="ND29" s="11" t="str">
        <f t="shared" si="151"/>
        <v/>
      </c>
      <c r="NE29" s="11" t="str">
        <f t="shared" si="152"/>
        <v/>
      </c>
      <c r="NF29" s="11" t="str">
        <f t="shared" si="153"/>
        <v/>
      </c>
      <c r="NG29" s="11" t="str">
        <f t="shared" si="154"/>
        <v/>
      </c>
      <c r="NH29" s="11" t="str">
        <f t="shared" si="155"/>
        <v/>
      </c>
      <c r="NI29" s="11" t="str">
        <f t="shared" si="156"/>
        <v/>
      </c>
      <c r="NJ29" s="11" t="str">
        <f t="shared" si="157"/>
        <v/>
      </c>
      <c r="NK29" s="11" t="str">
        <f t="shared" si="158"/>
        <v/>
      </c>
      <c r="NL29" s="11" t="str">
        <f t="shared" si="159"/>
        <v/>
      </c>
      <c r="NM29" s="11" t="str">
        <f t="shared" si="160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1"/>
        <v/>
      </c>
      <c r="OI29" s="40" t="str">
        <f t="shared" si="162"/>
        <v/>
      </c>
      <c r="OJ29" s="40" t="str">
        <f t="shared" si="163"/>
        <v/>
      </c>
      <c r="OK29" s="40" t="str">
        <f t="shared" si="164"/>
        <v/>
      </c>
      <c r="OL29" s="40" t="str">
        <f t="shared" si="165"/>
        <v/>
      </c>
      <c r="OM29" s="40" t="str">
        <f t="shared" si="166"/>
        <v/>
      </c>
      <c r="ON29" s="40" t="str">
        <f t="shared" si="167"/>
        <v/>
      </c>
      <c r="OO29" s="40" t="str">
        <f t="shared" si="168"/>
        <v/>
      </c>
      <c r="OP29" s="40" t="str">
        <f t="shared" si="169"/>
        <v/>
      </c>
      <c r="OQ29" s="40" t="str">
        <f t="shared" si="170"/>
        <v/>
      </c>
      <c r="OR29" s="40" t="str">
        <f t="shared" si="171"/>
        <v/>
      </c>
      <c r="OS29" s="40" t="str">
        <f t="shared" si="172"/>
        <v/>
      </c>
      <c r="OT29" s="40" t="str">
        <f t="shared" si="173"/>
        <v/>
      </c>
      <c r="OU29" s="40" t="str">
        <f t="shared" si="174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5"/>
        <v/>
      </c>
      <c r="PQ29" s="11" t="str">
        <f t="shared" si="176"/>
        <v/>
      </c>
      <c r="PR29" s="11" t="str">
        <f t="shared" si="177"/>
        <v/>
      </c>
      <c r="PS29" s="11" t="str">
        <f t="shared" si="178"/>
        <v/>
      </c>
      <c r="PT29" s="11" t="str">
        <f t="shared" si="179"/>
        <v/>
      </c>
      <c r="PU29" s="11" t="str">
        <f t="shared" si="180"/>
        <v/>
      </c>
      <c r="PV29" s="11" t="str">
        <f t="shared" si="181"/>
        <v/>
      </c>
      <c r="PW29" s="11" t="str">
        <f t="shared" si="182"/>
        <v/>
      </c>
      <c r="PX29" s="11" t="str">
        <f t="shared" si="183"/>
        <v/>
      </c>
      <c r="PY29" s="11" t="str">
        <f t="shared" si="184"/>
        <v/>
      </c>
      <c r="PZ29" s="11" t="str">
        <f t="shared" si="185"/>
        <v/>
      </c>
      <c r="QA29" s="11" t="str">
        <f t="shared" si="186"/>
        <v/>
      </c>
      <c r="QB29" s="11" t="str">
        <f t="shared" si="187"/>
        <v/>
      </c>
      <c r="QC29" s="11" t="str">
        <f t="shared" si="188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9"/>
        <v/>
      </c>
      <c r="QY29" s="40" t="str">
        <f t="shared" si="190"/>
        <v/>
      </c>
      <c r="QZ29" s="40" t="str">
        <f t="shared" si="191"/>
        <v/>
      </c>
      <c r="RA29" s="40" t="str">
        <f t="shared" si="192"/>
        <v/>
      </c>
      <c r="RB29" s="40" t="str">
        <f t="shared" si="193"/>
        <v/>
      </c>
      <c r="RC29" s="40" t="str">
        <f t="shared" si="194"/>
        <v/>
      </c>
      <c r="RD29" s="40" t="str">
        <f t="shared" si="195"/>
        <v/>
      </c>
      <c r="RE29" s="40" t="str">
        <f t="shared" si="196"/>
        <v/>
      </c>
      <c r="RF29" s="40" t="str">
        <f t="shared" si="197"/>
        <v/>
      </c>
      <c r="RG29" s="40" t="str">
        <f t="shared" si="198"/>
        <v/>
      </c>
      <c r="RH29" s="40" t="str">
        <f t="shared" si="199"/>
        <v/>
      </c>
      <c r="RI29" s="40" t="str">
        <f t="shared" si="200"/>
        <v/>
      </c>
      <c r="RJ29" s="40" t="str">
        <f t="shared" si="201"/>
        <v/>
      </c>
      <c r="RK29" s="40" t="str">
        <f t="shared" si="202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3"/>
        <v/>
      </c>
      <c r="SG29" s="11" t="str">
        <f t="shared" si="204"/>
        <v/>
      </c>
      <c r="SH29" s="11" t="str">
        <f t="shared" si="205"/>
        <v/>
      </c>
      <c r="SI29" s="11" t="str">
        <f t="shared" si="206"/>
        <v/>
      </c>
      <c r="SJ29" s="11" t="str">
        <f t="shared" si="207"/>
        <v/>
      </c>
      <c r="SK29" s="11" t="str">
        <f t="shared" si="208"/>
        <v/>
      </c>
      <c r="SL29" s="11" t="str">
        <f t="shared" si="209"/>
        <v/>
      </c>
      <c r="SM29" s="11" t="str">
        <f t="shared" si="210"/>
        <v/>
      </c>
      <c r="SN29" s="11" t="str">
        <f t="shared" si="211"/>
        <v/>
      </c>
      <c r="SO29" s="11" t="str">
        <f t="shared" si="212"/>
        <v/>
      </c>
      <c r="SP29" s="11" t="str">
        <f t="shared" si="213"/>
        <v/>
      </c>
      <c r="SQ29" s="11" t="str">
        <f t="shared" si="214"/>
        <v/>
      </c>
      <c r="SR29" s="11" t="str">
        <f t="shared" si="215"/>
        <v/>
      </c>
      <c r="SS29" s="11" t="str">
        <f t="shared" si="216"/>
        <v/>
      </c>
      <c r="ST29" s="22">
        <f t="shared" si="217"/>
        <v>0</v>
      </c>
      <c r="SU29" s="22">
        <f t="shared" si="218"/>
        <v>0</v>
      </c>
      <c r="SV29" s="22">
        <f t="shared" si="219"/>
        <v>0</v>
      </c>
      <c r="SW29" s="22">
        <f t="shared" si="220"/>
        <v>0</v>
      </c>
      <c r="SX29" s="22">
        <f t="shared" si="221"/>
        <v>0</v>
      </c>
      <c r="SY29" s="22">
        <f t="shared" si="222"/>
        <v>0</v>
      </c>
      <c r="SZ29" s="22">
        <f t="shared" si="223"/>
        <v>0</v>
      </c>
      <c r="TA29" s="22">
        <f t="shared" si="224"/>
        <v>0</v>
      </c>
      <c r="TB29" s="22">
        <f t="shared" si="225"/>
        <v>0</v>
      </c>
      <c r="TC29" s="22">
        <f t="shared" si="226"/>
        <v>0</v>
      </c>
      <c r="TD29" s="22">
        <f t="shared" si="227"/>
        <v>0</v>
      </c>
      <c r="TE29" s="22">
        <f t="shared" si="228"/>
        <v>0</v>
      </c>
      <c r="TF29" s="22">
        <f t="shared" si="229"/>
        <v>0</v>
      </c>
      <c r="TG29" s="22">
        <f t="shared" si="230"/>
        <v>0</v>
      </c>
      <c r="TH29" s="22">
        <f t="shared" si="231"/>
        <v>0</v>
      </c>
      <c r="TI29" s="27" t="s">
        <v>46</v>
      </c>
      <c r="TJ29" s="40" t="str">
        <f t="shared" si="232"/>
        <v/>
      </c>
      <c r="TK29" s="40" t="str">
        <f t="shared" si="233"/>
        <v/>
      </c>
      <c r="TL29" s="40" t="str">
        <f t="shared" si="234"/>
        <v/>
      </c>
      <c r="TM29" s="40" t="str">
        <f t="shared" si="235"/>
        <v/>
      </c>
      <c r="TN29" s="40" t="str">
        <f t="shared" si="236"/>
        <v/>
      </c>
      <c r="TO29" s="40" t="str">
        <f t="shared" si="237"/>
        <v/>
      </c>
      <c r="TP29" s="40" t="str">
        <f t="shared" si="238"/>
        <v/>
      </c>
      <c r="TQ29" s="40" t="str">
        <f t="shared" si="239"/>
        <v/>
      </c>
      <c r="TR29" s="40" t="str">
        <f t="shared" si="240"/>
        <v/>
      </c>
      <c r="TS29" s="40" t="str">
        <f t="shared" si="241"/>
        <v/>
      </c>
      <c r="TT29" s="40" t="str">
        <f t="shared" si="242"/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158</v>
      </c>
      <c r="C30" s="4" t="s">
        <v>5</v>
      </c>
      <c r="D30" s="4">
        <v>2004</v>
      </c>
      <c r="E30" s="9">
        <f t="shared" si="0"/>
        <v>34.220003422002833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28.32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5.9</v>
      </c>
      <c r="Q30" s="8" t="str">
        <f t="shared" si="9"/>
        <v>2022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>
        <v>9.1</v>
      </c>
      <c r="X30" s="22">
        <v>5.5</v>
      </c>
      <c r="Y30" s="22">
        <v>5.9</v>
      </c>
      <c r="Z30" s="22">
        <v>7.82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4"/>
        <v>5.9</v>
      </c>
      <c r="AN30" s="38">
        <f t="shared" si="15"/>
        <v>7.82</v>
      </c>
      <c r="AO30" s="40">
        <f t="shared" si="16"/>
        <v>28.32</v>
      </c>
      <c r="AP30" s="40" t="str">
        <f t="shared" si="17"/>
        <v/>
      </c>
      <c r="AQ30" s="40" t="str">
        <f t="shared" si="18"/>
        <v/>
      </c>
      <c r="AR30" s="40" t="str">
        <f t="shared" si="19"/>
        <v/>
      </c>
      <c r="AS30" s="40">
        <f t="shared" si="20"/>
        <v>28.32</v>
      </c>
      <c r="AT30" s="40" t="str">
        <f t="shared" si="21"/>
        <v/>
      </c>
      <c r="AU30" s="40" t="str">
        <f t="shared" si="22"/>
        <v/>
      </c>
      <c r="AV30" s="40" t="str">
        <f t="shared" si="23"/>
        <v/>
      </c>
      <c r="AW30" s="40">
        <f t="shared" si="24"/>
        <v>28.32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5"/>
        <v/>
      </c>
      <c r="BO30" s="39" t="str">
        <f t="shared" si="26"/>
        <v/>
      </c>
      <c r="BP30" s="11" t="str">
        <f t="shared" si="27"/>
        <v/>
      </c>
      <c r="BQ30" s="11" t="str">
        <f t="shared" si="28"/>
        <v/>
      </c>
      <c r="BR30" s="11" t="str">
        <f t="shared" si="29"/>
        <v/>
      </c>
      <c r="BS30" s="11" t="str">
        <f t="shared" si="30"/>
        <v/>
      </c>
      <c r="BT30" s="11" t="str">
        <f t="shared" si="31"/>
        <v/>
      </c>
      <c r="BU30" s="11" t="str">
        <f t="shared" si="32"/>
        <v/>
      </c>
      <c r="BV30" s="11" t="str">
        <f t="shared" si="33"/>
        <v/>
      </c>
      <c r="BW30" s="11" t="str">
        <f t="shared" si="34"/>
        <v/>
      </c>
      <c r="BX30" s="11" t="str">
        <f t="shared" si="35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6"/>
        <v/>
      </c>
      <c r="CP30" s="38" t="str">
        <f t="shared" si="37"/>
        <v/>
      </c>
      <c r="CQ30" s="40" t="str">
        <f t="shared" si="38"/>
        <v/>
      </c>
      <c r="CR30" s="40" t="str">
        <f t="shared" si="39"/>
        <v/>
      </c>
      <c r="CS30" s="40" t="str">
        <f t="shared" si="40"/>
        <v/>
      </c>
      <c r="CT30" s="40" t="str">
        <f t="shared" si="41"/>
        <v/>
      </c>
      <c r="CU30" s="40" t="str">
        <f t="shared" si="42"/>
        <v/>
      </c>
      <c r="CV30" s="40" t="str">
        <f t="shared" si="43"/>
        <v/>
      </c>
      <c r="CW30" s="40" t="str">
        <f t="shared" si="44"/>
        <v/>
      </c>
      <c r="CX30" s="40" t="str">
        <f t="shared" si="45"/>
        <v/>
      </c>
      <c r="CY30" s="40" t="str">
        <f t="shared" si="46"/>
        <v/>
      </c>
      <c r="CZ30" s="50" t="str">
        <f t="shared" si="47"/>
        <v/>
      </c>
      <c r="DA30" s="50" t="str">
        <f t="shared" si="48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49"/>
        <v/>
      </c>
      <c r="DW30" s="40" t="str">
        <f t="shared" si="50"/>
        <v/>
      </c>
      <c r="DX30" s="40" t="str">
        <f t="shared" si="51"/>
        <v/>
      </c>
      <c r="DY30" s="40" t="str">
        <f t="shared" si="52"/>
        <v/>
      </c>
      <c r="DZ30" s="40" t="str">
        <f t="shared" si="53"/>
        <v/>
      </c>
      <c r="EA30" s="40" t="str">
        <f t="shared" si="54"/>
        <v/>
      </c>
      <c r="EB30" s="40" t="str">
        <f t="shared" si="55"/>
        <v/>
      </c>
      <c r="EC30" s="40" t="str">
        <f t="shared" si="56"/>
        <v/>
      </c>
      <c r="ED30" s="40" t="str">
        <f t="shared" si="57"/>
        <v/>
      </c>
      <c r="EE30" s="40" t="str">
        <f t="shared" si="58"/>
        <v/>
      </c>
      <c r="EF30" s="40" t="str">
        <f t="shared" si="59"/>
        <v/>
      </c>
      <c r="EG30" s="40" t="str">
        <f t="shared" si="60"/>
        <v/>
      </c>
      <c r="EH30" s="40" t="str">
        <f t="shared" si="61"/>
        <v/>
      </c>
      <c r="EI30" s="40" t="str">
        <f t="shared" si="62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3"/>
        <v/>
      </c>
      <c r="FE30" s="11" t="str">
        <f t="shared" si="64"/>
        <v/>
      </c>
      <c r="FF30" s="11" t="str">
        <f t="shared" si="65"/>
        <v/>
      </c>
      <c r="FG30" s="11" t="str">
        <f t="shared" si="66"/>
        <v/>
      </c>
      <c r="FH30" s="11" t="str">
        <f t="shared" si="67"/>
        <v/>
      </c>
      <c r="FI30" s="11" t="str">
        <f t="shared" si="68"/>
        <v/>
      </c>
      <c r="FJ30" s="11" t="str">
        <f t="shared" si="69"/>
        <v/>
      </c>
      <c r="FK30" s="11" t="str">
        <f t="shared" si="70"/>
        <v/>
      </c>
      <c r="FL30" s="11" t="str">
        <f t="shared" si="71"/>
        <v/>
      </c>
      <c r="FM30" s="11" t="str">
        <f t="shared" si="72"/>
        <v/>
      </c>
      <c r="FN30" s="11" t="str">
        <f t="shared" si="73"/>
        <v/>
      </c>
      <c r="FO30" s="11" t="str">
        <f t="shared" si="74"/>
        <v/>
      </c>
      <c r="FP30" s="11" t="str">
        <f t="shared" si="75"/>
        <v/>
      </c>
      <c r="FQ30" s="11" t="str">
        <f t="shared" si="76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7"/>
        <v/>
      </c>
      <c r="GM30" s="40" t="str">
        <f t="shared" si="78"/>
        <v/>
      </c>
      <c r="GN30" s="40" t="str">
        <f t="shared" si="79"/>
        <v/>
      </c>
      <c r="GO30" s="40" t="str">
        <f t="shared" si="80"/>
        <v/>
      </c>
      <c r="GP30" s="40" t="str">
        <f t="shared" si="81"/>
        <v/>
      </c>
      <c r="GQ30" s="40" t="str">
        <f t="shared" si="82"/>
        <v/>
      </c>
      <c r="GR30" s="40" t="str">
        <f t="shared" si="83"/>
        <v/>
      </c>
      <c r="GS30" s="40" t="str">
        <f t="shared" si="84"/>
        <v/>
      </c>
      <c r="GT30" s="40" t="str">
        <f t="shared" si="85"/>
        <v/>
      </c>
      <c r="GU30" s="40" t="str">
        <f t="shared" si="86"/>
        <v/>
      </c>
      <c r="GV30" s="40" t="str">
        <f t="shared" si="87"/>
        <v/>
      </c>
      <c r="GW30" s="40" t="str">
        <f t="shared" si="88"/>
        <v/>
      </c>
      <c r="GX30" s="40" t="str">
        <f t="shared" si="89"/>
        <v/>
      </c>
      <c r="GY30" s="40" t="str">
        <f t="shared" si="90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1"/>
        <v/>
      </c>
      <c r="HU30" s="11" t="str">
        <f t="shared" si="92"/>
        <v/>
      </c>
      <c r="HV30" s="11" t="str">
        <f t="shared" si="93"/>
        <v/>
      </c>
      <c r="HW30" s="11" t="str">
        <f t="shared" si="94"/>
        <v/>
      </c>
      <c r="HX30" s="11" t="str">
        <f t="shared" si="95"/>
        <v/>
      </c>
      <c r="HY30" s="11" t="str">
        <f t="shared" si="96"/>
        <v/>
      </c>
      <c r="HZ30" s="11" t="str">
        <f t="shared" si="97"/>
        <v/>
      </c>
      <c r="IA30" s="11" t="str">
        <f t="shared" si="98"/>
        <v/>
      </c>
      <c r="IB30" s="11" t="str">
        <f t="shared" si="99"/>
        <v/>
      </c>
      <c r="IC30" s="11" t="str">
        <f t="shared" si="100"/>
        <v/>
      </c>
      <c r="ID30" s="11" t="str">
        <f t="shared" si="101"/>
        <v/>
      </c>
      <c r="IE30" s="11" t="str">
        <f t="shared" si="102"/>
        <v/>
      </c>
      <c r="IF30" s="11" t="str">
        <f t="shared" si="103"/>
        <v/>
      </c>
      <c r="IG30" s="11" t="str">
        <f t="shared" si="104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5"/>
        <v/>
      </c>
      <c r="JC30" s="40" t="str">
        <f t="shared" si="106"/>
        <v/>
      </c>
      <c r="JD30" s="40" t="str">
        <f t="shared" si="107"/>
        <v/>
      </c>
      <c r="JE30" s="40" t="str">
        <f t="shared" si="108"/>
        <v/>
      </c>
      <c r="JF30" s="40" t="str">
        <f t="shared" si="109"/>
        <v/>
      </c>
      <c r="JG30" s="40" t="str">
        <f t="shared" si="110"/>
        <v/>
      </c>
      <c r="JH30" s="40" t="str">
        <f t="shared" si="111"/>
        <v/>
      </c>
      <c r="JI30" s="40" t="str">
        <f t="shared" si="112"/>
        <v/>
      </c>
      <c r="JJ30" s="40" t="str">
        <f t="shared" si="113"/>
        <v/>
      </c>
      <c r="JK30" s="40" t="str">
        <f t="shared" si="114"/>
        <v/>
      </c>
      <c r="JL30" s="40" t="str">
        <f t="shared" si="115"/>
        <v/>
      </c>
      <c r="JM30" s="40" t="str">
        <f t="shared" si="116"/>
        <v/>
      </c>
      <c r="JN30" s="40" t="str">
        <f t="shared" si="117"/>
        <v/>
      </c>
      <c r="JO30" s="40" t="str">
        <f t="shared" si="118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9"/>
        <v/>
      </c>
      <c r="KK30" s="11" t="str">
        <f t="shared" si="120"/>
        <v/>
      </c>
      <c r="KL30" s="11" t="str">
        <f t="shared" si="121"/>
        <v/>
      </c>
      <c r="KM30" s="11" t="str">
        <f t="shared" si="122"/>
        <v/>
      </c>
      <c r="KN30" s="11" t="str">
        <f t="shared" si="123"/>
        <v/>
      </c>
      <c r="KO30" s="11" t="str">
        <f t="shared" si="124"/>
        <v/>
      </c>
      <c r="KP30" s="11" t="str">
        <f t="shared" si="125"/>
        <v/>
      </c>
      <c r="KQ30" s="11" t="str">
        <f t="shared" si="126"/>
        <v/>
      </c>
      <c r="KR30" s="11" t="str">
        <f t="shared" si="127"/>
        <v/>
      </c>
      <c r="KS30" s="11" t="str">
        <f t="shared" si="128"/>
        <v/>
      </c>
      <c r="KT30" s="11" t="str">
        <f t="shared" si="129"/>
        <v/>
      </c>
      <c r="KU30" s="11" t="str">
        <f t="shared" si="130"/>
        <v/>
      </c>
      <c r="KV30" s="11" t="str">
        <f t="shared" si="131"/>
        <v/>
      </c>
      <c r="KW30" s="11" t="str">
        <f t="shared" si="132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3"/>
        <v/>
      </c>
      <c r="LS30" s="40" t="str">
        <f t="shared" si="134"/>
        <v/>
      </c>
      <c r="LT30" s="40" t="str">
        <f t="shared" si="135"/>
        <v/>
      </c>
      <c r="LU30" s="40" t="str">
        <f t="shared" si="136"/>
        <v/>
      </c>
      <c r="LV30" s="40" t="str">
        <f t="shared" si="137"/>
        <v/>
      </c>
      <c r="LW30" s="40" t="str">
        <f t="shared" si="138"/>
        <v/>
      </c>
      <c r="LX30" s="40" t="str">
        <f t="shared" si="139"/>
        <v/>
      </c>
      <c r="LY30" s="40" t="str">
        <f t="shared" si="140"/>
        <v/>
      </c>
      <c r="LZ30" s="40" t="str">
        <f t="shared" si="141"/>
        <v/>
      </c>
      <c r="MA30" s="40" t="str">
        <f t="shared" si="142"/>
        <v/>
      </c>
      <c r="MB30" s="40" t="str">
        <f t="shared" si="143"/>
        <v/>
      </c>
      <c r="MC30" s="40" t="str">
        <f t="shared" si="144"/>
        <v/>
      </c>
      <c r="MD30" s="40" t="str">
        <f t="shared" si="145"/>
        <v/>
      </c>
      <c r="ME30" s="40" t="str">
        <f t="shared" si="146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7"/>
        <v/>
      </c>
      <c r="NA30" s="11" t="str">
        <f t="shared" si="148"/>
        <v/>
      </c>
      <c r="NB30" s="11" t="str">
        <f t="shared" si="149"/>
        <v/>
      </c>
      <c r="NC30" s="11" t="str">
        <f t="shared" si="150"/>
        <v/>
      </c>
      <c r="ND30" s="11" t="str">
        <f t="shared" si="151"/>
        <v/>
      </c>
      <c r="NE30" s="11" t="str">
        <f t="shared" si="152"/>
        <v/>
      </c>
      <c r="NF30" s="11" t="str">
        <f t="shared" si="153"/>
        <v/>
      </c>
      <c r="NG30" s="11" t="str">
        <f t="shared" si="154"/>
        <v/>
      </c>
      <c r="NH30" s="11" t="str">
        <f t="shared" si="155"/>
        <v/>
      </c>
      <c r="NI30" s="11" t="str">
        <f t="shared" si="156"/>
        <v/>
      </c>
      <c r="NJ30" s="11" t="str">
        <f t="shared" si="157"/>
        <v/>
      </c>
      <c r="NK30" s="11" t="str">
        <f t="shared" si="158"/>
        <v/>
      </c>
      <c r="NL30" s="11" t="str">
        <f t="shared" si="159"/>
        <v/>
      </c>
      <c r="NM30" s="11" t="str">
        <f t="shared" si="160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1"/>
        <v/>
      </c>
      <c r="OI30" s="40" t="str">
        <f t="shared" si="162"/>
        <v/>
      </c>
      <c r="OJ30" s="40" t="str">
        <f t="shared" si="163"/>
        <v/>
      </c>
      <c r="OK30" s="40" t="str">
        <f t="shared" si="164"/>
        <v/>
      </c>
      <c r="OL30" s="40" t="str">
        <f t="shared" si="165"/>
        <v/>
      </c>
      <c r="OM30" s="40" t="str">
        <f t="shared" si="166"/>
        <v/>
      </c>
      <c r="ON30" s="40" t="str">
        <f t="shared" si="167"/>
        <v/>
      </c>
      <c r="OO30" s="40" t="str">
        <f t="shared" si="168"/>
        <v/>
      </c>
      <c r="OP30" s="40" t="str">
        <f t="shared" si="169"/>
        <v/>
      </c>
      <c r="OQ30" s="40" t="str">
        <f t="shared" si="170"/>
        <v/>
      </c>
      <c r="OR30" s="40" t="str">
        <f t="shared" si="171"/>
        <v/>
      </c>
      <c r="OS30" s="40" t="str">
        <f t="shared" si="172"/>
        <v/>
      </c>
      <c r="OT30" s="40" t="str">
        <f t="shared" si="173"/>
        <v/>
      </c>
      <c r="OU30" s="40" t="str">
        <f t="shared" si="174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5"/>
        <v/>
      </c>
      <c r="PQ30" s="11" t="str">
        <f t="shared" si="176"/>
        <v/>
      </c>
      <c r="PR30" s="11" t="str">
        <f t="shared" si="177"/>
        <v/>
      </c>
      <c r="PS30" s="11" t="str">
        <f t="shared" si="178"/>
        <v/>
      </c>
      <c r="PT30" s="11" t="str">
        <f t="shared" si="179"/>
        <v/>
      </c>
      <c r="PU30" s="11" t="str">
        <f t="shared" si="180"/>
        <v/>
      </c>
      <c r="PV30" s="11" t="str">
        <f t="shared" si="181"/>
        <v/>
      </c>
      <c r="PW30" s="11" t="str">
        <f t="shared" si="182"/>
        <v/>
      </c>
      <c r="PX30" s="11" t="str">
        <f t="shared" si="183"/>
        <v/>
      </c>
      <c r="PY30" s="11" t="str">
        <f t="shared" si="184"/>
        <v/>
      </c>
      <c r="PZ30" s="11" t="str">
        <f t="shared" si="185"/>
        <v/>
      </c>
      <c r="QA30" s="11" t="str">
        <f t="shared" si="186"/>
        <v/>
      </c>
      <c r="QB30" s="11" t="str">
        <f t="shared" si="187"/>
        <v/>
      </c>
      <c r="QC30" s="11" t="str">
        <f t="shared" si="188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9"/>
        <v/>
      </c>
      <c r="QY30" s="40" t="str">
        <f t="shared" si="190"/>
        <v/>
      </c>
      <c r="QZ30" s="40" t="str">
        <f t="shared" si="191"/>
        <v/>
      </c>
      <c r="RA30" s="40" t="str">
        <f t="shared" si="192"/>
        <v/>
      </c>
      <c r="RB30" s="40" t="str">
        <f t="shared" si="193"/>
        <v/>
      </c>
      <c r="RC30" s="40" t="str">
        <f t="shared" si="194"/>
        <v/>
      </c>
      <c r="RD30" s="40" t="str">
        <f t="shared" si="195"/>
        <v/>
      </c>
      <c r="RE30" s="40" t="str">
        <f t="shared" si="196"/>
        <v/>
      </c>
      <c r="RF30" s="40" t="str">
        <f t="shared" si="197"/>
        <v/>
      </c>
      <c r="RG30" s="40" t="str">
        <f t="shared" si="198"/>
        <v/>
      </c>
      <c r="RH30" s="40" t="str">
        <f t="shared" si="199"/>
        <v/>
      </c>
      <c r="RI30" s="40" t="str">
        <f t="shared" si="200"/>
        <v/>
      </c>
      <c r="RJ30" s="40" t="str">
        <f t="shared" si="201"/>
        <v/>
      </c>
      <c r="RK30" s="40" t="str">
        <f t="shared" si="202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3"/>
        <v/>
      </c>
      <c r="SG30" s="11" t="str">
        <f t="shared" si="204"/>
        <v/>
      </c>
      <c r="SH30" s="11" t="str">
        <f t="shared" si="205"/>
        <v/>
      </c>
      <c r="SI30" s="11" t="str">
        <f t="shared" si="206"/>
        <v/>
      </c>
      <c r="SJ30" s="11" t="str">
        <f t="shared" si="207"/>
        <v/>
      </c>
      <c r="SK30" s="11" t="str">
        <f t="shared" si="208"/>
        <v/>
      </c>
      <c r="SL30" s="11" t="str">
        <f t="shared" si="209"/>
        <v/>
      </c>
      <c r="SM30" s="11" t="str">
        <f t="shared" si="210"/>
        <v/>
      </c>
      <c r="SN30" s="11" t="str">
        <f t="shared" si="211"/>
        <v/>
      </c>
      <c r="SO30" s="11" t="str">
        <f t="shared" si="212"/>
        <v/>
      </c>
      <c r="SP30" s="11" t="str">
        <f t="shared" si="213"/>
        <v/>
      </c>
      <c r="SQ30" s="11" t="str">
        <f t="shared" si="214"/>
        <v/>
      </c>
      <c r="SR30" s="11" t="str">
        <f t="shared" si="215"/>
        <v/>
      </c>
      <c r="SS30" s="11" t="str">
        <f t="shared" si="216"/>
        <v/>
      </c>
      <c r="ST30" s="22">
        <f t="shared" si="217"/>
        <v>0</v>
      </c>
      <c r="SU30" s="22">
        <f t="shared" si="218"/>
        <v>0</v>
      </c>
      <c r="SV30" s="22">
        <f t="shared" si="219"/>
        <v>0</v>
      </c>
      <c r="SW30" s="22">
        <f t="shared" si="220"/>
        <v>0</v>
      </c>
      <c r="SX30" s="22">
        <f t="shared" si="221"/>
        <v>0</v>
      </c>
      <c r="SY30" s="22">
        <f t="shared" si="222"/>
        <v>0</v>
      </c>
      <c r="SZ30" s="22">
        <f t="shared" si="223"/>
        <v>0</v>
      </c>
      <c r="TA30" s="22">
        <f t="shared" si="224"/>
        <v>0</v>
      </c>
      <c r="TB30" s="22">
        <f t="shared" si="225"/>
        <v>0</v>
      </c>
      <c r="TC30" s="22">
        <f t="shared" si="226"/>
        <v>0</v>
      </c>
      <c r="TD30" s="22">
        <f t="shared" si="227"/>
        <v>0</v>
      </c>
      <c r="TE30" s="22">
        <f t="shared" si="228"/>
        <v>0</v>
      </c>
      <c r="TF30" s="22">
        <f t="shared" si="229"/>
        <v>0</v>
      </c>
      <c r="TG30" s="22">
        <f t="shared" si="230"/>
        <v>0</v>
      </c>
      <c r="TH30" s="22">
        <f t="shared" si="231"/>
        <v>0</v>
      </c>
      <c r="TI30" s="27" t="s">
        <v>46</v>
      </c>
      <c r="TJ30" s="40" t="str">
        <f t="shared" si="232"/>
        <v/>
      </c>
      <c r="TK30" s="40" t="str">
        <f t="shared" si="233"/>
        <v/>
      </c>
      <c r="TL30" s="40" t="str">
        <f t="shared" si="234"/>
        <v/>
      </c>
      <c r="TM30" s="40" t="str">
        <f t="shared" si="235"/>
        <v/>
      </c>
      <c r="TN30" s="40" t="str">
        <f t="shared" si="236"/>
        <v/>
      </c>
      <c r="TO30" s="40" t="str">
        <f t="shared" si="237"/>
        <v/>
      </c>
      <c r="TP30" s="40" t="str">
        <f t="shared" si="238"/>
        <v/>
      </c>
      <c r="TQ30" s="40" t="str">
        <f t="shared" si="239"/>
        <v/>
      </c>
      <c r="TR30" s="40" t="str">
        <f t="shared" si="240"/>
        <v/>
      </c>
      <c r="TS30" s="40" t="str">
        <f t="shared" si="241"/>
        <v/>
      </c>
      <c r="TT30" s="40" t="str">
        <f t="shared" si="242"/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150</v>
      </c>
      <c r="C31" s="4" t="s">
        <v>5</v>
      </c>
      <c r="D31" s="4">
        <v>2003</v>
      </c>
      <c r="E31" s="9">
        <f t="shared" si="0"/>
        <v>29.730002973002449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24.529999999999998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5.2</v>
      </c>
      <c r="Q31" s="8" t="str">
        <f t="shared" si="9"/>
        <v>2022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7.8</v>
      </c>
      <c r="X31" s="22">
        <v>4.4000000000000004</v>
      </c>
      <c r="Y31" s="22">
        <v>5.2</v>
      </c>
      <c r="Z31" s="22">
        <v>7.13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4"/>
        <v>5.2</v>
      </c>
      <c r="AN31" s="38">
        <f t="shared" si="15"/>
        <v>7.13</v>
      </c>
      <c r="AO31" s="40">
        <f t="shared" si="16"/>
        <v>24.529999999999998</v>
      </c>
      <c r="AP31" s="40" t="str">
        <f t="shared" si="17"/>
        <v/>
      </c>
      <c r="AQ31" s="40" t="str">
        <f t="shared" si="18"/>
        <v/>
      </c>
      <c r="AR31" s="40" t="str">
        <f t="shared" si="19"/>
        <v/>
      </c>
      <c r="AS31" s="40">
        <f t="shared" si="20"/>
        <v>24.529999999999998</v>
      </c>
      <c r="AT31" s="40" t="str">
        <f t="shared" si="21"/>
        <v/>
      </c>
      <c r="AU31" s="40" t="str">
        <f t="shared" si="22"/>
        <v/>
      </c>
      <c r="AV31" s="40" t="str">
        <f t="shared" si="23"/>
        <v/>
      </c>
      <c r="AW31" s="40">
        <f t="shared" si="24"/>
        <v>24.529999999999998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5"/>
        <v/>
      </c>
      <c r="BO31" s="39" t="str">
        <f t="shared" si="26"/>
        <v/>
      </c>
      <c r="BP31" s="11" t="str">
        <f t="shared" si="27"/>
        <v/>
      </c>
      <c r="BQ31" s="11" t="str">
        <f t="shared" si="28"/>
        <v/>
      </c>
      <c r="BR31" s="11" t="str">
        <f t="shared" si="29"/>
        <v/>
      </c>
      <c r="BS31" s="11" t="str">
        <f t="shared" si="30"/>
        <v/>
      </c>
      <c r="BT31" s="11" t="str">
        <f t="shared" si="31"/>
        <v/>
      </c>
      <c r="BU31" s="11" t="str">
        <f t="shared" si="32"/>
        <v/>
      </c>
      <c r="BV31" s="11" t="str">
        <f t="shared" si="33"/>
        <v/>
      </c>
      <c r="BW31" s="11" t="str">
        <f t="shared" si="34"/>
        <v/>
      </c>
      <c r="BX31" s="11" t="str">
        <f t="shared" si="35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6"/>
        <v/>
      </c>
      <c r="CP31" s="38" t="str">
        <f t="shared" si="37"/>
        <v/>
      </c>
      <c r="CQ31" s="40" t="str">
        <f t="shared" si="38"/>
        <v/>
      </c>
      <c r="CR31" s="40" t="str">
        <f t="shared" si="39"/>
        <v/>
      </c>
      <c r="CS31" s="40" t="str">
        <f t="shared" si="40"/>
        <v/>
      </c>
      <c r="CT31" s="40" t="str">
        <f t="shared" si="41"/>
        <v/>
      </c>
      <c r="CU31" s="40" t="str">
        <f t="shared" si="42"/>
        <v/>
      </c>
      <c r="CV31" s="40" t="str">
        <f t="shared" si="43"/>
        <v/>
      </c>
      <c r="CW31" s="40" t="str">
        <f t="shared" si="44"/>
        <v/>
      </c>
      <c r="CX31" s="40" t="str">
        <f t="shared" si="45"/>
        <v/>
      </c>
      <c r="CY31" s="40" t="str">
        <f t="shared" si="46"/>
        <v/>
      </c>
      <c r="CZ31" s="50" t="str">
        <f t="shared" si="47"/>
        <v/>
      </c>
      <c r="DA31" s="50" t="str">
        <f t="shared" si="48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9"/>
        <v/>
      </c>
      <c r="DW31" s="40" t="str">
        <f t="shared" si="50"/>
        <v/>
      </c>
      <c r="DX31" s="40" t="str">
        <f t="shared" si="51"/>
        <v/>
      </c>
      <c r="DY31" s="40" t="str">
        <f t="shared" si="52"/>
        <v/>
      </c>
      <c r="DZ31" s="40" t="str">
        <f t="shared" si="53"/>
        <v/>
      </c>
      <c r="EA31" s="40" t="str">
        <f t="shared" si="54"/>
        <v/>
      </c>
      <c r="EB31" s="40" t="str">
        <f t="shared" si="55"/>
        <v/>
      </c>
      <c r="EC31" s="40" t="str">
        <f t="shared" si="56"/>
        <v/>
      </c>
      <c r="ED31" s="40" t="str">
        <f t="shared" si="57"/>
        <v/>
      </c>
      <c r="EE31" s="40" t="str">
        <f t="shared" si="58"/>
        <v/>
      </c>
      <c r="EF31" s="40" t="str">
        <f t="shared" si="59"/>
        <v/>
      </c>
      <c r="EG31" s="40" t="str">
        <f t="shared" si="60"/>
        <v/>
      </c>
      <c r="EH31" s="40" t="str">
        <f t="shared" si="61"/>
        <v/>
      </c>
      <c r="EI31" s="40" t="str">
        <f t="shared" si="62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3"/>
        <v/>
      </c>
      <c r="FE31" s="11" t="str">
        <f t="shared" si="64"/>
        <v/>
      </c>
      <c r="FF31" s="11" t="str">
        <f t="shared" si="65"/>
        <v/>
      </c>
      <c r="FG31" s="11" t="str">
        <f t="shared" si="66"/>
        <v/>
      </c>
      <c r="FH31" s="11" t="str">
        <f t="shared" si="67"/>
        <v/>
      </c>
      <c r="FI31" s="11" t="str">
        <f t="shared" si="68"/>
        <v/>
      </c>
      <c r="FJ31" s="11" t="str">
        <f t="shared" si="69"/>
        <v/>
      </c>
      <c r="FK31" s="11" t="str">
        <f t="shared" si="70"/>
        <v/>
      </c>
      <c r="FL31" s="11" t="str">
        <f t="shared" si="71"/>
        <v/>
      </c>
      <c r="FM31" s="11" t="str">
        <f t="shared" si="72"/>
        <v/>
      </c>
      <c r="FN31" s="11" t="str">
        <f t="shared" si="73"/>
        <v/>
      </c>
      <c r="FO31" s="11" t="str">
        <f t="shared" si="74"/>
        <v/>
      </c>
      <c r="FP31" s="11" t="str">
        <f t="shared" si="75"/>
        <v/>
      </c>
      <c r="FQ31" s="11" t="str">
        <f t="shared" si="76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7"/>
        <v/>
      </c>
      <c r="GM31" s="40" t="str">
        <f t="shared" si="78"/>
        <v/>
      </c>
      <c r="GN31" s="40" t="str">
        <f t="shared" si="79"/>
        <v/>
      </c>
      <c r="GO31" s="40" t="str">
        <f t="shared" si="80"/>
        <v/>
      </c>
      <c r="GP31" s="40" t="str">
        <f t="shared" si="81"/>
        <v/>
      </c>
      <c r="GQ31" s="40" t="str">
        <f t="shared" si="82"/>
        <v/>
      </c>
      <c r="GR31" s="40" t="str">
        <f t="shared" si="83"/>
        <v/>
      </c>
      <c r="GS31" s="40" t="str">
        <f t="shared" si="84"/>
        <v/>
      </c>
      <c r="GT31" s="40" t="str">
        <f t="shared" si="85"/>
        <v/>
      </c>
      <c r="GU31" s="40" t="str">
        <f t="shared" si="86"/>
        <v/>
      </c>
      <c r="GV31" s="40" t="str">
        <f t="shared" si="87"/>
        <v/>
      </c>
      <c r="GW31" s="40" t="str">
        <f t="shared" si="88"/>
        <v/>
      </c>
      <c r="GX31" s="40" t="str">
        <f t="shared" si="89"/>
        <v/>
      </c>
      <c r="GY31" s="40" t="str">
        <f t="shared" si="90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1"/>
        <v/>
      </c>
      <c r="HU31" s="11" t="str">
        <f t="shared" si="92"/>
        <v/>
      </c>
      <c r="HV31" s="11" t="str">
        <f t="shared" si="93"/>
        <v/>
      </c>
      <c r="HW31" s="11" t="str">
        <f t="shared" si="94"/>
        <v/>
      </c>
      <c r="HX31" s="11" t="str">
        <f t="shared" si="95"/>
        <v/>
      </c>
      <c r="HY31" s="11" t="str">
        <f t="shared" si="96"/>
        <v/>
      </c>
      <c r="HZ31" s="11" t="str">
        <f t="shared" si="97"/>
        <v/>
      </c>
      <c r="IA31" s="11" t="str">
        <f t="shared" si="98"/>
        <v/>
      </c>
      <c r="IB31" s="11" t="str">
        <f t="shared" si="99"/>
        <v/>
      </c>
      <c r="IC31" s="11" t="str">
        <f t="shared" si="100"/>
        <v/>
      </c>
      <c r="ID31" s="11" t="str">
        <f t="shared" si="101"/>
        <v/>
      </c>
      <c r="IE31" s="11" t="str">
        <f t="shared" si="102"/>
        <v/>
      </c>
      <c r="IF31" s="11" t="str">
        <f t="shared" si="103"/>
        <v/>
      </c>
      <c r="IG31" s="11" t="str">
        <f t="shared" si="104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5"/>
        <v/>
      </c>
      <c r="JC31" s="40" t="str">
        <f t="shared" si="106"/>
        <v/>
      </c>
      <c r="JD31" s="40" t="str">
        <f t="shared" si="107"/>
        <v/>
      </c>
      <c r="JE31" s="40" t="str">
        <f t="shared" si="108"/>
        <v/>
      </c>
      <c r="JF31" s="40" t="str">
        <f t="shared" si="109"/>
        <v/>
      </c>
      <c r="JG31" s="40" t="str">
        <f t="shared" si="110"/>
        <v/>
      </c>
      <c r="JH31" s="40" t="str">
        <f t="shared" si="111"/>
        <v/>
      </c>
      <c r="JI31" s="40" t="str">
        <f t="shared" si="112"/>
        <v/>
      </c>
      <c r="JJ31" s="40" t="str">
        <f t="shared" si="113"/>
        <v/>
      </c>
      <c r="JK31" s="40" t="str">
        <f t="shared" si="114"/>
        <v/>
      </c>
      <c r="JL31" s="40" t="str">
        <f t="shared" si="115"/>
        <v/>
      </c>
      <c r="JM31" s="40" t="str">
        <f t="shared" si="116"/>
        <v/>
      </c>
      <c r="JN31" s="40" t="str">
        <f t="shared" si="117"/>
        <v/>
      </c>
      <c r="JO31" s="40" t="str">
        <f t="shared" si="118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9"/>
        <v/>
      </c>
      <c r="KK31" s="11" t="str">
        <f t="shared" si="120"/>
        <v/>
      </c>
      <c r="KL31" s="11" t="str">
        <f t="shared" si="121"/>
        <v/>
      </c>
      <c r="KM31" s="11" t="str">
        <f t="shared" si="122"/>
        <v/>
      </c>
      <c r="KN31" s="11" t="str">
        <f t="shared" si="123"/>
        <v/>
      </c>
      <c r="KO31" s="11" t="str">
        <f t="shared" si="124"/>
        <v/>
      </c>
      <c r="KP31" s="11" t="str">
        <f t="shared" si="125"/>
        <v/>
      </c>
      <c r="KQ31" s="11" t="str">
        <f t="shared" si="126"/>
        <v/>
      </c>
      <c r="KR31" s="11" t="str">
        <f t="shared" si="127"/>
        <v/>
      </c>
      <c r="KS31" s="11" t="str">
        <f t="shared" si="128"/>
        <v/>
      </c>
      <c r="KT31" s="11" t="str">
        <f t="shared" si="129"/>
        <v/>
      </c>
      <c r="KU31" s="11" t="str">
        <f t="shared" si="130"/>
        <v/>
      </c>
      <c r="KV31" s="11" t="str">
        <f t="shared" si="131"/>
        <v/>
      </c>
      <c r="KW31" s="11" t="str">
        <f t="shared" si="132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3"/>
        <v/>
      </c>
      <c r="LS31" s="40" t="str">
        <f t="shared" si="134"/>
        <v/>
      </c>
      <c r="LT31" s="40" t="str">
        <f t="shared" si="135"/>
        <v/>
      </c>
      <c r="LU31" s="40" t="str">
        <f t="shared" si="136"/>
        <v/>
      </c>
      <c r="LV31" s="40" t="str">
        <f t="shared" si="137"/>
        <v/>
      </c>
      <c r="LW31" s="40" t="str">
        <f t="shared" si="138"/>
        <v/>
      </c>
      <c r="LX31" s="40" t="str">
        <f t="shared" si="139"/>
        <v/>
      </c>
      <c r="LY31" s="40" t="str">
        <f t="shared" si="140"/>
        <v/>
      </c>
      <c r="LZ31" s="40" t="str">
        <f t="shared" si="141"/>
        <v/>
      </c>
      <c r="MA31" s="40" t="str">
        <f t="shared" si="142"/>
        <v/>
      </c>
      <c r="MB31" s="40" t="str">
        <f t="shared" si="143"/>
        <v/>
      </c>
      <c r="MC31" s="40" t="str">
        <f t="shared" si="144"/>
        <v/>
      </c>
      <c r="MD31" s="40" t="str">
        <f t="shared" si="145"/>
        <v/>
      </c>
      <c r="ME31" s="40" t="str">
        <f t="shared" si="146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7"/>
        <v/>
      </c>
      <c r="NA31" s="11" t="str">
        <f t="shared" si="148"/>
        <v/>
      </c>
      <c r="NB31" s="11" t="str">
        <f t="shared" si="149"/>
        <v/>
      </c>
      <c r="NC31" s="11" t="str">
        <f t="shared" si="150"/>
        <v/>
      </c>
      <c r="ND31" s="11" t="str">
        <f t="shared" si="151"/>
        <v/>
      </c>
      <c r="NE31" s="11" t="str">
        <f t="shared" si="152"/>
        <v/>
      </c>
      <c r="NF31" s="11" t="str">
        <f t="shared" si="153"/>
        <v/>
      </c>
      <c r="NG31" s="11" t="str">
        <f t="shared" si="154"/>
        <v/>
      </c>
      <c r="NH31" s="11" t="str">
        <f t="shared" si="155"/>
        <v/>
      </c>
      <c r="NI31" s="11" t="str">
        <f t="shared" si="156"/>
        <v/>
      </c>
      <c r="NJ31" s="11" t="str">
        <f t="shared" si="157"/>
        <v/>
      </c>
      <c r="NK31" s="11" t="str">
        <f t="shared" si="158"/>
        <v/>
      </c>
      <c r="NL31" s="11" t="str">
        <f t="shared" si="159"/>
        <v/>
      </c>
      <c r="NM31" s="11" t="str">
        <f t="shared" si="160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1"/>
        <v/>
      </c>
      <c r="OI31" s="40" t="str">
        <f t="shared" si="162"/>
        <v/>
      </c>
      <c r="OJ31" s="40" t="str">
        <f t="shared" si="163"/>
        <v/>
      </c>
      <c r="OK31" s="40" t="str">
        <f t="shared" si="164"/>
        <v/>
      </c>
      <c r="OL31" s="40" t="str">
        <f t="shared" si="165"/>
        <v/>
      </c>
      <c r="OM31" s="40" t="str">
        <f t="shared" si="166"/>
        <v/>
      </c>
      <c r="ON31" s="40" t="str">
        <f t="shared" si="167"/>
        <v/>
      </c>
      <c r="OO31" s="40" t="str">
        <f t="shared" si="168"/>
        <v/>
      </c>
      <c r="OP31" s="40" t="str">
        <f t="shared" si="169"/>
        <v/>
      </c>
      <c r="OQ31" s="40" t="str">
        <f t="shared" si="170"/>
        <v/>
      </c>
      <c r="OR31" s="40" t="str">
        <f t="shared" si="171"/>
        <v/>
      </c>
      <c r="OS31" s="40" t="str">
        <f t="shared" si="172"/>
        <v/>
      </c>
      <c r="OT31" s="40" t="str">
        <f t="shared" si="173"/>
        <v/>
      </c>
      <c r="OU31" s="40" t="str">
        <f t="shared" si="174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5"/>
        <v/>
      </c>
      <c r="PQ31" s="11" t="str">
        <f t="shared" si="176"/>
        <v/>
      </c>
      <c r="PR31" s="11" t="str">
        <f t="shared" si="177"/>
        <v/>
      </c>
      <c r="PS31" s="11" t="str">
        <f t="shared" si="178"/>
        <v/>
      </c>
      <c r="PT31" s="11" t="str">
        <f t="shared" si="179"/>
        <v/>
      </c>
      <c r="PU31" s="11" t="str">
        <f t="shared" si="180"/>
        <v/>
      </c>
      <c r="PV31" s="11" t="str">
        <f t="shared" si="181"/>
        <v/>
      </c>
      <c r="PW31" s="11" t="str">
        <f t="shared" si="182"/>
        <v/>
      </c>
      <c r="PX31" s="11" t="str">
        <f t="shared" si="183"/>
        <v/>
      </c>
      <c r="PY31" s="11" t="str">
        <f t="shared" si="184"/>
        <v/>
      </c>
      <c r="PZ31" s="11" t="str">
        <f t="shared" si="185"/>
        <v/>
      </c>
      <c r="QA31" s="11" t="str">
        <f t="shared" si="186"/>
        <v/>
      </c>
      <c r="QB31" s="11" t="str">
        <f t="shared" si="187"/>
        <v/>
      </c>
      <c r="QC31" s="11" t="str">
        <f t="shared" si="188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9"/>
        <v/>
      </c>
      <c r="QY31" s="40" t="str">
        <f t="shared" si="190"/>
        <v/>
      </c>
      <c r="QZ31" s="40" t="str">
        <f t="shared" si="191"/>
        <v/>
      </c>
      <c r="RA31" s="40" t="str">
        <f t="shared" si="192"/>
        <v/>
      </c>
      <c r="RB31" s="40" t="str">
        <f t="shared" si="193"/>
        <v/>
      </c>
      <c r="RC31" s="40" t="str">
        <f t="shared" si="194"/>
        <v/>
      </c>
      <c r="RD31" s="40" t="str">
        <f t="shared" si="195"/>
        <v/>
      </c>
      <c r="RE31" s="40" t="str">
        <f t="shared" si="196"/>
        <v/>
      </c>
      <c r="RF31" s="40" t="str">
        <f t="shared" si="197"/>
        <v/>
      </c>
      <c r="RG31" s="40" t="str">
        <f t="shared" si="198"/>
        <v/>
      </c>
      <c r="RH31" s="40" t="str">
        <f t="shared" si="199"/>
        <v/>
      </c>
      <c r="RI31" s="40" t="str">
        <f t="shared" si="200"/>
        <v/>
      </c>
      <c r="RJ31" s="40" t="str">
        <f t="shared" si="201"/>
        <v/>
      </c>
      <c r="RK31" s="40" t="str">
        <f t="shared" si="202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3"/>
        <v/>
      </c>
      <c r="SG31" s="11" t="str">
        <f t="shared" si="204"/>
        <v/>
      </c>
      <c r="SH31" s="11" t="str">
        <f t="shared" si="205"/>
        <v/>
      </c>
      <c r="SI31" s="11" t="str">
        <f t="shared" si="206"/>
        <v/>
      </c>
      <c r="SJ31" s="11" t="str">
        <f t="shared" si="207"/>
        <v/>
      </c>
      <c r="SK31" s="11" t="str">
        <f t="shared" si="208"/>
        <v/>
      </c>
      <c r="SL31" s="11" t="str">
        <f t="shared" si="209"/>
        <v/>
      </c>
      <c r="SM31" s="11" t="str">
        <f t="shared" si="210"/>
        <v/>
      </c>
      <c r="SN31" s="11" t="str">
        <f t="shared" si="211"/>
        <v/>
      </c>
      <c r="SO31" s="11" t="str">
        <f t="shared" si="212"/>
        <v/>
      </c>
      <c r="SP31" s="11" t="str">
        <f t="shared" si="213"/>
        <v/>
      </c>
      <c r="SQ31" s="11" t="str">
        <f t="shared" si="214"/>
        <v/>
      </c>
      <c r="SR31" s="11" t="str">
        <f t="shared" si="215"/>
        <v/>
      </c>
      <c r="SS31" s="11" t="str">
        <f t="shared" si="216"/>
        <v/>
      </c>
      <c r="ST31" s="22">
        <f t="shared" si="217"/>
        <v>0</v>
      </c>
      <c r="SU31" s="22">
        <f t="shared" si="218"/>
        <v>0</v>
      </c>
      <c r="SV31" s="22">
        <f t="shared" si="219"/>
        <v>0</v>
      </c>
      <c r="SW31" s="22">
        <f t="shared" si="220"/>
        <v>0</v>
      </c>
      <c r="SX31" s="22">
        <f t="shared" si="221"/>
        <v>0</v>
      </c>
      <c r="SY31" s="22">
        <f t="shared" si="222"/>
        <v>0</v>
      </c>
      <c r="SZ31" s="22">
        <f t="shared" si="223"/>
        <v>0</v>
      </c>
      <c r="TA31" s="22">
        <f t="shared" si="224"/>
        <v>0</v>
      </c>
      <c r="TB31" s="22">
        <f t="shared" si="225"/>
        <v>0</v>
      </c>
      <c r="TC31" s="22">
        <f t="shared" si="226"/>
        <v>0</v>
      </c>
      <c r="TD31" s="22">
        <f t="shared" si="227"/>
        <v>0</v>
      </c>
      <c r="TE31" s="22">
        <f t="shared" si="228"/>
        <v>0</v>
      </c>
      <c r="TF31" s="22">
        <f t="shared" si="229"/>
        <v>0</v>
      </c>
      <c r="TG31" s="22">
        <f t="shared" si="230"/>
        <v>0</v>
      </c>
      <c r="TH31" s="22">
        <f t="shared" si="231"/>
        <v>0</v>
      </c>
      <c r="TI31" s="27" t="s">
        <v>46</v>
      </c>
      <c r="TJ31" s="40" t="str">
        <f t="shared" si="232"/>
        <v/>
      </c>
      <c r="TK31" s="40" t="str">
        <f t="shared" si="233"/>
        <v/>
      </c>
      <c r="TL31" s="40" t="str">
        <f t="shared" si="234"/>
        <v/>
      </c>
      <c r="TM31" s="40" t="str">
        <f t="shared" si="235"/>
        <v/>
      </c>
      <c r="TN31" s="40" t="str">
        <f t="shared" si="236"/>
        <v/>
      </c>
      <c r="TO31" s="40" t="str">
        <f t="shared" si="237"/>
        <v/>
      </c>
      <c r="TP31" s="40" t="str">
        <f t="shared" si="238"/>
        <v/>
      </c>
      <c r="TQ31" s="40" t="str">
        <f t="shared" si="239"/>
        <v/>
      </c>
      <c r="TR31" s="40" t="str">
        <f t="shared" si="240"/>
        <v/>
      </c>
      <c r="TS31" s="40" t="str">
        <f t="shared" si="241"/>
        <v/>
      </c>
      <c r="TT31" s="40" t="str">
        <f t="shared" si="242"/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1">
      <sortCondition descending="1" ref="F1:F32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114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192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111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128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130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135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217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5" si="0"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 t="shared" ref="E4:E17" si="1">SUM(J4:R4)+SUM(J4:N4)*0.0000001+SUM(J4)*0.0000000000001</f>
        <v>183.6000127900052</v>
      </c>
      <c r="F4" s="3" t="str">
        <f t="shared" ref="F4:F17" si="2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3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 t="shared" ref="H4:H17" si="4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 t="shared" ref="I4:I17" si="5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 t="shared" ref="K4:K17" si="6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7" si="7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7" si="8">IF(N4=0,"",IF(N4=CX4,$CA$1,IF(N4=BU4,$AX$1,IF(N4=AR4,$U$1,""))))</f>
        <v>2023 Elite Canada</v>
      </c>
      <c r="P4" s="8">
        <f t="shared" ref="P4:P17" si="9">IF(MAX(AV4,BY4,DB4)&gt;0,MAX(AV4,BY4,DB4),0)</f>
        <v>53.400000000000006</v>
      </c>
      <c r="Q4" s="8" t="str">
        <f t="shared" ref="Q4:Q17" si="10">IF(P4=0,"",IF(P4=DB4,$CA$1,IF(P4=BY4,$AX$1,IF(P4=AV4,$U$1,""))))</f>
        <v>2023 Elite Canada</v>
      </c>
      <c r="R4" s="8">
        <f t="shared" ref="R4:R17" si="11">IF(MAX(DD4:DF4)&gt;0,MAX(DD4:DF4),"")</f>
        <v>2.2999999999999972</v>
      </c>
      <c r="S4" s="11" t="str">
        <f t="shared" ref="S4:S17" si="12">IF(R4="","",IF(R4=DD4,"("&amp;DD$2&amp;")",IF(R4=DE4,"("&amp;DE$2&amp;")",IF(R4=DF4,"("&amp;DF$2&amp;")"))))</f>
        <v>(Q1)</v>
      </c>
      <c r="T4" s="8" t="str">
        <f t="shared" ref="T4:T17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 t="shared" ref="AP4:AP17" si="14">IF(SUM(V4,Z4)&gt;0,SUM(V4,Z4),"")</f>
        <v>6.2</v>
      </c>
      <c r="AQ4" s="40">
        <f t="shared" ref="AQ4:AQ17" si="15">IF(SUM(U4:V4,X4:Z4,AB4)-W4-AA4&gt;0,SUM(U4:V4,X4:Z4,AB4)-W4-AA4,"")</f>
        <v>24.13</v>
      </c>
      <c r="AR4" s="40" t="str">
        <f t="shared" ref="AR4:AR17" si="16">IF(SUM(AC4:AD4,AF4)-AE4&gt;0,SUM(AC4:AD4,AF4)-AE4,"")</f>
        <v/>
      </c>
      <c r="AS4" s="40">
        <f t="shared" ref="AS4:AS17" si="17">IF(SUM(V4,Z4,AD4)&gt;0,SUM(V4,Z4,AD4),"")</f>
        <v>6.2</v>
      </c>
      <c r="AT4" s="40">
        <f t="shared" ref="AT4:AT17" si="18">IF(SUM(AQ4,AR4)&gt;0,SUM(AQ4,AR4),"")</f>
        <v>24.13</v>
      </c>
      <c r="AU4" s="40">
        <f t="shared" ref="AU4:AU17" si="19">IF(SUM(AH4,AL4)&gt;0,SUM(AH4,AL4),"")</f>
        <v>6.2</v>
      </c>
      <c r="AV4" s="40">
        <f t="shared" ref="AV4:AV17" si="20">IF(SUM(AG4:AH4,AJ4:AL4,AN4)-SUM(AI4,AM4)&gt;0,SUM(AG4:AH4,AJ4:AL4,AN4)-SUM(AI4,AM4),"")</f>
        <v>24.349999999999998</v>
      </c>
      <c r="AW4" s="40">
        <f t="shared" ref="AW4:AW17" si="21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 t="shared" ref="BS4:BS17" si="22">IF(SUM(AY4,BC4)&gt;0,SUM(AY4,BC4),"")</f>
        <v>13.8</v>
      </c>
      <c r="BT4" s="11">
        <f t="shared" ref="BT4:BT17" si="23">IF(SUM(AX4:AY4,BA4:BC4,BE4)-AZ4-BD4&gt;0,SUM(AX4:AY4,BA4:BC4,BE4)-AZ4-BD4,"")</f>
        <v>49.300000000000004</v>
      </c>
      <c r="BU4" s="11" t="str">
        <f t="shared" ref="BU4:BU17" si="24">IF(SUM(BF4:BG4,BI4)-BH4&gt;0,SUM(BF4:BG4,BI4)-BH4,"")</f>
        <v/>
      </c>
      <c r="BV4" s="11">
        <f t="shared" ref="BV4:BV17" si="25">IF(SUM(AY4,BC4,BG4)&gt;0,SUM(AY4,BC4,BG4),"")</f>
        <v>13.8</v>
      </c>
      <c r="BW4" s="11">
        <f t="shared" ref="BW4:BW17" si="26">IF(SUM(BT4,BU4)&gt;0,SUM(BT4,BU4),"")</f>
        <v>49.300000000000004</v>
      </c>
      <c r="BX4" s="11">
        <f t="shared" ref="BX4:BX17" si="27">IF(SUM(BK4,BO4)&gt;0,SUM(BK4,BO4),"")</f>
        <v>13.8</v>
      </c>
      <c r="BY4" s="11">
        <f t="shared" ref="BY4:BY17" si="28">IF(SUM(BJ4:BK4,BM4:BO4,BQ4)-SUM(BL4,BP4)&gt;0,SUM(BJ4:BK4,BM4:BO4,BQ4)-SUM(BL4,BP4),"")</f>
        <v>49.46</v>
      </c>
      <c r="BZ4" s="11">
        <f t="shared" ref="BZ4:BZ17" si="29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 t="shared" ref="CV4:CV17" si="30">IF(SUM(CB4,CF4)&gt;0,SUM(CB4,CF4),"")</f>
        <v>14.6</v>
      </c>
      <c r="CW4" s="40">
        <f t="shared" ref="CW4:CW17" si="31">IF(SUM(CA4:CB4,CD4:CF4,CH4)-CC4-CG4&gt;0,SUM(CA4:CB4,CD4:CF4,CH4)-CC4-CG4,"")</f>
        <v>51.599999999999994</v>
      </c>
      <c r="CX4" s="40">
        <f t="shared" ref="CX4:CX17" si="32">IF(SUM(CI4:CJ4,CL4)-CK4&gt;0,SUM(CI4:CJ4,CL4)-CK4,"")</f>
        <v>27</v>
      </c>
      <c r="CY4" s="40">
        <f t="shared" ref="CY4:CY17" si="33">IF(SUM(CB4,CF4,CJ4)&gt;0,SUM(CB4,CF4,CJ4),"")</f>
        <v>22.7</v>
      </c>
      <c r="CZ4" s="40">
        <f t="shared" ref="CZ4:CZ17" si="34">IF(SUM(CW4,CX4)&gt;0,SUM(CW4,CX4),"")</f>
        <v>78.599999999999994</v>
      </c>
      <c r="DA4" s="40">
        <f t="shared" ref="DA4:DA17" si="35">IF(SUM(CN4,CR4)&gt;0,SUM(CN4,CR4),"")</f>
        <v>15.8</v>
      </c>
      <c r="DB4" s="40">
        <f t="shared" ref="DB4:DB17" si="36">IF(SUM(CM4:CN4,CP4:CR4,CT4)-SUM(CO4,CS4)&gt;0,SUM(CM4:CN4,CP4:CR4,CT4)-SUM(CO4,CS4),"")</f>
        <v>53.400000000000006</v>
      </c>
      <c r="DC4" s="40">
        <f t="shared" ref="DC4:DC17" si="37">IF(SUM(CW4,DB4)&gt;0,SUM(CW4,DB4),"")</f>
        <v>105</v>
      </c>
      <c r="DD4" s="50">
        <f t="shared" ref="DD4:DD17" si="38">IF(MAX(EB4,FD4,GF4,HH4,IJ4,JL4,KN4,LP4,MR4,NT4,OV4,PX4)-IF(L4="",0,L4)&gt;0.001,MAX(EB4,FD4,GF4,HH4,IJ4,JL4,KN4,LP4,MR4,NT4,OV4,PX4)-IF(L4="",0,L4),"")</f>
        <v>2.2999999999999972</v>
      </c>
      <c r="DE4" s="50" t="str">
        <f t="shared" ref="DE4:DE17" si="39">IF(MAX(EC4,FE4,GG4,HI4,IK4,JM4,KO4,LQ4,MS4,NU4,OW4,PY4)-IF(N4="",0,N4)&gt;0.001,MAX(EC4,FE4,GG4,HI4,IK4,JM4,KO4,LQ4,MS4,NU4,OW4,PY4)-IF(N4="",0,N4),"")</f>
        <v/>
      </c>
      <c r="DF4" s="50" t="str">
        <f t="shared" ref="DF4:DF17" si="40">IF(MAX(EG4,FI4,GK4,HM4,IO4,JQ4,KS4,LU4,MW4,NY4,PA4,QC4)-IF(P4="",0,P4)&gt;0.001,MAX(EG4,FI4,GK4,HM4,IO4,JQ4,KS4,LU4,MW4,NY4,PA4,QC4)-IF(P4="",0,P4),"")</f>
        <v/>
      </c>
      <c r="DG4" s="17">
        <v>16.8</v>
      </c>
      <c r="DH4" s="17">
        <v>7.3</v>
      </c>
      <c r="DI4" s="17">
        <v>0</v>
      </c>
      <c r="DJ4" s="17">
        <v>0</v>
      </c>
      <c r="DK4" s="17">
        <v>16.399999999999999</v>
      </c>
      <c r="DL4" s="17">
        <v>3.7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17" si="41">IF(SUM(DH4,DL4)&gt;0,SUM(DH4,DL4),"")</f>
        <v>11</v>
      </c>
      <c r="EB4" s="40">
        <f t="shared" ref="EB4:EB17" si="42">IF(SUM(DG4:DH4,DJ4:DL4,DN4)-DI4-DM4&gt;0,SUM(DG4:DH4,DJ4:DL4,DN4)-DI4-DM4,"")</f>
        <v>44.2</v>
      </c>
      <c r="EC4" s="40" t="str">
        <f t="shared" ref="EC4:EC17" si="43">IF(SUM(DO4:DP4,DR4)-DQ4&gt;0,SUM(DO4:DP4,DR4)-DQ4,"")</f>
        <v/>
      </c>
      <c r="ED4" s="40">
        <f t="shared" ref="ED4:ED17" si="44">IF(SUM(DH4,DL4,DP4)&gt;0,SUM(DH4,DL4,DP4),"")</f>
        <v>11</v>
      </c>
      <c r="EE4" s="40">
        <f t="shared" ref="EE4:EE17" si="45">IF(SUM(EB4,EC4)&gt;0,SUM(EB4,EC4),"")</f>
        <v>44.2</v>
      </c>
      <c r="EF4" s="40" t="str">
        <f t="shared" ref="EF4:EF17" si="46">IF(SUM(DT4,DX4)&gt;0,SUM(DT4,DX4),"")</f>
        <v/>
      </c>
      <c r="EG4" s="40" t="str">
        <f t="shared" ref="EG4:EG17" si="47">IF(SUM(DS4:DT4,DV4:DX4,DZ4)-SUM(DU4,DY4)&gt;0,SUM(DS4:DT4,DV4:DX4,DZ4)-SUM(DU4,DY4),"")</f>
        <v/>
      </c>
      <c r="EH4" s="40">
        <f t="shared" ref="EH4:EH17" si="48">IF(SUM(EB4,EG4)&gt;0,SUM(EB4,EG4),"")</f>
        <v>44.2</v>
      </c>
      <c r="EI4" s="18">
        <v>17.8</v>
      </c>
      <c r="EJ4" s="18">
        <v>8.1</v>
      </c>
      <c r="EK4" s="18">
        <v>0.2</v>
      </c>
      <c r="EL4" s="18">
        <v>0</v>
      </c>
      <c r="EM4" s="18">
        <v>18</v>
      </c>
      <c r="EN4" s="18">
        <v>7.7</v>
      </c>
      <c r="EO4" s="18">
        <v>0</v>
      </c>
      <c r="EP4" s="18">
        <v>0</v>
      </c>
      <c r="EQ4" s="18">
        <v>17.7</v>
      </c>
      <c r="ER4" s="18">
        <v>8.9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 t="shared" ref="FC4:FC17" si="49">IF(SUM(EJ4,EN4)&gt;0,SUM(EJ4,EN4),"")</f>
        <v>15.8</v>
      </c>
      <c r="FD4" s="11">
        <f t="shared" ref="FD4:FD17" si="50">IF(SUM(EI4:EJ4,EL4:EN4,EP4)-EK4-EO4&gt;0,SUM(EI4:EJ4,EL4:EN4,EP4)-EK4-EO4,"")</f>
        <v>51.4</v>
      </c>
      <c r="FE4" s="11">
        <f t="shared" ref="FE4:FE17" si="51">IF(SUM(EQ4:ER4,ET4)-ES4&gt;0,SUM(EQ4:ER4,ET4)-ES4,"")</f>
        <v>26.6</v>
      </c>
      <c r="FF4" s="11">
        <f t="shared" ref="FF4:FF17" si="52">IF(SUM(EJ4,EN4,ER4)&gt;0,SUM(EJ4,EN4,ER4),"")</f>
        <v>24.700000000000003</v>
      </c>
      <c r="FG4" s="11">
        <f t="shared" ref="FG4:FG17" si="53">IF(SUM(FD4,FE4)&gt;0,SUM(FD4,FE4),"")</f>
        <v>78</v>
      </c>
      <c r="FH4" s="11" t="str">
        <f t="shared" ref="FH4:FH17" si="54">IF(SUM(EV4,EZ4)&gt;0,SUM(EV4,EZ4),"")</f>
        <v/>
      </c>
      <c r="FI4" s="11" t="str">
        <f t="shared" ref="FI4:FI17" si="55">IF(SUM(EU4:EV4,EX4:EZ4,FB4)-SUM(EW4,FA4)&gt;0,SUM(EU4:EV4,EX4:EZ4,FB4)-SUM(EW4,FA4),"")</f>
        <v/>
      </c>
      <c r="FJ4" s="11">
        <f t="shared" ref="FJ4:FJ17" si="56">IF(SUM(FD4,FI4)&gt;0,SUM(FD4,FI4),"")</f>
        <v>51.4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17.899999999999999</v>
      </c>
      <c r="GB4" s="17">
        <v>7.7</v>
      </c>
      <c r="GC4" s="17">
        <v>0</v>
      </c>
      <c r="GD4" s="17">
        <v>0</v>
      </c>
      <c r="GE4" s="40" t="str">
        <f t="shared" ref="GE4:GE17" si="57">IF(SUM(FL4,FP4)&gt;0,SUM(FL4,FP4),"")</f>
        <v/>
      </c>
      <c r="GF4" s="40" t="str">
        <f t="shared" ref="GF4:GF17" si="58">IF(SUM(FK4:FL4,FN4:FP4,FR4)-FM4-FQ4&gt;0,SUM(FK4:FL4,FN4:FP4,FR4)-FM4-FQ4,"")</f>
        <v/>
      </c>
      <c r="GG4" s="40" t="str">
        <f t="shared" ref="GG4:GG17" si="59">IF(SUM(FS4:FT4,FV4)-FU4&gt;0,SUM(FS4:FT4,FV4)-FU4,"")</f>
        <v/>
      </c>
      <c r="GH4" s="40" t="str">
        <f t="shared" ref="GH4:GH17" si="60">IF(SUM(FL4,FP4,FT4)&gt;0,SUM(FL4,FP4,FT4),"")</f>
        <v/>
      </c>
      <c r="GI4" s="40" t="str">
        <f t="shared" ref="GI4:GI17" si="61">IF(SUM(GF4,GG4)&gt;0,SUM(GF4,GG4),"")</f>
        <v/>
      </c>
      <c r="GJ4" s="40">
        <f t="shared" ref="GJ4:GJ17" si="62">IF(SUM(FX4,GB4)&gt;0,SUM(FX4,GB4),"")</f>
        <v>7.7</v>
      </c>
      <c r="GK4" s="40">
        <f t="shared" ref="GK4:GK17" si="63">IF(SUM(FW4:FX4,FZ4:GB4,GD4)-SUM(FY4,GC4)&gt;0,SUM(FW4:FX4,FZ4:GB4,GD4)-SUM(FY4,GC4),"")</f>
        <v>25.599999999999998</v>
      </c>
      <c r="GL4" s="40">
        <f t="shared" ref="GL4:GL17" si="64">IF(SUM(GF4,GK4)&gt;0,SUM(GF4,GK4),"")</f>
        <v>25.599999999999998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5">IF(SUM(GN4,GR4)&gt;0,SUM(GN4,GR4),"")</f>
        <v/>
      </c>
      <c r="HH4" s="11" t="str">
        <f t="shared" ref="HH4:HH17" si="66">IF(SUM(GM4:GN4,GP4:GR4,GT4)-GO4-GS4&gt;0,SUM(GM4:GN4,GP4:GR4,GT4)-GO4-GS4,"")</f>
        <v/>
      </c>
      <c r="HI4" s="11" t="str">
        <f t="shared" ref="HI4:HI17" si="67">IF(SUM(GU4:GV4,GX4)-GW4&gt;0,SUM(GU4:GV4,GX4)-GW4,"")</f>
        <v/>
      </c>
      <c r="HJ4" s="11" t="str">
        <f t="shared" ref="HJ4:HJ17" si="68">IF(SUM(GN4,GR4,GV4)&gt;0,SUM(GN4,GR4,GV4),"")</f>
        <v/>
      </c>
      <c r="HK4" s="11" t="str">
        <f t="shared" ref="HK4:HK17" si="69">IF(SUM(HH4,HI4)&gt;0,SUM(HH4,HI4),"")</f>
        <v/>
      </c>
      <c r="HL4" s="11" t="str">
        <f t="shared" ref="HL4:HL17" si="70">IF(SUM(GZ4,HD4)&gt;0,SUM(GZ4,HD4),"")</f>
        <v/>
      </c>
      <c r="HM4" s="11" t="str">
        <f t="shared" ref="HM4:HM17" si="71">IF(SUM(GY4:GZ4,HB4:HD4,HF4)-SUM(HA4,HE4)&gt;0,SUM(GY4:GZ4,HB4:HD4,HF4)-SUM(HA4,HE4),"")</f>
        <v/>
      </c>
      <c r="HN4" s="11" t="str">
        <f t="shared" ref="HN4:HN17" si="72">IF(SUM(HH4,HM4)&gt;0,SUM(HH4,HM4),"")</f>
        <v/>
      </c>
      <c r="HO4" s="17">
        <v>18</v>
      </c>
      <c r="HP4" s="17">
        <v>8.9</v>
      </c>
      <c r="HQ4" s="17">
        <v>0</v>
      </c>
      <c r="HR4" s="17">
        <v>0</v>
      </c>
      <c r="HS4" s="17">
        <v>17.8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18.100000000000001</v>
      </c>
      <c r="IB4" s="17">
        <v>9.3000000000000007</v>
      </c>
      <c r="IC4" s="17">
        <v>0</v>
      </c>
      <c r="ID4" s="17">
        <v>0</v>
      </c>
      <c r="IE4" s="17">
        <v>17.8</v>
      </c>
      <c r="IF4" s="17">
        <v>8.1</v>
      </c>
      <c r="IG4" s="17">
        <v>0</v>
      </c>
      <c r="IH4" s="17">
        <v>0</v>
      </c>
      <c r="II4" s="40">
        <f t="shared" ref="II4:II17" si="73">IF(SUM(HP4,HT4)&gt;0,SUM(HP4,HT4),"")</f>
        <v>15.8</v>
      </c>
      <c r="IJ4" s="40">
        <f t="shared" ref="IJ4:IJ17" si="74">IF(SUM(HO4:HP4,HR4:HT4,HV4)-HQ4-HU4&gt;0,SUM(HO4:HP4,HR4:HT4,HV4)-HQ4-HU4,"")</f>
        <v>51.6</v>
      </c>
      <c r="IK4" s="40" t="str">
        <f t="shared" ref="IK4:IK17" si="75">IF(SUM(HW4:HX4,HZ4)-HY4&gt;0,SUM(HW4:HX4,HZ4)-HY4,"")</f>
        <v/>
      </c>
      <c r="IL4" s="40">
        <f t="shared" ref="IL4:IL17" si="76">IF(SUM(HP4,HT4,HX4)&gt;0,SUM(HP4,HT4,HX4),"")</f>
        <v>15.8</v>
      </c>
      <c r="IM4" s="40">
        <f t="shared" ref="IM4:IM17" si="77">IF(SUM(IJ4,IK4)&gt;0,SUM(IJ4,IK4),"")</f>
        <v>51.6</v>
      </c>
      <c r="IN4" s="40">
        <f t="shared" ref="IN4:IN17" si="78">IF(SUM(IB4,IF4)&gt;0,SUM(IB4,IF4),"")</f>
        <v>17.399999999999999</v>
      </c>
      <c r="IO4" s="40">
        <f t="shared" ref="IO4:IO17" si="79">IF(SUM(IA4:IB4,ID4:IF4,IH4)-SUM(IC4,IG4)&gt;0,SUM(IA4:IB4,ID4:IF4,IH4)-SUM(IC4,IG4),"")</f>
        <v>53.300000000000004</v>
      </c>
      <c r="IP4" s="40">
        <f t="shared" ref="IP4:IP17" si="80">IF(SUM(IJ4,IO4)&gt;0,SUM(IJ4,IO4),"")</f>
        <v>104.9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7" si="81">IF(SUM(IR4,IV4)&gt;0,SUM(IR4,IV4),"")</f>
        <v/>
      </c>
      <c r="JL4" s="11" t="str">
        <f t="shared" ref="JL4:JL17" si="82">IF(SUM(IQ4:IR4,IT4:IV4,IX4)-IS4-IW4&gt;0,SUM(IQ4:IR4,IT4:IV4,IX4)-IS4-IW4,"")</f>
        <v/>
      </c>
      <c r="JM4" s="11" t="str">
        <f t="shared" ref="JM4:JM17" si="83">IF(SUM(IY4:IZ4,JB4)-JA4&gt;0,SUM(IY4:IZ4,JB4)-JA4,"")</f>
        <v/>
      </c>
      <c r="JN4" s="11" t="str">
        <f t="shared" ref="JN4:JN17" si="84">IF(SUM(IR4,IV4,IZ4)&gt;0,SUM(IR4,IV4,IZ4),"")</f>
        <v/>
      </c>
      <c r="JO4" s="11" t="str">
        <f t="shared" ref="JO4:JO17" si="85">IF(SUM(JL4,JM4)&gt;0,SUM(JL4,JM4),"")</f>
        <v/>
      </c>
      <c r="JP4" s="11" t="str">
        <f t="shared" ref="JP4:JP17" si="86">IF(SUM(JD4,JH4)&gt;0,SUM(JD4,JH4),"")</f>
        <v/>
      </c>
      <c r="JQ4" s="11" t="str">
        <f t="shared" ref="JQ4:JQ17" si="87">IF(SUM(JC4:JD4,JF4:JH4,JJ4)-SUM(JE4,JI4)&gt;0,SUM(JC4:JD4,JF4:JH4,JJ4)-SUM(JE4,JI4),"")</f>
        <v/>
      </c>
      <c r="JR4" s="11" t="str">
        <f t="shared" ref="JR4:JR17" si="88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17" si="89">IF(SUM(JT4,JX4)&gt;0,SUM(JT4,JX4),"")</f>
        <v/>
      </c>
      <c r="KN4" s="40" t="str">
        <f t="shared" ref="KN4:KN17" si="90">IF(SUM(JS4:JT4,JV4:JX4,JZ4)-JU4-JY4&gt;0,SUM(JS4:JT4,JV4:JX4,JZ4)-JU4-JY4,"")</f>
        <v/>
      </c>
      <c r="KO4" s="40" t="str">
        <f t="shared" ref="KO4:KO17" si="91">IF(SUM(KA4:KB4,KD4)-KC4&gt;0,SUM(KA4:KB4,KD4)-KC4,"")</f>
        <v/>
      </c>
      <c r="KP4" s="40" t="str">
        <f t="shared" ref="KP4:KP17" si="92">IF(SUM(JT4,JX4,KB4)&gt;0,SUM(JT4,JX4,KB4),"")</f>
        <v/>
      </c>
      <c r="KQ4" s="40" t="str">
        <f t="shared" ref="KQ4:KQ17" si="93">IF(SUM(KN4,KO4)&gt;0,SUM(KN4,KO4),"")</f>
        <v/>
      </c>
      <c r="KR4" s="40" t="str">
        <f t="shared" ref="KR4:KR17" si="94">IF(SUM(KF4,KJ4)&gt;0,SUM(KF4,KJ4),"")</f>
        <v/>
      </c>
      <c r="KS4" s="40" t="str">
        <f t="shared" ref="KS4:KS17" si="95">IF(SUM(KE4:KF4,KH4:KJ4,KL4)-SUM(KG4,KK4)&gt;0,SUM(KE4:KF4,KH4:KJ4,KL4)-SUM(KG4,KK4),"")</f>
        <v/>
      </c>
      <c r="KT4" s="40" t="str">
        <f t="shared" ref="KT4:KT17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7" si="97">IF(SUM(KV4,KZ4)&gt;0,SUM(KV4,KZ4),"")</f>
        <v/>
      </c>
      <c r="LP4" s="11" t="str">
        <f t="shared" ref="LP4:LP17" si="98">IF(SUM(KU4:KV4,KX4:KZ4,LB4)-KW4-LA4&gt;0,SUM(KU4:KV4,KX4:KZ4,LB4)-KW4-LA4,"")</f>
        <v/>
      </c>
      <c r="LQ4" s="11" t="str">
        <f t="shared" ref="LQ4:LQ17" si="99">IF(SUM(LC4:LD4,LF4)-LE4&gt;0,SUM(LC4:LD4,LF4)-LE4,"")</f>
        <v/>
      </c>
      <c r="LR4" s="11" t="str">
        <f t="shared" ref="LR4:LR17" si="100">IF(SUM(KV4,KZ4,LD4)&gt;0,SUM(KV4,KZ4,LD4),"")</f>
        <v/>
      </c>
      <c r="LS4" s="11" t="str">
        <f t="shared" ref="LS4:LS17" si="101">IF(SUM(LP4,LQ4)&gt;0,SUM(LP4,LQ4),"")</f>
        <v/>
      </c>
      <c r="LT4" s="11" t="str">
        <f t="shared" ref="LT4:LT17" si="102">IF(SUM(LH4,LL4)&gt;0,SUM(LH4,LL4),"")</f>
        <v/>
      </c>
      <c r="LU4" s="11" t="str">
        <f t="shared" ref="LU4:LU17" si="103">IF(SUM(LG4:LH4,LJ4:LL4,LN4)-SUM(LI4,LM4)&gt;0,SUM(LG4:LH4,LJ4:LL4,LN4)-SUM(LI4,LM4),"")</f>
        <v/>
      </c>
      <c r="LV4" s="11" t="str">
        <f t="shared" ref="LV4:LV17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7" si="105">IF(SUM(LX4,MB4)&gt;0,SUM(LX4,MB4),"")</f>
        <v/>
      </c>
      <c r="MR4" s="40" t="str">
        <f t="shared" ref="MR4:MR17" si="106">IF(SUM(LW4:LX4,LZ4:MB4,MD4)-LY4-MC4&gt;0,SUM(LW4:LX4,LZ4:MB4,MD4)-LY4-MC4,"")</f>
        <v/>
      </c>
      <c r="MS4" s="40" t="str">
        <f t="shared" ref="MS4:MS17" si="107">IF(SUM(ME4:MF4,MH4)-MG4&gt;0,SUM(ME4:MF4,MH4)-MG4,"")</f>
        <v/>
      </c>
      <c r="MT4" s="40" t="str">
        <f t="shared" ref="MT4:MT17" si="108">IF(SUM(LX4,MB4,MF4)&gt;0,SUM(LX4,MB4,MF4),"")</f>
        <v/>
      </c>
      <c r="MU4" s="40" t="str">
        <f t="shared" ref="MU4:MU17" si="109">IF(SUM(MR4,MS4)&gt;0,SUM(MR4,MS4),"")</f>
        <v/>
      </c>
      <c r="MV4" s="40" t="str">
        <f t="shared" ref="MV4:MV17" si="110">IF(SUM(MJ4,MN4)&gt;0,SUM(MJ4,MN4),"")</f>
        <v/>
      </c>
      <c r="MW4" s="40" t="str">
        <f t="shared" ref="MW4:MW17" si="111">IF(SUM(MI4:MJ4,ML4:MN4,MP4)-SUM(MK4,MO4)&gt;0,SUM(MI4:MJ4,ML4:MN4,MP4)-SUM(MK4,MO4),"")</f>
        <v/>
      </c>
      <c r="MX4" s="40" t="str">
        <f t="shared" ref="MX4:MX17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3">IF(SUM(MZ4,ND4)&gt;0,SUM(MZ4,ND4),"")</f>
        <v/>
      </c>
      <c r="NT4" s="11" t="str">
        <f t="shared" ref="NT4:NT17" si="114">IF(SUM(MY4:MZ4,NB4:ND4,NF4)-NA4-NE4&gt;0,SUM(MY4:MZ4,NB4:ND4,NF4)-NA4-NE4,"")</f>
        <v/>
      </c>
      <c r="NU4" s="11" t="str">
        <f t="shared" ref="NU4:NU17" si="115">IF(SUM(NG4:NH4,NJ4)-NI4&gt;0,SUM(NG4:NH4,NJ4)-NI4,"")</f>
        <v/>
      </c>
      <c r="NV4" s="11" t="str">
        <f t="shared" ref="NV4:NV17" si="116">IF(SUM(MZ4,ND4,NH4)&gt;0,SUM(MZ4,ND4,NH4),"")</f>
        <v/>
      </c>
      <c r="NW4" s="11" t="str">
        <f t="shared" ref="NW4:NW17" si="117">IF(SUM(NT4,NU4)&gt;0,SUM(NT4,NU4),"")</f>
        <v/>
      </c>
      <c r="NX4" s="11" t="str">
        <f t="shared" ref="NX4:NX17" si="118">IF(SUM(NL4,NP4)&gt;0,SUM(NL4,NP4),"")</f>
        <v/>
      </c>
      <c r="NY4" s="11" t="str">
        <f t="shared" ref="NY4:NY17" si="119">IF(SUM(NK4:NL4,NN4:NP4,NR4)-SUM(NM4,NQ4)&gt;0,SUM(NK4:NL4,NN4:NP4,NR4)-SUM(NM4,NQ4),"")</f>
        <v/>
      </c>
      <c r="NZ4" s="11" t="str">
        <f t="shared" ref="NZ4:NZ17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7" si="121">IF(SUM(OB4,OF4)&gt;0,SUM(OB4,OF4),"")</f>
        <v/>
      </c>
      <c r="OV4" s="40" t="str">
        <f t="shared" ref="OV4:OV17" si="122">IF(SUM(OA4:OB4,OD4:OF4,OH4)-OC4-OG4&gt;0,SUM(OA4:OB4,OD4:OF4,OH4)-OC4-OG4,"")</f>
        <v/>
      </c>
      <c r="OW4" s="40" t="str">
        <f t="shared" ref="OW4:OW17" si="123">IF(SUM(OI4:OJ4,OL4)-OK4&gt;0,SUM(OI4:OJ4,OL4)-OK4,"")</f>
        <v/>
      </c>
      <c r="OX4" s="40" t="str">
        <f t="shared" ref="OX4:OX17" si="124">IF(SUM(OB4,OF4,OJ4)&gt;0,SUM(OB4,OF4,OJ4),"")</f>
        <v/>
      </c>
      <c r="OY4" s="40" t="str">
        <f t="shared" ref="OY4:OY17" si="125">IF(SUM(OV4,OW4)&gt;0,SUM(OV4,OW4),"")</f>
        <v/>
      </c>
      <c r="OZ4" s="40" t="str">
        <f t="shared" ref="OZ4:OZ17" si="126">IF(SUM(ON4,OR4)&gt;0,SUM(ON4,OR4),"")</f>
        <v/>
      </c>
      <c r="PA4" s="40" t="str">
        <f t="shared" ref="PA4:PA17" si="127">IF(SUM(OM4:ON4,OP4:OR4,OT4)-SUM(OO4,OS4)&gt;0,SUM(OM4:ON4,OP4:OR4,OT4)-SUM(OO4,OS4),"")</f>
        <v/>
      </c>
      <c r="PB4" s="40" t="str">
        <f t="shared" ref="PB4:PB17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9">IF(SUM(PD4,PH4)&gt;0,SUM(PD4,PH4),"")</f>
        <v/>
      </c>
      <c r="PX4" s="11" t="str">
        <f t="shared" ref="PX4:PX17" si="130">IF(SUM(PC4:PD4,PF4:PH4,PJ4)-PE4-PI4&gt;0,SUM(PC4:PD4,PF4:PH4,PJ4)-PE4-PI4,"")</f>
        <v/>
      </c>
      <c r="PY4" s="11" t="str">
        <f t="shared" ref="PY4:PY17" si="131">IF(SUM(PK4:PL4,PN4)-PM4&gt;0,SUM(PK4:PL4,PN4)-PM4,"")</f>
        <v/>
      </c>
      <c r="PZ4" s="11" t="str">
        <f t="shared" ref="PZ4:PZ17" si="132">IF(SUM(PD4,PH4,PL4)&gt;0,SUM(PD4,PH4,PL4),"")</f>
        <v/>
      </c>
      <c r="QA4" s="11" t="str">
        <f t="shared" ref="QA4:QA17" si="133">IF(SUM(PX4,PY4)&gt;0,SUM(PX4,PY4),"")</f>
        <v/>
      </c>
      <c r="QB4" s="11" t="str">
        <f t="shared" ref="QB4:QB17" si="134">IF(SUM(PP4,PT4)&gt;0,SUM(PP4,PT4),"")</f>
        <v/>
      </c>
      <c r="QC4" s="11" t="str">
        <f t="shared" ref="QC4:QC17" si="135">IF(SUM(PO4:PP4,PR4:PT4,PV4)-SUM(PQ4,PU4)&gt;0,SUM(PO4:PP4,PR4:PT4,PV4)-SUM(PQ4,PU4),"")</f>
        <v/>
      </c>
      <c r="QD4" s="11" t="str">
        <f t="shared" ref="QD4:QD17" si="136">IF(SUM(PX4,QC4)&gt;0,SUM(PX4,QC4),"")</f>
        <v/>
      </c>
      <c r="QE4" s="22">
        <f t="shared" ref="QE4:QE17" si="137">IF($CU4="P",CA4,(CA4+AX4)/2)</f>
        <v>18.3</v>
      </c>
      <c r="QF4" s="22">
        <f t="shared" ref="QF4:QF17" si="138">IF($CU4="P",CB4,(CB4+AY4)/2)</f>
        <v>7.5</v>
      </c>
      <c r="QG4" s="22">
        <f t="shared" ref="QG4:QG17" si="139">IF($CU4="P",CC4,(CC4+AZ4)/2)</f>
        <v>0</v>
      </c>
      <c r="QH4" s="22">
        <f t="shared" ref="QH4:QH17" si="140">IF($CU4="P",CD4,(CD4+BA4)/2)</f>
        <v>0</v>
      </c>
      <c r="QI4" s="22">
        <f t="shared" ref="QI4:QI17" si="141">IF($CU4="P",CE4,(CE4+BB4)/2)</f>
        <v>17.95</v>
      </c>
      <c r="QJ4" s="22">
        <f t="shared" ref="QJ4:QJ17" si="142">IF($CU4="P",CF4,(CF4+BC4)/2)</f>
        <v>6.7</v>
      </c>
      <c r="QK4" s="22">
        <f t="shared" ref="QK4:QK17" si="143">IF($CU4="P",CG4,(CG4+BD4)/2)</f>
        <v>0</v>
      </c>
      <c r="QL4" s="22">
        <f t="shared" ref="QL4:QL17" si="144">IF($CU4="P",CH4,(CH4+BE4)/2)</f>
        <v>0</v>
      </c>
      <c r="QM4" s="22">
        <f t="shared" ref="QM4:QM17" si="145">IF($CU4="P",CI4,(CI4+BF4)/2)</f>
        <v>9.4499999999999993</v>
      </c>
      <c r="QN4" s="22">
        <f t="shared" ref="QN4:QN17" si="146">IF($CU4="P",CJ4,(CJ4+BG4)/2)</f>
        <v>4.05</v>
      </c>
      <c r="QO4" s="22">
        <f t="shared" ref="QO4:QO17" si="147">IF($CU4="P",CK4,(CK4+BH4)/2)</f>
        <v>0</v>
      </c>
      <c r="QP4" s="22">
        <f t="shared" ref="QP4:QP17" si="148">IF($CU4="P",CL4,(CL4+BI4)/2)</f>
        <v>0</v>
      </c>
      <c r="QQ4" s="22">
        <f t="shared" ref="QQ4:QQ17" si="149">IF($CU4="P",CM4,(CM4+BJ4)/2)</f>
        <v>18.53</v>
      </c>
      <c r="QR4" s="22">
        <f t="shared" ref="QR4:QR17" si="150">IF($CU4="P",CN4,(CN4+BK4)/2)</f>
        <v>7.5</v>
      </c>
      <c r="QS4" s="22">
        <f t="shared" ref="QS4:QS17" si="151">IF($CU4="P",CO4,(CO4+BL4)/2)</f>
        <v>0</v>
      </c>
      <c r="QT4" s="22">
        <f t="shared" ref="QT4:QT17" si="152">IF($CU4="P",CP4,(CP4+BM4)/2)</f>
        <v>0</v>
      </c>
      <c r="QU4" s="22">
        <f t="shared" ref="QU4:QU17" si="153">IF($CU4="P",CQ4,(CQ4+BN4)/2)</f>
        <v>18.100000000000001</v>
      </c>
      <c r="QV4" s="22">
        <f t="shared" ref="QV4:QV17" si="154">IF($CU4="P",CR4,(CR4+BO4)/2)</f>
        <v>7.3000000000000007</v>
      </c>
      <c r="QW4" s="22">
        <f t="shared" ref="QW4:QW17" si="155">IF($CU4="P",CS4,(CS4+BP4)/2)</f>
        <v>0</v>
      </c>
      <c r="QX4" s="22">
        <f t="shared" ref="QX4:QX17" si="156">IF($CU4="P",CT4,(CT4+BQ4)/2)</f>
        <v>0</v>
      </c>
      <c r="QY4" s="27" t="s">
        <v>46</v>
      </c>
      <c r="QZ4" s="40">
        <f t="shared" ref="QZ4:QZ17" si="157">IF(SUM(QF4,QJ4)&gt;0,SUM(QF4,QJ4),"")</f>
        <v>14.2</v>
      </c>
      <c r="RA4" s="40">
        <f t="shared" ref="RA4:RA17" si="158">IF(SUM(QE4:QF4,QH4:QJ4,QL4)-QG4-QK4&gt;0,SUM(QE4:QF4,QH4:QJ4,QL4)-QG4-QK4,"")</f>
        <v>50.45</v>
      </c>
      <c r="RB4" s="40">
        <f t="shared" ref="RB4:RB17" si="159">IF(SUM(QM4:QN4,QP4)-QO4&gt;0,SUM(QM4:QN4,QP4)-QO4,"")</f>
        <v>13.5</v>
      </c>
      <c r="RC4" s="40">
        <f t="shared" ref="RC4:RC17" si="160">IF(SUM(QF4,QJ4,QN4)&gt;0,SUM(QF4,QJ4,QN4),"")</f>
        <v>18.25</v>
      </c>
      <c r="RD4" s="40">
        <f t="shared" ref="RD4:RD17" si="161">IF(SUM(RA4,RB4)&gt;0,SUM(RA4,RB4),"")</f>
        <v>63.95</v>
      </c>
      <c r="RE4" s="40">
        <f t="shared" ref="RE4:RE17" si="162">IF(SUM(QR4,QV4)&gt;0,SUM(QR4,QV4),"")</f>
        <v>14.8</v>
      </c>
      <c r="RF4" s="40">
        <f t="shared" ref="RF4:RF17" si="163">IF(SUM(QQ4:QR4,QT4:QV4,QX4)-SUM(QS4,QW4)&gt;0,SUM(QQ4:QR4,QT4:QV4,QX4)-SUM(QS4,QW4),"")</f>
        <v>51.430000000000007</v>
      </c>
      <c r="RG4" s="40">
        <f t="shared" ref="RG4:RG17" si="164">IF(SUM(RA4,RF4)&gt;0,SUM(RA4,RF4),"")</f>
        <v>101.88000000000001</v>
      </c>
    </row>
    <row r="5" spans="1:475" x14ac:dyDescent="0.2">
      <c r="A5" s="4">
        <f t="shared" si="0"/>
        <v>2</v>
      </c>
      <c r="B5" s="5" t="s">
        <v>207</v>
      </c>
      <c r="C5" s="4" t="s">
        <v>3</v>
      </c>
      <c r="D5" s="4">
        <v>2006</v>
      </c>
      <c r="E5" s="9">
        <f t="shared" si="1"/>
        <v>176.00001203000497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49.6</v>
      </c>
      <c r="K5" s="8" t="str">
        <f t="shared" si="6"/>
        <v>2022 3rd Domestic Trial</v>
      </c>
      <c r="L5" s="8">
        <f>IF(COUNT(AQ5,BT5,CW5)&gt;1,LARGE((AQ5,BT5,CW5),2),0)</f>
        <v>45.6</v>
      </c>
      <c r="M5" s="8" t="str">
        <f t="shared" si="7"/>
        <v>2023 Elite Canada</v>
      </c>
      <c r="N5" s="8">
        <f>IF(COUNT(AR5,BU5,CX5)&gt;0,LARGE((AR5,BU5,CX5),1),0)</f>
        <v>25.1</v>
      </c>
      <c r="O5" s="8" t="str">
        <f t="shared" si="8"/>
        <v>2023 Elite Canada</v>
      </c>
      <c r="P5" s="8">
        <f t="shared" si="9"/>
        <v>50.699999999999996</v>
      </c>
      <c r="Q5" s="8" t="str">
        <f t="shared" si="10"/>
        <v>2023 Elite Canada</v>
      </c>
      <c r="R5" s="8">
        <f t="shared" si="11"/>
        <v>4.9999999999999929</v>
      </c>
      <c r="S5" s="11" t="str">
        <f t="shared" si="12"/>
        <v>(Q1)</v>
      </c>
      <c r="T5" s="8" t="str">
        <f t="shared" si="13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 t="shared" si="14"/>
        <v>6.6</v>
      </c>
      <c r="AQ5" s="40">
        <f t="shared" si="15"/>
        <v>24.15</v>
      </c>
      <c r="AR5" s="40" t="str">
        <f t="shared" si="16"/>
        <v/>
      </c>
      <c r="AS5" s="40">
        <f t="shared" si="17"/>
        <v>6.6</v>
      </c>
      <c r="AT5" s="40">
        <f t="shared" si="18"/>
        <v>24.15</v>
      </c>
      <c r="AU5" s="40">
        <f t="shared" si="19"/>
        <v>6.4</v>
      </c>
      <c r="AV5" s="40">
        <f t="shared" si="20"/>
        <v>24.199999999999996</v>
      </c>
      <c r="AW5" s="40">
        <f t="shared" si="21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 t="shared" si="22"/>
        <v>14.7</v>
      </c>
      <c r="BT5" s="11">
        <f t="shared" si="23"/>
        <v>49.6</v>
      </c>
      <c r="BU5" s="11" t="str">
        <f t="shared" si="24"/>
        <v/>
      </c>
      <c r="BV5" s="11">
        <f t="shared" si="25"/>
        <v>14.7</v>
      </c>
      <c r="BW5" s="11">
        <f t="shared" si="26"/>
        <v>49.6</v>
      </c>
      <c r="BX5" s="11">
        <f t="shared" si="27"/>
        <v>15.1</v>
      </c>
      <c r="BY5" s="11">
        <f t="shared" si="28"/>
        <v>50.099999999999994</v>
      </c>
      <c r="BZ5" s="11">
        <f t="shared" si="29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 t="shared" si="30"/>
        <v>10.199999999999999</v>
      </c>
      <c r="CW5" s="40">
        <f t="shared" si="31"/>
        <v>45.6</v>
      </c>
      <c r="CX5" s="40">
        <f t="shared" si="32"/>
        <v>25.1</v>
      </c>
      <c r="CY5" s="40">
        <f t="shared" si="33"/>
        <v>16.7</v>
      </c>
      <c r="CZ5" s="40">
        <f t="shared" si="34"/>
        <v>70.7</v>
      </c>
      <c r="DA5" s="40">
        <f t="shared" si="35"/>
        <v>13.8</v>
      </c>
      <c r="DB5" s="40">
        <f t="shared" si="36"/>
        <v>50.699999999999996</v>
      </c>
      <c r="DC5" s="40">
        <f t="shared" si="37"/>
        <v>96.3</v>
      </c>
      <c r="DD5" s="50">
        <f t="shared" si="38"/>
        <v>4.9999999999999929</v>
      </c>
      <c r="DE5" s="50" t="str">
        <f t="shared" si="39"/>
        <v/>
      </c>
      <c r="DF5" s="50" t="str">
        <f t="shared" si="40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40" t="str">
        <f t="shared" si="46"/>
        <v/>
      </c>
      <c r="EG5" s="40" t="str">
        <f t="shared" si="47"/>
        <v/>
      </c>
      <c r="EH5" s="40" t="str">
        <f t="shared" si="48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40" t="str">
        <f t="shared" si="62"/>
        <v/>
      </c>
      <c r="GK5" s="40" t="str">
        <f t="shared" si="63"/>
        <v/>
      </c>
      <c r="GL5" s="40" t="str">
        <f t="shared" si="64"/>
        <v/>
      </c>
      <c r="GM5" s="18">
        <v>18.3</v>
      </c>
      <c r="GN5" s="18">
        <v>7.6</v>
      </c>
      <c r="GO5" s="18">
        <v>0</v>
      </c>
      <c r="GP5" s="18">
        <v>0</v>
      </c>
      <c r="GQ5" s="18">
        <v>17.399999999999999</v>
      </c>
      <c r="GR5" s="18">
        <v>7.3</v>
      </c>
      <c r="GS5" s="18">
        <v>0</v>
      </c>
      <c r="GT5" s="18">
        <v>0</v>
      </c>
      <c r="GU5" s="18"/>
      <c r="GV5" s="18"/>
      <c r="GW5" s="18"/>
      <c r="GX5" s="18"/>
      <c r="GY5" s="18">
        <v>16.7</v>
      </c>
      <c r="GZ5" s="18">
        <v>8.8000000000000007</v>
      </c>
      <c r="HA5" s="18">
        <v>0</v>
      </c>
      <c r="HB5" s="18">
        <v>0</v>
      </c>
      <c r="HC5" s="18">
        <v>16.5</v>
      </c>
      <c r="HD5" s="18">
        <v>3.3</v>
      </c>
      <c r="HE5" s="18">
        <v>0</v>
      </c>
      <c r="HF5" s="18">
        <v>0</v>
      </c>
      <c r="HG5" s="11">
        <f t="shared" si="65"/>
        <v>14.899999999999999</v>
      </c>
      <c r="HH5" s="11">
        <f t="shared" si="66"/>
        <v>50.599999999999994</v>
      </c>
      <c r="HI5" s="11" t="str">
        <f t="shared" si="67"/>
        <v/>
      </c>
      <c r="HJ5" s="11">
        <f t="shared" si="68"/>
        <v>14.899999999999999</v>
      </c>
      <c r="HK5" s="11">
        <f t="shared" si="69"/>
        <v>50.599999999999994</v>
      </c>
      <c r="HL5" s="11">
        <f t="shared" si="70"/>
        <v>12.100000000000001</v>
      </c>
      <c r="HM5" s="11">
        <f t="shared" si="71"/>
        <v>45.3</v>
      </c>
      <c r="HN5" s="11">
        <f t="shared" si="72"/>
        <v>95.899999999999991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17.049999999999997</v>
      </c>
      <c r="QF5" s="22">
        <f t="shared" si="138"/>
        <v>5.55</v>
      </c>
      <c r="QG5" s="22">
        <f t="shared" si="139"/>
        <v>0</v>
      </c>
      <c r="QH5" s="22">
        <f t="shared" si="140"/>
        <v>0.15</v>
      </c>
      <c r="QI5" s="22">
        <f t="shared" si="141"/>
        <v>17.8</v>
      </c>
      <c r="QJ5" s="22">
        <f t="shared" si="142"/>
        <v>6.9</v>
      </c>
      <c r="QK5" s="22">
        <f t="shared" si="143"/>
        <v>0</v>
      </c>
      <c r="QL5" s="22">
        <f t="shared" si="144"/>
        <v>0.15</v>
      </c>
      <c r="QM5" s="22">
        <f t="shared" si="145"/>
        <v>9.3000000000000007</v>
      </c>
      <c r="QN5" s="22">
        <f t="shared" si="146"/>
        <v>3.25</v>
      </c>
      <c r="QO5" s="22">
        <f t="shared" si="147"/>
        <v>0</v>
      </c>
      <c r="QP5" s="22">
        <f t="shared" si="148"/>
        <v>0</v>
      </c>
      <c r="QQ5" s="22">
        <f t="shared" si="149"/>
        <v>18</v>
      </c>
      <c r="QR5" s="22">
        <f t="shared" si="150"/>
        <v>7.35</v>
      </c>
      <c r="QS5" s="22">
        <f t="shared" si="151"/>
        <v>0</v>
      </c>
      <c r="QT5" s="22">
        <f t="shared" si="152"/>
        <v>0.15</v>
      </c>
      <c r="QU5" s="22">
        <f t="shared" si="153"/>
        <v>17.649999999999999</v>
      </c>
      <c r="QV5" s="22">
        <f t="shared" si="154"/>
        <v>7.1</v>
      </c>
      <c r="QW5" s="22">
        <f t="shared" si="155"/>
        <v>0</v>
      </c>
      <c r="QX5" s="22">
        <f t="shared" si="156"/>
        <v>0.15</v>
      </c>
      <c r="QY5" s="27" t="s">
        <v>46</v>
      </c>
      <c r="QZ5" s="40">
        <f t="shared" si="157"/>
        <v>12.45</v>
      </c>
      <c r="RA5" s="40">
        <f t="shared" si="158"/>
        <v>47.599999999999994</v>
      </c>
      <c r="RB5" s="40">
        <f t="shared" si="159"/>
        <v>12.55</v>
      </c>
      <c r="RC5" s="40">
        <f t="shared" si="160"/>
        <v>15.7</v>
      </c>
      <c r="RD5" s="40">
        <f t="shared" si="161"/>
        <v>60.149999999999991</v>
      </c>
      <c r="RE5" s="40">
        <f t="shared" si="162"/>
        <v>14.45</v>
      </c>
      <c r="RF5" s="40">
        <f t="shared" si="163"/>
        <v>50.4</v>
      </c>
      <c r="RG5" s="40">
        <f t="shared" si="164"/>
        <v>98</v>
      </c>
    </row>
    <row r="6" spans="1:475" x14ac:dyDescent="0.2">
      <c r="A6" s="4">
        <f t="shared" si="0"/>
        <v>3</v>
      </c>
      <c r="B6" s="5" t="s">
        <v>67</v>
      </c>
      <c r="C6" s="4" t="s">
        <v>4</v>
      </c>
      <c r="D6" s="4">
        <v>2002</v>
      </c>
      <c r="E6" s="9">
        <f t="shared" si="1"/>
        <v>158.90001120000457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45.9</v>
      </c>
      <c r="K6" s="8" t="str">
        <f t="shared" si="6"/>
        <v>2023 Elite Canada</v>
      </c>
      <c r="L6" s="8">
        <f>IF(COUNT(AQ6,BT6,CW6)&gt;1,LARGE((AQ6,BT6,CW6),2),0)</f>
        <v>42.7</v>
      </c>
      <c r="M6" s="8" t="str">
        <f t="shared" si="7"/>
        <v>2022 Nationals</v>
      </c>
      <c r="N6" s="8">
        <f>IF(COUNT(AR6,BU6,CX6)&gt;0,LARGE((AR6,BU6,CX6),1),0)</f>
        <v>23.4</v>
      </c>
      <c r="O6" s="8" t="str">
        <f t="shared" si="8"/>
        <v>2023 Elite Canada</v>
      </c>
      <c r="P6" s="8">
        <f t="shared" si="9"/>
        <v>46.9</v>
      </c>
      <c r="Q6" s="8" t="str">
        <f t="shared" si="10"/>
        <v>2022 Nationals</v>
      </c>
      <c r="R6" s="8" t="str">
        <f t="shared" si="11"/>
        <v/>
      </c>
      <c r="S6" s="11" t="str">
        <f t="shared" si="12"/>
        <v/>
      </c>
      <c r="T6" s="8" t="str">
        <f t="shared" si="13"/>
        <v/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 t="shared" si="14"/>
        <v>9.1</v>
      </c>
      <c r="AQ6" s="40">
        <f t="shared" si="15"/>
        <v>42.7</v>
      </c>
      <c r="AR6" s="40" t="str">
        <f t="shared" si="16"/>
        <v/>
      </c>
      <c r="AS6" s="40">
        <f t="shared" si="17"/>
        <v>9.1</v>
      </c>
      <c r="AT6" s="40">
        <f t="shared" si="18"/>
        <v>42.7</v>
      </c>
      <c r="AU6" s="40">
        <f t="shared" si="19"/>
        <v>12</v>
      </c>
      <c r="AV6" s="40">
        <f t="shared" si="20"/>
        <v>46.9</v>
      </c>
      <c r="AW6" s="40">
        <f t="shared" si="21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 t="shared" si="22"/>
        <v>9.8000000000000007</v>
      </c>
      <c r="BT6" s="11">
        <f t="shared" si="23"/>
        <v>42.100000000000009</v>
      </c>
      <c r="BU6" s="11" t="str">
        <f t="shared" si="24"/>
        <v/>
      </c>
      <c r="BV6" s="11">
        <f t="shared" si="25"/>
        <v>9.8000000000000007</v>
      </c>
      <c r="BW6" s="11">
        <f t="shared" si="26"/>
        <v>42.100000000000009</v>
      </c>
      <c r="BX6" s="11">
        <f t="shared" si="27"/>
        <v>11.399999999999999</v>
      </c>
      <c r="BY6" s="11">
        <f t="shared" si="28"/>
        <v>43.9</v>
      </c>
      <c r="BZ6" s="11">
        <f t="shared" si="29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 t="shared" si="30"/>
        <v>11.600000000000001</v>
      </c>
      <c r="CW6" s="40">
        <f t="shared" si="31"/>
        <v>45.9</v>
      </c>
      <c r="CX6" s="40">
        <f t="shared" si="32"/>
        <v>23.4</v>
      </c>
      <c r="CY6" s="40">
        <f t="shared" si="33"/>
        <v>17.700000000000003</v>
      </c>
      <c r="CZ6" s="40">
        <f t="shared" si="34"/>
        <v>69.3</v>
      </c>
      <c r="DA6" s="40">
        <f t="shared" si="35"/>
        <v>9.6</v>
      </c>
      <c r="DB6" s="40">
        <f t="shared" si="36"/>
        <v>44.599999999999994</v>
      </c>
      <c r="DC6" s="40">
        <f t="shared" si="37"/>
        <v>90.5</v>
      </c>
      <c r="DD6" s="50" t="str">
        <f t="shared" si="38"/>
        <v/>
      </c>
      <c r="DE6" s="50" t="str">
        <f t="shared" si="39"/>
        <v/>
      </c>
      <c r="DF6" s="50" t="str">
        <f t="shared" si="40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40" t="str">
        <f t="shared" si="46"/>
        <v/>
      </c>
      <c r="EG6" s="40" t="str">
        <f t="shared" si="47"/>
        <v/>
      </c>
      <c r="EH6" s="40" t="str">
        <f t="shared" si="48"/>
        <v/>
      </c>
      <c r="EI6" s="18">
        <v>15</v>
      </c>
      <c r="EJ6" s="18">
        <v>3.8</v>
      </c>
      <c r="EK6" s="18">
        <v>0</v>
      </c>
      <c r="EL6" s="18">
        <v>0</v>
      </c>
      <c r="EM6" s="18">
        <v>8.4</v>
      </c>
      <c r="EN6" s="18">
        <v>2.7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9"/>
        <v>6.5</v>
      </c>
      <c r="FD6" s="11">
        <f t="shared" si="50"/>
        <v>29.900000000000002</v>
      </c>
      <c r="FE6" s="11" t="str">
        <f t="shared" si="51"/>
        <v/>
      </c>
      <c r="FF6" s="11">
        <f t="shared" si="52"/>
        <v>6.5</v>
      </c>
      <c r="FG6" s="11">
        <f t="shared" si="53"/>
        <v>29.900000000000002</v>
      </c>
      <c r="FH6" s="11" t="str">
        <f t="shared" si="54"/>
        <v/>
      </c>
      <c r="FI6" s="11" t="str">
        <f t="shared" si="55"/>
        <v/>
      </c>
      <c r="FJ6" s="11">
        <f t="shared" si="56"/>
        <v>29.900000000000002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17.25</v>
      </c>
      <c r="QF6" s="22">
        <f t="shared" si="138"/>
        <v>5.9</v>
      </c>
      <c r="QG6" s="22">
        <f t="shared" si="139"/>
        <v>0</v>
      </c>
      <c r="QH6" s="22">
        <f t="shared" si="140"/>
        <v>0</v>
      </c>
      <c r="QI6" s="22">
        <f t="shared" si="141"/>
        <v>16.049999999999997</v>
      </c>
      <c r="QJ6" s="22">
        <f t="shared" si="142"/>
        <v>4.8000000000000007</v>
      </c>
      <c r="QK6" s="22">
        <f t="shared" si="143"/>
        <v>0</v>
      </c>
      <c r="QL6" s="22">
        <f t="shared" si="144"/>
        <v>0</v>
      </c>
      <c r="QM6" s="22">
        <f t="shared" si="145"/>
        <v>8.65</v>
      </c>
      <c r="QN6" s="22">
        <f t="shared" si="146"/>
        <v>3.05</v>
      </c>
      <c r="QO6" s="22">
        <f t="shared" si="147"/>
        <v>0</v>
      </c>
      <c r="QP6" s="22">
        <f t="shared" si="148"/>
        <v>0</v>
      </c>
      <c r="QQ6" s="22">
        <f t="shared" si="149"/>
        <v>17.350000000000001</v>
      </c>
      <c r="QR6" s="22">
        <f t="shared" si="150"/>
        <v>5.3</v>
      </c>
      <c r="QS6" s="22">
        <f t="shared" si="151"/>
        <v>0.1</v>
      </c>
      <c r="QT6" s="22">
        <f t="shared" si="152"/>
        <v>0</v>
      </c>
      <c r="QU6" s="22">
        <f t="shared" si="153"/>
        <v>16.75</v>
      </c>
      <c r="QV6" s="22">
        <f t="shared" si="154"/>
        <v>5.1999999999999993</v>
      </c>
      <c r="QW6" s="22">
        <f t="shared" si="155"/>
        <v>0.25</v>
      </c>
      <c r="QX6" s="22">
        <f t="shared" si="156"/>
        <v>0</v>
      </c>
      <c r="QY6" s="27" t="s">
        <v>46</v>
      </c>
      <c r="QZ6" s="40">
        <f t="shared" si="157"/>
        <v>10.700000000000001</v>
      </c>
      <c r="RA6" s="40">
        <f t="shared" si="158"/>
        <v>44</v>
      </c>
      <c r="RB6" s="40">
        <f t="shared" si="159"/>
        <v>11.7</v>
      </c>
      <c r="RC6" s="40">
        <f t="shared" si="160"/>
        <v>13.75</v>
      </c>
      <c r="RD6" s="40">
        <f t="shared" si="161"/>
        <v>55.7</v>
      </c>
      <c r="RE6" s="40">
        <f t="shared" si="162"/>
        <v>10.5</v>
      </c>
      <c r="RF6" s="40">
        <f t="shared" si="163"/>
        <v>44.250000000000007</v>
      </c>
      <c r="RG6" s="40">
        <f t="shared" si="164"/>
        <v>88.25</v>
      </c>
    </row>
    <row r="7" spans="1:475" x14ac:dyDescent="0.2">
      <c r="A7" s="4">
        <f t="shared" si="0"/>
        <v>4</v>
      </c>
      <c r="B7" s="5" t="s">
        <v>107</v>
      </c>
      <c r="C7" s="4" t="s">
        <v>4</v>
      </c>
      <c r="D7" s="4">
        <v>2004</v>
      </c>
      <c r="E7" s="9">
        <f t="shared" si="1"/>
        <v>155.14001114000453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45.2</v>
      </c>
      <c r="K7" s="8" t="str">
        <f t="shared" si="6"/>
        <v>2023 Elite Canada</v>
      </c>
      <c r="L7" s="8">
        <f>IF(COUNT(AQ7,BT7,CW7)&gt;1,LARGE((AQ7,BT7,CW7),2),0)</f>
        <v>43.699999999999996</v>
      </c>
      <c r="M7" s="8" t="str">
        <f t="shared" si="7"/>
        <v>2022 Nationals</v>
      </c>
      <c r="N7" s="8">
        <f>IF(COUNT(AR7,BU7,CX7)&gt;0,LARGE((AR7,BU7,CX7),1),0)</f>
        <v>22.5</v>
      </c>
      <c r="O7" s="8" t="str">
        <f t="shared" si="8"/>
        <v>2023 Elite Canada</v>
      </c>
      <c r="P7" s="8">
        <f t="shared" si="9"/>
        <v>43.74</v>
      </c>
      <c r="Q7" s="8" t="str">
        <f t="shared" si="10"/>
        <v>2022 3rd Domestic Trial</v>
      </c>
      <c r="R7" s="8" t="str">
        <f t="shared" si="11"/>
        <v/>
      </c>
      <c r="S7" s="11" t="str">
        <f t="shared" si="12"/>
        <v/>
      </c>
      <c r="T7" s="8" t="str">
        <f t="shared" si="13"/>
        <v/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 t="shared" si="14"/>
        <v>10.6</v>
      </c>
      <c r="AQ7" s="40">
        <f t="shared" si="15"/>
        <v>43.699999999999996</v>
      </c>
      <c r="AR7" s="40" t="str">
        <f t="shared" si="16"/>
        <v/>
      </c>
      <c r="AS7" s="40">
        <f t="shared" si="17"/>
        <v>10.6</v>
      </c>
      <c r="AT7" s="40">
        <f t="shared" si="18"/>
        <v>43.699999999999996</v>
      </c>
      <c r="AU7" s="40">
        <f t="shared" si="19"/>
        <v>7.4</v>
      </c>
      <c r="AV7" s="40">
        <f t="shared" si="20"/>
        <v>37.9</v>
      </c>
      <c r="AW7" s="40">
        <f t="shared" si="21"/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 t="shared" si="22"/>
        <v>11</v>
      </c>
      <c r="BT7" s="11">
        <f t="shared" si="23"/>
        <v>43.1</v>
      </c>
      <c r="BU7" s="11" t="str">
        <f t="shared" si="24"/>
        <v/>
      </c>
      <c r="BV7" s="11">
        <f t="shared" si="25"/>
        <v>11</v>
      </c>
      <c r="BW7" s="11">
        <f t="shared" si="26"/>
        <v>43.1</v>
      </c>
      <c r="BX7" s="11">
        <f t="shared" si="27"/>
        <v>10.8</v>
      </c>
      <c r="BY7" s="11">
        <f t="shared" si="28"/>
        <v>43.74</v>
      </c>
      <c r="BZ7" s="11">
        <f t="shared" si="29"/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 t="shared" si="30"/>
        <v>12.3</v>
      </c>
      <c r="CW7" s="40">
        <f t="shared" si="31"/>
        <v>45.2</v>
      </c>
      <c r="CX7" s="40">
        <f t="shared" si="32"/>
        <v>22.5</v>
      </c>
      <c r="CY7" s="40">
        <f t="shared" si="33"/>
        <v>18.5</v>
      </c>
      <c r="CZ7" s="40">
        <f t="shared" si="34"/>
        <v>67.7</v>
      </c>
      <c r="DA7" s="40">
        <f t="shared" si="35"/>
        <v>9</v>
      </c>
      <c r="DB7" s="40">
        <f t="shared" si="36"/>
        <v>38.300000000000004</v>
      </c>
      <c r="DC7" s="40">
        <f t="shared" si="37"/>
        <v>83.5</v>
      </c>
      <c r="DD7" s="50" t="str">
        <f t="shared" si="38"/>
        <v/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>
        <v>12.3</v>
      </c>
      <c r="GN7" s="18">
        <v>2.6</v>
      </c>
      <c r="GO7" s="18">
        <v>0</v>
      </c>
      <c r="GP7" s="18">
        <v>0</v>
      </c>
      <c r="GQ7" s="18">
        <v>18</v>
      </c>
      <c r="GR7" s="18">
        <v>4.8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5"/>
        <v>7.4</v>
      </c>
      <c r="HH7" s="11">
        <f t="shared" si="66"/>
        <v>37.699999999999996</v>
      </c>
      <c r="HI7" s="11" t="str">
        <f t="shared" si="67"/>
        <v/>
      </c>
      <c r="HJ7" s="11">
        <f t="shared" si="68"/>
        <v>7.4</v>
      </c>
      <c r="HK7" s="11">
        <f t="shared" si="69"/>
        <v>37.699999999999996</v>
      </c>
      <c r="HL7" s="11" t="str">
        <f t="shared" si="70"/>
        <v/>
      </c>
      <c r="HM7" s="11" t="str">
        <f t="shared" si="71"/>
        <v/>
      </c>
      <c r="HN7" s="11">
        <f t="shared" si="72"/>
        <v>37.699999999999996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15.9</v>
      </c>
      <c r="QF7" s="22">
        <f t="shared" si="138"/>
        <v>5.8</v>
      </c>
      <c r="QG7" s="22">
        <f t="shared" si="139"/>
        <v>0.1</v>
      </c>
      <c r="QH7" s="22">
        <f t="shared" si="140"/>
        <v>0</v>
      </c>
      <c r="QI7" s="22">
        <f t="shared" si="141"/>
        <v>16.700000000000003</v>
      </c>
      <c r="QJ7" s="22">
        <f t="shared" si="142"/>
        <v>5.85</v>
      </c>
      <c r="QK7" s="22">
        <f t="shared" si="143"/>
        <v>0</v>
      </c>
      <c r="QL7" s="22">
        <f t="shared" si="144"/>
        <v>0</v>
      </c>
      <c r="QM7" s="22">
        <f t="shared" si="145"/>
        <v>8.15</v>
      </c>
      <c r="QN7" s="22">
        <f t="shared" si="146"/>
        <v>3.1</v>
      </c>
      <c r="QO7" s="22">
        <f t="shared" si="147"/>
        <v>0</v>
      </c>
      <c r="QP7" s="22">
        <f t="shared" si="148"/>
        <v>0</v>
      </c>
      <c r="QQ7" s="22">
        <f t="shared" si="149"/>
        <v>16.170000000000002</v>
      </c>
      <c r="QR7" s="22">
        <f t="shared" si="150"/>
        <v>4.5</v>
      </c>
      <c r="QS7" s="22">
        <f t="shared" si="151"/>
        <v>0</v>
      </c>
      <c r="QT7" s="22">
        <f t="shared" si="152"/>
        <v>0</v>
      </c>
      <c r="QU7" s="22">
        <f t="shared" si="153"/>
        <v>14.95</v>
      </c>
      <c r="QV7" s="22">
        <f t="shared" si="154"/>
        <v>5.4</v>
      </c>
      <c r="QW7" s="22">
        <f t="shared" si="155"/>
        <v>0</v>
      </c>
      <c r="QX7" s="22">
        <f t="shared" si="156"/>
        <v>0</v>
      </c>
      <c r="QY7" s="27" t="s">
        <v>46</v>
      </c>
      <c r="QZ7" s="40">
        <f t="shared" si="157"/>
        <v>11.649999999999999</v>
      </c>
      <c r="RA7" s="40">
        <f t="shared" si="158"/>
        <v>44.150000000000006</v>
      </c>
      <c r="RB7" s="40">
        <f t="shared" si="159"/>
        <v>11.25</v>
      </c>
      <c r="RC7" s="40">
        <f t="shared" si="160"/>
        <v>14.749999999999998</v>
      </c>
      <c r="RD7" s="40">
        <f t="shared" si="161"/>
        <v>55.400000000000006</v>
      </c>
      <c r="RE7" s="40">
        <f t="shared" si="162"/>
        <v>9.9</v>
      </c>
      <c r="RF7" s="40">
        <f t="shared" si="163"/>
        <v>41.02</v>
      </c>
      <c r="RG7" s="40">
        <f t="shared" si="164"/>
        <v>85.170000000000016</v>
      </c>
    </row>
    <row r="8" spans="1:475" x14ac:dyDescent="0.2">
      <c r="A8" s="4">
        <f t="shared" si="0"/>
        <v>5</v>
      </c>
      <c r="B8" s="5" t="s">
        <v>119</v>
      </c>
      <c r="C8" s="4" t="s">
        <v>3</v>
      </c>
      <c r="D8" s="4">
        <v>2003</v>
      </c>
      <c r="E8" s="9">
        <f t="shared" si="1"/>
        <v>151.00001042000457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45.7</v>
      </c>
      <c r="K8" s="8" t="str">
        <f t="shared" si="6"/>
        <v>2023 Elite Canada</v>
      </c>
      <c r="L8" s="8">
        <f>IF(COUNT(AQ8,BT8,CW8)&gt;1,LARGE((AQ8,BT8,CW8),2),0)</f>
        <v>39.800000000000004</v>
      </c>
      <c r="M8" s="8" t="str">
        <f t="shared" si="7"/>
        <v>2022 Nationals</v>
      </c>
      <c r="N8" s="8">
        <f>IF(COUNT(AR8,BU8,CX8)&gt;0,LARGE((AR8,BU8,CX8),1),0)</f>
        <v>18.7</v>
      </c>
      <c r="O8" s="8" t="str">
        <f t="shared" si="8"/>
        <v>2023 Elite Canada</v>
      </c>
      <c r="P8" s="8">
        <f t="shared" si="9"/>
        <v>45.6</v>
      </c>
      <c r="Q8" s="8" t="str">
        <f t="shared" si="10"/>
        <v>2022 Nationals</v>
      </c>
      <c r="R8" s="8">
        <f t="shared" si="11"/>
        <v>1.1999999999999957</v>
      </c>
      <c r="S8" s="11" t="str">
        <f t="shared" si="12"/>
        <v>(Q1)</v>
      </c>
      <c r="T8" s="8" t="str">
        <f t="shared" si="13"/>
        <v>2022 WAGC (Nov 24)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 t="shared" si="14"/>
        <v>7.9</v>
      </c>
      <c r="AQ8" s="40">
        <f t="shared" si="15"/>
        <v>39.800000000000004</v>
      </c>
      <c r="AR8" s="40" t="str">
        <f t="shared" si="16"/>
        <v/>
      </c>
      <c r="AS8" s="40">
        <f t="shared" si="17"/>
        <v>7.9</v>
      </c>
      <c r="AT8" s="40">
        <f t="shared" si="18"/>
        <v>39.800000000000004</v>
      </c>
      <c r="AU8" s="40">
        <f t="shared" si="19"/>
        <v>10.3</v>
      </c>
      <c r="AV8" s="40">
        <f t="shared" si="20"/>
        <v>45.6</v>
      </c>
      <c r="AW8" s="40">
        <f t="shared" si="21"/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 t="shared" si="22"/>
        <v>7.1999999999999993</v>
      </c>
      <c r="BT8" s="11">
        <f t="shared" si="23"/>
        <v>39.299999999999997</v>
      </c>
      <c r="BU8" s="11" t="str">
        <f t="shared" si="24"/>
        <v/>
      </c>
      <c r="BV8" s="11">
        <f t="shared" si="25"/>
        <v>7.1999999999999993</v>
      </c>
      <c r="BW8" s="11">
        <f t="shared" si="26"/>
        <v>39.299999999999997</v>
      </c>
      <c r="BX8" s="11" t="str">
        <f t="shared" si="27"/>
        <v/>
      </c>
      <c r="BY8" s="11" t="str">
        <f t="shared" si="28"/>
        <v/>
      </c>
      <c r="BZ8" s="11">
        <f t="shared" si="29"/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 t="shared" si="30"/>
        <v>11.1</v>
      </c>
      <c r="CW8" s="40">
        <f t="shared" si="31"/>
        <v>45.7</v>
      </c>
      <c r="CX8" s="40">
        <f t="shared" si="32"/>
        <v>18.7</v>
      </c>
      <c r="CY8" s="40">
        <f t="shared" si="33"/>
        <v>14.1</v>
      </c>
      <c r="CZ8" s="40">
        <f t="shared" si="34"/>
        <v>64.400000000000006</v>
      </c>
      <c r="DA8" s="40">
        <f t="shared" si="35"/>
        <v>9.1999999999999993</v>
      </c>
      <c r="DB8" s="40">
        <f t="shared" si="36"/>
        <v>42.6</v>
      </c>
      <c r="DC8" s="40">
        <f t="shared" si="37"/>
        <v>88.300000000000011</v>
      </c>
      <c r="DD8" s="50">
        <f t="shared" si="38"/>
        <v>1.1999999999999957</v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>
        <v>15.5</v>
      </c>
      <c r="GN8" s="18">
        <v>3.3</v>
      </c>
      <c r="GO8" s="18">
        <v>0</v>
      </c>
      <c r="GP8" s="18">
        <v>0</v>
      </c>
      <c r="GQ8" s="18">
        <v>16.899999999999999</v>
      </c>
      <c r="GR8" s="18">
        <v>5.5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5"/>
        <v>8.8000000000000007</v>
      </c>
      <c r="HH8" s="11">
        <f t="shared" si="66"/>
        <v>41</v>
      </c>
      <c r="HI8" s="11" t="str">
        <f t="shared" si="67"/>
        <v/>
      </c>
      <c r="HJ8" s="11">
        <f t="shared" si="68"/>
        <v>8.8000000000000007</v>
      </c>
      <c r="HK8" s="11">
        <f t="shared" si="69"/>
        <v>41</v>
      </c>
      <c r="HL8" s="11" t="str">
        <f t="shared" si="70"/>
        <v/>
      </c>
      <c r="HM8" s="11" t="str">
        <f t="shared" si="71"/>
        <v/>
      </c>
      <c r="HN8" s="11">
        <f t="shared" si="72"/>
        <v>41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16.649999999999999</v>
      </c>
      <c r="QF8" s="22">
        <f t="shared" si="138"/>
        <v>5.4</v>
      </c>
      <c r="QG8" s="22">
        <f t="shared" si="139"/>
        <v>0.1</v>
      </c>
      <c r="QH8" s="22">
        <f t="shared" si="140"/>
        <v>0</v>
      </c>
      <c r="QI8" s="22">
        <f t="shared" si="141"/>
        <v>16.8</v>
      </c>
      <c r="QJ8" s="22">
        <f t="shared" si="142"/>
        <v>3.75</v>
      </c>
      <c r="QK8" s="22">
        <f t="shared" si="143"/>
        <v>0</v>
      </c>
      <c r="QL8" s="22">
        <f t="shared" si="144"/>
        <v>0</v>
      </c>
      <c r="QM8" s="22">
        <f t="shared" si="145"/>
        <v>8.35</v>
      </c>
      <c r="QN8" s="22">
        <f t="shared" si="146"/>
        <v>1.5</v>
      </c>
      <c r="QO8" s="22">
        <f t="shared" si="147"/>
        <v>0.5</v>
      </c>
      <c r="QP8" s="22">
        <f t="shared" si="148"/>
        <v>0</v>
      </c>
      <c r="QQ8" s="22">
        <f t="shared" si="149"/>
        <v>8.6999999999999993</v>
      </c>
      <c r="QR8" s="22">
        <f t="shared" si="150"/>
        <v>2.75</v>
      </c>
      <c r="QS8" s="22">
        <f t="shared" si="151"/>
        <v>0</v>
      </c>
      <c r="QT8" s="22">
        <f t="shared" si="152"/>
        <v>0</v>
      </c>
      <c r="QU8" s="22">
        <f t="shared" si="153"/>
        <v>8</v>
      </c>
      <c r="QV8" s="22">
        <f t="shared" si="154"/>
        <v>1.85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9.15</v>
      </c>
      <c r="RA8" s="40">
        <f t="shared" si="158"/>
        <v>42.499999999999993</v>
      </c>
      <c r="RB8" s="40">
        <f t="shared" si="159"/>
        <v>9.35</v>
      </c>
      <c r="RC8" s="40">
        <f t="shared" si="160"/>
        <v>10.65</v>
      </c>
      <c r="RD8" s="40">
        <f t="shared" si="161"/>
        <v>51.849999999999994</v>
      </c>
      <c r="RE8" s="40">
        <f t="shared" si="162"/>
        <v>4.5999999999999996</v>
      </c>
      <c r="RF8" s="40">
        <f t="shared" si="163"/>
        <v>21.3</v>
      </c>
      <c r="RG8" s="40">
        <f t="shared" si="164"/>
        <v>63.8</v>
      </c>
    </row>
    <row r="9" spans="1:475" x14ac:dyDescent="0.2">
      <c r="A9" s="4">
        <f t="shared" si="0"/>
        <v>6</v>
      </c>
      <c r="B9" s="5" t="s">
        <v>167</v>
      </c>
      <c r="C9" s="4" t="s">
        <v>4</v>
      </c>
      <c r="D9" s="4">
        <v>2004</v>
      </c>
      <c r="E9" s="9">
        <f t="shared" si="1"/>
        <v>149.20001053000431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42.800000000000004</v>
      </c>
      <c r="K9" s="8" t="str">
        <f t="shared" si="6"/>
        <v>2022 3rd Domestic Trial</v>
      </c>
      <c r="L9" s="8">
        <f>IF(COUNT(AQ9,BT9,CW9)&gt;1,LARGE((AQ9,BT9,CW9),2),0)</f>
        <v>42.400000000000006</v>
      </c>
      <c r="M9" s="8" t="str">
        <f t="shared" si="7"/>
        <v>2022 Nationals</v>
      </c>
      <c r="N9" s="8">
        <f>IF(COUNT(AR9,BU9,CX9)&gt;0,LARGE((AR9,BU9,CX9),1),0)</f>
        <v>20.100000000000001</v>
      </c>
      <c r="O9" s="8" t="str">
        <f t="shared" si="8"/>
        <v>2023 Elite Canada</v>
      </c>
      <c r="P9" s="8">
        <f t="shared" si="9"/>
        <v>43.9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 t="shared" si="14"/>
        <v>10.1</v>
      </c>
      <c r="AQ9" s="40">
        <f t="shared" si="15"/>
        <v>42.400000000000006</v>
      </c>
      <c r="AR9" s="40" t="str">
        <f t="shared" si="16"/>
        <v/>
      </c>
      <c r="AS9" s="40">
        <f t="shared" si="17"/>
        <v>10.1</v>
      </c>
      <c r="AT9" s="40">
        <f t="shared" si="18"/>
        <v>42.400000000000006</v>
      </c>
      <c r="AU9" s="40">
        <f t="shared" si="19"/>
        <v>7.5</v>
      </c>
      <c r="AV9" s="40">
        <f t="shared" si="20"/>
        <v>37.4</v>
      </c>
      <c r="AW9" s="40">
        <f t="shared" si="21"/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 t="shared" si="22"/>
        <v>10.1</v>
      </c>
      <c r="BT9" s="11">
        <f t="shared" si="23"/>
        <v>42.800000000000004</v>
      </c>
      <c r="BU9" s="11" t="str">
        <f t="shared" si="24"/>
        <v/>
      </c>
      <c r="BV9" s="11">
        <f t="shared" si="25"/>
        <v>10.1</v>
      </c>
      <c r="BW9" s="11">
        <f t="shared" si="26"/>
        <v>42.800000000000004</v>
      </c>
      <c r="BX9" s="11">
        <f t="shared" si="27"/>
        <v>7</v>
      </c>
      <c r="BY9" s="11">
        <f t="shared" si="28"/>
        <v>35.979999999999997</v>
      </c>
      <c r="BZ9" s="11">
        <f t="shared" si="29"/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 t="shared" si="30"/>
        <v>9.3999999999999986</v>
      </c>
      <c r="CW9" s="40">
        <f t="shared" si="31"/>
        <v>41.4</v>
      </c>
      <c r="CX9" s="40">
        <f t="shared" si="32"/>
        <v>20.100000000000001</v>
      </c>
      <c r="CY9" s="40">
        <f t="shared" si="33"/>
        <v>13.599999999999998</v>
      </c>
      <c r="CZ9" s="40">
        <f t="shared" si="34"/>
        <v>61.5</v>
      </c>
      <c r="DA9" s="40">
        <f t="shared" si="35"/>
        <v>10.1</v>
      </c>
      <c r="DB9" s="40">
        <f t="shared" si="36"/>
        <v>43.9</v>
      </c>
      <c r="DC9" s="40">
        <f t="shared" si="37"/>
        <v>85.3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16.25</v>
      </c>
      <c r="QF9" s="22">
        <f t="shared" si="138"/>
        <v>4.9000000000000004</v>
      </c>
      <c r="QG9" s="22">
        <f t="shared" si="139"/>
        <v>0.1</v>
      </c>
      <c r="QH9" s="22">
        <f t="shared" si="140"/>
        <v>0.6</v>
      </c>
      <c r="QI9" s="22">
        <f t="shared" si="141"/>
        <v>15.35</v>
      </c>
      <c r="QJ9" s="22">
        <f t="shared" si="142"/>
        <v>4.8499999999999996</v>
      </c>
      <c r="QK9" s="22">
        <f t="shared" si="143"/>
        <v>0.2</v>
      </c>
      <c r="QL9" s="22">
        <f t="shared" si="144"/>
        <v>0.44999999999999996</v>
      </c>
      <c r="QM9" s="22">
        <f t="shared" si="145"/>
        <v>7.85</v>
      </c>
      <c r="QN9" s="22">
        <f t="shared" si="146"/>
        <v>2.1</v>
      </c>
      <c r="QO9" s="22">
        <f t="shared" si="147"/>
        <v>0.2</v>
      </c>
      <c r="QP9" s="22">
        <f t="shared" si="148"/>
        <v>0.3</v>
      </c>
      <c r="QQ9" s="22">
        <f t="shared" si="149"/>
        <v>15.09</v>
      </c>
      <c r="QR9" s="22">
        <f t="shared" si="150"/>
        <v>4.4499999999999993</v>
      </c>
      <c r="QS9" s="22">
        <f t="shared" si="151"/>
        <v>0.2</v>
      </c>
      <c r="QT9" s="22">
        <f t="shared" si="152"/>
        <v>0.44999999999999996</v>
      </c>
      <c r="QU9" s="22">
        <f t="shared" si="153"/>
        <v>15.600000000000001</v>
      </c>
      <c r="QV9" s="22">
        <f t="shared" si="154"/>
        <v>4.0999999999999996</v>
      </c>
      <c r="QW9" s="22">
        <f t="shared" si="155"/>
        <v>0</v>
      </c>
      <c r="QX9" s="22">
        <f t="shared" si="156"/>
        <v>0.44999999999999996</v>
      </c>
      <c r="QY9" s="27" t="s">
        <v>46</v>
      </c>
      <c r="QZ9" s="40">
        <f t="shared" si="157"/>
        <v>9.75</v>
      </c>
      <c r="RA9" s="40">
        <f t="shared" si="158"/>
        <v>42.1</v>
      </c>
      <c r="RB9" s="40">
        <f t="shared" si="159"/>
        <v>10.050000000000001</v>
      </c>
      <c r="RC9" s="40">
        <f t="shared" si="160"/>
        <v>11.85</v>
      </c>
      <c r="RD9" s="40">
        <f t="shared" si="161"/>
        <v>52.150000000000006</v>
      </c>
      <c r="RE9" s="40">
        <f t="shared" si="162"/>
        <v>8.5499999999999989</v>
      </c>
      <c r="RF9" s="40">
        <f t="shared" si="163"/>
        <v>39.940000000000005</v>
      </c>
      <c r="RG9" s="40">
        <f t="shared" si="164"/>
        <v>82.04</v>
      </c>
    </row>
    <row r="10" spans="1:475" x14ac:dyDescent="0.2">
      <c r="A10" s="4">
        <f t="shared" si="0"/>
        <v>7</v>
      </c>
      <c r="B10" s="5" t="s">
        <v>165</v>
      </c>
      <c r="C10" s="4" t="s">
        <v>4</v>
      </c>
      <c r="D10" s="4">
        <v>2004</v>
      </c>
      <c r="E10" s="9">
        <f t="shared" si="1"/>
        <v>132.10000440000439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44</v>
      </c>
      <c r="K10" s="8" t="str">
        <f t="shared" si="6"/>
        <v>2022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0</v>
      </c>
      <c r="O10" s="8" t="str">
        <f t="shared" si="8"/>
        <v/>
      </c>
      <c r="P10" s="8">
        <f t="shared" si="9"/>
        <v>46.199999999999996</v>
      </c>
      <c r="Q10" s="8" t="str">
        <f t="shared" si="10"/>
        <v>2022 Nationals</v>
      </c>
      <c r="R10" s="8">
        <f t="shared" si="11"/>
        <v>41.9</v>
      </c>
      <c r="S10" s="11" t="str">
        <f t="shared" si="12"/>
        <v>(Q1)</v>
      </c>
      <c r="T10" s="8" t="str">
        <f t="shared" si="13"/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 t="shared" si="14"/>
        <v>9.3999999999999986</v>
      </c>
      <c r="AQ10" s="40">
        <f t="shared" si="15"/>
        <v>44</v>
      </c>
      <c r="AR10" s="40" t="str">
        <f t="shared" si="16"/>
        <v/>
      </c>
      <c r="AS10" s="40">
        <f t="shared" si="17"/>
        <v>9.3999999999999986</v>
      </c>
      <c r="AT10" s="40">
        <f t="shared" si="18"/>
        <v>44</v>
      </c>
      <c r="AU10" s="40">
        <f t="shared" si="19"/>
        <v>10.1</v>
      </c>
      <c r="AV10" s="40">
        <f t="shared" si="20"/>
        <v>46.199999999999996</v>
      </c>
      <c r="AW10" s="40">
        <f t="shared" si="21"/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41.9</v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>
        <v>17.2</v>
      </c>
      <c r="GN10" s="18">
        <v>5.7</v>
      </c>
      <c r="GO10" s="18">
        <v>0</v>
      </c>
      <c r="GP10" s="18">
        <v>0</v>
      </c>
      <c r="GQ10" s="18">
        <v>15.3</v>
      </c>
      <c r="GR10" s="18">
        <v>3.9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5"/>
        <v>9.6</v>
      </c>
      <c r="HH10" s="11">
        <f t="shared" si="66"/>
        <v>41.9</v>
      </c>
      <c r="HI10" s="11" t="str">
        <f t="shared" si="67"/>
        <v/>
      </c>
      <c r="HJ10" s="11">
        <f t="shared" si="68"/>
        <v>9.6</v>
      </c>
      <c r="HK10" s="11">
        <f t="shared" si="69"/>
        <v>41.9</v>
      </c>
      <c r="HL10" s="11" t="str">
        <f t="shared" si="70"/>
        <v/>
      </c>
      <c r="HM10" s="11" t="str">
        <f t="shared" si="71"/>
        <v/>
      </c>
      <c r="HN10" s="11">
        <f t="shared" si="72"/>
        <v>41.9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0</v>
      </c>
      <c r="QF10" s="22">
        <f t="shared" si="138"/>
        <v>0</v>
      </c>
      <c r="QG10" s="22">
        <f t="shared" si="139"/>
        <v>0</v>
      </c>
      <c r="QH10" s="22">
        <f t="shared" si="140"/>
        <v>0</v>
      </c>
      <c r="QI10" s="22">
        <f t="shared" si="141"/>
        <v>0</v>
      </c>
      <c r="QJ10" s="22">
        <f t="shared" si="142"/>
        <v>0</v>
      </c>
      <c r="QK10" s="22">
        <f t="shared" si="143"/>
        <v>0</v>
      </c>
      <c r="QL10" s="22">
        <f t="shared" si="144"/>
        <v>0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0</v>
      </c>
      <c r="QR10" s="22">
        <f t="shared" si="150"/>
        <v>0</v>
      </c>
      <c r="QS10" s="22">
        <f t="shared" si="151"/>
        <v>0</v>
      </c>
      <c r="QT10" s="22">
        <f t="shared" si="152"/>
        <v>0</v>
      </c>
      <c r="QU10" s="22">
        <f t="shared" si="153"/>
        <v>0</v>
      </c>
      <c r="QV10" s="22">
        <f t="shared" si="154"/>
        <v>0</v>
      </c>
      <c r="QW10" s="22">
        <f t="shared" si="155"/>
        <v>0</v>
      </c>
      <c r="QX10" s="22">
        <f t="shared" si="156"/>
        <v>0</v>
      </c>
      <c r="QY10" s="27" t="s">
        <v>46</v>
      </c>
      <c r="QZ10" s="40" t="str">
        <f t="shared" si="157"/>
        <v/>
      </c>
      <c r="RA10" s="40" t="str">
        <f t="shared" si="158"/>
        <v/>
      </c>
      <c r="RB10" s="40" t="str">
        <f t="shared" si="159"/>
        <v/>
      </c>
      <c r="RC10" s="40" t="str">
        <f t="shared" si="160"/>
        <v/>
      </c>
      <c r="RD10" s="40" t="str">
        <f t="shared" si="161"/>
        <v/>
      </c>
      <c r="RE10" s="40" t="str">
        <f t="shared" si="162"/>
        <v/>
      </c>
      <c r="RF10" s="40" t="str">
        <f t="shared" si="163"/>
        <v/>
      </c>
      <c r="RG10" s="40" t="str">
        <f t="shared" si="164"/>
        <v/>
      </c>
    </row>
    <row r="11" spans="1:475" x14ac:dyDescent="0.2">
      <c r="A11" s="4">
        <f t="shared" si="0"/>
        <v>8</v>
      </c>
      <c r="B11" s="5" t="s">
        <v>189</v>
      </c>
      <c r="C11" s="4" t="s">
        <v>6</v>
      </c>
      <c r="D11" s="4">
        <v>2006</v>
      </c>
      <c r="E11" s="9">
        <f t="shared" si="1"/>
        <v>107.60000635000411</v>
      </c>
      <c r="F11" s="3" t="str">
        <f t="shared" si="2"/>
        <v>P</v>
      </c>
      <c r="G11" s="3" t="str">
        <f t="shared" si="3"/>
        <v>P</v>
      </c>
      <c r="H11" s="36" t="str">
        <f t="shared" si="4"/>
        <v>National Team</v>
      </c>
      <c r="I11" s="3" t="str">
        <f t="shared" si="5"/>
        <v/>
      </c>
      <c r="J11" s="8">
        <f>IF(COUNT(AQ11,BT11,CW11)&gt;0,LARGE((AQ11,BT11,CW11),1),0)</f>
        <v>41</v>
      </c>
      <c r="K11" s="8" t="str">
        <f t="shared" si="6"/>
        <v>2023 Elite Canada</v>
      </c>
      <c r="L11" s="8">
        <f>IF(COUNT(AQ11,BT11,CW11)&gt;1,LARGE((AQ11,BT11,CW11),2),0)</f>
        <v>0</v>
      </c>
      <c r="M11" s="8" t="str">
        <f t="shared" si="7"/>
        <v/>
      </c>
      <c r="N11" s="8">
        <f>IF(COUNT(AR11,BU11,CX11)&gt;0,LARGE((AR11,BU11,CX11),1),0)</f>
        <v>22.500000000000004</v>
      </c>
      <c r="O11" s="8" t="str">
        <f t="shared" si="8"/>
        <v>2023 Elite Canada</v>
      </c>
      <c r="P11" s="8">
        <f t="shared" si="9"/>
        <v>44.1</v>
      </c>
      <c r="Q11" s="8" t="str">
        <f t="shared" si="10"/>
        <v>2023 Elite Canada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40" t="str">
        <f t="shared" si="20"/>
        <v/>
      </c>
      <c r="AW11" s="40" t="str">
        <f t="shared" si="21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 t="shared" si="30"/>
        <v>8.5</v>
      </c>
      <c r="CW11" s="40">
        <f t="shared" si="31"/>
        <v>41</v>
      </c>
      <c r="CX11" s="40">
        <f t="shared" si="32"/>
        <v>22.500000000000004</v>
      </c>
      <c r="CY11" s="40">
        <f t="shared" si="33"/>
        <v>13.3</v>
      </c>
      <c r="CZ11" s="40">
        <f t="shared" si="34"/>
        <v>63.5</v>
      </c>
      <c r="DA11" s="40">
        <f t="shared" si="35"/>
        <v>10.1</v>
      </c>
      <c r="DB11" s="40">
        <f t="shared" si="36"/>
        <v>44.1</v>
      </c>
      <c r="DC11" s="40">
        <f t="shared" si="37"/>
        <v>85.1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8.1999999999999993</v>
      </c>
      <c r="QF11" s="22">
        <f t="shared" si="138"/>
        <v>2.6</v>
      </c>
      <c r="QG11" s="22">
        <f t="shared" si="139"/>
        <v>0</v>
      </c>
      <c r="QH11" s="22">
        <f t="shared" si="140"/>
        <v>0.3</v>
      </c>
      <c r="QI11" s="22">
        <f t="shared" si="141"/>
        <v>7.45</v>
      </c>
      <c r="QJ11" s="22">
        <f t="shared" si="142"/>
        <v>1.65</v>
      </c>
      <c r="QK11" s="22">
        <f t="shared" si="143"/>
        <v>0</v>
      </c>
      <c r="QL11" s="22">
        <f t="shared" si="144"/>
        <v>0.3</v>
      </c>
      <c r="QM11" s="22">
        <f t="shared" si="145"/>
        <v>8.5500000000000007</v>
      </c>
      <c r="QN11" s="22">
        <f t="shared" si="146"/>
        <v>2.4</v>
      </c>
      <c r="QO11" s="22">
        <f t="shared" si="147"/>
        <v>0</v>
      </c>
      <c r="QP11" s="22">
        <f t="shared" si="148"/>
        <v>0.3</v>
      </c>
      <c r="QQ11" s="22">
        <f t="shared" si="149"/>
        <v>8.4499999999999993</v>
      </c>
      <c r="QR11" s="22">
        <f t="shared" si="150"/>
        <v>2.4</v>
      </c>
      <c r="QS11" s="22">
        <f t="shared" si="151"/>
        <v>0</v>
      </c>
      <c r="QT11" s="22">
        <f t="shared" si="152"/>
        <v>0.3</v>
      </c>
      <c r="QU11" s="22">
        <f t="shared" si="153"/>
        <v>7.95</v>
      </c>
      <c r="QV11" s="22">
        <f t="shared" si="154"/>
        <v>2.65</v>
      </c>
      <c r="QW11" s="22">
        <f t="shared" si="155"/>
        <v>0</v>
      </c>
      <c r="QX11" s="22">
        <f t="shared" si="156"/>
        <v>0.3</v>
      </c>
      <c r="QY11" s="27" t="s">
        <v>46</v>
      </c>
      <c r="QZ11" s="40">
        <f t="shared" si="157"/>
        <v>4.25</v>
      </c>
      <c r="RA11" s="40">
        <f t="shared" si="158"/>
        <v>20.5</v>
      </c>
      <c r="RB11" s="40">
        <f t="shared" si="159"/>
        <v>11.250000000000002</v>
      </c>
      <c r="RC11" s="40">
        <f t="shared" si="160"/>
        <v>6.65</v>
      </c>
      <c r="RD11" s="40">
        <f t="shared" si="161"/>
        <v>31.75</v>
      </c>
      <c r="RE11" s="40">
        <f t="shared" si="162"/>
        <v>5.05</v>
      </c>
      <c r="RF11" s="40">
        <f t="shared" si="163"/>
        <v>22.05</v>
      </c>
      <c r="RG11" s="40">
        <f t="shared" si="164"/>
        <v>42.55</v>
      </c>
    </row>
    <row r="12" spans="1:475" x14ac:dyDescent="0.2">
      <c r="A12" s="4">
        <f t="shared" si="0"/>
        <v>9</v>
      </c>
      <c r="B12" s="5" t="s">
        <v>123</v>
      </c>
      <c r="C12" s="4" t="s">
        <v>122</v>
      </c>
      <c r="D12" s="4">
        <v>2002</v>
      </c>
      <c r="E12" s="9">
        <f t="shared" si="1"/>
        <v>84.700004430004427</v>
      </c>
      <c r="F12" s="3" t="str">
        <f t="shared" si="2"/>
        <v>P</v>
      </c>
      <c r="G12" s="3" t="str">
        <f t="shared" si="3"/>
        <v>P</v>
      </c>
      <c r="H12" s="36" t="str">
        <f t="shared" si="4"/>
        <v>National Team</v>
      </c>
      <c r="I12" s="3" t="str">
        <f t="shared" si="5"/>
        <v/>
      </c>
      <c r="J12" s="8">
        <f>IF(COUNT(AQ12,BT12,CW12)&gt;0,LARGE((AQ12,BT12,CW12),1),0)</f>
        <v>44.3</v>
      </c>
      <c r="K12" s="8" t="str">
        <f t="shared" si="6"/>
        <v>2022 Nationals</v>
      </c>
      <c r="L12" s="8">
        <f>IF(COUNT(AQ12,BT12,CW12)&gt;1,LARGE((AQ12,BT12,CW12),2),0)</f>
        <v>0</v>
      </c>
      <c r="M12" s="8" t="str">
        <f t="shared" si="7"/>
        <v/>
      </c>
      <c r="N12" s="8">
        <f>IF(COUNT(AR12,BU12,CX12)&gt;0,LARGE((AR12,BU12,CX12),1),0)</f>
        <v>0</v>
      </c>
      <c r="O12" s="8" t="str">
        <f t="shared" si="8"/>
        <v/>
      </c>
      <c r="P12" s="8">
        <f t="shared" si="9"/>
        <v>40.4</v>
      </c>
      <c r="Q12" s="8" t="str">
        <f t="shared" si="10"/>
        <v>2022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 t="shared" si="14"/>
        <v>9.6999999999999993</v>
      </c>
      <c r="AQ12" s="40">
        <f t="shared" si="15"/>
        <v>44.3</v>
      </c>
      <c r="AR12" s="40" t="str">
        <f t="shared" si="16"/>
        <v/>
      </c>
      <c r="AS12" s="40">
        <f t="shared" si="17"/>
        <v>9.6999999999999993</v>
      </c>
      <c r="AT12" s="40">
        <f t="shared" si="18"/>
        <v>44.3</v>
      </c>
      <c r="AU12" s="40">
        <f t="shared" si="19"/>
        <v>6.6999999999999993</v>
      </c>
      <c r="AV12" s="40">
        <f t="shared" si="20"/>
        <v>40.4</v>
      </c>
      <c r="AW12" s="40">
        <f t="shared" si="21"/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40" t="str">
        <f t="shared" si="36"/>
        <v/>
      </c>
      <c r="DC12" s="40" t="str">
        <f t="shared" si="37"/>
        <v/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0</v>
      </c>
      <c r="QF12" s="22">
        <f t="shared" si="138"/>
        <v>0</v>
      </c>
      <c r="QG12" s="22">
        <f t="shared" si="139"/>
        <v>0</v>
      </c>
      <c r="QH12" s="22">
        <f t="shared" si="140"/>
        <v>0</v>
      </c>
      <c r="QI12" s="22">
        <f t="shared" si="141"/>
        <v>0</v>
      </c>
      <c r="QJ12" s="22">
        <f t="shared" si="142"/>
        <v>0</v>
      </c>
      <c r="QK12" s="22">
        <f t="shared" si="143"/>
        <v>0</v>
      </c>
      <c r="QL12" s="22">
        <f t="shared" si="144"/>
        <v>0</v>
      </c>
      <c r="QM12" s="22">
        <f t="shared" si="145"/>
        <v>0</v>
      </c>
      <c r="QN12" s="22">
        <f t="shared" si="146"/>
        <v>0</v>
      </c>
      <c r="QO12" s="22">
        <f t="shared" si="147"/>
        <v>0</v>
      </c>
      <c r="QP12" s="22">
        <f t="shared" si="148"/>
        <v>0</v>
      </c>
      <c r="QQ12" s="22">
        <f t="shared" si="149"/>
        <v>0</v>
      </c>
      <c r="QR12" s="22">
        <f t="shared" si="150"/>
        <v>0</v>
      </c>
      <c r="QS12" s="22">
        <f t="shared" si="151"/>
        <v>0</v>
      </c>
      <c r="QT12" s="22">
        <f t="shared" si="152"/>
        <v>0</v>
      </c>
      <c r="QU12" s="22">
        <f t="shared" si="153"/>
        <v>0</v>
      </c>
      <c r="QV12" s="22">
        <f t="shared" si="154"/>
        <v>0</v>
      </c>
      <c r="QW12" s="22">
        <f t="shared" si="155"/>
        <v>0</v>
      </c>
      <c r="QX12" s="22">
        <f t="shared" si="156"/>
        <v>0</v>
      </c>
      <c r="QY12" s="27" t="s">
        <v>46</v>
      </c>
      <c r="QZ12" s="40" t="str">
        <f t="shared" si="157"/>
        <v/>
      </c>
      <c r="RA12" s="40" t="str">
        <f t="shared" si="158"/>
        <v/>
      </c>
      <c r="RB12" s="40" t="str">
        <f t="shared" si="159"/>
        <v/>
      </c>
      <c r="RC12" s="40" t="str">
        <f t="shared" si="160"/>
        <v/>
      </c>
      <c r="RD12" s="40" t="str">
        <f t="shared" si="161"/>
        <v/>
      </c>
      <c r="RE12" s="40" t="str">
        <f t="shared" si="162"/>
        <v/>
      </c>
      <c r="RF12" s="40" t="str">
        <f t="shared" si="163"/>
        <v/>
      </c>
      <c r="RG12" s="40" t="str">
        <f t="shared" si="164"/>
        <v/>
      </c>
    </row>
    <row r="13" spans="1:475" x14ac:dyDescent="0.2">
      <c r="A13" s="4" t="str">
        <f t="shared" si="0"/>
        <v/>
      </c>
      <c r="B13" s="5" t="s">
        <v>69</v>
      </c>
      <c r="C13" s="4" t="s">
        <v>4</v>
      </c>
      <c r="D13" s="4">
        <v>2003</v>
      </c>
      <c r="E13" s="9">
        <f t="shared" si="1"/>
        <v>149.70001060000428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42.5</v>
      </c>
      <c r="K13" s="8" t="str">
        <f t="shared" si="6"/>
        <v>2023 Elite Canada</v>
      </c>
      <c r="L13" s="8">
        <f>IF(COUNT(AQ13,BT13,CW13)&gt;1,LARGE((AQ13,BT13,CW13),2),0)</f>
        <v>40.800000000000004</v>
      </c>
      <c r="M13" s="8" t="str">
        <f t="shared" si="7"/>
        <v>2022 Nationals</v>
      </c>
      <c r="N13" s="8">
        <f>IF(COUNT(AR13,BU13,CX13)&gt;0,LARGE((AR13,BU13,CX13),1),0)</f>
        <v>22.700000000000003</v>
      </c>
      <c r="O13" s="8" t="str">
        <f t="shared" si="8"/>
        <v>2023 Elite Canada</v>
      </c>
      <c r="P13" s="8">
        <f t="shared" si="9"/>
        <v>43.70000000000001</v>
      </c>
      <c r="Q13" s="8" t="str">
        <f t="shared" si="10"/>
        <v>2022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 t="shared" si="14"/>
        <v>8.3999999999999986</v>
      </c>
      <c r="AQ13" s="40">
        <f t="shared" si="15"/>
        <v>40.800000000000004</v>
      </c>
      <c r="AR13" s="40" t="str">
        <f t="shared" si="16"/>
        <v/>
      </c>
      <c r="AS13" s="40">
        <f t="shared" si="17"/>
        <v>8.3999999999999986</v>
      </c>
      <c r="AT13" s="40">
        <f t="shared" si="18"/>
        <v>40.800000000000004</v>
      </c>
      <c r="AU13" s="40">
        <f t="shared" si="19"/>
        <v>10.1</v>
      </c>
      <c r="AV13" s="40">
        <f t="shared" si="20"/>
        <v>43.70000000000001</v>
      </c>
      <c r="AW13" s="40">
        <f t="shared" si="21"/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 t="shared" si="22"/>
        <v>8.6</v>
      </c>
      <c r="BT13" s="11">
        <f t="shared" si="23"/>
        <v>39.299999999999997</v>
      </c>
      <c r="BU13" s="11" t="str">
        <f t="shared" si="24"/>
        <v/>
      </c>
      <c r="BV13" s="11">
        <f t="shared" si="25"/>
        <v>8.6</v>
      </c>
      <c r="BW13" s="11">
        <f t="shared" si="26"/>
        <v>39.299999999999997</v>
      </c>
      <c r="BX13" s="11">
        <f t="shared" si="27"/>
        <v>7.9</v>
      </c>
      <c r="BY13" s="11">
        <f t="shared" si="28"/>
        <v>39.1</v>
      </c>
      <c r="BZ13" s="11">
        <f t="shared" si="29"/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 t="shared" si="30"/>
        <v>11.5</v>
      </c>
      <c r="CW13" s="40">
        <f t="shared" si="31"/>
        <v>42.5</v>
      </c>
      <c r="CX13" s="40">
        <f t="shared" si="32"/>
        <v>22.700000000000003</v>
      </c>
      <c r="CY13" s="40">
        <f t="shared" si="33"/>
        <v>17.5</v>
      </c>
      <c r="CZ13" s="40">
        <f t="shared" si="34"/>
        <v>65.2</v>
      </c>
      <c r="DA13" s="40">
        <f t="shared" si="35"/>
        <v>10.9</v>
      </c>
      <c r="DB13" s="40">
        <f t="shared" si="36"/>
        <v>43.2</v>
      </c>
      <c r="DC13" s="40">
        <f t="shared" si="37"/>
        <v>85.7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>
        <v>15.5</v>
      </c>
      <c r="GN13" s="18">
        <v>2.9</v>
      </c>
      <c r="GO13" s="18">
        <v>0</v>
      </c>
      <c r="GP13" s="18">
        <v>0</v>
      </c>
      <c r="GQ13" s="18">
        <v>16.2</v>
      </c>
      <c r="GR13" s="18">
        <v>5.7</v>
      </c>
      <c r="GS13" s="18">
        <v>0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 t="shared" si="65"/>
        <v>8.6</v>
      </c>
      <c r="HH13" s="11">
        <f t="shared" si="66"/>
        <v>40.299999999999997</v>
      </c>
      <c r="HI13" s="11" t="str">
        <f t="shared" si="67"/>
        <v/>
      </c>
      <c r="HJ13" s="11">
        <f t="shared" si="68"/>
        <v>8.6</v>
      </c>
      <c r="HK13" s="11">
        <f t="shared" si="69"/>
        <v>40.299999999999997</v>
      </c>
      <c r="HL13" s="11" t="str">
        <f t="shared" si="70"/>
        <v/>
      </c>
      <c r="HM13" s="11" t="str">
        <f t="shared" si="71"/>
        <v/>
      </c>
      <c r="HN13" s="11">
        <f t="shared" si="72"/>
        <v>40.299999999999997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15.75</v>
      </c>
      <c r="QF13" s="22">
        <f t="shared" si="138"/>
        <v>5.5</v>
      </c>
      <c r="QG13" s="22">
        <f t="shared" si="139"/>
        <v>0</v>
      </c>
      <c r="QH13" s="22">
        <f t="shared" si="140"/>
        <v>0.44999999999999996</v>
      </c>
      <c r="QI13" s="22">
        <f t="shared" si="141"/>
        <v>14.3</v>
      </c>
      <c r="QJ13" s="22">
        <f t="shared" si="142"/>
        <v>4.55</v>
      </c>
      <c r="QK13" s="22">
        <f t="shared" si="143"/>
        <v>0.1</v>
      </c>
      <c r="QL13" s="22">
        <f t="shared" si="144"/>
        <v>0.44999999999999996</v>
      </c>
      <c r="QM13" s="22">
        <f t="shared" si="145"/>
        <v>8.0500000000000007</v>
      </c>
      <c r="QN13" s="22">
        <f t="shared" si="146"/>
        <v>3</v>
      </c>
      <c r="QO13" s="22">
        <f t="shared" si="147"/>
        <v>0</v>
      </c>
      <c r="QP13" s="22">
        <f t="shared" si="148"/>
        <v>0.3</v>
      </c>
      <c r="QQ13" s="22">
        <f t="shared" si="149"/>
        <v>15.3</v>
      </c>
      <c r="QR13" s="22">
        <f t="shared" si="150"/>
        <v>3.7</v>
      </c>
      <c r="QS13" s="22">
        <f t="shared" si="151"/>
        <v>0</v>
      </c>
      <c r="QT13" s="22">
        <f t="shared" si="152"/>
        <v>0.3</v>
      </c>
      <c r="QU13" s="22">
        <f t="shared" si="153"/>
        <v>15.65</v>
      </c>
      <c r="QV13" s="22">
        <f t="shared" si="154"/>
        <v>5.7</v>
      </c>
      <c r="QW13" s="22">
        <f t="shared" si="155"/>
        <v>0.1</v>
      </c>
      <c r="QX13" s="22">
        <f t="shared" si="156"/>
        <v>0.6</v>
      </c>
      <c r="QY13" s="27" t="s">
        <v>46</v>
      </c>
      <c r="QZ13" s="40">
        <f t="shared" si="157"/>
        <v>10.050000000000001</v>
      </c>
      <c r="RA13" s="40">
        <f t="shared" si="158"/>
        <v>40.9</v>
      </c>
      <c r="RB13" s="40">
        <f t="shared" si="159"/>
        <v>11.350000000000001</v>
      </c>
      <c r="RC13" s="40">
        <f t="shared" si="160"/>
        <v>13.05</v>
      </c>
      <c r="RD13" s="40">
        <f t="shared" si="161"/>
        <v>52.25</v>
      </c>
      <c r="RE13" s="40">
        <f t="shared" si="162"/>
        <v>9.4</v>
      </c>
      <c r="RF13" s="40">
        <f t="shared" si="163"/>
        <v>41.150000000000006</v>
      </c>
      <c r="RG13" s="40">
        <f t="shared" si="164"/>
        <v>82.050000000000011</v>
      </c>
    </row>
    <row r="14" spans="1:475" x14ac:dyDescent="0.2">
      <c r="A14" s="4" t="str">
        <f t="shared" si="0"/>
        <v/>
      </c>
      <c r="B14" s="5" t="s">
        <v>168</v>
      </c>
      <c r="C14" s="4" t="s">
        <v>4</v>
      </c>
      <c r="D14" s="4">
        <v>2005</v>
      </c>
      <c r="E14" s="9">
        <f t="shared" si="1"/>
        <v>129.900009050004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40.29999999999999</v>
      </c>
      <c r="K14" s="8" t="str">
        <f t="shared" si="6"/>
        <v>2022 Nationals</v>
      </c>
      <c r="L14" s="8">
        <f>IF(COUNT(AQ14,BT14,CW14)&gt;1,LARGE((AQ14,BT14,CW14),2),0)</f>
        <v>32.399999999999991</v>
      </c>
      <c r="M14" s="8" t="str">
        <f t="shared" si="7"/>
        <v>2023 Elite Canada</v>
      </c>
      <c r="N14" s="8">
        <f>IF(COUNT(AR14,BU14,CX14)&gt;0,LARGE((AR14,BU14,CX14),1),0)</f>
        <v>17.8</v>
      </c>
      <c r="O14" s="8" t="str">
        <f t="shared" si="8"/>
        <v>2023 Elite Canada</v>
      </c>
      <c r="P14" s="8">
        <f t="shared" si="9"/>
        <v>39.4</v>
      </c>
      <c r="Q14" s="8" t="str">
        <f t="shared" si="10"/>
        <v>2023 Elite Canada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 t="shared" si="14"/>
        <v>7.3</v>
      </c>
      <c r="AQ14" s="40">
        <f t="shared" si="15"/>
        <v>40.29999999999999</v>
      </c>
      <c r="AR14" s="40" t="str">
        <f t="shared" si="16"/>
        <v/>
      </c>
      <c r="AS14" s="40">
        <f t="shared" si="17"/>
        <v>7.3</v>
      </c>
      <c r="AT14" s="40">
        <f t="shared" si="18"/>
        <v>40.29999999999999</v>
      </c>
      <c r="AU14" s="40">
        <f t="shared" si="19"/>
        <v>5.0999999999999996</v>
      </c>
      <c r="AV14" s="40">
        <f t="shared" si="20"/>
        <v>35.5</v>
      </c>
      <c r="AW14" s="40">
        <f t="shared" si="21"/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2"/>
        <v/>
      </c>
      <c r="BT14" s="11" t="str">
        <f t="shared" si="23"/>
        <v/>
      </c>
      <c r="BU14" s="11" t="str">
        <f t="shared" si="24"/>
        <v/>
      </c>
      <c r="BV14" s="11" t="str">
        <f t="shared" si="25"/>
        <v/>
      </c>
      <c r="BW14" s="11" t="str">
        <f t="shared" si="26"/>
        <v/>
      </c>
      <c r="BX14" s="11" t="str">
        <f t="shared" si="27"/>
        <v/>
      </c>
      <c r="BY14" s="11" t="str">
        <f t="shared" si="28"/>
        <v/>
      </c>
      <c r="BZ14" s="11" t="str">
        <f t="shared" si="29"/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 t="shared" si="30"/>
        <v>5.4</v>
      </c>
      <c r="CW14" s="40">
        <f t="shared" si="31"/>
        <v>32.399999999999991</v>
      </c>
      <c r="CX14" s="40">
        <f t="shared" si="32"/>
        <v>17.8</v>
      </c>
      <c r="CY14" s="40">
        <f t="shared" si="33"/>
        <v>8.3000000000000007</v>
      </c>
      <c r="CZ14" s="40">
        <f t="shared" si="34"/>
        <v>50.199999999999989</v>
      </c>
      <c r="DA14" s="40">
        <f t="shared" si="35"/>
        <v>8.1</v>
      </c>
      <c r="DB14" s="40">
        <f t="shared" si="36"/>
        <v>39.4</v>
      </c>
      <c r="DC14" s="40">
        <f t="shared" si="37"/>
        <v>71.799999999999983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7.55</v>
      </c>
      <c r="QF14" s="22">
        <f t="shared" si="138"/>
        <v>1.25</v>
      </c>
      <c r="QG14" s="22">
        <f t="shared" si="139"/>
        <v>1.35</v>
      </c>
      <c r="QH14" s="22">
        <f t="shared" si="140"/>
        <v>0.15</v>
      </c>
      <c r="QI14" s="22">
        <f t="shared" si="141"/>
        <v>7.05</v>
      </c>
      <c r="QJ14" s="22">
        <f t="shared" si="142"/>
        <v>1.45</v>
      </c>
      <c r="QK14" s="22">
        <f t="shared" si="143"/>
        <v>0.05</v>
      </c>
      <c r="QL14" s="22">
        <f t="shared" si="144"/>
        <v>0.15</v>
      </c>
      <c r="QM14" s="22">
        <f t="shared" si="145"/>
        <v>7.45</v>
      </c>
      <c r="QN14" s="22">
        <f t="shared" si="146"/>
        <v>1.45</v>
      </c>
      <c r="QO14" s="22">
        <f t="shared" si="147"/>
        <v>0.15</v>
      </c>
      <c r="QP14" s="22">
        <f t="shared" si="148"/>
        <v>0.15</v>
      </c>
      <c r="QQ14" s="22">
        <f t="shared" si="149"/>
        <v>7.8</v>
      </c>
      <c r="QR14" s="22">
        <f t="shared" si="150"/>
        <v>2.15</v>
      </c>
      <c r="QS14" s="22">
        <f t="shared" si="151"/>
        <v>0.1</v>
      </c>
      <c r="QT14" s="22">
        <f t="shared" si="152"/>
        <v>0.15</v>
      </c>
      <c r="QU14" s="22">
        <f t="shared" si="153"/>
        <v>7.75</v>
      </c>
      <c r="QV14" s="22">
        <f t="shared" si="154"/>
        <v>1.9</v>
      </c>
      <c r="QW14" s="22">
        <f t="shared" si="155"/>
        <v>0.1</v>
      </c>
      <c r="QX14" s="22">
        <f t="shared" si="156"/>
        <v>0.15</v>
      </c>
      <c r="QY14" s="27" t="s">
        <v>46</v>
      </c>
      <c r="QZ14" s="40">
        <f t="shared" si="157"/>
        <v>2.7</v>
      </c>
      <c r="RA14" s="40">
        <f t="shared" si="158"/>
        <v>16.199999999999996</v>
      </c>
      <c r="RB14" s="40">
        <f t="shared" si="159"/>
        <v>8.9</v>
      </c>
      <c r="RC14" s="40">
        <f t="shared" si="160"/>
        <v>4.1500000000000004</v>
      </c>
      <c r="RD14" s="40">
        <f t="shared" si="161"/>
        <v>25.099999999999994</v>
      </c>
      <c r="RE14" s="40">
        <f t="shared" si="162"/>
        <v>4.05</v>
      </c>
      <c r="RF14" s="40">
        <f t="shared" si="163"/>
        <v>19.7</v>
      </c>
      <c r="RG14" s="40">
        <f t="shared" si="164"/>
        <v>35.899999999999991</v>
      </c>
    </row>
    <row r="15" spans="1:475" x14ac:dyDescent="0.2">
      <c r="A15" s="4" t="str">
        <f t="shared" si="0"/>
        <v/>
      </c>
      <c r="B15" s="5" t="s">
        <v>166</v>
      </c>
      <c r="C15" s="4" t="s">
        <v>3</v>
      </c>
      <c r="D15" s="4">
        <v>2004</v>
      </c>
      <c r="E15" s="9">
        <f t="shared" si="1"/>
        <v>127.70000843000432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</v>
      </c>
      <c r="K15" s="8" t="str">
        <f t="shared" si="6"/>
        <v>2022 Nationals</v>
      </c>
      <c r="L15" s="8">
        <f>IF(COUNT(AQ15,BT15,CW15)&gt;1,LARGE((AQ15,BT15,CW15),2),0)</f>
        <v>41.300000000000004</v>
      </c>
      <c r="M15" s="8" t="str">
        <f t="shared" si="7"/>
        <v>2022 3rd Domestic Trial</v>
      </c>
      <c r="N15" s="8">
        <f>IF(COUNT(AR15,BU15,CX15)&gt;0,LARGE((AR15,BU15,CX15),1),0)</f>
        <v>0</v>
      </c>
      <c r="O15" s="8" t="str">
        <f t="shared" si="8"/>
        <v/>
      </c>
      <c r="P15" s="8">
        <f t="shared" si="9"/>
        <v>43.400000000000006</v>
      </c>
      <c r="Q15" s="8" t="str">
        <f t="shared" si="10"/>
        <v>2022 3rd Domestic Trial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 t="shared" si="14"/>
        <v>9.3999999999999986</v>
      </c>
      <c r="AQ15" s="40">
        <f t="shared" si="15"/>
        <v>43</v>
      </c>
      <c r="AR15" s="40" t="str">
        <f t="shared" si="16"/>
        <v/>
      </c>
      <c r="AS15" s="40">
        <f t="shared" si="17"/>
        <v>9.3999999999999986</v>
      </c>
      <c r="AT15" s="40">
        <f t="shared" si="18"/>
        <v>43</v>
      </c>
      <c r="AU15" s="40">
        <f t="shared" si="19"/>
        <v>10.199999999999999</v>
      </c>
      <c r="AV15" s="40">
        <f t="shared" si="20"/>
        <v>43.2</v>
      </c>
      <c r="AW15" s="40">
        <f t="shared" si="21"/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 t="shared" si="22"/>
        <v>10.7</v>
      </c>
      <c r="BT15" s="11">
        <f t="shared" si="23"/>
        <v>41.300000000000004</v>
      </c>
      <c r="BU15" s="11" t="str">
        <f t="shared" si="24"/>
        <v/>
      </c>
      <c r="BV15" s="11">
        <f t="shared" si="25"/>
        <v>10.7</v>
      </c>
      <c r="BW15" s="11">
        <f t="shared" si="26"/>
        <v>41.300000000000004</v>
      </c>
      <c r="BX15" s="11">
        <f t="shared" si="27"/>
        <v>10.9</v>
      </c>
      <c r="BY15" s="11">
        <f t="shared" si="28"/>
        <v>43.400000000000006</v>
      </c>
      <c r="BZ15" s="11">
        <f t="shared" si="29"/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40" t="str">
        <f t="shared" si="36"/>
        <v/>
      </c>
      <c r="DC15" s="40" t="str">
        <f t="shared" si="37"/>
        <v/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7.15</v>
      </c>
      <c r="QF15" s="22">
        <f t="shared" si="138"/>
        <v>2.75</v>
      </c>
      <c r="QG15" s="22">
        <f t="shared" si="139"/>
        <v>0.1</v>
      </c>
      <c r="QH15" s="22">
        <f t="shared" si="140"/>
        <v>0.3</v>
      </c>
      <c r="QI15" s="22">
        <f t="shared" si="141"/>
        <v>7.85</v>
      </c>
      <c r="QJ15" s="22">
        <f t="shared" si="142"/>
        <v>2.6</v>
      </c>
      <c r="QK15" s="22">
        <f t="shared" si="143"/>
        <v>0.2</v>
      </c>
      <c r="QL15" s="22">
        <f t="shared" si="144"/>
        <v>0.3</v>
      </c>
      <c r="QM15" s="22">
        <f t="shared" si="145"/>
        <v>0</v>
      </c>
      <c r="QN15" s="22">
        <f t="shared" si="146"/>
        <v>0</v>
      </c>
      <c r="QO15" s="22">
        <f t="shared" si="147"/>
        <v>0</v>
      </c>
      <c r="QP15" s="22">
        <f t="shared" si="148"/>
        <v>0</v>
      </c>
      <c r="QQ15" s="22">
        <f t="shared" si="149"/>
        <v>7.6</v>
      </c>
      <c r="QR15" s="22">
        <f t="shared" si="150"/>
        <v>2.85</v>
      </c>
      <c r="QS15" s="22">
        <f t="shared" si="151"/>
        <v>0.1</v>
      </c>
      <c r="QT15" s="22">
        <f t="shared" si="152"/>
        <v>0.3</v>
      </c>
      <c r="QU15" s="22">
        <f t="shared" si="153"/>
        <v>8.25</v>
      </c>
      <c r="QV15" s="22">
        <f t="shared" si="154"/>
        <v>2.6</v>
      </c>
      <c r="QW15" s="22">
        <f t="shared" si="155"/>
        <v>0.1</v>
      </c>
      <c r="QX15" s="22">
        <f t="shared" si="156"/>
        <v>0.3</v>
      </c>
      <c r="QY15" s="27" t="s">
        <v>46</v>
      </c>
      <c r="QZ15" s="40">
        <f t="shared" si="157"/>
        <v>5.35</v>
      </c>
      <c r="RA15" s="40">
        <f t="shared" si="158"/>
        <v>20.650000000000002</v>
      </c>
      <c r="RB15" s="40" t="str">
        <f t="shared" si="159"/>
        <v/>
      </c>
      <c r="RC15" s="40">
        <f t="shared" si="160"/>
        <v>5.35</v>
      </c>
      <c r="RD15" s="40">
        <f t="shared" si="161"/>
        <v>20.650000000000002</v>
      </c>
      <c r="RE15" s="40">
        <f t="shared" si="162"/>
        <v>5.45</v>
      </c>
      <c r="RF15" s="40">
        <f t="shared" si="163"/>
        <v>21.700000000000003</v>
      </c>
      <c r="RG15" s="40">
        <f t="shared" si="164"/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118</v>
      </c>
      <c r="C16" s="4" t="s">
        <v>4</v>
      </c>
      <c r="D16" s="4">
        <v>2003</v>
      </c>
      <c r="E16" s="9">
        <f t="shared" si="1"/>
        <v>122.30000797000434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43.5</v>
      </c>
      <c r="K16" s="8" t="str">
        <f t="shared" si="6"/>
        <v>2022 Nationals</v>
      </c>
      <c r="L16" s="8">
        <f>IF(COUNT(AQ16,BT16,CW16)&gt;1,LARGE((AQ16,BT16,CW16),2),0)</f>
        <v>36.199999999999996</v>
      </c>
      <c r="M16" s="8" t="str">
        <f t="shared" si="7"/>
        <v>2022 3rd Domestic Trial</v>
      </c>
      <c r="N16" s="8">
        <f>IF(COUNT(AR16,BU16,CX16)&gt;0,LARGE((AR16,BU16,CX16),1),0)</f>
        <v>0</v>
      </c>
      <c r="O16" s="8" t="str">
        <f t="shared" si="8"/>
        <v/>
      </c>
      <c r="P16" s="8">
        <f t="shared" si="9"/>
        <v>42.600000000000009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 t="shared" si="14"/>
        <v>11</v>
      </c>
      <c r="AQ16" s="40">
        <f t="shared" si="15"/>
        <v>43.5</v>
      </c>
      <c r="AR16" s="40" t="str">
        <f t="shared" si="16"/>
        <v/>
      </c>
      <c r="AS16" s="40">
        <f t="shared" si="17"/>
        <v>11</v>
      </c>
      <c r="AT16" s="40">
        <f t="shared" si="18"/>
        <v>43.5</v>
      </c>
      <c r="AU16" s="40">
        <f t="shared" si="19"/>
        <v>10</v>
      </c>
      <c r="AV16" s="40">
        <f t="shared" si="20"/>
        <v>42.600000000000009</v>
      </c>
      <c r="AW16" s="40">
        <f t="shared" si="21"/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 t="shared" si="22"/>
        <v>7.1999999999999993</v>
      </c>
      <c r="BT16" s="11">
        <f t="shared" si="23"/>
        <v>36.199999999999996</v>
      </c>
      <c r="BU16" s="11" t="str">
        <f t="shared" si="24"/>
        <v/>
      </c>
      <c r="BV16" s="11">
        <f t="shared" si="25"/>
        <v>7.1999999999999993</v>
      </c>
      <c r="BW16" s="11">
        <f t="shared" si="26"/>
        <v>36.199999999999996</v>
      </c>
      <c r="BX16" s="11" t="str">
        <f t="shared" si="27"/>
        <v/>
      </c>
      <c r="BY16" s="11" t="str">
        <f t="shared" si="28"/>
        <v/>
      </c>
      <c r="BZ16" s="11">
        <f t="shared" si="29"/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40" t="str">
        <f t="shared" si="36"/>
        <v/>
      </c>
      <c r="DC16" s="40" t="str">
        <f t="shared" si="37"/>
        <v/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7.9</v>
      </c>
      <c r="QF16" s="22">
        <f t="shared" si="138"/>
        <v>1.45</v>
      </c>
      <c r="QG16" s="22">
        <f t="shared" si="139"/>
        <v>0</v>
      </c>
      <c r="QH16" s="22">
        <f t="shared" si="140"/>
        <v>0</v>
      </c>
      <c r="QI16" s="22">
        <f t="shared" si="141"/>
        <v>7.05</v>
      </c>
      <c r="QJ16" s="22">
        <f t="shared" si="142"/>
        <v>2.15</v>
      </c>
      <c r="QK16" s="22">
        <f t="shared" si="143"/>
        <v>0.45</v>
      </c>
      <c r="QL16" s="22">
        <f t="shared" si="144"/>
        <v>0</v>
      </c>
      <c r="QM16" s="22">
        <f t="shared" si="145"/>
        <v>0</v>
      </c>
      <c r="QN16" s="22">
        <f t="shared" si="146"/>
        <v>0</v>
      </c>
      <c r="QO16" s="22">
        <f t="shared" si="147"/>
        <v>0</v>
      </c>
      <c r="QP16" s="22">
        <f t="shared" si="148"/>
        <v>0</v>
      </c>
      <c r="QQ16" s="22">
        <f t="shared" si="149"/>
        <v>0</v>
      </c>
      <c r="QR16" s="22">
        <f t="shared" si="150"/>
        <v>0</v>
      </c>
      <c r="QS16" s="22">
        <f t="shared" si="151"/>
        <v>0</v>
      </c>
      <c r="QT16" s="22">
        <f t="shared" si="152"/>
        <v>0</v>
      </c>
      <c r="QU16" s="22">
        <f t="shared" si="153"/>
        <v>0</v>
      </c>
      <c r="QV16" s="22">
        <f t="shared" si="154"/>
        <v>0</v>
      </c>
      <c r="QW16" s="22">
        <f t="shared" si="155"/>
        <v>0</v>
      </c>
      <c r="QX16" s="22">
        <f t="shared" si="156"/>
        <v>0</v>
      </c>
      <c r="QY16" s="27" t="s">
        <v>46</v>
      </c>
      <c r="QZ16" s="40">
        <f t="shared" si="157"/>
        <v>3.5999999999999996</v>
      </c>
      <c r="RA16" s="40">
        <f t="shared" si="158"/>
        <v>18.099999999999998</v>
      </c>
      <c r="RB16" s="40" t="str">
        <f t="shared" si="159"/>
        <v/>
      </c>
      <c r="RC16" s="40">
        <f t="shared" si="160"/>
        <v>3.5999999999999996</v>
      </c>
      <c r="RD16" s="40">
        <f t="shared" si="161"/>
        <v>18.099999999999998</v>
      </c>
      <c r="RE16" s="40" t="str">
        <f t="shared" si="162"/>
        <v/>
      </c>
      <c r="RF16" s="40" t="str">
        <f t="shared" si="163"/>
        <v/>
      </c>
      <c r="RG16" s="40">
        <f t="shared" si="164"/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177</v>
      </c>
      <c r="C17" s="4" t="s">
        <v>122</v>
      </c>
      <c r="D17" s="4">
        <v>2005</v>
      </c>
      <c r="E17" s="9">
        <f t="shared" si="1"/>
        <v>105.80000637000423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42.2</v>
      </c>
      <c r="K17" s="8" t="str">
        <f t="shared" si="6"/>
        <v>2023 Elite Canada</v>
      </c>
      <c r="L17" s="8">
        <f>IF(COUNT(AQ17,BT17,CW17)&gt;1,LARGE((AQ17,BT17,CW17),2),0)</f>
        <v>0</v>
      </c>
      <c r="M17" s="8" t="str">
        <f t="shared" si="7"/>
        <v/>
      </c>
      <c r="N17" s="8">
        <f>IF(COUNT(AR17,BU17,CX17)&gt;0,LARGE((AR17,BU17,CX17),1),0)</f>
        <v>21.5</v>
      </c>
      <c r="O17" s="8" t="str">
        <f t="shared" si="8"/>
        <v>2023 Elite Canada</v>
      </c>
      <c r="P17" s="8">
        <f t="shared" si="9"/>
        <v>42.100000000000009</v>
      </c>
      <c r="Q17" s="8" t="str">
        <f t="shared" si="10"/>
        <v>2023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 t="shared" si="30"/>
        <v>7.8999999999999995</v>
      </c>
      <c r="CW17" s="40">
        <f t="shared" si="31"/>
        <v>42.2</v>
      </c>
      <c r="CX17" s="40">
        <f t="shared" si="32"/>
        <v>21.5</v>
      </c>
      <c r="CY17" s="40">
        <f t="shared" si="33"/>
        <v>11.7</v>
      </c>
      <c r="CZ17" s="40">
        <f t="shared" si="34"/>
        <v>63.7</v>
      </c>
      <c r="DA17" s="40">
        <f t="shared" si="35"/>
        <v>7.3</v>
      </c>
      <c r="DB17" s="40">
        <f t="shared" si="36"/>
        <v>42.100000000000009</v>
      </c>
      <c r="DC17" s="40">
        <f t="shared" si="37"/>
        <v>84.300000000000011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8.25</v>
      </c>
      <c r="QF17" s="22">
        <f t="shared" si="138"/>
        <v>2.0499999999999998</v>
      </c>
      <c r="QG17" s="22">
        <f t="shared" si="139"/>
        <v>0</v>
      </c>
      <c r="QH17" s="22">
        <f t="shared" si="140"/>
        <v>0.15</v>
      </c>
      <c r="QI17" s="22">
        <f t="shared" si="141"/>
        <v>8.75</v>
      </c>
      <c r="QJ17" s="22">
        <f t="shared" si="142"/>
        <v>1.9</v>
      </c>
      <c r="QK17" s="22">
        <f t="shared" si="143"/>
        <v>0</v>
      </c>
      <c r="QL17" s="22">
        <f t="shared" si="144"/>
        <v>0</v>
      </c>
      <c r="QM17" s="22">
        <f t="shared" si="145"/>
        <v>8.85</v>
      </c>
      <c r="QN17" s="22">
        <f t="shared" si="146"/>
        <v>1.9</v>
      </c>
      <c r="QO17" s="22">
        <f t="shared" si="147"/>
        <v>0</v>
      </c>
      <c r="QP17" s="22">
        <f t="shared" si="148"/>
        <v>0</v>
      </c>
      <c r="QQ17" s="22">
        <f t="shared" si="149"/>
        <v>8.5</v>
      </c>
      <c r="QR17" s="22">
        <f t="shared" si="150"/>
        <v>2.0499999999999998</v>
      </c>
      <c r="QS17" s="22">
        <f t="shared" si="151"/>
        <v>0</v>
      </c>
      <c r="QT17" s="22">
        <f t="shared" si="152"/>
        <v>0.15</v>
      </c>
      <c r="QU17" s="22">
        <f t="shared" si="153"/>
        <v>8.75</v>
      </c>
      <c r="QV17" s="22">
        <f t="shared" si="154"/>
        <v>1.6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3.9499999999999997</v>
      </c>
      <c r="RA17" s="40">
        <f t="shared" si="158"/>
        <v>21.1</v>
      </c>
      <c r="RB17" s="40">
        <f t="shared" si="159"/>
        <v>10.75</v>
      </c>
      <c r="RC17" s="40">
        <f t="shared" si="160"/>
        <v>5.85</v>
      </c>
      <c r="RD17" s="40">
        <f t="shared" si="161"/>
        <v>31.85</v>
      </c>
      <c r="RE17" s="40">
        <f t="shared" si="162"/>
        <v>3.65</v>
      </c>
      <c r="RF17" s="40">
        <f t="shared" si="163"/>
        <v>21.050000000000004</v>
      </c>
      <c r="RG17" s="40">
        <f t="shared" si="164"/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9.5</v>
      </c>
      <c r="JK20" s="4"/>
      <c r="JR20" s="42">
        <v>9.5</v>
      </c>
      <c r="KM20" s="4"/>
      <c r="KT20" s="42">
        <v>9.5</v>
      </c>
      <c r="LO20" s="4"/>
      <c r="LV20" s="42">
        <v>9.5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43.9</v>
      </c>
      <c r="JK24" s="4"/>
      <c r="JR24" s="45">
        <v>43.9</v>
      </c>
      <c r="KM24" s="4"/>
      <c r="KT24" s="45">
        <v>43.9</v>
      </c>
      <c r="LO24" s="4"/>
      <c r="LV24" s="45">
        <v>43.9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114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192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112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129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130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135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217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IF(AND(F4="P",G4="P"),SUMPRODUCT((F$4:F$23="P")*(G$4:G$23="P")*(E$4:E$23&gt;E4))+1,IF(G4="P",SUMPRODUCT((F$4:F$23="")*(G$4:G$23="P")*(E$4:E$23&gt;E4))+1+SUMPRODUCT((F$4:F$23="P")*(G$4:G$23="P")),""))</f>
        <v>1</v>
      </c>
      <c r="B4" s="5" t="s">
        <v>202</v>
      </c>
      <c r="C4" s="4" t="s">
        <v>4</v>
      </c>
      <c r="D4" s="4">
        <v>2006</v>
      </c>
      <c r="E4" s="9">
        <f t="shared" ref="E4:E22" si="0">SUM(J4:R4)+SUM(J4:N4)*0.0000001+SUM(J4)*0.0000000000001</f>
        <v>152.80001090000437</v>
      </c>
      <c r="F4" s="3" t="str">
        <f t="shared" ref="F4:F22" si="1">IF(OR(AND(AP4&gt;=AW$25,AQ4&gt;=AW$29,AP4&lt;&gt;"",AO4=""),AND(AU4&gt;=AW$25,AV4&gt;=AW$29,AU4&lt;&gt;"",AO4=""),AND(BS4&gt;=BZ$25,BT4&gt;=BZ$29,BS4&lt;&gt;"",BR4=""),AND(BX4&gt;=BZ$25,BY4&gt;=BZ$29,BX4&lt;&gt;"",BR4=""),AND(CV4&gt;=DC$25,CW4&gt;=DC$29,CV4&lt;&gt;"",CU4=""),AND(DA4&gt;=DC$25,DB4&gt;=DC$29,DA4&lt;&gt;""),AND(EA4&gt;=EH$25,EB4&gt;=EH$29,EA4&lt;&gt;""),AND(EF4&gt;=EH$25,EG4&gt;=EH$29,EF4&lt;&gt;""),AND(FC4&gt;=FJ$25,FD4&gt;=FJ$29,FC4&lt;&gt;""),AND(FH4&gt;=FJ$25,FI4&gt;=FJ$29,FH4&lt;&gt;""),AND(GE4&gt;=GL$25,GF4&gt;=GL$29,GE4&lt;&gt;""),AND(GJ4&gt;=GL$25,GK4&gt;=GL$29,GJ4&lt;&gt;""),AND(HG4&gt;=HN$25,HH4&gt;=HN$29,HG4&lt;&gt;""),AND(HL4&gt;=HN$25,HM4&gt;=HN$29,HL4&lt;&gt;""),AND(II4&gt;=IP$25,IJ4&gt;=IP$29,II4&lt;&gt;""),AND(IN4&gt;=IP$25,IO4&gt;=IP$29,IN4&lt;&gt;""),AND(JK4&gt;=JR$25,JL4&gt;=JR$29,JK4&lt;&gt;""),AND(JP4&gt;=JR$25,JQ4&gt;=JR$29,JP4&lt;&gt;""),AND(KM4&gt;=KT$25,KN4&gt;=KT$29,KM4&lt;&gt;""),AND(KR4&gt;=KT$25,KS4&gt;=KT$29,KR4&lt;&gt;""),AND(LO4&gt;=LV$25,LP4&gt;=LV$29,LO4&lt;&gt;""),AND(LT4&gt;=LV$25,LU4&gt;=LV$29,LT4&lt;&gt;""),AND(MQ4&gt;=MX$25,MR4&gt;=MX$29,MQ4&lt;&gt;""),AND(MV4&gt;=MX$25,MW4&gt;=MX$29,MV4&lt;&gt;""),AND(NS4&gt;=NZ$25,NT4&gt;=NZ$29,NS4&lt;&gt;""),AND(NX4&gt;=NZ$25,NY4&gt;=NZ$29,NX4&lt;&gt;""),AND(OU4&gt;=PB$25,OV4&gt;=PB$29,OU4&lt;&gt;""),AND(OZ4&gt;=PB$25,PA4&gt;=PB$29,OZ4&lt;&gt;""),AND(PW4&gt;=QD$25,PX4&gt;=QD$29,PW4&lt;&gt;""),AND(QB4&gt;=QD$25,QC4&gt;=QD$29,QB4&lt;&gt;"")),"P","")</f>
        <v>P</v>
      </c>
      <c r="G4" s="3" t="str">
        <f t="shared" ref="G4:G22" si="2">IF(OR(AND(AQ4&gt;=AW$29,AQ4&lt;&gt;"",AO4=""),AND(AV4&gt;=AW$29,AV4&lt;&gt;"",AO4=""),AND(BT4&gt;=BZ$29,BT4&lt;&gt;"",BR4=""),AND(BY4&gt;=BZ$29,BY4&lt;&gt;"",BR4=""),AND(CW4&gt;=DC$29,CW4&lt;&gt;"",CU4=""),AND(DB4&gt;=DC$29,DB4&lt;&gt;"",CU4=""),AND(EB4&gt;=EH$29,EB4&lt;&gt;""),AND(EG4&gt;=EH$29,EG4&lt;&gt;""),AND(FD4&gt;=FJ$29,FD4&lt;&gt;""),AND(FI4&gt;=FJ$29,FI4&lt;&gt;""),AND(GF4&gt;=GL$29,GF4&lt;&gt;""),AND(GK4&gt;=GL$29,GK4&lt;&gt;""),AND(HH4&gt;=HN$29,HH4&lt;&gt;""),AND(HM4&gt;=HN$29,HM4&lt;&gt;""),AND(IJ4&gt;=IP$29,IJ4&lt;&gt;""),AND(IO4&gt;=IP$29,IO4&lt;&gt;""),AND(JL4&gt;=JR$29,JL4&lt;&gt;""),AND(JQ4&gt;=JR$29,JQ4&lt;&gt;""),AND(KN4&gt;=KT$29,KN4&lt;&gt;""),AND(KS4&gt;=KT$29,KS4&lt;&gt;""),AND(LP4&gt;=LV$29,LP4&lt;&gt;""),AND(LU4&gt;=LV$29,LU4&lt;&gt;""),AND(MR4&gt;=MX$29,MR4&lt;&gt;""),AND(MW4&gt;=MX$29,MW4&lt;&gt;""),AND(NT4&gt;=NZ$29,NT4&lt;&gt;""),AND(NY4&gt;=NZ$29,NY4&lt;&gt;""),AND(OV4&gt;=PB$29,OV4&lt;&gt;""),AND(PA4&gt;=PB$29,PA4&lt;&gt;""),AND(PX4&gt;=QD$29,PX4&lt;&gt;""),AND(QC4&gt;=QD$29,QC4&lt;&gt;"")),"P","")</f>
        <v>P</v>
      </c>
      <c r="H4" s="36" t="str">
        <f t="shared" ref="H4:H22" si="3">IF(AND(G4="P",F4=""),"No DD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Merit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Excellence",IF(I4="P","Worlds Team",IF(F4="P","National Team","")))))</f>
        <v>National Team</v>
      </c>
      <c r="I4" s="3" t="str">
        <f t="shared" ref="I4:I22" si="4">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P","")</f>
        <v/>
      </c>
      <c r="J4" s="8">
        <f>IF(COUNT(AQ4,BT4,CW4)&gt;0,LARGE((AQ4,BT4,CW4),1),0)</f>
        <v>43.5</v>
      </c>
      <c r="K4" s="8" t="str">
        <f t="shared" ref="K4:K22" si="5"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 t="shared" ref="M4:M22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22" si="7">IF(N4=0,"",IF(N4=CX4,$CA$1,IF(N4=BU4,$AX$1,IF(N4=AR4,$U$1,""))))</f>
        <v>2023 Elite Canada</v>
      </c>
      <c r="P4" s="8">
        <f t="shared" ref="P4:P22" si="8">IF(MAX(AV4,BY4,DB4)&gt;0,MAX(AV4,BY4,DB4),0)</f>
        <v>43.800000000000004</v>
      </c>
      <c r="Q4" s="8" t="str">
        <f t="shared" ref="Q4:Q22" si="9">IF(P4=0,"",IF(P4=DB4,$CA$1,IF(P4=BY4,$AX$1,IF(P4=AV4,$U$1,""))))</f>
        <v>2022 Nationals</v>
      </c>
      <c r="R4" s="8" t="str">
        <f t="shared" ref="R4:R22" si="10">IF(MAX(DD4:DF4)&gt;0,MAX(DD4:DF4),"")</f>
        <v/>
      </c>
      <c r="S4" s="11" t="str">
        <f t="shared" ref="S4:S22" si="11">IF(R4="","",IF(R4=DD4,"("&amp;DD$2&amp;")",IF(R4=DE4,"("&amp;DE$2&amp;")",IF(R4=DF4,"("&amp;DF$2&amp;")"))))</f>
        <v/>
      </c>
      <c r="T4" s="8" t="str">
        <f t="shared" ref="T4:T22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 t="shared" ref="AP4:AP22" si="13">IF(SUM(V4,Z4)&gt;0,SUM(V4,Z4),"")</f>
        <v>8.4</v>
      </c>
      <c r="AQ4" s="40">
        <f t="shared" ref="AQ4:AQ22" si="14">IF(SUM(U4:V4,X4:Z4,AB4)-W4-AA4&gt;0,SUM(U4:V4,X4:Z4,AB4)-W4-AA4,"")</f>
        <v>43.300000000000004</v>
      </c>
      <c r="AR4" s="40" t="str">
        <f t="shared" ref="AR4:AR22" si="15">IF(SUM(AC4:AD4,AF4)-AE4&gt;0,SUM(AC4:AD4,AF4)-AE4,"")</f>
        <v/>
      </c>
      <c r="AS4" s="40">
        <f t="shared" ref="AS4:AS22" si="16">IF(SUM(V4,Z4,AD4)&gt;0,SUM(V4,Z4,AD4),"")</f>
        <v>8.4</v>
      </c>
      <c r="AT4" s="40">
        <f t="shared" ref="AT4:AT22" si="17">IF(SUM(AQ4,AR4)&gt;0,SUM(AQ4,AR4),"")</f>
        <v>43.300000000000004</v>
      </c>
      <c r="AU4" s="40">
        <f t="shared" ref="AU4:AU22" si="18">IF(SUM(AH4,AL4)&gt;0,SUM(AH4,AL4),"")</f>
        <v>8.4</v>
      </c>
      <c r="AV4" s="40">
        <f t="shared" ref="AV4:AV22" si="19">IF(SUM(AG4:AH4,AJ4:AL4,AN4)-SUM(AI4,AM4)&gt;0,SUM(AG4:AH4,AJ4:AL4,AN4)-SUM(AI4,AM4),"")</f>
        <v>43.800000000000004</v>
      </c>
      <c r="AW4" s="40">
        <f t="shared" ref="AW4:AW22" si="20"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 t="shared" ref="BS4:BS22" si="21">IF(SUM(AY4,BC4)&gt;0,SUM(AY4,BC4),"")</f>
        <v/>
      </c>
      <c r="BT4" s="11" t="str">
        <f t="shared" ref="BT4:BT22" si="22">IF(SUM(AX4:AY4,BA4:BC4,BE4)-AZ4-BD4&gt;0,SUM(AX4:AY4,BA4:BC4,BE4)-AZ4-BD4,"")</f>
        <v/>
      </c>
      <c r="BU4" s="11" t="str">
        <f t="shared" ref="BU4:BU22" si="23">IF(SUM(BF4:BG4,BI4)-BH4&gt;0,SUM(BF4:BG4,BI4)-BH4,"")</f>
        <v/>
      </c>
      <c r="BV4" s="11" t="str">
        <f t="shared" ref="BV4:BV22" si="24">IF(SUM(AY4,BC4,BG4)&gt;0,SUM(AY4,BC4,BG4),"")</f>
        <v/>
      </c>
      <c r="BW4" s="11" t="str">
        <f t="shared" ref="BW4:BW22" si="25">IF(SUM(BT4,BU4)&gt;0,SUM(BT4,BU4),"")</f>
        <v/>
      </c>
      <c r="BX4" s="11" t="str">
        <f t="shared" ref="BX4:BX22" si="26">IF(SUM(BK4,BO4)&gt;0,SUM(BK4,BO4),"")</f>
        <v/>
      </c>
      <c r="BY4" s="11" t="str">
        <f t="shared" ref="BY4:BY22" si="27">IF(SUM(BJ4:BK4,BM4:BO4,BQ4)-SUM(BL4,BP4)&gt;0,SUM(BJ4:BK4,BM4:BO4,BQ4)-SUM(BL4,BP4),"")</f>
        <v/>
      </c>
      <c r="BZ4" s="11" t="str">
        <f t="shared" ref="BZ4:BZ22" si="28"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 t="shared" ref="CV4:CV22" si="29">IF(SUM(CB4,CF4)&gt;0,SUM(CB4,CF4),"")</f>
        <v>9.3999999999999986</v>
      </c>
      <c r="CW4" s="40">
        <f t="shared" ref="CW4:CW22" si="30">IF(SUM(CA4:CB4,CD4:CF4,CH4)-CC4-CG4&gt;0,SUM(CA4:CB4,CD4:CF4,CH4)-CC4-CG4,"")</f>
        <v>43.5</v>
      </c>
      <c r="CX4" s="40">
        <f t="shared" ref="CX4:CX22" si="31">IF(SUM(CI4:CJ4,CL4)-CK4&gt;0,SUM(CI4:CJ4,CL4)-CK4,"")</f>
        <v>22.200000000000003</v>
      </c>
      <c r="CY4" s="40">
        <f t="shared" ref="CY4:CY22" si="32">IF(SUM(CB4,CF4,CJ4)&gt;0,SUM(CB4,CF4,CJ4),"")</f>
        <v>14.2</v>
      </c>
      <c r="CZ4" s="40">
        <f t="shared" ref="CZ4:CZ22" si="33">IF(SUM(CW4,CX4)&gt;0,SUM(CW4,CX4),"")</f>
        <v>65.7</v>
      </c>
      <c r="DA4" s="40">
        <f t="shared" ref="DA4:DA22" si="34">IF(SUM(CN4,CR4)&gt;0,SUM(CN4,CR4),"")</f>
        <v>8.6999999999999993</v>
      </c>
      <c r="DB4" s="40">
        <f t="shared" ref="DB4:DB22" si="35">IF(SUM(CM4:CN4,CP4:CR4,CT4)-SUM(CO4,CS4)&gt;0,SUM(CM4:CN4,CP4:CR4,CT4)-SUM(CO4,CS4),"")</f>
        <v>43.2</v>
      </c>
      <c r="DC4" s="40">
        <f t="shared" ref="DC4:DC22" si="36">IF(SUM(CW4,DB4)&gt;0,SUM(CW4,DB4),"")</f>
        <v>86.7</v>
      </c>
      <c r="DD4" s="50" t="str">
        <f t="shared" ref="DD4:DD22" si="37">IF(MAX(EB4,FD4,GF4,HH4,IJ4,JL4,KN4,LP4,MR4,NT4,OV4,PX4)-IF(L4="",0,L4)&gt;0.001,MAX(EB4,FD4,GF4,HH4,IJ4,JL4,KN4,LP4,MR4,NT4,OV4,PX4)-IF(L4="",0,L4),"")</f>
        <v/>
      </c>
      <c r="DE4" s="50" t="str">
        <f t="shared" ref="DE4:DE22" si="38">IF(MAX(EC4,FE4,GG4,HI4,IK4,JM4,KO4,LQ4,MS4,NU4,OW4,PY4)-IF(N4="",0,N4)&gt;0.001,MAX(EC4,FE4,GG4,HI4,IK4,JM4,KO4,LQ4,MS4,NU4,OW4,PY4)-IF(N4="",0,N4),"")</f>
        <v/>
      </c>
      <c r="DF4" s="50" t="str">
        <f t="shared" ref="DF4:DF22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2" si="40">IF(SUM(DH4,DL4)&gt;0,SUM(DH4,DL4),"")</f>
        <v/>
      </c>
      <c r="EB4" s="40" t="str">
        <f t="shared" ref="EB4:EB22" si="41">IF(SUM(DG4:DH4,DJ4:DL4,DN4)-DI4-DM4&gt;0,SUM(DG4:DH4,DJ4:DL4,DN4)-DI4-DM4,"")</f>
        <v/>
      </c>
      <c r="EC4" s="40" t="str">
        <f t="shared" ref="EC4:EC22" si="42">IF(SUM(DO4:DP4,DR4)-DQ4&gt;0,SUM(DO4:DP4,DR4)-DQ4,"")</f>
        <v/>
      </c>
      <c r="ED4" s="40" t="str">
        <f t="shared" ref="ED4:ED22" si="43">IF(SUM(DH4,DL4,DP4)&gt;0,SUM(DH4,DL4,DP4),"")</f>
        <v/>
      </c>
      <c r="EE4" s="40" t="str">
        <f t="shared" ref="EE4:EE22" si="44">IF(SUM(EB4,EC4)&gt;0,SUM(EB4,EC4),"")</f>
        <v/>
      </c>
      <c r="EF4" s="40" t="str">
        <f t="shared" ref="EF4:EF22" si="45">IF(SUM(DT4,DX4)&gt;0,SUM(DT4,DX4),"")</f>
        <v/>
      </c>
      <c r="EG4" s="40" t="str">
        <f t="shared" ref="EG4:EG22" si="46">IF(SUM(DS4:DT4,DV4:DX4,DZ4)-SUM(DU4,DY4)&gt;0,SUM(DS4:DT4,DV4:DX4,DZ4)-SUM(DU4,DY4),"")</f>
        <v/>
      </c>
      <c r="EH4" s="40" t="str">
        <f t="shared" ref="EH4:EH22" si="47"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2" si="48">IF(SUM(EJ4,EN4)&gt;0,SUM(EJ4,EN4),"")</f>
        <v/>
      </c>
      <c r="FD4" s="11" t="str">
        <f t="shared" ref="FD4:FD22" si="49">IF(SUM(EI4:EJ4,EL4:EN4,EP4)-EK4-EO4&gt;0,SUM(EI4:EJ4,EL4:EN4,EP4)-EK4-EO4,"")</f>
        <v/>
      </c>
      <c r="FE4" s="11" t="str">
        <f t="shared" ref="FE4:FE22" si="50">IF(SUM(EQ4:ER4,ET4)-ES4&gt;0,SUM(EQ4:ER4,ET4)-ES4,"")</f>
        <v/>
      </c>
      <c r="FF4" s="11" t="str">
        <f t="shared" ref="FF4:FF22" si="51">IF(SUM(EJ4,EN4,ER4)&gt;0,SUM(EJ4,EN4,ER4),"")</f>
        <v/>
      </c>
      <c r="FG4" s="11" t="str">
        <f t="shared" ref="FG4:FG22" si="52">IF(SUM(FD4,FE4)&gt;0,SUM(FD4,FE4),"")</f>
        <v/>
      </c>
      <c r="FH4" s="11" t="str">
        <f t="shared" ref="FH4:FH22" si="53">IF(SUM(EV4,EZ4)&gt;0,SUM(EV4,EZ4),"")</f>
        <v/>
      </c>
      <c r="FI4" s="11" t="str">
        <f t="shared" ref="FI4:FI22" si="54">IF(SUM(EU4:EV4,EX4:EZ4,FB4)-SUM(EW4,FA4)&gt;0,SUM(EU4:EV4,EX4:EZ4,FB4)-SUM(EW4,FA4),"")</f>
        <v/>
      </c>
      <c r="FJ4" s="11" t="str">
        <f t="shared" ref="FJ4:FJ22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2" si="56">IF(SUM(FL4,FP4)&gt;0,SUM(FL4,FP4),"")</f>
        <v/>
      </c>
      <c r="GF4" s="40" t="str">
        <f t="shared" ref="GF4:GF22" si="57">IF(SUM(FK4:FL4,FN4:FP4,FR4)-FM4-FQ4&gt;0,SUM(FK4:FL4,FN4:FP4,FR4)-FM4-FQ4,"")</f>
        <v/>
      </c>
      <c r="GG4" s="40" t="str">
        <f t="shared" ref="GG4:GG22" si="58">IF(SUM(FS4:FT4,FV4)-FU4&gt;0,SUM(FS4:FT4,FV4)-FU4,"")</f>
        <v/>
      </c>
      <c r="GH4" s="40" t="str">
        <f t="shared" ref="GH4:GH22" si="59">IF(SUM(FL4,FP4,FT4)&gt;0,SUM(FL4,FP4,FT4),"")</f>
        <v/>
      </c>
      <c r="GI4" s="40" t="str">
        <f t="shared" ref="GI4:GI22" si="60">IF(SUM(GF4,GG4)&gt;0,SUM(GF4,GG4),"")</f>
        <v/>
      </c>
      <c r="GJ4" s="40" t="str">
        <f t="shared" ref="GJ4:GJ22" si="61">IF(SUM(FX4,GB4)&gt;0,SUM(FX4,GB4),"")</f>
        <v/>
      </c>
      <c r="GK4" s="40" t="str">
        <f t="shared" ref="GK4:GK22" si="62">IF(SUM(FW4:FX4,FZ4:GB4,GD4)-SUM(FY4,GC4)&gt;0,SUM(FW4:FX4,FZ4:GB4,GD4)-SUM(FY4,GC4),"")</f>
        <v/>
      </c>
      <c r="GL4" s="40" t="str">
        <f t="shared" ref="GL4:GL22" si="63">IF(SUM(GF4,GK4)&gt;0,SUM(GF4,GK4),"")</f>
        <v/>
      </c>
      <c r="GM4" s="18">
        <v>16.100000000000001</v>
      </c>
      <c r="GN4" s="18">
        <v>1.9</v>
      </c>
      <c r="GO4" s="18">
        <v>0</v>
      </c>
      <c r="GP4" s="18">
        <v>0</v>
      </c>
      <c r="GQ4" s="18">
        <v>17.100000000000001</v>
      </c>
      <c r="GR4" s="18">
        <v>4.5999999999999996</v>
      </c>
      <c r="GS4" s="18">
        <v>0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22" si="64">IF(SUM(GN4,GR4)&gt;0,SUM(GN4,GR4),"")</f>
        <v>6.5</v>
      </c>
      <c r="HH4" s="11">
        <f t="shared" ref="HH4:HH22" si="65">IF(SUM(GM4:GN4,GP4:GR4,GT4)-GO4-GS4&gt;0,SUM(GM4:GN4,GP4:GR4,GT4)-GO4-GS4,"")</f>
        <v>39.700000000000003</v>
      </c>
      <c r="HI4" s="11" t="str">
        <f t="shared" ref="HI4:HI22" si="66">IF(SUM(GU4:GV4,GX4)-GW4&gt;0,SUM(GU4:GV4,GX4)-GW4,"")</f>
        <v/>
      </c>
      <c r="HJ4" s="11">
        <f t="shared" ref="HJ4:HJ22" si="67">IF(SUM(GN4,GR4,GV4)&gt;0,SUM(GN4,GR4,GV4),"")</f>
        <v>6.5</v>
      </c>
      <c r="HK4" s="11">
        <f t="shared" ref="HK4:HK22" si="68">IF(SUM(HH4,HI4)&gt;0,SUM(HH4,HI4),"")</f>
        <v>39.700000000000003</v>
      </c>
      <c r="HL4" s="11" t="str">
        <f t="shared" ref="HL4:HL22" si="69">IF(SUM(GZ4,HD4)&gt;0,SUM(GZ4,HD4),"")</f>
        <v/>
      </c>
      <c r="HM4" s="11" t="str">
        <f t="shared" ref="HM4:HM22" si="70">IF(SUM(GY4:GZ4,HB4:HD4,HF4)-SUM(HA4,HE4)&gt;0,SUM(GY4:GZ4,HB4:HD4,HF4)-SUM(HA4,HE4),"")</f>
        <v/>
      </c>
      <c r="HN4" s="11">
        <f t="shared" ref="HN4:HN22" si="71">IF(SUM(HH4,HM4)&gt;0,SUM(HH4,HM4),"")</f>
        <v>39.700000000000003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2" si="72">IF(SUM(HP4,HT4)&gt;0,SUM(HP4,HT4),"")</f>
        <v/>
      </c>
      <c r="IJ4" s="40" t="str">
        <f t="shared" ref="IJ4:IJ22" si="73">IF(SUM(HO4:HP4,HR4:HT4,HV4)-HQ4-HU4&gt;0,SUM(HO4:HP4,HR4:HT4,HV4)-HQ4-HU4,"")</f>
        <v/>
      </c>
      <c r="IK4" s="40" t="str">
        <f t="shared" ref="IK4:IK22" si="74">IF(SUM(HW4:HX4,HZ4)-HY4&gt;0,SUM(HW4:HX4,HZ4)-HY4,"")</f>
        <v/>
      </c>
      <c r="IL4" s="40" t="str">
        <f t="shared" ref="IL4:IL22" si="75">IF(SUM(HP4,HT4,HX4)&gt;0,SUM(HP4,HT4,HX4),"")</f>
        <v/>
      </c>
      <c r="IM4" s="40" t="str">
        <f t="shared" ref="IM4:IM22" si="76">IF(SUM(IJ4,IK4)&gt;0,SUM(IJ4,IK4),"")</f>
        <v/>
      </c>
      <c r="IN4" s="40" t="str">
        <f t="shared" ref="IN4:IN22" si="77">IF(SUM(IB4,IF4)&gt;0,SUM(IB4,IF4),"")</f>
        <v/>
      </c>
      <c r="IO4" s="40" t="str">
        <f t="shared" ref="IO4:IO22" si="78">IF(SUM(IA4:IB4,ID4:IF4,IH4)-SUM(IC4,IG4)&gt;0,SUM(IA4:IB4,ID4:IF4,IH4)-SUM(IC4,IG4),"")</f>
        <v/>
      </c>
      <c r="IP4" s="40" t="str">
        <f t="shared" ref="IP4:IP22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2" si="80">IF(SUM(IR4,IV4)&gt;0,SUM(IR4,IV4),"")</f>
        <v/>
      </c>
      <c r="JL4" s="11" t="str">
        <f t="shared" ref="JL4:JL22" si="81">IF(SUM(IQ4:IR4,IT4:IV4,IX4)-IS4-IW4&gt;0,SUM(IQ4:IR4,IT4:IV4,IX4)-IS4-IW4,"")</f>
        <v/>
      </c>
      <c r="JM4" s="11" t="str">
        <f t="shared" ref="JM4:JM22" si="82">IF(SUM(IY4:IZ4,JB4)-JA4&gt;0,SUM(IY4:IZ4,JB4)-JA4,"")</f>
        <v/>
      </c>
      <c r="JN4" s="11" t="str">
        <f t="shared" ref="JN4:JN22" si="83">IF(SUM(IR4,IV4,IZ4)&gt;0,SUM(IR4,IV4,IZ4),"")</f>
        <v/>
      </c>
      <c r="JO4" s="11" t="str">
        <f t="shared" ref="JO4:JO22" si="84">IF(SUM(JL4,JM4)&gt;0,SUM(JL4,JM4),"")</f>
        <v/>
      </c>
      <c r="JP4" s="11" t="str">
        <f t="shared" ref="JP4:JP22" si="85">IF(SUM(JD4,JH4)&gt;0,SUM(JD4,JH4),"")</f>
        <v/>
      </c>
      <c r="JQ4" s="11" t="str">
        <f t="shared" ref="JQ4:JQ22" si="86">IF(SUM(JC4:JD4,JF4:JH4,JJ4)-SUM(JE4,JI4)&gt;0,SUM(JC4:JD4,JF4:JH4,JJ4)-SUM(JE4,JI4),"")</f>
        <v/>
      </c>
      <c r="JR4" s="11" t="str">
        <f t="shared" ref="JR4:JR22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2" si="88">IF(SUM(JT4,JX4)&gt;0,SUM(JT4,JX4),"")</f>
        <v/>
      </c>
      <c r="KN4" s="40" t="str">
        <f t="shared" ref="KN4:KN22" si="89">IF(SUM(JS4:JT4,JV4:JX4,JZ4)-JU4-JY4&gt;0,SUM(JS4:JT4,JV4:JX4,JZ4)-JU4-JY4,"")</f>
        <v/>
      </c>
      <c r="KO4" s="40" t="str">
        <f t="shared" ref="KO4:KO22" si="90">IF(SUM(KA4:KB4,KD4)-KC4&gt;0,SUM(KA4:KB4,KD4)-KC4,"")</f>
        <v/>
      </c>
      <c r="KP4" s="40" t="str">
        <f t="shared" ref="KP4:KP22" si="91">IF(SUM(JT4,JX4,KB4)&gt;0,SUM(JT4,JX4,KB4),"")</f>
        <v/>
      </c>
      <c r="KQ4" s="40" t="str">
        <f t="shared" ref="KQ4:KQ22" si="92">IF(SUM(KN4,KO4)&gt;0,SUM(KN4,KO4),"")</f>
        <v/>
      </c>
      <c r="KR4" s="40" t="str">
        <f t="shared" ref="KR4:KR22" si="93">IF(SUM(KF4,KJ4)&gt;0,SUM(KF4,KJ4),"")</f>
        <v/>
      </c>
      <c r="KS4" s="40" t="str">
        <f t="shared" ref="KS4:KS22" si="94">IF(SUM(KE4:KF4,KH4:KJ4,KL4)-SUM(KG4,KK4)&gt;0,SUM(KE4:KF4,KH4:KJ4,KL4)-SUM(KG4,KK4),"")</f>
        <v/>
      </c>
      <c r="KT4" s="40" t="str">
        <f t="shared" ref="KT4:KT22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2" si="96">IF(SUM(KV4,KZ4)&gt;0,SUM(KV4,KZ4),"")</f>
        <v/>
      </c>
      <c r="LP4" s="11" t="str">
        <f t="shared" ref="LP4:LP22" si="97">IF(SUM(KU4:KV4,KX4:KZ4,LB4)-KW4-LA4&gt;0,SUM(KU4:KV4,KX4:KZ4,LB4)-KW4-LA4,"")</f>
        <v/>
      </c>
      <c r="LQ4" s="11" t="str">
        <f t="shared" ref="LQ4:LQ22" si="98">IF(SUM(LC4:LD4,LF4)-LE4&gt;0,SUM(LC4:LD4,LF4)-LE4,"")</f>
        <v/>
      </c>
      <c r="LR4" s="11" t="str">
        <f t="shared" ref="LR4:LR22" si="99">IF(SUM(KV4,KZ4,LD4)&gt;0,SUM(KV4,KZ4,LD4),"")</f>
        <v/>
      </c>
      <c r="LS4" s="11" t="str">
        <f t="shared" ref="LS4:LS22" si="100">IF(SUM(LP4,LQ4)&gt;0,SUM(LP4,LQ4),"")</f>
        <v/>
      </c>
      <c r="LT4" s="11" t="str">
        <f t="shared" ref="LT4:LT22" si="101">IF(SUM(LH4,LL4)&gt;0,SUM(LH4,LL4),"")</f>
        <v/>
      </c>
      <c r="LU4" s="11" t="str">
        <f t="shared" ref="LU4:LU22" si="102">IF(SUM(LG4:LH4,LJ4:LL4,LN4)-SUM(LI4,LM4)&gt;0,SUM(LG4:LH4,LJ4:LL4,LN4)-SUM(LI4,LM4),"")</f>
        <v/>
      </c>
      <c r="LV4" s="11" t="str">
        <f t="shared" ref="LV4:LV22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2" si="104">IF(SUM(LX4,MB4)&gt;0,SUM(LX4,MB4),"")</f>
        <v/>
      </c>
      <c r="MR4" s="40" t="str">
        <f t="shared" ref="MR4:MR22" si="105">IF(SUM(LW4:LX4,LZ4:MB4,MD4)-LY4-MC4&gt;0,SUM(LW4:LX4,LZ4:MB4,MD4)-LY4-MC4,"")</f>
        <v/>
      </c>
      <c r="MS4" s="40" t="str">
        <f t="shared" ref="MS4:MS22" si="106">IF(SUM(ME4:MF4,MH4)-MG4&gt;0,SUM(ME4:MF4,MH4)-MG4,"")</f>
        <v/>
      </c>
      <c r="MT4" s="40" t="str">
        <f t="shared" ref="MT4:MT22" si="107">IF(SUM(LX4,MB4,MF4)&gt;0,SUM(LX4,MB4,MF4),"")</f>
        <v/>
      </c>
      <c r="MU4" s="40" t="str">
        <f t="shared" ref="MU4:MU22" si="108">IF(SUM(MR4,MS4)&gt;0,SUM(MR4,MS4),"")</f>
        <v/>
      </c>
      <c r="MV4" s="40" t="str">
        <f t="shared" ref="MV4:MV22" si="109">IF(SUM(MJ4,MN4)&gt;0,SUM(MJ4,MN4),"")</f>
        <v/>
      </c>
      <c r="MW4" s="40" t="str">
        <f t="shared" ref="MW4:MW22" si="110">IF(SUM(MI4:MJ4,ML4:MN4,MP4)-SUM(MK4,MO4)&gt;0,SUM(MI4:MJ4,ML4:MN4,MP4)-SUM(MK4,MO4),"")</f>
        <v/>
      </c>
      <c r="MX4" s="40" t="str">
        <f t="shared" ref="MX4:MX22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2" si="112">IF(SUM(MZ4,ND4)&gt;0,SUM(MZ4,ND4),"")</f>
        <v/>
      </c>
      <c r="NT4" s="11" t="str">
        <f t="shared" ref="NT4:NT22" si="113">IF(SUM(MY4:MZ4,NB4:ND4,NF4)-NA4-NE4&gt;0,SUM(MY4:MZ4,NB4:ND4,NF4)-NA4-NE4,"")</f>
        <v/>
      </c>
      <c r="NU4" s="11" t="str">
        <f t="shared" ref="NU4:NU22" si="114">IF(SUM(NG4:NH4,NJ4)-NI4&gt;0,SUM(NG4:NH4,NJ4)-NI4,"")</f>
        <v/>
      </c>
      <c r="NV4" s="11" t="str">
        <f t="shared" ref="NV4:NV22" si="115">IF(SUM(MZ4,ND4,NH4)&gt;0,SUM(MZ4,ND4,NH4),"")</f>
        <v/>
      </c>
      <c r="NW4" s="11" t="str">
        <f t="shared" ref="NW4:NW22" si="116">IF(SUM(NT4,NU4)&gt;0,SUM(NT4,NU4),"")</f>
        <v/>
      </c>
      <c r="NX4" s="11" t="str">
        <f t="shared" ref="NX4:NX22" si="117">IF(SUM(NL4,NP4)&gt;0,SUM(NL4,NP4),"")</f>
        <v/>
      </c>
      <c r="NY4" s="11" t="str">
        <f t="shared" ref="NY4:NY22" si="118">IF(SUM(NK4:NL4,NN4:NP4,NR4)-SUM(NM4,NQ4)&gt;0,SUM(NK4:NL4,NN4:NP4,NR4)-SUM(NM4,NQ4),"")</f>
        <v/>
      </c>
      <c r="NZ4" s="11" t="str">
        <f t="shared" ref="NZ4:NZ22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2" si="120">IF(SUM(OB4,OF4)&gt;0,SUM(OB4,OF4),"")</f>
        <v/>
      </c>
      <c r="OV4" s="40" t="str">
        <f t="shared" ref="OV4:OV22" si="121">IF(SUM(OA4:OB4,OD4:OF4,OH4)-OC4-OG4&gt;0,SUM(OA4:OB4,OD4:OF4,OH4)-OC4-OG4,"")</f>
        <v/>
      </c>
      <c r="OW4" s="40" t="str">
        <f t="shared" ref="OW4:OW22" si="122">IF(SUM(OI4:OJ4,OL4)-OK4&gt;0,SUM(OI4:OJ4,OL4)-OK4,"")</f>
        <v/>
      </c>
      <c r="OX4" s="40" t="str">
        <f t="shared" ref="OX4:OX22" si="123">IF(SUM(OB4,OF4,OJ4)&gt;0,SUM(OB4,OF4,OJ4),"")</f>
        <v/>
      </c>
      <c r="OY4" s="40" t="str">
        <f t="shared" ref="OY4:OY22" si="124">IF(SUM(OV4,OW4)&gt;0,SUM(OV4,OW4),"")</f>
        <v/>
      </c>
      <c r="OZ4" s="40" t="str">
        <f t="shared" ref="OZ4:OZ22" si="125">IF(SUM(ON4,OR4)&gt;0,SUM(ON4,OR4),"")</f>
        <v/>
      </c>
      <c r="PA4" s="40" t="str">
        <f t="shared" ref="PA4:PA22" si="126">IF(SUM(OM4:ON4,OP4:OR4,OT4)-SUM(OO4,OS4)&gt;0,SUM(OM4:ON4,OP4:OR4,OT4)-SUM(OO4,OS4),"")</f>
        <v/>
      </c>
      <c r="PB4" s="40" t="str">
        <f t="shared" ref="PB4:PB22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2" si="128">IF(SUM(PD4,PH4)&gt;0,SUM(PD4,PH4),"")</f>
        <v/>
      </c>
      <c r="PX4" s="11" t="str">
        <f t="shared" ref="PX4:PX22" si="129">IF(SUM(PC4:PD4,PF4:PH4,PJ4)-PE4-PI4&gt;0,SUM(PC4:PD4,PF4:PH4,PJ4)-PE4-PI4,"")</f>
        <v/>
      </c>
      <c r="PY4" s="11" t="str">
        <f t="shared" ref="PY4:PY22" si="130">IF(SUM(PK4:PL4,PN4)-PM4&gt;0,SUM(PK4:PL4,PN4)-PM4,"")</f>
        <v/>
      </c>
      <c r="PZ4" s="11" t="str">
        <f t="shared" ref="PZ4:PZ22" si="131">IF(SUM(PD4,PH4,PL4)&gt;0,SUM(PD4,PH4,PL4),"")</f>
        <v/>
      </c>
      <c r="QA4" s="11" t="str">
        <f t="shared" ref="QA4:QA22" si="132">IF(SUM(PX4,PY4)&gt;0,SUM(PX4,PY4),"")</f>
        <v/>
      </c>
      <c r="QB4" s="11" t="str">
        <f t="shared" ref="QB4:QB22" si="133">IF(SUM(PP4,PT4)&gt;0,SUM(PP4,PT4),"")</f>
        <v/>
      </c>
      <c r="QC4" s="11" t="str">
        <f t="shared" ref="QC4:QC22" si="134">IF(SUM(PO4:PP4,PR4:PT4,PV4)-SUM(PQ4,PU4)&gt;0,SUM(PO4:PP4,PR4:PT4,PV4)-SUM(PQ4,PU4),"")</f>
        <v/>
      </c>
      <c r="QD4" s="11" t="str">
        <f t="shared" ref="QD4:QD22" si="135">IF(SUM(PX4,QC4)&gt;0,SUM(PX4,QC4),"")</f>
        <v/>
      </c>
      <c r="QE4" s="22">
        <f t="shared" ref="QE4:QE22" si="136">IF($CU4="P",CA4,(CA4+AX4)/2)</f>
        <v>8.35</v>
      </c>
      <c r="QF4" s="22">
        <f t="shared" ref="QF4:QF22" si="137">IF($CU4="P",CB4,(CB4+AY4)/2)</f>
        <v>2.4</v>
      </c>
      <c r="QG4" s="22">
        <f t="shared" ref="QG4:QG22" si="138">IF($CU4="P",CC4,(CC4+AZ4)/2)</f>
        <v>0</v>
      </c>
      <c r="QH4" s="22">
        <f t="shared" ref="QH4:QH22" si="139">IF($CU4="P",CD4,(CD4+BA4)/2)</f>
        <v>0.3</v>
      </c>
      <c r="QI4" s="22">
        <f t="shared" ref="QI4:QI22" si="140">IF($CU4="P",CE4,(CE4+BB4)/2)</f>
        <v>8.1</v>
      </c>
      <c r="QJ4" s="22">
        <f t="shared" ref="QJ4:QJ22" si="141">IF($CU4="P",CF4,(CF4+BC4)/2)</f>
        <v>2.2999999999999998</v>
      </c>
      <c r="QK4" s="22">
        <f t="shared" ref="QK4:QK22" si="142">IF($CU4="P",CG4,(CG4+BD4)/2)</f>
        <v>0</v>
      </c>
      <c r="QL4" s="22">
        <f t="shared" ref="QL4:QL22" si="143">IF($CU4="P",CH4,(CH4+BE4)/2)</f>
        <v>0.3</v>
      </c>
      <c r="QM4" s="22">
        <f t="shared" ref="QM4:QM22" si="144">IF($CU4="P",CI4,(CI4+BF4)/2)</f>
        <v>8.4</v>
      </c>
      <c r="QN4" s="22">
        <f t="shared" ref="QN4:QN22" si="145">IF($CU4="P",CJ4,(CJ4+BG4)/2)</f>
        <v>2.4</v>
      </c>
      <c r="QO4" s="22">
        <f t="shared" ref="QO4:QO22" si="146">IF($CU4="P",CK4,(CK4+BH4)/2)</f>
        <v>0</v>
      </c>
      <c r="QP4" s="22">
        <f t="shared" ref="QP4:QP22" si="147">IF($CU4="P",CL4,(CL4+BI4)/2)</f>
        <v>0.3</v>
      </c>
      <c r="QQ4" s="22">
        <f t="shared" ref="QQ4:QQ22" si="148">IF($CU4="P",CM4,(CM4+BJ4)/2)</f>
        <v>8.65</v>
      </c>
      <c r="QR4" s="22">
        <f t="shared" ref="QR4:QR22" si="149">IF($CU4="P",CN4,(CN4+BK4)/2)</f>
        <v>2.0499999999999998</v>
      </c>
      <c r="QS4" s="22">
        <f t="shared" ref="QS4:QS22" si="150">IF($CU4="P",CO4,(CO4+BL4)/2)</f>
        <v>0</v>
      </c>
      <c r="QT4" s="22">
        <f t="shared" ref="QT4:QT22" si="151">IF($CU4="P",CP4,(CP4+BM4)/2)</f>
        <v>0.15</v>
      </c>
      <c r="QU4" s="22">
        <f t="shared" ref="QU4:QU22" si="152">IF($CU4="P",CQ4,(CQ4+BN4)/2)</f>
        <v>8.15</v>
      </c>
      <c r="QV4" s="22">
        <f t="shared" ref="QV4:QV22" si="153">IF($CU4="P",CR4,(CR4+BO4)/2)</f>
        <v>2.2999999999999998</v>
      </c>
      <c r="QW4" s="22">
        <f t="shared" ref="QW4:QW22" si="154">IF($CU4="P",CS4,(CS4+BP4)/2)</f>
        <v>0</v>
      </c>
      <c r="QX4" s="22">
        <f t="shared" ref="QX4:QX22" si="155">IF($CU4="P",CT4,(CT4+BQ4)/2)</f>
        <v>0.3</v>
      </c>
      <c r="QY4" s="27" t="s">
        <v>46</v>
      </c>
      <c r="QZ4" s="40">
        <f t="shared" ref="QZ4:QZ22" si="156">IF(SUM(QF4,QJ4)&gt;0,SUM(QF4,QJ4),"")</f>
        <v>4.6999999999999993</v>
      </c>
      <c r="RA4" s="40">
        <f t="shared" ref="RA4:RA22" si="157">IF(SUM(QE4:QF4,QH4:QJ4,QL4)-QG4-QK4&gt;0,SUM(QE4:QF4,QH4:QJ4,QL4)-QG4-QK4,"")</f>
        <v>21.75</v>
      </c>
      <c r="RB4" s="40">
        <f t="shared" ref="RB4:RB22" si="158">IF(SUM(QM4:QN4,QP4)-QO4&gt;0,SUM(QM4:QN4,QP4)-QO4,"")</f>
        <v>11.100000000000001</v>
      </c>
      <c r="RC4" s="40">
        <f t="shared" ref="RC4:RC22" si="159">IF(SUM(QF4,QJ4,QN4)&gt;0,SUM(QF4,QJ4,QN4),"")</f>
        <v>7.1</v>
      </c>
      <c r="RD4" s="40">
        <f t="shared" ref="RD4:RD22" si="160">IF(SUM(RA4,RB4)&gt;0,SUM(RA4,RB4),"")</f>
        <v>32.85</v>
      </c>
      <c r="RE4" s="40">
        <f t="shared" ref="RE4:RE22" si="161">IF(SUM(QR4,QV4)&gt;0,SUM(QR4,QV4),"")</f>
        <v>4.3499999999999996</v>
      </c>
      <c r="RF4" s="40">
        <f t="shared" ref="RF4:RF22" si="162">IF(SUM(QQ4:QR4,QT4:QV4,QX4)-SUM(QS4,QW4)&gt;0,SUM(QQ4:QR4,QT4:QV4,QX4)-SUM(QS4,QW4),"")</f>
        <v>21.6</v>
      </c>
      <c r="RG4" s="40">
        <f t="shared" ref="RG4:RG22" si="163">IF(SUM(RA4,RF4)&gt;0,SUM(RA4,RF4),"")</f>
        <v>43.35</v>
      </c>
    </row>
    <row r="5" spans="1:475" x14ac:dyDescent="0.2">
      <c r="A5" s="4">
        <f>IF(AND(F5="P",G5="P"),SUMPRODUCT((F$4:F$23="P")*(G$4:G$23="P")*(E$4:E$23&gt;E5))+1,IF(G5="P",SUMPRODUCT((F$4:F$23="")*(G$4:G$23="P")*(E$4:E$23&gt;E5))+1+SUMPRODUCT((F$4:F$23="P")*(G$4:G$23="P")),""))</f>
        <v>2</v>
      </c>
      <c r="B5" s="5" t="s">
        <v>60</v>
      </c>
      <c r="C5" s="4" t="s">
        <v>3</v>
      </c>
      <c r="D5" s="4">
        <v>2003</v>
      </c>
      <c r="E5" s="9">
        <f t="shared" si="0"/>
        <v>151.10001052000433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43.399999999999991</v>
      </c>
      <c r="K5" s="8" t="str">
        <f t="shared" si="5"/>
        <v>2023 Elite Canada</v>
      </c>
      <c r="L5" s="8">
        <f>IF(COUNT(AQ5,BT5,CW5)&gt;1,LARGE((AQ5,BT5,CW5),2),0)</f>
        <v>39.599999999999994</v>
      </c>
      <c r="M5" s="8" t="str">
        <f t="shared" si="6"/>
        <v>2022 Nationals</v>
      </c>
      <c r="N5" s="8">
        <f>IF(COUNT(AR5,BU5,CX5)&gt;0,LARGE((AR5,BU5,CX5),1),0)</f>
        <v>22.200000000000003</v>
      </c>
      <c r="O5" s="8" t="str">
        <f t="shared" si="7"/>
        <v>2023 Elite Canada</v>
      </c>
      <c r="P5" s="8">
        <f t="shared" si="8"/>
        <v>44.4</v>
      </c>
      <c r="Q5" s="8" t="str">
        <f t="shared" si="9"/>
        <v>2022 Nationals</v>
      </c>
      <c r="R5" s="8">
        <f t="shared" si="10"/>
        <v>1.5000000000000071</v>
      </c>
      <c r="S5" s="11" t="str">
        <f t="shared" si="11"/>
        <v>(Q1)</v>
      </c>
      <c r="T5" s="8" t="str">
        <f t="shared" si="12"/>
        <v>2023 World Cup POR 1 (July 2)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 t="shared" si="13"/>
        <v>5.8</v>
      </c>
      <c r="AQ5" s="40">
        <f t="shared" si="14"/>
        <v>39.599999999999994</v>
      </c>
      <c r="AR5" s="40" t="str">
        <f t="shared" si="15"/>
        <v/>
      </c>
      <c r="AS5" s="40">
        <f t="shared" si="16"/>
        <v>5.8</v>
      </c>
      <c r="AT5" s="40">
        <f t="shared" si="17"/>
        <v>39.599999999999994</v>
      </c>
      <c r="AU5" s="40">
        <f t="shared" si="18"/>
        <v>9.3000000000000007</v>
      </c>
      <c r="AV5" s="40">
        <f t="shared" si="19"/>
        <v>44.4</v>
      </c>
      <c r="AW5" s="40">
        <f t="shared" si="20"/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21"/>
        <v>7.1999999999999993</v>
      </c>
      <c r="BT5" s="11">
        <f t="shared" si="22"/>
        <v>36.299999999999997</v>
      </c>
      <c r="BU5" s="11" t="str">
        <f t="shared" si="23"/>
        <v/>
      </c>
      <c r="BV5" s="11">
        <f t="shared" si="24"/>
        <v>7.1999999999999993</v>
      </c>
      <c r="BW5" s="11">
        <f t="shared" si="25"/>
        <v>36.299999999999997</v>
      </c>
      <c r="BX5" s="11" t="str">
        <f t="shared" si="26"/>
        <v/>
      </c>
      <c r="BY5" s="11" t="str">
        <f t="shared" si="27"/>
        <v/>
      </c>
      <c r="BZ5" s="11">
        <f t="shared" si="28"/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 t="shared" si="29"/>
        <v>8.1999999999999993</v>
      </c>
      <c r="CW5" s="40">
        <f t="shared" si="30"/>
        <v>43.399999999999991</v>
      </c>
      <c r="CX5" s="40">
        <f t="shared" si="31"/>
        <v>22.200000000000003</v>
      </c>
      <c r="CY5" s="40">
        <f t="shared" si="32"/>
        <v>13</v>
      </c>
      <c r="CZ5" s="40">
        <f t="shared" si="33"/>
        <v>65.599999999999994</v>
      </c>
      <c r="DA5" s="40">
        <f t="shared" si="34"/>
        <v>9.1</v>
      </c>
      <c r="DB5" s="40">
        <f t="shared" si="35"/>
        <v>42</v>
      </c>
      <c r="DC5" s="40">
        <f t="shared" si="36"/>
        <v>85.399999999999991</v>
      </c>
      <c r="DD5" s="50">
        <f t="shared" si="37"/>
        <v>1.5000000000000071</v>
      </c>
      <c r="DE5" s="50" t="str">
        <f t="shared" si="38"/>
        <v/>
      </c>
      <c r="DF5" s="50" t="str">
        <f t="shared" si="39"/>
        <v/>
      </c>
      <c r="DG5" s="17">
        <v>17.5</v>
      </c>
      <c r="DH5" s="17">
        <v>4.3</v>
      </c>
      <c r="DI5" s="17">
        <v>0</v>
      </c>
      <c r="DJ5" s="17">
        <v>0</v>
      </c>
      <c r="DK5" s="17">
        <v>15.6</v>
      </c>
      <c r="DL5" s="17">
        <v>2.6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6.9</v>
      </c>
      <c r="EB5" s="40">
        <f t="shared" si="41"/>
        <v>40</v>
      </c>
      <c r="EC5" s="40" t="str">
        <f t="shared" si="42"/>
        <v/>
      </c>
      <c r="ED5" s="40">
        <f t="shared" si="43"/>
        <v>6.9</v>
      </c>
      <c r="EE5" s="40">
        <f t="shared" si="44"/>
        <v>40</v>
      </c>
      <c r="EF5" s="40" t="str">
        <f t="shared" si="45"/>
        <v/>
      </c>
      <c r="EG5" s="40" t="str">
        <f t="shared" si="46"/>
        <v/>
      </c>
      <c r="EH5" s="40">
        <f t="shared" si="47"/>
        <v>40</v>
      </c>
      <c r="EI5" s="18">
        <v>16.7</v>
      </c>
      <c r="EJ5" s="18">
        <v>4.5999999999999996</v>
      </c>
      <c r="EK5" s="18">
        <v>0</v>
      </c>
      <c r="EL5" s="18">
        <v>0</v>
      </c>
      <c r="EM5" s="18">
        <v>15.2</v>
      </c>
      <c r="EN5" s="18">
        <v>4.8</v>
      </c>
      <c r="EO5" s="18">
        <v>0.4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9.3999999999999986</v>
      </c>
      <c r="FD5" s="11">
        <f t="shared" si="49"/>
        <v>40.9</v>
      </c>
      <c r="FE5" s="11" t="str">
        <f t="shared" si="50"/>
        <v/>
      </c>
      <c r="FF5" s="11">
        <f t="shared" si="51"/>
        <v>9.3999999999999986</v>
      </c>
      <c r="FG5" s="11">
        <f t="shared" si="52"/>
        <v>40.9</v>
      </c>
      <c r="FH5" s="11" t="str">
        <f t="shared" si="53"/>
        <v/>
      </c>
      <c r="FI5" s="11" t="str">
        <f t="shared" si="54"/>
        <v/>
      </c>
      <c r="FJ5" s="11">
        <f t="shared" si="55"/>
        <v>40.9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16.7</v>
      </c>
      <c r="HP5" s="17">
        <v>4.3</v>
      </c>
      <c r="HQ5" s="17">
        <v>0</v>
      </c>
      <c r="HR5" s="17">
        <v>0</v>
      </c>
      <c r="HS5" s="17">
        <v>15.1</v>
      </c>
      <c r="HT5" s="17">
        <v>5.2</v>
      </c>
      <c r="HU5" s="17">
        <v>0.2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 t="shared" si="72"/>
        <v>9.5</v>
      </c>
      <c r="IJ5" s="40">
        <f t="shared" si="73"/>
        <v>41.1</v>
      </c>
      <c r="IK5" s="40" t="str">
        <f t="shared" si="74"/>
        <v/>
      </c>
      <c r="IL5" s="40">
        <f t="shared" si="75"/>
        <v>9.5</v>
      </c>
      <c r="IM5" s="40">
        <f t="shared" si="76"/>
        <v>41.1</v>
      </c>
      <c r="IN5" s="40" t="str">
        <f t="shared" si="77"/>
        <v/>
      </c>
      <c r="IO5" s="40" t="str">
        <f t="shared" si="78"/>
        <v/>
      </c>
      <c r="IP5" s="40">
        <f t="shared" si="79"/>
        <v>41.1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17.05</v>
      </c>
      <c r="QF5" s="22">
        <f t="shared" si="137"/>
        <v>4</v>
      </c>
      <c r="QG5" s="22">
        <f t="shared" si="138"/>
        <v>0</v>
      </c>
      <c r="QH5" s="22">
        <f t="shared" si="139"/>
        <v>0.3</v>
      </c>
      <c r="QI5" s="22">
        <f t="shared" si="140"/>
        <v>16.700000000000003</v>
      </c>
      <c r="QJ5" s="22">
        <f t="shared" si="141"/>
        <v>3.7</v>
      </c>
      <c r="QK5" s="22">
        <f t="shared" si="142"/>
        <v>2.35</v>
      </c>
      <c r="QL5" s="22">
        <f t="shared" si="143"/>
        <v>0.44999999999999996</v>
      </c>
      <c r="QM5" s="22">
        <f t="shared" si="144"/>
        <v>8.4</v>
      </c>
      <c r="QN5" s="22">
        <f t="shared" si="145"/>
        <v>2.4</v>
      </c>
      <c r="QO5" s="22">
        <f t="shared" si="146"/>
        <v>0</v>
      </c>
      <c r="QP5" s="22">
        <f t="shared" si="147"/>
        <v>0.3</v>
      </c>
      <c r="QQ5" s="22">
        <f t="shared" si="148"/>
        <v>8.5500000000000007</v>
      </c>
      <c r="QR5" s="22">
        <f t="shared" si="149"/>
        <v>2.15</v>
      </c>
      <c r="QS5" s="22">
        <f t="shared" si="150"/>
        <v>0</v>
      </c>
      <c r="QT5" s="22">
        <f t="shared" si="151"/>
        <v>0.15</v>
      </c>
      <c r="QU5" s="22">
        <f t="shared" si="152"/>
        <v>7.45</v>
      </c>
      <c r="QV5" s="22">
        <f t="shared" si="153"/>
        <v>2.4</v>
      </c>
      <c r="QW5" s="22">
        <f t="shared" si="154"/>
        <v>0</v>
      </c>
      <c r="QX5" s="22">
        <f t="shared" si="155"/>
        <v>0.3</v>
      </c>
      <c r="QY5" s="27" t="s">
        <v>46</v>
      </c>
      <c r="QZ5" s="40">
        <f t="shared" si="156"/>
        <v>7.7</v>
      </c>
      <c r="RA5" s="40">
        <f t="shared" si="157"/>
        <v>39.850000000000009</v>
      </c>
      <c r="RB5" s="40">
        <f t="shared" si="158"/>
        <v>11.100000000000001</v>
      </c>
      <c r="RC5" s="40">
        <f t="shared" si="159"/>
        <v>10.1</v>
      </c>
      <c r="RD5" s="40">
        <f t="shared" si="160"/>
        <v>50.95000000000001</v>
      </c>
      <c r="RE5" s="40">
        <f t="shared" si="161"/>
        <v>4.55</v>
      </c>
      <c r="RF5" s="40">
        <f t="shared" si="162"/>
        <v>21</v>
      </c>
      <c r="RG5" s="40">
        <f t="shared" si="163"/>
        <v>60.850000000000009</v>
      </c>
    </row>
    <row r="6" spans="1:475" x14ac:dyDescent="0.2">
      <c r="A6" s="4">
        <f>IF(AND(F6="P",G6="P"),SUMPRODUCT((F$4:F$23="P")*(G$4:G$23="P")*(E$4:E$23&gt;E6))+1,IF(G6="P",SUMPRODUCT((F$4:F$23="")*(G$4:G$23="P")*(E$4:E$23&gt;E6))+1+SUMPRODUCT((F$4:F$23="P")*(G$4:G$23="P")),""))</f>
        <v>3</v>
      </c>
      <c r="B6" s="5" t="s">
        <v>126</v>
      </c>
      <c r="C6" s="4" t="s">
        <v>4</v>
      </c>
      <c r="D6" s="4">
        <v>2003</v>
      </c>
      <c r="E6" s="9">
        <f t="shared" si="0"/>
        <v>150.80001070000432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43.1</v>
      </c>
      <c r="K6" s="8" t="str">
        <f t="shared" si="5"/>
        <v>2022 Nationals</v>
      </c>
      <c r="L6" s="8">
        <f>IF(COUNT(AQ6,BT6,CW6)&gt;1,LARGE((AQ6,BT6,CW6),2),0)</f>
        <v>42.6</v>
      </c>
      <c r="M6" s="8" t="str">
        <f t="shared" si="6"/>
        <v>2022 3rd Domestic Trial</v>
      </c>
      <c r="N6" s="8">
        <f>IF(COUNT(AR6,BU6,CX6)&gt;0,LARGE((AR6,BU6,CX6),1),0)</f>
        <v>21.3</v>
      </c>
      <c r="O6" s="8" t="str">
        <f t="shared" si="7"/>
        <v>2023 Elite Canada</v>
      </c>
      <c r="P6" s="8">
        <f t="shared" si="8"/>
        <v>42.800000000000011</v>
      </c>
      <c r="Q6" s="8" t="str">
        <f t="shared" si="9"/>
        <v>2023 Elite Canada</v>
      </c>
      <c r="R6" s="8">
        <f t="shared" si="10"/>
        <v>1</v>
      </c>
      <c r="S6" s="11" t="str">
        <f t="shared" si="11"/>
        <v>(Q1)</v>
      </c>
      <c r="T6" s="8" t="str">
        <f t="shared" si="12"/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 t="shared" si="13"/>
        <v>8</v>
      </c>
      <c r="AQ6" s="40">
        <f t="shared" si="14"/>
        <v>43.1</v>
      </c>
      <c r="AR6" s="40" t="str">
        <f t="shared" si="15"/>
        <v/>
      </c>
      <c r="AS6" s="40">
        <f t="shared" si="16"/>
        <v>8</v>
      </c>
      <c r="AT6" s="40">
        <f t="shared" si="17"/>
        <v>43.1</v>
      </c>
      <c r="AU6" s="40">
        <f t="shared" si="18"/>
        <v>5.8</v>
      </c>
      <c r="AV6" s="40">
        <f t="shared" si="19"/>
        <v>39.699999999999996</v>
      </c>
      <c r="AW6" s="40">
        <f t="shared" si="20"/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 t="shared" si="21"/>
        <v>9.1</v>
      </c>
      <c r="BT6" s="11">
        <f t="shared" si="22"/>
        <v>42.6</v>
      </c>
      <c r="BU6" s="11" t="str">
        <f t="shared" si="23"/>
        <v/>
      </c>
      <c r="BV6" s="11">
        <f t="shared" si="24"/>
        <v>9.1</v>
      </c>
      <c r="BW6" s="11">
        <f t="shared" si="25"/>
        <v>42.6</v>
      </c>
      <c r="BX6" s="11">
        <f t="shared" si="26"/>
        <v>3.8</v>
      </c>
      <c r="BY6" s="11">
        <f t="shared" si="27"/>
        <v>35.299999999999997</v>
      </c>
      <c r="BZ6" s="11">
        <f t="shared" si="28"/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 t="shared" si="29"/>
        <v>5.8</v>
      </c>
      <c r="CW6" s="40">
        <f t="shared" si="30"/>
        <v>39.9</v>
      </c>
      <c r="CX6" s="40">
        <f t="shared" si="31"/>
        <v>21.3</v>
      </c>
      <c r="CY6" s="40">
        <f t="shared" si="32"/>
        <v>9.8999999999999986</v>
      </c>
      <c r="CZ6" s="40">
        <f t="shared" si="33"/>
        <v>61.2</v>
      </c>
      <c r="DA6" s="40">
        <f t="shared" si="34"/>
        <v>7.3</v>
      </c>
      <c r="DB6" s="40">
        <f t="shared" si="35"/>
        <v>42.800000000000011</v>
      </c>
      <c r="DC6" s="40">
        <f t="shared" si="36"/>
        <v>82.700000000000017</v>
      </c>
      <c r="DD6" s="50">
        <f t="shared" si="37"/>
        <v>1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>
        <v>17.8</v>
      </c>
      <c r="GN6" s="18">
        <v>4.3</v>
      </c>
      <c r="GO6" s="18">
        <v>0</v>
      </c>
      <c r="GP6" s="18">
        <v>0</v>
      </c>
      <c r="GQ6" s="18">
        <v>16.899999999999999</v>
      </c>
      <c r="GR6" s="18">
        <v>4.5999999999999996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8.8999999999999986</v>
      </c>
      <c r="HH6" s="11">
        <f t="shared" si="65"/>
        <v>43.6</v>
      </c>
      <c r="HI6" s="11" t="str">
        <f t="shared" si="66"/>
        <v/>
      </c>
      <c r="HJ6" s="11">
        <f t="shared" si="67"/>
        <v>8.8999999999999986</v>
      </c>
      <c r="HK6" s="11">
        <f t="shared" si="68"/>
        <v>43.6</v>
      </c>
      <c r="HL6" s="11" t="str">
        <f t="shared" si="69"/>
        <v/>
      </c>
      <c r="HM6" s="11" t="str">
        <f t="shared" si="70"/>
        <v/>
      </c>
      <c r="HN6" s="11">
        <f t="shared" si="71"/>
        <v>43.6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16.850000000000001</v>
      </c>
      <c r="QF6" s="22">
        <f t="shared" si="137"/>
        <v>4.0999999999999996</v>
      </c>
      <c r="QG6" s="22">
        <f t="shared" si="138"/>
        <v>0</v>
      </c>
      <c r="QH6" s="22">
        <f t="shared" si="139"/>
        <v>0.3</v>
      </c>
      <c r="QI6" s="22">
        <f t="shared" si="140"/>
        <v>16.2</v>
      </c>
      <c r="QJ6" s="22">
        <f t="shared" si="141"/>
        <v>3.3499999999999996</v>
      </c>
      <c r="QK6" s="22">
        <f t="shared" si="142"/>
        <v>0</v>
      </c>
      <c r="QL6" s="22">
        <f t="shared" si="143"/>
        <v>0.44999999999999996</v>
      </c>
      <c r="QM6" s="22">
        <f t="shared" si="144"/>
        <v>8.4499999999999993</v>
      </c>
      <c r="QN6" s="22">
        <f t="shared" si="145"/>
        <v>2.0499999999999998</v>
      </c>
      <c r="QO6" s="22">
        <f t="shared" si="146"/>
        <v>0</v>
      </c>
      <c r="QP6" s="22">
        <f t="shared" si="147"/>
        <v>0.15</v>
      </c>
      <c r="QQ6" s="22">
        <f t="shared" si="148"/>
        <v>16.450000000000003</v>
      </c>
      <c r="QR6" s="22">
        <f t="shared" si="149"/>
        <v>3</v>
      </c>
      <c r="QS6" s="22">
        <f t="shared" si="150"/>
        <v>0</v>
      </c>
      <c r="QT6" s="22">
        <f t="shared" si="151"/>
        <v>0.3</v>
      </c>
      <c r="QU6" s="22">
        <f t="shared" si="152"/>
        <v>16.5</v>
      </c>
      <c r="QV6" s="22">
        <f t="shared" si="153"/>
        <v>2.5499999999999998</v>
      </c>
      <c r="QW6" s="22">
        <f t="shared" si="154"/>
        <v>0.2</v>
      </c>
      <c r="QX6" s="22">
        <f t="shared" si="155"/>
        <v>0.44999999999999996</v>
      </c>
      <c r="QY6" s="27" t="s">
        <v>46</v>
      </c>
      <c r="QZ6" s="40">
        <f t="shared" si="156"/>
        <v>7.4499999999999993</v>
      </c>
      <c r="RA6" s="40">
        <f t="shared" si="157"/>
        <v>41.250000000000007</v>
      </c>
      <c r="RB6" s="40">
        <f t="shared" si="158"/>
        <v>10.65</v>
      </c>
      <c r="RC6" s="40">
        <f t="shared" si="159"/>
        <v>9.5</v>
      </c>
      <c r="RD6" s="40">
        <f t="shared" si="160"/>
        <v>51.900000000000006</v>
      </c>
      <c r="RE6" s="40">
        <f t="shared" si="161"/>
        <v>5.55</v>
      </c>
      <c r="RF6" s="40">
        <f t="shared" si="162"/>
        <v>39.049999999999997</v>
      </c>
      <c r="RG6" s="40">
        <f t="shared" si="163"/>
        <v>80.300000000000011</v>
      </c>
    </row>
    <row r="7" spans="1:475" x14ac:dyDescent="0.2">
      <c r="A7" s="4">
        <f>IF(AND(F7="P",G7="P"),SUMPRODUCT((F$4:F$23="P")*(G$4:G$23="P")*(E$4:E$23&gt;E7))+1,IF(G7="P",SUMPRODUCT((F$4:F$23="")*(G$4:G$23="P")*(E$4:E$23&gt;E7))+1+SUMPRODUCT((F$4:F$23="P")*(G$4:G$23="P")),""))</f>
        <v>4</v>
      </c>
      <c r="B7" s="5" t="s">
        <v>109</v>
      </c>
      <c r="C7" s="4" t="s">
        <v>4</v>
      </c>
      <c r="D7" s="4">
        <v>2003</v>
      </c>
      <c r="E7" s="9">
        <f t="shared" si="0"/>
        <v>145.30001020000432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43.199999999999989</v>
      </c>
      <c r="K7" s="8" t="str">
        <f t="shared" si="5"/>
        <v>2022 Nationals</v>
      </c>
      <c r="L7" s="8">
        <f>IF(COUNT(AQ7,BT7,CW7)&gt;1,LARGE((AQ7,BT7,CW7),2),0)</f>
        <v>40.800000000000004</v>
      </c>
      <c r="M7" s="8" t="str">
        <f t="shared" si="6"/>
        <v>2023 Elite Canada</v>
      </c>
      <c r="N7" s="8">
        <f>IF(COUNT(AR7,BU7,CX7)&gt;0,LARGE((AR7,BU7,CX7),1),0)</f>
        <v>18</v>
      </c>
      <c r="O7" s="8" t="str">
        <f t="shared" si="7"/>
        <v>2023 Elite Canada</v>
      </c>
      <c r="P7" s="8">
        <f t="shared" si="8"/>
        <v>40.400000000000006</v>
      </c>
      <c r="Q7" s="8" t="str">
        <f t="shared" si="9"/>
        <v>2022 Nationals</v>
      </c>
      <c r="R7" s="8">
        <f t="shared" si="10"/>
        <v>2.8999999999999915</v>
      </c>
      <c r="S7" s="11" t="str">
        <f t="shared" si="11"/>
        <v>(Q1)</v>
      </c>
      <c r="T7" s="8" t="str">
        <f t="shared" si="12"/>
        <v>2022 Worlds (Nov 17)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 t="shared" si="13"/>
        <v>8.3999999999999986</v>
      </c>
      <c r="AQ7" s="40">
        <f t="shared" si="14"/>
        <v>43.199999999999989</v>
      </c>
      <c r="AR7" s="40" t="str">
        <f t="shared" si="15"/>
        <v/>
      </c>
      <c r="AS7" s="40">
        <f t="shared" si="16"/>
        <v>8.3999999999999986</v>
      </c>
      <c r="AT7" s="40">
        <f t="shared" si="17"/>
        <v>43.199999999999989</v>
      </c>
      <c r="AU7" s="40">
        <f t="shared" si="18"/>
        <v>7.3999999999999995</v>
      </c>
      <c r="AV7" s="40">
        <f t="shared" si="19"/>
        <v>40.400000000000006</v>
      </c>
      <c r="AW7" s="40">
        <f t="shared" si="20"/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 t="shared" si="21"/>
        <v>6.3</v>
      </c>
      <c r="BT7" s="11">
        <f t="shared" si="22"/>
        <v>31.699999999999996</v>
      </c>
      <c r="BU7" s="11" t="str">
        <f t="shared" si="23"/>
        <v/>
      </c>
      <c r="BV7" s="11">
        <f t="shared" si="24"/>
        <v>6.3</v>
      </c>
      <c r="BW7" s="11">
        <f t="shared" si="25"/>
        <v>31.699999999999996</v>
      </c>
      <c r="BX7" s="11" t="str">
        <f t="shared" si="26"/>
        <v/>
      </c>
      <c r="BY7" s="11" t="str">
        <f t="shared" si="27"/>
        <v/>
      </c>
      <c r="BZ7" s="11">
        <f t="shared" si="28"/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 t="shared" si="29"/>
        <v>6.5</v>
      </c>
      <c r="CW7" s="40">
        <f t="shared" si="30"/>
        <v>40.800000000000004</v>
      </c>
      <c r="CX7" s="40">
        <f t="shared" si="31"/>
        <v>18</v>
      </c>
      <c r="CY7" s="40">
        <f t="shared" si="32"/>
        <v>8.4</v>
      </c>
      <c r="CZ7" s="40">
        <f t="shared" si="33"/>
        <v>58.800000000000004</v>
      </c>
      <c r="DA7" s="40">
        <f t="shared" si="34"/>
        <v>5.8</v>
      </c>
      <c r="DB7" s="40">
        <f t="shared" si="35"/>
        <v>39.599999999999987</v>
      </c>
      <c r="DC7" s="40">
        <f t="shared" si="36"/>
        <v>80.399999999999991</v>
      </c>
      <c r="DD7" s="50">
        <f t="shared" si="37"/>
        <v>2.8999999999999915</v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>
        <v>17.399999999999999</v>
      </c>
      <c r="EJ7" s="18">
        <v>4.3</v>
      </c>
      <c r="EK7" s="18">
        <v>0</v>
      </c>
      <c r="EL7" s="18">
        <v>0</v>
      </c>
      <c r="EM7" s="18">
        <v>17.399999999999999</v>
      </c>
      <c r="EN7" s="18">
        <v>4.5999999999999996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 t="shared" si="48"/>
        <v>8.8999999999999986</v>
      </c>
      <c r="FD7" s="11">
        <f t="shared" si="49"/>
        <v>43.699999999999996</v>
      </c>
      <c r="FE7" s="11" t="str">
        <f t="shared" si="50"/>
        <v/>
      </c>
      <c r="FF7" s="11">
        <f t="shared" si="51"/>
        <v>8.8999999999999986</v>
      </c>
      <c r="FG7" s="11">
        <f t="shared" si="52"/>
        <v>43.699999999999996</v>
      </c>
      <c r="FH7" s="11" t="str">
        <f t="shared" si="53"/>
        <v/>
      </c>
      <c r="FI7" s="11" t="str">
        <f t="shared" si="54"/>
        <v/>
      </c>
      <c r="FJ7" s="11">
        <f t="shared" si="55"/>
        <v>43.699999999999996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17.3</v>
      </c>
      <c r="GB7" s="17">
        <v>4.8</v>
      </c>
      <c r="GC7" s="17">
        <v>0</v>
      </c>
      <c r="GD7" s="17">
        <v>0</v>
      </c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>
        <f t="shared" si="61"/>
        <v>4.8</v>
      </c>
      <c r="GK7" s="40">
        <f t="shared" si="62"/>
        <v>22.1</v>
      </c>
      <c r="GL7" s="40">
        <f t="shared" si="63"/>
        <v>22.1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</v>
      </c>
      <c r="QF7" s="22">
        <f t="shared" si="137"/>
        <v>3.9</v>
      </c>
      <c r="QG7" s="22">
        <f t="shared" si="138"/>
        <v>0.2</v>
      </c>
      <c r="QH7" s="22">
        <f t="shared" si="139"/>
        <v>0.3</v>
      </c>
      <c r="QI7" s="22">
        <f t="shared" si="140"/>
        <v>16</v>
      </c>
      <c r="QJ7" s="22">
        <f t="shared" si="141"/>
        <v>2.5</v>
      </c>
      <c r="QK7" s="22">
        <f t="shared" si="142"/>
        <v>2.7</v>
      </c>
      <c r="QL7" s="22">
        <f t="shared" si="143"/>
        <v>0.44999999999999996</v>
      </c>
      <c r="QM7" s="22">
        <f t="shared" si="144"/>
        <v>7.9</v>
      </c>
      <c r="QN7" s="22">
        <f t="shared" si="145"/>
        <v>0.95</v>
      </c>
      <c r="QO7" s="22">
        <f t="shared" si="146"/>
        <v>0</v>
      </c>
      <c r="QP7" s="22">
        <f t="shared" si="147"/>
        <v>0.15</v>
      </c>
      <c r="QQ7" s="22">
        <f t="shared" si="148"/>
        <v>8.5</v>
      </c>
      <c r="QR7" s="22">
        <f t="shared" si="149"/>
        <v>1.95</v>
      </c>
      <c r="QS7" s="22">
        <f t="shared" si="150"/>
        <v>0.1</v>
      </c>
      <c r="QT7" s="22">
        <f t="shared" si="151"/>
        <v>0.15</v>
      </c>
      <c r="QU7" s="22">
        <f t="shared" si="152"/>
        <v>8.1999999999999993</v>
      </c>
      <c r="QV7" s="22">
        <f t="shared" si="153"/>
        <v>0.95</v>
      </c>
      <c r="QW7" s="22">
        <f t="shared" si="154"/>
        <v>0</v>
      </c>
      <c r="QX7" s="22">
        <f t="shared" si="155"/>
        <v>0.15</v>
      </c>
      <c r="QY7" s="27" t="s">
        <v>46</v>
      </c>
      <c r="QZ7" s="40">
        <f t="shared" si="156"/>
        <v>6.4</v>
      </c>
      <c r="RA7" s="40">
        <f t="shared" si="157"/>
        <v>36.25</v>
      </c>
      <c r="RB7" s="40">
        <f t="shared" si="158"/>
        <v>9</v>
      </c>
      <c r="RC7" s="40">
        <f t="shared" si="159"/>
        <v>7.3500000000000005</v>
      </c>
      <c r="RD7" s="40">
        <f t="shared" si="160"/>
        <v>45.25</v>
      </c>
      <c r="RE7" s="40">
        <f t="shared" si="161"/>
        <v>2.9</v>
      </c>
      <c r="RF7" s="40">
        <f t="shared" si="162"/>
        <v>19.799999999999994</v>
      </c>
      <c r="RG7" s="40">
        <f t="shared" si="163"/>
        <v>56.05</v>
      </c>
    </row>
    <row r="8" spans="1:475" x14ac:dyDescent="0.2">
      <c r="A8" s="4" cm="1">
        <f t="array" ref="A8">IF(AND(F8="P",G8="P"),SUMPRODUCT((F$4:F$23="P")*(G$4:G$23="P")*(E$4:E$23&gt;E8))+1,IF(G8="P",SUMPRODUCT((F$4:F$23="")*(G$4:G$23="P")*(E$4:E$23&gt;E8))+1+SUMPRODUCT((F$4:F$23="P")*(G$4:G$23="P")),""))</f>
        <v>5</v>
      </c>
      <c r="B8" s="5" t="s">
        <v>120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3"/>
        <v>4.5999999999999996</v>
      </c>
      <c r="AQ8" s="40">
        <f t="shared" si="14"/>
        <v>35.800000000000004</v>
      </c>
      <c r="AR8" s="40" t="str">
        <f t="shared" si="15"/>
        <v/>
      </c>
      <c r="AS8" s="40">
        <f t="shared" si="16"/>
        <v>4.5999999999999996</v>
      </c>
      <c r="AT8" s="40">
        <f t="shared" si="17"/>
        <v>35.800000000000004</v>
      </c>
      <c r="AU8" s="40" t="str">
        <f t="shared" si="18"/>
        <v/>
      </c>
      <c r="AV8" s="40" t="str">
        <f t="shared" si="19"/>
        <v/>
      </c>
      <c r="AW8" s="40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 t="shared" si="29"/>
        <v>7.6999999999999993</v>
      </c>
      <c r="CW8" s="40">
        <f t="shared" si="30"/>
        <v>41.199999999999996</v>
      </c>
      <c r="CX8" s="40">
        <f t="shared" si="31"/>
        <v>20.84</v>
      </c>
      <c r="CY8" s="40">
        <f t="shared" si="32"/>
        <v>11.799999999999999</v>
      </c>
      <c r="CZ8" s="40">
        <f t="shared" si="33"/>
        <v>62.039999999999992</v>
      </c>
      <c r="DA8" s="40">
        <f t="shared" si="34"/>
        <v>8</v>
      </c>
      <c r="DB8" s="40">
        <f t="shared" si="35"/>
        <v>43.3</v>
      </c>
      <c r="DC8" s="40">
        <f t="shared" si="36"/>
        <v>84.5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8.3000000000000007</v>
      </c>
      <c r="QF8" s="22">
        <f t="shared" si="137"/>
        <v>1.8</v>
      </c>
      <c r="QG8" s="22">
        <f t="shared" si="138"/>
        <v>0.1</v>
      </c>
      <c r="QH8" s="22">
        <f t="shared" si="139"/>
        <v>0</v>
      </c>
      <c r="QI8" s="22">
        <f t="shared" si="140"/>
        <v>8.5</v>
      </c>
      <c r="QJ8" s="22">
        <f t="shared" si="141"/>
        <v>2.0499999999999998</v>
      </c>
      <c r="QK8" s="22">
        <f t="shared" si="142"/>
        <v>0.1</v>
      </c>
      <c r="QL8" s="22">
        <f t="shared" si="143"/>
        <v>0.15</v>
      </c>
      <c r="QM8" s="22">
        <f t="shared" si="144"/>
        <v>8.2200000000000006</v>
      </c>
      <c r="QN8" s="22">
        <f t="shared" si="145"/>
        <v>2.0499999999999998</v>
      </c>
      <c r="QO8" s="22">
        <f t="shared" si="146"/>
        <v>0</v>
      </c>
      <c r="QP8" s="22">
        <f t="shared" si="147"/>
        <v>0.15</v>
      </c>
      <c r="QQ8" s="22">
        <f t="shared" si="148"/>
        <v>8.75</v>
      </c>
      <c r="QR8" s="22">
        <f t="shared" si="149"/>
        <v>2.0499999999999998</v>
      </c>
      <c r="QS8" s="22">
        <f t="shared" si="150"/>
        <v>0</v>
      </c>
      <c r="QT8" s="22">
        <f t="shared" si="151"/>
        <v>0.15</v>
      </c>
      <c r="QU8" s="22">
        <f t="shared" si="152"/>
        <v>8.6</v>
      </c>
      <c r="QV8" s="22">
        <f t="shared" si="153"/>
        <v>1.95</v>
      </c>
      <c r="QW8" s="22">
        <f t="shared" si="154"/>
        <v>0</v>
      </c>
      <c r="QX8" s="22">
        <f t="shared" si="155"/>
        <v>0.15</v>
      </c>
      <c r="QY8" s="27" t="s">
        <v>46</v>
      </c>
      <c r="QZ8" s="40">
        <f t="shared" si="156"/>
        <v>3.8499999999999996</v>
      </c>
      <c r="RA8" s="40">
        <f t="shared" si="157"/>
        <v>20.599999999999998</v>
      </c>
      <c r="RB8" s="40">
        <f t="shared" si="158"/>
        <v>10.42</v>
      </c>
      <c r="RC8" s="40">
        <f t="shared" si="159"/>
        <v>5.8999999999999995</v>
      </c>
      <c r="RD8" s="40">
        <f t="shared" si="160"/>
        <v>31.019999999999996</v>
      </c>
      <c r="RE8" s="40">
        <f t="shared" si="161"/>
        <v>4</v>
      </c>
      <c r="RF8" s="40">
        <f t="shared" si="162"/>
        <v>21.65</v>
      </c>
      <c r="RG8" s="40">
        <f t="shared" si="163"/>
        <v>42.25</v>
      </c>
    </row>
    <row r="9" spans="1:475" x14ac:dyDescent="0.2">
      <c r="A9" s="4">
        <f t="shared" ref="A9:A22" si="164">IF(AND(F9="P",G9="P"),SUMPRODUCT((F$4:F$23="P")*(G$4:G$23="P")*(E$4:E$23&gt;E9))+1,IF(G9="P",SUMPRODUCT((F$4:F$23="")*(G$4:G$23="P")*(E$4:E$23&gt;E9))+1+SUMPRODUCT((F$4:F$23="P")*(G$4:G$23="P")),""))</f>
        <v>6</v>
      </c>
      <c r="B9" s="5" t="s">
        <v>77</v>
      </c>
      <c r="C9" s="4" t="s">
        <v>5</v>
      </c>
      <c r="D9" s="4">
        <v>2004</v>
      </c>
      <c r="E9" s="9">
        <f t="shared" si="0"/>
        <v>137.30000951000395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 t="shared" si="13"/>
        <v>6.7</v>
      </c>
      <c r="AQ9" s="40">
        <f t="shared" si="14"/>
        <v>35.5</v>
      </c>
      <c r="AR9" s="40" t="str">
        <f t="shared" si="15"/>
        <v/>
      </c>
      <c r="AS9" s="40">
        <f t="shared" si="16"/>
        <v>6.7</v>
      </c>
      <c r="AT9" s="40">
        <f t="shared" si="17"/>
        <v>35.5</v>
      </c>
      <c r="AU9" s="40" t="str">
        <f t="shared" si="18"/>
        <v/>
      </c>
      <c r="AV9" s="40" t="str">
        <f t="shared" si="19"/>
        <v/>
      </c>
      <c r="AW9" s="40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 t="shared" si="29"/>
        <v>8</v>
      </c>
      <c r="CW9" s="40">
        <f t="shared" si="30"/>
        <v>37.500000000000007</v>
      </c>
      <c r="CX9" s="40">
        <f t="shared" si="31"/>
        <v>18.500000000000004</v>
      </c>
      <c r="CY9" s="40">
        <f t="shared" si="32"/>
        <v>10.6</v>
      </c>
      <c r="CZ9" s="40">
        <f t="shared" si="33"/>
        <v>56.000000000000014</v>
      </c>
      <c r="DA9" s="40">
        <f t="shared" si="34"/>
        <v>8.3999999999999986</v>
      </c>
      <c r="DB9" s="40">
        <f t="shared" si="35"/>
        <v>42.2</v>
      </c>
      <c r="DC9" s="40">
        <f t="shared" si="36"/>
        <v>79.700000000000017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16.600000000000001</v>
      </c>
      <c r="QF9" s="22">
        <f t="shared" si="137"/>
        <v>3.4</v>
      </c>
      <c r="QG9" s="22">
        <f t="shared" si="138"/>
        <v>0.2</v>
      </c>
      <c r="QH9" s="22">
        <f t="shared" si="139"/>
        <v>0</v>
      </c>
      <c r="QI9" s="22">
        <f t="shared" si="140"/>
        <v>15.05</v>
      </c>
      <c r="QJ9" s="22">
        <f t="shared" si="141"/>
        <v>4.05</v>
      </c>
      <c r="QK9" s="22">
        <f t="shared" si="142"/>
        <v>1.2</v>
      </c>
      <c r="QL9" s="22">
        <f t="shared" si="143"/>
        <v>0.6</v>
      </c>
      <c r="QM9" s="22">
        <f t="shared" si="144"/>
        <v>7.65</v>
      </c>
      <c r="QN9" s="22">
        <f t="shared" si="145"/>
        <v>1.3</v>
      </c>
      <c r="QO9" s="22">
        <f t="shared" si="146"/>
        <v>0</v>
      </c>
      <c r="QP9" s="22">
        <f t="shared" si="147"/>
        <v>0.3</v>
      </c>
      <c r="QQ9" s="22">
        <f t="shared" si="148"/>
        <v>16.399999999999999</v>
      </c>
      <c r="QR9" s="22">
        <f t="shared" si="149"/>
        <v>3.5999999999999996</v>
      </c>
      <c r="QS9" s="22">
        <f t="shared" si="150"/>
        <v>0</v>
      </c>
      <c r="QT9" s="22">
        <f t="shared" si="151"/>
        <v>0</v>
      </c>
      <c r="QU9" s="22">
        <f t="shared" si="152"/>
        <v>16.350000000000001</v>
      </c>
      <c r="QV9" s="22">
        <f t="shared" si="153"/>
        <v>4.5999999999999996</v>
      </c>
      <c r="QW9" s="22">
        <f t="shared" si="154"/>
        <v>0</v>
      </c>
      <c r="QX9" s="22">
        <f t="shared" si="155"/>
        <v>0.6</v>
      </c>
      <c r="QY9" s="27" t="s">
        <v>46</v>
      </c>
      <c r="QZ9" s="40">
        <f t="shared" si="156"/>
        <v>7.4499999999999993</v>
      </c>
      <c r="RA9" s="40">
        <f t="shared" si="157"/>
        <v>38.29999999999999</v>
      </c>
      <c r="RB9" s="40">
        <f t="shared" si="158"/>
        <v>9.2500000000000018</v>
      </c>
      <c r="RC9" s="40">
        <f t="shared" si="159"/>
        <v>8.75</v>
      </c>
      <c r="RD9" s="40">
        <f t="shared" si="160"/>
        <v>47.54999999999999</v>
      </c>
      <c r="RE9" s="40">
        <f t="shared" si="161"/>
        <v>8.1999999999999993</v>
      </c>
      <c r="RF9" s="40">
        <f t="shared" si="162"/>
        <v>41.550000000000004</v>
      </c>
      <c r="RG9" s="40">
        <f t="shared" si="163"/>
        <v>79.849999999999994</v>
      </c>
    </row>
    <row r="10" spans="1:475" x14ac:dyDescent="0.2">
      <c r="A10" s="4">
        <f t="shared" si="164"/>
        <v>7</v>
      </c>
      <c r="B10" s="5" t="s">
        <v>121</v>
      </c>
      <c r="C10" s="4" t="s">
        <v>3</v>
      </c>
      <c r="D10" s="4">
        <v>2004</v>
      </c>
      <c r="E10" s="9">
        <f t="shared" si="0"/>
        <v>127.85000854500429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 t="shared" si="13"/>
        <v>8.3999999999999986</v>
      </c>
      <c r="AQ10" s="40">
        <f t="shared" si="14"/>
        <v>43.1</v>
      </c>
      <c r="AR10" s="40" t="str">
        <f t="shared" si="15"/>
        <v/>
      </c>
      <c r="AS10" s="40">
        <f t="shared" si="16"/>
        <v>8.3999999999999986</v>
      </c>
      <c r="AT10" s="40">
        <f t="shared" si="17"/>
        <v>43.1</v>
      </c>
      <c r="AU10" s="40">
        <f t="shared" si="18"/>
        <v>8.3999999999999986</v>
      </c>
      <c r="AV10" s="40">
        <f t="shared" si="19"/>
        <v>42.399999999999991</v>
      </c>
      <c r="AW10" s="40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9"/>
        <v/>
      </c>
      <c r="CW10" s="40" t="str">
        <f t="shared" si="30"/>
        <v/>
      </c>
      <c r="CX10" s="40" t="str">
        <f t="shared" si="31"/>
        <v/>
      </c>
      <c r="CY10" s="40" t="str">
        <f t="shared" si="32"/>
        <v/>
      </c>
      <c r="CZ10" s="40" t="str">
        <f t="shared" si="33"/>
        <v/>
      </c>
      <c r="DA10" s="40" t="str">
        <f t="shared" si="34"/>
        <v/>
      </c>
      <c r="DB10" s="40" t="str">
        <f t="shared" si="35"/>
        <v/>
      </c>
      <c r="DC10" s="40" t="str">
        <f t="shared" si="36"/>
        <v/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>
        <v>17</v>
      </c>
      <c r="GN10" s="18">
        <v>4.0999999999999996</v>
      </c>
      <c r="GO10" s="18">
        <v>0</v>
      </c>
      <c r="GP10" s="18">
        <v>0</v>
      </c>
      <c r="GQ10" s="18">
        <v>16.3</v>
      </c>
      <c r="GR10" s="18">
        <v>1.9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6</v>
      </c>
      <c r="HH10" s="11">
        <f t="shared" si="65"/>
        <v>39.300000000000004</v>
      </c>
      <c r="HI10" s="11" t="str">
        <f t="shared" si="66"/>
        <v/>
      </c>
      <c r="HJ10" s="11">
        <f t="shared" si="67"/>
        <v>6</v>
      </c>
      <c r="HK10" s="11">
        <f t="shared" si="68"/>
        <v>39.300000000000004</v>
      </c>
      <c r="HL10" s="11" t="str">
        <f t="shared" si="69"/>
        <v/>
      </c>
      <c r="HM10" s="11" t="str">
        <f t="shared" si="70"/>
        <v/>
      </c>
      <c r="HN10" s="11">
        <f t="shared" si="71"/>
        <v>39.300000000000004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8.4250000000000007</v>
      </c>
      <c r="QF10" s="22">
        <f t="shared" si="137"/>
        <v>2.0999999999999996</v>
      </c>
      <c r="QG10" s="22">
        <f t="shared" si="138"/>
        <v>0</v>
      </c>
      <c r="QH10" s="22">
        <f t="shared" si="139"/>
        <v>0.15</v>
      </c>
      <c r="QI10" s="22">
        <f t="shared" si="140"/>
        <v>8.35</v>
      </c>
      <c r="QJ10" s="22">
        <f t="shared" si="141"/>
        <v>2</v>
      </c>
      <c r="QK10" s="22">
        <f t="shared" si="142"/>
        <v>0</v>
      </c>
      <c r="QL10" s="22">
        <f t="shared" si="143"/>
        <v>0.15</v>
      </c>
      <c r="QM10" s="22">
        <f t="shared" si="144"/>
        <v>0</v>
      </c>
      <c r="QN10" s="22">
        <f t="shared" si="145"/>
        <v>0</v>
      </c>
      <c r="QO10" s="22">
        <f t="shared" si="146"/>
        <v>0</v>
      </c>
      <c r="QP10" s="22">
        <f t="shared" si="147"/>
        <v>0</v>
      </c>
      <c r="QQ10" s="22">
        <f t="shared" si="148"/>
        <v>8.25</v>
      </c>
      <c r="QR10" s="22">
        <f t="shared" si="149"/>
        <v>2.0499999999999998</v>
      </c>
      <c r="QS10" s="22">
        <f t="shared" si="150"/>
        <v>0</v>
      </c>
      <c r="QT10" s="22">
        <f t="shared" si="151"/>
        <v>0.15</v>
      </c>
      <c r="QU10" s="22">
        <f t="shared" si="152"/>
        <v>8.49</v>
      </c>
      <c r="QV10" s="22">
        <f t="shared" si="153"/>
        <v>2.0499999999999998</v>
      </c>
      <c r="QW10" s="22">
        <f t="shared" si="154"/>
        <v>0</v>
      </c>
      <c r="QX10" s="22">
        <f t="shared" si="155"/>
        <v>0.15</v>
      </c>
      <c r="QY10" s="27" t="s">
        <v>46</v>
      </c>
      <c r="QZ10" s="40">
        <f t="shared" si="156"/>
        <v>4.0999999999999996</v>
      </c>
      <c r="RA10" s="40">
        <f t="shared" si="157"/>
        <v>21.174999999999997</v>
      </c>
      <c r="RB10" s="40" t="str">
        <f t="shared" si="158"/>
        <v/>
      </c>
      <c r="RC10" s="40">
        <f t="shared" si="159"/>
        <v>4.0999999999999996</v>
      </c>
      <c r="RD10" s="40">
        <f t="shared" si="160"/>
        <v>21.174999999999997</v>
      </c>
      <c r="RE10" s="40">
        <f t="shared" si="161"/>
        <v>4.0999999999999996</v>
      </c>
      <c r="RF10" s="40">
        <f t="shared" si="162"/>
        <v>21.14</v>
      </c>
      <c r="RG10" s="40">
        <f t="shared" si="163"/>
        <v>42.314999999999998</v>
      </c>
    </row>
    <row r="11" spans="1:475" x14ac:dyDescent="0.2">
      <c r="A11" s="4">
        <f t="shared" si="164"/>
        <v>8</v>
      </c>
      <c r="B11" s="5" t="s">
        <v>78</v>
      </c>
      <c r="C11" s="4" t="s">
        <v>3</v>
      </c>
      <c r="D11" s="4">
        <v>2003</v>
      </c>
      <c r="E11" s="9">
        <f t="shared" si="0"/>
        <v>109.60000654000437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43.6</v>
      </c>
      <c r="K11" s="8" t="str">
        <f t="shared" si="5"/>
        <v>2022 Nationals</v>
      </c>
      <c r="L11" s="8">
        <f>IF(COUNT(AQ11,BT11,CW11)&gt;1,LARGE((AQ11,BT11,CW11),2),0)</f>
        <v>21.8</v>
      </c>
      <c r="M11" s="8" t="str">
        <f t="shared" si="6"/>
        <v>2022 3rd Domestic Trial</v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44.2</v>
      </c>
      <c r="Q11" s="8" t="str">
        <f t="shared" si="9"/>
        <v>2022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17.2</v>
      </c>
      <c r="V11" s="19">
        <v>4.3</v>
      </c>
      <c r="W11" s="19">
        <v>0</v>
      </c>
      <c r="X11" s="19">
        <v>0.3</v>
      </c>
      <c r="Y11" s="19">
        <v>17.399999999999999</v>
      </c>
      <c r="Z11" s="19">
        <v>4.0999999999999996</v>
      </c>
      <c r="AA11" s="19">
        <v>0</v>
      </c>
      <c r="AB11" s="19">
        <v>0.3</v>
      </c>
      <c r="AC11" s="19"/>
      <c r="AD11" s="19"/>
      <c r="AE11" s="19"/>
      <c r="AF11" s="19"/>
      <c r="AG11" s="19">
        <v>17.600000000000001</v>
      </c>
      <c r="AH11" s="19">
        <v>4.3</v>
      </c>
      <c r="AI11" s="19">
        <v>0</v>
      </c>
      <c r="AJ11" s="19">
        <v>0.3</v>
      </c>
      <c r="AK11" s="19">
        <v>17.600000000000001</v>
      </c>
      <c r="AL11" s="19">
        <v>4.0999999999999996</v>
      </c>
      <c r="AM11" s="19">
        <v>0</v>
      </c>
      <c r="AN11" s="19">
        <v>0.3</v>
      </c>
      <c r="AO11" s="27"/>
      <c r="AP11" s="40">
        <f t="shared" si="13"/>
        <v>8.3999999999999986</v>
      </c>
      <c r="AQ11" s="40">
        <f t="shared" si="14"/>
        <v>43.6</v>
      </c>
      <c r="AR11" s="40" t="str">
        <f t="shared" si="15"/>
        <v/>
      </c>
      <c r="AS11" s="40">
        <f t="shared" si="16"/>
        <v>8.3999999999999986</v>
      </c>
      <c r="AT11" s="40">
        <f t="shared" si="17"/>
        <v>43.6</v>
      </c>
      <c r="AU11" s="40">
        <f t="shared" si="18"/>
        <v>8.3999999999999986</v>
      </c>
      <c r="AV11" s="40">
        <f t="shared" si="19"/>
        <v>44.2</v>
      </c>
      <c r="AW11" s="40">
        <f t="shared" si="20"/>
        <v>87.800000000000011</v>
      </c>
      <c r="AX11" s="18">
        <v>8.6</v>
      </c>
      <c r="AY11" s="18">
        <v>2.15</v>
      </c>
      <c r="AZ11" s="18">
        <v>0</v>
      </c>
      <c r="BA11" s="18">
        <v>0.15</v>
      </c>
      <c r="BB11" s="18">
        <v>8.6999999999999993</v>
      </c>
      <c r="BC11" s="18">
        <v>2.0499999999999998</v>
      </c>
      <c r="BD11" s="18">
        <v>0</v>
      </c>
      <c r="BE11" s="18">
        <v>0.15</v>
      </c>
      <c r="BF11" s="18">
        <v>0</v>
      </c>
      <c r="BG11" s="18">
        <v>0</v>
      </c>
      <c r="BH11" s="18">
        <v>0</v>
      </c>
      <c r="BI11" s="18">
        <v>0</v>
      </c>
      <c r="BJ11" s="18">
        <v>8.8000000000000007</v>
      </c>
      <c r="BK11" s="18">
        <v>2.15</v>
      </c>
      <c r="BL11" s="18">
        <v>0</v>
      </c>
      <c r="BM11" s="18">
        <v>0.15</v>
      </c>
      <c r="BN11" s="18">
        <v>8.8000000000000007</v>
      </c>
      <c r="BO11" s="18">
        <v>2.0499999999999998</v>
      </c>
      <c r="BP11" s="18">
        <v>0</v>
      </c>
      <c r="BQ11" s="18">
        <v>0.15</v>
      </c>
      <c r="BR11" s="28" t="s">
        <v>46</v>
      </c>
      <c r="BS11" s="11">
        <f t="shared" si="21"/>
        <v>4.1999999999999993</v>
      </c>
      <c r="BT11" s="11">
        <f t="shared" si="22"/>
        <v>21.8</v>
      </c>
      <c r="BU11" s="11" t="str">
        <f t="shared" si="23"/>
        <v/>
      </c>
      <c r="BV11" s="11">
        <f t="shared" si="24"/>
        <v>4.1999999999999993</v>
      </c>
      <c r="BW11" s="11">
        <f t="shared" si="25"/>
        <v>21.8</v>
      </c>
      <c r="BX11" s="11">
        <f t="shared" si="26"/>
        <v>4.1999999999999993</v>
      </c>
      <c r="BY11" s="11">
        <f t="shared" si="27"/>
        <v>22.1</v>
      </c>
      <c r="BZ11" s="11">
        <f t="shared" si="28"/>
        <v>43.900000000000006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4.3</v>
      </c>
      <c r="QF11" s="22">
        <f t="shared" si="137"/>
        <v>1.075</v>
      </c>
      <c r="QG11" s="22">
        <f t="shared" si="138"/>
        <v>0</v>
      </c>
      <c r="QH11" s="22">
        <f t="shared" si="139"/>
        <v>7.4999999999999997E-2</v>
      </c>
      <c r="QI11" s="22">
        <f t="shared" si="140"/>
        <v>4.3499999999999996</v>
      </c>
      <c r="QJ11" s="22">
        <f t="shared" si="141"/>
        <v>1.0249999999999999</v>
      </c>
      <c r="QK11" s="22">
        <f t="shared" si="142"/>
        <v>0</v>
      </c>
      <c r="QL11" s="22">
        <f t="shared" si="143"/>
        <v>7.4999999999999997E-2</v>
      </c>
      <c r="QM11" s="22">
        <f t="shared" si="144"/>
        <v>0</v>
      </c>
      <c r="QN11" s="22">
        <f t="shared" si="145"/>
        <v>0</v>
      </c>
      <c r="QO11" s="22">
        <f t="shared" si="146"/>
        <v>0</v>
      </c>
      <c r="QP11" s="22">
        <f t="shared" si="147"/>
        <v>0</v>
      </c>
      <c r="QQ11" s="22">
        <f t="shared" si="148"/>
        <v>4.4000000000000004</v>
      </c>
      <c r="QR11" s="22">
        <f t="shared" si="149"/>
        <v>1.075</v>
      </c>
      <c r="QS11" s="22">
        <f t="shared" si="150"/>
        <v>0</v>
      </c>
      <c r="QT11" s="22">
        <f t="shared" si="151"/>
        <v>7.4999999999999997E-2</v>
      </c>
      <c r="QU11" s="22">
        <f t="shared" si="152"/>
        <v>4.4000000000000004</v>
      </c>
      <c r="QV11" s="22">
        <f t="shared" si="153"/>
        <v>1.0249999999999999</v>
      </c>
      <c r="QW11" s="22">
        <f t="shared" si="154"/>
        <v>0</v>
      </c>
      <c r="QX11" s="22">
        <f t="shared" si="155"/>
        <v>7.4999999999999997E-2</v>
      </c>
      <c r="QY11" s="27" t="s">
        <v>46</v>
      </c>
      <c r="QZ11" s="40">
        <f t="shared" si="156"/>
        <v>2.0999999999999996</v>
      </c>
      <c r="RA11" s="40">
        <f t="shared" si="157"/>
        <v>10.9</v>
      </c>
      <c r="RB11" s="40" t="str">
        <f t="shared" si="158"/>
        <v/>
      </c>
      <c r="RC11" s="40">
        <f t="shared" si="159"/>
        <v>2.0999999999999996</v>
      </c>
      <c r="RD11" s="40">
        <f t="shared" si="160"/>
        <v>10.9</v>
      </c>
      <c r="RE11" s="40">
        <f t="shared" si="161"/>
        <v>2.0999999999999996</v>
      </c>
      <c r="RF11" s="40">
        <f t="shared" si="162"/>
        <v>11.05</v>
      </c>
      <c r="RG11" s="40">
        <f t="shared" si="163"/>
        <v>21.950000000000003</v>
      </c>
    </row>
    <row r="12" spans="1:475" x14ac:dyDescent="0.2">
      <c r="A12" s="4">
        <f t="shared" si="164"/>
        <v>9</v>
      </c>
      <c r="B12" s="5" t="s">
        <v>203</v>
      </c>
      <c r="C12" s="4" t="s">
        <v>4</v>
      </c>
      <c r="D12" s="4">
        <v>2005</v>
      </c>
      <c r="E12" s="9">
        <f t="shared" si="0"/>
        <v>94.700005240003165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31.8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20.599999999999998</v>
      </c>
      <c r="O12" s="8" t="str">
        <f t="shared" si="7"/>
        <v>2023 Elite Canada</v>
      </c>
      <c r="P12" s="8">
        <f t="shared" si="8"/>
        <v>42.3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3"/>
        <v/>
      </c>
      <c r="AQ12" s="40" t="str">
        <f t="shared" si="14"/>
        <v/>
      </c>
      <c r="AR12" s="40" t="str">
        <f t="shared" si="15"/>
        <v/>
      </c>
      <c r="AS12" s="40" t="str">
        <f t="shared" si="16"/>
        <v/>
      </c>
      <c r="AT12" s="40" t="str">
        <f t="shared" si="17"/>
        <v/>
      </c>
      <c r="AU12" s="40" t="str">
        <f t="shared" si="18"/>
        <v/>
      </c>
      <c r="AV12" s="40" t="str">
        <f t="shared" si="19"/>
        <v/>
      </c>
      <c r="AW12" s="40" t="str">
        <f t="shared" si="20"/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>
        <v>16.100000000000001</v>
      </c>
      <c r="CB12" s="19">
        <v>1.2</v>
      </c>
      <c r="CC12" s="19">
        <v>0</v>
      </c>
      <c r="CD12" s="19">
        <v>0</v>
      </c>
      <c r="CE12" s="19">
        <v>11.7</v>
      </c>
      <c r="CF12" s="19">
        <v>2.2000000000000002</v>
      </c>
      <c r="CG12" s="19">
        <v>0</v>
      </c>
      <c r="CH12" s="19">
        <v>0.6</v>
      </c>
      <c r="CI12" s="19">
        <v>17.399999999999999</v>
      </c>
      <c r="CJ12" s="19">
        <v>3.2</v>
      </c>
      <c r="CK12" s="19">
        <v>0</v>
      </c>
      <c r="CL12" s="19">
        <v>0</v>
      </c>
      <c r="CM12" s="19">
        <v>17.3</v>
      </c>
      <c r="CN12" s="19">
        <v>3.4</v>
      </c>
      <c r="CO12" s="19">
        <v>0.2</v>
      </c>
      <c r="CP12" s="19">
        <v>0</v>
      </c>
      <c r="CQ12" s="19">
        <v>16.600000000000001</v>
      </c>
      <c r="CR12" s="19">
        <v>4.5999999999999996</v>
      </c>
      <c r="CS12" s="19">
        <v>0</v>
      </c>
      <c r="CT12" s="19">
        <v>0.6</v>
      </c>
      <c r="CU12" s="27"/>
      <c r="CV12" s="40">
        <f t="shared" si="29"/>
        <v>3.4000000000000004</v>
      </c>
      <c r="CW12" s="40">
        <f t="shared" si="30"/>
        <v>31.8</v>
      </c>
      <c r="CX12" s="40">
        <f t="shared" si="31"/>
        <v>20.599999999999998</v>
      </c>
      <c r="CY12" s="40">
        <f t="shared" si="32"/>
        <v>6.6000000000000005</v>
      </c>
      <c r="CZ12" s="40">
        <f t="shared" si="33"/>
        <v>52.4</v>
      </c>
      <c r="DA12" s="40">
        <f t="shared" si="34"/>
        <v>8</v>
      </c>
      <c r="DB12" s="40">
        <f t="shared" si="35"/>
        <v>42.3</v>
      </c>
      <c r="DC12" s="40">
        <f t="shared" si="36"/>
        <v>74.099999999999994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8.0500000000000007</v>
      </c>
      <c r="QF12" s="22">
        <f t="shared" si="137"/>
        <v>0.6</v>
      </c>
      <c r="QG12" s="22">
        <f t="shared" si="138"/>
        <v>0</v>
      </c>
      <c r="QH12" s="22">
        <f t="shared" si="139"/>
        <v>0</v>
      </c>
      <c r="QI12" s="22">
        <f t="shared" si="140"/>
        <v>5.85</v>
      </c>
      <c r="QJ12" s="22">
        <f t="shared" si="141"/>
        <v>1.1000000000000001</v>
      </c>
      <c r="QK12" s="22">
        <f t="shared" si="142"/>
        <v>0</v>
      </c>
      <c r="QL12" s="22">
        <f t="shared" si="143"/>
        <v>0.3</v>
      </c>
      <c r="QM12" s="22">
        <f t="shared" si="144"/>
        <v>8.6999999999999993</v>
      </c>
      <c r="QN12" s="22">
        <f t="shared" si="145"/>
        <v>1.6</v>
      </c>
      <c r="QO12" s="22">
        <f t="shared" si="146"/>
        <v>0</v>
      </c>
      <c r="QP12" s="22">
        <f t="shared" si="147"/>
        <v>0</v>
      </c>
      <c r="QQ12" s="22">
        <f t="shared" si="148"/>
        <v>8.65</v>
      </c>
      <c r="QR12" s="22">
        <f t="shared" si="149"/>
        <v>1.7</v>
      </c>
      <c r="QS12" s="22">
        <f t="shared" si="150"/>
        <v>0.1</v>
      </c>
      <c r="QT12" s="22">
        <f t="shared" si="151"/>
        <v>0</v>
      </c>
      <c r="QU12" s="22">
        <f t="shared" si="152"/>
        <v>8.3000000000000007</v>
      </c>
      <c r="QV12" s="22">
        <f t="shared" si="153"/>
        <v>2.2999999999999998</v>
      </c>
      <c r="QW12" s="22">
        <f t="shared" si="154"/>
        <v>0</v>
      </c>
      <c r="QX12" s="22">
        <f t="shared" si="155"/>
        <v>0.3</v>
      </c>
      <c r="QY12" s="27" t="s">
        <v>46</v>
      </c>
      <c r="QZ12" s="40">
        <f t="shared" si="156"/>
        <v>1.7000000000000002</v>
      </c>
      <c r="RA12" s="40">
        <f t="shared" si="157"/>
        <v>15.9</v>
      </c>
      <c r="RB12" s="40">
        <f t="shared" si="158"/>
        <v>10.299999999999999</v>
      </c>
      <c r="RC12" s="40">
        <f t="shared" si="159"/>
        <v>3.3000000000000003</v>
      </c>
      <c r="RD12" s="40">
        <f t="shared" si="160"/>
        <v>26.2</v>
      </c>
      <c r="RE12" s="40">
        <f t="shared" si="161"/>
        <v>4</v>
      </c>
      <c r="RF12" s="40">
        <f t="shared" si="162"/>
        <v>21.15</v>
      </c>
      <c r="RG12" s="40">
        <f t="shared" si="163"/>
        <v>37.049999999999997</v>
      </c>
    </row>
    <row r="13" spans="1:475" x14ac:dyDescent="0.2">
      <c r="A13" s="4" t="str">
        <f t="shared" si="164"/>
        <v/>
      </c>
      <c r="B13" s="5" t="s">
        <v>170</v>
      </c>
      <c r="C13" s="4" t="s">
        <v>3</v>
      </c>
      <c r="D13" s="4">
        <v>2004</v>
      </c>
      <c r="E13" s="9">
        <f t="shared" si="0"/>
        <v>141.70001005000401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IF(COUNT(AQ13,BT13,CW13)&gt;0,LARGE((AQ13,BT13,CW13),1),0)</f>
        <v>40.300000000000004</v>
      </c>
      <c r="K13" s="8" t="str">
        <f t="shared" si="5"/>
        <v>2023 Elite Canada</v>
      </c>
      <c r="L13" s="8">
        <f>IF(COUNT(AQ13,BT13,CW13)&gt;1,LARGE((AQ13,BT13,CW13),2),0)</f>
        <v>40.299999999999997</v>
      </c>
      <c r="M13" s="8" t="str">
        <f t="shared" si="6"/>
        <v>2023 Elite Canada</v>
      </c>
      <c r="N13" s="8">
        <f>IF(COUNT(AR13,BU13,CX13)&gt;0,LARGE((AR13,BU13,CX13),1),0)</f>
        <v>19.899999999999999</v>
      </c>
      <c r="O13" s="8" t="str">
        <f t="shared" si="7"/>
        <v>2023 Elite Canada</v>
      </c>
      <c r="P13" s="8">
        <f t="shared" si="8"/>
        <v>41.199999999999996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16.5</v>
      </c>
      <c r="V13" s="19">
        <v>2.5</v>
      </c>
      <c r="W13" s="19">
        <v>0.7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/>
      <c r="AD13" s="19"/>
      <c r="AE13" s="19"/>
      <c r="AF13" s="19"/>
      <c r="AG13" s="19">
        <v>16.600000000000001</v>
      </c>
      <c r="AH13" s="19">
        <v>3.2</v>
      </c>
      <c r="AI13" s="19">
        <v>0</v>
      </c>
      <c r="AJ13" s="19">
        <v>0.3</v>
      </c>
      <c r="AK13" s="19">
        <v>17.2</v>
      </c>
      <c r="AL13" s="19">
        <v>3</v>
      </c>
      <c r="AM13" s="19">
        <v>0</v>
      </c>
      <c r="AN13" s="19">
        <v>0.3</v>
      </c>
      <c r="AO13" s="27"/>
      <c r="AP13" s="40">
        <f t="shared" si="13"/>
        <v>4.4000000000000004</v>
      </c>
      <c r="AQ13" s="40">
        <f t="shared" si="14"/>
        <v>36.599999999999994</v>
      </c>
      <c r="AR13" s="40" t="str">
        <f t="shared" si="15"/>
        <v/>
      </c>
      <c r="AS13" s="40">
        <f t="shared" si="16"/>
        <v>4.4000000000000004</v>
      </c>
      <c r="AT13" s="40">
        <f t="shared" si="17"/>
        <v>36.599999999999994</v>
      </c>
      <c r="AU13" s="40">
        <f t="shared" si="18"/>
        <v>6.2</v>
      </c>
      <c r="AV13" s="40">
        <f t="shared" si="19"/>
        <v>40.599999999999994</v>
      </c>
      <c r="AW13" s="40">
        <f t="shared" si="20"/>
        <v>77.199999999999989</v>
      </c>
      <c r="AX13" s="18">
        <v>16.5</v>
      </c>
      <c r="AY13" s="18">
        <v>3.9</v>
      </c>
      <c r="AZ13" s="18">
        <v>0</v>
      </c>
      <c r="BA13" s="18">
        <v>0.3</v>
      </c>
      <c r="BB13" s="18">
        <v>15.3</v>
      </c>
      <c r="BC13" s="18">
        <v>3.7</v>
      </c>
      <c r="BD13" s="18">
        <v>0</v>
      </c>
      <c r="BE13" s="18">
        <v>0.6</v>
      </c>
      <c r="BF13" s="18"/>
      <c r="BG13" s="18"/>
      <c r="BH13" s="18"/>
      <c r="BI13" s="18"/>
      <c r="BJ13" s="18">
        <v>15.5</v>
      </c>
      <c r="BK13" s="18">
        <v>1.9</v>
      </c>
      <c r="BL13" s="18">
        <v>0</v>
      </c>
      <c r="BM13" s="18">
        <v>0.3</v>
      </c>
      <c r="BN13" s="18">
        <v>16</v>
      </c>
      <c r="BO13" s="18">
        <v>3.9</v>
      </c>
      <c r="BP13" s="18">
        <v>0</v>
      </c>
      <c r="BQ13" s="18">
        <v>0.6</v>
      </c>
      <c r="BR13" s="28"/>
      <c r="BS13" s="11">
        <f t="shared" si="21"/>
        <v>7.6</v>
      </c>
      <c r="BT13" s="11">
        <f t="shared" si="22"/>
        <v>40.300000000000004</v>
      </c>
      <c r="BU13" s="11" t="str">
        <f t="shared" si="23"/>
        <v/>
      </c>
      <c r="BV13" s="11">
        <f t="shared" si="24"/>
        <v>7.6</v>
      </c>
      <c r="BW13" s="11">
        <f t="shared" si="25"/>
        <v>40.300000000000004</v>
      </c>
      <c r="BX13" s="11">
        <f t="shared" si="26"/>
        <v>5.8</v>
      </c>
      <c r="BY13" s="11">
        <f t="shared" si="27"/>
        <v>38.200000000000003</v>
      </c>
      <c r="BZ13" s="11">
        <f t="shared" si="28"/>
        <v>78.5</v>
      </c>
      <c r="CA13" s="19">
        <v>17.100000000000001</v>
      </c>
      <c r="CB13" s="19">
        <v>3.9</v>
      </c>
      <c r="CC13" s="19">
        <v>0</v>
      </c>
      <c r="CD13" s="19">
        <v>0.3</v>
      </c>
      <c r="CE13" s="19">
        <v>15.5</v>
      </c>
      <c r="CF13" s="19">
        <v>3.2</v>
      </c>
      <c r="CG13" s="19">
        <v>0</v>
      </c>
      <c r="CH13" s="19">
        <v>0.3</v>
      </c>
      <c r="CI13" s="19">
        <v>16.399999999999999</v>
      </c>
      <c r="CJ13" s="19">
        <v>3.2</v>
      </c>
      <c r="CK13" s="19">
        <v>0</v>
      </c>
      <c r="CL13" s="19">
        <v>0.3</v>
      </c>
      <c r="CM13" s="19">
        <v>16.899999999999999</v>
      </c>
      <c r="CN13" s="19">
        <v>3.9</v>
      </c>
      <c r="CO13" s="19">
        <v>0</v>
      </c>
      <c r="CP13" s="19">
        <v>0.3</v>
      </c>
      <c r="CQ13" s="19">
        <v>16.8</v>
      </c>
      <c r="CR13" s="19">
        <v>3.2</v>
      </c>
      <c r="CS13" s="19">
        <v>0.2</v>
      </c>
      <c r="CT13" s="19">
        <v>0.3</v>
      </c>
      <c r="CU13" s="27"/>
      <c r="CV13" s="40">
        <f t="shared" si="29"/>
        <v>7.1</v>
      </c>
      <c r="CW13" s="40">
        <f t="shared" si="30"/>
        <v>40.299999999999997</v>
      </c>
      <c r="CX13" s="40">
        <f t="shared" si="31"/>
        <v>19.899999999999999</v>
      </c>
      <c r="CY13" s="40">
        <f t="shared" si="32"/>
        <v>10.3</v>
      </c>
      <c r="CZ13" s="40">
        <f t="shared" si="33"/>
        <v>60.199999999999996</v>
      </c>
      <c r="DA13" s="40">
        <f t="shared" si="34"/>
        <v>7.1</v>
      </c>
      <c r="DB13" s="40">
        <f t="shared" si="35"/>
        <v>41.199999999999996</v>
      </c>
      <c r="DC13" s="40">
        <f t="shared" si="36"/>
        <v>81.5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16.8</v>
      </c>
      <c r="QF13" s="22">
        <f t="shared" si="137"/>
        <v>3.9</v>
      </c>
      <c r="QG13" s="22">
        <f t="shared" si="138"/>
        <v>0</v>
      </c>
      <c r="QH13" s="22">
        <f t="shared" si="139"/>
        <v>0.3</v>
      </c>
      <c r="QI13" s="22">
        <f t="shared" si="140"/>
        <v>15.4</v>
      </c>
      <c r="QJ13" s="22">
        <f t="shared" si="141"/>
        <v>3.45</v>
      </c>
      <c r="QK13" s="22">
        <f t="shared" si="142"/>
        <v>0</v>
      </c>
      <c r="QL13" s="22">
        <f t="shared" si="143"/>
        <v>0.44999999999999996</v>
      </c>
      <c r="QM13" s="22">
        <f t="shared" si="144"/>
        <v>8.1999999999999993</v>
      </c>
      <c r="QN13" s="22">
        <f t="shared" si="145"/>
        <v>1.6</v>
      </c>
      <c r="QO13" s="22">
        <f t="shared" si="146"/>
        <v>0</v>
      </c>
      <c r="QP13" s="22">
        <f t="shared" si="147"/>
        <v>0.15</v>
      </c>
      <c r="QQ13" s="22">
        <f t="shared" si="148"/>
        <v>16.2</v>
      </c>
      <c r="QR13" s="22">
        <f t="shared" si="149"/>
        <v>2.9</v>
      </c>
      <c r="QS13" s="22">
        <f t="shared" si="150"/>
        <v>0</v>
      </c>
      <c r="QT13" s="22">
        <f t="shared" si="151"/>
        <v>0.3</v>
      </c>
      <c r="QU13" s="22">
        <f t="shared" si="152"/>
        <v>16.399999999999999</v>
      </c>
      <c r="QV13" s="22">
        <f t="shared" si="153"/>
        <v>3.55</v>
      </c>
      <c r="QW13" s="22">
        <f t="shared" si="154"/>
        <v>0.1</v>
      </c>
      <c r="QX13" s="22">
        <f t="shared" si="155"/>
        <v>0.44999999999999996</v>
      </c>
      <c r="QY13" s="27" t="s">
        <v>46</v>
      </c>
      <c r="QZ13" s="40">
        <f t="shared" si="156"/>
        <v>7.35</v>
      </c>
      <c r="RA13" s="40">
        <f t="shared" si="157"/>
        <v>40.300000000000004</v>
      </c>
      <c r="RB13" s="40">
        <f t="shared" si="158"/>
        <v>9.9499999999999993</v>
      </c>
      <c r="RC13" s="40">
        <f t="shared" si="159"/>
        <v>8.9499999999999993</v>
      </c>
      <c r="RD13" s="40">
        <f t="shared" si="160"/>
        <v>50.25</v>
      </c>
      <c r="RE13" s="40">
        <f t="shared" si="161"/>
        <v>6.4499999999999993</v>
      </c>
      <c r="RF13" s="40">
        <f t="shared" si="162"/>
        <v>39.699999999999996</v>
      </c>
      <c r="RG13" s="40">
        <f t="shared" si="163"/>
        <v>80</v>
      </c>
    </row>
    <row r="14" spans="1:475" x14ac:dyDescent="0.2">
      <c r="A14" s="4" t="str">
        <f t="shared" si="164"/>
        <v/>
      </c>
      <c r="B14" s="5" t="s">
        <v>171</v>
      </c>
      <c r="C14" s="4" t="s">
        <v>6</v>
      </c>
      <c r="D14" s="4">
        <v>2005</v>
      </c>
      <c r="E14" s="9">
        <f t="shared" si="0"/>
        <v>137.36000964600382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38.299999999999997</v>
      </c>
      <c r="K14" s="8" t="str">
        <f t="shared" si="5"/>
        <v>2022 Nationals</v>
      </c>
      <c r="L14" s="8">
        <f>IF(COUNT(AQ14,BT14,CW14)&gt;1,LARGE((AQ14,BT14,CW14),2),0)</f>
        <v>37.86</v>
      </c>
      <c r="M14" s="8" t="str">
        <f t="shared" si="6"/>
        <v>2023 Elite Canada</v>
      </c>
      <c r="N14" s="8">
        <f>IF(COUNT(AR14,BU14,CX14)&gt;0,LARGE((AR14,BU14,CX14),1),0)</f>
        <v>20.3</v>
      </c>
      <c r="O14" s="8" t="str">
        <f t="shared" si="7"/>
        <v>2023 Elite Canada</v>
      </c>
      <c r="P14" s="8">
        <f t="shared" si="8"/>
        <v>40.9</v>
      </c>
      <c r="Q14" s="8" t="str">
        <f t="shared" si="9"/>
        <v>2023 Elite Canada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16.7</v>
      </c>
      <c r="V14" s="19">
        <v>1.2</v>
      </c>
      <c r="W14" s="19">
        <v>0</v>
      </c>
      <c r="X14" s="19">
        <v>0</v>
      </c>
      <c r="Y14" s="19">
        <v>16.899999999999999</v>
      </c>
      <c r="Z14" s="19">
        <v>3.2</v>
      </c>
      <c r="AA14" s="19">
        <v>0</v>
      </c>
      <c r="AB14" s="19">
        <v>0.3</v>
      </c>
      <c r="AC14" s="19"/>
      <c r="AD14" s="19"/>
      <c r="AE14" s="19"/>
      <c r="AF14" s="19"/>
      <c r="AG14" s="19">
        <v>15.7</v>
      </c>
      <c r="AH14" s="19">
        <v>3.2</v>
      </c>
      <c r="AI14" s="19">
        <v>0</v>
      </c>
      <c r="AJ14" s="19">
        <v>0</v>
      </c>
      <c r="AK14" s="19">
        <v>16.600000000000001</v>
      </c>
      <c r="AL14" s="19">
        <v>3.2</v>
      </c>
      <c r="AM14" s="19">
        <v>0</v>
      </c>
      <c r="AN14" s="19">
        <v>0.3</v>
      </c>
      <c r="AO14" s="27"/>
      <c r="AP14" s="40">
        <f t="shared" si="13"/>
        <v>4.4000000000000004</v>
      </c>
      <c r="AQ14" s="40">
        <f t="shared" si="14"/>
        <v>38.299999999999997</v>
      </c>
      <c r="AR14" s="40" t="str">
        <f t="shared" si="15"/>
        <v/>
      </c>
      <c r="AS14" s="40">
        <f t="shared" si="16"/>
        <v>4.4000000000000004</v>
      </c>
      <c r="AT14" s="40">
        <f t="shared" si="17"/>
        <v>38.299999999999997</v>
      </c>
      <c r="AU14" s="40">
        <f t="shared" si="18"/>
        <v>6.4</v>
      </c>
      <c r="AV14" s="40">
        <f t="shared" si="19"/>
        <v>39</v>
      </c>
      <c r="AW14" s="40">
        <f t="shared" si="20"/>
        <v>77.3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1"/>
        <v/>
      </c>
      <c r="BT14" s="11" t="str">
        <f t="shared" si="22"/>
        <v/>
      </c>
      <c r="BU14" s="11" t="str">
        <f t="shared" si="23"/>
        <v/>
      </c>
      <c r="BV14" s="11" t="str">
        <f t="shared" si="24"/>
        <v/>
      </c>
      <c r="BW14" s="11" t="str">
        <f t="shared" si="25"/>
        <v/>
      </c>
      <c r="BX14" s="11" t="str">
        <f t="shared" si="26"/>
        <v/>
      </c>
      <c r="BY14" s="11" t="str">
        <f t="shared" si="27"/>
        <v/>
      </c>
      <c r="BZ14" s="11" t="str">
        <f t="shared" si="28"/>
        <v/>
      </c>
      <c r="CA14" s="19">
        <v>16.600000000000001</v>
      </c>
      <c r="CB14" s="19">
        <v>1.2</v>
      </c>
      <c r="CC14" s="19">
        <v>0</v>
      </c>
      <c r="CD14" s="19">
        <v>0</v>
      </c>
      <c r="CE14" s="19">
        <v>16.559999999999999</v>
      </c>
      <c r="CF14" s="19">
        <v>3.2</v>
      </c>
      <c r="CG14" s="19">
        <v>0</v>
      </c>
      <c r="CH14" s="19">
        <v>0.3</v>
      </c>
      <c r="CI14" s="19">
        <v>16.8</v>
      </c>
      <c r="CJ14" s="19">
        <v>3.2</v>
      </c>
      <c r="CK14" s="19">
        <v>0</v>
      </c>
      <c r="CL14" s="19">
        <v>0.3</v>
      </c>
      <c r="CM14" s="19">
        <v>17.2</v>
      </c>
      <c r="CN14" s="19">
        <v>3.2</v>
      </c>
      <c r="CO14" s="19">
        <v>0</v>
      </c>
      <c r="CP14" s="19">
        <v>0</v>
      </c>
      <c r="CQ14" s="19">
        <v>17</v>
      </c>
      <c r="CR14" s="19">
        <v>3.2</v>
      </c>
      <c r="CS14" s="19">
        <v>0</v>
      </c>
      <c r="CT14" s="19">
        <v>0.3</v>
      </c>
      <c r="CU14" s="27"/>
      <c r="CV14" s="40">
        <f t="shared" si="29"/>
        <v>4.4000000000000004</v>
      </c>
      <c r="CW14" s="40">
        <f t="shared" si="30"/>
        <v>37.86</v>
      </c>
      <c r="CX14" s="40">
        <f t="shared" si="31"/>
        <v>20.3</v>
      </c>
      <c r="CY14" s="40">
        <f t="shared" si="32"/>
        <v>7.6000000000000005</v>
      </c>
      <c r="CZ14" s="40">
        <f t="shared" si="33"/>
        <v>58.16</v>
      </c>
      <c r="DA14" s="40">
        <f t="shared" si="34"/>
        <v>6.4</v>
      </c>
      <c r="DB14" s="40">
        <f t="shared" si="35"/>
        <v>40.9</v>
      </c>
      <c r="DC14" s="40">
        <f t="shared" si="36"/>
        <v>78.759999999999991</v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8.3000000000000007</v>
      </c>
      <c r="QF14" s="22">
        <f t="shared" si="137"/>
        <v>0.6</v>
      </c>
      <c r="QG14" s="22">
        <f t="shared" si="138"/>
        <v>0</v>
      </c>
      <c r="QH14" s="22">
        <f t="shared" si="139"/>
        <v>0</v>
      </c>
      <c r="QI14" s="22">
        <f t="shared" si="140"/>
        <v>8.2799999999999994</v>
      </c>
      <c r="QJ14" s="22">
        <f t="shared" si="141"/>
        <v>1.6</v>
      </c>
      <c r="QK14" s="22">
        <f t="shared" si="142"/>
        <v>0</v>
      </c>
      <c r="QL14" s="22">
        <f t="shared" si="143"/>
        <v>0.15</v>
      </c>
      <c r="QM14" s="22">
        <f t="shared" si="144"/>
        <v>8.4</v>
      </c>
      <c r="QN14" s="22">
        <f t="shared" si="145"/>
        <v>1.6</v>
      </c>
      <c r="QO14" s="22">
        <f t="shared" si="146"/>
        <v>0</v>
      </c>
      <c r="QP14" s="22">
        <f t="shared" si="147"/>
        <v>0.15</v>
      </c>
      <c r="QQ14" s="22">
        <f t="shared" si="148"/>
        <v>8.6</v>
      </c>
      <c r="QR14" s="22">
        <f t="shared" si="149"/>
        <v>1.6</v>
      </c>
      <c r="QS14" s="22">
        <f t="shared" si="150"/>
        <v>0</v>
      </c>
      <c r="QT14" s="22">
        <f t="shared" si="151"/>
        <v>0</v>
      </c>
      <c r="QU14" s="22">
        <f t="shared" si="152"/>
        <v>8.5</v>
      </c>
      <c r="QV14" s="22">
        <f t="shared" si="153"/>
        <v>1.6</v>
      </c>
      <c r="QW14" s="22">
        <f t="shared" si="154"/>
        <v>0</v>
      </c>
      <c r="QX14" s="22">
        <f t="shared" si="155"/>
        <v>0.15</v>
      </c>
      <c r="QY14" s="27" t="s">
        <v>46</v>
      </c>
      <c r="QZ14" s="40">
        <f t="shared" si="156"/>
        <v>2.2000000000000002</v>
      </c>
      <c r="RA14" s="40">
        <f t="shared" si="157"/>
        <v>18.93</v>
      </c>
      <c r="RB14" s="40">
        <f t="shared" si="158"/>
        <v>10.15</v>
      </c>
      <c r="RC14" s="40">
        <f t="shared" si="159"/>
        <v>3.8000000000000003</v>
      </c>
      <c r="RD14" s="40">
        <f t="shared" si="160"/>
        <v>29.08</v>
      </c>
      <c r="RE14" s="40">
        <f t="shared" si="161"/>
        <v>3.2</v>
      </c>
      <c r="RF14" s="40">
        <f t="shared" si="162"/>
        <v>20.45</v>
      </c>
      <c r="RG14" s="40">
        <f t="shared" si="163"/>
        <v>39.379999999999995</v>
      </c>
    </row>
    <row r="15" spans="1:475" x14ac:dyDescent="0.2">
      <c r="A15" s="4" t="str">
        <f t="shared" si="164"/>
        <v/>
      </c>
      <c r="B15" s="5" t="s">
        <v>153</v>
      </c>
      <c r="C15" s="4" t="s">
        <v>4</v>
      </c>
      <c r="D15" s="4">
        <v>2005</v>
      </c>
      <c r="E15" s="9">
        <f t="shared" si="0"/>
        <v>132.30000944000381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37.900000000000006</v>
      </c>
      <c r="K15" s="8" t="str">
        <f t="shared" si="5"/>
        <v>2022 Nationals</v>
      </c>
      <c r="L15" s="8">
        <f>IF(COUNT(AQ15,BT15,CW15)&gt;1,LARGE((AQ15,BT15,CW15),2),0)</f>
        <v>37.1</v>
      </c>
      <c r="M15" s="8" t="str">
        <f t="shared" si="6"/>
        <v>2022 3rd Domestic Trial</v>
      </c>
      <c r="N15" s="8">
        <f>IF(COUNT(AR15,BU15,CX15)&gt;0,LARGE((AR15,BU15,CX15),1),0)</f>
        <v>19.399999999999999</v>
      </c>
      <c r="O15" s="8" t="str">
        <f t="shared" si="7"/>
        <v>2023 Elite Canada</v>
      </c>
      <c r="P15" s="8">
        <f t="shared" si="8"/>
        <v>37.9</v>
      </c>
      <c r="Q15" s="8" t="str">
        <f t="shared" si="9"/>
        <v>2022 Nationals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15.8</v>
      </c>
      <c r="V15" s="19">
        <v>1.2</v>
      </c>
      <c r="W15" s="19">
        <v>0</v>
      </c>
      <c r="X15" s="19">
        <v>0</v>
      </c>
      <c r="Y15" s="19">
        <v>16.600000000000001</v>
      </c>
      <c r="Z15" s="19">
        <v>3.7</v>
      </c>
      <c r="AA15" s="19">
        <v>0</v>
      </c>
      <c r="AB15" s="19">
        <v>0.6</v>
      </c>
      <c r="AC15" s="19"/>
      <c r="AD15" s="19"/>
      <c r="AE15" s="19"/>
      <c r="AF15" s="19"/>
      <c r="AG15" s="19">
        <v>16.399999999999999</v>
      </c>
      <c r="AH15" s="19">
        <v>2.5</v>
      </c>
      <c r="AI15" s="19">
        <v>0.9</v>
      </c>
      <c r="AJ15" s="19">
        <v>0</v>
      </c>
      <c r="AK15" s="19">
        <v>16.2</v>
      </c>
      <c r="AL15" s="19">
        <v>3.5</v>
      </c>
      <c r="AM15" s="19">
        <v>0.4</v>
      </c>
      <c r="AN15" s="19">
        <v>0.6</v>
      </c>
      <c r="AO15" s="27"/>
      <c r="AP15" s="40">
        <f t="shared" si="13"/>
        <v>4.9000000000000004</v>
      </c>
      <c r="AQ15" s="40">
        <f t="shared" si="14"/>
        <v>37.900000000000006</v>
      </c>
      <c r="AR15" s="40" t="str">
        <f t="shared" si="15"/>
        <v/>
      </c>
      <c r="AS15" s="40">
        <f t="shared" si="16"/>
        <v>4.9000000000000004</v>
      </c>
      <c r="AT15" s="40">
        <f t="shared" si="17"/>
        <v>37.900000000000006</v>
      </c>
      <c r="AU15" s="40">
        <f t="shared" si="18"/>
        <v>6</v>
      </c>
      <c r="AV15" s="40">
        <f t="shared" si="19"/>
        <v>37.9</v>
      </c>
      <c r="AW15" s="40">
        <f t="shared" si="20"/>
        <v>75.800000000000011</v>
      </c>
      <c r="AX15" s="18">
        <v>16.399999999999999</v>
      </c>
      <c r="AY15" s="18">
        <v>3.4</v>
      </c>
      <c r="AZ15" s="18">
        <v>0</v>
      </c>
      <c r="BA15" s="18">
        <v>0</v>
      </c>
      <c r="BB15" s="18">
        <v>14.1</v>
      </c>
      <c r="BC15" s="18">
        <v>2.6</v>
      </c>
      <c r="BD15" s="18">
        <v>0</v>
      </c>
      <c r="BE15" s="18">
        <v>0.6</v>
      </c>
      <c r="BF15" s="18"/>
      <c r="BG15" s="18"/>
      <c r="BH15" s="18"/>
      <c r="BI15" s="18"/>
      <c r="BJ15" s="18">
        <v>15.4</v>
      </c>
      <c r="BK15" s="18">
        <v>1.2</v>
      </c>
      <c r="BL15" s="18">
        <v>0</v>
      </c>
      <c r="BM15" s="18">
        <v>0</v>
      </c>
      <c r="BN15" s="18">
        <v>15.3</v>
      </c>
      <c r="BO15" s="18">
        <v>2.8</v>
      </c>
      <c r="BP15" s="18">
        <v>0.6</v>
      </c>
      <c r="BQ15" s="18">
        <v>0.3</v>
      </c>
      <c r="BR15" s="28"/>
      <c r="BS15" s="11">
        <f t="shared" si="21"/>
        <v>6</v>
      </c>
      <c r="BT15" s="11">
        <f t="shared" si="22"/>
        <v>37.1</v>
      </c>
      <c r="BU15" s="11" t="str">
        <f t="shared" si="23"/>
        <v/>
      </c>
      <c r="BV15" s="11">
        <f t="shared" si="24"/>
        <v>6</v>
      </c>
      <c r="BW15" s="11">
        <f t="shared" si="25"/>
        <v>37.1</v>
      </c>
      <c r="BX15" s="11">
        <f t="shared" si="26"/>
        <v>4</v>
      </c>
      <c r="BY15" s="11">
        <f t="shared" si="27"/>
        <v>34.4</v>
      </c>
      <c r="BZ15" s="11">
        <f t="shared" si="28"/>
        <v>71.5</v>
      </c>
      <c r="CA15" s="19">
        <v>15.6</v>
      </c>
      <c r="CB15" s="19">
        <v>1.2</v>
      </c>
      <c r="CC15" s="19">
        <v>0</v>
      </c>
      <c r="CD15" s="19">
        <v>0</v>
      </c>
      <c r="CE15" s="19">
        <v>15.8</v>
      </c>
      <c r="CF15" s="19">
        <v>3.2</v>
      </c>
      <c r="CG15" s="19">
        <v>0.4</v>
      </c>
      <c r="CH15" s="19">
        <v>0.3</v>
      </c>
      <c r="CI15" s="19">
        <v>16.399999999999999</v>
      </c>
      <c r="CJ15" s="19">
        <v>3.2</v>
      </c>
      <c r="CK15" s="19">
        <v>0.2</v>
      </c>
      <c r="CL15" s="19">
        <v>0</v>
      </c>
      <c r="CM15" s="19">
        <v>15.8</v>
      </c>
      <c r="CN15" s="19">
        <v>1.2</v>
      </c>
      <c r="CO15" s="19">
        <v>0</v>
      </c>
      <c r="CP15" s="19">
        <v>0</v>
      </c>
      <c r="CQ15" s="19">
        <v>16.399999999999999</v>
      </c>
      <c r="CR15" s="19">
        <v>3.2</v>
      </c>
      <c r="CS15" s="19">
        <v>0</v>
      </c>
      <c r="CT15" s="19">
        <v>0.3</v>
      </c>
      <c r="CU15" s="27"/>
      <c r="CV15" s="40">
        <f t="shared" si="29"/>
        <v>4.4000000000000004</v>
      </c>
      <c r="CW15" s="40">
        <f t="shared" si="30"/>
        <v>35.700000000000003</v>
      </c>
      <c r="CX15" s="40">
        <f t="shared" si="31"/>
        <v>19.399999999999999</v>
      </c>
      <c r="CY15" s="40">
        <f t="shared" si="32"/>
        <v>7.6000000000000005</v>
      </c>
      <c r="CZ15" s="40">
        <f t="shared" si="33"/>
        <v>55.1</v>
      </c>
      <c r="DA15" s="40">
        <f t="shared" si="34"/>
        <v>4.4000000000000004</v>
      </c>
      <c r="DB15" s="40">
        <f t="shared" si="35"/>
        <v>36.9</v>
      </c>
      <c r="DC15" s="40">
        <f t="shared" si="36"/>
        <v>72.599999999999994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16</v>
      </c>
      <c r="QF15" s="22">
        <f t="shared" si="137"/>
        <v>2.2999999999999998</v>
      </c>
      <c r="QG15" s="22">
        <f t="shared" si="138"/>
        <v>0</v>
      </c>
      <c r="QH15" s="22">
        <f t="shared" si="139"/>
        <v>0</v>
      </c>
      <c r="QI15" s="22">
        <f t="shared" si="140"/>
        <v>14.95</v>
      </c>
      <c r="QJ15" s="22">
        <f t="shared" si="141"/>
        <v>2.9000000000000004</v>
      </c>
      <c r="QK15" s="22">
        <f t="shared" si="142"/>
        <v>0.2</v>
      </c>
      <c r="QL15" s="22">
        <f t="shared" si="143"/>
        <v>0.44999999999999996</v>
      </c>
      <c r="QM15" s="22">
        <f t="shared" si="144"/>
        <v>8.1999999999999993</v>
      </c>
      <c r="QN15" s="22">
        <f t="shared" si="145"/>
        <v>1.6</v>
      </c>
      <c r="QO15" s="22">
        <f t="shared" si="146"/>
        <v>0.1</v>
      </c>
      <c r="QP15" s="22">
        <f t="shared" si="147"/>
        <v>0</v>
      </c>
      <c r="QQ15" s="22">
        <f t="shared" si="148"/>
        <v>15.600000000000001</v>
      </c>
      <c r="QR15" s="22">
        <f t="shared" si="149"/>
        <v>1.2</v>
      </c>
      <c r="QS15" s="22">
        <f t="shared" si="150"/>
        <v>0</v>
      </c>
      <c r="QT15" s="22">
        <f t="shared" si="151"/>
        <v>0</v>
      </c>
      <c r="QU15" s="22">
        <f t="shared" si="152"/>
        <v>15.85</v>
      </c>
      <c r="QV15" s="22">
        <f t="shared" si="153"/>
        <v>3</v>
      </c>
      <c r="QW15" s="22">
        <f t="shared" si="154"/>
        <v>0.3</v>
      </c>
      <c r="QX15" s="22">
        <f t="shared" si="155"/>
        <v>0.3</v>
      </c>
      <c r="QY15" s="27" t="s">
        <v>46</v>
      </c>
      <c r="QZ15" s="40">
        <f t="shared" si="156"/>
        <v>5.2</v>
      </c>
      <c r="RA15" s="40">
        <f t="shared" si="157"/>
        <v>36.4</v>
      </c>
      <c r="RB15" s="40">
        <f t="shared" si="158"/>
        <v>9.6999999999999993</v>
      </c>
      <c r="RC15" s="40">
        <f t="shared" si="159"/>
        <v>6.8000000000000007</v>
      </c>
      <c r="RD15" s="40">
        <f t="shared" si="160"/>
        <v>46.099999999999994</v>
      </c>
      <c r="RE15" s="40">
        <f t="shared" si="161"/>
        <v>4.2</v>
      </c>
      <c r="RF15" s="40">
        <f t="shared" si="162"/>
        <v>35.65</v>
      </c>
      <c r="RG15" s="40">
        <f t="shared" si="163"/>
        <v>72.05</v>
      </c>
    </row>
    <row r="16" spans="1:475" x14ac:dyDescent="0.2">
      <c r="A16" s="4" t="str">
        <f t="shared" si="164"/>
        <v/>
      </c>
      <c r="B16" s="5" t="s">
        <v>169</v>
      </c>
      <c r="C16" s="4" t="s">
        <v>31</v>
      </c>
      <c r="D16" s="4">
        <v>2005</v>
      </c>
      <c r="E16" s="9">
        <f t="shared" si="0"/>
        <v>82.500004110004113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41.099999999999994</v>
      </c>
      <c r="K16" s="8" t="str">
        <f t="shared" si="5"/>
        <v>2022 Nationals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0</v>
      </c>
      <c r="O16" s="8" t="str">
        <f t="shared" si="7"/>
        <v/>
      </c>
      <c r="P16" s="8">
        <f t="shared" si="8"/>
        <v>41.4</v>
      </c>
      <c r="Q16" s="8" t="str">
        <f t="shared" si="9"/>
        <v>2022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17.7</v>
      </c>
      <c r="V16" s="19">
        <v>3.3</v>
      </c>
      <c r="W16" s="19">
        <v>0</v>
      </c>
      <c r="X16" s="19">
        <v>0</v>
      </c>
      <c r="Y16" s="19">
        <v>16.8</v>
      </c>
      <c r="Z16" s="19">
        <v>3</v>
      </c>
      <c r="AA16" s="19">
        <v>0</v>
      </c>
      <c r="AB16" s="19">
        <v>0.3</v>
      </c>
      <c r="AC16" s="19"/>
      <c r="AD16" s="19"/>
      <c r="AE16" s="19"/>
      <c r="AF16" s="19"/>
      <c r="AG16" s="19">
        <v>17.399999999999999</v>
      </c>
      <c r="AH16" s="19">
        <v>3.3</v>
      </c>
      <c r="AI16" s="19">
        <v>0</v>
      </c>
      <c r="AJ16" s="19">
        <v>0</v>
      </c>
      <c r="AK16" s="19">
        <v>16.5</v>
      </c>
      <c r="AL16" s="19">
        <v>3.9</v>
      </c>
      <c r="AM16" s="19">
        <v>0</v>
      </c>
      <c r="AN16" s="19">
        <v>0.3</v>
      </c>
      <c r="AO16" s="27"/>
      <c r="AP16" s="40">
        <f t="shared" si="13"/>
        <v>6.3</v>
      </c>
      <c r="AQ16" s="40">
        <f t="shared" si="14"/>
        <v>41.099999999999994</v>
      </c>
      <c r="AR16" s="40" t="str">
        <f t="shared" si="15"/>
        <v/>
      </c>
      <c r="AS16" s="40">
        <f t="shared" si="16"/>
        <v>6.3</v>
      </c>
      <c r="AT16" s="40">
        <f t="shared" si="17"/>
        <v>41.099999999999994</v>
      </c>
      <c r="AU16" s="40">
        <f t="shared" si="18"/>
        <v>7.1999999999999993</v>
      </c>
      <c r="AV16" s="40">
        <f t="shared" si="19"/>
        <v>41.4</v>
      </c>
      <c r="AW16" s="40">
        <f t="shared" si="20"/>
        <v>82.5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9"/>
        <v/>
      </c>
      <c r="CW16" s="40" t="str">
        <f t="shared" si="30"/>
        <v/>
      </c>
      <c r="CX16" s="40" t="str">
        <f t="shared" si="31"/>
        <v/>
      </c>
      <c r="CY16" s="40" t="str">
        <f t="shared" si="32"/>
        <v/>
      </c>
      <c r="CZ16" s="40" t="str">
        <f t="shared" si="33"/>
        <v/>
      </c>
      <c r="DA16" s="40" t="str">
        <f t="shared" si="34"/>
        <v/>
      </c>
      <c r="DB16" s="40" t="str">
        <f t="shared" si="35"/>
        <v/>
      </c>
      <c r="DC16" s="40" t="str">
        <f t="shared" si="36"/>
        <v/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0</v>
      </c>
      <c r="QF16" s="22">
        <f t="shared" si="137"/>
        <v>0</v>
      </c>
      <c r="QG16" s="22">
        <f t="shared" si="138"/>
        <v>0</v>
      </c>
      <c r="QH16" s="22">
        <f t="shared" si="139"/>
        <v>0</v>
      </c>
      <c r="QI16" s="22">
        <f t="shared" si="140"/>
        <v>0</v>
      </c>
      <c r="QJ16" s="22">
        <f t="shared" si="141"/>
        <v>0</v>
      </c>
      <c r="QK16" s="22">
        <f t="shared" si="142"/>
        <v>0</v>
      </c>
      <c r="QL16" s="22">
        <f t="shared" si="143"/>
        <v>0</v>
      </c>
      <c r="QM16" s="22">
        <f t="shared" si="144"/>
        <v>0</v>
      </c>
      <c r="QN16" s="22">
        <f t="shared" si="145"/>
        <v>0</v>
      </c>
      <c r="QO16" s="22">
        <f t="shared" si="146"/>
        <v>0</v>
      </c>
      <c r="QP16" s="22">
        <f t="shared" si="147"/>
        <v>0</v>
      </c>
      <c r="QQ16" s="22">
        <f t="shared" si="148"/>
        <v>0</v>
      </c>
      <c r="QR16" s="22">
        <f t="shared" si="149"/>
        <v>0</v>
      </c>
      <c r="QS16" s="22">
        <f t="shared" si="150"/>
        <v>0</v>
      </c>
      <c r="QT16" s="22">
        <f t="shared" si="151"/>
        <v>0</v>
      </c>
      <c r="QU16" s="22">
        <f t="shared" si="152"/>
        <v>0</v>
      </c>
      <c r="QV16" s="22">
        <f t="shared" si="153"/>
        <v>0</v>
      </c>
      <c r="QW16" s="22">
        <f t="shared" si="154"/>
        <v>0</v>
      </c>
      <c r="QX16" s="22">
        <f t="shared" si="155"/>
        <v>0</v>
      </c>
      <c r="QY16" s="27" t="s">
        <v>46</v>
      </c>
      <c r="QZ16" s="40" t="str">
        <f t="shared" si="156"/>
        <v/>
      </c>
      <c r="RA16" s="40" t="str">
        <f t="shared" si="157"/>
        <v/>
      </c>
      <c r="RB16" s="40" t="str">
        <f t="shared" si="158"/>
        <v/>
      </c>
      <c r="RC16" s="40" t="str">
        <f t="shared" si="159"/>
        <v/>
      </c>
      <c r="RD16" s="40" t="str">
        <f t="shared" si="160"/>
        <v/>
      </c>
      <c r="RE16" s="40" t="str">
        <f t="shared" si="161"/>
        <v/>
      </c>
      <c r="RF16" s="40" t="str">
        <f t="shared" si="162"/>
        <v/>
      </c>
      <c r="RG16" s="40" t="str">
        <f t="shared" si="163"/>
        <v/>
      </c>
    </row>
    <row r="17" spans="1:475" x14ac:dyDescent="0.2">
      <c r="A17" s="4" t="str">
        <f t="shared" si="164"/>
        <v/>
      </c>
      <c r="B17" s="5" t="s">
        <v>173</v>
      </c>
      <c r="C17" s="4" t="s">
        <v>3</v>
      </c>
      <c r="D17" s="4">
        <v>2004</v>
      </c>
      <c r="E17" s="9">
        <f t="shared" si="0"/>
        <v>80.80000407000405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40.699999999999996</v>
      </c>
      <c r="K17" s="8" t="str">
        <f t="shared" si="5"/>
        <v>2022 Nationals</v>
      </c>
      <c r="L17" s="8">
        <f>IF(COUNT(AQ17,BT17,CW17)&gt;1,LARGE((AQ17,BT17,CW17),2),0)</f>
        <v>0</v>
      </c>
      <c r="M17" s="8" t="str">
        <f t="shared" si="6"/>
        <v/>
      </c>
      <c r="N17" s="8">
        <f>IF(COUNT(AR17,BU17,CX17)&gt;0,LARGE((AR17,BU17,CX17),1),0)</f>
        <v>0</v>
      </c>
      <c r="O17" s="8" t="str">
        <f t="shared" si="7"/>
        <v/>
      </c>
      <c r="P17" s="8">
        <f t="shared" si="8"/>
        <v>40.099999999999994</v>
      </c>
      <c r="Q17" s="8" t="str">
        <f t="shared" si="9"/>
        <v>2022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17.2</v>
      </c>
      <c r="V17" s="19">
        <v>3.4</v>
      </c>
      <c r="W17" s="19">
        <v>0</v>
      </c>
      <c r="X17" s="19">
        <v>0</v>
      </c>
      <c r="Y17" s="19">
        <v>15.9</v>
      </c>
      <c r="Z17" s="19">
        <v>3.9</v>
      </c>
      <c r="AA17" s="19">
        <v>0</v>
      </c>
      <c r="AB17" s="19">
        <v>0.3</v>
      </c>
      <c r="AC17" s="19"/>
      <c r="AD17" s="19"/>
      <c r="AE17" s="19"/>
      <c r="AF17" s="19"/>
      <c r="AG17" s="19">
        <v>16.8</v>
      </c>
      <c r="AH17" s="19">
        <v>3.4</v>
      </c>
      <c r="AI17" s="19">
        <v>0</v>
      </c>
      <c r="AJ17" s="19">
        <v>0</v>
      </c>
      <c r="AK17" s="19">
        <v>15.7</v>
      </c>
      <c r="AL17" s="19">
        <v>3.9</v>
      </c>
      <c r="AM17" s="19">
        <v>0</v>
      </c>
      <c r="AN17" s="19">
        <v>0.3</v>
      </c>
      <c r="AO17" s="27"/>
      <c r="AP17" s="40">
        <f t="shared" si="13"/>
        <v>7.3</v>
      </c>
      <c r="AQ17" s="40">
        <f t="shared" si="14"/>
        <v>40.699999999999996</v>
      </c>
      <c r="AR17" s="40" t="str">
        <f t="shared" si="15"/>
        <v/>
      </c>
      <c r="AS17" s="40">
        <f t="shared" si="16"/>
        <v>7.3</v>
      </c>
      <c r="AT17" s="40">
        <f t="shared" si="17"/>
        <v>40.699999999999996</v>
      </c>
      <c r="AU17" s="40">
        <f t="shared" si="18"/>
        <v>7.3</v>
      </c>
      <c r="AV17" s="40">
        <f t="shared" si="19"/>
        <v>40.099999999999994</v>
      </c>
      <c r="AW17" s="40">
        <f t="shared" si="20"/>
        <v>80.799999999999983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29"/>
        <v/>
      </c>
      <c r="CW17" s="40" t="str">
        <f t="shared" si="30"/>
        <v/>
      </c>
      <c r="CX17" s="40" t="str">
        <f t="shared" si="31"/>
        <v/>
      </c>
      <c r="CY17" s="40" t="str">
        <f t="shared" si="32"/>
        <v/>
      </c>
      <c r="CZ17" s="40" t="str">
        <f t="shared" si="33"/>
        <v/>
      </c>
      <c r="DA17" s="40" t="str">
        <f t="shared" si="34"/>
        <v/>
      </c>
      <c r="DB17" s="40" t="str">
        <f t="shared" si="35"/>
        <v/>
      </c>
      <c r="DC17" s="40" t="str">
        <f t="shared" si="36"/>
        <v/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0</v>
      </c>
      <c r="QF17" s="22">
        <f t="shared" si="137"/>
        <v>0</v>
      </c>
      <c r="QG17" s="22">
        <f t="shared" si="138"/>
        <v>0</v>
      </c>
      <c r="QH17" s="22">
        <f t="shared" si="139"/>
        <v>0</v>
      </c>
      <c r="QI17" s="22">
        <f t="shared" si="140"/>
        <v>0</v>
      </c>
      <c r="QJ17" s="22">
        <f t="shared" si="141"/>
        <v>0</v>
      </c>
      <c r="QK17" s="22">
        <f t="shared" si="142"/>
        <v>0</v>
      </c>
      <c r="QL17" s="22">
        <f t="shared" si="143"/>
        <v>0</v>
      </c>
      <c r="QM17" s="22">
        <f t="shared" si="144"/>
        <v>0</v>
      </c>
      <c r="QN17" s="22">
        <f t="shared" si="145"/>
        <v>0</v>
      </c>
      <c r="QO17" s="22">
        <f t="shared" si="146"/>
        <v>0</v>
      </c>
      <c r="QP17" s="22">
        <f t="shared" si="147"/>
        <v>0</v>
      </c>
      <c r="QQ17" s="22">
        <f t="shared" si="148"/>
        <v>0</v>
      </c>
      <c r="QR17" s="22">
        <f t="shared" si="149"/>
        <v>0</v>
      </c>
      <c r="QS17" s="22">
        <f t="shared" si="150"/>
        <v>0</v>
      </c>
      <c r="QT17" s="22">
        <f t="shared" si="151"/>
        <v>0</v>
      </c>
      <c r="QU17" s="22">
        <f t="shared" si="152"/>
        <v>0</v>
      </c>
      <c r="QV17" s="22">
        <f t="shared" si="153"/>
        <v>0</v>
      </c>
      <c r="QW17" s="22">
        <f t="shared" si="154"/>
        <v>0</v>
      </c>
      <c r="QX17" s="22">
        <f t="shared" si="155"/>
        <v>0</v>
      </c>
      <c r="QY17" s="27" t="s">
        <v>46</v>
      </c>
      <c r="QZ17" s="40" t="str">
        <f t="shared" si="156"/>
        <v/>
      </c>
      <c r="RA17" s="40" t="str">
        <f t="shared" si="157"/>
        <v/>
      </c>
      <c r="RB17" s="40" t="str">
        <f t="shared" si="158"/>
        <v/>
      </c>
      <c r="RC17" s="40" t="str">
        <f t="shared" si="159"/>
        <v/>
      </c>
      <c r="RD17" s="40" t="str">
        <f t="shared" si="160"/>
        <v/>
      </c>
      <c r="RE17" s="40" t="str">
        <f t="shared" si="161"/>
        <v/>
      </c>
      <c r="RF17" s="40" t="str">
        <f t="shared" si="162"/>
        <v/>
      </c>
      <c r="RG17" s="40" t="str">
        <f t="shared" si="163"/>
        <v/>
      </c>
    </row>
    <row r="18" spans="1:475" x14ac:dyDescent="0.2">
      <c r="A18" s="4" t="str">
        <f t="shared" si="164"/>
        <v/>
      </c>
      <c r="B18" s="5" t="s">
        <v>73</v>
      </c>
      <c r="C18" s="4" t="s">
        <v>5</v>
      </c>
      <c r="D18" s="4">
        <v>2003</v>
      </c>
      <c r="E18" s="9">
        <f t="shared" si="0"/>
        <v>80.600004070004061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40.699999999999996</v>
      </c>
      <c r="K18" s="8" t="str">
        <f t="shared" si="5"/>
        <v>2022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39.9</v>
      </c>
      <c r="Q18" s="8" t="str">
        <f t="shared" si="9"/>
        <v>2022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17.5</v>
      </c>
      <c r="V18" s="19">
        <v>3.4</v>
      </c>
      <c r="W18" s="19">
        <v>0</v>
      </c>
      <c r="X18" s="19">
        <v>0</v>
      </c>
      <c r="Y18" s="19">
        <v>16.399999999999999</v>
      </c>
      <c r="Z18" s="19">
        <v>3.1</v>
      </c>
      <c r="AA18" s="19">
        <v>0</v>
      </c>
      <c r="AB18" s="19">
        <v>0.3</v>
      </c>
      <c r="AC18" s="19"/>
      <c r="AD18" s="19"/>
      <c r="AE18" s="19"/>
      <c r="AF18" s="19"/>
      <c r="AG18" s="19">
        <v>16.899999999999999</v>
      </c>
      <c r="AH18" s="19">
        <v>3.4</v>
      </c>
      <c r="AI18" s="19">
        <v>0</v>
      </c>
      <c r="AJ18" s="19">
        <v>0</v>
      </c>
      <c r="AK18" s="19">
        <v>16.2</v>
      </c>
      <c r="AL18" s="19">
        <v>3.1</v>
      </c>
      <c r="AM18" s="19">
        <v>0</v>
      </c>
      <c r="AN18" s="19">
        <v>0.3</v>
      </c>
      <c r="AO18" s="27"/>
      <c r="AP18" s="40">
        <f t="shared" si="13"/>
        <v>6.5</v>
      </c>
      <c r="AQ18" s="40">
        <f t="shared" si="14"/>
        <v>40.699999999999996</v>
      </c>
      <c r="AR18" s="40" t="str">
        <f t="shared" si="15"/>
        <v/>
      </c>
      <c r="AS18" s="40">
        <f t="shared" si="16"/>
        <v>6.5</v>
      </c>
      <c r="AT18" s="40">
        <f t="shared" si="17"/>
        <v>40.699999999999996</v>
      </c>
      <c r="AU18" s="40">
        <f t="shared" si="18"/>
        <v>6.5</v>
      </c>
      <c r="AV18" s="40">
        <f t="shared" si="19"/>
        <v>39.9</v>
      </c>
      <c r="AW18" s="40">
        <f t="shared" si="20"/>
        <v>80.599999999999994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9"/>
        <v/>
      </c>
      <c r="CW18" s="40" t="str">
        <f t="shared" si="30"/>
        <v/>
      </c>
      <c r="CX18" s="40" t="str">
        <f t="shared" si="31"/>
        <v/>
      </c>
      <c r="CY18" s="40" t="str">
        <f t="shared" si="32"/>
        <v/>
      </c>
      <c r="CZ18" s="40" t="str">
        <f t="shared" si="33"/>
        <v/>
      </c>
      <c r="DA18" s="40" t="str">
        <f t="shared" si="34"/>
        <v/>
      </c>
      <c r="DB18" s="40" t="str">
        <f t="shared" si="35"/>
        <v/>
      </c>
      <c r="DC18" s="40" t="str">
        <f t="shared" si="36"/>
        <v/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0</v>
      </c>
      <c r="QF18" s="22">
        <f t="shared" si="137"/>
        <v>0</v>
      </c>
      <c r="QG18" s="22">
        <f t="shared" si="138"/>
        <v>0</v>
      </c>
      <c r="QH18" s="22">
        <f t="shared" si="139"/>
        <v>0</v>
      </c>
      <c r="QI18" s="22">
        <f t="shared" si="140"/>
        <v>0</v>
      </c>
      <c r="QJ18" s="22">
        <f t="shared" si="141"/>
        <v>0</v>
      </c>
      <c r="QK18" s="22">
        <f t="shared" si="142"/>
        <v>0</v>
      </c>
      <c r="QL18" s="22">
        <f t="shared" si="143"/>
        <v>0</v>
      </c>
      <c r="QM18" s="22">
        <f t="shared" si="144"/>
        <v>0</v>
      </c>
      <c r="QN18" s="22">
        <f t="shared" si="145"/>
        <v>0</v>
      </c>
      <c r="QO18" s="22">
        <f t="shared" si="146"/>
        <v>0</v>
      </c>
      <c r="QP18" s="22">
        <f t="shared" si="147"/>
        <v>0</v>
      </c>
      <c r="QQ18" s="22">
        <f t="shared" si="148"/>
        <v>0</v>
      </c>
      <c r="QR18" s="22">
        <f t="shared" si="149"/>
        <v>0</v>
      </c>
      <c r="QS18" s="22">
        <f t="shared" si="150"/>
        <v>0</v>
      </c>
      <c r="QT18" s="22">
        <f t="shared" si="151"/>
        <v>0</v>
      </c>
      <c r="QU18" s="22">
        <f t="shared" si="152"/>
        <v>0</v>
      </c>
      <c r="QV18" s="22">
        <f t="shared" si="153"/>
        <v>0</v>
      </c>
      <c r="QW18" s="22">
        <f t="shared" si="154"/>
        <v>0</v>
      </c>
      <c r="QX18" s="22">
        <f t="shared" si="155"/>
        <v>0</v>
      </c>
      <c r="QY18" s="27" t="s">
        <v>46</v>
      </c>
      <c r="QZ18" s="40" t="str">
        <f t="shared" si="156"/>
        <v/>
      </c>
      <c r="RA18" s="40" t="str">
        <f t="shared" si="157"/>
        <v/>
      </c>
      <c r="RB18" s="40" t="str">
        <f t="shared" si="158"/>
        <v/>
      </c>
      <c r="RC18" s="40" t="str">
        <f t="shared" si="159"/>
        <v/>
      </c>
      <c r="RD18" s="40" t="str">
        <f t="shared" si="160"/>
        <v/>
      </c>
      <c r="RE18" s="40" t="str">
        <f t="shared" si="161"/>
        <v/>
      </c>
      <c r="RF18" s="40" t="str">
        <f t="shared" si="162"/>
        <v/>
      </c>
      <c r="RG18" s="40" t="str">
        <f t="shared" si="163"/>
        <v/>
      </c>
    </row>
    <row r="19" spans="1:475" x14ac:dyDescent="0.2">
      <c r="A19" s="4" t="str">
        <f t="shared" si="164"/>
        <v/>
      </c>
      <c r="B19" s="5" t="s">
        <v>104</v>
      </c>
      <c r="C19" s="4" t="s">
        <v>3</v>
      </c>
      <c r="D19" s="4">
        <v>2004</v>
      </c>
      <c r="E19" s="9">
        <f t="shared" si="0"/>
        <v>75.436670462226004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37.955555555555549</v>
      </c>
      <c r="K19" s="8" t="str">
        <f t="shared" si="5"/>
        <v>2022 Nationals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0</v>
      </c>
      <c r="O19" s="8" t="str">
        <f t="shared" si="7"/>
        <v/>
      </c>
      <c r="P19" s="8">
        <f t="shared" si="8"/>
        <v>37.481111111111105</v>
      </c>
      <c r="Q19" s="8" t="str">
        <f t="shared" si="9"/>
        <v>2022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14.833333333333332</v>
      </c>
      <c r="V19" s="19">
        <v>3.75</v>
      </c>
      <c r="W19" s="19">
        <v>0</v>
      </c>
      <c r="X19" s="19">
        <v>0.15</v>
      </c>
      <c r="Y19" s="19">
        <v>14.622222222222224</v>
      </c>
      <c r="Z19" s="19">
        <v>4.3</v>
      </c>
      <c r="AA19" s="19">
        <v>0</v>
      </c>
      <c r="AB19" s="19">
        <v>0.3</v>
      </c>
      <c r="AC19" s="19"/>
      <c r="AD19" s="19"/>
      <c r="AE19" s="19"/>
      <c r="AF19" s="19"/>
      <c r="AG19" s="19">
        <v>14.636666666666667</v>
      </c>
      <c r="AH19" s="19">
        <v>3.75</v>
      </c>
      <c r="AI19" s="19">
        <v>0.1</v>
      </c>
      <c r="AJ19" s="19">
        <v>0.15</v>
      </c>
      <c r="AK19" s="19">
        <v>14.544444444444444</v>
      </c>
      <c r="AL19" s="19">
        <v>4.3</v>
      </c>
      <c r="AM19" s="19">
        <v>0.1</v>
      </c>
      <c r="AN19" s="19">
        <v>0.3</v>
      </c>
      <c r="AO19" s="27" t="s">
        <v>46</v>
      </c>
      <c r="AP19" s="40">
        <f t="shared" si="13"/>
        <v>8.0500000000000007</v>
      </c>
      <c r="AQ19" s="40">
        <f t="shared" si="14"/>
        <v>37.955555555555549</v>
      </c>
      <c r="AR19" s="40" t="str">
        <f t="shared" si="15"/>
        <v/>
      </c>
      <c r="AS19" s="40">
        <f t="shared" si="16"/>
        <v>8.0500000000000007</v>
      </c>
      <c r="AT19" s="40">
        <f t="shared" si="17"/>
        <v>37.955555555555549</v>
      </c>
      <c r="AU19" s="40">
        <f t="shared" si="18"/>
        <v>8.0500000000000007</v>
      </c>
      <c r="AV19" s="40">
        <f t="shared" si="19"/>
        <v>37.481111111111105</v>
      </c>
      <c r="AW19" s="40">
        <f t="shared" si="20"/>
        <v>75.436666666666653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0</v>
      </c>
      <c r="QF19" s="22">
        <f t="shared" si="137"/>
        <v>0</v>
      </c>
      <c r="QG19" s="22">
        <f t="shared" si="138"/>
        <v>0</v>
      </c>
      <c r="QH19" s="22">
        <f t="shared" si="139"/>
        <v>0</v>
      </c>
      <c r="QI19" s="22">
        <f t="shared" si="140"/>
        <v>0</v>
      </c>
      <c r="QJ19" s="22">
        <f t="shared" si="141"/>
        <v>0</v>
      </c>
      <c r="QK19" s="22">
        <f t="shared" si="142"/>
        <v>0</v>
      </c>
      <c r="QL19" s="22">
        <f t="shared" si="143"/>
        <v>0</v>
      </c>
      <c r="QM19" s="22">
        <f t="shared" si="144"/>
        <v>0</v>
      </c>
      <c r="QN19" s="22">
        <f t="shared" si="145"/>
        <v>0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 t="str">
        <f t="shared" si="156"/>
        <v/>
      </c>
      <c r="RA19" s="40" t="str">
        <f t="shared" si="157"/>
        <v/>
      </c>
      <c r="RB19" s="40" t="str">
        <f t="shared" si="158"/>
        <v/>
      </c>
      <c r="RC19" s="40" t="str">
        <f t="shared" si="159"/>
        <v/>
      </c>
      <c r="RD19" s="40" t="str">
        <f t="shared" si="160"/>
        <v/>
      </c>
      <c r="RE19" s="40" t="str">
        <f t="shared" si="161"/>
        <v/>
      </c>
      <c r="RF19" s="40" t="str">
        <f t="shared" si="162"/>
        <v/>
      </c>
      <c r="RG19" s="40" t="str">
        <f t="shared" si="163"/>
        <v/>
      </c>
    </row>
    <row r="20" spans="1:475" x14ac:dyDescent="0.2">
      <c r="A20" s="4" t="str">
        <f t="shared" si="164"/>
        <v/>
      </c>
      <c r="B20" s="5" t="s">
        <v>174</v>
      </c>
      <c r="C20" s="4" t="s">
        <v>5</v>
      </c>
      <c r="D20" s="4">
        <v>2005</v>
      </c>
      <c r="E20" s="9">
        <f t="shared" si="0"/>
        <v>74.800003750003739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37.499999999999993</v>
      </c>
      <c r="K20" s="8" t="str">
        <f t="shared" si="5"/>
        <v>2022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0</v>
      </c>
      <c r="O20" s="8" t="str">
        <f t="shared" si="7"/>
        <v/>
      </c>
      <c r="P20" s="8">
        <f t="shared" si="8"/>
        <v>37.29999999999999</v>
      </c>
      <c r="Q20" s="8" t="str">
        <f t="shared" si="9"/>
        <v>2022 Nationals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16.399999999999999</v>
      </c>
      <c r="V20" s="19">
        <v>3.3</v>
      </c>
      <c r="W20" s="19">
        <v>0</v>
      </c>
      <c r="X20" s="19">
        <v>0</v>
      </c>
      <c r="Y20" s="19">
        <v>16.7</v>
      </c>
      <c r="Z20" s="19">
        <v>2.8</v>
      </c>
      <c r="AA20" s="19">
        <v>2</v>
      </c>
      <c r="AB20" s="19">
        <v>0.3</v>
      </c>
      <c r="AC20" s="19"/>
      <c r="AD20" s="19"/>
      <c r="AE20" s="19"/>
      <c r="AF20" s="19"/>
      <c r="AG20" s="19">
        <v>14.6</v>
      </c>
      <c r="AH20" s="19">
        <v>3.3</v>
      </c>
      <c r="AI20" s="19">
        <v>0</v>
      </c>
      <c r="AJ20" s="19">
        <v>0</v>
      </c>
      <c r="AK20" s="19">
        <v>16.5</v>
      </c>
      <c r="AL20" s="19">
        <v>2.8</v>
      </c>
      <c r="AM20" s="19">
        <v>0.2</v>
      </c>
      <c r="AN20" s="19">
        <v>0.3</v>
      </c>
      <c r="AO20" s="27"/>
      <c r="AP20" s="40">
        <f t="shared" si="13"/>
        <v>6.1</v>
      </c>
      <c r="AQ20" s="40">
        <f t="shared" si="14"/>
        <v>37.499999999999993</v>
      </c>
      <c r="AR20" s="40" t="str">
        <f t="shared" si="15"/>
        <v/>
      </c>
      <c r="AS20" s="40">
        <f t="shared" si="16"/>
        <v>6.1</v>
      </c>
      <c r="AT20" s="40">
        <f t="shared" si="17"/>
        <v>37.499999999999993</v>
      </c>
      <c r="AU20" s="40">
        <f t="shared" si="18"/>
        <v>6.1</v>
      </c>
      <c r="AV20" s="40">
        <f t="shared" si="19"/>
        <v>37.29999999999999</v>
      </c>
      <c r="AW20" s="40">
        <f t="shared" si="20"/>
        <v>74.799999999999983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0</v>
      </c>
      <c r="QF20" s="22">
        <f t="shared" si="137"/>
        <v>0</v>
      </c>
      <c r="QG20" s="22">
        <f t="shared" si="138"/>
        <v>0</v>
      </c>
      <c r="QH20" s="22">
        <f t="shared" si="139"/>
        <v>0</v>
      </c>
      <c r="QI20" s="22">
        <f t="shared" si="140"/>
        <v>0</v>
      </c>
      <c r="QJ20" s="22">
        <f t="shared" si="141"/>
        <v>0</v>
      </c>
      <c r="QK20" s="22">
        <f t="shared" si="142"/>
        <v>0</v>
      </c>
      <c r="QL20" s="22">
        <f t="shared" si="143"/>
        <v>0</v>
      </c>
      <c r="QM20" s="22">
        <f t="shared" si="144"/>
        <v>0</v>
      </c>
      <c r="QN20" s="22">
        <f t="shared" si="145"/>
        <v>0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 t="str">
        <f t="shared" si="156"/>
        <v/>
      </c>
      <c r="RA20" s="40" t="str">
        <f t="shared" si="157"/>
        <v/>
      </c>
      <c r="RB20" s="40" t="str">
        <f t="shared" si="158"/>
        <v/>
      </c>
      <c r="RC20" s="40" t="str">
        <f t="shared" si="159"/>
        <v/>
      </c>
      <c r="RD20" s="40" t="str">
        <f t="shared" si="160"/>
        <v/>
      </c>
      <c r="RE20" s="40" t="str">
        <f t="shared" si="161"/>
        <v/>
      </c>
      <c r="RF20" s="40" t="str">
        <f t="shared" si="162"/>
        <v/>
      </c>
      <c r="RG20" s="40" t="str">
        <f t="shared" si="163"/>
        <v/>
      </c>
    </row>
    <row r="21" spans="1:475" x14ac:dyDescent="0.2">
      <c r="A21" s="4" t="str">
        <f t="shared" si="164"/>
        <v/>
      </c>
      <c r="B21" s="5" t="s">
        <v>74</v>
      </c>
      <c r="C21" s="4" t="s">
        <v>5</v>
      </c>
      <c r="D21" s="4">
        <v>2003</v>
      </c>
      <c r="E21" s="9">
        <f t="shared" si="0"/>
        <v>48.700004870003212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32.1</v>
      </c>
      <c r="K21" s="8" t="str">
        <f t="shared" si="5"/>
        <v>2023 Elite Canada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16.600000000000001</v>
      </c>
      <c r="O21" s="8" t="str">
        <f t="shared" si="7"/>
        <v>2023 Elite Canada</v>
      </c>
      <c r="P21" s="8">
        <f t="shared" si="8"/>
        <v>0</v>
      </c>
      <c r="Q21" s="8" t="str">
        <f t="shared" si="9"/>
        <v/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3"/>
        <v/>
      </c>
      <c r="AQ21" s="40" t="str">
        <f t="shared" si="14"/>
        <v/>
      </c>
      <c r="AR21" s="40" t="str">
        <f t="shared" si="15"/>
        <v/>
      </c>
      <c r="AS21" s="40" t="str">
        <f t="shared" si="16"/>
        <v/>
      </c>
      <c r="AT21" s="40" t="str">
        <f t="shared" si="17"/>
        <v/>
      </c>
      <c r="AU21" s="40" t="str">
        <f t="shared" si="18"/>
        <v/>
      </c>
      <c r="AV21" s="40" t="str">
        <f t="shared" si="19"/>
        <v/>
      </c>
      <c r="AW21" s="40" t="str">
        <f t="shared" si="20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>
        <v>15.2</v>
      </c>
      <c r="CB21" s="19">
        <v>1.9</v>
      </c>
      <c r="CC21" s="19">
        <v>0</v>
      </c>
      <c r="CD21" s="19">
        <v>0.3</v>
      </c>
      <c r="CE21" s="19">
        <v>12.6</v>
      </c>
      <c r="CF21" s="19">
        <v>1.8</v>
      </c>
      <c r="CG21" s="19">
        <v>0</v>
      </c>
      <c r="CH21" s="19">
        <v>0.3</v>
      </c>
      <c r="CI21" s="19">
        <v>15.4</v>
      </c>
      <c r="CJ21" s="19">
        <v>1.2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9"/>
        <v>3.7</v>
      </c>
      <c r="CW21" s="40">
        <f t="shared" si="30"/>
        <v>32.1</v>
      </c>
      <c r="CX21" s="40">
        <f t="shared" si="31"/>
        <v>16.600000000000001</v>
      </c>
      <c r="CY21" s="40">
        <f t="shared" si="32"/>
        <v>4.9000000000000004</v>
      </c>
      <c r="CZ21" s="40">
        <f t="shared" si="33"/>
        <v>48.7</v>
      </c>
      <c r="DA21" s="40" t="str">
        <f t="shared" si="34"/>
        <v/>
      </c>
      <c r="DB21" s="40" t="str">
        <f t="shared" si="35"/>
        <v/>
      </c>
      <c r="DC21" s="40">
        <f t="shared" si="36"/>
        <v>32.1</v>
      </c>
      <c r="DD21" s="50" t="str">
        <f t="shared" si="37"/>
        <v/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7.6</v>
      </c>
      <c r="QF21" s="22">
        <f t="shared" si="137"/>
        <v>0.95</v>
      </c>
      <c r="QG21" s="22">
        <f t="shared" si="138"/>
        <v>0</v>
      </c>
      <c r="QH21" s="22">
        <f t="shared" si="139"/>
        <v>0.15</v>
      </c>
      <c r="QI21" s="22">
        <f t="shared" si="140"/>
        <v>6.3</v>
      </c>
      <c r="QJ21" s="22">
        <f t="shared" si="141"/>
        <v>0.9</v>
      </c>
      <c r="QK21" s="22">
        <f t="shared" si="142"/>
        <v>0</v>
      </c>
      <c r="QL21" s="22">
        <f t="shared" si="143"/>
        <v>0.15</v>
      </c>
      <c r="QM21" s="22">
        <f t="shared" si="144"/>
        <v>7.7</v>
      </c>
      <c r="QN21" s="22">
        <f t="shared" si="145"/>
        <v>0.6</v>
      </c>
      <c r="QO21" s="22">
        <f t="shared" si="146"/>
        <v>0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>
        <f t="shared" si="156"/>
        <v>1.85</v>
      </c>
      <c r="RA21" s="40">
        <f t="shared" si="157"/>
        <v>16.05</v>
      </c>
      <c r="RB21" s="40">
        <f t="shared" si="158"/>
        <v>8.3000000000000007</v>
      </c>
      <c r="RC21" s="40">
        <f t="shared" si="159"/>
        <v>2.4500000000000002</v>
      </c>
      <c r="RD21" s="40">
        <f t="shared" si="160"/>
        <v>24.35</v>
      </c>
      <c r="RE21" s="40" t="str">
        <f t="shared" si="161"/>
        <v/>
      </c>
      <c r="RF21" s="40" t="str">
        <f t="shared" si="162"/>
        <v/>
      </c>
      <c r="RG21" s="40">
        <f t="shared" si="163"/>
        <v>16.05</v>
      </c>
    </row>
    <row r="22" spans="1:475" x14ac:dyDescent="0.2">
      <c r="A22" s="4" t="str">
        <f t="shared" si="164"/>
        <v/>
      </c>
      <c r="B22" s="5" t="s">
        <v>172</v>
      </c>
      <c r="C22" s="4" t="s">
        <v>3</v>
      </c>
      <c r="D22" s="4">
        <v>2004</v>
      </c>
      <c r="E22" s="9">
        <f t="shared" si="0"/>
        <v>33.200003320003312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33.199999999999996</v>
      </c>
      <c r="K22" s="8" t="str">
        <f t="shared" si="5"/>
        <v>2022 Nationals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0</v>
      </c>
      <c r="O22" s="8" t="str">
        <f t="shared" si="7"/>
        <v/>
      </c>
      <c r="P22" s="8">
        <f t="shared" si="8"/>
        <v>0</v>
      </c>
      <c r="Q22" s="8" t="str">
        <f t="shared" si="9"/>
        <v/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>
        <v>16.7</v>
      </c>
      <c r="V22" s="19">
        <v>1.8</v>
      </c>
      <c r="W22" s="19">
        <v>1.2</v>
      </c>
      <c r="X22" s="19">
        <v>0</v>
      </c>
      <c r="Y22" s="19">
        <v>16.899999999999999</v>
      </c>
      <c r="Z22" s="19">
        <v>2</v>
      </c>
      <c r="AA22" s="19">
        <v>3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 t="shared" si="13"/>
        <v>3.8</v>
      </c>
      <c r="AQ22" s="40">
        <f t="shared" si="14"/>
        <v>33.199999999999996</v>
      </c>
      <c r="AR22" s="40" t="str">
        <f t="shared" si="15"/>
        <v/>
      </c>
      <c r="AS22" s="40">
        <f t="shared" si="16"/>
        <v>3.8</v>
      </c>
      <c r="AT22" s="40">
        <f t="shared" si="17"/>
        <v>33.199999999999996</v>
      </c>
      <c r="AU22" s="40" t="str">
        <f t="shared" si="18"/>
        <v/>
      </c>
      <c r="AV22" s="40" t="str">
        <f t="shared" si="19"/>
        <v/>
      </c>
      <c r="AW22" s="40">
        <f t="shared" si="20"/>
        <v>33.199999999999996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1"/>
        <v/>
      </c>
      <c r="BT22" s="11" t="str">
        <f t="shared" si="22"/>
        <v/>
      </c>
      <c r="BU22" s="11" t="str">
        <f t="shared" si="23"/>
        <v/>
      </c>
      <c r="BV22" s="11" t="str">
        <f t="shared" si="24"/>
        <v/>
      </c>
      <c r="BW22" s="11" t="str">
        <f t="shared" si="25"/>
        <v/>
      </c>
      <c r="BX22" s="11" t="str">
        <f t="shared" si="26"/>
        <v/>
      </c>
      <c r="BY22" s="11" t="str">
        <f t="shared" si="27"/>
        <v/>
      </c>
      <c r="BZ22" s="11" t="str">
        <f t="shared" si="28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9"/>
        <v/>
      </c>
      <c r="CW22" s="40" t="str">
        <f t="shared" si="30"/>
        <v/>
      </c>
      <c r="CX22" s="40" t="str">
        <f t="shared" si="31"/>
        <v/>
      </c>
      <c r="CY22" s="40" t="str">
        <f t="shared" si="32"/>
        <v/>
      </c>
      <c r="CZ22" s="40" t="str">
        <f t="shared" si="33"/>
        <v/>
      </c>
      <c r="DA22" s="40" t="str">
        <f t="shared" si="34"/>
        <v/>
      </c>
      <c r="DB22" s="40" t="str">
        <f t="shared" si="35"/>
        <v/>
      </c>
      <c r="DC22" s="40" t="str">
        <f t="shared" si="36"/>
        <v/>
      </c>
      <c r="DD22" s="50" t="str">
        <f t="shared" si="37"/>
        <v/>
      </c>
      <c r="DE22" s="50" t="str">
        <f t="shared" si="38"/>
        <v/>
      </c>
      <c r="DF22" s="50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22">
        <f t="shared" si="136"/>
        <v>0</v>
      </c>
      <c r="QF22" s="22">
        <f t="shared" si="137"/>
        <v>0</v>
      </c>
      <c r="QG22" s="22">
        <f t="shared" si="138"/>
        <v>0</v>
      </c>
      <c r="QH22" s="22">
        <f t="shared" si="139"/>
        <v>0</v>
      </c>
      <c r="QI22" s="22">
        <f t="shared" si="140"/>
        <v>0</v>
      </c>
      <c r="QJ22" s="22">
        <f t="shared" si="141"/>
        <v>0</v>
      </c>
      <c r="QK22" s="22">
        <f t="shared" si="142"/>
        <v>0</v>
      </c>
      <c r="QL22" s="22">
        <f t="shared" si="143"/>
        <v>0</v>
      </c>
      <c r="QM22" s="22">
        <f t="shared" si="144"/>
        <v>0</v>
      </c>
      <c r="QN22" s="22">
        <f t="shared" si="145"/>
        <v>0</v>
      </c>
      <c r="QO22" s="22">
        <f t="shared" si="146"/>
        <v>0</v>
      </c>
      <c r="QP22" s="22">
        <f t="shared" si="147"/>
        <v>0</v>
      </c>
      <c r="QQ22" s="22">
        <f t="shared" si="148"/>
        <v>0</v>
      </c>
      <c r="QR22" s="22">
        <f t="shared" si="149"/>
        <v>0</v>
      </c>
      <c r="QS22" s="22">
        <f t="shared" si="150"/>
        <v>0</v>
      </c>
      <c r="QT22" s="22">
        <f t="shared" si="151"/>
        <v>0</v>
      </c>
      <c r="QU22" s="22">
        <f t="shared" si="152"/>
        <v>0</v>
      </c>
      <c r="QV22" s="22">
        <f t="shared" si="153"/>
        <v>0</v>
      </c>
      <c r="QW22" s="22">
        <f t="shared" si="154"/>
        <v>0</v>
      </c>
      <c r="QX22" s="22">
        <f t="shared" si="155"/>
        <v>0</v>
      </c>
      <c r="QY22" s="27" t="s">
        <v>46</v>
      </c>
      <c r="QZ22" s="40" t="str">
        <f t="shared" si="156"/>
        <v/>
      </c>
      <c r="RA22" s="40" t="str">
        <f t="shared" si="157"/>
        <v/>
      </c>
      <c r="RB22" s="40" t="str">
        <f t="shared" si="158"/>
        <v/>
      </c>
      <c r="RC22" s="40" t="str">
        <f t="shared" si="159"/>
        <v/>
      </c>
      <c r="RD22" s="40" t="str">
        <f t="shared" si="160"/>
        <v/>
      </c>
      <c r="RE22" s="40" t="str">
        <f t="shared" si="161"/>
        <v/>
      </c>
      <c r="RF22" s="40" t="str">
        <f t="shared" si="162"/>
        <v/>
      </c>
      <c r="RG22" s="40" t="str">
        <f t="shared" si="163"/>
        <v/>
      </c>
    </row>
    <row r="23" spans="1:475" ht="17" x14ac:dyDescent="0.2">
      <c r="R23" s="10"/>
      <c r="S23" s="10"/>
      <c r="T23" s="10"/>
    </row>
    <row r="24" spans="1:475" ht="17" x14ac:dyDescent="0.2">
      <c r="R24" s="10"/>
      <c r="S24" s="10"/>
      <c r="T24" s="10"/>
    </row>
    <row r="25" spans="1:475" ht="17" x14ac:dyDescent="0.2">
      <c r="B25" s="23" t="s">
        <v>44</v>
      </c>
      <c r="R25" s="10"/>
      <c r="S25" s="10"/>
      <c r="T25" s="10"/>
      <c r="AP25" s="4"/>
      <c r="AW25" s="42">
        <v>7.2</v>
      </c>
      <c r="BS25" s="4"/>
      <c r="BZ25" s="42">
        <v>7.2</v>
      </c>
      <c r="CV25" s="4"/>
      <c r="DC25" s="42">
        <v>8</v>
      </c>
      <c r="EA25" s="4"/>
      <c r="EH25" s="42">
        <v>7.2</v>
      </c>
      <c r="FC25" s="4"/>
      <c r="FJ25" s="42">
        <v>7.2</v>
      </c>
      <c r="GE25" s="4"/>
      <c r="GL25" s="42">
        <v>7.2</v>
      </c>
      <c r="HG25" s="4"/>
      <c r="HN25" s="42">
        <v>7.2</v>
      </c>
      <c r="II25" s="4"/>
      <c r="IP25" s="42">
        <v>8</v>
      </c>
      <c r="JK25" s="4"/>
      <c r="JR25" s="42">
        <v>8</v>
      </c>
      <c r="KM25" s="4"/>
      <c r="KT25" s="42">
        <v>8</v>
      </c>
      <c r="LO25" s="4"/>
      <c r="LV25" s="42">
        <v>8</v>
      </c>
      <c r="MQ25" s="4"/>
      <c r="MX25" s="42">
        <v>8</v>
      </c>
      <c r="NS25" s="4"/>
      <c r="NZ25" s="42">
        <v>8</v>
      </c>
      <c r="OU25" s="4"/>
      <c r="PB25" s="42">
        <v>8</v>
      </c>
      <c r="PW25" s="4"/>
      <c r="QD25" s="42">
        <v>8</v>
      </c>
    </row>
    <row r="26" spans="1:475" ht="17" hidden="1" x14ac:dyDescent="0.2">
      <c r="B26" s="30" t="s">
        <v>43</v>
      </c>
      <c r="R26" s="10"/>
      <c r="S26" s="10"/>
      <c r="T26" s="10"/>
      <c r="AP26" s="4"/>
      <c r="AW26" s="51">
        <v>1000</v>
      </c>
      <c r="BS26" s="4"/>
      <c r="BZ26" s="51">
        <v>1000</v>
      </c>
      <c r="CV26" s="4"/>
      <c r="DC26" s="51">
        <v>1000</v>
      </c>
      <c r="EA26" s="4"/>
      <c r="EH26" s="51">
        <v>1000</v>
      </c>
      <c r="FC26" s="4"/>
      <c r="FJ26" s="51">
        <v>1000</v>
      </c>
      <c r="GE26" s="4"/>
      <c r="GL26" s="51">
        <v>1000</v>
      </c>
      <c r="HG26" s="4"/>
      <c r="HN26" s="51">
        <v>1000</v>
      </c>
      <c r="II26" s="4"/>
      <c r="IP26" s="51">
        <v>1000</v>
      </c>
      <c r="JK26" s="4"/>
      <c r="JR26" s="51">
        <v>1000</v>
      </c>
      <c r="KM26" s="4"/>
      <c r="KT26" s="51">
        <v>1000</v>
      </c>
      <c r="LO26" s="4"/>
      <c r="LV26" s="51">
        <v>1000</v>
      </c>
      <c r="MQ26" s="4"/>
      <c r="MX26" s="51">
        <v>1000</v>
      </c>
      <c r="NS26" s="4"/>
      <c r="NZ26" s="51">
        <v>1000</v>
      </c>
      <c r="OU26" s="4"/>
      <c r="PB26" s="51">
        <v>1000</v>
      </c>
      <c r="PW26" s="4"/>
      <c r="QD26" s="51">
        <v>1000</v>
      </c>
    </row>
    <row r="27" spans="1:475" ht="17" hidden="1" x14ac:dyDescent="0.2">
      <c r="A27" s="5"/>
      <c r="B27" s="31" t="s">
        <v>55</v>
      </c>
      <c r="C27" s="20"/>
      <c r="R27" s="10"/>
      <c r="S27" s="10"/>
      <c r="T27" s="10"/>
      <c r="AP27" s="4"/>
      <c r="AW27" s="43">
        <v>1000</v>
      </c>
      <c r="BS27" s="4"/>
      <c r="BZ27" s="43">
        <v>1000</v>
      </c>
      <c r="CV27" s="4"/>
      <c r="DC27" s="43">
        <v>1000</v>
      </c>
      <c r="EA27" s="4"/>
      <c r="EH27" s="43">
        <v>1000</v>
      </c>
      <c r="FC27" s="4"/>
      <c r="FJ27" s="43">
        <v>1000</v>
      </c>
      <c r="GE27" s="4"/>
      <c r="GL27" s="43">
        <v>1000</v>
      </c>
      <c r="HG27" s="4"/>
      <c r="HN27" s="43">
        <v>1000</v>
      </c>
      <c r="II27" s="4"/>
      <c r="IP27" s="43">
        <v>1000</v>
      </c>
      <c r="JK27" s="4"/>
      <c r="JR27" s="43">
        <v>1000</v>
      </c>
      <c r="KM27" s="4"/>
      <c r="KT27" s="43">
        <v>1000</v>
      </c>
      <c r="LO27" s="4"/>
      <c r="LV27" s="43">
        <v>1000</v>
      </c>
      <c r="MQ27" s="4"/>
      <c r="MX27" s="43">
        <v>1000</v>
      </c>
      <c r="NS27" s="4"/>
      <c r="NZ27" s="43">
        <v>1000</v>
      </c>
      <c r="OU27" s="4"/>
      <c r="PB27" s="43">
        <v>1000</v>
      </c>
      <c r="PW27" s="4"/>
      <c r="QD27" s="43">
        <v>1000</v>
      </c>
    </row>
    <row r="28" spans="1:475" ht="17" hidden="1" x14ac:dyDescent="0.2">
      <c r="A28" s="5"/>
      <c r="B28" s="35" t="s">
        <v>62</v>
      </c>
      <c r="C28" s="20"/>
      <c r="R28" s="10"/>
      <c r="S28" s="10"/>
      <c r="T28" s="10"/>
      <c r="AP28" s="4"/>
      <c r="AW28" s="44">
        <v>1000</v>
      </c>
      <c r="BS28" s="4"/>
      <c r="BZ28" s="44">
        <v>1000</v>
      </c>
      <c r="CV28" s="4"/>
      <c r="DC28" s="44">
        <v>1000</v>
      </c>
      <c r="EA28" s="4"/>
      <c r="EH28" s="44">
        <v>1000</v>
      </c>
      <c r="FC28" s="4"/>
      <c r="FJ28" s="44">
        <v>1000</v>
      </c>
      <c r="GE28" s="4"/>
      <c r="GL28" s="44">
        <v>1000</v>
      </c>
      <c r="HG28" s="4"/>
      <c r="HN28" s="44">
        <v>1000</v>
      </c>
      <c r="II28" s="4"/>
      <c r="IP28" s="44">
        <v>1000</v>
      </c>
      <c r="JK28" s="4"/>
      <c r="JR28" s="44">
        <v>1000</v>
      </c>
      <c r="KM28" s="4"/>
      <c r="KT28" s="44">
        <v>1000</v>
      </c>
      <c r="LO28" s="4"/>
      <c r="LV28" s="44">
        <v>1000</v>
      </c>
      <c r="MQ28" s="4"/>
      <c r="MX28" s="44">
        <v>1000</v>
      </c>
      <c r="NS28" s="4"/>
      <c r="NZ28" s="44">
        <v>1000</v>
      </c>
      <c r="OU28" s="4"/>
      <c r="PB28" s="44">
        <v>1000</v>
      </c>
      <c r="PW28" s="4"/>
      <c r="QD28" s="44">
        <v>1000</v>
      </c>
    </row>
    <row r="29" spans="1:475" ht="17" x14ac:dyDescent="0.2">
      <c r="A29" s="5"/>
      <c r="B29" s="34" t="s">
        <v>41</v>
      </c>
      <c r="C29" s="20"/>
      <c r="R29" s="10"/>
      <c r="S29" s="10"/>
      <c r="T29" s="10"/>
      <c r="AP29" s="4"/>
      <c r="AW29" s="45">
        <v>42.4</v>
      </c>
      <c r="BS29" s="4"/>
      <c r="BZ29" s="45">
        <v>42.4</v>
      </c>
      <c r="CV29" s="4"/>
      <c r="DC29" s="45">
        <v>42.1</v>
      </c>
      <c r="EA29" s="4"/>
      <c r="EH29" s="45">
        <v>42.4</v>
      </c>
      <c r="FC29" s="4"/>
      <c r="FJ29" s="45">
        <v>42.4</v>
      </c>
      <c r="GE29" s="4"/>
      <c r="GL29" s="45">
        <v>42.4</v>
      </c>
      <c r="HG29" s="4"/>
      <c r="HN29" s="45">
        <v>42.4</v>
      </c>
      <c r="II29" s="4"/>
      <c r="IP29" s="45">
        <v>42.1</v>
      </c>
      <c r="JK29" s="4"/>
      <c r="JR29" s="45">
        <v>42.1</v>
      </c>
      <c r="KM29" s="4"/>
      <c r="KT29" s="45">
        <v>42.1</v>
      </c>
      <c r="LO29" s="4"/>
      <c r="LV29" s="45">
        <v>42.1</v>
      </c>
      <c r="MQ29" s="4"/>
      <c r="MX29" s="45">
        <v>42.1</v>
      </c>
      <c r="NS29" s="4"/>
      <c r="NZ29" s="45">
        <v>42.1</v>
      </c>
      <c r="OU29" s="4"/>
      <c r="PB29" s="45">
        <v>42.1</v>
      </c>
      <c r="PW29" s="4"/>
      <c r="QD29" s="45">
        <v>42.1</v>
      </c>
    </row>
    <row r="30" spans="1:475" ht="17" hidden="1" x14ac:dyDescent="0.2">
      <c r="A30" s="5"/>
      <c r="B30" s="24" t="s">
        <v>42</v>
      </c>
      <c r="C30" s="20"/>
      <c r="R30" s="10"/>
      <c r="S30" s="10"/>
      <c r="T30" s="10"/>
      <c r="AP30" s="4"/>
      <c r="AW30" s="46">
        <v>1000</v>
      </c>
      <c r="BS30" s="4"/>
      <c r="BZ30" s="46">
        <v>1000</v>
      </c>
      <c r="CV30" s="4"/>
      <c r="DC30" s="46">
        <v>1000</v>
      </c>
      <c r="EA30" s="4"/>
      <c r="EH30" s="46">
        <v>1000</v>
      </c>
      <c r="FC30" s="4"/>
      <c r="FJ30" s="46">
        <v>1000</v>
      </c>
      <c r="GE30" s="4"/>
      <c r="GL30" s="46">
        <v>1000</v>
      </c>
      <c r="HG30" s="4"/>
      <c r="HN30" s="46">
        <v>1000</v>
      </c>
      <c r="II30" s="4"/>
      <c r="IP30" s="46">
        <v>1000</v>
      </c>
      <c r="JK30" s="4"/>
      <c r="JR30" s="46">
        <v>1000</v>
      </c>
      <c r="KM30" s="4"/>
      <c r="KT30" s="46">
        <v>1000</v>
      </c>
      <c r="LO30" s="4"/>
      <c r="LV30" s="46">
        <v>1000</v>
      </c>
      <c r="MQ30" s="4"/>
      <c r="MX30" s="46">
        <v>1000</v>
      </c>
      <c r="NS30" s="4"/>
      <c r="NZ30" s="46">
        <v>1000</v>
      </c>
      <c r="OU30" s="4"/>
      <c r="PB30" s="46">
        <v>1000</v>
      </c>
      <c r="PW30" s="4"/>
      <c r="QD30" s="46">
        <v>1000</v>
      </c>
    </row>
    <row r="31" spans="1:475" ht="17" hidden="1" x14ac:dyDescent="0.2">
      <c r="A31" s="5"/>
      <c r="B31" s="33" t="s">
        <v>54</v>
      </c>
      <c r="C31" s="20"/>
      <c r="R31" s="10"/>
      <c r="S31" s="10"/>
      <c r="T31" s="10"/>
      <c r="AP31" s="4"/>
      <c r="AW31" s="47">
        <v>1000</v>
      </c>
      <c r="BS31" s="4"/>
      <c r="BZ31" s="47">
        <v>1000</v>
      </c>
      <c r="CV31" s="4"/>
      <c r="DC31" s="47">
        <v>1000</v>
      </c>
      <c r="EA31" s="4"/>
      <c r="EH31" s="47">
        <v>1000</v>
      </c>
      <c r="FC31" s="4"/>
      <c r="FJ31" s="47">
        <v>1000</v>
      </c>
      <c r="GE31" s="4"/>
      <c r="GL31" s="47">
        <v>1000</v>
      </c>
      <c r="HG31" s="4"/>
      <c r="HN31" s="47">
        <v>1000</v>
      </c>
      <c r="II31" s="4"/>
      <c r="IP31" s="47">
        <v>1000</v>
      </c>
      <c r="JK31" s="4"/>
      <c r="JR31" s="47">
        <v>1000</v>
      </c>
      <c r="KM31" s="4"/>
      <c r="KT31" s="47">
        <v>1000</v>
      </c>
      <c r="LO31" s="4"/>
      <c r="LV31" s="47">
        <v>1000</v>
      </c>
      <c r="MQ31" s="4"/>
      <c r="MX31" s="47">
        <v>1000</v>
      </c>
      <c r="NS31" s="4"/>
      <c r="NZ31" s="47">
        <v>1000</v>
      </c>
      <c r="OU31" s="4"/>
      <c r="PB31" s="47">
        <v>1000</v>
      </c>
      <c r="PW31" s="4"/>
      <c r="QD31" s="47">
        <v>1000</v>
      </c>
    </row>
    <row r="32" spans="1:475" ht="17" hidden="1" x14ac:dyDescent="0.2">
      <c r="A32" s="5"/>
      <c r="B32" s="25" t="s">
        <v>27</v>
      </c>
      <c r="C32" s="20"/>
      <c r="R32" s="10"/>
      <c r="S32" s="10"/>
      <c r="T32" s="10"/>
      <c r="AP32" s="4"/>
      <c r="AW32" s="48">
        <v>1000</v>
      </c>
      <c r="BS32" s="4"/>
      <c r="BZ32" s="48">
        <v>1000</v>
      </c>
      <c r="CV32" s="4"/>
      <c r="DC32" s="48">
        <v>1000</v>
      </c>
      <c r="EA32" s="4"/>
      <c r="EH32" s="48">
        <v>1000</v>
      </c>
      <c r="FC32" s="4"/>
      <c r="FJ32" s="48">
        <v>1000</v>
      </c>
      <c r="GE32" s="4"/>
      <c r="GL32" s="48">
        <v>1000</v>
      </c>
      <c r="HG32" s="4"/>
      <c r="HN32" s="48">
        <v>1000</v>
      </c>
      <c r="II32" s="4"/>
      <c r="IP32" s="48">
        <v>1000</v>
      </c>
      <c r="JK32" s="4"/>
      <c r="JR32" s="48">
        <v>1000</v>
      </c>
      <c r="KM32" s="4"/>
      <c r="KT32" s="48">
        <v>1000</v>
      </c>
      <c r="LO32" s="4"/>
      <c r="LV32" s="48">
        <v>1000</v>
      </c>
      <c r="MQ32" s="4"/>
      <c r="MX32" s="48">
        <v>1000</v>
      </c>
      <c r="NS32" s="4"/>
      <c r="NZ32" s="48">
        <v>1000</v>
      </c>
      <c r="OU32" s="4"/>
      <c r="PB32" s="48">
        <v>1000</v>
      </c>
      <c r="PW32" s="4"/>
      <c r="QD32" s="48">
        <v>1000</v>
      </c>
    </row>
    <row r="33" spans="1:456" x14ac:dyDescent="0.2">
      <c r="B33" s="29" t="s">
        <v>47</v>
      </c>
      <c r="C33" s="2"/>
    </row>
    <row r="34" spans="1:456" x14ac:dyDescent="0.2">
      <c r="A34" s="5"/>
      <c r="B34" s="5"/>
      <c r="C34" s="20"/>
      <c r="QF34" s="2"/>
      <c r="QG34" s="2"/>
      <c r="QH34" s="2"/>
      <c r="QI34" s="2"/>
      <c r="QJ34" s="2"/>
      <c r="QK34" s="2"/>
      <c r="QL34" s="2"/>
      <c r="QM34" s="2"/>
      <c r="QN34" s="2"/>
    </row>
    <row r="35" spans="1:456" x14ac:dyDescent="0.2">
      <c r="A35" s="5"/>
      <c r="B35" s="5"/>
      <c r="C35" s="20"/>
    </row>
    <row r="36" spans="1:456" x14ac:dyDescent="0.2">
      <c r="A36" s="5"/>
      <c r="B36" s="5"/>
      <c r="C36" s="20"/>
    </row>
    <row r="37" spans="1:456" x14ac:dyDescent="0.2">
      <c r="A37" s="5"/>
      <c r="B37" s="5"/>
      <c r="C37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3">
      <sortCondition descending="1" ref="F1:F2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2">
    <cfRule type="expression" dxfId="83" priority="28" stopIfTrue="1">
      <formula>IF($AO4&lt;&gt;"",1,0)</formula>
    </cfRule>
  </conditionalFormatting>
  <conditionalFormatting sqref="AX4:BZ2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3:AT1048576 BW33:BW1048576 EE33:EE1048576 BW1:BW31 CZ1:CZ1048576 EE1:EE31 FG1:FG1048576 GI1:GI1048576 HK1:HK1048576 IM1:IM1048576 JO1:JO1048576 KQ1:KQ1048576 LS1:LS1048576 MU1:MU1048576 NW1:NW1048576 OY1:OY1048576 QA1:QA1048576 AT1:AT31">
    <cfRule type="cellIs" dxfId="71" priority="14" operator="between">
      <formula>AW$32</formula>
      <formula>1000</formula>
    </cfRule>
    <cfRule type="cellIs" dxfId="70" priority="15" operator="between">
      <formula>AW$31</formula>
      <formula>AW$32</formula>
    </cfRule>
    <cfRule type="cellIs" dxfId="69" priority="16" operator="between">
      <formula>AW$30</formula>
      <formula>AW$31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9027" operator="between">
      <formula>AW$25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9072" operator="between">
      <formula>AW$29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9117" operator="between">
      <formula>AW$25</formula>
      <formula>AW$26</formula>
    </cfRule>
    <cfRule type="cellIs" dxfId="65" priority="109118" operator="between">
      <formula>AW$26</formula>
      <formula>AW$27</formula>
    </cfRule>
    <cfRule type="cellIs" dxfId="64" priority="109119" operator="between">
      <formula>AW$27</formula>
      <formula>AW$28</formula>
    </cfRule>
    <cfRule type="cellIs" dxfId="63" priority="109120" operator="between">
      <formula>AW$28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9297" operator="between">
      <formula>AW$29</formula>
      <formula>AW$30</formula>
    </cfRule>
    <cfRule type="cellIs" dxfId="61" priority="109298" operator="between">
      <formula>AW$30</formula>
      <formula>AW$31</formula>
    </cfRule>
    <cfRule type="cellIs" dxfId="60" priority="109299" operator="between">
      <formula>AW$31</formula>
      <formula>AW$32</formula>
    </cfRule>
    <cfRule type="cellIs" dxfId="59" priority="109300" operator="between">
      <formula>AW$32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9477" operator="between">
      <formula>AW$28</formula>
      <formula>1000</formula>
    </cfRule>
    <cfRule type="cellIs" dxfId="57" priority="109478" operator="between">
      <formula>AW$27</formula>
      <formula>AW$28</formula>
    </cfRule>
    <cfRule type="cellIs" dxfId="56" priority="109479" operator="between">
      <formula>AW$26</formula>
      <formula>AW$27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114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192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113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128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131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133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216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215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217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IF(AND(F4="P",G4="P"),SUMPRODUCT((F$4:F$36="P")*(G$4:G$36="P")*(E$4:E$36&gt;E4))+1,IF(G4="P",SUMPRODUCT((F$4:F$36="")*(G$4:G$36="P")*(E$4:E$36&gt;E4))+1+SUMPRODUCT((F$4:F$36="P")*(G$4:G$36="P")),""))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203.30001437600589</v>
      </c>
      <c r="F4" s="3" t="str">
        <f t="shared" ref="F4:F35" si="0"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EA4&gt;=EH$38,EB4&gt;=EH$42,EA4&lt;&gt;""),AND(EF4&gt;=EH$38,EG4&gt;=EH$42,EF4&lt;&gt;""),AND(FC4&gt;=FJ$38,FD4&gt;=FJ$42,FC4&lt;&gt;""),AND(FH4&gt;=FJ$38,FI4&gt;=FJ$42,FH4&lt;&gt;""),AND(GE4&gt;=GL$38,GF4&gt;=GL$42,GE4&lt;&gt;""),AND(GJ4&gt;=GL$38,GK4&gt;=GL$42,GJ4&lt;&gt;""),AND(HG4&gt;=HN$38,HH4&gt;=HN$42,HG4&lt;&gt;""),AND(HL4&gt;=HN$38,HM4&gt;=HN$42,HL4&lt;&gt;""),AND(II4&gt;=IP$38,IJ4&gt;=IP$42,II4&lt;&gt;""),AND(IN4&gt;=IP$38,IO4&gt;=IP$42,IN4&lt;&gt;""),AND(JK4&gt;=JR$38,JL4&gt;=JR$42,JK4&lt;&gt;""),AND(JP4&gt;=JR$38,JQ4&gt;=JR$42,JP4&lt;&gt;""),AND(KM4&gt;=KT$38,KN4&gt;=KT$42,KM4&lt;&gt;""),AND(KR4&gt;=KT$38,KS4&gt;=KT$42,KR4&lt;&gt;""),AND(LO4&gt;=LV$38,LP4&gt;=LV$42,LO4&lt;&gt;""),AND(LT4&gt;=LV$38,LU4&gt;=LV$42,LT4&lt;&gt;""),AND(MQ4&gt;=MX$38,MR4&gt;=MX$42,MQ4&lt;&gt;""),AND(MV4&gt;=MX$38,MW4&gt;=MX$42,MV4&lt;&gt;""),AND(NS4&gt;=NZ$38,NT4&gt;=NZ$42,NS4&lt;&gt;""),AND(NX4&gt;=NZ$38,NY4&gt;=NZ$42,NX4&lt;&gt;""),AND(OU4&gt;=PB$38,OV4&gt;=PB$42,OU4&lt;&gt;""),AND(OZ4&gt;=PB$38,PA4&gt;=PB$42,OZ4&lt;&gt;""),AND(PW4&gt;=QD$38,PX4&gt;=QD$42,PW4&lt;&gt;""),AND(QB4&gt;=QD$38,QC4&gt;=QD$42,QB4&lt;&gt;"")),"P","")</f>
        <v>P</v>
      </c>
      <c r="G4" s="3" t="str">
        <f t="shared" ref="G4:G35" si="1">IF(OR(AND(AQ4&gt;=AW$42,AQ4&lt;&gt;"",AO4=""),AND(AV4&gt;=AW$42,AV4&lt;&gt;"",AO4=""),AND(BT4&gt;=BZ$42,BT4&lt;&gt;"",BR4=""),AND(BY4&gt;=BZ$42,BY4&lt;&gt;"",BR4=""),AND(CW4&gt;=DC$42,CW4&lt;&gt;"",CU4=""),AND(DB4&gt;=DC$42,DB4&lt;&gt;"",CU4=""),AND(EB4&gt;=EH$42,EB4&lt;&gt;""),AND(EG4&gt;=EH$42,EG4&lt;&gt;""),AND(FD4&gt;=FJ$42,FD4&lt;&gt;""),AND(FI4&gt;=FJ$42,FI4&lt;&gt;""),AND(GF4&gt;=GL$42,GF4&lt;&gt;""),AND(GK4&gt;=GL$42,GK4&lt;&gt;""),AND(HH4&gt;=HN$42,HH4&lt;&gt;""),AND(HM4&gt;=HN$42,HM4&lt;&gt;""),AND(IJ4&gt;=IP$42,IJ4&lt;&gt;""),AND(IO4&gt;=IP$42,IO4&lt;&gt;""),AND(JL4&gt;=JR$42,JL4&lt;&gt;""),AND(JQ4&gt;=JR$42,JQ4&lt;&gt;""),AND(KN4&gt;=KT$42,KN4&lt;&gt;""),AND(KS4&gt;=KT$42,KS4&lt;&gt;""),AND(LP4&gt;=LV$42,LP4&lt;&gt;""),AND(LU4&gt;=LV$42,LU4&lt;&gt;""),AND(MR4&gt;=MX$42,MR4&lt;&gt;""),AND(MW4&gt;=MX$42,MW4&lt;&gt;""),AND(NT4&gt;=NZ$42,NT4&lt;&gt;""),AND(NY4&gt;=NZ$42,NY4&lt;&gt;""),AND(OV4&gt;=PB$42,OV4&lt;&gt;""),AND(PA4&gt;=PB$42,PA4&lt;&gt;""),AND(PX4&gt;=QD$42,PX4&lt;&gt;""),AND(QC4&gt;=QD$42,QC4&lt;&gt;"")),"P","")</f>
        <v>P</v>
      </c>
      <c r="H4" s="36" t="str">
        <f t="shared" ref="H4:H35" si="2">IF(AND(G4="P",F4=""),"No DD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Merit",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Excellence",IF(I4="P","Worlds Team",IF(F4="P","National Team","")))))</f>
        <v>National Team</v>
      </c>
      <c r="I4" s="3" t="str">
        <f t="shared" ref="I4:I35" si="3">IF(OR(AND(AS4&gt;=AW$39,AT4&gt;=AW$43,AS4&lt;&gt;"",AO4=""),AND(BV4&gt;=BZ$39,BW4&gt;=BZ$43,BV4&lt;&gt;"",BR4=""),AND(CY4&gt;=DC$39,CZ4&gt;=DC$43,CY4&lt;&gt;"",CU4=""),AND(ED4&gt;=EH$39,EE4&gt;=EH$43,ED4&lt;&gt;""),AND(FF4&gt;=FJ$39,FG4&gt;=FJ$43,FF4&lt;&gt;""),AND(GH4&gt;=GL$39,GI4&gt;=GL$43,GH4&lt;&gt;""),AND(HJ4&gt;=HN$39,HK4&gt;=HN$43,HJ4&lt;&gt;""),AND(IL4&gt;=IP$39,IM4&gt;=IP$43,IL4&lt;&gt;""),AND(JN4&gt;=JR$39,JO4&gt;=JR$43,JN4&lt;&gt;""),AND(KP4&gt;=KT$39,KQ4&gt;=KT$43,KP4&lt;&gt;""),AND(LR4&gt;=LV$39,LS4&gt;=LV$43,LR4&lt;&gt;""),AND(MT4&gt;=MX$39,MU4&gt;=MX$43,MT4&lt;&gt;""),AND(NV4&gt;=NZ$39,NW4&gt;=NZ$43,NV4&lt;&gt;""),AND(OX4&gt;=PB$39,OY4&gt;=PB$43,OX4&lt;&gt;""),AND(PZ4&gt;=QD$39,QA4&gt;=QD$43,PZ4&lt;&gt;"")),"P","")</f>
        <v/>
      </c>
      <c r="J4" s="8">
        <f>IF(COUNT(AQ4,BT4,CW4)&gt;0,LARGE((AQ4,BT4,CW4),1),0)</f>
        <v>58.699999999999996</v>
      </c>
      <c r="K4" s="8" t="str">
        <f t="shared" ref="K4:K35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35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35" si="6">IF(N4=0,"",IF(N4=CX4,$CA$1,IF(N4=BU4,$AX$1,IF(N4=AR4,$U$1,""))))</f>
        <v>2022 Nationals</v>
      </c>
      <c r="P4" s="8">
        <f t="shared" ref="P4:P35" si="7">IF(MAX(AV4,BY4,DB4)&gt;0,MAX(AV4,BY4,DB4),0)</f>
        <v>58.800000000000004</v>
      </c>
      <c r="Q4" s="8" t="str">
        <f t="shared" ref="Q4:Q35" si="8">IF(P4=0,"",IF(P4=DB4,$CA$1,IF(P4=BY4,$AX$1,IF(P4=AV4,$U$1,""))))</f>
        <v>2023 Elite Canada</v>
      </c>
      <c r="R4" s="8">
        <f t="shared" ref="R4:R35" si="9">IF(MAX(DD4:DF4)&gt;0,MAX(DD4:DF4),"")</f>
        <v>0.73999999999998778</v>
      </c>
      <c r="S4" s="11" t="str">
        <f t="shared" ref="S4:S35" si="10">IF(R4="","",IF(R4=DD4,"("&amp;DD$2&amp;")",IF(R4=DE4,"("&amp;DE$2&amp;")",IF(R4=DF4,"("&amp;DF$2&amp;")"))))</f>
        <v>(Q1)</v>
      </c>
      <c r="T4" s="8" t="str">
        <f t="shared" ref="T4:T35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 t="shared" ref="AP4:AP35" si="12">IF(SUM(V4,Z4)&gt;0,SUM(V4,Z4),"")</f>
        <v>18.799999999999997</v>
      </c>
      <c r="AQ4" s="40">
        <f t="shared" ref="AQ4:AQ35" si="13">IF(SUM(U4:V4,X4:Z4,AB4)-W4-AA4&gt;0,SUM(U4:V4,X4:Z4,AB4)-W4-AA4,"")</f>
        <v>54.9</v>
      </c>
      <c r="AR4" s="40">
        <f t="shared" ref="AR4:AR35" si="14">IF(SUM(AC4:AD4,AF4)-AE4&gt;0,SUM(AC4:AD4,AF4)-AE4,"")</f>
        <v>28.3</v>
      </c>
      <c r="AS4" s="40">
        <f t="shared" ref="AS4:AS35" si="15">IF(SUM(V4,Z4,AD4)&gt;0,SUM(V4,Z4,AD4),"")</f>
        <v>27.599999999999998</v>
      </c>
      <c r="AT4" s="40">
        <f t="shared" ref="AT4:AT35" si="16">IF(SUM(AQ4,AR4)&gt;0,SUM(AQ4,AR4),"")</f>
        <v>83.2</v>
      </c>
      <c r="AU4" s="40">
        <f t="shared" ref="AU4:AU35" si="17">IF(SUM(AH4,AL4)&gt;0,SUM(AH4,AL4),"")</f>
        <v>20.8</v>
      </c>
      <c r="AV4" s="40">
        <f t="shared" ref="AV4:AV35" si="18">IF(SUM(AG4:AH4,AJ4:AL4,AN4)-SUM(AI4,AM4)&gt;0,SUM(AG4:AH4,AJ4:AL4,AN4)-SUM(AI4,AM4),"")</f>
        <v>58.699999999999996</v>
      </c>
      <c r="AW4" s="40">
        <f t="shared" ref="AW4:AW35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 t="shared" ref="BS4:BS35" si="20">IF(SUM(AY4,BC4)&gt;0,SUM(AY4,BC4),"")</f>
        <v>20.100000000000001</v>
      </c>
      <c r="BT4" s="11">
        <f t="shared" ref="BT4:BT35" si="21">IF(SUM(AX4:AY4,BA4:BC4,BE4)-AZ4-BD4&gt;0,SUM(AX4:AY4,BA4:BC4,BE4)-AZ4-BD4,"")</f>
        <v>56.760000000000005</v>
      </c>
      <c r="BU4" s="11">
        <f t="shared" ref="BU4:BU35" si="22">IF(SUM(BF4:BG4,BI4)-BH4&gt;0,SUM(BF4:BG4,BI4)-BH4,"")</f>
        <v>21.200000000000003</v>
      </c>
      <c r="BV4" s="11">
        <f t="shared" ref="BV4:BV35" si="23">IF(SUM(AY4,BC4,BG4)&gt;0,SUM(AY4,BC4,BG4),"")</f>
        <v>23.700000000000003</v>
      </c>
      <c r="BW4" s="11">
        <f t="shared" ref="BW4:BW35" si="24">IF(SUM(BT4,BU4)&gt;0,SUM(BT4,BU4),"")</f>
        <v>77.960000000000008</v>
      </c>
      <c r="BX4" s="11">
        <f t="shared" ref="BX4:BX35" si="25">IF(SUM(BK4,BO4)&gt;0,SUM(BK4,BO4),"")</f>
        <v>14.399999999999999</v>
      </c>
      <c r="BY4" s="11">
        <f t="shared" ref="BY4:BY35" si="26">IF(SUM(BJ4:BK4,BM4:BO4,BQ4)-SUM(BL4,BP4)&gt;0,SUM(BJ4:BK4,BM4:BO4,BQ4)-SUM(BL4,BP4),"")</f>
        <v>50.800000000000004</v>
      </c>
      <c r="BZ4" s="11">
        <f t="shared" ref="BZ4:BZ35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 t="shared" ref="CV4:CV35" si="28">IF(SUM(CB4,CF4)&gt;0,SUM(CB4,CF4),"")</f>
        <v>20.8</v>
      </c>
      <c r="CW4" s="40">
        <f t="shared" ref="CW4:CW35" si="29">IF(SUM(CA4:CB4,CD4:CF4,CH4)-CC4-CG4&gt;0,SUM(CA4:CB4,CD4:CF4,CH4)-CC4-CG4,"")</f>
        <v>58.699999999999996</v>
      </c>
      <c r="CX4" s="40">
        <f t="shared" ref="CX4:CX35" si="30">IF(SUM(CI4:CJ4,CL4)-CK4&gt;0,SUM(CI4:CJ4,CL4)-CK4,"")</f>
        <v>27.6</v>
      </c>
      <c r="CY4" s="40">
        <f t="shared" ref="CY4:CY35" si="31">IF(SUM(CB4,CF4,CJ4)&gt;0,SUM(CB4,CF4,CJ4),"")</f>
        <v>29.200000000000003</v>
      </c>
      <c r="CZ4" s="40">
        <f t="shared" ref="CZ4:CZ35" si="32">IF(SUM(CW4,CX4)&gt;0,SUM(CW4,CX4),"")</f>
        <v>86.3</v>
      </c>
      <c r="DA4" s="40">
        <f t="shared" ref="DA4:DA35" si="33">IF(SUM(CN4,CR4)&gt;0,SUM(CN4,CR4),"")</f>
        <v>20.8</v>
      </c>
      <c r="DB4" s="40">
        <f t="shared" ref="DB4:DB35" si="34">IF(SUM(CM4:CN4,CP4:CR4,CT4)-SUM(CO4,CS4)&gt;0,SUM(CM4:CN4,CP4:CR4,CT4)-SUM(CO4,CS4),"")</f>
        <v>58.800000000000004</v>
      </c>
      <c r="DC4" s="40">
        <f t="shared" ref="DC4:DC35" si="35">IF(SUM(CW4,DB4)&gt;0,SUM(CW4,DB4),"")</f>
        <v>117.5</v>
      </c>
      <c r="DD4" s="50">
        <f t="shared" ref="DD4:DD35" si="36">IF(MAX(EB4,FD4,GF4,HH4,IJ4,JL4,KN4,LP4,MR4,NT4,OV4,PX4)-IF(L4="",0,L4)&gt;0.001,MAX(EB4,FD4,GF4,HH4,IJ4,JL4,KN4,LP4,MR4,NT4,OV4,PX4)-IF(L4="",0,L4),"")</f>
        <v>0.73999999999998778</v>
      </c>
      <c r="DE4" s="50" t="str">
        <f t="shared" ref="DE4:DE35" si="37">IF(MAX(EC4,FE4,GG4,HI4,IK4,JM4,KO4,LQ4,MS4,NU4,OW4,PY4)-IF(N4="",0,N4)&gt;0.001,MAX(EC4,FE4,GG4,HI4,IK4,JM4,KO4,LQ4,MS4,NU4,OW4,PY4)-IF(N4="",0,N4),"")</f>
        <v/>
      </c>
      <c r="DF4" s="50" t="str">
        <f t="shared" ref="DF4:DF35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35" si="39">IF(SUM(DH4,DL4)&gt;0,SUM(DH4,DL4),"")</f>
        <v/>
      </c>
      <c r="EB4" s="40" t="str">
        <f t="shared" ref="EB4:EB35" si="40">IF(SUM(DG4:DH4,DJ4:DL4,DN4)-DI4-DM4&gt;0,SUM(DG4:DH4,DJ4:DL4,DN4)-DI4-DM4,"")</f>
        <v/>
      </c>
      <c r="EC4" s="40" t="str">
        <f t="shared" ref="EC4:EC35" si="41">IF(SUM(DO4:DP4,DR4)-DQ4&gt;0,SUM(DO4:DP4,DR4)-DQ4,"")</f>
        <v/>
      </c>
      <c r="ED4" s="40" t="str">
        <f t="shared" ref="ED4:ED35" si="42">IF(SUM(DH4,DL4,DP4)&gt;0,SUM(DH4,DL4,DP4),"")</f>
        <v/>
      </c>
      <c r="EE4" s="40" t="str">
        <f t="shared" ref="EE4:EE35" si="43">IF(SUM(EB4,EC4)&gt;0,SUM(EB4,EC4),"")</f>
        <v/>
      </c>
      <c r="EF4" s="40" t="str">
        <f t="shared" ref="EF4:EF35" si="44">IF(SUM(DT4,DX4)&gt;0,SUM(DT4,DX4),"")</f>
        <v/>
      </c>
      <c r="EG4" s="40" t="str">
        <f t="shared" ref="EG4:EG35" si="45">IF(SUM(DS4:DT4,DV4:DX4,DZ4)-SUM(DU4,DY4)&gt;0,SUM(DS4:DT4,DV4:DX4,DZ4)-SUM(DU4,DY4),"")</f>
        <v/>
      </c>
      <c r="EH4" s="40" t="str">
        <f t="shared" ref="EH4:EH35" si="46">IF(SUM(EB4,EG4)&gt;0,SUM(EB4,EG4),"")</f>
        <v/>
      </c>
      <c r="EI4" s="18">
        <v>19</v>
      </c>
      <c r="EJ4" s="18">
        <v>9.1999999999999993</v>
      </c>
      <c r="EK4" s="18">
        <v>0</v>
      </c>
      <c r="EL4" s="18">
        <v>0</v>
      </c>
      <c r="EM4" s="18">
        <v>18.8</v>
      </c>
      <c r="EN4" s="18">
        <v>8.4</v>
      </c>
      <c r="EO4" s="18">
        <v>0.6</v>
      </c>
      <c r="EP4" s="18">
        <v>0</v>
      </c>
      <c r="EQ4" s="18">
        <v>18</v>
      </c>
      <c r="ER4" s="18">
        <v>10.8</v>
      </c>
      <c r="ES4" s="18">
        <v>0.6</v>
      </c>
      <c r="ET4" s="18">
        <v>0</v>
      </c>
      <c r="EU4" s="18">
        <v>18.8</v>
      </c>
      <c r="EV4" s="18">
        <v>10</v>
      </c>
      <c r="EW4" s="18">
        <v>0.6</v>
      </c>
      <c r="EX4" s="18">
        <v>0</v>
      </c>
      <c r="EY4" s="18">
        <v>18.399999999999999</v>
      </c>
      <c r="EZ4" s="18">
        <v>10.8</v>
      </c>
      <c r="FA4" s="18">
        <v>0</v>
      </c>
      <c r="FB4" s="18">
        <v>0</v>
      </c>
      <c r="FC4" s="11">
        <f t="shared" ref="FC4:FC35" si="47">IF(SUM(EJ4,EN4)&gt;0,SUM(EJ4,EN4),"")</f>
        <v>17.600000000000001</v>
      </c>
      <c r="FD4" s="11">
        <f t="shared" ref="FD4:FD35" si="48">IF(SUM(EI4:EJ4,EL4:EN4,EP4)-EK4-EO4&gt;0,SUM(EI4:EJ4,EL4:EN4,EP4)-EK4-EO4,"")</f>
        <v>54.8</v>
      </c>
      <c r="FE4" s="11">
        <f t="shared" ref="FE4:FE35" si="49">IF(SUM(EQ4:ER4,ET4)-ES4&gt;0,SUM(EQ4:ER4,ET4)-ES4,"")</f>
        <v>28.2</v>
      </c>
      <c r="FF4" s="11">
        <f t="shared" ref="FF4:FF35" si="50">IF(SUM(EJ4,EN4,ER4)&gt;0,SUM(EJ4,EN4,ER4),"")</f>
        <v>28.400000000000002</v>
      </c>
      <c r="FG4" s="11">
        <f t="shared" ref="FG4:FG35" si="51">IF(SUM(FD4,FE4)&gt;0,SUM(FD4,FE4),"")</f>
        <v>83</v>
      </c>
      <c r="FH4" s="11">
        <f t="shared" ref="FH4:FH35" si="52">IF(SUM(EV4,EZ4)&gt;0,SUM(EV4,EZ4),"")</f>
        <v>20.8</v>
      </c>
      <c r="FI4" s="11">
        <f t="shared" ref="FI4:FI35" si="53">IF(SUM(EU4:EV4,EX4:EZ4,FB4)-SUM(EW4,FA4)&gt;0,SUM(EU4:EV4,EX4:EZ4,FB4)-SUM(EW4,FA4),"")</f>
        <v>57.4</v>
      </c>
      <c r="FJ4" s="11">
        <f t="shared" ref="FJ4:FJ35" si="54">IF(SUM(FD4,FI4)&gt;0,SUM(FD4,FI4),"")</f>
        <v>112.19999999999999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18.5</v>
      </c>
      <c r="GB4" s="17">
        <v>10</v>
      </c>
      <c r="GC4" s="17">
        <v>0</v>
      </c>
      <c r="GD4" s="17">
        <v>0</v>
      </c>
      <c r="GE4" s="40" t="str">
        <f t="shared" ref="GE4:GE35" si="55">IF(SUM(FL4,FP4)&gt;0,SUM(FL4,FP4),"")</f>
        <v/>
      </c>
      <c r="GF4" s="40" t="str">
        <f t="shared" ref="GF4:GF35" si="56">IF(SUM(FK4:FL4,FN4:FP4,FR4)-FM4-FQ4&gt;0,SUM(FK4:FL4,FN4:FP4,FR4)-FM4-FQ4,"")</f>
        <v/>
      </c>
      <c r="GG4" s="40" t="str">
        <f t="shared" ref="GG4:GG35" si="57">IF(SUM(FS4:FT4,FV4)-FU4&gt;0,SUM(FS4:FT4,FV4)-FU4,"")</f>
        <v/>
      </c>
      <c r="GH4" s="40" t="str">
        <f t="shared" ref="GH4:GH35" si="58">IF(SUM(FL4,FP4,FT4)&gt;0,SUM(FL4,FP4,FT4),"")</f>
        <v/>
      </c>
      <c r="GI4" s="40" t="str">
        <f t="shared" ref="GI4:GI35" si="59">IF(SUM(GF4,GG4)&gt;0,SUM(GF4,GG4),"")</f>
        <v/>
      </c>
      <c r="GJ4" s="40">
        <f t="shared" ref="GJ4:GJ35" si="60">IF(SUM(FX4,GB4)&gt;0,SUM(FX4,GB4),"")</f>
        <v>10</v>
      </c>
      <c r="GK4" s="40">
        <f t="shared" ref="GK4:GK35" si="61">IF(SUM(FW4:FX4,FZ4:GB4,GD4)-SUM(FY4,GC4)&gt;0,SUM(FW4:FX4,FZ4:GB4,GD4)-SUM(FY4,GC4),"")</f>
        <v>28.5</v>
      </c>
      <c r="GL4" s="40">
        <f t="shared" ref="GL4:GL35" si="62">IF(SUM(GF4,GK4)&gt;0,SUM(GF4,GK4),"")</f>
        <v>28.5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</v>
      </c>
      <c r="HD4" s="18">
        <v>10.8</v>
      </c>
      <c r="HE4" s="18">
        <v>0.6</v>
      </c>
      <c r="HF4" s="18">
        <v>0</v>
      </c>
      <c r="HG4" s="11" t="str">
        <f t="shared" ref="HG4:HG35" si="63">IF(SUM(GN4,GR4)&gt;0,SUM(GN4,GR4),"")</f>
        <v/>
      </c>
      <c r="HH4" s="11" t="str">
        <f t="shared" ref="HH4:HH35" si="64">IF(SUM(GM4:GN4,GP4:GR4,GT4)-GO4-GS4&gt;0,SUM(GM4:GN4,GP4:GR4,GT4)-GO4-GS4,"")</f>
        <v/>
      </c>
      <c r="HI4" s="11" t="str">
        <f t="shared" ref="HI4:HI35" si="65">IF(SUM(GU4:GV4,GX4)-GW4&gt;0,SUM(GU4:GV4,GX4)-GW4,"")</f>
        <v/>
      </c>
      <c r="HJ4" s="11" t="str">
        <f t="shared" ref="HJ4:HJ35" si="66">IF(SUM(GN4,GR4,GV4)&gt;0,SUM(GN4,GR4,GV4),"")</f>
        <v/>
      </c>
      <c r="HK4" s="11" t="str">
        <f t="shared" ref="HK4:HK35" si="67">IF(SUM(HH4,HI4)&gt;0,SUM(HH4,HI4),"")</f>
        <v/>
      </c>
      <c r="HL4" s="11">
        <f t="shared" ref="HL4:HL35" si="68">IF(SUM(GZ4,HD4)&gt;0,SUM(GZ4,HD4),"")</f>
        <v>10.8</v>
      </c>
      <c r="HM4" s="11">
        <f t="shared" ref="HM4:HM35" si="69">IF(SUM(GY4:GZ4,HB4:HD4,HF4)-SUM(HA4,HE4)&gt;0,SUM(GY4:GZ4,HB4:HD4,HF4)-SUM(HA4,HE4),"")</f>
        <v>28.2</v>
      </c>
      <c r="HN4" s="11">
        <f t="shared" ref="HN4:HN35" si="70">IF(SUM(HH4,HM4)&gt;0,SUM(HH4,HM4),"")</f>
        <v>28.2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35" si="71">IF(SUM(HP4,HT4)&gt;0,SUM(HP4,HT4),"")</f>
        <v/>
      </c>
      <c r="IJ4" s="40" t="str">
        <f t="shared" ref="IJ4:IJ35" si="72">IF(SUM(HO4:HP4,HR4:HT4,HV4)-HQ4-HU4&gt;0,SUM(HO4:HP4,HR4:HT4,HV4)-HQ4-HU4,"")</f>
        <v/>
      </c>
      <c r="IK4" s="40" t="str">
        <f t="shared" ref="IK4:IK35" si="73">IF(SUM(HW4:HX4,HZ4)-HY4&gt;0,SUM(HW4:HX4,HZ4)-HY4,"")</f>
        <v/>
      </c>
      <c r="IL4" s="40" t="str">
        <f t="shared" ref="IL4:IL35" si="74">IF(SUM(HP4,HT4,HX4)&gt;0,SUM(HP4,HT4,HX4),"")</f>
        <v/>
      </c>
      <c r="IM4" s="40" t="str">
        <f t="shared" ref="IM4:IM35" si="75">IF(SUM(IJ4,IK4)&gt;0,SUM(IJ4,IK4),"")</f>
        <v/>
      </c>
      <c r="IN4" s="40" t="str">
        <f t="shared" ref="IN4:IN35" si="76">IF(SUM(IB4,IF4)&gt;0,SUM(IB4,IF4),"")</f>
        <v/>
      </c>
      <c r="IO4" s="40" t="str">
        <f t="shared" ref="IO4:IO35" si="77">IF(SUM(IA4:IB4,ID4:IF4,IH4)-SUM(IC4,IG4)&gt;0,SUM(IA4:IB4,ID4:IF4,IH4)-SUM(IC4,IG4),"")</f>
        <v/>
      </c>
      <c r="IP4" s="40" t="str">
        <f t="shared" ref="IP4:IP35" si="78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35" si="79">IF(SUM(IR4,IV4)&gt;0,SUM(IR4,IV4),"")</f>
        <v/>
      </c>
      <c r="JL4" s="11" t="str">
        <f t="shared" ref="JL4:JL35" si="80">IF(SUM(IQ4:IR4,IT4:IV4,IX4)-IS4-IW4&gt;0,SUM(IQ4:IR4,IT4:IV4,IX4)-IS4-IW4,"")</f>
        <v/>
      </c>
      <c r="JM4" s="11" t="str">
        <f t="shared" ref="JM4:JM35" si="81">IF(SUM(IY4:IZ4,JB4)-JA4&gt;0,SUM(IY4:IZ4,JB4)-JA4,"")</f>
        <v/>
      </c>
      <c r="JN4" s="11" t="str">
        <f t="shared" ref="JN4:JN35" si="82">IF(SUM(IR4,IV4,IZ4)&gt;0,SUM(IR4,IV4,IZ4),"")</f>
        <v/>
      </c>
      <c r="JO4" s="11" t="str">
        <f t="shared" ref="JO4:JO35" si="83">IF(SUM(JL4,JM4)&gt;0,SUM(JL4,JM4),"")</f>
        <v/>
      </c>
      <c r="JP4" s="11" t="str">
        <f t="shared" ref="JP4:JP35" si="84">IF(SUM(JD4,JH4)&gt;0,SUM(JD4,JH4),"")</f>
        <v/>
      </c>
      <c r="JQ4" s="11" t="str">
        <f t="shared" ref="JQ4:JQ35" si="85">IF(SUM(JC4:JD4,JF4:JH4,JJ4)-SUM(JE4,JI4)&gt;0,SUM(JC4:JD4,JF4:JH4,JJ4)-SUM(JE4,JI4),"")</f>
        <v/>
      </c>
      <c r="JR4" s="11" t="str">
        <f t="shared" ref="JR4:JR35" si="86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35" si="87">IF(SUM(JT4,JX4)&gt;0,SUM(JT4,JX4),"")</f>
        <v/>
      </c>
      <c r="KN4" s="40" t="str">
        <f t="shared" ref="KN4:KN35" si="88">IF(SUM(JS4:JT4,JV4:JX4,JZ4)-JU4-JY4&gt;0,SUM(JS4:JT4,JV4:JX4,JZ4)-JU4-JY4,"")</f>
        <v/>
      </c>
      <c r="KO4" s="40" t="str">
        <f t="shared" ref="KO4:KO35" si="89">IF(SUM(KA4:KB4,KD4)-KC4&gt;0,SUM(KA4:KB4,KD4)-KC4,"")</f>
        <v/>
      </c>
      <c r="KP4" s="40" t="str">
        <f t="shared" ref="KP4:KP35" si="90">IF(SUM(JT4,JX4,KB4)&gt;0,SUM(JT4,JX4,KB4),"")</f>
        <v/>
      </c>
      <c r="KQ4" s="40" t="str">
        <f t="shared" ref="KQ4:KQ35" si="91">IF(SUM(KN4,KO4)&gt;0,SUM(KN4,KO4),"")</f>
        <v/>
      </c>
      <c r="KR4" s="40" t="str">
        <f t="shared" ref="KR4:KR35" si="92">IF(SUM(KF4,KJ4)&gt;0,SUM(KF4,KJ4),"")</f>
        <v/>
      </c>
      <c r="KS4" s="40" t="str">
        <f t="shared" ref="KS4:KS35" si="93">IF(SUM(KE4:KF4,KH4:KJ4,KL4)-SUM(KG4,KK4)&gt;0,SUM(KE4:KF4,KH4:KJ4,KL4)-SUM(KG4,KK4),"")</f>
        <v/>
      </c>
      <c r="KT4" s="40" t="str">
        <f t="shared" ref="KT4:KT35" si="94">IF(SUM(KN4,KS4)&gt;0,SUM(KN4,KS4),"")</f>
        <v/>
      </c>
      <c r="KU4" s="18">
        <v>18.8</v>
      </c>
      <c r="KV4" s="18">
        <v>10</v>
      </c>
      <c r="KW4" s="18">
        <v>0.6</v>
      </c>
      <c r="KX4" s="18">
        <v>0</v>
      </c>
      <c r="KY4" s="18">
        <v>18.5</v>
      </c>
      <c r="KZ4" s="18">
        <v>10.8</v>
      </c>
      <c r="LA4" s="18">
        <v>0</v>
      </c>
      <c r="LB4" s="18">
        <v>0</v>
      </c>
      <c r="LC4" s="18"/>
      <c r="LD4" s="18"/>
      <c r="LE4" s="18"/>
      <c r="LF4" s="18"/>
      <c r="LG4" s="18">
        <v>18.8</v>
      </c>
      <c r="LH4" s="18">
        <v>10</v>
      </c>
      <c r="LI4" s="18">
        <v>0</v>
      </c>
      <c r="LJ4" s="18">
        <v>0</v>
      </c>
      <c r="LK4" s="18">
        <v>18.5</v>
      </c>
      <c r="LL4" s="18">
        <v>11.1</v>
      </c>
      <c r="LM4" s="18">
        <v>0.6</v>
      </c>
      <c r="LN4" s="18">
        <v>0</v>
      </c>
      <c r="LO4" s="11">
        <f t="shared" ref="LO4:LO35" si="95">IF(SUM(KV4,KZ4)&gt;0,SUM(KV4,KZ4),"")</f>
        <v>20.8</v>
      </c>
      <c r="LP4" s="11">
        <f t="shared" ref="LP4:LP35" si="96">IF(SUM(KU4:KV4,KX4:KZ4,LB4)-KW4-LA4&gt;0,SUM(KU4:KV4,KX4:KZ4,LB4)-KW4-LA4,"")</f>
        <v>57.499999999999993</v>
      </c>
      <c r="LQ4" s="11" t="str">
        <f t="shared" ref="LQ4:LQ35" si="97">IF(SUM(LC4:LD4,LF4)-LE4&gt;0,SUM(LC4:LD4,LF4)-LE4,"")</f>
        <v/>
      </c>
      <c r="LR4" s="11">
        <f t="shared" ref="LR4:LR35" si="98">IF(SUM(KV4,KZ4,LD4)&gt;0,SUM(KV4,KZ4,LD4),"")</f>
        <v>20.8</v>
      </c>
      <c r="LS4" s="11">
        <f t="shared" ref="LS4:LS35" si="99">IF(SUM(LP4,LQ4)&gt;0,SUM(LP4,LQ4),"")</f>
        <v>57.499999999999993</v>
      </c>
      <c r="LT4" s="11">
        <f t="shared" ref="LT4:LT35" si="100">IF(SUM(LH4,LL4)&gt;0,SUM(LH4,LL4),"")</f>
        <v>21.1</v>
      </c>
      <c r="LU4" s="11">
        <f t="shared" ref="LU4:LU35" si="101">IF(SUM(LG4:LH4,LJ4:LL4,LN4)-SUM(LI4,LM4)&gt;0,SUM(LG4:LH4,LJ4:LL4,LN4)-SUM(LI4,LM4),"")</f>
        <v>57.8</v>
      </c>
      <c r="LV4" s="11">
        <f t="shared" ref="LV4:LV35" si="102">IF(SUM(LP4,LU4)&gt;0,SUM(LP4,LU4),"")</f>
        <v>115.29999999999998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35" si="103">IF(SUM(LX4,MB4)&gt;0,SUM(LX4,MB4),"")</f>
        <v/>
      </c>
      <c r="MR4" s="40" t="str">
        <f t="shared" ref="MR4:MR35" si="104">IF(SUM(LW4:LX4,LZ4:MB4,MD4)-LY4-MC4&gt;0,SUM(LW4:LX4,LZ4:MB4,MD4)-LY4-MC4,"")</f>
        <v/>
      </c>
      <c r="MS4" s="40" t="str">
        <f t="shared" ref="MS4:MS35" si="105">IF(SUM(ME4:MF4,MH4)-MG4&gt;0,SUM(ME4:MF4,MH4)-MG4,"")</f>
        <v/>
      </c>
      <c r="MT4" s="40" t="str">
        <f t="shared" ref="MT4:MT35" si="106">IF(SUM(LX4,MB4,MF4)&gt;0,SUM(LX4,MB4,MF4),"")</f>
        <v/>
      </c>
      <c r="MU4" s="40" t="str">
        <f t="shared" ref="MU4:MU35" si="107">IF(SUM(MR4,MS4)&gt;0,SUM(MR4,MS4),"")</f>
        <v/>
      </c>
      <c r="MV4" s="40" t="str">
        <f t="shared" ref="MV4:MV35" si="108">IF(SUM(MJ4,MN4)&gt;0,SUM(MJ4,MN4),"")</f>
        <v/>
      </c>
      <c r="MW4" s="40" t="str">
        <f t="shared" ref="MW4:MW35" si="109">IF(SUM(MI4:MJ4,ML4:MN4,MP4)-SUM(MK4,MO4)&gt;0,SUM(MI4:MJ4,ML4:MN4,MP4)-SUM(MK4,MO4),"")</f>
        <v/>
      </c>
      <c r="MX4" s="40" t="str">
        <f t="shared" ref="MX4:MX35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5" si="111">IF(SUM(MZ4,ND4)&gt;0,SUM(MZ4,ND4),"")</f>
        <v/>
      </c>
      <c r="NT4" s="11" t="str">
        <f t="shared" ref="NT4:NT35" si="112">IF(SUM(MY4:MZ4,NB4:ND4,NF4)-NA4-NE4&gt;0,SUM(MY4:MZ4,NB4:ND4,NF4)-NA4-NE4,"")</f>
        <v/>
      </c>
      <c r="NU4" s="11" t="str">
        <f t="shared" ref="NU4:NU35" si="113">IF(SUM(NG4:NH4,NJ4)-NI4&gt;0,SUM(NG4:NH4,NJ4)-NI4,"")</f>
        <v/>
      </c>
      <c r="NV4" s="11" t="str">
        <f t="shared" ref="NV4:NV35" si="114">IF(SUM(MZ4,ND4,NH4)&gt;0,SUM(MZ4,ND4,NH4),"")</f>
        <v/>
      </c>
      <c r="NW4" s="11" t="str">
        <f t="shared" ref="NW4:NW35" si="115">IF(SUM(NT4,NU4)&gt;0,SUM(NT4,NU4),"")</f>
        <v/>
      </c>
      <c r="NX4" s="11" t="str">
        <f t="shared" ref="NX4:NX35" si="116">IF(SUM(NL4,NP4)&gt;0,SUM(NL4,NP4),"")</f>
        <v/>
      </c>
      <c r="NY4" s="11" t="str">
        <f t="shared" ref="NY4:NY35" si="117">IF(SUM(NK4:NL4,NN4:NP4,NR4)-SUM(NM4,NQ4)&gt;0,SUM(NK4:NL4,NN4:NP4,NR4)-SUM(NM4,NQ4),"")</f>
        <v/>
      </c>
      <c r="NZ4" s="11" t="str">
        <f t="shared" ref="NZ4:NZ35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35" si="119">IF(SUM(OB4,OF4)&gt;0,SUM(OB4,OF4),"")</f>
        <v/>
      </c>
      <c r="OV4" s="40" t="str">
        <f t="shared" ref="OV4:OV35" si="120">IF(SUM(OA4:OB4,OD4:OF4,OH4)-OC4-OG4&gt;0,SUM(OA4:OB4,OD4:OF4,OH4)-OC4-OG4,"")</f>
        <v/>
      </c>
      <c r="OW4" s="40" t="str">
        <f t="shared" ref="OW4:OW35" si="121">IF(SUM(OI4:OJ4,OL4)-OK4&gt;0,SUM(OI4:OJ4,OL4)-OK4,"")</f>
        <v/>
      </c>
      <c r="OX4" s="40" t="str">
        <f t="shared" ref="OX4:OX35" si="122">IF(SUM(OB4,OF4,OJ4)&gt;0,SUM(OB4,OF4,OJ4),"")</f>
        <v/>
      </c>
      <c r="OY4" s="40" t="str">
        <f t="shared" ref="OY4:OY35" si="123">IF(SUM(OV4,OW4)&gt;0,SUM(OV4,OW4),"")</f>
        <v/>
      </c>
      <c r="OZ4" s="40" t="str">
        <f t="shared" ref="OZ4:OZ35" si="124">IF(SUM(ON4,OR4)&gt;0,SUM(ON4,OR4),"")</f>
        <v/>
      </c>
      <c r="PA4" s="40" t="str">
        <f t="shared" ref="PA4:PA35" si="125">IF(SUM(OM4:ON4,OP4:OR4,OT4)-SUM(OO4,OS4)&gt;0,SUM(OM4:ON4,OP4:OR4,OT4)-SUM(OO4,OS4),"")</f>
        <v/>
      </c>
      <c r="PB4" s="40" t="str">
        <f t="shared" ref="PB4:PB35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5" si="127">IF(SUM(PD4,PH4)&gt;0,SUM(PD4,PH4),"")</f>
        <v/>
      </c>
      <c r="PX4" s="11" t="str">
        <f t="shared" ref="PX4:PX35" si="128">IF(SUM(PC4:PD4,PF4:PH4,PJ4)-PE4-PI4&gt;0,SUM(PC4:PD4,PF4:PH4,PJ4)-PE4-PI4,"")</f>
        <v/>
      </c>
      <c r="PY4" s="11" t="str">
        <f t="shared" ref="PY4:PY35" si="129">IF(SUM(PK4:PL4,PN4)-PM4&gt;0,SUM(PK4:PL4,PN4)-PM4,"")</f>
        <v/>
      </c>
      <c r="PZ4" s="11" t="str">
        <f t="shared" ref="PZ4:PZ35" si="130">IF(SUM(PD4,PH4,PL4)&gt;0,SUM(PD4,PH4,PL4),"")</f>
        <v/>
      </c>
      <c r="QA4" s="11" t="str">
        <f t="shared" ref="QA4:QA35" si="131">IF(SUM(PX4,PY4)&gt;0,SUM(PX4,PY4),"")</f>
        <v/>
      </c>
      <c r="QB4" s="11" t="str">
        <f t="shared" ref="QB4:QB35" si="132">IF(SUM(PP4,PT4)&gt;0,SUM(PP4,PT4),"")</f>
        <v/>
      </c>
      <c r="QC4" s="11" t="str">
        <f t="shared" ref="QC4:QC35" si="133">IF(SUM(PO4:PP4,PR4:PT4,PV4)-SUM(PQ4,PU4)&gt;0,SUM(PO4:PP4,PR4:PT4,PV4)-SUM(PQ4,PU4),"")</f>
        <v/>
      </c>
      <c r="QD4" s="11" t="str">
        <f t="shared" ref="QD4:QD35" si="134">IF(SUM(PX4,QC4)&gt;0,SUM(PX4,QC4),"")</f>
        <v/>
      </c>
      <c r="QE4" s="22">
        <f t="shared" ref="QE4:QE35" si="135">IF($CU4="P",CA4,(CA4+AX4)/2)</f>
        <v>18.700000000000003</v>
      </c>
      <c r="QF4" s="22">
        <f t="shared" ref="QF4:QF35" si="136">IF($CU4="P",CB4,(CB4+AY4)/2)</f>
        <v>9.65</v>
      </c>
      <c r="QG4" s="22">
        <f t="shared" ref="QG4:QG35" si="137">IF($CU4="P",CC4,(CC4+AZ4)/2)</f>
        <v>0.4</v>
      </c>
      <c r="QH4" s="22">
        <f t="shared" ref="QH4:QH35" si="138">IF($CU4="P",CD4,(CD4+BA4)/2)</f>
        <v>0.44999999999999996</v>
      </c>
      <c r="QI4" s="22">
        <f t="shared" ref="QI4:QI35" si="139">IF($CU4="P",CE4,(CE4+BB4)/2)</f>
        <v>18.130000000000003</v>
      </c>
      <c r="QJ4" s="22">
        <f t="shared" ref="QJ4:QJ35" si="140">IF($CU4="P",CF4,(CF4+BC4)/2)</f>
        <v>10.8</v>
      </c>
      <c r="QK4" s="22">
        <f t="shared" ref="QK4:QK35" si="141">IF($CU4="P",CG4,(CG4+BD4)/2)</f>
        <v>0.2</v>
      </c>
      <c r="QL4" s="22">
        <f t="shared" ref="QL4:QL35" si="142">IF($CU4="P",CH4,(CH4+BE4)/2)</f>
        <v>0.6</v>
      </c>
      <c r="QM4" s="22">
        <f t="shared" ref="QM4:QM35" si="143">IF($CU4="P",CI4,(CI4+BF4)/2)</f>
        <v>18.399999999999999</v>
      </c>
      <c r="QN4" s="22">
        <f t="shared" ref="QN4:QN35" si="144">IF($CU4="P",CJ4,(CJ4+BG4)/2)</f>
        <v>6</v>
      </c>
      <c r="QO4" s="22">
        <f t="shared" ref="QO4:QO35" si="145">IF($CU4="P",CK4,(CK4+BH4)/2)</f>
        <v>0</v>
      </c>
      <c r="QP4" s="22">
        <f t="shared" ref="QP4:QP35" si="146">IF($CU4="P",CL4,(CL4+BI4)/2)</f>
        <v>0</v>
      </c>
      <c r="QQ4" s="22">
        <f t="shared" ref="QQ4:QQ35" si="147">IF($CU4="P",CM4,(CM4+BJ4)/2)</f>
        <v>18.3</v>
      </c>
      <c r="QR4" s="22">
        <f t="shared" ref="QR4:QR35" si="148">IF($CU4="P",CN4,(CN4+BK4)/2)</f>
        <v>7.4</v>
      </c>
      <c r="QS4" s="22">
        <f t="shared" ref="QS4:QS35" si="149">IF($CU4="P",CO4,(CO4+BL4)/2)</f>
        <v>0.1</v>
      </c>
      <c r="QT4" s="22">
        <f t="shared" ref="QT4:QT35" si="150">IF($CU4="P",CP4,(CP4+BM4)/2)</f>
        <v>0.44999999999999996</v>
      </c>
      <c r="QU4" s="22">
        <f t="shared" ref="QU4:QU35" si="151">IF($CU4="P",CQ4,(CQ4+BN4)/2)</f>
        <v>18.399999999999999</v>
      </c>
      <c r="QV4" s="22">
        <f t="shared" ref="QV4:QV35" si="152">IF($CU4="P",CR4,(CR4+BO4)/2)</f>
        <v>10.199999999999999</v>
      </c>
      <c r="QW4" s="22">
        <f t="shared" ref="QW4:QW35" si="153">IF($CU4="P",CS4,(CS4+BP4)/2)</f>
        <v>0.3</v>
      </c>
      <c r="QX4" s="22">
        <f t="shared" ref="QX4:QX35" si="154">IF($CU4="P",CT4,(CT4+BQ4)/2)</f>
        <v>0.44999999999999996</v>
      </c>
      <c r="QY4" s="27" t="s">
        <v>46</v>
      </c>
      <c r="QZ4" s="40">
        <f t="shared" ref="QZ4:QZ35" si="155">IF(SUM(QF4,QJ4)&gt;0,SUM(QF4,QJ4),"")</f>
        <v>20.450000000000003</v>
      </c>
      <c r="RA4" s="40">
        <f t="shared" ref="RA4:RA35" si="156">IF(SUM(QE4:QF4,QH4:QJ4,QL4)-QG4-QK4&gt;0,SUM(QE4:QF4,QH4:QJ4,QL4)-QG4-QK4,"")</f>
        <v>57.730000000000004</v>
      </c>
      <c r="RB4" s="40">
        <f t="shared" ref="RB4:RB35" si="157">IF(SUM(QM4:QN4,QP4)-QO4&gt;0,SUM(QM4:QN4,QP4)-QO4,"")</f>
        <v>24.4</v>
      </c>
      <c r="RC4" s="40">
        <f t="shared" ref="RC4:RC35" si="158">IF(SUM(QF4,QJ4,QN4)&gt;0,SUM(QF4,QJ4,QN4),"")</f>
        <v>26.450000000000003</v>
      </c>
      <c r="RD4" s="40">
        <f t="shared" ref="RD4:RD35" si="159">IF(SUM(RA4,RB4)&gt;0,SUM(RA4,RB4),"")</f>
        <v>82.13</v>
      </c>
      <c r="RE4" s="40">
        <f t="shared" ref="RE4:RE35" si="160">IF(SUM(QR4,QV4)&gt;0,SUM(QR4,QV4),"")</f>
        <v>17.600000000000001</v>
      </c>
      <c r="RF4" s="40">
        <f t="shared" ref="RF4:RF35" si="161">IF(SUM(QQ4:QR4,QT4:QV4,QX4)-SUM(QS4,QW4)&gt;0,SUM(QQ4:QR4,QT4:QV4,QX4)-SUM(QS4,QW4),"")</f>
        <v>54.800000000000004</v>
      </c>
      <c r="RG4" s="40">
        <f t="shared" ref="RG4:RG35" si="162">IF(SUM(RA4,RF4)&gt;0,SUM(RA4,RF4),"")</f>
        <v>112.53</v>
      </c>
    </row>
    <row r="5" spans="1:475" x14ac:dyDescent="0.2">
      <c r="A5" s="4" cm="1">
        <f t="array" ref="A5">IF(AND(F5="P",G5="P"),SUMPRODUCT((F$4:F$36="P")*(G$4:G$36="P")*(E$4:E$36&gt;E5))+1,IF(G5="P",SUMPRODUCT((F$4:F$36="")*(G$4:G$36="P")*(E$4:E$36&gt;E5))+1+SUMPRODUCT((F$4:F$36="P")*(G$4:G$36="P")),""))</f>
        <v>2</v>
      </c>
      <c r="B5" s="5" t="s">
        <v>61</v>
      </c>
      <c r="C5" s="4" t="s">
        <v>3</v>
      </c>
      <c r="D5" s="4">
        <v>2003</v>
      </c>
      <c r="E5" s="9">
        <f t="shared" ref="E5:E35" si="163">SUM(J5:R5)+SUM(J5:O5)*0.0000001+SUM(J5)*0.0000000000001</f>
        <v>196.90001387000549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 t="shared" si="12"/>
        <v>18.799999999999997</v>
      </c>
      <c r="AQ5" s="40">
        <f t="shared" si="13"/>
        <v>54.4</v>
      </c>
      <c r="AR5" s="40">
        <f t="shared" si="14"/>
        <v>29.1</v>
      </c>
      <c r="AS5" s="40">
        <f t="shared" si="15"/>
        <v>27.999999999999996</v>
      </c>
      <c r="AT5" s="40">
        <f t="shared" si="16"/>
        <v>83.5</v>
      </c>
      <c r="AU5" s="40">
        <f t="shared" si="17"/>
        <v>20.399999999999999</v>
      </c>
      <c r="AV5" s="40">
        <f t="shared" si="18"/>
        <v>58.2</v>
      </c>
      <c r="AW5" s="40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 t="shared" si="28"/>
        <v/>
      </c>
      <c r="CW5" s="40" t="str">
        <f t="shared" si="29"/>
        <v/>
      </c>
      <c r="CX5" s="40" t="str">
        <f t="shared" si="30"/>
        <v/>
      </c>
      <c r="CY5" s="40" t="str">
        <f t="shared" si="31"/>
        <v/>
      </c>
      <c r="CZ5" s="40" t="str">
        <f t="shared" si="32"/>
        <v/>
      </c>
      <c r="DA5" s="40" t="str">
        <f t="shared" si="33"/>
        <v/>
      </c>
      <c r="DB5" s="40" t="str">
        <f t="shared" si="34"/>
        <v/>
      </c>
      <c r="DC5" s="40" t="str">
        <f t="shared" si="35"/>
        <v/>
      </c>
      <c r="DD5" s="50" t="str">
        <f t="shared" si="36"/>
        <v/>
      </c>
      <c r="DE5" s="50" t="str">
        <f t="shared" si="37"/>
        <v/>
      </c>
      <c r="DF5" s="50" t="str">
        <f t="shared" si="38"/>
        <v/>
      </c>
      <c r="DG5" s="17">
        <v>18.600000000000001</v>
      </c>
      <c r="DH5" s="17">
        <v>9.1999999999999993</v>
      </c>
      <c r="DI5" s="17">
        <v>0</v>
      </c>
      <c r="DJ5" s="17">
        <v>0</v>
      </c>
      <c r="DK5" s="17">
        <v>17.5</v>
      </c>
      <c r="DL5" s="17">
        <v>4.8</v>
      </c>
      <c r="DM5" s="17">
        <v>0</v>
      </c>
      <c r="DN5" s="17">
        <v>0</v>
      </c>
      <c r="DO5" s="17"/>
      <c r="DP5" s="17"/>
      <c r="DQ5" s="17"/>
      <c r="DR5" s="17"/>
      <c r="DS5" s="17">
        <v>18.399999999999999</v>
      </c>
      <c r="DT5" s="17">
        <v>7.6</v>
      </c>
      <c r="DU5" s="17">
        <v>0.2</v>
      </c>
      <c r="DV5" s="17">
        <v>0</v>
      </c>
      <c r="DW5" s="17"/>
      <c r="DX5" s="17"/>
      <c r="DY5" s="17"/>
      <c r="DZ5" s="17"/>
      <c r="EA5" s="40">
        <f t="shared" si="39"/>
        <v>14</v>
      </c>
      <c r="EB5" s="40">
        <f t="shared" si="40"/>
        <v>50.099999999999994</v>
      </c>
      <c r="EC5" s="40" t="str">
        <f t="shared" si="41"/>
        <v/>
      </c>
      <c r="ED5" s="40">
        <f t="shared" si="42"/>
        <v>14</v>
      </c>
      <c r="EE5" s="40">
        <f t="shared" si="43"/>
        <v>50.099999999999994</v>
      </c>
      <c r="EF5" s="40">
        <f t="shared" si="44"/>
        <v>7.6</v>
      </c>
      <c r="EG5" s="40">
        <f t="shared" si="45"/>
        <v>25.8</v>
      </c>
      <c r="EH5" s="40">
        <f t="shared" si="46"/>
        <v>75.899999999999991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1" t="str">
        <f t="shared" si="54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9.5</v>
      </c>
      <c r="QF5" s="22">
        <f t="shared" si="136"/>
        <v>4.5999999999999996</v>
      </c>
      <c r="QG5" s="22">
        <f t="shared" si="137"/>
        <v>0.15</v>
      </c>
      <c r="QH5" s="22">
        <f t="shared" si="138"/>
        <v>0.15</v>
      </c>
      <c r="QI5" s="22">
        <f t="shared" si="139"/>
        <v>8.9</v>
      </c>
      <c r="QJ5" s="22">
        <f t="shared" si="140"/>
        <v>4.6999999999999993</v>
      </c>
      <c r="QK5" s="22">
        <f t="shared" si="141"/>
        <v>0.25</v>
      </c>
      <c r="QL5" s="22">
        <f t="shared" si="142"/>
        <v>0.15</v>
      </c>
      <c r="QM5" s="22">
        <f t="shared" si="143"/>
        <v>9.3500000000000014</v>
      </c>
      <c r="QN5" s="22">
        <f t="shared" si="144"/>
        <v>3</v>
      </c>
      <c r="QO5" s="22">
        <f t="shared" si="145"/>
        <v>0</v>
      </c>
      <c r="QP5" s="22">
        <f t="shared" si="146"/>
        <v>7.4999999999999997E-2</v>
      </c>
      <c r="QQ5" s="22">
        <f t="shared" si="147"/>
        <v>9.5</v>
      </c>
      <c r="QR5" s="22">
        <f t="shared" si="148"/>
        <v>4.625</v>
      </c>
      <c r="QS5" s="22">
        <f t="shared" si="149"/>
        <v>0</v>
      </c>
      <c r="QT5" s="22">
        <f t="shared" si="150"/>
        <v>0.22499999999999998</v>
      </c>
      <c r="QU5" s="22">
        <f t="shared" si="151"/>
        <v>9.125</v>
      </c>
      <c r="QV5" s="22">
        <f t="shared" si="152"/>
        <v>4.7</v>
      </c>
      <c r="QW5" s="22">
        <f t="shared" si="153"/>
        <v>0.2</v>
      </c>
      <c r="QX5" s="22">
        <f t="shared" si="154"/>
        <v>0.22499999999999998</v>
      </c>
      <c r="QY5" s="27" t="s">
        <v>46</v>
      </c>
      <c r="QZ5" s="40">
        <f t="shared" si="155"/>
        <v>9.2999999999999989</v>
      </c>
      <c r="RA5" s="40">
        <f t="shared" si="156"/>
        <v>27.599999999999998</v>
      </c>
      <c r="RB5" s="40">
        <f t="shared" si="157"/>
        <v>12.425000000000001</v>
      </c>
      <c r="RC5" s="40">
        <f t="shared" si="158"/>
        <v>12.299999999999999</v>
      </c>
      <c r="RD5" s="40">
        <f t="shared" si="159"/>
        <v>40.024999999999999</v>
      </c>
      <c r="RE5" s="40">
        <f t="shared" si="160"/>
        <v>9.3249999999999993</v>
      </c>
      <c r="RF5" s="40">
        <f t="shared" si="161"/>
        <v>28.200000000000003</v>
      </c>
      <c r="RG5" s="40">
        <f t="shared" si="162"/>
        <v>55.8</v>
      </c>
    </row>
    <row r="6" spans="1:475" x14ac:dyDescent="0.2">
      <c r="A6" s="4">
        <f t="shared" ref="A6:A35" si="164">IF(AND(F6="P",G6="P"),SUMPRODUCT((F$4:F$36="P")*(G$4:G$36="P")*(E$4:E$36&gt;E6))+1,IF(G6="P",SUMPRODUCT((F$4:F$36="")*(G$4:G$36="P")*(E$4:E$36&gt;E6))+1+SUMPRODUCT((F$4:F$36="P")*(G$4:G$36="P")),""))</f>
        <v>3</v>
      </c>
      <c r="B6" s="5" t="s">
        <v>69</v>
      </c>
      <c r="C6" s="4" t="s">
        <v>4</v>
      </c>
      <c r="D6" s="4">
        <v>2003</v>
      </c>
      <c r="E6" s="9">
        <f t="shared" si="163"/>
        <v>186.7800130480052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3.4999999999999929</v>
      </c>
      <c r="S6" s="11" t="str">
        <f t="shared" si="10"/>
        <v>(Q1)</v>
      </c>
      <c r="T6" s="8" t="str">
        <f t="shared" si="11"/>
        <v>2023 World Cup POR 1 (July 2)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 t="shared" si="12"/>
        <v>12</v>
      </c>
      <c r="AQ6" s="40">
        <f t="shared" si="13"/>
        <v>48.1</v>
      </c>
      <c r="AR6" s="40">
        <f t="shared" si="14"/>
        <v>26.1</v>
      </c>
      <c r="AS6" s="40">
        <f t="shared" si="15"/>
        <v>18.8</v>
      </c>
      <c r="AT6" s="40">
        <f t="shared" si="16"/>
        <v>74.2</v>
      </c>
      <c r="AU6" s="40">
        <f t="shared" si="17"/>
        <v>16.399999999999999</v>
      </c>
      <c r="AV6" s="40">
        <f t="shared" si="18"/>
        <v>52.8</v>
      </c>
      <c r="AW6" s="40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 t="shared" si="28"/>
        <v>16</v>
      </c>
      <c r="CW6" s="40">
        <f t="shared" si="29"/>
        <v>50.800000000000004</v>
      </c>
      <c r="CX6" s="40">
        <f t="shared" si="30"/>
        <v>26.7</v>
      </c>
      <c r="CY6" s="40">
        <f t="shared" si="31"/>
        <v>23.6</v>
      </c>
      <c r="CZ6" s="40">
        <f t="shared" si="32"/>
        <v>77.5</v>
      </c>
      <c r="DA6" s="40">
        <f t="shared" si="33"/>
        <v>14.8</v>
      </c>
      <c r="DB6" s="40">
        <f t="shared" si="34"/>
        <v>51.3</v>
      </c>
      <c r="DC6" s="40">
        <f t="shared" si="35"/>
        <v>102.1</v>
      </c>
      <c r="DD6" s="50">
        <f t="shared" si="36"/>
        <v>3.4999999999999929</v>
      </c>
      <c r="DE6" s="50" t="str">
        <f t="shared" si="37"/>
        <v/>
      </c>
      <c r="DF6" s="50">
        <f t="shared" si="38"/>
        <v>0.80000000000000426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40" t="str">
        <f t="shared" si="46"/>
        <v/>
      </c>
      <c r="EI6" s="18">
        <v>18.399999999999999</v>
      </c>
      <c r="EJ6" s="18">
        <v>7.6</v>
      </c>
      <c r="EK6" s="18">
        <v>0</v>
      </c>
      <c r="EL6" s="18">
        <v>0</v>
      </c>
      <c r="EM6" s="18">
        <v>18.2</v>
      </c>
      <c r="EN6" s="18">
        <v>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7"/>
        <v>15.6</v>
      </c>
      <c r="FD6" s="11">
        <f t="shared" si="48"/>
        <v>52.2</v>
      </c>
      <c r="FE6" s="11" t="str">
        <f t="shared" si="49"/>
        <v/>
      </c>
      <c r="FF6" s="11">
        <f t="shared" si="50"/>
        <v>15.6</v>
      </c>
      <c r="FG6" s="11">
        <f t="shared" si="51"/>
        <v>52.2</v>
      </c>
      <c r="FH6" s="11" t="str">
        <f t="shared" si="52"/>
        <v/>
      </c>
      <c r="FI6" s="11" t="str">
        <f t="shared" si="53"/>
        <v/>
      </c>
      <c r="FJ6" s="11">
        <f t="shared" si="54"/>
        <v>52.2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18.3</v>
      </c>
      <c r="GB6" s="17">
        <v>5.6</v>
      </c>
      <c r="GC6" s="17">
        <v>0.6</v>
      </c>
      <c r="GD6" s="17">
        <v>0</v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>
        <f t="shared" si="60"/>
        <v>5.6</v>
      </c>
      <c r="GK6" s="40">
        <f t="shared" si="61"/>
        <v>23.299999999999997</v>
      </c>
      <c r="GL6" s="40">
        <f t="shared" si="62"/>
        <v>23.299999999999997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>
        <v>17.2</v>
      </c>
      <c r="JT6" s="17">
        <v>3.2</v>
      </c>
      <c r="JU6" s="17">
        <v>0</v>
      </c>
      <c r="JV6" s="17">
        <v>0</v>
      </c>
      <c r="JW6" s="17">
        <v>18</v>
      </c>
      <c r="JX6" s="17">
        <v>3.6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 t="shared" si="87"/>
        <v>6.8000000000000007</v>
      </c>
      <c r="KN6" s="40">
        <f t="shared" si="88"/>
        <v>41.4</v>
      </c>
      <c r="KO6" s="40" t="str">
        <f t="shared" si="89"/>
        <v/>
      </c>
      <c r="KP6" s="40">
        <f t="shared" si="90"/>
        <v>6.8000000000000007</v>
      </c>
      <c r="KQ6" s="40">
        <f t="shared" si="91"/>
        <v>41.4</v>
      </c>
      <c r="KR6" s="40" t="str">
        <f t="shared" si="92"/>
        <v/>
      </c>
      <c r="KS6" s="40" t="str">
        <f t="shared" si="93"/>
        <v/>
      </c>
      <c r="KT6" s="40">
        <f t="shared" si="94"/>
        <v>41.4</v>
      </c>
      <c r="KU6" s="18">
        <v>18.899999999999999</v>
      </c>
      <c r="KV6" s="18">
        <v>8.4</v>
      </c>
      <c r="KW6" s="18">
        <v>0</v>
      </c>
      <c r="KX6" s="18">
        <v>0</v>
      </c>
      <c r="KY6" s="18">
        <v>18.600000000000001</v>
      </c>
      <c r="KZ6" s="18">
        <v>8.4</v>
      </c>
      <c r="LA6" s="18">
        <v>0</v>
      </c>
      <c r="LB6" s="18">
        <v>0</v>
      </c>
      <c r="LC6" s="18"/>
      <c r="LD6" s="18"/>
      <c r="LE6" s="18"/>
      <c r="LF6" s="18"/>
      <c r="LG6" s="18">
        <v>18.8</v>
      </c>
      <c r="LH6" s="18">
        <v>9.1999999999999993</v>
      </c>
      <c r="LI6" s="18">
        <v>0</v>
      </c>
      <c r="LJ6" s="18">
        <v>0</v>
      </c>
      <c r="LK6" s="18">
        <v>18.2</v>
      </c>
      <c r="LL6" s="18">
        <v>8</v>
      </c>
      <c r="LM6" s="18">
        <v>0.6</v>
      </c>
      <c r="LN6" s="18">
        <v>0</v>
      </c>
      <c r="LO6" s="11">
        <f t="shared" si="95"/>
        <v>16.8</v>
      </c>
      <c r="LP6" s="11">
        <f t="shared" si="96"/>
        <v>54.3</v>
      </c>
      <c r="LQ6" s="11" t="str">
        <f t="shared" si="97"/>
        <v/>
      </c>
      <c r="LR6" s="11">
        <f t="shared" si="98"/>
        <v>16.8</v>
      </c>
      <c r="LS6" s="11">
        <f t="shared" si="99"/>
        <v>54.3</v>
      </c>
      <c r="LT6" s="11">
        <f t="shared" si="100"/>
        <v>17.2</v>
      </c>
      <c r="LU6" s="11">
        <f t="shared" si="101"/>
        <v>53.6</v>
      </c>
      <c r="LV6" s="11">
        <f t="shared" si="102"/>
        <v>107.9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18.7</v>
      </c>
      <c r="QF6" s="22">
        <f t="shared" si="136"/>
        <v>8</v>
      </c>
      <c r="QG6" s="22">
        <f t="shared" si="137"/>
        <v>0.6</v>
      </c>
      <c r="QH6" s="22">
        <f t="shared" si="138"/>
        <v>0.15</v>
      </c>
      <c r="QI6" s="22">
        <f t="shared" si="139"/>
        <v>18.3</v>
      </c>
      <c r="QJ6" s="22">
        <f t="shared" si="140"/>
        <v>7.4</v>
      </c>
      <c r="QK6" s="22">
        <f t="shared" si="141"/>
        <v>0.4</v>
      </c>
      <c r="QL6" s="22">
        <f t="shared" si="142"/>
        <v>0</v>
      </c>
      <c r="QM6" s="22">
        <f t="shared" si="143"/>
        <v>18.89</v>
      </c>
      <c r="QN6" s="22">
        <f t="shared" si="144"/>
        <v>8</v>
      </c>
      <c r="QO6" s="22">
        <f t="shared" si="145"/>
        <v>0</v>
      </c>
      <c r="QP6" s="22">
        <f t="shared" si="146"/>
        <v>0.15</v>
      </c>
      <c r="QQ6" s="22">
        <f t="shared" si="147"/>
        <v>18.5</v>
      </c>
      <c r="QR6" s="22">
        <f t="shared" si="148"/>
        <v>7</v>
      </c>
      <c r="QS6" s="22">
        <f t="shared" si="149"/>
        <v>0</v>
      </c>
      <c r="QT6" s="22">
        <f t="shared" si="150"/>
        <v>0</v>
      </c>
      <c r="QU6" s="22">
        <f t="shared" si="151"/>
        <v>18.850000000000001</v>
      </c>
      <c r="QV6" s="22">
        <f t="shared" si="152"/>
        <v>7</v>
      </c>
      <c r="QW6" s="22">
        <f t="shared" si="153"/>
        <v>0.6</v>
      </c>
      <c r="QX6" s="22">
        <f t="shared" si="154"/>
        <v>0</v>
      </c>
      <c r="QY6" s="27" t="s">
        <v>46</v>
      </c>
      <c r="QZ6" s="40">
        <f t="shared" si="155"/>
        <v>15.4</v>
      </c>
      <c r="RA6" s="40">
        <f t="shared" si="156"/>
        <v>51.55</v>
      </c>
      <c r="RB6" s="40">
        <f t="shared" si="157"/>
        <v>27.04</v>
      </c>
      <c r="RC6" s="40">
        <f t="shared" si="158"/>
        <v>23.4</v>
      </c>
      <c r="RD6" s="40">
        <f t="shared" si="159"/>
        <v>78.59</v>
      </c>
      <c r="RE6" s="40">
        <f t="shared" si="160"/>
        <v>14</v>
      </c>
      <c r="RF6" s="40">
        <f t="shared" si="161"/>
        <v>50.75</v>
      </c>
      <c r="RG6" s="40">
        <f t="shared" si="162"/>
        <v>102.3</v>
      </c>
    </row>
    <row r="7" spans="1:475" x14ac:dyDescent="0.2">
      <c r="A7" s="4">
        <f t="shared" si="164"/>
        <v>4</v>
      </c>
      <c r="B7" s="5" t="s">
        <v>107</v>
      </c>
      <c r="C7" s="4" t="s">
        <v>4</v>
      </c>
      <c r="D7" s="4">
        <v>2004</v>
      </c>
      <c r="E7" s="9">
        <f t="shared" si="163"/>
        <v>181.90001289000514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51.699999999999996</v>
      </c>
      <c r="K7" s="8" t="str">
        <f t="shared" si="4"/>
        <v>2022 3rd Domestic Trial</v>
      </c>
      <c r="L7" s="8">
        <f>IF(COUNT(AQ7,BT7,CW7)&gt;1,LARGE((AQ7,BT7,CW7),2),0)</f>
        <v>50.599999999999994</v>
      </c>
      <c r="M7" s="8" t="str">
        <f t="shared" si="5"/>
        <v>2022 Nationals</v>
      </c>
      <c r="N7" s="8">
        <f>IF(COUNT(AR7,BU7,CX7)&gt;0,LARGE((AR7,BU7,CX7),1),0)</f>
        <v>26.6</v>
      </c>
      <c r="O7" s="8" t="str">
        <f t="shared" si="6"/>
        <v>2022 3rd Domestic Trial</v>
      </c>
      <c r="P7" s="8">
        <f t="shared" si="7"/>
        <v>46.699999999999996</v>
      </c>
      <c r="Q7" s="8" t="str">
        <f t="shared" si="8"/>
        <v>2022 3rd Domestic Trial</v>
      </c>
      <c r="R7" s="8">
        <f t="shared" si="9"/>
        <v>6.3000000000000114</v>
      </c>
      <c r="S7" s="11" t="str">
        <f t="shared" si="10"/>
        <v>(Final)</v>
      </c>
      <c r="T7" s="8" t="str">
        <f t="shared" si="11"/>
        <v>2023 Pan Am Club Championships (May 14)</v>
      </c>
      <c r="U7" s="19">
        <v>18.399999999999999</v>
      </c>
      <c r="V7" s="19">
        <v>7.3</v>
      </c>
      <c r="W7" s="19">
        <v>0</v>
      </c>
      <c r="X7" s="19">
        <v>0</v>
      </c>
      <c r="Y7" s="19">
        <v>17.899999999999999</v>
      </c>
      <c r="Z7" s="19">
        <v>7.2</v>
      </c>
      <c r="AA7" s="19">
        <v>0.2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14.5</v>
      </c>
      <c r="AQ7" s="40">
        <f t="shared" si="13"/>
        <v>50.599999999999994</v>
      </c>
      <c r="AR7" s="40">
        <f t="shared" si="14"/>
        <v>20.399999999999999</v>
      </c>
      <c r="AS7" s="40">
        <f t="shared" si="15"/>
        <v>17.7</v>
      </c>
      <c r="AT7" s="40">
        <f t="shared" si="16"/>
        <v>71</v>
      </c>
      <c r="AU7" s="40" t="str">
        <f t="shared" si="17"/>
        <v/>
      </c>
      <c r="AV7" s="40" t="str">
        <f t="shared" si="18"/>
        <v/>
      </c>
      <c r="AW7" s="40">
        <f t="shared" si="19"/>
        <v>50.599999999999994</v>
      </c>
      <c r="AX7" s="18">
        <v>18.399999999999999</v>
      </c>
      <c r="AY7" s="18">
        <v>7.7</v>
      </c>
      <c r="AZ7" s="18">
        <v>0</v>
      </c>
      <c r="BA7" s="18">
        <v>0.3</v>
      </c>
      <c r="BB7" s="18">
        <v>18.600000000000001</v>
      </c>
      <c r="BC7" s="18">
        <v>7.3</v>
      </c>
      <c r="BD7" s="18">
        <v>0.6</v>
      </c>
      <c r="BE7" s="18">
        <v>0</v>
      </c>
      <c r="BF7" s="18">
        <v>18.8</v>
      </c>
      <c r="BG7" s="18">
        <v>8.4</v>
      </c>
      <c r="BH7" s="18">
        <v>0.6</v>
      </c>
      <c r="BI7" s="18">
        <v>0</v>
      </c>
      <c r="BJ7" s="18">
        <v>17.7</v>
      </c>
      <c r="BK7" s="18">
        <v>2.8</v>
      </c>
      <c r="BL7" s="18">
        <v>0</v>
      </c>
      <c r="BM7" s="18">
        <v>0</v>
      </c>
      <c r="BN7" s="18">
        <v>18.8</v>
      </c>
      <c r="BO7" s="18">
        <v>7.6</v>
      </c>
      <c r="BP7" s="18">
        <v>0.2</v>
      </c>
      <c r="BQ7" s="18">
        <v>0</v>
      </c>
      <c r="BR7" s="28"/>
      <c r="BS7" s="11">
        <f t="shared" si="20"/>
        <v>15</v>
      </c>
      <c r="BT7" s="11">
        <f t="shared" si="21"/>
        <v>51.699999999999996</v>
      </c>
      <c r="BU7" s="11">
        <f t="shared" si="22"/>
        <v>26.6</v>
      </c>
      <c r="BV7" s="11">
        <f t="shared" si="23"/>
        <v>23.4</v>
      </c>
      <c r="BW7" s="11">
        <f t="shared" si="24"/>
        <v>78.3</v>
      </c>
      <c r="BX7" s="11">
        <f t="shared" si="25"/>
        <v>10.399999999999999</v>
      </c>
      <c r="BY7" s="11">
        <f t="shared" si="26"/>
        <v>46.699999999999996</v>
      </c>
      <c r="BZ7" s="11">
        <f t="shared" si="27"/>
        <v>98.399999999999991</v>
      </c>
      <c r="CA7" s="19">
        <v>19</v>
      </c>
      <c r="CB7" s="19">
        <v>8</v>
      </c>
      <c r="CC7" s="19">
        <v>0.6</v>
      </c>
      <c r="CD7" s="19">
        <v>0.3</v>
      </c>
      <c r="CE7" s="19">
        <v>17.3</v>
      </c>
      <c r="CF7" s="19">
        <v>2.4</v>
      </c>
      <c r="CG7" s="19">
        <v>0</v>
      </c>
      <c r="CH7" s="19">
        <v>0</v>
      </c>
      <c r="CI7" s="19">
        <v>16.600000000000001</v>
      </c>
      <c r="CJ7" s="19">
        <v>8.9</v>
      </c>
      <c r="CK7" s="19">
        <v>0.2</v>
      </c>
      <c r="CL7" s="19">
        <v>0.3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10.4</v>
      </c>
      <c r="CW7" s="40">
        <f t="shared" si="29"/>
        <v>46.4</v>
      </c>
      <c r="CX7" s="40">
        <f t="shared" si="30"/>
        <v>25.6</v>
      </c>
      <c r="CY7" s="40">
        <f t="shared" si="31"/>
        <v>19.3</v>
      </c>
      <c r="CZ7" s="40">
        <f t="shared" si="32"/>
        <v>72</v>
      </c>
      <c r="DA7" s="40" t="str">
        <f t="shared" si="33"/>
        <v/>
      </c>
      <c r="DB7" s="40" t="str">
        <f t="shared" si="34"/>
        <v/>
      </c>
      <c r="DC7" s="40">
        <f t="shared" si="35"/>
        <v>46.4</v>
      </c>
      <c r="DD7" s="50" t="str">
        <f t="shared" si="36"/>
        <v/>
      </c>
      <c r="DE7" s="50" t="str">
        <f t="shared" si="37"/>
        <v/>
      </c>
      <c r="DF7" s="50">
        <f t="shared" si="38"/>
        <v>6.3000000000000114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>
        <v>18.7</v>
      </c>
      <c r="HP7" s="17">
        <v>8.4</v>
      </c>
      <c r="HQ7" s="17">
        <v>0.8</v>
      </c>
      <c r="HR7" s="17">
        <v>0</v>
      </c>
      <c r="HS7" s="17">
        <v>16.899999999999999</v>
      </c>
      <c r="HT7" s="17">
        <v>8</v>
      </c>
      <c r="HU7" s="17">
        <v>1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 t="shared" si="71"/>
        <v>16.399999999999999</v>
      </c>
      <c r="IJ7" s="40">
        <f t="shared" si="72"/>
        <v>50.2</v>
      </c>
      <c r="IK7" s="40" t="str">
        <f t="shared" si="73"/>
        <v/>
      </c>
      <c r="IL7" s="40">
        <f t="shared" si="74"/>
        <v>16.399999999999999</v>
      </c>
      <c r="IM7" s="40">
        <f t="shared" si="75"/>
        <v>50.2</v>
      </c>
      <c r="IN7" s="40" t="str">
        <f t="shared" si="76"/>
        <v/>
      </c>
      <c r="IO7" s="40" t="str">
        <f t="shared" si="77"/>
        <v/>
      </c>
      <c r="IP7" s="40">
        <f t="shared" si="78"/>
        <v>50.2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>
        <v>18.600000000000001</v>
      </c>
      <c r="JD7" s="18">
        <v>8</v>
      </c>
      <c r="JE7" s="18">
        <v>0.8</v>
      </c>
      <c r="JF7" s="18">
        <v>0</v>
      </c>
      <c r="JG7" s="18">
        <v>18.600000000000001</v>
      </c>
      <c r="JH7" s="18">
        <v>9.1999999999999993</v>
      </c>
      <c r="JI7" s="18">
        <v>0.6</v>
      </c>
      <c r="JJ7" s="18">
        <v>0</v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>
        <f t="shared" si="84"/>
        <v>17.2</v>
      </c>
      <c r="JQ7" s="11">
        <f t="shared" si="85"/>
        <v>53.000000000000007</v>
      </c>
      <c r="JR7" s="11">
        <f t="shared" si="86"/>
        <v>53.000000000000007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18.7</v>
      </c>
      <c r="QF7" s="22">
        <f t="shared" si="136"/>
        <v>7.85</v>
      </c>
      <c r="QG7" s="22">
        <f t="shared" si="137"/>
        <v>0.3</v>
      </c>
      <c r="QH7" s="22">
        <f t="shared" si="138"/>
        <v>0.3</v>
      </c>
      <c r="QI7" s="22">
        <f t="shared" si="139"/>
        <v>17.950000000000003</v>
      </c>
      <c r="QJ7" s="22">
        <f t="shared" si="140"/>
        <v>4.8499999999999996</v>
      </c>
      <c r="QK7" s="22">
        <f t="shared" si="141"/>
        <v>0.3</v>
      </c>
      <c r="QL7" s="22">
        <f t="shared" si="142"/>
        <v>0</v>
      </c>
      <c r="QM7" s="22">
        <f t="shared" si="143"/>
        <v>17.700000000000003</v>
      </c>
      <c r="QN7" s="22">
        <f t="shared" si="144"/>
        <v>8.65</v>
      </c>
      <c r="QO7" s="22">
        <f t="shared" si="145"/>
        <v>0.4</v>
      </c>
      <c r="QP7" s="22">
        <f t="shared" si="146"/>
        <v>0.15</v>
      </c>
      <c r="QQ7" s="22">
        <f t="shared" si="147"/>
        <v>8.85</v>
      </c>
      <c r="QR7" s="22">
        <f t="shared" si="148"/>
        <v>1.4</v>
      </c>
      <c r="QS7" s="22">
        <f t="shared" si="149"/>
        <v>0</v>
      </c>
      <c r="QT7" s="22">
        <f t="shared" si="150"/>
        <v>0</v>
      </c>
      <c r="QU7" s="22">
        <f t="shared" si="151"/>
        <v>9.4</v>
      </c>
      <c r="QV7" s="22">
        <f t="shared" si="152"/>
        <v>3.8</v>
      </c>
      <c r="QW7" s="22">
        <f t="shared" si="153"/>
        <v>0.1</v>
      </c>
      <c r="QX7" s="22">
        <f t="shared" si="154"/>
        <v>0</v>
      </c>
      <c r="QY7" s="27" t="s">
        <v>46</v>
      </c>
      <c r="QZ7" s="40">
        <f t="shared" si="155"/>
        <v>12.7</v>
      </c>
      <c r="RA7" s="40">
        <f t="shared" si="156"/>
        <v>49.050000000000004</v>
      </c>
      <c r="RB7" s="40">
        <f t="shared" si="157"/>
        <v>26.1</v>
      </c>
      <c r="RC7" s="40">
        <f t="shared" si="158"/>
        <v>21.35</v>
      </c>
      <c r="RD7" s="40">
        <f t="shared" si="159"/>
        <v>75.150000000000006</v>
      </c>
      <c r="RE7" s="40">
        <f t="shared" si="160"/>
        <v>5.1999999999999993</v>
      </c>
      <c r="RF7" s="40">
        <f t="shared" si="161"/>
        <v>23.349999999999998</v>
      </c>
      <c r="RG7" s="40">
        <f t="shared" si="162"/>
        <v>72.400000000000006</v>
      </c>
    </row>
    <row r="8" spans="1:475" x14ac:dyDescent="0.2">
      <c r="A8" s="4">
        <f t="shared" si="164"/>
        <v>5</v>
      </c>
      <c r="B8" s="5" t="s">
        <v>125</v>
      </c>
      <c r="C8" s="4" t="s">
        <v>3</v>
      </c>
      <c r="D8" s="4">
        <v>2002</v>
      </c>
      <c r="E8" s="9">
        <f t="shared" si="163"/>
        <v>180.90001281000514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51.8</v>
      </c>
      <c r="K8" s="8" t="str">
        <f t="shared" si="4"/>
        <v>2022 Nationals</v>
      </c>
      <c r="L8" s="8">
        <f>IF(COUNT(AQ8,BT8,CW8)&gt;1,LARGE((AQ8,BT8,CW8),2),0)</f>
        <v>51.2</v>
      </c>
      <c r="M8" s="8" t="str">
        <f t="shared" si="5"/>
        <v>2023 Elite Canada</v>
      </c>
      <c r="N8" s="8">
        <f>IF(COUNT(AR8,BU8,CX8)&gt;0,LARGE((AR8,BU8,CX8),1),0)</f>
        <v>25.099999999999998</v>
      </c>
      <c r="O8" s="8" t="str">
        <f t="shared" si="6"/>
        <v>2022 3rd Domestic Trial</v>
      </c>
      <c r="P8" s="8">
        <f t="shared" si="7"/>
        <v>51.999999999999993</v>
      </c>
      <c r="Q8" s="8" t="str">
        <f t="shared" si="8"/>
        <v>2022 Nationals</v>
      </c>
      <c r="R8" s="8">
        <f t="shared" si="9"/>
        <v>0.79999999999999005</v>
      </c>
      <c r="S8" s="11" t="str">
        <f t="shared" si="10"/>
        <v>(Q1)</v>
      </c>
      <c r="T8" s="8" t="str">
        <f t="shared" si="11"/>
        <v>2023 World Cup POR 1 (July 2)</v>
      </c>
      <c r="U8" s="19">
        <v>18.3</v>
      </c>
      <c r="V8" s="19">
        <v>8.4</v>
      </c>
      <c r="W8" s="19">
        <v>1</v>
      </c>
      <c r="X8" s="19">
        <v>0</v>
      </c>
      <c r="Y8" s="19">
        <v>19.3</v>
      </c>
      <c r="Z8" s="19">
        <v>6.8</v>
      </c>
      <c r="AA8" s="19">
        <v>0</v>
      </c>
      <c r="AB8" s="19">
        <v>0</v>
      </c>
      <c r="AC8" s="19">
        <v>19</v>
      </c>
      <c r="AD8" s="19">
        <v>6</v>
      </c>
      <c r="AE8" s="19">
        <v>0</v>
      </c>
      <c r="AF8" s="19">
        <v>0</v>
      </c>
      <c r="AG8" s="19">
        <v>18.5</v>
      </c>
      <c r="AH8" s="19">
        <v>8.4</v>
      </c>
      <c r="AI8" s="19">
        <v>0.6</v>
      </c>
      <c r="AJ8" s="19">
        <v>0</v>
      </c>
      <c r="AK8" s="19">
        <v>18.899999999999999</v>
      </c>
      <c r="AL8" s="19">
        <v>6.8</v>
      </c>
      <c r="AM8" s="19">
        <v>0</v>
      </c>
      <c r="AN8" s="19">
        <v>0</v>
      </c>
      <c r="AO8" s="27"/>
      <c r="AP8" s="40">
        <f t="shared" si="12"/>
        <v>15.2</v>
      </c>
      <c r="AQ8" s="40">
        <f t="shared" si="13"/>
        <v>51.8</v>
      </c>
      <c r="AR8" s="40">
        <f t="shared" si="14"/>
        <v>25</v>
      </c>
      <c r="AS8" s="40">
        <f t="shared" si="15"/>
        <v>21.2</v>
      </c>
      <c r="AT8" s="40">
        <f t="shared" si="16"/>
        <v>76.8</v>
      </c>
      <c r="AU8" s="40">
        <f t="shared" si="17"/>
        <v>15.2</v>
      </c>
      <c r="AV8" s="40">
        <f t="shared" si="18"/>
        <v>51.999999999999993</v>
      </c>
      <c r="AW8" s="40">
        <f t="shared" si="19"/>
        <v>103.79999999999998</v>
      </c>
      <c r="AX8" s="18">
        <v>18.399999999999999</v>
      </c>
      <c r="AY8" s="18">
        <v>6.8</v>
      </c>
      <c r="AZ8" s="18">
        <v>0.2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18.899999999999999</v>
      </c>
      <c r="BG8" s="18">
        <v>7.2</v>
      </c>
      <c r="BH8" s="18">
        <v>1</v>
      </c>
      <c r="BI8" s="18">
        <v>0</v>
      </c>
      <c r="BJ8" s="18">
        <v>18.100000000000001</v>
      </c>
      <c r="BK8" s="18">
        <v>6</v>
      </c>
      <c r="BL8" s="18">
        <v>0.8</v>
      </c>
      <c r="BM8" s="18">
        <v>0</v>
      </c>
      <c r="BN8" s="18">
        <v>18.7</v>
      </c>
      <c r="BO8" s="18">
        <v>7.2</v>
      </c>
      <c r="BP8" s="18">
        <v>0.6</v>
      </c>
      <c r="BQ8" s="18">
        <v>0</v>
      </c>
      <c r="BR8" s="28"/>
      <c r="BS8" s="11">
        <f t="shared" si="20"/>
        <v>12.8</v>
      </c>
      <c r="BT8" s="11">
        <f t="shared" si="21"/>
        <v>49.699999999999996</v>
      </c>
      <c r="BU8" s="11">
        <f t="shared" si="22"/>
        <v>25.099999999999998</v>
      </c>
      <c r="BV8" s="11">
        <f t="shared" si="23"/>
        <v>20</v>
      </c>
      <c r="BW8" s="11">
        <f t="shared" si="24"/>
        <v>74.8</v>
      </c>
      <c r="BX8" s="11">
        <f t="shared" si="25"/>
        <v>13.2</v>
      </c>
      <c r="BY8" s="11">
        <f t="shared" si="26"/>
        <v>48.6</v>
      </c>
      <c r="BZ8" s="11">
        <f t="shared" si="27"/>
        <v>98.3</v>
      </c>
      <c r="CA8" s="19">
        <v>19</v>
      </c>
      <c r="CB8" s="19">
        <v>6.8</v>
      </c>
      <c r="CC8" s="19">
        <v>0</v>
      </c>
      <c r="CD8" s="19">
        <v>0</v>
      </c>
      <c r="CE8" s="19">
        <v>18.399999999999999</v>
      </c>
      <c r="CF8" s="19">
        <v>7.2</v>
      </c>
      <c r="CG8" s="19">
        <v>0.2</v>
      </c>
      <c r="CH8" s="19">
        <v>0</v>
      </c>
      <c r="CI8" s="19">
        <v>18.100000000000001</v>
      </c>
      <c r="CJ8" s="19">
        <v>6.8</v>
      </c>
      <c r="CK8" s="19">
        <v>0</v>
      </c>
      <c r="CL8" s="19">
        <v>0</v>
      </c>
      <c r="CM8" s="19">
        <v>18</v>
      </c>
      <c r="CN8" s="19">
        <v>8.4</v>
      </c>
      <c r="CO8" s="19">
        <v>0.6</v>
      </c>
      <c r="CP8" s="19">
        <v>0</v>
      </c>
      <c r="CQ8" s="19">
        <v>18.600000000000001</v>
      </c>
      <c r="CR8" s="19">
        <v>6.8</v>
      </c>
      <c r="CS8" s="19">
        <v>0.2</v>
      </c>
      <c r="CT8" s="19">
        <v>0</v>
      </c>
      <c r="CU8" s="27"/>
      <c r="CV8" s="40">
        <f t="shared" si="28"/>
        <v>14</v>
      </c>
      <c r="CW8" s="40">
        <f t="shared" si="29"/>
        <v>51.2</v>
      </c>
      <c r="CX8" s="40">
        <f t="shared" si="30"/>
        <v>24.900000000000002</v>
      </c>
      <c r="CY8" s="40">
        <f t="shared" si="31"/>
        <v>20.8</v>
      </c>
      <c r="CZ8" s="40">
        <f t="shared" si="32"/>
        <v>76.100000000000009</v>
      </c>
      <c r="DA8" s="40">
        <f t="shared" si="33"/>
        <v>15.2</v>
      </c>
      <c r="DB8" s="40">
        <f t="shared" si="34"/>
        <v>51</v>
      </c>
      <c r="DC8" s="40">
        <f t="shared" si="35"/>
        <v>102.2</v>
      </c>
      <c r="DD8" s="50">
        <f t="shared" si="36"/>
        <v>0.79999999999999005</v>
      </c>
      <c r="DE8" s="50" t="str">
        <f t="shared" si="37"/>
        <v/>
      </c>
      <c r="DF8" s="50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>
        <v>18.399999999999999</v>
      </c>
      <c r="JT8" s="17">
        <v>8.4</v>
      </c>
      <c r="JU8" s="17">
        <v>0.6</v>
      </c>
      <c r="JV8" s="17">
        <v>0</v>
      </c>
      <c r="JW8" s="17">
        <v>18.600000000000001</v>
      </c>
      <c r="JX8" s="17">
        <v>6.8</v>
      </c>
      <c r="JY8" s="17">
        <v>0.2</v>
      </c>
      <c r="JZ8" s="17">
        <v>0</v>
      </c>
      <c r="KA8" s="17"/>
      <c r="KB8" s="17"/>
      <c r="KC8" s="17"/>
      <c r="KD8" s="17"/>
      <c r="KE8" s="17">
        <v>18.600000000000001</v>
      </c>
      <c r="KF8" s="17">
        <v>8.4</v>
      </c>
      <c r="KG8" s="17">
        <v>0.6</v>
      </c>
      <c r="KH8" s="17">
        <v>0</v>
      </c>
      <c r="KI8" s="17">
        <v>19.100000000000001</v>
      </c>
      <c r="KJ8" s="17">
        <v>6.8</v>
      </c>
      <c r="KK8" s="17">
        <v>0.6</v>
      </c>
      <c r="KL8" s="17">
        <v>0</v>
      </c>
      <c r="KM8" s="40">
        <f t="shared" si="87"/>
        <v>15.2</v>
      </c>
      <c r="KN8" s="40">
        <f t="shared" si="88"/>
        <v>51.399999999999991</v>
      </c>
      <c r="KO8" s="40" t="str">
        <f t="shared" si="89"/>
        <v/>
      </c>
      <c r="KP8" s="40">
        <f t="shared" si="90"/>
        <v>15.2</v>
      </c>
      <c r="KQ8" s="40">
        <f t="shared" si="91"/>
        <v>51.399999999999991</v>
      </c>
      <c r="KR8" s="40">
        <f t="shared" si="92"/>
        <v>15.2</v>
      </c>
      <c r="KS8" s="40">
        <f t="shared" si="93"/>
        <v>51.699999999999996</v>
      </c>
      <c r="KT8" s="40">
        <f t="shared" si="94"/>
        <v>103.1</v>
      </c>
      <c r="KU8" s="18">
        <v>18.600000000000001</v>
      </c>
      <c r="KV8" s="18">
        <v>8.4</v>
      </c>
      <c r="KW8" s="18">
        <v>0.6</v>
      </c>
      <c r="KX8" s="18">
        <v>0</v>
      </c>
      <c r="KY8" s="18">
        <v>18.8</v>
      </c>
      <c r="KZ8" s="18">
        <v>6.8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5"/>
        <v>15.2</v>
      </c>
      <c r="LP8" s="11">
        <f t="shared" si="96"/>
        <v>51.999999999999993</v>
      </c>
      <c r="LQ8" s="11" t="str">
        <f t="shared" si="97"/>
        <v/>
      </c>
      <c r="LR8" s="11">
        <f t="shared" si="98"/>
        <v>15.2</v>
      </c>
      <c r="LS8" s="11">
        <f t="shared" si="99"/>
        <v>51.999999999999993</v>
      </c>
      <c r="LT8" s="11" t="str">
        <f t="shared" si="100"/>
        <v/>
      </c>
      <c r="LU8" s="11" t="str">
        <f t="shared" si="101"/>
        <v/>
      </c>
      <c r="LV8" s="11">
        <f t="shared" si="102"/>
        <v>51.999999999999993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18.7</v>
      </c>
      <c r="QF8" s="22">
        <f t="shared" si="136"/>
        <v>6.8</v>
      </c>
      <c r="QG8" s="22">
        <f t="shared" si="137"/>
        <v>0.1</v>
      </c>
      <c r="QH8" s="22">
        <f t="shared" si="138"/>
        <v>0</v>
      </c>
      <c r="QI8" s="22">
        <f t="shared" si="139"/>
        <v>18.549999999999997</v>
      </c>
      <c r="QJ8" s="22">
        <f t="shared" si="140"/>
        <v>6.6</v>
      </c>
      <c r="QK8" s="22">
        <f t="shared" si="141"/>
        <v>0.1</v>
      </c>
      <c r="QL8" s="22">
        <f t="shared" si="142"/>
        <v>0</v>
      </c>
      <c r="QM8" s="22">
        <f t="shared" si="143"/>
        <v>18.5</v>
      </c>
      <c r="QN8" s="22">
        <f t="shared" si="144"/>
        <v>7</v>
      </c>
      <c r="QO8" s="22">
        <f t="shared" si="145"/>
        <v>0.5</v>
      </c>
      <c r="QP8" s="22">
        <f t="shared" si="146"/>
        <v>0</v>
      </c>
      <c r="QQ8" s="22">
        <f t="shared" si="147"/>
        <v>18.05</v>
      </c>
      <c r="QR8" s="22">
        <f t="shared" si="148"/>
        <v>7.2</v>
      </c>
      <c r="QS8" s="22">
        <f t="shared" si="149"/>
        <v>0.7</v>
      </c>
      <c r="QT8" s="22">
        <f t="shared" si="150"/>
        <v>0</v>
      </c>
      <c r="QU8" s="22">
        <f t="shared" si="151"/>
        <v>18.649999999999999</v>
      </c>
      <c r="QV8" s="22">
        <f t="shared" si="152"/>
        <v>7</v>
      </c>
      <c r="QW8" s="22">
        <f t="shared" si="153"/>
        <v>0.4</v>
      </c>
      <c r="QX8" s="22">
        <f t="shared" si="154"/>
        <v>0</v>
      </c>
      <c r="QY8" s="27" t="s">
        <v>46</v>
      </c>
      <c r="QZ8" s="40">
        <f t="shared" si="155"/>
        <v>13.399999999999999</v>
      </c>
      <c r="RA8" s="40">
        <f t="shared" si="156"/>
        <v>50.449999999999996</v>
      </c>
      <c r="RB8" s="40">
        <f t="shared" si="157"/>
        <v>25</v>
      </c>
      <c r="RC8" s="40">
        <f t="shared" si="158"/>
        <v>20.399999999999999</v>
      </c>
      <c r="RD8" s="40">
        <f t="shared" si="159"/>
        <v>75.449999999999989</v>
      </c>
      <c r="RE8" s="40">
        <f t="shared" si="160"/>
        <v>14.2</v>
      </c>
      <c r="RF8" s="40">
        <f t="shared" si="161"/>
        <v>49.8</v>
      </c>
      <c r="RG8" s="40">
        <f t="shared" si="162"/>
        <v>100.25</v>
      </c>
    </row>
    <row r="9" spans="1:475" x14ac:dyDescent="0.2">
      <c r="A9" s="4">
        <f t="shared" si="164"/>
        <v>6</v>
      </c>
      <c r="B9" s="5" t="s">
        <v>110</v>
      </c>
      <c r="C9" s="4" t="s">
        <v>4</v>
      </c>
      <c r="D9" s="4">
        <v>2004</v>
      </c>
      <c r="E9" s="9">
        <f t="shared" si="163"/>
        <v>179.40001281000508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50.8</v>
      </c>
      <c r="K9" s="8" t="str">
        <f t="shared" si="4"/>
        <v>2022 3rd Domestic Trial</v>
      </c>
      <c r="L9" s="8">
        <f>IF(COUNT(AQ9,BT9,CW9)&gt;1,LARGE((AQ9,BT9,CW9),2),0)</f>
        <v>50.8</v>
      </c>
      <c r="M9" s="8" t="str">
        <f t="shared" si="5"/>
        <v>2022 3rd Domestic Trial</v>
      </c>
      <c r="N9" s="8">
        <f>IF(COUNT(AR9,BU9,CX9)&gt;0,LARGE((AR9,BU9,CX9),1),0)</f>
        <v>26.5</v>
      </c>
      <c r="O9" s="8" t="str">
        <f t="shared" si="6"/>
        <v>2023 Elite Canada</v>
      </c>
      <c r="P9" s="8">
        <f t="shared" si="7"/>
        <v>51.300000000000004</v>
      </c>
      <c r="Q9" s="8" t="str">
        <f t="shared" si="8"/>
        <v>2023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</v>
      </c>
      <c r="V9" s="19">
        <v>6.8</v>
      </c>
      <c r="W9" s="19">
        <v>0</v>
      </c>
      <c r="X9" s="19">
        <v>0</v>
      </c>
      <c r="Y9" s="19">
        <v>19</v>
      </c>
      <c r="Z9" s="19">
        <v>6.4</v>
      </c>
      <c r="AA9" s="19">
        <v>0.4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18.600000000000001</v>
      </c>
      <c r="AL9" s="19">
        <v>7.2</v>
      </c>
      <c r="AM9" s="19">
        <v>0</v>
      </c>
      <c r="AN9" s="19">
        <v>0</v>
      </c>
      <c r="AO9" s="27"/>
      <c r="AP9" s="40">
        <f t="shared" si="12"/>
        <v>13.2</v>
      </c>
      <c r="AQ9" s="40">
        <f t="shared" si="13"/>
        <v>50.8</v>
      </c>
      <c r="AR9" s="40">
        <f t="shared" si="14"/>
        <v>24.8</v>
      </c>
      <c r="AS9" s="40">
        <f t="shared" si="15"/>
        <v>19.600000000000001</v>
      </c>
      <c r="AT9" s="40">
        <f t="shared" si="16"/>
        <v>75.599999999999994</v>
      </c>
      <c r="AU9" s="40">
        <f t="shared" si="17"/>
        <v>14.4</v>
      </c>
      <c r="AV9" s="40">
        <f t="shared" si="18"/>
        <v>51.300000000000004</v>
      </c>
      <c r="AW9" s="40">
        <f t="shared" si="19"/>
        <v>102.1</v>
      </c>
      <c r="AX9" s="18">
        <v>19</v>
      </c>
      <c r="AY9" s="18">
        <v>7.2</v>
      </c>
      <c r="AZ9" s="18">
        <v>0.6</v>
      </c>
      <c r="BA9" s="18">
        <v>0</v>
      </c>
      <c r="BB9" s="18">
        <v>18.399999999999999</v>
      </c>
      <c r="BC9" s="18">
        <v>7.6</v>
      </c>
      <c r="BD9" s="18">
        <v>0.8</v>
      </c>
      <c r="BE9" s="18">
        <v>0</v>
      </c>
      <c r="BF9" s="18">
        <v>18.600000000000001</v>
      </c>
      <c r="BG9" s="18">
        <v>6.4</v>
      </c>
      <c r="BH9" s="18">
        <v>0.8</v>
      </c>
      <c r="BI9" s="18">
        <v>0</v>
      </c>
      <c r="BJ9" s="18">
        <v>18.899999999999999</v>
      </c>
      <c r="BK9" s="18">
        <v>7.2</v>
      </c>
      <c r="BL9" s="18">
        <v>0.6</v>
      </c>
      <c r="BM9" s="18">
        <v>0</v>
      </c>
      <c r="BN9" s="18">
        <v>18.399999999999999</v>
      </c>
      <c r="BO9" s="18">
        <v>7.6</v>
      </c>
      <c r="BP9" s="18">
        <v>0.6</v>
      </c>
      <c r="BQ9" s="18">
        <v>0</v>
      </c>
      <c r="BR9" s="28"/>
      <c r="BS9" s="11">
        <f t="shared" si="20"/>
        <v>14.8</v>
      </c>
      <c r="BT9" s="11">
        <f t="shared" si="21"/>
        <v>50.8</v>
      </c>
      <c r="BU9" s="11">
        <f t="shared" si="22"/>
        <v>24.2</v>
      </c>
      <c r="BV9" s="11">
        <f t="shared" si="23"/>
        <v>21.200000000000003</v>
      </c>
      <c r="BW9" s="11">
        <f t="shared" si="24"/>
        <v>75</v>
      </c>
      <c r="BX9" s="11">
        <f t="shared" si="25"/>
        <v>14.8</v>
      </c>
      <c r="BY9" s="11">
        <f t="shared" si="26"/>
        <v>50.9</v>
      </c>
      <c r="BZ9" s="11">
        <f t="shared" si="27"/>
        <v>101.69999999999999</v>
      </c>
      <c r="CA9" s="19">
        <v>16.5</v>
      </c>
      <c r="CB9" s="19">
        <v>8.1</v>
      </c>
      <c r="CC9" s="19">
        <v>0.2</v>
      </c>
      <c r="CD9" s="19">
        <v>0.3</v>
      </c>
      <c r="CE9" s="19">
        <v>18.3</v>
      </c>
      <c r="CF9" s="19">
        <v>7.6</v>
      </c>
      <c r="CG9" s="19">
        <v>0.6</v>
      </c>
      <c r="CH9" s="19">
        <v>0</v>
      </c>
      <c r="CI9" s="19">
        <v>18.5</v>
      </c>
      <c r="CJ9" s="19">
        <v>8</v>
      </c>
      <c r="CK9" s="19">
        <v>0</v>
      </c>
      <c r="CL9" s="19">
        <v>0</v>
      </c>
      <c r="CM9" s="19">
        <v>18.3</v>
      </c>
      <c r="CN9" s="19">
        <v>7.3</v>
      </c>
      <c r="CO9" s="19">
        <v>0.2</v>
      </c>
      <c r="CP9" s="19">
        <v>0.3</v>
      </c>
      <c r="CQ9" s="19">
        <v>18.399999999999999</v>
      </c>
      <c r="CR9" s="19">
        <v>8</v>
      </c>
      <c r="CS9" s="19">
        <v>0.8</v>
      </c>
      <c r="CT9" s="19">
        <v>0</v>
      </c>
      <c r="CU9" s="27"/>
      <c r="CV9" s="40">
        <f t="shared" si="28"/>
        <v>15.7</v>
      </c>
      <c r="CW9" s="40">
        <f t="shared" si="29"/>
        <v>50</v>
      </c>
      <c r="CX9" s="40">
        <f t="shared" si="30"/>
        <v>26.5</v>
      </c>
      <c r="CY9" s="40">
        <f t="shared" si="31"/>
        <v>23.7</v>
      </c>
      <c r="CZ9" s="40">
        <f t="shared" si="32"/>
        <v>76.5</v>
      </c>
      <c r="DA9" s="40">
        <f t="shared" si="33"/>
        <v>15.3</v>
      </c>
      <c r="DB9" s="40">
        <f t="shared" si="34"/>
        <v>51.3</v>
      </c>
      <c r="DC9" s="40">
        <f t="shared" si="35"/>
        <v>101.3</v>
      </c>
      <c r="DD9" s="50" t="str">
        <f t="shared" si="36"/>
        <v/>
      </c>
      <c r="DE9" s="50" t="str">
        <f t="shared" si="37"/>
        <v/>
      </c>
      <c r="DF9" s="50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>
        <v>18.600000000000001</v>
      </c>
      <c r="HP9" s="17">
        <v>7.2</v>
      </c>
      <c r="HQ9" s="17">
        <v>0.2</v>
      </c>
      <c r="HR9" s="17">
        <v>0</v>
      </c>
      <c r="HS9" s="17">
        <v>18.8</v>
      </c>
      <c r="HT9" s="17">
        <v>7.6</v>
      </c>
      <c r="HU9" s="17">
        <v>1.2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 t="shared" si="71"/>
        <v>14.8</v>
      </c>
      <c r="IJ9" s="40">
        <f t="shared" si="72"/>
        <v>50.8</v>
      </c>
      <c r="IK9" s="40" t="str">
        <f t="shared" si="73"/>
        <v/>
      </c>
      <c r="IL9" s="40">
        <f t="shared" si="74"/>
        <v>14.8</v>
      </c>
      <c r="IM9" s="40">
        <f t="shared" si="75"/>
        <v>50.8</v>
      </c>
      <c r="IN9" s="40" t="str">
        <f t="shared" si="76"/>
        <v/>
      </c>
      <c r="IO9" s="40" t="str">
        <f t="shared" si="77"/>
        <v/>
      </c>
      <c r="IP9" s="40">
        <f t="shared" si="78"/>
        <v>50.8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>
        <v>0</v>
      </c>
      <c r="JT9" s="17">
        <v>0</v>
      </c>
      <c r="JU9" s="17">
        <v>0</v>
      </c>
      <c r="JV9" s="17">
        <v>0</v>
      </c>
      <c r="JW9" s="17">
        <v>18</v>
      </c>
      <c r="JX9" s="17">
        <v>5.2</v>
      </c>
      <c r="JY9" s="17">
        <v>0.6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 t="shared" si="87"/>
        <v>5.2</v>
      </c>
      <c r="KN9" s="40">
        <f t="shared" si="88"/>
        <v>22.599999999999998</v>
      </c>
      <c r="KO9" s="40" t="str">
        <f t="shared" si="89"/>
        <v/>
      </c>
      <c r="KP9" s="40">
        <f t="shared" si="90"/>
        <v>5.2</v>
      </c>
      <c r="KQ9" s="40">
        <f t="shared" si="91"/>
        <v>22.599999999999998</v>
      </c>
      <c r="KR9" s="40" t="str">
        <f t="shared" si="92"/>
        <v/>
      </c>
      <c r="KS9" s="40" t="str">
        <f t="shared" si="93"/>
        <v/>
      </c>
      <c r="KT9" s="40">
        <f t="shared" si="94"/>
        <v>22.599999999999998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17.75</v>
      </c>
      <c r="QF9" s="22">
        <f t="shared" si="136"/>
        <v>7.65</v>
      </c>
      <c r="QG9" s="22">
        <f t="shared" si="137"/>
        <v>0.4</v>
      </c>
      <c r="QH9" s="22">
        <f t="shared" si="138"/>
        <v>0.15</v>
      </c>
      <c r="QI9" s="22">
        <f t="shared" si="139"/>
        <v>18.350000000000001</v>
      </c>
      <c r="QJ9" s="22">
        <f t="shared" si="140"/>
        <v>7.6</v>
      </c>
      <c r="QK9" s="22">
        <f t="shared" si="141"/>
        <v>0.7</v>
      </c>
      <c r="QL9" s="22">
        <f t="shared" si="142"/>
        <v>0</v>
      </c>
      <c r="QM9" s="22">
        <f t="shared" si="143"/>
        <v>18.55</v>
      </c>
      <c r="QN9" s="22">
        <f t="shared" si="144"/>
        <v>7.2</v>
      </c>
      <c r="QO9" s="22">
        <f t="shared" si="145"/>
        <v>0.4</v>
      </c>
      <c r="QP9" s="22">
        <f t="shared" si="146"/>
        <v>0</v>
      </c>
      <c r="QQ9" s="22">
        <f t="shared" si="147"/>
        <v>18.600000000000001</v>
      </c>
      <c r="QR9" s="22">
        <f t="shared" si="148"/>
        <v>7.25</v>
      </c>
      <c r="QS9" s="22">
        <f t="shared" si="149"/>
        <v>0.4</v>
      </c>
      <c r="QT9" s="22">
        <f t="shared" si="150"/>
        <v>0.15</v>
      </c>
      <c r="QU9" s="22">
        <f t="shared" si="151"/>
        <v>18.399999999999999</v>
      </c>
      <c r="QV9" s="22">
        <f t="shared" si="152"/>
        <v>7.8</v>
      </c>
      <c r="QW9" s="22">
        <f t="shared" si="153"/>
        <v>0.7</v>
      </c>
      <c r="QX9" s="22">
        <f t="shared" si="154"/>
        <v>0</v>
      </c>
      <c r="QY9" s="27" t="s">
        <v>46</v>
      </c>
      <c r="QZ9" s="40">
        <f t="shared" si="155"/>
        <v>15.25</v>
      </c>
      <c r="RA9" s="40">
        <f t="shared" si="156"/>
        <v>50.4</v>
      </c>
      <c r="RB9" s="40">
        <f t="shared" si="157"/>
        <v>25.35</v>
      </c>
      <c r="RC9" s="40">
        <f t="shared" si="158"/>
        <v>22.45</v>
      </c>
      <c r="RD9" s="40">
        <f t="shared" si="159"/>
        <v>75.75</v>
      </c>
      <c r="RE9" s="40">
        <f t="shared" si="160"/>
        <v>15.05</v>
      </c>
      <c r="RF9" s="40">
        <f t="shared" si="161"/>
        <v>51.099999999999994</v>
      </c>
      <c r="RG9" s="40">
        <f t="shared" si="162"/>
        <v>101.5</v>
      </c>
    </row>
    <row r="10" spans="1:475" x14ac:dyDescent="0.2">
      <c r="A10" s="4">
        <f t="shared" si="164"/>
        <v>7</v>
      </c>
      <c r="B10" s="5" t="s">
        <v>75</v>
      </c>
      <c r="C10" s="4" t="s">
        <v>6</v>
      </c>
      <c r="D10" s="4">
        <v>2004</v>
      </c>
      <c r="E10" s="9">
        <f t="shared" si="163"/>
        <v>172.50001222000498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49.699999999999996</v>
      </c>
      <c r="K10" s="8" t="str">
        <f t="shared" si="4"/>
        <v>2023 Elite Canada</v>
      </c>
      <c r="L10" s="8">
        <f>IF(COUNT(AQ10,BT10,CW10)&gt;1,LARGE((AQ10,BT10,CW10),2),0)</f>
        <v>48.8</v>
      </c>
      <c r="M10" s="8" t="str">
        <f t="shared" si="5"/>
        <v>2022 Nationals</v>
      </c>
      <c r="N10" s="8">
        <f>IF(COUNT(AR10,BU10,CX10)&gt;0,LARGE((AR10,BU10,CX10),1),0)</f>
        <v>23.7</v>
      </c>
      <c r="O10" s="8" t="str">
        <f t="shared" si="6"/>
        <v>2022 3rd Domestic Trial</v>
      </c>
      <c r="P10" s="8">
        <f t="shared" si="7"/>
        <v>50.3</v>
      </c>
      <c r="Q10" s="8" t="str">
        <f t="shared" si="8"/>
        <v>2023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19.399999999999999</v>
      </c>
      <c r="V10" s="19">
        <v>5.2</v>
      </c>
      <c r="W10" s="19">
        <v>0</v>
      </c>
      <c r="X10" s="19">
        <v>0</v>
      </c>
      <c r="Y10" s="19">
        <v>19</v>
      </c>
      <c r="Z10" s="19">
        <v>5.2</v>
      </c>
      <c r="AA10" s="19">
        <v>0</v>
      </c>
      <c r="AB10" s="19">
        <v>0</v>
      </c>
      <c r="AC10" s="19">
        <v>19.399999999999999</v>
      </c>
      <c r="AD10" s="19">
        <v>4.3</v>
      </c>
      <c r="AE10" s="19">
        <v>0</v>
      </c>
      <c r="AF10" s="19">
        <v>0</v>
      </c>
      <c r="AG10" s="19">
        <v>19</v>
      </c>
      <c r="AH10" s="19">
        <v>6</v>
      </c>
      <c r="AI10" s="19">
        <v>0</v>
      </c>
      <c r="AJ10" s="19">
        <v>0</v>
      </c>
      <c r="AK10" s="19">
        <v>19</v>
      </c>
      <c r="AL10" s="19">
        <v>5.6</v>
      </c>
      <c r="AM10" s="19">
        <v>0</v>
      </c>
      <c r="AN10" s="19">
        <v>0</v>
      </c>
      <c r="AO10" s="27"/>
      <c r="AP10" s="40">
        <f t="shared" si="12"/>
        <v>10.4</v>
      </c>
      <c r="AQ10" s="40">
        <f t="shared" si="13"/>
        <v>48.8</v>
      </c>
      <c r="AR10" s="40">
        <f t="shared" si="14"/>
        <v>23.7</v>
      </c>
      <c r="AS10" s="40">
        <f t="shared" si="15"/>
        <v>14.7</v>
      </c>
      <c r="AT10" s="40">
        <f t="shared" si="16"/>
        <v>72.5</v>
      </c>
      <c r="AU10" s="40">
        <f t="shared" si="17"/>
        <v>11.6</v>
      </c>
      <c r="AV10" s="40">
        <f t="shared" si="18"/>
        <v>49.6</v>
      </c>
      <c r="AW10" s="40">
        <f t="shared" si="19"/>
        <v>98.4</v>
      </c>
      <c r="AX10" s="18">
        <v>19</v>
      </c>
      <c r="AY10" s="18">
        <v>5.2</v>
      </c>
      <c r="AZ10" s="18">
        <v>0.3</v>
      </c>
      <c r="BA10" s="18">
        <v>0</v>
      </c>
      <c r="BB10" s="18">
        <v>18.95</v>
      </c>
      <c r="BC10" s="18">
        <v>5.2</v>
      </c>
      <c r="BD10" s="18">
        <v>0</v>
      </c>
      <c r="BE10" s="18">
        <v>0</v>
      </c>
      <c r="BF10" s="18">
        <v>19.399999999999999</v>
      </c>
      <c r="BG10" s="18">
        <v>4.3</v>
      </c>
      <c r="BH10" s="18">
        <v>0</v>
      </c>
      <c r="BI10" s="18">
        <v>0</v>
      </c>
      <c r="BJ10" s="18">
        <v>18.899999999999999</v>
      </c>
      <c r="BK10" s="18">
        <v>5.6</v>
      </c>
      <c r="BL10" s="18">
        <v>0</v>
      </c>
      <c r="BM10" s="18">
        <v>0</v>
      </c>
      <c r="BN10" s="18">
        <v>18.850000000000001</v>
      </c>
      <c r="BO10" s="18">
        <v>5.4</v>
      </c>
      <c r="BP10" s="18">
        <v>0.1</v>
      </c>
      <c r="BQ10" s="18">
        <v>0</v>
      </c>
      <c r="BR10" s="28" t="s">
        <v>46</v>
      </c>
      <c r="BS10" s="11">
        <f t="shared" si="20"/>
        <v>10.4</v>
      </c>
      <c r="BT10" s="11">
        <f t="shared" si="21"/>
        <v>48.050000000000004</v>
      </c>
      <c r="BU10" s="11">
        <f t="shared" si="22"/>
        <v>23.7</v>
      </c>
      <c r="BV10" s="11">
        <f t="shared" si="23"/>
        <v>14.7</v>
      </c>
      <c r="BW10" s="11">
        <f t="shared" si="24"/>
        <v>71.75</v>
      </c>
      <c r="BX10" s="11">
        <f t="shared" si="25"/>
        <v>11</v>
      </c>
      <c r="BY10" s="11">
        <f t="shared" si="26"/>
        <v>48.65</v>
      </c>
      <c r="BZ10" s="11">
        <f t="shared" si="27"/>
        <v>96.7</v>
      </c>
      <c r="CA10" s="19">
        <v>18.7</v>
      </c>
      <c r="CB10" s="19">
        <v>6</v>
      </c>
      <c r="CC10" s="19">
        <v>0</v>
      </c>
      <c r="CD10" s="19">
        <v>0</v>
      </c>
      <c r="CE10" s="19">
        <v>18.600000000000001</v>
      </c>
      <c r="CF10" s="19">
        <v>6.4</v>
      </c>
      <c r="CG10" s="19">
        <v>0</v>
      </c>
      <c r="CH10" s="19">
        <v>0</v>
      </c>
      <c r="CI10" s="19">
        <v>19.2</v>
      </c>
      <c r="CJ10" s="19">
        <v>4.3</v>
      </c>
      <c r="CK10" s="19">
        <v>0</v>
      </c>
      <c r="CL10" s="19">
        <v>0</v>
      </c>
      <c r="CM10" s="19">
        <v>18.899999999999999</v>
      </c>
      <c r="CN10" s="19">
        <v>6</v>
      </c>
      <c r="CO10" s="19">
        <v>0</v>
      </c>
      <c r="CP10" s="19">
        <v>0</v>
      </c>
      <c r="CQ10" s="19">
        <v>19</v>
      </c>
      <c r="CR10" s="19">
        <v>6.4</v>
      </c>
      <c r="CS10" s="19">
        <v>0</v>
      </c>
      <c r="CT10" s="19">
        <v>0</v>
      </c>
      <c r="CU10" s="27"/>
      <c r="CV10" s="40">
        <f t="shared" si="28"/>
        <v>12.4</v>
      </c>
      <c r="CW10" s="40">
        <f t="shared" si="29"/>
        <v>49.699999999999996</v>
      </c>
      <c r="CX10" s="40">
        <f t="shared" si="30"/>
        <v>23.5</v>
      </c>
      <c r="CY10" s="40">
        <f t="shared" si="31"/>
        <v>16.7</v>
      </c>
      <c r="CZ10" s="40">
        <f t="shared" si="32"/>
        <v>73.199999999999989</v>
      </c>
      <c r="DA10" s="40">
        <f t="shared" si="33"/>
        <v>12.4</v>
      </c>
      <c r="DB10" s="40">
        <f t="shared" si="34"/>
        <v>50.3</v>
      </c>
      <c r="DC10" s="40">
        <f t="shared" si="35"/>
        <v>100</v>
      </c>
      <c r="DD10" s="50" t="str">
        <f t="shared" si="36"/>
        <v/>
      </c>
      <c r="DE10" s="50" t="str">
        <f t="shared" si="37"/>
        <v/>
      </c>
      <c r="DF10" s="50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>
        <v>17.399999999999999</v>
      </c>
      <c r="HP10" s="17">
        <v>2.8</v>
      </c>
      <c r="HQ10" s="17">
        <v>0</v>
      </c>
      <c r="HR10" s="17">
        <v>0</v>
      </c>
      <c r="HS10" s="17">
        <v>18.8</v>
      </c>
      <c r="HT10" s="17">
        <v>6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 t="shared" si="71"/>
        <v>8.8000000000000007</v>
      </c>
      <c r="IJ10" s="40">
        <f t="shared" si="72"/>
        <v>44.4</v>
      </c>
      <c r="IK10" s="40" t="str">
        <f t="shared" si="73"/>
        <v/>
      </c>
      <c r="IL10" s="40">
        <f t="shared" si="74"/>
        <v>8.8000000000000007</v>
      </c>
      <c r="IM10" s="40">
        <f t="shared" si="75"/>
        <v>44.4</v>
      </c>
      <c r="IN10" s="40" t="str">
        <f t="shared" si="76"/>
        <v/>
      </c>
      <c r="IO10" s="40" t="str">
        <f t="shared" si="77"/>
        <v/>
      </c>
      <c r="IP10" s="40">
        <f t="shared" si="78"/>
        <v>44.4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18.850000000000001</v>
      </c>
      <c r="QF10" s="22">
        <f t="shared" si="136"/>
        <v>5.6</v>
      </c>
      <c r="QG10" s="22">
        <f t="shared" si="137"/>
        <v>0.15</v>
      </c>
      <c r="QH10" s="22">
        <f t="shared" si="138"/>
        <v>0</v>
      </c>
      <c r="QI10" s="22">
        <f t="shared" si="139"/>
        <v>18.774999999999999</v>
      </c>
      <c r="QJ10" s="22">
        <f t="shared" si="140"/>
        <v>5.8000000000000007</v>
      </c>
      <c r="QK10" s="22">
        <f t="shared" si="141"/>
        <v>0</v>
      </c>
      <c r="QL10" s="22">
        <f t="shared" si="142"/>
        <v>0</v>
      </c>
      <c r="QM10" s="22">
        <f t="shared" si="143"/>
        <v>19.299999999999997</v>
      </c>
      <c r="QN10" s="22">
        <f t="shared" si="144"/>
        <v>4.3</v>
      </c>
      <c r="QO10" s="22">
        <f t="shared" si="145"/>
        <v>0</v>
      </c>
      <c r="QP10" s="22">
        <f t="shared" si="146"/>
        <v>0</v>
      </c>
      <c r="QQ10" s="22">
        <f t="shared" si="147"/>
        <v>18.899999999999999</v>
      </c>
      <c r="QR10" s="22">
        <f t="shared" si="148"/>
        <v>5.8</v>
      </c>
      <c r="QS10" s="22">
        <f t="shared" si="149"/>
        <v>0</v>
      </c>
      <c r="QT10" s="22">
        <f t="shared" si="150"/>
        <v>0</v>
      </c>
      <c r="QU10" s="22">
        <f t="shared" si="151"/>
        <v>18.925000000000001</v>
      </c>
      <c r="QV10" s="22">
        <f t="shared" si="152"/>
        <v>5.9</v>
      </c>
      <c r="QW10" s="22">
        <f t="shared" si="153"/>
        <v>0.05</v>
      </c>
      <c r="QX10" s="22">
        <f t="shared" si="154"/>
        <v>0</v>
      </c>
      <c r="QY10" s="27" t="s">
        <v>46</v>
      </c>
      <c r="QZ10" s="40">
        <f t="shared" si="155"/>
        <v>11.4</v>
      </c>
      <c r="RA10" s="40">
        <f t="shared" si="156"/>
        <v>48.875000000000007</v>
      </c>
      <c r="RB10" s="40">
        <f t="shared" si="157"/>
        <v>23.599999999999998</v>
      </c>
      <c r="RC10" s="40">
        <f t="shared" si="158"/>
        <v>15.7</v>
      </c>
      <c r="RD10" s="40">
        <f t="shared" si="159"/>
        <v>72.475000000000009</v>
      </c>
      <c r="RE10" s="40">
        <f t="shared" si="160"/>
        <v>11.7</v>
      </c>
      <c r="RF10" s="40">
        <f t="shared" si="161"/>
        <v>49.475000000000001</v>
      </c>
      <c r="RG10" s="40">
        <f t="shared" si="162"/>
        <v>98.350000000000009</v>
      </c>
    </row>
    <row r="11" spans="1:475" x14ac:dyDescent="0.2">
      <c r="A11" s="4">
        <f t="shared" si="164"/>
        <v>8</v>
      </c>
      <c r="B11" s="5" t="s">
        <v>177</v>
      </c>
      <c r="C11" s="4" t="s">
        <v>122</v>
      </c>
      <c r="D11" s="4">
        <v>2005</v>
      </c>
      <c r="E11" s="9">
        <f t="shared" si="163"/>
        <v>170.80001210000484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48.400000000000006</v>
      </c>
      <c r="K11" s="8" t="str">
        <f t="shared" si="4"/>
        <v>2023 Elite Canada</v>
      </c>
      <c r="L11" s="8">
        <f>IF(COUNT(AQ11,BT11,CW11)&gt;1,LARGE((AQ11,BT11,CW11),2),0)</f>
        <v>48</v>
      </c>
      <c r="M11" s="8" t="str">
        <f t="shared" si="5"/>
        <v>2022 Nationals</v>
      </c>
      <c r="N11" s="8">
        <f>IF(COUNT(AR11,BU11,CX11)&gt;0,LARGE((AR11,BU11,CX11),1),0)</f>
        <v>24.6</v>
      </c>
      <c r="O11" s="8" t="str">
        <f t="shared" si="6"/>
        <v>2023 Elite Canada</v>
      </c>
      <c r="P11" s="8">
        <f t="shared" si="7"/>
        <v>49.800000000000004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5.6</v>
      </c>
      <c r="W11" s="19">
        <v>0.8</v>
      </c>
      <c r="X11" s="19">
        <v>0</v>
      </c>
      <c r="Y11" s="19">
        <v>18.8</v>
      </c>
      <c r="Z11" s="19">
        <v>6</v>
      </c>
      <c r="AA11" s="19">
        <v>0.2</v>
      </c>
      <c r="AB11" s="19">
        <v>0</v>
      </c>
      <c r="AC11" s="19">
        <v>18.8</v>
      </c>
      <c r="AD11" s="19">
        <v>4</v>
      </c>
      <c r="AE11" s="19">
        <v>0.6</v>
      </c>
      <c r="AF11" s="19">
        <v>0</v>
      </c>
      <c r="AG11" s="19">
        <v>18.3</v>
      </c>
      <c r="AH11" s="19">
        <v>5.6</v>
      </c>
      <c r="AI11" s="19">
        <v>0.8</v>
      </c>
      <c r="AJ11" s="19">
        <v>0</v>
      </c>
      <c r="AK11" s="19">
        <v>18.600000000000001</v>
      </c>
      <c r="AL11" s="19">
        <v>6</v>
      </c>
      <c r="AM11" s="19">
        <v>0</v>
      </c>
      <c r="AN11" s="19">
        <v>0</v>
      </c>
      <c r="AO11" s="27"/>
      <c r="AP11" s="40">
        <f t="shared" si="12"/>
        <v>11.6</v>
      </c>
      <c r="AQ11" s="40">
        <f t="shared" si="13"/>
        <v>48</v>
      </c>
      <c r="AR11" s="40">
        <f t="shared" si="14"/>
        <v>22.2</v>
      </c>
      <c r="AS11" s="40">
        <f t="shared" si="15"/>
        <v>15.6</v>
      </c>
      <c r="AT11" s="40">
        <f t="shared" si="16"/>
        <v>70.2</v>
      </c>
      <c r="AU11" s="40">
        <f t="shared" si="17"/>
        <v>11.6</v>
      </c>
      <c r="AV11" s="40">
        <f t="shared" si="18"/>
        <v>47.7</v>
      </c>
      <c r="AW11" s="40">
        <f t="shared" si="19"/>
        <v>95.7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0"/>
        <v/>
      </c>
      <c r="BT11" s="11" t="str">
        <f t="shared" si="21"/>
        <v/>
      </c>
      <c r="BU11" s="11" t="str">
        <f t="shared" si="22"/>
        <v/>
      </c>
      <c r="BV11" s="11" t="str">
        <f t="shared" si="23"/>
        <v/>
      </c>
      <c r="BW11" s="11" t="str">
        <f t="shared" si="24"/>
        <v/>
      </c>
      <c r="BX11" s="11" t="str">
        <f t="shared" si="25"/>
        <v/>
      </c>
      <c r="BY11" s="11" t="str">
        <f t="shared" si="26"/>
        <v/>
      </c>
      <c r="BZ11" s="11" t="str">
        <f t="shared" si="27"/>
        <v/>
      </c>
      <c r="CA11" s="19">
        <v>18.600000000000001</v>
      </c>
      <c r="CB11" s="19">
        <v>6</v>
      </c>
      <c r="CC11" s="19">
        <v>0.8</v>
      </c>
      <c r="CD11" s="19">
        <v>0</v>
      </c>
      <c r="CE11" s="19">
        <v>18.8</v>
      </c>
      <c r="CF11" s="19">
        <v>6.4</v>
      </c>
      <c r="CG11" s="19">
        <v>0.6</v>
      </c>
      <c r="CH11" s="19">
        <v>0</v>
      </c>
      <c r="CI11" s="19">
        <v>18.600000000000001</v>
      </c>
      <c r="CJ11" s="19">
        <v>6</v>
      </c>
      <c r="CK11" s="19">
        <v>0</v>
      </c>
      <c r="CL11" s="19">
        <v>0</v>
      </c>
      <c r="CM11" s="19">
        <v>18.7</v>
      </c>
      <c r="CN11" s="19">
        <v>6.8</v>
      </c>
      <c r="CO11" s="19">
        <v>0.6</v>
      </c>
      <c r="CP11" s="19">
        <v>0</v>
      </c>
      <c r="CQ11" s="19">
        <v>18.7</v>
      </c>
      <c r="CR11" s="19">
        <v>6.4</v>
      </c>
      <c r="CS11" s="19">
        <v>0.2</v>
      </c>
      <c r="CT11" s="19">
        <v>0</v>
      </c>
      <c r="CU11" s="27"/>
      <c r="CV11" s="40">
        <f t="shared" si="28"/>
        <v>12.4</v>
      </c>
      <c r="CW11" s="40">
        <f t="shared" si="29"/>
        <v>48.400000000000006</v>
      </c>
      <c r="CX11" s="40">
        <f t="shared" si="30"/>
        <v>24.6</v>
      </c>
      <c r="CY11" s="40">
        <f t="shared" si="31"/>
        <v>18.399999999999999</v>
      </c>
      <c r="CZ11" s="40">
        <f t="shared" si="32"/>
        <v>73</v>
      </c>
      <c r="DA11" s="40">
        <f t="shared" si="33"/>
        <v>13.2</v>
      </c>
      <c r="DB11" s="40">
        <f t="shared" si="34"/>
        <v>49.800000000000004</v>
      </c>
      <c r="DC11" s="40">
        <f t="shared" si="35"/>
        <v>98.200000000000017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9.3000000000000007</v>
      </c>
      <c r="QF11" s="22">
        <f t="shared" si="136"/>
        <v>3</v>
      </c>
      <c r="QG11" s="22">
        <f t="shared" si="137"/>
        <v>0.4</v>
      </c>
      <c r="QH11" s="22">
        <f t="shared" si="138"/>
        <v>0</v>
      </c>
      <c r="QI11" s="22">
        <f t="shared" si="139"/>
        <v>9.4</v>
      </c>
      <c r="QJ11" s="22">
        <f t="shared" si="140"/>
        <v>3.2</v>
      </c>
      <c r="QK11" s="22">
        <f t="shared" si="141"/>
        <v>0.3</v>
      </c>
      <c r="QL11" s="22">
        <f t="shared" si="142"/>
        <v>0</v>
      </c>
      <c r="QM11" s="22">
        <f t="shared" si="143"/>
        <v>9.3000000000000007</v>
      </c>
      <c r="QN11" s="22">
        <f t="shared" si="144"/>
        <v>3</v>
      </c>
      <c r="QO11" s="22">
        <f t="shared" si="145"/>
        <v>0</v>
      </c>
      <c r="QP11" s="22">
        <f t="shared" si="146"/>
        <v>0</v>
      </c>
      <c r="QQ11" s="22">
        <f t="shared" si="147"/>
        <v>9.35</v>
      </c>
      <c r="QR11" s="22">
        <f t="shared" si="148"/>
        <v>3.4</v>
      </c>
      <c r="QS11" s="22">
        <f t="shared" si="149"/>
        <v>0.3</v>
      </c>
      <c r="QT11" s="22">
        <f t="shared" si="150"/>
        <v>0</v>
      </c>
      <c r="QU11" s="22">
        <f t="shared" si="151"/>
        <v>9.35</v>
      </c>
      <c r="QV11" s="22">
        <f t="shared" si="152"/>
        <v>3.2</v>
      </c>
      <c r="QW11" s="22">
        <f t="shared" si="153"/>
        <v>0.1</v>
      </c>
      <c r="QX11" s="22">
        <f t="shared" si="154"/>
        <v>0</v>
      </c>
      <c r="QY11" s="27" t="s">
        <v>46</v>
      </c>
      <c r="QZ11" s="40">
        <f t="shared" si="155"/>
        <v>6.2</v>
      </c>
      <c r="RA11" s="40">
        <f t="shared" si="156"/>
        <v>24.200000000000003</v>
      </c>
      <c r="RB11" s="40">
        <f t="shared" si="157"/>
        <v>12.3</v>
      </c>
      <c r="RC11" s="40">
        <f t="shared" si="158"/>
        <v>9.1999999999999993</v>
      </c>
      <c r="RD11" s="40">
        <f t="shared" si="159"/>
        <v>36.5</v>
      </c>
      <c r="RE11" s="40">
        <f t="shared" si="160"/>
        <v>6.6</v>
      </c>
      <c r="RF11" s="40">
        <f t="shared" si="161"/>
        <v>24.900000000000002</v>
      </c>
      <c r="RG11" s="40">
        <f t="shared" si="162"/>
        <v>49.100000000000009</v>
      </c>
    </row>
    <row r="12" spans="1:475" x14ac:dyDescent="0.2">
      <c r="A12" s="4">
        <f t="shared" si="164"/>
        <v>9</v>
      </c>
      <c r="B12" s="5" t="s">
        <v>105</v>
      </c>
      <c r="C12" s="4" t="s">
        <v>5</v>
      </c>
      <c r="D12" s="4">
        <v>2003</v>
      </c>
      <c r="E12" s="9">
        <f t="shared" si="163"/>
        <v>165.90001227000519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52.100000000000009</v>
      </c>
      <c r="K12" s="8" t="str">
        <f t="shared" si="4"/>
        <v>2022 3rd Domestic Trial</v>
      </c>
      <c r="L12" s="8">
        <f>IF(COUNT(AQ12,BT12,CW12)&gt;1,LARGE((AQ12,BT12,CW12),2),0)</f>
        <v>45.499999999999993</v>
      </c>
      <c r="M12" s="8" t="str">
        <f t="shared" si="5"/>
        <v>2023 Elite Canada</v>
      </c>
      <c r="N12" s="8">
        <f>IF(COUNT(AR12,BU12,CX12)&gt;0,LARGE((AR12,BU12,CX12),1),0)</f>
        <v>25.099999999999998</v>
      </c>
      <c r="O12" s="8" t="str">
        <f t="shared" si="6"/>
        <v>2022 Nationals</v>
      </c>
      <c r="P12" s="8">
        <f t="shared" si="7"/>
        <v>43.2</v>
      </c>
      <c r="Q12" s="8" t="str">
        <f t="shared" si="8"/>
        <v>2022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17.8</v>
      </c>
      <c r="V12" s="19">
        <v>4.8</v>
      </c>
      <c r="W12" s="19">
        <v>1.7999999999999998</v>
      </c>
      <c r="X12" s="19">
        <v>0</v>
      </c>
      <c r="Y12" s="19">
        <v>16.600000000000001</v>
      </c>
      <c r="Z12" s="19">
        <v>7.7</v>
      </c>
      <c r="AA12" s="19">
        <v>0.8</v>
      </c>
      <c r="AB12" s="19">
        <v>0</v>
      </c>
      <c r="AC12" s="19">
        <v>18.2</v>
      </c>
      <c r="AD12" s="19">
        <v>7.7</v>
      </c>
      <c r="AE12" s="19">
        <v>0.8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 t="shared" si="12"/>
        <v>12.5</v>
      </c>
      <c r="AQ12" s="40">
        <f t="shared" si="13"/>
        <v>44.300000000000011</v>
      </c>
      <c r="AR12" s="40">
        <f t="shared" si="14"/>
        <v>25.099999999999998</v>
      </c>
      <c r="AS12" s="40">
        <f t="shared" si="15"/>
        <v>20.2</v>
      </c>
      <c r="AT12" s="40">
        <f t="shared" si="16"/>
        <v>69.400000000000006</v>
      </c>
      <c r="AU12" s="40" t="str">
        <f t="shared" si="17"/>
        <v/>
      </c>
      <c r="AV12" s="40" t="str">
        <f t="shared" si="18"/>
        <v/>
      </c>
      <c r="AW12" s="40">
        <f t="shared" si="19"/>
        <v>44.300000000000011</v>
      </c>
      <c r="AX12" s="18">
        <v>18.600000000000001</v>
      </c>
      <c r="AY12" s="18">
        <v>8.1</v>
      </c>
      <c r="AZ12" s="18">
        <v>0.6</v>
      </c>
      <c r="BA12" s="18">
        <v>0.3</v>
      </c>
      <c r="BB12" s="18">
        <v>18.600000000000001</v>
      </c>
      <c r="BC12" s="18">
        <v>7.7</v>
      </c>
      <c r="BD12" s="18">
        <v>0.6</v>
      </c>
      <c r="BE12" s="18">
        <v>0</v>
      </c>
      <c r="BF12" s="18">
        <v>17.399999999999999</v>
      </c>
      <c r="BG12" s="18">
        <v>2.4</v>
      </c>
      <c r="BH12" s="18">
        <v>0</v>
      </c>
      <c r="BI12" s="18">
        <v>0</v>
      </c>
      <c r="BJ12" s="18">
        <v>18.399999999999999</v>
      </c>
      <c r="BK12" s="18">
        <v>5.2</v>
      </c>
      <c r="BL12" s="18">
        <v>1</v>
      </c>
      <c r="BM12" s="18">
        <v>0</v>
      </c>
      <c r="BN12" s="18">
        <v>17.399999999999999</v>
      </c>
      <c r="BO12" s="18">
        <v>3.2</v>
      </c>
      <c r="BP12" s="18">
        <v>0</v>
      </c>
      <c r="BQ12" s="18">
        <v>0</v>
      </c>
      <c r="BR12" s="28"/>
      <c r="BS12" s="11">
        <f t="shared" si="20"/>
        <v>15.8</v>
      </c>
      <c r="BT12" s="11">
        <f t="shared" si="21"/>
        <v>52.100000000000009</v>
      </c>
      <c r="BU12" s="11">
        <f t="shared" si="22"/>
        <v>19.799999999999997</v>
      </c>
      <c r="BV12" s="11">
        <f t="shared" si="23"/>
        <v>18.2</v>
      </c>
      <c r="BW12" s="11">
        <f t="shared" si="24"/>
        <v>71.900000000000006</v>
      </c>
      <c r="BX12" s="11">
        <f t="shared" si="25"/>
        <v>8.4</v>
      </c>
      <c r="BY12" s="11">
        <f t="shared" si="26"/>
        <v>43.2</v>
      </c>
      <c r="BZ12" s="11">
        <f t="shared" si="27"/>
        <v>95.300000000000011</v>
      </c>
      <c r="CA12" s="19">
        <v>17.399999999999999</v>
      </c>
      <c r="CB12" s="19">
        <v>2.4</v>
      </c>
      <c r="CC12" s="19">
        <v>0</v>
      </c>
      <c r="CD12" s="19">
        <v>0</v>
      </c>
      <c r="CE12" s="19">
        <v>18.399999999999999</v>
      </c>
      <c r="CF12" s="19">
        <v>7.3</v>
      </c>
      <c r="CG12" s="19">
        <v>0</v>
      </c>
      <c r="CH12" s="19">
        <v>0</v>
      </c>
      <c r="CI12" s="19">
        <v>17.399999999999999</v>
      </c>
      <c r="CJ12" s="19">
        <v>4.4000000000000004</v>
      </c>
      <c r="CK12" s="19">
        <v>2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9.6999999999999993</v>
      </c>
      <c r="CW12" s="40">
        <f t="shared" si="29"/>
        <v>45.499999999999993</v>
      </c>
      <c r="CX12" s="40">
        <f t="shared" si="30"/>
        <v>19.799999999999997</v>
      </c>
      <c r="CY12" s="40">
        <f t="shared" si="31"/>
        <v>14.1</v>
      </c>
      <c r="CZ12" s="40">
        <f t="shared" si="32"/>
        <v>65.299999999999983</v>
      </c>
      <c r="DA12" s="40" t="str">
        <f t="shared" si="33"/>
        <v/>
      </c>
      <c r="DB12" s="40" t="str">
        <f t="shared" si="34"/>
        <v/>
      </c>
      <c r="DC12" s="40">
        <f t="shared" si="35"/>
        <v>45.499999999999993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18</v>
      </c>
      <c r="QF12" s="22">
        <f t="shared" si="136"/>
        <v>5.25</v>
      </c>
      <c r="QG12" s="22">
        <f t="shared" si="137"/>
        <v>0.3</v>
      </c>
      <c r="QH12" s="22">
        <f t="shared" si="138"/>
        <v>0.15</v>
      </c>
      <c r="QI12" s="22">
        <f t="shared" si="139"/>
        <v>18.5</v>
      </c>
      <c r="QJ12" s="22">
        <f t="shared" si="140"/>
        <v>7.5</v>
      </c>
      <c r="QK12" s="22">
        <f t="shared" si="141"/>
        <v>0.3</v>
      </c>
      <c r="QL12" s="22">
        <f t="shared" si="142"/>
        <v>0</v>
      </c>
      <c r="QM12" s="22">
        <f t="shared" si="143"/>
        <v>17.399999999999999</v>
      </c>
      <c r="QN12" s="22">
        <f t="shared" si="144"/>
        <v>3.4000000000000004</v>
      </c>
      <c r="QO12" s="22">
        <f t="shared" si="145"/>
        <v>1</v>
      </c>
      <c r="QP12" s="22">
        <f t="shared" si="146"/>
        <v>0</v>
      </c>
      <c r="QQ12" s="22">
        <f t="shared" si="147"/>
        <v>9.1999999999999993</v>
      </c>
      <c r="QR12" s="22">
        <f t="shared" si="148"/>
        <v>2.6</v>
      </c>
      <c r="QS12" s="22">
        <f t="shared" si="149"/>
        <v>0.5</v>
      </c>
      <c r="QT12" s="22">
        <f t="shared" si="150"/>
        <v>0</v>
      </c>
      <c r="QU12" s="22">
        <f t="shared" si="151"/>
        <v>8.6999999999999993</v>
      </c>
      <c r="QV12" s="22">
        <f t="shared" si="152"/>
        <v>1.6</v>
      </c>
      <c r="QW12" s="22">
        <f t="shared" si="153"/>
        <v>0</v>
      </c>
      <c r="QX12" s="22">
        <f t="shared" si="154"/>
        <v>0</v>
      </c>
      <c r="QY12" s="27" t="s">
        <v>46</v>
      </c>
      <c r="QZ12" s="40">
        <f t="shared" si="155"/>
        <v>12.75</v>
      </c>
      <c r="RA12" s="40">
        <f t="shared" si="156"/>
        <v>48.800000000000004</v>
      </c>
      <c r="RB12" s="40">
        <f t="shared" si="157"/>
        <v>19.799999999999997</v>
      </c>
      <c r="RC12" s="40">
        <f t="shared" si="158"/>
        <v>16.149999999999999</v>
      </c>
      <c r="RD12" s="40">
        <f t="shared" si="159"/>
        <v>68.599999999999994</v>
      </c>
      <c r="RE12" s="40">
        <f t="shared" si="160"/>
        <v>4.2</v>
      </c>
      <c r="RF12" s="40">
        <f t="shared" si="161"/>
        <v>21.6</v>
      </c>
      <c r="RG12" s="40">
        <f t="shared" si="162"/>
        <v>70.400000000000006</v>
      </c>
    </row>
    <row r="13" spans="1:475" x14ac:dyDescent="0.2">
      <c r="A13" s="4">
        <f t="shared" si="164"/>
        <v>10</v>
      </c>
      <c r="B13" s="5" t="s">
        <v>176</v>
      </c>
      <c r="C13" s="4" t="s">
        <v>6</v>
      </c>
      <c r="D13" s="4">
        <v>2004</v>
      </c>
      <c r="E13" s="9">
        <f t="shared" si="163"/>
        <v>164.40001148000485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48.300000000000004</v>
      </c>
      <c r="K13" s="8" t="str">
        <f t="shared" si="4"/>
        <v>2022 Nationals</v>
      </c>
      <c r="L13" s="8">
        <f>IF(COUNT(AQ13,BT13,CW13)&gt;1,LARGE((AQ13,BT13,CW13),2),0)</f>
        <v>43.29999999999999</v>
      </c>
      <c r="M13" s="8" t="str">
        <f t="shared" si="5"/>
        <v>2023 Elite Canada</v>
      </c>
      <c r="N13" s="8">
        <f>IF(COUNT(AR13,BU13,CX13)&gt;0,LARGE((AR13,BU13,CX13),1),0)</f>
        <v>23.2</v>
      </c>
      <c r="O13" s="8" t="str">
        <f t="shared" si="6"/>
        <v>2023 Elite Canada</v>
      </c>
      <c r="P13" s="8">
        <f t="shared" si="7"/>
        <v>49.6</v>
      </c>
      <c r="Q13" s="8" t="str">
        <f t="shared" si="8"/>
        <v>2023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19.3</v>
      </c>
      <c r="V13" s="19">
        <v>5.2</v>
      </c>
      <c r="W13" s="19">
        <v>0</v>
      </c>
      <c r="X13" s="19">
        <v>0</v>
      </c>
      <c r="Y13" s="19">
        <v>19.2</v>
      </c>
      <c r="Z13" s="19">
        <v>5.2</v>
      </c>
      <c r="AA13" s="19">
        <v>0.6</v>
      </c>
      <c r="AB13" s="19">
        <v>0</v>
      </c>
      <c r="AC13" s="19">
        <v>19.3</v>
      </c>
      <c r="AD13" s="19">
        <v>4.3</v>
      </c>
      <c r="AE13" s="19">
        <v>0.6</v>
      </c>
      <c r="AF13" s="19">
        <v>0</v>
      </c>
      <c r="AG13" s="19">
        <v>17.600000000000001</v>
      </c>
      <c r="AH13" s="19">
        <v>2.4</v>
      </c>
      <c r="AI13" s="19">
        <v>0</v>
      </c>
      <c r="AJ13" s="19">
        <v>0</v>
      </c>
      <c r="AK13" s="19">
        <v>19.600000000000001</v>
      </c>
      <c r="AL13" s="19">
        <v>5.6</v>
      </c>
      <c r="AM13" s="19">
        <v>0</v>
      </c>
      <c r="AN13" s="19">
        <v>0</v>
      </c>
      <c r="AO13" s="27"/>
      <c r="AP13" s="40">
        <f t="shared" si="12"/>
        <v>10.4</v>
      </c>
      <c r="AQ13" s="40">
        <f t="shared" si="13"/>
        <v>48.300000000000004</v>
      </c>
      <c r="AR13" s="40">
        <f t="shared" si="14"/>
        <v>23</v>
      </c>
      <c r="AS13" s="40">
        <f t="shared" si="15"/>
        <v>14.7</v>
      </c>
      <c r="AT13" s="40">
        <f t="shared" si="16"/>
        <v>71.300000000000011</v>
      </c>
      <c r="AU13" s="40">
        <f t="shared" si="17"/>
        <v>8</v>
      </c>
      <c r="AV13" s="40">
        <f t="shared" si="18"/>
        <v>45.2</v>
      </c>
      <c r="AW13" s="40">
        <f t="shared" si="19"/>
        <v>93.5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1" t="str">
        <f t="shared" si="26"/>
        <v/>
      </c>
      <c r="BZ13" s="11" t="str">
        <f t="shared" si="27"/>
        <v/>
      </c>
      <c r="CA13" s="19">
        <v>17.7</v>
      </c>
      <c r="CB13" s="19">
        <v>2.4</v>
      </c>
      <c r="CC13" s="19">
        <v>0</v>
      </c>
      <c r="CD13" s="19">
        <v>0</v>
      </c>
      <c r="CE13" s="19">
        <v>19</v>
      </c>
      <c r="CF13" s="19">
        <v>4.8</v>
      </c>
      <c r="CG13" s="19">
        <v>0.6</v>
      </c>
      <c r="CH13" s="19">
        <v>0</v>
      </c>
      <c r="CI13" s="19">
        <v>18.899999999999999</v>
      </c>
      <c r="CJ13" s="19">
        <v>4.3</v>
      </c>
      <c r="CK13" s="19">
        <v>0</v>
      </c>
      <c r="CL13" s="19">
        <v>0</v>
      </c>
      <c r="CM13" s="19">
        <v>19.2</v>
      </c>
      <c r="CN13" s="19">
        <v>6</v>
      </c>
      <c r="CO13" s="19">
        <v>0</v>
      </c>
      <c r="CP13" s="19">
        <v>0</v>
      </c>
      <c r="CQ13" s="19">
        <v>18.8</v>
      </c>
      <c r="CR13" s="19">
        <v>5.6</v>
      </c>
      <c r="CS13" s="19">
        <v>0</v>
      </c>
      <c r="CT13" s="19">
        <v>0</v>
      </c>
      <c r="CU13" s="27"/>
      <c r="CV13" s="40">
        <f t="shared" si="28"/>
        <v>7.1999999999999993</v>
      </c>
      <c r="CW13" s="40">
        <f t="shared" si="29"/>
        <v>43.29999999999999</v>
      </c>
      <c r="CX13" s="40">
        <f t="shared" si="30"/>
        <v>23.2</v>
      </c>
      <c r="CY13" s="40">
        <f t="shared" si="31"/>
        <v>11.5</v>
      </c>
      <c r="CZ13" s="40">
        <f t="shared" si="32"/>
        <v>66.499999999999986</v>
      </c>
      <c r="DA13" s="40">
        <f t="shared" si="33"/>
        <v>11.6</v>
      </c>
      <c r="DB13" s="40">
        <f t="shared" si="34"/>
        <v>49.6</v>
      </c>
      <c r="DC13" s="40">
        <f t="shared" si="35"/>
        <v>92.899999999999991</v>
      </c>
      <c r="DD13" s="50" t="str">
        <f t="shared" si="36"/>
        <v/>
      </c>
      <c r="DE13" s="50" t="str">
        <f t="shared" si="37"/>
        <v/>
      </c>
      <c r="DF13" s="50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8.85</v>
      </c>
      <c r="QF13" s="22">
        <f t="shared" si="136"/>
        <v>1.2</v>
      </c>
      <c r="QG13" s="22">
        <f t="shared" si="137"/>
        <v>0</v>
      </c>
      <c r="QH13" s="22">
        <f t="shared" si="138"/>
        <v>0</v>
      </c>
      <c r="QI13" s="22">
        <f t="shared" si="139"/>
        <v>9.5</v>
      </c>
      <c r="QJ13" s="22">
        <f t="shared" si="140"/>
        <v>2.4</v>
      </c>
      <c r="QK13" s="22">
        <f t="shared" si="141"/>
        <v>0.3</v>
      </c>
      <c r="QL13" s="22">
        <f t="shared" si="142"/>
        <v>0</v>
      </c>
      <c r="QM13" s="22">
        <f t="shared" si="143"/>
        <v>9.4499999999999993</v>
      </c>
      <c r="QN13" s="22">
        <f t="shared" si="144"/>
        <v>2.15</v>
      </c>
      <c r="QO13" s="22">
        <f t="shared" si="145"/>
        <v>0</v>
      </c>
      <c r="QP13" s="22">
        <f t="shared" si="146"/>
        <v>0</v>
      </c>
      <c r="QQ13" s="22">
        <f t="shared" si="147"/>
        <v>9.6</v>
      </c>
      <c r="QR13" s="22">
        <f t="shared" si="148"/>
        <v>3</v>
      </c>
      <c r="QS13" s="22">
        <f t="shared" si="149"/>
        <v>0</v>
      </c>
      <c r="QT13" s="22">
        <f t="shared" si="150"/>
        <v>0</v>
      </c>
      <c r="QU13" s="22">
        <f t="shared" si="151"/>
        <v>9.4</v>
      </c>
      <c r="QV13" s="22">
        <f t="shared" si="152"/>
        <v>2.8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3.5999999999999996</v>
      </c>
      <c r="RA13" s="40">
        <f t="shared" si="156"/>
        <v>21.649999999999995</v>
      </c>
      <c r="RB13" s="40">
        <f t="shared" si="157"/>
        <v>11.6</v>
      </c>
      <c r="RC13" s="40">
        <f t="shared" si="158"/>
        <v>5.75</v>
      </c>
      <c r="RD13" s="40">
        <f t="shared" si="159"/>
        <v>33.249999999999993</v>
      </c>
      <c r="RE13" s="40">
        <f t="shared" si="160"/>
        <v>5.8</v>
      </c>
      <c r="RF13" s="40">
        <f t="shared" si="161"/>
        <v>24.8</v>
      </c>
      <c r="RG13" s="40">
        <f t="shared" si="162"/>
        <v>46.449999999999996</v>
      </c>
    </row>
    <row r="14" spans="1:475" x14ac:dyDescent="0.2">
      <c r="A14" s="4">
        <f t="shared" si="164"/>
        <v>11</v>
      </c>
      <c r="B14" s="5" t="s">
        <v>108</v>
      </c>
      <c r="C14" s="4" t="s">
        <v>6</v>
      </c>
      <c r="D14" s="4">
        <v>2005</v>
      </c>
      <c r="E14" s="9">
        <f t="shared" si="163"/>
        <v>163.50001176000495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49.500000000000007</v>
      </c>
      <c r="K14" s="8" t="str">
        <f t="shared" si="4"/>
        <v>2023 Elite Canada</v>
      </c>
      <c r="L14" s="8">
        <f>IF(COUNT(AQ14,BT14,CW14)&gt;1,LARGE((AQ14,BT14,CW14),2),0)</f>
        <v>43.099999999999994</v>
      </c>
      <c r="M14" s="8" t="str">
        <f t="shared" si="5"/>
        <v>2022 Nationals</v>
      </c>
      <c r="N14" s="8">
        <f>IF(COUNT(AR14,BU14,CX14)&gt;0,LARGE((AR14,BU14,CX14),1),0)</f>
        <v>25</v>
      </c>
      <c r="O14" s="8" t="str">
        <f t="shared" si="6"/>
        <v>2023 Elite Canada</v>
      </c>
      <c r="P14" s="8">
        <f t="shared" si="7"/>
        <v>45.9</v>
      </c>
      <c r="Q14" s="8" t="str">
        <f t="shared" si="8"/>
        <v>2023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18.899999999999999</v>
      </c>
      <c r="V14" s="19">
        <v>6.8</v>
      </c>
      <c r="W14" s="19">
        <v>0.2</v>
      </c>
      <c r="X14" s="19">
        <v>0</v>
      </c>
      <c r="Y14" s="19">
        <v>17.600000000000001</v>
      </c>
      <c r="Z14" s="19">
        <v>0</v>
      </c>
      <c r="AA14" s="19">
        <v>0</v>
      </c>
      <c r="AB14" s="19">
        <v>0</v>
      </c>
      <c r="AC14" s="19">
        <v>17.2</v>
      </c>
      <c r="AD14" s="19">
        <v>3.2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6.8</v>
      </c>
      <c r="AQ14" s="40">
        <f t="shared" si="13"/>
        <v>43.099999999999994</v>
      </c>
      <c r="AR14" s="40">
        <f t="shared" si="14"/>
        <v>20.399999999999999</v>
      </c>
      <c r="AS14" s="40">
        <f t="shared" si="15"/>
        <v>10</v>
      </c>
      <c r="AT14" s="40">
        <f t="shared" si="16"/>
        <v>63.499999999999993</v>
      </c>
      <c r="AU14" s="40" t="str">
        <f t="shared" si="17"/>
        <v/>
      </c>
      <c r="AV14" s="40" t="str">
        <f t="shared" si="18"/>
        <v/>
      </c>
      <c r="AW14" s="40">
        <f t="shared" si="19"/>
        <v>43.099999999999994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19.3</v>
      </c>
      <c r="CB14" s="19">
        <v>6.8</v>
      </c>
      <c r="CC14" s="19">
        <v>0.6</v>
      </c>
      <c r="CD14" s="19">
        <v>0</v>
      </c>
      <c r="CE14" s="19">
        <v>18.8</v>
      </c>
      <c r="CF14" s="19">
        <v>5.6</v>
      </c>
      <c r="CG14" s="19">
        <v>0.4</v>
      </c>
      <c r="CH14" s="19">
        <v>0</v>
      </c>
      <c r="CI14" s="19">
        <v>18.8</v>
      </c>
      <c r="CJ14" s="19">
        <v>6.8</v>
      </c>
      <c r="CK14" s="19">
        <v>0.6</v>
      </c>
      <c r="CL14" s="19">
        <v>0</v>
      </c>
      <c r="CM14" s="19">
        <v>19</v>
      </c>
      <c r="CN14" s="19">
        <v>5.2</v>
      </c>
      <c r="CO14" s="19">
        <v>1.6</v>
      </c>
      <c r="CP14" s="19">
        <v>0</v>
      </c>
      <c r="CQ14" s="19">
        <v>18.7</v>
      </c>
      <c r="CR14" s="19">
        <v>5.6</v>
      </c>
      <c r="CS14" s="19">
        <v>1</v>
      </c>
      <c r="CT14" s="19">
        <v>0</v>
      </c>
      <c r="CU14" s="27"/>
      <c r="CV14" s="40">
        <f t="shared" si="28"/>
        <v>12.399999999999999</v>
      </c>
      <c r="CW14" s="40">
        <f t="shared" si="29"/>
        <v>49.500000000000007</v>
      </c>
      <c r="CX14" s="40">
        <f t="shared" si="30"/>
        <v>25</v>
      </c>
      <c r="CY14" s="40">
        <f t="shared" si="31"/>
        <v>19.2</v>
      </c>
      <c r="CZ14" s="40">
        <f t="shared" si="32"/>
        <v>74.5</v>
      </c>
      <c r="DA14" s="40">
        <f t="shared" si="33"/>
        <v>10.8</v>
      </c>
      <c r="DB14" s="40">
        <f t="shared" si="34"/>
        <v>45.9</v>
      </c>
      <c r="DC14" s="40">
        <f t="shared" si="35"/>
        <v>95.4</v>
      </c>
      <c r="DD14" s="50" t="str">
        <f t="shared" si="36"/>
        <v/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9.65</v>
      </c>
      <c r="QF14" s="22">
        <f t="shared" si="136"/>
        <v>3.4</v>
      </c>
      <c r="QG14" s="22">
        <f t="shared" si="137"/>
        <v>0.3</v>
      </c>
      <c r="QH14" s="22">
        <f t="shared" si="138"/>
        <v>0</v>
      </c>
      <c r="QI14" s="22">
        <f t="shared" si="139"/>
        <v>9.4</v>
      </c>
      <c r="QJ14" s="22">
        <f t="shared" si="140"/>
        <v>2.8</v>
      </c>
      <c r="QK14" s="22">
        <f t="shared" si="141"/>
        <v>0.2</v>
      </c>
      <c r="QL14" s="22">
        <f t="shared" si="142"/>
        <v>0</v>
      </c>
      <c r="QM14" s="22">
        <f t="shared" si="143"/>
        <v>9.4</v>
      </c>
      <c r="QN14" s="22">
        <f t="shared" si="144"/>
        <v>3.4</v>
      </c>
      <c r="QO14" s="22">
        <f t="shared" si="145"/>
        <v>0.3</v>
      </c>
      <c r="QP14" s="22">
        <f t="shared" si="146"/>
        <v>0</v>
      </c>
      <c r="QQ14" s="22">
        <f t="shared" si="147"/>
        <v>9.5</v>
      </c>
      <c r="QR14" s="22">
        <f t="shared" si="148"/>
        <v>2.6</v>
      </c>
      <c r="QS14" s="22">
        <f t="shared" si="149"/>
        <v>0.8</v>
      </c>
      <c r="QT14" s="22">
        <f t="shared" si="150"/>
        <v>0</v>
      </c>
      <c r="QU14" s="22">
        <f t="shared" si="151"/>
        <v>9.35</v>
      </c>
      <c r="QV14" s="22">
        <f t="shared" si="152"/>
        <v>2.8</v>
      </c>
      <c r="QW14" s="22">
        <f t="shared" si="153"/>
        <v>0.5</v>
      </c>
      <c r="QX14" s="22">
        <f t="shared" si="154"/>
        <v>0</v>
      </c>
      <c r="QY14" s="27" t="s">
        <v>46</v>
      </c>
      <c r="QZ14" s="40">
        <f t="shared" si="155"/>
        <v>6.1999999999999993</v>
      </c>
      <c r="RA14" s="40">
        <f t="shared" si="156"/>
        <v>24.750000000000004</v>
      </c>
      <c r="RB14" s="40">
        <f t="shared" si="157"/>
        <v>12.5</v>
      </c>
      <c r="RC14" s="40">
        <f t="shared" si="158"/>
        <v>9.6</v>
      </c>
      <c r="RD14" s="40">
        <f t="shared" si="159"/>
        <v>37.25</v>
      </c>
      <c r="RE14" s="40">
        <f t="shared" si="160"/>
        <v>5.4</v>
      </c>
      <c r="RF14" s="40">
        <f t="shared" si="161"/>
        <v>22.95</v>
      </c>
      <c r="RG14" s="40">
        <f t="shared" si="162"/>
        <v>47.7</v>
      </c>
    </row>
    <row r="15" spans="1:475" x14ac:dyDescent="0.2">
      <c r="A15" s="4">
        <f t="shared" si="164"/>
        <v>12</v>
      </c>
      <c r="B15" s="5" t="s">
        <v>210</v>
      </c>
      <c r="C15" s="4" t="s">
        <v>3</v>
      </c>
      <c r="D15" s="4">
        <v>2006</v>
      </c>
      <c r="E15" s="9">
        <f t="shared" si="163"/>
        <v>161.5000114400049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49</v>
      </c>
      <c r="K15" s="8" t="str">
        <f t="shared" si="4"/>
        <v>2023 Elite Canada</v>
      </c>
      <c r="L15" s="8">
        <f>IF(COUNT(AQ15,BT15,CW15)&gt;1,LARGE((AQ15,BT15,CW15),2),0)</f>
        <v>47.1</v>
      </c>
      <c r="M15" s="8" t="str">
        <f t="shared" si="5"/>
        <v>2022 Nationals</v>
      </c>
      <c r="N15" s="8">
        <f>IF(COUNT(AR15,BU15,CX15)&gt;0,LARGE((AR15,BU15,CX15),1),0)</f>
        <v>18.3</v>
      </c>
      <c r="O15" s="8" t="str">
        <f t="shared" si="6"/>
        <v>2023 Elite Canada</v>
      </c>
      <c r="P15" s="8">
        <f t="shared" si="7"/>
        <v>47.1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18.5</v>
      </c>
      <c r="V15" s="19">
        <v>5.2</v>
      </c>
      <c r="W15" s="19">
        <v>0</v>
      </c>
      <c r="X15" s="19">
        <v>0</v>
      </c>
      <c r="Y15" s="19">
        <v>18.2</v>
      </c>
      <c r="Z15" s="19">
        <v>5.2</v>
      </c>
      <c r="AA15" s="19">
        <v>0</v>
      </c>
      <c r="AB15" s="19">
        <v>0</v>
      </c>
      <c r="AC15" s="19"/>
      <c r="AD15" s="19"/>
      <c r="AE15" s="19"/>
      <c r="AF15" s="19"/>
      <c r="AG15" s="19">
        <v>18.8</v>
      </c>
      <c r="AH15" s="19">
        <v>4.3</v>
      </c>
      <c r="AI15" s="19">
        <v>0</v>
      </c>
      <c r="AJ15" s="19">
        <v>0</v>
      </c>
      <c r="AK15" s="19">
        <v>18.600000000000001</v>
      </c>
      <c r="AL15" s="19">
        <v>3.4</v>
      </c>
      <c r="AM15" s="19">
        <v>0</v>
      </c>
      <c r="AN15" s="19">
        <v>0</v>
      </c>
      <c r="AO15" s="27"/>
      <c r="AP15" s="40">
        <f t="shared" si="12"/>
        <v>10.4</v>
      </c>
      <c r="AQ15" s="40">
        <f t="shared" si="13"/>
        <v>47.1</v>
      </c>
      <c r="AR15" s="40" t="str">
        <f t="shared" si="14"/>
        <v/>
      </c>
      <c r="AS15" s="40">
        <f t="shared" si="15"/>
        <v>10.4</v>
      </c>
      <c r="AT15" s="40">
        <f t="shared" si="16"/>
        <v>47.1</v>
      </c>
      <c r="AU15" s="40">
        <f t="shared" si="17"/>
        <v>7.6999999999999993</v>
      </c>
      <c r="AV15" s="40">
        <f t="shared" si="18"/>
        <v>45.1</v>
      </c>
      <c r="AW15" s="40">
        <f t="shared" si="19"/>
        <v>92.2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18.899999999999999</v>
      </c>
      <c r="CB15" s="19">
        <v>6</v>
      </c>
      <c r="CC15" s="19">
        <v>0.2</v>
      </c>
      <c r="CD15" s="19">
        <v>0</v>
      </c>
      <c r="CE15" s="19">
        <v>18.3</v>
      </c>
      <c r="CF15" s="19">
        <v>6</v>
      </c>
      <c r="CG15" s="19">
        <v>0</v>
      </c>
      <c r="CH15" s="19">
        <v>0</v>
      </c>
      <c r="CI15" s="19">
        <v>17.600000000000001</v>
      </c>
      <c r="CJ15" s="19">
        <v>0.7</v>
      </c>
      <c r="CK15" s="19">
        <v>0</v>
      </c>
      <c r="CL15" s="19">
        <v>0</v>
      </c>
      <c r="CM15" s="19">
        <v>18.600000000000001</v>
      </c>
      <c r="CN15" s="19">
        <v>6</v>
      </c>
      <c r="CO15" s="19">
        <v>0.2</v>
      </c>
      <c r="CP15" s="19">
        <v>0</v>
      </c>
      <c r="CQ15" s="19">
        <v>17.899999999999999</v>
      </c>
      <c r="CR15" s="19">
        <v>5.6</v>
      </c>
      <c r="CS15" s="19">
        <v>0.8</v>
      </c>
      <c r="CT15" s="19">
        <v>0</v>
      </c>
      <c r="CU15" s="27"/>
      <c r="CV15" s="40">
        <f t="shared" si="28"/>
        <v>12</v>
      </c>
      <c r="CW15" s="40">
        <f t="shared" si="29"/>
        <v>49</v>
      </c>
      <c r="CX15" s="40">
        <f t="shared" si="30"/>
        <v>18.3</v>
      </c>
      <c r="CY15" s="40">
        <f t="shared" si="31"/>
        <v>12.7</v>
      </c>
      <c r="CZ15" s="40">
        <f t="shared" si="32"/>
        <v>67.3</v>
      </c>
      <c r="DA15" s="40">
        <f t="shared" si="33"/>
        <v>11.6</v>
      </c>
      <c r="DB15" s="40">
        <f t="shared" si="34"/>
        <v>47.1</v>
      </c>
      <c r="DC15" s="40">
        <f t="shared" si="35"/>
        <v>96.1</v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9.4499999999999993</v>
      </c>
      <c r="QF15" s="22">
        <f t="shared" si="136"/>
        <v>3</v>
      </c>
      <c r="QG15" s="22">
        <f t="shared" si="137"/>
        <v>0.1</v>
      </c>
      <c r="QH15" s="22">
        <f t="shared" si="138"/>
        <v>0</v>
      </c>
      <c r="QI15" s="22">
        <f t="shared" si="139"/>
        <v>9.15</v>
      </c>
      <c r="QJ15" s="22">
        <f t="shared" si="140"/>
        <v>3</v>
      </c>
      <c r="QK15" s="22">
        <f t="shared" si="141"/>
        <v>0</v>
      </c>
      <c r="QL15" s="22">
        <f t="shared" si="142"/>
        <v>0</v>
      </c>
      <c r="QM15" s="22">
        <f t="shared" si="143"/>
        <v>8.8000000000000007</v>
      </c>
      <c r="QN15" s="22">
        <f t="shared" si="144"/>
        <v>0.35</v>
      </c>
      <c r="QO15" s="22">
        <f t="shared" si="145"/>
        <v>0</v>
      </c>
      <c r="QP15" s="22">
        <f t="shared" si="146"/>
        <v>0</v>
      </c>
      <c r="QQ15" s="22">
        <f t="shared" si="147"/>
        <v>9.3000000000000007</v>
      </c>
      <c r="QR15" s="22">
        <f t="shared" si="148"/>
        <v>3</v>
      </c>
      <c r="QS15" s="22">
        <f t="shared" si="149"/>
        <v>0.1</v>
      </c>
      <c r="QT15" s="22">
        <f t="shared" si="150"/>
        <v>0</v>
      </c>
      <c r="QU15" s="22">
        <f t="shared" si="151"/>
        <v>8.9499999999999993</v>
      </c>
      <c r="QV15" s="22">
        <f t="shared" si="152"/>
        <v>2.8</v>
      </c>
      <c r="QW15" s="22">
        <f t="shared" si="153"/>
        <v>0.4</v>
      </c>
      <c r="QX15" s="22">
        <f t="shared" si="154"/>
        <v>0</v>
      </c>
      <c r="QY15" s="27" t="s">
        <v>46</v>
      </c>
      <c r="QZ15" s="40">
        <f t="shared" si="155"/>
        <v>6</v>
      </c>
      <c r="RA15" s="40">
        <f t="shared" si="156"/>
        <v>24.5</v>
      </c>
      <c r="RB15" s="40">
        <f t="shared" si="157"/>
        <v>9.15</v>
      </c>
      <c r="RC15" s="40">
        <f t="shared" si="158"/>
        <v>6.35</v>
      </c>
      <c r="RD15" s="40">
        <f t="shared" si="159"/>
        <v>33.65</v>
      </c>
      <c r="RE15" s="40">
        <f t="shared" si="160"/>
        <v>5.8</v>
      </c>
      <c r="RF15" s="40">
        <f t="shared" si="161"/>
        <v>23.55</v>
      </c>
      <c r="RG15" s="40">
        <f t="shared" si="162"/>
        <v>48.05</v>
      </c>
    </row>
    <row r="16" spans="1:475" x14ac:dyDescent="0.2">
      <c r="A16" s="4">
        <f t="shared" si="164"/>
        <v>13</v>
      </c>
      <c r="B16" s="5" t="s">
        <v>168</v>
      </c>
      <c r="C16" s="4" t="s">
        <v>4</v>
      </c>
      <c r="D16" s="4">
        <v>2005</v>
      </c>
      <c r="E16" s="9">
        <f t="shared" si="163"/>
        <v>156.60001073000487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48.5</v>
      </c>
      <c r="K16" s="8" t="str">
        <f t="shared" si="4"/>
        <v>2023 Elite Canada</v>
      </c>
      <c r="L16" s="8">
        <f>IF(COUNT(AQ16,BT16,CW16)&gt;1,LARGE((AQ16,BT16,CW16),2),0)</f>
        <v>35.699999999999996</v>
      </c>
      <c r="M16" s="8" t="str">
        <f t="shared" si="5"/>
        <v>2022 Nationals</v>
      </c>
      <c r="N16" s="8">
        <f>IF(COUNT(AR16,BU16,CX16)&gt;0,LARGE((AR16,BU16,CX16),1),0)</f>
        <v>23.1</v>
      </c>
      <c r="O16" s="8" t="str">
        <f t="shared" si="6"/>
        <v>2023 Elite Canada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</v>
      </c>
      <c r="V16" s="19">
        <v>4.4000000000000004</v>
      </c>
      <c r="W16" s="19">
        <v>1</v>
      </c>
      <c r="X16" s="19">
        <v>0</v>
      </c>
      <c r="Y16" s="19">
        <v>18.2</v>
      </c>
      <c r="Z16" s="19">
        <v>0</v>
      </c>
      <c r="AA16" s="19">
        <v>3.9</v>
      </c>
      <c r="AB16" s="19">
        <v>0</v>
      </c>
      <c r="AC16" s="19">
        <v>18.399999999999999</v>
      </c>
      <c r="AD16" s="19">
        <v>3.5</v>
      </c>
      <c r="AE16" s="19">
        <v>0.2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4.4000000000000004</v>
      </c>
      <c r="AQ16" s="40">
        <f t="shared" si="13"/>
        <v>35.699999999999996</v>
      </c>
      <c r="AR16" s="40">
        <f t="shared" si="14"/>
        <v>21.7</v>
      </c>
      <c r="AS16" s="40">
        <f t="shared" si="15"/>
        <v>7.9</v>
      </c>
      <c r="AT16" s="40">
        <f t="shared" si="16"/>
        <v>57.399999999999991</v>
      </c>
      <c r="AU16" s="40" t="str">
        <f t="shared" si="17"/>
        <v/>
      </c>
      <c r="AV16" s="40" t="str">
        <f t="shared" si="18"/>
        <v/>
      </c>
      <c r="AW16" s="40">
        <f t="shared" si="19"/>
        <v>35.699999999999996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18.3</v>
      </c>
      <c r="CB16" s="19">
        <v>6.9</v>
      </c>
      <c r="CC16" s="19">
        <v>0.8</v>
      </c>
      <c r="CD16" s="19">
        <v>0</v>
      </c>
      <c r="CE16" s="19">
        <v>18.3</v>
      </c>
      <c r="CF16" s="19">
        <v>6.4</v>
      </c>
      <c r="CG16" s="19">
        <v>0.6</v>
      </c>
      <c r="CH16" s="19">
        <v>0</v>
      </c>
      <c r="CI16" s="19">
        <v>18.8</v>
      </c>
      <c r="CJ16" s="19">
        <v>4.3</v>
      </c>
      <c r="CK16" s="19">
        <v>0</v>
      </c>
      <c r="CL16" s="19">
        <v>0</v>
      </c>
      <c r="CM16" s="19">
        <v>18</v>
      </c>
      <c r="CN16" s="19">
        <v>6.9</v>
      </c>
      <c r="CO16" s="19">
        <v>0.2</v>
      </c>
      <c r="CP16" s="19">
        <v>0</v>
      </c>
      <c r="CQ16" s="19">
        <v>18.8</v>
      </c>
      <c r="CR16" s="19">
        <v>6.4</v>
      </c>
      <c r="CS16" s="19">
        <v>0.6</v>
      </c>
      <c r="CT16" s="19">
        <v>0</v>
      </c>
      <c r="CU16" s="27"/>
      <c r="CV16" s="40">
        <f t="shared" si="28"/>
        <v>13.3</v>
      </c>
      <c r="CW16" s="40">
        <f t="shared" si="29"/>
        <v>48.5</v>
      </c>
      <c r="CX16" s="40">
        <f t="shared" si="30"/>
        <v>23.1</v>
      </c>
      <c r="CY16" s="40">
        <f t="shared" si="31"/>
        <v>17.600000000000001</v>
      </c>
      <c r="CZ16" s="40">
        <f t="shared" si="32"/>
        <v>71.599999999999994</v>
      </c>
      <c r="DA16" s="40">
        <f t="shared" si="33"/>
        <v>13.3</v>
      </c>
      <c r="DB16" s="40">
        <f t="shared" si="34"/>
        <v>49.300000000000004</v>
      </c>
      <c r="DC16" s="40">
        <f t="shared" si="35"/>
        <v>97.800000000000011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9.15</v>
      </c>
      <c r="QF16" s="22">
        <f t="shared" si="136"/>
        <v>3.45</v>
      </c>
      <c r="QG16" s="22">
        <f t="shared" si="137"/>
        <v>0.4</v>
      </c>
      <c r="QH16" s="22">
        <f t="shared" si="138"/>
        <v>0</v>
      </c>
      <c r="QI16" s="22">
        <f t="shared" si="139"/>
        <v>9.15</v>
      </c>
      <c r="QJ16" s="22">
        <f t="shared" si="140"/>
        <v>3.2</v>
      </c>
      <c r="QK16" s="22">
        <f t="shared" si="141"/>
        <v>0.3</v>
      </c>
      <c r="QL16" s="22">
        <f t="shared" si="142"/>
        <v>0</v>
      </c>
      <c r="QM16" s="22">
        <f t="shared" si="143"/>
        <v>9.4</v>
      </c>
      <c r="QN16" s="22">
        <f t="shared" si="144"/>
        <v>2.15</v>
      </c>
      <c r="QO16" s="22">
        <f t="shared" si="145"/>
        <v>0</v>
      </c>
      <c r="QP16" s="22">
        <f t="shared" si="146"/>
        <v>0</v>
      </c>
      <c r="QQ16" s="22">
        <f t="shared" si="147"/>
        <v>9</v>
      </c>
      <c r="QR16" s="22">
        <f t="shared" si="148"/>
        <v>3.45</v>
      </c>
      <c r="QS16" s="22">
        <f t="shared" si="149"/>
        <v>0.1</v>
      </c>
      <c r="QT16" s="22">
        <f t="shared" si="150"/>
        <v>0</v>
      </c>
      <c r="QU16" s="22">
        <f t="shared" si="151"/>
        <v>9.4</v>
      </c>
      <c r="QV16" s="22">
        <f t="shared" si="152"/>
        <v>3.2</v>
      </c>
      <c r="QW16" s="22">
        <f t="shared" si="153"/>
        <v>0.3</v>
      </c>
      <c r="QX16" s="22">
        <f t="shared" si="154"/>
        <v>0</v>
      </c>
      <c r="QY16" s="27" t="s">
        <v>46</v>
      </c>
      <c r="QZ16" s="40">
        <f t="shared" si="155"/>
        <v>6.65</v>
      </c>
      <c r="RA16" s="40">
        <f t="shared" si="156"/>
        <v>24.25</v>
      </c>
      <c r="RB16" s="40">
        <f t="shared" si="157"/>
        <v>11.55</v>
      </c>
      <c r="RC16" s="40">
        <f t="shared" si="158"/>
        <v>8.8000000000000007</v>
      </c>
      <c r="RD16" s="40">
        <f t="shared" si="159"/>
        <v>35.799999999999997</v>
      </c>
      <c r="RE16" s="40">
        <f t="shared" si="160"/>
        <v>6.65</v>
      </c>
      <c r="RF16" s="40">
        <f t="shared" si="161"/>
        <v>24.650000000000002</v>
      </c>
      <c r="RG16" s="40">
        <f t="shared" si="162"/>
        <v>48.900000000000006</v>
      </c>
    </row>
    <row r="17" spans="1:475" x14ac:dyDescent="0.2">
      <c r="A17" s="4">
        <f t="shared" si="164"/>
        <v>14</v>
      </c>
      <c r="B17" s="5" t="s">
        <v>67</v>
      </c>
      <c r="C17" s="4" t="s">
        <v>4</v>
      </c>
      <c r="D17" s="4">
        <v>2002</v>
      </c>
      <c r="E17" s="9">
        <f t="shared" si="163"/>
        <v>153.10001010000488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2022 3rd Domestic Trial</v>
      </c>
      <c r="L17" s="8">
        <f>IF(COUNT(AQ17,BT17,CW17)&gt;1,LARGE((AQ17,BT17,CW17),2),0)</f>
        <v>25.400000000000002</v>
      </c>
      <c r="M17" s="8" t="str">
        <f t="shared" si="5"/>
        <v>2022 Nationals</v>
      </c>
      <c r="N17" s="8">
        <f>IF(COUNT(AR17,BU17,CX17)&gt;0,LARGE((AR17,BU17,CX17),1),0)</f>
        <v>26.6</v>
      </c>
      <c r="O17" s="8" t="str">
        <f t="shared" si="6"/>
        <v>2023 Elite Canada</v>
      </c>
      <c r="P17" s="8">
        <f t="shared" si="7"/>
        <v>52.099999999999994</v>
      </c>
      <c r="Q17" s="8" t="str">
        <f t="shared" si="8"/>
        <v>2022 3rd Domestic Trial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0</v>
      </c>
      <c r="V17" s="19">
        <v>0</v>
      </c>
      <c r="W17" s="19">
        <v>0</v>
      </c>
      <c r="X17" s="19">
        <v>0</v>
      </c>
      <c r="Y17" s="19">
        <v>18.600000000000001</v>
      </c>
      <c r="Z17" s="19">
        <v>6.8</v>
      </c>
      <c r="AA17" s="19">
        <v>0</v>
      </c>
      <c r="AB17" s="19">
        <v>0</v>
      </c>
      <c r="AC17" s="19">
        <v>18.399999999999999</v>
      </c>
      <c r="AD17" s="19">
        <v>7.2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2"/>
        <v>6.8</v>
      </c>
      <c r="AQ17" s="40">
        <f t="shared" si="13"/>
        <v>25.400000000000002</v>
      </c>
      <c r="AR17" s="40">
        <f t="shared" si="14"/>
        <v>25.599999999999998</v>
      </c>
      <c r="AS17" s="40">
        <f t="shared" si="15"/>
        <v>14</v>
      </c>
      <c r="AT17" s="40">
        <f t="shared" si="16"/>
        <v>51</v>
      </c>
      <c r="AU17" s="40" t="str">
        <f t="shared" si="17"/>
        <v/>
      </c>
      <c r="AV17" s="40" t="str">
        <f t="shared" si="18"/>
        <v/>
      </c>
      <c r="AW17" s="40">
        <f t="shared" si="19"/>
        <v>25.400000000000002</v>
      </c>
      <c r="AX17" s="18">
        <v>18.600000000000001</v>
      </c>
      <c r="AY17" s="18">
        <v>5.6</v>
      </c>
      <c r="AZ17" s="18">
        <v>1.2</v>
      </c>
      <c r="BA17" s="18">
        <v>0</v>
      </c>
      <c r="BB17" s="18">
        <v>18.5</v>
      </c>
      <c r="BC17" s="18">
        <v>8.5</v>
      </c>
      <c r="BD17" s="18">
        <v>1</v>
      </c>
      <c r="BE17" s="18">
        <v>0</v>
      </c>
      <c r="BF17" s="18">
        <v>18.579999999999998</v>
      </c>
      <c r="BG17" s="18">
        <v>7.2</v>
      </c>
      <c r="BH17" s="18">
        <v>1</v>
      </c>
      <c r="BI17" s="18">
        <v>0</v>
      </c>
      <c r="BJ17" s="18">
        <v>18.899999999999999</v>
      </c>
      <c r="BK17" s="18">
        <v>8.4</v>
      </c>
      <c r="BL17" s="18">
        <v>0.6</v>
      </c>
      <c r="BM17" s="18">
        <v>0</v>
      </c>
      <c r="BN17" s="18">
        <v>18.8</v>
      </c>
      <c r="BO17" s="18">
        <v>7.2</v>
      </c>
      <c r="BP17" s="18">
        <v>0.6</v>
      </c>
      <c r="BQ17" s="18">
        <v>0</v>
      </c>
      <c r="BR17" s="28"/>
      <c r="BS17" s="11">
        <f t="shared" si="20"/>
        <v>14.1</v>
      </c>
      <c r="BT17" s="11">
        <f t="shared" si="21"/>
        <v>49</v>
      </c>
      <c r="BU17" s="11">
        <f t="shared" si="22"/>
        <v>24.779999999999998</v>
      </c>
      <c r="BV17" s="11">
        <f t="shared" si="23"/>
        <v>21.3</v>
      </c>
      <c r="BW17" s="11">
        <f t="shared" si="24"/>
        <v>73.78</v>
      </c>
      <c r="BX17" s="11">
        <f t="shared" si="25"/>
        <v>15.600000000000001</v>
      </c>
      <c r="BY17" s="11">
        <f t="shared" si="26"/>
        <v>52.099999999999994</v>
      </c>
      <c r="BZ17" s="11">
        <f t="shared" si="27"/>
        <v>101.1</v>
      </c>
      <c r="CA17" s="19">
        <v>19</v>
      </c>
      <c r="CB17" s="19">
        <v>6</v>
      </c>
      <c r="CC17" s="19">
        <v>0.6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18.600000000000001</v>
      </c>
      <c r="CJ17" s="19">
        <v>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8"/>
        <v>6</v>
      </c>
      <c r="CW17" s="40">
        <f t="shared" si="29"/>
        <v>24.4</v>
      </c>
      <c r="CX17" s="40">
        <f t="shared" si="30"/>
        <v>26.6</v>
      </c>
      <c r="CY17" s="40">
        <f t="shared" si="31"/>
        <v>14</v>
      </c>
      <c r="CZ17" s="40">
        <f t="shared" si="32"/>
        <v>51</v>
      </c>
      <c r="DA17" s="40" t="str">
        <f t="shared" si="33"/>
        <v/>
      </c>
      <c r="DB17" s="40" t="str">
        <f t="shared" si="34"/>
        <v/>
      </c>
      <c r="DC17" s="40">
        <f t="shared" si="35"/>
        <v>24.4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18.8</v>
      </c>
      <c r="QF17" s="22">
        <f t="shared" si="136"/>
        <v>5.8</v>
      </c>
      <c r="QG17" s="22">
        <f t="shared" si="137"/>
        <v>0.89999999999999991</v>
      </c>
      <c r="QH17" s="22">
        <f t="shared" si="138"/>
        <v>0</v>
      </c>
      <c r="QI17" s="22">
        <f t="shared" si="139"/>
        <v>9.25</v>
      </c>
      <c r="QJ17" s="22">
        <f t="shared" si="140"/>
        <v>4.25</v>
      </c>
      <c r="QK17" s="22">
        <f t="shared" si="141"/>
        <v>0.5</v>
      </c>
      <c r="QL17" s="22">
        <f t="shared" si="142"/>
        <v>0</v>
      </c>
      <c r="QM17" s="22">
        <f t="shared" si="143"/>
        <v>18.59</v>
      </c>
      <c r="QN17" s="22">
        <f t="shared" si="144"/>
        <v>7.6</v>
      </c>
      <c r="QO17" s="22">
        <f t="shared" si="145"/>
        <v>0.5</v>
      </c>
      <c r="QP17" s="22">
        <f t="shared" si="146"/>
        <v>0</v>
      </c>
      <c r="QQ17" s="22">
        <f t="shared" si="147"/>
        <v>9.4499999999999993</v>
      </c>
      <c r="QR17" s="22">
        <f t="shared" si="148"/>
        <v>4.2</v>
      </c>
      <c r="QS17" s="22">
        <f t="shared" si="149"/>
        <v>0.3</v>
      </c>
      <c r="QT17" s="22">
        <f t="shared" si="150"/>
        <v>0</v>
      </c>
      <c r="QU17" s="22">
        <f t="shared" si="151"/>
        <v>9.4</v>
      </c>
      <c r="QV17" s="22">
        <f t="shared" si="152"/>
        <v>3.6</v>
      </c>
      <c r="QW17" s="22">
        <f t="shared" si="153"/>
        <v>0.3</v>
      </c>
      <c r="QX17" s="22">
        <f t="shared" si="154"/>
        <v>0</v>
      </c>
      <c r="QY17" s="27" t="s">
        <v>46</v>
      </c>
      <c r="QZ17" s="40">
        <f t="shared" si="155"/>
        <v>10.050000000000001</v>
      </c>
      <c r="RA17" s="40">
        <f t="shared" si="156"/>
        <v>36.700000000000003</v>
      </c>
      <c r="RB17" s="40">
        <f t="shared" si="157"/>
        <v>25.689999999999998</v>
      </c>
      <c r="RC17" s="40">
        <f t="shared" si="158"/>
        <v>17.649999999999999</v>
      </c>
      <c r="RD17" s="40">
        <f t="shared" si="159"/>
        <v>62.39</v>
      </c>
      <c r="RE17" s="40">
        <f t="shared" si="160"/>
        <v>7.8000000000000007</v>
      </c>
      <c r="RF17" s="40">
        <f t="shared" si="161"/>
        <v>26.049999999999997</v>
      </c>
      <c r="RG17" s="40">
        <f t="shared" si="162"/>
        <v>62.75</v>
      </c>
    </row>
    <row r="18" spans="1:475" x14ac:dyDescent="0.2">
      <c r="A18" s="4">
        <f t="shared" si="164"/>
        <v>15</v>
      </c>
      <c r="B18" s="5" t="s">
        <v>189</v>
      </c>
      <c r="C18" s="4" t="s">
        <v>6</v>
      </c>
      <c r="D18" s="4">
        <v>2006</v>
      </c>
      <c r="E18" s="9">
        <f t="shared" si="163"/>
        <v>125.40000744000511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51</v>
      </c>
      <c r="K18" s="8" t="str">
        <f t="shared" si="4"/>
        <v>2023 Elite Canada</v>
      </c>
      <c r="L18" s="8">
        <f>IF(COUNT(AQ18,BT18,CW18)&gt;1,LARGE((AQ18,BT18,CW18),2),0)</f>
        <v>0</v>
      </c>
      <c r="M18" s="8" t="str">
        <f t="shared" si="5"/>
        <v/>
      </c>
      <c r="N18" s="8">
        <f>IF(COUNT(AR18,BU18,CX18)&gt;0,LARGE((AR18,BU18,CX18),1),0)</f>
        <v>23.4</v>
      </c>
      <c r="O18" s="8" t="str">
        <f t="shared" si="6"/>
        <v>2023 Elite Canada</v>
      </c>
      <c r="P18" s="8">
        <f t="shared" si="7"/>
        <v>50.999999999999993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 t="shared" si="28"/>
        <v>15.2</v>
      </c>
      <c r="CW18" s="40">
        <f t="shared" si="29"/>
        <v>51</v>
      </c>
      <c r="CX18" s="40">
        <f t="shared" si="30"/>
        <v>23.4</v>
      </c>
      <c r="CY18" s="40">
        <f t="shared" si="31"/>
        <v>20.799999999999997</v>
      </c>
      <c r="CZ18" s="40">
        <f t="shared" si="32"/>
        <v>74.400000000000006</v>
      </c>
      <c r="DA18" s="40">
        <f t="shared" si="33"/>
        <v>15.2</v>
      </c>
      <c r="DB18" s="40">
        <f t="shared" si="34"/>
        <v>50.999999999999993</v>
      </c>
      <c r="DC18" s="40">
        <f t="shared" si="35"/>
        <v>102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9.1999999999999993</v>
      </c>
      <c r="QF18" s="22">
        <f t="shared" si="136"/>
        <v>3.8</v>
      </c>
      <c r="QG18" s="22">
        <f t="shared" si="137"/>
        <v>0.1</v>
      </c>
      <c r="QH18" s="22">
        <f t="shared" si="138"/>
        <v>0</v>
      </c>
      <c r="QI18" s="22">
        <f t="shared" si="139"/>
        <v>9.1</v>
      </c>
      <c r="QJ18" s="22">
        <f t="shared" si="140"/>
        <v>3.8</v>
      </c>
      <c r="QK18" s="22">
        <f t="shared" si="141"/>
        <v>0.3</v>
      </c>
      <c r="QL18" s="22">
        <f t="shared" si="142"/>
        <v>0</v>
      </c>
      <c r="QM18" s="22">
        <f t="shared" si="143"/>
        <v>9.4</v>
      </c>
      <c r="QN18" s="22">
        <f t="shared" si="144"/>
        <v>2.8</v>
      </c>
      <c r="QO18" s="22">
        <f t="shared" si="145"/>
        <v>0.5</v>
      </c>
      <c r="QP18" s="22">
        <f t="shared" si="146"/>
        <v>0</v>
      </c>
      <c r="QQ18" s="22">
        <f t="shared" si="147"/>
        <v>8.9</v>
      </c>
      <c r="QR18" s="22">
        <f t="shared" si="148"/>
        <v>3.8</v>
      </c>
      <c r="QS18" s="22">
        <f t="shared" si="149"/>
        <v>0.1</v>
      </c>
      <c r="QT18" s="22">
        <f t="shared" si="150"/>
        <v>0</v>
      </c>
      <c r="QU18" s="22">
        <f t="shared" si="151"/>
        <v>9.1</v>
      </c>
      <c r="QV18" s="22">
        <f t="shared" si="152"/>
        <v>3.8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7.6</v>
      </c>
      <c r="RA18" s="40">
        <f t="shared" si="156"/>
        <v>25.5</v>
      </c>
      <c r="RB18" s="40">
        <f t="shared" si="157"/>
        <v>11.7</v>
      </c>
      <c r="RC18" s="40">
        <f t="shared" si="158"/>
        <v>10.399999999999999</v>
      </c>
      <c r="RD18" s="40">
        <f t="shared" si="159"/>
        <v>37.200000000000003</v>
      </c>
      <c r="RE18" s="40">
        <f t="shared" si="160"/>
        <v>7.6</v>
      </c>
      <c r="RF18" s="40">
        <f t="shared" si="161"/>
        <v>25.499999999999996</v>
      </c>
      <c r="RG18" s="40">
        <f t="shared" si="162"/>
        <v>51</v>
      </c>
    </row>
    <row r="19" spans="1:475" x14ac:dyDescent="0.2">
      <c r="A19" s="4">
        <f t="shared" si="164"/>
        <v>16</v>
      </c>
      <c r="B19" s="5" t="s">
        <v>123</v>
      </c>
      <c r="C19" s="4" t="s">
        <v>122</v>
      </c>
      <c r="D19" s="4">
        <v>2002</v>
      </c>
      <c r="E19" s="9">
        <f t="shared" si="163"/>
        <v>70.600007060005012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50.2</v>
      </c>
      <c r="K19" s="8" t="str">
        <f t="shared" si="4"/>
        <v>2022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20.399999999999999</v>
      </c>
      <c r="O19" s="8" t="str">
        <f t="shared" si="6"/>
        <v>2022 Nationals</v>
      </c>
      <c r="P19" s="8">
        <f t="shared" si="7"/>
        <v>0</v>
      </c>
      <c r="Q19" s="8" t="str">
        <f t="shared" si="8"/>
        <v/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14</v>
      </c>
      <c r="AQ19" s="40">
        <f t="shared" si="13"/>
        <v>50.2</v>
      </c>
      <c r="AR19" s="40">
        <f t="shared" si="14"/>
        <v>20.399999999999999</v>
      </c>
      <c r="AS19" s="40">
        <f t="shared" si="15"/>
        <v>17.2</v>
      </c>
      <c r="AT19" s="40">
        <f t="shared" si="16"/>
        <v>70.599999999999994</v>
      </c>
      <c r="AU19" s="40" t="str">
        <f t="shared" si="17"/>
        <v/>
      </c>
      <c r="AV19" s="40" t="str">
        <f t="shared" si="18"/>
        <v/>
      </c>
      <c r="AW19" s="40">
        <f t="shared" si="19"/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8"/>
        <v/>
      </c>
      <c r="CW19" s="40" t="str">
        <f t="shared" si="29"/>
        <v/>
      </c>
      <c r="CX19" s="40" t="str">
        <f t="shared" si="30"/>
        <v/>
      </c>
      <c r="CY19" s="40" t="str">
        <f t="shared" si="31"/>
        <v/>
      </c>
      <c r="CZ19" s="40" t="str">
        <f t="shared" si="32"/>
        <v/>
      </c>
      <c r="DA19" s="40" t="str">
        <f t="shared" si="33"/>
        <v/>
      </c>
      <c r="DB19" s="40" t="str">
        <f t="shared" si="34"/>
        <v/>
      </c>
      <c r="DC19" s="40" t="str">
        <f t="shared" si="35"/>
        <v/>
      </c>
      <c r="DD19" s="50" t="str">
        <f t="shared" si="36"/>
        <v/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0</v>
      </c>
      <c r="QF19" s="22">
        <f t="shared" si="136"/>
        <v>0</v>
      </c>
      <c r="QG19" s="22">
        <f t="shared" si="137"/>
        <v>0</v>
      </c>
      <c r="QH19" s="22">
        <f t="shared" si="138"/>
        <v>0</v>
      </c>
      <c r="QI19" s="22">
        <f t="shared" si="139"/>
        <v>0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2">
        <f t="shared" si="154"/>
        <v>0</v>
      </c>
      <c r="QY19" s="27" t="s">
        <v>46</v>
      </c>
      <c r="QZ19" s="40" t="str">
        <f t="shared" si="155"/>
        <v/>
      </c>
      <c r="RA19" s="40" t="str">
        <f t="shared" si="156"/>
        <v/>
      </c>
      <c r="RB19" s="40" t="str">
        <f t="shared" si="157"/>
        <v/>
      </c>
      <c r="RC19" s="40" t="str">
        <f t="shared" si="158"/>
        <v/>
      </c>
      <c r="RD19" s="40" t="str">
        <f t="shared" si="159"/>
        <v/>
      </c>
      <c r="RE19" s="40" t="str">
        <f t="shared" si="160"/>
        <v/>
      </c>
      <c r="RF19" s="40" t="str">
        <f t="shared" si="161"/>
        <v/>
      </c>
      <c r="RG19" s="40" t="str">
        <f t="shared" si="162"/>
        <v/>
      </c>
    </row>
    <row r="20" spans="1:475" x14ac:dyDescent="0.2">
      <c r="A20" s="4">
        <f t="shared" si="164"/>
        <v>17</v>
      </c>
      <c r="B20" s="5" t="s">
        <v>144</v>
      </c>
      <c r="C20" s="4" t="s">
        <v>5</v>
      </c>
      <c r="D20" s="4">
        <v>2005</v>
      </c>
      <c r="E20" s="9">
        <f t="shared" si="163"/>
        <v>70.500007050004967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49.7</v>
      </c>
      <c r="K20" s="8" t="str">
        <f t="shared" si="4"/>
        <v>2023 Elite Canada</v>
      </c>
      <c r="L20" s="8">
        <f>IF(COUNT(AQ20,BT20,CW20)&gt;1,LARGE((AQ20,BT20,CW20),2),0)</f>
        <v>0</v>
      </c>
      <c r="M20" s="8" t="str">
        <f t="shared" si="5"/>
        <v/>
      </c>
      <c r="N20" s="8">
        <f>IF(COUNT(AR20,BU20,CX20)&gt;0,LARGE((AR20,BU20,CX20),1),0)</f>
        <v>20.8</v>
      </c>
      <c r="O20" s="8" t="str">
        <f t="shared" si="6"/>
        <v>2023 Elite Canada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14</v>
      </c>
      <c r="CW20" s="40">
        <f t="shared" si="29"/>
        <v>49.7</v>
      </c>
      <c r="CX20" s="40">
        <f t="shared" si="30"/>
        <v>20.8</v>
      </c>
      <c r="CY20" s="40">
        <f t="shared" si="31"/>
        <v>18.399999999999999</v>
      </c>
      <c r="CZ20" s="40">
        <f t="shared" si="32"/>
        <v>70.5</v>
      </c>
      <c r="DA20" s="40" t="str">
        <f t="shared" si="33"/>
        <v/>
      </c>
      <c r="DB20" s="40" t="str">
        <f t="shared" si="34"/>
        <v/>
      </c>
      <c r="DC20" s="40">
        <f t="shared" si="35"/>
        <v>49.7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9.25</v>
      </c>
      <c r="QF20" s="22">
        <f t="shared" si="136"/>
        <v>3.6</v>
      </c>
      <c r="QG20" s="22">
        <f t="shared" si="137"/>
        <v>0</v>
      </c>
      <c r="QH20" s="22">
        <f t="shared" si="138"/>
        <v>0</v>
      </c>
      <c r="QI20" s="22">
        <f t="shared" si="139"/>
        <v>9</v>
      </c>
      <c r="QJ20" s="22">
        <f t="shared" si="140"/>
        <v>3.4</v>
      </c>
      <c r="QK20" s="22">
        <f t="shared" si="141"/>
        <v>0.4</v>
      </c>
      <c r="QL20" s="22">
        <f t="shared" si="142"/>
        <v>0</v>
      </c>
      <c r="QM20" s="22">
        <f t="shared" si="143"/>
        <v>8.8000000000000007</v>
      </c>
      <c r="QN20" s="22">
        <f t="shared" si="144"/>
        <v>2.2000000000000002</v>
      </c>
      <c r="QO20" s="22">
        <f t="shared" si="145"/>
        <v>0.6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2">
        <f t="shared" si="154"/>
        <v>0</v>
      </c>
      <c r="QY20" s="27" t="s">
        <v>46</v>
      </c>
      <c r="QZ20" s="40">
        <f t="shared" si="155"/>
        <v>7</v>
      </c>
      <c r="RA20" s="40">
        <f t="shared" si="156"/>
        <v>24.85</v>
      </c>
      <c r="RB20" s="40">
        <f t="shared" si="157"/>
        <v>10.4</v>
      </c>
      <c r="RC20" s="40">
        <f t="shared" si="158"/>
        <v>9.1999999999999993</v>
      </c>
      <c r="RD20" s="40">
        <f t="shared" si="159"/>
        <v>35.25</v>
      </c>
      <c r="RE20" s="40" t="str">
        <f t="shared" si="160"/>
        <v/>
      </c>
      <c r="RF20" s="40" t="str">
        <f t="shared" si="161"/>
        <v/>
      </c>
      <c r="RG20" s="40">
        <f t="shared" si="162"/>
        <v>24.85</v>
      </c>
    </row>
    <row r="21" spans="1:475" x14ac:dyDescent="0.2">
      <c r="A21" s="4" t="str">
        <f t="shared" si="164"/>
        <v/>
      </c>
      <c r="B21" s="5" t="s">
        <v>142</v>
      </c>
      <c r="C21" s="4" t="s">
        <v>3</v>
      </c>
      <c r="D21" s="4">
        <v>2005</v>
      </c>
      <c r="E21" s="9">
        <f t="shared" si="163"/>
        <v>167.50001202000476</v>
      </c>
      <c r="F21" s="3" t="str">
        <f t="shared" si="0"/>
        <v/>
      </c>
      <c r="G21" s="3" t="str">
        <f t="shared" si="1"/>
        <v/>
      </c>
      <c r="H21" s="36" t="str">
        <f t="shared" si="2"/>
        <v/>
      </c>
      <c r="I21" s="3" t="str">
        <f t="shared" si="3"/>
        <v/>
      </c>
      <c r="J21" s="8">
        <f>IF(COUNT(AQ21,BT21,CW21)&gt;0,LARGE((AQ21,BT21,CW21),1),0)</f>
        <v>47.4</v>
      </c>
      <c r="K21" s="8" t="str">
        <f t="shared" si="4"/>
        <v>2022 Nationals</v>
      </c>
      <c r="L21" s="8">
        <f>IF(COUNT(AQ21,BT21,CW21)&gt;1,LARGE((AQ21,BT21,CW21),2),0)</f>
        <v>47.099999999999994</v>
      </c>
      <c r="M21" s="8" t="str">
        <f t="shared" si="5"/>
        <v>2022 3rd Domestic Trial</v>
      </c>
      <c r="N21" s="8">
        <f>IF(COUNT(AR21,BU21,CX21)&gt;0,LARGE((AR21,BU21,CX21),1),0)</f>
        <v>25.7</v>
      </c>
      <c r="O21" s="8" t="str">
        <f t="shared" si="6"/>
        <v>2023 Elite Canada</v>
      </c>
      <c r="P21" s="8">
        <f t="shared" si="7"/>
        <v>47.29999999999999</v>
      </c>
      <c r="Q21" s="8" t="str">
        <f t="shared" si="8"/>
        <v>2022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19.2</v>
      </c>
      <c r="V21" s="19">
        <v>4.8</v>
      </c>
      <c r="W21" s="19">
        <v>0</v>
      </c>
      <c r="X21" s="19">
        <v>0</v>
      </c>
      <c r="Y21" s="19">
        <v>19.100000000000001</v>
      </c>
      <c r="Z21" s="19">
        <v>4.3</v>
      </c>
      <c r="AA21" s="19">
        <v>0</v>
      </c>
      <c r="AB21" s="19">
        <v>0</v>
      </c>
      <c r="AC21" s="19">
        <v>19.100000000000001</v>
      </c>
      <c r="AD21" s="19">
        <v>4</v>
      </c>
      <c r="AE21" s="19">
        <v>0</v>
      </c>
      <c r="AF21" s="19">
        <v>0</v>
      </c>
      <c r="AG21" s="19">
        <v>18.5</v>
      </c>
      <c r="AH21" s="19">
        <v>5.2</v>
      </c>
      <c r="AI21" s="19">
        <v>0.6</v>
      </c>
      <c r="AJ21" s="19">
        <v>0</v>
      </c>
      <c r="AK21" s="19">
        <v>18.899999999999999</v>
      </c>
      <c r="AL21" s="19">
        <v>5.3</v>
      </c>
      <c r="AM21" s="19">
        <v>0</v>
      </c>
      <c r="AN21" s="19">
        <v>0</v>
      </c>
      <c r="AO21" s="27"/>
      <c r="AP21" s="40">
        <f t="shared" si="12"/>
        <v>9.1</v>
      </c>
      <c r="AQ21" s="40">
        <f t="shared" si="13"/>
        <v>47.4</v>
      </c>
      <c r="AR21" s="40">
        <f t="shared" si="14"/>
        <v>23.1</v>
      </c>
      <c r="AS21" s="40">
        <f t="shared" si="15"/>
        <v>13.1</v>
      </c>
      <c r="AT21" s="40">
        <f t="shared" si="16"/>
        <v>70.5</v>
      </c>
      <c r="AU21" s="40">
        <f t="shared" si="17"/>
        <v>10.5</v>
      </c>
      <c r="AV21" s="40">
        <f t="shared" si="18"/>
        <v>47.29999999999999</v>
      </c>
      <c r="AW21" s="40">
        <f t="shared" si="19"/>
        <v>94.699999999999989</v>
      </c>
      <c r="AX21" s="18">
        <v>18.600000000000001</v>
      </c>
      <c r="AY21" s="18">
        <v>4.8</v>
      </c>
      <c r="AZ21" s="18">
        <v>0</v>
      </c>
      <c r="BA21" s="18">
        <v>0</v>
      </c>
      <c r="BB21" s="18">
        <v>18.899999999999999</v>
      </c>
      <c r="BC21" s="18">
        <v>4.8</v>
      </c>
      <c r="BD21" s="18">
        <v>0</v>
      </c>
      <c r="BE21" s="18">
        <v>0</v>
      </c>
      <c r="BF21" s="18">
        <v>19.04</v>
      </c>
      <c r="BG21" s="18">
        <v>4.3</v>
      </c>
      <c r="BH21" s="18">
        <v>0</v>
      </c>
      <c r="BI21" s="18">
        <v>0</v>
      </c>
      <c r="BJ21" s="18">
        <v>18.600000000000001</v>
      </c>
      <c r="BK21" s="18">
        <v>4.8</v>
      </c>
      <c r="BL21" s="18">
        <v>0.2</v>
      </c>
      <c r="BM21" s="18">
        <v>0</v>
      </c>
      <c r="BN21" s="18">
        <v>17.2</v>
      </c>
      <c r="BO21" s="18">
        <v>2</v>
      </c>
      <c r="BP21" s="18">
        <v>0</v>
      </c>
      <c r="BQ21" s="18">
        <v>0</v>
      </c>
      <c r="BR21" s="28"/>
      <c r="BS21" s="11">
        <f t="shared" si="20"/>
        <v>9.6</v>
      </c>
      <c r="BT21" s="11">
        <f t="shared" si="21"/>
        <v>47.099999999999994</v>
      </c>
      <c r="BU21" s="11">
        <f t="shared" si="22"/>
        <v>23.34</v>
      </c>
      <c r="BV21" s="11">
        <f t="shared" si="23"/>
        <v>13.899999999999999</v>
      </c>
      <c r="BW21" s="11">
        <f t="shared" si="24"/>
        <v>70.44</v>
      </c>
      <c r="BX21" s="11">
        <f t="shared" si="25"/>
        <v>6.8</v>
      </c>
      <c r="BY21" s="11">
        <f t="shared" si="26"/>
        <v>42.4</v>
      </c>
      <c r="BZ21" s="11">
        <f t="shared" si="27"/>
        <v>89.5</v>
      </c>
      <c r="CA21" s="19">
        <v>18.8</v>
      </c>
      <c r="CB21" s="19">
        <v>6</v>
      </c>
      <c r="CC21" s="19">
        <v>0.6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18.5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8"/>
        <v>6</v>
      </c>
      <c r="CW21" s="40">
        <f t="shared" si="29"/>
        <v>24.2</v>
      </c>
      <c r="CX21" s="40">
        <f t="shared" si="30"/>
        <v>25.7</v>
      </c>
      <c r="CY21" s="40">
        <f t="shared" si="31"/>
        <v>13.2</v>
      </c>
      <c r="CZ21" s="40">
        <f t="shared" si="32"/>
        <v>49.9</v>
      </c>
      <c r="DA21" s="40" t="str">
        <f t="shared" si="33"/>
        <v/>
      </c>
      <c r="DB21" s="40" t="str">
        <f t="shared" si="34"/>
        <v/>
      </c>
      <c r="DC21" s="40">
        <f t="shared" si="35"/>
        <v>24.2</v>
      </c>
      <c r="DD21" s="50" t="str">
        <f t="shared" si="36"/>
        <v/>
      </c>
      <c r="DE21" s="50" t="str">
        <f t="shared" si="37"/>
        <v/>
      </c>
      <c r="DF21" s="50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18.700000000000003</v>
      </c>
      <c r="QF21" s="22">
        <f t="shared" si="136"/>
        <v>5.4</v>
      </c>
      <c r="QG21" s="22">
        <f t="shared" si="137"/>
        <v>0.3</v>
      </c>
      <c r="QH21" s="22">
        <f t="shared" si="138"/>
        <v>0</v>
      </c>
      <c r="QI21" s="22">
        <f t="shared" si="139"/>
        <v>9.4499999999999993</v>
      </c>
      <c r="QJ21" s="22">
        <f t="shared" si="140"/>
        <v>2.4</v>
      </c>
      <c r="QK21" s="22">
        <f t="shared" si="141"/>
        <v>0</v>
      </c>
      <c r="QL21" s="22">
        <f t="shared" si="142"/>
        <v>0</v>
      </c>
      <c r="QM21" s="22">
        <f t="shared" si="143"/>
        <v>18.77</v>
      </c>
      <c r="QN21" s="22">
        <f t="shared" si="144"/>
        <v>5.75</v>
      </c>
      <c r="QO21" s="22">
        <f t="shared" si="145"/>
        <v>0</v>
      </c>
      <c r="QP21" s="22">
        <f t="shared" si="146"/>
        <v>0</v>
      </c>
      <c r="QQ21" s="22">
        <f t="shared" si="147"/>
        <v>9.3000000000000007</v>
      </c>
      <c r="QR21" s="22">
        <f t="shared" si="148"/>
        <v>2.4</v>
      </c>
      <c r="QS21" s="22">
        <f t="shared" si="149"/>
        <v>0.1</v>
      </c>
      <c r="QT21" s="22">
        <f t="shared" si="150"/>
        <v>0</v>
      </c>
      <c r="QU21" s="22">
        <f t="shared" si="151"/>
        <v>8.6</v>
      </c>
      <c r="QV21" s="22">
        <f t="shared" si="152"/>
        <v>1</v>
      </c>
      <c r="QW21" s="22">
        <f t="shared" si="153"/>
        <v>0</v>
      </c>
      <c r="QX21" s="22">
        <f t="shared" si="154"/>
        <v>0</v>
      </c>
      <c r="QY21" s="27" t="s">
        <v>46</v>
      </c>
      <c r="QZ21" s="40">
        <f t="shared" si="155"/>
        <v>7.8000000000000007</v>
      </c>
      <c r="RA21" s="40">
        <f t="shared" si="156"/>
        <v>35.65</v>
      </c>
      <c r="RB21" s="40">
        <f t="shared" si="157"/>
        <v>24.52</v>
      </c>
      <c r="RC21" s="40">
        <f t="shared" si="158"/>
        <v>13.55</v>
      </c>
      <c r="RD21" s="40">
        <f t="shared" si="159"/>
        <v>60.17</v>
      </c>
      <c r="RE21" s="40">
        <f t="shared" si="160"/>
        <v>3.4</v>
      </c>
      <c r="RF21" s="40">
        <f t="shared" si="161"/>
        <v>21.2</v>
      </c>
      <c r="RG21" s="40">
        <f t="shared" si="162"/>
        <v>56.849999999999994</v>
      </c>
    </row>
    <row r="22" spans="1:475" x14ac:dyDescent="0.2">
      <c r="A22" s="4" t="str">
        <f t="shared" si="164"/>
        <v/>
      </c>
      <c r="B22" s="5" t="s">
        <v>196</v>
      </c>
      <c r="C22" s="4" t="s">
        <v>3</v>
      </c>
      <c r="D22" s="4">
        <v>2006</v>
      </c>
      <c r="E22" s="9">
        <f t="shared" si="163"/>
        <v>166.00001099000463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46.300000000000004</v>
      </c>
      <c r="K22" s="8" t="str">
        <f t="shared" si="4"/>
        <v>2022 Nationals</v>
      </c>
      <c r="L22" s="8">
        <f>IF(COUNT(AQ22,BT22,CW22)&gt;1,LARGE((AQ22,BT22,CW22),2),0)</f>
        <v>40.1</v>
      </c>
      <c r="M22" s="8" t="str">
        <f t="shared" si="5"/>
        <v>2023 Elite Canada</v>
      </c>
      <c r="N22" s="8">
        <f>IF(COUNT(AR22,BU22,CX22)&gt;0,LARGE((AR22,BU22,CX22),1),0)</f>
        <v>23.5</v>
      </c>
      <c r="O22" s="8" t="str">
        <f t="shared" si="6"/>
        <v>2023 Elite Canada</v>
      </c>
      <c r="P22" s="8">
        <f t="shared" si="7"/>
        <v>47.3</v>
      </c>
      <c r="Q22" s="8" t="str">
        <f t="shared" si="8"/>
        <v>2022 Nationals</v>
      </c>
      <c r="R22" s="8">
        <f t="shared" si="9"/>
        <v>8.7999999999999972</v>
      </c>
      <c r="S22" s="11" t="str">
        <f t="shared" si="10"/>
        <v>(Q1)</v>
      </c>
      <c r="T22" s="8" t="str">
        <f t="shared" si="11"/>
        <v>2022 WAGC (Nov 23)</v>
      </c>
      <c r="U22" s="19">
        <v>18.8</v>
      </c>
      <c r="V22" s="19">
        <v>4.8</v>
      </c>
      <c r="W22" s="19">
        <v>0.6</v>
      </c>
      <c r="X22" s="19">
        <v>0</v>
      </c>
      <c r="Y22" s="19">
        <v>19.3</v>
      </c>
      <c r="Z22" s="19">
        <v>4</v>
      </c>
      <c r="AA22" s="19">
        <v>0</v>
      </c>
      <c r="AB22" s="19">
        <v>0</v>
      </c>
      <c r="AC22" s="19"/>
      <c r="AD22" s="19"/>
      <c r="AE22" s="19"/>
      <c r="AF22" s="19"/>
      <c r="AG22" s="19">
        <v>19.3</v>
      </c>
      <c r="AH22" s="19">
        <v>4.8</v>
      </c>
      <c r="AI22" s="19">
        <v>0.6</v>
      </c>
      <c r="AJ22" s="19">
        <v>0</v>
      </c>
      <c r="AK22" s="19">
        <v>19.5</v>
      </c>
      <c r="AL22" s="19">
        <v>4.3</v>
      </c>
      <c r="AM22" s="19">
        <v>0</v>
      </c>
      <c r="AN22" s="19">
        <v>0</v>
      </c>
      <c r="AO22" s="27"/>
      <c r="AP22" s="40">
        <f t="shared" si="12"/>
        <v>8.8000000000000007</v>
      </c>
      <c r="AQ22" s="40">
        <f t="shared" si="13"/>
        <v>46.300000000000004</v>
      </c>
      <c r="AR22" s="40" t="str">
        <f t="shared" si="14"/>
        <v/>
      </c>
      <c r="AS22" s="40">
        <f t="shared" si="15"/>
        <v>8.8000000000000007</v>
      </c>
      <c r="AT22" s="40">
        <f t="shared" si="16"/>
        <v>46.300000000000004</v>
      </c>
      <c r="AU22" s="40">
        <f t="shared" si="17"/>
        <v>9.1</v>
      </c>
      <c r="AV22" s="40">
        <f t="shared" si="18"/>
        <v>47.3</v>
      </c>
      <c r="AW22" s="40">
        <f t="shared" si="19"/>
        <v>93.6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>
        <v>18.600000000000001</v>
      </c>
      <c r="CB22" s="19">
        <v>0</v>
      </c>
      <c r="CC22" s="19">
        <v>0.8</v>
      </c>
      <c r="CD22" s="19">
        <v>0</v>
      </c>
      <c r="CE22" s="19">
        <v>19</v>
      </c>
      <c r="CF22" s="19">
        <v>3.5</v>
      </c>
      <c r="CG22" s="19">
        <v>0.2</v>
      </c>
      <c r="CH22" s="19">
        <v>0</v>
      </c>
      <c r="CI22" s="19">
        <v>19.100000000000001</v>
      </c>
      <c r="CJ22" s="19">
        <v>4.4000000000000004</v>
      </c>
      <c r="CK22" s="19">
        <v>0</v>
      </c>
      <c r="CL22" s="19">
        <v>0</v>
      </c>
      <c r="CM22" s="19">
        <v>18.8</v>
      </c>
      <c r="CN22" s="19">
        <v>5.2</v>
      </c>
      <c r="CO22" s="19">
        <v>0.6</v>
      </c>
      <c r="CP22" s="19">
        <v>0</v>
      </c>
      <c r="CQ22" s="19">
        <v>18.8</v>
      </c>
      <c r="CR22" s="19">
        <v>4.4000000000000004</v>
      </c>
      <c r="CS22" s="19">
        <v>1</v>
      </c>
      <c r="CT22" s="19">
        <v>0</v>
      </c>
      <c r="CU22" s="27"/>
      <c r="CV22" s="40">
        <f t="shared" si="28"/>
        <v>3.5</v>
      </c>
      <c r="CW22" s="40">
        <f t="shared" si="29"/>
        <v>40.1</v>
      </c>
      <c r="CX22" s="40">
        <f t="shared" si="30"/>
        <v>23.5</v>
      </c>
      <c r="CY22" s="40">
        <f t="shared" si="31"/>
        <v>7.9</v>
      </c>
      <c r="CZ22" s="40">
        <f t="shared" si="32"/>
        <v>63.6</v>
      </c>
      <c r="DA22" s="40">
        <f t="shared" si="33"/>
        <v>9.6000000000000014</v>
      </c>
      <c r="DB22" s="40">
        <f t="shared" si="34"/>
        <v>45.599999999999994</v>
      </c>
      <c r="DC22" s="40">
        <f t="shared" si="35"/>
        <v>85.699999999999989</v>
      </c>
      <c r="DD22" s="50">
        <f t="shared" si="36"/>
        <v>8.7999999999999972</v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>
        <v>18.8</v>
      </c>
      <c r="HP22" s="17">
        <v>6</v>
      </c>
      <c r="HQ22" s="17">
        <v>0.2</v>
      </c>
      <c r="HR22" s="17">
        <v>0</v>
      </c>
      <c r="HS22" s="17">
        <v>18.7</v>
      </c>
      <c r="HT22" s="17">
        <v>5.6</v>
      </c>
      <c r="HU22" s="17">
        <v>0</v>
      </c>
      <c r="HV22" s="17">
        <v>0</v>
      </c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>
        <f t="shared" si="71"/>
        <v>11.6</v>
      </c>
      <c r="IJ22" s="40">
        <f t="shared" si="72"/>
        <v>48.9</v>
      </c>
      <c r="IK22" s="40" t="str">
        <f t="shared" si="73"/>
        <v/>
      </c>
      <c r="IL22" s="40">
        <f t="shared" si="74"/>
        <v>11.6</v>
      </c>
      <c r="IM22" s="40">
        <f t="shared" si="75"/>
        <v>48.9</v>
      </c>
      <c r="IN22" s="40" t="str">
        <f t="shared" si="76"/>
        <v/>
      </c>
      <c r="IO22" s="40" t="str">
        <f t="shared" si="77"/>
        <v/>
      </c>
      <c r="IP22" s="40">
        <f t="shared" si="78"/>
        <v>48.9</v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9.3000000000000007</v>
      </c>
      <c r="QF22" s="22">
        <f t="shared" si="136"/>
        <v>0</v>
      </c>
      <c r="QG22" s="22">
        <f t="shared" si="137"/>
        <v>0.4</v>
      </c>
      <c r="QH22" s="22">
        <f t="shared" si="138"/>
        <v>0</v>
      </c>
      <c r="QI22" s="22">
        <f t="shared" si="139"/>
        <v>9.5</v>
      </c>
      <c r="QJ22" s="22">
        <f t="shared" si="140"/>
        <v>1.75</v>
      </c>
      <c r="QK22" s="22">
        <f t="shared" si="141"/>
        <v>0.1</v>
      </c>
      <c r="QL22" s="22">
        <f t="shared" si="142"/>
        <v>0</v>
      </c>
      <c r="QM22" s="22">
        <f t="shared" si="143"/>
        <v>9.5500000000000007</v>
      </c>
      <c r="QN22" s="22">
        <f t="shared" si="144"/>
        <v>2.2000000000000002</v>
      </c>
      <c r="QO22" s="22">
        <f t="shared" si="145"/>
        <v>0</v>
      </c>
      <c r="QP22" s="22">
        <f t="shared" si="146"/>
        <v>0</v>
      </c>
      <c r="QQ22" s="22">
        <f t="shared" si="147"/>
        <v>9.4</v>
      </c>
      <c r="QR22" s="22">
        <f t="shared" si="148"/>
        <v>2.6</v>
      </c>
      <c r="QS22" s="22">
        <f t="shared" si="149"/>
        <v>0.3</v>
      </c>
      <c r="QT22" s="22">
        <f t="shared" si="150"/>
        <v>0</v>
      </c>
      <c r="QU22" s="22">
        <f t="shared" si="151"/>
        <v>9.4</v>
      </c>
      <c r="QV22" s="22">
        <f t="shared" si="152"/>
        <v>2.2000000000000002</v>
      </c>
      <c r="QW22" s="22">
        <f t="shared" si="153"/>
        <v>0.5</v>
      </c>
      <c r="QX22" s="22">
        <f t="shared" si="154"/>
        <v>0</v>
      </c>
      <c r="QY22" s="27" t="s">
        <v>46</v>
      </c>
      <c r="QZ22" s="40">
        <f t="shared" si="155"/>
        <v>1.75</v>
      </c>
      <c r="RA22" s="40">
        <f t="shared" si="156"/>
        <v>20.05</v>
      </c>
      <c r="RB22" s="40">
        <f t="shared" si="157"/>
        <v>11.75</v>
      </c>
      <c r="RC22" s="40">
        <f t="shared" si="158"/>
        <v>3.95</v>
      </c>
      <c r="RD22" s="40">
        <f t="shared" si="159"/>
        <v>31.8</v>
      </c>
      <c r="RE22" s="40">
        <f t="shared" si="160"/>
        <v>4.8000000000000007</v>
      </c>
      <c r="RF22" s="40">
        <f t="shared" si="161"/>
        <v>22.799999999999997</v>
      </c>
      <c r="RG22" s="40">
        <f t="shared" si="162"/>
        <v>42.849999999999994</v>
      </c>
    </row>
    <row r="23" spans="1:475" x14ac:dyDescent="0.2">
      <c r="A23" s="4" t="str">
        <f t="shared" si="164"/>
        <v/>
      </c>
      <c r="B23" s="5" t="s">
        <v>139</v>
      </c>
      <c r="C23" s="4" t="s">
        <v>3</v>
      </c>
      <c r="D23" s="4">
        <v>2002</v>
      </c>
      <c r="E23" s="9">
        <f t="shared" si="163"/>
        <v>155.00001088000437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43.800000000000004</v>
      </c>
      <c r="K23" s="8" t="str">
        <f t="shared" si="4"/>
        <v>2022 Nationals</v>
      </c>
      <c r="L23" s="8">
        <f>IF(COUNT(AQ23,BT23,CW23)&gt;1,LARGE((AQ23,BT23,CW23),2),0)</f>
        <v>41.9</v>
      </c>
      <c r="M23" s="8" t="str">
        <f t="shared" si="5"/>
        <v>2022 3rd Domestic Trial</v>
      </c>
      <c r="N23" s="8">
        <f>IF(COUNT(AR23,BU23,CX23)&gt;0,LARGE((AR23,BU23,CX23),1),0)</f>
        <v>23.1</v>
      </c>
      <c r="O23" s="8" t="str">
        <f t="shared" si="6"/>
        <v>2022 Nationals</v>
      </c>
      <c r="P23" s="8">
        <f t="shared" si="7"/>
        <v>46.199999999999989</v>
      </c>
      <c r="Q23" s="8" t="str">
        <f t="shared" si="8"/>
        <v>2022 3rd Domestic Trial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18.8</v>
      </c>
      <c r="V23" s="19">
        <v>3.5</v>
      </c>
      <c r="W23" s="19">
        <v>0</v>
      </c>
      <c r="X23" s="19">
        <v>0</v>
      </c>
      <c r="Y23" s="19">
        <v>18.600000000000001</v>
      </c>
      <c r="Z23" s="19">
        <v>3.5</v>
      </c>
      <c r="AA23" s="19">
        <v>0.6</v>
      </c>
      <c r="AB23" s="19">
        <v>0</v>
      </c>
      <c r="AC23" s="19">
        <v>18.8</v>
      </c>
      <c r="AD23" s="19">
        <v>4.3</v>
      </c>
      <c r="AE23" s="19">
        <v>0</v>
      </c>
      <c r="AF23" s="19">
        <v>0</v>
      </c>
      <c r="AG23" s="19">
        <v>18</v>
      </c>
      <c r="AH23" s="19">
        <v>4.4000000000000004</v>
      </c>
      <c r="AI23" s="19">
        <v>0.6</v>
      </c>
      <c r="AJ23" s="19">
        <v>0</v>
      </c>
      <c r="AK23" s="19">
        <v>16.100000000000001</v>
      </c>
      <c r="AL23" s="19">
        <v>5.2</v>
      </c>
      <c r="AM23" s="19">
        <v>0.8</v>
      </c>
      <c r="AN23" s="19">
        <v>0</v>
      </c>
      <c r="AO23" s="27"/>
      <c r="AP23" s="40">
        <f t="shared" si="12"/>
        <v>7</v>
      </c>
      <c r="AQ23" s="40">
        <f t="shared" si="13"/>
        <v>43.800000000000004</v>
      </c>
      <c r="AR23" s="40">
        <f t="shared" si="14"/>
        <v>23.1</v>
      </c>
      <c r="AS23" s="40">
        <f t="shared" si="15"/>
        <v>11.3</v>
      </c>
      <c r="AT23" s="40">
        <f t="shared" si="16"/>
        <v>66.900000000000006</v>
      </c>
      <c r="AU23" s="40">
        <f t="shared" si="17"/>
        <v>9.6000000000000014</v>
      </c>
      <c r="AV23" s="40">
        <f t="shared" si="18"/>
        <v>42.300000000000004</v>
      </c>
      <c r="AW23" s="40">
        <f t="shared" si="19"/>
        <v>86.100000000000009</v>
      </c>
      <c r="AX23" s="18">
        <v>17.2</v>
      </c>
      <c r="AY23" s="18">
        <v>2.8</v>
      </c>
      <c r="AZ23" s="18">
        <v>0</v>
      </c>
      <c r="BA23" s="18">
        <v>0</v>
      </c>
      <c r="BB23" s="18">
        <v>18.100000000000001</v>
      </c>
      <c r="BC23" s="18">
        <v>4.8</v>
      </c>
      <c r="BD23" s="18">
        <v>1</v>
      </c>
      <c r="BE23" s="18">
        <v>0</v>
      </c>
      <c r="BF23" s="18">
        <v>18.899999999999999</v>
      </c>
      <c r="BG23" s="18">
        <v>4.3</v>
      </c>
      <c r="BH23" s="18">
        <v>0.2</v>
      </c>
      <c r="BI23" s="18">
        <v>0</v>
      </c>
      <c r="BJ23" s="18">
        <v>18.5</v>
      </c>
      <c r="BK23" s="18">
        <v>4.4000000000000004</v>
      </c>
      <c r="BL23" s="18">
        <v>0</v>
      </c>
      <c r="BM23" s="18">
        <v>0</v>
      </c>
      <c r="BN23" s="18">
        <v>19.2</v>
      </c>
      <c r="BO23" s="18">
        <v>4.3</v>
      </c>
      <c r="BP23" s="18">
        <v>0.2</v>
      </c>
      <c r="BQ23" s="18">
        <v>0</v>
      </c>
      <c r="BR23" s="28"/>
      <c r="BS23" s="11">
        <f t="shared" si="20"/>
        <v>7.6</v>
      </c>
      <c r="BT23" s="11">
        <f t="shared" si="21"/>
        <v>41.9</v>
      </c>
      <c r="BU23" s="11">
        <f t="shared" si="22"/>
        <v>23</v>
      </c>
      <c r="BV23" s="11">
        <f t="shared" si="23"/>
        <v>11.899999999999999</v>
      </c>
      <c r="BW23" s="11">
        <f t="shared" si="24"/>
        <v>64.900000000000006</v>
      </c>
      <c r="BX23" s="11">
        <f t="shared" si="25"/>
        <v>8.6999999999999993</v>
      </c>
      <c r="BY23" s="11">
        <f t="shared" si="26"/>
        <v>46.199999999999989</v>
      </c>
      <c r="BZ23" s="11">
        <f t="shared" si="27"/>
        <v>88.1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40" t="str">
        <f t="shared" si="34"/>
        <v/>
      </c>
      <c r="DC23" s="40" t="str">
        <f t="shared" si="35"/>
        <v/>
      </c>
      <c r="DD23" s="50" t="str">
        <f t="shared" si="36"/>
        <v/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8.6</v>
      </c>
      <c r="QF23" s="22">
        <f t="shared" si="136"/>
        <v>1.4</v>
      </c>
      <c r="QG23" s="22">
        <f t="shared" si="137"/>
        <v>0</v>
      </c>
      <c r="QH23" s="22">
        <f t="shared" si="138"/>
        <v>0</v>
      </c>
      <c r="QI23" s="22">
        <f t="shared" si="139"/>
        <v>9.0500000000000007</v>
      </c>
      <c r="QJ23" s="22">
        <f t="shared" si="140"/>
        <v>2.4</v>
      </c>
      <c r="QK23" s="22">
        <f t="shared" si="141"/>
        <v>0.5</v>
      </c>
      <c r="QL23" s="22">
        <f t="shared" si="142"/>
        <v>0</v>
      </c>
      <c r="QM23" s="22">
        <f t="shared" si="143"/>
        <v>9.4499999999999993</v>
      </c>
      <c r="QN23" s="22">
        <f t="shared" si="144"/>
        <v>2.15</v>
      </c>
      <c r="QO23" s="22">
        <f t="shared" si="145"/>
        <v>0.1</v>
      </c>
      <c r="QP23" s="22">
        <f t="shared" si="146"/>
        <v>0</v>
      </c>
      <c r="QQ23" s="22">
        <f t="shared" si="147"/>
        <v>9.25</v>
      </c>
      <c r="QR23" s="22">
        <f t="shared" si="148"/>
        <v>2.2000000000000002</v>
      </c>
      <c r="QS23" s="22">
        <f t="shared" si="149"/>
        <v>0</v>
      </c>
      <c r="QT23" s="22">
        <f t="shared" si="150"/>
        <v>0</v>
      </c>
      <c r="QU23" s="22">
        <f t="shared" si="151"/>
        <v>9.6</v>
      </c>
      <c r="QV23" s="22">
        <f t="shared" si="152"/>
        <v>2.15</v>
      </c>
      <c r="QW23" s="22">
        <f t="shared" si="153"/>
        <v>0.1</v>
      </c>
      <c r="QX23" s="22">
        <f t="shared" si="154"/>
        <v>0</v>
      </c>
      <c r="QY23" s="27" t="s">
        <v>46</v>
      </c>
      <c r="QZ23" s="40">
        <f t="shared" si="155"/>
        <v>3.8</v>
      </c>
      <c r="RA23" s="40">
        <f t="shared" si="156"/>
        <v>20.95</v>
      </c>
      <c r="RB23" s="40">
        <f t="shared" si="157"/>
        <v>11.5</v>
      </c>
      <c r="RC23" s="40">
        <f t="shared" si="158"/>
        <v>5.9499999999999993</v>
      </c>
      <c r="RD23" s="40">
        <f t="shared" si="159"/>
        <v>32.450000000000003</v>
      </c>
      <c r="RE23" s="40">
        <f t="shared" si="160"/>
        <v>4.3499999999999996</v>
      </c>
      <c r="RF23" s="40">
        <f t="shared" si="161"/>
        <v>23.099999999999994</v>
      </c>
      <c r="RG23" s="40">
        <f t="shared" si="162"/>
        <v>44.05</v>
      </c>
    </row>
    <row r="24" spans="1:475" x14ac:dyDescent="0.2">
      <c r="A24" s="4" t="str">
        <f t="shared" si="164"/>
        <v/>
      </c>
      <c r="B24" s="5" t="s">
        <v>211</v>
      </c>
      <c r="C24" s="4" t="s">
        <v>5</v>
      </c>
      <c r="D24" s="4">
        <v>2006</v>
      </c>
      <c r="E24" s="9">
        <f t="shared" si="163"/>
        <v>148.40001076000439</v>
      </c>
      <c r="F24" s="3" t="str">
        <f t="shared" si="0"/>
        <v/>
      </c>
      <c r="G24" s="3" t="str">
        <f t="shared" si="1"/>
        <v/>
      </c>
      <c r="H24" s="36" t="str">
        <f t="shared" si="2"/>
        <v/>
      </c>
      <c r="I24" s="3" t="str">
        <f t="shared" si="3"/>
        <v/>
      </c>
      <c r="J24" s="8">
        <f>IF(COUNT(AQ24,BT24,CW24)&gt;0,LARGE((AQ24,BT24,CW24),1),0)</f>
        <v>44.099999999999994</v>
      </c>
      <c r="K24" s="8" t="str">
        <f t="shared" si="4"/>
        <v>2023 Elite Canada</v>
      </c>
      <c r="L24" s="8">
        <f>IF(COUNT(AQ24,BT24,CW24)&gt;1,LARGE((AQ24,BT24,CW24),2),0)</f>
        <v>40.4</v>
      </c>
      <c r="M24" s="8" t="str">
        <f t="shared" si="5"/>
        <v>2022 Nationals</v>
      </c>
      <c r="N24" s="8">
        <f>IF(COUNT(AR24,BU24,CX24)&gt;0,LARGE((AR24,BU24,CX24),1),0)</f>
        <v>23.099999999999998</v>
      </c>
      <c r="O24" s="8" t="str">
        <f t="shared" si="6"/>
        <v>2023 Elite Canada</v>
      </c>
      <c r="P24" s="8">
        <f t="shared" si="7"/>
        <v>40.799999999999997</v>
      </c>
      <c r="Q24" s="8" t="str">
        <f t="shared" si="8"/>
        <v>2023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18.100000000000001</v>
      </c>
      <c r="V24" s="19">
        <v>3.5</v>
      </c>
      <c r="W24" s="19">
        <v>0.6</v>
      </c>
      <c r="X24" s="19">
        <v>0</v>
      </c>
      <c r="Y24" s="19">
        <v>17</v>
      </c>
      <c r="Z24" s="19">
        <v>2.4</v>
      </c>
      <c r="AA24" s="19">
        <v>0</v>
      </c>
      <c r="AB24" s="19">
        <v>0</v>
      </c>
      <c r="AC24" s="19"/>
      <c r="AD24" s="19"/>
      <c r="AE24" s="19"/>
      <c r="AF24" s="19"/>
      <c r="AG24" s="19">
        <v>0</v>
      </c>
      <c r="AH24" s="19">
        <v>0</v>
      </c>
      <c r="AI24" s="19">
        <v>0</v>
      </c>
      <c r="AJ24" s="19">
        <v>0</v>
      </c>
      <c r="AK24" s="19">
        <v>17.899999999999999</v>
      </c>
      <c r="AL24" s="19">
        <v>2.9</v>
      </c>
      <c r="AM24" s="19">
        <v>0.4</v>
      </c>
      <c r="AN24" s="19">
        <v>0</v>
      </c>
      <c r="AO24" s="27"/>
      <c r="AP24" s="40">
        <f t="shared" si="12"/>
        <v>5.9</v>
      </c>
      <c r="AQ24" s="40">
        <f t="shared" si="13"/>
        <v>40.4</v>
      </c>
      <c r="AR24" s="40" t="str">
        <f t="shared" si="14"/>
        <v/>
      </c>
      <c r="AS24" s="40">
        <f t="shared" si="15"/>
        <v>5.9</v>
      </c>
      <c r="AT24" s="40">
        <f t="shared" si="16"/>
        <v>40.4</v>
      </c>
      <c r="AU24" s="40">
        <f t="shared" si="17"/>
        <v>2.9</v>
      </c>
      <c r="AV24" s="40">
        <f t="shared" si="18"/>
        <v>20.399999999999999</v>
      </c>
      <c r="AW24" s="40">
        <f t="shared" si="19"/>
        <v>60.8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18.399999999999999</v>
      </c>
      <c r="CB24" s="19">
        <v>3.5</v>
      </c>
      <c r="CC24" s="19">
        <v>0</v>
      </c>
      <c r="CD24" s="19">
        <v>0</v>
      </c>
      <c r="CE24" s="19">
        <v>18.100000000000001</v>
      </c>
      <c r="CF24" s="19">
        <v>4.3</v>
      </c>
      <c r="CG24" s="19">
        <v>0.2</v>
      </c>
      <c r="CH24" s="19">
        <v>0</v>
      </c>
      <c r="CI24" s="19">
        <v>17.899999999999999</v>
      </c>
      <c r="CJ24" s="19">
        <v>5.2</v>
      </c>
      <c r="CK24" s="19">
        <v>0</v>
      </c>
      <c r="CL24" s="19">
        <v>0</v>
      </c>
      <c r="CM24" s="19">
        <v>18.100000000000001</v>
      </c>
      <c r="CN24" s="19">
        <v>3.5</v>
      </c>
      <c r="CO24" s="19">
        <v>0.2</v>
      </c>
      <c r="CP24" s="19">
        <v>0</v>
      </c>
      <c r="CQ24" s="19">
        <v>17</v>
      </c>
      <c r="CR24" s="19">
        <v>2.4</v>
      </c>
      <c r="CS24" s="19">
        <v>0</v>
      </c>
      <c r="CT24" s="19">
        <v>0</v>
      </c>
      <c r="CU24" s="27"/>
      <c r="CV24" s="40">
        <f t="shared" si="28"/>
        <v>7.8</v>
      </c>
      <c r="CW24" s="40">
        <f t="shared" si="29"/>
        <v>44.099999999999994</v>
      </c>
      <c r="CX24" s="40">
        <f t="shared" si="30"/>
        <v>23.099999999999998</v>
      </c>
      <c r="CY24" s="40">
        <f t="shared" si="31"/>
        <v>13</v>
      </c>
      <c r="CZ24" s="40">
        <f t="shared" si="32"/>
        <v>67.199999999999989</v>
      </c>
      <c r="DA24" s="40">
        <f t="shared" si="33"/>
        <v>5.9</v>
      </c>
      <c r="DB24" s="40">
        <f t="shared" si="34"/>
        <v>40.799999999999997</v>
      </c>
      <c r="DC24" s="40">
        <f t="shared" si="35"/>
        <v>84.899999999999991</v>
      </c>
      <c r="DD24" s="50" t="str">
        <f t="shared" si="36"/>
        <v/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9.1999999999999993</v>
      </c>
      <c r="QF24" s="22">
        <f t="shared" si="136"/>
        <v>1.75</v>
      </c>
      <c r="QG24" s="22">
        <f t="shared" si="137"/>
        <v>0</v>
      </c>
      <c r="QH24" s="22">
        <f t="shared" si="138"/>
        <v>0</v>
      </c>
      <c r="QI24" s="22">
        <f t="shared" si="139"/>
        <v>9.0500000000000007</v>
      </c>
      <c r="QJ24" s="22">
        <f t="shared" si="140"/>
        <v>2.15</v>
      </c>
      <c r="QK24" s="22">
        <f t="shared" si="141"/>
        <v>0.1</v>
      </c>
      <c r="QL24" s="22">
        <f t="shared" si="142"/>
        <v>0</v>
      </c>
      <c r="QM24" s="22">
        <f t="shared" si="143"/>
        <v>8.9499999999999993</v>
      </c>
      <c r="QN24" s="22">
        <f t="shared" si="144"/>
        <v>2.6</v>
      </c>
      <c r="QO24" s="22">
        <f t="shared" si="145"/>
        <v>0</v>
      </c>
      <c r="QP24" s="22">
        <f t="shared" si="146"/>
        <v>0</v>
      </c>
      <c r="QQ24" s="22">
        <f t="shared" si="147"/>
        <v>9.0500000000000007</v>
      </c>
      <c r="QR24" s="22">
        <f t="shared" si="148"/>
        <v>1.75</v>
      </c>
      <c r="QS24" s="22">
        <f t="shared" si="149"/>
        <v>0.1</v>
      </c>
      <c r="QT24" s="22">
        <f t="shared" si="150"/>
        <v>0</v>
      </c>
      <c r="QU24" s="22">
        <f t="shared" si="151"/>
        <v>8.5</v>
      </c>
      <c r="QV24" s="22">
        <f t="shared" si="152"/>
        <v>1.2</v>
      </c>
      <c r="QW24" s="22">
        <f t="shared" si="153"/>
        <v>0</v>
      </c>
      <c r="QX24" s="22">
        <f t="shared" si="154"/>
        <v>0</v>
      </c>
      <c r="QY24" s="27" t="s">
        <v>46</v>
      </c>
      <c r="QZ24" s="40">
        <f t="shared" si="155"/>
        <v>3.9</v>
      </c>
      <c r="RA24" s="40">
        <f t="shared" si="156"/>
        <v>22.049999999999997</v>
      </c>
      <c r="RB24" s="40">
        <f t="shared" si="157"/>
        <v>11.549999999999999</v>
      </c>
      <c r="RC24" s="40">
        <f t="shared" si="158"/>
        <v>6.5</v>
      </c>
      <c r="RD24" s="40">
        <f t="shared" si="159"/>
        <v>33.599999999999994</v>
      </c>
      <c r="RE24" s="40">
        <f t="shared" si="160"/>
        <v>2.95</v>
      </c>
      <c r="RF24" s="40">
        <f t="shared" si="161"/>
        <v>20.399999999999999</v>
      </c>
      <c r="RG24" s="40">
        <f t="shared" si="162"/>
        <v>42.449999999999996</v>
      </c>
    </row>
    <row r="25" spans="1:475" x14ac:dyDescent="0.2">
      <c r="A25" s="4" t="str">
        <f t="shared" si="164"/>
        <v/>
      </c>
      <c r="B25" s="5" t="s">
        <v>147</v>
      </c>
      <c r="C25" s="4" t="s">
        <v>5</v>
      </c>
      <c r="D25" s="4">
        <v>2005</v>
      </c>
      <c r="E25" s="9">
        <f t="shared" si="163"/>
        <v>145.10000969000487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48.599999999999994</v>
      </c>
      <c r="K25" s="8" t="str">
        <f t="shared" si="4"/>
        <v>2022 Nationals</v>
      </c>
      <c r="L25" s="8">
        <f>IF(COUNT(AQ25,BT25,CW25)&gt;1,LARGE((AQ25,BT25,CW25),2),0)</f>
        <v>25.400000000000002</v>
      </c>
      <c r="M25" s="8" t="str">
        <f t="shared" si="5"/>
        <v>2022 3rd Domestic Trial</v>
      </c>
      <c r="N25" s="8">
        <f>IF(COUNT(AR25,BU25,CX25)&gt;0,LARGE((AR25,BU25,CX25),1),0)</f>
        <v>22.900000000000002</v>
      </c>
      <c r="O25" s="8" t="str">
        <f t="shared" si="6"/>
        <v>2022 Nationals</v>
      </c>
      <c r="P25" s="8">
        <f t="shared" si="7"/>
        <v>48.199999999999996</v>
      </c>
      <c r="Q25" s="8" t="str">
        <f t="shared" si="8"/>
        <v>2022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</v>
      </c>
      <c r="V25" s="19">
        <v>6</v>
      </c>
      <c r="W25" s="19">
        <v>0.2</v>
      </c>
      <c r="X25" s="19">
        <v>0</v>
      </c>
      <c r="Y25" s="19">
        <v>18.600000000000001</v>
      </c>
      <c r="Z25" s="19">
        <v>6.4</v>
      </c>
      <c r="AA25" s="19">
        <v>0.2</v>
      </c>
      <c r="AB25" s="19">
        <v>0</v>
      </c>
      <c r="AC25" s="19">
        <v>19.100000000000001</v>
      </c>
      <c r="AD25" s="19">
        <v>4</v>
      </c>
      <c r="AE25" s="19">
        <v>0.2</v>
      </c>
      <c r="AF25" s="19">
        <v>0</v>
      </c>
      <c r="AG25" s="19">
        <v>17.8</v>
      </c>
      <c r="AH25" s="19">
        <v>6</v>
      </c>
      <c r="AI25" s="19">
        <v>0</v>
      </c>
      <c r="AJ25" s="19">
        <v>0</v>
      </c>
      <c r="AK25" s="19">
        <v>18.2</v>
      </c>
      <c r="AL25" s="19">
        <v>6.4</v>
      </c>
      <c r="AM25" s="19">
        <v>0.2</v>
      </c>
      <c r="AN25" s="19">
        <v>0</v>
      </c>
      <c r="AO25" s="27"/>
      <c r="AP25" s="40">
        <f t="shared" si="12"/>
        <v>12.4</v>
      </c>
      <c r="AQ25" s="40">
        <f t="shared" si="13"/>
        <v>48.599999999999994</v>
      </c>
      <c r="AR25" s="40">
        <f t="shared" si="14"/>
        <v>22.900000000000002</v>
      </c>
      <c r="AS25" s="40">
        <f t="shared" si="15"/>
        <v>16.399999999999999</v>
      </c>
      <c r="AT25" s="40">
        <f t="shared" si="16"/>
        <v>71.5</v>
      </c>
      <c r="AU25" s="40">
        <f t="shared" si="17"/>
        <v>12.4</v>
      </c>
      <c r="AV25" s="40">
        <f t="shared" si="18"/>
        <v>48.199999999999996</v>
      </c>
      <c r="AW25" s="40">
        <f t="shared" si="19"/>
        <v>96.799999999999983</v>
      </c>
      <c r="AX25" s="18">
        <v>0</v>
      </c>
      <c r="AY25" s="18">
        <v>0</v>
      </c>
      <c r="AZ25" s="18">
        <v>0</v>
      </c>
      <c r="BA25" s="18">
        <v>0</v>
      </c>
      <c r="BB25" s="18">
        <v>18.8</v>
      </c>
      <c r="BC25" s="18">
        <v>6.8</v>
      </c>
      <c r="BD25" s="18">
        <v>0.2</v>
      </c>
      <c r="BE25" s="18">
        <v>0</v>
      </c>
      <c r="BF25" s="18">
        <v>18.399999999999999</v>
      </c>
      <c r="BG25" s="18">
        <v>4.8</v>
      </c>
      <c r="BH25" s="18">
        <v>1</v>
      </c>
      <c r="BI25" s="18">
        <v>0</v>
      </c>
      <c r="BJ25" s="18">
        <v>17.2</v>
      </c>
      <c r="BK25" s="18">
        <v>3.2</v>
      </c>
      <c r="BL25" s="18">
        <v>0</v>
      </c>
      <c r="BM25" s="18">
        <v>0</v>
      </c>
      <c r="BN25" s="18">
        <v>18.3</v>
      </c>
      <c r="BO25" s="18">
        <v>3.6</v>
      </c>
      <c r="BP25" s="18">
        <v>0.8</v>
      </c>
      <c r="BQ25" s="18">
        <v>0</v>
      </c>
      <c r="BR25" s="28"/>
      <c r="BS25" s="11">
        <f t="shared" si="20"/>
        <v>6.8</v>
      </c>
      <c r="BT25" s="11">
        <f t="shared" si="21"/>
        <v>25.400000000000002</v>
      </c>
      <c r="BU25" s="11">
        <f t="shared" si="22"/>
        <v>22.2</v>
      </c>
      <c r="BV25" s="11">
        <f t="shared" si="23"/>
        <v>11.6</v>
      </c>
      <c r="BW25" s="11">
        <f t="shared" si="24"/>
        <v>47.6</v>
      </c>
      <c r="BX25" s="11">
        <f t="shared" si="25"/>
        <v>6.8000000000000007</v>
      </c>
      <c r="BY25" s="11">
        <f t="shared" si="26"/>
        <v>41.500000000000007</v>
      </c>
      <c r="BZ25" s="11">
        <f t="shared" si="27"/>
        <v>66.900000000000006</v>
      </c>
      <c r="CA25" s="19">
        <v>18</v>
      </c>
      <c r="CB25" s="19">
        <v>6.8</v>
      </c>
      <c r="CC25" s="19">
        <v>0.8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17.2</v>
      </c>
      <c r="CJ25" s="19">
        <v>2.8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6.8</v>
      </c>
      <c r="CW25" s="40">
        <f t="shared" si="29"/>
        <v>24</v>
      </c>
      <c r="CX25" s="40">
        <f t="shared" si="30"/>
        <v>20</v>
      </c>
      <c r="CY25" s="40">
        <f t="shared" si="31"/>
        <v>9.6</v>
      </c>
      <c r="CZ25" s="40">
        <f t="shared" si="32"/>
        <v>44</v>
      </c>
      <c r="DA25" s="40" t="str">
        <f t="shared" si="33"/>
        <v/>
      </c>
      <c r="DB25" s="40" t="str">
        <f t="shared" si="34"/>
        <v/>
      </c>
      <c r="DC25" s="40">
        <f t="shared" si="35"/>
        <v>24</v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9</v>
      </c>
      <c r="QF25" s="22">
        <f t="shared" si="136"/>
        <v>3.4</v>
      </c>
      <c r="QG25" s="22">
        <f t="shared" si="137"/>
        <v>0.4</v>
      </c>
      <c r="QH25" s="22">
        <f t="shared" si="138"/>
        <v>0</v>
      </c>
      <c r="QI25" s="22">
        <f t="shared" si="139"/>
        <v>9.4</v>
      </c>
      <c r="QJ25" s="22">
        <f t="shared" si="140"/>
        <v>3.4</v>
      </c>
      <c r="QK25" s="22">
        <f t="shared" si="141"/>
        <v>0.1</v>
      </c>
      <c r="QL25" s="22">
        <f t="shared" si="142"/>
        <v>0</v>
      </c>
      <c r="QM25" s="22">
        <f t="shared" si="143"/>
        <v>17.799999999999997</v>
      </c>
      <c r="QN25" s="22">
        <f t="shared" si="144"/>
        <v>3.8</v>
      </c>
      <c r="QO25" s="22">
        <f t="shared" si="145"/>
        <v>0.5</v>
      </c>
      <c r="QP25" s="22">
        <f t="shared" si="146"/>
        <v>0</v>
      </c>
      <c r="QQ25" s="22">
        <f t="shared" si="147"/>
        <v>8.6</v>
      </c>
      <c r="QR25" s="22">
        <f t="shared" si="148"/>
        <v>1.6</v>
      </c>
      <c r="QS25" s="22">
        <f t="shared" si="149"/>
        <v>0</v>
      </c>
      <c r="QT25" s="22">
        <f t="shared" si="150"/>
        <v>0</v>
      </c>
      <c r="QU25" s="22">
        <f t="shared" si="151"/>
        <v>9.15</v>
      </c>
      <c r="QV25" s="22">
        <f t="shared" si="152"/>
        <v>1.8</v>
      </c>
      <c r="QW25" s="22">
        <f t="shared" si="153"/>
        <v>0.4</v>
      </c>
      <c r="QX25" s="22">
        <f t="shared" si="154"/>
        <v>0</v>
      </c>
      <c r="QY25" s="27" t="s">
        <v>46</v>
      </c>
      <c r="QZ25" s="40">
        <f t="shared" si="155"/>
        <v>6.8</v>
      </c>
      <c r="RA25" s="40">
        <f t="shared" si="156"/>
        <v>24.7</v>
      </c>
      <c r="RB25" s="40">
        <f t="shared" si="157"/>
        <v>21.099999999999998</v>
      </c>
      <c r="RC25" s="40">
        <f t="shared" si="158"/>
        <v>10.6</v>
      </c>
      <c r="RD25" s="40">
        <f t="shared" si="159"/>
        <v>45.8</v>
      </c>
      <c r="RE25" s="40">
        <f t="shared" si="160"/>
        <v>3.4000000000000004</v>
      </c>
      <c r="RF25" s="40">
        <f t="shared" si="161"/>
        <v>20.750000000000004</v>
      </c>
      <c r="RG25" s="40">
        <f t="shared" si="162"/>
        <v>45.45</v>
      </c>
    </row>
    <row r="26" spans="1:475" x14ac:dyDescent="0.2">
      <c r="A26" s="4" t="str">
        <f t="shared" si="164"/>
        <v/>
      </c>
      <c r="B26" s="5" t="s">
        <v>179</v>
      </c>
      <c r="C26" s="4" t="s">
        <v>5</v>
      </c>
      <c r="D26" s="4">
        <v>2005</v>
      </c>
      <c r="E26" s="9">
        <f t="shared" si="163"/>
        <v>134.30000891000455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45.600000000000009</v>
      </c>
      <c r="K26" s="8" t="str">
        <f t="shared" si="4"/>
        <v>2023 Elite Canada</v>
      </c>
      <c r="L26" s="8">
        <f>IF(COUNT(AQ26,BT26,CW26)&gt;1,LARGE((AQ26,BT26,CW26),2),0)</f>
        <v>22</v>
      </c>
      <c r="M26" s="8" t="str">
        <f t="shared" si="5"/>
        <v>2022 Nationals</v>
      </c>
      <c r="N26" s="8">
        <f>IF(COUNT(AR26,BU26,CX26)&gt;0,LARGE((AR26,BU26,CX26),1),0)</f>
        <v>21.499999999999996</v>
      </c>
      <c r="O26" s="8" t="str">
        <f t="shared" si="6"/>
        <v>2023 Elite Canada</v>
      </c>
      <c r="P26" s="8">
        <f t="shared" si="7"/>
        <v>45.2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0</v>
      </c>
      <c r="V26" s="19">
        <v>0</v>
      </c>
      <c r="W26" s="19">
        <v>0</v>
      </c>
      <c r="X26" s="19">
        <v>0</v>
      </c>
      <c r="Y26" s="19">
        <v>18.2</v>
      </c>
      <c r="Z26" s="19">
        <v>4.4000000000000004</v>
      </c>
      <c r="AA26" s="19">
        <v>0.6</v>
      </c>
      <c r="AB26" s="19">
        <v>0</v>
      </c>
      <c r="AC26" s="19">
        <v>16.100000000000001</v>
      </c>
      <c r="AD26" s="19">
        <v>0</v>
      </c>
      <c r="AE26" s="19">
        <v>4.3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2"/>
        <v>4.4000000000000004</v>
      </c>
      <c r="AQ26" s="40">
        <f t="shared" si="13"/>
        <v>22</v>
      </c>
      <c r="AR26" s="40">
        <f t="shared" si="14"/>
        <v>11.8</v>
      </c>
      <c r="AS26" s="40">
        <f t="shared" si="15"/>
        <v>4.4000000000000004</v>
      </c>
      <c r="AT26" s="40">
        <f t="shared" si="16"/>
        <v>33.799999999999997</v>
      </c>
      <c r="AU26" s="40" t="str">
        <f t="shared" si="17"/>
        <v/>
      </c>
      <c r="AV26" s="40" t="str">
        <f t="shared" si="18"/>
        <v/>
      </c>
      <c r="AW26" s="40">
        <f t="shared" si="19"/>
        <v>22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</v>
      </c>
      <c r="CB26" s="19">
        <v>5.2</v>
      </c>
      <c r="CC26" s="19">
        <v>0.8</v>
      </c>
      <c r="CD26" s="19">
        <v>0</v>
      </c>
      <c r="CE26" s="19">
        <v>18</v>
      </c>
      <c r="CF26" s="19">
        <v>5.2</v>
      </c>
      <c r="CG26" s="19">
        <v>0</v>
      </c>
      <c r="CH26" s="19">
        <v>0</v>
      </c>
      <c r="CI26" s="19">
        <v>18.2</v>
      </c>
      <c r="CJ26" s="19">
        <v>3.9</v>
      </c>
      <c r="CK26" s="19">
        <v>0.6</v>
      </c>
      <c r="CL26" s="19">
        <v>0</v>
      </c>
      <c r="CM26" s="19">
        <v>18</v>
      </c>
      <c r="CN26" s="19">
        <v>5.2</v>
      </c>
      <c r="CO26" s="19">
        <v>0.6</v>
      </c>
      <c r="CP26" s="19">
        <v>0</v>
      </c>
      <c r="CQ26" s="19">
        <v>18.2</v>
      </c>
      <c r="CR26" s="19">
        <v>5.2</v>
      </c>
      <c r="CS26" s="19">
        <v>0.8</v>
      </c>
      <c r="CT26" s="19">
        <v>0</v>
      </c>
      <c r="CU26" s="27"/>
      <c r="CV26" s="40">
        <f t="shared" si="28"/>
        <v>10.4</v>
      </c>
      <c r="CW26" s="40">
        <f t="shared" si="29"/>
        <v>45.600000000000009</v>
      </c>
      <c r="CX26" s="40">
        <f t="shared" si="30"/>
        <v>21.499999999999996</v>
      </c>
      <c r="CY26" s="40">
        <f t="shared" si="31"/>
        <v>14.3</v>
      </c>
      <c r="CZ26" s="40">
        <f t="shared" si="32"/>
        <v>67.100000000000009</v>
      </c>
      <c r="DA26" s="40">
        <f t="shared" si="33"/>
        <v>10.4</v>
      </c>
      <c r="DB26" s="40">
        <f t="shared" si="34"/>
        <v>45.2</v>
      </c>
      <c r="DC26" s="40">
        <f t="shared" si="35"/>
        <v>90.800000000000011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9</v>
      </c>
      <c r="QF26" s="22">
        <f t="shared" si="136"/>
        <v>2.6</v>
      </c>
      <c r="QG26" s="22">
        <f t="shared" si="137"/>
        <v>0.4</v>
      </c>
      <c r="QH26" s="22">
        <f t="shared" si="138"/>
        <v>0</v>
      </c>
      <c r="QI26" s="22">
        <f t="shared" si="139"/>
        <v>9</v>
      </c>
      <c r="QJ26" s="22">
        <f t="shared" si="140"/>
        <v>2.6</v>
      </c>
      <c r="QK26" s="22">
        <f t="shared" si="141"/>
        <v>0</v>
      </c>
      <c r="QL26" s="22">
        <f t="shared" si="142"/>
        <v>0</v>
      </c>
      <c r="QM26" s="22">
        <f t="shared" si="143"/>
        <v>9.1</v>
      </c>
      <c r="QN26" s="22">
        <f t="shared" si="144"/>
        <v>1.95</v>
      </c>
      <c r="QO26" s="22">
        <f t="shared" si="145"/>
        <v>0.3</v>
      </c>
      <c r="QP26" s="22">
        <f t="shared" si="146"/>
        <v>0</v>
      </c>
      <c r="QQ26" s="22">
        <f t="shared" si="147"/>
        <v>9</v>
      </c>
      <c r="QR26" s="22">
        <f t="shared" si="148"/>
        <v>2.6</v>
      </c>
      <c r="QS26" s="22">
        <f t="shared" si="149"/>
        <v>0.3</v>
      </c>
      <c r="QT26" s="22">
        <f t="shared" si="150"/>
        <v>0</v>
      </c>
      <c r="QU26" s="22">
        <f t="shared" si="151"/>
        <v>9.1</v>
      </c>
      <c r="QV26" s="22">
        <f t="shared" si="152"/>
        <v>2.6</v>
      </c>
      <c r="QW26" s="22">
        <f t="shared" si="153"/>
        <v>0.4</v>
      </c>
      <c r="QX26" s="22">
        <f t="shared" si="154"/>
        <v>0</v>
      </c>
      <c r="QY26" s="27" t="s">
        <v>46</v>
      </c>
      <c r="QZ26" s="40">
        <f t="shared" si="155"/>
        <v>5.2</v>
      </c>
      <c r="RA26" s="40">
        <f t="shared" si="156"/>
        <v>22.800000000000004</v>
      </c>
      <c r="RB26" s="40">
        <f t="shared" si="157"/>
        <v>10.749999999999998</v>
      </c>
      <c r="RC26" s="40">
        <f t="shared" si="158"/>
        <v>7.15</v>
      </c>
      <c r="RD26" s="40">
        <f t="shared" si="159"/>
        <v>33.550000000000004</v>
      </c>
      <c r="RE26" s="40">
        <f t="shared" si="160"/>
        <v>5.2</v>
      </c>
      <c r="RF26" s="40">
        <f t="shared" si="161"/>
        <v>22.6</v>
      </c>
      <c r="RG26" s="40">
        <f t="shared" si="162"/>
        <v>45.400000000000006</v>
      </c>
    </row>
    <row r="27" spans="1:475" x14ac:dyDescent="0.2">
      <c r="A27" s="4" t="str">
        <f t="shared" si="164"/>
        <v/>
      </c>
      <c r="B27" s="5" t="s">
        <v>165</v>
      </c>
      <c r="C27" s="4" t="s">
        <v>4</v>
      </c>
      <c r="D27" s="4">
        <v>2004</v>
      </c>
      <c r="E27" s="9">
        <f t="shared" si="163"/>
        <v>122.30000738000493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49.2</v>
      </c>
      <c r="K27" s="8" t="str">
        <f t="shared" si="4"/>
        <v>2022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24.6</v>
      </c>
      <c r="O27" s="8" t="str">
        <f t="shared" si="6"/>
        <v>2022 Nationals</v>
      </c>
      <c r="P27" s="8">
        <f t="shared" si="7"/>
        <v>48.5</v>
      </c>
      <c r="Q27" s="8" t="str">
        <f t="shared" si="8"/>
        <v>2022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19</v>
      </c>
      <c r="V27" s="19">
        <v>6.4</v>
      </c>
      <c r="W27" s="19">
        <v>0</v>
      </c>
      <c r="X27" s="19">
        <v>0</v>
      </c>
      <c r="Y27" s="19">
        <v>18.600000000000001</v>
      </c>
      <c r="Z27" s="19">
        <v>6</v>
      </c>
      <c r="AA27" s="19">
        <v>0.8</v>
      </c>
      <c r="AB27" s="19">
        <v>0</v>
      </c>
      <c r="AC27" s="19">
        <v>19</v>
      </c>
      <c r="AD27" s="19">
        <v>5.6</v>
      </c>
      <c r="AE27" s="19">
        <v>0</v>
      </c>
      <c r="AF27" s="19">
        <v>0</v>
      </c>
      <c r="AG27" s="19">
        <v>18.600000000000001</v>
      </c>
      <c r="AH27" s="19">
        <v>6.4</v>
      </c>
      <c r="AI27" s="19">
        <v>0.2</v>
      </c>
      <c r="AJ27" s="19">
        <v>0</v>
      </c>
      <c r="AK27" s="19">
        <v>18.3</v>
      </c>
      <c r="AL27" s="19">
        <v>6</v>
      </c>
      <c r="AM27" s="19">
        <v>0.6</v>
      </c>
      <c r="AN27" s="19">
        <v>0</v>
      </c>
      <c r="AO27" s="27"/>
      <c r="AP27" s="40">
        <f t="shared" si="12"/>
        <v>12.4</v>
      </c>
      <c r="AQ27" s="40">
        <f t="shared" si="13"/>
        <v>49.2</v>
      </c>
      <c r="AR27" s="40">
        <f t="shared" si="14"/>
        <v>24.6</v>
      </c>
      <c r="AS27" s="40">
        <f t="shared" si="15"/>
        <v>18</v>
      </c>
      <c r="AT27" s="40">
        <f t="shared" si="16"/>
        <v>73.800000000000011</v>
      </c>
      <c r="AU27" s="40">
        <f t="shared" si="17"/>
        <v>12.4</v>
      </c>
      <c r="AV27" s="40">
        <f t="shared" si="18"/>
        <v>48.5</v>
      </c>
      <c r="AW27" s="40">
        <f t="shared" si="19"/>
        <v>97.7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40" t="str">
        <f t="shared" si="34"/>
        <v/>
      </c>
      <c r="DC27" s="40" t="str">
        <f t="shared" si="35"/>
        <v/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0</v>
      </c>
      <c r="QF27" s="22">
        <f t="shared" si="136"/>
        <v>0</v>
      </c>
      <c r="QG27" s="22">
        <f t="shared" si="137"/>
        <v>0</v>
      </c>
      <c r="QH27" s="22">
        <f t="shared" si="138"/>
        <v>0</v>
      </c>
      <c r="QI27" s="22">
        <f t="shared" si="139"/>
        <v>0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0</v>
      </c>
      <c r="QQ27" s="22">
        <f t="shared" si="147"/>
        <v>0</v>
      </c>
      <c r="QR27" s="22">
        <f t="shared" si="148"/>
        <v>0</v>
      </c>
      <c r="QS27" s="22">
        <f t="shared" si="149"/>
        <v>0</v>
      </c>
      <c r="QT27" s="22">
        <f t="shared" si="150"/>
        <v>0</v>
      </c>
      <c r="QU27" s="22">
        <f t="shared" si="151"/>
        <v>0</v>
      </c>
      <c r="QV27" s="22">
        <f t="shared" si="152"/>
        <v>0</v>
      </c>
      <c r="QW27" s="22">
        <f t="shared" si="153"/>
        <v>0</v>
      </c>
      <c r="QX27" s="22">
        <f t="shared" si="154"/>
        <v>0</v>
      </c>
      <c r="QY27" s="27" t="s">
        <v>46</v>
      </c>
      <c r="QZ27" s="40" t="str">
        <f t="shared" si="155"/>
        <v/>
      </c>
      <c r="RA27" s="40" t="str">
        <f t="shared" si="156"/>
        <v/>
      </c>
      <c r="RB27" s="40" t="str">
        <f t="shared" si="157"/>
        <v/>
      </c>
      <c r="RC27" s="40" t="str">
        <f t="shared" si="158"/>
        <v/>
      </c>
      <c r="RD27" s="40" t="str">
        <f t="shared" si="159"/>
        <v/>
      </c>
      <c r="RE27" s="40" t="str">
        <f t="shared" si="160"/>
        <v/>
      </c>
      <c r="RF27" s="40" t="str">
        <f t="shared" si="161"/>
        <v/>
      </c>
      <c r="RG27" s="40" t="str">
        <f t="shared" si="162"/>
        <v/>
      </c>
    </row>
    <row r="28" spans="1:475" x14ac:dyDescent="0.2">
      <c r="A28" s="4" t="str">
        <f t="shared" si="164"/>
        <v/>
      </c>
      <c r="B28" s="5" t="s">
        <v>145</v>
      </c>
      <c r="C28" s="4" t="s">
        <v>5</v>
      </c>
      <c r="D28" s="4">
        <v>2004</v>
      </c>
      <c r="E28" s="9">
        <f t="shared" si="163"/>
        <v>118.10000714000491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49</v>
      </c>
      <c r="K28" s="8" t="str">
        <f t="shared" si="4"/>
        <v>2022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22.4</v>
      </c>
      <c r="O28" s="8" t="str">
        <f t="shared" si="6"/>
        <v>2022 Nationals</v>
      </c>
      <c r="P28" s="8">
        <f t="shared" si="7"/>
        <v>46.7</v>
      </c>
      <c r="Q28" s="8" t="str">
        <f t="shared" si="8"/>
        <v>2022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18.8</v>
      </c>
      <c r="V28" s="19">
        <v>6</v>
      </c>
      <c r="W28" s="19">
        <v>0</v>
      </c>
      <c r="X28" s="19">
        <v>0</v>
      </c>
      <c r="Y28" s="19">
        <v>18.8</v>
      </c>
      <c r="Z28" s="19">
        <v>5.6</v>
      </c>
      <c r="AA28" s="19">
        <v>0.2</v>
      </c>
      <c r="AB28" s="19">
        <v>0</v>
      </c>
      <c r="AC28" s="19">
        <v>18.5</v>
      </c>
      <c r="AD28" s="19">
        <v>3.9</v>
      </c>
      <c r="AE28" s="19">
        <v>0</v>
      </c>
      <c r="AF28" s="19">
        <v>0</v>
      </c>
      <c r="AG28" s="19">
        <v>18.2</v>
      </c>
      <c r="AH28" s="19">
        <v>5.2</v>
      </c>
      <c r="AI28" s="19">
        <v>0</v>
      </c>
      <c r="AJ28" s="19">
        <v>0</v>
      </c>
      <c r="AK28" s="19">
        <v>18.100000000000001</v>
      </c>
      <c r="AL28" s="19">
        <v>6</v>
      </c>
      <c r="AM28" s="19">
        <v>0.8</v>
      </c>
      <c r="AN28" s="19">
        <v>0</v>
      </c>
      <c r="AO28" s="27"/>
      <c r="AP28" s="40">
        <f t="shared" si="12"/>
        <v>11.6</v>
      </c>
      <c r="AQ28" s="40">
        <f t="shared" si="13"/>
        <v>49</v>
      </c>
      <c r="AR28" s="40">
        <f t="shared" si="14"/>
        <v>22.4</v>
      </c>
      <c r="AS28" s="40">
        <f t="shared" si="15"/>
        <v>15.5</v>
      </c>
      <c r="AT28" s="40">
        <f t="shared" si="16"/>
        <v>71.400000000000006</v>
      </c>
      <c r="AU28" s="40">
        <f t="shared" si="17"/>
        <v>11.2</v>
      </c>
      <c r="AV28" s="40">
        <f t="shared" si="18"/>
        <v>46.7</v>
      </c>
      <c r="AW28" s="40">
        <f t="shared" si="19"/>
        <v>95.7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 t="shared" si="28"/>
        <v/>
      </c>
      <c r="CW28" s="40" t="str">
        <f t="shared" si="29"/>
        <v/>
      </c>
      <c r="CX28" s="40" t="str">
        <f t="shared" si="30"/>
        <v/>
      </c>
      <c r="CY28" s="40" t="str">
        <f t="shared" si="31"/>
        <v/>
      </c>
      <c r="CZ28" s="40" t="str">
        <f t="shared" si="32"/>
        <v/>
      </c>
      <c r="DA28" s="40" t="str">
        <f t="shared" si="33"/>
        <v/>
      </c>
      <c r="DB28" s="40" t="str">
        <f t="shared" si="34"/>
        <v/>
      </c>
      <c r="DC28" s="40" t="str">
        <f t="shared" si="35"/>
        <v/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0</v>
      </c>
      <c r="QF28" s="22">
        <f t="shared" si="136"/>
        <v>0</v>
      </c>
      <c r="QG28" s="22">
        <f t="shared" si="137"/>
        <v>0</v>
      </c>
      <c r="QH28" s="22">
        <f t="shared" si="138"/>
        <v>0</v>
      </c>
      <c r="QI28" s="22">
        <f t="shared" si="139"/>
        <v>0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2">
        <f t="shared" si="154"/>
        <v>0</v>
      </c>
      <c r="QY28" s="27" t="s">
        <v>46</v>
      </c>
      <c r="QZ28" s="40" t="str">
        <f t="shared" si="155"/>
        <v/>
      </c>
      <c r="RA28" s="40" t="str">
        <f t="shared" si="156"/>
        <v/>
      </c>
      <c r="RB28" s="40" t="str">
        <f t="shared" si="157"/>
        <v/>
      </c>
      <c r="RC28" s="40" t="str">
        <f t="shared" si="158"/>
        <v/>
      </c>
      <c r="RD28" s="40" t="str">
        <f t="shared" si="159"/>
        <v/>
      </c>
      <c r="RE28" s="40" t="str">
        <f t="shared" si="160"/>
        <v/>
      </c>
      <c r="RF28" s="40" t="str">
        <f t="shared" si="161"/>
        <v/>
      </c>
      <c r="RG28" s="40" t="str">
        <f t="shared" si="162"/>
        <v/>
      </c>
    </row>
    <row r="29" spans="1:475" x14ac:dyDescent="0.2">
      <c r="A29" s="4" t="str">
        <f t="shared" si="164"/>
        <v/>
      </c>
      <c r="B29" s="5" t="s">
        <v>199</v>
      </c>
      <c r="C29" s="4" t="s">
        <v>3</v>
      </c>
      <c r="D29" s="4">
        <v>2003</v>
      </c>
      <c r="E29" s="9">
        <f t="shared" si="163"/>
        <v>114.40000669000472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47.100000000000009</v>
      </c>
      <c r="K29" s="8" t="str">
        <f t="shared" si="4"/>
        <v>2023 Elite Canada</v>
      </c>
      <c r="L29" s="8">
        <f>IF(COUNT(AQ29,BT29,CW29)&gt;1,LARGE((AQ29,BT29,CW29),2),0)</f>
        <v>0</v>
      </c>
      <c r="M29" s="8" t="str">
        <f t="shared" si="5"/>
        <v/>
      </c>
      <c r="N29" s="8">
        <f>IF(COUNT(AR29,BU29,CX29)&gt;0,LARGE((AR29,BU29,CX29),1),0)</f>
        <v>19.8</v>
      </c>
      <c r="O29" s="8" t="str">
        <f t="shared" si="6"/>
        <v>2023 Elite Canada</v>
      </c>
      <c r="P29" s="8">
        <f t="shared" si="7"/>
        <v>47.500000000000007</v>
      </c>
      <c r="Q29" s="8" t="str">
        <f t="shared" si="8"/>
        <v>2023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>
        <v>18.8</v>
      </c>
      <c r="CB29" s="19">
        <v>5.2</v>
      </c>
      <c r="CC29" s="19">
        <v>0.8</v>
      </c>
      <c r="CD29" s="19">
        <v>0</v>
      </c>
      <c r="CE29" s="19">
        <v>18.7</v>
      </c>
      <c r="CF29" s="19">
        <v>5.2</v>
      </c>
      <c r="CG29" s="19">
        <v>0</v>
      </c>
      <c r="CH29" s="19">
        <v>0</v>
      </c>
      <c r="CI29" s="19">
        <v>19.8</v>
      </c>
      <c r="CJ29" s="19">
        <v>0</v>
      </c>
      <c r="CK29" s="19">
        <v>0</v>
      </c>
      <c r="CL29" s="19">
        <v>0</v>
      </c>
      <c r="CM29" s="19">
        <v>18.8</v>
      </c>
      <c r="CN29" s="19">
        <v>5.2</v>
      </c>
      <c r="CO29" s="19">
        <v>0.2</v>
      </c>
      <c r="CP29" s="19">
        <v>0</v>
      </c>
      <c r="CQ29" s="19">
        <v>18.7</v>
      </c>
      <c r="CR29" s="19">
        <v>5.2</v>
      </c>
      <c r="CS29" s="19">
        <v>0.2</v>
      </c>
      <c r="CT29" s="19">
        <v>0</v>
      </c>
      <c r="CU29" s="27"/>
      <c r="CV29" s="40">
        <f t="shared" si="28"/>
        <v>10.4</v>
      </c>
      <c r="CW29" s="40">
        <f t="shared" si="29"/>
        <v>47.100000000000009</v>
      </c>
      <c r="CX29" s="40">
        <f t="shared" si="30"/>
        <v>19.8</v>
      </c>
      <c r="CY29" s="40">
        <f t="shared" si="31"/>
        <v>10.4</v>
      </c>
      <c r="CZ29" s="40">
        <f t="shared" si="32"/>
        <v>66.900000000000006</v>
      </c>
      <c r="DA29" s="40">
        <f t="shared" si="33"/>
        <v>10.4</v>
      </c>
      <c r="DB29" s="40">
        <f t="shared" si="34"/>
        <v>47.500000000000007</v>
      </c>
      <c r="DC29" s="40">
        <f t="shared" si="35"/>
        <v>94.600000000000023</v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9.4</v>
      </c>
      <c r="QF29" s="22">
        <f t="shared" si="136"/>
        <v>2.6</v>
      </c>
      <c r="QG29" s="22">
        <f t="shared" si="137"/>
        <v>0.4</v>
      </c>
      <c r="QH29" s="22">
        <f t="shared" si="138"/>
        <v>0</v>
      </c>
      <c r="QI29" s="22">
        <f t="shared" si="139"/>
        <v>9.35</v>
      </c>
      <c r="QJ29" s="22">
        <f t="shared" si="140"/>
        <v>2.6</v>
      </c>
      <c r="QK29" s="22">
        <f t="shared" si="141"/>
        <v>0</v>
      </c>
      <c r="QL29" s="22">
        <f t="shared" si="142"/>
        <v>0</v>
      </c>
      <c r="QM29" s="22">
        <f t="shared" si="143"/>
        <v>9.9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9.4</v>
      </c>
      <c r="QR29" s="22">
        <f t="shared" si="148"/>
        <v>2.6</v>
      </c>
      <c r="QS29" s="22">
        <f t="shared" si="149"/>
        <v>0.1</v>
      </c>
      <c r="QT29" s="22">
        <f t="shared" si="150"/>
        <v>0</v>
      </c>
      <c r="QU29" s="22">
        <f t="shared" si="151"/>
        <v>9.35</v>
      </c>
      <c r="QV29" s="22">
        <f t="shared" si="152"/>
        <v>2.6</v>
      </c>
      <c r="QW29" s="22">
        <f t="shared" si="153"/>
        <v>0.1</v>
      </c>
      <c r="QX29" s="22">
        <f t="shared" si="154"/>
        <v>0</v>
      </c>
      <c r="QY29" s="27" t="s">
        <v>46</v>
      </c>
      <c r="QZ29" s="40">
        <f t="shared" si="155"/>
        <v>5.2</v>
      </c>
      <c r="RA29" s="40">
        <f t="shared" si="156"/>
        <v>23.550000000000004</v>
      </c>
      <c r="RB29" s="40">
        <f t="shared" si="157"/>
        <v>9.9</v>
      </c>
      <c r="RC29" s="40">
        <f t="shared" si="158"/>
        <v>5.2</v>
      </c>
      <c r="RD29" s="40">
        <f t="shared" si="159"/>
        <v>33.450000000000003</v>
      </c>
      <c r="RE29" s="40">
        <f t="shared" si="160"/>
        <v>5.2</v>
      </c>
      <c r="RF29" s="40">
        <f t="shared" si="161"/>
        <v>23.750000000000004</v>
      </c>
      <c r="RG29" s="40">
        <f t="shared" si="162"/>
        <v>47.300000000000011</v>
      </c>
    </row>
    <row r="30" spans="1:475" x14ac:dyDescent="0.2">
      <c r="A30" s="4" t="str">
        <f t="shared" si="164"/>
        <v/>
      </c>
      <c r="B30" s="5" t="s">
        <v>106</v>
      </c>
      <c r="C30" s="4" t="s">
        <v>5</v>
      </c>
      <c r="D30" s="4">
        <v>2005</v>
      </c>
      <c r="E30" s="9">
        <f t="shared" si="163"/>
        <v>73.000007300002594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26</v>
      </c>
      <c r="K30" s="8" t="str">
        <f t="shared" si="4"/>
        <v>2022 3rd Domestic Trial</v>
      </c>
      <c r="L30" s="8">
        <f>IF(COUNT(AQ30,BT30,CW30)&gt;1,LARGE((AQ30,BT30,CW30),2),0)</f>
        <v>24.6</v>
      </c>
      <c r="M30" s="8" t="str">
        <f t="shared" si="5"/>
        <v>2022 Nationals</v>
      </c>
      <c r="N30" s="8">
        <f>IF(COUNT(AR30,BU30,CX30)&gt;0,LARGE((AR30,BU30,CX30),1),0)</f>
        <v>22.400000000000002</v>
      </c>
      <c r="O30" s="8" t="str">
        <f t="shared" si="6"/>
        <v>2022 3rd Domestic Trial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18.8</v>
      </c>
      <c r="V30" s="19">
        <v>6</v>
      </c>
      <c r="W30" s="19">
        <v>0.2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 t="shared" si="12"/>
        <v>6</v>
      </c>
      <c r="AQ30" s="40">
        <f t="shared" si="13"/>
        <v>24.6</v>
      </c>
      <c r="AR30" s="40" t="str">
        <f t="shared" si="14"/>
        <v/>
      </c>
      <c r="AS30" s="40">
        <f t="shared" si="15"/>
        <v>6</v>
      </c>
      <c r="AT30" s="40">
        <f t="shared" si="16"/>
        <v>24.6</v>
      </c>
      <c r="AU30" s="40" t="str">
        <f t="shared" si="17"/>
        <v/>
      </c>
      <c r="AV30" s="40" t="str">
        <f t="shared" si="18"/>
        <v/>
      </c>
      <c r="AW30" s="40">
        <f t="shared" si="19"/>
        <v>24.6</v>
      </c>
      <c r="AX30" s="18">
        <v>19</v>
      </c>
      <c r="AY30" s="18">
        <v>7.2</v>
      </c>
      <c r="AZ30" s="18">
        <v>0.2</v>
      </c>
      <c r="BA30" s="18">
        <v>0</v>
      </c>
      <c r="BB30" s="18">
        <v>0</v>
      </c>
      <c r="BC30" s="18">
        <v>0</v>
      </c>
      <c r="BD30" s="18">
        <v>0</v>
      </c>
      <c r="BE30" s="18">
        <v>0</v>
      </c>
      <c r="BF30" s="18">
        <v>16.600000000000001</v>
      </c>
      <c r="BG30" s="18">
        <v>6.8</v>
      </c>
      <c r="BH30" s="18">
        <v>1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 t="shared" si="20"/>
        <v>7.2</v>
      </c>
      <c r="BT30" s="11">
        <f t="shared" si="21"/>
        <v>26</v>
      </c>
      <c r="BU30" s="11">
        <f t="shared" si="22"/>
        <v>22.400000000000002</v>
      </c>
      <c r="BV30" s="11">
        <f t="shared" si="23"/>
        <v>14</v>
      </c>
      <c r="BW30" s="11">
        <f t="shared" si="24"/>
        <v>48.400000000000006</v>
      </c>
      <c r="BX30" s="11" t="str">
        <f t="shared" si="25"/>
        <v/>
      </c>
      <c r="BY30" s="11" t="str">
        <f t="shared" si="26"/>
        <v/>
      </c>
      <c r="BZ30" s="11">
        <f t="shared" si="27"/>
        <v>26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9.5</v>
      </c>
      <c r="QF30" s="22">
        <f t="shared" si="136"/>
        <v>3.6</v>
      </c>
      <c r="QG30" s="22">
        <f t="shared" si="137"/>
        <v>0.1</v>
      </c>
      <c r="QH30" s="22">
        <f t="shared" si="138"/>
        <v>0</v>
      </c>
      <c r="QI30" s="22">
        <f t="shared" si="139"/>
        <v>0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8.3000000000000007</v>
      </c>
      <c r="QN30" s="22">
        <f t="shared" si="144"/>
        <v>3.4</v>
      </c>
      <c r="QO30" s="22">
        <f t="shared" si="145"/>
        <v>0.5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2">
        <f t="shared" si="154"/>
        <v>0</v>
      </c>
      <c r="QY30" s="27" t="s">
        <v>46</v>
      </c>
      <c r="QZ30" s="40">
        <f t="shared" si="155"/>
        <v>3.6</v>
      </c>
      <c r="RA30" s="40">
        <f t="shared" si="156"/>
        <v>13</v>
      </c>
      <c r="RB30" s="40">
        <f t="shared" si="157"/>
        <v>11.200000000000001</v>
      </c>
      <c r="RC30" s="40">
        <f t="shared" si="158"/>
        <v>7</v>
      </c>
      <c r="RD30" s="40">
        <f t="shared" si="159"/>
        <v>24.200000000000003</v>
      </c>
      <c r="RE30" s="40" t="str">
        <f t="shared" si="160"/>
        <v/>
      </c>
      <c r="RF30" s="40" t="str">
        <f t="shared" si="161"/>
        <v/>
      </c>
      <c r="RG30" s="40">
        <f t="shared" si="162"/>
        <v>13</v>
      </c>
    </row>
    <row r="31" spans="1:475" x14ac:dyDescent="0.2">
      <c r="A31" s="4" t="str">
        <f t="shared" si="164"/>
        <v/>
      </c>
      <c r="B31" s="5" t="s">
        <v>175</v>
      </c>
      <c r="C31" s="4" t="s">
        <v>4</v>
      </c>
      <c r="D31" s="4">
        <v>2004</v>
      </c>
      <c r="E31" s="9">
        <f t="shared" si="163"/>
        <v>66.400006640004875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48.899999999999991</v>
      </c>
      <c r="K31" s="8" t="str">
        <f t="shared" si="4"/>
        <v>2022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17.5</v>
      </c>
      <c r="O31" s="8" t="str">
        <f t="shared" si="6"/>
        <v>2022 Nationals</v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18.2</v>
      </c>
      <c r="V31" s="19">
        <v>6</v>
      </c>
      <c r="W31" s="19">
        <v>0.2</v>
      </c>
      <c r="X31" s="19">
        <v>0</v>
      </c>
      <c r="Y31" s="19">
        <v>18.899999999999999</v>
      </c>
      <c r="Z31" s="19">
        <v>6</v>
      </c>
      <c r="AA31" s="19">
        <v>0</v>
      </c>
      <c r="AB31" s="19">
        <v>0</v>
      </c>
      <c r="AC31" s="19">
        <v>17.5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2"/>
        <v>12</v>
      </c>
      <c r="AQ31" s="40">
        <f t="shared" si="13"/>
        <v>48.899999999999991</v>
      </c>
      <c r="AR31" s="40">
        <f t="shared" si="14"/>
        <v>17.5</v>
      </c>
      <c r="AS31" s="40">
        <f t="shared" si="15"/>
        <v>12</v>
      </c>
      <c r="AT31" s="40">
        <f t="shared" si="16"/>
        <v>66.399999999999991</v>
      </c>
      <c r="AU31" s="40" t="str">
        <f t="shared" si="17"/>
        <v/>
      </c>
      <c r="AV31" s="40" t="str">
        <f t="shared" si="18"/>
        <v/>
      </c>
      <c r="AW31" s="40">
        <f t="shared" si="19"/>
        <v>48.899999999999991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0</v>
      </c>
      <c r="QF31" s="22">
        <f t="shared" si="136"/>
        <v>0</v>
      </c>
      <c r="QG31" s="22">
        <f t="shared" si="137"/>
        <v>0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2">
        <f t="shared" si="154"/>
        <v>0</v>
      </c>
      <c r="QY31" s="27" t="s">
        <v>46</v>
      </c>
      <c r="QZ31" s="40" t="str">
        <f t="shared" si="155"/>
        <v/>
      </c>
      <c r="RA31" s="40" t="str">
        <f t="shared" si="156"/>
        <v/>
      </c>
      <c r="RB31" s="40" t="str">
        <f t="shared" si="157"/>
        <v/>
      </c>
      <c r="RC31" s="40" t="str">
        <f t="shared" si="158"/>
        <v/>
      </c>
      <c r="RD31" s="40" t="str">
        <f t="shared" si="159"/>
        <v/>
      </c>
      <c r="RE31" s="40" t="str">
        <f t="shared" si="160"/>
        <v/>
      </c>
      <c r="RF31" s="40" t="str">
        <f t="shared" si="161"/>
        <v/>
      </c>
      <c r="RG31" s="40" t="str">
        <f t="shared" si="162"/>
        <v/>
      </c>
    </row>
    <row r="32" spans="1:475" x14ac:dyDescent="0.2">
      <c r="A32" s="4" t="str">
        <f t="shared" si="164"/>
        <v/>
      </c>
      <c r="B32" s="5" t="s">
        <v>178</v>
      </c>
      <c r="C32" s="4" t="s">
        <v>5</v>
      </c>
      <c r="D32" s="4">
        <v>2004</v>
      </c>
      <c r="E32" s="9">
        <f t="shared" si="163"/>
        <v>63.900006390004293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42.999999999999993</v>
      </c>
      <c r="K32" s="8" t="str">
        <f t="shared" si="4"/>
        <v>2022 Nationals</v>
      </c>
      <c r="L32" s="8">
        <f>IF(COUNT(AQ32,BT32,CW32)&gt;1,LARGE((AQ32,BT32,CW32),2),0)</f>
        <v>0</v>
      </c>
      <c r="M32" s="8" t="str">
        <f t="shared" si="5"/>
        <v/>
      </c>
      <c r="N32" s="8">
        <f>IF(COUNT(AR32,BU32,CX32)&gt;0,LARGE((AR32,BU32,CX32),1),0)</f>
        <v>20.900000000000002</v>
      </c>
      <c r="O32" s="8" t="str">
        <f t="shared" si="6"/>
        <v>2022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>
        <v>18.399999999999999</v>
      </c>
      <c r="V32" s="19">
        <v>3</v>
      </c>
      <c r="W32" s="19">
        <v>1.1000000000000001</v>
      </c>
      <c r="X32" s="19">
        <v>0</v>
      </c>
      <c r="Y32" s="19">
        <v>18.5</v>
      </c>
      <c r="Z32" s="19">
        <v>4.8</v>
      </c>
      <c r="AA32" s="19">
        <v>0.6</v>
      </c>
      <c r="AB32" s="19">
        <v>0</v>
      </c>
      <c r="AC32" s="19">
        <v>18.100000000000001</v>
      </c>
      <c r="AD32" s="19">
        <v>3.6</v>
      </c>
      <c r="AE32" s="19">
        <v>0.8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2"/>
        <v>7.8</v>
      </c>
      <c r="AQ32" s="40">
        <f t="shared" si="13"/>
        <v>42.999999999999993</v>
      </c>
      <c r="AR32" s="40">
        <f t="shared" si="14"/>
        <v>20.900000000000002</v>
      </c>
      <c r="AS32" s="40">
        <f t="shared" si="15"/>
        <v>11.4</v>
      </c>
      <c r="AT32" s="40">
        <f t="shared" si="16"/>
        <v>63.899999999999991</v>
      </c>
      <c r="AU32" s="40" t="str">
        <f t="shared" si="17"/>
        <v/>
      </c>
      <c r="AV32" s="40" t="str">
        <f t="shared" si="18"/>
        <v/>
      </c>
      <c r="AW32" s="40">
        <f t="shared" si="19"/>
        <v>42.999999999999993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8"/>
        <v/>
      </c>
      <c r="CW32" s="40" t="str">
        <f t="shared" si="29"/>
        <v/>
      </c>
      <c r="CX32" s="40" t="str">
        <f t="shared" si="30"/>
        <v/>
      </c>
      <c r="CY32" s="40" t="str">
        <f t="shared" si="31"/>
        <v/>
      </c>
      <c r="CZ32" s="40" t="str">
        <f t="shared" si="32"/>
        <v/>
      </c>
      <c r="DA32" s="40" t="str">
        <f t="shared" si="33"/>
        <v/>
      </c>
      <c r="DB32" s="40" t="str">
        <f t="shared" si="34"/>
        <v/>
      </c>
      <c r="DC32" s="40" t="str">
        <f t="shared" si="35"/>
        <v/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0</v>
      </c>
      <c r="QF32" s="22">
        <f t="shared" si="136"/>
        <v>0</v>
      </c>
      <c r="QG32" s="22">
        <f t="shared" si="137"/>
        <v>0</v>
      </c>
      <c r="QH32" s="22">
        <f t="shared" si="138"/>
        <v>0</v>
      </c>
      <c r="QI32" s="22">
        <f t="shared" si="139"/>
        <v>0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 t="str">
        <f t="shared" si="155"/>
        <v/>
      </c>
      <c r="RA32" s="40" t="str">
        <f t="shared" si="156"/>
        <v/>
      </c>
      <c r="RB32" s="40" t="str">
        <f t="shared" si="157"/>
        <v/>
      </c>
      <c r="RC32" s="40" t="str">
        <f t="shared" si="158"/>
        <v/>
      </c>
      <c r="RD32" s="40" t="str">
        <f t="shared" si="159"/>
        <v/>
      </c>
      <c r="RE32" s="40" t="str">
        <f t="shared" si="160"/>
        <v/>
      </c>
      <c r="RF32" s="40" t="str">
        <f t="shared" si="161"/>
        <v/>
      </c>
      <c r="RG32" s="40" t="str">
        <f t="shared" si="162"/>
        <v/>
      </c>
    </row>
    <row r="33" spans="1:475" x14ac:dyDescent="0.2">
      <c r="A33" s="4" t="str">
        <f t="shared" si="164"/>
        <v/>
      </c>
      <c r="B33" s="5" t="s">
        <v>209</v>
      </c>
      <c r="C33" s="4" t="s">
        <v>4</v>
      </c>
      <c r="D33" s="4">
        <v>2005</v>
      </c>
      <c r="E33" s="9">
        <f t="shared" si="163"/>
        <v>59.300005930003579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35.799999999999997</v>
      </c>
      <c r="K33" s="8" t="str">
        <f t="shared" si="4"/>
        <v>2023 Elite Canada</v>
      </c>
      <c r="L33" s="8">
        <f>IF(COUNT(AQ33,BT33,CW33)&gt;1,LARGE((AQ33,BT33,CW33),2),0)</f>
        <v>0</v>
      </c>
      <c r="M33" s="8" t="str">
        <f t="shared" si="5"/>
        <v/>
      </c>
      <c r="N33" s="8">
        <f>IF(COUNT(AR33,BU33,CX33)&gt;0,LARGE((AR33,BU33,CX33),1),0)</f>
        <v>23.5</v>
      </c>
      <c r="O33" s="8" t="str">
        <f t="shared" si="6"/>
        <v>2023 Elite Canada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>
        <v>18.100000000000001</v>
      </c>
      <c r="CB33" s="19">
        <v>4.8</v>
      </c>
      <c r="CC33" s="19">
        <v>1</v>
      </c>
      <c r="CD33" s="19">
        <v>0</v>
      </c>
      <c r="CE33" s="19">
        <v>16.600000000000001</v>
      </c>
      <c r="CF33" s="19">
        <v>1.3</v>
      </c>
      <c r="CG33" s="19">
        <v>4</v>
      </c>
      <c r="CH33" s="19">
        <v>0</v>
      </c>
      <c r="CI33" s="19">
        <v>18.3</v>
      </c>
      <c r="CJ33" s="19">
        <v>5.2</v>
      </c>
      <c r="CK33" s="19">
        <v>0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6.1</v>
      </c>
      <c r="CW33" s="40">
        <f t="shared" si="29"/>
        <v>35.799999999999997</v>
      </c>
      <c r="CX33" s="40">
        <f t="shared" si="30"/>
        <v>23.5</v>
      </c>
      <c r="CY33" s="40">
        <f t="shared" si="31"/>
        <v>11.3</v>
      </c>
      <c r="CZ33" s="40">
        <f t="shared" si="32"/>
        <v>59.3</v>
      </c>
      <c r="DA33" s="40" t="str">
        <f t="shared" si="33"/>
        <v/>
      </c>
      <c r="DB33" s="40" t="str">
        <f t="shared" si="34"/>
        <v/>
      </c>
      <c r="DC33" s="40">
        <f t="shared" si="35"/>
        <v>35.799999999999997</v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9.0500000000000007</v>
      </c>
      <c r="QF33" s="22">
        <f t="shared" si="136"/>
        <v>2.4</v>
      </c>
      <c r="QG33" s="22">
        <f t="shared" si="137"/>
        <v>0.5</v>
      </c>
      <c r="QH33" s="22">
        <f t="shared" si="138"/>
        <v>0</v>
      </c>
      <c r="QI33" s="22">
        <f t="shared" si="139"/>
        <v>8.3000000000000007</v>
      </c>
      <c r="QJ33" s="22">
        <f t="shared" si="140"/>
        <v>0.65</v>
      </c>
      <c r="QK33" s="22">
        <f t="shared" si="141"/>
        <v>2</v>
      </c>
      <c r="QL33" s="22">
        <f t="shared" si="142"/>
        <v>0</v>
      </c>
      <c r="QM33" s="22">
        <f t="shared" si="143"/>
        <v>9.15</v>
      </c>
      <c r="QN33" s="22">
        <f t="shared" si="144"/>
        <v>2.6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>
        <f t="shared" si="155"/>
        <v>3.05</v>
      </c>
      <c r="RA33" s="40">
        <f t="shared" si="156"/>
        <v>17.899999999999999</v>
      </c>
      <c r="RB33" s="40">
        <f t="shared" si="157"/>
        <v>11.75</v>
      </c>
      <c r="RC33" s="40">
        <f t="shared" si="158"/>
        <v>5.65</v>
      </c>
      <c r="RD33" s="40">
        <f t="shared" si="159"/>
        <v>29.65</v>
      </c>
      <c r="RE33" s="40" t="str">
        <f t="shared" si="160"/>
        <v/>
      </c>
      <c r="RF33" s="40" t="str">
        <f t="shared" si="161"/>
        <v/>
      </c>
      <c r="RG33" s="40">
        <f t="shared" si="162"/>
        <v>17.899999999999999</v>
      </c>
    </row>
    <row r="34" spans="1:475" x14ac:dyDescent="0.2">
      <c r="A34" s="4" t="str">
        <f t="shared" si="164"/>
        <v/>
      </c>
      <c r="B34" s="5" t="s">
        <v>70</v>
      </c>
      <c r="C34" s="4" t="s">
        <v>5</v>
      </c>
      <c r="D34" s="4">
        <v>2002</v>
      </c>
      <c r="E34" s="9">
        <f t="shared" si="163"/>
        <v>58.400005840004219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42.1</v>
      </c>
      <c r="K34" s="8" t="str">
        <f t="shared" si="4"/>
        <v>2022 Nationals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16.3</v>
      </c>
      <c r="O34" s="8" t="str">
        <f t="shared" si="6"/>
        <v>2022 Nationals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>
        <v>18</v>
      </c>
      <c r="V34" s="19">
        <v>5.6</v>
      </c>
      <c r="W34" s="19">
        <v>1</v>
      </c>
      <c r="X34" s="19">
        <v>0</v>
      </c>
      <c r="Y34" s="19">
        <v>18.5</v>
      </c>
      <c r="Z34" s="19">
        <v>3.8</v>
      </c>
      <c r="AA34" s="19">
        <v>2.8000000000000003</v>
      </c>
      <c r="AB34" s="19">
        <v>0</v>
      </c>
      <c r="AC34" s="19">
        <v>16.3</v>
      </c>
      <c r="AD34" s="19">
        <v>3.3</v>
      </c>
      <c r="AE34" s="19">
        <v>3.3000000000000003</v>
      </c>
      <c r="AF34" s="19">
        <v>0</v>
      </c>
      <c r="AG34" s="19"/>
      <c r="AH34" s="19"/>
      <c r="AI34" s="19"/>
      <c r="AJ34" s="19"/>
      <c r="AK34" s="19"/>
      <c r="AL34" s="19"/>
      <c r="AM34" s="19"/>
      <c r="AN34" s="19"/>
      <c r="AO34" s="27"/>
      <c r="AP34" s="40">
        <f t="shared" si="12"/>
        <v>9.3999999999999986</v>
      </c>
      <c r="AQ34" s="40">
        <f t="shared" si="13"/>
        <v>42.1</v>
      </c>
      <c r="AR34" s="40">
        <f t="shared" si="14"/>
        <v>16.3</v>
      </c>
      <c r="AS34" s="40">
        <f t="shared" si="15"/>
        <v>12.7</v>
      </c>
      <c r="AT34" s="40">
        <f t="shared" si="16"/>
        <v>58.400000000000006</v>
      </c>
      <c r="AU34" s="40" t="str">
        <f t="shared" si="17"/>
        <v/>
      </c>
      <c r="AV34" s="40" t="str">
        <f t="shared" si="18"/>
        <v/>
      </c>
      <c r="AW34" s="40">
        <f t="shared" si="19"/>
        <v>42.1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 t="shared" si="28"/>
        <v/>
      </c>
      <c r="CW34" s="40" t="str">
        <f t="shared" si="29"/>
        <v/>
      </c>
      <c r="CX34" s="40" t="str">
        <f t="shared" si="30"/>
        <v/>
      </c>
      <c r="CY34" s="40" t="str">
        <f t="shared" si="31"/>
        <v/>
      </c>
      <c r="CZ34" s="40" t="str">
        <f t="shared" si="32"/>
        <v/>
      </c>
      <c r="DA34" s="40" t="str">
        <f t="shared" si="33"/>
        <v/>
      </c>
      <c r="DB34" s="40" t="str">
        <f t="shared" si="34"/>
        <v/>
      </c>
      <c r="DC34" s="40" t="str">
        <f t="shared" si="35"/>
        <v/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0</v>
      </c>
      <c r="QF34" s="22">
        <f t="shared" si="136"/>
        <v>0</v>
      </c>
      <c r="QG34" s="22">
        <f t="shared" si="137"/>
        <v>0</v>
      </c>
      <c r="QH34" s="22">
        <f t="shared" si="138"/>
        <v>0</v>
      </c>
      <c r="QI34" s="22">
        <f t="shared" si="139"/>
        <v>0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 t="str">
        <f t="shared" si="155"/>
        <v/>
      </c>
      <c r="RA34" s="40" t="str">
        <f t="shared" si="156"/>
        <v/>
      </c>
      <c r="RB34" s="40" t="str">
        <f t="shared" si="157"/>
        <v/>
      </c>
      <c r="RC34" s="40" t="str">
        <f t="shared" si="158"/>
        <v/>
      </c>
      <c r="RD34" s="40" t="str">
        <f t="shared" si="159"/>
        <v/>
      </c>
      <c r="RE34" s="40" t="str">
        <f t="shared" si="160"/>
        <v/>
      </c>
      <c r="RF34" s="40" t="str">
        <f t="shared" si="161"/>
        <v/>
      </c>
      <c r="RG34" s="40" t="str">
        <f t="shared" si="162"/>
        <v/>
      </c>
    </row>
    <row r="35" spans="1:475" x14ac:dyDescent="0.2">
      <c r="A35" s="4" t="str">
        <f t="shared" si="164"/>
        <v/>
      </c>
      <c r="B35" s="5" t="s">
        <v>208</v>
      </c>
      <c r="C35" s="4" t="s">
        <v>6</v>
      </c>
      <c r="D35" s="4">
        <v>2005</v>
      </c>
      <c r="E35" s="9">
        <f t="shared" si="163"/>
        <v>47.400004740004739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47.4</v>
      </c>
      <c r="K35" s="8" t="str">
        <f t="shared" si="4"/>
        <v>2023 Elite Canada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>
        <v>18.8</v>
      </c>
      <c r="CB35" s="19">
        <v>5.2</v>
      </c>
      <c r="CC35" s="19">
        <v>0</v>
      </c>
      <c r="CD35" s="19">
        <v>0</v>
      </c>
      <c r="CE35" s="19">
        <v>19</v>
      </c>
      <c r="CF35" s="19">
        <v>4.4000000000000004</v>
      </c>
      <c r="CG35" s="19">
        <v>0</v>
      </c>
      <c r="CH35" s="19">
        <v>0</v>
      </c>
      <c r="CI35" s="19">
        <v>0</v>
      </c>
      <c r="CJ35" s="19">
        <v>0</v>
      </c>
      <c r="CK35" s="19">
        <v>0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 t="shared" si="28"/>
        <v>9.6000000000000014</v>
      </c>
      <c r="CW35" s="40">
        <f t="shared" si="29"/>
        <v>47.4</v>
      </c>
      <c r="CX35" s="40" t="str">
        <f t="shared" si="30"/>
        <v/>
      </c>
      <c r="CY35" s="40">
        <f t="shared" si="31"/>
        <v>9.6000000000000014</v>
      </c>
      <c r="CZ35" s="40">
        <f t="shared" si="32"/>
        <v>47.4</v>
      </c>
      <c r="DA35" s="40" t="str">
        <f t="shared" si="33"/>
        <v/>
      </c>
      <c r="DB35" s="40" t="str">
        <f t="shared" si="34"/>
        <v/>
      </c>
      <c r="DC35" s="40">
        <f t="shared" si="35"/>
        <v>47.4</v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9.4</v>
      </c>
      <c r="QF35" s="22">
        <f t="shared" si="136"/>
        <v>2.6</v>
      </c>
      <c r="QG35" s="22">
        <f t="shared" si="137"/>
        <v>0</v>
      </c>
      <c r="QH35" s="22">
        <f t="shared" si="138"/>
        <v>0</v>
      </c>
      <c r="QI35" s="22">
        <f t="shared" si="139"/>
        <v>9.5</v>
      </c>
      <c r="QJ35" s="22">
        <f t="shared" si="140"/>
        <v>2.2000000000000002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>
        <f t="shared" si="155"/>
        <v>4.8000000000000007</v>
      </c>
      <c r="RA35" s="40">
        <f t="shared" si="156"/>
        <v>23.7</v>
      </c>
      <c r="RB35" s="40" t="str">
        <f t="shared" si="157"/>
        <v/>
      </c>
      <c r="RC35" s="40">
        <f t="shared" si="158"/>
        <v>4.8000000000000007</v>
      </c>
      <c r="RD35" s="40">
        <f t="shared" si="159"/>
        <v>23.7</v>
      </c>
      <c r="RE35" s="40" t="str">
        <f t="shared" si="160"/>
        <v/>
      </c>
      <c r="RF35" s="40" t="str">
        <f t="shared" si="161"/>
        <v/>
      </c>
      <c r="RG35" s="40">
        <f t="shared" si="162"/>
        <v>23.7</v>
      </c>
    </row>
    <row r="36" spans="1:475" ht="17" x14ac:dyDescent="0.2">
      <c r="R36" s="10"/>
      <c r="S36" s="10"/>
      <c r="T36" s="10"/>
    </row>
    <row r="37" spans="1:475" ht="17" x14ac:dyDescent="0.2">
      <c r="R37" s="10"/>
      <c r="S37" s="10"/>
      <c r="T37" s="10"/>
    </row>
    <row r="38" spans="1:475" ht="17" x14ac:dyDescent="0.2">
      <c r="B38" s="23" t="s">
        <v>44</v>
      </c>
      <c r="R38" s="10"/>
      <c r="S38" s="10"/>
      <c r="T38" s="10"/>
      <c r="AP38" s="4"/>
      <c r="AW38" s="42">
        <v>13.2</v>
      </c>
      <c r="BS38" s="4"/>
      <c r="BZ38" s="42">
        <v>13.2</v>
      </c>
      <c r="CV38" s="4"/>
      <c r="DC38" s="42">
        <v>11.2</v>
      </c>
      <c r="EA38" s="4"/>
      <c r="EH38" s="42">
        <v>13.2</v>
      </c>
      <c r="FC38" s="4"/>
      <c r="FJ38" s="42">
        <v>13.2</v>
      </c>
      <c r="GE38" s="4"/>
      <c r="GL38" s="42">
        <v>13.2</v>
      </c>
      <c r="HG38" s="4"/>
      <c r="HN38" s="42">
        <v>13.2</v>
      </c>
      <c r="II38" s="4"/>
      <c r="IP38" s="42">
        <v>13.2</v>
      </c>
      <c r="JK38" s="4"/>
      <c r="JR38" s="42">
        <v>11.2</v>
      </c>
      <c r="KM38" s="4"/>
      <c r="KT38" s="42">
        <v>11.2</v>
      </c>
      <c r="LO38" s="4"/>
      <c r="LV38" s="42">
        <v>11.2</v>
      </c>
      <c r="MQ38" s="4"/>
      <c r="MX38" s="42">
        <v>11.2</v>
      </c>
      <c r="NS38" s="4"/>
      <c r="NZ38" s="42">
        <v>11.2</v>
      </c>
      <c r="OU38" s="4"/>
      <c r="PB38" s="42">
        <v>11.2</v>
      </c>
      <c r="PW38" s="4"/>
      <c r="QD38" s="42">
        <v>11.2</v>
      </c>
    </row>
    <row r="39" spans="1:475" ht="17" hidden="1" x14ac:dyDescent="0.2">
      <c r="B39" s="30" t="s">
        <v>43</v>
      </c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EA39" s="4"/>
      <c r="EH39" s="51">
        <v>1000</v>
      </c>
      <c r="FC39" s="4"/>
      <c r="FJ39" s="51">
        <v>1000</v>
      </c>
      <c r="GE39" s="4"/>
      <c r="GL39" s="51">
        <v>1000</v>
      </c>
      <c r="HG39" s="4"/>
      <c r="HN39" s="51">
        <v>1000</v>
      </c>
      <c r="II39" s="4"/>
      <c r="IP39" s="51">
        <v>1000</v>
      </c>
      <c r="JK39" s="4"/>
      <c r="JR39" s="51">
        <v>1000</v>
      </c>
      <c r="KM39" s="4"/>
      <c r="KT39" s="51">
        <v>1000</v>
      </c>
      <c r="LO39" s="4"/>
      <c r="LV39" s="51">
        <v>1000</v>
      </c>
      <c r="MQ39" s="4"/>
      <c r="MX39" s="51">
        <v>1000</v>
      </c>
      <c r="NS39" s="4"/>
      <c r="NZ39" s="51">
        <v>1000</v>
      </c>
      <c r="OU39" s="4"/>
      <c r="PB39" s="51">
        <v>1000</v>
      </c>
      <c r="PW39" s="4"/>
      <c r="QD39" s="51">
        <v>1000</v>
      </c>
    </row>
    <row r="40" spans="1:475" ht="17" hidden="1" x14ac:dyDescent="0.2">
      <c r="A40" s="5"/>
      <c r="B40" s="31" t="s">
        <v>55</v>
      </c>
      <c r="C40" s="20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EA40" s="4"/>
      <c r="EH40" s="43">
        <v>1000</v>
      </c>
      <c r="FC40" s="4"/>
      <c r="FJ40" s="43">
        <v>1000</v>
      </c>
      <c r="GE40" s="4"/>
      <c r="GL40" s="43">
        <v>1000</v>
      </c>
      <c r="HG40" s="4"/>
      <c r="HN40" s="43">
        <v>1000</v>
      </c>
      <c r="II40" s="4"/>
      <c r="IP40" s="43">
        <v>1000</v>
      </c>
      <c r="JK40" s="4"/>
      <c r="JR40" s="43">
        <v>1000</v>
      </c>
      <c r="KM40" s="4"/>
      <c r="KT40" s="43">
        <v>1000</v>
      </c>
      <c r="LO40" s="4"/>
      <c r="LV40" s="43">
        <v>1000</v>
      </c>
      <c r="MQ40" s="4"/>
      <c r="MX40" s="43">
        <v>1000</v>
      </c>
      <c r="NS40" s="4"/>
      <c r="NZ40" s="43">
        <v>1000</v>
      </c>
      <c r="OU40" s="4"/>
      <c r="PB40" s="43">
        <v>1000</v>
      </c>
      <c r="PW40" s="4"/>
      <c r="QD40" s="43">
        <v>1000</v>
      </c>
    </row>
    <row r="41" spans="1:475" ht="17" hidden="1" x14ac:dyDescent="0.2">
      <c r="A41" s="5"/>
      <c r="B41" s="35" t="s">
        <v>62</v>
      </c>
      <c r="C41" s="20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EA41" s="4"/>
      <c r="EH41" s="62">
        <v>1000</v>
      </c>
      <c r="FC41" s="4"/>
      <c r="FJ41" s="62">
        <v>1000</v>
      </c>
      <c r="GE41" s="4"/>
      <c r="GL41" s="62">
        <v>1000</v>
      </c>
      <c r="HG41" s="4"/>
      <c r="HN41" s="62">
        <v>1000</v>
      </c>
      <c r="II41" s="4"/>
      <c r="IP41" s="62">
        <v>1000</v>
      </c>
      <c r="JK41" s="4"/>
      <c r="JR41" s="62">
        <v>1000</v>
      </c>
      <c r="KM41" s="4"/>
      <c r="KT41" s="62">
        <v>1000</v>
      </c>
      <c r="LO41" s="4"/>
      <c r="LV41" s="62">
        <v>1000</v>
      </c>
      <c r="MQ41" s="4"/>
      <c r="MX41" s="62">
        <v>1000</v>
      </c>
      <c r="NS41" s="4"/>
      <c r="NZ41" s="62">
        <v>1000</v>
      </c>
      <c r="OU41" s="4"/>
      <c r="PB41" s="62">
        <v>1000</v>
      </c>
      <c r="PW41" s="4"/>
      <c r="QD41" s="62">
        <v>1000</v>
      </c>
    </row>
    <row r="42" spans="1:475" ht="17" x14ac:dyDescent="0.2">
      <c r="A42" s="5"/>
      <c r="B42" s="34" t="s">
        <v>41</v>
      </c>
      <c r="C42" s="20"/>
      <c r="R42" s="10"/>
      <c r="S42" s="10"/>
      <c r="T42" s="10"/>
      <c r="AP42" s="4"/>
      <c r="AW42" s="63">
        <v>49.6</v>
      </c>
      <c r="BS42" s="4"/>
      <c r="BZ42" s="63">
        <v>49.6</v>
      </c>
      <c r="CV42" s="4"/>
      <c r="DC42" s="63">
        <v>48</v>
      </c>
      <c r="EA42" s="4"/>
      <c r="EH42" s="63">
        <v>49.6</v>
      </c>
      <c r="FC42" s="4"/>
      <c r="FJ42" s="63">
        <v>49.6</v>
      </c>
      <c r="GE42" s="4"/>
      <c r="GL42" s="63">
        <v>49.6</v>
      </c>
      <c r="HG42" s="4"/>
      <c r="HN42" s="63">
        <v>49.6</v>
      </c>
      <c r="II42" s="4"/>
      <c r="IP42" s="63">
        <v>49.6</v>
      </c>
      <c r="JK42" s="4"/>
      <c r="JR42" s="63">
        <v>48</v>
      </c>
      <c r="KM42" s="4"/>
      <c r="KT42" s="63">
        <v>48</v>
      </c>
      <c r="LO42" s="4"/>
      <c r="LV42" s="63">
        <v>48</v>
      </c>
      <c r="MQ42" s="4"/>
      <c r="MX42" s="63">
        <v>48</v>
      </c>
      <c r="NS42" s="4"/>
      <c r="NZ42" s="63">
        <v>48</v>
      </c>
      <c r="OU42" s="4"/>
      <c r="PB42" s="63">
        <v>48</v>
      </c>
      <c r="PW42" s="4"/>
      <c r="QD42" s="63">
        <v>48</v>
      </c>
    </row>
    <row r="43" spans="1:475" ht="17" hidden="1" x14ac:dyDescent="0.2">
      <c r="A43" s="5"/>
      <c r="B43" s="24" t="s">
        <v>42</v>
      </c>
      <c r="C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EA43" s="4"/>
      <c r="EH43" s="46">
        <v>1000</v>
      </c>
      <c r="FC43" s="4"/>
      <c r="FJ43" s="46">
        <v>1000</v>
      </c>
      <c r="GE43" s="4"/>
      <c r="GL43" s="46">
        <v>1000</v>
      </c>
      <c r="HG43" s="4"/>
      <c r="HN43" s="46">
        <v>1000</v>
      </c>
      <c r="II43" s="4"/>
      <c r="IP43" s="46">
        <v>1000</v>
      </c>
      <c r="JK43" s="4"/>
      <c r="JR43" s="46">
        <v>1000</v>
      </c>
      <c r="KM43" s="4"/>
      <c r="KT43" s="46">
        <v>1000</v>
      </c>
      <c r="LO43" s="4"/>
      <c r="LV43" s="46">
        <v>1000</v>
      </c>
      <c r="MQ43" s="4"/>
      <c r="MX43" s="46">
        <v>1000</v>
      </c>
      <c r="NS43" s="4"/>
      <c r="NZ43" s="46">
        <v>1000</v>
      </c>
      <c r="OU43" s="4"/>
      <c r="PB43" s="46">
        <v>1000</v>
      </c>
      <c r="PW43" s="4"/>
      <c r="QD43" s="46">
        <v>1000</v>
      </c>
    </row>
    <row r="44" spans="1:475" ht="17" hidden="1" x14ac:dyDescent="0.2">
      <c r="A44" s="5"/>
      <c r="B44" s="33" t="s">
        <v>54</v>
      </c>
      <c r="C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EA44" s="4"/>
      <c r="EH44" s="47">
        <v>1000</v>
      </c>
      <c r="FC44" s="4"/>
      <c r="FJ44" s="47">
        <v>1000</v>
      </c>
      <c r="GE44" s="4"/>
      <c r="GL44" s="47">
        <v>1000</v>
      </c>
      <c r="HG44" s="4"/>
      <c r="HN44" s="47">
        <v>1000</v>
      </c>
      <c r="II44" s="4"/>
      <c r="IP44" s="47">
        <v>1000</v>
      </c>
      <c r="JK44" s="4"/>
      <c r="JR44" s="47">
        <v>1000</v>
      </c>
      <c r="KM44" s="4"/>
      <c r="KT44" s="47">
        <v>1000</v>
      </c>
      <c r="LO44" s="4"/>
      <c r="LV44" s="47">
        <v>1000</v>
      </c>
      <c r="MQ44" s="4"/>
      <c r="MX44" s="47">
        <v>1000</v>
      </c>
      <c r="NS44" s="4"/>
      <c r="NZ44" s="47">
        <v>1000</v>
      </c>
      <c r="OU44" s="4"/>
      <c r="PB44" s="47">
        <v>1000</v>
      </c>
      <c r="PW44" s="4"/>
      <c r="QD44" s="47">
        <v>1000</v>
      </c>
    </row>
    <row r="45" spans="1:475" ht="17" hidden="1" x14ac:dyDescent="0.2">
      <c r="A45" s="5"/>
      <c r="B45" s="25" t="s">
        <v>27</v>
      </c>
      <c r="C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EA45" s="4"/>
      <c r="EH45" s="48">
        <v>1000</v>
      </c>
      <c r="FC45" s="4"/>
      <c r="FJ45" s="48">
        <v>1000</v>
      </c>
      <c r="GE45" s="4"/>
      <c r="GL45" s="48">
        <v>1000</v>
      </c>
      <c r="HG45" s="4"/>
      <c r="HN45" s="48">
        <v>1000</v>
      </c>
      <c r="II45" s="4"/>
      <c r="IP45" s="48">
        <v>1000</v>
      </c>
      <c r="JK45" s="4"/>
      <c r="JR45" s="48">
        <v>1000</v>
      </c>
      <c r="KM45" s="4"/>
      <c r="KT45" s="48">
        <v>1000</v>
      </c>
      <c r="LO45" s="4"/>
      <c r="LV45" s="48">
        <v>1000</v>
      </c>
      <c r="MQ45" s="4"/>
      <c r="MX45" s="48">
        <v>1000</v>
      </c>
      <c r="NS45" s="4"/>
      <c r="NZ45" s="48">
        <v>1000</v>
      </c>
      <c r="OU45" s="4"/>
      <c r="PB45" s="48">
        <v>1000</v>
      </c>
      <c r="PW45" s="4"/>
      <c r="QD45" s="48">
        <v>1000</v>
      </c>
    </row>
    <row r="46" spans="1:475" x14ac:dyDescent="0.2">
      <c r="B46" s="29" t="s">
        <v>47</v>
      </c>
      <c r="C46" s="2"/>
    </row>
    <row r="47" spans="1:475" x14ac:dyDescent="0.2">
      <c r="A47" s="5"/>
      <c r="B47" s="5"/>
      <c r="C47" s="20"/>
      <c r="QF47" s="2"/>
      <c r="QG47" s="2"/>
      <c r="QH47" s="2"/>
      <c r="QI47" s="2"/>
      <c r="QJ47" s="2"/>
      <c r="QK47" s="2"/>
      <c r="QL47" s="2"/>
      <c r="QM47" s="2"/>
      <c r="QN47" s="2"/>
    </row>
    <row r="48" spans="1:475" x14ac:dyDescent="0.2">
      <c r="A48" s="5"/>
      <c r="B48" s="5"/>
      <c r="C48" s="20"/>
    </row>
    <row r="49" spans="1:3" x14ac:dyDescent="0.2">
      <c r="A49" s="5"/>
      <c r="B49" s="5"/>
      <c r="C49" s="20"/>
    </row>
    <row r="50" spans="1:3" x14ac:dyDescent="0.2">
      <c r="A50" s="5"/>
      <c r="B50" s="5"/>
      <c r="C5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6">
      <sortCondition descending="1" ref="F1:F37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5">
    <cfRule type="expression" dxfId="55" priority="5" stopIfTrue="1">
      <formula>IF($AO4&lt;&gt;"",1,0)</formula>
    </cfRule>
  </conditionalFormatting>
  <conditionalFormatting sqref="AX4:BZ35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5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6:AT1048576 BW46:BW1048576 EE46:EE1048576 FG46:FG1048576 BW1:BW44 CZ1:CZ1048576 EE1:EE44 FG1:FG44 GI1:GI1048576 HK1:HK1048576 IM1:IM1048576 JO1:JO1048576 KQ1:KQ1048576 LS1:LS1048576 MU1:MU1048576 NW1:NW1048576 OY1:OY1048576 QA1:QA1048576 AT1:AT44">
    <cfRule type="cellIs" dxfId="43" priority="59086" operator="between">
      <formula>AW$45</formula>
      <formula>1000</formula>
    </cfRule>
    <cfRule type="cellIs" dxfId="42" priority="59087" operator="between">
      <formula>AW$44</formula>
      <formula>AW$45</formula>
    </cfRule>
    <cfRule type="cellIs" dxfId="41" priority="59088" operator="between">
      <formula>AW$43</formula>
      <formula>AW$44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AW$38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AW$38</formula>
      <formula>AW$39</formula>
    </cfRule>
    <cfRule type="cellIs" dxfId="37" priority="108485" operator="between">
      <formula>AW$39</formula>
      <formula>AW$40</formula>
    </cfRule>
    <cfRule type="cellIs" dxfId="36" priority="108486" operator="between">
      <formula>AW$40</formula>
      <formula>AW$41</formula>
    </cfRule>
    <cfRule type="cellIs" dxfId="35" priority="108487" operator="between">
      <formula>AW$41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AW$42</formula>
      <formula>AW$43</formula>
    </cfRule>
    <cfRule type="cellIs" dxfId="33" priority="108665" operator="between">
      <formula>AW$43</formula>
      <formula>AW$44</formula>
    </cfRule>
    <cfRule type="cellIs" dxfId="32" priority="108666" operator="between">
      <formula>AW$44</formula>
      <formula>AW$45</formula>
    </cfRule>
    <cfRule type="cellIs" dxfId="31" priority="108667" operator="between">
      <formula>AW$45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AW$41</formula>
      <formula>1000</formula>
    </cfRule>
    <cfRule type="cellIs" dxfId="29" priority="108845" operator="between">
      <formula>AW$40</formula>
      <formula>AW$41</formula>
    </cfRule>
    <cfRule type="cellIs" dxfId="28" priority="108846" operator="between">
      <formula>AW$39</formula>
      <formula>AW$40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114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124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192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132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131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133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215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217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26" si="0"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 t="shared" ref="E4:E26" si="1">SUM(J4:R4)+SUM(J4:N4)*0.0000001+SUM(J4)*0.0000000000001</f>
        <v>177.00001263000502</v>
      </c>
      <c r="F4" s="3" t="str">
        <f t="shared" ref="F4:F26" si="2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3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4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5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 t="shared" ref="K4:K26" si="6">IF(J4=0,"",IF(J4=CW4,$CA$1,IF(J4=BT4,$AX$1,IF(J4=AQ4,$U$1,""))))</f>
        <v>2022 Nationals</v>
      </c>
      <c r="L4" s="8">
        <f>IF(COUNT(AQ4,BT4,CW4)&gt;1,LARGE((AQ4,BT4,CW4),2),0)</f>
        <v>50.499999999999993</v>
      </c>
      <c r="M4" s="8" t="str">
        <f t="shared" ref="M4:M26" si="7">IF(L4=0,"",IF(L4=CW4,$CA$1,IF(L4=BT4,$AX$1,IF(L4=AQ4,$U$1,""))))</f>
        <v>2023 Elite Canada</v>
      </c>
      <c r="N4" s="8">
        <f>IF(COUNT(AR4,BU4,CX4)&gt;0,LARGE((AR4,BU4,CX4),1),0)</f>
        <v>25.1</v>
      </c>
      <c r="O4" s="8" t="str">
        <f t="shared" ref="O4:O26" si="8">IF(N4=0,"",IF(N4=CX4,$CA$1,IF(N4=BU4,$AX$1,IF(N4=AR4,$U$1,""))))</f>
        <v>2022 3rd Domestic Trial</v>
      </c>
      <c r="P4" s="8">
        <f t="shared" ref="P4:P26" si="9">IF(MAX(AV4,BY4,DB4)&gt;0,MAX(AV4,BY4,DB4),0)</f>
        <v>50.699999999999996</v>
      </c>
      <c r="Q4" s="8" t="str">
        <f t="shared" ref="Q4:Q26" si="10">IF(P4=0,"",IF(P4=DB4,$CA$1,IF(P4=BY4,$AX$1,IF(P4=AV4,$U$1,""))))</f>
        <v>2022 Nationals</v>
      </c>
      <c r="R4" s="8" t="str">
        <f t="shared" ref="R4:R26" si="11">IF(MAX(DD4:DF4)&gt;0,MAX(DD4:DF4),"")</f>
        <v/>
      </c>
      <c r="S4" s="11" t="str">
        <f t="shared" ref="S4:S26" si="12">IF(R4="","",IF(R4=DD4,"("&amp;DD$2&amp;")",IF(R4=DE4,"("&amp;DE$2&amp;")",IF(R4=DF4,"("&amp;DF$2&amp;")"))))</f>
        <v/>
      </c>
      <c r="T4" s="8" t="str">
        <f t="shared" ref="T4:T26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 t="shared" ref="AP4:AP26" si="14">IF(SUM(V4,Z4)&gt;0,SUM(V4,Z4),"")</f>
        <v>13.2</v>
      </c>
      <c r="AQ4" s="40">
        <f t="shared" ref="AQ4:AQ26" si="15">IF(SUM(U4:V4,X4:Z4,AB4)-W4-AA4&gt;0,SUM(U4:V4,X4:Z4,AB4)-W4-AA4,"")</f>
        <v>50.699999999999996</v>
      </c>
      <c r="AR4" s="40">
        <f t="shared" ref="AR4:AR26" si="16">IF(SUM(AC4:AD4,AF4)-AE4&gt;0,SUM(AC4:AD4,AF4)-AE4,"")</f>
        <v>24.5</v>
      </c>
      <c r="AS4" s="40">
        <f t="shared" ref="AS4:AS26" si="17">IF(SUM(V4,Z4,AD4)&gt;0,SUM(V4,Z4,AD4),"")</f>
        <v>19.2</v>
      </c>
      <c r="AT4" s="40">
        <f t="shared" ref="AT4:AT26" si="18">IF(SUM(AQ4,AR4)&gt;0,SUM(AQ4,AR4),"")</f>
        <v>75.199999999999989</v>
      </c>
      <c r="AU4" s="40">
        <f t="shared" ref="AU4:AU26" si="19">IF(SUM(AH4,AL4)&gt;0,SUM(AH4,AL4),"")</f>
        <v>13.2</v>
      </c>
      <c r="AV4" s="40">
        <f t="shared" ref="AV4:AV26" si="20">IF(SUM(AG4:AH4,AJ4:AL4,AN4)-SUM(AI4,AM4)&gt;0,SUM(AG4:AH4,AJ4:AL4,AN4)-SUM(AI4,AM4),"")</f>
        <v>50.699999999999996</v>
      </c>
      <c r="AW4" s="40">
        <f t="shared" ref="AW4:AW26" si="21"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 t="shared" ref="BS4:BS26" si="22">IF(SUM(AY4,BC4)&gt;0,SUM(AY4,BC4),"")</f>
        <v>11.6</v>
      </c>
      <c r="BT4" s="11">
        <f t="shared" ref="BT4:BT26" si="23">IF(SUM(AX4:AY4,BA4:BC4,BE4)-AZ4-BD4&gt;0,SUM(AX4:AY4,BA4:BC4,BE4)-AZ4-BD4,"")</f>
        <v>47.8</v>
      </c>
      <c r="BU4" s="11">
        <f t="shared" ref="BU4:BU26" si="24">IF(SUM(BF4:BG4,BI4)-BH4&gt;0,SUM(BF4:BG4,BI4)-BH4,"")</f>
        <v>25.1</v>
      </c>
      <c r="BV4" s="11">
        <f t="shared" ref="BV4:BV26" si="25">IF(SUM(AY4,BC4,BG4)&gt;0,SUM(AY4,BC4,BG4),"")</f>
        <v>18</v>
      </c>
      <c r="BW4" s="11">
        <f t="shared" ref="BW4:BW26" si="26">IF(SUM(BT4,BU4)&gt;0,SUM(BT4,BU4),"")</f>
        <v>72.900000000000006</v>
      </c>
      <c r="BX4" s="11">
        <f t="shared" ref="BX4:BX26" si="27">IF(SUM(BK4,BO4)&gt;0,SUM(BK4,BO4),"")</f>
        <v>11.600000000000001</v>
      </c>
      <c r="BY4" s="11">
        <f t="shared" ref="BY4:BY26" si="28">IF(SUM(BJ4:BK4,BM4:BO4,BQ4)-SUM(BL4,BP4)&gt;0,SUM(BJ4:BK4,BM4:BO4,BQ4)-SUM(BL4,BP4),"")</f>
        <v>48.7</v>
      </c>
      <c r="BZ4" s="11">
        <f t="shared" ref="BZ4:BZ26" si="29"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0.3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 t="shared" ref="CV4:CV26" si="30">IF(SUM(CB4,CF4)&gt;0,SUM(CB4,CF4),"")</f>
        <v>13.2</v>
      </c>
      <c r="CW4" s="40">
        <f t="shared" ref="CW4:CW26" si="31">IF(SUM(CA4:CB4,CD4:CF4,CH4)-CC4-CG4&gt;0,SUM(CA4:CB4,CD4:CF4,CH4)-CC4-CG4,"")</f>
        <v>50.499999999999993</v>
      </c>
      <c r="CX4" s="40">
        <f t="shared" ref="CX4:CX26" si="32">IF(SUM(CI4:CJ4,CL4)-CK4&gt;0,SUM(CI4:CJ4,CL4)-CK4,"")</f>
        <v>21.5</v>
      </c>
      <c r="CY4" s="40">
        <f t="shared" ref="CY4:CY26" si="33">IF(SUM(CB4,CF4,CJ4)&gt;0,SUM(CB4,CF4,CJ4),"")</f>
        <v>18.399999999999999</v>
      </c>
      <c r="CZ4" s="40">
        <f t="shared" ref="CZ4:CZ26" si="34">IF(SUM(CW4,CX4)&gt;0,SUM(CW4,CX4),"")</f>
        <v>72</v>
      </c>
      <c r="DA4" s="40">
        <f t="shared" ref="DA4:DA26" si="35">IF(SUM(CN4,CR4)&gt;0,SUM(CN4,CR4),"")</f>
        <v>13.2</v>
      </c>
      <c r="DB4" s="40">
        <f t="shared" ref="DB4:DB26" si="36">IF(SUM(CM4:CN4,CP4:CR4,CT4)-SUM(CO4,CS4)&gt;0,SUM(CM4:CN4,CP4:CR4,CT4)-SUM(CO4,CS4),"")</f>
        <v>49.999999999999993</v>
      </c>
      <c r="DC4" s="40">
        <f t="shared" ref="DC4:DC26" si="37">IF(SUM(CW4,DB4)&gt;0,SUM(CW4,DB4),"")</f>
        <v>100.49999999999999</v>
      </c>
      <c r="DD4" s="50" t="str">
        <f t="shared" ref="DD4:DD26" si="38">IF(MAX(EB4,FD4,GF4,HH4,IJ4,JL4,KN4,LP4,MR4,NT4,OV4,PX4)-IF(L4="",0,L4)&gt;0.001,MAX(EB4,FD4,GF4,HH4,IJ4,JL4,KN4,LP4,MR4,NT4,OV4,PX4)-IF(L4="",0,L4),"")</f>
        <v/>
      </c>
      <c r="DE4" s="50" t="str">
        <f t="shared" ref="DE4:DE26" si="39">IF(MAX(EC4,FE4,GG4,HI4,IK4,JM4,KO4,LQ4,MS4,NU4,OW4,PY4)-IF(N4="",0,N4)&gt;0.001,MAX(EC4,FE4,GG4,HI4,IK4,JM4,KO4,LQ4,MS4,NU4,OW4,PY4)-IF(N4="",0,N4),"")</f>
        <v/>
      </c>
      <c r="DF4" s="50" t="str">
        <f t="shared" ref="DF4:DF26" si="40"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6" si="41">IF(SUM(DH4,DL4)&gt;0,SUM(DH4,DL4),"")</f>
        <v>13.2</v>
      </c>
      <c r="EB4" s="40">
        <f t="shared" ref="EB4:EB26" si="42">IF(SUM(DG4:DH4,DJ4:DL4,DN4)-DI4-DM4&gt;0,SUM(DG4:DH4,DJ4:DL4,DN4)-DI4-DM4,"")</f>
        <v>48</v>
      </c>
      <c r="EC4" s="40" t="str">
        <f t="shared" ref="EC4:EC26" si="43">IF(SUM(DO4:DP4,DR4)-DQ4&gt;0,SUM(DO4:DP4,DR4)-DQ4,"")</f>
        <v/>
      </c>
      <c r="ED4" s="40">
        <f t="shared" ref="ED4:ED26" si="44">IF(SUM(DH4,DL4,DP4)&gt;0,SUM(DH4,DL4,DP4),"")</f>
        <v>13.2</v>
      </c>
      <c r="EE4" s="40">
        <f t="shared" ref="EE4:EE26" si="45">IF(SUM(EB4,EC4)&gt;0,SUM(EB4,EC4),"")</f>
        <v>48</v>
      </c>
      <c r="EF4" s="40" t="str">
        <f t="shared" ref="EF4:EF26" si="46">IF(SUM(DT4,DX4)&gt;0,SUM(DT4,DX4),"")</f>
        <v/>
      </c>
      <c r="EG4" s="40" t="str">
        <f t="shared" ref="EG4:EG26" si="47">IF(SUM(DS4:DT4,DV4:DX4,DZ4)-SUM(DU4,DY4)&gt;0,SUM(DS4:DT4,DV4:DX4,DZ4)-SUM(DU4,DY4),"")</f>
        <v/>
      </c>
      <c r="EH4" s="40">
        <f t="shared" ref="EH4:EH26" si="48"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 t="shared" ref="FC4:FC26" si="49">IF(SUM(EJ4,EN4)&gt;0,SUM(EJ4,EN4),"")</f>
        <v/>
      </c>
      <c r="FD4" s="11" t="str">
        <f t="shared" ref="FD4:FD26" si="50">IF(SUM(EI4:EJ4,EL4:EN4,EP4)-EK4-EO4&gt;0,SUM(EI4:EJ4,EL4:EN4,EP4)-EK4-EO4,"")</f>
        <v/>
      </c>
      <c r="FE4" s="11" t="str">
        <f t="shared" ref="FE4:FE26" si="51">IF(SUM(EQ4:ER4,ET4)-ES4&gt;0,SUM(EQ4:ER4,ET4)-ES4,"")</f>
        <v/>
      </c>
      <c r="FF4" s="11" t="str">
        <f t="shared" ref="FF4:FF26" si="52">IF(SUM(EJ4,EN4,ER4)&gt;0,SUM(EJ4,EN4,ER4),"")</f>
        <v/>
      </c>
      <c r="FG4" s="11" t="str">
        <f t="shared" ref="FG4:FG26" si="53">IF(SUM(FD4,FE4)&gt;0,SUM(FD4,FE4),"")</f>
        <v/>
      </c>
      <c r="FH4" s="11">
        <f t="shared" ref="FH4:FH26" si="54">IF(SUM(EV4,EZ4)&gt;0,SUM(EV4,EZ4),"")</f>
        <v>7.2</v>
      </c>
      <c r="FI4" s="11">
        <f t="shared" ref="FI4:FI26" si="55">IF(SUM(EU4:EV4,EX4:EZ4,FB4)-SUM(EW4,FA4)&gt;0,SUM(EU4:EV4,EX4:EZ4,FB4)-SUM(EW4,FA4),"")</f>
        <v>24.8</v>
      </c>
      <c r="FJ4" s="11">
        <f t="shared" ref="FJ4:FJ26" si="56"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6" si="57">IF(SUM(FL4,FP4)&gt;0,SUM(FL4,FP4),"")</f>
        <v/>
      </c>
      <c r="GF4" s="40" t="str">
        <f t="shared" ref="GF4:GF26" si="58">IF(SUM(FK4:FL4,FN4:FP4,FR4)-FM4-FQ4&gt;0,SUM(FK4:FL4,FN4:FP4,FR4)-FM4-FQ4,"")</f>
        <v/>
      </c>
      <c r="GG4" s="40" t="str">
        <f t="shared" ref="GG4:GG26" si="59">IF(SUM(FS4:FT4,FV4)-FU4&gt;0,SUM(FS4:FT4,FV4)-FU4,"")</f>
        <v/>
      </c>
      <c r="GH4" s="40" t="str">
        <f t="shared" ref="GH4:GH26" si="60">IF(SUM(FL4,FP4,FT4)&gt;0,SUM(FL4,FP4,FT4),"")</f>
        <v/>
      </c>
      <c r="GI4" s="40" t="str">
        <f t="shared" ref="GI4:GI26" si="61">IF(SUM(GF4,GG4)&gt;0,SUM(GF4,GG4),"")</f>
        <v/>
      </c>
      <c r="GJ4" s="40" t="str">
        <f t="shared" ref="GJ4:GJ26" si="62">IF(SUM(FX4,GB4)&gt;0,SUM(FX4,GB4),"")</f>
        <v/>
      </c>
      <c r="GK4" s="40" t="str">
        <f t="shared" ref="GK4:GK26" si="63">IF(SUM(FW4:FX4,FZ4:GB4,GD4)-SUM(FY4,GC4)&gt;0,SUM(FW4:FX4,FZ4:GB4,GD4)-SUM(FY4,GC4),"")</f>
        <v/>
      </c>
      <c r="GL4" s="40" t="str">
        <f t="shared" ref="GL4:GL26" si="64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 t="shared" ref="HG4:HG26" si="65">IF(SUM(GN4,GR4)&gt;0,SUM(GN4,GR4),"")</f>
        <v/>
      </c>
      <c r="HH4" s="11" t="str">
        <f t="shared" ref="HH4:HH26" si="66">IF(SUM(GM4:GN4,GP4:GR4,GT4)-GO4-GS4&gt;0,SUM(GM4:GN4,GP4:GR4,GT4)-GO4-GS4,"")</f>
        <v/>
      </c>
      <c r="HI4" s="11" t="str">
        <f t="shared" ref="HI4:HI26" si="67">IF(SUM(GU4:GV4,GX4)-GW4&gt;0,SUM(GU4:GV4,GX4)-GW4,"")</f>
        <v/>
      </c>
      <c r="HJ4" s="11" t="str">
        <f t="shared" ref="HJ4:HJ26" si="68">IF(SUM(GN4,GR4,GV4)&gt;0,SUM(GN4,GR4,GV4),"")</f>
        <v/>
      </c>
      <c r="HK4" s="11" t="str">
        <f t="shared" ref="HK4:HK26" si="69">IF(SUM(HH4,HI4)&gt;0,SUM(HH4,HI4),"")</f>
        <v/>
      </c>
      <c r="HL4" s="11">
        <f t="shared" ref="HL4:HL26" si="70">IF(SUM(GZ4,HD4)&gt;0,SUM(GZ4,HD4),"")</f>
        <v>12.4</v>
      </c>
      <c r="HM4" s="11">
        <f t="shared" ref="HM4:HM26" si="71">IF(SUM(GY4:GZ4,HB4:HD4,HF4)-SUM(HA4,HE4)&gt;0,SUM(GY4:GZ4,HB4:HD4,HF4)-SUM(HA4,HE4),"")</f>
        <v>46.6</v>
      </c>
      <c r="HN4" s="11">
        <f t="shared" ref="HN4:HN26" si="72"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3">IF(SUM(HP4,HT4)&gt;0,SUM(HP4,HT4),"")</f>
        <v>8.8000000000000007</v>
      </c>
      <c r="IJ4" s="40">
        <f t="shared" ref="IJ4:IJ26" si="74">IF(SUM(HO4:HP4,HR4:HT4,HV4)-HQ4-HU4&gt;0,SUM(HO4:HP4,HR4:HT4,HV4)-HQ4-HU4,"")</f>
        <v>44.8</v>
      </c>
      <c r="IK4" s="40" t="str">
        <f t="shared" ref="IK4:IK26" si="75">IF(SUM(HW4:HX4,HZ4)-HY4&gt;0,SUM(HW4:HX4,HZ4)-HY4,"")</f>
        <v/>
      </c>
      <c r="IL4" s="40">
        <f t="shared" ref="IL4:IL26" si="76">IF(SUM(HP4,HT4,HX4)&gt;0,SUM(HP4,HT4,HX4),"")</f>
        <v>8.8000000000000007</v>
      </c>
      <c r="IM4" s="40">
        <f t="shared" ref="IM4:IM26" si="77">IF(SUM(IJ4,IK4)&gt;0,SUM(IJ4,IK4),"")</f>
        <v>44.8</v>
      </c>
      <c r="IN4" s="40" t="str">
        <f t="shared" ref="IN4:IN26" si="78">IF(SUM(IB4,IF4)&gt;0,SUM(IB4,IF4),"")</f>
        <v/>
      </c>
      <c r="IO4" s="40" t="str">
        <f t="shared" ref="IO4:IO26" si="79">IF(SUM(IA4:IB4,ID4:IF4,IH4)-SUM(IC4,IG4)&gt;0,SUM(IA4:IB4,ID4:IF4,IH4)-SUM(IC4,IG4),"")</f>
        <v/>
      </c>
      <c r="IP4" s="40">
        <f t="shared" ref="IP4:IP26" si="80"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6" si="81">IF(SUM(IR4,IV4)&gt;0,SUM(IR4,IV4),"")</f>
        <v/>
      </c>
      <c r="JL4" s="11" t="str">
        <f t="shared" ref="JL4:JL26" si="82">IF(SUM(IQ4:IR4,IT4:IV4,IX4)-IS4-IW4&gt;0,SUM(IQ4:IR4,IT4:IV4,IX4)-IS4-IW4,"")</f>
        <v/>
      </c>
      <c r="JM4" s="11" t="str">
        <f t="shared" ref="JM4:JM26" si="83">IF(SUM(IY4:IZ4,JB4)-JA4&gt;0,SUM(IY4:IZ4,JB4)-JA4,"")</f>
        <v/>
      </c>
      <c r="JN4" s="11" t="str">
        <f t="shared" ref="JN4:JN26" si="84">IF(SUM(IR4,IV4,IZ4)&gt;0,SUM(IR4,IV4,IZ4),"")</f>
        <v/>
      </c>
      <c r="JO4" s="11" t="str">
        <f t="shared" ref="JO4:JO26" si="85">IF(SUM(JL4,JM4)&gt;0,SUM(JL4,JM4),"")</f>
        <v/>
      </c>
      <c r="JP4" s="11" t="str">
        <f t="shared" ref="JP4:JP26" si="86">IF(SUM(JD4,JH4)&gt;0,SUM(JD4,JH4),"")</f>
        <v/>
      </c>
      <c r="JQ4" s="11" t="str">
        <f t="shared" ref="JQ4:JQ26" si="87">IF(SUM(JC4:JD4,JF4:JH4,JJ4)-SUM(JE4,JI4)&gt;0,SUM(JC4:JD4,JF4:JH4,JJ4)-SUM(JE4,JI4),"")</f>
        <v/>
      </c>
      <c r="JR4" s="11" t="str">
        <f t="shared" ref="JR4:JR26" si="88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6" si="89">IF(SUM(JT4,JX4)&gt;0,SUM(JT4,JX4),"")</f>
        <v/>
      </c>
      <c r="KN4" s="40" t="str">
        <f t="shared" ref="KN4:KN26" si="90">IF(SUM(JS4:JT4,JV4:JX4,JZ4)-JU4-JY4&gt;0,SUM(JS4:JT4,JV4:JX4,JZ4)-JU4-JY4,"")</f>
        <v/>
      </c>
      <c r="KO4" s="40" t="str">
        <f t="shared" ref="KO4:KO26" si="91">IF(SUM(KA4:KB4,KD4)-KC4&gt;0,SUM(KA4:KB4,KD4)-KC4,"")</f>
        <v/>
      </c>
      <c r="KP4" s="40" t="str">
        <f t="shared" ref="KP4:KP26" si="92">IF(SUM(JT4,JX4,KB4)&gt;0,SUM(JT4,JX4,KB4),"")</f>
        <v/>
      </c>
      <c r="KQ4" s="40" t="str">
        <f t="shared" ref="KQ4:KQ26" si="93">IF(SUM(KN4,KO4)&gt;0,SUM(KN4,KO4),"")</f>
        <v/>
      </c>
      <c r="KR4" s="40" t="str">
        <f t="shared" ref="KR4:KR26" si="94">IF(SUM(KF4,KJ4)&gt;0,SUM(KF4,KJ4),"")</f>
        <v/>
      </c>
      <c r="KS4" s="40" t="str">
        <f t="shared" ref="KS4:KS26" si="95">IF(SUM(KE4:KF4,KH4:KJ4,KL4)-SUM(KG4,KK4)&gt;0,SUM(KE4:KF4,KH4:KJ4,KL4)-SUM(KG4,KK4),"")</f>
        <v/>
      </c>
      <c r="KT4" s="40" t="str">
        <f t="shared" ref="KT4:KT26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6" si="97">IF(SUM(KV4,KZ4)&gt;0,SUM(KV4,KZ4),"")</f>
        <v/>
      </c>
      <c r="LP4" s="11" t="str">
        <f t="shared" ref="LP4:LP26" si="98">IF(SUM(KU4:KV4,KX4:KZ4,LB4)-KW4-LA4&gt;0,SUM(KU4:KV4,KX4:KZ4,LB4)-KW4-LA4,"")</f>
        <v/>
      </c>
      <c r="LQ4" s="11" t="str">
        <f t="shared" ref="LQ4:LQ26" si="99">IF(SUM(LC4:LD4,LF4)-LE4&gt;0,SUM(LC4:LD4,LF4)-LE4,"")</f>
        <v/>
      </c>
      <c r="LR4" s="11" t="str">
        <f t="shared" ref="LR4:LR26" si="100">IF(SUM(KV4,KZ4,LD4)&gt;0,SUM(KV4,KZ4,LD4),"")</f>
        <v/>
      </c>
      <c r="LS4" s="11" t="str">
        <f t="shared" ref="LS4:LS26" si="101">IF(SUM(LP4,LQ4)&gt;0,SUM(LP4,LQ4),"")</f>
        <v/>
      </c>
      <c r="LT4" s="11" t="str">
        <f t="shared" ref="LT4:LT26" si="102">IF(SUM(LH4,LL4)&gt;0,SUM(LH4,LL4),"")</f>
        <v/>
      </c>
      <c r="LU4" s="11" t="str">
        <f t="shared" ref="LU4:LU26" si="103">IF(SUM(LG4:LH4,LJ4:LL4,LN4)-SUM(LI4,LM4)&gt;0,SUM(LG4:LH4,LJ4:LL4,LN4)-SUM(LI4,LM4),"")</f>
        <v/>
      </c>
      <c r="LV4" s="11" t="str">
        <f t="shared" ref="LV4:LV26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5">IF(SUM(LX4,MB4)&gt;0,SUM(LX4,MB4),"")</f>
        <v/>
      </c>
      <c r="MR4" s="40" t="str">
        <f t="shared" ref="MR4:MR26" si="106">IF(SUM(LW4:LX4,LZ4:MB4,MD4)-LY4-MC4&gt;0,SUM(LW4:LX4,LZ4:MB4,MD4)-LY4-MC4,"")</f>
        <v/>
      </c>
      <c r="MS4" s="40" t="str">
        <f t="shared" ref="MS4:MS26" si="107">IF(SUM(ME4:MF4,MH4)-MG4&gt;0,SUM(ME4:MF4,MH4)-MG4,"")</f>
        <v/>
      </c>
      <c r="MT4" s="40" t="str">
        <f t="shared" ref="MT4:MT26" si="108">IF(SUM(LX4,MB4,MF4)&gt;0,SUM(LX4,MB4,MF4),"")</f>
        <v/>
      </c>
      <c r="MU4" s="40" t="str">
        <f t="shared" ref="MU4:MU26" si="109">IF(SUM(MR4,MS4)&gt;0,SUM(MR4,MS4),"")</f>
        <v/>
      </c>
      <c r="MV4" s="40" t="str">
        <f t="shared" ref="MV4:MV26" si="110">IF(SUM(MJ4,MN4)&gt;0,SUM(MJ4,MN4),"")</f>
        <v/>
      </c>
      <c r="MW4" s="40" t="str">
        <f t="shared" ref="MW4:MW26" si="111">IF(SUM(MI4:MJ4,ML4:MN4,MP4)-SUM(MK4,MO4)&gt;0,SUM(MI4:MJ4,ML4:MN4,MP4)-SUM(MK4,MO4),"")</f>
        <v/>
      </c>
      <c r="MX4" s="40" t="str">
        <f t="shared" ref="MX4:MX26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3">IF(SUM(MZ4,ND4)&gt;0,SUM(MZ4,ND4),"")</f>
        <v/>
      </c>
      <c r="NT4" s="11" t="str">
        <f t="shared" ref="NT4:NT26" si="114">IF(SUM(MY4:MZ4,NB4:ND4,NF4)-NA4-NE4&gt;0,SUM(MY4:MZ4,NB4:ND4,NF4)-NA4-NE4,"")</f>
        <v/>
      </c>
      <c r="NU4" s="11" t="str">
        <f t="shared" ref="NU4:NU26" si="115">IF(SUM(NG4:NH4,NJ4)-NI4&gt;0,SUM(NG4:NH4,NJ4)-NI4,"")</f>
        <v/>
      </c>
      <c r="NV4" s="11" t="str">
        <f t="shared" ref="NV4:NV26" si="116">IF(SUM(MZ4,ND4,NH4)&gt;0,SUM(MZ4,ND4,NH4),"")</f>
        <v/>
      </c>
      <c r="NW4" s="11" t="str">
        <f t="shared" ref="NW4:NW26" si="117">IF(SUM(NT4,NU4)&gt;0,SUM(NT4,NU4),"")</f>
        <v/>
      </c>
      <c r="NX4" s="11" t="str">
        <f t="shared" ref="NX4:NX26" si="118">IF(SUM(NL4,NP4)&gt;0,SUM(NL4,NP4),"")</f>
        <v/>
      </c>
      <c r="NY4" s="11" t="str">
        <f t="shared" ref="NY4:NY26" si="119">IF(SUM(NK4:NL4,NN4:NP4,NR4)-SUM(NM4,NQ4)&gt;0,SUM(NK4:NL4,NN4:NP4,NR4)-SUM(NM4,NQ4),"")</f>
        <v/>
      </c>
      <c r="NZ4" s="11" t="str">
        <f t="shared" ref="NZ4:NZ26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1">IF(SUM(OB4,OF4)&gt;0,SUM(OB4,OF4),"")</f>
        <v/>
      </c>
      <c r="OV4" s="40" t="str">
        <f t="shared" ref="OV4:OV26" si="122">IF(SUM(OA4:OB4,OD4:OF4,OH4)-OC4-OG4&gt;0,SUM(OA4:OB4,OD4:OF4,OH4)-OC4-OG4,"")</f>
        <v/>
      </c>
      <c r="OW4" s="40" t="str">
        <f t="shared" ref="OW4:OW26" si="123">IF(SUM(OI4:OJ4,OL4)-OK4&gt;0,SUM(OI4:OJ4,OL4)-OK4,"")</f>
        <v/>
      </c>
      <c r="OX4" s="40" t="str">
        <f t="shared" ref="OX4:OX26" si="124">IF(SUM(OB4,OF4,OJ4)&gt;0,SUM(OB4,OF4,OJ4),"")</f>
        <v/>
      </c>
      <c r="OY4" s="40" t="str">
        <f t="shared" ref="OY4:OY26" si="125">IF(SUM(OV4,OW4)&gt;0,SUM(OV4,OW4),"")</f>
        <v/>
      </c>
      <c r="OZ4" s="40" t="str">
        <f t="shared" ref="OZ4:OZ26" si="126">IF(SUM(ON4,OR4)&gt;0,SUM(ON4,OR4),"")</f>
        <v/>
      </c>
      <c r="PA4" s="40" t="str">
        <f t="shared" ref="PA4:PA26" si="127">IF(SUM(OM4:ON4,OP4:OR4,OT4)-SUM(OO4,OS4)&gt;0,SUM(OM4:ON4,OP4:OR4,OT4)-SUM(OO4,OS4),"")</f>
        <v/>
      </c>
      <c r="PB4" s="40" t="str">
        <f t="shared" ref="PB4:PB26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9">IF(SUM(PD4,PH4)&gt;0,SUM(PD4,PH4),"")</f>
        <v/>
      </c>
      <c r="PX4" s="11" t="str">
        <f t="shared" ref="PX4:PX26" si="130">IF(SUM(PC4:PD4,PF4:PH4,PJ4)-PE4-PI4&gt;0,SUM(PC4:PD4,PF4:PH4,PJ4)-PE4-PI4,"")</f>
        <v/>
      </c>
      <c r="PY4" s="11" t="str">
        <f t="shared" ref="PY4:PY26" si="131">IF(SUM(PK4:PL4,PN4)-PM4&gt;0,SUM(PK4:PL4,PN4)-PM4,"")</f>
        <v/>
      </c>
      <c r="PZ4" s="11" t="str">
        <f t="shared" ref="PZ4:PZ26" si="132">IF(SUM(PD4,PH4,PL4)&gt;0,SUM(PD4,PH4,PL4),"")</f>
        <v/>
      </c>
      <c r="QA4" s="11" t="str">
        <f t="shared" ref="QA4:QA26" si="133">IF(SUM(PX4,PY4)&gt;0,SUM(PX4,PY4),"")</f>
        <v/>
      </c>
      <c r="QB4" s="11" t="str">
        <f t="shared" ref="QB4:QB26" si="134">IF(SUM(PP4,PT4)&gt;0,SUM(PP4,PT4),"")</f>
        <v/>
      </c>
      <c r="QC4" s="11" t="str">
        <f t="shared" ref="QC4:QC26" si="135">IF(SUM(PO4:PP4,PR4:PT4,PV4)-SUM(PQ4,PU4)&gt;0,SUM(PO4:PP4,PR4:PT4,PV4)-SUM(PQ4,PU4),"")</f>
        <v/>
      </c>
      <c r="QD4" s="11" t="str">
        <f t="shared" ref="QD4:QD26" si="136">IF(SUM(PX4,QC4)&gt;0,SUM(PX4,QC4),"")</f>
        <v/>
      </c>
      <c r="QE4" s="22">
        <f t="shared" ref="QE4:QE26" si="137">IF($CU4="P",CA4,(CA4+AX4)/2)</f>
        <v>18.649999999999999</v>
      </c>
      <c r="QF4" s="22">
        <f t="shared" ref="QF4:QF26" si="138">IF($CU4="P",CB4,(CB4+AY4)/2)</f>
        <v>6</v>
      </c>
      <c r="QG4" s="22">
        <f t="shared" ref="QG4:QG26" si="139">IF($CU4="P",CC4,(CC4+AZ4)/2)</f>
        <v>0.1</v>
      </c>
      <c r="QH4" s="22">
        <f t="shared" ref="QH4:QH26" si="140">IF($CU4="P",CD4,(CD4+BA4)/2)</f>
        <v>0</v>
      </c>
      <c r="QI4" s="22">
        <f t="shared" ref="QI4:QI26" si="141">IF($CU4="P",CE4,(CE4+BB4)/2)</f>
        <v>18.299999999999997</v>
      </c>
      <c r="QJ4" s="22">
        <f t="shared" ref="QJ4:QJ26" si="142">IF($CU4="P",CF4,(CF4+BC4)/2)</f>
        <v>6.4</v>
      </c>
      <c r="QK4" s="22">
        <f t="shared" ref="QK4:QK26" si="143">IF($CU4="P",CG4,(CG4+BD4)/2)</f>
        <v>0.4</v>
      </c>
      <c r="QL4" s="22">
        <f t="shared" ref="QL4:QL26" si="144">IF($CU4="P",CH4,(CH4+BE4)/2)</f>
        <v>0.3</v>
      </c>
      <c r="QM4" s="22">
        <f t="shared" ref="QM4:QM26" si="145">IF($CU4="P",CI4,(CI4+BF4)/2)</f>
        <v>17.45</v>
      </c>
      <c r="QN4" s="22">
        <f t="shared" ref="QN4:QN26" si="146">IF($CU4="P",CJ4,(CJ4+BG4)/2)</f>
        <v>5.8000000000000007</v>
      </c>
      <c r="QO4" s="22">
        <f t="shared" ref="QO4:QO26" si="147">IF($CU4="P",CK4,(CK4+BH4)/2)</f>
        <v>0.1</v>
      </c>
      <c r="QP4" s="22">
        <f t="shared" ref="QP4:QP26" si="148">IF($CU4="P",CL4,(CL4+BI4)/2)</f>
        <v>0.15</v>
      </c>
      <c r="QQ4" s="22">
        <f t="shared" ref="QQ4:QQ26" si="149">IF($CU4="P",CM4,(CM4+BJ4)/2)</f>
        <v>18.5</v>
      </c>
      <c r="QR4" s="22">
        <f t="shared" ref="QR4:QR26" si="150">IF($CU4="P",CN4,(CN4+BK4)/2)</f>
        <v>6.4</v>
      </c>
      <c r="QS4" s="22">
        <f t="shared" ref="QS4:QS26" si="151">IF($CU4="P",CO4,(CO4+BL4)/2)</f>
        <v>0.1</v>
      </c>
      <c r="QT4" s="22">
        <f t="shared" ref="QT4:QT26" si="152">IF($CU4="P",CP4,(CP4+BM4)/2)</f>
        <v>0</v>
      </c>
      <c r="QU4" s="22">
        <f t="shared" ref="QU4:QU26" si="153">IF($CU4="P",CQ4,(CQ4+BN4)/2)</f>
        <v>18.600000000000001</v>
      </c>
      <c r="QV4" s="22">
        <f t="shared" ref="QV4:QV26" si="154">IF($CU4="P",CR4,(CR4+BO4)/2)</f>
        <v>6</v>
      </c>
      <c r="QW4" s="22">
        <f t="shared" ref="QW4:QW26" si="155">IF($CU4="P",CS4,(CS4+BP4)/2)</f>
        <v>0.2</v>
      </c>
      <c r="QX4" s="22">
        <f t="shared" ref="QX4:QX26" si="156">IF($CU4="P",CT4,(CT4+BQ4)/2)</f>
        <v>0.15</v>
      </c>
      <c r="QY4" s="27" t="s">
        <v>46</v>
      </c>
      <c r="QZ4" s="40">
        <f t="shared" ref="QZ4:QZ26" si="157">IF(SUM(QF4,QJ4)&gt;0,SUM(QF4,QJ4),"")</f>
        <v>12.4</v>
      </c>
      <c r="RA4" s="40">
        <f t="shared" ref="RA4:RA26" si="158">IF(SUM(QE4:QF4,QH4:QJ4,QL4)-QG4-QK4&gt;0,SUM(QE4:QF4,QH4:QJ4,QL4)-QG4-QK4,"")</f>
        <v>49.149999999999991</v>
      </c>
      <c r="RB4" s="40">
        <f t="shared" ref="RB4:RB26" si="159">IF(SUM(QM4:QN4,QP4)-QO4&gt;0,SUM(QM4:QN4,QP4)-QO4,"")</f>
        <v>23.299999999999997</v>
      </c>
      <c r="RC4" s="40">
        <f t="shared" ref="RC4:RC26" si="160">IF(SUM(QF4,QJ4,QN4)&gt;0,SUM(QF4,QJ4,QN4),"")</f>
        <v>18.200000000000003</v>
      </c>
      <c r="RD4" s="40">
        <f t="shared" ref="RD4:RD26" si="161">IF(SUM(RA4,RB4)&gt;0,SUM(RA4,RB4),"")</f>
        <v>72.449999999999989</v>
      </c>
      <c r="RE4" s="40">
        <f t="shared" ref="RE4:RE26" si="162">IF(SUM(QR4,QV4)&gt;0,SUM(QR4,QV4),"")</f>
        <v>12.4</v>
      </c>
      <c r="RF4" s="40">
        <f t="shared" ref="RF4:RF26" si="163">IF(SUM(QQ4:QR4,QT4:QV4,QX4)-SUM(QS4,QW4)&gt;0,SUM(QQ4:QR4,QT4:QV4,QX4)-SUM(QS4,QW4),"")</f>
        <v>49.35</v>
      </c>
      <c r="RG4" s="40">
        <f t="shared" ref="RG4:RG26" si="164">IF(SUM(RA4,RF4)&gt;0,SUM(RA4,RF4),"")</f>
        <v>98.5</v>
      </c>
    </row>
    <row r="5" spans="1:475" x14ac:dyDescent="0.2">
      <c r="A5" s="4">
        <f t="shared" si="0"/>
        <v>2</v>
      </c>
      <c r="B5" s="5" t="s">
        <v>68</v>
      </c>
      <c r="C5" s="4" t="s">
        <v>4</v>
      </c>
      <c r="D5" s="4">
        <v>2003</v>
      </c>
      <c r="E5" s="9">
        <f t="shared" si="1"/>
        <v>171.100012150005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49.9</v>
      </c>
      <c r="K5" s="8" t="str">
        <f t="shared" si="6"/>
        <v>2023 Elite Canada</v>
      </c>
      <c r="L5" s="8">
        <f>IF(COUNT(AQ5,BT5,CW5)&gt;1,LARGE((AQ5,BT5,CW5),2),0)</f>
        <v>47.599999999999994</v>
      </c>
      <c r="M5" s="8" t="str">
        <f t="shared" si="7"/>
        <v>2022 3rd Domestic Trial</v>
      </c>
      <c r="N5" s="8">
        <f>IF(COUNT(AR5,BU5,CX5)&gt;0,LARGE((AR5,BU5,CX5),1),0)</f>
        <v>24</v>
      </c>
      <c r="O5" s="8" t="str">
        <f t="shared" si="8"/>
        <v>2022 Nationals</v>
      </c>
      <c r="P5" s="8">
        <f t="shared" si="9"/>
        <v>49.199999999999996</v>
      </c>
      <c r="Q5" s="8" t="str">
        <f t="shared" si="10"/>
        <v>2023 Elite Canada</v>
      </c>
      <c r="R5" s="8">
        <f t="shared" si="11"/>
        <v>0.40000000000000568</v>
      </c>
      <c r="S5" s="11" t="str">
        <f t="shared" si="12"/>
        <v>(Q1)</v>
      </c>
      <c r="T5" s="8" t="str">
        <f t="shared" si="13"/>
        <v>2022 Worlds (Nov 16)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 t="shared" si="14"/>
        <v>8.9</v>
      </c>
      <c r="AQ5" s="40">
        <f t="shared" si="15"/>
        <v>43.199999999999996</v>
      </c>
      <c r="AR5" s="40">
        <f t="shared" si="16"/>
        <v>24</v>
      </c>
      <c r="AS5" s="40">
        <f t="shared" si="17"/>
        <v>14.5</v>
      </c>
      <c r="AT5" s="40">
        <f t="shared" si="18"/>
        <v>67.199999999999989</v>
      </c>
      <c r="AU5" s="40">
        <f t="shared" si="19"/>
        <v>8.8000000000000007</v>
      </c>
      <c r="AV5" s="40">
        <f t="shared" si="20"/>
        <v>44.29999999999999</v>
      </c>
      <c r="AW5" s="40">
        <f t="shared" si="21"/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 t="shared" si="22"/>
        <v>10.4</v>
      </c>
      <c r="BT5" s="11">
        <f t="shared" si="23"/>
        <v>47.599999999999994</v>
      </c>
      <c r="BU5" s="11">
        <f t="shared" si="24"/>
        <v>23.5</v>
      </c>
      <c r="BV5" s="11">
        <f t="shared" si="25"/>
        <v>16</v>
      </c>
      <c r="BW5" s="11">
        <f t="shared" si="26"/>
        <v>71.099999999999994</v>
      </c>
      <c r="BX5" s="11">
        <f t="shared" si="27"/>
        <v>11.600000000000001</v>
      </c>
      <c r="BY5" s="11">
        <f t="shared" si="28"/>
        <v>48.78</v>
      </c>
      <c r="BZ5" s="11">
        <f t="shared" si="29"/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 t="shared" si="30"/>
        <v>12.4</v>
      </c>
      <c r="CW5" s="40">
        <f t="shared" si="31"/>
        <v>49.9</v>
      </c>
      <c r="CX5" s="40">
        <f t="shared" si="32"/>
        <v>22.7</v>
      </c>
      <c r="CY5" s="40">
        <f t="shared" si="33"/>
        <v>17.600000000000001</v>
      </c>
      <c r="CZ5" s="40">
        <f t="shared" si="34"/>
        <v>72.599999999999994</v>
      </c>
      <c r="DA5" s="40">
        <f t="shared" si="35"/>
        <v>12.4</v>
      </c>
      <c r="DB5" s="40">
        <f t="shared" si="36"/>
        <v>49.199999999999996</v>
      </c>
      <c r="DC5" s="40">
        <f t="shared" si="37"/>
        <v>99.1</v>
      </c>
      <c r="DD5" s="50">
        <f t="shared" si="38"/>
        <v>0.40000000000000568</v>
      </c>
      <c r="DE5" s="50" t="str">
        <f t="shared" si="39"/>
        <v/>
      </c>
      <c r="DF5" s="50" t="str">
        <f t="shared" si="40"/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1"/>
        <v>12.399999999999999</v>
      </c>
      <c r="EB5" s="40">
        <f t="shared" si="42"/>
        <v>48</v>
      </c>
      <c r="EC5" s="40" t="str">
        <f t="shared" si="43"/>
        <v/>
      </c>
      <c r="ED5" s="40">
        <f t="shared" si="44"/>
        <v>12.399999999999999</v>
      </c>
      <c r="EE5" s="40">
        <f t="shared" si="45"/>
        <v>48</v>
      </c>
      <c r="EF5" s="40" t="str">
        <f t="shared" si="46"/>
        <v/>
      </c>
      <c r="EG5" s="40" t="str">
        <f t="shared" si="47"/>
        <v/>
      </c>
      <c r="EH5" s="40">
        <f t="shared" si="48"/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40" t="str">
        <f t="shared" si="62"/>
        <v/>
      </c>
      <c r="GK5" s="40" t="str">
        <f t="shared" si="63"/>
        <v/>
      </c>
      <c r="GL5" s="40" t="str">
        <f t="shared" si="64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18.75</v>
      </c>
      <c r="QF5" s="22">
        <f t="shared" si="138"/>
        <v>5.8000000000000007</v>
      </c>
      <c r="QG5" s="22">
        <f t="shared" si="139"/>
        <v>0.1</v>
      </c>
      <c r="QH5" s="22">
        <f t="shared" si="140"/>
        <v>0</v>
      </c>
      <c r="QI5" s="22">
        <f t="shared" si="141"/>
        <v>18.5</v>
      </c>
      <c r="QJ5" s="22">
        <f t="shared" si="142"/>
        <v>5.6</v>
      </c>
      <c r="QK5" s="22">
        <f t="shared" si="143"/>
        <v>0.1</v>
      </c>
      <c r="QL5" s="22">
        <f t="shared" si="144"/>
        <v>0.3</v>
      </c>
      <c r="QM5" s="22">
        <f t="shared" si="145"/>
        <v>18.3</v>
      </c>
      <c r="QN5" s="22">
        <f t="shared" si="146"/>
        <v>5.4</v>
      </c>
      <c r="QO5" s="22">
        <f t="shared" si="147"/>
        <v>0.6</v>
      </c>
      <c r="QP5" s="22">
        <f t="shared" si="148"/>
        <v>0</v>
      </c>
      <c r="QQ5" s="22">
        <f t="shared" si="149"/>
        <v>18.649999999999999</v>
      </c>
      <c r="QR5" s="22">
        <f t="shared" si="150"/>
        <v>6.4</v>
      </c>
      <c r="QS5" s="22">
        <f t="shared" si="151"/>
        <v>0</v>
      </c>
      <c r="QT5" s="22">
        <f t="shared" si="152"/>
        <v>0</v>
      </c>
      <c r="QU5" s="22">
        <f t="shared" si="153"/>
        <v>18.489999999999998</v>
      </c>
      <c r="QV5" s="22">
        <f t="shared" si="154"/>
        <v>5.6</v>
      </c>
      <c r="QW5" s="22">
        <f t="shared" si="155"/>
        <v>0.3</v>
      </c>
      <c r="QX5" s="22">
        <f t="shared" si="156"/>
        <v>0.15</v>
      </c>
      <c r="QY5" s="27" t="s">
        <v>46</v>
      </c>
      <c r="QZ5" s="40">
        <f t="shared" si="157"/>
        <v>11.4</v>
      </c>
      <c r="RA5" s="40">
        <f t="shared" si="158"/>
        <v>48.749999999999993</v>
      </c>
      <c r="RB5" s="40">
        <f t="shared" si="159"/>
        <v>23.1</v>
      </c>
      <c r="RC5" s="40">
        <f t="shared" si="160"/>
        <v>16.8</v>
      </c>
      <c r="RD5" s="40">
        <f t="shared" si="161"/>
        <v>71.849999999999994</v>
      </c>
      <c r="RE5" s="40">
        <f t="shared" si="162"/>
        <v>12</v>
      </c>
      <c r="RF5" s="40">
        <f t="shared" si="163"/>
        <v>48.989999999999995</v>
      </c>
      <c r="RG5" s="40">
        <f t="shared" si="164"/>
        <v>97.739999999999981</v>
      </c>
    </row>
    <row r="6" spans="1:475" x14ac:dyDescent="0.2">
      <c r="A6" s="4">
        <f t="shared" si="0"/>
        <v>3</v>
      </c>
      <c r="B6" s="5" t="s">
        <v>77</v>
      </c>
      <c r="C6" s="4" t="s">
        <v>5</v>
      </c>
      <c r="D6" s="4">
        <v>2004</v>
      </c>
      <c r="E6" s="9">
        <f t="shared" si="1"/>
        <v>169.60001202000487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48.6</v>
      </c>
      <c r="K6" s="8" t="str">
        <f t="shared" si="6"/>
        <v>2023 Elite Canada</v>
      </c>
      <c r="L6" s="8">
        <f>IF(COUNT(AQ6,BT6,CW6)&gt;1,LARGE((AQ6,BT6,CW6),2),0)</f>
        <v>47.3</v>
      </c>
      <c r="M6" s="8" t="str">
        <f t="shared" si="7"/>
        <v>2022 Nationals</v>
      </c>
      <c r="N6" s="8">
        <f>IF(COUNT(AR6,BU6,CX6)&gt;0,LARGE((AR6,BU6,CX6),1),0)</f>
        <v>24.299999999999997</v>
      </c>
      <c r="O6" s="8" t="str">
        <f t="shared" si="8"/>
        <v>2022 3rd Domestic Trial</v>
      </c>
      <c r="P6" s="8">
        <f t="shared" si="9"/>
        <v>49.4</v>
      </c>
      <c r="Q6" s="8" t="str">
        <f t="shared" si="10"/>
        <v>2022 Nationals</v>
      </c>
      <c r="R6" s="8" t="str">
        <f t="shared" si="11"/>
        <v/>
      </c>
      <c r="S6" s="11" t="str">
        <f t="shared" si="12"/>
        <v/>
      </c>
      <c r="T6" s="8" t="str">
        <f t="shared" si="13"/>
        <v/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 t="shared" si="14"/>
        <v>10.8</v>
      </c>
      <c r="AQ6" s="40">
        <f t="shared" si="15"/>
        <v>47.3</v>
      </c>
      <c r="AR6" s="40">
        <f t="shared" si="16"/>
        <v>23.599999999999998</v>
      </c>
      <c r="AS6" s="40">
        <f t="shared" si="17"/>
        <v>16</v>
      </c>
      <c r="AT6" s="40">
        <f t="shared" si="18"/>
        <v>70.899999999999991</v>
      </c>
      <c r="AU6" s="40">
        <f t="shared" si="19"/>
        <v>11.6</v>
      </c>
      <c r="AV6" s="40">
        <f t="shared" si="20"/>
        <v>49.4</v>
      </c>
      <c r="AW6" s="40">
        <f t="shared" si="21"/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 t="shared" si="22"/>
        <v>8</v>
      </c>
      <c r="BT6" s="11">
        <f t="shared" si="23"/>
        <v>44.199999999999989</v>
      </c>
      <c r="BU6" s="11">
        <f t="shared" si="24"/>
        <v>24.299999999999997</v>
      </c>
      <c r="BV6" s="11">
        <f t="shared" si="25"/>
        <v>14.4</v>
      </c>
      <c r="BW6" s="11">
        <f t="shared" si="26"/>
        <v>68.499999999999986</v>
      </c>
      <c r="BX6" s="11">
        <f t="shared" si="27"/>
        <v>12</v>
      </c>
      <c r="BY6" s="11">
        <f t="shared" si="28"/>
        <v>45.6</v>
      </c>
      <c r="BZ6" s="11">
        <f t="shared" si="29"/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 t="shared" si="30"/>
        <v>11.6</v>
      </c>
      <c r="CW6" s="40">
        <f t="shared" si="31"/>
        <v>48.6</v>
      </c>
      <c r="CX6" s="40">
        <f t="shared" si="32"/>
        <v>24</v>
      </c>
      <c r="CY6" s="40">
        <f t="shared" si="33"/>
        <v>16.8</v>
      </c>
      <c r="CZ6" s="40">
        <f t="shared" si="34"/>
        <v>72.599999999999994</v>
      </c>
      <c r="DA6" s="40">
        <f t="shared" si="35"/>
        <v>11.2</v>
      </c>
      <c r="DB6" s="40">
        <f t="shared" si="36"/>
        <v>47.1</v>
      </c>
      <c r="DC6" s="40">
        <f t="shared" si="37"/>
        <v>95.7</v>
      </c>
      <c r="DD6" s="50" t="str">
        <f t="shared" si="38"/>
        <v/>
      </c>
      <c r="DE6" s="50" t="str">
        <f t="shared" si="39"/>
        <v/>
      </c>
      <c r="DF6" s="50" t="str">
        <f t="shared" si="40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40" t="str">
        <f t="shared" si="46"/>
        <v/>
      </c>
      <c r="EG6" s="40" t="str">
        <f t="shared" si="47"/>
        <v/>
      </c>
      <c r="EH6" s="40" t="str">
        <f t="shared" si="48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7"/>
        <v>11.6</v>
      </c>
      <c r="GF6" s="40">
        <f t="shared" si="58"/>
        <v>46.500000000000007</v>
      </c>
      <c r="GG6" s="40" t="str">
        <f t="shared" si="59"/>
        <v/>
      </c>
      <c r="GH6" s="40">
        <f t="shared" si="60"/>
        <v>11.6</v>
      </c>
      <c r="GI6" s="40">
        <f t="shared" si="61"/>
        <v>46.500000000000007</v>
      </c>
      <c r="GJ6" s="40" t="str">
        <f t="shared" si="62"/>
        <v/>
      </c>
      <c r="GK6" s="40" t="str">
        <f t="shared" si="63"/>
        <v/>
      </c>
      <c r="GL6" s="40">
        <f t="shared" si="64"/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>
        <f t="shared" si="70"/>
        <v>9.6999999999999993</v>
      </c>
      <c r="HM6" s="11">
        <f t="shared" si="71"/>
        <v>43.8</v>
      </c>
      <c r="HN6" s="11">
        <f t="shared" si="72"/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18.75</v>
      </c>
      <c r="QF6" s="22">
        <f t="shared" si="138"/>
        <v>5.6</v>
      </c>
      <c r="QG6" s="22">
        <f t="shared" si="139"/>
        <v>0.2</v>
      </c>
      <c r="QH6" s="22">
        <f t="shared" si="140"/>
        <v>0</v>
      </c>
      <c r="QI6" s="22">
        <f t="shared" si="141"/>
        <v>18.049999999999997</v>
      </c>
      <c r="QJ6" s="22">
        <f t="shared" si="142"/>
        <v>4.1999999999999993</v>
      </c>
      <c r="QK6" s="22">
        <f t="shared" si="143"/>
        <v>0</v>
      </c>
      <c r="QL6" s="22">
        <f t="shared" si="144"/>
        <v>0</v>
      </c>
      <c r="QM6" s="22">
        <f t="shared" si="145"/>
        <v>18.649999999999999</v>
      </c>
      <c r="QN6" s="22">
        <f t="shared" si="146"/>
        <v>5.8000000000000007</v>
      </c>
      <c r="QO6" s="22">
        <f t="shared" si="147"/>
        <v>0.3</v>
      </c>
      <c r="QP6" s="22">
        <f t="shared" si="148"/>
        <v>0</v>
      </c>
      <c r="QQ6" s="22">
        <f t="shared" si="149"/>
        <v>17.600000000000001</v>
      </c>
      <c r="QR6" s="22">
        <f t="shared" si="150"/>
        <v>5.8</v>
      </c>
      <c r="QS6" s="22">
        <f t="shared" si="151"/>
        <v>0.5</v>
      </c>
      <c r="QT6" s="22">
        <f t="shared" si="152"/>
        <v>0</v>
      </c>
      <c r="QU6" s="22">
        <f t="shared" si="153"/>
        <v>18.45</v>
      </c>
      <c r="QV6" s="22">
        <f t="shared" si="154"/>
        <v>5.8</v>
      </c>
      <c r="QW6" s="22">
        <f t="shared" si="155"/>
        <v>0.8</v>
      </c>
      <c r="QX6" s="22">
        <f t="shared" si="156"/>
        <v>0</v>
      </c>
      <c r="QY6" s="27" t="s">
        <v>46</v>
      </c>
      <c r="QZ6" s="40">
        <f t="shared" si="157"/>
        <v>9.7999999999999989</v>
      </c>
      <c r="RA6" s="40">
        <f t="shared" si="158"/>
        <v>46.399999999999991</v>
      </c>
      <c r="RB6" s="40">
        <f t="shared" si="159"/>
        <v>24.15</v>
      </c>
      <c r="RC6" s="40">
        <f t="shared" si="160"/>
        <v>15.6</v>
      </c>
      <c r="RD6" s="40">
        <f t="shared" si="161"/>
        <v>70.549999999999983</v>
      </c>
      <c r="RE6" s="40">
        <f t="shared" si="162"/>
        <v>11.6</v>
      </c>
      <c r="RF6" s="40">
        <f t="shared" si="163"/>
        <v>46.35</v>
      </c>
      <c r="RG6" s="40">
        <f t="shared" si="164"/>
        <v>92.75</v>
      </c>
    </row>
    <row r="7" spans="1:475" x14ac:dyDescent="0.2">
      <c r="A7" s="4">
        <f t="shared" si="0"/>
        <v>4</v>
      </c>
      <c r="B7" s="5" t="s">
        <v>73</v>
      </c>
      <c r="C7" s="4" t="s">
        <v>5</v>
      </c>
      <c r="D7" s="4">
        <v>2003</v>
      </c>
      <c r="E7" s="9">
        <f t="shared" si="1"/>
        <v>165.60000700000478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47.8</v>
      </c>
      <c r="K7" s="8" t="str">
        <f t="shared" si="6"/>
        <v>2022 Nationals</v>
      </c>
      <c r="L7" s="8">
        <f>IF(COUNT(AQ7,BT7,CW7)&gt;1,LARGE((AQ7,BT7,CW7),2),0)</f>
        <v>0</v>
      </c>
      <c r="M7" s="8" t="str">
        <f t="shared" si="7"/>
        <v/>
      </c>
      <c r="N7" s="8">
        <f>IF(COUNT(AR7,BU7,CX7)&gt;0,LARGE((AR7,BU7,CX7),1),0)</f>
        <v>22.2</v>
      </c>
      <c r="O7" s="8" t="str">
        <f t="shared" si="8"/>
        <v>2022 Nationals</v>
      </c>
      <c r="P7" s="8">
        <f t="shared" si="9"/>
        <v>48.199999999999996</v>
      </c>
      <c r="Q7" s="8" t="str">
        <f t="shared" si="10"/>
        <v>2022 Nationals</v>
      </c>
      <c r="R7" s="8">
        <f t="shared" si="11"/>
        <v>47.400000000000006</v>
      </c>
      <c r="S7" s="11" t="str">
        <f t="shared" si="12"/>
        <v>(Q1)</v>
      </c>
      <c r="T7" s="8" t="str">
        <f t="shared" si="13"/>
        <v>2022 WAGC (Nov 23)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 t="shared" si="14"/>
        <v>11.6</v>
      </c>
      <c r="AQ7" s="40">
        <f t="shared" si="15"/>
        <v>47.8</v>
      </c>
      <c r="AR7" s="40">
        <f t="shared" si="16"/>
        <v>22.2</v>
      </c>
      <c r="AS7" s="40">
        <f t="shared" si="17"/>
        <v>16.399999999999999</v>
      </c>
      <c r="AT7" s="40">
        <f t="shared" si="18"/>
        <v>70</v>
      </c>
      <c r="AU7" s="40">
        <f t="shared" si="19"/>
        <v>11.6</v>
      </c>
      <c r="AV7" s="40">
        <f t="shared" si="20"/>
        <v>48.199999999999996</v>
      </c>
      <c r="AW7" s="40">
        <f t="shared" si="21"/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 t="shared" si="22"/>
        <v/>
      </c>
      <c r="BT7" s="11" t="str">
        <f t="shared" si="23"/>
        <v/>
      </c>
      <c r="BU7" s="11" t="str">
        <f t="shared" si="24"/>
        <v/>
      </c>
      <c r="BV7" s="11" t="str">
        <f t="shared" si="25"/>
        <v/>
      </c>
      <c r="BW7" s="11" t="str">
        <f t="shared" si="26"/>
        <v/>
      </c>
      <c r="BX7" s="11" t="str">
        <f t="shared" si="27"/>
        <v/>
      </c>
      <c r="BY7" s="11" t="str">
        <f t="shared" si="28"/>
        <v/>
      </c>
      <c r="BZ7" s="11" t="str">
        <f t="shared" si="29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30"/>
        <v/>
      </c>
      <c r="CW7" s="40" t="str">
        <f t="shared" si="31"/>
        <v/>
      </c>
      <c r="CX7" s="40" t="str">
        <f t="shared" si="32"/>
        <v/>
      </c>
      <c r="CY7" s="40" t="str">
        <f t="shared" si="33"/>
        <v/>
      </c>
      <c r="CZ7" s="40" t="str">
        <f t="shared" si="34"/>
        <v/>
      </c>
      <c r="DA7" s="40" t="str">
        <f t="shared" si="35"/>
        <v/>
      </c>
      <c r="DB7" s="40" t="str">
        <f t="shared" si="36"/>
        <v/>
      </c>
      <c r="DC7" s="40" t="str">
        <f t="shared" si="37"/>
        <v/>
      </c>
      <c r="DD7" s="50">
        <f t="shared" si="38"/>
        <v>47.400000000000006</v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>
        <v>18.100000000000001</v>
      </c>
      <c r="FL7" s="17">
        <v>6</v>
      </c>
      <c r="FM7" s="17">
        <v>0</v>
      </c>
      <c r="FN7" s="17">
        <v>0</v>
      </c>
      <c r="FO7" s="17">
        <v>18.3</v>
      </c>
      <c r="FP7" s="17">
        <v>5.6</v>
      </c>
      <c r="FQ7" s="17">
        <v>0.6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7"/>
        <v>11.6</v>
      </c>
      <c r="GF7" s="40">
        <f t="shared" si="58"/>
        <v>47.400000000000006</v>
      </c>
      <c r="GG7" s="40" t="str">
        <f t="shared" si="59"/>
        <v/>
      </c>
      <c r="GH7" s="40">
        <f t="shared" si="60"/>
        <v>11.6</v>
      </c>
      <c r="GI7" s="40">
        <f t="shared" si="61"/>
        <v>47.400000000000006</v>
      </c>
      <c r="GJ7" s="40" t="str">
        <f t="shared" si="62"/>
        <v/>
      </c>
      <c r="GK7" s="40" t="str">
        <f t="shared" si="63"/>
        <v/>
      </c>
      <c r="GL7" s="40">
        <f t="shared" si="64"/>
        <v>47.400000000000006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0</v>
      </c>
      <c r="QF7" s="22">
        <f t="shared" si="138"/>
        <v>0</v>
      </c>
      <c r="QG7" s="22">
        <f t="shared" si="139"/>
        <v>0</v>
      </c>
      <c r="QH7" s="22">
        <f t="shared" si="140"/>
        <v>0</v>
      </c>
      <c r="QI7" s="22">
        <f t="shared" si="141"/>
        <v>0</v>
      </c>
      <c r="QJ7" s="22">
        <f t="shared" si="142"/>
        <v>0</v>
      </c>
      <c r="QK7" s="22">
        <f t="shared" si="143"/>
        <v>0</v>
      </c>
      <c r="QL7" s="22">
        <f t="shared" si="144"/>
        <v>0</v>
      </c>
      <c r="QM7" s="22">
        <f t="shared" si="145"/>
        <v>0</v>
      </c>
      <c r="QN7" s="22">
        <f t="shared" si="146"/>
        <v>0</v>
      </c>
      <c r="QO7" s="22">
        <f t="shared" si="147"/>
        <v>0</v>
      </c>
      <c r="QP7" s="22">
        <f t="shared" si="148"/>
        <v>0</v>
      </c>
      <c r="QQ7" s="22">
        <f t="shared" si="149"/>
        <v>0</v>
      </c>
      <c r="QR7" s="22">
        <f t="shared" si="150"/>
        <v>0</v>
      </c>
      <c r="QS7" s="22">
        <f t="shared" si="151"/>
        <v>0</v>
      </c>
      <c r="QT7" s="22">
        <f t="shared" si="152"/>
        <v>0</v>
      </c>
      <c r="QU7" s="22">
        <f t="shared" si="153"/>
        <v>0</v>
      </c>
      <c r="QV7" s="22">
        <f t="shared" si="154"/>
        <v>0</v>
      </c>
      <c r="QW7" s="22">
        <f t="shared" si="155"/>
        <v>0</v>
      </c>
      <c r="QX7" s="22">
        <f t="shared" si="156"/>
        <v>0</v>
      </c>
      <c r="QY7" s="27" t="s">
        <v>46</v>
      </c>
      <c r="QZ7" s="40" t="str">
        <f t="shared" si="157"/>
        <v/>
      </c>
      <c r="RA7" s="40" t="str">
        <f t="shared" si="158"/>
        <v/>
      </c>
      <c r="RB7" s="40" t="str">
        <f t="shared" si="159"/>
        <v/>
      </c>
      <c r="RC7" s="40" t="str">
        <f t="shared" si="160"/>
        <v/>
      </c>
      <c r="RD7" s="40" t="str">
        <f t="shared" si="161"/>
        <v/>
      </c>
      <c r="RE7" s="40" t="str">
        <f t="shared" si="162"/>
        <v/>
      </c>
      <c r="RF7" s="40" t="str">
        <f t="shared" si="163"/>
        <v/>
      </c>
      <c r="RG7" s="40" t="str">
        <f t="shared" si="164"/>
        <v/>
      </c>
    </row>
    <row r="8" spans="1:475" x14ac:dyDescent="0.2">
      <c r="A8" s="4">
        <f t="shared" si="0"/>
        <v>5</v>
      </c>
      <c r="B8" s="5" t="s">
        <v>159</v>
      </c>
      <c r="C8" s="4" t="s">
        <v>6</v>
      </c>
      <c r="D8" s="4">
        <v>2002</v>
      </c>
      <c r="E8" s="9">
        <f t="shared" si="1"/>
        <v>155.80001108000468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47</v>
      </c>
      <c r="K8" s="8" t="str">
        <f t="shared" si="6"/>
        <v>2023 Elite Canada</v>
      </c>
      <c r="L8" s="8">
        <f>IF(COUNT(AQ8,BT8,CW8)&gt;1,LARGE((AQ8,BT8,CW8),2),0)</f>
        <v>41.5</v>
      </c>
      <c r="M8" s="8" t="str">
        <f t="shared" si="7"/>
        <v>2022 Nationals</v>
      </c>
      <c r="N8" s="8">
        <f>IF(COUNT(AR8,BU8,CX8)&gt;0,LARGE((AR8,BU8,CX8),1),0)</f>
        <v>22.3</v>
      </c>
      <c r="O8" s="8" t="str">
        <f t="shared" si="8"/>
        <v>2022 Nationals</v>
      </c>
      <c r="P8" s="8">
        <f t="shared" si="9"/>
        <v>44.999999999999993</v>
      </c>
      <c r="Q8" s="8" t="str">
        <f t="shared" si="10"/>
        <v>2022 Nationals</v>
      </c>
      <c r="R8" s="8" t="str">
        <f t="shared" si="11"/>
        <v/>
      </c>
      <c r="S8" s="11" t="str">
        <f t="shared" si="12"/>
        <v/>
      </c>
      <c r="T8" s="8" t="str">
        <f t="shared" si="13"/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 t="shared" si="14"/>
        <v>5.1000000000000005</v>
      </c>
      <c r="AQ8" s="40">
        <f t="shared" si="15"/>
        <v>41.5</v>
      </c>
      <c r="AR8" s="40">
        <f t="shared" si="16"/>
        <v>22.3</v>
      </c>
      <c r="AS8" s="40">
        <f t="shared" si="17"/>
        <v>8.6000000000000014</v>
      </c>
      <c r="AT8" s="40">
        <f t="shared" si="18"/>
        <v>63.8</v>
      </c>
      <c r="AU8" s="40">
        <f t="shared" si="19"/>
        <v>7.9</v>
      </c>
      <c r="AV8" s="40">
        <f t="shared" si="20"/>
        <v>44.999999999999993</v>
      </c>
      <c r="AW8" s="40">
        <f t="shared" si="21"/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2"/>
        <v/>
      </c>
      <c r="BT8" s="11" t="str">
        <f t="shared" si="23"/>
        <v/>
      </c>
      <c r="BU8" s="11" t="str">
        <f t="shared" si="24"/>
        <v/>
      </c>
      <c r="BV8" s="11" t="str">
        <f t="shared" si="25"/>
        <v/>
      </c>
      <c r="BW8" s="11" t="str">
        <f t="shared" si="26"/>
        <v/>
      </c>
      <c r="BX8" s="11" t="str">
        <f t="shared" si="27"/>
        <v/>
      </c>
      <c r="BY8" s="11" t="str">
        <f t="shared" si="28"/>
        <v/>
      </c>
      <c r="BZ8" s="11" t="str">
        <f t="shared" si="29"/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 t="shared" si="30"/>
        <v>10.8</v>
      </c>
      <c r="CW8" s="40">
        <f t="shared" si="31"/>
        <v>47</v>
      </c>
      <c r="CX8" s="40">
        <f t="shared" si="32"/>
        <v>21.1</v>
      </c>
      <c r="CY8" s="40">
        <f t="shared" si="33"/>
        <v>13.9</v>
      </c>
      <c r="CZ8" s="40">
        <f t="shared" si="34"/>
        <v>68.099999999999994</v>
      </c>
      <c r="DA8" s="40">
        <f t="shared" si="35"/>
        <v>5.2</v>
      </c>
      <c r="DB8" s="40">
        <f t="shared" si="36"/>
        <v>23.2</v>
      </c>
      <c r="DC8" s="40">
        <f t="shared" si="37"/>
        <v>70.2</v>
      </c>
      <c r="DD8" s="50" t="str">
        <f t="shared" si="38"/>
        <v/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9.1</v>
      </c>
      <c r="QF8" s="22">
        <f t="shared" si="138"/>
        <v>2.8</v>
      </c>
      <c r="QG8" s="22">
        <f t="shared" si="139"/>
        <v>0.3</v>
      </c>
      <c r="QH8" s="22">
        <f t="shared" si="140"/>
        <v>0</v>
      </c>
      <c r="QI8" s="22">
        <f t="shared" si="141"/>
        <v>9.3000000000000007</v>
      </c>
      <c r="QJ8" s="22">
        <f t="shared" si="142"/>
        <v>2.6</v>
      </c>
      <c r="QK8" s="22">
        <f t="shared" si="143"/>
        <v>0</v>
      </c>
      <c r="QL8" s="22">
        <f t="shared" si="144"/>
        <v>0</v>
      </c>
      <c r="QM8" s="22">
        <f t="shared" si="145"/>
        <v>9.5</v>
      </c>
      <c r="QN8" s="22">
        <f t="shared" si="146"/>
        <v>1.55</v>
      </c>
      <c r="QO8" s="22">
        <f t="shared" si="147"/>
        <v>0.5</v>
      </c>
      <c r="QP8" s="22">
        <f t="shared" si="148"/>
        <v>0</v>
      </c>
      <c r="QQ8" s="22">
        <f t="shared" si="149"/>
        <v>0</v>
      </c>
      <c r="QR8" s="22">
        <f t="shared" si="150"/>
        <v>0</v>
      </c>
      <c r="QS8" s="22">
        <f t="shared" si="151"/>
        <v>0</v>
      </c>
      <c r="QT8" s="22">
        <f t="shared" si="152"/>
        <v>0</v>
      </c>
      <c r="QU8" s="22">
        <f t="shared" si="153"/>
        <v>9.4</v>
      </c>
      <c r="QV8" s="22">
        <f t="shared" si="154"/>
        <v>2.6</v>
      </c>
      <c r="QW8" s="22">
        <f t="shared" si="155"/>
        <v>0.4</v>
      </c>
      <c r="QX8" s="22">
        <f t="shared" si="156"/>
        <v>0</v>
      </c>
      <c r="QY8" s="27" t="s">
        <v>46</v>
      </c>
      <c r="QZ8" s="40">
        <f t="shared" si="157"/>
        <v>5.4</v>
      </c>
      <c r="RA8" s="40">
        <f t="shared" si="158"/>
        <v>23.5</v>
      </c>
      <c r="RB8" s="40">
        <f t="shared" si="159"/>
        <v>10.55</v>
      </c>
      <c r="RC8" s="40">
        <f t="shared" si="160"/>
        <v>6.95</v>
      </c>
      <c r="RD8" s="40">
        <f t="shared" si="161"/>
        <v>34.049999999999997</v>
      </c>
      <c r="RE8" s="40">
        <f t="shared" si="162"/>
        <v>2.6</v>
      </c>
      <c r="RF8" s="40">
        <f t="shared" si="163"/>
        <v>11.6</v>
      </c>
      <c r="RG8" s="40">
        <f t="shared" si="164"/>
        <v>35.1</v>
      </c>
    </row>
    <row r="9" spans="1:475" x14ac:dyDescent="0.2">
      <c r="A9" s="4">
        <f t="shared" si="0"/>
        <v>6</v>
      </c>
      <c r="B9" s="5" t="s">
        <v>203</v>
      </c>
      <c r="C9" s="4" t="s">
        <v>4</v>
      </c>
      <c r="D9" s="4">
        <v>2005</v>
      </c>
      <c r="E9" s="9">
        <f t="shared" si="1"/>
        <v>115.0000068900047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46.999999999999993</v>
      </c>
      <c r="K9" s="8" t="str">
        <f t="shared" si="6"/>
        <v>2023 Elite Canada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21.9</v>
      </c>
      <c r="O9" s="8" t="str">
        <f t="shared" si="8"/>
        <v>2023 Elite Canada</v>
      </c>
      <c r="P9" s="8">
        <f t="shared" si="9"/>
        <v>46.1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4"/>
        <v/>
      </c>
      <c r="AQ9" s="40" t="str">
        <f t="shared" si="15"/>
        <v/>
      </c>
      <c r="AR9" s="40" t="str">
        <f t="shared" si="16"/>
        <v/>
      </c>
      <c r="AS9" s="40" t="str">
        <f t="shared" si="17"/>
        <v/>
      </c>
      <c r="AT9" s="40" t="str">
        <f t="shared" si="18"/>
        <v/>
      </c>
      <c r="AU9" s="40" t="str">
        <f t="shared" si="19"/>
        <v/>
      </c>
      <c r="AV9" s="40" t="str">
        <f t="shared" si="20"/>
        <v/>
      </c>
      <c r="AW9" s="40" t="str">
        <f t="shared" si="21"/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2"/>
        <v/>
      </c>
      <c r="BT9" s="11" t="str">
        <f t="shared" si="23"/>
        <v/>
      </c>
      <c r="BU9" s="11" t="str">
        <f t="shared" si="24"/>
        <v/>
      </c>
      <c r="BV9" s="11" t="str">
        <f t="shared" si="25"/>
        <v/>
      </c>
      <c r="BW9" s="11" t="str">
        <f t="shared" si="26"/>
        <v/>
      </c>
      <c r="BX9" s="11" t="str">
        <f t="shared" si="27"/>
        <v/>
      </c>
      <c r="BY9" s="11" t="str">
        <f t="shared" si="28"/>
        <v/>
      </c>
      <c r="BZ9" s="11" t="str">
        <f t="shared" si="29"/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 t="shared" si="30"/>
        <v>10.4</v>
      </c>
      <c r="CW9" s="40">
        <f t="shared" si="31"/>
        <v>46.999999999999993</v>
      </c>
      <c r="CX9" s="40">
        <f t="shared" si="32"/>
        <v>21.9</v>
      </c>
      <c r="CY9" s="40">
        <f t="shared" si="33"/>
        <v>13.9</v>
      </c>
      <c r="CZ9" s="40">
        <f t="shared" si="34"/>
        <v>68.899999999999991</v>
      </c>
      <c r="DA9" s="40">
        <f t="shared" si="35"/>
        <v>10.4</v>
      </c>
      <c r="DB9" s="40">
        <f t="shared" si="36"/>
        <v>46.1</v>
      </c>
      <c r="DC9" s="40">
        <f t="shared" si="37"/>
        <v>93.1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9.35</v>
      </c>
      <c r="QF9" s="22">
        <f t="shared" si="138"/>
        <v>2.6</v>
      </c>
      <c r="QG9" s="22">
        <f t="shared" si="139"/>
        <v>0.1</v>
      </c>
      <c r="QH9" s="22">
        <f t="shared" si="140"/>
        <v>0</v>
      </c>
      <c r="QI9" s="22">
        <f t="shared" si="141"/>
        <v>9.1999999999999993</v>
      </c>
      <c r="QJ9" s="22">
        <f t="shared" si="142"/>
        <v>2.6</v>
      </c>
      <c r="QK9" s="22">
        <f t="shared" si="143"/>
        <v>0.3</v>
      </c>
      <c r="QL9" s="22">
        <f t="shared" si="144"/>
        <v>0.15</v>
      </c>
      <c r="QM9" s="22">
        <f t="shared" si="145"/>
        <v>9.1999999999999993</v>
      </c>
      <c r="QN9" s="22">
        <f t="shared" si="146"/>
        <v>1.75</v>
      </c>
      <c r="QO9" s="22">
        <f t="shared" si="147"/>
        <v>0</v>
      </c>
      <c r="QP9" s="22">
        <f t="shared" si="148"/>
        <v>0</v>
      </c>
      <c r="QQ9" s="22">
        <f t="shared" si="149"/>
        <v>9.0500000000000007</v>
      </c>
      <c r="QR9" s="22">
        <f t="shared" si="150"/>
        <v>2.6</v>
      </c>
      <c r="QS9" s="22">
        <f t="shared" si="151"/>
        <v>0.4</v>
      </c>
      <c r="QT9" s="22">
        <f t="shared" si="152"/>
        <v>0</v>
      </c>
      <c r="QU9" s="22">
        <f t="shared" si="153"/>
        <v>9.35</v>
      </c>
      <c r="QV9" s="22">
        <f t="shared" si="154"/>
        <v>2.6</v>
      </c>
      <c r="QW9" s="22">
        <f t="shared" si="155"/>
        <v>0.3</v>
      </c>
      <c r="QX9" s="22">
        <f t="shared" si="156"/>
        <v>0.15</v>
      </c>
      <c r="QY9" s="27" t="s">
        <v>46</v>
      </c>
      <c r="QZ9" s="40">
        <f t="shared" si="157"/>
        <v>5.2</v>
      </c>
      <c r="RA9" s="40">
        <f t="shared" si="158"/>
        <v>23.499999999999996</v>
      </c>
      <c r="RB9" s="40">
        <f t="shared" si="159"/>
        <v>10.95</v>
      </c>
      <c r="RC9" s="40">
        <f t="shared" si="160"/>
        <v>6.95</v>
      </c>
      <c r="RD9" s="40">
        <f t="shared" si="161"/>
        <v>34.449999999999996</v>
      </c>
      <c r="RE9" s="40">
        <f t="shared" si="162"/>
        <v>5.2</v>
      </c>
      <c r="RF9" s="40">
        <f t="shared" si="163"/>
        <v>23.05</v>
      </c>
      <c r="RG9" s="40">
        <f t="shared" si="164"/>
        <v>46.55</v>
      </c>
    </row>
    <row r="10" spans="1:475" x14ac:dyDescent="0.2">
      <c r="A10" s="4" t="str">
        <f t="shared" si="0"/>
        <v/>
      </c>
      <c r="B10" s="5" t="s">
        <v>153</v>
      </c>
      <c r="C10" s="4" t="s">
        <v>4</v>
      </c>
      <c r="D10" s="4">
        <v>2005</v>
      </c>
      <c r="E10" s="9">
        <f t="shared" si="1"/>
        <v>155.30001105000449</v>
      </c>
      <c r="F10" s="3" t="str">
        <f t="shared" si="2"/>
        <v/>
      </c>
      <c r="G10" s="3" t="str">
        <f t="shared" si="3"/>
        <v/>
      </c>
      <c r="H10" s="36" t="str">
        <f t="shared" si="4"/>
        <v/>
      </c>
      <c r="I10" s="3" t="str">
        <f t="shared" si="5"/>
        <v/>
      </c>
      <c r="J10" s="8">
        <f>IF(COUNT(AQ10,BT10,CW10)&gt;0,LARGE((AQ10,BT10,CW10),1),0)</f>
        <v>44.7</v>
      </c>
      <c r="K10" s="8" t="str">
        <f t="shared" si="6"/>
        <v>2023 Elite Canada</v>
      </c>
      <c r="L10" s="8">
        <f>IF(COUNT(AQ10,BT10,CW10)&gt;1,LARGE((AQ10,BT10,CW10),2),0)</f>
        <v>43.1</v>
      </c>
      <c r="M10" s="8" t="str">
        <f t="shared" si="7"/>
        <v>2022 Nationals</v>
      </c>
      <c r="N10" s="8">
        <f>IF(COUNT(AR10,BU10,CX10)&gt;0,LARGE((AR10,BU10,CX10),1),0)</f>
        <v>22.700000000000003</v>
      </c>
      <c r="O10" s="8" t="str">
        <f t="shared" si="8"/>
        <v>2022 Nationals</v>
      </c>
      <c r="P10" s="8">
        <f t="shared" si="9"/>
        <v>44.79999999999999</v>
      </c>
      <c r="Q10" s="8" t="str">
        <f t="shared" si="10"/>
        <v>2023 Elite Canada</v>
      </c>
      <c r="R10" s="8" t="str">
        <f t="shared" si="11"/>
        <v/>
      </c>
      <c r="S10" s="11" t="str">
        <f t="shared" si="12"/>
        <v/>
      </c>
      <c r="T10" s="8" t="str">
        <f t="shared" si="13"/>
        <v/>
      </c>
      <c r="U10" s="19">
        <v>18.8</v>
      </c>
      <c r="V10" s="19">
        <v>3.5</v>
      </c>
      <c r="W10" s="19">
        <v>0</v>
      </c>
      <c r="X10" s="19">
        <v>0</v>
      </c>
      <c r="Y10" s="19">
        <v>17.3</v>
      </c>
      <c r="Z10" s="19">
        <v>4.0999999999999996</v>
      </c>
      <c r="AA10" s="19">
        <v>0.6</v>
      </c>
      <c r="AB10" s="19">
        <v>0</v>
      </c>
      <c r="AC10" s="19">
        <v>18.3</v>
      </c>
      <c r="AD10" s="19">
        <v>4.4000000000000004</v>
      </c>
      <c r="AE10" s="19">
        <v>0</v>
      </c>
      <c r="AF10" s="19">
        <v>0</v>
      </c>
      <c r="AG10" s="19">
        <v>18.899999999999999</v>
      </c>
      <c r="AH10" s="19">
        <v>3.5</v>
      </c>
      <c r="AI10" s="19">
        <v>0.2</v>
      </c>
      <c r="AJ10" s="19">
        <v>0</v>
      </c>
      <c r="AK10" s="19">
        <v>17.2</v>
      </c>
      <c r="AL10" s="19">
        <v>2.4</v>
      </c>
      <c r="AM10" s="19">
        <v>0</v>
      </c>
      <c r="AN10" s="19">
        <v>0</v>
      </c>
      <c r="AO10" s="27"/>
      <c r="AP10" s="40">
        <f t="shared" si="14"/>
        <v>7.6</v>
      </c>
      <c r="AQ10" s="40">
        <f t="shared" si="15"/>
        <v>43.1</v>
      </c>
      <c r="AR10" s="40">
        <f t="shared" si="16"/>
        <v>22.700000000000003</v>
      </c>
      <c r="AS10" s="40">
        <f t="shared" si="17"/>
        <v>12</v>
      </c>
      <c r="AT10" s="40">
        <f t="shared" si="18"/>
        <v>65.800000000000011</v>
      </c>
      <c r="AU10" s="40">
        <f t="shared" si="19"/>
        <v>5.9</v>
      </c>
      <c r="AV10" s="40">
        <f t="shared" si="20"/>
        <v>41.79999999999999</v>
      </c>
      <c r="AW10" s="40">
        <f t="shared" si="21"/>
        <v>84.899999999999991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>
        <v>19</v>
      </c>
      <c r="CB10" s="19">
        <v>3.5</v>
      </c>
      <c r="CC10" s="19">
        <v>0</v>
      </c>
      <c r="CD10" s="19">
        <v>0</v>
      </c>
      <c r="CE10" s="19">
        <v>18.2</v>
      </c>
      <c r="CF10" s="19">
        <v>4.8</v>
      </c>
      <c r="CG10" s="19">
        <v>0.8</v>
      </c>
      <c r="CH10" s="19">
        <v>0</v>
      </c>
      <c r="CI10" s="19">
        <v>17.899999999999999</v>
      </c>
      <c r="CJ10" s="19">
        <v>4.4000000000000004</v>
      </c>
      <c r="CK10" s="19">
        <v>0.2</v>
      </c>
      <c r="CL10" s="19">
        <v>0</v>
      </c>
      <c r="CM10" s="19">
        <v>18.7</v>
      </c>
      <c r="CN10" s="19">
        <v>3.5</v>
      </c>
      <c r="CO10" s="19">
        <v>0</v>
      </c>
      <c r="CP10" s="19">
        <v>0</v>
      </c>
      <c r="CQ10" s="19">
        <v>18.399999999999999</v>
      </c>
      <c r="CR10" s="19">
        <v>4.8</v>
      </c>
      <c r="CS10" s="19">
        <v>0.6</v>
      </c>
      <c r="CT10" s="19">
        <v>0</v>
      </c>
      <c r="CU10" s="27"/>
      <c r="CV10" s="40">
        <f t="shared" si="30"/>
        <v>8.3000000000000007</v>
      </c>
      <c r="CW10" s="40">
        <f t="shared" si="31"/>
        <v>44.7</v>
      </c>
      <c r="CX10" s="40">
        <f t="shared" si="32"/>
        <v>22.099999999999998</v>
      </c>
      <c r="CY10" s="40">
        <f t="shared" si="33"/>
        <v>12.700000000000001</v>
      </c>
      <c r="CZ10" s="40">
        <f t="shared" si="34"/>
        <v>66.8</v>
      </c>
      <c r="DA10" s="40">
        <f t="shared" si="35"/>
        <v>8.3000000000000007</v>
      </c>
      <c r="DB10" s="40">
        <f t="shared" si="36"/>
        <v>44.79999999999999</v>
      </c>
      <c r="DC10" s="40">
        <f t="shared" si="37"/>
        <v>89.5</v>
      </c>
      <c r="DD10" s="50" t="str">
        <f t="shared" si="38"/>
        <v/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9.5</v>
      </c>
      <c r="QF10" s="22">
        <f t="shared" si="138"/>
        <v>1.75</v>
      </c>
      <c r="QG10" s="22">
        <f t="shared" si="139"/>
        <v>0</v>
      </c>
      <c r="QH10" s="22">
        <f t="shared" si="140"/>
        <v>0</v>
      </c>
      <c r="QI10" s="22">
        <f t="shared" si="141"/>
        <v>9.1</v>
      </c>
      <c r="QJ10" s="22">
        <f t="shared" si="142"/>
        <v>2.4</v>
      </c>
      <c r="QK10" s="22">
        <f t="shared" si="143"/>
        <v>0.4</v>
      </c>
      <c r="QL10" s="22">
        <f t="shared" si="144"/>
        <v>0</v>
      </c>
      <c r="QM10" s="22">
        <f t="shared" si="145"/>
        <v>8.9499999999999993</v>
      </c>
      <c r="QN10" s="22">
        <f t="shared" si="146"/>
        <v>2.2000000000000002</v>
      </c>
      <c r="QO10" s="22">
        <f t="shared" si="147"/>
        <v>0.1</v>
      </c>
      <c r="QP10" s="22">
        <f t="shared" si="148"/>
        <v>0</v>
      </c>
      <c r="QQ10" s="22">
        <f t="shared" si="149"/>
        <v>9.35</v>
      </c>
      <c r="QR10" s="22">
        <f t="shared" si="150"/>
        <v>1.75</v>
      </c>
      <c r="QS10" s="22">
        <f t="shared" si="151"/>
        <v>0</v>
      </c>
      <c r="QT10" s="22">
        <f t="shared" si="152"/>
        <v>0</v>
      </c>
      <c r="QU10" s="22">
        <f t="shared" si="153"/>
        <v>9.1999999999999993</v>
      </c>
      <c r="QV10" s="22">
        <f t="shared" si="154"/>
        <v>2.4</v>
      </c>
      <c r="QW10" s="22">
        <f t="shared" si="155"/>
        <v>0.3</v>
      </c>
      <c r="QX10" s="22">
        <f t="shared" si="156"/>
        <v>0</v>
      </c>
      <c r="QY10" s="27" t="s">
        <v>46</v>
      </c>
      <c r="QZ10" s="40">
        <f t="shared" si="157"/>
        <v>4.1500000000000004</v>
      </c>
      <c r="RA10" s="40">
        <f t="shared" si="158"/>
        <v>22.35</v>
      </c>
      <c r="RB10" s="40">
        <f t="shared" si="159"/>
        <v>11.049999999999999</v>
      </c>
      <c r="RC10" s="40">
        <f t="shared" si="160"/>
        <v>6.3500000000000005</v>
      </c>
      <c r="RD10" s="40">
        <f t="shared" si="161"/>
        <v>33.4</v>
      </c>
      <c r="RE10" s="40">
        <f t="shared" si="162"/>
        <v>4.1500000000000004</v>
      </c>
      <c r="RF10" s="40">
        <f t="shared" si="163"/>
        <v>22.399999999999995</v>
      </c>
      <c r="RG10" s="40">
        <f t="shared" si="164"/>
        <v>44.75</v>
      </c>
    </row>
    <row r="11" spans="1:475" x14ac:dyDescent="0.2">
      <c r="A11" s="4" t="str">
        <f t="shared" si="0"/>
        <v/>
      </c>
      <c r="B11" s="5" t="s">
        <v>212</v>
      </c>
      <c r="C11" s="4" t="s">
        <v>31</v>
      </c>
      <c r="D11" s="4">
        <v>2006</v>
      </c>
      <c r="E11" s="9">
        <f t="shared" si="1"/>
        <v>153.70001090000437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43.7</v>
      </c>
      <c r="K11" s="8" t="str">
        <f t="shared" si="6"/>
        <v>2022 Nationals</v>
      </c>
      <c r="L11" s="8">
        <f>IF(COUNT(AQ11,BT11,CW11)&gt;1,LARGE((AQ11,BT11,CW11),2),0)</f>
        <v>43.3</v>
      </c>
      <c r="M11" s="8" t="str">
        <f t="shared" si="7"/>
        <v>2023 Elite Canada</v>
      </c>
      <c r="N11" s="8">
        <f>IF(COUNT(AR11,BU11,CX11)&gt;0,LARGE((AR11,BU11,CX11),1),0)</f>
        <v>22</v>
      </c>
      <c r="O11" s="8" t="str">
        <f t="shared" si="8"/>
        <v>2023 Elite Canada</v>
      </c>
      <c r="P11" s="8">
        <f t="shared" si="9"/>
        <v>44.699999999999996</v>
      </c>
      <c r="Q11" s="8" t="str">
        <f t="shared" si="10"/>
        <v>2022 Nationals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>
        <v>18.8</v>
      </c>
      <c r="V11" s="19">
        <v>3.1</v>
      </c>
      <c r="W11" s="19">
        <v>0</v>
      </c>
      <c r="X11" s="19">
        <v>0</v>
      </c>
      <c r="Y11" s="19">
        <v>18.600000000000001</v>
      </c>
      <c r="Z11" s="19">
        <v>3.2</v>
      </c>
      <c r="AA11" s="19">
        <v>0</v>
      </c>
      <c r="AB11" s="19">
        <v>0</v>
      </c>
      <c r="AC11" s="19"/>
      <c r="AD11" s="19"/>
      <c r="AE11" s="19"/>
      <c r="AF11" s="19"/>
      <c r="AG11" s="19">
        <v>19</v>
      </c>
      <c r="AH11" s="19">
        <v>3.3</v>
      </c>
      <c r="AI11" s="19">
        <v>0</v>
      </c>
      <c r="AJ11" s="19">
        <v>0</v>
      </c>
      <c r="AK11" s="19">
        <v>19</v>
      </c>
      <c r="AL11" s="19">
        <v>3.4</v>
      </c>
      <c r="AM11" s="19">
        <v>0</v>
      </c>
      <c r="AN11" s="19">
        <v>0</v>
      </c>
      <c r="AO11" s="27"/>
      <c r="AP11" s="40">
        <f t="shared" si="14"/>
        <v>6.3000000000000007</v>
      </c>
      <c r="AQ11" s="40">
        <f t="shared" si="15"/>
        <v>43.7</v>
      </c>
      <c r="AR11" s="40" t="str">
        <f t="shared" si="16"/>
        <v/>
      </c>
      <c r="AS11" s="40">
        <f t="shared" si="17"/>
        <v>6.3000000000000007</v>
      </c>
      <c r="AT11" s="40">
        <f t="shared" si="18"/>
        <v>43.7</v>
      </c>
      <c r="AU11" s="40">
        <f t="shared" si="19"/>
        <v>6.6999999999999993</v>
      </c>
      <c r="AV11" s="40">
        <f t="shared" si="20"/>
        <v>44.699999999999996</v>
      </c>
      <c r="AW11" s="40">
        <f t="shared" si="21"/>
        <v>88.4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18.2</v>
      </c>
      <c r="CB11" s="19">
        <v>3.5</v>
      </c>
      <c r="CC11" s="19">
        <v>0.2</v>
      </c>
      <c r="CD11" s="19">
        <v>0</v>
      </c>
      <c r="CE11" s="19">
        <v>18.2</v>
      </c>
      <c r="CF11" s="19">
        <v>3.6</v>
      </c>
      <c r="CG11" s="19">
        <v>0</v>
      </c>
      <c r="CH11" s="19">
        <v>0</v>
      </c>
      <c r="CI11" s="19">
        <v>18.5</v>
      </c>
      <c r="CJ11" s="19">
        <v>3.7</v>
      </c>
      <c r="CK11" s="19">
        <v>0.2</v>
      </c>
      <c r="CL11" s="19">
        <v>0</v>
      </c>
      <c r="CM11" s="19">
        <v>18.600000000000001</v>
      </c>
      <c r="CN11" s="19">
        <v>3.5</v>
      </c>
      <c r="CO11" s="19">
        <v>0</v>
      </c>
      <c r="CP11" s="19">
        <v>0</v>
      </c>
      <c r="CQ11" s="19">
        <v>18.600000000000001</v>
      </c>
      <c r="CR11" s="19">
        <v>3.6</v>
      </c>
      <c r="CS11" s="19">
        <v>0</v>
      </c>
      <c r="CT11" s="19">
        <v>0</v>
      </c>
      <c r="CU11" s="27"/>
      <c r="CV11" s="40">
        <f t="shared" si="30"/>
        <v>7.1</v>
      </c>
      <c r="CW11" s="40">
        <f t="shared" si="31"/>
        <v>43.3</v>
      </c>
      <c r="CX11" s="40">
        <f t="shared" si="32"/>
        <v>22</v>
      </c>
      <c r="CY11" s="40">
        <f t="shared" si="33"/>
        <v>10.8</v>
      </c>
      <c r="CZ11" s="40">
        <f t="shared" si="34"/>
        <v>65.3</v>
      </c>
      <c r="DA11" s="40">
        <f t="shared" si="35"/>
        <v>7.1</v>
      </c>
      <c r="DB11" s="40">
        <f t="shared" si="36"/>
        <v>44.300000000000004</v>
      </c>
      <c r="DC11" s="40">
        <f t="shared" si="37"/>
        <v>87.6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9.1</v>
      </c>
      <c r="QF11" s="22">
        <f t="shared" si="138"/>
        <v>1.75</v>
      </c>
      <c r="QG11" s="22">
        <f t="shared" si="139"/>
        <v>0.1</v>
      </c>
      <c r="QH11" s="22">
        <f t="shared" si="140"/>
        <v>0</v>
      </c>
      <c r="QI11" s="22">
        <f t="shared" si="141"/>
        <v>9.1</v>
      </c>
      <c r="QJ11" s="22">
        <f t="shared" si="142"/>
        <v>1.8</v>
      </c>
      <c r="QK11" s="22">
        <f t="shared" si="143"/>
        <v>0</v>
      </c>
      <c r="QL11" s="22">
        <f t="shared" si="144"/>
        <v>0</v>
      </c>
      <c r="QM11" s="22">
        <f t="shared" si="145"/>
        <v>9.25</v>
      </c>
      <c r="QN11" s="22">
        <f t="shared" si="146"/>
        <v>1.85</v>
      </c>
      <c r="QO11" s="22">
        <f t="shared" si="147"/>
        <v>0.1</v>
      </c>
      <c r="QP11" s="22">
        <f t="shared" si="148"/>
        <v>0</v>
      </c>
      <c r="QQ11" s="22">
        <f t="shared" si="149"/>
        <v>9.3000000000000007</v>
      </c>
      <c r="QR11" s="22">
        <f t="shared" si="150"/>
        <v>1.75</v>
      </c>
      <c r="QS11" s="22">
        <f t="shared" si="151"/>
        <v>0</v>
      </c>
      <c r="QT11" s="22">
        <f t="shared" si="152"/>
        <v>0</v>
      </c>
      <c r="QU11" s="22">
        <f t="shared" si="153"/>
        <v>9.3000000000000007</v>
      </c>
      <c r="QV11" s="22">
        <f t="shared" si="154"/>
        <v>1.8</v>
      </c>
      <c r="QW11" s="22">
        <f t="shared" si="155"/>
        <v>0</v>
      </c>
      <c r="QX11" s="22">
        <f t="shared" si="156"/>
        <v>0</v>
      </c>
      <c r="QY11" s="27" t="s">
        <v>46</v>
      </c>
      <c r="QZ11" s="40">
        <f t="shared" si="157"/>
        <v>3.55</v>
      </c>
      <c r="RA11" s="40">
        <f t="shared" si="158"/>
        <v>21.65</v>
      </c>
      <c r="RB11" s="40">
        <f t="shared" si="159"/>
        <v>11</v>
      </c>
      <c r="RC11" s="40">
        <f t="shared" si="160"/>
        <v>5.4</v>
      </c>
      <c r="RD11" s="40">
        <f t="shared" si="161"/>
        <v>32.65</v>
      </c>
      <c r="RE11" s="40">
        <f t="shared" si="162"/>
        <v>3.55</v>
      </c>
      <c r="RF11" s="40">
        <f t="shared" si="163"/>
        <v>22.150000000000002</v>
      </c>
      <c r="RG11" s="40">
        <f t="shared" si="164"/>
        <v>43.8</v>
      </c>
    </row>
    <row r="12" spans="1:475" x14ac:dyDescent="0.2">
      <c r="A12" s="4" t="str">
        <f t="shared" si="0"/>
        <v/>
      </c>
      <c r="B12" s="5" t="s">
        <v>183</v>
      </c>
      <c r="C12" s="4" t="s">
        <v>31</v>
      </c>
      <c r="D12" s="4">
        <v>2005</v>
      </c>
      <c r="E12" s="9">
        <f t="shared" si="1"/>
        <v>151.60001067000437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43.7</v>
      </c>
      <c r="K12" s="8" t="str">
        <f t="shared" si="6"/>
        <v>2022 Nationals</v>
      </c>
      <c r="L12" s="8">
        <f>IF(COUNT(AQ12,BT12,CW12)&gt;1,LARGE((AQ12,BT12,CW12),2),0)</f>
        <v>41.5</v>
      </c>
      <c r="M12" s="8" t="str">
        <f t="shared" si="7"/>
        <v>2023 Elite Canada</v>
      </c>
      <c r="N12" s="8">
        <f>IF(COUNT(AR12,BU12,CX12)&gt;0,LARGE((AR12,BU12,CX12),1),0)</f>
        <v>21.5</v>
      </c>
      <c r="O12" s="8" t="str">
        <f t="shared" si="8"/>
        <v>2022 Nationals</v>
      </c>
      <c r="P12" s="8">
        <f t="shared" si="9"/>
        <v>44.9</v>
      </c>
      <c r="Q12" s="8" t="str">
        <f t="shared" si="10"/>
        <v>2023 Elite Canada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18.100000000000001</v>
      </c>
      <c r="V12" s="19">
        <v>3.6</v>
      </c>
      <c r="W12" s="19">
        <v>0</v>
      </c>
      <c r="X12" s="19">
        <v>0</v>
      </c>
      <c r="Y12" s="19">
        <v>18.5</v>
      </c>
      <c r="Z12" s="19">
        <v>3.5</v>
      </c>
      <c r="AA12" s="19">
        <v>0</v>
      </c>
      <c r="AB12" s="19">
        <v>0</v>
      </c>
      <c r="AC12" s="19">
        <v>17.7</v>
      </c>
      <c r="AD12" s="19">
        <v>4.4000000000000004</v>
      </c>
      <c r="AE12" s="19">
        <v>0.6</v>
      </c>
      <c r="AF12" s="19">
        <v>0</v>
      </c>
      <c r="AG12" s="19">
        <v>17.2</v>
      </c>
      <c r="AH12" s="19">
        <v>1.2</v>
      </c>
      <c r="AI12" s="19">
        <v>0</v>
      </c>
      <c r="AJ12" s="19">
        <v>0</v>
      </c>
      <c r="AK12" s="19">
        <v>17.100000000000001</v>
      </c>
      <c r="AL12" s="19">
        <v>2.4</v>
      </c>
      <c r="AM12" s="19">
        <v>0</v>
      </c>
      <c r="AN12" s="19">
        <v>0</v>
      </c>
      <c r="AO12" s="27"/>
      <c r="AP12" s="40">
        <f t="shared" si="14"/>
        <v>7.1</v>
      </c>
      <c r="AQ12" s="40">
        <f t="shared" si="15"/>
        <v>43.7</v>
      </c>
      <c r="AR12" s="40">
        <f t="shared" si="16"/>
        <v>21.5</v>
      </c>
      <c r="AS12" s="40">
        <f t="shared" si="17"/>
        <v>11.5</v>
      </c>
      <c r="AT12" s="40">
        <f t="shared" si="18"/>
        <v>65.2</v>
      </c>
      <c r="AU12" s="40">
        <f t="shared" si="19"/>
        <v>3.5999999999999996</v>
      </c>
      <c r="AV12" s="40">
        <f t="shared" si="20"/>
        <v>37.9</v>
      </c>
      <c r="AW12" s="40">
        <f t="shared" si="21"/>
        <v>81.599999999999994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>
        <v>18.3</v>
      </c>
      <c r="CB12" s="19">
        <v>4</v>
      </c>
      <c r="CC12" s="19">
        <v>0.8</v>
      </c>
      <c r="CD12" s="19">
        <v>0</v>
      </c>
      <c r="CE12" s="19">
        <v>16.2</v>
      </c>
      <c r="CF12" s="19">
        <v>4.4000000000000004</v>
      </c>
      <c r="CG12" s="19">
        <v>0.6</v>
      </c>
      <c r="CH12" s="19">
        <v>0</v>
      </c>
      <c r="CI12" s="19">
        <v>18</v>
      </c>
      <c r="CJ12" s="19">
        <v>3.5</v>
      </c>
      <c r="CK12" s="19">
        <v>0.8</v>
      </c>
      <c r="CL12" s="19">
        <v>0</v>
      </c>
      <c r="CM12" s="19">
        <v>18.2</v>
      </c>
      <c r="CN12" s="19">
        <v>4</v>
      </c>
      <c r="CO12" s="19">
        <v>0.2</v>
      </c>
      <c r="CP12" s="19">
        <v>0</v>
      </c>
      <c r="CQ12" s="19">
        <v>18.5</v>
      </c>
      <c r="CR12" s="19">
        <v>4.4000000000000004</v>
      </c>
      <c r="CS12" s="19">
        <v>0</v>
      </c>
      <c r="CT12" s="19">
        <v>0</v>
      </c>
      <c r="CU12" s="27"/>
      <c r="CV12" s="40">
        <f t="shared" si="30"/>
        <v>8.4</v>
      </c>
      <c r="CW12" s="40">
        <f t="shared" si="31"/>
        <v>41.5</v>
      </c>
      <c r="CX12" s="40">
        <f t="shared" si="32"/>
        <v>20.7</v>
      </c>
      <c r="CY12" s="40">
        <f t="shared" si="33"/>
        <v>11.9</v>
      </c>
      <c r="CZ12" s="40">
        <f t="shared" si="34"/>
        <v>62.2</v>
      </c>
      <c r="DA12" s="40">
        <f t="shared" si="35"/>
        <v>8.4</v>
      </c>
      <c r="DB12" s="40">
        <f t="shared" si="36"/>
        <v>44.9</v>
      </c>
      <c r="DC12" s="40">
        <f t="shared" si="37"/>
        <v>86.4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9.15</v>
      </c>
      <c r="QF12" s="22">
        <f t="shared" si="138"/>
        <v>2</v>
      </c>
      <c r="QG12" s="22">
        <f t="shared" si="139"/>
        <v>0.4</v>
      </c>
      <c r="QH12" s="22">
        <f t="shared" si="140"/>
        <v>0</v>
      </c>
      <c r="QI12" s="22">
        <f t="shared" si="141"/>
        <v>8.1</v>
      </c>
      <c r="QJ12" s="22">
        <f t="shared" si="142"/>
        <v>2.2000000000000002</v>
      </c>
      <c r="QK12" s="22">
        <f t="shared" si="143"/>
        <v>0.3</v>
      </c>
      <c r="QL12" s="22">
        <f t="shared" si="144"/>
        <v>0</v>
      </c>
      <c r="QM12" s="22">
        <f t="shared" si="145"/>
        <v>9</v>
      </c>
      <c r="QN12" s="22">
        <f t="shared" si="146"/>
        <v>1.75</v>
      </c>
      <c r="QO12" s="22">
        <f t="shared" si="147"/>
        <v>0.4</v>
      </c>
      <c r="QP12" s="22">
        <f t="shared" si="148"/>
        <v>0</v>
      </c>
      <c r="QQ12" s="22">
        <f t="shared" si="149"/>
        <v>9.1</v>
      </c>
      <c r="QR12" s="22">
        <f t="shared" si="150"/>
        <v>2</v>
      </c>
      <c r="QS12" s="22">
        <f t="shared" si="151"/>
        <v>0.1</v>
      </c>
      <c r="QT12" s="22">
        <f t="shared" si="152"/>
        <v>0</v>
      </c>
      <c r="QU12" s="22">
        <f t="shared" si="153"/>
        <v>9.25</v>
      </c>
      <c r="QV12" s="22">
        <f t="shared" si="154"/>
        <v>2.2000000000000002</v>
      </c>
      <c r="QW12" s="22">
        <f t="shared" si="155"/>
        <v>0</v>
      </c>
      <c r="QX12" s="22">
        <f t="shared" si="156"/>
        <v>0</v>
      </c>
      <c r="QY12" s="27" t="s">
        <v>46</v>
      </c>
      <c r="QZ12" s="40">
        <f t="shared" si="157"/>
        <v>4.2</v>
      </c>
      <c r="RA12" s="40">
        <f t="shared" si="158"/>
        <v>20.75</v>
      </c>
      <c r="RB12" s="40">
        <f t="shared" si="159"/>
        <v>10.35</v>
      </c>
      <c r="RC12" s="40">
        <f t="shared" si="160"/>
        <v>5.95</v>
      </c>
      <c r="RD12" s="40">
        <f t="shared" si="161"/>
        <v>31.1</v>
      </c>
      <c r="RE12" s="40">
        <f t="shared" si="162"/>
        <v>4.2</v>
      </c>
      <c r="RF12" s="40">
        <f t="shared" si="163"/>
        <v>22.45</v>
      </c>
      <c r="RG12" s="40">
        <f t="shared" si="164"/>
        <v>43.2</v>
      </c>
    </row>
    <row r="13" spans="1:475" x14ac:dyDescent="0.2">
      <c r="A13" s="4" t="str">
        <f t="shared" si="0"/>
        <v/>
      </c>
      <c r="B13" s="5" t="s">
        <v>181</v>
      </c>
      <c r="C13" s="4" t="s">
        <v>4</v>
      </c>
      <c r="D13" s="4">
        <v>2002</v>
      </c>
      <c r="E13" s="9">
        <f t="shared" si="1"/>
        <v>151.10001052000425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42.5</v>
      </c>
      <c r="K13" s="8" t="str">
        <f t="shared" si="6"/>
        <v>2023 Elite Canada</v>
      </c>
      <c r="L13" s="8">
        <f>IF(COUNT(AQ13,BT13,CW13)&gt;1,LARGE((AQ13,BT13,CW13),2),0)</f>
        <v>40.6</v>
      </c>
      <c r="M13" s="8" t="str">
        <f t="shared" si="7"/>
        <v>2022 3rd Domestic Trial</v>
      </c>
      <c r="N13" s="8">
        <f>IF(COUNT(AR13,BU13,CX13)&gt;0,LARGE((AR13,BU13,CX13),1),0)</f>
        <v>22.1</v>
      </c>
      <c r="O13" s="8" t="str">
        <f t="shared" si="8"/>
        <v>2022 3rd Domestic Trial</v>
      </c>
      <c r="P13" s="8">
        <f t="shared" si="9"/>
        <v>45.9</v>
      </c>
      <c r="Q13" s="8" t="str">
        <f t="shared" si="10"/>
        <v>2022 3rd Domestic Trial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17.399999999999999</v>
      </c>
      <c r="V13" s="19">
        <v>0.7</v>
      </c>
      <c r="W13" s="19">
        <v>0</v>
      </c>
      <c r="X13" s="19">
        <v>0</v>
      </c>
      <c r="Y13" s="19">
        <v>16.600000000000001</v>
      </c>
      <c r="Z13" s="19">
        <v>3.5</v>
      </c>
      <c r="AA13" s="19">
        <v>0.8</v>
      </c>
      <c r="AB13" s="19">
        <v>0</v>
      </c>
      <c r="AC13" s="19">
        <v>18.8</v>
      </c>
      <c r="AD13" s="19">
        <v>3.4</v>
      </c>
      <c r="AE13" s="19">
        <v>0.2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4"/>
        <v>4.2</v>
      </c>
      <c r="AQ13" s="40">
        <f t="shared" si="15"/>
        <v>37.400000000000006</v>
      </c>
      <c r="AR13" s="40">
        <f t="shared" si="16"/>
        <v>22</v>
      </c>
      <c r="AS13" s="40">
        <f t="shared" si="17"/>
        <v>7.6</v>
      </c>
      <c r="AT13" s="40">
        <f t="shared" si="18"/>
        <v>59.400000000000006</v>
      </c>
      <c r="AU13" s="40" t="str">
        <f t="shared" si="19"/>
        <v/>
      </c>
      <c r="AV13" s="40" t="str">
        <f t="shared" si="20"/>
        <v/>
      </c>
      <c r="AW13" s="40">
        <f t="shared" si="21"/>
        <v>37.400000000000006</v>
      </c>
      <c r="AX13" s="18">
        <v>17.399999999999999</v>
      </c>
      <c r="AY13" s="18">
        <v>0.7</v>
      </c>
      <c r="AZ13" s="18">
        <v>0</v>
      </c>
      <c r="BA13" s="18">
        <v>0</v>
      </c>
      <c r="BB13" s="18">
        <v>19.100000000000001</v>
      </c>
      <c r="BC13" s="18">
        <v>3.4</v>
      </c>
      <c r="BD13" s="18">
        <v>0</v>
      </c>
      <c r="BE13" s="18">
        <v>0</v>
      </c>
      <c r="BF13" s="18">
        <v>18.600000000000001</v>
      </c>
      <c r="BG13" s="18">
        <v>3.5</v>
      </c>
      <c r="BH13" s="18">
        <v>0</v>
      </c>
      <c r="BI13" s="18">
        <v>0</v>
      </c>
      <c r="BJ13" s="18">
        <v>19.2</v>
      </c>
      <c r="BK13" s="18">
        <v>4.3</v>
      </c>
      <c r="BL13" s="18">
        <v>0</v>
      </c>
      <c r="BM13" s="18">
        <v>0</v>
      </c>
      <c r="BN13" s="18">
        <v>19</v>
      </c>
      <c r="BO13" s="18">
        <v>3.4</v>
      </c>
      <c r="BP13" s="18">
        <v>0</v>
      </c>
      <c r="BQ13" s="18">
        <v>0</v>
      </c>
      <c r="BR13" s="28"/>
      <c r="BS13" s="11">
        <f t="shared" si="22"/>
        <v>4.0999999999999996</v>
      </c>
      <c r="BT13" s="11">
        <f t="shared" si="23"/>
        <v>40.6</v>
      </c>
      <c r="BU13" s="11">
        <f t="shared" si="24"/>
        <v>22.1</v>
      </c>
      <c r="BV13" s="11">
        <f t="shared" si="25"/>
        <v>7.6</v>
      </c>
      <c r="BW13" s="11">
        <f t="shared" si="26"/>
        <v>62.7</v>
      </c>
      <c r="BX13" s="11">
        <f t="shared" si="27"/>
        <v>7.6999999999999993</v>
      </c>
      <c r="BY13" s="11">
        <f t="shared" si="28"/>
        <v>45.9</v>
      </c>
      <c r="BZ13" s="11">
        <f t="shared" si="29"/>
        <v>86.5</v>
      </c>
      <c r="CA13" s="19">
        <v>18.399999999999999</v>
      </c>
      <c r="CB13" s="19">
        <v>3.5</v>
      </c>
      <c r="CC13" s="19">
        <v>0</v>
      </c>
      <c r="CD13" s="19">
        <v>0</v>
      </c>
      <c r="CE13" s="19">
        <v>18.2</v>
      </c>
      <c r="CF13" s="19">
        <v>2.7</v>
      </c>
      <c r="CG13" s="19">
        <v>0.3</v>
      </c>
      <c r="CH13" s="19">
        <v>0</v>
      </c>
      <c r="CI13" s="19">
        <v>18.600000000000001</v>
      </c>
      <c r="CJ13" s="19">
        <v>3</v>
      </c>
      <c r="CK13" s="19">
        <v>0</v>
      </c>
      <c r="CL13" s="19">
        <v>0</v>
      </c>
      <c r="CM13" s="19">
        <v>18.399999999999999</v>
      </c>
      <c r="CN13" s="19">
        <v>2.7</v>
      </c>
      <c r="CO13" s="19">
        <v>0.3</v>
      </c>
      <c r="CP13" s="19">
        <v>0</v>
      </c>
      <c r="CQ13" s="19">
        <v>18.7</v>
      </c>
      <c r="CR13" s="19">
        <v>3</v>
      </c>
      <c r="CS13" s="19">
        <v>0.8</v>
      </c>
      <c r="CT13" s="19">
        <v>0</v>
      </c>
      <c r="CU13" s="27"/>
      <c r="CV13" s="40">
        <f t="shared" si="30"/>
        <v>6.2</v>
      </c>
      <c r="CW13" s="40">
        <f t="shared" si="31"/>
        <v>42.5</v>
      </c>
      <c r="CX13" s="40">
        <f t="shared" si="32"/>
        <v>21.6</v>
      </c>
      <c r="CY13" s="40">
        <f t="shared" si="33"/>
        <v>9.1999999999999993</v>
      </c>
      <c r="CZ13" s="40">
        <f t="shared" si="34"/>
        <v>64.099999999999994</v>
      </c>
      <c r="DA13" s="40">
        <f t="shared" si="35"/>
        <v>5.7</v>
      </c>
      <c r="DB13" s="40">
        <f t="shared" si="36"/>
        <v>41.699999999999996</v>
      </c>
      <c r="DC13" s="40">
        <f t="shared" si="37"/>
        <v>84.199999999999989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17.899999999999999</v>
      </c>
      <c r="QF13" s="22">
        <f t="shared" si="138"/>
        <v>2.1</v>
      </c>
      <c r="QG13" s="22">
        <f t="shared" si="139"/>
        <v>0</v>
      </c>
      <c r="QH13" s="22">
        <f t="shared" si="140"/>
        <v>0</v>
      </c>
      <c r="QI13" s="22">
        <f t="shared" si="141"/>
        <v>18.649999999999999</v>
      </c>
      <c r="QJ13" s="22">
        <f t="shared" si="142"/>
        <v>3.05</v>
      </c>
      <c r="QK13" s="22">
        <f t="shared" si="143"/>
        <v>0.15</v>
      </c>
      <c r="QL13" s="22">
        <f t="shared" si="144"/>
        <v>0</v>
      </c>
      <c r="QM13" s="22">
        <f t="shared" si="145"/>
        <v>18.600000000000001</v>
      </c>
      <c r="QN13" s="22">
        <f t="shared" si="146"/>
        <v>3.25</v>
      </c>
      <c r="QO13" s="22">
        <f t="shared" si="147"/>
        <v>0</v>
      </c>
      <c r="QP13" s="22">
        <f t="shared" si="148"/>
        <v>0</v>
      </c>
      <c r="QQ13" s="22">
        <f t="shared" si="149"/>
        <v>18.799999999999997</v>
      </c>
      <c r="QR13" s="22">
        <f t="shared" si="150"/>
        <v>3.5</v>
      </c>
      <c r="QS13" s="22">
        <f t="shared" si="151"/>
        <v>0.15</v>
      </c>
      <c r="QT13" s="22">
        <f t="shared" si="152"/>
        <v>0</v>
      </c>
      <c r="QU13" s="22">
        <f t="shared" si="153"/>
        <v>18.850000000000001</v>
      </c>
      <c r="QV13" s="22">
        <f t="shared" si="154"/>
        <v>3.2</v>
      </c>
      <c r="QW13" s="22">
        <f t="shared" si="155"/>
        <v>0.4</v>
      </c>
      <c r="QX13" s="22">
        <f t="shared" si="156"/>
        <v>0</v>
      </c>
      <c r="QY13" s="27" t="s">
        <v>46</v>
      </c>
      <c r="QZ13" s="40">
        <f t="shared" si="157"/>
        <v>5.15</v>
      </c>
      <c r="RA13" s="40">
        <f t="shared" si="158"/>
        <v>41.55</v>
      </c>
      <c r="RB13" s="40">
        <f t="shared" si="159"/>
        <v>21.85</v>
      </c>
      <c r="RC13" s="40">
        <f t="shared" si="160"/>
        <v>8.4</v>
      </c>
      <c r="RD13" s="40">
        <f t="shared" si="161"/>
        <v>63.4</v>
      </c>
      <c r="RE13" s="40">
        <f t="shared" si="162"/>
        <v>6.7</v>
      </c>
      <c r="RF13" s="40">
        <f t="shared" si="163"/>
        <v>43.800000000000004</v>
      </c>
      <c r="RG13" s="40">
        <f t="shared" si="164"/>
        <v>85.35</v>
      </c>
    </row>
    <row r="14" spans="1:475" x14ac:dyDescent="0.2">
      <c r="A14" s="4" t="str">
        <f t="shared" si="0"/>
        <v/>
      </c>
      <c r="B14" s="5" t="s">
        <v>180</v>
      </c>
      <c r="C14" s="4" t="s">
        <v>5</v>
      </c>
      <c r="D14" s="4">
        <v>2005</v>
      </c>
      <c r="E14" s="9">
        <f t="shared" si="1"/>
        <v>150.20001071000431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43.099999999999987</v>
      </c>
      <c r="K14" s="8" t="str">
        <f t="shared" si="6"/>
        <v>2022 Nationals</v>
      </c>
      <c r="L14" s="8">
        <f>IF(COUNT(AQ14,BT14,CW14)&gt;1,LARGE((AQ14,BT14,CW14),2),0)</f>
        <v>41.6</v>
      </c>
      <c r="M14" s="8" t="str">
        <f t="shared" si="7"/>
        <v>2023 Elite Canada</v>
      </c>
      <c r="N14" s="8">
        <f>IF(COUNT(AR14,BU14,CX14)&gt;0,LARGE((AR14,BU14,CX14),1),0)</f>
        <v>22.4</v>
      </c>
      <c r="O14" s="8" t="str">
        <f t="shared" si="8"/>
        <v>2023 Elite Canada</v>
      </c>
      <c r="P14" s="8">
        <f t="shared" si="9"/>
        <v>43.099999999999994</v>
      </c>
      <c r="Q14" s="8" t="str">
        <f t="shared" si="10"/>
        <v>2022 Nationals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18</v>
      </c>
      <c r="V14" s="19">
        <v>4.4000000000000004</v>
      </c>
      <c r="W14" s="19">
        <v>0.2</v>
      </c>
      <c r="X14" s="19">
        <v>0</v>
      </c>
      <c r="Y14" s="19">
        <v>18</v>
      </c>
      <c r="Z14" s="19">
        <v>2.8</v>
      </c>
      <c r="AA14" s="19">
        <v>0.2</v>
      </c>
      <c r="AB14" s="19">
        <v>0.3</v>
      </c>
      <c r="AC14" s="19">
        <v>18.399999999999999</v>
      </c>
      <c r="AD14" s="19">
        <v>3</v>
      </c>
      <c r="AE14" s="19">
        <v>0.6</v>
      </c>
      <c r="AF14" s="19">
        <v>0</v>
      </c>
      <c r="AG14" s="19">
        <v>18</v>
      </c>
      <c r="AH14" s="19">
        <v>5.2</v>
      </c>
      <c r="AI14" s="19">
        <v>0.2</v>
      </c>
      <c r="AJ14" s="19">
        <v>0</v>
      </c>
      <c r="AK14" s="19">
        <v>17</v>
      </c>
      <c r="AL14" s="19">
        <v>2.8</v>
      </c>
      <c r="AM14" s="19">
        <v>0</v>
      </c>
      <c r="AN14" s="19">
        <v>0.3</v>
      </c>
      <c r="AO14" s="27"/>
      <c r="AP14" s="40">
        <f t="shared" si="14"/>
        <v>7.2</v>
      </c>
      <c r="AQ14" s="40">
        <f t="shared" si="15"/>
        <v>43.099999999999987</v>
      </c>
      <c r="AR14" s="40">
        <f t="shared" si="16"/>
        <v>20.799999999999997</v>
      </c>
      <c r="AS14" s="40">
        <f t="shared" si="17"/>
        <v>10.199999999999999</v>
      </c>
      <c r="AT14" s="40">
        <f t="shared" si="18"/>
        <v>63.899999999999984</v>
      </c>
      <c r="AU14" s="40">
        <f t="shared" si="19"/>
        <v>8</v>
      </c>
      <c r="AV14" s="40">
        <f t="shared" si="20"/>
        <v>43.099999999999994</v>
      </c>
      <c r="AW14" s="40">
        <f t="shared" si="21"/>
        <v>86.199999999999989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2"/>
        <v/>
      </c>
      <c r="BT14" s="11" t="str">
        <f t="shared" si="23"/>
        <v/>
      </c>
      <c r="BU14" s="11" t="str">
        <f t="shared" si="24"/>
        <v/>
      </c>
      <c r="BV14" s="11" t="str">
        <f t="shared" si="25"/>
        <v/>
      </c>
      <c r="BW14" s="11" t="str">
        <f t="shared" si="26"/>
        <v/>
      </c>
      <c r="BX14" s="11" t="str">
        <f t="shared" si="27"/>
        <v/>
      </c>
      <c r="BY14" s="11" t="str">
        <f t="shared" si="28"/>
        <v/>
      </c>
      <c r="BZ14" s="11" t="str">
        <f t="shared" si="29"/>
        <v/>
      </c>
      <c r="CA14" s="19">
        <v>17</v>
      </c>
      <c r="CB14" s="19">
        <v>2.4</v>
      </c>
      <c r="CC14" s="19">
        <v>0</v>
      </c>
      <c r="CD14" s="19">
        <v>0</v>
      </c>
      <c r="CE14" s="19">
        <v>18.600000000000001</v>
      </c>
      <c r="CF14" s="19">
        <v>3.6</v>
      </c>
      <c r="CG14" s="19">
        <v>0</v>
      </c>
      <c r="CH14" s="19">
        <v>0</v>
      </c>
      <c r="CI14" s="19">
        <v>18.899999999999999</v>
      </c>
      <c r="CJ14" s="19">
        <v>3.5</v>
      </c>
      <c r="CK14" s="19">
        <v>0</v>
      </c>
      <c r="CL14" s="19">
        <v>0</v>
      </c>
      <c r="CM14" s="19">
        <v>18.2</v>
      </c>
      <c r="CN14" s="19">
        <v>2.7</v>
      </c>
      <c r="CO14" s="19">
        <v>0.3</v>
      </c>
      <c r="CP14" s="19">
        <v>0</v>
      </c>
      <c r="CQ14" s="19">
        <v>18.5</v>
      </c>
      <c r="CR14" s="19">
        <v>3.6</v>
      </c>
      <c r="CS14" s="19">
        <v>0</v>
      </c>
      <c r="CT14" s="19">
        <v>0</v>
      </c>
      <c r="CU14" s="27"/>
      <c r="CV14" s="40">
        <f t="shared" si="30"/>
        <v>6</v>
      </c>
      <c r="CW14" s="40">
        <f t="shared" si="31"/>
        <v>41.6</v>
      </c>
      <c r="CX14" s="40">
        <f t="shared" si="32"/>
        <v>22.4</v>
      </c>
      <c r="CY14" s="40">
        <f t="shared" si="33"/>
        <v>9.5</v>
      </c>
      <c r="CZ14" s="40">
        <f t="shared" si="34"/>
        <v>64</v>
      </c>
      <c r="DA14" s="40">
        <f t="shared" si="35"/>
        <v>6.3000000000000007</v>
      </c>
      <c r="DB14" s="40">
        <f t="shared" si="36"/>
        <v>42.7</v>
      </c>
      <c r="DC14" s="40">
        <f t="shared" si="37"/>
        <v>84.300000000000011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8.5</v>
      </c>
      <c r="QF14" s="22">
        <f t="shared" si="138"/>
        <v>1.2</v>
      </c>
      <c r="QG14" s="22">
        <f t="shared" si="139"/>
        <v>0</v>
      </c>
      <c r="QH14" s="22">
        <f t="shared" si="140"/>
        <v>0</v>
      </c>
      <c r="QI14" s="22">
        <f t="shared" si="141"/>
        <v>9.3000000000000007</v>
      </c>
      <c r="QJ14" s="22">
        <f t="shared" si="142"/>
        <v>1.8</v>
      </c>
      <c r="QK14" s="22">
        <f t="shared" si="143"/>
        <v>0</v>
      </c>
      <c r="QL14" s="22">
        <f t="shared" si="144"/>
        <v>0</v>
      </c>
      <c r="QM14" s="22">
        <f t="shared" si="145"/>
        <v>9.4499999999999993</v>
      </c>
      <c r="QN14" s="22">
        <f t="shared" si="146"/>
        <v>1.75</v>
      </c>
      <c r="QO14" s="22">
        <f t="shared" si="147"/>
        <v>0</v>
      </c>
      <c r="QP14" s="22">
        <f t="shared" si="148"/>
        <v>0</v>
      </c>
      <c r="QQ14" s="22">
        <f t="shared" si="149"/>
        <v>9.1</v>
      </c>
      <c r="QR14" s="22">
        <f t="shared" si="150"/>
        <v>1.35</v>
      </c>
      <c r="QS14" s="22">
        <f t="shared" si="151"/>
        <v>0.15</v>
      </c>
      <c r="QT14" s="22">
        <f t="shared" si="152"/>
        <v>0</v>
      </c>
      <c r="QU14" s="22">
        <f t="shared" si="153"/>
        <v>9.25</v>
      </c>
      <c r="QV14" s="22">
        <f t="shared" si="154"/>
        <v>1.8</v>
      </c>
      <c r="QW14" s="22">
        <f t="shared" si="155"/>
        <v>0</v>
      </c>
      <c r="QX14" s="22">
        <f t="shared" si="156"/>
        <v>0</v>
      </c>
      <c r="QY14" s="27" t="s">
        <v>46</v>
      </c>
      <c r="QZ14" s="40">
        <f t="shared" si="157"/>
        <v>3</v>
      </c>
      <c r="RA14" s="40">
        <f t="shared" si="158"/>
        <v>20.8</v>
      </c>
      <c r="RB14" s="40">
        <f t="shared" si="159"/>
        <v>11.2</v>
      </c>
      <c r="RC14" s="40">
        <f t="shared" si="160"/>
        <v>4.75</v>
      </c>
      <c r="RD14" s="40">
        <f t="shared" si="161"/>
        <v>32</v>
      </c>
      <c r="RE14" s="40">
        <f t="shared" si="162"/>
        <v>3.1500000000000004</v>
      </c>
      <c r="RF14" s="40">
        <f t="shared" si="163"/>
        <v>21.35</v>
      </c>
      <c r="RG14" s="40">
        <f t="shared" si="164"/>
        <v>42.150000000000006</v>
      </c>
    </row>
    <row r="15" spans="1:475" x14ac:dyDescent="0.2">
      <c r="A15" s="4" t="str">
        <f t="shared" si="0"/>
        <v/>
      </c>
      <c r="B15" s="5" t="s">
        <v>156</v>
      </c>
      <c r="C15" s="4" t="s">
        <v>4</v>
      </c>
      <c r="D15" s="4">
        <v>2004</v>
      </c>
      <c r="E15" s="9">
        <f t="shared" si="1"/>
        <v>148.60001051000435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43.2</v>
      </c>
      <c r="K15" s="8" t="str">
        <f t="shared" si="6"/>
        <v>2022 Nationals</v>
      </c>
      <c r="L15" s="8">
        <f>IF(COUNT(AQ15,BT15,CW15)&gt;1,LARGE((AQ15,BT15,CW15),2),0)</f>
        <v>39.700000000000003</v>
      </c>
      <c r="M15" s="8" t="str">
        <f t="shared" si="7"/>
        <v>2023 Elite Canada</v>
      </c>
      <c r="N15" s="8">
        <f>IF(COUNT(AR15,BU15,CX15)&gt;0,LARGE((AR15,BU15,CX15),1),0)</f>
        <v>22.2</v>
      </c>
      <c r="O15" s="8" t="str">
        <f t="shared" si="8"/>
        <v>2022 Nationals</v>
      </c>
      <c r="P15" s="8">
        <f t="shared" si="9"/>
        <v>43.5</v>
      </c>
      <c r="Q15" s="8" t="str">
        <f t="shared" si="10"/>
        <v>2022 Nationals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18.600000000000001</v>
      </c>
      <c r="V15" s="19">
        <v>2.7</v>
      </c>
      <c r="W15" s="19">
        <v>0</v>
      </c>
      <c r="X15" s="19">
        <v>0</v>
      </c>
      <c r="Y15" s="19">
        <v>18.3</v>
      </c>
      <c r="Z15" s="19">
        <v>3.6</v>
      </c>
      <c r="AA15" s="19">
        <v>0</v>
      </c>
      <c r="AB15" s="19">
        <v>0</v>
      </c>
      <c r="AC15" s="19">
        <v>18.899999999999999</v>
      </c>
      <c r="AD15" s="19">
        <v>3.3</v>
      </c>
      <c r="AE15" s="19">
        <v>0</v>
      </c>
      <c r="AF15" s="19">
        <v>0</v>
      </c>
      <c r="AG15" s="19">
        <v>18.600000000000001</v>
      </c>
      <c r="AH15" s="19">
        <v>3.5</v>
      </c>
      <c r="AI15" s="19">
        <v>0</v>
      </c>
      <c r="AJ15" s="19">
        <v>0</v>
      </c>
      <c r="AK15" s="19">
        <v>18</v>
      </c>
      <c r="AL15" s="19">
        <v>3.6</v>
      </c>
      <c r="AM15" s="19">
        <v>0.2</v>
      </c>
      <c r="AN15" s="19">
        <v>0</v>
      </c>
      <c r="AO15" s="27"/>
      <c r="AP15" s="40">
        <f t="shared" si="14"/>
        <v>6.3000000000000007</v>
      </c>
      <c r="AQ15" s="40">
        <f t="shared" si="15"/>
        <v>43.2</v>
      </c>
      <c r="AR15" s="40">
        <f t="shared" si="16"/>
        <v>22.2</v>
      </c>
      <c r="AS15" s="40">
        <f t="shared" si="17"/>
        <v>9.6000000000000014</v>
      </c>
      <c r="AT15" s="40">
        <f t="shared" si="18"/>
        <v>65.400000000000006</v>
      </c>
      <c r="AU15" s="40">
        <f t="shared" si="19"/>
        <v>7.1</v>
      </c>
      <c r="AV15" s="40">
        <f t="shared" si="20"/>
        <v>43.5</v>
      </c>
      <c r="AW15" s="40">
        <f t="shared" si="21"/>
        <v>86.7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2"/>
        <v/>
      </c>
      <c r="BT15" s="11" t="str">
        <f t="shared" si="23"/>
        <v/>
      </c>
      <c r="BU15" s="11" t="str">
        <f t="shared" si="24"/>
        <v/>
      </c>
      <c r="BV15" s="11" t="str">
        <f t="shared" si="25"/>
        <v/>
      </c>
      <c r="BW15" s="11" t="str">
        <f t="shared" si="26"/>
        <v/>
      </c>
      <c r="BX15" s="11" t="str">
        <f t="shared" si="27"/>
        <v/>
      </c>
      <c r="BY15" s="11" t="str">
        <f t="shared" si="28"/>
        <v/>
      </c>
      <c r="BZ15" s="11" t="str">
        <f t="shared" si="29"/>
        <v/>
      </c>
      <c r="CA15" s="19">
        <v>18.7</v>
      </c>
      <c r="CB15" s="19">
        <v>2.7</v>
      </c>
      <c r="CC15" s="19">
        <v>0.3</v>
      </c>
      <c r="CD15" s="19">
        <v>0</v>
      </c>
      <c r="CE15" s="19">
        <v>17.399999999999999</v>
      </c>
      <c r="CF15" s="19">
        <v>1.2</v>
      </c>
      <c r="CG15" s="19">
        <v>0</v>
      </c>
      <c r="CH15" s="19">
        <v>0</v>
      </c>
      <c r="CI15" s="19">
        <v>18.399999999999999</v>
      </c>
      <c r="CJ15" s="19">
        <v>3.3</v>
      </c>
      <c r="CK15" s="19">
        <v>0</v>
      </c>
      <c r="CL15" s="19">
        <v>0</v>
      </c>
      <c r="CM15" s="19">
        <v>18.600000000000001</v>
      </c>
      <c r="CN15" s="19">
        <v>2.7</v>
      </c>
      <c r="CO15" s="19">
        <v>0.3</v>
      </c>
      <c r="CP15" s="19">
        <v>0</v>
      </c>
      <c r="CQ15" s="19">
        <v>16.8</v>
      </c>
      <c r="CR15" s="19">
        <v>3.6</v>
      </c>
      <c r="CS15" s="19">
        <v>0.2</v>
      </c>
      <c r="CT15" s="19">
        <v>0</v>
      </c>
      <c r="CU15" s="27"/>
      <c r="CV15" s="40">
        <f t="shared" si="30"/>
        <v>3.9000000000000004</v>
      </c>
      <c r="CW15" s="40">
        <f t="shared" si="31"/>
        <v>39.700000000000003</v>
      </c>
      <c r="CX15" s="40">
        <f t="shared" si="32"/>
        <v>21.7</v>
      </c>
      <c r="CY15" s="40">
        <f t="shared" si="33"/>
        <v>7.2</v>
      </c>
      <c r="CZ15" s="40">
        <f t="shared" si="34"/>
        <v>61.400000000000006</v>
      </c>
      <c r="DA15" s="40">
        <f t="shared" si="35"/>
        <v>6.3000000000000007</v>
      </c>
      <c r="DB15" s="40">
        <f t="shared" si="36"/>
        <v>41.2</v>
      </c>
      <c r="DC15" s="40">
        <f t="shared" si="37"/>
        <v>80.900000000000006</v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9.35</v>
      </c>
      <c r="QF15" s="22">
        <f t="shared" si="138"/>
        <v>1.35</v>
      </c>
      <c r="QG15" s="22">
        <f t="shared" si="139"/>
        <v>0.15</v>
      </c>
      <c r="QH15" s="22">
        <f t="shared" si="140"/>
        <v>0</v>
      </c>
      <c r="QI15" s="22">
        <f t="shared" si="141"/>
        <v>8.6999999999999993</v>
      </c>
      <c r="QJ15" s="22">
        <f t="shared" si="142"/>
        <v>0.6</v>
      </c>
      <c r="QK15" s="22">
        <f t="shared" si="143"/>
        <v>0</v>
      </c>
      <c r="QL15" s="22">
        <f t="shared" si="144"/>
        <v>0</v>
      </c>
      <c r="QM15" s="22">
        <f t="shared" si="145"/>
        <v>9.1999999999999993</v>
      </c>
      <c r="QN15" s="22">
        <f t="shared" si="146"/>
        <v>1.65</v>
      </c>
      <c r="QO15" s="22">
        <f t="shared" si="147"/>
        <v>0</v>
      </c>
      <c r="QP15" s="22">
        <f t="shared" si="148"/>
        <v>0</v>
      </c>
      <c r="QQ15" s="22">
        <f t="shared" si="149"/>
        <v>9.3000000000000007</v>
      </c>
      <c r="QR15" s="22">
        <f t="shared" si="150"/>
        <v>1.35</v>
      </c>
      <c r="QS15" s="22">
        <f t="shared" si="151"/>
        <v>0.15</v>
      </c>
      <c r="QT15" s="22">
        <f t="shared" si="152"/>
        <v>0</v>
      </c>
      <c r="QU15" s="22">
        <f t="shared" si="153"/>
        <v>8.4</v>
      </c>
      <c r="QV15" s="22">
        <f t="shared" si="154"/>
        <v>1.8</v>
      </c>
      <c r="QW15" s="22">
        <f t="shared" si="155"/>
        <v>0.1</v>
      </c>
      <c r="QX15" s="22">
        <f t="shared" si="156"/>
        <v>0</v>
      </c>
      <c r="QY15" s="27" t="s">
        <v>46</v>
      </c>
      <c r="QZ15" s="40">
        <f t="shared" si="157"/>
        <v>1.9500000000000002</v>
      </c>
      <c r="RA15" s="40">
        <f t="shared" si="158"/>
        <v>19.850000000000001</v>
      </c>
      <c r="RB15" s="40">
        <f t="shared" si="159"/>
        <v>10.85</v>
      </c>
      <c r="RC15" s="40">
        <f t="shared" si="160"/>
        <v>3.6</v>
      </c>
      <c r="RD15" s="40">
        <f t="shared" si="161"/>
        <v>30.700000000000003</v>
      </c>
      <c r="RE15" s="40">
        <f t="shared" si="162"/>
        <v>3.1500000000000004</v>
      </c>
      <c r="RF15" s="40">
        <f t="shared" si="163"/>
        <v>20.6</v>
      </c>
      <c r="RG15" s="40">
        <f t="shared" si="164"/>
        <v>40.450000000000003</v>
      </c>
    </row>
    <row r="16" spans="1:475" x14ac:dyDescent="0.2">
      <c r="A16" s="4" t="str">
        <f t="shared" si="0"/>
        <v/>
      </c>
      <c r="B16" s="5" t="s">
        <v>182</v>
      </c>
      <c r="C16" s="4" t="s">
        <v>5</v>
      </c>
      <c r="D16" s="4">
        <v>2004</v>
      </c>
      <c r="E16" s="9">
        <f t="shared" si="1"/>
        <v>145.90001040000431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42.8</v>
      </c>
      <c r="K16" s="8" t="str">
        <f t="shared" si="6"/>
        <v>2022 Nationals</v>
      </c>
      <c r="L16" s="8">
        <f>IF(COUNT(AQ16,BT16,CW16)&gt;1,LARGE((AQ16,BT16,CW16),2),0)</f>
        <v>39.400000000000006</v>
      </c>
      <c r="M16" s="8" t="str">
        <f t="shared" si="7"/>
        <v>2023 Elite Canada</v>
      </c>
      <c r="N16" s="8">
        <f>IF(COUNT(AR16,BU16,CX16)&gt;0,LARGE((AR16,BU16,CX16),1),0)</f>
        <v>21.8</v>
      </c>
      <c r="O16" s="8" t="str">
        <f t="shared" si="8"/>
        <v>2022 Nationals</v>
      </c>
      <c r="P16" s="8">
        <f t="shared" si="9"/>
        <v>41.9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18.3</v>
      </c>
      <c r="V16" s="19">
        <v>3.5</v>
      </c>
      <c r="W16" s="19">
        <v>0.2</v>
      </c>
      <c r="X16" s="19">
        <v>0</v>
      </c>
      <c r="Y16" s="19">
        <v>18.2</v>
      </c>
      <c r="Z16" s="19">
        <v>3.6</v>
      </c>
      <c r="AA16" s="19">
        <v>0.6</v>
      </c>
      <c r="AB16" s="19">
        <v>0</v>
      </c>
      <c r="AC16" s="19">
        <v>18.5</v>
      </c>
      <c r="AD16" s="19">
        <v>3.3</v>
      </c>
      <c r="AE16" s="19">
        <v>0</v>
      </c>
      <c r="AF16" s="19">
        <v>0</v>
      </c>
      <c r="AG16" s="19">
        <v>18</v>
      </c>
      <c r="AH16" s="19">
        <v>2.7</v>
      </c>
      <c r="AI16" s="19">
        <v>0.5</v>
      </c>
      <c r="AJ16" s="19">
        <v>0</v>
      </c>
      <c r="AK16" s="19">
        <v>18.100000000000001</v>
      </c>
      <c r="AL16" s="19">
        <v>3.6</v>
      </c>
      <c r="AM16" s="19">
        <v>0</v>
      </c>
      <c r="AN16" s="19">
        <v>0</v>
      </c>
      <c r="AO16" s="27"/>
      <c r="AP16" s="40">
        <f t="shared" si="14"/>
        <v>7.1</v>
      </c>
      <c r="AQ16" s="40">
        <f t="shared" si="15"/>
        <v>42.8</v>
      </c>
      <c r="AR16" s="40">
        <f t="shared" si="16"/>
        <v>21.8</v>
      </c>
      <c r="AS16" s="40">
        <f t="shared" si="17"/>
        <v>10.399999999999999</v>
      </c>
      <c r="AT16" s="40">
        <f t="shared" si="18"/>
        <v>64.599999999999994</v>
      </c>
      <c r="AU16" s="40">
        <f t="shared" si="19"/>
        <v>6.3000000000000007</v>
      </c>
      <c r="AV16" s="40">
        <f t="shared" si="20"/>
        <v>41.9</v>
      </c>
      <c r="AW16" s="40">
        <f t="shared" si="21"/>
        <v>84.699999999999989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2"/>
        <v/>
      </c>
      <c r="BT16" s="11" t="str">
        <f t="shared" si="23"/>
        <v/>
      </c>
      <c r="BU16" s="11" t="str">
        <f t="shared" si="24"/>
        <v/>
      </c>
      <c r="BV16" s="11" t="str">
        <f t="shared" si="25"/>
        <v/>
      </c>
      <c r="BW16" s="11" t="str">
        <f t="shared" si="26"/>
        <v/>
      </c>
      <c r="BX16" s="11" t="str">
        <f t="shared" si="27"/>
        <v/>
      </c>
      <c r="BY16" s="11" t="str">
        <f t="shared" si="28"/>
        <v/>
      </c>
      <c r="BZ16" s="11" t="str">
        <f t="shared" si="29"/>
        <v/>
      </c>
      <c r="CA16" s="19">
        <v>18</v>
      </c>
      <c r="CB16" s="19">
        <v>3.1</v>
      </c>
      <c r="CC16" s="19">
        <v>0</v>
      </c>
      <c r="CD16" s="19">
        <v>0</v>
      </c>
      <c r="CE16" s="19">
        <v>17.8</v>
      </c>
      <c r="CF16" s="19">
        <v>1.7</v>
      </c>
      <c r="CG16" s="19">
        <v>1.2</v>
      </c>
      <c r="CH16" s="19">
        <v>0</v>
      </c>
      <c r="CI16" s="19">
        <v>18.399999999999999</v>
      </c>
      <c r="CJ16" s="19">
        <v>3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30"/>
        <v>4.8</v>
      </c>
      <c r="CW16" s="40">
        <f t="shared" si="31"/>
        <v>39.400000000000006</v>
      </c>
      <c r="CX16" s="40">
        <f t="shared" si="32"/>
        <v>21.4</v>
      </c>
      <c r="CY16" s="40">
        <f t="shared" si="33"/>
        <v>7.8</v>
      </c>
      <c r="CZ16" s="40">
        <f t="shared" si="34"/>
        <v>60.800000000000004</v>
      </c>
      <c r="DA16" s="40" t="str">
        <f t="shared" si="35"/>
        <v/>
      </c>
      <c r="DB16" s="40" t="str">
        <f t="shared" si="36"/>
        <v/>
      </c>
      <c r="DC16" s="40">
        <f t="shared" si="37"/>
        <v>39.400000000000006</v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9</v>
      </c>
      <c r="QF16" s="22">
        <f t="shared" si="138"/>
        <v>1.55</v>
      </c>
      <c r="QG16" s="22">
        <f t="shared" si="139"/>
        <v>0</v>
      </c>
      <c r="QH16" s="22">
        <f t="shared" si="140"/>
        <v>0</v>
      </c>
      <c r="QI16" s="22">
        <f t="shared" si="141"/>
        <v>8.9</v>
      </c>
      <c r="QJ16" s="22">
        <f t="shared" si="142"/>
        <v>0.85</v>
      </c>
      <c r="QK16" s="22">
        <f t="shared" si="143"/>
        <v>0.6</v>
      </c>
      <c r="QL16" s="22">
        <f t="shared" si="144"/>
        <v>0</v>
      </c>
      <c r="QM16" s="22">
        <f t="shared" si="145"/>
        <v>9.1999999999999993</v>
      </c>
      <c r="QN16" s="22">
        <f t="shared" si="146"/>
        <v>1.5</v>
      </c>
      <c r="QO16" s="22">
        <f t="shared" si="147"/>
        <v>0</v>
      </c>
      <c r="QP16" s="22">
        <f t="shared" si="148"/>
        <v>0</v>
      </c>
      <c r="QQ16" s="22">
        <f t="shared" si="149"/>
        <v>0</v>
      </c>
      <c r="QR16" s="22">
        <f t="shared" si="150"/>
        <v>0</v>
      </c>
      <c r="QS16" s="22">
        <f t="shared" si="151"/>
        <v>0</v>
      </c>
      <c r="QT16" s="22">
        <f t="shared" si="152"/>
        <v>0</v>
      </c>
      <c r="QU16" s="22">
        <f t="shared" si="153"/>
        <v>0</v>
      </c>
      <c r="QV16" s="22">
        <f t="shared" si="154"/>
        <v>0</v>
      </c>
      <c r="QW16" s="22">
        <f t="shared" si="155"/>
        <v>0</v>
      </c>
      <c r="QX16" s="22">
        <f t="shared" si="156"/>
        <v>0</v>
      </c>
      <c r="QY16" s="27" t="s">
        <v>46</v>
      </c>
      <c r="QZ16" s="40">
        <f t="shared" si="157"/>
        <v>2.4</v>
      </c>
      <c r="RA16" s="40">
        <f t="shared" si="158"/>
        <v>19.700000000000003</v>
      </c>
      <c r="RB16" s="40">
        <f t="shared" si="159"/>
        <v>10.7</v>
      </c>
      <c r="RC16" s="40">
        <f t="shared" si="160"/>
        <v>3.9</v>
      </c>
      <c r="RD16" s="40">
        <f t="shared" si="161"/>
        <v>30.400000000000002</v>
      </c>
      <c r="RE16" s="40" t="str">
        <f t="shared" si="162"/>
        <v/>
      </c>
      <c r="RF16" s="40" t="str">
        <f t="shared" si="163"/>
        <v/>
      </c>
      <c r="RG16" s="40">
        <f t="shared" si="164"/>
        <v>19.700000000000003</v>
      </c>
    </row>
    <row r="17" spans="1:475" x14ac:dyDescent="0.2">
      <c r="A17" s="4" t="str">
        <f t="shared" si="0"/>
        <v/>
      </c>
      <c r="B17" s="5" t="s">
        <v>160</v>
      </c>
      <c r="C17" s="4" t="s">
        <v>31</v>
      </c>
      <c r="D17" s="4">
        <v>2003</v>
      </c>
      <c r="E17" s="9">
        <f t="shared" si="1"/>
        <v>132.20000876000452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45.300000000000011</v>
      </c>
      <c r="K17" s="8" t="str">
        <f t="shared" si="6"/>
        <v>2023 Elite Canada</v>
      </c>
      <c r="L17" s="8">
        <f>IF(COUNT(AQ17,BT17,CW17)&gt;1,LARGE((AQ17,BT17,CW17),2),0)</f>
        <v>20</v>
      </c>
      <c r="M17" s="8" t="str">
        <f t="shared" si="7"/>
        <v>2022 Nationals</v>
      </c>
      <c r="N17" s="8">
        <f>IF(COUNT(AR17,BU17,CX17)&gt;0,LARGE((AR17,BU17,CX17),1),0)</f>
        <v>22.3</v>
      </c>
      <c r="O17" s="8" t="str">
        <f t="shared" si="8"/>
        <v>2023 Elite Canada</v>
      </c>
      <c r="P17" s="8">
        <f t="shared" si="9"/>
        <v>44.600000000000009</v>
      </c>
      <c r="Q17" s="8" t="str">
        <f t="shared" si="10"/>
        <v>2023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>
        <v>17.2</v>
      </c>
      <c r="V17" s="19">
        <v>2.8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4"/>
        <v>2.8</v>
      </c>
      <c r="AQ17" s="40">
        <f t="shared" si="15"/>
        <v>20</v>
      </c>
      <c r="AR17" s="40" t="str">
        <f t="shared" si="16"/>
        <v/>
      </c>
      <c r="AS17" s="40">
        <f t="shared" si="17"/>
        <v>2.8</v>
      </c>
      <c r="AT17" s="40">
        <f t="shared" si="18"/>
        <v>20</v>
      </c>
      <c r="AU17" s="40" t="str">
        <f t="shared" si="19"/>
        <v/>
      </c>
      <c r="AV17" s="40" t="str">
        <f t="shared" si="20"/>
        <v/>
      </c>
      <c r="AW17" s="40">
        <f t="shared" si="21"/>
        <v>20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18.100000000000001</v>
      </c>
      <c r="CB17" s="19">
        <v>5.2</v>
      </c>
      <c r="CC17" s="19">
        <v>0.8</v>
      </c>
      <c r="CD17" s="19">
        <v>0.3</v>
      </c>
      <c r="CE17" s="19">
        <v>18.100000000000001</v>
      </c>
      <c r="CF17" s="19">
        <v>5.2</v>
      </c>
      <c r="CG17" s="19">
        <v>0.8</v>
      </c>
      <c r="CH17" s="19">
        <v>0</v>
      </c>
      <c r="CI17" s="19">
        <v>18.600000000000001</v>
      </c>
      <c r="CJ17" s="19">
        <v>3.7</v>
      </c>
      <c r="CK17" s="19">
        <v>0</v>
      </c>
      <c r="CL17" s="19">
        <v>0</v>
      </c>
      <c r="CM17" s="19">
        <v>18.600000000000001</v>
      </c>
      <c r="CN17" s="19">
        <v>5.2</v>
      </c>
      <c r="CO17" s="19">
        <v>0.2</v>
      </c>
      <c r="CP17" s="19">
        <v>0.3</v>
      </c>
      <c r="CQ17" s="19">
        <v>16.3</v>
      </c>
      <c r="CR17" s="19">
        <v>5.2</v>
      </c>
      <c r="CS17" s="19">
        <v>0.8</v>
      </c>
      <c r="CT17" s="19">
        <v>0</v>
      </c>
      <c r="CU17" s="27"/>
      <c r="CV17" s="40">
        <f t="shared" si="30"/>
        <v>10.4</v>
      </c>
      <c r="CW17" s="40">
        <f t="shared" si="31"/>
        <v>45.300000000000011</v>
      </c>
      <c r="CX17" s="40">
        <f t="shared" si="32"/>
        <v>22.3</v>
      </c>
      <c r="CY17" s="40">
        <f t="shared" si="33"/>
        <v>14.100000000000001</v>
      </c>
      <c r="CZ17" s="40">
        <f t="shared" si="34"/>
        <v>67.600000000000009</v>
      </c>
      <c r="DA17" s="40">
        <f t="shared" si="35"/>
        <v>10.4</v>
      </c>
      <c r="DB17" s="40">
        <f t="shared" si="36"/>
        <v>44.600000000000009</v>
      </c>
      <c r="DC17" s="40">
        <f t="shared" si="37"/>
        <v>89.90000000000002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9.0500000000000007</v>
      </c>
      <c r="QF17" s="22">
        <f t="shared" si="138"/>
        <v>2.6</v>
      </c>
      <c r="QG17" s="22">
        <f t="shared" si="139"/>
        <v>0.4</v>
      </c>
      <c r="QH17" s="22">
        <f t="shared" si="140"/>
        <v>0.15</v>
      </c>
      <c r="QI17" s="22">
        <f t="shared" si="141"/>
        <v>9.0500000000000007</v>
      </c>
      <c r="QJ17" s="22">
        <f t="shared" si="142"/>
        <v>2.6</v>
      </c>
      <c r="QK17" s="22">
        <f t="shared" si="143"/>
        <v>0.4</v>
      </c>
      <c r="QL17" s="22">
        <f t="shared" si="144"/>
        <v>0</v>
      </c>
      <c r="QM17" s="22">
        <f t="shared" si="145"/>
        <v>9.3000000000000007</v>
      </c>
      <c r="QN17" s="22">
        <f t="shared" si="146"/>
        <v>1.85</v>
      </c>
      <c r="QO17" s="22">
        <f t="shared" si="147"/>
        <v>0</v>
      </c>
      <c r="QP17" s="22">
        <f t="shared" si="148"/>
        <v>0</v>
      </c>
      <c r="QQ17" s="22">
        <f t="shared" si="149"/>
        <v>9.3000000000000007</v>
      </c>
      <c r="QR17" s="22">
        <f t="shared" si="150"/>
        <v>2.6</v>
      </c>
      <c r="QS17" s="22">
        <f t="shared" si="151"/>
        <v>0.1</v>
      </c>
      <c r="QT17" s="22">
        <f t="shared" si="152"/>
        <v>0.15</v>
      </c>
      <c r="QU17" s="22">
        <f t="shared" si="153"/>
        <v>8.15</v>
      </c>
      <c r="QV17" s="22">
        <f t="shared" si="154"/>
        <v>2.6</v>
      </c>
      <c r="QW17" s="22">
        <f t="shared" si="155"/>
        <v>0.4</v>
      </c>
      <c r="QX17" s="22">
        <f t="shared" si="156"/>
        <v>0</v>
      </c>
      <c r="QY17" s="27" t="s">
        <v>46</v>
      </c>
      <c r="QZ17" s="40">
        <f t="shared" si="157"/>
        <v>5.2</v>
      </c>
      <c r="RA17" s="40">
        <f t="shared" si="158"/>
        <v>22.650000000000006</v>
      </c>
      <c r="RB17" s="40">
        <f t="shared" si="159"/>
        <v>11.15</v>
      </c>
      <c r="RC17" s="40">
        <f t="shared" si="160"/>
        <v>7.0500000000000007</v>
      </c>
      <c r="RD17" s="40">
        <f t="shared" si="161"/>
        <v>33.800000000000004</v>
      </c>
      <c r="RE17" s="40">
        <f t="shared" si="162"/>
        <v>5.2</v>
      </c>
      <c r="RF17" s="40">
        <f t="shared" si="163"/>
        <v>22.300000000000004</v>
      </c>
      <c r="RG17" s="40">
        <f t="shared" si="164"/>
        <v>44.95000000000001</v>
      </c>
    </row>
    <row r="18" spans="1:475" x14ac:dyDescent="0.2">
      <c r="A18" s="4" t="str">
        <f t="shared" si="0"/>
        <v/>
      </c>
      <c r="B18" s="5" t="s">
        <v>151</v>
      </c>
      <c r="C18" s="4" t="s">
        <v>6</v>
      </c>
      <c r="D18" s="4">
        <v>2004</v>
      </c>
      <c r="E18" s="9">
        <f t="shared" si="1"/>
        <v>112.00000671000447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44.8</v>
      </c>
      <c r="K18" s="8" t="str">
        <f t="shared" si="6"/>
        <v>2022 Nationals</v>
      </c>
      <c r="L18" s="8">
        <f>IF(COUNT(AQ18,BT18,CW18)&gt;1,LARGE((AQ18,BT18,CW18),2),0)</f>
        <v>0</v>
      </c>
      <c r="M18" s="8" t="str">
        <f t="shared" si="7"/>
        <v/>
      </c>
      <c r="N18" s="8">
        <f>IF(COUNT(AR18,BU18,CX18)&gt;0,LARGE((AR18,BU18,CX18),1),0)</f>
        <v>22.3</v>
      </c>
      <c r="O18" s="8" t="str">
        <f t="shared" si="8"/>
        <v>2022 Nationals</v>
      </c>
      <c r="P18" s="8">
        <f t="shared" si="9"/>
        <v>44.900000000000006</v>
      </c>
      <c r="Q18" s="8" t="str">
        <f t="shared" si="10"/>
        <v>2022 Nationals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>
        <v>18.399999999999999</v>
      </c>
      <c r="V18" s="19">
        <v>4.4000000000000004</v>
      </c>
      <c r="W18" s="19">
        <v>0</v>
      </c>
      <c r="X18" s="19">
        <v>0</v>
      </c>
      <c r="Y18" s="19">
        <v>18.399999999999999</v>
      </c>
      <c r="Z18" s="19">
        <v>3.6</v>
      </c>
      <c r="AA18" s="19">
        <v>0</v>
      </c>
      <c r="AB18" s="19">
        <v>0</v>
      </c>
      <c r="AC18" s="19">
        <v>18.8</v>
      </c>
      <c r="AD18" s="19">
        <v>3.5</v>
      </c>
      <c r="AE18" s="19">
        <v>0</v>
      </c>
      <c r="AF18" s="19">
        <v>0</v>
      </c>
      <c r="AG18" s="19">
        <v>18.2</v>
      </c>
      <c r="AH18" s="19">
        <v>4.4000000000000004</v>
      </c>
      <c r="AI18" s="19">
        <v>0</v>
      </c>
      <c r="AJ18" s="19">
        <v>0</v>
      </c>
      <c r="AK18" s="19">
        <v>18.3</v>
      </c>
      <c r="AL18" s="19">
        <v>4</v>
      </c>
      <c r="AM18" s="19">
        <v>0</v>
      </c>
      <c r="AN18" s="19">
        <v>0</v>
      </c>
      <c r="AO18" s="27"/>
      <c r="AP18" s="40">
        <f t="shared" si="14"/>
        <v>8</v>
      </c>
      <c r="AQ18" s="40">
        <f t="shared" si="15"/>
        <v>44.8</v>
      </c>
      <c r="AR18" s="40">
        <f t="shared" si="16"/>
        <v>22.3</v>
      </c>
      <c r="AS18" s="40">
        <f t="shared" si="17"/>
        <v>11.5</v>
      </c>
      <c r="AT18" s="40">
        <f t="shared" si="18"/>
        <v>67.099999999999994</v>
      </c>
      <c r="AU18" s="40">
        <f t="shared" si="19"/>
        <v>8.4</v>
      </c>
      <c r="AV18" s="40">
        <f t="shared" si="20"/>
        <v>44.900000000000006</v>
      </c>
      <c r="AW18" s="40">
        <f t="shared" si="21"/>
        <v>89.7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2"/>
        <v/>
      </c>
      <c r="BT18" s="11" t="str">
        <f t="shared" si="23"/>
        <v/>
      </c>
      <c r="BU18" s="11" t="str">
        <f t="shared" si="24"/>
        <v/>
      </c>
      <c r="BV18" s="11" t="str">
        <f t="shared" si="25"/>
        <v/>
      </c>
      <c r="BW18" s="11" t="str">
        <f t="shared" si="26"/>
        <v/>
      </c>
      <c r="BX18" s="11" t="str">
        <f t="shared" si="27"/>
        <v/>
      </c>
      <c r="BY18" s="11" t="str">
        <f t="shared" si="28"/>
        <v/>
      </c>
      <c r="BZ18" s="11" t="str">
        <f t="shared" si="29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30"/>
        <v/>
      </c>
      <c r="CW18" s="40" t="str">
        <f t="shared" si="31"/>
        <v/>
      </c>
      <c r="CX18" s="40" t="str">
        <f t="shared" si="32"/>
        <v/>
      </c>
      <c r="CY18" s="40" t="str">
        <f t="shared" si="33"/>
        <v/>
      </c>
      <c r="CZ18" s="40" t="str">
        <f t="shared" si="34"/>
        <v/>
      </c>
      <c r="DA18" s="40" t="str">
        <f t="shared" si="35"/>
        <v/>
      </c>
      <c r="DB18" s="40" t="str">
        <f t="shared" si="36"/>
        <v/>
      </c>
      <c r="DC18" s="40" t="str">
        <f t="shared" si="37"/>
        <v/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0</v>
      </c>
      <c r="QF18" s="22">
        <f t="shared" si="138"/>
        <v>0</v>
      </c>
      <c r="QG18" s="22">
        <f t="shared" si="139"/>
        <v>0</v>
      </c>
      <c r="QH18" s="22">
        <f t="shared" si="140"/>
        <v>0</v>
      </c>
      <c r="QI18" s="22">
        <f t="shared" si="141"/>
        <v>0</v>
      </c>
      <c r="QJ18" s="22">
        <f t="shared" si="142"/>
        <v>0</v>
      </c>
      <c r="QK18" s="22">
        <f t="shared" si="143"/>
        <v>0</v>
      </c>
      <c r="QL18" s="22">
        <f t="shared" si="144"/>
        <v>0</v>
      </c>
      <c r="QM18" s="22">
        <f t="shared" si="145"/>
        <v>0</v>
      </c>
      <c r="QN18" s="22">
        <f t="shared" si="146"/>
        <v>0</v>
      </c>
      <c r="QO18" s="22">
        <f t="shared" si="147"/>
        <v>0</v>
      </c>
      <c r="QP18" s="22">
        <f t="shared" si="148"/>
        <v>0</v>
      </c>
      <c r="QQ18" s="22">
        <f t="shared" si="149"/>
        <v>0</v>
      </c>
      <c r="QR18" s="22">
        <f t="shared" si="150"/>
        <v>0</v>
      </c>
      <c r="QS18" s="22">
        <f t="shared" si="151"/>
        <v>0</v>
      </c>
      <c r="QT18" s="22">
        <f t="shared" si="152"/>
        <v>0</v>
      </c>
      <c r="QU18" s="22">
        <f t="shared" si="153"/>
        <v>0</v>
      </c>
      <c r="QV18" s="22">
        <f t="shared" si="154"/>
        <v>0</v>
      </c>
      <c r="QW18" s="22">
        <f t="shared" si="155"/>
        <v>0</v>
      </c>
      <c r="QX18" s="22">
        <f t="shared" si="156"/>
        <v>0</v>
      </c>
      <c r="QY18" s="27" t="s">
        <v>46</v>
      </c>
      <c r="QZ18" s="40" t="str">
        <f t="shared" si="157"/>
        <v/>
      </c>
      <c r="RA18" s="40" t="str">
        <f t="shared" si="158"/>
        <v/>
      </c>
      <c r="RB18" s="40" t="str">
        <f t="shared" si="159"/>
        <v/>
      </c>
      <c r="RC18" s="40" t="str">
        <f t="shared" si="160"/>
        <v/>
      </c>
      <c r="RD18" s="40" t="str">
        <f t="shared" si="161"/>
        <v/>
      </c>
      <c r="RE18" s="40" t="str">
        <f t="shared" si="162"/>
        <v/>
      </c>
      <c r="RF18" s="40" t="str">
        <f t="shared" si="163"/>
        <v/>
      </c>
      <c r="RG18" s="40" t="str">
        <f t="shared" si="164"/>
        <v/>
      </c>
    </row>
    <row r="19" spans="1:475" x14ac:dyDescent="0.2">
      <c r="A19" s="4" t="str">
        <f t="shared" si="0"/>
        <v/>
      </c>
      <c r="B19" s="5" t="s">
        <v>213</v>
      </c>
      <c r="C19" s="4" t="s">
        <v>5</v>
      </c>
      <c r="D19" s="4">
        <v>2002</v>
      </c>
      <c r="E19" s="9">
        <f t="shared" si="1"/>
        <v>107.6000063800043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43</v>
      </c>
      <c r="K19" s="8" t="str">
        <f t="shared" si="6"/>
        <v>2023 Elite Canada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20.799999999999997</v>
      </c>
      <c r="O19" s="8" t="str">
        <f t="shared" si="8"/>
        <v>2023 Elite Canada</v>
      </c>
      <c r="P19" s="8">
        <f t="shared" si="9"/>
        <v>43.800000000000004</v>
      </c>
      <c r="Q19" s="8" t="str">
        <f t="shared" si="10"/>
        <v>2023 Elite Canada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4"/>
        <v/>
      </c>
      <c r="AQ19" s="40" t="str">
        <f t="shared" si="15"/>
        <v/>
      </c>
      <c r="AR19" s="40" t="str">
        <f t="shared" si="16"/>
        <v/>
      </c>
      <c r="AS19" s="40" t="str">
        <f t="shared" si="17"/>
        <v/>
      </c>
      <c r="AT19" s="40" t="str">
        <f t="shared" si="18"/>
        <v/>
      </c>
      <c r="AU19" s="40" t="str">
        <f t="shared" si="19"/>
        <v/>
      </c>
      <c r="AV19" s="40" t="str">
        <f t="shared" si="20"/>
        <v/>
      </c>
      <c r="AW19" s="40" t="str">
        <f t="shared" si="21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2"/>
        <v/>
      </c>
      <c r="BT19" s="11" t="str">
        <f t="shared" si="23"/>
        <v/>
      </c>
      <c r="BU19" s="11" t="str">
        <f t="shared" si="24"/>
        <v/>
      </c>
      <c r="BV19" s="11" t="str">
        <f t="shared" si="25"/>
        <v/>
      </c>
      <c r="BW19" s="11" t="str">
        <f t="shared" si="26"/>
        <v/>
      </c>
      <c r="BX19" s="11" t="str">
        <f t="shared" si="27"/>
        <v/>
      </c>
      <c r="BY19" s="11" t="str">
        <f t="shared" si="28"/>
        <v/>
      </c>
      <c r="BZ19" s="11" t="str">
        <f t="shared" si="29"/>
        <v/>
      </c>
      <c r="CA19" s="19">
        <v>18.8</v>
      </c>
      <c r="CB19" s="19">
        <v>2.7</v>
      </c>
      <c r="CC19" s="19">
        <v>0.3</v>
      </c>
      <c r="CD19" s="19">
        <v>0</v>
      </c>
      <c r="CE19" s="19">
        <v>18.399999999999999</v>
      </c>
      <c r="CF19" s="19">
        <v>3.6</v>
      </c>
      <c r="CG19" s="19">
        <v>0.2</v>
      </c>
      <c r="CH19" s="19">
        <v>0</v>
      </c>
      <c r="CI19" s="19">
        <v>18</v>
      </c>
      <c r="CJ19" s="19">
        <v>2.9</v>
      </c>
      <c r="CK19" s="19">
        <v>0.1</v>
      </c>
      <c r="CL19" s="19">
        <v>0</v>
      </c>
      <c r="CM19" s="19">
        <v>18.600000000000001</v>
      </c>
      <c r="CN19" s="19">
        <v>3.1</v>
      </c>
      <c r="CO19" s="19">
        <v>0</v>
      </c>
      <c r="CP19" s="19">
        <v>0</v>
      </c>
      <c r="CQ19" s="19">
        <v>18.899999999999999</v>
      </c>
      <c r="CR19" s="19">
        <v>3.2</v>
      </c>
      <c r="CS19" s="19">
        <v>0</v>
      </c>
      <c r="CT19" s="19">
        <v>0</v>
      </c>
      <c r="CU19" s="27"/>
      <c r="CV19" s="40">
        <f t="shared" si="30"/>
        <v>6.3000000000000007</v>
      </c>
      <c r="CW19" s="40">
        <f t="shared" si="31"/>
        <v>43</v>
      </c>
      <c r="CX19" s="40">
        <f t="shared" si="32"/>
        <v>20.799999999999997</v>
      </c>
      <c r="CY19" s="40">
        <f t="shared" si="33"/>
        <v>9.2000000000000011</v>
      </c>
      <c r="CZ19" s="40">
        <f t="shared" si="34"/>
        <v>63.8</v>
      </c>
      <c r="DA19" s="40">
        <f t="shared" si="35"/>
        <v>6.3000000000000007</v>
      </c>
      <c r="DB19" s="40">
        <f t="shared" si="36"/>
        <v>43.800000000000004</v>
      </c>
      <c r="DC19" s="40">
        <f t="shared" si="37"/>
        <v>86.800000000000011</v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9.4</v>
      </c>
      <c r="QF19" s="22">
        <f t="shared" si="138"/>
        <v>1.35</v>
      </c>
      <c r="QG19" s="22">
        <f t="shared" si="139"/>
        <v>0.15</v>
      </c>
      <c r="QH19" s="22">
        <f t="shared" si="140"/>
        <v>0</v>
      </c>
      <c r="QI19" s="22">
        <f t="shared" si="141"/>
        <v>9.1999999999999993</v>
      </c>
      <c r="QJ19" s="22">
        <f t="shared" si="142"/>
        <v>1.8</v>
      </c>
      <c r="QK19" s="22">
        <f t="shared" si="143"/>
        <v>0.1</v>
      </c>
      <c r="QL19" s="22">
        <f t="shared" si="144"/>
        <v>0</v>
      </c>
      <c r="QM19" s="22">
        <f t="shared" si="145"/>
        <v>9</v>
      </c>
      <c r="QN19" s="22">
        <f t="shared" si="146"/>
        <v>1.45</v>
      </c>
      <c r="QO19" s="22">
        <f t="shared" si="147"/>
        <v>0.05</v>
      </c>
      <c r="QP19" s="22">
        <f t="shared" si="148"/>
        <v>0</v>
      </c>
      <c r="QQ19" s="22">
        <f t="shared" si="149"/>
        <v>9.3000000000000007</v>
      </c>
      <c r="QR19" s="22">
        <f t="shared" si="150"/>
        <v>1.55</v>
      </c>
      <c r="QS19" s="22">
        <f t="shared" si="151"/>
        <v>0</v>
      </c>
      <c r="QT19" s="22">
        <f t="shared" si="152"/>
        <v>0</v>
      </c>
      <c r="QU19" s="22">
        <f t="shared" si="153"/>
        <v>9.4499999999999993</v>
      </c>
      <c r="QV19" s="22">
        <f t="shared" si="154"/>
        <v>1.6</v>
      </c>
      <c r="QW19" s="22">
        <f t="shared" si="155"/>
        <v>0</v>
      </c>
      <c r="QX19" s="22">
        <f t="shared" si="156"/>
        <v>0</v>
      </c>
      <c r="QY19" s="27" t="s">
        <v>46</v>
      </c>
      <c r="QZ19" s="40">
        <f t="shared" si="157"/>
        <v>3.1500000000000004</v>
      </c>
      <c r="RA19" s="40">
        <f t="shared" si="158"/>
        <v>21.5</v>
      </c>
      <c r="RB19" s="40">
        <f t="shared" si="159"/>
        <v>10.399999999999999</v>
      </c>
      <c r="RC19" s="40">
        <f t="shared" si="160"/>
        <v>4.6000000000000005</v>
      </c>
      <c r="RD19" s="40">
        <f t="shared" si="161"/>
        <v>31.9</v>
      </c>
      <c r="RE19" s="40">
        <f t="shared" si="162"/>
        <v>3.1500000000000004</v>
      </c>
      <c r="RF19" s="40">
        <f t="shared" si="163"/>
        <v>21.900000000000002</v>
      </c>
      <c r="RG19" s="40">
        <f t="shared" si="164"/>
        <v>43.400000000000006</v>
      </c>
    </row>
    <row r="20" spans="1:475" x14ac:dyDescent="0.2">
      <c r="A20" s="4" t="str">
        <f t="shared" si="0"/>
        <v/>
      </c>
      <c r="B20" s="5" t="s">
        <v>74</v>
      </c>
      <c r="C20" s="4" t="s">
        <v>5</v>
      </c>
      <c r="D20" s="4">
        <v>2003</v>
      </c>
      <c r="E20" s="9">
        <f t="shared" si="1"/>
        <v>107.30001073000429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42.9</v>
      </c>
      <c r="K20" s="8" t="str">
        <f t="shared" si="6"/>
        <v>2023 Elite Canada</v>
      </c>
      <c r="L20" s="8">
        <f>IF(COUNT(AQ20,BT20,CW20)&gt;1,LARGE((AQ20,BT20,CW20),2),0)</f>
        <v>42.2</v>
      </c>
      <c r="M20" s="8" t="str">
        <f t="shared" si="7"/>
        <v>2022 Nationals</v>
      </c>
      <c r="N20" s="8">
        <f>IF(COUNT(AR20,BU20,CX20)&gt;0,LARGE((AR20,BU20,CX20),1),0)</f>
        <v>22.2</v>
      </c>
      <c r="O20" s="8" t="str">
        <f t="shared" si="8"/>
        <v>2022 Nationals</v>
      </c>
      <c r="P20" s="8">
        <f t="shared" si="9"/>
        <v>0</v>
      </c>
      <c r="Q20" s="8" t="str">
        <f t="shared" si="10"/>
        <v/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>
        <v>16.600000000000001</v>
      </c>
      <c r="V20" s="19">
        <v>3</v>
      </c>
      <c r="W20" s="19">
        <v>1.5999999999999999</v>
      </c>
      <c r="X20" s="19">
        <v>0</v>
      </c>
      <c r="Y20" s="19">
        <v>18.600000000000001</v>
      </c>
      <c r="Z20" s="19">
        <v>5.6</v>
      </c>
      <c r="AA20" s="19">
        <v>0</v>
      </c>
      <c r="AB20" s="19">
        <v>0</v>
      </c>
      <c r="AC20" s="19">
        <v>18.2</v>
      </c>
      <c r="AD20" s="19">
        <v>4.8</v>
      </c>
      <c r="AE20" s="19">
        <v>0.8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4"/>
        <v>8.6</v>
      </c>
      <c r="AQ20" s="40">
        <f t="shared" si="15"/>
        <v>42.2</v>
      </c>
      <c r="AR20" s="40">
        <f t="shared" si="16"/>
        <v>22.2</v>
      </c>
      <c r="AS20" s="40">
        <f t="shared" si="17"/>
        <v>13.399999999999999</v>
      </c>
      <c r="AT20" s="40">
        <f t="shared" si="18"/>
        <v>64.400000000000006</v>
      </c>
      <c r="AU20" s="40" t="str">
        <f t="shared" si="19"/>
        <v/>
      </c>
      <c r="AV20" s="40" t="str">
        <f t="shared" si="20"/>
        <v/>
      </c>
      <c r="AW20" s="40">
        <f t="shared" si="21"/>
        <v>42.2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2"/>
        <v/>
      </c>
      <c r="BT20" s="11" t="str">
        <f t="shared" si="23"/>
        <v/>
      </c>
      <c r="BU20" s="11" t="str">
        <f t="shared" si="24"/>
        <v/>
      </c>
      <c r="BV20" s="11" t="str">
        <f t="shared" si="25"/>
        <v/>
      </c>
      <c r="BW20" s="11" t="str">
        <f t="shared" si="26"/>
        <v/>
      </c>
      <c r="BX20" s="11" t="str">
        <f t="shared" si="27"/>
        <v/>
      </c>
      <c r="BY20" s="11" t="str">
        <f t="shared" si="28"/>
        <v/>
      </c>
      <c r="BZ20" s="11" t="str">
        <f t="shared" si="29"/>
        <v/>
      </c>
      <c r="CA20" s="19">
        <v>17.399999999999999</v>
      </c>
      <c r="CB20" s="19">
        <v>2.9</v>
      </c>
      <c r="CC20" s="19">
        <v>1.2</v>
      </c>
      <c r="CD20" s="19">
        <v>0</v>
      </c>
      <c r="CE20" s="19">
        <v>18.2</v>
      </c>
      <c r="CF20" s="19">
        <v>5.6</v>
      </c>
      <c r="CG20" s="19">
        <v>0</v>
      </c>
      <c r="CH20" s="19">
        <v>0</v>
      </c>
      <c r="CI20" s="19">
        <v>17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30"/>
        <v>8.5</v>
      </c>
      <c r="CW20" s="40">
        <f t="shared" si="31"/>
        <v>42.9</v>
      </c>
      <c r="CX20" s="40">
        <f t="shared" si="32"/>
        <v>19.8</v>
      </c>
      <c r="CY20" s="40">
        <f t="shared" si="33"/>
        <v>11.3</v>
      </c>
      <c r="CZ20" s="40">
        <f t="shared" si="34"/>
        <v>62.7</v>
      </c>
      <c r="DA20" s="40" t="str">
        <f t="shared" si="35"/>
        <v/>
      </c>
      <c r="DB20" s="40" t="str">
        <f t="shared" si="36"/>
        <v/>
      </c>
      <c r="DC20" s="40">
        <f t="shared" si="37"/>
        <v>42.9</v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8.6999999999999993</v>
      </c>
      <c r="QF20" s="22">
        <f t="shared" si="138"/>
        <v>1.45</v>
      </c>
      <c r="QG20" s="22">
        <f t="shared" si="139"/>
        <v>0.6</v>
      </c>
      <c r="QH20" s="22">
        <f t="shared" si="140"/>
        <v>0</v>
      </c>
      <c r="QI20" s="22">
        <f t="shared" si="141"/>
        <v>9.1</v>
      </c>
      <c r="QJ20" s="22">
        <f t="shared" si="142"/>
        <v>2.8</v>
      </c>
      <c r="QK20" s="22">
        <f t="shared" si="143"/>
        <v>0</v>
      </c>
      <c r="QL20" s="22">
        <f t="shared" si="144"/>
        <v>0</v>
      </c>
      <c r="QM20" s="22">
        <f t="shared" si="145"/>
        <v>8.5</v>
      </c>
      <c r="QN20" s="22">
        <f t="shared" si="146"/>
        <v>1.4</v>
      </c>
      <c r="QO20" s="22">
        <f t="shared" si="147"/>
        <v>0</v>
      </c>
      <c r="QP20" s="22">
        <f t="shared" si="148"/>
        <v>0</v>
      </c>
      <c r="QQ20" s="22">
        <f t="shared" si="149"/>
        <v>0</v>
      </c>
      <c r="QR20" s="22">
        <f t="shared" si="150"/>
        <v>0</v>
      </c>
      <c r="QS20" s="22">
        <f t="shared" si="151"/>
        <v>0</v>
      </c>
      <c r="QT20" s="22">
        <f t="shared" si="152"/>
        <v>0</v>
      </c>
      <c r="QU20" s="22">
        <f t="shared" si="153"/>
        <v>0</v>
      </c>
      <c r="QV20" s="22">
        <f t="shared" si="154"/>
        <v>0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4.25</v>
      </c>
      <c r="RA20" s="40">
        <f t="shared" si="158"/>
        <v>21.45</v>
      </c>
      <c r="RB20" s="40">
        <f t="shared" si="159"/>
        <v>9.9</v>
      </c>
      <c r="RC20" s="40">
        <f t="shared" si="160"/>
        <v>5.65</v>
      </c>
      <c r="RD20" s="40">
        <f t="shared" si="161"/>
        <v>31.35</v>
      </c>
      <c r="RE20" s="40" t="str">
        <f t="shared" si="162"/>
        <v/>
      </c>
      <c r="RF20" s="40" t="str">
        <f t="shared" si="163"/>
        <v/>
      </c>
      <c r="RG20" s="40">
        <f t="shared" si="164"/>
        <v>21.45</v>
      </c>
    </row>
    <row r="21" spans="1:475" x14ac:dyDescent="0.2">
      <c r="A21" s="4" t="str">
        <f t="shared" si="0"/>
        <v/>
      </c>
      <c r="B21" s="5" t="s">
        <v>174</v>
      </c>
      <c r="C21" s="4" t="s">
        <v>5</v>
      </c>
      <c r="D21" s="4">
        <v>2005</v>
      </c>
      <c r="E21" s="9">
        <f t="shared" si="1"/>
        <v>106.60000633000435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43.5</v>
      </c>
      <c r="K21" s="8" t="str">
        <f t="shared" si="6"/>
        <v>2022 Nationals</v>
      </c>
      <c r="L21" s="8">
        <f>IF(COUNT(AQ21,BT21,CW21)&gt;1,LARGE((AQ21,BT21,CW21),2),0)</f>
        <v>0</v>
      </c>
      <c r="M21" s="8" t="str">
        <f t="shared" si="7"/>
        <v/>
      </c>
      <c r="N21" s="8">
        <f>IF(COUNT(AR21,BU21,CX21)&gt;0,LARGE((AR21,BU21,CX21),1),0)</f>
        <v>19.8</v>
      </c>
      <c r="O21" s="8" t="str">
        <f t="shared" si="8"/>
        <v>2022 Nationals</v>
      </c>
      <c r="P21" s="8">
        <f t="shared" si="9"/>
        <v>43.300000000000004</v>
      </c>
      <c r="Q21" s="8" t="str">
        <f t="shared" si="10"/>
        <v>2022 Nationals</v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>
        <v>18.2</v>
      </c>
      <c r="V21" s="19">
        <v>3.5</v>
      </c>
      <c r="W21" s="19">
        <v>0.2</v>
      </c>
      <c r="X21" s="19">
        <v>0</v>
      </c>
      <c r="Y21" s="19">
        <v>18</v>
      </c>
      <c r="Z21" s="19">
        <v>4.8</v>
      </c>
      <c r="AA21" s="19">
        <v>0.8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>
        <v>18</v>
      </c>
      <c r="AH21" s="19">
        <v>4.8</v>
      </c>
      <c r="AI21" s="19">
        <v>0.8</v>
      </c>
      <c r="AJ21" s="19">
        <v>0</v>
      </c>
      <c r="AK21" s="19">
        <v>18.399999999999999</v>
      </c>
      <c r="AL21" s="19">
        <v>3.5</v>
      </c>
      <c r="AM21" s="19">
        <v>0.6</v>
      </c>
      <c r="AN21" s="19">
        <v>0</v>
      </c>
      <c r="AO21" s="27"/>
      <c r="AP21" s="40">
        <f t="shared" si="14"/>
        <v>8.3000000000000007</v>
      </c>
      <c r="AQ21" s="40">
        <f t="shared" si="15"/>
        <v>43.5</v>
      </c>
      <c r="AR21" s="40">
        <f t="shared" si="16"/>
        <v>19.8</v>
      </c>
      <c r="AS21" s="40">
        <f t="shared" si="17"/>
        <v>11.100000000000001</v>
      </c>
      <c r="AT21" s="40">
        <f t="shared" si="18"/>
        <v>63.3</v>
      </c>
      <c r="AU21" s="40">
        <f t="shared" si="19"/>
        <v>8.3000000000000007</v>
      </c>
      <c r="AV21" s="40">
        <f t="shared" si="20"/>
        <v>43.300000000000004</v>
      </c>
      <c r="AW21" s="40">
        <f t="shared" si="21"/>
        <v>86.800000000000011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40" t="str">
        <f t="shared" si="36"/>
        <v/>
      </c>
      <c r="DC21" s="40" t="str">
        <f t="shared" si="37"/>
        <v/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0</v>
      </c>
      <c r="QF21" s="22">
        <f t="shared" si="138"/>
        <v>0</v>
      </c>
      <c r="QG21" s="22">
        <f t="shared" si="139"/>
        <v>0</v>
      </c>
      <c r="QH21" s="22">
        <f t="shared" si="140"/>
        <v>0</v>
      </c>
      <c r="QI21" s="22">
        <f t="shared" si="141"/>
        <v>0</v>
      </c>
      <c r="QJ21" s="22">
        <f t="shared" si="142"/>
        <v>0</v>
      </c>
      <c r="QK21" s="22">
        <f t="shared" si="143"/>
        <v>0</v>
      </c>
      <c r="QL21" s="22">
        <f t="shared" si="144"/>
        <v>0</v>
      </c>
      <c r="QM21" s="22">
        <f t="shared" si="145"/>
        <v>0</v>
      </c>
      <c r="QN21" s="22">
        <f t="shared" si="146"/>
        <v>0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 t="str">
        <f t="shared" si="157"/>
        <v/>
      </c>
      <c r="RA21" s="40" t="str">
        <f t="shared" si="158"/>
        <v/>
      </c>
      <c r="RB21" s="40" t="str">
        <f t="shared" si="159"/>
        <v/>
      </c>
      <c r="RC21" s="40" t="str">
        <f t="shared" si="160"/>
        <v/>
      </c>
      <c r="RD21" s="40" t="str">
        <f t="shared" si="161"/>
        <v/>
      </c>
      <c r="RE21" s="40" t="str">
        <f t="shared" si="162"/>
        <v/>
      </c>
      <c r="RF21" s="40" t="str">
        <f t="shared" si="163"/>
        <v/>
      </c>
      <c r="RG21" s="40" t="str">
        <f t="shared" si="164"/>
        <v/>
      </c>
    </row>
    <row r="22" spans="1:475" x14ac:dyDescent="0.2">
      <c r="A22" s="4" t="str">
        <f t="shared" si="0"/>
        <v/>
      </c>
      <c r="B22" s="5" t="s">
        <v>185</v>
      </c>
      <c r="C22" s="4" t="s">
        <v>4</v>
      </c>
      <c r="D22" s="4">
        <v>2005</v>
      </c>
      <c r="E22" s="9">
        <f t="shared" si="1"/>
        <v>101.0000101000042</v>
      </c>
      <c r="F22" s="3" t="str">
        <f t="shared" si="2"/>
        <v/>
      </c>
      <c r="G22" s="3" t="str">
        <f t="shared" si="3"/>
        <v/>
      </c>
      <c r="H22" s="36" t="str">
        <f t="shared" si="4"/>
        <v/>
      </c>
      <c r="I22" s="3" t="str">
        <f t="shared" si="5"/>
        <v/>
      </c>
      <c r="J22" s="8">
        <f>IF(COUNT(AQ22,BT22,CW22)&gt;0,LARGE((AQ22,BT22,CW22),1),0)</f>
        <v>41.900000000000006</v>
      </c>
      <c r="K22" s="8" t="str">
        <f t="shared" si="6"/>
        <v>2023 Elite Canada</v>
      </c>
      <c r="L22" s="8">
        <f>IF(COUNT(AQ22,BT22,CW22)&gt;1,LARGE((AQ22,BT22,CW22),2),0)</f>
        <v>37.4</v>
      </c>
      <c r="M22" s="8" t="str">
        <f t="shared" si="7"/>
        <v>2022 Nationals</v>
      </c>
      <c r="N22" s="8">
        <f>IF(COUNT(AR22,BU22,CX22)&gt;0,LARGE((AR22,BU22,CX22),1),0)</f>
        <v>21.7</v>
      </c>
      <c r="O22" s="8" t="str">
        <f t="shared" si="8"/>
        <v>2022 Nationals</v>
      </c>
      <c r="P22" s="8">
        <f t="shared" si="9"/>
        <v>0</v>
      </c>
      <c r="Q22" s="8" t="str">
        <f t="shared" si="10"/>
        <v/>
      </c>
      <c r="R22" s="8" t="str">
        <f t="shared" si="11"/>
        <v/>
      </c>
      <c r="S22" s="11" t="str">
        <f t="shared" si="12"/>
        <v/>
      </c>
      <c r="T22" s="8" t="str">
        <f t="shared" si="13"/>
        <v/>
      </c>
      <c r="U22" s="19">
        <v>17</v>
      </c>
      <c r="V22" s="19">
        <v>2</v>
      </c>
      <c r="W22" s="19">
        <v>0</v>
      </c>
      <c r="X22" s="19">
        <v>0</v>
      </c>
      <c r="Y22" s="19">
        <v>16.3</v>
      </c>
      <c r="Z22" s="19">
        <v>2.7</v>
      </c>
      <c r="AA22" s="19">
        <v>0.6</v>
      </c>
      <c r="AB22" s="19">
        <v>0</v>
      </c>
      <c r="AC22" s="19">
        <v>18.8</v>
      </c>
      <c r="AD22" s="19">
        <v>2.9</v>
      </c>
      <c r="AE22" s="19">
        <v>0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 t="shared" si="14"/>
        <v>4.7</v>
      </c>
      <c r="AQ22" s="40">
        <f t="shared" si="15"/>
        <v>37.4</v>
      </c>
      <c r="AR22" s="40">
        <f t="shared" si="16"/>
        <v>21.7</v>
      </c>
      <c r="AS22" s="40">
        <f t="shared" si="17"/>
        <v>7.6</v>
      </c>
      <c r="AT22" s="40">
        <f t="shared" si="18"/>
        <v>59.099999999999994</v>
      </c>
      <c r="AU22" s="40" t="str">
        <f t="shared" si="19"/>
        <v/>
      </c>
      <c r="AV22" s="40" t="str">
        <f t="shared" si="20"/>
        <v/>
      </c>
      <c r="AW22" s="40">
        <f t="shared" si="21"/>
        <v>37.4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2"/>
        <v/>
      </c>
      <c r="BT22" s="11" t="str">
        <f t="shared" si="23"/>
        <v/>
      </c>
      <c r="BU22" s="11" t="str">
        <f t="shared" si="24"/>
        <v/>
      </c>
      <c r="BV22" s="11" t="str">
        <f t="shared" si="25"/>
        <v/>
      </c>
      <c r="BW22" s="11" t="str">
        <f t="shared" si="26"/>
        <v/>
      </c>
      <c r="BX22" s="11" t="str">
        <f t="shared" si="27"/>
        <v/>
      </c>
      <c r="BY22" s="11" t="str">
        <f t="shared" si="28"/>
        <v/>
      </c>
      <c r="BZ22" s="11" t="str">
        <f t="shared" si="29"/>
        <v/>
      </c>
      <c r="CA22" s="19">
        <v>17.600000000000001</v>
      </c>
      <c r="CB22" s="19">
        <v>3.3</v>
      </c>
      <c r="CC22" s="19">
        <v>0.2</v>
      </c>
      <c r="CD22" s="19">
        <v>0</v>
      </c>
      <c r="CE22" s="19">
        <v>18</v>
      </c>
      <c r="CF22" s="19">
        <v>3.2</v>
      </c>
      <c r="CG22" s="19">
        <v>0</v>
      </c>
      <c r="CH22" s="19">
        <v>0</v>
      </c>
      <c r="CI22" s="19">
        <v>17.2</v>
      </c>
      <c r="CJ22" s="19">
        <v>0.7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30"/>
        <v>6.5</v>
      </c>
      <c r="CW22" s="40">
        <f t="shared" si="31"/>
        <v>41.900000000000006</v>
      </c>
      <c r="CX22" s="40">
        <f t="shared" si="32"/>
        <v>17.899999999999999</v>
      </c>
      <c r="CY22" s="40">
        <f t="shared" si="33"/>
        <v>7.2</v>
      </c>
      <c r="CZ22" s="40">
        <f t="shared" si="34"/>
        <v>59.800000000000004</v>
      </c>
      <c r="DA22" s="40" t="str">
        <f t="shared" si="35"/>
        <v/>
      </c>
      <c r="DB22" s="40" t="str">
        <f t="shared" si="36"/>
        <v/>
      </c>
      <c r="DC22" s="40">
        <f t="shared" si="37"/>
        <v>41.900000000000006</v>
      </c>
      <c r="DD22" s="50" t="str">
        <f t="shared" si="38"/>
        <v/>
      </c>
      <c r="DE22" s="50" t="str">
        <f t="shared" si="39"/>
        <v/>
      </c>
      <c r="DF22" s="50" t="str">
        <f t="shared" si="40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40" t="str">
        <f t="shared" si="46"/>
        <v/>
      </c>
      <c r="EG22" s="40" t="str">
        <f t="shared" si="47"/>
        <v/>
      </c>
      <c r="EH22" s="40" t="str">
        <f t="shared" si="48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1" t="str">
        <f t="shared" si="54"/>
        <v/>
      </c>
      <c r="FI22" s="11" t="str">
        <f t="shared" si="55"/>
        <v/>
      </c>
      <c r="FJ22" s="11" t="str">
        <f t="shared" si="56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40" t="str">
        <f t="shared" si="62"/>
        <v/>
      </c>
      <c r="GK22" s="40" t="str">
        <f t="shared" si="63"/>
        <v/>
      </c>
      <c r="GL22" s="40" t="str">
        <f t="shared" si="64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1" t="str">
        <f t="shared" si="70"/>
        <v/>
      </c>
      <c r="HM22" s="11" t="str">
        <f t="shared" si="71"/>
        <v/>
      </c>
      <c r="HN22" s="11" t="str">
        <f t="shared" si="72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40" t="str">
        <f t="shared" si="78"/>
        <v/>
      </c>
      <c r="IO22" s="40" t="str">
        <f t="shared" si="79"/>
        <v/>
      </c>
      <c r="IP22" s="40" t="str">
        <f t="shared" si="80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1" t="str">
        <f t="shared" si="86"/>
        <v/>
      </c>
      <c r="JQ22" s="11" t="str">
        <f t="shared" si="87"/>
        <v/>
      </c>
      <c r="JR22" s="11" t="str">
        <f t="shared" si="88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40" t="str">
        <f t="shared" si="94"/>
        <v/>
      </c>
      <c r="KS22" s="40" t="str">
        <f t="shared" si="95"/>
        <v/>
      </c>
      <c r="KT22" s="40" t="str">
        <f t="shared" si="96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1" t="str">
        <f t="shared" si="102"/>
        <v/>
      </c>
      <c r="LU22" s="11" t="str">
        <f t="shared" si="103"/>
        <v/>
      </c>
      <c r="LV22" s="11" t="str">
        <f t="shared" si="104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40" t="str">
        <f t="shared" si="110"/>
        <v/>
      </c>
      <c r="MW22" s="40" t="str">
        <f t="shared" si="111"/>
        <v/>
      </c>
      <c r="MX22" s="40" t="str">
        <f t="shared" si="112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1" t="str">
        <f t="shared" si="118"/>
        <v/>
      </c>
      <c r="NY22" s="11" t="str">
        <f t="shared" si="119"/>
        <v/>
      </c>
      <c r="NZ22" s="11" t="str">
        <f t="shared" si="120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40" t="str">
        <f t="shared" si="126"/>
        <v/>
      </c>
      <c r="PA22" s="40" t="str">
        <f t="shared" si="127"/>
        <v/>
      </c>
      <c r="PB22" s="40" t="str">
        <f t="shared" si="128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1" t="str">
        <f t="shared" si="134"/>
        <v/>
      </c>
      <c r="QC22" s="11" t="str">
        <f t="shared" si="135"/>
        <v/>
      </c>
      <c r="QD22" s="11" t="str">
        <f t="shared" si="136"/>
        <v/>
      </c>
      <c r="QE22" s="22">
        <f t="shared" si="137"/>
        <v>8.8000000000000007</v>
      </c>
      <c r="QF22" s="22">
        <f t="shared" si="138"/>
        <v>1.65</v>
      </c>
      <c r="QG22" s="22">
        <f t="shared" si="139"/>
        <v>0.1</v>
      </c>
      <c r="QH22" s="22">
        <f t="shared" si="140"/>
        <v>0</v>
      </c>
      <c r="QI22" s="22">
        <f t="shared" si="141"/>
        <v>9</v>
      </c>
      <c r="QJ22" s="22">
        <f t="shared" si="142"/>
        <v>1.6</v>
      </c>
      <c r="QK22" s="22">
        <f t="shared" si="143"/>
        <v>0</v>
      </c>
      <c r="QL22" s="22">
        <f t="shared" si="144"/>
        <v>0</v>
      </c>
      <c r="QM22" s="22">
        <f t="shared" si="145"/>
        <v>8.6</v>
      </c>
      <c r="QN22" s="22">
        <f t="shared" si="146"/>
        <v>0.35</v>
      </c>
      <c r="QO22" s="22">
        <f t="shared" si="147"/>
        <v>0</v>
      </c>
      <c r="QP22" s="22">
        <f t="shared" si="148"/>
        <v>0</v>
      </c>
      <c r="QQ22" s="22">
        <f t="shared" si="149"/>
        <v>0</v>
      </c>
      <c r="QR22" s="22">
        <f t="shared" si="150"/>
        <v>0</v>
      </c>
      <c r="QS22" s="22">
        <f t="shared" si="151"/>
        <v>0</v>
      </c>
      <c r="QT22" s="22">
        <f t="shared" si="152"/>
        <v>0</v>
      </c>
      <c r="QU22" s="22">
        <f t="shared" si="153"/>
        <v>0</v>
      </c>
      <c r="QV22" s="22">
        <f t="shared" si="154"/>
        <v>0</v>
      </c>
      <c r="QW22" s="22">
        <f t="shared" si="155"/>
        <v>0</v>
      </c>
      <c r="QX22" s="22">
        <f t="shared" si="156"/>
        <v>0</v>
      </c>
      <c r="QY22" s="27" t="s">
        <v>46</v>
      </c>
      <c r="QZ22" s="40">
        <f t="shared" si="157"/>
        <v>3.25</v>
      </c>
      <c r="RA22" s="40">
        <f t="shared" si="158"/>
        <v>20.950000000000003</v>
      </c>
      <c r="RB22" s="40">
        <f t="shared" si="159"/>
        <v>8.9499999999999993</v>
      </c>
      <c r="RC22" s="40">
        <f t="shared" si="160"/>
        <v>3.6</v>
      </c>
      <c r="RD22" s="40">
        <f t="shared" si="161"/>
        <v>29.900000000000002</v>
      </c>
      <c r="RE22" s="40" t="str">
        <f t="shared" si="162"/>
        <v/>
      </c>
      <c r="RF22" s="40" t="str">
        <f t="shared" si="163"/>
        <v/>
      </c>
      <c r="RG22" s="40">
        <f t="shared" si="164"/>
        <v>20.950000000000003</v>
      </c>
    </row>
    <row r="23" spans="1:475" x14ac:dyDescent="0.2">
      <c r="A23" s="4" t="str">
        <f t="shared" si="0"/>
        <v/>
      </c>
      <c r="B23" s="5" t="s">
        <v>184</v>
      </c>
      <c r="C23" s="4" t="s">
        <v>4</v>
      </c>
      <c r="D23" s="4">
        <v>2003</v>
      </c>
      <c r="E23" s="9">
        <f t="shared" si="1"/>
        <v>98.400009840003918</v>
      </c>
      <c r="F23" s="3" t="str">
        <f t="shared" si="2"/>
        <v/>
      </c>
      <c r="G23" s="3" t="str">
        <f t="shared" si="3"/>
        <v/>
      </c>
      <c r="H23" s="36" t="str">
        <f t="shared" si="4"/>
        <v/>
      </c>
      <c r="I23" s="3" t="str">
        <f t="shared" si="5"/>
        <v/>
      </c>
      <c r="J23" s="8">
        <f>IF(COUNT(AQ23,BT23,CW23)&gt;0,LARGE((AQ23,BT23,CW23),1),0)</f>
        <v>39.100000000000009</v>
      </c>
      <c r="K23" s="8" t="str">
        <f t="shared" si="6"/>
        <v>2022 Nationals</v>
      </c>
      <c r="L23" s="8">
        <f>IF(COUNT(AQ23,BT23,CW23)&gt;1,LARGE((AQ23,BT23,CW23),2),0)</f>
        <v>37.700000000000003</v>
      </c>
      <c r="M23" s="8" t="str">
        <f t="shared" si="7"/>
        <v>2023 Elite Canada</v>
      </c>
      <c r="N23" s="8">
        <f>IF(COUNT(AR23,BU23,CX23)&gt;0,LARGE((AR23,BU23,CX23),1),0)</f>
        <v>21.6</v>
      </c>
      <c r="O23" s="8" t="str">
        <f t="shared" si="8"/>
        <v>2022 Nationals</v>
      </c>
      <c r="P23" s="8">
        <f t="shared" si="9"/>
        <v>0</v>
      </c>
      <c r="Q23" s="8" t="str">
        <f t="shared" si="10"/>
        <v/>
      </c>
      <c r="R23" s="8" t="str">
        <f t="shared" si="11"/>
        <v/>
      </c>
      <c r="S23" s="11" t="str">
        <f t="shared" si="12"/>
        <v/>
      </c>
      <c r="T23" s="8" t="str">
        <f t="shared" si="13"/>
        <v/>
      </c>
      <c r="U23" s="19">
        <v>18</v>
      </c>
      <c r="V23" s="19">
        <v>3.2</v>
      </c>
      <c r="W23" s="19">
        <v>0.8</v>
      </c>
      <c r="X23" s="19">
        <v>0</v>
      </c>
      <c r="Y23" s="19">
        <v>18</v>
      </c>
      <c r="Z23" s="19">
        <v>0.7</v>
      </c>
      <c r="AA23" s="19">
        <v>0</v>
      </c>
      <c r="AB23" s="19">
        <v>0</v>
      </c>
      <c r="AC23" s="19">
        <v>18.600000000000001</v>
      </c>
      <c r="AD23" s="19">
        <v>3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4"/>
        <v>3.9000000000000004</v>
      </c>
      <c r="AQ23" s="40">
        <f t="shared" si="15"/>
        <v>39.100000000000009</v>
      </c>
      <c r="AR23" s="40">
        <f t="shared" si="16"/>
        <v>21.6</v>
      </c>
      <c r="AS23" s="40">
        <f t="shared" si="17"/>
        <v>6.9</v>
      </c>
      <c r="AT23" s="40">
        <f t="shared" si="18"/>
        <v>60.70000000000001</v>
      </c>
      <c r="AU23" s="40" t="str">
        <f t="shared" si="19"/>
        <v/>
      </c>
      <c r="AV23" s="40" t="str">
        <f t="shared" si="20"/>
        <v/>
      </c>
      <c r="AW23" s="40">
        <f t="shared" si="21"/>
        <v>39.100000000000009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2"/>
        <v/>
      </c>
      <c r="BT23" s="11" t="str">
        <f t="shared" si="23"/>
        <v/>
      </c>
      <c r="BU23" s="11" t="str">
        <f t="shared" si="24"/>
        <v/>
      </c>
      <c r="BV23" s="11" t="str">
        <f t="shared" si="25"/>
        <v/>
      </c>
      <c r="BW23" s="11" t="str">
        <f t="shared" si="26"/>
        <v/>
      </c>
      <c r="BX23" s="11" t="str">
        <f t="shared" si="27"/>
        <v/>
      </c>
      <c r="BY23" s="11" t="str">
        <f t="shared" si="28"/>
        <v/>
      </c>
      <c r="BZ23" s="11" t="str">
        <f t="shared" si="29"/>
        <v/>
      </c>
      <c r="CA23" s="19">
        <v>18.2</v>
      </c>
      <c r="CB23" s="19">
        <v>2.7</v>
      </c>
      <c r="CC23" s="19">
        <v>1.1000000000000001</v>
      </c>
      <c r="CD23" s="19">
        <v>0</v>
      </c>
      <c r="CE23" s="19">
        <v>17.3</v>
      </c>
      <c r="CF23" s="19">
        <v>0.6</v>
      </c>
      <c r="CG23" s="19">
        <v>0</v>
      </c>
      <c r="CH23" s="19">
        <v>0</v>
      </c>
      <c r="CI23" s="19">
        <v>17.399999999999999</v>
      </c>
      <c r="CJ23" s="19">
        <v>1.1000000000000001</v>
      </c>
      <c r="CK23" s="19">
        <v>0.6</v>
      </c>
      <c r="CL23" s="19">
        <v>3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30"/>
        <v>3.3000000000000003</v>
      </c>
      <c r="CW23" s="40">
        <f t="shared" si="31"/>
        <v>37.700000000000003</v>
      </c>
      <c r="CX23" s="40">
        <f t="shared" si="32"/>
        <v>20.9</v>
      </c>
      <c r="CY23" s="40">
        <f t="shared" si="33"/>
        <v>4.4000000000000004</v>
      </c>
      <c r="CZ23" s="40">
        <f t="shared" si="34"/>
        <v>58.6</v>
      </c>
      <c r="DA23" s="40" t="str">
        <f t="shared" si="35"/>
        <v/>
      </c>
      <c r="DB23" s="40" t="str">
        <f t="shared" si="36"/>
        <v/>
      </c>
      <c r="DC23" s="40">
        <f t="shared" si="37"/>
        <v>37.700000000000003</v>
      </c>
      <c r="DD23" s="50" t="str">
        <f t="shared" si="38"/>
        <v/>
      </c>
      <c r="DE23" s="50" t="str">
        <f t="shared" si="39"/>
        <v/>
      </c>
      <c r="DF23" s="50" t="str">
        <f t="shared" si="40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40" t="str">
        <f t="shared" si="46"/>
        <v/>
      </c>
      <c r="EG23" s="40" t="str">
        <f t="shared" si="47"/>
        <v/>
      </c>
      <c r="EH23" s="40" t="str">
        <f t="shared" si="48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1" t="str">
        <f t="shared" si="54"/>
        <v/>
      </c>
      <c r="FI23" s="11" t="str">
        <f t="shared" si="55"/>
        <v/>
      </c>
      <c r="FJ23" s="11" t="str">
        <f t="shared" si="56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40" t="str">
        <f t="shared" si="62"/>
        <v/>
      </c>
      <c r="GK23" s="40" t="str">
        <f t="shared" si="63"/>
        <v/>
      </c>
      <c r="GL23" s="40" t="str">
        <f t="shared" si="64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1" t="str">
        <f t="shared" si="70"/>
        <v/>
      </c>
      <c r="HM23" s="11" t="str">
        <f t="shared" si="71"/>
        <v/>
      </c>
      <c r="HN23" s="11" t="str">
        <f t="shared" si="72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40" t="str">
        <f t="shared" si="78"/>
        <v/>
      </c>
      <c r="IO23" s="40" t="str">
        <f t="shared" si="79"/>
        <v/>
      </c>
      <c r="IP23" s="40" t="str">
        <f t="shared" si="80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1" t="str">
        <f t="shared" si="86"/>
        <v/>
      </c>
      <c r="JQ23" s="11" t="str">
        <f t="shared" si="87"/>
        <v/>
      </c>
      <c r="JR23" s="11" t="str">
        <f t="shared" si="88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40" t="str">
        <f t="shared" si="94"/>
        <v/>
      </c>
      <c r="KS23" s="40" t="str">
        <f t="shared" si="95"/>
        <v/>
      </c>
      <c r="KT23" s="40" t="str">
        <f t="shared" si="96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1" t="str">
        <f t="shared" si="102"/>
        <v/>
      </c>
      <c r="LU23" s="11" t="str">
        <f t="shared" si="103"/>
        <v/>
      </c>
      <c r="LV23" s="11" t="str">
        <f t="shared" si="104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40" t="str">
        <f t="shared" si="110"/>
        <v/>
      </c>
      <c r="MW23" s="40" t="str">
        <f t="shared" si="111"/>
        <v/>
      </c>
      <c r="MX23" s="40" t="str">
        <f t="shared" si="112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1" t="str">
        <f t="shared" si="118"/>
        <v/>
      </c>
      <c r="NY23" s="11" t="str">
        <f t="shared" si="119"/>
        <v/>
      </c>
      <c r="NZ23" s="11" t="str">
        <f t="shared" si="120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40" t="str">
        <f t="shared" si="126"/>
        <v/>
      </c>
      <c r="PA23" s="40" t="str">
        <f t="shared" si="127"/>
        <v/>
      </c>
      <c r="PB23" s="40" t="str">
        <f t="shared" si="128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1" t="str">
        <f t="shared" si="134"/>
        <v/>
      </c>
      <c r="QC23" s="11" t="str">
        <f t="shared" si="135"/>
        <v/>
      </c>
      <c r="QD23" s="11" t="str">
        <f t="shared" si="136"/>
        <v/>
      </c>
      <c r="QE23" s="22">
        <f t="shared" si="137"/>
        <v>9.1</v>
      </c>
      <c r="QF23" s="22">
        <f t="shared" si="138"/>
        <v>1.35</v>
      </c>
      <c r="QG23" s="22">
        <f t="shared" si="139"/>
        <v>0.55000000000000004</v>
      </c>
      <c r="QH23" s="22">
        <f t="shared" si="140"/>
        <v>0</v>
      </c>
      <c r="QI23" s="22">
        <f t="shared" si="141"/>
        <v>8.65</v>
      </c>
      <c r="QJ23" s="22">
        <f t="shared" si="142"/>
        <v>0.3</v>
      </c>
      <c r="QK23" s="22">
        <f t="shared" si="143"/>
        <v>0</v>
      </c>
      <c r="QL23" s="22">
        <f t="shared" si="144"/>
        <v>0</v>
      </c>
      <c r="QM23" s="22">
        <f t="shared" si="145"/>
        <v>8.6999999999999993</v>
      </c>
      <c r="QN23" s="22">
        <f t="shared" si="146"/>
        <v>0.55000000000000004</v>
      </c>
      <c r="QO23" s="22">
        <f t="shared" si="147"/>
        <v>0.3</v>
      </c>
      <c r="QP23" s="22">
        <f t="shared" si="148"/>
        <v>1.5</v>
      </c>
      <c r="QQ23" s="22">
        <f t="shared" si="149"/>
        <v>0</v>
      </c>
      <c r="QR23" s="22">
        <f t="shared" si="150"/>
        <v>0</v>
      </c>
      <c r="QS23" s="22">
        <f t="shared" si="151"/>
        <v>0</v>
      </c>
      <c r="QT23" s="22">
        <f t="shared" si="152"/>
        <v>0</v>
      </c>
      <c r="QU23" s="22">
        <f t="shared" si="153"/>
        <v>0</v>
      </c>
      <c r="QV23" s="22">
        <f t="shared" si="154"/>
        <v>0</v>
      </c>
      <c r="QW23" s="22">
        <f t="shared" si="155"/>
        <v>0</v>
      </c>
      <c r="QX23" s="22">
        <f t="shared" si="156"/>
        <v>0</v>
      </c>
      <c r="QY23" s="27" t="s">
        <v>46</v>
      </c>
      <c r="QZ23" s="40">
        <f t="shared" si="157"/>
        <v>1.6500000000000001</v>
      </c>
      <c r="RA23" s="40">
        <f t="shared" si="158"/>
        <v>18.850000000000001</v>
      </c>
      <c r="RB23" s="40">
        <f t="shared" si="159"/>
        <v>10.45</v>
      </c>
      <c r="RC23" s="40">
        <f t="shared" si="160"/>
        <v>2.2000000000000002</v>
      </c>
      <c r="RD23" s="40">
        <f t="shared" si="161"/>
        <v>29.3</v>
      </c>
      <c r="RE23" s="40" t="str">
        <f t="shared" si="162"/>
        <v/>
      </c>
      <c r="RF23" s="40" t="str">
        <f t="shared" si="163"/>
        <v/>
      </c>
      <c r="RG23" s="40">
        <f t="shared" si="164"/>
        <v>18.850000000000001</v>
      </c>
    </row>
    <row r="24" spans="1:475" x14ac:dyDescent="0.2">
      <c r="A24" s="4" t="str">
        <f t="shared" si="0"/>
        <v/>
      </c>
      <c r="B24" s="5" t="s">
        <v>158</v>
      </c>
      <c r="C24" s="4" t="s">
        <v>5</v>
      </c>
      <c r="D24" s="4">
        <v>2004</v>
      </c>
      <c r="E24" s="9">
        <f t="shared" si="1"/>
        <v>61.900006190004149</v>
      </c>
      <c r="F24" s="3" t="str">
        <f t="shared" si="2"/>
        <v/>
      </c>
      <c r="G24" s="3" t="str">
        <f t="shared" si="3"/>
        <v/>
      </c>
      <c r="H24" s="36" t="str">
        <f t="shared" si="4"/>
        <v/>
      </c>
      <c r="I24" s="3" t="str">
        <f t="shared" si="5"/>
        <v/>
      </c>
      <c r="J24" s="8">
        <f>IF(COUNT(AQ24,BT24,CW24)&gt;0,LARGE((AQ24,BT24,CW24),1),0)</f>
        <v>41.5</v>
      </c>
      <c r="K24" s="8" t="str">
        <f t="shared" si="6"/>
        <v>2022 Nationals</v>
      </c>
      <c r="L24" s="8">
        <f>IF(COUNT(AQ24,BT24,CW24)&gt;1,LARGE((AQ24,BT24,CW24),2),0)</f>
        <v>0</v>
      </c>
      <c r="M24" s="8" t="str">
        <f t="shared" si="7"/>
        <v/>
      </c>
      <c r="N24" s="8">
        <f>IF(COUNT(AR24,BU24,CX24)&gt;0,LARGE((AR24,BU24,CX24),1),0)</f>
        <v>20.399999999999999</v>
      </c>
      <c r="O24" s="8" t="str">
        <f t="shared" si="8"/>
        <v>2022 Nationals</v>
      </c>
      <c r="P24" s="8">
        <f t="shared" si="9"/>
        <v>0</v>
      </c>
      <c r="Q24" s="8" t="str">
        <f t="shared" si="10"/>
        <v/>
      </c>
      <c r="R24" s="8" t="str">
        <f t="shared" si="11"/>
        <v/>
      </c>
      <c r="S24" s="11" t="str">
        <f t="shared" si="12"/>
        <v/>
      </c>
      <c r="T24" s="8" t="str">
        <f t="shared" si="13"/>
        <v/>
      </c>
      <c r="U24" s="19">
        <v>18.8</v>
      </c>
      <c r="V24" s="19">
        <v>3.1</v>
      </c>
      <c r="W24" s="19">
        <v>0</v>
      </c>
      <c r="X24" s="19">
        <v>0</v>
      </c>
      <c r="Y24" s="19">
        <v>17.2</v>
      </c>
      <c r="Z24" s="19">
        <v>2.4</v>
      </c>
      <c r="AA24" s="19">
        <v>0</v>
      </c>
      <c r="AB24" s="19">
        <v>0</v>
      </c>
      <c r="AC24" s="19">
        <v>18.2</v>
      </c>
      <c r="AD24" s="19">
        <v>2.9</v>
      </c>
      <c r="AE24" s="19">
        <v>0.7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4"/>
        <v>5.5</v>
      </c>
      <c r="AQ24" s="40">
        <f t="shared" si="15"/>
        <v>41.5</v>
      </c>
      <c r="AR24" s="40">
        <f t="shared" si="16"/>
        <v>20.399999999999999</v>
      </c>
      <c r="AS24" s="40">
        <f t="shared" si="17"/>
        <v>8.4</v>
      </c>
      <c r="AT24" s="40">
        <f t="shared" si="18"/>
        <v>61.9</v>
      </c>
      <c r="AU24" s="40" t="str">
        <f t="shared" si="19"/>
        <v/>
      </c>
      <c r="AV24" s="40" t="str">
        <f t="shared" si="20"/>
        <v/>
      </c>
      <c r="AW24" s="40">
        <f t="shared" si="21"/>
        <v>41.5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2"/>
        <v/>
      </c>
      <c r="BT24" s="11" t="str">
        <f t="shared" si="23"/>
        <v/>
      </c>
      <c r="BU24" s="11" t="str">
        <f t="shared" si="24"/>
        <v/>
      </c>
      <c r="BV24" s="11" t="str">
        <f t="shared" si="25"/>
        <v/>
      </c>
      <c r="BW24" s="11" t="str">
        <f t="shared" si="26"/>
        <v/>
      </c>
      <c r="BX24" s="11" t="str">
        <f t="shared" si="27"/>
        <v/>
      </c>
      <c r="BY24" s="11" t="str">
        <f t="shared" si="28"/>
        <v/>
      </c>
      <c r="BZ24" s="11" t="str">
        <f t="shared" si="29"/>
        <v/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 t="shared" si="30"/>
        <v/>
      </c>
      <c r="CW24" s="40" t="str">
        <f t="shared" si="31"/>
        <v/>
      </c>
      <c r="CX24" s="40" t="str">
        <f t="shared" si="32"/>
        <v/>
      </c>
      <c r="CY24" s="40" t="str">
        <f t="shared" si="33"/>
        <v/>
      </c>
      <c r="CZ24" s="40" t="str">
        <f t="shared" si="34"/>
        <v/>
      </c>
      <c r="DA24" s="40" t="str">
        <f t="shared" si="35"/>
        <v/>
      </c>
      <c r="DB24" s="40" t="str">
        <f t="shared" si="36"/>
        <v/>
      </c>
      <c r="DC24" s="40" t="str">
        <f t="shared" si="37"/>
        <v/>
      </c>
      <c r="DD24" s="50" t="str">
        <f t="shared" si="38"/>
        <v/>
      </c>
      <c r="DE24" s="50" t="str">
        <f t="shared" si="39"/>
        <v/>
      </c>
      <c r="DF24" s="50" t="str">
        <f t="shared" si="40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40" t="str">
        <f t="shared" si="46"/>
        <v/>
      </c>
      <c r="EG24" s="40" t="str">
        <f t="shared" si="47"/>
        <v/>
      </c>
      <c r="EH24" s="40" t="str">
        <f t="shared" si="48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1" t="str">
        <f t="shared" si="54"/>
        <v/>
      </c>
      <c r="FI24" s="11" t="str">
        <f t="shared" si="55"/>
        <v/>
      </c>
      <c r="FJ24" s="11" t="str">
        <f t="shared" si="56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40" t="str">
        <f t="shared" si="62"/>
        <v/>
      </c>
      <c r="GK24" s="40" t="str">
        <f t="shared" si="63"/>
        <v/>
      </c>
      <c r="GL24" s="40" t="str">
        <f t="shared" si="64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1" t="str">
        <f t="shared" si="70"/>
        <v/>
      </c>
      <c r="HM24" s="11" t="str">
        <f t="shared" si="71"/>
        <v/>
      </c>
      <c r="HN24" s="11" t="str">
        <f t="shared" si="72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40" t="str">
        <f t="shared" si="78"/>
        <v/>
      </c>
      <c r="IO24" s="40" t="str">
        <f t="shared" si="79"/>
        <v/>
      </c>
      <c r="IP24" s="40" t="str">
        <f t="shared" si="80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1" t="str">
        <f t="shared" si="86"/>
        <v/>
      </c>
      <c r="JQ24" s="11" t="str">
        <f t="shared" si="87"/>
        <v/>
      </c>
      <c r="JR24" s="11" t="str">
        <f t="shared" si="88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40" t="str">
        <f t="shared" si="94"/>
        <v/>
      </c>
      <c r="KS24" s="40" t="str">
        <f t="shared" si="95"/>
        <v/>
      </c>
      <c r="KT24" s="40" t="str">
        <f t="shared" si="96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1" t="str">
        <f t="shared" si="102"/>
        <v/>
      </c>
      <c r="LU24" s="11" t="str">
        <f t="shared" si="103"/>
        <v/>
      </c>
      <c r="LV24" s="11" t="str">
        <f t="shared" si="104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40" t="str">
        <f t="shared" si="110"/>
        <v/>
      </c>
      <c r="MW24" s="40" t="str">
        <f t="shared" si="111"/>
        <v/>
      </c>
      <c r="MX24" s="40" t="str">
        <f t="shared" si="112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1" t="str">
        <f t="shared" si="118"/>
        <v/>
      </c>
      <c r="NY24" s="11" t="str">
        <f t="shared" si="119"/>
        <v/>
      </c>
      <c r="NZ24" s="11" t="str">
        <f t="shared" si="120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40" t="str">
        <f t="shared" si="126"/>
        <v/>
      </c>
      <c r="PA24" s="40" t="str">
        <f t="shared" si="127"/>
        <v/>
      </c>
      <c r="PB24" s="40" t="str">
        <f t="shared" si="128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1" t="str">
        <f t="shared" si="134"/>
        <v/>
      </c>
      <c r="QC24" s="11" t="str">
        <f t="shared" si="135"/>
        <v/>
      </c>
      <c r="QD24" s="11" t="str">
        <f t="shared" si="136"/>
        <v/>
      </c>
      <c r="QE24" s="22">
        <f t="shared" si="137"/>
        <v>0</v>
      </c>
      <c r="QF24" s="22">
        <f t="shared" si="138"/>
        <v>0</v>
      </c>
      <c r="QG24" s="22">
        <f t="shared" si="139"/>
        <v>0</v>
      </c>
      <c r="QH24" s="22">
        <f t="shared" si="140"/>
        <v>0</v>
      </c>
      <c r="QI24" s="22">
        <f t="shared" si="141"/>
        <v>0</v>
      </c>
      <c r="QJ24" s="22">
        <f t="shared" si="142"/>
        <v>0</v>
      </c>
      <c r="QK24" s="22">
        <f t="shared" si="143"/>
        <v>0</v>
      </c>
      <c r="QL24" s="22">
        <f t="shared" si="144"/>
        <v>0</v>
      </c>
      <c r="QM24" s="22">
        <f t="shared" si="145"/>
        <v>0</v>
      </c>
      <c r="QN24" s="22">
        <f t="shared" si="146"/>
        <v>0</v>
      </c>
      <c r="QO24" s="22">
        <f t="shared" si="147"/>
        <v>0</v>
      </c>
      <c r="QP24" s="22">
        <f t="shared" si="148"/>
        <v>0</v>
      </c>
      <c r="QQ24" s="22">
        <f t="shared" si="149"/>
        <v>0</v>
      </c>
      <c r="QR24" s="22">
        <f t="shared" si="150"/>
        <v>0</v>
      </c>
      <c r="QS24" s="22">
        <f t="shared" si="151"/>
        <v>0</v>
      </c>
      <c r="QT24" s="22">
        <f t="shared" si="152"/>
        <v>0</v>
      </c>
      <c r="QU24" s="22">
        <f t="shared" si="153"/>
        <v>0</v>
      </c>
      <c r="QV24" s="22">
        <f t="shared" si="154"/>
        <v>0</v>
      </c>
      <c r="QW24" s="22">
        <f t="shared" si="155"/>
        <v>0</v>
      </c>
      <c r="QX24" s="22">
        <f t="shared" si="156"/>
        <v>0</v>
      </c>
      <c r="QY24" s="27" t="s">
        <v>46</v>
      </c>
      <c r="QZ24" s="40" t="str">
        <f t="shared" si="157"/>
        <v/>
      </c>
      <c r="RA24" s="40" t="str">
        <f t="shared" si="158"/>
        <v/>
      </c>
      <c r="RB24" s="40" t="str">
        <f t="shared" si="159"/>
        <v/>
      </c>
      <c r="RC24" s="40" t="str">
        <f t="shared" si="160"/>
        <v/>
      </c>
      <c r="RD24" s="40" t="str">
        <f t="shared" si="161"/>
        <v/>
      </c>
      <c r="RE24" s="40" t="str">
        <f t="shared" si="162"/>
        <v/>
      </c>
      <c r="RF24" s="40" t="str">
        <f t="shared" si="163"/>
        <v/>
      </c>
      <c r="RG24" s="40" t="str">
        <f t="shared" si="164"/>
        <v/>
      </c>
    </row>
    <row r="25" spans="1:475" x14ac:dyDescent="0.2">
      <c r="A25" s="4" t="str">
        <f t="shared" si="0"/>
        <v/>
      </c>
      <c r="B25" s="5" t="s">
        <v>109</v>
      </c>
      <c r="C25" s="4" t="s">
        <v>4</v>
      </c>
      <c r="D25" s="4">
        <v>2003</v>
      </c>
      <c r="E25" s="9">
        <f t="shared" si="1"/>
        <v>41.200004120002241</v>
      </c>
      <c r="F25" s="3" t="str">
        <f t="shared" si="2"/>
        <v/>
      </c>
      <c r="G25" s="3" t="str">
        <f t="shared" si="3"/>
        <v/>
      </c>
      <c r="H25" s="36" t="str">
        <f t="shared" si="4"/>
        <v/>
      </c>
      <c r="I25" s="3" t="str">
        <f t="shared" si="5"/>
        <v/>
      </c>
      <c r="J25" s="8">
        <f>IF(COUNT(AQ25,BT25,CW25)&gt;0,LARGE((AQ25,BT25,CW25),1),0)</f>
        <v>22.400000000000002</v>
      </c>
      <c r="K25" s="8" t="str">
        <f t="shared" si="6"/>
        <v>2022 Nationals</v>
      </c>
      <c r="L25" s="8">
        <f>IF(COUNT(AQ25,BT25,CW25)&gt;1,LARGE((AQ25,BT25,CW25),2),0)</f>
        <v>0</v>
      </c>
      <c r="M25" s="8" t="str">
        <f t="shared" si="7"/>
        <v/>
      </c>
      <c r="N25" s="8">
        <f>IF(COUNT(AR25,BU25,CX25)&gt;0,LARGE((AR25,BU25,CX25),1),0)</f>
        <v>18.799999999999997</v>
      </c>
      <c r="O25" s="8" t="str">
        <f t="shared" si="8"/>
        <v>2022 Nationals</v>
      </c>
      <c r="P25" s="8">
        <f t="shared" si="9"/>
        <v>0</v>
      </c>
      <c r="Q25" s="8" t="str">
        <f t="shared" si="10"/>
        <v/>
      </c>
      <c r="R25" s="8" t="str">
        <f t="shared" si="11"/>
        <v/>
      </c>
      <c r="S25" s="11" t="str">
        <f t="shared" si="12"/>
        <v/>
      </c>
      <c r="T25" s="8" t="str">
        <f t="shared" si="13"/>
        <v/>
      </c>
      <c r="U25" s="19">
        <v>17.600000000000001</v>
      </c>
      <c r="V25" s="19">
        <v>4.8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18.399999999999999</v>
      </c>
      <c r="AD25" s="19">
        <v>2.4</v>
      </c>
      <c r="AE25" s="19">
        <v>2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27"/>
      <c r="AP25" s="40">
        <f t="shared" si="14"/>
        <v>4.8</v>
      </c>
      <c r="AQ25" s="40">
        <f t="shared" si="15"/>
        <v>22.400000000000002</v>
      </c>
      <c r="AR25" s="40">
        <f t="shared" si="16"/>
        <v>18.799999999999997</v>
      </c>
      <c r="AS25" s="40">
        <f t="shared" si="17"/>
        <v>7.1999999999999993</v>
      </c>
      <c r="AT25" s="40">
        <f t="shared" si="18"/>
        <v>41.2</v>
      </c>
      <c r="AU25" s="40" t="str">
        <f t="shared" si="19"/>
        <v/>
      </c>
      <c r="AV25" s="40" t="str">
        <f t="shared" si="20"/>
        <v/>
      </c>
      <c r="AW25" s="40">
        <f t="shared" si="21"/>
        <v>22.400000000000002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1" t="str">
        <f t="shared" si="28"/>
        <v/>
      </c>
      <c r="BZ25" s="11" t="str">
        <f t="shared" si="29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40" t="str">
        <f t="shared" si="36"/>
        <v/>
      </c>
      <c r="DC25" s="40" t="str">
        <f t="shared" si="37"/>
        <v/>
      </c>
      <c r="DD25" s="50" t="str">
        <f t="shared" si="38"/>
        <v/>
      </c>
      <c r="DE25" s="50" t="str">
        <f t="shared" si="39"/>
        <v/>
      </c>
      <c r="DF25" s="50" t="str">
        <f t="shared" si="40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40" t="str">
        <f t="shared" si="46"/>
        <v/>
      </c>
      <c r="EG25" s="40" t="str">
        <f t="shared" si="47"/>
        <v/>
      </c>
      <c r="EH25" s="40" t="str">
        <f t="shared" si="48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1" t="str">
        <f t="shared" si="54"/>
        <v/>
      </c>
      <c r="FI25" s="11" t="str">
        <f t="shared" si="55"/>
        <v/>
      </c>
      <c r="FJ25" s="11" t="str">
        <f t="shared" si="56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40" t="str">
        <f t="shared" si="62"/>
        <v/>
      </c>
      <c r="GK25" s="40" t="str">
        <f t="shared" si="63"/>
        <v/>
      </c>
      <c r="GL25" s="40" t="str">
        <f t="shared" si="64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1" t="str">
        <f t="shared" si="70"/>
        <v/>
      </c>
      <c r="HM25" s="11" t="str">
        <f t="shared" si="71"/>
        <v/>
      </c>
      <c r="HN25" s="11" t="str">
        <f t="shared" si="72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40" t="str">
        <f t="shared" si="78"/>
        <v/>
      </c>
      <c r="IO25" s="40" t="str">
        <f t="shared" si="79"/>
        <v/>
      </c>
      <c r="IP25" s="40" t="str">
        <f t="shared" si="80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1" t="str">
        <f t="shared" si="86"/>
        <v/>
      </c>
      <c r="JQ25" s="11" t="str">
        <f t="shared" si="87"/>
        <v/>
      </c>
      <c r="JR25" s="11" t="str">
        <f t="shared" si="88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40" t="str">
        <f t="shared" si="94"/>
        <v/>
      </c>
      <c r="KS25" s="40" t="str">
        <f t="shared" si="95"/>
        <v/>
      </c>
      <c r="KT25" s="40" t="str">
        <f t="shared" si="96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1" t="str">
        <f t="shared" si="102"/>
        <v/>
      </c>
      <c r="LU25" s="11" t="str">
        <f t="shared" si="103"/>
        <v/>
      </c>
      <c r="LV25" s="11" t="str">
        <f t="shared" si="104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40" t="str">
        <f t="shared" si="110"/>
        <v/>
      </c>
      <c r="MW25" s="40" t="str">
        <f t="shared" si="111"/>
        <v/>
      </c>
      <c r="MX25" s="40" t="str">
        <f t="shared" si="112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1" t="str">
        <f t="shared" si="118"/>
        <v/>
      </c>
      <c r="NY25" s="11" t="str">
        <f t="shared" si="119"/>
        <v/>
      </c>
      <c r="NZ25" s="11" t="str">
        <f t="shared" si="120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40" t="str">
        <f t="shared" si="126"/>
        <v/>
      </c>
      <c r="PA25" s="40" t="str">
        <f t="shared" si="127"/>
        <v/>
      </c>
      <c r="PB25" s="40" t="str">
        <f t="shared" si="128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1" t="str">
        <f t="shared" si="134"/>
        <v/>
      </c>
      <c r="QC25" s="11" t="str">
        <f t="shared" si="135"/>
        <v/>
      </c>
      <c r="QD25" s="11" t="str">
        <f t="shared" si="136"/>
        <v/>
      </c>
      <c r="QE25" s="22">
        <f t="shared" si="137"/>
        <v>0</v>
      </c>
      <c r="QF25" s="22">
        <f t="shared" si="138"/>
        <v>0</v>
      </c>
      <c r="QG25" s="22">
        <f t="shared" si="139"/>
        <v>0</v>
      </c>
      <c r="QH25" s="22">
        <f t="shared" si="140"/>
        <v>0</v>
      </c>
      <c r="QI25" s="22">
        <f t="shared" si="141"/>
        <v>0</v>
      </c>
      <c r="QJ25" s="22">
        <f t="shared" si="142"/>
        <v>0</v>
      </c>
      <c r="QK25" s="22">
        <f t="shared" si="143"/>
        <v>0</v>
      </c>
      <c r="QL25" s="22">
        <f t="shared" si="144"/>
        <v>0</v>
      </c>
      <c r="QM25" s="22">
        <f t="shared" si="145"/>
        <v>0</v>
      </c>
      <c r="QN25" s="22">
        <f t="shared" si="146"/>
        <v>0</v>
      </c>
      <c r="QO25" s="22">
        <f t="shared" si="147"/>
        <v>0</v>
      </c>
      <c r="QP25" s="22">
        <f t="shared" si="148"/>
        <v>0</v>
      </c>
      <c r="QQ25" s="22">
        <f t="shared" si="149"/>
        <v>0</v>
      </c>
      <c r="QR25" s="22">
        <f t="shared" si="150"/>
        <v>0</v>
      </c>
      <c r="QS25" s="22">
        <f t="shared" si="151"/>
        <v>0</v>
      </c>
      <c r="QT25" s="22">
        <f t="shared" si="152"/>
        <v>0</v>
      </c>
      <c r="QU25" s="22">
        <f t="shared" si="153"/>
        <v>0</v>
      </c>
      <c r="QV25" s="22">
        <f t="shared" si="154"/>
        <v>0</v>
      </c>
      <c r="QW25" s="22">
        <f t="shared" si="155"/>
        <v>0</v>
      </c>
      <c r="QX25" s="22">
        <f t="shared" si="156"/>
        <v>0</v>
      </c>
      <c r="QY25" s="27" t="s">
        <v>46</v>
      </c>
      <c r="QZ25" s="40" t="str">
        <f t="shared" si="157"/>
        <v/>
      </c>
      <c r="RA25" s="40" t="str">
        <f t="shared" si="158"/>
        <v/>
      </c>
      <c r="RB25" s="40" t="str">
        <f t="shared" si="159"/>
        <v/>
      </c>
      <c r="RC25" s="40" t="str">
        <f t="shared" si="160"/>
        <v/>
      </c>
      <c r="RD25" s="40" t="str">
        <f t="shared" si="161"/>
        <v/>
      </c>
      <c r="RE25" s="40" t="str">
        <f t="shared" si="162"/>
        <v/>
      </c>
      <c r="RF25" s="40" t="str">
        <f t="shared" si="163"/>
        <v/>
      </c>
      <c r="RG25" s="40" t="str">
        <f t="shared" si="164"/>
        <v/>
      </c>
    </row>
    <row r="26" spans="1:475" x14ac:dyDescent="0.2">
      <c r="A26" s="4" t="str">
        <f t="shared" si="0"/>
        <v/>
      </c>
      <c r="B26" s="5" t="s">
        <v>214</v>
      </c>
      <c r="C26" s="4" t="s">
        <v>5</v>
      </c>
      <c r="D26" s="4">
        <v>2006</v>
      </c>
      <c r="E26" s="9">
        <f t="shared" si="1"/>
        <v>23.900002390002388</v>
      </c>
      <c r="F26" s="3" t="str">
        <f t="shared" si="2"/>
        <v/>
      </c>
      <c r="G26" s="3" t="str">
        <f t="shared" si="3"/>
        <v/>
      </c>
      <c r="H26" s="36" t="str">
        <f t="shared" si="4"/>
        <v/>
      </c>
      <c r="I26" s="3" t="str">
        <f t="shared" si="5"/>
        <v/>
      </c>
      <c r="J26" s="8">
        <f>IF(COUNT(AQ26,BT26,CW26)&gt;0,LARGE((AQ26,BT26,CW26),1),0)</f>
        <v>23.9</v>
      </c>
      <c r="K26" s="8" t="str">
        <f t="shared" si="6"/>
        <v>2023 Elite Canada</v>
      </c>
      <c r="L26" s="8">
        <f>IF(COUNT(AQ26,BT26,CW26)&gt;1,LARGE((AQ26,BT26,CW26),2),0)</f>
        <v>0</v>
      </c>
      <c r="M26" s="8" t="str">
        <f t="shared" si="7"/>
        <v/>
      </c>
      <c r="N26" s="8">
        <f>IF(COUNT(AR26,BU26,CX26)&gt;0,LARGE((AR26,BU26,CX26),1),0)</f>
        <v>0</v>
      </c>
      <c r="O26" s="8" t="str">
        <f t="shared" si="8"/>
        <v/>
      </c>
      <c r="P26" s="8">
        <f t="shared" si="9"/>
        <v>0</v>
      </c>
      <c r="Q26" s="8" t="str">
        <f t="shared" si="10"/>
        <v/>
      </c>
      <c r="R26" s="8" t="str">
        <f t="shared" si="11"/>
        <v/>
      </c>
      <c r="S26" s="11" t="str">
        <f t="shared" si="12"/>
        <v/>
      </c>
      <c r="T26" s="8" t="str">
        <f t="shared" si="13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40" t="str">
        <f t="shared" si="20"/>
        <v/>
      </c>
      <c r="AW26" s="40" t="str">
        <f t="shared" si="21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2"/>
        <v/>
      </c>
      <c r="BT26" s="11" t="str">
        <f t="shared" si="23"/>
        <v/>
      </c>
      <c r="BU26" s="11" t="str">
        <f t="shared" si="24"/>
        <v/>
      </c>
      <c r="BV26" s="11" t="str">
        <f t="shared" si="25"/>
        <v/>
      </c>
      <c r="BW26" s="11" t="str">
        <f t="shared" si="26"/>
        <v/>
      </c>
      <c r="BX26" s="11" t="str">
        <f t="shared" si="27"/>
        <v/>
      </c>
      <c r="BY26" s="11" t="str">
        <f t="shared" si="28"/>
        <v/>
      </c>
      <c r="BZ26" s="11" t="str">
        <f t="shared" si="29"/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30"/>
        <v>5.2</v>
      </c>
      <c r="CW26" s="40">
        <f t="shared" si="31"/>
        <v>23.9</v>
      </c>
      <c r="CX26" s="40" t="str">
        <f t="shared" si="32"/>
        <v/>
      </c>
      <c r="CY26" s="40">
        <f t="shared" si="33"/>
        <v>5.2</v>
      </c>
      <c r="CZ26" s="40">
        <f t="shared" si="34"/>
        <v>23.9</v>
      </c>
      <c r="DA26" s="40" t="str">
        <f t="shared" si="35"/>
        <v/>
      </c>
      <c r="DB26" s="40" t="str">
        <f t="shared" si="36"/>
        <v/>
      </c>
      <c r="DC26" s="40">
        <f t="shared" si="37"/>
        <v>23.9</v>
      </c>
      <c r="DD26" s="50" t="str">
        <f t="shared" si="38"/>
        <v/>
      </c>
      <c r="DE26" s="50" t="str">
        <f t="shared" si="39"/>
        <v/>
      </c>
      <c r="DF26" s="50" t="str">
        <f t="shared" si="40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40" t="str">
        <f t="shared" si="46"/>
        <v/>
      </c>
      <c r="EG26" s="40" t="str">
        <f t="shared" si="47"/>
        <v/>
      </c>
      <c r="EH26" s="40" t="str">
        <f t="shared" si="48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1" t="str">
        <f t="shared" si="54"/>
        <v/>
      </c>
      <c r="FI26" s="11" t="str">
        <f t="shared" si="55"/>
        <v/>
      </c>
      <c r="FJ26" s="11" t="str">
        <f t="shared" si="56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40" t="str">
        <f t="shared" si="62"/>
        <v/>
      </c>
      <c r="GK26" s="40" t="str">
        <f t="shared" si="63"/>
        <v/>
      </c>
      <c r="GL26" s="40" t="str">
        <f t="shared" si="64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1" t="str">
        <f t="shared" si="70"/>
        <v/>
      </c>
      <c r="HM26" s="11" t="str">
        <f t="shared" si="71"/>
        <v/>
      </c>
      <c r="HN26" s="11" t="str">
        <f t="shared" si="72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40" t="str">
        <f t="shared" si="78"/>
        <v/>
      </c>
      <c r="IO26" s="40" t="str">
        <f t="shared" si="79"/>
        <v/>
      </c>
      <c r="IP26" s="40" t="str">
        <f t="shared" si="80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1" t="str">
        <f t="shared" si="86"/>
        <v/>
      </c>
      <c r="JQ26" s="11" t="str">
        <f t="shared" si="87"/>
        <v/>
      </c>
      <c r="JR26" s="11" t="str">
        <f t="shared" si="88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40" t="str">
        <f t="shared" si="94"/>
        <v/>
      </c>
      <c r="KS26" s="40" t="str">
        <f t="shared" si="95"/>
        <v/>
      </c>
      <c r="KT26" s="40" t="str">
        <f t="shared" si="96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1" t="str">
        <f t="shared" si="102"/>
        <v/>
      </c>
      <c r="LU26" s="11" t="str">
        <f t="shared" si="103"/>
        <v/>
      </c>
      <c r="LV26" s="11" t="str">
        <f t="shared" si="104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40" t="str">
        <f t="shared" si="110"/>
        <v/>
      </c>
      <c r="MW26" s="40" t="str">
        <f t="shared" si="111"/>
        <v/>
      </c>
      <c r="MX26" s="40" t="str">
        <f t="shared" si="112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1" t="str">
        <f t="shared" si="118"/>
        <v/>
      </c>
      <c r="NY26" s="11" t="str">
        <f t="shared" si="119"/>
        <v/>
      </c>
      <c r="NZ26" s="11" t="str">
        <f t="shared" si="120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40" t="str">
        <f t="shared" si="126"/>
        <v/>
      </c>
      <c r="PA26" s="40" t="str">
        <f t="shared" si="127"/>
        <v/>
      </c>
      <c r="PB26" s="40" t="str">
        <f t="shared" si="128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1" t="str">
        <f t="shared" si="134"/>
        <v/>
      </c>
      <c r="QC26" s="11" t="str">
        <f t="shared" si="135"/>
        <v/>
      </c>
      <c r="QD26" s="11" t="str">
        <f t="shared" si="136"/>
        <v/>
      </c>
      <c r="QE26" s="22">
        <f t="shared" si="137"/>
        <v>9.4499999999999993</v>
      </c>
      <c r="QF26" s="22">
        <f t="shared" si="138"/>
        <v>2.6</v>
      </c>
      <c r="QG26" s="22">
        <f t="shared" si="139"/>
        <v>0.1</v>
      </c>
      <c r="QH26" s="22">
        <f t="shared" si="140"/>
        <v>0</v>
      </c>
      <c r="QI26" s="22">
        <f t="shared" si="141"/>
        <v>0</v>
      </c>
      <c r="QJ26" s="22">
        <f t="shared" si="142"/>
        <v>0</v>
      </c>
      <c r="QK26" s="22">
        <f t="shared" si="143"/>
        <v>0</v>
      </c>
      <c r="QL26" s="22">
        <f t="shared" si="144"/>
        <v>0</v>
      </c>
      <c r="QM26" s="22">
        <f t="shared" si="145"/>
        <v>0</v>
      </c>
      <c r="QN26" s="22">
        <f t="shared" si="146"/>
        <v>0</v>
      </c>
      <c r="QO26" s="22">
        <f t="shared" si="147"/>
        <v>0</v>
      </c>
      <c r="QP26" s="22">
        <f t="shared" si="148"/>
        <v>0</v>
      </c>
      <c r="QQ26" s="22">
        <f t="shared" si="149"/>
        <v>0</v>
      </c>
      <c r="QR26" s="22">
        <f t="shared" si="150"/>
        <v>0</v>
      </c>
      <c r="QS26" s="22">
        <f t="shared" si="151"/>
        <v>0</v>
      </c>
      <c r="QT26" s="22">
        <f t="shared" si="152"/>
        <v>0</v>
      </c>
      <c r="QU26" s="22">
        <f t="shared" si="153"/>
        <v>0</v>
      </c>
      <c r="QV26" s="22">
        <f t="shared" si="154"/>
        <v>0</v>
      </c>
      <c r="QW26" s="22">
        <f t="shared" si="155"/>
        <v>0</v>
      </c>
      <c r="QX26" s="22">
        <f t="shared" si="156"/>
        <v>0</v>
      </c>
      <c r="QY26" s="27" t="s">
        <v>46</v>
      </c>
      <c r="QZ26" s="40">
        <f t="shared" si="157"/>
        <v>2.6</v>
      </c>
      <c r="RA26" s="40">
        <f t="shared" si="158"/>
        <v>11.95</v>
      </c>
      <c r="RB26" s="40" t="str">
        <f t="shared" si="159"/>
        <v/>
      </c>
      <c r="RC26" s="40">
        <f t="shared" si="160"/>
        <v>2.6</v>
      </c>
      <c r="RD26" s="40">
        <f t="shared" si="161"/>
        <v>11.95</v>
      </c>
      <c r="RE26" s="40" t="str">
        <f t="shared" si="162"/>
        <v/>
      </c>
      <c r="RF26" s="40" t="str">
        <f t="shared" si="163"/>
        <v/>
      </c>
      <c r="RG26" s="40">
        <f t="shared" si="164"/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2023-07-03T01:31:11Z</dcterms:modified>
</cp:coreProperties>
</file>